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ettings" sheetId="1" state="visible" r:id="rId1"/>
    <sheet name="Assumptions" sheetId="2" state="visible" r:id="rId2"/>
    <sheet name="Calc" sheetId="3" state="visible" r:id="rId3"/>
    <sheet name="Summary" sheetId="4" state="visible" r:id="rId4"/>
    <sheet name="Scenarios" sheetId="5" state="visible" r:id="rId5"/>
    <sheet name="Charts" sheetId="6" state="visible" r:id="rId6"/>
    <sheet name="ReadMe" sheetId="7" state="visible" r:id="rId7"/>
  </sheets>
  <definedNames>
    <definedName name="FiscalStart">'Settings'!$B$5</definedName>
    <definedName name="NWeeks">'Settings'!$B$6</definedName>
    <definedName name="GrossBasis">'Settings'!$B$7</definedName>
    <definedName name="TargetRev">'Settings'!$B$8</definedName>
    <definedName name="CalibScalar">'Settings'!$B$9</definedName>
    <definedName name="VelocityUplift">'Settings'!$B$10</definedName>
    <definedName name="RampSpeed">'Settings'!$B$11</definedName>
    <definedName name="PriceIndex">'Settings'!$B$12</definedName>
    <definedName name="SeasonAmp">'Settings'!$B$13</definedName>
    <definedName name="OnlineGrowth">'Settings'!$B$14</definedName>
    <definedName name="FlavName">'Settings'!$A$18:$A$22</definedName>
    <definedName name="FlavShare">'Settings'!$B$18:$B$22</definedName>
    <definedName name="FmtName">'Settings'!$A$28:$A$29</definedName>
    <definedName name="FmtCansPerPack">'Settings'!$B$28:$B$29</definedName>
    <definedName name="FmtCansPerCase">'Settings'!$D$28:$D$29</definedName>
    <definedName name="FmtBlendedCogs">'Settings'!$E$28:$E$29</definedName>
    <definedName name="FmtBlendedPriceIdx">'Settings'!$F$28:$F$29</definedName>
    <definedName name="SkuFlav">'Settings'!$A$34:$A$43</definedName>
    <definedName name="SkuFmt">'Settings'!$B$34:$B$43</definedName>
    <definedName name="SkuCogs">'Settings'!$C$34:$C$43</definedName>
    <definedName name="SkuPriceIdx">'Settings'!$D$34:$D$43</definedName>
    <definedName name="SkuShare">'Settings'!$E$34:$E$43</definedName>
    <definedName name="ChName">'Assumptions'!$A$6:$A$17</definedName>
    <definedName name="ChFormat">'Assumptions'!$B$6:$B$17</definedName>
    <definedName name="ChLaunch">'Assumptions'!$C$6:$C$17</definedName>
    <definedName name="ChWeeksFull">'Assumptions'!$D$6:$D$17</definedName>
    <definedName name="ChRamp">'Assumptions'!$E$6:$E$17</definedName>
    <definedName name="ChBaseCP">'Assumptions'!$F$6:$F$17</definedName>
    <definedName name="ChDoorVel">'Assumptions'!$G$6:$G$17</definedName>
    <definedName name="TierChannel">'Assumptions'!$A$22:$A$47</definedName>
    <definedName name="TierTier">'Assumptions'!$B$22:$B$47</definedName>
    <definedName name="TierDoors">'Assumptions'!$C$22:$C$47</definedName>
    <definedName name="TierVel">'Assumptions'!$D$22:$D$47</definedName>
    <definedName name="TierDoorVel">'Assumptions'!$E$22:$E$47</definedName>
    <definedName name="ProvCode">'Assumptions'!$A$52:$A$65</definedName>
    <definedName name="ProvMod">'Assumptions'!$B$52:$B$65</definedName>
    <definedName name="ProvSRP">'Assumptions'!$C$52:$C$65</definedName>
    <definedName name="ProvOnline">'Assumptions'!$D$52:$D$65</definedName>
    <definedName name="PSChannel">'Assumptions'!$A$70:$A$159</definedName>
    <definedName name="PSProv">'Assumptions'!$B$70:$B$159</definedName>
    <definedName name="PSPct">'Assumptions'!$C$70:$C$159</definedName>
    <definedName name="PSKey">'Assumptions'!$D$70:$D$159</definedName>
    <definedName name="SeasonIdx">'Assumptions'!$J$6:$J$58</definedName>
    <definedName name="OnlineUnitsCol">'Assumptions'!$M$6:$M$58</definedName>
    <definedName name="CalcWeek">'Calc'!$A$2:$A$4061</definedName>
    <definedName name="CalcDate">'Calc'!$B$2:$B$4061</definedName>
    <definedName name="CalcMonth">'Calc'!$C$2:$C$4061</definedName>
    <definedName name="CalcQuarter">'Calc'!$D$2:$D$4061</definedName>
    <definedName name="CalcChannel">'Calc'!$E$2:$E$4061</definedName>
    <definedName name="CalcFormat">'Calc'!$F$2:$F$4061</definedName>
    <definedName name="CalcProvince">'Calc'!$G$2:$G$4061</definedName>
    <definedName name="CalcActive">'Calc'!$H$2:$H$4061</definedName>
    <definedName name="CalcLaunch">'Calc'!$I$2:$I$4061</definedName>
    <definedName name="CalcWksFull">'Calc'!$J$2:$J$4061</definedName>
    <definedName name="CalcRampShape">'Calc'!$K$2:$K$4061</definedName>
    <definedName name="CalcRampX">'Calc'!$L$2:$L$4061</definedName>
    <definedName name="CalcRamp">'Calc'!$M$2:$M$4061</definedName>
    <definedName name="CalcSeason">'Calc'!$N$2:$N$4061</definedName>
    <definedName name="CalcProvSplit">'Calc'!$O$2:$O$4061</definedName>
    <definedName name="CalcDoorVelEff">'Calc'!$P$2:$P$4061</definedName>
    <definedName name="CalcOnlineUnits">'Calc'!$Q$2:$Q$4061</definedName>
    <definedName name="CalcBrandCases">'Calc'!$R$2:$R$4061</definedName>
    <definedName name="CalcCans">'Calc'!$S$2:$S$4061</definedName>
    <definedName name="CalcConsumerUnits">'Calc'!$T$2:$T$4061</definedName>
    <definedName name="CalcUnitPrice">'Calc'!$U$2:$U$4061</definedName>
    <definedName name="CalcWholesale">'Calc'!$V$2:$V$4061</definedName>
    <definedName name="CalcSellthru">'Calc'!$W$2:$W$4061</definedName>
    <definedName name="CalcGross">'Calc'!$X$2:$X$4061</definedName>
    <definedName name="CalcCOGS">'Calc'!$Y$2:$Y$4061</definedName>
    <definedName name="CalcMargin">'Calc'!$Z$2:$Z$4061</definedName>
    <definedName name="AnnualGross">'Summary'!$B$5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_-#,##0_-;[Red]-#,##0_-"/>
    <numFmt numFmtId="166" formatCode="0.0000"/>
    <numFmt numFmtId="167" formatCode="0.0%"/>
    <numFmt numFmtId="168" formatCode="0.000"/>
    <numFmt numFmtId="169" formatCode="#,##0.0"/>
    <numFmt numFmtId="170" formatCode="velocity &amp; price stripped out"/>
    <numFmt numFmtId="171" formatCode="online growth &amp; price stripped out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7085"/>
      <sz val="9"/>
    </font>
    <font>
      <name val="Calibri"/>
      <b val="1"/>
      <color rgb="00FFFFFF"/>
      <sz val="10"/>
    </font>
    <font>
      <name val="Calibri"/>
      <b val="1"/>
      <color rgb="00222B36"/>
      <sz val="10"/>
    </font>
    <font>
      <name val="Calibri"/>
      <i val="1"/>
      <color rgb="00667085"/>
      <sz val="8"/>
    </font>
    <font>
      <name val="Calibri"/>
      <color rgb="00222B36"/>
      <sz val="10"/>
    </font>
    <font>
      <name val="Calibri"/>
      <b val="1"/>
      <color rgb="00222B36"/>
      <sz val="9"/>
    </font>
    <font>
      <name val="Calibri"/>
      <i val="1"/>
      <color rgb="00B23B3B"/>
      <sz val="9"/>
    </font>
    <font>
      <name val="Calibri"/>
      <color rgb="00222B36"/>
      <sz val="9"/>
    </font>
    <font>
      <name val="Calibri"/>
      <b val="1"/>
      <color rgb="00222B36"/>
      <sz val="11"/>
    </font>
    <font>
      <name val="Calibri"/>
      <b val="1"/>
      <color rgb="001F2A44"/>
      <sz val="16"/>
    </font>
    <font>
      <name val="Calibri"/>
      <color rgb="00B23B3B"/>
      <sz val="9"/>
    </font>
    <font>
      <name val="Calibri"/>
      <color rgb="00999999"/>
      <sz val="9"/>
    </font>
    <font>
      <name val="Calibri"/>
      <color rgb="000E7C7B"/>
      <sz val="9"/>
    </font>
    <font>
      <name val="Calibri"/>
      <b val="1"/>
      <color rgb="00222B36"/>
      <sz val="12"/>
    </font>
    <font>
      <name val="Calibri"/>
      <b val="1"/>
      <color rgb="002E5CB8"/>
      <sz val="10"/>
    </font>
    <font>
      <name val="Calibri"/>
      <b val="1"/>
      <color rgb="00FFFFFF"/>
      <sz val="9"/>
    </font>
    <font>
      <name val="Calibri"/>
      <b val="1"/>
      <color rgb="002E5CB8"/>
      <sz val="11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CB8"/>
      </patternFill>
    </fill>
    <fill>
      <patternFill patternType="solid">
        <fgColor rgb="00FFF6D5"/>
      </patternFill>
    </fill>
    <fill>
      <patternFill patternType="solid">
        <fgColor rgb="0033415C"/>
      </patternFill>
    </fill>
    <fill>
      <patternFill patternType="solid">
        <fgColor rgb="000E7C7B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7" fontId="0" fillId="4" borderId="1" pivotButton="0" quotePrefix="0" xfId="0"/>
    <xf numFmtId="0" fontId="5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3" fontId="6" fillId="4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left" vertical="center" wrapText="1"/>
    </xf>
    <xf numFmtId="4" fontId="0" fillId="4" borderId="1" pivotButton="0" quotePrefix="0" xfId="0"/>
    <xf numFmtId="168" fontId="0" fillId="4" borderId="1" pivotButton="0" quotePrefix="0" xfId="0"/>
    <xf numFmtId="167" fontId="0" fillId="0" borderId="1" pivotButton="0" quotePrefix="0" xfId="0"/>
    <xf numFmtId="0" fontId="8" fillId="0" borderId="0" pivotButton="0" quotePrefix="0" xfId="0"/>
    <xf numFmtId="169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left" vertical="center" wrapText="1"/>
    </xf>
    <xf numFmtId="3" fontId="0" fillId="4" borderId="1" pivotButton="0" quotePrefix="0" xfId="0"/>
    <xf numFmtId="169" fontId="0" fillId="0" borderId="1" pivotButton="0" quotePrefix="0" xfId="0"/>
    <xf numFmtId="169" fontId="6" fillId="4" borderId="1" applyAlignment="1" pivotButton="0" quotePrefix="0" xfId="0">
      <alignment horizontal="right" vertical="center"/>
    </xf>
    <xf numFmtId="169" fontId="0" fillId="4" borderId="1" pivotButton="0" quotePrefix="0" xfId="0"/>
    <xf numFmtId="168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0" pivotButton="0" quotePrefix="0" xfId="0"/>
    <xf numFmtId="167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wrapText="1"/>
    </xf>
    <xf numFmtId="165" fontId="11" fillId="9" borderId="1" applyAlignment="1" pivotButton="0" quotePrefix="0" xfId="0">
      <alignment horizontal="right" vertical="center"/>
    </xf>
    <xf numFmtId="165" fontId="6" fillId="0" borderId="1" pivotButton="0" quotePrefix="0" xfId="0"/>
    <xf numFmtId="167" fontId="6" fillId="0" borderId="1" pivotButton="0" quotePrefix="0" xfId="0"/>
    <xf numFmtId="0" fontId="9" fillId="0" borderId="1" pivotButton="0" quotePrefix="0" xfId="0"/>
    <xf numFmtId="165" fontId="9" fillId="0" borderId="1" pivotButton="0" quotePrefix="0" xfId="0"/>
    <xf numFmtId="165" fontId="12" fillId="0" borderId="1" pivotButton="0" quotePrefix="0" xfId="0"/>
    <xf numFmtId="165" fontId="13" fillId="0" borderId="1" pivotButton="0" quotePrefix="0" xfId="0"/>
    <xf numFmtId="3" fontId="14" fillId="0" borderId="1" pivotButton="0" quotePrefix="0" xfId="0"/>
    <xf numFmtId="165" fontId="10" fillId="8" borderId="1" applyAlignment="1" pivotButton="0" quotePrefix="0" xfId="0">
      <alignment horizontal="right" vertical="center"/>
    </xf>
    <xf numFmtId="167" fontId="10" fillId="8" borderId="1" applyAlignment="1" pivotButton="0" quotePrefix="0" xfId="0">
      <alignment horizontal="right" vertical="center"/>
    </xf>
    <xf numFmtId="165" fontId="4" fillId="7" borderId="1" pivotButton="0" quotePrefix="0" xfId="0"/>
    <xf numFmtId="167" fontId="4" fillId="7" borderId="1" pivotButton="0" quotePrefix="0" xfId="0"/>
    <xf numFmtId="3" fontId="10" fillId="8" borderId="1" applyAlignment="1" pivotButton="0" quotePrefix="0" xfId="0">
      <alignment horizontal="right" vertical="center"/>
    </xf>
    <xf numFmtId="3" fontId="6" fillId="0" borderId="1" pivotButton="0" quotePrefix="0" xfId="0"/>
    <xf numFmtId="3" fontId="4" fillId="7" borderId="1" pivotButton="0" quotePrefix="0" xfId="0"/>
    <xf numFmtId="0" fontId="0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167" fontId="16" fillId="0" borderId="1" pivotButton="0" quotePrefix="0" xfId="0"/>
    <xf numFmtId="166" fontId="6" fillId="0" borderId="1" pivotButton="0" quotePrefix="0" xfId="0"/>
    <xf numFmtId="166" fontId="16" fillId="0" borderId="1" pivotButton="0" quotePrefix="0" xfId="0"/>
    <xf numFmtId="167" fontId="6" fillId="4" borderId="1" pivotButton="0" quotePrefix="0" xfId="0"/>
    <xf numFmtId="165" fontId="4" fillId="0" borderId="1" pivotButton="0" quotePrefix="0" xfId="0"/>
    <xf numFmtId="0" fontId="17" fillId="5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168" fontId="7" fillId="4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9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7A5B00"/>
        <sz val="11"/>
      </font>
      <fill>
        <patternFill patternType="solid">
          <fgColor rgb="00FFEB9C"/>
        </patternFill>
      </fill>
    </dxf>
    <dxf>
      <font>
        <name val="Calibri"/>
        <b val="1"/>
        <color rgb="00006100"/>
        <sz val="12"/>
      </font>
      <fill>
        <patternFill patternType="solid">
          <fgColor rgb="00C6EFCE"/>
        </patternFill>
      </fill>
    </dxf>
    <dxf>
      <font>
        <name val="Calibri"/>
        <b val="1"/>
        <color rgb="007A5B00"/>
        <sz val="12"/>
      </font>
      <fill>
        <patternFill patternType="solid">
          <fgColor rgb="00FFEB9C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222B3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Gross vs $3M Goal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'Summary'!R4</f>
            </strRef>
          </tx>
          <spPr>
            <a:ln w="28000">
              <a:solidFill>
                <a:srgbClr val="0E7C7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'Summary'!$R$5:$R$57</f>
            </numRef>
          </val>
        </ser>
        <ser>
          <idx val="1"/>
          <order val="1"/>
          <tx>
            <strRef>
              <f>'Summary'!S4</f>
            </strRef>
          </tx>
          <spPr>
            <a:ln w="28000">
              <a:solidFill>
                <a:srgbClr val="B23B3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'Summary'!$S$5:$S$57</f>
            </numRef>
          </val>
        </ser>
        <ser>
          <idx val="2"/>
          <order val="2"/>
          <tx>
            <strRef>
              <f>'Summary'!T4</f>
            </strRef>
          </tx>
          <spPr>
            <a:ln w="28000">
              <a:solidFill>
                <a:srgbClr val="BBBBBB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'Summary'!$P$5:$P$57</f>
            </numRef>
          </cat>
          <val>
            <numRef>
              <f>'Summary'!$T$5:$T$57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CAD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Gross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'Summary'!$P$5:$P$57</f>
            </numRef>
          </cat>
          <val>
            <numRef>
              <f>'Summary'!$Q$5:$Q$57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Channel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'Summary'!$D$5:$D$11</f>
            </numRef>
          </cat>
          <val>
            <numRef>
              <f>'Summary'!$E$5:$E$11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Province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'Summary'!$D$16:$D$25</f>
            </numRef>
          </cat>
          <val>
            <numRef>
              <f>'Summary'!$E$16:$E$25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Flavour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SKU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A4FB3"/>
            </a:solidFill>
            <a:ln>
              <a:prstDash val="solid"/>
            </a:ln>
          </spPr>
          <cat>
            <numRef>
              <f>'Summary'!$H$12:$H$17</f>
            </numRef>
          </cat>
          <val>
            <numRef>
              <f>'Summary'!$I$12:$I$17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'Summary'!$L$13:$L$24</f>
            </numRef>
          </cat>
          <val>
            <numRef>
              <f>'Summary'!$M$13:$M$24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Channel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'Summary'!$D$5:$D$11</f>
            </numRef>
          </cat>
          <val>
            <numRef>
              <f>'Summary'!$E$5:$E$11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by Store Tier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C77DBB"/>
            </a:solidFill>
            <a:ln>
              <a:prstDash val="solid"/>
            </a:ln>
          </spPr>
          <cat>
            <numRef>
              <f>'Summary'!$D$30:$D$47</f>
            </numRef>
          </cat>
          <val>
            <numRef>
              <f>'Summary'!$E$30:$E$47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Volume (cases)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7B"/>
            </a:solidFill>
            <a:ln>
              <a:prstDash val="solid"/>
            </a:ln>
          </spPr>
          <cat>
            <numRef>
              <f>'Summary'!$P$5:$P$57</f>
            </numRef>
          </cat>
          <val>
            <numRef>
              <f>'Summary'!$U$5:$U$57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Gross vs $3M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5CB8"/>
            </a:solidFill>
            <a:ln>
              <a:prstDash val="solid"/>
            </a:ln>
          </spPr>
          <cat>
            <numRef>
              <f>'Scenarios'!$A$20:$A$22</f>
            </numRef>
          </cat>
          <val>
            <numRef>
              <f>'Scenarios'!$E$20:$E$22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19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20</col>
      <colOff>0</colOff>
      <row>2</row>
      <rowOff>0</rowOff>
    </from>
    <ext cx="324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19</row>
      <rowOff>0</rowOff>
    </from>
    <ext cx="468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36</row>
      <rowOff>0</rowOff>
    </from>
    <ext cx="468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20</col>
      <colOff>0</colOff>
      <row>36</row>
      <rowOff>0</rowOff>
    </from>
    <ext cx="324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30</col>
      <colOff>0</colOff>
      <row>2</row>
      <rowOff>0</rowOff>
    </from>
    <ext cx="468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30</col>
      <colOff>0</colOff>
      <row>19</row>
      <rowOff>0</rowOff>
    </from>
    <ext cx="432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MÜV RTD  •  Annual Sales Forecast — Settings &amp; Global Drivers</t>
        </is>
      </c>
      <c r="B1" s="2" t="n"/>
      <c r="C1" s="2" t="n"/>
      <c r="D1" s="2" t="n"/>
      <c r="E1" s="2" t="n"/>
      <c r="F1" s="2" t="n"/>
    </row>
    <row r="2">
      <c r="A2" s="3" t="inlineStr">
        <is>
          <t>Yellow cells are inputs. Change any of them and the whole model recalculates.</t>
        </is>
      </c>
    </row>
    <row r="4">
      <c r="A4" s="4" t="inlineStr">
        <is>
          <t>Setting</t>
        </is>
      </c>
      <c r="B4" s="4" t="inlineStr">
        <is>
          <t>Value</t>
        </is>
      </c>
      <c r="C4" s="4" t="inlineStr">
        <is>
          <t>Notes</t>
        </is>
      </c>
    </row>
    <row r="5">
      <c r="A5" s="5" t="inlineStr">
        <is>
          <t>Fiscal year start date</t>
        </is>
      </c>
      <c r="B5" s="6" t="n">
        <v>46631</v>
      </c>
      <c r="C5" s="7" t="inlineStr">
        <is>
          <t>Week 1 begins here. FY ends end of August.</t>
        </is>
      </c>
    </row>
    <row r="6">
      <c r="A6" s="5" t="inlineStr">
        <is>
          <t>Number of weeks (52 or 53)</t>
        </is>
      </c>
      <c r="B6" s="8" t="n">
        <v>52</v>
      </c>
      <c r="C6" s="7" t="inlineStr">
        <is>
          <t>Toggle 53-week year. Week 53 auto-activates.</t>
        </is>
      </c>
    </row>
    <row r="7">
      <c r="A7" s="5" t="inlineStr">
        <is>
          <t>Gross revenue basis</t>
        </is>
      </c>
      <c r="B7" s="9" t="inlineStr">
        <is>
          <t>Wholesale</t>
        </is>
      </c>
      <c r="C7" s="7" t="inlineStr">
        <is>
          <t>Wholesale (default) or Sell-through. Moves the goal math the most.</t>
        </is>
      </c>
    </row>
    <row r="8">
      <c r="A8" s="5" t="inlineStr">
        <is>
          <t>$ Target (goal)</t>
        </is>
      </c>
      <c r="B8" s="10" t="n">
        <v>3000000</v>
      </c>
      <c r="C8" s="7" t="inlineStr">
        <is>
          <t>Annual gross revenue goal.</t>
        </is>
      </c>
    </row>
    <row r="9">
      <c r="A9" s="5" t="inlineStr">
        <is>
          <t>Calibration scalar (doors)</t>
        </is>
      </c>
      <c r="B9" s="11" t="n">
        <v>0.36</v>
      </c>
      <c r="C9" s="7" t="inlineStr">
        <is>
          <t>Scales all door counts. Calibrates base case into the $2.7–3.3M band.</t>
        </is>
      </c>
    </row>
    <row r="10">
      <c r="A10" s="5" t="inlineStr">
        <is>
          <t>Velocity uplift %</t>
        </is>
      </c>
      <c r="B10" s="12" t="n">
        <v>0</v>
      </c>
      <c r="C10" s="7" t="inlineStr">
        <is>
          <t>Global +% on velocity (mirrors dashboard slider).</t>
        </is>
      </c>
    </row>
    <row r="11">
      <c r="A11" s="5" t="inlineStr">
        <is>
          <t>Door ramp speed ×</t>
        </is>
      </c>
      <c r="B11" s="13" t="n">
        <v>1</v>
      </c>
      <c r="C11" s="7" t="inlineStr">
        <is>
          <t>Multiplier on ramp progress (&gt;1 = faster to full).</t>
        </is>
      </c>
    </row>
    <row r="12">
      <c r="A12" s="5" t="inlineStr">
        <is>
          <t>Price index %</t>
        </is>
      </c>
      <c r="B12" s="12" t="n">
        <v>0</v>
      </c>
      <c r="C12" s="7" t="inlineStr">
        <is>
          <t>Global +% on all prices.</t>
        </is>
      </c>
    </row>
    <row r="13">
      <c r="A13" s="5" t="inlineStr">
        <is>
          <t>Seasonality amplitude ×</t>
        </is>
      </c>
      <c r="B13" s="13" t="n">
        <v>1</v>
      </c>
      <c r="C13" s="7" t="inlineStr">
        <is>
          <t>Scales seasonal swing around 1.0.</t>
        </is>
      </c>
    </row>
    <row r="14">
      <c r="A14" s="5" t="inlineStr">
        <is>
          <t>Online growth %</t>
        </is>
      </c>
      <c r="B14" s="12" t="n">
        <v>0</v>
      </c>
      <c r="C14" s="7" t="inlineStr">
        <is>
          <t>Global +% on online units/week.</t>
        </is>
      </c>
    </row>
    <row r="16" ht="22" customHeight="1">
      <c r="A16" s="1" t="inlineStr">
        <is>
          <t>Flavours  (add a flavour = add a row; shares must sum to 100%)</t>
        </is>
      </c>
      <c r="B16" s="2" t="n"/>
    </row>
    <row r="17">
      <c r="A17" s="4" t="inlineStr">
        <is>
          <t>Flavour</t>
        </is>
      </c>
      <c r="B17" s="4" t="inlineStr">
        <is>
          <t>Share %</t>
        </is>
      </c>
    </row>
    <row r="18">
      <c r="A18" s="14" t="inlineStr">
        <is>
          <t>Lime</t>
        </is>
      </c>
      <c r="B18" s="15" t="n">
        <v>0.4</v>
      </c>
    </row>
    <row r="19">
      <c r="A19" s="14" t="inlineStr">
        <is>
          <t>Lemon</t>
        </is>
      </c>
      <c r="B19" s="15" t="n">
        <v>0.35</v>
      </c>
    </row>
    <row r="20">
      <c r="A20" s="14" t="inlineStr">
        <is>
          <t>Raspberry</t>
        </is>
      </c>
      <c r="B20" s="15" t="n">
        <v>0.25</v>
      </c>
    </row>
    <row r="21">
      <c r="A21" s="16" t="n"/>
      <c r="B21" s="17" t="n"/>
    </row>
    <row r="22">
      <c r="A22" s="16" t="n"/>
      <c r="B22" s="17" t="n"/>
    </row>
    <row r="23">
      <c r="A23" s="18" t="inlineStr">
        <is>
          <t>Shares are a fraction (0.40 = 40%). Check sum below = 100%.</t>
        </is>
      </c>
    </row>
    <row r="24">
      <c r="A24" s="19" t="inlineStr">
        <is>
          <t>Flavour share check (=100%):</t>
        </is>
      </c>
      <c r="B24" s="20">
        <f>SUM(FlavShare)</f>
        <v/>
      </c>
    </row>
    <row r="26" ht="22" customHeight="1">
      <c r="A26" s="1" t="inlineStr">
        <is>
          <t>Pack Formats</t>
        </is>
      </c>
      <c r="B26" s="2" t="n"/>
      <c r="C26" s="2" t="n"/>
      <c r="D26" s="2" t="n"/>
      <c r="E26" s="2" t="n"/>
      <c r="F26" s="2" t="n"/>
    </row>
    <row r="27">
      <c r="A27" s="4" t="inlineStr">
        <is>
          <t>Format</t>
        </is>
      </c>
      <c r="B27" s="4" t="inlineStr">
        <is>
          <t>Cans/pack</t>
        </is>
      </c>
      <c r="C27" s="4" t="inlineStr">
        <is>
          <t>Packs/case</t>
        </is>
      </c>
      <c r="D27" s="4" t="inlineStr">
        <is>
          <t>Cans/case</t>
        </is>
      </c>
      <c r="E27" s="4" t="inlineStr">
        <is>
          <t>Blended COGS/case</t>
        </is>
      </c>
      <c r="F27" s="4" t="inlineStr">
        <is>
          <t>Blended price idx</t>
        </is>
      </c>
    </row>
    <row r="28">
      <c r="A28" s="14" t="inlineStr">
        <is>
          <t>4-pack</t>
        </is>
      </c>
      <c r="B28" s="21" t="n">
        <v>4</v>
      </c>
      <c r="C28" s="21" t="n">
        <v>6</v>
      </c>
      <c r="D28" s="21" t="n">
        <v>24</v>
      </c>
      <c r="E28" s="22">
        <f>SUMPRODUCT((SkuFmt=A28)*SkuCogs*SkuShare)</f>
        <v/>
      </c>
      <c r="F28" s="23">
        <f>SUMPRODUCT((SkuFmt=A28)*SkuPriceIdx*SkuShare)</f>
        <v/>
      </c>
    </row>
    <row r="29">
      <c r="A29" s="14" t="inlineStr">
        <is>
          <t>12-pack</t>
        </is>
      </c>
      <c r="B29" s="21" t="n">
        <v>12</v>
      </c>
      <c r="C29" s="21" t="n">
        <v>2</v>
      </c>
      <c r="D29" s="21" t="n">
        <v>24</v>
      </c>
      <c r="E29" s="22">
        <f>SUMPRODUCT((SkuFmt=A29)*SkuCogs*SkuShare)</f>
        <v/>
      </c>
      <c r="F29" s="23">
        <f>SUMPRODUCT((SkuFmt=A29)*SkuPriceIdx*SkuShare)</f>
        <v/>
      </c>
    </row>
    <row r="30">
      <c r="A30" s="18" t="inlineStr">
        <is>
          <t>Blended cols are computed from the SKUs table (share-weighted).</t>
        </is>
      </c>
    </row>
    <row r="32" ht="22" customHeight="1">
      <c r="A32" s="1" t="inlineStr">
        <is>
          <t>SKUs  (flavour × format; add a SKU = add a row)</t>
        </is>
      </c>
      <c r="B32" s="2" t="n"/>
      <c r="C32" s="2" t="n"/>
      <c r="D32" s="2" t="n"/>
      <c r="E32" s="2" t="n"/>
    </row>
    <row r="33">
      <c r="A33" s="4" t="inlineStr">
        <is>
          <t>Flavour</t>
        </is>
      </c>
      <c r="B33" s="4" t="inlineStr">
        <is>
          <t>Format</t>
        </is>
      </c>
      <c r="C33" s="4" t="inlineStr">
        <is>
          <t>COGS/case</t>
        </is>
      </c>
      <c r="D33" s="4" t="inlineStr">
        <is>
          <t>Price idx</t>
        </is>
      </c>
      <c r="E33" s="4" t="inlineStr">
        <is>
          <t>Share (auto)</t>
        </is>
      </c>
    </row>
    <row r="34">
      <c r="A34" s="14" t="inlineStr">
        <is>
          <t>Lime</t>
        </is>
      </c>
      <c r="B34" s="14" t="inlineStr">
        <is>
          <t>4-pack</t>
        </is>
      </c>
      <c r="C34" s="24" t="n">
        <v>15</v>
      </c>
      <c r="D34" s="25" t="n">
        <v>1</v>
      </c>
      <c r="E34" s="26">
        <f>IFERROR(INDEX(FlavShare,MATCH(A34,FlavName,0)),"")</f>
        <v/>
      </c>
    </row>
    <row r="35">
      <c r="A35" s="14" t="inlineStr">
        <is>
          <t>Lime</t>
        </is>
      </c>
      <c r="B35" s="14" t="inlineStr">
        <is>
          <t>12-pack</t>
        </is>
      </c>
      <c r="C35" s="24" t="n">
        <v>15</v>
      </c>
      <c r="D35" s="25" t="n">
        <v>1</v>
      </c>
      <c r="E35" s="26">
        <f>IFERROR(INDEX(FlavShare,MATCH(A35,FlavName,0)),"")</f>
        <v/>
      </c>
    </row>
    <row r="36">
      <c r="A36" s="14" t="inlineStr">
        <is>
          <t>Lemon</t>
        </is>
      </c>
      <c r="B36" s="14" t="inlineStr">
        <is>
          <t>4-pack</t>
        </is>
      </c>
      <c r="C36" s="24" t="n">
        <v>15</v>
      </c>
      <c r="D36" s="25" t="n">
        <v>1</v>
      </c>
      <c r="E36" s="26">
        <f>IFERROR(INDEX(FlavShare,MATCH(A36,FlavName,0)),"")</f>
        <v/>
      </c>
    </row>
    <row r="37">
      <c r="A37" s="14" t="inlineStr">
        <is>
          <t>Lemon</t>
        </is>
      </c>
      <c r="B37" s="14" t="inlineStr">
        <is>
          <t>12-pack</t>
        </is>
      </c>
      <c r="C37" s="24" t="n">
        <v>15</v>
      </c>
      <c r="D37" s="25" t="n">
        <v>1</v>
      </c>
      <c r="E37" s="26">
        <f>IFERROR(INDEX(FlavShare,MATCH(A37,FlavName,0)),"")</f>
        <v/>
      </c>
    </row>
    <row r="38">
      <c r="A38" s="14" t="inlineStr">
        <is>
          <t>Raspberry</t>
        </is>
      </c>
      <c r="B38" s="14" t="inlineStr">
        <is>
          <t>4-pack</t>
        </is>
      </c>
      <c r="C38" s="24" t="n">
        <v>15</v>
      </c>
      <c r="D38" s="25" t="n">
        <v>1</v>
      </c>
      <c r="E38" s="26">
        <f>IFERROR(INDEX(FlavShare,MATCH(A38,FlavName,0)),"")</f>
        <v/>
      </c>
    </row>
    <row r="39">
      <c r="A39" s="14" t="inlineStr">
        <is>
          <t>Raspberry</t>
        </is>
      </c>
      <c r="B39" s="14" t="inlineStr">
        <is>
          <t>12-pack</t>
        </is>
      </c>
      <c r="C39" s="24" t="n">
        <v>15</v>
      </c>
      <c r="D39" s="25" t="n">
        <v>1</v>
      </c>
      <c r="E39" s="26">
        <f>IFERROR(INDEX(FlavShare,MATCH(A39,FlavName,0)),"")</f>
        <v/>
      </c>
    </row>
    <row r="40">
      <c r="A40" s="16" t="n"/>
      <c r="B40" s="16" t="n"/>
      <c r="C40" s="27" t="n"/>
      <c r="D40" s="28" t="n"/>
      <c r="E40" s="29" t="n"/>
    </row>
    <row r="41">
      <c r="A41" s="16" t="n"/>
      <c r="B41" s="16" t="n"/>
      <c r="C41" s="27" t="n"/>
      <c r="D41" s="28" t="n"/>
      <c r="E41" s="29" t="n"/>
    </row>
    <row r="42">
      <c r="A42" s="16" t="n"/>
      <c r="B42" s="16" t="n"/>
      <c r="C42" s="27" t="n"/>
      <c r="D42" s="28" t="n"/>
      <c r="E42" s="29" t="n"/>
    </row>
    <row r="43">
      <c r="A43" s="16" t="n"/>
      <c r="B43" s="16" t="n"/>
      <c r="C43" s="27" t="n"/>
      <c r="D43" s="28" t="n"/>
      <c r="E43" s="29" t="n"/>
    </row>
    <row r="44">
      <c r="A44" s="18" t="inlineStr">
        <is>
          <t>COGS per 24-can case. Price idx = per-SKU price multiplier (1.00 = neutral). Share auto-pulls from Flavours.</t>
        </is>
      </c>
    </row>
  </sheetData>
  <mergeCells count="4">
    <mergeCell ref="A26:F26"/>
    <mergeCell ref="A16:B16"/>
    <mergeCell ref="A1:F1"/>
    <mergeCell ref="A32:E32"/>
  </mergeCells>
  <conditionalFormatting sqref="B24">
    <cfRule type="cellIs" priority="1" operator="equal" dxfId="0">
      <formula>1</formula>
    </cfRule>
    <cfRule type="cellIs" priority="2" operator="notEqual" dxfId="1">
      <formula>1</formula>
    </cfRule>
  </conditionalFormatting>
  <dataValidations count="3">
    <dataValidation sqref="B7" showDropDown="0" showInputMessage="0" showErrorMessage="0" allowBlank="0" type="list">
      <formula1>"Wholesale,Sell-through"</formula1>
    </dataValidation>
    <dataValidation sqref="B6" showDropDown="0" showInputMessage="0" showErrorMessage="0" allowBlank="0" type="list">
      <formula1>"52,53"</formula1>
    </dataValidation>
    <dataValidation sqref="B34:B43" showDropDown="0" showInputMessage="0" showErrorMessage="0" allowBlank="1" type="list">
      <formula1>"4-pack,12-pack"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8" customWidth="1" min="9" max="9"/>
    <col width="10" customWidth="1" min="10" max="10"/>
    <col width="8" customWidth="1" min="12" max="12"/>
    <col width="10" customWidth="1" min="13" max="13"/>
  </cols>
  <sheetData>
    <row r="1" ht="22" customHeight="1">
      <c r="A1" s="1" t="inlineStr">
        <is>
          <t>MÜV RTD  •  Assumptions — Channels, Tiers, Geography, Seasonality</t>
        </is>
      </c>
      <c r="B1" s="2" t="n"/>
      <c r="C1" s="2" t="n"/>
      <c r="D1" s="2" t="n"/>
      <c r="E1" s="2" t="n"/>
      <c r="F1" s="2" t="n"/>
      <c r="G1" s="2" t="n"/>
    </row>
    <row r="2">
      <c r="A2" s="30" t="inlineStr">
        <is>
          <t>SEED PLACEHOLDERS (illustrative). Yellow = inputs. Replace with real numbers later.</t>
        </is>
      </c>
    </row>
    <row r="4" ht="22" customHeight="1">
      <c r="A4" s="1" t="inlineStr">
        <is>
          <t>Channels  (add a channel = add a row; logic is generic — no new code needed)</t>
        </is>
      </c>
      <c r="B4" s="2" t="n"/>
      <c r="C4" s="2" t="n"/>
      <c r="D4" s="2" t="n"/>
      <c r="E4" s="2" t="n"/>
      <c r="F4" s="2" t="n"/>
      <c r="G4" s="2" t="n"/>
      <c r="I4" s="1" t="inlineStr">
        <is>
          <t>Seasonality  (53 weekly indices, summer-peaked, average ≈ 1.0)</t>
        </is>
      </c>
      <c r="J4" s="2" t="n"/>
      <c r="L4" s="1" t="inlineStr">
        <is>
          <t>Online 12-pack units/week  (ramps 50 → 600)</t>
        </is>
      </c>
      <c r="M4" s="2" t="n"/>
    </row>
    <row r="5">
      <c r="A5" s="4" t="inlineStr">
        <is>
          <t>Channel</t>
        </is>
      </c>
      <c r="B5" s="4" t="inlineStr">
        <is>
          <t>Format</t>
        </is>
      </c>
      <c r="C5" s="4" t="inlineStr">
        <is>
          <t>Launch wk</t>
        </is>
      </c>
      <c r="D5" s="4" t="inlineStr">
        <is>
          <t>Weeks to full</t>
        </is>
      </c>
      <c r="E5" s="4" t="inlineStr">
        <is>
          <t>Ramp shape</t>
        </is>
      </c>
      <c r="F5" s="4" t="inlineStr">
        <is>
          <t>Base CP/case</t>
        </is>
      </c>
      <c r="G5" s="4" t="inlineStr">
        <is>
          <t>Doors×Vel (auto)</t>
        </is>
      </c>
      <c r="I5" s="4" t="inlineStr">
        <is>
          <t>Week</t>
        </is>
      </c>
      <c r="J5" s="4" t="inlineStr">
        <is>
          <t>Index</t>
        </is>
      </c>
      <c r="L5" s="4" t="inlineStr">
        <is>
          <t>Week</t>
        </is>
      </c>
      <c r="M5" s="4" t="inlineStr">
        <is>
          <t>Units/wk</t>
        </is>
      </c>
    </row>
    <row r="6">
      <c r="A6" s="14" t="inlineStr">
        <is>
          <t>Convenience</t>
        </is>
      </c>
      <c r="B6" s="14" t="inlineStr">
        <is>
          <t>4-pack</t>
        </is>
      </c>
      <c r="C6" s="21" t="n">
        <v>3</v>
      </c>
      <c r="D6" s="21" t="n">
        <v>16</v>
      </c>
      <c r="E6" s="14" t="inlineStr">
        <is>
          <t>S-curve</t>
        </is>
      </c>
      <c r="F6" s="24" t="n">
        <v>30</v>
      </c>
      <c r="G6" s="31">
        <f>SUMIF(TierChannel,A6,TierDoorVel)</f>
        <v/>
      </c>
      <c r="I6" s="32" t="n">
        <v>1</v>
      </c>
      <c r="J6" s="25" t="n">
        <v>1.0312</v>
      </c>
      <c r="L6" s="32" t="n">
        <v>1</v>
      </c>
      <c r="M6" s="21" t="n">
        <v>50</v>
      </c>
    </row>
    <row r="7">
      <c r="A7" s="14" t="inlineStr">
        <is>
          <t>On Premise</t>
        </is>
      </c>
      <c r="B7" s="14" t="inlineStr">
        <is>
          <t>4-pack</t>
        </is>
      </c>
      <c r="C7" s="21" t="n">
        <v>5</v>
      </c>
      <c r="D7" s="21" t="n">
        <v>18</v>
      </c>
      <c r="E7" s="14" t="inlineStr">
        <is>
          <t>S-curve</t>
        </is>
      </c>
      <c r="F7" s="24" t="n">
        <v>32</v>
      </c>
      <c r="G7" s="31">
        <f>SUMIF(TierChannel,A7,TierDoorVel)</f>
        <v/>
      </c>
      <c r="I7" s="32" t="n">
        <v>2</v>
      </c>
      <c r="J7" s="25" t="n">
        <v>1.0312</v>
      </c>
      <c r="L7" s="32" t="n">
        <v>2</v>
      </c>
      <c r="M7" s="21" t="n">
        <v>60.8</v>
      </c>
    </row>
    <row r="8">
      <c r="A8" s="14" t="inlineStr">
        <is>
          <t>Fitness</t>
        </is>
      </c>
      <c r="B8" s="14" t="inlineStr">
        <is>
          <t>4-pack</t>
        </is>
      </c>
      <c r="C8" s="21" t="n">
        <v>4</v>
      </c>
      <c r="D8" s="21" t="n">
        <v>14</v>
      </c>
      <c r="E8" s="14" t="inlineStr">
        <is>
          <t>Linear</t>
        </is>
      </c>
      <c r="F8" s="24" t="n">
        <v>30</v>
      </c>
      <c r="G8" s="31">
        <f>SUMIF(TierChannel,A8,TierDoorVel)</f>
        <v/>
      </c>
      <c r="I8" s="32" t="n">
        <v>3</v>
      </c>
      <c r="J8" s="25" t="n">
        <v>1.0312</v>
      </c>
      <c r="L8" s="32" t="n">
        <v>3</v>
      </c>
      <c r="M8" s="21" t="n">
        <v>71.59999999999999</v>
      </c>
    </row>
    <row r="9">
      <c r="A9" s="14" t="inlineStr">
        <is>
          <t>Costco</t>
        </is>
      </c>
      <c r="B9" s="14" t="inlineStr">
        <is>
          <t>4-pack</t>
        </is>
      </c>
      <c r="C9" s="21" t="n">
        <v>6</v>
      </c>
      <c r="D9" s="21" t="n">
        <v>12</v>
      </c>
      <c r="E9" s="14" t="inlineStr">
        <is>
          <t>Linear</t>
        </is>
      </c>
      <c r="F9" s="24" t="n">
        <v>26</v>
      </c>
      <c r="G9" s="31">
        <f>SUMIF(TierChannel,A9,TierDoorVel)</f>
        <v/>
      </c>
      <c r="I9" s="32" t="n">
        <v>4</v>
      </c>
      <c r="J9" s="25" t="n">
        <v>1.0312</v>
      </c>
      <c r="L9" s="32" t="n">
        <v>4</v>
      </c>
      <c r="M9" s="21" t="n">
        <v>82.40000000000001</v>
      </c>
    </row>
    <row r="10">
      <c r="A10" s="14" t="inlineStr">
        <is>
          <t>FDM</t>
        </is>
      </c>
      <c r="B10" s="14" t="inlineStr">
        <is>
          <t>4-pack</t>
        </is>
      </c>
      <c r="C10" s="21" t="n">
        <v>8</v>
      </c>
      <c r="D10" s="21" t="n">
        <v>20</v>
      </c>
      <c r="E10" s="14" t="inlineStr">
        <is>
          <t>S-curve</t>
        </is>
      </c>
      <c r="F10" s="24" t="n">
        <v>28</v>
      </c>
      <c r="G10" s="31">
        <f>SUMIF(TierChannel,A10,TierDoorVel)</f>
        <v/>
      </c>
      <c r="I10" s="32" t="n">
        <v>5</v>
      </c>
      <c r="J10" s="25" t="n">
        <v>1.0312</v>
      </c>
      <c r="L10" s="32" t="n">
        <v>5</v>
      </c>
      <c r="M10" s="21" t="n">
        <v>93.09999999999999</v>
      </c>
    </row>
    <row r="11">
      <c r="A11" s="14" t="inlineStr">
        <is>
          <t>Specialty</t>
        </is>
      </c>
      <c r="B11" s="14" t="inlineStr">
        <is>
          <t>4-pack</t>
        </is>
      </c>
      <c r="C11" s="21" t="n">
        <v>2</v>
      </c>
      <c r="D11" s="21" t="n">
        <v>14</v>
      </c>
      <c r="E11" s="14" t="inlineStr">
        <is>
          <t>Linear</t>
        </is>
      </c>
      <c r="F11" s="24" t="n">
        <v>30</v>
      </c>
      <c r="G11" s="31">
        <f>SUMIF(TierChannel,A11,TierDoorVel)</f>
        <v/>
      </c>
      <c r="I11" s="32" t="n">
        <v>6</v>
      </c>
      <c r="J11" s="25" t="n">
        <v>0.9330000000000001</v>
      </c>
      <c r="L11" s="32" t="n">
        <v>6</v>
      </c>
      <c r="M11" s="21" t="n">
        <v>103.9</v>
      </c>
    </row>
    <row r="12">
      <c r="A12" s="14" t="inlineStr">
        <is>
          <t>Online</t>
        </is>
      </c>
      <c r="B12" s="14" t="inlineStr">
        <is>
          <t>12-pack</t>
        </is>
      </c>
      <c r="C12" s="21" t="n">
        <v>1</v>
      </c>
      <c r="D12" s="21" t="n">
        <v>1</v>
      </c>
      <c r="E12" s="14" t="inlineStr">
        <is>
          <t>Linear</t>
        </is>
      </c>
      <c r="F12" s="33" t="n"/>
      <c r="G12" s="31">
        <f>SUMIF(TierChannel,A12,TierDoorVel)</f>
        <v/>
      </c>
      <c r="I12" s="32" t="n">
        <v>7</v>
      </c>
      <c r="J12" s="25" t="n">
        <v>0.9330000000000001</v>
      </c>
      <c r="L12" s="32" t="n">
        <v>7</v>
      </c>
      <c r="M12" s="21" t="n">
        <v>114.7</v>
      </c>
    </row>
    <row r="13">
      <c r="A13" s="16" t="n"/>
      <c r="B13" s="16" t="n"/>
      <c r="C13" s="34" t="n"/>
      <c r="D13" s="34" t="n"/>
      <c r="E13" s="16" t="n"/>
      <c r="F13" s="27" t="n"/>
      <c r="G13" s="35" t="n"/>
      <c r="I13" s="32" t="n">
        <v>8</v>
      </c>
      <c r="J13" s="25" t="n">
        <v>0.9330000000000001</v>
      </c>
      <c r="L13" s="32" t="n">
        <v>8</v>
      </c>
      <c r="M13" s="21" t="n">
        <v>125.5</v>
      </c>
    </row>
    <row r="14">
      <c r="A14" s="16" t="n"/>
      <c r="B14" s="16" t="n"/>
      <c r="C14" s="34" t="n"/>
      <c r="D14" s="34" t="n"/>
      <c r="E14" s="16" t="n"/>
      <c r="F14" s="27" t="n"/>
      <c r="G14" s="35" t="n"/>
      <c r="I14" s="32" t="n">
        <v>9</v>
      </c>
      <c r="J14" s="25" t="n">
        <v>0.9330000000000001</v>
      </c>
      <c r="L14" s="32" t="n">
        <v>9</v>
      </c>
      <c r="M14" s="21" t="n">
        <v>136.3</v>
      </c>
    </row>
    <row r="15">
      <c r="A15" s="16" t="n"/>
      <c r="B15" s="16" t="n"/>
      <c r="C15" s="34" t="n"/>
      <c r="D15" s="34" t="n"/>
      <c r="E15" s="16" t="n"/>
      <c r="F15" s="27" t="n"/>
      <c r="G15" s="35" t="n"/>
      <c r="I15" s="32" t="n">
        <v>10</v>
      </c>
      <c r="J15" s="25" t="n">
        <v>0.8347</v>
      </c>
      <c r="L15" s="32" t="n">
        <v>10</v>
      </c>
      <c r="M15" s="21" t="n">
        <v>147.1</v>
      </c>
    </row>
    <row r="16">
      <c r="A16" s="16" t="n"/>
      <c r="B16" s="16" t="n"/>
      <c r="C16" s="34" t="n"/>
      <c r="D16" s="34" t="n"/>
      <c r="E16" s="16" t="n"/>
      <c r="F16" s="27" t="n"/>
      <c r="G16" s="35" t="n"/>
      <c r="I16" s="32" t="n">
        <v>11</v>
      </c>
      <c r="J16" s="25" t="n">
        <v>0.8347</v>
      </c>
      <c r="L16" s="32" t="n">
        <v>11</v>
      </c>
      <c r="M16" s="21" t="n">
        <v>157.8</v>
      </c>
    </row>
    <row r="17">
      <c r="A17" s="16" t="n"/>
      <c r="B17" s="16" t="n"/>
      <c r="C17" s="34" t="n"/>
      <c r="D17" s="34" t="n"/>
      <c r="E17" s="16" t="n"/>
      <c r="F17" s="27" t="n"/>
      <c r="G17" s="35" t="n"/>
      <c r="I17" s="32" t="n">
        <v>12</v>
      </c>
      <c r="J17" s="25" t="n">
        <v>0.8347</v>
      </c>
      <c r="L17" s="32" t="n">
        <v>12</v>
      </c>
      <c r="M17" s="21" t="n">
        <v>168.6</v>
      </c>
    </row>
    <row r="18">
      <c r="A18" s="18" t="inlineStr">
        <is>
          <t>Base CP = wholesale case price before province modifier. Online uses Online price (Geography) instead. Doors×Vel auto-rolls from Tiers.</t>
        </is>
      </c>
      <c r="I18" s="32" t="n">
        <v>13</v>
      </c>
      <c r="J18" s="25" t="n">
        <v>0.8347</v>
      </c>
      <c r="L18" s="32" t="n">
        <v>13</v>
      </c>
      <c r="M18" s="21" t="n">
        <v>179.4</v>
      </c>
    </row>
    <row r="19">
      <c r="I19" s="32" t="n">
        <v>14</v>
      </c>
      <c r="J19" s="25" t="n">
        <v>0.7856</v>
      </c>
      <c r="L19" s="32" t="n">
        <v>14</v>
      </c>
      <c r="M19" s="21" t="n">
        <v>190.2</v>
      </c>
    </row>
    <row r="20" ht="22" customHeight="1">
      <c r="A20" s="1" t="inlineStr">
        <is>
          <t>Store Tiers per physical channel  (add a tier = add a row; rolls up into the channel above)</t>
        </is>
      </c>
      <c r="B20" s="2" t="n"/>
      <c r="C20" s="2" t="n"/>
      <c r="D20" s="2" t="n"/>
      <c r="E20" s="2" t="n"/>
      <c r="F20" s="2" t="n"/>
      <c r="G20" s="2" t="n"/>
      <c r="I20" s="32" t="n">
        <v>15</v>
      </c>
      <c r="J20" s="25" t="n">
        <v>0.7856</v>
      </c>
      <c r="L20" s="32" t="n">
        <v>15</v>
      </c>
      <c r="M20" s="21" t="n">
        <v>201</v>
      </c>
    </row>
    <row r="21">
      <c r="A21" s="4" t="inlineStr">
        <is>
          <t>Channel</t>
        </is>
      </c>
      <c r="B21" s="4" t="inlineStr">
        <is>
          <t>Tier</t>
        </is>
      </c>
      <c r="C21" s="4" t="inlineStr">
        <is>
          <t>Doors @ full</t>
        </is>
      </c>
      <c r="D21" s="4" t="inlineStr">
        <is>
          <t>Velocity (cases/door/wk)</t>
        </is>
      </c>
      <c r="E21" s="4" t="inlineStr">
        <is>
          <t>Doors×Vel (auto)</t>
        </is>
      </c>
      <c r="F21" s="4" t="inlineStr">
        <is>
          <t>Cal. cases/wk (auto)</t>
        </is>
      </c>
      <c r="G21" s="4" t="inlineStr">
        <is>
          <t>% of channel (auto)</t>
        </is>
      </c>
      <c r="I21" s="32" t="n">
        <v>16</v>
      </c>
      <c r="J21" s="25" t="n">
        <v>0.7856</v>
      </c>
      <c r="L21" s="32" t="n">
        <v>16</v>
      </c>
      <c r="M21" s="21" t="n">
        <v>211.8</v>
      </c>
    </row>
    <row r="22">
      <c r="A22" s="14" t="inlineStr">
        <is>
          <t>Convenience</t>
        </is>
      </c>
      <c r="B22" s="14" t="inlineStr">
        <is>
          <t>A</t>
        </is>
      </c>
      <c r="C22" s="21" t="n">
        <v>300</v>
      </c>
      <c r="D22" s="36" t="n">
        <v>1.5</v>
      </c>
      <c r="E22" s="31">
        <f>IF(C22="","",C22*D22)</f>
        <v/>
      </c>
      <c r="F22" s="31">
        <f>IF(C22="","",E22*CalibScalar*(1+VelocityUplift))</f>
        <v/>
      </c>
      <c r="G22" s="26">
        <f>IFERROR(E22/SUMIF(TierChannel,A22,TierDoorVel),"")</f>
        <v/>
      </c>
      <c r="I22" s="32" t="n">
        <v>17</v>
      </c>
      <c r="J22" s="25" t="n">
        <v>0.7856</v>
      </c>
      <c r="L22" s="32" t="n">
        <v>17</v>
      </c>
      <c r="M22" s="21" t="n">
        <v>222.5</v>
      </c>
    </row>
    <row r="23">
      <c r="A23" s="14" t="inlineStr">
        <is>
          <t>Convenience</t>
        </is>
      </c>
      <c r="B23" s="14" t="inlineStr">
        <is>
          <t>B</t>
        </is>
      </c>
      <c r="C23" s="21" t="n">
        <v>600</v>
      </c>
      <c r="D23" s="36" t="n">
        <v>0.8</v>
      </c>
      <c r="E23" s="31">
        <f>IF(C23="","",C23*D23)</f>
        <v/>
      </c>
      <c r="F23" s="31">
        <f>IF(C23="","",E23*CalibScalar*(1+VelocityUplift))</f>
        <v/>
      </c>
      <c r="G23" s="26">
        <f>IFERROR(E23/SUMIF(TierChannel,A23,TierDoorVel),"")</f>
        <v/>
      </c>
      <c r="I23" s="32" t="n">
        <v>18</v>
      </c>
      <c r="J23" s="25" t="n">
        <v>0.7856</v>
      </c>
      <c r="L23" s="32" t="n">
        <v>18</v>
      </c>
      <c r="M23" s="21" t="n">
        <v>233.3</v>
      </c>
    </row>
    <row r="24">
      <c r="A24" s="14" t="inlineStr">
        <is>
          <t>Convenience</t>
        </is>
      </c>
      <c r="B24" s="14" t="inlineStr">
        <is>
          <t>C</t>
        </is>
      </c>
      <c r="C24" s="21" t="n">
        <v>1100</v>
      </c>
      <c r="D24" s="36" t="n">
        <v>0.4</v>
      </c>
      <c r="E24" s="31">
        <f>IF(C24="","",C24*D24)</f>
        <v/>
      </c>
      <c r="F24" s="31">
        <f>IF(C24="","",E24*CalibScalar*(1+VelocityUplift))</f>
        <v/>
      </c>
      <c r="G24" s="26">
        <f>IFERROR(E24/SUMIF(TierChannel,A24,TierDoorVel),"")</f>
        <v/>
      </c>
      <c r="I24" s="32" t="n">
        <v>19</v>
      </c>
      <c r="J24" s="25" t="n">
        <v>0.7856</v>
      </c>
      <c r="L24" s="32" t="n">
        <v>19</v>
      </c>
      <c r="M24" s="21" t="n">
        <v>244.1</v>
      </c>
    </row>
    <row r="25">
      <c r="A25" s="14" t="inlineStr">
        <is>
          <t>FDM</t>
        </is>
      </c>
      <c r="B25" s="14" t="inlineStr">
        <is>
          <t>A</t>
        </is>
      </c>
      <c r="C25" s="21" t="n">
        <v>150</v>
      </c>
      <c r="D25" s="36" t="n">
        <v>4</v>
      </c>
      <c r="E25" s="31">
        <f>IF(C25="","",C25*D25)</f>
        <v/>
      </c>
      <c r="F25" s="31">
        <f>IF(C25="","",E25*CalibScalar*(1+VelocityUplift))</f>
        <v/>
      </c>
      <c r="G25" s="26">
        <f>IFERROR(E25/SUMIF(TierChannel,A25,TierDoorVel),"")</f>
        <v/>
      </c>
      <c r="I25" s="32" t="n">
        <v>20</v>
      </c>
      <c r="J25" s="25" t="n">
        <v>0.7856</v>
      </c>
      <c r="L25" s="32" t="n">
        <v>20</v>
      </c>
      <c r="M25" s="21" t="n">
        <v>254.9</v>
      </c>
    </row>
    <row r="26">
      <c r="A26" s="14" t="inlineStr">
        <is>
          <t>FDM</t>
        </is>
      </c>
      <c r="B26" s="14" t="inlineStr">
        <is>
          <t>B</t>
        </is>
      </c>
      <c r="C26" s="21" t="n">
        <v>300</v>
      </c>
      <c r="D26" s="36" t="n">
        <v>2</v>
      </c>
      <c r="E26" s="31">
        <f>IF(C26="","",C26*D26)</f>
        <v/>
      </c>
      <c r="F26" s="31">
        <f>IF(C26="","",E26*CalibScalar*(1+VelocityUplift))</f>
        <v/>
      </c>
      <c r="G26" s="26">
        <f>IFERROR(E26/SUMIF(TierChannel,A26,TierDoorVel),"")</f>
        <v/>
      </c>
      <c r="I26" s="32" t="n">
        <v>21</v>
      </c>
      <c r="J26" s="25" t="n">
        <v>0.7856</v>
      </c>
      <c r="L26" s="32" t="n">
        <v>21</v>
      </c>
      <c r="M26" s="21" t="n">
        <v>265.7</v>
      </c>
    </row>
    <row r="27">
      <c r="A27" s="14" t="inlineStr">
        <is>
          <t>FDM</t>
        </is>
      </c>
      <c r="B27" s="14" t="inlineStr">
        <is>
          <t>C</t>
        </is>
      </c>
      <c r="C27" s="21" t="n">
        <v>550</v>
      </c>
      <c r="D27" s="36" t="n">
        <v>1</v>
      </c>
      <c r="E27" s="31">
        <f>IF(C27="","",C27*D27)</f>
        <v/>
      </c>
      <c r="F27" s="31">
        <f>IF(C27="","",E27*CalibScalar*(1+VelocityUplift))</f>
        <v/>
      </c>
      <c r="G27" s="26">
        <f>IFERROR(E27/SUMIF(TierChannel,A27,TierDoorVel),"")</f>
        <v/>
      </c>
      <c r="I27" s="32" t="n">
        <v>22</v>
      </c>
      <c r="J27" s="25" t="n">
        <v>0.7856</v>
      </c>
      <c r="L27" s="32" t="n">
        <v>22</v>
      </c>
      <c r="M27" s="21" t="n">
        <v>276.5</v>
      </c>
    </row>
    <row r="28">
      <c r="A28" s="14" t="inlineStr">
        <is>
          <t>Costco</t>
        </is>
      </c>
      <c r="B28" s="14" t="inlineStr">
        <is>
          <t>A</t>
        </is>
      </c>
      <c r="C28" s="21" t="n">
        <v>10</v>
      </c>
      <c r="D28" s="36" t="n">
        <v>60</v>
      </c>
      <c r="E28" s="31">
        <f>IF(C28="","",C28*D28)</f>
        <v/>
      </c>
      <c r="F28" s="31">
        <f>IF(C28="","",E28*CalibScalar*(1+VelocityUplift))</f>
        <v/>
      </c>
      <c r="G28" s="26">
        <f>IFERROR(E28/SUMIF(TierChannel,A28,TierDoorVel),"")</f>
        <v/>
      </c>
      <c r="I28" s="32" t="n">
        <v>23</v>
      </c>
      <c r="J28" s="25" t="n">
        <v>0.8347</v>
      </c>
      <c r="L28" s="32" t="n">
        <v>23</v>
      </c>
      <c r="M28" s="21" t="n">
        <v>287.3</v>
      </c>
    </row>
    <row r="29">
      <c r="A29" s="14" t="inlineStr">
        <is>
          <t>Costco</t>
        </is>
      </c>
      <c r="B29" s="14" t="inlineStr">
        <is>
          <t>B</t>
        </is>
      </c>
      <c r="C29" s="21" t="n">
        <v>8</v>
      </c>
      <c r="D29" s="36" t="n">
        <v>40</v>
      </c>
      <c r="E29" s="31">
        <f>IF(C29="","",C29*D29)</f>
        <v/>
      </c>
      <c r="F29" s="31">
        <f>IF(C29="","",E29*CalibScalar*(1+VelocityUplift))</f>
        <v/>
      </c>
      <c r="G29" s="26">
        <f>IFERROR(E29/SUMIF(TierChannel,A29,TierDoorVel),"")</f>
        <v/>
      </c>
      <c r="I29" s="32" t="n">
        <v>24</v>
      </c>
      <c r="J29" s="25" t="n">
        <v>0.8347</v>
      </c>
      <c r="L29" s="32" t="n">
        <v>24</v>
      </c>
      <c r="M29" s="21" t="n">
        <v>298</v>
      </c>
    </row>
    <row r="30">
      <c r="A30" s="14" t="inlineStr">
        <is>
          <t>Costco</t>
        </is>
      </c>
      <c r="B30" s="14" t="inlineStr">
        <is>
          <t>C</t>
        </is>
      </c>
      <c r="C30" s="21" t="n">
        <v>6</v>
      </c>
      <c r="D30" s="36" t="n">
        <v>25</v>
      </c>
      <c r="E30" s="31">
        <f>IF(C30="","",C30*D30)</f>
        <v/>
      </c>
      <c r="F30" s="31">
        <f>IF(C30="","",E30*CalibScalar*(1+VelocityUplift))</f>
        <v/>
      </c>
      <c r="G30" s="26">
        <f>IFERROR(E30/SUMIF(TierChannel,A30,TierDoorVel),"")</f>
        <v/>
      </c>
      <c r="I30" s="32" t="n">
        <v>25</v>
      </c>
      <c r="J30" s="25" t="n">
        <v>0.8347</v>
      </c>
      <c r="L30" s="32" t="n">
        <v>25</v>
      </c>
      <c r="M30" s="21" t="n">
        <v>308.8</v>
      </c>
    </row>
    <row r="31">
      <c r="A31" s="14" t="inlineStr">
        <is>
          <t>On Premise</t>
        </is>
      </c>
      <c r="B31" s="14" t="inlineStr">
        <is>
          <t>A</t>
        </is>
      </c>
      <c r="C31" s="21" t="n">
        <v>120</v>
      </c>
      <c r="D31" s="36" t="n">
        <v>1</v>
      </c>
      <c r="E31" s="31">
        <f>IF(C31="","",C31*D31)</f>
        <v/>
      </c>
      <c r="F31" s="31">
        <f>IF(C31="","",E31*CalibScalar*(1+VelocityUplift))</f>
        <v/>
      </c>
      <c r="G31" s="26">
        <f>IFERROR(E31/SUMIF(TierChannel,A31,TierDoorVel),"")</f>
        <v/>
      </c>
      <c r="I31" s="32" t="n">
        <v>26</v>
      </c>
      <c r="J31" s="25" t="n">
        <v>0.8347</v>
      </c>
      <c r="L31" s="32" t="n">
        <v>26</v>
      </c>
      <c r="M31" s="21" t="n">
        <v>319.6</v>
      </c>
    </row>
    <row r="32">
      <c r="A32" s="14" t="inlineStr">
        <is>
          <t>On Premise</t>
        </is>
      </c>
      <c r="B32" s="14" t="inlineStr">
        <is>
          <t>B</t>
        </is>
      </c>
      <c r="C32" s="21" t="n">
        <v>250</v>
      </c>
      <c r="D32" s="36" t="n">
        <v>0.6</v>
      </c>
      <c r="E32" s="31">
        <f>IF(C32="","",C32*D32)</f>
        <v/>
      </c>
      <c r="F32" s="31">
        <f>IF(C32="","",E32*CalibScalar*(1+VelocityUplift))</f>
        <v/>
      </c>
      <c r="G32" s="26">
        <f>IFERROR(E32/SUMIF(TierChannel,A32,TierDoorVel),"")</f>
        <v/>
      </c>
      <c r="I32" s="32" t="n">
        <v>27</v>
      </c>
      <c r="J32" s="25" t="n">
        <v>0.9330000000000001</v>
      </c>
      <c r="L32" s="32" t="n">
        <v>27</v>
      </c>
      <c r="M32" s="21" t="n">
        <v>330.4</v>
      </c>
    </row>
    <row r="33">
      <c r="A33" s="14" t="inlineStr">
        <is>
          <t>On Premise</t>
        </is>
      </c>
      <c r="B33" s="14" t="inlineStr">
        <is>
          <t>C</t>
        </is>
      </c>
      <c r="C33" s="21" t="n">
        <v>400</v>
      </c>
      <c r="D33" s="36" t="n">
        <v>0.3</v>
      </c>
      <c r="E33" s="31">
        <f>IF(C33="","",C33*D33)</f>
        <v/>
      </c>
      <c r="F33" s="31">
        <f>IF(C33="","",E33*CalibScalar*(1+VelocityUplift))</f>
        <v/>
      </c>
      <c r="G33" s="26">
        <f>IFERROR(E33/SUMIF(TierChannel,A33,TierDoorVel),"")</f>
        <v/>
      </c>
      <c r="I33" s="32" t="n">
        <v>28</v>
      </c>
      <c r="J33" s="25" t="n">
        <v>0.9330000000000001</v>
      </c>
      <c r="L33" s="32" t="n">
        <v>28</v>
      </c>
      <c r="M33" s="21" t="n">
        <v>341.2</v>
      </c>
    </row>
    <row r="34">
      <c r="A34" s="14" t="inlineStr">
        <is>
          <t>Fitness</t>
        </is>
      </c>
      <c r="B34" s="14" t="inlineStr">
        <is>
          <t>A</t>
        </is>
      </c>
      <c r="C34" s="21" t="n">
        <v>100</v>
      </c>
      <c r="D34" s="36" t="n">
        <v>1.2</v>
      </c>
      <c r="E34" s="31">
        <f>IF(C34="","",C34*D34)</f>
        <v/>
      </c>
      <c r="F34" s="31">
        <f>IF(C34="","",E34*CalibScalar*(1+VelocityUplift))</f>
        <v/>
      </c>
      <c r="G34" s="26">
        <f>IFERROR(E34/SUMIF(TierChannel,A34,TierDoorVel),"")</f>
        <v/>
      </c>
      <c r="I34" s="32" t="n">
        <v>29</v>
      </c>
      <c r="J34" s="25" t="n">
        <v>0.9330000000000001</v>
      </c>
      <c r="L34" s="32" t="n">
        <v>29</v>
      </c>
      <c r="M34" s="21" t="n">
        <v>352</v>
      </c>
    </row>
    <row r="35">
      <c r="A35" s="14" t="inlineStr">
        <is>
          <t>Fitness</t>
        </is>
      </c>
      <c r="B35" s="14" t="inlineStr">
        <is>
          <t>B</t>
        </is>
      </c>
      <c r="C35" s="21" t="n">
        <v>200</v>
      </c>
      <c r="D35" s="36" t="n">
        <v>0.7</v>
      </c>
      <c r="E35" s="31">
        <f>IF(C35="","",C35*D35)</f>
        <v/>
      </c>
      <c r="F35" s="31">
        <f>IF(C35="","",E35*CalibScalar*(1+VelocityUplift))</f>
        <v/>
      </c>
      <c r="G35" s="26">
        <f>IFERROR(E35/SUMIF(TierChannel,A35,TierDoorVel),"")</f>
        <v/>
      </c>
      <c r="I35" s="32" t="n">
        <v>30</v>
      </c>
      <c r="J35" s="25" t="n">
        <v>0.9330000000000001</v>
      </c>
      <c r="L35" s="32" t="n">
        <v>30</v>
      </c>
      <c r="M35" s="21" t="n">
        <v>362.7</v>
      </c>
    </row>
    <row r="36">
      <c r="A36" s="14" t="inlineStr">
        <is>
          <t>Fitness</t>
        </is>
      </c>
      <c r="B36" s="14" t="inlineStr">
        <is>
          <t>C</t>
        </is>
      </c>
      <c r="C36" s="21" t="n">
        <v>350</v>
      </c>
      <c r="D36" s="36" t="n">
        <v>0.35</v>
      </c>
      <c r="E36" s="31">
        <f>IF(C36="","",C36*D36)</f>
        <v/>
      </c>
      <c r="F36" s="31">
        <f>IF(C36="","",E36*CalibScalar*(1+VelocityUplift))</f>
        <v/>
      </c>
      <c r="G36" s="26">
        <f>IFERROR(E36/SUMIF(TierChannel,A36,TierDoorVel),"")</f>
        <v/>
      </c>
      <c r="I36" s="32" t="n">
        <v>31</v>
      </c>
      <c r="J36" s="25" t="n">
        <v>0.9330000000000001</v>
      </c>
      <c r="L36" s="32" t="n">
        <v>31</v>
      </c>
      <c r="M36" s="21" t="n">
        <v>373.5</v>
      </c>
    </row>
    <row r="37">
      <c r="A37" s="14" t="inlineStr">
        <is>
          <t>Specialty</t>
        </is>
      </c>
      <c r="B37" s="14" t="inlineStr">
        <is>
          <t>A</t>
        </is>
      </c>
      <c r="C37" s="21" t="n">
        <v>150</v>
      </c>
      <c r="D37" s="36" t="n">
        <v>1</v>
      </c>
      <c r="E37" s="31">
        <f>IF(C37="","",C37*D37)</f>
        <v/>
      </c>
      <c r="F37" s="31">
        <f>IF(C37="","",E37*CalibScalar*(1+VelocityUplift))</f>
        <v/>
      </c>
      <c r="G37" s="26">
        <f>IFERROR(E37/SUMIF(TierChannel,A37,TierDoorVel),"")</f>
        <v/>
      </c>
      <c r="I37" s="32" t="n">
        <v>32</v>
      </c>
      <c r="J37" s="25" t="n">
        <v>1.0312</v>
      </c>
      <c r="L37" s="32" t="n">
        <v>32</v>
      </c>
      <c r="M37" s="21" t="n">
        <v>384.3</v>
      </c>
    </row>
    <row r="38">
      <c r="A38" s="14" t="inlineStr">
        <is>
          <t>Specialty</t>
        </is>
      </c>
      <c r="B38" s="14" t="inlineStr">
        <is>
          <t>B</t>
        </is>
      </c>
      <c r="C38" s="21" t="n">
        <v>300</v>
      </c>
      <c r="D38" s="36" t="n">
        <v>0.6</v>
      </c>
      <c r="E38" s="31">
        <f>IF(C38="","",C38*D38)</f>
        <v/>
      </c>
      <c r="F38" s="31">
        <f>IF(C38="","",E38*CalibScalar*(1+VelocityUplift))</f>
        <v/>
      </c>
      <c r="G38" s="26">
        <f>IFERROR(E38/SUMIF(TierChannel,A38,TierDoorVel),"")</f>
        <v/>
      </c>
      <c r="I38" s="32" t="n">
        <v>33</v>
      </c>
      <c r="J38" s="25" t="n">
        <v>1.0312</v>
      </c>
      <c r="L38" s="32" t="n">
        <v>33</v>
      </c>
      <c r="M38" s="21" t="n">
        <v>395.1</v>
      </c>
    </row>
    <row r="39">
      <c r="A39" s="14" t="inlineStr">
        <is>
          <t>Specialty</t>
        </is>
      </c>
      <c r="B39" s="14" t="inlineStr">
        <is>
          <t>C</t>
        </is>
      </c>
      <c r="C39" s="21" t="n">
        <v>500</v>
      </c>
      <c r="D39" s="36" t="n">
        <v>0.3</v>
      </c>
      <c r="E39" s="31">
        <f>IF(C39="","",C39*D39)</f>
        <v/>
      </c>
      <c r="F39" s="31">
        <f>IF(C39="","",E39*CalibScalar*(1+VelocityUplift))</f>
        <v/>
      </c>
      <c r="G39" s="26">
        <f>IFERROR(E39/SUMIF(TierChannel,A39,TierDoorVel),"")</f>
        <v/>
      </c>
      <c r="I39" s="32" t="n">
        <v>34</v>
      </c>
      <c r="J39" s="25" t="n">
        <v>1.0312</v>
      </c>
      <c r="L39" s="32" t="n">
        <v>34</v>
      </c>
      <c r="M39" s="21" t="n">
        <v>405.9</v>
      </c>
    </row>
    <row r="40">
      <c r="A40" s="16" t="n"/>
      <c r="B40" s="16" t="n"/>
      <c r="C40" s="34" t="n"/>
      <c r="D40" s="37" t="n"/>
      <c r="E40" s="35" t="n"/>
      <c r="F40" s="35" t="n"/>
      <c r="G40" s="29" t="n"/>
      <c r="I40" s="32" t="n">
        <v>35</v>
      </c>
      <c r="J40" s="25" t="n">
        <v>1.0312</v>
      </c>
      <c r="L40" s="32" t="n">
        <v>35</v>
      </c>
      <c r="M40" s="21" t="n">
        <v>416.7</v>
      </c>
    </row>
    <row r="41">
      <c r="A41" s="16" t="n"/>
      <c r="B41" s="16" t="n"/>
      <c r="C41" s="34" t="n"/>
      <c r="D41" s="37" t="n"/>
      <c r="E41" s="35" t="n"/>
      <c r="F41" s="35" t="n"/>
      <c r="G41" s="29" t="n"/>
      <c r="I41" s="32" t="n">
        <v>36</v>
      </c>
      <c r="J41" s="25" t="n">
        <v>1.1294</v>
      </c>
      <c r="L41" s="32" t="n">
        <v>36</v>
      </c>
      <c r="M41" s="21" t="n">
        <v>427.5</v>
      </c>
    </row>
    <row r="42">
      <c r="A42" s="16" t="n"/>
      <c r="B42" s="16" t="n"/>
      <c r="C42" s="34" t="n"/>
      <c r="D42" s="37" t="n"/>
      <c r="E42" s="35" t="n"/>
      <c r="F42" s="35" t="n"/>
      <c r="G42" s="29" t="n"/>
      <c r="I42" s="32" t="n">
        <v>37</v>
      </c>
      <c r="J42" s="25" t="n">
        <v>1.1294</v>
      </c>
      <c r="L42" s="32" t="n">
        <v>37</v>
      </c>
      <c r="M42" s="21" t="n">
        <v>438.2</v>
      </c>
    </row>
    <row r="43">
      <c r="A43" s="16" t="n"/>
      <c r="B43" s="16" t="n"/>
      <c r="C43" s="34" t="n"/>
      <c r="D43" s="37" t="n"/>
      <c r="E43" s="35" t="n"/>
      <c r="F43" s="35" t="n"/>
      <c r="G43" s="29" t="n"/>
      <c r="I43" s="32" t="n">
        <v>38</v>
      </c>
      <c r="J43" s="25" t="n">
        <v>1.1294</v>
      </c>
      <c r="L43" s="32" t="n">
        <v>38</v>
      </c>
      <c r="M43" s="21" t="n">
        <v>449</v>
      </c>
    </row>
    <row r="44">
      <c r="A44" s="16" t="n"/>
      <c r="B44" s="16" t="n"/>
      <c r="C44" s="34" t="n"/>
      <c r="D44" s="37" t="n"/>
      <c r="E44" s="35" t="n"/>
      <c r="F44" s="35" t="n"/>
      <c r="G44" s="29" t="n"/>
      <c r="I44" s="32" t="n">
        <v>39</v>
      </c>
      <c r="J44" s="25" t="n">
        <v>1.1294</v>
      </c>
      <c r="L44" s="32" t="n">
        <v>39</v>
      </c>
      <c r="M44" s="21" t="n">
        <v>459.8</v>
      </c>
    </row>
    <row r="45">
      <c r="A45" s="16" t="n"/>
      <c r="B45" s="16" t="n"/>
      <c r="C45" s="34" t="n"/>
      <c r="D45" s="37" t="n"/>
      <c r="E45" s="35" t="n"/>
      <c r="F45" s="35" t="n"/>
      <c r="G45" s="29" t="n"/>
      <c r="I45" s="32" t="n">
        <v>40</v>
      </c>
      <c r="J45" s="25" t="n">
        <v>1.1294</v>
      </c>
      <c r="L45" s="32" t="n">
        <v>40</v>
      </c>
      <c r="M45" s="21" t="n">
        <v>470.6</v>
      </c>
    </row>
    <row r="46">
      <c r="A46" s="16" t="n"/>
      <c r="B46" s="16" t="n"/>
      <c r="C46" s="34" t="n"/>
      <c r="D46" s="37" t="n"/>
      <c r="E46" s="35" t="n"/>
      <c r="F46" s="35" t="n"/>
      <c r="G46" s="29" t="n"/>
      <c r="I46" s="32" t="n">
        <v>41</v>
      </c>
      <c r="J46" s="25" t="n">
        <v>1.2276</v>
      </c>
      <c r="L46" s="32" t="n">
        <v>41</v>
      </c>
      <c r="M46" s="21" t="n">
        <v>481.4</v>
      </c>
    </row>
    <row r="47">
      <c r="A47" s="16" t="n"/>
      <c r="B47" s="16" t="n"/>
      <c r="C47" s="34" t="n"/>
      <c r="D47" s="37" t="n"/>
      <c r="E47" s="35" t="n"/>
      <c r="F47" s="35" t="n"/>
      <c r="G47" s="29" t="n"/>
      <c r="I47" s="32" t="n">
        <v>42</v>
      </c>
      <c r="J47" s="25" t="n">
        <v>1.2276</v>
      </c>
      <c r="L47" s="32" t="n">
        <v>42</v>
      </c>
      <c r="M47" s="21" t="n">
        <v>492.2</v>
      </c>
    </row>
    <row r="48">
      <c r="A48" s="18" t="inlineStr">
        <is>
          <t>1 case = 24 cans. Base velocity unit = cases per door per week. Higher tiers sell faster.</t>
        </is>
      </c>
      <c r="I48" s="32" t="n">
        <v>43</v>
      </c>
      <c r="J48" s="25" t="n">
        <v>1.2276</v>
      </c>
      <c r="L48" s="32" t="n">
        <v>43</v>
      </c>
      <c r="M48" s="21" t="n">
        <v>502.9</v>
      </c>
    </row>
    <row r="49">
      <c r="I49" s="32" t="n">
        <v>44</v>
      </c>
      <c r="J49" s="25" t="n">
        <v>1.2276</v>
      </c>
      <c r="L49" s="32" t="n">
        <v>44</v>
      </c>
      <c r="M49" s="21" t="n">
        <v>513.7</v>
      </c>
    </row>
    <row r="50" ht="22" customHeight="1">
      <c r="A50" s="1" t="inlineStr">
        <is>
          <t>Geography — Provinces  (add a province/territory = add a row)</t>
        </is>
      </c>
      <c r="B50" s="2" t="n"/>
      <c r="C50" s="2" t="n"/>
      <c r="D50" s="2" t="n"/>
      <c r="I50" s="32" t="n">
        <v>45</v>
      </c>
      <c r="J50" s="25" t="n">
        <v>1.2767</v>
      </c>
      <c r="L50" s="32" t="n">
        <v>45</v>
      </c>
      <c r="M50" s="21" t="n">
        <v>524.5</v>
      </c>
    </row>
    <row r="51">
      <c r="A51" s="4" t="inlineStr">
        <is>
          <t>Province</t>
        </is>
      </c>
      <c r="B51" s="4" t="inlineStr">
        <is>
          <t>Price modifier</t>
        </is>
      </c>
      <c r="C51" s="4" t="inlineStr">
        <is>
          <t>Retail SRP / 4-pack</t>
        </is>
      </c>
      <c r="D51" s="4" t="inlineStr">
        <is>
          <t>Online price / 12-pack</t>
        </is>
      </c>
      <c r="I51" s="32" t="n">
        <v>46</v>
      </c>
      <c r="J51" s="25" t="n">
        <v>1.2767</v>
      </c>
      <c r="L51" s="32" t="n">
        <v>46</v>
      </c>
      <c r="M51" s="21" t="n">
        <v>535.3</v>
      </c>
    </row>
    <row r="52">
      <c r="A52" s="14" t="inlineStr">
        <is>
          <t>BC</t>
        </is>
      </c>
      <c r="B52" s="15" t="n">
        <v>0.03</v>
      </c>
      <c r="C52" s="24" t="n">
        <v>12.99</v>
      </c>
      <c r="D52" s="24" t="n">
        <v>34.99</v>
      </c>
      <c r="I52" s="32" t="n">
        <v>47</v>
      </c>
      <c r="J52" s="25" t="n">
        <v>1.2767</v>
      </c>
      <c r="L52" s="32" t="n">
        <v>47</v>
      </c>
      <c r="M52" s="21" t="n">
        <v>546.1</v>
      </c>
    </row>
    <row r="53">
      <c r="A53" s="14" t="inlineStr">
        <is>
          <t>AB</t>
        </is>
      </c>
      <c r="B53" s="15" t="n">
        <v>0.02</v>
      </c>
      <c r="C53" s="24" t="n">
        <v>11.99</v>
      </c>
      <c r="D53" s="24" t="n">
        <v>34.99</v>
      </c>
      <c r="I53" s="32" t="n">
        <v>48</v>
      </c>
      <c r="J53" s="25" t="n">
        <v>1.2767</v>
      </c>
      <c r="L53" s="32" t="n">
        <v>48</v>
      </c>
      <c r="M53" s="21" t="n">
        <v>556.9</v>
      </c>
    </row>
    <row r="54">
      <c r="A54" s="14" t="inlineStr">
        <is>
          <t>SK</t>
        </is>
      </c>
      <c r="B54" s="15" t="n">
        <v>0</v>
      </c>
      <c r="C54" s="24" t="n">
        <v>10.99</v>
      </c>
      <c r="D54" s="24" t="n">
        <v>34.99</v>
      </c>
      <c r="I54" s="32" t="n">
        <v>49</v>
      </c>
      <c r="J54" s="25" t="n">
        <v>1.2276</v>
      </c>
      <c r="L54" s="32" t="n">
        <v>49</v>
      </c>
      <c r="M54" s="21" t="n">
        <v>567.6</v>
      </c>
    </row>
    <row r="55">
      <c r="A55" s="14" t="inlineStr">
        <is>
          <t>MB</t>
        </is>
      </c>
      <c r="B55" s="15" t="n">
        <v>0</v>
      </c>
      <c r="C55" s="24" t="n">
        <v>10.99</v>
      </c>
      <c r="D55" s="24" t="n">
        <v>34.99</v>
      </c>
      <c r="I55" s="32" t="n">
        <v>50</v>
      </c>
      <c r="J55" s="25" t="n">
        <v>1.2276</v>
      </c>
      <c r="L55" s="32" t="n">
        <v>50</v>
      </c>
      <c r="M55" s="21" t="n">
        <v>578.4</v>
      </c>
    </row>
    <row r="56">
      <c r="A56" s="14" t="inlineStr">
        <is>
          <t>ON</t>
        </is>
      </c>
      <c r="B56" s="15" t="n">
        <v>0.02</v>
      </c>
      <c r="C56" s="24" t="n">
        <v>12.49</v>
      </c>
      <c r="D56" s="24" t="n">
        <v>34.99</v>
      </c>
      <c r="I56" s="32" t="n">
        <v>51</v>
      </c>
      <c r="J56" s="25" t="n">
        <v>1.2276</v>
      </c>
      <c r="L56" s="32" t="n">
        <v>51</v>
      </c>
      <c r="M56" s="21" t="n">
        <v>589.2</v>
      </c>
    </row>
    <row r="57">
      <c r="A57" s="14" t="inlineStr">
        <is>
          <t>QC</t>
        </is>
      </c>
      <c r="B57" s="15" t="n">
        <v>0.01</v>
      </c>
      <c r="C57" s="24" t="n">
        <v>11.99</v>
      </c>
      <c r="D57" s="24" t="n">
        <v>34.99</v>
      </c>
      <c r="I57" s="32" t="n">
        <v>52</v>
      </c>
      <c r="J57" s="25" t="n">
        <v>1.2276</v>
      </c>
      <c r="L57" s="32" t="n">
        <v>52</v>
      </c>
      <c r="M57" s="21" t="n">
        <v>600</v>
      </c>
    </row>
    <row r="58">
      <c r="A58" s="14" t="inlineStr">
        <is>
          <t>NB</t>
        </is>
      </c>
      <c r="B58" s="15" t="n">
        <v>-0.02</v>
      </c>
      <c r="C58" s="24" t="n">
        <v>10.49</v>
      </c>
      <c r="D58" s="24" t="n">
        <v>34.99</v>
      </c>
      <c r="I58" s="32" t="n">
        <v>53</v>
      </c>
      <c r="J58" s="25" t="n">
        <v>1.2276</v>
      </c>
      <c r="L58" s="32" t="n">
        <v>53</v>
      </c>
      <c r="M58" s="21" t="n">
        <v>600</v>
      </c>
    </row>
    <row r="59">
      <c r="A59" s="14" t="inlineStr">
        <is>
          <t>NS</t>
        </is>
      </c>
      <c r="B59" s="15" t="n">
        <v>-0.02</v>
      </c>
      <c r="C59" s="24" t="n">
        <v>10.49</v>
      </c>
      <c r="D59" s="24" t="n">
        <v>34.99</v>
      </c>
      <c r="I59" s="18" t="inlineStr">
        <is>
          <t>Index 1.0 = average week. Engine applies (1+(idx-1)×amplitude).</t>
        </is>
      </c>
      <c r="L59" s="18" t="inlineStr">
        <is>
          <t>Total 12-packs ordered online per week (before province split, growth, seasonality).</t>
        </is>
      </c>
    </row>
    <row r="60">
      <c r="A60" s="14" t="inlineStr">
        <is>
          <t>PE</t>
        </is>
      </c>
      <c r="B60" s="15" t="n">
        <v>-0.03</v>
      </c>
      <c r="C60" s="24" t="n">
        <v>9.99</v>
      </c>
      <c r="D60" s="24" t="n">
        <v>34.99</v>
      </c>
      <c r="I60" s="19" t="inlineStr">
        <is>
          <t>Avg (wk1-52):</t>
        </is>
      </c>
      <c r="J60" s="38">
        <f>AVERAGE(INDEX(SeasonIdx,1):INDEX(SeasonIdx,52))</f>
        <v/>
      </c>
    </row>
    <row r="61">
      <c r="A61" s="14" t="inlineStr">
        <is>
          <t>NL</t>
        </is>
      </c>
      <c r="B61" s="15" t="n">
        <v>-0.01</v>
      </c>
      <c r="C61" s="24" t="n">
        <v>10.99</v>
      </c>
      <c r="D61" s="24" t="n">
        <v>34.99</v>
      </c>
    </row>
    <row r="62">
      <c r="A62" s="16" t="n"/>
      <c r="B62" s="17" t="n"/>
      <c r="C62" s="27" t="n"/>
      <c r="D62" s="27" t="n"/>
    </row>
    <row r="63">
      <c r="A63" s="16" t="n"/>
      <c r="B63" s="17" t="n"/>
      <c r="C63" s="27" t="n"/>
      <c r="D63" s="27" t="n"/>
    </row>
    <row r="64">
      <c r="A64" s="16" t="n"/>
      <c r="B64" s="17" t="n"/>
      <c r="C64" s="27" t="n"/>
      <c r="D64" s="27" t="n"/>
    </row>
    <row r="65">
      <c r="A65" s="16" t="n"/>
      <c r="B65" s="17" t="n"/>
      <c r="C65" s="27" t="n"/>
      <c r="D65" s="27" t="n"/>
    </row>
    <row r="66">
      <c r="A66" s="18" t="inlineStr">
        <is>
          <t>Price modifier (±5%) adjusts wholesale CP by province. SRP = retail per 4-pack. Online price = retail per 12-pack.</t>
        </is>
      </c>
    </row>
    <row r="68" ht="22" customHeight="1">
      <c r="A68" s="1" t="inlineStr">
        <is>
          <t>Province split per channel  (each channel's doors distributed across provinces; sums to 100% per channel)</t>
        </is>
      </c>
      <c r="B68" s="2" t="n"/>
      <c r="C68" s="2" t="n"/>
      <c r="D68" s="2" t="n"/>
    </row>
    <row r="69">
      <c r="A69" s="4" t="inlineStr">
        <is>
          <t>Channel</t>
        </is>
      </c>
      <c r="B69" s="4" t="inlineStr">
        <is>
          <t>Province</t>
        </is>
      </c>
      <c r="C69" s="4" t="inlineStr">
        <is>
          <t>Split %</t>
        </is>
      </c>
      <c r="D69" s="4" t="inlineStr">
        <is>
          <t>Key (auto)</t>
        </is>
      </c>
    </row>
    <row r="70">
      <c r="A70" s="14" t="inlineStr">
        <is>
          <t>Convenience</t>
        </is>
      </c>
      <c r="B70" s="14" t="inlineStr">
        <is>
          <t>BC</t>
        </is>
      </c>
      <c r="C70" s="15" t="n">
        <v>0.1335</v>
      </c>
      <c r="D70" s="39">
        <f>A70&amp;"|"&amp;B70</f>
        <v/>
      </c>
    </row>
    <row r="71">
      <c r="A71" s="14" t="inlineStr">
        <is>
          <t>Convenience</t>
        </is>
      </c>
      <c r="B71" s="14" t="inlineStr">
        <is>
          <t>AB</t>
        </is>
      </c>
      <c r="C71" s="15" t="n">
        <v>0.1129</v>
      </c>
      <c r="D71" s="39">
        <f>A71&amp;"|"&amp;B71</f>
        <v/>
      </c>
    </row>
    <row r="72">
      <c r="A72" s="14" t="inlineStr">
        <is>
          <t>Convenience</t>
        </is>
      </c>
      <c r="B72" s="14" t="inlineStr">
        <is>
          <t>SK</t>
        </is>
      </c>
      <c r="C72" s="15" t="n">
        <v>0.0308</v>
      </c>
      <c r="D72" s="39">
        <f>A72&amp;"|"&amp;B72</f>
        <v/>
      </c>
    </row>
    <row r="73">
      <c r="A73" s="14" t="inlineStr">
        <is>
          <t>Convenience</t>
        </is>
      </c>
      <c r="B73" s="14" t="inlineStr">
        <is>
          <t>MB</t>
        </is>
      </c>
      <c r="C73" s="15" t="n">
        <v>0.0359</v>
      </c>
      <c r="D73" s="39">
        <f>A73&amp;"|"&amp;B73</f>
        <v/>
      </c>
    </row>
    <row r="74">
      <c r="A74" s="14" t="inlineStr">
        <is>
          <t>Convenience</t>
        </is>
      </c>
      <c r="B74" s="14" t="inlineStr">
        <is>
          <t>ON</t>
        </is>
      </c>
      <c r="C74" s="15" t="n">
        <v>0.3902</v>
      </c>
      <c r="D74" s="39">
        <f>A74&amp;"|"&amp;B74</f>
        <v/>
      </c>
    </row>
    <row r="75">
      <c r="A75" s="14" t="inlineStr">
        <is>
          <t>Convenience</t>
        </is>
      </c>
      <c r="B75" s="14" t="inlineStr">
        <is>
          <t>QC</t>
        </is>
      </c>
      <c r="C75" s="15" t="n">
        <v>0.2259</v>
      </c>
      <c r="D75" s="39">
        <f>A75&amp;"|"&amp;B75</f>
        <v/>
      </c>
    </row>
    <row r="76">
      <c r="A76" s="14" t="inlineStr">
        <is>
          <t>Convenience</t>
        </is>
      </c>
      <c r="B76" s="14" t="inlineStr">
        <is>
          <t>NB</t>
        </is>
      </c>
      <c r="C76" s="15" t="n">
        <v>0.0246</v>
      </c>
      <c r="D76" s="39">
        <f>A76&amp;"|"&amp;B76</f>
        <v/>
      </c>
    </row>
    <row r="77">
      <c r="A77" s="14" t="inlineStr">
        <is>
          <t>Convenience</t>
        </is>
      </c>
      <c r="B77" s="14" t="inlineStr">
        <is>
          <t>NS</t>
        </is>
      </c>
      <c r="C77" s="15" t="n">
        <v>0.0267</v>
      </c>
      <c r="D77" s="39">
        <f>A77&amp;"|"&amp;B77</f>
        <v/>
      </c>
    </row>
    <row r="78">
      <c r="A78" s="14" t="inlineStr">
        <is>
          <t>Convenience</t>
        </is>
      </c>
      <c r="B78" s="14" t="inlineStr">
        <is>
          <t>PE</t>
        </is>
      </c>
      <c r="C78" s="15" t="n">
        <v>0.004099999999999999</v>
      </c>
      <c r="D78" s="39">
        <f>A78&amp;"|"&amp;B78</f>
        <v/>
      </c>
    </row>
    <row r="79">
      <c r="A79" s="14" t="inlineStr">
        <is>
          <t>Convenience</t>
        </is>
      </c>
      <c r="B79" s="14" t="inlineStr">
        <is>
          <t>NL</t>
        </is>
      </c>
      <c r="C79" s="15" t="n">
        <v>0.0154</v>
      </c>
      <c r="D79" s="39">
        <f>A79&amp;"|"&amp;B79</f>
        <v/>
      </c>
    </row>
    <row r="80">
      <c r="A80" s="14" t="inlineStr">
        <is>
          <t>On Premise</t>
        </is>
      </c>
      <c r="B80" s="14" t="inlineStr">
        <is>
          <t>BC</t>
        </is>
      </c>
      <c r="C80" s="15" t="n">
        <v>0.1335</v>
      </c>
      <c r="D80" s="39">
        <f>A80&amp;"|"&amp;B80</f>
        <v/>
      </c>
    </row>
    <row r="81">
      <c r="A81" s="14" t="inlineStr">
        <is>
          <t>On Premise</t>
        </is>
      </c>
      <c r="B81" s="14" t="inlineStr">
        <is>
          <t>AB</t>
        </is>
      </c>
      <c r="C81" s="15" t="n">
        <v>0.1129</v>
      </c>
      <c r="D81" s="39">
        <f>A81&amp;"|"&amp;B81</f>
        <v/>
      </c>
    </row>
    <row r="82">
      <c r="A82" s="14" t="inlineStr">
        <is>
          <t>On Premise</t>
        </is>
      </c>
      <c r="B82" s="14" t="inlineStr">
        <is>
          <t>SK</t>
        </is>
      </c>
      <c r="C82" s="15" t="n">
        <v>0.0308</v>
      </c>
      <c r="D82" s="39">
        <f>A82&amp;"|"&amp;B82</f>
        <v/>
      </c>
    </row>
    <row r="83">
      <c r="A83" s="14" t="inlineStr">
        <is>
          <t>On Premise</t>
        </is>
      </c>
      <c r="B83" s="14" t="inlineStr">
        <is>
          <t>MB</t>
        </is>
      </c>
      <c r="C83" s="15" t="n">
        <v>0.0359</v>
      </c>
      <c r="D83" s="39">
        <f>A83&amp;"|"&amp;B83</f>
        <v/>
      </c>
    </row>
    <row r="84">
      <c r="A84" s="14" t="inlineStr">
        <is>
          <t>On Premise</t>
        </is>
      </c>
      <c r="B84" s="14" t="inlineStr">
        <is>
          <t>ON</t>
        </is>
      </c>
      <c r="C84" s="15" t="n">
        <v>0.3902</v>
      </c>
      <c r="D84" s="39">
        <f>A84&amp;"|"&amp;B84</f>
        <v/>
      </c>
    </row>
    <row r="85">
      <c r="A85" s="14" t="inlineStr">
        <is>
          <t>On Premise</t>
        </is>
      </c>
      <c r="B85" s="14" t="inlineStr">
        <is>
          <t>QC</t>
        </is>
      </c>
      <c r="C85" s="15" t="n">
        <v>0.2259</v>
      </c>
      <c r="D85" s="39">
        <f>A85&amp;"|"&amp;B85</f>
        <v/>
      </c>
    </row>
    <row r="86">
      <c r="A86" s="14" t="inlineStr">
        <is>
          <t>On Premise</t>
        </is>
      </c>
      <c r="B86" s="14" t="inlineStr">
        <is>
          <t>NB</t>
        </is>
      </c>
      <c r="C86" s="15" t="n">
        <v>0.0246</v>
      </c>
      <c r="D86" s="39">
        <f>A86&amp;"|"&amp;B86</f>
        <v/>
      </c>
    </row>
    <row r="87">
      <c r="A87" s="14" t="inlineStr">
        <is>
          <t>On Premise</t>
        </is>
      </c>
      <c r="B87" s="14" t="inlineStr">
        <is>
          <t>NS</t>
        </is>
      </c>
      <c r="C87" s="15" t="n">
        <v>0.0267</v>
      </c>
      <c r="D87" s="39">
        <f>A87&amp;"|"&amp;B87</f>
        <v/>
      </c>
    </row>
    <row r="88">
      <c r="A88" s="14" t="inlineStr">
        <is>
          <t>On Premise</t>
        </is>
      </c>
      <c r="B88" s="14" t="inlineStr">
        <is>
          <t>PE</t>
        </is>
      </c>
      <c r="C88" s="15" t="n">
        <v>0.004099999999999999</v>
      </c>
      <c r="D88" s="39">
        <f>A88&amp;"|"&amp;B88</f>
        <v/>
      </c>
    </row>
    <row r="89">
      <c r="A89" s="14" t="inlineStr">
        <is>
          <t>On Premise</t>
        </is>
      </c>
      <c r="B89" s="14" t="inlineStr">
        <is>
          <t>NL</t>
        </is>
      </c>
      <c r="C89" s="15" t="n">
        <v>0.0154</v>
      </c>
      <c r="D89" s="39">
        <f>A89&amp;"|"&amp;B89</f>
        <v/>
      </c>
    </row>
    <row r="90">
      <c r="A90" s="14" t="inlineStr">
        <is>
          <t>Fitness</t>
        </is>
      </c>
      <c r="B90" s="14" t="inlineStr">
        <is>
          <t>BC</t>
        </is>
      </c>
      <c r="C90" s="15" t="n">
        <v>0.1335</v>
      </c>
      <c r="D90" s="39">
        <f>A90&amp;"|"&amp;B90</f>
        <v/>
      </c>
    </row>
    <row r="91">
      <c r="A91" s="14" t="inlineStr">
        <is>
          <t>Fitness</t>
        </is>
      </c>
      <c r="B91" s="14" t="inlineStr">
        <is>
          <t>AB</t>
        </is>
      </c>
      <c r="C91" s="15" t="n">
        <v>0.1129</v>
      </c>
      <c r="D91" s="39">
        <f>A91&amp;"|"&amp;B91</f>
        <v/>
      </c>
    </row>
    <row r="92">
      <c r="A92" s="14" t="inlineStr">
        <is>
          <t>Fitness</t>
        </is>
      </c>
      <c r="B92" s="14" t="inlineStr">
        <is>
          <t>SK</t>
        </is>
      </c>
      <c r="C92" s="15" t="n">
        <v>0.0308</v>
      </c>
      <c r="D92" s="39">
        <f>A92&amp;"|"&amp;B92</f>
        <v/>
      </c>
    </row>
    <row r="93">
      <c r="A93" s="14" t="inlineStr">
        <is>
          <t>Fitness</t>
        </is>
      </c>
      <c r="B93" s="14" t="inlineStr">
        <is>
          <t>MB</t>
        </is>
      </c>
      <c r="C93" s="15" t="n">
        <v>0.0359</v>
      </c>
      <c r="D93" s="39">
        <f>A93&amp;"|"&amp;B93</f>
        <v/>
      </c>
    </row>
    <row r="94">
      <c r="A94" s="14" t="inlineStr">
        <is>
          <t>Fitness</t>
        </is>
      </c>
      <c r="B94" s="14" t="inlineStr">
        <is>
          <t>ON</t>
        </is>
      </c>
      <c r="C94" s="15" t="n">
        <v>0.3902</v>
      </c>
      <c r="D94" s="39">
        <f>A94&amp;"|"&amp;B94</f>
        <v/>
      </c>
    </row>
    <row r="95">
      <c r="A95" s="14" t="inlineStr">
        <is>
          <t>Fitness</t>
        </is>
      </c>
      <c r="B95" s="14" t="inlineStr">
        <is>
          <t>QC</t>
        </is>
      </c>
      <c r="C95" s="15" t="n">
        <v>0.2259</v>
      </c>
      <c r="D95" s="39">
        <f>A95&amp;"|"&amp;B95</f>
        <v/>
      </c>
    </row>
    <row r="96">
      <c r="A96" s="14" t="inlineStr">
        <is>
          <t>Fitness</t>
        </is>
      </c>
      <c r="B96" s="14" t="inlineStr">
        <is>
          <t>NB</t>
        </is>
      </c>
      <c r="C96" s="15" t="n">
        <v>0.0246</v>
      </c>
      <c r="D96" s="39">
        <f>A96&amp;"|"&amp;B96</f>
        <v/>
      </c>
    </row>
    <row r="97">
      <c r="A97" s="14" t="inlineStr">
        <is>
          <t>Fitness</t>
        </is>
      </c>
      <c r="B97" s="14" t="inlineStr">
        <is>
          <t>NS</t>
        </is>
      </c>
      <c r="C97" s="15" t="n">
        <v>0.0267</v>
      </c>
      <c r="D97" s="39">
        <f>A97&amp;"|"&amp;B97</f>
        <v/>
      </c>
    </row>
    <row r="98">
      <c r="A98" s="14" t="inlineStr">
        <is>
          <t>Fitness</t>
        </is>
      </c>
      <c r="B98" s="14" t="inlineStr">
        <is>
          <t>PE</t>
        </is>
      </c>
      <c r="C98" s="15" t="n">
        <v>0.004099999999999999</v>
      </c>
      <c r="D98" s="39">
        <f>A98&amp;"|"&amp;B98</f>
        <v/>
      </c>
    </row>
    <row r="99">
      <c r="A99" s="14" t="inlineStr">
        <is>
          <t>Fitness</t>
        </is>
      </c>
      <c r="B99" s="14" t="inlineStr">
        <is>
          <t>NL</t>
        </is>
      </c>
      <c r="C99" s="15" t="n">
        <v>0.0154</v>
      </c>
      <c r="D99" s="39">
        <f>A99&amp;"|"&amp;B99</f>
        <v/>
      </c>
    </row>
    <row r="100">
      <c r="A100" s="14" t="inlineStr">
        <is>
          <t>Costco</t>
        </is>
      </c>
      <c r="B100" s="14" t="inlineStr">
        <is>
          <t>BC</t>
        </is>
      </c>
      <c r="C100" s="15" t="n">
        <v>0.1624</v>
      </c>
      <c r="D100" s="39">
        <f>A100&amp;"|"&amp;B100</f>
        <v/>
      </c>
    </row>
    <row r="101">
      <c r="A101" s="14" t="inlineStr">
        <is>
          <t>Costco</t>
        </is>
      </c>
      <c r="B101" s="14" t="inlineStr">
        <is>
          <t>AB</t>
        </is>
      </c>
      <c r="C101" s="15" t="n">
        <v>0.1624</v>
      </c>
      <c r="D101" s="39">
        <f>A101&amp;"|"&amp;B101</f>
        <v/>
      </c>
    </row>
    <row r="102">
      <c r="A102" s="14" t="inlineStr">
        <is>
          <t>Costco</t>
        </is>
      </c>
      <c r="B102" s="14" t="inlineStr">
        <is>
          <t>SK</t>
        </is>
      </c>
      <c r="C102" s="15" t="n">
        <v>0.0152</v>
      </c>
      <c r="D102" s="39">
        <f>A102&amp;"|"&amp;B102</f>
        <v/>
      </c>
    </row>
    <row r="103">
      <c r="A103" s="14" t="inlineStr">
        <is>
          <t>Costco</t>
        </is>
      </c>
      <c r="B103" s="14" t="inlineStr">
        <is>
          <t>MB</t>
        </is>
      </c>
      <c r="C103" s="15" t="n">
        <v>0.0203</v>
      </c>
      <c r="D103" s="39">
        <f>A103&amp;"|"&amp;B103</f>
        <v/>
      </c>
    </row>
    <row r="104">
      <c r="A104" s="14" t="inlineStr">
        <is>
          <t>Costco</t>
        </is>
      </c>
      <c r="B104" s="14" t="inlineStr">
        <is>
          <t>ON</t>
        </is>
      </c>
      <c r="C104" s="15" t="n">
        <v>0.4061999999999999</v>
      </c>
      <c r="D104" s="39">
        <f>A104&amp;"|"&amp;B104</f>
        <v/>
      </c>
    </row>
    <row r="105">
      <c r="A105" s="14" t="inlineStr">
        <is>
          <t>Costco</t>
        </is>
      </c>
      <c r="B105" s="14" t="inlineStr">
        <is>
          <t>QC</t>
        </is>
      </c>
      <c r="C105" s="15" t="n">
        <v>0.203</v>
      </c>
      <c r="D105" s="39">
        <f>A105&amp;"|"&amp;B105</f>
        <v/>
      </c>
    </row>
    <row r="106">
      <c r="A106" s="14" t="inlineStr">
        <is>
          <t>Costco</t>
        </is>
      </c>
      <c r="B106" s="14" t="inlineStr">
        <is>
          <t>NB</t>
        </is>
      </c>
      <c r="C106" s="15" t="n">
        <v>0.0102</v>
      </c>
      <c r="D106" s="39">
        <f>A106&amp;"|"&amp;B106</f>
        <v/>
      </c>
    </row>
    <row r="107">
      <c r="A107" s="14" t="inlineStr">
        <is>
          <t>Costco</t>
        </is>
      </c>
      <c r="B107" s="14" t="inlineStr">
        <is>
          <t>NS</t>
        </is>
      </c>
      <c r="C107" s="15" t="n">
        <v>0.0152</v>
      </c>
      <c r="D107" s="39">
        <f>A107&amp;"|"&amp;B107</f>
        <v/>
      </c>
    </row>
    <row r="108">
      <c r="A108" s="14" t="inlineStr">
        <is>
          <t>Costco</t>
        </is>
      </c>
      <c r="B108" s="14" t="inlineStr">
        <is>
          <t>PE</t>
        </is>
      </c>
      <c r="C108" s="15" t="n">
        <v>0</v>
      </c>
      <c r="D108" s="39">
        <f>A108&amp;"|"&amp;B108</f>
        <v/>
      </c>
    </row>
    <row r="109">
      <c r="A109" s="14" t="inlineStr">
        <is>
          <t>Costco</t>
        </is>
      </c>
      <c r="B109" s="14" t="inlineStr">
        <is>
          <t>NL</t>
        </is>
      </c>
      <c r="C109" s="15" t="n">
        <v>0.0051</v>
      </c>
      <c r="D109" s="39">
        <f>A109&amp;"|"&amp;B109</f>
        <v/>
      </c>
    </row>
    <row r="110">
      <c r="A110" s="14" t="inlineStr">
        <is>
          <t>FDM</t>
        </is>
      </c>
      <c r="B110" s="14" t="inlineStr">
        <is>
          <t>BC</t>
        </is>
      </c>
      <c r="C110" s="15" t="n">
        <v>0.1335</v>
      </c>
      <c r="D110" s="39">
        <f>A110&amp;"|"&amp;B110</f>
        <v/>
      </c>
    </row>
    <row r="111">
      <c r="A111" s="14" t="inlineStr">
        <is>
          <t>FDM</t>
        </is>
      </c>
      <c r="B111" s="14" t="inlineStr">
        <is>
          <t>AB</t>
        </is>
      </c>
      <c r="C111" s="15" t="n">
        <v>0.1129</v>
      </c>
      <c r="D111" s="39">
        <f>A111&amp;"|"&amp;B111</f>
        <v/>
      </c>
    </row>
    <row r="112">
      <c r="A112" s="14" t="inlineStr">
        <is>
          <t>FDM</t>
        </is>
      </c>
      <c r="B112" s="14" t="inlineStr">
        <is>
          <t>SK</t>
        </is>
      </c>
      <c r="C112" s="15" t="n">
        <v>0.0308</v>
      </c>
      <c r="D112" s="39">
        <f>A112&amp;"|"&amp;B112</f>
        <v/>
      </c>
    </row>
    <row r="113">
      <c r="A113" s="14" t="inlineStr">
        <is>
          <t>FDM</t>
        </is>
      </c>
      <c r="B113" s="14" t="inlineStr">
        <is>
          <t>MB</t>
        </is>
      </c>
      <c r="C113" s="15" t="n">
        <v>0.0359</v>
      </c>
      <c r="D113" s="39">
        <f>A113&amp;"|"&amp;B113</f>
        <v/>
      </c>
    </row>
    <row r="114">
      <c r="A114" s="14" t="inlineStr">
        <is>
          <t>FDM</t>
        </is>
      </c>
      <c r="B114" s="14" t="inlineStr">
        <is>
          <t>ON</t>
        </is>
      </c>
      <c r="C114" s="15" t="n">
        <v>0.3902</v>
      </c>
      <c r="D114" s="39">
        <f>A114&amp;"|"&amp;B114</f>
        <v/>
      </c>
    </row>
    <row r="115">
      <c r="A115" s="14" t="inlineStr">
        <is>
          <t>FDM</t>
        </is>
      </c>
      <c r="B115" s="14" t="inlineStr">
        <is>
          <t>QC</t>
        </is>
      </c>
      <c r="C115" s="15" t="n">
        <v>0.2259</v>
      </c>
      <c r="D115" s="39">
        <f>A115&amp;"|"&amp;B115</f>
        <v/>
      </c>
    </row>
    <row r="116">
      <c r="A116" s="14" t="inlineStr">
        <is>
          <t>FDM</t>
        </is>
      </c>
      <c r="B116" s="14" t="inlineStr">
        <is>
          <t>NB</t>
        </is>
      </c>
      <c r="C116" s="15" t="n">
        <v>0.0246</v>
      </c>
      <c r="D116" s="39">
        <f>A116&amp;"|"&amp;B116</f>
        <v/>
      </c>
    </row>
    <row r="117">
      <c r="A117" s="14" t="inlineStr">
        <is>
          <t>FDM</t>
        </is>
      </c>
      <c r="B117" s="14" t="inlineStr">
        <is>
          <t>NS</t>
        </is>
      </c>
      <c r="C117" s="15" t="n">
        <v>0.0267</v>
      </c>
      <c r="D117" s="39">
        <f>A117&amp;"|"&amp;B117</f>
        <v/>
      </c>
    </row>
    <row r="118">
      <c r="A118" s="14" t="inlineStr">
        <is>
          <t>FDM</t>
        </is>
      </c>
      <c r="B118" s="14" t="inlineStr">
        <is>
          <t>PE</t>
        </is>
      </c>
      <c r="C118" s="15" t="n">
        <v>0.004099999999999999</v>
      </c>
      <c r="D118" s="39">
        <f>A118&amp;"|"&amp;B118</f>
        <v/>
      </c>
    </row>
    <row r="119">
      <c r="A119" s="14" t="inlineStr">
        <is>
          <t>FDM</t>
        </is>
      </c>
      <c r="B119" s="14" t="inlineStr">
        <is>
          <t>NL</t>
        </is>
      </c>
      <c r="C119" s="15" t="n">
        <v>0.0154</v>
      </c>
      <c r="D119" s="39">
        <f>A119&amp;"|"&amp;B119</f>
        <v/>
      </c>
    </row>
    <row r="120">
      <c r="A120" s="14" t="inlineStr">
        <is>
          <t>Specialty</t>
        </is>
      </c>
      <c r="B120" s="14" t="inlineStr">
        <is>
          <t>BC</t>
        </is>
      </c>
      <c r="C120" s="15" t="n">
        <v>0.1335</v>
      </c>
      <c r="D120" s="39">
        <f>A120&amp;"|"&amp;B120</f>
        <v/>
      </c>
    </row>
    <row r="121">
      <c r="A121" s="14" t="inlineStr">
        <is>
          <t>Specialty</t>
        </is>
      </c>
      <c r="B121" s="14" t="inlineStr">
        <is>
          <t>AB</t>
        </is>
      </c>
      <c r="C121" s="15" t="n">
        <v>0.1129</v>
      </c>
      <c r="D121" s="39">
        <f>A121&amp;"|"&amp;B121</f>
        <v/>
      </c>
    </row>
    <row r="122">
      <c r="A122" s="14" t="inlineStr">
        <is>
          <t>Specialty</t>
        </is>
      </c>
      <c r="B122" s="14" t="inlineStr">
        <is>
          <t>SK</t>
        </is>
      </c>
      <c r="C122" s="15" t="n">
        <v>0.0308</v>
      </c>
      <c r="D122" s="39">
        <f>A122&amp;"|"&amp;B122</f>
        <v/>
      </c>
    </row>
    <row r="123">
      <c r="A123" s="14" t="inlineStr">
        <is>
          <t>Specialty</t>
        </is>
      </c>
      <c r="B123" s="14" t="inlineStr">
        <is>
          <t>MB</t>
        </is>
      </c>
      <c r="C123" s="15" t="n">
        <v>0.0359</v>
      </c>
      <c r="D123" s="39">
        <f>A123&amp;"|"&amp;B123</f>
        <v/>
      </c>
    </row>
    <row r="124">
      <c r="A124" s="14" t="inlineStr">
        <is>
          <t>Specialty</t>
        </is>
      </c>
      <c r="B124" s="14" t="inlineStr">
        <is>
          <t>ON</t>
        </is>
      </c>
      <c r="C124" s="15" t="n">
        <v>0.3902</v>
      </c>
      <c r="D124" s="39">
        <f>A124&amp;"|"&amp;B124</f>
        <v/>
      </c>
    </row>
    <row r="125">
      <c r="A125" s="14" t="inlineStr">
        <is>
          <t>Specialty</t>
        </is>
      </c>
      <c r="B125" s="14" t="inlineStr">
        <is>
          <t>QC</t>
        </is>
      </c>
      <c r="C125" s="15" t="n">
        <v>0.2259</v>
      </c>
      <c r="D125" s="39">
        <f>A125&amp;"|"&amp;B125</f>
        <v/>
      </c>
    </row>
    <row r="126">
      <c r="A126" s="14" t="inlineStr">
        <is>
          <t>Specialty</t>
        </is>
      </c>
      <c r="B126" s="14" t="inlineStr">
        <is>
          <t>NB</t>
        </is>
      </c>
      <c r="C126" s="15" t="n">
        <v>0.0246</v>
      </c>
      <c r="D126" s="39">
        <f>A126&amp;"|"&amp;B126</f>
        <v/>
      </c>
    </row>
    <row r="127">
      <c r="A127" s="14" t="inlineStr">
        <is>
          <t>Specialty</t>
        </is>
      </c>
      <c r="B127" s="14" t="inlineStr">
        <is>
          <t>NS</t>
        </is>
      </c>
      <c r="C127" s="15" t="n">
        <v>0.0267</v>
      </c>
      <c r="D127" s="39">
        <f>A127&amp;"|"&amp;B127</f>
        <v/>
      </c>
    </row>
    <row r="128">
      <c r="A128" s="14" t="inlineStr">
        <is>
          <t>Specialty</t>
        </is>
      </c>
      <c r="B128" s="14" t="inlineStr">
        <is>
          <t>PE</t>
        </is>
      </c>
      <c r="C128" s="15" t="n">
        <v>0.004099999999999999</v>
      </c>
      <c r="D128" s="39">
        <f>A128&amp;"|"&amp;B128</f>
        <v/>
      </c>
    </row>
    <row r="129">
      <c r="A129" s="14" t="inlineStr">
        <is>
          <t>Specialty</t>
        </is>
      </c>
      <c r="B129" s="14" t="inlineStr">
        <is>
          <t>NL</t>
        </is>
      </c>
      <c r="C129" s="15" t="n">
        <v>0.0154</v>
      </c>
      <c r="D129" s="39">
        <f>A129&amp;"|"&amp;B129</f>
        <v/>
      </c>
    </row>
    <row r="130">
      <c r="A130" s="14" t="inlineStr">
        <is>
          <t>Online</t>
        </is>
      </c>
      <c r="B130" s="14" t="inlineStr">
        <is>
          <t>BC</t>
        </is>
      </c>
      <c r="C130" s="15" t="n">
        <v>0.1515</v>
      </c>
      <c r="D130" s="39">
        <f>A130&amp;"|"&amp;B130</f>
        <v/>
      </c>
    </row>
    <row r="131">
      <c r="A131" s="14" t="inlineStr">
        <is>
          <t>Online</t>
        </is>
      </c>
      <c r="B131" s="14" t="inlineStr">
        <is>
          <t>AB</t>
        </is>
      </c>
      <c r="C131" s="15" t="n">
        <v>0.1212</v>
      </c>
      <c r="D131" s="39">
        <f>A131&amp;"|"&amp;B131</f>
        <v/>
      </c>
    </row>
    <row r="132">
      <c r="A132" s="14" t="inlineStr">
        <is>
          <t>Online</t>
        </is>
      </c>
      <c r="B132" s="14" t="inlineStr">
        <is>
          <t>SK</t>
        </is>
      </c>
      <c r="C132" s="15" t="n">
        <v>0.0253</v>
      </c>
      <c r="D132" s="39">
        <f>A132&amp;"|"&amp;B132</f>
        <v/>
      </c>
    </row>
    <row r="133">
      <c r="A133" s="14" t="inlineStr">
        <is>
          <t>Online</t>
        </is>
      </c>
      <c r="B133" s="14" t="inlineStr">
        <is>
          <t>MB</t>
        </is>
      </c>
      <c r="C133" s="15" t="n">
        <v>0.0303</v>
      </c>
      <c r="D133" s="39">
        <f>A133&amp;"|"&amp;B133</f>
        <v/>
      </c>
    </row>
    <row r="134">
      <c r="A134" s="14" t="inlineStr">
        <is>
          <t>Online</t>
        </is>
      </c>
      <c r="B134" s="14" t="inlineStr">
        <is>
          <t>ON</t>
        </is>
      </c>
      <c r="C134" s="15" t="n">
        <v>0.404</v>
      </c>
      <c r="D134" s="39">
        <f>A134&amp;"|"&amp;B134</f>
        <v/>
      </c>
    </row>
    <row r="135">
      <c r="A135" s="14" t="inlineStr">
        <is>
          <t>Online</t>
        </is>
      </c>
      <c r="B135" s="14" t="inlineStr">
        <is>
          <t>QC</t>
        </is>
      </c>
      <c r="C135" s="15" t="n">
        <v>0.1818</v>
      </c>
      <c r="D135" s="39">
        <f>A135&amp;"|"&amp;B135</f>
        <v/>
      </c>
    </row>
    <row r="136">
      <c r="A136" s="14" t="inlineStr">
        <is>
          <t>Online</t>
        </is>
      </c>
      <c r="B136" s="14" t="inlineStr">
        <is>
          <t>NB</t>
        </is>
      </c>
      <c r="C136" s="15" t="n">
        <v>0.0253</v>
      </c>
      <c r="D136" s="39">
        <f>A136&amp;"|"&amp;B136</f>
        <v/>
      </c>
    </row>
    <row r="137">
      <c r="A137" s="14" t="inlineStr">
        <is>
          <t>Online</t>
        </is>
      </c>
      <c r="B137" s="14" t="inlineStr">
        <is>
          <t>NS</t>
        </is>
      </c>
      <c r="C137" s="15" t="n">
        <v>0.0303</v>
      </c>
      <c r="D137" s="39">
        <f>A137&amp;"|"&amp;B137</f>
        <v/>
      </c>
    </row>
    <row r="138">
      <c r="A138" s="14" t="inlineStr">
        <is>
          <t>Online</t>
        </is>
      </c>
      <c r="B138" s="14" t="inlineStr">
        <is>
          <t>PE</t>
        </is>
      </c>
      <c r="C138" s="15" t="n">
        <v>0.0101</v>
      </c>
      <c r="D138" s="39">
        <f>A138&amp;"|"&amp;B138</f>
        <v/>
      </c>
    </row>
    <row r="139">
      <c r="A139" s="14" t="inlineStr">
        <is>
          <t>Online</t>
        </is>
      </c>
      <c r="B139" s="14" t="inlineStr">
        <is>
          <t>NL</t>
        </is>
      </c>
      <c r="C139" s="15" t="n">
        <v>0.0202</v>
      </c>
      <c r="D139" s="39">
        <f>A139&amp;"|"&amp;B139</f>
        <v/>
      </c>
    </row>
    <row r="140">
      <c r="A140" s="16" t="n"/>
      <c r="B140" s="16" t="n"/>
      <c r="C140" s="17" t="n"/>
      <c r="D140" s="40" t="n"/>
    </row>
    <row r="141">
      <c r="A141" s="16" t="n"/>
      <c r="B141" s="16" t="n"/>
      <c r="C141" s="17" t="n"/>
      <c r="D141" s="40" t="n"/>
    </row>
    <row r="142">
      <c r="A142" s="16" t="n"/>
      <c r="B142" s="16" t="n"/>
      <c r="C142" s="17" t="n"/>
      <c r="D142" s="40" t="n"/>
    </row>
    <row r="143">
      <c r="A143" s="16" t="n"/>
      <c r="B143" s="16" t="n"/>
      <c r="C143" s="17" t="n"/>
      <c r="D143" s="40" t="n"/>
    </row>
    <row r="144">
      <c r="A144" s="16" t="n"/>
      <c r="B144" s="16" t="n"/>
      <c r="C144" s="17" t="n"/>
      <c r="D144" s="40" t="n"/>
    </row>
    <row r="145">
      <c r="A145" s="16" t="n"/>
      <c r="B145" s="16" t="n"/>
      <c r="C145" s="17" t="n"/>
      <c r="D145" s="40" t="n"/>
    </row>
    <row r="146">
      <c r="A146" s="16" t="n"/>
      <c r="B146" s="16" t="n"/>
      <c r="C146" s="17" t="n"/>
      <c r="D146" s="40" t="n"/>
    </row>
    <row r="147">
      <c r="A147" s="16" t="n"/>
      <c r="B147" s="16" t="n"/>
      <c r="C147" s="17" t="n"/>
      <c r="D147" s="40" t="n"/>
    </row>
    <row r="148">
      <c r="A148" s="16" t="n"/>
      <c r="B148" s="16" t="n"/>
      <c r="C148" s="17" t="n"/>
      <c r="D148" s="40" t="n"/>
    </row>
    <row r="149">
      <c r="A149" s="16" t="n"/>
      <c r="B149" s="16" t="n"/>
      <c r="C149" s="17" t="n"/>
      <c r="D149" s="40" t="n"/>
    </row>
    <row r="150">
      <c r="A150" s="16" t="n"/>
      <c r="B150" s="16" t="n"/>
      <c r="C150" s="17" t="n"/>
      <c r="D150" s="40" t="n"/>
    </row>
    <row r="151">
      <c r="A151" s="16" t="n"/>
      <c r="B151" s="16" t="n"/>
      <c r="C151" s="17" t="n"/>
      <c r="D151" s="40" t="n"/>
    </row>
    <row r="152">
      <c r="A152" s="16" t="n"/>
      <c r="B152" s="16" t="n"/>
      <c r="C152" s="17" t="n"/>
      <c r="D152" s="40" t="n"/>
    </row>
    <row r="153">
      <c r="A153" s="16" t="n"/>
      <c r="B153" s="16" t="n"/>
      <c r="C153" s="17" t="n"/>
      <c r="D153" s="40" t="n"/>
    </row>
    <row r="154">
      <c r="A154" s="16" t="n"/>
      <c r="B154" s="16" t="n"/>
      <c r="C154" s="17" t="n"/>
      <c r="D154" s="40" t="n"/>
    </row>
    <row r="155">
      <c r="A155" s="16" t="n"/>
      <c r="B155" s="16" t="n"/>
      <c r="C155" s="17" t="n"/>
      <c r="D155" s="40" t="n"/>
    </row>
    <row r="156">
      <c r="A156" s="16" t="n"/>
      <c r="B156" s="16" t="n"/>
      <c r="C156" s="17" t="n"/>
      <c r="D156" s="40" t="n"/>
    </row>
    <row r="157">
      <c r="A157" s="16" t="n"/>
      <c r="B157" s="16" t="n"/>
      <c r="C157" s="17" t="n"/>
      <c r="D157" s="40" t="n"/>
    </row>
    <row r="158">
      <c r="A158" s="16" t="n"/>
      <c r="B158" s="16" t="n"/>
      <c r="C158" s="17" t="n"/>
      <c r="D158" s="40" t="n"/>
    </row>
    <row r="159">
      <c r="A159" s="16" t="n"/>
      <c r="B159" s="16" t="n"/>
      <c r="C159" s="17" t="n"/>
      <c r="D159" s="40" t="n"/>
    </row>
    <row r="160">
      <c r="A160" s="18" t="inlineStr">
        <is>
          <t>Split is a fraction (0.38 = 38%). Key auto = Channel|Province (used by the engine). Adding a province? add a row per channel.</t>
        </is>
      </c>
    </row>
    <row r="161">
      <c r="A161" s="19" t="inlineStr">
        <is>
          <t>Split sum check (each must = 100%)</t>
        </is>
      </c>
    </row>
    <row r="162">
      <c r="A162" s="41" t="inlineStr">
        <is>
          <t>Convenience</t>
        </is>
      </c>
      <c r="B162" s="42">
        <f>SUMIF(PSChannel,"Convenience",PSPct)</f>
        <v/>
      </c>
    </row>
    <row r="163">
      <c r="A163" s="41" t="inlineStr">
        <is>
          <t>On Premise</t>
        </is>
      </c>
      <c r="B163" s="42">
        <f>SUMIF(PSChannel,"On Premise",PSPct)</f>
        <v/>
      </c>
    </row>
    <row r="164">
      <c r="A164" s="41" t="inlineStr">
        <is>
          <t>Fitness</t>
        </is>
      </c>
      <c r="B164" s="42">
        <f>SUMIF(PSChannel,"Fitness",PSPct)</f>
        <v/>
      </c>
    </row>
    <row r="165">
      <c r="A165" s="41" t="inlineStr">
        <is>
          <t>Costco</t>
        </is>
      </c>
      <c r="B165" s="42">
        <f>SUMIF(PSChannel,"Costco",PSPct)</f>
        <v/>
      </c>
    </row>
    <row r="166">
      <c r="A166" s="41" t="inlineStr">
        <is>
          <t>FDM</t>
        </is>
      </c>
      <c r="B166" s="42">
        <f>SUMIF(PSChannel,"FDM",PSPct)</f>
        <v/>
      </c>
    </row>
    <row r="167">
      <c r="A167" s="41" t="inlineStr">
        <is>
          <t>Specialty</t>
        </is>
      </c>
      <c r="B167" s="42">
        <f>SUMIF(PSChannel,"Specialty",PSPct)</f>
        <v/>
      </c>
    </row>
    <row r="168">
      <c r="A168" s="41" t="inlineStr">
        <is>
          <t>Online</t>
        </is>
      </c>
      <c r="B168" s="42">
        <f>SUMIF(PSChannel,"Online",PSPct)</f>
        <v/>
      </c>
    </row>
  </sheetData>
  <mergeCells count="7">
    <mergeCell ref="I4:J4"/>
    <mergeCell ref="A1:G1"/>
    <mergeCell ref="L4:M4"/>
    <mergeCell ref="A50:D50"/>
    <mergeCell ref="A4:G4"/>
    <mergeCell ref="A20:G20"/>
    <mergeCell ref="A68:D68"/>
  </mergeCells>
  <conditionalFormatting sqref="B162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B16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B164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conditionalFormatting sqref="B165">
    <cfRule type="cellIs" priority="7" operator="between" dxfId="0">
      <formula>0.999</formula>
      <formula>1.001</formula>
    </cfRule>
    <cfRule type="cellIs" priority="8" operator="notBetween" dxfId="1">
      <formula>0.999</formula>
      <formula>1.001</formula>
    </cfRule>
  </conditionalFormatting>
  <conditionalFormatting sqref="B166">
    <cfRule type="cellIs" priority="9" operator="between" dxfId="0">
      <formula>0.999</formula>
      <formula>1.001</formula>
    </cfRule>
    <cfRule type="cellIs" priority="10" operator="notBetween" dxfId="1">
      <formula>0.999</formula>
      <formula>1.001</formula>
    </cfRule>
  </conditionalFormatting>
  <conditionalFormatting sqref="B167">
    <cfRule type="cellIs" priority="11" operator="between" dxfId="0">
      <formula>0.999</formula>
      <formula>1.001</formula>
    </cfRule>
    <cfRule type="cellIs" priority="12" operator="notBetween" dxfId="1">
      <formula>0.999</formula>
      <formula>1.001</formula>
    </cfRule>
  </conditionalFormatting>
  <conditionalFormatting sqref="B168">
    <cfRule type="cellIs" priority="13" operator="between" dxfId="0">
      <formula>0.999</formula>
      <formula>1.001</formula>
    </cfRule>
    <cfRule type="cellIs" priority="14" operator="notBetween" dxfId="1">
      <formula>0.999</formula>
      <formula>1.001</formula>
    </cfRule>
  </conditionalFormatting>
  <dataValidations count="2">
    <dataValidation sqref="E6:E17" showDropDown="0" showInputMessage="0" showErrorMessage="0" allowBlank="1" type="list">
      <formula1>"Linear,S-curve"</formula1>
    </dataValidation>
    <dataValidation sqref="B6:B17" showDropDown="0" showInputMessage="0" showErrorMessage="0" allowBlank="1" type="list">
      <formula1>"4-pack,12-pack"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7" customWidth="1" min="4" max="4"/>
    <col width="12" customWidth="1" min="5" max="5"/>
    <col width="8" customWidth="1" min="6" max="6"/>
    <col width="8" customWidth="1" min="7" max="7"/>
    <col width="6" customWidth="1" min="8" max="8"/>
    <col width="6" customWidth="1" min="9" max="9"/>
    <col width="7" customWidth="1" min="10" max="10"/>
    <col width="9" customWidth="1" min="11" max="11"/>
    <col width="6" customWidth="1" min="12" max="12"/>
    <col width="6" customWidth="1" min="13" max="13"/>
    <col width="7" customWidth="1" min="14" max="14"/>
    <col width="8" customWidth="1" min="15" max="15"/>
    <col width="9" customWidth="1" min="16" max="16"/>
    <col width="9" customWidth="1" min="17" max="17"/>
    <col width="10" customWidth="1" min="18" max="18"/>
    <col width="9" customWidth="1" min="19" max="19"/>
    <col width="10" customWidth="1" min="20" max="20"/>
    <col width="9" customWidth="1" min="21" max="21"/>
    <col width="11" customWidth="1" min="22" max="22"/>
    <col width="11" customWidth="1" min="23" max="23"/>
    <col width="11" customWidth="1" min="24" max="24"/>
    <col width="10" customWidth="1" min="25" max="25"/>
    <col width="11" customWidth="1" min="26" max="26"/>
  </cols>
  <sheetData>
    <row r="1">
      <c r="A1" s="43" t="inlineStr">
        <is>
          <t>Week</t>
        </is>
      </c>
      <c r="B1" s="43" t="inlineStr">
        <is>
          <t>Date</t>
        </is>
      </c>
      <c r="C1" s="43" t="inlineStr">
        <is>
          <t>Month</t>
        </is>
      </c>
      <c r="D1" s="43" t="inlineStr">
        <is>
          <t>Quarter</t>
        </is>
      </c>
      <c r="E1" s="43" t="inlineStr">
        <is>
          <t>Channel</t>
        </is>
      </c>
      <c r="F1" s="43" t="inlineStr">
        <is>
          <t>Format</t>
        </is>
      </c>
      <c r="G1" s="43" t="inlineStr">
        <is>
          <t>Province</t>
        </is>
      </c>
      <c r="H1" s="43" t="inlineStr">
        <is>
          <t>Active</t>
        </is>
      </c>
      <c r="I1" s="43" t="inlineStr">
        <is>
          <t>Launch</t>
        </is>
      </c>
      <c r="J1" s="43" t="inlineStr">
        <is>
          <t>WksFull</t>
        </is>
      </c>
      <c r="K1" s="43" t="inlineStr">
        <is>
          <t>RampShape</t>
        </is>
      </c>
      <c r="L1" s="43" t="inlineStr">
        <is>
          <t>RampX</t>
        </is>
      </c>
      <c r="M1" s="43" t="inlineStr">
        <is>
          <t>Ramp</t>
        </is>
      </c>
      <c r="N1" s="43" t="inlineStr">
        <is>
          <t>Season</t>
        </is>
      </c>
      <c r="O1" s="43" t="inlineStr">
        <is>
          <t>ProvSplit</t>
        </is>
      </c>
      <c r="P1" s="43" t="inlineStr">
        <is>
          <t>DoorVelEff</t>
        </is>
      </c>
      <c r="Q1" s="43" t="inlineStr">
        <is>
          <t>OnlineUnits</t>
        </is>
      </c>
      <c r="R1" s="43" t="inlineStr">
        <is>
          <t>BrandCases</t>
        </is>
      </c>
      <c r="S1" s="43" t="inlineStr">
        <is>
          <t>Cans</t>
        </is>
      </c>
      <c r="T1" s="43" t="inlineStr">
        <is>
          <t>ConsumerUnits</t>
        </is>
      </c>
      <c r="U1" s="43" t="inlineStr">
        <is>
          <t>UnitPrice</t>
        </is>
      </c>
      <c r="V1" s="43" t="inlineStr">
        <is>
          <t>Wholesale$</t>
        </is>
      </c>
      <c r="W1" s="43" t="inlineStr">
        <is>
          <t>Sellthru$</t>
        </is>
      </c>
      <c r="X1" s="43" t="inlineStr">
        <is>
          <t>Gross$</t>
        </is>
      </c>
      <c r="Y1" s="43" t="inlineStr">
        <is>
          <t>COGS$</t>
        </is>
      </c>
      <c r="Z1" s="43" t="inlineStr">
        <is>
          <t>Margin$</t>
        </is>
      </c>
    </row>
    <row r="2">
      <c r="A2" t="n">
        <v>1</v>
      </c>
      <c r="B2" s="44">
        <f>FiscalStart+(A2-1)*7</f>
        <v/>
      </c>
      <c r="C2">
        <f>TEXT(B2,"mmm yyyy")</f>
        <v/>
      </c>
      <c r="D2">
        <f>"Q"&amp;(INT((A2-1)/13)+1)</f>
        <v/>
      </c>
      <c r="E2" t="inlineStr">
        <is>
          <t>Convenience</t>
        </is>
      </c>
      <c r="F2">
        <f>IFERROR(INDEX(ChFormat,MATCH(E2,ChName,0)),"")</f>
        <v/>
      </c>
      <c r="G2" t="inlineStr">
        <is>
          <t>BC</t>
        </is>
      </c>
      <c r="H2">
        <f>IF(A2&lt;=NWeeks,1,0)</f>
        <v/>
      </c>
      <c r="I2">
        <f>INDEX(ChLaunch,MATCH(E2,ChName,0))</f>
        <v/>
      </c>
      <c r="J2">
        <f>INDEX(ChWeeksFull,MATCH(E2,ChName,0))</f>
        <v/>
      </c>
      <c r="K2">
        <f>INDEX(ChRamp,MATCH(E2,ChName,0))</f>
        <v/>
      </c>
      <c r="L2" s="45">
        <f>MIN(1,MAX(0,(A2-I2+1)*RampSpeed/J2))</f>
        <v/>
      </c>
      <c r="M2" s="45">
        <f>IF(A2&lt;I2,0,IF(K2="S-curve",L2*L2*(3-2*L2),L2))</f>
        <v/>
      </c>
      <c r="N2" s="45">
        <f>1+(INDEX(SeasonIdx,A2)-1)*SeasonAmp</f>
        <v/>
      </c>
      <c r="O2" s="45">
        <f>IFERROR(INDEX(PSPct,MATCH(E2&amp;"|"&amp;G2,PSKey,0)),0)</f>
        <v/>
      </c>
      <c r="P2" s="46">
        <f>INDEX(ChDoorVel,MATCH(E2,ChName,0))*CalibScalar*(1+VelocityUplift)</f>
        <v/>
      </c>
      <c r="Q2" s="46" t="n">
        <v>0</v>
      </c>
      <c r="R2" s="46">
        <f>P2*O2*M2*N2*H2</f>
        <v/>
      </c>
      <c r="S2" s="46">
        <f>R2*INDEX(FmtCansPerCase,MATCH(F2,FmtName,0))</f>
        <v/>
      </c>
      <c r="T2" s="46">
        <f>S2/INDEX(FmtCansPerPack,MATCH(F2,FmtName,0))</f>
        <v/>
      </c>
      <c r="U2" s="47">
        <f>INDEX(ChBaseCP,MATCH(E2,ChName,0))*(1+INDEX(ProvMod,MATCH(G2,ProvCode,0)))*(1+PriceIndex)</f>
        <v/>
      </c>
      <c r="V2" s="47">
        <f>R2*U2*INDEX(FmtBlendedPriceIdx,MATCH(F2,FmtName,0))</f>
        <v/>
      </c>
      <c r="W2" s="47">
        <f>T2*INDEX(ProvSRP,MATCH(G2,ProvCode,0))*(1+PriceIndex)</f>
        <v/>
      </c>
      <c r="X2" s="47">
        <f>IF(GrossBasis="Wholesale",V2,W2)</f>
        <v/>
      </c>
      <c r="Y2" s="47">
        <f>R2*INDEX(FmtBlendedCogs,MATCH(F2,FmtName,0))</f>
        <v/>
      </c>
      <c r="Z2" s="47">
        <f>X2-Y2</f>
        <v/>
      </c>
    </row>
    <row r="3">
      <c r="A3" t="n">
        <v>2</v>
      </c>
      <c r="B3" s="44">
        <f>FiscalStart+(A3-1)*7</f>
        <v/>
      </c>
      <c r="C3">
        <f>TEXT(B3,"mmm yyyy")</f>
        <v/>
      </c>
      <c r="D3">
        <f>"Q"&amp;(INT((A3-1)/13)+1)</f>
        <v/>
      </c>
      <c r="E3" t="inlineStr">
        <is>
          <t>Convenience</t>
        </is>
      </c>
      <c r="F3">
        <f>IFERROR(INDEX(ChFormat,MATCH(E3,ChName,0)),"")</f>
        <v/>
      </c>
      <c r="G3" t="inlineStr">
        <is>
          <t>BC</t>
        </is>
      </c>
      <c r="H3">
        <f>IF(A3&lt;=NWeeks,1,0)</f>
        <v/>
      </c>
      <c r="I3">
        <f>INDEX(ChLaunch,MATCH(E3,ChName,0))</f>
        <v/>
      </c>
      <c r="J3">
        <f>INDEX(ChWeeksFull,MATCH(E3,ChName,0))</f>
        <v/>
      </c>
      <c r="K3">
        <f>INDEX(ChRamp,MATCH(E3,ChName,0))</f>
        <v/>
      </c>
      <c r="L3" s="45">
        <f>MIN(1,MAX(0,(A3-I3+1)*RampSpeed/J3))</f>
        <v/>
      </c>
      <c r="M3" s="45">
        <f>IF(A3&lt;I3,0,IF(K3="S-curve",L3*L3*(3-2*L3),L3))</f>
        <v/>
      </c>
      <c r="N3" s="45">
        <f>1+(INDEX(SeasonIdx,A3)-1)*SeasonAmp</f>
        <v/>
      </c>
      <c r="O3" s="45">
        <f>IFERROR(INDEX(PSPct,MATCH(E3&amp;"|"&amp;G3,PSKey,0)),0)</f>
        <v/>
      </c>
      <c r="P3" s="46">
        <f>INDEX(ChDoorVel,MATCH(E3,ChName,0))*CalibScalar*(1+VelocityUplift)</f>
        <v/>
      </c>
      <c r="Q3" s="46" t="n">
        <v>0</v>
      </c>
      <c r="R3" s="46">
        <f>P3*O3*M3*N3*H3</f>
        <v/>
      </c>
      <c r="S3" s="46">
        <f>R3*INDEX(FmtCansPerCase,MATCH(F3,FmtName,0))</f>
        <v/>
      </c>
      <c r="T3" s="46">
        <f>S3/INDEX(FmtCansPerPack,MATCH(F3,FmtName,0))</f>
        <v/>
      </c>
      <c r="U3" s="47">
        <f>INDEX(ChBaseCP,MATCH(E3,ChName,0))*(1+INDEX(ProvMod,MATCH(G3,ProvCode,0)))*(1+PriceIndex)</f>
        <v/>
      </c>
      <c r="V3" s="47">
        <f>R3*U3*INDEX(FmtBlendedPriceIdx,MATCH(F3,FmtName,0))</f>
        <v/>
      </c>
      <c r="W3" s="47">
        <f>T3*INDEX(ProvSRP,MATCH(G3,ProvCode,0))*(1+PriceIndex)</f>
        <v/>
      </c>
      <c r="X3" s="47">
        <f>IF(GrossBasis="Wholesale",V3,W3)</f>
        <v/>
      </c>
      <c r="Y3" s="47">
        <f>R3*INDEX(FmtBlendedCogs,MATCH(F3,FmtName,0))</f>
        <v/>
      </c>
      <c r="Z3" s="47">
        <f>X3-Y3</f>
        <v/>
      </c>
    </row>
    <row r="4">
      <c r="A4" t="n">
        <v>3</v>
      </c>
      <c r="B4" s="44">
        <f>FiscalStart+(A4-1)*7</f>
        <v/>
      </c>
      <c r="C4">
        <f>TEXT(B4,"mmm yyyy")</f>
        <v/>
      </c>
      <c r="D4">
        <f>"Q"&amp;(INT((A4-1)/13)+1)</f>
        <v/>
      </c>
      <c r="E4" t="inlineStr">
        <is>
          <t>Convenience</t>
        </is>
      </c>
      <c r="F4">
        <f>IFERROR(INDEX(ChFormat,MATCH(E4,ChName,0)),"")</f>
        <v/>
      </c>
      <c r="G4" t="inlineStr">
        <is>
          <t>BC</t>
        </is>
      </c>
      <c r="H4">
        <f>IF(A4&lt;=NWeeks,1,0)</f>
        <v/>
      </c>
      <c r="I4">
        <f>INDEX(ChLaunch,MATCH(E4,ChName,0))</f>
        <v/>
      </c>
      <c r="J4">
        <f>INDEX(ChWeeksFull,MATCH(E4,ChName,0))</f>
        <v/>
      </c>
      <c r="K4">
        <f>INDEX(ChRamp,MATCH(E4,ChName,0))</f>
        <v/>
      </c>
      <c r="L4" s="45">
        <f>MIN(1,MAX(0,(A4-I4+1)*RampSpeed/J4))</f>
        <v/>
      </c>
      <c r="M4" s="45">
        <f>IF(A4&lt;I4,0,IF(K4="S-curve",L4*L4*(3-2*L4),L4))</f>
        <v/>
      </c>
      <c r="N4" s="45">
        <f>1+(INDEX(SeasonIdx,A4)-1)*SeasonAmp</f>
        <v/>
      </c>
      <c r="O4" s="45">
        <f>IFERROR(INDEX(PSPct,MATCH(E4&amp;"|"&amp;G4,PSKey,0)),0)</f>
        <v/>
      </c>
      <c r="P4" s="46">
        <f>INDEX(ChDoorVel,MATCH(E4,ChName,0))*CalibScalar*(1+VelocityUplift)</f>
        <v/>
      </c>
      <c r="Q4" s="46" t="n">
        <v>0</v>
      </c>
      <c r="R4" s="46">
        <f>P4*O4*M4*N4*H4</f>
        <v/>
      </c>
      <c r="S4" s="46">
        <f>R4*INDEX(FmtCansPerCase,MATCH(F4,FmtName,0))</f>
        <v/>
      </c>
      <c r="T4" s="46">
        <f>S4/INDEX(FmtCansPerPack,MATCH(F4,FmtName,0))</f>
        <v/>
      </c>
      <c r="U4" s="47">
        <f>INDEX(ChBaseCP,MATCH(E4,ChName,0))*(1+INDEX(ProvMod,MATCH(G4,ProvCode,0)))*(1+PriceIndex)</f>
        <v/>
      </c>
      <c r="V4" s="47">
        <f>R4*U4*INDEX(FmtBlendedPriceIdx,MATCH(F4,FmtName,0))</f>
        <v/>
      </c>
      <c r="W4" s="47">
        <f>T4*INDEX(ProvSRP,MATCH(G4,ProvCode,0))*(1+PriceIndex)</f>
        <v/>
      </c>
      <c r="X4" s="47">
        <f>IF(GrossBasis="Wholesale",V4,W4)</f>
        <v/>
      </c>
      <c r="Y4" s="47">
        <f>R4*INDEX(FmtBlendedCogs,MATCH(F4,FmtName,0))</f>
        <v/>
      </c>
      <c r="Z4" s="47">
        <f>X4-Y4</f>
        <v/>
      </c>
    </row>
    <row r="5">
      <c r="A5" t="n">
        <v>4</v>
      </c>
      <c r="B5" s="44">
        <f>FiscalStart+(A5-1)*7</f>
        <v/>
      </c>
      <c r="C5">
        <f>TEXT(B5,"mmm yyyy")</f>
        <v/>
      </c>
      <c r="D5">
        <f>"Q"&amp;(INT((A5-1)/13)+1)</f>
        <v/>
      </c>
      <c r="E5" t="inlineStr">
        <is>
          <t>Convenience</t>
        </is>
      </c>
      <c r="F5">
        <f>IFERROR(INDEX(ChFormat,MATCH(E5,ChName,0)),"")</f>
        <v/>
      </c>
      <c r="G5" t="inlineStr">
        <is>
          <t>BC</t>
        </is>
      </c>
      <c r="H5">
        <f>IF(A5&lt;=NWeeks,1,0)</f>
        <v/>
      </c>
      <c r="I5">
        <f>INDEX(ChLaunch,MATCH(E5,ChName,0))</f>
        <v/>
      </c>
      <c r="J5">
        <f>INDEX(ChWeeksFull,MATCH(E5,ChName,0))</f>
        <v/>
      </c>
      <c r="K5">
        <f>INDEX(ChRamp,MATCH(E5,ChName,0))</f>
        <v/>
      </c>
      <c r="L5" s="45">
        <f>MIN(1,MAX(0,(A5-I5+1)*RampSpeed/J5))</f>
        <v/>
      </c>
      <c r="M5" s="45">
        <f>IF(A5&lt;I5,0,IF(K5="S-curve",L5*L5*(3-2*L5),L5))</f>
        <v/>
      </c>
      <c r="N5" s="45">
        <f>1+(INDEX(SeasonIdx,A5)-1)*SeasonAmp</f>
        <v/>
      </c>
      <c r="O5" s="45">
        <f>IFERROR(INDEX(PSPct,MATCH(E5&amp;"|"&amp;G5,PSKey,0)),0)</f>
        <v/>
      </c>
      <c r="P5" s="46">
        <f>INDEX(ChDoorVel,MATCH(E5,ChName,0))*CalibScalar*(1+VelocityUplift)</f>
        <v/>
      </c>
      <c r="Q5" s="46" t="n">
        <v>0</v>
      </c>
      <c r="R5" s="46">
        <f>P5*O5*M5*N5*H5</f>
        <v/>
      </c>
      <c r="S5" s="46">
        <f>R5*INDEX(FmtCansPerCase,MATCH(F5,FmtName,0))</f>
        <v/>
      </c>
      <c r="T5" s="46">
        <f>S5/INDEX(FmtCansPerPack,MATCH(F5,FmtName,0))</f>
        <v/>
      </c>
      <c r="U5" s="47">
        <f>INDEX(ChBaseCP,MATCH(E5,ChName,0))*(1+INDEX(ProvMod,MATCH(G5,ProvCode,0)))*(1+PriceIndex)</f>
        <v/>
      </c>
      <c r="V5" s="47">
        <f>R5*U5*INDEX(FmtBlendedPriceIdx,MATCH(F5,FmtName,0))</f>
        <v/>
      </c>
      <c r="W5" s="47">
        <f>T5*INDEX(ProvSRP,MATCH(G5,ProvCode,0))*(1+PriceIndex)</f>
        <v/>
      </c>
      <c r="X5" s="47">
        <f>IF(GrossBasis="Wholesale",V5,W5)</f>
        <v/>
      </c>
      <c r="Y5" s="47">
        <f>R5*INDEX(FmtBlendedCogs,MATCH(F5,FmtName,0))</f>
        <v/>
      </c>
      <c r="Z5" s="47">
        <f>X5-Y5</f>
        <v/>
      </c>
    </row>
    <row r="6">
      <c r="A6" t="n">
        <v>5</v>
      </c>
      <c r="B6" s="44">
        <f>FiscalStart+(A6-1)*7</f>
        <v/>
      </c>
      <c r="C6">
        <f>TEXT(B6,"mmm yyyy")</f>
        <v/>
      </c>
      <c r="D6">
        <f>"Q"&amp;(INT((A6-1)/13)+1)</f>
        <v/>
      </c>
      <c r="E6" t="inlineStr">
        <is>
          <t>Convenience</t>
        </is>
      </c>
      <c r="F6">
        <f>IFERROR(INDEX(ChFormat,MATCH(E6,ChName,0)),"")</f>
        <v/>
      </c>
      <c r="G6" t="inlineStr">
        <is>
          <t>BC</t>
        </is>
      </c>
      <c r="H6">
        <f>IF(A6&lt;=NWeeks,1,0)</f>
        <v/>
      </c>
      <c r="I6">
        <f>INDEX(ChLaunch,MATCH(E6,ChName,0))</f>
        <v/>
      </c>
      <c r="J6">
        <f>INDEX(ChWeeksFull,MATCH(E6,ChName,0))</f>
        <v/>
      </c>
      <c r="K6">
        <f>INDEX(ChRamp,MATCH(E6,ChName,0))</f>
        <v/>
      </c>
      <c r="L6" s="45">
        <f>MIN(1,MAX(0,(A6-I6+1)*RampSpeed/J6))</f>
        <v/>
      </c>
      <c r="M6" s="45">
        <f>IF(A6&lt;I6,0,IF(K6="S-curve",L6*L6*(3-2*L6),L6))</f>
        <v/>
      </c>
      <c r="N6" s="45">
        <f>1+(INDEX(SeasonIdx,A6)-1)*SeasonAmp</f>
        <v/>
      </c>
      <c r="O6" s="45">
        <f>IFERROR(INDEX(PSPct,MATCH(E6&amp;"|"&amp;G6,PSKey,0)),0)</f>
        <v/>
      </c>
      <c r="P6" s="46">
        <f>INDEX(ChDoorVel,MATCH(E6,ChName,0))*CalibScalar*(1+VelocityUplift)</f>
        <v/>
      </c>
      <c r="Q6" s="46" t="n">
        <v>0</v>
      </c>
      <c r="R6" s="46">
        <f>P6*O6*M6*N6*H6</f>
        <v/>
      </c>
      <c r="S6" s="46">
        <f>R6*INDEX(FmtCansPerCase,MATCH(F6,FmtName,0))</f>
        <v/>
      </c>
      <c r="T6" s="46">
        <f>S6/INDEX(FmtCansPerPack,MATCH(F6,FmtName,0))</f>
        <v/>
      </c>
      <c r="U6" s="47">
        <f>INDEX(ChBaseCP,MATCH(E6,ChName,0))*(1+INDEX(ProvMod,MATCH(G6,ProvCode,0)))*(1+PriceIndex)</f>
        <v/>
      </c>
      <c r="V6" s="47">
        <f>R6*U6*INDEX(FmtBlendedPriceIdx,MATCH(F6,FmtName,0))</f>
        <v/>
      </c>
      <c r="W6" s="47">
        <f>T6*INDEX(ProvSRP,MATCH(G6,ProvCode,0))*(1+PriceIndex)</f>
        <v/>
      </c>
      <c r="X6" s="47">
        <f>IF(GrossBasis="Wholesale",V6,W6)</f>
        <v/>
      </c>
      <c r="Y6" s="47">
        <f>R6*INDEX(FmtBlendedCogs,MATCH(F6,FmtName,0))</f>
        <v/>
      </c>
      <c r="Z6" s="47">
        <f>X6-Y6</f>
        <v/>
      </c>
    </row>
    <row r="7">
      <c r="A7" t="n">
        <v>6</v>
      </c>
      <c r="B7" s="44">
        <f>FiscalStart+(A7-1)*7</f>
        <v/>
      </c>
      <c r="C7">
        <f>TEXT(B7,"mmm yyyy")</f>
        <v/>
      </c>
      <c r="D7">
        <f>"Q"&amp;(INT((A7-1)/13)+1)</f>
        <v/>
      </c>
      <c r="E7" t="inlineStr">
        <is>
          <t>Convenience</t>
        </is>
      </c>
      <c r="F7">
        <f>IFERROR(INDEX(ChFormat,MATCH(E7,ChName,0)),"")</f>
        <v/>
      </c>
      <c r="G7" t="inlineStr">
        <is>
          <t>BC</t>
        </is>
      </c>
      <c r="H7">
        <f>IF(A7&lt;=NWeeks,1,0)</f>
        <v/>
      </c>
      <c r="I7">
        <f>INDEX(ChLaunch,MATCH(E7,ChName,0))</f>
        <v/>
      </c>
      <c r="J7">
        <f>INDEX(ChWeeksFull,MATCH(E7,ChName,0))</f>
        <v/>
      </c>
      <c r="K7">
        <f>INDEX(ChRamp,MATCH(E7,ChName,0))</f>
        <v/>
      </c>
      <c r="L7" s="45">
        <f>MIN(1,MAX(0,(A7-I7+1)*RampSpeed/J7))</f>
        <v/>
      </c>
      <c r="M7" s="45">
        <f>IF(A7&lt;I7,0,IF(K7="S-curve",L7*L7*(3-2*L7),L7))</f>
        <v/>
      </c>
      <c r="N7" s="45">
        <f>1+(INDEX(SeasonIdx,A7)-1)*SeasonAmp</f>
        <v/>
      </c>
      <c r="O7" s="45">
        <f>IFERROR(INDEX(PSPct,MATCH(E7&amp;"|"&amp;G7,PSKey,0)),0)</f>
        <v/>
      </c>
      <c r="P7" s="46">
        <f>INDEX(ChDoorVel,MATCH(E7,ChName,0))*CalibScalar*(1+VelocityUplift)</f>
        <v/>
      </c>
      <c r="Q7" s="46" t="n">
        <v>0</v>
      </c>
      <c r="R7" s="46">
        <f>P7*O7*M7*N7*H7</f>
        <v/>
      </c>
      <c r="S7" s="46">
        <f>R7*INDEX(FmtCansPerCase,MATCH(F7,FmtName,0))</f>
        <v/>
      </c>
      <c r="T7" s="46">
        <f>S7/INDEX(FmtCansPerPack,MATCH(F7,FmtName,0))</f>
        <v/>
      </c>
      <c r="U7" s="47">
        <f>INDEX(ChBaseCP,MATCH(E7,ChName,0))*(1+INDEX(ProvMod,MATCH(G7,ProvCode,0)))*(1+PriceIndex)</f>
        <v/>
      </c>
      <c r="V7" s="47">
        <f>R7*U7*INDEX(FmtBlendedPriceIdx,MATCH(F7,FmtName,0))</f>
        <v/>
      </c>
      <c r="W7" s="47">
        <f>T7*INDEX(ProvSRP,MATCH(G7,ProvCode,0))*(1+PriceIndex)</f>
        <v/>
      </c>
      <c r="X7" s="47">
        <f>IF(GrossBasis="Wholesale",V7,W7)</f>
        <v/>
      </c>
      <c r="Y7" s="47">
        <f>R7*INDEX(FmtBlendedCogs,MATCH(F7,FmtName,0))</f>
        <v/>
      </c>
      <c r="Z7" s="47">
        <f>X7-Y7</f>
        <v/>
      </c>
    </row>
    <row r="8">
      <c r="A8" t="n">
        <v>7</v>
      </c>
      <c r="B8" s="44">
        <f>FiscalStart+(A8-1)*7</f>
        <v/>
      </c>
      <c r="C8">
        <f>TEXT(B8,"mmm yyyy")</f>
        <v/>
      </c>
      <c r="D8">
        <f>"Q"&amp;(INT((A8-1)/13)+1)</f>
        <v/>
      </c>
      <c r="E8" t="inlineStr">
        <is>
          <t>Convenience</t>
        </is>
      </c>
      <c r="F8">
        <f>IFERROR(INDEX(ChFormat,MATCH(E8,ChName,0)),"")</f>
        <v/>
      </c>
      <c r="G8" t="inlineStr">
        <is>
          <t>BC</t>
        </is>
      </c>
      <c r="H8">
        <f>IF(A8&lt;=NWeeks,1,0)</f>
        <v/>
      </c>
      <c r="I8">
        <f>INDEX(ChLaunch,MATCH(E8,ChName,0))</f>
        <v/>
      </c>
      <c r="J8">
        <f>INDEX(ChWeeksFull,MATCH(E8,ChName,0))</f>
        <v/>
      </c>
      <c r="K8">
        <f>INDEX(ChRamp,MATCH(E8,ChName,0))</f>
        <v/>
      </c>
      <c r="L8" s="45">
        <f>MIN(1,MAX(0,(A8-I8+1)*RampSpeed/J8))</f>
        <v/>
      </c>
      <c r="M8" s="45">
        <f>IF(A8&lt;I8,0,IF(K8="S-curve",L8*L8*(3-2*L8),L8))</f>
        <v/>
      </c>
      <c r="N8" s="45">
        <f>1+(INDEX(SeasonIdx,A8)-1)*SeasonAmp</f>
        <v/>
      </c>
      <c r="O8" s="45">
        <f>IFERROR(INDEX(PSPct,MATCH(E8&amp;"|"&amp;G8,PSKey,0)),0)</f>
        <v/>
      </c>
      <c r="P8" s="46">
        <f>INDEX(ChDoorVel,MATCH(E8,ChName,0))*CalibScalar*(1+VelocityUplift)</f>
        <v/>
      </c>
      <c r="Q8" s="46" t="n">
        <v>0</v>
      </c>
      <c r="R8" s="46">
        <f>P8*O8*M8*N8*H8</f>
        <v/>
      </c>
      <c r="S8" s="46">
        <f>R8*INDEX(FmtCansPerCase,MATCH(F8,FmtName,0))</f>
        <v/>
      </c>
      <c r="T8" s="46">
        <f>S8/INDEX(FmtCansPerPack,MATCH(F8,FmtName,0))</f>
        <v/>
      </c>
      <c r="U8" s="47">
        <f>INDEX(ChBaseCP,MATCH(E8,ChName,0))*(1+INDEX(ProvMod,MATCH(G8,ProvCode,0)))*(1+PriceIndex)</f>
        <v/>
      </c>
      <c r="V8" s="47">
        <f>R8*U8*INDEX(FmtBlendedPriceIdx,MATCH(F8,FmtName,0))</f>
        <v/>
      </c>
      <c r="W8" s="47">
        <f>T8*INDEX(ProvSRP,MATCH(G8,ProvCode,0))*(1+PriceIndex)</f>
        <v/>
      </c>
      <c r="X8" s="47">
        <f>IF(GrossBasis="Wholesale",V8,W8)</f>
        <v/>
      </c>
      <c r="Y8" s="47">
        <f>R8*INDEX(FmtBlendedCogs,MATCH(F8,FmtName,0))</f>
        <v/>
      </c>
      <c r="Z8" s="47">
        <f>X8-Y8</f>
        <v/>
      </c>
    </row>
    <row r="9">
      <c r="A9" t="n">
        <v>8</v>
      </c>
      <c r="B9" s="44">
        <f>FiscalStart+(A9-1)*7</f>
        <v/>
      </c>
      <c r="C9">
        <f>TEXT(B9,"mmm yyyy")</f>
        <v/>
      </c>
      <c r="D9">
        <f>"Q"&amp;(INT((A9-1)/13)+1)</f>
        <v/>
      </c>
      <c r="E9" t="inlineStr">
        <is>
          <t>Convenience</t>
        </is>
      </c>
      <c r="F9">
        <f>IFERROR(INDEX(ChFormat,MATCH(E9,ChName,0)),"")</f>
        <v/>
      </c>
      <c r="G9" t="inlineStr">
        <is>
          <t>BC</t>
        </is>
      </c>
      <c r="H9">
        <f>IF(A9&lt;=NWeeks,1,0)</f>
        <v/>
      </c>
      <c r="I9">
        <f>INDEX(ChLaunch,MATCH(E9,ChName,0))</f>
        <v/>
      </c>
      <c r="J9">
        <f>INDEX(ChWeeksFull,MATCH(E9,ChName,0))</f>
        <v/>
      </c>
      <c r="K9">
        <f>INDEX(ChRamp,MATCH(E9,ChName,0))</f>
        <v/>
      </c>
      <c r="L9" s="45">
        <f>MIN(1,MAX(0,(A9-I9+1)*RampSpeed/J9))</f>
        <v/>
      </c>
      <c r="M9" s="45">
        <f>IF(A9&lt;I9,0,IF(K9="S-curve",L9*L9*(3-2*L9),L9))</f>
        <v/>
      </c>
      <c r="N9" s="45">
        <f>1+(INDEX(SeasonIdx,A9)-1)*SeasonAmp</f>
        <v/>
      </c>
      <c r="O9" s="45">
        <f>IFERROR(INDEX(PSPct,MATCH(E9&amp;"|"&amp;G9,PSKey,0)),0)</f>
        <v/>
      </c>
      <c r="P9" s="46">
        <f>INDEX(ChDoorVel,MATCH(E9,ChName,0))*CalibScalar*(1+VelocityUplift)</f>
        <v/>
      </c>
      <c r="Q9" s="46" t="n">
        <v>0</v>
      </c>
      <c r="R9" s="46">
        <f>P9*O9*M9*N9*H9</f>
        <v/>
      </c>
      <c r="S9" s="46">
        <f>R9*INDEX(FmtCansPerCase,MATCH(F9,FmtName,0))</f>
        <v/>
      </c>
      <c r="T9" s="46">
        <f>S9/INDEX(FmtCansPerPack,MATCH(F9,FmtName,0))</f>
        <v/>
      </c>
      <c r="U9" s="47">
        <f>INDEX(ChBaseCP,MATCH(E9,ChName,0))*(1+INDEX(ProvMod,MATCH(G9,ProvCode,0)))*(1+PriceIndex)</f>
        <v/>
      </c>
      <c r="V9" s="47">
        <f>R9*U9*INDEX(FmtBlendedPriceIdx,MATCH(F9,FmtName,0))</f>
        <v/>
      </c>
      <c r="W9" s="47">
        <f>T9*INDEX(ProvSRP,MATCH(G9,ProvCode,0))*(1+PriceIndex)</f>
        <v/>
      </c>
      <c r="X9" s="47">
        <f>IF(GrossBasis="Wholesale",V9,W9)</f>
        <v/>
      </c>
      <c r="Y9" s="47">
        <f>R9*INDEX(FmtBlendedCogs,MATCH(F9,FmtName,0))</f>
        <v/>
      </c>
      <c r="Z9" s="47">
        <f>X9-Y9</f>
        <v/>
      </c>
    </row>
    <row r="10">
      <c r="A10" t="n">
        <v>9</v>
      </c>
      <c r="B10" s="44">
        <f>FiscalStart+(A10-1)*7</f>
        <v/>
      </c>
      <c r="C10">
        <f>TEXT(B10,"mmm yyyy")</f>
        <v/>
      </c>
      <c r="D10">
        <f>"Q"&amp;(INT((A10-1)/13)+1)</f>
        <v/>
      </c>
      <c r="E10" t="inlineStr">
        <is>
          <t>Convenience</t>
        </is>
      </c>
      <c r="F10">
        <f>IFERROR(INDEX(ChFormat,MATCH(E10,ChName,0)),"")</f>
        <v/>
      </c>
      <c r="G10" t="inlineStr">
        <is>
          <t>BC</t>
        </is>
      </c>
      <c r="H10">
        <f>IF(A10&lt;=NWeeks,1,0)</f>
        <v/>
      </c>
      <c r="I10">
        <f>INDEX(ChLaunch,MATCH(E10,ChName,0))</f>
        <v/>
      </c>
      <c r="J10">
        <f>INDEX(ChWeeksFull,MATCH(E10,ChName,0))</f>
        <v/>
      </c>
      <c r="K10">
        <f>INDEX(ChRamp,MATCH(E10,ChName,0))</f>
        <v/>
      </c>
      <c r="L10" s="45">
        <f>MIN(1,MAX(0,(A10-I10+1)*RampSpeed/J10))</f>
        <v/>
      </c>
      <c r="M10" s="45">
        <f>IF(A10&lt;I10,0,IF(K10="S-curve",L10*L10*(3-2*L10),L10))</f>
        <v/>
      </c>
      <c r="N10" s="45">
        <f>1+(INDEX(SeasonIdx,A10)-1)*SeasonAmp</f>
        <v/>
      </c>
      <c r="O10" s="45">
        <f>IFERROR(INDEX(PSPct,MATCH(E10&amp;"|"&amp;G10,PSKey,0)),0)</f>
        <v/>
      </c>
      <c r="P10" s="46">
        <f>INDEX(ChDoorVel,MATCH(E10,ChName,0))*CalibScalar*(1+VelocityUplift)</f>
        <v/>
      </c>
      <c r="Q10" s="46" t="n">
        <v>0</v>
      </c>
      <c r="R10" s="46">
        <f>P10*O10*M10*N10*H10</f>
        <v/>
      </c>
      <c r="S10" s="46">
        <f>R10*INDEX(FmtCansPerCase,MATCH(F10,FmtName,0))</f>
        <v/>
      </c>
      <c r="T10" s="46">
        <f>S10/INDEX(FmtCansPerPack,MATCH(F10,FmtName,0))</f>
        <v/>
      </c>
      <c r="U10" s="47">
        <f>INDEX(ChBaseCP,MATCH(E10,ChName,0))*(1+INDEX(ProvMod,MATCH(G10,ProvCode,0)))*(1+PriceIndex)</f>
        <v/>
      </c>
      <c r="V10" s="47">
        <f>R10*U10*INDEX(FmtBlendedPriceIdx,MATCH(F10,FmtName,0))</f>
        <v/>
      </c>
      <c r="W10" s="47">
        <f>T10*INDEX(ProvSRP,MATCH(G10,ProvCode,0))*(1+PriceIndex)</f>
        <v/>
      </c>
      <c r="X10" s="47">
        <f>IF(GrossBasis="Wholesale",V10,W10)</f>
        <v/>
      </c>
      <c r="Y10" s="47">
        <f>R10*INDEX(FmtBlendedCogs,MATCH(F10,FmtName,0))</f>
        <v/>
      </c>
      <c r="Z10" s="47">
        <f>X10-Y10</f>
        <v/>
      </c>
    </row>
    <row r="11">
      <c r="A11" t="n">
        <v>10</v>
      </c>
      <c r="B11" s="44">
        <f>FiscalStart+(A11-1)*7</f>
        <v/>
      </c>
      <c r="C11">
        <f>TEXT(B11,"mmm yyyy")</f>
        <v/>
      </c>
      <c r="D11">
        <f>"Q"&amp;(INT((A11-1)/13)+1)</f>
        <v/>
      </c>
      <c r="E11" t="inlineStr">
        <is>
          <t>Convenience</t>
        </is>
      </c>
      <c r="F11">
        <f>IFERROR(INDEX(ChFormat,MATCH(E11,ChName,0)),"")</f>
        <v/>
      </c>
      <c r="G11" t="inlineStr">
        <is>
          <t>BC</t>
        </is>
      </c>
      <c r="H11">
        <f>IF(A11&lt;=NWeeks,1,0)</f>
        <v/>
      </c>
      <c r="I11">
        <f>INDEX(ChLaunch,MATCH(E11,ChName,0))</f>
        <v/>
      </c>
      <c r="J11">
        <f>INDEX(ChWeeksFull,MATCH(E11,ChName,0))</f>
        <v/>
      </c>
      <c r="K11">
        <f>INDEX(ChRamp,MATCH(E11,ChName,0))</f>
        <v/>
      </c>
      <c r="L11" s="45">
        <f>MIN(1,MAX(0,(A11-I11+1)*RampSpeed/J11))</f>
        <v/>
      </c>
      <c r="M11" s="45">
        <f>IF(A11&lt;I11,0,IF(K11="S-curve",L11*L11*(3-2*L11),L11))</f>
        <v/>
      </c>
      <c r="N11" s="45">
        <f>1+(INDEX(SeasonIdx,A11)-1)*SeasonAmp</f>
        <v/>
      </c>
      <c r="O11" s="45">
        <f>IFERROR(INDEX(PSPct,MATCH(E11&amp;"|"&amp;G11,PSKey,0)),0)</f>
        <v/>
      </c>
      <c r="P11" s="46">
        <f>INDEX(ChDoorVel,MATCH(E11,ChName,0))*CalibScalar*(1+VelocityUplift)</f>
        <v/>
      </c>
      <c r="Q11" s="46" t="n">
        <v>0</v>
      </c>
      <c r="R11" s="46">
        <f>P11*O11*M11*N11*H11</f>
        <v/>
      </c>
      <c r="S11" s="46">
        <f>R11*INDEX(FmtCansPerCase,MATCH(F11,FmtName,0))</f>
        <v/>
      </c>
      <c r="T11" s="46">
        <f>S11/INDEX(FmtCansPerPack,MATCH(F11,FmtName,0))</f>
        <v/>
      </c>
      <c r="U11" s="47">
        <f>INDEX(ChBaseCP,MATCH(E11,ChName,0))*(1+INDEX(ProvMod,MATCH(G11,ProvCode,0)))*(1+PriceIndex)</f>
        <v/>
      </c>
      <c r="V11" s="47">
        <f>R11*U11*INDEX(FmtBlendedPriceIdx,MATCH(F11,FmtName,0))</f>
        <v/>
      </c>
      <c r="W11" s="47">
        <f>T11*INDEX(ProvSRP,MATCH(G11,ProvCode,0))*(1+PriceIndex)</f>
        <v/>
      </c>
      <c r="X11" s="47">
        <f>IF(GrossBasis="Wholesale",V11,W11)</f>
        <v/>
      </c>
      <c r="Y11" s="47">
        <f>R11*INDEX(FmtBlendedCogs,MATCH(F11,FmtName,0))</f>
        <v/>
      </c>
      <c r="Z11" s="47">
        <f>X11-Y11</f>
        <v/>
      </c>
    </row>
    <row r="12">
      <c r="A12" t="n">
        <v>11</v>
      </c>
      <c r="B12" s="44">
        <f>FiscalStart+(A12-1)*7</f>
        <v/>
      </c>
      <c r="C12">
        <f>TEXT(B12,"mmm yyyy")</f>
        <v/>
      </c>
      <c r="D12">
        <f>"Q"&amp;(INT((A12-1)/13)+1)</f>
        <v/>
      </c>
      <c r="E12" t="inlineStr">
        <is>
          <t>Convenience</t>
        </is>
      </c>
      <c r="F12">
        <f>IFERROR(INDEX(ChFormat,MATCH(E12,ChName,0)),"")</f>
        <v/>
      </c>
      <c r="G12" t="inlineStr">
        <is>
          <t>BC</t>
        </is>
      </c>
      <c r="H12">
        <f>IF(A12&lt;=NWeeks,1,0)</f>
        <v/>
      </c>
      <c r="I12">
        <f>INDEX(ChLaunch,MATCH(E12,ChName,0))</f>
        <v/>
      </c>
      <c r="J12">
        <f>INDEX(ChWeeksFull,MATCH(E12,ChName,0))</f>
        <v/>
      </c>
      <c r="K12">
        <f>INDEX(ChRamp,MATCH(E12,ChName,0))</f>
        <v/>
      </c>
      <c r="L12" s="45">
        <f>MIN(1,MAX(0,(A12-I12+1)*RampSpeed/J12))</f>
        <v/>
      </c>
      <c r="M12" s="45">
        <f>IF(A12&lt;I12,0,IF(K12="S-curve",L12*L12*(3-2*L12),L12))</f>
        <v/>
      </c>
      <c r="N12" s="45">
        <f>1+(INDEX(SeasonIdx,A12)-1)*SeasonAmp</f>
        <v/>
      </c>
      <c r="O12" s="45">
        <f>IFERROR(INDEX(PSPct,MATCH(E12&amp;"|"&amp;G12,PSKey,0)),0)</f>
        <v/>
      </c>
      <c r="P12" s="46">
        <f>INDEX(ChDoorVel,MATCH(E12,ChName,0))*CalibScalar*(1+VelocityUplift)</f>
        <v/>
      </c>
      <c r="Q12" s="46" t="n">
        <v>0</v>
      </c>
      <c r="R12" s="46">
        <f>P12*O12*M12*N12*H12</f>
        <v/>
      </c>
      <c r="S12" s="46">
        <f>R12*INDEX(FmtCansPerCase,MATCH(F12,FmtName,0))</f>
        <v/>
      </c>
      <c r="T12" s="46">
        <f>S12/INDEX(FmtCansPerPack,MATCH(F12,FmtName,0))</f>
        <v/>
      </c>
      <c r="U12" s="47">
        <f>INDEX(ChBaseCP,MATCH(E12,ChName,0))*(1+INDEX(ProvMod,MATCH(G12,ProvCode,0)))*(1+PriceIndex)</f>
        <v/>
      </c>
      <c r="V12" s="47">
        <f>R12*U12*INDEX(FmtBlendedPriceIdx,MATCH(F12,FmtName,0))</f>
        <v/>
      </c>
      <c r="W12" s="47">
        <f>T12*INDEX(ProvSRP,MATCH(G12,ProvCode,0))*(1+PriceIndex)</f>
        <v/>
      </c>
      <c r="X12" s="47">
        <f>IF(GrossBasis="Wholesale",V12,W12)</f>
        <v/>
      </c>
      <c r="Y12" s="47">
        <f>R12*INDEX(FmtBlendedCogs,MATCH(F12,FmtName,0))</f>
        <v/>
      </c>
      <c r="Z12" s="47">
        <f>X12-Y12</f>
        <v/>
      </c>
    </row>
    <row r="13">
      <c r="A13" t="n">
        <v>12</v>
      </c>
      <c r="B13" s="44">
        <f>FiscalStart+(A13-1)*7</f>
        <v/>
      </c>
      <c r="C13">
        <f>TEXT(B13,"mmm yyyy")</f>
        <v/>
      </c>
      <c r="D13">
        <f>"Q"&amp;(INT((A13-1)/13)+1)</f>
        <v/>
      </c>
      <c r="E13" t="inlineStr">
        <is>
          <t>Convenience</t>
        </is>
      </c>
      <c r="F13">
        <f>IFERROR(INDEX(ChFormat,MATCH(E13,ChName,0)),"")</f>
        <v/>
      </c>
      <c r="G13" t="inlineStr">
        <is>
          <t>BC</t>
        </is>
      </c>
      <c r="H13">
        <f>IF(A13&lt;=NWeeks,1,0)</f>
        <v/>
      </c>
      <c r="I13">
        <f>INDEX(ChLaunch,MATCH(E13,ChName,0))</f>
        <v/>
      </c>
      <c r="J13">
        <f>INDEX(ChWeeksFull,MATCH(E13,ChName,0))</f>
        <v/>
      </c>
      <c r="K13">
        <f>INDEX(ChRamp,MATCH(E13,ChName,0))</f>
        <v/>
      </c>
      <c r="L13" s="45">
        <f>MIN(1,MAX(0,(A13-I13+1)*RampSpeed/J13))</f>
        <v/>
      </c>
      <c r="M13" s="45">
        <f>IF(A13&lt;I13,0,IF(K13="S-curve",L13*L13*(3-2*L13),L13))</f>
        <v/>
      </c>
      <c r="N13" s="45">
        <f>1+(INDEX(SeasonIdx,A13)-1)*SeasonAmp</f>
        <v/>
      </c>
      <c r="O13" s="45">
        <f>IFERROR(INDEX(PSPct,MATCH(E13&amp;"|"&amp;G13,PSKey,0)),0)</f>
        <v/>
      </c>
      <c r="P13" s="46">
        <f>INDEX(ChDoorVel,MATCH(E13,ChName,0))*CalibScalar*(1+VelocityUplift)</f>
        <v/>
      </c>
      <c r="Q13" s="46" t="n">
        <v>0</v>
      </c>
      <c r="R13" s="46">
        <f>P13*O13*M13*N13*H13</f>
        <v/>
      </c>
      <c r="S13" s="46">
        <f>R13*INDEX(FmtCansPerCase,MATCH(F13,FmtName,0))</f>
        <v/>
      </c>
      <c r="T13" s="46">
        <f>S13/INDEX(FmtCansPerPack,MATCH(F13,FmtName,0))</f>
        <v/>
      </c>
      <c r="U13" s="47">
        <f>INDEX(ChBaseCP,MATCH(E13,ChName,0))*(1+INDEX(ProvMod,MATCH(G13,ProvCode,0)))*(1+PriceIndex)</f>
        <v/>
      </c>
      <c r="V13" s="47">
        <f>R13*U13*INDEX(FmtBlendedPriceIdx,MATCH(F13,FmtName,0))</f>
        <v/>
      </c>
      <c r="W13" s="47">
        <f>T13*INDEX(ProvSRP,MATCH(G13,ProvCode,0))*(1+PriceIndex)</f>
        <v/>
      </c>
      <c r="X13" s="47">
        <f>IF(GrossBasis="Wholesale",V13,W13)</f>
        <v/>
      </c>
      <c r="Y13" s="47">
        <f>R13*INDEX(FmtBlendedCogs,MATCH(F13,FmtName,0))</f>
        <v/>
      </c>
      <c r="Z13" s="47">
        <f>X13-Y13</f>
        <v/>
      </c>
    </row>
    <row r="14">
      <c r="A14" t="n">
        <v>13</v>
      </c>
      <c r="B14" s="44">
        <f>FiscalStart+(A14-1)*7</f>
        <v/>
      </c>
      <c r="C14">
        <f>TEXT(B14,"mmm yyyy")</f>
        <v/>
      </c>
      <c r="D14">
        <f>"Q"&amp;(INT((A14-1)/13)+1)</f>
        <v/>
      </c>
      <c r="E14" t="inlineStr">
        <is>
          <t>Convenience</t>
        </is>
      </c>
      <c r="F14">
        <f>IFERROR(INDEX(ChFormat,MATCH(E14,ChName,0)),"")</f>
        <v/>
      </c>
      <c r="G14" t="inlineStr">
        <is>
          <t>BC</t>
        </is>
      </c>
      <c r="H14">
        <f>IF(A14&lt;=NWeeks,1,0)</f>
        <v/>
      </c>
      <c r="I14">
        <f>INDEX(ChLaunch,MATCH(E14,ChName,0))</f>
        <v/>
      </c>
      <c r="J14">
        <f>INDEX(ChWeeksFull,MATCH(E14,ChName,0))</f>
        <v/>
      </c>
      <c r="K14">
        <f>INDEX(ChRamp,MATCH(E14,ChName,0))</f>
        <v/>
      </c>
      <c r="L14" s="45">
        <f>MIN(1,MAX(0,(A14-I14+1)*RampSpeed/J14))</f>
        <v/>
      </c>
      <c r="M14" s="45">
        <f>IF(A14&lt;I14,0,IF(K14="S-curve",L14*L14*(3-2*L14),L14))</f>
        <v/>
      </c>
      <c r="N14" s="45">
        <f>1+(INDEX(SeasonIdx,A14)-1)*SeasonAmp</f>
        <v/>
      </c>
      <c r="O14" s="45">
        <f>IFERROR(INDEX(PSPct,MATCH(E14&amp;"|"&amp;G14,PSKey,0)),0)</f>
        <v/>
      </c>
      <c r="P14" s="46">
        <f>INDEX(ChDoorVel,MATCH(E14,ChName,0))*CalibScalar*(1+VelocityUplift)</f>
        <v/>
      </c>
      <c r="Q14" s="46" t="n">
        <v>0</v>
      </c>
      <c r="R14" s="46">
        <f>P14*O14*M14*N14*H14</f>
        <v/>
      </c>
      <c r="S14" s="46">
        <f>R14*INDEX(FmtCansPerCase,MATCH(F14,FmtName,0))</f>
        <v/>
      </c>
      <c r="T14" s="46">
        <f>S14/INDEX(FmtCansPerPack,MATCH(F14,FmtName,0))</f>
        <v/>
      </c>
      <c r="U14" s="47">
        <f>INDEX(ChBaseCP,MATCH(E14,ChName,0))*(1+INDEX(ProvMod,MATCH(G14,ProvCode,0)))*(1+PriceIndex)</f>
        <v/>
      </c>
      <c r="V14" s="47">
        <f>R14*U14*INDEX(FmtBlendedPriceIdx,MATCH(F14,FmtName,0))</f>
        <v/>
      </c>
      <c r="W14" s="47">
        <f>T14*INDEX(ProvSRP,MATCH(G14,ProvCode,0))*(1+PriceIndex)</f>
        <v/>
      </c>
      <c r="X14" s="47">
        <f>IF(GrossBasis="Wholesale",V14,W14)</f>
        <v/>
      </c>
      <c r="Y14" s="47">
        <f>R14*INDEX(FmtBlendedCogs,MATCH(F14,FmtName,0))</f>
        <v/>
      </c>
      <c r="Z14" s="47">
        <f>X14-Y14</f>
        <v/>
      </c>
    </row>
    <row r="15">
      <c r="A15" t="n">
        <v>14</v>
      </c>
      <c r="B15" s="44">
        <f>FiscalStart+(A15-1)*7</f>
        <v/>
      </c>
      <c r="C15">
        <f>TEXT(B15,"mmm yyyy")</f>
        <v/>
      </c>
      <c r="D15">
        <f>"Q"&amp;(INT((A15-1)/13)+1)</f>
        <v/>
      </c>
      <c r="E15" t="inlineStr">
        <is>
          <t>Convenience</t>
        </is>
      </c>
      <c r="F15">
        <f>IFERROR(INDEX(ChFormat,MATCH(E15,ChName,0)),"")</f>
        <v/>
      </c>
      <c r="G15" t="inlineStr">
        <is>
          <t>BC</t>
        </is>
      </c>
      <c r="H15">
        <f>IF(A15&lt;=NWeeks,1,0)</f>
        <v/>
      </c>
      <c r="I15">
        <f>INDEX(ChLaunch,MATCH(E15,ChName,0))</f>
        <v/>
      </c>
      <c r="J15">
        <f>INDEX(ChWeeksFull,MATCH(E15,ChName,0))</f>
        <v/>
      </c>
      <c r="K15">
        <f>INDEX(ChRamp,MATCH(E15,ChName,0))</f>
        <v/>
      </c>
      <c r="L15" s="45">
        <f>MIN(1,MAX(0,(A15-I15+1)*RampSpeed/J15))</f>
        <v/>
      </c>
      <c r="M15" s="45">
        <f>IF(A15&lt;I15,0,IF(K15="S-curve",L15*L15*(3-2*L15),L15))</f>
        <v/>
      </c>
      <c r="N15" s="45">
        <f>1+(INDEX(SeasonIdx,A15)-1)*SeasonAmp</f>
        <v/>
      </c>
      <c r="O15" s="45">
        <f>IFERROR(INDEX(PSPct,MATCH(E15&amp;"|"&amp;G15,PSKey,0)),0)</f>
        <v/>
      </c>
      <c r="P15" s="46">
        <f>INDEX(ChDoorVel,MATCH(E15,ChName,0))*CalibScalar*(1+VelocityUplift)</f>
        <v/>
      </c>
      <c r="Q15" s="46" t="n">
        <v>0</v>
      </c>
      <c r="R15" s="46">
        <f>P15*O15*M15*N15*H15</f>
        <v/>
      </c>
      <c r="S15" s="46">
        <f>R15*INDEX(FmtCansPerCase,MATCH(F15,FmtName,0))</f>
        <v/>
      </c>
      <c r="T15" s="46">
        <f>S15/INDEX(FmtCansPerPack,MATCH(F15,FmtName,0))</f>
        <v/>
      </c>
      <c r="U15" s="47">
        <f>INDEX(ChBaseCP,MATCH(E15,ChName,0))*(1+INDEX(ProvMod,MATCH(G15,ProvCode,0)))*(1+PriceIndex)</f>
        <v/>
      </c>
      <c r="V15" s="47">
        <f>R15*U15*INDEX(FmtBlendedPriceIdx,MATCH(F15,FmtName,0))</f>
        <v/>
      </c>
      <c r="W15" s="47">
        <f>T15*INDEX(ProvSRP,MATCH(G15,ProvCode,0))*(1+PriceIndex)</f>
        <v/>
      </c>
      <c r="X15" s="47">
        <f>IF(GrossBasis="Wholesale",V15,W15)</f>
        <v/>
      </c>
      <c r="Y15" s="47">
        <f>R15*INDEX(FmtBlendedCogs,MATCH(F15,FmtName,0))</f>
        <v/>
      </c>
      <c r="Z15" s="47">
        <f>X15-Y15</f>
        <v/>
      </c>
    </row>
    <row r="16">
      <c r="A16" t="n">
        <v>15</v>
      </c>
      <c r="B16" s="44">
        <f>FiscalStart+(A16-1)*7</f>
        <v/>
      </c>
      <c r="C16">
        <f>TEXT(B16,"mmm yyyy")</f>
        <v/>
      </c>
      <c r="D16">
        <f>"Q"&amp;(INT((A16-1)/13)+1)</f>
        <v/>
      </c>
      <c r="E16" t="inlineStr">
        <is>
          <t>Convenience</t>
        </is>
      </c>
      <c r="F16">
        <f>IFERROR(INDEX(ChFormat,MATCH(E16,ChName,0)),"")</f>
        <v/>
      </c>
      <c r="G16" t="inlineStr">
        <is>
          <t>BC</t>
        </is>
      </c>
      <c r="H16">
        <f>IF(A16&lt;=NWeeks,1,0)</f>
        <v/>
      </c>
      <c r="I16">
        <f>INDEX(ChLaunch,MATCH(E16,ChName,0))</f>
        <v/>
      </c>
      <c r="J16">
        <f>INDEX(ChWeeksFull,MATCH(E16,ChName,0))</f>
        <v/>
      </c>
      <c r="K16">
        <f>INDEX(ChRamp,MATCH(E16,ChName,0))</f>
        <v/>
      </c>
      <c r="L16" s="45">
        <f>MIN(1,MAX(0,(A16-I16+1)*RampSpeed/J16))</f>
        <v/>
      </c>
      <c r="M16" s="45">
        <f>IF(A16&lt;I16,0,IF(K16="S-curve",L16*L16*(3-2*L16),L16))</f>
        <v/>
      </c>
      <c r="N16" s="45">
        <f>1+(INDEX(SeasonIdx,A16)-1)*SeasonAmp</f>
        <v/>
      </c>
      <c r="O16" s="45">
        <f>IFERROR(INDEX(PSPct,MATCH(E16&amp;"|"&amp;G16,PSKey,0)),0)</f>
        <v/>
      </c>
      <c r="P16" s="46">
        <f>INDEX(ChDoorVel,MATCH(E16,ChName,0))*CalibScalar*(1+VelocityUplift)</f>
        <v/>
      </c>
      <c r="Q16" s="46" t="n">
        <v>0</v>
      </c>
      <c r="R16" s="46">
        <f>P16*O16*M16*N16*H16</f>
        <v/>
      </c>
      <c r="S16" s="46">
        <f>R16*INDEX(FmtCansPerCase,MATCH(F16,FmtName,0))</f>
        <v/>
      </c>
      <c r="T16" s="46">
        <f>S16/INDEX(FmtCansPerPack,MATCH(F16,FmtName,0))</f>
        <v/>
      </c>
      <c r="U16" s="47">
        <f>INDEX(ChBaseCP,MATCH(E16,ChName,0))*(1+INDEX(ProvMod,MATCH(G16,ProvCode,0)))*(1+PriceIndex)</f>
        <v/>
      </c>
      <c r="V16" s="47">
        <f>R16*U16*INDEX(FmtBlendedPriceIdx,MATCH(F16,FmtName,0))</f>
        <v/>
      </c>
      <c r="W16" s="47">
        <f>T16*INDEX(ProvSRP,MATCH(G16,ProvCode,0))*(1+PriceIndex)</f>
        <v/>
      </c>
      <c r="X16" s="47">
        <f>IF(GrossBasis="Wholesale",V16,W16)</f>
        <v/>
      </c>
      <c r="Y16" s="47">
        <f>R16*INDEX(FmtBlendedCogs,MATCH(F16,FmtName,0))</f>
        <v/>
      </c>
      <c r="Z16" s="47">
        <f>X16-Y16</f>
        <v/>
      </c>
    </row>
    <row r="17">
      <c r="A17" t="n">
        <v>16</v>
      </c>
      <c r="B17" s="44">
        <f>FiscalStart+(A17-1)*7</f>
        <v/>
      </c>
      <c r="C17">
        <f>TEXT(B17,"mmm yyyy")</f>
        <v/>
      </c>
      <c r="D17">
        <f>"Q"&amp;(INT((A17-1)/13)+1)</f>
        <v/>
      </c>
      <c r="E17" t="inlineStr">
        <is>
          <t>Convenience</t>
        </is>
      </c>
      <c r="F17">
        <f>IFERROR(INDEX(ChFormat,MATCH(E17,ChName,0)),"")</f>
        <v/>
      </c>
      <c r="G17" t="inlineStr">
        <is>
          <t>BC</t>
        </is>
      </c>
      <c r="H17">
        <f>IF(A17&lt;=NWeeks,1,0)</f>
        <v/>
      </c>
      <c r="I17">
        <f>INDEX(ChLaunch,MATCH(E17,ChName,0))</f>
        <v/>
      </c>
      <c r="J17">
        <f>INDEX(ChWeeksFull,MATCH(E17,ChName,0))</f>
        <v/>
      </c>
      <c r="K17">
        <f>INDEX(ChRamp,MATCH(E17,ChName,0))</f>
        <v/>
      </c>
      <c r="L17" s="45">
        <f>MIN(1,MAX(0,(A17-I17+1)*RampSpeed/J17))</f>
        <v/>
      </c>
      <c r="M17" s="45">
        <f>IF(A17&lt;I17,0,IF(K17="S-curve",L17*L17*(3-2*L17),L17))</f>
        <v/>
      </c>
      <c r="N17" s="45">
        <f>1+(INDEX(SeasonIdx,A17)-1)*SeasonAmp</f>
        <v/>
      </c>
      <c r="O17" s="45">
        <f>IFERROR(INDEX(PSPct,MATCH(E17&amp;"|"&amp;G17,PSKey,0)),0)</f>
        <v/>
      </c>
      <c r="P17" s="46">
        <f>INDEX(ChDoorVel,MATCH(E17,ChName,0))*CalibScalar*(1+VelocityUplift)</f>
        <v/>
      </c>
      <c r="Q17" s="46" t="n">
        <v>0</v>
      </c>
      <c r="R17" s="46">
        <f>P17*O17*M17*N17*H17</f>
        <v/>
      </c>
      <c r="S17" s="46">
        <f>R17*INDEX(FmtCansPerCase,MATCH(F17,FmtName,0))</f>
        <v/>
      </c>
      <c r="T17" s="46">
        <f>S17/INDEX(FmtCansPerPack,MATCH(F17,FmtName,0))</f>
        <v/>
      </c>
      <c r="U17" s="47">
        <f>INDEX(ChBaseCP,MATCH(E17,ChName,0))*(1+INDEX(ProvMod,MATCH(G17,ProvCode,0)))*(1+PriceIndex)</f>
        <v/>
      </c>
      <c r="V17" s="47">
        <f>R17*U17*INDEX(FmtBlendedPriceIdx,MATCH(F17,FmtName,0))</f>
        <v/>
      </c>
      <c r="W17" s="47">
        <f>T17*INDEX(ProvSRP,MATCH(G17,ProvCode,0))*(1+PriceIndex)</f>
        <v/>
      </c>
      <c r="X17" s="47">
        <f>IF(GrossBasis="Wholesale",V17,W17)</f>
        <v/>
      </c>
      <c r="Y17" s="47">
        <f>R17*INDEX(FmtBlendedCogs,MATCH(F17,FmtName,0))</f>
        <v/>
      </c>
      <c r="Z17" s="47">
        <f>X17-Y17</f>
        <v/>
      </c>
    </row>
    <row r="18">
      <c r="A18" t="n">
        <v>17</v>
      </c>
      <c r="B18" s="44">
        <f>FiscalStart+(A18-1)*7</f>
        <v/>
      </c>
      <c r="C18">
        <f>TEXT(B18,"mmm yyyy")</f>
        <v/>
      </c>
      <c r="D18">
        <f>"Q"&amp;(INT((A18-1)/13)+1)</f>
        <v/>
      </c>
      <c r="E18" t="inlineStr">
        <is>
          <t>Convenience</t>
        </is>
      </c>
      <c r="F18">
        <f>IFERROR(INDEX(ChFormat,MATCH(E18,ChName,0)),"")</f>
        <v/>
      </c>
      <c r="G18" t="inlineStr">
        <is>
          <t>BC</t>
        </is>
      </c>
      <c r="H18">
        <f>IF(A18&lt;=NWeeks,1,0)</f>
        <v/>
      </c>
      <c r="I18">
        <f>INDEX(ChLaunch,MATCH(E18,ChName,0))</f>
        <v/>
      </c>
      <c r="J18">
        <f>INDEX(ChWeeksFull,MATCH(E18,ChName,0))</f>
        <v/>
      </c>
      <c r="K18">
        <f>INDEX(ChRamp,MATCH(E18,ChName,0))</f>
        <v/>
      </c>
      <c r="L18" s="45">
        <f>MIN(1,MAX(0,(A18-I18+1)*RampSpeed/J18))</f>
        <v/>
      </c>
      <c r="M18" s="45">
        <f>IF(A18&lt;I18,0,IF(K18="S-curve",L18*L18*(3-2*L18),L18))</f>
        <v/>
      </c>
      <c r="N18" s="45">
        <f>1+(INDEX(SeasonIdx,A18)-1)*SeasonAmp</f>
        <v/>
      </c>
      <c r="O18" s="45">
        <f>IFERROR(INDEX(PSPct,MATCH(E18&amp;"|"&amp;G18,PSKey,0)),0)</f>
        <v/>
      </c>
      <c r="P18" s="46">
        <f>INDEX(ChDoorVel,MATCH(E18,ChName,0))*CalibScalar*(1+VelocityUplift)</f>
        <v/>
      </c>
      <c r="Q18" s="46" t="n">
        <v>0</v>
      </c>
      <c r="R18" s="46">
        <f>P18*O18*M18*N18*H18</f>
        <v/>
      </c>
      <c r="S18" s="46">
        <f>R18*INDEX(FmtCansPerCase,MATCH(F18,FmtName,0))</f>
        <v/>
      </c>
      <c r="T18" s="46">
        <f>S18/INDEX(FmtCansPerPack,MATCH(F18,FmtName,0))</f>
        <v/>
      </c>
      <c r="U18" s="47">
        <f>INDEX(ChBaseCP,MATCH(E18,ChName,0))*(1+INDEX(ProvMod,MATCH(G18,ProvCode,0)))*(1+PriceIndex)</f>
        <v/>
      </c>
      <c r="V18" s="47">
        <f>R18*U18*INDEX(FmtBlendedPriceIdx,MATCH(F18,FmtName,0))</f>
        <v/>
      </c>
      <c r="W18" s="47">
        <f>T18*INDEX(ProvSRP,MATCH(G18,ProvCode,0))*(1+PriceIndex)</f>
        <v/>
      </c>
      <c r="X18" s="47">
        <f>IF(GrossBasis="Wholesale",V18,W18)</f>
        <v/>
      </c>
      <c r="Y18" s="47">
        <f>R18*INDEX(FmtBlendedCogs,MATCH(F18,FmtName,0))</f>
        <v/>
      </c>
      <c r="Z18" s="47">
        <f>X18-Y18</f>
        <v/>
      </c>
    </row>
    <row r="19">
      <c r="A19" t="n">
        <v>18</v>
      </c>
      <c r="B19" s="44">
        <f>FiscalStart+(A19-1)*7</f>
        <v/>
      </c>
      <c r="C19">
        <f>TEXT(B19,"mmm yyyy")</f>
        <v/>
      </c>
      <c r="D19">
        <f>"Q"&amp;(INT((A19-1)/13)+1)</f>
        <v/>
      </c>
      <c r="E19" t="inlineStr">
        <is>
          <t>Convenience</t>
        </is>
      </c>
      <c r="F19">
        <f>IFERROR(INDEX(ChFormat,MATCH(E19,ChName,0)),"")</f>
        <v/>
      </c>
      <c r="G19" t="inlineStr">
        <is>
          <t>BC</t>
        </is>
      </c>
      <c r="H19">
        <f>IF(A19&lt;=NWeeks,1,0)</f>
        <v/>
      </c>
      <c r="I19">
        <f>INDEX(ChLaunch,MATCH(E19,ChName,0))</f>
        <v/>
      </c>
      <c r="J19">
        <f>INDEX(ChWeeksFull,MATCH(E19,ChName,0))</f>
        <v/>
      </c>
      <c r="K19">
        <f>INDEX(ChRamp,MATCH(E19,ChName,0))</f>
        <v/>
      </c>
      <c r="L19" s="45">
        <f>MIN(1,MAX(0,(A19-I19+1)*RampSpeed/J19))</f>
        <v/>
      </c>
      <c r="M19" s="45">
        <f>IF(A19&lt;I19,0,IF(K19="S-curve",L19*L19*(3-2*L19),L19))</f>
        <v/>
      </c>
      <c r="N19" s="45">
        <f>1+(INDEX(SeasonIdx,A19)-1)*SeasonAmp</f>
        <v/>
      </c>
      <c r="O19" s="45">
        <f>IFERROR(INDEX(PSPct,MATCH(E19&amp;"|"&amp;G19,PSKey,0)),0)</f>
        <v/>
      </c>
      <c r="P19" s="46">
        <f>INDEX(ChDoorVel,MATCH(E19,ChName,0))*CalibScalar*(1+VelocityUplift)</f>
        <v/>
      </c>
      <c r="Q19" s="46" t="n">
        <v>0</v>
      </c>
      <c r="R19" s="46">
        <f>P19*O19*M19*N19*H19</f>
        <v/>
      </c>
      <c r="S19" s="46">
        <f>R19*INDEX(FmtCansPerCase,MATCH(F19,FmtName,0))</f>
        <v/>
      </c>
      <c r="T19" s="46">
        <f>S19/INDEX(FmtCansPerPack,MATCH(F19,FmtName,0))</f>
        <v/>
      </c>
      <c r="U19" s="47">
        <f>INDEX(ChBaseCP,MATCH(E19,ChName,0))*(1+INDEX(ProvMod,MATCH(G19,ProvCode,0)))*(1+PriceIndex)</f>
        <v/>
      </c>
      <c r="V19" s="47">
        <f>R19*U19*INDEX(FmtBlendedPriceIdx,MATCH(F19,FmtName,0))</f>
        <v/>
      </c>
      <c r="W19" s="47">
        <f>T19*INDEX(ProvSRP,MATCH(G19,ProvCode,0))*(1+PriceIndex)</f>
        <v/>
      </c>
      <c r="X19" s="47">
        <f>IF(GrossBasis="Wholesale",V19,W19)</f>
        <v/>
      </c>
      <c r="Y19" s="47">
        <f>R19*INDEX(FmtBlendedCogs,MATCH(F19,FmtName,0))</f>
        <v/>
      </c>
      <c r="Z19" s="47">
        <f>X19-Y19</f>
        <v/>
      </c>
    </row>
    <row r="20">
      <c r="A20" t="n">
        <v>19</v>
      </c>
      <c r="B20" s="44">
        <f>FiscalStart+(A20-1)*7</f>
        <v/>
      </c>
      <c r="C20">
        <f>TEXT(B20,"mmm yyyy")</f>
        <v/>
      </c>
      <c r="D20">
        <f>"Q"&amp;(INT((A20-1)/13)+1)</f>
        <v/>
      </c>
      <c r="E20" t="inlineStr">
        <is>
          <t>Convenience</t>
        </is>
      </c>
      <c r="F20">
        <f>IFERROR(INDEX(ChFormat,MATCH(E20,ChName,0)),"")</f>
        <v/>
      </c>
      <c r="G20" t="inlineStr">
        <is>
          <t>BC</t>
        </is>
      </c>
      <c r="H20">
        <f>IF(A20&lt;=NWeeks,1,0)</f>
        <v/>
      </c>
      <c r="I20">
        <f>INDEX(ChLaunch,MATCH(E20,ChName,0))</f>
        <v/>
      </c>
      <c r="J20">
        <f>INDEX(ChWeeksFull,MATCH(E20,ChName,0))</f>
        <v/>
      </c>
      <c r="K20">
        <f>INDEX(ChRamp,MATCH(E20,ChName,0))</f>
        <v/>
      </c>
      <c r="L20" s="45">
        <f>MIN(1,MAX(0,(A20-I20+1)*RampSpeed/J20))</f>
        <v/>
      </c>
      <c r="M20" s="45">
        <f>IF(A20&lt;I20,0,IF(K20="S-curve",L20*L20*(3-2*L20),L20))</f>
        <v/>
      </c>
      <c r="N20" s="45">
        <f>1+(INDEX(SeasonIdx,A20)-1)*SeasonAmp</f>
        <v/>
      </c>
      <c r="O20" s="45">
        <f>IFERROR(INDEX(PSPct,MATCH(E20&amp;"|"&amp;G20,PSKey,0)),0)</f>
        <v/>
      </c>
      <c r="P20" s="46">
        <f>INDEX(ChDoorVel,MATCH(E20,ChName,0))*CalibScalar*(1+VelocityUplift)</f>
        <v/>
      </c>
      <c r="Q20" s="46" t="n">
        <v>0</v>
      </c>
      <c r="R20" s="46">
        <f>P20*O20*M20*N20*H20</f>
        <v/>
      </c>
      <c r="S20" s="46">
        <f>R20*INDEX(FmtCansPerCase,MATCH(F20,FmtName,0))</f>
        <v/>
      </c>
      <c r="T20" s="46">
        <f>S20/INDEX(FmtCansPerPack,MATCH(F20,FmtName,0))</f>
        <v/>
      </c>
      <c r="U20" s="47">
        <f>INDEX(ChBaseCP,MATCH(E20,ChName,0))*(1+INDEX(ProvMod,MATCH(G20,ProvCode,0)))*(1+PriceIndex)</f>
        <v/>
      </c>
      <c r="V20" s="47">
        <f>R20*U20*INDEX(FmtBlendedPriceIdx,MATCH(F20,FmtName,0))</f>
        <v/>
      </c>
      <c r="W20" s="47">
        <f>T20*INDEX(ProvSRP,MATCH(G20,ProvCode,0))*(1+PriceIndex)</f>
        <v/>
      </c>
      <c r="X20" s="47">
        <f>IF(GrossBasis="Wholesale",V20,W20)</f>
        <v/>
      </c>
      <c r="Y20" s="47">
        <f>R20*INDEX(FmtBlendedCogs,MATCH(F20,FmtName,0))</f>
        <v/>
      </c>
      <c r="Z20" s="47">
        <f>X20-Y20</f>
        <v/>
      </c>
    </row>
    <row r="21">
      <c r="A21" t="n">
        <v>20</v>
      </c>
      <c r="B21" s="44">
        <f>FiscalStart+(A21-1)*7</f>
        <v/>
      </c>
      <c r="C21">
        <f>TEXT(B21,"mmm yyyy")</f>
        <v/>
      </c>
      <c r="D21">
        <f>"Q"&amp;(INT((A21-1)/13)+1)</f>
        <v/>
      </c>
      <c r="E21" t="inlineStr">
        <is>
          <t>Convenience</t>
        </is>
      </c>
      <c r="F21">
        <f>IFERROR(INDEX(ChFormat,MATCH(E21,ChName,0)),"")</f>
        <v/>
      </c>
      <c r="G21" t="inlineStr">
        <is>
          <t>BC</t>
        </is>
      </c>
      <c r="H21">
        <f>IF(A21&lt;=NWeeks,1,0)</f>
        <v/>
      </c>
      <c r="I21">
        <f>INDEX(ChLaunch,MATCH(E21,ChName,0))</f>
        <v/>
      </c>
      <c r="J21">
        <f>INDEX(ChWeeksFull,MATCH(E21,ChName,0))</f>
        <v/>
      </c>
      <c r="K21">
        <f>INDEX(ChRamp,MATCH(E21,ChName,0))</f>
        <v/>
      </c>
      <c r="L21" s="45">
        <f>MIN(1,MAX(0,(A21-I21+1)*RampSpeed/J21))</f>
        <v/>
      </c>
      <c r="M21" s="45">
        <f>IF(A21&lt;I21,0,IF(K21="S-curve",L21*L21*(3-2*L21),L21))</f>
        <v/>
      </c>
      <c r="N21" s="45">
        <f>1+(INDEX(SeasonIdx,A21)-1)*SeasonAmp</f>
        <v/>
      </c>
      <c r="O21" s="45">
        <f>IFERROR(INDEX(PSPct,MATCH(E21&amp;"|"&amp;G21,PSKey,0)),0)</f>
        <v/>
      </c>
      <c r="P21" s="46">
        <f>INDEX(ChDoorVel,MATCH(E21,ChName,0))*CalibScalar*(1+VelocityUplift)</f>
        <v/>
      </c>
      <c r="Q21" s="46" t="n">
        <v>0</v>
      </c>
      <c r="R21" s="46">
        <f>P21*O21*M21*N21*H21</f>
        <v/>
      </c>
      <c r="S21" s="46">
        <f>R21*INDEX(FmtCansPerCase,MATCH(F21,FmtName,0))</f>
        <v/>
      </c>
      <c r="T21" s="46">
        <f>S21/INDEX(FmtCansPerPack,MATCH(F21,FmtName,0))</f>
        <v/>
      </c>
      <c r="U21" s="47">
        <f>INDEX(ChBaseCP,MATCH(E21,ChName,0))*(1+INDEX(ProvMod,MATCH(G21,ProvCode,0)))*(1+PriceIndex)</f>
        <v/>
      </c>
      <c r="V21" s="47">
        <f>R21*U21*INDEX(FmtBlendedPriceIdx,MATCH(F21,FmtName,0))</f>
        <v/>
      </c>
      <c r="W21" s="47">
        <f>T21*INDEX(ProvSRP,MATCH(G21,ProvCode,0))*(1+PriceIndex)</f>
        <v/>
      </c>
      <c r="X21" s="47">
        <f>IF(GrossBasis="Wholesale",V21,W21)</f>
        <v/>
      </c>
      <c r="Y21" s="47">
        <f>R21*INDEX(FmtBlendedCogs,MATCH(F21,FmtName,0))</f>
        <v/>
      </c>
      <c r="Z21" s="47">
        <f>X21-Y21</f>
        <v/>
      </c>
    </row>
    <row r="22">
      <c r="A22" t="n">
        <v>21</v>
      </c>
      <c r="B22" s="44">
        <f>FiscalStart+(A22-1)*7</f>
        <v/>
      </c>
      <c r="C22">
        <f>TEXT(B22,"mmm yyyy")</f>
        <v/>
      </c>
      <c r="D22">
        <f>"Q"&amp;(INT((A22-1)/13)+1)</f>
        <v/>
      </c>
      <c r="E22" t="inlineStr">
        <is>
          <t>Convenience</t>
        </is>
      </c>
      <c r="F22">
        <f>IFERROR(INDEX(ChFormat,MATCH(E22,ChName,0)),"")</f>
        <v/>
      </c>
      <c r="G22" t="inlineStr">
        <is>
          <t>BC</t>
        </is>
      </c>
      <c r="H22">
        <f>IF(A22&lt;=NWeeks,1,0)</f>
        <v/>
      </c>
      <c r="I22">
        <f>INDEX(ChLaunch,MATCH(E22,ChName,0))</f>
        <v/>
      </c>
      <c r="J22">
        <f>INDEX(ChWeeksFull,MATCH(E22,ChName,0))</f>
        <v/>
      </c>
      <c r="K22">
        <f>INDEX(ChRamp,MATCH(E22,ChName,0))</f>
        <v/>
      </c>
      <c r="L22" s="45">
        <f>MIN(1,MAX(0,(A22-I22+1)*RampSpeed/J22))</f>
        <v/>
      </c>
      <c r="M22" s="45">
        <f>IF(A22&lt;I22,0,IF(K22="S-curve",L22*L22*(3-2*L22),L22))</f>
        <v/>
      </c>
      <c r="N22" s="45">
        <f>1+(INDEX(SeasonIdx,A22)-1)*SeasonAmp</f>
        <v/>
      </c>
      <c r="O22" s="45">
        <f>IFERROR(INDEX(PSPct,MATCH(E22&amp;"|"&amp;G22,PSKey,0)),0)</f>
        <v/>
      </c>
      <c r="P22" s="46">
        <f>INDEX(ChDoorVel,MATCH(E22,ChName,0))*CalibScalar*(1+VelocityUplift)</f>
        <v/>
      </c>
      <c r="Q22" s="46" t="n">
        <v>0</v>
      </c>
      <c r="R22" s="46">
        <f>P22*O22*M22*N22*H22</f>
        <v/>
      </c>
      <c r="S22" s="46">
        <f>R22*INDEX(FmtCansPerCase,MATCH(F22,FmtName,0))</f>
        <v/>
      </c>
      <c r="T22" s="46">
        <f>S22/INDEX(FmtCansPerPack,MATCH(F22,FmtName,0))</f>
        <v/>
      </c>
      <c r="U22" s="47">
        <f>INDEX(ChBaseCP,MATCH(E22,ChName,0))*(1+INDEX(ProvMod,MATCH(G22,ProvCode,0)))*(1+PriceIndex)</f>
        <v/>
      </c>
      <c r="V22" s="47">
        <f>R22*U22*INDEX(FmtBlendedPriceIdx,MATCH(F22,FmtName,0))</f>
        <v/>
      </c>
      <c r="W22" s="47">
        <f>T22*INDEX(ProvSRP,MATCH(G22,ProvCode,0))*(1+PriceIndex)</f>
        <v/>
      </c>
      <c r="X22" s="47">
        <f>IF(GrossBasis="Wholesale",V22,W22)</f>
        <v/>
      </c>
      <c r="Y22" s="47">
        <f>R22*INDEX(FmtBlendedCogs,MATCH(F22,FmtName,0))</f>
        <v/>
      </c>
      <c r="Z22" s="47">
        <f>X22-Y22</f>
        <v/>
      </c>
    </row>
    <row r="23">
      <c r="A23" t="n">
        <v>22</v>
      </c>
      <c r="B23" s="44">
        <f>FiscalStart+(A23-1)*7</f>
        <v/>
      </c>
      <c r="C23">
        <f>TEXT(B23,"mmm yyyy")</f>
        <v/>
      </c>
      <c r="D23">
        <f>"Q"&amp;(INT((A23-1)/13)+1)</f>
        <v/>
      </c>
      <c r="E23" t="inlineStr">
        <is>
          <t>Convenience</t>
        </is>
      </c>
      <c r="F23">
        <f>IFERROR(INDEX(ChFormat,MATCH(E23,ChName,0)),"")</f>
        <v/>
      </c>
      <c r="G23" t="inlineStr">
        <is>
          <t>BC</t>
        </is>
      </c>
      <c r="H23">
        <f>IF(A23&lt;=NWeeks,1,0)</f>
        <v/>
      </c>
      <c r="I23">
        <f>INDEX(ChLaunch,MATCH(E23,ChName,0))</f>
        <v/>
      </c>
      <c r="J23">
        <f>INDEX(ChWeeksFull,MATCH(E23,ChName,0))</f>
        <v/>
      </c>
      <c r="K23">
        <f>INDEX(ChRamp,MATCH(E23,ChName,0))</f>
        <v/>
      </c>
      <c r="L23" s="45">
        <f>MIN(1,MAX(0,(A23-I23+1)*RampSpeed/J23))</f>
        <v/>
      </c>
      <c r="M23" s="45">
        <f>IF(A23&lt;I23,0,IF(K23="S-curve",L23*L23*(3-2*L23),L23))</f>
        <v/>
      </c>
      <c r="N23" s="45">
        <f>1+(INDEX(SeasonIdx,A23)-1)*SeasonAmp</f>
        <v/>
      </c>
      <c r="O23" s="45">
        <f>IFERROR(INDEX(PSPct,MATCH(E23&amp;"|"&amp;G23,PSKey,0)),0)</f>
        <v/>
      </c>
      <c r="P23" s="46">
        <f>INDEX(ChDoorVel,MATCH(E23,ChName,0))*CalibScalar*(1+VelocityUplift)</f>
        <v/>
      </c>
      <c r="Q23" s="46" t="n">
        <v>0</v>
      </c>
      <c r="R23" s="46">
        <f>P23*O23*M23*N23*H23</f>
        <v/>
      </c>
      <c r="S23" s="46">
        <f>R23*INDEX(FmtCansPerCase,MATCH(F23,FmtName,0))</f>
        <v/>
      </c>
      <c r="T23" s="46">
        <f>S23/INDEX(FmtCansPerPack,MATCH(F23,FmtName,0))</f>
        <v/>
      </c>
      <c r="U23" s="47">
        <f>INDEX(ChBaseCP,MATCH(E23,ChName,0))*(1+INDEX(ProvMod,MATCH(G23,ProvCode,0)))*(1+PriceIndex)</f>
        <v/>
      </c>
      <c r="V23" s="47">
        <f>R23*U23*INDEX(FmtBlendedPriceIdx,MATCH(F23,FmtName,0))</f>
        <v/>
      </c>
      <c r="W23" s="47">
        <f>T23*INDEX(ProvSRP,MATCH(G23,ProvCode,0))*(1+PriceIndex)</f>
        <v/>
      </c>
      <c r="X23" s="47">
        <f>IF(GrossBasis="Wholesale",V23,W23)</f>
        <v/>
      </c>
      <c r="Y23" s="47">
        <f>R23*INDEX(FmtBlendedCogs,MATCH(F23,FmtName,0))</f>
        <v/>
      </c>
      <c r="Z23" s="47">
        <f>X23-Y23</f>
        <v/>
      </c>
    </row>
    <row r="24">
      <c r="A24" t="n">
        <v>23</v>
      </c>
      <c r="B24" s="44">
        <f>FiscalStart+(A24-1)*7</f>
        <v/>
      </c>
      <c r="C24">
        <f>TEXT(B24,"mmm yyyy")</f>
        <v/>
      </c>
      <c r="D24">
        <f>"Q"&amp;(INT((A24-1)/13)+1)</f>
        <v/>
      </c>
      <c r="E24" t="inlineStr">
        <is>
          <t>Convenience</t>
        </is>
      </c>
      <c r="F24">
        <f>IFERROR(INDEX(ChFormat,MATCH(E24,ChName,0)),"")</f>
        <v/>
      </c>
      <c r="G24" t="inlineStr">
        <is>
          <t>BC</t>
        </is>
      </c>
      <c r="H24">
        <f>IF(A24&lt;=NWeeks,1,0)</f>
        <v/>
      </c>
      <c r="I24">
        <f>INDEX(ChLaunch,MATCH(E24,ChName,0))</f>
        <v/>
      </c>
      <c r="J24">
        <f>INDEX(ChWeeksFull,MATCH(E24,ChName,0))</f>
        <v/>
      </c>
      <c r="K24">
        <f>INDEX(ChRamp,MATCH(E24,ChName,0))</f>
        <v/>
      </c>
      <c r="L24" s="45">
        <f>MIN(1,MAX(0,(A24-I24+1)*RampSpeed/J24))</f>
        <v/>
      </c>
      <c r="M24" s="45">
        <f>IF(A24&lt;I24,0,IF(K24="S-curve",L24*L24*(3-2*L24),L24))</f>
        <v/>
      </c>
      <c r="N24" s="45">
        <f>1+(INDEX(SeasonIdx,A24)-1)*SeasonAmp</f>
        <v/>
      </c>
      <c r="O24" s="45">
        <f>IFERROR(INDEX(PSPct,MATCH(E24&amp;"|"&amp;G24,PSKey,0)),0)</f>
        <v/>
      </c>
      <c r="P24" s="46">
        <f>INDEX(ChDoorVel,MATCH(E24,ChName,0))*CalibScalar*(1+VelocityUplift)</f>
        <v/>
      </c>
      <c r="Q24" s="46" t="n">
        <v>0</v>
      </c>
      <c r="R24" s="46">
        <f>P24*O24*M24*N24*H24</f>
        <v/>
      </c>
      <c r="S24" s="46">
        <f>R24*INDEX(FmtCansPerCase,MATCH(F24,FmtName,0))</f>
        <v/>
      </c>
      <c r="T24" s="46">
        <f>S24/INDEX(FmtCansPerPack,MATCH(F24,FmtName,0))</f>
        <v/>
      </c>
      <c r="U24" s="47">
        <f>INDEX(ChBaseCP,MATCH(E24,ChName,0))*(1+INDEX(ProvMod,MATCH(G24,ProvCode,0)))*(1+PriceIndex)</f>
        <v/>
      </c>
      <c r="V24" s="47">
        <f>R24*U24*INDEX(FmtBlendedPriceIdx,MATCH(F24,FmtName,0))</f>
        <v/>
      </c>
      <c r="W24" s="47">
        <f>T24*INDEX(ProvSRP,MATCH(G24,ProvCode,0))*(1+PriceIndex)</f>
        <v/>
      </c>
      <c r="X24" s="47">
        <f>IF(GrossBasis="Wholesale",V24,W24)</f>
        <v/>
      </c>
      <c r="Y24" s="47">
        <f>R24*INDEX(FmtBlendedCogs,MATCH(F24,FmtName,0))</f>
        <v/>
      </c>
      <c r="Z24" s="47">
        <f>X24-Y24</f>
        <v/>
      </c>
    </row>
    <row r="25">
      <c r="A25" t="n">
        <v>24</v>
      </c>
      <c r="B25" s="44">
        <f>FiscalStart+(A25-1)*7</f>
        <v/>
      </c>
      <c r="C25">
        <f>TEXT(B25,"mmm yyyy")</f>
        <v/>
      </c>
      <c r="D25">
        <f>"Q"&amp;(INT((A25-1)/13)+1)</f>
        <v/>
      </c>
      <c r="E25" t="inlineStr">
        <is>
          <t>Convenience</t>
        </is>
      </c>
      <c r="F25">
        <f>IFERROR(INDEX(ChFormat,MATCH(E25,ChName,0)),"")</f>
        <v/>
      </c>
      <c r="G25" t="inlineStr">
        <is>
          <t>BC</t>
        </is>
      </c>
      <c r="H25">
        <f>IF(A25&lt;=NWeeks,1,0)</f>
        <v/>
      </c>
      <c r="I25">
        <f>INDEX(ChLaunch,MATCH(E25,ChName,0))</f>
        <v/>
      </c>
      <c r="J25">
        <f>INDEX(ChWeeksFull,MATCH(E25,ChName,0))</f>
        <v/>
      </c>
      <c r="K25">
        <f>INDEX(ChRamp,MATCH(E25,ChName,0))</f>
        <v/>
      </c>
      <c r="L25" s="45">
        <f>MIN(1,MAX(0,(A25-I25+1)*RampSpeed/J25))</f>
        <v/>
      </c>
      <c r="M25" s="45">
        <f>IF(A25&lt;I25,0,IF(K25="S-curve",L25*L25*(3-2*L25),L25))</f>
        <v/>
      </c>
      <c r="N25" s="45">
        <f>1+(INDEX(SeasonIdx,A25)-1)*SeasonAmp</f>
        <v/>
      </c>
      <c r="O25" s="45">
        <f>IFERROR(INDEX(PSPct,MATCH(E25&amp;"|"&amp;G25,PSKey,0)),0)</f>
        <v/>
      </c>
      <c r="P25" s="46">
        <f>INDEX(ChDoorVel,MATCH(E25,ChName,0))*CalibScalar*(1+VelocityUplift)</f>
        <v/>
      </c>
      <c r="Q25" s="46" t="n">
        <v>0</v>
      </c>
      <c r="R25" s="46">
        <f>P25*O25*M25*N25*H25</f>
        <v/>
      </c>
      <c r="S25" s="46">
        <f>R25*INDEX(FmtCansPerCase,MATCH(F25,FmtName,0))</f>
        <v/>
      </c>
      <c r="T25" s="46">
        <f>S25/INDEX(FmtCansPerPack,MATCH(F25,FmtName,0))</f>
        <v/>
      </c>
      <c r="U25" s="47">
        <f>INDEX(ChBaseCP,MATCH(E25,ChName,0))*(1+INDEX(ProvMod,MATCH(G25,ProvCode,0)))*(1+PriceIndex)</f>
        <v/>
      </c>
      <c r="V25" s="47">
        <f>R25*U25*INDEX(FmtBlendedPriceIdx,MATCH(F25,FmtName,0))</f>
        <v/>
      </c>
      <c r="W25" s="47">
        <f>T25*INDEX(ProvSRP,MATCH(G25,ProvCode,0))*(1+PriceIndex)</f>
        <v/>
      </c>
      <c r="X25" s="47">
        <f>IF(GrossBasis="Wholesale",V25,W25)</f>
        <v/>
      </c>
      <c r="Y25" s="47">
        <f>R25*INDEX(FmtBlendedCogs,MATCH(F25,FmtName,0))</f>
        <v/>
      </c>
      <c r="Z25" s="47">
        <f>X25-Y25</f>
        <v/>
      </c>
    </row>
    <row r="26">
      <c r="A26" t="n">
        <v>25</v>
      </c>
      <c r="B26" s="44">
        <f>FiscalStart+(A26-1)*7</f>
        <v/>
      </c>
      <c r="C26">
        <f>TEXT(B26,"mmm yyyy")</f>
        <v/>
      </c>
      <c r="D26">
        <f>"Q"&amp;(INT((A26-1)/13)+1)</f>
        <v/>
      </c>
      <c r="E26" t="inlineStr">
        <is>
          <t>Convenience</t>
        </is>
      </c>
      <c r="F26">
        <f>IFERROR(INDEX(ChFormat,MATCH(E26,ChName,0)),"")</f>
        <v/>
      </c>
      <c r="G26" t="inlineStr">
        <is>
          <t>BC</t>
        </is>
      </c>
      <c r="H26">
        <f>IF(A26&lt;=NWeeks,1,0)</f>
        <v/>
      </c>
      <c r="I26">
        <f>INDEX(ChLaunch,MATCH(E26,ChName,0))</f>
        <v/>
      </c>
      <c r="J26">
        <f>INDEX(ChWeeksFull,MATCH(E26,ChName,0))</f>
        <v/>
      </c>
      <c r="K26">
        <f>INDEX(ChRamp,MATCH(E26,ChName,0))</f>
        <v/>
      </c>
      <c r="L26" s="45">
        <f>MIN(1,MAX(0,(A26-I26+1)*RampSpeed/J26))</f>
        <v/>
      </c>
      <c r="M26" s="45">
        <f>IF(A26&lt;I26,0,IF(K26="S-curve",L26*L26*(3-2*L26),L26))</f>
        <v/>
      </c>
      <c r="N26" s="45">
        <f>1+(INDEX(SeasonIdx,A26)-1)*SeasonAmp</f>
        <v/>
      </c>
      <c r="O26" s="45">
        <f>IFERROR(INDEX(PSPct,MATCH(E26&amp;"|"&amp;G26,PSKey,0)),0)</f>
        <v/>
      </c>
      <c r="P26" s="46">
        <f>INDEX(ChDoorVel,MATCH(E26,ChName,0))*CalibScalar*(1+VelocityUplift)</f>
        <v/>
      </c>
      <c r="Q26" s="46" t="n">
        <v>0</v>
      </c>
      <c r="R26" s="46">
        <f>P26*O26*M26*N26*H26</f>
        <v/>
      </c>
      <c r="S26" s="46">
        <f>R26*INDEX(FmtCansPerCase,MATCH(F26,FmtName,0))</f>
        <v/>
      </c>
      <c r="T26" s="46">
        <f>S26/INDEX(FmtCansPerPack,MATCH(F26,FmtName,0))</f>
        <v/>
      </c>
      <c r="U26" s="47">
        <f>INDEX(ChBaseCP,MATCH(E26,ChName,0))*(1+INDEX(ProvMod,MATCH(G26,ProvCode,0)))*(1+PriceIndex)</f>
        <v/>
      </c>
      <c r="V26" s="47">
        <f>R26*U26*INDEX(FmtBlendedPriceIdx,MATCH(F26,FmtName,0))</f>
        <v/>
      </c>
      <c r="W26" s="47">
        <f>T26*INDEX(ProvSRP,MATCH(G26,ProvCode,0))*(1+PriceIndex)</f>
        <v/>
      </c>
      <c r="X26" s="47">
        <f>IF(GrossBasis="Wholesale",V26,W26)</f>
        <v/>
      </c>
      <c r="Y26" s="47">
        <f>R26*INDEX(FmtBlendedCogs,MATCH(F26,FmtName,0))</f>
        <v/>
      </c>
      <c r="Z26" s="47">
        <f>X26-Y26</f>
        <v/>
      </c>
    </row>
    <row r="27">
      <c r="A27" t="n">
        <v>26</v>
      </c>
      <c r="B27" s="44">
        <f>FiscalStart+(A27-1)*7</f>
        <v/>
      </c>
      <c r="C27">
        <f>TEXT(B27,"mmm yyyy")</f>
        <v/>
      </c>
      <c r="D27">
        <f>"Q"&amp;(INT((A27-1)/13)+1)</f>
        <v/>
      </c>
      <c r="E27" t="inlineStr">
        <is>
          <t>Convenience</t>
        </is>
      </c>
      <c r="F27">
        <f>IFERROR(INDEX(ChFormat,MATCH(E27,ChName,0)),"")</f>
        <v/>
      </c>
      <c r="G27" t="inlineStr">
        <is>
          <t>BC</t>
        </is>
      </c>
      <c r="H27">
        <f>IF(A27&lt;=NWeeks,1,0)</f>
        <v/>
      </c>
      <c r="I27">
        <f>INDEX(ChLaunch,MATCH(E27,ChName,0))</f>
        <v/>
      </c>
      <c r="J27">
        <f>INDEX(ChWeeksFull,MATCH(E27,ChName,0))</f>
        <v/>
      </c>
      <c r="K27">
        <f>INDEX(ChRamp,MATCH(E27,ChName,0))</f>
        <v/>
      </c>
      <c r="L27" s="45">
        <f>MIN(1,MAX(0,(A27-I27+1)*RampSpeed/J27))</f>
        <v/>
      </c>
      <c r="M27" s="45">
        <f>IF(A27&lt;I27,0,IF(K27="S-curve",L27*L27*(3-2*L27),L27))</f>
        <v/>
      </c>
      <c r="N27" s="45">
        <f>1+(INDEX(SeasonIdx,A27)-1)*SeasonAmp</f>
        <v/>
      </c>
      <c r="O27" s="45">
        <f>IFERROR(INDEX(PSPct,MATCH(E27&amp;"|"&amp;G27,PSKey,0)),0)</f>
        <v/>
      </c>
      <c r="P27" s="46">
        <f>INDEX(ChDoorVel,MATCH(E27,ChName,0))*CalibScalar*(1+VelocityUplift)</f>
        <v/>
      </c>
      <c r="Q27" s="46" t="n">
        <v>0</v>
      </c>
      <c r="R27" s="46">
        <f>P27*O27*M27*N27*H27</f>
        <v/>
      </c>
      <c r="S27" s="46">
        <f>R27*INDEX(FmtCansPerCase,MATCH(F27,FmtName,0))</f>
        <v/>
      </c>
      <c r="T27" s="46">
        <f>S27/INDEX(FmtCansPerPack,MATCH(F27,FmtName,0))</f>
        <v/>
      </c>
      <c r="U27" s="47">
        <f>INDEX(ChBaseCP,MATCH(E27,ChName,0))*(1+INDEX(ProvMod,MATCH(G27,ProvCode,0)))*(1+PriceIndex)</f>
        <v/>
      </c>
      <c r="V27" s="47">
        <f>R27*U27*INDEX(FmtBlendedPriceIdx,MATCH(F27,FmtName,0))</f>
        <v/>
      </c>
      <c r="W27" s="47">
        <f>T27*INDEX(ProvSRP,MATCH(G27,ProvCode,0))*(1+PriceIndex)</f>
        <v/>
      </c>
      <c r="X27" s="47">
        <f>IF(GrossBasis="Wholesale",V27,W27)</f>
        <v/>
      </c>
      <c r="Y27" s="47">
        <f>R27*INDEX(FmtBlendedCogs,MATCH(F27,FmtName,0))</f>
        <v/>
      </c>
      <c r="Z27" s="47">
        <f>X27-Y27</f>
        <v/>
      </c>
    </row>
    <row r="28">
      <c r="A28" t="n">
        <v>27</v>
      </c>
      <c r="B28" s="44">
        <f>FiscalStart+(A28-1)*7</f>
        <v/>
      </c>
      <c r="C28">
        <f>TEXT(B28,"mmm yyyy")</f>
        <v/>
      </c>
      <c r="D28">
        <f>"Q"&amp;(INT((A28-1)/13)+1)</f>
        <v/>
      </c>
      <c r="E28" t="inlineStr">
        <is>
          <t>Convenience</t>
        </is>
      </c>
      <c r="F28">
        <f>IFERROR(INDEX(ChFormat,MATCH(E28,ChName,0)),"")</f>
        <v/>
      </c>
      <c r="G28" t="inlineStr">
        <is>
          <t>BC</t>
        </is>
      </c>
      <c r="H28">
        <f>IF(A28&lt;=NWeeks,1,0)</f>
        <v/>
      </c>
      <c r="I28">
        <f>INDEX(ChLaunch,MATCH(E28,ChName,0))</f>
        <v/>
      </c>
      <c r="J28">
        <f>INDEX(ChWeeksFull,MATCH(E28,ChName,0))</f>
        <v/>
      </c>
      <c r="K28">
        <f>INDEX(ChRamp,MATCH(E28,ChName,0))</f>
        <v/>
      </c>
      <c r="L28" s="45">
        <f>MIN(1,MAX(0,(A28-I28+1)*RampSpeed/J28))</f>
        <v/>
      </c>
      <c r="M28" s="45">
        <f>IF(A28&lt;I28,0,IF(K28="S-curve",L28*L28*(3-2*L28),L28))</f>
        <v/>
      </c>
      <c r="N28" s="45">
        <f>1+(INDEX(SeasonIdx,A28)-1)*SeasonAmp</f>
        <v/>
      </c>
      <c r="O28" s="45">
        <f>IFERROR(INDEX(PSPct,MATCH(E28&amp;"|"&amp;G28,PSKey,0)),0)</f>
        <v/>
      </c>
      <c r="P28" s="46">
        <f>INDEX(ChDoorVel,MATCH(E28,ChName,0))*CalibScalar*(1+VelocityUplift)</f>
        <v/>
      </c>
      <c r="Q28" s="46" t="n">
        <v>0</v>
      </c>
      <c r="R28" s="46">
        <f>P28*O28*M28*N28*H28</f>
        <v/>
      </c>
      <c r="S28" s="46">
        <f>R28*INDEX(FmtCansPerCase,MATCH(F28,FmtName,0))</f>
        <v/>
      </c>
      <c r="T28" s="46">
        <f>S28/INDEX(FmtCansPerPack,MATCH(F28,FmtName,0))</f>
        <v/>
      </c>
      <c r="U28" s="47">
        <f>INDEX(ChBaseCP,MATCH(E28,ChName,0))*(1+INDEX(ProvMod,MATCH(G28,ProvCode,0)))*(1+PriceIndex)</f>
        <v/>
      </c>
      <c r="V28" s="47">
        <f>R28*U28*INDEX(FmtBlendedPriceIdx,MATCH(F28,FmtName,0))</f>
        <v/>
      </c>
      <c r="W28" s="47">
        <f>T28*INDEX(ProvSRP,MATCH(G28,ProvCode,0))*(1+PriceIndex)</f>
        <v/>
      </c>
      <c r="X28" s="47">
        <f>IF(GrossBasis="Wholesale",V28,W28)</f>
        <v/>
      </c>
      <c r="Y28" s="47">
        <f>R28*INDEX(FmtBlendedCogs,MATCH(F28,FmtName,0))</f>
        <v/>
      </c>
      <c r="Z28" s="47">
        <f>X28-Y28</f>
        <v/>
      </c>
    </row>
    <row r="29">
      <c r="A29" t="n">
        <v>28</v>
      </c>
      <c r="B29" s="44">
        <f>FiscalStart+(A29-1)*7</f>
        <v/>
      </c>
      <c r="C29">
        <f>TEXT(B29,"mmm yyyy")</f>
        <v/>
      </c>
      <c r="D29">
        <f>"Q"&amp;(INT((A29-1)/13)+1)</f>
        <v/>
      </c>
      <c r="E29" t="inlineStr">
        <is>
          <t>Convenience</t>
        </is>
      </c>
      <c r="F29">
        <f>IFERROR(INDEX(ChFormat,MATCH(E29,ChName,0)),"")</f>
        <v/>
      </c>
      <c r="G29" t="inlineStr">
        <is>
          <t>BC</t>
        </is>
      </c>
      <c r="H29">
        <f>IF(A29&lt;=NWeeks,1,0)</f>
        <v/>
      </c>
      <c r="I29">
        <f>INDEX(ChLaunch,MATCH(E29,ChName,0))</f>
        <v/>
      </c>
      <c r="J29">
        <f>INDEX(ChWeeksFull,MATCH(E29,ChName,0))</f>
        <v/>
      </c>
      <c r="K29">
        <f>INDEX(ChRamp,MATCH(E29,ChName,0))</f>
        <v/>
      </c>
      <c r="L29" s="45">
        <f>MIN(1,MAX(0,(A29-I29+1)*RampSpeed/J29))</f>
        <v/>
      </c>
      <c r="M29" s="45">
        <f>IF(A29&lt;I29,0,IF(K29="S-curve",L29*L29*(3-2*L29),L29))</f>
        <v/>
      </c>
      <c r="N29" s="45">
        <f>1+(INDEX(SeasonIdx,A29)-1)*SeasonAmp</f>
        <v/>
      </c>
      <c r="O29" s="45">
        <f>IFERROR(INDEX(PSPct,MATCH(E29&amp;"|"&amp;G29,PSKey,0)),0)</f>
        <v/>
      </c>
      <c r="P29" s="46">
        <f>INDEX(ChDoorVel,MATCH(E29,ChName,0))*CalibScalar*(1+VelocityUplift)</f>
        <v/>
      </c>
      <c r="Q29" s="46" t="n">
        <v>0</v>
      </c>
      <c r="R29" s="46">
        <f>P29*O29*M29*N29*H29</f>
        <v/>
      </c>
      <c r="S29" s="46">
        <f>R29*INDEX(FmtCansPerCase,MATCH(F29,FmtName,0))</f>
        <v/>
      </c>
      <c r="T29" s="46">
        <f>S29/INDEX(FmtCansPerPack,MATCH(F29,FmtName,0))</f>
        <v/>
      </c>
      <c r="U29" s="47">
        <f>INDEX(ChBaseCP,MATCH(E29,ChName,0))*(1+INDEX(ProvMod,MATCH(G29,ProvCode,0)))*(1+PriceIndex)</f>
        <v/>
      </c>
      <c r="V29" s="47">
        <f>R29*U29*INDEX(FmtBlendedPriceIdx,MATCH(F29,FmtName,0))</f>
        <v/>
      </c>
      <c r="W29" s="47">
        <f>T29*INDEX(ProvSRP,MATCH(G29,ProvCode,0))*(1+PriceIndex)</f>
        <v/>
      </c>
      <c r="X29" s="47">
        <f>IF(GrossBasis="Wholesale",V29,W29)</f>
        <v/>
      </c>
      <c r="Y29" s="47">
        <f>R29*INDEX(FmtBlendedCogs,MATCH(F29,FmtName,0))</f>
        <v/>
      </c>
      <c r="Z29" s="47">
        <f>X29-Y29</f>
        <v/>
      </c>
    </row>
    <row r="30">
      <c r="A30" t="n">
        <v>29</v>
      </c>
      <c r="B30" s="44">
        <f>FiscalStart+(A30-1)*7</f>
        <v/>
      </c>
      <c r="C30">
        <f>TEXT(B30,"mmm yyyy")</f>
        <v/>
      </c>
      <c r="D30">
        <f>"Q"&amp;(INT((A30-1)/13)+1)</f>
        <v/>
      </c>
      <c r="E30" t="inlineStr">
        <is>
          <t>Convenience</t>
        </is>
      </c>
      <c r="F30">
        <f>IFERROR(INDEX(ChFormat,MATCH(E30,ChName,0)),"")</f>
        <v/>
      </c>
      <c r="G30" t="inlineStr">
        <is>
          <t>BC</t>
        </is>
      </c>
      <c r="H30">
        <f>IF(A30&lt;=NWeeks,1,0)</f>
        <v/>
      </c>
      <c r="I30">
        <f>INDEX(ChLaunch,MATCH(E30,ChName,0))</f>
        <v/>
      </c>
      <c r="J30">
        <f>INDEX(ChWeeksFull,MATCH(E30,ChName,0))</f>
        <v/>
      </c>
      <c r="K30">
        <f>INDEX(ChRamp,MATCH(E30,ChName,0))</f>
        <v/>
      </c>
      <c r="L30" s="45">
        <f>MIN(1,MAX(0,(A30-I30+1)*RampSpeed/J30))</f>
        <v/>
      </c>
      <c r="M30" s="45">
        <f>IF(A30&lt;I30,0,IF(K30="S-curve",L30*L30*(3-2*L30),L30))</f>
        <v/>
      </c>
      <c r="N30" s="45">
        <f>1+(INDEX(SeasonIdx,A30)-1)*SeasonAmp</f>
        <v/>
      </c>
      <c r="O30" s="45">
        <f>IFERROR(INDEX(PSPct,MATCH(E30&amp;"|"&amp;G30,PSKey,0)),0)</f>
        <v/>
      </c>
      <c r="P30" s="46">
        <f>INDEX(ChDoorVel,MATCH(E30,ChName,0))*CalibScalar*(1+VelocityUplift)</f>
        <v/>
      </c>
      <c r="Q30" s="46" t="n">
        <v>0</v>
      </c>
      <c r="R30" s="46">
        <f>P30*O30*M30*N30*H30</f>
        <v/>
      </c>
      <c r="S30" s="46">
        <f>R30*INDEX(FmtCansPerCase,MATCH(F30,FmtName,0))</f>
        <v/>
      </c>
      <c r="T30" s="46">
        <f>S30/INDEX(FmtCansPerPack,MATCH(F30,FmtName,0))</f>
        <v/>
      </c>
      <c r="U30" s="47">
        <f>INDEX(ChBaseCP,MATCH(E30,ChName,0))*(1+INDEX(ProvMod,MATCH(G30,ProvCode,0)))*(1+PriceIndex)</f>
        <v/>
      </c>
      <c r="V30" s="47">
        <f>R30*U30*INDEX(FmtBlendedPriceIdx,MATCH(F30,FmtName,0))</f>
        <v/>
      </c>
      <c r="W30" s="47">
        <f>T30*INDEX(ProvSRP,MATCH(G30,ProvCode,0))*(1+PriceIndex)</f>
        <v/>
      </c>
      <c r="X30" s="47">
        <f>IF(GrossBasis="Wholesale",V30,W30)</f>
        <v/>
      </c>
      <c r="Y30" s="47">
        <f>R30*INDEX(FmtBlendedCogs,MATCH(F30,FmtName,0))</f>
        <v/>
      </c>
      <c r="Z30" s="47">
        <f>X30-Y30</f>
        <v/>
      </c>
    </row>
    <row r="31">
      <c r="A31" t="n">
        <v>30</v>
      </c>
      <c r="B31" s="44">
        <f>FiscalStart+(A31-1)*7</f>
        <v/>
      </c>
      <c r="C31">
        <f>TEXT(B31,"mmm yyyy")</f>
        <v/>
      </c>
      <c r="D31">
        <f>"Q"&amp;(INT((A31-1)/13)+1)</f>
        <v/>
      </c>
      <c r="E31" t="inlineStr">
        <is>
          <t>Convenience</t>
        </is>
      </c>
      <c r="F31">
        <f>IFERROR(INDEX(ChFormat,MATCH(E31,ChName,0)),"")</f>
        <v/>
      </c>
      <c r="G31" t="inlineStr">
        <is>
          <t>BC</t>
        </is>
      </c>
      <c r="H31">
        <f>IF(A31&lt;=NWeeks,1,0)</f>
        <v/>
      </c>
      <c r="I31">
        <f>INDEX(ChLaunch,MATCH(E31,ChName,0))</f>
        <v/>
      </c>
      <c r="J31">
        <f>INDEX(ChWeeksFull,MATCH(E31,ChName,0))</f>
        <v/>
      </c>
      <c r="K31">
        <f>INDEX(ChRamp,MATCH(E31,ChName,0))</f>
        <v/>
      </c>
      <c r="L31" s="45">
        <f>MIN(1,MAX(0,(A31-I31+1)*RampSpeed/J31))</f>
        <v/>
      </c>
      <c r="M31" s="45">
        <f>IF(A31&lt;I31,0,IF(K31="S-curve",L31*L31*(3-2*L31),L31))</f>
        <v/>
      </c>
      <c r="N31" s="45">
        <f>1+(INDEX(SeasonIdx,A31)-1)*SeasonAmp</f>
        <v/>
      </c>
      <c r="O31" s="45">
        <f>IFERROR(INDEX(PSPct,MATCH(E31&amp;"|"&amp;G31,PSKey,0)),0)</f>
        <v/>
      </c>
      <c r="P31" s="46">
        <f>INDEX(ChDoorVel,MATCH(E31,ChName,0))*CalibScalar*(1+VelocityUplift)</f>
        <v/>
      </c>
      <c r="Q31" s="46" t="n">
        <v>0</v>
      </c>
      <c r="R31" s="46">
        <f>P31*O31*M31*N31*H31</f>
        <v/>
      </c>
      <c r="S31" s="46">
        <f>R31*INDEX(FmtCansPerCase,MATCH(F31,FmtName,0))</f>
        <v/>
      </c>
      <c r="T31" s="46">
        <f>S31/INDEX(FmtCansPerPack,MATCH(F31,FmtName,0))</f>
        <v/>
      </c>
      <c r="U31" s="47">
        <f>INDEX(ChBaseCP,MATCH(E31,ChName,0))*(1+INDEX(ProvMod,MATCH(G31,ProvCode,0)))*(1+PriceIndex)</f>
        <v/>
      </c>
      <c r="V31" s="47">
        <f>R31*U31*INDEX(FmtBlendedPriceIdx,MATCH(F31,FmtName,0))</f>
        <v/>
      </c>
      <c r="W31" s="47">
        <f>T31*INDEX(ProvSRP,MATCH(G31,ProvCode,0))*(1+PriceIndex)</f>
        <v/>
      </c>
      <c r="X31" s="47">
        <f>IF(GrossBasis="Wholesale",V31,W31)</f>
        <v/>
      </c>
      <c r="Y31" s="47">
        <f>R31*INDEX(FmtBlendedCogs,MATCH(F31,FmtName,0))</f>
        <v/>
      </c>
      <c r="Z31" s="47">
        <f>X31-Y31</f>
        <v/>
      </c>
    </row>
    <row r="32">
      <c r="A32" t="n">
        <v>31</v>
      </c>
      <c r="B32" s="44">
        <f>FiscalStart+(A32-1)*7</f>
        <v/>
      </c>
      <c r="C32">
        <f>TEXT(B32,"mmm yyyy")</f>
        <v/>
      </c>
      <c r="D32">
        <f>"Q"&amp;(INT((A32-1)/13)+1)</f>
        <v/>
      </c>
      <c r="E32" t="inlineStr">
        <is>
          <t>Convenience</t>
        </is>
      </c>
      <c r="F32">
        <f>IFERROR(INDEX(ChFormat,MATCH(E32,ChName,0)),"")</f>
        <v/>
      </c>
      <c r="G32" t="inlineStr">
        <is>
          <t>BC</t>
        </is>
      </c>
      <c r="H32">
        <f>IF(A32&lt;=NWeeks,1,0)</f>
        <v/>
      </c>
      <c r="I32">
        <f>INDEX(ChLaunch,MATCH(E32,ChName,0))</f>
        <v/>
      </c>
      <c r="J32">
        <f>INDEX(ChWeeksFull,MATCH(E32,ChName,0))</f>
        <v/>
      </c>
      <c r="K32">
        <f>INDEX(ChRamp,MATCH(E32,ChName,0))</f>
        <v/>
      </c>
      <c r="L32" s="45">
        <f>MIN(1,MAX(0,(A32-I32+1)*RampSpeed/J32))</f>
        <v/>
      </c>
      <c r="M32" s="45">
        <f>IF(A32&lt;I32,0,IF(K32="S-curve",L32*L32*(3-2*L32),L32))</f>
        <v/>
      </c>
      <c r="N32" s="45">
        <f>1+(INDEX(SeasonIdx,A32)-1)*SeasonAmp</f>
        <v/>
      </c>
      <c r="O32" s="45">
        <f>IFERROR(INDEX(PSPct,MATCH(E32&amp;"|"&amp;G32,PSKey,0)),0)</f>
        <v/>
      </c>
      <c r="P32" s="46">
        <f>INDEX(ChDoorVel,MATCH(E32,ChName,0))*CalibScalar*(1+VelocityUplift)</f>
        <v/>
      </c>
      <c r="Q32" s="46" t="n">
        <v>0</v>
      </c>
      <c r="R32" s="46">
        <f>P32*O32*M32*N32*H32</f>
        <v/>
      </c>
      <c r="S32" s="46">
        <f>R32*INDEX(FmtCansPerCase,MATCH(F32,FmtName,0))</f>
        <v/>
      </c>
      <c r="T32" s="46">
        <f>S32/INDEX(FmtCansPerPack,MATCH(F32,FmtName,0))</f>
        <v/>
      </c>
      <c r="U32" s="47">
        <f>INDEX(ChBaseCP,MATCH(E32,ChName,0))*(1+INDEX(ProvMod,MATCH(G32,ProvCode,0)))*(1+PriceIndex)</f>
        <v/>
      </c>
      <c r="V32" s="47">
        <f>R32*U32*INDEX(FmtBlendedPriceIdx,MATCH(F32,FmtName,0))</f>
        <v/>
      </c>
      <c r="W32" s="47">
        <f>T32*INDEX(ProvSRP,MATCH(G32,ProvCode,0))*(1+PriceIndex)</f>
        <v/>
      </c>
      <c r="X32" s="47">
        <f>IF(GrossBasis="Wholesale",V32,W32)</f>
        <v/>
      </c>
      <c r="Y32" s="47">
        <f>R32*INDEX(FmtBlendedCogs,MATCH(F32,FmtName,0))</f>
        <v/>
      </c>
      <c r="Z32" s="47">
        <f>X32-Y32</f>
        <v/>
      </c>
    </row>
    <row r="33">
      <c r="A33" t="n">
        <v>32</v>
      </c>
      <c r="B33" s="44">
        <f>FiscalStart+(A33-1)*7</f>
        <v/>
      </c>
      <c r="C33">
        <f>TEXT(B33,"mmm yyyy")</f>
        <v/>
      </c>
      <c r="D33">
        <f>"Q"&amp;(INT((A33-1)/13)+1)</f>
        <v/>
      </c>
      <c r="E33" t="inlineStr">
        <is>
          <t>Convenience</t>
        </is>
      </c>
      <c r="F33">
        <f>IFERROR(INDEX(ChFormat,MATCH(E33,ChName,0)),"")</f>
        <v/>
      </c>
      <c r="G33" t="inlineStr">
        <is>
          <t>BC</t>
        </is>
      </c>
      <c r="H33">
        <f>IF(A33&lt;=NWeeks,1,0)</f>
        <v/>
      </c>
      <c r="I33">
        <f>INDEX(ChLaunch,MATCH(E33,ChName,0))</f>
        <v/>
      </c>
      <c r="J33">
        <f>INDEX(ChWeeksFull,MATCH(E33,ChName,0))</f>
        <v/>
      </c>
      <c r="K33">
        <f>INDEX(ChRamp,MATCH(E33,ChName,0))</f>
        <v/>
      </c>
      <c r="L33" s="45">
        <f>MIN(1,MAX(0,(A33-I33+1)*RampSpeed/J33))</f>
        <v/>
      </c>
      <c r="M33" s="45">
        <f>IF(A33&lt;I33,0,IF(K33="S-curve",L33*L33*(3-2*L33),L33))</f>
        <v/>
      </c>
      <c r="N33" s="45">
        <f>1+(INDEX(SeasonIdx,A33)-1)*SeasonAmp</f>
        <v/>
      </c>
      <c r="O33" s="45">
        <f>IFERROR(INDEX(PSPct,MATCH(E33&amp;"|"&amp;G33,PSKey,0)),0)</f>
        <v/>
      </c>
      <c r="P33" s="46">
        <f>INDEX(ChDoorVel,MATCH(E33,ChName,0))*CalibScalar*(1+VelocityUplift)</f>
        <v/>
      </c>
      <c r="Q33" s="46" t="n">
        <v>0</v>
      </c>
      <c r="R33" s="46">
        <f>P33*O33*M33*N33*H33</f>
        <v/>
      </c>
      <c r="S33" s="46">
        <f>R33*INDEX(FmtCansPerCase,MATCH(F33,FmtName,0))</f>
        <v/>
      </c>
      <c r="T33" s="46">
        <f>S33/INDEX(FmtCansPerPack,MATCH(F33,FmtName,0))</f>
        <v/>
      </c>
      <c r="U33" s="47">
        <f>INDEX(ChBaseCP,MATCH(E33,ChName,0))*(1+INDEX(ProvMod,MATCH(G33,ProvCode,0)))*(1+PriceIndex)</f>
        <v/>
      </c>
      <c r="V33" s="47">
        <f>R33*U33*INDEX(FmtBlendedPriceIdx,MATCH(F33,FmtName,0))</f>
        <v/>
      </c>
      <c r="W33" s="47">
        <f>T33*INDEX(ProvSRP,MATCH(G33,ProvCode,0))*(1+PriceIndex)</f>
        <v/>
      </c>
      <c r="X33" s="47">
        <f>IF(GrossBasis="Wholesale",V33,W33)</f>
        <v/>
      </c>
      <c r="Y33" s="47">
        <f>R33*INDEX(FmtBlendedCogs,MATCH(F33,FmtName,0))</f>
        <v/>
      </c>
      <c r="Z33" s="47">
        <f>X33-Y33</f>
        <v/>
      </c>
    </row>
    <row r="34">
      <c r="A34" t="n">
        <v>33</v>
      </c>
      <c r="B34" s="44">
        <f>FiscalStart+(A34-1)*7</f>
        <v/>
      </c>
      <c r="C34">
        <f>TEXT(B34,"mmm yyyy")</f>
        <v/>
      </c>
      <c r="D34">
        <f>"Q"&amp;(INT((A34-1)/13)+1)</f>
        <v/>
      </c>
      <c r="E34" t="inlineStr">
        <is>
          <t>Convenience</t>
        </is>
      </c>
      <c r="F34">
        <f>IFERROR(INDEX(ChFormat,MATCH(E34,ChName,0)),"")</f>
        <v/>
      </c>
      <c r="G34" t="inlineStr">
        <is>
          <t>BC</t>
        </is>
      </c>
      <c r="H34">
        <f>IF(A34&lt;=NWeeks,1,0)</f>
        <v/>
      </c>
      <c r="I34">
        <f>INDEX(ChLaunch,MATCH(E34,ChName,0))</f>
        <v/>
      </c>
      <c r="J34">
        <f>INDEX(ChWeeksFull,MATCH(E34,ChName,0))</f>
        <v/>
      </c>
      <c r="K34">
        <f>INDEX(ChRamp,MATCH(E34,ChName,0))</f>
        <v/>
      </c>
      <c r="L34" s="45">
        <f>MIN(1,MAX(0,(A34-I34+1)*RampSpeed/J34))</f>
        <v/>
      </c>
      <c r="M34" s="45">
        <f>IF(A34&lt;I34,0,IF(K34="S-curve",L34*L34*(3-2*L34),L34))</f>
        <v/>
      </c>
      <c r="N34" s="45">
        <f>1+(INDEX(SeasonIdx,A34)-1)*SeasonAmp</f>
        <v/>
      </c>
      <c r="O34" s="45">
        <f>IFERROR(INDEX(PSPct,MATCH(E34&amp;"|"&amp;G34,PSKey,0)),0)</f>
        <v/>
      </c>
      <c r="P34" s="46">
        <f>INDEX(ChDoorVel,MATCH(E34,ChName,0))*CalibScalar*(1+VelocityUplift)</f>
        <v/>
      </c>
      <c r="Q34" s="46" t="n">
        <v>0</v>
      </c>
      <c r="R34" s="46">
        <f>P34*O34*M34*N34*H34</f>
        <v/>
      </c>
      <c r="S34" s="46">
        <f>R34*INDEX(FmtCansPerCase,MATCH(F34,FmtName,0))</f>
        <v/>
      </c>
      <c r="T34" s="46">
        <f>S34/INDEX(FmtCansPerPack,MATCH(F34,FmtName,0))</f>
        <v/>
      </c>
      <c r="U34" s="47">
        <f>INDEX(ChBaseCP,MATCH(E34,ChName,0))*(1+INDEX(ProvMod,MATCH(G34,ProvCode,0)))*(1+PriceIndex)</f>
        <v/>
      </c>
      <c r="V34" s="47">
        <f>R34*U34*INDEX(FmtBlendedPriceIdx,MATCH(F34,FmtName,0))</f>
        <v/>
      </c>
      <c r="W34" s="47">
        <f>T34*INDEX(ProvSRP,MATCH(G34,ProvCode,0))*(1+PriceIndex)</f>
        <v/>
      </c>
      <c r="X34" s="47">
        <f>IF(GrossBasis="Wholesale",V34,W34)</f>
        <v/>
      </c>
      <c r="Y34" s="47">
        <f>R34*INDEX(FmtBlendedCogs,MATCH(F34,FmtName,0))</f>
        <v/>
      </c>
      <c r="Z34" s="47">
        <f>X34-Y34</f>
        <v/>
      </c>
    </row>
    <row r="35">
      <c r="A35" t="n">
        <v>34</v>
      </c>
      <c r="B35" s="44">
        <f>FiscalStart+(A35-1)*7</f>
        <v/>
      </c>
      <c r="C35">
        <f>TEXT(B35,"mmm yyyy")</f>
        <v/>
      </c>
      <c r="D35">
        <f>"Q"&amp;(INT((A35-1)/13)+1)</f>
        <v/>
      </c>
      <c r="E35" t="inlineStr">
        <is>
          <t>Convenience</t>
        </is>
      </c>
      <c r="F35">
        <f>IFERROR(INDEX(ChFormat,MATCH(E35,ChName,0)),"")</f>
        <v/>
      </c>
      <c r="G35" t="inlineStr">
        <is>
          <t>BC</t>
        </is>
      </c>
      <c r="H35">
        <f>IF(A35&lt;=NWeeks,1,0)</f>
        <v/>
      </c>
      <c r="I35">
        <f>INDEX(ChLaunch,MATCH(E35,ChName,0))</f>
        <v/>
      </c>
      <c r="J35">
        <f>INDEX(ChWeeksFull,MATCH(E35,ChName,0))</f>
        <v/>
      </c>
      <c r="K35">
        <f>INDEX(ChRamp,MATCH(E35,ChName,0))</f>
        <v/>
      </c>
      <c r="L35" s="45">
        <f>MIN(1,MAX(0,(A35-I35+1)*RampSpeed/J35))</f>
        <v/>
      </c>
      <c r="M35" s="45">
        <f>IF(A35&lt;I35,0,IF(K35="S-curve",L35*L35*(3-2*L35),L35))</f>
        <v/>
      </c>
      <c r="N35" s="45">
        <f>1+(INDEX(SeasonIdx,A35)-1)*SeasonAmp</f>
        <v/>
      </c>
      <c r="O35" s="45">
        <f>IFERROR(INDEX(PSPct,MATCH(E35&amp;"|"&amp;G35,PSKey,0)),0)</f>
        <v/>
      </c>
      <c r="P35" s="46">
        <f>INDEX(ChDoorVel,MATCH(E35,ChName,0))*CalibScalar*(1+VelocityUplift)</f>
        <v/>
      </c>
      <c r="Q35" s="46" t="n">
        <v>0</v>
      </c>
      <c r="R35" s="46">
        <f>P35*O35*M35*N35*H35</f>
        <v/>
      </c>
      <c r="S35" s="46">
        <f>R35*INDEX(FmtCansPerCase,MATCH(F35,FmtName,0))</f>
        <v/>
      </c>
      <c r="T35" s="46">
        <f>S35/INDEX(FmtCansPerPack,MATCH(F35,FmtName,0))</f>
        <v/>
      </c>
      <c r="U35" s="47">
        <f>INDEX(ChBaseCP,MATCH(E35,ChName,0))*(1+INDEX(ProvMod,MATCH(G35,ProvCode,0)))*(1+PriceIndex)</f>
        <v/>
      </c>
      <c r="V35" s="47">
        <f>R35*U35*INDEX(FmtBlendedPriceIdx,MATCH(F35,FmtName,0))</f>
        <v/>
      </c>
      <c r="W35" s="47">
        <f>T35*INDEX(ProvSRP,MATCH(G35,ProvCode,0))*(1+PriceIndex)</f>
        <v/>
      </c>
      <c r="X35" s="47">
        <f>IF(GrossBasis="Wholesale",V35,W35)</f>
        <v/>
      </c>
      <c r="Y35" s="47">
        <f>R35*INDEX(FmtBlendedCogs,MATCH(F35,FmtName,0))</f>
        <v/>
      </c>
      <c r="Z35" s="47">
        <f>X35-Y35</f>
        <v/>
      </c>
    </row>
    <row r="36">
      <c r="A36" t="n">
        <v>35</v>
      </c>
      <c r="B36" s="44">
        <f>FiscalStart+(A36-1)*7</f>
        <v/>
      </c>
      <c r="C36">
        <f>TEXT(B36,"mmm yyyy")</f>
        <v/>
      </c>
      <c r="D36">
        <f>"Q"&amp;(INT((A36-1)/13)+1)</f>
        <v/>
      </c>
      <c r="E36" t="inlineStr">
        <is>
          <t>Convenience</t>
        </is>
      </c>
      <c r="F36">
        <f>IFERROR(INDEX(ChFormat,MATCH(E36,ChName,0)),"")</f>
        <v/>
      </c>
      <c r="G36" t="inlineStr">
        <is>
          <t>BC</t>
        </is>
      </c>
      <c r="H36">
        <f>IF(A36&lt;=NWeeks,1,0)</f>
        <v/>
      </c>
      <c r="I36">
        <f>INDEX(ChLaunch,MATCH(E36,ChName,0))</f>
        <v/>
      </c>
      <c r="J36">
        <f>INDEX(ChWeeksFull,MATCH(E36,ChName,0))</f>
        <v/>
      </c>
      <c r="K36">
        <f>INDEX(ChRamp,MATCH(E36,ChName,0))</f>
        <v/>
      </c>
      <c r="L36" s="45">
        <f>MIN(1,MAX(0,(A36-I36+1)*RampSpeed/J36))</f>
        <v/>
      </c>
      <c r="M36" s="45">
        <f>IF(A36&lt;I36,0,IF(K36="S-curve",L36*L36*(3-2*L36),L36))</f>
        <v/>
      </c>
      <c r="N36" s="45">
        <f>1+(INDEX(SeasonIdx,A36)-1)*SeasonAmp</f>
        <v/>
      </c>
      <c r="O36" s="45">
        <f>IFERROR(INDEX(PSPct,MATCH(E36&amp;"|"&amp;G36,PSKey,0)),0)</f>
        <v/>
      </c>
      <c r="P36" s="46">
        <f>INDEX(ChDoorVel,MATCH(E36,ChName,0))*CalibScalar*(1+VelocityUplift)</f>
        <v/>
      </c>
      <c r="Q36" s="46" t="n">
        <v>0</v>
      </c>
      <c r="R36" s="46">
        <f>P36*O36*M36*N36*H36</f>
        <v/>
      </c>
      <c r="S36" s="46">
        <f>R36*INDEX(FmtCansPerCase,MATCH(F36,FmtName,0))</f>
        <v/>
      </c>
      <c r="T36" s="46">
        <f>S36/INDEX(FmtCansPerPack,MATCH(F36,FmtName,0))</f>
        <v/>
      </c>
      <c r="U36" s="47">
        <f>INDEX(ChBaseCP,MATCH(E36,ChName,0))*(1+INDEX(ProvMod,MATCH(G36,ProvCode,0)))*(1+PriceIndex)</f>
        <v/>
      </c>
      <c r="V36" s="47">
        <f>R36*U36*INDEX(FmtBlendedPriceIdx,MATCH(F36,FmtName,0))</f>
        <v/>
      </c>
      <c r="W36" s="47">
        <f>T36*INDEX(ProvSRP,MATCH(G36,ProvCode,0))*(1+PriceIndex)</f>
        <v/>
      </c>
      <c r="X36" s="47">
        <f>IF(GrossBasis="Wholesale",V36,W36)</f>
        <v/>
      </c>
      <c r="Y36" s="47">
        <f>R36*INDEX(FmtBlendedCogs,MATCH(F36,FmtName,0))</f>
        <v/>
      </c>
      <c r="Z36" s="47">
        <f>X36-Y36</f>
        <v/>
      </c>
    </row>
    <row r="37">
      <c r="A37" t="n">
        <v>36</v>
      </c>
      <c r="B37" s="44">
        <f>FiscalStart+(A37-1)*7</f>
        <v/>
      </c>
      <c r="C37">
        <f>TEXT(B37,"mmm yyyy")</f>
        <v/>
      </c>
      <c r="D37">
        <f>"Q"&amp;(INT((A37-1)/13)+1)</f>
        <v/>
      </c>
      <c r="E37" t="inlineStr">
        <is>
          <t>Convenience</t>
        </is>
      </c>
      <c r="F37">
        <f>IFERROR(INDEX(ChFormat,MATCH(E37,ChName,0)),"")</f>
        <v/>
      </c>
      <c r="G37" t="inlineStr">
        <is>
          <t>BC</t>
        </is>
      </c>
      <c r="H37">
        <f>IF(A37&lt;=NWeeks,1,0)</f>
        <v/>
      </c>
      <c r="I37">
        <f>INDEX(ChLaunch,MATCH(E37,ChName,0))</f>
        <v/>
      </c>
      <c r="J37">
        <f>INDEX(ChWeeksFull,MATCH(E37,ChName,0))</f>
        <v/>
      </c>
      <c r="K37">
        <f>INDEX(ChRamp,MATCH(E37,ChName,0))</f>
        <v/>
      </c>
      <c r="L37" s="45">
        <f>MIN(1,MAX(0,(A37-I37+1)*RampSpeed/J37))</f>
        <v/>
      </c>
      <c r="M37" s="45">
        <f>IF(A37&lt;I37,0,IF(K37="S-curve",L37*L37*(3-2*L37),L37))</f>
        <v/>
      </c>
      <c r="N37" s="45">
        <f>1+(INDEX(SeasonIdx,A37)-1)*SeasonAmp</f>
        <v/>
      </c>
      <c r="O37" s="45">
        <f>IFERROR(INDEX(PSPct,MATCH(E37&amp;"|"&amp;G37,PSKey,0)),0)</f>
        <v/>
      </c>
      <c r="P37" s="46">
        <f>INDEX(ChDoorVel,MATCH(E37,ChName,0))*CalibScalar*(1+VelocityUplift)</f>
        <v/>
      </c>
      <c r="Q37" s="46" t="n">
        <v>0</v>
      </c>
      <c r="R37" s="46">
        <f>P37*O37*M37*N37*H37</f>
        <v/>
      </c>
      <c r="S37" s="46">
        <f>R37*INDEX(FmtCansPerCase,MATCH(F37,FmtName,0))</f>
        <v/>
      </c>
      <c r="T37" s="46">
        <f>S37/INDEX(FmtCansPerPack,MATCH(F37,FmtName,0))</f>
        <v/>
      </c>
      <c r="U37" s="47">
        <f>INDEX(ChBaseCP,MATCH(E37,ChName,0))*(1+INDEX(ProvMod,MATCH(G37,ProvCode,0)))*(1+PriceIndex)</f>
        <v/>
      </c>
      <c r="V37" s="47">
        <f>R37*U37*INDEX(FmtBlendedPriceIdx,MATCH(F37,FmtName,0))</f>
        <v/>
      </c>
      <c r="W37" s="47">
        <f>T37*INDEX(ProvSRP,MATCH(G37,ProvCode,0))*(1+PriceIndex)</f>
        <v/>
      </c>
      <c r="X37" s="47">
        <f>IF(GrossBasis="Wholesale",V37,W37)</f>
        <v/>
      </c>
      <c r="Y37" s="47">
        <f>R37*INDEX(FmtBlendedCogs,MATCH(F37,FmtName,0))</f>
        <v/>
      </c>
      <c r="Z37" s="47">
        <f>X37-Y37</f>
        <v/>
      </c>
    </row>
    <row r="38">
      <c r="A38" t="n">
        <v>37</v>
      </c>
      <c r="B38" s="44">
        <f>FiscalStart+(A38-1)*7</f>
        <v/>
      </c>
      <c r="C38">
        <f>TEXT(B38,"mmm yyyy")</f>
        <v/>
      </c>
      <c r="D38">
        <f>"Q"&amp;(INT((A38-1)/13)+1)</f>
        <v/>
      </c>
      <c r="E38" t="inlineStr">
        <is>
          <t>Convenience</t>
        </is>
      </c>
      <c r="F38">
        <f>IFERROR(INDEX(ChFormat,MATCH(E38,ChName,0)),"")</f>
        <v/>
      </c>
      <c r="G38" t="inlineStr">
        <is>
          <t>BC</t>
        </is>
      </c>
      <c r="H38">
        <f>IF(A38&lt;=NWeeks,1,0)</f>
        <v/>
      </c>
      <c r="I38">
        <f>INDEX(ChLaunch,MATCH(E38,ChName,0))</f>
        <v/>
      </c>
      <c r="J38">
        <f>INDEX(ChWeeksFull,MATCH(E38,ChName,0))</f>
        <v/>
      </c>
      <c r="K38">
        <f>INDEX(ChRamp,MATCH(E38,ChName,0))</f>
        <v/>
      </c>
      <c r="L38" s="45">
        <f>MIN(1,MAX(0,(A38-I38+1)*RampSpeed/J38))</f>
        <v/>
      </c>
      <c r="M38" s="45">
        <f>IF(A38&lt;I38,0,IF(K38="S-curve",L38*L38*(3-2*L38),L38))</f>
        <v/>
      </c>
      <c r="N38" s="45">
        <f>1+(INDEX(SeasonIdx,A38)-1)*SeasonAmp</f>
        <v/>
      </c>
      <c r="O38" s="45">
        <f>IFERROR(INDEX(PSPct,MATCH(E38&amp;"|"&amp;G38,PSKey,0)),0)</f>
        <v/>
      </c>
      <c r="P38" s="46">
        <f>INDEX(ChDoorVel,MATCH(E38,ChName,0))*CalibScalar*(1+VelocityUplift)</f>
        <v/>
      </c>
      <c r="Q38" s="46" t="n">
        <v>0</v>
      </c>
      <c r="R38" s="46">
        <f>P38*O38*M38*N38*H38</f>
        <v/>
      </c>
      <c r="S38" s="46">
        <f>R38*INDEX(FmtCansPerCase,MATCH(F38,FmtName,0))</f>
        <v/>
      </c>
      <c r="T38" s="46">
        <f>S38/INDEX(FmtCansPerPack,MATCH(F38,FmtName,0))</f>
        <v/>
      </c>
      <c r="U38" s="47">
        <f>INDEX(ChBaseCP,MATCH(E38,ChName,0))*(1+INDEX(ProvMod,MATCH(G38,ProvCode,0)))*(1+PriceIndex)</f>
        <v/>
      </c>
      <c r="V38" s="47">
        <f>R38*U38*INDEX(FmtBlendedPriceIdx,MATCH(F38,FmtName,0))</f>
        <v/>
      </c>
      <c r="W38" s="47">
        <f>T38*INDEX(ProvSRP,MATCH(G38,ProvCode,0))*(1+PriceIndex)</f>
        <v/>
      </c>
      <c r="X38" s="47">
        <f>IF(GrossBasis="Wholesale",V38,W38)</f>
        <v/>
      </c>
      <c r="Y38" s="47">
        <f>R38*INDEX(FmtBlendedCogs,MATCH(F38,FmtName,0))</f>
        <v/>
      </c>
      <c r="Z38" s="47">
        <f>X38-Y38</f>
        <v/>
      </c>
    </row>
    <row r="39">
      <c r="A39" t="n">
        <v>38</v>
      </c>
      <c r="B39" s="44">
        <f>FiscalStart+(A39-1)*7</f>
        <v/>
      </c>
      <c r="C39">
        <f>TEXT(B39,"mmm yyyy")</f>
        <v/>
      </c>
      <c r="D39">
        <f>"Q"&amp;(INT((A39-1)/13)+1)</f>
        <v/>
      </c>
      <c r="E39" t="inlineStr">
        <is>
          <t>Convenience</t>
        </is>
      </c>
      <c r="F39">
        <f>IFERROR(INDEX(ChFormat,MATCH(E39,ChName,0)),"")</f>
        <v/>
      </c>
      <c r="G39" t="inlineStr">
        <is>
          <t>BC</t>
        </is>
      </c>
      <c r="H39">
        <f>IF(A39&lt;=NWeeks,1,0)</f>
        <v/>
      </c>
      <c r="I39">
        <f>INDEX(ChLaunch,MATCH(E39,ChName,0))</f>
        <v/>
      </c>
      <c r="J39">
        <f>INDEX(ChWeeksFull,MATCH(E39,ChName,0))</f>
        <v/>
      </c>
      <c r="K39">
        <f>INDEX(ChRamp,MATCH(E39,ChName,0))</f>
        <v/>
      </c>
      <c r="L39" s="45">
        <f>MIN(1,MAX(0,(A39-I39+1)*RampSpeed/J39))</f>
        <v/>
      </c>
      <c r="M39" s="45">
        <f>IF(A39&lt;I39,0,IF(K39="S-curve",L39*L39*(3-2*L39),L39))</f>
        <v/>
      </c>
      <c r="N39" s="45">
        <f>1+(INDEX(SeasonIdx,A39)-1)*SeasonAmp</f>
        <v/>
      </c>
      <c r="O39" s="45">
        <f>IFERROR(INDEX(PSPct,MATCH(E39&amp;"|"&amp;G39,PSKey,0)),0)</f>
        <v/>
      </c>
      <c r="P39" s="46">
        <f>INDEX(ChDoorVel,MATCH(E39,ChName,0))*CalibScalar*(1+VelocityUplift)</f>
        <v/>
      </c>
      <c r="Q39" s="46" t="n">
        <v>0</v>
      </c>
      <c r="R39" s="46">
        <f>P39*O39*M39*N39*H39</f>
        <v/>
      </c>
      <c r="S39" s="46">
        <f>R39*INDEX(FmtCansPerCase,MATCH(F39,FmtName,0))</f>
        <v/>
      </c>
      <c r="T39" s="46">
        <f>S39/INDEX(FmtCansPerPack,MATCH(F39,FmtName,0))</f>
        <v/>
      </c>
      <c r="U39" s="47">
        <f>INDEX(ChBaseCP,MATCH(E39,ChName,0))*(1+INDEX(ProvMod,MATCH(G39,ProvCode,0)))*(1+PriceIndex)</f>
        <v/>
      </c>
      <c r="V39" s="47">
        <f>R39*U39*INDEX(FmtBlendedPriceIdx,MATCH(F39,FmtName,0))</f>
        <v/>
      </c>
      <c r="W39" s="47">
        <f>T39*INDEX(ProvSRP,MATCH(G39,ProvCode,0))*(1+PriceIndex)</f>
        <v/>
      </c>
      <c r="X39" s="47">
        <f>IF(GrossBasis="Wholesale",V39,W39)</f>
        <v/>
      </c>
      <c r="Y39" s="47">
        <f>R39*INDEX(FmtBlendedCogs,MATCH(F39,FmtName,0))</f>
        <v/>
      </c>
      <c r="Z39" s="47">
        <f>X39-Y39</f>
        <v/>
      </c>
    </row>
    <row r="40">
      <c r="A40" t="n">
        <v>39</v>
      </c>
      <c r="B40" s="44">
        <f>FiscalStart+(A40-1)*7</f>
        <v/>
      </c>
      <c r="C40">
        <f>TEXT(B40,"mmm yyyy")</f>
        <v/>
      </c>
      <c r="D40">
        <f>"Q"&amp;(INT((A40-1)/13)+1)</f>
        <v/>
      </c>
      <c r="E40" t="inlineStr">
        <is>
          <t>Convenience</t>
        </is>
      </c>
      <c r="F40">
        <f>IFERROR(INDEX(ChFormat,MATCH(E40,ChName,0)),"")</f>
        <v/>
      </c>
      <c r="G40" t="inlineStr">
        <is>
          <t>BC</t>
        </is>
      </c>
      <c r="H40">
        <f>IF(A40&lt;=NWeeks,1,0)</f>
        <v/>
      </c>
      <c r="I40">
        <f>INDEX(ChLaunch,MATCH(E40,ChName,0))</f>
        <v/>
      </c>
      <c r="J40">
        <f>INDEX(ChWeeksFull,MATCH(E40,ChName,0))</f>
        <v/>
      </c>
      <c r="K40">
        <f>INDEX(ChRamp,MATCH(E40,ChName,0))</f>
        <v/>
      </c>
      <c r="L40" s="45">
        <f>MIN(1,MAX(0,(A40-I40+1)*RampSpeed/J40))</f>
        <v/>
      </c>
      <c r="M40" s="45">
        <f>IF(A40&lt;I40,0,IF(K40="S-curve",L40*L40*(3-2*L40),L40))</f>
        <v/>
      </c>
      <c r="N40" s="45">
        <f>1+(INDEX(SeasonIdx,A40)-1)*SeasonAmp</f>
        <v/>
      </c>
      <c r="O40" s="45">
        <f>IFERROR(INDEX(PSPct,MATCH(E40&amp;"|"&amp;G40,PSKey,0)),0)</f>
        <v/>
      </c>
      <c r="P40" s="46">
        <f>INDEX(ChDoorVel,MATCH(E40,ChName,0))*CalibScalar*(1+VelocityUplift)</f>
        <v/>
      </c>
      <c r="Q40" s="46" t="n">
        <v>0</v>
      </c>
      <c r="R40" s="46">
        <f>P40*O40*M40*N40*H40</f>
        <v/>
      </c>
      <c r="S40" s="46">
        <f>R40*INDEX(FmtCansPerCase,MATCH(F40,FmtName,0))</f>
        <v/>
      </c>
      <c r="T40" s="46">
        <f>S40/INDEX(FmtCansPerPack,MATCH(F40,FmtName,0))</f>
        <v/>
      </c>
      <c r="U40" s="47">
        <f>INDEX(ChBaseCP,MATCH(E40,ChName,0))*(1+INDEX(ProvMod,MATCH(G40,ProvCode,0)))*(1+PriceIndex)</f>
        <v/>
      </c>
      <c r="V40" s="47">
        <f>R40*U40*INDEX(FmtBlendedPriceIdx,MATCH(F40,FmtName,0))</f>
        <v/>
      </c>
      <c r="W40" s="47">
        <f>T40*INDEX(ProvSRP,MATCH(G40,ProvCode,0))*(1+PriceIndex)</f>
        <v/>
      </c>
      <c r="X40" s="47">
        <f>IF(GrossBasis="Wholesale",V40,W40)</f>
        <v/>
      </c>
      <c r="Y40" s="47">
        <f>R40*INDEX(FmtBlendedCogs,MATCH(F40,FmtName,0))</f>
        <v/>
      </c>
      <c r="Z40" s="47">
        <f>X40-Y40</f>
        <v/>
      </c>
    </row>
    <row r="41">
      <c r="A41" t="n">
        <v>40</v>
      </c>
      <c r="B41" s="44">
        <f>FiscalStart+(A41-1)*7</f>
        <v/>
      </c>
      <c r="C41">
        <f>TEXT(B41,"mmm yyyy")</f>
        <v/>
      </c>
      <c r="D41">
        <f>"Q"&amp;(INT((A41-1)/13)+1)</f>
        <v/>
      </c>
      <c r="E41" t="inlineStr">
        <is>
          <t>Convenience</t>
        </is>
      </c>
      <c r="F41">
        <f>IFERROR(INDEX(ChFormat,MATCH(E41,ChName,0)),"")</f>
        <v/>
      </c>
      <c r="G41" t="inlineStr">
        <is>
          <t>BC</t>
        </is>
      </c>
      <c r="H41">
        <f>IF(A41&lt;=NWeeks,1,0)</f>
        <v/>
      </c>
      <c r="I41">
        <f>INDEX(ChLaunch,MATCH(E41,ChName,0))</f>
        <v/>
      </c>
      <c r="J41">
        <f>INDEX(ChWeeksFull,MATCH(E41,ChName,0))</f>
        <v/>
      </c>
      <c r="K41">
        <f>INDEX(ChRamp,MATCH(E41,ChName,0))</f>
        <v/>
      </c>
      <c r="L41" s="45">
        <f>MIN(1,MAX(0,(A41-I41+1)*RampSpeed/J41))</f>
        <v/>
      </c>
      <c r="M41" s="45">
        <f>IF(A41&lt;I41,0,IF(K41="S-curve",L41*L41*(3-2*L41),L41))</f>
        <v/>
      </c>
      <c r="N41" s="45">
        <f>1+(INDEX(SeasonIdx,A41)-1)*SeasonAmp</f>
        <v/>
      </c>
      <c r="O41" s="45">
        <f>IFERROR(INDEX(PSPct,MATCH(E41&amp;"|"&amp;G41,PSKey,0)),0)</f>
        <v/>
      </c>
      <c r="P41" s="46">
        <f>INDEX(ChDoorVel,MATCH(E41,ChName,0))*CalibScalar*(1+VelocityUplift)</f>
        <v/>
      </c>
      <c r="Q41" s="46" t="n">
        <v>0</v>
      </c>
      <c r="R41" s="46">
        <f>P41*O41*M41*N41*H41</f>
        <v/>
      </c>
      <c r="S41" s="46">
        <f>R41*INDEX(FmtCansPerCase,MATCH(F41,FmtName,0))</f>
        <v/>
      </c>
      <c r="T41" s="46">
        <f>S41/INDEX(FmtCansPerPack,MATCH(F41,FmtName,0))</f>
        <v/>
      </c>
      <c r="U41" s="47">
        <f>INDEX(ChBaseCP,MATCH(E41,ChName,0))*(1+INDEX(ProvMod,MATCH(G41,ProvCode,0)))*(1+PriceIndex)</f>
        <v/>
      </c>
      <c r="V41" s="47">
        <f>R41*U41*INDEX(FmtBlendedPriceIdx,MATCH(F41,FmtName,0))</f>
        <v/>
      </c>
      <c r="W41" s="47">
        <f>T41*INDEX(ProvSRP,MATCH(G41,ProvCode,0))*(1+PriceIndex)</f>
        <v/>
      </c>
      <c r="X41" s="47">
        <f>IF(GrossBasis="Wholesale",V41,W41)</f>
        <v/>
      </c>
      <c r="Y41" s="47">
        <f>R41*INDEX(FmtBlendedCogs,MATCH(F41,FmtName,0))</f>
        <v/>
      </c>
      <c r="Z41" s="47">
        <f>X41-Y41</f>
        <v/>
      </c>
    </row>
    <row r="42">
      <c r="A42" t="n">
        <v>41</v>
      </c>
      <c r="B42" s="44">
        <f>FiscalStart+(A42-1)*7</f>
        <v/>
      </c>
      <c r="C42">
        <f>TEXT(B42,"mmm yyyy")</f>
        <v/>
      </c>
      <c r="D42">
        <f>"Q"&amp;(INT((A42-1)/13)+1)</f>
        <v/>
      </c>
      <c r="E42" t="inlineStr">
        <is>
          <t>Convenience</t>
        </is>
      </c>
      <c r="F42">
        <f>IFERROR(INDEX(ChFormat,MATCH(E42,ChName,0)),"")</f>
        <v/>
      </c>
      <c r="G42" t="inlineStr">
        <is>
          <t>BC</t>
        </is>
      </c>
      <c r="H42">
        <f>IF(A42&lt;=NWeeks,1,0)</f>
        <v/>
      </c>
      <c r="I42">
        <f>INDEX(ChLaunch,MATCH(E42,ChName,0))</f>
        <v/>
      </c>
      <c r="J42">
        <f>INDEX(ChWeeksFull,MATCH(E42,ChName,0))</f>
        <v/>
      </c>
      <c r="K42">
        <f>INDEX(ChRamp,MATCH(E42,ChName,0))</f>
        <v/>
      </c>
      <c r="L42" s="45">
        <f>MIN(1,MAX(0,(A42-I42+1)*RampSpeed/J42))</f>
        <v/>
      </c>
      <c r="M42" s="45">
        <f>IF(A42&lt;I42,0,IF(K42="S-curve",L42*L42*(3-2*L42),L42))</f>
        <v/>
      </c>
      <c r="N42" s="45">
        <f>1+(INDEX(SeasonIdx,A42)-1)*SeasonAmp</f>
        <v/>
      </c>
      <c r="O42" s="45">
        <f>IFERROR(INDEX(PSPct,MATCH(E42&amp;"|"&amp;G42,PSKey,0)),0)</f>
        <v/>
      </c>
      <c r="P42" s="46">
        <f>INDEX(ChDoorVel,MATCH(E42,ChName,0))*CalibScalar*(1+VelocityUplift)</f>
        <v/>
      </c>
      <c r="Q42" s="46" t="n">
        <v>0</v>
      </c>
      <c r="R42" s="46">
        <f>P42*O42*M42*N42*H42</f>
        <v/>
      </c>
      <c r="S42" s="46">
        <f>R42*INDEX(FmtCansPerCase,MATCH(F42,FmtName,0))</f>
        <v/>
      </c>
      <c r="T42" s="46">
        <f>S42/INDEX(FmtCansPerPack,MATCH(F42,FmtName,0))</f>
        <v/>
      </c>
      <c r="U42" s="47">
        <f>INDEX(ChBaseCP,MATCH(E42,ChName,0))*(1+INDEX(ProvMod,MATCH(G42,ProvCode,0)))*(1+PriceIndex)</f>
        <v/>
      </c>
      <c r="V42" s="47">
        <f>R42*U42*INDEX(FmtBlendedPriceIdx,MATCH(F42,FmtName,0))</f>
        <v/>
      </c>
      <c r="W42" s="47">
        <f>T42*INDEX(ProvSRP,MATCH(G42,ProvCode,0))*(1+PriceIndex)</f>
        <v/>
      </c>
      <c r="X42" s="47">
        <f>IF(GrossBasis="Wholesale",V42,W42)</f>
        <v/>
      </c>
      <c r="Y42" s="47">
        <f>R42*INDEX(FmtBlendedCogs,MATCH(F42,FmtName,0))</f>
        <v/>
      </c>
      <c r="Z42" s="47">
        <f>X42-Y42</f>
        <v/>
      </c>
    </row>
    <row r="43">
      <c r="A43" t="n">
        <v>42</v>
      </c>
      <c r="B43" s="44">
        <f>FiscalStart+(A43-1)*7</f>
        <v/>
      </c>
      <c r="C43">
        <f>TEXT(B43,"mmm yyyy")</f>
        <v/>
      </c>
      <c r="D43">
        <f>"Q"&amp;(INT((A43-1)/13)+1)</f>
        <v/>
      </c>
      <c r="E43" t="inlineStr">
        <is>
          <t>Convenience</t>
        </is>
      </c>
      <c r="F43">
        <f>IFERROR(INDEX(ChFormat,MATCH(E43,ChName,0)),"")</f>
        <v/>
      </c>
      <c r="G43" t="inlineStr">
        <is>
          <t>BC</t>
        </is>
      </c>
      <c r="H43">
        <f>IF(A43&lt;=NWeeks,1,0)</f>
        <v/>
      </c>
      <c r="I43">
        <f>INDEX(ChLaunch,MATCH(E43,ChName,0))</f>
        <v/>
      </c>
      <c r="J43">
        <f>INDEX(ChWeeksFull,MATCH(E43,ChName,0))</f>
        <v/>
      </c>
      <c r="K43">
        <f>INDEX(ChRamp,MATCH(E43,ChName,0))</f>
        <v/>
      </c>
      <c r="L43" s="45">
        <f>MIN(1,MAX(0,(A43-I43+1)*RampSpeed/J43))</f>
        <v/>
      </c>
      <c r="M43" s="45">
        <f>IF(A43&lt;I43,0,IF(K43="S-curve",L43*L43*(3-2*L43),L43))</f>
        <v/>
      </c>
      <c r="N43" s="45">
        <f>1+(INDEX(SeasonIdx,A43)-1)*SeasonAmp</f>
        <v/>
      </c>
      <c r="O43" s="45">
        <f>IFERROR(INDEX(PSPct,MATCH(E43&amp;"|"&amp;G43,PSKey,0)),0)</f>
        <v/>
      </c>
      <c r="P43" s="46">
        <f>INDEX(ChDoorVel,MATCH(E43,ChName,0))*CalibScalar*(1+VelocityUplift)</f>
        <v/>
      </c>
      <c r="Q43" s="46" t="n">
        <v>0</v>
      </c>
      <c r="R43" s="46">
        <f>P43*O43*M43*N43*H43</f>
        <v/>
      </c>
      <c r="S43" s="46">
        <f>R43*INDEX(FmtCansPerCase,MATCH(F43,FmtName,0))</f>
        <v/>
      </c>
      <c r="T43" s="46">
        <f>S43/INDEX(FmtCansPerPack,MATCH(F43,FmtName,0))</f>
        <v/>
      </c>
      <c r="U43" s="47">
        <f>INDEX(ChBaseCP,MATCH(E43,ChName,0))*(1+INDEX(ProvMod,MATCH(G43,ProvCode,0)))*(1+PriceIndex)</f>
        <v/>
      </c>
      <c r="V43" s="47">
        <f>R43*U43*INDEX(FmtBlendedPriceIdx,MATCH(F43,FmtName,0))</f>
        <v/>
      </c>
      <c r="W43" s="47">
        <f>T43*INDEX(ProvSRP,MATCH(G43,ProvCode,0))*(1+PriceIndex)</f>
        <v/>
      </c>
      <c r="X43" s="47">
        <f>IF(GrossBasis="Wholesale",V43,W43)</f>
        <v/>
      </c>
      <c r="Y43" s="47">
        <f>R43*INDEX(FmtBlendedCogs,MATCH(F43,FmtName,0))</f>
        <v/>
      </c>
      <c r="Z43" s="47">
        <f>X43-Y43</f>
        <v/>
      </c>
    </row>
    <row r="44">
      <c r="A44" t="n">
        <v>43</v>
      </c>
      <c r="B44" s="44">
        <f>FiscalStart+(A44-1)*7</f>
        <v/>
      </c>
      <c r="C44">
        <f>TEXT(B44,"mmm yyyy")</f>
        <v/>
      </c>
      <c r="D44">
        <f>"Q"&amp;(INT((A44-1)/13)+1)</f>
        <v/>
      </c>
      <c r="E44" t="inlineStr">
        <is>
          <t>Convenience</t>
        </is>
      </c>
      <c r="F44">
        <f>IFERROR(INDEX(ChFormat,MATCH(E44,ChName,0)),"")</f>
        <v/>
      </c>
      <c r="G44" t="inlineStr">
        <is>
          <t>BC</t>
        </is>
      </c>
      <c r="H44">
        <f>IF(A44&lt;=NWeeks,1,0)</f>
        <v/>
      </c>
      <c r="I44">
        <f>INDEX(ChLaunch,MATCH(E44,ChName,0))</f>
        <v/>
      </c>
      <c r="J44">
        <f>INDEX(ChWeeksFull,MATCH(E44,ChName,0))</f>
        <v/>
      </c>
      <c r="K44">
        <f>INDEX(ChRamp,MATCH(E44,ChName,0))</f>
        <v/>
      </c>
      <c r="L44" s="45">
        <f>MIN(1,MAX(0,(A44-I44+1)*RampSpeed/J44))</f>
        <v/>
      </c>
      <c r="M44" s="45">
        <f>IF(A44&lt;I44,0,IF(K44="S-curve",L44*L44*(3-2*L44),L44))</f>
        <v/>
      </c>
      <c r="N44" s="45">
        <f>1+(INDEX(SeasonIdx,A44)-1)*SeasonAmp</f>
        <v/>
      </c>
      <c r="O44" s="45">
        <f>IFERROR(INDEX(PSPct,MATCH(E44&amp;"|"&amp;G44,PSKey,0)),0)</f>
        <v/>
      </c>
      <c r="P44" s="46">
        <f>INDEX(ChDoorVel,MATCH(E44,ChName,0))*CalibScalar*(1+VelocityUplift)</f>
        <v/>
      </c>
      <c r="Q44" s="46" t="n">
        <v>0</v>
      </c>
      <c r="R44" s="46">
        <f>P44*O44*M44*N44*H44</f>
        <v/>
      </c>
      <c r="S44" s="46">
        <f>R44*INDEX(FmtCansPerCase,MATCH(F44,FmtName,0))</f>
        <v/>
      </c>
      <c r="T44" s="46">
        <f>S44/INDEX(FmtCansPerPack,MATCH(F44,FmtName,0))</f>
        <v/>
      </c>
      <c r="U44" s="47">
        <f>INDEX(ChBaseCP,MATCH(E44,ChName,0))*(1+INDEX(ProvMod,MATCH(G44,ProvCode,0)))*(1+PriceIndex)</f>
        <v/>
      </c>
      <c r="V44" s="47">
        <f>R44*U44*INDEX(FmtBlendedPriceIdx,MATCH(F44,FmtName,0))</f>
        <v/>
      </c>
      <c r="W44" s="47">
        <f>T44*INDEX(ProvSRP,MATCH(G44,ProvCode,0))*(1+PriceIndex)</f>
        <v/>
      </c>
      <c r="X44" s="47">
        <f>IF(GrossBasis="Wholesale",V44,W44)</f>
        <v/>
      </c>
      <c r="Y44" s="47">
        <f>R44*INDEX(FmtBlendedCogs,MATCH(F44,FmtName,0))</f>
        <v/>
      </c>
      <c r="Z44" s="47">
        <f>X44-Y44</f>
        <v/>
      </c>
    </row>
    <row r="45">
      <c r="A45" t="n">
        <v>44</v>
      </c>
      <c r="B45" s="44">
        <f>FiscalStart+(A45-1)*7</f>
        <v/>
      </c>
      <c r="C45">
        <f>TEXT(B45,"mmm yyyy")</f>
        <v/>
      </c>
      <c r="D45">
        <f>"Q"&amp;(INT((A45-1)/13)+1)</f>
        <v/>
      </c>
      <c r="E45" t="inlineStr">
        <is>
          <t>Convenience</t>
        </is>
      </c>
      <c r="F45">
        <f>IFERROR(INDEX(ChFormat,MATCH(E45,ChName,0)),"")</f>
        <v/>
      </c>
      <c r="G45" t="inlineStr">
        <is>
          <t>BC</t>
        </is>
      </c>
      <c r="H45">
        <f>IF(A45&lt;=NWeeks,1,0)</f>
        <v/>
      </c>
      <c r="I45">
        <f>INDEX(ChLaunch,MATCH(E45,ChName,0))</f>
        <v/>
      </c>
      <c r="J45">
        <f>INDEX(ChWeeksFull,MATCH(E45,ChName,0))</f>
        <v/>
      </c>
      <c r="K45">
        <f>INDEX(ChRamp,MATCH(E45,ChName,0))</f>
        <v/>
      </c>
      <c r="L45" s="45">
        <f>MIN(1,MAX(0,(A45-I45+1)*RampSpeed/J45))</f>
        <v/>
      </c>
      <c r="M45" s="45">
        <f>IF(A45&lt;I45,0,IF(K45="S-curve",L45*L45*(3-2*L45),L45))</f>
        <v/>
      </c>
      <c r="N45" s="45">
        <f>1+(INDEX(SeasonIdx,A45)-1)*SeasonAmp</f>
        <v/>
      </c>
      <c r="O45" s="45">
        <f>IFERROR(INDEX(PSPct,MATCH(E45&amp;"|"&amp;G45,PSKey,0)),0)</f>
        <v/>
      </c>
      <c r="P45" s="46">
        <f>INDEX(ChDoorVel,MATCH(E45,ChName,0))*CalibScalar*(1+VelocityUplift)</f>
        <v/>
      </c>
      <c r="Q45" s="46" t="n">
        <v>0</v>
      </c>
      <c r="R45" s="46">
        <f>P45*O45*M45*N45*H45</f>
        <v/>
      </c>
      <c r="S45" s="46">
        <f>R45*INDEX(FmtCansPerCase,MATCH(F45,FmtName,0))</f>
        <v/>
      </c>
      <c r="T45" s="46">
        <f>S45/INDEX(FmtCansPerPack,MATCH(F45,FmtName,0))</f>
        <v/>
      </c>
      <c r="U45" s="47">
        <f>INDEX(ChBaseCP,MATCH(E45,ChName,0))*(1+INDEX(ProvMod,MATCH(G45,ProvCode,0)))*(1+PriceIndex)</f>
        <v/>
      </c>
      <c r="V45" s="47">
        <f>R45*U45*INDEX(FmtBlendedPriceIdx,MATCH(F45,FmtName,0))</f>
        <v/>
      </c>
      <c r="W45" s="47">
        <f>T45*INDEX(ProvSRP,MATCH(G45,ProvCode,0))*(1+PriceIndex)</f>
        <v/>
      </c>
      <c r="X45" s="47">
        <f>IF(GrossBasis="Wholesale",V45,W45)</f>
        <v/>
      </c>
      <c r="Y45" s="47">
        <f>R45*INDEX(FmtBlendedCogs,MATCH(F45,FmtName,0))</f>
        <v/>
      </c>
      <c r="Z45" s="47">
        <f>X45-Y45</f>
        <v/>
      </c>
    </row>
    <row r="46">
      <c r="A46" t="n">
        <v>45</v>
      </c>
      <c r="B46" s="44">
        <f>FiscalStart+(A46-1)*7</f>
        <v/>
      </c>
      <c r="C46">
        <f>TEXT(B46,"mmm yyyy")</f>
        <v/>
      </c>
      <c r="D46">
        <f>"Q"&amp;(INT((A46-1)/13)+1)</f>
        <v/>
      </c>
      <c r="E46" t="inlineStr">
        <is>
          <t>Convenience</t>
        </is>
      </c>
      <c r="F46">
        <f>IFERROR(INDEX(ChFormat,MATCH(E46,ChName,0)),"")</f>
        <v/>
      </c>
      <c r="G46" t="inlineStr">
        <is>
          <t>BC</t>
        </is>
      </c>
      <c r="H46">
        <f>IF(A46&lt;=NWeeks,1,0)</f>
        <v/>
      </c>
      <c r="I46">
        <f>INDEX(ChLaunch,MATCH(E46,ChName,0))</f>
        <v/>
      </c>
      <c r="J46">
        <f>INDEX(ChWeeksFull,MATCH(E46,ChName,0))</f>
        <v/>
      </c>
      <c r="K46">
        <f>INDEX(ChRamp,MATCH(E46,ChName,0))</f>
        <v/>
      </c>
      <c r="L46" s="45">
        <f>MIN(1,MAX(0,(A46-I46+1)*RampSpeed/J46))</f>
        <v/>
      </c>
      <c r="M46" s="45">
        <f>IF(A46&lt;I46,0,IF(K46="S-curve",L46*L46*(3-2*L46),L46))</f>
        <v/>
      </c>
      <c r="N46" s="45">
        <f>1+(INDEX(SeasonIdx,A46)-1)*SeasonAmp</f>
        <v/>
      </c>
      <c r="O46" s="45">
        <f>IFERROR(INDEX(PSPct,MATCH(E46&amp;"|"&amp;G46,PSKey,0)),0)</f>
        <v/>
      </c>
      <c r="P46" s="46">
        <f>INDEX(ChDoorVel,MATCH(E46,ChName,0))*CalibScalar*(1+VelocityUplift)</f>
        <v/>
      </c>
      <c r="Q46" s="46" t="n">
        <v>0</v>
      </c>
      <c r="R46" s="46">
        <f>P46*O46*M46*N46*H46</f>
        <v/>
      </c>
      <c r="S46" s="46">
        <f>R46*INDEX(FmtCansPerCase,MATCH(F46,FmtName,0))</f>
        <v/>
      </c>
      <c r="T46" s="46">
        <f>S46/INDEX(FmtCansPerPack,MATCH(F46,FmtName,0))</f>
        <v/>
      </c>
      <c r="U46" s="47">
        <f>INDEX(ChBaseCP,MATCH(E46,ChName,0))*(1+INDEX(ProvMod,MATCH(G46,ProvCode,0)))*(1+PriceIndex)</f>
        <v/>
      </c>
      <c r="V46" s="47">
        <f>R46*U46*INDEX(FmtBlendedPriceIdx,MATCH(F46,FmtName,0))</f>
        <v/>
      </c>
      <c r="W46" s="47">
        <f>T46*INDEX(ProvSRP,MATCH(G46,ProvCode,0))*(1+PriceIndex)</f>
        <v/>
      </c>
      <c r="X46" s="47">
        <f>IF(GrossBasis="Wholesale",V46,W46)</f>
        <v/>
      </c>
      <c r="Y46" s="47">
        <f>R46*INDEX(FmtBlendedCogs,MATCH(F46,FmtName,0))</f>
        <v/>
      </c>
      <c r="Z46" s="47">
        <f>X46-Y46</f>
        <v/>
      </c>
    </row>
    <row r="47">
      <c r="A47" t="n">
        <v>46</v>
      </c>
      <c r="B47" s="44">
        <f>FiscalStart+(A47-1)*7</f>
        <v/>
      </c>
      <c r="C47">
        <f>TEXT(B47,"mmm yyyy")</f>
        <v/>
      </c>
      <c r="D47">
        <f>"Q"&amp;(INT((A47-1)/13)+1)</f>
        <v/>
      </c>
      <c r="E47" t="inlineStr">
        <is>
          <t>Convenience</t>
        </is>
      </c>
      <c r="F47">
        <f>IFERROR(INDEX(ChFormat,MATCH(E47,ChName,0)),"")</f>
        <v/>
      </c>
      <c r="G47" t="inlineStr">
        <is>
          <t>BC</t>
        </is>
      </c>
      <c r="H47">
        <f>IF(A47&lt;=NWeeks,1,0)</f>
        <v/>
      </c>
      <c r="I47">
        <f>INDEX(ChLaunch,MATCH(E47,ChName,0))</f>
        <v/>
      </c>
      <c r="J47">
        <f>INDEX(ChWeeksFull,MATCH(E47,ChName,0))</f>
        <v/>
      </c>
      <c r="K47">
        <f>INDEX(ChRamp,MATCH(E47,ChName,0))</f>
        <v/>
      </c>
      <c r="L47" s="45">
        <f>MIN(1,MAX(0,(A47-I47+1)*RampSpeed/J47))</f>
        <v/>
      </c>
      <c r="M47" s="45">
        <f>IF(A47&lt;I47,0,IF(K47="S-curve",L47*L47*(3-2*L47),L47))</f>
        <v/>
      </c>
      <c r="N47" s="45">
        <f>1+(INDEX(SeasonIdx,A47)-1)*SeasonAmp</f>
        <v/>
      </c>
      <c r="O47" s="45">
        <f>IFERROR(INDEX(PSPct,MATCH(E47&amp;"|"&amp;G47,PSKey,0)),0)</f>
        <v/>
      </c>
      <c r="P47" s="46">
        <f>INDEX(ChDoorVel,MATCH(E47,ChName,0))*CalibScalar*(1+VelocityUplift)</f>
        <v/>
      </c>
      <c r="Q47" s="46" t="n">
        <v>0</v>
      </c>
      <c r="R47" s="46">
        <f>P47*O47*M47*N47*H47</f>
        <v/>
      </c>
      <c r="S47" s="46">
        <f>R47*INDEX(FmtCansPerCase,MATCH(F47,FmtName,0))</f>
        <v/>
      </c>
      <c r="T47" s="46">
        <f>S47/INDEX(FmtCansPerPack,MATCH(F47,FmtName,0))</f>
        <v/>
      </c>
      <c r="U47" s="47">
        <f>INDEX(ChBaseCP,MATCH(E47,ChName,0))*(1+INDEX(ProvMod,MATCH(G47,ProvCode,0)))*(1+PriceIndex)</f>
        <v/>
      </c>
      <c r="V47" s="47">
        <f>R47*U47*INDEX(FmtBlendedPriceIdx,MATCH(F47,FmtName,0))</f>
        <v/>
      </c>
      <c r="W47" s="47">
        <f>T47*INDEX(ProvSRP,MATCH(G47,ProvCode,0))*(1+PriceIndex)</f>
        <v/>
      </c>
      <c r="X47" s="47">
        <f>IF(GrossBasis="Wholesale",V47,W47)</f>
        <v/>
      </c>
      <c r="Y47" s="47">
        <f>R47*INDEX(FmtBlendedCogs,MATCH(F47,FmtName,0))</f>
        <v/>
      </c>
      <c r="Z47" s="47">
        <f>X47-Y47</f>
        <v/>
      </c>
    </row>
    <row r="48">
      <c r="A48" t="n">
        <v>47</v>
      </c>
      <c r="B48" s="44">
        <f>FiscalStart+(A48-1)*7</f>
        <v/>
      </c>
      <c r="C48">
        <f>TEXT(B48,"mmm yyyy")</f>
        <v/>
      </c>
      <c r="D48">
        <f>"Q"&amp;(INT((A48-1)/13)+1)</f>
        <v/>
      </c>
      <c r="E48" t="inlineStr">
        <is>
          <t>Convenience</t>
        </is>
      </c>
      <c r="F48">
        <f>IFERROR(INDEX(ChFormat,MATCH(E48,ChName,0)),"")</f>
        <v/>
      </c>
      <c r="G48" t="inlineStr">
        <is>
          <t>BC</t>
        </is>
      </c>
      <c r="H48">
        <f>IF(A48&lt;=NWeeks,1,0)</f>
        <v/>
      </c>
      <c r="I48">
        <f>INDEX(ChLaunch,MATCH(E48,ChName,0))</f>
        <v/>
      </c>
      <c r="J48">
        <f>INDEX(ChWeeksFull,MATCH(E48,ChName,0))</f>
        <v/>
      </c>
      <c r="K48">
        <f>INDEX(ChRamp,MATCH(E48,ChName,0))</f>
        <v/>
      </c>
      <c r="L48" s="45">
        <f>MIN(1,MAX(0,(A48-I48+1)*RampSpeed/J48))</f>
        <v/>
      </c>
      <c r="M48" s="45">
        <f>IF(A48&lt;I48,0,IF(K48="S-curve",L48*L48*(3-2*L48),L48))</f>
        <v/>
      </c>
      <c r="N48" s="45">
        <f>1+(INDEX(SeasonIdx,A48)-1)*SeasonAmp</f>
        <v/>
      </c>
      <c r="O48" s="45">
        <f>IFERROR(INDEX(PSPct,MATCH(E48&amp;"|"&amp;G48,PSKey,0)),0)</f>
        <v/>
      </c>
      <c r="P48" s="46">
        <f>INDEX(ChDoorVel,MATCH(E48,ChName,0))*CalibScalar*(1+VelocityUplift)</f>
        <v/>
      </c>
      <c r="Q48" s="46" t="n">
        <v>0</v>
      </c>
      <c r="R48" s="46">
        <f>P48*O48*M48*N48*H48</f>
        <v/>
      </c>
      <c r="S48" s="46">
        <f>R48*INDEX(FmtCansPerCase,MATCH(F48,FmtName,0))</f>
        <v/>
      </c>
      <c r="T48" s="46">
        <f>S48/INDEX(FmtCansPerPack,MATCH(F48,FmtName,0))</f>
        <v/>
      </c>
      <c r="U48" s="47">
        <f>INDEX(ChBaseCP,MATCH(E48,ChName,0))*(1+INDEX(ProvMod,MATCH(G48,ProvCode,0)))*(1+PriceIndex)</f>
        <v/>
      </c>
      <c r="V48" s="47">
        <f>R48*U48*INDEX(FmtBlendedPriceIdx,MATCH(F48,FmtName,0))</f>
        <v/>
      </c>
      <c r="W48" s="47">
        <f>T48*INDEX(ProvSRP,MATCH(G48,ProvCode,0))*(1+PriceIndex)</f>
        <v/>
      </c>
      <c r="X48" s="47">
        <f>IF(GrossBasis="Wholesale",V48,W48)</f>
        <v/>
      </c>
      <c r="Y48" s="47">
        <f>R48*INDEX(FmtBlendedCogs,MATCH(F48,FmtName,0))</f>
        <v/>
      </c>
      <c r="Z48" s="47">
        <f>X48-Y48</f>
        <v/>
      </c>
    </row>
    <row r="49">
      <c r="A49" t="n">
        <v>48</v>
      </c>
      <c r="B49" s="44">
        <f>FiscalStart+(A49-1)*7</f>
        <v/>
      </c>
      <c r="C49">
        <f>TEXT(B49,"mmm yyyy")</f>
        <v/>
      </c>
      <c r="D49">
        <f>"Q"&amp;(INT((A49-1)/13)+1)</f>
        <v/>
      </c>
      <c r="E49" t="inlineStr">
        <is>
          <t>Convenience</t>
        </is>
      </c>
      <c r="F49">
        <f>IFERROR(INDEX(ChFormat,MATCH(E49,ChName,0)),"")</f>
        <v/>
      </c>
      <c r="G49" t="inlineStr">
        <is>
          <t>BC</t>
        </is>
      </c>
      <c r="H49">
        <f>IF(A49&lt;=NWeeks,1,0)</f>
        <v/>
      </c>
      <c r="I49">
        <f>INDEX(ChLaunch,MATCH(E49,ChName,0))</f>
        <v/>
      </c>
      <c r="J49">
        <f>INDEX(ChWeeksFull,MATCH(E49,ChName,0))</f>
        <v/>
      </c>
      <c r="K49">
        <f>INDEX(ChRamp,MATCH(E49,ChName,0))</f>
        <v/>
      </c>
      <c r="L49" s="45">
        <f>MIN(1,MAX(0,(A49-I49+1)*RampSpeed/J49))</f>
        <v/>
      </c>
      <c r="M49" s="45">
        <f>IF(A49&lt;I49,0,IF(K49="S-curve",L49*L49*(3-2*L49),L49))</f>
        <v/>
      </c>
      <c r="N49" s="45">
        <f>1+(INDEX(SeasonIdx,A49)-1)*SeasonAmp</f>
        <v/>
      </c>
      <c r="O49" s="45">
        <f>IFERROR(INDEX(PSPct,MATCH(E49&amp;"|"&amp;G49,PSKey,0)),0)</f>
        <v/>
      </c>
      <c r="P49" s="46">
        <f>INDEX(ChDoorVel,MATCH(E49,ChName,0))*CalibScalar*(1+VelocityUplift)</f>
        <v/>
      </c>
      <c r="Q49" s="46" t="n">
        <v>0</v>
      </c>
      <c r="R49" s="46">
        <f>P49*O49*M49*N49*H49</f>
        <v/>
      </c>
      <c r="S49" s="46">
        <f>R49*INDEX(FmtCansPerCase,MATCH(F49,FmtName,0))</f>
        <v/>
      </c>
      <c r="T49" s="46">
        <f>S49/INDEX(FmtCansPerPack,MATCH(F49,FmtName,0))</f>
        <v/>
      </c>
      <c r="U49" s="47">
        <f>INDEX(ChBaseCP,MATCH(E49,ChName,0))*(1+INDEX(ProvMod,MATCH(G49,ProvCode,0)))*(1+PriceIndex)</f>
        <v/>
      </c>
      <c r="V49" s="47">
        <f>R49*U49*INDEX(FmtBlendedPriceIdx,MATCH(F49,FmtName,0))</f>
        <v/>
      </c>
      <c r="W49" s="47">
        <f>T49*INDEX(ProvSRP,MATCH(G49,ProvCode,0))*(1+PriceIndex)</f>
        <v/>
      </c>
      <c r="X49" s="47">
        <f>IF(GrossBasis="Wholesale",V49,W49)</f>
        <v/>
      </c>
      <c r="Y49" s="47">
        <f>R49*INDEX(FmtBlendedCogs,MATCH(F49,FmtName,0))</f>
        <v/>
      </c>
      <c r="Z49" s="47">
        <f>X49-Y49</f>
        <v/>
      </c>
    </row>
    <row r="50">
      <c r="A50" t="n">
        <v>49</v>
      </c>
      <c r="B50" s="44">
        <f>FiscalStart+(A50-1)*7</f>
        <v/>
      </c>
      <c r="C50">
        <f>TEXT(B50,"mmm yyyy")</f>
        <v/>
      </c>
      <c r="D50">
        <f>"Q"&amp;(INT((A50-1)/13)+1)</f>
        <v/>
      </c>
      <c r="E50" t="inlineStr">
        <is>
          <t>Convenience</t>
        </is>
      </c>
      <c r="F50">
        <f>IFERROR(INDEX(ChFormat,MATCH(E50,ChName,0)),"")</f>
        <v/>
      </c>
      <c r="G50" t="inlineStr">
        <is>
          <t>BC</t>
        </is>
      </c>
      <c r="H50">
        <f>IF(A50&lt;=NWeeks,1,0)</f>
        <v/>
      </c>
      <c r="I50">
        <f>INDEX(ChLaunch,MATCH(E50,ChName,0))</f>
        <v/>
      </c>
      <c r="J50">
        <f>INDEX(ChWeeksFull,MATCH(E50,ChName,0))</f>
        <v/>
      </c>
      <c r="K50">
        <f>INDEX(ChRamp,MATCH(E50,ChName,0))</f>
        <v/>
      </c>
      <c r="L50" s="45">
        <f>MIN(1,MAX(0,(A50-I50+1)*RampSpeed/J50))</f>
        <v/>
      </c>
      <c r="M50" s="45">
        <f>IF(A50&lt;I50,0,IF(K50="S-curve",L50*L50*(3-2*L50),L50))</f>
        <v/>
      </c>
      <c r="N50" s="45">
        <f>1+(INDEX(SeasonIdx,A50)-1)*SeasonAmp</f>
        <v/>
      </c>
      <c r="O50" s="45">
        <f>IFERROR(INDEX(PSPct,MATCH(E50&amp;"|"&amp;G50,PSKey,0)),0)</f>
        <v/>
      </c>
      <c r="P50" s="46">
        <f>INDEX(ChDoorVel,MATCH(E50,ChName,0))*CalibScalar*(1+VelocityUplift)</f>
        <v/>
      </c>
      <c r="Q50" s="46" t="n">
        <v>0</v>
      </c>
      <c r="R50" s="46">
        <f>P50*O50*M50*N50*H50</f>
        <v/>
      </c>
      <c r="S50" s="46">
        <f>R50*INDEX(FmtCansPerCase,MATCH(F50,FmtName,0))</f>
        <v/>
      </c>
      <c r="T50" s="46">
        <f>S50/INDEX(FmtCansPerPack,MATCH(F50,FmtName,0))</f>
        <v/>
      </c>
      <c r="U50" s="47">
        <f>INDEX(ChBaseCP,MATCH(E50,ChName,0))*(1+INDEX(ProvMod,MATCH(G50,ProvCode,0)))*(1+PriceIndex)</f>
        <v/>
      </c>
      <c r="V50" s="47">
        <f>R50*U50*INDEX(FmtBlendedPriceIdx,MATCH(F50,FmtName,0))</f>
        <v/>
      </c>
      <c r="W50" s="47">
        <f>T50*INDEX(ProvSRP,MATCH(G50,ProvCode,0))*(1+PriceIndex)</f>
        <v/>
      </c>
      <c r="X50" s="47">
        <f>IF(GrossBasis="Wholesale",V50,W50)</f>
        <v/>
      </c>
      <c r="Y50" s="47">
        <f>R50*INDEX(FmtBlendedCogs,MATCH(F50,FmtName,0))</f>
        <v/>
      </c>
      <c r="Z50" s="47">
        <f>X50-Y50</f>
        <v/>
      </c>
    </row>
    <row r="51">
      <c r="A51" t="n">
        <v>50</v>
      </c>
      <c r="B51" s="44">
        <f>FiscalStart+(A51-1)*7</f>
        <v/>
      </c>
      <c r="C51">
        <f>TEXT(B51,"mmm yyyy")</f>
        <v/>
      </c>
      <c r="D51">
        <f>"Q"&amp;(INT((A51-1)/13)+1)</f>
        <v/>
      </c>
      <c r="E51" t="inlineStr">
        <is>
          <t>Convenience</t>
        </is>
      </c>
      <c r="F51">
        <f>IFERROR(INDEX(ChFormat,MATCH(E51,ChName,0)),"")</f>
        <v/>
      </c>
      <c r="G51" t="inlineStr">
        <is>
          <t>BC</t>
        </is>
      </c>
      <c r="H51">
        <f>IF(A51&lt;=NWeeks,1,0)</f>
        <v/>
      </c>
      <c r="I51">
        <f>INDEX(ChLaunch,MATCH(E51,ChName,0))</f>
        <v/>
      </c>
      <c r="J51">
        <f>INDEX(ChWeeksFull,MATCH(E51,ChName,0))</f>
        <v/>
      </c>
      <c r="K51">
        <f>INDEX(ChRamp,MATCH(E51,ChName,0))</f>
        <v/>
      </c>
      <c r="L51" s="45">
        <f>MIN(1,MAX(0,(A51-I51+1)*RampSpeed/J51))</f>
        <v/>
      </c>
      <c r="M51" s="45">
        <f>IF(A51&lt;I51,0,IF(K51="S-curve",L51*L51*(3-2*L51),L51))</f>
        <v/>
      </c>
      <c r="N51" s="45">
        <f>1+(INDEX(SeasonIdx,A51)-1)*SeasonAmp</f>
        <v/>
      </c>
      <c r="O51" s="45">
        <f>IFERROR(INDEX(PSPct,MATCH(E51&amp;"|"&amp;G51,PSKey,0)),0)</f>
        <v/>
      </c>
      <c r="P51" s="46">
        <f>INDEX(ChDoorVel,MATCH(E51,ChName,0))*CalibScalar*(1+VelocityUplift)</f>
        <v/>
      </c>
      <c r="Q51" s="46" t="n">
        <v>0</v>
      </c>
      <c r="R51" s="46">
        <f>P51*O51*M51*N51*H51</f>
        <v/>
      </c>
      <c r="S51" s="46">
        <f>R51*INDEX(FmtCansPerCase,MATCH(F51,FmtName,0))</f>
        <v/>
      </c>
      <c r="T51" s="46">
        <f>S51/INDEX(FmtCansPerPack,MATCH(F51,FmtName,0))</f>
        <v/>
      </c>
      <c r="U51" s="47">
        <f>INDEX(ChBaseCP,MATCH(E51,ChName,0))*(1+INDEX(ProvMod,MATCH(G51,ProvCode,0)))*(1+PriceIndex)</f>
        <v/>
      </c>
      <c r="V51" s="47">
        <f>R51*U51*INDEX(FmtBlendedPriceIdx,MATCH(F51,FmtName,0))</f>
        <v/>
      </c>
      <c r="W51" s="47">
        <f>T51*INDEX(ProvSRP,MATCH(G51,ProvCode,0))*(1+PriceIndex)</f>
        <v/>
      </c>
      <c r="X51" s="47">
        <f>IF(GrossBasis="Wholesale",V51,W51)</f>
        <v/>
      </c>
      <c r="Y51" s="47">
        <f>R51*INDEX(FmtBlendedCogs,MATCH(F51,FmtName,0))</f>
        <v/>
      </c>
      <c r="Z51" s="47">
        <f>X51-Y51</f>
        <v/>
      </c>
    </row>
    <row r="52">
      <c r="A52" t="n">
        <v>51</v>
      </c>
      <c r="B52" s="44">
        <f>FiscalStart+(A52-1)*7</f>
        <v/>
      </c>
      <c r="C52">
        <f>TEXT(B52,"mmm yyyy")</f>
        <v/>
      </c>
      <c r="D52">
        <f>"Q"&amp;(INT((A52-1)/13)+1)</f>
        <v/>
      </c>
      <c r="E52" t="inlineStr">
        <is>
          <t>Convenience</t>
        </is>
      </c>
      <c r="F52">
        <f>IFERROR(INDEX(ChFormat,MATCH(E52,ChName,0)),"")</f>
        <v/>
      </c>
      <c r="G52" t="inlineStr">
        <is>
          <t>BC</t>
        </is>
      </c>
      <c r="H52">
        <f>IF(A52&lt;=NWeeks,1,0)</f>
        <v/>
      </c>
      <c r="I52">
        <f>INDEX(ChLaunch,MATCH(E52,ChName,0))</f>
        <v/>
      </c>
      <c r="J52">
        <f>INDEX(ChWeeksFull,MATCH(E52,ChName,0))</f>
        <v/>
      </c>
      <c r="K52">
        <f>INDEX(ChRamp,MATCH(E52,ChName,0))</f>
        <v/>
      </c>
      <c r="L52" s="45">
        <f>MIN(1,MAX(0,(A52-I52+1)*RampSpeed/J52))</f>
        <v/>
      </c>
      <c r="M52" s="45">
        <f>IF(A52&lt;I52,0,IF(K52="S-curve",L52*L52*(3-2*L52),L52))</f>
        <v/>
      </c>
      <c r="N52" s="45">
        <f>1+(INDEX(SeasonIdx,A52)-1)*SeasonAmp</f>
        <v/>
      </c>
      <c r="O52" s="45">
        <f>IFERROR(INDEX(PSPct,MATCH(E52&amp;"|"&amp;G52,PSKey,0)),0)</f>
        <v/>
      </c>
      <c r="P52" s="46">
        <f>INDEX(ChDoorVel,MATCH(E52,ChName,0))*CalibScalar*(1+VelocityUplift)</f>
        <v/>
      </c>
      <c r="Q52" s="46" t="n">
        <v>0</v>
      </c>
      <c r="R52" s="46">
        <f>P52*O52*M52*N52*H52</f>
        <v/>
      </c>
      <c r="S52" s="46">
        <f>R52*INDEX(FmtCansPerCase,MATCH(F52,FmtName,0))</f>
        <v/>
      </c>
      <c r="T52" s="46">
        <f>S52/INDEX(FmtCansPerPack,MATCH(F52,FmtName,0))</f>
        <v/>
      </c>
      <c r="U52" s="47">
        <f>INDEX(ChBaseCP,MATCH(E52,ChName,0))*(1+INDEX(ProvMod,MATCH(G52,ProvCode,0)))*(1+PriceIndex)</f>
        <v/>
      </c>
      <c r="V52" s="47">
        <f>R52*U52*INDEX(FmtBlendedPriceIdx,MATCH(F52,FmtName,0))</f>
        <v/>
      </c>
      <c r="W52" s="47">
        <f>T52*INDEX(ProvSRP,MATCH(G52,ProvCode,0))*(1+PriceIndex)</f>
        <v/>
      </c>
      <c r="X52" s="47">
        <f>IF(GrossBasis="Wholesale",V52,W52)</f>
        <v/>
      </c>
      <c r="Y52" s="47">
        <f>R52*INDEX(FmtBlendedCogs,MATCH(F52,FmtName,0))</f>
        <v/>
      </c>
      <c r="Z52" s="47">
        <f>X52-Y52</f>
        <v/>
      </c>
    </row>
    <row r="53">
      <c r="A53" t="n">
        <v>52</v>
      </c>
      <c r="B53" s="44">
        <f>FiscalStart+(A53-1)*7</f>
        <v/>
      </c>
      <c r="C53">
        <f>TEXT(B53,"mmm yyyy")</f>
        <v/>
      </c>
      <c r="D53">
        <f>"Q"&amp;(INT((A53-1)/13)+1)</f>
        <v/>
      </c>
      <c r="E53" t="inlineStr">
        <is>
          <t>Convenience</t>
        </is>
      </c>
      <c r="F53">
        <f>IFERROR(INDEX(ChFormat,MATCH(E53,ChName,0)),"")</f>
        <v/>
      </c>
      <c r="G53" t="inlineStr">
        <is>
          <t>BC</t>
        </is>
      </c>
      <c r="H53">
        <f>IF(A53&lt;=NWeeks,1,0)</f>
        <v/>
      </c>
      <c r="I53">
        <f>INDEX(ChLaunch,MATCH(E53,ChName,0))</f>
        <v/>
      </c>
      <c r="J53">
        <f>INDEX(ChWeeksFull,MATCH(E53,ChName,0))</f>
        <v/>
      </c>
      <c r="K53">
        <f>INDEX(ChRamp,MATCH(E53,ChName,0))</f>
        <v/>
      </c>
      <c r="L53" s="45">
        <f>MIN(1,MAX(0,(A53-I53+1)*RampSpeed/J53))</f>
        <v/>
      </c>
      <c r="M53" s="45">
        <f>IF(A53&lt;I53,0,IF(K53="S-curve",L53*L53*(3-2*L53),L53))</f>
        <v/>
      </c>
      <c r="N53" s="45">
        <f>1+(INDEX(SeasonIdx,A53)-1)*SeasonAmp</f>
        <v/>
      </c>
      <c r="O53" s="45">
        <f>IFERROR(INDEX(PSPct,MATCH(E53&amp;"|"&amp;G53,PSKey,0)),0)</f>
        <v/>
      </c>
      <c r="P53" s="46">
        <f>INDEX(ChDoorVel,MATCH(E53,ChName,0))*CalibScalar*(1+VelocityUplift)</f>
        <v/>
      </c>
      <c r="Q53" s="46" t="n">
        <v>0</v>
      </c>
      <c r="R53" s="46">
        <f>P53*O53*M53*N53*H53</f>
        <v/>
      </c>
      <c r="S53" s="46">
        <f>R53*INDEX(FmtCansPerCase,MATCH(F53,FmtName,0))</f>
        <v/>
      </c>
      <c r="T53" s="46">
        <f>S53/INDEX(FmtCansPerPack,MATCH(F53,FmtName,0))</f>
        <v/>
      </c>
      <c r="U53" s="47">
        <f>INDEX(ChBaseCP,MATCH(E53,ChName,0))*(1+INDEX(ProvMod,MATCH(G53,ProvCode,0)))*(1+PriceIndex)</f>
        <v/>
      </c>
      <c r="V53" s="47">
        <f>R53*U53*INDEX(FmtBlendedPriceIdx,MATCH(F53,FmtName,0))</f>
        <v/>
      </c>
      <c r="W53" s="47">
        <f>T53*INDEX(ProvSRP,MATCH(G53,ProvCode,0))*(1+PriceIndex)</f>
        <v/>
      </c>
      <c r="X53" s="47">
        <f>IF(GrossBasis="Wholesale",V53,W53)</f>
        <v/>
      </c>
      <c r="Y53" s="47">
        <f>R53*INDEX(FmtBlendedCogs,MATCH(F53,FmtName,0))</f>
        <v/>
      </c>
      <c r="Z53" s="47">
        <f>X53-Y53</f>
        <v/>
      </c>
    </row>
    <row r="54">
      <c r="A54" t="n">
        <v>53</v>
      </c>
      <c r="B54" s="44">
        <f>FiscalStart+(A54-1)*7</f>
        <v/>
      </c>
      <c r="C54">
        <f>TEXT(B54,"mmm yyyy")</f>
        <v/>
      </c>
      <c r="D54">
        <f>"Q"&amp;(INT((A54-1)/13)+1)</f>
        <v/>
      </c>
      <c r="E54" t="inlineStr">
        <is>
          <t>Convenience</t>
        </is>
      </c>
      <c r="F54">
        <f>IFERROR(INDEX(ChFormat,MATCH(E54,ChName,0)),"")</f>
        <v/>
      </c>
      <c r="G54" t="inlineStr">
        <is>
          <t>BC</t>
        </is>
      </c>
      <c r="H54">
        <f>IF(A54&lt;=NWeeks,1,0)</f>
        <v/>
      </c>
      <c r="I54">
        <f>INDEX(ChLaunch,MATCH(E54,ChName,0))</f>
        <v/>
      </c>
      <c r="J54">
        <f>INDEX(ChWeeksFull,MATCH(E54,ChName,0))</f>
        <v/>
      </c>
      <c r="K54">
        <f>INDEX(ChRamp,MATCH(E54,ChName,0))</f>
        <v/>
      </c>
      <c r="L54" s="45">
        <f>MIN(1,MAX(0,(A54-I54+1)*RampSpeed/J54))</f>
        <v/>
      </c>
      <c r="M54" s="45">
        <f>IF(A54&lt;I54,0,IF(K54="S-curve",L54*L54*(3-2*L54),L54))</f>
        <v/>
      </c>
      <c r="N54" s="45">
        <f>1+(INDEX(SeasonIdx,A54)-1)*SeasonAmp</f>
        <v/>
      </c>
      <c r="O54" s="45">
        <f>IFERROR(INDEX(PSPct,MATCH(E54&amp;"|"&amp;G54,PSKey,0)),0)</f>
        <v/>
      </c>
      <c r="P54" s="46">
        <f>INDEX(ChDoorVel,MATCH(E54,ChName,0))*CalibScalar*(1+VelocityUplift)</f>
        <v/>
      </c>
      <c r="Q54" s="46" t="n">
        <v>0</v>
      </c>
      <c r="R54" s="46">
        <f>P54*O54*M54*N54*H54</f>
        <v/>
      </c>
      <c r="S54" s="46">
        <f>R54*INDEX(FmtCansPerCase,MATCH(F54,FmtName,0))</f>
        <v/>
      </c>
      <c r="T54" s="46">
        <f>S54/INDEX(FmtCansPerPack,MATCH(F54,FmtName,0))</f>
        <v/>
      </c>
      <c r="U54" s="47">
        <f>INDEX(ChBaseCP,MATCH(E54,ChName,0))*(1+INDEX(ProvMod,MATCH(G54,ProvCode,0)))*(1+PriceIndex)</f>
        <v/>
      </c>
      <c r="V54" s="47">
        <f>R54*U54*INDEX(FmtBlendedPriceIdx,MATCH(F54,FmtName,0))</f>
        <v/>
      </c>
      <c r="W54" s="47">
        <f>T54*INDEX(ProvSRP,MATCH(G54,ProvCode,0))*(1+PriceIndex)</f>
        <v/>
      </c>
      <c r="X54" s="47">
        <f>IF(GrossBasis="Wholesale",V54,W54)</f>
        <v/>
      </c>
      <c r="Y54" s="47">
        <f>R54*INDEX(FmtBlendedCogs,MATCH(F54,FmtName,0))</f>
        <v/>
      </c>
      <c r="Z54" s="47">
        <f>X54-Y54</f>
        <v/>
      </c>
    </row>
    <row r="55">
      <c r="A55" t="n">
        <v>1</v>
      </c>
      <c r="B55" s="44">
        <f>FiscalStart+(A55-1)*7</f>
        <v/>
      </c>
      <c r="C55">
        <f>TEXT(B55,"mmm yyyy")</f>
        <v/>
      </c>
      <c r="D55">
        <f>"Q"&amp;(INT((A55-1)/13)+1)</f>
        <v/>
      </c>
      <c r="E55" t="inlineStr">
        <is>
          <t>Convenience</t>
        </is>
      </c>
      <c r="F55">
        <f>IFERROR(INDEX(ChFormat,MATCH(E55,ChName,0)),"")</f>
        <v/>
      </c>
      <c r="G55" t="inlineStr">
        <is>
          <t>AB</t>
        </is>
      </c>
      <c r="H55">
        <f>IF(A55&lt;=NWeeks,1,0)</f>
        <v/>
      </c>
      <c r="I55">
        <f>INDEX(ChLaunch,MATCH(E55,ChName,0))</f>
        <v/>
      </c>
      <c r="J55">
        <f>INDEX(ChWeeksFull,MATCH(E55,ChName,0))</f>
        <v/>
      </c>
      <c r="K55">
        <f>INDEX(ChRamp,MATCH(E55,ChName,0))</f>
        <v/>
      </c>
      <c r="L55" s="45">
        <f>MIN(1,MAX(0,(A55-I55+1)*RampSpeed/J55))</f>
        <v/>
      </c>
      <c r="M55" s="45">
        <f>IF(A55&lt;I55,0,IF(K55="S-curve",L55*L55*(3-2*L55),L55))</f>
        <v/>
      </c>
      <c r="N55" s="45">
        <f>1+(INDEX(SeasonIdx,A55)-1)*SeasonAmp</f>
        <v/>
      </c>
      <c r="O55" s="45">
        <f>IFERROR(INDEX(PSPct,MATCH(E55&amp;"|"&amp;G55,PSKey,0)),0)</f>
        <v/>
      </c>
      <c r="P55" s="46">
        <f>INDEX(ChDoorVel,MATCH(E55,ChName,0))*CalibScalar*(1+VelocityUplift)</f>
        <v/>
      </c>
      <c r="Q55" s="46" t="n">
        <v>0</v>
      </c>
      <c r="R55" s="46">
        <f>P55*O55*M55*N55*H55</f>
        <v/>
      </c>
      <c r="S55" s="46">
        <f>R55*INDEX(FmtCansPerCase,MATCH(F55,FmtName,0))</f>
        <v/>
      </c>
      <c r="T55" s="46">
        <f>S55/INDEX(FmtCansPerPack,MATCH(F55,FmtName,0))</f>
        <v/>
      </c>
      <c r="U55" s="47">
        <f>INDEX(ChBaseCP,MATCH(E55,ChName,0))*(1+INDEX(ProvMod,MATCH(G55,ProvCode,0)))*(1+PriceIndex)</f>
        <v/>
      </c>
      <c r="V55" s="47">
        <f>R55*U55*INDEX(FmtBlendedPriceIdx,MATCH(F55,FmtName,0))</f>
        <v/>
      </c>
      <c r="W55" s="47">
        <f>T55*INDEX(ProvSRP,MATCH(G55,ProvCode,0))*(1+PriceIndex)</f>
        <v/>
      </c>
      <c r="X55" s="47">
        <f>IF(GrossBasis="Wholesale",V55,W55)</f>
        <v/>
      </c>
      <c r="Y55" s="47">
        <f>R55*INDEX(FmtBlendedCogs,MATCH(F55,FmtName,0))</f>
        <v/>
      </c>
      <c r="Z55" s="47">
        <f>X55-Y55</f>
        <v/>
      </c>
    </row>
    <row r="56">
      <c r="A56" t="n">
        <v>2</v>
      </c>
      <c r="B56" s="44">
        <f>FiscalStart+(A56-1)*7</f>
        <v/>
      </c>
      <c r="C56">
        <f>TEXT(B56,"mmm yyyy")</f>
        <v/>
      </c>
      <c r="D56">
        <f>"Q"&amp;(INT((A56-1)/13)+1)</f>
        <v/>
      </c>
      <c r="E56" t="inlineStr">
        <is>
          <t>Convenience</t>
        </is>
      </c>
      <c r="F56">
        <f>IFERROR(INDEX(ChFormat,MATCH(E56,ChName,0)),"")</f>
        <v/>
      </c>
      <c r="G56" t="inlineStr">
        <is>
          <t>AB</t>
        </is>
      </c>
      <c r="H56">
        <f>IF(A56&lt;=NWeeks,1,0)</f>
        <v/>
      </c>
      <c r="I56">
        <f>INDEX(ChLaunch,MATCH(E56,ChName,0))</f>
        <v/>
      </c>
      <c r="J56">
        <f>INDEX(ChWeeksFull,MATCH(E56,ChName,0))</f>
        <v/>
      </c>
      <c r="K56">
        <f>INDEX(ChRamp,MATCH(E56,ChName,0))</f>
        <v/>
      </c>
      <c r="L56" s="45">
        <f>MIN(1,MAX(0,(A56-I56+1)*RampSpeed/J56))</f>
        <v/>
      </c>
      <c r="M56" s="45">
        <f>IF(A56&lt;I56,0,IF(K56="S-curve",L56*L56*(3-2*L56),L56))</f>
        <v/>
      </c>
      <c r="N56" s="45">
        <f>1+(INDEX(SeasonIdx,A56)-1)*SeasonAmp</f>
        <v/>
      </c>
      <c r="O56" s="45">
        <f>IFERROR(INDEX(PSPct,MATCH(E56&amp;"|"&amp;G56,PSKey,0)),0)</f>
        <v/>
      </c>
      <c r="P56" s="46">
        <f>INDEX(ChDoorVel,MATCH(E56,ChName,0))*CalibScalar*(1+VelocityUplift)</f>
        <v/>
      </c>
      <c r="Q56" s="46" t="n">
        <v>0</v>
      </c>
      <c r="R56" s="46">
        <f>P56*O56*M56*N56*H56</f>
        <v/>
      </c>
      <c r="S56" s="46">
        <f>R56*INDEX(FmtCansPerCase,MATCH(F56,FmtName,0))</f>
        <v/>
      </c>
      <c r="T56" s="46">
        <f>S56/INDEX(FmtCansPerPack,MATCH(F56,FmtName,0))</f>
        <v/>
      </c>
      <c r="U56" s="47">
        <f>INDEX(ChBaseCP,MATCH(E56,ChName,0))*(1+INDEX(ProvMod,MATCH(G56,ProvCode,0)))*(1+PriceIndex)</f>
        <v/>
      </c>
      <c r="V56" s="47">
        <f>R56*U56*INDEX(FmtBlendedPriceIdx,MATCH(F56,FmtName,0))</f>
        <v/>
      </c>
      <c r="W56" s="47">
        <f>T56*INDEX(ProvSRP,MATCH(G56,ProvCode,0))*(1+PriceIndex)</f>
        <v/>
      </c>
      <c r="X56" s="47">
        <f>IF(GrossBasis="Wholesale",V56,W56)</f>
        <v/>
      </c>
      <c r="Y56" s="47">
        <f>R56*INDEX(FmtBlendedCogs,MATCH(F56,FmtName,0))</f>
        <v/>
      </c>
      <c r="Z56" s="47">
        <f>X56-Y56</f>
        <v/>
      </c>
    </row>
    <row r="57">
      <c r="A57" t="n">
        <v>3</v>
      </c>
      <c r="B57" s="44">
        <f>FiscalStart+(A57-1)*7</f>
        <v/>
      </c>
      <c r="C57">
        <f>TEXT(B57,"mmm yyyy")</f>
        <v/>
      </c>
      <c r="D57">
        <f>"Q"&amp;(INT((A57-1)/13)+1)</f>
        <v/>
      </c>
      <c r="E57" t="inlineStr">
        <is>
          <t>Convenience</t>
        </is>
      </c>
      <c r="F57">
        <f>IFERROR(INDEX(ChFormat,MATCH(E57,ChName,0)),"")</f>
        <v/>
      </c>
      <c r="G57" t="inlineStr">
        <is>
          <t>AB</t>
        </is>
      </c>
      <c r="H57">
        <f>IF(A57&lt;=NWeeks,1,0)</f>
        <v/>
      </c>
      <c r="I57">
        <f>INDEX(ChLaunch,MATCH(E57,ChName,0))</f>
        <v/>
      </c>
      <c r="J57">
        <f>INDEX(ChWeeksFull,MATCH(E57,ChName,0))</f>
        <v/>
      </c>
      <c r="K57">
        <f>INDEX(ChRamp,MATCH(E57,ChName,0))</f>
        <v/>
      </c>
      <c r="L57" s="45">
        <f>MIN(1,MAX(0,(A57-I57+1)*RampSpeed/J57))</f>
        <v/>
      </c>
      <c r="M57" s="45">
        <f>IF(A57&lt;I57,0,IF(K57="S-curve",L57*L57*(3-2*L57),L57))</f>
        <v/>
      </c>
      <c r="N57" s="45">
        <f>1+(INDEX(SeasonIdx,A57)-1)*SeasonAmp</f>
        <v/>
      </c>
      <c r="O57" s="45">
        <f>IFERROR(INDEX(PSPct,MATCH(E57&amp;"|"&amp;G57,PSKey,0)),0)</f>
        <v/>
      </c>
      <c r="P57" s="46">
        <f>INDEX(ChDoorVel,MATCH(E57,ChName,0))*CalibScalar*(1+VelocityUplift)</f>
        <v/>
      </c>
      <c r="Q57" s="46" t="n">
        <v>0</v>
      </c>
      <c r="R57" s="46">
        <f>P57*O57*M57*N57*H57</f>
        <v/>
      </c>
      <c r="S57" s="46">
        <f>R57*INDEX(FmtCansPerCase,MATCH(F57,FmtName,0))</f>
        <v/>
      </c>
      <c r="T57" s="46">
        <f>S57/INDEX(FmtCansPerPack,MATCH(F57,FmtName,0))</f>
        <v/>
      </c>
      <c r="U57" s="47">
        <f>INDEX(ChBaseCP,MATCH(E57,ChName,0))*(1+INDEX(ProvMod,MATCH(G57,ProvCode,0)))*(1+PriceIndex)</f>
        <v/>
      </c>
      <c r="V57" s="47">
        <f>R57*U57*INDEX(FmtBlendedPriceIdx,MATCH(F57,FmtName,0))</f>
        <v/>
      </c>
      <c r="W57" s="47">
        <f>T57*INDEX(ProvSRP,MATCH(G57,ProvCode,0))*(1+PriceIndex)</f>
        <v/>
      </c>
      <c r="X57" s="47">
        <f>IF(GrossBasis="Wholesale",V57,W57)</f>
        <v/>
      </c>
      <c r="Y57" s="47">
        <f>R57*INDEX(FmtBlendedCogs,MATCH(F57,FmtName,0))</f>
        <v/>
      </c>
      <c r="Z57" s="47">
        <f>X57-Y57</f>
        <v/>
      </c>
    </row>
    <row r="58">
      <c r="A58" t="n">
        <v>4</v>
      </c>
      <c r="B58" s="44">
        <f>FiscalStart+(A58-1)*7</f>
        <v/>
      </c>
      <c r="C58">
        <f>TEXT(B58,"mmm yyyy")</f>
        <v/>
      </c>
      <c r="D58">
        <f>"Q"&amp;(INT((A58-1)/13)+1)</f>
        <v/>
      </c>
      <c r="E58" t="inlineStr">
        <is>
          <t>Convenience</t>
        </is>
      </c>
      <c r="F58">
        <f>IFERROR(INDEX(ChFormat,MATCH(E58,ChName,0)),"")</f>
        <v/>
      </c>
      <c r="G58" t="inlineStr">
        <is>
          <t>AB</t>
        </is>
      </c>
      <c r="H58">
        <f>IF(A58&lt;=NWeeks,1,0)</f>
        <v/>
      </c>
      <c r="I58">
        <f>INDEX(ChLaunch,MATCH(E58,ChName,0))</f>
        <v/>
      </c>
      <c r="J58">
        <f>INDEX(ChWeeksFull,MATCH(E58,ChName,0))</f>
        <v/>
      </c>
      <c r="K58">
        <f>INDEX(ChRamp,MATCH(E58,ChName,0))</f>
        <v/>
      </c>
      <c r="L58" s="45">
        <f>MIN(1,MAX(0,(A58-I58+1)*RampSpeed/J58))</f>
        <v/>
      </c>
      <c r="M58" s="45">
        <f>IF(A58&lt;I58,0,IF(K58="S-curve",L58*L58*(3-2*L58),L58))</f>
        <v/>
      </c>
      <c r="N58" s="45">
        <f>1+(INDEX(SeasonIdx,A58)-1)*SeasonAmp</f>
        <v/>
      </c>
      <c r="O58" s="45">
        <f>IFERROR(INDEX(PSPct,MATCH(E58&amp;"|"&amp;G58,PSKey,0)),0)</f>
        <v/>
      </c>
      <c r="P58" s="46">
        <f>INDEX(ChDoorVel,MATCH(E58,ChName,0))*CalibScalar*(1+VelocityUplift)</f>
        <v/>
      </c>
      <c r="Q58" s="46" t="n">
        <v>0</v>
      </c>
      <c r="R58" s="46">
        <f>P58*O58*M58*N58*H58</f>
        <v/>
      </c>
      <c r="S58" s="46">
        <f>R58*INDEX(FmtCansPerCase,MATCH(F58,FmtName,0))</f>
        <v/>
      </c>
      <c r="T58" s="46">
        <f>S58/INDEX(FmtCansPerPack,MATCH(F58,FmtName,0))</f>
        <v/>
      </c>
      <c r="U58" s="47">
        <f>INDEX(ChBaseCP,MATCH(E58,ChName,0))*(1+INDEX(ProvMod,MATCH(G58,ProvCode,0)))*(1+PriceIndex)</f>
        <v/>
      </c>
      <c r="V58" s="47">
        <f>R58*U58*INDEX(FmtBlendedPriceIdx,MATCH(F58,FmtName,0))</f>
        <v/>
      </c>
      <c r="W58" s="47">
        <f>T58*INDEX(ProvSRP,MATCH(G58,ProvCode,0))*(1+PriceIndex)</f>
        <v/>
      </c>
      <c r="X58" s="47">
        <f>IF(GrossBasis="Wholesale",V58,W58)</f>
        <v/>
      </c>
      <c r="Y58" s="47">
        <f>R58*INDEX(FmtBlendedCogs,MATCH(F58,FmtName,0))</f>
        <v/>
      </c>
      <c r="Z58" s="47">
        <f>X58-Y58</f>
        <v/>
      </c>
    </row>
    <row r="59">
      <c r="A59" t="n">
        <v>5</v>
      </c>
      <c r="B59" s="44">
        <f>FiscalStart+(A59-1)*7</f>
        <v/>
      </c>
      <c r="C59">
        <f>TEXT(B59,"mmm yyyy")</f>
        <v/>
      </c>
      <c r="D59">
        <f>"Q"&amp;(INT((A59-1)/13)+1)</f>
        <v/>
      </c>
      <c r="E59" t="inlineStr">
        <is>
          <t>Convenience</t>
        </is>
      </c>
      <c r="F59">
        <f>IFERROR(INDEX(ChFormat,MATCH(E59,ChName,0)),"")</f>
        <v/>
      </c>
      <c r="G59" t="inlineStr">
        <is>
          <t>AB</t>
        </is>
      </c>
      <c r="H59">
        <f>IF(A59&lt;=NWeeks,1,0)</f>
        <v/>
      </c>
      <c r="I59">
        <f>INDEX(ChLaunch,MATCH(E59,ChName,0))</f>
        <v/>
      </c>
      <c r="J59">
        <f>INDEX(ChWeeksFull,MATCH(E59,ChName,0))</f>
        <v/>
      </c>
      <c r="K59">
        <f>INDEX(ChRamp,MATCH(E59,ChName,0))</f>
        <v/>
      </c>
      <c r="L59" s="45">
        <f>MIN(1,MAX(0,(A59-I59+1)*RampSpeed/J59))</f>
        <v/>
      </c>
      <c r="M59" s="45">
        <f>IF(A59&lt;I59,0,IF(K59="S-curve",L59*L59*(3-2*L59),L59))</f>
        <v/>
      </c>
      <c r="N59" s="45">
        <f>1+(INDEX(SeasonIdx,A59)-1)*SeasonAmp</f>
        <v/>
      </c>
      <c r="O59" s="45">
        <f>IFERROR(INDEX(PSPct,MATCH(E59&amp;"|"&amp;G59,PSKey,0)),0)</f>
        <v/>
      </c>
      <c r="P59" s="46">
        <f>INDEX(ChDoorVel,MATCH(E59,ChName,0))*CalibScalar*(1+VelocityUplift)</f>
        <v/>
      </c>
      <c r="Q59" s="46" t="n">
        <v>0</v>
      </c>
      <c r="R59" s="46">
        <f>P59*O59*M59*N59*H59</f>
        <v/>
      </c>
      <c r="S59" s="46">
        <f>R59*INDEX(FmtCansPerCase,MATCH(F59,FmtName,0))</f>
        <v/>
      </c>
      <c r="T59" s="46">
        <f>S59/INDEX(FmtCansPerPack,MATCH(F59,FmtName,0))</f>
        <v/>
      </c>
      <c r="U59" s="47">
        <f>INDEX(ChBaseCP,MATCH(E59,ChName,0))*(1+INDEX(ProvMod,MATCH(G59,ProvCode,0)))*(1+PriceIndex)</f>
        <v/>
      </c>
      <c r="V59" s="47">
        <f>R59*U59*INDEX(FmtBlendedPriceIdx,MATCH(F59,FmtName,0))</f>
        <v/>
      </c>
      <c r="W59" s="47">
        <f>T59*INDEX(ProvSRP,MATCH(G59,ProvCode,0))*(1+PriceIndex)</f>
        <v/>
      </c>
      <c r="X59" s="47">
        <f>IF(GrossBasis="Wholesale",V59,W59)</f>
        <v/>
      </c>
      <c r="Y59" s="47">
        <f>R59*INDEX(FmtBlendedCogs,MATCH(F59,FmtName,0))</f>
        <v/>
      </c>
      <c r="Z59" s="47">
        <f>X59-Y59</f>
        <v/>
      </c>
    </row>
    <row r="60">
      <c r="A60" t="n">
        <v>6</v>
      </c>
      <c r="B60" s="44">
        <f>FiscalStart+(A60-1)*7</f>
        <v/>
      </c>
      <c r="C60">
        <f>TEXT(B60,"mmm yyyy")</f>
        <v/>
      </c>
      <c r="D60">
        <f>"Q"&amp;(INT((A60-1)/13)+1)</f>
        <v/>
      </c>
      <c r="E60" t="inlineStr">
        <is>
          <t>Convenience</t>
        </is>
      </c>
      <c r="F60">
        <f>IFERROR(INDEX(ChFormat,MATCH(E60,ChName,0)),"")</f>
        <v/>
      </c>
      <c r="G60" t="inlineStr">
        <is>
          <t>AB</t>
        </is>
      </c>
      <c r="H60">
        <f>IF(A60&lt;=NWeeks,1,0)</f>
        <v/>
      </c>
      <c r="I60">
        <f>INDEX(ChLaunch,MATCH(E60,ChName,0))</f>
        <v/>
      </c>
      <c r="J60">
        <f>INDEX(ChWeeksFull,MATCH(E60,ChName,0))</f>
        <v/>
      </c>
      <c r="K60">
        <f>INDEX(ChRamp,MATCH(E60,ChName,0))</f>
        <v/>
      </c>
      <c r="L60" s="45">
        <f>MIN(1,MAX(0,(A60-I60+1)*RampSpeed/J60))</f>
        <v/>
      </c>
      <c r="M60" s="45">
        <f>IF(A60&lt;I60,0,IF(K60="S-curve",L60*L60*(3-2*L60),L60))</f>
        <v/>
      </c>
      <c r="N60" s="45">
        <f>1+(INDEX(SeasonIdx,A60)-1)*SeasonAmp</f>
        <v/>
      </c>
      <c r="O60" s="45">
        <f>IFERROR(INDEX(PSPct,MATCH(E60&amp;"|"&amp;G60,PSKey,0)),0)</f>
        <v/>
      </c>
      <c r="P60" s="46">
        <f>INDEX(ChDoorVel,MATCH(E60,ChName,0))*CalibScalar*(1+VelocityUplift)</f>
        <v/>
      </c>
      <c r="Q60" s="46" t="n">
        <v>0</v>
      </c>
      <c r="R60" s="46">
        <f>P60*O60*M60*N60*H60</f>
        <v/>
      </c>
      <c r="S60" s="46">
        <f>R60*INDEX(FmtCansPerCase,MATCH(F60,FmtName,0))</f>
        <v/>
      </c>
      <c r="T60" s="46">
        <f>S60/INDEX(FmtCansPerPack,MATCH(F60,FmtName,0))</f>
        <v/>
      </c>
      <c r="U60" s="47">
        <f>INDEX(ChBaseCP,MATCH(E60,ChName,0))*(1+INDEX(ProvMod,MATCH(G60,ProvCode,0)))*(1+PriceIndex)</f>
        <v/>
      </c>
      <c r="V60" s="47">
        <f>R60*U60*INDEX(FmtBlendedPriceIdx,MATCH(F60,FmtName,0))</f>
        <v/>
      </c>
      <c r="W60" s="47">
        <f>T60*INDEX(ProvSRP,MATCH(G60,ProvCode,0))*(1+PriceIndex)</f>
        <v/>
      </c>
      <c r="X60" s="47">
        <f>IF(GrossBasis="Wholesale",V60,W60)</f>
        <v/>
      </c>
      <c r="Y60" s="47">
        <f>R60*INDEX(FmtBlendedCogs,MATCH(F60,FmtName,0))</f>
        <v/>
      </c>
      <c r="Z60" s="47">
        <f>X60-Y60</f>
        <v/>
      </c>
    </row>
    <row r="61">
      <c r="A61" t="n">
        <v>7</v>
      </c>
      <c r="B61" s="44">
        <f>FiscalStart+(A61-1)*7</f>
        <v/>
      </c>
      <c r="C61">
        <f>TEXT(B61,"mmm yyyy")</f>
        <v/>
      </c>
      <c r="D61">
        <f>"Q"&amp;(INT((A61-1)/13)+1)</f>
        <v/>
      </c>
      <c r="E61" t="inlineStr">
        <is>
          <t>Convenience</t>
        </is>
      </c>
      <c r="F61">
        <f>IFERROR(INDEX(ChFormat,MATCH(E61,ChName,0)),"")</f>
        <v/>
      </c>
      <c r="G61" t="inlineStr">
        <is>
          <t>AB</t>
        </is>
      </c>
      <c r="H61">
        <f>IF(A61&lt;=NWeeks,1,0)</f>
        <v/>
      </c>
      <c r="I61">
        <f>INDEX(ChLaunch,MATCH(E61,ChName,0))</f>
        <v/>
      </c>
      <c r="J61">
        <f>INDEX(ChWeeksFull,MATCH(E61,ChName,0))</f>
        <v/>
      </c>
      <c r="K61">
        <f>INDEX(ChRamp,MATCH(E61,ChName,0))</f>
        <v/>
      </c>
      <c r="L61" s="45">
        <f>MIN(1,MAX(0,(A61-I61+1)*RampSpeed/J61))</f>
        <v/>
      </c>
      <c r="M61" s="45">
        <f>IF(A61&lt;I61,0,IF(K61="S-curve",L61*L61*(3-2*L61),L61))</f>
        <v/>
      </c>
      <c r="N61" s="45">
        <f>1+(INDEX(SeasonIdx,A61)-1)*SeasonAmp</f>
        <v/>
      </c>
      <c r="O61" s="45">
        <f>IFERROR(INDEX(PSPct,MATCH(E61&amp;"|"&amp;G61,PSKey,0)),0)</f>
        <v/>
      </c>
      <c r="P61" s="46">
        <f>INDEX(ChDoorVel,MATCH(E61,ChName,0))*CalibScalar*(1+VelocityUplift)</f>
        <v/>
      </c>
      <c r="Q61" s="46" t="n">
        <v>0</v>
      </c>
      <c r="R61" s="46">
        <f>P61*O61*M61*N61*H61</f>
        <v/>
      </c>
      <c r="S61" s="46">
        <f>R61*INDEX(FmtCansPerCase,MATCH(F61,FmtName,0))</f>
        <v/>
      </c>
      <c r="T61" s="46">
        <f>S61/INDEX(FmtCansPerPack,MATCH(F61,FmtName,0))</f>
        <v/>
      </c>
      <c r="U61" s="47">
        <f>INDEX(ChBaseCP,MATCH(E61,ChName,0))*(1+INDEX(ProvMod,MATCH(G61,ProvCode,0)))*(1+PriceIndex)</f>
        <v/>
      </c>
      <c r="V61" s="47">
        <f>R61*U61*INDEX(FmtBlendedPriceIdx,MATCH(F61,FmtName,0))</f>
        <v/>
      </c>
      <c r="W61" s="47">
        <f>T61*INDEX(ProvSRP,MATCH(G61,ProvCode,0))*(1+PriceIndex)</f>
        <v/>
      </c>
      <c r="X61" s="47">
        <f>IF(GrossBasis="Wholesale",V61,W61)</f>
        <v/>
      </c>
      <c r="Y61" s="47">
        <f>R61*INDEX(FmtBlendedCogs,MATCH(F61,FmtName,0))</f>
        <v/>
      </c>
      <c r="Z61" s="47">
        <f>X61-Y61</f>
        <v/>
      </c>
    </row>
    <row r="62">
      <c r="A62" t="n">
        <v>8</v>
      </c>
      <c r="B62" s="44">
        <f>FiscalStart+(A62-1)*7</f>
        <v/>
      </c>
      <c r="C62">
        <f>TEXT(B62,"mmm yyyy")</f>
        <v/>
      </c>
      <c r="D62">
        <f>"Q"&amp;(INT((A62-1)/13)+1)</f>
        <v/>
      </c>
      <c r="E62" t="inlineStr">
        <is>
          <t>Convenience</t>
        </is>
      </c>
      <c r="F62">
        <f>IFERROR(INDEX(ChFormat,MATCH(E62,ChName,0)),"")</f>
        <v/>
      </c>
      <c r="G62" t="inlineStr">
        <is>
          <t>AB</t>
        </is>
      </c>
      <c r="H62">
        <f>IF(A62&lt;=NWeeks,1,0)</f>
        <v/>
      </c>
      <c r="I62">
        <f>INDEX(ChLaunch,MATCH(E62,ChName,0))</f>
        <v/>
      </c>
      <c r="J62">
        <f>INDEX(ChWeeksFull,MATCH(E62,ChName,0))</f>
        <v/>
      </c>
      <c r="K62">
        <f>INDEX(ChRamp,MATCH(E62,ChName,0))</f>
        <v/>
      </c>
      <c r="L62" s="45">
        <f>MIN(1,MAX(0,(A62-I62+1)*RampSpeed/J62))</f>
        <v/>
      </c>
      <c r="M62" s="45">
        <f>IF(A62&lt;I62,0,IF(K62="S-curve",L62*L62*(3-2*L62),L62))</f>
        <v/>
      </c>
      <c r="N62" s="45">
        <f>1+(INDEX(SeasonIdx,A62)-1)*SeasonAmp</f>
        <v/>
      </c>
      <c r="O62" s="45">
        <f>IFERROR(INDEX(PSPct,MATCH(E62&amp;"|"&amp;G62,PSKey,0)),0)</f>
        <v/>
      </c>
      <c r="P62" s="46">
        <f>INDEX(ChDoorVel,MATCH(E62,ChName,0))*CalibScalar*(1+VelocityUplift)</f>
        <v/>
      </c>
      <c r="Q62" s="46" t="n">
        <v>0</v>
      </c>
      <c r="R62" s="46">
        <f>P62*O62*M62*N62*H62</f>
        <v/>
      </c>
      <c r="S62" s="46">
        <f>R62*INDEX(FmtCansPerCase,MATCH(F62,FmtName,0))</f>
        <v/>
      </c>
      <c r="T62" s="46">
        <f>S62/INDEX(FmtCansPerPack,MATCH(F62,FmtName,0))</f>
        <v/>
      </c>
      <c r="U62" s="47">
        <f>INDEX(ChBaseCP,MATCH(E62,ChName,0))*(1+INDEX(ProvMod,MATCH(G62,ProvCode,0)))*(1+PriceIndex)</f>
        <v/>
      </c>
      <c r="V62" s="47">
        <f>R62*U62*INDEX(FmtBlendedPriceIdx,MATCH(F62,FmtName,0))</f>
        <v/>
      </c>
      <c r="W62" s="47">
        <f>T62*INDEX(ProvSRP,MATCH(G62,ProvCode,0))*(1+PriceIndex)</f>
        <v/>
      </c>
      <c r="X62" s="47">
        <f>IF(GrossBasis="Wholesale",V62,W62)</f>
        <v/>
      </c>
      <c r="Y62" s="47">
        <f>R62*INDEX(FmtBlendedCogs,MATCH(F62,FmtName,0))</f>
        <v/>
      </c>
      <c r="Z62" s="47">
        <f>X62-Y62</f>
        <v/>
      </c>
    </row>
    <row r="63">
      <c r="A63" t="n">
        <v>9</v>
      </c>
      <c r="B63" s="44">
        <f>FiscalStart+(A63-1)*7</f>
        <v/>
      </c>
      <c r="C63">
        <f>TEXT(B63,"mmm yyyy")</f>
        <v/>
      </c>
      <c r="D63">
        <f>"Q"&amp;(INT((A63-1)/13)+1)</f>
        <v/>
      </c>
      <c r="E63" t="inlineStr">
        <is>
          <t>Convenience</t>
        </is>
      </c>
      <c r="F63">
        <f>IFERROR(INDEX(ChFormat,MATCH(E63,ChName,0)),"")</f>
        <v/>
      </c>
      <c r="G63" t="inlineStr">
        <is>
          <t>AB</t>
        </is>
      </c>
      <c r="H63">
        <f>IF(A63&lt;=NWeeks,1,0)</f>
        <v/>
      </c>
      <c r="I63">
        <f>INDEX(ChLaunch,MATCH(E63,ChName,0))</f>
        <v/>
      </c>
      <c r="J63">
        <f>INDEX(ChWeeksFull,MATCH(E63,ChName,0))</f>
        <v/>
      </c>
      <c r="K63">
        <f>INDEX(ChRamp,MATCH(E63,ChName,0))</f>
        <v/>
      </c>
      <c r="L63" s="45">
        <f>MIN(1,MAX(0,(A63-I63+1)*RampSpeed/J63))</f>
        <v/>
      </c>
      <c r="M63" s="45">
        <f>IF(A63&lt;I63,0,IF(K63="S-curve",L63*L63*(3-2*L63),L63))</f>
        <v/>
      </c>
      <c r="N63" s="45">
        <f>1+(INDEX(SeasonIdx,A63)-1)*SeasonAmp</f>
        <v/>
      </c>
      <c r="O63" s="45">
        <f>IFERROR(INDEX(PSPct,MATCH(E63&amp;"|"&amp;G63,PSKey,0)),0)</f>
        <v/>
      </c>
      <c r="P63" s="46">
        <f>INDEX(ChDoorVel,MATCH(E63,ChName,0))*CalibScalar*(1+VelocityUplift)</f>
        <v/>
      </c>
      <c r="Q63" s="46" t="n">
        <v>0</v>
      </c>
      <c r="R63" s="46">
        <f>P63*O63*M63*N63*H63</f>
        <v/>
      </c>
      <c r="S63" s="46">
        <f>R63*INDEX(FmtCansPerCase,MATCH(F63,FmtName,0))</f>
        <v/>
      </c>
      <c r="T63" s="46">
        <f>S63/INDEX(FmtCansPerPack,MATCH(F63,FmtName,0))</f>
        <v/>
      </c>
      <c r="U63" s="47">
        <f>INDEX(ChBaseCP,MATCH(E63,ChName,0))*(1+INDEX(ProvMod,MATCH(G63,ProvCode,0)))*(1+PriceIndex)</f>
        <v/>
      </c>
      <c r="V63" s="47">
        <f>R63*U63*INDEX(FmtBlendedPriceIdx,MATCH(F63,FmtName,0))</f>
        <v/>
      </c>
      <c r="W63" s="47">
        <f>T63*INDEX(ProvSRP,MATCH(G63,ProvCode,0))*(1+PriceIndex)</f>
        <v/>
      </c>
      <c r="X63" s="47">
        <f>IF(GrossBasis="Wholesale",V63,W63)</f>
        <v/>
      </c>
      <c r="Y63" s="47">
        <f>R63*INDEX(FmtBlendedCogs,MATCH(F63,FmtName,0))</f>
        <v/>
      </c>
      <c r="Z63" s="47">
        <f>X63-Y63</f>
        <v/>
      </c>
    </row>
    <row r="64">
      <c r="A64" t="n">
        <v>10</v>
      </c>
      <c r="B64" s="44">
        <f>FiscalStart+(A64-1)*7</f>
        <v/>
      </c>
      <c r="C64">
        <f>TEXT(B64,"mmm yyyy")</f>
        <v/>
      </c>
      <c r="D64">
        <f>"Q"&amp;(INT((A64-1)/13)+1)</f>
        <v/>
      </c>
      <c r="E64" t="inlineStr">
        <is>
          <t>Convenience</t>
        </is>
      </c>
      <c r="F64">
        <f>IFERROR(INDEX(ChFormat,MATCH(E64,ChName,0)),"")</f>
        <v/>
      </c>
      <c r="G64" t="inlineStr">
        <is>
          <t>AB</t>
        </is>
      </c>
      <c r="H64">
        <f>IF(A64&lt;=NWeeks,1,0)</f>
        <v/>
      </c>
      <c r="I64">
        <f>INDEX(ChLaunch,MATCH(E64,ChName,0))</f>
        <v/>
      </c>
      <c r="J64">
        <f>INDEX(ChWeeksFull,MATCH(E64,ChName,0))</f>
        <v/>
      </c>
      <c r="K64">
        <f>INDEX(ChRamp,MATCH(E64,ChName,0))</f>
        <v/>
      </c>
      <c r="L64" s="45">
        <f>MIN(1,MAX(0,(A64-I64+1)*RampSpeed/J64))</f>
        <v/>
      </c>
      <c r="M64" s="45">
        <f>IF(A64&lt;I64,0,IF(K64="S-curve",L64*L64*(3-2*L64),L64))</f>
        <v/>
      </c>
      <c r="N64" s="45">
        <f>1+(INDEX(SeasonIdx,A64)-1)*SeasonAmp</f>
        <v/>
      </c>
      <c r="O64" s="45">
        <f>IFERROR(INDEX(PSPct,MATCH(E64&amp;"|"&amp;G64,PSKey,0)),0)</f>
        <v/>
      </c>
      <c r="P64" s="46">
        <f>INDEX(ChDoorVel,MATCH(E64,ChName,0))*CalibScalar*(1+VelocityUplift)</f>
        <v/>
      </c>
      <c r="Q64" s="46" t="n">
        <v>0</v>
      </c>
      <c r="R64" s="46">
        <f>P64*O64*M64*N64*H64</f>
        <v/>
      </c>
      <c r="S64" s="46">
        <f>R64*INDEX(FmtCansPerCase,MATCH(F64,FmtName,0))</f>
        <v/>
      </c>
      <c r="T64" s="46">
        <f>S64/INDEX(FmtCansPerPack,MATCH(F64,FmtName,0))</f>
        <v/>
      </c>
      <c r="U64" s="47">
        <f>INDEX(ChBaseCP,MATCH(E64,ChName,0))*(1+INDEX(ProvMod,MATCH(G64,ProvCode,0)))*(1+PriceIndex)</f>
        <v/>
      </c>
      <c r="V64" s="47">
        <f>R64*U64*INDEX(FmtBlendedPriceIdx,MATCH(F64,FmtName,0))</f>
        <v/>
      </c>
      <c r="W64" s="47">
        <f>T64*INDEX(ProvSRP,MATCH(G64,ProvCode,0))*(1+PriceIndex)</f>
        <v/>
      </c>
      <c r="X64" s="47">
        <f>IF(GrossBasis="Wholesale",V64,W64)</f>
        <v/>
      </c>
      <c r="Y64" s="47">
        <f>R64*INDEX(FmtBlendedCogs,MATCH(F64,FmtName,0))</f>
        <v/>
      </c>
      <c r="Z64" s="47">
        <f>X64-Y64</f>
        <v/>
      </c>
    </row>
    <row r="65">
      <c r="A65" t="n">
        <v>11</v>
      </c>
      <c r="B65" s="44">
        <f>FiscalStart+(A65-1)*7</f>
        <v/>
      </c>
      <c r="C65">
        <f>TEXT(B65,"mmm yyyy")</f>
        <v/>
      </c>
      <c r="D65">
        <f>"Q"&amp;(INT((A65-1)/13)+1)</f>
        <v/>
      </c>
      <c r="E65" t="inlineStr">
        <is>
          <t>Convenience</t>
        </is>
      </c>
      <c r="F65">
        <f>IFERROR(INDEX(ChFormat,MATCH(E65,ChName,0)),"")</f>
        <v/>
      </c>
      <c r="G65" t="inlineStr">
        <is>
          <t>AB</t>
        </is>
      </c>
      <c r="H65">
        <f>IF(A65&lt;=NWeeks,1,0)</f>
        <v/>
      </c>
      <c r="I65">
        <f>INDEX(ChLaunch,MATCH(E65,ChName,0))</f>
        <v/>
      </c>
      <c r="J65">
        <f>INDEX(ChWeeksFull,MATCH(E65,ChName,0))</f>
        <v/>
      </c>
      <c r="K65">
        <f>INDEX(ChRamp,MATCH(E65,ChName,0))</f>
        <v/>
      </c>
      <c r="L65" s="45">
        <f>MIN(1,MAX(0,(A65-I65+1)*RampSpeed/J65))</f>
        <v/>
      </c>
      <c r="M65" s="45">
        <f>IF(A65&lt;I65,0,IF(K65="S-curve",L65*L65*(3-2*L65),L65))</f>
        <v/>
      </c>
      <c r="N65" s="45">
        <f>1+(INDEX(SeasonIdx,A65)-1)*SeasonAmp</f>
        <v/>
      </c>
      <c r="O65" s="45">
        <f>IFERROR(INDEX(PSPct,MATCH(E65&amp;"|"&amp;G65,PSKey,0)),0)</f>
        <v/>
      </c>
      <c r="P65" s="46">
        <f>INDEX(ChDoorVel,MATCH(E65,ChName,0))*CalibScalar*(1+VelocityUplift)</f>
        <v/>
      </c>
      <c r="Q65" s="46" t="n">
        <v>0</v>
      </c>
      <c r="R65" s="46">
        <f>P65*O65*M65*N65*H65</f>
        <v/>
      </c>
      <c r="S65" s="46">
        <f>R65*INDEX(FmtCansPerCase,MATCH(F65,FmtName,0))</f>
        <v/>
      </c>
      <c r="T65" s="46">
        <f>S65/INDEX(FmtCansPerPack,MATCH(F65,FmtName,0))</f>
        <v/>
      </c>
      <c r="U65" s="47">
        <f>INDEX(ChBaseCP,MATCH(E65,ChName,0))*(1+INDEX(ProvMod,MATCH(G65,ProvCode,0)))*(1+PriceIndex)</f>
        <v/>
      </c>
      <c r="V65" s="47">
        <f>R65*U65*INDEX(FmtBlendedPriceIdx,MATCH(F65,FmtName,0))</f>
        <v/>
      </c>
      <c r="W65" s="47">
        <f>T65*INDEX(ProvSRP,MATCH(G65,ProvCode,0))*(1+PriceIndex)</f>
        <v/>
      </c>
      <c r="X65" s="47">
        <f>IF(GrossBasis="Wholesale",V65,W65)</f>
        <v/>
      </c>
      <c r="Y65" s="47">
        <f>R65*INDEX(FmtBlendedCogs,MATCH(F65,FmtName,0))</f>
        <v/>
      </c>
      <c r="Z65" s="47">
        <f>X65-Y65</f>
        <v/>
      </c>
    </row>
    <row r="66">
      <c r="A66" t="n">
        <v>12</v>
      </c>
      <c r="B66" s="44">
        <f>FiscalStart+(A66-1)*7</f>
        <v/>
      </c>
      <c r="C66">
        <f>TEXT(B66,"mmm yyyy")</f>
        <v/>
      </c>
      <c r="D66">
        <f>"Q"&amp;(INT((A66-1)/13)+1)</f>
        <v/>
      </c>
      <c r="E66" t="inlineStr">
        <is>
          <t>Convenience</t>
        </is>
      </c>
      <c r="F66">
        <f>IFERROR(INDEX(ChFormat,MATCH(E66,ChName,0)),"")</f>
        <v/>
      </c>
      <c r="G66" t="inlineStr">
        <is>
          <t>AB</t>
        </is>
      </c>
      <c r="H66">
        <f>IF(A66&lt;=NWeeks,1,0)</f>
        <v/>
      </c>
      <c r="I66">
        <f>INDEX(ChLaunch,MATCH(E66,ChName,0))</f>
        <v/>
      </c>
      <c r="J66">
        <f>INDEX(ChWeeksFull,MATCH(E66,ChName,0))</f>
        <v/>
      </c>
      <c r="K66">
        <f>INDEX(ChRamp,MATCH(E66,ChName,0))</f>
        <v/>
      </c>
      <c r="L66" s="45">
        <f>MIN(1,MAX(0,(A66-I66+1)*RampSpeed/J66))</f>
        <v/>
      </c>
      <c r="M66" s="45">
        <f>IF(A66&lt;I66,0,IF(K66="S-curve",L66*L66*(3-2*L66),L66))</f>
        <v/>
      </c>
      <c r="N66" s="45">
        <f>1+(INDEX(SeasonIdx,A66)-1)*SeasonAmp</f>
        <v/>
      </c>
      <c r="O66" s="45">
        <f>IFERROR(INDEX(PSPct,MATCH(E66&amp;"|"&amp;G66,PSKey,0)),0)</f>
        <v/>
      </c>
      <c r="P66" s="46">
        <f>INDEX(ChDoorVel,MATCH(E66,ChName,0))*CalibScalar*(1+VelocityUplift)</f>
        <v/>
      </c>
      <c r="Q66" s="46" t="n">
        <v>0</v>
      </c>
      <c r="R66" s="46">
        <f>P66*O66*M66*N66*H66</f>
        <v/>
      </c>
      <c r="S66" s="46">
        <f>R66*INDEX(FmtCansPerCase,MATCH(F66,FmtName,0))</f>
        <v/>
      </c>
      <c r="T66" s="46">
        <f>S66/INDEX(FmtCansPerPack,MATCH(F66,FmtName,0))</f>
        <v/>
      </c>
      <c r="U66" s="47">
        <f>INDEX(ChBaseCP,MATCH(E66,ChName,0))*(1+INDEX(ProvMod,MATCH(G66,ProvCode,0)))*(1+PriceIndex)</f>
        <v/>
      </c>
      <c r="V66" s="47">
        <f>R66*U66*INDEX(FmtBlendedPriceIdx,MATCH(F66,FmtName,0))</f>
        <v/>
      </c>
      <c r="W66" s="47">
        <f>T66*INDEX(ProvSRP,MATCH(G66,ProvCode,0))*(1+PriceIndex)</f>
        <v/>
      </c>
      <c r="X66" s="47">
        <f>IF(GrossBasis="Wholesale",V66,W66)</f>
        <v/>
      </c>
      <c r="Y66" s="47">
        <f>R66*INDEX(FmtBlendedCogs,MATCH(F66,FmtName,0))</f>
        <v/>
      </c>
      <c r="Z66" s="47">
        <f>X66-Y66</f>
        <v/>
      </c>
    </row>
    <row r="67">
      <c r="A67" t="n">
        <v>13</v>
      </c>
      <c r="B67" s="44">
        <f>FiscalStart+(A67-1)*7</f>
        <v/>
      </c>
      <c r="C67">
        <f>TEXT(B67,"mmm yyyy")</f>
        <v/>
      </c>
      <c r="D67">
        <f>"Q"&amp;(INT((A67-1)/13)+1)</f>
        <v/>
      </c>
      <c r="E67" t="inlineStr">
        <is>
          <t>Convenience</t>
        </is>
      </c>
      <c r="F67">
        <f>IFERROR(INDEX(ChFormat,MATCH(E67,ChName,0)),"")</f>
        <v/>
      </c>
      <c r="G67" t="inlineStr">
        <is>
          <t>AB</t>
        </is>
      </c>
      <c r="H67">
        <f>IF(A67&lt;=NWeeks,1,0)</f>
        <v/>
      </c>
      <c r="I67">
        <f>INDEX(ChLaunch,MATCH(E67,ChName,0))</f>
        <v/>
      </c>
      <c r="J67">
        <f>INDEX(ChWeeksFull,MATCH(E67,ChName,0))</f>
        <v/>
      </c>
      <c r="K67">
        <f>INDEX(ChRamp,MATCH(E67,ChName,0))</f>
        <v/>
      </c>
      <c r="L67" s="45">
        <f>MIN(1,MAX(0,(A67-I67+1)*RampSpeed/J67))</f>
        <v/>
      </c>
      <c r="M67" s="45">
        <f>IF(A67&lt;I67,0,IF(K67="S-curve",L67*L67*(3-2*L67),L67))</f>
        <v/>
      </c>
      <c r="N67" s="45">
        <f>1+(INDEX(SeasonIdx,A67)-1)*SeasonAmp</f>
        <v/>
      </c>
      <c r="O67" s="45">
        <f>IFERROR(INDEX(PSPct,MATCH(E67&amp;"|"&amp;G67,PSKey,0)),0)</f>
        <v/>
      </c>
      <c r="P67" s="46">
        <f>INDEX(ChDoorVel,MATCH(E67,ChName,0))*CalibScalar*(1+VelocityUplift)</f>
        <v/>
      </c>
      <c r="Q67" s="46" t="n">
        <v>0</v>
      </c>
      <c r="R67" s="46">
        <f>P67*O67*M67*N67*H67</f>
        <v/>
      </c>
      <c r="S67" s="46">
        <f>R67*INDEX(FmtCansPerCase,MATCH(F67,FmtName,0))</f>
        <v/>
      </c>
      <c r="T67" s="46">
        <f>S67/INDEX(FmtCansPerPack,MATCH(F67,FmtName,0))</f>
        <v/>
      </c>
      <c r="U67" s="47">
        <f>INDEX(ChBaseCP,MATCH(E67,ChName,0))*(1+INDEX(ProvMod,MATCH(G67,ProvCode,0)))*(1+PriceIndex)</f>
        <v/>
      </c>
      <c r="V67" s="47">
        <f>R67*U67*INDEX(FmtBlendedPriceIdx,MATCH(F67,FmtName,0))</f>
        <v/>
      </c>
      <c r="W67" s="47">
        <f>T67*INDEX(ProvSRP,MATCH(G67,ProvCode,0))*(1+PriceIndex)</f>
        <v/>
      </c>
      <c r="X67" s="47">
        <f>IF(GrossBasis="Wholesale",V67,W67)</f>
        <v/>
      </c>
      <c r="Y67" s="47">
        <f>R67*INDEX(FmtBlendedCogs,MATCH(F67,FmtName,0))</f>
        <v/>
      </c>
      <c r="Z67" s="47">
        <f>X67-Y67</f>
        <v/>
      </c>
    </row>
    <row r="68">
      <c r="A68" t="n">
        <v>14</v>
      </c>
      <c r="B68" s="44">
        <f>FiscalStart+(A68-1)*7</f>
        <v/>
      </c>
      <c r="C68">
        <f>TEXT(B68,"mmm yyyy")</f>
        <v/>
      </c>
      <c r="D68">
        <f>"Q"&amp;(INT((A68-1)/13)+1)</f>
        <v/>
      </c>
      <c r="E68" t="inlineStr">
        <is>
          <t>Convenience</t>
        </is>
      </c>
      <c r="F68">
        <f>IFERROR(INDEX(ChFormat,MATCH(E68,ChName,0)),"")</f>
        <v/>
      </c>
      <c r="G68" t="inlineStr">
        <is>
          <t>AB</t>
        </is>
      </c>
      <c r="H68">
        <f>IF(A68&lt;=NWeeks,1,0)</f>
        <v/>
      </c>
      <c r="I68">
        <f>INDEX(ChLaunch,MATCH(E68,ChName,0))</f>
        <v/>
      </c>
      <c r="J68">
        <f>INDEX(ChWeeksFull,MATCH(E68,ChName,0))</f>
        <v/>
      </c>
      <c r="K68">
        <f>INDEX(ChRamp,MATCH(E68,ChName,0))</f>
        <v/>
      </c>
      <c r="L68" s="45">
        <f>MIN(1,MAX(0,(A68-I68+1)*RampSpeed/J68))</f>
        <v/>
      </c>
      <c r="M68" s="45">
        <f>IF(A68&lt;I68,0,IF(K68="S-curve",L68*L68*(3-2*L68),L68))</f>
        <v/>
      </c>
      <c r="N68" s="45">
        <f>1+(INDEX(SeasonIdx,A68)-1)*SeasonAmp</f>
        <v/>
      </c>
      <c r="O68" s="45">
        <f>IFERROR(INDEX(PSPct,MATCH(E68&amp;"|"&amp;G68,PSKey,0)),0)</f>
        <v/>
      </c>
      <c r="P68" s="46">
        <f>INDEX(ChDoorVel,MATCH(E68,ChName,0))*CalibScalar*(1+VelocityUplift)</f>
        <v/>
      </c>
      <c r="Q68" s="46" t="n">
        <v>0</v>
      </c>
      <c r="R68" s="46">
        <f>P68*O68*M68*N68*H68</f>
        <v/>
      </c>
      <c r="S68" s="46">
        <f>R68*INDEX(FmtCansPerCase,MATCH(F68,FmtName,0))</f>
        <v/>
      </c>
      <c r="T68" s="46">
        <f>S68/INDEX(FmtCansPerPack,MATCH(F68,FmtName,0))</f>
        <v/>
      </c>
      <c r="U68" s="47">
        <f>INDEX(ChBaseCP,MATCH(E68,ChName,0))*(1+INDEX(ProvMod,MATCH(G68,ProvCode,0)))*(1+PriceIndex)</f>
        <v/>
      </c>
      <c r="V68" s="47">
        <f>R68*U68*INDEX(FmtBlendedPriceIdx,MATCH(F68,FmtName,0))</f>
        <v/>
      </c>
      <c r="W68" s="47">
        <f>T68*INDEX(ProvSRP,MATCH(G68,ProvCode,0))*(1+PriceIndex)</f>
        <v/>
      </c>
      <c r="X68" s="47">
        <f>IF(GrossBasis="Wholesale",V68,W68)</f>
        <v/>
      </c>
      <c r="Y68" s="47">
        <f>R68*INDEX(FmtBlendedCogs,MATCH(F68,FmtName,0))</f>
        <v/>
      </c>
      <c r="Z68" s="47">
        <f>X68-Y68</f>
        <v/>
      </c>
    </row>
    <row r="69">
      <c r="A69" t="n">
        <v>15</v>
      </c>
      <c r="B69" s="44">
        <f>FiscalStart+(A69-1)*7</f>
        <v/>
      </c>
      <c r="C69">
        <f>TEXT(B69,"mmm yyyy")</f>
        <v/>
      </c>
      <c r="D69">
        <f>"Q"&amp;(INT((A69-1)/13)+1)</f>
        <v/>
      </c>
      <c r="E69" t="inlineStr">
        <is>
          <t>Convenience</t>
        </is>
      </c>
      <c r="F69">
        <f>IFERROR(INDEX(ChFormat,MATCH(E69,ChName,0)),"")</f>
        <v/>
      </c>
      <c r="G69" t="inlineStr">
        <is>
          <t>AB</t>
        </is>
      </c>
      <c r="H69">
        <f>IF(A69&lt;=NWeeks,1,0)</f>
        <v/>
      </c>
      <c r="I69">
        <f>INDEX(ChLaunch,MATCH(E69,ChName,0))</f>
        <v/>
      </c>
      <c r="J69">
        <f>INDEX(ChWeeksFull,MATCH(E69,ChName,0))</f>
        <v/>
      </c>
      <c r="K69">
        <f>INDEX(ChRamp,MATCH(E69,ChName,0))</f>
        <v/>
      </c>
      <c r="L69" s="45">
        <f>MIN(1,MAX(0,(A69-I69+1)*RampSpeed/J69))</f>
        <v/>
      </c>
      <c r="M69" s="45">
        <f>IF(A69&lt;I69,0,IF(K69="S-curve",L69*L69*(3-2*L69),L69))</f>
        <v/>
      </c>
      <c r="N69" s="45">
        <f>1+(INDEX(SeasonIdx,A69)-1)*SeasonAmp</f>
        <v/>
      </c>
      <c r="O69" s="45">
        <f>IFERROR(INDEX(PSPct,MATCH(E69&amp;"|"&amp;G69,PSKey,0)),0)</f>
        <v/>
      </c>
      <c r="P69" s="46">
        <f>INDEX(ChDoorVel,MATCH(E69,ChName,0))*CalibScalar*(1+VelocityUplift)</f>
        <v/>
      </c>
      <c r="Q69" s="46" t="n">
        <v>0</v>
      </c>
      <c r="R69" s="46">
        <f>P69*O69*M69*N69*H69</f>
        <v/>
      </c>
      <c r="S69" s="46">
        <f>R69*INDEX(FmtCansPerCase,MATCH(F69,FmtName,0))</f>
        <v/>
      </c>
      <c r="T69" s="46">
        <f>S69/INDEX(FmtCansPerPack,MATCH(F69,FmtName,0))</f>
        <v/>
      </c>
      <c r="U69" s="47">
        <f>INDEX(ChBaseCP,MATCH(E69,ChName,0))*(1+INDEX(ProvMod,MATCH(G69,ProvCode,0)))*(1+PriceIndex)</f>
        <v/>
      </c>
      <c r="V69" s="47">
        <f>R69*U69*INDEX(FmtBlendedPriceIdx,MATCH(F69,FmtName,0))</f>
        <v/>
      </c>
      <c r="W69" s="47">
        <f>T69*INDEX(ProvSRP,MATCH(G69,ProvCode,0))*(1+PriceIndex)</f>
        <v/>
      </c>
      <c r="X69" s="47">
        <f>IF(GrossBasis="Wholesale",V69,W69)</f>
        <v/>
      </c>
      <c r="Y69" s="47">
        <f>R69*INDEX(FmtBlendedCogs,MATCH(F69,FmtName,0))</f>
        <v/>
      </c>
      <c r="Z69" s="47">
        <f>X69-Y69</f>
        <v/>
      </c>
    </row>
    <row r="70">
      <c r="A70" t="n">
        <v>16</v>
      </c>
      <c r="B70" s="44">
        <f>FiscalStart+(A70-1)*7</f>
        <v/>
      </c>
      <c r="C70">
        <f>TEXT(B70,"mmm yyyy")</f>
        <v/>
      </c>
      <c r="D70">
        <f>"Q"&amp;(INT((A70-1)/13)+1)</f>
        <v/>
      </c>
      <c r="E70" t="inlineStr">
        <is>
          <t>Convenience</t>
        </is>
      </c>
      <c r="F70">
        <f>IFERROR(INDEX(ChFormat,MATCH(E70,ChName,0)),"")</f>
        <v/>
      </c>
      <c r="G70" t="inlineStr">
        <is>
          <t>AB</t>
        </is>
      </c>
      <c r="H70">
        <f>IF(A70&lt;=NWeeks,1,0)</f>
        <v/>
      </c>
      <c r="I70">
        <f>INDEX(ChLaunch,MATCH(E70,ChName,0))</f>
        <v/>
      </c>
      <c r="J70">
        <f>INDEX(ChWeeksFull,MATCH(E70,ChName,0))</f>
        <v/>
      </c>
      <c r="K70">
        <f>INDEX(ChRamp,MATCH(E70,ChName,0))</f>
        <v/>
      </c>
      <c r="L70" s="45">
        <f>MIN(1,MAX(0,(A70-I70+1)*RampSpeed/J70))</f>
        <v/>
      </c>
      <c r="M70" s="45">
        <f>IF(A70&lt;I70,0,IF(K70="S-curve",L70*L70*(3-2*L70),L70))</f>
        <v/>
      </c>
      <c r="N70" s="45">
        <f>1+(INDEX(SeasonIdx,A70)-1)*SeasonAmp</f>
        <v/>
      </c>
      <c r="O70" s="45">
        <f>IFERROR(INDEX(PSPct,MATCH(E70&amp;"|"&amp;G70,PSKey,0)),0)</f>
        <v/>
      </c>
      <c r="P70" s="46">
        <f>INDEX(ChDoorVel,MATCH(E70,ChName,0))*CalibScalar*(1+VelocityUplift)</f>
        <v/>
      </c>
      <c r="Q70" s="46" t="n">
        <v>0</v>
      </c>
      <c r="R70" s="46">
        <f>P70*O70*M70*N70*H70</f>
        <v/>
      </c>
      <c r="S70" s="46">
        <f>R70*INDEX(FmtCansPerCase,MATCH(F70,FmtName,0))</f>
        <v/>
      </c>
      <c r="T70" s="46">
        <f>S70/INDEX(FmtCansPerPack,MATCH(F70,FmtName,0))</f>
        <v/>
      </c>
      <c r="U70" s="47">
        <f>INDEX(ChBaseCP,MATCH(E70,ChName,0))*(1+INDEX(ProvMod,MATCH(G70,ProvCode,0)))*(1+PriceIndex)</f>
        <v/>
      </c>
      <c r="V70" s="47">
        <f>R70*U70*INDEX(FmtBlendedPriceIdx,MATCH(F70,FmtName,0))</f>
        <v/>
      </c>
      <c r="W70" s="47">
        <f>T70*INDEX(ProvSRP,MATCH(G70,ProvCode,0))*(1+PriceIndex)</f>
        <v/>
      </c>
      <c r="X70" s="47">
        <f>IF(GrossBasis="Wholesale",V70,W70)</f>
        <v/>
      </c>
      <c r="Y70" s="47">
        <f>R70*INDEX(FmtBlendedCogs,MATCH(F70,FmtName,0))</f>
        <v/>
      </c>
      <c r="Z70" s="47">
        <f>X70-Y70</f>
        <v/>
      </c>
    </row>
    <row r="71">
      <c r="A71" t="n">
        <v>17</v>
      </c>
      <c r="B71" s="44">
        <f>FiscalStart+(A71-1)*7</f>
        <v/>
      </c>
      <c r="C71">
        <f>TEXT(B71,"mmm yyyy")</f>
        <v/>
      </c>
      <c r="D71">
        <f>"Q"&amp;(INT((A71-1)/13)+1)</f>
        <v/>
      </c>
      <c r="E71" t="inlineStr">
        <is>
          <t>Convenience</t>
        </is>
      </c>
      <c r="F71">
        <f>IFERROR(INDEX(ChFormat,MATCH(E71,ChName,0)),"")</f>
        <v/>
      </c>
      <c r="G71" t="inlineStr">
        <is>
          <t>AB</t>
        </is>
      </c>
      <c r="H71">
        <f>IF(A71&lt;=NWeeks,1,0)</f>
        <v/>
      </c>
      <c r="I71">
        <f>INDEX(ChLaunch,MATCH(E71,ChName,0))</f>
        <v/>
      </c>
      <c r="J71">
        <f>INDEX(ChWeeksFull,MATCH(E71,ChName,0))</f>
        <v/>
      </c>
      <c r="K71">
        <f>INDEX(ChRamp,MATCH(E71,ChName,0))</f>
        <v/>
      </c>
      <c r="L71" s="45">
        <f>MIN(1,MAX(0,(A71-I71+1)*RampSpeed/J71))</f>
        <v/>
      </c>
      <c r="M71" s="45">
        <f>IF(A71&lt;I71,0,IF(K71="S-curve",L71*L71*(3-2*L71),L71))</f>
        <v/>
      </c>
      <c r="N71" s="45">
        <f>1+(INDEX(SeasonIdx,A71)-1)*SeasonAmp</f>
        <v/>
      </c>
      <c r="O71" s="45">
        <f>IFERROR(INDEX(PSPct,MATCH(E71&amp;"|"&amp;G71,PSKey,0)),0)</f>
        <v/>
      </c>
      <c r="P71" s="46">
        <f>INDEX(ChDoorVel,MATCH(E71,ChName,0))*CalibScalar*(1+VelocityUplift)</f>
        <v/>
      </c>
      <c r="Q71" s="46" t="n">
        <v>0</v>
      </c>
      <c r="R71" s="46">
        <f>P71*O71*M71*N71*H71</f>
        <v/>
      </c>
      <c r="S71" s="46">
        <f>R71*INDEX(FmtCansPerCase,MATCH(F71,FmtName,0))</f>
        <v/>
      </c>
      <c r="T71" s="46">
        <f>S71/INDEX(FmtCansPerPack,MATCH(F71,FmtName,0))</f>
        <v/>
      </c>
      <c r="U71" s="47">
        <f>INDEX(ChBaseCP,MATCH(E71,ChName,0))*(1+INDEX(ProvMod,MATCH(G71,ProvCode,0)))*(1+PriceIndex)</f>
        <v/>
      </c>
      <c r="V71" s="47">
        <f>R71*U71*INDEX(FmtBlendedPriceIdx,MATCH(F71,FmtName,0))</f>
        <v/>
      </c>
      <c r="W71" s="47">
        <f>T71*INDEX(ProvSRP,MATCH(G71,ProvCode,0))*(1+PriceIndex)</f>
        <v/>
      </c>
      <c r="X71" s="47">
        <f>IF(GrossBasis="Wholesale",V71,W71)</f>
        <v/>
      </c>
      <c r="Y71" s="47">
        <f>R71*INDEX(FmtBlendedCogs,MATCH(F71,FmtName,0))</f>
        <v/>
      </c>
      <c r="Z71" s="47">
        <f>X71-Y71</f>
        <v/>
      </c>
    </row>
    <row r="72">
      <c r="A72" t="n">
        <v>18</v>
      </c>
      <c r="B72" s="44">
        <f>FiscalStart+(A72-1)*7</f>
        <v/>
      </c>
      <c r="C72">
        <f>TEXT(B72,"mmm yyyy")</f>
        <v/>
      </c>
      <c r="D72">
        <f>"Q"&amp;(INT((A72-1)/13)+1)</f>
        <v/>
      </c>
      <c r="E72" t="inlineStr">
        <is>
          <t>Convenience</t>
        </is>
      </c>
      <c r="F72">
        <f>IFERROR(INDEX(ChFormat,MATCH(E72,ChName,0)),"")</f>
        <v/>
      </c>
      <c r="G72" t="inlineStr">
        <is>
          <t>AB</t>
        </is>
      </c>
      <c r="H72">
        <f>IF(A72&lt;=NWeeks,1,0)</f>
        <v/>
      </c>
      <c r="I72">
        <f>INDEX(ChLaunch,MATCH(E72,ChName,0))</f>
        <v/>
      </c>
      <c r="J72">
        <f>INDEX(ChWeeksFull,MATCH(E72,ChName,0))</f>
        <v/>
      </c>
      <c r="K72">
        <f>INDEX(ChRamp,MATCH(E72,ChName,0))</f>
        <v/>
      </c>
      <c r="L72" s="45">
        <f>MIN(1,MAX(0,(A72-I72+1)*RampSpeed/J72))</f>
        <v/>
      </c>
      <c r="M72" s="45">
        <f>IF(A72&lt;I72,0,IF(K72="S-curve",L72*L72*(3-2*L72),L72))</f>
        <v/>
      </c>
      <c r="N72" s="45">
        <f>1+(INDEX(SeasonIdx,A72)-1)*SeasonAmp</f>
        <v/>
      </c>
      <c r="O72" s="45">
        <f>IFERROR(INDEX(PSPct,MATCH(E72&amp;"|"&amp;G72,PSKey,0)),0)</f>
        <v/>
      </c>
      <c r="P72" s="46">
        <f>INDEX(ChDoorVel,MATCH(E72,ChName,0))*CalibScalar*(1+VelocityUplift)</f>
        <v/>
      </c>
      <c r="Q72" s="46" t="n">
        <v>0</v>
      </c>
      <c r="R72" s="46">
        <f>P72*O72*M72*N72*H72</f>
        <v/>
      </c>
      <c r="S72" s="46">
        <f>R72*INDEX(FmtCansPerCase,MATCH(F72,FmtName,0))</f>
        <v/>
      </c>
      <c r="T72" s="46">
        <f>S72/INDEX(FmtCansPerPack,MATCH(F72,FmtName,0))</f>
        <v/>
      </c>
      <c r="U72" s="47">
        <f>INDEX(ChBaseCP,MATCH(E72,ChName,0))*(1+INDEX(ProvMod,MATCH(G72,ProvCode,0)))*(1+PriceIndex)</f>
        <v/>
      </c>
      <c r="V72" s="47">
        <f>R72*U72*INDEX(FmtBlendedPriceIdx,MATCH(F72,FmtName,0))</f>
        <v/>
      </c>
      <c r="W72" s="47">
        <f>T72*INDEX(ProvSRP,MATCH(G72,ProvCode,0))*(1+PriceIndex)</f>
        <v/>
      </c>
      <c r="X72" s="47">
        <f>IF(GrossBasis="Wholesale",V72,W72)</f>
        <v/>
      </c>
      <c r="Y72" s="47">
        <f>R72*INDEX(FmtBlendedCogs,MATCH(F72,FmtName,0))</f>
        <v/>
      </c>
      <c r="Z72" s="47">
        <f>X72-Y72</f>
        <v/>
      </c>
    </row>
    <row r="73">
      <c r="A73" t="n">
        <v>19</v>
      </c>
      <c r="B73" s="44">
        <f>FiscalStart+(A73-1)*7</f>
        <v/>
      </c>
      <c r="C73">
        <f>TEXT(B73,"mmm yyyy")</f>
        <v/>
      </c>
      <c r="D73">
        <f>"Q"&amp;(INT((A73-1)/13)+1)</f>
        <v/>
      </c>
      <c r="E73" t="inlineStr">
        <is>
          <t>Convenience</t>
        </is>
      </c>
      <c r="F73">
        <f>IFERROR(INDEX(ChFormat,MATCH(E73,ChName,0)),"")</f>
        <v/>
      </c>
      <c r="G73" t="inlineStr">
        <is>
          <t>AB</t>
        </is>
      </c>
      <c r="H73">
        <f>IF(A73&lt;=NWeeks,1,0)</f>
        <v/>
      </c>
      <c r="I73">
        <f>INDEX(ChLaunch,MATCH(E73,ChName,0))</f>
        <v/>
      </c>
      <c r="J73">
        <f>INDEX(ChWeeksFull,MATCH(E73,ChName,0))</f>
        <v/>
      </c>
      <c r="K73">
        <f>INDEX(ChRamp,MATCH(E73,ChName,0))</f>
        <v/>
      </c>
      <c r="L73" s="45">
        <f>MIN(1,MAX(0,(A73-I73+1)*RampSpeed/J73))</f>
        <v/>
      </c>
      <c r="M73" s="45">
        <f>IF(A73&lt;I73,0,IF(K73="S-curve",L73*L73*(3-2*L73),L73))</f>
        <v/>
      </c>
      <c r="N73" s="45">
        <f>1+(INDEX(SeasonIdx,A73)-1)*SeasonAmp</f>
        <v/>
      </c>
      <c r="O73" s="45">
        <f>IFERROR(INDEX(PSPct,MATCH(E73&amp;"|"&amp;G73,PSKey,0)),0)</f>
        <v/>
      </c>
      <c r="P73" s="46">
        <f>INDEX(ChDoorVel,MATCH(E73,ChName,0))*CalibScalar*(1+VelocityUplift)</f>
        <v/>
      </c>
      <c r="Q73" s="46" t="n">
        <v>0</v>
      </c>
      <c r="R73" s="46">
        <f>P73*O73*M73*N73*H73</f>
        <v/>
      </c>
      <c r="S73" s="46">
        <f>R73*INDEX(FmtCansPerCase,MATCH(F73,FmtName,0))</f>
        <v/>
      </c>
      <c r="T73" s="46">
        <f>S73/INDEX(FmtCansPerPack,MATCH(F73,FmtName,0))</f>
        <v/>
      </c>
      <c r="U73" s="47">
        <f>INDEX(ChBaseCP,MATCH(E73,ChName,0))*(1+INDEX(ProvMod,MATCH(G73,ProvCode,0)))*(1+PriceIndex)</f>
        <v/>
      </c>
      <c r="V73" s="47">
        <f>R73*U73*INDEX(FmtBlendedPriceIdx,MATCH(F73,FmtName,0))</f>
        <v/>
      </c>
      <c r="W73" s="47">
        <f>T73*INDEX(ProvSRP,MATCH(G73,ProvCode,0))*(1+PriceIndex)</f>
        <v/>
      </c>
      <c r="X73" s="47">
        <f>IF(GrossBasis="Wholesale",V73,W73)</f>
        <v/>
      </c>
      <c r="Y73" s="47">
        <f>R73*INDEX(FmtBlendedCogs,MATCH(F73,FmtName,0))</f>
        <v/>
      </c>
      <c r="Z73" s="47">
        <f>X73-Y73</f>
        <v/>
      </c>
    </row>
    <row r="74">
      <c r="A74" t="n">
        <v>20</v>
      </c>
      <c r="B74" s="44">
        <f>FiscalStart+(A74-1)*7</f>
        <v/>
      </c>
      <c r="C74">
        <f>TEXT(B74,"mmm yyyy")</f>
        <v/>
      </c>
      <c r="D74">
        <f>"Q"&amp;(INT((A74-1)/13)+1)</f>
        <v/>
      </c>
      <c r="E74" t="inlineStr">
        <is>
          <t>Convenience</t>
        </is>
      </c>
      <c r="F74">
        <f>IFERROR(INDEX(ChFormat,MATCH(E74,ChName,0)),"")</f>
        <v/>
      </c>
      <c r="G74" t="inlineStr">
        <is>
          <t>AB</t>
        </is>
      </c>
      <c r="H74">
        <f>IF(A74&lt;=NWeeks,1,0)</f>
        <v/>
      </c>
      <c r="I74">
        <f>INDEX(ChLaunch,MATCH(E74,ChName,0))</f>
        <v/>
      </c>
      <c r="J74">
        <f>INDEX(ChWeeksFull,MATCH(E74,ChName,0))</f>
        <v/>
      </c>
      <c r="K74">
        <f>INDEX(ChRamp,MATCH(E74,ChName,0))</f>
        <v/>
      </c>
      <c r="L74" s="45">
        <f>MIN(1,MAX(0,(A74-I74+1)*RampSpeed/J74))</f>
        <v/>
      </c>
      <c r="M74" s="45">
        <f>IF(A74&lt;I74,0,IF(K74="S-curve",L74*L74*(3-2*L74),L74))</f>
        <v/>
      </c>
      <c r="N74" s="45">
        <f>1+(INDEX(SeasonIdx,A74)-1)*SeasonAmp</f>
        <v/>
      </c>
      <c r="O74" s="45">
        <f>IFERROR(INDEX(PSPct,MATCH(E74&amp;"|"&amp;G74,PSKey,0)),0)</f>
        <v/>
      </c>
      <c r="P74" s="46">
        <f>INDEX(ChDoorVel,MATCH(E74,ChName,0))*CalibScalar*(1+VelocityUplift)</f>
        <v/>
      </c>
      <c r="Q74" s="46" t="n">
        <v>0</v>
      </c>
      <c r="R74" s="46">
        <f>P74*O74*M74*N74*H74</f>
        <v/>
      </c>
      <c r="S74" s="46">
        <f>R74*INDEX(FmtCansPerCase,MATCH(F74,FmtName,0))</f>
        <v/>
      </c>
      <c r="T74" s="46">
        <f>S74/INDEX(FmtCansPerPack,MATCH(F74,FmtName,0))</f>
        <v/>
      </c>
      <c r="U74" s="47">
        <f>INDEX(ChBaseCP,MATCH(E74,ChName,0))*(1+INDEX(ProvMod,MATCH(G74,ProvCode,0)))*(1+PriceIndex)</f>
        <v/>
      </c>
      <c r="V74" s="47">
        <f>R74*U74*INDEX(FmtBlendedPriceIdx,MATCH(F74,FmtName,0))</f>
        <v/>
      </c>
      <c r="W74" s="47">
        <f>T74*INDEX(ProvSRP,MATCH(G74,ProvCode,0))*(1+PriceIndex)</f>
        <v/>
      </c>
      <c r="X74" s="47">
        <f>IF(GrossBasis="Wholesale",V74,W74)</f>
        <v/>
      </c>
      <c r="Y74" s="47">
        <f>R74*INDEX(FmtBlendedCogs,MATCH(F74,FmtName,0))</f>
        <v/>
      </c>
      <c r="Z74" s="47">
        <f>X74-Y74</f>
        <v/>
      </c>
    </row>
    <row r="75">
      <c r="A75" t="n">
        <v>21</v>
      </c>
      <c r="B75" s="44">
        <f>FiscalStart+(A75-1)*7</f>
        <v/>
      </c>
      <c r="C75">
        <f>TEXT(B75,"mmm yyyy")</f>
        <v/>
      </c>
      <c r="D75">
        <f>"Q"&amp;(INT((A75-1)/13)+1)</f>
        <v/>
      </c>
      <c r="E75" t="inlineStr">
        <is>
          <t>Convenience</t>
        </is>
      </c>
      <c r="F75">
        <f>IFERROR(INDEX(ChFormat,MATCH(E75,ChName,0)),"")</f>
        <v/>
      </c>
      <c r="G75" t="inlineStr">
        <is>
          <t>AB</t>
        </is>
      </c>
      <c r="H75">
        <f>IF(A75&lt;=NWeeks,1,0)</f>
        <v/>
      </c>
      <c r="I75">
        <f>INDEX(ChLaunch,MATCH(E75,ChName,0))</f>
        <v/>
      </c>
      <c r="J75">
        <f>INDEX(ChWeeksFull,MATCH(E75,ChName,0))</f>
        <v/>
      </c>
      <c r="K75">
        <f>INDEX(ChRamp,MATCH(E75,ChName,0))</f>
        <v/>
      </c>
      <c r="L75" s="45">
        <f>MIN(1,MAX(0,(A75-I75+1)*RampSpeed/J75))</f>
        <v/>
      </c>
      <c r="M75" s="45">
        <f>IF(A75&lt;I75,0,IF(K75="S-curve",L75*L75*(3-2*L75),L75))</f>
        <v/>
      </c>
      <c r="N75" s="45">
        <f>1+(INDEX(SeasonIdx,A75)-1)*SeasonAmp</f>
        <v/>
      </c>
      <c r="O75" s="45">
        <f>IFERROR(INDEX(PSPct,MATCH(E75&amp;"|"&amp;G75,PSKey,0)),0)</f>
        <v/>
      </c>
      <c r="P75" s="46">
        <f>INDEX(ChDoorVel,MATCH(E75,ChName,0))*CalibScalar*(1+VelocityUplift)</f>
        <v/>
      </c>
      <c r="Q75" s="46" t="n">
        <v>0</v>
      </c>
      <c r="R75" s="46">
        <f>P75*O75*M75*N75*H75</f>
        <v/>
      </c>
      <c r="S75" s="46">
        <f>R75*INDEX(FmtCansPerCase,MATCH(F75,FmtName,0))</f>
        <v/>
      </c>
      <c r="T75" s="46">
        <f>S75/INDEX(FmtCansPerPack,MATCH(F75,FmtName,0))</f>
        <v/>
      </c>
      <c r="U75" s="47">
        <f>INDEX(ChBaseCP,MATCH(E75,ChName,0))*(1+INDEX(ProvMod,MATCH(G75,ProvCode,0)))*(1+PriceIndex)</f>
        <v/>
      </c>
      <c r="V75" s="47">
        <f>R75*U75*INDEX(FmtBlendedPriceIdx,MATCH(F75,FmtName,0))</f>
        <v/>
      </c>
      <c r="W75" s="47">
        <f>T75*INDEX(ProvSRP,MATCH(G75,ProvCode,0))*(1+PriceIndex)</f>
        <v/>
      </c>
      <c r="X75" s="47">
        <f>IF(GrossBasis="Wholesale",V75,W75)</f>
        <v/>
      </c>
      <c r="Y75" s="47">
        <f>R75*INDEX(FmtBlendedCogs,MATCH(F75,FmtName,0))</f>
        <v/>
      </c>
      <c r="Z75" s="47">
        <f>X75-Y75</f>
        <v/>
      </c>
    </row>
    <row r="76">
      <c r="A76" t="n">
        <v>22</v>
      </c>
      <c r="B76" s="44">
        <f>FiscalStart+(A76-1)*7</f>
        <v/>
      </c>
      <c r="C76">
        <f>TEXT(B76,"mmm yyyy")</f>
        <v/>
      </c>
      <c r="D76">
        <f>"Q"&amp;(INT((A76-1)/13)+1)</f>
        <v/>
      </c>
      <c r="E76" t="inlineStr">
        <is>
          <t>Convenience</t>
        </is>
      </c>
      <c r="F76">
        <f>IFERROR(INDEX(ChFormat,MATCH(E76,ChName,0)),"")</f>
        <v/>
      </c>
      <c r="G76" t="inlineStr">
        <is>
          <t>AB</t>
        </is>
      </c>
      <c r="H76">
        <f>IF(A76&lt;=NWeeks,1,0)</f>
        <v/>
      </c>
      <c r="I76">
        <f>INDEX(ChLaunch,MATCH(E76,ChName,0))</f>
        <v/>
      </c>
      <c r="J76">
        <f>INDEX(ChWeeksFull,MATCH(E76,ChName,0))</f>
        <v/>
      </c>
      <c r="K76">
        <f>INDEX(ChRamp,MATCH(E76,ChName,0))</f>
        <v/>
      </c>
      <c r="L76" s="45">
        <f>MIN(1,MAX(0,(A76-I76+1)*RampSpeed/J76))</f>
        <v/>
      </c>
      <c r="M76" s="45">
        <f>IF(A76&lt;I76,0,IF(K76="S-curve",L76*L76*(3-2*L76),L76))</f>
        <v/>
      </c>
      <c r="N76" s="45">
        <f>1+(INDEX(SeasonIdx,A76)-1)*SeasonAmp</f>
        <v/>
      </c>
      <c r="O76" s="45">
        <f>IFERROR(INDEX(PSPct,MATCH(E76&amp;"|"&amp;G76,PSKey,0)),0)</f>
        <v/>
      </c>
      <c r="P76" s="46">
        <f>INDEX(ChDoorVel,MATCH(E76,ChName,0))*CalibScalar*(1+VelocityUplift)</f>
        <v/>
      </c>
      <c r="Q76" s="46" t="n">
        <v>0</v>
      </c>
      <c r="R76" s="46">
        <f>P76*O76*M76*N76*H76</f>
        <v/>
      </c>
      <c r="S76" s="46">
        <f>R76*INDEX(FmtCansPerCase,MATCH(F76,FmtName,0))</f>
        <v/>
      </c>
      <c r="T76" s="46">
        <f>S76/INDEX(FmtCansPerPack,MATCH(F76,FmtName,0))</f>
        <v/>
      </c>
      <c r="U76" s="47">
        <f>INDEX(ChBaseCP,MATCH(E76,ChName,0))*(1+INDEX(ProvMod,MATCH(G76,ProvCode,0)))*(1+PriceIndex)</f>
        <v/>
      </c>
      <c r="V76" s="47">
        <f>R76*U76*INDEX(FmtBlendedPriceIdx,MATCH(F76,FmtName,0))</f>
        <v/>
      </c>
      <c r="W76" s="47">
        <f>T76*INDEX(ProvSRP,MATCH(G76,ProvCode,0))*(1+PriceIndex)</f>
        <v/>
      </c>
      <c r="X76" s="47">
        <f>IF(GrossBasis="Wholesale",V76,W76)</f>
        <v/>
      </c>
      <c r="Y76" s="47">
        <f>R76*INDEX(FmtBlendedCogs,MATCH(F76,FmtName,0))</f>
        <v/>
      </c>
      <c r="Z76" s="47">
        <f>X76-Y76</f>
        <v/>
      </c>
    </row>
    <row r="77">
      <c r="A77" t="n">
        <v>23</v>
      </c>
      <c r="B77" s="44">
        <f>FiscalStart+(A77-1)*7</f>
        <v/>
      </c>
      <c r="C77">
        <f>TEXT(B77,"mmm yyyy")</f>
        <v/>
      </c>
      <c r="D77">
        <f>"Q"&amp;(INT((A77-1)/13)+1)</f>
        <v/>
      </c>
      <c r="E77" t="inlineStr">
        <is>
          <t>Convenience</t>
        </is>
      </c>
      <c r="F77">
        <f>IFERROR(INDEX(ChFormat,MATCH(E77,ChName,0)),"")</f>
        <v/>
      </c>
      <c r="G77" t="inlineStr">
        <is>
          <t>AB</t>
        </is>
      </c>
      <c r="H77">
        <f>IF(A77&lt;=NWeeks,1,0)</f>
        <v/>
      </c>
      <c r="I77">
        <f>INDEX(ChLaunch,MATCH(E77,ChName,0))</f>
        <v/>
      </c>
      <c r="J77">
        <f>INDEX(ChWeeksFull,MATCH(E77,ChName,0))</f>
        <v/>
      </c>
      <c r="K77">
        <f>INDEX(ChRamp,MATCH(E77,ChName,0))</f>
        <v/>
      </c>
      <c r="L77" s="45">
        <f>MIN(1,MAX(0,(A77-I77+1)*RampSpeed/J77))</f>
        <v/>
      </c>
      <c r="M77" s="45">
        <f>IF(A77&lt;I77,0,IF(K77="S-curve",L77*L77*(3-2*L77),L77))</f>
        <v/>
      </c>
      <c r="N77" s="45">
        <f>1+(INDEX(SeasonIdx,A77)-1)*SeasonAmp</f>
        <v/>
      </c>
      <c r="O77" s="45">
        <f>IFERROR(INDEX(PSPct,MATCH(E77&amp;"|"&amp;G77,PSKey,0)),0)</f>
        <v/>
      </c>
      <c r="P77" s="46">
        <f>INDEX(ChDoorVel,MATCH(E77,ChName,0))*CalibScalar*(1+VelocityUplift)</f>
        <v/>
      </c>
      <c r="Q77" s="46" t="n">
        <v>0</v>
      </c>
      <c r="R77" s="46">
        <f>P77*O77*M77*N77*H77</f>
        <v/>
      </c>
      <c r="S77" s="46">
        <f>R77*INDEX(FmtCansPerCase,MATCH(F77,FmtName,0))</f>
        <v/>
      </c>
      <c r="T77" s="46">
        <f>S77/INDEX(FmtCansPerPack,MATCH(F77,FmtName,0))</f>
        <v/>
      </c>
      <c r="U77" s="47">
        <f>INDEX(ChBaseCP,MATCH(E77,ChName,0))*(1+INDEX(ProvMod,MATCH(G77,ProvCode,0)))*(1+PriceIndex)</f>
        <v/>
      </c>
      <c r="V77" s="47">
        <f>R77*U77*INDEX(FmtBlendedPriceIdx,MATCH(F77,FmtName,0))</f>
        <v/>
      </c>
      <c r="W77" s="47">
        <f>T77*INDEX(ProvSRP,MATCH(G77,ProvCode,0))*(1+PriceIndex)</f>
        <v/>
      </c>
      <c r="X77" s="47">
        <f>IF(GrossBasis="Wholesale",V77,W77)</f>
        <v/>
      </c>
      <c r="Y77" s="47">
        <f>R77*INDEX(FmtBlendedCogs,MATCH(F77,FmtName,0))</f>
        <v/>
      </c>
      <c r="Z77" s="47">
        <f>X77-Y77</f>
        <v/>
      </c>
    </row>
    <row r="78">
      <c r="A78" t="n">
        <v>24</v>
      </c>
      <c r="B78" s="44">
        <f>FiscalStart+(A78-1)*7</f>
        <v/>
      </c>
      <c r="C78">
        <f>TEXT(B78,"mmm yyyy")</f>
        <v/>
      </c>
      <c r="D78">
        <f>"Q"&amp;(INT((A78-1)/13)+1)</f>
        <v/>
      </c>
      <c r="E78" t="inlineStr">
        <is>
          <t>Convenience</t>
        </is>
      </c>
      <c r="F78">
        <f>IFERROR(INDEX(ChFormat,MATCH(E78,ChName,0)),"")</f>
        <v/>
      </c>
      <c r="G78" t="inlineStr">
        <is>
          <t>AB</t>
        </is>
      </c>
      <c r="H78">
        <f>IF(A78&lt;=NWeeks,1,0)</f>
        <v/>
      </c>
      <c r="I78">
        <f>INDEX(ChLaunch,MATCH(E78,ChName,0))</f>
        <v/>
      </c>
      <c r="J78">
        <f>INDEX(ChWeeksFull,MATCH(E78,ChName,0))</f>
        <v/>
      </c>
      <c r="K78">
        <f>INDEX(ChRamp,MATCH(E78,ChName,0))</f>
        <v/>
      </c>
      <c r="L78" s="45">
        <f>MIN(1,MAX(0,(A78-I78+1)*RampSpeed/J78))</f>
        <v/>
      </c>
      <c r="M78" s="45">
        <f>IF(A78&lt;I78,0,IF(K78="S-curve",L78*L78*(3-2*L78),L78))</f>
        <v/>
      </c>
      <c r="N78" s="45">
        <f>1+(INDEX(SeasonIdx,A78)-1)*SeasonAmp</f>
        <v/>
      </c>
      <c r="O78" s="45">
        <f>IFERROR(INDEX(PSPct,MATCH(E78&amp;"|"&amp;G78,PSKey,0)),0)</f>
        <v/>
      </c>
      <c r="P78" s="46">
        <f>INDEX(ChDoorVel,MATCH(E78,ChName,0))*CalibScalar*(1+VelocityUplift)</f>
        <v/>
      </c>
      <c r="Q78" s="46" t="n">
        <v>0</v>
      </c>
      <c r="R78" s="46">
        <f>P78*O78*M78*N78*H78</f>
        <v/>
      </c>
      <c r="S78" s="46">
        <f>R78*INDEX(FmtCansPerCase,MATCH(F78,FmtName,0))</f>
        <v/>
      </c>
      <c r="T78" s="46">
        <f>S78/INDEX(FmtCansPerPack,MATCH(F78,FmtName,0))</f>
        <v/>
      </c>
      <c r="U78" s="47">
        <f>INDEX(ChBaseCP,MATCH(E78,ChName,0))*(1+INDEX(ProvMod,MATCH(G78,ProvCode,0)))*(1+PriceIndex)</f>
        <v/>
      </c>
      <c r="V78" s="47">
        <f>R78*U78*INDEX(FmtBlendedPriceIdx,MATCH(F78,FmtName,0))</f>
        <v/>
      </c>
      <c r="W78" s="47">
        <f>T78*INDEX(ProvSRP,MATCH(G78,ProvCode,0))*(1+PriceIndex)</f>
        <v/>
      </c>
      <c r="X78" s="47">
        <f>IF(GrossBasis="Wholesale",V78,W78)</f>
        <v/>
      </c>
      <c r="Y78" s="47">
        <f>R78*INDEX(FmtBlendedCogs,MATCH(F78,FmtName,0))</f>
        <v/>
      </c>
      <c r="Z78" s="47">
        <f>X78-Y78</f>
        <v/>
      </c>
    </row>
    <row r="79">
      <c r="A79" t="n">
        <v>25</v>
      </c>
      <c r="B79" s="44">
        <f>FiscalStart+(A79-1)*7</f>
        <v/>
      </c>
      <c r="C79">
        <f>TEXT(B79,"mmm yyyy")</f>
        <v/>
      </c>
      <c r="D79">
        <f>"Q"&amp;(INT((A79-1)/13)+1)</f>
        <v/>
      </c>
      <c r="E79" t="inlineStr">
        <is>
          <t>Convenience</t>
        </is>
      </c>
      <c r="F79">
        <f>IFERROR(INDEX(ChFormat,MATCH(E79,ChName,0)),"")</f>
        <v/>
      </c>
      <c r="G79" t="inlineStr">
        <is>
          <t>AB</t>
        </is>
      </c>
      <c r="H79">
        <f>IF(A79&lt;=NWeeks,1,0)</f>
        <v/>
      </c>
      <c r="I79">
        <f>INDEX(ChLaunch,MATCH(E79,ChName,0))</f>
        <v/>
      </c>
      <c r="J79">
        <f>INDEX(ChWeeksFull,MATCH(E79,ChName,0))</f>
        <v/>
      </c>
      <c r="K79">
        <f>INDEX(ChRamp,MATCH(E79,ChName,0))</f>
        <v/>
      </c>
      <c r="L79" s="45">
        <f>MIN(1,MAX(0,(A79-I79+1)*RampSpeed/J79))</f>
        <v/>
      </c>
      <c r="M79" s="45">
        <f>IF(A79&lt;I79,0,IF(K79="S-curve",L79*L79*(3-2*L79),L79))</f>
        <v/>
      </c>
      <c r="N79" s="45">
        <f>1+(INDEX(SeasonIdx,A79)-1)*SeasonAmp</f>
        <v/>
      </c>
      <c r="O79" s="45">
        <f>IFERROR(INDEX(PSPct,MATCH(E79&amp;"|"&amp;G79,PSKey,0)),0)</f>
        <v/>
      </c>
      <c r="P79" s="46">
        <f>INDEX(ChDoorVel,MATCH(E79,ChName,0))*CalibScalar*(1+VelocityUplift)</f>
        <v/>
      </c>
      <c r="Q79" s="46" t="n">
        <v>0</v>
      </c>
      <c r="R79" s="46">
        <f>P79*O79*M79*N79*H79</f>
        <v/>
      </c>
      <c r="S79" s="46">
        <f>R79*INDEX(FmtCansPerCase,MATCH(F79,FmtName,0))</f>
        <v/>
      </c>
      <c r="T79" s="46">
        <f>S79/INDEX(FmtCansPerPack,MATCH(F79,FmtName,0))</f>
        <v/>
      </c>
      <c r="U79" s="47">
        <f>INDEX(ChBaseCP,MATCH(E79,ChName,0))*(1+INDEX(ProvMod,MATCH(G79,ProvCode,0)))*(1+PriceIndex)</f>
        <v/>
      </c>
      <c r="V79" s="47">
        <f>R79*U79*INDEX(FmtBlendedPriceIdx,MATCH(F79,FmtName,0))</f>
        <v/>
      </c>
      <c r="W79" s="47">
        <f>T79*INDEX(ProvSRP,MATCH(G79,ProvCode,0))*(1+PriceIndex)</f>
        <v/>
      </c>
      <c r="X79" s="47">
        <f>IF(GrossBasis="Wholesale",V79,W79)</f>
        <v/>
      </c>
      <c r="Y79" s="47">
        <f>R79*INDEX(FmtBlendedCogs,MATCH(F79,FmtName,0))</f>
        <v/>
      </c>
      <c r="Z79" s="47">
        <f>X79-Y79</f>
        <v/>
      </c>
    </row>
    <row r="80">
      <c r="A80" t="n">
        <v>26</v>
      </c>
      <c r="B80" s="44">
        <f>FiscalStart+(A80-1)*7</f>
        <v/>
      </c>
      <c r="C80">
        <f>TEXT(B80,"mmm yyyy")</f>
        <v/>
      </c>
      <c r="D80">
        <f>"Q"&amp;(INT((A80-1)/13)+1)</f>
        <v/>
      </c>
      <c r="E80" t="inlineStr">
        <is>
          <t>Convenience</t>
        </is>
      </c>
      <c r="F80">
        <f>IFERROR(INDEX(ChFormat,MATCH(E80,ChName,0)),"")</f>
        <v/>
      </c>
      <c r="G80" t="inlineStr">
        <is>
          <t>AB</t>
        </is>
      </c>
      <c r="H80">
        <f>IF(A80&lt;=NWeeks,1,0)</f>
        <v/>
      </c>
      <c r="I80">
        <f>INDEX(ChLaunch,MATCH(E80,ChName,0))</f>
        <v/>
      </c>
      <c r="J80">
        <f>INDEX(ChWeeksFull,MATCH(E80,ChName,0))</f>
        <v/>
      </c>
      <c r="K80">
        <f>INDEX(ChRamp,MATCH(E80,ChName,0))</f>
        <v/>
      </c>
      <c r="L80" s="45">
        <f>MIN(1,MAX(0,(A80-I80+1)*RampSpeed/J80))</f>
        <v/>
      </c>
      <c r="M80" s="45">
        <f>IF(A80&lt;I80,0,IF(K80="S-curve",L80*L80*(3-2*L80),L80))</f>
        <v/>
      </c>
      <c r="N80" s="45">
        <f>1+(INDEX(SeasonIdx,A80)-1)*SeasonAmp</f>
        <v/>
      </c>
      <c r="O80" s="45">
        <f>IFERROR(INDEX(PSPct,MATCH(E80&amp;"|"&amp;G80,PSKey,0)),0)</f>
        <v/>
      </c>
      <c r="P80" s="46">
        <f>INDEX(ChDoorVel,MATCH(E80,ChName,0))*CalibScalar*(1+VelocityUplift)</f>
        <v/>
      </c>
      <c r="Q80" s="46" t="n">
        <v>0</v>
      </c>
      <c r="R80" s="46">
        <f>P80*O80*M80*N80*H80</f>
        <v/>
      </c>
      <c r="S80" s="46">
        <f>R80*INDEX(FmtCansPerCase,MATCH(F80,FmtName,0))</f>
        <v/>
      </c>
      <c r="T80" s="46">
        <f>S80/INDEX(FmtCansPerPack,MATCH(F80,FmtName,0))</f>
        <v/>
      </c>
      <c r="U80" s="47">
        <f>INDEX(ChBaseCP,MATCH(E80,ChName,0))*(1+INDEX(ProvMod,MATCH(G80,ProvCode,0)))*(1+PriceIndex)</f>
        <v/>
      </c>
      <c r="V80" s="47">
        <f>R80*U80*INDEX(FmtBlendedPriceIdx,MATCH(F80,FmtName,0))</f>
        <v/>
      </c>
      <c r="W80" s="47">
        <f>T80*INDEX(ProvSRP,MATCH(G80,ProvCode,0))*(1+PriceIndex)</f>
        <v/>
      </c>
      <c r="X80" s="47">
        <f>IF(GrossBasis="Wholesale",V80,W80)</f>
        <v/>
      </c>
      <c r="Y80" s="47">
        <f>R80*INDEX(FmtBlendedCogs,MATCH(F80,FmtName,0))</f>
        <v/>
      </c>
      <c r="Z80" s="47">
        <f>X80-Y80</f>
        <v/>
      </c>
    </row>
    <row r="81">
      <c r="A81" t="n">
        <v>27</v>
      </c>
      <c r="B81" s="44">
        <f>FiscalStart+(A81-1)*7</f>
        <v/>
      </c>
      <c r="C81">
        <f>TEXT(B81,"mmm yyyy")</f>
        <v/>
      </c>
      <c r="D81">
        <f>"Q"&amp;(INT((A81-1)/13)+1)</f>
        <v/>
      </c>
      <c r="E81" t="inlineStr">
        <is>
          <t>Convenience</t>
        </is>
      </c>
      <c r="F81">
        <f>IFERROR(INDEX(ChFormat,MATCH(E81,ChName,0)),"")</f>
        <v/>
      </c>
      <c r="G81" t="inlineStr">
        <is>
          <t>AB</t>
        </is>
      </c>
      <c r="H81">
        <f>IF(A81&lt;=NWeeks,1,0)</f>
        <v/>
      </c>
      <c r="I81">
        <f>INDEX(ChLaunch,MATCH(E81,ChName,0))</f>
        <v/>
      </c>
      <c r="J81">
        <f>INDEX(ChWeeksFull,MATCH(E81,ChName,0))</f>
        <v/>
      </c>
      <c r="K81">
        <f>INDEX(ChRamp,MATCH(E81,ChName,0))</f>
        <v/>
      </c>
      <c r="L81" s="45">
        <f>MIN(1,MAX(0,(A81-I81+1)*RampSpeed/J81))</f>
        <v/>
      </c>
      <c r="M81" s="45">
        <f>IF(A81&lt;I81,0,IF(K81="S-curve",L81*L81*(3-2*L81),L81))</f>
        <v/>
      </c>
      <c r="N81" s="45">
        <f>1+(INDEX(SeasonIdx,A81)-1)*SeasonAmp</f>
        <v/>
      </c>
      <c r="O81" s="45">
        <f>IFERROR(INDEX(PSPct,MATCH(E81&amp;"|"&amp;G81,PSKey,0)),0)</f>
        <v/>
      </c>
      <c r="P81" s="46">
        <f>INDEX(ChDoorVel,MATCH(E81,ChName,0))*CalibScalar*(1+VelocityUplift)</f>
        <v/>
      </c>
      <c r="Q81" s="46" t="n">
        <v>0</v>
      </c>
      <c r="R81" s="46">
        <f>P81*O81*M81*N81*H81</f>
        <v/>
      </c>
      <c r="S81" s="46">
        <f>R81*INDEX(FmtCansPerCase,MATCH(F81,FmtName,0))</f>
        <v/>
      </c>
      <c r="T81" s="46">
        <f>S81/INDEX(FmtCansPerPack,MATCH(F81,FmtName,0))</f>
        <v/>
      </c>
      <c r="U81" s="47">
        <f>INDEX(ChBaseCP,MATCH(E81,ChName,0))*(1+INDEX(ProvMod,MATCH(G81,ProvCode,0)))*(1+PriceIndex)</f>
        <v/>
      </c>
      <c r="V81" s="47">
        <f>R81*U81*INDEX(FmtBlendedPriceIdx,MATCH(F81,FmtName,0))</f>
        <v/>
      </c>
      <c r="W81" s="47">
        <f>T81*INDEX(ProvSRP,MATCH(G81,ProvCode,0))*(1+PriceIndex)</f>
        <v/>
      </c>
      <c r="X81" s="47">
        <f>IF(GrossBasis="Wholesale",V81,W81)</f>
        <v/>
      </c>
      <c r="Y81" s="47">
        <f>R81*INDEX(FmtBlendedCogs,MATCH(F81,FmtName,0))</f>
        <v/>
      </c>
      <c r="Z81" s="47">
        <f>X81-Y81</f>
        <v/>
      </c>
    </row>
    <row r="82">
      <c r="A82" t="n">
        <v>28</v>
      </c>
      <c r="B82" s="44">
        <f>FiscalStart+(A82-1)*7</f>
        <v/>
      </c>
      <c r="C82">
        <f>TEXT(B82,"mmm yyyy")</f>
        <v/>
      </c>
      <c r="D82">
        <f>"Q"&amp;(INT((A82-1)/13)+1)</f>
        <v/>
      </c>
      <c r="E82" t="inlineStr">
        <is>
          <t>Convenience</t>
        </is>
      </c>
      <c r="F82">
        <f>IFERROR(INDEX(ChFormat,MATCH(E82,ChName,0)),"")</f>
        <v/>
      </c>
      <c r="G82" t="inlineStr">
        <is>
          <t>AB</t>
        </is>
      </c>
      <c r="H82">
        <f>IF(A82&lt;=NWeeks,1,0)</f>
        <v/>
      </c>
      <c r="I82">
        <f>INDEX(ChLaunch,MATCH(E82,ChName,0))</f>
        <v/>
      </c>
      <c r="J82">
        <f>INDEX(ChWeeksFull,MATCH(E82,ChName,0))</f>
        <v/>
      </c>
      <c r="K82">
        <f>INDEX(ChRamp,MATCH(E82,ChName,0))</f>
        <v/>
      </c>
      <c r="L82" s="45">
        <f>MIN(1,MAX(0,(A82-I82+1)*RampSpeed/J82))</f>
        <v/>
      </c>
      <c r="M82" s="45">
        <f>IF(A82&lt;I82,0,IF(K82="S-curve",L82*L82*(3-2*L82),L82))</f>
        <v/>
      </c>
      <c r="N82" s="45">
        <f>1+(INDEX(SeasonIdx,A82)-1)*SeasonAmp</f>
        <v/>
      </c>
      <c r="O82" s="45">
        <f>IFERROR(INDEX(PSPct,MATCH(E82&amp;"|"&amp;G82,PSKey,0)),0)</f>
        <v/>
      </c>
      <c r="P82" s="46">
        <f>INDEX(ChDoorVel,MATCH(E82,ChName,0))*CalibScalar*(1+VelocityUplift)</f>
        <v/>
      </c>
      <c r="Q82" s="46" t="n">
        <v>0</v>
      </c>
      <c r="R82" s="46">
        <f>P82*O82*M82*N82*H82</f>
        <v/>
      </c>
      <c r="S82" s="46">
        <f>R82*INDEX(FmtCansPerCase,MATCH(F82,FmtName,0))</f>
        <v/>
      </c>
      <c r="T82" s="46">
        <f>S82/INDEX(FmtCansPerPack,MATCH(F82,FmtName,0))</f>
        <v/>
      </c>
      <c r="U82" s="47">
        <f>INDEX(ChBaseCP,MATCH(E82,ChName,0))*(1+INDEX(ProvMod,MATCH(G82,ProvCode,0)))*(1+PriceIndex)</f>
        <v/>
      </c>
      <c r="V82" s="47">
        <f>R82*U82*INDEX(FmtBlendedPriceIdx,MATCH(F82,FmtName,0))</f>
        <v/>
      </c>
      <c r="W82" s="47">
        <f>T82*INDEX(ProvSRP,MATCH(G82,ProvCode,0))*(1+PriceIndex)</f>
        <v/>
      </c>
      <c r="X82" s="47">
        <f>IF(GrossBasis="Wholesale",V82,W82)</f>
        <v/>
      </c>
      <c r="Y82" s="47">
        <f>R82*INDEX(FmtBlendedCogs,MATCH(F82,FmtName,0))</f>
        <v/>
      </c>
      <c r="Z82" s="47">
        <f>X82-Y82</f>
        <v/>
      </c>
    </row>
    <row r="83">
      <c r="A83" t="n">
        <v>29</v>
      </c>
      <c r="B83" s="44">
        <f>FiscalStart+(A83-1)*7</f>
        <v/>
      </c>
      <c r="C83">
        <f>TEXT(B83,"mmm yyyy")</f>
        <v/>
      </c>
      <c r="D83">
        <f>"Q"&amp;(INT((A83-1)/13)+1)</f>
        <v/>
      </c>
      <c r="E83" t="inlineStr">
        <is>
          <t>Convenience</t>
        </is>
      </c>
      <c r="F83">
        <f>IFERROR(INDEX(ChFormat,MATCH(E83,ChName,0)),"")</f>
        <v/>
      </c>
      <c r="G83" t="inlineStr">
        <is>
          <t>AB</t>
        </is>
      </c>
      <c r="H83">
        <f>IF(A83&lt;=NWeeks,1,0)</f>
        <v/>
      </c>
      <c r="I83">
        <f>INDEX(ChLaunch,MATCH(E83,ChName,0))</f>
        <v/>
      </c>
      <c r="J83">
        <f>INDEX(ChWeeksFull,MATCH(E83,ChName,0))</f>
        <v/>
      </c>
      <c r="K83">
        <f>INDEX(ChRamp,MATCH(E83,ChName,0))</f>
        <v/>
      </c>
      <c r="L83" s="45">
        <f>MIN(1,MAX(0,(A83-I83+1)*RampSpeed/J83))</f>
        <v/>
      </c>
      <c r="M83" s="45">
        <f>IF(A83&lt;I83,0,IF(K83="S-curve",L83*L83*(3-2*L83),L83))</f>
        <v/>
      </c>
      <c r="N83" s="45">
        <f>1+(INDEX(SeasonIdx,A83)-1)*SeasonAmp</f>
        <v/>
      </c>
      <c r="O83" s="45">
        <f>IFERROR(INDEX(PSPct,MATCH(E83&amp;"|"&amp;G83,PSKey,0)),0)</f>
        <v/>
      </c>
      <c r="P83" s="46">
        <f>INDEX(ChDoorVel,MATCH(E83,ChName,0))*CalibScalar*(1+VelocityUplift)</f>
        <v/>
      </c>
      <c r="Q83" s="46" t="n">
        <v>0</v>
      </c>
      <c r="R83" s="46">
        <f>P83*O83*M83*N83*H83</f>
        <v/>
      </c>
      <c r="S83" s="46">
        <f>R83*INDEX(FmtCansPerCase,MATCH(F83,FmtName,0))</f>
        <v/>
      </c>
      <c r="T83" s="46">
        <f>S83/INDEX(FmtCansPerPack,MATCH(F83,FmtName,0))</f>
        <v/>
      </c>
      <c r="U83" s="47">
        <f>INDEX(ChBaseCP,MATCH(E83,ChName,0))*(1+INDEX(ProvMod,MATCH(G83,ProvCode,0)))*(1+PriceIndex)</f>
        <v/>
      </c>
      <c r="V83" s="47">
        <f>R83*U83*INDEX(FmtBlendedPriceIdx,MATCH(F83,FmtName,0))</f>
        <v/>
      </c>
      <c r="W83" s="47">
        <f>T83*INDEX(ProvSRP,MATCH(G83,ProvCode,0))*(1+PriceIndex)</f>
        <v/>
      </c>
      <c r="X83" s="47">
        <f>IF(GrossBasis="Wholesale",V83,W83)</f>
        <v/>
      </c>
      <c r="Y83" s="47">
        <f>R83*INDEX(FmtBlendedCogs,MATCH(F83,FmtName,0))</f>
        <v/>
      </c>
      <c r="Z83" s="47">
        <f>X83-Y83</f>
        <v/>
      </c>
    </row>
    <row r="84">
      <c r="A84" t="n">
        <v>30</v>
      </c>
      <c r="B84" s="44">
        <f>FiscalStart+(A84-1)*7</f>
        <v/>
      </c>
      <c r="C84">
        <f>TEXT(B84,"mmm yyyy")</f>
        <v/>
      </c>
      <c r="D84">
        <f>"Q"&amp;(INT((A84-1)/13)+1)</f>
        <v/>
      </c>
      <c r="E84" t="inlineStr">
        <is>
          <t>Convenience</t>
        </is>
      </c>
      <c r="F84">
        <f>IFERROR(INDEX(ChFormat,MATCH(E84,ChName,0)),"")</f>
        <v/>
      </c>
      <c r="G84" t="inlineStr">
        <is>
          <t>AB</t>
        </is>
      </c>
      <c r="H84">
        <f>IF(A84&lt;=NWeeks,1,0)</f>
        <v/>
      </c>
      <c r="I84">
        <f>INDEX(ChLaunch,MATCH(E84,ChName,0))</f>
        <v/>
      </c>
      <c r="J84">
        <f>INDEX(ChWeeksFull,MATCH(E84,ChName,0))</f>
        <v/>
      </c>
      <c r="K84">
        <f>INDEX(ChRamp,MATCH(E84,ChName,0))</f>
        <v/>
      </c>
      <c r="L84" s="45">
        <f>MIN(1,MAX(0,(A84-I84+1)*RampSpeed/J84))</f>
        <v/>
      </c>
      <c r="M84" s="45">
        <f>IF(A84&lt;I84,0,IF(K84="S-curve",L84*L84*(3-2*L84),L84))</f>
        <v/>
      </c>
      <c r="N84" s="45">
        <f>1+(INDEX(SeasonIdx,A84)-1)*SeasonAmp</f>
        <v/>
      </c>
      <c r="O84" s="45">
        <f>IFERROR(INDEX(PSPct,MATCH(E84&amp;"|"&amp;G84,PSKey,0)),0)</f>
        <v/>
      </c>
      <c r="P84" s="46">
        <f>INDEX(ChDoorVel,MATCH(E84,ChName,0))*CalibScalar*(1+VelocityUplift)</f>
        <v/>
      </c>
      <c r="Q84" s="46" t="n">
        <v>0</v>
      </c>
      <c r="R84" s="46">
        <f>P84*O84*M84*N84*H84</f>
        <v/>
      </c>
      <c r="S84" s="46">
        <f>R84*INDEX(FmtCansPerCase,MATCH(F84,FmtName,0))</f>
        <v/>
      </c>
      <c r="T84" s="46">
        <f>S84/INDEX(FmtCansPerPack,MATCH(F84,FmtName,0))</f>
        <v/>
      </c>
      <c r="U84" s="47">
        <f>INDEX(ChBaseCP,MATCH(E84,ChName,0))*(1+INDEX(ProvMod,MATCH(G84,ProvCode,0)))*(1+PriceIndex)</f>
        <v/>
      </c>
      <c r="V84" s="47">
        <f>R84*U84*INDEX(FmtBlendedPriceIdx,MATCH(F84,FmtName,0))</f>
        <v/>
      </c>
      <c r="W84" s="47">
        <f>T84*INDEX(ProvSRP,MATCH(G84,ProvCode,0))*(1+PriceIndex)</f>
        <v/>
      </c>
      <c r="X84" s="47">
        <f>IF(GrossBasis="Wholesale",V84,W84)</f>
        <v/>
      </c>
      <c r="Y84" s="47">
        <f>R84*INDEX(FmtBlendedCogs,MATCH(F84,FmtName,0))</f>
        <v/>
      </c>
      <c r="Z84" s="47">
        <f>X84-Y84</f>
        <v/>
      </c>
    </row>
    <row r="85">
      <c r="A85" t="n">
        <v>31</v>
      </c>
      <c r="B85" s="44">
        <f>FiscalStart+(A85-1)*7</f>
        <v/>
      </c>
      <c r="C85">
        <f>TEXT(B85,"mmm yyyy")</f>
        <v/>
      </c>
      <c r="D85">
        <f>"Q"&amp;(INT((A85-1)/13)+1)</f>
        <v/>
      </c>
      <c r="E85" t="inlineStr">
        <is>
          <t>Convenience</t>
        </is>
      </c>
      <c r="F85">
        <f>IFERROR(INDEX(ChFormat,MATCH(E85,ChName,0)),"")</f>
        <v/>
      </c>
      <c r="G85" t="inlineStr">
        <is>
          <t>AB</t>
        </is>
      </c>
      <c r="H85">
        <f>IF(A85&lt;=NWeeks,1,0)</f>
        <v/>
      </c>
      <c r="I85">
        <f>INDEX(ChLaunch,MATCH(E85,ChName,0))</f>
        <v/>
      </c>
      <c r="J85">
        <f>INDEX(ChWeeksFull,MATCH(E85,ChName,0))</f>
        <v/>
      </c>
      <c r="K85">
        <f>INDEX(ChRamp,MATCH(E85,ChName,0))</f>
        <v/>
      </c>
      <c r="L85" s="45">
        <f>MIN(1,MAX(0,(A85-I85+1)*RampSpeed/J85))</f>
        <v/>
      </c>
      <c r="M85" s="45">
        <f>IF(A85&lt;I85,0,IF(K85="S-curve",L85*L85*(3-2*L85),L85))</f>
        <v/>
      </c>
      <c r="N85" s="45">
        <f>1+(INDEX(SeasonIdx,A85)-1)*SeasonAmp</f>
        <v/>
      </c>
      <c r="O85" s="45">
        <f>IFERROR(INDEX(PSPct,MATCH(E85&amp;"|"&amp;G85,PSKey,0)),0)</f>
        <v/>
      </c>
      <c r="P85" s="46">
        <f>INDEX(ChDoorVel,MATCH(E85,ChName,0))*CalibScalar*(1+VelocityUplift)</f>
        <v/>
      </c>
      <c r="Q85" s="46" t="n">
        <v>0</v>
      </c>
      <c r="R85" s="46">
        <f>P85*O85*M85*N85*H85</f>
        <v/>
      </c>
      <c r="S85" s="46">
        <f>R85*INDEX(FmtCansPerCase,MATCH(F85,FmtName,0))</f>
        <v/>
      </c>
      <c r="T85" s="46">
        <f>S85/INDEX(FmtCansPerPack,MATCH(F85,FmtName,0))</f>
        <v/>
      </c>
      <c r="U85" s="47">
        <f>INDEX(ChBaseCP,MATCH(E85,ChName,0))*(1+INDEX(ProvMod,MATCH(G85,ProvCode,0)))*(1+PriceIndex)</f>
        <v/>
      </c>
      <c r="V85" s="47">
        <f>R85*U85*INDEX(FmtBlendedPriceIdx,MATCH(F85,FmtName,0))</f>
        <v/>
      </c>
      <c r="W85" s="47">
        <f>T85*INDEX(ProvSRP,MATCH(G85,ProvCode,0))*(1+PriceIndex)</f>
        <v/>
      </c>
      <c r="X85" s="47">
        <f>IF(GrossBasis="Wholesale",V85,W85)</f>
        <v/>
      </c>
      <c r="Y85" s="47">
        <f>R85*INDEX(FmtBlendedCogs,MATCH(F85,FmtName,0))</f>
        <v/>
      </c>
      <c r="Z85" s="47">
        <f>X85-Y85</f>
        <v/>
      </c>
    </row>
    <row r="86">
      <c r="A86" t="n">
        <v>32</v>
      </c>
      <c r="B86" s="44">
        <f>FiscalStart+(A86-1)*7</f>
        <v/>
      </c>
      <c r="C86">
        <f>TEXT(B86,"mmm yyyy")</f>
        <v/>
      </c>
      <c r="D86">
        <f>"Q"&amp;(INT((A86-1)/13)+1)</f>
        <v/>
      </c>
      <c r="E86" t="inlineStr">
        <is>
          <t>Convenience</t>
        </is>
      </c>
      <c r="F86">
        <f>IFERROR(INDEX(ChFormat,MATCH(E86,ChName,0)),"")</f>
        <v/>
      </c>
      <c r="G86" t="inlineStr">
        <is>
          <t>AB</t>
        </is>
      </c>
      <c r="H86">
        <f>IF(A86&lt;=NWeeks,1,0)</f>
        <v/>
      </c>
      <c r="I86">
        <f>INDEX(ChLaunch,MATCH(E86,ChName,0))</f>
        <v/>
      </c>
      <c r="J86">
        <f>INDEX(ChWeeksFull,MATCH(E86,ChName,0))</f>
        <v/>
      </c>
      <c r="K86">
        <f>INDEX(ChRamp,MATCH(E86,ChName,0))</f>
        <v/>
      </c>
      <c r="L86" s="45">
        <f>MIN(1,MAX(0,(A86-I86+1)*RampSpeed/J86))</f>
        <v/>
      </c>
      <c r="M86" s="45">
        <f>IF(A86&lt;I86,0,IF(K86="S-curve",L86*L86*(3-2*L86),L86))</f>
        <v/>
      </c>
      <c r="N86" s="45">
        <f>1+(INDEX(SeasonIdx,A86)-1)*SeasonAmp</f>
        <v/>
      </c>
      <c r="O86" s="45">
        <f>IFERROR(INDEX(PSPct,MATCH(E86&amp;"|"&amp;G86,PSKey,0)),0)</f>
        <v/>
      </c>
      <c r="P86" s="46">
        <f>INDEX(ChDoorVel,MATCH(E86,ChName,0))*CalibScalar*(1+VelocityUplift)</f>
        <v/>
      </c>
      <c r="Q86" s="46" t="n">
        <v>0</v>
      </c>
      <c r="R86" s="46">
        <f>P86*O86*M86*N86*H86</f>
        <v/>
      </c>
      <c r="S86" s="46">
        <f>R86*INDEX(FmtCansPerCase,MATCH(F86,FmtName,0))</f>
        <v/>
      </c>
      <c r="T86" s="46">
        <f>S86/INDEX(FmtCansPerPack,MATCH(F86,FmtName,0))</f>
        <v/>
      </c>
      <c r="U86" s="47">
        <f>INDEX(ChBaseCP,MATCH(E86,ChName,0))*(1+INDEX(ProvMod,MATCH(G86,ProvCode,0)))*(1+PriceIndex)</f>
        <v/>
      </c>
      <c r="V86" s="47">
        <f>R86*U86*INDEX(FmtBlendedPriceIdx,MATCH(F86,FmtName,0))</f>
        <v/>
      </c>
      <c r="W86" s="47">
        <f>T86*INDEX(ProvSRP,MATCH(G86,ProvCode,0))*(1+PriceIndex)</f>
        <v/>
      </c>
      <c r="X86" s="47">
        <f>IF(GrossBasis="Wholesale",V86,W86)</f>
        <v/>
      </c>
      <c r="Y86" s="47">
        <f>R86*INDEX(FmtBlendedCogs,MATCH(F86,FmtName,0))</f>
        <v/>
      </c>
      <c r="Z86" s="47">
        <f>X86-Y86</f>
        <v/>
      </c>
    </row>
    <row r="87">
      <c r="A87" t="n">
        <v>33</v>
      </c>
      <c r="B87" s="44">
        <f>FiscalStart+(A87-1)*7</f>
        <v/>
      </c>
      <c r="C87">
        <f>TEXT(B87,"mmm yyyy")</f>
        <v/>
      </c>
      <c r="D87">
        <f>"Q"&amp;(INT((A87-1)/13)+1)</f>
        <v/>
      </c>
      <c r="E87" t="inlineStr">
        <is>
          <t>Convenience</t>
        </is>
      </c>
      <c r="F87">
        <f>IFERROR(INDEX(ChFormat,MATCH(E87,ChName,0)),"")</f>
        <v/>
      </c>
      <c r="G87" t="inlineStr">
        <is>
          <t>AB</t>
        </is>
      </c>
      <c r="H87">
        <f>IF(A87&lt;=NWeeks,1,0)</f>
        <v/>
      </c>
      <c r="I87">
        <f>INDEX(ChLaunch,MATCH(E87,ChName,0))</f>
        <v/>
      </c>
      <c r="J87">
        <f>INDEX(ChWeeksFull,MATCH(E87,ChName,0))</f>
        <v/>
      </c>
      <c r="K87">
        <f>INDEX(ChRamp,MATCH(E87,ChName,0))</f>
        <v/>
      </c>
      <c r="L87" s="45">
        <f>MIN(1,MAX(0,(A87-I87+1)*RampSpeed/J87))</f>
        <v/>
      </c>
      <c r="M87" s="45">
        <f>IF(A87&lt;I87,0,IF(K87="S-curve",L87*L87*(3-2*L87),L87))</f>
        <v/>
      </c>
      <c r="N87" s="45">
        <f>1+(INDEX(SeasonIdx,A87)-1)*SeasonAmp</f>
        <v/>
      </c>
      <c r="O87" s="45">
        <f>IFERROR(INDEX(PSPct,MATCH(E87&amp;"|"&amp;G87,PSKey,0)),0)</f>
        <v/>
      </c>
      <c r="P87" s="46">
        <f>INDEX(ChDoorVel,MATCH(E87,ChName,0))*CalibScalar*(1+VelocityUplift)</f>
        <v/>
      </c>
      <c r="Q87" s="46" t="n">
        <v>0</v>
      </c>
      <c r="R87" s="46">
        <f>P87*O87*M87*N87*H87</f>
        <v/>
      </c>
      <c r="S87" s="46">
        <f>R87*INDEX(FmtCansPerCase,MATCH(F87,FmtName,0))</f>
        <v/>
      </c>
      <c r="T87" s="46">
        <f>S87/INDEX(FmtCansPerPack,MATCH(F87,FmtName,0))</f>
        <v/>
      </c>
      <c r="U87" s="47">
        <f>INDEX(ChBaseCP,MATCH(E87,ChName,0))*(1+INDEX(ProvMod,MATCH(G87,ProvCode,0)))*(1+PriceIndex)</f>
        <v/>
      </c>
      <c r="V87" s="47">
        <f>R87*U87*INDEX(FmtBlendedPriceIdx,MATCH(F87,FmtName,0))</f>
        <v/>
      </c>
      <c r="W87" s="47">
        <f>T87*INDEX(ProvSRP,MATCH(G87,ProvCode,0))*(1+PriceIndex)</f>
        <v/>
      </c>
      <c r="X87" s="47">
        <f>IF(GrossBasis="Wholesale",V87,W87)</f>
        <v/>
      </c>
      <c r="Y87" s="47">
        <f>R87*INDEX(FmtBlendedCogs,MATCH(F87,FmtName,0))</f>
        <v/>
      </c>
      <c r="Z87" s="47">
        <f>X87-Y87</f>
        <v/>
      </c>
    </row>
    <row r="88">
      <c r="A88" t="n">
        <v>34</v>
      </c>
      <c r="B88" s="44">
        <f>FiscalStart+(A88-1)*7</f>
        <v/>
      </c>
      <c r="C88">
        <f>TEXT(B88,"mmm yyyy")</f>
        <v/>
      </c>
      <c r="D88">
        <f>"Q"&amp;(INT((A88-1)/13)+1)</f>
        <v/>
      </c>
      <c r="E88" t="inlineStr">
        <is>
          <t>Convenience</t>
        </is>
      </c>
      <c r="F88">
        <f>IFERROR(INDEX(ChFormat,MATCH(E88,ChName,0)),"")</f>
        <v/>
      </c>
      <c r="G88" t="inlineStr">
        <is>
          <t>AB</t>
        </is>
      </c>
      <c r="H88">
        <f>IF(A88&lt;=NWeeks,1,0)</f>
        <v/>
      </c>
      <c r="I88">
        <f>INDEX(ChLaunch,MATCH(E88,ChName,0))</f>
        <v/>
      </c>
      <c r="J88">
        <f>INDEX(ChWeeksFull,MATCH(E88,ChName,0))</f>
        <v/>
      </c>
      <c r="K88">
        <f>INDEX(ChRamp,MATCH(E88,ChName,0))</f>
        <v/>
      </c>
      <c r="L88" s="45">
        <f>MIN(1,MAX(0,(A88-I88+1)*RampSpeed/J88))</f>
        <v/>
      </c>
      <c r="M88" s="45">
        <f>IF(A88&lt;I88,0,IF(K88="S-curve",L88*L88*(3-2*L88),L88))</f>
        <v/>
      </c>
      <c r="N88" s="45">
        <f>1+(INDEX(SeasonIdx,A88)-1)*SeasonAmp</f>
        <v/>
      </c>
      <c r="O88" s="45">
        <f>IFERROR(INDEX(PSPct,MATCH(E88&amp;"|"&amp;G88,PSKey,0)),0)</f>
        <v/>
      </c>
      <c r="P88" s="46">
        <f>INDEX(ChDoorVel,MATCH(E88,ChName,0))*CalibScalar*(1+VelocityUplift)</f>
        <v/>
      </c>
      <c r="Q88" s="46" t="n">
        <v>0</v>
      </c>
      <c r="R88" s="46">
        <f>P88*O88*M88*N88*H88</f>
        <v/>
      </c>
      <c r="S88" s="46">
        <f>R88*INDEX(FmtCansPerCase,MATCH(F88,FmtName,0))</f>
        <v/>
      </c>
      <c r="T88" s="46">
        <f>S88/INDEX(FmtCansPerPack,MATCH(F88,FmtName,0))</f>
        <v/>
      </c>
      <c r="U88" s="47">
        <f>INDEX(ChBaseCP,MATCH(E88,ChName,0))*(1+INDEX(ProvMod,MATCH(G88,ProvCode,0)))*(1+PriceIndex)</f>
        <v/>
      </c>
      <c r="V88" s="47">
        <f>R88*U88*INDEX(FmtBlendedPriceIdx,MATCH(F88,FmtName,0))</f>
        <v/>
      </c>
      <c r="W88" s="47">
        <f>T88*INDEX(ProvSRP,MATCH(G88,ProvCode,0))*(1+PriceIndex)</f>
        <v/>
      </c>
      <c r="X88" s="47">
        <f>IF(GrossBasis="Wholesale",V88,W88)</f>
        <v/>
      </c>
      <c r="Y88" s="47">
        <f>R88*INDEX(FmtBlendedCogs,MATCH(F88,FmtName,0))</f>
        <v/>
      </c>
      <c r="Z88" s="47">
        <f>X88-Y88</f>
        <v/>
      </c>
    </row>
    <row r="89">
      <c r="A89" t="n">
        <v>35</v>
      </c>
      <c r="B89" s="44">
        <f>FiscalStart+(A89-1)*7</f>
        <v/>
      </c>
      <c r="C89">
        <f>TEXT(B89,"mmm yyyy")</f>
        <v/>
      </c>
      <c r="D89">
        <f>"Q"&amp;(INT((A89-1)/13)+1)</f>
        <v/>
      </c>
      <c r="E89" t="inlineStr">
        <is>
          <t>Convenience</t>
        </is>
      </c>
      <c r="F89">
        <f>IFERROR(INDEX(ChFormat,MATCH(E89,ChName,0)),"")</f>
        <v/>
      </c>
      <c r="G89" t="inlineStr">
        <is>
          <t>AB</t>
        </is>
      </c>
      <c r="H89">
        <f>IF(A89&lt;=NWeeks,1,0)</f>
        <v/>
      </c>
      <c r="I89">
        <f>INDEX(ChLaunch,MATCH(E89,ChName,0))</f>
        <v/>
      </c>
      <c r="J89">
        <f>INDEX(ChWeeksFull,MATCH(E89,ChName,0))</f>
        <v/>
      </c>
      <c r="K89">
        <f>INDEX(ChRamp,MATCH(E89,ChName,0))</f>
        <v/>
      </c>
      <c r="L89" s="45">
        <f>MIN(1,MAX(0,(A89-I89+1)*RampSpeed/J89))</f>
        <v/>
      </c>
      <c r="M89" s="45">
        <f>IF(A89&lt;I89,0,IF(K89="S-curve",L89*L89*(3-2*L89),L89))</f>
        <v/>
      </c>
      <c r="N89" s="45">
        <f>1+(INDEX(SeasonIdx,A89)-1)*SeasonAmp</f>
        <v/>
      </c>
      <c r="O89" s="45">
        <f>IFERROR(INDEX(PSPct,MATCH(E89&amp;"|"&amp;G89,PSKey,0)),0)</f>
        <v/>
      </c>
      <c r="P89" s="46">
        <f>INDEX(ChDoorVel,MATCH(E89,ChName,0))*CalibScalar*(1+VelocityUplift)</f>
        <v/>
      </c>
      <c r="Q89" s="46" t="n">
        <v>0</v>
      </c>
      <c r="R89" s="46">
        <f>P89*O89*M89*N89*H89</f>
        <v/>
      </c>
      <c r="S89" s="46">
        <f>R89*INDEX(FmtCansPerCase,MATCH(F89,FmtName,0))</f>
        <v/>
      </c>
      <c r="T89" s="46">
        <f>S89/INDEX(FmtCansPerPack,MATCH(F89,FmtName,0))</f>
        <v/>
      </c>
      <c r="U89" s="47">
        <f>INDEX(ChBaseCP,MATCH(E89,ChName,0))*(1+INDEX(ProvMod,MATCH(G89,ProvCode,0)))*(1+PriceIndex)</f>
        <v/>
      </c>
      <c r="V89" s="47">
        <f>R89*U89*INDEX(FmtBlendedPriceIdx,MATCH(F89,FmtName,0))</f>
        <v/>
      </c>
      <c r="W89" s="47">
        <f>T89*INDEX(ProvSRP,MATCH(G89,ProvCode,0))*(1+PriceIndex)</f>
        <v/>
      </c>
      <c r="X89" s="47">
        <f>IF(GrossBasis="Wholesale",V89,W89)</f>
        <v/>
      </c>
      <c r="Y89" s="47">
        <f>R89*INDEX(FmtBlendedCogs,MATCH(F89,FmtName,0))</f>
        <v/>
      </c>
      <c r="Z89" s="47">
        <f>X89-Y89</f>
        <v/>
      </c>
    </row>
    <row r="90">
      <c r="A90" t="n">
        <v>36</v>
      </c>
      <c r="B90" s="44">
        <f>FiscalStart+(A90-1)*7</f>
        <v/>
      </c>
      <c r="C90">
        <f>TEXT(B90,"mmm yyyy")</f>
        <v/>
      </c>
      <c r="D90">
        <f>"Q"&amp;(INT((A90-1)/13)+1)</f>
        <v/>
      </c>
      <c r="E90" t="inlineStr">
        <is>
          <t>Convenience</t>
        </is>
      </c>
      <c r="F90">
        <f>IFERROR(INDEX(ChFormat,MATCH(E90,ChName,0)),"")</f>
        <v/>
      </c>
      <c r="G90" t="inlineStr">
        <is>
          <t>AB</t>
        </is>
      </c>
      <c r="H90">
        <f>IF(A90&lt;=NWeeks,1,0)</f>
        <v/>
      </c>
      <c r="I90">
        <f>INDEX(ChLaunch,MATCH(E90,ChName,0))</f>
        <v/>
      </c>
      <c r="J90">
        <f>INDEX(ChWeeksFull,MATCH(E90,ChName,0))</f>
        <v/>
      </c>
      <c r="K90">
        <f>INDEX(ChRamp,MATCH(E90,ChName,0))</f>
        <v/>
      </c>
      <c r="L90" s="45">
        <f>MIN(1,MAX(0,(A90-I90+1)*RampSpeed/J90))</f>
        <v/>
      </c>
      <c r="M90" s="45">
        <f>IF(A90&lt;I90,0,IF(K90="S-curve",L90*L90*(3-2*L90),L90))</f>
        <v/>
      </c>
      <c r="N90" s="45">
        <f>1+(INDEX(SeasonIdx,A90)-1)*SeasonAmp</f>
        <v/>
      </c>
      <c r="O90" s="45">
        <f>IFERROR(INDEX(PSPct,MATCH(E90&amp;"|"&amp;G90,PSKey,0)),0)</f>
        <v/>
      </c>
      <c r="P90" s="46">
        <f>INDEX(ChDoorVel,MATCH(E90,ChName,0))*CalibScalar*(1+VelocityUplift)</f>
        <v/>
      </c>
      <c r="Q90" s="46" t="n">
        <v>0</v>
      </c>
      <c r="R90" s="46">
        <f>P90*O90*M90*N90*H90</f>
        <v/>
      </c>
      <c r="S90" s="46">
        <f>R90*INDEX(FmtCansPerCase,MATCH(F90,FmtName,0))</f>
        <v/>
      </c>
      <c r="T90" s="46">
        <f>S90/INDEX(FmtCansPerPack,MATCH(F90,FmtName,0))</f>
        <v/>
      </c>
      <c r="U90" s="47">
        <f>INDEX(ChBaseCP,MATCH(E90,ChName,0))*(1+INDEX(ProvMod,MATCH(G90,ProvCode,0)))*(1+PriceIndex)</f>
        <v/>
      </c>
      <c r="V90" s="47">
        <f>R90*U90*INDEX(FmtBlendedPriceIdx,MATCH(F90,FmtName,0))</f>
        <v/>
      </c>
      <c r="W90" s="47">
        <f>T90*INDEX(ProvSRP,MATCH(G90,ProvCode,0))*(1+PriceIndex)</f>
        <v/>
      </c>
      <c r="X90" s="47">
        <f>IF(GrossBasis="Wholesale",V90,W90)</f>
        <v/>
      </c>
      <c r="Y90" s="47">
        <f>R90*INDEX(FmtBlendedCogs,MATCH(F90,FmtName,0))</f>
        <v/>
      </c>
      <c r="Z90" s="47">
        <f>X90-Y90</f>
        <v/>
      </c>
    </row>
    <row r="91">
      <c r="A91" t="n">
        <v>37</v>
      </c>
      <c r="B91" s="44">
        <f>FiscalStart+(A91-1)*7</f>
        <v/>
      </c>
      <c r="C91">
        <f>TEXT(B91,"mmm yyyy")</f>
        <v/>
      </c>
      <c r="D91">
        <f>"Q"&amp;(INT((A91-1)/13)+1)</f>
        <v/>
      </c>
      <c r="E91" t="inlineStr">
        <is>
          <t>Convenience</t>
        </is>
      </c>
      <c r="F91">
        <f>IFERROR(INDEX(ChFormat,MATCH(E91,ChName,0)),"")</f>
        <v/>
      </c>
      <c r="G91" t="inlineStr">
        <is>
          <t>AB</t>
        </is>
      </c>
      <c r="H91">
        <f>IF(A91&lt;=NWeeks,1,0)</f>
        <v/>
      </c>
      <c r="I91">
        <f>INDEX(ChLaunch,MATCH(E91,ChName,0))</f>
        <v/>
      </c>
      <c r="J91">
        <f>INDEX(ChWeeksFull,MATCH(E91,ChName,0))</f>
        <v/>
      </c>
      <c r="K91">
        <f>INDEX(ChRamp,MATCH(E91,ChName,0))</f>
        <v/>
      </c>
      <c r="L91" s="45">
        <f>MIN(1,MAX(0,(A91-I91+1)*RampSpeed/J91))</f>
        <v/>
      </c>
      <c r="M91" s="45">
        <f>IF(A91&lt;I91,0,IF(K91="S-curve",L91*L91*(3-2*L91),L91))</f>
        <v/>
      </c>
      <c r="N91" s="45">
        <f>1+(INDEX(SeasonIdx,A91)-1)*SeasonAmp</f>
        <v/>
      </c>
      <c r="O91" s="45">
        <f>IFERROR(INDEX(PSPct,MATCH(E91&amp;"|"&amp;G91,PSKey,0)),0)</f>
        <v/>
      </c>
      <c r="P91" s="46">
        <f>INDEX(ChDoorVel,MATCH(E91,ChName,0))*CalibScalar*(1+VelocityUplift)</f>
        <v/>
      </c>
      <c r="Q91" s="46" t="n">
        <v>0</v>
      </c>
      <c r="R91" s="46">
        <f>P91*O91*M91*N91*H91</f>
        <v/>
      </c>
      <c r="S91" s="46">
        <f>R91*INDEX(FmtCansPerCase,MATCH(F91,FmtName,0))</f>
        <v/>
      </c>
      <c r="T91" s="46">
        <f>S91/INDEX(FmtCansPerPack,MATCH(F91,FmtName,0))</f>
        <v/>
      </c>
      <c r="U91" s="47">
        <f>INDEX(ChBaseCP,MATCH(E91,ChName,0))*(1+INDEX(ProvMod,MATCH(G91,ProvCode,0)))*(1+PriceIndex)</f>
        <v/>
      </c>
      <c r="V91" s="47">
        <f>R91*U91*INDEX(FmtBlendedPriceIdx,MATCH(F91,FmtName,0))</f>
        <v/>
      </c>
      <c r="W91" s="47">
        <f>T91*INDEX(ProvSRP,MATCH(G91,ProvCode,0))*(1+PriceIndex)</f>
        <v/>
      </c>
      <c r="X91" s="47">
        <f>IF(GrossBasis="Wholesale",V91,W91)</f>
        <v/>
      </c>
      <c r="Y91" s="47">
        <f>R91*INDEX(FmtBlendedCogs,MATCH(F91,FmtName,0))</f>
        <v/>
      </c>
      <c r="Z91" s="47">
        <f>X91-Y91</f>
        <v/>
      </c>
    </row>
    <row r="92">
      <c r="A92" t="n">
        <v>38</v>
      </c>
      <c r="B92" s="44">
        <f>FiscalStart+(A92-1)*7</f>
        <v/>
      </c>
      <c r="C92">
        <f>TEXT(B92,"mmm yyyy")</f>
        <v/>
      </c>
      <c r="D92">
        <f>"Q"&amp;(INT((A92-1)/13)+1)</f>
        <v/>
      </c>
      <c r="E92" t="inlineStr">
        <is>
          <t>Convenience</t>
        </is>
      </c>
      <c r="F92">
        <f>IFERROR(INDEX(ChFormat,MATCH(E92,ChName,0)),"")</f>
        <v/>
      </c>
      <c r="G92" t="inlineStr">
        <is>
          <t>AB</t>
        </is>
      </c>
      <c r="H92">
        <f>IF(A92&lt;=NWeeks,1,0)</f>
        <v/>
      </c>
      <c r="I92">
        <f>INDEX(ChLaunch,MATCH(E92,ChName,0))</f>
        <v/>
      </c>
      <c r="J92">
        <f>INDEX(ChWeeksFull,MATCH(E92,ChName,0))</f>
        <v/>
      </c>
      <c r="K92">
        <f>INDEX(ChRamp,MATCH(E92,ChName,0))</f>
        <v/>
      </c>
      <c r="L92" s="45">
        <f>MIN(1,MAX(0,(A92-I92+1)*RampSpeed/J92))</f>
        <v/>
      </c>
      <c r="M92" s="45">
        <f>IF(A92&lt;I92,0,IF(K92="S-curve",L92*L92*(3-2*L92),L92))</f>
        <v/>
      </c>
      <c r="N92" s="45">
        <f>1+(INDEX(SeasonIdx,A92)-1)*SeasonAmp</f>
        <v/>
      </c>
      <c r="O92" s="45">
        <f>IFERROR(INDEX(PSPct,MATCH(E92&amp;"|"&amp;G92,PSKey,0)),0)</f>
        <v/>
      </c>
      <c r="P92" s="46">
        <f>INDEX(ChDoorVel,MATCH(E92,ChName,0))*CalibScalar*(1+VelocityUplift)</f>
        <v/>
      </c>
      <c r="Q92" s="46" t="n">
        <v>0</v>
      </c>
      <c r="R92" s="46">
        <f>P92*O92*M92*N92*H92</f>
        <v/>
      </c>
      <c r="S92" s="46">
        <f>R92*INDEX(FmtCansPerCase,MATCH(F92,FmtName,0))</f>
        <v/>
      </c>
      <c r="T92" s="46">
        <f>S92/INDEX(FmtCansPerPack,MATCH(F92,FmtName,0))</f>
        <v/>
      </c>
      <c r="U92" s="47">
        <f>INDEX(ChBaseCP,MATCH(E92,ChName,0))*(1+INDEX(ProvMod,MATCH(G92,ProvCode,0)))*(1+PriceIndex)</f>
        <v/>
      </c>
      <c r="V92" s="47">
        <f>R92*U92*INDEX(FmtBlendedPriceIdx,MATCH(F92,FmtName,0))</f>
        <v/>
      </c>
      <c r="W92" s="47">
        <f>T92*INDEX(ProvSRP,MATCH(G92,ProvCode,0))*(1+PriceIndex)</f>
        <v/>
      </c>
      <c r="X92" s="47">
        <f>IF(GrossBasis="Wholesale",V92,W92)</f>
        <v/>
      </c>
      <c r="Y92" s="47">
        <f>R92*INDEX(FmtBlendedCogs,MATCH(F92,FmtName,0))</f>
        <v/>
      </c>
      <c r="Z92" s="47">
        <f>X92-Y92</f>
        <v/>
      </c>
    </row>
    <row r="93">
      <c r="A93" t="n">
        <v>39</v>
      </c>
      <c r="B93" s="44">
        <f>FiscalStart+(A93-1)*7</f>
        <v/>
      </c>
      <c r="C93">
        <f>TEXT(B93,"mmm yyyy")</f>
        <v/>
      </c>
      <c r="D93">
        <f>"Q"&amp;(INT((A93-1)/13)+1)</f>
        <v/>
      </c>
      <c r="E93" t="inlineStr">
        <is>
          <t>Convenience</t>
        </is>
      </c>
      <c r="F93">
        <f>IFERROR(INDEX(ChFormat,MATCH(E93,ChName,0)),"")</f>
        <v/>
      </c>
      <c r="G93" t="inlineStr">
        <is>
          <t>AB</t>
        </is>
      </c>
      <c r="H93">
        <f>IF(A93&lt;=NWeeks,1,0)</f>
        <v/>
      </c>
      <c r="I93">
        <f>INDEX(ChLaunch,MATCH(E93,ChName,0))</f>
        <v/>
      </c>
      <c r="J93">
        <f>INDEX(ChWeeksFull,MATCH(E93,ChName,0))</f>
        <v/>
      </c>
      <c r="K93">
        <f>INDEX(ChRamp,MATCH(E93,ChName,0))</f>
        <v/>
      </c>
      <c r="L93" s="45">
        <f>MIN(1,MAX(0,(A93-I93+1)*RampSpeed/J93))</f>
        <v/>
      </c>
      <c r="M93" s="45">
        <f>IF(A93&lt;I93,0,IF(K93="S-curve",L93*L93*(3-2*L93),L93))</f>
        <v/>
      </c>
      <c r="N93" s="45">
        <f>1+(INDEX(SeasonIdx,A93)-1)*SeasonAmp</f>
        <v/>
      </c>
      <c r="O93" s="45">
        <f>IFERROR(INDEX(PSPct,MATCH(E93&amp;"|"&amp;G93,PSKey,0)),0)</f>
        <v/>
      </c>
      <c r="P93" s="46">
        <f>INDEX(ChDoorVel,MATCH(E93,ChName,0))*CalibScalar*(1+VelocityUplift)</f>
        <v/>
      </c>
      <c r="Q93" s="46" t="n">
        <v>0</v>
      </c>
      <c r="R93" s="46">
        <f>P93*O93*M93*N93*H93</f>
        <v/>
      </c>
      <c r="S93" s="46">
        <f>R93*INDEX(FmtCansPerCase,MATCH(F93,FmtName,0))</f>
        <v/>
      </c>
      <c r="T93" s="46">
        <f>S93/INDEX(FmtCansPerPack,MATCH(F93,FmtName,0))</f>
        <v/>
      </c>
      <c r="U93" s="47">
        <f>INDEX(ChBaseCP,MATCH(E93,ChName,0))*(1+INDEX(ProvMod,MATCH(G93,ProvCode,0)))*(1+PriceIndex)</f>
        <v/>
      </c>
      <c r="V93" s="47">
        <f>R93*U93*INDEX(FmtBlendedPriceIdx,MATCH(F93,FmtName,0))</f>
        <v/>
      </c>
      <c r="W93" s="47">
        <f>T93*INDEX(ProvSRP,MATCH(G93,ProvCode,0))*(1+PriceIndex)</f>
        <v/>
      </c>
      <c r="X93" s="47">
        <f>IF(GrossBasis="Wholesale",V93,W93)</f>
        <v/>
      </c>
      <c r="Y93" s="47">
        <f>R93*INDEX(FmtBlendedCogs,MATCH(F93,FmtName,0))</f>
        <v/>
      </c>
      <c r="Z93" s="47">
        <f>X93-Y93</f>
        <v/>
      </c>
    </row>
    <row r="94">
      <c r="A94" t="n">
        <v>40</v>
      </c>
      <c r="B94" s="44">
        <f>FiscalStart+(A94-1)*7</f>
        <v/>
      </c>
      <c r="C94">
        <f>TEXT(B94,"mmm yyyy")</f>
        <v/>
      </c>
      <c r="D94">
        <f>"Q"&amp;(INT((A94-1)/13)+1)</f>
        <v/>
      </c>
      <c r="E94" t="inlineStr">
        <is>
          <t>Convenience</t>
        </is>
      </c>
      <c r="F94">
        <f>IFERROR(INDEX(ChFormat,MATCH(E94,ChName,0)),"")</f>
        <v/>
      </c>
      <c r="G94" t="inlineStr">
        <is>
          <t>AB</t>
        </is>
      </c>
      <c r="H94">
        <f>IF(A94&lt;=NWeeks,1,0)</f>
        <v/>
      </c>
      <c r="I94">
        <f>INDEX(ChLaunch,MATCH(E94,ChName,0))</f>
        <v/>
      </c>
      <c r="J94">
        <f>INDEX(ChWeeksFull,MATCH(E94,ChName,0))</f>
        <v/>
      </c>
      <c r="K94">
        <f>INDEX(ChRamp,MATCH(E94,ChName,0))</f>
        <v/>
      </c>
      <c r="L94" s="45">
        <f>MIN(1,MAX(0,(A94-I94+1)*RampSpeed/J94))</f>
        <v/>
      </c>
      <c r="M94" s="45">
        <f>IF(A94&lt;I94,0,IF(K94="S-curve",L94*L94*(3-2*L94),L94))</f>
        <v/>
      </c>
      <c r="N94" s="45">
        <f>1+(INDEX(SeasonIdx,A94)-1)*SeasonAmp</f>
        <v/>
      </c>
      <c r="O94" s="45">
        <f>IFERROR(INDEX(PSPct,MATCH(E94&amp;"|"&amp;G94,PSKey,0)),0)</f>
        <v/>
      </c>
      <c r="P94" s="46">
        <f>INDEX(ChDoorVel,MATCH(E94,ChName,0))*CalibScalar*(1+VelocityUplift)</f>
        <v/>
      </c>
      <c r="Q94" s="46" t="n">
        <v>0</v>
      </c>
      <c r="R94" s="46">
        <f>P94*O94*M94*N94*H94</f>
        <v/>
      </c>
      <c r="S94" s="46">
        <f>R94*INDEX(FmtCansPerCase,MATCH(F94,FmtName,0))</f>
        <v/>
      </c>
      <c r="T94" s="46">
        <f>S94/INDEX(FmtCansPerPack,MATCH(F94,FmtName,0))</f>
        <v/>
      </c>
      <c r="U94" s="47">
        <f>INDEX(ChBaseCP,MATCH(E94,ChName,0))*(1+INDEX(ProvMod,MATCH(G94,ProvCode,0)))*(1+PriceIndex)</f>
        <v/>
      </c>
      <c r="V94" s="47">
        <f>R94*U94*INDEX(FmtBlendedPriceIdx,MATCH(F94,FmtName,0))</f>
        <v/>
      </c>
      <c r="W94" s="47">
        <f>T94*INDEX(ProvSRP,MATCH(G94,ProvCode,0))*(1+PriceIndex)</f>
        <v/>
      </c>
      <c r="X94" s="47">
        <f>IF(GrossBasis="Wholesale",V94,W94)</f>
        <v/>
      </c>
      <c r="Y94" s="47">
        <f>R94*INDEX(FmtBlendedCogs,MATCH(F94,FmtName,0))</f>
        <v/>
      </c>
      <c r="Z94" s="47">
        <f>X94-Y94</f>
        <v/>
      </c>
    </row>
    <row r="95">
      <c r="A95" t="n">
        <v>41</v>
      </c>
      <c r="B95" s="44">
        <f>FiscalStart+(A95-1)*7</f>
        <v/>
      </c>
      <c r="C95">
        <f>TEXT(B95,"mmm yyyy")</f>
        <v/>
      </c>
      <c r="D95">
        <f>"Q"&amp;(INT((A95-1)/13)+1)</f>
        <v/>
      </c>
      <c r="E95" t="inlineStr">
        <is>
          <t>Convenience</t>
        </is>
      </c>
      <c r="F95">
        <f>IFERROR(INDEX(ChFormat,MATCH(E95,ChName,0)),"")</f>
        <v/>
      </c>
      <c r="G95" t="inlineStr">
        <is>
          <t>AB</t>
        </is>
      </c>
      <c r="H95">
        <f>IF(A95&lt;=NWeeks,1,0)</f>
        <v/>
      </c>
      <c r="I95">
        <f>INDEX(ChLaunch,MATCH(E95,ChName,0))</f>
        <v/>
      </c>
      <c r="J95">
        <f>INDEX(ChWeeksFull,MATCH(E95,ChName,0))</f>
        <v/>
      </c>
      <c r="K95">
        <f>INDEX(ChRamp,MATCH(E95,ChName,0))</f>
        <v/>
      </c>
      <c r="L95" s="45">
        <f>MIN(1,MAX(0,(A95-I95+1)*RampSpeed/J95))</f>
        <v/>
      </c>
      <c r="M95" s="45">
        <f>IF(A95&lt;I95,0,IF(K95="S-curve",L95*L95*(3-2*L95),L95))</f>
        <v/>
      </c>
      <c r="N95" s="45">
        <f>1+(INDEX(SeasonIdx,A95)-1)*SeasonAmp</f>
        <v/>
      </c>
      <c r="O95" s="45">
        <f>IFERROR(INDEX(PSPct,MATCH(E95&amp;"|"&amp;G95,PSKey,0)),0)</f>
        <v/>
      </c>
      <c r="P95" s="46">
        <f>INDEX(ChDoorVel,MATCH(E95,ChName,0))*CalibScalar*(1+VelocityUplift)</f>
        <v/>
      </c>
      <c r="Q95" s="46" t="n">
        <v>0</v>
      </c>
      <c r="R95" s="46">
        <f>P95*O95*M95*N95*H95</f>
        <v/>
      </c>
      <c r="S95" s="46">
        <f>R95*INDEX(FmtCansPerCase,MATCH(F95,FmtName,0))</f>
        <v/>
      </c>
      <c r="T95" s="46">
        <f>S95/INDEX(FmtCansPerPack,MATCH(F95,FmtName,0))</f>
        <v/>
      </c>
      <c r="U95" s="47">
        <f>INDEX(ChBaseCP,MATCH(E95,ChName,0))*(1+INDEX(ProvMod,MATCH(G95,ProvCode,0)))*(1+PriceIndex)</f>
        <v/>
      </c>
      <c r="V95" s="47">
        <f>R95*U95*INDEX(FmtBlendedPriceIdx,MATCH(F95,FmtName,0))</f>
        <v/>
      </c>
      <c r="W95" s="47">
        <f>T95*INDEX(ProvSRP,MATCH(G95,ProvCode,0))*(1+PriceIndex)</f>
        <v/>
      </c>
      <c r="X95" s="47">
        <f>IF(GrossBasis="Wholesale",V95,W95)</f>
        <v/>
      </c>
      <c r="Y95" s="47">
        <f>R95*INDEX(FmtBlendedCogs,MATCH(F95,FmtName,0))</f>
        <v/>
      </c>
      <c r="Z95" s="47">
        <f>X95-Y95</f>
        <v/>
      </c>
    </row>
    <row r="96">
      <c r="A96" t="n">
        <v>42</v>
      </c>
      <c r="B96" s="44">
        <f>FiscalStart+(A96-1)*7</f>
        <v/>
      </c>
      <c r="C96">
        <f>TEXT(B96,"mmm yyyy")</f>
        <v/>
      </c>
      <c r="D96">
        <f>"Q"&amp;(INT((A96-1)/13)+1)</f>
        <v/>
      </c>
      <c r="E96" t="inlineStr">
        <is>
          <t>Convenience</t>
        </is>
      </c>
      <c r="F96">
        <f>IFERROR(INDEX(ChFormat,MATCH(E96,ChName,0)),"")</f>
        <v/>
      </c>
      <c r="G96" t="inlineStr">
        <is>
          <t>AB</t>
        </is>
      </c>
      <c r="H96">
        <f>IF(A96&lt;=NWeeks,1,0)</f>
        <v/>
      </c>
      <c r="I96">
        <f>INDEX(ChLaunch,MATCH(E96,ChName,0))</f>
        <v/>
      </c>
      <c r="J96">
        <f>INDEX(ChWeeksFull,MATCH(E96,ChName,0))</f>
        <v/>
      </c>
      <c r="K96">
        <f>INDEX(ChRamp,MATCH(E96,ChName,0))</f>
        <v/>
      </c>
      <c r="L96" s="45">
        <f>MIN(1,MAX(0,(A96-I96+1)*RampSpeed/J96))</f>
        <v/>
      </c>
      <c r="M96" s="45">
        <f>IF(A96&lt;I96,0,IF(K96="S-curve",L96*L96*(3-2*L96),L96))</f>
        <v/>
      </c>
      <c r="N96" s="45">
        <f>1+(INDEX(SeasonIdx,A96)-1)*SeasonAmp</f>
        <v/>
      </c>
      <c r="O96" s="45">
        <f>IFERROR(INDEX(PSPct,MATCH(E96&amp;"|"&amp;G96,PSKey,0)),0)</f>
        <v/>
      </c>
      <c r="P96" s="46">
        <f>INDEX(ChDoorVel,MATCH(E96,ChName,0))*CalibScalar*(1+VelocityUplift)</f>
        <v/>
      </c>
      <c r="Q96" s="46" t="n">
        <v>0</v>
      </c>
      <c r="R96" s="46">
        <f>P96*O96*M96*N96*H96</f>
        <v/>
      </c>
      <c r="S96" s="46">
        <f>R96*INDEX(FmtCansPerCase,MATCH(F96,FmtName,0))</f>
        <v/>
      </c>
      <c r="T96" s="46">
        <f>S96/INDEX(FmtCansPerPack,MATCH(F96,FmtName,0))</f>
        <v/>
      </c>
      <c r="U96" s="47">
        <f>INDEX(ChBaseCP,MATCH(E96,ChName,0))*(1+INDEX(ProvMod,MATCH(G96,ProvCode,0)))*(1+PriceIndex)</f>
        <v/>
      </c>
      <c r="V96" s="47">
        <f>R96*U96*INDEX(FmtBlendedPriceIdx,MATCH(F96,FmtName,0))</f>
        <v/>
      </c>
      <c r="W96" s="47">
        <f>T96*INDEX(ProvSRP,MATCH(G96,ProvCode,0))*(1+PriceIndex)</f>
        <v/>
      </c>
      <c r="X96" s="47">
        <f>IF(GrossBasis="Wholesale",V96,W96)</f>
        <v/>
      </c>
      <c r="Y96" s="47">
        <f>R96*INDEX(FmtBlendedCogs,MATCH(F96,FmtName,0))</f>
        <v/>
      </c>
      <c r="Z96" s="47">
        <f>X96-Y96</f>
        <v/>
      </c>
    </row>
    <row r="97">
      <c r="A97" t="n">
        <v>43</v>
      </c>
      <c r="B97" s="44">
        <f>FiscalStart+(A97-1)*7</f>
        <v/>
      </c>
      <c r="C97">
        <f>TEXT(B97,"mmm yyyy")</f>
        <v/>
      </c>
      <c r="D97">
        <f>"Q"&amp;(INT((A97-1)/13)+1)</f>
        <v/>
      </c>
      <c r="E97" t="inlineStr">
        <is>
          <t>Convenience</t>
        </is>
      </c>
      <c r="F97">
        <f>IFERROR(INDEX(ChFormat,MATCH(E97,ChName,0)),"")</f>
        <v/>
      </c>
      <c r="G97" t="inlineStr">
        <is>
          <t>AB</t>
        </is>
      </c>
      <c r="H97">
        <f>IF(A97&lt;=NWeeks,1,0)</f>
        <v/>
      </c>
      <c r="I97">
        <f>INDEX(ChLaunch,MATCH(E97,ChName,0))</f>
        <v/>
      </c>
      <c r="J97">
        <f>INDEX(ChWeeksFull,MATCH(E97,ChName,0))</f>
        <v/>
      </c>
      <c r="K97">
        <f>INDEX(ChRamp,MATCH(E97,ChName,0))</f>
        <v/>
      </c>
      <c r="L97" s="45">
        <f>MIN(1,MAX(0,(A97-I97+1)*RampSpeed/J97))</f>
        <v/>
      </c>
      <c r="M97" s="45">
        <f>IF(A97&lt;I97,0,IF(K97="S-curve",L97*L97*(3-2*L97),L97))</f>
        <v/>
      </c>
      <c r="N97" s="45">
        <f>1+(INDEX(SeasonIdx,A97)-1)*SeasonAmp</f>
        <v/>
      </c>
      <c r="O97" s="45">
        <f>IFERROR(INDEX(PSPct,MATCH(E97&amp;"|"&amp;G97,PSKey,0)),0)</f>
        <v/>
      </c>
      <c r="P97" s="46">
        <f>INDEX(ChDoorVel,MATCH(E97,ChName,0))*CalibScalar*(1+VelocityUplift)</f>
        <v/>
      </c>
      <c r="Q97" s="46" t="n">
        <v>0</v>
      </c>
      <c r="R97" s="46">
        <f>P97*O97*M97*N97*H97</f>
        <v/>
      </c>
      <c r="S97" s="46">
        <f>R97*INDEX(FmtCansPerCase,MATCH(F97,FmtName,0))</f>
        <v/>
      </c>
      <c r="T97" s="46">
        <f>S97/INDEX(FmtCansPerPack,MATCH(F97,FmtName,0))</f>
        <v/>
      </c>
      <c r="U97" s="47">
        <f>INDEX(ChBaseCP,MATCH(E97,ChName,0))*(1+INDEX(ProvMod,MATCH(G97,ProvCode,0)))*(1+PriceIndex)</f>
        <v/>
      </c>
      <c r="V97" s="47">
        <f>R97*U97*INDEX(FmtBlendedPriceIdx,MATCH(F97,FmtName,0))</f>
        <v/>
      </c>
      <c r="W97" s="47">
        <f>T97*INDEX(ProvSRP,MATCH(G97,ProvCode,0))*(1+PriceIndex)</f>
        <v/>
      </c>
      <c r="X97" s="47">
        <f>IF(GrossBasis="Wholesale",V97,W97)</f>
        <v/>
      </c>
      <c r="Y97" s="47">
        <f>R97*INDEX(FmtBlendedCogs,MATCH(F97,FmtName,0))</f>
        <v/>
      </c>
      <c r="Z97" s="47">
        <f>X97-Y97</f>
        <v/>
      </c>
    </row>
    <row r="98">
      <c r="A98" t="n">
        <v>44</v>
      </c>
      <c r="B98" s="44">
        <f>FiscalStart+(A98-1)*7</f>
        <v/>
      </c>
      <c r="C98">
        <f>TEXT(B98,"mmm yyyy")</f>
        <v/>
      </c>
      <c r="D98">
        <f>"Q"&amp;(INT((A98-1)/13)+1)</f>
        <v/>
      </c>
      <c r="E98" t="inlineStr">
        <is>
          <t>Convenience</t>
        </is>
      </c>
      <c r="F98">
        <f>IFERROR(INDEX(ChFormat,MATCH(E98,ChName,0)),"")</f>
        <v/>
      </c>
      <c r="G98" t="inlineStr">
        <is>
          <t>AB</t>
        </is>
      </c>
      <c r="H98">
        <f>IF(A98&lt;=NWeeks,1,0)</f>
        <v/>
      </c>
      <c r="I98">
        <f>INDEX(ChLaunch,MATCH(E98,ChName,0))</f>
        <v/>
      </c>
      <c r="J98">
        <f>INDEX(ChWeeksFull,MATCH(E98,ChName,0))</f>
        <v/>
      </c>
      <c r="K98">
        <f>INDEX(ChRamp,MATCH(E98,ChName,0))</f>
        <v/>
      </c>
      <c r="L98" s="45">
        <f>MIN(1,MAX(0,(A98-I98+1)*RampSpeed/J98))</f>
        <v/>
      </c>
      <c r="M98" s="45">
        <f>IF(A98&lt;I98,0,IF(K98="S-curve",L98*L98*(3-2*L98),L98))</f>
        <v/>
      </c>
      <c r="N98" s="45">
        <f>1+(INDEX(SeasonIdx,A98)-1)*SeasonAmp</f>
        <v/>
      </c>
      <c r="O98" s="45">
        <f>IFERROR(INDEX(PSPct,MATCH(E98&amp;"|"&amp;G98,PSKey,0)),0)</f>
        <v/>
      </c>
      <c r="P98" s="46">
        <f>INDEX(ChDoorVel,MATCH(E98,ChName,0))*CalibScalar*(1+VelocityUplift)</f>
        <v/>
      </c>
      <c r="Q98" s="46" t="n">
        <v>0</v>
      </c>
      <c r="R98" s="46">
        <f>P98*O98*M98*N98*H98</f>
        <v/>
      </c>
      <c r="S98" s="46">
        <f>R98*INDEX(FmtCansPerCase,MATCH(F98,FmtName,0))</f>
        <v/>
      </c>
      <c r="T98" s="46">
        <f>S98/INDEX(FmtCansPerPack,MATCH(F98,FmtName,0))</f>
        <v/>
      </c>
      <c r="U98" s="47">
        <f>INDEX(ChBaseCP,MATCH(E98,ChName,0))*(1+INDEX(ProvMod,MATCH(G98,ProvCode,0)))*(1+PriceIndex)</f>
        <v/>
      </c>
      <c r="V98" s="47">
        <f>R98*U98*INDEX(FmtBlendedPriceIdx,MATCH(F98,FmtName,0))</f>
        <v/>
      </c>
      <c r="W98" s="47">
        <f>T98*INDEX(ProvSRP,MATCH(G98,ProvCode,0))*(1+PriceIndex)</f>
        <v/>
      </c>
      <c r="X98" s="47">
        <f>IF(GrossBasis="Wholesale",V98,W98)</f>
        <v/>
      </c>
      <c r="Y98" s="47">
        <f>R98*INDEX(FmtBlendedCogs,MATCH(F98,FmtName,0))</f>
        <v/>
      </c>
      <c r="Z98" s="47">
        <f>X98-Y98</f>
        <v/>
      </c>
    </row>
    <row r="99">
      <c r="A99" t="n">
        <v>45</v>
      </c>
      <c r="B99" s="44">
        <f>FiscalStart+(A99-1)*7</f>
        <v/>
      </c>
      <c r="C99">
        <f>TEXT(B99,"mmm yyyy")</f>
        <v/>
      </c>
      <c r="D99">
        <f>"Q"&amp;(INT((A99-1)/13)+1)</f>
        <v/>
      </c>
      <c r="E99" t="inlineStr">
        <is>
          <t>Convenience</t>
        </is>
      </c>
      <c r="F99">
        <f>IFERROR(INDEX(ChFormat,MATCH(E99,ChName,0)),"")</f>
        <v/>
      </c>
      <c r="G99" t="inlineStr">
        <is>
          <t>AB</t>
        </is>
      </c>
      <c r="H99">
        <f>IF(A99&lt;=NWeeks,1,0)</f>
        <v/>
      </c>
      <c r="I99">
        <f>INDEX(ChLaunch,MATCH(E99,ChName,0))</f>
        <v/>
      </c>
      <c r="J99">
        <f>INDEX(ChWeeksFull,MATCH(E99,ChName,0))</f>
        <v/>
      </c>
      <c r="K99">
        <f>INDEX(ChRamp,MATCH(E99,ChName,0))</f>
        <v/>
      </c>
      <c r="L99" s="45">
        <f>MIN(1,MAX(0,(A99-I99+1)*RampSpeed/J99))</f>
        <v/>
      </c>
      <c r="M99" s="45">
        <f>IF(A99&lt;I99,0,IF(K99="S-curve",L99*L99*(3-2*L99),L99))</f>
        <v/>
      </c>
      <c r="N99" s="45">
        <f>1+(INDEX(SeasonIdx,A99)-1)*SeasonAmp</f>
        <v/>
      </c>
      <c r="O99" s="45">
        <f>IFERROR(INDEX(PSPct,MATCH(E99&amp;"|"&amp;G99,PSKey,0)),0)</f>
        <v/>
      </c>
      <c r="P99" s="46">
        <f>INDEX(ChDoorVel,MATCH(E99,ChName,0))*CalibScalar*(1+VelocityUplift)</f>
        <v/>
      </c>
      <c r="Q99" s="46" t="n">
        <v>0</v>
      </c>
      <c r="R99" s="46">
        <f>P99*O99*M99*N99*H99</f>
        <v/>
      </c>
      <c r="S99" s="46">
        <f>R99*INDEX(FmtCansPerCase,MATCH(F99,FmtName,0))</f>
        <v/>
      </c>
      <c r="T99" s="46">
        <f>S99/INDEX(FmtCansPerPack,MATCH(F99,FmtName,0))</f>
        <v/>
      </c>
      <c r="U99" s="47">
        <f>INDEX(ChBaseCP,MATCH(E99,ChName,0))*(1+INDEX(ProvMod,MATCH(G99,ProvCode,0)))*(1+PriceIndex)</f>
        <v/>
      </c>
      <c r="V99" s="47">
        <f>R99*U99*INDEX(FmtBlendedPriceIdx,MATCH(F99,FmtName,0))</f>
        <v/>
      </c>
      <c r="W99" s="47">
        <f>T99*INDEX(ProvSRP,MATCH(G99,ProvCode,0))*(1+PriceIndex)</f>
        <v/>
      </c>
      <c r="X99" s="47">
        <f>IF(GrossBasis="Wholesale",V99,W99)</f>
        <v/>
      </c>
      <c r="Y99" s="47">
        <f>R99*INDEX(FmtBlendedCogs,MATCH(F99,FmtName,0))</f>
        <v/>
      </c>
      <c r="Z99" s="47">
        <f>X99-Y99</f>
        <v/>
      </c>
    </row>
    <row r="100">
      <c r="A100" t="n">
        <v>46</v>
      </c>
      <c r="B100" s="44">
        <f>FiscalStart+(A100-1)*7</f>
        <v/>
      </c>
      <c r="C100">
        <f>TEXT(B100,"mmm yyyy")</f>
        <v/>
      </c>
      <c r="D100">
        <f>"Q"&amp;(INT((A100-1)/13)+1)</f>
        <v/>
      </c>
      <c r="E100" t="inlineStr">
        <is>
          <t>Convenience</t>
        </is>
      </c>
      <c r="F100">
        <f>IFERROR(INDEX(ChFormat,MATCH(E100,ChName,0)),"")</f>
        <v/>
      </c>
      <c r="G100" t="inlineStr">
        <is>
          <t>AB</t>
        </is>
      </c>
      <c r="H100">
        <f>IF(A100&lt;=NWeeks,1,0)</f>
        <v/>
      </c>
      <c r="I100">
        <f>INDEX(ChLaunch,MATCH(E100,ChName,0))</f>
        <v/>
      </c>
      <c r="J100">
        <f>INDEX(ChWeeksFull,MATCH(E100,ChName,0))</f>
        <v/>
      </c>
      <c r="K100">
        <f>INDEX(ChRamp,MATCH(E100,ChName,0))</f>
        <v/>
      </c>
      <c r="L100" s="45">
        <f>MIN(1,MAX(0,(A100-I100+1)*RampSpeed/J100))</f>
        <v/>
      </c>
      <c r="M100" s="45">
        <f>IF(A100&lt;I100,0,IF(K100="S-curve",L100*L100*(3-2*L100),L100))</f>
        <v/>
      </c>
      <c r="N100" s="45">
        <f>1+(INDEX(SeasonIdx,A100)-1)*SeasonAmp</f>
        <v/>
      </c>
      <c r="O100" s="45">
        <f>IFERROR(INDEX(PSPct,MATCH(E100&amp;"|"&amp;G100,PSKey,0)),0)</f>
        <v/>
      </c>
      <c r="P100" s="46">
        <f>INDEX(ChDoorVel,MATCH(E100,ChName,0))*CalibScalar*(1+VelocityUplift)</f>
        <v/>
      </c>
      <c r="Q100" s="46" t="n">
        <v>0</v>
      </c>
      <c r="R100" s="46">
        <f>P100*O100*M100*N100*H100</f>
        <v/>
      </c>
      <c r="S100" s="46">
        <f>R100*INDEX(FmtCansPerCase,MATCH(F100,FmtName,0))</f>
        <v/>
      </c>
      <c r="T100" s="46">
        <f>S100/INDEX(FmtCansPerPack,MATCH(F100,FmtName,0))</f>
        <v/>
      </c>
      <c r="U100" s="47">
        <f>INDEX(ChBaseCP,MATCH(E100,ChName,0))*(1+INDEX(ProvMod,MATCH(G100,ProvCode,0)))*(1+PriceIndex)</f>
        <v/>
      </c>
      <c r="V100" s="47">
        <f>R100*U100*INDEX(FmtBlendedPriceIdx,MATCH(F100,FmtName,0))</f>
        <v/>
      </c>
      <c r="W100" s="47">
        <f>T100*INDEX(ProvSRP,MATCH(G100,ProvCode,0))*(1+PriceIndex)</f>
        <v/>
      </c>
      <c r="X100" s="47">
        <f>IF(GrossBasis="Wholesale",V100,W100)</f>
        <v/>
      </c>
      <c r="Y100" s="47">
        <f>R100*INDEX(FmtBlendedCogs,MATCH(F100,FmtName,0))</f>
        <v/>
      </c>
      <c r="Z100" s="47">
        <f>X100-Y100</f>
        <v/>
      </c>
    </row>
    <row r="101">
      <c r="A101" t="n">
        <v>47</v>
      </c>
      <c r="B101" s="44">
        <f>FiscalStart+(A101-1)*7</f>
        <v/>
      </c>
      <c r="C101">
        <f>TEXT(B101,"mmm yyyy")</f>
        <v/>
      </c>
      <c r="D101">
        <f>"Q"&amp;(INT((A101-1)/13)+1)</f>
        <v/>
      </c>
      <c r="E101" t="inlineStr">
        <is>
          <t>Convenience</t>
        </is>
      </c>
      <c r="F101">
        <f>IFERROR(INDEX(ChFormat,MATCH(E101,ChName,0)),"")</f>
        <v/>
      </c>
      <c r="G101" t="inlineStr">
        <is>
          <t>AB</t>
        </is>
      </c>
      <c r="H101">
        <f>IF(A101&lt;=NWeeks,1,0)</f>
        <v/>
      </c>
      <c r="I101">
        <f>INDEX(ChLaunch,MATCH(E101,ChName,0))</f>
        <v/>
      </c>
      <c r="J101">
        <f>INDEX(ChWeeksFull,MATCH(E101,ChName,0))</f>
        <v/>
      </c>
      <c r="K101">
        <f>INDEX(ChRamp,MATCH(E101,ChName,0))</f>
        <v/>
      </c>
      <c r="L101" s="45">
        <f>MIN(1,MAX(0,(A101-I101+1)*RampSpeed/J101))</f>
        <v/>
      </c>
      <c r="M101" s="45">
        <f>IF(A101&lt;I101,0,IF(K101="S-curve",L101*L101*(3-2*L101),L101))</f>
        <v/>
      </c>
      <c r="N101" s="45">
        <f>1+(INDEX(SeasonIdx,A101)-1)*SeasonAmp</f>
        <v/>
      </c>
      <c r="O101" s="45">
        <f>IFERROR(INDEX(PSPct,MATCH(E101&amp;"|"&amp;G101,PSKey,0)),0)</f>
        <v/>
      </c>
      <c r="P101" s="46">
        <f>INDEX(ChDoorVel,MATCH(E101,ChName,0))*CalibScalar*(1+VelocityUplift)</f>
        <v/>
      </c>
      <c r="Q101" s="46" t="n">
        <v>0</v>
      </c>
      <c r="R101" s="46">
        <f>P101*O101*M101*N101*H101</f>
        <v/>
      </c>
      <c r="S101" s="46">
        <f>R101*INDEX(FmtCansPerCase,MATCH(F101,FmtName,0))</f>
        <v/>
      </c>
      <c r="T101" s="46">
        <f>S101/INDEX(FmtCansPerPack,MATCH(F101,FmtName,0))</f>
        <v/>
      </c>
      <c r="U101" s="47">
        <f>INDEX(ChBaseCP,MATCH(E101,ChName,0))*(1+INDEX(ProvMod,MATCH(G101,ProvCode,0)))*(1+PriceIndex)</f>
        <v/>
      </c>
      <c r="V101" s="47">
        <f>R101*U101*INDEX(FmtBlendedPriceIdx,MATCH(F101,FmtName,0))</f>
        <v/>
      </c>
      <c r="W101" s="47">
        <f>T101*INDEX(ProvSRP,MATCH(G101,ProvCode,0))*(1+PriceIndex)</f>
        <v/>
      </c>
      <c r="X101" s="47">
        <f>IF(GrossBasis="Wholesale",V101,W101)</f>
        <v/>
      </c>
      <c r="Y101" s="47">
        <f>R101*INDEX(FmtBlendedCogs,MATCH(F101,FmtName,0))</f>
        <v/>
      </c>
      <c r="Z101" s="47">
        <f>X101-Y101</f>
        <v/>
      </c>
    </row>
    <row r="102">
      <c r="A102" t="n">
        <v>48</v>
      </c>
      <c r="B102" s="44">
        <f>FiscalStart+(A102-1)*7</f>
        <v/>
      </c>
      <c r="C102">
        <f>TEXT(B102,"mmm yyyy")</f>
        <v/>
      </c>
      <c r="D102">
        <f>"Q"&amp;(INT((A102-1)/13)+1)</f>
        <v/>
      </c>
      <c r="E102" t="inlineStr">
        <is>
          <t>Convenience</t>
        </is>
      </c>
      <c r="F102">
        <f>IFERROR(INDEX(ChFormat,MATCH(E102,ChName,0)),"")</f>
        <v/>
      </c>
      <c r="G102" t="inlineStr">
        <is>
          <t>AB</t>
        </is>
      </c>
      <c r="H102">
        <f>IF(A102&lt;=NWeeks,1,0)</f>
        <v/>
      </c>
      <c r="I102">
        <f>INDEX(ChLaunch,MATCH(E102,ChName,0))</f>
        <v/>
      </c>
      <c r="J102">
        <f>INDEX(ChWeeksFull,MATCH(E102,ChName,0))</f>
        <v/>
      </c>
      <c r="K102">
        <f>INDEX(ChRamp,MATCH(E102,ChName,0))</f>
        <v/>
      </c>
      <c r="L102" s="45">
        <f>MIN(1,MAX(0,(A102-I102+1)*RampSpeed/J102))</f>
        <v/>
      </c>
      <c r="M102" s="45">
        <f>IF(A102&lt;I102,0,IF(K102="S-curve",L102*L102*(3-2*L102),L102))</f>
        <v/>
      </c>
      <c r="N102" s="45">
        <f>1+(INDEX(SeasonIdx,A102)-1)*SeasonAmp</f>
        <v/>
      </c>
      <c r="O102" s="45">
        <f>IFERROR(INDEX(PSPct,MATCH(E102&amp;"|"&amp;G102,PSKey,0)),0)</f>
        <v/>
      </c>
      <c r="P102" s="46">
        <f>INDEX(ChDoorVel,MATCH(E102,ChName,0))*CalibScalar*(1+VelocityUplift)</f>
        <v/>
      </c>
      <c r="Q102" s="46" t="n">
        <v>0</v>
      </c>
      <c r="R102" s="46">
        <f>P102*O102*M102*N102*H102</f>
        <v/>
      </c>
      <c r="S102" s="46">
        <f>R102*INDEX(FmtCansPerCase,MATCH(F102,FmtName,0))</f>
        <v/>
      </c>
      <c r="T102" s="46">
        <f>S102/INDEX(FmtCansPerPack,MATCH(F102,FmtName,0))</f>
        <v/>
      </c>
      <c r="U102" s="47">
        <f>INDEX(ChBaseCP,MATCH(E102,ChName,0))*(1+INDEX(ProvMod,MATCH(G102,ProvCode,0)))*(1+PriceIndex)</f>
        <v/>
      </c>
      <c r="V102" s="47">
        <f>R102*U102*INDEX(FmtBlendedPriceIdx,MATCH(F102,FmtName,0))</f>
        <v/>
      </c>
      <c r="W102" s="47">
        <f>T102*INDEX(ProvSRP,MATCH(G102,ProvCode,0))*(1+PriceIndex)</f>
        <v/>
      </c>
      <c r="X102" s="47">
        <f>IF(GrossBasis="Wholesale",V102,W102)</f>
        <v/>
      </c>
      <c r="Y102" s="47">
        <f>R102*INDEX(FmtBlendedCogs,MATCH(F102,FmtName,0))</f>
        <v/>
      </c>
      <c r="Z102" s="47">
        <f>X102-Y102</f>
        <v/>
      </c>
    </row>
    <row r="103">
      <c r="A103" t="n">
        <v>49</v>
      </c>
      <c r="B103" s="44">
        <f>FiscalStart+(A103-1)*7</f>
        <v/>
      </c>
      <c r="C103">
        <f>TEXT(B103,"mmm yyyy")</f>
        <v/>
      </c>
      <c r="D103">
        <f>"Q"&amp;(INT((A103-1)/13)+1)</f>
        <v/>
      </c>
      <c r="E103" t="inlineStr">
        <is>
          <t>Convenience</t>
        </is>
      </c>
      <c r="F103">
        <f>IFERROR(INDEX(ChFormat,MATCH(E103,ChName,0)),"")</f>
        <v/>
      </c>
      <c r="G103" t="inlineStr">
        <is>
          <t>AB</t>
        </is>
      </c>
      <c r="H103">
        <f>IF(A103&lt;=NWeeks,1,0)</f>
        <v/>
      </c>
      <c r="I103">
        <f>INDEX(ChLaunch,MATCH(E103,ChName,0))</f>
        <v/>
      </c>
      <c r="J103">
        <f>INDEX(ChWeeksFull,MATCH(E103,ChName,0))</f>
        <v/>
      </c>
      <c r="K103">
        <f>INDEX(ChRamp,MATCH(E103,ChName,0))</f>
        <v/>
      </c>
      <c r="L103" s="45">
        <f>MIN(1,MAX(0,(A103-I103+1)*RampSpeed/J103))</f>
        <v/>
      </c>
      <c r="M103" s="45">
        <f>IF(A103&lt;I103,0,IF(K103="S-curve",L103*L103*(3-2*L103),L103))</f>
        <v/>
      </c>
      <c r="N103" s="45">
        <f>1+(INDEX(SeasonIdx,A103)-1)*SeasonAmp</f>
        <v/>
      </c>
      <c r="O103" s="45">
        <f>IFERROR(INDEX(PSPct,MATCH(E103&amp;"|"&amp;G103,PSKey,0)),0)</f>
        <v/>
      </c>
      <c r="P103" s="46">
        <f>INDEX(ChDoorVel,MATCH(E103,ChName,0))*CalibScalar*(1+VelocityUplift)</f>
        <v/>
      </c>
      <c r="Q103" s="46" t="n">
        <v>0</v>
      </c>
      <c r="R103" s="46">
        <f>P103*O103*M103*N103*H103</f>
        <v/>
      </c>
      <c r="S103" s="46">
        <f>R103*INDEX(FmtCansPerCase,MATCH(F103,FmtName,0))</f>
        <v/>
      </c>
      <c r="T103" s="46">
        <f>S103/INDEX(FmtCansPerPack,MATCH(F103,FmtName,0))</f>
        <v/>
      </c>
      <c r="U103" s="47">
        <f>INDEX(ChBaseCP,MATCH(E103,ChName,0))*(1+INDEX(ProvMod,MATCH(G103,ProvCode,0)))*(1+PriceIndex)</f>
        <v/>
      </c>
      <c r="V103" s="47">
        <f>R103*U103*INDEX(FmtBlendedPriceIdx,MATCH(F103,FmtName,0))</f>
        <v/>
      </c>
      <c r="W103" s="47">
        <f>T103*INDEX(ProvSRP,MATCH(G103,ProvCode,0))*(1+PriceIndex)</f>
        <v/>
      </c>
      <c r="X103" s="47">
        <f>IF(GrossBasis="Wholesale",V103,W103)</f>
        <v/>
      </c>
      <c r="Y103" s="47">
        <f>R103*INDEX(FmtBlendedCogs,MATCH(F103,FmtName,0))</f>
        <v/>
      </c>
      <c r="Z103" s="47">
        <f>X103-Y103</f>
        <v/>
      </c>
    </row>
    <row r="104">
      <c r="A104" t="n">
        <v>50</v>
      </c>
      <c r="B104" s="44">
        <f>FiscalStart+(A104-1)*7</f>
        <v/>
      </c>
      <c r="C104">
        <f>TEXT(B104,"mmm yyyy")</f>
        <v/>
      </c>
      <c r="D104">
        <f>"Q"&amp;(INT((A104-1)/13)+1)</f>
        <v/>
      </c>
      <c r="E104" t="inlineStr">
        <is>
          <t>Convenience</t>
        </is>
      </c>
      <c r="F104">
        <f>IFERROR(INDEX(ChFormat,MATCH(E104,ChName,0)),"")</f>
        <v/>
      </c>
      <c r="G104" t="inlineStr">
        <is>
          <t>AB</t>
        </is>
      </c>
      <c r="H104">
        <f>IF(A104&lt;=NWeeks,1,0)</f>
        <v/>
      </c>
      <c r="I104">
        <f>INDEX(ChLaunch,MATCH(E104,ChName,0))</f>
        <v/>
      </c>
      <c r="J104">
        <f>INDEX(ChWeeksFull,MATCH(E104,ChName,0))</f>
        <v/>
      </c>
      <c r="K104">
        <f>INDEX(ChRamp,MATCH(E104,ChName,0))</f>
        <v/>
      </c>
      <c r="L104" s="45">
        <f>MIN(1,MAX(0,(A104-I104+1)*RampSpeed/J104))</f>
        <v/>
      </c>
      <c r="M104" s="45">
        <f>IF(A104&lt;I104,0,IF(K104="S-curve",L104*L104*(3-2*L104),L104))</f>
        <v/>
      </c>
      <c r="N104" s="45">
        <f>1+(INDEX(SeasonIdx,A104)-1)*SeasonAmp</f>
        <v/>
      </c>
      <c r="O104" s="45">
        <f>IFERROR(INDEX(PSPct,MATCH(E104&amp;"|"&amp;G104,PSKey,0)),0)</f>
        <v/>
      </c>
      <c r="P104" s="46">
        <f>INDEX(ChDoorVel,MATCH(E104,ChName,0))*CalibScalar*(1+VelocityUplift)</f>
        <v/>
      </c>
      <c r="Q104" s="46" t="n">
        <v>0</v>
      </c>
      <c r="R104" s="46">
        <f>P104*O104*M104*N104*H104</f>
        <v/>
      </c>
      <c r="S104" s="46">
        <f>R104*INDEX(FmtCansPerCase,MATCH(F104,FmtName,0))</f>
        <v/>
      </c>
      <c r="T104" s="46">
        <f>S104/INDEX(FmtCansPerPack,MATCH(F104,FmtName,0))</f>
        <v/>
      </c>
      <c r="U104" s="47">
        <f>INDEX(ChBaseCP,MATCH(E104,ChName,0))*(1+INDEX(ProvMod,MATCH(G104,ProvCode,0)))*(1+PriceIndex)</f>
        <v/>
      </c>
      <c r="V104" s="47">
        <f>R104*U104*INDEX(FmtBlendedPriceIdx,MATCH(F104,FmtName,0))</f>
        <v/>
      </c>
      <c r="W104" s="47">
        <f>T104*INDEX(ProvSRP,MATCH(G104,ProvCode,0))*(1+PriceIndex)</f>
        <v/>
      </c>
      <c r="X104" s="47">
        <f>IF(GrossBasis="Wholesale",V104,W104)</f>
        <v/>
      </c>
      <c r="Y104" s="47">
        <f>R104*INDEX(FmtBlendedCogs,MATCH(F104,FmtName,0))</f>
        <v/>
      </c>
      <c r="Z104" s="47">
        <f>X104-Y104</f>
        <v/>
      </c>
    </row>
    <row r="105">
      <c r="A105" t="n">
        <v>51</v>
      </c>
      <c r="B105" s="44">
        <f>FiscalStart+(A105-1)*7</f>
        <v/>
      </c>
      <c r="C105">
        <f>TEXT(B105,"mmm yyyy")</f>
        <v/>
      </c>
      <c r="D105">
        <f>"Q"&amp;(INT((A105-1)/13)+1)</f>
        <v/>
      </c>
      <c r="E105" t="inlineStr">
        <is>
          <t>Convenience</t>
        </is>
      </c>
      <c r="F105">
        <f>IFERROR(INDEX(ChFormat,MATCH(E105,ChName,0)),"")</f>
        <v/>
      </c>
      <c r="G105" t="inlineStr">
        <is>
          <t>AB</t>
        </is>
      </c>
      <c r="H105">
        <f>IF(A105&lt;=NWeeks,1,0)</f>
        <v/>
      </c>
      <c r="I105">
        <f>INDEX(ChLaunch,MATCH(E105,ChName,0))</f>
        <v/>
      </c>
      <c r="J105">
        <f>INDEX(ChWeeksFull,MATCH(E105,ChName,0))</f>
        <v/>
      </c>
      <c r="K105">
        <f>INDEX(ChRamp,MATCH(E105,ChName,0))</f>
        <v/>
      </c>
      <c r="L105" s="45">
        <f>MIN(1,MAX(0,(A105-I105+1)*RampSpeed/J105))</f>
        <v/>
      </c>
      <c r="M105" s="45">
        <f>IF(A105&lt;I105,0,IF(K105="S-curve",L105*L105*(3-2*L105),L105))</f>
        <v/>
      </c>
      <c r="N105" s="45">
        <f>1+(INDEX(SeasonIdx,A105)-1)*SeasonAmp</f>
        <v/>
      </c>
      <c r="O105" s="45">
        <f>IFERROR(INDEX(PSPct,MATCH(E105&amp;"|"&amp;G105,PSKey,0)),0)</f>
        <v/>
      </c>
      <c r="P105" s="46">
        <f>INDEX(ChDoorVel,MATCH(E105,ChName,0))*CalibScalar*(1+VelocityUplift)</f>
        <v/>
      </c>
      <c r="Q105" s="46" t="n">
        <v>0</v>
      </c>
      <c r="R105" s="46">
        <f>P105*O105*M105*N105*H105</f>
        <v/>
      </c>
      <c r="S105" s="46">
        <f>R105*INDEX(FmtCansPerCase,MATCH(F105,FmtName,0))</f>
        <v/>
      </c>
      <c r="T105" s="46">
        <f>S105/INDEX(FmtCansPerPack,MATCH(F105,FmtName,0))</f>
        <v/>
      </c>
      <c r="U105" s="47">
        <f>INDEX(ChBaseCP,MATCH(E105,ChName,0))*(1+INDEX(ProvMod,MATCH(G105,ProvCode,0)))*(1+PriceIndex)</f>
        <v/>
      </c>
      <c r="V105" s="47">
        <f>R105*U105*INDEX(FmtBlendedPriceIdx,MATCH(F105,FmtName,0))</f>
        <v/>
      </c>
      <c r="W105" s="47">
        <f>T105*INDEX(ProvSRP,MATCH(G105,ProvCode,0))*(1+PriceIndex)</f>
        <v/>
      </c>
      <c r="X105" s="47">
        <f>IF(GrossBasis="Wholesale",V105,W105)</f>
        <v/>
      </c>
      <c r="Y105" s="47">
        <f>R105*INDEX(FmtBlendedCogs,MATCH(F105,FmtName,0))</f>
        <v/>
      </c>
      <c r="Z105" s="47">
        <f>X105-Y105</f>
        <v/>
      </c>
    </row>
    <row r="106">
      <c r="A106" t="n">
        <v>52</v>
      </c>
      <c r="B106" s="44">
        <f>FiscalStart+(A106-1)*7</f>
        <v/>
      </c>
      <c r="C106">
        <f>TEXT(B106,"mmm yyyy")</f>
        <v/>
      </c>
      <c r="D106">
        <f>"Q"&amp;(INT((A106-1)/13)+1)</f>
        <v/>
      </c>
      <c r="E106" t="inlineStr">
        <is>
          <t>Convenience</t>
        </is>
      </c>
      <c r="F106">
        <f>IFERROR(INDEX(ChFormat,MATCH(E106,ChName,0)),"")</f>
        <v/>
      </c>
      <c r="G106" t="inlineStr">
        <is>
          <t>AB</t>
        </is>
      </c>
      <c r="H106">
        <f>IF(A106&lt;=NWeeks,1,0)</f>
        <v/>
      </c>
      <c r="I106">
        <f>INDEX(ChLaunch,MATCH(E106,ChName,0))</f>
        <v/>
      </c>
      <c r="J106">
        <f>INDEX(ChWeeksFull,MATCH(E106,ChName,0))</f>
        <v/>
      </c>
      <c r="K106">
        <f>INDEX(ChRamp,MATCH(E106,ChName,0))</f>
        <v/>
      </c>
      <c r="L106" s="45">
        <f>MIN(1,MAX(0,(A106-I106+1)*RampSpeed/J106))</f>
        <v/>
      </c>
      <c r="M106" s="45">
        <f>IF(A106&lt;I106,0,IF(K106="S-curve",L106*L106*(3-2*L106),L106))</f>
        <v/>
      </c>
      <c r="N106" s="45">
        <f>1+(INDEX(SeasonIdx,A106)-1)*SeasonAmp</f>
        <v/>
      </c>
      <c r="O106" s="45">
        <f>IFERROR(INDEX(PSPct,MATCH(E106&amp;"|"&amp;G106,PSKey,0)),0)</f>
        <v/>
      </c>
      <c r="P106" s="46">
        <f>INDEX(ChDoorVel,MATCH(E106,ChName,0))*CalibScalar*(1+VelocityUplift)</f>
        <v/>
      </c>
      <c r="Q106" s="46" t="n">
        <v>0</v>
      </c>
      <c r="R106" s="46">
        <f>P106*O106*M106*N106*H106</f>
        <v/>
      </c>
      <c r="S106" s="46">
        <f>R106*INDEX(FmtCansPerCase,MATCH(F106,FmtName,0))</f>
        <v/>
      </c>
      <c r="T106" s="46">
        <f>S106/INDEX(FmtCansPerPack,MATCH(F106,FmtName,0))</f>
        <v/>
      </c>
      <c r="U106" s="47">
        <f>INDEX(ChBaseCP,MATCH(E106,ChName,0))*(1+INDEX(ProvMod,MATCH(G106,ProvCode,0)))*(1+PriceIndex)</f>
        <v/>
      </c>
      <c r="V106" s="47">
        <f>R106*U106*INDEX(FmtBlendedPriceIdx,MATCH(F106,FmtName,0))</f>
        <v/>
      </c>
      <c r="W106" s="47">
        <f>T106*INDEX(ProvSRP,MATCH(G106,ProvCode,0))*(1+PriceIndex)</f>
        <v/>
      </c>
      <c r="X106" s="47">
        <f>IF(GrossBasis="Wholesale",V106,W106)</f>
        <v/>
      </c>
      <c r="Y106" s="47">
        <f>R106*INDEX(FmtBlendedCogs,MATCH(F106,FmtName,0))</f>
        <v/>
      </c>
      <c r="Z106" s="47">
        <f>X106-Y106</f>
        <v/>
      </c>
    </row>
    <row r="107">
      <c r="A107" t="n">
        <v>53</v>
      </c>
      <c r="B107" s="44">
        <f>FiscalStart+(A107-1)*7</f>
        <v/>
      </c>
      <c r="C107">
        <f>TEXT(B107,"mmm yyyy")</f>
        <v/>
      </c>
      <c r="D107">
        <f>"Q"&amp;(INT((A107-1)/13)+1)</f>
        <v/>
      </c>
      <c r="E107" t="inlineStr">
        <is>
          <t>Convenience</t>
        </is>
      </c>
      <c r="F107">
        <f>IFERROR(INDEX(ChFormat,MATCH(E107,ChName,0)),"")</f>
        <v/>
      </c>
      <c r="G107" t="inlineStr">
        <is>
          <t>AB</t>
        </is>
      </c>
      <c r="H107">
        <f>IF(A107&lt;=NWeeks,1,0)</f>
        <v/>
      </c>
      <c r="I107">
        <f>INDEX(ChLaunch,MATCH(E107,ChName,0))</f>
        <v/>
      </c>
      <c r="J107">
        <f>INDEX(ChWeeksFull,MATCH(E107,ChName,0))</f>
        <v/>
      </c>
      <c r="K107">
        <f>INDEX(ChRamp,MATCH(E107,ChName,0))</f>
        <v/>
      </c>
      <c r="L107" s="45">
        <f>MIN(1,MAX(0,(A107-I107+1)*RampSpeed/J107))</f>
        <v/>
      </c>
      <c r="M107" s="45">
        <f>IF(A107&lt;I107,0,IF(K107="S-curve",L107*L107*(3-2*L107),L107))</f>
        <v/>
      </c>
      <c r="N107" s="45">
        <f>1+(INDEX(SeasonIdx,A107)-1)*SeasonAmp</f>
        <v/>
      </c>
      <c r="O107" s="45">
        <f>IFERROR(INDEX(PSPct,MATCH(E107&amp;"|"&amp;G107,PSKey,0)),0)</f>
        <v/>
      </c>
      <c r="P107" s="46">
        <f>INDEX(ChDoorVel,MATCH(E107,ChName,0))*CalibScalar*(1+VelocityUplift)</f>
        <v/>
      </c>
      <c r="Q107" s="46" t="n">
        <v>0</v>
      </c>
      <c r="R107" s="46">
        <f>P107*O107*M107*N107*H107</f>
        <v/>
      </c>
      <c r="S107" s="46">
        <f>R107*INDEX(FmtCansPerCase,MATCH(F107,FmtName,0))</f>
        <v/>
      </c>
      <c r="T107" s="46">
        <f>S107/INDEX(FmtCansPerPack,MATCH(F107,FmtName,0))</f>
        <v/>
      </c>
      <c r="U107" s="47">
        <f>INDEX(ChBaseCP,MATCH(E107,ChName,0))*(1+INDEX(ProvMod,MATCH(G107,ProvCode,0)))*(1+PriceIndex)</f>
        <v/>
      </c>
      <c r="V107" s="47">
        <f>R107*U107*INDEX(FmtBlendedPriceIdx,MATCH(F107,FmtName,0))</f>
        <v/>
      </c>
      <c r="W107" s="47">
        <f>T107*INDEX(ProvSRP,MATCH(G107,ProvCode,0))*(1+PriceIndex)</f>
        <v/>
      </c>
      <c r="X107" s="47">
        <f>IF(GrossBasis="Wholesale",V107,W107)</f>
        <v/>
      </c>
      <c r="Y107" s="47">
        <f>R107*INDEX(FmtBlendedCogs,MATCH(F107,FmtName,0))</f>
        <v/>
      </c>
      <c r="Z107" s="47">
        <f>X107-Y107</f>
        <v/>
      </c>
    </row>
    <row r="108">
      <c r="A108" t="n">
        <v>1</v>
      </c>
      <c r="B108" s="44">
        <f>FiscalStart+(A108-1)*7</f>
        <v/>
      </c>
      <c r="C108">
        <f>TEXT(B108,"mmm yyyy")</f>
        <v/>
      </c>
      <c r="D108">
        <f>"Q"&amp;(INT((A108-1)/13)+1)</f>
        <v/>
      </c>
      <c r="E108" t="inlineStr">
        <is>
          <t>Convenience</t>
        </is>
      </c>
      <c r="F108">
        <f>IFERROR(INDEX(ChFormat,MATCH(E108,ChName,0)),"")</f>
        <v/>
      </c>
      <c r="G108" t="inlineStr">
        <is>
          <t>SK</t>
        </is>
      </c>
      <c r="H108">
        <f>IF(A108&lt;=NWeeks,1,0)</f>
        <v/>
      </c>
      <c r="I108">
        <f>INDEX(ChLaunch,MATCH(E108,ChName,0))</f>
        <v/>
      </c>
      <c r="J108">
        <f>INDEX(ChWeeksFull,MATCH(E108,ChName,0))</f>
        <v/>
      </c>
      <c r="K108">
        <f>INDEX(ChRamp,MATCH(E108,ChName,0))</f>
        <v/>
      </c>
      <c r="L108" s="45">
        <f>MIN(1,MAX(0,(A108-I108+1)*RampSpeed/J108))</f>
        <v/>
      </c>
      <c r="M108" s="45">
        <f>IF(A108&lt;I108,0,IF(K108="S-curve",L108*L108*(3-2*L108),L108))</f>
        <v/>
      </c>
      <c r="N108" s="45">
        <f>1+(INDEX(SeasonIdx,A108)-1)*SeasonAmp</f>
        <v/>
      </c>
      <c r="O108" s="45">
        <f>IFERROR(INDEX(PSPct,MATCH(E108&amp;"|"&amp;G108,PSKey,0)),0)</f>
        <v/>
      </c>
      <c r="P108" s="46">
        <f>INDEX(ChDoorVel,MATCH(E108,ChName,0))*CalibScalar*(1+VelocityUplift)</f>
        <v/>
      </c>
      <c r="Q108" s="46" t="n">
        <v>0</v>
      </c>
      <c r="R108" s="46">
        <f>P108*O108*M108*N108*H108</f>
        <v/>
      </c>
      <c r="S108" s="46">
        <f>R108*INDEX(FmtCansPerCase,MATCH(F108,FmtName,0))</f>
        <v/>
      </c>
      <c r="T108" s="46">
        <f>S108/INDEX(FmtCansPerPack,MATCH(F108,FmtName,0))</f>
        <v/>
      </c>
      <c r="U108" s="47">
        <f>INDEX(ChBaseCP,MATCH(E108,ChName,0))*(1+INDEX(ProvMod,MATCH(G108,ProvCode,0)))*(1+PriceIndex)</f>
        <v/>
      </c>
      <c r="V108" s="47">
        <f>R108*U108*INDEX(FmtBlendedPriceIdx,MATCH(F108,FmtName,0))</f>
        <v/>
      </c>
      <c r="W108" s="47">
        <f>T108*INDEX(ProvSRP,MATCH(G108,ProvCode,0))*(1+PriceIndex)</f>
        <v/>
      </c>
      <c r="X108" s="47">
        <f>IF(GrossBasis="Wholesale",V108,W108)</f>
        <v/>
      </c>
      <c r="Y108" s="47">
        <f>R108*INDEX(FmtBlendedCogs,MATCH(F108,FmtName,0))</f>
        <v/>
      </c>
      <c r="Z108" s="47">
        <f>X108-Y108</f>
        <v/>
      </c>
    </row>
    <row r="109">
      <c r="A109" t="n">
        <v>2</v>
      </c>
      <c r="B109" s="44">
        <f>FiscalStart+(A109-1)*7</f>
        <v/>
      </c>
      <c r="C109">
        <f>TEXT(B109,"mmm yyyy")</f>
        <v/>
      </c>
      <c r="D109">
        <f>"Q"&amp;(INT((A109-1)/13)+1)</f>
        <v/>
      </c>
      <c r="E109" t="inlineStr">
        <is>
          <t>Convenience</t>
        </is>
      </c>
      <c r="F109">
        <f>IFERROR(INDEX(ChFormat,MATCH(E109,ChName,0)),"")</f>
        <v/>
      </c>
      <c r="G109" t="inlineStr">
        <is>
          <t>SK</t>
        </is>
      </c>
      <c r="H109">
        <f>IF(A109&lt;=NWeeks,1,0)</f>
        <v/>
      </c>
      <c r="I109">
        <f>INDEX(ChLaunch,MATCH(E109,ChName,0))</f>
        <v/>
      </c>
      <c r="J109">
        <f>INDEX(ChWeeksFull,MATCH(E109,ChName,0))</f>
        <v/>
      </c>
      <c r="K109">
        <f>INDEX(ChRamp,MATCH(E109,ChName,0))</f>
        <v/>
      </c>
      <c r="L109" s="45">
        <f>MIN(1,MAX(0,(A109-I109+1)*RampSpeed/J109))</f>
        <v/>
      </c>
      <c r="M109" s="45">
        <f>IF(A109&lt;I109,0,IF(K109="S-curve",L109*L109*(3-2*L109),L109))</f>
        <v/>
      </c>
      <c r="N109" s="45">
        <f>1+(INDEX(SeasonIdx,A109)-1)*SeasonAmp</f>
        <v/>
      </c>
      <c r="O109" s="45">
        <f>IFERROR(INDEX(PSPct,MATCH(E109&amp;"|"&amp;G109,PSKey,0)),0)</f>
        <v/>
      </c>
      <c r="P109" s="46">
        <f>INDEX(ChDoorVel,MATCH(E109,ChName,0))*CalibScalar*(1+VelocityUplift)</f>
        <v/>
      </c>
      <c r="Q109" s="46" t="n">
        <v>0</v>
      </c>
      <c r="R109" s="46">
        <f>P109*O109*M109*N109*H109</f>
        <v/>
      </c>
      <c r="S109" s="46">
        <f>R109*INDEX(FmtCansPerCase,MATCH(F109,FmtName,0))</f>
        <v/>
      </c>
      <c r="T109" s="46">
        <f>S109/INDEX(FmtCansPerPack,MATCH(F109,FmtName,0))</f>
        <v/>
      </c>
      <c r="U109" s="47">
        <f>INDEX(ChBaseCP,MATCH(E109,ChName,0))*(1+INDEX(ProvMod,MATCH(G109,ProvCode,0)))*(1+PriceIndex)</f>
        <v/>
      </c>
      <c r="V109" s="47">
        <f>R109*U109*INDEX(FmtBlendedPriceIdx,MATCH(F109,FmtName,0))</f>
        <v/>
      </c>
      <c r="W109" s="47">
        <f>T109*INDEX(ProvSRP,MATCH(G109,ProvCode,0))*(1+PriceIndex)</f>
        <v/>
      </c>
      <c r="X109" s="47">
        <f>IF(GrossBasis="Wholesale",V109,W109)</f>
        <v/>
      </c>
      <c r="Y109" s="47">
        <f>R109*INDEX(FmtBlendedCogs,MATCH(F109,FmtName,0))</f>
        <v/>
      </c>
      <c r="Z109" s="47">
        <f>X109-Y109</f>
        <v/>
      </c>
    </row>
    <row r="110">
      <c r="A110" t="n">
        <v>3</v>
      </c>
      <c r="B110" s="44">
        <f>FiscalStart+(A110-1)*7</f>
        <v/>
      </c>
      <c r="C110">
        <f>TEXT(B110,"mmm yyyy")</f>
        <v/>
      </c>
      <c r="D110">
        <f>"Q"&amp;(INT((A110-1)/13)+1)</f>
        <v/>
      </c>
      <c r="E110" t="inlineStr">
        <is>
          <t>Convenience</t>
        </is>
      </c>
      <c r="F110">
        <f>IFERROR(INDEX(ChFormat,MATCH(E110,ChName,0)),"")</f>
        <v/>
      </c>
      <c r="G110" t="inlineStr">
        <is>
          <t>SK</t>
        </is>
      </c>
      <c r="H110">
        <f>IF(A110&lt;=NWeeks,1,0)</f>
        <v/>
      </c>
      <c r="I110">
        <f>INDEX(ChLaunch,MATCH(E110,ChName,0))</f>
        <v/>
      </c>
      <c r="J110">
        <f>INDEX(ChWeeksFull,MATCH(E110,ChName,0))</f>
        <v/>
      </c>
      <c r="K110">
        <f>INDEX(ChRamp,MATCH(E110,ChName,0))</f>
        <v/>
      </c>
      <c r="L110" s="45">
        <f>MIN(1,MAX(0,(A110-I110+1)*RampSpeed/J110))</f>
        <v/>
      </c>
      <c r="M110" s="45">
        <f>IF(A110&lt;I110,0,IF(K110="S-curve",L110*L110*(3-2*L110),L110))</f>
        <v/>
      </c>
      <c r="N110" s="45">
        <f>1+(INDEX(SeasonIdx,A110)-1)*SeasonAmp</f>
        <v/>
      </c>
      <c r="O110" s="45">
        <f>IFERROR(INDEX(PSPct,MATCH(E110&amp;"|"&amp;G110,PSKey,0)),0)</f>
        <v/>
      </c>
      <c r="P110" s="46">
        <f>INDEX(ChDoorVel,MATCH(E110,ChName,0))*CalibScalar*(1+VelocityUplift)</f>
        <v/>
      </c>
      <c r="Q110" s="46" t="n">
        <v>0</v>
      </c>
      <c r="R110" s="46">
        <f>P110*O110*M110*N110*H110</f>
        <v/>
      </c>
      <c r="S110" s="46">
        <f>R110*INDEX(FmtCansPerCase,MATCH(F110,FmtName,0))</f>
        <v/>
      </c>
      <c r="T110" s="46">
        <f>S110/INDEX(FmtCansPerPack,MATCH(F110,FmtName,0))</f>
        <v/>
      </c>
      <c r="U110" s="47">
        <f>INDEX(ChBaseCP,MATCH(E110,ChName,0))*(1+INDEX(ProvMod,MATCH(G110,ProvCode,0)))*(1+PriceIndex)</f>
        <v/>
      </c>
      <c r="V110" s="47">
        <f>R110*U110*INDEX(FmtBlendedPriceIdx,MATCH(F110,FmtName,0))</f>
        <v/>
      </c>
      <c r="W110" s="47">
        <f>T110*INDEX(ProvSRP,MATCH(G110,ProvCode,0))*(1+PriceIndex)</f>
        <v/>
      </c>
      <c r="X110" s="47">
        <f>IF(GrossBasis="Wholesale",V110,W110)</f>
        <v/>
      </c>
      <c r="Y110" s="47">
        <f>R110*INDEX(FmtBlendedCogs,MATCH(F110,FmtName,0))</f>
        <v/>
      </c>
      <c r="Z110" s="47">
        <f>X110-Y110</f>
        <v/>
      </c>
    </row>
    <row r="111">
      <c r="A111" t="n">
        <v>4</v>
      </c>
      <c r="B111" s="44">
        <f>FiscalStart+(A111-1)*7</f>
        <v/>
      </c>
      <c r="C111">
        <f>TEXT(B111,"mmm yyyy")</f>
        <v/>
      </c>
      <c r="D111">
        <f>"Q"&amp;(INT((A111-1)/13)+1)</f>
        <v/>
      </c>
      <c r="E111" t="inlineStr">
        <is>
          <t>Convenience</t>
        </is>
      </c>
      <c r="F111">
        <f>IFERROR(INDEX(ChFormat,MATCH(E111,ChName,0)),"")</f>
        <v/>
      </c>
      <c r="G111" t="inlineStr">
        <is>
          <t>SK</t>
        </is>
      </c>
      <c r="H111">
        <f>IF(A111&lt;=NWeeks,1,0)</f>
        <v/>
      </c>
      <c r="I111">
        <f>INDEX(ChLaunch,MATCH(E111,ChName,0))</f>
        <v/>
      </c>
      <c r="J111">
        <f>INDEX(ChWeeksFull,MATCH(E111,ChName,0))</f>
        <v/>
      </c>
      <c r="K111">
        <f>INDEX(ChRamp,MATCH(E111,ChName,0))</f>
        <v/>
      </c>
      <c r="L111" s="45">
        <f>MIN(1,MAX(0,(A111-I111+1)*RampSpeed/J111))</f>
        <v/>
      </c>
      <c r="M111" s="45">
        <f>IF(A111&lt;I111,0,IF(K111="S-curve",L111*L111*(3-2*L111),L111))</f>
        <v/>
      </c>
      <c r="N111" s="45">
        <f>1+(INDEX(SeasonIdx,A111)-1)*SeasonAmp</f>
        <v/>
      </c>
      <c r="O111" s="45">
        <f>IFERROR(INDEX(PSPct,MATCH(E111&amp;"|"&amp;G111,PSKey,0)),0)</f>
        <v/>
      </c>
      <c r="P111" s="46">
        <f>INDEX(ChDoorVel,MATCH(E111,ChName,0))*CalibScalar*(1+VelocityUplift)</f>
        <v/>
      </c>
      <c r="Q111" s="46" t="n">
        <v>0</v>
      </c>
      <c r="R111" s="46">
        <f>P111*O111*M111*N111*H111</f>
        <v/>
      </c>
      <c r="S111" s="46">
        <f>R111*INDEX(FmtCansPerCase,MATCH(F111,FmtName,0))</f>
        <v/>
      </c>
      <c r="T111" s="46">
        <f>S111/INDEX(FmtCansPerPack,MATCH(F111,FmtName,0))</f>
        <v/>
      </c>
      <c r="U111" s="47">
        <f>INDEX(ChBaseCP,MATCH(E111,ChName,0))*(1+INDEX(ProvMod,MATCH(G111,ProvCode,0)))*(1+PriceIndex)</f>
        <v/>
      </c>
      <c r="V111" s="47">
        <f>R111*U111*INDEX(FmtBlendedPriceIdx,MATCH(F111,FmtName,0))</f>
        <v/>
      </c>
      <c r="W111" s="47">
        <f>T111*INDEX(ProvSRP,MATCH(G111,ProvCode,0))*(1+PriceIndex)</f>
        <v/>
      </c>
      <c r="X111" s="47">
        <f>IF(GrossBasis="Wholesale",V111,W111)</f>
        <v/>
      </c>
      <c r="Y111" s="47">
        <f>R111*INDEX(FmtBlendedCogs,MATCH(F111,FmtName,0))</f>
        <v/>
      </c>
      <c r="Z111" s="47">
        <f>X111-Y111</f>
        <v/>
      </c>
    </row>
    <row r="112">
      <c r="A112" t="n">
        <v>5</v>
      </c>
      <c r="B112" s="44">
        <f>FiscalStart+(A112-1)*7</f>
        <v/>
      </c>
      <c r="C112">
        <f>TEXT(B112,"mmm yyyy")</f>
        <v/>
      </c>
      <c r="D112">
        <f>"Q"&amp;(INT((A112-1)/13)+1)</f>
        <v/>
      </c>
      <c r="E112" t="inlineStr">
        <is>
          <t>Convenience</t>
        </is>
      </c>
      <c r="F112">
        <f>IFERROR(INDEX(ChFormat,MATCH(E112,ChName,0)),"")</f>
        <v/>
      </c>
      <c r="G112" t="inlineStr">
        <is>
          <t>SK</t>
        </is>
      </c>
      <c r="H112">
        <f>IF(A112&lt;=NWeeks,1,0)</f>
        <v/>
      </c>
      <c r="I112">
        <f>INDEX(ChLaunch,MATCH(E112,ChName,0))</f>
        <v/>
      </c>
      <c r="J112">
        <f>INDEX(ChWeeksFull,MATCH(E112,ChName,0))</f>
        <v/>
      </c>
      <c r="K112">
        <f>INDEX(ChRamp,MATCH(E112,ChName,0))</f>
        <v/>
      </c>
      <c r="L112" s="45">
        <f>MIN(1,MAX(0,(A112-I112+1)*RampSpeed/J112))</f>
        <v/>
      </c>
      <c r="M112" s="45">
        <f>IF(A112&lt;I112,0,IF(K112="S-curve",L112*L112*(3-2*L112),L112))</f>
        <v/>
      </c>
      <c r="N112" s="45">
        <f>1+(INDEX(SeasonIdx,A112)-1)*SeasonAmp</f>
        <v/>
      </c>
      <c r="O112" s="45">
        <f>IFERROR(INDEX(PSPct,MATCH(E112&amp;"|"&amp;G112,PSKey,0)),0)</f>
        <v/>
      </c>
      <c r="P112" s="46">
        <f>INDEX(ChDoorVel,MATCH(E112,ChName,0))*CalibScalar*(1+VelocityUplift)</f>
        <v/>
      </c>
      <c r="Q112" s="46" t="n">
        <v>0</v>
      </c>
      <c r="R112" s="46">
        <f>P112*O112*M112*N112*H112</f>
        <v/>
      </c>
      <c r="S112" s="46">
        <f>R112*INDEX(FmtCansPerCase,MATCH(F112,FmtName,0))</f>
        <v/>
      </c>
      <c r="T112" s="46">
        <f>S112/INDEX(FmtCansPerPack,MATCH(F112,FmtName,0))</f>
        <v/>
      </c>
      <c r="U112" s="47">
        <f>INDEX(ChBaseCP,MATCH(E112,ChName,0))*(1+INDEX(ProvMod,MATCH(G112,ProvCode,0)))*(1+PriceIndex)</f>
        <v/>
      </c>
      <c r="V112" s="47">
        <f>R112*U112*INDEX(FmtBlendedPriceIdx,MATCH(F112,FmtName,0))</f>
        <v/>
      </c>
      <c r="W112" s="47">
        <f>T112*INDEX(ProvSRP,MATCH(G112,ProvCode,0))*(1+PriceIndex)</f>
        <v/>
      </c>
      <c r="X112" s="47">
        <f>IF(GrossBasis="Wholesale",V112,W112)</f>
        <v/>
      </c>
      <c r="Y112" s="47">
        <f>R112*INDEX(FmtBlendedCogs,MATCH(F112,FmtName,0))</f>
        <v/>
      </c>
      <c r="Z112" s="47">
        <f>X112-Y112</f>
        <v/>
      </c>
    </row>
    <row r="113">
      <c r="A113" t="n">
        <v>6</v>
      </c>
      <c r="B113" s="44">
        <f>FiscalStart+(A113-1)*7</f>
        <v/>
      </c>
      <c r="C113">
        <f>TEXT(B113,"mmm yyyy")</f>
        <v/>
      </c>
      <c r="D113">
        <f>"Q"&amp;(INT((A113-1)/13)+1)</f>
        <v/>
      </c>
      <c r="E113" t="inlineStr">
        <is>
          <t>Convenience</t>
        </is>
      </c>
      <c r="F113">
        <f>IFERROR(INDEX(ChFormat,MATCH(E113,ChName,0)),"")</f>
        <v/>
      </c>
      <c r="G113" t="inlineStr">
        <is>
          <t>SK</t>
        </is>
      </c>
      <c r="H113">
        <f>IF(A113&lt;=NWeeks,1,0)</f>
        <v/>
      </c>
      <c r="I113">
        <f>INDEX(ChLaunch,MATCH(E113,ChName,0))</f>
        <v/>
      </c>
      <c r="J113">
        <f>INDEX(ChWeeksFull,MATCH(E113,ChName,0))</f>
        <v/>
      </c>
      <c r="K113">
        <f>INDEX(ChRamp,MATCH(E113,ChName,0))</f>
        <v/>
      </c>
      <c r="L113" s="45">
        <f>MIN(1,MAX(0,(A113-I113+1)*RampSpeed/J113))</f>
        <v/>
      </c>
      <c r="M113" s="45">
        <f>IF(A113&lt;I113,0,IF(K113="S-curve",L113*L113*(3-2*L113),L113))</f>
        <v/>
      </c>
      <c r="N113" s="45">
        <f>1+(INDEX(SeasonIdx,A113)-1)*SeasonAmp</f>
        <v/>
      </c>
      <c r="O113" s="45">
        <f>IFERROR(INDEX(PSPct,MATCH(E113&amp;"|"&amp;G113,PSKey,0)),0)</f>
        <v/>
      </c>
      <c r="P113" s="46">
        <f>INDEX(ChDoorVel,MATCH(E113,ChName,0))*CalibScalar*(1+VelocityUplift)</f>
        <v/>
      </c>
      <c r="Q113" s="46" t="n">
        <v>0</v>
      </c>
      <c r="R113" s="46">
        <f>P113*O113*M113*N113*H113</f>
        <v/>
      </c>
      <c r="S113" s="46">
        <f>R113*INDEX(FmtCansPerCase,MATCH(F113,FmtName,0))</f>
        <v/>
      </c>
      <c r="T113" s="46">
        <f>S113/INDEX(FmtCansPerPack,MATCH(F113,FmtName,0))</f>
        <v/>
      </c>
      <c r="U113" s="47">
        <f>INDEX(ChBaseCP,MATCH(E113,ChName,0))*(1+INDEX(ProvMod,MATCH(G113,ProvCode,0)))*(1+PriceIndex)</f>
        <v/>
      </c>
      <c r="V113" s="47">
        <f>R113*U113*INDEX(FmtBlendedPriceIdx,MATCH(F113,FmtName,0))</f>
        <v/>
      </c>
      <c r="W113" s="47">
        <f>T113*INDEX(ProvSRP,MATCH(G113,ProvCode,0))*(1+PriceIndex)</f>
        <v/>
      </c>
      <c r="X113" s="47">
        <f>IF(GrossBasis="Wholesale",V113,W113)</f>
        <v/>
      </c>
      <c r="Y113" s="47">
        <f>R113*INDEX(FmtBlendedCogs,MATCH(F113,FmtName,0))</f>
        <v/>
      </c>
      <c r="Z113" s="47">
        <f>X113-Y113</f>
        <v/>
      </c>
    </row>
    <row r="114">
      <c r="A114" t="n">
        <v>7</v>
      </c>
      <c r="B114" s="44">
        <f>FiscalStart+(A114-1)*7</f>
        <v/>
      </c>
      <c r="C114">
        <f>TEXT(B114,"mmm yyyy")</f>
        <v/>
      </c>
      <c r="D114">
        <f>"Q"&amp;(INT((A114-1)/13)+1)</f>
        <v/>
      </c>
      <c r="E114" t="inlineStr">
        <is>
          <t>Convenience</t>
        </is>
      </c>
      <c r="F114">
        <f>IFERROR(INDEX(ChFormat,MATCH(E114,ChName,0)),"")</f>
        <v/>
      </c>
      <c r="G114" t="inlineStr">
        <is>
          <t>SK</t>
        </is>
      </c>
      <c r="H114">
        <f>IF(A114&lt;=NWeeks,1,0)</f>
        <v/>
      </c>
      <c r="I114">
        <f>INDEX(ChLaunch,MATCH(E114,ChName,0))</f>
        <v/>
      </c>
      <c r="J114">
        <f>INDEX(ChWeeksFull,MATCH(E114,ChName,0))</f>
        <v/>
      </c>
      <c r="K114">
        <f>INDEX(ChRamp,MATCH(E114,ChName,0))</f>
        <v/>
      </c>
      <c r="L114" s="45">
        <f>MIN(1,MAX(0,(A114-I114+1)*RampSpeed/J114))</f>
        <v/>
      </c>
      <c r="M114" s="45">
        <f>IF(A114&lt;I114,0,IF(K114="S-curve",L114*L114*(3-2*L114),L114))</f>
        <v/>
      </c>
      <c r="N114" s="45">
        <f>1+(INDEX(SeasonIdx,A114)-1)*SeasonAmp</f>
        <v/>
      </c>
      <c r="O114" s="45">
        <f>IFERROR(INDEX(PSPct,MATCH(E114&amp;"|"&amp;G114,PSKey,0)),0)</f>
        <v/>
      </c>
      <c r="P114" s="46">
        <f>INDEX(ChDoorVel,MATCH(E114,ChName,0))*CalibScalar*(1+VelocityUplift)</f>
        <v/>
      </c>
      <c r="Q114" s="46" t="n">
        <v>0</v>
      </c>
      <c r="R114" s="46">
        <f>P114*O114*M114*N114*H114</f>
        <v/>
      </c>
      <c r="S114" s="46">
        <f>R114*INDEX(FmtCansPerCase,MATCH(F114,FmtName,0))</f>
        <v/>
      </c>
      <c r="T114" s="46">
        <f>S114/INDEX(FmtCansPerPack,MATCH(F114,FmtName,0))</f>
        <v/>
      </c>
      <c r="U114" s="47">
        <f>INDEX(ChBaseCP,MATCH(E114,ChName,0))*(1+INDEX(ProvMod,MATCH(G114,ProvCode,0)))*(1+PriceIndex)</f>
        <v/>
      </c>
      <c r="V114" s="47">
        <f>R114*U114*INDEX(FmtBlendedPriceIdx,MATCH(F114,FmtName,0))</f>
        <v/>
      </c>
      <c r="W114" s="47">
        <f>T114*INDEX(ProvSRP,MATCH(G114,ProvCode,0))*(1+PriceIndex)</f>
        <v/>
      </c>
      <c r="X114" s="47">
        <f>IF(GrossBasis="Wholesale",V114,W114)</f>
        <v/>
      </c>
      <c r="Y114" s="47">
        <f>R114*INDEX(FmtBlendedCogs,MATCH(F114,FmtName,0))</f>
        <v/>
      </c>
      <c r="Z114" s="47">
        <f>X114-Y114</f>
        <v/>
      </c>
    </row>
    <row r="115">
      <c r="A115" t="n">
        <v>8</v>
      </c>
      <c r="B115" s="44">
        <f>FiscalStart+(A115-1)*7</f>
        <v/>
      </c>
      <c r="C115">
        <f>TEXT(B115,"mmm yyyy")</f>
        <v/>
      </c>
      <c r="D115">
        <f>"Q"&amp;(INT((A115-1)/13)+1)</f>
        <v/>
      </c>
      <c r="E115" t="inlineStr">
        <is>
          <t>Convenience</t>
        </is>
      </c>
      <c r="F115">
        <f>IFERROR(INDEX(ChFormat,MATCH(E115,ChName,0)),"")</f>
        <v/>
      </c>
      <c r="G115" t="inlineStr">
        <is>
          <t>SK</t>
        </is>
      </c>
      <c r="H115">
        <f>IF(A115&lt;=NWeeks,1,0)</f>
        <v/>
      </c>
      <c r="I115">
        <f>INDEX(ChLaunch,MATCH(E115,ChName,0))</f>
        <v/>
      </c>
      <c r="J115">
        <f>INDEX(ChWeeksFull,MATCH(E115,ChName,0))</f>
        <v/>
      </c>
      <c r="K115">
        <f>INDEX(ChRamp,MATCH(E115,ChName,0))</f>
        <v/>
      </c>
      <c r="L115" s="45">
        <f>MIN(1,MAX(0,(A115-I115+1)*RampSpeed/J115))</f>
        <v/>
      </c>
      <c r="M115" s="45">
        <f>IF(A115&lt;I115,0,IF(K115="S-curve",L115*L115*(3-2*L115),L115))</f>
        <v/>
      </c>
      <c r="N115" s="45">
        <f>1+(INDEX(SeasonIdx,A115)-1)*SeasonAmp</f>
        <v/>
      </c>
      <c r="O115" s="45">
        <f>IFERROR(INDEX(PSPct,MATCH(E115&amp;"|"&amp;G115,PSKey,0)),0)</f>
        <v/>
      </c>
      <c r="P115" s="46">
        <f>INDEX(ChDoorVel,MATCH(E115,ChName,0))*CalibScalar*(1+VelocityUplift)</f>
        <v/>
      </c>
      <c r="Q115" s="46" t="n">
        <v>0</v>
      </c>
      <c r="R115" s="46">
        <f>P115*O115*M115*N115*H115</f>
        <v/>
      </c>
      <c r="S115" s="46">
        <f>R115*INDEX(FmtCansPerCase,MATCH(F115,FmtName,0))</f>
        <v/>
      </c>
      <c r="T115" s="46">
        <f>S115/INDEX(FmtCansPerPack,MATCH(F115,FmtName,0))</f>
        <v/>
      </c>
      <c r="U115" s="47">
        <f>INDEX(ChBaseCP,MATCH(E115,ChName,0))*(1+INDEX(ProvMod,MATCH(G115,ProvCode,0)))*(1+PriceIndex)</f>
        <v/>
      </c>
      <c r="V115" s="47">
        <f>R115*U115*INDEX(FmtBlendedPriceIdx,MATCH(F115,FmtName,0))</f>
        <v/>
      </c>
      <c r="W115" s="47">
        <f>T115*INDEX(ProvSRP,MATCH(G115,ProvCode,0))*(1+PriceIndex)</f>
        <v/>
      </c>
      <c r="X115" s="47">
        <f>IF(GrossBasis="Wholesale",V115,W115)</f>
        <v/>
      </c>
      <c r="Y115" s="47">
        <f>R115*INDEX(FmtBlendedCogs,MATCH(F115,FmtName,0))</f>
        <v/>
      </c>
      <c r="Z115" s="47">
        <f>X115-Y115</f>
        <v/>
      </c>
    </row>
    <row r="116">
      <c r="A116" t="n">
        <v>9</v>
      </c>
      <c r="B116" s="44">
        <f>FiscalStart+(A116-1)*7</f>
        <v/>
      </c>
      <c r="C116">
        <f>TEXT(B116,"mmm yyyy")</f>
        <v/>
      </c>
      <c r="D116">
        <f>"Q"&amp;(INT((A116-1)/13)+1)</f>
        <v/>
      </c>
      <c r="E116" t="inlineStr">
        <is>
          <t>Convenience</t>
        </is>
      </c>
      <c r="F116">
        <f>IFERROR(INDEX(ChFormat,MATCH(E116,ChName,0)),"")</f>
        <v/>
      </c>
      <c r="G116" t="inlineStr">
        <is>
          <t>SK</t>
        </is>
      </c>
      <c r="H116">
        <f>IF(A116&lt;=NWeeks,1,0)</f>
        <v/>
      </c>
      <c r="I116">
        <f>INDEX(ChLaunch,MATCH(E116,ChName,0))</f>
        <v/>
      </c>
      <c r="J116">
        <f>INDEX(ChWeeksFull,MATCH(E116,ChName,0))</f>
        <v/>
      </c>
      <c r="K116">
        <f>INDEX(ChRamp,MATCH(E116,ChName,0))</f>
        <v/>
      </c>
      <c r="L116" s="45">
        <f>MIN(1,MAX(0,(A116-I116+1)*RampSpeed/J116))</f>
        <v/>
      </c>
      <c r="M116" s="45">
        <f>IF(A116&lt;I116,0,IF(K116="S-curve",L116*L116*(3-2*L116),L116))</f>
        <v/>
      </c>
      <c r="N116" s="45">
        <f>1+(INDEX(SeasonIdx,A116)-1)*SeasonAmp</f>
        <v/>
      </c>
      <c r="O116" s="45">
        <f>IFERROR(INDEX(PSPct,MATCH(E116&amp;"|"&amp;G116,PSKey,0)),0)</f>
        <v/>
      </c>
      <c r="P116" s="46">
        <f>INDEX(ChDoorVel,MATCH(E116,ChName,0))*CalibScalar*(1+VelocityUplift)</f>
        <v/>
      </c>
      <c r="Q116" s="46" t="n">
        <v>0</v>
      </c>
      <c r="R116" s="46">
        <f>P116*O116*M116*N116*H116</f>
        <v/>
      </c>
      <c r="S116" s="46">
        <f>R116*INDEX(FmtCansPerCase,MATCH(F116,FmtName,0))</f>
        <v/>
      </c>
      <c r="T116" s="46">
        <f>S116/INDEX(FmtCansPerPack,MATCH(F116,FmtName,0))</f>
        <v/>
      </c>
      <c r="U116" s="47">
        <f>INDEX(ChBaseCP,MATCH(E116,ChName,0))*(1+INDEX(ProvMod,MATCH(G116,ProvCode,0)))*(1+PriceIndex)</f>
        <v/>
      </c>
      <c r="V116" s="47">
        <f>R116*U116*INDEX(FmtBlendedPriceIdx,MATCH(F116,FmtName,0))</f>
        <v/>
      </c>
      <c r="W116" s="47">
        <f>T116*INDEX(ProvSRP,MATCH(G116,ProvCode,0))*(1+PriceIndex)</f>
        <v/>
      </c>
      <c r="X116" s="47">
        <f>IF(GrossBasis="Wholesale",V116,W116)</f>
        <v/>
      </c>
      <c r="Y116" s="47">
        <f>R116*INDEX(FmtBlendedCogs,MATCH(F116,FmtName,0))</f>
        <v/>
      </c>
      <c r="Z116" s="47">
        <f>X116-Y116</f>
        <v/>
      </c>
    </row>
    <row r="117">
      <c r="A117" t="n">
        <v>10</v>
      </c>
      <c r="B117" s="44">
        <f>FiscalStart+(A117-1)*7</f>
        <v/>
      </c>
      <c r="C117">
        <f>TEXT(B117,"mmm yyyy")</f>
        <v/>
      </c>
      <c r="D117">
        <f>"Q"&amp;(INT((A117-1)/13)+1)</f>
        <v/>
      </c>
      <c r="E117" t="inlineStr">
        <is>
          <t>Convenience</t>
        </is>
      </c>
      <c r="F117">
        <f>IFERROR(INDEX(ChFormat,MATCH(E117,ChName,0)),"")</f>
        <v/>
      </c>
      <c r="G117" t="inlineStr">
        <is>
          <t>SK</t>
        </is>
      </c>
      <c r="H117">
        <f>IF(A117&lt;=NWeeks,1,0)</f>
        <v/>
      </c>
      <c r="I117">
        <f>INDEX(ChLaunch,MATCH(E117,ChName,0))</f>
        <v/>
      </c>
      <c r="J117">
        <f>INDEX(ChWeeksFull,MATCH(E117,ChName,0))</f>
        <v/>
      </c>
      <c r="K117">
        <f>INDEX(ChRamp,MATCH(E117,ChName,0))</f>
        <v/>
      </c>
      <c r="L117" s="45">
        <f>MIN(1,MAX(0,(A117-I117+1)*RampSpeed/J117))</f>
        <v/>
      </c>
      <c r="M117" s="45">
        <f>IF(A117&lt;I117,0,IF(K117="S-curve",L117*L117*(3-2*L117),L117))</f>
        <v/>
      </c>
      <c r="N117" s="45">
        <f>1+(INDEX(SeasonIdx,A117)-1)*SeasonAmp</f>
        <v/>
      </c>
      <c r="O117" s="45">
        <f>IFERROR(INDEX(PSPct,MATCH(E117&amp;"|"&amp;G117,PSKey,0)),0)</f>
        <v/>
      </c>
      <c r="P117" s="46">
        <f>INDEX(ChDoorVel,MATCH(E117,ChName,0))*CalibScalar*(1+VelocityUplift)</f>
        <v/>
      </c>
      <c r="Q117" s="46" t="n">
        <v>0</v>
      </c>
      <c r="R117" s="46">
        <f>P117*O117*M117*N117*H117</f>
        <v/>
      </c>
      <c r="S117" s="46">
        <f>R117*INDEX(FmtCansPerCase,MATCH(F117,FmtName,0))</f>
        <v/>
      </c>
      <c r="T117" s="46">
        <f>S117/INDEX(FmtCansPerPack,MATCH(F117,FmtName,0))</f>
        <v/>
      </c>
      <c r="U117" s="47">
        <f>INDEX(ChBaseCP,MATCH(E117,ChName,0))*(1+INDEX(ProvMod,MATCH(G117,ProvCode,0)))*(1+PriceIndex)</f>
        <v/>
      </c>
      <c r="V117" s="47">
        <f>R117*U117*INDEX(FmtBlendedPriceIdx,MATCH(F117,FmtName,0))</f>
        <v/>
      </c>
      <c r="W117" s="47">
        <f>T117*INDEX(ProvSRP,MATCH(G117,ProvCode,0))*(1+PriceIndex)</f>
        <v/>
      </c>
      <c r="X117" s="47">
        <f>IF(GrossBasis="Wholesale",V117,W117)</f>
        <v/>
      </c>
      <c r="Y117" s="47">
        <f>R117*INDEX(FmtBlendedCogs,MATCH(F117,FmtName,0))</f>
        <v/>
      </c>
      <c r="Z117" s="47">
        <f>X117-Y117</f>
        <v/>
      </c>
    </row>
    <row r="118">
      <c r="A118" t="n">
        <v>11</v>
      </c>
      <c r="B118" s="44">
        <f>FiscalStart+(A118-1)*7</f>
        <v/>
      </c>
      <c r="C118">
        <f>TEXT(B118,"mmm yyyy")</f>
        <v/>
      </c>
      <c r="D118">
        <f>"Q"&amp;(INT((A118-1)/13)+1)</f>
        <v/>
      </c>
      <c r="E118" t="inlineStr">
        <is>
          <t>Convenience</t>
        </is>
      </c>
      <c r="F118">
        <f>IFERROR(INDEX(ChFormat,MATCH(E118,ChName,0)),"")</f>
        <v/>
      </c>
      <c r="G118" t="inlineStr">
        <is>
          <t>SK</t>
        </is>
      </c>
      <c r="H118">
        <f>IF(A118&lt;=NWeeks,1,0)</f>
        <v/>
      </c>
      <c r="I118">
        <f>INDEX(ChLaunch,MATCH(E118,ChName,0))</f>
        <v/>
      </c>
      <c r="J118">
        <f>INDEX(ChWeeksFull,MATCH(E118,ChName,0))</f>
        <v/>
      </c>
      <c r="K118">
        <f>INDEX(ChRamp,MATCH(E118,ChName,0))</f>
        <v/>
      </c>
      <c r="L118" s="45">
        <f>MIN(1,MAX(0,(A118-I118+1)*RampSpeed/J118))</f>
        <v/>
      </c>
      <c r="M118" s="45">
        <f>IF(A118&lt;I118,0,IF(K118="S-curve",L118*L118*(3-2*L118),L118))</f>
        <v/>
      </c>
      <c r="N118" s="45">
        <f>1+(INDEX(SeasonIdx,A118)-1)*SeasonAmp</f>
        <v/>
      </c>
      <c r="O118" s="45">
        <f>IFERROR(INDEX(PSPct,MATCH(E118&amp;"|"&amp;G118,PSKey,0)),0)</f>
        <v/>
      </c>
      <c r="P118" s="46">
        <f>INDEX(ChDoorVel,MATCH(E118,ChName,0))*CalibScalar*(1+VelocityUplift)</f>
        <v/>
      </c>
      <c r="Q118" s="46" t="n">
        <v>0</v>
      </c>
      <c r="R118" s="46">
        <f>P118*O118*M118*N118*H118</f>
        <v/>
      </c>
      <c r="S118" s="46">
        <f>R118*INDEX(FmtCansPerCase,MATCH(F118,FmtName,0))</f>
        <v/>
      </c>
      <c r="T118" s="46">
        <f>S118/INDEX(FmtCansPerPack,MATCH(F118,FmtName,0))</f>
        <v/>
      </c>
      <c r="U118" s="47">
        <f>INDEX(ChBaseCP,MATCH(E118,ChName,0))*(1+INDEX(ProvMod,MATCH(G118,ProvCode,0)))*(1+PriceIndex)</f>
        <v/>
      </c>
      <c r="V118" s="47">
        <f>R118*U118*INDEX(FmtBlendedPriceIdx,MATCH(F118,FmtName,0))</f>
        <v/>
      </c>
      <c r="W118" s="47">
        <f>T118*INDEX(ProvSRP,MATCH(G118,ProvCode,0))*(1+PriceIndex)</f>
        <v/>
      </c>
      <c r="X118" s="47">
        <f>IF(GrossBasis="Wholesale",V118,W118)</f>
        <v/>
      </c>
      <c r="Y118" s="47">
        <f>R118*INDEX(FmtBlendedCogs,MATCH(F118,FmtName,0))</f>
        <v/>
      </c>
      <c r="Z118" s="47">
        <f>X118-Y118</f>
        <v/>
      </c>
    </row>
    <row r="119">
      <c r="A119" t="n">
        <v>12</v>
      </c>
      <c r="B119" s="44">
        <f>FiscalStart+(A119-1)*7</f>
        <v/>
      </c>
      <c r="C119">
        <f>TEXT(B119,"mmm yyyy")</f>
        <v/>
      </c>
      <c r="D119">
        <f>"Q"&amp;(INT((A119-1)/13)+1)</f>
        <v/>
      </c>
      <c r="E119" t="inlineStr">
        <is>
          <t>Convenience</t>
        </is>
      </c>
      <c r="F119">
        <f>IFERROR(INDEX(ChFormat,MATCH(E119,ChName,0)),"")</f>
        <v/>
      </c>
      <c r="G119" t="inlineStr">
        <is>
          <t>SK</t>
        </is>
      </c>
      <c r="H119">
        <f>IF(A119&lt;=NWeeks,1,0)</f>
        <v/>
      </c>
      <c r="I119">
        <f>INDEX(ChLaunch,MATCH(E119,ChName,0))</f>
        <v/>
      </c>
      <c r="J119">
        <f>INDEX(ChWeeksFull,MATCH(E119,ChName,0))</f>
        <v/>
      </c>
      <c r="K119">
        <f>INDEX(ChRamp,MATCH(E119,ChName,0))</f>
        <v/>
      </c>
      <c r="L119" s="45">
        <f>MIN(1,MAX(0,(A119-I119+1)*RampSpeed/J119))</f>
        <v/>
      </c>
      <c r="M119" s="45">
        <f>IF(A119&lt;I119,0,IF(K119="S-curve",L119*L119*(3-2*L119),L119))</f>
        <v/>
      </c>
      <c r="N119" s="45">
        <f>1+(INDEX(SeasonIdx,A119)-1)*SeasonAmp</f>
        <v/>
      </c>
      <c r="O119" s="45">
        <f>IFERROR(INDEX(PSPct,MATCH(E119&amp;"|"&amp;G119,PSKey,0)),0)</f>
        <v/>
      </c>
      <c r="P119" s="46">
        <f>INDEX(ChDoorVel,MATCH(E119,ChName,0))*CalibScalar*(1+VelocityUplift)</f>
        <v/>
      </c>
      <c r="Q119" s="46" t="n">
        <v>0</v>
      </c>
      <c r="R119" s="46">
        <f>P119*O119*M119*N119*H119</f>
        <v/>
      </c>
      <c r="S119" s="46">
        <f>R119*INDEX(FmtCansPerCase,MATCH(F119,FmtName,0))</f>
        <v/>
      </c>
      <c r="T119" s="46">
        <f>S119/INDEX(FmtCansPerPack,MATCH(F119,FmtName,0))</f>
        <v/>
      </c>
      <c r="U119" s="47">
        <f>INDEX(ChBaseCP,MATCH(E119,ChName,0))*(1+INDEX(ProvMod,MATCH(G119,ProvCode,0)))*(1+PriceIndex)</f>
        <v/>
      </c>
      <c r="V119" s="47">
        <f>R119*U119*INDEX(FmtBlendedPriceIdx,MATCH(F119,FmtName,0))</f>
        <v/>
      </c>
      <c r="W119" s="47">
        <f>T119*INDEX(ProvSRP,MATCH(G119,ProvCode,0))*(1+PriceIndex)</f>
        <v/>
      </c>
      <c r="X119" s="47">
        <f>IF(GrossBasis="Wholesale",V119,W119)</f>
        <v/>
      </c>
      <c r="Y119" s="47">
        <f>R119*INDEX(FmtBlendedCogs,MATCH(F119,FmtName,0))</f>
        <v/>
      </c>
      <c r="Z119" s="47">
        <f>X119-Y119</f>
        <v/>
      </c>
    </row>
    <row r="120">
      <c r="A120" t="n">
        <v>13</v>
      </c>
      <c r="B120" s="44">
        <f>FiscalStart+(A120-1)*7</f>
        <v/>
      </c>
      <c r="C120">
        <f>TEXT(B120,"mmm yyyy")</f>
        <v/>
      </c>
      <c r="D120">
        <f>"Q"&amp;(INT((A120-1)/13)+1)</f>
        <v/>
      </c>
      <c r="E120" t="inlineStr">
        <is>
          <t>Convenience</t>
        </is>
      </c>
      <c r="F120">
        <f>IFERROR(INDEX(ChFormat,MATCH(E120,ChName,0)),"")</f>
        <v/>
      </c>
      <c r="G120" t="inlineStr">
        <is>
          <t>SK</t>
        </is>
      </c>
      <c r="H120">
        <f>IF(A120&lt;=NWeeks,1,0)</f>
        <v/>
      </c>
      <c r="I120">
        <f>INDEX(ChLaunch,MATCH(E120,ChName,0))</f>
        <v/>
      </c>
      <c r="J120">
        <f>INDEX(ChWeeksFull,MATCH(E120,ChName,0))</f>
        <v/>
      </c>
      <c r="K120">
        <f>INDEX(ChRamp,MATCH(E120,ChName,0))</f>
        <v/>
      </c>
      <c r="L120" s="45">
        <f>MIN(1,MAX(0,(A120-I120+1)*RampSpeed/J120))</f>
        <v/>
      </c>
      <c r="M120" s="45">
        <f>IF(A120&lt;I120,0,IF(K120="S-curve",L120*L120*(3-2*L120),L120))</f>
        <v/>
      </c>
      <c r="N120" s="45">
        <f>1+(INDEX(SeasonIdx,A120)-1)*SeasonAmp</f>
        <v/>
      </c>
      <c r="O120" s="45">
        <f>IFERROR(INDEX(PSPct,MATCH(E120&amp;"|"&amp;G120,PSKey,0)),0)</f>
        <v/>
      </c>
      <c r="P120" s="46">
        <f>INDEX(ChDoorVel,MATCH(E120,ChName,0))*CalibScalar*(1+VelocityUplift)</f>
        <v/>
      </c>
      <c r="Q120" s="46" t="n">
        <v>0</v>
      </c>
      <c r="R120" s="46">
        <f>P120*O120*M120*N120*H120</f>
        <v/>
      </c>
      <c r="S120" s="46">
        <f>R120*INDEX(FmtCansPerCase,MATCH(F120,FmtName,0))</f>
        <v/>
      </c>
      <c r="T120" s="46">
        <f>S120/INDEX(FmtCansPerPack,MATCH(F120,FmtName,0))</f>
        <v/>
      </c>
      <c r="U120" s="47">
        <f>INDEX(ChBaseCP,MATCH(E120,ChName,0))*(1+INDEX(ProvMod,MATCH(G120,ProvCode,0)))*(1+PriceIndex)</f>
        <v/>
      </c>
      <c r="V120" s="47">
        <f>R120*U120*INDEX(FmtBlendedPriceIdx,MATCH(F120,FmtName,0))</f>
        <v/>
      </c>
      <c r="W120" s="47">
        <f>T120*INDEX(ProvSRP,MATCH(G120,ProvCode,0))*(1+PriceIndex)</f>
        <v/>
      </c>
      <c r="X120" s="47">
        <f>IF(GrossBasis="Wholesale",V120,W120)</f>
        <v/>
      </c>
      <c r="Y120" s="47">
        <f>R120*INDEX(FmtBlendedCogs,MATCH(F120,FmtName,0))</f>
        <v/>
      </c>
      <c r="Z120" s="47">
        <f>X120-Y120</f>
        <v/>
      </c>
    </row>
    <row r="121">
      <c r="A121" t="n">
        <v>14</v>
      </c>
      <c r="B121" s="44">
        <f>FiscalStart+(A121-1)*7</f>
        <v/>
      </c>
      <c r="C121">
        <f>TEXT(B121,"mmm yyyy")</f>
        <v/>
      </c>
      <c r="D121">
        <f>"Q"&amp;(INT((A121-1)/13)+1)</f>
        <v/>
      </c>
      <c r="E121" t="inlineStr">
        <is>
          <t>Convenience</t>
        </is>
      </c>
      <c r="F121">
        <f>IFERROR(INDEX(ChFormat,MATCH(E121,ChName,0)),"")</f>
        <v/>
      </c>
      <c r="G121" t="inlineStr">
        <is>
          <t>SK</t>
        </is>
      </c>
      <c r="H121">
        <f>IF(A121&lt;=NWeeks,1,0)</f>
        <v/>
      </c>
      <c r="I121">
        <f>INDEX(ChLaunch,MATCH(E121,ChName,0))</f>
        <v/>
      </c>
      <c r="J121">
        <f>INDEX(ChWeeksFull,MATCH(E121,ChName,0))</f>
        <v/>
      </c>
      <c r="K121">
        <f>INDEX(ChRamp,MATCH(E121,ChName,0))</f>
        <v/>
      </c>
      <c r="L121" s="45">
        <f>MIN(1,MAX(0,(A121-I121+1)*RampSpeed/J121))</f>
        <v/>
      </c>
      <c r="M121" s="45">
        <f>IF(A121&lt;I121,0,IF(K121="S-curve",L121*L121*(3-2*L121),L121))</f>
        <v/>
      </c>
      <c r="N121" s="45">
        <f>1+(INDEX(SeasonIdx,A121)-1)*SeasonAmp</f>
        <v/>
      </c>
      <c r="O121" s="45">
        <f>IFERROR(INDEX(PSPct,MATCH(E121&amp;"|"&amp;G121,PSKey,0)),0)</f>
        <v/>
      </c>
      <c r="P121" s="46">
        <f>INDEX(ChDoorVel,MATCH(E121,ChName,0))*CalibScalar*(1+VelocityUplift)</f>
        <v/>
      </c>
      <c r="Q121" s="46" t="n">
        <v>0</v>
      </c>
      <c r="R121" s="46">
        <f>P121*O121*M121*N121*H121</f>
        <v/>
      </c>
      <c r="S121" s="46">
        <f>R121*INDEX(FmtCansPerCase,MATCH(F121,FmtName,0))</f>
        <v/>
      </c>
      <c r="T121" s="46">
        <f>S121/INDEX(FmtCansPerPack,MATCH(F121,FmtName,0))</f>
        <v/>
      </c>
      <c r="U121" s="47">
        <f>INDEX(ChBaseCP,MATCH(E121,ChName,0))*(1+INDEX(ProvMod,MATCH(G121,ProvCode,0)))*(1+PriceIndex)</f>
        <v/>
      </c>
      <c r="V121" s="47">
        <f>R121*U121*INDEX(FmtBlendedPriceIdx,MATCH(F121,FmtName,0))</f>
        <v/>
      </c>
      <c r="W121" s="47">
        <f>T121*INDEX(ProvSRP,MATCH(G121,ProvCode,0))*(1+PriceIndex)</f>
        <v/>
      </c>
      <c r="X121" s="47">
        <f>IF(GrossBasis="Wholesale",V121,W121)</f>
        <v/>
      </c>
      <c r="Y121" s="47">
        <f>R121*INDEX(FmtBlendedCogs,MATCH(F121,FmtName,0))</f>
        <v/>
      </c>
      <c r="Z121" s="47">
        <f>X121-Y121</f>
        <v/>
      </c>
    </row>
    <row r="122">
      <c r="A122" t="n">
        <v>15</v>
      </c>
      <c r="B122" s="44">
        <f>FiscalStart+(A122-1)*7</f>
        <v/>
      </c>
      <c r="C122">
        <f>TEXT(B122,"mmm yyyy")</f>
        <v/>
      </c>
      <c r="D122">
        <f>"Q"&amp;(INT((A122-1)/13)+1)</f>
        <v/>
      </c>
      <c r="E122" t="inlineStr">
        <is>
          <t>Convenience</t>
        </is>
      </c>
      <c r="F122">
        <f>IFERROR(INDEX(ChFormat,MATCH(E122,ChName,0)),"")</f>
        <v/>
      </c>
      <c r="G122" t="inlineStr">
        <is>
          <t>SK</t>
        </is>
      </c>
      <c r="H122">
        <f>IF(A122&lt;=NWeeks,1,0)</f>
        <v/>
      </c>
      <c r="I122">
        <f>INDEX(ChLaunch,MATCH(E122,ChName,0))</f>
        <v/>
      </c>
      <c r="J122">
        <f>INDEX(ChWeeksFull,MATCH(E122,ChName,0))</f>
        <v/>
      </c>
      <c r="K122">
        <f>INDEX(ChRamp,MATCH(E122,ChName,0))</f>
        <v/>
      </c>
      <c r="L122" s="45">
        <f>MIN(1,MAX(0,(A122-I122+1)*RampSpeed/J122))</f>
        <v/>
      </c>
      <c r="M122" s="45">
        <f>IF(A122&lt;I122,0,IF(K122="S-curve",L122*L122*(3-2*L122),L122))</f>
        <v/>
      </c>
      <c r="N122" s="45">
        <f>1+(INDEX(SeasonIdx,A122)-1)*SeasonAmp</f>
        <v/>
      </c>
      <c r="O122" s="45">
        <f>IFERROR(INDEX(PSPct,MATCH(E122&amp;"|"&amp;G122,PSKey,0)),0)</f>
        <v/>
      </c>
      <c r="P122" s="46">
        <f>INDEX(ChDoorVel,MATCH(E122,ChName,0))*CalibScalar*(1+VelocityUplift)</f>
        <v/>
      </c>
      <c r="Q122" s="46" t="n">
        <v>0</v>
      </c>
      <c r="R122" s="46">
        <f>P122*O122*M122*N122*H122</f>
        <v/>
      </c>
      <c r="S122" s="46">
        <f>R122*INDEX(FmtCansPerCase,MATCH(F122,FmtName,0))</f>
        <v/>
      </c>
      <c r="T122" s="46">
        <f>S122/INDEX(FmtCansPerPack,MATCH(F122,FmtName,0))</f>
        <v/>
      </c>
      <c r="U122" s="47">
        <f>INDEX(ChBaseCP,MATCH(E122,ChName,0))*(1+INDEX(ProvMod,MATCH(G122,ProvCode,0)))*(1+PriceIndex)</f>
        <v/>
      </c>
      <c r="V122" s="47">
        <f>R122*U122*INDEX(FmtBlendedPriceIdx,MATCH(F122,FmtName,0))</f>
        <v/>
      </c>
      <c r="W122" s="47">
        <f>T122*INDEX(ProvSRP,MATCH(G122,ProvCode,0))*(1+PriceIndex)</f>
        <v/>
      </c>
      <c r="X122" s="47">
        <f>IF(GrossBasis="Wholesale",V122,W122)</f>
        <v/>
      </c>
      <c r="Y122" s="47">
        <f>R122*INDEX(FmtBlendedCogs,MATCH(F122,FmtName,0))</f>
        <v/>
      </c>
      <c r="Z122" s="47">
        <f>X122-Y122</f>
        <v/>
      </c>
    </row>
    <row r="123">
      <c r="A123" t="n">
        <v>16</v>
      </c>
      <c r="B123" s="44">
        <f>FiscalStart+(A123-1)*7</f>
        <v/>
      </c>
      <c r="C123">
        <f>TEXT(B123,"mmm yyyy")</f>
        <v/>
      </c>
      <c r="D123">
        <f>"Q"&amp;(INT((A123-1)/13)+1)</f>
        <v/>
      </c>
      <c r="E123" t="inlineStr">
        <is>
          <t>Convenience</t>
        </is>
      </c>
      <c r="F123">
        <f>IFERROR(INDEX(ChFormat,MATCH(E123,ChName,0)),"")</f>
        <v/>
      </c>
      <c r="G123" t="inlineStr">
        <is>
          <t>SK</t>
        </is>
      </c>
      <c r="H123">
        <f>IF(A123&lt;=NWeeks,1,0)</f>
        <v/>
      </c>
      <c r="I123">
        <f>INDEX(ChLaunch,MATCH(E123,ChName,0))</f>
        <v/>
      </c>
      <c r="J123">
        <f>INDEX(ChWeeksFull,MATCH(E123,ChName,0))</f>
        <v/>
      </c>
      <c r="K123">
        <f>INDEX(ChRamp,MATCH(E123,ChName,0))</f>
        <v/>
      </c>
      <c r="L123" s="45">
        <f>MIN(1,MAX(0,(A123-I123+1)*RampSpeed/J123))</f>
        <v/>
      </c>
      <c r="M123" s="45">
        <f>IF(A123&lt;I123,0,IF(K123="S-curve",L123*L123*(3-2*L123),L123))</f>
        <v/>
      </c>
      <c r="N123" s="45">
        <f>1+(INDEX(SeasonIdx,A123)-1)*SeasonAmp</f>
        <v/>
      </c>
      <c r="O123" s="45">
        <f>IFERROR(INDEX(PSPct,MATCH(E123&amp;"|"&amp;G123,PSKey,0)),0)</f>
        <v/>
      </c>
      <c r="P123" s="46">
        <f>INDEX(ChDoorVel,MATCH(E123,ChName,0))*CalibScalar*(1+VelocityUplift)</f>
        <v/>
      </c>
      <c r="Q123" s="46" t="n">
        <v>0</v>
      </c>
      <c r="R123" s="46">
        <f>P123*O123*M123*N123*H123</f>
        <v/>
      </c>
      <c r="S123" s="46">
        <f>R123*INDEX(FmtCansPerCase,MATCH(F123,FmtName,0))</f>
        <v/>
      </c>
      <c r="T123" s="46">
        <f>S123/INDEX(FmtCansPerPack,MATCH(F123,FmtName,0))</f>
        <v/>
      </c>
      <c r="U123" s="47">
        <f>INDEX(ChBaseCP,MATCH(E123,ChName,0))*(1+INDEX(ProvMod,MATCH(G123,ProvCode,0)))*(1+PriceIndex)</f>
        <v/>
      </c>
      <c r="V123" s="47">
        <f>R123*U123*INDEX(FmtBlendedPriceIdx,MATCH(F123,FmtName,0))</f>
        <v/>
      </c>
      <c r="W123" s="47">
        <f>T123*INDEX(ProvSRP,MATCH(G123,ProvCode,0))*(1+PriceIndex)</f>
        <v/>
      </c>
      <c r="X123" s="47">
        <f>IF(GrossBasis="Wholesale",V123,W123)</f>
        <v/>
      </c>
      <c r="Y123" s="47">
        <f>R123*INDEX(FmtBlendedCogs,MATCH(F123,FmtName,0))</f>
        <v/>
      </c>
      <c r="Z123" s="47">
        <f>X123-Y123</f>
        <v/>
      </c>
    </row>
    <row r="124">
      <c r="A124" t="n">
        <v>17</v>
      </c>
      <c r="B124" s="44">
        <f>FiscalStart+(A124-1)*7</f>
        <v/>
      </c>
      <c r="C124">
        <f>TEXT(B124,"mmm yyyy")</f>
        <v/>
      </c>
      <c r="D124">
        <f>"Q"&amp;(INT((A124-1)/13)+1)</f>
        <v/>
      </c>
      <c r="E124" t="inlineStr">
        <is>
          <t>Convenience</t>
        </is>
      </c>
      <c r="F124">
        <f>IFERROR(INDEX(ChFormat,MATCH(E124,ChName,0)),"")</f>
        <v/>
      </c>
      <c r="G124" t="inlineStr">
        <is>
          <t>SK</t>
        </is>
      </c>
      <c r="H124">
        <f>IF(A124&lt;=NWeeks,1,0)</f>
        <v/>
      </c>
      <c r="I124">
        <f>INDEX(ChLaunch,MATCH(E124,ChName,0))</f>
        <v/>
      </c>
      <c r="J124">
        <f>INDEX(ChWeeksFull,MATCH(E124,ChName,0))</f>
        <v/>
      </c>
      <c r="K124">
        <f>INDEX(ChRamp,MATCH(E124,ChName,0))</f>
        <v/>
      </c>
      <c r="L124" s="45">
        <f>MIN(1,MAX(0,(A124-I124+1)*RampSpeed/J124))</f>
        <v/>
      </c>
      <c r="M124" s="45">
        <f>IF(A124&lt;I124,0,IF(K124="S-curve",L124*L124*(3-2*L124),L124))</f>
        <v/>
      </c>
      <c r="N124" s="45">
        <f>1+(INDEX(SeasonIdx,A124)-1)*SeasonAmp</f>
        <v/>
      </c>
      <c r="O124" s="45">
        <f>IFERROR(INDEX(PSPct,MATCH(E124&amp;"|"&amp;G124,PSKey,0)),0)</f>
        <v/>
      </c>
      <c r="P124" s="46">
        <f>INDEX(ChDoorVel,MATCH(E124,ChName,0))*CalibScalar*(1+VelocityUplift)</f>
        <v/>
      </c>
      <c r="Q124" s="46" t="n">
        <v>0</v>
      </c>
      <c r="R124" s="46">
        <f>P124*O124*M124*N124*H124</f>
        <v/>
      </c>
      <c r="S124" s="46">
        <f>R124*INDEX(FmtCansPerCase,MATCH(F124,FmtName,0))</f>
        <v/>
      </c>
      <c r="T124" s="46">
        <f>S124/INDEX(FmtCansPerPack,MATCH(F124,FmtName,0))</f>
        <v/>
      </c>
      <c r="U124" s="47">
        <f>INDEX(ChBaseCP,MATCH(E124,ChName,0))*(1+INDEX(ProvMod,MATCH(G124,ProvCode,0)))*(1+PriceIndex)</f>
        <v/>
      </c>
      <c r="V124" s="47">
        <f>R124*U124*INDEX(FmtBlendedPriceIdx,MATCH(F124,FmtName,0))</f>
        <v/>
      </c>
      <c r="W124" s="47">
        <f>T124*INDEX(ProvSRP,MATCH(G124,ProvCode,0))*(1+PriceIndex)</f>
        <v/>
      </c>
      <c r="X124" s="47">
        <f>IF(GrossBasis="Wholesale",V124,W124)</f>
        <v/>
      </c>
      <c r="Y124" s="47">
        <f>R124*INDEX(FmtBlendedCogs,MATCH(F124,FmtName,0))</f>
        <v/>
      </c>
      <c r="Z124" s="47">
        <f>X124-Y124</f>
        <v/>
      </c>
    </row>
    <row r="125">
      <c r="A125" t="n">
        <v>18</v>
      </c>
      <c r="B125" s="44">
        <f>FiscalStart+(A125-1)*7</f>
        <v/>
      </c>
      <c r="C125">
        <f>TEXT(B125,"mmm yyyy")</f>
        <v/>
      </c>
      <c r="D125">
        <f>"Q"&amp;(INT((A125-1)/13)+1)</f>
        <v/>
      </c>
      <c r="E125" t="inlineStr">
        <is>
          <t>Convenience</t>
        </is>
      </c>
      <c r="F125">
        <f>IFERROR(INDEX(ChFormat,MATCH(E125,ChName,0)),"")</f>
        <v/>
      </c>
      <c r="G125" t="inlineStr">
        <is>
          <t>SK</t>
        </is>
      </c>
      <c r="H125">
        <f>IF(A125&lt;=NWeeks,1,0)</f>
        <v/>
      </c>
      <c r="I125">
        <f>INDEX(ChLaunch,MATCH(E125,ChName,0))</f>
        <v/>
      </c>
      <c r="J125">
        <f>INDEX(ChWeeksFull,MATCH(E125,ChName,0))</f>
        <v/>
      </c>
      <c r="K125">
        <f>INDEX(ChRamp,MATCH(E125,ChName,0))</f>
        <v/>
      </c>
      <c r="L125" s="45">
        <f>MIN(1,MAX(0,(A125-I125+1)*RampSpeed/J125))</f>
        <v/>
      </c>
      <c r="M125" s="45">
        <f>IF(A125&lt;I125,0,IF(K125="S-curve",L125*L125*(3-2*L125),L125))</f>
        <v/>
      </c>
      <c r="N125" s="45">
        <f>1+(INDEX(SeasonIdx,A125)-1)*SeasonAmp</f>
        <v/>
      </c>
      <c r="O125" s="45">
        <f>IFERROR(INDEX(PSPct,MATCH(E125&amp;"|"&amp;G125,PSKey,0)),0)</f>
        <v/>
      </c>
      <c r="P125" s="46">
        <f>INDEX(ChDoorVel,MATCH(E125,ChName,0))*CalibScalar*(1+VelocityUplift)</f>
        <v/>
      </c>
      <c r="Q125" s="46" t="n">
        <v>0</v>
      </c>
      <c r="R125" s="46">
        <f>P125*O125*M125*N125*H125</f>
        <v/>
      </c>
      <c r="S125" s="46">
        <f>R125*INDEX(FmtCansPerCase,MATCH(F125,FmtName,0))</f>
        <v/>
      </c>
      <c r="T125" s="46">
        <f>S125/INDEX(FmtCansPerPack,MATCH(F125,FmtName,0))</f>
        <v/>
      </c>
      <c r="U125" s="47">
        <f>INDEX(ChBaseCP,MATCH(E125,ChName,0))*(1+INDEX(ProvMod,MATCH(G125,ProvCode,0)))*(1+PriceIndex)</f>
        <v/>
      </c>
      <c r="V125" s="47">
        <f>R125*U125*INDEX(FmtBlendedPriceIdx,MATCH(F125,FmtName,0))</f>
        <v/>
      </c>
      <c r="W125" s="47">
        <f>T125*INDEX(ProvSRP,MATCH(G125,ProvCode,0))*(1+PriceIndex)</f>
        <v/>
      </c>
      <c r="X125" s="47">
        <f>IF(GrossBasis="Wholesale",V125,W125)</f>
        <v/>
      </c>
      <c r="Y125" s="47">
        <f>R125*INDEX(FmtBlendedCogs,MATCH(F125,FmtName,0))</f>
        <v/>
      </c>
      <c r="Z125" s="47">
        <f>X125-Y125</f>
        <v/>
      </c>
    </row>
    <row r="126">
      <c r="A126" t="n">
        <v>19</v>
      </c>
      <c r="B126" s="44">
        <f>FiscalStart+(A126-1)*7</f>
        <v/>
      </c>
      <c r="C126">
        <f>TEXT(B126,"mmm yyyy")</f>
        <v/>
      </c>
      <c r="D126">
        <f>"Q"&amp;(INT((A126-1)/13)+1)</f>
        <v/>
      </c>
      <c r="E126" t="inlineStr">
        <is>
          <t>Convenience</t>
        </is>
      </c>
      <c r="F126">
        <f>IFERROR(INDEX(ChFormat,MATCH(E126,ChName,0)),"")</f>
        <v/>
      </c>
      <c r="G126" t="inlineStr">
        <is>
          <t>SK</t>
        </is>
      </c>
      <c r="H126">
        <f>IF(A126&lt;=NWeeks,1,0)</f>
        <v/>
      </c>
      <c r="I126">
        <f>INDEX(ChLaunch,MATCH(E126,ChName,0))</f>
        <v/>
      </c>
      <c r="J126">
        <f>INDEX(ChWeeksFull,MATCH(E126,ChName,0))</f>
        <v/>
      </c>
      <c r="K126">
        <f>INDEX(ChRamp,MATCH(E126,ChName,0))</f>
        <v/>
      </c>
      <c r="L126" s="45">
        <f>MIN(1,MAX(0,(A126-I126+1)*RampSpeed/J126))</f>
        <v/>
      </c>
      <c r="M126" s="45">
        <f>IF(A126&lt;I126,0,IF(K126="S-curve",L126*L126*(3-2*L126),L126))</f>
        <v/>
      </c>
      <c r="N126" s="45">
        <f>1+(INDEX(SeasonIdx,A126)-1)*SeasonAmp</f>
        <v/>
      </c>
      <c r="O126" s="45">
        <f>IFERROR(INDEX(PSPct,MATCH(E126&amp;"|"&amp;G126,PSKey,0)),0)</f>
        <v/>
      </c>
      <c r="P126" s="46">
        <f>INDEX(ChDoorVel,MATCH(E126,ChName,0))*CalibScalar*(1+VelocityUplift)</f>
        <v/>
      </c>
      <c r="Q126" s="46" t="n">
        <v>0</v>
      </c>
      <c r="R126" s="46">
        <f>P126*O126*M126*N126*H126</f>
        <v/>
      </c>
      <c r="S126" s="46">
        <f>R126*INDEX(FmtCansPerCase,MATCH(F126,FmtName,0))</f>
        <v/>
      </c>
      <c r="T126" s="46">
        <f>S126/INDEX(FmtCansPerPack,MATCH(F126,FmtName,0))</f>
        <v/>
      </c>
      <c r="U126" s="47">
        <f>INDEX(ChBaseCP,MATCH(E126,ChName,0))*(1+INDEX(ProvMod,MATCH(G126,ProvCode,0)))*(1+PriceIndex)</f>
        <v/>
      </c>
      <c r="V126" s="47">
        <f>R126*U126*INDEX(FmtBlendedPriceIdx,MATCH(F126,FmtName,0))</f>
        <v/>
      </c>
      <c r="W126" s="47">
        <f>T126*INDEX(ProvSRP,MATCH(G126,ProvCode,0))*(1+PriceIndex)</f>
        <v/>
      </c>
      <c r="X126" s="47">
        <f>IF(GrossBasis="Wholesale",V126,W126)</f>
        <v/>
      </c>
      <c r="Y126" s="47">
        <f>R126*INDEX(FmtBlendedCogs,MATCH(F126,FmtName,0))</f>
        <v/>
      </c>
      <c r="Z126" s="47">
        <f>X126-Y126</f>
        <v/>
      </c>
    </row>
    <row r="127">
      <c r="A127" t="n">
        <v>20</v>
      </c>
      <c r="B127" s="44">
        <f>FiscalStart+(A127-1)*7</f>
        <v/>
      </c>
      <c r="C127">
        <f>TEXT(B127,"mmm yyyy")</f>
        <v/>
      </c>
      <c r="D127">
        <f>"Q"&amp;(INT((A127-1)/13)+1)</f>
        <v/>
      </c>
      <c r="E127" t="inlineStr">
        <is>
          <t>Convenience</t>
        </is>
      </c>
      <c r="F127">
        <f>IFERROR(INDEX(ChFormat,MATCH(E127,ChName,0)),"")</f>
        <v/>
      </c>
      <c r="G127" t="inlineStr">
        <is>
          <t>SK</t>
        </is>
      </c>
      <c r="H127">
        <f>IF(A127&lt;=NWeeks,1,0)</f>
        <v/>
      </c>
      <c r="I127">
        <f>INDEX(ChLaunch,MATCH(E127,ChName,0))</f>
        <v/>
      </c>
      <c r="J127">
        <f>INDEX(ChWeeksFull,MATCH(E127,ChName,0))</f>
        <v/>
      </c>
      <c r="K127">
        <f>INDEX(ChRamp,MATCH(E127,ChName,0))</f>
        <v/>
      </c>
      <c r="L127" s="45">
        <f>MIN(1,MAX(0,(A127-I127+1)*RampSpeed/J127))</f>
        <v/>
      </c>
      <c r="M127" s="45">
        <f>IF(A127&lt;I127,0,IF(K127="S-curve",L127*L127*(3-2*L127),L127))</f>
        <v/>
      </c>
      <c r="N127" s="45">
        <f>1+(INDEX(SeasonIdx,A127)-1)*SeasonAmp</f>
        <v/>
      </c>
      <c r="O127" s="45">
        <f>IFERROR(INDEX(PSPct,MATCH(E127&amp;"|"&amp;G127,PSKey,0)),0)</f>
        <v/>
      </c>
      <c r="P127" s="46">
        <f>INDEX(ChDoorVel,MATCH(E127,ChName,0))*CalibScalar*(1+VelocityUplift)</f>
        <v/>
      </c>
      <c r="Q127" s="46" t="n">
        <v>0</v>
      </c>
      <c r="R127" s="46">
        <f>P127*O127*M127*N127*H127</f>
        <v/>
      </c>
      <c r="S127" s="46">
        <f>R127*INDEX(FmtCansPerCase,MATCH(F127,FmtName,0))</f>
        <v/>
      </c>
      <c r="T127" s="46">
        <f>S127/INDEX(FmtCansPerPack,MATCH(F127,FmtName,0))</f>
        <v/>
      </c>
      <c r="U127" s="47">
        <f>INDEX(ChBaseCP,MATCH(E127,ChName,0))*(1+INDEX(ProvMod,MATCH(G127,ProvCode,0)))*(1+PriceIndex)</f>
        <v/>
      </c>
      <c r="V127" s="47">
        <f>R127*U127*INDEX(FmtBlendedPriceIdx,MATCH(F127,FmtName,0))</f>
        <v/>
      </c>
      <c r="W127" s="47">
        <f>T127*INDEX(ProvSRP,MATCH(G127,ProvCode,0))*(1+PriceIndex)</f>
        <v/>
      </c>
      <c r="X127" s="47">
        <f>IF(GrossBasis="Wholesale",V127,W127)</f>
        <v/>
      </c>
      <c r="Y127" s="47">
        <f>R127*INDEX(FmtBlendedCogs,MATCH(F127,FmtName,0))</f>
        <v/>
      </c>
      <c r="Z127" s="47">
        <f>X127-Y127</f>
        <v/>
      </c>
    </row>
    <row r="128">
      <c r="A128" t="n">
        <v>21</v>
      </c>
      <c r="B128" s="44">
        <f>FiscalStart+(A128-1)*7</f>
        <v/>
      </c>
      <c r="C128">
        <f>TEXT(B128,"mmm yyyy")</f>
        <v/>
      </c>
      <c r="D128">
        <f>"Q"&amp;(INT((A128-1)/13)+1)</f>
        <v/>
      </c>
      <c r="E128" t="inlineStr">
        <is>
          <t>Convenience</t>
        </is>
      </c>
      <c r="F128">
        <f>IFERROR(INDEX(ChFormat,MATCH(E128,ChName,0)),"")</f>
        <v/>
      </c>
      <c r="G128" t="inlineStr">
        <is>
          <t>SK</t>
        </is>
      </c>
      <c r="H128">
        <f>IF(A128&lt;=NWeeks,1,0)</f>
        <v/>
      </c>
      <c r="I128">
        <f>INDEX(ChLaunch,MATCH(E128,ChName,0))</f>
        <v/>
      </c>
      <c r="J128">
        <f>INDEX(ChWeeksFull,MATCH(E128,ChName,0))</f>
        <v/>
      </c>
      <c r="K128">
        <f>INDEX(ChRamp,MATCH(E128,ChName,0))</f>
        <v/>
      </c>
      <c r="L128" s="45">
        <f>MIN(1,MAX(0,(A128-I128+1)*RampSpeed/J128))</f>
        <v/>
      </c>
      <c r="M128" s="45">
        <f>IF(A128&lt;I128,0,IF(K128="S-curve",L128*L128*(3-2*L128),L128))</f>
        <v/>
      </c>
      <c r="N128" s="45">
        <f>1+(INDEX(SeasonIdx,A128)-1)*SeasonAmp</f>
        <v/>
      </c>
      <c r="O128" s="45">
        <f>IFERROR(INDEX(PSPct,MATCH(E128&amp;"|"&amp;G128,PSKey,0)),0)</f>
        <v/>
      </c>
      <c r="P128" s="46">
        <f>INDEX(ChDoorVel,MATCH(E128,ChName,0))*CalibScalar*(1+VelocityUplift)</f>
        <v/>
      </c>
      <c r="Q128" s="46" t="n">
        <v>0</v>
      </c>
      <c r="R128" s="46">
        <f>P128*O128*M128*N128*H128</f>
        <v/>
      </c>
      <c r="S128" s="46">
        <f>R128*INDEX(FmtCansPerCase,MATCH(F128,FmtName,0))</f>
        <v/>
      </c>
      <c r="T128" s="46">
        <f>S128/INDEX(FmtCansPerPack,MATCH(F128,FmtName,0))</f>
        <v/>
      </c>
      <c r="U128" s="47">
        <f>INDEX(ChBaseCP,MATCH(E128,ChName,0))*(1+INDEX(ProvMod,MATCH(G128,ProvCode,0)))*(1+PriceIndex)</f>
        <v/>
      </c>
      <c r="V128" s="47">
        <f>R128*U128*INDEX(FmtBlendedPriceIdx,MATCH(F128,FmtName,0))</f>
        <v/>
      </c>
      <c r="W128" s="47">
        <f>T128*INDEX(ProvSRP,MATCH(G128,ProvCode,0))*(1+PriceIndex)</f>
        <v/>
      </c>
      <c r="X128" s="47">
        <f>IF(GrossBasis="Wholesale",V128,W128)</f>
        <v/>
      </c>
      <c r="Y128" s="47">
        <f>R128*INDEX(FmtBlendedCogs,MATCH(F128,FmtName,0))</f>
        <v/>
      </c>
      <c r="Z128" s="47">
        <f>X128-Y128</f>
        <v/>
      </c>
    </row>
    <row r="129">
      <c r="A129" t="n">
        <v>22</v>
      </c>
      <c r="B129" s="44">
        <f>FiscalStart+(A129-1)*7</f>
        <v/>
      </c>
      <c r="C129">
        <f>TEXT(B129,"mmm yyyy")</f>
        <v/>
      </c>
      <c r="D129">
        <f>"Q"&amp;(INT((A129-1)/13)+1)</f>
        <v/>
      </c>
      <c r="E129" t="inlineStr">
        <is>
          <t>Convenience</t>
        </is>
      </c>
      <c r="F129">
        <f>IFERROR(INDEX(ChFormat,MATCH(E129,ChName,0)),"")</f>
        <v/>
      </c>
      <c r="G129" t="inlineStr">
        <is>
          <t>SK</t>
        </is>
      </c>
      <c r="H129">
        <f>IF(A129&lt;=NWeeks,1,0)</f>
        <v/>
      </c>
      <c r="I129">
        <f>INDEX(ChLaunch,MATCH(E129,ChName,0))</f>
        <v/>
      </c>
      <c r="J129">
        <f>INDEX(ChWeeksFull,MATCH(E129,ChName,0))</f>
        <v/>
      </c>
      <c r="K129">
        <f>INDEX(ChRamp,MATCH(E129,ChName,0))</f>
        <v/>
      </c>
      <c r="L129" s="45">
        <f>MIN(1,MAX(0,(A129-I129+1)*RampSpeed/J129))</f>
        <v/>
      </c>
      <c r="M129" s="45">
        <f>IF(A129&lt;I129,0,IF(K129="S-curve",L129*L129*(3-2*L129),L129))</f>
        <v/>
      </c>
      <c r="N129" s="45">
        <f>1+(INDEX(SeasonIdx,A129)-1)*SeasonAmp</f>
        <v/>
      </c>
      <c r="O129" s="45">
        <f>IFERROR(INDEX(PSPct,MATCH(E129&amp;"|"&amp;G129,PSKey,0)),0)</f>
        <v/>
      </c>
      <c r="P129" s="46">
        <f>INDEX(ChDoorVel,MATCH(E129,ChName,0))*CalibScalar*(1+VelocityUplift)</f>
        <v/>
      </c>
      <c r="Q129" s="46" t="n">
        <v>0</v>
      </c>
      <c r="R129" s="46">
        <f>P129*O129*M129*N129*H129</f>
        <v/>
      </c>
      <c r="S129" s="46">
        <f>R129*INDEX(FmtCansPerCase,MATCH(F129,FmtName,0))</f>
        <v/>
      </c>
      <c r="T129" s="46">
        <f>S129/INDEX(FmtCansPerPack,MATCH(F129,FmtName,0))</f>
        <v/>
      </c>
      <c r="U129" s="47">
        <f>INDEX(ChBaseCP,MATCH(E129,ChName,0))*(1+INDEX(ProvMod,MATCH(G129,ProvCode,0)))*(1+PriceIndex)</f>
        <v/>
      </c>
      <c r="V129" s="47">
        <f>R129*U129*INDEX(FmtBlendedPriceIdx,MATCH(F129,FmtName,0))</f>
        <v/>
      </c>
      <c r="W129" s="47">
        <f>T129*INDEX(ProvSRP,MATCH(G129,ProvCode,0))*(1+PriceIndex)</f>
        <v/>
      </c>
      <c r="X129" s="47">
        <f>IF(GrossBasis="Wholesale",V129,W129)</f>
        <v/>
      </c>
      <c r="Y129" s="47">
        <f>R129*INDEX(FmtBlendedCogs,MATCH(F129,FmtName,0))</f>
        <v/>
      </c>
      <c r="Z129" s="47">
        <f>X129-Y129</f>
        <v/>
      </c>
    </row>
    <row r="130">
      <c r="A130" t="n">
        <v>23</v>
      </c>
      <c r="B130" s="44">
        <f>FiscalStart+(A130-1)*7</f>
        <v/>
      </c>
      <c r="C130">
        <f>TEXT(B130,"mmm yyyy")</f>
        <v/>
      </c>
      <c r="D130">
        <f>"Q"&amp;(INT((A130-1)/13)+1)</f>
        <v/>
      </c>
      <c r="E130" t="inlineStr">
        <is>
          <t>Convenience</t>
        </is>
      </c>
      <c r="F130">
        <f>IFERROR(INDEX(ChFormat,MATCH(E130,ChName,0)),"")</f>
        <v/>
      </c>
      <c r="G130" t="inlineStr">
        <is>
          <t>SK</t>
        </is>
      </c>
      <c r="H130">
        <f>IF(A130&lt;=NWeeks,1,0)</f>
        <v/>
      </c>
      <c r="I130">
        <f>INDEX(ChLaunch,MATCH(E130,ChName,0))</f>
        <v/>
      </c>
      <c r="J130">
        <f>INDEX(ChWeeksFull,MATCH(E130,ChName,0))</f>
        <v/>
      </c>
      <c r="K130">
        <f>INDEX(ChRamp,MATCH(E130,ChName,0))</f>
        <v/>
      </c>
      <c r="L130" s="45">
        <f>MIN(1,MAX(0,(A130-I130+1)*RampSpeed/J130))</f>
        <v/>
      </c>
      <c r="M130" s="45">
        <f>IF(A130&lt;I130,0,IF(K130="S-curve",L130*L130*(3-2*L130),L130))</f>
        <v/>
      </c>
      <c r="N130" s="45">
        <f>1+(INDEX(SeasonIdx,A130)-1)*SeasonAmp</f>
        <v/>
      </c>
      <c r="O130" s="45">
        <f>IFERROR(INDEX(PSPct,MATCH(E130&amp;"|"&amp;G130,PSKey,0)),0)</f>
        <v/>
      </c>
      <c r="P130" s="46">
        <f>INDEX(ChDoorVel,MATCH(E130,ChName,0))*CalibScalar*(1+VelocityUplift)</f>
        <v/>
      </c>
      <c r="Q130" s="46" t="n">
        <v>0</v>
      </c>
      <c r="R130" s="46">
        <f>P130*O130*M130*N130*H130</f>
        <v/>
      </c>
      <c r="S130" s="46">
        <f>R130*INDEX(FmtCansPerCase,MATCH(F130,FmtName,0))</f>
        <v/>
      </c>
      <c r="T130" s="46">
        <f>S130/INDEX(FmtCansPerPack,MATCH(F130,FmtName,0))</f>
        <v/>
      </c>
      <c r="U130" s="47">
        <f>INDEX(ChBaseCP,MATCH(E130,ChName,0))*(1+INDEX(ProvMod,MATCH(G130,ProvCode,0)))*(1+PriceIndex)</f>
        <v/>
      </c>
      <c r="V130" s="47">
        <f>R130*U130*INDEX(FmtBlendedPriceIdx,MATCH(F130,FmtName,0))</f>
        <v/>
      </c>
      <c r="W130" s="47">
        <f>T130*INDEX(ProvSRP,MATCH(G130,ProvCode,0))*(1+PriceIndex)</f>
        <v/>
      </c>
      <c r="X130" s="47">
        <f>IF(GrossBasis="Wholesale",V130,W130)</f>
        <v/>
      </c>
      <c r="Y130" s="47">
        <f>R130*INDEX(FmtBlendedCogs,MATCH(F130,FmtName,0))</f>
        <v/>
      </c>
      <c r="Z130" s="47">
        <f>X130-Y130</f>
        <v/>
      </c>
    </row>
    <row r="131">
      <c r="A131" t="n">
        <v>24</v>
      </c>
      <c r="B131" s="44">
        <f>FiscalStart+(A131-1)*7</f>
        <v/>
      </c>
      <c r="C131">
        <f>TEXT(B131,"mmm yyyy")</f>
        <v/>
      </c>
      <c r="D131">
        <f>"Q"&amp;(INT((A131-1)/13)+1)</f>
        <v/>
      </c>
      <c r="E131" t="inlineStr">
        <is>
          <t>Convenience</t>
        </is>
      </c>
      <c r="F131">
        <f>IFERROR(INDEX(ChFormat,MATCH(E131,ChName,0)),"")</f>
        <v/>
      </c>
      <c r="G131" t="inlineStr">
        <is>
          <t>SK</t>
        </is>
      </c>
      <c r="H131">
        <f>IF(A131&lt;=NWeeks,1,0)</f>
        <v/>
      </c>
      <c r="I131">
        <f>INDEX(ChLaunch,MATCH(E131,ChName,0))</f>
        <v/>
      </c>
      <c r="J131">
        <f>INDEX(ChWeeksFull,MATCH(E131,ChName,0))</f>
        <v/>
      </c>
      <c r="K131">
        <f>INDEX(ChRamp,MATCH(E131,ChName,0))</f>
        <v/>
      </c>
      <c r="L131" s="45">
        <f>MIN(1,MAX(0,(A131-I131+1)*RampSpeed/J131))</f>
        <v/>
      </c>
      <c r="M131" s="45">
        <f>IF(A131&lt;I131,0,IF(K131="S-curve",L131*L131*(3-2*L131),L131))</f>
        <v/>
      </c>
      <c r="N131" s="45">
        <f>1+(INDEX(SeasonIdx,A131)-1)*SeasonAmp</f>
        <v/>
      </c>
      <c r="O131" s="45">
        <f>IFERROR(INDEX(PSPct,MATCH(E131&amp;"|"&amp;G131,PSKey,0)),0)</f>
        <v/>
      </c>
      <c r="P131" s="46">
        <f>INDEX(ChDoorVel,MATCH(E131,ChName,0))*CalibScalar*(1+VelocityUplift)</f>
        <v/>
      </c>
      <c r="Q131" s="46" t="n">
        <v>0</v>
      </c>
      <c r="R131" s="46">
        <f>P131*O131*M131*N131*H131</f>
        <v/>
      </c>
      <c r="S131" s="46">
        <f>R131*INDEX(FmtCansPerCase,MATCH(F131,FmtName,0))</f>
        <v/>
      </c>
      <c r="T131" s="46">
        <f>S131/INDEX(FmtCansPerPack,MATCH(F131,FmtName,0))</f>
        <v/>
      </c>
      <c r="U131" s="47">
        <f>INDEX(ChBaseCP,MATCH(E131,ChName,0))*(1+INDEX(ProvMod,MATCH(G131,ProvCode,0)))*(1+PriceIndex)</f>
        <v/>
      </c>
      <c r="V131" s="47">
        <f>R131*U131*INDEX(FmtBlendedPriceIdx,MATCH(F131,FmtName,0))</f>
        <v/>
      </c>
      <c r="W131" s="47">
        <f>T131*INDEX(ProvSRP,MATCH(G131,ProvCode,0))*(1+PriceIndex)</f>
        <v/>
      </c>
      <c r="X131" s="47">
        <f>IF(GrossBasis="Wholesale",V131,W131)</f>
        <v/>
      </c>
      <c r="Y131" s="47">
        <f>R131*INDEX(FmtBlendedCogs,MATCH(F131,FmtName,0))</f>
        <v/>
      </c>
      <c r="Z131" s="47">
        <f>X131-Y131</f>
        <v/>
      </c>
    </row>
    <row r="132">
      <c r="A132" t="n">
        <v>25</v>
      </c>
      <c r="B132" s="44">
        <f>FiscalStart+(A132-1)*7</f>
        <v/>
      </c>
      <c r="C132">
        <f>TEXT(B132,"mmm yyyy")</f>
        <v/>
      </c>
      <c r="D132">
        <f>"Q"&amp;(INT((A132-1)/13)+1)</f>
        <v/>
      </c>
      <c r="E132" t="inlineStr">
        <is>
          <t>Convenience</t>
        </is>
      </c>
      <c r="F132">
        <f>IFERROR(INDEX(ChFormat,MATCH(E132,ChName,0)),"")</f>
        <v/>
      </c>
      <c r="G132" t="inlineStr">
        <is>
          <t>SK</t>
        </is>
      </c>
      <c r="H132">
        <f>IF(A132&lt;=NWeeks,1,0)</f>
        <v/>
      </c>
      <c r="I132">
        <f>INDEX(ChLaunch,MATCH(E132,ChName,0))</f>
        <v/>
      </c>
      <c r="J132">
        <f>INDEX(ChWeeksFull,MATCH(E132,ChName,0))</f>
        <v/>
      </c>
      <c r="K132">
        <f>INDEX(ChRamp,MATCH(E132,ChName,0))</f>
        <v/>
      </c>
      <c r="L132" s="45">
        <f>MIN(1,MAX(0,(A132-I132+1)*RampSpeed/J132))</f>
        <v/>
      </c>
      <c r="M132" s="45">
        <f>IF(A132&lt;I132,0,IF(K132="S-curve",L132*L132*(3-2*L132),L132))</f>
        <v/>
      </c>
      <c r="N132" s="45">
        <f>1+(INDEX(SeasonIdx,A132)-1)*SeasonAmp</f>
        <v/>
      </c>
      <c r="O132" s="45">
        <f>IFERROR(INDEX(PSPct,MATCH(E132&amp;"|"&amp;G132,PSKey,0)),0)</f>
        <v/>
      </c>
      <c r="P132" s="46">
        <f>INDEX(ChDoorVel,MATCH(E132,ChName,0))*CalibScalar*(1+VelocityUplift)</f>
        <v/>
      </c>
      <c r="Q132" s="46" t="n">
        <v>0</v>
      </c>
      <c r="R132" s="46">
        <f>P132*O132*M132*N132*H132</f>
        <v/>
      </c>
      <c r="S132" s="46">
        <f>R132*INDEX(FmtCansPerCase,MATCH(F132,FmtName,0))</f>
        <v/>
      </c>
      <c r="T132" s="46">
        <f>S132/INDEX(FmtCansPerPack,MATCH(F132,FmtName,0))</f>
        <v/>
      </c>
      <c r="U132" s="47">
        <f>INDEX(ChBaseCP,MATCH(E132,ChName,0))*(1+INDEX(ProvMod,MATCH(G132,ProvCode,0)))*(1+PriceIndex)</f>
        <v/>
      </c>
      <c r="V132" s="47">
        <f>R132*U132*INDEX(FmtBlendedPriceIdx,MATCH(F132,FmtName,0))</f>
        <v/>
      </c>
      <c r="W132" s="47">
        <f>T132*INDEX(ProvSRP,MATCH(G132,ProvCode,0))*(1+PriceIndex)</f>
        <v/>
      </c>
      <c r="X132" s="47">
        <f>IF(GrossBasis="Wholesale",V132,W132)</f>
        <v/>
      </c>
      <c r="Y132" s="47">
        <f>R132*INDEX(FmtBlendedCogs,MATCH(F132,FmtName,0))</f>
        <v/>
      </c>
      <c r="Z132" s="47">
        <f>X132-Y132</f>
        <v/>
      </c>
    </row>
    <row r="133">
      <c r="A133" t="n">
        <v>26</v>
      </c>
      <c r="B133" s="44">
        <f>FiscalStart+(A133-1)*7</f>
        <v/>
      </c>
      <c r="C133">
        <f>TEXT(B133,"mmm yyyy")</f>
        <v/>
      </c>
      <c r="D133">
        <f>"Q"&amp;(INT((A133-1)/13)+1)</f>
        <v/>
      </c>
      <c r="E133" t="inlineStr">
        <is>
          <t>Convenience</t>
        </is>
      </c>
      <c r="F133">
        <f>IFERROR(INDEX(ChFormat,MATCH(E133,ChName,0)),"")</f>
        <v/>
      </c>
      <c r="G133" t="inlineStr">
        <is>
          <t>SK</t>
        </is>
      </c>
      <c r="H133">
        <f>IF(A133&lt;=NWeeks,1,0)</f>
        <v/>
      </c>
      <c r="I133">
        <f>INDEX(ChLaunch,MATCH(E133,ChName,0))</f>
        <v/>
      </c>
      <c r="J133">
        <f>INDEX(ChWeeksFull,MATCH(E133,ChName,0))</f>
        <v/>
      </c>
      <c r="K133">
        <f>INDEX(ChRamp,MATCH(E133,ChName,0))</f>
        <v/>
      </c>
      <c r="L133" s="45">
        <f>MIN(1,MAX(0,(A133-I133+1)*RampSpeed/J133))</f>
        <v/>
      </c>
      <c r="M133" s="45">
        <f>IF(A133&lt;I133,0,IF(K133="S-curve",L133*L133*(3-2*L133),L133))</f>
        <v/>
      </c>
      <c r="N133" s="45">
        <f>1+(INDEX(SeasonIdx,A133)-1)*SeasonAmp</f>
        <v/>
      </c>
      <c r="O133" s="45">
        <f>IFERROR(INDEX(PSPct,MATCH(E133&amp;"|"&amp;G133,PSKey,0)),0)</f>
        <v/>
      </c>
      <c r="P133" s="46">
        <f>INDEX(ChDoorVel,MATCH(E133,ChName,0))*CalibScalar*(1+VelocityUplift)</f>
        <v/>
      </c>
      <c r="Q133" s="46" t="n">
        <v>0</v>
      </c>
      <c r="R133" s="46">
        <f>P133*O133*M133*N133*H133</f>
        <v/>
      </c>
      <c r="S133" s="46">
        <f>R133*INDEX(FmtCansPerCase,MATCH(F133,FmtName,0))</f>
        <v/>
      </c>
      <c r="T133" s="46">
        <f>S133/INDEX(FmtCansPerPack,MATCH(F133,FmtName,0))</f>
        <v/>
      </c>
      <c r="U133" s="47">
        <f>INDEX(ChBaseCP,MATCH(E133,ChName,0))*(1+INDEX(ProvMod,MATCH(G133,ProvCode,0)))*(1+PriceIndex)</f>
        <v/>
      </c>
      <c r="V133" s="47">
        <f>R133*U133*INDEX(FmtBlendedPriceIdx,MATCH(F133,FmtName,0))</f>
        <v/>
      </c>
      <c r="W133" s="47">
        <f>T133*INDEX(ProvSRP,MATCH(G133,ProvCode,0))*(1+PriceIndex)</f>
        <v/>
      </c>
      <c r="X133" s="47">
        <f>IF(GrossBasis="Wholesale",V133,W133)</f>
        <v/>
      </c>
      <c r="Y133" s="47">
        <f>R133*INDEX(FmtBlendedCogs,MATCH(F133,FmtName,0))</f>
        <v/>
      </c>
      <c r="Z133" s="47">
        <f>X133-Y133</f>
        <v/>
      </c>
    </row>
    <row r="134">
      <c r="A134" t="n">
        <v>27</v>
      </c>
      <c r="B134" s="44">
        <f>FiscalStart+(A134-1)*7</f>
        <v/>
      </c>
      <c r="C134">
        <f>TEXT(B134,"mmm yyyy")</f>
        <v/>
      </c>
      <c r="D134">
        <f>"Q"&amp;(INT((A134-1)/13)+1)</f>
        <v/>
      </c>
      <c r="E134" t="inlineStr">
        <is>
          <t>Convenience</t>
        </is>
      </c>
      <c r="F134">
        <f>IFERROR(INDEX(ChFormat,MATCH(E134,ChName,0)),"")</f>
        <v/>
      </c>
      <c r="G134" t="inlineStr">
        <is>
          <t>SK</t>
        </is>
      </c>
      <c r="H134">
        <f>IF(A134&lt;=NWeeks,1,0)</f>
        <v/>
      </c>
      <c r="I134">
        <f>INDEX(ChLaunch,MATCH(E134,ChName,0))</f>
        <v/>
      </c>
      <c r="J134">
        <f>INDEX(ChWeeksFull,MATCH(E134,ChName,0))</f>
        <v/>
      </c>
      <c r="K134">
        <f>INDEX(ChRamp,MATCH(E134,ChName,0))</f>
        <v/>
      </c>
      <c r="L134" s="45">
        <f>MIN(1,MAX(0,(A134-I134+1)*RampSpeed/J134))</f>
        <v/>
      </c>
      <c r="M134" s="45">
        <f>IF(A134&lt;I134,0,IF(K134="S-curve",L134*L134*(3-2*L134),L134))</f>
        <v/>
      </c>
      <c r="N134" s="45">
        <f>1+(INDEX(SeasonIdx,A134)-1)*SeasonAmp</f>
        <v/>
      </c>
      <c r="O134" s="45">
        <f>IFERROR(INDEX(PSPct,MATCH(E134&amp;"|"&amp;G134,PSKey,0)),0)</f>
        <v/>
      </c>
      <c r="P134" s="46">
        <f>INDEX(ChDoorVel,MATCH(E134,ChName,0))*CalibScalar*(1+VelocityUplift)</f>
        <v/>
      </c>
      <c r="Q134" s="46" t="n">
        <v>0</v>
      </c>
      <c r="R134" s="46">
        <f>P134*O134*M134*N134*H134</f>
        <v/>
      </c>
      <c r="S134" s="46">
        <f>R134*INDEX(FmtCansPerCase,MATCH(F134,FmtName,0))</f>
        <v/>
      </c>
      <c r="T134" s="46">
        <f>S134/INDEX(FmtCansPerPack,MATCH(F134,FmtName,0))</f>
        <v/>
      </c>
      <c r="U134" s="47">
        <f>INDEX(ChBaseCP,MATCH(E134,ChName,0))*(1+INDEX(ProvMod,MATCH(G134,ProvCode,0)))*(1+PriceIndex)</f>
        <v/>
      </c>
      <c r="V134" s="47">
        <f>R134*U134*INDEX(FmtBlendedPriceIdx,MATCH(F134,FmtName,0))</f>
        <v/>
      </c>
      <c r="W134" s="47">
        <f>T134*INDEX(ProvSRP,MATCH(G134,ProvCode,0))*(1+PriceIndex)</f>
        <v/>
      </c>
      <c r="X134" s="47">
        <f>IF(GrossBasis="Wholesale",V134,W134)</f>
        <v/>
      </c>
      <c r="Y134" s="47">
        <f>R134*INDEX(FmtBlendedCogs,MATCH(F134,FmtName,0))</f>
        <v/>
      </c>
      <c r="Z134" s="47">
        <f>X134-Y134</f>
        <v/>
      </c>
    </row>
    <row r="135">
      <c r="A135" t="n">
        <v>28</v>
      </c>
      <c r="B135" s="44">
        <f>FiscalStart+(A135-1)*7</f>
        <v/>
      </c>
      <c r="C135">
        <f>TEXT(B135,"mmm yyyy")</f>
        <v/>
      </c>
      <c r="D135">
        <f>"Q"&amp;(INT((A135-1)/13)+1)</f>
        <v/>
      </c>
      <c r="E135" t="inlineStr">
        <is>
          <t>Convenience</t>
        </is>
      </c>
      <c r="F135">
        <f>IFERROR(INDEX(ChFormat,MATCH(E135,ChName,0)),"")</f>
        <v/>
      </c>
      <c r="G135" t="inlineStr">
        <is>
          <t>SK</t>
        </is>
      </c>
      <c r="H135">
        <f>IF(A135&lt;=NWeeks,1,0)</f>
        <v/>
      </c>
      <c r="I135">
        <f>INDEX(ChLaunch,MATCH(E135,ChName,0))</f>
        <v/>
      </c>
      <c r="J135">
        <f>INDEX(ChWeeksFull,MATCH(E135,ChName,0))</f>
        <v/>
      </c>
      <c r="K135">
        <f>INDEX(ChRamp,MATCH(E135,ChName,0))</f>
        <v/>
      </c>
      <c r="L135" s="45">
        <f>MIN(1,MAX(0,(A135-I135+1)*RampSpeed/J135))</f>
        <v/>
      </c>
      <c r="M135" s="45">
        <f>IF(A135&lt;I135,0,IF(K135="S-curve",L135*L135*(3-2*L135),L135))</f>
        <v/>
      </c>
      <c r="N135" s="45">
        <f>1+(INDEX(SeasonIdx,A135)-1)*SeasonAmp</f>
        <v/>
      </c>
      <c r="O135" s="45">
        <f>IFERROR(INDEX(PSPct,MATCH(E135&amp;"|"&amp;G135,PSKey,0)),0)</f>
        <v/>
      </c>
      <c r="P135" s="46">
        <f>INDEX(ChDoorVel,MATCH(E135,ChName,0))*CalibScalar*(1+VelocityUplift)</f>
        <v/>
      </c>
      <c r="Q135" s="46" t="n">
        <v>0</v>
      </c>
      <c r="R135" s="46">
        <f>P135*O135*M135*N135*H135</f>
        <v/>
      </c>
      <c r="S135" s="46">
        <f>R135*INDEX(FmtCansPerCase,MATCH(F135,FmtName,0))</f>
        <v/>
      </c>
      <c r="T135" s="46">
        <f>S135/INDEX(FmtCansPerPack,MATCH(F135,FmtName,0))</f>
        <v/>
      </c>
      <c r="U135" s="47">
        <f>INDEX(ChBaseCP,MATCH(E135,ChName,0))*(1+INDEX(ProvMod,MATCH(G135,ProvCode,0)))*(1+PriceIndex)</f>
        <v/>
      </c>
      <c r="V135" s="47">
        <f>R135*U135*INDEX(FmtBlendedPriceIdx,MATCH(F135,FmtName,0))</f>
        <v/>
      </c>
      <c r="W135" s="47">
        <f>T135*INDEX(ProvSRP,MATCH(G135,ProvCode,0))*(1+PriceIndex)</f>
        <v/>
      </c>
      <c r="X135" s="47">
        <f>IF(GrossBasis="Wholesale",V135,W135)</f>
        <v/>
      </c>
      <c r="Y135" s="47">
        <f>R135*INDEX(FmtBlendedCogs,MATCH(F135,FmtName,0))</f>
        <v/>
      </c>
      <c r="Z135" s="47">
        <f>X135-Y135</f>
        <v/>
      </c>
    </row>
    <row r="136">
      <c r="A136" t="n">
        <v>29</v>
      </c>
      <c r="B136" s="44">
        <f>FiscalStart+(A136-1)*7</f>
        <v/>
      </c>
      <c r="C136">
        <f>TEXT(B136,"mmm yyyy")</f>
        <v/>
      </c>
      <c r="D136">
        <f>"Q"&amp;(INT((A136-1)/13)+1)</f>
        <v/>
      </c>
      <c r="E136" t="inlineStr">
        <is>
          <t>Convenience</t>
        </is>
      </c>
      <c r="F136">
        <f>IFERROR(INDEX(ChFormat,MATCH(E136,ChName,0)),"")</f>
        <v/>
      </c>
      <c r="G136" t="inlineStr">
        <is>
          <t>SK</t>
        </is>
      </c>
      <c r="H136">
        <f>IF(A136&lt;=NWeeks,1,0)</f>
        <v/>
      </c>
      <c r="I136">
        <f>INDEX(ChLaunch,MATCH(E136,ChName,0))</f>
        <v/>
      </c>
      <c r="J136">
        <f>INDEX(ChWeeksFull,MATCH(E136,ChName,0))</f>
        <v/>
      </c>
      <c r="K136">
        <f>INDEX(ChRamp,MATCH(E136,ChName,0))</f>
        <v/>
      </c>
      <c r="L136" s="45">
        <f>MIN(1,MAX(0,(A136-I136+1)*RampSpeed/J136))</f>
        <v/>
      </c>
      <c r="M136" s="45">
        <f>IF(A136&lt;I136,0,IF(K136="S-curve",L136*L136*(3-2*L136),L136))</f>
        <v/>
      </c>
      <c r="N136" s="45">
        <f>1+(INDEX(SeasonIdx,A136)-1)*SeasonAmp</f>
        <v/>
      </c>
      <c r="O136" s="45">
        <f>IFERROR(INDEX(PSPct,MATCH(E136&amp;"|"&amp;G136,PSKey,0)),0)</f>
        <v/>
      </c>
      <c r="P136" s="46">
        <f>INDEX(ChDoorVel,MATCH(E136,ChName,0))*CalibScalar*(1+VelocityUplift)</f>
        <v/>
      </c>
      <c r="Q136" s="46" t="n">
        <v>0</v>
      </c>
      <c r="R136" s="46">
        <f>P136*O136*M136*N136*H136</f>
        <v/>
      </c>
      <c r="S136" s="46">
        <f>R136*INDEX(FmtCansPerCase,MATCH(F136,FmtName,0))</f>
        <v/>
      </c>
      <c r="T136" s="46">
        <f>S136/INDEX(FmtCansPerPack,MATCH(F136,FmtName,0))</f>
        <v/>
      </c>
      <c r="U136" s="47">
        <f>INDEX(ChBaseCP,MATCH(E136,ChName,0))*(1+INDEX(ProvMod,MATCH(G136,ProvCode,0)))*(1+PriceIndex)</f>
        <v/>
      </c>
      <c r="V136" s="47">
        <f>R136*U136*INDEX(FmtBlendedPriceIdx,MATCH(F136,FmtName,0))</f>
        <v/>
      </c>
      <c r="W136" s="47">
        <f>T136*INDEX(ProvSRP,MATCH(G136,ProvCode,0))*(1+PriceIndex)</f>
        <v/>
      </c>
      <c r="X136" s="47">
        <f>IF(GrossBasis="Wholesale",V136,W136)</f>
        <v/>
      </c>
      <c r="Y136" s="47">
        <f>R136*INDEX(FmtBlendedCogs,MATCH(F136,FmtName,0))</f>
        <v/>
      </c>
      <c r="Z136" s="47">
        <f>X136-Y136</f>
        <v/>
      </c>
    </row>
    <row r="137">
      <c r="A137" t="n">
        <v>30</v>
      </c>
      <c r="B137" s="44">
        <f>FiscalStart+(A137-1)*7</f>
        <v/>
      </c>
      <c r="C137">
        <f>TEXT(B137,"mmm yyyy")</f>
        <v/>
      </c>
      <c r="D137">
        <f>"Q"&amp;(INT((A137-1)/13)+1)</f>
        <v/>
      </c>
      <c r="E137" t="inlineStr">
        <is>
          <t>Convenience</t>
        </is>
      </c>
      <c r="F137">
        <f>IFERROR(INDEX(ChFormat,MATCH(E137,ChName,0)),"")</f>
        <v/>
      </c>
      <c r="G137" t="inlineStr">
        <is>
          <t>SK</t>
        </is>
      </c>
      <c r="H137">
        <f>IF(A137&lt;=NWeeks,1,0)</f>
        <v/>
      </c>
      <c r="I137">
        <f>INDEX(ChLaunch,MATCH(E137,ChName,0))</f>
        <v/>
      </c>
      <c r="J137">
        <f>INDEX(ChWeeksFull,MATCH(E137,ChName,0))</f>
        <v/>
      </c>
      <c r="K137">
        <f>INDEX(ChRamp,MATCH(E137,ChName,0))</f>
        <v/>
      </c>
      <c r="L137" s="45">
        <f>MIN(1,MAX(0,(A137-I137+1)*RampSpeed/J137))</f>
        <v/>
      </c>
      <c r="M137" s="45">
        <f>IF(A137&lt;I137,0,IF(K137="S-curve",L137*L137*(3-2*L137),L137))</f>
        <v/>
      </c>
      <c r="N137" s="45">
        <f>1+(INDEX(SeasonIdx,A137)-1)*SeasonAmp</f>
        <v/>
      </c>
      <c r="O137" s="45">
        <f>IFERROR(INDEX(PSPct,MATCH(E137&amp;"|"&amp;G137,PSKey,0)),0)</f>
        <v/>
      </c>
      <c r="P137" s="46">
        <f>INDEX(ChDoorVel,MATCH(E137,ChName,0))*CalibScalar*(1+VelocityUplift)</f>
        <v/>
      </c>
      <c r="Q137" s="46" t="n">
        <v>0</v>
      </c>
      <c r="R137" s="46">
        <f>P137*O137*M137*N137*H137</f>
        <v/>
      </c>
      <c r="S137" s="46">
        <f>R137*INDEX(FmtCansPerCase,MATCH(F137,FmtName,0))</f>
        <v/>
      </c>
      <c r="T137" s="46">
        <f>S137/INDEX(FmtCansPerPack,MATCH(F137,FmtName,0))</f>
        <v/>
      </c>
      <c r="U137" s="47">
        <f>INDEX(ChBaseCP,MATCH(E137,ChName,0))*(1+INDEX(ProvMod,MATCH(G137,ProvCode,0)))*(1+PriceIndex)</f>
        <v/>
      </c>
      <c r="V137" s="47">
        <f>R137*U137*INDEX(FmtBlendedPriceIdx,MATCH(F137,FmtName,0))</f>
        <v/>
      </c>
      <c r="W137" s="47">
        <f>T137*INDEX(ProvSRP,MATCH(G137,ProvCode,0))*(1+PriceIndex)</f>
        <v/>
      </c>
      <c r="X137" s="47">
        <f>IF(GrossBasis="Wholesale",V137,W137)</f>
        <v/>
      </c>
      <c r="Y137" s="47">
        <f>R137*INDEX(FmtBlendedCogs,MATCH(F137,FmtName,0))</f>
        <v/>
      </c>
      <c r="Z137" s="47">
        <f>X137-Y137</f>
        <v/>
      </c>
    </row>
    <row r="138">
      <c r="A138" t="n">
        <v>31</v>
      </c>
      <c r="B138" s="44">
        <f>FiscalStart+(A138-1)*7</f>
        <v/>
      </c>
      <c r="C138">
        <f>TEXT(B138,"mmm yyyy")</f>
        <v/>
      </c>
      <c r="D138">
        <f>"Q"&amp;(INT((A138-1)/13)+1)</f>
        <v/>
      </c>
      <c r="E138" t="inlineStr">
        <is>
          <t>Convenience</t>
        </is>
      </c>
      <c r="F138">
        <f>IFERROR(INDEX(ChFormat,MATCH(E138,ChName,0)),"")</f>
        <v/>
      </c>
      <c r="G138" t="inlineStr">
        <is>
          <t>SK</t>
        </is>
      </c>
      <c r="H138">
        <f>IF(A138&lt;=NWeeks,1,0)</f>
        <v/>
      </c>
      <c r="I138">
        <f>INDEX(ChLaunch,MATCH(E138,ChName,0))</f>
        <v/>
      </c>
      <c r="J138">
        <f>INDEX(ChWeeksFull,MATCH(E138,ChName,0))</f>
        <v/>
      </c>
      <c r="K138">
        <f>INDEX(ChRamp,MATCH(E138,ChName,0))</f>
        <v/>
      </c>
      <c r="L138" s="45">
        <f>MIN(1,MAX(0,(A138-I138+1)*RampSpeed/J138))</f>
        <v/>
      </c>
      <c r="M138" s="45">
        <f>IF(A138&lt;I138,0,IF(K138="S-curve",L138*L138*(3-2*L138),L138))</f>
        <v/>
      </c>
      <c r="N138" s="45">
        <f>1+(INDEX(SeasonIdx,A138)-1)*SeasonAmp</f>
        <v/>
      </c>
      <c r="O138" s="45">
        <f>IFERROR(INDEX(PSPct,MATCH(E138&amp;"|"&amp;G138,PSKey,0)),0)</f>
        <v/>
      </c>
      <c r="P138" s="46">
        <f>INDEX(ChDoorVel,MATCH(E138,ChName,0))*CalibScalar*(1+VelocityUplift)</f>
        <v/>
      </c>
      <c r="Q138" s="46" t="n">
        <v>0</v>
      </c>
      <c r="R138" s="46">
        <f>P138*O138*M138*N138*H138</f>
        <v/>
      </c>
      <c r="S138" s="46">
        <f>R138*INDEX(FmtCansPerCase,MATCH(F138,FmtName,0))</f>
        <v/>
      </c>
      <c r="T138" s="46">
        <f>S138/INDEX(FmtCansPerPack,MATCH(F138,FmtName,0))</f>
        <v/>
      </c>
      <c r="U138" s="47">
        <f>INDEX(ChBaseCP,MATCH(E138,ChName,0))*(1+INDEX(ProvMod,MATCH(G138,ProvCode,0)))*(1+PriceIndex)</f>
        <v/>
      </c>
      <c r="V138" s="47">
        <f>R138*U138*INDEX(FmtBlendedPriceIdx,MATCH(F138,FmtName,0))</f>
        <v/>
      </c>
      <c r="W138" s="47">
        <f>T138*INDEX(ProvSRP,MATCH(G138,ProvCode,0))*(1+PriceIndex)</f>
        <v/>
      </c>
      <c r="X138" s="47">
        <f>IF(GrossBasis="Wholesale",V138,W138)</f>
        <v/>
      </c>
      <c r="Y138" s="47">
        <f>R138*INDEX(FmtBlendedCogs,MATCH(F138,FmtName,0))</f>
        <v/>
      </c>
      <c r="Z138" s="47">
        <f>X138-Y138</f>
        <v/>
      </c>
    </row>
    <row r="139">
      <c r="A139" t="n">
        <v>32</v>
      </c>
      <c r="B139" s="44">
        <f>FiscalStart+(A139-1)*7</f>
        <v/>
      </c>
      <c r="C139">
        <f>TEXT(B139,"mmm yyyy")</f>
        <v/>
      </c>
      <c r="D139">
        <f>"Q"&amp;(INT((A139-1)/13)+1)</f>
        <v/>
      </c>
      <c r="E139" t="inlineStr">
        <is>
          <t>Convenience</t>
        </is>
      </c>
      <c r="F139">
        <f>IFERROR(INDEX(ChFormat,MATCH(E139,ChName,0)),"")</f>
        <v/>
      </c>
      <c r="G139" t="inlineStr">
        <is>
          <t>SK</t>
        </is>
      </c>
      <c r="H139">
        <f>IF(A139&lt;=NWeeks,1,0)</f>
        <v/>
      </c>
      <c r="I139">
        <f>INDEX(ChLaunch,MATCH(E139,ChName,0))</f>
        <v/>
      </c>
      <c r="J139">
        <f>INDEX(ChWeeksFull,MATCH(E139,ChName,0))</f>
        <v/>
      </c>
      <c r="K139">
        <f>INDEX(ChRamp,MATCH(E139,ChName,0))</f>
        <v/>
      </c>
      <c r="L139" s="45">
        <f>MIN(1,MAX(0,(A139-I139+1)*RampSpeed/J139))</f>
        <v/>
      </c>
      <c r="M139" s="45">
        <f>IF(A139&lt;I139,0,IF(K139="S-curve",L139*L139*(3-2*L139),L139))</f>
        <v/>
      </c>
      <c r="N139" s="45">
        <f>1+(INDEX(SeasonIdx,A139)-1)*SeasonAmp</f>
        <v/>
      </c>
      <c r="O139" s="45">
        <f>IFERROR(INDEX(PSPct,MATCH(E139&amp;"|"&amp;G139,PSKey,0)),0)</f>
        <v/>
      </c>
      <c r="P139" s="46">
        <f>INDEX(ChDoorVel,MATCH(E139,ChName,0))*CalibScalar*(1+VelocityUplift)</f>
        <v/>
      </c>
      <c r="Q139" s="46" t="n">
        <v>0</v>
      </c>
      <c r="R139" s="46">
        <f>P139*O139*M139*N139*H139</f>
        <v/>
      </c>
      <c r="S139" s="46">
        <f>R139*INDEX(FmtCansPerCase,MATCH(F139,FmtName,0))</f>
        <v/>
      </c>
      <c r="T139" s="46">
        <f>S139/INDEX(FmtCansPerPack,MATCH(F139,FmtName,0))</f>
        <v/>
      </c>
      <c r="U139" s="47">
        <f>INDEX(ChBaseCP,MATCH(E139,ChName,0))*(1+INDEX(ProvMod,MATCH(G139,ProvCode,0)))*(1+PriceIndex)</f>
        <v/>
      </c>
      <c r="V139" s="47">
        <f>R139*U139*INDEX(FmtBlendedPriceIdx,MATCH(F139,FmtName,0))</f>
        <v/>
      </c>
      <c r="W139" s="47">
        <f>T139*INDEX(ProvSRP,MATCH(G139,ProvCode,0))*(1+PriceIndex)</f>
        <v/>
      </c>
      <c r="X139" s="47">
        <f>IF(GrossBasis="Wholesale",V139,W139)</f>
        <v/>
      </c>
      <c r="Y139" s="47">
        <f>R139*INDEX(FmtBlendedCogs,MATCH(F139,FmtName,0))</f>
        <v/>
      </c>
      <c r="Z139" s="47">
        <f>X139-Y139</f>
        <v/>
      </c>
    </row>
    <row r="140">
      <c r="A140" t="n">
        <v>33</v>
      </c>
      <c r="B140" s="44">
        <f>FiscalStart+(A140-1)*7</f>
        <v/>
      </c>
      <c r="C140">
        <f>TEXT(B140,"mmm yyyy")</f>
        <v/>
      </c>
      <c r="D140">
        <f>"Q"&amp;(INT((A140-1)/13)+1)</f>
        <v/>
      </c>
      <c r="E140" t="inlineStr">
        <is>
          <t>Convenience</t>
        </is>
      </c>
      <c r="F140">
        <f>IFERROR(INDEX(ChFormat,MATCH(E140,ChName,0)),"")</f>
        <v/>
      </c>
      <c r="G140" t="inlineStr">
        <is>
          <t>SK</t>
        </is>
      </c>
      <c r="H140">
        <f>IF(A140&lt;=NWeeks,1,0)</f>
        <v/>
      </c>
      <c r="I140">
        <f>INDEX(ChLaunch,MATCH(E140,ChName,0))</f>
        <v/>
      </c>
      <c r="J140">
        <f>INDEX(ChWeeksFull,MATCH(E140,ChName,0))</f>
        <v/>
      </c>
      <c r="K140">
        <f>INDEX(ChRamp,MATCH(E140,ChName,0))</f>
        <v/>
      </c>
      <c r="L140" s="45">
        <f>MIN(1,MAX(0,(A140-I140+1)*RampSpeed/J140))</f>
        <v/>
      </c>
      <c r="M140" s="45">
        <f>IF(A140&lt;I140,0,IF(K140="S-curve",L140*L140*(3-2*L140),L140))</f>
        <v/>
      </c>
      <c r="N140" s="45">
        <f>1+(INDEX(SeasonIdx,A140)-1)*SeasonAmp</f>
        <v/>
      </c>
      <c r="O140" s="45">
        <f>IFERROR(INDEX(PSPct,MATCH(E140&amp;"|"&amp;G140,PSKey,0)),0)</f>
        <v/>
      </c>
      <c r="P140" s="46">
        <f>INDEX(ChDoorVel,MATCH(E140,ChName,0))*CalibScalar*(1+VelocityUplift)</f>
        <v/>
      </c>
      <c r="Q140" s="46" t="n">
        <v>0</v>
      </c>
      <c r="R140" s="46">
        <f>P140*O140*M140*N140*H140</f>
        <v/>
      </c>
      <c r="S140" s="46">
        <f>R140*INDEX(FmtCansPerCase,MATCH(F140,FmtName,0))</f>
        <v/>
      </c>
      <c r="T140" s="46">
        <f>S140/INDEX(FmtCansPerPack,MATCH(F140,FmtName,0))</f>
        <v/>
      </c>
      <c r="U140" s="47">
        <f>INDEX(ChBaseCP,MATCH(E140,ChName,0))*(1+INDEX(ProvMod,MATCH(G140,ProvCode,0)))*(1+PriceIndex)</f>
        <v/>
      </c>
      <c r="V140" s="47">
        <f>R140*U140*INDEX(FmtBlendedPriceIdx,MATCH(F140,FmtName,0))</f>
        <v/>
      </c>
      <c r="W140" s="47">
        <f>T140*INDEX(ProvSRP,MATCH(G140,ProvCode,0))*(1+PriceIndex)</f>
        <v/>
      </c>
      <c r="X140" s="47">
        <f>IF(GrossBasis="Wholesale",V140,W140)</f>
        <v/>
      </c>
      <c r="Y140" s="47">
        <f>R140*INDEX(FmtBlendedCogs,MATCH(F140,FmtName,0))</f>
        <v/>
      </c>
      <c r="Z140" s="47">
        <f>X140-Y140</f>
        <v/>
      </c>
    </row>
    <row r="141">
      <c r="A141" t="n">
        <v>34</v>
      </c>
      <c r="B141" s="44">
        <f>FiscalStart+(A141-1)*7</f>
        <v/>
      </c>
      <c r="C141">
        <f>TEXT(B141,"mmm yyyy")</f>
        <v/>
      </c>
      <c r="D141">
        <f>"Q"&amp;(INT((A141-1)/13)+1)</f>
        <v/>
      </c>
      <c r="E141" t="inlineStr">
        <is>
          <t>Convenience</t>
        </is>
      </c>
      <c r="F141">
        <f>IFERROR(INDEX(ChFormat,MATCH(E141,ChName,0)),"")</f>
        <v/>
      </c>
      <c r="G141" t="inlineStr">
        <is>
          <t>SK</t>
        </is>
      </c>
      <c r="H141">
        <f>IF(A141&lt;=NWeeks,1,0)</f>
        <v/>
      </c>
      <c r="I141">
        <f>INDEX(ChLaunch,MATCH(E141,ChName,0))</f>
        <v/>
      </c>
      <c r="J141">
        <f>INDEX(ChWeeksFull,MATCH(E141,ChName,0))</f>
        <v/>
      </c>
      <c r="K141">
        <f>INDEX(ChRamp,MATCH(E141,ChName,0))</f>
        <v/>
      </c>
      <c r="L141" s="45">
        <f>MIN(1,MAX(0,(A141-I141+1)*RampSpeed/J141))</f>
        <v/>
      </c>
      <c r="M141" s="45">
        <f>IF(A141&lt;I141,0,IF(K141="S-curve",L141*L141*(3-2*L141),L141))</f>
        <v/>
      </c>
      <c r="N141" s="45">
        <f>1+(INDEX(SeasonIdx,A141)-1)*SeasonAmp</f>
        <v/>
      </c>
      <c r="O141" s="45">
        <f>IFERROR(INDEX(PSPct,MATCH(E141&amp;"|"&amp;G141,PSKey,0)),0)</f>
        <v/>
      </c>
      <c r="P141" s="46">
        <f>INDEX(ChDoorVel,MATCH(E141,ChName,0))*CalibScalar*(1+VelocityUplift)</f>
        <v/>
      </c>
      <c r="Q141" s="46" t="n">
        <v>0</v>
      </c>
      <c r="R141" s="46">
        <f>P141*O141*M141*N141*H141</f>
        <v/>
      </c>
      <c r="S141" s="46">
        <f>R141*INDEX(FmtCansPerCase,MATCH(F141,FmtName,0))</f>
        <v/>
      </c>
      <c r="T141" s="46">
        <f>S141/INDEX(FmtCansPerPack,MATCH(F141,FmtName,0))</f>
        <v/>
      </c>
      <c r="U141" s="47">
        <f>INDEX(ChBaseCP,MATCH(E141,ChName,0))*(1+INDEX(ProvMod,MATCH(G141,ProvCode,0)))*(1+PriceIndex)</f>
        <v/>
      </c>
      <c r="V141" s="47">
        <f>R141*U141*INDEX(FmtBlendedPriceIdx,MATCH(F141,FmtName,0))</f>
        <v/>
      </c>
      <c r="W141" s="47">
        <f>T141*INDEX(ProvSRP,MATCH(G141,ProvCode,0))*(1+PriceIndex)</f>
        <v/>
      </c>
      <c r="X141" s="47">
        <f>IF(GrossBasis="Wholesale",V141,W141)</f>
        <v/>
      </c>
      <c r="Y141" s="47">
        <f>R141*INDEX(FmtBlendedCogs,MATCH(F141,FmtName,0))</f>
        <v/>
      </c>
      <c r="Z141" s="47">
        <f>X141-Y141</f>
        <v/>
      </c>
    </row>
    <row r="142">
      <c r="A142" t="n">
        <v>35</v>
      </c>
      <c r="B142" s="44">
        <f>FiscalStart+(A142-1)*7</f>
        <v/>
      </c>
      <c r="C142">
        <f>TEXT(B142,"mmm yyyy")</f>
        <v/>
      </c>
      <c r="D142">
        <f>"Q"&amp;(INT((A142-1)/13)+1)</f>
        <v/>
      </c>
      <c r="E142" t="inlineStr">
        <is>
          <t>Convenience</t>
        </is>
      </c>
      <c r="F142">
        <f>IFERROR(INDEX(ChFormat,MATCH(E142,ChName,0)),"")</f>
        <v/>
      </c>
      <c r="G142" t="inlineStr">
        <is>
          <t>SK</t>
        </is>
      </c>
      <c r="H142">
        <f>IF(A142&lt;=NWeeks,1,0)</f>
        <v/>
      </c>
      <c r="I142">
        <f>INDEX(ChLaunch,MATCH(E142,ChName,0))</f>
        <v/>
      </c>
      <c r="J142">
        <f>INDEX(ChWeeksFull,MATCH(E142,ChName,0))</f>
        <v/>
      </c>
      <c r="K142">
        <f>INDEX(ChRamp,MATCH(E142,ChName,0))</f>
        <v/>
      </c>
      <c r="L142" s="45">
        <f>MIN(1,MAX(0,(A142-I142+1)*RampSpeed/J142))</f>
        <v/>
      </c>
      <c r="M142" s="45">
        <f>IF(A142&lt;I142,0,IF(K142="S-curve",L142*L142*(3-2*L142),L142))</f>
        <v/>
      </c>
      <c r="N142" s="45">
        <f>1+(INDEX(SeasonIdx,A142)-1)*SeasonAmp</f>
        <v/>
      </c>
      <c r="O142" s="45">
        <f>IFERROR(INDEX(PSPct,MATCH(E142&amp;"|"&amp;G142,PSKey,0)),0)</f>
        <v/>
      </c>
      <c r="P142" s="46">
        <f>INDEX(ChDoorVel,MATCH(E142,ChName,0))*CalibScalar*(1+VelocityUplift)</f>
        <v/>
      </c>
      <c r="Q142" s="46" t="n">
        <v>0</v>
      </c>
      <c r="R142" s="46">
        <f>P142*O142*M142*N142*H142</f>
        <v/>
      </c>
      <c r="S142" s="46">
        <f>R142*INDEX(FmtCansPerCase,MATCH(F142,FmtName,0))</f>
        <v/>
      </c>
      <c r="T142" s="46">
        <f>S142/INDEX(FmtCansPerPack,MATCH(F142,FmtName,0))</f>
        <v/>
      </c>
      <c r="U142" s="47">
        <f>INDEX(ChBaseCP,MATCH(E142,ChName,0))*(1+INDEX(ProvMod,MATCH(G142,ProvCode,0)))*(1+PriceIndex)</f>
        <v/>
      </c>
      <c r="V142" s="47">
        <f>R142*U142*INDEX(FmtBlendedPriceIdx,MATCH(F142,FmtName,0))</f>
        <v/>
      </c>
      <c r="W142" s="47">
        <f>T142*INDEX(ProvSRP,MATCH(G142,ProvCode,0))*(1+PriceIndex)</f>
        <v/>
      </c>
      <c r="X142" s="47">
        <f>IF(GrossBasis="Wholesale",V142,W142)</f>
        <v/>
      </c>
      <c r="Y142" s="47">
        <f>R142*INDEX(FmtBlendedCogs,MATCH(F142,FmtName,0))</f>
        <v/>
      </c>
      <c r="Z142" s="47">
        <f>X142-Y142</f>
        <v/>
      </c>
    </row>
    <row r="143">
      <c r="A143" t="n">
        <v>36</v>
      </c>
      <c r="B143" s="44">
        <f>FiscalStart+(A143-1)*7</f>
        <v/>
      </c>
      <c r="C143">
        <f>TEXT(B143,"mmm yyyy")</f>
        <v/>
      </c>
      <c r="D143">
        <f>"Q"&amp;(INT((A143-1)/13)+1)</f>
        <v/>
      </c>
      <c r="E143" t="inlineStr">
        <is>
          <t>Convenience</t>
        </is>
      </c>
      <c r="F143">
        <f>IFERROR(INDEX(ChFormat,MATCH(E143,ChName,0)),"")</f>
        <v/>
      </c>
      <c r="G143" t="inlineStr">
        <is>
          <t>SK</t>
        </is>
      </c>
      <c r="H143">
        <f>IF(A143&lt;=NWeeks,1,0)</f>
        <v/>
      </c>
      <c r="I143">
        <f>INDEX(ChLaunch,MATCH(E143,ChName,0))</f>
        <v/>
      </c>
      <c r="J143">
        <f>INDEX(ChWeeksFull,MATCH(E143,ChName,0))</f>
        <v/>
      </c>
      <c r="K143">
        <f>INDEX(ChRamp,MATCH(E143,ChName,0))</f>
        <v/>
      </c>
      <c r="L143" s="45">
        <f>MIN(1,MAX(0,(A143-I143+1)*RampSpeed/J143))</f>
        <v/>
      </c>
      <c r="M143" s="45">
        <f>IF(A143&lt;I143,0,IF(K143="S-curve",L143*L143*(3-2*L143),L143))</f>
        <v/>
      </c>
      <c r="N143" s="45">
        <f>1+(INDEX(SeasonIdx,A143)-1)*SeasonAmp</f>
        <v/>
      </c>
      <c r="O143" s="45">
        <f>IFERROR(INDEX(PSPct,MATCH(E143&amp;"|"&amp;G143,PSKey,0)),0)</f>
        <v/>
      </c>
      <c r="P143" s="46">
        <f>INDEX(ChDoorVel,MATCH(E143,ChName,0))*CalibScalar*(1+VelocityUplift)</f>
        <v/>
      </c>
      <c r="Q143" s="46" t="n">
        <v>0</v>
      </c>
      <c r="R143" s="46">
        <f>P143*O143*M143*N143*H143</f>
        <v/>
      </c>
      <c r="S143" s="46">
        <f>R143*INDEX(FmtCansPerCase,MATCH(F143,FmtName,0))</f>
        <v/>
      </c>
      <c r="T143" s="46">
        <f>S143/INDEX(FmtCansPerPack,MATCH(F143,FmtName,0))</f>
        <v/>
      </c>
      <c r="U143" s="47">
        <f>INDEX(ChBaseCP,MATCH(E143,ChName,0))*(1+INDEX(ProvMod,MATCH(G143,ProvCode,0)))*(1+PriceIndex)</f>
        <v/>
      </c>
      <c r="V143" s="47">
        <f>R143*U143*INDEX(FmtBlendedPriceIdx,MATCH(F143,FmtName,0))</f>
        <v/>
      </c>
      <c r="W143" s="47">
        <f>T143*INDEX(ProvSRP,MATCH(G143,ProvCode,0))*(1+PriceIndex)</f>
        <v/>
      </c>
      <c r="X143" s="47">
        <f>IF(GrossBasis="Wholesale",V143,W143)</f>
        <v/>
      </c>
      <c r="Y143" s="47">
        <f>R143*INDEX(FmtBlendedCogs,MATCH(F143,FmtName,0))</f>
        <v/>
      </c>
      <c r="Z143" s="47">
        <f>X143-Y143</f>
        <v/>
      </c>
    </row>
    <row r="144">
      <c r="A144" t="n">
        <v>37</v>
      </c>
      <c r="B144" s="44">
        <f>FiscalStart+(A144-1)*7</f>
        <v/>
      </c>
      <c r="C144">
        <f>TEXT(B144,"mmm yyyy")</f>
        <v/>
      </c>
      <c r="D144">
        <f>"Q"&amp;(INT((A144-1)/13)+1)</f>
        <v/>
      </c>
      <c r="E144" t="inlineStr">
        <is>
          <t>Convenience</t>
        </is>
      </c>
      <c r="F144">
        <f>IFERROR(INDEX(ChFormat,MATCH(E144,ChName,0)),"")</f>
        <v/>
      </c>
      <c r="G144" t="inlineStr">
        <is>
          <t>SK</t>
        </is>
      </c>
      <c r="H144">
        <f>IF(A144&lt;=NWeeks,1,0)</f>
        <v/>
      </c>
      <c r="I144">
        <f>INDEX(ChLaunch,MATCH(E144,ChName,0))</f>
        <v/>
      </c>
      <c r="J144">
        <f>INDEX(ChWeeksFull,MATCH(E144,ChName,0))</f>
        <v/>
      </c>
      <c r="K144">
        <f>INDEX(ChRamp,MATCH(E144,ChName,0))</f>
        <v/>
      </c>
      <c r="L144" s="45">
        <f>MIN(1,MAX(0,(A144-I144+1)*RampSpeed/J144))</f>
        <v/>
      </c>
      <c r="M144" s="45">
        <f>IF(A144&lt;I144,0,IF(K144="S-curve",L144*L144*(3-2*L144),L144))</f>
        <v/>
      </c>
      <c r="N144" s="45">
        <f>1+(INDEX(SeasonIdx,A144)-1)*SeasonAmp</f>
        <v/>
      </c>
      <c r="O144" s="45">
        <f>IFERROR(INDEX(PSPct,MATCH(E144&amp;"|"&amp;G144,PSKey,0)),0)</f>
        <v/>
      </c>
      <c r="P144" s="46">
        <f>INDEX(ChDoorVel,MATCH(E144,ChName,0))*CalibScalar*(1+VelocityUplift)</f>
        <v/>
      </c>
      <c r="Q144" s="46" t="n">
        <v>0</v>
      </c>
      <c r="R144" s="46">
        <f>P144*O144*M144*N144*H144</f>
        <v/>
      </c>
      <c r="S144" s="46">
        <f>R144*INDEX(FmtCansPerCase,MATCH(F144,FmtName,0))</f>
        <v/>
      </c>
      <c r="T144" s="46">
        <f>S144/INDEX(FmtCansPerPack,MATCH(F144,FmtName,0))</f>
        <v/>
      </c>
      <c r="U144" s="47">
        <f>INDEX(ChBaseCP,MATCH(E144,ChName,0))*(1+INDEX(ProvMod,MATCH(G144,ProvCode,0)))*(1+PriceIndex)</f>
        <v/>
      </c>
      <c r="V144" s="47">
        <f>R144*U144*INDEX(FmtBlendedPriceIdx,MATCH(F144,FmtName,0))</f>
        <v/>
      </c>
      <c r="W144" s="47">
        <f>T144*INDEX(ProvSRP,MATCH(G144,ProvCode,0))*(1+PriceIndex)</f>
        <v/>
      </c>
      <c r="X144" s="47">
        <f>IF(GrossBasis="Wholesale",V144,W144)</f>
        <v/>
      </c>
      <c r="Y144" s="47">
        <f>R144*INDEX(FmtBlendedCogs,MATCH(F144,FmtName,0))</f>
        <v/>
      </c>
      <c r="Z144" s="47">
        <f>X144-Y144</f>
        <v/>
      </c>
    </row>
    <row r="145">
      <c r="A145" t="n">
        <v>38</v>
      </c>
      <c r="B145" s="44">
        <f>FiscalStart+(A145-1)*7</f>
        <v/>
      </c>
      <c r="C145">
        <f>TEXT(B145,"mmm yyyy")</f>
        <v/>
      </c>
      <c r="D145">
        <f>"Q"&amp;(INT((A145-1)/13)+1)</f>
        <v/>
      </c>
      <c r="E145" t="inlineStr">
        <is>
          <t>Convenience</t>
        </is>
      </c>
      <c r="F145">
        <f>IFERROR(INDEX(ChFormat,MATCH(E145,ChName,0)),"")</f>
        <v/>
      </c>
      <c r="G145" t="inlineStr">
        <is>
          <t>SK</t>
        </is>
      </c>
      <c r="H145">
        <f>IF(A145&lt;=NWeeks,1,0)</f>
        <v/>
      </c>
      <c r="I145">
        <f>INDEX(ChLaunch,MATCH(E145,ChName,0))</f>
        <v/>
      </c>
      <c r="J145">
        <f>INDEX(ChWeeksFull,MATCH(E145,ChName,0))</f>
        <v/>
      </c>
      <c r="K145">
        <f>INDEX(ChRamp,MATCH(E145,ChName,0))</f>
        <v/>
      </c>
      <c r="L145" s="45">
        <f>MIN(1,MAX(0,(A145-I145+1)*RampSpeed/J145))</f>
        <v/>
      </c>
      <c r="M145" s="45">
        <f>IF(A145&lt;I145,0,IF(K145="S-curve",L145*L145*(3-2*L145),L145))</f>
        <v/>
      </c>
      <c r="N145" s="45">
        <f>1+(INDEX(SeasonIdx,A145)-1)*SeasonAmp</f>
        <v/>
      </c>
      <c r="O145" s="45">
        <f>IFERROR(INDEX(PSPct,MATCH(E145&amp;"|"&amp;G145,PSKey,0)),0)</f>
        <v/>
      </c>
      <c r="P145" s="46">
        <f>INDEX(ChDoorVel,MATCH(E145,ChName,0))*CalibScalar*(1+VelocityUplift)</f>
        <v/>
      </c>
      <c r="Q145" s="46" t="n">
        <v>0</v>
      </c>
      <c r="R145" s="46">
        <f>P145*O145*M145*N145*H145</f>
        <v/>
      </c>
      <c r="S145" s="46">
        <f>R145*INDEX(FmtCansPerCase,MATCH(F145,FmtName,0))</f>
        <v/>
      </c>
      <c r="T145" s="46">
        <f>S145/INDEX(FmtCansPerPack,MATCH(F145,FmtName,0))</f>
        <v/>
      </c>
      <c r="U145" s="47">
        <f>INDEX(ChBaseCP,MATCH(E145,ChName,0))*(1+INDEX(ProvMod,MATCH(G145,ProvCode,0)))*(1+PriceIndex)</f>
        <v/>
      </c>
      <c r="V145" s="47">
        <f>R145*U145*INDEX(FmtBlendedPriceIdx,MATCH(F145,FmtName,0))</f>
        <v/>
      </c>
      <c r="W145" s="47">
        <f>T145*INDEX(ProvSRP,MATCH(G145,ProvCode,0))*(1+PriceIndex)</f>
        <v/>
      </c>
      <c r="X145" s="47">
        <f>IF(GrossBasis="Wholesale",V145,W145)</f>
        <v/>
      </c>
      <c r="Y145" s="47">
        <f>R145*INDEX(FmtBlendedCogs,MATCH(F145,FmtName,0))</f>
        <v/>
      </c>
      <c r="Z145" s="47">
        <f>X145-Y145</f>
        <v/>
      </c>
    </row>
    <row r="146">
      <c r="A146" t="n">
        <v>39</v>
      </c>
      <c r="B146" s="44">
        <f>FiscalStart+(A146-1)*7</f>
        <v/>
      </c>
      <c r="C146">
        <f>TEXT(B146,"mmm yyyy")</f>
        <v/>
      </c>
      <c r="D146">
        <f>"Q"&amp;(INT((A146-1)/13)+1)</f>
        <v/>
      </c>
      <c r="E146" t="inlineStr">
        <is>
          <t>Convenience</t>
        </is>
      </c>
      <c r="F146">
        <f>IFERROR(INDEX(ChFormat,MATCH(E146,ChName,0)),"")</f>
        <v/>
      </c>
      <c r="G146" t="inlineStr">
        <is>
          <t>SK</t>
        </is>
      </c>
      <c r="H146">
        <f>IF(A146&lt;=NWeeks,1,0)</f>
        <v/>
      </c>
      <c r="I146">
        <f>INDEX(ChLaunch,MATCH(E146,ChName,0))</f>
        <v/>
      </c>
      <c r="J146">
        <f>INDEX(ChWeeksFull,MATCH(E146,ChName,0))</f>
        <v/>
      </c>
      <c r="K146">
        <f>INDEX(ChRamp,MATCH(E146,ChName,0))</f>
        <v/>
      </c>
      <c r="L146" s="45">
        <f>MIN(1,MAX(0,(A146-I146+1)*RampSpeed/J146))</f>
        <v/>
      </c>
      <c r="M146" s="45">
        <f>IF(A146&lt;I146,0,IF(K146="S-curve",L146*L146*(3-2*L146),L146))</f>
        <v/>
      </c>
      <c r="N146" s="45">
        <f>1+(INDEX(SeasonIdx,A146)-1)*SeasonAmp</f>
        <v/>
      </c>
      <c r="O146" s="45">
        <f>IFERROR(INDEX(PSPct,MATCH(E146&amp;"|"&amp;G146,PSKey,0)),0)</f>
        <v/>
      </c>
      <c r="P146" s="46">
        <f>INDEX(ChDoorVel,MATCH(E146,ChName,0))*CalibScalar*(1+VelocityUplift)</f>
        <v/>
      </c>
      <c r="Q146" s="46" t="n">
        <v>0</v>
      </c>
      <c r="R146" s="46">
        <f>P146*O146*M146*N146*H146</f>
        <v/>
      </c>
      <c r="S146" s="46">
        <f>R146*INDEX(FmtCansPerCase,MATCH(F146,FmtName,0))</f>
        <v/>
      </c>
      <c r="T146" s="46">
        <f>S146/INDEX(FmtCansPerPack,MATCH(F146,FmtName,0))</f>
        <v/>
      </c>
      <c r="U146" s="47">
        <f>INDEX(ChBaseCP,MATCH(E146,ChName,0))*(1+INDEX(ProvMod,MATCH(G146,ProvCode,0)))*(1+PriceIndex)</f>
        <v/>
      </c>
      <c r="V146" s="47">
        <f>R146*U146*INDEX(FmtBlendedPriceIdx,MATCH(F146,FmtName,0))</f>
        <v/>
      </c>
      <c r="W146" s="47">
        <f>T146*INDEX(ProvSRP,MATCH(G146,ProvCode,0))*(1+PriceIndex)</f>
        <v/>
      </c>
      <c r="X146" s="47">
        <f>IF(GrossBasis="Wholesale",V146,W146)</f>
        <v/>
      </c>
      <c r="Y146" s="47">
        <f>R146*INDEX(FmtBlendedCogs,MATCH(F146,FmtName,0))</f>
        <v/>
      </c>
      <c r="Z146" s="47">
        <f>X146-Y146</f>
        <v/>
      </c>
    </row>
    <row r="147">
      <c r="A147" t="n">
        <v>40</v>
      </c>
      <c r="B147" s="44">
        <f>FiscalStart+(A147-1)*7</f>
        <v/>
      </c>
      <c r="C147">
        <f>TEXT(B147,"mmm yyyy")</f>
        <v/>
      </c>
      <c r="D147">
        <f>"Q"&amp;(INT((A147-1)/13)+1)</f>
        <v/>
      </c>
      <c r="E147" t="inlineStr">
        <is>
          <t>Convenience</t>
        </is>
      </c>
      <c r="F147">
        <f>IFERROR(INDEX(ChFormat,MATCH(E147,ChName,0)),"")</f>
        <v/>
      </c>
      <c r="G147" t="inlineStr">
        <is>
          <t>SK</t>
        </is>
      </c>
      <c r="H147">
        <f>IF(A147&lt;=NWeeks,1,0)</f>
        <v/>
      </c>
      <c r="I147">
        <f>INDEX(ChLaunch,MATCH(E147,ChName,0))</f>
        <v/>
      </c>
      <c r="J147">
        <f>INDEX(ChWeeksFull,MATCH(E147,ChName,0))</f>
        <v/>
      </c>
      <c r="K147">
        <f>INDEX(ChRamp,MATCH(E147,ChName,0))</f>
        <v/>
      </c>
      <c r="L147" s="45">
        <f>MIN(1,MAX(0,(A147-I147+1)*RampSpeed/J147))</f>
        <v/>
      </c>
      <c r="M147" s="45">
        <f>IF(A147&lt;I147,0,IF(K147="S-curve",L147*L147*(3-2*L147),L147))</f>
        <v/>
      </c>
      <c r="N147" s="45">
        <f>1+(INDEX(SeasonIdx,A147)-1)*SeasonAmp</f>
        <v/>
      </c>
      <c r="O147" s="45">
        <f>IFERROR(INDEX(PSPct,MATCH(E147&amp;"|"&amp;G147,PSKey,0)),0)</f>
        <v/>
      </c>
      <c r="P147" s="46">
        <f>INDEX(ChDoorVel,MATCH(E147,ChName,0))*CalibScalar*(1+VelocityUplift)</f>
        <v/>
      </c>
      <c r="Q147" s="46" t="n">
        <v>0</v>
      </c>
      <c r="R147" s="46">
        <f>P147*O147*M147*N147*H147</f>
        <v/>
      </c>
      <c r="S147" s="46">
        <f>R147*INDEX(FmtCansPerCase,MATCH(F147,FmtName,0))</f>
        <v/>
      </c>
      <c r="T147" s="46">
        <f>S147/INDEX(FmtCansPerPack,MATCH(F147,FmtName,0))</f>
        <v/>
      </c>
      <c r="U147" s="47">
        <f>INDEX(ChBaseCP,MATCH(E147,ChName,0))*(1+INDEX(ProvMod,MATCH(G147,ProvCode,0)))*(1+PriceIndex)</f>
        <v/>
      </c>
      <c r="V147" s="47">
        <f>R147*U147*INDEX(FmtBlendedPriceIdx,MATCH(F147,FmtName,0))</f>
        <v/>
      </c>
      <c r="W147" s="47">
        <f>T147*INDEX(ProvSRP,MATCH(G147,ProvCode,0))*(1+PriceIndex)</f>
        <v/>
      </c>
      <c r="X147" s="47">
        <f>IF(GrossBasis="Wholesale",V147,W147)</f>
        <v/>
      </c>
      <c r="Y147" s="47">
        <f>R147*INDEX(FmtBlendedCogs,MATCH(F147,FmtName,0))</f>
        <v/>
      </c>
      <c r="Z147" s="47">
        <f>X147-Y147</f>
        <v/>
      </c>
    </row>
    <row r="148">
      <c r="A148" t="n">
        <v>41</v>
      </c>
      <c r="B148" s="44">
        <f>FiscalStart+(A148-1)*7</f>
        <v/>
      </c>
      <c r="C148">
        <f>TEXT(B148,"mmm yyyy")</f>
        <v/>
      </c>
      <c r="D148">
        <f>"Q"&amp;(INT((A148-1)/13)+1)</f>
        <v/>
      </c>
      <c r="E148" t="inlineStr">
        <is>
          <t>Convenience</t>
        </is>
      </c>
      <c r="F148">
        <f>IFERROR(INDEX(ChFormat,MATCH(E148,ChName,0)),"")</f>
        <v/>
      </c>
      <c r="G148" t="inlineStr">
        <is>
          <t>SK</t>
        </is>
      </c>
      <c r="H148">
        <f>IF(A148&lt;=NWeeks,1,0)</f>
        <v/>
      </c>
      <c r="I148">
        <f>INDEX(ChLaunch,MATCH(E148,ChName,0))</f>
        <v/>
      </c>
      <c r="J148">
        <f>INDEX(ChWeeksFull,MATCH(E148,ChName,0))</f>
        <v/>
      </c>
      <c r="K148">
        <f>INDEX(ChRamp,MATCH(E148,ChName,0))</f>
        <v/>
      </c>
      <c r="L148" s="45">
        <f>MIN(1,MAX(0,(A148-I148+1)*RampSpeed/J148))</f>
        <v/>
      </c>
      <c r="M148" s="45">
        <f>IF(A148&lt;I148,0,IF(K148="S-curve",L148*L148*(3-2*L148),L148))</f>
        <v/>
      </c>
      <c r="N148" s="45">
        <f>1+(INDEX(SeasonIdx,A148)-1)*SeasonAmp</f>
        <v/>
      </c>
      <c r="O148" s="45">
        <f>IFERROR(INDEX(PSPct,MATCH(E148&amp;"|"&amp;G148,PSKey,0)),0)</f>
        <v/>
      </c>
      <c r="P148" s="46">
        <f>INDEX(ChDoorVel,MATCH(E148,ChName,0))*CalibScalar*(1+VelocityUplift)</f>
        <v/>
      </c>
      <c r="Q148" s="46" t="n">
        <v>0</v>
      </c>
      <c r="R148" s="46">
        <f>P148*O148*M148*N148*H148</f>
        <v/>
      </c>
      <c r="S148" s="46">
        <f>R148*INDEX(FmtCansPerCase,MATCH(F148,FmtName,0))</f>
        <v/>
      </c>
      <c r="T148" s="46">
        <f>S148/INDEX(FmtCansPerPack,MATCH(F148,FmtName,0))</f>
        <v/>
      </c>
      <c r="U148" s="47">
        <f>INDEX(ChBaseCP,MATCH(E148,ChName,0))*(1+INDEX(ProvMod,MATCH(G148,ProvCode,0)))*(1+PriceIndex)</f>
        <v/>
      </c>
      <c r="V148" s="47">
        <f>R148*U148*INDEX(FmtBlendedPriceIdx,MATCH(F148,FmtName,0))</f>
        <v/>
      </c>
      <c r="W148" s="47">
        <f>T148*INDEX(ProvSRP,MATCH(G148,ProvCode,0))*(1+PriceIndex)</f>
        <v/>
      </c>
      <c r="X148" s="47">
        <f>IF(GrossBasis="Wholesale",V148,W148)</f>
        <v/>
      </c>
      <c r="Y148" s="47">
        <f>R148*INDEX(FmtBlendedCogs,MATCH(F148,FmtName,0))</f>
        <v/>
      </c>
      <c r="Z148" s="47">
        <f>X148-Y148</f>
        <v/>
      </c>
    </row>
    <row r="149">
      <c r="A149" t="n">
        <v>42</v>
      </c>
      <c r="B149" s="44">
        <f>FiscalStart+(A149-1)*7</f>
        <v/>
      </c>
      <c r="C149">
        <f>TEXT(B149,"mmm yyyy")</f>
        <v/>
      </c>
      <c r="D149">
        <f>"Q"&amp;(INT((A149-1)/13)+1)</f>
        <v/>
      </c>
      <c r="E149" t="inlineStr">
        <is>
          <t>Convenience</t>
        </is>
      </c>
      <c r="F149">
        <f>IFERROR(INDEX(ChFormat,MATCH(E149,ChName,0)),"")</f>
        <v/>
      </c>
      <c r="G149" t="inlineStr">
        <is>
          <t>SK</t>
        </is>
      </c>
      <c r="H149">
        <f>IF(A149&lt;=NWeeks,1,0)</f>
        <v/>
      </c>
      <c r="I149">
        <f>INDEX(ChLaunch,MATCH(E149,ChName,0))</f>
        <v/>
      </c>
      <c r="J149">
        <f>INDEX(ChWeeksFull,MATCH(E149,ChName,0))</f>
        <v/>
      </c>
      <c r="K149">
        <f>INDEX(ChRamp,MATCH(E149,ChName,0))</f>
        <v/>
      </c>
      <c r="L149" s="45">
        <f>MIN(1,MAX(0,(A149-I149+1)*RampSpeed/J149))</f>
        <v/>
      </c>
      <c r="M149" s="45">
        <f>IF(A149&lt;I149,0,IF(K149="S-curve",L149*L149*(3-2*L149),L149))</f>
        <v/>
      </c>
      <c r="N149" s="45">
        <f>1+(INDEX(SeasonIdx,A149)-1)*SeasonAmp</f>
        <v/>
      </c>
      <c r="O149" s="45">
        <f>IFERROR(INDEX(PSPct,MATCH(E149&amp;"|"&amp;G149,PSKey,0)),0)</f>
        <v/>
      </c>
      <c r="P149" s="46">
        <f>INDEX(ChDoorVel,MATCH(E149,ChName,0))*CalibScalar*(1+VelocityUplift)</f>
        <v/>
      </c>
      <c r="Q149" s="46" t="n">
        <v>0</v>
      </c>
      <c r="R149" s="46">
        <f>P149*O149*M149*N149*H149</f>
        <v/>
      </c>
      <c r="S149" s="46">
        <f>R149*INDEX(FmtCansPerCase,MATCH(F149,FmtName,0))</f>
        <v/>
      </c>
      <c r="T149" s="46">
        <f>S149/INDEX(FmtCansPerPack,MATCH(F149,FmtName,0))</f>
        <v/>
      </c>
      <c r="U149" s="47">
        <f>INDEX(ChBaseCP,MATCH(E149,ChName,0))*(1+INDEX(ProvMod,MATCH(G149,ProvCode,0)))*(1+PriceIndex)</f>
        <v/>
      </c>
      <c r="V149" s="47">
        <f>R149*U149*INDEX(FmtBlendedPriceIdx,MATCH(F149,FmtName,0))</f>
        <v/>
      </c>
      <c r="W149" s="47">
        <f>T149*INDEX(ProvSRP,MATCH(G149,ProvCode,0))*(1+PriceIndex)</f>
        <v/>
      </c>
      <c r="X149" s="47">
        <f>IF(GrossBasis="Wholesale",V149,W149)</f>
        <v/>
      </c>
      <c r="Y149" s="47">
        <f>R149*INDEX(FmtBlendedCogs,MATCH(F149,FmtName,0))</f>
        <v/>
      </c>
      <c r="Z149" s="47">
        <f>X149-Y149</f>
        <v/>
      </c>
    </row>
    <row r="150">
      <c r="A150" t="n">
        <v>43</v>
      </c>
      <c r="B150" s="44">
        <f>FiscalStart+(A150-1)*7</f>
        <v/>
      </c>
      <c r="C150">
        <f>TEXT(B150,"mmm yyyy")</f>
        <v/>
      </c>
      <c r="D150">
        <f>"Q"&amp;(INT((A150-1)/13)+1)</f>
        <v/>
      </c>
      <c r="E150" t="inlineStr">
        <is>
          <t>Convenience</t>
        </is>
      </c>
      <c r="F150">
        <f>IFERROR(INDEX(ChFormat,MATCH(E150,ChName,0)),"")</f>
        <v/>
      </c>
      <c r="G150" t="inlineStr">
        <is>
          <t>SK</t>
        </is>
      </c>
      <c r="H150">
        <f>IF(A150&lt;=NWeeks,1,0)</f>
        <v/>
      </c>
      <c r="I150">
        <f>INDEX(ChLaunch,MATCH(E150,ChName,0))</f>
        <v/>
      </c>
      <c r="J150">
        <f>INDEX(ChWeeksFull,MATCH(E150,ChName,0))</f>
        <v/>
      </c>
      <c r="K150">
        <f>INDEX(ChRamp,MATCH(E150,ChName,0))</f>
        <v/>
      </c>
      <c r="L150" s="45">
        <f>MIN(1,MAX(0,(A150-I150+1)*RampSpeed/J150))</f>
        <v/>
      </c>
      <c r="M150" s="45">
        <f>IF(A150&lt;I150,0,IF(K150="S-curve",L150*L150*(3-2*L150),L150))</f>
        <v/>
      </c>
      <c r="N150" s="45">
        <f>1+(INDEX(SeasonIdx,A150)-1)*SeasonAmp</f>
        <v/>
      </c>
      <c r="O150" s="45">
        <f>IFERROR(INDEX(PSPct,MATCH(E150&amp;"|"&amp;G150,PSKey,0)),0)</f>
        <v/>
      </c>
      <c r="P150" s="46">
        <f>INDEX(ChDoorVel,MATCH(E150,ChName,0))*CalibScalar*(1+VelocityUplift)</f>
        <v/>
      </c>
      <c r="Q150" s="46" t="n">
        <v>0</v>
      </c>
      <c r="R150" s="46">
        <f>P150*O150*M150*N150*H150</f>
        <v/>
      </c>
      <c r="S150" s="46">
        <f>R150*INDEX(FmtCansPerCase,MATCH(F150,FmtName,0))</f>
        <v/>
      </c>
      <c r="T150" s="46">
        <f>S150/INDEX(FmtCansPerPack,MATCH(F150,FmtName,0))</f>
        <v/>
      </c>
      <c r="U150" s="47">
        <f>INDEX(ChBaseCP,MATCH(E150,ChName,0))*(1+INDEX(ProvMod,MATCH(G150,ProvCode,0)))*(1+PriceIndex)</f>
        <v/>
      </c>
      <c r="V150" s="47">
        <f>R150*U150*INDEX(FmtBlendedPriceIdx,MATCH(F150,FmtName,0))</f>
        <v/>
      </c>
      <c r="W150" s="47">
        <f>T150*INDEX(ProvSRP,MATCH(G150,ProvCode,0))*(1+PriceIndex)</f>
        <v/>
      </c>
      <c r="X150" s="47">
        <f>IF(GrossBasis="Wholesale",V150,W150)</f>
        <v/>
      </c>
      <c r="Y150" s="47">
        <f>R150*INDEX(FmtBlendedCogs,MATCH(F150,FmtName,0))</f>
        <v/>
      </c>
      <c r="Z150" s="47">
        <f>X150-Y150</f>
        <v/>
      </c>
    </row>
    <row r="151">
      <c r="A151" t="n">
        <v>44</v>
      </c>
      <c r="B151" s="44">
        <f>FiscalStart+(A151-1)*7</f>
        <v/>
      </c>
      <c r="C151">
        <f>TEXT(B151,"mmm yyyy")</f>
        <v/>
      </c>
      <c r="D151">
        <f>"Q"&amp;(INT((A151-1)/13)+1)</f>
        <v/>
      </c>
      <c r="E151" t="inlineStr">
        <is>
          <t>Convenience</t>
        </is>
      </c>
      <c r="F151">
        <f>IFERROR(INDEX(ChFormat,MATCH(E151,ChName,0)),"")</f>
        <v/>
      </c>
      <c r="G151" t="inlineStr">
        <is>
          <t>SK</t>
        </is>
      </c>
      <c r="H151">
        <f>IF(A151&lt;=NWeeks,1,0)</f>
        <v/>
      </c>
      <c r="I151">
        <f>INDEX(ChLaunch,MATCH(E151,ChName,0))</f>
        <v/>
      </c>
      <c r="J151">
        <f>INDEX(ChWeeksFull,MATCH(E151,ChName,0))</f>
        <v/>
      </c>
      <c r="K151">
        <f>INDEX(ChRamp,MATCH(E151,ChName,0))</f>
        <v/>
      </c>
      <c r="L151" s="45">
        <f>MIN(1,MAX(0,(A151-I151+1)*RampSpeed/J151))</f>
        <v/>
      </c>
      <c r="M151" s="45">
        <f>IF(A151&lt;I151,0,IF(K151="S-curve",L151*L151*(3-2*L151),L151))</f>
        <v/>
      </c>
      <c r="N151" s="45">
        <f>1+(INDEX(SeasonIdx,A151)-1)*SeasonAmp</f>
        <v/>
      </c>
      <c r="O151" s="45">
        <f>IFERROR(INDEX(PSPct,MATCH(E151&amp;"|"&amp;G151,PSKey,0)),0)</f>
        <v/>
      </c>
      <c r="P151" s="46">
        <f>INDEX(ChDoorVel,MATCH(E151,ChName,0))*CalibScalar*(1+VelocityUplift)</f>
        <v/>
      </c>
      <c r="Q151" s="46" t="n">
        <v>0</v>
      </c>
      <c r="R151" s="46">
        <f>P151*O151*M151*N151*H151</f>
        <v/>
      </c>
      <c r="S151" s="46">
        <f>R151*INDEX(FmtCansPerCase,MATCH(F151,FmtName,0))</f>
        <v/>
      </c>
      <c r="T151" s="46">
        <f>S151/INDEX(FmtCansPerPack,MATCH(F151,FmtName,0))</f>
        <v/>
      </c>
      <c r="U151" s="47">
        <f>INDEX(ChBaseCP,MATCH(E151,ChName,0))*(1+INDEX(ProvMod,MATCH(G151,ProvCode,0)))*(1+PriceIndex)</f>
        <v/>
      </c>
      <c r="V151" s="47">
        <f>R151*U151*INDEX(FmtBlendedPriceIdx,MATCH(F151,FmtName,0))</f>
        <v/>
      </c>
      <c r="W151" s="47">
        <f>T151*INDEX(ProvSRP,MATCH(G151,ProvCode,0))*(1+PriceIndex)</f>
        <v/>
      </c>
      <c r="X151" s="47">
        <f>IF(GrossBasis="Wholesale",V151,W151)</f>
        <v/>
      </c>
      <c r="Y151" s="47">
        <f>R151*INDEX(FmtBlendedCogs,MATCH(F151,FmtName,0))</f>
        <v/>
      </c>
      <c r="Z151" s="47">
        <f>X151-Y151</f>
        <v/>
      </c>
    </row>
    <row r="152">
      <c r="A152" t="n">
        <v>45</v>
      </c>
      <c r="B152" s="44">
        <f>FiscalStart+(A152-1)*7</f>
        <v/>
      </c>
      <c r="C152">
        <f>TEXT(B152,"mmm yyyy")</f>
        <v/>
      </c>
      <c r="D152">
        <f>"Q"&amp;(INT((A152-1)/13)+1)</f>
        <v/>
      </c>
      <c r="E152" t="inlineStr">
        <is>
          <t>Convenience</t>
        </is>
      </c>
      <c r="F152">
        <f>IFERROR(INDEX(ChFormat,MATCH(E152,ChName,0)),"")</f>
        <v/>
      </c>
      <c r="G152" t="inlineStr">
        <is>
          <t>SK</t>
        </is>
      </c>
      <c r="H152">
        <f>IF(A152&lt;=NWeeks,1,0)</f>
        <v/>
      </c>
      <c r="I152">
        <f>INDEX(ChLaunch,MATCH(E152,ChName,0))</f>
        <v/>
      </c>
      <c r="J152">
        <f>INDEX(ChWeeksFull,MATCH(E152,ChName,0))</f>
        <v/>
      </c>
      <c r="K152">
        <f>INDEX(ChRamp,MATCH(E152,ChName,0))</f>
        <v/>
      </c>
      <c r="L152" s="45">
        <f>MIN(1,MAX(0,(A152-I152+1)*RampSpeed/J152))</f>
        <v/>
      </c>
      <c r="M152" s="45">
        <f>IF(A152&lt;I152,0,IF(K152="S-curve",L152*L152*(3-2*L152),L152))</f>
        <v/>
      </c>
      <c r="N152" s="45">
        <f>1+(INDEX(SeasonIdx,A152)-1)*SeasonAmp</f>
        <v/>
      </c>
      <c r="O152" s="45">
        <f>IFERROR(INDEX(PSPct,MATCH(E152&amp;"|"&amp;G152,PSKey,0)),0)</f>
        <v/>
      </c>
      <c r="P152" s="46">
        <f>INDEX(ChDoorVel,MATCH(E152,ChName,0))*CalibScalar*(1+VelocityUplift)</f>
        <v/>
      </c>
      <c r="Q152" s="46" t="n">
        <v>0</v>
      </c>
      <c r="R152" s="46">
        <f>P152*O152*M152*N152*H152</f>
        <v/>
      </c>
      <c r="S152" s="46">
        <f>R152*INDEX(FmtCansPerCase,MATCH(F152,FmtName,0))</f>
        <v/>
      </c>
      <c r="T152" s="46">
        <f>S152/INDEX(FmtCansPerPack,MATCH(F152,FmtName,0))</f>
        <v/>
      </c>
      <c r="U152" s="47">
        <f>INDEX(ChBaseCP,MATCH(E152,ChName,0))*(1+INDEX(ProvMod,MATCH(G152,ProvCode,0)))*(1+PriceIndex)</f>
        <v/>
      </c>
      <c r="V152" s="47">
        <f>R152*U152*INDEX(FmtBlendedPriceIdx,MATCH(F152,FmtName,0))</f>
        <v/>
      </c>
      <c r="W152" s="47">
        <f>T152*INDEX(ProvSRP,MATCH(G152,ProvCode,0))*(1+PriceIndex)</f>
        <v/>
      </c>
      <c r="X152" s="47">
        <f>IF(GrossBasis="Wholesale",V152,W152)</f>
        <v/>
      </c>
      <c r="Y152" s="47">
        <f>R152*INDEX(FmtBlendedCogs,MATCH(F152,FmtName,0))</f>
        <v/>
      </c>
      <c r="Z152" s="47">
        <f>X152-Y152</f>
        <v/>
      </c>
    </row>
    <row r="153">
      <c r="A153" t="n">
        <v>46</v>
      </c>
      <c r="B153" s="44">
        <f>FiscalStart+(A153-1)*7</f>
        <v/>
      </c>
      <c r="C153">
        <f>TEXT(B153,"mmm yyyy")</f>
        <v/>
      </c>
      <c r="D153">
        <f>"Q"&amp;(INT((A153-1)/13)+1)</f>
        <v/>
      </c>
      <c r="E153" t="inlineStr">
        <is>
          <t>Convenience</t>
        </is>
      </c>
      <c r="F153">
        <f>IFERROR(INDEX(ChFormat,MATCH(E153,ChName,0)),"")</f>
        <v/>
      </c>
      <c r="G153" t="inlineStr">
        <is>
          <t>SK</t>
        </is>
      </c>
      <c r="H153">
        <f>IF(A153&lt;=NWeeks,1,0)</f>
        <v/>
      </c>
      <c r="I153">
        <f>INDEX(ChLaunch,MATCH(E153,ChName,0))</f>
        <v/>
      </c>
      <c r="J153">
        <f>INDEX(ChWeeksFull,MATCH(E153,ChName,0))</f>
        <v/>
      </c>
      <c r="K153">
        <f>INDEX(ChRamp,MATCH(E153,ChName,0))</f>
        <v/>
      </c>
      <c r="L153" s="45">
        <f>MIN(1,MAX(0,(A153-I153+1)*RampSpeed/J153))</f>
        <v/>
      </c>
      <c r="M153" s="45">
        <f>IF(A153&lt;I153,0,IF(K153="S-curve",L153*L153*(3-2*L153),L153))</f>
        <v/>
      </c>
      <c r="N153" s="45">
        <f>1+(INDEX(SeasonIdx,A153)-1)*SeasonAmp</f>
        <v/>
      </c>
      <c r="O153" s="45">
        <f>IFERROR(INDEX(PSPct,MATCH(E153&amp;"|"&amp;G153,PSKey,0)),0)</f>
        <v/>
      </c>
      <c r="P153" s="46">
        <f>INDEX(ChDoorVel,MATCH(E153,ChName,0))*CalibScalar*(1+VelocityUplift)</f>
        <v/>
      </c>
      <c r="Q153" s="46" t="n">
        <v>0</v>
      </c>
      <c r="R153" s="46">
        <f>P153*O153*M153*N153*H153</f>
        <v/>
      </c>
      <c r="S153" s="46">
        <f>R153*INDEX(FmtCansPerCase,MATCH(F153,FmtName,0))</f>
        <v/>
      </c>
      <c r="T153" s="46">
        <f>S153/INDEX(FmtCansPerPack,MATCH(F153,FmtName,0))</f>
        <v/>
      </c>
      <c r="U153" s="47">
        <f>INDEX(ChBaseCP,MATCH(E153,ChName,0))*(1+INDEX(ProvMod,MATCH(G153,ProvCode,0)))*(1+PriceIndex)</f>
        <v/>
      </c>
      <c r="V153" s="47">
        <f>R153*U153*INDEX(FmtBlendedPriceIdx,MATCH(F153,FmtName,0))</f>
        <v/>
      </c>
      <c r="W153" s="47">
        <f>T153*INDEX(ProvSRP,MATCH(G153,ProvCode,0))*(1+PriceIndex)</f>
        <v/>
      </c>
      <c r="X153" s="47">
        <f>IF(GrossBasis="Wholesale",V153,W153)</f>
        <v/>
      </c>
      <c r="Y153" s="47">
        <f>R153*INDEX(FmtBlendedCogs,MATCH(F153,FmtName,0))</f>
        <v/>
      </c>
      <c r="Z153" s="47">
        <f>X153-Y153</f>
        <v/>
      </c>
    </row>
    <row r="154">
      <c r="A154" t="n">
        <v>47</v>
      </c>
      <c r="B154" s="44">
        <f>FiscalStart+(A154-1)*7</f>
        <v/>
      </c>
      <c r="C154">
        <f>TEXT(B154,"mmm yyyy")</f>
        <v/>
      </c>
      <c r="D154">
        <f>"Q"&amp;(INT((A154-1)/13)+1)</f>
        <v/>
      </c>
      <c r="E154" t="inlineStr">
        <is>
          <t>Convenience</t>
        </is>
      </c>
      <c r="F154">
        <f>IFERROR(INDEX(ChFormat,MATCH(E154,ChName,0)),"")</f>
        <v/>
      </c>
      <c r="G154" t="inlineStr">
        <is>
          <t>SK</t>
        </is>
      </c>
      <c r="H154">
        <f>IF(A154&lt;=NWeeks,1,0)</f>
        <v/>
      </c>
      <c r="I154">
        <f>INDEX(ChLaunch,MATCH(E154,ChName,0))</f>
        <v/>
      </c>
      <c r="J154">
        <f>INDEX(ChWeeksFull,MATCH(E154,ChName,0))</f>
        <v/>
      </c>
      <c r="K154">
        <f>INDEX(ChRamp,MATCH(E154,ChName,0))</f>
        <v/>
      </c>
      <c r="L154" s="45">
        <f>MIN(1,MAX(0,(A154-I154+1)*RampSpeed/J154))</f>
        <v/>
      </c>
      <c r="M154" s="45">
        <f>IF(A154&lt;I154,0,IF(K154="S-curve",L154*L154*(3-2*L154),L154))</f>
        <v/>
      </c>
      <c r="N154" s="45">
        <f>1+(INDEX(SeasonIdx,A154)-1)*SeasonAmp</f>
        <v/>
      </c>
      <c r="O154" s="45">
        <f>IFERROR(INDEX(PSPct,MATCH(E154&amp;"|"&amp;G154,PSKey,0)),0)</f>
        <v/>
      </c>
      <c r="P154" s="46">
        <f>INDEX(ChDoorVel,MATCH(E154,ChName,0))*CalibScalar*(1+VelocityUplift)</f>
        <v/>
      </c>
      <c r="Q154" s="46" t="n">
        <v>0</v>
      </c>
      <c r="R154" s="46">
        <f>P154*O154*M154*N154*H154</f>
        <v/>
      </c>
      <c r="S154" s="46">
        <f>R154*INDEX(FmtCansPerCase,MATCH(F154,FmtName,0))</f>
        <v/>
      </c>
      <c r="T154" s="46">
        <f>S154/INDEX(FmtCansPerPack,MATCH(F154,FmtName,0))</f>
        <v/>
      </c>
      <c r="U154" s="47">
        <f>INDEX(ChBaseCP,MATCH(E154,ChName,0))*(1+INDEX(ProvMod,MATCH(G154,ProvCode,0)))*(1+PriceIndex)</f>
        <v/>
      </c>
      <c r="V154" s="47">
        <f>R154*U154*INDEX(FmtBlendedPriceIdx,MATCH(F154,FmtName,0))</f>
        <v/>
      </c>
      <c r="W154" s="47">
        <f>T154*INDEX(ProvSRP,MATCH(G154,ProvCode,0))*(1+PriceIndex)</f>
        <v/>
      </c>
      <c r="X154" s="47">
        <f>IF(GrossBasis="Wholesale",V154,W154)</f>
        <v/>
      </c>
      <c r="Y154" s="47">
        <f>R154*INDEX(FmtBlendedCogs,MATCH(F154,FmtName,0))</f>
        <v/>
      </c>
      <c r="Z154" s="47">
        <f>X154-Y154</f>
        <v/>
      </c>
    </row>
    <row r="155">
      <c r="A155" t="n">
        <v>48</v>
      </c>
      <c r="B155" s="44">
        <f>FiscalStart+(A155-1)*7</f>
        <v/>
      </c>
      <c r="C155">
        <f>TEXT(B155,"mmm yyyy")</f>
        <v/>
      </c>
      <c r="D155">
        <f>"Q"&amp;(INT((A155-1)/13)+1)</f>
        <v/>
      </c>
      <c r="E155" t="inlineStr">
        <is>
          <t>Convenience</t>
        </is>
      </c>
      <c r="F155">
        <f>IFERROR(INDEX(ChFormat,MATCH(E155,ChName,0)),"")</f>
        <v/>
      </c>
      <c r="G155" t="inlineStr">
        <is>
          <t>SK</t>
        </is>
      </c>
      <c r="H155">
        <f>IF(A155&lt;=NWeeks,1,0)</f>
        <v/>
      </c>
      <c r="I155">
        <f>INDEX(ChLaunch,MATCH(E155,ChName,0))</f>
        <v/>
      </c>
      <c r="J155">
        <f>INDEX(ChWeeksFull,MATCH(E155,ChName,0))</f>
        <v/>
      </c>
      <c r="K155">
        <f>INDEX(ChRamp,MATCH(E155,ChName,0))</f>
        <v/>
      </c>
      <c r="L155" s="45">
        <f>MIN(1,MAX(0,(A155-I155+1)*RampSpeed/J155))</f>
        <v/>
      </c>
      <c r="M155" s="45">
        <f>IF(A155&lt;I155,0,IF(K155="S-curve",L155*L155*(3-2*L155),L155))</f>
        <v/>
      </c>
      <c r="N155" s="45">
        <f>1+(INDEX(SeasonIdx,A155)-1)*SeasonAmp</f>
        <v/>
      </c>
      <c r="O155" s="45">
        <f>IFERROR(INDEX(PSPct,MATCH(E155&amp;"|"&amp;G155,PSKey,0)),0)</f>
        <v/>
      </c>
      <c r="P155" s="46">
        <f>INDEX(ChDoorVel,MATCH(E155,ChName,0))*CalibScalar*(1+VelocityUplift)</f>
        <v/>
      </c>
      <c r="Q155" s="46" t="n">
        <v>0</v>
      </c>
      <c r="R155" s="46">
        <f>P155*O155*M155*N155*H155</f>
        <v/>
      </c>
      <c r="S155" s="46">
        <f>R155*INDEX(FmtCansPerCase,MATCH(F155,FmtName,0))</f>
        <v/>
      </c>
      <c r="T155" s="46">
        <f>S155/INDEX(FmtCansPerPack,MATCH(F155,FmtName,0))</f>
        <v/>
      </c>
      <c r="U155" s="47">
        <f>INDEX(ChBaseCP,MATCH(E155,ChName,0))*(1+INDEX(ProvMod,MATCH(G155,ProvCode,0)))*(1+PriceIndex)</f>
        <v/>
      </c>
      <c r="V155" s="47">
        <f>R155*U155*INDEX(FmtBlendedPriceIdx,MATCH(F155,FmtName,0))</f>
        <v/>
      </c>
      <c r="W155" s="47">
        <f>T155*INDEX(ProvSRP,MATCH(G155,ProvCode,0))*(1+PriceIndex)</f>
        <v/>
      </c>
      <c r="X155" s="47">
        <f>IF(GrossBasis="Wholesale",V155,W155)</f>
        <v/>
      </c>
      <c r="Y155" s="47">
        <f>R155*INDEX(FmtBlendedCogs,MATCH(F155,FmtName,0))</f>
        <v/>
      </c>
      <c r="Z155" s="47">
        <f>X155-Y155</f>
        <v/>
      </c>
    </row>
    <row r="156">
      <c r="A156" t="n">
        <v>49</v>
      </c>
      <c r="B156" s="44">
        <f>FiscalStart+(A156-1)*7</f>
        <v/>
      </c>
      <c r="C156">
        <f>TEXT(B156,"mmm yyyy")</f>
        <v/>
      </c>
      <c r="D156">
        <f>"Q"&amp;(INT((A156-1)/13)+1)</f>
        <v/>
      </c>
      <c r="E156" t="inlineStr">
        <is>
          <t>Convenience</t>
        </is>
      </c>
      <c r="F156">
        <f>IFERROR(INDEX(ChFormat,MATCH(E156,ChName,0)),"")</f>
        <v/>
      </c>
      <c r="G156" t="inlineStr">
        <is>
          <t>SK</t>
        </is>
      </c>
      <c r="H156">
        <f>IF(A156&lt;=NWeeks,1,0)</f>
        <v/>
      </c>
      <c r="I156">
        <f>INDEX(ChLaunch,MATCH(E156,ChName,0))</f>
        <v/>
      </c>
      <c r="J156">
        <f>INDEX(ChWeeksFull,MATCH(E156,ChName,0))</f>
        <v/>
      </c>
      <c r="K156">
        <f>INDEX(ChRamp,MATCH(E156,ChName,0))</f>
        <v/>
      </c>
      <c r="L156" s="45">
        <f>MIN(1,MAX(0,(A156-I156+1)*RampSpeed/J156))</f>
        <v/>
      </c>
      <c r="M156" s="45">
        <f>IF(A156&lt;I156,0,IF(K156="S-curve",L156*L156*(3-2*L156),L156))</f>
        <v/>
      </c>
      <c r="N156" s="45">
        <f>1+(INDEX(SeasonIdx,A156)-1)*SeasonAmp</f>
        <v/>
      </c>
      <c r="O156" s="45">
        <f>IFERROR(INDEX(PSPct,MATCH(E156&amp;"|"&amp;G156,PSKey,0)),0)</f>
        <v/>
      </c>
      <c r="P156" s="46">
        <f>INDEX(ChDoorVel,MATCH(E156,ChName,0))*CalibScalar*(1+VelocityUplift)</f>
        <v/>
      </c>
      <c r="Q156" s="46" t="n">
        <v>0</v>
      </c>
      <c r="R156" s="46">
        <f>P156*O156*M156*N156*H156</f>
        <v/>
      </c>
      <c r="S156" s="46">
        <f>R156*INDEX(FmtCansPerCase,MATCH(F156,FmtName,0))</f>
        <v/>
      </c>
      <c r="T156" s="46">
        <f>S156/INDEX(FmtCansPerPack,MATCH(F156,FmtName,0))</f>
        <v/>
      </c>
      <c r="U156" s="47">
        <f>INDEX(ChBaseCP,MATCH(E156,ChName,0))*(1+INDEX(ProvMod,MATCH(G156,ProvCode,0)))*(1+PriceIndex)</f>
        <v/>
      </c>
      <c r="V156" s="47">
        <f>R156*U156*INDEX(FmtBlendedPriceIdx,MATCH(F156,FmtName,0))</f>
        <v/>
      </c>
      <c r="W156" s="47">
        <f>T156*INDEX(ProvSRP,MATCH(G156,ProvCode,0))*(1+PriceIndex)</f>
        <v/>
      </c>
      <c r="X156" s="47">
        <f>IF(GrossBasis="Wholesale",V156,W156)</f>
        <v/>
      </c>
      <c r="Y156" s="47">
        <f>R156*INDEX(FmtBlendedCogs,MATCH(F156,FmtName,0))</f>
        <v/>
      </c>
      <c r="Z156" s="47">
        <f>X156-Y156</f>
        <v/>
      </c>
    </row>
    <row r="157">
      <c r="A157" t="n">
        <v>50</v>
      </c>
      <c r="B157" s="44">
        <f>FiscalStart+(A157-1)*7</f>
        <v/>
      </c>
      <c r="C157">
        <f>TEXT(B157,"mmm yyyy")</f>
        <v/>
      </c>
      <c r="D157">
        <f>"Q"&amp;(INT((A157-1)/13)+1)</f>
        <v/>
      </c>
      <c r="E157" t="inlineStr">
        <is>
          <t>Convenience</t>
        </is>
      </c>
      <c r="F157">
        <f>IFERROR(INDEX(ChFormat,MATCH(E157,ChName,0)),"")</f>
        <v/>
      </c>
      <c r="G157" t="inlineStr">
        <is>
          <t>SK</t>
        </is>
      </c>
      <c r="H157">
        <f>IF(A157&lt;=NWeeks,1,0)</f>
        <v/>
      </c>
      <c r="I157">
        <f>INDEX(ChLaunch,MATCH(E157,ChName,0))</f>
        <v/>
      </c>
      <c r="J157">
        <f>INDEX(ChWeeksFull,MATCH(E157,ChName,0))</f>
        <v/>
      </c>
      <c r="K157">
        <f>INDEX(ChRamp,MATCH(E157,ChName,0))</f>
        <v/>
      </c>
      <c r="L157" s="45">
        <f>MIN(1,MAX(0,(A157-I157+1)*RampSpeed/J157))</f>
        <v/>
      </c>
      <c r="M157" s="45">
        <f>IF(A157&lt;I157,0,IF(K157="S-curve",L157*L157*(3-2*L157),L157))</f>
        <v/>
      </c>
      <c r="N157" s="45">
        <f>1+(INDEX(SeasonIdx,A157)-1)*SeasonAmp</f>
        <v/>
      </c>
      <c r="O157" s="45">
        <f>IFERROR(INDEX(PSPct,MATCH(E157&amp;"|"&amp;G157,PSKey,0)),0)</f>
        <v/>
      </c>
      <c r="P157" s="46">
        <f>INDEX(ChDoorVel,MATCH(E157,ChName,0))*CalibScalar*(1+VelocityUplift)</f>
        <v/>
      </c>
      <c r="Q157" s="46" t="n">
        <v>0</v>
      </c>
      <c r="R157" s="46">
        <f>P157*O157*M157*N157*H157</f>
        <v/>
      </c>
      <c r="S157" s="46">
        <f>R157*INDEX(FmtCansPerCase,MATCH(F157,FmtName,0))</f>
        <v/>
      </c>
      <c r="T157" s="46">
        <f>S157/INDEX(FmtCansPerPack,MATCH(F157,FmtName,0))</f>
        <v/>
      </c>
      <c r="U157" s="47">
        <f>INDEX(ChBaseCP,MATCH(E157,ChName,0))*(1+INDEX(ProvMod,MATCH(G157,ProvCode,0)))*(1+PriceIndex)</f>
        <v/>
      </c>
      <c r="V157" s="47">
        <f>R157*U157*INDEX(FmtBlendedPriceIdx,MATCH(F157,FmtName,0))</f>
        <v/>
      </c>
      <c r="W157" s="47">
        <f>T157*INDEX(ProvSRP,MATCH(G157,ProvCode,0))*(1+PriceIndex)</f>
        <v/>
      </c>
      <c r="X157" s="47">
        <f>IF(GrossBasis="Wholesale",V157,W157)</f>
        <v/>
      </c>
      <c r="Y157" s="47">
        <f>R157*INDEX(FmtBlendedCogs,MATCH(F157,FmtName,0))</f>
        <v/>
      </c>
      <c r="Z157" s="47">
        <f>X157-Y157</f>
        <v/>
      </c>
    </row>
    <row r="158">
      <c r="A158" t="n">
        <v>51</v>
      </c>
      <c r="B158" s="44">
        <f>FiscalStart+(A158-1)*7</f>
        <v/>
      </c>
      <c r="C158">
        <f>TEXT(B158,"mmm yyyy")</f>
        <v/>
      </c>
      <c r="D158">
        <f>"Q"&amp;(INT((A158-1)/13)+1)</f>
        <v/>
      </c>
      <c r="E158" t="inlineStr">
        <is>
          <t>Convenience</t>
        </is>
      </c>
      <c r="F158">
        <f>IFERROR(INDEX(ChFormat,MATCH(E158,ChName,0)),"")</f>
        <v/>
      </c>
      <c r="G158" t="inlineStr">
        <is>
          <t>SK</t>
        </is>
      </c>
      <c r="H158">
        <f>IF(A158&lt;=NWeeks,1,0)</f>
        <v/>
      </c>
      <c r="I158">
        <f>INDEX(ChLaunch,MATCH(E158,ChName,0))</f>
        <v/>
      </c>
      <c r="J158">
        <f>INDEX(ChWeeksFull,MATCH(E158,ChName,0))</f>
        <v/>
      </c>
      <c r="K158">
        <f>INDEX(ChRamp,MATCH(E158,ChName,0))</f>
        <v/>
      </c>
      <c r="L158" s="45">
        <f>MIN(1,MAX(0,(A158-I158+1)*RampSpeed/J158))</f>
        <v/>
      </c>
      <c r="M158" s="45">
        <f>IF(A158&lt;I158,0,IF(K158="S-curve",L158*L158*(3-2*L158),L158))</f>
        <v/>
      </c>
      <c r="N158" s="45">
        <f>1+(INDEX(SeasonIdx,A158)-1)*SeasonAmp</f>
        <v/>
      </c>
      <c r="O158" s="45">
        <f>IFERROR(INDEX(PSPct,MATCH(E158&amp;"|"&amp;G158,PSKey,0)),0)</f>
        <v/>
      </c>
      <c r="P158" s="46">
        <f>INDEX(ChDoorVel,MATCH(E158,ChName,0))*CalibScalar*(1+VelocityUplift)</f>
        <v/>
      </c>
      <c r="Q158" s="46" t="n">
        <v>0</v>
      </c>
      <c r="R158" s="46">
        <f>P158*O158*M158*N158*H158</f>
        <v/>
      </c>
      <c r="S158" s="46">
        <f>R158*INDEX(FmtCansPerCase,MATCH(F158,FmtName,0))</f>
        <v/>
      </c>
      <c r="T158" s="46">
        <f>S158/INDEX(FmtCansPerPack,MATCH(F158,FmtName,0))</f>
        <v/>
      </c>
      <c r="U158" s="47">
        <f>INDEX(ChBaseCP,MATCH(E158,ChName,0))*(1+INDEX(ProvMod,MATCH(G158,ProvCode,0)))*(1+PriceIndex)</f>
        <v/>
      </c>
      <c r="V158" s="47">
        <f>R158*U158*INDEX(FmtBlendedPriceIdx,MATCH(F158,FmtName,0))</f>
        <v/>
      </c>
      <c r="W158" s="47">
        <f>T158*INDEX(ProvSRP,MATCH(G158,ProvCode,0))*(1+PriceIndex)</f>
        <v/>
      </c>
      <c r="X158" s="47">
        <f>IF(GrossBasis="Wholesale",V158,W158)</f>
        <v/>
      </c>
      <c r="Y158" s="47">
        <f>R158*INDEX(FmtBlendedCogs,MATCH(F158,FmtName,0))</f>
        <v/>
      </c>
      <c r="Z158" s="47">
        <f>X158-Y158</f>
        <v/>
      </c>
    </row>
    <row r="159">
      <c r="A159" t="n">
        <v>52</v>
      </c>
      <c r="B159" s="44">
        <f>FiscalStart+(A159-1)*7</f>
        <v/>
      </c>
      <c r="C159">
        <f>TEXT(B159,"mmm yyyy")</f>
        <v/>
      </c>
      <c r="D159">
        <f>"Q"&amp;(INT((A159-1)/13)+1)</f>
        <v/>
      </c>
      <c r="E159" t="inlineStr">
        <is>
          <t>Convenience</t>
        </is>
      </c>
      <c r="F159">
        <f>IFERROR(INDEX(ChFormat,MATCH(E159,ChName,0)),"")</f>
        <v/>
      </c>
      <c r="G159" t="inlineStr">
        <is>
          <t>SK</t>
        </is>
      </c>
      <c r="H159">
        <f>IF(A159&lt;=NWeeks,1,0)</f>
        <v/>
      </c>
      <c r="I159">
        <f>INDEX(ChLaunch,MATCH(E159,ChName,0))</f>
        <v/>
      </c>
      <c r="J159">
        <f>INDEX(ChWeeksFull,MATCH(E159,ChName,0))</f>
        <v/>
      </c>
      <c r="K159">
        <f>INDEX(ChRamp,MATCH(E159,ChName,0))</f>
        <v/>
      </c>
      <c r="L159" s="45">
        <f>MIN(1,MAX(0,(A159-I159+1)*RampSpeed/J159))</f>
        <v/>
      </c>
      <c r="M159" s="45">
        <f>IF(A159&lt;I159,0,IF(K159="S-curve",L159*L159*(3-2*L159),L159))</f>
        <v/>
      </c>
      <c r="N159" s="45">
        <f>1+(INDEX(SeasonIdx,A159)-1)*SeasonAmp</f>
        <v/>
      </c>
      <c r="O159" s="45">
        <f>IFERROR(INDEX(PSPct,MATCH(E159&amp;"|"&amp;G159,PSKey,0)),0)</f>
        <v/>
      </c>
      <c r="P159" s="46">
        <f>INDEX(ChDoorVel,MATCH(E159,ChName,0))*CalibScalar*(1+VelocityUplift)</f>
        <v/>
      </c>
      <c r="Q159" s="46" t="n">
        <v>0</v>
      </c>
      <c r="R159" s="46">
        <f>P159*O159*M159*N159*H159</f>
        <v/>
      </c>
      <c r="S159" s="46">
        <f>R159*INDEX(FmtCansPerCase,MATCH(F159,FmtName,0))</f>
        <v/>
      </c>
      <c r="T159" s="46">
        <f>S159/INDEX(FmtCansPerPack,MATCH(F159,FmtName,0))</f>
        <v/>
      </c>
      <c r="U159" s="47">
        <f>INDEX(ChBaseCP,MATCH(E159,ChName,0))*(1+INDEX(ProvMod,MATCH(G159,ProvCode,0)))*(1+PriceIndex)</f>
        <v/>
      </c>
      <c r="V159" s="47">
        <f>R159*U159*INDEX(FmtBlendedPriceIdx,MATCH(F159,FmtName,0))</f>
        <v/>
      </c>
      <c r="W159" s="47">
        <f>T159*INDEX(ProvSRP,MATCH(G159,ProvCode,0))*(1+PriceIndex)</f>
        <v/>
      </c>
      <c r="X159" s="47">
        <f>IF(GrossBasis="Wholesale",V159,W159)</f>
        <v/>
      </c>
      <c r="Y159" s="47">
        <f>R159*INDEX(FmtBlendedCogs,MATCH(F159,FmtName,0))</f>
        <v/>
      </c>
      <c r="Z159" s="47">
        <f>X159-Y159</f>
        <v/>
      </c>
    </row>
    <row r="160">
      <c r="A160" t="n">
        <v>53</v>
      </c>
      <c r="B160" s="44">
        <f>FiscalStart+(A160-1)*7</f>
        <v/>
      </c>
      <c r="C160">
        <f>TEXT(B160,"mmm yyyy")</f>
        <v/>
      </c>
      <c r="D160">
        <f>"Q"&amp;(INT((A160-1)/13)+1)</f>
        <v/>
      </c>
      <c r="E160" t="inlineStr">
        <is>
          <t>Convenience</t>
        </is>
      </c>
      <c r="F160">
        <f>IFERROR(INDEX(ChFormat,MATCH(E160,ChName,0)),"")</f>
        <v/>
      </c>
      <c r="G160" t="inlineStr">
        <is>
          <t>SK</t>
        </is>
      </c>
      <c r="H160">
        <f>IF(A160&lt;=NWeeks,1,0)</f>
        <v/>
      </c>
      <c r="I160">
        <f>INDEX(ChLaunch,MATCH(E160,ChName,0))</f>
        <v/>
      </c>
      <c r="J160">
        <f>INDEX(ChWeeksFull,MATCH(E160,ChName,0))</f>
        <v/>
      </c>
      <c r="K160">
        <f>INDEX(ChRamp,MATCH(E160,ChName,0))</f>
        <v/>
      </c>
      <c r="L160" s="45">
        <f>MIN(1,MAX(0,(A160-I160+1)*RampSpeed/J160))</f>
        <v/>
      </c>
      <c r="M160" s="45">
        <f>IF(A160&lt;I160,0,IF(K160="S-curve",L160*L160*(3-2*L160),L160))</f>
        <v/>
      </c>
      <c r="N160" s="45">
        <f>1+(INDEX(SeasonIdx,A160)-1)*SeasonAmp</f>
        <v/>
      </c>
      <c r="O160" s="45">
        <f>IFERROR(INDEX(PSPct,MATCH(E160&amp;"|"&amp;G160,PSKey,0)),0)</f>
        <v/>
      </c>
      <c r="P160" s="46">
        <f>INDEX(ChDoorVel,MATCH(E160,ChName,0))*CalibScalar*(1+VelocityUplift)</f>
        <v/>
      </c>
      <c r="Q160" s="46" t="n">
        <v>0</v>
      </c>
      <c r="R160" s="46">
        <f>P160*O160*M160*N160*H160</f>
        <v/>
      </c>
      <c r="S160" s="46">
        <f>R160*INDEX(FmtCansPerCase,MATCH(F160,FmtName,0))</f>
        <v/>
      </c>
      <c r="T160" s="46">
        <f>S160/INDEX(FmtCansPerPack,MATCH(F160,FmtName,0))</f>
        <v/>
      </c>
      <c r="U160" s="47">
        <f>INDEX(ChBaseCP,MATCH(E160,ChName,0))*(1+INDEX(ProvMod,MATCH(G160,ProvCode,0)))*(1+PriceIndex)</f>
        <v/>
      </c>
      <c r="V160" s="47">
        <f>R160*U160*INDEX(FmtBlendedPriceIdx,MATCH(F160,FmtName,0))</f>
        <v/>
      </c>
      <c r="W160" s="47">
        <f>T160*INDEX(ProvSRP,MATCH(G160,ProvCode,0))*(1+PriceIndex)</f>
        <v/>
      </c>
      <c r="X160" s="47">
        <f>IF(GrossBasis="Wholesale",V160,W160)</f>
        <v/>
      </c>
      <c r="Y160" s="47">
        <f>R160*INDEX(FmtBlendedCogs,MATCH(F160,FmtName,0))</f>
        <v/>
      </c>
      <c r="Z160" s="47">
        <f>X160-Y160</f>
        <v/>
      </c>
    </row>
    <row r="161">
      <c r="A161" t="n">
        <v>1</v>
      </c>
      <c r="B161" s="44">
        <f>FiscalStart+(A161-1)*7</f>
        <v/>
      </c>
      <c r="C161">
        <f>TEXT(B161,"mmm yyyy")</f>
        <v/>
      </c>
      <c r="D161">
        <f>"Q"&amp;(INT((A161-1)/13)+1)</f>
        <v/>
      </c>
      <c r="E161" t="inlineStr">
        <is>
          <t>Convenience</t>
        </is>
      </c>
      <c r="F161">
        <f>IFERROR(INDEX(ChFormat,MATCH(E161,ChName,0)),"")</f>
        <v/>
      </c>
      <c r="G161" t="inlineStr">
        <is>
          <t>MB</t>
        </is>
      </c>
      <c r="H161">
        <f>IF(A161&lt;=NWeeks,1,0)</f>
        <v/>
      </c>
      <c r="I161">
        <f>INDEX(ChLaunch,MATCH(E161,ChName,0))</f>
        <v/>
      </c>
      <c r="J161">
        <f>INDEX(ChWeeksFull,MATCH(E161,ChName,0))</f>
        <v/>
      </c>
      <c r="K161">
        <f>INDEX(ChRamp,MATCH(E161,ChName,0))</f>
        <v/>
      </c>
      <c r="L161" s="45">
        <f>MIN(1,MAX(0,(A161-I161+1)*RampSpeed/J161))</f>
        <v/>
      </c>
      <c r="M161" s="45">
        <f>IF(A161&lt;I161,0,IF(K161="S-curve",L161*L161*(3-2*L161),L161))</f>
        <v/>
      </c>
      <c r="N161" s="45">
        <f>1+(INDEX(SeasonIdx,A161)-1)*SeasonAmp</f>
        <v/>
      </c>
      <c r="O161" s="45">
        <f>IFERROR(INDEX(PSPct,MATCH(E161&amp;"|"&amp;G161,PSKey,0)),0)</f>
        <v/>
      </c>
      <c r="P161" s="46">
        <f>INDEX(ChDoorVel,MATCH(E161,ChName,0))*CalibScalar*(1+VelocityUplift)</f>
        <v/>
      </c>
      <c r="Q161" s="46" t="n">
        <v>0</v>
      </c>
      <c r="R161" s="46">
        <f>P161*O161*M161*N161*H161</f>
        <v/>
      </c>
      <c r="S161" s="46">
        <f>R161*INDEX(FmtCansPerCase,MATCH(F161,FmtName,0))</f>
        <v/>
      </c>
      <c r="T161" s="46">
        <f>S161/INDEX(FmtCansPerPack,MATCH(F161,FmtName,0))</f>
        <v/>
      </c>
      <c r="U161" s="47">
        <f>INDEX(ChBaseCP,MATCH(E161,ChName,0))*(1+INDEX(ProvMod,MATCH(G161,ProvCode,0)))*(1+PriceIndex)</f>
        <v/>
      </c>
      <c r="V161" s="47">
        <f>R161*U161*INDEX(FmtBlendedPriceIdx,MATCH(F161,FmtName,0))</f>
        <v/>
      </c>
      <c r="W161" s="47">
        <f>T161*INDEX(ProvSRP,MATCH(G161,ProvCode,0))*(1+PriceIndex)</f>
        <v/>
      </c>
      <c r="X161" s="47">
        <f>IF(GrossBasis="Wholesale",V161,W161)</f>
        <v/>
      </c>
      <c r="Y161" s="47">
        <f>R161*INDEX(FmtBlendedCogs,MATCH(F161,FmtName,0))</f>
        <v/>
      </c>
      <c r="Z161" s="47">
        <f>X161-Y161</f>
        <v/>
      </c>
    </row>
    <row r="162">
      <c r="A162" t="n">
        <v>2</v>
      </c>
      <c r="B162" s="44">
        <f>FiscalStart+(A162-1)*7</f>
        <v/>
      </c>
      <c r="C162">
        <f>TEXT(B162,"mmm yyyy")</f>
        <v/>
      </c>
      <c r="D162">
        <f>"Q"&amp;(INT((A162-1)/13)+1)</f>
        <v/>
      </c>
      <c r="E162" t="inlineStr">
        <is>
          <t>Convenience</t>
        </is>
      </c>
      <c r="F162">
        <f>IFERROR(INDEX(ChFormat,MATCH(E162,ChName,0)),"")</f>
        <v/>
      </c>
      <c r="G162" t="inlineStr">
        <is>
          <t>MB</t>
        </is>
      </c>
      <c r="H162">
        <f>IF(A162&lt;=NWeeks,1,0)</f>
        <v/>
      </c>
      <c r="I162">
        <f>INDEX(ChLaunch,MATCH(E162,ChName,0))</f>
        <v/>
      </c>
      <c r="J162">
        <f>INDEX(ChWeeksFull,MATCH(E162,ChName,0))</f>
        <v/>
      </c>
      <c r="K162">
        <f>INDEX(ChRamp,MATCH(E162,ChName,0))</f>
        <v/>
      </c>
      <c r="L162" s="45">
        <f>MIN(1,MAX(0,(A162-I162+1)*RampSpeed/J162))</f>
        <v/>
      </c>
      <c r="M162" s="45">
        <f>IF(A162&lt;I162,0,IF(K162="S-curve",L162*L162*(3-2*L162),L162))</f>
        <v/>
      </c>
      <c r="N162" s="45">
        <f>1+(INDEX(SeasonIdx,A162)-1)*SeasonAmp</f>
        <v/>
      </c>
      <c r="O162" s="45">
        <f>IFERROR(INDEX(PSPct,MATCH(E162&amp;"|"&amp;G162,PSKey,0)),0)</f>
        <v/>
      </c>
      <c r="P162" s="46">
        <f>INDEX(ChDoorVel,MATCH(E162,ChName,0))*CalibScalar*(1+VelocityUplift)</f>
        <v/>
      </c>
      <c r="Q162" s="46" t="n">
        <v>0</v>
      </c>
      <c r="R162" s="46">
        <f>P162*O162*M162*N162*H162</f>
        <v/>
      </c>
      <c r="S162" s="46">
        <f>R162*INDEX(FmtCansPerCase,MATCH(F162,FmtName,0))</f>
        <v/>
      </c>
      <c r="T162" s="46">
        <f>S162/INDEX(FmtCansPerPack,MATCH(F162,FmtName,0))</f>
        <v/>
      </c>
      <c r="U162" s="47">
        <f>INDEX(ChBaseCP,MATCH(E162,ChName,0))*(1+INDEX(ProvMod,MATCH(G162,ProvCode,0)))*(1+PriceIndex)</f>
        <v/>
      </c>
      <c r="V162" s="47">
        <f>R162*U162*INDEX(FmtBlendedPriceIdx,MATCH(F162,FmtName,0))</f>
        <v/>
      </c>
      <c r="W162" s="47">
        <f>T162*INDEX(ProvSRP,MATCH(G162,ProvCode,0))*(1+PriceIndex)</f>
        <v/>
      </c>
      <c r="X162" s="47">
        <f>IF(GrossBasis="Wholesale",V162,W162)</f>
        <v/>
      </c>
      <c r="Y162" s="47">
        <f>R162*INDEX(FmtBlendedCogs,MATCH(F162,FmtName,0))</f>
        <v/>
      </c>
      <c r="Z162" s="47">
        <f>X162-Y162</f>
        <v/>
      </c>
    </row>
    <row r="163">
      <c r="A163" t="n">
        <v>3</v>
      </c>
      <c r="B163" s="44">
        <f>FiscalStart+(A163-1)*7</f>
        <v/>
      </c>
      <c r="C163">
        <f>TEXT(B163,"mmm yyyy")</f>
        <v/>
      </c>
      <c r="D163">
        <f>"Q"&amp;(INT((A163-1)/13)+1)</f>
        <v/>
      </c>
      <c r="E163" t="inlineStr">
        <is>
          <t>Convenience</t>
        </is>
      </c>
      <c r="F163">
        <f>IFERROR(INDEX(ChFormat,MATCH(E163,ChName,0)),"")</f>
        <v/>
      </c>
      <c r="G163" t="inlineStr">
        <is>
          <t>MB</t>
        </is>
      </c>
      <c r="H163">
        <f>IF(A163&lt;=NWeeks,1,0)</f>
        <v/>
      </c>
      <c r="I163">
        <f>INDEX(ChLaunch,MATCH(E163,ChName,0))</f>
        <v/>
      </c>
      <c r="J163">
        <f>INDEX(ChWeeksFull,MATCH(E163,ChName,0))</f>
        <v/>
      </c>
      <c r="K163">
        <f>INDEX(ChRamp,MATCH(E163,ChName,0))</f>
        <v/>
      </c>
      <c r="L163" s="45">
        <f>MIN(1,MAX(0,(A163-I163+1)*RampSpeed/J163))</f>
        <v/>
      </c>
      <c r="M163" s="45">
        <f>IF(A163&lt;I163,0,IF(K163="S-curve",L163*L163*(3-2*L163),L163))</f>
        <v/>
      </c>
      <c r="N163" s="45">
        <f>1+(INDEX(SeasonIdx,A163)-1)*SeasonAmp</f>
        <v/>
      </c>
      <c r="O163" s="45">
        <f>IFERROR(INDEX(PSPct,MATCH(E163&amp;"|"&amp;G163,PSKey,0)),0)</f>
        <v/>
      </c>
      <c r="P163" s="46">
        <f>INDEX(ChDoorVel,MATCH(E163,ChName,0))*CalibScalar*(1+VelocityUplift)</f>
        <v/>
      </c>
      <c r="Q163" s="46" t="n">
        <v>0</v>
      </c>
      <c r="R163" s="46">
        <f>P163*O163*M163*N163*H163</f>
        <v/>
      </c>
      <c r="S163" s="46">
        <f>R163*INDEX(FmtCansPerCase,MATCH(F163,FmtName,0))</f>
        <v/>
      </c>
      <c r="T163" s="46">
        <f>S163/INDEX(FmtCansPerPack,MATCH(F163,FmtName,0))</f>
        <v/>
      </c>
      <c r="U163" s="47">
        <f>INDEX(ChBaseCP,MATCH(E163,ChName,0))*(1+INDEX(ProvMod,MATCH(G163,ProvCode,0)))*(1+PriceIndex)</f>
        <v/>
      </c>
      <c r="V163" s="47">
        <f>R163*U163*INDEX(FmtBlendedPriceIdx,MATCH(F163,FmtName,0))</f>
        <v/>
      </c>
      <c r="W163" s="47">
        <f>T163*INDEX(ProvSRP,MATCH(G163,ProvCode,0))*(1+PriceIndex)</f>
        <v/>
      </c>
      <c r="X163" s="47">
        <f>IF(GrossBasis="Wholesale",V163,W163)</f>
        <v/>
      </c>
      <c r="Y163" s="47">
        <f>R163*INDEX(FmtBlendedCogs,MATCH(F163,FmtName,0))</f>
        <v/>
      </c>
      <c r="Z163" s="47">
        <f>X163-Y163</f>
        <v/>
      </c>
    </row>
    <row r="164">
      <c r="A164" t="n">
        <v>4</v>
      </c>
      <c r="B164" s="44">
        <f>FiscalStart+(A164-1)*7</f>
        <v/>
      </c>
      <c r="C164">
        <f>TEXT(B164,"mmm yyyy")</f>
        <v/>
      </c>
      <c r="D164">
        <f>"Q"&amp;(INT((A164-1)/13)+1)</f>
        <v/>
      </c>
      <c r="E164" t="inlineStr">
        <is>
          <t>Convenience</t>
        </is>
      </c>
      <c r="F164">
        <f>IFERROR(INDEX(ChFormat,MATCH(E164,ChName,0)),"")</f>
        <v/>
      </c>
      <c r="G164" t="inlineStr">
        <is>
          <t>MB</t>
        </is>
      </c>
      <c r="H164">
        <f>IF(A164&lt;=NWeeks,1,0)</f>
        <v/>
      </c>
      <c r="I164">
        <f>INDEX(ChLaunch,MATCH(E164,ChName,0))</f>
        <v/>
      </c>
      <c r="J164">
        <f>INDEX(ChWeeksFull,MATCH(E164,ChName,0))</f>
        <v/>
      </c>
      <c r="K164">
        <f>INDEX(ChRamp,MATCH(E164,ChName,0))</f>
        <v/>
      </c>
      <c r="L164" s="45">
        <f>MIN(1,MAX(0,(A164-I164+1)*RampSpeed/J164))</f>
        <v/>
      </c>
      <c r="M164" s="45">
        <f>IF(A164&lt;I164,0,IF(K164="S-curve",L164*L164*(3-2*L164),L164))</f>
        <v/>
      </c>
      <c r="N164" s="45">
        <f>1+(INDEX(SeasonIdx,A164)-1)*SeasonAmp</f>
        <v/>
      </c>
      <c r="O164" s="45">
        <f>IFERROR(INDEX(PSPct,MATCH(E164&amp;"|"&amp;G164,PSKey,0)),0)</f>
        <v/>
      </c>
      <c r="P164" s="46">
        <f>INDEX(ChDoorVel,MATCH(E164,ChName,0))*CalibScalar*(1+VelocityUplift)</f>
        <v/>
      </c>
      <c r="Q164" s="46" t="n">
        <v>0</v>
      </c>
      <c r="R164" s="46">
        <f>P164*O164*M164*N164*H164</f>
        <v/>
      </c>
      <c r="S164" s="46">
        <f>R164*INDEX(FmtCansPerCase,MATCH(F164,FmtName,0))</f>
        <v/>
      </c>
      <c r="T164" s="46">
        <f>S164/INDEX(FmtCansPerPack,MATCH(F164,FmtName,0))</f>
        <v/>
      </c>
      <c r="U164" s="47">
        <f>INDEX(ChBaseCP,MATCH(E164,ChName,0))*(1+INDEX(ProvMod,MATCH(G164,ProvCode,0)))*(1+PriceIndex)</f>
        <v/>
      </c>
      <c r="V164" s="47">
        <f>R164*U164*INDEX(FmtBlendedPriceIdx,MATCH(F164,FmtName,0))</f>
        <v/>
      </c>
      <c r="W164" s="47">
        <f>T164*INDEX(ProvSRP,MATCH(G164,ProvCode,0))*(1+PriceIndex)</f>
        <v/>
      </c>
      <c r="X164" s="47">
        <f>IF(GrossBasis="Wholesale",V164,W164)</f>
        <v/>
      </c>
      <c r="Y164" s="47">
        <f>R164*INDEX(FmtBlendedCogs,MATCH(F164,FmtName,0))</f>
        <v/>
      </c>
      <c r="Z164" s="47">
        <f>X164-Y164</f>
        <v/>
      </c>
    </row>
    <row r="165">
      <c r="A165" t="n">
        <v>5</v>
      </c>
      <c r="B165" s="44">
        <f>FiscalStart+(A165-1)*7</f>
        <v/>
      </c>
      <c r="C165">
        <f>TEXT(B165,"mmm yyyy")</f>
        <v/>
      </c>
      <c r="D165">
        <f>"Q"&amp;(INT((A165-1)/13)+1)</f>
        <v/>
      </c>
      <c r="E165" t="inlineStr">
        <is>
          <t>Convenience</t>
        </is>
      </c>
      <c r="F165">
        <f>IFERROR(INDEX(ChFormat,MATCH(E165,ChName,0)),"")</f>
        <v/>
      </c>
      <c r="G165" t="inlineStr">
        <is>
          <t>MB</t>
        </is>
      </c>
      <c r="H165">
        <f>IF(A165&lt;=NWeeks,1,0)</f>
        <v/>
      </c>
      <c r="I165">
        <f>INDEX(ChLaunch,MATCH(E165,ChName,0))</f>
        <v/>
      </c>
      <c r="J165">
        <f>INDEX(ChWeeksFull,MATCH(E165,ChName,0))</f>
        <v/>
      </c>
      <c r="K165">
        <f>INDEX(ChRamp,MATCH(E165,ChName,0))</f>
        <v/>
      </c>
      <c r="L165" s="45">
        <f>MIN(1,MAX(0,(A165-I165+1)*RampSpeed/J165))</f>
        <v/>
      </c>
      <c r="M165" s="45">
        <f>IF(A165&lt;I165,0,IF(K165="S-curve",L165*L165*(3-2*L165),L165))</f>
        <v/>
      </c>
      <c r="N165" s="45">
        <f>1+(INDEX(SeasonIdx,A165)-1)*SeasonAmp</f>
        <v/>
      </c>
      <c r="O165" s="45">
        <f>IFERROR(INDEX(PSPct,MATCH(E165&amp;"|"&amp;G165,PSKey,0)),0)</f>
        <v/>
      </c>
      <c r="P165" s="46">
        <f>INDEX(ChDoorVel,MATCH(E165,ChName,0))*CalibScalar*(1+VelocityUplift)</f>
        <v/>
      </c>
      <c r="Q165" s="46" t="n">
        <v>0</v>
      </c>
      <c r="R165" s="46">
        <f>P165*O165*M165*N165*H165</f>
        <v/>
      </c>
      <c r="S165" s="46">
        <f>R165*INDEX(FmtCansPerCase,MATCH(F165,FmtName,0))</f>
        <v/>
      </c>
      <c r="T165" s="46">
        <f>S165/INDEX(FmtCansPerPack,MATCH(F165,FmtName,0))</f>
        <v/>
      </c>
      <c r="U165" s="47">
        <f>INDEX(ChBaseCP,MATCH(E165,ChName,0))*(1+INDEX(ProvMod,MATCH(G165,ProvCode,0)))*(1+PriceIndex)</f>
        <v/>
      </c>
      <c r="V165" s="47">
        <f>R165*U165*INDEX(FmtBlendedPriceIdx,MATCH(F165,FmtName,0))</f>
        <v/>
      </c>
      <c r="W165" s="47">
        <f>T165*INDEX(ProvSRP,MATCH(G165,ProvCode,0))*(1+PriceIndex)</f>
        <v/>
      </c>
      <c r="X165" s="47">
        <f>IF(GrossBasis="Wholesale",V165,W165)</f>
        <v/>
      </c>
      <c r="Y165" s="47">
        <f>R165*INDEX(FmtBlendedCogs,MATCH(F165,FmtName,0))</f>
        <v/>
      </c>
      <c r="Z165" s="47">
        <f>X165-Y165</f>
        <v/>
      </c>
    </row>
    <row r="166">
      <c r="A166" t="n">
        <v>6</v>
      </c>
      <c r="B166" s="44">
        <f>FiscalStart+(A166-1)*7</f>
        <v/>
      </c>
      <c r="C166">
        <f>TEXT(B166,"mmm yyyy")</f>
        <v/>
      </c>
      <c r="D166">
        <f>"Q"&amp;(INT((A166-1)/13)+1)</f>
        <v/>
      </c>
      <c r="E166" t="inlineStr">
        <is>
          <t>Convenience</t>
        </is>
      </c>
      <c r="F166">
        <f>IFERROR(INDEX(ChFormat,MATCH(E166,ChName,0)),"")</f>
        <v/>
      </c>
      <c r="G166" t="inlineStr">
        <is>
          <t>MB</t>
        </is>
      </c>
      <c r="H166">
        <f>IF(A166&lt;=NWeeks,1,0)</f>
        <v/>
      </c>
      <c r="I166">
        <f>INDEX(ChLaunch,MATCH(E166,ChName,0))</f>
        <v/>
      </c>
      <c r="J166">
        <f>INDEX(ChWeeksFull,MATCH(E166,ChName,0))</f>
        <v/>
      </c>
      <c r="K166">
        <f>INDEX(ChRamp,MATCH(E166,ChName,0))</f>
        <v/>
      </c>
      <c r="L166" s="45">
        <f>MIN(1,MAX(0,(A166-I166+1)*RampSpeed/J166))</f>
        <v/>
      </c>
      <c r="M166" s="45">
        <f>IF(A166&lt;I166,0,IF(K166="S-curve",L166*L166*(3-2*L166),L166))</f>
        <v/>
      </c>
      <c r="N166" s="45">
        <f>1+(INDEX(SeasonIdx,A166)-1)*SeasonAmp</f>
        <v/>
      </c>
      <c r="O166" s="45">
        <f>IFERROR(INDEX(PSPct,MATCH(E166&amp;"|"&amp;G166,PSKey,0)),0)</f>
        <v/>
      </c>
      <c r="P166" s="46">
        <f>INDEX(ChDoorVel,MATCH(E166,ChName,0))*CalibScalar*(1+VelocityUplift)</f>
        <v/>
      </c>
      <c r="Q166" s="46" t="n">
        <v>0</v>
      </c>
      <c r="R166" s="46">
        <f>P166*O166*M166*N166*H166</f>
        <v/>
      </c>
      <c r="S166" s="46">
        <f>R166*INDEX(FmtCansPerCase,MATCH(F166,FmtName,0))</f>
        <v/>
      </c>
      <c r="T166" s="46">
        <f>S166/INDEX(FmtCansPerPack,MATCH(F166,FmtName,0))</f>
        <v/>
      </c>
      <c r="U166" s="47">
        <f>INDEX(ChBaseCP,MATCH(E166,ChName,0))*(1+INDEX(ProvMod,MATCH(G166,ProvCode,0)))*(1+PriceIndex)</f>
        <v/>
      </c>
      <c r="V166" s="47">
        <f>R166*U166*INDEX(FmtBlendedPriceIdx,MATCH(F166,FmtName,0))</f>
        <v/>
      </c>
      <c r="W166" s="47">
        <f>T166*INDEX(ProvSRP,MATCH(G166,ProvCode,0))*(1+PriceIndex)</f>
        <v/>
      </c>
      <c r="X166" s="47">
        <f>IF(GrossBasis="Wholesale",V166,W166)</f>
        <v/>
      </c>
      <c r="Y166" s="47">
        <f>R166*INDEX(FmtBlendedCogs,MATCH(F166,FmtName,0))</f>
        <v/>
      </c>
      <c r="Z166" s="47">
        <f>X166-Y166</f>
        <v/>
      </c>
    </row>
    <row r="167">
      <c r="A167" t="n">
        <v>7</v>
      </c>
      <c r="B167" s="44">
        <f>FiscalStart+(A167-1)*7</f>
        <v/>
      </c>
      <c r="C167">
        <f>TEXT(B167,"mmm yyyy")</f>
        <v/>
      </c>
      <c r="D167">
        <f>"Q"&amp;(INT((A167-1)/13)+1)</f>
        <v/>
      </c>
      <c r="E167" t="inlineStr">
        <is>
          <t>Convenience</t>
        </is>
      </c>
      <c r="F167">
        <f>IFERROR(INDEX(ChFormat,MATCH(E167,ChName,0)),"")</f>
        <v/>
      </c>
      <c r="G167" t="inlineStr">
        <is>
          <t>MB</t>
        </is>
      </c>
      <c r="H167">
        <f>IF(A167&lt;=NWeeks,1,0)</f>
        <v/>
      </c>
      <c r="I167">
        <f>INDEX(ChLaunch,MATCH(E167,ChName,0))</f>
        <v/>
      </c>
      <c r="J167">
        <f>INDEX(ChWeeksFull,MATCH(E167,ChName,0))</f>
        <v/>
      </c>
      <c r="K167">
        <f>INDEX(ChRamp,MATCH(E167,ChName,0))</f>
        <v/>
      </c>
      <c r="L167" s="45">
        <f>MIN(1,MAX(0,(A167-I167+1)*RampSpeed/J167))</f>
        <v/>
      </c>
      <c r="M167" s="45">
        <f>IF(A167&lt;I167,0,IF(K167="S-curve",L167*L167*(3-2*L167),L167))</f>
        <v/>
      </c>
      <c r="N167" s="45">
        <f>1+(INDEX(SeasonIdx,A167)-1)*SeasonAmp</f>
        <v/>
      </c>
      <c r="O167" s="45">
        <f>IFERROR(INDEX(PSPct,MATCH(E167&amp;"|"&amp;G167,PSKey,0)),0)</f>
        <v/>
      </c>
      <c r="P167" s="46">
        <f>INDEX(ChDoorVel,MATCH(E167,ChName,0))*CalibScalar*(1+VelocityUplift)</f>
        <v/>
      </c>
      <c r="Q167" s="46" t="n">
        <v>0</v>
      </c>
      <c r="R167" s="46">
        <f>P167*O167*M167*N167*H167</f>
        <v/>
      </c>
      <c r="S167" s="46">
        <f>R167*INDEX(FmtCansPerCase,MATCH(F167,FmtName,0))</f>
        <v/>
      </c>
      <c r="T167" s="46">
        <f>S167/INDEX(FmtCansPerPack,MATCH(F167,FmtName,0))</f>
        <v/>
      </c>
      <c r="U167" s="47">
        <f>INDEX(ChBaseCP,MATCH(E167,ChName,0))*(1+INDEX(ProvMod,MATCH(G167,ProvCode,0)))*(1+PriceIndex)</f>
        <v/>
      </c>
      <c r="V167" s="47">
        <f>R167*U167*INDEX(FmtBlendedPriceIdx,MATCH(F167,FmtName,0))</f>
        <v/>
      </c>
      <c r="W167" s="47">
        <f>T167*INDEX(ProvSRP,MATCH(G167,ProvCode,0))*(1+PriceIndex)</f>
        <v/>
      </c>
      <c r="X167" s="47">
        <f>IF(GrossBasis="Wholesale",V167,W167)</f>
        <v/>
      </c>
      <c r="Y167" s="47">
        <f>R167*INDEX(FmtBlendedCogs,MATCH(F167,FmtName,0))</f>
        <v/>
      </c>
      <c r="Z167" s="47">
        <f>X167-Y167</f>
        <v/>
      </c>
    </row>
    <row r="168">
      <c r="A168" t="n">
        <v>8</v>
      </c>
      <c r="B168" s="44">
        <f>FiscalStart+(A168-1)*7</f>
        <v/>
      </c>
      <c r="C168">
        <f>TEXT(B168,"mmm yyyy")</f>
        <v/>
      </c>
      <c r="D168">
        <f>"Q"&amp;(INT((A168-1)/13)+1)</f>
        <v/>
      </c>
      <c r="E168" t="inlineStr">
        <is>
          <t>Convenience</t>
        </is>
      </c>
      <c r="F168">
        <f>IFERROR(INDEX(ChFormat,MATCH(E168,ChName,0)),"")</f>
        <v/>
      </c>
      <c r="G168" t="inlineStr">
        <is>
          <t>MB</t>
        </is>
      </c>
      <c r="H168">
        <f>IF(A168&lt;=NWeeks,1,0)</f>
        <v/>
      </c>
      <c r="I168">
        <f>INDEX(ChLaunch,MATCH(E168,ChName,0))</f>
        <v/>
      </c>
      <c r="J168">
        <f>INDEX(ChWeeksFull,MATCH(E168,ChName,0))</f>
        <v/>
      </c>
      <c r="K168">
        <f>INDEX(ChRamp,MATCH(E168,ChName,0))</f>
        <v/>
      </c>
      <c r="L168" s="45">
        <f>MIN(1,MAX(0,(A168-I168+1)*RampSpeed/J168))</f>
        <v/>
      </c>
      <c r="M168" s="45">
        <f>IF(A168&lt;I168,0,IF(K168="S-curve",L168*L168*(3-2*L168),L168))</f>
        <v/>
      </c>
      <c r="N168" s="45">
        <f>1+(INDEX(SeasonIdx,A168)-1)*SeasonAmp</f>
        <v/>
      </c>
      <c r="O168" s="45">
        <f>IFERROR(INDEX(PSPct,MATCH(E168&amp;"|"&amp;G168,PSKey,0)),0)</f>
        <v/>
      </c>
      <c r="P168" s="46">
        <f>INDEX(ChDoorVel,MATCH(E168,ChName,0))*CalibScalar*(1+VelocityUplift)</f>
        <v/>
      </c>
      <c r="Q168" s="46" t="n">
        <v>0</v>
      </c>
      <c r="R168" s="46">
        <f>P168*O168*M168*N168*H168</f>
        <v/>
      </c>
      <c r="S168" s="46">
        <f>R168*INDEX(FmtCansPerCase,MATCH(F168,FmtName,0))</f>
        <v/>
      </c>
      <c r="T168" s="46">
        <f>S168/INDEX(FmtCansPerPack,MATCH(F168,FmtName,0))</f>
        <v/>
      </c>
      <c r="U168" s="47">
        <f>INDEX(ChBaseCP,MATCH(E168,ChName,0))*(1+INDEX(ProvMod,MATCH(G168,ProvCode,0)))*(1+PriceIndex)</f>
        <v/>
      </c>
      <c r="V168" s="47">
        <f>R168*U168*INDEX(FmtBlendedPriceIdx,MATCH(F168,FmtName,0))</f>
        <v/>
      </c>
      <c r="W168" s="47">
        <f>T168*INDEX(ProvSRP,MATCH(G168,ProvCode,0))*(1+PriceIndex)</f>
        <v/>
      </c>
      <c r="X168" s="47">
        <f>IF(GrossBasis="Wholesale",V168,W168)</f>
        <v/>
      </c>
      <c r="Y168" s="47">
        <f>R168*INDEX(FmtBlendedCogs,MATCH(F168,FmtName,0))</f>
        <v/>
      </c>
      <c r="Z168" s="47">
        <f>X168-Y168</f>
        <v/>
      </c>
    </row>
    <row r="169">
      <c r="A169" t="n">
        <v>9</v>
      </c>
      <c r="B169" s="44">
        <f>FiscalStart+(A169-1)*7</f>
        <v/>
      </c>
      <c r="C169">
        <f>TEXT(B169,"mmm yyyy")</f>
        <v/>
      </c>
      <c r="D169">
        <f>"Q"&amp;(INT((A169-1)/13)+1)</f>
        <v/>
      </c>
      <c r="E169" t="inlineStr">
        <is>
          <t>Convenience</t>
        </is>
      </c>
      <c r="F169">
        <f>IFERROR(INDEX(ChFormat,MATCH(E169,ChName,0)),"")</f>
        <v/>
      </c>
      <c r="G169" t="inlineStr">
        <is>
          <t>MB</t>
        </is>
      </c>
      <c r="H169">
        <f>IF(A169&lt;=NWeeks,1,0)</f>
        <v/>
      </c>
      <c r="I169">
        <f>INDEX(ChLaunch,MATCH(E169,ChName,0))</f>
        <v/>
      </c>
      <c r="J169">
        <f>INDEX(ChWeeksFull,MATCH(E169,ChName,0))</f>
        <v/>
      </c>
      <c r="K169">
        <f>INDEX(ChRamp,MATCH(E169,ChName,0))</f>
        <v/>
      </c>
      <c r="L169" s="45">
        <f>MIN(1,MAX(0,(A169-I169+1)*RampSpeed/J169))</f>
        <v/>
      </c>
      <c r="M169" s="45">
        <f>IF(A169&lt;I169,0,IF(K169="S-curve",L169*L169*(3-2*L169),L169))</f>
        <v/>
      </c>
      <c r="N169" s="45">
        <f>1+(INDEX(SeasonIdx,A169)-1)*SeasonAmp</f>
        <v/>
      </c>
      <c r="O169" s="45">
        <f>IFERROR(INDEX(PSPct,MATCH(E169&amp;"|"&amp;G169,PSKey,0)),0)</f>
        <v/>
      </c>
      <c r="P169" s="46">
        <f>INDEX(ChDoorVel,MATCH(E169,ChName,0))*CalibScalar*(1+VelocityUplift)</f>
        <v/>
      </c>
      <c r="Q169" s="46" t="n">
        <v>0</v>
      </c>
      <c r="R169" s="46">
        <f>P169*O169*M169*N169*H169</f>
        <v/>
      </c>
      <c r="S169" s="46">
        <f>R169*INDEX(FmtCansPerCase,MATCH(F169,FmtName,0))</f>
        <v/>
      </c>
      <c r="T169" s="46">
        <f>S169/INDEX(FmtCansPerPack,MATCH(F169,FmtName,0))</f>
        <v/>
      </c>
      <c r="U169" s="47">
        <f>INDEX(ChBaseCP,MATCH(E169,ChName,0))*(1+INDEX(ProvMod,MATCH(G169,ProvCode,0)))*(1+PriceIndex)</f>
        <v/>
      </c>
      <c r="V169" s="47">
        <f>R169*U169*INDEX(FmtBlendedPriceIdx,MATCH(F169,FmtName,0))</f>
        <v/>
      </c>
      <c r="W169" s="47">
        <f>T169*INDEX(ProvSRP,MATCH(G169,ProvCode,0))*(1+PriceIndex)</f>
        <v/>
      </c>
      <c r="X169" s="47">
        <f>IF(GrossBasis="Wholesale",V169,W169)</f>
        <v/>
      </c>
      <c r="Y169" s="47">
        <f>R169*INDEX(FmtBlendedCogs,MATCH(F169,FmtName,0))</f>
        <v/>
      </c>
      <c r="Z169" s="47">
        <f>X169-Y169</f>
        <v/>
      </c>
    </row>
    <row r="170">
      <c r="A170" t="n">
        <v>10</v>
      </c>
      <c r="B170" s="44">
        <f>FiscalStart+(A170-1)*7</f>
        <v/>
      </c>
      <c r="C170">
        <f>TEXT(B170,"mmm yyyy")</f>
        <v/>
      </c>
      <c r="D170">
        <f>"Q"&amp;(INT((A170-1)/13)+1)</f>
        <v/>
      </c>
      <c r="E170" t="inlineStr">
        <is>
          <t>Convenience</t>
        </is>
      </c>
      <c r="F170">
        <f>IFERROR(INDEX(ChFormat,MATCH(E170,ChName,0)),"")</f>
        <v/>
      </c>
      <c r="G170" t="inlineStr">
        <is>
          <t>MB</t>
        </is>
      </c>
      <c r="H170">
        <f>IF(A170&lt;=NWeeks,1,0)</f>
        <v/>
      </c>
      <c r="I170">
        <f>INDEX(ChLaunch,MATCH(E170,ChName,0))</f>
        <v/>
      </c>
      <c r="J170">
        <f>INDEX(ChWeeksFull,MATCH(E170,ChName,0))</f>
        <v/>
      </c>
      <c r="K170">
        <f>INDEX(ChRamp,MATCH(E170,ChName,0))</f>
        <v/>
      </c>
      <c r="L170" s="45">
        <f>MIN(1,MAX(0,(A170-I170+1)*RampSpeed/J170))</f>
        <v/>
      </c>
      <c r="M170" s="45">
        <f>IF(A170&lt;I170,0,IF(K170="S-curve",L170*L170*(3-2*L170),L170))</f>
        <v/>
      </c>
      <c r="N170" s="45">
        <f>1+(INDEX(SeasonIdx,A170)-1)*SeasonAmp</f>
        <v/>
      </c>
      <c r="O170" s="45">
        <f>IFERROR(INDEX(PSPct,MATCH(E170&amp;"|"&amp;G170,PSKey,0)),0)</f>
        <v/>
      </c>
      <c r="P170" s="46">
        <f>INDEX(ChDoorVel,MATCH(E170,ChName,0))*CalibScalar*(1+VelocityUplift)</f>
        <v/>
      </c>
      <c r="Q170" s="46" t="n">
        <v>0</v>
      </c>
      <c r="R170" s="46">
        <f>P170*O170*M170*N170*H170</f>
        <v/>
      </c>
      <c r="S170" s="46">
        <f>R170*INDEX(FmtCansPerCase,MATCH(F170,FmtName,0))</f>
        <v/>
      </c>
      <c r="T170" s="46">
        <f>S170/INDEX(FmtCansPerPack,MATCH(F170,FmtName,0))</f>
        <v/>
      </c>
      <c r="U170" s="47">
        <f>INDEX(ChBaseCP,MATCH(E170,ChName,0))*(1+INDEX(ProvMod,MATCH(G170,ProvCode,0)))*(1+PriceIndex)</f>
        <v/>
      </c>
      <c r="V170" s="47">
        <f>R170*U170*INDEX(FmtBlendedPriceIdx,MATCH(F170,FmtName,0))</f>
        <v/>
      </c>
      <c r="W170" s="47">
        <f>T170*INDEX(ProvSRP,MATCH(G170,ProvCode,0))*(1+PriceIndex)</f>
        <v/>
      </c>
      <c r="X170" s="47">
        <f>IF(GrossBasis="Wholesale",V170,W170)</f>
        <v/>
      </c>
      <c r="Y170" s="47">
        <f>R170*INDEX(FmtBlendedCogs,MATCH(F170,FmtName,0))</f>
        <v/>
      </c>
      <c r="Z170" s="47">
        <f>X170-Y170</f>
        <v/>
      </c>
    </row>
    <row r="171">
      <c r="A171" t="n">
        <v>11</v>
      </c>
      <c r="B171" s="44">
        <f>FiscalStart+(A171-1)*7</f>
        <v/>
      </c>
      <c r="C171">
        <f>TEXT(B171,"mmm yyyy")</f>
        <v/>
      </c>
      <c r="D171">
        <f>"Q"&amp;(INT((A171-1)/13)+1)</f>
        <v/>
      </c>
      <c r="E171" t="inlineStr">
        <is>
          <t>Convenience</t>
        </is>
      </c>
      <c r="F171">
        <f>IFERROR(INDEX(ChFormat,MATCH(E171,ChName,0)),"")</f>
        <v/>
      </c>
      <c r="G171" t="inlineStr">
        <is>
          <t>MB</t>
        </is>
      </c>
      <c r="H171">
        <f>IF(A171&lt;=NWeeks,1,0)</f>
        <v/>
      </c>
      <c r="I171">
        <f>INDEX(ChLaunch,MATCH(E171,ChName,0))</f>
        <v/>
      </c>
      <c r="J171">
        <f>INDEX(ChWeeksFull,MATCH(E171,ChName,0))</f>
        <v/>
      </c>
      <c r="K171">
        <f>INDEX(ChRamp,MATCH(E171,ChName,0))</f>
        <v/>
      </c>
      <c r="L171" s="45">
        <f>MIN(1,MAX(0,(A171-I171+1)*RampSpeed/J171))</f>
        <v/>
      </c>
      <c r="M171" s="45">
        <f>IF(A171&lt;I171,0,IF(K171="S-curve",L171*L171*(3-2*L171),L171))</f>
        <v/>
      </c>
      <c r="N171" s="45">
        <f>1+(INDEX(SeasonIdx,A171)-1)*SeasonAmp</f>
        <v/>
      </c>
      <c r="O171" s="45">
        <f>IFERROR(INDEX(PSPct,MATCH(E171&amp;"|"&amp;G171,PSKey,0)),0)</f>
        <v/>
      </c>
      <c r="P171" s="46">
        <f>INDEX(ChDoorVel,MATCH(E171,ChName,0))*CalibScalar*(1+VelocityUplift)</f>
        <v/>
      </c>
      <c r="Q171" s="46" t="n">
        <v>0</v>
      </c>
      <c r="R171" s="46">
        <f>P171*O171*M171*N171*H171</f>
        <v/>
      </c>
      <c r="S171" s="46">
        <f>R171*INDEX(FmtCansPerCase,MATCH(F171,FmtName,0))</f>
        <v/>
      </c>
      <c r="T171" s="46">
        <f>S171/INDEX(FmtCansPerPack,MATCH(F171,FmtName,0))</f>
        <v/>
      </c>
      <c r="U171" s="47">
        <f>INDEX(ChBaseCP,MATCH(E171,ChName,0))*(1+INDEX(ProvMod,MATCH(G171,ProvCode,0)))*(1+PriceIndex)</f>
        <v/>
      </c>
      <c r="V171" s="47">
        <f>R171*U171*INDEX(FmtBlendedPriceIdx,MATCH(F171,FmtName,0))</f>
        <v/>
      </c>
      <c r="W171" s="47">
        <f>T171*INDEX(ProvSRP,MATCH(G171,ProvCode,0))*(1+PriceIndex)</f>
        <v/>
      </c>
      <c r="X171" s="47">
        <f>IF(GrossBasis="Wholesale",V171,W171)</f>
        <v/>
      </c>
      <c r="Y171" s="47">
        <f>R171*INDEX(FmtBlendedCogs,MATCH(F171,FmtName,0))</f>
        <v/>
      </c>
      <c r="Z171" s="47">
        <f>X171-Y171</f>
        <v/>
      </c>
    </row>
    <row r="172">
      <c r="A172" t="n">
        <v>12</v>
      </c>
      <c r="B172" s="44">
        <f>FiscalStart+(A172-1)*7</f>
        <v/>
      </c>
      <c r="C172">
        <f>TEXT(B172,"mmm yyyy")</f>
        <v/>
      </c>
      <c r="D172">
        <f>"Q"&amp;(INT((A172-1)/13)+1)</f>
        <v/>
      </c>
      <c r="E172" t="inlineStr">
        <is>
          <t>Convenience</t>
        </is>
      </c>
      <c r="F172">
        <f>IFERROR(INDEX(ChFormat,MATCH(E172,ChName,0)),"")</f>
        <v/>
      </c>
      <c r="G172" t="inlineStr">
        <is>
          <t>MB</t>
        </is>
      </c>
      <c r="H172">
        <f>IF(A172&lt;=NWeeks,1,0)</f>
        <v/>
      </c>
      <c r="I172">
        <f>INDEX(ChLaunch,MATCH(E172,ChName,0))</f>
        <v/>
      </c>
      <c r="J172">
        <f>INDEX(ChWeeksFull,MATCH(E172,ChName,0))</f>
        <v/>
      </c>
      <c r="K172">
        <f>INDEX(ChRamp,MATCH(E172,ChName,0))</f>
        <v/>
      </c>
      <c r="L172" s="45">
        <f>MIN(1,MAX(0,(A172-I172+1)*RampSpeed/J172))</f>
        <v/>
      </c>
      <c r="M172" s="45">
        <f>IF(A172&lt;I172,0,IF(K172="S-curve",L172*L172*(3-2*L172),L172))</f>
        <v/>
      </c>
      <c r="N172" s="45">
        <f>1+(INDEX(SeasonIdx,A172)-1)*SeasonAmp</f>
        <v/>
      </c>
      <c r="O172" s="45">
        <f>IFERROR(INDEX(PSPct,MATCH(E172&amp;"|"&amp;G172,PSKey,0)),0)</f>
        <v/>
      </c>
      <c r="P172" s="46">
        <f>INDEX(ChDoorVel,MATCH(E172,ChName,0))*CalibScalar*(1+VelocityUplift)</f>
        <v/>
      </c>
      <c r="Q172" s="46" t="n">
        <v>0</v>
      </c>
      <c r="R172" s="46">
        <f>P172*O172*M172*N172*H172</f>
        <v/>
      </c>
      <c r="S172" s="46">
        <f>R172*INDEX(FmtCansPerCase,MATCH(F172,FmtName,0))</f>
        <v/>
      </c>
      <c r="T172" s="46">
        <f>S172/INDEX(FmtCansPerPack,MATCH(F172,FmtName,0))</f>
        <v/>
      </c>
      <c r="U172" s="47">
        <f>INDEX(ChBaseCP,MATCH(E172,ChName,0))*(1+INDEX(ProvMod,MATCH(G172,ProvCode,0)))*(1+PriceIndex)</f>
        <v/>
      </c>
      <c r="V172" s="47">
        <f>R172*U172*INDEX(FmtBlendedPriceIdx,MATCH(F172,FmtName,0))</f>
        <v/>
      </c>
      <c r="W172" s="47">
        <f>T172*INDEX(ProvSRP,MATCH(G172,ProvCode,0))*(1+PriceIndex)</f>
        <v/>
      </c>
      <c r="X172" s="47">
        <f>IF(GrossBasis="Wholesale",V172,W172)</f>
        <v/>
      </c>
      <c r="Y172" s="47">
        <f>R172*INDEX(FmtBlendedCogs,MATCH(F172,FmtName,0))</f>
        <v/>
      </c>
      <c r="Z172" s="47">
        <f>X172-Y172</f>
        <v/>
      </c>
    </row>
    <row r="173">
      <c r="A173" t="n">
        <v>13</v>
      </c>
      <c r="B173" s="44">
        <f>FiscalStart+(A173-1)*7</f>
        <v/>
      </c>
      <c r="C173">
        <f>TEXT(B173,"mmm yyyy")</f>
        <v/>
      </c>
      <c r="D173">
        <f>"Q"&amp;(INT((A173-1)/13)+1)</f>
        <v/>
      </c>
      <c r="E173" t="inlineStr">
        <is>
          <t>Convenience</t>
        </is>
      </c>
      <c r="F173">
        <f>IFERROR(INDEX(ChFormat,MATCH(E173,ChName,0)),"")</f>
        <v/>
      </c>
      <c r="G173" t="inlineStr">
        <is>
          <t>MB</t>
        </is>
      </c>
      <c r="H173">
        <f>IF(A173&lt;=NWeeks,1,0)</f>
        <v/>
      </c>
      <c r="I173">
        <f>INDEX(ChLaunch,MATCH(E173,ChName,0))</f>
        <v/>
      </c>
      <c r="J173">
        <f>INDEX(ChWeeksFull,MATCH(E173,ChName,0))</f>
        <v/>
      </c>
      <c r="K173">
        <f>INDEX(ChRamp,MATCH(E173,ChName,0))</f>
        <v/>
      </c>
      <c r="L173" s="45">
        <f>MIN(1,MAX(0,(A173-I173+1)*RampSpeed/J173))</f>
        <v/>
      </c>
      <c r="M173" s="45">
        <f>IF(A173&lt;I173,0,IF(K173="S-curve",L173*L173*(3-2*L173),L173))</f>
        <v/>
      </c>
      <c r="N173" s="45">
        <f>1+(INDEX(SeasonIdx,A173)-1)*SeasonAmp</f>
        <v/>
      </c>
      <c r="O173" s="45">
        <f>IFERROR(INDEX(PSPct,MATCH(E173&amp;"|"&amp;G173,PSKey,0)),0)</f>
        <v/>
      </c>
      <c r="P173" s="46">
        <f>INDEX(ChDoorVel,MATCH(E173,ChName,0))*CalibScalar*(1+VelocityUplift)</f>
        <v/>
      </c>
      <c r="Q173" s="46" t="n">
        <v>0</v>
      </c>
      <c r="R173" s="46">
        <f>P173*O173*M173*N173*H173</f>
        <v/>
      </c>
      <c r="S173" s="46">
        <f>R173*INDEX(FmtCansPerCase,MATCH(F173,FmtName,0))</f>
        <v/>
      </c>
      <c r="T173" s="46">
        <f>S173/INDEX(FmtCansPerPack,MATCH(F173,FmtName,0))</f>
        <v/>
      </c>
      <c r="U173" s="47">
        <f>INDEX(ChBaseCP,MATCH(E173,ChName,0))*(1+INDEX(ProvMod,MATCH(G173,ProvCode,0)))*(1+PriceIndex)</f>
        <v/>
      </c>
      <c r="V173" s="47">
        <f>R173*U173*INDEX(FmtBlendedPriceIdx,MATCH(F173,FmtName,0))</f>
        <v/>
      </c>
      <c r="W173" s="47">
        <f>T173*INDEX(ProvSRP,MATCH(G173,ProvCode,0))*(1+PriceIndex)</f>
        <v/>
      </c>
      <c r="X173" s="47">
        <f>IF(GrossBasis="Wholesale",V173,W173)</f>
        <v/>
      </c>
      <c r="Y173" s="47">
        <f>R173*INDEX(FmtBlendedCogs,MATCH(F173,FmtName,0))</f>
        <v/>
      </c>
      <c r="Z173" s="47">
        <f>X173-Y173</f>
        <v/>
      </c>
    </row>
    <row r="174">
      <c r="A174" t="n">
        <v>14</v>
      </c>
      <c r="B174" s="44">
        <f>FiscalStart+(A174-1)*7</f>
        <v/>
      </c>
      <c r="C174">
        <f>TEXT(B174,"mmm yyyy")</f>
        <v/>
      </c>
      <c r="D174">
        <f>"Q"&amp;(INT((A174-1)/13)+1)</f>
        <v/>
      </c>
      <c r="E174" t="inlineStr">
        <is>
          <t>Convenience</t>
        </is>
      </c>
      <c r="F174">
        <f>IFERROR(INDEX(ChFormat,MATCH(E174,ChName,0)),"")</f>
        <v/>
      </c>
      <c r="G174" t="inlineStr">
        <is>
          <t>MB</t>
        </is>
      </c>
      <c r="H174">
        <f>IF(A174&lt;=NWeeks,1,0)</f>
        <v/>
      </c>
      <c r="I174">
        <f>INDEX(ChLaunch,MATCH(E174,ChName,0))</f>
        <v/>
      </c>
      <c r="J174">
        <f>INDEX(ChWeeksFull,MATCH(E174,ChName,0))</f>
        <v/>
      </c>
      <c r="K174">
        <f>INDEX(ChRamp,MATCH(E174,ChName,0))</f>
        <v/>
      </c>
      <c r="L174" s="45">
        <f>MIN(1,MAX(0,(A174-I174+1)*RampSpeed/J174))</f>
        <v/>
      </c>
      <c r="M174" s="45">
        <f>IF(A174&lt;I174,0,IF(K174="S-curve",L174*L174*(3-2*L174),L174))</f>
        <v/>
      </c>
      <c r="N174" s="45">
        <f>1+(INDEX(SeasonIdx,A174)-1)*SeasonAmp</f>
        <v/>
      </c>
      <c r="O174" s="45">
        <f>IFERROR(INDEX(PSPct,MATCH(E174&amp;"|"&amp;G174,PSKey,0)),0)</f>
        <v/>
      </c>
      <c r="P174" s="46">
        <f>INDEX(ChDoorVel,MATCH(E174,ChName,0))*CalibScalar*(1+VelocityUplift)</f>
        <v/>
      </c>
      <c r="Q174" s="46" t="n">
        <v>0</v>
      </c>
      <c r="R174" s="46">
        <f>P174*O174*M174*N174*H174</f>
        <v/>
      </c>
      <c r="S174" s="46">
        <f>R174*INDEX(FmtCansPerCase,MATCH(F174,FmtName,0))</f>
        <v/>
      </c>
      <c r="T174" s="46">
        <f>S174/INDEX(FmtCansPerPack,MATCH(F174,FmtName,0))</f>
        <v/>
      </c>
      <c r="U174" s="47">
        <f>INDEX(ChBaseCP,MATCH(E174,ChName,0))*(1+INDEX(ProvMod,MATCH(G174,ProvCode,0)))*(1+PriceIndex)</f>
        <v/>
      </c>
      <c r="V174" s="47">
        <f>R174*U174*INDEX(FmtBlendedPriceIdx,MATCH(F174,FmtName,0))</f>
        <v/>
      </c>
      <c r="W174" s="47">
        <f>T174*INDEX(ProvSRP,MATCH(G174,ProvCode,0))*(1+PriceIndex)</f>
        <v/>
      </c>
      <c r="X174" s="47">
        <f>IF(GrossBasis="Wholesale",V174,W174)</f>
        <v/>
      </c>
      <c r="Y174" s="47">
        <f>R174*INDEX(FmtBlendedCogs,MATCH(F174,FmtName,0))</f>
        <v/>
      </c>
      <c r="Z174" s="47">
        <f>X174-Y174</f>
        <v/>
      </c>
    </row>
    <row r="175">
      <c r="A175" t="n">
        <v>15</v>
      </c>
      <c r="B175" s="44">
        <f>FiscalStart+(A175-1)*7</f>
        <v/>
      </c>
      <c r="C175">
        <f>TEXT(B175,"mmm yyyy")</f>
        <v/>
      </c>
      <c r="D175">
        <f>"Q"&amp;(INT((A175-1)/13)+1)</f>
        <v/>
      </c>
      <c r="E175" t="inlineStr">
        <is>
          <t>Convenience</t>
        </is>
      </c>
      <c r="F175">
        <f>IFERROR(INDEX(ChFormat,MATCH(E175,ChName,0)),"")</f>
        <v/>
      </c>
      <c r="G175" t="inlineStr">
        <is>
          <t>MB</t>
        </is>
      </c>
      <c r="H175">
        <f>IF(A175&lt;=NWeeks,1,0)</f>
        <v/>
      </c>
      <c r="I175">
        <f>INDEX(ChLaunch,MATCH(E175,ChName,0))</f>
        <v/>
      </c>
      <c r="J175">
        <f>INDEX(ChWeeksFull,MATCH(E175,ChName,0))</f>
        <v/>
      </c>
      <c r="K175">
        <f>INDEX(ChRamp,MATCH(E175,ChName,0))</f>
        <v/>
      </c>
      <c r="L175" s="45">
        <f>MIN(1,MAX(0,(A175-I175+1)*RampSpeed/J175))</f>
        <v/>
      </c>
      <c r="M175" s="45">
        <f>IF(A175&lt;I175,0,IF(K175="S-curve",L175*L175*(3-2*L175),L175))</f>
        <v/>
      </c>
      <c r="N175" s="45">
        <f>1+(INDEX(SeasonIdx,A175)-1)*SeasonAmp</f>
        <v/>
      </c>
      <c r="O175" s="45">
        <f>IFERROR(INDEX(PSPct,MATCH(E175&amp;"|"&amp;G175,PSKey,0)),0)</f>
        <v/>
      </c>
      <c r="P175" s="46">
        <f>INDEX(ChDoorVel,MATCH(E175,ChName,0))*CalibScalar*(1+VelocityUplift)</f>
        <v/>
      </c>
      <c r="Q175" s="46" t="n">
        <v>0</v>
      </c>
      <c r="R175" s="46">
        <f>P175*O175*M175*N175*H175</f>
        <v/>
      </c>
      <c r="S175" s="46">
        <f>R175*INDEX(FmtCansPerCase,MATCH(F175,FmtName,0))</f>
        <v/>
      </c>
      <c r="T175" s="46">
        <f>S175/INDEX(FmtCansPerPack,MATCH(F175,FmtName,0))</f>
        <v/>
      </c>
      <c r="U175" s="47">
        <f>INDEX(ChBaseCP,MATCH(E175,ChName,0))*(1+INDEX(ProvMod,MATCH(G175,ProvCode,0)))*(1+PriceIndex)</f>
        <v/>
      </c>
      <c r="V175" s="47">
        <f>R175*U175*INDEX(FmtBlendedPriceIdx,MATCH(F175,FmtName,0))</f>
        <v/>
      </c>
      <c r="W175" s="47">
        <f>T175*INDEX(ProvSRP,MATCH(G175,ProvCode,0))*(1+PriceIndex)</f>
        <v/>
      </c>
      <c r="X175" s="47">
        <f>IF(GrossBasis="Wholesale",V175,W175)</f>
        <v/>
      </c>
      <c r="Y175" s="47">
        <f>R175*INDEX(FmtBlendedCogs,MATCH(F175,FmtName,0))</f>
        <v/>
      </c>
      <c r="Z175" s="47">
        <f>X175-Y175</f>
        <v/>
      </c>
    </row>
    <row r="176">
      <c r="A176" t="n">
        <v>16</v>
      </c>
      <c r="B176" s="44">
        <f>FiscalStart+(A176-1)*7</f>
        <v/>
      </c>
      <c r="C176">
        <f>TEXT(B176,"mmm yyyy")</f>
        <v/>
      </c>
      <c r="D176">
        <f>"Q"&amp;(INT((A176-1)/13)+1)</f>
        <v/>
      </c>
      <c r="E176" t="inlineStr">
        <is>
          <t>Convenience</t>
        </is>
      </c>
      <c r="F176">
        <f>IFERROR(INDEX(ChFormat,MATCH(E176,ChName,0)),"")</f>
        <v/>
      </c>
      <c r="G176" t="inlineStr">
        <is>
          <t>MB</t>
        </is>
      </c>
      <c r="H176">
        <f>IF(A176&lt;=NWeeks,1,0)</f>
        <v/>
      </c>
      <c r="I176">
        <f>INDEX(ChLaunch,MATCH(E176,ChName,0))</f>
        <v/>
      </c>
      <c r="J176">
        <f>INDEX(ChWeeksFull,MATCH(E176,ChName,0))</f>
        <v/>
      </c>
      <c r="K176">
        <f>INDEX(ChRamp,MATCH(E176,ChName,0))</f>
        <v/>
      </c>
      <c r="L176" s="45">
        <f>MIN(1,MAX(0,(A176-I176+1)*RampSpeed/J176))</f>
        <v/>
      </c>
      <c r="M176" s="45">
        <f>IF(A176&lt;I176,0,IF(K176="S-curve",L176*L176*(3-2*L176),L176))</f>
        <v/>
      </c>
      <c r="N176" s="45">
        <f>1+(INDEX(SeasonIdx,A176)-1)*SeasonAmp</f>
        <v/>
      </c>
      <c r="O176" s="45">
        <f>IFERROR(INDEX(PSPct,MATCH(E176&amp;"|"&amp;G176,PSKey,0)),0)</f>
        <v/>
      </c>
      <c r="P176" s="46">
        <f>INDEX(ChDoorVel,MATCH(E176,ChName,0))*CalibScalar*(1+VelocityUplift)</f>
        <v/>
      </c>
      <c r="Q176" s="46" t="n">
        <v>0</v>
      </c>
      <c r="R176" s="46">
        <f>P176*O176*M176*N176*H176</f>
        <v/>
      </c>
      <c r="S176" s="46">
        <f>R176*INDEX(FmtCansPerCase,MATCH(F176,FmtName,0))</f>
        <v/>
      </c>
      <c r="T176" s="46">
        <f>S176/INDEX(FmtCansPerPack,MATCH(F176,FmtName,0))</f>
        <v/>
      </c>
      <c r="U176" s="47">
        <f>INDEX(ChBaseCP,MATCH(E176,ChName,0))*(1+INDEX(ProvMod,MATCH(G176,ProvCode,0)))*(1+PriceIndex)</f>
        <v/>
      </c>
      <c r="V176" s="47">
        <f>R176*U176*INDEX(FmtBlendedPriceIdx,MATCH(F176,FmtName,0))</f>
        <v/>
      </c>
      <c r="W176" s="47">
        <f>T176*INDEX(ProvSRP,MATCH(G176,ProvCode,0))*(1+PriceIndex)</f>
        <v/>
      </c>
      <c r="X176" s="47">
        <f>IF(GrossBasis="Wholesale",V176,W176)</f>
        <v/>
      </c>
      <c r="Y176" s="47">
        <f>R176*INDEX(FmtBlendedCogs,MATCH(F176,FmtName,0))</f>
        <v/>
      </c>
      <c r="Z176" s="47">
        <f>X176-Y176</f>
        <v/>
      </c>
    </row>
    <row r="177">
      <c r="A177" t="n">
        <v>17</v>
      </c>
      <c r="B177" s="44">
        <f>FiscalStart+(A177-1)*7</f>
        <v/>
      </c>
      <c r="C177">
        <f>TEXT(B177,"mmm yyyy")</f>
        <v/>
      </c>
      <c r="D177">
        <f>"Q"&amp;(INT((A177-1)/13)+1)</f>
        <v/>
      </c>
      <c r="E177" t="inlineStr">
        <is>
          <t>Convenience</t>
        </is>
      </c>
      <c r="F177">
        <f>IFERROR(INDEX(ChFormat,MATCH(E177,ChName,0)),"")</f>
        <v/>
      </c>
      <c r="G177" t="inlineStr">
        <is>
          <t>MB</t>
        </is>
      </c>
      <c r="H177">
        <f>IF(A177&lt;=NWeeks,1,0)</f>
        <v/>
      </c>
      <c r="I177">
        <f>INDEX(ChLaunch,MATCH(E177,ChName,0))</f>
        <v/>
      </c>
      <c r="J177">
        <f>INDEX(ChWeeksFull,MATCH(E177,ChName,0))</f>
        <v/>
      </c>
      <c r="K177">
        <f>INDEX(ChRamp,MATCH(E177,ChName,0))</f>
        <v/>
      </c>
      <c r="L177" s="45">
        <f>MIN(1,MAX(0,(A177-I177+1)*RampSpeed/J177))</f>
        <v/>
      </c>
      <c r="M177" s="45">
        <f>IF(A177&lt;I177,0,IF(K177="S-curve",L177*L177*(3-2*L177),L177))</f>
        <v/>
      </c>
      <c r="N177" s="45">
        <f>1+(INDEX(SeasonIdx,A177)-1)*SeasonAmp</f>
        <v/>
      </c>
      <c r="O177" s="45">
        <f>IFERROR(INDEX(PSPct,MATCH(E177&amp;"|"&amp;G177,PSKey,0)),0)</f>
        <v/>
      </c>
      <c r="P177" s="46">
        <f>INDEX(ChDoorVel,MATCH(E177,ChName,0))*CalibScalar*(1+VelocityUplift)</f>
        <v/>
      </c>
      <c r="Q177" s="46" t="n">
        <v>0</v>
      </c>
      <c r="R177" s="46">
        <f>P177*O177*M177*N177*H177</f>
        <v/>
      </c>
      <c r="S177" s="46">
        <f>R177*INDEX(FmtCansPerCase,MATCH(F177,FmtName,0))</f>
        <v/>
      </c>
      <c r="T177" s="46">
        <f>S177/INDEX(FmtCansPerPack,MATCH(F177,FmtName,0))</f>
        <v/>
      </c>
      <c r="U177" s="47">
        <f>INDEX(ChBaseCP,MATCH(E177,ChName,0))*(1+INDEX(ProvMod,MATCH(G177,ProvCode,0)))*(1+PriceIndex)</f>
        <v/>
      </c>
      <c r="V177" s="47">
        <f>R177*U177*INDEX(FmtBlendedPriceIdx,MATCH(F177,FmtName,0))</f>
        <v/>
      </c>
      <c r="W177" s="47">
        <f>T177*INDEX(ProvSRP,MATCH(G177,ProvCode,0))*(1+PriceIndex)</f>
        <v/>
      </c>
      <c r="X177" s="47">
        <f>IF(GrossBasis="Wholesale",V177,W177)</f>
        <v/>
      </c>
      <c r="Y177" s="47">
        <f>R177*INDEX(FmtBlendedCogs,MATCH(F177,FmtName,0))</f>
        <v/>
      </c>
      <c r="Z177" s="47">
        <f>X177-Y177</f>
        <v/>
      </c>
    </row>
    <row r="178">
      <c r="A178" t="n">
        <v>18</v>
      </c>
      <c r="B178" s="44">
        <f>FiscalStart+(A178-1)*7</f>
        <v/>
      </c>
      <c r="C178">
        <f>TEXT(B178,"mmm yyyy")</f>
        <v/>
      </c>
      <c r="D178">
        <f>"Q"&amp;(INT((A178-1)/13)+1)</f>
        <v/>
      </c>
      <c r="E178" t="inlineStr">
        <is>
          <t>Convenience</t>
        </is>
      </c>
      <c r="F178">
        <f>IFERROR(INDEX(ChFormat,MATCH(E178,ChName,0)),"")</f>
        <v/>
      </c>
      <c r="G178" t="inlineStr">
        <is>
          <t>MB</t>
        </is>
      </c>
      <c r="H178">
        <f>IF(A178&lt;=NWeeks,1,0)</f>
        <v/>
      </c>
      <c r="I178">
        <f>INDEX(ChLaunch,MATCH(E178,ChName,0))</f>
        <v/>
      </c>
      <c r="J178">
        <f>INDEX(ChWeeksFull,MATCH(E178,ChName,0))</f>
        <v/>
      </c>
      <c r="K178">
        <f>INDEX(ChRamp,MATCH(E178,ChName,0))</f>
        <v/>
      </c>
      <c r="L178" s="45">
        <f>MIN(1,MAX(0,(A178-I178+1)*RampSpeed/J178))</f>
        <v/>
      </c>
      <c r="M178" s="45">
        <f>IF(A178&lt;I178,0,IF(K178="S-curve",L178*L178*(3-2*L178),L178))</f>
        <v/>
      </c>
      <c r="N178" s="45">
        <f>1+(INDEX(SeasonIdx,A178)-1)*SeasonAmp</f>
        <v/>
      </c>
      <c r="O178" s="45">
        <f>IFERROR(INDEX(PSPct,MATCH(E178&amp;"|"&amp;G178,PSKey,0)),0)</f>
        <v/>
      </c>
      <c r="P178" s="46">
        <f>INDEX(ChDoorVel,MATCH(E178,ChName,0))*CalibScalar*(1+VelocityUplift)</f>
        <v/>
      </c>
      <c r="Q178" s="46" t="n">
        <v>0</v>
      </c>
      <c r="R178" s="46">
        <f>P178*O178*M178*N178*H178</f>
        <v/>
      </c>
      <c r="S178" s="46">
        <f>R178*INDEX(FmtCansPerCase,MATCH(F178,FmtName,0))</f>
        <v/>
      </c>
      <c r="T178" s="46">
        <f>S178/INDEX(FmtCansPerPack,MATCH(F178,FmtName,0))</f>
        <v/>
      </c>
      <c r="U178" s="47">
        <f>INDEX(ChBaseCP,MATCH(E178,ChName,0))*(1+INDEX(ProvMod,MATCH(G178,ProvCode,0)))*(1+PriceIndex)</f>
        <v/>
      </c>
      <c r="V178" s="47">
        <f>R178*U178*INDEX(FmtBlendedPriceIdx,MATCH(F178,FmtName,0))</f>
        <v/>
      </c>
      <c r="W178" s="47">
        <f>T178*INDEX(ProvSRP,MATCH(G178,ProvCode,0))*(1+PriceIndex)</f>
        <v/>
      </c>
      <c r="X178" s="47">
        <f>IF(GrossBasis="Wholesale",V178,W178)</f>
        <v/>
      </c>
      <c r="Y178" s="47">
        <f>R178*INDEX(FmtBlendedCogs,MATCH(F178,FmtName,0))</f>
        <v/>
      </c>
      <c r="Z178" s="47">
        <f>X178-Y178</f>
        <v/>
      </c>
    </row>
    <row r="179">
      <c r="A179" t="n">
        <v>19</v>
      </c>
      <c r="B179" s="44">
        <f>FiscalStart+(A179-1)*7</f>
        <v/>
      </c>
      <c r="C179">
        <f>TEXT(B179,"mmm yyyy")</f>
        <v/>
      </c>
      <c r="D179">
        <f>"Q"&amp;(INT((A179-1)/13)+1)</f>
        <v/>
      </c>
      <c r="E179" t="inlineStr">
        <is>
          <t>Convenience</t>
        </is>
      </c>
      <c r="F179">
        <f>IFERROR(INDEX(ChFormat,MATCH(E179,ChName,0)),"")</f>
        <v/>
      </c>
      <c r="G179" t="inlineStr">
        <is>
          <t>MB</t>
        </is>
      </c>
      <c r="H179">
        <f>IF(A179&lt;=NWeeks,1,0)</f>
        <v/>
      </c>
      <c r="I179">
        <f>INDEX(ChLaunch,MATCH(E179,ChName,0))</f>
        <v/>
      </c>
      <c r="J179">
        <f>INDEX(ChWeeksFull,MATCH(E179,ChName,0))</f>
        <v/>
      </c>
      <c r="K179">
        <f>INDEX(ChRamp,MATCH(E179,ChName,0))</f>
        <v/>
      </c>
      <c r="L179" s="45">
        <f>MIN(1,MAX(0,(A179-I179+1)*RampSpeed/J179))</f>
        <v/>
      </c>
      <c r="M179" s="45">
        <f>IF(A179&lt;I179,0,IF(K179="S-curve",L179*L179*(3-2*L179),L179))</f>
        <v/>
      </c>
      <c r="N179" s="45">
        <f>1+(INDEX(SeasonIdx,A179)-1)*SeasonAmp</f>
        <v/>
      </c>
      <c r="O179" s="45">
        <f>IFERROR(INDEX(PSPct,MATCH(E179&amp;"|"&amp;G179,PSKey,0)),0)</f>
        <v/>
      </c>
      <c r="P179" s="46">
        <f>INDEX(ChDoorVel,MATCH(E179,ChName,0))*CalibScalar*(1+VelocityUplift)</f>
        <v/>
      </c>
      <c r="Q179" s="46" t="n">
        <v>0</v>
      </c>
      <c r="R179" s="46">
        <f>P179*O179*M179*N179*H179</f>
        <v/>
      </c>
      <c r="S179" s="46">
        <f>R179*INDEX(FmtCansPerCase,MATCH(F179,FmtName,0))</f>
        <v/>
      </c>
      <c r="T179" s="46">
        <f>S179/INDEX(FmtCansPerPack,MATCH(F179,FmtName,0))</f>
        <v/>
      </c>
      <c r="U179" s="47">
        <f>INDEX(ChBaseCP,MATCH(E179,ChName,0))*(1+INDEX(ProvMod,MATCH(G179,ProvCode,0)))*(1+PriceIndex)</f>
        <v/>
      </c>
      <c r="V179" s="47">
        <f>R179*U179*INDEX(FmtBlendedPriceIdx,MATCH(F179,FmtName,0))</f>
        <v/>
      </c>
      <c r="W179" s="47">
        <f>T179*INDEX(ProvSRP,MATCH(G179,ProvCode,0))*(1+PriceIndex)</f>
        <v/>
      </c>
      <c r="X179" s="47">
        <f>IF(GrossBasis="Wholesale",V179,W179)</f>
        <v/>
      </c>
      <c r="Y179" s="47">
        <f>R179*INDEX(FmtBlendedCogs,MATCH(F179,FmtName,0))</f>
        <v/>
      </c>
      <c r="Z179" s="47">
        <f>X179-Y179</f>
        <v/>
      </c>
    </row>
    <row r="180">
      <c r="A180" t="n">
        <v>20</v>
      </c>
      <c r="B180" s="44">
        <f>FiscalStart+(A180-1)*7</f>
        <v/>
      </c>
      <c r="C180">
        <f>TEXT(B180,"mmm yyyy")</f>
        <v/>
      </c>
      <c r="D180">
        <f>"Q"&amp;(INT((A180-1)/13)+1)</f>
        <v/>
      </c>
      <c r="E180" t="inlineStr">
        <is>
          <t>Convenience</t>
        </is>
      </c>
      <c r="F180">
        <f>IFERROR(INDEX(ChFormat,MATCH(E180,ChName,0)),"")</f>
        <v/>
      </c>
      <c r="G180" t="inlineStr">
        <is>
          <t>MB</t>
        </is>
      </c>
      <c r="H180">
        <f>IF(A180&lt;=NWeeks,1,0)</f>
        <v/>
      </c>
      <c r="I180">
        <f>INDEX(ChLaunch,MATCH(E180,ChName,0))</f>
        <v/>
      </c>
      <c r="J180">
        <f>INDEX(ChWeeksFull,MATCH(E180,ChName,0))</f>
        <v/>
      </c>
      <c r="K180">
        <f>INDEX(ChRamp,MATCH(E180,ChName,0))</f>
        <v/>
      </c>
      <c r="L180" s="45">
        <f>MIN(1,MAX(0,(A180-I180+1)*RampSpeed/J180))</f>
        <v/>
      </c>
      <c r="M180" s="45">
        <f>IF(A180&lt;I180,0,IF(K180="S-curve",L180*L180*(3-2*L180),L180))</f>
        <v/>
      </c>
      <c r="N180" s="45">
        <f>1+(INDEX(SeasonIdx,A180)-1)*SeasonAmp</f>
        <v/>
      </c>
      <c r="O180" s="45">
        <f>IFERROR(INDEX(PSPct,MATCH(E180&amp;"|"&amp;G180,PSKey,0)),0)</f>
        <v/>
      </c>
      <c r="P180" s="46">
        <f>INDEX(ChDoorVel,MATCH(E180,ChName,0))*CalibScalar*(1+VelocityUplift)</f>
        <v/>
      </c>
      <c r="Q180" s="46" t="n">
        <v>0</v>
      </c>
      <c r="R180" s="46">
        <f>P180*O180*M180*N180*H180</f>
        <v/>
      </c>
      <c r="S180" s="46">
        <f>R180*INDEX(FmtCansPerCase,MATCH(F180,FmtName,0))</f>
        <v/>
      </c>
      <c r="T180" s="46">
        <f>S180/INDEX(FmtCansPerPack,MATCH(F180,FmtName,0))</f>
        <v/>
      </c>
      <c r="U180" s="47">
        <f>INDEX(ChBaseCP,MATCH(E180,ChName,0))*(1+INDEX(ProvMod,MATCH(G180,ProvCode,0)))*(1+PriceIndex)</f>
        <v/>
      </c>
      <c r="V180" s="47">
        <f>R180*U180*INDEX(FmtBlendedPriceIdx,MATCH(F180,FmtName,0))</f>
        <v/>
      </c>
      <c r="W180" s="47">
        <f>T180*INDEX(ProvSRP,MATCH(G180,ProvCode,0))*(1+PriceIndex)</f>
        <v/>
      </c>
      <c r="X180" s="47">
        <f>IF(GrossBasis="Wholesale",V180,W180)</f>
        <v/>
      </c>
      <c r="Y180" s="47">
        <f>R180*INDEX(FmtBlendedCogs,MATCH(F180,FmtName,0))</f>
        <v/>
      </c>
      <c r="Z180" s="47">
        <f>X180-Y180</f>
        <v/>
      </c>
    </row>
    <row r="181">
      <c r="A181" t="n">
        <v>21</v>
      </c>
      <c r="B181" s="44">
        <f>FiscalStart+(A181-1)*7</f>
        <v/>
      </c>
      <c r="C181">
        <f>TEXT(B181,"mmm yyyy")</f>
        <v/>
      </c>
      <c r="D181">
        <f>"Q"&amp;(INT((A181-1)/13)+1)</f>
        <v/>
      </c>
      <c r="E181" t="inlineStr">
        <is>
          <t>Convenience</t>
        </is>
      </c>
      <c r="F181">
        <f>IFERROR(INDEX(ChFormat,MATCH(E181,ChName,0)),"")</f>
        <v/>
      </c>
      <c r="G181" t="inlineStr">
        <is>
          <t>MB</t>
        </is>
      </c>
      <c r="H181">
        <f>IF(A181&lt;=NWeeks,1,0)</f>
        <v/>
      </c>
      <c r="I181">
        <f>INDEX(ChLaunch,MATCH(E181,ChName,0))</f>
        <v/>
      </c>
      <c r="J181">
        <f>INDEX(ChWeeksFull,MATCH(E181,ChName,0))</f>
        <v/>
      </c>
      <c r="K181">
        <f>INDEX(ChRamp,MATCH(E181,ChName,0))</f>
        <v/>
      </c>
      <c r="L181" s="45">
        <f>MIN(1,MAX(0,(A181-I181+1)*RampSpeed/J181))</f>
        <v/>
      </c>
      <c r="M181" s="45">
        <f>IF(A181&lt;I181,0,IF(K181="S-curve",L181*L181*(3-2*L181),L181))</f>
        <v/>
      </c>
      <c r="N181" s="45">
        <f>1+(INDEX(SeasonIdx,A181)-1)*SeasonAmp</f>
        <v/>
      </c>
      <c r="O181" s="45">
        <f>IFERROR(INDEX(PSPct,MATCH(E181&amp;"|"&amp;G181,PSKey,0)),0)</f>
        <v/>
      </c>
      <c r="P181" s="46">
        <f>INDEX(ChDoorVel,MATCH(E181,ChName,0))*CalibScalar*(1+VelocityUplift)</f>
        <v/>
      </c>
      <c r="Q181" s="46" t="n">
        <v>0</v>
      </c>
      <c r="R181" s="46">
        <f>P181*O181*M181*N181*H181</f>
        <v/>
      </c>
      <c r="S181" s="46">
        <f>R181*INDEX(FmtCansPerCase,MATCH(F181,FmtName,0))</f>
        <v/>
      </c>
      <c r="T181" s="46">
        <f>S181/INDEX(FmtCansPerPack,MATCH(F181,FmtName,0))</f>
        <v/>
      </c>
      <c r="U181" s="47">
        <f>INDEX(ChBaseCP,MATCH(E181,ChName,0))*(1+INDEX(ProvMod,MATCH(G181,ProvCode,0)))*(1+PriceIndex)</f>
        <v/>
      </c>
      <c r="V181" s="47">
        <f>R181*U181*INDEX(FmtBlendedPriceIdx,MATCH(F181,FmtName,0))</f>
        <v/>
      </c>
      <c r="W181" s="47">
        <f>T181*INDEX(ProvSRP,MATCH(G181,ProvCode,0))*(1+PriceIndex)</f>
        <v/>
      </c>
      <c r="X181" s="47">
        <f>IF(GrossBasis="Wholesale",V181,W181)</f>
        <v/>
      </c>
      <c r="Y181" s="47">
        <f>R181*INDEX(FmtBlendedCogs,MATCH(F181,FmtName,0))</f>
        <v/>
      </c>
      <c r="Z181" s="47">
        <f>X181-Y181</f>
        <v/>
      </c>
    </row>
    <row r="182">
      <c r="A182" t="n">
        <v>22</v>
      </c>
      <c r="B182" s="44">
        <f>FiscalStart+(A182-1)*7</f>
        <v/>
      </c>
      <c r="C182">
        <f>TEXT(B182,"mmm yyyy")</f>
        <v/>
      </c>
      <c r="D182">
        <f>"Q"&amp;(INT((A182-1)/13)+1)</f>
        <v/>
      </c>
      <c r="E182" t="inlineStr">
        <is>
          <t>Convenience</t>
        </is>
      </c>
      <c r="F182">
        <f>IFERROR(INDEX(ChFormat,MATCH(E182,ChName,0)),"")</f>
        <v/>
      </c>
      <c r="G182" t="inlineStr">
        <is>
          <t>MB</t>
        </is>
      </c>
      <c r="H182">
        <f>IF(A182&lt;=NWeeks,1,0)</f>
        <v/>
      </c>
      <c r="I182">
        <f>INDEX(ChLaunch,MATCH(E182,ChName,0))</f>
        <v/>
      </c>
      <c r="J182">
        <f>INDEX(ChWeeksFull,MATCH(E182,ChName,0))</f>
        <v/>
      </c>
      <c r="K182">
        <f>INDEX(ChRamp,MATCH(E182,ChName,0))</f>
        <v/>
      </c>
      <c r="L182" s="45">
        <f>MIN(1,MAX(0,(A182-I182+1)*RampSpeed/J182))</f>
        <v/>
      </c>
      <c r="M182" s="45">
        <f>IF(A182&lt;I182,0,IF(K182="S-curve",L182*L182*(3-2*L182),L182))</f>
        <v/>
      </c>
      <c r="N182" s="45">
        <f>1+(INDEX(SeasonIdx,A182)-1)*SeasonAmp</f>
        <v/>
      </c>
      <c r="O182" s="45">
        <f>IFERROR(INDEX(PSPct,MATCH(E182&amp;"|"&amp;G182,PSKey,0)),0)</f>
        <v/>
      </c>
      <c r="P182" s="46">
        <f>INDEX(ChDoorVel,MATCH(E182,ChName,0))*CalibScalar*(1+VelocityUplift)</f>
        <v/>
      </c>
      <c r="Q182" s="46" t="n">
        <v>0</v>
      </c>
      <c r="R182" s="46">
        <f>P182*O182*M182*N182*H182</f>
        <v/>
      </c>
      <c r="S182" s="46">
        <f>R182*INDEX(FmtCansPerCase,MATCH(F182,FmtName,0))</f>
        <v/>
      </c>
      <c r="T182" s="46">
        <f>S182/INDEX(FmtCansPerPack,MATCH(F182,FmtName,0))</f>
        <v/>
      </c>
      <c r="U182" s="47">
        <f>INDEX(ChBaseCP,MATCH(E182,ChName,0))*(1+INDEX(ProvMod,MATCH(G182,ProvCode,0)))*(1+PriceIndex)</f>
        <v/>
      </c>
      <c r="V182" s="47">
        <f>R182*U182*INDEX(FmtBlendedPriceIdx,MATCH(F182,FmtName,0))</f>
        <v/>
      </c>
      <c r="W182" s="47">
        <f>T182*INDEX(ProvSRP,MATCH(G182,ProvCode,0))*(1+PriceIndex)</f>
        <v/>
      </c>
      <c r="X182" s="47">
        <f>IF(GrossBasis="Wholesale",V182,W182)</f>
        <v/>
      </c>
      <c r="Y182" s="47">
        <f>R182*INDEX(FmtBlendedCogs,MATCH(F182,FmtName,0))</f>
        <v/>
      </c>
      <c r="Z182" s="47">
        <f>X182-Y182</f>
        <v/>
      </c>
    </row>
    <row r="183">
      <c r="A183" t="n">
        <v>23</v>
      </c>
      <c r="B183" s="44">
        <f>FiscalStart+(A183-1)*7</f>
        <v/>
      </c>
      <c r="C183">
        <f>TEXT(B183,"mmm yyyy")</f>
        <v/>
      </c>
      <c r="D183">
        <f>"Q"&amp;(INT((A183-1)/13)+1)</f>
        <v/>
      </c>
      <c r="E183" t="inlineStr">
        <is>
          <t>Convenience</t>
        </is>
      </c>
      <c r="F183">
        <f>IFERROR(INDEX(ChFormat,MATCH(E183,ChName,0)),"")</f>
        <v/>
      </c>
      <c r="G183" t="inlineStr">
        <is>
          <t>MB</t>
        </is>
      </c>
      <c r="H183">
        <f>IF(A183&lt;=NWeeks,1,0)</f>
        <v/>
      </c>
      <c r="I183">
        <f>INDEX(ChLaunch,MATCH(E183,ChName,0))</f>
        <v/>
      </c>
      <c r="J183">
        <f>INDEX(ChWeeksFull,MATCH(E183,ChName,0))</f>
        <v/>
      </c>
      <c r="K183">
        <f>INDEX(ChRamp,MATCH(E183,ChName,0))</f>
        <v/>
      </c>
      <c r="L183" s="45">
        <f>MIN(1,MAX(0,(A183-I183+1)*RampSpeed/J183))</f>
        <v/>
      </c>
      <c r="M183" s="45">
        <f>IF(A183&lt;I183,0,IF(K183="S-curve",L183*L183*(3-2*L183),L183))</f>
        <v/>
      </c>
      <c r="N183" s="45">
        <f>1+(INDEX(SeasonIdx,A183)-1)*SeasonAmp</f>
        <v/>
      </c>
      <c r="O183" s="45">
        <f>IFERROR(INDEX(PSPct,MATCH(E183&amp;"|"&amp;G183,PSKey,0)),0)</f>
        <v/>
      </c>
      <c r="P183" s="46">
        <f>INDEX(ChDoorVel,MATCH(E183,ChName,0))*CalibScalar*(1+VelocityUplift)</f>
        <v/>
      </c>
      <c r="Q183" s="46" t="n">
        <v>0</v>
      </c>
      <c r="R183" s="46">
        <f>P183*O183*M183*N183*H183</f>
        <v/>
      </c>
      <c r="S183" s="46">
        <f>R183*INDEX(FmtCansPerCase,MATCH(F183,FmtName,0))</f>
        <v/>
      </c>
      <c r="T183" s="46">
        <f>S183/INDEX(FmtCansPerPack,MATCH(F183,FmtName,0))</f>
        <v/>
      </c>
      <c r="U183" s="47">
        <f>INDEX(ChBaseCP,MATCH(E183,ChName,0))*(1+INDEX(ProvMod,MATCH(G183,ProvCode,0)))*(1+PriceIndex)</f>
        <v/>
      </c>
      <c r="V183" s="47">
        <f>R183*U183*INDEX(FmtBlendedPriceIdx,MATCH(F183,FmtName,0))</f>
        <v/>
      </c>
      <c r="W183" s="47">
        <f>T183*INDEX(ProvSRP,MATCH(G183,ProvCode,0))*(1+PriceIndex)</f>
        <v/>
      </c>
      <c r="X183" s="47">
        <f>IF(GrossBasis="Wholesale",V183,W183)</f>
        <v/>
      </c>
      <c r="Y183" s="47">
        <f>R183*INDEX(FmtBlendedCogs,MATCH(F183,FmtName,0))</f>
        <v/>
      </c>
      <c r="Z183" s="47">
        <f>X183-Y183</f>
        <v/>
      </c>
    </row>
    <row r="184">
      <c r="A184" t="n">
        <v>24</v>
      </c>
      <c r="B184" s="44">
        <f>FiscalStart+(A184-1)*7</f>
        <v/>
      </c>
      <c r="C184">
        <f>TEXT(B184,"mmm yyyy")</f>
        <v/>
      </c>
      <c r="D184">
        <f>"Q"&amp;(INT((A184-1)/13)+1)</f>
        <v/>
      </c>
      <c r="E184" t="inlineStr">
        <is>
          <t>Convenience</t>
        </is>
      </c>
      <c r="F184">
        <f>IFERROR(INDEX(ChFormat,MATCH(E184,ChName,0)),"")</f>
        <v/>
      </c>
      <c r="G184" t="inlineStr">
        <is>
          <t>MB</t>
        </is>
      </c>
      <c r="H184">
        <f>IF(A184&lt;=NWeeks,1,0)</f>
        <v/>
      </c>
      <c r="I184">
        <f>INDEX(ChLaunch,MATCH(E184,ChName,0))</f>
        <v/>
      </c>
      <c r="J184">
        <f>INDEX(ChWeeksFull,MATCH(E184,ChName,0))</f>
        <v/>
      </c>
      <c r="K184">
        <f>INDEX(ChRamp,MATCH(E184,ChName,0))</f>
        <v/>
      </c>
      <c r="L184" s="45">
        <f>MIN(1,MAX(0,(A184-I184+1)*RampSpeed/J184))</f>
        <v/>
      </c>
      <c r="M184" s="45">
        <f>IF(A184&lt;I184,0,IF(K184="S-curve",L184*L184*(3-2*L184),L184))</f>
        <v/>
      </c>
      <c r="N184" s="45">
        <f>1+(INDEX(SeasonIdx,A184)-1)*SeasonAmp</f>
        <v/>
      </c>
      <c r="O184" s="45">
        <f>IFERROR(INDEX(PSPct,MATCH(E184&amp;"|"&amp;G184,PSKey,0)),0)</f>
        <v/>
      </c>
      <c r="P184" s="46">
        <f>INDEX(ChDoorVel,MATCH(E184,ChName,0))*CalibScalar*(1+VelocityUplift)</f>
        <v/>
      </c>
      <c r="Q184" s="46" t="n">
        <v>0</v>
      </c>
      <c r="R184" s="46">
        <f>P184*O184*M184*N184*H184</f>
        <v/>
      </c>
      <c r="S184" s="46">
        <f>R184*INDEX(FmtCansPerCase,MATCH(F184,FmtName,0))</f>
        <v/>
      </c>
      <c r="T184" s="46">
        <f>S184/INDEX(FmtCansPerPack,MATCH(F184,FmtName,0))</f>
        <v/>
      </c>
      <c r="U184" s="47">
        <f>INDEX(ChBaseCP,MATCH(E184,ChName,0))*(1+INDEX(ProvMod,MATCH(G184,ProvCode,0)))*(1+PriceIndex)</f>
        <v/>
      </c>
      <c r="V184" s="47">
        <f>R184*U184*INDEX(FmtBlendedPriceIdx,MATCH(F184,FmtName,0))</f>
        <v/>
      </c>
      <c r="W184" s="47">
        <f>T184*INDEX(ProvSRP,MATCH(G184,ProvCode,0))*(1+PriceIndex)</f>
        <v/>
      </c>
      <c r="X184" s="47">
        <f>IF(GrossBasis="Wholesale",V184,W184)</f>
        <v/>
      </c>
      <c r="Y184" s="47">
        <f>R184*INDEX(FmtBlendedCogs,MATCH(F184,FmtName,0))</f>
        <v/>
      </c>
      <c r="Z184" s="47">
        <f>X184-Y184</f>
        <v/>
      </c>
    </row>
    <row r="185">
      <c r="A185" t="n">
        <v>25</v>
      </c>
      <c r="B185" s="44">
        <f>FiscalStart+(A185-1)*7</f>
        <v/>
      </c>
      <c r="C185">
        <f>TEXT(B185,"mmm yyyy")</f>
        <v/>
      </c>
      <c r="D185">
        <f>"Q"&amp;(INT((A185-1)/13)+1)</f>
        <v/>
      </c>
      <c r="E185" t="inlineStr">
        <is>
          <t>Convenience</t>
        </is>
      </c>
      <c r="F185">
        <f>IFERROR(INDEX(ChFormat,MATCH(E185,ChName,0)),"")</f>
        <v/>
      </c>
      <c r="G185" t="inlineStr">
        <is>
          <t>MB</t>
        </is>
      </c>
      <c r="H185">
        <f>IF(A185&lt;=NWeeks,1,0)</f>
        <v/>
      </c>
      <c r="I185">
        <f>INDEX(ChLaunch,MATCH(E185,ChName,0))</f>
        <v/>
      </c>
      <c r="J185">
        <f>INDEX(ChWeeksFull,MATCH(E185,ChName,0))</f>
        <v/>
      </c>
      <c r="K185">
        <f>INDEX(ChRamp,MATCH(E185,ChName,0))</f>
        <v/>
      </c>
      <c r="L185" s="45">
        <f>MIN(1,MAX(0,(A185-I185+1)*RampSpeed/J185))</f>
        <v/>
      </c>
      <c r="M185" s="45">
        <f>IF(A185&lt;I185,0,IF(K185="S-curve",L185*L185*(3-2*L185),L185))</f>
        <v/>
      </c>
      <c r="N185" s="45">
        <f>1+(INDEX(SeasonIdx,A185)-1)*SeasonAmp</f>
        <v/>
      </c>
      <c r="O185" s="45">
        <f>IFERROR(INDEX(PSPct,MATCH(E185&amp;"|"&amp;G185,PSKey,0)),0)</f>
        <v/>
      </c>
      <c r="P185" s="46">
        <f>INDEX(ChDoorVel,MATCH(E185,ChName,0))*CalibScalar*(1+VelocityUplift)</f>
        <v/>
      </c>
      <c r="Q185" s="46" t="n">
        <v>0</v>
      </c>
      <c r="R185" s="46">
        <f>P185*O185*M185*N185*H185</f>
        <v/>
      </c>
      <c r="S185" s="46">
        <f>R185*INDEX(FmtCansPerCase,MATCH(F185,FmtName,0))</f>
        <v/>
      </c>
      <c r="T185" s="46">
        <f>S185/INDEX(FmtCansPerPack,MATCH(F185,FmtName,0))</f>
        <v/>
      </c>
      <c r="U185" s="47">
        <f>INDEX(ChBaseCP,MATCH(E185,ChName,0))*(1+INDEX(ProvMod,MATCH(G185,ProvCode,0)))*(1+PriceIndex)</f>
        <v/>
      </c>
      <c r="V185" s="47">
        <f>R185*U185*INDEX(FmtBlendedPriceIdx,MATCH(F185,FmtName,0))</f>
        <v/>
      </c>
      <c r="W185" s="47">
        <f>T185*INDEX(ProvSRP,MATCH(G185,ProvCode,0))*(1+PriceIndex)</f>
        <v/>
      </c>
      <c r="X185" s="47">
        <f>IF(GrossBasis="Wholesale",V185,W185)</f>
        <v/>
      </c>
      <c r="Y185" s="47">
        <f>R185*INDEX(FmtBlendedCogs,MATCH(F185,FmtName,0))</f>
        <v/>
      </c>
      <c r="Z185" s="47">
        <f>X185-Y185</f>
        <v/>
      </c>
    </row>
    <row r="186">
      <c r="A186" t="n">
        <v>26</v>
      </c>
      <c r="B186" s="44">
        <f>FiscalStart+(A186-1)*7</f>
        <v/>
      </c>
      <c r="C186">
        <f>TEXT(B186,"mmm yyyy")</f>
        <v/>
      </c>
      <c r="D186">
        <f>"Q"&amp;(INT((A186-1)/13)+1)</f>
        <v/>
      </c>
      <c r="E186" t="inlineStr">
        <is>
          <t>Convenience</t>
        </is>
      </c>
      <c r="F186">
        <f>IFERROR(INDEX(ChFormat,MATCH(E186,ChName,0)),"")</f>
        <v/>
      </c>
      <c r="G186" t="inlineStr">
        <is>
          <t>MB</t>
        </is>
      </c>
      <c r="H186">
        <f>IF(A186&lt;=NWeeks,1,0)</f>
        <v/>
      </c>
      <c r="I186">
        <f>INDEX(ChLaunch,MATCH(E186,ChName,0))</f>
        <v/>
      </c>
      <c r="J186">
        <f>INDEX(ChWeeksFull,MATCH(E186,ChName,0))</f>
        <v/>
      </c>
      <c r="K186">
        <f>INDEX(ChRamp,MATCH(E186,ChName,0))</f>
        <v/>
      </c>
      <c r="L186" s="45">
        <f>MIN(1,MAX(0,(A186-I186+1)*RampSpeed/J186))</f>
        <v/>
      </c>
      <c r="M186" s="45">
        <f>IF(A186&lt;I186,0,IF(K186="S-curve",L186*L186*(3-2*L186),L186))</f>
        <v/>
      </c>
      <c r="N186" s="45">
        <f>1+(INDEX(SeasonIdx,A186)-1)*SeasonAmp</f>
        <v/>
      </c>
      <c r="O186" s="45">
        <f>IFERROR(INDEX(PSPct,MATCH(E186&amp;"|"&amp;G186,PSKey,0)),0)</f>
        <v/>
      </c>
      <c r="P186" s="46">
        <f>INDEX(ChDoorVel,MATCH(E186,ChName,0))*CalibScalar*(1+VelocityUplift)</f>
        <v/>
      </c>
      <c r="Q186" s="46" t="n">
        <v>0</v>
      </c>
      <c r="R186" s="46">
        <f>P186*O186*M186*N186*H186</f>
        <v/>
      </c>
      <c r="S186" s="46">
        <f>R186*INDEX(FmtCansPerCase,MATCH(F186,FmtName,0))</f>
        <v/>
      </c>
      <c r="T186" s="46">
        <f>S186/INDEX(FmtCansPerPack,MATCH(F186,FmtName,0))</f>
        <v/>
      </c>
      <c r="U186" s="47">
        <f>INDEX(ChBaseCP,MATCH(E186,ChName,0))*(1+INDEX(ProvMod,MATCH(G186,ProvCode,0)))*(1+PriceIndex)</f>
        <v/>
      </c>
      <c r="V186" s="47">
        <f>R186*U186*INDEX(FmtBlendedPriceIdx,MATCH(F186,FmtName,0))</f>
        <v/>
      </c>
      <c r="W186" s="47">
        <f>T186*INDEX(ProvSRP,MATCH(G186,ProvCode,0))*(1+PriceIndex)</f>
        <v/>
      </c>
      <c r="X186" s="47">
        <f>IF(GrossBasis="Wholesale",V186,W186)</f>
        <v/>
      </c>
      <c r="Y186" s="47">
        <f>R186*INDEX(FmtBlendedCogs,MATCH(F186,FmtName,0))</f>
        <v/>
      </c>
      <c r="Z186" s="47">
        <f>X186-Y186</f>
        <v/>
      </c>
    </row>
    <row r="187">
      <c r="A187" t="n">
        <v>27</v>
      </c>
      <c r="B187" s="44">
        <f>FiscalStart+(A187-1)*7</f>
        <v/>
      </c>
      <c r="C187">
        <f>TEXT(B187,"mmm yyyy")</f>
        <v/>
      </c>
      <c r="D187">
        <f>"Q"&amp;(INT((A187-1)/13)+1)</f>
        <v/>
      </c>
      <c r="E187" t="inlineStr">
        <is>
          <t>Convenience</t>
        </is>
      </c>
      <c r="F187">
        <f>IFERROR(INDEX(ChFormat,MATCH(E187,ChName,0)),"")</f>
        <v/>
      </c>
      <c r="G187" t="inlineStr">
        <is>
          <t>MB</t>
        </is>
      </c>
      <c r="H187">
        <f>IF(A187&lt;=NWeeks,1,0)</f>
        <v/>
      </c>
      <c r="I187">
        <f>INDEX(ChLaunch,MATCH(E187,ChName,0))</f>
        <v/>
      </c>
      <c r="J187">
        <f>INDEX(ChWeeksFull,MATCH(E187,ChName,0))</f>
        <v/>
      </c>
      <c r="K187">
        <f>INDEX(ChRamp,MATCH(E187,ChName,0))</f>
        <v/>
      </c>
      <c r="L187" s="45">
        <f>MIN(1,MAX(0,(A187-I187+1)*RampSpeed/J187))</f>
        <v/>
      </c>
      <c r="M187" s="45">
        <f>IF(A187&lt;I187,0,IF(K187="S-curve",L187*L187*(3-2*L187),L187))</f>
        <v/>
      </c>
      <c r="N187" s="45">
        <f>1+(INDEX(SeasonIdx,A187)-1)*SeasonAmp</f>
        <v/>
      </c>
      <c r="O187" s="45">
        <f>IFERROR(INDEX(PSPct,MATCH(E187&amp;"|"&amp;G187,PSKey,0)),0)</f>
        <v/>
      </c>
      <c r="P187" s="46">
        <f>INDEX(ChDoorVel,MATCH(E187,ChName,0))*CalibScalar*(1+VelocityUplift)</f>
        <v/>
      </c>
      <c r="Q187" s="46" t="n">
        <v>0</v>
      </c>
      <c r="R187" s="46">
        <f>P187*O187*M187*N187*H187</f>
        <v/>
      </c>
      <c r="S187" s="46">
        <f>R187*INDEX(FmtCansPerCase,MATCH(F187,FmtName,0))</f>
        <v/>
      </c>
      <c r="T187" s="46">
        <f>S187/INDEX(FmtCansPerPack,MATCH(F187,FmtName,0))</f>
        <v/>
      </c>
      <c r="U187" s="47">
        <f>INDEX(ChBaseCP,MATCH(E187,ChName,0))*(1+INDEX(ProvMod,MATCH(G187,ProvCode,0)))*(1+PriceIndex)</f>
        <v/>
      </c>
      <c r="V187" s="47">
        <f>R187*U187*INDEX(FmtBlendedPriceIdx,MATCH(F187,FmtName,0))</f>
        <v/>
      </c>
      <c r="W187" s="47">
        <f>T187*INDEX(ProvSRP,MATCH(G187,ProvCode,0))*(1+PriceIndex)</f>
        <v/>
      </c>
      <c r="X187" s="47">
        <f>IF(GrossBasis="Wholesale",V187,W187)</f>
        <v/>
      </c>
      <c r="Y187" s="47">
        <f>R187*INDEX(FmtBlendedCogs,MATCH(F187,FmtName,0))</f>
        <v/>
      </c>
      <c r="Z187" s="47">
        <f>X187-Y187</f>
        <v/>
      </c>
    </row>
    <row r="188">
      <c r="A188" t="n">
        <v>28</v>
      </c>
      <c r="B188" s="44">
        <f>FiscalStart+(A188-1)*7</f>
        <v/>
      </c>
      <c r="C188">
        <f>TEXT(B188,"mmm yyyy")</f>
        <v/>
      </c>
      <c r="D188">
        <f>"Q"&amp;(INT((A188-1)/13)+1)</f>
        <v/>
      </c>
      <c r="E188" t="inlineStr">
        <is>
          <t>Convenience</t>
        </is>
      </c>
      <c r="F188">
        <f>IFERROR(INDEX(ChFormat,MATCH(E188,ChName,0)),"")</f>
        <v/>
      </c>
      <c r="G188" t="inlineStr">
        <is>
          <t>MB</t>
        </is>
      </c>
      <c r="H188">
        <f>IF(A188&lt;=NWeeks,1,0)</f>
        <v/>
      </c>
      <c r="I188">
        <f>INDEX(ChLaunch,MATCH(E188,ChName,0))</f>
        <v/>
      </c>
      <c r="J188">
        <f>INDEX(ChWeeksFull,MATCH(E188,ChName,0))</f>
        <v/>
      </c>
      <c r="K188">
        <f>INDEX(ChRamp,MATCH(E188,ChName,0))</f>
        <v/>
      </c>
      <c r="L188" s="45">
        <f>MIN(1,MAX(0,(A188-I188+1)*RampSpeed/J188))</f>
        <v/>
      </c>
      <c r="M188" s="45">
        <f>IF(A188&lt;I188,0,IF(K188="S-curve",L188*L188*(3-2*L188),L188))</f>
        <v/>
      </c>
      <c r="N188" s="45">
        <f>1+(INDEX(SeasonIdx,A188)-1)*SeasonAmp</f>
        <v/>
      </c>
      <c r="O188" s="45">
        <f>IFERROR(INDEX(PSPct,MATCH(E188&amp;"|"&amp;G188,PSKey,0)),0)</f>
        <v/>
      </c>
      <c r="P188" s="46">
        <f>INDEX(ChDoorVel,MATCH(E188,ChName,0))*CalibScalar*(1+VelocityUplift)</f>
        <v/>
      </c>
      <c r="Q188" s="46" t="n">
        <v>0</v>
      </c>
      <c r="R188" s="46">
        <f>P188*O188*M188*N188*H188</f>
        <v/>
      </c>
      <c r="S188" s="46">
        <f>R188*INDEX(FmtCansPerCase,MATCH(F188,FmtName,0))</f>
        <v/>
      </c>
      <c r="T188" s="46">
        <f>S188/INDEX(FmtCansPerPack,MATCH(F188,FmtName,0))</f>
        <v/>
      </c>
      <c r="U188" s="47">
        <f>INDEX(ChBaseCP,MATCH(E188,ChName,0))*(1+INDEX(ProvMod,MATCH(G188,ProvCode,0)))*(1+PriceIndex)</f>
        <v/>
      </c>
      <c r="V188" s="47">
        <f>R188*U188*INDEX(FmtBlendedPriceIdx,MATCH(F188,FmtName,0))</f>
        <v/>
      </c>
      <c r="W188" s="47">
        <f>T188*INDEX(ProvSRP,MATCH(G188,ProvCode,0))*(1+PriceIndex)</f>
        <v/>
      </c>
      <c r="X188" s="47">
        <f>IF(GrossBasis="Wholesale",V188,W188)</f>
        <v/>
      </c>
      <c r="Y188" s="47">
        <f>R188*INDEX(FmtBlendedCogs,MATCH(F188,FmtName,0))</f>
        <v/>
      </c>
      <c r="Z188" s="47">
        <f>X188-Y188</f>
        <v/>
      </c>
    </row>
    <row r="189">
      <c r="A189" t="n">
        <v>29</v>
      </c>
      <c r="B189" s="44">
        <f>FiscalStart+(A189-1)*7</f>
        <v/>
      </c>
      <c r="C189">
        <f>TEXT(B189,"mmm yyyy")</f>
        <v/>
      </c>
      <c r="D189">
        <f>"Q"&amp;(INT((A189-1)/13)+1)</f>
        <v/>
      </c>
      <c r="E189" t="inlineStr">
        <is>
          <t>Convenience</t>
        </is>
      </c>
      <c r="F189">
        <f>IFERROR(INDEX(ChFormat,MATCH(E189,ChName,0)),"")</f>
        <v/>
      </c>
      <c r="G189" t="inlineStr">
        <is>
          <t>MB</t>
        </is>
      </c>
      <c r="H189">
        <f>IF(A189&lt;=NWeeks,1,0)</f>
        <v/>
      </c>
      <c r="I189">
        <f>INDEX(ChLaunch,MATCH(E189,ChName,0))</f>
        <v/>
      </c>
      <c r="J189">
        <f>INDEX(ChWeeksFull,MATCH(E189,ChName,0))</f>
        <v/>
      </c>
      <c r="K189">
        <f>INDEX(ChRamp,MATCH(E189,ChName,0))</f>
        <v/>
      </c>
      <c r="L189" s="45">
        <f>MIN(1,MAX(0,(A189-I189+1)*RampSpeed/J189))</f>
        <v/>
      </c>
      <c r="M189" s="45">
        <f>IF(A189&lt;I189,0,IF(K189="S-curve",L189*L189*(3-2*L189),L189))</f>
        <v/>
      </c>
      <c r="N189" s="45">
        <f>1+(INDEX(SeasonIdx,A189)-1)*SeasonAmp</f>
        <v/>
      </c>
      <c r="O189" s="45">
        <f>IFERROR(INDEX(PSPct,MATCH(E189&amp;"|"&amp;G189,PSKey,0)),0)</f>
        <v/>
      </c>
      <c r="P189" s="46">
        <f>INDEX(ChDoorVel,MATCH(E189,ChName,0))*CalibScalar*(1+VelocityUplift)</f>
        <v/>
      </c>
      <c r="Q189" s="46" t="n">
        <v>0</v>
      </c>
      <c r="R189" s="46">
        <f>P189*O189*M189*N189*H189</f>
        <v/>
      </c>
      <c r="S189" s="46">
        <f>R189*INDEX(FmtCansPerCase,MATCH(F189,FmtName,0))</f>
        <v/>
      </c>
      <c r="T189" s="46">
        <f>S189/INDEX(FmtCansPerPack,MATCH(F189,FmtName,0))</f>
        <v/>
      </c>
      <c r="U189" s="47">
        <f>INDEX(ChBaseCP,MATCH(E189,ChName,0))*(1+INDEX(ProvMod,MATCH(G189,ProvCode,0)))*(1+PriceIndex)</f>
        <v/>
      </c>
      <c r="V189" s="47">
        <f>R189*U189*INDEX(FmtBlendedPriceIdx,MATCH(F189,FmtName,0))</f>
        <v/>
      </c>
      <c r="W189" s="47">
        <f>T189*INDEX(ProvSRP,MATCH(G189,ProvCode,0))*(1+PriceIndex)</f>
        <v/>
      </c>
      <c r="X189" s="47">
        <f>IF(GrossBasis="Wholesale",V189,W189)</f>
        <v/>
      </c>
      <c r="Y189" s="47">
        <f>R189*INDEX(FmtBlendedCogs,MATCH(F189,FmtName,0))</f>
        <v/>
      </c>
      <c r="Z189" s="47">
        <f>X189-Y189</f>
        <v/>
      </c>
    </row>
    <row r="190">
      <c r="A190" t="n">
        <v>30</v>
      </c>
      <c r="B190" s="44">
        <f>FiscalStart+(A190-1)*7</f>
        <v/>
      </c>
      <c r="C190">
        <f>TEXT(B190,"mmm yyyy")</f>
        <v/>
      </c>
      <c r="D190">
        <f>"Q"&amp;(INT((A190-1)/13)+1)</f>
        <v/>
      </c>
      <c r="E190" t="inlineStr">
        <is>
          <t>Convenience</t>
        </is>
      </c>
      <c r="F190">
        <f>IFERROR(INDEX(ChFormat,MATCH(E190,ChName,0)),"")</f>
        <v/>
      </c>
      <c r="G190" t="inlineStr">
        <is>
          <t>MB</t>
        </is>
      </c>
      <c r="H190">
        <f>IF(A190&lt;=NWeeks,1,0)</f>
        <v/>
      </c>
      <c r="I190">
        <f>INDEX(ChLaunch,MATCH(E190,ChName,0))</f>
        <v/>
      </c>
      <c r="J190">
        <f>INDEX(ChWeeksFull,MATCH(E190,ChName,0))</f>
        <v/>
      </c>
      <c r="K190">
        <f>INDEX(ChRamp,MATCH(E190,ChName,0))</f>
        <v/>
      </c>
      <c r="L190" s="45">
        <f>MIN(1,MAX(0,(A190-I190+1)*RampSpeed/J190))</f>
        <v/>
      </c>
      <c r="M190" s="45">
        <f>IF(A190&lt;I190,0,IF(K190="S-curve",L190*L190*(3-2*L190),L190))</f>
        <v/>
      </c>
      <c r="N190" s="45">
        <f>1+(INDEX(SeasonIdx,A190)-1)*SeasonAmp</f>
        <v/>
      </c>
      <c r="O190" s="45">
        <f>IFERROR(INDEX(PSPct,MATCH(E190&amp;"|"&amp;G190,PSKey,0)),0)</f>
        <v/>
      </c>
      <c r="P190" s="46">
        <f>INDEX(ChDoorVel,MATCH(E190,ChName,0))*CalibScalar*(1+VelocityUplift)</f>
        <v/>
      </c>
      <c r="Q190" s="46" t="n">
        <v>0</v>
      </c>
      <c r="R190" s="46">
        <f>P190*O190*M190*N190*H190</f>
        <v/>
      </c>
      <c r="S190" s="46">
        <f>R190*INDEX(FmtCansPerCase,MATCH(F190,FmtName,0))</f>
        <v/>
      </c>
      <c r="T190" s="46">
        <f>S190/INDEX(FmtCansPerPack,MATCH(F190,FmtName,0))</f>
        <v/>
      </c>
      <c r="U190" s="47">
        <f>INDEX(ChBaseCP,MATCH(E190,ChName,0))*(1+INDEX(ProvMod,MATCH(G190,ProvCode,0)))*(1+PriceIndex)</f>
        <v/>
      </c>
      <c r="V190" s="47">
        <f>R190*U190*INDEX(FmtBlendedPriceIdx,MATCH(F190,FmtName,0))</f>
        <v/>
      </c>
      <c r="W190" s="47">
        <f>T190*INDEX(ProvSRP,MATCH(G190,ProvCode,0))*(1+PriceIndex)</f>
        <v/>
      </c>
      <c r="X190" s="47">
        <f>IF(GrossBasis="Wholesale",V190,W190)</f>
        <v/>
      </c>
      <c r="Y190" s="47">
        <f>R190*INDEX(FmtBlendedCogs,MATCH(F190,FmtName,0))</f>
        <v/>
      </c>
      <c r="Z190" s="47">
        <f>X190-Y190</f>
        <v/>
      </c>
    </row>
    <row r="191">
      <c r="A191" t="n">
        <v>31</v>
      </c>
      <c r="B191" s="44">
        <f>FiscalStart+(A191-1)*7</f>
        <v/>
      </c>
      <c r="C191">
        <f>TEXT(B191,"mmm yyyy")</f>
        <v/>
      </c>
      <c r="D191">
        <f>"Q"&amp;(INT((A191-1)/13)+1)</f>
        <v/>
      </c>
      <c r="E191" t="inlineStr">
        <is>
          <t>Convenience</t>
        </is>
      </c>
      <c r="F191">
        <f>IFERROR(INDEX(ChFormat,MATCH(E191,ChName,0)),"")</f>
        <v/>
      </c>
      <c r="G191" t="inlineStr">
        <is>
          <t>MB</t>
        </is>
      </c>
      <c r="H191">
        <f>IF(A191&lt;=NWeeks,1,0)</f>
        <v/>
      </c>
      <c r="I191">
        <f>INDEX(ChLaunch,MATCH(E191,ChName,0))</f>
        <v/>
      </c>
      <c r="J191">
        <f>INDEX(ChWeeksFull,MATCH(E191,ChName,0))</f>
        <v/>
      </c>
      <c r="K191">
        <f>INDEX(ChRamp,MATCH(E191,ChName,0))</f>
        <v/>
      </c>
      <c r="L191" s="45">
        <f>MIN(1,MAX(0,(A191-I191+1)*RampSpeed/J191))</f>
        <v/>
      </c>
      <c r="M191" s="45">
        <f>IF(A191&lt;I191,0,IF(K191="S-curve",L191*L191*(3-2*L191),L191))</f>
        <v/>
      </c>
      <c r="N191" s="45">
        <f>1+(INDEX(SeasonIdx,A191)-1)*SeasonAmp</f>
        <v/>
      </c>
      <c r="O191" s="45">
        <f>IFERROR(INDEX(PSPct,MATCH(E191&amp;"|"&amp;G191,PSKey,0)),0)</f>
        <v/>
      </c>
      <c r="P191" s="46">
        <f>INDEX(ChDoorVel,MATCH(E191,ChName,0))*CalibScalar*(1+VelocityUplift)</f>
        <v/>
      </c>
      <c r="Q191" s="46" t="n">
        <v>0</v>
      </c>
      <c r="R191" s="46">
        <f>P191*O191*M191*N191*H191</f>
        <v/>
      </c>
      <c r="S191" s="46">
        <f>R191*INDEX(FmtCansPerCase,MATCH(F191,FmtName,0))</f>
        <v/>
      </c>
      <c r="T191" s="46">
        <f>S191/INDEX(FmtCansPerPack,MATCH(F191,FmtName,0))</f>
        <v/>
      </c>
      <c r="U191" s="47">
        <f>INDEX(ChBaseCP,MATCH(E191,ChName,0))*(1+INDEX(ProvMod,MATCH(G191,ProvCode,0)))*(1+PriceIndex)</f>
        <v/>
      </c>
      <c r="V191" s="47">
        <f>R191*U191*INDEX(FmtBlendedPriceIdx,MATCH(F191,FmtName,0))</f>
        <v/>
      </c>
      <c r="W191" s="47">
        <f>T191*INDEX(ProvSRP,MATCH(G191,ProvCode,0))*(1+PriceIndex)</f>
        <v/>
      </c>
      <c r="X191" s="47">
        <f>IF(GrossBasis="Wholesale",V191,W191)</f>
        <v/>
      </c>
      <c r="Y191" s="47">
        <f>R191*INDEX(FmtBlendedCogs,MATCH(F191,FmtName,0))</f>
        <v/>
      </c>
      <c r="Z191" s="47">
        <f>X191-Y191</f>
        <v/>
      </c>
    </row>
    <row r="192">
      <c r="A192" t="n">
        <v>32</v>
      </c>
      <c r="B192" s="44">
        <f>FiscalStart+(A192-1)*7</f>
        <v/>
      </c>
      <c r="C192">
        <f>TEXT(B192,"mmm yyyy")</f>
        <v/>
      </c>
      <c r="D192">
        <f>"Q"&amp;(INT((A192-1)/13)+1)</f>
        <v/>
      </c>
      <c r="E192" t="inlineStr">
        <is>
          <t>Convenience</t>
        </is>
      </c>
      <c r="F192">
        <f>IFERROR(INDEX(ChFormat,MATCH(E192,ChName,0)),"")</f>
        <v/>
      </c>
      <c r="G192" t="inlineStr">
        <is>
          <t>MB</t>
        </is>
      </c>
      <c r="H192">
        <f>IF(A192&lt;=NWeeks,1,0)</f>
        <v/>
      </c>
      <c r="I192">
        <f>INDEX(ChLaunch,MATCH(E192,ChName,0))</f>
        <v/>
      </c>
      <c r="J192">
        <f>INDEX(ChWeeksFull,MATCH(E192,ChName,0))</f>
        <v/>
      </c>
      <c r="K192">
        <f>INDEX(ChRamp,MATCH(E192,ChName,0))</f>
        <v/>
      </c>
      <c r="L192" s="45">
        <f>MIN(1,MAX(0,(A192-I192+1)*RampSpeed/J192))</f>
        <v/>
      </c>
      <c r="M192" s="45">
        <f>IF(A192&lt;I192,0,IF(K192="S-curve",L192*L192*(3-2*L192),L192))</f>
        <v/>
      </c>
      <c r="N192" s="45">
        <f>1+(INDEX(SeasonIdx,A192)-1)*SeasonAmp</f>
        <v/>
      </c>
      <c r="O192" s="45">
        <f>IFERROR(INDEX(PSPct,MATCH(E192&amp;"|"&amp;G192,PSKey,0)),0)</f>
        <v/>
      </c>
      <c r="P192" s="46">
        <f>INDEX(ChDoorVel,MATCH(E192,ChName,0))*CalibScalar*(1+VelocityUplift)</f>
        <v/>
      </c>
      <c r="Q192" s="46" t="n">
        <v>0</v>
      </c>
      <c r="R192" s="46">
        <f>P192*O192*M192*N192*H192</f>
        <v/>
      </c>
      <c r="S192" s="46">
        <f>R192*INDEX(FmtCansPerCase,MATCH(F192,FmtName,0))</f>
        <v/>
      </c>
      <c r="T192" s="46">
        <f>S192/INDEX(FmtCansPerPack,MATCH(F192,FmtName,0))</f>
        <v/>
      </c>
      <c r="U192" s="47">
        <f>INDEX(ChBaseCP,MATCH(E192,ChName,0))*(1+INDEX(ProvMod,MATCH(G192,ProvCode,0)))*(1+PriceIndex)</f>
        <v/>
      </c>
      <c r="V192" s="47">
        <f>R192*U192*INDEX(FmtBlendedPriceIdx,MATCH(F192,FmtName,0))</f>
        <v/>
      </c>
      <c r="W192" s="47">
        <f>T192*INDEX(ProvSRP,MATCH(G192,ProvCode,0))*(1+PriceIndex)</f>
        <v/>
      </c>
      <c r="X192" s="47">
        <f>IF(GrossBasis="Wholesale",V192,W192)</f>
        <v/>
      </c>
      <c r="Y192" s="47">
        <f>R192*INDEX(FmtBlendedCogs,MATCH(F192,FmtName,0))</f>
        <v/>
      </c>
      <c r="Z192" s="47">
        <f>X192-Y192</f>
        <v/>
      </c>
    </row>
    <row r="193">
      <c r="A193" t="n">
        <v>33</v>
      </c>
      <c r="B193" s="44">
        <f>FiscalStart+(A193-1)*7</f>
        <v/>
      </c>
      <c r="C193">
        <f>TEXT(B193,"mmm yyyy")</f>
        <v/>
      </c>
      <c r="D193">
        <f>"Q"&amp;(INT((A193-1)/13)+1)</f>
        <v/>
      </c>
      <c r="E193" t="inlineStr">
        <is>
          <t>Convenience</t>
        </is>
      </c>
      <c r="F193">
        <f>IFERROR(INDEX(ChFormat,MATCH(E193,ChName,0)),"")</f>
        <v/>
      </c>
      <c r="G193" t="inlineStr">
        <is>
          <t>MB</t>
        </is>
      </c>
      <c r="H193">
        <f>IF(A193&lt;=NWeeks,1,0)</f>
        <v/>
      </c>
      <c r="I193">
        <f>INDEX(ChLaunch,MATCH(E193,ChName,0))</f>
        <v/>
      </c>
      <c r="J193">
        <f>INDEX(ChWeeksFull,MATCH(E193,ChName,0))</f>
        <v/>
      </c>
      <c r="K193">
        <f>INDEX(ChRamp,MATCH(E193,ChName,0))</f>
        <v/>
      </c>
      <c r="L193" s="45">
        <f>MIN(1,MAX(0,(A193-I193+1)*RampSpeed/J193))</f>
        <v/>
      </c>
      <c r="M193" s="45">
        <f>IF(A193&lt;I193,0,IF(K193="S-curve",L193*L193*(3-2*L193),L193))</f>
        <v/>
      </c>
      <c r="N193" s="45">
        <f>1+(INDEX(SeasonIdx,A193)-1)*SeasonAmp</f>
        <v/>
      </c>
      <c r="O193" s="45">
        <f>IFERROR(INDEX(PSPct,MATCH(E193&amp;"|"&amp;G193,PSKey,0)),0)</f>
        <v/>
      </c>
      <c r="P193" s="46">
        <f>INDEX(ChDoorVel,MATCH(E193,ChName,0))*CalibScalar*(1+VelocityUplift)</f>
        <v/>
      </c>
      <c r="Q193" s="46" t="n">
        <v>0</v>
      </c>
      <c r="R193" s="46">
        <f>P193*O193*M193*N193*H193</f>
        <v/>
      </c>
      <c r="S193" s="46">
        <f>R193*INDEX(FmtCansPerCase,MATCH(F193,FmtName,0))</f>
        <v/>
      </c>
      <c r="T193" s="46">
        <f>S193/INDEX(FmtCansPerPack,MATCH(F193,FmtName,0))</f>
        <v/>
      </c>
      <c r="U193" s="47">
        <f>INDEX(ChBaseCP,MATCH(E193,ChName,0))*(1+INDEX(ProvMod,MATCH(G193,ProvCode,0)))*(1+PriceIndex)</f>
        <v/>
      </c>
      <c r="V193" s="47">
        <f>R193*U193*INDEX(FmtBlendedPriceIdx,MATCH(F193,FmtName,0))</f>
        <v/>
      </c>
      <c r="W193" s="47">
        <f>T193*INDEX(ProvSRP,MATCH(G193,ProvCode,0))*(1+PriceIndex)</f>
        <v/>
      </c>
      <c r="X193" s="47">
        <f>IF(GrossBasis="Wholesale",V193,W193)</f>
        <v/>
      </c>
      <c r="Y193" s="47">
        <f>R193*INDEX(FmtBlendedCogs,MATCH(F193,FmtName,0))</f>
        <v/>
      </c>
      <c r="Z193" s="47">
        <f>X193-Y193</f>
        <v/>
      </c>
    </row>
    <row r="194">
      <c r="A194" t="n">
        <v>34</v>
      </c>
      <c r="B194" s="44">
        <f>FiscalStart+(A194-1)*7</f>
        <v/>
      </c>
      <c r="C194">
        <f>TEXT(B194,"mmm yyyy")</f>
        <v/>
      </c>
      <c r="D194">
        <f>"Q"&amp;(INT((A194-1)/13)+1)</f>
        <v/>
      </c>
      <c r="E194" t="inlineStr">
        <is>
          <t>Convenience</t>
        </is>
      </c>
      <c r="F194">
        <f>IFERROR(INDEX(ChFormat,MATCH(E194,ChName,0)),"")</f>
        <v/>
      </c>
      <c r="G194" t="inlineStr">
        <is>
          <t>MB</t>
        </is>
      </c>
      <c r="H194">
        <f>IF(A194&lt;=NWeeks,1,0)</f>
        <v/>
      </c>
      <c r="I194">
        <f>INDEX(ChLaunch,MATCH(E194,ChName,0))</f>
        <v/>
      </c>
      <c r="J194">
        <f>INDEX(ChWeeksFull,MATCH(E194,ChName,0))</f>
        <v/>
      </c>
      <c r="K194">
        <f>INDEX(ChRamp,MATCH(E194,ChName,0))</f>
        <v/>
      </c>
      <c r="L194" s="45">
        <f>MIN(1,MAX(0,(A194-I194+1)*RampSpeed/J194))</f>
        <v/>
      </c>
      <c r="M194" s="45">
        <f>IF(A194&lt;I194,0,IF(K194="S-curve",L194*L194*(3-2*L194),L194))</f>
        <v/>
      </c>
      <c r="N194" s="45">
        <f>1+(INDEX(SeasonIdx,A194)-1)*SeasonAmp</f>
        <v/>
      </c>
      <c r="O194" s="45">
        <f>IFERROR(INDEX(PSPct,MATCH(E194&amp;"|"&amp;G194,PSKey,0)),0)</f>
        <v/>
      </c>
      <c r="P194" s="46">
        <f>INDEX(ChDoorVel,MATCH(E194,ChName,0))*CalibScalar*(1+VelocityUplift)</f>
        <v/>
      </c>
      <c r="Q194" s="46" t="n">
        <v>0</v>
      </c>
      <c r="R194" s="46">
        <f>P194*O194*M194*N194*H194</f>
        <v/>
      </c>
      <c r="S194" s="46">
        <f>R194*INDEX(FmtCansPerCase,MATCH(F194,FmtName,0))</f>
        <v/>
      </c>
      <c r="T194" s="46">
        <f>S194/INDEX(FmtCansPerPack,MATCH(F194,FmtName,0))</f>
        <v/>
      </c>
      <c r="U194" s="47">
        <f>INDEX(ChBaseCP,MATCH(E194,ChName,0))*(1+INDEX(ProvMod,MATCH(G194,ProvCode,0)))*(1+PriceIndex)</f>
        <v/>
      </c>
      <c r="V194" s="47">
        <f>R194*U194*INDEX(FmtBlendedPriceIdx,MATCH(F194,FmtName,0))</f>
        <v/>
      </c>
      <c r="W194" s="47">
        <f>T194*INDEX(ProvSRP,MATCH(G194,ProvCode,0))*(1+PriceIndex)</f>
        <v/>
      </c>
      <c r="X194" s="47">
        <f>IF(GrossBasis="Wholesale",V194,W194)</f>
        <v/>
      </c>
      <c r="Y194" s="47">
        <f>R194*INDEX(FmtBlendedCogs,MATCH(F194,FmtName,0))</f>
        <v/>
      </c>
      <c r="Z194" s="47">
        <f>X194-Y194</f>
        <v/>
      </c>
    </row>
    <row r="195">
      <c r="A195" t="n">
        <v>35</v>
      </c>
      <c r="B195" s="44">
        <f>FiscalStart+(A195-1)*7</f>
        <v/>
      </c>
      <c r="C195">
        <f>TEXT(B195,"mmm yyyy")</f>
        <v/>
      </c>
      <c r="D195">
        <f>"Q"&amp;(INT((A195-1)/13)+1)</f>
        <v/>
      </c>
      <c r="E195" t="inlineStr">
        <is>
          <t>Convenience</t>
        </is>
      </c>
      <c r="F195">
        <f>IFERROR(INDEX(ChFormat,MATCH(E195,ChName,0)),"")</f>
        <v/>
      </c>
      <c r="G195" t="inlineStr">
        <is>
          <t>MB</t>
        </is>
      </c>
      <c r="H195">
        <f>IF(A195&lt;=NWeeks,1,0)</f>
        <v/>
      </c>
      <c r="I195">
        <f>INDEX(ChLaunch,MATCH(E195,ChName,0))</f>
        <v/>
      </c>
      <c r="J195">
        <f>INDEX(ChWeeksFull,MATCH(E195,ChName,0))</f>
        <v/>
      </c>
      <c r="K195">
        <f>INDEX(ChRamp,MATCH(E195,ChName,0))</f>
        <v/>
      </c>
      <c r="L195" s="45">
        <f>MIN(1,MAX(0,(A195-I195+1)*RampSpeed/J195))</f>
        <v/>
      </c>
      <c r="M195" s="45">
        <f>IF(A195&lt;I195,0,IF(K195="S-curve",L195*L195*(3-2*L195),L195))</f>
        <v/>
      </c>
      <c r="N195" s="45">
        <f>1+(INDEX(SeasonIdx,A195)-1)*SeasonAmp</f>
        <v/>
      </c>
      <c r="O195" s="45">
        <f>IFERROR(INDEX(PSPct,MATCH(E195&amp;"|"&amp;G195,PSKey,0)),0)</f>
        <v/>
      </c>
      <c r="P195" s="46">
        <f>INDEX(ChDoorVel,MATCH(E195,ChName,0))*CalibScalar*(1+VelocityUplift)</f>
        <v/>
      </c>
      <c r="Q195" s="46" t="n">
        <v>0</v>
      </c>
      <c r="R195" s="46">
        <f>P195*O195*M195*N195*H195</f>
        <v/>
      </c>
      <c r="S195" s="46">
        <f>R195*INDEX(FmtCansPerCase,MATCH(F195,FmtName,0))</f>
        <v/>
      </c>
      <c r="T195" s="46">
        <f>S195/INDEX(FmtCansPerPack,MATCH(F195,FmtName,0))</f>
        <v/>
      </c>
      <c r="U195" s="47">
        <f>INDEX(ChBaseCP,MATCH(E195,ChName,0))*(1+INDEX(ProvMod,MATCH(G195,ProvCode,0)))*(1+PriceIndex)</f>
        <v/>
      </c>
      <c r="V195" s="47">
        <f>R195*U195*INDEX(FmtBlendedPriceIdx,MATCH(F195,FmtName,0))</f>
        <v/>
      </c>
      <c r="W195" s="47">
        <f>T195*INDEX(ProvSRP,MATCH(G195,ProvCode,0))*(1+PriceIndex)</f>
        <v/>
      </c>
      <c r="X195" s="47">
        <f>IF(GrossBasis="Wholesale",V195,W195)</f>
        <v/>
      </c>
      <c r="Y195" s="47">
        <f>R195*INDEX(FmtBlendedCogs,MATCH(F195,FmtName,0))</f>
        <v/>
      </c>
      <c r="Z195" s="47">
        <f>X195-Y195</f>
        <v/>
      </c>
    </row>
    <row r="196">
      <c r="A196" t="n">
        <v>36</v>
      </c>
      <c r="B196" s="44">
        <f>FiscalStart+(A196-1)*7</f>
        <v/>
      </c>
      <c r="C196">
        <f>TEXT(B196,"mmm yyyy")</f>
        <v/>
      </c>
      <c r="D196">
        <f>"Q"&amp;(INT((A196-1)/13)+1)</f>
        <v/>
      </c>
      <c r="E196" t="inlineStr">
        <is>
          <t>Convenience</t>
        </is>
      </c>
      <c r="F196">
        <f>IFERROR(INDEX(ChFormat,MATCH(E196,ChName,0)),"")</f>
        <v/>
      </c>
      <c r="G196" t="inlineStr">
        <is>
          <t>MB</t>
        </is>
      </c>
      <c r="H196">
        <f>IF(A196&lt;=NWeeks,1,0)</f>
        <v/>
      </c>
      <c r="I196">
        <f>INDEX(ChLaunch,MATCH(E196,ChName,0))</f>
        <v/>
      </c>
      <c r="J196">
        <f>INDEX(ChWeeksFull,MATCH(E196,ChName,0))</f>
        <v/>
      </c>
      <c r="K196">
        <f>INDEX(ChRamp,MATCH(E196,ChName,0))</f>
        <v/>
      </c>
      <c r="L196" s="45">
        <f>MIN(1,MAX(0,(A196-I196+1)*RampSpeed/J196))</f>
        <v/>
      </c>
      <c r="M196" s="45">
        <f>IF(A196&lt;I196,0,IF(K196="S-curve",L196*L196*(3-2*L196),L196))</f>
        <v/>
      </c>
      <c r="N196" s="45">
        <f>1+(INDEX(SeasonIdx,A196)-1)*SeasonAmp</f>
        <v/>
      </c>
      <c r="O196" s="45">
        <f>IFERROR(INDEX(PSPct,MATCH(E196&amp;"|"&amp;G196,PSKey,0)),0)</f>
        <v/>
      </c>
      <c r="P196" s="46">
        <f>INDEX(ChDoorVel,MATCH(E196,ChName,0))*CalibScalar*(1+VelocityUplift)</f>
        <v/>
      </c>
      <c r="Q196" s="46" t="n">
        <v>0</v>
      </c>
      <c r="R196" s="46">
        <f>P196*O196*M196*N196*H196</f>
        <v/>
      </c>
      <c r="S196" s="46">
        <f>R196*INDEX(FmtCansPerCase,MATCH(F196,FmtName,0))</f>
        <v/>
      </c>
      <c r="T196" s="46">
        <f>S196/INDEX(FmtCansPerPack,MATCH(F196,FmtName,0))</f>
        <v/>
      </c>
      <c r="U196" s="47">
        <f>INDEX(ChBaseCP,MATCH(E196,ChName,0))*(1+INDEX(ProvMod,MATCH(G196,ProvCode,0)))*(1+PriceIndex)</f>
        <v/>
      </c>
      <c r="V196" s="47">
        <f>R196*U196*INDEX(FmtBlendedPriceIdx,MATCH(F196,FmtName,0))</f>
        <v/>
      </c>
      <c r="W196" s="47">
        <f>T196*INDEX(ProvSRP,MATCH(G196,ProvCode,0))*(1+PriceIndex)</f>
        <v/>
      </c>
      <c r="X196" s="47">
        <f>IF(GrossBasis="Wholesale",V196,W196)</f>
        <v/>
      </c>
      <c r="Y196" s="47">
        <f>R196*INDEX(FmtBlendedCogs,MATCH(F196,FmtName,0))</f>
        <v/>
      </c>
      <c r="Z196" s="47">
        <f>X196-Y196</f>
        <v/>
      </c>
    </row>
    <row r="197">
      <c r="A197" t="n">
        <v>37</v>
      </c>
      <c r="B197" s="44">
        <f>FiscalStart+(A197-1)*7</f>
        <v/>
      </c>
      <c r="C197">
        <f>TEXT(B197,"mmm yyyy")</f>
        <v/>
      </c>
      <c r="D197">
        <f>"Q"&amp;(INT((A197-1)/13)+1)</f>
        <v/>
      </c>
      <c r="E197" t="inlineStr">
        <is>
          <t>Convenience</t>
        </is>
      </c>
      <c r="F197">
        <f>IFERROR(INDEX(ChFormat,MATCH(E197,ChName,0)),"")</f>
        <v/>
      </c>
      <c r="G197" t="inlineStr">
        <is>
          <t>MB</t>
        </is>
      </c>
      <c r="H197">
        <f>IF(A197&lt;=NWeeks,1,0)</f>
        <v/>
      </c>
      <c r="I197">
        <f>INDEX(ChLaunch,MATCH(E197,ChName,0))</f>
        <v/>
      </c>
      <c r="J197">
        <f>INDEX(ChWeeksFull,MATCH(E197,ChName,0))</f>
        <v/>
      </c>
      <c r="K197">
        <f>INDEX(ChRamp,MATCH(E197,ChName,0))</f>
        <v/>
      </c>
      <c r="L197" s="45">
        <f>MIN(1,MAX(0,(A197-I197+1)*RampSpeed/J197))</f>
        <v/>
      </c>
      <c r="M197" s="45">
        <f>IF(A197&lt;I197,0,IF(K197="S-curve",L197*L197*(3-2*L197),L197))</f>
        <v/>
      </c>
      <c r="N197" s="45">
        <f>1+(INDEX(SeasonIdx,A197)-1)*SeasonAmp</f>
        <v/>
      </c>
      <c r="O197" s="45">
        <f>IFERROR(INDEX(PSPct,MATCH(E197&amp;"|"&amp;G197,PSKey,0)),0)</f>
        <v/>
      </c>
      <c r="P197" s="46">
        <f>INDEX(ChDoorVel,MATCH(E197,ChName,0))*CalibScalar*(1+VelocityUplift)</f>
        <v/>
      </c>
      <c r="Q197" s="46" t="n">
        <v>0</v>
      </c>
      <c r="R197" s="46">
        <f>P197*O197*M197*N197*H197</f>
        <v/>
      </c>
      <c r="S197" s="46">
        <f>R197*INDEX(FmtCansPerCase,MATCH(F197,FmtName,0))</f>
        <v/>
      </c>
      <c r="T197" s="46">
        <f>S197/INDEX(FmtCansPerPack,MATCH(F197,FmtName,0))</f>
        <v/>
      </c>
      <c r="U197" s="47">
        <f>INDEX(ChBaseCP,MATCH(E197,ChName,0))*(1+INDEX(ProvMod,MATCH(G197,ProvCode,0)))*(1+PriceIndex)</f>
        <v/>
      </c>
      <c r="V197" s="47">
        <f>R197*U197*INDEX(FmtBlendedPriceIdx,MATCH(F197,FmtName,0))</f>
        <v/>
      </c>
      <c r="W197" s="47">
        <f>T197*INDEX(ProvSRP,MATCH(G197,ProvCode,0))*(1+PriceIndex)</f>
        <v/>
      </c>
      <c r="X197" s="47">
        <f>IF(GrossBasis="Wholesale",V197,W197)</f>
        <v/>
      </c>
      <c r="Y197" s="47">
        <f>R197*INDEX(FmtBlendedCogs,MATCH(F197,FmtName,0))</f>
        <v/>
      </c>
      <c r="Z197" s="47">
        <f>X197-Y197</f>
        <v/>
      </c>
    </row>
    <row r="198">
      <c r="A198" t="n">
        <v>38</v>
      </c>
      <c r="B198" s="44">
        <f>FiscalStart+(A198-1)*7</f>
        <v/>
      </c>
      <c r="C198">
        <f>TEXT(B198,"mmm yyyy")</f>
        <v/>
      </c>
      <c r="D198">
        <f>"Q"&amp;(INT((A198-1)/13)+1)</f>
        <v/>
      </c>
      <c r="E198" t="inlineStr">
        <is>
          <t>Convenience</t>
        </is>
      </c>
      <c r="F198">
        <f>IFERROR(INDEX(ChFormat,MATCH(E198,ChName,0)),"")</f>
        <v/>
      </c>
      <c r="G198" t="inlineStr">
        <is>
          <t>MB</t>
        </is>
      </c>
      <c r="H198">
        <f>IF(A198&lt;=NWeeks,1,0)</f>
        <v/>
      </c>
      <c r="I198">
        <f>INDEX(ChLaunch,MATCH(E198,ChName,0))</f>
        <v/>
      </c>
      <c r="J198">
        <f>INDEX(ChWeeksFull,MATCH(E198,ChName,0))</f>
        <v/>
      </c>
      <c r="K198">
        <f>INDEX(ChRamp,MATCH(E198,ChName,0))</f>
        <v/>
      </c>
      <c r="L198" s="45">
        <f>MIN(1,MAX(0,(A198-I198+1)*RampSpeed/J198))</f>
        <v/>
      </c>
      <c r="M198" s="45">
        <f>IF(A198&lt;I198,0,IF(K198="S-curve",L198*L198*(3-2*L198),L198))</f>
        <v/>
      </c>
      <c r="N198" s="45">
        <f>1+(INDEX(SeasonIdx,A198)-1)*SeasonAmp</f>
        <v/>
      </c>
      <c r="O198" s="45">
        <f>IFERROR(INDEX(PSPct,MATCH(E198&amp;"|"&amp;G198,PSKey,0)),0)</f>
        <v/>
      </c>
      <c r="P198" s="46">
        <f>INDEX(ChDoorVel,MATCH(E198,ChName,0))*CalibScalar*(1+VelocityUplift)</f>
        <v/>
      </c>
      <c r="Q198" s="46" t="n">
        <v>0</v>
      </c>
      <c r="R198" s="46">
        <f>P198*O198*M198*N198*H198</f>
        <v/>
      </c>
      <c r="S198" s="46">
        <f>R198*INDEX(FmtCansPerCase,MATCH(F198,FmtName,0))</f>
        <v/>
      </c>
      <c r="T198" s="46">
        <f>S198/INDEX(FmtCansPerPack,MATCH(F198,FmtName,0))</f>
        <v/>
      </c>
      <c r="U198" s="47">
        <f>INDEX(ChBaseCP,MATCH(E198,ChName,0))*(1+INDEX(ProvMod,MATCH(G198,ProvCode,0)))*(1+PriceIndex)</f>
        <v/>
      </c>
      <c r="V198" s="47">
        <f>R198*U198*INDEX(FmtBlendedPriceIdx,MATCH(F198,FmtName,0))</f>
        <v/>
      </c>
      <c r="W198" s="47">
        <f>T198*INDEX(ProvSRP,MATCH(G198,ProvCode,0))*(1+PriceIndex)</f>
        <v/>
      </c>
      <c r="X198" s="47">
        <f>IF(GrossBasis="Wholesale",V198,W198)</f>
        <v/>
      </c>
      <c r="Y198" s="47">
        <f>R198*INDEX(FmtBlendedCogs,MATCH(F198,FmtName,0))</f>
        <v/>
      </c>
      <c r="Z198" s="47">
        <f>X198-Y198</f>
        <v/>
      </c>
    </row>
    <row r="199">
      <c r="A199" t="n">
        <v>39</v>
      </c>
      <c r="B199" s="44">
        <f>FiscalStart+(A199-1)*7</f>
        <v/>
      </c>
      <c r="C199">
        <f>TEXT(B199,"mmm yyyy")</f>
        <v/>
      </c>
      <c r="D199">
        <f>"Q"&amp;(INT((A199-1)/13)+1)</f>
        <v/>
      </c>
      <c r="E199" t="inlineStr">
        <is>
          <t>Convenience</t>
        </is>
      </c>
      <c r="F199">
        <f>IFERROR(INDEX(ChFormat,MATCH(E199,ChName,0)),"")</f>
        <v/>
      </c>
      <c r="G199" t="inlineStr">
        <is>
          <t>MB</t>
        </is>
      </c>
      <c r="H199">
        <f>IF(A199&lt;=NWeeks,1,0)</f>
        <v/>
      </c>
      <c r="I199">
        <f>INDEX(ChLaunch,MATCH(E199,ChName,0))</f>
        <v/>
      </c>
      <c r="J199">
        <f>INDEX(ChWeeksFull,MATCH(E199,ChName,0))</f>
        <v/>
      </c>
      <c r="K199">
        <f>INDEX(ChRamp,MATCH(E199,ChName,0))</f>
        <v/>
      </c>
      <c r="L199" s="45">
        <f>MIN(1,MAX(0,(A199-I199+1)*RampSpeed/J199))</f>
        <v/>
      </c>
      <c r="M199" s="45">
        <f>IF(A199&lt;I199,0,IF(K199="S-curve",L199*L199*(3-2*L199),L199))</f>
        <v/>
      </c>
      <c r="N199" s="45">
        <f>1+(INDEX(SeasonIdx,A199)-1)*SeasonAmp</f>
        <v/>
      </c>
      <c r="O199" s="45">
        <f>IFERROR(INDEX(PSPct,MATCH(E199&amp;"|"&amp;G199,PSKey,0)),0)</f>
        <v/>
      </c>
      <c r="P199" s="46">
        <f>INDEX(ChDoorVel,MATCH(E199,ChName,0))*CalibScalar*(1+VelocityUplift)</f>
        <v/>
      </c>
      <c r="Q199" s="46" t="n">
        <v>0</v>
      </c>
      <c r="R199" s="46">
        <f>P199*O199*M199*N199*H199</f>
        <v/>
      </c>
      <c r="S199" s="46">
        <f>R199*INDEX(FmtCansPerCase,MATCH(F199,FmtName,0))</f>
        <v/>
      </c>
      <c r="T199" s="46">
        <f>S199/INDEX(FmtCansPerPack,MATCH(F199,FmtName,0))</f>
        <v/>
      </c>
      <c r="U199" s="47">
        <f>INDEX(ChBaseCP,MATCH(E199,ChName,0))*(1+INDEX(ProvMod,MATCH(G199,ProvCode,0)))*(1+PriceIndex)</f>
        <v/>
      </c>
      <c r="V199" s="47">
        <f>R199*U199*INDEX(FmtBlendedPriceIdx,MATCH(F199,FmtName,0))</f>
        <v/>
      </c>
      <c r="W199" s="47">
        <f>T199*INDEX(ProvSRP,MATCH(G199,ProvCode,0))*(1+PriceIndex)</f>
        <v/>
      </c>
      <c r="X199" s="47">
        <f>IF(GrossBasis="Wholesale",V199,W199)</f>
        <v/>
      </c>
      <c r="Y199" s="47">
        <f>R199*INDEX(FmtBlendedCogs,MATCH(F199,FmtName,0))</f>
        <v/>
      </c>
      <c r="Z199" s="47">
        <f>X199-Y199</f>
        <v/>
      </c>
    </row>
    <row r="200">
      <c r="A200" t="n">
        <v>40</v>
      </c>
      <c r="B200" s="44">
        <f>FiscalStart+(A200-1)*7</f>
        <v/>
      </c>
      <c r="C200">
        <f>TEXT(B200,"mmm yyyy")</f>
        <v/>
      </c>
      <c r="D200">
        <f>"Q"&amp;(INT((A200-1)/13)+1)</f>
        <v/>
      </c>
      <c r="E200" t="inlineStr">
        <is>
          <t>Convenience</t>
        </is>
      </c>
      <c r="F200">
        <f>IFERROR(INDEX(ChFormat,MATCH(E200,ChName,0)),"")</f>
        <v/>
      </c>
      <c r="G200" t="inlineStr">
        <is>
          <t>MB</t>
        </is>
      </c>
      <c r="H200">
        <f>IF(A200&lt;=NWeeks,1,0)</f>
        <v/>
      </c>
      <c r="I200">
        <f>INDEX(ChLaunch,MATCH(E200,ChName,0))</f>
        <v/>
      </c>
      <c r="J200">
        <f>INDEX(ChWeeksFull,MATCH(E200,ChName,0))</f>
        <v/>
      </c>
      <c r="K200">
        <f>INDEX(ChRamp,MATCH(E200,ChName,0))</f>
        <v/>
      </c>
      <c r="L200" s="45">
        <f>MIN(1,MAX(0,(A200-I200+1)*RampSpeed/J200))</f>
        <v/>
      </c>
      <c r="M200" s="45">
        <f>IF(A200&lt;I200,0,IF(K200="S-curve",L200*L200*(3-2*L200),L200))</f>
        <v/>
      </c>
      <c r="N200" s="45">
        <f>1+(INDEX(SeasonIdx,A200)-1)*SeasonAmp</f>
        <v/>
      </c>
      <c r="O200" s="45">
        <f>IFERROR(INDEX(PSPct,MATCH(E200&amp;"|"&amp;G200,PSKey,0)),0)</f>
        <v/>
      </c>
      <c r="P200" s="46">
        <f>INDEX(ChDoorVel,MATCH(E200,ChName,0))*CalibScalar*(1+VelocityUplift)</f>
        <v/>
      </c>
      <c r="Q200" s="46" t="n">
        <v>0</v>
      </c>
      <c r="R200" s="46">
        <f>P200*O200*M200*N200*H200</f>
        <v/>
      </c>
      <c r="S200" s="46">
        <f>R200*INDEX(FmtCansPerCase,MATCH(F200,FmtName,0))</f>
        <v/>
      </c>
      <c r="T200" s="46">
        <f>S200/INDEX(FmtCansPerPack,MATCH(F200,FmtName,0))</f>
        <v/>
      </c>
      <c r="U200" s="47">
        <f>INDEX(ChBaseCP,MATCH(E200,ChName,0))*(1+INDEX(ProvMod,MATCH(G200,ProvCode,0)))*(1+PriceIndex)</f>
        <v/>
      </c>
      <c r="V200" s="47">
        <f>R200*U200*INDEX(FmtBlendedPriceIdx,MATCH(F200,FmtName,0))</f>
        <v/>
      </c>
      <c r="W200" s="47">
        <f>T200*INDEX(ProvSRP,MATCH(G200,ProvCode,0))*(1+PriceIndex)</f>
        <v/>
      </c>
      <c r="X200" s="47">
        <f>IF(GrossBasis="Wholesale",V200,W200)</f>
        <v/>
      </c>
      <c r="Y200" s="47">
        <f>R200*INDEX(FmtBlendedCogs,MATCH(F200,FmtName,0))</f>
        <v/>
      </c>
      <c r="Z200" s="47">
        <f>X200-Y200</f>
        <v/>
      </c>
    </row>
    <row r="201">
      <c r="A201" t="n">
        <v>41</v>
      </c>
      <c r="B201" s="44">
        <f>FiscalStart+(A201-1)*7</f>
        <v/>
      </c>
      <c r="C201">
        <f>TEXT(B201,"mmm yyyy")</f>
        <v/>
      </c>
      <c r="D201">
        <f>"Q"&amp;(INT((A201-1)/13)+1)</f>
        <v/>
      </c>
      <c r="E201" t="inlineStr">
        <is>
          <t>Convenience</t>
        </is>
      </c>
      <c r="F201">
        <f>IFERROR(INDEX(ChFormat,MATCH(E201,ChName,0)),"")</f>
        <v/>
      </c>
      <c r="G201" t="inlineStr">
        <is>
          <t>MB</t>
        </is>
      </c>
      <c r="H201">
        <f>IF(A201&lt;=NWeeks,1,0)</f>
        <v/>
      </c>
      <c r="I201">
        <f>INDEX(ChLaunch,MATCH(E201,ChName,0))</f>
        <v/>
      </c>
      <c r="J201">
        <f>INDEX(ChWeeksFull,MATCH(E201,ChName,0))</f>
        <v/>
      </c>
      <c r="K201">
        <f>INDEX(ChRamp,MATCH(E201,ChName,0))</f>
        <v/>
      </c>
      <c r="L201" s="45">
        <f>MIN(1,MAX(0,(A201-I201+1)*RampSpeed/J201))</f>
        <v/>
      </c>
      <c r="M201" s="45">
        <f>IF(A201&lt;I201,0,IF(K201="S-curve",L201*L201*(3-2*L201),L201))</f>
        <v/>
      </c>
      <c r="N201" s="45">
        <f>1+(INDEX(SeasonIdx,A201)-1)*SeasonAmp</f>
        <v/>
      </c>
      <c r="O201" s="45">
        <f>IFERROR(INDEX(PSPct,MATCH(E201&amp;"|"&amp;G201,PSKey,0)),0)</f>
        <v/>
      </c>
      <c r="P201" s="46">
        <f>INDEX(ChDoorVel,MATCH(E201,ChName,0))*CalibScalar*(1+VelocityUplift)</f>
        <v/>
      </c>
      <c r="Q201" s="46" t="n">
        <v>0</v>
      </c>
      <c r="R201" s="46">
        <f>P201*O201*M201*N201*H201</f>
        <v/>
      </c>
      <c r="S201" s="46">
        <f>R201*INDEX(FmtCansPerCase,MATCH(F201,FmtName,0))</f>
        <v/>
      </c>
      <c r="T201" s="46">
        <f>S201/INDEX(FmtCansPerPack,MATCH(F201,FmtName,0))</f>
        <v/>
      </c>
      <c r="U201" s="47">
        <f>INDEX(ChBaseCP,MATCH(E201,ChName,0))*(1+INDEX(ProvMod,MATCH(G201,ProvCode,0)))*(1+PriceIndex)</f>
        <v/>
      </c>
      <c r="V201" s="47">
        <f>R201*U201*INDEX(FmtBlendedPriceIdx,MATCH(F201,FmtName,0))</f>
        <v/>
      </c>
      <c r="W201" s="47">
        <f>T201*INDEX(ProvSRP,MATCH(G201,ProvCode,0))*(1+PriceIndex)</f>
        <v/>
      </c>
      <c r="X201" s="47">
        <f>IF(GrossBasis="Wholesale",V201,W201)</f>
        <v/>
      </c>
      <c r="Y201" s="47">
        <f>R201*INDEX(FmtBlendedCogs,MATCH(F201,FmtName,0))</f>
        <v/>
      </c>
      <c r="Z201" s="47">
        <f>X201-Y201</f>
        <v/>
      </c>
    </row>
    <row r="202">
      <c r="A202" t="n">
        <v>42</v>
      </c>
      <c r="B202" s="44">
        <f>FiscalStart+(A202-1)*7</f>
        <v/>
      </c>
      <c r="C202">
        <f>TEXT(B202,"mmm yyyy")</f>
        <v/>
      </c>
      <c r="D202">
        <f>"Q"&amp;(INT((A202-1)/13)+1)</f>
        <v/>
      </c>
      <c r="E202" t="inlineStr">
        <is>
          <t>Convenience</t>
        </is>
      </c>
      <c r="F202">
        <f>IFERROR(INDEX(ChFormat,MATCH(E202,ChName,0)),"")</f>
        <v/>
      </c>
      <c r="G202" t="inlineStr">
        <is>
          <t>MB</t>
        </is>
      </c>
      <c r="H202">
        <f>IF(A202&lt;=NWeeks,1,0)</f>
        <v/>
      </c>
      <c r="I202">
        <f>INDEX(ChLaunch,MATCH(E202,ChName,0))</f>
        <v/>
      </c>
      <c r="J202">
        <f>INDEX(ChWeeksFull,MATCH(E202,ChName,0))</f>
        <v/>
      </c>
      <c r="K202">
        <f>INDEX(ChRamp,MATCH(E202,ChName,0))</f>
        <v/>
      </c>
      <c r="L202" s="45">
        <f>MIN(1,MAX(0,(A202-I202+1)*RampSpeed/J202))</f>
        <v/>
      </c>
      <c r="M202" s="45">
        <f>IF(A202&lt;I202,0,IF(K202="S-curve",L202*L202*(3-2*L202),L202))</f>
        <v/>
      </c>
      <c r="N202" s="45">
        <f>1+(INDEX(SeasonIdx,A202)-1)*SeasonAmp</f>
        <v/>
      </c>
      <c r="O202" s="45">
        <f>IFERROR(INDEX(PSPct,MATCH(E202&amp;"|"&amp;G202,PSKey,0)),0)</f>
        <v/>
      </c>
      <c r="P202" s="46">
        <f>INDEX(ChDoorVel,MATCH(E202,ChName,0))*CalibScalar*(1+VelocityUplift)</f>
        <v/>
      </c>
      <c r="Q202" s="46" t="n">
        <v>0</v>
      </c>
      <c r="R202" s="46">
        <f>P202*O202*M202*N202*H202</f>
        <v/>
      </c>
      <c r="S202" s="46">
        <f>R202*INDEX(FmtCansPerCase,MATCH(F202,FmtName,0))</f>
        <v/>
      </c>
      <c r="T202" s="46">
        <f>S202/INDEX(FmtCansPerPack,MATCH(F202,FmtName,0))</f>
        <v/>
      </c>
      <c r="U202" s="47">
        <f>INDEX(ChBaseCP,MATCH(E202,ChName,0))*(1+INDEX(ProvMod,MATCH(G202,ProvCode,0)))*(1+PriceIndex)</f>
        <v/>
      </c>
      <c r="V202" s="47">
        <f>R202*U202*INDEX(FmtBlendedPriceIdx,MATCH(F202,FmtName,0))</f>
        <v/>
      </c>
      <c r="W202" s="47">
        <f>T202*INDEX(ProvSRP,MATCH(G202,ProvCode,0))*(1+PriceIndex)</f>
        <v/>
      </c>
      <c r="X202" s="47">
        <f>IF(GrossBasis="Wholesale",V202,W202)</f>
        <v/>
      </c>
      <c r="Y202" s="47">
        <f>R202*INDEX(FmtBlendedCogs,MATCH(F202,FmtName,0))</f>
        <v/>
      </c>
      <c r="Z202" s="47">
        <f>X202-Y202</f>
        <v/>
      </c>
    </row>
    <row r="203">
      <c r="A203" t="n">
        <v>43</v>
      </c>
      <c r="B203" s="44">
        <f>FiscalStart+(A203-1)*7</f>
        <v/>
      </c>
      <c r="C203">
        <f>TEXT(B203,"mmm yyyy")</f>
        <v/>
      </c>
      <c r="D203">
        <f>"Q"&amp;(INT((A203-1)/13)+1)</f>
        <v/>
      </c>
      <c r="E203" t="inlineStr">
        <is>
          <t>Convenience</t>
        </is>
      </c>
      <c r="F203">
        <f>IFERROR(INDEX(ChFormat,MATCH(E203,ChName,0)),"")</f>
        <v/>
      </c>
      <c r="G203" t="inlineStr">
        <is>
          <t>MB</t>
        </is>
      </c>
      <c r="H203">
        <f>IF(A203&lt;=NWeeks,1,0)</f>
        <v/>
      </c>
      <c r="I203">
        <f>INDEX(ChLaunch,MATCH(E203,ChName,0))</f>
        <v/>
      </c>
      <c r="J203">
        <f>INDEX(ChWeeksFull,MATCH(E203,ChName,0))</f>
        <v/>
      </c>
      <c r="K203">
        <f>INDEX(ChRamp,MATCH(E203,ChName,0))</f>
        <v/>
      </c>
      <c r="L203" s="45">
        <f>MIN(1,MAX(0,(A203-I203+1)*RampSpeed/J203))</f>
        <v/>
      </c>
      <c r="M203" s="45">
        <f>IF(A203&lt;I203,0,IF(K203="S-curve",L203*L203*(3-2*L203),L203))</f>
        <v/>
      </c>
      <c r="N203" s="45">
        <f>1+(INDEX(SeasonIdx,A203)-1)*SeasonAmp</f>
        <v/>
      </c>
      <c r="O203" s="45">
        <f>IFERROR(INDEX(PSPct,MATCH(E203&amp;"|"&amp;G203,PSKey,0)),0)</f>
        <v/>
      </c>
      <c r="P203" s="46">
        <f>INDEX(ChDoorVel,MATCH(E203,ChName,0))*CalibScalar*(1+VelocityUplift)</f>
        <v/>
      </c>
      <c r="Q203" s="46" t="n">
        <v>0</v>
      </c>
      <c r="R203" s="46">
        <f>P203*O203*M203*N203*H203</f>
        <v/>
      </c>
      <c r="S203" s="46">
        <f>R203*INDEX(FmtCansPerCase,MATCH(F203,FmtName,0))</f>
        <v/>
      </c>
      <c r="T203" s="46">
        <f>S203/INDEX(FmtCansPerPack,MATCH(F203,FmtName,0))</f>
        <v/>
      </c>
      <c r="U203" s="47">
        <f>INDEX(ChBaseCP,MATCH(E203,ChName,0))*(1+INDEX(ProvMod,MATCH(G203,ProvCode,0)))*(1+PriceIndex)</f>
        <v/>
      </c>
      <c r="V203" s="47">
        <f>R203*U203*INDEX(FmtBlendedPriceIdx,MATCH(F203,FmtName,0))</f>
        <v/>
      </c>
      <c r="W203" s="47">
        <f>T203*INDEX(ProvSRP,MATCH(G203,ProvCode,0))*(1+PriceIndex)</f>
        <v/>
      </c>
      <c r="X203" s="47">
        <f>IF(GrossBasis="Wholesale",V203,W203)</f>
        <v/>
      </c>
      <c r="Y203" s="47">
        <f>R203*INDEX(FmtBlendedCogs,MATCH(F203,FmtName,0))</f>
        <v/>
      </c>
      <c r="Z203" s="47">
        <f>X203-Y203</f>
        <v/>
      </c>
    </row>
    <row r="204">
      <c r="A204" t="n">
        <v>44</v>
      </c>
      <c r="B204" s="44">
        <f>FiscalStart+(A204-1)*7</f>
        <v/>
      </c>
      <c r="C204">
        <f>TEXT(B204,"mmm yyyy")</f>
        <v/>
      </c>
      <c r="D204">
        <f>"Q"&amp;(INT((A204-1)/13)+1)</f>
        <v/>
      </c>
      <c r="E204" t="inlineStr">
        <is>
          <t>Convenience</t>
        </is>
      </c>
      <c r="F204">
        <f>IFERROR(INDEX(ChFormat,MATCH(E204,ChName,0)),"")</f>
        <v/>
      </c>
      <c r="G204" t="inlineStr">
        <is>
          <t>MB</t>
        </is>
      </c>
      <c r="H204">
        <f>IF(A204&lt;=NWeeks,1,0)</f>
        <v/>
      </c>
      <c r="I204">
        <f>INDEX(ChLaunch,MATCH(E204,ChName,0))</f>
        <v/>
      </c>
      <c r="J204">
        <f>INDEX(ChWeeksFull,MATCH(E204,ChName,0))</f>
        <v/>
      </c>
      <c r="K204">
        <f>INDEX(ChRamp,MATCH(E204,ChName,0))</f>
        <v/>
      </c>
      <c r="L204" s="45">
        <f>MIN(1,MAX(0,(A204-I204+1)*RampSpeed/J204))</f>
        <v/>
      </c>
      <c r="M204" s="45">
        <f>IF(A204&lt;I204,0,IF(K204="S-curve",L204*L204*(3-2*L204),L204))</f>
        <v/>
      </c>
      <c r="N204" s="45">
        <f>1+(INDEX(SeasonIdx,A204)-1)*SeasonAmp</f>
        <v/>
      </c>
      <c r="O204" s="45">
        <f>IFERROR(INDEX(PSPct,MATCH(E204&amp;"|"&amp;G204,PSKey,0)),0)</f>
        <v/>
      </c>
      <c r="P204" s="46">
        <f>INDEX(ChDoorVel,MATCH(E204,ChName,0))*CalibScalar*(1+VelocityUplift)</f>
        <v/>
      </c>
      <c r="Q204" s="46" t="n">
        <v>0</v>
      </c>
      <c r="R204" s="46">
        <f>P204*O204*M204*N204*H204</f>
        <v/>
      </c>
      <c r="S204" s="46">
        <f>R204*INDEX(FmtCansPerCase,MATCH(F204,FmtName,0))</f>
        <v/>
      </c>
      <c r="T204" s="46">
        <f>S204/INDEX(FmtCansPerPack,MATCH(F204,FmtName,0))</f>
        <v/>
      </c>
      <c r="U204" s="47">
        <f>INDEX(ChBaseCP,MATCH(E204,ChName,0))*(1+INDEX(ProvMod,MATCH(G204,ProvCode,0)))*(1+PriceIndex)</f>
        <v/>
      </c>
      <c r="V204" s="47">
        <f>R204*U204*INDEX(FmtBlendedPriceIdx,MATCH(F204,FmtName,0))</f>
        <v/>
      </c>
      <c r="W204" s="47">
        <f>T204*INDEX(ProvSRP,MATCH(G204,ProvCode,0))*(1+PriceIndex)</f>
        <v/>
      </c>
      <c r="X204" s="47">
        <f>IF(GrossBasis="Wholesale",V204,W204)</f>
        <v/>
      </c>
      <c r="Y204" s="47">
        <f>R204*INDEX(FmtBlendedCogs,MATCH(F204,FmtName,0))</f>
        <v/>
      </c>
      <c r="Z204" s="47">
        <f>X204-Y204</f>
        <v/>
      </c>
    </row>
    <row r="205">
      <c r="A205" t="n">
        <v>45</v>
      </c>
      <c r="B205" s="44">
        <f>FiscalStart+(A205-1)*7</f>
        <v/>
      </c>
      <c r="C205">
        <f>TEXT(B205,"mmm yyyy")</f>
        <v/>
      </c>
      <c r="D205">
        <f>"Q"&amp;(INT((A205-1)/13)+1)</f>
        <v/>
      </c>
      <c r="E205" t="inlineStr">
        <is>
          <t>Convenience</t>
        </is>
      </c>
      <c r="F205">
        <f>IFERROR(INDEX(ChFormat,MATCH(E205,ChName,0)),"")</f>
        <v/>
      </c>
      <c r="G205" t="inlineStr">
        <is>
          <t>MB</t>
        </is>
      </c>
      <c r="H205">
        <f>IF(A205&lt;=NWeeks,1,0)</f>
        <v/>
      </c>
      <c r="I205">
        <f>INDEX(ChLaunch,MATCH(E205,ChName,0))</f>
        <v/>
      </c>
      <c r="J205">
        <f>INDEX(ChWeeksFull,MATCH(E205,ChName,0))</f>
        <v/>
      </c>
      <c r="K205">
        <f>INDEX(ChRamp,MATCH(E205,ChName,0))</f>
        <v/>
      </c>
      <c r="L205" s="45">
        <f>MIN(1,MAX(0,(A205-I205+1)*RampSpeed/J205))</f>
        <v/>
      </c>
      <c r="M205" s="45">
        <f>IF(A205&lt;I205,0,IF(K205="S-curve",L205*L205*(3-2*L205),L205))</f>
        <v/>
      </c>
      <c r="N205" s="45">
        <f>1+(INDEX(SeasonIdx,A205)-1)*SeasonAmp</f>
        <v/>
      </c>
      <c r="O205" s="45">
        <f>IFERROR(INDEX(PSPct,MATCH(E205&amp;"|"&amp;G205,PSKey,0)),0)</f>
        <v/>
      </c>
      <c r="P205" s="46">
        <f>INDEX(ChDoorVel,MATCH(E205,ChName,0))*CalibScalar*(1+VelocityUplift)</f>
        <v/>
      </c>
      <c r="Q205" s="46" t="n">
        <v>0</v>
      </c>
      <c r="R205" s="46">
        <f>P205*O205*M205*N205*H205</f>
        <v/>
      </c>
      <c r="S205" s="46">
        <f>R205*INDEX(FmtCansPerCase,MATCH(F205,FmtName,0))</f>
        <v/>
      </c>
      <c r="T205" s="46">
        <f>S205/INDEX(FmtCansPerPack,MATCH(F205,FmtName,0))</f>
        <v/>
      </c>
      <c r="U205" s="47">
        <f>INDEX(ChBaseCP,MATCH(E205,ChName,0))*(1+INDEX(ProvMod,MATCH(G205,ProvCode,0)))*(1+PriceIndex)</f>
        <v/>
      </c>
      <c r="V205" s="47">
        <f>R205*U205*INDEX(FmtBlendedPriceIdx,MATCH(F205,FmtName,0))</f>
        <v/>
      </c>
      <c r="W205" s="47">
        <f>T205*INDEX(ProvSRP,MATCH(G205,ProvCode,0))*(1+PriceIndex)</f>
        <v/>
      </c>
      <c r="X205" s="47">
        <f>IF(GrossBasis="Wholesale",V205,W205)</f>
        <v/>
      </c>
      <c r="Y205" s="47">
        <f>R205*INDEX(FmtBlendedCogs,MATCH(F205,FmtName,0))</f>
        <v/>
      </c>
      <c r="Z205" s="47">
        <f>X205-Y205</f>
        <v/>
      </c>
    </row>
    <row r="206">
      <c r="A206" t="n">
        <v>46</v>
      </c>
      <c r="B206" s="44">
        <f>FiscalStart+(A206-1)*7</f>
        <v/>
      </c>
      <c r="C206">
        <f>TEXT(B206,"mmm yyyy")</f>
        <v/>
      </c>
      <c r="D206">
        <f>"Q"&amp;(INT((A206-1)/13)+1)</f>
        <v/>
      </c>
      <c r="E206" t="inlineStr">
        <is>
          <t>Convenience</t>
        </is>
      </c>
      <c r="F206">
        <f>IFERROR(INDEX(ChFormat,MATCH(E206,ChName,0)),"")</f>
        <v/>
      </c>
      <c r="G206" t="inlineStr">
        <is>
          <t>MB</t>
        </is>
      </c>
      <c r="H206">
        <f>IF(A206&lt;=NWeeks,1,0)</f>
        <v/>
      </c>
      <c r="I206">
        <f>INDEX(ChLaunch,MATCH(E206,ChName,0))</f>
        <v/>
      </c>
      <c r="J206">
        <f>INDEX(ChWeeksFull,MATCH(E206,ChName,0))</f>
        <v/>
      </c>
      <c r="K206">
        <f>INDEX(ChRamp,MATCH(E206,ChName,0))</f>
        <v/>
      </c>
      <c r="L206" s="45">
        <f>MIN(1,MAX(0,(A206-I206+1)*RampSpeed/J206))</f>
        <v/>
      </c>
      <c r="M206" s="45">
        <f>IF(A206&lt;I206,0,IF(K206="S-curve",L206*L206*(3-2*L206),L206))</f>
        <v/>
      </c>
      <c r="N206" s="45">
        <f>1+(INDEX(SeasonIdx,A206)-1)*SeasonAmp</f>
        <v/>
      </c>
      <c r="O206" s="45">
        <f>IFERROR(INDEX(PSPct,MATCH(E206&amp;"|"&amp;G206,PSKey,0)),0)</f>
        <v/>
      </c>
      <c r="P206" s="46">
        <f>INDEX(ChDoorVel,MATCH(E206,ChName,0))*CalibScalar*(1+VelocityUplift)</f>
        <v/>
      </c>
      <c r="Q206" s="46" t="n">
        <v>0</v>
      </c>
      <c r="R206" s="46">
        <f>P206*O206*M206*N206*H206</f>
        <v/>
      </c>
      <c r="S206" s="46">
        <f>R206*INDEX(FmtCansPerCase,MATCH(F206,FmtName,0))</f>
        <v/>
      </c>
      <c r="T206" s="46">
        <f>S206/INDEX(FmtCansPerPack,MATCH(F206,FmtName,0))</f>
        <v/>
      </c>
      <c r="U206" s="47">
        <f>INDEX(ChBaseCP,MATCH(E206,ChName,0))*(1+INDEX(ProvMod,MATCH(G206,ProvCode,0)))*(1+PriceIndex)</f>
        <v/>
      </c>
      <c r="V206" s="47">
        <f>R206*U206*INDEX(FmtBlendedPriceIdx,MATCH(F206,FmtName,0))</f>
        <v/>
      </c>
      <c r="W206" s="47">
        <f>T206*INDEX(ProvSRP,MATCH(G206,ProvCode,0))*(1+PriceIndex)</f>
        <v/>
      </c>
      <c r="X206" s="47">
        <f>IF(GrossBasis="Wholesale",V206,W206)</f>
        <v/>
      </c>
      <c r="Y206" s="47">
        <f>R206*INDEX(FmtBlendedCogs,MATCH(F206,FmtName,0))</f>
        <v/>
      </c>
      <c r="Z206" s="47">
        <f>X206-Y206</f>
        <v/>
      </c>
    </row>
    <row r="207">
      <c r="A207" t="n">
        <v>47</v>
      </c>
      <c r="B207" s="44">
        <f>FiscalStart+(A207-1)*7</f>
        <v/>
      </c>
      <c r="C207">
        <f>TEXT(B207,"mmm yyyy")</f>
        <v/>
      </c>
      <c r="D207">
        <f>"Q"&amp;(INT((A207-1)/13)+1)</f>
        <v/>
      </c>
      <c r="E207" t="inlineStr">
        <is>
          <t>Convenience</t>
        </is>
      </c>
      <c r="F207">
        <f>IFERROR(INDEX(ChFormat,MATCH(E207,ChName,0)),"")</f>
        <v/>
      </c>
      <c r="G207" t="inlineStr">
        <is>
          <t>MB</t>
        </is>
      </c>
      <c r="H207">
        <f>IF(A207&lt;=NWeeks,1,0)</f>
        <v/>
      </c>
      <c r="I207">
        <f>INDEX(ChLaunch,MATCH(E207,ChName,0))</f>
        <v/>
      </c>
      <c r="J207">
        <f>INDEX(ChWeeksFull,MATCH(E207,ChName,0))</f>
        <v/>
      </c>
      <c r="K207">
        <f>INDEX(ChRamp,MATCH(E207,ChName,0))</f>
        <v/>
      </c>
      <c r="L207" s="45">
        <f>MIN(1,MAX(0,(A207-I207+1)*RampSpeed/J207))</f>
        <v/>
      </c>
      <c r="M207" s="45">
        <f>IF(A207&lt;I207,0,IF(K207="S-curve",L207*L207*(3-2*L207),L207))</f>
        <v/>
      </c>
      <c r="N207" s="45">
        <f>1+(INDEX(SeasonIdx,A207)-1)*SeasonAmp</f>
        <v/>
      </c>
      <c r="O207" s="45">
        <f>IFERROR(INDEX(PSPct,MATCH(E207&amp;"|"&amp;G207,PSKey,0)),0)</f>
        <v/>
      </c>
      <c r="P207" s="46">
        <f>INDEX(ChDoorVel,MATCH(E207,ChName,0))*CalibScalar*(1+VelocityUplift)</f>
        <v/>
      </c>
      <c r="Q207" s="46" t="n">
        <v>0</v>
      </c>
      <c r="R207" s="46">
        <f>P207*O207*M207*N207*H207</f>
        <v/>
      </c>
      <c r="S207" s="46">
        <f>R207*INDEX(FmtCansPerCase,MATCH(F207,FmtName,0))</f>
        <v/>
      </c>
      <c r="T207" s="46">
        <f>S207/INDEX(FmtCansPerPack,MATCH(F207,FmtName,0))</f>
        <v/>
      </c>
      <c r="U207" s="47">
        <f>INDEX(ChBaseCP,MATCH(E207,ChName,0))*(1+INDEX(ProvMod,MATCH(G207,ProvCode,0)))*(1+PriceIndex)</f>
        <v/>
      </c>
      <c r="V207" s="47">
        <f>R207*U207*INDEX(FmtBlendedPriceIdx,MATCH(F207,FmtName,0))</f>
        <v/>
      </c>
      <c r="W207" s="47">
        <f>T207*INDEX(ProvSRP,MATCH(G207,ProvCode,0))*(1+PriceIndex)</f>
        <v/>
      </c>
      <c r="X207" s="47">
        <f>IF(GrossBasis="Wholesale",V207,W207)</f>
        <v/>
      </c>
      <c r="Y207" s="47">
        <f>R207*INDEX(FmtBlendedCogs,MATCH(F207,FmtName,0))</f>
        <v/>
      </c>
      <c r="Z207" s="47">
        <f>X207-Y207</f>
        <v/>
      </c>
    </row>
    <row r="208">
      <c r="A208" t="n">
        <v>48</v>
      </c>
      <c r="B208" s="44">
        <f>FiscalStart+(A208-1)*7</f>
        <v/>
      </c>
      <c r="C208">
        <f>TEXT(B208,"mmm yyyy")</f>
        <v/>
      </c>
      <c r="D208">
        <f>"Q"&amp;(INT((A208-1)/13)+1)</f>
        <v/>
      </c>
      <c r="E208" t="inlineStr">
        <is>
          <t>Convenience</t>
        </is>
      </c>
      <c r="F208">
        <f>IFERROR(INDEX(ChFormat,MATCH(E208,ChName,0)),"")</f>
        <v/>
      </c>
      <c r="G208" t="inlineStr">
        <is>
          <t>MB</t>
        </is>
      </c>
      <c r="H208">
        <f>IF(A208&lt;=NWeeks,1,0)</f>
        <v/>
      </c>
      <c r="I208">
        <f>INDEX(ChLaunch,MATCH(E208,ChName,0))</f>
        <v/>
      </c>
      <c r="J208">
        <f>INDEX(ChWeeksFull,MATCH(E208,ChName,0))</f>
        <v/>
      </c>
      <c r="K208">
        <f>INDEX(ChRamp,MATCH(E208,ChName,0))</f>
        <v/>
      </c>
      <c r="L208" s="45">
        <f>MIN(1,MAX(0,(A208-I208+1)*RampSpeed/J208))</f>
        <v/>
      </c>
      <c r="M208" s="45">
        <f>IF(A208&lt;I208,0,IF(K208="S-curve",L208*L208*(3-2*L208),L208))</f>
        <v/>
      </c>
      <c r="N208" s="45">
        <f>1+(INDEX(SeasonIdx,A208)-1)*SeasonAmp</f>
        <v/>
      </c>
      <c r="O208" s="45">
        <f>IFERROR(INDEX(PSPct,MATCH(E208&amp;"|"&amp;G208,PSKey,0)),0)</f>
        <v/>
      </c>
      <c r="P208" s="46">
        <f>INDEX(ChDoorVel,MATCH(E208,ChName,0))*CalibScalar*(1+VelocityUplift)</f>
        <v/>
      </c>
      <c r="Q208" s="46" t="n">
        <v>0</v>
      </c>
      <c r="R208" s="46">
        <f>P208*O208*M208*N208*H208</f>
        <v/>
      </c>
      <c r="S208" s="46">
        <f>R208*INDEX(FmtCansPerCase,MATCH(F208,FmtName,0))</f>
        <v/>
      </c>
      <c r="T208" s="46">
        <f>S208/INDEX(FmtCansPerPack,MATCH(F208,FmtName,0))</f>
        <v/>
      </c>
      <c r="U208" s="47">
        <f>INDEX(ChBaseCP,MATCH(E208,ChName,0))*(1+INDEX(ProvMod,MATCH(G208,ProvCode,0)))*(1+PriceIndex)</f>
        <v/>
      </c>
      <c r="V208" s="47">
        <f>R208*U208*INDEX(FmtBlendedPriceIdx,MATCH(F208,FmtName,0))</f>
        <v/>
      </c>
      <c r="W208" s="47">
        <f>T208*INDEX(ProvSRP,MATCH(G208,ProvCode,0))*(1+PriceIndex)</f>
        <v/>
      </c>
      <c r="X208" s="47">
        <f>IF(GrossBasis="Wholesale",V208,W208)</f>
        <v/>
      </c>
      <c r="Y208" s="47">
        <f>R208*INDEX(FmtBlendedCogs,MATCH(F208,FmtName,0))</f>
        <v/>
      </c>
      <c r="Z208" s="47">
        <f>X208-Y208</f>
        <v/>
      </c>
    </row>
    <row r="209">
      <c r="A209" t="n">
        <v>49</v>
      </c>
      <c r="B209" s="44">
        <f>FiscalStart+(A209-1)*7</f>
        <v/>
      </c>
      <c r="C209">
        <f>TEXT(B209,"mmm yyyy")</f>
        <v/>
      </c>
      <c r="D209">
        <f>"Q"&amp;(INT((A209-1)/13)+1)</f>
        <v/>
      </c>
      <c r="E209" t="inlineStr">
        <is>
          <t>Convenience</t>
        </is>
      </c>
      <c r="F209">
        <f>IFERROR(INDEX(ChFormat,MATCH(E209,ChName,0)),"")</f>
        <v/>
      </c>
      <c r="G209" t="inlineStr">
        <is>
          <t>MB</t>
        </is>
      </c>
      <c r="H209">
        <f>IF(A209&lt;=NWeeks,1,0)</f>
        <v/>
      </c>
      <c r="I209">
        <f>INDEX(ChLaunch,MATCH(E209,ChName,0))</f>
        <v/>
      </c>
      <c r="J209">
        <f>INDEX(ChWeeksFull,MATCH(E209,ChName,0))</f>
        <v/>
      </c>
      <c r="K209">
        <f>INDEX(ChRamp,MATCH(E209,ChName,0))</f>
        <v/>
      </c>
      <c r="L209" s="45">
        <f>MIN(1,MAX(0,(A209-I209+1)*RampSpeed/J209))</f>
        <v/>
      </c>
      <c r="M209" s="45">
        <f>IF(A209&lt;I209,0,IF(K209="S-curve",L209*L209*(3-2*L209),L209))</f>
        <v/>
      </c>
      <c r="N209" s="45">
        <f>1+(INDEX(SeasonIdx,A209)-1)*SeasonAmp</f>
        <v/>
      </c>
      <c r="O209" s="45">
        <f>IFERROR(INDEX(PSPct,MATCH(E209&amp;"|"&amp;G209,PSKey,0)),0)</f>
        <v/>
      </c>
      <c r="P209" s="46">
        <f>INDEX(ChDoorVel,MATCH(E209,ChName,0))*CalibScalar*(1+VelocityUplift)</f>
        <v/>
      </c>
      <c r="Q209" s="46" t="n">
        <v>0</v>
      </c>
      <c r="R209" s="46">
        <f>P209*O209*M209*N209*H209</f>
        <v/>
      </c>
      <c r="S209" s="46">
        <f>R209*INDEX(FmtCansPerCase,MATCH(F209,FmtName,0))</f>
        <v/>
      </c>
      <c r="T209" s="46">
        <f>S209/INDEX(FmtCansPerPack,MATCH(F209,FmtName,0))</f>
        <v/>
      </c>
      <c r="U209" s="47">
        <f>INDEX(ChBaseCP,MATCH(E209,ChName,0))*(1+INDEX(ProvMod,MATCH(G209,ProvCode,0)))*(1+PriceIndex)</f>
        <v/>
      </c>
      <c r="V209" s="47">
        <f>R209*U209*INDEX(FmtBlendedPriceIdx,MATCH(F209,FmtName,0))</f>
        <v/>
      </c>
      <c r="W209" s="47">
        <f>T209*INDEX(ProvSRP,MATCH(G209,ProvCode,0))*(1+PriceIndex)</f>
        <v/>
      </c>
      <c r="X209" s="47">
        <f>IF(GrossBasis="Wholesale",V209,W209)</f>
        <v/>
      </c>
      <c r="Y209" s="47">
        <f>R209*INDEX(FmtBlendedCogs,MATCH(F209,FmtName,0))</f>
        <v/>
      </c>
      <c r="Z209" s="47">
        <f>X209-Y209</f>
        <v/>
      </c>
    </row>
    <row r="210">
      <c r="A210" t="n">
        <v>50</v>
      </c>
      <c r="B210" s="44">
        <f>FiscalStart+(A210-1)*7</f>
        <v/>
      </c>
      <c r="C210">
        <f>TEXT(B210,"mmm yyyy")</f>
        <v/>
      </c>
      <c r="D210">
        <f>"Q"&amp;(INT((A210-1)/13)+1)</f>
        <v/>
      </c>
      <c r="E210" t="inlineStr">
        <is>
          <t>Convenience</t>
        </is>
      </c>
      <c r="F210">
        <f>IFERROR(INDEX(ChFormat,MATCH(E210,ChName,0)),"")</f>
        <v/>
      </c>
      <c r="G210" t="inlineStr">
        <is>
          <t>MB</t>
        </is>
      </c>
      <c r="H210">
        <f>IF(A210&lt;=NWeeks,1,0)</f>
        <v/>
      </c>
      <c r="I210">
        <f>INDEX(ChLaunch,MATCH(E210,ChName,0))</f>
        <v/>
      </c>
      <c r="J210">
        <f>INDEX(ChWeeksFull,MATCH(E210,ChName,0))</f>
        <v/>
      </c>
      <c r="K210">
        <f>INDEX(ChRamp,MATCH(E210,ChName,0))</f>
        <v/>
      </c>
      <c r="L210" s="45">
        <f>MIN(1,MAX(0,(A210-I210+1)*RampSpeed/J210))</f>
        <v/>
      </c>
      <c r="M210" s="45">
        <f>IF(A210&lt;I210,0,IF(K210="S-curve",L210*L210*(3-2*L210),L210))</f>
        <v/>
      </c>
      <c r="N210" s="45">
        <f>1+(INDEX(SeasonIdx,A210)-1)*SeasonAmp</f>
        <v/>
      </c>
      <c r="O210" s="45">
        <f>IFERROR(INDEX(PSPct,MATCH(E210&amp;"|"&amp;G210,PSKey,0)),0)</f>
        <v/>
      </c>
      <c r="P210" s="46">
        <f>INDEX(ChDoorVel,MATCH(E210,ChName,0))*CalibScalar*(1+VelocityUplift)</f>
        <v/>
      </c>
      <c r="Q210" s="46" t="n">
        <v>0</v>
      </c>
      <c r="R210" s="46">
        <f>P210*O210*M210*N210*H210</f>
        <v/>
      </c>
      <c r="S210" s="46">
        <f>R210*INDEX(FmtCansPerCase,MATCH(F210,FmtName,0))</f>
        <v/>
      </c>
      <c r="T210" s="46">
        <f>S210/INDEX(FmtCansPerPack,MATCH(F210,FmtName,0))</f>
        <v/>
      </c>
      <c r="U210" s="47">
        <f>INDEX(ChBaseCP,MATCH(E210,ChName,0))*(1+INDEX(ProvMod,MATCH(G210,ProvCode,0)))*(1+PriceIndex)</f>
        <v/>
      </c>
      <c r="V210" s="47">
        <f>R210*U210*INDEX(FmtBlendedPriceIdx,MATCH(F210,FmtName,0))</f>
        <v/>
      </c>
      <c r="W210" s="47">
        <f>T210*INDEX(ProvSRP,MATCH(G210,ProvCode,0))*(1+PriceIndex)</f>
        <v/>
      </c>
      <c r="X210" s="47">
        <f>IF(GrossBasis="Wholesale",V210,W210)</f>
        <v/>
      </c>
      <c r="Y210" s="47">
        <f>R210*INDEX(FmtBlendedCogs,MATCH(F210,FmtName,0))</f>
        <v/>
      </c>
      <c r="Z210" s="47">
        <f>X210-Y210</f>
        <v/>
      </c>
    </row>
    <row r="211">
      <c r="A211" t="n">
        <v>51</v>
      </c>
      <c r="B211" s="44">
        <f>FiscalStart+(A211-1)*7</f>
        <v/>
      </c>
      <c r="C211">
        <f>TEXT(B211,"mmm yyyy")</f>
        <v/>
      </c>
      <c r="D211">
        <f>"Q"&amp;(INT((A211-1)/13)+1)</f>
        <v/>
      </c>
      <c r="E211" t="inlineStr">
        <is>
          <t>Convenience</t>
        </is>
      </c>
      <c r="F211">
        <f>IFERROR(INDEX(ChFormat,MATCH(E211,ChName,0)),"")</f>
        <v/>
      </c>
      <c r="G211" t="inlineStr">
        <is>
          <t>MB</t>
        </is>
      </c>
      <c r="H211">
        <f>IF(A211&lt;=NWeeks,1,0)</f>
        <v/>
      </c>
      <c r="I211">
        <f>INDEX(ChLaunch,MATCH(E211,ChName,0))</f>
        <v/>
      </c>
      <c r="J211">
        <f>INDEX(ChWeeksFull,MATCH(E211,ChName,0))</f>
        <v/>
      </c>
      <c r="K211">
        <f>INDEX(ChRamp,MATCH(E211,ChName,0))</f>
        <v/>
      </c>
      <c r="L211" s="45">
        <f>MIN(1,MAX(0,(A211-I211+1)*RampSpeed/J211))</f>
        <v/>
      </c>
      <c r="M211" s="45">
        <f>IF(A211&lt;I211,0,IF(K211="S-curve",L211*L211*(3-2*L211),L211))</f>
        <v/>
      </c>
      <c r="N211" s="45">
        <f>1+(INDEX(SeasonIdx,A211)-1)*SeasonAmp</f>
        <v/>
      </c>
      <c r="O211" s="45">
        <f>IFERROR(INDEX(PSPct,MATCH(E211&amp;"|"&amp;G211,PSKey,0)),0)</f>
        <v/>
      </c>
      <c r="P211" s="46">
        <f>INDEX(ChDoorVel,MATCH(E211,ChName,0))*CalibScalar*(1+VelocityUplift)</f>
        <v/>
      </c>
      <c r="Q211" s="46" t="n">
        <v>0</v>
      </c>
      <c r="R211" s="46">
        <f>P211*O211*M211*N211*H211</f>
        <v/>
      </c>
      <c r="S211" s="46">
        <f>R211*INDEX(FmtCansPerCase,MATCH(F211,FmtName,0))</f>
        <v/>
      </c>
      <c r="T211" s="46">
        <f>S211/INDEX(FmtCansPerPack,MATCH(F211,FmtName,0))</f>
        <v/>
      </c>
      <c r="U211" s="47">
        <f>INDEX(ChBaseCP,MATCH(E211,ChName,0))*(1+INDEX(ProvMod,MATCH(G211,ProvCode,0)))*(1+PriceIndex)</f>
        <v/>
      </c>
      <c r="V211" s="47">
        <f>R211*U211*INDEX(FmtBlendedPriceIdx,MATCH(F211,FmtName,0))</f>
        <v/>
      </c>
      <c r="W211" s="47">
        <f>T211*INDEX(ProvSRP,MATCH(G211,ProvCode,0))*(1+PriceIndex)</f>
        <v/>
      </c>
      <c r="X211" s="47">
        <f>IF(GrossBasis="Wholesale",V211,W211)</f>
        <v/>
      </c>
      <c r="Y211" s="47">
        <f>R211*INDEX(FmtBlendedCogs,MATCH(F211,FmtName,0))</f>
        <v/>
      </c>
      <c r="Z211" s="47">
        <f>X211-Y211</f>
        <v/>
      </c>
    </row>
    <row r="212">
      <c r="A212" t="n">
        <v>52</v>
      </c>
      <c r="B212" s="44">
        <f>FiscalStart+(A212-1)*7</f>
        <v/>
      </c>
      <c r="C212">
        <f>TEXT(B212,"mmm yyyy")</f>
        <v/>
      </c>
      <c r="D212">
        <f>"Q"&amp;(INT((A212-1)/13)+1)</f>
        <v/>
      </c>
      <c r="E212" t="inlineStr">
        <is>
          <t>Convenience</t>
        </is>
      </c>
      <c r="F212">
        <f>IFERROR(INDEX(ChFormat,MATCH(E212,ChName,0)),"")</f>
        <v/>
      </c>
      <c r="G212" t="inlineStr">
        <is>
          <t>MB</t>
        </is>
      </c>
      <c r="H212">
        <f>IF(A212&lt;=NWeeks,1,0)</f>
        <v/>
      </c>
      <c r="I212">
        <f>INDEX(ChLaunch,MATCH(E212,ChName,0))</f>
        <v/>
      </c>
      <c r="J212">
        <f>INDEX(ChWeeksFull,MATCH(E212,ChName,0))</f>
        <v/>
      </c>
      <c r="K212">
        <f>INDEX(ChRamp,MATCH(E212,ChName,0))</f>
        <v/>
      </c>
      <c r="L212" s="45">
        <f>MIN(1,MAX(0,(A212-I212+1)*RampSpeed/J212))</f>
        <v/>
      </c>
      <c r="M212" s="45">
        <f>IF(A212&lt;I212,0,IF(K212="S-curve",L212*L212*(3-2*L212),L212))</f>
        <v/>
      </c>
      <c r="N212" s="45">
        <f>1+(INDEX(SeasonIdx,A212)-1)*SeasonAmp</f>
        <v/>
      </c>
      <c r="O212" s="45">
        <f>IFERROR(INDEX(PSPct,MATCH(E212&amp;"|"&amp;G212,PSKey,0)),0)</f>
        <v/>
      </c>
      <c r="P212" s="46">
        <f>INDEX(ChDoorVel,MATCH(E212,ChName,0))*CalibScalar*(1+VelocityUplift)</f>
        <v/>
      </c>
      <c r="Q212" s="46" t="n">
        <v>0</v>
      </c>
      <c r="R212" s="46">
        <f>P212*O212*M212*N212*H212</f>
        <v/>
      </c>
      <c r="S212" s="46">
        <f>R212*INDEX(FmtCansPerCase,MATCH(F212,FmtName,0))</f>
        <v/>
      </c>
      <c r="T212" s="46">
        <f>S212/INDEX(FmtCansPerPack,MATCH(F212,FmtName,0))</f>
        <v/>
      </c>
      <c r="U212" s="47">
        <f>INDEX(ChBaseCP,MATCH(E212,ChName,0))*(1+INDEX(ProvMod,MATCH(G212,ProvCode,0)))*(1+PriceIndex)</f>
        <v/>
      </c>
      <c r="V212" s="47">
        <f>R212*U212*INDEX(FmtBlendedPriceIdx,MATCH(F212,FmtName,0))</f>
        <v/>
      </c>
      <c r="W212" s="47">
        <f>T212*INDEX(ProvSRP,MATCH(G212,ProvCode,0))*(1+PriceIndex)</f>
        <v/>
      </c>
      <c r="X212" s="47">
        <f>IF(GrossBasis="Wholesale",V212,W212)</f>
        <v/>
      </c>
      <c r="Y212" s="47">
        <f>R212*INDEX(FmtBlendedCogs,MATCH(F212,FmtName,0))</f>
        <v/>
      </c>
      <c r="Z212" s="47">
        <f>X212-Y212</f>
        <v/>
      </c>
    </row>
    <row r="213">
      <c r="A213" t="n">
        <v>53</v>
      </c>
      <c r="B213" s="44">
        <f>FiscalStart+(A213-1)*7</f>
        <v/>
      </c>
      <c r="C213">
        <f>TEXT(B213,"mmm yyyy")</f>
        <v/>
      </c>
      <c r="D213">
        <f>"Q"&amp;(INT((A213-1)/13)+1)</f>
        <v/>
      </c>
      <c r="E213" t="inlineStr">
        <is>
          <t>Convenience</t>
        </is>
      </c>
      <c r="F213">
        <f>IFERROR(INDEX(ChFormat,MATCH(E213,ChName,0)),"")</f>
        <v/>
      </c>
      <c r="G213" t="inlineStr">
        <is>
          <t>MB</t>
        </is>
      </c>
      <c r="H213">
        <f>IF(A213&lt;=NWeeks,1,0)</f>
        <v/>
      </c>
      <c r="I213">
        <f>INDEX(ChLaunch,MATCH(E213,ChName,0))</f>
        <v/>
      </c>
      <c r="J213">
        <f>INDEX(ChWeeksFull,MATCH(E213,ChName,0))</f>
        <v/>
      </c>
      <c r="K213">
        <f>INDEX(ChRamp,MATCH(E213,ChName,0))</f>
        <v/>
      </c>
      <c r="L213" s="45">
        <f>MIN(1,MAX(0,(A213-I213+1)*RampSpeed/J213))</f>
        <v/>
      </c>
      <c r="M213" s="45">
        <f>IF(A213&lt;I213,0,IF(K213="S-curve",L213*L213*(3-2*L213),L213))</f>
        <v/>
      </c>
      <c r="N213" s="45">
        <f>1+(INDEX(SeasonIdx,A213)-1)*SeasonAmp</f>
        <v/>
      </c>
      <c r="O213" s="45">
        <f>IFERROR(INDEX(PSPct,MATCH(E213&amp;"|"&amp;G213,PSKey,0)),0)</f>
        <v/>
      </c>
      <c r="P213" s="46">
        <f>INDEX(ChDoorVel,MATCH(E213,ChName,0))*CalibScalar*(1+VelocityUplift)</f>
        <v/>
      </c>
      <c r="Q213" s="46" t="n">
        <v>0</v>
      </c>
      <c r="R213" s="46">
        <f>P213*O213*M213*N213*H213</f>
        <v/>
      </c>
      <c r="S213" s="46">
        <f>R213*INDEX(FmtCansPerCase,MATCH(F213,FmtName,0))</f>
        <v/>
      </c>
      <c r="T213" s="46">
        <f>S213/INDEX(FmtCansPerPack,MATCH(F213,FmtName,0))</f>
        <v/>
      </c>
      <c r="U213" s="47">
        <f>INDEX(ChBaseCP,MATCH(E213,ChName,0))*(1+INDEX(ProvMod,MATCH(G213,ProvCode,0)))*(1+PriceIndex)</f>
        <v/>
      </c>
      <c r="V213" s="47">
        <f>R213*U213*INDEX(FmtBlendedPriceIdx,MATCH(F213,FmtName,0))</f>
        <v/>
      </c>
      <c r="W213" s="47">
        <f>T213*INDEX(ProvSRP,MATCH(G213,ProvCode,0))*(1+PriceIndex)</f>
        <v/>
      </c>
      <c r="X213" s="47">
        <f>IF(GrossBasis="Wholesale",V213,W213)</f>
        <v/>
      </c>
      <c r="Y213" s="47">
        <f>R213*INDEX(FmtBlendedCogs,MATCH(F213,FmtName,0))</f>
        <v/>
      </c>
      <c r="Z213" s="47">
        <f>X213-Y213</f>
        <v/>
      </c>
    </row>
    <row r="214">
      <c r="A214" t="n">
        <v>1</v>
      </c>
      <c r="B214" s="44">
        <f>FiscalStart+(A214-1)*7</f>
        <v/>
      </c>
      <c r="C214">
        <f>TEXT(B214,"mmm yyyy")</f>
        <v/>
      </c>
      <c r="D214">
        <f>"Q"&amp;(INT((A214-1)/13)+1)</f>
        <v/>
      </c>
      <c r="E214" t="inlineStr">
        <is>
          <t>Convenience</t>
        </is>
      </c>
      <c r="F214">
        <f>IFERROR(INDEX(ChFormat,MATCH(E214,ChName,0)),"")</f>
        <v/>
      </c>
      <c r="G214" t="inlineStr">
        <is>
          <t>ON</t>
        </is>
      </c>
      <c r="H214">
        <f>IF(A214&lt;=NWeeks,1,0)</f>
        <v/>
      </c>
      <c r="I214">
        <f>INDEX(ChLaunch,MATCH(E214,ChName,0))</f>
        <v/>
      </c>
      <c r="J214">
        <f>INDEX(ChWeeksFull,MATCH(E214,ChName,0))</f>
        <v/>
      </c>
      <c r="K214">
        <f>INDEX(ChRamp,MATCH(E214,ChName,0))</f>
        <v/>
      </c>
      <c r="L214" s="45">
        <f>MIN(1,MAX(0,(A214-I214+1)*RampSpeed/J214))</f>
        <v/>
      </c>
      <c r="M214" s="45">
        <f>IF(A214&lt;I214,0,IF(K214="S-curve",L214*L214*(3-2*L214),L214))</f>
        <v/>
      </c>
      <c r="N214" s="45">
        <f>1+(INDEX(SeasonIdx,A214)-1)*SeasonAmp</f>
        <v/>
      </c>
      <c r="O214" s="45">
        <f>IFERROR(INDEX(PSPct,MATCH(E214&amp;"|"&amp;G214,PSKey,0)),0)</f>
        <v/>
      </c>
      <c r="P214" s="46">
        <f>INDEX(ChDoorVel,MATCH(E214,ChName,0))*CalibScalar*(1+VelocityUplift)</f>
        <v/>
      </c>
      <c r="Q214" s="46" t="n">
        <v>0</v>
      </c>
      <c r="R214" s="46">
        <f>P214*O214*M214*N214*H214</f>
        <v/>
      </c>
      <c r="S214" s="46">
        <f>R214*INDEX(FmtCansPerCase,MATCH(F214,FmtName,0))</f>
        <v/>
      </c>
      <c r="T214" s="46">
        <f>S214/INDEX(FmtCansPerPack,MATCH(F214,FmtName,0))</f>
        <v/>
      </c>
      <c r="U214" s="47">
        <f>INDEX(ChBaseCP,MATCH(E214,ChName,0))*(1+INDEX(ProvMod,MATCH(G214,ProvCode,0)))*(1+PriceIndex)</f>
        <v/>
      </c>
      <c r="V214" s="47">
        <f>R214*U214*INDEX(FmtBlendedPriceIdx,MATCH(F214,FmtName,0))</f>
        <v/>
      </c>
      <c r="W214" s="47">
        <f>T214*INDEX(ProvSRP,MATCH(G214,ProvCode,0))*(1+PriceIndex)</f>
        <v/>
      </c>
      <c r="X214" s="47">
        <f>IF(GrossBasis="Wholesale",V214,W214)</f>
        <v/>
      </c>
      <c r="Y214" s="47">
        <f>R214*INDEX(FmtBlendedCogs,MATCH(F214,FmtName,0))</f>
        <v/>
      </c>
      <c r="Z214" s="47">
        <f>X214-Y214</f>
        <v/>
      </c>
    </row>
    <row r="215">
      <c r="A215" t="n">
        <v>2</v>
      </c>
      <c r="B215" s="44">
        <f>FiscalStart+(A215-1)*7</f>
        <v/>
      </c>
      <c r="C215">
        <f>TEXT(B215,"mmm yyyy")</f>
        <v/>
      </c>
      <c r="D215">
        <f>"Q"&amp;(INT((A215-1)/13)+1)</f>
        <v/>
      </c>
      <c r="E215" t="inlineStr">
        <is>
          <t>Convenience</t>
        </is>
      </c>
      <c r="F215">
        <f>IFERROR(INDEX(ChFormat,MATCH(E215,ChName,0)),"")</f>
        <v/>
      </c>
      <c r="G215" t="inlineStr">
        <is>
          <t>ON</t>
        </is>
      </c>
      <c r="H215">
        <f>IF(A215&lt;=NWeeks,1,0)</f>
        <v/>
      </c>
      <c r="I215">
        <f>INDEX(ChLaunch,MATCH(E215,ChName,0))</f>
        <v/>
      </c>
      <c r="J215">
        <f>INDEX(ChWeeksFull,MATCH(E215,ChName,0))</f>
        <v/>
      </c>
      <c r="K215">
        <f>INDEX(ChRamp,MATCH(E215,ChName,0))</f>
        <v/>
      </c>
      <c r="L215" s="45">
        <f>MIN(1,MAX(0,(A215-I215+1)*RampSpeed/J215))</f>
        <v/>
      </c>
      <c r="M215" s="45">
        <f>IF(A215&lt;I215,0,IF(K215="S-curve",L215*L215*(3-2*L215),L215))</f>
        <v/>
      </c>
      <c r="N215" s="45">
        <f>1+(INDEX(SeasonIdx,A215)-1)*SeasonAmp</f>
        <v/>
      </c>
      <c r="O215" s="45">
        <f>IFERROR(INDEX(PSPct,MATCH(E215&amp;"|"&amp;G215,PSKey,0)),0)</f>
        <v/>
      </c>
      <c r="P215" s="46">
        <f>INDEX(ChDoorVel,MATCH(E215,ChName,0))*CalibScalar*(1+VelocityUplift)</f>
        <v/>
      </c>
      <c r="Q215" s="46" t="n">
        <v>0</v>
      </c>
      <c r="R215" s="46">
        <f>P215*O215*M215*N215*H215</f>
        <v/>
      </c>
      <c r="S215" s="46">
        <f>R215*INDEX(FmtCansPerCase,MATCH(F215,FmtName,0))</f>
        <v/>
      </c>
      <c r="T215" s="46">
        <f>S215/INDEX(FmtCansPerPack,MATCH(F215,FmtName,0))</f>
        <v/>
      </c>
      <c r="U215" s="47">
        <f>INDEX(ChBaseCP,MATCH(E215,ChName,0))*(1+INDEX(ProvMod,MATCH(G215,ProvCode,0)))*(1+PriceIndex)</f>
        <v/>
      </c>
      <c r="V215" s="47">
        <f>R215*U215*INDEX(FmtBlendedPriceIdx,MATCH(F215,FmtName,0))</f>
        <v/>
      </c>
      <c r="W215" s="47">
        <f>T215*INDEX(ProvSRP,MATCH(G215,ProvCode,0))*(1+PriceIndex)</f>
        <v/>
      </c>
      <c r="X215" s="47">
        <f>IF(GrossBasis="Wholesale",V215,W215)</f>
        <v/>
      </c>
      <c r="Y215" s="47">
        <f>R215*INDEX(FmtBlendedCogs,MATCH(F215,FmtName,0))</f>
        <v/>
      </c>
      <c r="Z215" s="47">
        <f>X215-Y215</f>
        <v/>
      </c>
    </row>
    <row r="216">
      <c r="A216" t="n">
        <v>3</v>
      </c>
      <c r="B216" s="44">
        <f>FiscalStart+(A216-1)*7</f>
        <v/>
      </c>
      <c r="C216">
        <f>TEXT(B216,"mmm yyyy")</f>
        <v/>
      </c>
      <c r="D216">
        <f>"Q"&amp;(INT((A216-1)/13)+1)</f>
        <v/>
      </c>
      <c r="E216" t="inlineStr">
        <is>
          <t>Convenience</t>
        </is>
      </c>
      <c r="F216">
        <f>IFERROR(INDEX(ChFormat,MATCH(E216,ChName,0)),"")</f>
        <v/>
      </c>
      <c r="G216" t="inlineStr">
        <is>
          <t>ON</t>
        </is>
      </c>
      <c r="H216">
        <f>IF(A216&lt;=NWeeks,1,0)</f>
        <v/>
      </c>
      <c r="I216">
        <f>INDEX(ChLaunch,MATCH(E216,ChName,0))</f>
        <v/>
      </c>
      <c r="J216">
        <f>INDEX(ChWeeksFull,MATCH(E216,ChName,0))</f>
        <v/>
      </c>
      <c r="K216">
        <f>INDEX(ChRamp,MATCH(E216,ChName,0))</f>
        <v/>
      </c>
      <c r="L216" s="45">
        <f>MIN(1,MAX(0,(A216-I216+1)*RampSpeed/J216))</f>
        <v/>
      </c>
      <c r="M216" s="45">
        <f>IF(A216&lt;I216,0,IF(K216="S-curve",L216*L216*(3-2*L216),L216))</f>
        <v/>
      </c>
      <c r="N216" s="45">
        <f>1+(INDEX(SeasonIdx,A216)-1)*SeasonAmp</f>
        <v/>
      </c>
      <c r="O216" s="45">
        <f>IFERROR(INDEX(PSPct,MATCH(E216&amp;"|"&amp;G216,PSKey,0)),0)</f>
        <v/>
      </c>
      <c r="P216" s="46">
        <f>INDEX(ChDoorVel,MATCH(E216,ChName,0))*CalibScalar*(1+VelocityUplift)</f>
        <v/>
      </c>
      <c r="Q216" s="46" t="n">
        <v>0</v>
      </c>
      <c r="R216" s="46">
        <f>P216*O216*M216*N216*H216</f>
        <v/>
      </c>
      <c r="S216" s="46">
        <f>R216*INDEX(FmtCansPerCase,MATCH(F216,FmtName,0))</f>
        <v/>
      </c>
      <c r="T216" s="46">
        <f>S216/INDEX(FmtCansPerPack,MATCH(F216,FmtName,0))</f>
        <v/>
      </c>
      <c r="U216" s="47">
        <f>INDEX(ChBaseCP,MATCH(E216,ChName,0))*(1+INDEX(ProvMod,MATCH(G216,ProvCode,0)))*(1+PriceIndex)</f>
        <v/>
      </c>
      <c r="V216" s="47">
        <f>R216*U216*INDEX(FmtBlendedPriceIdx,MATCH(F216,FmtName,0))</f>
        <v/>
      </c>
      <c r="W216" s="47">
        <f>T216*INDEX(ProvSRP,MATCH(G216,ProvCode,0))*(1+PriceIndex)</f>
        <v/>
      </c>
      <c r="X216" s="47">
        <f>IF(GrossBasis="Wholesale",V216,W216)</f>
        <v/>
      </c>
      <c r="Y216" s="47">
        <f>R216*INDEX(FmtBlendedCogs,MATCH(F216,FmtName,0))</f>
        <v/>
      </c>
      <c r="Z216" s="47">
        <f>X216-Y216</f>
        <v/>
      </c>
    </row>
    <row r="217">
      <c r="A217" t="n">
        <v>4</v>
      </c>
      <c r="B217" s="44">
        <f>FiscalStart+(A217-1)*7</f>
        <v/>
      </c>
      <c r="C217">
        <f>TEXT(B217,"mmm yyyy")</f>
        <v/>
      </c>
      <c r="D217">
        <f>"Q"&amp;(INT((A217-1)/13)+1)</f>
        <v/>
      </c>
      <c r="E217" t="inlineStr">
        <is>
          <t>Convenience</t>
        </is>
      </c>
      <c r="F217">
        <f>IFERROR(INDEX(ChFormat,MATCH(E217,ChName,0)),"")</f>
        <v/>
      </c>
      <c r="G217" t="inlineStr">
        <is>
          <t>ON</t>
        </is>
      </c>
      <c r="H217">
        <f>IF(A217&lt;=NWeeks,1,0)</f>
        <v/>
      </c>
      <c r="I217">
        <f>INDEX(ChLaunch,MATCH(E217,ChName,0))</f>
        <v/>
      </c>
      <c r="J217">
        <f>INDEX(ChWeeksFull,MATCH(E217,ChName,0))</f>
        <v/>
      </c>
      <c r="K217">
        <f>INDEX(ChRamp,MATCH(E217,ChName,0))</f>
        <v/>
      </c>
      <c r="L217" s="45">
        <f>MIN(1,MAX(0,(A217-I217+1)*RampSpeed/J217))</f>
        <v/>
      </c>
      <c r="M217" s="45">
        <f>IF(A217&lt;I217,0,IF(K217="S-curve",L217*L217*(3-2*L217),L217))</f>
        <v/>
      </c>
      <c r="N217" s="45">
        <f>1+(INDEX(SeasonIdx,A217)-1)*SeasonAmp</f>
        <v/>
      </c>
      <c r="O217" s="45">
        <f>IFERROR(INDEX(PSPct,MATCH(E217&amp;"|"&amp;G217,PSKey,0)),0)</f>
        <v/>
      </c>
      <c r="P217" s="46">
        <f>INDEX(ChDoorVel,MATCH(E217,ChName,0))*CalibScalar*(1+VelocityUplift)</f>
        <v/>
      </c>
      <c r="Q217" s="46" t="n">
        <v>0</v>
      </c>
      <c r="R217" s="46">
        <f>P217*O217*M217*N217*H217</f>
        <v/>
      </c>
      <c r="S217" s="46">
        <f>R217*INDEX(FmtCansPerCase,MATCH(F217,FmtName,0))</f>
        <v/>
      </c>
      <c r="T217" s="46">
        <f>S217/INDEX(FmtCansPerPack,MATCH(F217,FmtName,0))</f>
        <v/>
      </c>
      <c r="U217" s="47">
        <f>INDEX(ChBaseCP,MATCH(E217,ChName,0))*(1+INDEX(ProvMod,MATCH(G217,ProvCode,0)))*(1+PriceIndex)</f>
        <v/>
      </c>
      <c r="V217" s="47">
        <f>R217*U217*INDEX(FmtBlendedPriceIdx,MATCH(F217,FmtName,0))</f>
        <v/>
      </c>
      <c r="W217" s="47">
        <f>T217*INDEX(ProvSRP,MATCH(G217,ProvCode,0))*(1+PriceIndex)</f>
        <v/>
      </c>
      <c r="X217" s="47">
        <f>IF(GrossBasis="Wholesale",V217,W217)</f>
        <v/>
      </c>
      <c r="Y217" s="47">
        <f>R217*INDEX(FmtBlendedCogs,MATCH(F217,FmtName,0))</f>
        <v/>
      </c>
      <c r="Z217" s="47">
        <f>X217-Y217</f>
        <v/>
      </c>
    </row>
    <row r="218">
      <c r="A218" t="n">
        <v>5</v>
      </c>
      <c r="B218" s="44">
        <f>FiscalStart+(A218-1)*7</f>
        <v/>
      </c>
      <c r="C218">
        <f>TEXT(B218,"mmm yyyy")</f>
        <v/>
      </c>
      <c r="D218">
        <f>"Q"&amp;(INT((A218-1)/13)+1)</f>
        <v/>
      </c>
      <c r="E218" t="inlineStr">
        <is>
          <t>Convenience</t>
        </is>
      </c>
      <c r="F218">
        <f>IFERROR(INDEX(ChFormat,MATCH(E218,ChName,0)),"")</f>
        <v/>
      </c>
      <c r="G218" t="inlineStr">
        <is>
          <t>ON</t>
        </is>
      </c>
      <c r="H218">
        <f>IF(A218&lt;=NWeeks,1,0)</f>
        <v/>
      </c>
      <c r="I218">
        <f>INDEX(ChLaunch,MATCH(E218,ChName,0))</f>
        <v/>
      </c>
      <c r="J218">
        <f>INDEX(ChWeeksFull,MATCH(E218,ChName,0))</f>
        <v/>
      </c>
      <c r="K218">
        <f>INDEX(ChRamp,MATCH(E218,ChName,0))</f>
        <v/>
      </c>
      <c r="L218" s="45">
        <f>MIN(1,MAX(0,(A218-I218+1)*RampSpeed/J218))</f>
        <v/>
      </c>
      <c r="M218" s="45">
        <f>IF(A218&lt;I218,0,IF(K218="S-curve",L218*L218*(3-2*L218),L218))</f>
        <v/>
      </c>
      <c r="N218" s="45">
        <f>1+(INDEX(SeasonIdx,A218)-1)*SeasonAmp</f>
        <v/>
      </c>
      <c r="O218" s="45">
        <f>IFERROR(INDEX(PSPct,MATCH(E218&amp;"|"&amp;G218,PSKey,0)),0)</f>
        <v/>
      </c>
      <c r="P218" s="46">
        <f>INDEX(ChDoorVel,MATCH(E218,ChName,0))*CalibScalar*(1+VelocityUplift)</f>
        <v/>
      </c>
      <c r="Q218" s="46" t="n">
        <v>0</v>
      </c>
      <c r="R218" s="46">
        <f>P218*O218*M218*N218*H218</f>
        <v/>
      </c>
      <c r="S218" s="46">
        <f>R218*INDEX(FmtCansPerCase,MATCH(F218,FmtName,0))</f>
        <v/>
      </c>
      <c r="T218" s="46">
        <f>S218/INDEX(FmtCansPerPack,MATCH(F218,FmtName,0))</f>
        <v/>
      </c>
      <c r="U218" s="47">
        <f>INDEX(ChBaseCP,MATCH(E218,ChName,0))*(1+INDEX(ProvMod,MATCH(G218,ProvCode,0)))*(1+PriceIndex)</f>
        <v/>
      </c>
      <c r="V218" s="47">
        <f>R218*U218*INDEX(FmtBlendedPriceIdx,MATCH(F218,FmtName,0))</f>
        <v/>
      </c>
      <c r="W218" s="47">
        <f>T218*INDEX(ProvSRP,MATCH(G218,ProvCode,0))*(1+PriceIndex)</f>
        <v/>
      </c>
      <c r="X218" s="47">
        <f>IF(GrossBasis="Wholesale",V218,W218)</f>
        <v/>
      </c>
      <c r="Y218" s="47">
        <f>R218*INDEX(FmtBlendedCogs,MATCH(F218,FmtName,0))</f>
        <v/>
      </c>
      <c r="Z218" s="47">
        <f>X218-Y218</f>
        <v/>
      </c>
    </row>
    <row r="219">
      <c r="A219" t="n">
        <v>6</v>
      </c>
      <c r="B219" s="44">
        <f>FiscalStart+(A219-1)*7</f>
        <v/>
      </c>
      <c r="C219">
        <f>TEXT(B219,"mmm yyyy")</f>
        <v/>
      </c>
      <c r="D219">
        <f>"Q"&amp;(INT((A219-1)/13)+1)</f>
        <v/>
      </c>
      <c r="E219" t="inlineStr">
        <is>
          <t>Convenience</t>
        </is>
      </c>
      <c r="F219">
        <f>IFERROR(INDEX(ChFormat,MATCH(E219,ChName,0)),"")</f>
        <v/>
      </c>
      <c r="G219" t="inlineStr">
        <is>
          <t>ON</t>
        </is>
      </c>
      <c r="H219">
        <f>IF(A219&lt;=NWeeks,1,0)</f>
        <v/>
      </c>
      <c r="I219">
        <f>INDEX(ChLaunch,MATCH(E219,ChName,0))</f>
        <v/>
      </c>
      <c r="J219">
        <f>INDEX(ChWeeksFull,MATCH(E219,ChName,0))</f>
        <v/>
      </c>
      <c r="K219">
        <f>INDEX(ChRamp,MATCH(E219,ChName,0))</f>
        <v/>
      </c>
      <c r="L219" s="45">
        <f>MIN(1,MAX(0,(A219-I219+1)*RampSpeed/J219))</f>
        <v/>
      </c>
      <c r="M219" s="45">
        <f>IF(A219&lt;I219,0,IF(K219="S-curve",L219*L219*(3-2*L219),L219))</f>
        <v/>
      </c>
      <c r="N219" s="45">
        <f>1+(INDEX(SeasonIdx,A219)-1)*SeasonAmp</f>
        <v/>
      </c>
      <c r="O219" s="45">
        <f>IFERROR(INDEX(PSPct,MATCH(E219&amp;"|"&amp;G219,PSKey,0)),0)</f>
        <v/>
      </c>
      <c r="P219" s="46">
        <f>INDEX(ChDoorVel,MATCH(E219,ChName,0))*CalibScalar*(1+VelocityUplift)</f>
        <v/>
      </c>
      <c r="Q219" s="46" t="n">
        <v>0</v>
      </c>
      <c r="R219" s="46">
        <f>P219*O219*M219*N219*H219</f>
        <v/>
      </c>
      <c r="S219" s="46">
        <f>R219*INDEX(FmtCansPerCase,MATCH(F219,FmtName,0))</f>
        <v/>
      </c>
      <c r="T219" s="46">
        <f>S219/INDEX(FmtCansPerPack,MATCH(F219,FmtName,0))</f>
        <v/>
      </c>
      <c r="U219" s="47">
        <f>INDEX(ChBaseCP,MATCH(E219,ChName,0))*(1+INDEX(ProvMod,MATCH(G219,ProvCode,0)))*(1+PriceIndex)</f>
        <v/>
      </c>
      <c r="V219" s="47">
        <f>R219*U219*INDEX(FmtBlendedPriceIdx,MATCH(F219,FmtName,0))</f>
        <v/>
      </c>
      <c r="W219" s="47">
        <f>T219*INDEX(ProvSRP,MATCH(G219,ProvCode,0))*(1+PriceIndex)</f>
        <v/>
      </c>
      <c r="X219" s="47">
        <f>IF(GrossBasis="Wholesale",V219,W219)</f>
        <v/>
      </c>
      <c r="Y219" s="47">
        <f>R219*INDEX(FmtBlendedCogs,MATCH(F219,FmtName,0))</f>
        <v/>
      </c>
      <c r="Z219" s="47">
        <f>X219-Y219</f>
        <v/>
      </c>
    </row>
    <row r="220">
      <c r="A220" t="n">
        <v>7</v>
      </c>
      <c r="B220" s="44">
        <f>FiscalStart+(A220-1)*7</f>
        <v/>
      </c>
      <c r="C220">
        <f>TEXT(B220,"mmm yyyy")</f>
        <v/>
      </c>
      <c r="D220">
        <f>"Q"&amp;(INT((A220-1)/13)+1)</f>
        <v/>
      </c>
      <c r="E220" t="inlineStr">
        <is>
          <t>Convenience</t>
        </is>
      </c>
      <c r="F220">
        <f>IFERROR(INDEX(ChFormat,MATCH(E220,ChName,0)),"")</f>
        <v/>
      </c>
      <c r="G220" t="inlineStr">
        <is>
          <t>ON</t>
        </is>
      </c>
      <c r="H220">
        <f>IF(A220&lt;=NWeeks,1,0)</f>
        <v/>
      </c>
      <c r="I220">
        <f>INDEX(ChLaunch,MATCH(E220,ChName,0))</f>
        <v/>
      </c>
      <c r="J220">
        <f>INDEX(ChWeeksFull,MATCH(E220,ChName,0))</f>
        <v/>
      </c>
      <c r="K220">
        <f>INDEX(ChRamp,MATCH(E220,ChName,0))</f>
        <v/>
      </c>
      <c r="L220" s="45">
        <f>MIN(1,MAX(0,(A220-I220+1)*RampSpeed/J220))</f>
        <v/>
      </c>
      <c r="M220" s="45">
        <f>IF(A220&lt;I220,0,IF(K220="S-curve",L220*L220*(3-2*L220),L220))</f>
        <v/>
      </c>
      <c r="N220" s="45">
        <f>1+(INDEX(SeasonIdx,A220)-1)*SeasonAmp</f>
        <v/>
      </c>
      <c r="O220" s="45">
        <f>IFERROR(INDEX(PSPct,MATCH(E220&amp;"|"&amp;G220,PSKey,0)),0)</f>
        <v/>
      </c>
      <c r="P220" s="46">
        <f>INDEX(ChDoorVel,MATCH(E220,ChName,0))*CalibScalar*(1+VelocityUplift)</f>
        <v/>
      </c>
      <c r="Q220" s="46" t="n">
        <v>0</v>
      </c>
      <c r="R220" s="46">
        <f>P220*O220*M220*N220*H220</f>
        <v/>
      </c>
      <c r="S220" s="46">
        <f>R220*INDEX(FmtCansPerCase,MATCH(F220,FmtName,0))</f>
        <v/>
      </c>
      <c r="T220" s="46">
        <f>S220/INDEX(FmtCansPerPack,MATCH(F220,FmtName,0))</f>
        <v/>
      </c>
      <c r="U220" s="47">
        <f>INDEX(ChBaseCP,MATCH(E220,ChName,0))*(1+INDEX(ProvMod,MATCH(G220,ProvCode,0)))*(1+PriceIndex)</f>
        <v/>
      </c>
      <c r="V220" s="47">
        <f>R220*U220*INDEX(FmtBlendedPriceIdx,MATCH(F220,FmtName,0))</f>
        <v/>
      </c>
      <c r="W220" s="47">
        <f>T220*INDEX(ProvSRP,MATCH(G220,ProvCode,0))*(1+PriceIndex)</f>
        <v/>
      </c>
      <c r="X220" s="47">
        <f>IF(GrossBasis="Wholesale",V220,W220)</f>
        <v/>
      </c>
      <c r="Y220" s="47">
        <f>R220*INDEX(FmtBlendedCogs,MATCH(F220,FmtName,0))</f>
        <v/>
      </c>
      <c r="Z220" s="47">
        <f>X220-Y220</f>
        <v/>
      </c>
    </row>
    <row r="221">
      <c r="A221" t="n">
        <v>8</v>
      </c>
      <c r="B221" s="44">
        <f>FiscalStart+(A221-1)*7</f>
        <v/>
      </c>
      <c r="C221">
        <f>TEXT(B221,"mmm yyyy")</f>
        <v/>
      </c>
      <c r="D221">
        <f>"Q"&amp;(INT((A221-1)/13)+1)</f>
        <v/>
      </c>
      <c r="E221" t="inlineStr">
        <is>
          <t>Convenience</t>
        </is>
      </c>
      <c r="F221">
        <f>IFERROR(INDEX(ChFormat,MATCH(E221,ChName,0)),"")</f>
        <v/>
      </c>
      <c r="G221" t="inlineStr">
        <is>
          <t>ON</t>
        </is>
      </c>
      <c r="H221">
        <f>IF(A221&lt;=NWeeks,1,0)</f>
        <v/>
      </c>
      <c r="I221">
        <f>INDEX(ChLaunch,MATCH(E221,ChName,0))</f>
        <v/>
      </c>
      <c r="J221">
        <f>INDEX(ChWeeksFull,MATCH(E221,ChName,0))</f>
        <v/>
      </c>
      <c r="K221">
        <f>INDEX(ChRamp,MATCH(E221,ChName,0))</f>
        <v/>
      </c>
      <c r="L221" s="45">
        <f>MIN(1,MAX(0,(A221-I221+1)*RampSpeed/J221))</f>
        <v/>
      </c>
      <c r="M221" s="45">
        <f>IF(A221&lt;I221,0,IF(K221="S-curve",L221*L221*(3-2*L221),L221))</f>
        <v/>
      </c>
      <c r="N221" s="45">
        <f>1+(INDEX(SeasonIdx,A221)-1)*SeasonAmp</f>
        <v/>
      </c>
      <c r="O221" s="45">
        <f>IFERROR(INDEX(PSPct,MATCH(E221&amp;"|"&amp;G221,PSKey,0)),0)</f>
        <v/>
      </c>
      <c r="P221" s="46">
        <f>INDEX(ChDoorVel,MATCH(E221,ChName,0))*CalibScalar*(1+VelocityUplift)</f>
        <v/>
      </c>
      <c r="Q221" s="46" t="n">
        <v>0</v>
      </c>
      <c r="R221" s="46">
        <f>P221*O221*M221*N221*H221</f>
        <v/>
      </c>
      <c r="S221" s="46">
        <f>R221*INDEX(FmtCansPerCase,MATCH(F221,FmtName,0))</f>
        <v/>
      </c>
      <c r="T221" s="46">
        <f>S221/INDEX(FmtCansPerPack,MATCH(F221,FmtName,0))</f>
        <v/>
      </c>
      <c r="U221" s="47">
        <f>INDEX(ChBaseCP,MATCH(E221,ChName,0))*(1+INDEX(ProvMod,MATCH(G221,ProvCode,0)))*(1+PriceIndex)</f>
        <v/>
      </c>
      <c r="V221" s="47">
        <f>R221*U221*INDEX(FmtBlendedPriceIdx,MATCH(F221,FmtName,0))</f>
        <v/>
      </c>
      <c r="W221" s="47">
        <f>T221*INDEX(ProvSRP,MATCH(G221,ProvCode,0))*(1+PriceIndex)</f>
        <v/>
      </c>
      <c r="X221" s="47">
        <f>IF(GrossBasis="Wholesale",V221,W221)</f>
        <v/>
      </c>
      <c r="Y221" s="47">
        <f>R221*INDEX(FmtBlendedCogs,MATCH(F221,FmtName,0))</f>
        <v/>
      </c>
      <c r="Z221" s="47">
        <f>X221-Y221</f>
        <v/>
      </c>
    </row>
    <row r="222">
      <c r="A222" t="n">
        <v>9</v>
      </c>
      <c r="B222" s="44">
        <f>FiscalStart+(A222-1)*7</f>
        <v/>
      </c>
      <c r="C222">
        <f>TEXT(B222,"mmm yyyy")</f>
        <v/>
      </c>
      <c r="D222">
        <f>"Q"&amp;(INT((A222-1)/13)+1)</f>
        <v/>
      </c>
      <c r="E222" t="inlineStr">
        <is>
          <t>Convenience</t>
        </is>
      </c>
      <c r="F222">
        <f>IFERROR(INDEX(ChFormat,MATCH(E222,ChName,0)),"")</f>
        <v/>
      </c>
      <c r="G222" t="inlineStr">
        <is>
          <t>ON</t>
        </is>
      </c>
      <c r="H222">
        <f>IF(A222&lt;=NWeeks,1,0)</f>
        <v/>
      </c>
      <c r="I222">
        <f>INDEX(ChLaunch,MATCH(E222,ChName,0))</f>
        <v/>
      </c>
      <c r="J222">
        <f>INDEX(ChWeeksFull,MATCH(E222,ChName,0))</f>
        <v/>
      </c>
      <c r="K222">
        <f>INDEX(ChRamp,MATCH(E222,ChName,0))</f>
        <v/>
      </c>
      <c r="L222" s="45">
        <f>MIN(1,MAX(0,(A222-I222+1)*RampSpeed/J222))</f>
        <v/>
      </c>
      <c r="M222" s="45">
        <f>IF(A222&lt;I222,0,IF(K222="S-curve",L222*L222*(3-2*L222),L222))</f>
        <v/>
      </c>
      <c r="N222" s="45">
        <f>1+(INDEX(SeasonIdx,A222)-1)*SeasonAmp</f>
        <v/>
      </c>
      <c r="O222" s="45">
        <f>IFERROR(INDEX(PSPct,MATCH(E222&amp;"|"&amp;G222,PSKey,0)),0)</f>
        <v/>
      </c>
      <c r="P222" s="46">
        <f>INDEX(ChDoorVel,MATCH(E222,ChName,0))*CalibScalar*(1+VelocityUplift)</f>
        <v/>
      </c>
      <c r="Q222" s="46" t="n">
        <v>0</v>
      </c>
      <c r="R222" s="46">
        <f>P222*O222*M222*N222*H222</f>
        <v/>
      </c>
      <c r="S222" s="46">
        <f>R222*INDEX(FmtCansPerCase,MATCH(F222,FmtName,0))</f>
        <v/>
      </c>
      <c r="T222" s="46">
        <f>S222/INDEX(FmtCansPerPack,MATCH(F222,FmtName,0))</f>
        <v/>
      </c>
      <c r="U222" s="47">
        <f>INDEX(ChBaseCP,MATCH(E222,ChName,0))*(1+INDEX(ProvMod,MATCH(G222,ProvCode,0)))*(1+PriceIndex)</f>
        <v/>
      </c>
      <c r="V222" s="47">
        <f>R222*U222*INDEX(FmtBlendedPriceIdx,MATCH(F222,FmtName,0))</f>
        <v/>
      </c>
      <c r="W222" s="47">
        <f>T222*INDEX(ProvSRP,MATCH(G222,ProvCode,0))*(1+PriceIndex)</f>
        <v/>
      </c>
      <c r="X222" s="47">
        <f>IF(GrossBasis="Wholesale",V222,W222)</f>
        <v/>
      </c>
      <c r="Y222" s="47">
        <f>R222*INDEX(FmtBlendedCogs,MATCH(F222,FmtName,0))</f>
        <v/>
      </c>
      <c r="Z222" s="47">
        <f>X222-Y222</f>
        <v/>
      </c>
    </row>
    <row r="223">
      <c r="A223" t="n">
        <v>10</v>
      </c>
      <c r="B223" s="44">
        <f>FiscalStart+(A223-1)*7</f>
        <v/>
      </c>
      <c r="C223">
        <f>TEXT(B223,"mmm yyyy")</f>
        <v/>
      </c>
      <c r="D223">
        <f>"Q"&amp;(INT((A223-1)/13)+1)</f>
        <v/>
      </c>
      <c r="E223" t="inlineStr">
        <is>
          <t>Convenience</t>
        </is>
      </c>
      <c r="F223">
        <f>IFERROR(INDEX(ChFormat,MATCH(E223,ChName,0)),"")</f>
        <v/>
      </c>
      <c r="G223" t="inlineStr">
        <is>
          <t>ON</t>
        </is>
      </c>
      <c r="H223">
        <f>IF(A223&lt;=NWeeks,1,0)</f>
        <v/>
      </c>
      <c r="I223">
        <f>INDEX(ChLaunch,MATCH(E223,ChName,0))</f>
        <v/>
      </c>
      <c r="J223">
        <f>INDEX(ChWeeksFull,MATCH(E223,ChName,0))</f>
        <v/>
      </c>
      <c r="K223">
        <f>INDEX(ChRamp,MATCH(E223,ChName,0))</f>
        <v/>
      </c>
      <c r="L223" s="45">
        <f>MIN(1,MAX(0,(A223-I223+1)*RampSpeed/J223))</f>
        <v/>
      </c>
      <c r="M223" s="45">
        <f>IF(A223&lt;I223,0,IF(K223="S-curve",L223*L223*(3-2*L223),L223))</f>
        <v/>
      </c>
      <c r="N223" s="45">
        <f>1+(INDEX(SeasonIdx,A223)-1)*SeasonAmp</f>
        <v/>
      </c>
      <c r="O223" s="45">
        <f>IFERROR(INDEX(PSPct,MATCH(E223&amp;"|"&amp;G223,PSKey,0)),0)</f>
        <v/>
      </c>
      <c r="P223" s="46">
        <f>INDEX(ChDoorVel,MATCH(E223,ChName,0))*CalibScalar*(1+VelocityUplift)</f>
        <v/>
      </c>
      <c r="Q223" s="46" t="n">
        <v>0</v>
      </c>
      <c r="R223" s="46">
        <f>P223*O223*M223*N223*H223</f>
        <v/>
      </c>
      <c r="S223" s="46">
        <f>R223*INDEX(FmtCansPerCase,MATCH(F223,FmtName,0))</f>
        <v/>
      </c>
      <c r="T223" s="46">
        <f>S223/INDEX(FmtCansPerPack,MATCH(F223,FmtName,0))</f>
        <v/>
      </c>
      <c r="U223" s="47">
        <f>INDEX(ChBaseCP,MATCH(E223,ChName,0))*(1+INDEX(ProvMod,MATCH(G223,ProvCode,0)))*(1+PriceIndex)</f>
        <v/>
      </c>
      <c r="V223" s="47">
        <f>R223*U223*INDEX(FmtBlendedPriceIdx,MATCH(F223,FmtName,0))</f>
        <v/>
      </c>
      <c r="W223" s="47">
        <f>T223*INDEX(ProvSRP,MATCH(G223,ProvCode,0))*(1+PriceIndex)</f>
        <v/>
      </c>
      <c r="X223" s="47">
        <f>IF(GrossBasis="Wholesale",V223,W223)</f>
        <v/>
      </c>
      <c r="Y223" s="47">
        <f>R223*INDEX(FmtBlendedCogs,MATCH(F223,FmtName,0))</f>
        <v/>
      </c>
      <c r="Z223" s="47">
        <f>X223-Y223</f>
        <v/>
      </c>
    </row>
    <row r="224">
      <c r="A224" t="n">
        <v>11</v>
      </c>
      <c r="B224" s="44">
        <f>FiscalStart+(A224-1)*7</f>
        <v/>
      </c>
      <c r="C224">
        <f>TEXT(B224,"mmm yyyy")</f>
        <v/>
      </c>
      <c r="D224">
        <f>"Q"&amp;(INT((A224-1)/13)+1)</f>
        <v/>
      </c>
      <c r="E224" t="inlineStr">
        <is>
          <t>Convenience</t>
        </is>
      </c>
      <c r="F224">
        <f>IFERROR(INDEX(ChFormat,MATCH(E224,ChName,0)),"")</f>
        <v/>
      </c>
      <c r="G224" t="inlineStr">
        <is>
          <t>ON</t>
        </is>
      </c>
      <c r="H224">
        <f>IF(A224&lt;=NWeeks,1,0)</f>
        <v/>
      </c>
      <c r="I224">
        <f>INDEX(ChLaunch,MATCH(E224,ChName,0))</f>
        <v/>
      </c>
      <c r="J224">
        <f>INDEX(ChWeeksFull,MATCH(E224,ChName,0))</f>
        <v/>
      </c>
      <c r="K224">
        <f>INDEX(ChRamp,MATCH(E224,ChName,0))</f>
        <v/>
      </c>
      <c r="L224" s="45">
        <f>MIN(1,MAX(0,(A224-I224+1)*RampSpeed/J224))</f>
        <v/>
      </c>
      <c r="M224" s="45">
        <f>IF(A224&lt;I224,0,IF(K224="S-curve",L224*L224*(3-2*L224),L224))</f>
        <v/>
      </c>
      <c r="N224" s="45">
        <f>1+(INDEX(SeasonIdx,A224)-1)*SeasonAmp</f>
        <v/>
      </c>
      <c r="O224" s="45">
        <f>IFERROR(INDEX(PSPct,MATCH(E224&amp;"|"&amp;G224,PSKey,0)),0)</f>
        <v/>
      </c>
      <c r="P224" s="46">
        <f>INDEX(ChDoorVel,MATCH(E224,ChName,0))*CalibScalar*(1+VelocityUplift)</f>
        <v/>
      </c>
      <c r="Q224" s="46" t="n">
        <v>0</v>
      </c>
      <c r="R224" s="46">
        <f>P224*O224*M224*N224*H224</f>
        <v/>
      </c>
      <c r="S224" s="46">
        <f>R224*INDEX(FmtCansPerCase,MATCH(F224,FmtName,0))</f>
        <v/>
      </c>
      <c r="T224" s="46">
        <f>S224/INDEX(FmtCansPerPack,MATCH(F224,FmtName,0))</f>
        <v/>
      </c>
      <c r="U224" s="47">
        <f>INDEX(ChBaseCP,MATCH(E224,ChName,0))*(1+INDEX(ProvMod,MATCH(G224,ProvCode,0)))*(1+PriceIndex)</f>
        <v/>
      </c>
      <c r="V224" s="47">
        <f>R224*U224*INDEX(FmtBlendedPriceIdx,MATCH(F224,FmtName,0))</f>
        <v/>
      </c>
      <c r="W224" s="47">
        <f>T224*INDEX(ProvSRP,MATCH(G224,ProvCode,0))*(1+PriceIndex)</f>
        <v/>
      </c>
      <c r="X224" s="47">
        <f>IF(GrossBasis="Wholesale",V224,W224)</f>
        <v/>
      </c>
      <c r="Y224" s="47">
        <f>R224*INDEX(FmtBlendedCogs,MATCH(F224,FmtName,0))</f>
        <v/>
      </c>
      <c r="Z224" s="47">
        <f>X224-Y224</f>
        <v/>
      </c>
    </row>
    <row r="225">
      <c r="A225" t="n">
        <v>12</v>
      </c>
      <c r="B225" s="44">
        <f>FiscalStart+(A225-1)*7</f>
        <v/>
      </c>
      <c r="C225">
        <f>TEXT(B225,"mmm yyyy")</f>
        <v/>
      </c>
      <c r="D225">
        <f>"Q"&amp;(INT((A225-1)/13)+1)</f>
        <v/>
      </c>
      <c r="E225" t="inlineStr">
        <is>
          <t>Convenience</t>
        </is>
      </c>
      <c r="F225">
        <f>IFERROR(INDEX(ChFormat,MATCH(E225,ChName,0)),"")</f>
        <v/>
      </c>
      <c r="G225" t="inlineStr">
        <is>
          <t>ON</t>
        </is>
      </c>
      <c r="H225">
        <f>IF(A225&lt;=NWeeks,1,0)</f>
        <v/>
      </c>
      <c r="I225">
        <f>INDEX(ChLaunch,MATCH(E225,ChName,0))</f>
        <v/>
      </c>
      <c r="J225">
        <f>INDEX(ChWeeksFull,MATCH(E225,ChName,0))</f>
        <v/>
      </c>
      <c r="K225">
        <f>INDEX(ChRamp,MATCH(E225,ChName,0))</f>
        <v/>
      </c>
      <c r="L225" s="45">
        <f>MIN(1,MAX(0,(A225-I225+1)*RampSpeed/J225))</f>
        <v/>
      </c>
      <c r="M225" s="45">
        <f>IF(A225&lt;I225,0,IF(K225="S-curve",L225*L225*(3-2*L225),L225))</f>
        <v/>
      </c>
      <c r="N225" s="45">
        <f>1+(INDEX(SeasonIdx,A225)-1)*SeasonAmp</f>
        <v/>
      </c>
      <c r="O225" s="45">
        <f>IFERROR(INDEX(PSPct,MATCH(E225&amp;"|"&amp;G225,PSKey,0)),0)</f>
        <v/>
      </c>
      <c r="P225" s="46">
        <f>INDEX(ChDoorVel,MATCH(E225,ChName,0))*CalibScalar*(1+VelocityUplift)</f>
        <v/>
      </c>
      <c r="Q225" s="46" t="n">
        <v>0</v>
      </c>
      <c r="R225" s="46">
        <f>P225*O225*M225*N225*H225</f>
        <v/>
      </c>
      <c r="S225" s="46">
        <f>R225*INDEX(FmtCansPerCase,MATCH(F225,FmtName,0))</f>
        <v/>
      </c>
      <c r="T225" s="46">
        <f>S225/INDEX(FmtCansPerPack,MATCH(F225,FmtName,0))</f>
        <v/>
      </c>
      <c r="U225" s="47">
        <f>INDEX(ChBaseCP,MATCH(E225,ChName,0))*(1+INDEX(ProvMod,MATCH(G225,ProvCode,0)))*(1+PriceIndex)</f>
        <v/>
      </c>
      <c r="V225" s="47">
        <f>R225*U225*INDEX(FmtBlendedPriceIdx,MATCH(F225,FmtName,0))</f>
        <v/>
      </c>
      <c r="W225" s="47">
        <f>T225*INDEX(ProvSRP,MATCH(G225,ProvCode,0))*(1+PriceIndex)</f>
        <v/>
      </c>
      <c r="X225" s="47">
        <f>IF(GrossBasis="Wholesale",V225,W225)</f>
        <v/>
      </c>
      <c r="Y225" s="47">
        <f>R225*INDEX(FmtBlendedCogs,MATCH(F225,FmtName,0))</f>
        <v/>
      </c>
      <c r="Z225" s="47">
        <f>X225-Y225</f>
        <v/>
      </c>
    </row>
    <row r="226">
      <c r="A226" t="n">
        <v>13</v>
      </c>
      <c r="B226" s="44">
        <f>FiscalStart+(A226-1)*7</f>
        <v/>
      </c>
      <c r="C226">
        <f>TEXT(B226,"mmm yyyy")</f>
        <v/>
      </c>
      <c r="D226">
        <f>"Q"&amp;(INT((A226-1)/13)+1)</f>
        <v/>
      </c>
      <c r="E226" t="inlineStr">
        <is>
          <t>Convenience</t>
        </is>
      </c>
      <c r="F226">
        <f>IFERROR(INDEX(ChFormat,MATCH(E226,ChName,0)),"")</f>
        <v/>
      </c>
      <c r="G226" t="inlineStr">
        <is>
          <t>ON</t>
        </is>
      </c>
      <c r="H226">
        <f>IF(A226&lt;=NWeeks,1,0)</f>
        <v/>
      </c>
      <c r="I226">
        <f>INDEX(ChLaunch,MATCH(E226,ChName,0))</f>
        <v/>
      </c>
      <c r="J226">
        <f>INDEX(ChWeeksFull,MATCH(E226,ChName,0))</f>
        <v/>
      </c>
      <c r="K226">
        <f>INDEX(ChRamp,MATCH(E226,ChName,0))</f>
        <v/>
      </c>
      <c r="L226" s="45">
        <f>MIN(1,MAX(0,(A226-I226+1)*RampSpeed/J226))</f>
        <v/>
      </c>
      <c r="M226" s="45">
        <f>IF(A226&lt;I226,0,IF(K226="S-curve",L226*L226*(3-2*L226),L226))</f>
        <v/>
      </c>
      <c r="N226" s="45">
        <f>1+(INDEX(SeasonIdx,A226)-1)*SeasonAmp</f>
        <v/>
      </c>
      <c r="O226" s="45">
        <f>IFERROR(INDEX(PSPct,MATCH(E226&amp;"|"&amp;G226,PSKey,0)),0)</f>
        <v/>
      </c>
      <c r="P226" s="46">
        <f>INDEX(ChDoorVel,MATCH(E226,ChName,0))*CalibScalar*(1+VelocityUplift)</f>
        <v/>
      </c>
      <c r="Q226" s="46" t="n">
        <v>0</v>
      </c>
      <c r="R226" s="46">
        <f>P226*O226*M226*N226*H226</f>
        <v/>
      </c>
      <c r="S226" s="46">
        <f>R226*INDEX(FmtCansPerCase,MATCH(F226,FmtName,0))</f>
        <v/>
      </c>
      <c r="T226" s="46">
        <f>S226/INDEX(FmtCansPerPack,MATCH(F226,FmtName,0))</f>
        <v/>
      </c>
      <c r="U226" s="47">
        <f>INDEX(ChBaseCP,MATCH(E226,ChName,0))*(1+INDEX(ProvMod,MATCH(G226,ProvCode,0)))*(1+PriceIndex)</f>
        <v/>
      </c>
      <c r="V226" s="47">
        <f>R226*U226*INDEX(FmtBlendedPriceIdx,MATCH(F226,FmtName,0))</f>
        <v/>
      </c>
      <c r="W226" s="47">
        <f>T226*INDEX(ProvSRP,MATCH(G226,ProvCode,0))*(1+PriceIndex)</f>
        <v/>
      </c>
      <c r="X226" s="47">
        <f>IF(GrossBasis="Wholesale",V226,W226)</f>
        <v/>
      </c>
      <c r="Y226" s="47">
        <f>R226*INDEX(FmtBlendedCogs,MATCH(F226,FmtName,0))</f>
        <v/>
      </c>
      <c r="Z226" s="47">
        <f>X226-Y226</f>
        <v/>
      </c>
    </row>
    <row r="227">
      <c r="A227" t="n">
        <v>14</v>
      </c>
      <c r="B227" s="44">
        <f>FiscalStart+(A227-1)*7</f>
        <v/>
      </c>
      <c r="C227">
        <f>TEXT(B227,"mmm yyyy")</f>
        <v/>
      </c>
      <c r="D227">
        <f>"Q"&amp;(INT((A227-1)/13)+1)</f>
        <v/>
      </c>
      <c r="E227" t="inlineStr">
        <is>
          <t>Convenience</t>
        </is>
      </c>
      <c r="F227">
        <f>IFERROR(INDEX(ChFormat,MATCH(E227,ChName,0)),"")</f>
        <v/>
      </c>
      <c r="G227" t="inlineStr">
        <is>
          <t>ON</t>
        </is>
      </c>
      <c r="H227">
        <f>IF(A227&lt;=NWeeks,1,0)</f>
        <v/>
      </c>
      <c r="I227">
        <f>INDEX(ChLaunch,MATCH(E227,ChName,0))</f>
        <v/>
      </c>
      <c r="J227">
        <f>INDEX(ChWeeksFull,MATCH(E227,ChName,0))</f>
        <v/>
      </c>
      <c r="K227">
        <f>INDEX(ChRamp,MATCH(E227,ChName,0))</f>
        <v/>
      </c>
      <c r="L227" s="45">
        <f>MIN(1,MAX(0,(A227-I227+1)*RampSpeed/J227))</f>
        <v/>
      </c>
      <c r="M227" s="45">
        <f>IF(A227&lt;I227,0,IF(K227="S-curve",L227*L227*(3-2*L227),L227))</f>
        <v/>
      </c>
      <c r="N227" s="45">
        <f>1+(INDEX(SeasonIdx,A227)-1)*SeasonAmp</f>
        <v/>
      </c>
      <c r="O227" s="45">
        <f>IFERROR(INDEX(PSPct,MATCH(E227&amp;"|"&amp;G227,PSKey,0)),0)</f>
        <v/>
      </c>
      <c r="P227" s="46">
        <f>INDEX(ChDoorVel,MATCH(E227,ChName,0))*CalibScalar*(1+VelocityUplift)</f>
        <v/>
      </c>
      <c r="Q227" s="46" t="n">
        <v>0</v>
      </c>
      <c r="R227" s="46">
        <f>P227*O227*M227*N227*H227</f>
        <v/>
      </c>
      <c r="S227" s="46">
        <f>R227*INDEX(FmtCansPerCase,MATCH(F227,FmtName,0))</f>
        <v/>
      </c>
      <c r="T227" s="46">
        <f>S227/INDEX(FmtCansPerPack,MATCH(F227,FmtName,0))</f>
        <v/>
      </c>
      <c r="U227" s="47">
        <f>INDEX(ChBaseCP,MATCH(E227,ChName,0))*(1+INDEX(ProvMod,MATCH(G227,ProvCode,0)))*(1+PriceIndex)</f>
        <v/>
      </c>
      <c r="V227" s="47">
        <f>R227*U227*INDEX(FmtBlendedPriceIdx,MATCH(F227,FmtName,0))</f>
        <v/>
      </c>
      <c r="W227" s="47">
        <f>T227*INDEX(ProvSRP,MATCH(G227,ProvCode,0))*(1+PriceIndex)</f>
        <v/>
      </c>
      <c r="X227" s="47">
        <f>IF(GrossBasis="Wholesale",V227,W227)</f>
        <v/>
      </c>
      <c r="Y227" s="47">
        <f>R227*INDEX(FmtBlendedCogs,MATCH(F227,FmtName,0))</f>
        <v/>
      </c>
      <c r="Z227" s="47">
        <f>X227-Y227</f>
        <v/>
      </c>
    </row>
    <row r="228">
      <c r="A228" t="n">
        <v>15</v>
      </c>
      <c r="B228" s="44">
        <f>FiscalStart+(A228-1)*7</f>
        <v/>
      </c>
      <c r="C228">
        <f>TEXT(B228,"mmm yyyy")</f>
        <v/>
      </c>
      <c r="D228">
        <f>"Q"&amp;(INT((A228-1)/13)+1)</f>
        <v/>
      </c>
      <c r="E228" t="inlineStr">
        <is>
          <t>Convenience</t>
        </is>
      </c>
      <c r="F228">
        <f>IFERROR(INDEX(ChFormat,MATCH(E228,ChName,0)),"")</f>
        <v/>
      </c>
      <c r="G228" t="inlineStr">
        <is>
          <t>ON</t>
        </is>
      </c>
      <c r="H228">
        <f>IF(A228&lt;=NWeeks,1,0)</f>
        <v/>
      </c>
      <c r="I228">
        <f>INDEX(ChLaunch,MATCH(E228,ChName,0))</f>
        <v/>
      </c>
      <c r="J228">
        <f>INDEX(ChWeeksFull,MATCH(E228,ChName,0))</f>
        <v/>
      </c>
      <c r="K228">
        <f>INDEX(ChRamp,MATCH(E228,ChName,0))</f>
        <v/>
      </c>
      <c r="L228" s="45">
        <f>MIN(1,MAX(0,(A228-I228+1)*RampSpeed/J228))</f>
        <v/>
      </c>
      <c r="M228" s="45">
        <f>IF(A228&lt;I228,0,IF(K228="S-curve",L228*L228*(3-2*L228),L228))</f>
        <v/>
      </c>
      <c r="N228" s="45">
        <f>1+(INDEX(SeasonIdx,A228)-1)*SeasonAmp</f>
        <v/>
      </c>
      <c r="O228" s="45">
        <f>IFERROR(INDEX(PSPct,MATCH(E228&amp;"|"&amp;G228,PSKey,0)),0)</f>
        <v/>
      </c>
      <c r="P228" s="46">
        <f>INDEX(ChDoorVel,MATCH(E228,ChName,0))*CalibScalar*(1+VelocityUplift)</f>
        <v/>
      </c>
      <c r="Q228" s="46" t="n">
        <v>0</v>
      </c>
      <c r="R228" s="46">
        <f>P228*O228*M228*N228*H228</f>
        <v/>
      </c>
      <c r="S228" s="46">
        <f>R228*INDEX(FmtCansPerCase,MATCH(F228,FmtName,0))</f>
        <v/>
      </c>
      <c r="T228" s="46">
        <f>S228/INDEX(FmtCansPerPack,MATCH(F228,FmtName,0))</f>
        <v/>
      </c>
      <c r="U228" s="47">
        <f>INDEX(ChBaseCP,MATCH(E228,ChName,0))*(1+INDEX(ProvMod,MATCH(G228,ProvCode,0)))*(1+PriceIndex)</f>
        <v/>
      </c>
      <c r="V228" s="47">
        <f>R228*U228*INDEX(FmtBlendedPriceIdx,MATCH(F228,FmtName,0))</f>
        <v/>
      </c>
      <c r="W228" s="47">
        <f>T228*INDEX(ProvSRP,MATCH(G228,ProvCode,0))*(1+PriceIndex)</f>
        <v/>
      </c>
      <c r="X228" s="47">
        <f>IF(GrossBasis="Wholesale",V228,W228)</f>
        <v/>
      </c>
      <c r="Y228" s="47">
        <f>R228*INDEX(FmtBlendedCogs,MATCH(F228,FmtName,0))</f>
        <v/>
      </c>
      <c r="Z228" s="47">
        <f>X228-Y228</f>
        <v/>
      </c>
    </row>
    <row r="229">
      <c r="A229" t="n">
        <v>16</v>
      </c>
      <c r="B229" s="44">
        <f>FiscalStart+(A229-1)*7</f>
        <v/>
      </c>
      <c r="C229">
        <f>TEXT(B229,"mmm yyyy")</f>
        <v/>
      </c>
      <c r="D229">
        <f>"Q"&amp;(INT((A229-1)/13)+1)</f>
        <v/>
      </c>
      <c r="E229" t="inlineStr">
        <is>
          <t>Convenience</t>
        </is>
      </c>
      <c r="F229">
        <f>IFERROR(INDEX(ChFormat,MATCH(E229,ChName,0)),"")</f>
        <v/>
      </c>
      <c r="G229" t="inlineStr">
        <is>
          <t>ON</t>
        </is>
      </c>
      <c r="H229">
        <f>IF(A229&lt;=NWeeks,1,0)</f>
        <v/>
      </c>
      <c r="I229">
        <f>INDEX(ChLaunch,MATCH(E229,ChName,0))</f>
        <v/>
      </c>
      <c r="J229">
        <f>INDEX(ChWeeksFull,MATCH(E229,ChName,0))</f>
        <v/>
      </c>
      <c r="K229">
        <f>INDEX(ChRamp,MATCH(E229,ChName,0))</f>
        <v/>
      </c>
      <c r="L229" s="45">
        <f>MIN(1,MAX(0,(A229-I229+1)*RampSpeed/J229))</f>
        <v/>
      </c>
      <c r="M229" s="45">
        <f>IF(A229&lt;I229,0,IF(K229="S-curve",L229*L229*(3-2*L229),L229))</f>
        <v/>
      </c>
      <c r="N229" s="45">
        <f>1+(INDEX(SeasonIdx,A229)-1)*SeasonAmp</f>
        <v/>
      </c>
      <c r="O229" s="45">
        <f>IFERROR(INDEX(PSPct,MATCH(E229&amp;"|"&amp;G229,PSKey,0)),0)</f>
        <v/>
      </c>
      <c r="P229" s="46">
        <f>INDEX(ChDoorVel,MATCH(E229,ChName,0))*CalibScalar*(1+VelocityUplift)</f>
        <v/>
      </c>
      <c r="Q229" s="46" t="n">
        <v>0</v>
      </c>
      <c r="R229" s="46">
        <f>P229*O229*M229*N229*H229</f>
        <v/>
      </c>
      <c r="S229" s="46">
        <f>R229*INDEX(FmtCansPerCase,MATCH(F229,FmtName,0))</f>
        <v/>
      </c>
      <c r="T229" s="46">
        <f>S229/INDEX(FmtCansPerPack,MATCH(F229,FmtName,0))</f>
        <v/>
      </c>
      <c r="U229" s="47">
        <f>INDEX(ChBaseCP,MATCH(E229,ChName,0))*(1+INDEX(ProvMod,MATCH(G229,ProvCode,0)))*(1+PriceIndex)</f>
        <v/>
      </c>
      <c r="V229" s="47">
        <f>R229*U229*INDEX(FmtBlendedPriceIdx,MATCH(F229,FmtName,0))</f>
        <v/>
      </c>
      <c r="W229" s="47">
        <f>T229*INDEX(ProvSRP,MATCH(G229,ProvCode,0))*(1+PriceIndex)</f>
        <v/>
      </c>
      <c r="X229" s="47">
        <f>IF(GrossBasis="Wholesale",V229,W229)</f>
        <v/>
      </c>
      <c r="Y229" s="47">
        <f>R229*INDEX(FmtBlendedCogs,MATCH(F229,FmtName,0))</f>
        <v/>
      </c>
      <c r="Z229" s="47">
        <f>X229-Y229</f>
        <v/>
      </c>
    </row>
    <row r="230">
      <c r="A230" t="n">
        <v>17</v>
      </c>
      <c r="B230" s="44">
        <f>FiscalStart+(A230-1)*7</f>
        <v/>
      </c>
      <c r="C230">
        <f>TEXT(B230,"mmm yyyy")</f>
        <v/>
      </c>
      <c r="D230">
        <f>"Q"&amp;(INT((A230-1)/13)+1)</f>
        <v/>
      </c>
      <c r="E230" t="inlineStr">
        <is>
          <t>Convenience</t>
        </is>
      </c>
      <c r="F230">
        <f>IFERROR(INDEX(ChFormat,MATCH(E230,ChName,0)),"")</f>
        <v/>
      </c>
      <c r="G230" t="inlineStr">
        <is>
          <t>ON</t>
        </is>
      </c>
      <c r="H230">
        <f>IF(A230&lt;=NWeeks,1,0)</f>
        <v/>
      </c>
      <c r="I230">
        <f>INDEX(ChLaunch,MATCH(E230,ChName,0))</f>
        <v/>
      </c>
      <c r="J230">
        <f>INDEX(ChWeeksFull,MATCH(E230,ChName,0))</f>
        <v/>
      </c>
      <c r="K230">
        <f>INDEX(ChRamp,MATCH(E230,ChName,0))</f>
        <v/>
      </c>
      <c r="L230" s="45">
        <f>MIN(1,MAX(0,(A230-I230+1)*RampSpeed/J230))</f>
        <v/>
      </c>
      <c r="M230" s="45">
        <f>IF(A230&lt;I230,0,IF(K230="S-curve",L230*L230*(3-2*L230),L230))</f>
        <v/>
      </c>
      <c r="N230" s="45">
        <f>1+(INDEX(SeasonIdx,A230)-1)*SeasonAmp</f>
        <v/>
      </c>
      <c r="O230" s="45">
        <f>IFERROR(INDEX(PSPct,MATCH(E230&amp;"|"&amp;G230,PSKey,0)),0)</f>
        <v/>
      </c>
      <c r="P230" s="46">
        <f>INDEX(ChDoorVel,MATCH(E230,ChName,0))*CalibScalar*(1+VelocityUplift)</f>
        <v/>
      </c>
      <c r="Q230" s="46" t="n">
        <v>0</v>
      </c>
      <c r="R230" s="46">
        <f>P230*O230*M230*N230*H230</f>
        <v/>
      </c>
      <c r="S230" s="46">
        <f>R230*INDEX(FmtCansPerCase,MATCH(F230,FmtName,0))</f>
        <v/>
      </c>
      <c r="T230" s="46">
        <f>S230/INDEX(FmtCansPerPack,MATCH(F230,FmtName,0))</f>
        <v/>
      </c>
      <c r="U230" s="47">
        <f>INDEX(ChBaseCP,MATCH(E230,ChName,0))*(1+INDEX(ProvMod,MATCH(G230,ProvCode,0)))*(1+PriceIndex)</f>
        <v/>
      </c>
      <c r="V230" s="47">
        <f>R230*U230*INDEX(FmtBlendedPriceIdx,MATCH(F230,FmtName,0))</f>
        <v/>
      </c>
      <c r="W230" s="47">
        <f>T230*INDEX(ProvSRP,MATCH(G230,ProvCode,0))*(1+PriceIndex)</f>
        <v/>
      </c>
      <c r="X230" s="47">
        <f>IF(GrossBasis="Wholesale",V230,W230)</f>
        <v/>
      </c>
      <c r="Y230" s="47">
        <f>R230*INDEX(FmtBlendedCogs,MATCH(F230,FmtName,0))</f>
        <v/>
      </c>
      <c r="Z230" s="47">
        <f>X230-Y230</f>
        <v/>
      </c>
    </row>
    <row r="231">
      <c r="A231" t="n">
        <v>18</v>
      </c>
      <c r="B231" s="44">
        <f>FiscalStart+(A231-1)*7</f>
        <v/>
      </c>
      <c r="C231">
        <f>TEXT(B231,"mmm yyyy")</f>
        <v/>
      </c>
      <c r="D231">
        <f>"Q"&amp;(INT((A231-1)/13)+1)</f>
        <v/>
      </c>
      <c r="E231" t="inlineStr">
        <is>
          <t>Convenience</t>
        </is>
      </c>
      <c r="F231">
        <f>IFERROR(INDEX(ChFormat,MATCH(E231,ChName,0)),"")</f>
        <v/>
      </c>
      <c r="G231" t="inlineStr">
        <is>
          <t>ON</t>
        </is>
      </c>
      <c r="H231">
        <f>IF(A231&lt;=NWeeks,1,0)</f>
        <v/>
      </c>
      <c r="I231">
        <f>INDEX(ChLaunch,MATCH(E231,ChName,0))</f>
        <v/>
      </c>
      <c r="J231">
        <f>INDEX(ChWeeksFull,MATCH(E231,ChName,0))</f>
        <v/>
      </c>
      <c r="K231">
        <f>INDEX(ChRamp,MATCH(E231,ChName,0))</f>
        <v/>
      </c>
      <c r="L231" s="45">
        <f>MIN(1,MAX(0,(A231-I231+1)*RampSpeed/J231))</f>
        <v/>
      </c>
      <c r="M231" s="45">
        <f>IF(A231&lt;I231,0,IF(K231="S-curve",L231*L231*(3-2*L231),L231))</f>
        <v/>
      </c>
      <c r="N231" s="45">
        <f>1+(INDEX(SeasonIdx,A231)-1)*SeasonAmp</f>
        <v/>
      </c>
      <c r="O231" s="45">
        <f>IFERROR(INDEX(PSPct,MATCH(E231&amp;"|"&amp;G231,PSKey,0)),0)</f>
        <v/>
      </c>
      <c r="P231" s="46">
        <f>INDEX(ChDoorVel,MATCH(E231,ChName,0))*CalibScalar*(1+VelocityUplift)</f>
        <v/>
      </c>
      <c r="Q231" s="46" t="n">
        <v>0</v>
      </c>
      <c r="R231" s="46">
        <f>P231*O231*M231*N231*H231</f>
        <v/>
      </c>
      <c r="S231" s="46">
        <f>R231*INDEX(FmtCansPerCase,MATCH(F231,FmtName,0))</f>
        <v/>
      </c>
      <c r="T231" s="46">
        <f>S231/INDEX(FmtCansPerPack,MATCH(F231,FmtName,0))</f>
        <v/>
      </c>
      <c r="U231" s="47">
        <f>INDEX(ChBaseCP,MATCH(E231,ChName,0))*(1+INDEX(ProvMod,MATCH(G231,ProvCode,0)))*(1+PriceIndex)</f>
        <v/>
      </c>
      <c r="V231" s="47">
        <f>R231*U231*INDEX(FmtBlendedPriceIdx,MATCH(F231,FmtName,0))</f>
        <v/>
      </c>
      <c r="W231" s="47">
        <f>T231*INDEX(ProvSRP,MATCH(G231,ProvCode,0))*(1+PriceIndex)</f>
        <v/>
      </c>
      <c r="X231" s="47">
        <f>IF(GrossBasis="Wholesale",V231,W231)</f>
        <v/>
      </c>
      <c r="Y231" s="47">
        <f>R231*INDEX(FmtBlendedCogs,MATCH(F231,FmtName,0))</f>
        <v/>
      </c>
      <c r="Z231" s="47">
        <f>X231-Y231</f>
        <v/>
      </c>
    </row>
    <row r="232">
      <c r="A232" t="n">
        <v>19</v>
      </c>
      <c r="B232" s="44">
        <f>FiscalStart+(A232-1)*7</f>
        <v/>
      </c>
      <c r="C232">
        <f>TEXT(B232,"mmm yyyy")</f>
        <v/>
      </c>
      <c r="D232">
        <f>"Q"&amp;(INT((A232-1)/13)+1)</f>
        <v/>
      </c>
      <c r="E232" t="inlineStr">
        <is>
          <t>Convenience</t>
        </is>
      </c>
      <c r="F232">
        <f>IFERROR(INDEX(ChFormat,MATCH(E232,ChName,0)),"")</f>
        <v/>
      </c>
      <c r="G232" t="inlineStr">
        <is>
          <t>ON</t>
        </is>
      </c>
      <c r="H232">
        <f>IF(A232&lt;=NWeeks,1,0)</f>
        <v/>
      </c>
      <c r="I232">
        <f>INDEX(ChLaunch,MATCH(E232,ChName,0))</f>
        <v/>
      </c>
      <c r="J232">
        <f>INDEX(ChWeeksFull,MATCH(E232,ChName,0))</f>
        <v/>
      </c>
      <c r="K232">
        <f>INDEX(ChRamp,MATCH(E232,ChName,0))</f>
        <v/>
      </c>
      <c r="L232" s="45">
        <f>MIN(1,MAX(0,(A232-I232+1)*RampSpeed/J232))</f>
        <v/>
      </c>
      <c r="M232" s="45">
        <f>IF(A232&lt;I232,0,IF(K232="S-curve",L232*L232*(3-2*L232),L232))</f>
        <v/>
      </c>
      <c r="N232" s="45">
        <f>1+(INDEX(SeasonIdx,A232)-1)*SeasonAmp</f>
        <v/>
      </c>
      <c r="O232" s="45">
        <f>IFERROR(INDEX(PSPct,MATCH(E232&amp;"|"&amp;G232,PSKey,0)),0)</f>
        <v/>
      </c>
      <c r="P232" s="46">
        <f>INDEX(ChDoorVel,MATCH(E232,ChName,0))*CalibScalar*(1+VelocityUplift)</f>
        <v/>
      </c>
      <c r="Q232" s="46" t="n">
        <v>0</v>
      </c>
      <c r="R232" s="46">
        <f>P232*O232*M232*N232*H232</f>
        <v/>
      </c>
      <c r="S232" s="46">
        <f>R232*INDEX(FmtCansPerCase,MATCH(F232,FmtName,0))</f>
        <v/>
      </c>
      <c r="T232" s="46">
        <f>S232/INDEX(FmtCansPerPack,MATCH(F232,FmtName,0))</f>
        <v/>
      </c>
      <c r="U232" s="47">
        <f>INDEX(ChBaseCP,MATCH(E232,ChName,0))*(1+INDEX(ProvMod,MATCH(G232,ProvCode,0)))*(1+PriceIndex)</f>
        <v/>
      </c>
      <c r="V232" s="47">
        <f>R232*U232*INDEX(FmtBlendedPriceIdx,MATCH(F232,FmtName,0))</f>
        <v/>
      </c>
      <c r="W232" s="47">
        <f>T232*INDEX(ProvSRP,MATCH(G232,ProvCode,0))*(1+PriceIndex)</f>
        <v/>
      </c>
      <c r="X232" s="47">
        <f>IF(GrossBasis="Wholesale",V232,W232)</f>
        <v/>
      </c>
      <c r="Y232" s="47">
        <f>R232*INDEX(FmtBlendedCogs,MATCH(F232,FmtName,0))</f>
        <v/>
      </c>
      <c r="Z232" s="47">
        <f>X232-Y232</f>
        <v/>
      </c>
    </row>
    <row r="233">
      <c r="A233" t="n">
        <v>20</v>
      </c>
      <c r="B233" s="44">
        <f>FiscalStart+(A233-1)*7</f>
        <v/>
      </c>
      <c r="C233">
        <f>TEXT(B233,"mmm yyyy")</f>
        <v/>
      </c>
      <c r="D233">
        <f>"Q"&amp;(INT((A233-1)/13)+1)</f>
        <v/>
      </c>
      <c r="E233" t="inlineStr">
        <is>
          <t>Convenience</t>
        </is>
      </c>
      <c r="F233">
        <f>IFERROR(INDEX(ChFormat,MATCH(E233,ChName,0)),"")</f>
        <v/>
      </c>
      <c r="G233" t="inlineStr">
        <is>
          <t>ON</t>
        </is>
      </c>
      <c r="H233">
        <f>IF(A233&lt;=NWeeks,1,0)</f>
        <v/>
      </c>
      <c r="I233">
        <f>INDEX(ChLaunch,MATCH(E233,ChName,0))</f>
        <v/>
      </c>
      <c r="J233">
        <f>INDEX(ChWeeksFull,MATCH(E233,ChName,0))</f>
        <v/>
      </c>
      <c r="K233">
        <f>INDEX(ChRamp,MATCH(E233,ChName,0))</f>
        <v/>
      </c>
      <c r="L233" s="45">
        <f>MIN(1,MAX(0,(A233-I233+1)*RampSpeed/J233))</f>
        <v/>
      </c>
      <c r="M233" s="45">
        <f>IF(A233&lt;I233,0,IF(K233="S-curve",L233*L233*(3-2*L233),L233))</f>
        <v/>
      </c>
      <c r="N233" s="45">
        <f>1+(INDEX(SeasonIdx,A233)-1)*SeasonAmp</f>
        <v/>
      </c>
      <c r="O233" s="45">
        <f>IFERROR(INDEX(PSPct,MATCH(E233&amp;"|"&amp;G233,PSKey,0)),0)</f>
        <v/>
      </c>
      <c r="P233" s="46">
        <f>INDEX(ChDoorVel,MATCH(E233,ChName,0))*CalibScalar*(1+VelocityUplift)</f>
        <v/>
      </c>
      <c r="Q233" s="46" t="n">
        <v>0</v>
      </c>
      <c r="R233" s="46">
        <f>P233*O233*M233*N233*H233</f>
        <v/>
      </c>
      <c r="S233" s="46">
        <f>R233*INDEX(FmtCansPerCase,MATCH(F233,FmtName,0))</f>
        <v/>
      </c>
      <c r="T233" s="46">
        <f>S233/INDEX(FmtCansPerPack,MATCH(F233,FmtName,0))</f>
        <v/>
      </c>
      <c r="U233" s="47">
        <f>INDEX(ChBaseCP,MATCH(E233,ChName,0))*(1+INDEX(ProvMod,MATCH(G233,ProvCode,0)))*(1+PriceIndex)</f>
        <v/>
      </c>
      <c r="V233" s="47">
        <f>R233*U233*INDEX(FmtBlendedPriceIdx,MATCH(F233,FmtName,0))</f>
        <v/>
      </c>
      <c r="W233" s="47">
        <f>T233*INDEX(ProvSRP,MATCH(G233,ProvCode,0))*(1+PriceIndex)</f>
        <v/>
      </c>
      <c r="X233" s="47">
        <f>IF(GrossBasis="Wholesale",V233,W233)</f>
        <v/>
      </c>
      <c r="Y233" s="47">
        <f>R233*INDEX(FmtBlendedCogs,MATCH(F233,FmtName,0))</f>
        <v/>
      </c>
      <c r="Z233" s="47">
        <f>X233-Y233</f>
        <v/>
      </c>
    </row>
    <row r="234">
      <c r="A234" t="n">
        <v>21</v>
      </c>
      <c r="B234" s="44">
        <f>FiscalStart+(A234-1)*7</f>
        <v/>
      </c>
      <c r="C234">
        <f>TEXT(B234,"mmm yyyy")</f>
        <v/>
      </c>
      <c r="D234">
        <f>"Q"&amp;(INT((A234-1)/13)+1)</f>
        <v/>
      </c>
      <c r="E234" t="inlineStr">
        <is>
          <t>Convenience</t>
        </is>
      </c>
      <c r="F234">
        <f>IFERROR(INDEX(ChFormat,MATCH(E234,ChName,0)),"")</f>
        <v/>
      </c>
      <c r="G234" t="inlineStr">
        <is>
          <t>ON</t>
        </is>
      </c>
      <c r="H234">
        <f>IF(A234&lt;=NWeeks,1,0)</f>
        <v/>
      </c>
      <c r="I234">
        <f>INDEX(ChLaunch,MATCH(E234,ChName,0))</f>
        <v/>
      </c>
      <c r="J234">
        <f>INDEX(ChWeeksFull,MATCH(E234,ChName,0))</f>
        <v/>
      </c>
      <c r="K234">
        <f>INDEX(ChRamp,MATCH(E234,ChName,0))</f>
        <v/>
      </c>
      <c r="L234" s="45">
        <f>MIN(1,MAX(0,(A234-I234+1)*RampSpeed/J234))</f>
        <v/>
      </c>
      <c r="M234" s="45">
        <f>IF(A234&lt;I234,0,IF(K234="S-curve",L234*L234*(3-2*L234),L234))</f>
        <v/>
      </c>
      <c r="N234" s="45">
        <f>1+(INDEX(SeasonIdx,A234)-1)*SeasonAmp</f>
        <v/>
      </c>
      <c r="O234" s="45">
        <f>IFERROR(INDEX(PSPct,MATCH(E234&amp;"|"&amp;G234,PSKey,0)),0)</f>
        <v/>
      </c>
      <c r="P234" s="46">
        <f>INDEX(ChDoorVel,MATCH(E234,ChName,0))*CalibScalar*(1+VelocityUplift)</f>
        <v/>
      </c>
      <c r="Q234" s="46" t="n">
        <v>0</v>
      </c>
      <c r="R234" s="46">
        <f>P234*O234*M234*N234*H234</f>
        <v/>
      </c>
      <c r="S234" s="46">
        <f>R234*INDEX(FmtCansPerCase,MATCH(F234,FmtName,0))</f>
        <v/>
      </c>
      <c r="T234" s="46">
        <f>S234/INDEX(FmtCansPerPack,MATCH(F234,FmtName,0))</f>
        <v/>
      </c>
      <c r="U234" s="47">
        <f>INDEX(ChBaseCP,MATCH(E234,ChName,0))*(1+INDEX(ProvMod,MATCH(G234,ProvCode,0)))*(1+PriceIndex)</f>
        <v/>
      </c>
      <c r="V234" s="47">
        <f>R234*U234*INDEX(FmtBlendedPriceIdx,MATCH(F234,FmtName,0))</f>
        <v/>
      </c>
      <c r="W234" s="47">
        <f>T234*INDEX(ProvSRP,MATCH(G234,ProvCode,0))*(1+PriceIndex)</f>
        <v/>
      </c>
      <c r="X234" s="47">
        <f>IF(GrossBasis="Wholesale",V234,W234)</f>
        <v/>
      </c>
      <c r="Y234" s="47">
        <f>R234*INDEX(FmtBlendedCogs,MATCH(F234,FmtName,0))</f>
        <v/>
      </c>
      <c r="Z234" s="47">
        <f>X234-Y234</f>
        <v/>
      </c>
    </row>
    <row r="235">
      <c r="A235" t="n">
        <v>22</v>
      </c>
      <c r="B235" s="44">
        <f>FiscalStart+(A235-1)*7</f>
        <v/>
      </c>
      <c r="C235">
        <f>TEXT(B235,"mmm yyyy")</f>
        <v/>
      </c>
      <c r="D235">
        <f>"Q"&amp;(INT((A235-1)/13)+1)</f>
        <v/>
      </c>
      <c r="E235" t="inlineStr">
        <is>
          <t>Convenience</t>
        </is>
      </c>
      <c r="F235">
        <f>IFERROR(INDEX(ChFormat,MATCH(E235,ChName,0)),"")</f>
        <v/>
      </c>
      <c r="G235" t="inlineStr">
        <is>
          <t>ON</t>
        </is>
      </c>
      <c r="H235">
        <f>IF(A235&lt;=NWeeks,1,0)</f>
        <v/>
      </c>
      <c r="I235">
        <f>INDEX(ChLaunch,MATCH(E235,ChName,0))</f>
        <v/>
      </c>
      <c r="J235">
        <f>INDEX(ChWeeksFull,MATCH(E235,ChName,0))</f>
        <v/>
      </c>
      <c r="K235">
        <f>INDEX(ChRamp,MATCH(E235,ChName,0))</f>
        <v/>
      </c>
      <c r="L235" s="45">
        <f>MIN(1,MAX(0,(A235-I235+1)*RampSpeed/J235))</f>
        <v/>
      </c>
      <c r="M235" s="45">
        <f>IF(A235&lt;I235,0,IF(K235="S-curve",L235*L235*(3-2*L235),L235))</f>
        <v/>
      </c>
      <c r="N235" s="45">
        <f>1+(INDEX(SeasonIdx,A235)-1)*SeasonAmp</f>
        <v/>
      </c>
      <c r="O235" s="45">
        <f>IFERROR(INDEX(PSPct,MATCH(E235&amp;"|"&amp;G235,PSKey,0)),0)</f>
        <v/>
      </c>
      <c r="P235" s="46">
        <f>INDEX(ChDoorVel,MATCH(E235,ChName,0))*CalibScalar*(1+VelocityUplift)</f>
        <v/>
      </c>
      <c r="Q235" s="46" t="n">
        <v>0</v>
      </c>
      <c r="R235" s="46">
        <f>P235*O235*M235*N235*H235</f>
        <v/>
      </c>
      <c r="S235" s="46">
        <f>R235*INDEX(FmtCansPerCase,MATCH(F235,FmtName,0))</f>
        <v/>
      </c>
      <c r="T235" s="46">
        <f>S235/INDEX(FmtCansPerPack,MATCH(F235,FmtName,0))</f>
        <v/>
      </c>
      <c r="U235" s="47">
        <f>INDEX(ChBaseCP,MATCH(E235,ChName,0))*(1+INDEX(ProvMod,MATCH(G235,ProvCode,0)))*(1+PriceIndex)</f>
        <v/>
      </c>
      <c r="V235" s="47">
        <f>R235*U235*INDEX(FmtBlendedPriceIdx,MATCH(F235,FmtName,0))</f>
        <v/>
      </c>
      <c r="W235" s="47">
        <f>T235*INDEX(ProvSRP,MATCH(G235,ProvCode,0))*(1+PriceIndex)</f>
        <v/>
      </c>
      <c r="X235" s="47">
        <f>IF(GrossBasis="Wholesale",V235,W235)</f>
        <v/>
      </c>
      <c r="Y235" s="47">
        <f>R235*INDEX(FmtBlendedCogs,MATCH(F235,FmtName,0))</f>
        <v/>
      </c>
      <c r="Z235" s="47">
        <f>X235-Y235</f>
        <v/>
      </c>
    </row>
    <row r="236">
      <c r="A236" t="n">
        <v>23</v>
      </c>
      <c r="B236" s="44">
        <f>FiscalStart+(A236-1)*7</f>
        <v/>
      </c>
      <c r="C236">
        <f>TEXT(B236,"mmm yyyy")</f>
        <v/>
      </c>
      <c r="D236">
        <f>"Q"&amp;(INT((A236-1)/13)+1)</f>
        <v/>
      </c>
      <c r="E236" t="inlineStr">
        <is>
          <t>Convenience</t>
        </is>
      </c>
      <c r="F236">
        <f>IFERROR(INDEX(ChFormat,MATCH(E236,ChName,0)),"")</f>
        <v/>
      </c>
      <c r="G236" t="inlineStr">
        <is>
          <t>ON</t>
        </is>
      </c>
      <c r="H236">
        <f>IF(A236&lt;=NWeeks,1,0)</f>
        <v/>
      </c>
      <c r="I236">
        <f>INDEX(ChLaunch,MATCH(E236,ChName,0))</f>
        <v/>
      </c>
      <c r="J236">
        <f>INDEX(ChWeeksFull,MATCH(E236,ChName,0))</f>
        <v/>
      </c>
      <c r="K236">
        <f>INDEX(ChRamp,MATCH(E236,ChName,0))</f>
        <v/>
      </c>
      <c r="L236" s="45">
        <f>MIN(1,MAX(0,(A236-I236+1)*RampSpeed/J236))</f>
        <v/>
      </c>
      <c r="M236" s="45">
        <f>IF(A236&lt;I236,0,IF(K236="S-curve",L236*L236*(3-2*L236),L236))</f>
        <v/>
      </c>
      <c r="N236" s="45">
        <f>1+(INDEX(SeasonIdx,A236)-1)*SeasonAmp</f>
        <v/>
      </c>
      <c r="O236" s="45">
        <f>IFERROR(INDEX(PSPct,MATCH(E236&amp;"|"&amp;G236,PSKey,0)),0)</f>
        <v/>
      </c>
      <c r="P236" s="46">
        <f>INDEX(ChDoorVel,MATCH(E236,ChName,0))*CalibScalar*(1+VelocityUplift)</f>
        <v/>
      </c>
      <c r="Q236" s="46" t="n">
        <v>0</v>
      </c>
      <c r="R236" s="46">
        <f>P236*O236*M236*N236*H236</f>
        <v/>
      </c>
      <c r="S236" s="46">
        <f>R236*INDEX(FmtCansPerCase,MATCH(F236,FmtName,0))</f>
        <v/>
      </c>
      <c r="T236" s="46">
        <f>S236/INDEX(FmtCansPerPack,MATCH(F236,FmtName,0))</f>
        <v/>
      </c>
      <c r="U236" s="47">
        <f>INDEX(ChBaseCP,MATCH(E236,ChName,0))*(1+INDEX(ProvMod,MATCH(G236,ProvCode,0)))*(1+PriceIndex)</f>
        <v/>
      </c>
      <c r="V236" s="47">
        <f>R236*U236*INDEX(FmtBlendedPriceIdx,MATCH(F236,FmtName,0))</f>
        <v/>
      </c>
      <c r="W236" s="47">
        <f>T236*INDEX(ProvSRP,MATCH(G236,ProvCode,0))*(1+PriceIndex)</f>
        <v/>
      </c>
      <c r="X236" s="47">
        <f>IF(GrossBasis="Wholesale",V236,W236)</f>
        <v/>
      </c>
      <c r="Y236" s="47">
        <f>R236*INDEX(FmtBlendedCogs,MATCH(F236,FmtName,0))</f>
        <v/>
      </c>
      <c r="Z236" s="47">
        <f>X236-Y236</f>
        <v/>
      </c>
    </row>
    <row r="237">
      <c r="A237" t="n">
        <v>24</v>
      </c>
      <c r="B237" s="44">
        <f>FiscalStart+(A237-1)*7</f>
        <v/>
      </c>
      <c r="C237">
        <f>TEXT(B237,"mmm yyyy")</f>
        <v/>
      </c>
      <c r="D237">
        <f>"Q"&amp;(INT((A237-1)/13)+1)</f>
        <v/>
      </c>
      <c r="E237" t="inlineStr">
        <is>
          <t>Convenience</t>
        </is>
      </c>
      <c r="F237">
        <f>IFERROR(INDEX(ChFormat,MATCH(E237,ChName,0)),"")</f>
        <v/>
      </c>
      <c r="G237" t="inlineStr">
        <is>
          <t>ON</t>
        </is>
      </c>
      <c r="H237">
        <f>IF(A237&lt;=NWeeks,1,0)</f>
        <v/>
      </c>
      <c r="I237">
        <f>INDEX(ChLaunch,MATCH(E237,ChName,0))</f>
        <v/>
      </c>
      <c r="J237">
        <f>INDEX(ChWeeksFull,MATCH(E237,ChName,0))</f>
        <v/>
      </c>
      <c r="K237">
        <f>INDEX(ChRamp,MATCH(E237,ChName,0))</f>
        <v/>
      </c>
      <c r="L237" s="45">
        <f>MIN(1,MAX(0,(A237-I237+1)*RampSpeed/J237))</f>
        <v/>
      </c>
      <c r="M237" s="45">
        <f>IF(A237&lt;I237,0,IF(K237="S-curve",L237*L237*(3-2*L237),L237))</f>
        <v/>
      </c>
      <c r="N237" s="45">
        <f>1+(INDEX(SeasonIdx,A237)-1)*SeasonAmp</f>
        <v/>
      </c>
      <c r="O237" s="45">
        <f>IFERROR(INDEX(PSPct,MATCH(E237&amp;"|"&amp;G237,PSKey,0)),0)</f>
        <v/>
      </c>
      <c r="P237" s="46">
        <f>INDEX(ChDoorVel,MATCH(E237,ChName,0))*CalibScalar*(1+VelocityUplift)</f>
        <v/>
      </c>
      <c r="Q237" s="46" t="n">
        <v>0</v>
      </c>
      <c r="R237" s="46">
        <f>P237*O237*M237*N237*H237</f>
        <v/>
      </c>
      <c r="S237" s="46">
        <f>R237*INDEX(FmtCansPerCase,MATCH(F237,FmtName,0))</f>
        <v/>
      </c>
      <c r="T237" s="46">
        <f>S237/INDEX(FmtCansPerPack,MATCH(F237,FmtName,0))</f>
        <v/>
      </c>
      <c r="U237" s="47">
        <f>INDEX(ChBaseCP,MATCH(E237,ChName,0))*(1+INDEX(ProvMod,MATCH(G237,ProvCode,0)))*(1+PriceIndex)</f>
        <v/>
      </c>
      <c r="V237" s="47">
        <f>R237*U237*INDEX(FmtBlendedPriceIdx,MATCH(F237,FmtName,0))</f>
        <v/>
      </c>
      <c r="W237" s="47">
        <f>T237*INDEX(ProvSRP,MATCH(G237,ProvCode,0))*(1+PriceIndex)</f>
        <v/>
      </c>
      <c r="X237" s="47">
        <f>IF(GrossBasis="Wholesale",V237,W237)</f>
        <v/>
      </c>
      <c r="Y237" s="47">
        <f>R237*INDEX(FmtBlendedCogs,MATCH(F237,FmtName,0))</f>
        <v/>
      </c>
      <c r="Z237" s="47">
        <f>X237-Y237</f>
        <v/>
      </c>
    </row>
    <row r="238">
      <c r="A238" t="n">
        <v>25</v>
      </c>
      <c r="B238" s="44">
        <f>FiscalStart+(A238-1)*7</f>
        <v/>
      </c>
      <c r="C238">
        <f>TEXT(B238,"mmm yyyy")</f>
        <v/>
      </c>
      <c r="D238">
        <f>"Q"&amp;(INT((A238-1)/13)+1)</f>
        <v/>
      </c>
      <c r="E238" t="inlineStr">
        <is>
          <t>Convenience</t>
        </is>
      </c>
      <c r="F238">
        <f>IFERROR(INDEX(ChFormat,MATCH(E238,ChName,0)),"")</f>
        <v/>
      </c>
      <c r="G238" t="inlineStr">
        <is>
          <t>ON</t>
        </is>
      </c>
      <c r="H238">
        <f>IF(A238&lt;=NWeeks,1,0)</f>
        <v/>
      </c>
      <c r="I238">
        <f>INDEX(ChLaunch,MATCH(E238,ChName,0))</f>
        <v/>
      </c>
      <c r="J238">
        <f>INDEX(ChWeeksFull,MATCH(E238,ChName,0))</f>
        <v/>
      </c>
      <c r="K238">
        <f>INDEX(ChRamp,MATCH(E238,ChName,0))</f>
        <v/>
      </c>
      <c r="L238" s="45">
        <f>MIN(1,MAX(0,(A238-I238+1)*RampSpeed/J238))</f>
        <v/>
      </c>
      <c r="M238" s="45">
        <f>IF(A238&lt;I238,0,IF(K238="S-curve",L238*L238*(3-2*L238),L238))</f>
        <v/>
      </c>
      <c r="N238" s="45">
        <f>1+(INDEX(SeasonIdx,A238)-1)*SeasonAmp</f>
        <v/>
      </c>
      <c r="O238" s="45">
        <f>IFERROR(INDEX(PSPct,MATCH(E238&amp;"|"&amp;G238,PSKey,0)),0)</f>
        <v/>
      </c>
      <c r="P238" s="46">
        <f>INDEX(ChDoorVel,MATCH(E238,ChName,0))*CalibScalar*(1+VelocityUplift)</f>
        <v/>
      </c>
      <c r="Q238" s="46" t="n">
        <v>0</v>
      </c>
      <c r="R238" s="46">
        <f>P238*O238*M238*N238*H238</f>
        <v/>
      </c>
      <c r="S238" s="46">
        <f>R238*INDEX(FmtCansPerCase,MATCH(F238,FmtName,0))</f>
        <v/>
      </c>
      <c r="T238" s="46">
        <f>S238/INDEX(FmtCansPerPack,MATCH(F238,FmtName,0))</f>
        <v/>
      </c>
      <c r="U238" s="47">
        <f>INDEX(ChBaseCP,MATCH(E238,ChName,0))*(1+INDEX(ProvMod,MATCH(G238,ProvCode,0)))*(1+PriceIndex)</f>
        <v/>
      </c>
      <c r="V238" s="47">
        <f>R238*U238*INDEX(FmtBlendedPriceIdx,MATCH(F238,FmtName,0))</f>
        <v/>
      </c>
      <c r="W238" s="47">
        <f>T238*INDEX(ProvSRP,MATCH(G238,ProvCode,0))*(1+PriceIndex)</f>
        <v/>
      </c>
      <c r="X238" s="47">
        <f>IF(GrossBasis="Wholesale",V238,W238)</f>
        <v/>
      </c>
      <c r="Y238" s="47">
        <f>R238*INDEX(FmtBlendedCogs,MATCH(F238,FmtName,0))</f>
        <v/>
      </c>
      <c r="Z238" s="47">
        <f>X238-Y238</f>
        <v/>
      </c>
    </row>
    <row r="239">
      <c r="A239" t="n">
        <v>26</v>
      </c>
      <c r="B239" s="44">
        <f>FiscalStart+(A239-1)*7</f>
        <v/>
      </c>
      <c r="C239">
        <f>TEXT(B239,"mmm yyyy")</f>
        <v/>
      </c>
      <c r="D239">
        <f>"Q"&amp;(INT((A239-1)/13)+1)</f>
        <v/>
      </c>
      <c r="E239" t="inlineStr">
        <is>
          <t>Convenience</t>
        </is>
      </c>
      <c r="F239">
        <f>IFERROR(INDEX(ChFormat,MATCH(E239,ChName,0)),"")</f>
        <v/>
      </c>
      <c r="G239" t="inlineStr">
        <is>
          <t>ON</t>
        </is>
      </c>
      <c r="H239">
        <f>IF(A239&lt;=NWeeks,1,0)</f>
        <v/>
      </c>
      <c r="I239">
        <f>INDEX(ChLaunch,MATCH(E239,ChName,0))</f>
        <v/>
      </c>
      <c r="J239">
        <f>INDEX(ChWeeksFull,MATCH(E239,ChName,0))</f>
        <v/>
      </c>
      <c r="K239">
        <f>INDEX(ChRamp,MATCH(E239,ChName,0))</f>
        <v/>
      </c>
      <c r="L239" s="45">
        <f>MIN(1,MAX(0,(A239-I239+1)*RampSpeed/J239))</f>
        <v/>
      </c>
      <c r="M239" s="45">
        <f>IF(A239&lt;I239,0,IF(K239="S-curve",L239*L239*(3-2*L239),L239))</f>
        <v/>
      </c>
      <c r="N239" s="45">
        <f>1+(INDEX(SeasonIdx,A239)-1)*SeasonAmp</f>
        <v/>
      </c>
      <c r="O239" s="45">
        <f>IFERROR(INDEX(PSPct,MATCH(E239&amp;"|"&amp;G239,PSKey,0)),0)</f>
        <v/>
      </c>
      <c r="P239" s="46">
        <f>INDEX(ChDoorVel,MATCH(E239,ChName,0))*CalibScalar*(1+VelocityUplift)</f>
        <v/>
      </c>
      <c r="Q239" s="46" t="n">
        <v>0</v>
      </c>
      <c r="R239" s="46">
        <f>P239*O239*M239*N239*H239</f>
        <v/>
      </c>
      <c r="S239" s="46">
        <f>R239*INDEX(FmtCansPerCase,MATCH(F239,FmtName,0))</f>
        <v/>
      </c>
      <c r="T239" s="46">
        <f>S239/INDEX(FmtCansPerPack,MATCH(F239,FmtName,0))</f>
        <v/>
      </c>
      <c r="U239" s="47">
        <f>INDEX(ChBaseCP,MATCH(E239,ChName,0))*(1+INDEX(ProvMod,MATCH(G239,ProvCode,0)))*(1+PriceIndex)</f>
        <v/>
      </c>
      <c r="V239" s="47">
        <f>R239*U239*INDEX(FmtBlendedPriceIdx,MATCH(F239,FmtName,0))</f>
        <v/>
      </c>
      <c r="W239" s="47">
        <f>T239*INDEX(ProvSRP,MATCH(G239,ProvCode,0))*(1+PriceIndex)</f>
        <v/>
      </c>
      <c r="X239" s="47">
        <f>IF(GrossBasis="Wholesale",V239,W239)</f>
        <v/>
      </c>
      <c r="Y239" s="47">
        <f>R239*INDEX(FmtBlendedCogs,MATCH(F239,FmtName,0))</f>
        <v/>
      </c>
      <c r="Z239" s="47">
        <f>X239-Y239</f>
        <v/>
      </c>
    </row>
    <row r="240">
      <c r="A240" t="n">
        <v>27</v>
      </c>
      <c r="B240" s="44">
        <f>FiscalStart+(A240-1)*7</f>
        <v/>
      </c>
      <c r="C240">
        <f>TEXT(B240,"mmm yyyy")</f>
        <v/>
      </c>
      <c r="D240">
        <f>"Q"&amp;(INT((A240-1)/13)+1)</f>
        <v/>
      </c>
      <c r="E240" t="inlineStr">
        <is>
          <t>Convenience</t>
        </is>
      </c>
      <c r="F240">
        <f>IFERROR(INDEX(ChFormat,MATCH(E240,ChName,0)),"")</f>
        <v/>
      </c>
      <c r="G240" t="inlineStr">
        <is>
          <t>ON</t>
        </is>
      </c>
      <c r="H240">
        <f>IF(A240&lt;=NWeeks,1,0)</f>
        <v/>
      </c>
      <c r="I240">
        <f>INDEX(ChLaunch,MATCH(E240,ChName,0))</f>
        <v/>
      </c>
      <c r="J240">
        <f>INDEX(ChWeeksFull,MATCH(E240,ChName,0))</f>
        <v/>
      </c>
      <c r="K240">
        <f>INDEX(ChRamp,MATCH(E240,ChName,0))</f>
        <v/>
      </c>
      <c r="L240" s="45">
        <f>MIN(1,MAX(0,(A240-I240+1)*RampSpeed/J240))</f>
        <v/>
      </c>
      <c r="M240" s="45">
        <f>IF(A240&lt;I240,0,IF(K240="S-curve",L240*L240*(3-2*L240),L240))</f>
        <v/>
      </c>
      <c r="N240" s="45">
        <f>1+(INDEX(SeasonIdx,A240)-1)*SeasonAmp</f>
        <v/>
      </c>
      <c r="O240" s="45">
        <f>IFERROR(INDEX(PSPct,MATCH(E240&amp;"|"&amp;G240,PSKey,0)),0)</f>
        <v/>
      </c>
      <c r="P240" s="46">
        <f>INDEX(ChDoorVel,MATCH(E240,ChName,0))*CalibScalar*(1+VelocityUplift)</f>
        <v/>
      </c>
      <c r="Q240" s="46" t="n">
        <v>0</v>
      </c>
      <c r="R240" s="46">
        <f>P240*O240*M240*N240*H240</f>
        <v/>
      </c>
      <c r="S240" s="46">
        <f>R240*INDEX(FmtCansPerCase,MATCH(F240,FmtName,0))</f>
        <v/>
      </c>
      <c r="T240" s="46">
        <f>S240/INDEX(FmtCansPerPack,MATCH(F240,FmtName,0))</f>
        <v/>
      </c>
      <c r="U240" s="47">
        <f>INDEX(ChBaseCP,MATCH(E240,ChName,0))*(1+INDEX(ProvMod,MATCH(G240,ProvCode,0)))*(1+PriceIndex)</f>
        <v/>
      </c>
      <c r="V240" s="47">
        <f>R240*U240*INDEX(FmtBlendedPriceIdx,MATCH(F240,FmtName,0))</f>
        <v/>
      </c>
      <c r="W240" s="47">
        <f>T240*INDEX(ProvSRP,MATCH(G240,ProvCode,0))*(1+PriceIndex)</f>
        <v/>
      </c>
      <c r="X240" s="47">
        <f>IF(GrossBasis="Wholesale",V240,W240)</f>
        <v/>
      </c>
      <c r="Y240" s="47">
        <f>R240*INDEX(FmtBlendedCogs,MATCH(F240,FmtName,0))</f>
        <v/>
      </c>
      <c r="Z240" s="47">
        <f>X240-Y240</f>
        <v/>
      </c>
    </row>
    <row r="241">
      <c r="A241" t="n">
        <v>28</v>
      </c>
      <c r="B241" s="44">
        <f>FiscalStart+(A241-1)*7</f>
        <v/>
      </c>
      <c r="C241">
        <f>TEXT(B241,"mmm yyyy")</f>
        <v/>
      </c>
      <c r="D241">
        <f>"Q"&amp;(INT((A241-1)/13)+1)</f>
        <v/>
      </c>
      <c r="E241" t="inlineStr">
        <is>
          <t>Convenience</t>
        </is>
      </c>
      <c r="F241">
        <f>IFERROR(INDEX(ChFormat,MATCH(E241,ChName,0)),"")</f>
        <v/>
      </c>
      <c r="G241" t="inlineStr">
        <is>
          <t>ON</t>
        </is>
      </c>
      <c r="H241">
        <f>IF(A241&lt;=NWeeks,1,0)</f>
        <v/>
      </c>
      <c r="I241">
        <f>INDEX(ChLaunch,MATCH(E241,ChName,0))</f>
        <v/>
      </c>
      <c r="J241">
        <f>INDEX(ChWeeksFull,MATCH(E241,ChName,0))</f>
        <v/>
      </c>
      <c r="K241">
        <f>INDEX(ChRamp,MATCH(E241,ChName,0))</f>
        <v/>
      </c>
      <c r="L241" s="45">
        <f>MIN(1,MAX(0,(A241-I241+1)*RampSpeed/J241))</f>
        <v/>
      </c>
      <c r="M241" s="45">
        <f>IF(A241&lt;I241,0,IF(K241="S-curve",L241*L241*(3-2*L241),L241))</f>
        <v/>
      </c>
      <c r="N241" s="45">
        <f>1+(INDEX(SeasonIdx,A241)-1)*SeasonAmp</f>
        <v/>
      </c>
      <c r="O241" s="45">
        <f>IFERROR(INDEX(PSPct,MATCH(E241&amp;"|"&amp;G241,PSKey,0)),0)</f>
        <v/>
      </c>
      <c r="P241" s="46">
        <f>INDEX(ChDoorVel,MATCH(E241,ChName,0))*CalibScalar*(1+VelocityUplift)</f>
        <v/>
      </c>
      <c r="Q241" s="46" t="n">
        <v>0</v>
      </c>
      <c r="R241" s="46">
        <f>P241*O241*M241*N241*H241</f>
        <v/>
      </c>
      <c r="S241" s="46">
        <f>R241*INDEX(FmtCansPerCase,MATCH(F241,FmtName,0))</f>
        <v/>
      </c>
      <c r="T241" s="46">
        <f>S241/INDEX(FmtCansPerPack,MATCH(F241,FmtName,0))</f>
        <v/>
      </c>
      <c r="U241" s="47">
        <f>INDEX(ChBaseCP,MATCH(E241,ChName,0))*(1+INDEX(ProvMod,MATCH(G241,ProvCode,0)))*(1+PriceIndex)</f>
        <v/>
      </c>
      <c r="V241" s="47">
        <f>R241*U241*INDEX(FmtBlendedPriceIdx,MATCH(F241,FmtName,0))</f>
        <v/>
      </c>
      <c r="W241" s="47">
        <f>T241*INDEX(ProvSRP,MATCH(G241,ProvCode,0))*(1+PriceIndex)</f>
        <v/>
      </c>
      <c r="X241" s="47">
        <f>IF(GrossBasis="Wholesale",V241,W241)</f>
        <v/>
      </c>
      <c r="Y241" s="47">
        <f>R241*INDEX(FmtBlendedCogs,MATCH(F241,FmtName,0))</f>
        <v/>
      </c>
      <c r="Z241" s="47">
        <f>X241-Y241</f>
        <v/>
      </c>
    </row>
    <row r="242">
      <c r="A242" t="n">
        <v>29</v>
      </c>
      <c r="B242" s="44">
        <f>FiscalStart+(A242-1)*7</f>
        <v/>
      </c>
      <c r="C242">
        <f>TEXT(B242,"mmm yyyy")</f>
        <v/>
      </c>
      <c r="D242">
        <f>"Q"&amp;(INT((A242-1)/13)+1)</f>
        <v/>
      </c>
      <c r="E242" t="inlineStr">
        <is>
          <t>Convenience</t>
        </is>
      </c>
      <c r="F242">
        <f>IFERROR(INDEX(ChFormat,MATCH(E242,ChName,0)),"")</f>
        <v/>
      </c>
      <c r="G242" t="inlineStr">
        <is>
          <t>ON</t>
        </is>
      </c>
      <c r="H242">
        <f>IF(A242&lt;=NWeeks,1,0)</f>
        <v/>
      </c>
      <c r="I242">
        <f>INDEX(ChLaunch,MATCH(E242,ChName,0))</f>
        <v/>
      </c>
      <c r="J242">
        <f>INDEX(ChWeeksFull,MATCH(E242,ChName,0))</f>
        <v/>
      </c>
      <c r="K242">
        <f>INDEX(ChRamp,MATCH(E242,ChName,0))</f>
        <v/>
      </c>
      <c r="L242" s="45">
        <f>MIN(1,MAX(0,(A242-I242+1)*RampSpeed/J242))</f>
        <v/>
      </c>
      <c r="M242" s="45">
        <f>IF(A242&lt;I242,0,IF(K242="S-curve",L242*L242*(3-2*L242),L242))</f>
        <v/>
      </c>
      <c r="N242" s="45">
        <f>1+(INDEX(SeasonIdx,A242)-1)*SeasonAmp</f>
        <v/>
      </c>
      <c r="O242" s="45">
        <f>IFERROR(INDEX(PSPct,MATCH(E242&amp;"|"&amp;G242,PSKey,0)),0)</f>
        <v/>
      </c>
      <c r="P242" s="46">
        <f>INDEX(ChDoorVel,MATCH(E242,ChName,0))*CalibScalar*(1+VelocityUplift)</f>
        <v/>
      </c>
      <c r="Q242" s="46" t="n">
        <v>0</v>
      </c>
      <c r="R242" s="46">
        <f>P242*O242*M242*N242*H242</f>
        <v/>
      </c>
      <c r="S242" s="46">
        <f>R242*INDEX(FmtCansPerCase,MATCH(F242,FmtName,0))</f>
        <v/>
      </c>
      <c r="T242" s="46">
        <f>S242/INDEX(FmtCansPerPack,MATCH(F242,FmtName,0))</f>
        <v/>
      </c>
      <c r="U242" s="47">
        <f>INDEX(ChBaseCP,MATCH(E242,ChName,0))*(1+INDEX(ProvMod,MATCH(G242,ProvCode,0)))*(1+PriceIndex)</f>
        <v/>
      </c>
      <c r="V242" s="47">
        <f>R242*U242*INDEX(FmtBlendedPriceIdx,MATCH(F242,FmtName,0))</f>
        <v/>
      </c>
      <c r="W242" s="47">
        <f>T242*INDEX(ProvSRP,MATCH(G242,ProvCode,0))*(1+PriceIndex)</f>
        <v/>
      </c>
      <c r="X242" s="47">
        <f>IF(GrossBasis="Wholesale",V242,W242)</f>
        <v/>
      </c>
      <c r="Y242" s="47">
        <f>R242*INDEX(FmtBlendedCogs,MATCH(F242,FmtName,0))</f>
        <v/>
      </c>
      <c r="Z242" s="47">
        <f>X242-Y242</f>
        <v/>
      </c>
    </row>
    <row r="243">
      <c r="A243" t="n">
        <v>30</v>
      </c>
      <c r="B243" s="44">
        <f>FiscalStart+(A243-1)*7</f>
        <v/>
      </c>
      <c r="C243">
        <f>TEXT(B243,"mmm yyyy")</f>
        <v/>
      </c>
      <c r="D243">
        <f>"Q"&amp;(INT((A243-1)/13)+1)</f>
        <v/>
      </c>
      <c r="E243" t="inlineStr">
        <is>
          <t>Convenience</t>
        </is>
      </c>
      <c r="F243">
        <f>IFERROR(INDEX(ChFormat,MATCH(E243,ChName,0)),"")</f>
        <v/>
      </c>
      <c r="G243" t="inlineStr">
        <is>
          <t>ON</t>
        </is>
      </c>
      <c r="H243">
        <f>IF(A243&lt;=NWeeks,1,0)</f>
        <v/>
      </c>
      <c r="I243">
        <f>INDEX(ChLaunch,MATCH(E243,ChName,0))</f>
        <v/>
      </c>
      <c r="J243">
        <f>INDEX(ChWeeksFull,MATCH(E243,ChName,0))</f>
        <v/>
      </c>
      <c r="K243">
        <f>INDEX(ChRamp,MATCH(E243,ChName,0))</f>
        <v/>
      </c>
      <c r="L243" s="45">
        <f>MIN(1,MAX(0,(A243-I243+1)*RampSpeed/J243))</f>
        <v/>
      </c>
      <c r="M243" s="45">
        <f>IF(A243&lt;I243,0,IF(K243="S-curve",L243*L243*(3-2*L243),L243))</f>
        <v/>
      </c>
      <c r="N243" s="45">
        <f>1+(INDEX(SeasonIdx,A243)-1)*SeasonAmp</f>
        <v/>
      </c>
      <c r="O243" s="45">
        <f>IFERROR(INDEX(PSPct,MATCH(E243&amp;"|"&amp;G243,PSKey,0)),0)</f>
        <v/>
      </c>
      <c r="P243" s="46">
        <f>INDEX(ChDoorVel,MATCH(E243,ChName,0))*CalibScalar*(1+VelocityUplift)</f>
        <v/>
      </c>
      <c r="Q243" s="46" t="n">
        <v>0</v>
      </c>
      <c r="R243" s="46">
        <f>P243*O243*M243*N243*H243</f>
        <v/>
      </c>
      <c r="S243" s="46">
        <f>R243*INDEX(FmtCansPerCase,MATCH(F243,FmtName,0))</f>
        <v/>
      </c>
      <c r="T243" s="46">
        <f>S243/INDEX(FmtCansPerPack,MATCH(F243,FmtName,0))</f>
        <v/>
      </c>
      <c r="U243" s="47">
        <f>INDEX(ChBaseCP,MATCH(E243,ChName,0))*(1+INDEX(ProvMod,MATCH(G243,ProvCode,0)))*(1+PriceIndex)</f>
        <v/>
      </c>
      <c r="V243" s="47">
        <f>R243*U243*INDEX(FmtBlendedPriceIdx,MATCH(F243,FmtName,0))</f>
        <v/>
      </c>
      <c r="W243" s="47">
        <f>T243*INDEX(ProvSRP,MATCH(G243,ProvCode,0))*(1+PriceIndex)</f>
        <v/>
      </c>
      <c r="X243" s="47">
        <f>IF(GrossBasis="Wholesale",V243,W243)</f>
        <v/>
      </c>
      <c r="Y243" s="47">
        <f>R243*INDEX(FmtBlendedCogs,MATCH(F243,FmtName,0))</f>
        <v/>
      </c>
      <c r="Z243" s="47">
        <f>X243-Y243</f>
        <v/>
      </c>
    </row>
    <row r="244">
      <c r="A244" t="n">
        <v>31</v>
      </c>
      <c r="B244" s="44">
        <f>FiscalStart+(A244-1)*7</f>
        <v/>
      </c>
      <c r="C244">
        <f>TEXT(B244,"mmm yyyy")</f>
        <v/>
      </c>
      <c r="D244">
        <f>"Q"&amp;(INT((A244-1)/13)+1)</f>
        <v/>
      </c>
      <c r="E244" t="inlineStr">
        <is>
          <t>Convenience</t>
        </is>
      </c>
      <c r="F244">
        <f>IFERROR(INDEX(ChFormat,MATCH(E244,ChName,0)),"")</f>
        <v/>
      </c>
      <c r="G244" t="inlineStr">
        <is>
          <t>ON</t>
        </is>
      </c>
      <c r="H244">
        <f>IF(A244&lt;=NWeeks,1,0)</f>
        <v/>
      </c>
      <c r="I244">
        <f>INDEX(ChLaunch,MATCH(E244,ChName,0))</f>
        <v/>
      </c>
      <c r="J244">
        <f>INDEX(ChWeeksFull,MATCH(E244,ChName,0))</f>
        <v/>
      </c>
      <c r="K244">
        <f>INDEX(ChRamp,MATCH(E244,ChName,0))</f>
        <v/>
      </c>
      <c r="L244" s="45">
        <f>MIN(1,MAX(0,(A244-I244+1)*RampSpeed/J244))</f>
        <v/>
      </c>
      <c r="M244" s="45">
        <f>IF(A244&lt;I244,0,IF(K244="S-curve",L244*L244*(3-2*L244),L244))</f>
        <v/>
      </c>
      <c r="N244" s="45">
        <f>1+(INDEX(SeasonIdx,A244)-1)*SeasonAmp</f>
        <v/>
      </c>
      <c r="O244" s="45">
        <f>IFERROR(INDEX(PSPct,MATCH(E244&amp;"|"&amp;G244,PSKey,0)),0)</f>
        <v/>
      </c>
      <c r="P244" s="46">
        <f>INDEX(ChDoorVel,MATCH(E244,ChName,0))*CalibScalar*(1+VelocityUplift)</f>
        <v/>
      </c>
      <c r="Q244" s="46" t="n">
        <v>0</v>
      </c>
      <c r="R244" s="46">
        <f>P244*O244*M244*N244*H244</f>
        <v/>
      </c>
      <c r="S244" s="46">
        <f>R244*INDEX(FmtCansPerCase,MATCH(F244,FmtName,0))</f>
        <v/>
      </c>
      <c r="T244" s="46">
        <f>S244/INDEX(FmtCansPerPack,MATCH(F244,FmtName,0))</f>
        <v/>
      </c>
      <c r="U244" s="47">
        <f>INDEX(ChBaseCP,MATCH(E244,ChName,0))*(1+INDEX(ProvMod,MATCH(G244,ProvCode,0)))*(1+PriceIndex)</f>
        <v/>
      </c>
      <c r="V244" s="47">
        <f>R244*U244*INDEX(FmtBlendedPriceIdx,MATCH(F244,FmtName,0))</f>
        <v/>
      </c>
      <c r="W244" s="47">
        <f>T244*INDEX(ProvSRP,MATCH(G244,ProvCode,0))*(1+PriceIndex)</f>
        <v/>
      </c>
      <c r="X244" s="47">
        <f>IF(GrossBasis="Wholesale",V244,W244)</f>
        <v/>
      </c>
      <c r="Y244" s="47">
        <f>R244*INDEX(FmtBlendedCogs,MATCH(F244,FmtName,0))</f>
        <v/>
      </c>
      <c r="Z244" s="47">
        <f>X244-Y244</f>
        <v/>
      </c>
    </row>
    <row r="245">
      <c r="A245" t="n">
        <v>32</v>
      </c>
      <c r="B245" s="44">
        <f>FiscalStart+(A245-1)*7</f>
        <v/>
      </c>
      <c r="C245">
        <f>TEXT(B245,"mmm yyyy")</f>
        <v/>
      </c>
      <c r="D245">
        <f>"Q"&amp;(INT((A245-1)/13)+1)</f>
        <v/>
      </c>
      <c r="E245" t="inlineStr">
        <is>
          <t>Convenience</t>
        </is>
      </c>
      <c r="F245">
        <f>IFERROR(INDEX(ChFormat,MATCH(E245,ChName,0)),"")</f>
        <v/>
      </c>
      <c r="G245" t="inlineStr">
        <is>
          <t>ON</t>
        </is>
      </c>
      <c r="H245">
        <f>IF(A245&lt;=NWeeks,1,0)</f>
        <v/>
      </c>
      <c r="I245">
        <f>INDEX(ChLaunch,MATCH(E245,ChName,0))</f>
        <v/>
      </c>
      <c r="J245">
        <f>INDEX(ChWeeksFull,MATCH(E245,ChName,0))</f>
        <v/>
      </c>
      <c r="K245">
        <f>INDEX(ChRamp,MATCH(E245,ChName,0))</f>
        <v/>
      </c>
      <c r="L245" s="45">
        <f>MIN(1,MAX(0,(A245-I245+1)*RampSpeed/J245))</f>
        <v/>
      </c>
      <c r="M245" s="45">
        <f>IF(A245&lt;I245,0,IF(K245="S-curve",L245*L245*(3-2*L245),L245))</f>
        <v/>
      </c>
      <c r="N245" s="45">
        <f>1+(INDEX(SeasonIdx,A245)-1)*SeasonAmp</f>
        <v/>
      </c>
      <c r="O245" s="45">
        <f>IFERROR(INDEX(PSPct,MATCH(E245&amp;"|"&amp;G245,PSKey,0)),0)</f>
        <v/>
      </c>
      <c r="P245" s="46">
        <f>INDEX(ChDoorVel,MATCH(E245,ChName,0))*CalibScalar*(1+VelocityUplift)</f>
        <v/>
      </c>
      <c r="Q245" s="46" t="n">
        <v>0</v>
      </c>
      <c r="R245" s="46">
        <f>P245*O245*M245*N245*H245</f>
        <v/>
      </c>
      <c r="S245" s="46">
        <f>R245*INDEX(FmtCansPerCase,MATCH(F245,FmtName,0))</f>
        <v/>
      </c>
      <c r="T245" s="46">
        <f>S245/INDEX(FmtCansPerPack,MATCH(F245,FmtName,0))</f>
        <v/>
      </c>
      <c r="U245" s="47">
        <f>INDEX(ChBaseCP,MATCH(E245,ChName,0))*(1+INDEX(ProvMod,MATCH(G245,ProvCode,0)))*(1+PriceIndex)</f>
        <v/>
      </c>
      <c r="V245" s="47">
        <f>R245*U245*INDEX(FmtBlendedPriceIdx,MATCH(F245,FmtName,0))</f>
        <v/>
      </c>
      <c r="W245" s="47">
        <f>T245*INDEX(ProvSRP,MATCH(G245,ProvCode,0))*(1+PriceIndex)</f>
        <v/>
      </c>
      <c r="X245" s="47">
        <f>IF(GrossBasis="Wholesale",V245,W245)</f>
        <v/>
      </c>
      <c r="Y245" s="47">
        <f>R245*INDEX(FmtBlendedCogs,MATCH(F245,FmtName,0))</f>
        <v/>
      </c>
      <c r="Z245" s="47">
        <f>X245-Y245</f>
        <v/>
      </c>
    </row>
    <row r="246">
      <c r="A246" t="n">
        <v>33</v>
      </c>
      <c r="B246" s="44">
        <f>FiscalStart+(A246-1)*7</f>
        <v/>
      </c>
      <c r="C246">
        <f>TEXT(B246,"mmm yyyy")</f>
        <v/>
      </c>
      <c r="D246">
        <f>"Q"&amp;(INT((A246-1)/13)+1)</f>
        <v/>
      </c>
      <c r="E246" t="inlineStr">
        <is>
          <t>Convenience</t>
        </is>
      </c>
      <c r="F246">
        <f>IFERROR(INDEX(ChFormat,MATCH(E246,ChName,0)),"")</f>
        <v/>
      </c>
      <c r="G246" t="inlineStr">
        <is>
          <t>ON</t>
        </is>
      </c>
      <c r="H246">
        <f>IF(A246&lt;=NWeeks,1,0)</f>
        <v/>
      </c>
      <c r="I246">
        <f>INDEX(ChLaunch,MATCH(E246,ChName,0))</f>
        <v/>
      </c>
      <c r="J246">
        <f>INDEX(ChWeeksFull,MATCH(E246,ChName,0))</f>
        <v/>
      </c>
      <c r="K246">
        <f>INDEX(ChRamp,MATCH(E246,ChName,0))</f>
        <v/>
      </c>
      <c r="L246" s="45">
        <f>MIN(1,MAX(0,(A246-I246+1)*RampSpeed/J246))</f>
        <v/>
      </c>
      <c r="M246" s="45">
        <f>IF(A246&lt;I246,0,IF(K246="S-curve",L246*L246*(3-2*L246),L246))</f>
        <v/>
      </c>
      <c r="N246" s="45">
        <f>1+(INDEX(SeasonIdx,A246)-1)*SeasonAmp</f>
        <v/>
      </c>
      <c r="O246" s="45">
        <f>IFERROR(INDEX(PSPct,MATCH(E246&amp;"|"&amp;G246,PSKey,0)),0)</f>
        <v/>
      </c>
      <c r="P246" s="46">
        <f>INDEX(ChDoorVel,MATCH(E246,ChName,0))*CalibScalar*(1+VelocityUplift)</f>
        <v/>
      </c>
      <c r="Q246" s="46" t="n">
        <v>0</v>
      </c>
      <c r="R246" s="46">
        <f>P246*O246*M246*N246*H246</f>
        <v/>
      </c>
      <c r="S246" s="46">
        <f>R246*INDEX(FmtCansPerCase,MATCH(F246,FmtName,0))</f>
        <v/>
      </c>
      <c r="T246" s="46">
        <f>S246/INDEX(FmtCansPerPack,MATCH(F246,FmtName,0))</f>
        <v/>
      </c>
      <c r="U246" s="47">
        <f>INDEX(ChBaseCP,MATCH(E246,ChName,0))*(1+INDEX(ProvMod,MATCH(G246,ProvCode,0)))*(1+PriceIndex)</f>
        <v/>
      </c>
      <c r="V246" s="47">
        <f>R246*U246*INDEX(FmtBlendedPriceIdx,MATCH(F246,FmtName,0))</f>
        <v/>
      </c>
      <c r="W246" s="47">
        <f>T246*INDEX(ProvSRP,MATCH(G246,ProvCode,0))*(1+PriceIndex)</f>
        <v/>
      </c>
      <c r="X246" s="47">
        <f>IF(GrossBasis="Wholesale",V246,W246)</f>
        <v/>
      </c>
      <c r="Y246" s="47">
        <f>R246*INDEX(FmtBlendedCogs,MATCH(F246,FmtName,0))</f>
        <v/>
      </c>
      <c r="Z246" s="47">
        <f>X246-Y246</f>
        <v/>
      </c>
    </row>
    <row r="247">
      <c r="A247" t="n">
        <v>34</v>
      </c>
      <c r="B247" s="44">
        <f>FiscalStart+(A247-1)*7</f>
        <v/>
      </c>
      <c r="C247">
        <f>TEXT(B247,"mmm yyyy")</f>
        <v/>
      </c>
      <c r="D247">
        <f>"Q"&amp;(INT((A247-1)/13)+1)</f>
        <v/>
      </c>
      <c r="E247" t="inlineStr">
        <is>
          <t>Convenience</t>
        </is>
      </c>
      <c r="F247">
        <f>IFERROR(INDEX(ChFormat,MATCH(E247,ChName,0)),"")</f>
        <v/>
      </c>
      <c r="G247" t="inlineStr">
        <is>
          <t>ON</t>
        </is>
      </c>
      <c r="H247">
        <f>IF(A247&lt;=NWeeks,1,0)</f>
        <v/>
      </c>
      <c r="I247">
        <f>INDEX(ChLaunch,MATCH(E247,ChName,0))</f>
        <v/>
      </c>
      <c r="J247">
        <f>INDEX(ChWeeksFull,MATCH(E247,ChName,0))</f>
        <v/>
      </c>
      <c r="K247">
        <f>INDEX(ChRamp,MATCH(E247,ChName,0))</f>
        <v/>
      </c>
      <c r="L247" s="45">
        <f>MIN(1,MAX(0,(A247-I247+1)*RampSpeed/J247))</f>
        <v/>
      </c>
      <c r="M247" s="45">
        <f>IF(A247&lt;I247,0,IF(K247="S-curve",L247*L247*(3-2*L247),L247))</f>
        <v/>
      </c>
      <c r="N247" s="45">
        <f>1+(INDEX(SeasonIdx,A247)-1)*SeasonAmp</f>
        <v/>
      </c>
      <c r="O247" s="45">
        <f>IFERROR(INDEX(PSPct,MATCH(E247&amp;"|"&amp;G247,PSKey,0)),0)</f>
        <v/>
      </c>
      <c r="P247" s="46">
        <f>INDEX(ChDoorVel,MATCH(E247,ChName,0))*CalibScalar*(1+VelocityUplift)</f>
        <v/>
      </c>
      <c r="Q247" s="46" t="n">
        <v>0</v>
      </c>
      <c r="R247" s="46">
        <f>P247*O247*M247*N247*H247</f>
        <v/>
      </c>
      <c r="S247" s="46">
        <f>R247*INDEX(FmtCansPerCase,MATCH(F247,FmtName,0))</f>
        <v/>
      </c>
      <c r="T247" s="46">
        <f>S247/INDEX(FmtCansPerPack,MATCH(F247,FmtName,0))</f>
        <v/>
      </c>
      <c r="U247" s="47">
        <f>INDEX(ChBaseCP,MATCH(E247,ChName,0))*(1+INDEX(ProvMod,MATCH(G247,ProvCode,0)))*(1+PriceIndex)</f>
        <v/>
      </c>
      <c r="V247" s="47">
        <f>R247*U247*INDEX(FmtBlendedPriceIdx,MATCH(F247,FmtName,0))</f>
        <v/>
      </c>
      <c r="W247" s="47">
        <f>T247*INDEX(ProvSRP,MATCH(G247,ProvCode,0))*(1+PriceIndex)</f>
        <v/>
      </c>
      <c r="X247" s="47">
        <f>IF(GrossBasis="Wholesale",V247,W247)</f>
        <v/>
      </c>
      <c r="Y247" s="47">
        <f>R247*INDEX(FmtBlendedCogs,MATCH(F247,FmtName,0))</f>
        <v/>
      </c>
      <c r="Z247" s="47">
        <f>X247-Y247</f>
        <v/>
      </c>
    </row>
    <row r="248">
      <c r="A248" t="n">
        <v>35</v>
      </c>
      <c r="B248" s="44">
        <f>FiscalStart+(A248-1)*7</f>
        <v/>
      </c>
      <c r="C248">
        <f>TEXT(B248,"mmm yyyy")</f>
        <v/>
      </c>
      <c r="D248">
        <f>"Q"&amp;(INT((A248-1)/13)+1)</f>
        <v/>
      </c>
      <c r="E248" t="inlineStr">
        <is>
          <t>Convenience</t>
        </is>
      </c>
      <c r="F248">
        <f>IFERROR(INDEX(ChFormat,MATCH(E248,ChName,0)),"")</f>
        <v/>
      </c>
      <c r="G248" t="inlineStr">
        <is>
          <t>ON</t>
        </is>
      </c>
      <c r="H248">
        <f>IF(A248&lt;=NWeeks,1,0)</f>
        <v/>
      </c>
      <c r="I248">
        <f>INDEX(ChLaunch,MATCH(E248,ChName,0))</f>
        <v/>
      </c>
      <c r="J248">
        <f>INDEX(ChWeeksFull,MATCH(E248,ChName,0))</f>
        <v/>
      </c>
      <c r="K248">
        <f>INDEX(ChRamp,MATCH(E248,ChName,0))</f>
        <v/>
      </c>
      <c r="L248" s="45">
        <f>MIN(1,MAX(0,(A248-I248+1)*RampSpeed/J248))</f>
        <v/>
      </c>
      <c r="M248" s="45">
        <f>IF(A248&lt;I248,0,IF(K248="S-curve",L248*L248*(3-2*L248),L248))</f>
        <v/>
      </c>
      <c r="N248" s="45">
        <f>1+(INDEX(SeasonIdx,A248)-1)*SeasonAmp</f>
        <v/>
      </c>
      <c r="O248" s="45">
        <f>IFERROR(INDEX(PSPct,MATCH(E248&amp;"|"&amp;G248,PSKey,0)),0)</f>
        <v/>
      </c>
      <c r="P248" s="46">
        <f>INDEX(ChDoorVel,MATCH(E248,ChName,0))*CalibScalar*(1+VelocityUplift)</f>
        <v/>
      </c>
      <c r="Q248" s="46" t="n">
        <v>0</v>
      </c>
      <c r="R248" s="46">
        <f>P248*O248*M248*N248*H248</f>
        <v/>
      </c>
      <c r="S248" s="46">
        <f>R248*INDEX(FmtCansPerCase,MATCH(F248,FmtName,0))</f>
        <v/>
      </c>
      <c r="T248" s="46">
        <f>S248/INDEX(FmtCansPerPack,MATCH(F248,FmtName,0))</f>
        <v/>
      </c>
      <c r="U248" s="47">
        <f>INDEX(ChBaseCP,MATCH(E248,ChName,0))*(1+INDEX(ProvMod,MATCH(G248,ProvCode,0)))*(1+PriceIndex)</f>
        <v/>
      </c>
      <c r="V248" s="47">
        <f>R248*U248*INDEX(FmtBlendedPriceIdx,MATCH(F248,FmtName,0))</f>
        <v/>
      </c>
      <c r="W248" s="47">
        <f>T248*INDEX(ProvSRP,MATCH(G248,ProvCode,0))*(1+PriceIndex)</f>
        <v/>
      </c>
      <c r="X248" s="47">
        <f>IF(GrossBasis="Wholesale",V248,W248)</f>
        <v/>
      </c>
      <c r="Y248" s="47">
        <f>R248*INDEX(FmtBlendedCogs,MATCH(F248,FmtName,0))</f>
        <v/>
      </c>
      <c r="Z248" s="47">
        <f>X248-Y248</f>
        <v/>
      </c>
    </row>
    <row r="249">
      <c r="A249" t="n">
        <v>36</v>
      </c>
      <c r="B249" s="44">
        <f>FiscalStart+(A249-1)*7</f>
        <v/>
      </c>
      <c r="C249">
        <f>TEXT(B249,"mmm yyyy")</f>
        <v/>
      </c>
      <c r="D249">
        <f>"Q"&amp;(INT((A249-1)/13)+1)</f>
        <v/>
      </c>
      <c r="E249" t="inlineStr">
        <is>
          <t>Convenience</t>
        </is>
      </c>
      <c r="F249">
        <f>IFERROR(INDEX(ChFormat,MATCH(E249,ChName,0)),"")</f>
        <v/>
      </c>
      <c r="G249" t="inlineStr">
        <is>
          <t>ON</t>
        </is>
      </c>
      <c r="H249">
        <f>IF(A249&lt;=NWeeks,1,0)</f>
        <v/>
      </c>
      <c r="I249">
        <f>INDEX(ChLaunch,MATCH(E249,ChName,0))</f>
        <v/>
      </c>
      <c r="J249">
        <f>INDEX(ChWeeksFull,MATCH(E249,ChName,0))</f>
        <v/>
      </c>
      <c r="K249">
        <f>INDEX(ChRamp,MATCH(E249,ChName,0))</f>
        <v/>
      </c>
      <c r="L249" s="45">
        <f>MIN(1,MAX(0,(A249-I249+1)*RampSpeed/J249))</f>
        <v/>
      </c>
      <c r="M249" s="45">
        <f>IF(A249&lt;I249,0,IF(K249="S-curve",L249*L249*(3-2*L249),L249))</f>
        <v/>
      </c>
      <c r="N249" s="45">
        <f>1+(INDEX(SeasonIdx,A249)-1)*SeasonAmp</f>
        <v/>
      </c>
      <c r="O249" s="45">
        <f>IFERROR(INDEX(PSPct,MATCH(E249&amp;"|"&amp;G249,PSKey,0)),0)</f>
        <v/>
      </c>
      <c r="P249" s="46">
        <f>INDEX(ChDoorVel,MATCH(E249,ChName,0))*CalibScalar*(1+VelocityUplift)</f>
        <v/>
      </c>
      <c r="Q249" s="46" t="n">
        <v>0</v>
      </c>
      <c r="R249" s="46">
        <f>P249*O249*M249*N249*H249</f>
        <v/>
      </c>
      <c r="S249" s="46">
        <f>R249*INDEX(FmtCansPerCase,MATCH(F249,FmtName,0))</f>
        <v/>
      </c>
      <c r="T249" s="46">
        <f>S249/INDEX(FmtCansPerPack,MATCH(F249,FmtName,0))</f>
        <v/>
      </c>
      <c r="U249" s="47">
        <f>INDEX(ChBaseCP,MATCH(E249,ChName,0))*(1+INDEX(ProvMod,MATCH(G249,ProvCode,0)))*(1+PriceIndex)</f>
        <v/>
      </c>
      <c r="V249" s="47">
        <f>R249*U249*INDEX(FmtBlendedPriceIdx,MATCH(F249,FmtName,0))</f>
        <v/>
      </c>
      <c r="W249" s="47">
        <f>T249*INDEX(ProvSRP,MATCH(G249,ProvCode,0))*(1+PriceIndex)</f>
        <v/>
      </c>
      <c r="X249" s="47">
        <f>IF(GrossBasis="Wholesale",V249,W249)</f>
        <v/>
      </c>
      <c r="Y249" s="47">
        <f>R249*INDEX(FmtBlendedCogs,MATCH(F249,FmtName,0))</f>
        <v/>
      </c>
      <c r="Z249" s="47">
        <f>X249-Y249</f>
        <v/>
      </c>
    </row>
    <row r="250">
      <c r="A250" t="n">
        <v>37</v>
      </c>
      <c r="B250" s="44">
        <f>FiscalStart+(A250-1)*7</f>
        <v/>
      </c>
      <c r="C250">
        <f>TEXT(B250,"mmm yyyy")</f>
        <v/>
      </c>
      <c r="D250">
        <f>"Q"&amp;(INT((A250-1)/13)+1)</f>
        <v/>
      </c>
      <c r="E250" t="inlineStr">
        <is>
          <t>Convenience</t>
        </is>
      </c>
      <c r="F250">
        <f>IFERROR(INDEX(ChFormat,MATCH(E250,ChName,0)),"")</f>
        <v/>
      </c>
      <c r="G250" t="inlineStr">
        <is>
          <t>ON</t>
        </is>
      </c>
      <c r="H250">
        <f>IF(A250&lt;=NWeeks,1,0)</f>
        <v/>
      </c>
      <c r="I250">
        <f>INDEX(ChLaunch,MATCH(E250,ChName,0))</f>
        <v/>
      </c>
      <c r="J250">
        <f>INDEX(ChWeeksFull,MATCH(E250,ChName,0))</f>
        <v/>
      </c>
      <c r="K250">
        <f>INDEX(ChRamp,MATCH(E250,ChName,0))</f>
        <v/>
      </c>
      <c r="L250" s="45">
        <f>MIN(1,MAX(0,(A250-I250+1)*RampSpeed/J250))</f>
        <v/>
      </c>
      <c r="M250" s="45">
        <f>IF(A250&lt;I250,0,IF(K250="S-curve",L250*L250*(3-2*L250),L250))</f>
        <v/>
      </c>
      <c r="N250" s="45">
        <f>1+(INDEX(SeasonIdx,A250)-1)*SeasonAmp</f>
        <v/>
      </c>
      <c r="O250" s="45">
        <f>IFERROR(INDEX(PSPct,MATCH(E250&amp;"|"&amp;G250,PSKey,0)),0)</f>
        <v/>
      </c>
      <c r="P250" s="46">
        <f>INDEX(ChDoorVel,MATCH(E250,ChName,0))*CalibScalar*(1+VelocityUplift)</f>
        <v/>
      </c>
      <c r="Q250" s="46" t="n">
        <v>0</v>
      </c>
      <c r="R250" s="46">
        <f>P250*O250*M250*N250*H250</f>
        <v/>
      </c>
      <c r="S250" s="46">
        <f>R250*INDEX(FmtCansPerCase,MATCH(F250,FmtName,0))</f>
        <v/>
      </c>
      <c r="T250" s="46">
        <f>S250/INDEX(FmtCansPerPack,MATCH(F250,FmtName,0))</f>
        <v/>
      </c>
      <c r="U250" s="47">
        <f>INDEX(ChBaseCP,MATCH(E250,ChName,0))*(1+INDEX(ProvMod,MATCH(G250,ProvCode,0)))*(1+PriceIndex)</f>
        <v/>
      </c>
      <c r="V250" s="47">
        <f>R250*U250*INDEX(FmtBlendedPriceIdx,MATCH(F250,FmtName,0))</f>
        <v/>
      </c>
      <c r="W250" s="47">
        <f>T250*INDEX(ProvSRP,MATCH(G250,ProvCode,0))*(1+PriceIndex)</f>
        <v/>
      </c>
      <c r="X250" s="47">
        <f>IF(GrossBasis="Wholesale",V250,W250)</f>
        <v/>
      </c>
      <c r="Y250" s="47">
        <f>R250*INDEX(FmtBlendedCogs,MATCH(F250,FmtName,0))</f>
        <v/>
      </c>
      <c r="Z250" s="47">
        <f>X250-Y250</f>
        <v/>
      </c>
    </row>
    <row r="251">
      <c r="A251" t="n">
        <v>38</v>
      </c>
      <c r="B251" s="44">
        <f>FiscalStart+(A251-1)*7</f>
        <v/>
      </c>
      <c r="C251">
        <f>TEXT(B251,"mmm yyyy")</f>
        <v/>
      </c>
      <c r="D251">
        <f>"Q"&amp;(INT((A251-1)/13)+1)</f>
        <v/>
      </c>
      <c r="E251" t="inlineStr">
        <is>
          <t>Convenience</t>
        </is>
      </c>
      <c r="F251">
        <f>IFERROR(INDEX(ChFormat,MATCH(E251,ChName,0)),"")</f>
        <v/>
      </c>
      <c r="G251" t="inlineStr">
        <is>
          <t>ON</t>
        </is>
      </c>
      <c r="H251">
        <f>IF(A251&lt;=NWeeks,1,0)</f>
        <v/>
      </c>
      <c r="I251">
        <f>INDEX(ChLaunch,MATCH(E251,ChName,0))</f>
        <v/>
      </c>
      <c r="J251">
        <f>INDEX(ChWeeksFull,MATCH(E251,ChName,0))</f>
        <v/>
      </c>
      <c r="K251">
        <f>INDEX(ChRamp,MATCH(E251,ChName,0))</f>
        <v/>
      </c>
      <c r="L251" s="45">
        <f>MIN(1,MAX(0,(A251-I251+1)*RampSpeed/J251))</f>
        <v/>
      </c>
      <c r="M251" s="45">
        <f>IF(A251&lt;I251,0,IF(K251="S-curve",L251*L251*(3-2*L251),L251))</f>
        <v/>
      </c>
      <c r="N251" s="45">
        <f>1+(INDEX(SeasonIdx,A251)-1)*SeasonAmp</f>
        <v/>
      </c>
      <c r="O251" s="45">
        <f>IFERROR(INDEX(PSPct,MATCH(E251&amp;"|"&amp;G251,PSKey,0)),0)</f>
        <v/>
      </c>
      <c r="P251" s="46">
        <f>INDEX(ChDoorVel,MATCH(E251,ChName,0))*CalibScalar*(1+VelocityUplift)</f>
        <v/>
      </c>
      <c r="Q251" s="46" t="n">
        <v>0</v>
      </c>
      <c r="R251" s="46">
        <f>P251*O251*M251*N251*H251</f>
        <v/>
      </c>
      <c r="S251" s="46">
        <f>R251*INDEX(FmtCansPerCase,MATCH(F251,FmtName,0))</f>
        <v/>
      </c>
      <c r="T251" s="46">
        <f>S251/INDEX(FmtCansPerPack,MATCH(F251,FmtName,0))</f>
        <v/>
      </c>
      <c r="U251" s="47">
        <f>INDEX(ChBaseCP,MATCH(E251,ChName,0))*(1+INDEX(ProvMod,MATCH(G251,ProvCode,0)))*(1+PriceIndex)</f>
        <v/>
      </c>
      <c r="V251" s="47">
        <f>R251*U251*INDEX(FmtBlendedPriceIdx,MATCH(F251,FmtName,0))</f>
        <v/>
      </c>
      <c r="W251" s="47">
        <f>T251*INDEX(ProvSRP,MATCH(G251,ProvCode,0))*(1+PriceIndex)</f>
        <v/>
      </c>
      <c r="X251" s="47">
        <f>IF(GrossBasis="Wholesale",V251,W251)</f>
        <v/>
      </c>
      <c r="Y251" s="47">
        <f>R251*INDEX(FmtBlendedCogs,MATCH(F251,FmtName,0))</f>
        <v/>
      </c>
      <c r="Z251" s="47">
        <f>X251-Y251</f>
        <v/>
      </c>
    </row>
    <row r="252">
      <c r="A252" t="n">
        <v>39</v>
      </c>
      <c r="B252" s="44">
        <f>FiscalStart+(A252-1)*7</f>
        <v/>
      </c>
      <c r="C252">
        <f>TEXT(B252,"mmm yyyy")</f>
        <v/>
      </c>
      <c r="D252">
        <f>"Q"&amp;(INT((A252-1)/13)+1)</f>
        <v/>
      </c>
      <c r="E252" t="inlineStr">
        <is>
          <t>Convenience</t>
        </is>
      </c>
      <c r="F252">
        <f>IFERROR(INDEX(ChFormat,MATCH(E252,ChName,0)),"")</f>
        <v/>
      </c>
      <c r="G252" t="inlineStr">
        <is>
          <t>ON</t>
        </is>
      </c>
      <c r="H252">
        <f>IF(A252&lt;=NWeeks,1,0)</f>
        <v/>
      </c>
      <c r="I252">
        <f>INDEX(ChLaunch,MATCH(E252,ChName,0))</f>
        <v/>
      </c>
      <c r="J252">
        <f>INDEX(ChWeeksFull,MATCH(E252,ChName,0))</f>
        <v/>
      </c>
      <c r="K252">
        <f>INDEX(ChRamp,MATCH(E252,ChName,0))</f>
        <v/>
      </c>
      <c r="L252" s="45">
        <f>MIN(1,MAX(0,(A252-I252+1)*RampSpeed/J252))</f>
        <v/>
      </c>
      <c r="M252" s="45">
        <f>IF(A252&lt;I252,0,IF(K252="S-curve",L252*L252*(3-2*L252),L252))</f>
        <v/>
      </c>
      <c r="N252" s="45">
        <f>1+(INDEX(SeasonIdx,A252)-1)*SeasonAmp</f>
        <v/>
      </c>
      <c r="O252" s="45">
        <f>IFERROR(INDEX(PSPct,MATCH(E252&amp;"|"&amp;G252,PSKey,0)),0)</f>
        <v/>
      </c>
      <c r="P252" s="46">
        <f>INDEX(ChDoorVel,MATCH(E252,ChName,0))*CalibScalar*(1+VelocityUplift)</f>
        <v/>
      </c>
      <c r="Q252" s="46" t="n">
        <v>0</v>
      </c>
      <c r="R252" s="46">
        <f>P252*O252*M252*N252*H252</f>
        <v/>
      </c>
      <c r="S252" s="46">
        <f>R252*INDEX(FmtCansPerCase,MATCH(F252,FmtName,0))</f>
        <v/>
      </c>
      <c r="T252" s="46">
        <f>S252/INDEX(FmtCansPerPack,MATCH(F252,FmtName,0))</f>
        <v/>
      </c>
      <c r="U252" s="47">
        <f>INDEX(ChBaseCP,MATCH(E252,ChName,0))*(1+INDEX(ProvMod,MATCH(G252,ProvCode,0)))*(1+PriceIndex)</f>
        <v/>
      </c>
      <c r="V252" s="47">
        <f>R252*U252*INDEX(FmtBlendedPriceIdx,MATCH(F252,FmtName,0))</f>
        <v/>
      </c>
      <c r="W252" s="47">
        <f>T252*INDEX(ProvSRP,MATCH(G252,ProvCode,0))*(1+PriceIndex)</f>
        <v/>
      </c>
      <c r="X252" s="47">
        <f>IF(GrossBasis="Wholesale",V252,W252)</f>
        <v/>
      </c>
      <c r="Y252" s="47">
        <f>R252*INDEX(FmtBlendedCogs,MATCH(F252,FmtName,0))</f>
        <v/>
      </c>
      <c r="Z252" s="47">
        <f>X252-Y252</f>
        <v/>
      </c>
    </row>
    <row r="253">
      <c r="A253" t="n">
        <v>40</v>
      </c>
      <c r="B253" s="44">
        <f>FiscalStart+(A253-1)*7</f>
        <v/>
      </c>
      <c r="C253">
        <f>TEXT(B253,"mmm yyyy")</f>
        <v/>
      </c>
      <c r="D253">
        <f>"Q"&amp;(INT((A253-1)/13)+1)</f>
        <v/>
      </c>
      <c r="E253" t="inlineStr">
        <is>
          <t>Convenience</t>
        </is>
      </c>
      <c r="F253">
        <f>IFERROR(INDEX(ChFormat,MATCH(E253,ChName,0)),"")</f>
        <v/>
      </c>
      <c r="G253" t="inlineStr">
        <is>
          <t>ON</t>
        </is>
      </c>
      <c r="H253">
        <f>IF(A253&lt;=NWeeks,1,0)</f>
        <v/>
      </c>
      <c r="I253">
        <f>INDEX(ChLaunch,MATCH(E253,ChName,0))</f>
        <v/>
      </c>
      <c r="J253">
        <f>INDEX(ChWeeksFull,MATCH(E253,ChName,0))</f>
        <v/>
      </c>
      <c r="K253">
        <f>INDEX(ChRamp,MATCH(E253,ChName,0))</f>
        <v/>
      </c>
      <c r="L253" s="45">
        <f>MIN(1,MAX(0,(A253-I253+1)*RampSpeed/J253))</f>
        <v/>
      </c>
      <c r="M253" s="45">
        <f>IF(A253&lt;I253,0,IF(K253="S-curve",L253*L253*(3-2*L253),L253))</f>
        <v/>
      </c>
      <c r="N253" s="45">
        <f>1+(INDEX(SeasonIdx,A253)-1)*SeasonAmp</f>
        <v/>
      </c>
      <c r="O253" s="45">
        <f>IFERROR(INDEX(PSPct,MATCH(E253&amp;"|"&amp;G253,PSKey,0)),0)</f>
        <v/>
      </c>
      <c r="P253" s="46">
        <f>INDEX(ChDoorVel,MATCH(E253,ChName,0))*CalibScalar*(1+VelocityUplift)</f>
        <v/>
      </c>
      <c r="Q253" s="46" t="n">
        <v>0</v>
      </c>
      <c r="R253" s="46">
        <f>P253*O253*M253*N253*H253</f>
        <v/>
      </c>
      <c r="S253" s="46">
        <f>R253*INDEX(FmtCansPerCase,MATCH(F253,FmtName,0))</f>
        <v/>
      </c>
      <c r="T253" s="46">
        <f>S253/INDEX(FmtCansPerPack,MATCH(F253,FmtName,0))</f>
        <v/>
      </c>
      <c r="U253" s="47">
        <f>INDEX(ChBaseCP,MATCH(E253,ChName,0))*(1+INDEX(ProvMod,MATCH(G253,ProvCode,0)))*(1+PriceIndex)</f>
        <v/>
      </c>
      <c r="V253" s="47">
        <f>R253*U253*INDEX(FmtBlendedPriceIdx,MATCH(F253,FmtName,0))</f>
        <v/>
      </c>
      <c r="W253" s="47">
        <f>T253*INDEX(ProvSRP,MATCH(G253,ProvCode,0))*(1+PriceIndex)</f>
        <v/>
      </c>
      <c r="X253" s="47">
        <f>IF(GrossBasis="Wholesale",V253,W253)</f>
        <v/>
      </c>
      <c r="Y253" s="47">
        <f>R253*INDEX(FmtBlendedCogs,MATCH(F253,FmtName,0))</f>
        <v/>
      </c>
      <c r="Z253" s="47">
        <f>X253-Y253</f>
        <v/>
      </c>
    </row>
    <row r="254">
      <c r="A254" t="n">
        <v>41</v>
      </c>
      <c r="B254" s="44">
        <f>FiscalStart+(A254-1)*7</f>
        <v/>
      </c>
      <c r="C254">
        <f>TEXT(B254,"mmm yyyy")</f>
        <v/>
      </c>
      <c r="D254">
        <f>"Q"&amp;(INT((A254-1)/13)+1)</f>
        <v/>
      </c>
      <c r="E254" t="inlineStr">
        <is>
          <t>Convenience</t>
        </is>
      </c>
      <c r="F254">
        <f>IFERROR(INDEX(ChFormat,MATCH(E254,ChName,0)),"")</f>
        <v/>
      </c>
      <c r="G254" t="inlineStr">
        <is>
          <t>ON</t>
        </is>
      </c>
      <c r="H254">
        <f>IF(A254&lt;=NWeeks,1,0)</f>
        <v/>
      </c>
      <c r="I254">
        <f>INDEX(ChLaunch,MATCH(E254,ChName,0))</f>
        <v/>
      </c>
      <c r="J254">
        <f>INDEX(ChWeeksFull,MATCH(E254,ChName,0))</f>
        <v/>
      </c>
      <c r="K254">
        <f>INDEX(ChRamp,MATCH(E254,ChName,0))</f>
        <v/>
      </c>
      <c r="L254" s="45">
        <f>MIN(1,MAX(0,(A254-I254+1)*RampSpeed/J254))</f>
        <v/>
      </c>
      <c r="M254" s="45">
        <f>IF(A254&lt;I254,0,IF(K254="S-curve",L254*L254*(3-2*L254),L254))</f>
        <v/>
      </c>
      <c r="N254" s="45">
        <f>1+(INDEX(SeasonIdx,A254)-1)*SeasonAmp</f>
        <v/>
      </c>
      <c r="O254" s="45">
        <f>IFERROR(INDEX(PSPct,MATCH(E254&amp;"|"&amp;G254,PSKey,0)),0)</f>
        <v/>
      </c>
      <c r="P254" s="46">
        <f>INDEX(ChDoorVel,MATCH(E254,ChName,0))*CalibScalar*(1+VelocityUplift)</f>
        <v/>
      </c>
      <c r="Q254" s="46" t="n">
        <v>0</v>
      </c>
      <c r="R254" s="46">
        <f>P254*O254*M254*N254*H254</f>
        <v/>
      </c>
      <c r="S254" s="46">
        <f>R254*INDEX(FmtCansPerCase,MATCH(F254,FmtName,0))</f>
        <v/>
      </c>
      <c r="T254" s="46">
        <f>S254/INDEX(FmtCansPerPack,MATCH(F254,FmtName,0))</f>
        <v/>
      </c>
      <c r="U254" s="47">
        <f>INDEX(ChBaseCP,MATCH(E254,ChName,0))*(1+INDEX(ProvMod,MATCH(G254,ProvCode,0)))*(1+PriceIndex)</f>
        <v/>
      </c>
      <c r="V254" s="47">
        <f>R254*U254*INDEX(FmtBlendedPriceIdx,MATCH(F254,FmtName,0))</f>
        <v/>
      </c>
      <c r="W254" s="47">
        <f>T254*INDEX(ProvSRP,MATCH(G254,ProvCode,0))*(1+PriceIndex)</f>
        <v/>
      </c>
      <c r="X254" s="47">
        <f>IF(GrossBasis="Wholesale",V254,W254)</f>
        <v/>
      </c>
      <c r="Y254" s="47">
        <f>R254*INDEX(FmtBlendedCogs,MATCH(F254,FmtName,0))</f>
        <v/>
      </c>
      <c r="Z254" s="47">
        <f>X254-Y254</f>
        <v/>
      </c>
    </row>
    <row r="255">
      <c r="A255" t="n">
        <v>42</v>
      </c>
      <c r="B255" s="44">
        <f>FiscalStart+(A255-1)*7</f>
        <v/>
      </c>
      <c r="C255">
        <f>TEXT(B255,"mmm yyyy")</f>
        <v/>
      </c>
      <c r="D255">
        <f>"Q"&amp;(INT((A255-1)/13)+1)</f>
        <v/>
      </c>
      <c r="E255" t="inlineStr">
        <is>
          <t>Convenience</t>
        </is>
      </c>
      <c r="F255">
        <f>IFERROR(INDEX(ChFormat,MATCH(E255,ChName,0)),"")</f>
        <v/>
      </c>
      <c r="G255" t="inlineStr">
        <is>
          <t>ON</t>
        </is>
      </c>
      <c r="H255">
        <f>IF(A255&lt;=NWeeks,1,0)</f>
        <v/>
      </c>
      <c r="I255">
        <f>INDEX(ChLaunch,MATCH(E255,ChName,0))</f>
        <v/>
      </c>
      <c r="J255">
        <f>INDEX(ChWeeksFull,MATCH(E255,ChName,0))</f>
        <v/>
      </c>
      <c r="K255">
        <f>INDEX(ChRamp,MATCH(E255,ChName,0))</f>
        <v/>
      </c>
      <c r="L255" s="45">
        <f>MIN(1,MAX(0,(A255-I255+1)*RampSpeed/J255))</f>
        <v/>
      </c>
      <c r="M255" s="45">
        <f>IF(A255&lt;I255,0,IF(K255="S-curve",L255*L255*(3-2*L255),L255))</f>
        <v/>
      </c>
      <c r="N255" s="45">
        <f>1+(INDEX(SeasonIdx,A255)-1)*SeasonAmp</f>
        <v/>
      </c>
      <c r="O255" s="45">
        <f>IFERROR(INDEX(PSPct,MATCH(E255&amp;"|"&amp;G255,PSKey,0)),0)</f>
        <v/>
      </c>
      <c r="P255" s="46">
        <f>INDEX(ChDoorVel,MATCH(E255,ChName,0))*CalibScalar*(1+VelocityUplift)</f>
        <v/>
      </c>
      <c r="Q255" s="46" t="n">
        <v>0</v>
      </c>
      <c r="R255" s="46">
        <f>P255*O255*M255*N255*H255</f>
        <v/>
      </c>
      <c r="S255" s="46">
        <f>R255*INDEX(FmtCansPerCase,MATCH(F255,FmtName,0))</f>
        <v/>
      </c>
      <c r="T255" s="46">
        <f>S255/INDEX(FmtCansPerPack,MATCH(F255,FmtName,0))</f>
        <v/>
      </c>
      <c r="U255" s="47">
        <f>INDEX(ChBaseCP,MATCH(E255,ChName,0))*(1+INDEX(ProvMod,MATCH(G255,ProvCode,0)))*(1+PriceIndex)</f>
        <v/>
      </c>
      <c r="V255" s="47">
        <f>R255*U255*INDEX(FmtBlendedPriceIdx,MATCH(F255,FmtName,0))</f>
        <v/>
      </c>
      <c r="W255" s="47">
        <f>T255*INDEX(ProvSRP,MATCH(G255,ProvCode,0))*(1+PriceIndex)</f>
        <v/>
      </c>
      <c r="X255" s="47">
        <f>IF(GrossBasis="Wholesale",V255,W255)</f>
        <v/>
      </c>
      <c r="Y255" s="47">
        <f>R255*INDEX(FmtBlendedCogs,MATCH(F255,FmtName,0))</f>
        <v/>
      </c>
      <c r="Z255" s="47">
        <f>X255-Y255</f>
        <v/>
      </c>
    </row>
    <row r="256">
      <c r="A256" t="n">
        <v>43</v>
      </c>
      <c r="B256" s="44">
        <f>FiscalStart+(A256-1)*7</f>
        <v/>
      </c>
      <c r="C256">
        <f>TEXT(B256,"mmm yyyy")</f>
        <v/>
      </c>
      <c r="D256">
        <f>"Q"&amp;(INT((A256-1)/13)+1)</f>
        <v/>
      </c>
      <c r="E256" t="inlineStr">
        <is>
          <t>Convenience</t>
        </is>
      </c>
      <c r="F256">
        <f>IFERROR(INDEX(ChFormat,MATCH(E256,ChName,0)),"")</f>
        <v/>
      </c>
      <c r="G256" t="inlineStr">
        <is>
          <t>ON</t>
        </is>
      </c>
      <c r="H256">
        <f>IF(A256&lt;=NWeeks,1,0)</f>
        <v/>
      </c>
      <c r="I256">
        <f>INDEX(ChLaunch,MATCH(E256,ChName,0))</f>
        <v/>
      </c>
      <c r="J256">
        <f>INDEX(ChWeeksFull,MATCH(E256,ChName,0))</f>
        <v/>
      </c>
      <c r="K256">
        <f>INDEX(ChRamp,MATCH(E256,ChName,0))</f>
        <v/>
      </c>
      <c r="L256" s="45">
        <f>MIN(1,MAX(0,(A256-I256+1)*RampSpeed/J256))</f>
        <v/>
      </c>
      <c r="M256" s="45">
        <f>IF(A256&lt;I256,0,IF(K256="S-curve",L256*L256*(3-2*L256),L256))</f>
        <v/>
      </c>
      <c r="N256" s="45">
        <f>1+(INDEX(SeasonIdx,A256)-1)*SeasonAmp</f>
        <v/>
      </c>
      <c r="O256" s="45">
        <f>IFERROR(INDEX(PSPct,MATCH(E256&amp;"|"&amp;G256,PSKey,0)),0)</f>
        <v/>
      </c>
      <c r="P256" s="46">
        <f>INDEX(ChDoorVel,MATCH(E256,ChName,0))*CalibScalar*(1+VelocityUplift)</f>
        <v/>
      </c>
      <c r="Q256" s="46" t="n">
        <v>0</v>
      </c>
      <c r="R256" s="46">
        <f>P256*O256*M256*N256*H256</f>
        <v/>
      </c>
      <c r="S256" s="46">
        <f>R256*INDEX(FmtCansPerCase,MATCH(F256,FmtName,0))</f>
        <v/>
      </c>
      <c r="T256" s="46">
        <f>S256/INDEX(FmtCansPerPack,MATCH(F256,FmtName,0))</f>
        <v/>
      </c>
      <c r="U256" s="47">
        <f>INDEX(ChBaseCP,MATCH(E256,ChName,0))*(1+INDEX(ProvMod,MATCH(G256,ProvCode,0)))*(1+PriceIndex)</f>
        <v/>
      </c>
      <c r="V256" s="47">
        <f>R256*U256*INDEX(FmtBlendedPriceIdx,MATCH(F256,FmtName,0))</f>
        <v/>
      </c>
      <c r="W256" s="47">
        <f>T256*INDEX(ProvSRP,MATCH(G256,ProvCode,0))*(1+PriceIndex)</f>
        <v/>
      </c>
      <c r="X256" s="47">
        <f>IF(GrossBasis="Wholesale",V256,W256)</f>
        <v/>
      </c>
      <c r="Y256" s="47">
        <f>R256*INDEX(FmtBlendedCogs,MATCH(F256,FmtName,0))</f>
        <v/>
      </c>
      <c r="Z256" s="47">
        <f>X256-Y256</f>
        <v/>
      </c>
    </row>
    <row r="257">
      <c r="A257" t="n">
        <v>44</v>
      </c>
      <c r="B257" s="44">
        <f>FiscalStart+(A257-1)*7</f>
        <v/>
      </c>
      <c r="C257">
        <f>TEXT(B257,"mmm yyyy")</f>
        <v/>
      </c>
      <c r="D257">
        <f>"Q"&amp;(INT((A257-1)/13)+1)</f>
        <v/>
      </c>
      <c r="E257" t="inlineStr">
        <is>
          <t>Convenience</t>
        </is>
      </c>
      <c r="F257">
        <f>IFERROR(INDEX(ChFormat,MATCH(E257,ChName,0)),"")</f>
        <v/>
      </c>
      <c r="G257" t="inlineStr">
        <is>
          <t>ON</t>
        </is>
      </c>
      <c r="H257">
        <f>IF(A257&lt;=NWeeks,1,0)</f>
        <v/>
      </c>
      <c r="I257">
        <f>INDEX(ChLaunch,MATCH(E257,ChName,0))</f>
        <v/>
      </c>
      <c r="J257">
        <f>INDEX(ChWeeksFull,MATCH(E257,ChName,0))</f>
        <v/>
      </c>
      <c r="K257">
        <f>INDEX(ChRamp,MATCH(E257,ChName,0))</f>
        <v/>
      </c>
      <c r="L257" s="45">
        <f>MIN(1,MAX(0,(A257-I257+1)*RampSpeed/J257))</f>
        <v/>
      </c>
      <c r="M257" s="45">
        <f>IF(A257&lt;I257,0,IF(K257="S-curve",L257*L257*(3-2*L257),L257))</f>
        <v/>
      </c>
      <c r="N257" s="45">
        <f>1+(INDEX(SeasonIdx,A257)-1)*SeasonAmp</f>
        <v/>
      </c>
      <c r="O257" s="45">
        <f>IFERROR(INDEX(PSPct,MATCH(E257&amp;"|"&amp;G257,PSKey,0)),0)</f>
        <v/>
      </c>
      <c r="P257" s="46">
        <f>INDEX(ChDoorVel,MATCH(E257,ChName,0))*CalibScalar*(1+VelocityUplift)</f>
        <v/>
      </c>
      <c r="Q257" s="46" t="n">
        <v>0</v>
      </c>
      <c r="R257" s="46">
        <f>P257*O257*M257*N257*H257</f>
        <v/>
      </c>
      <c r="S257" s="46">
        <f>R257*INDEX(FmtCansPerCase,MATCH(F257,FmtName,0))</f>
        <v/>
      </c>
      <c r="T257" s="46">
        <f>S257/INDEX(FmtCansPerPack,MATCH(F257,FmtName,0))</f>
        <v/>
      </c>
      <c r="U257" s="47">
        <f>INDEX(ChBaseCP,MATCH(E257,ChName,0))*(1+INDEX(ProvMod,MATCH(G257,ProvCode,0)))*(1+PriceIndex)</f>
        <v/>
      </c>
      <c r="V257" s="47">
        <f>R257*U257*INDEX(FmtBlendedPriceIdx,MATCH(F257,FmtName,0))</f>
        <v/>
      </c>
      <c r="W257" s="47">
        <f>T257*INDEX(ProvSRP,MATCH(G257,ProvCode,0))*(1+PriceIndex)</f>
        <v/>
      </c>
      <c r="X257" s="47">
        <f>IF(GrossBasis="Wholesale",V257,W257)</f>
        <v/>
      </c>
      <c r="Y257" s="47">
        <f>R257*INDEX(FmtBlendedCogs,MATCH(F257,FmtName,0))</f>
        <v/>
      </c>
      <c r="Z257" s="47">
        <f>X257-Y257</f>
        <v/>
      </c>
    </row>
    <row r="258">
      <c r="A258" t="n">
        <v>45</v>
      </c>
      <c r="B258" s="44">
        <f>FiscalStart+(A258-1)*7</f>
        <v/>
      </c>
      <c r="C258">
        <f>TEXT(B258,"mmm yyyy")</f>
        <v/>
      </c>
      <c r="D258">
        <f>"Q"&amp;(INT((A258-1)/13)+1)</f>
        <v/>
      </c>
      <c r="E258" t="inlineStr">
        <is>
          <t>Convenience</t>
        </is>
      </c>
      <c r="F258">
        <f>IFERROR(INDEX(ChFormat,MATCH(E258,ChName,0)),"")</f>
        <v/>
      </c>
      <c r="G258" t="inlineStr">
        <is>
          <t>ON</t>
        </is>
      </c>
      <c r="H258">
        <f>IF(A258&lt;=NWeeks,1,0)</f>
        <v/>
      </c>
      <c r="I258">
        <f>INDEX(ChLaunch,MATCH(E258,ChName,0))</f>
        <v/>
      </c>
      <c r="J258">
        <f>INDEX(ChWeeksFull,MATCH(E258,ChName,0))</f>
        <v/>
      </c>
      <c r="K258">
        <f>INDEX(ChRamp,MATCH(E258,ChName,0))</f>
        <v/>
      </c>
      <c r="L258" s="45">
        <f>MIN(1,MAX(0,(A258-I258+1)*RampSpeed/J258))</f>
        <v/>
      </c>
      <c r="M258" s="45">
        <f>IF(A258&lt;I258,0,IF(K258="S-curve",L258*L258*(3-2*L258),L258))</f>
        <v/>
      </c>
      <c r="N258" s="45">
        <f>1+(INDEX(SeasonIdx,A258)-1)*SeasonAmp</f>
        <v/>
      </c>
      <c r="O258" s="45">
        <f>IFERROR(INDEX(PSPct,MATCH(E258&amp;"|"&amp;G258,PSKey,0)),0)</f>
        <v/>
      </c>
      <c r="P258" s="46">
        <f>INDEX(ChDoorVel,MATCH(E258,ChName,0))*CalibScalar*(1+VelocityUplift)</f>
        <v/>
      </c>
      <c r="Q258" s="46" t="n">
        <v>0</v>
      </c>
      <c r="R258" s="46">
        <f>P258*O258*M258*N258*H258</f>
        <v/>
      </c>
      <c r="S258" s="46">
        <f>R258*INDEX(FmtCansPerCase,MATCH(F258,FmtName,0))</f>
        <v/>
      </c>
      <c r="T258" s="46">
        <f>S258/INDEX(FmtCansPerPack,MATCH(F258,FmtName,0))</f>
        <v/>
      </c>
      <c r="U258" s="47">
        <f>INDEX(ChBaseCP,MATCH(E258,ChName,0))*(1+INDEX(ProvMod,MATCH(G258,ProvCode,0)))*(1+PriceIndex)</f>
        <v/>
      </c>
      <c r="V258" s="47">
        <f>R258*U258*INDEX(FmtBlendedPriceIdx,MATCH(F258,FmtName,0))</f>
        <v/>
      </c>
      <c r="W258" s="47">
        <f>T258*INDEX(ProvSRP,MATCH(G258,ProvCode,0))*(1+PriceIndex)</f>
        <v/>
      </c>
      <c r="X258" s="47">
        <f>IF(GrossBasis="Wholesale",V258,W258)</f>
        <v/>
      </c>
      <c r="Y258" s="47">
        <f>R258*INDEX(FmtBlendedCogs,MATCH(F258,FmtName,0))</f>
        <v/>
      </c>
      <c r="Z258" s="47">
        <f>X258-Y258</f>
        <v/>
      </c>
    </row>
    <row r="259">
      <c r="A259" t="n">
        <v>46</v>
      </c>
      <c r="B259" s="44">
        <f>FiscalStart+(A259-1)*7</f>
        <v/>
      </c>
      <c r="C259">
        <f>TEXT(B259,"mmm yyyy")</f>
        <v/>
      </c>
      <c r="D259">
        <f>"Q"&amp;(INT((A259-1)/13)+1)</f>
        <v/>
      </c>
      <c r="E259" t="inlineStr">
        <is>
          <t>Convenience</t>
        </is>
      </c>
      <c r="F259">
        <f>IFERROR(INDEX(ChFormat,MATCH(E259,ChName,0)),"")</f>
        <v/>
      </c>
      <c r="G259" t="inlineStr">
        <is>
          <t>ON</t>
        </is>
      </c>
      <c r="H259">
        <f>IF(A259&lt;=NWeeks,1,0)</f>
        <v/>
      </c>
      <c r="I259">
        <f>INDEX(ChLaunch,MATCH(E259,ChName,0))</f>
        <v/>
      </c>
      <c r="J259">
        <f>INDEX(ChWeeksFull,MATCH(E259,ChName,0))</f>
        <v/>
      </c>
      <c r="K259">
        <f>INDEX(ChRamp,MATCH(E259,ChName,0))</f>
        <v/>
      </c>
      <c r="L259" s="45">
        <f>MIN(1,MAX(0,(A259-I259+1)*RampSpeed/J259))</f>
        <v/>
      </c>
      <c r="M259" s="45">
        <f>IF(A259&lt;I259,0,IF(K259="S-curve",L259*L259*(3-2*L259),L259))</f>
        <v/>
      </c>
      <c r="N259" s="45">
        <f>1+(INDEX(SeasonIdx,A259)-1)*SeasonAmp</f>
        <v/>
      </c>
      <c r="O259" s="45">
        <f>IFERROR(INDEX(PSPct,MATCH(E259&amp;"|"&amp;G259,PSKey,0)),0)</f>
        <v/>
      </c>
      <c r="P259" s="46">
        <f>INDEX(ChDoorVel,MATCH(E259,ChName,0))*CalibScalar*(1+VelocityUplift)</f>
        <v/>
      </c>
      <c r="Q259" s="46" t="n">
        <v>0</v>
      </c>
      <c r="R259" s="46">
        <f>P259*O259*M259*N259*H259</f>
        <v/>
      </c>
      <c r="S259" s="46">
        <f>R259*INDEX(FmtCansPerCase,MATCH(F259,FmtName,0))</f>
        <v/>
      </c>
      <c r="T259" s="46">
        <f>S259/INDEX(FmtCansPerPack,MATCH(F259,FmtName,0))</f>
        <v/>
      </c>
      <c r="U259" s="47">
        <f>INDEX(ChBaseCP,MATCH(E259,ChName,0))*(1+INDEX(ProvMod,MATCH(G259,ProvCode,0)))*(1+PriceIndex)</f>
        <v/>
      </c>
      <c r="V259" s="47">
        <f>R259*U259*INDEX(FmtBlendedPriceIdx,MATCH(F259,FmtName,0))</f>
        <v/>
      </c>
      <c r="W259" s="47">
        <f>T259*INDEX(ProvSRP,MATCH(G259,ProvCode,0))*(1+PriceIndex)</f>
        <v/>
      </c>
      <c r="X259" s="47">
        <f>IF(GrossBasis="Wholesale",V259,W259)</f>
        <v/>
      </c>
      <c r="Y259" s="47">
        <f>R259*INDEX(FmtBlendedCogs,MATCH(F259,FmtName,0))</f>
        <v/>
      </c>
      <c r="Z259" s="47">
        <f>X259-Y259</f>
        <v/>
      </c>
    </row>
    <row r="260">
      <c r="A260" t="n">
        <v>47</v>
      </c>
      <c r="B260" s="44">
        <f>FiscalStart+(A260-1)*7</f>
        <v/>
      </c>
      <c r="C260">
        <f>TEXT(B260,"mmm yyyy")</f>
        <v/>
      </c>
      <c r="D260">
        <f>"Q"&amp;(INT((A260-1)/13)+1)</f>
        <v/>
      </c>
      <c r="E260" t="inlineStr">
        <is>
          <t>Convenience</t>
        </is>
      </c>
      <c r="F260">
        <f>IFERROR(INDEX(ChFormat,MATCH(E260,ChName,0)),"")</f>
        <v/>
      </c>
      <c r="G260" t="inlineStr">
        <is>
          <t>ON</t>
        </is>
      </c>
      <c r="H260">
        <f>IF(A260&lt;=NWeeks,1,0)</f>
        <v/>
      </c>
      <c r="I260">
        <f>INDEX(ChLaunch,MATCH(E260,ChName,0))</f>
        <v/>
      </c>
      <c r="J260">
        <f>INDEX(ChWeeksFull,MATCH(E260,ChName,0))</f>
        <v/>
      </c>
      <c r="K260">
        <f>INDEX(ChRamp,MATCH(E260,ChName,0))</f>
        <v/>
      </c>
      <c r="L260" s="45">
        <f>MIN(1,MAX(0,(A260-I260+1)*RampSpeed/J260))</f>
        <v/>
      </c>
      <c r="M260" s="45">
        <f>IF(A260&lt;I260,0,IF(K260="S-curve",L260*L260*(3-2*L260),L260))</f>
        <v/>
      </c>
      <c r="N260" s="45">
        <f>1+(INDEX(SeasonIdx,A260)-1)*SeasonAmp</f>
        <v/>
      </c>
      <c r="O260" s="45">
        <f>IFERROR(INDEX(PSPct,MATCH(E260&amp;"|"&amp;G260,PSKey,0)),0)</f>
        <v/>
      </c>
      <c r="P260" s="46">
        <f>INDEX(ChDoorVel,MATCH(E260,ChName,0))*CalibScalar*(1+VelocityUplift)</f>
        <v/>
      </c>
      <c r="Q260" s="46" t="n">
        <v>0</v>
      </c>
      <c r="R260" s="46">
        <f>P260*O260*M260*N260*H260</f>
        <v/>
      </c>
      <c r="S260" s="46">
        <f>R260*INDEX(FmtCansPerCase,MATCH(F260,FmtName,0))</f>
        <v/>
      </c>
      <c r="T260" s="46">
        <f>S260/INDEX(FmtCansPerPack,MATCH(F260,FmtName,0))</f>
        <v/>
      </c>
      <c r="U260" s="47">
        <f>INDEX(ChBaseCP,MATCH(E260,ChName,0))*(1+INDEX(ProvMod,MATCH(G260,ProvCode,0)))*(1+PriceIndex)</f>
        <v/>
      </c>
      <c r="V260" s="47">
        <f>R260*U260*INDEX(FmtBlendedPriceIdx,MATCH(F260,FmtName,0))</f>
        <v/>
      </c>
      <c r="W260" s="47">
        <f>T260*INDEX(ProvSRP,MATCH(G260,ProvCode,0))*(1+PriceIndex)</f>
        <v/>
      </c>
      <c r="X260" s="47">
        <f>IF(GrossBasis="Wholesale",V260,W260)</f>
        <v/>
      </c>
      <c r="Y260" s="47">
        <f>R260*INDEX(FmtBlendedCogs,MATCH(F260,FmtName,0))</f>
        <v/>
      </c>
      <c r="Z260" s="47">
        <f>X260-Y260</f>
        <v/>
      </c>
    </row>
    <row r="261">
      <c r="A261" t="n">
        <v>48</v>
      </c>
      <c r="B261" s="44">
        <f>FiscalStart+(A261-1)*7</f>
        <v/>
      </c>
      <c r="C261">
        <f>TEXT(B261,"mmm yyyy")</f>
        <v/>
      </c>
      <c r="D261">
        <f>"Q"&amp;(INT((A261-1)/13)+1)</f>
        <v/>
      </c>
      <c r="E261" t="inlineStr">
        <is>
          <t>Convenience</t>
        </is>
      </c>
      <c r="F261">
        <f>IFERROR(INDEX(ChFormat,MATCH(E261,ChName,0)),"")</f>
        <v/>
      </c>
      <c r="G261" t="inlineStr">
        <is>
          <t>ON</t>
        </is>
      </c>
      <c r="H261">
        <f>IF(A261&lt;=NWeeks,1,0)</f>
        <v/>
      </c>
      <c r="I261">
        <f>INDEX(ChLaunch,MATCH(E261,ChName,0))</f>
        <v/>
      </c>
      <c r="J261">
        <f>INDEX(ChWeeksFull,MATCH(E261,ChName,0))</f>
        <v/>
      </c>
      <c r="K261">
        <f>INDEX(ChRamp,MATCH(E261,ChName,0))</f>
        <v/>
      </c>
      <c r="L261" s="45">
        <f>MIN(1,MAX(0,(A261-I261+1)*RampSpeed/J261))</f>
        <v/>
      </c>
      <c r="M261" s="45">
        <f>IF(A261&lt;I261,0,IF(K261="S-curve",L261*L261*(3-2*L261),L261))</f>
        <v/>
      </c>
      <c r="N261" s="45">
        <f>1+(INDEX(SeasonIdx,A261)-1)*SeasonAmp</f>
        <v/>
      </c>
      <c r="O261" s="45">
        <f>IFERROR(INDEX(PSPct,MATCH(E261&amp;"|"&amp;G261,PSKey,0)),0)</f>
        <v/>
      </c>
      <c r="P261" s="46">
        <f>INDEX(ChDoorVel,MATCH(E261,ChName,0))*CalibScalar*(1+VelocityUplift)</f>
        <v/>
      </c>
      <c r="Q261" s="46" t="n">
        <v>0</v>
      </c>
      <c r="R261" s="46">
        <f>P261*O261*M261*N261*H261</f>
        <v/>
      </c>
      <c r="S261" s="46">
        <f>R261*INDEX(FmtCansPerCase,MATCH(F261,FmtName,0))</f>
        <v/>
      </c>
      <c r="T261" s="46">
        <f>S261/INDEX(FmtCansPerPack,MATCH(F261,FmtName,0))</f>
        <v/>
      </c>
      <c r="U261" s="47">
        <f>INDEX(ChBaseCP,MATCH(E261,ChName,0))*(1+INDEX(ProvMod,MATCH(G261,ProvCode,0)))*(1+PriceIndex)</f>
        <v/>
      </c>
      <c r="V261" s="47">
        <f>R261*U261*INDEX(FmtBlendedPriceIdx,MATCH(F261,FmtName,0))</f>
        <v/>
      </c>
      <c r="W261" s="47">
        <f>T261*INDEX(ProvSRP,MATCH(G261,ProvCode,0))*(1+PriceIndex)</f>
        <v/>
      </c>
      <c r="X261" s="47">
        <f>IF(GrossBasis="Wholesale",V261,W261)</f>
        <v/>
      </c>
      <c r="Y261" s="47">
        <f>R261*INDEX(FmtBlendedCogs,MATCH(F261,FmtName,0))</f>
        <v/>
      </c>
      <c r="Z261" s="47">
        <f>X261-Y261</f>
        <v/>
      </c>
    </row>
    <row r="262">
      <c r="A262" t="n">
        <v>49</v>
      </c>
      <c r="B262" s="44">
        <f>FiscalStart+(A262-1)*7</f>
        <v/>
      </c>
      <c r="C262">
        <f>TEXT(B262,"mmm yyyy")</f>
        <v/>
      </c>
      <c r="D262">
        <f>"Q"&amp;(INT((A262-1)/13)+1)</f>
        <v/>
      </c>
      <c r="E262" t="inlineStr">
        <is>
          <t>Convenience</t>
        </is>
      </c>
      <c r="F262">
        <f>IFERROR(INDEX(ChFormat,MATCH(E262,ChName,0)),"")</f>
        <v/>
      </c>
      <c r="G262" t="inlineStr">
        <is>
          <t>ON</t>
        </is>
      </c>
      <c r="H262">
        <f>IF(A262&lt;=NWeeks,1,0)</f>
        <v/>
      </c>
      <c r="I262">
        <f>INDEX(ChLaunch,MATCH(E262,ChName,0))</f>
        <v/>
      </c>
      <c r="J262">
        <f>INDEX(ChWeeksFull,MATCH(E262,ChName,0))</f>
        <v/>
      </c>
      <c r="K262">
        <f>INDEX(ChRamp,MATCH(E262,ChName,0))</f>
        <v/>
      </c>
      <c r="L262" s="45">
        <f>MIN(1,MAX(0,(A262-I262+1)*RampSpeed/J262))</f>
        <v/>
      </c>
      <c r="M262" s="45">
        <f>IF(A262&lt;I262,0,IF(K262="S-curve",L262*L262*(3-2*L262),L262))</f>
        <v/>
      </c>
      <c r="N262" s="45">
        <f>1+(INDEX(SeasonIdx,A262)-1)*SeasonAmp</f>
        <v/>
      </c>
      <c r="O262" s="45">
        <f>IFERROR(INDEX(PSPct,MATCH(E262&amp;"|"&amp;G262,PSKey,0)),0)</f>
        <v/>
      </c>
      <c r="P262" s="46">
        <f>INDEX(ChDoorVel,MATCH(E262,ChName,0))*CalibScalar*(1+VelocityUplift)</f>
        <v/>
      </c>
      <c r="Q262" s="46" t="n">
        <v>0</v>
      </c>
      <c r="R262" s="46">
        <f>P262*O262*M262*N262*H262</f>
        <v/>
      </c>
      <c r="S262" s="46">
        <f>R262*INDEX(FmtCansPerCase,MATCH(F262,FmtName,0))</f>
        <v/>
      </c>
      <c r="T262" s="46">
        <f>S262/INDEX(FmtCansPerPack,MATCH(F262,FmtName,0))</f>
        <v/>
      </c>
      <c r="U262" s="47">
        <f>INDEX(ChBaseCP,MATCH(E262,ChName,0))*(1+INDEX(ProvMod,MATCH(G262,ProvCode,0)))*(1+PriceIndex)</f>
        <v/>
      </c>
      <c r="V262" s="47">
        <f>R262*U262*INDEX(FmtBlendedPriceIdx,MATCH(F262,FmtName,0))</f>
        <v/>
      </c>
      <c r="W262" s="47">
        <f>T262*INDEX(ProvSRP,MATCH(G262,ProvCode,0))*(1+PriceIndex)</f>
        <v/>
      </c>
      <c r="X262" s="47">
        <f>IF(GrossBasis="Wholesale",V262,W262)</f>
        <v/>
      </c>
      <c r="Y262" s="47">
        <f>R262*INDEX(FmtBlendedCogs,MATCH(F262,FmtName,0))</f>
        <v/>
      </c>
      <c r="Z262" s="47">
        <f>X262-Y262</f>
        <v/>
      </c>
    </row>
    <row r="263">
      <c r="A263" t="n">
        <v>50</v>
      </c>
      <c r="B263" s="44">
        <f>FiscalStart+(A263-1)*7</f>
        <v/>
      </c>
      <c r="C263">
        <f>TEXT(B263,"mmm yyyy")</f>
        <v/>
      </c>
      <c r="D263">
        <f>"Q"&amp;(INT((A263-1)/13)+1)</f>
        <v/>
      </c>
      <c r="E263" t="inlineStr">
        <is>
          <t>Convenience</t>
        </is>
      </c>
      <c r="F263">
        <f>IFERROR(INDEX(ChFormat,MATCH(E263,ChName,0)),"")</f>
        <v/>
      </c>
      <c r="G263" t="inlineStr">
        <is>
          <t>ON</t>
        </is>
      </c>
      <c r="H263">
        <f>IF(A263&lt;=NWeeks,1,0)</f>
        <v/>
      </c>
      <c r="I263">
        <f>INDEX(ChLaunch,MATCH(E263,ChName,0))</f>
        <v/>
      </c>
      <c r="J263">
        <f>INDEX(ChWeeksFull,MATCH(E263,ChName,0))</f>
        <v/>
      </c>
      <c r="K263">
        <f>INDEX(ChRamp,MATCH(E263,ChName,0))</f>
        <v/>
      </c>
      <c r="L263" s="45">
        <f>MIN(1,MAX(0,(A263-I263+1)*RampSpeed/J263))</f>
        <v/>
      </c>
      <c r="M263" s="45">
        <f>IF(A263&lt;I263,0,IF(K263="S-curve",L263*L263*(3-2*L263),L263))</f>
        <v/>
      </c>
      <c r="N263" s="45">
        <f>1+(INDEX(SeasonIdx,A263)-1)*SeasonAmp</f>
        <v/>
      </c>
      <c r="O263" s="45">
        <f>IFERROR(INDEX(PSPct,MATCH(E263&amp;"|"&amp;G263,PSKey,0)),0)</f>
        <v/>
      </c>
      <c r="P263" s="46">
        <f>INDEX(ChDoorVel,MATCH(E263,ChName,0))*CalibScalar*(1+VelocityUplift)</f>
        <v/>
      </c>
      <c r="Q263" s="46" t="n">
        <v>0</v>
      </c>
      <c r="R263" s="46">
        <f>P263*O263*M263*N263*H263</f>
        <v/>
      </c>
      <c r="S263" s="46">
        <f>R263*INDEX(FmtCansPerCase,MATCH(F263,FmtName,0))</f>
        <v/>
      </c>
      <c r="T263" s="46">
        <f>S263/INDEX(FmtCansPerPack,MATCH(F263,FmtName,0))</f>
        <v/>
      </c>
      <c r="U263" s="47">
        <f>INDEX(ChBaseCP,MATCH(E263,ChName,0))*(1+INDEX(ProvMod,MATCH(G263,ProvCode,0)))*(1+PriceIndex)</f>
        <v/>
      </c>
      <c r="V263" s="47">
        <f>R263*U263*INDEX(FmtBlendedPriceIdx,MATCH(F263,FmtName,0))</f>
        <v/>
      </c>
      <c r="W263" s="47">
        <f>T263*INDEX(ProvSRP,MATCH(G263,ProvCode,0))*(1+PriceIndex)</f>
        <v/>
      </c>
      <c r="X263" s="47">
        <f>IF(GrossBasis="Wholesale",V263,W263)</f>
        <v/>
      </c>
      <c r="Y263" s="47">
        <f>R263*INDEX(FmtBlendedCogs,MATCH(F263,FmtName,0))</f>
        <v/>
      </c>
      <c r="Z263" s="47">
        <f>X263-Y263</f>
        <v/>
      </c>
    </row>
    <row r="264">
      <c r="A264" t="n">
        <v>51</v>
      </c>
      <c r="B264" s="44">
        <f>FiscalStart+(A264-1)*7</f>
        <v/>
      </c>
      <c r="C264">
        <f>TEXT(B264,"mmm yyyy")</f>
        <v/>
      </c>
      <c r="D264">
        <f>"Q"&amp;(INT((A264-1)/13)+1)</f>
        <v/>
      </c>
      <c r="E264" t="inlineStr">
        <is>
          <t>Convenience</t>
        </is>
      </c>
      <c r="F264">
        <f>IFERROR(INDEX(ChFormat,MATCH(E264,ChName,0)),"")</f>
        <v/>
      </c>
      <c r="G264" t="inlineStr">
        <is>
          <t>ON</t>
        </is>
      </c>
      <c r="H264">
        <f>IF(A264&lt;=NWeeks,1,0)</f>
        <v/>
      </c>
      <c r="I264">
        <f>INDEX(ChLaunch,MATCH(E264,ChName,0))</f>
        <v/>
      </c>
      <c r="J264">
        <f>INDEX(ChWeeksFull,MATCH(E264,ChName,0))</f>
        <v/>
      </c>
      <c r="K264">
        <f>INDEX(ChRamp,MATCH(E264,ChName,0))</f>
        <v/>
      </c>
      <c r="L264" s="45">
        <f>MIN(1,MAX(0,(A264-I264+1)*RampSpeed/J264))</f>
        <v/>
      </c>
      <c r="M264" s="45">
        <f>IF(A264&lt;I264,0,IF(K264="S-curve",L264*L264*(3-2*L264),L264))</f>
        <v/>
      </c>
      <c r="N264" s="45">
        <f>1+(INDEX(SeasonIdx,A264)-1)*SeasonAmp</f>
        <v/>
      </c>
      <c r="O264" s="45">
        <f>IFERROR(INDEX(PSPct,MATCH(E264&amp;"|"&amp;G264,PSKey,0)),0)</f>
        <v/>
      </c>
      <c r="P264" s="46">
        <f>INDEX(ChDoorVel,MATCH(E264,ChName,0))*CalibScalar*(1+VelocityUplift)</f>
        <v/>
      </c>
      <c r="Q264" s="46" t="n">
        <v>0</v>
      </c>
      <c r="R264" s="46">
        <f>P264*O264*M264*N264*H264</f>
        <v/>
      </c>
      <c r="S264" s="46">
        <f>R264*INDEX(FmtCansPerCase,MATCH(F264,FmtName,0))</f>
        <v/>
      </c>
      <c r="T264" s="46">
        <f>S264/INDEX(FmtCansPerPack,MATCH(F264,FmtName,0))</f>
        <v/>
      </c>
      <c r="U264" s="47">
        <f>INDEX(ChBaseCP,MATCH(E264,ChName,0))*(1+INDEX(ProvMod,MATCH(G264,ProvCode,0)))*(1+PriceIndex)</f>
        <v/>
      </c>
      <c r="V264" s="47">
        <f>R264*U264*INDEX(FmtBlendedPriceIdx,MATCH(F264,FmtName,0))</f>
        <v/>
      </c>
      <c r="W264" s="47">
        <f>T264*INDEX(ProvSRP,MATCH(G264,ProvCode,0))*(1+PriceIndex)</f>
        <v/>
      </c>
      <c r="X264" s="47">
        <f>IF(GrossBasis="Wholesale",V264,W264)</f>
        <v/>
      </c>
      <c r="Y264" s="47">
        <f>R264*INDEX(FmtBlendedCogs,MATCH(F264,FmtName,0))</f>
        <v/>
      </c>
      <c r="Z264" s="47">
        <f>X264-Y264</f>
        <v/>
      </c>
    </row>
    <row r="265">
      <c r="A265" t="n">
        <v>52</v>
      </c>
      <c r="B265" s="44">
        <f>FiscalStart+(A265-1)*7</f>
        <v/>
      </c>
      <c r="C265">
        <f>TEXT(B265,"mmm yyyy")</f>
        <v/>
      </c>
      <c r="D265">
        <f>"Q"&amp;(INT((A265-1)/13)+1)</f>
        <v/>
      </c>
      <c r="E265" t="inlineStr">
        <is>
          <t>Convenience</t>
        </is>
      </c>
      <c r="F265">
        <f>IFERROR(INDEX(ChFormat,MATCH(E265,ChName,0)),"")</f>
        <v/>
      </c>
      <c r="G265" t="inlineStr">
        <is>
          <t>ON</t>
        </is>
      </c>
      <c r="H265">
        <f>IF(A265&lt;=NWeeks,1,0)</f>
        <v/>
      </c>
      <c r="I265">
        <f>INDEX(ChLaunch,MATCH(E265,ChName,0))</f>
        <v/>
      </c>
      <c r="J265">
        <f>INDEX(ChWeeksFull,MATCH(E265,ChName,0))</f>
        <v/>
      </c>
      <c r="K265">
        <f>INDEX(ChRamp,MATCH(E265,ChName,0))</f>
        <v/>
      </c>
      <c r="L265" s="45">
        <f>MIN(1,MAX(0,(A265-I265+1)*RampSpeed/J265))</f>
        <v/>
      </c>
      <c r="M265" s="45">
        <f>IF(A265&lt;I265,0,IF(K265="S-curve",L265*L265*(3-2*L265),L265))</f>
        <v/>
      </c>
      <c r="N265" s="45">
        <f>1+(INDEX(SeasonIdx,A265)-1)*SeasonAmp</f>
        <v/>
      </c>
      <c r="O265" s="45">
        <f>IFERROR(INDEX(PSPct,MATCH(E265&amp;"|"&amp;G265,PSKey,0)),0)</f>
        <v/>
      </c>
      <c r="P265" s="46">
        <f>INDEX(ChDoorVel,MATCH(E265,ChName,0))*CalibScalar*(1+VelocityUplift)</f>
        <v/>
      </c>
      <c r="Q265" s="46" t="n">
        <v>0</v>
      </c>
      <c r="R265" s="46">
        <f>P265*O265*M265*N265*H265</f>
        <v/>
      </c>
      <c r="S265" s="46">
        <f>R265*INDEX(FmtCansPerCase,MATCH(F265,FmtName,0))</f>
        <v/>
      </c>
      <c r="T265" s="46">
        <f>S265/INDEX(FmtCansPerPack,MATCH(F265,FmtName,0))</f>
        <v/>
      </c>
      <c r="U265" s="47">
        <f>INDEX(ChBaseCP,MATCH(E265,ChName,0))*(1+INDEX(ProvMod,MATCH(G265,ProvCode,0)))*(1+PriceIndex)</f>
        <v/>
      </c>
      <c r="V265" s="47">
        <f>R265*U265*INDEX(FmtBlendedPriceIdx,MATCH(F265,FmtName,0))</f>
        <v/>
      </c>
      <c r="W265" s="47">
        <f>T265*INDEX(ProvSRP,MATCH(G265,ProvCode,0))*(1+PriceIndex)</f>
        <v/>
      </c>
      <c r="X265" s="47">
        <f>IF(GrossBasis="Wholesale",V265,W265)</f>
        <v/>
      </c>
      <c r="Y265" s="47">
        <f>R265*INDEX(FmtBlendedCogs,MATCH(F265,FmtName,0))</f>
        <v/>
      </c>
      <c r="Z265" s="47">
        <f>X265-Y265</f>
        <v/>
      </c>
    </row>
    <row r="266">
      <c r="A266" t="n">
        <v>53</v>
      </c>
      <c r="B266" s="44">
        <f>FiscalStart+(A266-1)*7</f>
        <v/>
      </c>
      <c r="C266">
        <f>TEXT(B266,"mmm yyyy")</f>
        <v/>
      </c>
      <c r="D266">
        <f>"Q"&amp;(INT((A266-1)/13)+1)</f>
        <v/>
      </c>
      <c r="E266" t="inlineStr">
        <is>
          <t>Convenience</t>
        </is>
      </c>
      <c r="F266">
        <f>IFERROR(INDEX(ChFormat,MATCH(E266,ChName,0)),"")</f>
        <v/>
      </c>
      <c r="G266" t="inlineStr">
        <is>
          <t>ON</t>
        </is>
      </c>
      <c r="H266">
        <f>IF(A266&lt;=NWeeks,1,0)</f>
        <v/>
      </c>
      <c r="I266">
        <f>INDEX(ChLaunch,MATCH(E266,ChName,0))</f>
        <v/>
      </c>
      <c r="J266">
        <f>INDEX(ChWeeksFull,MATCH(E266,ChName,0))</f>
        <v/>
      </c>
      <c r="K266">
        <f>INDEX(ChRamp,MATCH(E266,ChName,0))</f>
        <v/>
      </c>
      <c r="L266" s="45">
        <f>MIN(1,MAX(0,(A266-I266+1)*RampSpeed/J266))</f>
        <v/>
      </c>
      <c r="M266" s="45">
        <f>IF(A266&lt;I266,0,IF(K266="S-curve",L266*L266*(3-2*L266),L266))</f>
        <v/>
      </c>
      <c r="N266" s="45">
        <f>1+(INDEX(SeasonIdx,A266)-1)*SeasonAmp</f>
        <v/>
      </c>
      <c r="O266" s="45">
        <f>IFERROR(INDEX(PSPct,MATCH(E266&amp;"|"&amp;G266,PSKey,0)),0)</f>
        <v/>
      </c>
      <c r="P266" s="46">
        <f>INDEX(ChDoorVel,MATCH(E266,ChName,0))*CalibScalar*(1+VelocityUplift)</f>
        <v/>
      </c>
      <c r="Q266" s="46" t="n">
        <v>0</v>
      </c>
      <c r="R266" s="46">
        <f>P266*O266*M266*N266*H266</f>
        <v/>
      </c>
      <c r="S266" s="46">
        <f>R266*INDEX(FmtCansPerCase,MATCH(F266,FmtName,0))</f>
        <v/>
      </c>
      <c r="T266" s="46">
        <f>S266/INDEX(FmtCansPerPack,MATCH(F266,FmtName,0))</f>
        <v/>
      </c>
      <c r="U266" s="47">
        <f>INDEX(ChBaseCP,MATCH(E266,ChName,0))*(1+INDEX(ProvMod,MATCH(G266,ProvCode,0)))*(1+PriceIndex)</f>
        <v/>
      </c>
      <c r="V266" s="47">
        <f>R266*U266*INDEX(FmtBlendedPriceIdx,MATCH(F266,FmtName,0))</f>
        <v/>
      </c>
      <c r="W266" s="47">
        <f>T266*INDEX(ProvSRP,MATCH(G266,ProvCode,0))*(1+PriceIndex)</f>
        <v/>
      </c>
      <c r="X266" s="47">
        <f>IF(GrossBasis="Wholesale",V266,W266)</f>
        <v/>
      </c>
      <c r="Y266" s="47">
        <f>R266*INDEX(FmtBlendedCogs,MATCH(F266,FmtName,0))</f>
        <v/>
      </c>
      <c r="Z266" s="47">
        <f>X266-Y266</f>
        <v/>
      </c>
    </row>
    <row r="267">
      <c r="A267" t="n">
        <v>1</v>
      </c>
      <c r="B267" s="44">
        <f>FiscalStart+(A267-1)*7</f>
        <v/>
      </c>
      <c r="C267">
        <f>TEXT(B267,"mmm yyyy")</f>
        <v/>
      </c>
      <c r="D267">
        <f>"Q"&amp;(INT((A267-1)/13)+1)</f>
        <v/>
      </c>
      <c r="E267" t="inlineStr">
        <is>
          <t>Convenience</t>
        </is>
      </c>
      <c r="F267">
        <f>IFERROR(INDEX(ChFormat,MATCH(E267,ChName,0)),"")</f>
        <v/>
      </c>
      <c r="G267" t="inlineStr">
        <is>
          <t>QC</t>
        </is>
      </c>
      <c r="H267">
        <f>IF(A267&lt;=NWeeks,1,0)</f>
        <v/>
      </c>
      <c r="I267">
        <f>INDEX(ChLaunch,MATCH(E267,ChName,0))</f>
        <v/>
      </c>
      <c r="J267">
        <f>INDEX(ChWeeksFull,MATCH(E267,ChName,0))</f>
        <v/>
      </c>
      <c r="K267">
        <f>INDEX(ChRamp,MATCH(E267,ChName,0))</f>
        <v/>
      </c>
      <c r="L267" s="45">
        <f>MIN(1,MAX(0,(A267-I267+1)*RampSpeed/J267))</f>
        <v/>
      </c>
      <c r="M267" s="45">
        <f>IF(A267&lt;I267,0,IF(K267="S-curve",L267*L267*(3-2*L267),L267))</f>
        <v/>
      </c>
      <c r="N267" s="45">
        <f>1+(INDEX(SeasonIdx,A267)-1)*SeasonAmp</f>
        <v/>
      </c>
      <c r="O267" s="45">
        <f>IFERROR(INDEX(PSPct,MATCH(E267&amp;"|"&amp;G267,PSKey,0)),0)</f>
        <v/>
      </c>
      <c r="P267" s="46">
        <f>INDEX(ChDoorVel,MATCH(E267,ChName,0))*CalibScalar*(1+VelocityUplift)</f>
        <v/>
      </c>
      <c r="Q267" s="46" t="n">
        <v>0</v>
      </c>
      <c r="R267" s="46">
        <f>P267*O267*M267*N267*H267</f>
        <v/>
      </c>
      <c r="S267" s="46">
        <f>R267*INDEX(FmtCansPerCase,MATCH(F267,FmtName,0))</f>
        <v/>
      </c>
      <c r="T267" s="46">
        <f>S267/INDEX(FmtCansPerPack,MATCH(F267,FmtName,0))</f>
        <v/>
      </c>
      <c r="U267" s="47">
        <f>INDEX(ChBaseCP,MATCH(E267,ChName,0))*(1+INDEX(ProvMod,MATCH(G267,ProvCode,0)))*(1+PriceIndex)</f>
        <v/>
      </c>
      <c r="V267" s="47">
        <f>R267*U267*INDEX(FmtBlendedPriceIdx,MATCH(F267,FmtName,0))</f>
        <v/>
      </c>
      <c r="W267" s="47">
        <f>T267*INDEX(ProvSRP,MATCH(G267,ProvCode,0))*(1+PriceIndex)</f>
        <v/>
      </c>
      <c r="X267" s="47">
        <f>IF(GrossBasis="Wholesale",V267,W267)</f>
        <v/>
      </c>
      <c r="Y267" s="47">
        <f>R267*INDEX(FmtBlendedCogs,MATCH(F267,FmtName,0))</f>
        <v/>
      </c>
      <c r="Z267" s="47">
        <f>X267-Y267</f>
        <v/>
      </c>
    </row>
    <row r="268">
      <c r="A268" t="n">
        <v>2</v>
      </c>
      <c r="B268" s="44">
        <f>FiscalStart+(A268-1)*7</f>
        <v/>
      </c>
      <c r="C268">
        <f>TEXT(B268,"mmm yyyy")</f>
        <v/>
      </c>
      <c r="D268">
        <f>"Q"&amp;(INT((A268-1)/13)+1)</f>
        <v/>
      </c>
      <c r="E268" t="inlineStr">
        <is>
          <t>Convenience</t>
        </is>
      </c>
      <c r="F268">
        <f>IFERROR(INDEX(ChFormat,MATCH(E268,ChName,0)),"")</f>
        <v/>
      </c>
      <c r="G268" t="inlineStr">
        <is>
          <t>QC</t>
        </is>
      </c>
      <c r="H268">
        <f>IF(A268&lt;=NWeeks,1,0)</f>
        <v/>
      </c>
      <c r="I268">
        <f>INDEX(ChLaunch,MATCH(E268,ChName,0))</f>
        <v/>
      </c>
      <c r="J268">
        <f>INDEX(ChWeeksFull,MATCH(E268,ChName,0))</f>
        <v/>
      </c>
      <c r="K268">
        <f>INDEX(ChRamp,MATCH(E268,ChName,0))</f>
        <v/>
      </c>
      <c r="L268" s="45">
        <f>MIN(1,MAX(0,(A268-I268+1)*RampSpeed/J268))</f>
        <v/>
      </c>
      <c r="M268" s="45">
        <f>IF(A268&lt;I268,0,IF(K268="S-curve",L268*L268*(3-2*L268),L268))</f>
        <v/>
      </c>
      <c r="N268" s="45">
        <f>1+(INDEX(SeasonIdx,A268)-1)*SeasonAmp</f>
        <v/>
      </c>
      <c r="O268" s="45">
        <f>IFERROR(INDEX(PSPct,MATCH(E268&amp;"|"&amp;G268,PSKey,0)),0)</f>
        <v/>
      </c>
      <c r="P268" s="46">
        <f>INDEX(ChDoorVel,MATCH(E268,ChName,0))*CalibScalar*(1+VelocityUplift)</f>
        <v/>
      </c>
      <c r="Q268" s="46" t="n">
        <v>0</v>
      </c>
      <c r="R268" s="46">
        <f>P268*O268*M268*N268*H268</f>
        <v/>
      </c>
      <c r="S268" s="46">
        <f>R268*INDEX(FmtCansPerCase,MATCH(F268,FmtName,0))</f>
        <v/>
      </c>
      <c r="T268" s="46">
        <f>S268/INDEX(FmtCansPerPack,MATCH(F268,FmtName,0))</f>
        <v/>
      </c>
      <c r="U268" s="47">
        <f>INDEX(ChBaseCP,MATCH(E268,ChName,0))*(1+INDEX(ProvMod,MATCH(G268,ProvCode,0)))*(1+PriceIndex)</f>
        <v/>
      </c>
      <c r="V268" s="47">
        <f>R268*U268*INDEX(FmtBlendedPriceIdx,MATCH(F268,FmtName,0))</f>
        <v/>
      </c>
      <c r="W268" s="47">
        <f>T268*INDEX(ProvSRP,MATCH(G268,ProvCode,0))*(1+PriceIndex)</f>
        <v/>
      </c>
      <c r="X268" s="47">
        <f>IF(GrossBasis="Wholesale",V268,W268)</f>
        <v/>
      </c>
      <c r="Y268" s="47">
        <f>R268*INDEX(FmtBlendedCogs,MATCH(F268,FmtName,0))</f>
        <v/>
      </c>
      <c r="Z268" s="47">
        <f>X268-Y268</f>
        <v/>
      </c>
    </row>
    <row r="269">
      <c r="A269" t="n">
        <v>3</v>
      </c>
      <c r="B269" s="44">
        <f>FiscalStart+(A269-1)*7</f>
        <v/>
      </c>
      <c r="C269">
        <f>TEXT(B269,"mmm yyyy")</f>
        <v/>
      </c>
      <c r="D269">
        <f>"Q"&amp;(INT((A269-1)/13)+1)</f>
        <v/>
      </c>
      <c r="E269" t="inlineStr">
        <is>
          <t>Convenience</t>
        </is>
      </c>
      <c r="F269">
        <f>IFERROR(INDEX(ChFormat,MATCH(E269,ChName,0)),"")</f>
        <v/>
      </c>
      <c r="G269" t="inlineStr">
        <is>
          <t>QC</t>
        </is>
      </c>
      <c r="H269">
        <f>IF(A269&lt;=NWeeks,1,0)</f>
        <v/>
      </c>
      <c r="I269">
        <f>INDEX(ChLaunch,MATCH(E269,ChName,0))</f>
        <v/>
      </c>
      <c r="J269">
        <f>INDEX(ChWeeksFull,MATCH(E269,ChName,0))</f>
        <v/>
      </c>
      <c r="K269">
        <f>INDEX(ChRamp,MATCH(E269,ChName,0))</f>
        <v/>
      </c>
      <c r="L269" s="45">
        <f>MIN(1,MAX(0,(A269-I269+1)*RampSpeed/J269))</f>
        <v/>
      </c>
      <c r="M269" s="45">
        <f>IF(A269&lt;I269,0,IF(K269="S-curve",L269*L269*(3-2*L269),L269))</f>
        <v/>
      </c>
      <c r="N269" s="45">
        <f>1+(INDEX(SeasonIdx,A269)-1)*SeasonAmp</f>
        <v/>
      </c>
      <c r="O269" s="45">
        <f>IFERROR(INDEX(PSPct,MATCH(E269&amp;"|"&amp;G269,PSKey,0)),0)</f>
        <v/>
      </c>
      <c r="P269" s="46">
        <f>INDEX(ChDoorVel,MATCH(E269,ChName,0))*CalibScalar*(1+VelocityUplift)</f>
        <v/>
      </c>
      <c r="Q269" s="46" t="n">
        <v>0</v>
      </c>
      <c r="R269" s="46">
        <f>P269*O269*M269*N269*H269</f>
        <v/>
      </c>
      <c r="S269" s="46">
        <f>R269*INDEX(FmtCansPerCase,MATCH(F269,FmtName,0))</f>
        <v/>
      </c>
      <c r="T269" s="46">
        <f>S269/INDEX(FmtCansPerPack,MATCH(F269,FmtName,0))</f>
        <v/>
      </c>
      <c r="U269" s="47">
        <f>INDEX(ChBaseCP,MATCH(E269,ChName,0))*(1+INDEX(ProvMod,MATCH(G269,ProvCode,0)))*(1+PriceIndex)</f>
        <v/>
      </c>
      <c r="V269" s="47">
        <f>R269*U269*INDEX(FmtBlendedPriceIdx,MATCH(F269,FmtName,0))</f>
        <v/>
      </c>
      <c r="W269" s="47">
        <f>T269*INDEX(ProvSRP,MATCH(G269,ProvCode,0))*(1+PriceIndex)</f>
        <v/>
      </c>
      <c r="X269" s="47">
        <f>IF(GrossBasis="Wholesale",V269,W269)</f>
        <v/>
      </c>
      <c r="Y269" s="47">
        <f>R269*INDEX(FmtBlendedCogs,MATCH(F269,FmtName,0))</f>
        <v/>
      </c>
      <c r="Z269" s="47">
        <f>X269-Y269</f>
        <v/>
      </c>
    </row>
    <row r="270">
      <c r="A270" t="n">
        <v>4</v>
      </c>
      <c r="B270" s="44">
        <f>FiscalStart+(A270-1)*7</f>
        <v/>
      </c>
      <c r="C270">
        <f>TEXT(B270,"mmm yyyy")</f>
        <v/>
      </c>
      <c r="D270">
        <f>"Q"&amp;(INT((A270-1)/13)+1)</f>
        <v/>
      </c>
      <c r="E270" t="inlineStr">
        <is>
          <t>Convenience</t>
        </is>
      </c>
      <c r="F270">
        <f>IFERROR(INDEX(ChFormat,MATCH(E270,ChName,0)),"")</f>
        <v/>
      </c>
      <c r="G270" t="inlineStr">
        <is>
          <t>QC</t>
        </is>
      </c>
      <c r="H270">
        <f>IF(A270&lt;=NWeeks,1,0)</f>
        <v/>
      </c>
      <c r="I270">
        <f>INDEX(ChLaunch,MATCH(E270,ChName,0))</f>
        <v/>
      </c>
      <c r="J270">
        <f>INDEX(ChWeeksFull,MATCH(E270,ChName,0))</f>
        <v/>
      </c>
      <c r="K270">
        <f>INDEX(ChRamp,MATCH(E270,ChName,0))</f>
        <v/>
      </c>
      <c r="L270" s="45">
        <f>MIN(1,MAX(0,(A270-I270+1)*RampSpeed/J270))</f>
        <v/>
      </c>
      <c r="M270" s="45">
        <f>IF(A270&lt;I270,0,IF(K270="S-curve",L270*L270*(3-2*L270),L270))</f>
        <v/>
      </c>
      <c r="N270" s="45">
        <f>1+(INDEX(SeasonIdx,A270)-1)*SeasonAmp</f>
        <v/>
      </c>
      <c r="O270" s="45">
        <f>IFERROR(INDEX(PSPct,MATCH(E270&amp;"|"&amp;G270,PSKey,0)),0)</f>
        <v/>
      </c>
      <c r="P270" s="46">
        <f>INDEX(ChDoorVel,MATCH(E270,ChName,0))*CalibScalar*(1+VelocityUplift)</f>
        <v/>
      </c>
      <c r="Q270" s="46" t="n">
        <v>0</v>
      </c>
      <c r="R270" s="46">
        <f>P270*O270*M270*N270*H270</f>
        <v/>
      </c>
      <c r="S270" s="46">
        <f>R270*INDEX(FmtCansPerCase,MATCH(F270,FmtName,0))</f>
        <v/>
      </c>
      <c r="T270" s="46">
        <f>S270/INDEX(FmtCansPerPack,MATCH(F270,FmtName,0))</f>
        <v/>
      </c>
      <c r="U270" s="47">
        <f>INDEX(ChBaseCP,MATCH(E270,ChName,0))*(1+INDEX(ProvMod,MATCH(G270,ProvCode,0)))*(1+PriceIndex)</f>
        <v/>
      </c>
      <c r="V270" s="47">
        <f>R270*U270*INDEX(FmtBlendedPriceIdx,MATCH(F270,FmtName,0))</f>
        <v/>
      </c>
      <c r="W270" s="47">
        <f>T270*INDEX(ProvSRP,MATCH(G270,ProvCode,0))*(1+PriceIndex)</f>
        <v/>
      </c>
      <c r="X270" s="47">
        <f>IF(GrossBasis="Wholesale",V270,W270)</f>
        <v/>
      </c>
      <c r="Y270" s="47">
        <f>R270*INDEX(FmtBlendedCogs,MATCH(F270,FmtName,0))</f>
        <v/>
      </c>
      <c r="Z270" s="47">
        <f>X270-Y270</f>
        <v/>
      </c>
    </row>
    <row r="271">
      <c r="A271" t="n">
        <v>5</v>
      </c>
      <c r="B271" s="44">
        <f>FiscalStart+(A271-1)*7</f>
        <v/>
      </c>
      <c r="C271">
        <f>TEXT(B271,"mmm yyyy")</f>
        <v/>
      </c>
      <c r="D271">
        <f>"Q"&amp;(INT((A271-1)/13)+1)</f>
        <v/>
      </c>
      <c r="E271" t="inlineStr">
        <is>
          <t>Convenience</t>
        </is>
      </c>
      <c r="F271">
        <f>IFERROR(INDEX(ChFormat,MATCH(E271,ChName,0)),"")</f>
        <v/>
      </c>
      <c r="G271" t="inlineStr">
        <is>
          <t>QC</t>
        </is>
      </c>
      <c r="H271">
        <f>IF(A271&lt;=NWeeks,1,0)</f>
        <v/>
      </c>
      <c r="I271">
        <f>INDEX(ChLaunch,MATCH(E271,ChName,0))</f>
        <v/>
      </c>
      <c r="J271">
        <f>INDEX(ChWeeksFull,MATCH(E271,ChName,0))</f>
        <v/>
      </c>
      <c r="K271">
        <f>INDEX(ChRamp,MATCH(E271,ChName,0))</f>
        <v/>
      </c>
      <c r="L271" s="45">
        <f>MIN(1,MAX(0,(A271-I271+1)*RampSpeed/J271))</f>
        <v/>
      </c>
      <c r="M271" s="45">
        <f>IF(A271&lt;I271,0,IF(K271="S-curve",L271*L271*(3-2*L271),L271))</f>
        <v/>
      </c>
      <c r="N271" s="45">
        <f>1+(INDEX(SeasonIdx,A271)-1)*SeasonAmp</f>
        <v/>
      </c>
      <c r="O271" s="45">
        <f>IFERROR(INDEX(PSPct,MATCH(E271&amp;"|"&amp;G271,PSKey,0)),0)</f>
        <v/>
      </c>
      <c r="P271" s="46">
        <f>INDEX(ChDoorVel,MATCH(E271,ChName,0))*CalibScalar*(1+VelocityUplift)</f>
        <v/>
      </c>
      <c r="Q271" s="46" t="n">
        <v>0</v>
      </c>
      <c r="R271" s="46">
        <f>P271*O271*M271*N271*H271</f>
        <v/>
      </c>
      <c r="S271" s="46">
        <f>R271*INDEX(FmtCansPerCase,MATCH(F271,FmtName,0))</f>
        <v/>
      </c>
      <c r="T271" s="46">
        <f>S271/INDEX(FmtCansPerPack,MATCH(F271,FmtName,0))</f>
        <v/>
      </c>
      <c r="U271" s="47">
        <f>INDEX(ChBaseCP,MATCH(E271,ChName,0))*(1+INDEX(ProvMod,MATCH(G271,ProvCode,0)))*(1+PriceIndex)</f>
        <v/>
      </c>
      <c r="V271" s="47">
        <f>R271*U271*INDEX(FmtBlendedPriceIdx,MATCH(F271,FmtName,0))</f>
        <v/>
      </c>
      <c r="W271" s="47">
        <f>T271*INDEX(ProvSRP,MATCH(G271,ProvCode,0))*(1+PriceIndex)</f>
        <v/>
      </c>
      <c r="X271" s="47">
        <f>IF(GrossBasis="Wholesale",V271,W271)</f>
        <v/>
      </c>
      <c r="Y271" s="47">
        <f>R271*INDEX(FmtBlendedCogs,MATCH(F271,FmtName,0))</f>
        <v/>
      </c>
      <c r="Z271" s="47">
        <f>X271-Y271</f>
        <v/>
      </c>
    </row>
    <row r="272">
      <c r="A272" t="n">
        <v>6</v>
      </c>
      <c r="B272" s="44">
        <f>FiscalStart+(A272-1)*7</f>
        <v/>
      </c>
      <c r="C272">
        <f>TEXT(B272,"mmm yyyy")</f>
        <v/>
      </c>
      <c r="D272">
        <f>"Q"&amp;(INT((A272-1)/13)+1)</f>
        <v/>
      </c>
      <c r="E272" t="inlineStr">
        <is>
          <t>Convenience</t>
        </is>
      </c>
      <c r="F272">
        <f>IFERROR(INDEX(ChFormat,MATCH(E272,ChName,0)),"")</f>
        <v/>
      </c>
      <c r="G272" t="inlineStr">
        <is>
          <t>QC</t>
        </is>
      </c>
      <c r="H272">
        <f>IF(A272&lt;=NWeeks,1,0)</f>
        <v/>
      </c>
      <c r="I272">
        <f>INDEX(ChLaunch,MATCH(E272,ChName,0))</f>
        <v/>
      </c>
      <c r="J272">
        <f>INDEX(ChWeeksFull,MATCH(E272,ChName,0))</f>
        <v/>
      </c>
      <c r="K272">
        <f>INDEX(ChRamp,MATCH(E272,ChName,0))</f>
        <v/>
      </c>
      <c r="L272" s="45">
        <f>MIN(1,MAX(0,(A272-I272+1)*RampSpeed/J272))</f>
        <v/>
      </c>
      <c r="M272" s="45">
        <f>IF(A272&lt;I272,0,IF(K272="S-curve",L272*L272*(3-2*L272),L272))</f>
        <v/>
      </c>
      <c r="N272" s="45">
        <f>1+(INDEX(SeasonIdx,A272)-1)*SeasonAmp</f>
        <v/>
      </c>
      <c r="O272" s="45">
        <f>IFERROR(INDEX(PSPct,MATCH(E272&amp;"|"&amp;G272,PSKey,0)),0)</f>
        <v/>
      </c>
      <c r="P272" s="46">
        <f>INDEX(ChDoorVel,MATCH(E272,ChName,0))*CalibScalar*(1+VelocityUplift)</f>
        <v/>
      </c>
      <c r="Q272" s="46" t="n">
        <v>0</v>
      </c>
      <c r="R272" s="46">
        <f>P272*O272*M272*N272*H272</f>
        <v/>
      </c>
      <c r="S272" s="46">
        <f>R272*INDEX(FmtCansPerCase,MATCH(F272,FmtName,0))</f>
        <v/>
      </c>
      <c r="T272" s="46">
        <f>S272/INDEX(FmtCansPerPack,MATCH(F272,FmtName,0))</f>
        <v/>
      </c>
      <c r="U272" s="47">
        <f>INDEX(ChBaseCP,MATCH(E272,ChName,0))*(1+INDEX(ProvMod,MATCH(G272,ProvCode,0)))*(1+PriceIndex)</f>
        <v/>
      </c>
      <c r="V272" s="47">
        <f>R272*U272*INDEX(FmtBlendedPriceIdx,MATCH(F272,FmtName,0))</f>
        <v/>
      </c>
      <c r="W272" s="47">
        <f>T272*INDEX(ProvSRP,MATCH(G272,ProvCode,0))*(1+PriceIndex)</f>
        <v/>
      </c>
      <c r="X272" s="47">
        <f>IF(GrossBasis="Wholesale",V272,W272)</f>
        <v/>
      </c>
      <c r="Y272" s="47">
        <f>R272*INDEX(FmtBlendedCogs,MATCH(F272,FmtName,0))</f>
        <v/>
      </c>
      <c r="Z272" s="47">
        <f>X272-Y272</f>
        <v/>
      </c>
    </row>
    <row r="273">
      <c r="A273" t="n">
        <v>7</v>
      </c>
      <c r="B273" s="44">
        <f>FiscalStart+(A273-1)*7</f>
        <v/>
      </c>
      <c r="C273">
        <f>TEXT(B273,"mmm yyyy")</f>
        <v/>
      </c>
      <c r="D273">
        <f>"Q"&amp;(INT((A273-1)/13)+1)</f>
        <v/>
      </c>
      <c r="E273" t="inlineStr">
        <is>
          <t>Convenience</t>
        </is>
      </c>
      <c r="F273">
        <f>IFERROR(INDEX(ChFormat,MATCH(E273,ChName,0)),"")</f>
        <v/>
      </c>
      <c r="G273" t="inlineStr">
        <is>
          <t>QC</t>
        </is>
      </c>
      <c r="H273">
        <f>IF(A273&lt;=NWeeks,1,0)</f>
        <v/>
      </c>
      <c r="I273">
        <f>INDEX(ChLaunch,MATCH(E273,ChName,0))</f>
        <v/>
      </c>
      <c r="J273">
        <f>INDEX(ChWeeksFull,MATCH(E273,ChName,0))</f>
        <v/>
      </c>
      <c r="K273">
        <f>INDEX(ChRamp,MATCH(E273,ChName,0))</f>
        <v/>
      </c>
      <c r="L273" s="45">
        <f>MIN(1,MAX(0,(A273-I273+1)*RampSpeed/J273))</f>
        <v/>
      </c>
      <c r="M273" s="45">
        <f>IF(A273&lt;I273,0,IF(K273="S-curve",L273*L273*(3-2*L273),L273))</f>
        <v/>
      </c>
      <c r="N273" s="45">
        <f>1+(INDEX(SeasonIdx,A273)-1)*SeasonAmp</f>
        <v/>
      </c>
      <c r="O273" s="45">
        <f>IFERROR(INDEX(PSPct,MATCH(E273&amp;"|"&amp;G273,PSKey,0)),0)</f>
        <v/>
      </c>
      <c r="P273" s="46">
        <f>INDEX(ChDoorVel,MATCH(E273,ChName,0))*CalibScalar*(1+VelocityUplift)</f>
        <v/>
      </c>
      <c r="Q273" s="46" t="n">
        <v>0</v>
      </c>
      <c r="R273" s="46">
        <f>P273*O273*M273*N273*H273</f>
        <v/>
      </c>
      <c r="S273" s="46">
        <f>R273*INDEX(FmtCansPerCase,MATCH(F273,FmtName,0))</f>
        <v/>
      </c>
      <c r="T273" s="46">
        <f>S273/INDEX(FmtCansPerPack,MATCH(F273,FmtName,0))</f>
        <v/>
      </c>
      <c r="U273" s="47">
        <f>INDEX(ChBaseCP,MATCH(E273,ChName,0))*(1+INDEX(ProvMod,MATCH(G273,ProvCode,0)))*(1+PriceIndex)</f>
        <v/>
      </c>
      <c r="V273" s="47">
        <f>R273*U273*INDEX(FmtBlendedPriceIdx,MATCH(F273,FmtName,0))</f>
        <v/>
      </c>
      <c r="W273" s="47">
        <f>T273*INDEX(ProvSRP,MATCH(G273,ProvCode,0))*(1+PriceIndex)</f>
        <v/>
      </c>
      <c r="X273" s="47">
        <f>IF(GrossBasis="Wholesale",V273,W273)</f>
        <v/>
      </c>
      <c r="Y273" s="47">
        <f>R273*INDEX(FmtBlendedCogs,MATCH(F273,FmtName,0))</f>
        <v/>
      </c>
      <c r="Z273" s="47">
        <f>X273-Y273</f>
        <v/>
      </c>
    </row>
    <row r="274">
      <c r="A274" t="n">
        <v>8</v>
      </c>
      <c r="B274" s="44">
        <f>FiscalStart+(A274-1)*7</f>
        <v/>
      </c>
      <c r="C274">
        <f>TEXT(B274,"mmm yyyy")</f>
        <v/>
      </c>
      <c r="D274">
        <f>"Q"&amp;(INT((A274-1)/13)+1)</f>
        <v/>
      </c>
      <c r="E274" t="inlineStr">
        <is>
          <t>Convenience</t>
        </is>
      </c>
      <c r="F274">
        <f>IFERROR(INDEX(ChFormat,MATCH(E274,ChName,0)),"")</f>
        <v/>
      </c>
      <c r="G274" t="inlineStr">
        <is>
          <t>QC</t>
        </is>
      </c>
      <c r="H274">
        <f>IF(A274&lt;=NWeeks,1,0)</f>
        <v/>
      </c>
      <c r="I274">
        <f>INDEX(ChLaunch,MATCH(E274,ChName,0))</f>
        <v/>
      </c>
      <c r="J274">
        <f>INDEX(ChWeeksFull,MATCH(E274,ChName,0))</f>
        <v/>
      </c>
      <c r="K274">
        <f>INDEX(ChRamp,MATCH(E274,ChName,0))</f>
        <v/>
      </c>
      <c r="L274" s="45">
        <f>MIN(1,MAX(0,(A274-I274+1)*RampSpeed/J274))</f>
        <v/>
      </c>
      <c r="M274" s="45">
        <f>IF(A274&lt;I274,0,IF(K274="S-curve",L274*L274*(3-2*L274),L274))</f>
        <v/>
      </c>
      <c r="N274" s="45">
        <f>1+(INDEX(SeasonIdx,A274)-1)*SeasonAmp</f>
        <v/>
      </c>
      <c r="O274" s="45">
        <f>IFERROR(INDEX(PSPct,MATCH(E274&amp;"|"&amp;G274,PSKey,0)),0)</f>
        <v/>
      </c>
      <c r="P274" s="46">
        <f>INDEX(ChDoorVel,MATCH(E274,ChName,0))*CalibScalar*(1+VelocityUplift)</f>
        <v/>
      </c>
      <c r="Q274" s="46" t="n">
        <v>0</v>
      </c>
      <c r="R274" s="46">
        <f>P274*O274*M274*N274*H274</f>
        <v/>
      </c>
      <c r="S274" s="46">
        <f>R274*INDEX(FmtCansPerCase,MATCH(F274,FmtName,0))</f>
        <v/>
      </c>
      <c r="T274" s="46">
        <f>S274/INDEX(FmtCansPerPack,MATCH(F274,FmtName,0))</f>
        <v/>
      </c>
      <c r="U274" s="47">
        <f>INDEX(ChBaseCP,MATCH(E274,ChName,0))*(1+INDEX(ProvMod,MATCH(G274,ProvCode,0)))*(1+PriceIndex)</f>
        <v/>
      </c>
      <c r="V274" s="47">
        <f>R274*U274*INDEX(FmtBlendedPriceIdx,MATCH(F274,FmtName,0))</f>
        <v/>
      </c>
      <c r="W274" s="47">
        <f>T274*INDEX(ProvSRP,MATCH(G274,ProvCode,0))*(1+PriceIndex)</f>
        <v/>
      </c>
      <c r="X274" s="47">
        <f>IF(GrossBasis="Wholesale",V274,W274)</f>
        <v/>
      </c>
      <c r="Y274" s="47">
        <f>R274*INDEX(FmtBlendedCogs,MATCH(F274,FmtName,0))</f>
        <v/>
      </c>
      <c r="Z274" s="47">
        <f>X274-Y274</f>
        <v/>
      </c>
    </row>
    <row r="275">
      <c r="A275" t="n">
        <v>9</v>
      </c>
      <c r="B275" s="44">
        <f>FiscalStart+(A275-1)*7</f>
        <v/>
      </c>
      <c r="C275">
        <f>TEXT(B275,"mmm yyyy")</f>
        <v/>
      </c>
      <c r="D275">
        <f>"Q"&amp;(INT((A275-1)/13)+1)</f>
        <v/>
      </c>
      <c r="E275" t="inlineStr">
        <is>
          <t>Convenience</t>
        </is>
      </c>
      <c r="F275">
        <f>IFERROR(INDEX(ChFormat,MATCH(E275,ChName,0)),"")</f>
        <v/>
      </c>
      <c r="G275" t="inlineStr">
        <is>
          <t>QC</t>
        </is>
      </c>
      <c r="H275">
        <f>IF(A275&lt;=NWeeks,1,0)</f>
        <v/>
      </c>
      <c r="I275">
        <f>INDEX(ChLaunch,MATCH(E275,ChName,0))</f>
        <v/>
      </c>
      <c r="J275">
        <f>INDEX(ChWeeksFull,MATCH(E275,ChName,0))</f>
        <v/>
      </c>
      <c r="K275">
        <f>INDEX(ChRamp,MATCH(E275,ChName,0))</f>
        <v/>
      </c>
      <c r="L275" s="45">
        <f>MIN(1,MAX(0,(A275-I275+1)*RampSpeed/J275))</f>
        <v/>
      </c>
      <c r="M275" s="45">
        <f>IF(A275&lt;I275,0,IF(K275="S-curve",L275*L275*(3-2*L275),L275))</f>
        <v/>
      </c>
      <c r="N275" s="45">
        <f>1+(INDEX(SeasonIdx,A275)-1)*SeasonAmp</f>
        <v/>
      </c>
      <c r="O275" s="45">
        <f>IFERROR(INDEX(PSPct,MATCH(E275&amp;"|"&amp;G275,PSKey,0)),0)</f>
        <v/>
      </c>
      <c r="P275" s="46">
        <f>INDEX(ChDoorVel,MATCH(E275,ChName,0))*CalibScalar*(1+VelocityUplift)</f>
        <v/>
      </c>
      <c r="Q275" s="46" t="n">
        <v>0</v>
      </c>
      <c r="R275" s="46">
        <f>P275*O275*M275*N275*H275</f>
        <v/>
      </c>
      <c r="S275" s="46">
        <f>R275*INDEX(FmtCansPerCase,MATCH(F275,FmtName,0))</f>
        <v/>
      </c>
      <c r="T275" s="46">
        <f>S275/INDEX(FmtCansPerPack,MATCH(F275,FmtName,0))</f>
        <v/>
      </c>
      <c r="U275" s="47">
        <f>INDEX(ChBaseCP,MATCH(E275,ChName,0))*(1+INDEX(ProvMod,MATCH(G275,ProvCode,0)))*(1+PriceIndex)</f>
        <v/>
      </c>
      <c r="V275" s="47">
        <f>R275*U275*INDEX(FmtBlendedPriceIdx,MATCH(F275,FmtName,0))</f>
        <v/>
      </c>
      <c r="W275" s="47">
        <f>T275*INDEX(ProvSRP,MATCH(G275,ProvCode,0))*(1+PriceIndex)</f>
        <v/>
      </c>
      <c r="X275" s="47">
        <f>IF(GrossBasis="Wholesale",V275,W275)</f>
        <v/>
      </c>
      <c r="Y275" s="47">
        <f>R275*INDEX(FmtBlendedCogs,MATCH(F275,FmtName,0))</f>
        <v/>
      </c>
      <c r="Z275" s="47">
        <f>X275-Y275</f>
        <v/>
      </c>
    </row>
    <row r="276">
      <c r="A276" t="n">
        <v>10</v>
      </c>
      <c r="B276" s="44">
        <f>FiscalStart+(A276-1)*7</f>
        <v/>
      </c>
      <c r="C276">
        <f>TEXT(B276,"mmm yyyy")</f>
        <v/>
      </c>
      <c r="D276">
        <f>"Q"&amp;(INT((A276-1)/13)+1)</f>
        <v/>
      </c>
      <c r="E276" t="inlineStr">
        <is>
          <t>Convenience</t>
        </is>
      </c>
      <c r="F276">
        <f>IFERROR(INDEX(ChFormat,MATCH(E276,ChName,0)),"")</f>
        <v/>
      </c>
      <c r="G276" t="inlineStr">
        <is>
          <t>QC</t>
        </is>
      </c>
      <c r="H276">
        <f>IF(A276&lt;=NWeeks,1,0)</f>
        <v/>
      </c>
      <c r="I276">
        <f>INDEX(ChLaunch,MATCH(E276,ChName,0))</f>
        <v/>
      </c>
      <c r="J276">
        <f>INDEX(ChWeeksFull,MATCH(E276,ChName,0))</f>
        <v/>
      </c>
      <c r="K276">
        <f>INDEX(ChRamp,MATCH(E276,ChName,0))</f>
        <v/>
      </c>
      <c r="L276" s="45">
        <f>MIN(1,MAX(0,(A276-I276+1)*RampSpeed/J276))</f>
        <v/>
      </c>
      <c r="M276" s="45">
        <f>IF(A276&lt;I276,0,IF(K276="S-curve",L276*L276*(3-2*L276),L276))</f>
        <v/>
      </c>
      <c r="N276" s="45">
        <f>1+(INDEX(SeasonIdx,A276)-1)*SeasonAmp</f>
        <v/>
      </c>
      <c r="O276" s="45">
        <f>IFERROR(INDEX(PSPct,MATCH(E276&amp;"|"&amp;G276,PSKey,0)),0)</f>
        <v/>
      </c>
      <c r="P276" s="46">
        <f>INDEX(ChDoorVel,MATCH(E276,ChName,0))*CalibScalar*(1+VelocityUplift)</f>
        <v/>
      </c>
      <c r="Q276" s="46" t="n">
        <v>0</v>
      </c>
      <c r="R276" s="46">
        <f>P276*O276*M276*N276*H276</f>
        <v/>
      </c>
      <c r="S276" s="46">
        <f>R276*INDEX(FmtCansPerCase,MATCH(F276,FmtName,0))</f>
        <v/>
      </c>
      <c r="T276" s="46">
        <f>S276/INDEX(FmtCansPerPack,MATCH(F276,FmtName,0))</f>
        <v/>
      </c>
      <c r="U276" s="47">
        <f>INDEX(ChBaseCP,MATCH(E276,ChName,0))*(1+INDEX(ProvMod,MATCH(G276,ProvCode,0)))*(1+PriceIndex)</f>
        <v/>
      </c>
      <c r="V276" s="47">
        <f>R276*U276*INDEX(FmtBlendedPriceIdx,MATCH(F276,FmtName,0))</f>
        <v/>
      </c>
      <c r="W276" s="47">
        <f>T276*INDEX(ProvSRP,MATCH(G276,ProvCode,0))*(1+PriceIndex)</f>
        <v/>
      </c>
      <c r="X276" s="47">
        <f>IF(GrossBasis="Wholesale",V276,W276)</f>
        <v/>
      </c>
      <c r="Y276" s="47">
        <f>R276*INDEX(FmtBlendedCogs,MATCH(F276,FmtName,0))</f>
        <v/>
      </c>
      <c r="Z276" s="47">
        <f>X276-Y276</f>
        <v/>
      </c>
    </row>
    <row r="277">
      <c r="A277" t="n">
        <v>11</v>
      </c>
      <c r="B277" s="44">
        <f>FiscalStart+(A277-1)*7</f>
        <v/>
      </c>
      <c r="C277">
        <f>TEXT(B277,"mmm yyyy")</f>
        <v/>
      </c>
      <c r="D277">
        <f>"Q"&amp;(INT((A277-1)/13)+1)</f>
        <v/>
      </c>
      <c r="E277" t="inlineStr">
        <is>
          <t>Convenience</t>
        </is>
      </c>
      <c r="F277">
        <f>IFERROR(INDEX(ChFormat,MATCH(E277,ChName,0)),"")</f>
        <v/>
      </c>
      <c r="G277" t="inlineStr">
        <is>
          <t>QC</t>
        </is>
      </c>
      <c r="H277">
        <f>IF(A277&lt;=NWeeks,1,0)</f>
        <v/>
      </c>
      <c r="I277">
        <f>INDEX(ChLaunch,MATCH(E277,ChName,0))</f>
        <v/>
      </c>
      <c r="J277">
        <f>INDEX(ChWeeksFull,MATCH(E277,ChName,0))</f>
        <v/>
      </c>
      <c r="K277">
        <f>INDEX(ChRamp,MATCH(E277,ChName,0))</f>
        <v/>
      </c>
      <c r="L277" s="45">
        <f>MIN(1,MAX(0,(A277-I277+1)*RampSpeed/J277))</f>
        <v/>
      </c>
      <c r="M277" s="45">
        <f>IF(A277&lt;I277,0,IF(K277="S-curve",L277*L277*(3-2*L277),L277))</f>
        <v/>
      </c>
      <c r="N277" s="45">
        <f>1+(INDEX(SeasonIdx,A277)-1)*SeasonAmp</f>
        <v/>
      </c>
      <c r="O277" s="45">
        <f>IFERROR(INDEX(PSPct,MATCH(E277&amp;"|"&amp;G277,PSKey,0)),0)</f>
        <v/>
      </c>
      <c r="P277" s="46">
        <f>INDEX(ChDoorVel,MATCH(E277,ChName,0))*CalibScalar*(1+VelocityUplift)</f>
        <v/>
      </c>
      <c r="Q277" s="46" t="n">
        <v>0</v>
      </c>
      <c r="R277" s="46">
        <f>P277*O277*M277*N277*H277</f>
        <v/>
      </c>
      <c r="S277" s="46">
        <f>R277*INDEX(FmtCansPerCase,MATCH(F277,FmtName,0))</f>
        <v/>
      </c>
      <c r="T277" s="46">
        <f>S277/INDEX(FmtCansPerPack,MATCH(F277,FmtName,0))</f>
        <v/>
      </c>
      <c r="U277" s="47">
        <f>INDEX(ChBaseCP,MATCH(E277,ChName,0))*(1+INDEX(ProvMod,MATCH(G277,ProvCode,0)))*(1+PriceIndex)</f>
        <v/>
      </c>
      <c r="V277" s="47">
        <f>R277*U277*INDEX(FmtBlendedPriceIdx,MATCH(F277,FmtName,0))</f>
        <v/>
      </c>
      <c r="W277" s="47">
        <f>T277*INDEX(ProvSRP,MATCH(G277,ProvCode,0))*(1+PriceIndex)</f>
        <v/>
      </c>
      <c r="X277" s="47">
        <f>IF(GrossBasis="Wholesale",V277,W277)</f>
        <v/>
      </c>
      <c r="Y277" s="47">
        <f>R277*INDEX(FmtBlendedCogs,MATCH(F277,FmtName,0))</f>
        <v/>
      </c>
      <c r="Z277" s="47">
        <f>X277-Y277</f>
        <v/>
      </c>
    </row>
    <row r="278">
      <c r="A278" t="n">
        <v>12</v>
      </c>
      <c r="B278" s="44">
        <f>FiscalStart+(A278-1)*7</f>
        <v/>
      </c>
      <c r="C278">
        <f>TEXT(B278,"mmm yyyy")</f>
        <v/>
      </c>
      <c r="D278">
        <f>"Q"&amp;(INT((A278-1)/13)+1)</f>
        <v/>
      </c>
      <c r="E278" t="inlineStr">
        <is>
          <t>Convenience</t>
        </is>
      </c>
      <c r="F278">
        <f>IFERROR(INDEX(ChFormat,MATCH(E278,ChName,0)),"")</f>
        <v/>
      </c>
      <c r="G278" t="inlineStr">
        <is>
          <t>QC</t>
        </is>
      </c>
      <c r="H278">
        <f>IF(A278&lt;=NWeeks,1,0)</f>
        <v/>
      </c>
      <c r="I278">
        <f>INDEX(ChLaunch,MATCH(E278,ChName,0))</f>
        <v/>
      </c>
      <c r="J278">
        <f>INDEX(ChWeeksFull,MATCH(E278,ChName,0))</f>
        <v/>
      </c>
      <c r="K278">
        <f>INDEX(ChRamp,MATCH(E278,ChName,0))</f>
        <v/>
      </c>
      <c r="L278" s="45">
        <f>MIN(1,MAX(0,(A278-I278+1)*RampSpeed/J278))</f>
        <v/>
      </c>
      <c r="M278" s="45">
        <f>IF(A278&lt;I278,0,IF(K278="S-curve",L278*L278*(3-2*L278),L278))</f>
        <v/>
      </c>
      <c r="N278" s="45">
        <f>1+(INDEX(SeasonIdx,A278)-1)*SeasonAmp</f>
        <v/>
      </c>
      <c r="O278" s="45">
        <f>IFERROR(INDEX(PSPct,MATCH(E278&amp;"|"&amp;G278,PSKey,0)),0)</f>
        <v/>
      </c>
      <c r="P278" s="46">
        <f>INDEX(ChDoorVel,MATCH(E278,ChName,0))*CalibScalar*(1+VelocityUplift)</f>
        <v/>
      </c>
      <c r="Q278" s="46" t="n">
        <v>0</v>
      </c>
      <c r="R278" s="46">
        <f>P278*O278*M278*N278*H278</f>
        <v/>
      </c>
      <c r="S278" s="46">
        <f>R278*INDEX(FmtCansPerCase,MATCH(F278,FmtName,0))</f>
        <v/>
      </c>
      <c r="T278" s="46">
        <f>S278/INDEX(FmtCansPerPack,MATCH(F278,FmtName,0))</f>
        <v/>
      </c>
      <c r="U278" s="47">
        <f>INDEX(ChBaseCP,MATCH(E278,ChName,0))*(1+INDEX(ProvMod,MATCH(G278,ProvCode,0)))*(1+PriceIndex)</f>
        <v/>
      </c>
      <c r="V278" s="47">
        <f>R278*U278*INDEX(FmtBlendedPriceIdx,MATCH(F278,FmtName,0))</f>
        <v/>
      </c>
      <c r="W278" s="47">
        <f>T278*INDEX(ProvSRP,MATCH(G278,ProvCode,0))*(1+PriceIndex)</f>
        <v/>
      </c>
      <c r="X278" s="47">
        <f>IF(GrossBasis="Wholesale",V278,W278)</f>
        <v/>
      </c>
      <c r="Y278" s="47">
        <f>R278*INDEX(FmtBlendedCogs,MATCH(F278,FmtName,0))</f>
        <v/>
      </c>
      <c r="Z278" s="47">
        <f>X278-Y278</f>
        <v/>
      </c>
    </row>
    <row r="279">
      <c r="A279" t="n">
        <v>13</v>
      </c>
      <c r="B279" s="44">
        <f>FiscalStart+(A279-1)*7</f>
        <v/>
      </c>
      <c r="C279">
        <f>TEXT(B279,"mmm yyyy")</f>
        <v/>
      </c>
      <c r="D279">
        <f>"Q"&amp;(INT((A279-1)/13)+1)</f>
        <v/>
      </c>
      <c r="E279" t="inlineStr">
        <is>
          <t>Convenience</t>
        </is>
      </c>
      <c r="F279">
        <f>IFERROR(INDEX(ChFormat,MATCH(E279,ChName,0)),"")</f>
        <v/>
      </c>
      <c r="G279" t="inlineStr">
        <is>
          <t>QC</t>
        </is>
      </c>
      <c r="H279">
        <f>IF(A279&lt;=NWeeks,1,0)</f>
        <v/>
      </c>
      <c r="I279">
        <f>INDEX(ChLaunch,MATCH(E279,ChName,0))</f>
        <v/>
      </c>
      <c r="J279">
        <f>INDEX(ChWeeksFull,MATCH(E279,ChName,0))</f>
        <v/>
      </c>
      <c r="K279">
        <f>INDEX(ChRamp,MATCH(E279,ChName,0))</f>
        <v/>
      </c>
      <c r="L279" s="45">
        <f>MIN(1,MAX(0,(A279-I279+1)*RampSpeed/J279))</f>
        <v/>
      </c>
      <c r="M279" s="45">
        <f>IF(A279&lt;I279,0,IF(K279="S-curve",L279*L279*(3-2*L279),L279))</f>
        <v/>
      </c>
      <c r="N279" s="45">
        <f>1+(INDEX(SeasonIdx,A279)-1)*SeasonAmp</f>
        <v/>
      </c>
      <c r="O279" s="45">
        <f>IFERROR(INDEX(PSPct,MATCH(E279&amp;"|"&amp;G279,PSKey,0)),0)</f>
        <v/>
      </c>
      <c r="P279" s="46">
        <f>INDEX(ChDoorVel,MATCH(E279,ChName,0))*CalibScalar*(1+VelocityUplift)</f>
        <v/>
      </c>
      <c r="Q279" s="46" t="n">
        <v>0</v>
      </c>
      <c r="R279" s="46">
        <f>P279*O279*M279*N279*H279</f>
        <v/>
      </c>
      <c r="S279" s="46">
        <f>R279*INDEX(FmtCansPerCase,MATCH(F279,FmtName,0))</f>
        <v/>
      </c>
      <c r="T279" s="46">
        <f>S279/INDEX(FmtCansPerPack,MATCH(F279,FmtName,0))</f>
        <v/>
      </c>
      <c r="U279" s="47">
        <f>INDEX(ChBaseCP,MATCH(E279,ChName,0))*(1+INDEX(ProvMod,MATCH(G279,ProvCode,0)))*(1+PriceIndex)</f>
        <v/>
      </c>
      <c r="V279" s="47">
        <f>R279*U279*INDEX(FmtBlendedPriceIdx,MATCH(F279,FmtName,0))</f>
        <v/>
      </c>
      <c r="W279" s="47">
        <f>T279*INDEX(ProvSRP,MATCH(G279,ProvCode,0))*(1+PriceIndex)</f>
        <v/>
      </c>
      <c r="X279" s="47">
        <f>IF(GrossBasis="Wholesale",V279,W279)</f>
        <v/>
      </c>
      <c r="Y279" s="47">
        <f>R279*INDEX(FmtBlendedCogs,MATCH(F279,FmtName,0))</f>
        <v/>
      </c>
      <c r="Z279" s="47">
        <f>X279-Y279</f>
        <v/>
      </c>
    </row>
    <row r="280">
      <c r="A280" t="n">
        <v>14</v>
      </c>
      <c r="B280" s="44">
        <f>FiscalStart+(A280-1)*7</f>
        <v/>
      </c>
      <c r="C280">
        <f>TEXT(B280,"mmm yyyy")</f>
        <v/>
      </c>
      <c r="D280">
        <f>"Q"&amp;(INT((A280-1)/13)+1)</f>
        <v/>
      </c>
      <c r="E280" t="inlineStr">
        <is>
          <t>Convenience</t>
        </is>
      </c>
      <c r="F280">
        <f>IFERROR(INDEX(ChFormat,MATCH(E280,ChName,0)),"")</f>
        <v/>
      </c>
      <c r="G280" t="inlineStr">
        <is>
          <t>QC</t>
        </is>
      </c>
      <c r="H280">
        <f>IF(A280&lt;=NWeeks,1,0)</f>
        <v/>
      </c>
      <c r="I280">
        <f>INDEX(ChLaunch,MATCH(E280,ChName,0))</f>
        <v/>
      </c>
      <c r="J280">
        <f>INDEX(ChWeeksFull,MATCH(E280,ChName,0))</f>
        <v/>
      </c>
      <c r="K280">
        <f>INDEX(ChRamp,MATCH(E280,ChName,0))</f>
        <v/>
      </c>
      <c r="L280" s="45">
        <f>MIN(1,MAX(0,(A280-I280+1)*RampSpeed/J280))</f>
        <v/>
      </c>
      <c r="M280" s="45">
        <f>IF(A280&lt;I280,0,IF(K280="S-curve",L280*L280*(3-2*L280),L280))</f>
        <v/>
      </c>
      <c r="N280" s="45">
        <f>1+(INDEX(SeasonIdx,A280)-1)*SeasonAmp</f>
        <v/>
      </c>
      <c r="O280" s="45">
        <f>IFERROR(INDEX(PSPct,MATCH(E280&amp;"|"&amp;G280,PSKey,0)),0)</f>
        <v/>
      </c>
      <c r="P280" s="46">
        <f>INDEX(ChDoorVel,MATCH(E280,ChName,0))*CalibScalar*(1+VelocityUplift)</f>
        <v/>
      </c>
      <c r="Q280" s="46" t="n">
        <v>0</v>
      </c>
      <c r="R280" s="46">
        <f>P280*O280*M280*N280*H280</f>
        <v/>
      </c>
      <c r="S280" s="46">
        <f>R280*INDEX(FmtCansPerCase,MATCH(F280,FmtName,0))</f>
        <v/>
      </c>
      <c r="T280" s="46">
        <f>S280/INDEX(FmtCansPerPack,MATCH(F280,FmtName,0))</f>
        <v/>
      </c>
      <c r="U280" s="47">
        <f>INDEX(ChBaseCP,MATCH(E280,ChName,0))*(1+INDEX(ProvMod,MATCH(G280,ProvCode,0)))*(1+PriceIndex)</f>
        <v/>
      </c>
      <c r="V280" s="47">
        <f>R280*U280*INDEX(FmtBlendedPriceIdx,MATCH(F280,FmtName,0))</f>
        <v/>
      </c>
      <c r="W280" s="47">
        <f>T280*INDEX(ProvSRP,MATCH(G280,ProvCode,0))*(1+PriceIndex)</f>
        <v/>
      </c>
      <c r="X280" s="47">
        <f>IF(GrossBasis="Wholesale",V280,W280)</f>
        <v/>
      </c>
      <c r="Y280" s="47">
        <f>R280*INDEX(FmtBlendedCogs,MATCH(F280,FmtName,0))</f>
        <v/>
      </c>
      <c r="Z280" s="47">
        <f>X280-Y280</f>
        <v/>
      </c>
    </row>
    <row r="281">
      <c r="A281" t="n">
        <v>15</v>
      </c>
      <c r="B281" s="44">
        <f>FiscalStart+(A281-1)*7</f>
        <v/>
      </c>
      <c r="C281">
        <f>TEXT(B281,"mmm yyyy")</f>
        <v/>
      </c>
      <c r="D281">
        <f>"Q"&amp;(INT((A281-1)/13)+1)</f>
        <v/>
      </c>
      <c r="E281" t="inlineStr">
        <is>
          <t>Convenience</t>
        </is>
      </c>
      <c r="F281">
        <f>IFERROR(INDEX(ChFormat,MATCH(E281,ChName,0)),"")</f>
        <v/>
      </c>
      <c r="G281" t="inlineStr">
        <is>
          <t>QC</t>
        </is>
      </c>
      <c r="H281">
        <f>IF(A281&lt;=NWeeks,1,0)</f>
        <v/>
      </c>
      <c r="I281">
        <f>INDEX(ChLaunch,MATCH(E281,ChName,0))</f>
        <v/>
      </c>
      <c r="J281">
        <f>INDEX(ChWeeksFull,MATCH(E281,ChName,0))</f>
        <v/>
      </c>
      <c r="K281">
        <f>INDEX(ChRamp,MATCH(E281,ChName,0))</f>
        <v/>
      </c>
      <c r="L281" s="45">
        <f>MIN(1,MAX(0,(A281-I281+1)*RampSpeed/J281))</f>
        <v/>
      </c>
      <c r="M281" s="45">
        <f>IF(A281&lt;I281,0,IF(K281="S-curve",L281*L281*(3-2*L281),L281))</f>
        <v/>
      </c>
      <c r="N281" s="45">
        <f>1+(INDEX(SeasonIdx,A281)-1)*SeasonAmp</f>
        <v/>
      </c>
      <c r="O281" s="45">
        <f>IFERROR(INDEX(PSPct,MATCH(E281&amp;"|"&amp;G281,PSKey,0)),0)</f>
        <v/>
      </c>
      <c r="P281" s="46">
        <f>INDEX(ChDoorVel,MATCH(E281,ChName,0))*CalibScalar*(1+VelocityUplift)</f>
        <v/>
      </c>
      <c r="Q281" s="46" t="n">
        <v>0</v>
      </c>
      <c r="R281" s="46">
        <f>P281*O281*M281*N281*H281</f>
        <v/>
      </c>
      <c r="S281" s="46">
        <f>R281*INDEX(FmtCansPerCase,MATCH(F281,FmtName,0))</f>
        <v/>
      </c>
      <c r="T281" s="46">
        <f>S281/INDEX(FmtCansPerPack,MATCH(F281,FmtName,0))</f>
        <v/>
      </c>
      <c r="U281" s="47">
        <f>INDEX(ChBaseCP,MATCH(E281,ChName,0))*(1+INDEX(ProvMod,MATCH(G281,ProvCode,0)))*(1+PriceIndex)</f>
        <v/>
      </c>
      <c r="V281" s="47">
        <f>R281*U281*INDEX(FmtBlendedPriceIdx,MATCH(F281,FmtName,0))</f>
        <v/>
      </c>
      <c r="W281" s="47">
        <f>T281*INDEX(ProvSRP,MATCH(G281,ProvCode,0))*(1+PriceIndex)</f>
        <v/>
      </c>
      <c r="X281" s="47">
        <f>IF(GrossBasis="Wholesale",V281,W281)</f>
        <v/>
      </c>
      <c r="Y281" s="47">
        <f>R281*INDEX(FmtBlendedCogs,MATCH(F281,FmtName,0))</f>
        <v/>
      </c>
      <c r="Z281" s="47">
        <f>X281-Y281</f>
        <v/>
      </c>
    </row>
    <row r="282">
      <c r="A282" t="n">
        <v>16</v>
      </c>
      <c r="B282" s="44">
        <f>FiscalStart+(A282-1)*7</f>
        <v/>
      </c>
      <c r="C282">
        <f>TEXT(B282,"mmm yyyy")</f>
        <v/>
      </c>
      <c r="D282">
        <f>"Q"&amp;(INT((A282-1)/13)+1)</f>
        <v/>
      </c>
      <c r="E282" t="inlineStr">
        <is>
          <t>Convenience</t>
        </is>
      </c>
      <c r="F282">
        <f>IFERROR(INDEX(ChFormat,MATCH(E282,ChName,0)),"")</f>
        <v/>
      </c>
      <c r="G282" t="inlineStr">
        <is>
          <t>QC</t>
        </is>
      </c>
      <c r="H282">
        <f>IF(A282&lt;=NWeeks,1,0)</f>
        <v/>
      </c>
      <c r="I282">
        <f>INDEX(ChLaunch,MATCH(E282,ChName,0))</f>
        <v/>
      </c>
      <c r="J282">
        <f>INDEX(ChWeeksFull,MATCH(E282,ChName,0))</f>
        <v/>
      </c>
      <c r="K282">
        <f>INDEX(ChRamp,MATCH(E282,ChName,0))</f>
        <v/>
      </c>
      <c r="L282" s="45">
        <f>MIN(1,MAX(0,(A282-I282+1)*RampSpeed/J282))</f>
        <v/>
      </c>
      <c r="M282" s="45">
        <f>IF(A282&lt;I282,0,IF(K282="S-curve",L282*L282*(3-2*L282),L282))</f>
        <v/>
      </c>
      <c r="N282" s="45">
        <f>1+(INDEX(SeasonIdx,A282)-1)*SeasonAmp</f>
        <v/>
      </c>
      <c r="O282" s="45">
        <f>IFERROR(INDEX(PSPct,MATCH(E282&amp;"|"&amp;G282,PSKey,0)),0)</f>
        <v/>
      </c>
      <c r="P282" s="46">
        <f>INDEX(ChDoorVel,MATCH(E282,ChName,0))*CalibScalar*(1+VelocityUplift)</f>
        <v/>
      </c>
      <c r="Q282" s="46" t="n">
        <v>0</v>
      </c>
      <c r="R282" s="46">
        <f>P282*O282*M282*N282*H282</f>
        <v/>
      </c>
      <c r="S282" s="46">
        <f>R282*INDEX(FmtCansPerCase,MATCH(F282,FmtName,0))</f>
        <v/>
      </c>
      <c r="T282" s="46">
        <f>S282/INDEX(FmtCansPerPack,MATCH(F282,FmtName,0))</f>
        <v/>
      </c>
      <c r="U282" s="47">
        <f>INDEX(ChBaseCP,MATCH(E282,ChName,0))*(1+INDEX(ProvMod,MATCH(G282,ProvCode,0)))*(1+PriceIndex)</f>
        <v/>
      </c>
      <c r="V282" s="47">
        <f>R282*U282*INDEX(FmtBlendedPriceIdx,MATCH(F282,FmtName,0))</f>
        <v/>
      </c>
      <c r="W282" s="47">
        <f>T282*INDEX(ProvSRP,MATCH(G282,ProvCode,0))*(1+PriceIndex)</f>
        <v/>
      </c>
      <c r="X282" s="47">
        <f>IF(GrossBasis="Wholesale",V282,W282)</f>
        <v/>
      </c>
      <c r="Y282" s="47">
        <f>R282*INDEX(FmtBlendedCogs,MATCH(F282,FmtName,0))</f>
        <v/>
      </c>
      <c r="Z282" s="47">
        <f>X282-Y282</f>
        <v/>
      </c>
    </row>
    <row r="283">
      <c r="A283" t="n">
        <v>17</v>
      </c>
      <c r="B283" s="44">
        <f>FiscalStart+(A283-1)*7</f>
        <v/>
      </c>
      <c r="C283">
        <f>TEXT(B283,"mmm yyyy")</f>
        <v/>
      </c>
      <c r="D283">
        <f>"Q"&amp;(INT((A283-1)/13)+1)</f>
        <v/>
      </c>
      <c r="E283" t="inlineStr">
        <is>
          <t>Convenience</t>
        </is>
      </c>
      <c r="F283">
        <f>IFERROR(INDEX(ChFormat,MATCH(E283,ChName,0)),"")</f>
        <v/>
      </c>
      <c r="G283" t="inlineStr">
        <is>
          <t>QC</t>
        </is>
      </c>
      <c r="H283">
        <f>IF(A283&lt;=NWeeks,1,0)</f>
        <v/>
      </c>
      <c r="I283">
        <f>INDEX(ChLaunch,MATCH(E283,ChName,0))</f>
        <v/>
      </c>
      <c r="J283">
        <f>INDEX(ChWeeksFull,MATCH(E283,ChName,0))</f>
        <v/>
      </c>
      <c r="K283">
        <f>INDEX(ChRamp,MATCH(E283,ChName,0))</f>
        <v/>
      </c>
      <c r="L283" s="45">
        <f>MIN(1,MAX(0,(A283-I283+1)*RampSpeed/J283))</f>
        <v/>
      </c>
      <c r="M283" s="45">
        <f>IF(A283&lt;I283,0,IF(K283="S-curve",L283*L283*(3-2*L283),L283))</f>
        <v/>
      </c>
      <c r="N283" s="45">
        <f>1+(INDEX(SeasonIdx,A283)-1)*SeasonAmp</f>
        <v/>
      </c>
      <c r="O283" s="45">
        <f>IFERROR(INDEX(PSPct,MATCH(E283&amp;"|"&amp;G283,PSKey,0)),0)</f>
        <v/>
      </c>
      <c r="P283" s="46">
        <f>INDEX(ChDoorVel,MATCH(E283,ChName,0))*CalibScalar*(1+VelocityUplift)</f>
        <v/>
      </c>
      <c r="Q283" s="46" t="n">
        <v>0</v>
      </c>
      <c r="R283" s="46">
        <f>P283*O283*M283*N283*H283</f>
        <v/>
      </c>
      <c r="S283" s="46">
        <f>R283*INDEX(FmtCansPerCase,MATCH(F283,FmtName,0))</f>
        <v/>
      </c>
      <c r="T283" s="46">
        <f>S283/INDEX(FmtCansPerPack,MATCH(F283,FmtName,0))</f>
        <v/>
      </c>
      <c r="U283" s="47">
        <f>INDEX(ChBaseCP,MATCH(E283,ChName,0))*(1+INDEX(ProvMod,MATCH(G283,ProvCode,0)))*(1+PriceIndex)</f>
        <v/>
      </c>
      <c r="V283" s="47">
        <f>R283*U283*INDEX(FmtBlendedPriceIdx,MATCH(F283,FmtName,0))</f>
        <v/>
      </c>
      <c r="W283" s="47">
        <f>T283*INDEX(ProvSRP,MATCH(G283,ProvCode,0))*(1+PriceIndex)</f>
        <v/>
      </c>
      <c r="X283" s="47">
        <f>IF(GrossBasis="Wholesale",V283,W283)</f>
        <v/>
      </c>
      <c r="Y283" s="47">
        <f>R283*INDEX(FmtBlendedCogs,MATCH(F283,FmtName,0))</f>
        <v/>
      </c>
      <c r="Z283" s="47">
        <f>X283-Y283</f>
        <v/>
      </c>
    </row>
    <row r="284">
      <c r="A284" t="n">
        <v>18</v>
      </c>
      <c r="B284" s="44">
        <f>FiscalStart+(A284-1)*7</f>
        <v/>
      </c>
      <c r="C284">
        <f>TEXT(B284,"mmm yyyy")</f>
        <v/>
      </c>
      <c r="D284">
        <f>"Q"&amp;(INT((A284-1)/13)+1)</f>
        <v/>
      </c>
      <c r="E284" t="inlineStr">
        <is>
          <t>Convenience</t>
        </is>
      </c>
      <c r="F284">
        <f>IFERROR(INDEX(ChFormat,MATCH(E284,ChName,0)),"")</f>
        <v/>
      </c>
      <c r="G284" t="inlineStr">
        <is>
          <t>QC</t>
        </is>
      </c>
      <c r="H284">
        <f>IF(A284&lt;=NWeeks,1,0)</f>
        <v/>
      </c>
      <c r="I284">
        <f>INDEX(ChLaunch,MATCH(E284,ChName,0))</f>
        <v/>
      </c>
      <c r="J284">
        <f>INDEX(ChWeeksFull,MATCH(E284,ChName,0))</f>
        <v/>
      </c>
      <c r="K284">
        <f>INDEX(ChRamp,MATCH(E284,ChName,0))</f>
        <v/>
      </c>
      <c r="L284" s="45">
        <f>MIN(1,MAX(0,(A284-I284+1)*RampSpeed/J284))</f>
        <v/>
      </c>
      <c r="M284" s="45">
        <f>IF(A284&lt;I284,0,IF(K284="S-curve",L284*L284*(3-2*L284),L284))</f>
        <v/>
      </c>
      <c r="N284" s="45">
        <f>1+(INDEX(SeasonIdx,A284)-1)*SeasonAmp</f>
        <v/>
      </c>
      <c r="O284" s="45">
        <f>IFERROR(INDEX(PSPct,MATCH(E284&amp;"|"&amp;G284,PSKey,0)),0)</f>
        <v/>
      </c>
      <c r="P284" s="46">
        <f>INDEX(ChDoorVel,MATCH(E284,ChName,0))*CalibScalar*(1+VelocityUplift)</f>
        <v/>
      </c>
      <c r="Q284" s="46" t="n">
        <v>0</v>
      </c>
      <c r="R284" s="46">
        <f>P284*O284*M284*N284*H284</f>
        <v/>
      </c>
      <c r="S284" s="46">
        <f>R284*INDEX(FmtCansPerCase,MATCH(F284,FmtName,0))</f>
        <v/>
      </c>
      <c r="T284" s="46">
        <f>S284/INDEX(FmtCansPerPack,MATCH(F284,FmtName,0))</f>
        <v/>
      </c>
      <c r="U284" s="47">
        <f>INDEX(ChBaseCP,MATCH(E284,ChName,0))*(1+INDEX(ProvMod,MATCH(G284,ProvCode,0)))*(1+PriceIndex)</f>
        <v/>
      </c>
      <c r="V284" s="47">
        <f>R284*U284*INDEX(FmtBlendedPriceIdx,MATCH(F284,FmtName,0))</f>
        <v/>
      </c>
      <c r="W284" s="47">
        <f>T284*INDEX(ProvSRP,MATCH(G284,ProvCode,0))*(1+PriceIndex)</f>
        <v/>
      </c>
      <c r="X284" s="47">
        <f>IF(GrossBasis="Wholesale",V284,W284)</f>
        <v/>
      </c>
      <c r="Y284" s="47">
        <f>R284*INDEX(FmtBlendedCogs,MATCH(F284,FmtName,0))</f>
        <v/>
      </c>
      <c r="Z284" s="47">
        <f>X284-Y284</f>
        <v/>
      </c>
    </row>
    <row r="285">
      <c r="A285" t="n">
        <v>19</v>
      </c>
      <c r="B285" s="44">
        <f>FiscalStart+(A285-1)*7</f>
        <v/>
      </c>
      <c r="C285">
        <f>TEXT(B285,"mmm yyyy")</f>
        <v/>
      </c>
      <c r="D285">
        <f>"Q"&amp;(INT((A285-1)/13)+1)</f>
        <v/>
      </c>
      <c r="E285" t="inlineStr">
        <is>
          <t>Convenience</t>
        </is>
      </c>
      <c r="F285">
        <f>IFERROR(INDEX(ChFormat,MATCH(E285,ChName,0)),"")</f>
        <v/>
      </c>
      <c r="G285" t="inlineStr">
        <is>
          <t>QC</t>
        </is>
      </c>
      <c r="H285">
        <f>IF(A285&lt;=NWeeks,1,0)</f>
        <v/>
      </c>
      <c r="I285">
        <f>INDEX(ChLaunch,MATCH(E285,ChName,0))</f>
        <v/>
      </c>
      <c r="J285">
        <f>INDEX(ChWeeksFull,MATCH(E285,ChName,0))</f>
        <v/>
      </c>
      <c r="K285">
        <f>INDEX(ChRamp,MATCH(E285,ChName,0))</f>
        <v/>
      </c>
      <c r="L285" s="45">
        <f>MIN(1,MAX(0,(A285-I285+1)*RampSpeed/J285))</f>
        <v/>
      </c>
      <c r="M285" s="45">
        <f>IF(A285&lt;I285,0,IF(K285="S-curve",L285*L285*(3-2*L285),L285))</f>
        <v/>
      </c>
      <c r="N285" s="45">
        <f>1+(INDEX(SeasonIdx,A285)-1)*SeasonAmp</f>
        <v/>
      </c>
      <c r="O285" s="45">
        <f>IFERROR(INDEX(PSPct,MATCH(E285&amp;"|"&amp;G285,PSKey,0)),0)</f>
        <v/>
      </c>
      <c r="P285" s="46">
        <f>INDEX(ChDoorVel,MATCH(E285,ChName,0))*CalibScalar*(1+VelocityUplift)</f>
        <v/>
      </c>
      <c r="Q285" s="46" t="n">
        <v>0</v>
      </c>
      <c r="R285" s="46">
        <f>P285*O285*M285*N285*H285</f>
        <v/>
      </c>
      <c r="S285" s="46">
        <f>R285*INDEX(FmtCansPerCase,MATCH(F285,FmtName,0))</f>
        <v/>
      </c>
      <c r="T285" s="46">
        <f>S285/INDEX(FmtCansPerPack,MATCH(F285,FmtName,0))</f>
        <v/>
      </c>
      <c r="U285" s="47">
        <f>INDEX(ChBaseCP,MATCH(E285,ChName,0))*(1+INDEX(ProvMod,MATCH(G285,ProvCode,0)))*(1+PriceIndex)</f>
        <v/>
      </c>
      <c r="V285" s="47">
        <f>R285*U285*INDEX(FmtBlendedPriceIdx,MATCH(F285,FmtName,0))</f>
        <v/>
      </c>
      <c r="W285" s="47">
        <f>T285*INDEX(ProvSRP,MATCH(G285,ProvCode,0))*(1+PriceIndex)</f>
        <v/>
      </c>
      <c r="X285" s="47">
        <f>IF(GrossBasis="Wholesale",V285,W285)</f>
        <v/>
      </c>
      <c r="Y285" s="47">
        <f>R285*INDEX(FmtBlendedCogs,MATCH(F285,FmtName,0))</f>
        <v/>
      </c>
      <c r="Z285" s="47">
        <f>X285-Y285</f>
        <v/>
      </c>
    </row>
    <row r="286">
      <c r="A286" t="n">
        <v>20</v>
      </c>
      <c r="B286" s="44">
        <f>FiscalStart+(A286-1)*7</f>
        <v/>
      </c>
      <c r="C286">
        <f>TEXT(B286,"mmm yyyy")</f>
        <v/>
      </c>
      <c r="D286">
        <f>"Q"&amp;(INT((A286-1)/13)+1)</f>
        <v/>
      </c>
      <c r="E286" t="inlineStr">
        <is>
          <t>Convenience</t>
        </is>
      </c>
      <c r="F286">
        <f>IFERROR(INDEX(ChFormat,MATCH(E286,ChName,0)),"")</f>
        <v/>
      </c>
      <c r="G286" t="inlineStr">
        <is>
          <t>QC</t>
        </is>
      </c>
      <c r="H286">
        <f>IF(A286&lt;=NWeeks,1,0)</f>
        <v/>
      </c>
      <c r="I286">
        <f>INDEX(ChLaunch,MATCH(E286,ChName,0))</f>
        <v/>
      </c>
      <c r="J286">
        <f>INDEX(ChWeeksFull,MATCH(E286,ChName,0))</f>
        <v/>
      </c>
      <c r="K286">
        <f>INDEX(ChRamp,MATCH(E286,ChName,0))</f>
        <v/>
      </c>
      <c r="L286" s="45">
        <f>MIN(1,MAX(0,(A286-I286+1)*RampSpeed/J286))</f>
        <v/>
      </c>
      <c r="M286" s="45">
        <f>IF(A286&lt;I286,0,IF(K286="S-curve",L286*L286*(3-2*L286),L286))</f>
        <v/>
      </c>
      <c r="N286" s="45">
        <f>1+(INDEX(SeasonIdx,A286)-1)*SeasonAmp</f>
        <v/>
      </c>
      <c r="O286" s="45">
        <f>IFERROR(INDEX(PSPct,MATCH(E286&amp;"|"&amp;G286,PSKey,0)),0)</f>
        <v/>
      </c>
      <c r="P286" s="46">
        <f>INDEX(ChDoorVel,MATCH(E286,ChName,0))*CalibScalar*(1+VelocityUplift)</f>
        <v/>
      </c>
      <c r="Q286" s="46" t="n">
        <v>0</v>
      </c>
      <c r="R286" s="46">
        <f>P286*O286*M286*N286*H286</f>
        <v/>
      </c>
      <c r="S286" s="46">
        <f>R286*INDEX(FmtCansPerCase,MATCH(F286,FmtName,0))</f>
        <v/>
      </c>
      <c r="T286" s="46">
        <f>S286/INDEX(FmtCansPerPack,MATCH(F286,FmtName,0))</f>
        <v/>
      </c>
      <c r="U286" s="47">
        <f>INDEX(ChBaseCP,MATCH(E286,ChName,0))*(1+INDEX(ProvMod,MATCH(G286,ProvCode,0)))*(1+PriceIndex)</f>
        <v/>
      </c>
      <c r="V286" s="47">
        <f>R286*U286*INDEX(FmtBlendedPriceIdx,MATCH(F286,FmtName,0))</f>
        <v/>
      </c>
      <c r="W286" s="47">
        <f>T286*INDEX(ProvSRP,MATCH(G286,ProvCode,0))*(1+PriceIndex)</f>
        <v/>
      </c>
      <c r="X286" s="47">
        <f>IF(GrossBasis="Wholesale",V286,W286)</f>
        <v/>
      </c>
      <c r="Y286" s="47">
        <f>R286*INDEX(FmtBlendedCogs,MATCH(F286,FmtName,0))</f>
        <v/>
      </c>
      <c r="Z286" s="47">
        <f>X286-Y286</f>
        <v/>
      </c>
    </row>
    <row r="287">
      <c r="A287" t="n">
        <v>21</v>
      </c>
      <c r="B287" s="44">
        <f>FiscalStart+(A287-1)*7</f>
        <v/>
      </c>
      <c r="C287">
        <f>TEXT(B287,"mmm yyyy")</f>
        <v/>
      </c>
      <c r="D287">
        <f>"Q"&amp;(INT((A287-1)/13)+1)</f>
        <v/>
      </c>
      <c r="E287" t="inlineStr">
        <is>
          <t>Convenience</t>
        </is>
      </c>
      <c r="F287">
        <f>IFERROR(INDEX(ChFormat,MATCH(E287,ChName,0)),"")</f>
        <v/>
      </c>
      <c r="G287" t="inlineStr">
        <is>
          <t>QC</t>
        </is>
      </c>
      <c r="H287">
        <f>IF(A287&lt;=NWeeks,1,0)</f>
        <v/>
      </c>
      <c r="I287">
        <f>INDEX(ChLaunch,MATCH(E287,ChName,0))</f>
        <v/>
      </c>
      <c r="J287">
        <f>INDEX(ChWeeksFull,MATCH(E287,ChName,0))</f>
        <v/>
      </c>
      <c r="K287">
        <f>INDEX(ChRamp,MATCH(E287,ChName,0))</f>
        <v/>
      </c>
      <c r="L287" s="45">
        <f>MIN(1,MAX(0,(A287-I287+1)*RampSpeed/J287))</f>
        <v/>
      </c>
      <c r="M287" s="45">
        <f>IF(A287&lt;I287,0,IF(K287="S-curve",L287*L287*(3-2*L287),L287))</f>
        <v/>
      </c>
      <c r="N287" s="45">
        <f>1+(INDEX(SeasonIdx,A287)-1)*SeasonAmp</f>
        <v/>
      </c>
      <c r="O287" s="45">
        <f>IFERROR(INDEX(PSPct,MATCH(E287&amp;"|"&amp;G287,PSKey,0)),0)</f>
        <v/>
      </c>
      <c r="P287" s="46">
        <f>INDEX(ChDoorVel,MATCH(E287,ChName,0))*CalibScalar*(1+VelocityUplift)</f>
        <v/>
      </c>
      <c r="Q287" s="46" t="n">
        <v>0</v>
      </c>
      <c r="R287" s="46">
        <f>P287*O287*M287*N287*H287</f>
        <v/>
      </c>
      <c r="S287" s="46">
        <f>R287*INDEX(FmtCansPerCase,MATCH(F287,FmtName,0))</f>
        <v/>
      </c>
      <c r="T287" s="46">
        <f>S287/INDEX(FmtCansPerPack,MATCH(F287,FmtName,0))</f>
        <v/>
      </c>
      <c r="U287" s="47">
        <f>INDEX(ChBaseCP,MATCH(E287,ChName,0))*(1+INDEX(ProvMod,MATCH(G287,ProvCode,0)))*(1+PriceIndex)</f>
        <v/>
      </c>
      <c r="V287" s="47">
        <f>R287*U287*INDEX(FmtBlendedPriceIdx,MATCH(F287,FmtName,0))</f>
        <v/>
      </c>
      <c r="W287" s="47">
        <f>T287*INDEX(ProvSRP,MATCH(G287,ProvCode,0))*(1+PriceIndex)</f>
        <v/>
      </c>
      <c r="X287" s="47">
        <f>IF(GrossBasis="Wholesale",V287,W287)</f>
        <v/>
      </c>
      <c r="Y287" s="47">
        <f>R287*INDEX(FmtBlendedCogs,MATCH(F287,FmtName,0))</f>
        <v/>
      </c>
      <c r="Z287" s="47">
        <f>X287-Y287</f>
        <v/>
      </c>
    </row>
    <row r="288">
      <c r="A288" t="n">
        <v>22</v>
      </c>
      <c r="B288" s="44">
        <f>FiscalStart+(A288-1)*7</f>
        <v/>
      </c>
      <c r="C288">
        <f>TEXT(B288,"mmm yyyy")</f>
        <v/>
      </c>
      <c r="D288">
        <f>"Q"&amp;(INT((A288-1)/13)+1)</f>
        <v/>
      </c>
      <c r="E288" t="inlineStr">
        <is>
          <t>Convenience</t>
        </is>
      </c>
      <c r="F288">
        <f>IFERROR(INDEX(ChFormat,MATCH(E288,ChName,0)),"")</f>
        <v/>
      </c>
      <c r="G288" t="inlineStr">
        <is>
          <t>QC</t>
        </is>
      </c>
      <c r="H288">
        <f>IF(A288&lt;=NWeeks,1,0)</f>
        <v/>
      </c>
      <c r="I288">
        <f>INDEX(ChLaunch,MATCH(E288,ChName,0))</f>
        <v/>
      </c>
      <c r="J288">
        <f>INDEX(ChWeeksFull,MATCH(E288,ChName,0))</f>
        <v/>
      </c>
      <c r="K288">
        <f>INDEX(ChRamp,MATCH(E288,ChName,0))</f>
        <v/>
      </c>
      <c r="L288" s="45">
        <f>MIN(1,MAX(0,(A288-I288+1)*RampSpeed/J288))</f>
        <v/>
      </c>
      <c r="M288" s="45">
        <f>IF(A288&lt;I288,0,IF(K288="S-curve",L288*L288*(3-2*L288),L288))</f>
        <v/>
      </c>
      <c r="N288" s="45">
        <f>1+(INDEX(SeasonIdx,A288)-1)*SeasonAmp</f>
        <v/>
      </c>
      <c r="O288" s="45">
        <f>IFERROR(INDEX(PSPct,MATCH(E288&amp;"|"&amp;G288,PSKey,0)),0)</f>
        <v/>
      </c>
      <c r="P288" s="46">
        <f>INDEX(ChDoorVel,MATCH(E288,ChName,0))*CalibScalar*(1+VelocityUplift)</f>
        <v/>
      </c>
      <c r="Q288" s="46" t="n">
        <v>0</v>
      </c>
      <c r="R288" s="46">
        <f>P288*O288*M288*N288*H288</f>
        <v/>
      </c>
      <c r="S288" s="46">
        <f>R288*INDEX(FmtCansPerCase,MATCH(F288,FmtName,0))</f>
        <v/>
      </c>
      <c r="T288" s="46">
        <f>S288/INDEX(FmtCansPerPack,MATCH(F288,FmtName,0))</f>
        <v/>
      </c>
      <c r="U288" s="47">
        <f>INDEX(ChBaseCP,MATCH(E288,ChName,0))*(1+INDEX(ProvMod,MATCH(G288,ProvCode,0)))*(1+PriceIndex)</f>
        <v/>
      </c>
      <c r="V288" s="47">
        <f>R288*U288*INDEX(FmtBlendedPriceIdx,MATCH(F288,FmtName,0))</f>
        <v/>
      </c>
      <c r="W288" s="47">
        <f>T288*INDEX(ProvSRP,MATCH(G288,ProvCode,0))*(1+PriceIndex)</f>
        <v/>
      </c>
      <c r="X288" s="47">
        <f>IF(GrossBasis="Wholesale",V288,W288)</f>
        <v/>
      </c>
      <c r="Y288" s="47">
        <f>R288*INDEX(FmtBlendedCogs,MATCH(F288,FmtName,0))</f>
        <v/>
      </c>
      <c r="Z288" s="47">
        <f>X288-Y288</f>
        <v/>
      </c>
    </row>
    <row r="289">
      <c r="A289" t="n">
        <v>23</v>
      </c>
      <c r="B289" s="44">
        <f>FiscalStart+(A289-1)*7</f>
        <v/>
      </c>
      <c r="C289">
        <f>TEXT(B289,"mmm yyyy")</f>
        <v/>
      </c>
      <c r="D289">
        <f>"Q"&amp;(INT((A289-1)/13)+1)</f>
        <v/>
      </c>
      <c r="E289" t="inlineStr">
        <is>
          <t>Convenience</t>
        </is>
      </c>
      <c r="F289">
        <f>IFERROR(INDEX(ChFormat,MATCH(E289,ChName,0)),"")</f>
        <v/>
      </c>
      <c r="G289" t="inlineStr">
        <is>
          <t>QC</t>
        </is>
      </c>
      <c r="H289">
        <f>IF(A289&lt;=NWeeks,1,0)</f>
        <v/>
      </c>
      <c r="I289">
        <f>INDEX(ChLaunch,MATCH(E289,ChName,0))</f>
        <v/>
      </c>
      <c r="J289">
        <f>INDEX(ChWeeksFull,MATCH(E289,ChName,0))</f>
        <v/>
      </c>
      <c r="K289">
        <f>INDEX(ChRamp,MATCH(E289,ChName,0))</f>
        <v/>
      </c>
      <c r="L289" s="45">
        <f>MIN(1,MAX(0,(A289-I289+1)*RampSpeed/J289))</f>
        <v/>
      </c>
      <c r="M289" s="45">
        <f>IF(A289&lt;I289,0,IF(K289="S-curve",L289*L289*(3-2*L289),L289))</f>
        <v/>
      </c>
      <c r="N289" s="45">
        <f>1+(INDEX(SeasonIdx,A289)-1)*SeasonAmp</f>
        <v/>
      </c>
      <c r="O289" s="45">
        <f>IFERROR(INDEX(PSPct,MATCH(E289&amp;"|"&amp;G289,PSKey,0)),0)</f>
        <v/>
      </c>
      <c r="P289" s="46">
        <f>INDEX(ChDoorVel,MATCH(E289,ChName,0))*CalibScalar*(1+VelocityUplift)</f>
        <v/>
      </c>
      <c r="Q289" s="46" t="n">
        <v>0</v>
      </c>
      <c r="R289" s="46">
        <f>P289*O289*M289*N289*H289</f>
        <v/>
      </c>
      <c r="S289" s="46">
        <f>R289*INDEX(FmtCansPerCase,MATCH(F289,FmtName,0))</f>
        <v/>
      </c>
      <c r="T289" s="46">
        <f>S289/INDEX(FmtCansPerPack,MATCH(F289,FmtName,0))</f>
        <v/>
      </c>
      <c r="U289" s="47">
        <f>INDEX(ChBaseCP,MATCH(E289,ChName,0))*(1+INDEX(ProvMod,MATCH(G289,ProvCode,0)))*(1+PriceIndex)</f>
        <v/>
      </c>
      <c r="V289" s="47">
        <f>R289*U289*INDEX(FmtBlendedPriceIdx,MATCH(F289,FmtName,0))</f>
        <v/>
      </c>
      <c r="W289" s="47">
        <f>T289*INDEX(ProvSRP,MATCH(G289,ProvCode,0))*(1+PriceIndex)</f>
        <v/>
      </c>
      <c r="X289" s="47">
        <f>IF(GrossBasis="Wholesale",V289,W289)</f>
        <v/>
      </c>
      <c r="Y289" s="47">
        <f>R289*INDEX(FmtBlendedCogs,MATCH(F289,FmtName,0))</f>
        <v/>
      </c>
      <c r="Z289" s="47">
        <f>X289-Y289</f>
        <v/>
      </c>
    </row>
    <row r="290">
      <c r="A290" t="n">
        <v>24</v>
      </c>
      <c r="B290" s="44">
        <f>FiscalStart+(A290-1)*7</f>
        <v/>
      </c>
      <c r="C290">
        <f>TEXT(B290,"mmm yyyy")</f>
        <v/>
      </c>
      <c r="D290">
        <f>"Q"&amp;(INT((A290-1)/13)+1)</f>
        <v/>
      </c>
      <c r="E290" t="inlineStr">
        <is>
          <t>Convenience</t>
        </is>
      </c>
      <c r="F290">
        <f>IFERROR(INDEX(ChFormat,MATCH(E290,ChName,0)),"")</f>
        <v/>
      </c>
      <c r="G290" t="inlineStr">
        <is>
          <t>QC</t>
        </is>
      </c>
      <c r="H290">
        <f>IF(A290&lt;=NWeeks,1,0)</f>
        <v/>
      </c>
      <c r="I290">
        <f>INDEX(ChLaunch,MATCH(E290,ChName,0))</f>
        <v/>
      </c>
      <c r="J290">
        <f>INDEX(ChWeeksFull,MATCH(E290,ChName,0))</f>
        <v/>
      </c>
      <c r="K290">
        <f>INDEX(ChRamp,MATCH(E290,ChName,0))</f>
        <v/>
      </c>
      <c r="L290" s="45">
        <f>MIN(1,MAX(0,(A290-I290+1)*RampSpeed/J290))</f>
        <v/>
      </c>
      <c r="M290" s="45">
        <f>IF(A290&lt;I290,0,IF(K290="S-curve",L290*L290*(3-2*L290),L290))</f>
        <v/>
      </c>
      <c r="N290" s="45">
        <f>1+(INDEX(SeasonIdx,A290)-1)*SeasonAmp</f>
        <v/>
      </c>
      <c r="O290" s="45">
        <f>IFERROR(INDEX(PSPct,MATCH(E290&amp;"|"&amp;G290,PSKey,0)),0)</f>
        <v/>
      </c>
      <c r="P290" s="46">
        <f>INDEX(ChDoorVel,MATCH(E290,ChName,0))*CalibScalar*(1+VelocityUplift)</f>
        <v/>
      </c>
      <c r="Q290" s="46" t="n">
        <v>0</v>
      </c>
      <c r="R290" s="46">
        <f>P290*O290*M290*N290*H290</f>
        <v/>
      </c>
      <c r="S290" s="46">
        <f>R290*INDEX(FmtCansPerCase,MATCH(F290,FmtName,0))</f>
        <v/>
      </c>
      <c r="T290" s="46">
        <f>S290/INDEX(FmtCansPerPack,MATCH(F290,FmtName,0))</f>
        <v/>
      </c>
      <c r="U290" s="47">
        <f>INDEX(ChBaseCP,MATCH(E290,ChName,0))*(1+INDEX(ProvMod,MATCH(G290,ProvCode,0)))*(1+PriceIndex)</f>
        <v/>
      </c>
      <c r="V290" s="47">
        <f>R290*U290*INDEX(FmtBlendedPriceIdx,MATCH(F290,FmtName,0))</f>
        <v/>
      </c>
      <c r="W290" s="47">
        <f>T290*INDEX(ProvSRP,MATCH(G290,ProvCode,0))*(1+PriceIndex)</f>
        <v/>
      </c>
      <c r="X290" s="47">
        <f>IF(GrossBasis="Wholesale",V290,W290)</f>
        <v/>
      </c>
      <c r="Y290" s="47">
        <f>R290*INDEX(FmtBlendedCogs,MATCH(F290,FmtName,0))</f>
        <v/>
      </c>
      <c r="Z290" s="47">
        <f>X290-Y290</f>
        <v/>
      </c>
    </row>
    <row r="291">
      <c r="A291" t="n">
        <v>25</v>
      </c>
      <c r="B291" s="44">
        <f>FiscalStart+(A291-1)*7</f>
        <v/>
      </c>
      <c r="C291">
        <f>TEXT(B291,"mmm yyyy")</f>
        <v/>
      </c>
      <c r="D291">
        <f>"Q"&amp;(INT((A291-1)/13)+1)</f>
        <v/>
      </c>
      <c r="E291" t="inlineStr">
        <is>
          <t>Convenience</t>
        </is>
      </c>
      <c r="F291">
        <f>IFERROR(INDEX(ChFormat,MATCH(E291,ChName,0)),"")</f>
        <v/>
      </c>
      <c r="G291" t="inlineStr">
        <is>
          <t>QC</t>
        </is>
      </c>
      <c r="H291">
        <f>IF(A291&lt;=NWeeks,1,0)</f>
        <v/>
      </c>
      <c r="I291">
        <f>INDEX(ChLaunch,MATCH(E291,ChName,0))</f>
        <v/>
      </c>
      <c r="J291">
        <f>INDEX(ChWeeksFull,MATCH(E291,ChName,0))</f>
        <v/>
      </c>
      <c r="K291">
        <f>INDEX(ChRamp,MATCH(E291,ChName,0))</f>
        <v/>
      </c>
      <c r="L291" s="45">
        <f>MIN(1,MAX(0,(A291-I291+1)*RampSpeed/J291))</f>
        <v/>
      </c>
      <c r="M291" s="45">
        <f>IF(A291&lt;I291,0,IF(K291="S-curve",L291*L291*(3-2*L291),L291))</f>
        <v/>
      </c>
      <c r="N291" s="45">
        <f>1+(INDEX(SeasonIdx,A291)-1)*SeasonAmp</f>
        <v/>
      </c>
      <c r="O291" s="45">
        <f>IFERROR(INDEX(PSPct,MATCH(E291&amp;"|"&amp;G291,PSKey,0)),0)</f>
        <v/>
      </c>
      <c r="P291" s="46">
        <f>INDEX(ChDoorVel,MATCH(E291,ChName,0))*CalibScalar*(1+VelocityUplift)</f>
        <v/>
      </c>
      <c r="Q291" s="46" t="n">
        <v>0</v>
      </c>
      <c r="R291" s="46">
        <f>P291*O291*M291*N291*H291</f>
        <v/>
      </c>
      <c r="S291" s="46">
        <f>R291*INDEX(FmtCansPerCase,MATCH(F291,FmtName,0))</f>
        <v/>
      </c>
      <c r="T291" s="46">
        <f>S291/INDEX(FmtCansPerPack,MATCH(F291,FmtName,0))</f>
        <v/>
      </c>
      <c r="U291" s="47">
        <f>INDEX(ChBaseCP,MATCH(E291,ChName,0))*(1+INDEX(ProvMod,MATCH(G291,ProvCode,0)))*(1+PriceIndex)</f>
        <v/>
      </c>
      <c r="V291" s="47">
        <f>R291*U291*INDEX(FmtBlendedPriceIdx,MATCH(F291,FmtName,0))</f>
        <v/>
      </c>
      <c r="W291" s="47">
        <f>T291*INDEX(ProvSRP,MATCH(G291,ProvCode,0))*(1+PriceIndex)</f>
        <v/>
      </c>
      <c r="X291" s="47">
        <f>IF(GrossBasis="Wholesale",V291,W291)</f>
        <v/>
      </c>
      <c r="Y291" s="47">
        <f>R291*INDEX(FmtBlendedCogs,MATCH(F291,FmtName,0))</f>
        <v/>
      </c>
      <c r="Z291" s="47">
        <f>X291-Y291</f>
        <v/>
      </c>
    </row>
    <row r="292">
      <c r="A292" t="n">
        <v>26</v>
      </c>
      <c r="B292" s="44">
        <f>FiscalStart+(A292-1)*7</f>
        <v/>
      </c>
      <c r="C292">
        <f>TEXT(B292,"mmm yyyy")</f>
        <v/>
      </c>
      <c r="D292">
        <f>"Q"&amp;(INT((A292-1)/13)+1)</f>
        <v/>
      </c>
      <c r="E292" t="inlineStr">
        <is>
          <t>Convenience</t>
        </is>
      </c>
      <c r="F292">
        <f>IFERROR(INDEX(ChFormat,MATCH(E292,ChName,0)),"")</f>
        <v/>
      </c>
      <c r="G292" t="inlineStr">
        <is>
          <t>QC</t>
        </is>
      </c>
      <c r="H292">
        <f>IF(A292&lt;=NWeeks,1,0)</f>
        <v/>
      </c>
      <c r="I292">
        <f>INDEX(ChLaunch,MATCH(E292,ChName,0))</f>
        <v/>
      </c>
      <c r="J292">
        <f>INDEX(ChWeeksFull,MATCH(E292,ChName,0))</f>
        <v/>
      </c>
      <c r="K292">
        <f>INDEX(ChRamp,MATCH(E292,ChName,0))</f>
        <v/>
      </c>
      <c r="L292" s="45">
        <f>MIN(1,MAX(0,(A292-I292+1)*RampSpeed/J292))</f>
        <v/>
      </c>
      <c r="M292" s="45">
        <f>IF(A292&lt;I292,0,IF(K292="S-curve",L292*L292*(3-2*L292),L292))</f>
        <v/>
      </c>
      <c r="N292" s="45">
        <f>1+(INDEX(SeasonIdx,A292)-1)*SeasonAmp</f>
        <v/>
      </c>
      <c r="O292" s="45">
        <f>IFERROR(INDEX(PSPct,MATCH(E292&amp;"|"&amp;G292,PSKey,0)),0)</f>
        <v/>
      </c>
      <c r="P292" s="46">
        <f>INDEX(ChDoorVel,MATCH(E292,ChName,0))*CalibScalar*(1+VelocityUplift)</f>
        <v/>
      </c>
      <c r="Q292" s="46" t="n">
        <v>0</v>
      </c>
      <c r="R292" s="46">
        <f>P292*O292*M292*N292*H292</f>
        <v/>
      </c>
      <c r="S292" s="46">
        <f>R292*INDEX(FmtCansPerCase,MATCH(F292,FmtName,0))</f>
        <v/>
      </c>
      <c r="T292" s="46">
        <f>S292/INDEX(FmtCansPerPack,MATCH(F292,FmtName,0))</f>
        <v/>
      </c>
      <c r="U292" s="47">
        <f>INDEX(ChBaseCP,MATCH(E292,ChName,0))*(1+INDEX(ProvMod,MATCH(G292,ProvCode,0)))*(1+PriceIndex)</f>
        <v/>
      </c>
      <c r="V292" s="47">
        <f>R292*U292*INDEX(FmtBlendedPriceIdx,MATCH(F292,FmtName,0))</f>
        <v/>
      </c>
      <c r="W292" s="47">
        <f>T292*INDEX(ProvSRP,MATCH(G292,ProvCode,0))*(1+PriceIndex)</f>
        <v/>
      </c>
      <c r="X292" s="47">
        <f>IF(GrossBasis="Wholesale",V292,W292)</f>
        <v/>
      </c>
      <c r="Y292" s="47">
        <f>R292*INDEX(FmtBlendedCogs,MATCH(F292,FmtName,0))</f>
        <v/>
      </c>
      <c r="Z292" s="47">
        <f>X292-Y292</f>
        <v/>
      </c>
    </row>
    <row r="293">
      <c r="A293" t="n">
        <v>27</v>
      </c>
      <c r="B293" s="44">
        <f>FiscalStart+(A293-1)*7</f>
        <v/>
      </c>
      <c r="C293">
        <f>TEXT(B293,"mmm yyyy")</f>
        <v/>
      </c>
      <c r="D293">
        <f>"Q"&amp;(INT((A293-1)/13)+1)</f>
        <v/>
      </c>
      <c r="E293" t="inlineStr">
        <is>
          <t>Convenience</t>
        </is>
      </c>
      <c r="F293">
        <f>IFERROR(INDEX(ChFormat,MATCH(E293,ChName,0)),"")</f>
        <v/>
      </c>
      <c r="G293" t="inlineStr">
        <is>
          <t>QC</t>
        </is>
      </c>
      <c r="H293">
        <f>IF(A293&lt;=NWeeks,1,0)</f>
        <v/>
      </c>
      <c r="I293">
        <f>INDEX(ChLaunch,MATCH(E293,ChName,0))</f>
        <v/>
      </c>
      <c r="J293">
        <f>INDEX(ChWeeksFull,MATCH(E293,ChName,0))</f>
        <v/>
      </c>
      <c r="K293">
        <f>INDEX(ChRamp,MATCH(E293,ChName,0))</f>
        <v/>
      </c>
      <c r="L293" s="45">
        <f>MIN(1,MAX(0,(A293-I293+1)*RampSpeed/J293))</f>
        <v/>
      </c>
      <c r="M293" s="45">
        <f>IF(A293&lt;I293,0,IF(K293="S-curve",L293*L293*(3-2*L293),L293))</f>
        <v/>
      </c>
      <c r="N293" s="45">
        <f>1+(INDEX(SeasonIdx,A293)-1)*SeasonAmp</f>
        <v/>
      </c>
      <c r="O293" s="45">
        <f>IFERROR(INDEX(PSPct,MATCH(E293&amp;"|"&amp;G293,PSKey,0)),0)</f>
        <v/>
      </c>
      <c r="P293" s="46">
        <f>INDEX(ChDoorVel,MATCH(E293,ChName,0))*CalibScalar*(1+VelocityUplift)</f>
        <v/>
      </c>
      <c r="Q293" s="46" t="n">
        <v>0</v>
      </c>
      <c r="R293" s="46">
        <f>P293*O293*M293*N293*H293</f>
        <v/>
      </c>
      <c r="S293" s="46">
        <f>R293*INDEX(FmtCansPerCase,MATCH(F293,FmtName,0))</f>
        <v/>
      </c>
      <c r="T293" s="46">
        <f>S293/INDEX(FmtCansPerPack,MATCH(F293,FmtName,0))</f>
        <v/>
      </c>
      <c r="U293" s="47">
        <f>INDEX(ChBaseCP,MATCH(E293,ChName,0))*(1+INDEX(ProvMod,MATCH(G293,ProvCode,0)))*(1+PriceIndex)</f>
        <v/>
      </c>
      <c r="V293" s="47">
        <f>R293*U293*INDEX(FmtBlendedPriceIdx,MATCH(F293,FmtName,0))</f>
        <v/>
      </c>
      <c r="W293" s="47">
        <f>T293*INDEX(ProvSRP,MATCH(G293,ProvCode,0))*(1+PriceIndex)</f>
        <v/>
      </c>
      <c r="X293" s="47">
        <f>IF(GrossBasis="Wholesale",V293,W293)</f>
        <v/>
      </c>
      <c r="Y293" s="47">
        <f>R293*INDEX(FmtBlendedCogs,MATCH(F293,FmtName,0))</f>
        <v/>
      </c>
      <c r="Z293" s="47">
        <f>X293-Y293</f>
        <v/>
      </c>
    </row>
    <row r="294">
      <c r="A294" t="n">
        <v>28</v>
      </c>
      <c r="B294" s="44">
        <f>FiscalStart+(A294-1)*7</f>
        <v/>
      </c>
      <c r="C294">
        <f>TEXT(B294,"mmm yyyy")</f>
        <v/>
      </c>
      <c r="D294">
        <f>"Q"&amp;(INT((A294-1)/13)+1)</f>
        <v/>
      </c>
      <c r="E294" t="inlineStr">
        <is>
          <t>Convenience</t>
        </is>
      </c>
      <c r="F294">
        <f>IFERROR(INDEX(ChFormat,MATCH(E294,ChName,0)),"")</f>
        <v/>
      </c>
      <c r="G294" t="inlineStr">
        <is>
          <t>QC</t>
        </is>
      </c>
      <c r="H294">
        <f>IF(A294&lt;=NWeeks,1,0)</f>
        <v/>
      </c>
      <c r="I294">
        <f>INDEX(ChLaunch,MATCH(E294,ChName,0))</f>
        <v/>
      </c>
      <c r="J294">
        <f>INDEX(ChWeeksFull,MATCH(E294,ChName,0))</f>
        <v/>
      </c>
      <c r="K294">
        <f>INDEX(ChRamp,MATCH(E294,ChName,0))</f>
        <v/>
      </c>
      <c r="L294" s="45">
        <f>MIN(1,MAX(0,(A294-I294+1)*RampSpeed/J294))</f>
        <v/>
      </c>
      <c r="M294" s="45">
        <f>IF(A294&lt;I294,0,IF(K294="S-curve",L294*L294*(3-2*L294),L294))</f>
        <v/>
      </c>
      <c r="N294" s="45">
        <f>1+(INDEX(SeasonIdx,A294)-1)*SeasonAmp</f>
        <v/>
      </c>
      <c r="O294" s="45">
        <f>IFERROR(INDEX(PSPct,MATCH(E294&amp;"|"&amp;G294,PSKey,0)),0)</f>
        <v/>
      </c>
      <c r="P294" s="46">
        <f>INDEX(ChDoorVel,MATCH(E294,ChName,0))*CalibScalar*(1+VelocityUplift)</f>
        <v/>
      </c>
      <c r="Q294" s="46" t="n">
        <v>0</v>
      </c>
      <c r="R294" s="46">
        <f>P294*O294*M294*N294*H294</f>
        <v/>
      </c>
      <c r="S294" s="46">
        <f>R294*INDEX(FmtCansPerCase,MATCH(F294,FmtName,0))</f>
        <v/>
      </c>
      <c r="T294" s="46">
        <f>S294/INDEX(FmtCansPerPack,MATCH(F294,FmtName,0))</f>
        <v/>
      </c>
      <c r="U294" s="47">
        <f>INDEX(ChBaseCP,MATCH(E294,ChName,0))*(1+INDEX(ProvMod,MATCH(G294,ProvCode,0)))*(1+PriceIndex)</f>
        <v/>
      </c>
      <c r="V294" s="47">
        <f>R294*U294*INDEX(FmtBlendedPriceIdx,MATCH(F294,FmtName,0))</f>
        <v/>
      </c>
      <c r="W294" s="47">
        <f>T294*INDEX(ProvSRP,MATCH(G294,ProvCode,0))*(1+PriceIndex)</f>
        <v/>
      </c>
      <c r="X294" s="47">
        <f>IF(GrossBasis="Wholesale",V294,W294)</f>
        <v/>
      </c>
      <c r="Y294" s="47">
        <f>R294*INDEX(FmtBlendedCogs,MATCH(F294,FmtName,0))</f>
        <v/>
      </c>
      <c r="Z294" s="47">
        <f>X294-Y294</f>
        <v/>
      </c>
    </row>
    <row r="295">
      <c r="A295" t="n">
        <v>29</v>
      </c>
      <c r="B295" s="44">
        <f>FiscalStart+(A295-1)*7</f>
        <v/>
      </c>
      <c r="C295">
        <f>TEXT(B295,"mmm yyyy")</f>
        <v/>
      </c>
      <c r="D295">
        <f>"Q"&amp;(INT((A295-1)/13)+1)</f>
        <v/>
      </c>
      <c r="E295" t="inlineStr">
        <is>
          <t>Convenience</t>
        </is>
      </c>
      <c r="F295">
        <f>IFERROR(INDEX(ChFormat,MATCH(E295,ChName,0)),"")</f>
        <v/>
      </c>
      <c r="G295" t="inlineStr">
        <is>
          <t>QC</t>
        </is>
      </c>
      <c r="H295">
        <f>IF(A295&lt;=NWeeks,1,0)</f>
        <v/>
      </c>
      <c r="I295">
        <f>INDEX(ChLaunch,MATCH(E295,ChName,0))</f>
        <v/>
      </c>
      <c r="J295">
        <f>INDEX(ChWeeksFull,MATCH(E295,ChName,0))</f>
        <v/>
      </c>
      <c r="K295">
        <f>INDEX(ChRamp,MATCH(E295,ChName,0))</f>
        <v/>
      </c>
      <c r="L295" s="45">
        <f>MIN(1,MAX(0,(A295-I295+1)*RampSpeed/J295))</f>
        <v/>
      </c>
      <c r="M295" s="45">
        <f>IF(A295&lt;I295,0,IF(K295="S-curve",L295*L295*(3-2*L295),L295))</f>
        <v/>
      </c>
      <c r="N295" s="45">
        <f>1+(INDEX(SeasonIdx,A295)-1)*SeasonAmp</f>
        <v/>
      </c>
      <c r="O295" s="45">
        <f>IFERROR(INDEX(PSPct,MATCH(E295&amp;"|"&amp;G295,PSKey,0)),0)</f>
        <v/>
      </c>
      <c r="P295" s="46">
        <f>INDEX(ChDoorVel,MATCH(E295,ChName,0))*CalibScalar*(1+VelocityUplift)</f>
        <v/>
      </c>
      <c r="Q295" s="46" t="n">
        <v>0</v>
      </c>
      <c r="R295" s="46">
        <f>P295*O295*M295*N295*H295</f>
        <v/>
      </c>
      <c r="S295" s="46">
        <f>R295*INDEX(FmtCansPerCase,MATCH(F295,FmtName,0))</f>
        <v/>
      </c>
      <c r="T295" s="46">
        <f>S295/INDEX(FmtCansPerPack,MATCH(F295,FmtName,0))</f>
        <v/>
      </c>
      <c r="U295" s="47">
        <f>INDEX(ChBaseCP,MATCH(E295,ChName,0))*(1+INDEX(ProvMod,MATCH(G295,ProvCode,0)))*(1+PriceIndex)</f>
        <v/>
      </c>
      <c r="V295" s="47">
        <f>R295*U295*INDEX(FmtBlendedPriceIdx,MATCH(F295,FmtName,0))</f>
        <v/>
      </c>
      <c r="W295" s="47">
        <f>T295*INDEX(ProvSRP,MATCH(G295,ProvCode,0))*(1+PriceIndex)</f>
        <v/>
      </c>
      <c r="X295" s="47">
        <f>IF(GrossBasis="Wholesale",V295,W295)</f>
        <v/>
      </c>
      <c r="Y295" s="47">
        <f>R295*INDEX(FmtBlendedCogs,MATCH(F295,FmtName,0))</f>
        <v/>
      </c>
      <c r="Z295" s="47">
        <f>X295-Y295</f>
        <v/>
      </c>
    </row>
    <row r="296">
      <c r="A296" t="n">
        <v>30</v>
      </c>
      <c r="B296" s="44">
        <f>FiscalStart+(A296-1)*7</f>
        <v/>
      </c>
      <c r="C296">
        <f>TEXT(B296,"mmm yyyy")</f>
        <v/>
      </c>
      <c r="D296">
        <f>"Q"&amp;(INT((A296-1)/13)+1)</f>
        <v/>
      </c>
      <c r="E296" t="inlineStr">
        <is>
          <t>Convenience</t>
        </is>
      </c>
      <c r="F296">
        <f>IFERROR(INDEX(ChFormat,MATCH(E296,ChName,0)),"")</f>
        <v/>
      </c>
      <c r="G296" t="inlineStr">
        <is>
          <t>QC</t>
        </is>
      </c>
      <c r="H296">
        <f>IF(A296&lt;=NWeeks,1,0)</f>
        <v/>
      </c>
      <c r="I296">
        <f>INDEX(ChLaunch,MATCH(E296,ChName,0))</f>
        <v/>
      </c>
      <c r="J296">
        <f>INDEX(ChWeeksFull,MATCH(E296,ChName,0))</f>
        <v/>
      </c>
      <c r="K296">
        <f>INDEX(ChRamp,MATCH(E296,ChName,0))</f>
        <v/>
      </c>
      <c r="L296" s="45">
        <f>MIN(1,MAX(0,(A296-I296+1)*RampSpeed/J296))</f>
        <v/>
      </c>
      <c r="M296" s="45">
        <f>IF(A296&lt;I296,0,IF(K296="S-curve",L296*L296*(3-2*L296),L296))</f>
        <v/>
      </c>
      <c r="N296" s="45">
        <f>1+(INDEX(SeasonIdx,A296)-1)*SeasonAmp</f>
        <v/>
      </c>
      <c r="O296" s="45">
        <f>IFERROR(INDEX(PSPct,MATCH(E296&amp;"|"&amp;G296,PSKey,0)),0)</f>
        <v/>
      </c>
      <c r="P296" s="46">
        <f>INDEX(ChDoorVel,MATCH(E296,ChName,0))*CalibScalar*(1+VelocityUplift)</f>
        <v/>
      </c>
      <c r="Q296" s="46" t="n">
        <v>0</v>
      </c>
      <c r="R296" s="46">
        <f>P296*O296*M296*N296*H296</f>
        <v/>
      </c>
      <c r="S296" s="46">
        <f>R296*INDEX(FmtCansPerCase,MATCH(F296,FmtName,0))</f>
        <v/>
      </c>
      <c r="T296" s="46">
        <f>S296/INDEX(FmtCansPerPack,MATCH(F296,FmtName,0))</f>
        <v/>
      </c>
      <c r="U296" s="47">
        <f>INDEX(ChBaseCP,MATCH(E296,ChName,0))*(1+INDEX(ProvMod,MATCH(G296,ProvCode,0)))*(1+PriceIndex)</f>
        <v/>
      </c>
      <c r="V296" s="47">
        <f>R296*U296*INDEX(FmtBlendedPriceIdx,MATCH(F296,FmtName,0))</f>
        <v/>
      </c>
      <c r="W296" s="47">
        <f>T296*INDEX(ProvSRP,MATCH(G296,ProvCode,0))*(1+PriceIndex)</f>
        <v/>
      </c>
      <c r="X296" s="47">
        <f>IF(GrossBasis="Wholesale",V296,W296)</f>
        <v/>
      </c>
      <c r="Y296" s="47">
        <f>R296*INDEX(FmtBlendedCogs,MATCH(F296,FmtName,0))</f>
        <v/>
      </c>
      <c r="Z296" s="47">
        <f>X296-Y296</f>
        <v/>
      </c>
    </row>
    <row r="297">
      <c r="A297" t="n">
        <v>31</v>
      </c>
      <c r="B297" s="44">
        <f>FiscalStart+(A297-1)*7</f>
        <v/>
      </c>
      <c r="C297">
        <f>TEXT(B297,"mmm yyyy")</f>
        <v/>
      </c>
      <c r="D297">
        <f>"Q"&amp;(INT((A297-1)/13)+1)</f>
        <v/>
      </c>
      <c r="E297" t="inlineStr">
        <is>
          <t>Convenience</t>
        </is>
      </c>
      <c r="F297">
        <f>IFERROR(INDEX(ChFormat,MATCH(E297,ChName,0)),"")</f>
        <v/>
      </c>
      <c r="G297" t="inlineStr">
        <is>
          <t>QC</t>
        </is>
      </c>
      <c r="H297">
        <f>IF(A297&lt;=NWeeks,1,0)</f>
        <v/>
      </c>
      <c r="I297">
        <f>INDEX(ChLaunch,MATCH(E297,ChName,0))</f>
        <v/>
      </c>
      <c r="J297">
        <f>INDEX(ChWeeksFull,MATCH(E297,ChName,0))</f>
        <v/>
      </c>
      <c r="K297">
        <f>INDEX(ChRamp,MATCH(E297,ChName,0))</f>
        <v/>
      </c>
      <c r="L297" s="45">
        <f>MIN(1,MAX(0,(A297-I297+1)*RampSpeed/J297))</f>
        <v/>
      </c>
      <c r="M297" s="45">
        <f>IF(A297&lt;I297,0,IF(K297="S-curve",L297*L297*(3-2*L297),L297))</f>
        <v/>
      </c>
      <c r="N297" s="45">
        <f>1+(INDEX(SeasonIdx,A297)-1)*SeasonAmp</f>
        <v/>
      </c>
      <c r="O297" s="45">
        <f>IFERROR(INDEX(PSPct,MATCH(E297&amp;"|"&amp;G297,PSKey,0)),0)</f>
        <v/>
      </c>
      <c r="P297" s="46">
        <f>INDEX(ChDoorVel,MATCH(E297,ChName,0))*CalibScalar*(1+VelocityUplift)</f>
        <v/>
      </c>
      <c r="Q297" s="46" t="n">
        <v>0</v>
      </c>
      <c r="R297" s="46">
        <f>P297*O297*M297*N297*H297</f>
        <v/>
      </c>
      <c r="S297" s="46">
        <f>R297*INDEX(FmtCansPerCase,MATCH(F297,FmtName,0))</f>
        <v/>
      </c>
      <c r="T297" s="46">
        <f>S297/INDEX(FmtCansPerPack,MATCH(F297,FmtName,0))</f>
        <v/>
      </c>
      <c r="U297" s="47">
        <f>INDEX(ChBaseCP,MATCH(E297,ChName,0))*(1+INDEX(ProvMod,MATCH(G297,ProvCode,0)))*(1+PriceIndex)</f>
        <v/>
      </c>
      <c r="V297" s="47">
        <f>R297*U297*INDEX(FmtBlendedPriceIdx,MATCH(F297,FmtName,0))</f>
        <v/>
      </c>
      <c r="W297" s="47">
        <f>T297*INDEX(ProvSRP,MATCH(G297,ProvCode,0))*(1+PriceIndex)</f>
        <v/>
      </c>
      <c r="X297" s="47">
        <f>IF(GrossBasis="Wholesale",V297,W297)</f>
        <v/>
      </c>
      <c r="Y297" s="47">
        <f>R297*INDEX(FmtBlendedCogs,MATCH(F297,FmtName,0))</f>
        <v/>
      </c>
      <c r="Z297" s="47">
        <f>X297-Y297</f>
        <v/>
      </c>
    </row>
    <row r="298">
      <c r="A298" t="n">
        <v>32</v>
      </c>
      <c r="B298" s="44">
        <f>FiscalStart+(A298-1)*7</f>
        <v/>
      </c>
      <c r="C298">
        <f>TEXT(B298,"mmm yyyy")</f>
        <v/>
      </c>
      <c r="D298">
        <f>"Q"&amp;(INT((A298-1)/13)+1)</f>
        <v/>
      </c>
      <c r="E298" t="inlineStr">
        <is>
          <t>Convenience</t>
        </is>
      </c>
      <c r="F298">
        <f>IFERROR(INDEX(ChFormat,MATCH(E298,ChName,0)),"")</f>
        <v/>
      </c>
      <c r="G298" t="inlineStr">
        <is>
          <t>QC</t>
        </is>
      </c>
      <c r="H298">
        <f>IF(A298&lt;=NWeeks,1,0)</f>
        <v/>
      </c>
      <c r="I298">
        <f>INDEX(ChLaunch,MATCH(E298,ChName,0))</f>
        <v/>
      </c>
      <c r="J298">
        <f>INDEX(ChWeeksFull,MATCH(E298,ChName,0))</f>
        <v/>
      </c>
      <c r="K298">
        <f>INDEX(ChRamp,MATCH(E298,ChName,0))</f>
        <v/>
      </c>
      <c r="L298" s="45">
        <f>MIN(1,MAX(0,(A298-I298+1)*RampSpeed/J298))</f>
        <v/>
      </c>
      <c r="M298" s="45">
        <f>IF(A298&lt;I298,0,IF(K298="S-curve",L298*L298*(3-2*L298),L298))</f>
        <v/>
      </c>
      <c r="N298" s="45">
        <f>1+(INDEX(SeasonIdx,A298)-1)*SeasonAmp</f>
        <v/>
      </c>
      <c r="O298" s="45">
        <f>IFERROR(INDEX(PSPct,MATCH(E298&amp;"|"&amp;G298,PSKey,0)),0)</f>
        <v/>
      </c>
      <c r="P298" s="46">
        <f>INDEX(ChDoorVel,MATCH(E298,ChName,0))*CalibScalar*(1+VelocityUplift)</f>
        <v/>
      </c>
      <c r="Q298" s="46" t="n">
        <v>0</v>
      </c>
      <c r="R298" s="46">
        <f>P298*O298*M298*N298*H298</f>
        <v/>
      </c>
      <c r="S298" s="46">
        <f>R298*INDEX(FmtCansPerCase,MATCH(F298,FmtName,0))</f>
        <v/>
      </c>
      <c r="T298" s="46">
        <f>S298/INDEX(FmtCansPerPack,MATCH(F298,FmtName,0))</f>
        <v/>
      </c>
      <c r="U298" s="47">
        <f>INDEX(ChBaseCP,MATCH(E298,ChName,0))*(1+INDEX(ProvMod,MATCH(G298,ProvCode,0)))*(1+PriceIndex)</f>
        <v/>
      </c>
      <c r="V298" s="47">
        <f>R298*U298*INDEX(FmtBlendedPriceIdx,MATCH(F298,FmtName,0))</f>
        <v/>
      </c>
      <c r="W298" s="47">
        <f>T298*INDEX(ProvSRP,MATCH(G298,ProvCode,0))*(1+PriceIndex)</f>
        <v/>
      </c>
      <c r="X298" s="47">
        <f>IF(GrossBasis="Wholesale",V298,W298)</f>
        <v/>
      </c>
      <c r="Y298" s="47">
        <f>R298*INDEX(FmtBlendedCogs,MATCH(F298,FmtName,0))</f>
        <v/>
      </c>
      <c r="Z298" s="47">
        <f>X298-Y298</f>
        <v/>
      </c>
    </row>
    <row r="299">
      <c r="A299" t="n">
        <v>33</v>
      </c>
      <c r="B299" s="44">
        <f>FiscalStart+(A299-1)*7</f>
        <v/>
      </c>
      <c r="C299">
        <f>TEXT(B299,"mmm yyyy")</f>
        <v/>
      </c>
      <c r="D299">
        <f>"Q"&amp;(INT((A299-1)/13)+1)</f>
        <v/>
      </c>
      <c r="E299" t="inlineStr">
        <is>
          <t>Convenience</t>
        </is>
      </c>
      <c r="F299">
        <f>IFERROR(INDEX(ChFormat,MATCH(E299,ChName,0)),"")</f>
        <v/>
      </c>
      <c r="G299" t="inlineStr">
        <is>
          <t>QC</t>
        </is>
      </c>
      <c r="H299">
        <f>IF(A299&lt;=NWeeks,1,0)</f>
        <v/>
      </c>
      <c r="I299">
        <f>INDEX(ChLaunch,MATCH(E299,ChName,0))</f>
        <v/>
      </c>
      <c r="J299">
        <f>INDEX(ChWeeksFull,MATCH(E299,ChName,0))</f>
        <v/>
      </c>
      <c r="K299">
        <f>INDEX(ChRamp,MATCH(E299,ChName,0))</f>
        <v/>
      </c>
      <c r="L299" s="45">
        <f>MIN(1,MAX(0,(A299-I299+1)*RampSpeed/J299))</f>
        <v/>
      </c>
      <c r="M299" s="45">
        <f>IF(A299&lt;I299,0,IF(K299="S-curve",L299*L299*(3-2*L299),L299))</f>
        <v/>
      </c>
      <c r="N299" s="45">
        <f>1+(INDEX(SeasonIdx,A299)-1)*SeasonAmp</f>
        <v/>
      </c>
      <c r="O299" s="45">
        <f>IFERROR(INDEX(PSPct,MATCH(E299&amp;"|"&amp;G299,PSKey,0)),0)</f>
        <v/>
      </c>
      <c r="P299" s="46">
        <f>INDEX(ChDoorVel,MATCH(E299,ChName,0))*CalibScalar*(1+VelocityUplift)</f>
        <v/>
      </c>
      <c r="Q299" s="46" t="n">
        <v>0</v>
      </c>
      <c r="R299" s="46">
        <f>P299*O299*M299*N299*H299</f>
        <v/>
      </c>
      <c r="S299" s="46">
        <f>R299*INDEX(FmtCansPerCase,MATCH(F299,FmtName,0))</f>
        <v/>
      </c>
      <c r="T299" s="46">
        <f>S299/INDEX(FmtCansPerPack,MATCH(F299,FmtName,0))</f>
        <v/>
      </c>
      <c r="U299" s="47">
        <f>INDEX(ChBaseCP,MATCH(E299,ChName,0))*(1+INDEX(ProvMod,MATCH(G299,ProvCode,0)))*(1+PriceIndex)</f>
        <v/>
      </c>
      <c r="V299" s="47">
        <f>R299*U299*INDEX(FmtBlendedPriceIdx,MATCH(F299,FmtName,0))</f>
        <v/>
      </c>
      <c r="W299" s="47">
        <f>T299*INDEX(ProvSRP,MATCH(G299,ProvCode,0))*(1+PriceIndex)</f>
        <v/>
      </c>
      <c r="X299" s="47">
        <f>IF(GrossBasis="Wholesale",V299,W299)</f>
        <v/>
      </c>
      <c r="Y299" s="47">
        <f>R299*INDEX(FmtBlendedCogs,MATCH(F299,FmtName,0))</f>
        <v/>
      </c>
      <c r="Z299" s="47">
        <f>X299-Y299</f>
        <v/>
      </c>
    </row>
    <row r="300">
      <c r="A300" t="n">
        <v>34</v>
      </c>
      <c r="B300" s="44">
        <f>FiscalStart+(A300-1)*7</f>
        <v/>
      </c>
      <c r="C300">
        <f>TEXT(B300,"mmm yyyy")</f>
        <v/>
      </c>
      <c r="D300">
        <f>"Q"&amp;(INT((A300-1)/13)+1)</f>
        <v/>
      </c>
      <c r="E300" t="inlineStr">
        <is>
          <t>Convenience</t>
        </is>
      </c>
      <c r="F300">
        <f>IFERROR(INDEX(ChFormat,MATCH(E300,ChName,0)),"")</f>
        <v/>
      </c>
      <c r="G300" t="inlineStr">
        <is>
          <t>QC</t>
        </is>
      </c>
      <c r="H300">
        <f>IF(A300&lt;=NWeeks,1,0)</f>
        <v/>
      </c>
      <c r="I300">
        <f>INDEX(ChLaunch,MATCH(E300,ChName,0))</f>
        <v/>
      </c>
      <c r="J300">
        <f>INDEX(ChWeeksFull,MATCH(E300,ChName,0))</f>
        <v/>
      </c>
      <c r="K300">
        <f>INDEX(ChRamp,MATCH(E300,ChName,0))</f>
        <v/>
      </c>
      <c r="L300" s="45">
        <f>MIN(1,MAX(0,(A300-I300+1)*RampSpeed/J300))</f>
        <v/>
      </c>
      <c r="M300" s="45">
        <f>IF(A300&lt;I300,0,IF(K300="S-curve",L300*L300*(3-2*L300),L300))</f>
        <v/>
      </c>
      <c r="N300" s="45">
        <f>1+(INDEX(SeasonIdx,A300)-1)*SeasonAmp</f>
        <v/>
      </c>
      <c r="O300" s="45">
        <f>IFERROR(INDEX(PSPct,MATCH(E300&amp;"|"&amp;G300,PSKey,0)),0)</f>
        <v/>
      </c>
      <c r="P300" s="46">
        <f>INDEX(ChDoorVel,MATCH(E300,ChName,0))*CalibScalar*(1+VelocityUplift)</f>
        <v/>
      </c>
      <c r="Q300" s="46" t="n">
        <v>0</v>
      </c>
      <c r="R300" s="46">
        <f>P300*O300*M300*N300*H300</f>
        <v/>
      </c>
      <c r="S300" s="46">
        <f>R300*INDEX(FmtCansPerCase,MATCH(F300,FmtName,0))</f>
        <v/>
      </c>
      <c r="T300" s="46">
        <f>S300/INDEX(FmtCansPerPack,MATCH(F300,FmtName,0))</f>
        <v/>
      </c>
      <c r="U300" s="47">
        <f>INDEX(ChBaseCP,MATCH(E300,ChName,0))*(1+INDEX(ProvMod,MATCH(G300,ProvCode,0)))*(1+PriceIndex)</f>
        <v/>
      </c>
      <c r="V300" s="47">
        <f>R300*U300*INDEX(FmtBlendedPriceIdx,MATCH(F300,FmtName,0))</f>
        <v/>
      </c>
      <c r="W300" s="47">
        <f>T300*INDEX(ProvSRP,MATCH(G300,ProvCode,0))*(1+PriceIndex)</f>
        <v/>
      </c>
      <c r="X300" s="47">
        <f>IF(GrossBasis="Wholesale",V300,W300)</f>
        <v/>
      </c>
      <c r="Y300" s="47">
        <f>R300*INDEX(FmtBlendedCogs,MATCH(F300,FmtName,0))</f>
        <v/>
      </c>
      <c r="Z300" s="47">
        <f>X300-Y300</f>
        <v/>
      </c>
    </row>
    <row r="301">
      <c r="A301" t="n">
        <v>35</v>
      </c>
      <c r="B301" s="44">
        <f>FiscalStart+(A301-1)*7</f>
        <v/>
      </c>
      <c r="C301">
        <f>TEXT(B301,"mmm yyyy")</f>
        <v/>
      </c>
      <c r="D301">
        <f>"Q"&amp;(INT((A301-1)/13)+1)</f>
        <v/>
      </c>
      <c r="E301" t="inlineStr">
        <is>
          <t>Convenience</t>
        </is>
      </c>
      <c r="F301">
        <f>IFERROR(INDEX(ChFormat,MATCH(E301,ChName,0)),"")</f>
        <v/>
      </c>
      <c r="G301" t="inlineStr">
        <is>
          <t>QC</t>
        </is>
      </c>
      <c r="H301">
        <f>IF(A301&lt;=NWeeks,1,0)</f>
        <v/>
      </c>
      <c r="I301">
        <f>INDEX(ChLaunch,MATCH(E301,ChName,0))</f>
        <v/>
      </c>
      <c r="J301">
        <f>INDEX(ChWeeksFull,MATCH(E301,ChName,0))</f>
        <v/>
      </c>
      <c r="K301">
        <f>INDEX(ChRamp,MATCH(E301,ChName,0))</f>
        <v/>
      </c>
      <c r="L301" s="45">
        <f>MIN(1,MAX(0,(A301-I301+1)*RampSpeed/J301))</f>
        <v/>
      </c>
      <c r="M301" s="45">
        <f>IF(A301&lt;I301,0,IF(K301="S-curve",L301*L301*(3-2*L301),L301))</f>
        <v/>
      </c>
      <c r="N301" s="45">
        <f>1+(INDEX(SeasonIdx,A301)-1)*SeasonAmp</f>
        <v/>
      </c>
      <c r="O301" s="45">
        <f>IFERROR(INDEX(PSPct,MATCH(E301&amp;"|"&amp;G301,PSKey,0)),0)</f>
        <v/>
      </c>
      <c r="P301" s="46">
        <f>INDEX(ChDoorVel,MATCH(E301,ChName,0))*CalibScalar*(1+VelocityUplift)</f>
        <v/>
      </c>
      <c r="Q301" s="46" t="n">
        <v>0</v>
      </c>
      <c r="R301" s="46">
        <f>P301*O301*M301*N301*H301</f>
        <v/>
      </c>
      <c r="S301" s="46">
        <f>R301*INDEX(FmtCansPerCase,MATCH(F301,FmtName,0))</f>
        <v/>
      </c>
      <c r="T301" s="46">
        <f>S301/INDEX(FmtCansPerPack,MATCH(F301,FmtName,0))</f>
        <v/>
      </c>
      <c r="U301" s="47">
        <f>INDEX(ChBaseCP,MATCH(E301,ChName,0))*(1+INDEX(ProvMod,MATCH(G301,ProvCode,0)))*(1+PriceIndex)</f>
        <v/>
      </c>
      <c r="V301" s="47">
        <f>R301*U301*INDEX(FmtBlendedPriceIdx,MATCH(F301,FmtName,0))</f>
        <v/>
      </c>
      <c r="W301" s="47">
        <f>T301*INDEX(ProvSRP,MATCH(G301,ProvCode,0))*(1+PriceIndex)</f>
        <v/>
      </c>
      <c r="X301" s="47">
        <f>IF(GrossBasis="Wholesale",V301,W301)</f>
        <v/>
      </c>
      <c r="Y301" s="47">
        <f>R301*INDEX(FmtBlendedCogs,MATCH(F301,FmtName,0))</f>
        <v/>
      </c>
      <c r="Z301" s="47">
        <f>X301-Y301</f>
        <v/>
      </c>
    </row>
    <row r="302">
      <c r="A302" t="n">
        <v>36</v>
      </c>
      <c r="B302" s="44">
        <f>FiscalStart+(A302-1)*7</f>
        <v/>
      </c>
      <c r="C302">
        <f>TEXT(B302,"mmm yyyy")</f>
        <v/>
      </c>
      <c r="D302">
        <f>"Q"&amp;(INT((A302-1)/13)+1)</f>
        <v/>
      </c>
      <c r="E302" t="inlineStr">
        <is>
          <t>Convenience</t>
        </is>
      </c>
      <c r="F302">
        <f>IFERROR(INDEX(ChFormat,MATCH(E302,ChName,0)),"")</f>
        <v/>
      </c>
      <c r="G302" t="inlineStr">
        <is>
          <t>QC</t>
        </is>
      </c>
      <c r="H302">
        <f>IF(A302&lt;=NWeeks,1,0)</f>
        <v/>
      </c>
      <c r="I302">
        <f>INDEX(ChLaunch,MATCH(E302,ChName,0))</f>
        <v/>
      </c>
      <c r="J302">
        <f>INDEX(ChWeeksFull,MATCH(E302,ChName,0))</f>
        <v/>
      </c>
      <c r="K302">
        <f>INDEX(ChRamp,MATCH(E302,ChName,0))</f>
        <v/>
      </c>
      <c r="L302" s="45">
        <f>MIN(1,MAX(0,(A302-I302+1)*RampSpeed/J302))</f>
        <v/>
      </c>
      <c r="M302" s="45">
        <f>IF(A302&lt;I302,0,IF(K302="S-curve",L302*L302*(3-2*L302),L302))</f>
        <v/>
      </c>
      <c r="N302" s="45">
        <f>1+(INDEX(SeasonIdx,A302)-1)*SeasonAmp</f>
        <v/>
      </c>
      <c r="O302" s="45">
        <f>IFERROR(INDEX(PSPct,MATCH(E302&amp;"|"&amp;G302,PSKey,0)),0)</f>
        <v/>
      </c>
      <c r="P302" s="46">
        <f>INDEX(ChDoorVel,MATCH(E302,ChName,0))*CalibScalar*(1+VelocityUplift)</f>
        <v/>
      </c>
      <c r="Q302" s="46" t="n">
        <v>0</v>
      </c>
      <c r="R302" s="46">
        <f>P302*O302*M302*N302*H302</f>
        <v/>
      </c>
      <c r="S302" s="46">
        <f>R302*INDEX(FmtCansPerCase,MATCH(F302,FmtName,0))</f>
        <v/>
      </c>
      <c r="T302" s="46">
        <f>S302/INDEX(FmtCansPerPack,MATCH(F302,FmtName,0))</f>
        <v/>
      </c>
      <c r="U302" s="47">
        <f>INDEX(ChBaseCP,MATCH(E302,ChName,0))*(1+INDEX(ProvMod,MATCH(G302,ProvCode,0)))*(1+PriceIndex)</f>
        <v/>
      </c>
      <c r="V302" s="47">
        <f>R302*U302*INDEX(FmtBlendedPriceIdx,MATCH(F302,FmtName,0))</f>
        <v/>
      </c>
      <c r="W302" s="47">
        <f>T302*INDEX(ProvSRP,MATCH(G302,ProvCode,0))*(1+PriceIndex)</f>
        <v/>
      </c>
      <c r="X302" s="47">
        <f>IF(GrossBasis="Wholesale",V302,W302)</f>
        <v/>
      </c>
      <c r="Y302" s="47">
        <f>R302*INDEX(FmtBlendedCogs,MATCH(F302,FmtName,0))</f>
        <v/>
      </c>
      <c r="Z302" s="47">
        <f>X302-Y302</f>
        <v/>
      </c>
    </row>
    <row r="303">
      <c r="A303" t="n">
        <v>37</v>
      </c>
      <c r="B303" s="44">
        <f>FiscalStart+(A303-1)*7</f>
        <v/>
      </c>
      <c r="C303">
        <f>TEXT(B303,"mmm yyyy")</f>
        <v/>
      </c>
      <c r="D303">
        <f>"Q"&amp;(INT((A303-1)/13)+1)</f>
        <v/>
      </c>
      <c r="E303" t="inlineStr">
        <is>
          <t>Convenience</t>
        </is>
      </c>
      <c r="F303">
        <f>IFERROR(INDEX(ChFormat,MATCH(E303,ChName,0)),"")</f>
        <v/>
      </c>
      <c r="G303" t="inlineStr">
        <is>
          <t>QC</t>
        </is>
      </c>
      <c r="H303">
        <f>IF(A303&lt;=NWeeks,1,0)</f>
        <v/>
      </c>
      <c r="I303">
        <f>INDEX(ChLaunch,MATCH(E303,ChName,0))</f>
        <v/>
      </c>
      <c r="J303">
        <f>INDEX(ChWeeksFull,MATCH(E303,ChName,0))</f>
        <v/>
      </c>
      <c r="K303">
        <f>INDEX(ChRamp,MATCH(E303,ChName,0))</f>
        <v/>
      </c>
      <c r="L303" s="45">
        <f>MIN(1,MAX(0,(A303-I303+1)*RampSpeed/J303))</f>
        <v/>
      </c>
      <c r="M303" s="45">
        <f>IF(A303&lt;I303,0,IF(K303="S-curve",L303*L303*(3-2*L303),L303))</f>
        <v/>
      </c>
      <c r="N303" s="45">
        <f>1+(INDEX(SeasonIdx,A303)-1)*SeasonAmp</f>
        <v/>
      </c>
      <c r="O303" s="45">
        <f>IFERROR(INDEX(PSPct,MATCH(E303&amp;"|"&amp;G303,PSKey,0)),0)</f>
        <v/>
      </c>
      <c r="P303" s="46">
        <f>INDEX(ChDoorVel,MATCH(E303,ChName,0))*CalibScalar*(1+VelocityUplift)</f>
        <v/>
      </c>
      <c r="Q303" s="46" t="n">
        <v>0</v>
      </c>
      <c r="R303" s="46">
        <f>P303*O303*M303*N303*H303</f>
        <v/>
      </c>
      <c r="S303" s="46">
        <f>R303*INDEX(FmtCansPerCase,MATCH(F303,FmtName,0))</f>
        <v/>
      </c>
      <c r="T303" s="46">
        <f>S303/INDEX(FmtCansPerPack,MATCH(F303,FmtName,0))</f>
        <v/>
      </c>
      <c r="U303" s="47">
        <f>INDEX(ChBaseCP,MATCH(E303,ChName,0))*(1+INDEX(ProvMod,MATCH(G303,ProvCode,0)))*(1+PriceIndex)</f>
        <v/>
      </c>
      <c r="V303" s="47">
        <f>R303*U303*INDEX(FmtBlendedPriceIdx,MATCH(F303,FmtName,0))</f>
        <v/>
      </c>
      <c r="W303" s="47">
        <f>T303*INDEX(ProvSRP,MATCH(G303,ProvCode,0))*(1+PriceIndex)</f>
        <v/>
      </c>
      <c r="X303" s="47">
        <f>IF(GrossBasis="Wholesale",V303,W303)</f>
        <v/>
      </c>
      <c r="Y303" s="47">
        <f>R303*INDEX(FmtBlendedCogs,MATCH(F303,FmtName,0))</f>
        <v/>
      </c>
      <c r="Z303" s="47">
        <f>X303-Y303</f>
        <v/>
      </c>
    </row>
    <row r="304">
      <c r="A304" t="n">
        <v>38</v>
      </c>
      <c r="B304" s="44">
        <f>FiscalStart+(A304-1)*7</f>
        <v/>
      </c>
      <c r="C304">
        <f>TEXT(B304,"mmm yyyy")</f>
        <v/>
      </c>
      <c r="D304">
        <f>"Q"&amp;(INT((A304-1)/13)+1)</f>
        <v/>
      </c>
      <c r="E304" t="inlineStr">
        <is>
          <t>Convenience</t>
        </is>
      </c>
      <c r="F304">
        <f>IFERROR(INDEX(ChFormat,MATCH(E304,ChName,0)),"")</f>
        <v/>
      </c>
      <c r="G304" t="inlineStr">
        <is>
          <t>QC</t>
        </is>
      </c>
      <c r="H304">
        <f>IF(A304&lt;=NWeeks,1,0)</f>
        <v/>
      </c>
      <c r="I304">
        <f>INDEX(ChLaunch,MATCH(E304,ChName,0))</f>
        <v/>
      </c>
      <c r="J304">
        <f>INDEX(ChWeeksFull,MATCH(E304,ChName,0))</f>
        <v/>
      </c>
      <c r="K304">
        <f>INDEX(ChRamp,MATCH(E304,ChName,0))</f>
        <v/>
      </c>
      <c r="L304" s="45">
        <f>MIN(1,MAX(0,(A304-I304+1)*RampSpeed/J304))</f>
        <v/>
      </c>
      <c r="M304" s="45">
        <f>IF(A304&lt;I304,0,IF(K304="S-curve",L304*L304*(3-2*L304),L304))</f>
        <v/>
      </c>
      <c r="N304" s="45">
        <f>1+(INDEX(SeasonIdx,A304)-1)*SeasonAmp</f>
        <v/>
      </c>
      <c r="O304" s="45">
        <f>IFERROR(INDEX(PSPct,MATCH(E304&amp;"|"&amp;G304,PSKey,0)),0)</f>
        <v/>
      </c>
      <c r="P304" s="46">
        <f>INDEX(ChDoorVel,MATCH(E304,ChName,0))*CalibScalar*(1+VelocityUplift)</f>
        <v/>
      </c>
      <c r="Q304" s="46" t="n">
        <v>0</v>
      </c>
      <c r="R304" s="46">
        <f>P304*O304*M304*N304*H304</f>
        <v/>
      </c>
      <c r="S304" s="46">
        <f>R304*INDEX(FmtCansPerCase,MATCH(F304,FmtName,0))</f>
        <v/>
      </c>
      <c r="T304" s="46">
        <f>S304/INDEX(FmtCansPerPack,MATCH(F304,FmtName,0))</f>
        <v/>
      </c>
      <c r="U304" s="47">
        <f>INDEX(ChBaseCP,MATCH(E304,ChName,0))*(1+INDEX(ProvMod,MATCH(G304,ProvCode,0)))*(1+PriceIndex)</f>
        <v/>
      </c>
      <c r="V304" s="47">
        <f>R304*U304*INDEX(FmtBlendedPriceIdx,MATCH(F304,FmtName,0))</f>
        <v/>
      </c>
      <c r="W304" s="47">
        <f>T304*INDEX(ProvSRP,MATCH(G304,ProvCode,0))*(1+PriceIndex)</f>
        <v/>
      </c>
      <c r="X304" s="47">
        <f>IF(GrossBasis="Wholesale",V304,W304)</f>
        <v/>
      </c>
      <c r="Y304" s="47">
        <f>R304*INDEX(FmtBlendedCogs,MATCH(F304,FmtName,0))</f>
        <v/>
      </c>
      <c r="Z304" s="47">
        <f>X304-Y304</f>
        <v/>
      </c>
    </row>
    <row r="305">
      <c r="A305" t="n">
        <v>39</v>
      </c>
      <c r="B305" s="44">
        <f>FiscalStart+(A305-1)*7</f>
        <v/>
      </c>
      <c r="C305">
        <f>TEXT(B305,"mmm yyyy")</f>
        <v/>
      </c>
      <c r="D305">
        <f>"Q"&amp;(INT((A305-1)/13)+1)</f>
        <v/>
      </c>
      <c r="E305" t="inlineStr">
        <is>
          <t>Convenience</t>
        </is>
      </c>
      <c r="F305">
        <f>IFERROR(INDEX(ChFormat,MATCH(E305,ChName,0)),"")</f>
        <v/>
      </c>
      <c r="G305" t="inlineStr">
        <is>
          <t>QC</t>
        </is>
      </c>
      <c r="H305">
        <f>IF(A305&lt;=NWeeks,1,0)</f>
        <v/>
      </c>
      <c r="I305">
        <f>INDEX(ChLaunch,MATCH(E305,ChName,0))</f>
        <v/>
      </c>
      <c r="J305">
        <f>INDEX(ChWeeksFull,MATCH(E305,ChName,0))</f>
        <v/>
      </c>
      <c r="K305">
        <f>INDEX(ChRamp,MATCH(E305,ChName,0))</f>
        <v/>
      </c>
      <c r="L305" s="45">
        <f>MIN(1,MAX(0,(A305-I305+1)*RampSpeed/J305))</f>
        <v/>
      </c>
      <c r="M305" s="45">
        <f>IF(A305&lt;I305,0,IF(K305="S-curve",L305*L305*(3-2*L305),L305))</f>
        <v/>
      </c>
      <c r="N305" s="45">
        <f>1+(INDEX(SeasonIdx,A305)-1)*SeasonAmp</f>
        <v/>
      </c>
      <c r="O305" s="45">
        <f>IFERROR(INDEX(PSPct,MATCH(E305&amp;"|"&amp;G305,PSKey,0)),0)</f>
        <v/>
      </c>
      <c r="P305" s="46">
        <f>INDEX(ChDoorVel,MATCH(E305,ChName,0))*CalibScalar*(1+VelocityUplift)</f>
        <v/>
      </c>
      <c r="Q305" s="46" t="n">
        <v>0</v>
      </c>
      <c r="R305" s="46">
        <f>P305*O305*M305*N305*H305</f>
        <v/>
      </c>
      <c r="S305" s="46">
        <f>R305*INDEX(FmtCansPerCase,MATCH(F305,FmtName,0))</f>
        <v/>
      </c>
      <c r="T305" s="46">
        <f>S305/INDEX(FmtCansPerPack,MATCH(F305,FmtName,0))</f>
        <v/>
      </c>
      <c r="U305" s="47">
        <f>INDEX(ChBaseCP,MATCH(E305,ChName,0))*(1+INDEX(ProvMod,MATCH(G305,ProvCode,0)))*(1+PriceIndex)</f>
        <v/>
      </c>
      <c r="V305" s="47">
        <f>R305*U305*INDEX(FmtBlendedPriceIdx,MATCH(F305,FmtName,0))</f>
        <v/>
      </c>
      <c r="W305" s="47">
        <f>T305*INDEX(ProvSRP,MATCH(G305,ProvCode,0))*(1+PriceIndex)</f>
        <v/>
      </c>
      <c r="X305" s="47">
        <f>IF(GrossBasis="Wholesale",V305,W305)</f>
        <v/>
      </c>
      <c r="Y305" s="47">
        <f>R305*INDEX(FmtBlendedCogs,MATCH(F305,FmtName,0))</f>
        <v/>
      </c>
      <c r="Z305" s="47">
        <f>X305-Y305</f>
        <v/>
      </c>
    </row>
    <row r="306">
      <c r="A306" t="n">
        <v>40</v>
      </c>
      <c r="B306" s="44">
        <f>FiscalStart+(A306-1)*7</f>
        <v/>
      </c>
      <c r="C306">
        <f>TEXT(B306,"mmm yyyy")</f>
        <v/>
      </c>
      <c r="D306">
        <f>"Q"&amp;(INT((A306-1)/13)+1)</f>
        <v/>
      </c>
      <c r="E306" t="inlineStr">
        <is>
          <t>Convenience</t>
        </is>
      </c>
      <c r="F306">
        <f>IFERROR(INDEX(ChFormat,MATCH(E306,ChName,0)),"")</f>
        <v/>
      </c>
      <c r="G306" t="inlineStr">
        <is>
          <t>QC</t>
        </is>
      </c>
      <c r="H306">
        <f>IF(A306&lt;=NWeeks,1,0)</f>
        <v/>
      </c>
      <c r="I306">
        <f>INDEX(ChLaunch,MATCH(E306,ChName,0))</f>
        <v/>
      </c>
      <c r="J306">
        <f>INDEX(ChWeeksFull,MATCH(E306,ChName,0))</f>
        <v/>
      </c>
      <c r="K306">
        <f>INDEX(ChRamp,MATCH(E306,ChName,0))</f>
        <v/>
      </c>
      <c r="L306" s="45">
        <f>MIN(1,MAX(0,(A306-I306+1)*RampSpeed/J306))</f>
        <v/>
      </c>
      <c r="M306" s="45">
        <f>IF(A306&lt;I306,0,IF(K306="S-curve",L306*L306*(3-2*L306),L306))</f>
        <v/>
      </c>
      <c r="N306" s="45">
        <f>1+(INDEX(SeasonIdx,A306)-1)*SeasonAmp</f>
        <v/>
      </c>
      <c r="O306" s="45">
        <f>IFERROR(INDEX(PSPct,MATCH(E306&amp;"|"&amp;G306,PSKey,0)),0)</f>
        <v/>
      </c>
      <c r="P306" s="46">
        <f>INDEX(ChDoorVel,MATCH(E306,ChName,0))*CalibScalar*(1+VelocityUplift)</f>
        <v/>
      </c>
      <c r="Q306" s="46" t="n">
        <v>0</v>
      </c>
      <c r="R306" s="46">
        <f>P306*O306*M306*N306*H306</f>
        <v/>
      </c>
      <c r="S306" s="46">
        <f>R306*INDEX(FmtCansPerCase,MATCH(F306,FmtName,0))</f>
        <v/>
      </c>
      <c r="T306" s="46">
        <f>S306/INDEX(FmtCansPerPack,MATCH(F306,FmtName,0))</f>
        <v/>
      </c>
      <c r="U306" s="47">
        <f>INDEX(ChBaseCP,MATCH(E306,ChName,0))*(1+INDEX(ProvMod,MATCH(G306,ProvCode,0)))*(1+PriceIndex)</f>
        <v/>
      </c>
      <c r="V306" s="47">
        <f>R306*U306*INDEX(FmtBlendedPriceIdx,MATCH(F306,FmtName,0))</f>
        <v/>
      </c>
      <c r="W306" s="47">
        <f>T306*INDEX(ProvSRP,MATCH(G306,ProvCode,0))*(1+PriceIndex)</f>
        <v/>
      </c>
      <c r="X306" s="47">
        <f>IF(GrossBasis="Wholesale",V306,W306)</f>
        <v/>
      </c>
      <c r="Y306" s="47">
        <f>R306*INDEX(FmtBlendedCogs,MATCH(F306,FmtName,0))</f>
        <v/>
      </c>
      <c r="Z306" s="47">
        <f>X306-Y306</f>
        <v/>
      </c>
    </row>
    <row r="307">
      <c r="A307" t="n">
        <v>41</v>
      </c>
      <c r="B307" s="44">
        <f>FiscalStart+(A307-1)*7</f>
        <v/>
      </c>
      <c r="C307">
        <f>TEXT(B307,"mmm yyyy")</f>
        <v/>
      </c>
      <c r="D307">
        <f>"Q"&amp;(INT((A307-1)/13)+1)</f>
        <v/>
      </c>
      <c r="E307" t="inlineStr">
        <is>
          <t>Convenience</t>
        </is>
      </c>
      <c r="F307">
        <f>IFERROR(INDEX(ChFormat,MATCH(E307,ChName,0)),"")</f>
        <v/>
      </c>
      <c r="G307" t="inlineStr">
        <is>
          <t>QC</t>
        </is>
      </c>
      <c r="H307">
        <f>IF(A307&lt;=NWeeks,1,0)</f>
        <v/>
      </c>
      <c r="I307">
        <f>INDEX(ChLaunch,MATCH(E307,ChName,0))</f>
        <v/>
      </c>
      <c r="J307">
        <f>INDEX(ChWeeksFull,MATCH(E307,ChName,0))</f>
        <v/>
      </c>
      <c r="K307">
        <f>INDEX(ChRamp,MATCH(E307,ChName,0))</f>
        <v/>
      </c>
      <c r="L307" s="45">
        <f>MIN(1,MAX(0,(A307-I307+1)*RampSpeed/J307))</f>
        <v/>
      </c>
      <c r="M307" s="45">
        <f>IF(A307&lt;I307,0,IF(K307="S-curve",L307*L307*(3-2*L307),L307))</f>
        <v/>
      </c>
      <c r="N307" s="45">
        <f>1+(INDEX(SeasonIdx,A307)-1)*SeasonAmp</f>
        <v/>
      </c>
      <c r="O307" s="45">
        <f>IFERROR(INDEX(PSPct,MATCH(E307&amp;"|"&amp;G307,PSKey,0)),0)</f>
        <v/>
      </c>
      <c r="P307" s="46">
        <f>INDEX(ChDoorVel,MATCH(E307,ChName,0))*CalibScalar*(1+VelocityUplift)</f>
        <v/>
      </c>
      <c r="Q307" s="46" t="n">
        <v>0</v>
      </c>
      <c r="R307" s="46">
        <f>P307*O307*M307*N307*H307</f>
        <v/>
      </c>
      <c r="S307" s="46">
        <f>R307*INDEX(FmtCansPerCase,MATCH(F307,FmtName,0))</f>
        <v/>
      </c>
      <c r="T307" s="46">
        <f>S307/INDEX(FmtCansPerPack,MATCH(F307,FmtName,0))</f>
        <v/>
      </c>
      <c r="U307" s="47">
        <f>INDEX(ChBaseCP,MATCH(E307,ChName,0))*(1+INDEX(ProvMod,MATCH(G307,ProvCode,0)))*(1+PriceIndex)</f>
        <v/>
      </c>
      <c r="V307" s="47">
        <f>R307*U307*INDEX(FmtBlendedPriceIdx,MATCH(F307,FmtName,0))</f>
        <v/>
      </c>
      <c r="W307" s="47">
        <f>T307*INDEX(ProvSRP,MATCH(G307,ProvCode,0))*(1+PriceIndex)</f>
        <v/>
      </c>
      <c r="X307" s="47">
        <f>IF(GrossBasis="Wholesale",V307,W307)</f>
        <v/>
      </c>
      <c r="Y307" s="47">
        <f>R307*INDEX(FmtBlendedCogs,MATCH(F307,FmtName,0))</f>
        <v/>
      </c>
      <c r="Z307" s="47">
        <f>X307-Y307</f>
        <v/>
      </c>
    </row>
    <row r="308">
      <c r="A308" t="n">
        <v>42</v>
      </c>
      <c r="B308" s="44">
        <f>FiscalStart+(A308-1)*7</f>
        <v/>
      </c>
      <c r="C308">
        <f>TEXT(B308,"mmm yyyy")</f>
        <v/>
      </c>
      <c r="D308">
        <f>"Q"&amp;(INT((A308-1)/13)+1)</f>
        <v/>
      </c>
      <c r="E308" t="inlineStr">
        <is>
          <t>Convenience</t>
        </is>
      </c>
      <c r="F308">
        <f>IFERROR(INDEX(ChFormat,MATCH(E308,ChName,0)),"")</f>
        <v/>
      </c>
      <c r="G308" t="inlineStr">
        <is>
          <t>QC</t>
        </is>
      </c>
      <c r="H308">
        <f>IF(A308&lt;=NWeeks,1,0)</f>
        <v/>
      </c>
      <c r="I308">
        <f>INDEX(ChLaunch,MATCH(E308,ChName,0))</f>
        <v/>
      </c>
      <c r="J308">
        <f>INDEX(ChWeeksFull,MATCH(E308,ChName,0))</f>
        <v/>
      </c>
      <c r="K308">
        <f>INDEX(ChRamp,MATCH(E308,ChName,0))</f>
        <v/>
      </c>
      <c r="L308" s="45">
        <f>MIN(1,MAX(0,(A308-I308+1)*RampSpeed/J308))</f>
        <v/>
      </c>
      <c r="M308" s="45">
        <f>IF(A308&lt;I308,0,IF(K308="S-curve",L308*L308*(3-2*L308),L308))</f>
        <v/>
      </c>
      <c r="N308" s="45">
        <f>1+(INDEX(SeasonIdx,A308)-1)*SeasonAmp</f>
        <v/>
      </c>
      <c r="O308" s="45">
        <f>IFERROR(INDEX(PSPct,MATCH(E308&amp;"|"&amp;G308,PSKey,0)),0)</f>
        <v/>
      </c>
      <c r="P308" s="46">
        <f>INDEX(ChDoorVel,MATCH(E308,ChName,0))*CalibScalar*(1+VelocityUplift)</f>
        <v/>
      </c>
      <c r="Q308" s="46" t="n">
        <v>0</v>
      </c>
      <c r="R308" s="46">
        <f>P308*O308*M308*N308*H308</f>
        <v/>
      </c>
      <c r="S308" s="46">
        <f>R308*INDEX(FmtCansPerCase,MATCH(F308,FmtName,0))</f>
        <v/>
      </c>
      <c r="T308" s="46">
        <f>S308/INDEX(FmtCansPerPack,MATCH(F308,FmtName,0))</f>
        <v/>
      </c>
      <c r="U308" s="47">
        <f>INDEX(ChBaseCP,MATCH(E308,ChName,0))*(1+INDEX(ProvMod,MATCH(G308,ProvCode,0)))*(1+PriceIndex)</f>
        <v/>
      </c>
      <c r="V308" s="47">
        <f>R308*U308*INDEX(FmtBlendedPriceIdx,MATCH(F308,FmtName,0))</f>
        <v/>
      </c>
      <c r="W308" s="47">
        <f>T308*INDEX(ProvSRP,MATCH(G308,ProvCode,0))*(1+PriceIndex)</f>
        <v/>
      </c>
      <c r="X308" s="47">
        <f>IF(GrossBasis="Wholesale",V308,W308)</f>
        <v/>
      </c>
      <c r="Y308" s="47">
        <f>R308*INDEX(FmtBlendedCogs,MATCH(F308,FmtName,0))</f>
        <v/>
      </c>
      <c r="Z308" s="47">
        <f>X308-Y308</f>
        <v/>
      </c>
    </row>
    <row r="309">
      <c r="A309" t="n">
        <v>43</v>
      </c>
      <c r="B309" s="44">
        <f>FiscalStart+(A309-1)*7</f>
        <v/>
      </c>
      <c r="C309">
        <f>TEXT(B309,"mmm yyyy")</f>
        <v/>
      </c>
      <c r="D309">
        <f>"Q"&amp;(INT((A309-1)/13)+1)</f>
        <v/>
      </c>
      <c r="E309" t="inlineStr">
        <is>
          <t>Convenience</t>
        </is>
      </c>
      <c r="F309">
        <f>IFERROR(INDEX(ChFormat,MATCH(E309,ChName,0)),"")</f>
        <v/>
      </c>
      <c r="G309" t="inlineStr">
        <is>
          <t>QC</t>
        </is>
      </c>
      <c r="H309">
        <f>IF(A309&lt;=NWeeks,1,0)</f>
        <v/>
      </c>
      <c r="I309">
        <f>INDEX(ChLaunch,MATCH(E309,ChName,0))</f>
        <v/>
      </c>
      <c r="J309">
        <f>INDEX(ChWeeksFull,MATCH(E309,ChName,0))</f>
        <v/>
      </c>
      <c r="K309">
        <f>INDEX(ChRamp,MATCH(E309,ChName,0))</f>
        <v/>
      </c>
      <c r="L309" s="45">
        <f>MIN(1,MAX(0,(A309-I309+1)*RampSpeed/J309))</f>
        <v/>
      </c>
      <c r="M309" s="45">
        <f>IF(A309&lt;I309,0,IF(K309="S-curve",L309*L309*(3-2*L309),L309))</f>
        <v/>
      </c>
      <c r="N309" s="45">
        <f>1+(INDEX(SeasonIdx,A309)-1)*SeasonAmp</f>
        <v/>
      </c>
      <c r="O309" s="45">
        <f>IFERROR(INDEX(PSPct,MATCH(E309&amp;"|"&amp;G309,PSKey,0)),0)</f>
        <v/>
      </c>
      <c r="P309" s="46">
        <f>INDEX(ChDoorVel,MATCH(E309,ChName,0))*CalibScalar*(1+VelocityUplift)</f>
        <v/>
      </c>
      <c r="Q309" s="46" t="n">
        <v>0</v>
      </c>
      <c r="R309" s="46">
        <f>P309*O309*M309*N309*H309</f>
        <v/>
      </c>
      <c r="S309" s="46">
        <f>R309*INDEX(FmtCansPerCase,MATCH(F309,FmtName,0))</f>
        <v/>
      </c>
      <c r="T309" s="46">
        <f>S309/INDEX(FmtCansPerPack,MATCH(F309,FmtName,0))</f>
        <v/>
      </c>
      <c r="U309" s="47">
        <f>INDEX(ChBaseCP,MATCH(E309,ChName,0))*(1+INDEX(ProvMod,MATCH(G309,ProvCode,0)))*(1+PriceIndex)</f>
        <v/>
      </c>
      <c r="V309" s="47">
        <f>R309*U309*INDEX(FmtBlendedPriceIdx,MATCH(F309,FmtName,0))</f>
        <v/>
      </c>
      <c r="W309" s="47">
        <f>T309*INDEX(ProvSRP,MATCH(G309,ProvCode,0))*(1+PriceIndex)</f>
        <v/>
      </c>
      <c r="X309" s="47">
        <f>IF(GrossBasis="Wholesale",V309,W309)</f>
        <v/>
      </c>
      <c r="Y309" s="47">
        <f>R309*INDEX(FmtBlendedCogs,MATCH(F309,FmtName,0))</f>
        <v/>
      </c>
      <c r="Z309" s="47">
        <f>X309-Y309</f>
        <v/>
      </c>
    </row>
    <row r="310">
      <c r="A310" t="n">
        <v>44</v>
      </c>
      <c r="B310" s="44">
        <f>FiscalStart+(A310-1)*7</f>
        <v/>
      </c>
      <c r="C310">
        <f>TEXT(B310,"mmm yyyy")</f>
        <v/>
      </c>
      <c r="D310">
        <f>"Q"&amp;(INT((A310-1)/13)+1)</f>
        <v/>
      </c>
      <c r="E310" t="inlineStr">
        <is>
          <t>Convenience</t>
        </is>
      </c>
      <c r="F310">
        <f>IFERROR(INDEX(ChFormat,MATCH(E310,ChName,0)),"")</f>
        <v/>
      </c>
      <c r="G310" t="inlineStr">
        <is>
          <t>QC</t>
        </is>
      </c>
      <c r="H310">
        <f>IF(A310&lt;=NWeeks,1,0)</f>
        <v/>
      </c>
      <c r="I310">
        <f>INDEX(ChLaunch,MATCH(E310,ChName,0))</f>
        <v/>
      </c>
      <c r="J310">
        <f>INDEX(ChWeeksFull,MATCH(E310,ChName,0))</f>
        <v/>
      </c>
      <c r="K310">
        <f>INDEX(ChRamp,MATCH(E310,ChName,0))</f>
        <v/>
      </c>
      <c r="L310" s="45">
        <f>MIN(1,MAX(0,(A310-I310+1)*RampSpeed/J310))</f>
        <v/>
      </c>
      <c r="M310" s="45">
        <f>IF(A310&lt;I310,0,IF(K310="S-curve",L310*L310*(3-2*L310),L310))</f>
        <v/>
      </c>
      <c r="N310" s="45">
        <f>1+(INDEX(SeasonIdx,A310)-1)*SeasonAmp</f>
        <v/>
      </c>
      <c r="O310" s="45">
        <f>IFERROR(INDEX(PSPct,MATCH(E310&amp;"|"&amp;G310,PSKey,0)),0)</f>
        <v/>
      </c>
      <c r="P310" s="46">
        <f>INDEX(ChDoorVel,MATCH(E310,ChName,0))*CalibScalar*(1+VelocityUplift)</f>
        <v/>
      </c>
      <c r="Q310" s="46" t="n">
        <v>0</v>
      </c>
      <c r="R310" s="46">
        <f>P310*O310*M310*N310*H310</f>
        <v/>
      </c>
      <c r="S310" s="46">
        <f>R310*INDEX(FmtCansPerCase,MATCH(F310,FmtName,0))</f>
        <v/>
      </c>
      <c r="T310" s="46">
        <f>S310/INDEX(FmtCansPerPack,MATCH(F310,FmtName,0))</f>
        <v/>
      </c>
      <c r="U310" s="47">
        <f>INDEX(ChBaseCP,MATCH(E310,ChName,0))*(1+INDEX(ProvMod,MATCH(G310,ProvCode,0)))*(1+PriceIndex)</f>
        <v/>
      </c>
      <c r="V310" s="47">
        <f>R310*U310*INDEX(FmtBlendedPriceIdx,MATCH(F310,FmtName,0))</f>
        <v/>
      </c>
      <c r="W310" s="47">
        <f>T310*INDEX(ProvSRP,MATCH(G310,ProvCode,0))*(1+PriceIndex)</f>
        <v/>
      </c>
      <c r="X310" s="47">
        <f>IF(GrossBasis="Wholesale",V310,W310)</f>
        <v/>
      </c>
      <c r="Y310" s="47">
        <f>R310*INDEX(FmtBlendedCogs,MATCH(F310,FmtName,0))</f>
        <v/>
      </c>
      <c r="Z310" s="47">
        <f>X310-Y310</f>
        <v/>
      </c>
    </row>
    <row r="311">
      <c r="A311" t="n">
        <v>45</v>
      </c>
      <c r="B311" s="44">
        <f>FiscalStart+(A311-1)*7</f>
        <v/>
      </c>
      <c r="C311">
        <f>TEXT(B311,"mmm yyyy")</f>
        <v/>
      </c>
      <c r="D311">
        <f>"Q"&amp;(INT((A311-1)/13)+1)</f>
        <v/>
      </c>
      <c r="E311" t="inlineStr">
        <is>
          <t>Convenience</t>
        </is>
      </c>
      <c r="F311">
        <f>IFERROR(INDEX(ChFormat,MATCH(E311,ChName,0)),"")</f>
        <v/>
      </c>
      <c r="G311" t="inlineStr">
        <is>
          <t>QC</t>
        </is>
      </c>
      <c r="H311">
        <f>IF(A311&lt;=NWeeks,1,0)</f>
        <v/>
      </c>
      <c r="I311">
        <f>INDEX(ChLaunch,MATCH(E311,ChName,0))</f>
        <v/>
      </c>
      <c r="J311">
        <f>INDEX(ChWeeksFull,MATCH(E311,ChName,0))</f>
        <v/>
      </c>
      <c r="K311">
        <f>INDEX(ChRamp,MATCH(E311,ChName,0))</f>
        <v/>
      </c>
      <c r="L311" s="45">
        <f>MIN(1,MAX(0,(A311-I311+1)*RampSpeed/J311))</f>
        <v/>
      </c>
      <c r="M311" s="45">
        <f>IF(A311&lt;I311,0,IF(K311="S-curve",L311*L311*(3-2*L311),L311))</f>
        <v/>
      </c>
      <c r="N311" s="45">
        <f>1+(INDEX(SeasonIdx,A311)-1)*SeasonAmp</f>
        <v/>
      </c>
      <c r="O311" s="45">
        <f>IFERROR(INDEX(PSPct,MATCH(E311&amp;"|"&amp;G311,PSKey,0)),0)</f>
        <v/>
      </c>
      <c r="P311" s="46">
        <f>INDEX(ChDoorVel,MATCH(E311,ChName,0))*CalibScalar*(1+VelocityUplift)</f>
        <v/>
      </c>
      <c r="Q311" s="46" t="n">
        <v>0</v>
      </c>
      <c r="R311" s="46">
        <f>P311*O311*M311*N311*H311</f>
        <v/>
      </c>
      <c r="S311" s="46">
        <f>R311*INDEX(FmtCansPerCase,MATCH(F311,FmtName,0))</f>
        <v/>
      </c>
      <c r="T311" s="46">
        <f>S311/INDEX(FmtCansPerPack,MATCH(F311,FmtName,0))</f>
        <v/>
      </c>
      <c r="U311" s="47">
        <f>INDEX(ChBaseCP,MATCH(E311,ChName,0))*(1+INDEX(ProvMod,MATCH(G311,ProvCode,0)))*(1+PriceIndex)</f>
        <v/>
      </c>
      <c r="V311" s="47">
        <f>R311*U311*INDEX(FmtBlendedPriceIdx,MATCH(F311,FmtName,0))</f>
        <v/>
      </c>
      <c r="W311" s="47">
        <f>T311*INDEX(ProvSRP,MATCH(G311,ProvCode,0))*(1+PriceIndex)</f>
        <v/>
      </c>
      <c r="X311" s="47">
        <f>IF(GrossBasis="Wholesale",V311,W311)</f>
        <v/>
      </c>
      <c r="Y311" s="47">
        <f>R311*INDEX(FmtBlendedCogs,MATCH(F311,FmtName,0))</f>
        <v/>
      </c>
      <c r="Z311" s="47">
        <f>X311-Y311</f>
        <v/>
      </c>
    </row>
    <row r="312">
      <c r="A312" t="n">
        <v>46</v>
      </c>
      <c r="B312" s="44">
        <f>FiscalStart+(A312-1)*7</f>
        <v/>
      </c>
      <c r="C312">
        <f>TEXT(B312,"mmm yyyy")</f>
        <v/>
      </c>
      <c r="D312">
        <f>"Q"&amp;(INT((A312-1)/13)+1)</f>
        <v/>
      </c>
      <c r="E312" t="inlineStr">
        <is>
          <t>Convenience</t>
        </is>
      </c>
      <c r="F312">
        <f>IFERROR(INDEX(ChFormat,MATCH(E312,ChName,0)),"")</f>
        <v/>
      </c>
      <c r="G312" t="inlineStr">
        <is>
          <t>QC</t>
        </is>
      </c>
      <c r="H312">
        <f>IF(A312&lt;=NWeeks,1,0)</f>
        <v/>
      </c>
      <c r="I312">
        <f>INDEX(ChLaunch,MATCH(E312,ChName,0))</f>
        <v/>
      </c>
      <c r="J312">
        <f>INDEX(ChWeeksFull,MATCH(E312,ChName,0))</f>
        <v/>
      </c>
      <c r="K312">
        <f>INDEX(ChRamp,MATCH(E312,ChName,0))</f>
        <v/>
      </c>
      <c r="L312" s="45">
        <f>MIN(1,MAX(0,(A312-I312+1)*RampSpeed/J312))</f>
        <v/>
      </c>
      <c r="M312" s="45">
        <f>IF(A312&lt;I312,0,IF(K312="S-curve",L312*L312*(3-2*L312),L312))</f>
        <v/>
      </c>
      <c r="N312" s="45">
        <f>1+(INDEX(SeasonIdx,A312)-1)*SeasonAmp</f>
        <v/>
      </c>
      <c r="O312" s="45">
        <f>IFERROR(INDEX(PSPct,MATCH(E312&amp;"|"&amp;G312,PSKey,0)),0)</f>
        <v/>
      </c>
      <c r="P312" s="46">
        <f>INDEX(ChDoorVel,MATCH(E312,ChName,0))*CalibScalar*(1+VelocityUplift)</f>
        <v/>
      </c>
      <c r="Q312" s="46" t="n">
        <v>0</v>
      </c>
      <c r="R312" s="46">
        <f>P312*O312*M312*N312*H312</f>
        <v/>
      </c>
      <c r="S312" s="46">
        <f>R312*INDEX(FmtCansPerCase,MATCH(F312,FmtName,0))</f>
        <v/>
      </c>
      <c r="T312" s="46">
        <f>S312/INDEX(FmtCansPerPack,MATCH(F312,FmtName,0))</f>
        <v/>
      </c>
      <c r="U312" s="47">
        <f>INDEX(ChBaseCP,MATCH(E312,ChName,0))*(1+INDEX(ProvMod,MATCH(G312,ProvCode,0)))*(1+PriceIndex)</f>
        <v/>
      </c>
      <c r="V312" s="47">
        <f>R312*U312*INDEX(FmtBlendedPriceIdx,MATCH(F312,FmtName,0))</f>
        <v/>
      </c>
      <c r="W312" s="47">
        <f>T312*INDEX(ProvSRP,MATCH(G312,ProvCode,0))*(1+PriceIndex)</f>
        <v/>
      </c>
      <c r="X312" s="47">
        <f>IF(GrossBasis="Wholesale",V312,W312)</f>
        <v/>
      </c>
      <c r="Y312" s="47">
        <f>R312*INDEX(FmtBlendedCogs,MATCH(F312,FmtName,0))</f>
        <v/>
      </c>
      <c r="Z312" s="47">
        <f>X312-Y312</f>
        <v/>
      </c>
    </row>
    <row r="313">
      <c r="A313" t="n">
        <v>47</v>
      </c>
      <c r="B313" s="44">
        <f>FiscalStart+(A313-1)*7</f>
        <v/>
      </c>
      <c r="C313">
        <f>TEXT(B313,"mmm yyyy")</f>
        <v/>
      </c>
      <c r="D313">
        <f>"Q"&amp;(INT((A313-1)/13)+1)</f>
        <v/>
      </c>
      <c r="E313" t="inlineStr">
        <is>
          <t>Convenience</t>
        </is>
      </c>
      <c r="F313">
        <f>IFERROR(INDEX(ChFormat,MATCH(E313,ChName,0)),"")</f>
        <v/>
      </c>
      <c r="G313" t="inlineStr">
        <is>
          <t>QC</t>
        </is>
      </c>
      <c r="H313">
        <f>IF(A313&lt;=NWeeks,1,0)</f>
        <v/>
      </c>
      <c r="I313">
        <f>INDEX(ChLaunch,MATCH(E313,ChName,0))</f>
        <v/>
      </c>
      <c r="J313">
        <f>INDEX(ChWeeksFull,MATCH(E313,ChName,0))</f>
        <v/>
      </c>
      <c r="K313">
        <f>INDEX(ChRamp,MATCH(E313,ChName,0))</f>
        <v/>
      </c>
      <c r="L313" s="45">
        <f>MIN(1,MAX(0,(A313-I313+1)*RampSpeed/J313))</f>
        <v/>
      </c>
      <c r="M313" s="45">
        <f>IF(A313&lt;I313,0,IF(K313="S-curve",L313*L313*(3-2*L313),L313))</f>
        <v/>
      </c>
      <c r="N313" s="45">
        <f>1+(INDEX(SeasonIdx,A313)-1)*SeasonAmp</f>
        <v/>
      </c>
      <c r="O313" s="45">
        <f>IFERROR(INDEX(PSPct,MATCH(E313&amp;"|"&amp;G313,PSKey,0)),0)</f>
        <v/>
      </c>
      <c r="P313" s="46">
        <f>INDEX(ChDoorVel,MATCH(E313,ChName,0))*CalibScalar*(1+VelocityUplift)</f>
        <v/>
      </c>
      <c r="Q313" s="46" t="n">
        <v>0</v>
      </c>
      <c r="R313" s="46">
        <f>P313*O313*M313*N313*H313</f>
        <v/>
      </c>
      <c r="S313" s="46">
        <f>R313*INDEX(FmtCansPerCase,MATCH(F313,FmtName,0))</f>
        <v/>
      </c>
      <c r="T313" s="46">
        <f>S313/INDEX(FmtCansPerPack,MATCH(F313,FmtName,0))</f>
        <v/>
      </c>
      <c r="U313" s="47">
        <f>INDEX(ChBaseCP,MATCH(E313,ChName,0))*(1+INDEX(ProvMod,MATCH(G313,ProvCode,0)))*(1+PriceIndex)</f>
        <v/>
      </c>
      <c r="V313" s="47">
        <f>R313*U313*INDEX(FmtBlendedPriceIdx,MATCH(F313,FmtName,0))</f>
        <v/>
      </c>
      <c r="W313" s="47">
        <f>T313*INDEX(ProvSRP,MATCH(G313,ProvCode,0))*(1+PriceIndex)</f>
        <v/>
      </c>
      <c r="X313" s="47">
        <f>IF(GrossBasis="Wholesale",V313,W313)</f>
        <v/>
      </c>
      <c r="Y313" s="47">
        <f>R313*INDEX(FmtBlendedCogs,MATCH(F313,FmtName,0))</f>
        <v/>
      </c>
      <c r="Z313" s="47">
        <f>X313-Y313</f>
        <v/>
      </c>
    </row>
    <row r="314">
      <c r="A314" t="n">
        <v>48</v>
      </c>
      <c r="B314" s="44">
        <f>FiscalStart+(A314-1)*7</f>
        <v/>
      </c>
      <c r="C314">
        <f>TEXT(B314,"mmm yyyy")</f>
        <v/>
      </c>
      <c r="D314">
        <f>"Q"&amp;(INT((A314-1)/13)+1)</f>
        <v/>
      </c>
      <c r="E314" t="inlineStr">
        <is>
          <t>Convenience</t>
        </is>
      </c>
      <c r="F314">
        <f>IFERROR(INDEX(ChFormat,MATCH(E314,ChName,0)),"")</f>
        <v/>
      </c>
      <c r="G314" t="inlineStr">
        <is>
          <t>QC</t>
        </is>
      </c>
      <c r="H314">
        <f>IF(A314&lt;=NWeeks,1,0)</f>
        <v/>
      </c>
      <c r="I314">
        <f>INDEX(ChLaunch,MATCH(E314,ChName,0))</f>
        <v/>
      </c>
      <c r="J314">
        <f>INDEX(ChWeeksFull,MATCH(E314,ChName,0))</f>
        <v/>
      </c>
      <c r="K314">
        <f>INDEX(ChRamp,MATCH(E314,ChName,0))</f>
        <v/>
      </c>
      <c r="L314" s="45">
        <f>MIN(1,MAX(0,(A314-I314+1)*RampSpeed/J314))</f>
        <v/>
      </c>
      <c r="M314" s="45">
        <f>IF(A314&lt;I314,0,IF(K314="S-curve",L314*L314*(3-2*L314),L314))</f>
        <v/>
      </c>
      <c r="N314" s="45">
        <f>1+(INDEX(SeasonIdx,A314)-1)*SeasonAmp</f>
        <v/>
      </c>
      <c r="O314" s="45">
        <f>IFERROR(INDEX(PSPct,MATCH(E314&amp;"|"&amp;G314,PSKey,0)),0)</f>
        <v/>
      </c>
      <c r="P314" s="46">
        <f>INDEX(ChDoorVel,MATCH(E314,ChName,0))*CalibScalar*(1+VelocityUplift)</f>
        <v/>
      </c>
      <c r="Q314" s="46" t="n">
        <v>0</v>
      </c>
      <c r="R314" s="46">
        <f>P314*O314*M314*N314*H314</f>
        <v/>
      </c>
      <c r="S314" s="46">
        <f>R314*INDEX(FmtCansPerCase,MATCH(F314,FmtName,0))</f>
        <v/>
      </c>
      <c r="T314" s="46">
        <f>S314/INDEX(FmtCansPerPack,MATCH(F314,FmtName,0))</f>
        <v/>
      </c>
      <c r="U314" s="47">
        <f>INDEX(ChBaseCP,MATCH(E314,ChName,0))*(1+INDEX(ProvMod,MATCH(G314,ProvCode,0)))*(1+PriceIndex)</f>
        <v/>
      </c>
      <c r="V314" s="47">
        <f>R314*U314*INDEX(FmtBlendedPriceIdx,MATCH(F314,FmtName,0))</f>
        <v/>
      </c>
      <c r="W314" s="47">
        <f>T314*INDEX(ProvSRP,MATCH(G314,ProvCode,0))*(1+PriceIndex)</f>
        <v/>
      </c>
      <c r="X314" s="47">
        <f>IF(GrossBasis="Wholesale",V314,W314)</f>
        <v/>
      </c>
      <c r="Y314" s="47">
        <f>R314*INDEX(FmtBlendedCogs,MATCH(F314,FmtName,0))</f>
        <v/>
      </c>
      <c r="Z314" s="47">
        <f>X314-Y314</f>
        <v/>
      </c>
    </row>
    <row r="315">
      <c r="A315" t="n">
        <v>49</v>
      </c>
      <c r="B315" s="44">
        <f>FiscalStart+(A315-1)*7</f>
        <v/>
      </c>
      <c r="C315">
        <f>TEXT(B315,"mmm yyyy")</f>
        <v/>
      </c>
      <c r="D315">
        <f>"Q"&amp;(INT((A315-1)/13)+1)</f>
        <v/>
      </c>
      <c r="E315" t="inlineStr">
        <is>
          <t>Convenience</t>
        </is>
      </c>
      <c r="F315">
        <f>IFERROR(INDEX(ChFormat,MATCH(E315,ChName,0)),"")</f>
        <v/>
      </c>
      <c r="G315" t="inlineStr">
        <is>
          <t>QC</t>
        </is>
      </c>
      <c r="H315">
        <f>IF(A315&lt;=NWeeks,1,0)</f>
        <v/>
      </c>
      <c r="I315">
        <f>INDEX(ChLaunch,MATCH(E315,ChName,0))</f>
        <v/>
      </c>
      <c r="J315">
        <f>INDEX(ChWeeksFull,MATCH(E315,ChName,0))</f>
        <v/>
      </c>
      <c r="K315">
        <f>INDEX(ChRamp,MATCH(E315,ChName,0))</f>
        <v/>
      </c>
      <c r="L315" s="45">
        <f>MIN(1,MAX(0,(A315-I315+1)*RampSpeed/J315))</f>
        <v/>
      </c>
      <c r="M315" s="45">
        <f>IF(A315&lt;I315,0,IF(K315="S-curve",L315*L315*(3-2*L315),L315))</f>
        <v/>
      </c>
      <c r="N315" s="45">
        <f>1+(INDEX(SeasonIdx,A315)-1)*SeasonAmp</f>
        <v/>
      </c>
      <c r="O315" s="45">
        <f>IFERROR(INDEX(PSPct,MATCH(E315&amp;"|"&amp;G315,PSKey,0)),0)</f>
        <v/>
      </c>
      <c r="P315" s="46">
        <f>INDEX(ChDoorVel,MATCH(E315,ChName,0))*CalibScalar*(1+VelocityUplift)</f>
        <v/>
      </c>
      <c r="Q315" s="46" t="n">
        <v>0</v>
      </c>
      <c r="R315" s="46">
        <f>P315*O315*M315*N315*H315</f>
        <v/>
      </c>
      <c r="S315" s="46">
        <f>R315*INDEX(FmtCansPerCase,MATCH(F315,FmtName,0))</f>
        <v/>
      </c>
      <c r="T315" s="46">
        <f>S315/INDEX(FmtCansPerPack,MATCH(F315,FmtName,0))</f>
        <v/>
      </c>
      <c r="U315" s="47">
        <f>INDEX(ChBaseCP,MATCH(E315,ChName,0))*(1+INDEX(ProvMod,MATCH(G315,ProvCode,0)))*(1+PriceIndex)</f>
        <v/>
      </c>
      <c r="V315" s="47">
        <f>R315*U315*INDEX(FmtBlendedPriceIdx,MATCH(F315,FmtName,0))</f>
        <v/>
      </c>
      <c r="W315" s="47">
        <f>T315*INDEX(ProvSRP,MATCH(G315,ProvCode,0))*(1+PriceIndex)</f>
        <v/>
      </c>
      <c r="X315" s="47">
        <f>IF(GrossBasis="Wholesale",V315,W315)</f>
        <v/>
      </c>
      <c r="Y315" s="47">
        <f>R315*INDEX(FmtBlendedCogs,MATCH(F315,FmtName,0))</f>
        <v/>
      </c>
      <c r="Z315" s="47">
        <f>X315-Y315</f>
        <v/>
      </c>
    </row>
    <row r="316">
      <c r="A316" t="n">
        <v>50</v>
      </c>
      <c r="B316" s="44">
        <f>FiscalStart+(A316-1)*7</f>
        <v/>
      </c>
      <c r="C316">
        <f>TEXT(B316,"mmm yyyy")</f>
        <v/>
      </c>
      <c r="D316">
        <f>"Q"&amp;(INT((A316-1)/13)+1)</f>
        <v/>
      </c>
      <c r="E316" t="inlineStr">
        <is>
          <t>Convenience</t>
        </is>
      </c>
      <c r="F316">
        <f>IFERROR(INDEX(ChFormat,MATCH(E316,ChName,0)),"")</f>
        <v/>
      </c>
      <c r="G316" t="inlineStr">
        <is>
          <t>QC</t>
        </is>
      </c>
      <c r="H316">
        <f>IF(A316&lt;=NWeeks,1,0)</f>
        <v/>
      </c>
      <c r="I316">
        <f>INDEX(ChLaunch,MATCH(E316,ChName,0))</f>
        <v/>
      </c>
      <c r="J316">
        <f>INDEX(ChWeeksFull,MATCH(E316,ChName,0))</f>
        <v/>
      </c>
      <c r="K316">
        <f>INDEX(ChRamp,MATCH(E316,ChName,0))</f>
        <v/>
      </c>
      <c r="L316" s="45">
        <f>MIN(1,MAX(0,(A316-I316+1)*RampSpeed/J316))</f>
        <v/>
      </c>
      <c r="M316" s="45">
        <f>IF(A316&lt;I316,0,IF(K316="S-curve",L316*L316*(3-2*L316),L316))</f>
        <v/>
      </c>
      <c r="N316" s="45">
        <f>1+(INDEX(SeasonIdx,A316)-1)*SeasonAmp</f>
        <v/>
      </c>
      <c r="O316" s="45">
        <f>IFERROR(INDEX(PSPct,MATCH(E316&amp;"|"&amp;G316,PSKey,0)),0)</f>
        <v/>
      </c>
      <c r="P316" s="46">
        <f>INDEX(ChDoorVel,MATCH(E316,ChName,0))*CalibScalar*(1+VelocityUplift)</f>
        <v/>
      </c>
      <c r="Q316" s="46" t="n">
        <v>0</v>
      </c>
      <c r="R316" s="46">
        <f>P316*O316*M316*N316*H316</f>
        <v/>
      </c>
      <c r="S316" s="46">
        <f>R316*INDEX(FmtCansPerCase,MATCH(F316,FmtName,0))</f>
        <v/>
      </c>
      <c r="T316" s="46">
        <f>S316/INDEX(FmtCansPerPack,MATCH(F316,FmtName,0))</f>
        <v/>
      </c>
      <c r="U316" s="47">
        <f>INDEX(ChBaseCP,MATCH(E316,ChName,0))*(1+INDEX(ProvMod,MATCH(G316,ProvCode,0)))*(1+PriceIndex)</f>
        <v/>
      </c>
      <c r="V316" s="47">
        <f>R316*U316*INDEX(FmtBlendedPriceIdx,MATCH(F316,FmtName,0))</f>
        <v/>
      </c>
      <c r="W316" s="47">
        <f>T316*INDEX(ProvSRP,MATCH(G316,ProvCode,0))*(1+PriceIndex)</f>
        <v/>
      </c>
      <c r="X316" s="47">
        <f>IF(GrossBasis="Wholesale",V316,W316)</f>
        <v/>
      </c>
      <c r="Y316" s="47">
        <f>R316*INDEX(FmtBlendedCogs,MATCH(F316,FmtName,0))</f>
        <v/>
      </c>
      <c r="Z316" s="47">
        <f>X316-Y316</f>
        <v/>
      </c>
    </row>
    <row r="317">
      <c r="A317" t="n">
        <v>51</v>
      </c>
      <c r="B317" s="44">
        <f>FiscalStart+(A317-1)*7</f>
        <v/>
      </c>
      <c r="C317">
        <f>TEXT(B317,"mmm yyyy")</f>
        <v/>
      </c>
      <c r="D317">
        <f>"Q"&amp;(INT((A317-1)/13)+1)</f>
        <v/>
      </c>
      <c r="E317" t="inlineStr">
        <is>
          <t>Convenience</t>
        </is>
      </c>
      <c r="F317">
        <f>IFERROR(INDEX(ChFormat,MATCH(E317,ChName,0)),"")</f>
        <v/>
      </c>
      <c r="G317" t="inlineStr">
        <is>
          <t>QC</t>
        </is>
      </c>
      <c r="H317">
        <f>IF(A317&lt;=NWeeks,1,0)</f>
        <v/>
      </c>
      <c r="I317">
        <f>INDEX(ChLaunch,MATCH(E317,ChName,0))</f>
        <v/>
      </c>
      <c r="J317">
        <f>INDEX(ChWeeksFull,MATCH(E317,ChName,0))</f>
        <v/>
      </c>
      <c r="K317">
        <f>INDEX(ChRamp,MATCH(E317,ChName,0))</f>
        <v/>
      </c>
      <c r="L317" s="45">
        <f>MIN(1,MAX(0,(A317-I317+1)*RampSpeed/J317))</f>
        <v/>
      </c>
      <c r="M317" s="45">
        <f>IF(A317&lt;I317,0,IF(K317="S-curve",L317*L317*(3-2*L317),L317))</f>
        <v/>
      </c>
      <c r="N317" s="45">
        <f>1+(INDEX(SeasonIdx,A317)-1)*SeasonAmp</f>
        <v/>
      </c>
      <c r="O317" s="45">
        <f>IFERROR(INDEX(PSPct,MATCH(E317&amp;"|"&amp;G317,PSKey,0)),0)</f>
        <v/>
      </c>
      <c r="P317" s="46">
        <f>INDEX(ChDoorVel,MATCH(E317,ChName,0))*CalibScalar*(1+VelocityUplift)</f>
        <v/>
      </c>
      <c r="Q317" s="46" t="n">
        <v>0</v>
      </c>
      <c r="R317" s="46">
        <f>P317*O317*M317*N317*H317</f>
        <v/>
      </c>
      <c r="S317" s="46">
        <f>R317*INDEX(FmtCansPerCase,MATCH(F317,FmtName,0))</f>
        <v/>
      </c>
      <c r="T317" s="46">
        <f>S317/INDEX(FmtCansPerPack,MATCH(F317,FmtName,0))</f>
        <v/>
      </c>
      <c r="U317" s="47">
        <f>INDEX(ChBaseCP,MATCH(E317,ChName,0))*(1+INDEX(ProvMod,MATCH(G317,ProvCode,0)))*(1+PriceIndex)</f>
        <v/>
      </c>
      <c r="V317" s="47">
        <f>R317*U317*INDEX(FmtBlendedPriceIdx,MATCH(F317,FmtName,0))</f>
        <v/>
      </c>
      <c r="W317" s="47">
        <f>T317*INDEX(ProvSRP,MATCH(G317,ProvCode,0))*(1+PriceIndex)</f>
        <v/>
      </c>
      <c r="X317" s="47">
        <f>IF(GrossBasis="Wholesale",V317,W317)</f>
        <v/>
      </c>
      <c r="Y317" s="47">
        <f>R317*INDEX(FmtBlendedCogs,MATCH(F317,FmtName,0))</f>
        <v/>
      </c>
      <c r="Z317" s="47">
        <f>X317-Y317</f>
        <v/>
      </c>
    </row>
    <row r="318">
      <c r="A318" t="n">
        <v>52</v>
      </c>
      <c r="B318" s="44">
        <f>FiscalStart+(A318-1)*7</f>
        <v/>
      </c>
      <c r="C318">
        <f>TEXT(B318,"mmm yyyy")</f>
        <v/>
      </c>
      <c r="D318">
        <f>"Q"&amp;(INT((A318-1)/13)+1)</f>
        <v/>
      </c>
      <c r="E318" t="inlineStr">
        <is>
          <t>Convenience</t>
        </is>
      </c>
      <c r="F318">
        <f>IFERROR(INDEX(ChFormat,MATCH(E318,ChName,0)),"")</f>
        <v/>
      </c>
      <c r="G318" t="inlineStr">
        <is>
          <t>QC</t>
        </is>
      </c>
      <c r="H318">
        <f>IF(A318&lt;=NWeeks,1,0)</f>
        <v/>
      </c>
      <c r="I318">
        <f>INDEX(ChLaunch,MATCH(E318,ChName,0))</f>
        <v/>
      </c>
      <c r="J318">
        <f>INDEX(ChWeeksFull,MATCH(E318,ChName,0))</f>
        <v/>
      </c>
      <c r="K318">
        <f>INDEX(ChRamp,MATCH(E318,ChName,0))</f>
        <v/>
      </c>
      <c r="L318" s="45">
        <f>MIN(1,MAX(0,(A318-I318+1)*RampSpeed/J318))</f>
        <v/>
      </c>
      <c r="M318" s="45">
        <f>IF(A318&lt;I318,0,IF(K318="S-curve",L318*L318*(3-2*L318),L318))</f>
        <v/>
      </c>
      <c r="N318" s="45">
        <f>1+(INDEX(SeasonIdx,A318)-1)*SeasonAmp</f>
        <v/>
      </c>
      <c r="O318" s="45">
        <f>IFERROR(INDEX(PSPct,MATCH(E318&amp;"|"&amp;G318,PSKey,0)),0)</f>
        <v/>
      </c>
      <c r="P318" s="46">
        <f>INDEX(ChDoorVel,MATCH(E318,ChName,0))*CalibScalar*(1+VelocityUplift)</f>
        <v/>
      </c>
      <c r="Q318" s="46" t="n">
        <v>0</v>
      </c>
      <c r="R318" s="46">
        <f>P318*O318*M318*N318*H318</f>
        <v/>
      </c>
      <c r="S318" s="46">
        <f>R318*INDEX(FmtCansPerCase,MATCH(F318,FmtName,0))</f>
        <v/>
      </c>
      <c r="T318" s="46">
        <f>S318/INDEX(FmtCansPerPack,MATCH(F318,FmtName,0))</f>
        <v/>
      </c>
      <c r="U318" s="47">
        <f>INDEX(ChBaseCP,MATCH(E318,ChName,0))*(1+INDEX(ProvMod,MATCH(G318,ProvCode,0)))*(1+PriceIndex)</f>
        <v/>
      </c>
      <c r="V318" s="47">
        <f>R318*U318*INDEX(FmtBlendedPriceIdx,MATCH(F318,FmtName,0))</f>
        <v/>
      </c>
      <c r="W318" s="47">
        <f>T318*INDEX(ProvSRP,MATCH(G318,ProvCode,0))*(1+PriceIndex)</f>
        <v/>
      </c>
      <c r="X318" s="47">
        <f>IF(GrossBasis="Wholesale",V318,W318)</f>
        <v/>
      </c>
      <c r="Y318" s="47">
        <f>R318*INDEX(FmtBlendedCogs,MATCH(F318,FmtName,0))</f>
        <v/>
      </c>
      <c r="Z318" s="47">
        <f>X318-Y318</f>
        <v/>
      </c>
    </row>
    <row r="319">
      <c r="A319" t="n">
        <v>53</v>
      </c>
      <c r="B319" s="44">
        <f>FiscalStart+(A319-1)*7</f>
        <v/>
      </c>
      <c r="C319">
        <f>TEXT(B319,"mmm yyyy")</f>
        <v/>
      </c>
      <c r="D319">
        <f>"Q"&amp;(INT((A319-1)/13)+1)</f>
        <v/>
      </c>
      <c r="E319" t="inlineStr">
        <is>
          <t>Convenience</t>
        </is>
      </c>
      <c r="F319">
        <f>IFERROR(INDEX(ChFormat,MATCH(E319,ChName,0)),"")</f>
        <v/>
      </c>
      <c r="G319" t="inlineStr">
        <is>
          <t>QC</t>
        </is>
      </c>
      <c r="H319">
        <f>IF(A319&lt;=NWeeks,1,0)</f>
        <v/>
      </c>
      <c r="I319">
        <f>INDEX(ChLaunch,MATCH(E319,ChName,0))</f>
        <v/>
      </c>
      <c r="J319">
        <f>INDEX(ChWeeksFull,MATCH(E319,ChName,0))</f>
        <v/>
      </c>
      <c r="K319">
        <f>INDEX(ChRamp,MATCH(E319,ChName,0))</f>
        <v/>
      </c>
      <c r="L319" s="45">
        <f>MIN(1,MAX(0,(A319-I319+1)*RampSpeed/J319))</f>
        <v/>
      </c>
      <c r="M319" s="45">
        <f>IF(A319&lt;I319,0,IF(K319="S-curve",L319*L319*(3-2*L319),L319))</f>
        <v/>
      </c>
      <c r="N319" s="45">
        <f>1+(INDEX(SeasonIdx,A319)-1)*SeasonAmp</f>
        <v/>
      </c>
      <c r="O319" s="45">
        <f>IFERROR(INDEX(PSPct,MATCH(E319&amp;"|"&amp;G319,PSKey,0)),0)</f>
        <v/>
      </c>
      <c r="P319" s="46">
        <f>INDEX(ChDoorVel,MATCH(E319,ChName,0))*CalibScalar*(1+VelocityUplift)</f>
        <v/>
      </c>
      <c r="Q319" s="46" t="n">
        <v>0</v>
      </c>
      <c r="R319" s="46">
        <f>P319*O319*M319*N319*H319</f>
        <v/>
      </c>
      <c r="S319" s="46">
        <f>R319*INDEX(FmtCansPerCase,MATCH(F319,FmtName,0))</f>
        <v/>
      </c>
      <c r="T319" s="46">
        <f>S319/INDEX(FmtCansPerPack,MATCH(F319,FmtName,0))</f>
        <v/>
      </c>
      <c r="U319" s="47">
        <f>INDEX(ChBaseCP,MATCH(E319,ChName,0))*(1+INDEX(ProvMod,MATCH(G319,ProvCode,0)))*(1+PriceIndex)</f>
        <v/>
      </c>
      <c r="V319" s="47">
        <f>R319*U319*INDEX(FmtBlendedPriceIdx,MATCH(F319,FmtName,0))</f>
        <v/>
      </c>
      <c r="W319" s="47">
        <f>T319*INDEX(ProvSRP,MATCH(G319,ProvCode,0))*(1+PriceIndex)</f>
        <v/>
      </c>
      <c r="X319" s="47">
        <f>IF(GrossBasis="Wholesale",V319,W319)</f>
        <v/>
      </c>
      <c r="Y319" s="47">
        <f>R319*INDEX(FmtBlendedCogs,MATCH(F319,FmtName,0))</f>
        <v/>
      </c>
      <c r="Z319" s="47">
        <f>X319-Y319</f>
        <v/>
      </c>
    </row>
    <row r="320">
      <c r="A320" t="n">
        <v>1</v>
      </c>
      <c r="B320" s="44">
        <f>FiscalStart+(A320-1)*7</f>
        <v/>
      </c>
      <c r="C320">
        <f>TEXT(B320,"mmm yyyy")</f>
        <v/>
      </c>
      <c r="D320">
        <f>"Q"&amp;(INT((A320-1)/13)+1)</f>
        <v/>
      </c>
      <c r="E320" t="inlineStr">
        <is>
          <t>Convenience</t>
        </is>
      </c>
      <c r="F320">
        <f>IFERROR(INDEX(ChFormat,MATCH(E320,ChName,0)),"")</f>
        <v/>
      </c>
      <c r="G320" t="inlineStr">
        <is>
          <t>NB</t>
        </is>
      </c>
      <c r="H320">
        <f>IF(A320&lt;=NWeeks,1,0)</f>
        <v/>
      </c>
      <c r="I320">
        <f>INDEX(ChLaunch,MATCH(E320,ChName,0))</f>
        <v/>
      </c>
      <c r="J320">
        <f>INDEX(ChWeeksFull,MATCH(E320,ChName,0))</f>
        <v/>
      </c>
      <c r="K320">
        <f>INDEX(ChRamp,MATCH(E320,ChName,0))</f>
        <v/>
      </c>
      <c r="L320" s="45">
        <f>MIN(1,MAX(0,(A320-I320+1)*RampSpeed/J320))</f>
        <v/>
      </c>
      <c r="M320" s="45">
        <f>IF(A320&lt;I320,0,IF(K320="S-curve",L320*L320*(3-2*L320),L320))</f>
        <v/>
      </c>
      <c r="N320" s="45">
        <f>1+(INDEX(SeasonIdx,A320)-1)*SeasonAmp</f>
        <v/>
      </c>
      <c r="O320" s="45">
        <f>IFERROR(INDEX(PSPct,MATCH(E320&amp;"|"&amp;G320,PSKey,0)),0)</f>
        <v/>
      </c>
      <c r="P320" s="46">
        <f>INDEX(ChDoorVel,MATCH(E320,ChName,0))*CalibScalar*(1+VelocityUplift)</f>
        <v/>
      </c>
      <c r="Q320" s="46" t="n">
        <v>0</v>
      </c>
      <c r="R320" s="46">
        <f>P320*O320*M320*N320*H320</f>
        <v/>
      </c>
      <c r="S320" s="46">
        <f>R320*INDEX(FmtCansPerCase,MATCH(F320,FmtName,0))</f>
        <v/>
      </c>
      <c r="T320" s="46">
        <f>S320/INDEX(FmtCansPerPack,MATCH(F320,FmtName,0))</f>
        <v/>
      </c>
      <c r="U320" s="47">
        <f>INDEX(ChBaseCP,MATCH(E320,ChName,0))*(1+INDEX(ProvMod,MATCH(G320,ProvCode,0)))*(1+PriceIndex)</f>
        <v/>
      </c>
      <c r="V320" s="47">
        <f>R320*U320*INDEX(FmtBlendedPriceIdx,MATCH(F320,FmtName,0))</f>
        <v/>
      </c>
      <c r="W320" s="47">
        <f>T320*INDEX(ProvSRP,MATCH(G320,ProvCode,0))*(1+PriceIndex)</f>
        <v/>
      </c>
      <c r="X320" s="47">
        <f>IF(GrossBasis="Wholesale",V320,W320)</f>
        <v/>
      </c>
      <c r="Y320" s="47">
        <f>R320*INDEX(FmtBlendedCogs,MATCH(F320,FmtName,0))</f>
        <v/>
      </c>
      <c r="Z320" s="47">
        <f>X320-Y320</f>
        <v/>
      </c>
    </row>
    <row r="321">
      <c r="A321" t="n">
        <v>2</v>
      </c>
      <c r="B321" s="44">
        <f>FiscalStart+(A321-1)*7</f>
        <v/>
      </c>
      <c r="C321">
        <f>TEXT(B321,"mmm yyyy")</f>
        <v/>
      </c>
      <c r="D321">
        <f>"Q"&amp;(INT((A321-1)/13)+1)</f>
        <v/>
      </c>
      <c r="E321" t="inlineStr">
        <is>
          <t>Convenience</t>
        </is>
      </c>
      <c r="F321">
        <f>IFERROR(INDEX(ChFormat,MATCH(E321,ChName,0)),"")</f>
        <v/>
      </c>
      <c r="G321" t="inlineStr">
        <is>
          <t>NB</t>
        </is>
      </c>
      <c r="H321">
        <f>IF(A321&lt;=NWeeks,1,0)</f>
        <v/>
      </c>
      <c r="I321">
        <f>INDEX(ChLaunch,MATCH(E321,ChName,0))</f>
        <v/>
      </c>
      <c r="J321">
        <f>INDEX(ChWeeksFull,MATCH(E321,ChName,0))</f>
        <v/>
      </c>
      <c r="K321">
        <f>INDEX(ChRamp,MATCH(E321,ChName,0))</f>
        <v/>
      </c>
      <c r="L321" s="45">
        <f>MIN(1,MAX(0,(A321-I321+1)*RampSpeed/J321))</f>
        <v/>
      </c>
      <c r="M321" s="45">
        <f>IF(A321&lt;I321,0,IF(K321="S-curve",L321*L321*(3-2*L321),L321))</f>
        <v/>
      </c>
      <c r="N321" s="45">
        <f>1+(INDEX(SeasonIdx,A321)-1)*SeasonAmp</f>
        <v/>
      </c>
      <c r="O321" s="45">
        <f>IFERROR(INDEX(PSPct,MATCH(E321&amp;"|"&amp;G321,PSKey,0)),0)</f>
        <v/>
      </c>
      <c r="P321" s="46">
        <f>INDEX(ChDoorVel,MATCH(E321,ChName,0))*CalibScalar*(1+VelocityUplift)</f>
        <v/>
      </c>
      <c r="Q321" s="46" t="n">
        <v>0</v>
      </c>
      <c r="R321" s="46">
        <f>P321*O321*M321*N321*H321</f>
        <v/>
      </c>
      <c r="S321" s="46">
        <f>R321*INDEX(FmtCansPerCase,MATCH(F321,FmtName,0))</f>
        <v/>
      </c>
      <c r="T321" s="46">
        <f>S321/INDEX(FmtCansPerPack,MATCH(F321,FmtName,0))</f>
        <v/>
      </c>
      <c r="U321" s="47">
        <f>INDEX(ChBaseCP,MATCH(E321,ChName,0))*(1+INDEX(ProvMod,MATCH(G321,ProvCode,0)))*(1+PriceIndex)</f>
        <v/>
      </c>
      <c r="V321" s="47">
        <f>R321*U321*INDEX(FmtBlendedPriceIdx,MATCH(F321,FmtName,0))</f>
        <v/>
      </c>
      <c r="W321" s="47">
        <f>T321*INDEX(ProvSRP,MATCH(G321,ProvCode,0))*(1+PriceIndex)</f>
        <v/>
      </c>
      <c r="X321" s="47">
        <f>IF(GrossBasis="Wholesale",V321,W321)</f>
        <v/>
      </c>
      <c r="Y321" s="47">
        <f>R321*INDEX(FmtBlendedCogs,MATCH(F321,FmtName,0))</f>
        <v/>
      </c>
      <c r="Z321" s="47">
        <f>X321-Y321</f>
        <v/>
      </c>
    </row>
    <row r="322">
      <c r="A322" t="n">
        <v>3</v>
      </c>
      <c r="B322" s="44">
        <f>FiscalStart+(A322-1)*7</f>
        <v/>
      </c>
      <c r="C322">
        <f>TEXT(B322,"mmm yyyy")</f>
        <v/>
      </c>
      <c r="D322">
        <f>"Q"&amp;(INT((A322-1)/13)+1)</f>
        <v/>
      </c>
      <c r="E322" t="inlineStr">
        <is>
          <t>Convenience</t>
        </is>
      </c>
      <c r="F322">
        <f>IFERROR(INDEX(ChFormat,MATCH(E322,ChName,0)),"")</f>
        <v/>
      </c>
      <c r="G322" t="inlineStr">
        <is>
          <t>NB</t>
        </is>
      </c>
      <c r="H322">
        <f>IF(A322&lt;=NWeeks,1,0)</f>
        <v/>
      </c>
      <c r="I322">
        <f>INDEX(ChLaunch,MATCH(E322,ChName,0))</f>
        <v/>
      </c>
      <c r="J322">
        <f>INDEX(ChWeeksFull,MATCH(E322,ChName,0))</f>
        <v/>
      </c>
      <c r="K322">
        <f>INDEX(ChRamp,MATCH(E322,ChName,0))</f>
        <v/>
      </c>
      <c r="L322" s="45">
        <f>MIN(1,MAX(0,(A322-I322+1)*RampSpeed/J322))</f>
        <v/>
      </c>
      <c r="M322" s="45">
        <f>IF(A322&lt;I322,0,IF(K322="S-curve",L322*L322*(3-2*L322),L322))</f>
        <v/>
      </c>
      <c r="N322" s="45">
        <f>1+(INDEX(SeasonIdx,A322)-1)*SeasonAmp</f>
        <v/>
      </c>
      <c r="O322" s="45">
        <f>IFERROR(INDEX(PSPct,MATCH(E322&amp;"|"&amp;G322,PSKey,0)),0)</f>
        <v/>
      </c>
      <c r="P322" s="46">
        <f>INDEX(ChDoorVel,MATCH(E322,ChName,0))*CalibScalar*(1+VelocityUplift)</f>
        <v/>
      </c>
      <c r="Q322" s="46" t="n">
        <v>0</v>
      </c>
      <c r="R322" s="46">
        <f>P322*O322*M322*N322*H322</f>
        <v/>
      </c>
      <c r="S322" s="46">
        <f>R322*INDEX(FmtCansPerCase,MATCH(F322,FmtName,0))</f>
        <v/>
      </c>
      <c r="T322" s="46">
        <f>S322/INDEX(FmtCansPerPack,MATCH(F322,FmtName,0))</f>
        <v/>
      </c>
      <c r="U322" s="47">
        <f>INDEX(ChBaseCP,MATCH(E322,ChName,0))*(1+INDEX(ProvMod,MATCH(G322,ProvCode,0)))*(1+PriceIndex)</f>
        <v/>
      </c>
      <c r="V322" s="47">
        <f>R322*U322*INDEX(FmtBlendedPriceIdx,MATCH(F322,FmtName,0))</f>
        <v/>
      </c>
      <c r="W322" s="47">
        <f>T322*INDEX(ProvSRP,MATCH(G322,ProvCode,0))*(1+PriceIndex)</f>
        <v/>
      </c>
      <c r="X322" s="47">
        <f>IF(GrossBasis="Wholesale",V322,W322)</f>
        <v/>
      </c>
      <c r="Y322" s="47">
        <f>R322*INDEX(FmtBlendedCogs,MATCH(F322,FmtName,0))</f>
        <v/>
      </c>
      <c r="Z322" s="47">
        <f>X322-Y322</f>
        <v/>
      </c>
    </row>
    <row r="323">
      <c r="A323" t="n">
        <v>4</v>
      </c>
      <c r="B323" s="44">
        <f>FiscalStart+(A323-1)*7</f>
        <v/>
      </c>
      <c r="C323">
        <f>TEXT(B323,"mmm yyyy")</f>
        <v/>
      </c>
      <c r="D323">
        <f>"Q"&amp;(INT((A323-1)/13)+1)</f>
        <v/>
      </c>
      <c r="E323" t="inlineStr">
        <is>
          <t>Convenience</t>
        </is>
      </c>
      <c r="F323">
        <f>IFERROR(INDEX(ChFormat,MATCH(E323,ChName,0)),"")</f>
        <v/>
      </c>
      <c r="G323" t="inlineStr">
        <is>
          <t>NB</t>
        </is>
      </c>
      <c r="H323">
        <f>IF(A323&lt;=NWeeks,1,0)</f>
        <v/>
      </c>
      <c r="I323">
        <f>INDEX(ChLaunch,MATCH(E323,ChName,0))</f>
        <v/>
      </c>
      <c r="J323">
        <f>INDEX(ChWeeksFull,MATCH(E323,ChName,0))</f>
        <v/>
      </c>
      <c r="K323">
        <f>INDEX(ChRamp,MATCH(E323,ChName,0))</f>
        <v/>
      </c>
      <c r="L323" s="45">
        <f>MIN(1,MAX(0,(A323-I323+1)*RampSpeed/J323))</f>
        <v/>
      </c>
      <c r="M323" s="45">
        <f>IF(A323&lt;I323,0,IF(K323="S-curve",L323*L323*(3-2*L323),L323))</f>
        <v/>
      </c>
      <c r="N323" s="45">
        <f>1+(INDEX(SeasonIdx,A323)-1)*SeasonAmp</f>
        <v/>
      </c>
      <c r="O323" s="45">
        <f>IFERROR(INDEX(PSPct,MATCH(E323&amp;"|"&amp;G323,PSKey,0)),0)</f>
        <v/>
      </c>
      <c r="P323" s="46">
        <f>INDEX(ChDoorVel,MATCH(E323,ChName,0))*CalibScalar*(1+VelocityUplift)</f>
        <v/>
      </c>
      <c r="Q323" s="46" t="n">
        <v>0</v>
      </c>
      <c r="R323" s="46">
        <f>P323*O323*M323*N323*H323</f>
        <v/>
      </c>
      <c r="S323" s="46">
        <f>R323*INDEX(FmtCansPerCase,MATCH(F323,FmtName,0))</f>
        <v/>
      </c>
      <c r="T323" s="46">
        <f>S323/INDEX(FmtCansPerPack,MATCH(F323,FmtName,0))</f>
        <v/>
      </c>
      <c r="U323" s="47">
        <f>INDEX(ChBaseCP,MATCH(E323,ChName,0))*(1+INDEX(ProvMod,MATCH(G323,ProvCode,0)))*(1+PriceIndex)</f>
        <v/>
      </c>
      <c r="V323" s="47">
        <f>R323*U323*INDEX(FmtBlendedPriceIdx,MATCH(F323,FmtName,0))</f>
        <v/>
      </c>
      <c r="W323" s="47">
        <f>T323*INDEX(ProvSRP,MATCH(G323,ProvCode,0))*(1+PriceIndex)</f>
        <v/>
      </c>
      <c r="X323" s="47">
        <f>IF(GrossBasis="Wholesale",V323,W323)</f>
        <v/>
      </c>
      <c r="Y323" s="47">
        <f>R323*INDEX(FmtBlendedCogs,MATCH(F323,FmtName,0))</f>
        <v/>
      </c>
      <c r="Z323" s="47">
        <f>X323-Y323</f>
        <v/>
      </c>
    </row>
    <row r="324">
      <c r="A324" t="n">
        <v>5</v>
      </c>
      <c r="B324" s="44">
        <f>FiscalStart+(A324-1)*7</f>
        <v/>
      </c>
      <c r="C324">
        <f>TEXT(B324,"mmm yyyy")</f>
        <v/>
      </c>
      <c r="D324">
        <f>"Q"&amp;(INT((A324-1)/13)+1)</f>
        <v/>
      </c>
      <c r="E324" t="inlineStr">
        <is>
          <t>Convenience</t>
        </is>
      </c>
      <c r="F324">
        <f>IFERROR(INDEX(ChFormat,MATCH(E324,ChName,0)),"")</f>
        <v/>
      </c>
      <c r="G324" t="inlineStr">
        <is>
          <t>NB</t>
        </is>
      </c>
      <c r="H324">
        <f>IF(A324&lt;=NWeeks,1,0)</f>
        <v/>
      </c>
      <c r="I324">
        <f>INDEX(ChLaunch,MATCH(E324,ChName,0))</f>
        <v/>
      </c>
      <c r="J324">
        <f>INDEX(ChWeeksFull,MATCH(E324,ChName,0))</f>
        <v/>
      </c>
      <c r="K324">
        <f>INDEX(ChRamp,MATCH(E324,ChName,0))</f>
        <v/>
      </c>
      <c r="L324" s="45">
        <f>MIN(1,MAX(0,(A324-I324+1)*RampSpeed/J324))</f>
        <v/>
      </c>
      <c r="M324" s="45">
        <f>IF(A324&lt;I324,0,IF(K324="S-curve",L324*L324*(3-2*L324),L324))</f>
        <v/>
      </c>
      <c r="N324" s="45">
        <f>1+(INDEX(SeasonIdx,A324)-1)*SeasonAmp</f>
        <v/>
      </c>
      <c r="O324" s="45">
        <f>IFERROR(INDEX(PSPct,MATCH(E324&amp;"|"&amp;G324,PSKey,0)),0)</f>
        <v/>
      </c>
      <c r="P324" s="46">
        <f>INDEX(ChDoorVel,MATCH(E324,ChName,0))*CalibScalar*(1+VelocityUplift)</f>
        <v/>
      </c>
      <c r="Q324" s="46" t="n">
        <v>0</v>
      </c>
      <c r="R324" s="46">
        <f>P324*O324*M324*N324*H324</f>
        <v/>
      </c>
      <c r="S324" s="46">
        <f>R324*INDEX(FmtCansPerCase,MATCH(F324,FmtName,0))</f>
        <v/>
      </c>
      <c r="T324" s="46">
        <f>S324/INDEX(FmtCansPerPack,MATCH(F324,FmtName,0))</f>
        <v/>
      </c>
      <c r="U324" s="47">
        <f>INDEX(ChBaseCP,MATCH(E324,ChName,0))*(1+INDEX(ProvMod,MATCH(G324,ProvCode,0)))*(1+PriceIndex)</f>
        <v/>
      </c>
      <c r="V324" s="47">
        <f>R324*U324*INDEX(FmtBlendedPriceIdx,MATCH(F324,FmtName,0))</f>
        <v/>
      </c>
      <c r="W324" s="47">
        <f>T324*INDEX(ProvSRP,MATCH(G324,ProvCode,0))*(1+PriceIndex)</f>
        <v/>
      </c>
      <c r="X324" s="47">
        <f>IF(GrossBasis="Wholesale",V324,W324)</f>
        <v/>
      </c>
      <c r="Y324" s="47">
        <f>R324*INDEX(FmtBlendedCogs,MATCH(F324,FmtName,0))</f>
        <v/>
      </c>
      <c r="Z324" s="47">
        <f>X324-Y324</f>
        <v/>
      </c>
    </row>
    <row r="325">
      <c r="A325" t="n">
        <v>6</v>
      </c>
      <c r="B325" s="44">
        <f>FiscalStart+(A325-1)*7</f>
        <v/>
      </c>
      <c r="C325">
        <f>TEXT(B325,"mmm yyyy")</f>
        <v/>
      </c>
      <c r="D325">
        <f>"Q"&amp;(INT((A325-1)/13)+1)</f>
        <v/>
      </c>
      <c r="E325" t="inlineStr">
        <is>
          <t>Convenience</t>
        </is>
      </c>
      <c r="F325">
        <f>IFERROR(INDEX(ChFormat,MATCH(E325,ChName,0)),"")</f>
        <v/>
      </c>
      <c r="G325" t="inlineStr">
        <is>
          <t>NB</t>
        </is>
      </c>
      <c r="H325">
        <f>IF(A325&lt;=NWeeks,1,0)</f>
        <v/>
      </c>
      <c r="I325">
        <f>INDEX(ChLaunch,MATCH(E325,ChName,0))</f>
        <v/>
      </c>
      <c r="J325">
        <f>INDEX(ChWeeksFull,MATCH(E325,ChName,0))</f>
        <v/>
      </c>
      <c r="K325">
        <f>INDEX(ChRamp,MATCH(E325,ChName,0))</f>
        <v/>
      </c>
      <c r="L325" s="45">
        <f>MIN(1,MAX(0,(A325-I325+1)*RampSpeed/J325))</f>
        <v/>
      </c>
      <c r="M325" s="45">
        <f>IF(A325&lt;I325,0,IF(K325="S-curve",L325*L325*(3-2*L325),L325))</f>
        <v/>
      </c>
      <c r="N325" s="45">
        <f>1+(INDEX(SeasonIdx,A325)-1)*SeasonAmp</f>
        <v/>
      </c>
      <c r="O325" s="45">
        <f>IFERROR(INDEX(PSPct,MATCH(E325&amp;"|"&amp;G325,PSKey,0)),0)</f>
        <v/>
      </c>
      <c r="P325" s="46">
        <f>INDEX(ChDoorVel,MATCH(E325,ChName,0))*CalibScalar*(1+VelocityUplift)</f>
        <v/>
      </c>
      <c r="Q325" s="46" t="n">
        <v>0</v>
      </c>
      <c r="R325" s="46">
        <f>P325*O325*M325*N325*H325</f>
        <v/>
      </c>
      <c r="S325" s="46">
        <f>R325*INDEX(FmtCansPerCase,MATCH(F325,FmtName,0))</f>
        <v/>
      </c>
      <c r="T325" s="46">
        <f>S325/INDEX(FmtCansPerPack,MATCH(F325,FmtName,0))</f>
        <v/>
      </c>
      <c r="U325" s="47">
        <f>INDEX(ChBaseCP,MATCH(E325,ChName,0))*(1+INDEX(ProvMod,MATCH(G325,ProvCode,0)))*(1+PriceIndex)</f>
        <v/>
      </c>
      <c r="V325" s="47">
        <f>R325*U325*INDEX(FmtBlendedPriceIdx,MATCH(F325,FmtName,0))</f>
        <v/>
      </c>
      <c r="W325" s="47">
        <f>T325*INDEX(ProvSRP,MATCH(G325,ProvCode,0))*(1+PriceIndex)</f>
        <v/>
      </c>
      <c r="X325" s="47">
        <f>IF(GrossBasis="Wholesale",V325,W325)</f>
        <v/>
      </c>
      <c r="Y325" s="47">
        <f>R325*INDEX(FmtBlendedCogs,MATCH(F325,FmtName,0))</f>
        <v/>
      </c>
      <c r="Z325" s="47">
        <f>X325-Y325</f>
        <v/>
      </c>
    </row>
    <row r="326">
      <c r="A326" t="n">
        <v>7</v>
      </c>
      <c r="B326" s="44">
        <f>FiscalStart+(A326-1)*7</f>
        <v/>
      </c>
      <c r="C326">
        <f>TEXT(B326,"mmm yyyy")</f>
        <v/>
      </c>
      <c r="D326">
        <f>"Q"&amp;(INT((A326-1)/13)+1)</f>
        <v/>
      </c>
      <c r="E326" t="inlineStr">
        <is>
          <t>Convenience</t>
        </is>
      </c>
      <c r="F326">
        <f>IFERROR(INDEX(ChFormat,MATCH(E326,ChName,0)),"")</f>
        <v/>
      </c>
      <c r="G326" t="inlineStr">
        <is>
          <t>NB</t>
        </is>
      </c>
      <c r="H326">
        <f>IF(A326&lt;=NWeeks,1,0)</f>
        <v/>
      </c>
      <c r="I326">
        <f>INDEX(ChLaunch,MATCH(E326,ChName,0))</f>
        <v/>
      </c>
      <c r="J326">
        <f>INDEX(ChWeeksFull,MATCH(E326,ChName,0))</f>
        <v/>
      </c>
      <c r="K326">
        <f>INDEX(ChRamp,MATCH(E326,ChName,0))</f>
        <v/>
      </c>
      <c r="L326" s="45">
        <f>MIN(1,MAX(0,(A326-I326+1)*RampSpeed/J326))</f>
        <v/>
      </c>
      <c r="M326" s="45">
        <f>IF(A326&lt;I326,0,IF(K326="S-curve",L326*L326*(3-2*L326),L326))</f>
        <v/>
      </c>
      <c r="N326" s="45">
        <f>1+(INDEX(SeasonIdx,A326)-1)*SeasonAmp</f>
        <v/>
      </c>
      <c r="O326" s="45">
        <f>IFERROR(INDEX(PSPct,MATCH(E326&amp;"|"&amp;G326,PSKey,0)),0)</f>
        <v/>
      </c>
      <c r="P326" s="46">
        <f>INDEX(ChDoorVel,MATCH(E326,ChName,0))*CalibScalar*(1+VelocityUplift)</f>
        <v/>
      </c>
      <c r="Q326" s="46" t="n">
        <v>0</v>
      </c>
      <c r="R326" s="46">
        <f>P326*O326*M326*N326*H326</f>
        <v/>
      </c>
      <c r="S326" s="46">
        <f>R326*INDEX(FmtCansPerCase,MATCH(F326,FmtName,0))</f>
        <v/>
      </c>
      <c r="T326" s="46">
        <f>S326/INDEX(FmtCansPerPack,MATCH(F326,FmtName,0))</f>
        <v/>
      </c>
      <c r="U326" s="47">
        <f>INDEX(ChBaseCP,MATCH(E326,ChName,0))*(1+INDEX(ProvMod,MATCH(G326,ProvCode,0)))*(1+PriceIndex)</f>
        <v/>
      </c>
      <c r="V326" s="47">
        <f>R326*U326*INDEX(FmtBlendedPriceIdx,MATCH(F326,FmtName,0))</f>
        <v/>
      </c>
      <c r="W326" s="47">
        <f>T326*INDEX(ProvSRP,MATCH(G326,ProvCode,0))*(1+PriceIndex)</f>
        <v/>
      </c>
      <c r="X326" s="47">
        <f>IF(GrossBasis="Wholesale",V326,W326)</f>
        <v/>
      </c>
      <c r="Y326" s="47">
        <f>R326*INDEX(FmtBlendedCogs,MATCH(F326,FmtName,0))</f>
        <v/>
      </c>
      <c r="Z326" s="47">
        <f>X326-Y326</f>
        <v/>
      </c>
    </row>
    <row r="327">
      <c r="A327" t="n">
        <v>8</v>
      </c>
      <c r="B327" s="44">
        <f>FiscalStart+(A327-1)*7</f>
        <v/>
      </c>
      <c r="C327">
        <f>TEXT(B327,"mmm yyyy")</f>
        <v/>
      </c>
      <c r="D327">
        <f>"Q"&amp;(INT((A327-1)/13)+1)</f>
        <v/>
      </c>
      <c r="E327" t="inlineStr">
        <is>
          <t>Convenience</t>
        </is>
      </c>
      <c r="F327">
        <f>IFERROR(INDEX(ChFormat,MATCH(E327,ChName,0)),"")</f>
        <v/>
      </c>
      <c r="G327" t="inlineStr">
        <is>
          <t>NB</t>
        </is>
      </c>
      <c r="H327">
        <f>IF(A327&lt;=NWeeks,1,0)</f>
        <v/>
      </c>
      <c r="I327">
        <f>INDEX(ChLaunch,MATCH(E327,ChName,0))</f>
        <v/>
      </c>
      <c r="J327">
        <f>INDEX(ChWeeksFull,MATCH(E327,ChName,0))</f>
        <v/>
      </c>
      <c r="K327">
        <f>INDEX(ChRamp,MATCH(E327,ChName,0))</f>
        <v/>
      </c>
      <c r="L327" s="45">
        <f>MIN(1,MAX(0,(A327-I327+1)*RampSpeed/J327))</f>
        <v/>
      </c>
      <c r="M327" s="45">
        <f>IF(A327&lt;I327,0,IF(K327="S-curve",L327*L327*(3-2*L327),L327))</f>
        <v/>
      </c>
      <c r="N327" s="45">
        <f>1+(INDEX(SeasonIdx,A327)-1)*SeasonAmp</f>
        <v/>
      </c>
      <c r="O327" s="45">
        <f>IFERROR(INDEX(PSPct,MATCH(E327&amp;"|"&amp;G327,PSKey,0)),0)</f>
        <v/>
      </c>
      <c r="P327" s="46">
        <f>INDEX(ChDoorVel,MATCH(E327,ChName,0))*CalibScalar*(1+VelocityUplift)</f>
        <v/>
      </c>
      <c r="Q327" s="46" t="n">
        <v>0</v>
      </c>
      <c r="R327" s="46">
        <f>P327*O327*M327*N327*H327</f>
        <v/>
      </c>
      <c r="S327" s="46">
        <f>R327*INDEX(FmtCansPerCase,MATCH(F327,FmtName,0))</f>
        <v/>
      </c>
      <c r="T327" s="46">
        <f>S327/INDEX(FmtCansPerPack,MATCH(F327,FmtName,0))</f>
        <v/>
      </c>
      <c r="U327" s="47">
        <f>INDEX(ChBaseCP,MATCH(E327,ChName,0))*(1+INDEX(ProvMod,MATCH(G327,ProvCode,0)))*(1+PriceIndex)</f>
        <v/>
      </c>
      <c r="V327" s="47">
        <f>R327*U327*INDEX(FmtBlendedPriceIdx,MATCH(F327,FmtName,0))</f>
        <v/>
      </c>
      <c r="W327" s="47">
        <f>T327*INDEX(ProvSRP,MATCH(G327,ProvCode,0))*(1+PriceIndex)</f>
        <v/>
      </c>
      <c r="X327" s="47">
        <f>IF(GrossBasis="Wholesale",V327,W327)</f>
        <v/>
      </c>
      <c r="Y327" s="47">
        <f>R327*INDEX(FmtBlendedCogs,MATCH(F327,FmtName,0))</f>
        <v/>
      </c>
      <c r="Z327" s="47">
        <f>X327-Y327</f>
        <v/>
      </c>
    </row>
    <row r="328">
      <c r="A328" t="n">
        <v>9</v>
      </c>
      <c r="B328" s="44">
        <f>FiscalStart+(A328-1)*7</f>
        <v/>
      </c>
      <c r="C328">
        <f>TEXT(B328,"mmm yyyy")</f>
        <v/>
      </c>
      <c r="D328">
        <f>"Q"&amp;(INT((A328-1)/13)+1)</f>
        <v/>
      </c>
      <c r="E328" t="inlineStr">
        <is>
          <t>Convenience</t>
        </is>
      </c>
      <c r="F328">
        <f>IFERROR(INDEX(ChFormat,MATCH(E328,ChName,0)),"")</f>
        <v/>
      </c>
      <c r="G328" t="inlineStr">
        <is>
          <t>NB</t>
        </is>
      </c>
      <c r="H328">
        <f>IF(A328&lt;=NWeeks,1,0)</f>
        <v/>
      </c>
      <c r="I328">
        <f>INDEX(ChLaunch,MATCH(E328,ChName,0))</f>
        <v/>
      </c>
      <c r="J328">
        <f>INDEX(ChWeeksFull,MATCH(E328,ChName,0))</f>
        <v/>
      </c>
      <c r="K328">
        <f>INDEX(ChRamp,MATCH(E328,ChName,0))</f>
        <v/>
      </c>
      <c r="L328" s="45">
        <f>MIN(1,MAX(0,(A328-I328+1)*RampSpeed/J328))</f>
        <v/>
      </c>
      <c r="M328" s="45">
        <f>IF(A328&lt;I328,0,IF(K328="S-curve",L328*L328*(3-2*L328),L328))</f>
        <v/>
      </c>
      <c r="N328" s="45">
        <f>1+(INDEX(SeasonIdx,A328)-1)*SeasonAmp</f>
        <v/>
      </c>
      <c r="O328" s="45">
        <f>IFERROR(INDEX(PSPct,MATCH(E328&amp;"|"&amp;G328,PSKey,0)),0)</f>
        <v/>
      </c>
      <c r="P328" s="46">
        <f>INDEX(ChDoorVel,MATCH(E328,ChName,0))*CalibScalar*(1+VelocityUplift)</f>
        <v/>
      </c>
      <c r="Q328" s="46" t="n">
        <v>0</v>
      </c>
      <c r="R328" s="46">
        <f>P328*O328*M328*N328*H328</f>
        <v/>
      </c>
      <c r="S328" s="46">
        <f>R328*INDEX(FmtCansPerCase,MATCH(F328,FmtName,0))</f>
        <v/>
      </c>
      <c r="T328" s="46">
        <f>S328/INDEX(FmtCansPerPack,MATCH(F328,FmtName,0))</f>
        <v/>
      </c>
      <c r="U328" s="47">
        <f>INDEX(ChBaseCP,MATCH(E328,ChName,0))*(1+INDEX(ProvMod,MATCH(G328,ProvCode,0)))*(1+PriceIndex)</f>
        <v/>
      </c>
      <c r="V328" s="47">
        <f>R328*U328*INDEX(FmtBlendedPriceIdx,MATCH(F328,FmtName,0))</f>
        <v/>
      </c>
      <c r="W328" s="47">
        <f>T328*INDEX(ProvSRP,MATCH(G328,ProvCode,0))*(1+PriceIndex)</f>
        <v/>
      </c>
      <c r="X328" s="47">
        <f>IF(GrossBasis="Wholesale",V328,W328)</f>
        <v/>
      </c>
      <c r="Y328" s="47">
        <f>R328*INDEX(FmtBlendedCogs,MATCH(F328,FmtName,0))</f>
        <v/>
      </c>
      <c r="Z328" s="47">
        <f>X328-Y328</f>
        <v/>
      </c>
    </row>
    <row r="329">
      <c r="A329" t="n">
        <v>10</v>
      </c>
      <c r="B329" s="44">
        <f>FiscalStart+(A329-1)*7</f>
        <v/>
      </c>
      <c r="C329">
        <f>TEXT(B329,"mmm yyyy")</f>
        <v/>
      </c>
      <c r="D329">
        <f>"Q"&amp;(INT((A329-1)/13)+1)</f>
        <v/>
      </c>
      <c r="E329" t="inlineStr">
        <is>
          <t>Convenience</t>
        </is>
      </c>
      <c r="F329">
        <f>IFERROR(INDEX(ChFormat,MATCH(E329,ChName,0)),"")</f>
        <v/>
      </c>
      <c r="G329" t="inlineStr">
        <is>
          <t>NB</t>
        </is>
      </c>
      <c r="H329">
        <f>IF(A329&lt;=NWeeks,1,0)</f>
        <v/>
      </c>
      <c r="I329">
        <f>INDEX(ChLaunch,MATCH(E329,ChName,0))</f>
        <v/>
      </c>
      <c r="J329">
        <f>INDEX(ChWeeksFull,MATCH(E329,ChName,0))</f>
        <v/>
      </c>
      <c r="K329">
        <f>INDEX(ChRamp,MATCH(E329,ChName,0))</f>
        <v/>
      </c>
      <c r="L329" s="45">
        <f>MIN(1,MAX(0,(A329-I329+1)*RampSpeed/J329))</f>
        <v/>
      </c>
      <c r="M329" s="45">
        <f>IF(A329&lt;I329,0,IF(K329="S-curve",L329*L329*(3-2*L329),L329))</f>
        <v/>
      </c>
      <c r="N329" s="45">
        <f>1+(INDEX(SeasonIdx,A329)-1)*SeasonAmp</f>
        <v/>
      </c>
      <c r="O329" s="45">
        <f>IFERROR(INDEX(PSPct,MATCH(E329&amp;"|"&amp;G329,PSKey,0)),0)</f>
        <v/>
      </c>
      <c r="P329" s="46">
        <f>INDEX(ChDoorVel,MATCH(E329,ChName,0))*CalibScalar*(1+VelocityUplift)</f>
        <v/>
      </c>
      <c r="Q329" s="46" t="n">
        <v>0</v>
      </c>
      <c r="R329" s="46">
        <f>P329*O329*M329*N329*H329</f>
        <v/>
      </c>
      <c r="S329" s="46">
        <f>R329*INDEX(FmtCansPerCase,MATCH(F329,FmtName,0))</f>
        <v/>
      </c>
      <c r="T329" s="46">
        <f>S329/INDEX(FmtCansPerPack,MATCH(F329,FmtName,0))</f>
        <v/>
      </c>
      <c r="U329" s="47">
        <f>INDEX(ChBaseCP,MATCH(E329,ChName,0))*(1+INDEX(ProvMod,MATCH(G329,ProvCode,0)))*(1+PriceIndex)</f>
        <v/>
      </c>
      <c r="V329" s="47">
        <f>R329*U329*INDEX(FmtBlendedPriceIdx,MATCH(F329,FmtName,0))</f>
        <v/>
      </c>
      <c r="W329" s="47">
        <f>T329*INDEX(ProvSRP,MATCH(G329,ProvCode,0))*(1+PriceIndex)</f>
        <v/>
      </c>
      <c r="X329" s="47">
        <f>IF(GrossBasis="Wholesale",V329,W329)</f>
        <v/>
      </c>
      <c r="Y329" s="47">
        <f>R329*INDEX(FmtBlendedCogs,MATCH(F329,FmtName,0))</f>
        <v/>
      </c>
      <c r="Z329" s="47">
        <f>X329-Y329</f>
        <v/>
      </c>
    </row>
    <row r="330">
      <c r="A330" t="n">
        <v>11</v>
      </c>
      <c r="B330" s="44">
        <f>FiscalStart+(A330-1)*7</f>
        <v/>
      </c>
      <c r="C330">
        <f>TEXT(B330,"mmm yyyy")</f>
        <v/>
      </c>
      <c r="D330">
        <f>"Q"&amp;(INT((A330-1)/13)+1)</f>
        <v/>
      </c>
      <c r="E330" t="inlineStr">
        <is>
          <t>Convenience</t>
        </is>
      </c>
      <c r="F330">
        <f>IFERROR(INDEX(ChFormat,MATCH(E330,ChName,0)),"")</f>
        <v/>
      </c>
      <c r="G330" t="inlineStr">
        <is>
          <t>NB</t>
        </is>
      </c>
      <c r="H330">
        <f>IF(A330&lt;=NWeeks,1,0)</f>
        <v/>
      </c>
      <c r="I330">
        <f>INDEX(ChLaunch,MATCH(E330,ChName,0))</f>
        <v/>
      </c>
      <c r="J330">
        <f>INDEX(ChWeeksFull,MATCH(E330,ChName,0))</f>
        <v/>
      </c>
      <c r="K330">
        <f>INDEX(ChRamp,MATCH(E330,ChName,0))</f>
        <v/>
      </c>
      <c r="L330" s="45">
        <f>MIN(1,MAX(0,(A330-I330+1)*RampSpeed/J330))</f>
        <v/>
      </c>
      <c r="M330" s="45">
        <f>IF(A330&lt;I330,0,IF(K330="S-curve",L330*L330*(3-2*L330),L330))</f>
        <v/>
      </c>
      <c r="N330" s="45">
        <f>1+(INDEX(SeasonIdx,A330)-1)*SeasonAmp</f>
        <v/>
      </c>
      <c r="O330" s="45">
        <f>IFERROR(INDEX(PSPct,MATCH(E330&amp;"|"&amp;G330,PSKey,0)),0)</f>
        <v/>
      </c>
      <c r="P330" s="46">
        <f>INDEX(ChDoorVel,MATCH(E330,ChName,0))*CalibScalar*(1+VelocityUplift)</f>
        <v/>
      </c>
      <c r="Q330" s="46" t="n">
        <v>0</v>
      </c>
      <c r="R330" s="46">
        <f>P330*O330*M330*N330*H330</f>
        <v/>
      </c>
      <c r="S330" s="46">
        <f>R330*INDEX(FmtCansPerCase,MATCH(F330,FmtName,0))</f>
        <v/>
      </c>
      <c r="T330" s="46">
        <f>S330/INDEX(FmtCansPerPack,MATCH(F330,FmtName,0))</f>
        <v/>
      </c>
      <c r="U330" s="47">
        <f>INDEX(ChBaseCP,MATCH(E330,ChName,0))*(1+INDEX(ProvMod,MATCH(G330,ProvCode,0)))*(1+PriceIndex)</f>
        <v/>
      </c>
      <c r="V330" s="47">
        <f>R330*U330*INDEX(FmtBlendedPriceIdx,MATCH(F330,FmtName,0))</f>
        <v/>
      </c>
      <c r="W330" s="47">
        <f>T330*INDEX(ProvSRP,MATCH(G330,ProvCode,0))*(1+PriceIndex)</f>
        <v/>
      </c>
      <c r="X330" s="47">
        <f>IF(GrossBasis="Wholesale",V330,W330)</f>
        <v/>
      </c>
      <c r="Y330" s="47">
        <f>R330*INDEX(FmtBlendedCogs,MATCH(F330,FmtName,0))</f>
        <v/>
      </c>
      <c r="Z330" s="47">
        <f>X330-Y330</f>
        <v/>
      </c>
    </row>
    <row r="331">
      <c r="A331" t="n">
        <v>12</v>
      </c>
      <c r="B331" s="44">
        <f>FiscalStart+(A331-1)*7</f>
        <v/>
      </c>
      <c r="C331">
        <f>TEXT(B331,"mmm yyyy")</f>
        <v/>
      </c>
      <c r="D331">
        <f>"Q"&amp;(INT((A331-1)/13)+1)</f>
        <v/>
      </c>
      <c r="E331" t="inlineStr">
        <is>
          <t>Convenience</t>
        </is>
      </c>
      <c r="F331">
        <f>IFERROR(INDEX(ChFormat,MATCH(E331,ChName,0)),"")</f>
        <v/>
      </c>
      <c r="G331" t="inlineStr">
        <is>
          <t>NB</t>
        </is>
      </c>
      <c r="H331">
        <f>IF(A331&lt;=NWeeks,1,0)</f>
        <v/>
      </c>
      <c r="I331">
        <f>INDEX(ChLaunch,MATCH(E331,ChName,0))</f>
        <v/>
      </c>
      <c r="J331">
        <f>INDEX(ChWeeksFull,MATCH(E331,ChName,0))</f>
        <v/>
      </c>
      <c r="K331">
        <f>INDEX(ChRamp,MATCH(E331,ChName,0))</f>
        <v/>
      </c>
      <c r="L331" s="45">
        <f>MIN(1,MAX(0,(A331-I331+1)*RampSpeed/J331))</f>
        <v/>
      </c>
      <c r="M331" s="45">
        <f>IF(A331&lt;I331,0,IF(K331="S-curve",L331*L331*(3-2*L331),L331))</f>
        <v/>
      </c>
      <c r="N331" s="45">
        <f>1+(INDEX(SeasonIdx,A331)-1)*SeasonAmp</f>
        <v/>
      </c>
      <c r="O331" s="45">
        <f>IFERROR(INDEX(PSPct,MATCH(E331&amp;"|"&amp;G331,PSKey,0)),0)</f>
        <v/>
      </c>
      <c r="P331" s="46">
        <f>INDEX(ChDoorVel,MATCH(E331,ChName,0))*CalibScalar*(1+VelocityUplift)</f>
        <v/>
      </c>
      <c r="Q331" s="46" t="n">
        <v>0</v>
      </c>
      <c r="R331" s="46">
        <f>P331*O331*M331*N331*H331</f>
        <v/>
      </c>
      <c r="S331" s="46">
        <f>R331*INDEX(FmtCansPerCase,MATCH(F331,FmtName,0))</f>
        <v/>
      </c>
      <c r="T331" s="46">
        <f>S331/INDEX(FmtCansPerPack,MATCH(F331,FmtName,0))</f>
        <v/>
      </c>
      <c r="U331" s="47">
        <f>INDEX(ChBaseCP,MATCH(E331,ChName,0))*(1+INDEX(ProvMod,MATCH(G331,ProvCode,0)))*(1+PriceIndex)</f>
        <v/>
      </c>
      <c r="V331" s="47">
        <f>R331*U331*INDEX(FmtBlendedPriceIdx,MATCH(F331,FmtName,0))</f>
        <v/>
      </c>
      <c r="W331" s="47">
        <f>T331*INDEX(ProvSRP,MATCH(G331,ProvCode,0))*(1+PriceIndex)</f>
        <v/>
      </c>
      <c r="X331" s="47">
        <f>IF(GrossBasis="Wholesale",V331,W331)</f>
        <v/>
      </c>
      <c r="Y331" s="47">
        <f>R331*INDEX(FmtBlendedCogs,MATCH(F331,FmtName,0))</f>
        <v/>
      </c>
      <c r="Z331" s="47">
        <f>X331-Y331</f>
        <v/>
      </c>
    </row>
    <row r="332">
      <c r="A332" t="n">
        <v>13</v>
      </c>
      <c r="B332" s="44">
        <f>FiscalStart+(A332-1)*7</f>
        <v/>
      </c>
      <c r="C332">
        <f>TEXT(B332,"mmm yyyy")</f>
        <v/>
      </c>
      <c r="D332">
        <f>"Q"&amp;(INT((A332-1)/13)+1)</f>
        <v/>
      </c>
      <c r="E332" t="inlineStr">
        <is>
          <t>Convenience</t>
        </is>
      </c>
      <c r="F332">
        <f>IFERROR(INDEX(ChFormat,MATCH(E332,ChName,0)),"")</f>
        <v/>
      </c>
      <c r="G332" t="inlineStr">
        <is>
          <t>NB</t>
        </is>
      </c>
      <c r="H332">
        <f>IF(A332&lt;=NWeeks,1,0)</f>
        <v/>
      </c>
      <c r="I332">
        <f>INDEX(ChLaunch,MATCH(E332,ChName,0))</f>
        <v/>
      </c>
      <c r="J332">
        <f>INDEX(ChWeeksFull,MATCH(E332,ChName,0))</f>
        <v/>
      </c>
      <c r="K332">
        <f>INDEX(ChRamp,MATCH(E332,ChName,0))</f>
        <v/>
      </c>
      <c r="L332" s="45">
        <f>MIN(1,MAX(0,(A332-I332+1)*RampSpeed/J332))</f>
        <v/>
      </c>
      <c r="M332" s="45">
        <f>IF(A332&lt;I332,0,IF(K332="S-curve",L332*L332*(3-2*L332),L332))</f>
        <v/>
      </c>
      <c r="N332" s="45">
        <f>1+(INDEX(SeasonIdx,A332)-1)*SeasonAmp</f>
        <v/>
      </c>
      <c r="O332" s="45">
        <f>IFERROR(INDEX(PSPct,MATCH(E332&amp;"|"&amp;G332,PSKey,0)),0)</f>
        <v/>
      </c>
      <c r="P332" s="46">
        <f>INDEX(ChDoorVel,MATCH(E332,ChName,0))*CalibScalar*(1+VelocityUplift)</f>
        <v/>
      </c>
      <c r="Q332" s="46" t="n">
        <v>0</v>
      </c>
      <c r="R332" s="46">
        <f>P332*O332*M332*N332*H332</f>
        <v/>
      </c>
      <c r="S332" s="46">
        <f>R332*INDEX(FmtCansPerCase,MATCH(F332,FmtName,0))</f>
        <v/>
      </c>
      <c r="T332" s="46">
        <f>S332/INDEX(FmtCansPerPack,MATCH(F332,FmtName,0))</f>
        <v/>
      </c>
      <c r="U332" s="47">
        <f>INDEX(ChBaseCP,MATCH(E332,ChName,0))*(1+INDEX(ProvMod,MATCH(G332,ProvCode,0)))*(1+PriceIndex)</f>
        <v/>
      </c>
      <c r="V332" s="47">
        <f>R332*U332*INDEX(FmtBlendedPriceIdx,MATCH(F332,FmtName,0))</f>
        <v/>
      </c>
      <c r="W332" s="47">
        <f>T332*INDEX(ProvSRP,MATCH(G332,ProvCode,0))*(1+PriceIndex)</f>
        <v/>
      </c>
      <c r="X332" s="47">
        <f>IF(GrossBasis="Wholesale",V332,W332)</f>
        <v/>
      </c>
      <c r="Y332" s="47">
        <f>R332*INDEX(FmtBlendedCogs,MATCH(F332,FmtName,0))</f>
        <v/>
      </c>
      <c r="Z332" s="47">
        <f>X332-Y332</f>
        <v/>
      </c>
    </row>
    <row r="333">
      <c r="A333" t="n">
        <v>14</v>
      </c>
      <c r="B333" s="44">
        <f>FiscalStart+(A333-1)*7</f>
        <v/>
      </c>
      <c r="C333">
        <f>TEXT(B333,"mmm yyyy")</f>
        <v/>
      </c>
      <c r="D333">
        <f>"Q"&amp;(INT((A333-1)/13)+1)</f>
        <v/>
      </c>
      <c r="E333" t="inlineStr">
        <is>
          <t>Convenience</t>
        </is>
      </c>
      <c r="F333">
        <f>IFERROR(INDEX(ChFormat,MATCH(E333,ChName,0)),"")</f>
        <v/>
      </c>
      <c r="G333" t="inlineStr">
        <is>
          <t>NB</t>
        </is>
      </c>
      <c r="H333">
        <f>IF(A333&lt;=NWeeks,1,0)</f>
        <v/>
      </c>
      <c r="I333">
        <f>INDEX(ChLaunch,MATCH(E333,ChName,0))</f>
        <v/>
      </c>
      <c r="J333">
        <f>INDEX(ChWeeksFull,MATCH(E333,ChName,0))</f>
        <v/>
      </c>
      <c r="K333">
        <f>INDEX(ChRamp,MATCH(E333,ChName,0))</f>
        <v/>
      </c>
      <c r="L333" s="45">
        <f>MIN(1,MAX(0,(A333-I333+1)*RampSpeed/J333))</f>
        <v/>
      </c>
      <c r="M333" s="45">
        <f>IF(A333&lt;I333,0,IF(K333="S-curve",L333*L333*(3-2*L333),L333))</f>
        <v/>
      </c>
      <c r="N333" s="45">
        <f>1+(INDEX(SeasonIdx,A333)-1)*SeasonAmp</f>
        <v/>
      </c>
      <c r="O333" s="45">
        <f>IFERROR(INDEX(PSPct,MATCH(E333&amp;"|"&amp;G333,PSKey,0)),0)</f>
        <v/>
      </c>
      <c r="P333" s="46">
        <f>INDEX(ChDoorVel,MATCH(E333,ChName,0))*CalibScalar*(1+VelocityUplift)</f>
        <v/>
      </c>
      <c r="Q333" s="46" t="n">
        <v>0</v>
      </c>
      <c r="R333" s="46">
        <f>P333*O333*M333*N333*H333</f>
        <v/>
      </c>
      <c r="S333" s="46">
        <f>R333*INDEX(FmtCansPerCase,MATCH(F333,FmtName,0))</f>
        <v/>
      </c>
      <c r="T333" s="46">
        <f>S333/INDEX(FmtCansPerPack,MATCH(F333,FmtName,0))</f>
        <v/>
      </c>
      <c r="U333" s="47">
        <f>INDEX(ChBaseCP,MATCH(E333,ChName,0))*(1+INDEX(ProvMod,MATCH(G333,ProvCode,0)))*(1+PriceIndex)</f>
        <v/>
      </c>
      <c r="V333" s="47">
        <f>R333*U333*INDEX(FmtBlendedPriceIdx,MATCH(F333,FmtName,0))</f>
        <v/>
      </c>
      <c r="W333" s="47">
        <f>T333*INDEX(ProvSRP,MATCH(G333,ProvCode,0))*(1+PriceIndex)</f>
        <v/>
      </c>
      <c r="X333" s="47">
        <f>IF(GrossBasis="Wholesale",V333,W333)</f>
        <v/>
      </c>
      <c r="Y333" s="47">
        <f>R333*INDEX(FmtBlendedCogs,MATCH(F333,FmtName,0))</f>
        <v/>
      </c>
      <c r="Z333" s="47">
        <f>X333-Y333</f>
        <v/>
      </c>
    </row>
    <row r="334">
      <c r="A334" t="n">
        <v>15</v>
      </c>
      <c r="B334" s="44">
        <f>FiscalStart+(A334-1)*7</f>
        <v/>
      </c>
      <c r="C334">
        <f>TEXT(B334,"mmm yyyy")</f>
        <v/>
      </c>
      <c r="D334">
        <f>"Q"&amp;(INT((A334-1)/13)+1)</f>
        <v/>
      </c>
      <c r="E334" t="inlineStr">
        <is>
          <t>Convenience</t>
        </is>
      </c>
      <c r="F334">
        <f>IFERROR(INDEX(ChFormat,MATCH(E334,ChName,0)),"")</f>
        <v/>
      </c>
      <c r="G334" t="inlineStr">
        <is>
          <t>NB</t>
        </is>
      </c>
      <c r="H334">
        <f>IF(A334&lt;=NWeeks,1,0)</f>
        <v/>
      </c>
      <c r="I334">
        <f>INDEX(ChLaunch,MATCH(E334,ChName,0))</f>
        <v/>
      </c>
      <c r="J334">
        <f>INDEX(ChWeeksFull,MATCH(E334,ChName,0))</f>
        <v/>
      </c>
      <c r="K334">
        <f>INDEX(ChRamp,MATCH(E334,ChName,0))</f>
        <v/>
      </c>
      <c r="L334" s="45">
        <f>MIN(1,MAX(0,(A334-I334+1)*RampSpeed/J334))</f>
        <v/>
      </c>
      <c r="M334" s="45">
        <f>IF(A334&lt;I334,0,IF(K334="S-curve",L334*L334*(3-2*L334),L334))</f>
        <v/>
      </c>
      <c r="N334" s="45">
        <f>1+(INDEX(SeasonIdx,A334)-1)*SeasonAmp</f>
        <v/>
      </c>
      <c r="O334" s="45">
        <f>IFERROR(INDEX(PSPct,MATCH(E334&amp;"|"&amp;G334,PSKey,0)),0)</f>
        <v/>
      </c>
      <c r="P334" s="46">
        <f>INDEX(ChDoorVel,MATCH(E334,ChName,0))*CalibScalar*(1+VelocityUplift)</f>
        <v/>
      </c>
      <c r="Q334" s="46" t="n">
        <v>0</v>
      </c>
      <c r="R334" s="46">
        <f>P334*O334*M334*N334*H334</f>
        <v/>
      </c>
      <c r="S334" s="46">
        <f>R334*INDEX(FmtCansPerCase,MATCH(F334,FmtName,0))</f>
        <v/>
      </c>
      <c r="T334" s="46">
        <f>S334/INDEX(FmtCansPerPack,MATCH(F334,FmtName,0))</f>
        <v/>
      </c>
      <c r="U334" s="47">
        <f>INDEX(ChBaseCP,MATCH(E334,ChName,0))*(1+INDEX(ProvMod,MATCH(G334,ProvCode,0)))*(1+PriceIndex)</f>
        <v/>
      </c>
      <c r="V334" s="47">
        <f>R334*U334*INDEX(FmtBlendedPriceIdx,MATCH(F334,FmtName,0))</f>
        <v/>
      </c>
      <c r="W334" s="47">
        <f>T334*INDEX(ProvSRP,MATCH(G334,ProvCode,0))*(1+PriceIndex)</f>
        <v/>
      </c>
      <c r="X334" s="47">
        <f>IF(GrossBasis="Wholesale",V334,W334)</f>
        <v/>
      </c>
      <c r="Y334" s="47">
        <f>R334*INDEX(FmtBlendedCogs,MATCH(F334,FmtName,0))</f>
        <v/>
      </c>
      <c r="Z334" s="47">
        <f>X334-Y334</f>
        <v/>
      </c>
    </row>
    <row r="335">
      <c r="A335" t="n">
        <v>16</v>
      </c>
      <c r="B335" s="44">
        <f>FiscalStart+(A335-1)*7</f>
        <v/>
      </c>
      <c r="C335">
        <f>TEXT(B335,"mmm yyyy")</f>
        <v/>
      </c>
      <c r="D335">
        <f>"Q"&amp;(INT((A335-1)/13)+1)</f>
        <v/>
      </c>
      <c r="E335" t="inlineStr">
        <is>
          <t>Convenience</t>
        </is>
      </c>
      <c r="F335">
        <f>IFERROR(INDEX(ChFormat,MATCH(E335,ChName,0)),"")</f>
        <v/>
      </c>
      <c r="G335" t="inlineStr">
        <is>
          <t>NB</t>
        </is>
      </c>
      <c r="H335">
        <f>IF(A335&lt;=NWeeks,1,0)</f>
        <v/>
      </c>
      <c r="I335">
        <f>INDEX(ChLaunch,MATCH(E335,ChName,0))</f>
        <v/>
      </c>
      <c r="J335">
        <f>INDEX(ChWeeksFull,MATCH(E335,ChName,0))</f>
        <v/>
      </c>
      <c r="K335">
        <f>INDEX(ChRamp,MATCH(E335,ChName,0))</f>
        <v/>
      </c>
      <c r="L335" s="45">
        <f>MIN(1,MAX(0,(A335-I335+1)*RampSpeed/J335))</f>
        <v/>
      </c>
      <c r="M335" s="45">
        <f>IF(A335&lt;I335,0,IF(K335="S-curve",L335*L335*(3-2*L335),L335))</f>
        <v/>
      </c>
      <c r="N335" s="45">
        <f>1+(INDEX(SeasonIdx,A335)-1)*SeasonAmp</f>
        <v/>
      </c>
      <c r="O335" s="45">
        <f>IFERROR(INDEX(PSPct,MATCH(E335&amp;"|"&amp;G335,PSKey,0)),0)</f>
        <v/>
      </c>
      <c r="P335" s="46">
        <f>INDEX(ChDoorVel,MATCH(E335,ChName,0))*CalibScalar*(1+VelocityUplift)</f>
        <v/>
      </c>
      <c r="Q335" s="46" t="n">
        <v>0</v>
      </c>
      <c r="R335" s="46">
        <f>P335*O335*M335*N335*H335</f>
        <v/>
      </c>
      <c r="S335" s="46">
        <f>R335*INDEX(FmtCansPerCase,MATCH(F335,FmtName,0))</f>
        <v/>
      </c>
      <c r="T335" s="46">
        <f>S335/INDEX(FmtCansPerPack,MATCH(F335,FmtName,0))</f>
        <v/>
      </c>
      <c r="U335" s="47">
        <f>INDEX(ChBaseCP,MATCH(E335,ChName,0))*(1+INDEX(ProvMod,MATCH(G335,ProvCode,0)))*(1+PriceIndex)</f>
        <v/>
      </c>
      <c r="V335" s="47">
        <f>R335*U335*INDEX(FmtBlendedPriceIdx,MATCH(F335,FmtName,0))</f>
        <v/>
      </c>
      <c r="W335" s="47">
        <f>T335*INDEX(ProvSRP,MATCH(G335,ProvCode,0))*(1+PriceIndex)</f>
        <v/>
      </c>
      <c r="X335" s="47">
        <f>IF(GrossBasis="Wholesale",V335,W335)</f>
        <v/>
      </c>
      <c r="Y335" s="47">
        <f>R335*INDEX(FmtBlendedCogs,MATCH(F335,FmtName,0))</f>
        <v/>
      </c>
      <c r="Z335" s="47">
        <f>X335-Y335</f>
        <v/>
      </c>
    </row>
    <row r="336">
      <c r="A336" t="n">
        <v>17</v>
      </c>
      <c r="B336" s="44">
        <f>FiscalStart+(A336-1)*7</f>
        <v/>
      </c>
      <c r="C336">
        <f>TEXT(B336,"mmm yyyy")</f>
        <v/>
      </c>
      <c r="D336">
        <f>"Q"&amp;(INT((A336-1)/13)+1)</f>
        <v/>
      </c>
      <c r="E336" t="inlineStr">
        <is>
          <t>Convenience</t>
        </is>
      </c>
      <c r="F336">
        <f>IFERROR(INDEX(ChFormat,MATCH(E336,ChName,0)),"")</f>
        <v/>
      </c>
      <c r="G336" t="inlineStr">
        <is>
          <t>NB</t>
        </is>
      </c>
      <c r="H336">
        <f>IF(A336&lt;=NWeeks,1,0)</f>
        <v/>
      </c>
      <c r="I336">
        <f>INDEX(ChLaunch,MATCH(E336,ChName,0))</f>
        <v/>
      </c>
      <c r="J336">
        <f>INDEX(ChWeeksFull,MATCH(E336,ChName,0))</f>
        <v/>
      </c>
      <c r="K336">
        <f>INDEX(ChRamp,MATCH(E336,ChName,0))</f>
        <v/>
      </c>
      <c r="L336" s="45">
        <f>MIN(1,MAX(0,(A336-I336+1)*RampSpeed/J336))</f>
        <v/>
      </c>
      <c r="M336" s="45">
        <f>IF(A336&lt;I336,0,IF(K336="S-curve",L336*L336*(3-2*L336),L336))</f>
        <v/>
      </c>
      <c r="N336" s="45">
        <f>1+(INDEX(SeasonIdx,A336)-1)*SeasonAmp</f>
        <v/>
      </c>
      <c r="O336" s="45">
        <f>IFERROR(INDEX(PSPct,MATCH(E336&amp;"|"&amp;G336,PSKey,0)),0)</f>
        <v/>
      </c>
      <c r="P336" s="46">
        <f>INDEX(ChDoorVel,MATCH(E336,ChName,0))*CalibScalar*(1+VelocityUplift)</f>
        <v/>
      </c>
      <c r="Q336" s="46" t="n">
        <v>0</v>
      </c>
      <c r="R336" s="46">
        <f>P336*O336*M336*N336*H336</f>
        <v/>
      </c>
      <c r="S336" s="46">
        <f>R336*INDEX(FmtCansPerCase,MATCH(F336,FmtName,0))</f>
        <v/>
      </c>
      <c r="T336" s="46">
        <f>S336/INDEX(FmtCansPerPack,MATCH(F336,FmtName,0))</f>
        <v/>
      </c>
      <c r="U336" s="47">
        <f>INDEX(ChBaseCP,MATCH(E336,ChName,0))*(1+INDEX(ProvMod,MATCH(G336,ProvCode,0)))*(1+PriceIndex)</f>
        <v/>
      </c>
      <c r="V336" s="47">
        <f>R336*U336*INDEX(FmtBlendedPriceIdx,MATCH(F336,FmtName,0))</f>
        <v/>
      </c>
      <c r="W336" s="47">
        <f>T336*INDEX(ProvSRP,MATCH(G336,ProvCode,0))*(1+PriceIndex)</f>
        <v/>
      </c>
      <c r="X336" s="47">
        <f>IF(GrossBasis="Wholesale",V336,W336)</f>
        <v/>
      </c>
      <c r="Y336" s="47">
        <f>R336*INDEX(FmtBlendedCogs,MATCH(F336,FmtName,0))</f>
        <v/>
      </c>
      <c r="Z336" s="47">
        <f>X336-Y336</f>
        <v/>
      </c>
    </row>
    <row r="337">
      <c r="A337" t="n">
        <v>18</v>
      </c>
      <c r="B337" s="44">
        <f>FiscalStart+(A337-1)*7</f>
        <v/>
      </c>
      <c r="C337">
        <f>TEXT(B337,"mmm yyyy")</f>
        <v/>
      </c>
      <c r="D337">
        <f>"Q"&amp;(INT((A337-1)/13)+1)</f>
        <v/>
      </c>
      <c r="E337" t="inlineStr">
        <is>
          <t>Convenience</t>
        </is>
      </c>
      <c r="F337">
        <f>IFERROR(INDEX(ChFormat,MATCH(E337,ChName,0)),"")</f>
        <v/>
      </c>
      <c r="G337" t="inlineStr">
        <is>
          <t>NB</t>
        </is>
      </c>
      <c r="H337">
        <f>IF(A337&lt;=NWeeks,1,0)</f>
        <v/>
      </c>
      <c r="I337">
        <f>INDEX(ChLaunch,MATCH(E337,ChName,0))</f>
        <v/>
      </c>
      <c r="J337">
        <f>INDEX(ChWeeksFull,MATCH(E337,ChName,0))</f>
        <v/>
      </c>
      <c r="K337">
        <f>INDEX(ChRamp,MATCH(E337,ChName,0))</f>
        <v/>
      </c>
      <c r="L337" s="45">
        <f>MIN(1,MAX(0,(A337-I337+1)*RampSpeed/J337))</f>
        <v/>
      </c>
      <c r="M337" s="45">
        <f>IF(A337&lt;I337,0,IF(K337="S-curve",L337*L337*(3-2*L337),L337))</f>
        <v/>
      </c>
      <c r="N337" s="45">
        <f>1+(INDEX(SeasonIdx,A337)-1)*SeasonAmp</f>
        <v/>
      </c>
      <c r="O337" s="45">
        <f>IFERROR(INDEX(PSPct,MATCH(E337&amp;"|"&amp;G337,PSKey,0)),0)</f>
        <v/>
      </c>
      <c r="P337" s="46">
        <f>INDEX(ChDoorVel,MATCH(E337,ChName,0))*CalibScalar*(1+VelocityUplift)</f>
        <v/>
      </c>
      <c r="Q337" s="46" t="n">
        <v>0</v>
      </c>
      <c r="R337" s="46">
        <f>P337*O337*M337*N337*H337</f>
        <v/>
      </c>
      <c r="S337" s="46">
        <f>R337*INDEX(FmtCansPerCase,MATCH(F337,FmtName,0))</f>
        <v/>
      </c>
      <c r="T337" s="46">
        <f>S337/INDEX(FmtCansPerPack,MATCH(F337,FmtName,0))</f>
        <v/>
      </c>
      <c r="U337" s="47">
        <f>INDEX(ChBaseCP,MATCH(E337,ChName,0))*(1+INDEX(ProvMod,MATCH(G337,ProvCode,0)))*(1+PriceIndex)</f>
        <v/>
      </c>
      <c r="V337" s="47">
        <f>R337*U337*INDEX(FmtBlendedPriceIdx,MATCH(F337,FmtName,0))</f>
        <v/>
      </c>
      <c r="W337" s="47">
        <f>T337*INDEX(ProvSRP,MATCH(G337,ProvCode,0))*(1+PriceIndex)</f>
        <v/>
      </c>
      <c r="X337" s="47">
        <f>IF(GrossBasis="Wholesale",V337,W337)</f>
        <v/>
      </c>
      <c r="Y337" s="47">
        <f>R337*INDEX(FmtBlendedCogs,MATCH(F337,FmtName,0))</f>
        <v/>
      </c>
      <c r="Z337" s="47">
        <f>X337-Y337</f>
        <v/>
      </c>
    </row>
    <row r="338">
      <c r="A338" t="n">
        <v>19</v>
      </c>
      <c r="B338" s="44">
        <f>FiscalStart+(A338-1)*7</f>
        <v/>
      </c>
      <c r="C338">
        <f>TEXT(B338,"mmm yyyy")</f>
        <v/>
      </c>
      <c r="D338">
        <f>"Q"&amp;(INT((A338-1)/13)+1)</f>
        <v/>
      </c>
      <c r="E338" t="inlineStr">
        <is>
          <t>Convenience</t>
        </is>
      </c>
      <c r="F338">
        <f>IFERROR(INDEX(ChFormat,MATCH(E338,ChName,0)),"")</f>
        <v/>
      </c>
      <c r="G338" t="inlineStr">
        <is>
          <t>NB</t>
        </is>
      </c>
      <c r="H338">
        <f>IF(A338&lt;=NWeeks,1,0)</f>
        <v/>
      </c>
      <c r="I338">
        <f>INDEX(ChLaunch,MATCH(E338,ChName,0))</f>
        <v/>
      </c>
      <c r="J338">
        <f>INDEX(ChWeeksFull,MATCH(E338,ChName,0))</f>
        <v/>
      </c>
      <c r="K338">
        <f>INDEX(ChRamp,MATCH(E338,ChName,0))</f>
        <v/>
      </c>
      <c r="L338" s="45">
        <f>MIN(1,MAX(0,(A338-I338+1)*RampSpeed/J338))</f>
        <v/>
      </c>
      <c r="M338" s="45">
        <f>IF(A338&lt;I338,0,IF(K338="S-curve",L338*L338*(3-2*L338),L338))</f>
        <v/>
      </c>
      <c r="N338" s="45">
        <f>1+(INDEX(SeasonIdx,A338)-1)*SeasonAmp</f>
        <v/>
      </c>
      <c r="O338" s="45">
        <f>IFERROR(INDEX(PSPct,MATCH(E338&amp;"|"&amp;G338,PSKey,0)),0)</f>
        <v/>
      </c>
      <c r="P338" s="46">
        <f>INDEX(ChDoorVel,MATCH(E338,ChName,0))*CalibScalar*(1+VelocityUplift)</f>
        <v/>
      </c>
      <c r="Q338" s="46" t="n">
        <v>0</v>
      </c>
      <c r="R338" s="46">
        <f>P338*O338*M338*N338*H338</f>
        <v/>
      </c>
      <c r="S338" s="46">
        <f>R338*INDEX(FmtCansPerCase,MATCH(F338,FmtName,0))</f>
        <v/>
      </c>
      <c r="T338" s="46">
        <f>S338/INDEX(FmtCansPerPack,MATCH(F338,FmtName,0))</f>
        <v/>
      </c>
      <c r="U338" s="47">
        <f>INDEX(ChBaseCP,MATCH(E338,ChName,0))*(1+INDEX(ProvMod,MATCH(G338,ProvCode,0)))*(1+PriceIndex)</f>
        <v/>
      </c>
      <c r="V338" s="47">
        <f>R338*U338*INDEX(FmtBlendedPriceIdx,MATCH(F338,FmtName,0))</f>
        <v/>
      </c>
      <c r="W338" s="47">
        <f>T338*INDEX(ProvSRP,MATCH(G338,ProvCode,0))*(1+PriceIndex)</f>
        <v/>
      </c>
      <c r="X338" s="47">
        <f>IF(GrossBasis="Wholesale",V338,W338)</f>
        <v/>
      </c>
      <c r="Y338" s="47">
        <f>R338*INDEX(FmtBlendedCogs,MATCH(F338,FmtName,0))</f>
        <v/>
      </c>
      <c r="Z338" s="47">
        <f>X338-Y338</f>
        <v/>
      </c>
    </row>
    <row r="339">
      <c r="A339" t="n">
        <v>20</v>
      </c>
      <c r="B339" s="44">
        <f>FiscalStart+(A339-1)*7</f>
        <v/>
      </c>
      <c r="C339">
        <f>TEXT(B339,"mmm yyyy")</f>
        <v/>
      </c>
      <c r="D339">
        <f>"Q"&amp;(INT((A339-1)/13)+1)</f>
        <v/>
      </c>
      <c r="E339" t="inlineStr">
        <is>
          <t>Convenience</t>
        </is>
      </c>
      <c r="F339">
        <f>IFERROR(INDEX(ChFormat,MATCH(E339,ChName,0)),"")</f>
        <v/>
      </c>
      <c r="G339" t="inlineStr">
        <is>
          <t>NB</t>
        </is>
      </c>
      <c r="H339">
        <f>IF(A339&lt;=NWeeks,1,0)</f>
        <v/>
      </c>
      <c r="I339">
        <f>INDEX(ChLaunch,MATCH(E339,ChName,0))</f>
        <v/>
      </c>
      <c r="J339">
        <f>INDEX(ChWeeksFull,MATCH(E339,ChName,0))</f>
        <v/>
      </c>
      <c r="K339">
        <f>INDEX(ChRamp,MATCH(E339,ChName,0))</f>
        <v/>
      </c>
      <c r="L339" s="45">
        <f>MIN(1,MAX(0,(A339-I339+1)*RampSpeed/J339))</f>
        <v/>
      </c>
      <c r="M339" s="45">
        <f>IF(A339&lt;I339,0,IF(K339="S-curve",L339*L339*(3-2*L339),L339))</f>
        <v/>
      </c>
      <c r="N339" s="45">
        <f>1+(INDEX(SeasonIdx,A339)-1)*SeasonAmp</f>
        <v/>
      </c>
      <c r="O339" s="45">
        <f>IFERROR(INDEX(PSPct,MATCH(E339&amp;"|"&amp;G339,PSKey,0)),0)</f>
        <v/>
      </c>
      <c r="P339" s="46">
        <f>INDEX(ChDoorVel,MATCH(E339,ChName,0))*CalibScalar*(1+VelocityUplift)</f>
        <v/>
      </c>
      <c r="Q339" s="46" t="n">
        <v>0</v>
      </c>
      <c r="R339" s="46">
        <f>P339*O339*M339*N339*H339</f>
        <v/>
      </c>
      <c r="S339" s="46">
        <f>R339*INDEX(FmtCansPerCase,MATCH(F339,FmtName,0))</f>
        <v/>
      </c>
      <c r="T339" s="46">
        <f>S339/INDEX(FmtCansPerPack,MATCH(F339,FmtName,0))</f>
        <v/>
      </c>
      <c r="U339" s="47">
        <f>INDEX(ChBaseCP,MATCH(E339,ChName,0))*(1+INDEX(ProvMod,MATCH(G339,ProvCode,0)))*(1+PriceIndex)</f>
        <v/>
      </c>
      <c r="V339" s="47">
        <f>R339*U339*INDEX(FmtBlendedPriceIdx,MATCH(F339,FmtName,0))</f>
        <v/>
      </c>
      <c r="W339" s="47">
        <f>T339*INDEX(ProvSRP,MATCH(G339,ProvCode,0))*(1+PriceIndex)</f>
        <v/>
      </c>
      <c r="X339" s="47">
        <f>IF(GrossBasis="Wholesale",V339,W339)</f>
        <v/>
      </c>
      <c r="Y339" s="47">
        <f>R339*INDEX(FmtBlendedCogs,MATCH(F339,FmtName,0))</f>
        <v/>
      </c>
      <c r="Z339" s="47">
        <f>X339-Y339</f>
        <v/>
      </c>
    </row>
    <row r="340">
      <c r="A340" t="n">
        <v>21</v>
      </c>
      <c r="B340" s="44">
        <f>FiscalStart+(A340-1)*7</f>
        <v/>
      </c>
      <c r="C340">
        <f>TEXT(B340,"mmm yyyy")</f>
        <v/>
      </c>
      <c r="D340">
        <f>"Q"&amp;(INT((A340-1)/13)+1)</f>
        <v/>
      </c>
      <c r="E340" t="inlineStr">
        <is>
          <t>Convenience</t>
        </is>
      </c>
      <c r="F340">
        <f>IFERROR(INDEX(ChFormat,MATCH(E340,ChName,0)),"")</f>
        <v/>
      </c>
      <c r="G340" t="inlineStr">
        <is>
          <t>NB</t>
        </is>
      </c>
      <c r="H340">
        <f>IF(A340&lt;=NWeeks,1,0)</f>
        <v/>
      </c>
      <c r="I340">
        <f>INDEX(ChLaunch,MATCH(E340,ChName,0))</f>
        <v/>
      </c>
      <c r="J340">
        <f>INDEX(ChWeeksFull,MATCH(E340,ChName,0))</f>
        <v/>
      </c>
      <c r="K340">
        <f>INDEX(ChRamp,MATCH(E340,ChName,0))</f>
        <v/>
      </c>
      <c r="L340" s="45">
        <f>MIN(1,MAX(0,(A340-I340+1)*RampSpeed/J340))</f>
        <v/>
      </c>
      <c r="M340" s="45">
        <f>IF(A340&lt;I340,0,IF(K340="S-curve",L340*L340*(3-2*L340),L340))</f>
        <v/>
      </c>
      <c r="N340" s="45">
        <f>1+(INDEX(SeasonIdx,A340)-1)*SeasonAmp</f>
        <v/>
      </c>
      <c r="O340" s="45">
        <f>IFERROR(INDEX(PSPct,MATCH(E340&amp;"|"&amp;G340,PSKey,0)),0)</f>
        <v/>
      </c>
      <c r="P340" s="46">
        <f>INDEX(ChDoorVel,MATCH(E340,ChName,0))*CalibScalar*(1+VelocityUplift)</f>
        <v/>
      </c>
      <c r="Q340" s="46" t="n">
        <v>0</v>
      </c>
      <c r="R340" s="46">
        <f>P340*O340*M340*N340*H340</f>
        <v/>
      </c>
      <c r="S340" s="46">
        <f>R340*INDEX(FmtCansPerCase,MATCH(F340,FmtName,0))</f>
        <v/>
      </c>
      <c r="T340" s="46">
        <f>S340/INDEX(FmtCansPerPack,MATCH(F340,FmtName,0))</f>
        <v/>
      </c>
      <c r="U340" s="47">
        <f>INDEX(ChBaseCP,MATCH(E340,ChName,0))*(1+INDEX(ProvMod,MATCH(G340,ProvCode,0)))*(1+PriceIndex)</f>
        <v/>
      </c>
      <c r="V340" s="47">
        <f>R340*U340*INDEX(FmtBlendedPriceIdx,MATCH(F340,FmtName,0))</f>
        <v/>
      </c>
      <c r="W340" s="47">
        <f>T340*INDEX(ProvSRP,MATCH(G340,ProvCode,0))*(1+PriceIndex)</f>
        <v/>
      </c>
      <c r="X340" s="47">
        <f>IF(GrossBasis="Wholesale",V340,W340)</f>
        <v/>
      </c>
      <c r="Y340" s="47">
        <f>R340*INDEX(FmtBlendedCogs,MATCH(F340,FmtName,0))</f>
        <v/>
      </c>
      <c r="Z340" s="47">
        <f>X340-Y340</f>
        <v/>
      </c>
    </row>
    <row r="341">
      <c r="A341" t="n">
        <v>22</v>
      </c>
      <c r="B341" s="44">
        <f>FiscalStart+(A341-1)*7</f>
        <v/>
      </c>
      <c r="C341">
        <f>TEXT(B341,"mmm yyyy")</f>
        <v/>
      </c>
      <c r="D341">
        <f>"Q"&amp;(INT((A341-1)/13)+1)</f>
        <v/>
      </c>
      <c r="E341" t="inlineStr">
        <is>
          <t>Convenience</t>
        </is>
      </c>
      <c r="F341">
        <f>IFERROR(INDEX(ChFormat,MATCH(E341,ChName,0)),"")</f>
        <v/>
      </c>
      <c r="G341" t="inlineStr">
        <is>
          <t>NB</t>
        </is>
      </c>
      <c r="H341">
        <f>IF(A341&lt;=NWeeks,1,0)</f>
        <v/>
      </c>
      <c r="I341">
        <f>INDEX(ChLaunch,MATCH(E341,ChName,0))</f>
        <v/>
      </c>
      <c r="J341">
        <f>INDEX(ChWeeksFull,MATCH(E341,ChName,0))</f>
        <v/>
      </c>
      <c r="K341">
        <f>INDEX(ChRamp,MATCH(E341,ChName,0))</f>
        <v/>
      </c>
      <c r="L341" s="45">
        <f>MIN(1,MAX(0,(A341-I341+1)*RampSpeed/J341))</f>
        <v/>
      </c>
      <c r="M341" s="45">
        <f>IF(A341&lt;I341,0,IF(K341="S-curve",L341*L341*(3-2*L341),L341))</f>
        <v/>
      </c>
      <c r="N341" s="45">
        <f>1+(INDEX(SeasonIdx,A341)-1)*SeasonAmp</f>
        <v/>
      </c>
      <c r="O341" s="45">
        <f>IFERROR(INDEX(PSPct,MATCH(E341&amp;"|"&amp;G341,PSKey,0)),0)</f>
        <v/>
      </c>
      <c r="P341" s="46">
        <f>INDEX(ChDoorVel,MATCH(E341,ChName,0))*CalibScalar*(1+VelocityUplift)</f>
        <v/>
      </c>
      <c r="Q341" s="46" t="n">
        <v>0</v>
      </c>
      <c r="R341" s="46">
        <f>P341*O341*M341*N341*H341</f>
        <v/>
      </c>
      <c r="S341" s="46">
        <f>R341*INDEX(FmtCansPerCase,MATCH(F341,FmtName,0))</f>
        <v/>
      </c>
      <c r="T341" s="46">
        <f>S341/INDEX(FmtCansPerPack,MATCH(F341,FmtName,0))</f>
        <v/>
      </c>
      <c r="U341" s="47">
        <f>INDEX(ChBaseCP,MATCH(E341,ChName,0))*(1+INDEX(ProvMod,MATCH(G341,ProvCode,0)))*(1+PriceIndex)</f>
        <v/>
      </c>
      <c r="V341" s="47">
        <f>R341*U341*INDEX(FmtBlendedPriceIdx,MATCH(F341,FmtName,0))</f>
        <v/>
      </c>
      <c r="W341" s="47">
        <f>T341*INDEX(ProvSRP,MATCH(G341,ProvCode,0))*(1+PriceIndex)</f>
        <v/>
      </c>
      <c r="X341" s="47">
        <f>IF(GrossBasis="Wholesale",V341,W341)</f>
        <v/>
      </c>
      <c r="Y341" s="47">
        <f>R341*INDEX(FmtBlendedCogs,MATCH(F341,FmtName,0))</f>
        <v/>
      </c>
      <c r="Z341" s="47">
        <f>X341-Y341</f>
        <v/>
      </c>
    </row>
    <row r="342">
      <c r="A342" t="n">
        <v>23</v>
      </c>
      <c r="B342" s="44">
        <f>FiscalStart+(A342-1)*7</f>
        <v/>
      </c>
      <c r="C342">
        <f>TEXT(B342,"mmm yyyy")</f>
        <v/>
      </c>
      <c r="D342">
        <f>"Q"&amp;(INT((A342-1)/13)+1)</f>
        <v/>
      </c>
      <c r="E342" t="inlineStr">
        <is>
          <t>Convenience</t>
        </is>
      </c>
      <c r="F342">
        <f>IFERROR(INDEX(ChFormat,MATCH(E342,ChName,0)),"")</f>
        <v/>
      </c>
      <c r="G342" t="inlineStr">
        <is>
          <t>NB</t>
        </is>
      </c>
      <c r="H342">
        <f>IF(A342&lt;=NWeeks,1,0)</f>
        <v/>
      </c>
      <c r="I342">
        <f>INDEX(ChLaunch,MATCH(E342,ChName,0))</f>
        <v/>
      </c>
      <c r="J342">
        <f>INDEX(ChWeeksFull,MATCH(E342,ChName,0))</f>
        <v/>
      </c>
      <c r="K342">
        <f>INDEX(ChRamp,MATCH(E342,ChName,0))</f>
        <v/>
      </c>
      <c r="L342" s="45">
        <f>MIN(1,MAX(0,(A342-I342+1)*RampSpeed/J342))</f>
        <v/>
      </c>
      <c r="M342" s="45">
        <f>IF(A342&lt;I342,0,IF(K342="S-curve",L342*L342*(3-2*L342),L342))</f>
        <v/>
      </c>
      <c r="N342" s="45">
        <f>1+(INDEX(SeasonIdx,A342)-1)*SeasonAmp</f>
        <v/>
      </c>
      <c r="O342" s="45">
        <f>IFERROR(INDEX(PSPct,MATCH(E342&amp;"|"&amp;G342,PSKey,0)),0)</f>
        <v/>
      </c>
      <c r="P342" s="46">
        <f>INDEX(ChDoorVel,MATCH(E342,ChName,0))*CalibScalar*(1+VelocityUplift)</f>
        <v/>
      </c>
      <c r="Q342" s="46" t="n">
        <v>0</v>
      </c>
      <c r="R342" s="46">
        <f>P342*O342*M342*N342*H342</f>
        <v/>
      </c>
      <c r="S342" s="46">
        <f>R342*INDEX(FmtCansPerCase,MATCH(F342,FmtName,0))</f>
        <v/>
      </c>
      <c r="T342" s="46">
        <f>S342/INDEX(FmtCansPerPack,MATCH(F342,FmtName,0))</f>
        <v/>
      </c>
      <c r="U342" s="47">
        <f>INDEX(ChBaseCP,MATCH(E342,ChName,0))*(1+INDEX(ProvMod,MATCH(G342,ProvCode,0)))*(1+PriceIndex)</f>
        <v/>
      </c>
      <c r="V342" s="47">
        <f>R342*U342*INDEX(FmtBlendedPriceIdx,MATCH(F342,FmtName,0))</f>
        <v/>
      </c>
      <c r="W342" s="47">
        <f>T342*INDEX(ProvSRP,MATCH(G342,ProvCode,0))*(1+PriceIndex)</f>
        <v/>
      </c>
      <c r="X342" s="47">
        <f>IF(GrossBasis="Wholesale",V342,W342)</f>
        <v/>
      </c>
      <c r="Y342" s="47">
        <f>R342*INDEX(FmtBlendedCogs,MATCH(F342,FmtName,0))</f>
        <v/>
      </c>
      <c r="Z342" s="47">
        <f>X342-Y342</f>
        <v/>
      </c>
    </row>
    <row r="343">
      <c r="A343" t="n">
        <v>24</v>
      </c>
      <c r="B343" s="44">
        <f>FiscalStart+(A343-1)*7</f>
        <v/>
      </c>
      <c r="C343">
        <f>TEXT(B343,"mmm yyyy")</f>
        <v/>
      </c>
      <c r="D343">
        <f>"Q"&amp;(INT((A343-1)/13)+1)</f>
        <v/>
      </c>
      <c r="E343" t="inlineStr">
        <is>
          <t>Convenience</t>
        </is>
      </c>
      <c r="F343">
        <f>IFERROR(INDEX(ChFormat,MATCH(E343,ChName,0)),"")</f>
        <v/>
      </c>
      <c r="G343" t="inlineStr">
        <is>
          <t>NB</t>
        </is>
      </c>
      <c r="H343">
        <f>IF(A343&lt;=NWeeks,1,0)</f>
        <v/>
      </c>
      <c r="I343">
        <f>INDEX(ChLaunch,MATCH(E343,ChName,0))</f>
        <v/>
      </c>
      <c r="J343">
        <f>INDEX(ChWeeksFull,MATCH(E343,ChName,0))</f>
        <v/>
      </c>
      <c r="K343">
        <f>INDEX(ChRamp,MATCH(E343,ChName,0))</f>
        <v/>
      </c>
      <c r="L343" s="45">
        <f>MIN(1,MAX(0,(A343-I343+1)*RampSpeed/J343))</f>
        <v/>
      </c>
      <c r="M343" s="45">
        <f>IF(A343&lt;I343,0,IF(K343="S-curve",L343*L343*(3-2*L343),L343))</f>
        <v/>
      </c>
      <c r="N343" s="45">
        <f>1+(INDEX(SeasonIdx,A343)-1)*SeasonAmp</f>
        <v/>
      </c>
      <c r="O343" s="45">
        <f>IFERROR(INDEX(PSPct,MATCH(E343&amp;"|"&amp;G343,PSKey,0)),0)</f>
        <v/>
      </c>
      <c r="P343" s="46">
        <f>INDEX(ChDoorVel,MATCH(E343,ChName,0))*CalibScalar*(1+VelocityUplift)</f>
        <v/>
      </c>
      <c r="Q343" s="46" t="n">
        <v>0</v>
      </c>
      <c r="R343" s="46">
        <f>P343*O343*M343*N343*H343</f>
        <v/>
      </c>
      <c r="S343" s="46">
        <f>R343*INDEX(FmtCansPerCase,MATCH(F343,FmtName,0))</f>
        <v/>
      </c>
      <c r="T343" s="46">
        <f>S343/INDEX(FmtCansPerPack,MATCH(F343,FmtName,0))</f>
        <v/>
      </c>
      <c r="U343" s="47">
        <f>INDEX(ChBaseCP,MATCH(E343,ChName,0))*(1+INDEX(ProvMod,MATCH(G343,ProvCode,0)))*(1+PriceIndex)</f>
        <v/>
      </c>
      <c r="V343" s="47">
        <f>R343*U343*INDEX(FmtBlendedPriceIdx,MATCH(F343,FmtName,0))</f>
        <v/>
      </c>
      <c r="W343" s="47">
        <f>T343*INDEX(ProvSRP,MATCH(G343,ProvCode,0))*(1+PriceIndex)</f>
        <v/>
      </c>
      <c r="X343" s="47">
        <f>IF(GrossBasis="Wholesale",V343,W343)</f>
        <v/>
      </c>
      <c r="Y343" s="47">
        <f>R343*INDEX(FmtBlendedCogs,MATCH(F343,FmtName,0))</f>
        <v/>
      </c>
      <c r="Z343" s="47">
        <f>X343-Y343</f>
        <v/>
      </c>
    </row>
    <row r="344">
      <c r="A344" t="n">
        <v>25</v>
      </c>
      <c r="B344" s="44">
        <f>FiscalStart+(A344-1)*7</f>
        <v/>
      </c>
      <c r="C344">
        <f>TEXT(B344,"mmm yyyy")</f>
        <v/>
      </c>
      <c r="D344">
        <f>"Q"&amp;(INT((A344-1)/13)+1)</f>
        <v/>
      </c>
      <c r="E344" t="inlineStr">
        <is>
          <t>Convenience</t>
        </is>
      </c>
      <c r="F344">
        <f>IFERROR(INDEX(ChFormat,MATCH(E344,ChName,0)),"")</f>
        <v/>
      </c>
      <c r="G344" t="inlineStr">
        <is>
          <t>NB</t>
        </is>
      </c>
      <c r="H344">
        <f>IF(A344&lt;=NWeeks,1,0)</f>
        <v/>
      </c>
      <c r="I344">
        <f>INDEX(ChLaunch,MATCH(E344,ChName,0))</f>
        <v/>
      </c>
      <c r="J344">
        <f>INDEX(ChWeeksFull,MATCH(E344,ChName,0))</f>
        <v/>
      </c>
      <c r="K344">
        <f>INDEX(ChRamp,MATCH(E344,ChName,0))</f>
        <v/>
      </c>
      <c r="L344" s="45">
        <f>MIN(1,MAX(0,(A344-I344+1)*RampSpeed/J344))</f>
        <v/>
      </c>
      <c r="M344" s="45">
        <f>IF(A344&lt;I344,0,IF(K344="S-curve",L344*L344*(3-2*L344),L344))</f>
        <v/>
      </c>
      <c r="N344" s="45">
        <f>1+(INDEX(SeasonIdx,A344)-1)*SeasonAmp</f>
        <v/>
      </c>
      <c r="O344" s="45">
        <f>IFERROR(INDEX(PSPct,MATCH(E344&amp;"|"&amp;G344,PSKey,0)),0)</f>
        <v/>
      </c>
      <c r="P344" s="46">
        <f>INDEX(ChDoorVel,MATCH(E344,ChName,0))*CalibScalar*(1+VelocityUplift)</f>
        <v/>
      </c>
      <c r="Q344" s="46" t="n">
        <v>0</v>
      </c>
      <c r="R344" s="46">
        <f>P344*O344*M344*N344*H344</f>
        <v/>
      </c>
      <c r="S344" s="46">
        <f>R344*INDEX(FmtCansPerCase,MATCH(F344,FmtName,0))</f>
        <v/>
      </c>
      <c r="T344" s="46">
        <f>S344/INDEX(FmtCansPerPack,MATCH(F344,FmtName,0))</f>
        <v/>
      </c>
      <c r="U344" s="47">
        <f>INDEX(ChBaseCP,MATCH(E344,ChName,0))*(1+INDEX(ProvMod,MATCH(G344,ProvCode,0)))*(1+PriceIndex)</f>
        <v/>
      </c>
      <c r="V344" s="47">
        <f>R344*U344*INDEX(FmtBlendedPriceIdx,MATCH(F344,FmtName,0))</f>
        <v/>
      </c>
      <c r="W344" s="47">
        <f>T344*INDEX(ProvSRP,MATCH(G344,ProvCode,0))*(1+PriceIndex)</f>
        <v/>
      </c>
      <c r="X344" s="47">
        <f>IF(GrossBasis="Wholesale",V344,W344)</f>
        <v/>
      </c>
      <c r="Y344" s="47">
        <f>R344*INDEX(FmtBlendedCogs,MATCH(F344,FmtName,0))</f>
        <v/>
      </c>
      <c r="Z344" s="47">
        <f>X344-Y344</f>
        <v/>
      </c>
    </row>
    <row r="345">
      <c r="A345" t="n">
        <v>26</v>
      </c>
      <c r="B345" s="44">
        <f>FiscalStart+(A345-1)*7</f>
        <v/>
      </c>
      <c r="C345">
        <f>TEXT(B345,"mmm yyyy")</f>
        <v/>
      </c>
      <c r="D345">
        <f>"Q"&amp;(INT((A345-1)/13)+1)</f>
        <v/>
      </c>
      <c r="E345" t="inlineStr">
        <is>
          <t>Convenience</t>
        </is>
      </c>
      <c r="F345">
        <f>IFERROR(INDEX(ChFormat,MATCH(E345,ChName,0)),"")</f>
        <v/>
      </c>
      <c r="G345" t="inlineStr">
        <is>
          <t>NB</t>
        </is>
      </c>
      <c r="H345">
        <f>IF(A345&lt;=NWeeks,1,0)</f>
        <v/>
      </c>
      <c r="I345">
        <f>INDEX(ChLaunch,MATCH(E345,ChName,0))</f>
        <v/>
      </c>
      <c r="J345">
        <f>INDEX(ChWeeksFull,MATCH(E345,ChName,0))</f>
        <v/>
      </c>
      <c r="K345">
        <f>INDEX(ChRamp,MATCH(E345,ChName,0))</f>
        <v/>
      </c>
      <c r="L345" s="45">
        <f>MIN(1,MAX(0,(A345-I345+1)*RampSpeed/J345))</f>
        <v/>
      </c>
      <c r="M345" s="45">
        <f>IF(A345&lt;I345,0,IF(K345="S-curve",L345*L345*(3-2*L345),L345))</f>
        <v/>
      </c>
      <c r="N345" s="45">
        <f>1+(INDEX(SeasonIdx,A345)-1)*SeasonAmp</f>
        <v/>
      </c>
      <c r="O345" s="45">
        <f>IFERROR(INDEX(PSPct,MATCH(E345&amp;"|"&amp;G345,PSKey,0)),0)</f>
        <v/>
      </c>
      <c r="P345" s="46">
        <f>INDEX(ChDoorVel,MATCH(E345,ChName,0))*CalibScalar*(1+VelocityUplift)</f>
        <v/>
      </c>
      <c r="Q345" s="46" t="n">
        <v>0</v>
      </c>
      <c r="R345" s="46">
        <f>P345*O345*M345*N345*H345</f>
        <v/>
      </c>
      <c r="S345" s="46">
        <f>R345*INDEX(FmtCansPerCase,MATCH(F345,FmtName,0))</f>
        <v/>
      </c>
      <c r="T345" s="46">
        <f>S345/INDEX(FmtCansPerPack,MATCH(F345,FmtName,0))</f>
        <v/>
      </c>
      <c r="U345" s="47">
        <f>INDEX(ChBaseCP,MATCH(E345,ChName,0))*(1+INDEX(ProvMod,MATCH(G345,ProvCode,0)))*(1+PriceIndex)</f>
        <v/>
      </c>
      <c r="V345" s="47">
        <f>R345*U345*INDEX(FmtBlendedPriceIdx,MATCH(F345,FmtName,0))</f>
        <v/>
      </c>
      <c r="W345" s="47">
        <f>T345*INDEX(ProvSRP,MATCH(G345,ProvCode,0))*(1+PriceIndex)</f>
        <v/>
      </c>
      <c r="X345" s="47">
        <f>IF(GrossBasis="Wholesale",V345,W345)</f>
        <v/>
      </c>
      <c r="Y345" s="47">
        <f>R345*INDEX(FmtBlendedCogs,MATCH(F345,FmtName,0))</f>
        <v/>
      </c>
      <c r="Z345" s="47">
        <f>X345-Y345</f>
        <v/>
      </c>
    </row>
    <row r="346">
      <c r="A346" t="n">
        <v>27</v>
      </c>
      <c r="B346" s="44">
        <f>FiscalStart+(A346-1)*7</f>
        <v/>
      </c>
      <c r="C346">
        <f>TEXT(B346,"mmm yyyy")</f>
        <v/>
      </c>
      <c r="D346">
        <f>"Q"&amp;(INT((A346-1)/13)+1)</f>
        <v/>
      </c>
      <c r="E346" t="inlineStr">
        <is>
          <t>Convenience</t>
        </is>
      </c>
      <c r="F346">
        <f>IFERROR(INDEX(ChFormat,MATCH(E346,ChName,0)),"")</f>
        <v/>
      </c>
      <c r="G346" t="inlineStr">
        <is>
          <t>NB</t>
        </is>
      </c>
      <c r="H346">
        <f>IF(A346&lt;=NWeeks,1,0)</f>
        <v/>
      </c>
      <c r="I346">
        <f>INDEX(ChLaunch,MATCH(E346,ChName,0))</f>
        <v/>
      </c>
      <c r="J346">
        <f>INDEX(ChWeeksFull,MATCH(E346,ChName,0))</f>
        <v/>
      </c>
      <c r="K346">
        <f>INDEX(ChRamp,MATCH(E346,ChName,0))</f>
        <v/>
      </c>
      <c r="L346" s="45">
        <f>MIN(1,MAX(0,(A346-I346+1)*RampSpeed/J346))</f>
        <v/>
      </c>
      <c r="M346" s="45">
        <f>IF(A346&lt;I346,0,IF(K346="S-curve",L346*L346*(3-2*L346),L346))</f>
        <v/>
      </c>
      <c r="N346" s="45">
        <f>1+(INDEX(SeasonIdx,A346)-1)*SeasonAmp</f>
        <v/>
      </c>
      <c r="O346" s="45">
        <f>IFERROR(INDEX(PSPct,MATCH(E346&amp;"|"&amp;G346,PSKey,0)),0)</f>
        <v/>
      </c>
      <c r="P346" s="46">
        <f>INDEX(ChDoorVel,MATCH(E346,ChName,0))*CalibScalar*(1+VelocityUplift)</f>
        <v/>
      </c>
      <c r="Q346" s="46" t="n">
        <v>0</v>
      </c>
      <c r="R346" s="46">
        <f>P346*O346*M346*N346*H346</f>
        <v/>
      </c>
      <c r="S346" s="46">
        <f>R346*INDEX(FmtCansPerCase,MATCH(F346,FmtName,0))</f>
        <v/>
      </c>
      <c r="T346" s="46">
        <f>S346/INDEX(FmtCansPerPack,MATCH(F346,FmtName,0))</f>
        <v/>
      </c>
      <c r="U346" s="47">
        <f>INDEX(ChBaseCP,MATCH(E346,ChName,0))*(1+INDEX(ProvMod,MATCH(G346,ProvCode,0)))*(1+PriceIndex)</f>
        <v/>
      </c>
      <c r="V346" s="47">
        <f>R346*U346*INDEX(FmtBlendedPriceIdx,MATCH(F346,FmtName,0))</f>
        <v/>
      </c>
      <c r="W346" s="47">
        <f>T346*INDEX(ProvSRP,MATCH(G346,ProvCode,0))*(1+PriceIndex)</f>
        <v/>
      </c>
      <c r="X346" s="47">
        <f>IF(GrossBasis="Wholesale",V346,W346)</f>
        <v/>
      </c>
      <c r="Y346" s="47">
        <f>R346*INDEX(FmtBlendedCogs,MATCH(F346,FmtName,0))</f>
        <v/>
      </c>
      <c r="Z346" s="47">
        <f>X346-Y346</f>
        <v/>
      </c>
    </row>
    <row r="347">
      <c r="A347" t="n">
        <v>28</v>
      </c>
      <c r="B347" s="44">
        <f>FiscalStart+(A347-1)*7</f>
        <v/>
      </c>
      <c r="C347">
        <f>TEXT(B347,"mmm yyyy")</f>
        <v/>
      </c>
      <c r="D347">
        <f>"Q"&amp;(INT((A347-1)/13)+1)</f>
        <v/>
      </c>
      <c r="E347" t="inlineStr">
        <is>
          <t>Convenience</t>
        </is>
      </c>
      <c r="F347">
        <f>IFERROR(INDEX(ChFormat,MATCH(E347,ChName,0)),"")</f>
        <v/>
      </c>
      <c r="G347" t="inlineStr">
        <is>
          <t>NB</t>
        </is>
      </c>
      <c r="H347">
        <f>IF(A347&lt;=NWeeks,1,0)</f>
        <v/>
      </c>
      <c r="I347">
        <f>INDEX(ChLaunch,MATCH(E347,ChName,0))</f>
        <v/>
      </c>
      <c r="J347">
        <f>INDEX(ChWeeksFull,MATCH(E347,ChName,0))</f>
        <v/>
      </c>
      <c r="K347">
        <f>INDEX(ChRamp,MATCH(E347,ChName,0))</f>
        <v/>
      </c>
      <c r="L347" s="45">
        <f>MIN(1,MAX(0,(A347-I347+1)*RampSpeed/J347))</f>
        <v/>
      </c>
      <c r="M347" s="45">
        <f>IF(A347&lt;I347,0,IF(K347="S-curve",L347*L347*(3-2*L347),L347))</f>
        <v/>
      </c>
      <c r="N347" s="45">
        <f>1+(INDEX(SeasonIdx,A347)-1)*SeasonAmp</f>
        <v/>
      </c>
      <c r="O347" s="45">
        <f>IFERROR(INDEX(PSPct,MATCH(E347&amp;"|"&amp;G347,PSKey,0)),0)</f>
        <v/>
      </c>
      <c r="P347" s="46">
        <f>INDEX(ChDoorVel,MATCH(E347,ChName,0))*CalibScalar*(1+VelocityUplift)</f>
        <v/>
      </c>
      <c r="Q347" s="46" t="n">
        <v>0</v>
      </c>
      <c r="R347" s="46">
        <f>P347*O347*M347*N347*H347</f>
        <v/>
      </c>
      <c r="S347" s="46">
        <f>R347*INDEX(FmtCansPerCase,MATCH(F347,FmtName,0))</f>
        <v/>
      </c>
      <c r="T347" s="46">
        <f>S347/INDEX(FmtCansPerPack,MATCH(F347,FmtName,0))</f>
        <v/>
      </c>
      <c r="U347" s="47">
        <f>INDEX(ChBaseCP,MATCH(E347,ChName,0))*(1+INDEX(ProvMod,MATCH(G347,ProvCode,0)))*(1+PriceIndex)</f>
        <v/>
      </c>
      <c r="V347" s="47">
        <f>R347*U347*INDEX(FmtBlendedPriceIdx,MATCH(F347,FmtName,0))</f>
        <v/>
      </c>
      <c r="W347" s="47">
        <f>T347*INDEX(ProvSRP,MATCH(G347,ProvCode,0))*(1+PriceIndex)</f>
        <v/>
      </c>
      <c r="X347" s="47">
        <f>IF(GrossBasis="Wholesale",V347,W347)</f>
        <v/>
      </c>
      <c r="Y347" s="47">
        <f>R347*INDEX(FmtBlendedCogs,MATCH(F347,FmtName,0))</f>
        <v/>
      </c>
      <c r="Z347" s="47">
        <f>X347-Y347</f>
        <v/>
      </c>
    </row>
    <row r="348">
      <c r="A348" t="n">
        <v>29</v>
      </c>
      <c r="B348" s="44">
        <f>FiscalStart+(A348-1)*7</f>
        <v/>
      </c>
      <c r="C348">
        <f>TEXT(B348,"mmm yyyy")</f>
        <v/>
      </c>
      <c r="D348">
        <f>"Q"&amp;(INT((A348-1)/13)+1)</f>
        <v/>
      </c>
      <c r="E348" t="inlineStr">
        <is>
          <t>Convenience</t>
        </is>
      </c>
      <c r="F348">
        <f>IFERROR(INDEX(ChFormat,MATCH(E348,ChName,0)),"")</f>
        <v/>
      </c>
      <c r="G348" t="inlineStr">
        <is>
          <t>NB</t>
        </is>
      </c>
      <c r="H348">
        <f>IF(A348&lt;=NWeeks,1,0)</f>
        <v/>
      </c>
      <c r="I348">
        <f>INDEX(ChLaunch,MATCH(E348,ChName,0))</f>
        <v/>
      </c>
      <c r="J348">
        <f>INDEX(ChWeeksFull,MATCH(E348,ChName,0))</f>
        <v/>
      </c>
      <c r="K348">
        <f>INDEX(ChRamp,MATCH(E348,ChName,0))</f>
        <v/>
      </c>
      <c r="L348" s="45">
        <f>MIN(1,MAX(0,(A348-I348+1)*RampSpeed/J348))</f>
        <v/>
      </c>
      <c r="M348" s="45">
        <f>IF(A348&lt;I348,0,IF(K348="S-curve",L348*L348*(3-2*L348),L348))</f>
        <v/>
      </c>
      <c r="N348" s="45">
        <f>1+(INDEX(SeasonIdx,A348)-1)*SeasonAmp</f>
        <v/>
      </c>
      <c r="O348" s="45">
        <f>IFERROR(INDEX(PSPct,MATCH(E348&amp;"|"&amp;G348,PSKey,0)),0)</f>
        <v/>
      </c>
      <c r="P348" s="46">
        <f>INDEX(ChDoorVel,MATCH(E348,ChName,0))*CalibScalar*(1+VelocityUplift)</f>
        <v/>
      </c>
      <c r="Q348" s="46" t="n">
        <v>0</v>
      </c>
      <c r="R348" s="46">
        <f>P348*O348*M348*N348*H348</f>
        <v/>
      </c>
      <c r="S348" s="46">
        <f>R348*INDEX(FmtCansPerCase,MATCH(F348,FmtName,0))</f>
        <v/>
      </c>
      <c r="T348" s="46">
        <f>S348/INDEX(FmtCansPerPack,MATCH(F348,FmtName,0))</f>
        <v/>
      </c>
      <c r="U348" s="47">
        <f>INDEX(ChBaseCP,MATCH(E348,ChName,0))*(1+INDEX(ProvMod,MATCH(G348,ProvCode,0)))*(1+PriceIndex)</f>
        <v/>
      </c>
      <c r="V348" s="47">
        <f>R348*U348*INDEX(FmtBlendedPriceIdx,MATCH(F348,FmtName,0))</f>
        <v/>
      </c>
      <c r="W348" s="47">
        <f>T348*INDEX(ProvSRP,MATCH(G348,ProvCode,0))*(1+PriceIndex)</f>
        <v/>
      </c>
      <c r="X348" s="47">
        <f>IF(GrossBasis="Wholesale",V348,W348)</f>
        <v/>
      </c>
      <c r="Y348" s="47">
        <f>R348*INDEX(FmtBlendedCogs,MATCH(F348,FmtName,0))</f>
        <v/>
      </c>
      <c r="Z348" s="47">
        <f>X348-Y348</f>
        <v/>
      </c>
    </row>
    <row r="349">
      <c r="A349" t="n">
        <v>30</v>
      </c>
      <c r="B349" s="44">
        <f>FiscalStart+(A349-1)*7</f>
        <v/>
      </c>
      <c r="C349">
        <f>TEXT(B349,"mmm yyyy")</f>
        <v/>
      </c>
      <c r="D349">
        <f>"Q"&amp;(INT((A349-1)/13)+1)</f>
        <v/>
      </c>
      <c r="E349" t="inlineStr">
        <is>
          <t>Convenience</t>
        </is>
      </c>
      <c r="F349">
        <f>IFERROR(INDEX(ChFormat,MATCH(E349,ChName,0)),"")</f>
        <v/>
      </c>
      <c r="G349" t="inlineStr">
        <is>
          <t>NB</t>
        </is>
      </c>
      <c r="H349">
        <f>IF(A349&lt;=NWeeks,1,0)</f>
        <v/>
      </c>
      <c r="I349">
        <f>INDEX(ChLaunch,MATCH(E349,ChName,0))</f>
        <v/>
      </c>
      <c r="J349">
        <f>INDEX(ChWeeksFull,MATCH(E349,ChName,0))</f>
        <v/>
      </c>
      <c r="K349">
        <f>INDEX(ChRamp,MATCH(E349,ChName,0))</f>
        <v/>
      </c>
      <c r="L349" s="45">
        <f>MIN(1,MAX(0,(A349-I349+1)*RampSpeed/J349))</f>
        <v/>
      </c>
      <c r="M349" s="45">
        <f>IF(A349&lt;I349,0,IF(K349="S-curve",L349*L349*(3-2*L349),L349))</f>
        <v/>
      </c>
      <c r="N349" s="45">
        <f>1+(INDEX(SeasonIdx,A349)-1)*SeasonAmp</f>
        <v/>
      </c>
      <c r="O349" s="45">
        <f>IFERROR(INDEX(PSPct,MATCH(E349&amp;"|"&amp;G349,PSKey,0)),0)</f>
        <v/>
      </c>
      <c r="P349" s="46">
        <f>INDEX(ChDoorVel,MATCH(E349,ChName,0))*CalibScalar*(1+VelocityUplift)</f>
        <v/>
      </c>
      <c r="Q349" s="46" t="n">
        <v>0</v>
      </c>
      <c r="R349" s="46">
        <f>P349*O349*M349*N349*H349</f>
        <v/>
      </c>
      <c r="S349" s="46">
        <f>R349*INDEX(FmtCansPerCase,MATCH(F349,FmtName,0))</f>
        <v/>
      </c>
      <c r="T349" s="46">
        <f>S349/INDEX(FmtCansPerPack,MATCH(F349,FmtName,0))</f>
        <v/>
      </c>
      <c r="U349" s="47">
        <f>INDEX(ChBaseCP,MATCH(E349,ChName,0))*(1+INDEX(ProvMod,MATCH(G349,ProvCode,0)))*(1+PriceIndex)</f>
        <v/>
      </c>
      <c r="V349" s="47">
        <f>R349*U349*INDEX(FmtBlendedPriceIdx,MATCH(F349,FmtName,0))</f>
        <v/>
      </c>
      <c r="W349" s="47">
        <f>T349*INDEX(ProvSRP,MATCH(G349,ProvCode,0))*(1+PriceIndex)</f>
        <v/>
      </c>
      <c r="X349" s="47">
        <f>IF(GrossBasis="Wholesale",V349,W349)</f>
        <v/>
      </c>
      <c r="Y349" s="47">
        <f>R349*INDEX(FmtBlendedCogs,MATCH(F349,FmtName,0))</f>
        <v/>
      </c>
      <c r="Z349" s="47">
        <f>X349-Y349</f>
        <v/>
      </c>
    </row>
    <row r="350">
      <c r="A350" t="n">
        <v>31</v>
      </c>
      <c r="B350" s="44">
        <f>FiscalStart+(A350-1)*7</f>
        <v/>
      </c>
      <c r="C350">
        <f>TEXT(B350,"mmm yyyy")</f>
        <v/>
      </c>
      <c r="D350">
        <f>"Q"&amp;(INT((A350-1)/13)+1)</f>
        <v/>
      </c>
      <c r="E350" t="inlineStr">
        <is>
          <t>Convenience</t>
        </is>
      </c>
      <c r="F350">
        <f>IFERROR(INDEX(ChFormat,MATCH(E350,ChName,0)),"")</f>
        <v/>
      </c>
      <c r="G350" t="inlineStr">
        <is>
          <t>NB</t>
        </is>
      </c>
      <c r="H350">
        <f>IF(A350&lt;=NWeeks,1,0)</f>
        <v/>
      </c>
      <c r="I350">
        <f>INDEX(ChLaunch,MATCH(E350,ChName,0))</f>
        <v/>
      </c>
      <c r="J350">
        <f>INDEX(ChWeeksFull,MATCH(E350,ChName,0))</f>
        <v/>
      </c>
      <c r="K350">
        <f>INDEX(ChRamp,MATCH(E350,ChName,0))</f>
        <v/>
      </c>
      <c r="L350" s="45">
        <f>MIN(1,MAX(0,(A350-I350+1)*RampSpeed/J350))</f>
        <v/>
      </c>
      <c r="M350" s="45">
        <f>IF(A350&lt;I350,0,IF(K350="S-curve",L350*L350*(3-2*L350),L350))</f>
        <v/>
      </c>
      <c r="N350" s="45">
        <f>1+(INDEX(SeasonIdx,A350)-1)*SeasonAmp</f>
        <v/>
      </c>
      <c r="O350" s="45">
        <f>IFERROR(INDEX(PSPct,MATCH(E350&amp;"|"&amp;G350,PSKey,0)),0)</f>
        <v/>
      </c>
      <c r="P350" s="46">
        <f>INDEX(ChDoorVel,MATCH(E350,ChName,0))*CalibScalar*(1+VelocityUplift)</f>
        <v/>
      </c>
      <c r="Q350" s="46" t="n">
        <v>0</v>
      </c>
      <c r="R350" s="46">
        <f>P350*O350*M350*N350*H350</f>
        <v/>
      </c>
      <c r="S350" s="46">
        <f>R350*INDEX(FmtCansPerCase,MATCH(F350,FmtName,0))</f>
        <v/>
      </c>
      <c r="T350" s="46">
        <f>S350/INDEX(FmtCansPerPack,MATCH(F350,FmtName,0))</f>
        <v/>
      </c>
      <c r="U350" s="47">
        <f>INDEX(ChBaseCP,MATCH(E350,ChName,0))*(1+INDEX(ProvMod,MATCH(G350,ProvCode,0)))*(1+PriceIndex)</f>
        <v/>
      </c>
      <c r="V350" s="47">
        <f>R350*U350*INDEX(FmtBlendedPriceIdx,MATCH(F350,FmtName,0))</f>
        <v/>
      </c>
      <c r="W350" s="47">
        <f>T350*INDEX(ProvSRP,MATCH(G350,ProvCode,0))*(1+PriceIndex)</f>
        <v/>
      </c>
      <c r="X350" s="47">
        <f>IF(GrossBasis="Wholesale",V350,W350)</f>
        <v/>
      </c>
      <c r="Y350" s="47">
        <f>R350*INDEX(FmtBlendedCogs,MATCH(F350,FmtName,0))</f>
        <v/>
      </c>
      <c r="Z350" s="47">
        <f>X350-Y350</f>
        <v/>
      </c>
    </row>
    <row r="351">
      <c r="A351" t="n">
        <v>32</v>
      </c>
      <c r="B351" s="44">
        <f>FiscalStart+(A351-1)*7</f>
        <v/>
      </c>
      <c r="C351">
        <f>TEXT(B351,"mmm yyyy")</f>
        <v/>
      </c>
      <c r="D351">
        <f>"Q"&amp;(INT((A351-1)/13)+1)</f>
        <v/>
      </c>
      <c r="E351" t="inlineStr">
        <is>
          <t>Convenience</t>
        </is>
      </c>
      <c r="F351">
        <f>IFERROR(INDEX(ChFormat,MATCH(E351,ChName,0)),"")</f>
        <v/>
      </c>
      <c r="G351" t="inlineStr">
        <is>
          <t>NB</t>
        </is>
      </c>
      <c r="H351">
        <f>IF(A351&lt;=NWeeks,1,0)</f>
        <v/>
      </c>
      <c r="I351">
        <f>INDEX(ChLaunch,MATCH(E351,ChName,0))</f>
        <v/>
      </c>
      <c r="J351">
        <f>INDEX(ChWeeksFull,MATCH(E351,ChName,0))</f>
        <v/>
      </c>
      <c r="K351">
        <f>INDEX(ChRamp,MATCH(E351,ChName,0))</f>
        <v/>
      </c>
      <c r="L351" s="45">
        <f>MIN(1,MAX(0,(A351-I351+1)*RampSpeed/J351))</f>
        <v/>
      </c>
      <c r="M351" s="45">
        <f>IF(A351&lt;I351,0,IF(K351="S-curve",L351*L351*(3-2*L351),L351))</f>
        <v/>
      </c>
      <c r="N351" s="45">
        <f>1+(INDEX(SeasonIdx,A351)-1)*SeasonAmp</f>
        <v/>
      </c>
      <c r="O351" s="45">
        <f>IFERROR(INDEX(PSPct,MATCH(E351&amp;"|"&amp;G351,PSKey,0)),0)</f>
        <v/>
      </c>
      <c r="P351" s="46">
        <f>INDEX(ChDoorVel,MATCH(E351,ChName,0))*CalibScalar*(1+VelocityUplift)</f>
        <v/>
      </c>
      <c r="Q351" s="46" t="n">
        <v>0</v>
      </c>
      <c r="R351" s="46">
        <f>P351*O351*M351*N351*H351</f>
        <v/>
      </c>
      <c r="S351" s="46">
        <f>R351*INDEX(FmtCansPerCase,MATCH(F351,FmtName,0))</f>
        <v/>
      </c>
      <c r="T351" s="46">
        <f>S351/INDEX(FmtCansPerPack,MATCH(F351,FmtName,0))</f>
        <v/>
      </c>
      <c r="U351" s="47">
        <f>INDEX(ChBaseCP,MATCH(E351,ChName,0))*(1+INDEX(ProvMod,MATCH(G351,ProvCode,0)))*(1+PriceIndex)</f>
        <v/>
      </c>
      <c r="V351" s="47">
        <f>R351*U351*INDEX(FmtBlendedPriceIdx,MATCH(F351,FmtName,0))</f>
        <v/>
      </c>
      <c r="W351" s="47">
        <f>T351*INDEX(ProvSRP,MATCH(G351,ProvCode,0))*(1+PriceIndex)</f>
        <v/>
      </c>
      <c r="X351" s="47">
        <f>IF(GrossBasis="Wholesale",V351,W351)</f>
        <v/>
      </c>
      <c r="Y351" s="47">
        <f>R351*INDEX(FmtBlendedCogs,MATCH(F351,FmtName,0))</f>
        <v/>
      </c>
      <c r="Z351" s="47">
        <f>X351-Y351</f>
        <v/>
      </c>
    </row>
    <row r="352">
      <c r="A352" t="n">
        <v>33</v>
      </c>
      <c r="B352" s="44">
        <f>FiscalStart+(A352-1)*7</f>
        <v/>
      </c>
      <c r="C352">
        <f>TEXT(B352,"mmm yyyy")</f>
        <v/>
      </c>
      <c r="D352">
        <f>"Q"&amp;(INT((A352-1)/13)+1)</f>
        <v/>
      </c>
      <c r="E352" t="inlineStr">
        <is>
          <t>Convenience</t>
        </is>
      </c>
      <c r="F352">
        <f>IFERROR(INDEX(ChFormat,MATCH(E352,ChName,0)),"")</f>
        <v/>
      </c>
      <c r="G352" t="inlineStr">
        <is>
          <t>NB</t>
        </is>
      </c>
      <c r="H352">
        <f>IF(A352&lt;=NWeeks,1,0)</f>
        <v/>
      </c>
      <c r="I352">
        <f>INDEX(ChLaunch,MATCH(E352,ChName,0))</f>
        <v/>
      </c>
      <c r="J352">
        <f>INDEX(ChWeeksFull,MATCH(E352,ChName,0))</f>
        <v/>
      </c>
      <c r="K352">
        <f>INDEX(ChRamp,MATCH(E352,ChName,0))</f>
        <v/>
      </c>
      <c r="L352" s="45">
        <f>MIN(1,MAX(0,(A352-I352+1)*RampSpeed/J352))</f>
        <v/>
      </c>
      <c r="M352" s="45">
        <f>IF(A352&lt;I352,0,IF(K352="S-curve",L352*L352*(3-2*L352),L352))</f>
        <v/>
      </c>
      <c r="N352" s="45">
        <f>1+(INDEX(SeasonIdx,A352)-1)*SeasonAmp</f>
        <v/>
      </c>
      <c r="O352" s="45">
        <f>IFERROR(INDEX(PSPct,MATCH(E352&amp;"|"&amp;G352,PSKey,0)),0)</f>
        <v/>
      </c>
      <c r="P352" s="46">
        <f>INDEX(ChDoorVel,MATCH(E352,ChName,0))*CalibScalar*(1+VelocityUplift)</f>
        <v/>
      </c>
      <c r="Q352" s="46" t="n">
        <v>0</v>
      </c>
      <c r="R352" s="46">
        <f>P352*O352*M352*N352*H352</f>
        <v/>
      </c>
      <c r="S352" s="46">
        <f>R352*INDEX(FmtCansPerCase,MATCH(F352,FmtName,0))</f>
        <v/>
      </c>
      <c r="T352" s="46">
        <f>S352/INDEX(FmtCansPerPack,MATCH(F352,FmtName,0))</f>
        <v/>
      </c>
      <c r="U352" s="47">
        <f>INDEX(ChBaseCP,MATCH(E352,ChName,0))*(1+INDEX(ProvMod,MATCH(G352,ProvCode,0)))*(1+PriceIndex)</f>
        <v/>
      </c>
      <c r="V352" s="47">
        <f>R352*U352*INDEX(FmtBlendedPriceIdx,MATCH(F352,FmtName,0))</f>
        <v/>
      </c>
      <c r="W352" s="47">
        <f>T352*INDEX(ProvSRP,MATCH(G352,ProvCode,0))*(1+PriceIndex)</f>
        <v/>
      </c>
      <c r="X352" s="47">
        <f>IF(GrossBasis="Wholesale",V352,W352)</f>
        <v/>
      </c>
      <c r="Y352" s="47">
        <f>R352*INDEX(FmtBlendedCogs,MATCH(F352,FmtName,0))</f>
        <v/>
      </c>
      <c r="Z352" s="47">
        <f>X352-Y352</f>
        <v/>
      </c>
    </row>
    <row r="353">
      <c r="A353" t="n">
        <v>34</v>
      </c>
      <c r="B353" s="44">
        <f>FiscalStart+(A353-1)*7</f>
        <v/>
      </c>
      <c r="C353">
        <f>TEXT(B353,"mmm yyyy")</f>
        <v/>
      </c>
      <c r="D353">
        <f>"Q"&amp;(INT((A353-1)/13)+1)</f>
        <v/>
      </c>
      <c r="E353" t="inlineStr">
        <is>
          <t>Convenience</t>
        </is>
      </c>
      <c r="F353">
        <f>IFERROR(INDEX(ChFormat,MATCH(E353,ChName,0)),"")</f>
        <v/>
      </c>
      <c r="G353" t="inlineStr">
        <is>
          <t>NB</t>
        </is>
      </c>
      <c r="H353">
        <f>IF(A353&lt;=NWeeks,1,0)</f>
        <v/>
      </c>
      <c r="I353">
        <f>INDEX(ChLaunch,MATCH(E353,ChName,0))</f>
        <v/>
      </c>
      <c r="J353">
        <f>INDEX(ChWeeksFull,MATCH(E353,ChName,0))</f>
        <v/>
      </c>
      <c r="K353">
        <f>INDEX(ChRamp,MATCH(E353,ChName,0))</f>
        <v/>
      </c>
      <c r="L353" s="45">
        <f>MIN(1,MAX(0,(A353-I353+1)*RampSpeed/J353))</f>
        <v/>
      </c>
      <c r="M353" s="45">
        <f>IF(A353&lt;I353,0,IF(K353="S-curve",L353*L353*(3-2*L353),L353))</f>
        <v/>
      </c>
      <c r="N353" s="45">
        <f>1+(INDEX(SeasonIdx,A353)-1)*SeasonAmp</f>
        <v/>
      </c>
      <c r="O353" s="45">
        <f>IFERROR(INDEX(PSPct,MATCH(E353&amp;"|"&amp;G353,PSKey,0)),0)</f>
        <v/>
      </c>
      <c r="P353" s="46">
        <f>INDEX(ChDoorVel,MATCH(E353,ChName,0))*CalibScalar*(1+VelocityUplift)</f>
        <v/>
      </c>
      <c r="Q353" s="46" t="n">
        <v>0</v>
      </c>
      <c r="R353" s="46">
        <f>P353*O353*M353*N353*H353</f>
        <v/>
      </c>
      <c r="S353" s="46">
        <f>R353*INDEX(FmtCansPerCase,MATCH(F353,FmtName,0))</f>
        <v/>
      </c>
      <c r="T353" s="46">
        <f>S353/INDEX(FmtCansPerPack,MATCH(F353,FmtName,0))</f>
        <v/>
      </c>
      <c r="U353" s="47">
        <f>INDEX(ChBaseCP,MATCH(E353,ChName,0))*(1+INDEX(ProvMod,MATCH(G353,ProvCode,0)))*(1+PriceIndex)</f>
        <v/>
      </c>
      <c r="V353" s="47">
        <f>R353*U353*INDEX(FmtBlendedPriceIdx,MATCH(F353,FmtName,0))</f>
        <v/>
      </c>
      <c r="W353" s="47">
        <f>T353*INDEX(ProvSRP,MATCH(G353,ProvCode,0))*(1+PriceIndex)</f>
        <v/>
      </c>
      <c r="X353" s="47">
        <f>IF(GrossBasis="Wholesale",V353,W353)</f>
        <v/>
      </c>
      <c r="Y353" s="47">
        <f>R353*INDEX(FmtBlendedCogs,MATCH(F353,FmtName,0))</f>
        <v/>
      </c>
      <c r="Z353" s="47">
        <f>X353-Y353</f>
        <v/>
      </c>
    </row>
    <row r="354">
      <c r="A354" t="n">
        <v>35</v>
      </c>
      <c r="B354" s="44">
        <f>FiscalStart+(A354-1)*7</f>
        <v/>
      </c>
      <c r="C354">
        <f>TEXT(B354,"mmm yyyy")</f>
        <v/>
      </c>
      <c r="D354">
        <f>"Q"&amp;(INT((A354-1)/13)+1)</f>
        <v/>
      </c>
      <c r="E354" t="inlineStr">
        <is>
          <t>Convenience</t>
        </is>
      </c>
      <c r="F354">
        <f>IFERROR(INDEX(ChFormat,MATCH(E354,ChName,0)),"")</f>
        <v/>
      </c>
      <c r="G354" t="inlineStr">
        <is>
          <t>NB</t>
        </is>
      </c>
      <c r="H354">
        <f>IF(A354&lt;=NWeeks,1,0)</f>
        <v/>
      </c>
      <c r="I354">
        <f>INDEX(ChLaunch,MATCH(E354,ChName,0))</f>
        <v/>
      </c>
      <c r="J354">
        <f>INDEX(ChWeeksFull,MATCH(E354,ChName,0))</f>
        <v/>
      </c>
      <c r="K354">
        <f>INDEX(ChRamp,MATCH(E354,ChName,0))</f>
        <v/>
      </c>
      <c r="L354" s="45">
        <f>MIN(1,MAX(0,(A354-I354+1)*RampSpeed/J354))</f>
        <v/>
      </c>
      <c r="M354" s="45">
        <f>IF(A354&lt;I354,0,IF(K354="S-curve",L354*L354*(3-2*L354),L354))</f>
        <v/>
      </c>
      <c r="N354" s="45">
        <f>1+(INDEX(SeasonIdx,A354)-1)*SeasonAmp</f>
        <v/>
      </c>
      <c r="O354" s="45">
        <f>IFERROR(INDEX(PSPct,MATCH(E354&amp;"|"&amp;G354,PSKey,0)),0)</f>
        <v/>
      </c>
      <c r="P354" s="46">
        <f>INDEX(ChDoorVel,MATCH(E354,ChName,0))*CalibScalar*(1+VelocityUplift)</f>
        <v/>
      </c>
      <c r="Q354" s="46" t="n">
        <v>0</v>
      </c>
      <c r="R354" s="46">
        <f>P354*O354*M354*N354*H354</f>
        <v/>
      </c>
      <c r="S354" s="46">
        <f>R354*INDEX(FmtCansPerCase,MATCH(F354,FmtName,0))</f>
        <v/>
      </c>
      <c r="T354" s="46">
        <f>S354/INDEX(FmtCansPerPack,MATCH(F354,FmtName,0))</f>
        <v/>
      </c>
      <c r="U354" s="47">
        <f>INDEX(ChBaseCP,MATCH(E354,ChName,0))*(1+INDEX(ProvMod,MATCH(G354,ProvCode,0)))*(1+PriceIndex)</f>
        <v/>
      </c>
      <c r="V354" s="47">
        <f>R354*U354*INDEX(FmtBlendedPriceIdx,MATCH(F354,FmtName,0))</f>
        <v/>
      </c>
      <c r="W354" s="47">
        <f>T354*INDEX(ProvSRP,MATCH(G354,ProvCode,0))*(1+PriceIndex)</f>
        <v/>
      </c>
      <c r="X354" s="47">
        <f>IF(GrossBasis="Wholesale",V354,W354)</f>
        <v/>
      </c>
      <c r="Y354" s="47">
        <f>R354*INDEX(FmtBlendedCogs,MATCH(F354,FmtName,0))</f>
        <v/>
      </c>
      <c r="Z354" s="47">
        <f>X354-Y354</f>
        <v/>
      </c>
    </row>
    <row r="355">
      <c r="A355" t="n">
        <v>36</v>
      </c>
      <c r="B355" s="44">
        <f>FiscalStart+(A355-1)*7</f>
        <v/>
      </c>
      <c r="C355">
        <f>TEXT(B355,"mmm yyyy")</f>
        <v/>
      </c>
      <c r="D355">
        <f>"Q"&amp;(INT((A355-1)/13)+1)</f>
        <v/>
      </c>
      <c r="E355" t="inlineStr">
        <is>
          <t>Convenience</t>
        </is>
      </c>
      <c r="F355">
        <f>IFERROR(INDEX(ChFormat,MATCH(E355,ChName,0)),"")</f>
        <v/>
      </c>
      <c r="G355" t="inlineStr">
        <is>
          <t>NB</t>
        </is>
      </c>
      <c r="H355">
        <f>IF(A355&lt;=NWeeks,1,0)</f>
        <v/>
      </c>
      <c r="I355">
        <f>INDEX(ChLaunch,MATCH(E355,ChName,0))</f>
        <v/>
      </c>
      <c r="J355">
        <f>INDEX(ChWeeksFull,MATCH(E355,ChName,0))</f>
        <v/>
      </c>
      <c r="K355">
        <f>INDEX(ChRamp,MATCH(E355,ChName,0))</f>
        <v/>
      </c>
      <c r="L355" s="45">
        <f>MIN(1,MAX(0,(A355-I355+1)*RampSpeed/J355))</f>
        <v/>
      </c>
      <c r="M355" s="45">
        <f>IF(A355&lt;I355,0,IF(K355="S-curve",L355*L355*(3-2*L355),L355))</f>
        <v/>
      </c>
      <c r="N355" s="45">
        <f>1+(INDEX(SeasonIdx,A355)-1)*SeasonAmp</f>
        <v/>
      </c>
      <c r="O355" s="45">
        <f>IFERROR(INDEX(PSPct,MATCH(E355&amp;"|"&amp;G355,PSKey,0)),0)</f>
        <v/>
      </c>
      <c r="P355" s="46">
        <f>INDEX(ChDoorVel,MATCH(E355,ChName,0))*CalibScalar*(1+VelocityUplift)</f>
        <v/>
      </c>
      <c r="Q355" s="46" t="n">
        <v>0</v>
      </c>
      <c r="R355" s="46">
        <f>P355*O355*M355*N355*H355</f>
        <v/>
      </c>
      <c r="S355" s="46">
        <f>R355*INDEX(FmtCansPerCase,MATCH(F355,FmtName,0))</f>
        <v/>
      </c>
      <c r="T355" s="46">
        <f>S355/INDEX(FmtCansPerPack,MATCH(F355,FmtName,0))</f>
        <v/>
      </c>
      <c r="U355" s="47">
        <f>INDEX(ChBaseCP,MATCH(E355,ChName,0))*(1+INDEX(ProvMod,MATCH(G355,ProvCode,0)))*(1+PriceIndex)</f>
        <v/>
      </c>
      <c r="V355" s="47">
        <f>R355*U355*INDEX(FmtBlendedPriceIdx,MATCH(F355,FmtName,0))</f>
        <v/>
      </c>
      <c r="W355" s="47">
        <f>T355*INDEX(ProvSRP,MATCH(G355,ProvCode,0))*(1+PriceIndex)</f>
        <v/>
      </c>
      <c r="X355" s="47">
        <f>IF(GrossBasis="Wholesale",V355,W355)</f>
        <v/>
      </c>
      <c r="Y355" s="47">
        <f>R355*INDEX(FmtBlendedCogs,MATCH(F355,FmtName,0))</f>
        <v/>
      </c>
      <c r="Z355" s="47">
        <f>X355-Y355</f>
        <v/>
      </c>
    </row>
    <row r="356">
      <c r="A356" t="n">
        <v>37</v>
      </c>
      <c r="B356" s="44">
        <f>FiscalStart+(A356-1)*7</f>
        <v/>
      </c>
      <c r="C356">
        <f>TEXT(B356,"mmm yyyy")</f>
        <v/>
      </c>
      <c r="D356">
        <f>"Q"&amp;(INT((A356-1)/13)+1)</f>
        <v/>
      </c>
      <c r="E356" t="inlineStr">
        <is>
          <t>Convenience</t>
        </is>
      </c>
      <c r="F356">
        <f>IFERROR(INDEX(ChFormat,MATCH(E356,ChName,0)),"")</f>
        <v/>
      </c>
      <c r="G356" t="inlineStr">
        <is>
          <t>NB</t>
        </is>
      </c>
      <c r="H356">
        <f>IF(A356&lt;=NWeeks,1,0)</f>
        <v/>
      </c>
      <c r="I356">
        <f>INDEX(ChLaunch,MATCH(E356,ChName,0))</f>
        <v/>
      </c>
      <c r="J356">
        <f>INDEX(ChWeeksFull,MATCH(E356,ChName,0))</f>
        <v/>
      </c>
      <c r="K356">
        <f>INDEX(ChRamp,MATCH(E356,ChName,0))</f>
        <v/>
      </c>
      <c r="L356" s="45">
        <f>MIN(1,MAX(0,(A356-I356+1)*RampSpeed/J356))</f>
        <v/>
      </c>
      <c r="M356" s="45">
        <f>IF(A356&lt;I356,0,IF(K356="S-curve",L356*L356*(3-2*L356),L356))</f>
        <v/>
      </c>
      <c r="N356" s="45">
        <f>1+(INDEX(SeasonIdx,A356)-1)*SeasonAmp</f>
        <v/>
      </c>
      <c r="O356" s="45">
        <f>IFERROR(INDEX(PSPct,MATCH(E356&amp;"|"&amp;G356,PSKey,0)),0)</f>
        <v/>
      </c>
      <c r="P356" s="46">
        <f>INDEX(ChDoorVel,MATCH(E356,ChName,0))*CalibScalar*(1+VelocityUplift)</f>
        <v/>
      </c>
      <c r="Q356" s="46" t="n">
        <v>0</v>
      </c>
      <c r="R356" s="46">
        <f>P356*O356*M356*N356*H356</f>
        <v/>
      </c>
      <c r="S356" s="46">
        <f>R356*INDEX(FmtCansPerCase,MATCH(F356,FmtName,0))</f>
        <v/>
      </c>
      <c r="T356" s="46">
        <f>S356/INDEX(FmtCansPerPack,MATCH(F356,FmtName,0))</f>
        <v/>
      </c>
      <c r="U356" s="47">
        <f>INDEX(ChBaseCP,MATCH(E356,ChName,0))*(1+INDEX(ProvMod,MATCH(G356,ProvCode,0)))*(1+PriceIndex)</f>
        <v/>
      </c>
      <c r="V356" s="47">
        <f>R356*U356*INDEX(FmtBlendedPriceIdx,MATCH(F356,FmtName,0))</f>
        <v/>
      </c>
      <c r="W356" s="47">
        <f>T356*INDEX(ProvSRP,MATCH(G356,ProvCode,0))*(1+PriceIndex)</f>
        <v/>
      </c>
      <c r="X356" s="47">
        <f>IF(GrossBasis="Wholesale",V356,W356)</f>
        <v/>
      </c>
      <c r="Y356" s="47">
        <f>R356*INDEX(FmtBlendedCogs,MATCH(F356,FmtName,0))</f>
        <v/>
      </c>
      <c r="Z356" s="47">
        <f>X356-Y356</f>
        <v/>
      </c>
    </row>
    <row r="357">
      <c r="A357" t="n">
        <v>38</v>
      </c>
      <c r="B357" s="44">
        <f>FiscalStart+(A357-1)*7</f>
        <v/>
      </c>
      <c r="C357">
        <f>TEXT(B357,"mmm yyyy")</f>
        <v/>
      </c>
      <c r="D357">
        <f>"Q"&amp;(INT((A357-1)/13)+1)</f>
        <v/>
      </c>
      <c r="E357" t="inlineStr">
        <is>
          <t>Convenience</t>
        </is>
      </c>
      <c r="F357">
        <f>IFERROR(INDEX(ChFormat,MATCH(E357,ChName,0)),"")</f>
        <v/>
      </c>
      <c r="G357" t="inlineStr">
        <is>
          <t>NB</t>
        </is>
      </c>
      <c r="H357">
        <f>IF(A357&lt;=NWeeks,1,0)</f>
        <v/>
      </c>
      <c r="I357">
        <f>INDEX(ChLaunch,MATCH(E357,ChName,0))</f>
        <v/>
      </c>
      <c r="J357">
        <f>INDEX(ChWeeksFull,MATCH(E357,ChName,0))</f>
        <v/>
      </c>
      <c r="K357">
        <f>INDEX(ChRamp,MATCH(E357,ChName,0))</f>
        <v/>
      </c>
      <c r="L357" s="45">
        <f>MIN(1,MAX(0,(A357-I357+1)*RampSpeed/J357))</f>
        <v/>
      </c>
      <c r="M357" s="45">
        <f>IF(A357&lt;I357,0,IF(K357="S-curve",L357*L357*(3-2*L357),L357))</f>
        <v/>
      </c>
      <c r="N357" s="45">
        <f>1+(INDEX(SeasonIdx,A357)-1)*SeasonAmp</f>
        <v/>
      </c>
      <c r="O357" s="45">
        <f>IFERROR(INDEX(PSPct,MATCH(E357&amp;"|"&amp;G357,PSKey,0)),0)</f>
        <v/>
      </c>
      <c r="P357" s="46">
        <f>INDEX(ChDoorVel,MATCH(E357,ChName,0))*CalibScalar*(1+VelocityUplift)</f>
        <v/>
      </c>
      <c r="Q357" s="46" t="n">
        <v>0</v>
      </c>
      <c r="R357" s="46">
        <f>P357*O357*M357*N357*H357</f>
        <v/>
      </c>
      <c r="S357" s="46">
        <f>R357*INDEX(FmtCansPerCase,MATCH(F357,FmtName,0))</f>
        <v/>
      </c>
      <c r="T357" s="46">
        <f>S357/INDEX(FmtCansPerPack,MATCH(F357,FmtName,0))</f>
        <v/>
      </c>
      <c r="U357" s="47">
        <f>INDEX(ChBaseCP,MATCH(E357,ChName,0))*(1+INDEX(ProvMod,MATCH(G357,ProvCode,0)))*(1+PriceIndex)</f>
        <v/>
      </c>
      <c r="V357" s="47">
        <f>R357*U357*INDEX(FmtBlendedPriceIdx,MATCH(F357,FmtName,0))</f>
        <v/>
      </c>
      <c r="W357" s="47">
        <f>T357*INDEX(ProvSRP,MATCH(G357,ProvCode,0))*(1+PriceIndex)</f>
        <v/>
      </c>
      <c r="X357" s="47">
        <f>IF(GrossBasis="Wholesale",V357,W357)</f>
        <v/>
      </c>
      <c r="Y357" s="47">
        <f>R357*INDEX(FmtBlendedCogs,MATCH(F357,FmtName,0))</f>
        <v/>
      </c>
      <c r="Z357" s="47">
        <f>X357-Y357</f>
        <v/>
      </c>
    </row>
    <row r="358">
      <c r="A358" t="n">
        <v>39</v>
      </c>
      <c r="B358" s="44">
        <f>FiscalStart+(A358-1)*7</f>
        <v/>
      </c>
      <c r="C358">
        <f>TEXT(B358,"mmm yyyy")</f>
        <v/>
      </c>
      <c r="D358">
        <f>"Q"&amp;(INT((A358-1)/13)+1)</f>
        <v/>
      </c>
      <c r="E358" t="inlineStr">
        <is>
          <t>Convenience</t>
        </is>
      </c>
      <c r="F358">
        <f>IFERROR(INDEX(ChFormat,MATCH(E358,ChName,0)),"")</f>
        <v/>
      </c>
      <c r="G358" t="inlineStr">
        <is>
          <t>NB</t>
        </is>
      </c>
      <c r="H358">
        <f>IF(A358&lt;=NWeeks,1,0)</f>
        <v/>
      </c>
      <c r="I358">
        <f>INDEX(ChLaunch,MATCH(E358,ChName,0))</f>
        <v/>
      </c>
      <c r="J358">
        <f>INDEX(ChWeeksFull,MATCH(E358,ChName,0))</f>
        <v/>
      </c>
      <c r="K358">
        <f>INDEX(ChRamp,MATCH(E358,ChName,0))</f>
        <v/>
      </c>
      <c r="L358" s="45">
        <f>MIN(1,MAX(0,(A358-I358+1)*RampSpeed/J358))</f>
        <v/>
      </c>
      <c r="M358" s="45">
        <f>IF(A358&lt;I358,0,IF(K358="S-curve",L358*L358*(3-2*L358),L358))</f>
        <v/>
      </c>
      <c r="N358" s="45">
        <f>1+(INDEX(SeasonIdx,A358)-1)*SeasonAmp</f>
        <v/>
      </c>
      <c r="O358" s="45">
        <f>IFERROR(INDEX(PSPct,MATCH(E358&amp;"|"&amp;G358,PSKey,0)),0)</f>
        <v/>
      </c>
      <c r="P358" s="46">
        <f>INDEX(ChDoorVel,MATCH(E358,ChName,0))*CalibScalar*(1+VelocityUplift)</f>
        <v/>
      </c>
      <c r="Q358" s="46" t="n">
        <v>0</v>
      </c>
      <c r="R358" s="46">
        <f>P358*O358*M358*N358*H358</f>
        <v/>
      </c>
      <c r="S358" s="46">
        <f>R358*INDEX(FmtCansPerCase,MATCH(F358,FmtName,0))</f>
        <v/>
      </c>
      <c r="T358" s="46">
        <f>S358/INDEX(FmtCansPerPack,MATCH(F358,FmtName,0))</f>
        <v/>
      </c>
      <c r="U358" s="47">
        <f>INDEX(ChBaseCP,MATCH(E358,ChName,0))*(1+INDEX(ProvMod,MATCH(G358,ProvCode,0)))*(1+PriceIndex)</f>
        <v/>
      </c>
      <c r="V358" s="47">
        <f>R358*U358*INDEX(FmtBlendedPriceIdx,MATCH(F358,FmtName,0))</f>
        <v/>
      </c>
      <c r="W358" s="47">
        <f>T358*INDEX(ProvSRP,MATCH(G358,ProvCode,0))*(1+PriceIndex)</f>
        <v/>
      </c>
      <c r="X358" s="47">
        <f>IF(GrossBasis="Wholesale",V358,W358)</f>
        <v/>
      </c>
      <c r="Y358" s="47">
        <f>R358*INDEX(FmtBlendedCogs,MATCH(F358,FmtName,0))</f>
        <v/>
      </c>
      <c r="Z358" s="47">
        <f>X358-Y358</f>
        <v/>
      </c>
    </row>
    <row r="359">
      <c r="A359" t="n">
        <v>40</v>
      </c>
      <c r="B359" s="44">
        <f>FiscalStart+(A359-1)*7</f>
        <v/>
      </c>
      <c r="C359">
        <f>TEXT(B359,"mmm yyyy")</f>
        <v/>
      </c>
      <c r="D359">
        <f>"Q"&amp;(INT((A359-1)/13)+1)</f>
        <v/>
      </c>
      <c r="E359" t="inlineStr">
        <is>
          <t>Convenience</t>
        </is>
      </c>
      <c r="F359">
        <f>IFERROR(INDEX(ChFormat,MATCH(E359,ChName,0)),"")</f>
        <v/>
      </c>
      <c r="G359" t="inlineStr">
        <is>
          <t>NB</t>
        </is>
      </c>
      <c r="H359">
        <f>IF(A359&lt;=NWeeks,1,0)</f>
        <v/>
      </c>
      <c r="I359">
        <f>INDEX(ChLaunch,MATCH(E359,ChName,0))</f>
        <v/>
      </c>
      <c r="J359">
        <f>INDEX(ChWeeksFull,MATCH(E359,ChName,0))</f>
        <v/>
      </c>
      <c r="K359">
        <f>INDEX(ChRamp,MATCH(E359,ChName,0))</f>
        <v/>
      </c>
      <c r="L359" s="45">
        <f>MIN(1,MAX(0,(A359-I359+1)*RampSpeed/J359))</f>
        <v/>
      </c>
      <c r="M359" s="45">
        <f>IF(A359&lt;I359,0,IF(K359="S-curve",L359*L359*(3-2*L359),L359))</f>
        <v/>
      </c>
      <c r="N359" s="45">
        <f>1+(INDEX(SeasonIdx,A359)-1)*SeasonAmp</f>
        <v/>
      </c>
      <c r="O359" s="45">
        <f>IFERROR(INDEX(PSPct,MATCH(E359&amp;"|"&amp;G359,PSKey,0)),0)</f>
        <v/>
      </c>
      <c r="P359" s="46">
        <f>INDEX(ChDoorVel,MATCH(E359,ChName,0))*CalibScalar*(1+VelocityUplift)</f>
        <v/>
      </c>
      <c r="Q359" s="46" t="n">
        <v>0</v>
      </c>
      <c r="R359" s="46">
        <f>P359*O359*M359*N359*H359</f>
        <v/>
      </c>
      <c r="S359" s="46">
        <f>R359*INDEX(FmtCansPerCase,MATCH(F359,FmtName,0))</f>
        <v/>
      </c>
      <c r="T359" s="46">
        <f>S359/INDEX(FmtCansPerPack,MATCH(F359,FmtName,0))</f>
        <v/>
      </c>
      <c r="U359" s="47">
        <f>INDEX(ChBaseCP,MATCH(E359,ChName,0))*(1+INDEX(ProvMod,MATCH(G359,ProvCode,0)))*(1+PriceIndex)</f>
        <v/>
      </c>
      <c r="V359" s="47">
        <f>R359*U359*INDEX(FmtBlendedPriceIdx,MATCH(F359,FmtName,0))</f>
        <v/>
      </c>
      <c r="W359" s="47">
        <f>T359*INDEX(ProvSRP,MATCH(G359,ProvCode,0))*(1+PriceIndex)</f>
        <v/>
      </c>
      <c r="X359" s="47">
        <f>IF(GrossBasis="Wholesale",V359,W359)</f>
        <v/>
      </c>
      <c r="Y359" s="47">
        <f>R359*INDEX(FmtBlendedCogs,MATCH(F359,FmtName,0))</f>
        <v/>
      </c>
      <c r="Z359" s="47">
        <f>X359-Y359</f>
        <v/>
      </c>
    </row>
    <row r="360">
      <c r="A360" t="n">
        <v>41</v>
      </c>
      <c r="B360" s="44">
        <f>FiscalStart+(A360-1)*7</f>
        <v/>
      </c>
      <c r="C360">
        <f>TEXT(B360,"mmm yyyy")</f>
        <v/>
      </c>
      <c r="D360">
        <f>"Q"&amp;(INT((A360-1)/13)+1)</f>
        <v/>
      </c>
      <c r="E360" t="inlineStr">
        <is>
          <t>Convenience</t>
        </is>
      </c>
      <c r="F360">
        <f>IFERROR(INDEX(ChFormat,MATCH(E360,ChName,0)),"")</f>
        <v/>
      </c>
      <c r="G360" t="inlineStr">
        <is>
          <t>NB</t>
        </is>
      </c>
      <c r="H360">
        <f>IF(A360&lt;=NWeeks,1,0)</f>
        <v/>
      </c>
      <c r="I360">
        <f>INDEX(ChLaunch,MATCH(E360,ChName,0))</f>
        <v/>
      </c>
      <c r="J360">
        <f>INDEX(ChWeeksFull,MATCH(E360,ChName,0))</f>
        <v/>
      </c>
      <c r="K360">
        <f>INDEX(ChRamp,MATCH(E360,ChName,0))</f>
        <v/>
      </c>
      <c r="L360" s="45">
        <f>MIN(1,MAX(0,(A360-I360+1)*RampSpeed/J360))</f>
        <v/>
      </c>
      <c r="M360" s="45">
        <f>IF(A360&lt;I360,0,IF(K360="S-curve",L360*L360*(3-2*L360),L360))</f>
        <v/>
      </c>
      <c r="N360" s="45">
        <f>1+(INDEX(SeasonIdx,A360)-1)*SeasonAmp</f>
        <v/>
      </c>
      <c r="O360" s="45">
        <f>IFERROR(INDEX(PSPct,MATCH(E360&amp;"|"&amp;G360,PSKey,0)),0)</f>
        <v/>
      </c>
      <c r="P360" s="46">
        <f>INDEX(ChDoorVel,MATCH(E360,ChName,0))*CalibScalar*(1+VelocityUplift)</f>
        <v/>
      </c>
      <c r="Q360" s="46" t="n">
        <v>0</v>
      </c>
      <c r="R360" s="46">
        <f>P360*O360*M360*N360*H360</f>
        <v/>
      </c>
      <c r="S360" s="46">
        <f>R360*INDEX(FmtCansPerCase,MATCH(F360,FmtName,0))</f>
        <v/>
      </c>
      <c r="T360" s="46">
        <f>S360/INDEX(FmtCansPerPack,MATCH(F360,FmtName,0))</f>
        <v/>
      </c>
      <c r="U360" s="47">
        <f>INDEX(ChBaseCP,MATCH(E360,ChName,0))*(1+INDEX(ProvMod,MATCH(G360,ProvCode,0)))*(1+PriceIndex)</f>
        <v/>
      </c>
      <c r="V360" s="47">
        <f>R360*U360*INDEX(FmtBlendedPriceIdx,MATCH(F360,FmtName,0))</f>
        <v/>
      </c>
      <c r="W360" s="47">
        <f>T360*INDEX(ProvSRP,MATCH(G360,ProvCode,0))*(1+PriceIndex)</f>
        <v/>
      </c>
      <c r="X360" s="47">
        <f>IF(GrossBasis="Wholesale",V360,W360)</f>
        <v/>
      </c>
      <c r="Y360" s="47">
        <f>R360*INDEX(FmtBlendedCogs,MATCH(F360,FmtName,0))</f>
        <v/>
      </c>
      <c r="Z360" s="47">
        <f>X360-Y360</f>
        <v/>
      </c>
    </row>
    <row r="361">
      <c r="A361" t="n">
        <v>42</v>
      </c>
      <c r="B361" s="44">
        <f>FiscalStart+(A361-1)*7</f>
        <v/>
      </c>
      <c r="C361">
        <f>TEXT(B361,"mmm yyyy")</f>
        <v/>
      </c>
      <c r="D361">
        <f>"Q"&amp;(INT((A361-1)/13)+1)</f>
        <v/>
      </c>
      <c r="E361" t="inlineStr">
        <is>
          <t>Convenience</t>
        </is>
      </c>
      <c r="F361">
        <f>IFERROR(INDEX(ChFormat,MATCH(E361,ChName,0)),"")</f>
        <v/>
      </c>
      <c r="G361" t="inlineStr">
        <is>
          <t>NB</t>
        </is>
      </c>
      <c r="H361">
        <f>IF(A361&lt;=NWeeks,1,0)</f>
        <v/>
      </c>
      <c r="I361">
        <f>INDEX(ChLaunch,MATCH(E361,ChName,0))</f>
        <v/>
      </c>
      <c r="J361">
        <f>INDEX(ChWeeksFull,MATCH(E361,ChName,0))</f>
        <v/>
      </c>
      <c r="K361">
        <f>INDEX(ChRamp,MATCH(E361,ChName,0))</f>
        <v/>
      </c>
      <c r="L361" s="45">
        <f>MIN(1,MAX(0,(A361-I361+1)*RampSpeed/J361))</f>
        <v/>
      </c>
      <c r="M361" s="45">
        <f>IF(A361&lt;I361,0,IF(K361="S-curve",L361*L361*(3-2*L361),L361))</f>
        <v/>
      </c>
      <c r="N361" s="45">
        <f>1+(INDEX(SeasonIdx,A361)-1)*SeasonAmp</f>
        <v/>
      </c>
      <c r="O361" s="45">
        <f>IFERROR(INDEX(PSPct,MATCH(E361&amp;"|"&amp;G361,PSKey,0)),0)</f>
        <v/>
      </c>
      <c r="P361" s="46">
        <f>INDEX(ChDoorVel,MATCH(E361,ChName,0))*CalibScalar*(1+VelocityUplift)</f>
        <v/>
      </c>
      <c r="Q361" s="46" t="n">
        <v>0</v>
      </c>
      <c r="R361" s="46">
        <f>P361*O361*M361*N361*H361</f>
        <v/>
      </c>
      <c r="S361" s="46">
        <f>R361*INDEX(FmtCansPerCase,MATCH(F361,FmtName,0))</f>
        <v/>
      </c>
      <c r="T361" s="46">
        <f>S361/INDEX(FmtCansPerPack,MATCH(F361,FmtName,0))</f>
        <v/>
      </c>
      <c r="U361" s="47">
        <f>INDEX(ChBaseCP,MATCH(E361,ChName,0))*(1+INDEX(ProvMod,MATCH(G361,ProvCode,0)))*(1+PriceIndex)</f>
        <v/>
      </c>
      <c r="V361" s="47">
        <f>R361*U361*INDEX(FmtBlendedPriceIdx,MATCH(F361,FmtName,0))</f>
        <v/>
      </c>
      <c r="W361" s="47">
        <f>T361*INDEX(ProvSRP,MATCH(G361,ProvCode,0))*(1+PriceIndex)</f>
        <v/>
      </c>
      <c r="X361" s="47">
        <f>IF(GrossBasis="Wholesale",V361,W361)</f>
        <v/>
      </c>
      <c r="Y361" s="47">
        <f>R361*INDEX(FmtBlendedCogs,MATCH(F361,FmtName,0))</f>
        <v/>
      </c>
      <c r="Z361" s="47">
        <f>X361-Y361</f>
        <v/>
      </c>
    </row>
    <row r="362">
      <c r="A362" t="n">
        <v>43</v>
      </c>
      <c r="B362" s="44">
        <f>FiscalStart+(A362-1)*7</f>
        <v/>
      </c>
      <c r="C362">
        <f>TEXT(B362,"mmm yyyy")</f>
        <v/>
      </c>
      <c r="D362">
        <f>"Q"&amp;(INT((A362-1)/13)+1)</f>
        <v/>
      </c>
      <c r="E362" t="inlineStr">
        <is>
          <t>Convenience</t>
        </is>
      </c>
      <c r="F362">
        <f>IFERROR(INDEX(ChFormat,MATCH(E362,ChName,0)),"")</f>
        <v/>
      </c>
      <c r="G362" t="inlineStr">
        <is>
          <t>NB</t>
        </is>
      </c>
      <c r="H362">
        <f>IF(A362&lt;=NWeeks,1,0)</f>
        <v/>
      </c>
      <c r="I362">
        <f>INDEX(ChLaunch,MATCH(E362,ChName,0))</f>
        <v/>
      </c>
      <c r="J362">
        <f>INDEX(ChWeeksFull,MATCH(E362,ChName,0))</f>
        <v/>
      </c>
      <c r="K362">
        <f>INDEX(ChRamp,MATCH(E362,ChName,0))</f>
        <v/>
      </c>
      <c r="L362" s="45">
        <f>MIN(1,MAX(0,(A362-I362+1)*RampSpeed/J362))</f>
        <v/>
      </c>
      <c r="M362" s="45">
        <f>IF(A362&lt;I362,0,IF(K362="S-curve",L362*L362*(3-2*L362),L362))</f>
        <v/>
      </c>
      <c r="N362" s="45">
        <f>1+(INDEX(SeasonIdx,A362)-1)*SeasonAmp</f>
        <v/>
      </c>
      <c r="O362" s="45">
        <f>IFERROR(INDEX(PSPct,MATCH(E362&amp;"|"&amp;G362,PSKey,0)),0)</f>
        <v/>
      </c>
      <c r="P362" s="46">
        <f>INDEX(ChDoorVel,MATCH(E362,ChName,0))*CalibScalar*(1+VelocityUplift)</f>
        <v/>
      </c>
      <c r="Q362" s="46" t="n">
        <v>0</v>
      </c>
      <c r="R362" s="46">
        <f>P362*O362*M362*N362*H362</f>
        <v/>
      </c>
      <c r="S362" s="46">
        <f>R362*INDEX(FmtCansPerCase,MATCH(F362,FmtName,0))</f>
        <v/>
      </c>
      <c r="T362" s="46">
        <f>S362/INDEX(FmtCansPerPack,MATCH(F362,FmtName,0))</f>
        <v/>
      </c>
      <c r="U362" s="47">
        <f>INDEX(ChBaseCP,MATCH(E362,ChName,0))*(1+INDEX(ProvMod,MATCH(G362,ProvCode,0)))*(1+PriceIndex)</f>
        <v/>
      </c>
      <c r="V362" s="47">
        <f>R362*U362*INDEX(FmtBlendedPriceIdx,MATCH(F362,FmtName,0))</f>
        <v/>
      </c>
      <c r="W362" s="47">
        <f>T362*INDEX(ProvSRP,MATCH(G362,ProvCode,0))*(1+PriceIndex)</f>
        <v/>
      </c>
      <c r="X362" s="47">
        <f>IF(GrossBasis="Wholesale",V362,W362)</f>
        <v/>
      </c>
      <c r="Y362" s="47">
        <f>R362*INDEX(FmtBlendedCogs,MATCH(F362,FmtName,0))</f>
        <v/>
      </c>
      <c r="Z362" s="47">
        <f>X362-Y362</f>
        <v/>
      </c>
    </row>
    <row r="363">
      <c r="A363" t="n">
        <v>44</v>
      </c>
      <c r="B363" s="44">
        <f>FiscalStart+(A363-1)*7</f>
        <v/>
      </c>
      <c r="C363">
        <f>TEXT(B363,"mmm yyyy")</f>
        <v/>
      </c>
      <c r="D363">
        <f>"Q"&amp;(INT((A363-1)/13)+1)</f>
        <v/>
      </c>
      <c r="E363" t="inlineStr">
        <is>
          <t>Convenience</t>
        </is>
      </c>
      <c r="F363">
        <f>IFERROR(INDEX(ChFormat,MATCH(E363,ChName,0)),"")</f>
        <v/>
      </c>
      <c r="G363" t="inlineStr">
        <is>
          <t>NB</t>
        </is>
      </c>
      <c r="H363">
        <f>IF(A363&lt;=NWeeks,1,0)</f>
        <v/>
      </c>
      <c r="I363">
        <f>INDEX(ChLaunch,MATCH(E363,ChName,0))</f>
        <v/>
      </c>
      <c r="J363">
        <f>INDEX(ChWeeksFull,MATCH(E363,ChName,0))</f>
        <v/>
      </c>
      <c r="K363">
        <f>INDEX(ChRamp,MATCH(E363,ChName,0))</f>
        <v/>
      </c>
      <c r="L363" s="45">
        <f>MIN(1,MAX(0,(A363-I363+1)*RampSpeed/J363))</f>
        <v/>
      </c>
      <c r="M363" s="45">
        <f>IF(A363&lt;I363,0,IF(K363="S-curve",L363*L363*(3-2*L363),L363))</f>
        <v/>
      </c>
      <c r="N363" s="45">
        <f>1+(INDEX(SeasonIdx,A363)-1)*SeasonAmp</f>
        <v/>
      </c>
      <c r="O363" s="45">
        <f>IFERROR(INDEX(PSPct,MATCH(E363&amp;"|"&amp;G363,PSKey,0)),0)</f>
        <v/>
      </c>
      <c r="P363" s="46">
        <f>INDEX(ChDoorVel,MATCH(E363,ChName,0))*CalibScalar*(1+VelocityUplift)</f>
        <v/>
      </c>
      <c r="Q363" s="46" t="n">
        <v>0</v>
      </c>
      <c r="R363" s="46">
        <f>P363*O363*M363*N363*H363</f>
        <v/>
      </c>
      <c r="S363" s="46">
        <f>R363*INDEX(FmtCansPerCase,MATCH(F363,FmtName,0))</f>
        <v/>
      </c>
      <c r="T363" s="46">
        <f>S363/INDEX(FmtCansPerPack,MATCH(F363,FmtName,0))</f>
        <v/>
      </c>
      <c r="U363" s="47">
        <f>INDEX(ChBaseCP,MATCH(E363,ChName,0))*(1+INDEX(ProvMod,MATCH(G363,ProvCode,0)))*(1+PriceIndex)</f>
        <v/>
      </c>
      <c r="V363" s="47">
        <f>R363*U363*INDEX(FmtBlendedPriceIdx,MATCH(F363,FmtName,0))</f>
        <v/>
      </c>
      <c r="W363" s="47">
        <f>T363*INDEX(ProvSRP,MATCH(G363,ProvCode,0))*(1+PriceIndex)</f>
        <v/>
      </c>
      <c r="X363" s="47">
        <f>IF(GrossBasis="Wholesale",V363,W363)</f>
        <v/>
      </c>
      <c r="Y363" s="47">
        <f>R363*INDEX(FmtBlendedCogs,MATCH(F363,FmtName,0))</f>
        <v/>
      </c>
      <c r="Z363" s="47">
        <f>X363-Y363</f>
        <v/>
      </c>
    </row>
    <row r="364">
      <c r="A364" t="n">
        <v>45</v>
      </c>
      <c r="B364" s="44">
        <f>FiscalStart+(A364-1)*7</f>
        <v/>
      </c>
      <c r="C364">
        <f>TEXT(B364,"mmm yyyy")</f>
        <v/>
      </c>
      <c r="D364">
        <f>"Q"&amp;(INT((A364-1)/13)+1)</f>
        <v/>
      </c>
      <c r="E364" t="inlineStr">
        <is>
          <t>Convenience</t>
        </is>
      </c>
      <c r="F364">
        <f>IFERROR(INDEX(ChFormat,MATCH(E364,ChName,0)),"")</f>
        <v/>
      </c>
      <c r="G364" t="inlineStr">
        <is>
          <t>NB</t>
        </is>
      </c>
      <c r="H364">
        <f>IF(A364&lt;=NWeeks,1,0)</f>
        <v/>
      </c>
      <c r="I364">
        <f>INDEX(ChLaunch,MATCH(E364,ChName,0))</f>
        <v/>
      </c>
      <c r="J364">
        <f>INDEX(ChWeeksFull,MATCH(E364,ChName,0))</f>
        <v/>
      </c>
      <c r="K364">
        <f>INDEX(ChRamp,MATCH(E364,ChName,0))</f>
        <v/>
      </c>
      <c r="L364" s="45">
        <f>MIN(1,MAX(0,(A364-I364+1)*RampSpeed/J364))</f>
        <v/>
      </c>
      <c r="M364" s="45">
        <f>IF(A364&lt;I364,0,IF(K364="S-curve",L364*L364*(3-2*L364),L364))</f>
        <v/>
      </c>
      <c r="N364" s="45">
        <f>1+(INDEX(SeasonIdx,A364)-1)*SeasonAmp</f>
        <v/>
      </c>
      <c r="O364" s="45">
        <f>IFERROR(INDEX(PSPct,MATCH(E364&amp;"|"&amp;G364,PSKey,0)),0)</f>
        <v/>
      </c>
      <c r="P364" s="46">
        <f>INDEX(ChDoorVel,MATCH(E364,ChName,0))*CalibScalar*(1+VelocityUplift)</f>
        <v/>
      </c>
      <c r="Q364" s="46" t="n">
        <v>0</v>
      </c>
      <c r="R364" s="46">
        <f>P364*O364*M364*N364*H364</f>
        <v/>
      </c>
      <c r="S364" s="46">
        <f>R364*INDEX(FmtCansPerCase,MATCH(F364,FmtName,0))</f>
        <v/>
      </c>
      <c r="T364" s="46">
        <f>S364/INDEX(FmtCansPerPack,MATCH(F364,FmtName,0))</f>
        <v/>
      </c>
      <c r="U364" s="47">
        <f>INDEX(ChBaseCP,MATCH(E364,ChName,0))*(1+INDEX(ProvMod,MATCH(G364,ProvCode,0)))*(1+PriceIndex)</f>
        <v/>
      </c>
      <c r="V364" s="47">
        <f>R364*U364*INDEX(FmtBlendedPriceIdx,MATCH(F364,FmtName,0))</f>
        <v/>
      </c>
      <c r="W364" s="47">
        <f>T364*INDEX(ProvSRP,MATCH(G364,ProvCode,0))*(1+PriceIndex)</f>
        <v/>
      </c>
      <c r="X364" s="47">
        <f>IF(GrossBasis="Wholesale",V364,W364)</f>
        <v/>
      </c>
      <c r="Y364" s="47">
        <f>R364*INDEX(FmtBlendedCogs,MATCH(F364,FmtName,0))</f>
        <v/>
      </c>
      <c r="Z364" s="47">
        <f>X364-Y364</f>
        <v/>
      </c>
    </row>
    <row r="365">
      <c r="A365" t="n">
        <v>46</v>
      </c>
      <c r="B365" s="44">
        <f>FiscalStart+(A365-1)*7</f>
        <v/>
      </c>
      <c r="C365">
        <f>TEXT(B365,"mmm yyyy")</f>
        <v/>
      </c>
      <c r="D365">
        <f>"Q"&amp;(INT((A365-1)/13)+1)</f>
        <v/>
      </c>
      <c r="E365" t="inlineStr">
        <is>
          <t>Convenience</t>
        </is>
      </c>
      <c r="F365">
        <f>IFERROR(INDEX(ChFormat,MATCH(E365,ChName,0)),"")</f>
        <v/>
      </c>
      <c r="G365" t="inlineStr">
        <is>
          <t>NB</t>
        </is>
      </c>
      <c r="H365">
        <f>IF(A365&lt;=NWeeks,1,0)</f>
        <v/>
      </c>
      <c r="I365">
        <f>INDEX(ChLaunch,MATCH(E365,ChName,0))</f>
        <v/>
      </c>
      <c r="J365">
        <f>INDEX(ChWeeksFull,MATCH(E365,ChName,0))</f>
        <v/>
      </c>
      <c r="K365">
        <f>INDEX(ChRamp,MATCH(E365,ChName,0))</f>
        <v/>
      </c>
      <c r="L365" s="45">
        <f>MIN(1,MAX(0,(A365-I365+1)*RampSpeed/J365))</f>
        <v/>
      </c>
      <c r="M365" s="45">
        <f>IF(A365&lt;I365,0,IF(K365="S-curve",L365*L365*(3-2*L365),L365))</f>
        <v/>
      </c>
      <c r="N365" s="45">
        <f>1+(INDEX(SeasonIdx,A365)-1)*SeasonAmp</f>
        <v/>
      </c>
      <c r="O365" s="45">
        <f>IFERROR(INDEX(PSPct,MATCH(E365&amp;"|"&amp;G365,PSKey,0)),0)</f>
        <v/>
      </c>
      <c r="P365" s="46">
        <f>INDEX(ChDoorVel,MATCH(E365,ChName,0))*CalibScalar*(1+VelocityUplift)</f>
        <v/>
      </c>
      <c r="Q365" s="46" t="n">
        <v>0</v>
      </c>
      <c r="R365" s="46">
        <f>P365*O365*M365*N365*H365</f>
        <v/>
      </c>
      <c r="S365" s="46">
        <f>R365*INDEX(FmtCansPerCase,MATCH(F365,FmtName,0))</f>
        <v/>
      </c>
      <c r="T365" s="46">
        <f>S365/INDEX(FmtCansPerPack,MATCH(F365,FmtName,0))</f>
        <v/>
      </c>
      <c r="U365" s="47">
        <f>INDEX(ChBaseCP,MATCH(E365,ChName,0))*(1+INDEX(ProvMod,MATCH(G365,ProvCode,0)))*(1+PriceIndex)</f>
        <v/>
      </c>
      <c r="V365" s="47">
        <f>R365*U365*INDEX(FmtBlendedPriceIdx,MATCH(F365,FmtName,0))</f>
        <v/>
      </c>
      <c r="W365" s="47">
        <f>T365*INDEX(ProvSRP,MATCH(G365,ProvCode,0))*(1+PriceIndex)</f>
        <v/>
      </c>
      <c r="X365" s="47">
        <f>IF(GrossBasis="Wholesale",V365,W365)</f>
        <v/>
      </c>
      <c r="Y365" s="47">
        <f>R365*INDEX(FmtBlendedCogs,MATCH(F365,FmtName,0))</f>
        <v/>
      </c>
      <c r="Z365" s="47">
        <f>X365-Y365</f>
        <v/>
      </c>
    </row>
    <row r="366">
      <c r="A366" t="n">
        <v>47</v>
      </c>
      <c r="B366" s="44">
        <f>FiscalStart+(A366-1)*7</f>
        <v/>
      </c>
      <c r="C366">
        <f>TEXT(B366,"mmm yyyy")</f>
        <v/>
      </c>
      <c r="D366">
        <f>"Q"&amp;(INT((A366-1)/13)+1)</f>
        <v/>
      </c>
      <c r="E366" t="inlineStr">
        <is>
          <t>Convenience</t>
        </is>
      </c>
      <c r="F366">
        <f>IFERROR(INDEX(ChFormat,MATCH(E366,ChName,0)),"")</f>
        <v/>
      </c>
      <c r="G366" t="inlineStr">
        <is>
          <t>NB</t>
        </is>
      </c>
      <c r="H366">
        <f>IF(A366&lt;=NWeeks,1,0)</f>
        <v/>
      </c>
      <c r="I366">
        <f>INDEX(ChLaunch,MATCH(E366,ChName,0))</f>
        <v/>
      </c>
      <c r="J366">
        <f>INDEX(ChWeeksFull,MATCH(E366,ChName,0))</f>
        <v/>
      </c>
      <c r="K366">
        <f>INDEX(ChRamp,MATCH(E366,ChName,0))</f>
        <v/>
      </c>
      <c r="L366" s="45">
        <f>MIN(1,MAX(0,(A366-I366+1)*RampSpeed/J366))</f>
        <v/>
      </c>
      <c r="M366" s="45">
        <f>IF(A366&lt;I366,0,IF(K366="S-curve",L366*L366*(3-2*L366),L366))</f>
        <v/>
      </c>
      <c r="N366" s="45">
        <f>1+(INDEX(SeasonIdx,A366)-1)*SeasonAmp</f>
        <v/>
      </c>
      <c r="O366" s="45">
        <f>IFERROR(INDEX(PSPct,MATCH(E366&amp;"|"&amp;G366,PSKey,0)),0)</f>
        <v/>
      </c>
      <c r="P366" s="46">
        <f>INDEX(ChDoorVel,MATCH(E366,ChName,0))*CalibScalar*(1+VelocityUplift)</f>
        <v/>
      </c>
      <c r="Q366" s="46" t="n">
        <v>0</v>
      </c>
      <c r="R366" s="46">
        <f>P366*O366*M366*N366*H366</f>
        <v/>
      </c>
      <c r="S366" s="46">
        <f>R366*INDEX(FmtCansPerCase,MATCH(F366,FmtName,0))</f>
        <v/>
      </c>
      <c r="T366" s="46">
        <f>S366/INDEX(FmtCansPerPack,MATCH(F366,FmtName,0))</f>
        <v/>
      </c>
      <c r="U366" s="47">
        <f>INDEX(ChBaseCP,MATCH(E366,ChName,0))*(1+INDEX(ProvMod,MATCH(G366,ProvCode,0)))*(1+PriceIndex)</f>
        <v/>
      </c>
      <c r="V366" s="47">
        <f>R366*U366*INDEX(FmtBlendedPriceIdx,MATCH(F366,FmtName,0))</f>
        <v/>
      </c>
      <c r="W366" s="47">
        <f>T366*INDEX(ProvSRP,MATCH(G366,ProvCode,0))*(1+PriceIndex)</f>
        <v/>
      </c>
      <c r="X366" s="47">
        <f>IF(GrossBasis="Wholesale",V366,W366)</f>
        <v/>
      </c>
      <c r="Y366" s="47">
        <f>R366*INDEX(FmtBlendedCogs,MATCH(F366,FmtName,0))</f>
        <v/>
      </c>
      <c r="Z366" s="47">
        <f>X366-Y366</f>
        <v/>
      </c>
    </row>
    <row r="367">
      <c r="A367" t="n">
        <v>48</v>
      </c>
      <c r="B367" s="44">
        <f>FiscalStart+(A367-1)*7</f>
        <v/>
      </c>
      <c r="C367">
        <f>TEXT(B367,"mmm yyyy")</f>
        <v/>
      </c>
      <c r="D367">
        <f>"Q"&amp;(INT((A367-1)/13)+1)</f>
        <v/>
      </c>
      <c r="E367" t="inlineStr">
        <is>
          <t>Convenience</t>
        </is>
      </c>
      <c r="F367">
        <f>IFERROR(INDEX(ChFormat,MATCH(E367,ChName,0)),"")</f>
        <v/>
      </c>
      <c r="G367" t="inlineStr">
        <is>
          <t>NB</t>
        </is>
      </c>
      <c r="H367">
        <f>IF(A367&lt;=NWeeks,1,0)</f>
        <v/>
      </c>
      <c r="I367">
        <f>INDEX(ChLaunch,MATCH(E367,ChName,0))</f>
        <v/>
      </c>
      <c r="J367">
        <f>INDEX(ChWeeksFull,MATCH(E367,ChName,0))</f>
        <v/>
      </c>
      <c r="K367">
        <f>INDEX(ChRamp,MATCH(E367,ChName,0))</f>
        <v/>
      </c>
      <c r="L367" s="45">
        <f>MIN(1,MAX(0,(A367-I367+1)*RampSpeed/J367))</f>
        <v/>
      </c>
      <c r="M367" s="45">
        <f>IF(A367&lt;I367,0,IF(K367="S-curve",L367*L367*(3-2*L367),L367))</f>
        <v/>
      </c>
      <c r="N367" s="45">
        <f>1+(INDEX(SeasonIdx,A367)-1)*SeasonAmp</f>
        <v/>
      </c>
      <c r="O367" s="45">
        <f>IFERROR(INDEX(PSPct,MATCH(E367&amp;"|"&amp;G367,PSKey,0)),0)</f>
        <v/>
      </c>
      <c r="P367" s="46">
        <f>INDEX(ChDoorVel,MATCH(E367,ChName,0))*CalibScalar*(1+VelocityUplift)</f>
        <v/>
      </c>
      <c r="Q367" s="46" t="n">
        <v>0</v>
      </c>
      <c r="R367" s="46">
        <f>P367*O367*M367*N367*H367</f>
        <v/>
      </c>
      <c r="S367" s="46">
        <f>R367*INDEX(FmtCansPerCase,MATCH(F367,FmtName,0))</f>
        <v/>
      </c>
      <c r="T367" s="46">
        <f>S367/INDEX(FmtCansPerPack,MATCH(F367,FmtName,0))</f>
        <v/>
      </c>
      <c r="U367" s="47">
        <f>INDEX(ChBaseCP,MATCH(E367,ChName,0))*(1+INDEX(ProvMod,MATCH(G367,ProvCode,0)))*(1+PriceIndex)</f>
        <v/>
      </c>
      <c r="V367" s="47">
        <f>R367*U367*INDEX(FmtBlendedPriceIdx,MATCH(F367,FmtName,0))</f>
        <v/>
      </c>
      <c r="W367" s="47">
        <f>T367*INDEX(ProvSRP,MATCH(G367,ProvCode,0))*(1+PriceIndex)</f>
        <v/>
      </c>
      <c r="X367" s="47">
        <f>IF(GrossBasis="Wholesale",V367,W367)</f>
        <v/>
      </c>
      <c r="Y367" s="47">
        <f>R367*INDEX(FmtBlendedCogs,MATCH(F367,FmtName,0))</f>
        <v/>
      </c>
      <c r="Z367" s="47">
        <f>X367-Y367</f>
        <v/>
      </c>
    </row>
    <row r="368">
      <c r="A368" t="n">
        <v>49</v>
      </c>
      <c r="B368" s="44">
        <f>FiscalStart+(A368-1)*7</f>
        <v/>
      </c>
      <c r="C368">
        <f>TEXT(B368,"mmm yyyy")</f>
        <v/>
      </c>
      <c r="D368">
        <f>"Q"&amp;(INT((A368-1)/13)+1)</f>
        <v/>
      </c>
      <c r="E368" t="inlineStr">
        <is>
          <t>Convenience</t>
        </is>
      </c>
      <c r="F368">
        <f>IFERROR(INDEX(ChFormat,MATCH(E368,ChName,0)),"")</f>
        <v/>
      </c>
      <c r="G368" t="inlineStr">
        <is>
          <t>NB</t>
        </is>
      </c>
      <c r="H368">
        <f>IF(A368&lt;=NWeeks,1,0)</f>
        <v/>
      </c>
      <c r="I368">
        <f>INDEX(ChLaunch,MATCH(E368,ChName,0))</f>
        <v/>
      </c>
      <c r="J368">
        <f>INDEX(ChWeeksFull,MATCH(E368,ChName,0))</f>
        <v/>
      </c>
      <c r="K368">
        <f>INDEX(ChRamp,MATCH(E368,ChName,0))</f>
        <v/>
      </c>
      <c r="L368" s="45">
        <f>MIN(1,MAX(0,(A368-I368+1)*RampSpeed/J368))</f>
        <v/>
      </c>
      <c r="M368" s="45">
        <f>IF(A368&lt;I368,0,IF(K368="S-curve",L368*L368*(3-2*L368),L368))</f>
        <v/>
      </c>
      <c r="N368" s="45">
        <f>1+(INDEX(SeasonIdx,A368)-1)*SeasonAmp</f>
        <v/>
      </c>
      <c r="O368" s="45">
        <f>IFERROR(INDEX(PSPct,MATCH(E368&amp;"|"&amp;G368,PSKey,0)),0)</f>
        <v/>
      </c>
      <c r="P368" s="46">
        <f>INDEX(ChDoorVel,MATCH(E368,ChName,0))*CalibScalar*(1+VelocityUplift)</f>
        <v/>
      </c>
      <c r="Q368" s="46" t="n">
        <v>0</v>
      </c>
      <c r="R368" s="46">
        <f>P368*O368*M368*N368*H368</f>
        <v/>
      </c>
      <c r="S368" s="46">
        <f>R368*INDEX(FmtCansPerCase,MATCH(F368,FmtName,0))</f>
        <v/>
      </c>
      <c r="T368" s="46">
        <f>S368/INDEX(FmtCansPerPack,MATCH(F368,FmtName,0))</f>
        <v/>
      </c>
      <c r="U368" s="47">
        <f>INDEX(ChBaseCP,MATCH(E368,ChName,0))*(1+INDEX(ProvMod,MATCH(G368,ProvCode,0)))*(1+PriceIndex)</f>
        <v/>
      </c>
      <c r="V368" s="47">
        <f>R368*U368*INDEX(FmtBlendedPriceIdx,MATCH(F368,FmtName,0))</f>
        <v/>
      </c>
      <c r="W368" s="47">
        <f>T368*INDEX(ProvSRP,MATCH(G368,ProvCode,0))*(1+PriceIndex)</f>
        <v/>
      </c>
      <c r="X368" s="47">
        <f>IF(GrossBasis="Wholesale",V368,W368)</f>
        <v/>
      </c>
      <c r="Y368" s="47">
        <f>R368*INDEX(FmtBlendedCogs,MATCH(F368,FmtName,0))</f>
        <v/>
      </c>
      <c r="Z368" s="47">
        <f>X368-Y368</f>
        <v/>
      </c>
    </row>
    <row r="369">
      <c r="A369" t="n">
        <v>50</v>
      </c>
      <c r="B369" s="44">
        <f>FiscalStart+(A369-1)*7</f>
        <v/>
      </c>
      <c r="C369">
        <f>TEXT(B369,"mmm yyyy")</f>
        <v/>
      </c>
      <c r="D369">
        <f>"Q"&amp;(INT((A369-1)/13)+1)</f>
        <v/>
      </c>
      <c r="E369" t="inlineStr">
        <is>
          <t>Convenience</t>
        </is>
      </c>
      <c r="F369">
        <f>IFERROR(INDEX(ChFormat,MATCH(E369,ChName,0)),"")</f>
        <v/>
      </c>
      <c r="G369" t="inlineStr">
        <is>
          <t>NB</t>
        </is>
      </c>
      <c r="H369">
        <f>IF(A369&lt;=NWeeks,1,0)</f>
        <v/>
      </c>
      <c r="I369">
        <f>INDEX(ChLaunch,MATCH(E369,ChName,0))</f>
        <v/>
      </c>
      <c r="J369">
        <f>INDEX(ChWeeksFull,MATCH(E369,ChName,0))</f>
        <v/>
      </c>
      <c r="K369">
        <f>INDEX(ChRamp,MATCH(E369,ChName,0))</f>
        <v/>
      </c>
      <c r="L369" s="45">
        <f>MIN(1,MAX(0,(A369-I369+1)*RampSpeed/J369))</f>
        <v/>
      </c>
      <c r="M369" s="45">
        <f>IF(A369&lt;I369,0,IF(K369="S-curve",L369*L369*(3-2*L369),L369))</f>
        <v/>
      </c>
      <c r="N369" s="45">
        <f>1+(INDEX(SeasonIdx,A369)-1)*SeasonAmp</f>
        <v/>
      </c>
      <c r="O369" s="45">
        <f>IFERROR(INDEX(PSPct,MATCH(E369&amp;"|"&amp;G369,PSKey,0)),0)</f>
        <v/>
      </c>
      <c r="P369" s="46">
        <f>INDEX(ChDoorVel,MATCH(E369,ChName,0))*CalibScalar*(1+VelocityUplift)</f>
        <v/>
      </c>
      <c r="Q369" s="46" t="n">
        <v>0</v>
      </c>
      <c r="R369" s="46">
        <f>P369*O369*M369*N369*H369</f>
        <v/>
      </c>
      <c r="S369" s="46">
        <f>R369*INDEX(FmtCansPerCase,MATCH(F369,FmtName,0))</f>
        <v/>
      </c>
      <c r="T369" s="46">
        <f>S369/INDEX(FmtCansPerPack,MATCH(F369,FmtName,0))</f>
        <v/>
      </c>
      <c r="U369" s="47">
        <f>INDEX(ChBaseCP,MATCH(E369,ChName,0))*(1+INDEX(ProvMod,MATCH(G369,ProvCode,0)))*(1+PriceIndex)</f>
        <v/>
      </c>
      <c r="V369" s="47">
        <f>R369*U369*INDEX(FmtBlendedPriceIdx,MATCH(F369,FmtName,0))</f>
        <v/>
      </c>
      <c r="W369" s="47">
        <f>T369*INDEX(ProvSRP,MATCH(G369,ProvCode,0))*(1+PriceIndex)</f>
        <v/>
      </c>
      <c r="X369" s="47">
        <f>IF(GrossBasis="Wholesale",V369,W369)</f>
        <v/>
      </c>
      <c r="Y369" s="47">
        <f>R369*INDEX(FmtBlendedCogs,MATCH(F369,FmtName,0))</f>
        <v/>
      </c>
      <c r="Z369" s="47">
        <f>X369-Y369</f>
        <v/>
      </c>
    </row>
    <row r="370">
      <c r="A370" t="n">
        <v>51</v>
      </c>
      <c r="B370" s="44">
        <f>FiscalStart+(A370-1)*7</f>
        <v/>
      </c>
      <c r="C370">
        <f>TEXT(B370,"mmm yyyy")</f>
        <v/>
      </c>
      <c r="D370">
        <f>"Q"&amp;(INT((A370-1)/13)+1)</f>
        <v/>
      </c>
      <c r="E370" t="inlineStr">
        <is>
          <t>Convenience</t>
        </is>
      </c>
      <c r="F370">
        <f>IFERROR(INDEX(ChFormat,MATCH(E370,ChName,0)),"")</f>
        <v/>
      </c>
      <c r="G370" t="inlineStr">
        <is>
          <t>NB</t>
        </is>
      </c>
      <c r="H370">
        <f>IF(A370&lt;=NWeeks,1,0)</f>
        <v/>
      </c>
      <c r="I370">
        <f>INDEX(ChLaunch,MATCH(E370,ChName,0))</f>
        <v/>
      </c>
      <c r="J370">
        <f>INDEX(ChWeeksFull,MATCH(E370,ChName,0))</f>
        <v/>
      </c>
      <c r="K370">
        <f>INDEX(ChRamp,MATCH(E370,ChName,0))</f>
        <v/>
      </c>
      <c r="L370" s="45">
        <f>MIN(1,MAX(0,(A370-I370+1)*RampSpeed/J370))</f>
        <v/>
      </c>
      <c r="M370" s="45">
        <f>IF(A370&lt;I370,0,IF(K370="S-curve",L370*L370*(3-2*L370),L370))</f>
        <v/>
      </c>
      <c r="N370" s="45">
        <f>1+(INDEX(SeasonIdx,A370)-1)*SeasonAmp</f>
        <v/>
      </c>
      <c r="O370" s="45">
        <f>IFERROR(INDEX(PSPct,MATCH(E370&amp;"|"&amp;G370,PSKey,0)),0)</f>
        <v/>
      </c>
      <c r="P370" s="46">
        <f>INDEX(ChDoorVel,MATCH(E370,ChName,0))*CalibScalar*(1+VelocityUplift)</f>
        <v/>
      </c>
      <c r="Q370" s="46" t="n">
        <v>0</v>
      </c>
      <c r="R370" s="46">
        <f>P370*O370*M370*N370*H370</f>
        <v/>
      </c>
      <c r="S370" s="46">
        <f>R370*INDEX(FmtCansPerCase,MATCH(F370,FmtName,0))</f>
        <v/>
      </c>
      <c r="T370" s="46">
        <f>S370/INDEX(FmtCansPerPack,MATCH(F370,FmtName,0))</f>
        <v/>
      </c>
      <c r="U370" s="47">
        <f>INDEX(ChBaseCP,MATCH(E370,ChName,0))*(1+INDEX(ProvMod,MATCH(G370,ProvCode,0)))*(1+PriceIndex)</f>
        <v/>
      </c>
      <c r="V370" s="47">
        <f>R370*U370*INDEX(FmtBlendedPriceIdx,MATCH(F370,FmtName,0))</f>
        <v/>
      </c>
      <c r="W370" s="47">
        <f>T370*INDEX(ProvSRP,MATCH(G370,ProvCode,0))*(1+PriceIndex)</f>
        <v/>
      </c>
      <c r="X370" s="47">
        <f>IF(GrossBasis="Wholesale",V370,W370)</f>
        <v/>
      </c>
      <c r="Y370" s="47">
        <f>R370*INDEX(FmtBlendedCogs,MATCH(F370,FmtName,0))</f>
        <v/>
      </c>
      <c r="Z370" s="47">
        <f>X370-Y370</f>
        <v/>
      </c>
    </row>
    <row r="371">
      <c r="A371" t="n">
        <v>52</v>
      </c>
      <c r="B371" s="44">
        <f>FiscalStart+(A371-1)*7</f>
        <v/>
      </c>
      <c r="C371">
        <f>TEXT(B371,"mmm yyyy")</f>
        <v/>
      </c>
      <c r="D371">
        <f>"Q"&amp;(INT((A371-1)/13)+1)</f>
        <v/>
      </c>
      <c r="E371" t="inlineStr">
        <is>
          <t>Convenience</t>
        </is>
      </c>
      <c r="F371">
        <f>IFERROR(INDEX(ChFormat,MATCH(E371,ChName,0)),"")</f>
        <v/>
      </c>
      <c r="G371" t="inlineStr">
        <is>
          <t>NB</t>
        </is>
      </c>
      <c r="H371">
        <f>IF(A371&lt;=NWeeks,1,0)</f>
        <v/>
      </c>
      <c r="I371">
        <f>INDEX(ChLaunch,MATCH(E371,ChName,0))</f>
        <v/>
      </c>
      <c r="J371">
        <f>INDEX(ChWeeksFull,MATCH(E371,ChName,0))</f>
        <v/>
      </c>
      <c r="K371">
        <f>INDEX(ChRamp,MATCH(E371,ChName,0))</f>
        <v/>
      </c>
      <c r="L371" s="45">
        <f>MIN(1,MAX(0,(A371-I371+1)*RampSpeed/J371))</f>
        <v/>
      </c>
      <c r="M371" s="45">
        <f>IF(A371&lt;I371,0,IF(K371="S-curve",L371*L371*(3-2*L371),L371))</f>
        <v/>
      </c>
      <c r="N371" s="45">
        <f>1+(INDEX(SeasonIdx,A371)-1)*SeasonAmp</f>
        <v/>
      </c>
      <c r="O371" s="45">
        <f>IFERROR(INDEX(PSPct,MATCH(E371&amp;"|"&amp;G371,PSKey,0)),0)</f>
        <v/>
      </c>
      <c r="P371" s="46">
        <f>INDEX(ChDoorVel,MATCH(E371,ChName,0))*CalibScalar*(1+VelocityUplift)</f>
        <v/>
      </c>
      <c r="Q371" s="46" t="n">
        <v>0</v>
      </c>
      <c r="R371" s="46">
        <f>P371*O371*M371*N371*H371</f>
        <v/>
      </c>
      <c r="S371" s="46">
        <f>R371*INDEX(FmtCansPerCase,MATCH(F371,FmtName,0))</f>
        <v/>
      </c>
      <c r="T371" s="46">
        <f>S371/INDEX(FmtCansPerPack,MATCH(F371,FmtName,0))</f>
        <v/>
      </c>
      <c r="U371" s="47">
        <f>INDEX(ChBaseCP,MATCH(E371,ChName,0))*(1+INDEX(ProvMod,MATCH(G371,ProvCode,0)))*(1+PriceIndex)</f>
        <v/>
      </c>
      <c r="V371" s="47">
        <f>R371*U371*INDEX(FmtBlendedPriceIdx,MATCH(F371,FmtName,0))</f>
        <v/>
      </c>
      <c r="W371" s="47">
        <f>T371*INDEX(ProvSRP,MATCH(G371,ProvCode,0))*(1+PriceIndex)</f>
        <v/>
      </c>
      <c r="X371" s="47">
        <f>IF(GrossBasis="Wholesale",V371,W371)</f>
        <v/>
      </c>
      <c r="Y371" s="47">
        <f>R371*INDEX(FmtBlendedCogs,MATCH(F371,FmtName,0))</f>
        <v/>
      </c>
      <c r="Z371" s="47">
        <f>X371-Y371</f>
        <v/>
      </c>
    </row>
    <row r="372">
      <c r="A372" t="n">
        <v>53</v>
      </c>
      <c r="B372" s="44">
        <f>FiscalStart+(A372-1)*7</f>
        <v/>
      </c>
      <c r="C372">
        <f>TEXT(B372,"mmm yyyy")</f>
        <v/>
      </c>
      <c r="D372">
        <f>"Q"&amp;(INT((A372-1)/13)+1)</f>
        <v/>
      </c>
      <c r="E372" t="inlineStr">
        <is>
          <t>Convenience</t>
        </is>
      </c>
      <c r="F372">
        <f>IFERROR(INDEX(ChFormat,MATCH(E372,ChName,0)),"")</f>
        <v/>
      </c>
      <c r="G372" t="inlineStr">
        <is>
          <t>NB</t>
        </is>
      </c>
      <c r="H372">
        <f>IF(A372&lt;=NWeeks,1,0)</f>
        <v/>
      </c>
      <c r="I372">
        <f>INDEX(ChLaunch,MATCH(E372,ChName,0))</f>
        <v/>
      </c>
      <c r="J372">
        <f>INDEX(ChWeeksFull,MATCH(E372,ChName,0))</f>
        <v/>
      </c>
      <c r="K372">
        <f>INDEX(ChRamp,MATCH(E372,ChName,0))</f>
        <v/>
      </c>
      <c r="L372" s="45">
        <f>MIN(1,MAX(0,(A372-I372+1)*RampSpeed/J372))</f>
        <v/>
      </c>
      <c r="M372" s="45">
        <f>IF(A372&lt;I372,0,IF(K372="S-curve",L372*L372*(3-2*L372),L372))</f>
        <v/>
      </c>
      <c r="N372" s="45">
        <f>1+(INDEX(SeasonIdx,A372)-1)*SeasonAmp</f>
        <v/>
      </c>
      <c r="O372" s="45">
        <f>IFERROR(INDEX(PSPct,MATCH(E372&amp;"|"&amp;G372,PSKey,0)),0)</f>
        <v/>
      </c>
      <c r="P372" s="46">
        <f>INDEX(ChDoorVel,MATCH(E372,ChName,0))*CalibScalar*(1+VelocityUplift)</f>
        <v/>
      </c>
      <c r="Q372" s="46" t="n">
        <v>0</v>
      </c>
      <c r="R372" s="46">
        <f>P372*O372*M372*N372*H372</f>
        <v/>
      </c>
      <c r="S372" s="46">
        <f>R372*INDEX(FmtCansPerCase,MATCH(F372,FmtName,0))</f>
        <v/>
      </c>
      <c r="T372" s="46">
        <f>S372/INDEX(FmtCansPerPack,MATCH(F372,FmtName,0))</f>
        <v/>
      </c>
      <c r="U372" s="47">
        <f>INDEX(ChBaseCP,MATCH(E372,ChName,0))*(1+INDEX(ProvMod,MATCH(G372,ProvCode,0)))*(1+PriceIndex)</f>
        <v/>
      </c>
      <c r="V372" s="47">
        <f>R372*U372*INDEX(FmtBlendedPriceIdx,MATCH(F372,FmtName,0))</f>
        <v/>
      </c>
      <c r="W372" s="47">
        <f>T372*INDEX(ProvSRP,MATCH(G372,ProvCode,0))*(1+PriceIndex)</f>
        <v/>
      </c>
      <c r="X372" s="47">
        <f>IF(GrossBasis="Wholesale",V372,W372)</f>
        <v/>
      </c>
      <c r="Y372" s="47">
        <f>R372*INDEX(FmtBlendedCogs,MATCH(F372,FmtName,0))</f>
        <v/>
      </c>
      <c r="Z372" s="47">
        <f>X372-Y372</f>
        <v/>
      </c>
    </row>
    <row r="373">
      <c r="A373" t="n">
        <v>1</v>
      </c>
      <c r="B373" s="44">
        <f>FiscalStart+(A373-1)*7</f>
        <v/>
      </c>
      <c r="C373">
        <f>TEXT(B373,"mmm yyyy")</f>
        <v/>
      </c>
      <c r="D373">
        <f>"Q"&amp;(INT((A373-1)/13)+1)</f>
        <v/>
      </c>
      <c r="E373" t="inlineStr">
        <is>
          <t>Convenience</t>
        </is>
      </c>
      <c r="F373">
        <f>IFERROR(INDEX(ChFormat,MATCH(E373,ChName,0)),"")</f>
        <v/>
      </c>
      <c r="G373" t="inlineStr">
        <is>
          <t>NS</t>
        </is>
      </c>
      <c r="H373">
        <f>IF(A373&lt;=NWeeks,1,0)</f>
        <v/>
      </c>
      <c r="I373">
        <f>INDEX(ChLaunch,MATCH(E373,ChName,0))</f>
        <v/>
      </c>
      <c r="J373">
        <f>INDEX(ChWeeksFull,MATCH(E373,ChName,0))</f>
        <v/>
      </c>
      <c r="K373">
        <f>INDEX(ChRamp,MATCH(E373,ChName,0))</f>
        <v/>
      </c>
      <c r="L373" s="45">
        <f>MIN(1,MAX(0,(A373-I373+1)*RampSpeed/J373))</f>
        <v/>
      </c>
      <c r="M373" s="45">
        <f>IF(A373&lt;I373,0,IF(K373="S-curve",L373*L373*(3-2*L373),L373))</f>
        <v/>
      </c>
      <c r="N373" s="45">
        <f>1+(INDEX(SeasonIdx,A373)-1)*SeasonAmp</f>
        <v/>
      </c>
      <c r="O373" s="45">
        <f>IFERROR(INDEX(PSPct,MATCH(E373&amp;"|"&amp;G373,PSKey,0)),0)</f>
        <v/>
      </c>
      <c r="P373" s="46">
        <f>INDEX(ChDoorVel,MATCH(E373,ChName,0))*CalibScalar*(1+VelocityUplift)</f>
        <v/>
      </c>
      <c r="Q373" s="46" t="n">
        <v>0</v>
      </c>
      <c r="R373" s="46">
        <f>P373*O373*M373*N373*H373</f>
        <v/>
      </c>
      <c r="S373" s="46">
        <f>R373*INDEX(FmtCansPerCase,MATCH(F373,FmtName,0))</f>
        <v/>
      </c>
      <c r="T373" s="46">
        <f>S373/INDEX(FmtCansPerPack,MATCH(F373,FmtName,0))</f>
        <v/>
      </c>
      <c r="U373" s="47">
        <f>INDEX(ChBaseCP,MATCH(E373,ChName,0))*(1+INDEX(ProvMod,MATCH(G373,ProvCode,0)))*(1+PriceIndex)</f>
        <v/>
      </c>
      <c r="V373" s="47">
        <f>R373*U373*INDEX(FmtBlendedPriceIdx,MATCH(F373,FmtName,0))</f>
        <v/>
      </c>
      <c r="W373" s="47">
        <f>T373*INDEX(ProvSRP,MATCH(G373,ProvCode,0))*(1+PriceIndex)</f>
        <v/>
      </c>
      <c r="X373" s="47">
        <f>IF(GrossBasis="Wholesale",V373,W373)</f>
        <v/>
      </c>
      <c r="Y373" s="47">
        <f>R373*INDEX(FmtBlendedCogs,MATCH(F373,FmtName,0))</f>
        <v/>
      </c>
      <c r="Z373" s="47">
        <f>X373-Y373</f>
        <v/>
      </c>
    </row>
    <row r="374">
      <c r="A374" t="n">
        <v>2</v>
      </c>
      <c r="B374" s="44">
        <f>FiscalStart+(A374-1)*7</f>
        <v/>
      </c>
      <c r="C374">
        <f>TEXT(B374,"mmm yyyy")</f>
        <v/>
      </c>
      <c r="D374">
        <f>"Q"&amp;(INT((A374-1)/13)+1)</f>
        <v/>
      </c>
      <c r="E374" t="inlineStr">
        <is>
          <t>Convenience</t>
        </is>
      </c>
      <c r="F374">
        <f>IFERROR(INDEX(ChFormat,MATCH(E374,ChName,0)),"")</f>
        <v/>
      </c>
      <c r="G374" t="inlineStr">
        <is>
          <t>NS</t>
        </is>
      </c>
      <c r="H374">
        <f>IF(A374&lt;=NWeeks,1,0)</f>
        <v/>
      </c>
      <c r="I374">
        <f>INDEX(ChLaunch,MATCH(E374,ChName,0))</f>
        <v/>
      </c>
      <c r="J374">
        <f>INDEX(ChWeeksFull,MATCH(E374,ChName,0))</f>
        <v/>
      </c>
      <c r="K374">
        <f>INDEX(ChRamp,MATCH(E374,ChName,0))</f>
        <v/>
      </c>
      <c r="L374" s="45">
        <f>MIN(1,MAX(0,(A374-I374+1)*RampSpeed/J374))</f>
        <v/>
      </c>
      <c r="M374" s="45">
        <f>IF(A374&lt;I374,0,IF(K374="S-curve",L374*L374*(3-2*L374),L374))</f>
        <v/>
      </c>
      <c r="N374" s="45">
        <f>1+(INDEX(SeasonIdx,A374)-1)*SeasonAmp</f>
        <v/>
      </c>
      <c r="O374" s="45">
        <f>IFERROR(INDEX(PSPct,MATCH(E374&amp;"|"&amp;G374,PSKey,0)),0)</f>
        <v/>
      </c>
      <c r="P374" s="46">
        <f>INDEX(ChDoorVel,MATCH(E374,ChName,0))*CalibScalar*(1+VelocityUplift)</f>
        <v/>
      </c>
      <c r="Q374" s="46" t="n">
        <v>0</v>
      </c>
      <c r="R374" s="46">
        <f>P374*O374*M374*N374*H374</f>
        <v/>
      </c>
      <c r="S374" s="46">
        <f>R374*INDEX(FmtCansPerCase,MATCH(F374,FmtName,0))</f>
        <v/>
      </c>
      <c r="T374" s="46">
        <f>S374/INDEX(FmtCansPerPack,MATCH(F374,FmtName,0))</f>
        <v/>
      </c>
      <c r="U374" s="47">
        <f>INDEX(ChBaseCP,MATCH(E374,ChName,0))*(1+INDEX(ProvMod,MATCH(G374,ProvCode,0)))*(1+PriceIndex)</f>
        <v/>
      </c>
      <c r="V374" s="47">
        <f>R374*U374*INDEX(FmtBlendedPriceIdx,MATCH(F374,FmtName,0))</f>
        <v/>
      </c>
      <c r="W374" s="47">
        <f>T374*INDEX(ProvSRP,MATCH(G374,ProvCode,0))*(1+PriceIndex)</f>
        <v/>
      </c>
      <c r="X374" s="47">
        <f>IF(GrossBasis="Wholesale",V374,W374)</f>
        <v/>
      </c>
      <c r="Y374" s="47">
        <f>R374*INDEX(FmtBlendedCogs,MATCH(F374,FmtName,0))</f>
        <v/>
      </c>
      <c r="Z374" s="47">
        <f>X374-Y374</f>
        <v/>
      </c>
    </row>
    <row r="375">
      <c r="A375" t="n">
        <v>3</v>
      </c>
      <c r="B375" s="44">
        <f>FiscalStart+(A375-1)*7</f>
        <v/>
      </c>
      <c r="C375">
        <f>TEXT(B375,"mmm yyyy")</f>
        <v/>
      </c>
      <c r="D375">
        <f>"Q"&amp;(INT((A375-1)/13)+1)</f>
        <v/>
      </c>
      <c r="E375" t="inlineStr">
        <is>
          <t>Convenience</t>
        </is>
      </c>
      <c r="F375">
        <f>IFERROR(INDEX(ChFormat,MATCH(E375,ChName,0)),"")</f>
        <v/>
      </c>
      <c r="G375" t="inlineStr">
        <is>
          <t>NS</t>
        </is>
      </c>
      <c r="H375">
        <f>IF(A375&lt;=NWeeks,1,0)</f>
        <v/>
      </c>
      <c r="I375">
        <f>INDEX(ChLaunch,MATCH(E375,ChName,0))</f>
        <v/>
      </c>
      <c r="J375">
        <f>INDEX(ChWeeksFull,MATCH(E375,ChName,0))</f>
        <v/>
      </c>
      <c r="K375">
        <f>INDEX(ChRamp,MATCH(E375,ChName,0))</f>
        <v/>
      </c>
      <c r="L375" s="45">
        <f>MIN(1,MAX(0,(A375-I375+1)*RampSpeed/J375))</f>
        <v/>
      </c>
      <c r="M375" s="45">
        <f>IF(A375&lt;I375,0,IF(K375="S-curve",L375*L375*(3-2*L375),L375))</f>
        <v/>
      </c>
      <c r="N375" s="45">
        <f>1+(INDEX(SeasonIdx,A375)-1)*SeasonAmp</f>
        <v/>
      </c>
      <c r="O375" s="45">
        <f>IFERROR(INDEX(PSPct,MATCH(E375&amp;"|"&amp;G375,PSKey,0)),0)</f>
        <v/>
      </c>
      <c r="P375" s="46">
        <f>INDEX(ChDoorVel,MATCH(E375,ChName,0))*CalibScalar*(1+VelocityUplift)</f>
        <v/>
      </c>
      <c r="Q375" s="46" t="n">
        <v>0</v>
      </c>
      <c r="R375" s="46">
        <f>P375*O375*M375*N375*H375</f>
        <v/>
      </c>
      <c r="S375" s="46">
        <f>R375*INDEX(FmtCansPerCase,MATCH(F375,FmtName,0))</f>
        <v/>
      </c>
      <c r="T375" s="46">
        <f>S375/INDEX(FmtCansPerPack,MATCH(F375,FmtName,0))</f>
        <v/>
      </c>
      <c r="U375" s="47">
        <f>INDEX(ChBaseCP,MATCH(E375,ChName,0))*(1+INDEX(ProvMod,MATCH(G375,ProvCode,0)))*(1+PriceIndex)</f>
        <v/>
      </c>
      <c r="V375" s="47">
        <f>R375*U375*INDEX(FmtBlendedPriceIdx,MATCH(F375,FmtName,0))</f>
        <v/>
      </c>
      <c r="W375" s="47">
        <f>T375*INDEX(ProvSRP,MATCH(G375,ProvCode,0))*(1+PriceIndex)</f>
        <v/>
      </c>
      <c r="X375" s="47">
        <f>IF(GrossBasis="Wholesale",V375,W375)</f>
        <v/>
      </c>
      <c r="Y375" s="47">
        <f>R375*INDEX(FmtBlendedCogs,MATCH(F375,FmtName,0))</f>
        <v/>
      </c>
      <c r="Z375" s="47">
        <f>X375-Y375</f>
        <v/>
      </c>
    </row>
    <row r="376">
      <c r="A376" t="n">
        <v>4</v>
      </c>
      <c r="B376" s="44">
        <f>FiscalStart+(A376-1)*7</f>
        <v/>
      </c>
      <c r="C376">
        <f>TEXT(B376,"mmm yyyy")</f>
        <v/>
      </c>
      <c r="D376">
        <f>"Q"&amp;(INT((A376-1)/13)+1)</f>
        <v/>
      </c>
      <c r="E376" t="inlineStr">
        <is>
          <t>Convenience</t>
        </is>
      </c>
      <c r="F376">
        <f>IFERROR(INDEX(ChFormat,MATCH(E376,ChName,0)),"")</f>
        <v/>
      </c>
      <c r="G376" t="inlineStr">
        <is>
          <t>NS</t>
        </is>
      </c>
      <c r="H376">
        <f>IF(A376&lt;=NWeeks,1,0)</f>
        <v/>
      </c>
      <c r="I376">
        <f>INDEX(ChLaunch,MATCH(E376,ChName,0))</f>
        <v/>
      </c>
      <c r="J376">
        <f>INDEX(ChWeeksFull,MATCH(E376,ChName,0))</f>
        <v/>
      </c>
      <c r="K376">
        <f>INDEX(ChRamp,MATCH(E376,ChName,0))</f>
        <v/>
      </c>
      <c r="L376" s="45">
        <f>MIN(1,MAX(0,(A376-I376+1)*RampSpeed/J376))</f>
        <v/>
      </c>
      <c r="M376" s="45">
        <f>IF(A376&lt;I376,0,IF(K376="S-curve",L376*L376*(3-2*L376),L376))</f>
        <v/>
      </c>
      <c r="N376" s="45">
        <f>1+(INDEX(SeasonIdx,A376)-1)*SeasonAmp</f>
        <v/>
      </c>
      <c r="O376" s="45">
        <f>IFERROR(INDEX(PSPct,MATCH(E376&amp;"|"&amp;G376,PSKey,0)),0)</f>
        <v/>
      </c>
      <c r="P376" s="46">
        <f>INDEX(ChDoorVel,MATCH(E376,ChName,0))*CalibScalar*(1+VelocityUplift)</f>
        <v/>
      </c>
      <c r="Q376" s="46" t="n">
        <v>0</v>
      </c>
      <c r="R376" s="46">
        <f>P376*O376*M376*N376*H376</f>
        <v/>
      </c>
      <c r="S376" s="46">
        <f>R376*INDEX(FmtCansPerCase,MATCH(F376,FmtName,0))</f>
        <v/>
      </c>
      <c r="T376" s="46">
        <f>S376/INDEX(FmtCansPerPack,MATCH(F376,FmtName,0))</f>
        <v/>
      </c>
      <c r="U376" s="47">
        <f>INDEX(ChBaseCP,MATCH(E376,ChName,0))*(1+INDEX(ProvMod,MATCH(G376,ProvCode,0)))*(1+PriceIndex)</f>
        <v/>
      </c>
      <c r="V376" s="47">
        <f>R376*U376*INDEX(FmtBlendedPriceIdx,MATCH(F376,FmtName,0))</f>
        <v/>
      </c>
      <c r="W376" s="47">
        <f>T376*INDEX(ProvSRP,MATCH(G376,ProvCode,0))*(1+PriceIndex)</f>
        <v/>
      </c>
      <c r="X376" s="47">
        <f>IF(GrossBasis="Wholesale",V376,W376)</f>
        <v/>
      </c>
      <c r="Y376" s="47">
        <f>R376*INDEX(FmtBlendedCogs,MATCH(F376,FmtName,0))</f>
        <v/>
      </c>
      <c r="Z376" s="47">
        <f>X376-Y376</f>
        <v/>
      </c>
    </row>
    <row r="377">
      <c r="A377" t="n">
        <v>5</v>
      </c>
      <c r="B377" s="44">
        <f>FiscalStart+(A377-1)*7</f>
        <v/>
      </c>
      <c r="C377">
        <f>TEXT(B377,"mmm yyyy")</f>
        <v/>
      </c>
      <c r="D377">
        <f>"Q"&amp;(INT((A377-1)/13)+1)</f>
        <v/>
      </c>
      <c r="E377" t="inlineStr">
        <is>
          <t>Convenience</t>
        </is>
      </c>
      <c r="F377">
        <f>IFERROR(INDEX(ChFormat,MATCH(E377,ChName,0)),"")</f>
        <v/>
      </c>
      <c r="G377" t="inlineStr">
        <is>
          <t>NS</t>
        </is>
      </c>
      <c r="H377">
        <f>IF(A377&lt;=NWeeks,1,0)</f>
        <v/>
      </c>
      <c r="I377">
        <f>INDEX(ChLaunch,MATCH(E377,ChName,0))</f>
        <v/>
      </c>
      <c r="J377">
        <f>INDEX(ChWeeksFull,MATCH(E377,ChName,0))</f>
        <v/>
      </c>
      <c r="K377">
        <f>INDEX(ChRamp,MATCH(E377,ChName,0))</f>
        <v/>
      </c>
      <c r="L377" s="45">
        <f>MIN(1,MAX(0,(A377-I377+1)*RampSpeed/J377))</f>
        <v/>
      </c>
      <c r="M377" s="45">
        <f>IF(A377&lt;I377,0,IF(K377="S-curve",L377*L377*(3-2*L377),L377))</f>
        <v/>
      </c>
      <c r="N377" s="45">
        <f>1+(INDEX(SeasonIdx,A377)-1)*SeasonAmp</f>
        <v/>
      </c>
      <c r="O377" s="45">
        <f>IFERROR(INDEX(PSPct,MATCH(E377&amp;"|"&amp;G377,PSKey,0)),0)</f>
        <v/>
      </c>
      <c r="P377" s="46">
        <f>INDEX(ChDoorVel,MATCH(E377,ChName,0))*CalibScalar*(1+VelocityUplift)</f>
        <v/>
      </c>
      <c r="Q377" s="46" t="n">
        <v>0</v>
      </c>
      <c r="R377" s="46">
        <f>P377*O377*M377*N377*H377</f>
        <v/>
      </c>
      <c r="S377" s="46">
        <f>R377*INDEX(FmtCansPerCase,MATCH(F377,FmtName,0))</f>
        <v/>
      </c>
      <c r="T377" s="46">
        <f>S377/INDEX(FmtCansPerPack,MATCH(F377,FmtName,0))</f>
        <v/>
      </c>
      <c r="U377" s="47">
        <f>INDEX(ChBaseCP,MATCH(E377,ChName,0))*(1+INDEX(ProvMod,MATCH(G377,ProvCode,0)))*(1+PriceIndex)</f>
        <v/>
      </c>
      <c r="V377" s="47">
        <f>R377*U377*INDEX(FmtBlendedPriceIdx,MATCH(F377,FmtName,0))</f>
        <v/>
      </c>
      <c r="W377" s="47">
        <f>T377*INDEX(ProvSRP,MATCH(G377,ProvCode,0))*(1+PriceIndex)</f>
        <v/>
      </c>
      <c r="X377" s="47">
        <f>IF(GrossBasis="Wholesale",V377,W377)</f>
        <v/>
      </c>
      <c r="Y377" s="47">
        <f>R377*INDEX(FmtBlendedCogs,MATCH(F377,FmtName,0))</f>
        <v/>
      </c>
      <c r="Z377" s="47">
        <f>X377-Y377</f>
        <v/>
      </c>
    </row>
    <row r="378">
      <c r="A378" t="n">
        <v>6</v>
      </c>
      <c r="B378" s="44">
        <f>FiscalStart+(A378-1)*7</f>
        <v/>
      </c>
      <c r="C378">
        <f>TEXT(B378,"mmm yyyy")</f>
        <v/>
      </c>
      <c r="D378">
        <f>"Q"&amp;(INT((A378-1)/13)+1)</f>
        <v/>
      </c>
      <c r="E378" t="inlineStr">
        <is>
          <t>Convenience</t>
        </is>
      </c>
      <c r="F378">
        <f>IFERROR(INDEX(ChFormat,MATCH(E378,ChName,0)),"")</f>
        <v/>
      </c>
      <c r="G378" t="inlineStr">
        <is>
          <t>NS</t>
        </is>
      </c>
      <c r="H378">
        <f>IF(A378&lt;=NWeeks,1,0)</f>
        <v/>
      </c>
      <c r="I378">
        <f>INDEX(ChLaunch,MATCH(E378,ChName,0))</f>
        <v/>
      </c>
      <c r="J378">
        <f>INDEX(ChWeeksFull,MATCH(E378,ChName,0))</f>
        <v/>
      </c>
      <c r="K378">
        <f>INDEX(ChRamp,MATCH(E378,ChName,0))</f>
        <v/>
      </c>
      <c r="L378" s="45">
        <f>MIN(1,MAX(0,(A378-I378+1)*RampSpeed/J378))</f>
        <v/>
      </c>
      <c r="M378" s="45">
        <f>IF(A378&lt;I378,0,IF(K378="S-curve",L378*L378*(3-2*L378),L378))</f>
        <v/>
      </c>
      <c r="N378" s="45">
        <f>1+(INDEX(SeasonIdx,A378)-1)*SeasonAmp</f>
        <v/>
      </c>
      <c r="O378" s="45">
        <f>IFERROR(INDEX(PSPct,MATCH(E378&amp;"|"&amp;G378,PSKey,0)),0)</f>
        <v/>
      </c>
      <c r="P378" s="46">
        <f>INDEX(ChDoorVel,MATCH(E378,ChName,0))*CalibScalar*(1+VelocityUplift)</f>
        <v/>
      </c>
      <c r="Q378" s="46" t="n">
        <v>0</v>
      </c>
      <c r="R378" s="46">
        <f>P378*O378*M378*N378*H378</f>
        <v/>
      </c>
      <c r="S378" s="46">
        <f>R378*INDEX(FmtCansPerCase,MATCH(F378,FmtName,0))</f>
        <v/>
      </c>
      <c r="T378" s="46">
        <f>S378/INDEX(FmtCansPerPack,MATCH(F378,FmtName,0))</f>
        <v/>
      </c>
      <c r="U378" s="47">
        <f>INDEX(ChBaseCP,MATCH(E378,ChName,0))*(1+INDEX(ProvMod,MATCH(G378,ProvCode,0)))*(1+PriceIndex)</f>
        <v/>
      </c>
      <c r="V378" s="47">
        <f>R378*U378*INDEX(FmtBlendedPriceIdx,MATCH(F378,FmtName,0))</f>
        <v/>
      </c>
      <c r="W378" s="47">
        <f>T378*INDEX(ProvSRP,MATCH(G378,ProvCode,0))*(1+PriceIndex)</f>
        <v/>
      </c>
      <c r="X378" s="47">
        <f>IF(GrossBasis="Wholesale",V378,W378)</f>
        <v/>
      </c>
      <c r="Y378" s="47">
        <f>R378*INDEX(FmtBlendedCogs,MATCH(F378,FmtName,0))</f>
        <v/>
      </c>
      <c r="Z378" s="47">
        <f>X378-Y378</f>
        <v/>
      </c>
    </row>
    <row r="379">
      <c r="A379" t="n">
        <v>7</v>
      </c>
      <c r="B379" s="44">
        <f>FiscalStart+(A379-1)*7</f>
        <v/>
      </c>
      <c r="C379">
        <f>TEXT(B379,"mmm yyyy")</f>
        <v/>
      </c>
      <c r="D379">
        <f>"Q"&amp;(INT((A379-1)/13)+1)</f>
        <v/>
      </c>
      <c r="E379" t="inlineStr">
        <is>
          <t>Convenience</t>
        </is>
      </c>
      <c r="F379">
        <f>IFERROR(INDEX(ChFormat,MATCH(E379,ChName,0)),"")</f>
        <v/>
      </c>
      <c r="G379" t="inlineStr">
        <is>
          <t>NS</t>
        </is>
      </c>
      <c r="H379">
        <f>IF(A379&lt;=NWeeks,1,0)</f>
        <v/>
      </c>
      <c r="I379">
        <f>INDEX(ChLaunch,MATCH(E379,ChName,0))</f>
        <v/>
      </c>
      <c r="J379">
        <f>INDEX(ChWeeksFull,MATCH(E379,ChName,0))</f>
        <v/>
      </c>
      <c r="K379">
        <f>INDEX(ChRamp,MATCH(E379,ChName,0))</f>
        <v/>
      </c>
      <c r="L379" s="45">
        <f>MIN(1,MAX(0,(A379-I379+1)*RampSpeed/J379))</f>
        <v/>
      </c>
      <c r="M379" s="45">
        <f>IF(A379&lt;I379,0,IF(K379="S-curve",L379*L379*(3-2*L379),L379))</f>
        <v/>
      </c>
      <c r="N379" s="45">
        <f>1+(INDEX(SeasonIdx,A379)-1)*SeasonAmp</f>
        <v/>
      </c>
      <c r="O379" s="45">
        <f>IFERROR(INDEX(PSPct,MATCH(E379&amp;"|"&amp;G379,PSKey,0)),0)</f>
        <v/>
      </c>
      <c r="P379" s="46">
        <f>INDEX(ChDoorVel,MATCH(E379,ChName,0))*CalibScalar*(1+VelocityUplift)</f>
        <v/>
      </c>
      <c r="Q379" s="46" t="n">
        <v>0</v>
      </c>
      <c r="R379" s="46">
        <f>P379*O379*M379*N379*H379</f>
        <v/>
      </c>
      <c r="S379" s="46">
        <f>R379*INDEX(FmtCansPerCase,MATCH(F379,FmtName,0))</f>
        <v/>
      </c>
      <c r="T379" s="46">
        <f>S379/INDEX(FmtCansPerPack,MATCH(F379,FmtName,0))</f>
        <v/>
      </c>
      <c r="U379" s="47">
        <f>INDEX(ChBaseCP,MATCH(E379,ChName,0))*(1+INDEX(ProvMod,MATCH(G379,ProvCode,0)))*(1+PriceIndex)</f>
        <v/>
      </c>
      <c r="V379" s="47">
        <f>R379*U379*INDEX(FmtBlendedPriceIdx,MATCH(F379,FmtName,0))</f>
        <v/>
      </c>
      <c r="W379" s="47">
        <f>T379*INDEX(ProvSRP,MATCH(G379,ProvCode,0))*(1+PriceIndex)</f>
        <v/>
      </c>
      <c r="X379" s="47">
        <f>IF(GrossBasis="Wholesale",V379,W379)</f>
        <v/>
      </c>
      <c r="Y379" s="47">
        <f>R379*INDEX(FmtBlendedCogs,MATCH(F379,FmtName,0))</f>
        <v/>
      </c>
      <c r="Z379" s="47">
        <f>X379-Y379</f>
        <v/>
      </c>
    </row>
    <row r="380">
      <c r="A380" t="n">
        <v>8</v>
      </c>
      <c r="B380" s="44">
        <f>FiscalStart+(A380-1)*7</f>
        <v/>
      </c>
      <c r="C380">
        <f>TEXT(B380,"mmm yyyy")</f>
        <v/>
      </c>
      <c r="D380">
        <f>"Q"&amp;(INT((A380-1)/13)+1)</f>
        <v/>
      </c>
      <c r="E380" t="inlineStr">
        <is>
          <t>Convenience</t>
        </is>
      </c>
      <c r="F380">
        <f>IFERROR(INDEX(ChFormat,MATCH(E380,ChName,0)),"")</f>
        <v/>
      </c>
      <c r="G380" t="inlineStr">
        <is>
          <t>NS</t>
        </is>
      </c>
      <c r="H380">
        <f>IF(A380&lt;=NWeeks,1,0)</f>
        <v/>
      </c>
      <c r="I380">
        <f>INDEX(ChLaunch,MATCH(E380,ChName,0))</f>
        <v/>
      </c>
      <c r="J380">
        <f>INDEX(ChWeeksFull,MATCH(E380,ChName,0))</f>
        <v/>
      </c>
      <c r="K380">
        <f>INDEX(ChRamp,MATCH(E380,ChName,0))</f>
        <v/>
      </c>
      <c r="L380" s="45">
        <f>MIN(1,MAX(0,(A380-I380+1)*RampSpeed/J380))</f>
        <v/>
      </c>
      <c r="M380" s="45">
        <f>IF(A380&lt;I380,0,IF(K380="S-curve",L380*L380*(3-2*L380),L380))</f>
        <v/>
      </c>
      <c r="N380" s="45">
        <f>1+(INDEX(SeasonIdx,A380)-1)*SeasonAmp</f>
        <v/>
      </c>
      <c r="O380" s="45">
        <f>IFERROR(INDEX(PSPct,MATCH(E380&amp;"|"&amp;G380,PSKey,0)),0)</f>
        <v/>
      </c>
      <c r="P380" s="46">
        <f>INDEX(ChDoorVel,MATCH(E380,ChName,0))*CalibScalar*(1+VelocityUplift)</f>
        <v/>
      </c>
      <c r="Q380" s="46" t="n">
        <v>0</v>
      </c>
      <c r="R380" s="46">
        <f>P380*O380*M380*N380*H380</f>
        <v/>
      </c>
      <c r="S380" s="46">
        <f>R380*INDEX(FmtCansPerCase,MATCH(F380,FmtName,0))</f>
        <v/>
      </c>
      <c r="T380" s="46">
        <f>S380/INDEX(FmtCansPerPack,MATCH(F380,FmtName,0))</f>
        <v/>
      </c>
      <c r="U380" s="47">
        <f>INDEX(ChBaseCP,MATCH(E380,ChName,0))*(1+INDEX(ProvMod,MATCH(G380,ProvCode,0)))*(1+PriceIndex)</f>
        <v/>
      </c>
      <c r="V380" s="47">
        <f>R380*U380*INDEX(FmtBlendedPriceIdx,MATCH(F380,FmtName,0))</f>
        <v/>
      </c>
      <c r="W380" s="47">
        <f>T380*INDEX(ProvSRP,MATCH(G380,ProvCode,0))*(1+PriceIndex)</f>
        <v/>
      </c>
      <c r="X380" s="47">
        <f>IF(GrossBasis="Wholesale",V380,W380)</f>
        <v/>
      </c>
      <c r="Y380" s="47">
        <f>R380*INDEX(FmtBlendedCogs,MATCH(F380,FmtName,0))</f>
        <v/>
      </c>
      <c r="Z380" s="47">
        <f>X380-Y380</f>
        <v/>
      </c>
    </row>
    <row r="381">
      <c r="A381" t="n">
        <v>9</v>
      </c>
      <c r="B381" s="44">
        <f>FiscalStart+(A381-1)*7</f>
        <v/>
      </c>
      <c r="C381">
        <f>TEXT(B381,"mmm yyyy")</f>
        <v/>
      </c>
      <c r="D381">
        <f>"Q"&amp;(INT((A381-1)/13)+1)</f>
        <v/>
      </c>
      <c r="E381" t="inlineStr">
        <is>
          <t>Convenience</t>
        </is>
      </c>
      <c r="F381">
        <f>IFERROR(INDEX(ChFormat,MATCH(E381,ChName,0)),"")</f>
        <v/>
      </c>
      <c r="G381" t="inlineStr">
        <is>
          <t>NS</t>
        </is>
      </c>
      <c r="H381">
        <f>IF(A381&lt;=NWeeks,1,0)</f>
        <v/>
      </c>
      <c r="I381">
        <f>INDEX(ChLaunch,MATCH(E381,ChName,0))</f>
        <v/>
      </c>
      <c r="J381">
        <f>INDEX(ChWeeksFull,MATCH(E381,ChName,0))</f>
        <v/>
      </c>
      <c r="K381">
        <f>INDEX(ChRamp,MATCH(E381,ChName,0))</f>
        <v/>
      </c>
      <c r="L381" s="45">
        <f>MIN(1,MAX(0,(A381-I381+1)*RampSpeed/J381))</f>
        <v/>
      </c>
      <c r="M381" s="45">
        <f>IF(A381&lt;I381,0,IF(K381="S-curve",L381*L381*(3-2*L381),L381))</f>
        <v/>
      </c>
      <c r="N381" s="45">
        <f>1+(INDEX(SeasonIdx,A381)-1)*SeasonAmp</f>
        <v/>
      </c>
      <c r="O381" s="45">
        <f>IFERROR(INDEX(PSPct,MATCH(E381&amp;"|"&amp;G381,PSKey,0)),0)</f>
        <v/>
      </c>
      <c r="P381" s="46">
        <f>INDEX(ChDoorVel,MATCH(E381,ChName,0))*CalibScalar*(1+VelocityUplift)</f>
        <v/>
      </c>
      <c r="Q381" s="46" t="n">
        <v>0</v>
      </c>
      <c r="R381" s="46">
        <f>P381*O381*M381*N381*H381</f>
        <v/>
      </c>
      <c r="S381" s="46">
        <f>R381*INDEX(FmtCansPerCase,MATCH(F381,FmtName,0))</f>
        <v/>
      </c>
      <c r="T381" s="46">
        <f>S381/INDEX(FmtCansPerPack,MATCH(F381,FmtName,0))</f>
        <v/>
      </c>
      <c r="U381" s="47">
        <f>INDEX(ChBaseCP,MATCH(E381,ChName,0))*(1+INDEX(ProvMod,MATCH(G381,ProvCode,0)))*(1+PriceIndex)</f>
        <v/>
      </c>
      <c r="V381" s="47">
        <f>R381*U381*INDEX(FmtBlendedPriceIdx,MATCH(F381,FmtName,0))</f>
        <v/>
      </c>
      <c r="W381" s="47">
        <f>T381*INDEX(ProvSRP,MATCH(G381,ProvCode,0))*(1+PriceIndex)</f>
        <v/>
      </c>
      <c r="X381" s="47">
        <f>IF(GrossBasis="Wholesale",V381,W381)</f>
        <v/>
      </c>
      <c r="Y381" s="47">
        <f>R381*INDEX(FmtBlendedCogs,MATCH(F381,FmtName,0))</f>
        <v/>
      </c>
      <c r="Z381" s="47">
        <f>X381-Y381</f>
        <v/>
      </c>
    </row>
    <row r="382">
      <c r="A382" t="n">
        <v>10</v>
      </c>
      <c r="B382" s="44">
        <f>FiscalStart+(A382-1)*7</f>
        <v/>
      </c>
      <c r="C382">
        <f>TEXT(B382,"mmm yyyy")</f>
        <v/>
      </c>
      <c r="D382">
        <f>"Q"&amp;(INT((A382-1)/13)+1)</f>
        <v/>
      </c>
      <c r="E382" t="inlineStr">
        <is>
          <t>Convenience</t>
        </is>
      </c>
      <c r="F382">
        <f>IFERROR(INDEX(ChFormat,MATCH(E382,ChName,0)),"")</f>
        <v/>
      </c>
      <c r="G382" t="inlineStr">
        <is>
          <t>NS</t>
        </is>
      </c>
      <c r="H382">
        <f>IF(A382&lt;=NWeeks,1,0)</f>
        <v/>
      </c>
      <c r="I382">
        <f>INDEX(ChLaunch,MATCH(E382,ChName,0))</f>
        <v/>
      </c>
      <c r="J382">
        <f>INDEX(ChWeeksFull,MATCH(E382,ChName,0))</f>
        <v/>
      </c>
      <c r="K382">
        <f>INDEX(ChRamp,MATCH(E382,ChName,0))</f>
        <v/>
      </c>
      <c r="L382" s="45">
        <f>MIN(1,MAX(0,(A382-I382+1)*RampSpeed/J382))</f>
        <v/>
      </c>
      <c r="M382" s="45">
        <f>IF(A382&lt;I382,0,IF(K382="S-curve",L382*L382*(3-2*L382),L382))</f>
        <v/>
      </c>
      <c r="N382" s="45">
        <f>1+(INDEX(SeasonIdx,A382)-1)*SeasonAmp</f>
        <v/>
      </c>
      <c r="O382" s="45">
        <f>IFERROR(INDEX(PSPct,MATCH(E382&amp;"|"&amp;G382,PSKey,0)),0)</f>
        <v/>
      </c>
      <c r="P382" s="46">
        <f>INDEX(ChDoorVel,MATCH(E382,ChName,0))*CalibScalar*(1+VelocityUplift)</f>
        <v/>
      </c>
      <c r="Q382" s="46" t="n">
        <v>0</v>
      </c>
      <c r="R382" s="46">
        <f>P382*O382*M382*N382*H382</f>
        <v/>
      </c>
      <c r="S382" s="46">
        <f>R382*INDEX(FmtCansPerCase,MATCH(F382,FmtName,0))</f>
        <v/>
      </c>
      <c r="T382" s="46">
        <f>S382/INDEX(FmtCansPerPack,MATCH(F382,FmtName,0))</f>
        <v/>
      </c>
      <c r="U382" s="47">
        <f>INDEX(ChBaseCP,MATCH(E382,ChName,0))*(1+INDEX(ProvMod,MATCH(G382,ProvCode,0)))*(1+PriceIndex)</f>
        <v/>
      </c>
      <c r="V382" s="47">
        <f>R382*U382*INDEX(FmtBlendedPriceIdx,MATCH(F382,FmtName,0))</f>
        <v/>
      </c>
      <c r="W382" s="47">
        <f>T382*INDEX(ProvSRP,MATCH(G382,ProvCode,0))*(1+PriceIndex)</f>
        <v/>
      </c>
      <c r="X382" s="47">
        <f>IF(GrossBasis="Wholesale",V382,W382)</f>
        <v/>
      </c>
      <c r="Y382" s="47">
        <f>R382*INDEX(FmtBlendedCogs,MATCH(F382,FmtName,0))</f>
        <v/>
      </c>
      <c r="Z382" s="47">
        <f>X382-Y382</f>
        <v/>
      </c>
    </row>
    <row r="383">
      <c r="A383" t="n">
        <v>11</v>
      </c>
      <c r="B383" s="44">
        <f>FiscalStart+(A383-1)*7</f>
        <v/>
      </c>
      <c r="C383">
        <f>TEXT(B383,"mmm yyyy")</f>
        <v/>
      </c>
      <c r="D383">
        <f>"Q"&amp;(INT((A383-1)/13)+1)</f>
        <v/>
      </c>
      <c r="E383" t="inlineStr">
        <is>
          <t>Convenience</t>
        </is>
      </c>
      <c r="F383">
        <f>IFERROR(INDEX(ChFormat,MATCH(E383,ChName,0)),"")</f>
        <v/>
      </c>
      <c r="G383" t="inlineStr">
        <is>
          <t>NS</t>
        </is>
      </c>
      <c r="H383">
        <f>IF(A383&lt;=NWeeks,1,0)</f>
        <v/>
      </c>
      <c r="I383">
        <f>INDEX(ChLaunch,MATCH(E383,ChName,0))</f>
        <v/>
      </c>
      <c r="J383">
        <f>INDEX(ChWeeksFull,MATCH(E383,ChName,0))</f>
        <v/>
      </c>
      <c r="K383">
        <f>INDEX(ChRamp,MATCH(E383,ChName,0))</f>
        <v/>
      </c>
      <c r="L383" s="45">
        <f>MIN(1,MAX(0,(A383-I383+1)*RampSpeed/J383))</f>
        <v/>
      </c>
      <c r="M383" s="45">
        <f>IF(A383&lt;I383,0,IF(K383="S-curve",L383*L383*(3-2*L383),L383))</f>
        <v/>
      </c>
      <c r="N383" s="45">
        <f>1+(INDEX(SeasonIdx,A383)-1)*SeasonAmp</f>
        <v/>
      </c>
      <c r="O383" s="45">
        <f>IFERROR(INDEX(PSPct,MATCH(E383&amp;"|"&amp;G383,PSKey,0)),0)</f>
        <v/>
      </c>
      <c r="P383" s="46">
        <f>INDEX(ChDoorVel,MATCH(E383,ChName,0))*CalibScalar*(1+VelocityUplift)</f>
        <v/>
      </c>
      <c r="Q383" s="46" t="n">
        <v>0</v>
      </c>
      <c r="R383" s="46">
        <f>P383*O383*M383*N383*H383</f>
        <v/>
      </c>
      <c r="S383" s="46">
        <f>R383*INDEX(FmtCansPerCase,MATCH(F383,FmtName,0))</f>
        <v/>
      </c>
      <c r="T383" s="46">
        <f>S383/INDEX(FmtCansPerPack,MATCH(F383,FmtName,0))</f>
        <v/>
      </c>
      <c r="U383" s="47">
        <f>INDEX(ChBaseCP,MATCH(E383,ChName,0))*(1+INDEX(ProvMod,MATCH(G383,ProvCode,0)))*(1+PriceIndex)</f>
        <v/>
      </c>
      <c r="V383" s="47">
        <f>R383*U383*INDEX(FmtBlendedPriceIdx,MATCH(F383,FmtName,0))</f>
        <v/>
      </c>
      <c r="W383" s="47">
        <f>T383*INDEX(ProvSRP,MATCH(G383,ProvCode,0))*(1+PriceIndex)</f>
        <v/>
      </c>
      <c r="X383" s="47">
        <f>IF(GrossBasis="Wholesale",V383,W383)</f>
        <v/>
      </c>
      <c r="Y383" s="47">
        <f>R383*INDEX(FmtBlendedCogs,MATCH(F383,FmtName,0))</f>
        <v/>
      </c>
      <c r="Z383" s="47">
        <f>X383-Y383</f>
        <v/>
      </c>
    </row>
    <row r="384">
      <c r="A384" t="n">
        <v>12</v>
      </c>
      <c r="B384" s="44">
        <f>FiscalStart+(A384-1)*7</f>
        <v/>
      </c>
      <c r="C384">
        <f>TEXT(B384,"mmm yyyy")</f>
        <v/>
      </c>
      <c r="D384">
        <f>"Q"&amp;(INT((A384-1)/13)+1)</f>
        <v/>
      </c>
      <c r="E384" t="inlineStr">
        <is>
          <t>Convenience</t>
        </is>
      </c>
      <c r="F384">
        <f>IFERROR(INDEX(ChFormat,MATCH(E384,ChName,0)),"")</f>
        <v/>
      </c>
      <c r="G384" t="inlineStr">
        <is>
          <t>NS</t>
        </is>
      </c>
      <c r="H384">
        <f>IF(A384&lt;=NWeeks,1,0)</f>
        <v/>
      </c>
      <c r="I384">
        <f>INDEX(ChLaunch,MATCH(E384,ChName,0))</f>
        <v/>
      </c>
      <c r="J384">
        <f>INDEX(ChWeeksFull,MATCH(E384,ChName,0))</f>
        <v/>
      </c>
      <c r="K384">
        <f>INDEX(ChRamp,MATCH(E384,ChName,0))</f>
        <v/>
      </c>
      <c r="L384" s="45">
        <f>MIN(1,MAX(0,(A384-I384+1)*RampSpeed/J384))</f>
        <v/>
      </c>
      <c r="M384" s="45">
        <f>IF(A384&lt;I384,0,IF(K384="S-curve",L384*L384*(3-2*L384),L384))</f>
        <v/>
      </c>
      <c r="N384" s="45">
        <f>1+(INDEX(SeasonIdx,A384)-1)*SeasonAmp</f>
        <v/>
      </c>
      <c r="O384" s="45">
        <f>IFERROR(INDEX(PSPct,MATCH(E384&amp;"|"&amp;G384,PSKey,0)),0)</f>
        <v/>
      </c>
      <c r="P384" s="46">
        <f>INDEX(ChDoorVel,MATCH(E384,ChName,0))*CalibScalar*(1+VelocityUplift)</f>
        <v/>
      </c>
      <c r="Q384" s="46" t="n">
        <v>0</v>
      </c>
      <c r="R384" s="46">
        <f>P384*O384*M384*N384*H384</f>
        <v/>
      </c>
      <c r="S384" s="46">
        <f>R384*INDEX(FmtCansPerCase,MATCH(F384,FmtName,0))</f>
        <v/>
      </c>
      <c r="T384" s="46">
        <f>S384/INDEX(FmtCansPerPack,MATCH(F384,FmtName,0))</f>
        <v/>
      </c>
      <c r="U384" s="47">
        <f>INDEX(ChBaseCP,MATCH(E384,ChName,0))*(1+INDEX(ProvMod,MATCH(G384,ProvCode,0)))*(1+PriceIndex)</f>
        <v/>
      </c>
      <c r="V384" s="47">
        <f>R384*U384*INDEX(FmtBlendedPriceIdx,MATCH(F384,FmtName,0))</f>
        <v/>
      </c>
      <c r="W384" s="47">
        <f>T384*INDEX(ProvSRP,MATCH(G384,ProvCode,0))*(1+PriceIndex)</f>
        <v/>
      </c>
      <c r="X384" s="47">
        <f>IF(GrossBasis="Wholesale",V384,W384)</f>
        <v/>
      </c>
      <c r="Y384" s="47">
        <f>R384*INDEX(FmtBlendedCogs,MATCH(F384,FmtName,0))</f>
        <v/>
      </c>
      <c r="Z384" s="47">
        <f>X384-Y384</f>
        <v/>
      </c>
    </row>
    <row r="385">
      <c r="A385" t="n">
        <v>13</v>
      </c>
      <c r="B385" s="44">
        <f>FiscalStart+(A385-1)*7</f>
        <v/>
      </c>
      <c r="C385">
        <f>TEXT(B385,"mmm yyyy")</f>
        <v/>
      </c>
      <c r="D385">
        <f>"Q"&amp;(INT((A385-1)/13)+1)</f>
        <v/>
      </c>
      <c r="E385" t="inlineStr">
        <is>
          <t>Convenience</t>
        </is>
      </c>
      <c r="F385">
        <f>IFERROR(INDEX(ChFormat,MATCH(E385,ChName,0)),"")</f>
        <v/>
      </c>
      <c r="G385" t="inlineStr">
        <is>
          <t>NS</t>
        </is>
      </c>
      <c r="H385">
        <f>IF(A385&lt;=NWeeks,1,0)</f>
        <v/>
      </c>
      <c r="I385">
        <f>INDEX(ChLaunch,MATCH(E385,ChName,0))</f>
        <v/>
      </c>
      <c r="J385">
        <f>INDEX(ChWeeksFull,MATCH(E385,ChName,0))</f>
        <v/>
      </c>
      <c r="K385">
        <f>INDEX(ChRamp,MATCH(E385,ChName,0))</f>
        <v/>
      </c>
      <c r="L385" s="45">
        <f>MIN(1,MAX(0,(A385-I385+1)*RampSpeed/J385))</f>
        <v/>
      </c>
      <c r="M385" s="45">
        <f>IF(A385&lt;I385,0,IF(K385="S-curve",L385*L385*(3-2*L385),L385))</f>
        <v/>
      </c>
      <c r="N385" s="45">
        <f>1+(INDEX(SeasonIdx,A385)-1)*SeasonAmp</f>
        <v/>
      </c>
      <c r="O385" s="45">
        <f>IFERROR(INDEX(PSPct,MATCH(E385&amp;"|"&amp;G385,PSKey,0)),0)</f>
        <v/>
      </c>
      <c r="P385" s="46">
        <f>INDEX(ChDoorVel,MATCH(E385,ChName,0))*CalibScalar*(1+VelocityUplift)</f>
        <v/>
      </c>
      <c r="Q385" s="46" t="n">
        <v>0</v>
      </c>
      <c r="R385" s="46">
        <f>P385*O385*M385*N385*H385</f>
        <v/>
      </c>
      <c r="S385" s="46">
        <f>R385*INDEX(FmtCansPerCase,MATCH(F385,FmtName,0))</f>
        <v/>
      </c>
      <c r="T385" s="46">
        <f>S385/INDEX(FmtCansPerPack,MATCH(F385,FmtName,0))</f>
        <v/>
      </c>
      <c r="U385" s="47">
        <f>INDEX(ChBaseCP,MATCH(E385,ChName,0))*(1+INDEX(ProvMod,MATCH(G385,ProvCode,0)))*(1+PriceIndex)</f>
        <v/>
      </c>
      <c r="V385" s="47">
        <f>R385*U385*INDEX(FmtBlendedPriceIdx,MATCH(F385,FmtName,0))</f>
        <v/>
      </c>
      <c r="W385" s="47">
        <f>T385*INDEX(ProvSRP,MATCH(G385,ProvCode,0))*(1+PriceIndex)</f>
        <v/>
      </c>
      <c r="X385" s="47">
        <f>IF(GrossBasis="Wholesale",V385,W385)</f>
        <v/>
      </c>
      <c r="Y385" s="47">
        <f>R385*INDEX(FmtBlendedCogs,MATCH(F385,FmtName,0))</f>
        <v/>
      </c>
      <c r="Z385" s="47">
        <f>X385-Y385</f>
        <v/>
      </c>
    </row>
    <row r="386">
      <c r="A386" t="n">
        <v>14</v>
      </c>
      <c r="B386" s="44">
        <f>FiscalStart+(A386-1)*7</f>
        <v/>
      </c>
      <c r="C386">
        <f>TEXT(B386,"mmm yyyy")</f>
        <v/>
      </c>
      <c r="D386">
        <f>"Q"&amp;(INT((A386-1)/13)+1)</f>
        <v/>
      </c>
      <c r="E386" t="inlineStr">
        <is>
          <t>Convenience</t>
        </is>
      </c>
      <c r="F386">
        <f>IFERROR(INDEX(ChFormat,MATCH(E386,ChName,0)),"")</f>
        <v/>
      </c>
      <c r="G386" t="inlineStr">
        <is>
          <t>NS</t>
        </is>
      </c>
      <c r="H386">
        <f>IF(A386&lt;=NWeeks,1,0)</f>
        <v/>
      </c>
      <c r="I386">
        <f>INDEX(ChLaunch,MATCH(E386,ChName,0))</f>
        <v/>
      </c>
      <c r="J386">
        <f>INDEX(ChWeeksFull,MATCH(E386,ChName,0))</f>
        <v/>
      </c>
      <c r="K386">
        <f>INDEX(ChRamp,MATCH(E386,ChName,0))</f>
        <v/>
      </c>
      <c r="L386" s="45">
        <f>MIN(1,MAX(0,(A386-I386+1)*RampSpeed/J386))</f>
        <v/>
      </c>
      <c r="M386" s="45">
        <f>IF(A386&lt;I386,0,IF(K386="S-curve",L386*L386*(3-2*L386),L386))</f>
        <v/>
      </c>
      <c r="N386" s="45">
        <f>1+(INDEX(SeasonIdx,A386)-1)*SeasonAmp</f>
        <v/>
      </c>
      <c r="O386" s="45">
        <f>IFERROR(INDEX(PSPct,MATCH(E386&amp;"|"&amp;G386,PSKey,0)),0)</f>
        <v/>
      </c>
      <c r="P386" s="46">
        <f>INDEX(ChDoorVel,MATCH(E386,ChName,0))*CalibScalar*(1+VelocityUplift)</f>
        <v/>
      </c>
      <c r="Q386" s="46" t="n">
        <v>0</v>
      </c>
      <c r="R386" s="46">
        <f>P386*O386*M386*N386*H386</f>
        <v/>
      </c>
      <c r="S386" s="46">
        <f>R386*INDEX(FmtCansPerCase,MATCH(F386,FmtName,0))</f>
        <v/>
      </c>
      <c r="T386" s="46">
        <f>S386/INDEX(FmtCansPerPack,MATCH(F386,FmtName,0))</f>
        <v/>
      </c>
      <c r="U386" s="47">
        <f>INDEX(ChBaseCP,MATCH(E386,ChName,0))*(1+INDEX(ProvMod,MATCH(G386,ProvCode,0)))*(1+PriceIndex)</f>
        <v/>
      </c>
      <c r="V386" s="47">
        <f>R386*U386*INDEX(FmtBlendedPriceIdx,MATCH(F386,FmtName,0))</f>
        <v/>
      </c>
      <c r="W386" s="47">
        <f>T386*INDEX(ProvSRP,MATCH(G386,ProvCode,0))*(1+PriceIndex)</f>
        <v/>
      </c>
      <c r="X386" s="47">
        <f>IF(GrossBasis="Wholesale",V386,W386)</f>
        <v/>
      </c>
      <c r="Y386" s="47">
        <f>R386*INDEX(FmtBlendedCogs,MATCH(F386,FmtName,0))</f>
        <v/>
      </c>
      <c r="Z386" s="47">
        <f>X386-Y386</f>
        <v/>
      </c>
    </row>
    <row r="387">
      <c r="A387" t="n">
        <v>15</v>
      </c>
      <c r="B387" s="44">
        <f>FiscalStart+(A387-1)*7</f>
        <v/>
      </c>
      <c r="C387">
        <f>TEXT(B387,"mmm yyyy")</f>
        <v/>
      </c>
      <c r="D387">
        <f>"Q"&amp;(INT((A387-1)/13)+1)</f>
        <v/>
      </c>
      <c r="E387" t="inlineStr">
        <is>
          <t>Convenience</t>
        </is>
      </c>
      <c r="F387">
        <f>IFERROR(INDEX(ChFormat,MATCH(E387,ChName,0)),"")</f>
        <v/>
      </c>
      <c r="G387" t="inlineStr">
        <is>
          <t>NS</t>
        </is>
      </c>
      <c r="H387">
        <f>IF(A387&lt;=NWeeks,1,0)</f>
        <v/>
      </c>
      <c r="I387">
        <f>INDEX(ChLaunch,MATCH(E387,ChName,0))</f>
        <v/>
      </c>
      <c r="J387">
        <f>INDEX(ChWeeksFull,MATCH(E387,ChName,0))</f>
        <v/>
      </c>
      <c r="K387">
        <f>INDEX(ChRamp,MATCH(E387,ChName,0))</f>
        <v/>
      </c>
      <c r="L387" s="45">
        <f>MIN(1,MAX(0,(A387-I387+1)*RampSpeed/J387))</f>
        <v/>
      </c>
      <c r="M387" s="45">
        <f>IF(A387&lt;I387,0,IF(K387="S-curve",L387*L387*(3-2*L387),L387))</f>
        <v/>
      </c>
      <c r="N387" s="45">
        <f>1+(INDEX(SeasonIdx,A387)-1)*SeasonAmp</f>
        <v/>
      </c>
      <c r="O387" s="45">
        <f>IFERROR(INDEX(PSPct,MATCH(E387&amp;"|"&amp;G387,PSKey,0)),0)</f>
        <v/>
      </c>
      <c r="P387" s="46">
        <f>INDEX(ChDoorVel,MATCH(E387,ChName,0))*CalibScalar*(1+VelocityUplift)</f>
        <v/>
      </c>
      <c r="Q387" s="46" t="n">
        <v>0</v>
      </c>
      <c r="R387" s="46">
        <f>P387*O387*M387*N387*H387</f>
        <v/>
      </c>
      <c r="S387" s="46">
        <f>R387*INDEX(FmtCansPerCase,MATCH(F387,FmtName,0))</f>
        <v/>
      </c>
      <c r="T387" s="46">
        <f>S387/INDEX(FmtCansPerPack,MATCH(F387,FmtName,0))</f>
        <v/>
      </c>
      <c r="U387" s="47">
        <f>INDEX(ChBaseCP,MATCH(E387,ChName,0))*(1+INDEX(ProvMod,MATCH(G387,ProvCode,0)))*(1+PriceIndex)</f>
        <v/>
      </c>
      <c r="V387" s="47">
        <f>R387*U387*INDEX(FmtBlendedPriceIdx,MATCH(F387,FmtName,0))</f>
        <v/>
      </c>
      <c r="W387" s="47">
        <f>T387*INDEX(ProvSRP,MATCH(G387,ProvCode,0))*(1+PriceIndex)</f>
        <v/>
      </c>
      <c r="X387" s="47">
        <f>IF(GrossBasis="Wholesale",V387,W387)</f>
        <v/>
      </c>
      <c r="Y387" s="47">
        <f>R387*INDEX(FmtBlendedCogs,MATCH(F387,FmtName,0))</f>
        <v/>
      </c>
      <c r="Z387" s="47">
        <f>X387-Y387</f>
        <v/>
      </c>
    </row>
    <row r="388">
      <c r="A388" t="n">
        <v>16</v>
      </c>
      <c r="B388" s="44">
        <f>FiscalStart+(A388-1)*7</f>
        <v/>
      </c>
      <c r="C388">
        <f>TEXT(B388,"mmm yyyy")</f>
        <v/>
      </c>
      <c r="D388">
        <f>"Q"&amp;(INT((A388-1)/13)+1)</f>
        <v/>
      </c>
      <c r="E388" t="inlineStr">
        <is>
          <t>Convenience</t>
        </is>
      </c>
      <c r="F388">
        <f>IFERROR(INDEX(ChFormat,MATCH(E388,ChName,0)),"")</f>
        <v/>
      </c>
      <c r="G388" t="inlineStr">
        <is>
          <t>NS</t>
        </is>
      </c>
      <c r="H388">
        <f>IF(A388&lt;=NWeeks,1,0)</f>
        <v/>
      </c>
      <c r="I388">
        <f>INDEX(ChLaunch,MATCH(E388,ChName,0))</f>
        <v/>
      </c>
      <c r="J388">
        <f>INDEX(ChWeeksFull,MATCH(E388,ChName,0))</f>
        <v/>
      </c>
      <c r="K388">
        <f>INDEX(ChRamp,MATCH(E388,ChName,0))</f>
        <v/>
      </c>
      <c r="L388" s="45">
        <f>MIN(1,MAX(0,(A388-I388+1)*RampSpeed/J388))</f>
        <v/>
      </c>
      <c r="M388" s="45">
        <f>IF(A388&lt;I388,0,IF(K388="S-curve",L388*L388*(3-2*L388),L388))</f>
        <v/>
      </c>
      <c r="N388" s="45">
        <f>1+(INDEX(SeasonIdx,A388)-1)*SeasonAmp</f>
        <v/>
      </c>
      <c r="O388" s="45">
        <f>IFERROR(INDEX(PSPct,MATCH(E388&amp;"|"&amp;G388,PSKey,0)),0)</f>
        <v/>
      </c>
      <c r="P388" s="46">
        <f>INDEX(ChDoorVel,MATCH(E388,ChName,0))*CalibScalar*(1+VelocityUplift)</f>
        <v/>
      </c>
      <c r="Q388" s="46" t="n">
        <v>0</v>
      </c>
      <c r="R388" s="46">
        <f>P388*O388*M388*N388*H388</f>
        <v/>
      </c>
      <c r="S388" s="46">
        <f>R388*INDEX(FmtCansPerCase,MATCH(F388,FmtName,0))</f>
        <v/>
      </c>
      <c r="T388" s="46">
        <f>S388/INDEX(FmtCansPerPack,MATCH(F388,FmtName,0))</f>
        <v/>
      </c>
      <c r="U388" s="47">
        <f>INDEX(ChBaseCP,MATCH(E388,ChName,0))*(1+INDEX(ProvMod,MATCH(G388,ProvCode,0)))*(1+PriceIndex)</f>
        <v/>
      </c>
      <c r="V388" s="47">
        <f>R388*U388*INDEX(FmtBlendedPriceIdx,MATCH(F388,FmtName,0))</f>
        <v/>
      </c>
      <c r="W388" s="47">
        <f>T388*INDEX(ProvSRP,MATCH(G388,ProvCode,0))*(1+PriceIndex)</f>
        <v/>
      </c>
      <c r="X388" s="47">
        <f>IF(GrossBasis="Wholesale",V388,W388)</f>
        <v/>
      </c>
      <c r="Y388" s="47">
        <f>R388*INDEX(FmtBlendedCogs,MATCH(F388,FmtName,0))</f>
        <v/>
      </c>
      <c r="Z388" s="47">
        <f>X388-Y388</f>
        <v/>
      </c>
    </row>
    <row r="389">
      <c r="A389" t="n">
        <v>17</v>
      </c>
      <c r="B389" s="44">
        <f>FiscalStart+(A389-1)*7</f>
        <v/>
      </c>
      <c r="C389">
        <f>TEXT(B389,"mmm yyyy")</f>
        <v/>
      </c>
      <c r="D389">
        <f>"Q"&amp;(INT((A389-1)/13)+1)</f>
        <v/>
      </c>
      <c r="E389" t="inlineStr">
        <is>
          <t>Convenience</t>
        </is>
      </c>
      <c r="F389">
        <f>IFERROR(INDEX(ChFormat,MATCH(E389,ChName,0)),"")</f>
        <v/>
      </c>
      <c r="G389" t="inlineStr">
        <is>
          <t>NS</t>
        </is>
      </c>
      <c r="H389">
        <f>IF(A389&lt;=NWeeks,1,0)</f>
        <v/>
      </c>
      <c r="I389">
        <f>INDEX(ChLaunch,MATCH(E389,ChName,0))</f>
        <v/>
      </c>
      <c r="J389">
        <f>INDEX(ChWeeksFull,MATCH(E389,ChName,0))</f>
        <v/>
      </c>
      <c r="K389">
        <f>INDEX(ChRamp,MATCH(E389,ChName,0))</f>
        <v/>
      </c>
      <c r="L389" s="45">
        <f>MIN(1,MAX(0,(A389-I389+1)*RampSpeed/J389))</f>
        <v/>
      </c>
      <c r="M389" s="45">
        <f>IF(A389&lt;I389,0,IF(K389="S-curve",L389*L389*(3-2*L389),L389))</f>
        <v/>
      </c>
      <c r="N389" s="45">
        <f>1+(INDEX(SeasonIdx,A389)-1)*SeasonAmp</f>
        <v/>
      </c>
      <c r="O389" s="45">
        <f>IFERROR(INDEX(PSPct,MATCH(E389&amp;"|"&amp;G389,PSKey,0)),0)</f>
        <v/>
      </c>
      <c r="P389" s="46">
        <f>INDEX(ChDoorVel,MATCH(E389,ChName,0))*CalibScalar*(1+VelocityUplift)</f>
        <v/>
      </c>
      <c r="Q389" s="46" t="n">
        <v>0</v>
      </c>
      <c r="R389" s="46">
        <f>P389*O389*M389*N389*H389</f>
        <v/>
      </c>
      <c r="S389" s="46">
        <f>R389*INDEX(FmtCansPerCase,MATCH(F389,FmtName,0))</f>
        <v/>
      </c>
      <c r="T389" s="46">
        <f>S389/INDEX(FmtCansPerPack,MATCH(F389,FmtName,0))</f>
        <v/>
      </c>
      <c r="U389" s="47">
        <f>INDEX(ChBaseCP,MATCH(E389,ChName,0))*(1+INDEX(ProvMod,MATCH(G389,ProvCode,0)))*(1+PriceIndex)</f>
        <v/>
      </c>
      <c r="V389" s="47">
        <f>R389*U389*INDEX(FmtBlendedPriceIdx,MATCH(F389,FmtName,0))</f>
        <v/>
      </c>
      <c r="W389" s="47">
        <f>T389*INDEX(ProvSRP,MATCH(G389,ProvCode,0))*(1+PriceIndex)</f>
        <v/>
      </c>
      <c r="X389" s="47">
        <f>IF(GrossBasis="Wholesale",V389,W389)</f>
        <v/>
      </c>
      <c r="Y389" s="47">
        <f>R389*INDEX(FmtBlendedCogs,MATCH(F389,FmtName,0))</f>
        <v/>
      </c>
      <c r="Z389" s="47">
        <f>X389-Y389</f>
        <v/>
      </c>
    </row>
    <row r="390">
      <c r="A390" t="n">
        <v>18</v>
      </c>
      <c r="B390" s="44">
        <f>FiscalStart+(A390-1)*7</f>
        <v/>
      </c>
      <c r="C390">
        <f>TEXT(B390,"mmm yyyy")</f>
        <v/>
      </c>
      <c r="D390">
        <f>"Q"&amp;(INT((A390-1)/13)+1)</f>
        <v/>
      </c>
      <c r="E390" t="inlineStr">
        <is>
          <t>Convenience</t>
        </is>
      </c>
      <c r="F390">
        <f>IFERROR(INDEX(ChFormat,MATCH(E390,ChName,0)),"")</f>
        <v/>
      </c>
      <c r="G390" t="inlineStr">
        <is>
          <t>NS</t>
        </is>
      </c>
      <c r="H390">
        <f>IF(A390&lt;=NWeeks,1,0)</f>
        <v/>
      </c>
      <c r="I390">
        <f>INDEX(ChLaunch,MATCH(E390,ChName,0))</f>
        <v/>
      </c>
      <c r="J390">
        <f>INDEX(ChWeeksFull,MATCH(E390,ChName,0))</f>
        <v/>
      </c>
      <c r="K390">
        <f>INDEX(ChRamp,MATCH(E390,ChName,0))</f>
        <v/>
      </c>
      <c r="L390" s="45">
        <f>MIN(1,MAX(0,(A390-I390+1)*RampSpeed/J390))</f>
        <v/>
      </c>
      <c r="M390" s="45">
        <f>IF(A390&lt;I390,0,IF(K390="S-curve",L390*L390*(3-2*L390),L390))</f>
        <v/>
      </c>
      <c r="N390" s="45">
        <f>1+(INDEX(SeasonIdx,A390)-1)*SeasonAmp</f>
        <v/>
      </c>
      <c r="O390" s="45">
        <f>IFERROR(INDEX(PSPct,MATCH(E390&amp;"|"&amp;G390,PSKey,0)),0)</f>
        <v/>
      </c>
      <c r="P390" s="46">
        <f>INDEX(ChDoorVel,MATCH(E390,ChName,0))*CalibScalar*(1+VelocityUplift)</f>
        <v/>
      </c>
      <c r="Q390" s="46" t="n">
        <v>0</v>
      </c>
      <c r="R390" s="46">
        <f>P390*O390*M390*N390*H390</f>
        <v/>
      </c>
      <c r="S390" s="46">
        <f>R390*INDEX(FmtCansPerCase,MATCH(F390,FmtName,0))</f>
        <v/>
      </c>
      <c r="T390" s="46">
        <f>S390/INDEX(FmtCansPerPack,MATCH(F390,FmtName,0))</f>
        <v/>
      </c>
      <c r="U390" s="47">
        <f>INDEX(ChBaseCP,MATCH(E390,ChName,0))*(1+INDEX(ProvMod,MATCH(G390,ProvCode,0)))*(1+PriceIndex)</f>
        <v/>
      </c>
      <c r="V390" s="47">
        <f>R390*U390*INDEX(FmtBlendedPriceIdx,MATCH(F390,FmtName,0))</f>
        <v/>
      </c>
      <c r="W390" s="47">
        <f>T390*INDEX(ProvSRP,MATCH(G390,ProvCode,0))*(1+PriceIndex)</f>
        <v/>
      </c>
      <c r="X390" s="47">
        <f>IF(GrossBasis="Wholesale",V390,W390)</f>
        <v/>
      </c>
      <c r="Y390" s="47">
        <f>R390*INDEX(FmtBlendedCogs,MATCH(F390,FmtName,0))</f>
        <v/>
      </c>
      <c r="Z390" s="47">
        <f>X390-Y390</f>
        <v/>
      </c>
    </row>
    <row r="391">
      <c r="A391" t="n">
        <v>19</v>
      </c>
      <c r="B391" s="44">
        <f>FiscalStart+(A391-1)*7</f>
        <v/>
      </c>
      <c r="C391">
        <f>TEXT(B391,"mmm yyyy")</f>
        <v/>
      </c>
      <c r="D391">
        <f>"Q"&amp;(INT((A391-1)/13)+1)</f>
        <v/>
      </c>
      <c r="E391" t="inlineStr">
        <is>
          <t>Convenience</t>
        </is>
      </c>
      <c r="F391">
        <f>IFERROR(INDEX(ChFormat,MATCH(E391,ChName,0)),"")</f>
        <v/>
      </c>
      <c r="G391" t="inlineStr">
        <is>
          <t>NS</t>
        </is>
      </c>
      <c r="H391">
        <f>IF(A391&lt;=NWeeks,1,0)</f>
        <v/>
      </c>
      <c r="I391">
        <f>INDEX(ChLaunch,MATCH(E391,ChName,0))</f>
        <v/>
      </c>
      <c r="J391">
        <f>INDEX(ChWeeksFull,MATCH(E391,ChName,0))</f>
        <v/>
      </c>
      <c r="K391">
        <f>INDEX(ChRamp,MATCH(E391,ChName,0))</f>
        <v/>
      </c>
      <c r="L391" s="45">
        <f>MIN(1,MAX(0,(A391-I391+1)*RampSpeed/J391))</f>
        <v/>
      </c>
      <c r="M391" s="45">
        <f>IF(A391&lt;I391,0,IF(K391="S-curve",L391*L391*(3-2*L391),L391))</f>
        <v/>
      </c>
      <c r="N391" s="45">
        <f>1+(INDEX(SeasonIdx,A391)-1)*SeasonAmp</f>
        <v/>
      </c>
      <c r="O391" s="45">
        <f>IFERROR(INDEX(PSPct,MATCH(E391&amp;"|"&amp;G391,PSKey,0)),0)</f>
        <v/>
      </c>
      <c r="P391" s="46">
        <f>INDEX(ChDoorVel,MATCH(E391,ChName,0))*CalibScalar*(1+VelocityUplift)</f>
        <v/>
      </c>
      <c r="Q391" s="46" t="n">
        <v>0</v>
      </c>
      <c r="R391" s="46">
        <f>P391*O391*M391*N391*H391</f>
        <v/>
      </c>
      <c r="S391" s="46">
        <f>R391*INDEX(FmtCansPerCase,MATCH(F391,FmtName,0))</f>
        <v/>
      </c>
      <c r="T391" s="46">
        <f>S391/INDEX(FmtCansPerPack,MATCH(F391,FmtName,0))</f>
        <v/>
      </c>
      <c r="U391" s="47">
        <f>INDEX(ChBaseCP,MATCH(E391,ChName,0))*(1+INDEX(ProvMod,MATCH(G391,ProvCode,0)))*(1+PriceIndex)</f>
        <v/>
      </c>
      <c r="V391" s="47">
        <f>R391*U391*INDEX(FmtBlendedPriceIdx,MATCH(F391,FmtName,0))</f>
        <v/>
      </c>
      <c r="W391" s="47">
        <f>T391*INDEX(ProvSRP,MATCH(G391,ProvCode,0))*(1+PriceIndex)</f>
        <v/>
      </c>
      <c r="X391" s="47">
        <f>IF(GrossBasis="Wholesale",V391,W391)</f>
        <v/>
      </c>
      <c r="Y391" s="47">
        <f>R391*INDEX(FmtBlendedCogs,MATCH(F391,FmtName,0))</f>
        <v/>
      </c>
      <c r="Z391" s="47">
        <f>X391-Y391</f>
        <v/>
      </c>
    </row>
    <row r="392">
      <c r="A392" t="n">
        <v>20</v>
      </c>
      <c r="B392" s="44">
        <f>FiscalStart+(A392-1)*7</f>
        <v/>
      </c>
      <c r="C392">
        <f>TEXT(B392,"mmm yyyy")</f>
        <v/>
      </c>
      <c r="D392">
        <f>"Q"&amp;(INT((A392-1)/13)+1)</f>
        <v/>
      </c>
      <c r="E392" t="inlineStr">
        <is>
          <t>Convenience</t>
        </is>
      </c>
      <c r="F392">
        <f>IFERROR(INDEX(ChFormat,MATCH(E392,ChName,0)),"")</f>
        <v/>
      </c>
      <c r="G392" t="inlineStr">
        <is>
          <t>NS</t>
        </is>
      </c>
      <c r="H392">
        <f>IF(A392&lt;=NWeeks,1,0)</f>
        <v/>
      </c>
      <c r="I392">
        <f>INDEX(ChLaunch,MATCH(E392,ChName,0))</f>
        <v/>
      </c>
      <c r="J392">
        <f>INDEX(ChWeeksFull,MATCH(E392,ChName,0))</f>
        <v/>
      </c>
      <c r="K392">
        <f>INDEX(ChRamp,MATCH(E392,ChName,0))</f>
        <v/>
      </c>
      <c r="L392" s="45">
        <f>MIN(1,MAX(0,(A392-I392+1)*RampSpeed/J392))</f>
        <v/>
      </c>
      <c r="M392" s="45">
        <f>IF(A392&lt;I392,0,IF(K392="S-curve",L392*L392*(3-2*L392),L392))</f>
        <v/>
      </c>
      <c r="N392" s="45">
        <f>1+(INDEX(SeasonIdx,A392)-1)*SeasonAmp</f>
        <v/>
      </c>
      <c r="O392" s="45">
        <f>IFERROR(INDEX(PSPct,MATCH(E392&amp;"|"&amp;G392,PSKey,0)),0)</f>
        <v/>
      </c>
      <c r="P392" s="46">
        <f>INDEX(ChDoorVel,MATCH(E392,ChName,0))*CalibScalar*(1+VelocityUplift)</f>
        <v/>
      </c>
      <c r="Q392" s="46" t="n">
        <v>0</v>
      </c>
      <c r="R392" s="46">
        <f>P392*O392*M392*N392*H392</f>
        <v/>
      </c>
      <c r="S392" s="46">
        <f>R392*INDEX(FmtCansPerCase,MATCH(F392,FmtName,0))</f>
        <v/>
      </c>
      <c r="T392" s="46">
        <f>S392/INDEX(FmtCansPerPack,MATCH(F392,FmtName,0))</f>
        <v/>
      </c>
      <c r="U392" s="47">
        <f>INDEX(ChBaseCP,MATCH(E392,ChName,0))*(1+INDEX(ProvMod,MATCH(G392,ProvCode,0)))*(1+PriceIndex)</f>
        <v/>
      </c>
      <c r="V392" s="47">
        <f>R392*U392*INDEX(FmtBlendedPriceIdx,MATCH(F392,FmtName,0))</f>
        <v/>
      </c>
      <c r="W392" s="47">
        <f>T392*INDEX(ProvSRP,MATCH(G392,ProvCode,0))*(1+PriceIndex)</f>
        <v/>
      </c>
      <c r="X392" s="47">
        <f>IF(GrossBasis="Wholesale",V392,W392)</f>
        <v/>
      </c>
      <c r="Y392" s="47">
        <f>R392*INDEX(FmtBlendedCogs,MATCH(F392,FmtName,0))</f>
        <v/>
      </c>
      <c r="Z392" s="47">
        <f>X392-Y392</f>
        <v/>
      </c>
    </row>
    <row r="393">
      <c r="A393" t="n">
        <v>21</v>
      </c>
      <c r="B393" s="44">
        <f>FiscalStart+(A393-1)*7</f>
        <v/>
      </c>
      <c r="C393">
        <f>TEXT(B393,"mmm yyyy")</f>
        <v/>
      </c>
      <c r="D393">
        <f>"Q"&amp;(INT((A393-1)/13)+1)</f>
        <v/>
      </c>
      <c r="E393" t="inlineStr">
        <is>
          <t>Convenience</t>
        </is>
      </c>
      <c r="F393">
        <f>IFERROR(INDEX(ChFormat,MATCH(E393,ChName,0)),"")</f>
        <v/>
      </c>
      <c r="G393" t="inlineStr">
        <is>
          <t>NS</t>
        </is>
      </c>
      <c r="H393">
        <f>IF(A393&lt;=NWeeks,1,0)</f>
        <v/>
      </c>
      <c r="I393">
        <f>INDEX(ChLaunch,MATCH(E393,ChName,0))</f>
        <v/>
      </c>
      <c r="J393">
        <f>INDEX(ChWeeksFull,MATCH(E393,ChName,0))</f>
        <v/>
      </c>
      <c r="K393">
        <f>INDEX(ChRamp,MATCH(E393,ChName,0))</f>
        <v/>
      </c>
      <c r="L393" s="45">
        <f>MIN(1,MAX(0,(A393-I393+1)*RampSpeed/J393))</f>
        <v/>
      </c>
      <c r="M393" s="45">
        <f>IF(A393&lt;I393,0,IF(K393="S-curve",L393*L393*(3-2*L393),L393))</f>
        <v/>
      </c>
      <c r="N393" s="45">
        <f>1+(INDEX(SeasonIdx,A393)-1)*SeasonAmp</f>
        <v/>
      </c>
      <c r="O393" s="45">
        <f>IFERROR(INDEX(PSPct,MATCH(E393&amp;"|"&amp;G393,PSKey,0)),0)</f>
        <v/>
      </c>
      <c r="P393" s="46">
        <f>INDEX(ChDoorVel,MATCH(E393,ChName,0))*CalibScalar*(1+VelocityUplift)</f>
        <v/>
      </c>
      <c r="Q393" s="46" t="n">
        <v>0</v>
      </c>
      <c r="R393" s="46">
        <f>P393*O393*M393*N393*H393</f>
        <v/>
      </c>
      <c r="S393" s="46">
        <f>R393*INDEX(FmtCansPerCase,MATCH(F393,FmtName,0))</f>
        <v/>
      </c>
      <c r="T393" s="46">
        <f>S393/INDEX(FmtCansPerPack,MATCH(F393,FmtName,0))</f>
        <v/>
      </c>
      <c r="U393" s="47">
        <f>INDEX(ChBaseCP,MATCH(E393,ChName,0))*(1+INDEX(ProvMod,MATCH(G393,ProvCode,0)))*(1+PriceIndex)</f>
        <v/>
      </c>
      <c r="V393" s="47">
        <f>R393*U393*INDEX(FmtBlendedPriceIdx,MATCH(F393,FmtName,0))</f>
        <v/>
      </c>
      <c r="W393" s="47">
        <f>T393*INDEX(ProvSRP,MATCH(G393,ProvCode,0))*(1+PriceIndex)</f>
        <v/>
      </c>
      <c r="X393" s="47">
        <f>IF(GrossBasis="Wholesale",V393,W393)</f>
        <v/>
      </c>
      <c r="Y393" s="47">
        <f>R393*INDEX(FmtBlendedCogs,MATCH(F393,FmtName,0))</f>
        <v/>
      </c>
      <c r="Z393" s="47">
        <f>X393-Y393</f>
        <v/>
      </c>
    </row>
    <row r="394">
      <c r="A394" t="n">
        <v>22</v>
      </c>
      <c r="B394" s="44">
        <f>FiscalStart+(A394-1)*7</f>
        <v/>
      </c>
      <c r="C394">
        <f>TEXT(B394,"mmm yyyy")</f>
        <v/>
      </c>
      <c r="D394">
        <f>"Q"&amp;(INT((A394-1)/13)+1)</f>
        <v/>
      </c>
      <c r="E394" t="inlineStr">
        <is>
          <t>Convenience</t>
        </is>
      </c>
      <c r="F394">
        <f>IFERROR(INDEX(ChFormat,MATCH(E394,ChName,0)),"")</f>
        <v/>
      </c>
      <c r="G394" t="inlineStr">
        <is>
          <t>NS</t>
        </is>
      </c>
      <c r="H394">
        <f>IF(A394&lt;=NWeeks,1,0)</f>
        <v/>
      </c>
      <c r="I394">
        <f>INDEX(ChLaunch,MATCH(E394,ChName,0))</f>
        <v/>
      </c>
      <c r="J394">
        <f>INDEX(ChWeeksFull,MATCH(E394,ChName,0))</f>
        <v/>
      </c>
      <c r="K394">
        <f>INDEX(ChRamp,MATCH(E394,ChName,0))</f>
        <v/>
      </c>
      <c r="L394" s="45">
        <f>MIN(1,MAX(0,(A394-I394+1)*RampSpeed/J394))</f>
        <v/>
      </c>
      <c r="M394" s="45">
        <f>IF(A394&lt;I394,0,IF(K394="S-curve",L394*L394*(3-2*L394),L394))</f>
        <v/>
      </c>
      <c r="N394" s="45">
        <f>1+(INDEX(SeasonIdx,A394)-1)*SeasonAmp</f>
        <v/>
      </c>
      <c r="O394" s="45">
        <f>IFERROR(INDEX(PSPct,MATCH(E394&amp;"|"&amp;G394,PSKey,0)),0)</f>
        <v/>
      </c>
      <c r="P394" s="46">
        <f>INDEX(ChDoorVel,MATCH(E394,ChName,0))*CalibScalar*(1+VelocityUplift)</f>
        <v/>
      </c>
      <c r="Q394" s="46" t="n">
        <v>0</v>
      </c>
      <c r="R394" s="46">
        <f>P394*O394*M394*N394*H394</f>
        <v/>
      </c>
      <c r="S394" s="46">
        <f>R394*INDEX(FmtCansPerCase,MATCH(F394,FmtName,0))</f>
        <v/>
      </c>
      <c r="T394" s="46">
        <f>S394/INDEX(FmtCansPerPack,MATCH(F394,FmtName,0))</f>
        <v/>
      </c>
      <c r="U394" s="47">
        <f>INDEX(ChBaseCP,MATCH(E394,ChName,0))*(1+INDEX(ProvMod,MATCH(G394,ProvCode,0)))*(1+PriceIndex)</f>
        <v/>
      </c>
      <c r="V394" s="47">
        <f>R394*U394*INDEX(FmtBlendedPriceIdx,MATCH(F394,FmtName,0))</f>
        <v/>
      </c>
      <c r="W394" s="47">
        <f>T394*INDEX(ProvSRP,MATCH(G394,ProvCode,0))*(1+PriceIndex)</f>
        <v/>
      </c>
      <c r="X394" s="47">
        <f>IF(GrossBasis="Wholesale",V394,W394)</f>
        <v/>
      </c>
      <c r="Y394" s="47">
        <f>R394*INDEX(FmtBlendedCogs,MATCH(F394,FmtName,0))</f>
        <v/>
      </c>
      <c r="Z394" s="47">
        <f>X394-Y394</f>
        <v/>
      </c>
    </row>
    <row r="395">
      <c r="A395" t="n">
        <v>23</v>
      </c>
      <c r="B395" s="44">
        <f>FiscalStart+(A395-1)*7</f>
        <v/>
      </c>
      <c r="C395">
        <f>TEXT(B395,"mmm yyyy")</f>
        <v/>
      </c>
      <c r="D395">
        <f>"Q"&amp;(INT((A395-1)/13)+1)</f>
        <v/>
      </c>
      <c r="E395" t="inlineStr">
        <is>
          <t>Convenience</t>
        </is>
      </c>
      <c r="F395">
        <f>IFERROR(INDEX(ChFormat,MATCH(E395,ChName,0)),"")</f>
        <v/>
      </c>
      <c r="G395" t="inlineStr">
        <is>
          <t>NS</t>
        </is>
      </c>
      <c r="H395">
        <f>IF(A395&lt;=NWeeks,1,0)</f>
        <v/>
      </c>
      <c r="I395">
        <f>INDEX(ChLaunch,MATCH(E395,ChName,0))</f>
        <v/>
      </c>
      <c r="J395">
        <f>INDEX(ChWeeksFull,MATCH(E395,ChName,0))</f>
        <v/>
      </c>
      <c r="K395">
        <f>INDEX(ChRamp,MATCH(E395,ChName,0))</f>
        <v/>
      </c>
      <c r="L395" s="45">
        <f>MIN(1,MAX(0,(A395-I395+1)*RampSpeed/J395))</f>
        <v/>
      </c>
      <c r="M395" s="45">
        <f>IF(A395&lt;I395,0,IF(K395="S-curve",L395*L395*(3-2*L395),L395))</f>
        <v/>
      </c>
      <c r="N395" s="45">
        <f>1+(INDEX(SeasonIdx,A395)-1)*SeasonAmp</f>
        <v/>
      </c>
      <c r="O395" s="45">
        <f>IFERROR(INDEX(PSPct,MATCH(E395&amp;"|"&amp;G395,PSKey,0)),0)</f>
        <v/>
      </c>
      <c r="P395" s="46">
        <f>INDEX(ChDoorVel,MATCH(E395,ChName,0))*CalibScalar*(1+VelocityUplift)</f>
        <v/>
      </c>
      <c r="Q395" s="46" t="n">
        <v>0</v>
      </c>
      <c r="R395" s="46">
        <f>P395*O395*M395*N395*H395</f>
        <v/>
      </c>
      <c r="S395" s="46">
        <f>R395*INDEX(FmtCansPerCase,MATCH(F395,FmtName,0))</f>
        <v/>
      </c>
      <c r="T395" s="46">
        <f>S395/INDEX(FmtCansPerPack,MATCH(F395,FmtName,0))</f>
        <v/>
      </c>
      <c r="U395" s="47">
        <f>INDEX(ChBaseCP,MATCH(E395,ChName,0))*(1+INDEX(ProvMod,MATCH(G395,ProvCode,0)))*(1+PriceIndex)</f>
        <v/>
      </c>
      <c r="V395" s="47">
        <f>R395*U395*INDEX(FmtBlendedPriceIdx,MATCH(F395,FmtName,0))</f>
        <v/>
      </c>
      <c r="W395" s="47">
        <f>T395*INDEX(ProvSRP,MATCH(G395,ProvCode,0))*(1+PriceIndex)</f>
        <v/>
      </c>
      <c r="X395" s="47">
        <f>IF(GrossBasis="Wholesale",V395,W395)</f>
        <v/>
      </c>
      <c r="Y395" s="47">
        <f>R395*INDEX(FmtBlendedCogs,MATCH(F395,FmtName,0))</f>
        <v/>
      </c>
      <c r="Z395" s="47">
        <f>X395-Y395</f>
        <v/>
      </c>
    </row>
    <row r="396">
      <c r="A396" t="n">
        <v>24</v>
      </c>
      <c r="B396" s="44">
        <f>FiscalStart+(A396-1)*7</f>
        <v/>
      </c>
      <c r="C396">
        <f>TEXT(B396,"mmm yyyy")</f>
        <v/>
      </c>
      <c r="D396">
        <f>"Q"&amp;(INT((A396-1)/13)+1)</f>
        <v/>
      </c>
      <c r="E396" t="inlineStr">
        <is>
          <t>Convenience</t>
        </is>
      </c>
      <c r="F396">
        <f>IFERROR(INDEX(ChFormat,MATCH(E396,ChName,0)),"")</f>
        <v/>
      </c>
      <c r="G396" t="inlineStr">
        <is>
          <t>NS</t>
        </is>
      </c>
      <c r="H396">
        <f>IF(A396&lt;=NWeeks,1,0)</f>
        <v/>
      </c>
      <c r="I396">
        <f>INDEX(ChLaunch,MATCH(E396,ChName,0))</f>
        <v/>
      </c>
      <c r="J396">
        <f>INDEX(ChWeeksFull,MATCH(E396,ChName,0))</f>
        <v/>
      </c>
      <c r="K396">
        <f>INDEX(ChRamp,MATCH(E396,ChName,0))</f>
        <v/>
      </c>
      <c r="L396" s="45">
        <f>MIN(1,MAX(0,(A396-I396+1)*RampSpeed/J396))</f>
        <v/>
      </c>
      <c r="M396" s="45">
        <f>IF(A396&lt;I396,0,IF(K396="S-curve",L396*L396*(3-2*L396),L396))</f>
        <v/>
      </c>
      <c r="N396" s="45">
        <f>1+(INDEX(SeasonIdx,A396)-1)*SeasonAmp</f>
        <v/>
      </c>
      <c r="O396" s="45">
        <f>IFERROR(INDEX(PSPct,MATCH(E396&amp;"|"&amp;G396,PSKey,0)),0)</f>
        <v/>
      </c>
      <c r="P396" s="46">
        <f>INDEX(ChDoorVel,MATCH(E396,ChName,0))*CalibScalar*(1+VelocityUplift)</f>
        <v/>
      </c>
      <c r="Q396" s="46" t="n">
        <v>0</v>
      </c>
      <c r="R396" s="46">
        <f>P396*O396*M396*N396*H396</f>
        <v/>
      </c>
      <c r="S396" s="46">
        <f>R396*INDEX(FmtCansPerCase,MATCH(F396,FmtName,0))</f>
        <v/>
      </c>
      <c r="T396" s="46">
        <f>S396/INDEX(FmtCansPerPack,MATCH(F396,FmtName,0))</f>
        <v/>
      </c>
      <c r="U396" s="47">
        <f>INDEX(ChBaseCP,MATCH(E396,ChName,0))*(1+INDEX(ProvMod,MATCH(G396,ProvCode,0)))*(1+PriceIndex)</f>
        <v/>
      </c>
      <c r="V396" s="47">
        <f>R396*U396*INDEX(FmtBlendedPriceIdx,MATCH(F396,FmtName,0))</f>
        <v/>
      </c>
      <c r="W396" s="47">
        <f>T396*INDEX(ProvSRP,MATCH(G396,ProvCode,0))*(1+PriceIndex)</f>
        <v/>
      </c>
      <c r="X396" s="47">
        <f>IF(GrossBasis="Wholesale",V396,W396)</f>
        <v/>
      </c>
      <c r="Y396" s="47">
        <f>R396*INDEX(FmtBlendedCogs,MATCH(F396,FmtName,0))</f>
        <v/>
      </c>
      <c r="Z396" s="47">
        <f>X396-Y396</f>
        <v/>
      </c>
    </row>
    <row r="397">
      <c r="A397" t="n">
        <v>25</v>
      </c>
      <c r="B397" s="44">
        <f>FiscalStart+(A397-1)*7</f>
        <v/>
      </c>
      <c r="C397">
        <f>TEXT(B397,"mmm yyyy")</f>
        <v/>
      </c>
      <c r="D397">
        <f>"Q"&amp;(INT((A397-1)/13)+1)</f>
        <v/>
      </c>
      <c r="E397" t="inlineStr">
        <is>
          <t>Convenience</t>
        </is>
      </c>
      <c r="F397">
        <f>IFERROR(INDEX(ChFormat,MATCH(E397,ChName,0)),"")</f>
        <v/>
      </c>
      <c r="G397" t="inlineStr">
        <is>
          <t>NS</t>
        </is>
      </c>
      <c r="H397">
        <f>IF(A397&lt;=NWeeks,1,0)</f>
        <v/>
      </c>
      <c r="I397">
        <f>INDEX(ChLaunch,MATCH(E397,ChName,0))</f>
        <v/>
      </c>
      <c r="J397">
        <f>INDEX(ChWeeksFull,MATCH(E397,ChName,0))</f>
        <v/>
      </c>
      <c r="K397">
        <f>INDEX(ChRamp,MATCH(E397,ChName,0))</f>
        <v/>
      </c>
      <c r="L397" s="45">
        <f>MIN(1,MAX(0,(A397-I397+1)*RampSpeed/J397))</f>
        <v/>
      </c>
      <c r="M397" s="45">
        <f>IF(A397&lt;I397,0,IF(K397="S-curve",L397*L397*(3-2*L397),L397))</f>
        <v/>
      </c>
      <c r="N397" s="45">
        <f>1+(INDEX(SeasonIdx,A397)-1)*SeasonAmp</f>
        <v/>
      </c>
      <c r="O397" s="45">
        <f>IFERROR(INDEX(PSPct,MATCH(E397&amp;"|"&amp;G397,PSKey,0)),0)</f>
        <v/>
      </c>
      <c r="P397" s="46">
        <f>INDEX(ChDoorVel,MATCH(E397,ChName,0))*CalibScalar*(1+VelocityUplift)</f>
        <v/>
      </c>
      <c r="Q397" s="46" t="n">
        <v>0</v>
      </c>
      <c r="R397" s="46">
        <f>P397*O397*M397*N397*H397</f>
        <v/>
      </c>
      <c r="S397" s="46">
        <f>R397*INDEX(FmtCansPerCase,MATCH(F397,FmtName,0))</f>
        <v/>
      </c>
      <c r="T397" s="46">
        <f>S397/INDEX(FmtCansPerPack,MATCH(F397,FmtName,0))</f>
        <v/>
      </c>
      <c r="U397" s="47">
        <f>INDEX(ChBaseCP,MATCH(E397,ChName,0))*(1+INDEX(ProvMod,MATCH(G397,ProvCode,0)))*(1+PriceIndex)</f>
        <v/>
      </c>
      <c r="V397" s="47">
        <f>R397*U397*INDEX(FmtBlendedPriceIdx,MATCH(F397,FmtName,0))</f>
        <v/>
      </c>
      <c r="W397" s="47">
        <f>T397*INDEX(ProvSRP,MATCH(G397,ProvCode,0))*(1+PriceIndex)</f>
        <v/>
      </c>
      <c r="X397" s="47">
        <f>IF(GrossBasis="Wholesale",V397,W397)</f>
        <v/>
      </c>
      <c r="Y397" s="47">
        <f>R397*INDEX(FmtBlendedCogs,MATCH(F397,FmtName,0))</f>
        <v/>
      </c>
      <c r="Z397" s="47">
        <f>X397-Y397</f>
        <v/>
      </c>
    </row>
    <row r="398">
      <c r="A398" t="n">
        <v>26</v>
      </c>
      <c r="B398" s="44">
        <f>FiscalStart+(A398-1)*7</f>
        <v/>
      </c>
      <c r="C398">
        <f>TEXT(B398,"mmm yyyy")</f>
        <v/>
      </c>
      <c r="D398">
        <f>"Q"&amp;(INT((A398-1)/13)+1)</f>
        <v/>
      </c>
      <c r="E398" t="inlineStr">
        <is>
          <t>Convenience</t>
        </is>
      </c>
      <c r="F398">
        <f>IFERROR(INDEX(ChFormat,MATCH(E398,ChName,0)),"")</f>
        <v/>
      </c>
      <c r="G398" t="inlineStr">
        <is>
          <t>NS</t>
        </is>
      </c>
      <c r="H398">
        <f>IF(A398&lt;=NWeeks,1,0)</f>
        <v/>
      </c>
      <c r="I398">
        <f>INDEX(ChLaunch,MATCH(E398,ChName,0))</f>
        <v/>
      </c>
      <c r="J398">
        <f>INDEX(ChWeeksFull,MATCH(E398,ChName,0))</f>
        <v/>
      </c>
      <c r="K398">
        <f>INDEX(ChRamp,MATCH(E398,ChName,0))</f>
        <v/>
      </c>
      <c r="L398" s="45">
        <f>MIN(1,MAX(0,(A398-I398+1)*RampSpeed/J398))</f>
        <v/>
      </c>
      <c r="M398" s="45">
        <f>IF(A398&lt;I398,0,IF(K398="S-curve",L398*L398*(3-2*L398),L398))</f>
        <v/>
      </c>
      <c r="N398" s="45">
        <f>1+(INDEX(SeasonIdx,A398)-1)*SeasonAmp</f>
        <v/>
      </c>
      <c r="O398" s="45">
        <f>IFERROR(INDEX(PSPct,MATCH(E398&amp;"|"&amp;G398,PSKey,0)),0)</f>
        <v/>
      </c>
      <c r="P398" s="46">
        <f>INDEX(ChDoorVel,MATCH(E398,ChName,0))*CalibScalar*(1+VelocityUplift)</f>
        <v/>
      </c>
      <c r="Q398" s="46" t="n">
        <v>0</v>
      </c>
      <c r="R398" s="46">
        <f>P398*O398*M398*N398*H398</f>
        <v/>
      </c>
      <c r="S398" s="46">
        <f>R398*INDEX(FmtCansPerCase,MATCH(F398,FmtName,0))</f>
        <v/>
      </c>
      <c r="T398" s="46">
        <f>S398/INDEX(FmtCansPerPack,MATCH(F398,FmtName,0))</f>
        <v/>
      </c>
      <c r="U398" s="47">
        <f>INDEX(ChBaseCP,MATCH(E398,ChName,0))*(1+INDEX(ProvMod,MATCH(G398,ProvCode,0)))*(1+PriceIndex)</f>
        <v/>
      </c>
      <c r="V398" s="47">
        <f>R398*U398*INDEX(FmtBlendedPriceIdx,MATCH(F398,FmtName,0))</f>
        <v/>
      </c>
      <c r="W398" s="47">
        <f>T398*INDEX(ProvSRP,MATCH(G398,ProvCode,0))*(1+PriceIndex)</f>
        <v/>
      </c>
      <c r="X398" s="47">
        <f>IF(GrossBasis="Wholesale",V398,W398)</f>
        <v/>
      </c>
      <c r="Y398" s="47">
        <f>R398*INDEX(FmtBlendedCogs,MATCH(F398,FmtName,0))</f>
        <v/>
      </c>
      <c r="Z398" s="47">
        <f>X398-Y398</f>
        <v/>
      </c>
    </row>
    <row r="399">
      <c r="A399" t="n">
        <v>27</v>
      </c>
      <c r="B399" s="44">
        <f>FiscalStart+(A399-1)*7</f>
        <v/>
      </c>
      <c r="C399">
        <f>TEXT(B399,"mmm yyyy")</f>
        <v/>
      </c>
      <c r="D399">
        <f>"Q"&amp;(INT((A399-1)/13)+1)</f>
        <v/>
      </c>
      <c r="E399" t="inlineStr">
        <is>
          <t>Convenience</t>
        </is>
      </c>
      <c r="F399">
        <f>IFERROR(INDEX(ChFormat,MATCH(E399,ChName,0)),"")</f>
        <v/>
      </c>
      <c r="G399" t="inlineStr">
        <is>
          <t>NS</t>
        </is>
      </c>
      <c r="H399">
        <f>IF(A399&lt;=NWeeks,1,0)</f>
        <v/>
      </c>
      <c r="I399">
        <f>INDEX(ChLaunch,MATCH(E399,ChName,0))</f>
        <v/>
      </c>
      <c r="J399">
        <f>INDEX(ChWeeksFull,MATCH(E399,ChName,0))</f>
        <v/>
      </c>
      <c r="K399">
        <f>INDEX(ChRamp,MATCH(E399,ChName,0))</f>
        <v/>
      </c>
      <c r="L399" s="45">
        <f>MIN(1,MAX(0,(A399-I399+1)*RampSpeed/J399))</f>
        <v/>
      </c>
      <c r="M399" s="45">
        <f>IF(A399&lt;I399,0,IF(K399="S-curve",L399*L399*(3-2*L399),L399))</f>
        <v/>
      </c>
      <c r="N399" s="45">
        <f>1+(INDEX(SeasonIdx,A399)-1)*SeasonAmp</f>
        <v/>
      </c>
      <c r="O399" s="45">
        <f>IFERROR(INDEX(PSPct,MATCH(E399&amp;"|"&amp;G399,PSKey,0)),0)</f>
        <v/>
      </c>
      <c r="P399" s="46">
        <f>INDEX(ChDoorVel,MATCH(E399,ChName,0))*CalibScalar*(1+VelocityUplift)</f>
        <v/>
      </c>
      <c r="Q399" s="46" t="n">
        <v>0</v>
      </c>
      <c r="R399" s="46">
        <f>P399*O399*M399*N399*H399</f>
        <v/>
      </c>
      <c r="S399" s="46">
        <f>R399*INDEX(FmtCansPerCase,MATCH(F399,FmtName,0))</f>
        <v/>
      </c>
      <c r="T399" s="46">
        <f>S399/INDEX(FmtCansPerPack,MATCH(F399,FmtName,0))</f>
        <v/>
      </c>
      <c r="U399" s="47">
        <f>INDEX(ChBaseCP,MATCH(E399,ChName,0))*(1+INDEX(ProvMod,MATCH(G399,ProvCode,0)))*(1+PriceIndex)</f>
        <v/>
      </c>
      <c r="V399" s="47">
        <f>R399*U399*INDEX(FmtBlendedPriceIdx,MATCH(F399,FmtName,0))</f>
        <v/>
      </c>
      <c r="W399" s="47">
        <f>T399*INDEX(ProvSRP,MATCH(G399,ProvCode,0))*(1+PriceIndex)</f>
        <v/>
      </c>
      <c r="X399" s="47">
        <f>IF(GrossBasis="Wholesale",V399,W399)</f>
        <v/>
      </c>
      <c r="Y399" s="47">
        <f>R399*INDEX(FmtBlendedCogs,MATCH(F399,FmtName,0))</f>
        <v/>
      </c>
      <c r="Z399" s="47">
        <f>X399-Y399</f>
        <v/>
      </c>
    </row>
    <row r="400">
      <c r="A400" t="n">
        <v>28</v>
      </c>
      <c r="B400" s="44">
        <f>FiscalStart+(A400-1)*7</f>
        <v/>
      </c>
      <c r="C400">
        <f>TEXT(B400,"mmm yyyy")</f>
        <v/>
      </c>
      <c r="D400">
        <f>"Q"&amp;(INT((A400-1)/13)+1)</f>
        <v/>
      </c>
      <c r="E400" t="inlineStr">
        <is>
          <t>Convenience</t>
        </is>
      </c>
      <c r="F400">
        <f>IFERROR(INDEX(ChFormat,MATCH(E400,ChName,0)),"")</f>
        <v/>
      </c>
      <c r="G400" t="inlineStr">
        <is>
          <t>NS</t>
        </is>
      </c>
      <c r="H400">
        <f>IF(A400&lt;=NWeeks,1,0)</f>
        <v/>
      </c>
      <c r="I400">
        <f>INDEX(ChLaunch,MATCH(E400,ChName,0))</f>
        <v/>
      </c>
      <c r="J400">
        <f>INDEX(ChWeeksFull,MATCH(E400,ChName,0))</f>
        <v/>
      </c>
      <c r="K400">
        <f>INDEX(ChRamp,MATCH(E400,ChName,0))</f>
        <v/>
      </c>
      <c r="L400" s="45">
        <f>MIN(1,MAX(0,(A400-I400+1)*RampSpeed/J400))</f>
        <v/>
      </c>
      <c r="M400" s="45">
        <f>IF(A400&lt;I400,0,IF(K400="S-curve",L400*L400*(3-2*L400),L400))</f>
        <v/>
      </c>
      <c r="N400" s="45">
        <f>1+(INDEX(SeasonIdx,A400)-1)*SeasonAmp</f>
        <v/>
      </c>
      <c r="O400" s="45">
        <f>IFERROR(INDEX(PSPct,MATCH(E400&amp;"|"&amp;G400,PSKey,0)),0)</f>
        <v/>
      </c>
      <c r="P400" s="46">
        <f>INDEX(ChDoorVel,MATCH(E400,ChName,0))*CalibScalar*(1+VelocityUplift)</f>
        <v/>
      </c>
      <c r="Q400" s="46" t="n">
        <v>0</v>
      </c>
      <c r="R400" s="46">
        <f>P400*O400*M400*N400*H400</f>
        <v/>
      </c>
      <c r="S400" s="46">
        <f>R400*INDEX(FmtCansPerCase,MATCH(F400,FmtName,0))</f>
        <v/>
      </c>
      <c r="T400" s="46">
        <f>S400/INDEX(FmtCansPerPack,MATCH(F400,FmtName,0))</f>
        <v/>
      </c>
      <c r="U400" s="47">
        <f>INDEX(ChBaseCP,MATCH(E400,ChName,0))*(1+INDEX(ProvMod,MATCH(G400,ProvCode,0)))*(1+PriceIndex)</f>
        <v/>
      </c>
      <c r="V400" s="47">
        <f>R400*U400*INDEX(FmtBlendedPriceIdx,MATCH(F400,FmtName,0))</f>
        <v/>
      </c>
      <c r="W400" s="47">
        <f>T400*INDEX(ProvSRP,MATCH(G400,ProvCode,0))*(1+PriceIndex)</f>
        <v/>
      </c>
      <c r="X400" s="47">
        <f>IF(GrossBasis="Wholesale",V400,W400)</f>
        <v/>
      </c>
      <c r="Y400" s="47">
        <f>R400*INDEX(FmtBlendedCogs,MATCH(F400,FmtName,0))</f>
        <v/>
      </c>
      <c r="Z400" s="47">
        <f>X400-Y400</f>
        <v/>
      </c>
    </row>
    <row r="401">
      <c r="A401" t="n">
        <v>29</v>
      </c>
      <c r="B401" s="44">
        <f>FiscalStart+(A401-1)*7</f>
        <v/>
      </c>
      <c r="C401">
        <f>TEXT(B401,"mmm yyyy")</f>
        <v/>
      </c>
      <c r="D401">
        <f>"Q"&amp;(INT((A401-1)/13)+1)</f>
        <v/>
      </c>
      <c r="E401" t="inlineStr">
        <is>
          <t>Convenience</t>
        </is>
      </c>
      <c r="F401">
        <f>IFERROR(INDEX(ChFormat,MATCH(E401,ChName,0)),"")</f>
        <v/>
      </c>
      <c r="G401" t="inlineStr">
        <is>
          <t>NS</t>
        </is>
      </c>
      <c r="H401">
        <f>IF(A401&lt;=NWeeks,1,0)</f>
        <v/>
      </c>
      <c r="I401">
        <f>INDEX(ChLaunch,MATCH(E401,ChName,0))</f>
        <v/>
      </c>
      <c r="J401">
        <f>INDEX(ChWeeksFull,MATCH(E401,ChName,0))</f>
        <v/>
      </c>
      <c r="K401">
        <f>INDEX(ChRamp,MATCH(E401,ChName,0))</f>
        <v/>
      </c>
      <c r="L401" s="45">
        <f>MIN(1,MAX(0,(A401-I401+1)*RampSpeed/J401))</f>
        <v/>
      </c>
      <c r="M401" s="45">
        <f>IF(A401&lt;I401,0,IF(K401="S-curve",L401*L401*(3-2*L401),L401))</f>
        <v/>
      </c>
      <c r="N401" s="45">
        <f>1+(INDEX(SeasonIdx,A401)-1)*SeasonAmp</f>
        <v/>
      </c>
      <c r="O401" s="45">
        <f>IFERROR(INDEX(PSPct,MATCH(E401&amp;"|"&amp;G401,PSKey,0)),0)</f>
        <v/>
      </c>
      <c r="P401" s="46">
        <f>INDEX(ChDoorVel,MATCH(E401,ChName,0))*CalibScalar*(1+VelocityUplift)</f>
        <v/>
      </c>
      <c r="Q401" s="46" t="n">
        <v>0</v>
      </c>
      <c r="R401" s="46">
        <f>P401*O401*M401*N401*H401</f>
        <v/>
      </c>
      <c r="S401" s="46">
        <f>R401*INDEX(FmtCansPerCase,MATCH(F401,FmtName,0))</f>
        <v/>
      </c>
      <c r="T401" s="46">
        <f>S401/INDEX(FmtCansPerPack,MATCH(F401,FmtName,0))</f>
        <v/>
      </c>
      <c r="U401" s="47">
        <f>INDEX(ChBaseCP,MATCH(E401,ChName,0))*(1+INDEX(ProvMod,MATCH(G401,ProvCode,0)))*(1+PriceIndex)</f>
        <v/>
      </c>
      <c r="V401" s="47">
        <f>R401*U401*INDEX(FmtBlendedPriceIdx,MATCH(F401,FmtName,0))</f>
        <v/>
      </c>
      <c r="W401" s="47">
        <f>T401*INDEX(ProvSRP,MATCH(G401,ProvCode,0))*(1+PriceIndex)</f>
        <v/>
      </c>
      <c r="X401" s="47">
        <f>IF(GrossBasis="Wholesale",V401,W401)</f>
        <v/>
      </c>
      <c r="Y401" s="47">
        <f>R401*INDEX(FmtBlendedCogs,MATCH(F401,FmtName,0))</f>
        <v/>
      </c>
      <c r="Z401" s="47">
        <f>X401-Y401</f>
        <v/>
      </c>
    </row>
    <row r="402">
      <c r="A402" t="n">
        <v>30</v>
      </c>
      <c r="B402" s="44">
        <f>FiscalStart+(A402-1)*7</f>
        <v/>
      </c>
      <c r="C402">
        <f>TEXT(B402,"mmm yyyy")</f>
        <v/>
      </c>
      <c r="D402">
        <f>"Q"&amp;(INT((A402-1)/13)+1)</f>
        <v/>
      </c>
      <c r="E402" t="inlineStr">
        <is>
          <t>Convenience</t>
        </is>
      </c>
      <c r="F402">
        <f>IFERROR(INDEX(ChFormat,MATCH(E402,ChName,0)),"")</f>
        <v/>
      </c>
      <c r="G402" t="inlineStr">
        <is>
          <t>NS</t>
        </is>
      </c>
      <c r="H402">
        <f>IF(A402&lt;=NWeeks,1,0)</f>
        <v/>
      </c>
      <c r="I402">
        <f>INDEX(ChLaunch,MATCH(E402,ChName,0))</f>
        <v/>
      </c>
      <c r="J402">
        <f>INDEX(ChWeeksFull,MATCH(E402,ChName,0))</f>
        <v/>
      </c>
      <c r="K402">
        <f>INDEX(ChRamp,MATCH(E402,ChName,0))</f>
        <v/>
      </c>
      <c r="L402" s="45">
        <f>MIN(1,MAX(0,(A402-I402+1)*RampSpeed/J402))</f>
        <v/>
      </c>
      <c r="M402" s="45">
        <f>IF(A402&lt;I402,0,IF(K402="S-curve",L402*L402*(3-2*L402),L402))</f>
        <v/>
      </c>
      <c r="N402" s="45">
        <f>1+(INDEX(SeasonIdx,A402)-1)*SeasonAmp</f>
        <v/>
      </c>
      <c r="O402" s="45">
        <f>IFERROR(INDEX(PSPct,MATCH(E402&amp;"|"&amp;G402,PSKey,0)),0)</f>
        <v/>
      </c>
      <c r="P402" s="46">
        <f>INDEX(ChDoorVel,MATCH(E402,ChName,0))*CalibScalar*(1+VelocityUplift)</f>
        <v/>
      </c>
      <c r="Q402" s="46" t="n">
        <v>0</v>
      </c>
      <c r="R402" s="46">
        <f>P402*O402*M402*N402*H402</f>
        <v/>
      </c>
      <c r="S402" s="46">
        <f>R402*INDEX(FmtCansPerCase,MATCH(F402,FmtName,0))</f>
        <v/>
      </c>
      <c r="T402" s="46">
        <f>S402/INDEX(FmtCansPerPack,MATCH(F402,FmtName,0))</f>
        <v/>
      </c>
      <c r="U402" s="47">
        <f>INDEX(ChBaseCP,MATCH(E402,ChName,0))*(1+INDEX(ProvMod,MATCH(G402,ProvCode,0)))*(1+PriceIndex)</f>
        <v/>
      </c>
      <c r="V402" s="47">
        <f>R402*U402*INDEX(FmtBlendedPriceIdx,MATCH(F402,FmtName,0))</f>
        <v/>
      </c>
      <c r="W402" s="47">
        <f>T402*INDEX(ProvSRP,MATCH(G402,ProvCode,0))*(1+PriceIndex)</f>
        <v/>
      </c>
      <c r="X402" s="47">
        <f>IF(GrossBasis="Wholesale",V402,W402)</f>
        <v/>
      </c>
      <c r="Y402" s="47">
        <f>R402*INDEX(FmtBlendedCogs,MATCH(F402,FmtName,0))</f>
        <v/>
      </c>
      <c r="Z402" s="47">
        <f>X402-Y402</f>
        <v/>
      </c>
    </row>
    <row r="403">
      <c r="A403" t="n">
        <v>31</v>
      </c>
      <c r="B403" s="44">
        <f>FiscalStart+(A403-1)*7</f>
        <v/>
      </c>
      <c r="C403">
        <f>TEXT(B403,"mmm yyyy")</f>
        <v/>
      </c>
      <c r="D403">
        <f>"Q"&amp;(INT((A403-1)/13)+1)</f>
        <v/>
      </c>
      <c r="E403" t="inlineStr">
        <is>
          <t>Convenience</t>
        </is>
      </c>
      <c r="F403">
        <f>IFERROR(INDEX(ChFormat,MATCH(E403,ChName,0)),"")</f>
        <v/>
      </c>
      <c r="G403" t="inlineStr">
        <is>
          <t>NS</t>
        </is>
      </c>
      <c r="H403">
        <f>IF(A403&lt;=NWeeks,1,0)</f>
        <v/>
      </c>
      <c r="I403">
        <f>INDEX(ChLaunch,MATCH(E403,ChName,0))</f>
        <v/>
      </c>
      <c r="J403">
        <f>INDEX(ChWeeksFull,MATCH(E403,ChName,0))</f>
        <v/>
      </c>
      <c r="K403">
        <f>INDEX(ChRamp,MATCH(E403,ChName,0))</f>
        <v/>
      </c>
      <c r="L403" s="45">
        <f>MIN(1,MAX(0,(A403-I403+1)*RampSpeed/J403))</f>
        <v/>
      </c>
      <c r="M403" s="45">
        <f>IF(A403&lt;I403,0,IF(K403="S-curve",L403*L403*(3-2*L403),L403))</f>
        <v/>
      </c>
      <c r="N403" s="45">
        <f>1+(INDEX(SeasonIdx,A403)-1)*SeasonAmp</f>
        <v/>
      </c>
      <c r="O403" s="45">
        <f>IFERROR(INDEX(PSPct,MATCH(E403&amp;"|"&amp;G403,PSKey,0)),0)</f>
        <v/>
      </c>
      <c r="P403" s="46">
        <f>INDEX(ChDoorVel,MATCH(E403,ChName,0))*CalibScalar*(1+VelocityUplift)</f>
        <v/>
      </c>
      <c r="Q403" s="46" t="n">
        <v>0</v>
      </c>
      <c r="R403" s="46">
        <f>P403*O403*M403*N403*H403</f>
        <v/>
      </c>
      <c r="S403" s="46">
        <f>R403*INDEX(FmtCansPerCase,MATCH(F403,FmtName,0))</f>
        <v/>
      </c>
      <c r="T403" s="46">
        <f>S403/INDEX(FmtCansPerPack,MATCH(F403,FmtName,0))</f>
        <v/>
      </c>
      <c r="U403" s="47">
        <f>INDEX(ChBaseCP,MATCH(E403,ChName,0))*(1+INDEX(ProvMod,MATCH(G403,ProvCode,0)))*(1+PriceIndex)</f>
        <v/>
      </c>
      <c r="V403" s="47">
        <f>R403*U403*INDEX(FmtBlendedPriceIdx,MATCH(F403,FmtName,0))</f>
        <v/>
      </c>
      <c r="W403" s="47">
        <f>T403*INDEX(ProvSRP,MATCH(G403,ProvCode,0))*(1+PriceIndex)</f>
        <v/>
      </c>
      <c r="X403" s="47">
        <f>IF(GrossBasis="Wholesale",V403,W403)</f>
        <v/>
      </c>
      <c r="Y403" s="47">
        <f>R403*INDEX(FmtBlendedCogs,MATCH(F403,FmtName,0))</f>
        <v/>
      </c>
      <c r="Z403" s="47">
        <f>X403-Y403</f>
        <v/>
      </c>
    </row>
    <row r="404">
      <c r="A404" t="n">
        <v>32</v>
      </c>
      <c r="B404" s="44">
        <f>FiscalStart+(A404-1)*7</f>
        <v/>
      </c>
      <c r="C404">
        <f>TEXT(B404,"mmm yyyy")</f>
        <v/>
      </c>
      <c r="D404">
        <f>"Q"&amp;(INT((A404-1)/13)+1)</f>
        <v/>
      </c>
      <c r="E404" t="inlineStr">
        <is>
          <t>Convenience</t>
        </is>
      </c>
      <c r="F404">
        <f>IFERROR(INDEX(ChFormat,MATCH(E404,ChName,0)),"")</f>
        <v/>
      </c>
      <c r="G404" t="inlineStr">
        <is>
          <t>NS</t>
        </is>
      </c>
      <c r="H404">
        <f>IF(A404&lt;=NWeeks,1,0)</f>
        <v/>
      </c>
      <c r="I404">
        <f>INDEX(ChLaunch,MATCH(E404,ChName,0))</f>
        <v/>
      </c>
      <c r="J404">
        <f>INDEX(ChWeeksFull,MATCH(E404,ChName,0))</f>
        <v/>
      </c>
      <c r="K404">
        <f>INDEX(ChRamp,MATCH(E404,ChName,0))</f>
        <v/>
      </c>
      <c r="L404" s="45">
        <f>MIN(1,MAX(0,(A404-I404+1)*RampSpeed/J404))</f>
        <v/>
      </c>
      <c r="M404" s="45">
        <f>IF(A404&lt;I404,0,IF(K404="S-curve",L404*L404*(3-2*L404),L404))</f>
        <v/>
      </c>
      <c r="N404" s="45">
        <f>1+(INDEX(SeasonIdx,A404)-1)*SeasonAmp</f>
        <v/>
      </c>
      <c r="O404" s="45">
        <f>IFERROR(INDEX(PSPct,MATCH(E404&amp;"|"&amp;G404,PSKey,0)),0)</f>
        <v/>
      </c>
      <c r="P404" s="46">
        <f>INDEX(ChDoorVel,MATCH(E404,ChName,0))*CalibScalar*(1+VelocityUplift)</f>
        <v/>
      </c>
      <c r="Q404" s="46" t="n">
        <v>0</v>
      </c>
      <c r="R404" s="46">
        <f>P404*O404*M404*N404*H404</f>
        <v/>
      </c>
      <c r="S404" s="46">
        <f>R404*INDEX(FmtCansPerCase,MATCH(F404,FmtName,0))</f>
        <v/>
      </c>
      <c r="T404" s="46">
        <f>S404/INDEX(FmtCansPerPack,MATCH(F404,FmtName,0))</f>
        <v/>
      </c>
      <c r="U404" s="47">
        <f>INDEX(ChBaseCP,MATCH(E404,ChName,0))*(1+INDEX(ProvMod,MATCH(G404,ProvCode,0)))*(1+PriceIndex)</f>
        <v/>
      </c>
      <c r="V404" s="47">
        <f>R404*U404*INDEX(FmtBlendedPriceIdx,MATCH(F404,FmtName,0))</f>
        <v/>
      </c>
      <c r="W404" s="47">
        <f>T404*INDEX(ProvSRP,MATCH(G404,ProvCode,0))*(1+PriceIndex)</f>
        <v/>
      </c>
      <c r="X404" s="47">
        <f>IF(GrossBasis="Wholesale",V404,W404)</f>
        <v/>
      </c>
      <c r="Y404" s="47">
        <f>R404*INDEX(FmtBlendedCogs,MATCH(F404,FmtName,0))</f>
        <v/>
      </c>
      <c r="Z404" s="47">
        <f>X404-Y404</f>
        <v/>
      </c>
    </row>
    <row r="405">
      <c r="A405" t="n">
        <v>33</v>
      </c>
      <c r="B405" s="44">
        <f>FiscalStart+(A405-1)*7</f>
        <v/>
      </c>
      <c r="C405">
        <f>TEXT(B405,"mmm yyyy")</f>
        <v/>
      </c>
      <c r="D405">
        <f>"Q"&amp;(INT((A405-1)/13)+1)</f>
        <v/>
      </c>
      <c r="E405" t="inlineStr">
        <is>
          <t>Convenience</t>
        </is>
      </c>
      <c r="F405">
        <f>IFERROR(INDEX(ChFormat,MATCH(E405,ChName,0)),"")</f>
        <v/>
      </c>
      <c r="G405" t="inlineStr">
        <is>
          <t>NS</t>
        </is>
      </c>
      <c r="H405">
        <f>IF(A405&lt;=NWeeks,1,0)</f>
        <v/>
      </c>
      <c r="I405">
        <f>INDEX(ChLaunch,MATCH(E405,ChName,0))</f>
        <v/>
      </c>
      <c r="J405">
        <f>INDEX(ChWeeksFull,MATCH(E405,ChName,0))</f>
        <v/>
      </c>
      <c r="K405">
        <f>INDEX(ChRamp,MATCH(E405,ChName,0))</f>
        <v/>
      </c>
      <c r="L405" s="45">
        <f>MIN(1,MAX(0,(A405-I405+1)*RampSpeed/J405))</f>
        <v/>
      </c>
      <c r="M405" s="45">
        <f>IF(A405&lt;I405,0,IF(K405="S-curve",L405*L405*(3-2*L405),L405))</f>
        <v/>
      </c>
      <c r="N405" s="45">
        <f>1+(INDEX(SeasonIdx,A405)-1)*SeasonAmp</f>
        <v/>
      </c>
      <c r="O405" s="45">
        <f>IFERROR(INDEX(PSPct,MATCH(E405&amp;"|"&amp;G405,PSKey,0)),0)</f>
        <v/>
      </c>
      <c r="P405" s="46">
        <f>INDEX(ChDoorVel,MATCH(E405,ChName,0))*CalibScalar*(1+VelocityUplift)</f>
        <v/>
      </c>
      <c r="Q405" s="46" t="n">
        <v>0</v>
      </c>
      <c r="R405" s="46">
        <f>P405*O405*M405*N405*H405</f>
        <v/>
      </c>
      <c r="S405" s="46">
        <f>R405*INDEX(FmtCansPerCase,MATCH(F405,FmtName,0))</f>
        <v/>
      </c>
      <c r="T405" s="46">
        <f>S405/INDEX(FmtCansPerPack,MATCH(F405,FmtName,0))</f>
        <v/>
      </c>
      <c r="U405" s="47">
        <f>INDEX(ChBaseCP,MATCH(E405,ChName,0))*(1+INDEX(ProvMod,MATCH(G405,ProvCode,0)))*(1+PriceIndex)</f>
        <v/>
      </c>
      <c r="V405" s="47">
        <f>R405*U405*INDEX(FmtBlendedPriceIdx,MATCH(F405,FmtName,0))</f>
        <v/>
      </c>
      <c r="W405" s="47">
        <f>T405*INDEX(ProvSRP,MATCH(G405,ProvCode,0))*(1+PriceIndex)</f>
        <v/>
      </c>
      <c r="X405" s="47">
        <f>IF(GrossBasis="Wholesale",V405,W405)</f>
        <v/>
      </c>
      <c r="Y405" s="47">
        <f>R405*INDEX(FmtBlendedCogs,MATCH(F405,FmtName,0))</f>
        <v/>
      </c>
      <c r="Z405" s="47">
        <f>X405-Y405</f>
        <v/>
      </c>
    </row>
    <row r="406">
      <c r="A406" t="n">
        <v>34</v>
      </c>
      <c r="B406" s="44">
        <f>FiscalStart+(A406-1)*7</f>
        <v/>
      </c>
      <c r="C406">
        <f>TEXT(B406,"mmm yyyy")</f>
        <v/>
      </c>
      <c r="D406">
        <f>"Q"&amp;(INT((A406-1)/13)+1)</f>
        <v/>
      </c>
      <c r="E406" t="inlineStr">
        <is>
          <t>Convenience</t>
        </is>
      </c>
      <c r="F406">
        <f>IFERROR(INDEX(ChFormat,MATCH(E406,ChName,0)),"")</f>
        <v/>
      </c>
      <c r="G406" t="inlineStr">
        <is>
          <t>NS</t>
        </is>
      </c>
      <c r="H406">
        <f>IF(A406&lt;=NWeeks,1,0)</f>
        <v/>
      </c>
      <c r="I406">
        <f>INDEX(ChLaunch,MATCH(E406,ChName,0))</f>
        <v/>
      </c>
      <c r="J406">
        <f>INDEX(ChWeeksFull,MATCH(E406,ChName,0))</f>
        <v/>
      </c>
      <c r="K406">
        <f>INDEX(ChRamp,MATCH(E406,ChName,0))</f>
        <v/>
      </c>
      <c r="L406" s="45">
        <f>MIN(1,MAX(0,(A406-I406+1)*RampSpeed/J406))</f>
        <v/>
      </c>
      <c r="M406" s="45">
        <f>IF(A406&lt;I406,0,IF(K406="S-curve",L406*L406*(3-2*L406),L406))</f>
        <v/>
      </c>
      <c r="N406" s="45">
        <f>1+(INDEX(SeasonIdx,A406)-1)*SeasonAmp</f>
        <v/>
      </c>
      <c r="O406" s="45">
        <f>IFERROR(INDEX(PSPct,MATCH(E406&amp;"|"&amp;G406,PSKey,0)),0)</f>
        <v/>
      </c>
      <c r="P406" s="46">
        <f>INDEX(ChDoorVel,MATCH(E406,ChName,0))*CalibScalar*(1+VelocityUplift)</f>
        <v/>
      </c>
      <c r="Q406" s="46" t="n">
        <v>0</v>
      </c>
      <c r="R406" s="46">
        <f>P406*O406*M406*N406*H406</f>
        <v/>
      </c>
      <c r="S406" s="46">
        <f>R406*INDEX(FmtCansPerCase,MATCH(F406,FmtName,0))</f>
        <v/>
      </c>
      <c r="T406" s="46">
        <f>S406/INDEX(FmtCansPerPack,MATCH(F406,FmtName,0))</f>
        <v/>
      </c>
      <c r="U406" s="47">
        <f>INDEX(ChBaseCP,MATCH(E406,ChName,0))*(1+INDEX(ProvMod,MATCH(G406,ProvCode,0)))*(1+PriceIndex)</f>
        <v/>
      </c>
      <c r="V406" s="47">
        <f>R406*U406*INDEX(FmtBlendedPriceIdx,MATCH(F406,FmtName,0))</f>
        <v/>
      </c>
      <c r="W406" s="47">
        <f>T406*INDEX(ProvSRP,MATCH(G406,ProvCode,0))*(1+PriceIndex)</f>
        <v/>
      </c>
      <c r="X406" s="47">
        <f>IF(GrossBasis="Wholesale",V406,W406)</f>
        <v/>
      </c>
      <c r="Y406" s="47">
        <f>R406*INDEX(FmtBlendedCogs,MATCH(F406,FmtName,0))</f>
        <v/>
      </c>
      <c r="Z406" s="47">
        <f>X406-Y406</f>
        <v/>
      </c>
    </row>
    <row r="407">
      <c r="A407" t="n">
        <v>35</v>
      </c>
      <c r="B407" s="44">
        <f>FiscalStart+(A407-1)*7</f>
        <v/>
      </c>
      <c r="C407">
        <f>TEXT(B407,"mmm yyyy")</f>
        <v/>
      </c>
      <c r="D407">
        <f>"Q"&amp;(INT((A407-1)/13)+1)</f>
        <v/>
      </c>
      <c r="E407" t="inlineStr">
        <is>
          <t>Convenience</t>
        </is>
      </c>
      <c r="F407">
        <f>IFERROR(INDEX(ChFormat,MATCH(E407,ChName,0)),"")</f>
        <v/>
      </c>
      <c r="G407" t="inlineStr">
        <is>
          <t>NS</t>
        </is>
      </c>
      <c r="H407">
        <f>IF(A407&lt;=NWeeks,1,0)</f>
        <v/>
      </c>
      <c r="I407">
        <f>INDEX(ChLaunch,MATCH(E407,ChName,0))</f>
        <v/>
      </c>
      <c r="J407">
        <f>INDEX(ChWeeksFull,MATCH(E407,ChName,0))</f>
        <v/>
      </c>
      <c r="K407">
        <f>INDEX(ChRamp,MATCH(E407,ChName,0))</f>
        <v/>
      </c>
      <c r="L407" s="45">
        <f>MIN(1,MAX(0,(A407-I407+1)*RampSpeed/J407))</f>
        <v/>
      </c>
      <c r="M407" s="45">
        <f>IF(A407&lt;I407,0,IF(K407="S-curve",L407*L407*(3-2*L407),L407))</f>
        <v/>
      </c>
      <c r="N407" s="45">
        <f>1+(INDEX(SeasonIdx,A407)-1)*SeasonAmp</f>
        <v/>
      </c>
      <c r="O407" s="45">
        <f>IFERROR(INDEX(PSPct,MATCH(E407&amp;"|"&amp;G407,PSKey,0)),0)</f>
        <v/>
      </c>
      <c r="P407" s="46">
        <f>INDEX(ChDoorVel,MATCH(E407,ChName,0))*CalibScalar*(1+VelocityUplift)</f>
        <v/>
      </c>
      <c r="Q407" s="46" t="n">
        <v>0</v>
      </c>
      <c r="R407" s="46">
        <f>P407*O407*M407*N407*H407</f>
        <v/>
      </c>
      <c r="S407" s="46">
        <f>R407*INDEX(FmtCansPerCase,MATCH(F407,FmtName,0))</f>
        <v/>
      </c>
      <c r="T407" s="46">
        <f>S407/INDEX(FmtCansPerPack,MATCH(F407,FmtName,0))</f>
        <v/>
      </c>
      <c r="U407" s="47">
        <f>INDEX(ChBaseCP,MATCH(E407,ChName,0))*(1+INDEX(ProvMod,MATCH(G407,ProvCode,0)))*(1+PriceIndex)</f>
        <v/>
      </c>
      <c r="V407" s="47">
        <f>R407*U407*INDEX(FmtBlendedPriceIdx,MATCH(F407,FmtName,0))</f>
        <v/>
      </c>
      <c r="W407" s="47">
        <f>T407*INDEX(ProvSRP,MATCH(G407,ProvCode,0))*(1+PriceIndex)</f>
        <v/>
      </c>
      <c r="X407" s="47">
        <f>IF(GrossBasis="Wholesale",V407,W407)</f>
        <v/>
      </c>
      <c r="Y407" s="47">
        <f>R407*INDEX(FmtBlendedCogs,MATCH(F407,FmtName,0))</f>
        <v/>
      </c>
      <c r="Z407" s="47">
        <f>X407-Y407</f>
        <v/>
      </c>
    </row>
    <row r="408">
      <c r="A408" t="n">
        <v>36</v>
      </c>
      <c r="B408" s="44">
        <f>FiscalStart+(A408-1)*7</f>
        <v/>
      </c>
      <c r="C408">
        <f>TEXT(B408,"mmm yyyy")</f>
        <v/>
      </c>
      <c r="D408">
        <f>"Q"&amp;(INT((A408-1)/13)+1)</f>
        <v/>
      </c>
      <c r="E408" t="inlineStr">
        <is>
          <t>Convenience</t>
        </is>
      </c>
      <c r="F408">
        <f>IFERROR(INDEX(ChFormat,MATCH(E408,ChName,0)),"")</f>
        <v/>
      </c>
      <c r="G408" t="inlineStr">
        <is>
          <t>NS</t>
        </is>
      </c>
      <c r="H408">
        <f>IF(A408&lt;=NWeeks,1,0)</f>
        <v/>
      </c>
      <c r="I408">
        <f>INDEX(ChLaunch,MATCH(E408,ChName,0))</f>
        <v/>
      </c>
      <c r="J408">
        <f>INDEX(ChWeeksFull,MATCH(E408,ChName,0))</f>
        <v/>
      </c>
      <c r="K408">
        <f>INDEX(ChRamp,MATCH(E408,ChName,0))</f>
        <v/>
      </c>
      <c r="L408" s="45">
        <f>MIN(1,MAX(0,(A408-I408+1)*RampSpeed/J408))</f>
        <v/>
      </c>
      <c r="M408" s="45">
        <f>IF(A408&lt;I408,0,IF(K408="S-curve",L408*L408*(3-2*L408),L408))</f>
        <v/>
      </c>
      <c r="N408" s="45">
        <f>1+(INDEX(SeasonIdx,A408)-1)*SeasonAmp</f>
        <v/>
      </c>
      <c r="O408" s="45">
        <f>IFERROR(INDEX(PSPct,MATCH(E408&amp;"|"&amp;G408,PSKey,0)),0)</f>
        <v/>
      </c>
      <c r="P408" s="46">
        <f>INDEX(ChDoorVel,MATCH(E408,ChName,0))*CalibScalar*(1+VelocityUplift)</f>
        <v/>
      </c>
      <c r="Q408" s="46" t="n">
        <v>0</v>
      </c>
      <c r="R408" s="46">
        <f>P408*O408*M408*N408*H408</f>
        <v/>
      </c>
      <c r="S408" s="46">
        <f>R408*INDEX(FmtCansPerCase,MATCH(F408,FmtName,0))</f>
        <v/>
      </c>
      <c r="T408" s="46">
        <f>S408/INDEX(FmtCansPerPack,MATCH(F408,FmtName,0))</f>
        <v/>
      </c>
      <c r="U408" s="47">
        <f>INDEX(ChBaseCP,MATCH(E408,ChName,0))*(1+INDEX(ProvMod,MATCH(G408,ProvCode,0)))*(1+PriceIndex)</f>
        <v/>
      </c>
      <c r="V408" s="47">
        <f>R408*U408*INDEX(FmtBlendedPriceIdx,MATCH(F408,FmtName,0))</f>
        <v/>
      </c>
      <c r="W408" s="47">
        <f>T408*INDEX(ProvSRP,MATCH(G408,ProvCode,0))*(1+PriceIndex)</f>
        <v/>
      </c>
      <c r="X408" s="47">
        <f>IF(GrossBasis="Wholesale",V408,W408)</f>
        <v/>
      </c>
      <c r="Y408" s="47">
        <f>R408*INDEX(FmtBlendedCogs,MATCH(F408,FmtName,0))</f>
        <v/>
      </c>
      <c r="Z408" s="47">
        <f>X408-Y408</f>
        <v/>
      </c>
    </row>
    <row r="409">
      <c r="A409" t="n">
        <v>37</v>
      </c>
      <c r="B409" s="44">
        <f>FiscalStart+(A409-1)*7</f>
        <v/>
      </c>
      <c r="C409">
        <f>TEXT(B409,"mmm yyyy")</f>
        <v/>
      </c>
      <c r="D409">
        <f>"Q"&amp;(INT((A409-1)/13)+1)</f>
        <v/>
      </c>
      <c r="E409" t="inlineStr">
        <is>
          <t>Convenience</t>
        </is>
      </c>
      <c r="F409">
        <f>IFERROR(INDEX(ChFormat,MATCH(E409,ChName,0)),"")</f>
        <v/>
      </c>
      <c r="G409" t="inlineStr">
        <is>
          <t>NS</t>
        </is>
      </c>
      <c r="H409">
        <f>IF(A409&lt;=NWeeks,1,0)</f>
        <v/>
      </c>
      <c r="I409">
        <f>INDEX(ChLaunch,MATCH(E409,ChName,0))</f>
        <v/>
      </c>
      <c r="J409">
        <f>INDEX(ChWeeksFull,MATCH(E409,ChName,0))</f>
        <v/>
      </c>
      <c r="K409">
        <f>INDEX(ChRamp,MATCH(E409,ChName,0))</f>
        <v/>
      </c>
      <c r="L409" s="45">
        <f>MIN(1,MAX(0,(A409-I409+1)*RampSpeed/J409))</f>
        <v/>
      </c>
      <c r="M409" s="45">
        <f>IF(A409&lt;I409,0,IF(K409="S-curve",L409*L409*(3-2*L409),L409))</f>
        <v/>
      </c>
      <c r="N409" s="45">
        <f>1+(INDEX(SeasonIdx,A409)-1)*SeasonAmp</f>
        <v/>
      </c>
      <c r="O409" s="45">
        <f>IFERROR(INDEX(PSPct,MATCH(E409&amp;"|"&amp;G409,PSKey,0)),0)</f>
        <v/>
      </c>
      <c r="P409" s="46">
        <f>INDEX(ChDoorVel,MATCH(E409,ChName,0))*CalibScalar*(1+VelocityUplift)</f>
        <v/>
      </c>
      <c r="Q409" s="46" t="n">
        <v>0</v>
      </c>
      <c r="R409" s="46">
        <f>P409*O409*M409*N409*H409</f>
        <v/>
      </c>
      <c r="S409" s="46">
        <f>R409*INDEX(FmtCansPerCase,MATCH(F409,FmtName,0))</f>
        <v/>
      </c>
      <c r="T409" s="46">
        <f>S409/INDEX(FmtCansPerPack,MATCH(F409,FmtName,0))</f>
        <v/>
      </c>
      <c r="U409" s="47">
        <f>INDEX(ChBaseCP,MATCH(E409,ChName,0))*(1+INDEX(ProvMod,MATCH(G409,ProvCode,0)))*(1+PriceIndex)</f>
        <v/>
      </c>
      <c r="V409" s="47">
        <f>R409*U409*INDEX(FmtBlendedPriceIdx,MATCH(F409,FmtName,0))</f>
        <v/>
      </c>
      <c r="W409" s="47">
        <f>T409*INDEX(ProvSRP,MATCH(G409,ProvCode,0))*(1+PriceIndex)</f>
        <v/>
      </c>
      <c r="X409" s="47">
        <f>IF(GrossBasis="Wholesale",V409,W409)</f>
        <v/>
      </c>
      <c r="Y409" s="47">
        <f>R409*INDEX(FmtBlendedCogs,MATCH(F409,FmtName,0))</f>
        <v/>
      </c>
      <c r="Z409" s="47">
        <f>X409-Y409</f>
        <v/>
      </c>
    </row>
    <row r="410">
      <c r="A410" t="n">
        <v>38</v>
      </c>
      <c r="B410" s="44">
        <f>FiscalStart+(A410-1)*7</f>
        <v/>
      </c>
      <c r="C410">
        <f>TEXT(B410,"mmm yyyy")</f>
        <v/>
      </c>
      <c r="D410">
        <f>"Q"&amp;(INT((A410-1)/13)+1)</f>
        <v/>
      </c>
      <c r="E410" t="inlineStr">
        <is>
          <t>Convenience</t>
        </is>
      </c>
      <c r="F410">
        <f>IFERROR(INDEX(ChFormat,MATCH(E410,ChName,0)),"")</f>
        <v/>
      </c>
      <c r="G410" t="inlineStr">
        <is>
          <t>NS</t>
        </is>
      </c>
      <c r="H410">
        <f>IF(A410&lt;=NWeeks,1,0)</f>
        <v/>
      </c>
      <c r="I410">
        <f>INDEX(ChLaunch,MATCH(E410,ChName,0))</f>
        <v/>
      </c>
      <c r="J410">
        <f>INDEX(ChWeeksFull,MATCH(E410,ChName,0))</f>
        <v/>
      </c>
      <c r="K410">
        <f>INDEX(ChRamp,MATCH(E410,ChName,0))</f>
        <v/>
      </c>
      <c r="L410" s="45">
        <f>MIN(1,MAX(0,(A410-I410+1)*RampSpeed/J410))</f>
        <v/>
      </c>
      <c r="M410" s="45">
        <f>IF(A410&lt;I410,0,IF(K410="S-curve",L410*L410*(3-2*L410),L410))</f>
        <v/>
      </c>
      <c r="N410" s="45">
        <f>1+(INDEX(SeasonIdx,A410)-1)*SeasonAmp</f>
        <v/>
      </c>
      <c r="O410" s="45">
        <f>IFERROR(INDEX(PSPct,MATCH(E410&amp;"|"&amp;G410,PSKey,0)),0)</f>
        <v/>
      </c>
      <c r="P410" s="46">
        <f>INDEX(ChDoorVel,MATCH(E410,ChName,0))*CalibScalar*(1+VelocityUplift)</f>
        <v/>
      </c>
      <c r="Q410" s="46" t="n">
        <v>0</v>
      </c>
      <c r="R410" s="46">
        <f>P410*O410*M410*N410*H410</f>
        <v/>
      </c>
      <c r="S410" s="46">
        <f>R410*INDEX(FmtCansPerCase,MATCH(F410,FmtName,0))</f>
        <v/>
      </c>
      <c r="T410" s="46">
        <f>S410/INDEX(FmtCansPerPack,MATCH(F410,FmtName,0))</f>
        <v/>
      </c>
      <c r="U410" s="47">
        <f>INDEX(ChBaseCP,MATCH(E410,ChName,0))*(1+INDEX(ProvMod,MATCH(G410,ProvCode,0)))*(1+PriceIndex)</f>
        <v/>
      </c>
      <c r="V410" s="47">
        <f>R410*U410*INDEX(FmtBlendedPriceIdx,MATCH(F410,FmtName,0))</f>
        <v/>
      </c>
      <c r="W410" s="47">
        <f>T410*INDEX(ProvSRP,MATCH(G410,ProvCode,0))*(1+PriceIndex)</f>
        <v/>
      </c>
      <c r="X410" s="47">
        <f>IF(GrossBasis="Wholesale",V410,W410)</f>
        <v/>
      </c>
      <c r="Y410" s="47">
        <f>R410*INDEX(FmtBlendedCogs,MATCH(F410,FmtName,0))</f>
        <v/>
      </c>
      <c r="Z410" s="47">
        <f>X410-Y410</f>
        <v/>
      </c>
    </row>
    <row r="411">
      <c r="A411" t="n">
        <v>39</v>
      </c>
      <c r="B411" s="44">
        <f>FiscalStart+(A411-1)*7</f>
        <v/>
      </c>
      <c r="C411">
        <f>TEXT(B411,"mmm yyyy")</f>
        <v/>
      </c>
      <c r="D411">
        <f>"Q"&amp;(INT((A411-1)/13)+1)</f>
        <v/>
      </c>
      <c r="E411" t="inlineStr">
        <is>
          <t>Convenience</t>
        </is>
      </c>
      <c r="F411">
        <f>IFERROR(INDEX(ChFormat,MATCH(E411,ChName,0)),"")</f>
        <v/>
      </c>
      <c r="G411" t="inlineStr">
        <is>
          <t>NS</t>
        </is>
      </c>
      <c r="H411">
        <f>IF(A411&lt;=NWeeks,1,0)</f>
        <v/>
      </c>
      <c r="I411">
        <f>INDEX(ChLaunch,MATCH(E411,ChName,0))</f>
        <v/>
      </c>
      <c r="J411">
        <f>INDEX(ChWeeksFull,MATCH(E411,ChName,0))</f>
        <v/>
      </c>
      <c r="K411">
        <f>INDEX(ChRamp,MATCH(E411,ChName,0))</f>
        <v/>
      </c>
      <c r="L411" s="45">
        <f>MIN(1,MAX(0,(A411-I411+1)*RampSpeed/J411))</f>
        <v/>
      </c>
      <c r="M411" s="45">
        <f>IF(A411&lt;I411,0,IF(K411="S-curve",L411*L411*(3-2*L411),L411))</f>
        <v/>
      </c>
      <c r="N411" s="45">
        <f>1+(INDEX(SeasonIdx,A411)-1)*SeasonAmp</f>
        <v/>
      </c>
      <c r="O411" s="45">
        <f>IFERROR(INDEX(PSPct,MATCH(E411&amp;"|"&amp;G411,PSKey,0)),0)</f>
        <v/>
      </c>
      <c r="P411" s="46">
        <f>INDEX(ChDoorVel,MATCH(E411,ChName,0))*CalibScalar*(1+VelocityUplift)</f>
        <v/>
      </c>
      <c r="Q411" s="46" t="n">
        <v>0</v>
      </c>
      <c r="R411" s="46">
        <f>P411*O411*M411*N411*H411</f>
        <v/>
      </c>
      <c r="S411" s="46">
        <f>R411*INDEX(FmtCansPerCase,MATCH(F411,FmtName,0))</f>
        <v/>
      </c>
      <c r="T411" s="46">
        <f>S411/INDEX(FmtCansPerPack,MATCH(F411,FmtName,0))</f>
        <v/>
      </c>
      <c r="U411" s="47">
        <f>INDEX(ChBaseCP,MATCH(E411,ChName,0))*(1+INDEX(ProvMod,MATCH(G411,ProvCode,0)))*(1+PriceIndex)</f>
        <v/>
      </c>
      <c r="V411" s="47">
        <f>R411*U411*INDEX(FmtBlendedPriceIdx,MATCH(F411,FmtName,0))</f>
        <v/>
      </c>
      <c r="W411" s="47">
        <f>T411*INDEX(ProvSRP,MATCH(G411,ProvCode,0))*(1+PriceIndex)</f>
        <v/>
      </c>
      <c r="X411" s="47">
        <f>IF(GrossBasis="Wholesale",V411,W411)</f>
        <v/>
      </c>
      <c r="Y411" s="47">
        <f>R411*INDEX(FmtBlendedCogs,MATCH(F411,FmtName,0))</f>
        <v/>
      </c>
      <c r="Z411" s="47">
        <f>X411-Y411</f>
        <v/>
      </c>
    </row>
    <row r="412">
      <c r="A412" t="n">
        <v>40</v>
      </c>
      <c r="B412" s="44">
        <f>FiscalStart+(A412-1)*7</f>
        <v/>
      </c>
      <c r="C412">
        <f>TEXT(B412,"mmm yyyy")</f>
        <v/>
      </c>
      <c r="D412">
        <f>"Q"&amp;(INT((A412-1)/13)+1)</f>
        <v/>
      </c>
      <c r="E412" t="inlineStr">
        <is>
          <t>Convenience</t>
        </is>
      </c>
      <c r="F412">
        <f>IFERROR(INDEX(ChFormat,MATCH(E412,ChName,0)),"")</f>
        <v/>
      </c>
      <c r="G412" t="inlineStr">
        <is>
          <t>NS</t>
        </is>
      </c>
      <c r="H412">
        <f>IF(A412&lt;=NWeeks,1,0)</f>
        <v/>
      </c>
      <c r="I412">
        <f>INDEX(ChLaunch,MATCH(E412,ChName,0))</f>
        <v/>
      </c>
      <c r="J412">
        <f>INDEX(ChWeeksFull,MATCH(E412,ChName,0))</f>
        <v/>
      </c>
      <c r="K412">
        <f>INDEX(ChRamp,MATCH(E412,ChName,0))</f>
        <v/>
      </c>
      <c r="L412" s="45">
        <f>MIN(1,MAX(0,(A412-I412+1)*RampSpeed/J412))</f>
        <v/>
      </c>
      <c r="M412" s="45">
        <f>IF(A412&lt;I412,0,IF(K412="S-curve",L412*L412*(3-2*L412),L412))</f>
        <v/>
      </c>
      <c r="N412" s="45">
        <f>1+(INDEX(SeasonIdx,A412)-1)*SeasonAmp</f>
        <v/>
      </c>
      <c r="O412" s="45">
        <f>IFERROR(INDEX(PSPct,MATCH(E412&amp;"|"&amp;G412,PSKey,0)),0)</f>
        <v/>
      </c>
      <c r="P412" s="46">
        <f>INDEX(ChDoorVel,MATCH(E412,ChName,0))*CalibScalar*(1+VelocityUplift)</f>
        <v/>
      </c>
      <c r="Q412" s="46" t="n">
        <v>0</v>
      </c>
      <c r="R412" s="46">
        <f>P412*O412*M412*N412*H412</f>
        <v/>
      </c>
      <c r="S412" s="46">
        <f>R412*INDEX(FmtCansPerCase,MATCH(F412,FmtName,0))</f>
        <v/>
      </c>
      <c r="T412" s="46">
        <f>S412/INDEX(FmtCansPerPack,MATCH(F412,FmtName,0))</f>
        <v/>
      </c>
      <c r="U412" s="47">
        <f>INDEX(ChBaseCP,MATCH(E412,ChName,0))*(1+INDEX(ProvMod,MATCH(G412,ProvCode,0)))*(1+PriceIndex)</f>
        <v/>
      </c>
      <c r="V412" s="47">
        <f>R412*U412*INDEX(FmtBlendedPriceIdx,MATCH(F412,FmtName,0))</f>
        <v/>
      </c>
      <c r="W412" s="47">
        <f>T412*INDEX(ProvSRP,MATCH(G412,ProvCode,0))*(1+PriceIndex)</f>
        <v/>
      </c>
      <c r="X412" s="47">
        <f>IF(GrossBasis="Wholesale",V412,W412)</f>
        <v/>
      </c>
      <c r="Y412" s="47">
        <f>R412*INDEX(FmtBlendedCogs,MATCH(F412,FmtName,0))</f>
        <v/>
      </c>
      <c r="Z412" s="47">
        <f>X412-Y412</f>
        <v/>
      </c>
    </row>
    <row r="413">
      <c r="A413" t="n">
        <v>41</v>
      </c>
      <c r="B413" s="44">
        <f>FiscalStart+(A413-1)*7</f>
        <v/>
      </c>
      <c r="C413">
        <f>TEXT(B413,"mmm yyyy")</f>
        <v/>
      </c>
      <c r="D413">
        <f>"Q"&amp;(INT((A413-1)/13)+1)</f>
        <v/>
      </c>
      <c r="E413" t="inlineStr">
        <is>
          <t>Convenience</t>
        </is>
      </c>
      <c r="F413">
        <f>IFERROR(INDEX(ChFormat,MATCH(E413,ChName,0)),"")</f>
        <v/>
      </c>
      <c r="G413" t="inlineStr">
        <is>
          <t>NS</t>
        </is>
      </c>
      <c r="H413">
        <f>IF(A413&lt;=NWeeks,1,0)</f>
        <v/>
      </c>
      <c r="I413">
        <f>INDEX(ChLaunch,MATCH(E413,ChName,0))</f>
        <v/>
      </c>
      <c r="J413">
        <f>INDEX(ChWeeksFull,MATCH(E413,ChName,0))</f>
        <v/>
      </c>
      <c r="K413">
        <f>INDEX(ChRamp,MATCH(E413,ChName,0))</f>
        <v/>
      </c>
      <c r="L413" s="45">
        <f>MIN(1,MAX(0,(A413-I413+1)*RampSpeed/J413))</f>
        <v/>
      </c>
      <c r="M413" s="45">
        <f>IF(A413&lt;I413,0,IF(K413="S-curve",L413*L413*(3-2*L413),L413))</f>
        <v/>
      </c>
      <c r="N413" s="45">
        <f>1+(INDEX(SeasonIdx,A413)-1)*SeasonAmp</f>
        <v/>
      </c>
      <c r="O413" s="45">
        <f>IFERROR(INDEX(PSPct,MATCH(E413&amp;"|"&amp;G413,PSKey,0)),0)</f>
        <v/>
      </c>
      <c r="P413" s="46">
        <f>INDEX(ChDoorVel,MATCH(E413,ChName,0))*CalibScalar*(1+VelocityUplift)</f>
        <v/>
      </c>
      <c r="Q413" s="46" t="n">
        <v>0</v>
      </c>
      <c r="R413" s="46">
        <f>P413*O413*M413*N413*H413</f>
        <v/>
      </c>
      <c r="S413" s="46">
        <f>R413*INDEX(FmtCansPerCase,MATCH(F413,FmtName,0))</f>
        <v/>
      </c>
      <c r="T413" s="46">
        <f>S413/INDEX(FmtCansPerPack,MATCH(F413,FmtName,0))</f>
        <v/>
      </c>
      <c r="U413" s="47">
        <f>INDEX(ChBaseCP,MATCH(E413,ChName,0))*(1+INDEX(ProvMod,MATCH(G413,ProvCode,0)))*(1+PriceIndex)</f>
        <v/>
      </c>
      <c r="V413" s="47">
        <f>R413*U413*INDEX(FmtBlendedPriceIdx,MATCH(F413,FmtName,0))</f>
        <v/>
      </c>
      <c r="W413" s="47">
        <f>T413*INDEX(ProvSRP,MATCH(G413,ProvCode,0))*(1+PriceIndex)</f>
        <v/>
      </c>
      <c r="X413" s="47">
        <f>IF(GrossBasis="Wholesale",V413,W413)</f>
        <v/>
      </c>
      <c r="Y413" s="47">
        <f>R413*INDEX(FmtBlendedCogs,MATCH(F413,FmtName,0))</f>
        <v/>
      </c>
      <c r="Z413" s="47">
        <f>X413-Y413</f>
        <v/>
      </c>
    </row>
    <row r="414">
      <c r="A414" t="n">
        <v>42</v>
      </c>
      <c r="B414" s="44">
        <f>FiscalStart+(A414-1)*7</f>
        <v/>
      </c>
      <c r="C414">
        <f>TEXT(B414,"mmm yyyy")</f>
        <v/>
      </c>
      <c r="D414">
        <f>"Q"&amp;(INT((A414-1)/13)+1)</f>
        <v/>
      </c>
      <c r="E414" t="inlineStr">
        <is>
          <t>Convenience</t>
        </is>
      </c>
      <c r="F414">
        <f>IFERROR(INDEX(ChFormat,MATCH(E414,ChName,0)),"")</f>
        <v/>
      </c>
      <c r="G414" t="inlineStr">
        <is>
          <t>NS</t>
        </is>
      </c>
      <c r="H414">
        <f>IF(A414&lt;=NWeeks,1,0)</f>
        <v/>
      </c>
      <c r="I414">
        <f>INDEX(ChLaunch,MATCH(E414,ChName,0))</f>
        <v/>
      </c>
      <c r="J414">
        <f>INDEX(ChWeeksFull,MATCH(E414,ChName,0))</f>
        <v/>
      </c>
      <c r="K414">
        <f>INDEX(ChRamp,MATCH(E414,ChName,0))</f>
        <v/>
      </c>
      <c r="L414" s="45">
        <f>MIN(1,MAX(0,(A414-I414+1)*RampSpeed/J414))</f>
        <v/>
      </c>
      <c r="M414" s="45">
        <f>IF(A414&lt;I414,0,IF(K414="S-curve",L414*L414*(3-2*L414),L414))</f>
        <v/>
      </c>
      <c r="N414" s="45">
        <f>1+(INDEX(SeasonIdx,A414)-1)*SeasonAmp</f>
        <v/>
      </c>
      <c r="O414" s="45">
        <f>IFERROR(INDEX(PSPct,MATCH(E414&amp;"|"&amp;G414,PSKey,0)),0)</f>
        <v/>
      </c>
      <c r="P414" s="46">
        <f>INDEX(ChDoorVel,MATCH(E414,ChName,0))*CalibScalar*(1+VelocityUplift)</f>
        <v/>
      </c>
      <c r="Q414" s="46" t="n">
        <v>0</v>
      </c>
      <c r="R414" s="46">
        <f>P414*O414*M414*N414*H414</f>
        <v/>
      </c>
      <c r="S414" s="46">
        <f>R414*INDEX(FmtCansPerCase,MATCH(F414,FmtName,0))</f>
        <v/>
      </c>
      <c r="T414" s="46">
        <f>S414/INDEX(FmtCansPerPack,MATCH(F414,FmtName,0))</f>
        <v/>
      </c>
      <c r="U414" s="47">
        <f>INDEX(ChBaseCP,MATCH(E414,ChName,0))*(1+INDEX(ProvMod,MATCH(G414,ProvCode,0)))*(1+PriceIndex)</f>
        <v/>
      </c>
      <c r="V414" s="47">
        <f>R414*U414*INDEX(FmtBlendedPriceIdx,MATCH(F414,FmtName,0))</f>
        <v/>
      </c>
      <c r="W414" s="47">
        <f>T414*INDEX(ProvSRP,MATCH(G414,ProvCode,0))*(1+PriceIndex)</f>
        <v/>
      </c>
      <c r="X414" s="47">
        <f>IF(GrossBasis="Wholesale",V414,W414)</f>
        <v/>
      </c>
      <c r="Y414" s="47">
        <f>R414*INDEX(FmtBlendedCogs,MATCH(F414,FmtName,0))</f>
        <v/>
      </c>
      <c r="Z414" s="47">
        <f>X414-Y414</f>
        <v/>
      </c>
    </row>
    <row r="415">
      <c r="A415" t="n">
        <v>43</v>
      </c>
      <c r="B415" s="44">
        <f>FiscalStart+(A415-1)*7</f>
        <v/>
      </c>
      <c r="C415">
        <f>TEXT(B415,"mmm yyyy")</f>
        <v/>
      </c>
      <c r="D415">
        <f>"Q"&amp;(INT((A415-1)/13)+1)</f>
        <v/>
      </c>
      <c r="E415" t="inlineStr">
        <is>
          <t>Convenience</t>
        </is>
      </c>
      <c r="F415">
        <f>IFERROR(INDEX(ChFormat,MATCH(E415,ChName,0)),"")</f>
        <v/>
      </c>
      <c r="G415" t="inlineStr">
        <is>
          <t>NS</t>
        </is>
      </c>
      <c r="H415">
        <f>IF(A415&lt;=NWeeks,1,0)</f>
        <v/>
      </c>
      <c r="I415">
        <f>INDEX(ChLaunch,MATCH(E415,ChName,0))</f>
        <v/>
      </c>
      <c r="J415">
        <f>INDEX(ChWeeksFull,MATCH(E415,ChName,0))</f>
        <v/>
      </c>
      <c r="K415">
        <f>INDEX(ChRamp,MATCH(E415,ChName,0))</f>
        <v/>
      </c>
      <c r="L415" s="45">
        <f>MIN(1,MAX(0,(A415-I415+1)*RampSpeed/J415))</f>
        <v/>
      </c>
      <c r="M415" s="45">
        <f>IF(A415&lt;I415,0,IF(K415="S-curve",L415*L415*(3-2*L415),L415))</f>
        <v/>
      </c>
      <c r="N415" s="45">
        <f>1+(INDEX(SeasonIdx,A415)-1)*SeasonAmp</f>
        <v/>
      </c>
      <c r="O415" s="45">
        <f>IFERROR(INDEX(PSPct,MATCH(E415&amp;"|"&amp;G415,PSKey,0)),0)</f>
        <v/>
      </c>
      <c r="P415" s="46">
        <f>INDEX(ChDoorVel,MATCH(E415,ChName,0))*CalibScalar*(1+VelocityUplift)</f>
        <v/>
      </c>
      <c r="Q415" s="46" t="n">
        <v>0</v>
      </c>
      <c r="R415" s="46">
        <f>P415*O415*M415*N415*H415</f>
        <v/>
      </c>
      <c r="S415" s="46">
        <f>R415*INDEX(FmtCansPerCase,MATCH(F415,FmtName,0))</f>
        <v/>
      </c>
      <c r="T415" s="46">
        <f>S415/INDEX(FmtCansPerPack,MATCH(F415,FmtName,0))</f>
        <v/>
      </c>
      <c r="U415" s="47">
        <f>INDEX(ChBaseCP,MATCH(E415,ChName,0))*(1+INDEX(ProvMod,MATCH(G415,ProvCode,0)))*(1+PriceIndex)</f>
        <v/>
      </c>
      <c r="V415" s="47">
        <f>R415*U415*INDEX(FmtBlendedPriceIdx,MATCH(F415,FmtName,0))</f>
        <v/>
      </c>
      <c r="W415" s="47">
        <f>T415*INDEX(ProvSRP,MATCH(G415,ProvCode,0))*(1+PriceIndex)</f>
        <v/>
      </c>
      <c r="X415" s="47">
        <f>IF(GrossBasis="Wholesale",V415,W415)</f>
        <v/>
      </c>
      <c r="Y415" s="47">
        <f>R415*INDEX(FmtBlendedCogs,MATCH(F415,FmtName,0))</f>
        <v/>
      </c>
      <c r="Z415" s="47">
        <f>X415-Y415</f>
        <v/>
      </c>
    </row>
    <row r="416">
      <c r="A416" t="n">
        <v>44</v>
      </c>
      <c r="B416" s="44">
        <f>FiscalStart+(A416-1)*7</f>
        <v/>
      </c>
      <c r="C416">
        <f>TEXT(B416,"mmm yyyy")</f>
        <v/>
      </c>
      <c r="D416">
        <f>"Q"&amp;(INT((A416-1)/13)+1)</f>
        <v/>
      </c>
      <c r="E416" t="inlineStr">
        <is>
          <t>Convenience</t>
        </is>
      </c>
      <c r="F416">
        <f>IFERROR(INDEX(ChFormat,MATCH(E416,ChName,0)),"")</f>
        <v/>
      </c>
      <c r="G416" t="inlineStr">
        <is>
          <t>NS</t>
        </is>
      </c>
      <c r="H416">
        <f>IF(A416&lt;=NWeeks,1,0)</f>
        <v/>
      </c>
      <c r="I416">
        <f>INDEX(ChLaunch,MATCH(E416,ChName,0))</f>
        <v/>
      </c>
      <c r="J416">
        <f>INDEX(ChWeeksFull,MATCH(E416,ChName,0))</f>
        <v/>
      </c>
      <c r="K416">
        <f>INDEX(ChRamp,MATCH(E416,ChName,0))</f>
        <v/>
      </c>
      <c r="L416" s="45">
        <f>MIN(1,MAX(0,(A416-I416+1)*RampSpeed/J416))</f>
        <v/>
      </c>
      <c r="M416" s="45">
        <f>IF(A416&lt;I416,0,IF(K416="S-curve",L416*L416*(3-2*L416),L416))</f>
        <v/>
      </c>
      <c r="N416" s="45">
        <f>1+(INDEX(SeasonIdx,A416)-1)*SeasonAmp</f>
        <v/>
      </c>
      <c r="O416" s="45">
        <f>IFERROR(INDEX(PSPct,MATCH(E416&amp;"|"&amp;G416,PSKey,0)),0)</f>
        <v/>
      </c>
      <c r="P416" s="46">
        <f>INDEX(ChDoorVel,MATCH(E416,ChName,0))*CalibScalar*(1+VelocityUplift)</f>
        <v/>
      </c>
      <c r="Q416" s="46" t="n">
        <v>0</v>
      </c>
      <c r="R416" s="46">
        <f>P416*O416*M416*N416*H416</f>
        <v/>
      </c>
      <c r="S416" s="46">
        <f>R416*INDEX(FmtCansPerCase,MATCH(F416,FmtName,0))</f>
        <v/>
      </c>
      <c r="T416" s="46">
        <f>S416/INDEX(FmtCansPerPack,MATCH(F416,FmtName,0))</f>
        <v/>
      </c>
      <c r="U416" s="47">
        <f>INDEX(ChBaseCP,MATCH(E416,ChName,0))*(1+INDEX(ProvMod,MATCH(G416,ProvCode,0)))*(1+PriceIndex)</f>
        <v/>
      </c>
      <c r="V416" s="47">
        <f>R416*U416*INDEX(FmtBlendedPriceIdx,MATCH(F416,FmtName,0))</f>
        <v/>
      </c>
      <c r="W416" s="47">
        <f>T416*INDEX(ProvSRP,MATCH(G416,ProvCode,0))*(1+PriceIndex)</f>
        <v/>
      </c>
      <c r="X416" s="47">
        <f>IF(GrossBasis="Wholesale",V416,W416)</f>
        <v/>
      </c>
      <c r="Y416" s="47">
        <f>R416*INDEX(FmtBlendedCogs,MATCH(F416,FmtName,0))</f>
        <v/>
      </c>
      <c r="Z416" s="47">
        <f>X416-Y416</f>
        <v/>
      </c>
    </row>
    <row r="417">
      <c r="A417" t="n">
        <v>45</v>
      </c>
      <c r="B417" s="44">
        <f>FiscalStart+(A417-1)*7</f>
        <v/>
      </c>
      <c r="C417">
        <f>TEXT(B417,"mmm yyyy")</f>
        <v/>
      </c>
      <c r="D417">
        <f>"Q"&amp;(INT((A417-1)/13)+1)</f>
        <v/>
      </c>
      <c r="E417" t="inlineStr">
        <is>
          <t>Convenience</t>
        </is>
      </c>
      <c r="F417">
        <f>IFERROR(INDEX(ChFormat,MATCH(E417,ChName,0)),"")</f>
        <v/>
      </c>
      <c r="G417" t="inlineStr">
        <is>
          <t>NS</t>
        </is>
      </c>
      <c r="H417">
        <f>IF(A417&lt;=NWeeks,1,0)</f>
        <v/>
      </c>
      <c r="I417">
        <f>INDEX(ChLaunch,MATCH(E417,ChName,0))</f>
        <v/>
      </c>
      <c r="J417">
        <f>INDEX(ChWeeksFull,MATCH(E417,ChName,0))</f>
        <v/>
      </c>
      <c r="K417">
        <f>INDEX(ChRamp,MATCH(E417,ChName,0))</f>
        <v/>
      </c>
      <c r="L417" s="45">
        <f>MIN(1,MAX(0,(A417-I417+1)*RampSpeed/J417))</f>
        <v/>
      </c>
      <c r="M417" s="45">
        <f>IF(A417&lt;I417,0,IF(K417="S-curve",L417*L417*(3-2*L417),L417))</f>
        <v/>
      </c>
      <c r="N417" s="45">
        <f>1+(INDEX(SeasonIdx,A417)-1)*SeasonAmp</f>
        <v/>
      </c>
      <c r="O417" s="45">
        <f>IFERROR(INDEX(PSPct,MATCH(E417&amp;"|"&amp;G417,PSKey,0)),0)</f>
        <v/>
      </c>
      <c r="P417" s="46">
        <f>INDEX(ChDoorVel,MATCH(E417,ChName,0))*CalibScalar*(1+VelocityUplift)</f>
        <v/>
      </c>
      <c r="Q417" s="46" t="n">
        <v>0</v>
      </c>
      <c r="R417" s="46">
        <f>P417*O417*M417*N417*H417</f>
        <v/>
      </c>
      <c r="S417" s="46">
        <f>R417*INDEX(FmtCansPerCase,MATCH(F417,FmtName,0))</f>
        <v/>
      </c>
      <c r="T417" s="46">
        <f>S417/INDEX(FmtCansPerPack,MATCH(F417,FmtName,0))</f>
        <v/>
      </c>
      <c r="U417" s="47">
        <f>INDEX(ChBaseCP,MATCH(E417,ChName,0))*(1+INDEX(ProvMod,MATCH(G417,ProvCode,0)))*(1+PriceIndex)</f>
        <v/>
      </c>
      <c r="V417" s="47">
        <f>R417*U417*INDEX(FmtBlendedPriceIdx,MATCH(F417,FmtName,0))</f>
        <v/>
      </c>
      <c r="W417" s="47">
        <f>T417*INDEX(ProvSRP,MATCH(G417,ProvCode,0))*(1+PriceIndex)</f>
        <v/>
      </c>
      <c r="X417" s="47">
        <f>IF(GrossBasis="Wholesale",V417,W417)</f>
        <v/>
      </c>
      <c r="Y417" s="47">
        <f>R417*INDEX(FmtBlendedCogs,MATCH(F417,FmtName,0))</f>
        <v/>
      </c>
      <c r="Z417" s="47">
        <f>X417-Y417</f>
        <v/>
      </c>
    </row>
    <row r="418">
      <c r="A418" t="n">
        <v>46</v>
      </c>
      <c r="B418" s="44">
        <f>FiscalStart+(A418-1)*7</f>
        <v/>
      </c>
      <c r="C418">
        <f>TEXT(B418,"mmm yyyy")</f>
        <v/>
      </c>
      <c r="D418">
        <f>"Q"&amp;(INT((A418-1)/13)+1)</f>
        <v/>
      </c>
      <c r="E418" t="inlineStr">
        <is>
          <t>Convenience</t>
        </is>
      </c>
      <c r="F418">
        <f>IFERROR(INDEX(ChFormat,MATCH(E418,ChName,0)),"")</f>
        <v/>
      </c>
      <c r="G418" t="inlineStr">
        <is>
          <t>NS</t>
        </is>
      </c>
      <c r="H418">
        <f>IF(A418&lt;=NWeeks,1,0)</f>
        <v/>
      </c>
      <c r="I418">
        <f>INDEX(ChLaunch,MATCH(E418,ChName,0))</f>
        <v/>
      </c>
      <c r="J418">
        <f>INDEX(ChWeeksFull,MATCH(E418,ChName,0))</f>
        <v/>
      </c>
      <c r="K418">
        <f>INDEX(ChRamp,MATCH(E418,ChName,0))</f>
        <v/>
      </c>
      <c r="L418" s="45">
        <f>MIN(1,MAX(0,(A418-I418+1)*RampSpeed/J418))</f>
        <v/>
      </c>
      <c r="M418" s="45">
        <f>IF(A418&lt;I418,0,IF(K418="S-curve",L418*L418*(3-2*L418),L418))</f>
        <v/>
      </c>
      <c r="N418" s="45">
        <f>1+(INDEX(SeasonIdx,A418)-1)*SeasonAmp</f>
        <v/>
      </c>
      <c r="O418" s="45">
        <f>IFERROR(INDEX(PSPct,MATCH(E418&amp;"|"&amp;G418,PSKey,0)),0)</f>
        <v/>
      </c>
      <c r="P418" s="46">
        <f>INDEX(ChDoorVel,MATCH(E418,ChName,0))*CalibScalar*(1+VelocityUplift)</f>
        <v/>
      </c>
      <c r="Q418" s="46" t="n">
        <v>0</v>
      </c>
      <c r="R418" s="46">
        <f>P418*O418*M418*N418*H418</f>
        <v/>
      </c>
      <c r="S418" s="46">
        <f>R418*INDEX(FmtCansPerCase,MATCH(F418,FmtName,0))</f>
        <v/>
      </c>
      <c r="T418" s="46">
        <f>S418/INDEX(FmtCansPerPack,MATCH(F418,FmtName,0))</f>
        <v/>
      </c>
      <c r="U418" s="47">
        <f>INDEX(ChBaseCP,MATCH(E418,ChName,0))*(1+INDEX(ProvMod,MATCH(G418,ProvCode,0)))*(1+PriceIndex)</f>
        <v/>
      </c>
      <c r="V418" s="47">
        <f>R418*U418*INDEX(FmtBlendedPriceIdx,MATCH(F418,FmtName,0))</f>
        <v/>
      </c>
      <c r="W418" s="47">
        <f>T418*INDEX(ProvSRP,MATCH(G418,ProvCode,0))*(1+PriceIndex)</f>
        <v/>
      </c>
      <c r="X418" s="47">
        <f>IF(GrossBasis="Wholesale",V418,W418)</f>
        <v/>
      </c>
      <c r="Y418" s="47">
        <f>R418*INDEX(FmtBlendedCogs,MATCH(F418,FmtName,0))</f>
        <v/>
      </c>
      <c r="Z418" s="47">
        <f>X418-Y418</f>
        <v/>
      </c>
    </row>
    <row r="419">
      <c r="A419" t="n">
        <v>47</v>
      </c>
      <c r="B419" s="44">
        <f>FiscalStart+(A419-1)*7</f>
        <v/>
      </c>
      <c r="C419">
        <f>TEXT(B419,"mmm yyyy")</f>
        <v/>
      </c>
      <c r="D419">
        <f>"Q"&amp;(INT((A419-1)/13)+1)</f>
        <v/>
      </c>
      <c r="E419" t="inlineStr">
        <is>
          <t>Convenience</t>
        </is>
      </c>
      <c r="F419">
        <f>IFERROR(INDEX(ChFormat,MATCH(E419,ChName,0)),"")</f>
        <v/>
      </c>
      <c r="G419" t="inlineStr">
        <is>
          <t>NS</t>
        </is>
      </c>
      <c r="H419">
        <f>IF(A419&lt;=NWeeks,1,0)</f>
        <v/>
      </c>
      <c r="I419">
        <f>INDEX(ChLaunch,MATCH(E419,ChName,0))</f>
        <v/>
      </c>
      <c r="J419">
        <f>INDEX(ChWeeksFull,MATCH(E419,ChName,0))</f>
        <v/>
      </c>
      <c r="K419">
        <f>INDEX(ChRamp,MATCH(E419,ChName,0))</f>
        <v/>
      </c>
      <c r="L419" s="45">
        <f>MIN(1,MAX(0,(A419-I419+1)*RampSpeed/J419))</f>
        <v/>
      </c>
      <c r="M419" s="45">
        <f>IF(A419&lt;I419,0,IF(K419="S-curve",L419*L419*(3-2*L419),L419))</f>
        <v/>
      </c>
      <c r="N419" s="45">
        <f>1+(INDEX(SeasonIdx,A419)-1)*SeasonAmp</f>
        <v/>
      </c>
      <c r="O419" s="45">
        <f>IFERROR(INDEX(PSPct,MATCH(E419&amp;"|"&amp;G419,PSKey,0)),0)</f>
        <v/>
      </c>
      <c r="P419" s="46">
        <f>INDEX(ChDoorVel,MATCH(E419,ChName,0))*CalibScalar*(1+VelocityUplift)</f>
        <v/>
      </c>
      <c r="Q419" s="46" t="n">
        <v>0</v>
      </c>
      <c r="R419" s="46">
        <f>P419*O419*M419*N419*H419</f>
        <v/>
      </c>
      <c r="S419" s="46">
        <f>R419*INDEX(FmtCansPerCase,MATCH(F419,FmtName,0))</f>
        <v/>
      </c>
      <c r="T419" s="46">
        <f>S419/INDEX(FmtCansPerPack,MATCH(F419,FmtName,0))</f>
        <v/>
      </c>
      <c r="U419" s="47">
        <f>INDEX(ChBaseCP,MATCH(E419,ChName,0))*(1+INDEX(ProvMod,MATCH(G419,ProvCode,0)))*(1+PriceIndex)</f>
        <v/>
      </c>
      <c r="V419" s="47">
        <f>R419*U419*INDEX(FmtBlendedPriceIdx,MATCH(F419,FmtName,0))</f>
        <v/>
      </c>
      <c r="W419" s="47">
        <f>T419*INDEX(ProvSRP,MATCH(G419,ProvCode,0))*(1+PriceIndex)</f>
        <v/>
      </c>
      <c r="X419" s="47">
        <f>IF(GrossBasis="Wholesale",V419,W419)</f>
        <v/>
      </c>
      <c r="Y419" s="47">
        <f>R419*INDEX(FmtBlendedCogs,MATCH(F419,FmtName,0))</f>
        <v/>
      </c>
      <c r="Z419" s="47">
        <f>X419-Y419</f>
        <v/>
      </c>
    </row>
    <row r="420">
      <c r="A420" t="n">
        <v>48</v>
      </c>
      <c r="B420" s="44">
        <f>FiscalStart+(A420-1)*7</f>
        <v/>
      </c>
      <c r="C420">
        <f>TEXT(B420,"mmm yyyy")</f>
        <v/>
      </c>
      <c r="D420">
        <f>"Q"&amp;(INT((A420-1)/13)+1)</f>
        <v/>
      </c>
      <c r="E420" t="inlineStr">
        <is>
          <t>Convenience</t>
        </is>
      </c>
      <c r="F420">
        <f>IFERROR(INDEX(ChFormat,MATCH(E420,ChName,0)),"")</f>
        <v/>
      </c>
      <c r="G420" t="inlineStr">
        <is>
          <t>NS</t>
        </is>
      </c>
      <c r="H420">
        <f>IF(A420&lt;=NWeeks,1,0)</f>
        <v/>
      </c>
      <c r="I420">
        <f>INDEX(ChLaunch,MATCH(E420,ChName,0))</f>
        <v/>
      </c>
      <c r="J420">
        <f>INDEX(ChWeeksFull,MATCH(E420,ChName,0))</f>
        <v/>
      </c>
      <c r="K420">
        <f>INDEX(ChRamp,MATCH(E420,ChName,0))</f>
        <v/>
      </c>
      <c r="L420" s="45">
        <f>MIN(1,MAX(0,(A420-I420+1)*RampSpeed/J420))</f>
        <v/>
      </c>
      <c r="M420" s="45">
        <f>IF(A420&lt;I420,0,IF(K420="S-curve",L420*L420*(3-2*L420),L420))</f>
        <v/>
      </c>
      <c r="N420" s="45">
        <f>1+(INDEX(SeasonIdx,A420)-1)*SeasonAmp</f>
        <v/>
      </c>
      <c r="O420" s="45">
        <f>IFERROR(INDEX(PSPct,MATCH(E420&amp;"|"&amp;G420,PSKey,0)),0)</f>
        <v/>
      </c>
      <c r="P420" s="46">
        <f>INDEX(ChDoorVel,MATCH(E420,ChName,0))*CalibScalar*(1+VelocityUplift)</f>
        <v/>
      </c>
      <c r="Q420" s="46" t="n">
        <v>0</v>
      </c>
      <c r="R420" s="46">
        <f>P420*O420*M420*N420*H420</f>
        <v/>
      </c>
      <c r="S420" s="46">
        <f>R420*INDEX(FmtCansPerCase,MATCH(F420,FmtName,0))</f>
        <v/>
      </c>
      <c r="T420" s="46">
        <f>S420/INDEX(FmtCansPerPack,MATCH(F420,FmtName,0))</f>
        <v/>
      </c>
      <c r="U420" s="47">
        <f>INDEX(ChBaseCP,MATCH(E420,ChName,0))*(1+INDEX(ProvMod,MATCH(G420,ProvCode,0)))*(1+PriceIndex)</f>
        <v/>
      </c>
      <c r="V420" s="47">
        <f>R420*U420*INDEX(FmtBlendedPriceIdx,MATCH(F420,FmtName,0))</f>
        <v/>
      </c>
      <c r="W420" s="47">
        <f>T420*INDEX(ProvSRP,MATCH(G420,ProvCode,0))*(1+PriceIndex)</f>
        <v/>
      </c>
      <c r="X420" s="47">
        <f>IF(GrossBasis="Wholesale",V420,W420)</f>
        <v/>
      </c>
      <c r="Y420" s="47">
        <f>R420*INDEX(FmtBlendedCogs,MATCH(F420,FmtName,0))</f>
        <v/>
      </c>
      <c r="Z420" s="47">
        <f>X420-Y420</f>
        <v/>
      </c>
    </row>
    <row r="421">
      <c r="A421" t="n">
        <v>49</v>
      </c>
      <c r="B421" s="44">
        <f>FiscalStart+(A421-1)*7</f>
        <v/>
      </c>
      <c r="C421">
        <f>TEXT(B421,"mmm yyyy")</f>
        <v/>
      </c>
      <c r="D421">
        <f>"Q"&amp;(INT((A421-1)/13)+1)</f>
        <v/>
      </c>
      <c r="E421" t="inlineStr">
        <is>
          <t>Convenience</t>
        </is>
      </c>
      <c r="F421">
        <f>IFERROR(INDEX(ChFormat,MATCH(E421,ChName,0)),"")</f>
        <v/>
      </c>
      <c r="G421" t="inlineStr">
        <is>
          <t>NS</t>
        </is>
      </c>
      <c r="H421">
        <f>IF(A421&lt;=NWeeks,1,0)</f>
        <v/>
      </c>
      <c r="I421">
        <f>INDEX(ChLaunch,MATCH(E421,ChName,0))</f>
        <v/>
      </c>
      <c r="J421">
        <f>INDEX(ChWeeksFull,MATCH(E421,ChName,0))</f>
        <v/>
      </c>
      <c r="K421">
        <f>INDEX(ChRamp,MATCH(E421,ChName,0))</f>
        <v/>
      </c>
      <c r="L421" s="45">
        <f>MIN(1,MAX(0,(A421-I421+1)*RampSpeed/J421))</f>
        <v/>
      </c>
      <c r="M421" s="45">
        <f>IF(A421&lt;I421,0,IF(K421="S-curve",L421*L421*(3-2*L421),L421))</f>
        <v/>
      </c>
      <c r="N421" s="45">
        <f>1+(INDEX(SeasonIdx,A421)-1)*SeasonAmp</f>
        <v/>
      </c>
      <c r="O421" s="45">
        <f>IFERROR(INDEX(PSPct,MATCH(E421&amp;"|"&amp;G421,PSKey,0)),0)</f>
        <v/>
      </c>
      <c r="P421" s="46">
        <f>INDEX(ChDoorVel,MATCH(E421,ChName,0))*CalibScalar*(1+VelocityUplift)</f>
        <v/>
      </c>
      <c r="Q421" s="46" t="n">
        <v>0</v>
      </c>
      <c r="R421" s="46">
        <f>P421*O421*M421*N421*H421</f>
        <v/>
      </c>
      <c r="S421" s="46">
        <f>R421*INDEX(FmtCansPerCase,MATCH(F421,FmtName,0))</f>
        <v/>
      </c>
      <c r="T421" s="46">
        <f>S421/INDEX(FmtCansPerPack,MATCH(F421,FmtName,0))</f>
        <v/>
      </c>
      <c r="U421" s="47">
        <f>INDEX(ChBaseCP,MATCH(E421,ChName,0))*(1+INDEX(ProvMod,MATCH(G421,ProvCode,0)))*(1+PriceIndex)</f>
        <v/>
      </c>
      <c r="V421" s="47">
        <f>R421*U421*INDEX(FmtBlendedPriceIdx,MATCH(F421,FmtName,0))</f>
        <v/>
      </c>
      <c r="W421" s="47">
        <f>T421*INDEX(ProvSRP,MATCH(G421,ProvCode,0))*(1+PriceIndex)</f>
        <v/>
      </c>
      <c r="X421" s="47">
        <f>IF(GrossBasis="Wholesale",V421,W421)</f>
        <v/>
      </c>
      <c r="Y421" s="47">
        <f>R421*INDEX(FmtBlendedCogs,MATCH(F421,FmtName,0))</f>
        <v/>
      </c>
      <c r="Z421" s="47">
        <f>X421-Y421</f>
        <v/>
      </c>
    </row>
    <row r="422">
      <c r="A422" t="n">
        <v>50</v>
      </c>
      <c r="B422" s="44">
        <f>FiscalStart+(A422-1)*7</f>
        <v/>
      </c>
      <c r="C422">
        <f>TEXT(B422,"mmm yyyy")</f>
        <v/>
      </c>
      <c r="D422">
        <f>"Q"&amp;(INT((A422-1)/13)+1)</f>
        <v/>
      </c>
      <c r="E422" t="inlineStr">
        <is>
          <t>Convenience</t>
        </is>
      </c>
      <c r="F422">
        <f>IFERROR(INDEX(ChFormat,MATCH(E422,ChName,0)),"")</f>
        <v/>
      </c>
      <c r="G422" t="inlineStr">
        <is>
          <t>NS</t>
        </is>
      </c>
      <c r="H422">
        <f>IF(A422&lt;=NWeeks,1,0)</f>
        <v/>
      </c>
      <c r="I422">
        <f>INDEX(ChLaunch,MATCH(E422,ChName,0))</f>
        <v/>
      </c>
      <c r="J422">
        <f>INDEX(ChWeeksFull,MATCH(E422,ChName,0))</f>
        <v/>
      </c>
      <c r="K422">
        <f>INDEX(ChRamp,MATCH(E422,ChName,0))</f>
        <v/>
      </c>
      <c r="L422" s="45">
        <f>MIN(1,MAX(0,(A422-I422+1)*RampSpeed/J422))</f>
        <v/>
      </c>
      <c r="M422" s="45">
        <f>IF(A422&lt;I422,0,IF(K422="S-curve",L422*L422*(3-2*L422),L422))</f>
        <v/>
      </c>
      <c r="N422" s="45">
        <f>1+(INDEX(SeasonIdx,A422)-1)*SeasonAmp</f>
        <v/>
      </c>
      <c r="O422" s="45">
        <f>IFERROR(INDEX(PSPct,MATCH(E422&amp;"|"&amp;G422,PSKey,0)),0)</f>
        <v/>
      </c>
      <c r="P422" s="46">
        <f>INDEX(ChDoorVel,MATCH(E422,ChName,0))*CalibScalar*(1+VelocityUplift)</f>
        <v/>
      </c>
      <c r="Q422" s="46" t="n">
        <v>0</v>
      </c>
      <c r="R422" s="46">
        <f>P422*O422*M422*N422*H422</f>
        <v/>
      </c>
      <c r="S422" s="46">
        <f>R422*INDEX(FmtCansPerCase,MATCH(F422,FmtName,0))</f>
        <v/>
      </c>
      <c r="T422" s="46">
        <f>S422/INDEX(FmtCansPerPack,MATCH(F422,FmtName,0))</f>
        <v/>
      </c>
      <c r="U422" s="47">
        <f>INDEX(ChBaseCP,MATCH(E422,ChName,0))*(1+INDEX(ProvMod,MATCH(G422,ProvCode,0)))*(1+PriceIndex)</f>
        <v/>
      </c>
      <c r="V422" s="47">
        <f>R422*U422*INDEX(FmtBlendedPriceIdx,MATCH(F422,FmtName,0))</f>
        <v/>
      </c>
      <c r="W422" s="47">
        <f>T422*INDEX(ProvSRP,MATCH(G422,ProvCode,0))*(1+PriceIndex)</f>
        <v/>
      </c>
      <c r="X422" s="47">
        <f>IF(GrossBasis="Wholesale",V422,W422)</f>
        <v/>
      </c>
      <c r="Y422" s="47">
        <f>R422*INDEX(FmtBlendedCogs,MATCH(F422,FmtName,0))</f>
        <v/>
      </c>
      <c r="Z422" s="47">
        <f>X422-Y422</f>
        <v/>
      </c>
    </row>
    <row r="423">
      <c r="A423" t="n">
        <v>51</v>
      </c>
      <c r="B423" s="44">
        <f>FiscalStart+(A423-1)*7</f>
        <v/>
      </c>
      <c r="C423">
        <f>TEXT(B423,"mmm yyyy")</f>
        <v/>
      </c>
      <c r="D423">
        <f>"Q"&amp;(INT((A423-1)/13)+1)</f>
        <v/>
      </c>
      <c r="E423" t="inlineStr">
        <is>
          <t>Convenience</t>
        </is>
      </c>
      <c r="F423">
        <f>IFERROR(INDEX(ChFormat,MATCH(E423,ChName,0)),"")</f>
        <v/>
      </c>
      <c r="G423" t="inlineStr">
        <is>
          <t>NS</t>
        </is>
      </c>
      <c r="H423">
        <f>IF(A423&lt;=NWeeks,1,0)</f>
        <v/>
      </c>
      <c r="I423">
        <f>INDEX(ChLaunch,MATCH(E423,ChName,0))</f>
        <v/>
      </c>
      <c r="J423">
        <f>INDEX(ChWeeksFull,MATCH(E423,ChName,0))</f>
        <v/>
      </c>
      <c r="K423">
        <f>INDEX(ChRamp,MATCH(E423,ChName,0))</f>
        <v/>
      </c>
      <c r="L423" s="45">
        <f>MIN(1,MAX(0,(A423-I423+1)*RampSpeed/J423))</f>
        <v/>
      </c>
      <c r="M423" s="45">
        <f>IF(A423&lt;I423,0,IF(K423="S-curve",L423*L423*(3-2*L423),L423))</f>
        <v/>
      </c>
      <c r="N423" s="45">
        <f>1+(INDEX(SeasonIdx,A423)-1)*SeasonAmp</f>
        <v/>
      </c>
      <c r="O423" s="45">
        <f>IFERROR(INDEX(PSPct,MATCH(E423&amp;"|"&amp;G423,PSKey,0)),0)</f>
        <v/>
      </c>
      <c r="P423" s="46">
        <f>INDEX(ChDoorVel,MATCH(E423,ChName,0))*CalibScalar*(1+VelocityUplift)</f>
        <v/>
      </c>
      <c r="Q423" s="46" t="n">
        <v>0</v>
      </c>
      <c r="R423" s="46">
        <f>P423*O423*M423*N423*H423</f>
        <v/>
      </c>
      <c r="S423" s="46">
        <f>R423*INDEX(FmtCansPerCase,MATCH(F423,FmtName,0))</f>
        <v/>
      </c>
      <c r="T423" s="46">
        <f>S423/INDEX(FmtCansPerPack,MATCH(F423,FmtName,0))</f>
        <v/>
      </c>
      <c r="U423" s="47">
        <f>INDEX(ChBaseCP,MATCH(E423,ChName,0))*(1+INDEX(ProvMod,MATCH(G423,ProvCode,0)))*(1+PriceIndex)</f>
        <v/>
      </c>
      <c r="V423" s="47">
        <f>R423*U423*INDEX(FmtBlendedPriceIdx,MATCH(F423,FmtName,0))</f>
        <v/>
      </c>
      <c r="W423" s="47">
        <f>T423*INDEX(ProvSRP,MATCH(G423,ProvCode,0))*(1+PriceIndex)</f>
        <v/>
      </c>
      <c r="X423" s="47">
        <f>IF(GrossBasis="Wholesale",V423,W423)</f>
        <v/>
      </c>
      <c r="Y423" s="47">
        <f>R423*INDEX(FmtBlendedCogs,MATCH(F423,FmtName,0))</f>
        <v/>
      </c>
      <c r="Z423" s="47">
        <f>X423-Y423</f>
        <v/>
      </c>
    </row>
    <row r="424">
      <c r="A424" t="n">
        <v>52</v>
      </c>
      <c r="B424" s="44">
        <f>FiscalStart+(A424-1)*7</f>
        <v/>
      </c>
      <c r="C424">
        <f>TEXT(B424,"mmm yyyy")</f>
        <v/>
      </c>
      <c r="D424">
        <f>"Q"&amp;(INT((A424-1)/13)+1)</f>
        <v/>
      </c>
      <c r="E424" t="inlineStr">
        <is>
          <t>Convenience</t>
        </is>
      </c>
      <c r="F424">
        <f>IFERROR(INDEX(ChFormat,MATCH(E424,ChName,0)),"")</f>
        <v/>
      </c>
      <c r="G424" t="inlineStr">
        <is>
          <t>NS</t>
        </is>
      </c>
      <c r="H424">
        <f>IF(A424&lt;=NWeeks,1,0)</f>
        <v/>
      </c>
      <c r="I424">
        <f>INDEX(ChLaunch,MATCH(E424,ChName,0))</f>
        <v/>
      </c>
      <c r="J424">
        <f>INDEX(ChWeeksFull,MATCH(E424,ChName,0))</f>
        <v/>
      </c>
      <c r="K424">
        <f>INDEX(ChRamp,MATCH(E424,ChName,0))</f>
        <v/>
      </c>
      <c r="L424" s="45">
        <f>MIN(1,MAX(0,(A424-I424+1)*RampSpeed/J424))</f>
        <v/>
      </c>
      <c r="M424" s="45">
        <f>IF(A424&lt;I424,0,IF(K424="S-curve",L424*L424*(3-2*L424),L424))</f>
        <v/>
      </c>
      <c r="N424" s="45">
        <f>1+(INDEX(SeasonIdx,A424)-1)*SeasonAmp</f>
        <v/>
      </c>
      <c r="O424" s="45">
        <f>IFERROR(INDEX(PSPct,MATCH(E424&amp;"|"&amp;G424,PSKey,0)),0)</f>
        <v/>
      </c>
      <c r="P424" s="46">
        <f>INDEX(ChDoorVel,MATCH(E424,ChName,0))*CalibScalar*(1+VelocityUplift)</f>
        <v/>
      </c>
      <c r="Q424" s="46" t="n">
        <v>0</v>
      </c>
      <c r="R424" s="46">
        <f>P424*O424*M424*N424*H424</f>
        <v/>
      </c>
      <c r="S424" s="46">
        <f>R424*INDEX(FmtCansPerCase,MATCH(F424,FmtName,0))</f>
        <v/>
      </c>
      <c r="T424" s="46">
        <f>S424/INDEX(FmtCansPerPack,MATCH(F424,FmtName,0))</f>
        <v/>
      </c>
      <c r="U424" s="47">
        <f>INDEX(ChBaseCP,MATCH(E424,ChName,0))*(1+INDEX(ProvMod,MATCH(G424,ProvCode,0)))*(1+PriceIndex)</f>
        <v/>
      </c>
      <c r="V424" s="47">
        <f>R424*U424*INDEX(FmtBlendedPriceIdx,MATCH(F424,FmtName,0))</f>
        <v/>
      </c>
      <c r="W424" s="47">
        <f>T424*INDEX(ProvSRP,MATCH(G424,ProvCode,0))*(1+PriceIndex)</f>
        <v/>
      </c>
      <c r="X424" s="47">
        <f>IF(GrossBasis="Wholesale",V424,W424)</f>
        <v/>
      </c>
      <c r="Y424" s="47">
        <f>R424*INDEX(FmtBlendedCogs,MATCH(F424,FmtName,0))</f>
        <v/>
      </c>
      <c r="Z424" s="47">
        <f>X424-Y424</f>
        <v/>
      </c>
    </row>
    <row r="425">
      <c r="A425" t="n">
        <v>53</v>
      </c>
      <c r="B425" s="44">
        <f>FiscalStart+(A425-1)*7</f>
        <v/>
      </c>
      <c r="C425">
        <f>TEXT(B425,"mmm yyyy")</f>
        <v/>
      </c>
      <c r="D425">
        <f>"Q"&amp;(INT((A425-1)/13)+1)</f>
        <v/>
      </c>
      <c r="E425" t="inlineStr">
        <is>
          <t>Convenience</t>
        </is>
      </c>
      <c r="F425">
        <f>IFERROR(INDEX(ChFormat,MATCH(E425,ChName,0)),"")</f>
        <v/>
      </c>
      <c r="G425" t="inlineStr">
        <is>
          <t>NS</t>
        </is>
      </c>
      <c r="H425">
        <f>IF(A425&lt;=NWeeks,1,0)</f>
        <v/>
      </c>
      <c r="I425">
        <f>INDEX(ChLaunch,MATCH(E425,ChName,0))</f>
        <v/>
      </c>
      <c r="J425">
        <f>INDEX(ChWeeksFull,MATCH(E425,ChName,0))</f>
        <v/>
      </c>
      <c r="K425">
        <f>INDEX(ChRamp,MATCH(E425,ChName,0))</f>
        <v/>
      </c>
      <c r="L425" s="45">
        <f>MIN(1,MAX(0,(A425-I425+1)*RampSpeed/J425))</f>
        <v/>
      </c>
      <c r="M425" s="45">
        <f>IF(A425&lt;I425,0,IF(K425="S-curve",L425*L425*(3-2*L425),L425))</f>
        <v/>
      </c>
      <c r="N425" s="45">
        <f>1+(INDEX(SeasonIdx,A425)-1)*SeasonAmp</f>
        <v/>
      </c>
      <c r="O425" s="45">
        <f>IFERROR(INDEX(PSPct,MATCH(E425&amp;"|"&amp;G425,PSKey,0)),0)</f>
        <v/>
      </c>
      <c r="P425" s="46">
        <f>INDEX(ChDoorVel,MATCH(E425,ChName,0))*CalibScalar*(1+VelocityUplift)</f>
        <v/>
      </c>
      <c r="Q425" s="46" t="n">
        <v>0</v>
      </c>
      <c r="R425" s="46">
        <f>P425*O425*M425*N425*H425</f>
        <v/>
      </c>
      <c r="S425" s="46">
        <f>R425*INDEX(FmtCansPerCase,MATCH(F425,FmtName,0))</f>
        <v/>
      </c>
      <c r="T425" s="46">
        <f>S425/INDEX(FmtCansPerPack,MATCH(F425,FmtName,0))</f>
        <v/>
      </c>
      <c r="U425" s="47">
        <f>INDEX(ChBaseCP,MATCH(E425,ChName,0))*(1+INDEX(ProvMod,MATCH(G425,ProvCode,0)))*(1+PriceIndex)</f>
        <v/>
      </c>
      <c r="V425" s="47">
        <f>R425*U425*INDEX(FmtBlendedPriceIdx,MATCH(F425,FmtName,0))</f>
        <v/>
      </c>
      <c r="W425" s="47">
        <f>T425*INDEX(ProvSRP,MATCH(G425,ProvCode,0))*(1+PriceIndex)</f>
        <v/>
      </c>
      <c r="X425" s="47">
        <f>IF(GrossBasis="Wholesale",V425,W425)</f>
        <v/>
      </c>
      <c r="Y425" s="47">
        <f>R425*INDEX(FmtBlendedCogs,MATCH(F425,FmtName,0))</f>
        <v/>
      </c>
      <c r="Z425" s="47">
        <f>X425-Y425</f>
        <v/>
      </c>
    </row>
    <row r="426">
      <c r="A426" t="n">
        <v>1</v>
      </c>
      <c r="B426" s="44">
        <f>FiscalStart+(A426-1)*7</f>
        <v/>
      </c>
      <c r="C426">
        <f>TEXT(B426,"mmm yyyy")</f>
        <v/>
      </c>
      <c r="D426">
        <f>"Q"&amp;(INT((A426-1)/13)+1)</f>
        <v/>
      </c>
      <c r="E426" t="inlineStr">
        <is>
          <t>Convenience</t>
        </is>
      </c>
      <c r="F426">
        <f>IFERROR(INDEX(ChFormat,MATCH(E426,ChName,0)),"")</f>
        <v/>
      </c>
      <c r="G426" t="inlineStr">
        <is>
          <t>PE</t>
        </is>
      </c>
      <c r="H426">
        <f>IF(A426&lt;=NWeeks,1,0)</f>
        <v/>
      </c>
      <c r="I426">
        <f>INDEX(ChLaunch,MATCH(E426,ChName,0))</f>
        <v/>
      </c>
      <c r="J426">
        <f>INDEX(ChWeeksFull,MATCH(E426,ChName,0))</f>
        <v/>
      </c>
      <c r="K426">
        <f>INDEX(ChRamp,MATCH(E426,ChName,0))</f>
        <v/>
      </c>
      <c r="L426" s="45">
        <f>MIN(1,MAX(0,(A426-I426+1)*RampSpeed/J426))</f>
        <v/>
      </c>
      <c r="M426" s="45">
        <f>IF(A426&lt;I426,0,IF(K426="S-curve",L426*L426*(3-2*L426),L426))</f>
        <v/>
      </c>
      <c r="N426" s="45">
        <f>1+(INDEX(SeasonIdx,A426)-1)*SeasonAmp</f>
        <v/>
      </c>
      <c r="O426" s="45">
        <f>IFERROR(INDEX(PSPct,MATCH(E426&amp;"|"&amp;G426,PSKey,0)),0)</f>
        <v/>
      </c>
      <c r="P426" s="46">
        <f>INDEX(ChDoorVel,MATCH(E426,ChName,0))*CalibScalar*(1+VelocityUplift)</f>
        <v/>
      </c>
      <c r="Q426" s="46" t="n">
        <v>0</v>
      </c>
      <c r="R426" s="46">
        <f>P426*O426*M426*N426*H426</f>
        <v/>
      </c>
      <c r="S426" s="46">
        <f>R426*INDEX(FmtCansPerCase,MATCH(F426,FmtName,0))</f>
        <v/>
      </c>
      <c r="T426" s="46">
        <f>S426/INDEX(FmtCansPerPack,MATCH(F426,FmtName,0))</f>
        <v/>
      </c>
      <c r="U426" s="47">
        <f>INDEX(ChBaseCP,MATCH(E426,ChName,0))*(1+INDEX(ProvMod,MATCH(G426,ProvCode,0)))*(1+PriceIndex)</f>
        <v/>
      </c>
      <c r="V426" s="47">
        <f>R426*U426*INDEX(FmtBlendedPriceIdx,MATCH(F426,FmtName,0))</f>
        <v/>
      </c>
      <c r="W426" s="47">
        <f>T426*INDEX(ProvSRP,MATCH(G426,ProvCode,0))*(1+PriceIndex)</f>
        <v/>
      </c>
      <c r="X426" s="47">
        <f>IF(GrossBasis="Wholesale",V426,W426)</f>
        <v/>
      </c>
      <c r="Y426" s="47">
        <f>R426*INDEX(FmtBlendedCogs,MATCH(F426,FmtName,0))</f>
        <v/>
      </c>
      <c r="Z426" s="47">
        <f>X426-Y426</f>
        <v/>
      </c>
    </row>
    <row r="427">
      <c r="A427" t="n">
        <v>2</v>
      </c>
      <c r="B427" s="44">
        <f>FiscalStart+(A427-1)*7</f>
        <v/>
      </c>
      <c r="C427">
        <f>TEXT(B427,"mmm yyyy")</f>
        <v/>
      </c>
      <c r="D427">
        <f>"Q"&amp;(INT((A427-1)/13)+1)</f>
        <v/>
      </c>
      <c r="E427" t="inlineStr">
        <is>
          <t>Convenience</t>
        </is>
      </c>
      <c r="F427">
        <f>IFERROR(INDEX(ChFormat,MATCH(E427,ChName,0)),"")</f>
        <v/>
      </c>
      <c r="G427" t="inlineStr">
        <is>
          <t>PE</t>
        </is>
      </c>
      <c r="H427">
        <f>IF(A427&lt;=NWeeks,1,0)</f>
        <v/>
      </c>
      <c r="I427">
        <f>INDEX(ChLaunch,MATCH(E427,ChName,0))</f>
        <v/>
      </c>
      <c r="J427">
        <f>INDEX(ChWeeksFull,MATCH(E427,ChName,0))</f>
        <v/>
      </c>
      <c r="K427">
        <f>INDEX(ChRamp,MATCH(E427,ChName,0))</f>
        <v/>
      </c>
      <c r="L427" s="45">
        <f>MIN(1,MAX(0,(A427-I427+1)*RampSpeed/J427))</f>
        <v/>
      </c>
      <c r="M427" s="45">
        <f>IF(A427&lt;I427,0,IF(K427="S-curve",L427*L427*(3-2*L427),L427))</f>
        <v/>
      </c>
      <c r="N427" s="45">
        <f>1+(INDEX(SeasonIdx,A427)-1)*SeasonAmp</f>
        <v/>
      </c>
      <c r="O427" s="45">
        <f>IFERROR(INDEX(PSPct,MATCH(E427&amp;"|"&amp;G427,PSKey,0)),0)</f>
        <v/>
      </c>
      <c r="P427" s="46">
        <f>INDEX(ChDoorVel,MATCH(E427,ChName,0))*CalibScalar*(1+VelocityUplift)</f>
        <v/>
      </c>
      <c r="Q427" s="46" t="n">
        <v>0</v>
      </c>
      <c r="R427" s="46">
        <f>P427*O427*M427*N427*H427</f>
        <v/>
      </c>
      <c r="S427" s="46">
        <f>R427*INDEX(FmtCansPerCase,MATCH(F427,FmtName,0))</f>
        <v/>
      </c>
      <c r="T427" s="46">
        <f>S427/INDEX(FmtCansPerPack,MATCH(F427,FmtName,0))</f>
        <v/>
      </c>
      <c r="U427" s="47">
        <f>INDEX(ChBaseCP,MATCH(E427,ChName,0))*(1+INDEX(ProvMod,MATCH(G427,ProvCode,0)))*(1+PriceIndex)</f>
        <v/>
      </c>
      <c r="V427" s="47">
        <f>R427*U427*INDEX(FmtBlendedPriceIdx,MATCH(F427,FmtName,0))</f>
        <v/>
      </c>
      <c r="W427" s="47">
        <f>T427*INDEX(ProvSRP,MATCH(G427,ProvCode,0))*(1+PriceIndex)</f>
        <v/>
      </c>
      <c r="X427" s="47">
        <f>IF(GrossBasis="Wholesale",V427,W427)</f>
        <v/>
      </c>
      <c r="Y427" s="47">
        <f>R427*INDEX(FmtBlendedCogs,MATCH(F427,FmtName,0))</f>
        <v/>
      </c>
      <c r="Z427" s="47">
        <f>X427-Y427</f>
        <v/>
      </c>
    </row>
    <row r="428">
      <c r="A428" t="n">
        <v>3</v>
      </c>
      <c r="B428" s="44">
        <f>FiscalStart+(A428-1)*7</f>
        <v/>
      </c>
      <c r="C428">
        <f>TEXT(B428,"mmm yyyy")</f>
        <v/>
      </c>
      <c r="D428">
        <f>"Q"&amp;(INT((A428-1)/13)+1)</f>
        <v/>
      </c>
      <c r="E428" t="inlineStr">
        <is>
          <t>Convenience</t>
        </is>
      </c>
      <c r="F428">
        <f>IFERROR(INDEX(ChFormat,MATCH(E428,ChName,0)),"")</f>
        <v/>
      </c>
      <c r="G428" t="inlineStr">
        <is>
          <t>PE</t>
        </is>
      </c>
      <c r="H428">
        <f>IF(A428&lt;=NWeeks,1,0)</f>
        <v/>
      </c>
      <c r="I428">
        <f>INDEX(ChLaunch,MATCH(E428,ChName,0))</f>
        <v/>
      </c>
      <c r="J428">
        <f>INDEX(ChWeeksFull,MATCH(E428,ChName,0))</f>
        <v/>
      </c>
      <c r="K428">
        <f>INDEX(ChRamp,MATCH(E428,ChName,0))</f>
        <v/>
      </c>
      <c r="L428" s="45">
        <f>MIN(1,MAX(0,(A428-I428+1)*RampSpeed/J428))</f>
        <v/>
      </c>
      <c r="M428" s="45">
        <f>IF(A428&lt;I428,0,IF(K428="S-curve",L428*L428*(3-2*L428),L428))</f>
        <v/>
      </c>
      <c r="N428" s="45">
        <f>1+(INDEX(SeasonIdx,A428)-1)*SeasonAmp</f>
        <v/>
      </c>
      <c r="O428" s="45">
        <f>IFERROR(INDEX(PSPct,MATCH(E428&amp;"|"&amp;G428,PSKey,0)),0)</f>
        <v/>
      </c>
      <c r="P428" s="46">
        <f>INDEX(ChDoorVel,MATCH(E428,ChName,0))*CalibScalar*(1+VelocityUplift)</f>
        <v/>
      </c>
      <c r="Q428" s="46" t="n">
        <v>0</v>
      </c>
      <c r="R428" s="46">
        <f>P428*O428*M428*N428*H428</f>
        <v/>
      </c>
      <c r="S428" s="46">
        <f>R428*INDEX(FmtCansPerCase,MATCH(F428,FmtName,0))</f>
        <v/>
      </c>
      <c r="T428" s="46">
        <f>S428/INDEX(FmtCansPerPack,MATCH(F428,FmtName,0))</f>
        <v/>
      </c>
      <c r="U428" s="47">
        <f>INDEX(ChBaseCP,MATCH(E428,ChName,0))*(1+INDEX(ProvMod,MATCH(G428,ProvCode,0)))*(1+PriceIndex)</f>
        <v/>
      </c>
      <c r="V428" s="47">
        <f>R428*U428*INDEX(FmtBlendedPriceIdx,MATCH(F428,FmtName,0))</f>
        <v/>
      </c>
      <c r="W428" s="47">
        <f>T428*INDEX(ProvSRP,MATCH(G428,ProvCode,0))*(1+PriceIndex)</f>
        <v/>
      </c>
      <c r="X428" s="47">
        <f>IF(GrossBasis="Wholesale",V428,W428)</f>
        <v/>
      </c>
      <c r="Y428" s="47">
        <f>R428*INDEX(FmtBlendedCogs,MATCH(F428,FmtName,0))</f>
        <v/>
      </c>
      <c r="Z428" s="47">
        <f>X428-Y428</f>
        <v/>
      </c>
    </row>
    <row r="429">
      <c r="A429" t="n">
        <v>4</v>
      </c>
      <c r="B429" s="44">
        <f>FiscalStart+(A429-1)*7</f>
        <v/>
      </c>
      <c r="C429">
        <f>TEXT(B429,"mmm yyyy")</f>
        <v/>
      </c>
      <c r="D429">
        <f>"Q"&amp;(INT((A429-1)/13)+1)</f>
        <v/>
      </c>
      <c r="E429" t="inlineStr">
        <is>
          <t>Convenience</t>
        </is>
      </c>
      <c r="F429">
        <f>IFERROR(INDEX(ChFormat,MATCH(E429,ChName,0)),"")</f>
        <v/>
      </c>
      <c r="G429" t="inlineStr">
        <is>
          <t>PE</t>
        </is>
      </c>
      <c r="H429">
        <f>IF(A429&lt;=NWeeks,1,0)</f>
        <v/>
      </c>
      <c r="I429">
        <f>INDEX(ChLaunch,MATCH(E429,ChName,0))</f>
        <v/>
      </c>
      <c r="J429">
        <f>INDEX(ChWeeksFull,MATCH(E429,ChName,0))</f>
        <v/>
      </c>
      <c r="K429">
        <f>INDEX(ChRamp,MATCH(E429,ChName,0))</f>
        <v/>
      </c>
      <c r="L429" s="45">
        <f>MIN(1,MAX(0,(A429-I429+1)*RampSpeed/J429))</f>
        <v/>
      </c>
      <c r="M429" s="45">
        <f>IF(A429&lt;I429,0,IF(K429="S-curve",L429*L429*(3-2*L429),L429))</f>
        <v/>
      </c>
      <c r="N429" s="45">
        <f>1+(INDEX(SeasonIdx,A429)-1)*SeasonAmp</f>
        <v/>
      </c>
      <c r="O429" s="45">
        <f>IFERROR(INDEX(PSPct,MATCH(E429&amp;"|"&amp;G429,PSKey,0)),0)</f>
        <v/>
      </c>
      <c r="P429" s="46">
        <f>INDEX(ChDoorVel,MATCH(E429,ChName,0))*CalibScalar*(1+VelocityUplift)</f>
        <v/>
      </c>
      <c r="Q429" s="46" t="n">
        <v>0</v>
      </c>
      <c r="R429" s="46">
        <f>P429*O429*M429*N429*H429</f>
        <v/>
      </c>
      <c r="S429" s="46">
        <f>R429*INDEX(FmtCansPerCase,MATCH(F429,FmtName,0))</f>
        <v/>
      </c>
      <c r="T429" s="46">
        <f>S429/INDEX(FmtCansPerPack,MATCH(F429,FmtName,0))</f>
        <v/>
      </c>
      <c r="U429" s="47">
        <f>INDEX(ChBaseCP,MATCH(E429,ChName,0))*(1+INDEX(ProvMod,MATCH(G429,ProvCode,0)))*(1+PriceIndex)</f>
        <v/>
      </c>
      <c r="V429" s="47">
        <f>R429*U429*INDEX(FmtBlendedPriceIdx,MATCH(F429,FmtName,0))</f>
        <v/>
      </c>
      <c r="W429" s="47">
        <f>T429*INDEX(ProvSRP,MATCH(G429,ProvCode,0))*(1+PriceIndex)</f>
        <v/>
      </c>
      <c r="X429" s="47">
        <f>IF(GrossBasis="Wholesale",V429,W429)</f>
        <v/>
      </c>
      <c r="Y429" s="47">
        <f>R429*INDEX(FmtBlendedCogs,MATCH(F429,FmtName,0))</f>
        <v/>
      </c>
      <c r="Z429" s="47">
        <f>X429-Y429</f>
        <v/>
      </c>
    </row>
    <row r="430">
      <c r="A430" t="n">
        <v>5</v>
      </c>
      <c r="B430" s="44">
        <f>FiscalStart+(A430-1)*7</f>
        <v/>
      </c>
      <c r="C430">
        <f>TEXT(B430,"mmm yyyy")</f>
        <v/>
      </c>
      <c r="D430">
        <f>"Q"&amp;(INT((A430-1)/13)+1)</f>
        <v/>
      </c>
      <c r="E430" t="inlineStr">
        <is>
          <t>Convenience</t>
        </is>
      </c>
      <c r="F430">
        <f>IFERROR(INDEX(ChFormat,MATCH(E430,ChName,0)),"")</f>
        <v/>
      </c>
      <c r="G430" t="inlineStr">
        <is>
          <t>PE</t>
        </is>
      </c>
      <c r="H430">
        <f>IF(A430&lt;=NWeeks,1,0)</f>
        <v/>
      </c>
      <c r="I430">
        <f>INDEX(ChLaunch,MATCH(E430,ChName,0))</f>
        <v/>
      </c>
      <c r="J430">
        <f>INDEX(ChWeeksFull,MATCH(E430,ChName,0))</f>
        <v/>
      </c>
      <c r="K430">
        <f>INDEX(ChRamp,MATCH(E430,ChName,0))</f>
        <v/>
      </c>
      <c r="L430" s="45">
        <f>MIN(1,MAX(0,(A430-I430+1)*RampSpeed/J430))</f>
        <v/>
      </c>
      <c r="M430" s="45">
        <f>IF(A430&lt;I430,0,IF(K430="S-curve",L430*L430*(3-2*L430),L430))</f>
        <v/>
      </c>
      <c r="N430" s="45">
        <f>1+(INDEX(SeasonIdx,A430)-1)*SeasonAmp</f>
        <v/>
      </c>
      <c r="O430" s="45">
        <f>IFERROR(INDEX(PSPct,MATCH(E430&amp;"|"&amp;G430,PSKey,0)),0)</f>
        <v/>
      </c>
      <c r="P430" s="46">
        <f>INDEX(ChDoorVel,MATCH(E430,ChName,0))*CalibScalar*(1+VelocityUplift)</f>
        <v/>
      </c>
      <c r="Q430" s="46" t="n">
        <v>0</v>
      </c>
      <c r="R430" s="46">
        <f>P430*O430*M430*N430*H430</f>
        <v/>
      </c>
      <c r="S430" s="46">
        <f>R430*INDEX(FmtCansPerCase,MATCH(F430,FmtName,0))</f>
        <v/>
      </c>
      <c r="T430" s="46">
        <f>S430/INDEX(FmtCansPerPack,MATCH(F430,FmtName,0))</f>
        <v/>
      </c>
      <c r="U430" s="47">
        <f>INDEX(ChBaseCP,MATCH(E430,ChName,0))*(1+INDEX(ProvMod,MATCH(G430,ProvCode,0)))*(1+PriceIndex)</f>
        <v/>
      </c>
      <c r="V430" s="47">
        <f>R430*U430*INDEX(FmtBlendedPriceIdx,MATCH(F430,FmtName,0))</f>
        <v/>
      </c>
      <c r="W430" s="47">
        <f>T430*INDEX(ProvSRP,MATCH(G430,ProvCode,0))*(1+PriceIndex)</f>
        <v/>
      </c>
      <c r="X430" s="47">
        <f>IF(GrossBasis="Wholesale",V430,W430)</f>
        <v/>
      </c>
      <c r="Y430" s="47">
        <f>R430*INDEX(FmtBlendedCogs,MATCH(F430,FmtName,0))</f>
        <v/>
      </c>
      <c r="Z430" s="47">
        <f>X430-Y430</f>
        <v/>
      </c>
    </row>
    <row r="431">
      <c r="A431" t="n">
        <v>6</v>
      </c>
      <c r="B431" s="44">
        <f>FiscalStart+(A431-1)*7</f>
        <v/>
      </c>
      <c r="C431">
        <f>TEXT(B431,"mmm yyyy")</f>
        <v/>
      </c>
      <c r="D431">
        <f>"Q"&amp;(INT((A431-1)/13)+1)</f>
        <v/>
      </c>
      <c r="E431" t="inlineStr">
        <is>
          <t>Convenience</t>
        </is>
      </c>
      <c r="F431">
        <f>IFERROR(INDEX(ChFormat,MATCH(E431,ChName,0)),"")</f>
        <v/>
      </c>
      <c r="G431" t="inlineStr">
        <is>
          <t>PE</t>
        </is>
      </c>
      <c r="H431">
        <f>IF(A431&lt;=NWeeks,1,0)</f>
        <v/>
      </c>
      <c r="I431">
        <f>INDEX(ChLaunch,MATCH(E431,ChName,0))</f>
        <v/>
      </c>
      <c r="J431">
        <f>INDEX(ChWeeksFull,MATCH(E431,ChName,0))</f>
        <v/>
      </c>
      <c r="K431">
        <f>INDEX(ChRamp,MATCH(E431,ChName,0))</f>
        <v/>
      </c>
      <c r="L431" s="45">
        <f>MIN(1,MAX(0,(A431-I431+1)*RampSpeed/J431))</f>
        <v/>
      </c>
      <c r="M431" s="45">
        <f>IF(A431&lt;I431,0,IF(K431="S-curve",L431*L431*(3-2*L431),L431))</f>
        <v/>
      </c>
      <c r="N431" s="45">
        <f>1+(INDEX(SeasonIdx,A431)-1)*SeasonAmp</f>
        <v/>
      </c>
      <c r="O431" s="45">
        <f>IFERROR(INDEX(PSPct,MATCH(E431&amp;"|"&amp;G431,PSKey,0)),0)</f>
        <v/>
      </c>
      <c r="P431" s="46">
        <f>INDEX(ChDoorVel,MATCH(E431,ChName,0))*CalibScalar*(1+VelocityUplift)</f>
        <v/>
      </c>
      <c r="Q431" s="46" t="n">
        <v>0</v>
      </c>
      <c r="R431" s="46">
        <f>P431*O431*M431*N431*H431</f>
        <v/>
      </c>
      <c r="S431" s="46">
        <f>R431*INDEX(FmtCansPerCase,MATCH(F431,FmtName,0))</f>
        <v/>
      </c>
      <c r="T431" s="46">
        <f>S431/INDEX(FmtCansPerPack,MATCH(F431,FmtName,0))</f>
        <v/>
      </c>
      <c r="U431" s="47">
        <f>INDEX(ChBaseCP,MATCH(E431,ChName,0))*(1+INDEX(ProvMod,MATCH(G431,ProvCode,0)))*(1+PriceIndex)</f>
        <v/>
      </c>
      <c r="V431" s="47">
        <f>R431*U431*INDEX(FmtBlendedPriceIdx,MATCH(F431,FmtName,0))</f>
        <v/>
      </c>
      <c r="W431" s="47">
        <f>T431*INDEX(ProvSRP,MATCH(G431,ProvCode,0))*(1+PriceIndex)</f>
        <v/>
      </c>
      <c r="X431" s="47">
        <f>IF(GrossBasis="Wholesale",V431,W431)</f>
        <v/>
      </c>
      <c r="Y431" s="47">
        <f>R431*INDEX(FmtBlendedCogs,MATCH(F431,FmtName,0))</f>
        <v/>
      </c>
      <c r="Z431" s="47">
        <f>X431-Y431</f>
        <v/>
      </c>
    </row>
    <row r="432">
      <c r="A432" t="n">
        <v>7</v>
      </c>
      <c r="B432" s="44">
        <f>FiscalStart+(A432-1)*7</f>
        <v/>
      </c>
      <c r="C432">
        <f>TEXT(B432,"mmm yyyy")</f>
        <v/>
      </c>
      <c r="D432">
        <f>"Q"&amp;(INT((A432-1)/13)+1)</f>
        <v/>
      </c>
      <c r="E432" t="inlineStr">
        <is>
          <t>Convenience</t>
        </is>
      </c>
      <c r="F432">
        <f>IFERROR(INDEX(ChFormat,MATCH(E432,ChName,0)),"")</f>
        <v/>
      </c>
      <c r="G432" t="inlineStr">
        <is>
          <t>PE</t>
        </is>
      </c>
      <c r="H432">
        <f>IF(A432&lt;=NWeeks,1,0)</f>
        <v/>
      </c>
      <c r="I432">
        <f>INDEX(ChLaunch,MATCH(E432,ChName,0))</f>
        <v/>
      </c>
      <c r="J432">
        <f>INDEX(ChWeeksFull,MATCH(E432,ChName,0))</f>
        <v/>
      </c>
      <c r="K432">
        <f>INDEX(ChRamp,MATCH(E432,ChName,0))</f>
        <v/>
      </c>
      <c r="L432" s="45">
        <f>MIN(1,MAX(0,(A432-I432+1)*RampSpeed/J432))</f>
        <v/>
      </c>
      <c r="M432" s="45">
        <f>IF(A432&lt;I432,0,IF(K432="S-curve",L432*L432*(3-2*L432),L432))</f>
        <v/>
      </c>
      <c r="N432" s="45">
        <f>1+(INDEX(SeasonIdx,A432)-1)*SeasonAmp</f>
        <v/>
      </c>
      <c r="O432" s="45">
        <f>IFERROR(INDEX(PSPct,MATCH(E432&amp;"|"&amp;G432,PSKey,0)),0)</f>
        <v/>
      </c>
      <c r="P432" s="46">
        <f>INDEX(ChDoorVel,MATCH(E432,ChName,0))*CalibScalar*(1+VelocityUplift)</f>
        <v/>
      </c>
      <c r="Q432" s="46" t="n">
        <v>0</v>
      </c>
      <c r="R432" s="46">
        <f>P432*O432*M432*N432*H432</f>
        <v/>
      </c>
      <c r="S432" s="46">
        <f>R432*INDEX(FmtCansPerCase,MATCH(F432,FmtName,0))</f>
        <v/>
      </c>
      <c r="T432" s="46">
        <f>S432/INDEX(FmtCansPerPack,MATCH(F432,FmtName,0))</f>
        <v/>
      </c>
      <c r="U432" s="47">
        <f>INDEX(ChBaseCP,MATCH(E432,ChName,0))*(1+INDEX(ProvMod,MATCH(G432,ProvCode,0)))*(1+PriceIndex)</f>
        <v/>
      </c>
      <c r="V432" s="47">
        <f>R432*U432*INDEX(FmtBlendedPriceIdx,MATCH(F432,FmtName,0))</f>
        <v/>
      </c>
      <c r="W432" s="47">
        <f>T432*INDEX(ProvSRP,MATCH(G432,ProvCode,0))*(1+PriceIndex)</f>
        <v/>
      </c>
      <c r="X432" s="47">
        <f>IF(GrossBasis="Wholesale",V432,W432)</f>
        <v/>
      </c>
      <c r="Y432" s="47">
        <f>R432*INDEX(FmtBlendedCogs,MATCH(F432,FmtName,0))</f>
        <v/>
      </c>
      <c r="Z432" s="47">
        <f>X432-Y432</f>
        <v/>
      </c>
    </row>
    <row r="433">
      <c r="A433" t="n">
        <v>8</v>
      </c>
      <c r="B433" s="44">
        <f>FiscalStart+(A433-1)*7</f>
        <v/>
      </c>
      <c r="C433">
        <f>TEXT(B433,"mmm yyyy")</f>
        <v/>
      </c>
      <c r="D433">
        <f>"Q"&amp;(INT((A433-1)/13)+1)</f>
        <v/>
      </c>
      <c r="E433" t="inlineStr">
        <is>
          <t>Convenience</t>
        </is>
      </c>
      <c r="F433">
        <f>IFERROR(INDEX(ChFormat,MATCH(E433,ChName,0)),"")</f>
        <v/>
      </c>
      <c r="G433" t="inlineStr">
        <is>
          <t>PE</t>
        </is>
      </c>
      <c r="H433">
        <f>IF(A433&lt;=NWeeks,1,0)</f>
        <v/>
      </c>
      <c r="I433">
        <f>INDEX(ChLaunch,MATCH(E433,ChName,0))</f>
        <v/>
      </c>
      <c r="J433">
        <f>INDEX(ChWeeksFull,MATCH(E433,ChName,0))</f>
        <v/>
      </c>
      <c r="K433">
        <f>INDEX(ChRamp,MATCH(E433,ChName,0))</f>
        <v/>
      </c>
      <c r="L433" s="45">
        <f>MIN(1,MAX(0,(A433-I433+1)*RampSpeed/J433))</f>
        <v/>
      </c>
      <c r="M433" s="45">
        <f>IF(A433&lt;I433,0,IF(K433="S-curve",L433*L433*(3-2*L433),L433))</f>
        <v/>
      </c>
      <c r="N433" s="45">
        <f>1+(INDEX(SeasonIdx,A433)-1)*SeasonAmp</f>
        <v/>
      </c>
      <c r="O433" s="45">
        <f>IFERROR(INDEX(PSPct,MATCH(E433&amp;"|"&amp;G433,PSKey,0)),0)</f>
        <v/>
      </c>
      <c r="P433" s="46">
        <f>INDEX(ChDoorVel,MATCH(E433,ChName,0))*CalibScalar*(1+VelocityUplift)</f>
        <v/>
      </c>
      <c r="Q433" s="46" t="n">
        <v>0</v>
      </c>
      <c r="R433" s="46">
        <f>P433*O433*M433*N433*H433</f>
        <v/>
      </c>
      <c r="S433" s="46">
        <f>R433*INDEX(FmtCansPerCase,MATCH(F433,FmtName,0))</f>
        <v/>
      </c>
      <c r="T433" s="46">
        <f>S433/INDEX(FmtCansPerPack,MATCH(F433,FmtName,0))</f>
        <v/>
      </c>
      <c r="U433" s="47">
        <f>INDEX(ChBaseCP,MATCH(E433,ChName,0))*(1+INDEX(ProvMod,MATCH(G433,ProvCode,0)))*(1+PriceIndex)</f>
        <v/>
      </c>
      <c r="V433" s="47">
        <f>R433*U433*INDEX(FmtBlendedPriceIdx,MATCH(F433,FmtName,0))</f>
        <v/>
      </c>
      <c r="W433" s="47">
        <f>T433*INDEX(ProvSRP,MATCH(G433,ProvCode,0))*(1+PriceIndex)</f>
        <v/>
      </c>
      <c r="X433" s="47">
        <f>IF(GrossBasis="Wholesale",V433,W433)</f>
        <v/>
      </c>
      <c r="Y433" s="47">
        <f>R433*INDEX(FmtBlendedCogs,MATCH(F433,FmtName,0))</f>
        <v/>
      </c>
      <c r="Z433" s="47">
        <f>X433-Y433</f>
        <v/>
      </c>
    </row>
    <row r="434">
      <c r="A434" t="n">
        <v>9</v>
      </c>
      <c r="B434" s="44">
        <f>FiscalStart+(A434-1)*7</f>
        <v/>
      </c>
      <c r="C434">
        <f>TEXT(B434,"mmm yyyy")</f>
        <v/>
      </c>
      <c r="D434">
        <f>"Q"&amp;(INT((A434-1)/13)+1)</f>
        <v/>
      </c>
      <c r="E434" t="inlineStr">
        <is>
          <t>Convenience</t>
        </is>
      </c>
      <c r="F434">
        <f>IFERROR(INDEX(ChFormat,MATCH(E434,ChName,0)),"")</f>
        <v/>
      </c>
      <c r="G434" t="inlineStr">
        <is>
          <t>PE</t>
        </is>
      </c>
      <c r="H434">
        <f>IF(A434&lt;=NWeeks,1,0)</f>
        <v/>
      </c>
      <c r="I434">
        <f>INDEX(ChLaunch,MATCH(E434,ChName,0))</f>
        <v/>
      </c>
      <c r="J434">
        <f>INDEX(ChWeeksFull,MATCH(E434,ChName,0))</f>
        <v/>
      </c>
      <c r="K434">
        <f>INDEX(ChRamp,MATCH(E434,ChName,0))</f>
        <v/>
      </c>
      <c r="L434" s="45">
        <f>MIN(1,MAX(0,(A434-I434+1)*RampSpeed/J434))</f>
        <v/>
      </c>
      <c r="M434" s="45">
        <f>IF(A434&lt;I434,0,IF(K434="S-curve",L434*L434*(3-2*L434),L434))</f>
        <v/>
      </c>
      <c r="N434" s="45">
        <f>1+(INDEX(SeasonIdx,A434)-1)*SeasonAmp</f>
        <v/>
      </c>
      <c r="O434" s="45">
        <f>IFERROR(INDEX(PSPct,MATCH(E434&amp;"|"&amp;G434,PSKey,0)),0)</f>
        <v/>
      </c>
      <c r="P434" s="46">
        <f>INDEX(ChDoorVel,MATCH(E434,ChName,0))*CalibScalar*(1+VelocityUplift)</f>
        <v/>
      </c>
      <c r="Q434" s="46" t="n">
        <v>0</v>
      </c>
      <c r="R434" s="46">
        <f>P434*O434*M434*N434*H434</f>
        <v/>
      </c>
      <c r="S434" s="46">
        <f>R434*INDEX(FmtCansPerCase,MATCH(F434,FmtName,0))</f>
        <v/>
      </c>
      <c r="T434" s="46">
        <f>S434/INDEX(FmtCansPerPack,MATCH(F434,FmtName,0))</f>
        <v/>
      </c>
      <c r="U434" s="47">
        <f>INDEX(ChBaseCP,MATCH(E434,ChName,0))*(1+INDEX(ProvMod,MATCH(G434,ProvCode,0)))*(1+PriceIndex)</f>
        <v/>
      </c>
      <c r="V434" s="47">
        <f>R434*U434*INDEX(FmtBlendedPriceIdx,MATCH(F434,FmtName,0))</f>
        <v/>
      </c>
      <c r="W434" s="47">
        <f>T434*INDEX(ProvSRP,MATCH(G434,ProvCode,0))*(1+PriceIndex)</f>
        <v/>
      </c>
      <c r="X434" s="47">
        <f>IF(GrossBasis="Wholesale",V434,W434)</f>
        <v/>
      </c>
      <c r="Y434" s="47">
        <f>R434*INDEX(FmtBlendedCogs,MATCH(F434,FmtName,0))</f>
        <v/>
      </c>
      <c r="Z434" s="47">
        <f>X434-Y434</f>
        <v/>
      </c>
    </row>
    <row r="435">
      <c r="A435" t="n">
        <v>10</v>
      </c>
      <c r="B435" s="44">
        <f>FiscalStart+(A435-1)*7</f>
        <v/>
      </c>
      <c r="C435">
        <f>TEXT(B435,"mmm yyyy")</f>
        <v/>
      </c>
      <c r="D435">
        <f>"Q"&amp;(INT((A435-1)/13)+1)</f>
        <v/>
      </c>
      <c r="E435" t="inlineStr">
        <is>
          <t>Convenience</t>
        </is>
      </c>
      <c r="F435">
        <f>IFERROR(INDEX(ChFormat,MATCH(E435,ChName,0)),"")</f>
        <v/>
      </c>
      <c r="G435" t="inlineStr">
        <is>
          <t>PE</t>
        </is>
      </c>
      <c r="H435">
        <f>IF(A435&lt;=NWeeks,1,0)</f>
        <v/>
      </c>
      <c r="I435">
        <f>INDEX(ChLaunch,MATCH(E435,ChName,0))</f>
        <v/>
      </c>
      <c r="J435">
        <f>INDEX(ChWeeksFull,MATCH(E435,ChName,0))</f>
        <v/>
      </c>
      <c r="K435">
        <f>INDEX(ChRamp,MATCH(E435,ChName,0))</f>
        <v/>
      </c>
      <c r="L435" s="45">
        <f>MIN(1,MAX(0,(A435-I435+1)*RampSpeed/J435))</f>
        <v/>
      </c>
      <c r="M435" s="45">
        <f>IF(A435&lt;I435,0,IF(K435="S-curve",L435*L435*(3-2*L435),L435))</f>
        <v/>
      </c>
      <c r="N435" s="45">
        <f>1+(INDEX(SeasonIdx,A435)-1)*SeasonAmp</f>
        <v/>
      </c>
      <c r="O435" s="45">
        <f>IFERROR(INDEX(PSPct,MATCH(E435&amp;"|"&amp;G435,PSKey,0)),0)</f>
        <v/>
      </c>
      <c r="P435" s="46">
        <f>INDEX(ChDoorVel,MATCH(E435,ChName,0))*CalibScalar*(1+VelocityUplift)</f>
        <v/>
      </c>
      <c r="Q435" s="46" t="n">
        <v>0</v>
      </c>
      <c r="R435" s="46">
        <f>P435*O435*M435*N435*H435</f>
        <v/>
      </c>
      <c r="S435" s="46">
        <f>R435*INDEX(FmtCansPerCase,MATCH(F435,FmtName,0))</f>
        <v/>
      </c>
      <c r="T435" s="46">
        <f>S435/INDEX(FmtCansPerPack,MATCH(F435,FmtName,0))</f>
        <v/>
      </c>
      <c r="U435" s="47">
        <f>INDEX(ChBaseCP,MATCH(E435,ChName,0))*(1+INDEX(ProvMod,MATCH(G435,ProvCode,0)))*(1+PriceIndex)</f>
        <v/>
      </c>
      <c r="V435" s="47">
        <f>R435*U435*INDEX(FmtBlendedPriceIdx,MATCH(F435,FmtName,0))</f>
        <v/>
      </c>
      <c r="W435" s="47">
        <f>T435*INDEX(ProvSRP,MATCH(G435,ProvCode,0))*(1+PriceIndex)</f>
        <v/>
      </c>
      <c r="X435" s="47">
        <f>IF(GrossBasis="Wholesale",V435,W435)</f>
        <v/>
      </c>
      <c r="Y435" s="47">
        <f>R435*INDEX(FmtBlendedCogs,MATCH(F435,FmtName,0))</f>
        <v/>
      </c>
      <c r="Z435" s="47">
        <f>X435-Y435</f>
        <v/>
      </c>
    </row>
    <row r="436">
      <c r="A436" t="n">
        <v>11</v>
      </c>
      <c r="B436" s="44">
        <f>FiscalStart+(A436-1)*7</f>
        <v/>
      </c>
      <c r="C436">
        <f>TEXT(B436,"mmm yyyy")</f>
        <v/>
      </c>
      <c r="D436">
        <f>"Q"&amp;(INT((A436-1)/13)+1)</f>
        <v/>
      </c>
      <c r="E436" t="inlineStr">
        <is>
          <t>Convenience</t>
        </is>
      </c>
      <c r="F436">
        <f>IFERROR(INDEX(ChFormat,MATCH(E436,ChName,0)),"")</f>
        <v/>
      </c>
      <c r="G436" t="inlineStr">
        <is>
          <t>PE</t>
        </is>
      </c>
      <c r="H436">
        <f>IF(A436&lt;=NWeeks,1,0)</f>
        <v/>
      </c>
      <c r="I436">
        <f>INDEX(ChLaunch,MATCH(E436,ChName,0))</f>
        <v/>
      </c>
      <c r="J436">
        <f>INDEX(ChWeeksFull,MATCH(E436,ChName,0))</f>
        <v/>
      </c>
      <c r="K436">
        <f>INDEX(ChRamp,MATCH(E436,ChName,0))</f>
        <v/>
      </c>
      <c r="L436" s="45">
        <f>MIN(1,MAX(0,(A436-I436+1)*RampSpeed/J436))</f>
        <v/>
      </c>
      <c r="M436" s="45">
        <f>IF(A436&lt;I436,0,IF(K436="S-curve",L436*L436*(3-2*L436),L436))</f>
        <v/>
      </c>
      <c r="N436" s="45">
        <f>1+(INDEX(SeasonIdx,A436)-1)*SeasonAmp</f>
        <v/>
      </c>
      <c r="O436" s="45">
        <f>IFERROR(INDEX(PSPct,MATCH(E436&amp;"|"&amp;G436,PSKey,0)),0)</f>
        <v/>
      </c>
      <c r="P436" s="46">
        <f>INDEX(ChDoorVel,MATCH(E436,ChName,0))*CalibScalar*(1+VelocityUplift)</f>
        <v/>
      </c>
      <c r="Q436" s="46" t="n">
        <v>0</v>
      </c>
      <c r="R436" s="46">
        <f>P436*O436*M436*N436*H436</f>
        <v/>
      </c>
      <c r="S436" s="46">
        <f>R436*INDEX(FmtCansPerCase,MATCH(F436,FmtName,0))</f>
        <v/>
      </c>
      <c r="T436" s="46">
        <f>S436/INDEX(FmtCansPerPack,MATCH(F436,FmtName,0))</f>
        <v/>
      </c>
      <c r="U436" s="47">
        <f>INDEX(ChBaseCP,MATCH(E436,ChName,0))*(1+INDEX(ProvMod,MATCH(G436,ProvCode,0)))*(1+PriceIndex)</f>
        <v/>
      </c>
      <c r="V436" s="47">
        <f>R436*U436*INDEX(FmtBlendedPriceIdx,MATCH(F436,FmtName,0))</f>
        <v/>
      </c>
      <c r="W436" s="47">
        <f>T436*INDEX(ProvSRP,MATCH(G436,ProvCode,0))*(1+PriceIndex)</f>
        <v/>
      </c>
      <c r="X436" s="47">
        <f>IF(GrossBasis="Wholesale",V436,W436)</f>
        <v/>
      </c>
      <c r="Y436" s="47">
        <f>R436*INDEX(FmtBlendedCogs,MATCH(F436,FmtName,0))</f>
        <v/>
      </c>
      <c r="Z436" s="47">
        <f>X436-Y436</f>
        <v/>
      </c>
    </row>
    <row r="437">
      <c r="A437" t="n">
        <v>12</v>
      </c>
      <c r="B437" s="44">
        <f>FiscalStart+(A437-1)*7</f>
        <v/>
      </c>
      <c r="C437">
        <f>TEXT(B437,"mmm yyyy")</f>
        <v/>
      </c>
      <c r="D437">
        <f>"Q"&amp;(INT((A437-1)/13)+1)</f>
        <v/>
      </c>
      <c r="E437" t="inlineStr">
        <is>
          <t>Convenience</t>
        </is>
      </c>
      <c r="F437">
        <f>IFERROR(INDEX(ChFormat,MATCH(E437,ChName,0)),"")</f>
        <v/>
      </c>
      <c r="G437" t="inlineStr">
        <is>
          <t>PE</t>
        </is>
      </c>
      <c r="H437">
        <f>IF(A437&lt;=NWeeks,1,0)</f>
        <v/>
      </c>
      <c r="I437">
        <f>INDEX(ChLaunch,MATCH(E437,ChName,0))</f>
        <v/>
      </c>
      <c r="J437">
        <f>INDEX(ChWeeksFull,MATCH(E437,ChName,0))</f>
        <v/>
      </c>
      <c r="K437">
        <f>INDEX(ChRamp,MATCH(E437,ChName,0))</f>
        <v/>
      </c>
      <c r="L437" s="45">
        <f>MIN(1,MAX(0,(A437-I437+1)*RampSpeed/J437))</f>
        <v/>
      </c>
      <c r="M437" s="45">
        <f>IF(A437&lt;I437,0,IF(K437="S-curve",L437*L437*(3-2*L437),L437))</f>
        <v/>
      </c>
      <c r="N437" s="45">
        <f>1+(INDEX(SeasonIdx,A437)-1)*SeasonAmp</f>
        <v/>
      </c>
      <c r="O437" s="45">
        <f>IFERROR(INDEX(PSPct,MATCH(E437&amp;"|"&amp;G437,PSKey,0)),0)</f>
        <v/>
      </c>
      <c r="P437" s="46">
        <f>INDEX(ChDoorVel,MATCH(E437,ChName,0))*CalibScalar*(1+VelocityUplift)</f>
        <v/>
      </c>
      <c r="Q437" s="46" t="n">
        <v>0</v>
      </c>
      <c r="R437" s="46">
        <f>P437*O437*M437*N437*H437</f>
        <v/>
      </c>
      <c r="S437" s="46">
        <f>R437*INDEX(FmtCansPerCase,MATCH(F437,FmtName,0))</f>
        <v/>
      </c>
      <c r="T437" s="46">
        <f>S437/INDEX(FmtCansPerPack,MATCH(F437,FmtName,0))</f>
        <v/>
      </c>
      <c r="U437" s="47">
        <f>INDEX(ChBaseCP,MATCH(E437,ChName,0))*(1+INDEX(ProvMod,MATCH(G437,ProvCode,0)))*(1+PriceIndex)</f>
        <v/>
      </c>
      <c r="V437" s="47">
        <f>R437*U437*INDEX(FmtBlendedPriceIdx,MATCH(F437,FmtName,0))</f>
        <v/>
      </c>
      <c r="W437" s="47">
        <f>T437*INDEX(ProvSRP,MATCH(G437,ProvCode,0))*(1+PriceIndex)</f>
        <v/>
      </c>
      <c r="X437" s="47">
        <f>IF(GrossBasis="Wholesale",V437,W437)</f>
        <v/>
      </c>
      <c r="Y437" s="47">
        <f>R437*INDEX(FmtBlendedCogs,MATCH(F437,FmtName,0))</f>
        <v/>
      </c>
      <c r="Z437" s="47">
        <f>X437-Y437</f>
        <v/>
      </c>
    </row>
    <row r="438">
      <c r="A438" t="n">
        <v>13</v>
      </c>
      <c r="B438" s="44">
        <f>FiscalStart+(A438-1)*7</f>
        <v/>
      </c>
      <c r="C438">
        <f>TEXT(B438,"mmm yyyy")</f>
        <v/>
      </c>
      <c r="D438">
        <f>"Q"&amp;(INT((A438-1)/13)+1)</f>
        <v/>
      </c>
      <c r="E438" t="inlineStr">
        <is>
          <t>Convenience</t>
        </is>
      </c>
      <c r="F438">
        <f>IFERROR(INDEX(ChFormat,MATCH(E438,ChName,0)),"")</f>
        <v/>
      </c>
      <c r="G438" t="inlineStr">
        <is>
          <t>PE</t>
        </is>
      </c>
      <c r="H438">
        <f>IF(A438&lt;=NWeeks,1,0)</f>
        <v/>
      </c>
      <c r="I438">
        <f>INDEX(ChLaunch,MATCH(E438,ChName,0))</f>
        <v/>
      </c>
      <c r="J438">
        <f>INDEX(ChWeeksFull,MATCH(E438,ChName,0))</f>
        <v/>
      </c>
      <c r="K438">
        <f>INDEX(ChRamp,MATCH(E438,ChName,0))</f>
        <v/>
      </c>
      <c r="L438" s="45">
        <f>MIN(1,MAX(0,(A438-I438+1)*RampSpeed/J438))</f>
        <v/>
      </c>
      <c r="M438" s="45">
        <f>IF(A438&lt;I438,0,IF(K438="S-curve",L438*L438*(3-2*L438),L438))</f>
        <v/>
      </c>
      <c r="N438" s="45">
        <f>1+(INDEX(SeasonIdx,A438)-1)*SeasonAmp</f>
        <v/>
      </c>
      <c r="O438" s="45">
        <f>IFERROR(INDEX(PSPct,MATCH(E438&amp;"|"&amp;G438,PSKey,0)),0)</f>
        <v/>
      </c>
      <c r="P438" s="46">
        <f>INDEX(ChDoorVel,MATCH(E438,ChName,0))*CalibScalar*(1+VelocityUplift)</f>
        <v/>
      </c>
      <c r="Q438" s="46" t="n">
        <v>0</v>
      </c>
      <c r="R438" s="46">
        <f>P438*O438*M438*N438*H438</f>
        <v/>
      </c>
      <c r="S438" s="46">
        <f>R438*INDEX(FmtCansPerCase,MATCH(F438,FmtName,0))</f>
        <v/>
      </c>
      <c r="T438" s="46">
        <f>S438/INDEX(FmtCansPerPack,MATCH(F438,FmtName,0))</f>
        <v/>
      </c>
      <c r="U438" s="47">
        <f>INDEX(ChBaseCP,MATCH(E438,ChName,0))*(1+INDEX(ProvMod,MATCH(G438,ProvCode,0)))*(1+PriceIndex)</f>
        <v/>
      </c>
      <c r="V438" s="47">
        <f>R438*U438*INDEX(FmtBlendedPriceIdx,MATCH(F438,FmtName,0))</f>
        <v/>
      </c>
      <c r="W438" s="47">
        <f>T438*INDEX(ProvSRP,MATCH(G438,ProvCode,0))*(1+PriceIndex)</f>
        <v/>
      </c>
      <c r="X438" s="47">
        <f>IF(GrossBasis="Wholesale",V438,W438)</f>
        <v/>
      </c>
      <c r="Y438" s="47">
        <f>R438*INDEX(FmtBlendedCogs,MATCH(F438,FmtName,0))</f>
        <v/>
      </c>
      <c r="Z438" s="47">
        <f>X438-Y438</f>
        <v/>
      </c>
    </row>
    <row r="439">
      <c r="A439" t="n">
        <v>14</v>
      </c>
      <c r="B439" s="44">
        <f>FiscalStart+(A439-1)*7</f>
        <v/>
      </c>
      <c r="C439">
        <f>TEXT(B439,"mmm yyyy")</f>
        <v/>
      </c>
      <c r="D439">
        <f>"Q"&amp;(INT((A439-1)/13)+1)</f>
        <v/>
      </c>
      <c r="E439" t="inlineStr">
        <is>
          <t>Convenience</t>
        </is>
      </c>
      <c r="F439">
        <f>IFERROR(INDEX(ChFormat,MATCH(E439,ChName,0)),"")</f>
        <v/>
      </c>
      <c r="G439" t="inlineStr">
        <is>
          <t>PE</t>
        </is>
      </c>
      <c r="H439">
        <f>IF(A439&lt;=NWeeks,1,0)</f>
        <v/>
      </c>
      <c r="I439">
        <f>INDEX(ChLaunch,MATCH(E439,ChName,0))</f>
        <v/>
      </c>
      <c r="J439">
        <f>INDEX(ChWeeksFull,MATCH(E439,ChName,0))</f>
        <v/>
      </c>
      <c r="K439">
        <f>INDEX(ChRamp,MATCH(E439,ChName,0))</f>
        <v/>
      </c>
      <c r="L439" s="45">
        <f>MIN(1,MAX(0,(A439-I439+1)*RampSpeed/J439))</f>
        <v/>
      </c>
      <c r="M439" s="45">
        <f>IF(A439&lt;I439,0,IF(K439="S-curve",L439*L439*(3-2*L439),L439))</f>
        <v/>
      </c>
      <c r="N439" s="45">
        <f>1+(INDEX(SeasonIdx,A439)-1)*SeasonAmp</f>
        <v/>
      </c>
      <c r="O439" s="45">
        <f>IFERROR(INDEX(PSPct,MATCH(E439&amp;"|"&amp;G439,PSKey,0)),0)</f>
        <v/>
      </c>
      <c r="P439" s="46">
        <f>INDEX(ChDoorVel,MATCH(E439,ChName,0))*CalibScalar*(1+VelocityUplift)</f>
        <v/>
      </c>
      <c r="Q439" s="46" t="n">
        <v>0</v>
      </c>
      <c r="R439" s="46">
        <f>P439*O439*M439*N439*H439</f>
        <v/>
      </c>
      <c r="S439" s="46">
        <f>R439*INDEX(FmtCansPerCase,MATCH(F439,FmtName,0))</f>
        <v/>
      </c>
      <c r="T439" s="46">
        <f>S439/INDEX(FmtCansPerPack,MATCH(F439,FmtName,0))</f>
        <v/>
      </c>
      <c r="U439" s="47">
        <f>INDEX(ChBaseCP,MATCH(E439,ChName,0))*(1+INDEX(ProvMod,MATCH(G439,ProvCode,0)))*(1+PriceIndex)</f>
        <v/>
      </c>
      <c r="V439" s="47">
        <f>R439*U439*INDEX(FmtBlendedPriceIdx,MATCH(F439,FmtName,0))</f>
        <v/>
      </c>
      <c r="W439" s="47">
        <f>T439*INDEX(ProvSRP,MATCH(G439,ProvCode,0))*(1+PriceIndex)</f>
        <v/>
      </c>
      <c r="X439" s="47">
        <f>IF(GrossBasis="Wholesale",V439,W439)</f>
        <v/>
      </c>
      <c r="Y439" s="47">
        <f>R439*INDEX(FmtBlendedCogs,MATCH(F439,FmtName,0))</f>
        <v/>
      </c>
      <c r="Z439" s="47">
        <f>X439-Y439</f>
        <v/>
      </c>
    </row>
    <row r="440">
      <c r="A440" t="n">
        <v>15</v>
      </c>
      <c r="B440" s="44">
        <f>FiscalStart+(A440-1)*7</f>
        <v/>
      </c>
      <c r="C440">
        <f>TEXT(B440,"mmm yyyy")</f>
        <v/>
      </c>
      <c r="D440">
        <f>"Q"&amp;(INT((A440-1)/13)+1)</f>
        <v/>
      </c>
      <c r="E440" t="inlineStr">
        <is>
          <t>Convenience</t>
        </is>
      </c>
      <c r="F440">
        <f>IFERROR(INDEX(ChFormat,MATCH(E440,ChName,0)),"")</f>
        <v/>
      </c>
      <c r="G440" t="inlineStr">
        <is>
          <t>PE</t>
        </is>
      </c>
      <c r="H440">
        <f>IF(A440&lt;=NWeeks,1,0)</f>
        <v/>
      </c>
      <c r="I440">
        <f>INDEX(ChLaunch,MATCH(E440,ChName,0))</f>
        <v/>
      </c>
      <c r="J440">
        <f>INDEX(ChWeeksFull,MATCH(E440,ChName,0))</f>
        <v/>
      </c>
      <c r="K440">
        <f>INDEX(ChRamp,MATCH(E440,ChName,0))</f>
        <v/>
      </c>
      <c r="L440" s="45">
        <f>MIN(1,MAX(0,(A440-I440+1)*RampSpeed/J440))</f>
        <v/>
      </c>
      <c r="M440" s="45">
        <f>IF(A440&lt;I440,0,IF(K440="S-curve",L440*L440*(3-2*L440),L440))</f>
        <v/>
      </c>
      <c r="N440" s="45">
        <f>1+(INDEX(SeasonIdx,A440)-1)*SeasonAmp</f>
        <v/>
      </c>
      <c r="O440" s="45">
        <f>IFERROR(INDEX(PSPct,MATCH(E440&amp;"|"&amp;G440,PSKey,0)),0)</f>
        <v/>
      </c>
      <c r="P440" s="46">
        <f>INDEX(ChDoorVel,MATCH(E440,ChName,0))*CalibScalar*(1+VelocityUplift)</f>
        <v/>
      </c>
      <c r="Q440" s="46" t="n">
        <v>0</v>
      </c>
      <c r="R440" s="46">
        <f>P440*O440*M440*N440*H440</f>
        <v/>
      </c>
      <c r="S440" s="46">
        <f>R440*INDEX(FmtCansPerCase,MATCH(F440,FmtName,0))</f>
        <v/>
      </c>
      <c r="T440" s="46">
        <f>S440/INDEX(FmtCansPerPack,MATCH(F440,FmtName,0))</f>
        <v/>
      </c>
      <c r="U440" s="47">
        <f>INDEX(ChBaseCP,MATCH(E440,ChName,0))*(1+INDEX(ProvMod,MATCH(G440,ProvCode,0)))*(1+PriceIndex)</f>
        <v/>
      </c>
      <c r="V440" s="47">
        <f>R440*U440*INDEX(FmtBlendedPriceIdx,MATCH(F440,FmtName,0))</f>
        <v/>
      </c>
      <c r="W440" s="47">
        <f>T440*INDEX(ProvSRP,MATCH(G440,ProvCode,0))*(1+PriceIndex)</f>
        <v/>
      </c>
      <c r="X440" s="47">
        <f>IF(GrossBasis="Wholesale",V440,W440)</f>
        <v/>
      </c>
      <c r="Y440" s="47">
        <f>R440*INDEX(FmtBlendedCogs,MATCH(F440,FmtName,0))</f>
        <v/>
      </c>
      <c r="Z440" s="47">
        <f>X440-Y440</f>
        <v/>
      </c>
    </row>
    <row r="441">
      <c r="A441" t="n">
        <v>16</v>
      </c>
      <c r="B441" s="44">
        <f>FiscalStart+(A441-1)*7</f>
        <v/>
      </c>
      <c r="C441">
        <f>TEXT(B441,"mmm yyyy")</f>
        <v/>
      </c>
      <c r="D441">
        <f>"Q"&amp;(INT((A441-1)/13)+1)</f>
        <v/>
      </c>
      <c r="E441" t="inlineStr">
        <is>
          <t>Convenience</t>
        </is>
      </c>
      <c r="F441">
        <f>IFERROR(INDEX(ChFormat,MATCH(E441,ChName,0)),"")</f>
        <v/>
      </c>
      <c r="G441" t="inlineStr">
        <is>
          <t>PE</t>
        </is>
      </c>
      <c r="H441">
        <f>IF(A441&lt;=NWeeks,1,0)</f>
        <v/>
      </c>
      <c r="I441">
        <f>INDEX(ChLaunch,MATCH(E441,ChName,0))</f>
        <v/>
      </c>
      <c r="J441">
        <f>INDEX(ChWeeksFull,MATCH(E441,ChName,0))</f>
        <v/>
      </c>
      <c r="K441">
        <f>INDEX(ChRamp,MATCH(E441,ChName,0))</f>
        <v/>
      </c>
      <c r="L441" s="45">
        <f>MIN(1,MAX(0,(A441-I441+1)*RampSpeed/J441))</f>
        <v/>
      </c>
      <c r="M441" s="45">
        <f>IF(A441&lt;I441,0,IF(K441="S-curve",L441*L441*(3-2*L441),L441))</f>
        <v/>
      </c>
      <c r="N441" s="45">
        <f>1+(INDEX(SeasonIdx,A441)-1)*SeasonAmp</f>
        <v/>
      </c>
      <c r="O441" s="45">
        <f>IFERROR(INDEX(PSPct,MATCH(E441&amp;"|"&amp;G441,PSKey,0)),0)</f>
        <v/>
      </c>
      <c r="P441" s="46">
        <f>INDEX(ChDoorVel,MATCH(E441,ChName,0))*CalibScalar*(1+VelocityUplift)</f>
        <v/>
      </c>
      <c r="Q441" s="46" t="n">
        <v>0</v>
      </c>
      <c r="R441" s="46">
        <f>P441*O441*M441*N441*H441</f>
        <v/>
      </c>
      <c r="S441" s="46">
        <f>R441*INDEX(FmtCansPerCase,MATCH(F441,FmtName,0))</f>
        <v/>
      </c>
      <c r="T441" s="46">
        <f>S441/INDEX(FmtCansPerPack,MATCH(F441,FmtName,0))</f>
        <v/>
      </c>
      <c r="U441" s="47">
        <f>INDEX(ChBaseCP,MATCH(E441,ChName,0))*(1+INDEX(ProvMod,MATCH(G441,ProvCode,0)))*(1+PriceIndex)</f>
        <v/>
      </c>
      <c r="V441" s="47">
        <f>R441*U441*INDEX(FmtBlendedPriceIdx,MATCH(F441,FmtName,0))</f>
        <v/>
      </c>
      <c r="W441" s="47">
        <f>T441*INDEX(ProvSRP,MATCH(G441,ProvCode,0))*(1+PriceIndex)</f>
        <v/>
      </c>
      <c r="X441" s="47">
        <f>IF(GrossBasis="Wholesale",V441,W441)</f>
        <v/>
      </c>
      <c r="Y441" s="47">
        <f>R441*INDEX(FmtBlendedCogs,MATCH(F441,FmtName,0))</f>
        <v/>
      </c>
      <c r="Z441" s="47">
        <f>X441-Y441</f>
        <v/>
      </c>
    </row>
    <row r="442">
      <c r="A442" t="n">
        <v>17</v>
      </c>
      <c r="B442" s="44">
        <f>FiscalStart+(A442-1)*7</f>
        <v/>
      </c>
      <c r="C442">
        <f>TEXT(B442,"mmm yyyy")</f>
        <v/>
      </c>
      <c r="D442">
        <f>"Q"&amp;(INT((A442-1)/13)+1)</f>
        <v/>
      </c>
      <c r="E442" t="inlineStr">
        <is>
          <t>Convenience</t>
        </is>
      </c>
      <c r="F442">
        <f>IFERROR(INDEX(ChFormat,MATCH(E442,ChName,0)),"")</f>
        <v/>
      </c>
      <c r="G442" t="inlineStr">
        <is>
          <t>PE</t>
        </is>
      </c>
      <c r="H442">
        <f>IF(A442&lt;=NWeeks,1,0)</f>
        <v/>
      </c>
      <c r="I442">
        <f>INDEX(ChLaunch,MATCH(E442,ChName,0))</f>
        <v/>
      </c>
      <c r="J442">
        <f>INDEX(ChWeeksFull,MATCH(E442,ChName,0))</f>
        <v/>
      </c>
      <c r="K442">
        <f>INDEX(ChRamp,MATCH(E442,ChName,0))</f>
        <v/>
      </c>
      <c r="L442" s="45">
        <f>MIN(1,MAX(0,(A442-I442+1)*RampSpeed/J442))</f>
        <v/>
      </c>
      <c r="M442" s="45">
        <f>IF(A442&lt;I442,0,IF(K442="S-curve",L442*L442*(3-2*L442),L442))</f>
        <v/>
      </c>
      <c r="N442" s="45">
        <f>1+(INDEX(SeasonIdx,A442)-1)*SeasonAmp</f>
        <v/>
      </c>
      <c r="O442" s="45">
        <f>IFERROR(INDEX(PSPct,MATCH(E442&amp;"|"&amp;G442,PSKey,0)),0)</f>
        <v/>
      </c>
      <c r="P442" s="46">
        <f>INDEX(ChDoorVel,MATCH(E442,ChName,0))*CalibScalar*(1+VelocityUplift)</f>
        <v/>
      </c>
      <c r="Q442" s="46" t="n">
        <v>0</v>
      </c>
      <c r="R442" s="46">
        <f>P442*O442*M442*N442*H442</f>
        <v/>
      </c>
      <c r="S442" s="46">
        <f>R442*INDEX(FmtCansPerCase,MATCH(F442,FmtName,0))</f>
        <v/>
      </c>
      <c r="T442" s="46">
        <f>S442/INDEX(FmtCansPerPack,MATCH(F442,FmtName,0))</f>
        <v/>
      </c>
      <c r="U442" s="47">
        <f>INDEX(ChBaseCP,MATCH(E442,ChName,0))*(1+INDEX(ProvMod,MATCH(G442,ProvCode,0)))*(1+PriceIndex)</f>
        <v/>
      </c>
      <c r="V442" s="47">
        <f>R442*U442*INDEX(FmtBlendedPriceIdx,MATCH(F442,FmtName,0))</f>
        <v/>
      </c>
      <c r="W442" s="47">
        <f>T442*INDEX(ProvSRP,MATCH(G442,ProvCode,0))*(1+PriceIndex)</f>
        <v/>
      </c>
      <c r="X442" s="47">
        <f>IF(GrossBasis="Wholesale",V442,W442)</f>
        <v/>
      </c>
      <c r="Y442" s="47">
        <f>R442*INDEX(FmtBlendedCogs,MATCH(F442,FmtName,0))</f>
        <v/>
      </c>
      <c r="Z442" s="47">
        <f>X442-Y442</f>
        <v/>
      </c>
    </row>
    <row r="443">
      <c r="A443" t="n">
        <v>18</v>
      </c>
      <c r="B443" s="44">
        <f>FiscalStart+(A443-1)*7</f>
        <v/>
      </c>
      <c r="C443">
        <f>TEXT(B443,"mmm yyyy")</f>
        <v/>
      </c>
      <c r="D443">
        <f>"Q"&amp;(INT((A443-1)/13)+1)</f>
        <v/>
      </c>
      <c r="E443" t="inlineStr">
        <is>
          <t>Convenience</t>
        </is>
      </c>
      <c r="F443">
        <f>IFERROR(INDEX(ChFormat,MATCH(E443,ChName,0)),"")</f>
        <v/>
      </c>
      <c r="G443" t="inlineStr">
        <is>
          <t>PE</t>
        </is>
      </c>
      <c r="H443">
        <f>IF(A443&lt;=NWeeks,1,0)</f>
        <v/>
      </c>
      <c r="I443">
        <f>INDEX(ChLaunch,MATCH(E443,ChName,0))</f>
        <v/>
      </c>
      <c r="J443">
        <f>INDEX(ChWeeksFull,MATCH(E443,ChName,0))</f>
        <v/>
      </c>
      <c r="K443">
        <f>INDEX(ChRamp,MATCH(E443,ChName,0))</f>
        <v/>
      </c>
      <c r="L443" s="45">
        <f>MIN(1,MAX(0,(A443-I443+1)*RampSpeed/J443))</f>
        <v/>
      </c>
      <c r="M443" s="45">
        <f>IF(A443&lt;I443,0,IF(K443="S-curve",L443*L443*(3-2*L443),L443))</f>
        <v/>
      </c>
      <c r="N443" s="45">
        <f>1+(INDEX(SeasonIdx,A443)-1)*SeasonAmp</f>
        <v/>
      </c>
      <c r="O443" s="45">
        <f>IFERROR(INDEX(PSPct,MATCH(E443&amp;"|"&amp;G443,PSKey,0)),0)</f>
        <v/>
      </c>
      <c r="P443" s="46">
        <f>INDEX(ChDoorVel,MATCH(E443,ChName,0))*CalibScalar*(1+VelocityUplift)</f>
        <v/>
      </c>
      <c r="Q443" s="46" t="n">
        <v>0</v>
      </c>
      <c r="R443" s="46">
        <f>P443*O443*M443*N443*H443</f>
        <v/>
      </c>
      <c r="S443" s="46">
        <f>R443*INDEX(FmtCansPerCase,MATCH(F443,FmtName,0))</f>
        <v/>
      </c>
      <c r="T443" s="46">
        <f>S443/INDEX(FmtCansPerPack,MATCH(F443,FmtName,0))</f>
        <v/>
      </c>
      <c r="U443" s="47">
        <f>INDEX(ChBaseCP,MATCH(E443,ChName,0))*(1+INDEX(ProvMod,MATCH(G443,ProvCode,0)))*(1+PriceIndex)</f>
        <v/>
      </c>
      <c r="V443" s="47">
        <f>R443*U443*INDEX(FmtBlendedPriceIdx,MATCH(F443,FmtName,0))</f>
        <v/>
      </c>
      <c r="W443" s="47">
        <f>T443*INDEX(ProvSRP,MATCH(G443,ProvCode,0))*(1+PriceIndex)</f>
        <v/>
      </c>
      <c r="X443" s="47">
        <f>IF(GrossBasis="Wholesale",V443,W443)</f>
        <v/>
      </c>
      <c r="Y443" s="47">
        <f>R443*INDEX(FmtBlendedCogs,MATCH(F443,FmtName,0))</f>
        <v/>
      </c>
      <c r="Z443" s="47">
        <f>X443-Y443</f>
        <v/>
      </c>
    </row>
    <row r="444">
      <c r="A444" t="n">
        <v>19</v>
      </c>
      <c r="B444" s="44">
        <f>FiscalStart+(A444-1)*7</f>
        <v/>
      </c>
      <c r="C444">
        <f>TEXT(B444,"mmm yyyy")</f>
        <v/>
      </c>
      <c r="D444">
        <f>"Q"&amp;(INT((A444-1)/13)+1)</f>
        <v/>
      </c>
      <c r="E444" t="inlineStr">
        <is>
          <t>Convenience</t>
        </is>
      </c>
      <c r="F444">
        <f>IFERROR(INDEX(ChFormat,MATCH(E444,ChName,0)),"")</f>
        <v/>
      </c>
      <c r="G444" t="inlineStr">
        <is>
          <t>PE</t>
        </is>
      </c>
      <c r="H444">
        <f>IF(A444&lt;=NWeeks,1,0)</f>
        <v/>
      </c>
      <c r="I444">
        <f>INDEX(ChLaunch,MATCH(E444,ChName,0))</f>
        <v/>
      </c>
      <c r="J444">
        <f>INDEX(ChWeeksFull,MATCH(E444,ChName,0))</f>
        <v/>
      </c>
      <c r="K444">
        <f>INDEX(ChRamp,MATCH(E444,ChName,0))</f>
        <v/>
      </c>
      <c r="L444" s="45">
        <f>MIN(1,MAX(0,(A444-I444+1)*RampSpeed/J444))</f>
        <v/>
      </c>
      <c r="M444" s="45">
        <f>IF(A444&lt;I444,0,IF(K444="S-curve",L444*L444*(3-2*L444),L444))</f>
        <v/>
      </c>
      <c r="N444" s="45">
        <f>1+(INDEX(SeasonIdx,A444)-1)*SeasonAmp</f>
        <v/>
      </c>
      <c r="O444" s="45">
        <f>IFERROR(INDEX(PSPct,MATCH(E444&amp;"|"&amp;G444,PSKey,0)),0)</f>
        <v/>
      </c>
      <c r="P444" s="46">
        <f>INDEX(ChDoorVel,MATCH(E444,ChName,0))*CalibScalar*(1+VelocityUplift)</f>
        <v/>
      </c>
      <c r="Q444" s="46" t="n">
        <v>0</v>
      </c>
      <c r="R444" s="46">
        <f>P444*O444*M444*N444*H444</f>
        <v/>
      </c>
      <c r="S444" s="46">
        <f>R444*INDEX(FmtCansPerCase,MATCH(F444,FmtName,0))</f>
        <v/>
      </c>
      <c r="T444" s="46">
        <f>S444/INDEX(FmtCansPerPack,MATCH(F444,FmtName,0))</f>
        <v/>
      </c>
      <c r="U444" s="47">
        <f>INDEX(ChBaseCP,MATCH(E444,ChName,0))*(1+INDEX(ProvMod,MATCH(G444,ProvCode,0)))*(1+PriceIndex)</f>
        <v/>
      </c>
      <c r="V444" s="47">
        <f>R444*U444*INDEX(FmtBlendedPriceIdx,MATCH(F444,FmtName,0))</f>
        <v/>
      </c>
      <c r="W444" s="47">
        <f>T444*INDEX(ProvSRP,MATCH(G444,ProvCode,0))*(1+PriceIndex)</f>
        <v/>
      </c>
      <c r="X444" s="47">
        <f>IF(GrossBasis="Wholesale",V444,W444)</f>
        <v/>
      </c>
      <c r="Y444" s="47">
        <f>R444*INDEX(FmtBlendedCogs,MATCH(F444,FmtName,0))</f>
        <v/>
      </c>
      <c r="Z444" s="47">
        <f>X444-Y444</f>
        <v/>
      </c>
    </row>
    <row r="445">
      <c r="A445" t="n">
        <v>20</v>
      </c>
      <c r="B445" s="44">
        <f>FiscalStart+(A445-1)*7</f>
        <v/>
      </c>
      <c r="C445">
        <f>TEXT(B445,"mmm yyyy")</f>
        <v/>
      </c>
      <c r="D445">
        <f>"Q"&amp;(INT((A445-1)/13)+1)</f>
        <v/>
      </c>
      <c r="E445" t="inlineStr">
        <is>
          <t>Convenience</t>
        </is>
      </c>
      <c r="F445">
        <f>IFERROR(INDEX(ChFormat,MATCH(E445,ChName,0)),"")</f>
        <v/>
      </c>
      <c r="G445" t="inlineStr">
        <is>
          <t>PE</t>
        </is>
      </c>
      <c r="H445">
        <f>IF(A445&lt;=NWeeks,1,0)</f>
        <v/>
      </c>
      <c r="I445">
        <f>INDEX(ChLaunch,MATCH(E445,ChName,0))</f>
        <v/>
      </c>
      <c r="J445">
        <f>INDEX(ChWeeksFull,MATCH(E445,ChName,0))</f>
        <v/>
      </c>
      <c r="K445">
        <f>INDEX(ChRamp,MATCH(E445,ChName,0))</f>
        <v/>
      </c>
      <c r="L445" s="45">
        <f>MIN(1,MAX(0,(A445-I445+1)*RampSpeed/J445))</f>
        <v/>
      </c>
      <c r="M445" s="45">
        <f>IF(A445&lt;I445,0,IF(K445="S-curve",L445*L445*(3-2*L445),L445))</f>
        <v/>
      </c>
      <c r="N445" s="45">
        <f>1+(INDEX(SeasonIdx,A445)-1)*SeasonAmp</f>
        <v/>
      </c>
      <c r="O445" s="45">
        <f>IFERROR(INDEX(PSPct,MATCH(E445&amp;"|"&amp;G445,PSKey,0)),0)</f>
        <v/>
      </c>
      <c r="P445" s="46">
        <f>INDEX(ChDoorVel,MATCH(E445,ChName,0))*CalibScalar*(1+VelocityUplift)</f>
        <v/>
      </c>
      <c r="Q445" s="46" t="n">
        <v>0</v>
      </c>
      <c r="R445" s="46">
        <f>P445*O445*M445*N445*H445</f>
        <v/>
      </c>
      <c r="S445" s="46">
        <f>R445*INDEX(FmtCansPerCase,MATCH(F445,FmtName,0))</f>
        <v/>
      </c>
      <c r="T445" s="46">
        <f>S445/INDEX(FmtCansPerPack,MATCH(F445,FmtName,0))</f>
        <v/>
      </c>
      <c r="U445" s="47">
        <f>INDEX(ChBaseCP,MATCH(E445,ChName,0))*(1+INDEX(ProvMod,MATCH(G445,ProvCode,0)))*(1+PriceIndex)</f>
        <v/>
      </c>
      <c r="V445" s="47">
        <f>R445*U445*INDEX(FmtBlendedPriceIdx,MATCH(F445,FmtName,0))</f>
        <v/>
      </c>
      <c r="W445" s="47">
        <f>T445*INDEX(ProvSRP,MATCH(G445,ProvCode,0))*(1+PriceIndex)</f>
        <v/>
      </c>
      <c r="X445" s="47">
        <f>IF(GrossBasis="Wholesale",V445,W445)</f>
        <v/>
      </c>
      <c r="Y445" s="47">
        <f>R445*INDEX(FmtBlendedCogs,MATCH(F445,FmtName,0))</f>
        <v/>
      </c>
      <c r="Z445" s="47">
        <f>X445-Y445</f>
        <v/>
      </c>
    </row>
    <row r="446">
      <c r="A446" t="n">
        <v>21</v>
      </c>
      <c r="B446" s="44">
        <f>FiscalStart+(A446-1)*7</f>
        <v/>
      </c>
      <c r="C446">
        <f>TEXT(B446,"mmm yyyy")</f>
        <v/>
      </c>
      <c r="D446">
        <f>"Q"&amp;(INT((A446-1)/13)+1)</f>
        <v/>
      </c>
      <c r="E446" t="inlineStr">
        <is>
          <t>Convenience</t>
        </is>
      </c>
      <c r="F446">
        <f>IFERROR(INDEX(ChFormat,MATCH(E446,ChName,0)),"")</f>
        <v/>
      </c>
      <c r="G446" t="inlineStr">
        <is>
          <t>PE</t>
        </is>
      </c>
      <c r="H446">
        <f>IF(A446&lt;=NWeeks,1,0)</f>
        <v/>
      </c>
      <c r="I446">
        <f>INDEX(ChLaunch,MATCH(E446,ChName,0))</f>
        <v/>
      </c>
      <c r="J446">
        <f>INDEX(ChWeeksFull,MATCH(E446,ChName,0))</f>
        <v/>
      </c>
      <c r="K446">
        <f>INDEX(ChRamp,MATCH(E446,ChName,0))</f>
        <v/>
      </c>
      <c r="L446" s="45">
        <f>MIN(1,MAX(0,(A446-I446+1)*RampSpeed/J446))</f>
        <v/>
      </c>
      <c r="M446" s="45">
        <f>IF(A446&lt;I446,0,IF(K446="S-curve",L446*L446*(3-2*L446),L446))</f>
        <v/>
      </c>
      <c r="N446" s="45">
        <f>1+(INDEX(SeasonIdx,A446)-1)*SeasonAmp</f>
        <v/>
      </c>
      <c r="O446" s="45">
        <f>IFERROR(INDEX(PSPct,MATCH(E446&amp;"|"&amp;G446,PSKey,0)),0)</f>
        <v/>
      </c>
      <c r="P446" s="46">
        <f>INDEX(ChDoorVel,MATCH(E446,ChName,0))*CalibScalar*(1+VelocityUplift)</f>
        <v/>
      </c>
      <c r="Q446" s="46" t="n">
        <v>0</v>
      </c>
      <c r="R446" s="46">
        <f>P446*O446*M446*N446*H446</f>
        <v/>
      </c>
      <c r="S446" s="46">
        <f>R446*INDEX(FmtCansPerCase,MATCH(F446,FmtName,0))</f>
        <v/>
      </c>
      <c r="T446" s="46">
        <f>S446/INDEX(FmtCansPerPack,MATCH(F446,FmtName,0))</f>
        <v/>
      </c>
      <c r="U446" s="47">
        <f>INDEX(ChBaseCP,MATCH(E446,ChName,0))*(1+INDEX(ProvMod,MATCH(G446,ProvCode,0)))*(1+PriceIndex)</f>
        <v/>
      </c>
      <c r="V446" s="47">
        <f>R446*U446*INDEX(FmtBlendedPriceIdx,MATCH(F446,FmtName,0))</f>
        <v/>
      </c>
      <c r="W446" s="47">
        <f>T446*INDEX(ProvSRP,MATCH(G446,ProvCode,0))*(1+PriceIndex)</f>
        <v/>
      </c>
      <c r="X446" s="47">
        <f>IF(GrossBasis="Wholesale",V446,W446)</f>
        <v/>
      </c>
      <c r="Y446" s="47">
        <f>R446*INDEX(FmtBlendedCogs,MATCH(F446,FmtName,0))</f>
        <v/>
      </c>
      <c r="Z446" s="47">
        <f>X446-Y446</f>
        <v/>
      </c>
    </row>
    <row r="447">
      <c r="A447" t="n">
        <v>22</v>
      </c>
      <c r="B447" s="44">
        <f>FiscalStart+(A447-1)*7</f>
        <v/>
      </c>
      <c r="C447">
        <f>TEXT(B447,"mmm yyyy")</f>
        <v/>
      </c>
      <c r="D447">
        <f>"Q"&amp;(INT((A447-1)/13)+1)</f>
        <v/>
      </c>
      <c r="E447" t="inlineStr">
        <is>
          <t>Convenience</t>
        </is>
      </c>
      <c r="F447">
        <f>IFERROR(INDEX(ChFormat,MATCH(E447,ChName,0)),"")</f>
        <v/>
      </c>
      <c r="G447" t="inlineStr">
        <is>
          <t>PE</t>
        </is>
      </c>
      <c r="H447">
        <f>IF(A447&lt;=NWeeks,1,0)</f>
        <v/>
      </c>
      <c r="I447">
        <f>INDEX(ChLaunch,MATCH(E447,ChName,0))</f>
        <v/>
      </c>
      <c r="J447">
        <f>INDEX(ChWeeksFull,MATCH(E447,ChName,0))</f>
        <v/>
      </c>
      <c r="K447">
        <f>INDEX(ChRamp,MATCH(E447,ChName,0))</f>
        <v/>
      </c>
      <c r="L447" s="45">
        <f>MIN(1,MAX(0,(A447-I447+1)*RampSpeed/J447))</f>
        <v/>
      </c>
      <c r="M447" s="45">
        <f>IF(A447&lt;I447,0,IF(K447="S-curve",L447*L447*(3-2*L447),L447))</f>
        <v/>
      </c>
      <c r="N447" s="45">
        <f>1+(INDEX(SeasonIdx,A447)-1)*SeasonAmp</f>
        <v/>
      </c>
      <c r="O447" s="45">
        <f>IFERROR(INDEX(PSPct,MATCH(E447&amp;"|"&amp;G447,PSKey,0)),0)</f>
        <v/>
      </c>
      <c r="P447" s="46">
        <f>INDEX(ChDoorVel,MATCH(E447,ChName,0))*CalibScalar*(1+VelocityUplift)</f>
        <v/>
      </c>
      <c r="Q447" s="46" t="n">
        <v>0</v>
      </c>
      <c r="R447" s="46">
        <f>P447*O447*M447*N447*H447</f>
        <v/>
      </c>
      <c r="S447" s="46">
        <f>R447*INDEX(FmtCansPerCase,MATCH(F447,FmtName,0))</f>
        <v/>
      </c>
      <c r="T447" s="46">
        <f>S447/INDEX(FmtCansPerPack,MATCH(F447,FmtName,0))</f>
        <v/>
      </c>
      <c r="U447" s="47">
        <f>INDEX(ChBaseCP,MATCH(E447,ChName,0))*(1+INDEX(ProvMod,MATCH(G447,ProvCode,0)))*(1+PriceIndex)</f>
        <v/>
      </c>
      <c r="V447" s="47">
        <f>R447*U447*INDEX(FmtBlendedPriceIdx,MATCH(F447,FmtName,0))</f>
        <v/>
      </c>
      <c r="W447" s="47">
        <f>T447*INDEX(ProvSRP,MATCH(G447,ProvCode,0))*(1+PriceIndex)</f>
        <v/>
      </c>
      <c r="X447" s="47">
        <f>IF(GrossBasis="Wholesale",V447,W447)</f>
        <v/>
      </c>
      <c r="Y447" s="47">
        <f>R447*INDEX(FmtBlendedCogs,MATCH(F447,FmtName,0))</f>
        <v/>
      </c>
      <c r="Z447" s="47">
        <f>X447-Y447</f>
        <v/>
      </c>
    </row>
    <row r="448">
      <c r="A448" t="n">
        <v>23</v>
      </c>
      <c r="B448" s="44">
        <f>FiscalStart+(A448-1)*7</f>
        <v/>
      </c>
      <c r="C448">
        <f>TEXT(B448,"mmm yyyy")</f>
        <v/>
      </c>
      <c r="D448">
        <f>"Q"&amp;(INT((A448-1)/13)+1)</f>
        <v/>
      </c>
      <c r="E448" t="inlineStr">
        <is>
          <t>Convenience</t>
        </is>
      </c>
      <c r="F448">
        <f>IFERROR(INDEX(ChFormat,MATCH(E448,ChName,0)),"")</f>
        <v/>
      </c>
      <c r="G448" t="inlineStr">
        <is>
          <t>PE</t>
        </is>
      </c>
      <c r="H448">
        <f>IF(A448&lt;=NWeeks,1,0)</f>
        <v/>
      </c>
      <c r="I448">
        <f>INDEX(ChLaunch,MATCH(E448,ChName,0))</f>
        <v/>
      </c>
      <c r="J448">
        <f>INDEX(ChWeeksFull,MATCH(E448,ChName,0))</f>
        <v/>
      </c>
      <c r="K448">
        <f>INDEX(ChRamp,MATCH(E448,ChName,0))</f>
        <v/>
      </c>
      <c r="L448" s="45">
        <f>MIN(1,MAX(0,(A448-I448+1)*RampSpeed/J448))</f>
        <v/>
      </c>
      <c r="M448" s="45">
        <f>IF(A448&lt;I448,0,IF(K448="S-curve",L448*L448*(3-2*L448),L448))</f>
        <v/>
      </c>
      <c r="N448" s="45">
        <f>1+(INDEX(SeasonIdx,A448)-1)*SeasonAmp</f>
        <v/>
      </c>
      <c r="O448" s="45">
        <f>IFERROR(INDEX(PSPct,MATCH(E448&amp;"|"&amp;G448,PSKey,0)),0)</f>
        <v/>
      </c>
      <c r="P448" s="46">
        <f>INDEX(ChDoorVel,MATCH(E448,ChName,0))*CalibScalar*(1+VelocityUplift)</f>
        <v/>
      </c>
      <c r="Q448" s="46" t="n">
        <v>0</v>
      </c>
      <c r="R448" s="46">
        <f>P448*O448*M448*N448*H448</f>
        <v/>
      </c>
      <c r="S448" s="46">
        <f>R448*INDEX(FmtCansPerCase,MATCH(F448,FmtName,0))</f>
        <v/>
      </c>
      <c r="T448" s="46">
        <f>S448/INDEX(FmtCansPerPack,MATCH(F448,FmtName,0))</f>
        <v/>
      </c>
      <c r="U448" s="47">
        <f>INDEX(ChBaseCP,MATCH(E448,ChName,0))*(1+INDEX(ProvMod,MATCH(G448,ProvCode,0)))*(1+PriceIndex)</f>
        <v/>
      </c>
      <c r="V448" s="47">
        <f>R448*U448*INDEX(FmtBlendedPriceIdx,MATCH(F448,FmtName,0))</f>
        <v/>
      </c>
      <c r="W448" s="47">
        <f>T448*INDEX(ProvSRP,MATCH(G448,ProvCode,0))*(1+PriceIndex)</f>
        <v/>
      </c>
      <c r="X448" s="47">
        <f>IF(GrossBasis="Wholesale",V448,W448)</f>
        <v/>
      </c>
      <c r="Y448" s="47">
        <f>R448*INDEX(FmtBlendedCogs,MATCH(F448,FmtName,0))</f>
        <v/>
      </c>
      <c r="Z448" s="47">
        <f>X448-Y448</f>
        <v/>
      </c>
    </row>
    <row r="449">
      <c r="A449" t="n">
        <v>24</v>
      </c>
      <c r="B449" s="44">
        <f>FiscalStart+(A449-1)*7</f>
        <v/>
      </c>
      <c r="C449">
        <f>TEXT(B449,"mmm yyyy")</f>
        <v/>
      </c>
      <c r="D449">
        <f>"Q"&amp;(INT((A449-1)/13)+1)</f>
        <v/>
      </c>
      <c r="E449" t="inlineStr">
        <is>
          <t>Convenience</t>
        </is>
      </c>
      <c r="F449">
        <f>IFERROR(INDEX(ChFormat,MATCH(E449,ChName,0)),"")</f>
        <v/>
      </c>
      <c r="G449" t="inlineStr">
        <is>
          <t>PE</t>
        </is>
      </c>
      <c r="H449">
        <f>IF(A449&lt;=NWeeks,1,0)</f>
        <v/>
      </c>
      <c r="I449">
        <f>INDEX(ChLaunch,MATCH(E449,ChName,0))</f>
        <v/>
      </c>
      <c r="J449">
        <f>INDEX(ChWeeksFull,MATCH(E449,ChName,0))</f>
        <v/>
      </c>
      <c r="K449">
        <f>INDEX(ChRamp,MATCH(E449,ChName,0))</f>
        <v/>
      </c>
      <c r="L449" s="45">
        <f>MIN(1,MAX(0,(A449-I449+1)*RampSpeed/J449))</f>
        <v/>
      </c>
      <c r="M449" s="45">
        <f>IF(A449&lt;I449,0,IF(K449="S-curve",L449*L449*(3-2*L449),L449))</f>
        <v/>
      </c>
      <c r="N449" s="45">
        <f>1+(INDEX(SeasonIdx,A449)-1)*SeasonAmp</f>
        <v/>
      </c>
      <c r="O449" s="45">
        <f>IFERROR(INDEX(PSPct,MATCH(E449&amp;"|"&amp;G449,PSKey,0)),0)</f>
        <v/>
      </c>
      <c r="P449" s="46">
        <f>INDEX(ChDoorVel,MATCH(E449,ChName,0))*CalibScalar*(1+VelocityUplift)</f>
        <v/>
      </c>
      <c r="Q449" s="46" t="n">
        <v>0</v>
      </c>
      <c r="R449" s="46">
        <f>P449*O449*M449*N449*H449</f>
        <v/>
      </c>
      <c r="S449" s="46">
        <f>R449*INDEX(FmtCansPerCase,MATCH(F449,FmtName,0))</f>
        <v/>
      </c>
      <c r="T449" s="46">
        <f>S449/INDEX(FmtCansPerPack,MATCH(F449,FmtName,0))</f>
        <v/>
      </c>
      <c r="U449" s="47">
        <f>INDEX(ChBaseCP,MATCH(E449,ChName,0))*(1+INDEX(ProvMod,MATCH(G449,ProvCode,0)))*(1+PriceIndex)</f>
        <v/>
      </c>
      <c r="V449" s="47">
        <f>R449*U449*INDEX(FmtBlendedPriceIdx,MATCH(F449,FmtName,0))</f>
        <v/>
      </c>
      <c r="W449" s="47">
        <f>T449*INDEX(ProvSRP,MATCH(G449,ProvCode,0))*(1+PriceIndex)</f>
        <v/>
      </c>
      <c r="X449" s="47">
        <f>IF(GrossBasis="Wholesale",V449,W449)</f>
        <v/>
      </c>
      <c r="Y449" s="47">
        <f>R449*INDEX(FmtBlendedCogs,MATCH(F449,FmtName,0))</f>
        <v/>
      </c>
      <c r="Z449" s="47">
        <f>X449-Y449</f>
        <v/>
      </c>
    </row>
    <row r="450">
      <c r="A450" t="n">
        <v>25</v>
      </c>
      <c r="B450" s="44">
        <f>FiscalStart+(A450-1)*7</f>
        <v/>
      </c>
      <c r="C450">
        <f>TEXT(B450,"mmm yyyy")</f>
        <v/>
      </c>
      <c r="D450">
        <f>"Q"&amp;(INT((A450-1)/13)+1)</f>
        <v/>
      </c>
      <c r="E450" t="inlineStr">
        <is>
          <t>Convenience</t>
        </is>
      </c>
      <c r="F450">
        <f>IFERROR(INDEX(ChFormat,MATCH(E450,ChName,0)),"")</f>
        <v/>
      </c>
      <c r="G450" t="inlineStr">
        <is>
          <t>PE</t>
        </is>
      </c>
      <c r="H450">
        <f>IF(A450&lt;=NWeeks,1,0)</f>
        <v/>
      </c>
      <c r="I450">
        <f>INDEX(ChLaunch,MATCH(E450,ChName,0))</f>
        <v/>
      </c>
      <c r="J450">
        <f>INDEX(ChWeeksFull,MATCH(E450,ChName,0))</f>
        <v/>
      </c>
      <c r="K450">
        <f>INDEX(ChRamp,MATCH(E450,ChName,0))</f>
        <v/>
      </c>
      <c r="L450" s="45">
        <f>MIN(1,MAX(0,(A450-I450+1)*RampSpeed/J450))</f>
        <v/>
      </c>
      <c r="M450" s="45">
        <f>IF(A450&lt;I450,0,IF(K450="S-curve",L450*L450*(3-2*L450),L450))</f>
        <v/>
      </c>
      <c r="N450" s="45">
        <f>1+(INDEX(SeasonIdx,A450)-1)*SeasonAmp</f>
        <v/>
      </c>
      <c r="O450" s="45">
        <f>IFERROR(INDEX(PSPct,MATCH(E450&amp;"|"&amp;G450,PSKey,0)),0)</f>
        <v/>
      </c>
      <c r="P450" s="46">
        <f>INDEX(ChDoorVel,MATCH(E450,ChName,0))*CalibScalar*(1+VelocityUplift)</f>
        <v/>
      </c>
      <c r="Q450" s="46" t="n">
        <v>0</v>
      </c>
      <c r="R450" s="46">
        <f>P450*O450*M450*N450*H450</f>
        <v/>
      </c>
      <c r="S450" s="46">
        <f>R450*INDEX(FmtCansPerCase,MATCH(F450,FmtName,0))</f>
        <v/>
      </c>
      <c r="T450" s="46">
        <f>S450/INDEX(FmtCansPerPack,MATCH(F450,FmtName,0))</f>
        <v/>
      </c>
      <c r="U450" s="47">
        <f>INDEX(ChBaseCP,MATCH(E450,ChName,0))*(1+INDEX(ProvMod,MATCH(G450,ProvCode,0)))*(1+PriceIndex)</f>
        <v/>
      </c>
      <c r="V450" s="47">
        <f>R450*U450*INDEX(FmtBlendedPriceIdx,MATCH(F450,FmtName,0))</f>
        <v/>
      </c>
      <c r="W450" s="47">
        <f>T450*INDEX(ProvSRP,MATCH(G450,ProvCode,0))*(1+PriceIndex)</f>
        <v/>
      </c>
      <c r="X450" s="47">
        <f>IF(GrossBasis="Wholesale",V450,W450)</f>
        <v/>
      </c>
      <c r="Y450" s="47">
        <f>R450*INDEX(FmtBlendedCogs,MATCH(F450,FmtName,0))</f>
        <v/>
      </c>
      <c r="Z450" s="47">
        <f>X450-Y450</f>
        <v/>
      </c>
    </row>
    <row r="451">
      <c r="A451" t="n">
        <v>26</v>
      </c>
      <c r="B451" s="44">
        <f>FiscalStart+(A451-1)*7</f>
        <v/>
      </c>
      <c r="C451">
        <f>TEXT(B451,"mmm yyyy")</f>
        <v/>
      </c>
      <c r="D451">
        <f>"Q"&amp;(INT((A451-1)/13)+1)</f>
        <v/>
      </c>
      <c r="E451" t="inlineStr">
        <is>
          <t>Convenience</t>
        </is>
      </c>
      <c r="F451">
        <f>IFERROR(INDEX(ChFormat,MATCH(E451,ChName,0)),"")</f>
        <v/>
      </c>
      <c r="G451" t="inlineStr">
        <is>
          <t>PE</t>
        </is>
      </c>
      <c r="H451">
        <f>IF(A451&lt;=NWeeks,1,0)</f>
        <v/>
      </c>
      <c r="I451">
        <f>INDEX(ChLaunch,MATCH(E451,ChName,0))</f>
        <v/>
      </c>
      <c r="J451">
        <f>INDEX(ChWeeksFull,MATCH(E451,ChName,0))</f>
        <v/>
      </c>
      <c r="K451">
        <f>INDEX(ChRamp,MATCH(E451,ChName,0))</f>
        <v/>
      </c>
      <c r="L451" s="45">
        <f>MIN(1,MAX(0,(A451-I451+1)*RampSpeed/J451))</f>
        <v/>
      </c>
      <c r="M451" s="45">
        <f>IF(A451&lt;I451,0,IF(K451="S-curve",L451*L451*(3-2*L451),L451))</f>
        <v/>
      </c>
      <c r="N451" s="45">
        <f>1+(INDEX(SeasonIdx,A451)-1)*SeasonAmp</f>
        <v/>
      </c>
      <c r="O451" s="45">
        <f>IFERROR(INDEX(PSPct,MATCH(E451&amp;"|"&amp;G451,PSKey,0)),0)</f>
        <v/>
      </c>
      <c r="P451" s="46">
        <f>INDEX(ChDoorVel,MATCH(E451,ChName,0))*CalibScalar*(1+VelocityUplift)</f>
        <v/>
      </c>
      <c r="Q451" s="46" t="n">
        <v>0</v>
      </c>
      <c r="R451" s="46">
        <f>P451*O451*M451*N451*H451</f>
        <v/>
      </c>
      <c r="S451" s="46">
        <f>R451*INDEX(FmtCansPerCase,MATCH(F451,FmtName,0))</f>
        <v/>
      </c>
      <c r="T451" s="46">
        <f>S451/INDEX(FmtCansPerPack,MATCH(F451,FmtName,0))</f>
        <v/>
      </c>
      <c r="U451" s="47">
        <f>INDEX(ChBaseCP,MATCH(E451,ChName,0))*(1+INDEX(ProvMod,MATCH(G451,ProvCode,0)))*(1+PriceIndex)</f>
        <v/>
      </c>
      <c r="V451" s="47">
        <f>R451*U451*INDEX(FmtBlendedPriceIdx,MATCH(F451,FmtName,0))</f>
        <v/>
      </c>
      <c r="W451" s="47">
        <f>T451*INDEX(ProvSRP,MATCH(G451,ProvCode,0))*(1+PriceIndex)</f>
        <v/>
      </c>
      <c r="X451" s="47">
        <f>IF(GrossBasis="Wholesale",V451,W451)</f>
        <v/>
      </c>
      <c r="Y451" s="47">
        <f>R451*INDEX(FmtBlendedCogs,MATCH(F451,FmtName,0))</f>
        <v/>
      </c>
      <c r="Z451" s="47">
        <f>X451-Y451</f>
        <v/>
      </c>
    </row>
    <row r="452">
      <c r="A452" t="n">
        <v>27</v>
      </c>
      <c r="B452" s="44">
        <f>FiscalStart+(A452-1)*7</f>
        <v/>
      </c>
      <c r="C452">
        <f>TEXT(B452,"mmm yyyy")</f>
        <v/>
      </c>
      <c r="D452">
        <f>"Q"&amp;(INT((A452-1)/13)+1)</f>
        <v/>
      </c>
      <c r="E452" t="inlineStr">
        <is>
          <t>Convenience</t>
        </is>
      </c>
      <c r="F452">
        <f>IFERROR(INDEX(ChFormat,MATCH(E452,ChName,0)),"")</f>
        <v/>
      </c>
      <c r="G452" t="inlineStr">
        <is>
          <t>PE</t>
        </is>
      </c>
      <c r="H452">
        <f>IF(A452&lt;=NWeeks,1,0)</f>
        <v/>
      </c>
      <c r="I452">
        <f>INDEX(ChLaunch,MATCH(E452,ChName,0))</f>
        <v/>
      </c>
      <c r="J452">
        <f>INDEX(ChWeeksFull,MATCH(E452,ChName,0))</f>
        <v/>
      </c>
      <c r="K452">
        <f>INDEX(ChRamp,MATCH(E452,ChName,0))</f>
        <v/>
      </c>
      <c r="L452" s="45">
        <f>MIN(1,MAX(0,(A452-I452+1)*RampSpeed/J452))</f>
        <v/>
      </c>
      <c r="M452" s="45">
        <f>IF(A452&lt;I452,0,IF(K452="S-curve",L452*L452*(3-2*L452),L452))</f>
        <v/>
      </c>
      <c r="N452" s="45">
        <f>1+(INDEX(SeasonIdx,A452)-1)*SeasonAmp</f>
        <v/>
      </c>
      <c r="O452" s="45">
        <f>IFERROR(INDEX(PSPct,MATCH(E452&amp;"|"&amp;G452,PSKey,0)),0)</f>
        <v/>
      </c>
      <c r="P452" s="46">
        <f>INDEX(ChDoorVel,MATCH(E452,ChName,0))*CalibScalar*(1+VelocityUplift)</f>
        <v/>
      </c>
      <c r="Q452" s="46" t="n">
        <v>0</v>
      </c>
      <c r="R452" s="46">
        <f>P452*O452*M452*N452*H452</f>
        <v/>
      </c>
      <c r="S452" s="46">
        <f>R452*INDEX(FmtCansPerCase,MATCH(F452,FmtName,0))</f>
        <v/>
      </c>
      <c r="T452" s="46">
        <f>S452/INDEX(FmtCansPerPack,MATCH(F452,FmtName,0))</f>
        <v/>
      </c>
      <c r="U452" s="47">
        <f>INDEX(ChBaseCP,MATCH(E452,ChName,0))*(1+INDEX(ProvMod,MATCH(G452,ProvCode,0)))*(1+PriceIndex)</f>
        <v/>
      </c>
      <c r="V452" s="47">
        <f>R452*U452*INDEX(FmtBlendedPriceIdx,MATCH(F452,FmtName,0))</f>
        <v/>
      </c>
      <c r="W452" s="47">
        <f>T452*INDEX(ProvSRP,MATCH(G452,ProvCode,0))*(1+PriceIndex)</f>
        <v/>
      </c>
      <c r="X452" s="47">
        <f>IF(GrossBasis="Wholesale",V452,W452)</f>
        <v/>
      </c>
      <c r="Y452" s="47">
        <f>R452*INDEX(FmtBlendedCogs,MATCH(F452,FmtName,0))</f>
        <v/>
      </c>
      <c r="Z452" s="47">
        <f>X452-Y452</f>
        <v/>
      </c>
    </row>
    <row r="453">
      <c r="A453" t="n">
        <v>28</v>
      </c>
      <c r="B453" s="44">
        <f>FiscalStart+(A453-1)*7</f>
        <v/>
      </c>
      <c r="C453">
        <f>TEXT(B453,"mmm yyyy")</f>
        <v/>
      </c>
      <c r="D453">
        <f>"Q"&amp;(INT((A453-1)/13)+1)</f>
        <v/>
      </c>
      <c r="E453" t="inlineStr">
        <is>
          <t>Convenience</t>
        </is>
      </c>
      <c r="F453">
        <f>IFERROR(INDEX(ChFormat,MATCH(E453,ChName,0)),"")</f>
        <v/>
      </c>
      <c r="G453" t="inlineStr">
        <is>
          <t>PE</t>
        </is>
      </c>
      <c r="H453">
        <f>IF(A453&lt;=NWeeks,1,0)</f>
        <v/>
      </c>
      <c r="I453">
        <f>INDEX(ChLaunch,MATCH(E453,ChName,0))</f>
        <v/>
      </c>
      <c r="J453">
        <f>INDEX(ChWeeksFull,MATCH(E453,ChName,0))</f>
        <v/>
      </c>
      <c r="K453">
        <f>INDEX(ChRamp,MATCH(E453,ChName,0))</f>
        <v/>
      </c>
      <c r="L453" s="45">
        <f>MIN(1,MAX(0,(A453-I453+1)*RampSpeed/J453))</f>
        <v/>
      </c>
      <c r="M453" s="45">
        <f>IF(A453&lt;I453,0,IF(K453="S-curve",L453*L453*(3-2*L453),L453))</f>
        <v/>
      </c>
      <c r="N453" s="45">
        <f>1+(INDEX(SeasonIdx,A453)-1)*SeasonAmp</f>
        <v/>
      </c>
      <c r="O453" s="45">
        <f>IFERROR(INDEX(PSPct,MATCH(E453&amp;"|"&amp;G453,PSKey,0)),0)</f>
        <v/>
      </c>
      <c r="P453" s="46">
        <f>INDEX(ChDoorVel,MATCH(E453,ChName,0))*CalibScalar*(1+VelocityUplift)</f>
        <v/>
      </c>
      <c r="Q453" s="46" t="n">
        <v>0</v>
      </c>
      <c r="R453" s="46">
        <f>P453*O453*M453*N453*H453</f>
        <v/>
      </c>
      <c r="S453" s="46">
        <f>R453*INDEX(FmtCansPerCase,MATCH(F453,FmtName,0))</f>
        <v/>
      </c>
      <c r="T453" s="46">
        <f>S453/INDEX(FmtCansPerPack,MATCH(F453,FmtName,0))</f>
        <v/>
      </c>
      <c r="U453" s="47">
        <f>INDEX(ChBaseCP,MATCH(E453,ChName,0))*(1+INDEX(ProvMod,MATCH(G453,ProvCode,0)))*(1+PriceIndex)</f>
        <v/>
      </c>
      <c r="V453" s="47">
        <f>R453*U453*INDEX(FmtBlendedPriceIdx,MATCH(F453,FmtName,0))</f>
        <v/>
      </c>
      <c r="W453" s="47">
        <f>T453*INDEX(ProvSRP,MATCH(G453,ProvCode,0))*(1+PriceIndex)</f>
        <v/>
      </c>
      <c r="X453" s="47">
        <f>IF(GrossBasis="Wholesale",V453,W453)</f>
        <v/>
      </c>
      <c r="Y453" s="47">
        <f>R453*INDEX(FmtBlendedCogs,MATCH(F453,FmtName,0))</f>
        <v/>
      </c>
      <c r="Z453" s="47">
        <f>X453-Y453</f>
        <v/>
      </c>
    </row>
    <row r="454">
      <c r="A454" t="n">
        <v>29</v>
      </c>
      <c r="B454" s="44">
        <f>FiscalStart+(A454-1)*7</f>
        <v/>
      </c>
      <c r="C454">
        <f>TEXT(B454,"mmm yyyy")</f>
        <v/>
      </c>
      <c r="D454">
        <f>"Q"&amp;(INT((A454-1)/13)+1)</f>
        <v/>
      </c>
      <c r="E454" t="inlineStr">
        <is>
          <t>Convenience</t>
        </is>
      </c>
      <c r="F454">
        <f>IFERROR(INDEX(ChFormat,MATCH(E454,ChName,0)),"")</f>
        <v/>
      </c>
      <c r="G454" t="inlineStr">
        <is>
          <t>PE</t>
        </is>
      </c>
      <c r="H454">
        <f>IF(A454&lt;=NWeeks,1,0)</f>
        <v/>
      </c>
      <c r="I454">
        <f>INDEX(ChLaunch,MATCH(E454,ChName,0))</f>
        <v/>
      </c>
      <c r="J454">
        <f>INDEX(ChWeeksFull,MATCH(E454,ChName,0))</f>
        <v/>
      </c>
      <c r="K454">
        <f>INDEX(ChRamp,MATCH(E454,ChName,0))</f>
        <v/>
      </c>
      <c r="L454" s="45">
        <f>MIN(1,MAX(0,(A454-I454+1)*RampSpeed/J454))</f>
        <v/>
      </c>
      <c r="M454" s="45">
        <f>IF(A454&lt;I454,0,IF(K454="S-curve",L454*L454*(3-2*L454),L454))</f>
        <v/>
      </c>
      <c r="N454" s="45">
        <f>1+(INDEX(SeasonIdx,A454)-1)*SeasonAmp</f>
        <v/>
      </c>
      <c r="O454" s="45">
        <f>IFERROR(INDEX(PSPct,MATCH(E454&amp;"|"&amp;G454,PSKey,0)),0)</f>
        <v/>
      </c>
      <c r="P454" s="46">
        <f>INDEX(ChDoorVel,MATCH(E454,ChName,0))*CalibScalar*(1+VelocityUplift)</f>
        <v/>
      </c>
      <c r="Q454" s="46" t="n">
        <v>0</v>
      </c>
      <c r="R454" s="46">
        <f>P454*O454*M454*N454*H454</f>
        <v/>
      </c>
      <c r="S454" s="46">
        <f>R454*INDEX(FmtCansPerCase,MATCH(F454,FmtName,0))</f>
        <v/>
      </c>
      <c r="T454" s="46">
        <f>S454/INDEX(FmtCansPerPack,MATCH(F454,FmtName,0))</f>
        <v/>
      </c>
      <c r="U454" s="47">
        <f>INDEX(ChBaseCP,MATCH(E454,ChName,0))*(1+INDEX(ProvMod,MATCH(G454,ProvCode,0)))*(1+PriceIndex)</f>
        <v/>
      </c>
      <c r="V454" s="47">
        <f>R454*U454*INDEX(FmtBlendedPriceIdx,MATCH(F454,FmtName,0))</f>
        <v/>
      </c>
      <c r="W454" s="47">
        <f>T454*INDEX(ProvSRP,MATCH(G454,ProvCode,0))*(1+PriceIndex)</f>
        <v/>
      </c>
      <c r="X454" s="47">
        <f>IF(GrossBasis="Wholesale",V454,W454)</f>
        <v/>
      </c>
      <c r="Y454" s="47">
        <f>R454*INDEX(FmtBlendedCogs,MATCH(F454,FmtName,0))</f>
        <v/>
      </c>
      <c r="Z454" s="47">
        <f>X454-Y454</f>
        <v/>
      </c>
    </row>
    <row r="455">
      <c r="A455" t="n">
        <v>30</v>
      </c>
      <c r="B455" s="44">
        <f>FiscalStart+(A455-1)*7</f>
        <v/>
      </c>
      <c r="C455">
        <f>TEXT(B455,"mmm yyyy")</f>
        <v/>
      </c>
      <c r="D455">
        <f>"Q"&amp;(INT((A455-1)/13)+1)</f>
        <v/>
      </c>
      <c r="E455" t="inlineStr">
        <is>
          <t>Convenience</t>
        </is>
      </c>
      <c r="F455">
        <f>IFERROR(INDEX(ChFormat,MATCH(E455,ChName,0)),"")</f>
        <v/>
      </c>
      <c r="G455" t="inlineStr">
        <is>
          <t>PE</t>
        </is>
      </c>
      <c r="H455">
        <f>IF(A455&lt;=NWeeks,1,0)</f>
        <v/>
      </c>
      <c r="I455">
        <f>INDEX(ChLaunch,MATCH(E455,ChName,0))</f>
        <v/>
      </c>
      <c r="J455">
        <f>INDEX(ChWeeksFull,MATCH(E455,ChName,0))</f>
        <v/>
      </c>
      <c r="K455">
        <f>INDEX(ChRamp,MATCH(E455,ChName,0))</f>
        <v/>
      </c>
      <c r="L455" s="45">
        <f>MIN(1,MAX(0,(A455-I455+1)*RampSpeed/J455))</f>
        <v/>
      </c>
      <c r="M455" s="45">
        <f>IF(A455&lt;I455,0,IF(K455="S-curve",L455*L455*(3-2*L455),L455))</f>
        <v/>
      </c>
      <c r="N455" s="45">
        <f>1+(INDEX(SeasonIdx,A455)-1)*SeasonAmp</f>
        <v/>
      </c>
      <c r="O455" s="45">
        <f>IFERROR(INDEX(PSPct,MATCH(E455&amp;"|"&amp;G455,PSKey,0)),0)</f>
        <v/>
      </c>
      <c r="P455" s="46">
        <f>INDEX(ChDoorVel,MATCH(E455,ChName,0))*CalibScalar*(1+VelocityUplift)</f>
        <v/>
      </c>
      <c r="Q455" s="46" t="n">
        <v>0</v>
      </c>
      <c r="R455" s="46">
        <f>P455*O455*M455*N455*H455</f>
        <v/>
      </c>
      <c r="S455" s="46">
        <f>R455*INDEX(FmtCansPerCase,MATCH(F455,FmtName,0))</f>
        <v/>
      </c>
      <c r="T455" s="46">
        <f>S455/INDEX(FmtCansPerPack,MATCH(F455,FmtName,0))</f>
        <v/>
      </c>
      <c r="U455" s="47">
        <f>INDEX(ChBaseCP,MATCH(E455,ChName,0))*(1+INDEX(ProvMod,MATCH(G455,ProvCode,0)))*(1+PriceIndex)</f>
        <v/>
      </c>
      <c r="V455" s="47">
        <f>R455*U455*INDEX(FmtBlendedPriceIdx,MATCH(F455,FmtName,0))</f>
        <v/>
      </c>
      <c r="W455" s="47">
        <f>T455*INDEX(ProvSRP,MATCH(G455,ProvCode,0))*(1+PriceIndex)</f>
        <v/>
      </c>
      <c r="X455" s="47">
        <f>IF(GrossBasis="Wholesale",V455,W455)</f>
        <v/>
      </c>
      <c r="Y455" s="47">
        <f>R455*INDEX(FmtBlendedCogs,MATCH(F455,FmtName,0))</f>
        <v/>
      </c>
      <c r="Z455" s="47">
        <f>X455-Y455</f>
        <v/>
      </c>
    </row>
    <row r="456">
      <c r="A456" t="n">
        <v>31</v>
      </c>
      <c r="B456" s="44">
        <f>FiscalStart+(A456-1)*7</f>
        <v/>
      </c>
      <c r="C456">
        <f>TEXT(B456,"mmm yyyy")</f>
        <v/>
      </c>
      <c r="D456">
        <f>"Q"&amp;(INT((A456-1)/13)+1)</f>
        <v/>
      </c>
      <c r="E456" t="inlineStr">
        <is>
          <t>Convenience</t>
        </is>
      </c>
      <c r="F456">
        <f>IFERROR(INDEX(ChFormat,MATCH(E456,ChName,0)),"")</f>
        <v/>
      </c>
      <c r="G456" t="inlineStr">
        <is>
          <t>PE</t>
        </is>
      </c>
      <c r="H456">
        <f>IF(A456&lt;=NWeeks,1,0)</f>
        <v/>
      </c>
      <c r="I456">
        <f>INDEX(ChLaunch,MATCH(E456,ChName,0))</f>
        <v/>
      </c>
      <c r="J456">
        <f>INDEX(ChWeeksFull,MATCH(E456,ChName,0))</f>
        <v/>
      </c>
      <c r="K456">
        <f>INDEX(ChRamp,MATCH(E456,ChName,0))</f>
        <v/>
      </c>
      <c r="L456" s="45">
        <f>MIN(1,MAX(0,(A456-I456+1)*RampSpeed/J456))</f>
        <v/>
      </c>
      <c r="M456" s="45">
        <f>IF(A456&lt;I456,0,IF(K456="S-curve",L456*L456*(3-2*L456),L456))</f>
        <v/>
      </c>
      <c r="N456" s="45">
        <f>1+(INDEX(SeasonIdx,A456)-1)*SeasonAmp</f>
        <v/>
      </c>
      <c r="O456" s="45">
        <f>IFERROR(INDEX(PSPct,MATCH(E456&amp;"|"&amp;G456,PSKey,0)),0)</f>
        <v/>
      </c>
      <c r="P456" s="46">
        <f>INDEX(ChDoorVel,MATCH(E456,ChName,0))*CalibScalar*(1+VelocityUplift)</f>
        <v/>
      </c>
      <c r="Q456" s="46" t="n">
        <v>0</v>
      </c>
      <c r="R456" s="46">
        <f>P456*O456*M456*N456*H456</f>
        <v/>
      </c>
      <c r="S456" s="46">
        <f>R456*INDEX(FmtCansPerCase,MATCH(F456,FmtName,0))</f>
        <v/>
      </c>
      <c r="T456" s="46">
        <f>S456/INDEX(FmtCansPerPack,MATCH(F456,FmtName,0))</f>
        <v/>
      </c>
      <c r="U456" s="47">
        <f>INDEX(ChBaseCP,MATCH(E456,ChName,0))*(1+INDEX(ProvMod,MATCH(G456,ProvCode,0)))*(1+PriceIndex)</f>
        <v/>
      </c>
      <c r="V456" s="47">
        <f>R456*U456*INDEX(FmtBlendedPriceIdx,MATCH(F456,FmtName,0))</f>
        <v/>
      </c>
      <c r="W456" s="47">
        <f>T456*INDEX(ProvSRP,MATCH(G456,ProvCode,0))*(1+PriceIndex)</f>
        <v/>
      </c>
      <c r="X456" s="47">
        <f>IF(GrossBasis="Wholesale",V456,W456)</f>
        <v/>
      </c>
      <c r="Y456" s="47">
        <f>R456*INDEX(FmtBlendedCogs,MATCH(F456,FmtName,0))</f>
        <v/>
      </c>
      <c r="Z456" s="47">
        <f>X456-Y456</f>
        <v/>
      </c>
    </row>
    <row r="457">
      <c r="A457" t="n">
        <v>32</v>
      </c>
      <c r="B457" s="44">
        <f>FiscalStart+(A457-1)*7</f>
        <v/>
      </c>
      <c r="C457">
        <f>TEXT(B457,"mmm yyyy")</f>
        <v/>
      </c>
      <c r="D457">
        <f>"Q"&amp;(INT((A457-1)/13)+1)</f>
        <v/>
      </c>
      <c r="E457" t="inlineStr">
        <is>
          <t>Convenience</t>
        </is>
      </c>
      <c r="F457">
        <f>IFERROR(INDEX(ChFormat,MATCH(E457,ChName,0)),"")</f>
        <v/>
      </c>
      <c r="G457" t="inlineStr">
        <is>
          <t>PE</t>
        </is>
      </c>
      <c r="H457">
        <f>IF(A457&lt;=NWeeks,1,0)</f>
        <v/>
      </c>
      <c r="I457">
        <f>INDEX(ChLaunch,MATCH(E457,ChName,0))</f>
        <v/>
      </c>
      <c r="J457">
        <f>INDEX(ChWeeksFull,MATCH(E457,ChName,0))</f>
        <v/>
      </c>
      <c r="K457">
        <f>INDEX(ChRamp,MATCH(E457,ChName,0))</f>
        <v/>
      </c>
      <c r="L457" s="45">
        <f>MIN(1,MAX(0,(A457-I457+1)*RampSpeed/J457))</f>
        <v/>
      </c>
      <c r="M457" s="45">
        <f>IF(A457&lt;I457,0,IF(K457="S-curve",L457*L457*(3-2*L457),L457))</f>
        <v/>
      </c>
      <c r="N457" s="45">
        <f>1+(INDEX(SeasonIdx,A457)-1)*SeasonAmp</f>
        <v/>
      </c>
      <c r="O457" s="45">
        <f>IFERROR(INDEX(PSPct,MATCH(E457&amp;"|"&amp;G457,PSKey,0)),0)</f>
        <v/>
      </c>
      <c r="P457" s="46">
        <f>INDEX(ChDoorVel,MATCH(E457,ChName,0))*CalibScalar*(1+VelocityUplift)</f>
        <v/>
      </c>
      <c r="Q457" s="46" t="n">
        <v>0</v>
      </c>
      <c r="R457" s="46">
        <f>P457*O457*M457*N457*H457</f>
        <v/>
      </c>
      <c r="S457" s="46">
        <f>R457*INDEX(FmtCansPerCase,MATCH(F457,FmtName,0))</f>
        <v/>
      </c>
      <c r="T457" s="46">
        <f>S457/INDEX(FmtCansPerPack,MATCH(F457,FmtName,0))</f>
        <v/>
      </c>
      <c r="U457" s="47">
        <f>INDEX(ChBaseCP,MATCH(E457,ChName,0))*(1+INDEX(ProvMod,MATCH(G457,ProvCode,0)))*(1+PriceIndex)</f>
        <v/>
      </c>
      <c r="V457" s="47">
        <f>R457*U457*INDEX(FmtBlendedPriceIdx,MATCH(F457,FmtName,0))</f>
        <v/>
      </c>
      <c r="W457" s="47">
        <f>T457*INDEX(ProvSRP,MATCH(G457,ProvCode,0))*(1+PriceIndex)</f>
        <v/>
      </c>
      <c r="X457" s="47">
        <f>IF(GrossBasis="Wholesale",V457,W457)</f>
        <v/>
      </c>
      <c r="Y457" s="47">
        <f>R457*INDEX(FmtBlendedCogs,MATCH(F457,FmtName,0))</f>
        <v/>
      </c>
      <c r="Z457" s="47">
        <f>X457-Y457</f>
        <v/>
      </c>
    </row>
    <row r="458">
      <c r="A458" t="n">
        <v>33</v>
      </c>
      <c r="B458" s="44">
        <f>FiscalStart+(A458-1)*7</f>
        <v/>
      </c>
      <c r="C458">
        <f>TEXT(B458,"mmm yyyy")</f>
        <v/>
      </c>
      <c r="D458">
        <f>"Q"&amp;(INT((A458-1)/13)+1)</f>
        <v/>
      </c>
      <c r="E458" t="inlineStr">
        <is>
          <t>Convenience</t>
        </is>
      </c>
      <c r="F458">
        <f>IFERROR(INDEX(ChFormat,MATCH(E458,ChName,0)),"")</f>
        <v/>
      </c>
      <c r="G458" t="inlineStr">
        <is>
          <t>PE</t>
        </is>
      </c>
      <c r="H458">
        <f>IF(A458&lt;=NWeeks,1,0)</f>
        <v/>
      </c>
      <c r="I458">
        <f>INDEX(ChLaunch,MATCH(E458,ChName,0))</f>
        <v/>
      </c>
      <c r="J458">
        <f>INDEX(ChWeeksFull,MATCH(E458,ChName,0))</f>
        <v/>
      </c>
      <c r="K458">
        <f>INDEX(ChRamp,MATCH(E458,ChName,0))</f>
        <v/>
      </c>
      <c r="L458" s="45">
        <f>MIN(1,MAX(0,(A458-I458+1)*RampSpeed/J458))</f>
        <v/>
      </c>
      <c r="M458" s="45">
        <f>IF(A458&lt;I458,0,IF(K458="S-curve",L458*L458*(3-2*L458),L458))</f>
        <v/>
      </c>
      <c r="N458" s="45">
        <f>1+(INDEX(SeasonIdx,A458)-1)*SeasonAmp</f>
        <v/>
      </c>
      <c r="O458" s="45">
        <f>IFERROR(INDEX(PSPct,MATCH(E458&amp;"|"&amp;G458,PSKey,0)),0)</f>
        <v/>
      </c>
      <c r="P458" s="46">
        <f>INDEX(ChDoorVel,MATCH(E458,ChName,0))*CalibScalar*(1+VelocityUplift)</f>
        <v/>
      </c>
      <c r="Q458" s="46" t="n">
        <v>0</v>
      </c>
      <c r="R458" s="46">
        <f>P458*O458*M458*N458*H458</f>
        <v/>
      </c>
      <c r="S458" s="46">
        <f>R458*INDEX(FmtCansPerCase,MATCH(F458,FmtName,0))</f>
        <v/>
      </c>
      <c r="T458" s="46">
        <f>S458/INDEX(FmtCansPerPack,MATCH(F458,FmtName,0))</f>
        <v/>
      </c>
      <c r="U458" s="47">
        <f>INDEX(ChBaseCP,MATCH(E458,ChName,0))*(1+INDEX(ProvMod,MATCH(G458,ProvCode,0)))*(1+PriceIndex)</f>
        <v/>
      </c>
      <c r="V458" s="47">
        <f>R458*U458*INDEX(FmtBlendedPriceIdx,MATCH(F458,FmtName,0))</f>
        <v/>
      </c>
      <c r="W458" s="47">
        <f>T458*INDEX(ProvSRP,MATCH(G458,ProvCode,0))*(1+PriceIndex)</f>
        <v/>
      </c>
      <c r="X458" s="47">
        <f>IF(GrossBasis="Wholesale",V458,W458)</f>
        <v/>
      </c>
      <c r="Y458" s="47">
        <f>R458*INDEX(FmtBlendedCogs,MATCH(F458,FmtName,0))</f>
        <v/>
      </c>
      <c r="Z458" s="47">
        <f>X458-Y458</f>
        <v/>
      </c>
    </row>
    <row r="459">
      <c r="A459" t="n">
        <v>34</v>
      </c>
      <c r="B459" s="44">
        <f>FiscalStart+(A459-1)*7</f>
        <v/>
      </c>
      <c r="C459">
        <f>TEXT(B459,"mmm yyyy")</f>
        <v/>
      </c>
      <c r="D459">
        <f>"Q"&amp;(INT((A459-1)/13)+1)</f>
        <v/>
      </c>
      <c r="E459" t="inlineStr">
        <is>
          <t>Convenience</t>
        </is>
      </c>
      <c r="F459">
        <f>IFERROR(INDEX(ChFormat,MATCH(E459,ChName,0)),"")</f>
        <v/>
      </c>
      <c r="G459" t="inlineStr">
        <is>
          <t>PE</t>
        </is>
      </c>
      <c r="H459">
        <f>IF(A459&lt;=NWeeks,1,0)</f>
        <v/>
      </c>
      <c r="I459">
        <f>INDEX(ChLaunch,MATCH(E459,ChName,0))</f>
        <v/>
      </c>
      <c r="J459">
        <f>INDEX(ChWeeksFull,MATCH(E459,ChName,0))</f>
        <v/>
      </c>
      <c r="K459">
        <f>INDEX(ChRamp,MATCH(E459,ChName,0))</f>
        <v/>
      </c>
      <c r="L459" s="45">
        <f>MIN(1,MAX(0,(A459-I459+1)*RampSpeed/J459))</f>
        <v/>
      </c>
      <c r="M459" s="45">
        <f>IF(A459&lt;I459,0,IF(K459="S-curve",L459*L459*(3-2*L459),L459))</f>
        <v/>
      </c>
      <c r="N459" s="45">
        <f>1+(INDEX(SeasonIdx,A459)-1)*SeasonAmp</f>
        <v/>
      </c>
      <c r="O459" s="45">
        <f>IFERROR(INDEX(PSPct,MATCH(E459&amp;"|"&amp;G459,PSKey,0)),0)</f>
        <v/>
      </c>
      <c r="P459" s="46">
        <f>INDEX(ChDoorVel,MATCH(E459,ChName,0))*CalibScalar*(1+VelocityUplift)</f>
        <v/>
      </c>
      <c r="Q459" s="46" t="n">
        <v>0</v>
      </c>
      <c r="R459" s="46">
        <f>P459*O459*M459*N459*H459</f>
        <v/>
      </c>
      <c r="S459" s="46">
        <f>R459*INDEX(FmtCansPerCase,MATCH(F459,FmtName,0))</f>
        <v/>
      </c>
      <c r="T459" s="46">
        <f>S459/INDEX(FmtCansPerPack,MATCH(F459,FmtName,0))</f>
        <v/>
      </c>
      <c r="U459" s="47">
        <f>INDEX(ChBaseCP,MATCH(E459,ChName,0))*(1+INDEX(ProvMod,MATCH(G459,ProvCode,0)))*(1+PriceIndex)</f>
        <v/>
      </c>
      <c r="V459" s="47">
        <f>R459*U459*INDEX(FmtBlendedPriceIdx,MATCH(F459,FmtName,0))</f>
        <v/>
      </c>
      <c r="W459" s="47">
        <f>T459*INDEX(ProvSRP,MATCH(G459,ProvCode,0))*(1+PriceIndex)</f>
        <v/>
      </c>
      <c r="X459" s="47">
        <f>IF(GrossBasis="Wholesale",V459,W459)</f>
        <v/>
      </c>
      <c r="Y459" s="47">
        <f>R459*INDEX(FmtBlendedCogs,MATCH(F459,FmtName,0))</f>
        <v/>
      </c>
      <c r="Z459" s="47">
        <f>X459-Y459</f>
        <v/>
      </c>
    </row>
    <row r="460">
      <c r="A460" t="n">
        <v>35</v>
      </c>
      <c r="B460" s="44">
        <f>FiscalStart+(A460-1)*7</f>
        <v/>
      </c>
      <c r="C460">
        <f>TEXT(B460,"mmm yyyy")</f>
        <v/>
      </c>
      <c r="D460">
        <f>"Q"&amp;(INT((A460-1)/13)+1)</f>
        <v/>
      </c>
      <c r="E460" t="inlineStr">
        <is>
          <t>Convenience</t>
        </is>
      </c>
      <c r="F460">
        <f>IFERROR(INDEX(ChFormat,MATCH(E460,ChName,0)),"")</f>
        <v/>
      </c>
      <c r="G460" t="inlineStr">
        <is>
          <t>PE</t>
        </is>
      </c>
      <c r="H460">
        <f>IF(A460&lt;=NWeeks,1,0)</f>
        <v/>
      </c>
      <c r="I460">
        <f>INDEX(ChLaunch,MATCH(E460,ChName,0))</f>
        <v/>
      </c>
      <c r="J460">
        <f>INDEX(ChWeeksFull,MATCH(E460,ChName,0))</f>
        <v/>
      </c>
      <c r="K460">
        <f>INDEX(ChRamp,MATCH(E460,ChName,0))</f>
        <v/>
      </c>
      <c r="L460" s="45">
        <f>MIN(1,MAX(0,(A460-I460+1)*RampSpeed/J460))</f>
        <v/>
      </c>
      <c r="M460" s="45">
        <f>IF(A460&lt;I460,0,IF(K460="S-curve",L460*L460*(3-2*L460),L460))</f>
        <v/>
      </c>
      <c r="N460" s="45">
        <f>1+(INDEX(SeasonIdx,A460)-1)*SeasonAmp</f>
        <v/>
      </c>
      <c r="O460" s="45">
        <f>IFERROR(INDEX(PSPct,MATCH(E460&amp;"|"&amp;G460,PSKey,0)),0)</f>
        <v/>
      </c>
      <c r="P460" s="46">
        <f>INDEX(ChDoorVel,MATCH(E460,ChName,0))*CalibScalar*(1+VelocityUplift)</f>
        <v/>
      </c>
      <c r="Q460" s="46" t="n">
        <v>0</v>
      </c>
      <c r="R460" s="46">
        <f>P460*O460*M460*N460*H460</f>
        <v/>
      </c>
      <c r="S460" s="46">
        <f>R460*INDEX(FmtCansPerCase,MATCH(F460,FmtName,0))</f>
        <v/>
      </c>
      <c r="T460" s="46">
        <f>S460/INDEX(FmtCansPerPack,MATCH(F460,FmtName,0))</f>
        <v/>
      </c>
      <c r="U460" s="47">
        <f>INDEX(ChBaseCP,MATCH(E460,ChName,0))*(1+INDEX(ProvMod,MATCH(G460,ProvCode,0)))*(1+PriceIndex)</f>
        <v/>
      </c>
      <c r="V460" s="47">
        <f>R460*U460*INDEX(FmtBlendedPriceIdx,MATCH(F460,FmtName,0))</f>
        <v/>
      </c>
      <c r="W460" s="47">
        <f>T460*INDEX(ProvSRP,MATCH(G460,ProvCode,0))*(1+PriceIndex)</f>
        <v/>
      </c>
      <c r="X460" s="47">
        <f>IF(GrossBasis="Wholesale",V460,W460)</f>
        <v/>
      </c>
      <c r="Y460" s="47">
        <f>R460*INDEX(FmtBlendedCogs,MATCH(F460,FmtName,0))</f>
        <v/>
      </c>
      <c r="Z460" s="47">
        <f>X460-Y460</f>
        <v/>
      </c>
    </row>
    <row r="461">
      <c r="A461" t="n">
        <v>36</v>
      </c>
      <c r="B461" s="44">
        <f>FiscalStart+(A461-1)*7</f>
        <v/>
      </c>
      <c r="C461">
        <f>TEXT(B461,"mmm yyyy")</f>
        <v/>
      </c>
      <c r="D461">
        <f>"Q"&amp;(INT((A461-1)/13)+1)</f>
        <v/>
      </c>
      <c r="E461" t="inlineStr">
        <is>
          <t>Convenience</t>
        </is>
      </c>
      <c r="F461">
        <f>IFERROR(INDEX(ChFormat,MATCH(E461,ChName,0)),"")</f>
        <v/>
      </c>
      <c r="G461" t="inlineStr">
        <is>
          <t>PE</t>
        </is>
      </c>
      <c r="H461">
        <f>IF(A461&lt;=NWeeks,1,0)</f>
        <v/>
      </c>
      <c r="I461">
        <f>INDEX(ChLaunch,MATCH(E461,ChName,0))</f>
        <v/>
      </c>
      <c r="J461">
        <f>INDEX(ChWeeksFull,MATCH(E461,ChName,0))</f>
        <v/>
      </c>
      <c r="K461">
        <f>INDEX(ChRamp,MATCH(E461,ChName,0))</f>
        <v/>
      </c>
      <c r="L461" s="45">
        <f>MIN(1,MAX(0,(A461-I461+1)*RampSpeed/J461))</f>
        <v/>
      </c>
      <c r="M461" s="45">
        <f>IF(A461&lt;I461,0,IF(K461="S-curve",L461*L461*(3-2*L461),L461))</f>
        <v/>
      </c>
      <c r="N461" s="45">
        <f>1+(INDEX(SeasonIdx,A461)-1)*SeasonAmp</f>
        <v/>
      </c>
      <c r="O461" s="45">
        <f>IFERROR(INDEX(PSPct,MATCH(E461&amp;"|"&amp;G461,PSKey,0)),0)</f>
        <v/>
      </c>
      <c r="P461" s="46">
        <f>INDEX(ChDoorVel,MATCH(E461,ChName,0))*CalibScalar*(1+VelocityUplift)</f>
        <v/>
      </c>
      <c r="Q461" s="46" t="n">
        <v>0</v>
      </c>
      <c r="R461" s="46">
        <f>P461*O461*M461*N461*H461</f>
        <v/>
      </c>
      <c r="S461" s="46">
        <f>R461*INDEX(FmtCansPerCase,MATCH(F461,FmtName,0))</f>
        <v/>
      </c>
      <c r="T461" s="46">
        <f>S461/INDEX(FmtCansPerPack,MATCH(F461,FmtName,0))</f>
        <v/>
      </c>
      <c r="U461" s="47">
        <f>INDEX(ChBaseCP,MATCH(E461,ChName,0))*(1+INDEX(ProvMod,MATCH(G461,ProvCode,0)))*(1+PriceIndex)</f>
        <v/>
      </c>
      <c r="V461" s="47">
        <f>R461*U461*INDEX(FmtBlendedPriceIdx,MATCH(F461,FmtName,0))</f>
        <v/>
      </c>
      <c r="W461" s="47">
        <f>T461*INDEX(ProvSRP,MATCH(G461,ProvCode,0))*(1+PriceIndex)</f>
        <v/>
      </c>
      <c r="X461" s="47">
        <f>IF(GrossBasis="Wholesale",V461,W461)</f>
        <v/>
      </c>
      <c r="Y461" s="47">
        <f>R461*INDEX(FmtBlendedCogs,MATCH(F461,FmtName,0))</f>
        <v/>
      </c>
      <c r="Z461" s="47">
        <f>X461-Y461</f>
        <v/>
      </c>
    </row>
    <row r="462">
      <c r="A462" t="n">
        <v>37</v>
      </c>
      <c r="B462" s="44">
        <f>FiscalStart+(A462-1)*7</f>
        <v/>
      </c>
      <c r="C462">
        <f>TEXT(B462,"mmm yyyy")</f>
        <v/>
      </c>
      <c r="D462">
        <f>"Q"&amp;(INT((A462-1)/13)+1)</f>
        <v/>
      </c>
      <c r="E462" t="inlineStr">
        <is>
          <t>Convenience</t>
        </is>
      </c>
      <c r="F462">
        <f>IFERROR(INDEX(ChFormat,MATCH(E462,ChName,0)),"")</f>
        <v/>
      </c>
      <c r="G462" t="inlineStr">
        <is>
          <t>PE</t>
        </is>
      </c>
      <c r="H462">
        <f>IF(A462&lt;=NWeeks,1,0)</f>
        <v/>
      </c>
      <c r="I462">
        <f>INDEX(ChLaunch,MATCH(E462,ChName,0))</f>
        <v/>
      </c>
      <c r="J462">
        <f>INDEX(ChWeeksFull,MATCH(E462,ChName,0))</f>
        <v/>
      </c>
      <c r="K462">
        <f>INDEX(ChRamp,MATCH(E462,ChName,0))</f>
        <v/>
      </c>
      <c r="L462" s="45">
        <f>MIN(1,MAX(0,(A462-I462+1)*RampSpeed/J462))</f>
        <v/>
      </c>
      <c r="M462" s="45">
        <f>IF(A462&lt;I462,0,IF(K462="S-curve",L462*L462*(3-2*L462),L462))</f>
        <v/>
      </c>
      <c r="N462" s="45">
        <f>1+(INDEX(SeasonIdx,A462)-1)*SeasonAmp</f>
        <v/>
      </c>
      <c r="O462" s="45">
        <f>IFERROR(INDEX(PSPct,MATCH(E462&amp;"|"&amp;G462,PSKey,0)),0)</f>
        <v/>
      </c>
      <c r="P462" s="46">
        <f>INDEX(ChDoorVel,MATCH(E462,ChName,0))*CalibScalar*(1+VelocityUplift)</f>
        <v/>
      </c>
      <c r="Q462" s="46" t="n">
        <v>0</v>
      </c>
      <c r="R462" s="46">
        <f>P462*O462*M462*N462*H462</f>
        <v/>
      </c>
      <c r="S462" s="46">
        <f>R462*INDEX(FmtCansPerCase,MATCH(F462,FmtName,0))</f>
        <v/>
      </c>
      <c r="T462" s="46">
        <f>S462/INDEX(FmtCansPerPack,MATCH(F462,FmtName,0))</f>
        <v/>
      </c>
      <c r="U462" s="47">
        <f>INDEX(ChBaseCP,MATCH(E462,ChName,0))*(1+INDEX(ProvMod,MATCH(G462,ProvCode,0)))*(1+PriceIndex)</f>
        <v/>
      </c>
      <c r="V462" s="47">
        <f>R462*U462*INDEX(FmtBlendedPriceIdx,MATCH(F462,FmtName,0))</f>
        <v/>
      </c>
      <c r="W462" s="47">
        <f>T462*INDEX(ProvSRP,MATCH(G462,ProvCode,0))*(1+PriceIndex)</f>
        <v/>
      </c>
      <c r="X462" s="47">
        <f>IF(GrossBasis="Wholesale",V462,W462)</f>
        <v/>
      </c>
      <c r="Y462" s="47">
        <f>R462*INDEX(FmtBlendedCogs,MATCH(F462,FmtName,0))</f>
        <v/>
      </c>
      <c r="Z462" s="47">
        <f>X462-Y462</f>
        <v/>
      </c>
    </row>
    <row r="463">
      <c r="A463" t="n">
        <v>38</v>
      </c>
      <c r="B463" s="44">
        <f>FiscalStart+(A463-1)*7</f>
        <v/>
      </c>
      <c r="C463">
        <f>TEXT(B463,"mmm yyyy")</f>
        <v/>
      </c>
      <c r="D463">
        <f>"Q"&amp;(INT((A463-1)/13)+1)</f>
        <v/>
      </c>
      <c r="E463" t="inlineStr">
        <is>
          <t>Convenience</t>
        </is>
      </c>
      <c r="F463">
        <f>IFERROR(INDEX(ChFormat,MATCH(E463,ChName,0)),"")</f>
        <v/>
      </c>
      <c r="G463" t="inlineStr">
        <is>
          <t>PE</t>
        </is>
      </c>
      <c r="H463">
        <f>IF(A463&lt;=NWeeks,1,0)</f>
        <v/>
      </c>
      <c r="I463">
        <f>INDEX(ChLaunch,MATCH(E463,ChName,0))</f>
        <v/>
      </c>
      <c r="J463">
        <f>INDEX(ChWeeksFull,MATCH(E463,ChName,0))</f>
        <v/>
      </c>
      <c r="K463">
        <f>INDEX(ChRamp,MATCH(E463,ChName,0))</f>
        <v/>
      </c>
      <c r="L463" s="45">
        <f>MIN(1,MAX(0,(A463-I463+1)*RampSpeed/J463))</f>
        <v/>
      </c>
      <c r="M463" s="45">
        <f>IF(A463&lt;I463,0,IF(K463="S-curve",L463*L463*(3-2*L463),L463))</f>
        <v/>
      </c>
      <c r="N463" s="45">
        <f>1+(INDEX(SeasonIdx,A463)-1)*SeasonAmp</f>
        <v/>
      </c>
      <c r="O463" s="45">
        <f>IFERROR(INDEX(PSPct,MATCH(E463&amp;"|"&amp;G463,PSKey,0)),0)</f>
        <v/>
      </c>
      <c r="P463" s="46">
        <f>INDEX(ChDoorVel,MATCH(E463,ChName,0))*CalibScalar*(1+VelocityUplift)</f>
        <v/>
      </c>
      <c r="Q463" s="46" t="n">
        <v>0</v>
      </c>
      <c r="R463" s="46">
        <f>P463*O463*M463*N463*H463</f>
        <v/>
      </c>
      <c r="S463" s="46">
        <f>R463*INDEX(FmtCansPerCase,MATCH(F463,FmtName,0))</f>
        <v/>
      </c>
      <c r="T463" s="46">
        <f>S463/INDEX(FmtCansPerPack,MATCH(F463,FmtName,0))</f>
        <v/>
      </c>
      <c r="U463" s="47">
        <f>INDEX(ChBaseCP,MATCH(E463,ChName,0))*(1+INDEX(ProvMod,MATCH(G463,ProvCode,0)))*(1+PriceIndex)</f>
        <v/>
      </c>
      <c r="V463" s="47">
        <f>R463*U463*INDEX(FmtBlendedPriceIdx,MATCH(F463,FmtName,0))</f>
        <v/>
      </c>
      <c r="W463" s="47">
        <f>T463*INDEX(ProvSRP,MATCH(G463,ProvCode,0))*(1+PriceIndex)</f>
        <v/>
      </c>
      <c r="X463" s="47">
        <f>IF(GrossBasis="Wholesale",V463,W463)</f>
        <v/>
      </c>
      <c r="Y463" s="47">
        <f>R463*INDEX(FmtBlendedCogs,MATCH(F463,FmtName,0))</f>
        <v/>
      </c>
      <c r="Z463" s="47">
        <f>X463-Y463</f>
        <v/>
      </c>
    </row>
    <row r="464">
      <c r="A464" t="n">
        <v>39</v>
      </c>
      <c r="B464" s="44">
        <f>FiscalStart+(A464-1)*7</f>
        <v/>
      </c>
      <c r="C464">
        <f>TEXT(B464,"mmm yyyy")</f>
        <v/>
      </c>
      <c r="D464">
        <f>"Q"&amp;(INT((A464-1)/13)+1)</f>
        <v/>
      </c>
      <c r="E464" t="inlineStr">
        <is>
          <t>Convenience</t>
        </is>
      </c>
      <c r="F464">
        <f>IFERROR(INDEX(ChFormat,MATCH(E464,ChName,0)),"")</f>
        <v/>
      </c>
      <c r="G464" t="inlineStr">
        <is>
          <t>PE</t>
        </is>
      </c>
      <c r="H464">
        <f>IF(A464&lt;=NWeeks,1,0)</f>
        <v/>
      </c>
      <c r="I464">
        <f>INDEX(ChLaunch,MATCH(E464,ChName,0))</f>
        <v/>
      </c>
      <c r="J464">
        <f>INDEX(ChWeeksFull,MATCH(E464,ChName,0))</f>
        <v/>
      </c>
      <c r="K464">
        <f>INDEX(ChRamp,MATCH(E464,ChName,0))</f>
        <v/>
      </c>
      <c r="L464" s="45">
        <f>MIN(1,MAX(0,(A464-I464+1)*RampSpeed/J464))</f>
        <v/>
      </c>
      <c r="M464" s="45">
        <f>IF(A464&lt;I464,0,IF(K464="S-curve",L464*L464*(3-2*L464),L464))</f>
        <v/>
      </c>
      <c r="N464" s="45">
        <f>1+(INDEX(SeasonIdx,A464)-1)*SeasonAmp</f>
        <v/>
      </c>
      <c r="O464" s="45">
        <f>IFERROR(INDEX(PSPct,MATCH(E464&amp;"|"&amp;G464,PSKey,0)),0)</f>
        <v/>
      </c>
      <c r="P464" s="46">
        <f>INDEX(ChDoorVel,MATCH(E464,ChName,0))*CalibScalar*(1+VelocityUplift)</f>
        <v/>
      </c>
      <c r="Q464" s="46" t="n">
        <v>0</v>
      </c>
      <c r="R464" s="46">
        <f>P464*O464*M464*N464*H464</f>
        <v/>
      </c>
      <c r="S464" s="46">
        <f>R464*INDEX(FmtCansPerCase,MATCH(F464,FmtName,0))</f>
        <v/>
      </c>
      <c r="T464" s="46">
        <f>S464/INDEX(FmtCansPerPack,MATCH(F464,FmtName,0))</f>
        <v/>
      </c>
      <c r="U464" s="47">
        <f>INDEX(ChBaseCP,MATCH(E464,ChName,0))*(1+INDEX(ProvMod,MATCH(G464,ProvCode,0)))*(1+PriceIndex)</f>
        <v/>
      </c>
      <c r="V464" s="47">
        <f>R464*U464*INDEX(FmtBlendedPriceIdx,MATCH(F464,FmtName,0))</f>
        <v/>
      </c>
      <c r="W464" s="47">
        <f>T464*INDEX(ProvSRP,MATCH(G464,ProvCode,0))*(1+PriceIndex)</f>
        <v/>
      </c>
      <c r="X464" s="47">
        <f>IF(GrossBasis="Wholesale",V464,W464)</f>
        <v/>
      </c>
      <c r="Y464" s="47">
        <f>R464*INDEX(FmtBlendedCogs,MATCH(F464,FmtName,0))</f>
        <v/>
      </c>
      <c r="Z464" s="47">
        <f>X464-Y464</f>
        <v/>
      </c>
    </row>
    <row r="465">
      <c r="A465" t="n">
        <v>40</v>
      </c>
      <c r="B465" s="44">
        <f>FiscalStart+(A465-1)*7</f>
        <v/>
      </c>
      <c r="C465">
        <f>TEXT(B465,"mmm yyyy")</f>
        <v/>
      </c>
      <c r="D465">
        <f>"Q"&amp;(INT((A465-1)/13)+1)</f>
        <v/>
      </c>
      <c r="E465" t="inlineStr">
        <is>
          <t>Convenience</t>
        </is>
      </c>
      <c r="F465">
        <f>IFERROR(INDEX(ChFormat,MATCH(E465,ChName,0)),"")</f>
        <v/>
      </c>
      <c r="G465" t="inlineStr">
        <is>
          <t>PE</t>
        </is>
      </c>
      <c r="H465">
        <f>IF(A465&lt;=NWeeks,1,0)</f>
        <v/>
      </c>
      <c r="I465">
        <f>INDEX(ChLaunch,MATCH(E465,ChName,0))</f>
        <v/>
      </c>
      <c r="J465">
        <f>INDEX(ChWeeksFull,MATCH(E465,ChName,0))</f>
        <v/>
      </c>
      <c r="K465">
        <f>INDEX(ChRamp,MATCH(E465,ChName,0))</f>
        <v/>
      </c>
      <c r="L465" s="45">
        <f>MIN(1,MAX(0,(A465-I465+1)*RampSpeed/J465))</f>
        <v/>
      </c>
      <c r="M465" s="45">
        <f>IF(A465&lt;I465,0,IF(K465="S-curve",L465*L465*(3-2*L465),L465))</f>
        <v/>
      </c>
      <c r="N465" s="45">
        <f>1+(INDEX(SeasonIdx,A465)-1)*SeasonAmp</f>
        <v/>
      </c>
      <c r="O465" s="45">
        <f>IFERROR(INDEX(PSPct,MATCH(E465&amp;"|"&amp;G465,PSKey,0)),0)</f>
        <v/>
      </c>
      <c r="P465" s="46">
        <f>INDEX(ChDoorVel,MATCH(E465,ChName,0))*CalibScalar*(1+VelocityUplift)</f>
        <v/>
      </c>
      <c r="Q465" s="46" t="n">
        <v>0</v>
      </c>
      <c r="R465" s="46">
        <f>P465*O465*M465*N465*H465</f>
        <v/>
      </c>
      <c r="S465" s="46">
        <f>R465*INDEX(FmtCansPerCase,MATCH(F465,FmtName,0))</f>
        <v/>
      </c>
      <c r="T465" s="46">
        <f>S465/INDEX(FmtCansPerPack,MATCH(F465,FmtName,0))</f>
        <v/>
      </c>
      <c r="U465" s="47">
        <f>INDEX(ChBaseCP,MATCH(E465,ChName,0))*(1+INDEX(ProvMod,MATCH(G465,ProvCode,0)))*(1+PriceIndex)</f>
        <v/>
      </c>
      <c r="V465" s="47">
        <f>R465*U465*INDEX(FmtBlendedPriceIdx,MATCH(F465,FmtName,0))</f>
        <v/>
      </c>
      <c r="W465" s="47">
        <f>T465*INDEX(ProvSRP,MATCH(G465,ProvCode,0))*(1+PriceIndex)</f>
        <v/>
      </c>
      <c r="X465" s="47">
        <f>IF(GrossBasis="Wholesale",V465,W465)</f>
        <v/>
      </c>
      <c r="Y465" s="47">
        <f>R465*INDEX(FmtBlendedCogs,MATCH(F465,FmtName,0))</f>
        <v/>
      </c>
      <c r="Z465" s="47">
        <f>X465-Y465</f>
        <v/>
      </c>
    </row>
    <row r="466">
      <c r="A466" t="n">
        <v>41</v>
      </c>
      <c r="B466" s="44">
        <f>FiscalStart+(A466-1)*7</f>
        <v/>
      </c>
      <c r="C466">
        <f>TEXT(B466,"mmm yyyy")</f>
        <v/>
      </c>
      <c r="D466">
        <f>"Q"&amp;(INT((A466-1)/13)+1)</f>
        <v/>
      </c>
      <c r="E466" t="inlineStr">
        <is>
          <t>Convenience</t>
        </is>
      </c>
      <c r="F466">
        <f>IFERROR(INDEX(ChFormat,MATCH(E466,ChName,0)),"")</f>
        <v/>
      </c>
      <c r="G466" t="inlineStr">
        <is>
          <t>PE</t>
        </is>
      </c>
      <c r="H466">
        <f>IF(A466&lt;=NWeeks,1,0)</f>
        <v/>
      </c>
      <c r="I466">
        <f>INDEX(ChLaunch,MATCH(E466,ChName,0))</f>
        <v/>
      </c>
      <c r="J466">
        <f>INDEX(ChWeeksFull,MATCH(E466,ChName,0))</f>
        <v/>
      </c>
      <c r="K466">
        <f>INDEX(ChRamp,MATCH(E466,ChName,0))</f>
        <v/>
      </c>
      <c r="L466" s="45">
        <f>MIN(1,MAX(0,(A466-I466+1)*RampSpeed/J466))</f>
        <v/>
      </c>
      <c r="M466" s="45">
        <f>IF(A466&lt;I466,0,IF(K466="S-curve",L466*L466*(3-2*L466),L466))</f>
        <v/>
      </c>
      <c r="N466" s="45">
        <f>1+(INDEX(SeasonIdx,A466)-1)*SeasonAmp</f>
        <v/>
      </c>
      <c r="O466" s="45">
        <f>IFERROR(INDEX(PSPct,MATCH(E466&amp;"|"&amp;G466,PSKey,0)),0)</f>
        <v/>
      </c>
      <c r="P466" s="46">
        <f>INDEX(ChDoorVel,MATCH(E466,ChName,0))*CalibScalar*(1+VelocityUplift)</f>
        <v/>
      </c>
      <c r="Q466" s="46" t="n">
        <v>0</v>
      </c>
      <c r="R466" s="46">
        <f>P466*O466*M466*N466*H466</f>
        <v/>
      </c>
      <c r="S466" s="46">
        <f>R466*INDEX(FmtCansPerCase,MATCH(F466,FmtName,0))</f>
        <v/>
      </c>
      <c r="T466" s="46">
        <f>S466/INDEX(FmtCansPerPack,MATCH(F466,FmtName,0))</f>
        <v/>
      </c>
      <c r="U466" s="47">
        <f>INDEX(ChBaseCP,MATCH(E466,ChName,0))*(1+INDEX(ProvMod,MATCH(G466,ProvCode,0)))*(1+PriceIndex)</f>
        <v/>
      </c>
      <c r="V466" s="47">
        <f>R466*U466*INDEX(FmtBlendedPriceIdx,MATCH(F466,FmtName,0))</f>
        <v/>
      </c>
      <c r="W466" s="47">
        <f>T466*INDEX(ProvSRP,MATCH(G466,ProvCode,0))*(1+PriceIndex)</f>
        <v/>
      </c>
      <c r="X466" s="47">
        <f>IF(GrossBasis="Wholesale",V466,W466)</f>
        <v/>
      </c>
      <c r="Y466" s="47">
        <f>R466*INDEX(FmtBlendedCogs,MATCH(F466,FmtName,0))</f>
        <v/>
      </c>
      <c r="Z466" s="47">
        <f>X466-Y466</f>
        <v/>
      </c>
    </row>
    <row r="467">
      <c r="A467" t="n">
        <v>42</v>
      </c>
      <c r="B467" s="44">
        <f>FiscalStart+(A467-1)*7</f>
        <v/>
      </c>
      <c r="C467">
        <f>TEXT(B467,"mmm yyyy")</f>
        <v/>
      </c>
      <c r="D467">
        <f>"Q"&amp;(INT((A467-1)/13)+1)</f>
        <v/>
      </c>
      <c r="E467" t="inlineStr">
        <is>
          <t>Convenience</t>
        </is>
      </c>
      <c r="F467">
        <f>IFERROR(INDEX(ChFormat,MATCH(E467,ChName,0)),"")</f>
        <v/>
      </c>
      <c r="G467" t="inlineStr">
        <is>
          <t>PE</t>
        </is>
      </c>
      <c r="H467">
        <f>IF(A467&lt;=NWeeks,1,0)</f>
        <v/>
      </c>
      <c r="I467">
        <f>INDEX(ChLaunch,MATCH(E467,ChName,0))</f>
        <v/>
      </c>
      <c r="J467">
        <f>INDEX(ChWeeksFull,MATCH(E467,ChName,0))</f>
        <v/>
      </c>
      <c r="K467">
        <f>INDEX(ChRamp,MATCH(E467,ChName,0))</f>
        <v/>
      </c>
      <c r="L467" s="45">
        <f>MIN(1,MAX(0,(A467-I467+1)*RampSpeed/J467))</f>
        <v/>
      </c>
      <c r="M467" s="45">
        <f>IF(A467&lt;I467,0,IF(K467="S-curve",L467*L467*(3-2*L467),L467))</f>
        <v/>
      </c>
      <c r="N467" s="45">
        <f>1+(INDEX(SeasonIdx,A467)-1)*SeasonAmp</f>
        <v/>
      </c>
      <c r="O467" s="45">
        <f>IFERROR(INDEX(PSPct,MATCH(E467&amp;"|"&amp;G467,PSKey,0)),0)</f>
        <v/>
      </c>
      <c r="P467" s="46">
        <f>INDEX(ChDoorVel,MATCH(E467,ChName,0))*CalibScalar*(1+VelocityUplift)</f>
        <v/>
      </c>
      <c r="Q467" s="46" t="n">
        <v>0</v>
      </c>
      <c r="R467" s="46">
        <f>P467*O467*M467*N467*H467</f>
        <v/>
      </c>
      <c r="S467" s="46">
        <f>R467*INDEX(FmtCansPerCase,MATCH(F467,FmtName,0))</f>
        <v/>
      </c>
      <c r="T467" s="46">
        <f>S467/INDEX(FmtCansPerPack,MATCH(F467,FmtName,0))</f>
        <v/>
      </c>
      <c r="U467" s="47">
        <f>INDEX(ChBaseCP,MATCH(E467,ChName,0))*(1+INDEX(ProvMod,MATCH(G467,ProvCode,0)))*(1+PriceIndex)</f>
        <v/>
      </c>
      <c r="V467" s="47">
        <f>R467*U467*INDEX(FmtBlendedPriceIdx,MATCH(F467,FmtName,0))</f>
        <v/>
      </c>
      <c r="W467" s="47">
        <f>T467*INDEX(ProvSRP,MATCH(G467,ProvCode,0))*(1+PriceIndex)</f>
        <v/>
      </c>
      <c r="X467" s="47">
        <f>IF(GrossBasis="Wholesale",V467,W467)</f>
        <v/>
      </c>
      <c r="Y467" s="47">
        <f>R467*INDEX(FmtBlendedCogs,MATCH(F467,FmtName,0))</f>
        <v/>
      </c>
      <c r="Z467" s="47">
        <f>X467-Y467</f>
        <v/>
      </c>
    </row>
    <row r="468">
      <c r="A468" t="n">
        <v>43</v>
      </c>
      <c r="B468" s="44">
        <f>FiscalStart+(A468-1)*7</f>
        <v/>
      </c>
      <c r="C468">
        <f>TEXT(B468,"mmm yyyy")</f>
        <v/>
      </c>
      <c r="D468">
        <f>"Q"&amp;(INT((A468-1)/13)+1)</f>
        <v/>
      </c>
      <c r="E468" t="inlineStr">
        <is>
          <t>Convenience</t>
        </is>
      </c>
      <c r="F468">
        <f>IFERROR(INDEX(ChFormat,MATCH(E468,ChName,0)),"")</f>
        <v/>
      </c>
      <c r="G468" t="inlineStr">
        <is>
          <t>PE</t>
        </is>
      </c>
      <c r="H468">
        <f>IF(A468&lt;=NWeeks,1,0)</f>
        <v/>
      </c>
      <c r="I468">
        <f>INDEX(ChLaunch,MATCH(E468,ChName,0))</f>
        <v/>
      </c>
      <c r="J468">
        <f>INDEX(ChWeeksFull,MATCH(E468,ChName,0))</f>
        <v/>
      </c>
      <c r="K468">
        <f>INDEX(ChRamp,MATCH(E468,ChName,0))</f>
        <v/>
      </c>
      <c r="L468" s="45">
        <f>MIN(1,MAX(0,(A468-I468+1)*RampSpeed/J468))</f>
        <v/>
      </c>
      <c r="M468" s="45">
        <f>IF(A468&lt;I468,0,IF(K468="S-curve",L468*L468*(3-2*L468),L468))</f>
        <v/>
      </c>
      <c r="N468" s="45">
        <f>1+(INDEX(SeasonIdx,A468)-1)*SeasonAmp</f>
        <v/>
      </c>
      <c r="O468" s="45">
        <f>IFERROR(INDEX(PSPct,MATCH(E468&amp;"|"&amp;G468,PSKey,0)),0)</f>
        <v/>
      </c>
      <c r="P468" s="46">
        <f>INDEX(ChDoorVel,MATCH(E468,ChName,0))*CalibScalar*(1+VelocityUplift)</f>
        <v/>
      </c>
      <c r="Q468" s="46" t="n">
        <v>0</v>
      </c>
      <c r="R468" s="46">
        <f>P468*O468*M468*N468*H468</f>
        <v/>
      </c>
      <c r="S468" s="46">
        <f>R468*INDEX(FmtCansPerCase,MATCH(F468,FmtName,0))</f>
        <v/>
      </c>
      <c r="T468" s="46">
        <f>S468/INDEX(FmtCansPerPack,MATCH(F468,FmtName,0))</f>
        <v/>
      </c>
      <c r="U468" s="47">
        <f>INDEX(ChBaseCP,MATCH(E468,ChName,0))*(1+INDEX(ProvMod,MATCH(G468,ProvCode,0)))*(1+PriceIndex)</f>
        <v/>
      </c>
      <c r="V468" s="47">
        <f>R468*U468*INDEX(FmtBlendedPriceIdx,MATCH(F468,FmtName,0))</f>
        <v/>
      </c>
      <c r="W468" s="47">
        <f>T468*INDEX(ProvSRP,MATCH(G468,ProvCode,0))*(1+PriceIndex)</f>
        <v/>
      </c>
      <c r="X468" s="47">
        <f>IF(GrossBasis="Wholesale",V468,W468)</f>
        <v/>
      </c>
      <c r="Y468" s="47">
        <f>R468*INDEX(FmtBlendedCogs,MATCH(F468,FmtName,0))</f>
        <v/>
      </c>
      <c r="Z468" s="47">
        <f>X468-Y468</f>
        <v/>
      </c>
    </row>
    <row r="469">
      <c r="A469" t="n">
        <v>44</v>
      </c>
      <c r="B469" s="44">
        <f>FiscalStart+(A469-1)*7</f>
        <v/>
      </c>
      <c r="C469">
        <f>TEXT(B469,"mmm yyyy")</f>
        <v/>
      </c>
      <c r="D469">
        <f>"Q"&amp;(INT((A469-1)/13)+1)</f>
        <v/>
      </c>
      <c r="E469" t="inlineStr">
        <is>
          <t>Convenience</t>
        </is>
      </c>
      <c r="F469">
        <f>IFERROR(INDEX(ChFormat,MATCH(E469,ChName,0)),"")</f>
        <v/>
      </c>
      <c r="G469" t="inlineStr">
        <is>
          <t>PE</t>
        </is>
      </c>
      <c r="H469">
        <f>IF(A469&lt;=NWeeks,1,0)</f>
        <v/>
      </c>
      <c r="I469">
        <f>INDEX(ChLaunch,MATCH(E469,ChName,0))</f>
        <v/>
      </c>
      <c r="J469">
        <f>INDEX(ChWeeksFull,MATCH(E469,ChName,0))</f>
        <v/>
      </c>
      <c r="K469">
        <f>INDEX(ChRamp,MATCH(E469,ChName,0))</f>
        <v/>
      </c>
      <c r="L469" s="45">
        <f>MIN(1,MAX(0,(A469-I469+1)*RampSpeed/J469))</f>
        <v/>
      </c>
      <c r="M469" s="45">
        <f>IF(A469&lt;I469,0,IF(K469="S-curve",L469*L469*(3-2*L469),L469))</f>
        <v/>
      </c>
      <c r="N469" s="45">
        <f>1+(INDEX(SeasonIdx,A469)-1)*SeasonAmp</f>
        <v/>
      </c>
      <c r="O469" s="45">
        <f>IFERROR(INDEX(PSPct,MATCH(E469&amp;"|"&amp;G469,PSKey,0)),0)</f>
        <v/>
      </c>
      <c r="P469" s="46">
        <f>INDEX(ChDoorVel,MATCH(E469,ChName,0))*CalibScalar*(1+VelocityUplift)</f>
        <v/>
      </c>
      <c r="Q469" s="46" t="n">
        <v>0</v>
      </c>
      <c r="R469" s="46">
        <f>P469*O469*M469*N469*H469</f>
        <v/>
      </c>
      <c r="S469" s="46">
        <f>R469*INDEX(FmtCansPerCase,MATCH(F469,FmtName,0))</f>
        <v/>
      </c>
      <c r="T469" s="46">
        <f>S469/INDEX(FmtCansPerPack,MATCH(F469,FmtName,0))</f>
        <v/>
      </c>
      <c r="U469" s="47">
        <f>INDEX(ChBaseCP,MATCH(E469,ChName,0))*(1+INDEX(ProvMod,MATCH(G469,ProvCode,0)))*(1+PriceIndex)</f>
        <v/>
      </c>
      <c r="V469" s="47">
        <f>R469*U469*INDEX(FmtBlendedPriceIdx,MATCH(F469,FmtName,0))</f>
        <v/>
      </c>
      <c r="W469" s="47">
        <f>T469*INDEX(ProvSRP,MATCH(G469,ProvCode,0))*(1+PriceIndex)</f>
        <v/>
      </c>
      <c r="X469" s="47">
        <f>IF(GrossBasis="Wholesale",V469,W469)</f>
        <v/>
      </c>
      <c r="Y469" s="47">
        <f>R469*INDEX(FmtBlendedCogs,MATCH(F469,FmtName,0))</f>
        <v/>
      </c>
      <c r="Z469" s="47">
        <f>X469-Y469</f>
        <v/>
      </c>
    </row>
    <row r="470">
      <c r="A470" t="n">
        <v>45</v>
      </c>
      <c r="B470" s="44">
        <f>FiscalStart+(A470-1)*7</f>
        <v/>
      </c>
      <c r="C470">
        <f>TEXT(B470,"mmm yyyy")</f>
        <v/>
      </c>
      <c r="D470">
        <f>"Q"&amp;(INT((A470-1)/13)+1)</f>
        <v/>
      </c>
      <c r="E470" t="inlineStr">
        <is>
          <t>Convenience</t>
        </is>
      </c>
      <c r="F470">
        <f>IFERROR(INDEX(ChFormat,MATCH(E470,ChName,0)),"")</f>
        <v/>
      </c>
      <c r="G470" t="inlineStr">
        <is>
          <t>PE</t>
        </is>
      </c>
      <c r="H470">
        <f>IF(A470&lt;=NWeeks,1,0)</f>
        <v/>
      </c>
      <c r="I470">
        <f>INDEX(ChLaunch,MATCH(E470,ChName,0))</f>
        <v/>
      </c>
      <c r="J470">
        <f>INDEX(ChWeeksFull,MATCH(E470,ChName,0))</f>
        <v/>
      </c>
      <c r="K470">
        <f>INDEX(ChRamp,MATCH(E470,ChName,0))</f>
        <v/>
      </c>
      <c r="L470" s="45">
        <f>MIN(1,MAX(0,(A470-I470+1)*RampSpeed/J470))</f>
        <v/>
      </c>
      <c r="M470" s="45">
        <f>IF(A470&lt;I470,0,IF(K470="S-curve",L470*L470*(3-2*L470),L470))</f>
        <v/>
      </c>
      <c r="N470" s="45">
        <f>1+(INDEX(SeasonIdx,A470)-1)*SeasonAmp</f>
        <v/>
      </c>
      <c r="O470" s="45">
        <f>IFERROR(INDEX(PSPct,MATCH(E470&amp;"|"&amp;G470,PSKey,0)),0)</f>
        <v/>
      </c>
      <c r="P470" s="46">
        <f>INDEX(ChDoorVel,MATCH(E470,ChName,0))*CalibScalar*(1+VelocityUplift)</f>
        <v/>
      </c>
      <c r="Q470" s="46" t="n">
        <v>0</v>
      </c>
      <c r="R470" s="46">
        <f>P470*O470*M470*N470*H470</f>
        <v/>
      </c>
      <c r="S470" s="46">
        <f>R470*INDEX(FmtCansPerCase,MATCH(F470,FmtName,0))</f>
        <v/>
      </c>
      <c r="T470" s="46">
        <f>S470/INDEX(FmtCansPerPack,MATCH(F470,FmtName,0))</f>
        <v/>
      </c>
      <c r="U470" s="47">
        <f>INDEX(ChBaseCP,MATCH(E470,ChName,0))*(1+INDEX(ProvMod,MATCH(G470,ProvCode,0)))*(1+PriceIndex)</f>
        <v/>
      </c>
      <c r="V470" s="47">
        <f>R470*U470*INDEX(FmtBlendedPriceIdx,MATCH(F470,FmtName,0))</f>
        <v/>
      </c>
      <c r="W470" s="47">
        <f>T470*INDEX(ProvSRP,MATCH(G470,ProvCode,0))*(1+PriceIndex)</f>
        <v/>
      </c>
      <c r="X470" s="47">
        <f>IF(GrossBasis="Wholesale",V470,W470)</f>
        <v/>
      </c>
      <c r="Y470" s="47">
        <f>R470*INDEX(FmtBlendedCogs,MATCH(F470,FmtName,0))</f>
        <v/>
      </c>
      <c r="Z470" s="47">
        <f>X470-Y470</f>
        <v/>
      </c>
    </row>
    <row r="471">
      <c r="A471" t="n">
        <v>46</v>
      </c>
      <c r="B471" s="44">
        <f>FiscalStart+(A471-1)*7</f>
        <v/>
      </c>
      <c r="C471">
        <f>TEXT(B471,"mmm yyyy")</f>
        <v/>
      </c>
      <c r="D471">
        <f>"Q"&amp;(INT((A471-1)/13)+1)</f>
        <v/>
      </c>
      <c r="E471" t="inlineStr">
        <is>
          <t>Convenience</t>
        </is>
      </c>
      <c r="F471">
        <f>IFERROR(INDEX(ChFormat,MATCH(E471,ChName,0)),"")</f>
        <v/>
      </c>
      <c r="G471" t="inlineStr">
        <is>
          <t>PE</t>
        </is>
      </c>
      <c r="H471">
        <f>IF(A471&lt;=NWeeks,1,0)</f>
        <v/>
      </c>
      <c r="I471">
        <f>INDEX(ChLaunch,MATCH(E471,ChName,0))</f>
        <v/>
      </c>
      <c r="J471">
        <f>INDEX(ChWeeksFull,MATCH(E471,ChName,0))</f>
        <v/>
      </c>
      <c r="K471">
        <f>INDEX(ChRamp,MATCH(E471,ChName,0))</f>
        <v/>
      </c>
      <c r="L471" s="45">
        <f>MIN(1,MAX(0,(A471-I471+1)*RampSpeed/J471))</f>
        <v/>
      </c>
      <c r="M471" s="45">
        <f>IF(A471&lt;I471,0,IF(K471="S-curve",L471*L471*(3-2*L471),L471))</f>
        <v/>
      </c>
      <c r="N471" s="45">
        <f>1+(INDEX(SeasonIdx,A471)-1)*SeasonAmp</f>
        <v/>
      </c>
      <c r="O471" s="45">
        <f>IFERROR(INDEX(PSPct,MATCH(E471&amp;"|"&amp;G471,PSKey,0)),0)</f>
        <v/>
      </c>
      <c r="P471" s="46">
        <f>INDEX(ChDoorVel,MATCH(E471,ChName,0))*CalibScalar*(1+VelocityUplift)</f>
        <v/>
      </c>
      <c r="Q471" s="46" t="n">
        <v>0</v>
      </c>
      <c r="R471" s="46">
        <f>P471*O471*M471*N471*H471</f>
        <v/>
      </c>
      <c r="S471" s="46">
        <f>R471*INDEX(FmtCansPerCase,MATCH(F471,FmtName,0))</f>
        <v/>
      </c>
      <c r="T471" s="46">
        <f>S471/INDEX(FmtCansPerPack,MATCH(F471,FmtName,0))</f>
        <v/>
      </c>
      <c r="U471" s="47">
        <f>INDEX(ChBaseCP,MATCH(E471,ChName,0))*(1+INDEX(ProvMod,MATCH(G471,ProvCode,0)))*(1+PriceIndex)</f>
        <v/>
      </c>
      <c r="V471" s="47">
        <f>R471*U471*INDEX(FmtBlendedPriceIdx,MATCH(F471,FmtName,0))</f>
        <v/>
      </c>
      <c r="W471" s="47">
        <f>T471*INDEX(ProvSRP,MATCH(G471,ProvCode,0))*(1+PriceIndex)</f>
        <v/>
      </c>
      <c r="X471" s="47">
        <f>IF(GrossBasis="Wholesale",V471,W471)</f>
        <v/>
      </c>
      <c r="Y471" s="47">
        <f>R471*INDEX(FmtBlendedCogs,MATCH(F471,FmtName,0))</f>
        <v/>
      </c>
      <c r="Z471" s="47">
        <f>X471-Y471</f>
        <v/>
      </c>
    </row>
    <row r="472">
      <c r="A472" t="n">
        <v>47</v>
      </c>
      <c r="B472" s="44">
        <f>FiscalStart+(A472-1)*7</f>
        <v/>
      </c>
      <c r="C472">
        <f>TEXT(B472,"mmm yyyy")</f>
        <v/>
      </c>
      <c r="D472">
        <f>"Q"&amp;(INT((A472-1)/13)+1)</f>
        <v/>
      </c>
      <c r="E472" t="inlineStr">
        <is>
          <t>Convenience</t>
        </is>
      </c>
      <c r="F472">
        <f>IFERROR(INDEX(ChFormat,MATCH(E472,ChName,0)),"")</f>
        <v/>
      </c>
      <c r="G472" t="inlineStr">
        <is>
          <t>PE</t>
        </is>
      </c>
      <c r="H472">
        <f>IF(A472&lt;=NWeeks,1,0)</f>
        <v/>
      </c>
      <c r="I472">
        <f>INDEX(ChLaunch,MATCH(E472,ChName,0))</f>
        <v/>
      </c>
      <c r="J472">
        <f>INDEX(ChWeeksFull,MATCH(E472,ChName,0))</f>
        <v/>
      </c>
      <c r="K472">
        <f>INDEX(ChRamp,MATCH(E472,ChName,0))</f>
        <v/>
      </c>
      <c r="L472" s="45">
        <f>MIN(1,MAX(0,(A472-I472+1)*RampSpeed/J472))</f>
        <v/>
      </c>
      <c r="M472" s="45">
        <f>IF(A472&lt;I472,0,IF(K472="S-curve",L472*L472*(3-2*L472),L472))</f>
        <v/>
      </c>
      <c r="N472" s="45">
        <f>1+(INDEX(SeasonIdx,A472)-1)*SeasonAmp</f>
        <v/>
      </c>
      <c r="O472" s="45">
        <f>IFERROR(INDEX(PSPct,MATCH(E472&amp;"|"&amp;G472,PSKey,0)),0)</f>
        <v/>
      </c>
      <c r="P472" s="46">
        <f>INDEX(ChDoorVel,MATCH(E472,ChName,0))*CalibScalar*(1+VelocityUplift)</f>
        <v/>
      </c>
      <c r="Q472" s="46" t="n">
        <v>0</v>
      </c>
      <c r="R472" s="46">
        <f>P472*O472*M472*N472*H472</f>
        <v/>
      </c>
      <c r="S472" s="46">
        <f>R472*INDEX(FmtCansPerCase,MATCH(F472,FmtName,0))</f>
        <v/>
      </c>
      <c r="T472" s="46">
        <f>S472/INDEX(FmtCansPerPack,MATCH(F472,FmtName,0))</f>
        <v/>
      </c>
      <c r="U472" s="47">
        <f>INDEX(ChBaseCP,MATCH(E472,ChName,0))*(1+INDEX(ProvMod,MATCH(G472,ProvCode,0)))*(1+PriceIndex)</f>
        <v/>
      </c>
      <c r="V472" s="47">
        <f>R472*U472*INDEX(FmtBlendedPriceIdx,MATCH(F472,FmtName,0))</f>
        <v/>
      </c>
      <c r="W472" s="47">
        <f>T472*INDEX(ProvSRP,MATCH(G472,ProvCode,0))*(1+PriceIndex)</f>
        <v/>
      </c>
      <c r="X472" s="47">
        <f>IF(GrossBasis="Wholesale",V472,W472)</f>
        <v/>
      </c>
      <c r="Y472" s="47">
        <f>R472*INDEX(FmtBlendedCogs,MATCH(F472,FmtName,0))</f>
        <v/>
      </c>
      <c r="Z472" s="47">
        <f>X472-Y472</f>
        <v/>
      </c>
    </row>
    <row r="473">
      <c r="A473" t="n">
        <v>48</v>
      </c>
      <c r="B473" s="44">
        <f>FiscalStart+(A473-1)*7</f>
        <v/>
      </c>
      <c r="C473">
        <f>TEXT(B473,"mmm yyyy")</f>
        <v/>
      </c>
      <c r="D473">
        <f>"Q"&amp;(INT((A473-1)/13)+1)</f>
        <v/>
      </c>
      <c r="E473" t="inlineStr">
        <is>
          <t>Convenience</t>
        </is>
      </c>
      <c r="F473">
        <f>IFERROR(INDEX(ChFormat,MATCH(E473,ChName,0)),"")</f>
        <v/>
      </c>
      <c r="G473" t="inlineStr">
        <is>
          <t>PE</t>
        </is>
      </c>
      <c r="H473">
        <f>IF(A473&lt;=NWeeks,1,0)</f>
        <v/>
      </c>
      <c r="I473">
        <f>INDEX(ChLaunch,MATCH(E473,ChName,0))</f>
        <v/>
      </c>
      <c r="J473">
        <f>INDEX(ChWeeksFull,MATCH(E473,ChName,0))</f>
        <v/>
      </c>
      <c r="K473">
        <f>INDEX(ChRamp,MATCH(E473,ChName,0))</f>
        <v/>
      </c>
      <c r="L473" s="45">
        <f>MIN(1,MAX(0,(A473-I473+1)*RampSpeed/J473))</f>
        <v/>
      </c>
      <c r="M473" s="45">
        <f>IF(A473&lt;I473,0,IF(K473="S-curve",L473*L473*(3-2*L473),L473))</f>
        <v/>
      </c>
      <c r="N473" s="45">
        <f>1+(INDEX(SeasonIdx,A473)-1)*SeasonAmp</f>
        <v/>
      </c>
      <c r="O473" s="45">
        <f>IFERROR(INDEX(PSPct,MATCH(E473&amp;"|"&amp;G473,PSKey,0)),0)</f>
        <v/>
      </c>
      <c r="P473" s="46">
        <f>INDEX(ChDoorVel,MATCH(E473,ChName,0))*CalibScalar*(1+VelocityUplift)</f>
        <v/>
      </c>
      <c r="Q473" s="46" t="n">
        <v>0</v>
      </c>
      <c r="R473" s="46">
        <f>P473*O473*M473*N473*H473</f>
        <v/>
      </c>
      <c r="S473" s="46">
        <f>R473*INDEX(FmtCansPerCase,MATCH(F473,FmtName,0))</f>
        <v/>
      </c>
      <c r="T473" s="46">
        <f>S473/INDEX(FmtCansPerPack,MATCH(F473,FmtName,0))</f>
        <v/>
      </c>
      <c r="U473" s="47">
        <f>INDEX(ChBaseCP,MATCH(E473,ChName,0))*(1+INDEX(ProvMod,MATCH(G473,ProvCode,0)))*(1+PriceIndex)</f>
        <v/>
      </c>
      <c r="V473" s="47">
        <f>R473*U473*INDEX(FmtBlendedPriceIdx,MATCH(F473,FmtName,0))</f>
        <v/>
      </c>
      <c r="W473" s="47">
        <f>T473*INDEX(ProvSRP,MATCH(G473,ProvCode,0))*(1+PriceIndex)</f>
        <v/>
      </c>
      <c r="X473" s="47">
        <f>IF(GrossBasis="Wholesale",V473,W473)</f>
        <v/>
      </c>
      <c r="Y473" s="47">
        <f>R473*INDEX(FmtBlendedCogs,MATCH(F473,FmtName,0))</f>
        <v/>
      </c>
      <c r="Z473" s="47">
        <f>X473-Y473</f>
        <v/>
      </c>
    </row>
    <row r="474">
      <c r="A474" t="n">
        <v>49</v>
      </c>
      <c r="B474" s="44">
        <f>FiscalStart+(A474-1)*7</f>
        <v/>
      </c>
      <c r="C474">
        <f>TEXT(B474,"mmm yyyy")</f>
        <v/>
      </c>
      <c r="D474">
        <f>"Q"&amp;(INT((A474-1)/13)+1)</f>
        <v/>
      </c>
      <c r="E474" t="inlineStr">
        <is>
          <t>Convenience</t>
        </is>
      </c>
      <c r="F474">
        <f>IFERROR(INDEX(ChFormat,MATCH(E474,ChName,0)),"")</f>
        <v/>
      </c>
      <c r="G474" t="inlineStr">
        <is>
          <t>PE</t>
        </is>
      </c>
      <c r="H474">
        <f>IF(A474&lt;=NWeeks,1,0)</f>
        <v/>
      </c>
      <c r="I474">
        <f>INDEX(ChLaunch,MATCH(E474,ChName,0))</f>
        <v/>
      </c>
      <c r="J474">
        <f>INDEX(ChWeeksFull,MATCH(E474,ChName,0))</f>
        <v/>
      </c>
      <c r="K474">
        <f>INDEX(ChRamp,MATCH(E474,ChName,0))</f>
        <v/>
      </c>
      <c r="L474" s="45">
        <f>MIN(1,MAX(0,(A474-I474+1)*RampSpeed/J474))</f>
        <v/>
      </c>
      <c r="M474" s="45">
        <f>IF(A474&lt;I474,0,IF(K474="S-curve",L474*L474*(3-2*L474),L474))</f>
        <v/>
      </c>
      <c r="N474" s="45">
        <f>1+(INDEX(SeasonIdx,A474)-1)*SeasonAmp</f>
        <v/>
      </c>
      <c r="O474" s="45">
        <f>IFERROR(INDEX(PSPct,MATCH(E474&amp;"|"&amp;G474,PSKey,0)),0)</f>
        <v/>
      </c>
      <c r="P474" s="46">
        <f>INDEX(ChDoorVel,MATCH(E474,ChName,0))*CalibScalar*(1+VelocityUplift)</f>
        <v/>
      </c>
      <c r="Q474" s="46" t="n">
        <v>0</v>
      </c>
      <c r="R474" s="46">
        <f>P474*O474*M474*N474*H474</f>
        <v/>
      </c>
      <c r="S474" s="46">
        <f>R474*INDEX(FmtCansPerCase,MATCH(F474,FmtName,0))</f>
        <v/>
      </c>
      <c r="T474" s="46">
        <f>S474/INDEX(FmtCansPerPack,MATCH(F474,FmtName,0))</f>
        <v/>
      </c>
      <c r="U474" s="47">
        <f>INDEX(ChBaseCP,MATCH(E474,ChName,0))*(1+INDEX(ProvMod,MATCH(G474,ProvCode,0)))*(1+PriceIndex)</f>
        <v/>
      </c>
      <c r="V474" s="47">
        <f>R474*U474*INDEX(FmtBlendedPriceIdx,MATCH(F474,FmtName,0))</f>
        <v/>
      </c>
      <c r="W474" s="47">
        <f>T474*INDEX(ProvSRP,MATCH(G474,ProvCode,0))*(1+PriceIndex)</f>
        <v/>
      </c>
      <c r="X474" s="47">
        <f>IF(GrossBasis="Wholesale",V474,W474)</f>
        <v/>
      </c>
      <c r="Y474" s="47">
        <f>R474*INDEX(FmtBlendedCogs,MATCH(F474,FmtName,0))</f>
        <v/>
      </c>
      <c r="Z474" s="47">
        <f>X474-Y474</f>
        <v/>
      </c>
    </row>
    <row r="475">
      <c r="A475" t="n">
        <v>50</v>
      </c>
      <c r="B475" s="44">
        <f>FiscalStart+(A475-1)*7</f>
        <v/>
      </c>
      <c r="C475">
        <f>TEXT(B475,"mmm yyyy")</f>
        <v/>
      </c>
      <c r="D475">
        <f>"Q"&amp;(INT((A475-1)/13)+1)</f>
        <v/>
      </c>
      <c r="E475" t="inlineStr">
        <is>
          <t>Convenience</t>
        </is>
      </c>
      <c r="F475">
        <f>IFERROR(INDEX(ChFormat,MATCH(E475,ChName,0)),"")</f>
        <v/>
      </c>
      <c r="G475" t="inlineStr">
        <is>
          <t>PE</t>
        </is>
      </c>
      <c r="H475">
        <f>IF(A475&lt;=NWeeks,1,0)</f>
        <v/>
      </c>
      <c r="I475">
        <f>INDEX(ChLaunch,MATCH(E475,ChName,0))</f>
        <v/>
      </c>
      <c r="J475">
        <f>INDEX(ChWeeksFull,MATCH(E475,ChName,0))</f>
        <v/>
      </c>
      <c r="K475">
        <f>INDEX(ChRamp,MATCH(E475,ChName,0))</f>
        <v/>
      </c>
      <c r="L475" s="45">
        <f>MIN(1,MAX(0,(A475-I475+1)*RampSpeed/J475))</f>
        <v/>
      </c>
      <c r="M475" s="45">
        <f>IF(A475&lt;I475,0,IF(K475="S-curve",L475*L475*(3-2*L475),L475))</f>
        <v/>
      </c>
      <c r="N475" s="45">
        <f>1+(INDEX(SeasonIdx,A475)-1)*SeasonAmp</f>
        <v/>
      </c>
      <c r="O475" s="45">
        <f>IFERROR(INDEX(PSPct,MATCH(E475&amp;"|"&amp;G475,PSKey,0)),0)</f>
        <v/>
      </c>
      <c r="P475" s="46">
        <f>INDEX(ChDoorVel,MATCH(E475,ChName,0))*CalibScalar*(1+VelocityUplift)</f>
        <v/>
      </c>
      <c r="Q475" s="46" t="n">
        <v>0</v>
      </c>
      <c r="R475" s="46">
        <f>P475*O475*M475*N475*H475</f>
        <v/>
      </c>
      <c r="S475" s="46">
        <f>R475*INDEX(FmtCansPerCase,MATCH(F475,FmtName,0))</f>
        <v/>
      </c>
      <c r="T475" s="46">
        <f>S475/INDEX(FmtCansPerPack,MATCH(F475,FmtName,0))</f>
        <v/>
      </c>
      <c r="U475" s="47">
        <f>INDEX(ChBaseCP,MATCH(E475,ChName,0))*(1+INDEX(ProvMod,MATCH(G475,ProvCode,0)))*(1+PriceIndex)</f>
        <v/>
      </c>
      <c r="V475" s="47">
        <f>R475*U475*INDEX(FmtBlendedPriceIdx,MATCH(F475,FmtName,0))</f>
        <v/>
      </c>
      <c r="W475" s="47">
        <f>T475*INDEX(ProvSRP,MATCH(G475,ProvCode,0))*(1+PriceIndex)</f>
        <v/>
      </c>
      <c r="X475" s="47">
        <f>IF(GrossBasis="Wholesale",V475,W475)</f>
        <v/>
      </c>
      <c r="Y475" s="47">
        <f>R475*INDEX(FmtBlendedCogs,MATCH(F475,FmtName,0))</f>
        <v/>
      </c>
      <c r="Z475" s="47">
        <f>X475-Y475</f>
        <v/>
      </c>
    </row>
    <row r="476">
      <c r="A476" t="n">
        <v>51</v>
      </c>
      <c r="B476" s="44">
        <f>FiscalStart+(A476-1)*7</f>
        <v/>
      </c>
      <c r="C476">
        <f>TEXT(B476,"mmm yyyy")</f>
        <v/>
      </c>
      <c r="D476">
        <f>"Q"&amp;(INT((A476-1)/13)+1)</f>
        <v/>
      </c>
      <c r="E476" t="inlineStr">
        <is>
          <t>Convenience</t>
        </is>
      </c>
      <c r="F476">
        <f>IFERROR(INDEX(ChFormat,MATCH(E476,ChName,0)),"")</f>
        <v/>
      </c>
      <c r="G476" t="inlineStr">
        <is>
          <t>PE</t>
        </is>
      </c>
      <c r="H476">
        <f>IF(A476&lt;=NWeeks,1,0)</f>
        <v/>
      </c>
      <c r="I476">
        <f>INDEX(ChLaunch,MATCH(E476,ChName,0))</f>
        <v/>
      </c>
      <c r="J476">
        <f>INDEX(ChWeeksFull,MATCH(E476,ChName,0))</f>
        <v/>
      </c>
      <c r="K476">
        <f>INDEX(ChRamp,MATCH(E476,ChName,0))</f>
        <v/>
      </c>
      <c r="L476" s="45">
        <f>MIN(1,MAX(0,(A476-I476+1)*RampSpeed/J476))</f>
        <v/>
      </c>
      <c r="M476" s="45">
        <f>IF(A476&lt;I476,0,IF(K476="S-curve",L476*L476*(3-2*L476),L476))</f>
        <v/>
      </c>
      <c r="N476" s="45">
        <f>1+(INDEX(SeasonIdx,A476)-1)*SeasonAmp</f>
        <v/>
      </c>
      <c r="O476" s="45">
        <f>IFERROR(INDEX(PSPct,MATCH(E476&amp;"|"&amp;G476,PSKey,0)),0)</f>
        <v/>
      </c>
      <c r="P476" s="46">
        <f>INDEX(ChDoorVel,MATCH(E476,ChName,0))*CalibScalar*(1+VelocityUplift)</f>
        <v/>
      </c>
      <c r="Q476" s="46" t="n">
        <v>0</v>
      </c>
      <c r="R476" s="46">
        <f>P476*O476*M476*N476*H476</f>
        <v/>
      </c>
      <c r="S476" s="46">
        <f>R476*INDEX(FmtCansPerCase,MATCH(F476,FmtName,0))</f>
        <v/>
      </c>
      <c r="T476" s="46">
        <f>S476/INDEX(FmtCansPerPack,MATCH(F476,FmtName,0))</f>
        <v/>
      </c>
      <c r="U476" s="47">
        <f>INDEX(ChBaseCP,MATCH(E476,ChName,0))*(1+INDEX(ProvMod,MATCH(G476,ProvCode,0)))*(1+PriceIndex)</f>
        <v/>
      </c>
      <c r="V476" s="47">
        <f>R476*U476*INDEX(FmtBlendedPriceIdx,MATCH(F476,FmtName,0))</f>
        <v/>
      </c>
      <c r="W476" s="47">
        <f>T476*INDEX(ProvSRP,MATCH(G476,ProvCode,0))*(1+PriceIndex)</f>
        <v/>
      </c>
      <c r="X476" s="47">
        <f>IF(GrossBasis="Wholesale",V476,W476)</f>
        <v/>
      </c>
      <c r="Y476" s="47">
        <f>R476*INDEX(FmtBlendedCogs,MATCH(F476,FmtName,0))</f>
        <v/>
      </c>
      <c r="Z476" s="47">
        <f>X476-Y476</f>
        <v/>
      </c>
    </row>
    <row r="477">
      <c r="A477" t="n">
        <v>52</v>
      </c>
      <c r="B477" s="44">
        <f>FiscalStart+(A477-1)*7</f>
        <v/>
      </c>
      <c r="C477">
        <f>TEXT(B477,"mmm yyyy")</f>
        <v/>
      </c>
      <c r="D477">
        <f>"Q"&amp;(INT((A477-1)/13)+1)</f>
        <v/>
      </c>
      <c r="E477" t="inlineStr">
        <is>
          <t>Convenience</t>
        </is>
      </c>
      <c r="F477">
        <f>IFERROR(INDEX(ChFormat,MATCH(E477,ChName,0)),"")</f>
        <v/>
      </c>
      <c r="G477" t="inlineStr">
        <is>
          <t>PE</t>
        </is>
      </c>
      <c r="H477">
        <f>IF(A477&lt;=NWeeks,1,0)</f>
        <v/>
      </c>
      <c r="I477">
        <f>INDEX(ChLaunch,MATCH(E477,ChName,0))</f>
        <v/>
      </c>
      <c r="J477">
        <f>INDEX(ChWeeksFull,MATCH(E477,ChName,0))</f>
        <v/>
      </c>
      <c r="K477">
        <f>INDEX(ChRamp,MATCH(E477,ChName,0))</f>
        <v/>
      </c>
      <c r="L477" s="45">
        <f>MIN(1,MAX(0,(A477-I477+1)*RampSpeed/J477))</f>
        <v/>
      </c>
      <c r="M477" s="45">
        <f>IF(A477&lt;I477,0,IF(K477="S-curve",L477*L477*(3-2*L477),L477))</f>
        <v/>
      </c>
      <c r="N477" s="45">
        <f>1+(INDEX(SeasonIdx,A477)-1)*SeasonAmp</f>
        <v/>
      </c>
      <c r="O477" s="45">
        <f>IFERROR(INDEX(PSPct,MATCH(E477&amp;"|"&amp;G477,PSKey,0)),0)</f>
        <v/>
      </c>
      <c r="P477" s="46">
        <f>INDEX(ChDoorVel,MATCH(E477,ChName,0))*CalibScalar*(1+VelocityUplift)</f>
        <v/>
      </c>
      <c r="Q477" s="46" t="n">
        <v>0</v>
      </c>
      <c r="R477" s="46">
        <f>P477*O477*M477*N477*H477</f>
        <v/>
      </c>
      <c r="S477" s="46">
        <f>R477*INDEX(FmtCansPerCase,MATCH(F477,FmtName,0))</f>
        <v/>
      </c>
      <c r="T477" s="46">
        <f>S477/INDEX(FmtCansPerPack,MATCH(F477,FmtName,0))</f>
        <v/>
      </c>
      <c r="U477" s="47">
        <f>INDEX(ChBaseCP,MATCH(E477,ChName,0))*(1+INDEX(ProvMod,MATCH(G477,ProvCode,0)))*(1+PriceIndex)</f>
        <v/>
      </c>
      <c r="V477" s="47">
        <f>R477*U477*INDEX(FmtBlendedPriceIdx,MATCH(F477,FmtName,0))</f>
        <v/>
      </c>
      <c r="W477" s="47">
        <f>T477*INDEX(ProvSRP,MATCH(G477,ProvCode,0))*(1+PriceIndex)</f>
        <v/>
      </c>
      <c r="X477" s="47">
        <f>IF(GrossBasis="Wholesale",V477,W477)</f>
        <v/>
      </c>
      <c r="Y477" s="47">
        <f>R477*INDEX(FmtBlendedCogs,MATCH(F477,FmtName,0))</f>
        <v/>
      </c>
      <c r="Z477" s="47">
        <f>X477-Y477</f>
        <v/>
      </c>
    </row>
    <row r="478">
      <c r="A478" t="n">
        <v>53</v>
      </c>
      <c r="B478" s="44">
        <f>FiscalStart+(A478-1)*7</f>
        <v/>
      </c>
      <c r="C478">
        <f>TEXT(B478,"mmm yyyy")</f>
        <v/>
      </c>
      <c r="D478">
        <f>"Q"&amp;(INT((A478-1)/13)+1)</f>
        <v/>
      </c>
      <c r="E478" t="inlineStr">
        <is>
          <t>Convenience</t>
        </is>
      </c>
      <c r="F478">
        <f>IFERROR(INDEX(ChFormat,MATCH(E478,ChName,0)),"")</f>
        <v/>
      </c>
      <c r="G478" t="inlineStr">
        <is>
          <t>PE</t>
        </is>
      </c>
      <c r="H478">
        <f>IF(A478&lt;=NWeeks,1,0)</f>
        <v/>
      </c>
      <c r="I478">
        <f>INDEX(ChLaunch,MATCH(E478,ChName,0))</f>
        <v/>
      </c>
      <c r="J478">
        <f>INDEX(ChWeeksFull,MATCH(E478,ChName,0))</f>
        <v/>
      </c>
      <c r="K478">
        <f>INDEX(ChRamp,MATCH(E478,ChName,0))</f>
        <v/>
      </c>
      <c r="L478" s="45">
        <f>MIN(1,MAX(0,(A478-I478+1)*RampSpeed/J478))</f>
        <v/>
      </c>
      <c r="M478" s="45">
        <f>IF(A478&lt;I478,0,IF(K478="S-curve",L478*L478*(3-2*L478),L478))</f>
        <v/>
      </c>
      <c r="N478" s="45">
        <f>1+(INDEX(SeasonIdx,A478)-1)*SeasonAmp</f>
        <v/>
      </c>
      <c r="O478" s="45">
        <f>IFERROR(INDEX(PSPct,MATCH(E478&amp;"|"&amp;G478,PSKey,0)),0)</f>
        <v/>
      </c>
      <c r="P478" s="46">
        <f>INDEX(ChDoorVel,MATCH(E478,ChName,0))*CalibScalar*(1+VelocityUplift)</f>
        <v/>
      </c>
      <c r="Q478" s="46" t="n">
        <v>0</v>
      </c>
      <c r="R478" s="46">
        <f>P478*O478*M478*N478*H478</f>
        <v/>
      </c>
      <c r="S478" s="46">
        <f>R478*INDEX(FmtCansPerCase,MATCH(F478,FmtName,0))</f>
        <v/>
      </c>
      <c r="T478" s="46">
        <f>S478/INDEX(FmtCansPerPack,MATCH(F478,FmtName,0))</f>
        <v/>
      </c>
      <c r="U478" s="47">
        <f>INDEX(ChBaseCP,MATCH(E478,ChName,0))*(1+INDEX(ProvMod,MATCH(G478,ProvCode,0)))*(1+PriceIndex)</f>
        <v/>
      </c>
      <c r="V478" s="47">
        <f>R478*U478*INDEX(FmtBlendedPriceIdx,MATCH(F478,FmtName,0))</f>
        <v/>
      </c>
      <c r="W478" s="47">
        <f>T478*INDEX(ProvSRP,MATCH(G478,ProvCode,0))*(1+PriceIndex)</f>
        <v/>
      </c>
      <c r="X478" s="47">
        <f>IF(GrossBasis="Wholesale",V478,W478)</f>
        <v/>
      </c>
      <c r="Y478" s="47">
        <f>R478*INDEX(FmtBlendedCogs,MATCH(F478,FmtName,0))</f>
        <v/>
      </c>
      <c r="Z478" s="47">
        <f>X478-Y478</f>
        <v/>
      </c>
    </row>
    <row r="479">
      <c r="A479" t="n">
        <v>1</v>
      </c>
      <c r="B479" s="44">
        <f>FiscalStart+(A479-1)*7</f>
        <v/>
      </c>
      <c r="C479">
        <f>TEXT(B479,"mmm yyyy")</f>
        <v/>
      </c>
      <c r="D479">
        <f>"Q"&amp;(INT((A479-1)/13)+1)</f>
        <v/>
      </c>
      <c r="E479" t="inlineStr">
        <is>
          <t>Convenience</t>
        </is>
      </c>
      <c r="F479">
        <f>IFERROR(INDEX(ChFormat,MATCH(E479,ChName,0)),"")</f>
        <v/>
      </c>
      <c r="G479" t="inlineStr">
        <is>
          <t>NL</t>
        </is>
      </c>
      <c r="H479">
        <f>IF(A479&lt;=NWeeks,1,0)</f>
        <v/>
      </c>
      <c r="I479">
        <f>INDEX(ChLaunch,MATCH(E479,ChName,0))</f>
        <v/>
      </c>
      <c r="J479">
        <f>INDEX(ChWeeksFull,MATCH(E479,ChName,0))</f>
        <v/>
      </c>
      <c r="K479">
        <f>INDEX(ChRamp,MATCH(E479,ChName,0))</f>
        <v/>
      </c>
      <c r="L479" s="45">
        <f>MIN(1,MAX(0,(A479-I479+1)*RampSpeed/J479))</f>
        <v/>
      </c>
      <c r="M479" s="45">
        <f>IF(A479&lt;I479,0,IF(K479="S-curve",L479*L479*(3-2*L479),L479))</f>
        <v/>
      </c>
      <c r="N479" s="45">
        <f>1+(INDEX(SeasonIdx,A479)-1)*SeasonAmp</f>
        <v/>
      </c>
      <c r="O479" s="45">
        <f>IFERROR(INDEX(PSPct,MATCH(E479&amp;"|"&amp;G479,PSKey,0)),0)</f>
        <v/>
      </c>
      <c r="P479" s="46">
        <f>INDEX(ChDoorVel,MATCH(E479,ChName,0))*CalibScalar*(1+VelocityUplift)</f>
        <v/>
      </c>
      <c r="Q479" s="46" t="n">
        <v>0</v>
      </c>
      <c r="R479" s="46">
        <f>P479*O479*M479*N479*H479</f>
        <v/>
      </c>
      <c r="S479" s="46">
        <f>R479*INDEX(FmtCansPerCase,MATCH(F479,FmtName,0))</f>
        <v/>
      </c>
      <c r="T479" s="46">
        <f>S479/INDEX(FmtCansPerPack,MATCH(F479,FmtName,0))</f>
        <v/>
      </c>
      <c r="U479" s="47">
        <f>INDEX(ChBaseCP,MATCH(E479,ChName,0))*(1+INDEX(ProvMod,MATCH(G479,ProvCode,0)))*(1+PriceIndex)</f>
        <v/>
      </c>
      <c r="V479" s="47">
        <f>R479*U479*INDEX(FmtBlendedPriceIdx,MATCH(F479,FmtName,0))</f>
        <v/>
      </c>
      <c r="W479" s="47">
        <f>T479*INDEX(ProvSRP,MATCH(G479,ProvCode,0))*(1+PriceIndex)</f>
        <v/>
      </c>
      <c r="X479" s="47">
        <f>IF(GrossBasis="Wholesale",V479,W479)</f>
        <v/>
      </c>
      <c r="Y479" s="47">
        <f>R479*INDEX(FmtBlendedCogs,MATCH(F479,FmtName,0))</f>
        <v/>
      </c>
      <c r="Z479" s="47">
        <f>X479-Y479</f>
        <v/>
      </c>
    </row>
    <row r="480">
      <c r="A480" t="n">
        <v>2</v>
      </c>
      <c r="B480" s="44">
        <f>FiscalStart+(A480-1)*7</f>
        <v/>
      </c>
      <c r="C480">
        <f>TEXT(B480,"mmm yyyy")</f>
        <v/>
      </c>
      <c r="D480">
        <f>"Q"&amp;(INT((A480-1)/13)+1)</f>
        <v/>
      </c>
      <c r="E480" t="inlineStr">
        <is>
          <t>Convenience</t>
        </is>
      </c>
      <c r="F480">
        <f>IFERROR(INDEX(ChFormat,MATCH(E480,ChName,0)),"")</f>
        <v/>
      </c>
      <c r="G480" t="inlineStr">
        <is>
          <t>NL</t>
        </is>
      </c>
      <c r="H480">
        <f>IF(A480&lt;=NWeeks,1,0)</f>
        <v/>
      </c>
      <c r="I480">
        <f>INDEX(ChLaunch,MATCH(E480,ChName,0))</f>
        <v/>
      </c>
      <c r="J480">
        <f>INDEX(ChWeeksFull,MATCH(E480,ChName,0))</f>
        <v/>
      </c>
      <c r="K480">
        <f>INDEX(ChRamp,MATCH(E480,ChName,0))</f>
        <v/>
      </c>
      <c r="L480" s="45">
        <f>MIN(1,MAX(0,(A480-I480+1)*RampSpeed/J480))</f>
        <v/>
      </c>
      <c r="M480" s="45">
        <f>IF(A480&lt;I480,0,IF(K480="S-curve",L480*L480*(3-2*L480),L480))</f>
        <v/>
      </c>
      <c r="N480" s="45">
        <f>1+(INDEX(SeasonIdx,A480)-1)*SeasonAmp</f>
        <v/>
      </c>
      <c r="O480" s="45">
        <f>IFERROR(INDEX(PSPct,MATCH(E480&amp;"|"&amp;G480,PSKey,0)),0)</f>
        <v/>
      </c>
      <c r="P480" s="46">
        <f>INDEX(ChDoorVel,MATCH(E480,ChName,0))*CalibScalar*(1+VelocityUplift)</f>
        <v/>
      </c>
      <c r="Q480" s="46" t="n">
        <v>0</v>
      </c>
      <c r="R480" s="46">
        <f>P480*O480*M480*N480*H480</f>
        <v/>
      </c>
      <c r="S480" s="46">
        <f>R480*INDEX(FmtCansPerCase,MATCH(F480,FmtName,0))</f>
        <v/>
      </c>
      <c r="T480" s="46">
        <f>S480/INDEX(FmtCansPerPack,MATCH(F480,FmtName,0))</f>
        <v/>
      </c>
      <c r="U480" s="47">
        <f>INDEX(ChBaseCP,MATCH(E480,ChName,0))*(1+INDEX(ProvMod,MATCH(G480,ProvCode,0)))*(1+PriceIndex)</f>
        <v/>
      </c>
      <c r="V480" s="47">
        <f>R480*U480*INDEX(FmtBlendedPriceIdx,MATCH(F480,FmtName,0))</f>
        <v/>
      </c>
      <c r="W480" s="47">
        <f>T480*INDEX(ProvSRP,MATCH(G480,ProvCode,0))*(1+PriceIndex)</f>
        <v/>
      </c>
      <c r="X480" s="47">
        <f>IF(GrossBasis="Wholesale",V480,W480)</f>
        <v/>
      </c>
      <c r="Y480" s="47">
        <f>R480*INDEX(FmtBlendedCogs,MATCH(F480,FmtName,0))</f>
        <v/>
      </c>
      <c r="Z480" s="47">
        <f>X480-Y480</f>
        <v/>
      </c>
    </row>
    <row r="481">
      <c r="A481" t="n">
        <v>3</v>
      </c>
      <c r="B481" s="44">
        <f>FiscalStart+(A481-1)*7</f>
        <v/>
      </c>
      <c r="C481">
        <f>TEXT(B481,"mmm yyyy")</f>
        <v/>
      </c>
      <c r="D481">
        <f>"Q"&amp;(INT((A481-1)/13)+1)</f>
        <v/>
      </c>
      <c r="E481" t="inlineStr">
        <is>
          <t>Convenience</t>
        </is>
      </c>
      <c r="F481">
        <f>IFERROR(INDEX(ChFormat,MATCH(E481,ChName,0)),"")</f>
        <v/>
      </c>
      <c r="G481" t="inlineStr">
        <is>
          <t>NL</t>
        </is>
      </c>
      <c r="H481">
        <f>IF(A481&lt;=NWeeks,1,0)</f>
        <v/>
      </c>
      <c r="I481">
        <f>INDEX(ChLaunch,MATCH(E481,ChName,0))</f>
        <v/>
      </c>
      <c r="J481">
        <f>INDEX(ChWeeksFull,MATCH(E481,ChName,0))</f>
        <v/>
      </c>
      <c r="K481">
        <f>INDEX(ChRamp,MATCH(E481,ChName,0))</f>
        <v/>
      </c>
      <c r="L481" s="45">
        <f>MIN(1,MAX(0,(A481-I481+1)*RampSpeed/J481))</f>
        <v/>
      </c>
      <c r="M481" s="45">
        <f>IF(A481&lt;I481,0,IF(K481="S-curve",L481*L481*(3-2*L481),L481))</f>
        <v/>
      </c>
      <c r="N481" s="45">
        <f>1+(INDEX(SeasonIdx,A481)-1)*SeasonAmp</f>
        <v/>
      </c>
      <c r="O481" s="45">
        <f>IFERROR(INDEX(PSPct,MATCH(E481&amp;"|"&amp;G481,PSKey,0)),0)</f>
        <v/>
      </c>
      <c r="P481" s="46">
        <f>INDEX(ChDoorVel,MATCH(E481,ChName,0))*CalibScalar*(1+VelocityUplift)</f>
        <v/>
      </c>
      <c r="Q481" s="46" t="n">
        <v>0</v>
      </c>
      <c r="R481" s="46">
        <f>P481*O481*M481*N481*H481</f>
        <v/>
      </c>
      <c r="S481" s="46">
        <f>R481*INDEX(FmtCansPerCase,MATCH(F481,FmtName,0))</f>
        <v/>
      </c>
      <c r="T481" s="46">
        <f>S481/INDEX(FmtCansPerPack,MATCH(F481,FmtName,0))</f>
        <v/>
      </c>
      <c r="U481" s="47">
        <f>INDEX(ChBaseCP,MATCH(E481,ChName,0))*(1+INDEX(ProvMod,MATCH(G481,ProvCode,0)))*(1+PriceIndex)</f>
        <v/>
      </c>
      <c r="V481" s="47">
        <f>R481*U481*INDEX(FmtBlendedPriceIdx,MATCH(F481,FmtName,0))</f>
        <v/>
      </c>
      <c r="W481" s="47">
        <f>T481*INDEX(ProvSRP,MATCH(G481,ProvCode,0))*(1+PriceIndex)</f>
        <v/>
      </c>
      <c r="X481" s="47">
        <f>IF(GrossBasis="Wholesale",V481,W481)</f>
        <v/>
      </c>
      <c r="Y481" s="47">
        <f>R481*INDEX(FmtBlendedCogs,MATCH(F481,FmtName,0))</f>
        <v/>
      </c>
      <c r="Z481" s="47">
        <f>X481-Y481</f>
        <v/>
      </c>
    </row>
    <row r="482">
      <c r="A482" t="n">
        <v>4</v>
      </c>
      <c r="B482" s="44">
        <f>FiscalStart+(A482-1)*7</f>
        <v/>
      </c>
      <c r="C482">
        <f>TEXT(B482,"mmm yyyy")</f>
        <v/>
      </c>
      <c r="D482">
        <f>"Q"&amp;(INT((A482-1)/13)+1)</f>
        <v/>
      </c>
      <c r="E482" t="inlineStr">
        <is>
          <t>Convenience</t>
        </is>
      </c>
      <c r="F482">
        <f>IFERROR(INDEX(ChFormat,MATCH(E482,ChName,0)),"")</f>
        <v/>
      </c>
      <c r="G482" t="inlineStr">
        <is>
          <t>NL</t>
        </is>
      </c>
      <c r="H482">
        <f>IF(A482&lt;=NWeeks,1,0)</f>
        <v/>
      </c>
      <c r="I482">
        <f>INDEX(ChLaunch,MATCH(E482,ChName,0))</f>
        <v/>
      </c>
      <c r="J482">
        <f>INDEX(ChWeeksFull,MATCH(E482,ChName,0))</f>
        <v/>
      </c>
      <c r="K482">
        <f>INDEX(ChRamp,MATCH(E482,ChName,0))</f>
        <v/>
      </c>
      <c r="L482" s="45">
        <f>MIN(1,MAX(0,(A482-I482+1)*RampSpeed/J482))</f>
        <v/>
      </c>
      <c r="M482" s="45">
        <f>IF(A482&lt;I482,0,IF(K482="S-curve",L482*L482*(3-2*L482),L482))</f>
        <v/>
      </c>
      <c r="N482" s="45">
        <f>1+(INDEX(SeasonIdx,A482)-1)*SeasonAmp</f>
        <v/>
      </c>
      <c r="O482" s="45">
        <f>IFERROR(INDEX(PSPct,MATCH(E482&amp;"|"&amp;G482,PSKey,0)),0)</f>
        <v/>
      </c>
      <c r="P482" s="46">
        <f>INDEX(ChDoorVel,MATCH(E482,ChName,0))*CalibScalar*(1+VelocityUplift)</f>
        <v/>
      </c>
      <c r="Q482" s="46" t="n">
        <v>0</v>
      </c>
      <c r="R482" s="46">
        <f>P482*O482*M482*N482*H482</f>
        <v/>
      </c>
      <c r="S482" s="46">
        <f>R482*INDEX(FmtCansPerCase,MATCH(F482,FmtName,0))</f>
        <v/>
      </c>
      <c r="T482" s="46">
        <f>S482/INDEX(FmtCansPerPack,MATCH(F482,FmtName,0))</f>
        <v/>
      </c>
      <c r="U482" s="47">
        <f>INDEX(ChBaseCP,MATCH(E482,ChName,0))*(1+INDEX(ProvMod,MATCH(G482,ProvCode,0)))*(1+PriceIndex)</f>
        <v/>
      </c>
      <c r="V482" s="47">
        <f>R482*U482*INDEX(FmtBlendedPriceIdx,MATCH(F482,FmtName,0))</f>
        <v/>
      </c>
      <c r="W482" s="47">
        <f>T482*INDEX(ProvSRP,MATCH(G482,ProvCode,0))*(1+PriceIndex)</f>
        <v/>
      </c>
      <c r="X482" s="47">
        <f>IF(GrossBasis="Wholesale",V482,W482)</f>
        <v/>
      </c>
      <c r="Y482" s="47">
        <f>R482*INDEX(FmtBlendedCogs,MATCH(F482,FmtName,0))</f>
        <v/>
      </c>
      <c r="Z482" s="47">
        <f>X482-Y482</f>
        <v/>
      </c>
    </row>
    <row r="483">
      <c r="A483" t="n">
        <v>5</v>
      </c>
      <c r="B483" s="44">
        <f>FiscalStart+(A483-1)*7</f>
        <v/>
      </c>
      <c r="C483">
        <f>TEXT(B483,"mmm yyyy")</f>
        <v/>
      </c>
      <c r="D483">
        <f>"Q"&amp;(INT((A483-1)/13)+1)</f>
        <v/>
      </c>
      <c r="E483" t="inlineStr">
        <is>
          <t>Convenience</t>
        </is>
      </c>
      <c r="F483">
        <f>IFERROR(INDEX(ChFormat,MATCH(E483,ChName,0)),"")</f>
        <v/>
      </c>
      <c r="G483" t="inlineStr">
        <is>
          <t>NL</t>
        </is>
      </c>
      <c r="H483">
        <f>IF(A483&lt;=NWeeks,1,0)</f>
        <v/>
      </c>
      <c r="I483">
        <f>INDEX(ChLaunch,MATCH(E483,ChName,0))</f>
        <v/>
      </c>
      <c r="J483">
        <f>INDEX(ChWeeksFull,MATCH(E483,ChName,0))</f>
        <v/>
      </c>
      <c r="K483">
        <f>INDEX(ChRamp,MATCH(E483,ChName,0))</f>
        <v/>
      </c>
      <c r="L483" s="45">
        <f>MIN(1,MAX(0,(A483-I483+1)*RampSpeed/J483))</f>
        <v/>
      </c>
      <c r="M483" s="45">
        <f>IF(A483&lt;I483,0,IF(K483="S-curve",L483*L483*(3-2*L483),L483))</f>
        <v/>
      </c>
      <c r="N483" s="45">
        <f>1+(INDEX(SeasonIdx,A483)-1)*SeasonAmp</f>
        <v/>
      </c>
      <c r="O483" s="45">
        <f>IFERROR(INDEX(PSPct,MATCH(E483&amp;"|"&amp;G483,PSKey,0)),0)</f>
        <v/>
      </c>
      <c r="P483" s="46">
        <f>INDEX(ChDoorVel,MATCH(E483,ChName,0))*CalibScalar*(1+VelocityUplift)</f>
        <v/>
      </c>
      <c r="Q483" s="46" t="n">
        <v>0</v>
      </c>
      <c r="R483" s="46">
        <f>P483*O483*M483*N483*H483</f>
        <v/>
      </c>
      <c r="S483" s="46">
        <f>R483*INDEX(FmtCansPerCase,MATCH(F483,FmtName,0))</f>
        <v/>
      </c>
      <c r="T483" s="46">
        <f>S483/INDEX(FmtCansPerPack,MATCH(F483,FmtName,0))</f>
        <v/>
      </c>
      <c r="U483" s="47">
        <f>INDEX(ChBaseCP,MATCH(E483,ChName,0))*(1+INDEX(ProvMod,MATCH(G483,ProvCode,0)))*(1+PriceIndex)</f>
        <v/>
      </c>
      <c r="V483" s="47">
        <f>R483*U483*INDEX(FmtBlendedPriceIdx,MATCH(F483,FmtName,0))</f>
        <v/>
      </c>
      <c r="W483" s="47">
        <f>T483*INDEX(ProvSRP,MATCH(G483,ProvCode,0))*(1+PriceIndex)</f>
        <v/>
      </c>
      <c r="X483" s="47">
        <f>IF(GrossBasis="Wholesale",V483,W483)</f>
        <v/>
      </c>
      <c r="Y483" s="47">
        <f>R483*INDEX(FmtBlendedCogs,MATCH(F483,FmtName,0))</f>
        <v/>
      </c>
      <c r="Z483" s="47">
        <f>X483-Y483</f>
        <v/>
      </c>
    </row>
    <row r="484">
      <c r="A484" t="n">
        <v>6</v>
      </c>
      <c r="B484" s="44">
        <f>FiscalStart+(A484-1)*7</f>
        <v/>
      </c>
      <c r="C484">
        <f>TEXT(B484,"mmm yyyy")</f>
        <v/>
      </c>
      <c r="D484">
        <f>"Q"&amp;(INT((A484-1)/13)+1)</f>
        <v/>
      </c>
      <c r="E484" t="inlineStr">
        <is>
          <t>Convenience</t>
        </is>
      </c>
      <c r="F484">
        <f>IFERROR(INDEX(ChFormat,MATCH(E484,ChName,0)),"")</f>
        <v/>
      </c>
      <c r="G484" t="inlineStr">
        <is>
          <t>NL</t>
        </is>
      </c>
      <c r="H484">
        <f>IF(A484&lt;=NWeeks,1,0)</f>
        <v/>
      </c>
      <c r="I484">
        <f>INDEX(ChLaunch,MATCH(E484,ChName,0))</f>
        <v/>
      </c>
      <c r="J484">
        <f>INDEX(ChWeeksFull,MATCH(E484,ChName,0))</f>
        <v/>
      </c>
      <c r="K484">
        <f>INDEX(ChRamp,MATCH(E484,ChName,0))</f>
        <v/>
      </c>
      <c r="L484" s="45">
        <f>MIN(1,MAX(0,(A484-I484+1)*RampSpeed/J484))</f>
        <v/>
      </c>
      <c r="M484" s="45">
        <f>IF(A484&lt;I484,0,IF(K484="S-curve",L484*L484*(3-2*L484),L484))</f>
        <v/>
      </c>
      <c r="N484" s="45">
        <f>1+(INDEX(SeasonIdx,A484)-1)*SeasonAmp</f>
        <v/>
      </c>
      <c r="O484" s="45">
        <f>IFERROR(INDEX(PSPct,MATCH(E484&amp;"|"&amp;G484,PSKey,0)),0)</f>
        <v/>
      </c>
      <c r="P484" s="46">
        <f>INDEX(ChDoorVel,MATCH(E484,ChName,0))*CalibScalar*(1+VelocityUplift)</f>
        <v/>
      </c>
      <c r="Q484" s="46" t="n">
        <v>0</v>
      </c>
      <c r="R484" s="46">
        <f>P484*O484*M484*N484*H484</f>
        <v/>
      </c>
      <c r="S484" s="46">
        <f>R484*INDEX(FmtCansPerCase,MATCH(F484,FmtName,0))</f>
        <v/>
      </c>
      <c r="T484" s="46">
        <f>S484/INDEX(FmtCansPerPack,MATCH(F484,FmtName,0))</f>
        <v/>
      </c>
      <c r="U484" s="47">
        <f>INDEX(ChBaseCP,MATCH(E484,ChName,0))*(1+INDEX(ProvMod,MATCH(G484,ProvCode,0)))*(1+PriceIndex)</f>
        <v/>
      </c>
      <c r="V484" s="47">
        <f>R484*U484*INDEX(FmtBlendedPriceIdx,MATCH(F484,FmtName,0))</f>
        <v/>
      </c>
      <c r="W484" s="47">
        <f>T484*INDEX(ProvSRP,MATCH(G484,ProvCode,0))*(1+PriceIndex)</f>
        <v/>
      </c>
      <c r="X484" s="47">
        <f>IF(GrossBasis="Wholesale",V484,W484)</f>
        <v/>
      </c>
      <c r="Y484" s="47">
        <f>R484*INDEX(FmtBlendedCogs,MATCH(F484,FmtName,0))</f>
        <v/>
      </c>
      <c r="Z484" s="47">
        <f>X484-Y484</f>
        <v/>
      </c>
    </row>
    <row r="485">
      <c r="A485" t="n">
        <v>7</v>
      </c>
      <c r="B485" s="44">
        <f>FiscalStart+(A485-1)*7</f>
        <v/>
      </c>
      <c r="C485">
        <f>TEXT(B485,"mmm yyyy")</f>
        <v/>
      </c>
      <c r="D485">
        <f>"Q"&amp;(INT((A485-1)/13)+1)</f>
        <v/>
      </c>
      <c r="E485" t="inlineStr">
        <is>
          <t>Convenience</t>
        </is>
      </c>
      <c r="F485">
        <f>IFERROR(INDEX(ChFormat,MATCH(E485,ChName,0)),"")</f>
        <v/>
      </c>
      <c r="G485" t="inlineStr">
        <is>
          <t>NL</t>
        </is>
      </c>
      <c r="H485">
        <f>IF(A485&lt;=NWeeks,1,0)</f>
        <v/>
      </c>
      <c r="I485">
        <f>INDEX(ChLaunch,MATCH(E485,ChName,0))</f>
        <v/>
      </c>
      <c r="J485">
        <f>INDEX(ChWeeksFull,MATCH(E485,ChName,0))</f>
        <v/>
      </c>
      <c r="K485">
        <f>INDEX(ChRamp,MATCH(E485,ChName,0))</f>
        <v/>
      </c>
      <c r="L485" s="45">
        <f>MIN(1,MAX(0,(A485-I485+1)*RampSpeed/J485))</f>
        <v/>
      </c>
      <c r="M485" s="45">
        <f>IF(A485&lt;I485,0,IF(K485="S-curve",L485*L485*(3-2*L485),L485))</f>
        <v/>
      </c>
      <c r="N485" s="45">
        <f>1+(INDEX(SeasonIdx,A485)-1)*SeasonAmp</f>
        <v/>
      </c>
      <c r="O485" s="45">
        <f>IFERROR(INDEX(PSPct,MATCH(E485&amp;"|"&amp;G485,PSKey,0)),0)</f>
        <v/>
      </c>
      <c r="P485" s="46">
        <f>INDEX(ChDoorVel,MATCH(E485,ChName,0))*CalibScalar*(1+VelocityUplift)</f>
        <v/>
      </c>
      <c r="Q485" s="46" t="n">
        <v>0</v>
      </c>
      <c r="R485" s="46">
        <f>P485*O485*M485*N485*H485</f>
        <v/>
      </c>
      <c r="S485" s="46">
        <f>R485*INDEX(FmtCansPerCase,MATCH(F485,FmtName,0))</f>
        <v/>
      </c>
      <c r="T485" s="46">
        <f>S485/INDEX(FmtCansPerPack,MATCH(F485,FmtName,0))</f>
        <v/>
      </c>
      <c r="U485" s="47">
        <f>INDEX(ChBaseCP,MATCH(E485,ChName,0))*(1+INDEX(ProvMod,MATCH(G485,ProvCode,0)))*(1+PriceIndex)</f>
        <v/>
      </c>
      <c r="V485" s="47">
        <f>R485*U485*INDEX(FmtBlendedPriceIdx,MATCH(F485,FmtName,0))</f>
        <v/>
      </c>
      <c r="W485" s="47">
        <f>T485*INDEX(ProvSRP,MATCH(G485,ProvCode,0))*(1+PriceIndex)</f>
        <v/>
      </c>
      <c r="X485" s="47">
        <f>IF(GrossBasis="Wholesale",V485,W485)</f>
        <v/>
      </c>
      <c r="Y485" s="47">
        <f>R485*INDEX(FmtBlendedCogs,MATCH(F485,FmtName,0))</f>
        <v/>
      </c>
      <c r="Z485" s="47">
        <f>X485-Y485</f>
        <v/>
      </c>
    </row>
    <row r="486">
      <c r="A486" t="n">
        <v>8</v>
      </c>
      <c r="B486" s="44">
        <f>FiscalStart+(A486-1)*7</f>
        <v/>
      </c>
      <c r="C486">
        <f>TEXT(B486,"mmm yyyy")</f>
        <v/>
      </c>
      <c r="D486">
        <f>"Q"&amp;(INT((A486-1)/13)+1)</f>
        <v/>
      </c>
      <c r="E486" t="inlineStr">
        <is>
          <t>Convenience</t>
        </is>
      </c>
      <c r="F486">
        <f>IFERROR(INDEX(ChFormat,MATCH(E486,ChName,0)),"")</f>
        <v/>
      </c>
      <c r="G486" t="inlineStr">
        <is>
          <t>NL</t>
        </is>
      </c>
      <c r="H486">
        <f>IF(A486&lt;=NWeeks,1,0)</f>
        <v/>
      </c>
      <c r="I486">
        <f>INDEX(ChLaunch,MATCH(E486,ChName,0))</f>
        <v/>
      </c>
      <c r="J486">
        <f>INDEX(ChWeeksFull,MATCH(E486,ChName,0))</f>
        <v/>
      </c>
      <c r="K486">
        <f>INDEX(ChRamp,MATCH(E486,ChName,0))</f>
        <v/>
      </c>
      <c r="L486" s="45">
        <f>MIN(1,MAX(0,(A486-I486+1)*RampSpeed/J486))</f>
        <v/>
      </c>
      <c r="M486" s="45">
        <f>IF(A486&lt;I486,0,IF(K486="S-curve",L486*L486*(3-2*L486),L486))</f>
        <v/>
      </c>
      <c r="N486" s="45">
        <f>1+(INDEX(SeasonIdx,A486)-1)*SeasonAmp</f>
        <v/>
      </c>
      <c r="O486" s="45">
        <f>IFERROR(INDEX(PSPct,MATCH(E486&amp;"|"&amp;G486,PSKey,0)),0)</f>
        <v/>
      </c>
      <c r="P486" s="46">
        <f>INDEX(ChDoorVel,MATCH(E486,ChName,0))*CalibScalar*(1+VelocityUplift)</f>
        <v/>
      </c>
      <c r="Q486" s="46" t="n">
        <v>0</v>
      </c>
      <c r="R486" s="46">
        <f>P486*O486*M486*N486*H486</f>
        <v/>
      </c>
      <c r="S486" s="46">
        <f>R486*INDEX(FmtCansPerCase,MATCH(F486,FmtName,0))</f>
        <v/>
      </c>
      <c r="T486" s="46">
        <f>S486/INDEX(FmtCansPerPack,MATCH(F486,FmtName,0))</f>
        <v/>
      </c>
      <c r="U486" s="47">
        <f>INDEX(ChBaseCP,MATCH(E486,ChName,0))*(1+INDEX(ProvMod,MATCH(G486,ProvCode,0)))*(1+PriceIndex)</f>
        <v/>
      </c>
      <c r="V486" s="47">
        <f>R486*U486*INDEX(FmtBlendedPriceIdx,MATCH(F486,FmtName,0))</f>
        <v/>
      </c>
      <c r="W486" s="47">
        <f>T486*INDEX(ProvSRP,MATCH(G486,ProvCode,0))*(1+PriceIndex)</f>
        <v/>
      </c>
      <c r="X486" s="47">
        <f>IF(GrossBasis="Wholesale",V486,W486)</f>
        <v/>
      </c>
      <c r="Y486" s="47">
        <f>R486*INDEX(FmtBlendedCogs,MATCH(F486,FmtName,0))</f>
        <v/>
      </c>
      <c r="Z486" s="47">
        <f>X486-Y486</f>
        <v/>
      </c>
    </row>
    <row r="487">
      <c r="A487" t="n">
        <v>9</v>
      </c>
      <c r="B487" s="44">
        <f>FiscalStart+(A487-1)*7</f>
        <v/>
      </c>
      <c r="C487">
        <f>TEXT(B487,"mmm yyyy")</f>
        <v/>
      </c>
      <c r="D487">
        <f>"Q"&amp;(INT((A487-1)/13)+1)</f>
        <v/>
      </c>
      <c r="E487" t="inlineStr">
        <is>
          <t>Convenience</t>
        </is>
      </c>
      <c r="F487">
        <f>IFERROR(INDEX(ChFormat,MATCH(E487,ChName,0)),"")</f>
        <v/>
      </c>
      <c r="G487" t="inlineStr">
        <is>
          <t>NL</t>
        </is>
      </c>
      <c r="H487">
        <f>IF(A487&lt;=NWeeks,1,0)</f>
        <v/>
      </c>
      <c r="I487">
        <f>INDEX(ChLaunch,MATCH(E487,ChName,0))</f>
        <v/>
      </c>
      <c r="J487">
        <f>INDEX(ChWeeksFull,MATCH(E487,ChName,0))</f>
        <v/>
      </c>
      <c r="K487">
        <f>INDEX(ChRamp,MATCH(E487,ChName,0))</f>
        <v/>
      </c>
      <c r="L487" s="45">
        <f>MIN(1,MAX(0,(A487-I487+1)*RampSpeed/J487))</f>
        <v/>
      </c>
      <c r="M487" s="45">
        <f>IF(A487&lt;I487,0,IF(K487="S-curve",L487*L487*(3-2*L487),L487))</f>
        <v/>
      </c>
      <c r="N487" s="45">
        <f>1+(INDEX(SeasonIdx,A487)-1)*SeasonAmp</f>
        <v/>
      </c>
      <c r="O487" s="45">
        <f>IFERROR(INDEX(PSPct,MATCH(E487&amp;"|"&amp;G487,PSKey,0)),0)</f>
        <v/>
      </c>
      <c r="P487" s="46">
        <f>INDEX(ChDoorVel,MATCH(E487,ChName,0))*CalibScalar*(1+VelocityUplift)</f>
        <v/>
      </c>
      <c r="Q487" s="46" t="n">
        <v>0</v>
      </c>
      <c r="R487" s="46">
        <f>P487*O487*M487*N487*H487</f>
        <v/>
      </c>
      <c r="S487" s="46">
        <f>R487*INDEX(FmtCansPerCase,MATCH(F487,FmtName,0))</f>
        <v/>
      </c>
      <c r="T487" s="46">
        <f>S487/INDEX(FmtCansPerPack,MATCH(F487,FmtName,0))</f>
        <v/>
      </c>
      <c r="U487" s="47">
        <f>INDEX(ChBaseCP,MATCH(E487,ChName,0))*(1+INDEX(ProvMod,MATCH(G487,ProvCode,0)))*(1+PriceIndex)</f>
        <v/>
      </c>
      <c r="V487" s="47">
        <f>R487*U487*INDEX(FmtBlendedPriceIdx,MATCH(F487,FmtName,0))</f>
        <v/>
      </c>
      <c r="W487" s="47">
        <f>T487*INDEX(ProvSRP,MATCH(G487,ProvCode,0))*(1+PriceIndex)</f>
        <v/>
      </c>
      <c r="X487" s="47">
        <f>IF(GrossBasis="Wholesale",V487,W487)</f>
        <v/>
      </c>
      <c r="Y487" s="47">
        <f>R487*INDEX(FmtBlendedCogs,MATCH(F487,FmtName,0))</f>
        <v/>
      </c>
      <c r="Z487" s="47">
        <f>X487-Y487</f>
        <v/>
      </c>
    </row>
    <row r="488">
      <c r="A488" t="n">
        <v>10</v>
      </c>
      <c r="B488" s="44">
        <f>FiscalStart+(A488-1)*7</f>
        <v/>
      </c>
      <c r="C488">
        <f>TEXT(B488,"mmm yyyy")</f>
        <v/>
      </c>
      <c r="D488">
        <f>"Q"&amp;(INT((A488-1)/13)+1)</f>
        <v/>
      </c>
      <c r="E488" t="inlineStr">
        <is>
          <t>Convenience</t>
        </is>
      </c>
      <c r="F488">
        <f>IFERROR(INDEX(ChFormat,MATCH(E488,ChName,0)),"")</f>
        <v/>
      </c>
      <c r="G488" t="inlineStr">
        <is>
          <t>NL</t>
        </is>
      </c>
      <c r="H488">
        <f>IF(A488&lt;=NWeeks,1,0)</f>
        <v/>
      </c>
      <c r="I488">
        <f>INDEX(ChLaunch,MATCH(E488,ChName,0))</f>
        <v/>
      </c>
      <c r="J488">
        <f>INDEX(ChWeeksFull,MATCH(E488,ChName,0))</f>
        <v/>
      </c>
      <c r="K488">
        <f>INDEX(ChRamp,MATCH(E488,ChName,0))</f>
        <v/>
      </c>
      <c r="L488" s="45">
        <f>MIN(1,MAX(0,(A488-I488+1)*RampSpeed/J488))</f>
        <v/>
      </c>
      <c r="M488" s="45">
        <f>IF(A488&lt;I488,0,IF(K488="S-curve",L488*L488*(3-2*L488),L488))</f>
        <v/>
      </c>
      <c r="N488" s="45">
        <f>1+(INDEX(SeasonIdx,A488)-1)*SeasonAmp</f>
        <v/>
      </c>
      <c r="O488" s="45">
        <f>IFERROR(INDEX(PSPct,MATCH(E488&amp;"|"&amp;G488,PSKey,0)),0)</f>
        <v/>
      </c>
      <c r="P488" s="46">
        <f>INDEX(ChDoorVel,MATCH(E488,ChName,0))*CalibScalar*(1+VelocityUplift)</f>
        <v/>
      </c>
      <c r="Q488" s="46" t="n">
        <v>0</v>
      </c>
      <c r="R488" s="46">
        <f>P488*O488*M488*N488*H488</f>
        <v/>
      </c>
      <c r="S488" s="46">
        <f>R488*INDEX(FmtCansPerCase,MATCH(F488,FmtName,0))</f>
        <v/>
      </c>
      <c r="T488" s="46">
        <f>S488/INDEX(FmtCansPerPack,MATCH(F488,FmtName,0))</f>
        <v/>
      </c>
      <c r="U488" s="47">
        <f>INDEX(ChBaseCP,MATCH(E488,ChName,0))*(1+INDEX(ProvMod,MATCH(G488,ProvCode,0)))*(1+PriceIndex)</f>
        <v/>
      </c>
      <c r="V488" s="47">
        <f>R488*U488*INDEX(FmtBlendedPriceIdx,MATCH(F488,FmtName,0))</f>
        <v/>
      </c>
      <c r="W488" s="47">
        <f>T488*INDEX(ProvSRP,MATCH(G488,ProvCode,0))*(1+PriceIndex)</f>
        <v/>
      </c>
      <c r="X488" s="47">
        <f>IF(GrossBasis="Wholesale",V488,W488)</f>
        <v/>
      </c>
      <c r="Y488" s="47">
        <f>R488*INDEX(FmtBlendedCogs,MATCH(F488,FmtName,0))</f>
        <v/>
      </c>
      <c r="Z488" s="47">
        <f>X488-Y488</f>
        <v/>
      </c>
    </row>
    <row r="489">
      <c r="A489" t="n">
        <v>11</v>
      </c>
      <c r="B489" s="44">
        <f>FiscalStart+(A489-1)*7</f>
        <v/>
      </c>
      <c r="C489">
        <f>TEXT(B489,"mmm yyyy")</f>
        <v/>
      </c>
      <c r="D489">
        <f>"Q"&amp;(INT((A489-1)/13)+1)</f>
        <v/>
      </c>
      <c r="E489" t="inlineStr">
        <is>
          <t>Convenience</t>
        </is>
      </c>
      <c r="F489">
        <f>IFERROR(INDEX(ChFormat,MATCH(E489,ChName,0)),"")</f>
        <v/>
      </c>
      <c r="G489" t="inlineStr">
        <is>
          <t>NL</t>
        </is>
      </c>
      <c r="H489">
        <f>IF(A489&lt;=NWeeks,1,0)</f>
        <v/>
      </c>
      <c r="I489">
        <f>INDEX(ChLaunch,MATCH(E489,ChName,0))</f>
        <v/>
      </c>
      <c r="J489">
        <f>INDEX(ChWeeksFull,MATCH(E489,ChName,0))</f>
        <v/>
      </c>
      <c r="K489">
        <f>INDEX(ChRamp,MATCH(E489,ChName,0))</f>
        <v/>
      </c>
      <c r="L489" s="45">
        <f>MIN(1,MAX(0,(A489-I489+1)*RampSpeed/J489))</f>
        <v/>
      </c>
      <c r="M489" s="45">
        <f>IF(A489&lt;I489,0,IF(K489="S-curve",L489*L489*(3-2*L489),L489))</f>
        <v/>
      </c>
      <c r="N489" s="45">
        <f>1+(INDEX(SeasonIdx,A489)-1)*SeasonAmp</f>
        <v/>
      </c>
      <c r="O489" s="45">
        <f>IFERROR(INDEX(PSPct,MATCH(E489&amp;"|"&amp;G489,PSKey,0)),0)</f>
        <v/>
      </c>
      <c r="P489" s="46">
        <f>INDEX(ChDoorVel,MATCH(E489,ChName,0))*CalibScalar*(1+VelocityUplift)</f>
        <v/>
      </c>
      <c r="Q489" s="46" t="n">
        <v>0</v>
      </c>
      <c r="R489" s="46">
        <f>P489*O489*M489*N489*H489</f>
        <v/>
      </c>
      <c r="S489" s="46">
        <f>R489*INDEX(FmtCansPerCase,MATCH(F489,FmtName,0))</f>
        <v/>
      </c>
      <c r="T489" s="46">
        <f>S489/INDEX(FmtCansPerPack,MATCH(F489,FmtName,0))</f>
        <v/>
      </c>
      <c r="U489" s="47">
        <f>INDEX(ChBaseCP,MATCH(E489,ChName,0))*(1+INDEX(ProvMod,MATCH(G489,ProvCode,0)))*(1+PriceIndex)</f>
        <v/>
      </c>
      <c r="V489" s="47">
        <f>R489*U489*INDEX(FmtBlendedPriceIdx,MATCH(F489,FmtName,0))</f>
        <v/>
      </c>
      <c r="W489" s="47">
        <f>T489*INDEX(ProvSRP,MATCH(G489,ProvCode,0))*(1+PriceIndex)</f>
        <v/>
      </c>
      <c r="X489" s="47">
        <f>IF(GrossBasis="Wholesale",V489,W489)</f>
        <v/>
      </c>
      <c r="Y489" s="47">
        <f>R489*INDEX(FmtBlendedCogs,MATCH(F489,FmtName,0))</f>
        <v/>
      </c>
      <c r="Z489" s="47">
        <f>X489-Y489</f>
        <v/>
      </c>
    </row>
    <row r="490">
      <c r="A490" t="n">
        <v>12</v>
      </c>
      <c r="B490" s="44">
        <f>FiscalStart+(A490-1)*7</f>
        <v/>
      </c>
      <c r="C490">
        <f>TEXT(B490,"mmm yyyy")</f>
        <v/>
      </c>
      <c r="D490">
        <f>"Q"&amp;(INT((A490-1)/13)+1)</f>
        <v/>
      </c>
      <c r="E490" t="inlineStr">
        <is>
          <t>Convenience</t>
        </is>
      </c>
      <c r="F490">
        <f>IFERROR(INDEX(ChFormat,MATCH(E490,ChName,0)),"")</f>
        <v/>
      </c>
      <c r="G490" t="inlineStr">
        <is>
          <t>NL</t>
        </is>
      </c>
      <c r="H490">
        <f>IF(A490&lt;=NWeeks,1,0)</f>
        <v/>
      </c>
      <c r="I490">
        <f>INDEX(ChLaunch,MATCH(E490,ChName,0))</f>
        <v/>
      </c>
      <c r="J490">
        <f>INDEX(ChWeeksFull,MATCH(E490,ChName,0))</f>
        <v/>
      </c>
      <c r="K490">
        <f>INDEX(ChRamp,MATCH(E490,ChName,0))</f>
        <v/>
      </c>
      <c r="L490" s="45">
        <f>MIN(1,MAX(0,(A490-I490+1)*RampSpeed/J490))</f>
        <v/>
      </c>
      <c r="M490" s="45">
        <f>IF(A490&lt;I490,0,IF(K490="S-curve",L490*L490*(3-2*L490),L490))</f>
        <v/>
      </c>
      <c r="N490" s="45">
        <f>1+(INDEX(SeasonIdx,A490)-1)*SeasonAmp</f>
        <v/>
      </c>
      <c r="O490" s="45">
        <f>IFERROR(INDEX(PSPct,MATCH(E490&amp;"|"&amp;G490,PSKey,0)),0)</f>
        <v/>
      </c>
      <c r="P490" s="46">
        <f>INDEX(ChDoorVel,MATCH(E490,ChName,0))*CalibScalar*(1+VelocityUplift)</f>
        <v/>
      </c>
      <c r="Q490" s="46" t="n">
        <v>0</v>
      </c>
      <c r="R490" s="46">
        <f>P490*O490*M490*N490*H490</f>
        <v/>
      </c>
      <c r="S490" s="46">
        <f>R490*INDEX(FmtCansPerCase,MATCH(F490,FmtName,0))</f>
        <v/>
      </c>
      <c r="T490" s="46">
        <f>S490/INDEX(FmtCansPerPack,MATCH(F490,FmtName,0))</f>
        <v/>
      </c>
      <c r="U490" s="47">
        <f>INDEX(ChBaseCP,MATCH(E490,ChName,0))*(1+INDEX(ProvMod,MATCH(G490,ProvCode,0)))*(1+PriceIndex)</f>
        <v/>
      </c>
      <c r="V490" s="47">
        <f>R490*U490*INDEX(FmtBlendedPriceIdx,MATCH(F490,FmtName,0))</f>
        <v/>
      </c>
      <c r="W490" s="47">
        <f>T490*INDEX(ProvSRP,MATCH(G490,ProvCode,0))*(1+PriceIndex)</f>
        <v/>
      </c>
      <c r="X490" s="47">
        <f>IF(GrossBasis="Wholesale",V490,W490)</f>
        <v/>
      </c>
      <c r="Y490" s="47">
        <f>R490*INDEX(FmtBlendedCogs,MATCH(F490,FmtName,0))</f>
        <v/>
      </c>
      <c r="Z490" s="47">
        <f>X490-Y490</f>
        <v/>
      </c>
    </row>
    <row r="491">
      <c r="A491" t="n">
        <v>13</v>
      </c>
      <c r="B491" s="44">
        <f>FiscalStart+(A491-1)*7</f>
        <v/>
      </c>
      <c r="C491">
        <f>TEXT(B491,"mmm yyyy")</f>
        <v/>
      </c>
      <c r="D491">
        <f>"Q"&amp;(INT((A491-1)/13)+1)</f>
        <v/>
      </c>
      <c r="E491" t="inlineStr">
        <is>
          <t>Convenience</t>
        </is>
      </c>
      <c r="F491">
        <f>IFERROR(INDEX(ChFormat,MATCH(E491,ChName,0)),"")</f>
        <v/>
      </c>
      <c r="G491" t="inlineStr">
        <is>
          <t>NL</t>
        </is>
      </c>
      <c r="H491">
        <f>IF(A491&lt;=NWeeks,1,0)</f>
        <v/>
      </c>
      <c r="I491">
        <f>INDEX(ChLaunch,MATCH(E491,ChName,0))</f>
        <v/>
      </c>
      <c r="J491">
        <f>INDEX(ChWeeksFull,MATCH(E491,ChName,0))</f>
        <v/>
      </c>
      <c r="K491">
        <f>INDEX(ChRamp,MATCH(E491,ChName,0))</f>
        <v/>
      </c>
      <c r="L491" s="45">
        <f>MIN(1,MAX(0,(A491-I491+1)*RampSpeed/J491))</f>
        <v/>
      </c>
      <c r="M491" s="45">
        <f>IF(A491&lt;I491,0,IF(K491="S-curve",L491*L491*(3-2*L491),L491))</f>
        <v/>
      </c>
      <c r="N491" s="45">
        <f>1+(INDEX(SeasonIdx,A491)-1)*SeasonAmp</f>
        <v/>
      </c>
      <c r="O491" s="45">
        <f>IFERROR(INDEX(PSPct,MATCH(E491&amp;"|"&amp;G491,PSKey,0)),0)</f>
        <v/>
      </c>
      <c r="P491" s="46">
        <f>INDEX(ChDoorVel,MATCH(E491,ChName,0))*CalibScalar*(1+VelocityUplift)</f>
        <v/>
      </c>
      <c r="Q491" s="46" t="n">
        <v>0</v>
      </c>
      <c r="R491" s="46">
        <f>P491*O491*M491*N491*H491</f>
        <v/>
      </c>
      <c r="S491" s="46">
        <f>R491*INDEX(FmtCansPerCase,MATCH(F491,FmtName,0))</f>
        <v/>
      </c>
      <c r="T491" s="46">
        <f>S491/INDEX(FmtCansPerPack,MATCH(F491,FmtName,0))</f>
        <v/>
      </c>
      <c r="U491" s="47">
        <f>INDEX(ChBaseCP,MATCH(E491,ChName,0))*(1+INDEX(ProvMod,MATCH(G491,ProvCode,0)))*(1+PriceIndex)</f>
        <v/>
      </c>
      <c r="V491" s="47">
        <f>R491*U491*INDEX(FmtBlendedPriceIdx,MATCH(F491,FmtName,0))</f>
        <v/>
      </c>
      <c r="W491" s="47">
        <f>T491*INDEX(ProvSRP,MATCH(G491,ProvCode,0))*(1+PriceIndex)</f>
        <v/>
      </c>
      <c r="X491" s="47">
        <f>IF(GrossBasis="Wholesale",V491,W491)</f>
        <v/>
      </c>
      <c r="Y491" s="47">
        <f>R491*INDEX(FmtBlendedCogs,MATCH(F491,FmtName,0))</f>
        <v/>
      </c>
      <c r="Z491" s="47">
        <f>X491-Y491</f>
        <v/>
      </c>
    </row>
    <row r="492">
      <c r="A492" t="n">
        <v>14</v>
      </c>
      <c r="B492" s="44">
        <f>FiscalStart+(A492-1)*7</f>
        <v/>
      </c>
      <c r="C492">
        <f>TEXT(B492,"mmm yyyy")</f>
        <v/>
      </c>
      <c r="D492">
        <f>"Q"&amp;(INT((A492-1)/13)+1)</f>
        <v/>
      </c>
      <c r="E492" t="inlineStr">
        <is>
          <t>Convenience</t>
        </is>
      </c>
      <c r="F492">
        <f>IFERROR(INDEX(ChFormat,MATCH(E492,ChName,0)),"")</f>
        <v/>
      </c>
      <c r="G492" t="inlineStr">
        <is>
          <t>NL</t>
        </is>
      </c>
      <c r="H492">
        <f>IF(A492&lt;=NWeeks,1,0)</f>
        <v/>
      </c>
      <c r="I492">
        <f>INDEX(ChLaunch,MATCH(E492,ChName,0))</f>
        <v/>
      </c>
      <c r="J492">
        <f>INDEX(ChWeeksFull,MATCH(E492,ChName,0))</f>
        <v/>
      </c>
      <c r="K492">
        <f>INDEX(ChRamp,MATCH(E492,ChName,0))</f>
        <v/>
      </c>
      <c r="L492" s="45">
        <f>MIN(1,MAX(0,(A492-I492+1)*RampSpeed/J492))</f>
        <v/>
      </c>
      <c r="M492" s="45">
        <f>IF(A492&lt;I492,0,IF(K492="S-curve",L492*L492*(3-2*L492),L492))</f>
        <v/>
      </c>
      <c r="N492" s="45">
        <f>1+(INDEX(SeasonIdx,A492)-1)*SeasonAmp</f>
        <v/>
      </c>
      <c r="O492" s="45">
        <f>IFERROR(INDEX(PSPct,MATCH(E492&amp;"|"&amp;G492,PSKey,0)),0)</f>
        <v/>
      </c>
      <c r="P492" s="46">
        <f>INDEX(ChDoorVel,MATCH(E492,ChName,0))*CalibScalar*(1+VelocityUplift)</f>
        <v/>
      </c>
      <c r="Q492" s="46" t="n">
        <v>0</v>
      </c>
      <c r="R492" s="46">
        <f>P492*O492*M492*N492*H492</f>
        <v/>
      </c>
      <c r="S492" s="46">
        <f>R492*INDEX(FmtCansPerCase,MATCH(F492,FmtName,0))</f>
        <v/>
      </c>
      <c r="T492" s="46">
        <f>S492/INDEX(FmtCansPerPack,MATCH(F492,FmtName,0))</f>
        <v/>
      </c>
      <c r="U492" s="47">
        <f>INDEX(ChBaseCP,MATCH(E492,ChName,0))*(1+INDEX(ProvMod,MATCH(G492,ProvCode,0)))*(1+PriceIndex)</f>
        <v/>
      </c>
      <c r="V492" s="47">
        <f>R492*U492*INDEX(FmtBlendedPriceIdx,MATCH(F492,FmtName,0))</f>
        <v/>
      </c>
      <c r="W492" s="47">
        <f>T492*INDEX(ProvSRP,MATCH(G492,ProvCode,0))*(1+PriceIndex)</f>
        <v/>
      </c>
      <c r="X492" s="47">
        <f>IF(GrossBasis="Wholesale",V492,W492)</f>
        <v/>
      </c>
      <c r="Y492" s="47">
        <f>R492*INDEX(FmtBlendedCogs,MATCH(F492,FmtName,0))</f>
        <v/>
      </c>
      <c r="Z492" s="47">
        <f>X492-Y492</f>
        <v/>
      </c>
    </row>
    <row r="493">
      <c r="A493" t="n">
        <v>15</v>
      </c>
      <c r="B493" s="44">
        <f>FiscalStart+(A493-1)*7</f>
        <v/>
      </c>
      <c r="C493">
        <f>TEXT(B493,"mmm yyyy")</f>
        <v/>
      </c>
      <c r="D493">
        <f>"Q"&amp;(INT((A493-1)/13)+1)</f>
        <v/>
      </c>
      <c r="E493" t="inlineStr">
        <is>
          <t>Convenience</t>
        </is>
      </c>
      <c r="F493">
        <f>IFERROR(INDEX(ChFormat,MATCH(E493,ChName,0)),"")</f>
        <v/>
      </c>
      <c r="G493" t="inlineStr">
        <is>
          <t>NL</t>
        </is>
      </c>
      <c r="H493">
        <f>IF(A493&lt;=NWeeks,1,0)</f>
        <v/>
      </c>
      <c r="I493">
        <f>INDEX(ChLaunch,MATCH(E493,ChName,0))</f>
        <v/>
      </c>
      <c r="J493">
        <f>INDEX(ChWeeksFull,MATCH(E493,ChName,0))</f>
        <v/>
      </c>
      <c r="K493">
        <f>INDEX(ChRamp,MATCH(E493,ChName,0))</f>
        <v/>
      </c>
      <c r="L493" s="45">
        <f>MIN(1,MAX(0,(A493-I493+1)*RampSpeed/J493))</f>
        <v/>
      </c>
      <c r="M493" s="45">
        <f>IF(A493&lt;I493,0,IF(K493="S-curve",L493*L493*(3-2*L493),L493))</f>
        <v/>
      </c>
      <c r="N493" s="45">
        <f>1+(INDEX(SeasonIdx,A493)-1)*SeasonAmp</f>
        <v/>
      </c>
      <c r="O493" s="45">
        <f>IFERROR(INDEX(PSPct,MATCH(E493&amp;"|"&amp;G493,PSKey,0)),0)</f>
        <v/>
      </c>
      <c r="P493" s="46">
        <f>INDEX(ChDoorVel,MATCH(E493,ChName,0))*CalibScalar*(1+VelocityUplift)</f>
        <v/>
      </c>
      <c r="Q493" s="46" t="n">
        <v>0</v>
      </c>
      <c r="R493" s="46">
        <f>P493*O493*M493*N493*H493</f>
        <v/>
      </c>
      <c r="S493" s="46">
        <f>R493*INDEX(FmtCansPerCase,MATCH(F493,FmtName,0))</f>
        <v/>
      </c>
      <c r="T493" s="46">
        <f>S493/INDEX(FmtCansPerPack,MATCH(F493,FmtName,0))</f>
        <v/>
      </c>
      <c r="U493" s="47">
        <f>INDEX(ChBaseCP,MATCH(E493,ChName,0))*(1+INDEX(ProvMod,MATCH(G493,ProvCode,0)))*(1+PriceIndex)</f>
        <v/>
      </c>
      <c r="V493" s="47">
        <f>R493*U493*INDEX(FmtBlendedPriceIdx,MATCH(F493,FmtName,0))</f>
        <v/>
      </c>
      <c r="W493" s="47">
        <f>T493*INDEX(ProvSRP,MATCH(G493,ProvCode,0))*(1+PriceIndex)</f>
        <v/>
      </c>
      <c r="X493" s="47">
        <f>IF(GrossBasis="Wholesale",V493,W493)</f>
        <v/>
      </c>
      <c r="Y493" s="47">
        <f>R493*INDEX(FmtBlendedCogs,MATCH(F493,FmtName,0))</f>
        <v/>
      </c>
      <c r="Z493" s="47">
        <f>X493-Y493</f>
        <v/>
      </c>
    </row>
    <row r="494">
      <c r="A494" t="n">
        <v>16</v>
      </c>
      <c r="B494" s="44">
        <f>FiscalStart+(A494-1)*7</f>
        <v/>
      </c>
      <c r="C494">
        <f>TEXT(B494,"mmm yyyy")</f>
        <v/>
      </c>
      <c r="D494">
        <f>"Q"&amp;(INT((A494-1)/13)+1)</f>
        <v/>
      </c>
      <c r="E494" t="inlineStr">
        <is>
          <t>Convenience</t>
        </is>
      </c>
      <c r="F494">
        <f>IFERROR(INDEX(ChFormat,MATCH(E494,ChName,0)),"")</f>
        <v/>
      </c>
      <c r="G494" t="inlineStr">
        <is>
          <t>NL</t>
        </is>
      </c>
      <c r="H494">
        <f>IF(A494&lt;=NWeeks,1,0)</f>
        <v/>
      </c>
      <c r="I494">
        <f>INDEX(ChLaunch,MATCH(E494,ChName,0))</f>
        <v/>
      </c>
      <c r="J494">
        <f>INDEX(ChWeeksFull,MATCH(E494,ChName,0))</f>
        <v/>
      </c>
      <c r="K494">
        <f>INDEX(ChRamp,MATCH(E494,ChName,0))</f>
        <v/>
      </c>
      <c r="L494" s="45">
        <f>MIN(1,MAX(0,(A494-I494+1)*RampSpeed/J494))</f>
        <v/>
      </c>
      <c r="M494" s="45">
        <f>IF(A494&lt;I494,0,IF(K494="S-curve",L494*L494*(3-2*L494),L494))</f>
        <v/>
      </c>
      <c r="N494" s="45">
        <f>1+(INDEX(SeasonIdx,A494)-1)*SeasonAmp</f>
        <v/>
      </c>
      <c r="O494" s="45">
        <f>IFERROR(INDEX(PSPct,MATCH(E494&amp;"|"&amp;G494,PSKey,0)),0)</f>
        <v/>
      </c>
      <c r="P494" s="46">
        <f>INDEX(ChDoorVel,MATCH(E494,ChName,0))*CalibScalar*(1+VelocityUplift)</f>
        <v/>
      </c>
      <c r="Q494" s="46" t="n">
        <v>0</v>
      </c>
      <c r="R494" s="46">
        <f>P494*O494*M494*N494*H494</f>
        <v/>
      </c>
      <c r="S494" s="46">
        <f>R494*INDEX(FmtCansPerCase,MATCH(F494,FmtName,0))</f>
        <v/>
      </c>
      <c r="T494" s="46">
        <f>S494/INDEX(FmtCansPerPack,MATCH(F494,FmtName,0))</f>
        <v/>
      </c>
      <c r="U494" s="47">
        <f>INDEX(ChBaseCP,MATCH(E494,ChName,0))*(1+INDEX(ProvMod,MATCH(G494,ProvCode,0)))*(1+PriceIndex)</f>
        <v/>
      </c>
      <c r="V494" s="47">
        <f>R494*U494*INDEX(FmtBlendedPriceIdx,MATCH(F494,FmtName,0))</f>
        <v/>
      </c>
      <c r="W494" s="47">
        <f>T494*INDEX(ProvSRP,MATCH(G494,ProvCode,0))*(1+PriceIndex)</f>
        <v/>
      </c>
      <c r="X494" s="47">
        <f>IF(GrossBasis="Wholesale",V494,W494)</f>
        <v/>
      </c>
      <c r="Y494" s="47">
        <f>R494*INDEX(FmtBlendedCogs,MATCH(F494,FmtName,0))</f>
        <v/>
      </c>
      <c r="Z494" s="47">
        <f>X494-Y494</f>
        <v/>
      </c>
    </row>
    <row r="495">
      <c r="A495" t="n">
        <v>17</v>
      </c>
      <c r="B495" s="44">
        <f>FiscalStart+(A495-1)*7</f>
        <v/>
      </c>
      <c r="C495">
        <f>TEXT(B495,"mmm yyyy")</f>
        <v/>
      </c>
      <c r="D495">
        <f>"Q"&amp;(INT((A495-1)/13)+1)</f>
        <v/>
      </c>
      <c r="E495" t="inlineStr">
        <is>
          <t>Convenience</t>
        </is>
      </c>
      <c r="F495">
        <f>IFERROR(INDEX(ChFormat,MATCH(E495,ChName,0)),"")</f>
        <v/>
      </c>
      <c r="G495" t="inlineStr">
        <is>
          <t>NL</t>
        </is>
      </c>
      <c r="H495">
        <f>IF(A495&lt;=NWeeks,1,0)</f>
        <v/>
      </c>
      <c r="I495">
        <f>INDEX(ChLaunch,MATCH(E495,ChName,0))</f>
        <v/>
      </c>
      <c r="J495">
        <f>INDEX(ChWeeksFull,MATCH(E495,ChName,0))</f>
        <v/>
      </c>
      <c r="K495">
        <f>INDEX(ChRamp,MATCH(E495,ChName,0))</f>
        <v/>
      </c>
      <c r="L495" s="45">
        <f>MIN(1,MAX(0,(A495-I495+1)*RampSpeed/J495))</f>
        <v/>
      </c>
      <c r="M495" s="45">
        <f>IF(A495&lt;I495,0,IF(K495="S-curve",L495*L495*(3-2*L495),L495))</f>
        <v/>
      </c>
      <c r="N495" s="45">
        <f>1+(INDEX(SeasonIdx,A495)-1)*SeasonAmp</f>
        <v/>
      </c>
      <c r="O495" s="45">
        <f>IFERROR(INDEX(PSPct,MATCH(E495&amp;"|"&amp;G495,PSKey,0)),0)</f>
        <v/>
      </c>
      <c r="P495" s="46">
        <f>INDEX(ChDoorVel,MATCH(E495,ChName,0))*CalibScalar*(1+VelocityUplift)</f>
        <v/>
      </c>
      <c r="Q495" s="46" t="n">
        <v>0</v>
      </c>
      <c r="R495" s="46">
        <f>P495*O495*M495*N495*H495</f>
        <v/>
      </c>
      <c r="S495" s="46">
        <f>R495*INDEX(FmtCansPerCase,MATCH(F495,FmtName,0))</f>
        <v/>
      </c>
      <c r="T495" s="46">
        <f>S495/INDEX(FmtCansPerPack,MATCH(F495,FmtName,0))</f>
        <v/>
      </c>
      <c r="U495" s="47">
        <f>INDEX(ChBaseCP,MATCH(E495,ChName,0))*(1+INDEX(ProvMod,MATCH(G495,ProvCode,0)))*(1+PriceIndex)</f>
        <v/>
      </c>
      <c r="V495" s="47">
        <f>R495*U495*INDEX(FmtBlendedPriceIdx,MATCH(F495,FmtName,0))</f>
        <v/>
      </c>
      <c r="W495" s="47">
        <f>T495*INDEX(ProvSRP,MATCH(G495,ProvCode,0))*(1+PriceIndex)</f>
        <v/>
      </c>
      <c r="X495" s="47">
        <f>IF(GrossBasis="Wholesale",V495,W495)</f>
        <v/>
      </c>
      <c r="Y495" s="47">
        <f>R495*INDEX(FmtBlendedCogs,MATCH(F495,FmtName,0))</f>
        <v/>
      </c>
      <c r="Z495" s="47">
        <f>X495-Y495</f>
        <v/>
      </c>
    </row>
    <row r="496">
      <c r="A496" t="n">
        <v>18</v>
      </c>
      <c r="B496" s="44">
        <f>FiscalStart+(A496-1)*7</f>
        <v/>
      </c>
      <c r="C496">
        <f>TEXT(B496,"mmm yyyy")</f>
        <v/>
      </c>
      <c r="D496">
        <f>"Q"&amp;(INT((A496-1)/13)+1)</f>
        <v/>
      </c>
      <c r="E496" t="inlineStr">
        <is>
          <t>Convenience</t>
        </is>
      </c>
      <c r="F496">
        <f>IFERROR(INDEX(ChFormat,MATCH(E496,ChName,0)),"")</f>
        <v/>
      </c>
      <c r="G496" t="inlineStr">
        <is>
          <t>NL</t>
        </is>
      </c>
      <c r="H496">
        <f>IF(A496&lt;=NWeeks,1,0)</f>
        <v/>
      </c>
      <c r="I496">
        <f>INDEX(ChLaunch,MATCH(E496,ChName,0))</f>
        <v/>
      </c>
      <c r="J496">
        <f>INDEX(ChWeeksFull,MATCH(E496,ChName,0))</f>
        <v/>
      </c>
      <c r="K496">
        <f>INDEX(ChRamp,MATCH(E496,ChName,0))</f>
        <v/>
      </c>
      <c r="L496" s="45">
        <f>MIN(1,MAX(0,(A496-I496+1)*RampSpeed/J496))</f>
        <v/>
      </c>
      <c r="M496" s="45">
        <f>IF(A496&lt;I496,0,IF(K496="S-curve",L496*L496*(3-2*L496),L496))</f>
        <v/>
      </c>
      <c r="N496" s="45">
        <f>1+(INDEX(SeasonIdx,A496)-1)*SeasonAmp</f>
        <v/>
      </c>
      <c r="O496" s="45">
        <f>IFERROR(INDEX(PSPct,MATCH(E496&amp;"|"&amp;G496,PSKey,0)),0)</f>
        <v/>
      </c>
      <c r="P496" s="46">
        <f>INDEX(ChDoorVel,MATCH(E496,ChName,0))*CalibScalar*(1+VelocityUplift)</f>
        <v/>
      </c>
      <c r="Q496" s="46" t="n">
        <v>0</v>
      </c>
      <c r="R496" s="46">
        <f>P496*O496*M496*N496*H496</f>
        <v/>
      </c>
      <c r="S496" s="46">
        <f>R496*INDEX(FmtCansPerCase,MATCH(F496,FmtName,0))</f>
        <v/>
      </c>
      <c r="T496" s="46">
        <f>S496/INDEX(FmtCansPerPack,MATCH(F496,FmtName,0))</f>
        <v/>
      </c>
      <c r="U496" s="47">
        <f>INDEX(ChBaseCP,MATCH(E496,ChName,0))*(1+INDEX(ProvMod,MATCH(G496,ProvCode,0)))*(1+PriceIndex)</f>
        <v/>
      </c>
      <c r="V496" s="47">
        <f>R496*U496*INDEX(FmtBlendedPriceIdx,MATCH(F496,FmtName,0))</f>
        <v/>
      </c>
      <c r="W496" s="47">
        <f>T496*INDEX(ProvSRP,MATCH(G496,ProvCode,0))*(1+PriceIndex)</f>
        <v/>
      </c>
      <c r="X496" s="47">
        <f>IF(GrossBasis="Wholesale",V496,W496)</f>
        <v/>
      </c>
      <c r="Y496" s="47">
        <f>R496*INDEX(FmtBlendedCogs,MATCH(F496,FmtName,0))</f>
        <v/>
      </c>
      <c r="Z496" s="47">
        <f>X496-Y496</f>
        <v/>
      </c>
    </row>
    <row r="497">
      <c r="A497" t="n">
        <v>19</v>
      </c>
      <c r="B497" s="44">
        <f>FiscalStart+(A497-1)*7</f>
        <v/>
      </c>
      <c r="C497">
        <f>TEXT(B497,"mmm yyyy")</f>
        <v/>
      </c>
      <c r="D497">
        <f>"Q"&amp;(INT((A497-1)/13)+1)</f>
        <v/>
      </c>
      <c r="E497" t="inlineStr">
        <is>
          <t>Convenience</t>
        </is>
      </c>
      <c r="F497">
        <f>IFERROR(INDEX(ChFormat,MATCH(E497,ChName,0)),"")</f>
        <v/>
      </c>
      <c r="G497" t="inlineStr">
        <is>
          <t>NL</t>
        </is>
      </c>
      <c r="H497">
        <f>IF(A497&lt;=NWeeks,1,0)</f>
        <v/>
      </c>
      <c r="I497">
        <f>INDEX(ChLaunch,MATCH(E497,ChName,0))</f>
        <v/>
      </c>
      <c r="J497">
        <f>INDEX(ChWeeksFull,MATCH(E497,ChName,0))</f>
        <v/>
      </c>
      <c r="K497">
        <f>INDEX(ChRamp,MATCH(E497,ChName,0))</f>
        <v/>
      </c>
      <c r="L497" s="45">
        <f>MIN(1,MAX(0,(A497-I497+1)*RampSpeed/J497))</f>
        <v/>
      </c>
      <c r="M497" s="45">
        <f>IF(A497&lt;I497,0,IF(K497="S-curve",L497*L497*(3-2*L497),L497))</f>
        <v/>
      </c>
      <c r="N497" s="45">
        <f>1+(INDEX(SeasonIdx,A497)-1)*SeasonAmp</f>
        <v/>
      </c>
      <c r="O497" s="45">
        <f>IFERROR(INDEX(PSPct,MATCH(E497&amp;"|"&amp;G497,PSKey,0)),0)</f>
        <v/>
      </c>
      <c r="P497" s="46">
        <f>INDEX(ChDoorVel,MATCH(E497,ChName,0))*CalibScalar*(1+VelocityUplift)</f>
        <v/>
      </c>
      <c r="Q497" s="46" t="n">
        <v>0</v>
      </c>
      <c r="R497" s="46">
        <f>P497*O497*M497*N497*H497</f>
        <v/>
      </c>
      <c r="S497" s="46">
        <f>R497*INDEX(FmtCansPerCase,MATCH(F497,FmtName,0))</f>
        <v/>
      </c>
      <c r="T497" s="46">
        <f>S497/INDEX(FmtCansPerPack,MATCH(F497,FmtName,0))</f>
        <v/>
      </c>
      <c r="U497" s="47">
        <f>INDEX(ChBaseCP,MATCH(E497,ChName,0))*(1+INDEX(ProvMod,MATCH(G497,ProvCode,0)))*(1+PriceIndex)</f>
        <v/>
      </c>
      <c r="V497" s="47">
        <f>R497*U497*INDEX(FmtBlendedPriceIdx,MATCH(F497,FmtName,0))</f>
        <v/>
      </c>
      <c r="W497" s="47">
        <f>T497*INDEX(ProvSRP,MATCH(G497,ProvCode,0))*(1+PriceIndex)</f>
        <v/>
      </c>
      <c r="X497" s="47">
        <f>IF(GrossBasis="Wholesale",V497,W497)</f>
        <v/>
      </c>
      <c r="Y497" s="47">
        <f>R497*INDEX(FmtBlendedCogs,MATCH(F497,FmtName,0))</f>
        <v/>
      </c>
      <c r="Z497" s="47">
        <f>X497-Y497</f>
        <v/>
      </c>
    </row>
    <row r="498">
      <c r="A498" t="n">
        <v>20</v>
      </c>
      <c r="B498" s="44">
        <f>FiscalStart+(A498-1)*7</f>
        <v/>
      </c>
      <c r="C498">
        <f>TEXT(B498,"mmm yyyy")</f>
        <v/>
      </c>
      <c r="D498">
        <f>"Q"&amp;(INT((A498-1)/13)+1)</f>
        <v/>
      </c>
      <c r="E498" t="inlineStr">
        <is>
          <t>Convenience</t>
        </is>
      </c>
      <c r="F498">
        <f>IFERROR(INDEX(ChFormat,MATCH(E498,ChName,0)),"")</f>
        <v/>
      </c>
      <c r="G498" t="inlineStr">
        <is>
          <t>NL</t>
        </is>
      </c>
      <c r="H498">
        <f>IF(A498&lt;=NWeeks,1,0)</f>
        <v/>
      </c>
      <c r="I498">
        <f>INDEX(ChLaunch,MATCH(E498,ChName,0))</f>
        <v/>
      </c>
      <c r="J498">
        <f>INDEX(ChWeeksFull,MATCH(E498,ChName,0))</f>
        <v/>
      </c>
      <c r="K498">
        <f>INDEX(ChRamp,MATCH(E498,ChName,0))</f>
        <v/>
      </c>
      <c r="L498" s="45">
        <f>MIN(1,MAX(0,(A498-I498+1)*RampSpeed/J498))</f>
        <v/>
      </c>
      <c r="M498" s="45">
        <f>IF(A498&lt;I498,0,IF(K498="S-curve",L498*L498*(3-2*L498),L498))</f>
        <v/>
      </c>
      <c r="N498" s="45">
        <f>1+(INDEX(SeasonIdx,A498)-1)*SeasonAmp</f>
        <v/>
      </c>
      <c r="O498" s="45">
        <f>IFERROR(INDEX(PSPct,MATCH(E498&amp;"|"&amp;G498,PSKey,0)),0)</f>
        <v/>
      </c>
      <c r="P498" s="46">
        <f>INDEX(ChDoorVel,MATCH(E498,ChName,0))*CalibScalar*(1+VelocityUplift)</f>
        <v/>
      </c>
      <c r="Q498" s="46" t="n">
        <v>0</v>
      </c>
      <c r="R498" s="46">
        <f>P498*O498*M498*N498*H498</f>
        <v/>
      </c>
      <c r="S498" s="46">
        <f>R498*INDEX(FmtCansPerCase,MATCH(F498,FmtName,0))</f>
        <v/>
      </c>
      <c r="T498" s="46">
        <f>S498/INDEX(FmtCansPerPack,MATCH(F498,FmtName,0))</f>
        <v/>
      </c>
      <c r="U498" s="47">
        <f>INDEX(ChBaseCP,MATCH(E498,ChName,0))*(1+INDEX(ProvMod,MATCH(G498,ProvCode,0)))*(1+PriceIndex)</f>
        <v/>
      </c>
      <c r="V498" s="47">
        <f>R498*U498*INDEX(FmtBlendedPriceIdx,MATCH(F498,FmtName,0))</f>
        <v/>
      </c>
      <c r="W498" s="47">
        <f>T498*INDEX(ProvSRP,MATCH(G498,ProvCode,0))*(1+PriceIndex)</f>
        <v/>
      </c>
      <c r="X498" s="47">
        <f>IF(GrossBasis="Wholesale",V498,W498)</f>
        <v/>
      </c>
      <c r="Y498" s="47">
        <f>R498*INDEX(FmtBlendedCogs,MATCH(F498,FmtName,0))</f>
        <v/>
      </c>
      <c r="Z498" s="47">
        <f>X498-Y498</f>
        <v/>
      </c>
    </row>
    <row r="499">
      <c r="A499" t="n">
        <v>21</v>
      </c>
      <c r="B499" s="44">
        <f>FiscalStart+(A499-1)*7</f>
        <v/>
      </c>
      <c r="C499">
        <f>TEXT(B499,"mmm yyyy")</f>
        <v/>
      </c>
      <c r="D499">
        <f>"Q"&amp;(INT((A499-1)/13)+1)</f>
        <v/>
      </c>
      <c r="E499" t="inlineStr">
        <is>
          <t>Convenience</t>
        </is>
      </c>
      <c r="F499">
        <f>IFERROR(INDEX(ChFormat,MATCH(E499,ChName,0)),"")</f>
        <v/>
      </c>
      <c r="G499" t="inlineStr">
        <is>
          <t>NL</t>
        </is>
      </c>
      <c r="H499">
        <f>IF(A499&lt;=NWeeks,1,0)</f>
        <v/>
      </c>
      <c r="I499">
        <f>INDEX(ChLaunch,MATCH(E499,ChName,0))</f>
        <v/>
      </c>
      <c r="J499">
        <f>INDEX(ChWeeksFull,MATCH(E499,ChName,0))</f>
        <v/>
      </c>
      <c r="K499">
        <f>INDEX(ChRamp,MATCH(E499,ChName,0))</f>
        <v/>
      </c>
      <c r="L499" s="45">
        <f>MIN(1,MAX(0,(A499-I499+1)*RampSpeed/J499))</f>
        <v/>
      </c>
      <c r="M499" s="45">
        <f>IF(A499&lt;I499,0,IF(K499="S-curve",L499*L499*(3-2*L499),L499))</f>
        <v/>
      </c>
      <c r="N499" s="45">
        <f>1+(INDEX(SeasonIdx,A499)-1)*SeasonAmp</f>
        <v/>
      </c>
      <c r="O499" s="45">
        <f>IFERROR(INDEX(PSPct,MATCH(E499&amp;"|"&amp;G499,PSKey,0)),0)</f>
        <v/>
      </c>
      <c r="P499" s="46">
        <f>INDEX(ChDoorVel,MATCH(E499,ChName,0))*CalibScalar*(1+VelocityUplift)</f>
        <v/>
      </c>
      <c r="Q499" s="46" t="n">
        <v>0</v>
      </c>
      <c r="R499" s="46">
        <f>P499*O499*M499*N499*H499</f>
        <v/>
      </c>
      <c r="S499" s="46">
        <f>R499*INDEX(FmtCansPerCase,MATCH(F499,FmtName,0))</f>
        <v/>
      </c>
      <c r="T499" s="46">
        <f>S499/INDEX(FmtCansPerPack,MATCH(F499,FmtName,0))</f>
        <v/>
      </c>
      <c r="U499" s="47">
        <f>INDEX(ChBaseCP,MATCH(E499,ChName,0))*(1+INDEX(ProvMod,MATCH(G499,ProvCode,0)))*(1+PriceIndex)</f>
        <v/>
      </c>
      <c r="V499" s="47">
        <f>R499*U499*INDEX(FmtBlendedPriceIdx,MATCH(F499,FmtName,0))</f>
        <v/>
      </c>
      <c r="W499" s="47">
        <f>T499*INDEX(ProvSRP,MATCH(G499,ProvCode,0))*(1+PriceIndex)</f>
        <v/>
      </c>
      <c r="X499" s="47">
        <f>IF(GrossBasis="Wholesale",V499,W499)</f>
        <v/>
      </c>
      <c r="Y499" s="47">
        <f>R499*INDEX(FmtBlendedCogs,MATCH(F499,FmtName,0))</f>
        <v/>
      </c>
      <c r="Z499" s="47">
        <f>X499-Y499</f>
        <v/>
      </c>
    </row>
    <row r="500">
      <c r="A500" t="n">
        <v>22</v>
      </c>
      <c r="B500" s="44">
        <f>FiscalStart+(A500-1)*7</f>
        <v/>
      </c>
      <c r="C500">
        <f>TEXT(B500,"mmm yyyy")</f>
        <v/>
      </c>
      <c r="D500">
        <f>"Q"&amp;(INT((A500-1)/13)+1)</f>
        <v/>
      </c>
      <c r="E500" t="inlineStr">
        <is>
          <t>Convenience</t>
        </is>
      </c>
      <c r="F500">
        <f>IFERROR(INDEX(ChFormat,MATCH(E500,ChName,0)),"")</f>
        <v/>
      </c>
      <c r="G500" t="inlineStr">
        <is>
          <t>NL</t>
        </is>
      </c>
      <c r="H500">
        <f>IF(A500&lt;=NWeeks,1,0)</f>
        <v/>
      </c>
      <c r="I500">
        <f>INDEX(ChLaunch,MATCH(E500,ChName,0))</f>
        <v/>
      </c>
      <c r="J500">
        <f>INDEX(ChWeeksFull,MATCH(E500,ChName,0))</f>
        <v/>
      </c>
      <c r="K500">
        <f>INDEX(ChRamp,MATCH(E500,ChName,0))</f>
        <v/>
      </c>
      <c r="L500" s="45">
        <f>MIN(1,MAX(0,(A500-I500+1)*RampSpeed/J500))</f>
        <v/>
      </c>
      <c r="M500" s="45">
        <f>IF(A500&lt;I500,0,IF(K500="S-curve",L500*L500*(3-2*L500),L500))</f>
        <v/>
      </c>
      <c r="N500" s="45">
        <f>1+(INDEX(SeasonIdx,A500)-1)*SeasonAmp</f>
        <v/>
      </c>
      <c r="O500" s="45">
        <f>IFERROR(INDEX(PSPct,MATCH(E500&amp;"|"&amp;G500,PSKey,0)),0)</f>
        <v/>
      </c>
      <c r="P500" s="46">
        <f>INDEX(ChDoorVel,MATCH(E500,ChName,0))*CalibScalar*(1+VelocityUplift)</f>
        <v/>
      </c>
      <c r="Q500" s="46" t="n">
        <v>0</v>
      </c>
      <c r="R500" s="46">
        <f>P500*O500*M500*N500*H500</f>
        <v/>
      </c>
      <c r="S500" s="46">
        <f>R500*INDEX(FmtCansPerCase,MATCH(F500,FmtName,0))</f>
        <v/>
      </c>
      <c r="T500" s="46">
        <f>S500/INDEX(FmtCansPerPack,MATCH(F500,FmtName,0))</f>
        <v/>
      </c>
      <c r="U500" s="47">
        <f>INDEX(ChBaseCP,MATCH(E500,ChName,0))*(1+INDEX(ProvMod,MATCH(G500,ProvCode,0)))*(1+PriceIndex)</f>
        <v/>
      </c>
      <c r="V500" s="47">
        <f>R500*U500*INDEX(FmtBlendedPriceIdx,MATCH(F500,FmtName,0))</f>
        <v/>
      </c>
      <c r="W500" s="47">
        <f>T500*INDEX(ProvSRP,MATCH(G500,ProvCode,0))*(1+PriceIndex)</f>
        <v/>
      </c>
      <c r="X500" s="47">
        <f>IF(GrossBasis="Wholesale",V500,W500)</f>
        <v/>
      </c>
      <c r="Y500" s="47">
        <f>R500*INDEX(FmtBlendedCogs,MATCH(F500,FmtName,0))</f>
        <v/>
      </c>
      <c r="Z500" s="47">
        <f>X500-Y500</f>
        <v/>
      </c>
    </row>
    <row r="501">
      <c r="A501" t="n">
        <v>23</v>
      </c>
      <c r="B501" s="44">
        <f>FiscalStart+(A501-1)*7</f>
        <v/>
      </c>
      <c r="C501">
        <f>TEXT(B501,"mmm yyyy")</f>
        <v/>
      </c>
      <c r="D501">
        <f>"Q"&amp;(INT((A501-1)/13)+1)</f>
        <v/>
      </c>
      <c r="E501" t="inlineStr">
        <is>
          <t>Convenience</t>
        </is>
      </c>
      <c r="F501">
        <f>IFERROR(INDEX(ChFormat,MATCH(E501,ChName,0)),"")</f>
        <v/>
      </c>
      <c r="G501" t="inlineStr">
        <is>
          <t>NL</t>
        </is>
      </c>
      <c r="H501">
        <f>IF(A501&lt;=NWeeks,1,0)</f>
        <v/>
      </c>
      <c r="I501">
        <f>INDEX(ChLaunch,MATCH(E501,ChName,0))</f>
        <v/>
      </c>
      <c r="J501">
        <f>INDEX(ChWeeksFull,MATCH(E501,ChName,0))</f>
        <v/>
      </c>
      <c r="K501">
        <f>INDEX(ChRamp,MATCH(E501,ChName,0))</f>
        <v/>
      </c>
      <c r="L501" s="45">
        <f>MIN(1,MAX(0,(A501-I501+1)*RampSpeed/J501))</f>
        <v/>
      </c>
      <c r="M501" s="45">
        <f>IF(A501&lt;I501,0,IF(K501="S-curve",L501*L501*(3-2*L501),L501))</f>
        <v/>
      </c>
      <c r="N501" s="45">
        <f>1+(INDEX(SeasonIdx,A501)-1)*SeasonAmp</f>
        <v/>
      </c>
      <c r="O501" s="45">
        <f>IFERROR(INDEX(PSPct,MATCH(E501&amp;"|"&amp;G501,PSKey,0)),0)</f>
        <v/>
      </c>
      <c r="P501" s="46">
        <f>INDEX(ChDoorVel,MATCH(E501,ChName,0))*CalibScalar*(1+VelocityUplift)</f>
        <v/>
      </c>
      <c r="Q501" s="46" t="n">
        <v>0</v>
      </c>
      <c r="R501" s="46">
        <f>P501*O501*M501*N501*H501</f>
        <v/>
      </c>
      <c r="S501" s="46">
        <f>R501*INDEX(FmtCansPerCase,MATCH(F501,FmtName,0))</f>
        <v/>
      </c>
      <c r="T501" s="46">
        <f>S501/INDEX(FmtCansPerPack,MATCH(F501,FmtName,0))</f>
        <v/>
      </c>
      <c r="U501" s="47">
        <f>INDEX(ChBaseCP,MATCH(E501,ChName,0))*(1+INDEX(ProvMod,MATCH(G501,ProvCode,0)))*(1+PriceIndex)</f>
        <v/>
      </c>
      <c r="V501" s="47">
        <f>R501*U501*INDEX(FmtBlendedPriceIdx,MATCH(F501,FmtName,0))</f>
        <v/>
      </c>
      <c r="W501" s="47">
        <f>T501*INDEX(ProvSRP,MATCH(G501,ProvCode,0))*(1+PriceIndex)</f>
        <v/>
      </c>
      <c r="X501" s="47">
        <f>IF(GrossBasis="Wholesale",V501,W501)</f>
        <v/>
      </c>
      <c r="Y501" s="47">
        <f>R501*INDEX(FmtBlendedCogs,MATCH(F501,FmtName,0))</f>
        <v/>
      </c>
      <c r="Z501" s="47">
        <f>X501-Y501</f>
        <v/>
      </c>
    </row>
    <row r="502">
      <c r="A502" t="n">
        <v>24</v>
      </c>
      <c r="B502" s="44">
        <f>FiscalStart+(A502-1)*7</f>
        <v/>
      </c>
      <c r="C502">
        <f>TEXT(B502,"mmm yyyy")</f>
        <v/>
      </c>
      <c r="D502">
        <f>"Q"&amp;(INT((A502-1)/13)+1)</f>
        <v/>
      </c>
      <c r="E502" t="inlineStr">
        <is>
          <t>Convenience</t>
        </is>
      </c>
      <c r="F502">
        <f>IFERROR(INDEX(ChFormat,MATCH(E502,ChName,0)),"")</f>
        <v/>
      </c>
      <c r="G502" t="inlineStr">
        <is>
          <t>NL</t>
        </is>
      </c>
      <c r="H502">
        <f>IF(A502&lt;=NWeeks,1,0)</f>
        <v/>
      </c>
      <c r="I502">
        <f>INDEX(ChLaunch,MATCH(E502,ChName,0))</f>
        <v/>
      </c>
      <c r="J502">
        <f>INDEX(ChWeeksFull,MATCH(E502,ChName,0))</f>
        <v/>
      </c>
      <c r="K502">
        <f>INDEX(ChRamp,MATCH(E502,ChName,0))</f>
        <v/>
      </c>
      <c r="L502" s="45">
        <f>MIN(1,MAX(0,(A502-I502+1)*RampSpeed/J502))</f>
        <v/>
      </c>
      <c r="M502" s="45">
        <f>IF(A502&lt;I502,0,IF(K502="S-curve",L502*L502*(3-2*L502),L502))</f>
        <v/>
      </c>
      <c r="N502" s="45">
        <f>1+(INDEX(SeasonIdx,A502)-1)*SeasonAmp</f>
        <v/>
      </c>
      <c r="O502" s="45">
        <f>IFERROR(INDEX(PSPct,MATCH(E502&amp;"|"&amp;G502,PSKey,0)),0)</f>
        <v/>
      </c>
      <c r="P502" s="46">
        <f>INDEX(ChDoorVel,MATCH(E502,ChName,0))*CalibScalar*(1+VelocityUplift)</f>
        <v/>
      </c>
      <c r="Q502" s="46" t="n">
        <v>0</v>
      </c>
      <c r="R502" s="46">
        <f>P502*O502*M502*N502*H502</f>
        <v/>
      </c>
      <c r="S502" s="46">
        <f>R502*INDEX(FmtCansPerCase,MATCH(F502,FmtName,0))</f>
        <v/>
      </c>
      <c r="T502" s="46">
        <f>S502/INDEX(FmtCansPerPack,MATCH(F502,FmtName,0))</f>
        <v/>
      </c>
      <c r="U502" s="47">
        <f>INDEX(ChBaseCP,MATCH(E502,ChName,0))*(1+INDEX(ProvMod,MATCH(G502,ProvCode,0)))*(1+PriceIndex)</f>
        <v/>
      </c>
      <c r="V502" s="47">
        <f>R502*U502*INDEX(FmtBlendedPriceIdx,MATCH(F502,FmtName,0))</f>
        <v/>
      </c>
      <c r="W502" s="47">
        <f>T502*INDEX(ProvSRP,MATCH(G502,ProvCode,0))*(1+PriceIndex)</f>
        <v/>
      </c>
      <c r="X502" s="47">
        <f>IF(GrossBasis="Wholesale",V502,W502)</f>
        <v/>
      </c>
      <c r="Y502" s="47">
        <f>R502*INDEX(FmtBlendedCogs,MATCH(F502,FmtName,0))</f>
        <v/>
      </c>
      <c r="Z502" s="47">
        <f>X502-Y502</f>
        <v/>
      </c>
    </row>
    <row r="503">
      <c r="A503" t="n">
        <v>25</v>
      </c>
      <c r="B503" s="44">
        <f>FiscalStart+(A503-1)*7</f>
        <v/>
      </c>
      <c r="C503">
        <f>TEXT(B503,"mmm yyyy")</f>
        <v/>
      </c>
      <c r="D503">
        <f>"Q"&amp;(INT((A503-1)/13)+1)</f>
        <v/>
      </c>
      <c r="E503" t="inlineStr">
        <is>
          <t>Convenience</t>
        </is>
      </c>
      <c r="F503">
        <f>IFERROR(INDEX(ChFormat,MATCH(E503,ChName,0)),"")</f>
        <v/>
      </c>
      <c r="G503" t="inlineStr">
        <is>
          <t>NL</t>
        </is>
      </c>
      <c r="H503">
        <f>IF(A503&lt;=NWeeks,1,0)</f>
        <v/>
      </c>
      <c r="I503">
        <f>INDEX(ChLaunch,MATCH(E503,ChName,0))</f>
        <v/>
      </c>
      <c r="J503">
        <f>INDEX(ChWeeksFull,MATCH(E503,ChName,0))</f>
        <v/>
      </c>
      <c r="K503">
        <f>INDEX(ChRamp,MATCH(E503,ChName,0))</f>
        <v/>
      </c>
      <c r="L503" s="45">
        <f>MIN(1,MAX(0,(A503-I503+1)*RampSpeed/J503))</f>
        <v/>
      </c>
      <c r="M503" s="45">
        <f>IF(A503&lt;I503,0,IF(K503="S-curve",L503*L503*(3-2*L503),L503))</f>
        <v/>
      </c>
      <c r="N503" s="45">
        <f>1+(INDEX(SeasonIdx,A503)-1)*SeasonAmp</f>
        <v/>
      </c>
      <c r="O503" s="45">
        <f>IFERROR(INDEX(PSPct,MATCH(E503&amp;"|"&amp;G503,PSKey,0)),0)</f>
        <v/>
      </c>
      <c r="P503" s="46">
        <f>INDEX(ChDoorVel,MATCH(E503,ChName,0))*CalibScalar*(1+VelocityUplift)</f>
        <v/>
      </c>
      <c r="Q503" s="46" t="n">
        <v>0</v>
      </c>
      <c r="R503" s="46">
        <f>P503*O503*M503*N503*H503</f>
        <v/>
      </c>
      <c r="S503" s="46">
        <f>R503*INDEX(FmtCansPerCase,MATCH(F503,FmtName,0))</f>
        <v/>
      </c>
      <c r="T503" s="46">
        <f>S503/INDEX(FmtCansPerPack,MATCH(F503,FmtName,0))</f>
        <v/>
      </c>
      <c r="U503" s="47">
        <f>INDEX(ChBaseCP,MATCH(E503,ChName,0))*(1+INDEX(ProvMod,MATCH(G503,ProvCode,0)))*(1+PriceIndex)</f>
        <v/>
      </c>
      <c r="V503" s="47">
        <f>R503*U503*INDEX(FmtBlendedPriceIdx,MATCH(F503,FmtName,0))</f>
        <v/>
      </c>
      <c r="W503" s="47">
        <f>T503*INDEX(ProvSRP,MATCH(G503,ProvCode,0))*(1+PriceIndex)</f>
        <v/>
      </c>
      <c r="X503" s="47">
        <f>IF(GrossBasis="Wholesale",V503,W503)</f>
        <v/>
      </c>
      <c r="Y503" s="47">
        <f>R503*INDEX(FmtBlendedCogs,MATCH(F503,FmtName,0))</f>
        <v/>
      </c>
      <c r="Z503" s="47">
        <f>X503-Y503</f>
        <v/>
      </c>
    </row>
    <row r="504">
      <c r="A504" t="n">
        <v>26</v>
      </c>
      <c r="B504" s="44">
        <f>FiscalStart+(A504-1)*7</f>
        <v/>
      </c>
      <c r="C504">
        <f>TEXT(B504,"mmm yyyy")</f>
        <v/>
      </c>
      <c r="D504">
        <f>"Q"&amp;(INT((A504-1)/13)+1)</f>
        <v/>
      </c>
      <c r="E504" t="inlineStr">
        <is>
          <t>Convenience</t>
        </is>
      </c>
      <c r="F504">
        <f>IFERROR(INDEX(ChFormat,MATCH(E504,ChName,0)),"")</f>
        <v/>
      </c>
      <c r="G504" t="inlineStr">
        <is>
          <t>NL</t>
        </is>
      </c>
      <c r="H504">
        <f>IF(A504&lt;=NWeeks,1,0)</f>
        <v/>
      </c>
      <c r="I504">
        <f>INDEX(ChLaunch,MATCH(E504,ChName,0))</f>
        <v/>
      </c>
      <c r="J504">
        <f>INDEX(ChWeeksFull,MATCH(E504,ChName,0))</f>
        <v/>
      </c>
      <c r="K504">
        <f>INDEX(ChRamp,MATCH(E504,ChName,0))</f>
        <v/>
      </c>
      <c r="L504" s="45">
        <f>MIN(1,MAX(0,(A504-I504+1)*RampSpeed/J504))</f>
        <v/>
      </c>
      <c r="M504" s="45">
        <f>IF(A504&lt;I504,0,IF(K504="S-curve",L504*L504*(3-2*L504),L504))</f>
        <v/>
      </c>
      <c r="N504" s="45">
        <f>1+(INDEX(SeasonIdx,A504)-1)*SeasonAmp</f>
        <v/>
      </c>
      <c r="O504" s="45">
        <f>IFERROR(INDEX(PSPct,MATCH(E504&amp;"|"&amp;G504,PSKey,0)),0)</f>
        <v/>
      </c>
      <c r="P504" s="46">
        <f>INDEX(ChDoorVel,MATCH(E504,ChName,0))*CalibScalar*(1+VelocityUplift)</f>
        <v/>
      </c>
      <c r="Q504" s="46" t="n">
        <v>0</v>
      </c>
      <c r="R504" s="46">
        <f>P504*O504*M504*N504*H504</f>
        <v/>
      </c>
      <c r="S504" s="46">
        <f>R504*INDEX(FmtCansPerCase,MATCH(F504,FmtName,0))</f>
        <v/>
      </c>
      <c r="T504" s="46">
        <f>S504/INDEX(FmtCansPerPack,MATCH(F504,FmtName,0))</f>
        <v/>
      </c>
      <c r="U504" s="47">
        <f>INDEX(ChBaseCP,MATCH(E504,ChName,0))*(1+INDEX(ProvMod,MATCH(G504,ProvCode,0)))*(1+PriceIndex)</f>
        <v/>
      </c>
      <c r="V504" s="47">
        <f>R504*U504*INDEX(FmtBlendedPriceIdx,MATCH(F504,FmtName,0))</f>
        <v/>
      </c>
      <c r="W504" s="47">
        <f>T504*INDEX(ProvSRP,MATCH(G504,ProvCode,0))*(1+PriceIndex)</f>
        <v/>
      </c>
      <c r="X504" s="47">
        <f>IF(GrossBasis="Wholesale",V504,W504)</f>
        <v/>
      </c>
      <c r="Y504" s="47">
        <f>R504*INDEX(FmtBlendedCogs,MATCH(F504,FmtName,0))</f>
        <v/>
      </c>
      <c r="Z504" s="47">
        <f>X504-Y504</f>
        <v/>
      </c>
    </row>
    <row r="505">
      <c r="A505" t="n">
        <v>27</v>
      </c>
      <c r="B505" s="44">
        <f>FiscalStart+(A505-1)*7</f>
        <v/>
      </c>
      <c r="C505">
        <f>TEXT(B505,"mmm yyyy")</f>
        <v/>
      </c>
      <c r="D505">
        <f>"Q"&amp;(INT((A505-1)/13)+1)</f>
        <v/>
      </c>
      <c r="E505" t="inlineStr">
        <is>
          <t>Convenience</t>
        </is>
      </c>
      <c r="F505">
        <f>IFERROR(INDEX(ChFormat,MATCH(E505,ChName,0)),"")</f>
        <v/>
      </c>
      <c r="G505" t="inlineStr">
        <is>
          <t>NL</t>
        </is>
      </c>
      <c r="H505">
        <f>IF(A505&lt;=NWeeks,1,0)</f>
        <v/>
      </c>
      <c r="I505">
        <f>INDEX(ChLaunch,MATCH(E505,ChName,0))</f>
        <v/>
      </c>
      <c r="J505">
        <f>INDEX(ChWeeksFull,MATCH(E505,ChName,0))</f>
        <v/>
      </c>
      <c r="K505">
        <f>INDEX(ChRamp,MATCH(E505,ChName,0))</f>
        <v/>
      </c>
      <c r="L505" s="45">
        <f>MIN(1,MAX(0,(A505-I505+1)*RampSpeed/J505))</f>
        <v/>
      </c>
      <c r="M505" s="45">
        <f>IF(A505&lt;I505,0,IF(K505="S-curve",L505*L505*(3-2*L505),L505))</f>
        <v/>
      </c>
      <c r="N505" s="45">
        <f>1+(INDEX(SeasonIdx,A505)-1)*SeasonAmp</f>
        <v/>
      </c>
      <c r="O505" s="45">
        <f>IFERROR(INDEX(PSPct,MATCH(E505&amp;"|"&amp;G505,PSKey,0)),0)</f>
        <v/>
      </c>
      <c r="P505" s="46">
        <f>INDEX(ChDoorVel,MATCH(E505,ChName,0))*CalibScalar*(1+VelocityUplift)</f>
        <v/>
      </c>
      <c r="Q505" s="46" t="n">
        <v>0</v>
      </c>
      <c r="R505" s="46">
        <f>P505*O505*M505*N505*H505</f>
        <v/>
      </c>
      <c r="S505" s="46">
        <f>R505*INDEX(FmtCansPerCase,MATCH(F505,FmtName,0))</f>
        <v/>
      </c>
      <c r="T505" s="46">
        <f>S505/INDEX(FmtCansPerPack,MATCH(F505,FmtName,0))</f>
        <v/>
      </c>
      <c r="U505" s="47">
        <f>INDEX(ChBaseCP,MATCH(E505,ChName,0))*(1+INDEX(ProvMod,MATCH(G505,ProvCode,0)))*(1+PriceIndex)</f>
        <v/>
      </c>
      <c r="V505" s="47">
        <f>R505*U505*INDEX(FmtBlendedPriceIdx,MATCH(F505,FmtName,0))</f>
        <v/>
      </c>
      <c r="W505" s="47">
        <f>T505*INDEX(ProvSRP,MATCH(G505,ProvCode,0))*(1+PriceIndex)</f>
        <v/>
      </c>
      <c r="X505" s="47">
        <f>IF(GrossBasis="Wholesale",V505,W505)</f>
        <v/>
      </c>
      <c r="Y505" s="47">
        <f>R505*INDEX(FmtBlendedCogs,MATCH(F505,FmtName,0))</f>
        <v/>
      </c>
      <c r="Z505" s="47">
        <f>X505-Y505</f>
        <v/>
      </c>
    </row>
    <row r="506">
      <c r="A506" t="n">
        <v>28</v>
      </c>
      <c r="B506" s="44">
        <f>FiscalStart+(A506-1)*7</f>
        <v/>
      </c>
      <c r="C506">
        <f>TEXT(B506,"mmm yyyy")</f>
        <v/>
      </c>
      <c r="D506">
        <f>"Q"&amp;(INT((A506-1)/13)+1)</f>
        <v/>
      </c>
      <c r="E506" t="inlineStr">
        <is>
          <t>Convenience</t>
        </is>
      </c>
      <c r="F506">
        <f>IFERROR(INDEX(ChFormat,MATCH(E506,ChName,0)),"")</f>
        <v/>
      </c>
      <c r="G506" t="inlineStr">
        <is>
          <t>NL</t>
        </is>
      </c>
      <c r="H506">
        <f>IF(A506&lt;=NWeeks,1,0)</f>
        <v/>
      </c>
      <c r="I506">
        <f>INDEX(ChLaunch,MATCH(E506,ChName,0))</f>
        <v/>
      </c>
      <c r="J506">
        <f>INDEX(ChWeeksFull,MATCH(E506,ChName,0))</f>
        <v/>
      </c>
      <c r="K506">
        <f>INDEX(ChRamp,MATCH(E506,ChName,0))</f>
        <v/>
      </c>
      <c r="L506" s="45">
        <f>MIN(1,MAX(0,(A506-I506+1)*RampSpeed/J506))</f>
        <v/>
      </c>
      <c r="M506" s="45">
        <f>IF(A506&lt;I506,0,IF(K506="S-curve",L506*L506*(3-2*L506),L506))</f>
        <v/>
      </c>
      <c r="N506" s="45">
        <f>1+(INDEX(SeasonIdx,A506)-1)*SeasonAmp</f>
        <v/>
      </c>
      <c r="O506" s="45">
        <f>IFERROR(INDEX(PSPct,MATCH(E506&amp;"|"&amp;G506,PSKey,0)),0)</f>
        <v/>
      </c>
      <c r="P506" s="46">
        <f>INDEX(ChDoorVel,MATCH(E506,ChName,0))*CalibScalar*(1+VelocityUplift)</f>
        <v/>
      </c>
      <c r="Q506" s="46" t="n">
        <v>0</v>
      </c>
      <c r="R506" s="46">
        <f>P506*O506*M506*N506*H506</f>
        <v/>
      </c>
      <c r="S506" s="46">
        <f>R506*INDEX(FmtCansPerCase,MATCH(F506,FmtName,0))</f>
        <v/>
      </c>
      <c r="T506" s="46">
        <f>S506/INDEX(FmtCansPerPack,MATCH(F506,FmtName,0))</f>
        <v/>
      </c>
      <c r="U506" s="47">
        <f>INDEX(ChBaseCP,MATCH(E506,ChName,0))*(1+INDEX(ProvMod,MATCH(G506,ProvCode,0)))*(1+PriceIndex)</f>
        <v/>
      </c>
      <c r="V506" s="47">
        <f>R506*U506*INDEX(FmtBlendedPriceIdx,MATCH(F506,FmtName,0))</f>
        <v/>
      </c>
      <c r="W506" s="47">
        <f>T506*INDEX(ProvSRP,MATCH(G506,ProvCode,0))*(1+PriceIndex)</f>
        <v/>
      </c>
      <c r="X506" s="47">
        <f>IF(GrossBasis="Wholesale",V506,W506)</f>
        <v/>
      </c>
      <c r="Y506" s="47">
        <f>R506*INDEX(FmtBlendedCogs,MATCH(F506,FmtName,0))</f>
        <v/>
      </c>
      <c r="Z506" s="47">
        <f>X506-Y506</f>
        <v/>
      </c>
    </row>
    <row r="507">
      <c r="A507" t="n">
        <v>29</v>
      </c>
      <c r="B507" s="44">
        <f>FiscalStart+(A507-1)*7</f>
        <v/>
      </c>
      <c r="C507">
        <f>TEXT(B507,"mmm yyyy")</f>
        <v/>
      </c>
      <c r="D507">
        <f>"Q"&amp;(INT((A507-1)/13)+1)</f>
        <v/>
      </c>
      <c r="E507" t="inlineStr">
        <is>
          <t>Convenience</t>
        </is>
      </c>
      <c r="F507">
        <f>IFERROR(INDEX(ChFormat,MATCH(E507,ChName,0)),"")</f>
        <v/>
      </c>
      <c r="G507" t="inlineStr">
        <is>
          <t>NL</t>
        </is>
      </c>
      <c r="H507">
        <f>IF(A507&lt;=NWeeks,1,0)</f>
        <v/>
      </c>
      <c r="I507">
        <f>INDEX(ChLaunch,MATCH(E507,ChName,0))</f>
        <v/>
      </c>
      <c r="J507">
        <f>INDEX(ChWeeksFull,MATCH(E507,ChName,0))</f>
        <v/>
      </c>
      <c r="K507">
        <f>INDEX(ChRamp,MATCH(E507,ChName,0))</f>
        <v/>
      </c>
      <c r="L507" s="45">
        <f>MIN(1,MAX(0,(A507-I507+1)*RampSpeed/J507))</f>
        <v/>
      </c>
      <c r="M507" s="45">
        <f>IF(A507&lt;I507,0,IF(K507="S-curve",L507*L507*(3-2*L507),L507))</f>
        <v/>
      </c>
      <c r="N507" s="45">
        <f>1+(INDEX(SeasonIdx,A507)-1)*SeasonAmp</f>
        <v/>
      </c>
      <c r="O507" s="45">
        <f>IFERROR(INDEX(PSPct,MATCH(E507&amp;"|"&amp;G507,PSKey,0)),0)</f>
        <v/>
      </c>
      <c r="P507" s="46">
        <f>INDEX(ChDoorVel,MATCH(E507,ChName,0))*CalibScalar*(1+VelocityUplift)</f>
        <v/>
      </c>
      <c r="Q507" s="46" t="n">
        <v>0</v>
      </c>
      <c r="R507" s="46">
        <f>P507*O507*M507*N507*H507</f>
        <v/>
      </c>
      <c r="S507" s="46">
        <f>R507*INDEX(FmtCansPerCase,MATCH(F507,FmtName,0))</f>
        <v/>
      </c>
      <c r="T507" s="46">
        <f>S507/INDEX(FmtCansPerPack,MATCH(F507,FmtName,0))</f>
        <v/>
      </c>
      <c r="U507" s="47">
        <f>INDEX(ChBaseCP,MATCH(E507,ChName,0))*(1+INDEX(ProvMod,MATCH(G507,ProvCode,0)))*(1+PriceIndex)</f>
        <v/>
      </c>
      <c r="V507" s="47">
        <f>R507*U507*INDEX(FmtBlendedPriceIdx,MATCH(F507,FmtName,0))</f>
        <v/>
      </c>
      <c r="W507" s="47">
        <f>T507*INDEX(ProvSRP,MATCH(G507,ProvCode,0))*(1+PriceIndex)</f>
        <v/>
      </c>
      <c r="X507" s="47">
        <f>IF(GrossBasis="Wholesale",V507,W507)</f>
        <v/>
      </c>
      <c r="Y507" s="47">
        <f>R507*INDEX(FmtBlendedCogs,MATCH(F507,FmtName,0))</f>
        <v/>
      </c>
      <c r="Z507" s="47">
        <f>X507-Y507</f>
        <v/>
      </c>
    </row>
    <row r="508">
      <c r="A508" t="n">
        <v>30</v>
      </c>
      <c r="B508" s="44">
        <f>FiscalStart+(A508-1)*7</f>
        <v/>
      </c>
      <c r="C508">
        <f>TEXT(B508,"mmm yyyy")</f>
        <v/>
      </c>
      <c r="D508">
        <f>"Q"&amp;(INT((A508-1)/13)+1)</f>
        <v/>
      </c>
      <c r="E508" t="inlineStr">
        <is>
          <t>Convenience</t>
        </is>
      </c>
      <c r="F508">
        <f>IFERROR(INDEX(ChFormat,MATCH(E508,ChName,0)),"")</f>
        <v/>
      </c>
      <c r="G508" t="inlineStr">
        <is>
          <t>NL</t>
        </is>
      </c>
      <c r="H508">
        <f>IF(A508&lt;=NWeeks,1,0)</f>
        <v/>
      </c>
      <c r="I508">
        <f>INDEX(ChLaunch,MATCH(E508,ChName,0))</f>
        <v/>
      </c>
      <c r="J508">
        <f>INDEX(ChWeeksFull,MATCH(E508,ChName,0))</f>
        <v/>
      </c>
      <c r="K508">
        <f>INDEX(ChRamp,MATCH(E508,ChName,0))</f>
        <v/>
      </c>
      <c r="L508" s="45">
        <f>MIN(1,MAX(0,(A508-I508+1)*RampSpeed/J508))</f>
        <v/>
      </c>
      <c r="M508" s="45">
        <f>IF(A508&lt;I508,0,IF(K508="S-curve",L508*L508*(3-2*L508),L508))</f>
        <v/>
      </c>
      <c r="N508" s="45">
        <f>1+(INDEX(SeasonIdx,A508)-1)*SeasonAmp</f>
        <v/>
      </c>
      <c r="O508" s="45">
        <f>IFERROR(INDEX(PSPct,MATCH(E508&amp;"|"&amp;G508,PSKey,0)),0)</f>
        <v/>
      </c>
      <c r="P508" s="46">
        <f>INDEX(ChDoorVel,MATCH(E508,ChName,0))*CalibScalar*(1+VelocityUplift)</f>
        <v/>
      </c>
      <c r="Q508" s="46" t="n">
        <v>0</v>
      </c>
      <c r="R508" s="46">
        <f>P508*O508*M508*N508*H508</f>
        <v/>
      </c>
      <c r="S508" s="46">
        <f>R508*INDEX(FmtCansPerCase,MATCH(F508,FmtName,0))</f>
        <v/>
      </c>
      <c r="T508" s="46">
        <f>S508/INDEX(FmtCansPerPack,MATCH(F508,FmtName,0))</f>
        <v/>
      </c>
      <c r="U508" s="47">
        <f>INDEX(ChBaseCP,MATCH(E508,ChName,0))*(1+INDEX(ProvMod,MATCH(G508,ProvCode,0)))*(1+PriceIndex)</f>
        <v/>
      </c>
      <c r="V508" s="47">
        <f>R508*U508*INDEX(FmtBlendedPriceIdx,MATCH(F508,FmtName,0))</f>
        <v/>
      </c>
      <c r="W508" s="47">
        <f>T508*INDEX(ProvSRP,MATCH(G508,ProvCode,0))*(1+PriceIndex)</f>
        <v/>
      </c>
      <c r="X508" s="47">
        <f>IF(GrossBasis="Wholesale",V508,W508)</f>
        <v/>
      </c>
      <c r="Y508" s="47">
        <f>R508*INDEX(FmtBlendedCogs,MATCH(F508,FmtName,0))</f>
        <v/>
      </c>
      <c r="Z508" s="47">
        <f>X508-Y508</f>
        <v/>
      </c>
    </row>
    <row r="509">
      <c r="A509" t="n">
        <v>31</v>
      </c>
      <c r="B509" s="44">
        <f>FiscalStart+(A509-1)*7</f>
        <v/>
      </c>
      <c r="C509">
        <f>TEXT(B509,"mmm yyyy")</f>
        <v/>
      </c>
      <c r="D509">
        <f>"Q"&amp;(INT((A509-1)/13)+1)</f>
        <v/>
      </c>
      <c r="E509" t="inlineStr">
        <is>
          <t>Convenience</t>
        </is>
      </c>
      <c r="F509">
        <f>IFERROR(INDEX(ChFormat,MATCH(E509,ChName,0)),"")</f>
        <v/>
      </c>
      <c r="G509" t="inlineStr">
        <is>
          <t>NL</t>
        </is>
      </c>
      <c r="H509">
        <f>IF(A509&lt;=NWeeks,1,0)</f>
        <v/>
      </c>
      <c r="I509">
        <f>INDEX(ChLaunch,MATCH(E509,ChName,0))</f>
        <v/>
      </c>
      <c r="J509">
        <f>INDEX(ChWeeksFull,MATCH(E509,ChName,0))</f>
        <v/>
      </c>
      <c r="K509">
        <f>INDEX(ChRamp,MATCH(E509,ChName,0))</f>
        <v/>
      </c>
      <c r="L509" s="45">
        <f>MIN(1,MAX(0,(A509-I509+1)*RampSpeed/J509))</f>
        <v/>
      </c>
      <c r="M509" s="45">
        <f>IF(A509&lt;I509,0,IF(K509="S-curve",L509*L509*(3-2*L509),L509))</f>
        <v/>
      </c>
      <c r="N509" s="45">
        <f>1+(INDEX(SeasonIdx,A509)-1)*SeasonAmp</f>
        <v/>
      </c>
      <c r="O509" s="45">
        <f>IFERROR(INDEX(PSPct,MATCH(E509&amp;"|"&amp;G509,PSKey,0)),0)</f>
        <v/>
      </c>
      <c r="P509" s="46">
        <f>INDEX(ChDoorVel,MATCH(E509,ChName,0))*CalibScalar*(1+VelocityUplift)</f>
        <v/>
      </c>
      <c r="Q509" s="46" t="n">
        <v>0</v>
      </c>
      <c r="R509" s="46">
        <f>P509*O509*M509*N509*H509</f>
        <v/>
      </c>
      <c r="S509" s="46">
        <f>R509*INDEX(FmtCansPerCase,MATCH(F509,FmtName,0))</f>
        <v/>
      </c>
      <c r="T509" s="46">
        <f>S509/INDEX(FmtCansPerPack,MATCH(F509,FmtName,0))</f>
        <v/>
      </c>
      <c r="U509" s="47">
        <f>INDEX(ChBaseCP,MATCH(E509,ChName,0))*(1+INDEX(ProvMod,MATCH(G509,ProvCode,0)))*(1+PriceIndex)</f>
        <v/>
      </c>
      <c r="V509" s="47">
        <f>R509*U509*INDEX(FmtBlendedPriceIdx,MATCH(F509,FmtName,0))</f>
        <v/>
      </c>
      <c r="W509" s="47">
        <f>T509*INDEX(ProvSRP,MATCH(G509,ProvCode,0))*(1+PriceIndex)</f>
        <v/>
      </c>
      <c r="X509" s="47">
        <f>IF(GrossBasis="Wholesale",V509,W509)</f>
        <v/>
      </c>
      <c r="Y509" s="47">
        <f>R509*INDEX(FmtBlendedCogs,MATCH(F509,FmtName,0))</f>
        <v/>
      </c>
      <c r="Z509" s="47">
        <f>X509-Y509</f>
        <v/>
      </c>
    </row>
    <row r="510">
      <c r="A510" t="n">
        <v>32</v>
      </c>
      <c r="B510" s="44">
        <f>FiscalStart+(A510-1)*7</f>
        <v/>
      </c>
      <c r="C510">
        <f>TEXT(B510,"mmm yyyy")</f>
        <v/>
      </c>
      <c r="D510">
        <f>"Q"&amp;(INT((A510-1)/13)+1)</f>
        <v/>
      </c>
      <c r="E510" t="inlineStr">
        <is>
          <t>Convenience</t>
        </is>
      </c>
      <c r="F510">
        <f>IFERROR(INDEX(ChFormat,MATCH(E510,ChName,0)),"")</f>
        <v/>
      </c>
      <c r="G510" t="inlineStr">
        <is>
          <t>NL</t>
        </is>
      </c>
      <c r="H510">
        <f>IF(A510&lt;=NWeeks,1,0)</f>
        <v/>
      </c>
      <c r="I510">
        <f>INDEX(ChLaunch,MATCH(E510,ChName,0))</f>
        <v/>
      </c>
      <c r="J510">
        <f>INDEX(ChWeeksFull,MATCH(E510,ChName,0))</f>
        <v/>
      </c>
      <c r="K510">
        <f>INDEX(ChRamp,MATCH(E510,ChName,0))</f>
        <v/>
      </c>
      <c r="L510" s="45">
        <f>MIN(1,MAX(0,(A510-I510+1)*RampSpeed/J510))</f>
        <v/>
      </c>
      <c r="M510" s="45">
        <f>IF(A510&lt;I510,0,IF(K510="S-curve",L510*L510*(3-2*L510),L510))</f>
        <v/>
      </c>
      <c r="N510" s="45">
        <f>1+(INDEX(SeasonIdx,A510)-1)*SeasonAmp</f>
        <v/>
      </c>
      <c r="O510" s="45">
        <f>IFERROR(INDEX(PSPct,MATCH(E510&amp;"|"&amp;G510,PSKey,0)),0)</f>
        <v/>
      </c>
      <c r="P510" s="46">
        <f>INDEX(ChDoorVel,MATCH(E510,ChName,0))*CalibScalar*(1+VelocityUplift)</f>
        <v/>
      </c>
      <c r="Q510" s="46" t="n">
        <v>0</v>
      </c>
      <c r="R510" s="46">
        <f>P510*O510*M510*N510*H510</f>
        <v/>
      </c>
      <c r="S510" s="46">
        <f>R510*INDEX(FmtCansPerCase,MATCH(F510,FmtName,0))</f>
        <v/>
      </c>
      <c r="T510" s="46">
        <f>S510/INDEX(FmtCansPerPack,MATCH(F510,FmtName,0))</f>
        <v/>
      </c>
      <c r="U510" s="47">
        <f>INDEX(ChBaseCP,MATCH(E510,ChName,0))*(1+INDEX(ProvMod,MATCH(G510,ProvCode,0)))*(1+PriceIndex)</f>
        <v/>
      </c>
      <c r="V510" s="47">
        <f>R510*U510*INDEX(FmtBlendedPriceIdx,MATCH(F510,FmtName,0))</f>
        <v/>
      </c>
      <c r="W510" s="47">
        <f>T510*INDEX(ProvSRP,MATCH(G510,ProvCode,0))*(1+PriceIndex)</f>
        <v/>
      </c>
      <c r="X510" s="47">
        <f>IF(GrossBasis="Wholesale",V510,W510)</f>
        <v/>
      </c>
      <c r="Y510" s="47">
        <f>R510*INDEX(FmtBlendedCogs,MATCH(F510,FmtName,0))</f>
        <v/>
      </c>
      <c r="Z510" s="47">
        <f>X510-Y510</f>
        <v/>
      </c>
    </row>
    <row r="511">
      <c r="A511" t="n">
        <v>33</v>
      </c>
      <c r="B511" s="44">
        <f>FiscalStart+(A511-1)*7</f>
        <v/>
      </c>
      <c r="C511">
        <f>TEXT(B511,"mmm yyyy")</f>
        <v/>
      </c>
      <c r="D511">
        <f>"Q"&amp;(INT((A511-1)/13)+1)</f>
        <v/>
      </c>
      <c r="E511" t="inlineStr">
        <is>
          <t>Convenience</t>
        </is>
      </c>
      <c r="F511">
        <f>IFERROR(INDEX(ChFormat,MATCH(E511,ChName,0)),"")</f>
        <v/>
      </c>
      <c r="G511" t="inlineStr">
        <is>
          <t>NL</t>
        </is>
      </c>
      <c r="H511">
        <f>IF(A511&lt;=NWeeks,1,0)</f>
        <v/>
      </c>
      <c r="I511">
        <f>INDEX(ChLaunch,MATCH(E511,ChName,0))</f>
        <v/>
      </c>
      <c r="J511">
        <f>INDEX(ChWeeksFull,MATCH(E511,ChName,0))</f>
        <v/>
      </c>
      <c r="K511">
        <f>INDEX(ChRamp,MATCH(E511,ChName,0))</f>
        <v/>
      </c>
      <c r="L511" s="45">
        <f>MIN(1,MAX(0,(A511-I511+1)*RampSpeed/J511))</f>
        <v/>
      </c>
      <c r="M511" s="45">
        <f>IF(A511&lt;I511,0,IF(K511="S-curve",L511*L511*(3-2*L511),L511))</f>
        <v/>
      </c>
      <c r="N511" s="45">
        <f>1+(INDEX(SeasonIdx,A511)-1)*SeasonAmp</f>
        <v/>
      </c>
      <c r="O511" s="45">
        <f>IFERROR(INDEX(PSPct,MATCH(E511&amp;"|"&amp;G511,PSKey,0)),0)</f>
        <v/>
      </c>
      <c r="P511" s="46">
        <f>INDEX(ChDoorVel,MATCH(E511,ChName,0))*CalibScalar*(1+VelocityUplift)</f>
        <v/>
      </c>
      <c r="Q511" s="46" t="n">
        <v>0</v>
      </c>
      <c r="R511" s="46">
        <f>P511*O511*M511*N511*H511</f>
        <v/>
      </c>
      <c r="S511" s="46">
        <f>R511*INDEX(FmtCansPerCase,MATCH(F511,FmtName,0))</f>
        <v/>
      </c>
      <c r="T511" s="46">
        <f>S511/INDEX(FmtCansPerPack,MATCH(F511,FmtName,0))</f>
        <v/>
      </c>
      <c r="U511" s="47">
        <f>INDEX(ChBaseCP,MATCH(E511,ChName,0))*(1+INDEX(ProvMod,MATCH(G511,ProvCode,0)))*(1+PriceIndex)</f>
        <v/>
      </c>
      <c r="V511" s="47">
        <f>R511*U511*INDEX(FmtBlendedPriceIdx,MATCH(F511,FmtName,0))</f>
        <v/>
      </c>
      <c r="W511" s="47">
        <f>T511*INDEX(ProvSRP,MATCH(G511,ProvCode,0))*(1+PriceIndex)</f>
        <v/>
      </c>
      <c r="X511" s="47">
        <f>IF(GrossBasis="Wholesale",V511,W511)</f>
        <v/>
      </c>
      <c r="Y511" s="47">
        <f>R511*INDEX(FmtBlendedCogs,MATCH(F511,FmtName,0))</f>
        <v/>
      </c>
      <c r="Z511" s="47">
        <f>X511-Y511</f>
        <v/>
      </c>
    </row>
    <row r="512">
      <c r="A512" t="n">
        <v>34</v>
      </c>
      <c r="B512" s="44">
        <f>FiscalStart+(A512-1)*7</f>
        <v/>
      </c>
      <c r="C512">
        <f>TEXT(B512,"mmm yyyy")</f>
        <v/>
      </c>
      <c r="D512">
        <f>"Q"&amp;(INT((A512-1)/13)+1)</f>
        <v/>
      </c>
      <c r="E512" t="inlineStr">
        <is>
          <t>Convenience</t>
        </is>
      </c>
      <c r="F512">
        <f>IFERROR(INDEX(ChFormat,MATCH(E512,ChName,0)),"")</f>
        <v/>
      </c>
      <c r="G512" t="inlineStr">
        <is>
          <t>NL</t>
        </is>
      </c>
      <c r="H512">
        <f>IF(A512&lt;=NWeeks,1,0)</f>
        <v/>
      </c>
      <c r="I512">
        <f>INDEX(ChLaunch,MATCH(E512,ChName,0))</f>
        <v/>
      </c>
      <c r="J512">
        <f>INDEX(ChWeeksFull,MATCH(E512,ChName,0))</f>
        <v/>
      </c>
      <c r="K512">
        <f>INDEX(ChRamp,MATCH(E512,ChName,0))</f>
        <v/>
      </c>
      <c r="L512" s="45">
        <f>MIN(1,MAX(0,(A512-I512+1)*RampSpeed/J512))</f>
        <v/>
      </c>
      <c r="M512" s="45">
        <f>IF(A512&lt;I512,0,IF(K512="S-curve",L512*L512*(3-2*L512),L512))</f>
        <v/>
      </c>
      <c r="N512" s="45">
        <f>1+(INDEX(SeasonIdx,A512)-1)*SeasonAmp</f>
        <v/>
      </c>
      <c r="O512" s="45">
        <f>IFERROR(INDEX(PSPct,MATCH(E512&amp;"|"&amp;G512,PSKey,0)),0)</f>
        <v/>
      </c>
      <c r="P512" s="46">
        <f>INDEX(ChDoorVel,MATCH(E512,ChName,0))*CalibScalar*(1+VelocityUplift)</f>
        <v/>
      </c>
      <c r="Q512" s="46" t="n">
        <v>0</v>
      </c>
      <c r="R512" s="46">
        <f>P512*O512*M512*N512*H512</f>
        <v/>
      </c>
      <c r="S512" s="46">
        <f>R512*INDEX(FmtCansPerCase,MATCH(F512,FmtName,0))</f>
        <v/>
      </c>
      <c r="T512" s="46">
        <f>S512/INDEX(FmtCansPerPack,MATCH(F512,FmtName,0))</f>
        <v/>
      </c>
      <c r="U512" s="47">
        <f>INDEX(ChBaseCP,MATCH(E512,ChName,0))*(1+INDEX(ProvMod,MATCH(G512,ProvCode,0)))*(1+PriceIndex)</f>
        <v/>
      </c>
      <c r="V512" s="47">
        <f>R512*U512*INDEX(FmtBlendedPriceIdx,MATCH(F512,FmtName,0))</f>
        <v/>
      </c>
      <c r="W512" s="47">
        <f>T512*INDEX(ProvSRP,MATCH(G512,ProvCode,0))*(1+PriceIndex)</f>
        <v/>
      </c>
      <c r="X512" s="47">
        <f>IF(GrossBasis="Wholesale",V512,W512)</f>
        <v/>
      </c>
      <c r="Y512" s="47">
        <f>R512*INDEX(FmtBlendedCogs,MATCH(F512,FmtName,0))</f>
        <v/>
      </c>
      <c r="Z512" s="47">
        <f>X512-Y512</f>
        <v/>
      </c>
    </row>
    <row r="513">
      <c r="A513" t="n">
        <v>35</v>
      </c>
      <c r="B513" s="44">
        <f>FiscalStart+(A513-1)*7</f>
        <v/>
      </c>
      <c r="C513">
        <f>TEXT(B513,"mmm yyyy")</f>
        <v/>
      </c>
      <c r="D513">
        <f>"Q"&amp;(INT((A513-1)/13)+1)</f>
        <v/>
      </c>
      <c r="E513" t="inlineStr">
        <is>
          <t>Convenience</t>
        </is>
      </c>
      <c r="F513">
        <f>IFERROR(INDEX(ChFormat,MATCH(E513,ChName,0)),"")</f>
        <v/>
      </c>
      <c r="G513" t="inlineStr">
        <is>
          <t>NL</t>
        </is>
      </c>
      <c r="H513">
        <f>IF(A513&lt;=NWeeks,1,0)</f>
        <v/>
      </c>
      <c r="I513">
        <f>INDEX(ChLaunch,MATCH(E513,ChName,0))</f>
        <v/>
      </c>
      <c r="J513">
        <f>INDEX(ChWeeksFull,MATCH(E513,ChName,0))</f>
        <v/>
      </c>
      <c r="K513">
        <f>INDEX(ChRamp,MATCH(E513,ChName,0))</f>
        <v/>
      </c>
      <c r="L513" s="45">
        <f>MIN(1,MAX(0,(A513-I513+1)*RampSpeed/J513))</f>
        <v/>
      </c>
      <c r="M513" s="45">
        <f>IF(A513&lt;I513,0,IF(K513="S-curve",L513*L513*(3-2*L513),L513))</f>
        <v/>
      </c>
      <c r="N513" s="45">
        <f>1+(INDEX(SeasonIdx,A513)-1)*SeasonAmp</f>
        <v/>
      </c>
      <c r="O513" s="45">
        <f>IFERROR(INDEX(PSPct,MATCH(E513&amp;"|"&amp;G513,PSKey,0)),0)</f>
        <v/>
      </c>
      <c r="P513" s="46">
        <f>INDEX(ChDoorVel,MATCH(E513,ChName,0))*CalibScalar*(1+VelocityUplift)</f>
        <v/>
      </c>
      <c r="Q513" s="46" t="n">
        <v>0</v>
      </c>
      <c r="R513" s="46">
        <f>P513*O513*M513*N513*H513</f>
        <v/>
      </c>
      <c r="S513" s="46">
        <f>R513*INDEX(FmtCansPerCase,MATCH(F513,FmtName,0))</f>
        <v/>
      </c>
      <c r="T513" s="46">
        <f>S513/INDEX(FmtCansPerPack,MATCH(F513,FmtName,0))</f>
        <v/>
      </c>
      <c r="U513" s="47">
        <f>INDEX(ChBaseCP,MATCH(E513,ChName,0))*(1+INDEX(ProvMod,MATCH(G513,ProvCode,0)))*(1+PriceIndex)</f>
        <v/>
      </c>
      <c r="V513" s="47">
        <f>R513*U513*INDEX(FmtBlendedPriceIdx,MATCH(F513,FmtName,0))</f>
        <v/>
      </c>
      <c r="W513" s="47">
        <f>T513*INDEX(ProvSRP,MATCH(G513,ProvCode,0))*(1+PriceIndex)</f>
        <v/>
      </c>
      <c r="X513" s="47">
        <f>IF(GrossBasis="Wholesale",V513,W513)</f>
        <v/>
      </c>
      <c r="Y513" s="47">
        <f>R513*INDEX(FmtBlendedCogs,MATCH(F513,FmtName,0))</f>
        <v/>
      </c>
      <c r="Z513" s="47">
        <f>X513-Y513</f>
        <v/>
      </c>
    </row>
    <row r="514">
      <c r="A514" t="n">
        <v>36</v>
      </c>
      <c r="B514" s="44">
        <f>FiscalStart+(A514-1)*7</f>
        <v/>
      </c>
      <c r="C514">
        <f>TEXT(B514,"mmm yyyy")</f>
        <v/>
      </c>
      <c r="D514">
        <f>"Q"&amp;(INT((A514-1)/13)+1)</f>
        <v/>
      </c>
      <c r="E514" t="inlineStr">
        <is>
          <t>Convenience</t>
        </is>
      </c>
      <c r="F514">
        <f>IFERROR(INDEX(ChFormat,MATCH(E514,ChName,0)),"")</f>
        <v/>
      </c>
      <c r="G514" t="inlineStr">
        <is>
          <t>NL</t>
        </is>
      </c>
      <c r="H514">
        <f>IF(A514&lt;=NWeeks,1,0)</f>
        <v/>
      </c>
      <c r="I514">
        <f>INDEX(ChLaunch,MATCH(E514,ChName,0))</f>
        <v/>
      </c>
      <c r="J514">
        <f>INDEX(ChWeeksFull,MATCH(E514,ChName,0))</f>
        <v/>
      </c>
      <c r="K514">
        <f>INDEX(ChRamp,MATCH(E514,ChName,0))</f>
        <v/>
      </c>
      <c r="L514" s="45">
        <f>MIN(1,MAX(0,(A514-I514+1)*RampSpeed/J514))</f>
        <v/>
      </c>
      <c r="M514" s="45">
        <f>IF(A514&lt;I514,0,IF(K514="S-curve",L514*L514*(3-2*L514),L514))</f>
        <v/>
      </c>
      <c r="N514" s="45">
        <f>1+(INDEX(SeasonIdx,A514)-1)*SeasonAmp</f>
        <v/>
      </c>
      <c r="O514" s="45">
        <f>IFERROR(INDEX(PSPct,MATCH(E514&amp;"|"&amp;G514,PSKey,0)),0)</f>
        <v/>
      </c>
      <c r="P514" s="46">
        <f>INDEX(ChDoorVel,MATCH(E514,ChName,0))*CalibScalar*(1+VelocityUplift)</f>
        <v/>
      </c>
      <c r="Q514" s="46" t="n">
        <v>0</v>
      </c>
      <c r="R514" s="46">
        <f>P514*O514*M514*N514*H514</f>
        <v/>
      </c>
      <c r="S514" s="46">
        <f>R514*INDEX(FmtCansPerCase,MATCH(F514,FmtName,0))</f>
        <v/>
      </c>
      <c r="T514" s="46">
        <f>S514/INDEX(FmtCansPerPack,MATCH(F514,FmtName,0))</f>
        <v/>
      </c>
      <c r="U514" s="47">
        <f>INDEX(ChBaseCP,MATCH(E514,ChName,0))*(1+INDEX(ProvMod,MATCH(G514,ProvCode,0)))*(1+PriceIndex)</f>
        <v/>
      </c>
      <c r="V514" s="47">
        <f>R514*U514*INDEX(FmtBlendedPriceIdx,MATCH(F514,FmtName,0))</f>
        <v/>
      </c>
      <c r="W514" s="47">
        <f>T514*INDEX(ProvSRP,MATCH(G514,ProvCode,0))*(1+PriceIndex)</f>
        <v/>
      </c>
      <c r="X514" s="47">
        <f>IF(GrossBasis="Wholesale",V514,W514)</f>
        <v/>
      </c>
      <c r="Y514" s="47">
        <f>R514*INDEX(FmtBlendedCogs,MATCH(F514,FmtName,0))</f>
        <v/>
      </c>
      <c r="Z514" s="47">
        <f>X514-Y514</f>
        <v/>
      </c>
    </row>
    <row r="515">
      <c r="A515" t="n">
        <v>37</v>
      </c>
      <c r="B515" s="44">
        <f>FiscalStart+(A515-1)*7</f>
        <v/>
      </c>
      <c r="C515">
        <f>TEXT(B515,"mmm yyyy")</f>
        <v/>
      </c>
      <c r="D515">
        <f>"Q"&amp;(INT((A515-1)/13)+1)</f>
        <v/>
      </c>
      <c r="E515" t="inlineStr">
        <is>
          <t>Convenience</t>
        </is>
      </c>
      <c r="F515">
        <f>IFERROR(INDEX(ChFormat,MATCH(E515,ChName,0)),"")</f>
        <v/>
      </c>
      <c r="G515" t="inlineStr">
        <is>
          <t>NL</t>
        </is>
      </c>
      <c r="H515">
        <f>IF(A515&lt;=NWeeks,1,0)</f>
        <v/>
      </c>
      <c r="I515">
        <f>INDEX(ChLaunch,MATCH(E515,ChName,0))</f>
        <v/>
      </c>
      <c r="J515">
        <f>INDEX(ChWeeksFull,MATCH(E515,ChName,0))</f>
        <v/>
      </c>
      <c r="K515">
        <f>INDEX(ChRamp,MATCH(E515,ChName,0))</f>
        <v/>
      </c>
      <c r="L515" s="45">
        <f>MIN(1,MAX(0,(A515-I515+1)*RampSpeed/J515))</f>
        <v/>
      </c>
      <c r="M515" s="45">
        <f>IF(A515&lt;I515,0,IF(K515="S-curve",L515*L515*(3-2*L515),L515))</f>
        <v/>
      </c>
      <c r="N515" s="45">
        <f>1+(INDEX(SeasonIdx,A515)-1)*SeasonAmp</f>
        <v/>
      </c>
      <c r="O515" s="45">
        <f>IFERROR(INDEX(PSPct,MATCH(E515&amp;"|"&amp;G515,PSKey,0)),0)</f>
        <v/>
      </c>
      <c r="P515" s="46">
        <f>INDEX(ChDoorVel,MATCH(E515,ChName,0))*CalibScalar*(1+VelocityUplift)</f>
        <v/>
      </c>
      <c r="Q515" s="46" t="n">
        <v>0</v>
      </c>
      <c r="R515" s="46">
        <f>P515*O515*M515*N515*H515</f>
        <v/>
      </c>
      <c r="S515" s="46">
        <f>R515*INDEX(FmtCansPerCase,MATCH(F515,FmtName,0))</f>
        <v/>
      </c>
      <c r="T515" s="46">
        <f>S515/INDEX(FmtCansPerPack,MATCH(F515,FmtName,0))</f>
        <v/>
      </c>
      <c r="U515" s="47">
        <f>INDEX(ChBaseCP,MATCH(E515,ChName,0))*(1+INDEX(ProvMod,MATCH(G515,ProvCode,0)))*(1+PriceIndex)</f>
        <v/>
      </c>
      <c r="V515" s="47">
        <f>R515*U515*INDEX(FmtBlendedPriceIdx,MATCH(F515,FmtName,0))</f>
        <v/>
      </c>
      <c r="W515" s="47">
        <f>T515*INDEX(ProvSRP,MATCH(G515,ProvCode,0))*(1+PriceIndex)</f>
        <v/>
      </c>
      <c r="X515" s="47">
        <f>IF(GrossBasis="Wholesale",V515,W515)</f>
        <v/>
      </c>
      <c r="Y515" s="47">
        <f>R515*INDEX(FmtBlendedCogs,MATCH(F515,FmtName,0))</f>
        <v/>
      </c>
      <c r="Z515" s="47">
        <f>X515-Y515</f>
        <v/>
      </c>
    </row>
    <row r="516">
      <c r="A516" t="n">
        <v>38</v>
      </c>
      <c r="B516" s="44">
        <f>FiscalStart+(A516-1)*7</f>
        <v/>
      </c>
      <c r="C516">
        <f>TEXT(B516,"mmm yyyy")</f>
        <v/>
      </c>
      <c r="D516">
        <f>"Q"&amp;(INT((A516-1)/13)+1)</f>
        <v/>
      </c>
      <c r="E516" t="inlineStr">
        <is>
          <t>Convenience</t>
        </is>
      </c>
      <c r="F516">
        <f>IFERROR(INDEX(ChFormat,MATCH(E516,ChName,0)),"")</f>
        <v/>
      </c>
      <c r="G516" t="inlineStr">
        <is>
          <t>NL</t>
        </is>
      </c>
      <c r="H516">
        <f>IF(A516&lt;=NWeeks,1,0)</f>
        <v/>
      </c>
      <c r="I516">
        <f>INDEX(ChLaunch,MATCH(E516,ChName,0))</f>
        <v/>
      </c>
      <c r="J516">
        <f>INDEX(ChWeeksFull,MATCH(E516,ChName,0))</f>
        <v/>
      </c>
      <c r="K516">
        <f>INDEX(ChRamp,MATCH(E516,ChName,0))</f>
        <v/>
      </c>
      <c r="L516" s="45">
        <f>MIN(1,MAX(0,(A516-I516+1)*RampSpeed/J516))</f>
        <v/>
      </c>
      <c r="M516" s="45">
        <f>IF(A516&lt;I516,0,IF(K516="S-curve",L516*L516*(3-2*L516),L516))</f>
        <v/>
      </c>
      <c r="N516" s="45">
        <f>1+(INDEX(SeasonIdx,A516)-1)*SeasonAmp</f>
        <v/>
      </c>
      <c r="O516" s="45">
        <f>IFERROR(INDEX(PSPct,MATCH(E516&amp;"|"&amp;G516,PSKey,0)),0)</f>
        <v/>
      </c>
      <c r="P516" s="46">
        <f>INDEX(ChDoorVel,MATCH(E516,ChName,0))*CalibScalar*(1+VelocityUplift)</f>
        <v/>
      </c>
      <c r="Q516" s="46" t="n">
        <v>0</v>
      </c>
      <c r="R516" s="46">
        <f>P516*O516*M516*N516*H516</f>
        <v/>
      </c>
      <c r="S516" s="46">
        <f>R516*INDEX(FmtCansPerCase,MATCH(F516,FmtName,0))</f>
        <v/>
      </c>
      <c r="T516" s="46">
        <f>S516/INDEX(FmtCansPerPack,MATCH(F516,FmtName,0))</f>
        <v/>
      </c>
      <c r="U516" s="47">
        <f>INDEX(ChBaseCP,MATCH(E516,ChName,0))*(1+INDEX(ProvMod,MATCH(G516,ProvCode,0)))*(1+PriceIndex)</f>
        <v/>
      </c>
      <c r="V516" s="47">
        <f>R516*U516*INDEX(FmtBlendedPriceIdx,MATCH(F516,FmtName,0))</f>
        <v/>
      </c>
      <c r="W516" s="47">
        <f>T516*INDEX(ProvSRP,MATCH(G516,ProvCode,0))*(1+PriceIndex)</f>
        <v/>
      </c>
      <c r="X516" s="47">
        <f>IF(GrossBasis="Wholesale",V516,W516)</f>
        <v/>
      </c>
      <c r="Y516" s="47">
        <f>R516*INDEX(FmtBlendedCogs,MATCH(F516,FmtName,0))</f>
        <v/>
      </c>
      <c r="Z516" s="47">
        <f>X516-Y516</f>
        <v/>
      </c>
    </row>
    <row r="517">
      <c r="A517" t="n">
        <v>39</v>
      </c>
      <c r="B517" s="44">
        <f>FiscalStart+(A517-1)*7</f>
        <v/>
      </c>
      <c r="C517">
        <f>TEXT(B517,"mmm yyyy")</f>
        <v/>
      </c>
      <c r="D517">
        <f>"Q"&amp;(INT((A517-1)/13)+1)</f>
        <v/>
      </c>
      <c r="E517" t="inlineStr">
        <is>
          <t>Convenience</t>
        </is>
      </c>
      <c r="F517">
        <f>IFERROR(INDEX(ChFormat,MATCH(E517,ChName,0)),"")</f>
        <v/>
      </c>
      <c r="G517" t="inlineStr">
        <is>
          <t>NL</t>
        </is>
      </c>
      <c r="H517">
        <f>IF(A517&lt;=NWeeks,1,0)</f>
        <v/>
      </c>
      <c r="I517">
        <f>INDEX(ChLaunch,MATCH(E517,ChName,0))</f>
        <v/>
      </c>
      <c r="J517">
        <f>INDEX(ChWeeksFull,MATCH(E517,ChName,0))</f>
        <v/>
      </c>
      <c r="K517">
        <f>INDEX(ChRamp,MATCH(E517,ChName,0))</f>
        <v/>
      </c>
      <c r="L517" s="45">
        <f>MIN(1,MAX(0,(A517-I517+1)*RampSpeed/J517))</f>
        <v/>
      </c>
      <c r="M517" s="45">
        <f>IF(A517&lt;I517,0,IF(K517="S-curve",L517*L517*(3-2*L517),L517))</f>
        <v/>
      </c>
      <c r="N517" s="45">
        <f>1+(INDEX(SeasonIdx,A517)-1)*SeasonAmp</f>
        <v/>
      </c>
      <c r="O517" s="45">
        <f>IFERROR(INDEX(PSPct,MATCH(E517&amp;"|"&amp;G517,PSKey,0)),0)</f>
        <v/>
      </c>
      <c r="P517" s="46">
        <f>INDEX(ChDoorVel,MATCH(E517,ChName,0))*CalibScalar*(1+VelocityUplift)</f>
        <v/>
      </c>
      <c r="Q517" s="46" t="n">
        <v>0</v>
      </c>
      <c r="R517" s="46">
        <f>P517*O517*M517*N517*H517</f>
        <v/>
      </c>
      <c r="S517" s="46">
        <f>R517*INDEX(FmtCansPerCase,MATCH(F517,FmtName,0))</f>
        <v/>
      </c>
      <c r="T517" s="46">
        <f>S517/INDEX(FmtCansPerPack,MATCH(F517,FmtName,0))</f>
        <v/>
      </c>
      <c r="U517" s="47">
        <f>INDEX(ChBaseCP,MATCH(E517,ChName,0))*(1+INDEX(ProvMod,MATCH(G517,ProvCode,0)))*(1+PriceIndex)</f>
        <v/>
      </c>
      <c r="V517" s="47">
        <f>R517*U517*INDEX(FmtBlendedPriceIdx,MATCH(F517,FmtName,0))</f>
        <v/>
      </c>
      <c r="W517" s="47">
        <f>T517*INDEX(ProvSRP,MATCH(G517,ProvCode,0))*(1+PriceIndex)</f>
        <v/>
      </c>
      <c r="X517" s="47">
        <f>IF(GrossBasis="Wholesale",V517,W517)</f>
        <v/>
      </c>
      <c r="Y517" s="47">
        <f>R517*INDEX(FmtBlendedCogs,MATCH(F517,FmtName,0))</f>
        <v/>
      </c>
      <c r="Z517" s="47">
        <f>X517-Y517</f>
        <v/>
      </c>
    </row>
    <row r="518">
      <c r="A518" t="n">
        <v>40</v>
      </c>
      <c r="B518" s="44">
        <f>FiscalStart+(A518-1)*7</f>
        <v/>
      </c>
      <c r="C518">
        <f>TEXT(B518,"mmm yyyy")</f>
        <v/>
      </c>
      <c r="D518">
        <f>"Q"&amp;(INT((A518-1)/13)+1)</f>
        <v/>
      </c>
      <c r="E518" t="inlineStr">
        <is>
          <t>Convenience</t>
        </is>
      </c>
      <c r="F518">
        <f>IFERROR(INDEX(ChFormat,MATCH(E518,ChName,0)),"")</f>
        <v/>
      </c>
      <c r="G518" t="inlineStr">
        <is>
          <t>NL</t>
        </is>
      </c>
      <c r="H518">
        <f>IF(A518&lt;=NWeeks,1,0)</f>
        <v/>
      </c>
      <c r="I518">
        <f>INDEX(ChLaunch,MATCH(E518,ChName,0))</f>
        <v/>
      </c>
      <c r="J518">
        <f>INDEX(ChWeeksFull,MATCH(E518,ChName,0))</f>
        <v/>
      </c>
      <c r="K518">
        <f>INDEX(ChRamp,MATCH(E518,ChName,0))</f>
        <v/>
      </c>
      <c r="L518" s="45">
        <f>MIN(1,MAX(0,(A518-I518+1)*RampSpeed/J518))</f>
        <v/>
      </c>
      <c r="M518" s="45">
        <f>IF(A518&lt;I518,0,IF(K518="S-curve",L518*L518*(3-2*L518),L518))</f>
        <v/>
      </c>
      <c r="N518" s="45">
        <f>1+(INDEX(SeasonIdx,A518)-1)*SeasonAmp</f>
        <v/>
      </c>
      <c r="O518" s="45">
        <f>IFERROR(INDEX(PSPct,MATCH(E518&amp;"|"&amp;G518,PSKey,0)),0)</f>
        <v/>
      </c>
      <c r="P518" s="46">
        <f>INDEX(ChDoorVel,MATCH(E518,ChName,0))*CalibScalar*(1+VelocityUplift)</f>
        <v/>
      </c>
      <c r="Q518" s="46" t="n">
        <v>0</v>
      </c>
      <c r="R518" s="46">
        <f>P518*O518*M518*N518*H518</f>
        <v/>
      </c>
      <c r="S518" s="46">
        <f>R518*INDEX(FmtCansPerCase,MATCH(F518,FmtName,0))</f>
        <v/>
      </c>
      <c r="T518" s="46">
        <f>S518/INDEX(FmtCansPerPack,MATCH(F518,FmtName,0))</f>
        <v/>
      </c>
      <c r="U518" s="47">
        <f>INDEX(ChBaseCP,MATCH(E518,ChName,0))*(1+INDEX(ProvMod,MATCH(G518,ProvCode,0)))*(1+PriceIndex)</f>
        <v/>
      </c>
      <c r="V518" s="47">
        <f>R518*U518*INDEX(FmtBlendedPriceIdx,MATCH(F518,FmtName,0))</f>
        <v/>
      </c>
      <c r="W518" s="47">
        <f>T518*INDEX(ProvSRP,MATCH(G518,ProvCode,0))*(1+PriceIndex)</f>
        <v/>
      </c>
      <c r="X518" s="47">
        <f>IF(GrossBasis="Wholesale",V518,W518)</f>
        <v/>
      </c>
      <c r="Y518" s="47">
        <f>R518*INDEX(FmtBlendedCogs,MATCH(F518,FmtName,0))</f>
        <v/>
      </c>
      <c r="Z518" s="47">
        <f>X518-Y518</f>
        <v/>
      </c>
    </row>
    <row r="519">
      <c r="A519" t="n">
        <v>41</v>
      </c>
      <c r="B519" s="44">
        <f>FiscalStart+(A519-1)*7</f>
        <v/>
      </c>
      <c r="C519">
        <f>TEXT(B519,"mmm yyyy")</f>
        <v/>
      </c>
      <c r="D519">
        <f>"Q"&amp;(INT((A519-1)/13)+1)</f>
        <v/>
      </c>
      <c r="E519" t="inlineStr">
        <is>
          <t>Convenience</t>
        </is>
      </c>
      <c r="F519">
        <f>IFERROR(INDEX(ChFormat,MATCH(E519,ChName,0)),"")</f>
        <v/>
      </c>
      <c r="G519" t="inlineStr">
        <is>
          <t>NL</t>
        </is>
      </c>
      <c r="H519">
        <f>IF(A519&lt;=NWeeks,1,0)</f>
        <v/>
      </c>
      <c r="I519">
        <f>INDEX(ChLaunch,MATCH(E519,ChName,0))</f>
        <v/>
      </c>
      <c r="J519">
        <f>INDEX(ChWeeksFull,MATCH(E519,ChName,0))</f>
        <v/>
      </c>
      <c r="K519">
        <f>INDEX(ChRamp,MATCH(E519,ChName,0))</f>
        <v/>
      </c>
      <c r="L519" s="45">
        <f>MIN(1,MAX(0,(A519-I519+1)*RampSpeed/J519))</f>
        <v/>
      </c>
      <c r="M519" s="45">
        <f>IF(A519&lt;I519,0,IF(K519="S-curve",L519*L519*(3-2*L519),L519))</f>
        <v/>
      </c>
      <c r="N519" s="45">
        <f>1+(INDEX(SeasonIdx,A519)-1)*SeasonAmp</f>
        <v/>
      </c>
      <c r="O519" s="45">
        <f>IFERROR(INDEX(PSPct,MATCH(E519&amp;"|"&amp;G519,PSKey,0)),0)</f>
        <v/>
      </c>
      <c r="P519" s="46">
        <f>INDEX(ChDoorVel,MATCH(E519,ChName,0))*CalibScalar*(1+VelocityUplift)</f>
        <v/>
      </c>
      <c r="Q519" s="46" t="n">
        <v>0</v>
      </c>
      <c r="R519" s="46">
        <f>P519*O519*M519*N519*H519</f>
        <v/>
      </c>
      <c r="S519" s="46">
        <f>R519*INDEX(FmtCansPerCase,MATCH(F519,FmtName,0))</f>
        <v/>
      </c>
      <c r="T519" s="46">
        <f>S519/INDEX(FmtCansPerPack,MATCH(F519,FmtName,0))</f>
        <v/>
      </c>
      <c r="U519" s="47">
        <f>INDEX(ChBaseCP,MATCH(E519,ChName,0))*(1+INDEX(ProvMod,MATCH(G519,ProvCode,0)))*(1+PriceIndex)</f>
        <v/>
      </c>
      <c r="V519" s="47">
        <f>R519*U519*INDEX(FmtBlendedPriceIdx,MATCH(F519,FmtName,0))</f>
        <v/>
      </c>
      <c r="W519" s="47">
        <f>T519*INDEX(ProvSRP,MATCH(G519,ProvCode,0))*(1+PriceIndex)</f>
        <v/>
      </c>
      <c r="X519" s="47">
        <f>IF(GrossBasis="Wholesale",V519,W519)</f>
        <v/>
      </c>
      <c r="Y519" s="47">
        <f>R519*INDEX(FmtBlendedCogs,MATCH(F519,FmtName,0))</f>
        <v/>
      </c>
      <c r="Z519" s="47">
        <f>X519-Y519</f>
        <v/>
      </c>
    </row>
    <row r="520">
      <c r="A520" t="n">
        <v>42</v>
      </c>
      <c r="B520" s="44">
        <f>FiscalStart+(A520-1)*7</f>
        <v/>
      </c>
      <c r="C520">
        <f>TEXT(B520,"mmm yyyy")</f>
        <v/>
      </c>
      <c r="D520">
        <f>"Q"&amp;(INT((A520-1)/13)+1)</f>
        <v/>
      </c>
      <c r="E520" t="inlineStr">
        <is>
          <t>Convenience</t>
        </is>
      </c>
      <c r="F520">
        <f>IFERROR(INDEX(ChFormat,MATCH(E520,ChName,0)),"")</f>
        <v/>
      </c>
      <c r="G520" t="inlineStr">
        <is>
          <t>NL</t>
        </is>
      </c>
      <c r="H520">
        <f>IF(A520&lt;=NWeeks,1,0)</f>
        <v/>
      </c>
      <c r="I520">
        <f>INDEX(ChLaunch,MATCH(E520,ChName,0))</f>
        <v/>
      </c>
      <c r="J520">
        <f>INDEX(ChWeeksFull,MATCH(E520,ChName,0))</f>
        <v/>
      </c>
      <c r="K520">
        <f>INDEX(ChRamp,MATCH(E520,ChName,0))</f>
        <v/>
      </c>
      <c r="L520" s="45">
        <f>MIN(1,MAX(0,(A520-I520+1)*RampSpeed/J520))</f>
        <v/>
      </c>
      <c r="M520" s="45">
        <f>IF(A520&lt;I520,0,IF(K520="S-curve",L520*L520*(3-2*L520),L520))</f>
        <v/>
      </c>
      <c r="N520" s="45">
        <f>1+(INDEX(SeasonIdx,A520)-1)*SeasonAmp</f>
        <v/>
      </c>
      <c r="O520" s="45">
        <f>IFERROR(INDEX(PSPct,MATCH(E520&amp;"|"&amp;G520,PSKey,0)),0)</f>
        <v/>
      </c>
      <c r="P520" s="46">
        <f>INDEX(ChDoorVel,MATCH(E520,ChName,0))*CalibScalar*(1+VelocityUplift)</f>
        <v/>
      </c>
      <c r="Q520" s="46" t="n">
        <v>0</v>
      </c>
      <c r="R520" s="46">
        <f>P520*O520*M520*N520*H520</f>
        <v/>
      </c>
      <c r="S520" s="46">
        <f>R520*INDEX(FmtCansPerCase,MATCH(F520,FmtName,0))</f>
        <v/>
      </c>
      <c r="T520" s="46">
        <f>S520/INDEX(FmtCansPerPack,MATCH(F520,FmtName,0))</f>
        <v/>
      </c>
      <c r="U520" s="47">
        <f>INDEX(ChBaseCP,MATCH(E520,ChName,0))*(1+INDEX(ProvMod,MATCH(G520,ProvCode,0)))*(1+PriceIndex)</f>
        <v/>
      </c>
      <c r="V520" s="47">
        <f>R520*U520*INDEX(FmtBlendedPriceIdx,MATCH(F520,FmtName,0))</f>
        <v/>
      </c>
      <c r="W520" s="47">
        <f>T520*INDEX(ProvSRP,MATCH(G520,ProvCode,0))*(1+PriceIndex)</f>
        <v/>
      </c>
      <c r="X520" s="47">
        <f>IF(GrossBasis="Wholesale",V520,W520)</f>
        <v/>
      </c>
      <c r="Y520" s="47">
        <f>R520*INDEX(FmtBlendedCogs,MATCH(F520,FmtName,0))</f>
        <v/>
      </c>
      <c r="Z520" s="47">
        <f>X520-Y520</f>
        <v/>
      </c>
    </row>
    <row r="521">
      <c r="A521" t="n">
        <v>43</v>
      </c>
      <c r="B521" s="44">
        <f>FiscalStart+(A521-1)*7</f>
        <v/>
      </c>
      <c r="C521">
        <f>TEXT(B521,"mmm yyyy")</f>
        <v/>
      </c>
      <c r="D521">
        <f>"Q"&amp;(INT((A521-1)/13)+1)</f>
        <v/>
      </c>
      <c r="E521" t="inlineStr">
        <is>
          <t>Convenience</t>
        </is>
      </c>
      <c r="F521">
        <f>IFERROR(INDEX(ChFormat,MATCH(E521,ChName,0)),"")</f>
        <v/>
      </c>
      <c r="G521" t="inlineStr">
        <is>
          <t>NL</t>
        </is>
      </c>
      <c r="H521">
        <f>IF(A521&lt;=NWeeks,1,0)</f>
        <v/>
      </c>
      <c r="I521">
        <f>INDEX(ChLaunch,MATCH(E521,ChName,0))</f>
        <v/>
      </c>
      <c r="J521">
        <f>INDEX(ChWeeksFull,MATCH(E521,ChName,0))</f>
        <v/>
      </c>
      <c r="K521">
        <f>INDEX(ChRamp,MATCH(E521,ChName,0))</f>
        <v/>
      </c>
      <c r="L521" s="45">
        <f>MIN(1,MAX(0,(A521-I521+1)*RampSpeed/J521))</f>
        <v/>
      </c>
      <c r="M521" s="45">
        <f>IF(A521&lt;I521,0,IF(K521="S-curve",L521*L521*(3-2*L521),L521))</f>
        <v/>
      </c>
      <c r="N521" s="45">
        <f>1+(INDEX(SeasonIdx,A521)-1)*SeasonAmp</f>
        <v/>
      </c>
      <c r="O521" s="45">
        <f>IFERROR(INDEX(PSPct,MATCH(E521&amp;"|"&amp;G521,PSKey,0)),0)</f>
        <v/>
      </c>
      <c r="P521" s="46">
        <f>INDEX(ChDoorVel,MATCH(E521,ChName,0))*CalibScalar*(1+VelocityUplift)</f>
        <v/>
      </c>
      <c r="Q521" s="46" t="n">
        <v>0</v>
      </c>
      <c r="R521" s="46">
        <f>P521*O521*M521*N521*H521</f>
        <v/>
      </c>
      <c r="S521" s="46">
        <f>R521*INDEX(FmtCansPerCase,MATCH(F521,FmtName,0))</f>
        <v/>
      </c>
      <c r="T521" s="46">
        <f>S521/INDEX(FmtCansPerPack,MATCH(F521,FmtName,0))</f>
        <v/>
      </c>
      <c r="U521" s="47">
        <f>INDEX(ChBaseCP,MATCH(E521,ChName,0))*(1+INDEX(ProvMod,MATCH(G521,ProvCode,0)))*(1+PriceIndex)</f>
        <v/>
      </c>
      <c r="V521" s="47">
        <f>R521*U521*INDEX(FmtBlendedPriceIdx,MATCH(F521,FmtName,0))</f>
        <v/>
      </c>
      <c r="W521" s="47">
        <f>T521*INDEX(ProvSRP,MATCH(G521,ProvCode,0))*(1+PriceIndex)</f>
        <v/>
      </c>
      <c r="X521" s="47">
        <f>IF(GrossBasis="Wholesale",V521,W521)</f>
        <v/>
      </c>
      <c r="Y521" s="47">
        <f>R521*INDEX(FmtBlendedCogs,MATCH(F521,FmtName,0))</f>
        <v/>
      </c>
      <c r="Z521" s="47">
        <f>X521-Y521</f>
        <v/>
      </c>
    </row>
    <row r="522">
      <c r="A522" t="n">
        <v>44</v>
      </c>
      <c r="B522" s="44">
        <f>FiscalStart+(A522-1)*7</f>
        <v/>
      </c>
      <c r="C522">
        <f>TEXT(B522,"mmm yyyy")</f>
        <v/>
      </c>
      <c r="D522">
        <f>"Q"&amp;(INT((A522-1)/13)+1)</f>
        <v/>
      </c>
      <c r="E522" t="inlineStr">
        <is>
          <t>Convenience</t>
        </is>
      </c>
      <c r="F522">
        <f>IFERROR(INDEX(ChFormat,MATCH(E522,ChName,0)),"")</f>
        <v/>
      </c>
      <c r="G522" t="inlineStr">
        <is>
          <t>NL</t>
        </is>
      </c>
      <c r="H522">
        <f>IF(A522&lt;=NWeeks,1,0)</f>
        <v/>
      </c>
      <c r="I522">
        <f>INDEX(ChLaunch,MATCH(E522,ChName,0))</f>
        <v/>
      </c>
      <c r="J522">
        <f>INDEX(ChWeeksFull,MATCH(E522,ChName,0))</f>
        <v/>
      </c>
      <c r="K522">
        <f>INDEX(ChRamp,MATCH(E522,ChName,0))</f>
        <v/>
      </c>
      <c r="L522" s="45">
        <f>MIN(1,MAX(0,(A522-I522+1)*RampSpeed/J522))</f>
        <v/>
      </c>
      <c r="M522" s="45">
        <f>IF(A522&lt;I522,0,IF(K522="S-curve",L522*L522*(3-2*L522),L522))</f>
        <v/>
      </c>
      <c r="N522" s="45">
        <f>1+(INDEX(SeasonIdx,A522)-1)*SeasonAmp</f>
        <v/>
      </c>
      <c r="O522" s="45">
        <f>IFERROR(INDEX(PSPct,MATCH(E522&amp;"|"&amp;G522,PSKey,0)),0)</f>
        <v/>
      </c>
      <c r="P522" s="46">
        <f>INDEX(ChDoorVel,MATCH(E522,ChName,0))*CalibScalar*(1+VelocityUplift)</f>
        <v/>
      </c>
      <c r="Q522" s="46" t="n">
        <v>0</v>
      </c>
      <c r="R522" s="46">
        <f>P522*O522*M522*N522*H522</f>
        <v/>
      </c>
      <c r="S522" s="46">
        <f>R522*INDEX(FmtCansPerCase,MATCH(F522,FmtName,0))</f>
        <v/>
      </c>
      <c r="T522" s="46">
        <f>S522/INDEX(FmtCansPerPack,MATCH(F522,FmtName,0))</f>
        <v/>
      </c>
      <c r="U522" s="47">
        <f>INDEX(ChBaseCP,MATCH(E522,ChName,0))*(1+INDEX(ProvMod,MATCH(G522,ProvCode,0)))*(1+PriceIndex)</f>
        <v/>
      </c>
      <c r="V522" s="47">
        <f>R522*U522*INDEX(FmtBlendedPriceIdx,MATCH(F522,FmtName,0))</f>
        <v/>
      </c>
      <c r="W522" s="47">
        <f>T522*INDEX(ProvSRP,MATCH(G522,ProvCode,0))*(1+PriceIndex)</f>
        <v/>
      </c>
      <c r="X522" s="47">
        <f>IF(GrossBasis="Wholesale",V522,W522)</f>
        <v/>
      </c>
      <c r="Y522" s="47">
        <f>R522*INDEX(FmtBlendedCogs,MATCH(F522,FmtName,0))</f>
        <v/>
      </c>
      <c r="Z522" s="47">
        <f>X522-Y522</f>
        <v/>
      </c>
    </row>
    <row r="523">
      <c r="A523" t="n">
        <v>45</v>
      </c>
      <c r="B523" s="44">
        <f>FiscalStart+(A523-1)*7</f>
        <v/>
      </c>
      <c r="C523">
        <f>TEXT(B523,"mmm yyyy")</f>
        <v/>
      </c>
      <c r="D523">
        <f>"Q"&amp;(INT((A523-1)/13)+1)</f>
        <v/>
      </c>
      <c r="E523" t="inlineStr">
        <is>
          <t>Convenience</t>
        </is>
      </c>
      <c r="F523">
        <f>IFERROR(INDEX(ChFormat,MATCH(E523,ChName,0)),"")</f>
        <v/>
      </c>
      <c r="G523" t="inlineStr">
        <is>
          <t>NL</t>
        </is>
      </c>
      <c r="H523">
        <f>IF(A523&lt;=NWeeks,1,0)</f>
        <v/>
      </c>
      <c r="I523">
        <f>INDEX(ChLaunch,MATCH(E523,ChName,0))</f>
        <v/>
      </c>
      <c r="J523">
        <f>INDEX(ChWeeksFull,MATCH(E523,ChName,0))</f>
        <v/>
      </c>
      <c r="K523">
        <f>INDEX(ChRamp,MATCH(E523,ChName,0))</f>
        <v/>
      </c>
      <c r="L523" s="45">
        <f>MIN(1,MAX(0,(A523-I523+1)*RampSpeed/J523))</f>
        <v/>
      </c>
      <c r="M523" s="45">
        <f>IF(A523&lt;I523,0,IF(K523="S-curve",L523*L523*(3-2*L523),L523))</f>
        <v/>
      </c>
      <c r="N523" s="45">
        <f>1+(INDEX(SeasonIdx,A523)-1)*SeasonAmp</f>
        <v/>
      </c>
      <c r="O523" s="45">
        <f>IFERROR(INDEX(PSPct,MATCH(E523&amp;"|"&amp;G523,PSKey,0)),0)</f>
        <v/>
      </c>
      <c r="P523" s="46">
        <f>INDEX(ChDoorVel,MATCH(E523,ChName,0))*CalibScalar*(1+VelocityUplift)</f>
        <v/>
      </c>
      <c r="Q523" s="46" t="n">
        <v>0</v>
      </c>
      <c r="R523" s="46">
        <f>P523*O523*M523*N523*H523</f>
        <v/>
      </c>
      <c r="S523" s="46">
        <f>R523*INDEX(FmtCansPerCase,MATCH(F523,FmtName,0))</f>
        <v/>
      </c>
      <c r="T523" s="46">
        <f>S523/INDEX(FmtCansPerPack,MATCH(F523,FmtName,0))</f>
        <v/>
      </c>
      <c r="U523" s="47">
        <f>INDEX(ChBaseCP,MATCH(E523,ChName,0))*(1+INDEX(ProvMod,MATCH(G523,ProvCode,0)))*(1+PriceIndex)</f>
        <v/>
      </c>
      <c r="V523" s="47">
        <f>R523*U523*INDEX(FmtBlendedPriceIdx,MATCH(F523,FmtName,0))</f>
        <v/>
      </c>
      <c r="W523" s="47">
        <f>T523*INDEX(ProvSRP,MATCH(G523,ProvCode,0))*(1+PriceIndex)</f>
        <v/>
      </c>
      <c r="X523" s="47">
        <f>IF(GrossBasis="Wholesale",V523,W523)</f>
        <v/>
      </c>
      <c r="Y523" s="47">
        <f>R523*INDEX(FmtBlendedCogs,MATCH(F523,FmtName,0))</f>
        <v/>
      </c>
      <c r="Z523" s="47">
        <f>X523-Y523</f>
        <v/>
      </c>
    </row>
    <row r="524">
      <c r="A524" t="n">
        <v>46</v>
      </c>
      <c r="B524" s="44">
        <f>FiscalStart+(A524-1)*7</f>
        <v/>
      </c>
      <c r="C524">
        <f>TEXT(B524,"mmm yyyy")</f>
        <v/>
      </c>
      <c r="D524">
        <f>"Q"&amp;(INT((A524-1)/13)+1)</f>
        <v/>
      </c>
      <c r="E524" t="inlineStr">
        <is>
          <t>Convenience</t>
        </is>
      </c>
      <c r="F524">
        <f>IFERROR(INDEX(ChFormat,MATCH(E524,ChName,0)),"")</f>
        <v/>
      </c>
      <c r="G524" t="inlineStr">
        <is>
          <t>NL</t>
        </is>
      </c>
      <c r="H524">
        <f>IF(A524&lt;=NWeeks,1,0)</f>
        <v/>
      </c>
      <c r="I524">
        <f>INDEX(ChLaunch,MATCH(E524,ChName,0))</f>
        <v/>
      </c>
      <c r="J524">
        <f>INDEX(ChWeeksFull,MATCH(E524,ChName,0))</f>
        <v/>
      </c>
      <c r="K524">
        <f>INDEX(ChRamp,MATCH(E524,ChName,0))</f>
        <v/>
      </c>
      <c r="L524" s="45">
        <f>MIN(1,MAX(0,(A524-I524+1)*RampSpeed/J524))</f>
        <v/>
      </c>
      <c r="M524" s="45">
        <f>IF(A524&lt;I524,0,IF(K524="S-curve",L524*L524*(3-2*L524),L524))</f>
        <v/>
      </c>
      <c r="N524" s="45">
        <f>1+(INDEX(SeasonIdx,A524)-1)*SeasonAmp</f>
        <v/>
      </c>
      <c r="O524" s="45">
        <f>IFERROR(INDEX(PSPct,MATCH(E524&amp;"|"&amp;G524,PSKey,0)),0)</f>
        <v/>
      </c>
      <c r="P524" s="46">
        <f>INDEX(ChDoorVel,MATCH(E524,ChName,0))*CalibScalar*(1+VelocityUplift)</f>
        <v/>
      </c>
      <c r="Q524" s="46" t="n">
        <v>0</v>
      </c>
      <c r="R524" s="46">
        <f>P524*O524*M524*N524*H524</f>
        <v/>
      </c>
      <c r="S524" s="46">
        <f>R524*INDEX(FmtCansPerCase,MATCH(F524,FmtName,0))</f>
        <v/>
      </c>
      <c r="T524" s="46">
        <f>S524/INDEX(FmtCansPerPack,MATCH(F524,FmtName,0))</f>
        <v/>
      </c>
      <c r="U524" s="47">
        <f>INDEX(ChBaseCP,MATCH(E524,ChName,0))*(1+INDEX(ProvMod,MATCH(G524,ProvCode,0)))*(1+PriceIndex)</f>
        <v/>
      </c>
      <c r="V524" s="47">
        <f>R524*U524*INDEX(FmtBlendedPriceIdx,MATCH(F524,FmtName,0))</f>
        <v/>
      </c>
      <c r="W524" s="47">
        <f>T524*INDEX(ProvSRP,MATCH(G524,ProvCode,0))*(1+PriceIndex)</f>
        <v/>
      </c>
      <c r="X524" s="47">
        <f>IF(GrossBasis="Wholesale",V524,W524)</f>
        <v/>
      </c>
      <c r="Y524" s="47">
        <f>R524*INDEX(FmtBlendedCogs,MATCH(F524,FmtName,0))</f>
        <v/>
      </c>
      <c r="Z524" s="47">
        <f>X524-Y524</f>
        <v/>
      </c>
    </row>
    <row r="525">
      <c r="A525" t="n">
        <v>47</v>
      </c>
      <c r="B525" s="44">
        <f>FiscalStart+(A525-1)*7</f>
        <v/>
      </c>
      <c r="C525">
        <f>TEXT(B525,"mmm yyyy")</f>
        <v/>
      </c>
      <c r="D525">
        <f>"Q"&amp;(INT((A525-1)/13)+1)</f>
        <v/>
      </c>
      <c r="E525" t="inlineStr">
        <is>
          <t>Convenience</t>
        </is>
      </c>
      <c r="F525">
        <f>IFERROR(INDEX(ChFormat,MATCH(E525,ChName,0)),"")</f>
        <v/>
      </c>
      <c r="G525" t="inlineStr">
        <is>
          <t>NL</t>
        </is>
      </c>
      <c r="H525">
        <f>IF(A525&lt;=NWeeks,1,0)</f>
        <v/>
      </c>
      <c r="I525">
        <f>INDEX(ChLaunch,MATCH(E525,ChName,0))</f>
        <v/>
      </c>
      <c r="J525">
        <f>INDEX(ChWeeksFull,MATCH(E525,ChName,0))</f>
        <v/>
      </c>
      <c r="K525">
        <f>INDEX(ChRamp,MATCH(E525,ChName,0))</f>
        <v/>
      </c>
      <c r="L525" s="45">
        <f>MIN(1,MAX(0,(A525-I525+1)*RampSpeed/J525))</f>
        <v/>
      </c>
      <c r="M525" s="45">
        <f>IF(A525&lt;I525,0,IF(K525="S-curve",L525*L525*(3-2*L525),L525))</f>
        <v/>
      </c>
      <c r="N525" s="45">
        <f>1+(INDEX(SeasonIdx,A525)-1)*SeasonAmp</f>
        <v/>
      </c>
      <c r="O525" s="45">
        <f>IFERROR(INDEX(PSPct,MATCH(E525&amp;"|"&amp;G525,PSKey,0)),0)</f>
        <v/>
      </c>
      <c r="P525" s="46">
        <f>INDEX(ChDoorVel,MATCH(E525,ChName,0))*CalibScalar*(1+VelocityUplift)</f>
        <v/>
      </c>
      <c r="Q525" s="46" t="n">
        <v>0</v>
      </c>
      <c r="R525" s="46">
        <f>P525*O525*M525*N525*H525</f>
        <v/>
      </c>
      <c r="S525" s="46">
        <f>R525*INDEX(FmtCansPerCase,MATCH(F525,FmtName,0))</f>
        <v/>
      </c>
      <c r="T525" s="46">
        <f>S525/INDEX(FmtCansPerPack,MATCH(F525,FmtName,0))</f>
        <v/>
      </c>
      <c r="U525" s="47">
        <f>INDEX(ChBaseCP,MATCH(E525,ChName,0))*(1+INDEX(ProvMod,MATCH(G525,ProvCode,0)))*(1+PriceIndex)</f>
        <v/>
      </c>
      <c r="V525" s="47">
        <f>R525*U525*INDEX(FmtBlendedPriceIdx,MATCH(F525,FmtName,0))</f>
        <v/>
      </c>
      <c r="W525" s="47">
        <f>T525*INDEX(ProvSRP,MATCH(G525,ProvCode,0))*(1+PriceIndex)</f>
        <v/>
      </c>
      <c r="X525" s="47">
        <f>IF(GrossBasis="Wholesale",V525,W525)</f>
        <v/>
      </c>
      <c r="Y525" s="47">
        <f>R525*INDEX(FmtBlendedCogs,MATCH(F525,FmtName,0))</f>
        <v/>
      </c>
      <c r="Z525" s="47">
        <f>X525-Y525</f>
        <v/>
      </c>
    </row>
    <row r="526">
      <c r="A526" t="n">
        <v>48</v>
      </c>
      <c r="B526" s="44">
        <f>FiscalStart+(A526-1)*7</f>
        <v/>
      </c>
      <c r="C526">
        <f>TEXT(B526,"mmm yyyy")</f>
        <v/>
      </c>
      <c r="D526">
        <f>"Q"&amp;(INT((A526-1)/13)+1)</f>
        <v/>
      </c>
      <c r="E526" t="inlineStr">
        <is>
          <t>Convenience</t>
        </is>
      </c>
      <c r="F526">
        <f>IFERROR(INDEX(ChFormat,MATCH(E526,ChName,0)),"")</f>
        <v/>
      </c>
      <c r="G526" t="inlineStr">
        <is>
          <t>NL</t>
        </is>
      </c>
      <c r="H526">
        <f>IF(A526&lt;=NWeeks,1,0)</f>
        <v/>
      </c>
      <c r="I526">
        <f>INDEX(ChLaunch,MATCH(E526,ChName,0))</f>
        <v/>
      </c>
      <c r="J526">
        <f>INDEX(ChWeeksFull,MATCH(E526,ChName,0))</f>
        <v/>
      </c>
      <c r="K526">
        <f>INDEX(ChRamp,MATCH(E526,ChName,0))</f>
        <v/>
      </c>
      <c r="L526" s="45">
        <f>MIN(1,MAX(0,(A526-I526+1)*RampSpeed/J526))</f>
        <v/>
      </c>
      <c r="M526" s="45">
        <f>IF(A526&lt;I526,0,IF(K526="S-curve",L526*L526*(3-2*L526),L526))</f>
        <v/>
      </c>
      <c r="N526" s="45">
        <f>1+(INDEX(SeasonIdx,A526)-1)*SeasonAmp</f>
        <v/>
      </c>
      <c r="O526" s="45">
        <f>IFERROR(INDEX(PSPct,MATCH(E526&amp;"|"&amp;G526,PSKey,0)),0)</f>
        <v/>
      </c>
      <c r="P526" s="46">
        <f>INDEX(ChDoorVel,MATCH(E526,ChName,0))*CalibScalar*(1+VelocityUplift)</f>
        <v/>
      </c>
      <c r="Q526" s="46" t="n">
        <v>0</v>
      </c>
      <c r="R526" s="46">
        <f>P526*O526*M526*N526*H526</f>
        <v/>
      </c>
      <c r="S526" s="46">
        <f>R526*INDEX(FmtCansPerCase,MATCH(F526,FmtName,0))</f>
        <v/>
      </c>
      <c r="T526" s="46">
        <f>S526/INDEX(FmtCansPerPack,MATCH(F526,FmtName,0))</f>
        <v/>
      </c>
      <c r="U526" s="47">
        <f>INDEX(ChBaseCP,MATCH(E526,ChName,0))*(1+INDEX(ProvMod,MATCH(G526,ProvCode,0)))*(1+PriceIndex)</f>
        <v/>
      </c>
      <c r="V526" s="47">
        <f>R526*U526*INDEX(FmtBlendedPriceIdx,MATCH(F526,FmtName,0))</f>
        <v/>
      </c>
      <c r="W526" s="47">
        <f>T526*INDEX(ProvSRP,MATCH(G526,ProvCode,0))*(1+PriceIndex)</f>
        <v/>
      </c>
      <c r="X526" s="47">
        <f>IF(GrossBasis="Wholesale",V526,W526)</f>
        <v/>
      </c>
      <c r="Y526" s="47">
        <f>R526*INDEX(FmtBlendedCogs,MATCH(F526,FmtName,0))</f>
        <v/>
      </c>
      <c r="Z526" s="47">
        <f>X526-Y526</f>
        <v/>
      </c>
    </row>
    <row r="527">
      <c r="A527" t="n">
        <v>49</v>
      </c>
      <c r="B527" s="44">
        <f>FiscalStart+(A527-1)*7</f>
        <v/>
      </c>
      <c r="C527">
        <f>TEXT(B527,"mmm yyyy")</f>
        <v/>
      </c>
      <c r="D527">
        <f>"Q"&amp;(INT((A527-1)/13)+1)</f>
        <v/>
      </c>
      <c r="E527" t="inlineStr">
        <is>
          <t>Convenience</t>
        </is>
      </c>
      <c r="F527">
        <f>IFERROR(INDEX(ChFormat,MATCH(E527,ChName,0)),"")</f>
        <v/>
      </c>
      <c r="G527" t="inlineStr">
        <is>
          <t>NL</t>
        </is>
      </c>
      <c r="H527">
        <f>IF(A527&lt;=NWeeks,1,0)</f>
        <v/>
      </c>
      <c r="I527">
        <f>INDEX(ChLaunch,MATCH(E527,ChName,0))</f>
        <v/>
      </c>
      <c r="J527">
        <f>INDEX(ChWeeksFull,MATCH(E527,ChName,0))</f>
        <v/>
      </c>
      <c r="K527">
        <f>INDEX(ChRamp,MATCH(E527,ChName,0))</f>
        <v/>
      </c>
      <c r="L527" s="45">
        <f>MIN(1,MAX(0,(A527-I527+1)*RampSpeed/J527))</f>
        <v/>
      </c>
      <c r="M527" s="45">
        <f>IF(A527&lt;I527,0,IF(K527="S-curve",L527*L527*(3-2*L527),L527))</f>
        <v/>
      </c>
      <c r="N527" s="45">
        <f>1+(INDEX(SeasonIdx,A527)-1)*SeasonAmp</f>
        <v/>
      </c>
      <c r="O527" s="45">
        <f>IFERROR(INDEX(PSPct,MATCH(E527&amp;"|"&amp;G527,PSKey,0)),0)</f>
        <v/>
      </c>
      <c r="P527" s="46">
        <f>INDEX(ChDoorVel,MATCH(E527,ChName,0))*CalibScalar*(1+VelocityUplift)</f>
        <v/>
      </c>
      <c r="Q527" s="46" t="n">
        <v>0</v>
      </c>
      <c r="R527" s="46">
        <f>P527*O527*M527*N527*H527</f>
        <v/>
      </c>
      <c r="S527" s="46">
        <f>R527*INDEX(FmtCansPerCase,MATCH(F527,FmtName,0))</f>
        <v/>
      </c>
      <c r="T527" s="46">
        <f>S527/INDEX(FmtCansPerPack,MATCH(F527,FmtName,0))</f>
        <v/>
      </c>
      <c r="U527" s="47">
        <f>INDEX(ChBaseCP,MATCH(E527,ChName,0))*(1+INDEX(ProvMod,MATCH(G527,ProvCode,0)))*(1+PriceIndex)</f>
        <v/>
      </c>
      <c r="V527" s="47">
        <f>R527*U527*INDEX(FmtBlendedPriceIdx,MATCH(F527,FmtName,0))</f>
        <v/>
      </c>
      <c r="W527" s="47">
        <f>T527*INDEX(ProvSRP,MATCH(G527,ProvCode,0))*(1+PriceIndex)</f>
        <v/>
      </c>
      <c r="X527" s="47">
        <f>IF(GrossBasis="Wholesale",V527,W527)</f>
        <v/>
      </c>
      <c r="Y527" s="47">
        <f>R527*INDEX(FmtBlendedCogs,MATCH(F527,FmtName,0))</f>
        <v/>
      </c>
      <c r="Z527" s="47">
        <f>X527-Y527</f>
        <v/>
      </c>
    </row>
    <row r="528">
      <c r="A528" t="n">
        <v>50</v>
      </c>
      <c r="B528" s="44">
        <f>FiscalStart+(A528-1)*7</f>
        <v/>
      </c>
      <c r="C528">
        <f>TEXT(B528,"mmm yyyy")</f>
        <v/>
      </c>
      <c r="D528">
        <f>"Q"&amp;(INT((A528-1)/13)+1)</f>
        <v/>
      </c>
      <c r="E528" t="inlineStr">
        <is>
          <t>Convenience</t>
        </is>
      </c>
      <c r="F528">
        <f>IFERROR(INDEX(ChFormat,MATCH(E528,ChName,0)),"")</f>
        <v/>
      </c>
      <c r="G528" t="inlineStr">
        <is>
          <t>NL</t>
        </is>
      </c>
      <c r="H528">
        <f>IF(A528&lt;=NWeeks,1,0)</f>
        <v/>
      </c>
      <c r="I528">
        <f>INDEX(ChLaunch,MATCH(E528,ChName,0))</f>
        <v/>
      </c>
      <c r="J528">
        <f>INDEX(ChWeeksFull,MATCH(E528,ChName,0))</f>
        <v/>
      </c>
      <c r="K528">
        <f>INDEX(ChRamp,MATCH(E528,ChName,0))</f>
        <v/>
      </c>
      <c r="L528" s="45">
        <f>MIN(1,MAX(0,(A528-I528+1)*RampSpeed/J528))</f>
        <v/>
      </c>
      <c r="M528" s="45">
        <f>IF(A528&lt;I528,0,IF(K528="S-curve",L528*L528*(3-2*L528),L528))</f>
        <v/>
      </c>
      <c r="N528" s="45">
        <f>1+(INDEX(SeasonIdx,A528)-1)*SeasonAmp</f>
        <v/>
      </c>
      <c r="O528" s="45">
        <f>IFERROR(INDEX(PSPct,MATCH(E528&amp;"|"&amp;G528,PSKey,0)),0)</f>
        <v/>
      </c>
      <c r="P528" s="46">
        <f>INDEX(ChDoorVel,MATCH(E528,ChName,0))*CalibScalar*(1+VelocityUplift)</f>
        <v/>
      </c>
      <c r="Q528" s="46" t="n">
        <v>0</v>
      </c>
      <c r="R528" s="46">
        <f>P528*O528*M528*N528*H528</f>
        <v/>
      </c>
      <c r="S528" s="46">
        <f>R528*INDEX(FmtCansPerCase,MATCH(F528,FmtName,0))</f>
        <v/>
      </c>
      <c r="T528" s="46">
        <f>S528/INDEX(FmtCansPerPack,MATCH(F528,FmtName,0))</f>
        <v/>
      </c>
      <c r="U528" s="47">
        <f>INDEX(ChBaseCP,MATCH(E528,ChName,0))*(1+INDEX(ProvMod,MATCH(G528,ProvCode,0)))*(1+PriceIndex)</f>
        <v/>
      </c>
      <c r="V528" s="47">
        <f>R528*U528*INDEX(FmtBlendedPriceIdx,MATCH(F528,FmtName,0))</f>
        <v/>
      </c>
      <c r="W528" s="47">
        <f>T528*INDEX(ProvSRP,MATCH(G528,ProvCode,0))*(1+PriceIndex)</f>
        <v/>
      </c>
      <c r="X528" s="47">
        <f>IF(GrossBasis="Wholesale",V528,W528)</f>
        <v/>
      </c>
      <c r="Y528" s="47">
        <f>R528*INDEX(FmtBlendedCogs,MATCH(F528,FmtName,0))</f>
        <v/>
      </c>
      <c r="Z528" s="47">
        <f>X528-Y528</f>
        <v/>
      </c>
    </row>
    <row r="529">
      <c r="A529" t="n">
        <v>51</v>
      </c>
      <c r="B529" s="44">
        <f>FiscalStart+(A529-1)*7</f>
        <v/>
      </c>
      <c r="C529">
        <f>TEXT(B529,"mmm yyyy")</f>
        <v/>
      </c>
      <c r="D529">
        <f>"Q"&amp;(INT((A529-1)/13)+1)</f>
        <v/>
      </c>
      <c r="E529" t="inlineStr">
        <is>
          <t>Convenience</t>
        </is>
      </c>
      <c r="F529">
        <f>IFERROR(INDEX(ChFormat,MATCH(E529,ChName,0)),"")</f>
        <v/>
      </c>
      <c r="G529" t="inlineStr">
        <is>
          <t>NL</t>
        </is>
      </c>
      <c r="H529">
        <f>IF(A529&lt;=NWeeks,1,0)</f>
        <v/>
      </c>
      <c r="I529">
        <f>INDEX(ChLaunch,MATCH(E529,ChName,0))</f>
        <v/>
      </c>
      <c r="J529">
        <f>INDEX(ChWeeksFull,MATCH(E529,ChName,0))</f>
        <v/>
      </c>
      <c r="K529">
        <f>INDEX(ChRamp,MATCH(E529,ChName,0))</f>
        <v/>
      </c>
      <c r="L529" s="45">
        <f>MIN(1,MAX(0,(A529-I529+1)*RampSpeed/J529))</f>
        <v/>
      </c>
      <c r="M529" s="45">
        <f>IF(A529&lt;I529,0,IF(K529="S-curve",L529*L529*(3-2*L529),L529))</f>
        <v/>
      </c>
      <c r="N529" s="45">
        <f>1+(INDEX(SeasonIdx,A529)-1)*SeasonAmp</f>
        <v/>
      </c>
      <c r="O529" s="45">
        <f>IFERROR(INDEX(PSPct,MATCH(E529&amp;"|"&amp;G529,PSKey,0)),0)</f>
        <v/>
      </c>
      <c r="P529" s="46">
        <f>INDEX(ChDoorVel,MATCH(E529,ChName,0))*CalibScalar*(1+VelocityUplift)</f>
        <v/>
      </c>
      <c r="Q529" s="46" t="n">
        <v>0</v>
      </c>
      <c r="R529" s="46">
        <f>P529*O529*M529*N529*H529</f>
        <v/>
      </c>
      <c r="S529" s="46">
        <f>R529*INDEX(FmtCansPerCase,MATCH(F529,FmtName,0))</f>
        <v/>
      </c>
      <c r="T529" s="46">
        <f>S529/INDEX(FmtCansPerPack,MATCH(F529,FmtName,0))</f>
        <v/>
      </c>
      <c r="U529" s="47">
        <f>INDEX(ChBaseCP,MATCH(E529,ChName,0))*(1+INDEX(ProvMod,MATCH(G529,ProvCode,0)))*(1+PriceIndex)</f>
        <v/>
      </c>
      <c r="V529" s="47">
        <f>R529*U529*INDEX(FmtBlendedPriceIdx,MATCH(F529,FmtName,0))</f>
        <v/>
      </c>
      <c r="W529" s="47">
        <f>T529*INDEX(ProvSRP,MATCH(G529,ProvCode,0))*(1+PriceIndex)</f>
        <v/>
      </c>
      <c r="X529" s="47">
        <f>IF(GrossBasis="Wholesale",V529,W529)</f>
        <v/>
      </c>
      <c r="Y529" s="47">
        <f>R529*INDEX(FmtBlendedCogs,MATCH(F529,FmtName,0))</f>
        <v/>
      </c>
      <c r="Z529" s="47">
        <f>X529-Y529</f>
        <v/>
      </c>
    </row>
    <row r="530">
      <c r="A530" t="n">
        <v>52</v>
      </c>
      <c r="B530" s="44">
        <f>FiscalStart+(A530-1)*7</f>
        <v/>
      </c>
      <c r="C530">
        <f>TEXT(B530,"mmm yyyy")</f>
        <v/>
      </c>
      <c r="D530">
        <f>"Q"&amp;(INT((A530-1)/13)+1)</f>
        <v/>
      </c>
      <c r="E530" t="inlineStr">
        <is>
          <t>Convenience</t>
        </is>
      </c>
      <c r="F530">
        <f>IFERROR(INDEX(ChFormat,MATCH(E530,ChName,0)),"")</f>
        <v/>
      </c>
      <c r="G530" t="inlineStr">
        <is>
          <t>NL</t>
        </is>
      </c>
      <c r="H530">
        <f>IF(A530&lt;=NWeeks,1,0)</f>
        <v/>
      </c>
      <c r="I530">
        <f>INDEX(ChLaunch,MATCH(E530,ChName,0))</f>
        <v/>
      </c>
      <c r="J530">
        <f>INDEX(ChWeeksFull,MATCH(E530,ChName,0))</f>
        <v/>
      </c>
      <c r="K530">
        <f>INDEX(ChRamp,MATCH(E530,ChName,0))</f>
        <v/>
      </c>
      <c r="L530" s="45">
        <f>MIN(1,MAX(0,(A530-I530+1)*RampSpeed/J530))</f>
        <v/>
      </c>
      <c r="M530" s="45">
        <f>IF(A530&lt;I530,0,IF(K530="S-curve",L530*L530*(3-2*L530),L530))</f>
        <v/>
      </c>
      <c r="N530" s="45">
        <f>1+(INDEX(SeasonIdx,A530)-1)*SeasonAmp</f>
        <v/>
      </c>
      <c r="O530" s="45">
        <f>IFERROR(INDEX(PSPct,MATCH(E530&amp;"|"&amp;G530,PSKey,0)),0)</f>
        <v/>
      </c>
      <c r="P530" s="46">
        <f>INDEX(ChDoorVel,MATCH(E530,ChName,0))*CalibScalar*(1+VelocityUplift)</f>
        <v/>
      </c>
      <c r="Q530" s="46" t="n">
        <v>0</v>
      </c>
      <c r="R530" s="46">
        <f>P530*O530*M530*N530*H530</f>
        <v/>
      </c>
      <c r="S530" s="46">
        <f>R530*INDEX(FmtCansPerCase,MATCH(F530,FmtName,0))</f>
        <v/>
      </c>
      <c r="T530" s="46">
        <f>S530/INDEX(FmtCansPerPack,MATCH(F530,FmtName,0))</f>
        <v/>
      </c>
      <c r="U530" s="47">
        <f>INDEX(ChBaseCP,MATCH(E530,ChName,0))*(1+INDEX(ProvMod,MATCH(G530,ProvCode,0)))*(1+PriceIndex)</f>
        <v/>
      </c>
      <c r="V530" s="47">
        <f>R530*U530*INDEX(FmtBlendedPriceIdx,MATCH(F530,FmtName,0))</f>
        <v/>
      </c>
      <c r="W530" s="47">
        <f>T530*INDEX(ProvSRP,MATCH(G530,ProvCode,0))*(1+PriceIndex)</f>
        <v/>
      </c>
      <c r="X530" s="47">
        <f>IF(GrossBasis="Wholesale",V530,W530)</f>
        <v/>
      </c>
      <c r="Y530" s="47">
        <f>R530*INDEX(FmtBlendedCogs,MATCH(F530,FmtName,0))</f>
        <v/>
      </c>
      <c r="Z530" s="47">
        <f>X530-Y530</f>
        <v/>
      </c>
    </row>
    <row r="531">
      <c r="A531" t="n">
        <v>53</v>
      </c>
      <c r="B531" s="44">
        <f>FiscalStart+(A531-1)*7</f>
        <v/>
      </c>
      <c r="C531">
        <f>TEXT(B531,"mmm yyyy")</f>
        <v/>
      </c>
      <c r="D531">
        <f>"Q"&amp;(INT((A531-1)/13)+1)</f>
        <v/>
      </c>
      <c r="E531" t="inlineStr">
        <is>
          <t>Convenience</t>
        </is>
      </c>
      <c r="F531">
        <f>IFERROR(INDEX(ChFormat,MATCH(E531,ChName,0)),"")</f>
        <v/>
      </c>
      <c r="G531" t="inlineStr">
        <is>
          <t>NL</t>
        </is>
      </c>
      <c r="H531">
        <f>IF(A531&lt;=NWeeks,1,0)</f>
        <v/>
      </c>
      <c r="I531">
        <f>INDEX(ChLaunch,MATCH(E531,ChName,0))</f>
        <v/>
      </c>
      <c r="J531">
        <f>INDEX(ChWeeksFull,MATCH(E531,ChName,0))</f>
        <v/>
      </c>
      <c r="K531">
        <f>INDEX(ChRamp,MATCH(E531,ChName,0))</f>
        <v/>
      </c>
      <c r="L531" s="45">
        <f>MIN(1,MAX(0,(A531-I531+1)*RampSpeed/J531))</f>
        <v/>
      </c>
      <c r="M531" s="45">
        <f>IF(A531&lt;I531,0,IF(K531="S-curve",L531*L531*(3-2*L531),L531))</f>
        <v/>
      </c>
      <c r="N531" s="45">
        <f>1+(INDEX(SeasonIdx,A531)-1)*SeasonAmp</f>
        <v/>
      </c>
      <c r="O531" s="45">
        <f>IFERROR(INDEX(PSPct,MATCH(E531&amp;"|"&amp;G531,PSKey,0)),0)</f>
        <v/>
      </c>
      <c r="P531" s="46">
        <f>INDEX(ChDoorVel,MATCH(E531,ChName,0))*CalibScalar*(1+VelocityUplift)</f>
        <v/>
      </c>
      <c r="Q531" s="46" t="n">
        <v>0</v>
      </c>
      <c r="R531" s="46">
        <f>P531*O531*M531*N531*H531</f>
        <v/>
      </c>
      <c r="S531" s="46">
        <f>R531*INDEX(FmtCansPerCase,MATCH(F531,FmtName,0))</f>
        <v/>
      </c>
      <c r="T531" s="46">
        <f>S531/INDEX(FmtCansPerPack,MATCH(F531,FmtName,0))</f>
        <v/>
      </c>
      <c r="U531" s="47">
        <f>INDEX(ChBaseCP,MATCH(E531,ChName,0))*(1+INDEX(ProvMod,MATCH(G531,ProvCode,0)))*(1+PriceIndex)</f>
        <v/>
      </c>
      <c r="V531" s="47">
        <f>R531*U531*INDEX(FmtBlendedPriceIdx,MATCH(F531,FmtName,0))</f>
        <v/>
      </c>
      <c r="W531" s="47">
        <f>T531*INDEX(ProvSRP,MATCH(G531,ProvCode,0))*(1+PriceIndex)</f>
        <v/>
      </c>
      <c r="X531" s="47">
        <f>IF(GrossBasis="Wholesale",V531,W531)</f>
        <v/>
      </c>
      <c r="Y531" s="47">
        <f>R531*INDEX(FmtBlendedCogs,MATCH(F531,FmtName,0))</f>
        <v/>
      </c>
      <c r="Z531" s="47">
        <f>X531-Y531</f>
        <v/>
      </c>
    </row>
    <row r="532">
      <c r="A532" t="n">
        <v>1</v>
      </c>
      <c r="B532" s="44">
        <f>FiscalStart+(A532-1)*7</f>
        <v/>
      </c>
      <c r="C532">
        <f>TEXT(B532,"mmm yyyy")</f>
        <v/>
      </c>
      <c r="D532">
        <f>"Q"&amp;(INT((A532-1)/13)+1)</f>
        <v/>
      </c>
      <c r="E532" t="inlineStr">
        <is>
          <t>On Premise</t>
        </is>
      </c>
      <c r="F532">
        <f>IFERROR(INDEX(ChFormat,MATCH(E532,ChName,0)),"")</f>
        <v/>
      </c>
      <c r="G532" t="inlineStr">
        <is>
          <t>BC</t>
        </is>
      </c>
      <c r="H532">
        <f>IF(A532&lt;=NWeeks,1,0)</f>
        <v/>
      </c>
      <c r="I532">
        <f>INDEX(ChLaunch,MATCH(E532,ChName,0))</f>
        <v/>
      </c>
      <c r="J532">
        <f>INDEX(ChWeeksFull,MATCH(E532,ChName,0))</f>
        <v/>
      </c>
      <c r="K532">
        <f>INDEX(ChRamp,MATCH(E532,ChName,0))</f>
        <v/>
      </c>
      <c r="L532" s="45">
        <f>MIN(1,MAX(0,(A532-I532+1)*RampSpeed/J532))</f>
        <v/>
      </c>
      <c r="M532" s="45">
        <f>IF(A532&lt;I532,0,IF(K532="S-curve",L532*L532*(3-2*L532),L532))</f>
        <v/>
      </c>
      <c r="N532" s="45">
        <f>1+(INDEX(SeasonIdx,A532)-1)*SeasonAmp</f>
        <v/>
      </c>
      <c r="O532" s="45">
        <f>IFERROR(INDEX(PSPct,MATCH(E532&amp;"|"&amp;G532,PSKey,0)),0)</f>
        <v/>
      </c>
      <c r="P532" s="46">
        <f>INDEX(ChDoorVel,MATCH(E532,ChName,0))*CalibScalar*(1+VelocityUplift)</f>
        <v/>
      </c>
      <c r="Q532" s="46" t="n">
        <v>0</v>
      </c>
      <c r="R532" s="46">
        <f>P532*O532*M532*N532*H532</f>
        <v/>
      </c>
      <c r="S532" s="46">
        <f>R532*INDEX(FmtCansPerCase,MATCH(F532,FmtName,0))</f>
        <v/>
      </c>
      <c r="T532" s="46">
        <f>S532/INDEX(FmtCansPerPack,MATCH(F532,FmtName,0))</f>
        <v/>
      </c>
      <c r="U532" s="47">
        <f>INDEX(ChBaseCP,MATCH(E532,ChName,0))*(1+INDEX(ProvMod,MATCH(G532,ProvCode,0)))*(1+PriceIndex)</f>
        <v/>
      </c>
      <c r="V532" s="47">
        <f>R532*U532*INDEX(FmtBlendedPriceIdx,MATCH(F532,FmtName,0))</f>
        <v/>
      </c>
      <c r="W532" s="47">
        <f>T532*INDEX(ProvSRP,MATCH(G532,ProvCode,0))*(1+PriceIndex)</f>
        <v/>
      </c>
      <c r="X532" s="47">
        <f>IF(GrossBasis="Wholesale",V532,W532)</f>
        <v/>
      </c>
      <c r="Y532" s="47">
        <f>R532*INDEX(FmtBlendedCogs,MATCH(F532,FmtName,0))</f>
        <v/>
      </c>
      <c r="Z532" s="47">
        <f>X532-Y532</f>
        <v/>
      </c>
    </row>
    <row r="533">
      <c r="A533" t="n">
        <v>2</v>
      </c>
      <c r="B533" s="44">
        <f>FiscalStart+(A533-1)*7</f>
        <v/>
      </c>
      <c r="C533">
        <f>TEXT(B533,"mmm yyyy")</f>
        <v/>
      </c>
      <c r="D533">
        <f>"Q"&amp;(INT((A533-1)/13)+1)</f>
        <v/>
      </c>
      <c r="E533" t="inlineStr">
        <is>
          <t>On Premise</t>
        </is>
      </c>
      <c r="F533">
        <f>IFERROR(INDEX(ChFormat,MATCH(E533,ChName,0)),"")</f>
        <v/>
      </c>
      <c r="G533" t="inlineStr">
        <is>
          <t>BC</t>
        </is>
      </c>
      <c r="H533">
        <f>IF(A533&lt;=NWeeks,1,0)</f>
        <v/>
      </c>
      <c r="I533">
        <f>INDEX(ChLaunch,MATCH(E533,ChName,0))</f>
        <v/>
      </c>
      <c r="J533">
        <f>INDEX(ChWeeksFull,MATCH(E533,ChName,0))</f>
        <v/>
      </c>
      <c r="K533">
        <f>INDEX(ChRamp,MATCH(E533,ChName,0))</f>
        <v/>
      </c>
      <c r="L533" s="45">
        <f>MIN(1,MAX(0,(A533-I533+1)*RampSpeed/J533))</f>
        <v/>
      </c>
      <c r="M533" s="45">
        <f>IF(A533&lt;I533,0,IF(K533="S-curve",L533*L533*(3-2*L533),L533))</f>
        <v/>
      </c>
      <c r="N533" s="45">
        <f>1+(INDEX(SeasonIdx,A533)-1)*SeasonAmp</f>
        <v/>
      </c>
      <c r="O533" s="45">
        <f>IFERROR(INDEX(PSPct,MATCH(E533&amp;"|"&amp;G533,PSKey,0)),0)</f>
        <v/>
      </c>
      <c r="P533" s="46">
        <f>INDEX(ChDoorVel,MATCH(E533,ChName,0))*CalibScalar*(1+VelocityUplift)</f>
        <v/>
      </c>
      <c r="Q533" s="46" t="n">
        <v>0</v>
      </c>
      <c r="R533" s="46">
        <f>P533*O533*M533*N533*H533</f>
        <v/>
      </c>
      <c r="S533" s="46">
        <f>R533*INDEX(FmtCansPerCase,MATCH(F533,FmtName,0))</f>
        <v/>
      </c>
      <c r="T533" s="46">
        <f>S533/INDEX(FmtCansPerPack,MATCH(F533,FmtName,0))</f>
        <v/>
      </c>
      <c r="U533" s="47">
        <f>INDEX(ChBaseCP,MATCH(E533,ChName,0))*(1+INDEX(ProvMod,MATCH(G533,ProvCode,0)))*(1+PriceIndex)</f>
        <v/>
      </c>
      <c r="V533" s="47">
        <f>R533*U533*INDEX(FmtBlendedPriceIdx,MATCH(F533,FmtName,0))</f>
        <v/>
      </c>
      <c r="W533" s="47">
        <f>T533*INDEX(ProvSRP,MATCH(G533,ProvCode,0))*(1+PriceIndex)</f>
        <v/>
      </c>
      <c r="X533" s="47">
        <f>IF(GrossBasis="Wholesale",V533,W533)</f>
        <v/>
      </c>
      <c r="Y533" s="47">
        <f>R533*INDEX(FmtBlendedCogs,MATCH(F533,FmtName,0))</f>
        <v/>
      </c>
      <c r="Z533" s="47">
        <f>X533-Y533</f>
        <v/>
      </c>
    </row>
    <row r="534">
      <c r="A534" t="n">
        <v>3</v>
      </c>
      <c r="B534" s="44">
        <f>FiscalStart+(A534-1)*7</f>
        <v/>
      </c>
      <c r="C534">
        <f>TEXT(B534,"mmm yyyy")</f>
        <v/>
      </c>
      <c r="D534">
        <f>"Q"&amp;(INT((A534-1)/13)+1)</f>
        <v/>
      </c>
      <c r="E534" t="inlineStr">
        <is>
          <t>On Premise</t>
        </is>
      </c>
      <c r="F534">
        <f>IFERROR(INDEX(ChFormat,MATCH(E534,ChName,0)),"")</f>
        <v/>
      </c>
      <c r="G534" t="inlineStr">
        <is>
          <t>BC</t>
        </is>
      </c>
      <c r="H534">
        <f>IF(A534&lt;=NWeeks,1,0)</f>
        <v/>
      </c>
      <c r="I534">
        <f>INDEX(ChLaunch,MATCH(E534,ChName,0))</f>
        <v/>
      </c>
      <c r="J534">
        <f>INDEX(ChWeeksFull,MATCH(E534,ChName,0))</f>
        <v/>
      </c>
      <c r="K534">
        <f>INDEX(ChRamp,MATCH(E534,ChName,0))</f>
        <v/>
      </c>
      <c r="L534" s="45">
        <f>MIN(1,MAX(0,(A534-I534+1)*RampSpeed/J534))</f>
        <v/>
      </c>
      <c r="M534" s="45">
        <f>IF(A534&lt;I534,0,IF(K534="S-curve",L534*L534*(3-2*L534),L534))</f>
        <v/>
      </c>
      <c r="N534" s="45">
        <f>1+(INDEX(SeasonIdx,A534)-1)*SeasonAmp</f>
        <v/>
      </c>
      <c r="O534" s="45">
        <f>IFERROR(INDEX(PSPct,MATCH(E534&amp;"|"&amp;G534,PSKey,0)),0)</f>
        <v/>
      </c>
      <c r="P534" s="46">
        <f>INDEX(ChDoorVel,MATCH(E534,ChName,0))*CalibScalar*(1+VelocityUplift)</f>
        <v/>
      </c>
      <c r="Q534" s="46" t="n">
        <v>0</v>
      </c>
      <c r="R534" s="46">
        <f>P534*O534*M534*N534*H534</f>
        <v/>
      </c>
      <c r="S534" s="46">
        <f>R534*INDEX(FmtCansPerCase,MATCH(F534,FmtName,0))</f>
        <v/>
      </c>
      <c r="T534" s="46">
        <f>S534/INDEX(FmtCansPerPack,MATCH(F534,FmtName,0))</f>
        <v/>
      </c>
      <c r="U534" s="47">
        <f>INDEX(ChBaseCP,MATCH(E534,ChName,0))*(1+INDEX(ProvMod,MATCH(G534,ProvCode,0)))*(1+PriceIndex)</f>
        <v/>
      </c>
      <c r="V534" s="47">
        <f>R534*U534*INDEX(FmtBlendedPriceIdx,MATCH(F534,FmtName,0))</f>
        <v/>
      </c>
      <c r="W534" s="47">
        <f>T534*INDEX(ProvSRP,MATCH(G534,ProvCode,0))*(1+PriceIndex)</f>
        <v/>
      </c>
      <c r="X534" s="47">
        <f>IF(GrossBasis="Wholesale",V534,W534)</f>
        <v/>
      </c>
      <c r="Y534" s="47">
        <f>R534*INDEX(FmtBlendedCogs,MATCH(F534,FmtName,0))</f>
        <v/>
      </c>
      <c r="Z534" s="47">
        <f>X534-Y534</f>
        <v/>
      </c>
    </row>
    <row r="535">
      <c r="A535" t="n">
        <v>4</v>
      </c>
      <c r="B535" s="44">
        <f>FiscalStart+(A535-1)*7</f>
        <v/>
      </c>
      <c r="C535">
        <f>TEXT(B535,"mmm yyyy")</f>
        <v/>
      </c>
      <c r="D535">
        <f>"Q"&amp;(INT((A535-1)/13)+1)</f>
        <v/>
      </c>
      <c r="E535" t="inlineStr">
        <is>
          <t>On Premise</t>
        </is>
      </c>
      <c r="F535">
        <f>IFERROR(INDEX(ChFormat,MATCH(E535,ChName,0)),"")</f>
        <v/>
      </c>
      <c r="G535" t="inlineStr">
        <is>
          <t>BC</t>
        </is>
      </c>
      <c r="H535">
        <f>IF(A535&lt;=NWeeks,1,0)</f>
        <v/>
      </c>
      <c r="I535">
        <f>INDEX(ChLaunch,MATCH(E535,ChName,0))</f>
        <v/>
      </c>
      <c r="J535">
        <f>INDEX(ChWeeksFull,MATCH(E535,ChName,0))</f>
        <v/>
      </c>
      <c r="K535">
        <f>INDEX(ChRamp,MATCH(E535,ChName,0))</f>
        <v/>
      </c>
      <c r="L535" s="45">
        <f>MIN(1,MAX(0,(A535-I535+1)*RampSpeed/J535))</f>
        <v/>
      </c>
      <c r="M535" s="45">
        <f>IF(A535&lt;I535,0,IF(K535="S-curve",L535*L535*(3-2*L535),L535))</f>
        <v/>
      </c>
      <c r="N535" s="45">
        <f>1+(INDEX(SeasonIdx,A535)-1)*SeasonAmp</f>
        <v/>
      </c>
      <c r="O535" s="45">
        <f>IFERROR(INDEX(PSPct,MATCH(E535&amp;"|"&amp;G535,PSKey,0)),0)</f>
        <v/>
      </c>
      <c r="P535" s="46">
        <f>INDEX(ChDoorVel,MATCH(E535,ChName,0))*CalibScalar*(1+VelocityUplift)</f>
        <v/>
      </c>
      <c r="Q535" s="46" t="n">
        <v>0</v>
      </c>
      <c r="R535" s="46">
        <f>P535*O535*M535*N535*H535</f>
        <v/>
      </c>
      <c r="S535" s="46">
        <f>R535*INDEX(FmtCansPerCase,MATCH(F535,FmtName,0))</f>
        <v/>
      </c>
      <c r="T535" s="46">
        <f>S535/INDEX(FmtCansPerPack,MATCH(F535,FmtName,0))</f>
        <v/>
      </c>
      <c r="U535" s="47">
        <f>INDEX(ChBaseCP,MATCH(E535,ChName,0))*(1+INDEX(ProvMod,MATCH(G535,ProvCode,0)))*(1+PriceIndex)</f>
        <v/>
      </c>
      <c r="V535" s="47">
        <f>R535*U535*INDEX(FmtBlendedPriceIdx,MATCH(F535,FmtName,0))</f>
        <v/>
      </c>
      <c r="W535" s="47">
        <f>T535*INDEX(ProvSRP,MATCH(G535,ProvCode,0))*(1+PriceIndex)</f>
        <v/>
      </c>
      <c r="X535" s="47">
        <f>IF(GrossBasis="Wholesale",V535,W535)</f>
        <v/>
      </c>
      <c r="Y535" s="47">
        <f>R535*INDEX(FmtBlendedCogs,MATCH(F535,FmtName,0))</f>
        <v/>
      </c>
      <c r="Z535" s="47">
        <f>X535-Y535</f>
        <v/>
      </c>
    </row>
    <row r="536">
      <c r="A536" t="n">
        <v>5</v>
      </c>
      <c r="B536" s="44">
        <f>FiscalStart+(A536-1)*7</f>
        <v/>
      </c>
      <c r="C536">
        <f>TEXT(B536,"mmm yyyy")</f>
        <v/>
      </c>
      <c r="D536">
        <f>"Q"&amp;(INT((A536-1)/13)+1)</f>
        <v/>
      </c>
      <c r="E536" t="inlineStr">
        <is>
          <t>On Premise</t>
        </is>
      </c>
      <c r="F536">
        <f>IFERROR(INDEX(ChFormat,MATCH(E536,ChName,0)),"")</f>
        <v/>
      </c>
      <c r="G536" t="inlineStr">
        <is>
          <t>BC</t>
        </is>
      </c>
      <c r="H536">
        <f>IF(A536&lt;=NWeeks,1,0)</f>
        <v/>
      </c>
      <c r="I536">
        <f>INDEX(ChLaunch,MATCH(E536,ChName,0))</f>
        <v/>
      </c>
      <c r="J536">
        <f>INDEX(ChWeeksFull,MATCH(E536,ChName,0))</f>
        <v/>
      </c>
      <c r="K536">
        <f>INDEX(ChRamp,MATCH(E536,ChName,0))</f>
        <v/>
      </c>
      <c r="L536" s="45">
        <f>MIN(1,MAX(0,(A536-I536+1)*RampSpeed/J536))</f>
        <v/>
      </c>
      <c r="M536" s="45">
        <f>IF(A536&lt;I536,0,IF(K536="S-curve",L536*L536*(3-2*L536),L536))</f>
        <v/>
      </c>
      <c r="N536" s="45">
        <f>1+(INDEX(SeasonIdx,A536)-1)*SeasonAmp</f>
        <v/>
      </c>
      <c r="O536" s="45">
        <f>IFERROR(INDEX(PSPct,MATCH(E536&amp;"|"&amp;G536,PSKey,0)),0)</f>
        <v/>
      </c>
      <c r="P536" s="46">
        <f>INDEX(ChDoorVel,MATCH(E536,ChName,0))*CalibScalar*(1+VelocityUplift)</f>
        <v/>
      </c>
      <c r="Q536" s="46" t="n">
        <v>0</v>
      </c>
      <c r="R536" s="46">
        <f>P536*O536*M536*N536*H536</f>
        <v/>
      </c>
      <c r="S536" s="46">
        <f>R536*INDEX(FmtCansPerCase,MATCH(F536,FmtName,0))</f>
        <v/>
      </c>
      <c r="T536" s="46">
        <f>S536/INDEX(FmtCansPerPack,MATCH(F536,FmtName,0))</f>
        <v/>
      </c>
      <c r="U536" s="47">
        <f>INDEX(ChBaseCP,MATCH(E536,ChName,0))*(1+INDEX(ProvMod,MATCH(G536,ProvCode,0)))*(1+PriceIndex)</f>
        <v/>
      </c>
      <c r="V536" s="47">
        <f>R536*U536*INDEX(FmtBlendedPriceIdx,MATCH(F536,FmtName,0))</f>
        <v/>
      </c>
      <c r="W536" s="47">
        <f>T536*INDEX(ProvSRP,MATCH(G536,ProvCode,0))*(1+PriceIndex)</f>
        <v/>
      </c>
      <c r="X536" s="47">
        <f>IF(GrossBasis="Wholesale",V536,W536)</f>
        <v/>
      </c>
      <c r="Y536" s="47">
        <f>R536*INDEX(FmtBlendedCogs,MATCH(F536,FmtName,0))</f>
        <v/>
      </c>
      <c r="Z536" s="47">
        <f>X536-Y536</f>
        <v/>
      </c>
    </row>
    <row r="537">
      <c r="A537" t="n">
        <v>6</v>
      </c>
      <c r="B537" s="44">
        <f>FiscalStart+(A537-1)*7</f>
        <v/>
      </c>
      <c r="C537">
        <f>TEXT(B537,"mmm yyyy")</f>
        <v/>
      </c>
      <c r="D537">
        <f>"Q"&amp;(INT((A537-1)/13)+1)</f>
        <v/>
      </c>
      <c r="E537" t="inlineStr">
        <is>
          <t>On Premise</t>
        </is>
      </c>
      <c r="F537">
        <f>IFERROR(INDEX(ChFormat,MATCH(E537,ChName,0)),"")</f>
        <v/>
      </c>
      <c r="G537" t="inlineStr">
        <is>
          <t>BC</t>
        </is>
      </c>
      <c r="H537">
        <f>IF(A537&lt;=NWeeks,1,0)</f>
        <v/>
      </c>
      <c r="I537">
        <f>INDEX(ChLaunch,MATCH(E537,ChName,0))</f>
        <v/>
      </c>
      <c r="J537">
        <f>INDEX(ChWeeksFull,MATCH(E537,ChName,0))</f>
        <v/>
      </c>
      <c r="K537">
        <f>INDEX(ChRamp,MATCH(E537,ChName,0))</f>
        <v/>
      </c>
      <c r="L537" s="45">
        <f>MIN(1,MAX(0,(A537-I537+1)*RampSpeed/J537))</f>
        <v/>
      </c>
      <c r="M537" s="45">
        <f>IF(A537&lt;I537,0,IF(K537="S-curve",L537*L537*(3-2*L537),L537))</f>
        <v/>
      </c>
      <c r="N537" s="45">
        <f>1+(INDEX(SeasonIdx,A537)-1)*SeasonAmp</f>
        <v/>
      </c>
      <c r="O537" s="45">
        <f>IFERROR(INDEX(PSPct,MATCH(E537&amp;"|"&amp;G537,PSKey,0)),0)</f>
        <v/>
      </c>
      <c r="P537" s="46">
        <f>INDEX(ChDoorVel,MATCH(E537,ChName,0))*CalibScalar*(1+VelocityUplift)</f>
        <v/>
      </c>
      <c r="Q537" s="46" t="n">
        <v>0</v>
      </c>
      <c r="R537" s="46">
        <f>P537*O537*M537*N537*H537</f>
        <v/>
      </c>
      <c r="S537" s="46">
        <f>R537*INDEX(FmtCansPerCase,MATCH(F537,FmtName,0))</f>
        <v/>
      </c>
      <c r="T537" s="46">
        <f>S537/INDEX(FmtCansPerPack,MATCH(F537,FmtName,0))</f>
        <v/>
      </c>
      <c r="U537" s="47">
        <f>INDEX(ChBaseCP,MATCH(E537,ChName,0))*(1+INDEX(ProvMod,MATCH(G537,ProvCode,0)))*(1+PriceIndex)</f>
        <v/>
      </c>
      <c r="V537" s="47">
        <f>R537*U537*INDEX(FmtBlendedPriceIdx,MATCH(F537,FmtName,0))</f>
        <v/>
      </c>
      <c r="W537" s="47">
        <f>T537*INDEX(ProvSRP,MATCH(G537,ProvCode,0))*(1+PriceIndex)</f>
        <v/>
      </c>
      <c r="X537" s="47">
        <f>IF(GrossBasis="Wholesale",V537,W537)</f>
        <v/>
      </c>
      <c r="Y537" s="47">
        <f>R537*INDEX(FmtBlendedCogs,MATCH(F537,FmtName,0))</f>
        <v/>
      </c>
      <c r="Z537" s="47">
        <f>X537-Y537</f>
        <v/>
      </c>
    </row>
    <row r="538">
      <c r="A538" t="n">
        <v>7</v>
      </c>
      <c r="B538" s="44">
        <f>FiscalStart+(A538-1)*7</f>
        <v/>
      </c>
      <c r="C538">
        <f>TEXT(B538,"mmm yyyy")</f>
        <v/>
      </c>
      <c r="D538">
        <f>"Q"&amp;(INT((A538-1)/13)+1)</f>
        <v/>
      </c>
      <c r="E538" t="inlineStr">
        <is>
          <t>On Premise</t>
        </is>
      </c>
      <c r="F538">
        <f>IFERROR(INDEX(ChFormat,MATCH(E538,ChName,0)),"")</f>
        <v/>
      </c>
      <c r="G538" t="inlineStr">
        <is>
          <t>BC</t>
        </is>
      </c>
      <c r="H538">
        <f>IF(A538&lt;=NWeeks,1,0)</f>
        <v/>
      </c>
      <c r="I538">
        <f>INDEX(ChLaunch,MATCH(E538,ChName,0))</f>
        <v/>
      </c>
      <c r="J538">
        <f>INDEX(ChWeeksFull,MATCH(E538,ChName,0))</f>
        <v/>
      </c>
      <c r="K538">
        <f>INDEX(ChRamp,MATCH(E538,ChName,0))</f>
        <v/>
      </c>
      <c r="L538" s="45">
        <f>MIN(1,MAX(0,(A538-I538+1)*RampSpeed/J538))</f>
        <v/>
      </c>
      <c r="M538" s="45">
        <f>IF(A538&lt;I538,0,IF(K538="S-curve",L538*L538*(3-2*L538),L538))</f>
        <v/>
      </c>
      <c r="N538" s="45">
        <f>1+(INDEX(SeasonIdx,A538)-1)*SeasonAmp</f>
        <v/>
      </c>
      <c r="O538" s="45">
        <f>IFERROR(INDEX(PSPct,MATCH(E538&amp;"|"&amp;G538,PSKey,0)),0)</f>
        <v/>
      </c>
      <c r="P538" s="46">
        <f>INDEX(ChDoorVel,MATCH(E538,ChName,0))*CalibScalar*(1+VelocityUplift)</f>
        <v/>
      </c>
      <c r="Q538" s="46" t="n">
        <v>0</v>
      </c>
      <c r="R538" s="46">
        <f>P538*O538*M538*N538*H538</f>
        <v/>
      </c>
      <c r="S538" s="46">
        <f>R538*INDEX(FmtCansPerCase,MATCH(F538,FmtName,0))</f>
        <v/>
      </c>
      <c r="T538" s="46">
        <f>S538/INDEX(FmtCansPerPack,MATCH(F538,FmtName,0))</f>
        <v/>
      </c>
      <c r="U538" s="47">
        <f>INDEX(ChBaseCP,MATCH(E538,ChName,0))*(1+INDEX(ProvMod,MATCH(G538,ProvCode,0)))*(1+PriceIndex)</f>
        <v/>
      </c>
      <c r="V538" s="47">
        <f>R538*U538*INDEX(FmtBlendedPriceIdx,MATCH(F538,FmtName,0))</f>
        <v/>
      </c>
      <c r="W538" s="47">
        <f>T538*INDEX(ProvSRP,MATCH(G538,ProvCode,0))*(1+PriceIndex)</f>
        <v/>
      </c>
      <c r="X538" s="47">
        <f>IF(GrossBasis="Wholesale",V538,W538)</f>
        <v/>
      </c>
      <c r="Y538" s="47">
        <f>R538*INDEX(FmtBlendedCogs,MATCH(F538,FmtName,0))</f>
        <v/>
      </c>
      <c r="Z538" s="47">
        <f>X538-Y538</f>
        <v/>
      </c>
    </row>
    <row r="539">
      <c r="A539" t="n">
        <v>8</v>
      </c>
      <c r="B539" s="44">
        <f>FiscalStart+(A539-1)*7</f>
        <v/>
      </c>
      <c r="C539">
        <f>TEXT(B539,"mmm yyyy")</f>
        <v/>
      </c>
      <c r="D539">
        <f>"Q"&amp;(INT((A539-1)/13)+1)</f>
        <v/>
      </c>
      <c r="E539" t="inlineStr">
        <is>
          <t>On Premise</t>
        </is>
      </c>
      <c r="F539">
        <f>IFERROR(INDEX(ChFormat,MATCH(E539,ChName,0)),"")</f>
        <v/>
      </c>
      <c r="G539" t="inlineStr">
        <is>
          <t>BC</t>
        </is>
      </c>
      <c r="H539">
        <f>IF(A539&lt;=NWeeks,1,0)</f>
        <v/>
      </c>
      <c r="I539">
        <f>INDEX(ChLaunch,MATCH(E539,ChName,0))</f>
        <v/>
      </c>
      <c r="J539">
        <f>INDEX(ChWeeksFull,MATCH(E539,ChName,0))</f>
        <v/>
      </c>
      <c r="K539">
        <f>INDEX(ChRamp,MATCH(E539,ChName,0))</f>
        <v/>
      </c>
      <c r="L539" s="45">
        <f>MIN(1,MAX(0,(A539-I539+1)*RampSpeed/J539))</f>
        <v/>
      </c>
      <c r="M539" s="45">
        <f>IF(A539&lt;I539,0,IF(K539="S-curve",L539*L539*(3-2*L539),L539))</f>
        <v/>
      </c>
      <c r="N539" s="45">
        <f>1+(INDEX(SeasonIdx,A539)-1)*SeasonAmp</f>
        <v/>
      </c>
      <c r="O539" s="45">
        <f>IFERROR(INDEX(PSPct,MATCH(E539&amp;"|"&amp;G539,PSKey,0)),0)</f>
        <v/>
      </c>
      <c r="P539" s="46">
        <f>INDEX(ChDoorVel,MATCH(E539,ChName,0))*CalibScalar*(1+VelocityUplift)</f>
        <v/>
      </c>
      <c r="Q539" s="46" t="n">
        <v>0</v>
      </c>
      <c r="R539" s="46">
        <f>P539*O539*M539*N539*H539</f>
        <v/>
      </c>
      <c r="S539" s="46">
        <f>R539*INDEX(FmtCansPerCase,MATCH(F539,FmtName,0))</f>
        <v/>
      </c>
      <c r="T539" s="46">
        <f>S539/INDEX(FmtCansPerPack,MATCH(F539,FmtName,0))</f>
        <v/>
      </c>
      <c r="U539" s="47">
        <f>INDEX(ChBaseCP,MATCH(E539,ChName,0))*(1+INDEX(ProvMod,MATCH(G539,ProvCode,0)))*(1+PriceIndex)</f>
        <v/>
      </c>
      <c r="V539" s="47">
        <f>R539*U539*INDEX(FmtBlendedPriceIdx,MATCH(F539,FmtName,0))</f>
        <v/>
      </c>
      <c r="W539" s="47">
        <f>T539*INDEX(ProvSRP,MATCH(G539,ProvCode,0))*(1+PriceIndex)</f>
        <v/>
      </c>
      <c r="X539" s="47">
        <f>IF(GrossBasis="Wholesale",V539,W539)</f>
        <v/>
      </c>
      <c r="Y539" s="47">
        <f>R539*INDEX(FmtBlendedCogs,MATCH(F539,FmtName,0))</f>
        <v/>
      </c>
      <c r="Z539" s="47">
        <f>X539-Y539</f>
        <v/>
      </c>
    </row>
    <row r="540">
      <c r="A540" t="n">
        <v>9</v>
      </c>
      <c r="B540" s="44">
        <f>FiscalStart+(A540-1)*7</f>
        <v/>
      </c>
      <c r="C540">
        <f>TEXT(B540,"mmm yyyy")</f>
        <v/>
      </c>
      <c r="D540">
        <f>"Q"&amp;(INT((A540-1)/13)+1)</f>
        <v/>
      </c>
      <c r="E540" t="inlineStr">
        <is>
          <t>On Premise</t>
        </is>
      </c>
      <c r="F540">
        <f>IFERROR(INDEX(ChFormat,MATCH(E540,ChName,0)),"")</f>
        <v/>
      </c>
      <c r="G540" t="inlineStr">
        <is>
          <t>BC</t>
        </is>
      </c>
      <c r="H540">
        <f>IF(A540&lt;=NWeeks,1,0)</f>
        <v/>
      </c>
      <c r="I540">
        <f>INDEX(ChLaunch,MATCH(E540,ChName,0))</f>
        <v/>
      </c>
      <c r="J540">
        <f>INDEX(ChWeeksFull,MATCH(E540,ChName,0))</f>
        <v/>
      </c>
      <c r="K540">
        <f>INDEX(ChRamp,MATCH(E540,ChName,0))</f>
        <v/>
      </c>
      <c r="L540" s="45">
        <f>MIN(1,MAX(0,(A540-I540+1)*RampSpeed/J540))</f>
        <v/>
      </c>
      <c r="M540" s="45">
        <f>IF(A540&lt;I540,0,IF(K540="S-curve",L540*L540*(3-2*L540),L540))</f>
        <v/>
      </c>
      <c r="N540" s="45">
        <f>1+(INDEX(SeasonIdx,A540)-1)*SeasonAmp</f>
        <v/>
      </c>
      <c r="O540" s="45">
        <f>IFERROR(INDEX(PSPct,MATCH(E540&amp;"|"&amp;G540,PSKey,0)),0)</f>
        <v/>
      </c>
      <c r="P540" s="46">
        <f>INDEX(ChDoorVel,MATCH(E540,ChName,0))*CalibScalar*(1+VelocityUplift)</f>
        <v/>
      </c>
      <c r="Q540" s="46" t="n">
        <v>0</v>
      </c>
      <c r="R540" s="46">
        <f>P540*O540*M540*N540*H540</f>
        <v/>
      </c>
      <c r="S540" s="46">
        <f>R540*INDEX(FmtCansPerCase,MATCH(F540,FmtName,0))</f>
        <v/>
      </c>
      <c r="T540" s="46">
        <f>S540/INDEX(FmtCansPerPack,MATCH(F540,FmtName,0))</f>
        <v/>
      </c>
      <c r="U540" s="47">
        <f>INDEX(ChBaseCP,MATCH(E540,ChName,0))*(1+INDEX(ProvMod,MATCH(G540,ProvCode,0)))*(1+PriceIndex)</f>
        <v/>
      </c>
      <c r="V540" s="47">
        <f>R540*U540*INDEX(FmtBlendedPriceIdx,MATCH(F540,FmtName,0))</f>
        <v/>
      </c>
      <c r="W540" s="47">
        <f>T540*INDEX(ProvSRP,MATCH(G540,ProvCode,0))*(1+PriceIndex)</f>
        <v/>
      </c>
      <c r="X540" s="47">
        <f>IF(GrossBasis="Wholesale",V540,W540)</f>
        <v/>
      </c>
      <c r="Y540" s="47">
        <f>R540*INDEX(FmtBlendedCogs,MATCH(F540,FmtName,0))</f>
        <v/>
      </c>
      <c r="Z540" s="47">
        <f>X540-Y540</f>
        <v/>
      </c>
    </row>
    <row r="541">
      <c r="A541" t="n">
        <v>10</v>
      </c>
      <c r="B541" s="44">
        <f>FiscalStart+(A541-1)*7</f>
        <v/>
      </c>
      <c r="C541">
        <f>TEXT(B541,"mmm yyyy")</f>
        <v/>
      </c>
      <c r="D541">
        <f>"Q"&amp;(INT((A541-1)/13)+1)</f>
        <v/>
      </c>
      <c r="E541" t="inlineStr">
        <is>
          <t>On Premise</t>
        </is>
      </c>
      <c r="F541">
        <f>IFERROR(INDEX(ChFormat,MATCH(E541,ChName,0)),"")</f>
        <v/>
      </c>
      <c r="G541" t="inlineStr">
        <is>
          <t>BC</t>
        </is>
      </c>
      <c r="H541">
        <f>IF(A541&lt;=NWeeks,1,0)</f>
        <v/>
      </c>
      <c r="I541">
        <f>INDEX(ChLaunch,MATCH(E541,ChName,0))</f>
        <v/>
      </c>
      <c r="J541">
        <f>INDEX(ChWeeksFull,MATCH(E541,ChName,0))</f>
        <v/>
      </c>
      <c r="K541">
        <f>INDEX(ChRamp,MATCH(E541,ChName,0))</f>
        <v/>
      </c>
      <c r="L541" s="45">
        <f>MIN(1,MAX(0,(A541-I541+1)*RampSpeed/J541))</f>
        <v/>
      </c>
      <c r="M541" s="45">
        <f>IF(A541&lt;I541,0,IF(K541="S-curve",L541*L541*(3-2*L541),L541))</f>
        <v/>
      </c>
      <c r="N541" s="45">
        <f>1+(INDEX(SeasonIdx,A541)-1)*SeasonAmp</f>
        <v/>
      </c>
      <c r="O541" s="45">
        <f>IFERROR(INDEX(PSPct,MATCH(E541&amp;"|"&amp;G541,PSKey,0)),0)</f>
        <v/>
      </c>
      <c r="P541" s="46">
        <f>INDEX(ChDoorVel,MATCH(E541,ChName,0))*CalibScalar*(1+VelocityUplift)</f>
        <v/>
      </c>
      <c r="Q541" s="46" t="n">
        <v>0</v>
      </c>
      <c r="R541" s="46">
        <f>P541*O541*M541*N541*H541</f>
        <v/>
      </c>
      <c r="S541" s="46">
        <f>R541*INDEX(FmtCansPerCase,MATCH(F541,FmtName,0))</f>
        <v/>
      </c>
      <c r="T541" s="46">
        <f>S541/INDEX(FmtCansPerPack,MATCH(F541,FmtName,0))</f>
        <v/>
      </c>
      <c r="U541" s="47">
        <f>INDEX(ChBaseCP,MATCH(E541,ChName,0))*(1+INDEX(ProvMod,MATCH(G541,ProvCode,0)))*(1+PriceIndex)</f>
        <v/>
      </c>
      <c r="V541" s="47">
        <f>R541*U541*INDEX(FmtBlendedPriceIdx,MATCH(F541,FmtName,0))</f>
        <v/>
      </c>
      <c r="W541" s="47">
        <f>T541*INDEX(ProvSRP,MATCH(G541,ProvCode,0))*(1+PriceIndex)</f>
        <v/>
      </c>
      <c r="X541" s="47">
        <f>IF(GrossBasis="Wholesale",V541,W541)</f>
        <v/>
      </c>
      <c r="Y541" s="47">
        <f>R541*INDEX(FmtBlendedCogs,MATCH(F541,FmtName,0))</f>
        <v/>
      </c>
      <c r="Z541" s="47">
        <f>X541-Y541</f>
        <v/>
      </c>
    </row>
    <row r="542">
      <c r="A542" t="n">
        <v>11</v>
      </c>
      <c r="B542" s="44">
        <f>FiscalStart+(A542-1)*7</f>
        <v/>
      </c>
      <c r="C542">
        <f>TEXT(B542,"mmm yyyy")</f>
        <v/>
      </c>
      <c r="D542">
        <f>"Q"&amp;(INT((A542-1)/13)+1)</f>
        <v/>
      </c>
      <c r="E542" t="inlineStr">
        <is>
          <t>On Premise</t>
        </is>
      </c>
      <c r="F542">
        <f>IFERROR(INDEX(ChFormat,MATCH(E542,ChName,0)),"")</f>
        <v/>
      </c>
      <c r="G542" t="inlineStr">
        <is>
          <t>BC</t>
        </is>
      </c>
      <c r="H542">
        <f>IF(A542&lt;=NWeeks,1,0)</f>
        <v/>
      </c>
      <c r="I542">
        <f>INDEX(ChLaunch,MATCH(E542,ChName,0))</f>
        <v/>
      </c>
      <c r="J542">
        <f>INDEX(ChWeeksFull,MATCH(E542,ChName,0))</f>
        <v/>
      </c>
      <c r="K542">
        <f>INDEX(ChRamp,MATCH(E542,ChName,0))</f>
        <v/>
      </c>
      <c r="L542" s="45">
        <f>MIN(1,MAX(0,(A542-I542+1)*RampSpeed/J542))</f>
        <v/>
      </c>
      <c r="M542" s="45">
        <f>IF(A542&lt;I542,0,IF(K542="S-curve",L542*L542*(3-2*L542),L542))</f>
        <v/>
      </c>
      <c r="N542" s="45">
        <f>1+(INDEX(SeasonIdx,A542)-1)*SeasonAmp</f>
        <v/>
      </c>
      <c r="O542" s="45">
        <f>IFERROR(INDEX(PSPct,MATCH(E542&amp;"|"&amp;G542,PSKey,0)),0)</f>
        <v/>
      </c>
      <c r="P542" s="46">
        <f>INDEX(ChDoorVel,MATCH(E542,ChName,0))*CalibScalar*(1+VelocityUplift)</f>
        <v/>
      </c>
      <c r="Q542" s="46" t="n">
        <v>0</v>
      </c>
      <c r="R542" s="46">
        <f>P542*O542*M542*N542*H542</f>
        <v/>
      </c>
      <c r="S542" s="46">
        <f>R542*INDEX(FmtCansPerCase,MATCH(F542,FmtName,0))</f>
        <v/>
      </c>
      <c r="T542" s="46">
        <f>S542/INDEX(FmtCansPerPack,MATCH(F542,FmtName,0))</f>
        <v/>
      </c>
      <c r="U542" s="47">
        <f>INDEX(ChBaseCP,MATCH(E542,ChName,0))*(1+INDEX(ProvMod,MATCH(G542,ProvCode,0)))*(1+PriceIndex)</f>
        <v/>
      </c>
      <c r="V542" s="47">
        <f>R542*U542*INDEX(FmtBlendedPriceIdx,MATCH(F542,FmtName,0))</f>
        <v/>
      </c>
      <c r="W542" s="47">
        <f>T542*INDEX(ProvSRP,MATCH(G542,ProvCode,0))*(1+PriceIndex)</f>
        <v/>
      </c>
      <c r="X542" s="47">
        <f>IF(GrossBasis="Wholesale",V542,W542)</f>
        <v/>
      </c>
      <c r="Y542" s="47">
        <f>R542*INDEX(FmtBlendedCogs,MATCH(F542,FmtName,0))</f>
        <v/>
      </c>
      <c r="Z542" s="47">
        <f>X542-Y542</f>
        <v/>
      </c>
    </row>
    <row r="543">
      <c r="A543" t="n">
        <v>12</v>
      </c>
      <c r="B543" s="44">
        <f>FiscalStart+(A543-1)*7</f>
        <v/>
      </c>
      <c r="C543">
        <f>TEXT(B543,"mmm yyyy")</f>
        <v/>
      </c>
      <c r="D543">
        <f>"Q"&amp;(INT((A543-1)/13)+1)</f>
        <v/>
      </c>
      <c r="E543" t="inlineStr">
        <is>
          <t>On Premise</t>
        </is>
      </c>
      <c r="F543">
        <f>IFERROR(INDEX(ChFormat,MATCH(E543,ChName,0)),"")</f>
        <v/>
      </c>
      <c r="G543" t="inlineStr">
        <is>
          <t>BC</t>
        </is>
      </c>
      <c r="H543">
        <f>IF(A543&lt;=NWeeks,1,0)</f>
        <v/>
      </c>
      <c r="I543">
        <f>INDEX(ChLaunch,MATCH(E543,ChName,0))</f>
        <v/>
      </c>
      <c r="J543">
        <f>INDEX(ChWeeksFull,MATCH(E543,ChName,0))</f>
        <v/>
      </c>
      <c r="K543">
        <f>INDEX(ChRamp,MATCH(E543,ChName,0))</f>
        <v/>
      </c>
      <c r="L543" s="45">
        <f>MIN(1,MAX(0,(A543-I543+1)*RampSpeed/J543))</f>
        <v/>
      </c>
      <c r="M543" s="45">
        <f>IF(A543&lt;I543,0,IF(K543="S-curve",L543*L543*(3-2*L543),L543))</f>
        <v/>
      </c>
      <c r="N543" s="45">
        <f>1+(INDEX(SeasonIdx,A543)-1)*SeasonAmp</f>
        <v/>
      </c>
      <c r="O543" s="45">
        <f>IFERROR(INDEX(PSPct,MATCH(E543&amp;"|"&amp;G543,PSKey,0)),0)</f>
        <v/>
      </c>
      <c r="P543" s="46">
        <f>INDEX(ChDoorVel,MATCH(E543,ChName,0))*CalibScalar*(1+VelocityUplift)</f>
        <v/>
      </c>
      <c r="Q543" s="46" t="n">
        <v>0</v>
      </c>
      <c r="R543" s="46">
        <f>P543*O543*M543*N543*H543</f>
        <v/>
      </c>
      <c r="S543" s="46">
        <f>R543*INDEX(FmtCansPerCase,MATCH(F543,FmtName,0))</f>
        <v/>
      </c>
      <c r="T543" s="46">
        <f>S543/INDEX(FmtCansPerPack,MATCH(F543,FmtName,0))</f>
        <v/>
      </c>
      <c r="U543" s="47">
        <f>INDEX(ChBaseCP,MATCH(E543,ChName,0))*(1+INDEX(ProvMod,MATCH(G543,ProvCode,0)))*(1+PriceIndex)</f>
        <v/>
      </c>
      <c r="V543" s="47">
        <f>R543*U543*INDEX(FmtBlendedPriceIdx,MATCH(F543,FmtName,0))</f>
        <v/>
      </c>
      <c r="W543" s="47">
        <f>T543*INDEX(ProvSRP,MATCH(G543,ProvCode,0))*(1+PriceIndex)</f>
        <v/>
      </c>
      <c r="X543" s="47">
        <f>IF(GrossBasis="Wholesale",V543,W543)</f>
        <v/>
      </c>
      <c r="Y543" s="47">
        <f>R543*INDEX(FmtBlendedCogs,MATCH(F543,FmtName,0))</f>
        <v/>
      </c>
      <c r="Z543" s="47">
        <f>X543-Y543</f>
        <v/>
      </c>
    </row>
    <row r="544">
      <c r="A544" t="n">
        <v>13</v>
      </c>
      <c r="B544" s="44">
        <f>FiscalStart+(A544-1)*7</f>
        <v/>
      </c>
      <c r="C544">
        <f>TEXT(B544,"mmm yyyy")</f>
        <v/>
      </c>
      <c r="D544">
        <f>"Q"&amp;(INT((A544-1)/13)+1)</f>
        <v/>
      </c>
      <c r="E544" t="inlineStr">
        <is>
          <t>On Premise</t>
        </is>
      </c>
      <c r="F544">
        <f>IFERROR(INDEX(ChFormat,MATCH(E544,ChName,0)),"")</f>
        <v/>
      </c>
      <c r="G544" t="inlineStr">
        <is>
          <t>BC</t>
        </is>
      </c>
      <c r="H544">
        <f>IF(A544&lt;=NWeeks,1,0)</f>
        <v/>
      </c>
      <c r="I544">
        <f>INDEX(ChLaunch,MATCH(E544,ChName,0))</f>
        <v/>
      </c>
      <c r="J544">
        <f>INDEX(ChWeeksFull,MATCH(E544,ChName,0))</f>
        <v/>
      </c>
      <c r="K544">
        <f>INDEX(ChRamp,MATCH(E544,ChName,0))</f>
        <v/>
      </c>
      <c r="L544" s="45">
        <f>MIN(1,MAX(0,(A544-I544+1)*RampSpeed/J544))</f>
        <v/>
      </c>
      <c r="M544" s="45">
        <f>IF(A544&lt;I544,0,IF(K544="S-curve",L544*L544*(3-2*L544),L544))</f>
        <v/>
      </c>
      <c r="N544" s="45">
        <f>1+(INDEX(SeasonIdx,A544)-1)*SeasonAmp</f>
        <v/>
      </c>
      <c r="O544" s="45">
        <f>IFERROR(INDEX(PSPct,MATCH(E544&amp;"|"&amp;G544,PSKey,0)),0)</f>
        <v/>
      </c>
      <c r="P544" s="46">
        <f>INDEX(ChDoorVel,MATCH(E544,ChName,0))*CalibScalar*(1+VelocityUplift)</f>
        <v/>
      </c>
      <c r="Q544" s="46" t="n">
        <v>0</v>
      </c>
      <c r="R544" s="46">
        <f>P544*O544*M544*N544*H544</f>
        <v/>
      </c>
      <c r="S544" s="46">
        <f>R544*INDEX(FmtCansPerCase,MATCH(F544,FmtName,0))</f>
        <v/>
      </c>
      <c r="T544" s="46">
        <f>S544/INDEX(FmtCansPerPack,MATCH(F544,FmtName,0))</f>
        <v/>
      </c>
      <c r="U544" s="47">
        <f>INDEX(ChBaseCP,MATCH(E544,ChName,0))*(1+INDEX(ProvMod,MATCH(G544,ProvCode,0)))*(1+PriceIndex)</f>
        <v/>
      </c>
      <c r="V544" s="47">
        <f>R544*U544*INDEX(FmtBlendedPriceIdx,MATCH(F544,FmtName,0))</f>
        <v/>
      </c>
      <c r="W544" s="47">
        <f>T544*INDEX(ProvSRP,MATCH(G544,ProvCode,0))*(1+PriceIndex)</f>
        <v/>
      </c>
      <c r="X544" s="47">
        <f>IF(GrossBasis="Wholesale",V544,W544)</f>
        <v/>
      </c>
      <c r="Y544" s="47">
        <f>R544*INDEX(FmtBlendedCogs,MATCH(F544,FmtName,0))</f>
        <v/>
      </c>
      <c r="Z544" s="47">
        <f>X544-Y544</f>
        <v/>
      </c>
    </row>
    <row r="545">
      <c r="A545" t="n">
        <v>14</v>
      </c>
      <c r="B545" s="44">
        <f>FiscalStart+(A545-1)*7</f>
        <v/>
      </c>
      <c r="C545">
        <f>TEXT(B545,"mmm yyyy")</f>
        <v/>
      </c>
      <c r="D545">
        <f>"Q"&amp;(INT((A545-1)/13)+1)</f>
        <v/>
      </c>
      <c r="E545" t="inlineStr">
        <is>
          <t>On Premise</t>
        </is>
      </c>
      <c r="F545">
        <f>IFERROR(INDEX(ChFormat,MATCH(E545,ChName,0)),"")</f>
        <v/>
      </c>
      <c r="G545" t="inlineStr">
        <is>
          <t>BC</t>
        </is>
      </c>
      <c r="H545">
        <f>IF(A545&lt;=NWeeks,1,0)</f>
        <v/>
      </c>
      <c r="I545">
        <f>INDEX(ChLaunch,MATCH(E545,ChName,0))</f>
        <v/>
      </c>
      <c r="J545">
        <f>INDEX(ChWeeksFull,MATCH(E545,ChName,0))</f>
        <v/>
      </c>
      <c r="K545">
        <f>INDEX(ChRamp,MATCH(E545,ChName,0))</f>
        <v/>
      </c>
      <c r="L545" s="45">
        <f>MIN(1,MAX(0,(A545-I545+1)*RampSpeed/J545))</f>
        <v/>
      </c>
      <c r="M545" s="45">
        <f>IF(A545&lt;I545,0,IF(K545="S-curve",L545*L545*(3-2*L545),L545))</f>
        <v/>
      </c>
      <c r="N545" s="45">
        <f>1+(INDEX(SeasonIdx,A545)-1)*SeasonAmp</f>
        <v/>
      </c>
      <c r="O545" s="45">
        <f>IFERROR(INDEX(PSPct,MATCH(E545&amp;"|"&amp;G545,PSKey,0)),0)</f>
        <v/>
      </c>
      <c r="P545" s="46">
        <f>INDEX(ChDoorVel,MATCH(E545,ChName,0))*CalibScalar*(1+VelocityUplift)</f>
        <v/>
      </c>
      <c r="Q545" s="46" t="n">
        <v>0</v>
      </c>
      <c r="R545" s="46">
        <f>P545*O545*M545*N545*H545</f>
        <v/>
      </c>
      <c r="S545" s="46">
        <f>R545*INDEX(FmtCansPerCase,MATCH(F545,FmtName,0))</f>
        <v/>
      </c>
      <c r="T545" s="46">
        <f>S545/INDEX(FmtCansPerPack,MATCH(F545,FmtName,0))</f>
        <v/>
      </c>
      <c r="U545" s="47">
        <f>INDEX(ChBaseCP,MATCH(E545,ChName,0))*(1+INDEX(ProvMod,MATCH(G545,ProvCode,0)))*(1+PriceIndex)</f>
        <v/>
      </c>
      <c r="V545" s="47">
        <f>R545*U545*INDEX(FmtBlendedPriceIdx,MATCH(F545,FmtName,0))</f>
        <v/>
      </c>
      <c r="W545" s="47">
        <f>T545*INDEX(ProvSRP,MATCH(G545,ProvCode,0))*(1+PriceIndex)</f>
        <v/>
      </c>
      <c r="X545" s="47">
        <f>IF(GrossBasis="Wholesale",V545,W545)</f>
        <v/>
      </c>
      <c r="Y545" s="47">
        <f>R545*INDEX(FmtBlendedCogs,MATCH(F545,FmtName,0))</f>
        <v/>
      </c>
      <c r="Z545" s="47">
        <f>X545-Y545</f>
        <v/>
      </c>
    </row>
    <row r="546">
      <c r="A546" t="n">
        <v>15</v>
      </c>
      <c r="B546" s="44">
        <f>FiscalStart+(A546-1)*7</f>
        <v/>
      </c>
      <c r="C546">
        <f>TEXT(B546,"mmm yyyy")</f>
        <v/>
      </c>
      <c r="D546">
        <f>"Q"&amp;(INT((A546-1)/13)+1)</f>
        <v/>
      </c>
      <c r="E546" t="inlineStr">
        <is>
          <t>On Premise</t>
        </is>
      </c>
      <c r="F546">
        <f>IFERROR(INDEX(ChFormat,MATCH(E546,ChName,0)),"")</f>
        <v/>
      </c>
      <c r="G546" t="inlineStr">
        <is>
          <t>BC</t>
        </is>
      </c>
      <c r="H546">
        <f>IF(A546&lt;=NWeeks,1,0)</f>
        <v/>
      </c>
      <c r="I546">
        <f>INDEX(ChLaunch,MATCH(E546,ChName,0))</f>
        <v/>
      </c>
      <c r="J546">
        <f>INDEX(ChWeeksFull,MATCH(E546,ChName,0))</f>
        <v/>
      </c>
      <c r="K546">
        <f>INDEX(ChRamp,MATCH(E546,ChName,0))</f>
        <v/>
      </c>
      <c r="L546" s="45">
        <f>MIN(1,MAX(0,(A546-I546+1)*RampSpeed/J546))</f>
        <v/>
      </c>
      <c r="M546" s="45">
        <f>IF(A546&lt;I546,0,IF(K546="S-curve",L546*L546*(3-2*L546),L546))</f>
        <v/>
      </c>
      <c r="N546" s="45">
        <f>1+(INDEX(SeasonIdx,A546)-1)*SeasonAmp</f>
        <v/>
      </c>
      <c r="O546" s="45">
        <f>IFERROR(INDEX(PSPct,MATCH(E546&amp;"|"&amp;G546,PSKey,0)),0)</f>
        <v/>
      </c>
      <c r="P546" s="46">
        <f>INDEX(ChDoorVel,MATCH(E546,ChName,0))*CalibScalar*(1+VelocityUplift)</f>
        <v/>
      </c>
      <c r="Q546" s="46" t="n">
        <v>0</v>
      </c>
      <c r="R546" s="46">
        <f>P546*O546*M546*N546*H546</f>
        <v/>
      </c>
      <c r="S546" s="46">
        <f>R546*INDEX(FmtCansPerCase,MATCH(F546,FmtName,0))</f>
        <v/>
      </c>
      <c r="T546" s="46">
        <f>S546/INDEX(FmtCansPerPack,MATCH(F546,FmtName,0))</f>
        <v/>
      </c>
      <c r="U546" s="47">
        <f>INDEX(ChBaseCP,MATCH(E546,ChName,0))*(1+INDEX(ProvMod,MATCH(G546,ProvCode,0)))*(1+PriceIndex)</f>
        <v/>
      </c>
      <c r="V546" s="47">
        <f>R546*U546*INDEX(FmtBlendedPriceIdx,MATCH(F546,FmtName,0))</f>
        <v/>
      </c>
      <c r="W546" s="47">
        <f>T546*INDEX(ProvSRP,MATCH(G546,ProvCode,0))*(1+PriceIndex)</f>
        <v/>
      </c>
      <c r="X546" s="47">
        <f>IF(GrossBasis="Wholesale",V546,W546)</f>
        <v/>
      </c>
      <c r="Y546" s="47">
        <f>R546*INDEX(FmtBlendedCogs,MATCH(F546,FmtName,0))</f>
        <v/>
      </c>
      <c r="Z546" s="47">
        <f>X546-Y546</f>
        <v/>
      </c>
    </row>
    <row r="547">
      <c r="A547" t="n">
        <v>16</v>
      </c>
      <c r="B547" s="44">
        <f>FiscalStart+(A547-1)*7</f>
        <v/>
      </c>
      <c r="C547">
        <f>TEXT(B547,"mmm yyyy")</f>
        <v/>
      </c>
      <c r="D547">
        <f>"Q"&amp;(INT((A547-1)/13)+1)</f>
        <v/>
      </c>
      <c r="E547" t="inlineStr">
        <is>
          <t>On Premise</t>
        </is>
      </c>
      <c r="F547">
        <f>IFERROR(INDEX(ChFormat,MATCH(E547,ChName,0)),"")</f>
        <v/>
      </c>
      <c r="G547" t="inlineStr">
        <is>
          <t>BC</t>
        </is>
      </c>
      <c r="H547">
        <f>IF(A547&lt;=NWeeks,1,0)</f>
        <v/>
      </c>
      <c r="I547">
        <f>INDEX(ChLaunch,MATCH(E547,ChName,0))</f>
        <v/>
      </c>
      <c r="J547">
        <f>INDEX(ChWeeksFull,MATCH(E547,ChName,0))</f>
        <v/>
      </c>
      <c r="K547">
        <f>INDEX(ChRamp,MATCH(E547,ChName,0))</f>
        <v/>
      </c>
      <c r="L547" s="45">
        <f>MIN(1,MAX(0,(A547-I547+1)*RampSpeed/J547))</f>
        <v/>
      </c>
      <c r="M547" s="45">
        <f>IF(A547&lt;I547,0,IF(K547="S-curve",L547*L547*(3-2*L547),L547))</f>
        <v/>
      </c>
      <c r="N547" s="45">
        <f>1+(INDEX(SeasonIdx,A547)-1)*SeasonAmp</f>
        <v/>
      </c>
      <c r="O547" s="45">
        <f>IFERROR(INDEX(PSPct,MATCH(E547&amp;"|"&amp;G547,PSKey,0)),0)</f>
        <v/>
      </c>
      <c r="P547" s="46">
        <f>INDEX(ChDoorVel,MATCH(E547,ChName,0))*CalibScalar*(1+VelocityUplift)</f>
        <v/>
      </c>
      <c r="Q547" s="46" t="n">
        <v>0</v>
      </c>
      <c r="R547" s="46">
        <f>P547*O547*M547*N547*H547</f>
        <v/>
      </c>
      <c r="S547" s="46">
        <f>R547*INDEX(FmtCansPerCase,MATCH(F547,FmtName,0))</f>
        <v/>
      </c>
      <c r="T547" s="46">
        <f>S547/INDEX(FmtCansPerPack,MATCH(F547,FmtName,0))</f>
        <v/>
      </c>
      <c r="U547" s="47">
        <f>INDEX(ChBaseCP,MATCH(E547,ChName,0))*(1+INDEX(ProvMod,MATCH(G547,ProvCode,0)))*(1+PriceIndex)</f>
        <v/>
      </c>
      <c r="V547" s="47">
        <f>R547*U547*INDEX(FmtBlendedPriceIdx,MATCH(F547,FmtName,0))</f>
        <v/>
      </c>
      <c r="W547" s="47">
        <f>T547*INDEX(ProvSRP,MATCH(G547,ProvCode,0))*(1+PriceIndex)</f>
        <v/>
      </c>
      <c r="X547" s="47">
        <f>IF(GrossBasis="Wholesale",V547,W547)</f>
        <v/>
      </c>
      <c r="Y547" s="47">
        <f>R547*INDEX(FmtBlendedCogs,MATCH(F547,FmtName,0))</f>
        <v/>
      </c>
      <c r="Z547" s="47">
        <f>X547-Y547</f>
        <v/>
      </c>
    </row>
    <row r="548">
      <c r="A548" t="n">
        <v>17</v>
      </c>
      <c r="B548" s="44">
        <f>FiscalStart+(A548-1)*7</f>
        <v/>
      </c>
      <c r="C548">
        <f>TEXT(B548,"mmm yyyy")</f>
        <v/>
      </c>
      <c r="D548">
        <f>"Q"&amp;(INT((A548-1)/13)+1)</f>
        <v/>
      </c>
      <c r="E548" t="inlineStr">
        <is>
          <t>On Premise</t>
        </is>
      </c>
      <c r="F548">
        <f>IFERROR(INDEX(ChFormat,MATCH(E548,ChName,0)),"")</f>
        <v/>
      </c>
      <c r="G548" t="inlineStr">
        <is>
          <t>BC</t>
        </is>
      </c>
      <c r="H548">
        <f>IF(A548&lt;=NWeeks,1,0)</f>
        <v/>
      </c>
      <c r="I548">
        <f>INDEX(ChLaunch,MATCH(E548,ChName,0))</f>
        <v/>
      </c>
      <c r="J548">
        <f>INDEX(ChWeeksFull,MATCH(E548,ChName,0))</f>
        <v/>
      </c>
      <c r="K548">
        <f>INDEX(ChRamp,MATCH(E548,ChName,0))</f>
        <v/>
      </c>
      <c r="L548" s="45">
        <f>MIN(1,MAX(0,(A548-I548+1)*RampSpeed/J548))</f>
        <v/>
      </c>
      <c r="M548" s="45">
        <f>IF(A548&lt;I548,0,IF(K548="S-curve",L548*L548*(3-2*L548),L548))</f>
        <v/>
      </c>
      <c r="N548" s="45">
        <f>1+(INDEX(SeasonIdx,A548)-1)*SeasonAmp</f>
        <v/>
      </c>
      <c r="O548" s="45">
        <f>IFERROR(INDEX(PSPct,MATCH(E548&amp;"|"&amp;G548,PSKey,0)),0)</f>
        <v/>
      </c>
      <c r="P548" s="46">
        <f>INDEX(ChDoorVel,MATCH(E548,ChName,0))*CalibScalar*(1+VelocityUplift)</f>
        <v/>
      </c>
      <c r="Q548" s="46" t="n">
        <v>0</v>
      </c>
      <c r="R548" s="46">
        <f>P548*O548*M548*N548*H548</f>
        <v/>
      </c>
      <c r="S548" s="46">
        <f>R548*INDEX(FmtCansPerCase,MATCH(F548,FmtName,0))</f>
        <v/>
      </c>
      <c r="T548" s="46">
        <f>S548/INDEX(FmtCansPerPack,MATCH(F548,FmtName,0))</f>
        <v/>
      </c>
      <c r="U548" s="47">
        <f>INDEX(ChBaseCP,MATCH(E548,ChName,0))*(1+INDEX(ProvMod,MATCH(G548,ProvCode,0)))*(1+PriceIndex)</f>
        <v/>
      </c>
      <c r="V548" s="47">
        <f>R548*U548*INDEX(FmtBlendedPriceIdx,MATCH(F548,FmtName,0))</f>
        <v/>
      </c>
      <c r="W548" s="47">
        <f>T548*INDEX(ProvSRP,MATCH(G548,ProvCode,0))*(1+PriceIndex)</f>
        <v/>
      </c>
      <c r="X548" s="47">
        <f>IF(GrossBasis="Wholesale",V548,W548)</f>
        <v/>
      </c>
      <c r="Y548" s="47">
        <f>R548*INDEX(FmtBlendedCogs,MATCH(F548,FmtName,0))</f>
        <v/>
      </c>
      <c r="Z548" s="47">
        <f>X548-Y548</f>
        <v/>
      </c>
    </row>
    <row r="549">
      <c r="A549" t="n">
        <v>18</v>
      </c>
      <c r="B549" s="44">
        <f>FiscalStart+(A549-1)*7</f>
        <v/>
      </c>
      <c r="C549">
        <f>TEXT(B549,"mmm yyyy")</f>
        <v/>
      </c>
      <c r="D549">
        <f>"Q"&amp;(INT((A549-1)/13)+1)</f>
        <v/>
      </c>
      <c r="E549" t="inlineStr">
        <is>
          <t>On Premise</t>
        </is>
      </c>
      <c r="F549">
        <f>IFERROR(INDEX(ChFormat,MATCH(E549,ChName,0)),"")</f>
        <v/>
      </c>
      <c r="G549" t="inlineStr">
        <is>
          <t>BC</t>
        </is>
      </c>
      <c r="H549">
        <f>IF(A549&lt;=NWeeks,1,0)</f>
        <v/>
      </c>
      <c r="I549">
        <f>INDEX(ChLaunch,MATCH(E549,ChName,0))</f>
        <v/>
      </c>
      <c r="J549">
        <f>INDEX(ChWeeksFull,MATCH(E549,ChName,0))</f>
        <v/>
      </c>
      <c r="K549">
        <f>INDEX(ChRamp,MATCH(E549,ChName,0))</f>
        <v/>
      </c>
      <c r="L549" s="45">
        <f>MIN(1,MAX(0,(A549-I549+1)*RampSpeed/J549))</f>
        <v/>
      </c>
      <c r="M549" s="45">
        <f>IF(A549&lt;I549,0,IF(K549="S-curve",L549*L549*(3-2*L549),L549))</f>
        <v/>
      </c>
      <c r="N549" s="45">
        <f>1+(INDEX(SeasonIdx,A549)-1)*SeasonAmp</f>
        <v/>
      </c>
      <c r="O549" s="45">
        <f>IFERROR(INDEX(PSPct,MATCH(E549&amp;"|"&amp;G549,PSKey,0)),0)</f>
        <v/>
      </c>
      <c r="P549" s="46">
        <f>INDEX(ChDoorVel,MATCH(E549,ChName,0))*CalibScalar*(1+VelocityUplift)</f>
        <v/>
      </c>
      <c r="Q549" s="46" t="n">
        <v>0</v>
      </c>
      <c r="R549" s="46">
        <f>P549*O549*M549*N549*H549</f>
        <v/>
      </c>
      <c r="S549" s="46">
        <f>R549*INDEX(FmtCansPerCase,MATCH(F549,FmtName,0))</f>
        <v/>
      </c>
      <c r="T549" s="46">
        <f>S549/INDEX(FmtCansPerPack,MATCH(F549,FmtName,0))</f>
        <v/>
      </c>
      <c r="U549" s="47">
        <f>INDEX(ChBaseCP,MATCH(E549,ChName,0))*(1+INDEX(ProvMod,MATCH(G549,ProvCode,0)))*(1+PriceIndex)</f>
        <v/>
      </c>
      <c r="V549" s="47">
        <f>R549*U549*INDEX(FmtBlendedPriceIdx,MATCH(F549,FmtName,0))</f>
        <v/>
      </c>
      <c r="W549" s="47">
        <f>T549*INDEX(ProvSRP,MATCH(G549,ProvCode,0))*(1+PriceIndex)</f>
        <v/>
      </c>
      <c r="X549" s="47">
        <f>IF(GrossBasis="Wholesale",V549,W549)</f>
        <v/>
      </c>
      <c r="Y549" s="47">
        <f>R549*INDEX(FmtBlendedCogs,MATCH(F549,FmtName,0))</f>
        <v/>
      </c>
      <c r="Z549" s="47">
        <f>X549-Y549</f>
        <v/>
      </c>
    </row>
    <row r="550">
      <c r="A550" t="n">
        <v>19</v>
      </c>
      <c r="B550" s="44">
        <f>FiscalStart+(A550-1)*7</f>
        <v/>
      </c>
      <c r="C550">
        <f>TEXT(B550,"mmm yyyy")</f>
        <v/>
      </c>
      <c r="D550">
        <f>"Q"&amp;(INT((A550-1)/13)+1)</f>
        <v/>
      </c>
      <c r="E550" t="inlineStr">
        <is>
          <t>On Premise</t>
        </is>
      </c>
      <c r="F550">
        <f>IFERROR(INDEX(ChFormat,MATCH(E550,ChName,0)),"")</f>
        <v/>
      </c>
      <c r="G550" t="inlineStr">
        <is>
          <t>BC</t>
        </is>
      </c>
      <c r="H550">
        <f>IF(A550&lt;=NWeeks,1,0)</f>
        <v/>
      </c>
      <c r="I550">
        <f>INDEX(ChLaunch,MATCH(E550,ChName,0))</f>
        <v/>
      </c>
      <c r="J550">
        <f>INDEX(ChWeeksFull,MATCH(E550,ChName,0))</f>
        <v/>
      </c>
      <c r="K550">
        <f>INDEX(ChRamp,MATCH(E550,ChName,0))</f>
        <v/>
      </c>
      <c r="L550" s="45">
        <f>MIN(1,MAX(0,(A550-I550+1)*RampSpeed/J550))</f>
        <v/>
      </c>
      <c r="M550" s="45">
        <f>IF(A550&lt;I550,0,IF(K550="S-curve",L550*L550*(3-2*L550),L550))</f>
        <v/>
      </c>
      <c r="N550" s="45">
        <f>1+(INDEX(SeasonIdx,A550)-1)*SeasonAmp</f>
        <v/>
      </c>
      <c r="O550" s="45">
        <f>IFERROR(INDEX(PSPct,MATCH(E550&amp;"|"&amp;G550,PSKey,0)),0)</f>
        <v/>
      </c>
      <c r="P550" s="46">
        <f>INDEX(ChDoorVel,MATCH(E550,ChName,0))*CalibScalar*(1+VelocityUplift)</f>
        <v/>
      </c>
      <c r="Q550" s="46" t="n">
        <v>0</v>
      </c>
      <c r="R550" s="46">
        <f>P550*O550*M550*N550*H550</f>
        <v/>
      </c>
      <c r="S550" s="46">
        <f>R550*INDEX(FmtCansPerCase,MATCH(F550,FmtName,0))</f>
        <v/>
      </c>
      <c r="T550" s="46">
        <f>S550/INDEX(FmtCansPerPack,MATCH(F550,FmtName,0))</f>
        <v/>
      </c>
      <c r="U550" s="47">
        <f>INDEX(ChBaseCP,MATCH(E550,ChName,0))*(1+INDEX(ProvMod,MATCH(G550,ProvCode,0)))*(1+PriceIndex)</f>
        <v/>
      </c>
      <c r="V550" s="47">
        <f>R550*U550*INDEX(FmtBlendedPriceIdx,MATCH(F550,FmtName,0))</f>
        <v/>
      </c>
      <c r="W550" s="47">
        <f>T550*INDEX(ProvSRP,MATCH(G550,ProvCode,0))*(1+PriceIndex)</f>
        <v/>
      </c>
      <c r="X550" s="47">
        <f>IF(GrossBasis="Wholesale",V550,W550)</f>
        <v/>
      </c>
      <c r="Y550" s="47">
        <f>R550*INDEX(FmtBlendedCogs,MATCH(F550,FmtName,0))</f>
        <v/>
      </c>
      <c r="Z550" s="47">
        <f>X550-Y550</f>
        <v/>
      </c>
    </row>
    <row r="551">
      <c r="A551" t="n">
        <v>20</v>
      </c>
      <c r="B551" s="44">
        <f>FiscalStart+(A551-1)*7</f>
        <v/>
      </c>
      <c r="C551">
        <f>TEXT(B551,"mmm yyyy")</f>
        <v/>
      </c>
      <c r="D551">
        <f>"Q"&amp;(INT((A551-1)/13)+1)</f>
        <v/>
      </c>
      <c r="E551" t="inlineStr">
        <is>
          <t>On Premise</t>
        </is>
      </c>
      <c r="F551">
        <f>IFERROR(INDEX(ChFormat,MATCH(E551,ChName,0)),"")</f>
        <v/>
      </c>
      <c r="G551" t="inlineStr">
        <is>
          <t>BC</t>
        </is>
      </c>
      <c r="H551">
        <f>IF(A551&lt;=NWeeks,1,0)</f>
        <v/>
      </c>
      <c r="I551">
        <f>INDEX(ChLaunch,MATCH(E551,ChName,0))</f>
        <v/>
      </c>
      <c r="J551">
        <f>INDEX(ChWeeksFull,MATCH(E551,ChName,0))</f>
        <v/>
      </c>
      <c r="K551">
        <f>INDEX(ChRamp,MATCH(E551,ChName,0))</f>
        <v/>
      </c>
      <c r="L551" s="45">
        <f>MIN(1,MAX(0,(A551-I551+1)*RampSpeed/J551))</f>
        <v/>
      </c>
      <c r="M551" s="45">
        <f>IF(A551&lt;I551,0,IF(K551="S-curve",L551*L551*(3-2*L551),L551))</f>
        <v/>
      </c>
      <c r="N551" s="45">
        <f>1+(INDEX(SeasonIdx,A551)-1)*SeasonAmp</f>
        <v/>
      </c>
      <c r="O551" s="45">
        <f>IFERROR(INDEX(PSPct,MATCH(E551&amp;"|"&amp;G551,PSKey,0)),0)</f>
        <v/>
      </c>
      <c r="P551" s="46">
        <f>INDEX(ChDoorVel,MATCH(E551,ChName,0))*CalibScalar*(1+VelocityUplift)</f>
        <v/>
      </c>
      <c r="Q551" s="46" t="n">
        <v>0</v>
      </c>
      <c r="R551" s="46">
        <f>P551*O551*M551*N551*H551</f>
        <v/>
      </c>
      <c r="S551" s="46">
        <f>R551*INDEX(FmtCansPerCase,MATCH(F551,FmtName,0))</f>
        <v/>
      </c>
      <c r="T551" s="46">
        <f>S551/INDEX(FmtCansPerPack,MATCH(F551,FmtName,0))</f>
        <v/>
      </c>
      <c r="U551" s="47">
        <f>INDEX(ChBaseCP,MATCH(E551,ChName,0))*(1+INDEX(ProvMod,MATCH(G551,ProvCode,0)))*(1+PriceIndex)</f>
        <v/>
      </c>
      <c r="V551" s="47">
        <f>R551*U551*INDEX(FmtBlendedPriceIdx,MATCH(F551,FmtName,0))</f>
        <v/>
      </c>
      <c r="W551" s="47">
        <f>T551*INDEX(ProvSRP,MATCH(G551,ProvCode,0))*(1+PriceIndex)</f>
        <v/>
      </c>
      <c r="X551" s="47">
        <f>IF(GrossBasis="Wholesale",V551,W551)</f>
        <v/>
      </c>
      <c r="Y551" s="47">
        <f>R551*INDEX(FmtBlendedCogs,MATCH(F551,FmtName,0))</f>
        <v/>
      </c>
      <c r="Z551" s="47">
        <f>X551-Y551</f>
        <v/>
      </c>
    </row>
    <row r="552">
      <c r="A552" t="n">
        <v>21</v>
      </c>
      <c r="B552" s="44">
        <f>FiscalStart+(A552-1)*7</f>
        <v/>
      </c>
      <c r="C552">
        <f>TEXT(B552,"mmm yyyy")</f>
        <v/>
      </c>
      <c r="D552">
        <f>"Q"&amp;(INT((A552-1)/13)+1)</f>
        <v/>
      </c>
      <c r="E552" t="inlineStr">
        <is>
          <t>On Premise</t>
        </is>
      </c>
      <c r="F552">
        <f>IFERROR(INDEX(ChFormat,MATCH(E552,ChName,0)),"")</f>
        <v/>
      </c>
      <c r="G552" t="inlineStr">
        <is>
          <t>BC</t>
        </is>
      </c>
      <c r="H552">
        <f>IF(A552&lt;=NWeeks,1,0)</f>
        <v/>
      </c>
      <c r="I552">
        <f>INDEX(ChLaunch,MATCH(E552,ChName,0))</f>
        <v/>
      </c>
      <c r="J552">
        <f>INDEX(ChWeeksFull,MATCH(E552,ChName,0))</f>
        <v/>
      </c>
      <c r="K552">
        <f>INDEX(ChRamp,MATCH(E552,ChName,0))</f>
        <v/>
      </c>
      <c r="L552" s="45">
        <f>MIN(1,MAX(0,(A552-I552+1)*RampSpeed/J552))</f>
        <v/>
      </c>
      <c r="M552" s="45">
        <f>IF(A552&lt;I552,0,IF(K552="S-curve",L552*L552*(3-2*L552),L552))</f>
        <v/>
      </c>
      <c r="N552" s="45">
        <f>1+(INDEX(SeasonIdx,A552)-1)*SeasonAmp</f>
        <v/>
      </c>
      <c r="O552" s="45">
        <f>IFERROR(INDEX(PSPct,MATCH(E552&amp;"|"&amp;G552,PSKey,0)),0)</f>
        <v/>
      </c>
      <c r="P552" s="46">
        <f>INDEX(ChDoorVel,MATCH(E552,ChName,0))*CalibScalar*(1+VelocityUplift)</f>
        <v/>
      </c>
      <c r="Q552" s="46" t="n">
        <v>0</v>
      </c>
      <c r="R552" s="46">
        <f>P552*O552*M552*N552*H552</f>
        <v/>
      </c>
      <c r="S552" s="46">
        <f>R552*INDEX(FmtCansPerCase,MATCH(F552,FmtName,0))</f>
        <v/>
      </c>
      <c r="T552" s="46">
        <f>S552/INDEX(FmtCansPerPack,MATCH(F552,FmtName,0))</f>
        <v/>
      </c>
      <c r="U552" s="47">
        <f>INDEX(ChBaseCP,MATCH(E552,ChName,0))*(1+INDEX(ProvMod,MATCH(G552,ProvCode,0)))*(1+PriceIndex)</f>
        <v/>
      </c>
      <c r="V552" s="47">
        <f>R552*U552*INDEX(FmtBlendedPriceIdx,MATCH(F552,FmtName,0))</f>
        <v/>
      </c>
      <c r="W552" s="47">
        <f>T552*INDEX(ProvSRP,MATCH(G552,ProvCode,0))*(1+PriceIndex)</f>
        <v/>
      </c>
      <c r="X552" s="47">
        <f>IF(GrossBasis="Wholesale",V552,W552)</f>
        <v/>
      </c>
      <c r="Y552" s="47">
        <f>R552*INDEX(FmtBlendedCogs,MATCH(F552,FmtName,0))</f>
        <v/>
      </c>
      <c r="Z552" s="47">
        <f>X552-Y552</f>
        <v/>
      </c>
    </row>
    <row r="553">
      <c r="A553" t="n">
        <v>22</v>
      </c>
      <c r="B553" s="44">
        <f>FiscalStart+(A553-1)*7</f>
        <v/>
      </c>
      <c r="C553">
        <f>TEXT(B553,"mmm yyyy")</f>
        <v/>
      </c>
      <c r="D553">
        <f>"Q"&amp;(INT((A553-1)/13)+1)</f>
        <v/>
      </c>
      <c r="E553" t="inlineStr">
        <is>
          <t>On Premise</t>
        </is>
      </c>
      <c r="F553">
        <f>IFERROR(INDEX(ChFormat,MATCH(E553,ChName,0)),"")</f>
        <v/>
      </c>
      <c r="G553" t="inlineStr">
        <is>
          <t>BC</t>
        </is>
      </c>
      <c r="H553">
        <f>IF(A553&lt;=NWeeks,1,0)</f>
        <v/>
      </c>
      <c r="I553">
        <f>INDEX(ChLaunch,MATCH(E553,ChName,0))</f>
        <v/>
      </c>
      <c r="J553">
        <f>INDEX(ChWeeksFull,MATCH(E553,ChName,0))</f>
        <v/>
      </c>
      <c r="K553">
        <f>INDEX(ChRamp,MATCH(E553,ChName,0))</f>
        <v/>
      </c>
      <c r="L553" s="45">
        <f>MIN(1,MAX(0,(A553-I553+1)*RampSpeed/J553))</f>
        <v/>
      </c>
      <c r="M553" s="45">
        <f>IF(A553&lt;I553,0,IF(K553="S-curve",L553*L553*(3-2*L553),L553))</f>
        <v/>
      </c>
      <c r="N553" s="45">
        <f>1+(INDEX(SeasonIdx,A553)-1)*SeasonAmp</f>
        <v/>
      </c>
      <c r="O553" s="45">
        <f>IFERROR(INDEX(PSPct,MATCH(E553&amp;"|"&amp;G553,PSKey,0)),0)</f>
        <v/>
      </c>
      <c r="P553" s="46">
        <f>INDEX(ChDoorVel,MATCH(E553,ChName,0))*CalibScalar*(1+VelocityUplift)</f>
        <v/>
      </c>
      <c r="Q553" s="46" t="n">
        <v>0</v>
      </c>
      <c r="R553" s="46">
        <f>P553*O553*M553*N553*H553</f>
        <v/>
      </c>
      <c r="S553" s="46">
        <f>R553*INDEX(FmtCansPerCase,MATCH(F553,FmtName,0))</f>
        <v/>
      </c>
      <c r="T553" s="46">
        <f>S553/INDEX(FmtCansPerPack,MATCH(F553,FmtName,0))</f>
        <v/>
      </c>
      <c r="U553" s="47">
        <f>INDEX(ChBaseCP,MATCH(E553,ChName,0))*(1+INDEX(ProvMod,MATCH(G553,ProvCode,0)))*(1+PriceIndex)</f>
        <v/>
      </c>
      <c r="V553" s="47">
        <f>R553*U553*INDEX(FmtBlendedPriceIdx,MATCH(F553,FmtName,0))</f>
        <v/>
      </c>
      <c r="W553" s="47">
        <f>T553*INDEX(ProvSRP,MATCH(G553,ProvCode,0))*(1+PriceIndex)</f>
        <v/>
      </c>
      <c r="X553" s="47">
        <f>IF(GrossBasis="Wholesale",V553,W553)</f>
        <v/>
      </c>
      <c r="Y553" s="47">
        <f>R553*INDEX(FmtBlendedCogs,MATCH(F553,FmtName,0))</f>
        <v/>
      </c>
      <c r="Z553" s="47">
        <f>X553-Y553</f>
        <v/>
      </c>
    </row>
    <row r="554">
      <c r="A554" t="n">
        <v>23</v>
      </c>
      <c r="B554" s="44">
        <f>FiscalStart+(A554-1)*7</f>
        <v/>
      </c>
      <c r="C554">
        <f>TEXT(B554,"mmm yyyy")</f>
        <v/>
      </c>
      <c r="D554">
        <f>"Q"&amp;(INT((A554-1)/13)+1)</f>
        <v/>
      </c>
      <c r="E554" t="inlineStr">
        <is>
          <t>On Premise</t>
        </is>
      </c>
      <c r="F554">
        <f>IFERROR(INDEX(ChFormat,MATCH(E554,ChName,0)),"")</f>
        <v/>
      </c>
      <c r="G554" t="inlineStr">
        <is>
          <t>BC</t>
        </is>
      </c>
      <c r="H554">
        <f>IF(A554&lt;=NWeeks,1,0)</f>
        <v/>
      </c>
      <c r="I554">
        <f>INDEX(ChLaunch,MATCH(E554,ChName,0))</f>
        <v/>
      </c>
      <c r="J554">
        <f>INDEX(ChWeeksFull,MATCH(E554,ChName,0))</f>
        <v/>
      </c>
      <c r="K554">
        <f>INDEX(ChRamp,MATCH(E554,ChName,0))</f>
        <v/>
      </c>
      <c r="L554" s="45">
        <f>MIN(1,MAX(0,(A554-I554+1)*RampSpeed/J554))</f>
        <v/>
      </c>
      <c r="M554" s="45">
        <f>IF(A554&lt;I554,0,IF(K554="S-curve",L554*L554*(3-2*L554),L554))</f>
        <v/>
      </c>
      <c r="N554" s="45">
        <f>1+(INDEX(SeasonIdx,A554)-1)*SeasonAmp</f>
        <v/>
      </c>
      <c r="O554" s="45">
        <f>IFERROR(INDEX(PSPct,MATCH(E554&amp;"|"&amp;G554,PSKey,0)),0)</f>
        <v/>
      </c>
      <c r="P554" s="46">
        <f>INDEX(ChDoorVel,MATCH(E554,ChName,0))*CalibScalar*(1+VelocityUplift)</f>
        <v/>
      </c>
      <c r="Q554" s="46" t="n">
        <v>0</v>
      </c>
      <c r="R554" s="46">
        <f>P554*O554*M554*N554*H554</f>
        <v/>
      </c>
      <c r="S554" s="46">
        <f>R554*INDEX(FmtCansPerCase,MATCH(F554,FmtName,0))</f>
        <v/>
      </c>
      <c r="T554" s="46">
        <f>S554/INDEX(FmtCansPerPack,MATCH(F554,FmtName,0))</f>
        <v/>
      </c>
      <c r="U554" s="47">
        <f>INDEX(ChBaseCP,MATCH(E554,ChName,0))*(1+INDEX(ProvMod,MATCH(G554,ProvCode,0)))*(1+PriceIndex)</f>
        <v/>
      </c>
      <c r="V554" s="47">
        <f>R554*U554*INDEX(FmtBlendedPriceIdx,MATCH(F554,FmtName,0))</f>
        <v/>
      </c>
      <c r="W554" s="47">
        <f>T554*INDEX(ProvSRP,MATCH(G554,ProvCode,0))*(1+PriceIndex)</f>
        <v/>
      </c>
      <c r="X554" s="47">
        <f>IF(GrossBasis="Wholesale",V554,W554)</f>
        <v/>
      </c>
      <c r="Y554" s="47">
        <f>R554*INDEX(FmtBlendedCogs,MATCH(F554,FmtName,0))</f>
        <v/>
      </c>
      <c r="Z554" s="47">
        <f>X554-Y554</f>
        <v/>
      </c>
    </row>
    <row r="555">
      <c r="A555" t="n">
        <v>24</v>
      </c>
      <c r="B555" s="44">
        <f>FiscalStart+(A555-1)*7</f>
        <v/>
      </c>
      <c r="C555">
        <f>TEXT(B555,"mmm yyyy")</f>
        <v/>
      </c>
      <c r="D555">
        <f>"Q"&amp;(INT((A555-1)/13)+1)</f>
        <v/>
      </c>
      <c r="E555" t="inlineStr">
        <is>
          <t>On Premise</t>
        </is>
      </c>
      <c r="F555">
        <f>IFERROR(INDEX(ChFormat,MATCH(E555,ChName,0)),"")</f>
        <v/>
      </c>
      <c r="G555" t="inlineStr">
        <is>
          <t>BC</t>
        </is>
      </c>
      <c r="H555">
        <f>IF(A555&lt;=NWeeks,1,0)</f>
        <v/>
      </c>
      <c r="I555">
        <f>INDEX(ChLaunch,MATCH(E555,ChName,0))</f>
        <v/>
      </c>
      <c r="J555">
        <f>INDEX(ChWeeksFull,MATCH(E555,ChName,0))</f>
        <v/>
      </c>
      <c r="K555">
        <f>INDEX(ChRamp,MATCH(E555,ChName,0))</f>
        <v/>
      </c>
      <c r="L555" s="45">
        <f>MIN(1,MAX(0,(A555-I555+1)*RampSpeed/J555))</f>
        <v/>
      </c>
      <c r="M555" s="45">
        <f>IF(A555&lt;I555,0,IF(K555="S-curve",L555*L555*(3-2*L555),L555))</f>
        <v/>
      </c>
      <c r="N555" s="45">
        <f>1+(INDEX(SeasonIdx,A555)-1)*SeasonAmp</f>
        <v/>
      </c>
      <c r="O555" s="45">
        <f>IFERROR(INDEX(PSPct,MATCH(E555&amp;"|"&amp;G555,PSKey,0)),0)</f>
        <v/>
      </c>
      <c r="P555" s="46">
        <f>INDEX(ChDoorVel,MATCH(E555,ChName,0))*CalibScalar*(1+VelocityUplift)</f>
        <v/>
      </c>
      <c r="Q555" s="46" t="n">
        <v>0</v>
      </c>
      <c r="R555" s="46">
        <f>P555*O555*M555*N555*H555</f>
        <v/>
      </c>
      <c r="S555" s="46">
        <f>R555*INDEX(FmtCansPerCase,MATCH(F555,FmtName,0))</f>
        <v/>
      </c>
      <c r="T555" s="46">
        <f>S555/INDEX(FmtCansPerPack,MATCH(F555,FmtName,0))</f>
        <v/>
      </c>
      <c r="U555" s="47">
        <f>INDEX(ChBaseCP,MATCH(E555,ChName,0))*(1+INDEX(ProvMod,MATCH(G555,ProvCode,0)))*(1+PriceIndex)</f>
        <v/>
      </c>
      <c r="V555" s="47">
        <f>R555*U555*INDEX(FmtBlendedPriceIdx,MATCH(F555,FmtName,0))</f>
        <v/>
      </c>
      <c r="W555" s="47">
        <f>T555*INDEX(ProvSRP,MATCH(G555,ProvCode,0))*(1+PriceIndex)</f>
        <v/>
      </c>
      <c r="X555" s="47">
        <f>IF(GrossBasis="Wholesale",V555,W555)</f>
        <v/>
      </c>
      <c r="Y555" s="47">
        <f>R555*INDEX(FmtBlendedCogs,MATCH(F555,FmtName,0))</f>
        <v/>
      </c>
      <c r="Z555" s="47">
        <f>X555-Y555</f>
        <v/>
      </c>
    </row>
    <row r="556">
      <c r="A556" t="n">
        <v>25</v>
      </c>
      <c r="B556" s="44">
        <f>FiscalStart+(A556-1)*7</f>
        <v/>
      </c>
      <c r="C556">
        <f>TEXT(B556,"mmm yyyy")</f>
        <v/>
      </c>
      <c r="D556">
        <f>"Q"&amp;(INT((A556-1)/13)+1)</f>
        <v/>
      </c>
      <c r="E556" t="inlineStr">
        <is>
          <t>On Premise</t>
        </is>
      </c>
      <c r="F556">
        <f>IFERROR(INDEX(ChFormat,MATCH(E556,ChName,0)),"")</f>
        <v/>
      </c>
      <c r="G556" t="inlineStr">
        <is>
          <t>BC</t>
        </is>
      </c>
      <c r="H556">
        <f>IF(A556&lt;=NWeeks,1,0)</f>
        <v/>
      </c>
      <c r="I556">
        <f>INDEX(ChLaunch,MATCH(E556,ChName,0))</f>
        <v/>
      </c>
      <c r="J556">
        <f>INDEX(ChWeeksFull,MATCH(E556,ChName,0))</f>
        <v/>
      </c>
      <c r="K556">
        <f>INDEX(ChRamp,MATCH(E556,ChName,0))</f>
        <v/>
      </c>
      <c r="L556" s="45">
        <f>MIN(1,MAX(0,(A556-I556+1)*RampSpeed/J556))</f>
        <v/>
      </c>
      <c r="M556" s="45">
        <f>IF(A556&lt;I556,0,IF(K556="S-curve",L556*L556*(3-2*L556),L556))</f>
        <v/>
      </c>
      <c r="N556" s="45">
        <f>1+(INDEX(SeasonIdx,A556)-1)*SeasonAmp</f>
        <v/>
      </c>
      <c r="O556" s="45">
        <f>IFERROR(INDEX(PSPct,MATCH(E556&amp;"|"&amp;G556,PSKey,0)),0)</f>
        <v/>
      </c>
      <c r="P556" s="46">
        <f>INDEX(ChDoorVel,MATCH(E556,ChName,0))*CalibScalar*(1+VelocityUplift)</f>
        <v/>
      </c>
      <c r="Q556" s="46" t="n">
        <v>0</v>
      </c>
      <c r="R556" s="46">
        <f>P556*O556*M556*N556*H556</f>
        <v/>
      </c>
      <c r="S556" s="46">
        <f>R556*INDEX(FmtCansPerCase,MATCH(F556,FmtName,0))</f>
        <v/>
      </c>
      <c r="T556" s="46">
        <f>S556/INDEX(FmtCansPerPack,MATCH(F556,FmtName,0))</f>
        <v/>
      </c>
      <c r="U556" s="47">
        <f>INDEX(ChBaseCP,MATCH(E556,ChName,0))*(1+INDEX(ProvMod,MATCH(G556,ProvCode,0)))*(1+PriceIndex)</f>
        <v/>
      </c>
      <c r="V556" s="47">
        <f>R556*U556*INDEX(FmtBlendedPriceIdx,MATCH(F556,FmtName,0))</f>
        <v/>
      </c>
      <c r="W556" s="47">
        <f>T556*INDEX(ProvSRP,MATCH(G556,ProvCode,0))*(1+PriceIndex)</f>
        <v/>
      </c>
      <c r="X556" s="47">
        <f>IF(GrossBasis="Wholesale",V556,W556)</f>
        <v/>
      </c>
      <c r="Y556" s="47">
        <f>R556*INDEX(FmtBlendedCogs,MATCH(F556,FmtName,0))</f>
        <v/>
      </c>
      <c r="Z556" s="47">
        <f>X556-Y556</f>
        <v/>
      </c>
    </row>
    <row r="557">
      <c r="A557" t="n">
        <v>26</v>
      </c>
      <c r="B557" s="44">
        <f>FiscalStart+(A557-1)*7</f>
        <v/>
      </c>
      <c r="C557">
        <f>TEXT(B557,"mmm yyyy")</f>
        <v/>
      </c>
      <c r="D557">
        <f>"Q"&amp;(INT((A557-1)/13)+1)</f>
        <v/>
      </c>
      <c r="E557" t="inlineStr">
        <is>
          <t>On Premise</t>
        </is>
      </c>
      <c r="F557">
        <f>IFERROR(INDEX(ChFormat,MATCH(E557,ChName,0)),"")</f>
        <v/>
      </c>
      <c r="G557" t="inlineStr">
        <is>
          <t>BC</t>
        </is>
      </c>
      <c r="H557">
        <f>IF(A557&lt;=NWeeks,1,0)</f>
        <v/>
      </c>
      <c r="I557">
        <f>INDEX(ChLaunch,MATCH(E557,ChName,0))</f>
        <v/>
      </c>
      <c r="J557">
        <f>INDEX(ChWeeksFull,MATCH(E557,ChName,0))</f>
        <v/>
      </c>
      <c r="K557">
        <f>INDEX(ChRamp,MATCH(E557,ChName,0))</f>
        <v/>
      </c>
      <c r="L557" s="45">
        <f>MIN(1,MAX(0,(A557-I557+1)*RampSpeed/J557))</f>
        <v/>
      </c>
      <c r="M557" s="45">
        <f>IF(A557&lt;I557,0,IF(K557="S-curve",L557*L557*(3-2*L557),L557))</f>
        <v/>
      </c>
      <c r="N557" s="45">
        <f>1+(INDEX(SeasonIdx,A557)-1)*SeasonAmp</f>
        <v/>
      </c>
      <c r="O557" s="45">
        <f>IFERROR(INDEX(PSPct,MATCH(E557&amp;"|"&amp;G557,PSKey,0)),0)</f>
        <v/>
      </c>
      <c r="P557" s="46">
        <f>INDEX(ChDoorVel,MATCH(E557,ChName,0))*CalibScalar*(1+VelocityUplift)</f>
        <v/>
      </c>
      <c r="Q557" s="46" t="n">
        <v>0</v>
      </c>
      <c r="R557" s="46">
        <f>P557*O557*M557*N557*H557</f>
        <v/>
      </c>
      <c r="S557" s="46">
        <f>R557*INDEX(FmtCansPerCase,MATCH(F557,FmtName,0))</f>
        <v/>
      </c>
      <c r="T557" s="46">
        <f>S557/INDEX(FmtCansPerPack,MATCH(F557,FmtName,0))</f>
        <v/>
      </c>
      <c r="U557" s="47">
        <f>INDEX(ChBaseCP,MATCH(E557,ChName,0))*(1+INDEX(ProvMod,MATCH(G557,ProvCode,0)))*(1+PriceIndex)</f>
        <v/>
      </c>
      <c r="V557" s="47">
        <f>R557*U557*INDEX(FmtBlendedPriceIdx,MATCH(F557,FmtName,0))</f>
        <v/>
      </c>
      <c r="W557" s="47">
        <f>T557*INDEX(ProvSRP,MATCH(G557,ProvCode,0))*(1+PriceIndex)</f>
        <v/>
      </c>
      <c r="X557" s="47">
        <f>IF(GrossBasis="Wholesale",V557,W557)</f>
        <v/>
      </c>
      <c r="Y557" s="47">
        <f>R557*INDEX(FmtBlendedCogs,MATCH(F557,FmtName,0))</f>
        <v/>
      </c>
      <c r="Z557" s="47">
        <f>X557-Y557</f>
        <v/>
      </c>
    </row>
    <row r="558">
      <c r="A558" t="n">
        <v>27</v>
      </c>
      <c r="B558" s="44">
        <f>FiscalStart+(A558-1)*7</f>
        <v/>
      </c>
      <c r="C558">
        <f>TEXT(B558,"mmm yyyy")</f>
        <v/>
      </c>
      <c r="D558">
        <f>"Q"&amp;(INT((A558-1)/13)+1)</f>
        <v/>
      </c>
      <c r="E558" t="inlineStr">
        <is>
          <t>On Premise</t>
        </is>
      </c>
      <c r="F558">
        <f>IFERROR(INDEX(ChFormat,MATCH(E558,ChName,0)),"")</f>
        <v/>
      </c>
      <c r="G558" t="inlineStr">
        <is>
          <t>BC</t>
        </is>
      </c>
      <c r="H558">
        <f>IF(A558&lt;=NWeeks,1,0)</f>
        <v/>
      </c>
      <c r="I558">
        <f>INDEX(ChLaunch,MATCH(E558,ChName,0))</f>
        <v/>
      </c>
      <c r="J558">
        <f>INDEX(ChWeeksFull,MATCH(E558,ChName,0))</f>
        <v/>
      </c>
      <c r="K558">
        <f>INDEX(ChRamp,MATCH(E558,ChName,0))</f>
        <v/>
      </c>
      <c r="L558" s="45">
        <f>MIN(1,MAX(0,(A558-I558+1)*RampSpeed/J558))</f>
        <v/>
      </c>
      <c r="M558" s="45">
        <f>IF(A558&lt;I558,0,IF(K558="S-curve",L558*L558*(3-2*L558),L558))</f>
        <v/>
      </c>
      <c r="N558" s="45">
        <f>1+(INDEX(SeasonIdx,A558)-1)*SeasonAmp</f>
        <v/>
      </c>
      <c r="O558" s="45">
        <f>IFERROR(INDEX(PSPct,MATCH(E558&amp;"|"&amp;G558,PSKey,0)),0)</f>
        <v/>
      </c>
      <c r="P558" s="46">
        <f>INDEX(ChDoorVel,MATCH(E558,ChName,0))*CalibScalar*(1+VelocityUplift)</f>
        <v/>
      </c>
      <c r="Q558" s="46" t="n">
        <v>0</v>
      </c>
      <c r="R558" s="46">
        <f>P558*O558*M558*N558*H558</f>
        <v/>
      </c>
      <c r="S558" s="46">
        <f>R558*INDEX(FmtCansPerCase,MATCH(F558,FmtName,0))</f>
        <v/>
      </c>
      <c r="T558" s="46">
        <f>S558/INDEX(FmtCansPerPack,MATCH(F558,FmtName,0))</f>
        <v/>
      </c>
      <c r="U558" s="47">
        <f>INDEX(ChBaseCP,MATCH(E558,ChName,0))*(1+INDEX(ProvMod,MATCH(G558,ProvCode,0)))*(1+PriceIndex)</f>
        <v/>
      </c>
      <c r="V558" s="47">
        <f>R558*U558*INDEX(FmtBlendedPriceIdx,MATCH(F558,FmtName,0))</f>
        <v/>
      </c>
      <c r="W558" s="47">
        <f>T558*INDEX(ProvSRP,MATCH(G558,ProvCode,0))*(1+PriceIndex)</f>
        <v/>
      </c>
      <c r="X558" s="47">
        <f>IF(GrossBasis="Wholesale",V558,W558)</f>
        <v/>
      </c>
      <c r="Y558" s="47">
        <f>R558*INDEX(FmtBlendedCogs,MATCH(F558,FmtName,0))</f>
        <v/>
      </c>
      <c r="Z558" s="47">
        <f>X558-Y558</f>
        <v/>
      </c>
    </row>
    <row r="559">
      <c r="A559" t="n">
        <v>28</v>
      </c>
      <c r="B559" s="44">
        <f>FiscalStart+(A559-1)*7</f>
        <v/>
      </c>
      <c r="C559">
        <f>TEXT(B559,"mmm yyyy")</f>
        <v/>
      </c>
      <c r="D559">
        <f>"Q"&amp;(INT((A559-1)/13)+1)</f>
        <v/>
      </c>
      <c r="E559" t="inlineStr">
        <is>
          <t>On Premise</t>
        </is>
      </c>
      <c r="F559">
        <f>IFERROR(INDEX(ChFormat,MATCH(E559,ChName,0)),"")</f>
        <v/>
      </c>
      <c r="G559" t="inlineStr">
        <is>
          <t>BC</t>
        </is>
      </c>
      <c r="H559">
        <f>IF(A559&lt;=NWeeks,1,0)</f>
        <v/>
      </c>
      <c r="I559">
        <f>INDEX(ChLaunch,MATCH(E559,ChName,0))</f>
        <v/>
      </c>
      <c r="J559">
        <f>INDEX(ChWeeksFull,MATCH(E559,ChName,0))</f>
        <v/>
      </c>
      <c r="K559">
        <f>INDEX(ChRamp,MATCH(E559,ChName,0))</f>
        <v/>
      </c>
      <c r="L559" s="45">
        <f>MIN(1,MAX(0,(A559-I559+1)*RampSpeed/J559))</f>
        <v/>
      </c>
      <c r="M559" s="45">
        <f>IF(A559&lt;I559,0,IF(K559="S-curve",L559*L559*(3-2*L559),L559))</f>
        <v/>
      </c>
      <c r="N559" s="45">
        <f>1+(INDEX(SeasonIdx,A559)-1)*SeasonAmp</f>
        <v/>
      </c>
      <c r="O559" s="45">
        <f>IFERROR(INDEX(PSPct,MATCH(E559&amp;"|"&amp;G559,PSKey,0)),0)</f>
        <v/>
      </c>
      <c r="P559" s="46">
        <f>INDEX(ChDoorVel,MATCH(E559,ChName,0))*CalibScalar*(1+VelocityUplift)</f>
        <v/>
      </c>
      <c r="Q559" s="46" t="n">
        <v>0</v>
      </c>
      <c r="R559" s="46">
        <f>P559*O559*M559*N559*H559</f>
        <v/>
      </c>
      <c r="S559" s="46">
        <f>R559*INDEX(FmtCansPerCase,MATCH(F559,FmtName,0))</f>
        <v/>
      </c>
      <c r="T559" s="46">
        <f>S559/INDEX(FmtCansPerPack,MATCH(F559,FmtName,0))</f>
        <v/>
      </c>
      <c r="U559" s="47">
        <f>INDEX(ChBaseCP,MATCH(E559,ChName,0))*(1+INDEX(ProvMod,MATCH(G559,ProvCode,0)))*(1+PriceIndex)</f>
        <v/>
      </c>
      <c r="V559" s="47">
        <f>R559*U559*INDEX(FmtBlendedPriceIdx,MATCH(F559,FmtName,0))</f>
        <v/>
      </c>
      <c r="W559" s="47">
        <f>T559*INDEX(ProvSRP,MATCH(G559,ProvCode,0))*(1+PriceIndex)</f>
        <v/>
      </c>
      <c r="X559" s="47">
        <f>IF(GrossBasis="Wholesale",V559,W559)</f>
        <v/>
      </c>
      <c r="Y559" s="47">
        <f>R559*INDEX(FmtBlendedCogs,MATCH(F559,FmtName,0))</f>
        <v/>
      </c>
      <c r="Z559" s="47">
        <f>X559-Y559</f>
        <v/>
      </c>
    </row>
    <row r="560">
      <c r="A560" t="n">
        <v>29</v>
      </c>
      <c r="B560" s="44">
        <f>FiscalStart+(A560-1)*7</f>
        <v/>
      </c>
      <c r="C560">
        <f>TEXT(B560,"mmm yyyy")</f>
        <v/>
      </c>
      <c r="D560">
        <f>"Q"&amp;(INT((A560-1)/13)+1)</f>
        <v/>
      </c>
      <c r="E560" t="inlineStr">
        <is>
          <t>On Premise</t>
        </is>
      </c>
      <c r="F560">
        <f>IFERROR(INDEX(ChFormat,MATCH(E560,ChName,0)),"")</f>
        <v/>
      </c>
      <c r="G560" t="inlineStr">
        <is>
          <t>BC</t>
        </is>
      </c>
      <c r="H560">
        <f>IF(A560&lt;=NWeeks,1,0)</f>
        <v/>
      </c>
      <c r="I560">
        <f>INDEX(ChLaunch,MATCH(E560,ChName,0))</f>
        <v/>
      </c>
      <c r="J560">
        <f>INDEX(ChWeeksFull,MATCH(E560,ChName,0))</f>
        <v/>
      </c>
      <c r="K560">
        <f>INDEX(ChRamp,MATCH(E560,ChName,0))</f>
        <v/>
      </c>
      <c r="L560" s="45">
        <f>MIN(1,MAX(0,(A560-I560+1)*RampSpeed/J560))</f>
        <v/>
      </c>
      <c r="M560" s="45">
        <f>IF(A560&lt;I560,0,IF(K560="S-curve",L560*L560*(3-2*L560),L560))</f>
        <v/>
      </c>
      <c r="N560" s="45">
        <f>1+(INDEX(SeasonIdx,A560)-1)*SeasonAmp</f>
        <v/>
      </c>
      <c r="O560" s="45">
        <f>IFERROR(INDEX(PSPct,MATCH(E560&amp;"|"&amp;G560,PSKey,0)),0)</f>
        <v/>
      </c>
      <c r="P560" s="46">
        <f>INDEX(ChDoorVel,MATCH(E560,ChName,0))*CalibScalar*(1+VelocityUplift)</f>
        <v/>
      </c>
      <c r="Q560" s="46" t="n">
        <v>0</v>
      </c>
      <c r="R560" s="46">
        <f>P560*O560*M560*N560*H560</f>
        <v/>
      </c>
      <c r="S560" s="46">
        <f>R560*INDEX(FmtCansPerCase,MATCH(F560,FmtName,0))</f>
        <v/>
      </c>
      <c r="T560" s="46">
        <f>S560/INDEX(FmtCansPerPack,MATCH(F560,FmtName,0))</f>
        <v/>
      </c>
      <c r="U560" s="47">
        <f>INDEX(ChBaseCP,MATCH(E560,ChName,0))*(1+INDEX(ProvMod,MATCH(G560,ProvCode,0)))*(1+PriceIndex)</f>
        <v/>
      </c>
      <c r="V560" s="47">
        <f>R560*U560*INDEX(FmtBlendedPriceIdx,MATCH(F560,FmtName,0))</f>
        <v/>
      </c>
      <c r="W560" s="47">
        <f>T560*INDEX(ProvSRP,MATCH(G560,ProvCode,0))*(1+PriceIndex)</f>
        <v/>
      </c>
      <c r="X560" s="47">
        <f>IF(GrossBasis="Wholesale",V560,W560)</f>
        <v/>
      </c>
      <c r="Y560" s="47">
        <f>R560*INDEX(FmtBlendedCogs,MATCH(F560,FmtName,0))</f>
        <v/>
      </c>
      <c r="Z560" s="47">
        <f>X560-Y560</f>
        <v/>
      </c>
    </row>
    <row r="561">
      <c r="A561" t="n">
        <v>30</v>
      </c>
      <c r="B561" s="44">
        <f>FiscalStart+(A561-1)*7</f>
        <v/>
      </c>
      <c r="C561">
        <f>TEXT(B561,"mmm yyyy")</f>
        <v/>
      </c>
      <c r="D561">
        <f>"Q"&amp;(INT((A561-1)/13)+1)</f>
        <v/>
      </c>
      <c r="E561" t="inlineStr">
        <is>
          <t>On Premise</t>
        </is>
      </c>
      <c r="F561">
        <f>IFERROR(INDEX(ChFormat,MATCH(E561,ChName,0)),"")</f>
        <v/>
      </c>
      <c r="G561" t="inlineStr">
        <is>
          <t>BC</t>
        </is>
      </c>
      <c r="H561">
        <f>IF(A561&lt;=NWeeks,1,0)</f>
        <v/>
      </c>
      <c r="I561">
        <f>INDEX(ChLaunch,MATCH(E561,ChName,0))</f>
        <v/>
      </c>
      <c r="J561">
        <f>INDEX(ChWeeksFull,MATCH(E561,ChName,0))</f>
        <v/>
      </c>
      <c r="K561">
        <f>INDEX(ChRamp,MATCH(E561,ChName,0))</f>
        <v/>
      </c>
      <c r="L561" s="45">
        <f>MIN(1,MAX(0,(A561-I561+1)*RampSpeed/J561))</f>
        <v/>
      </c>
      <c r="M561" s="45">
        <f>IF(A561&lt;I561,0,IF(K561="S-curve",L561*L561*(3-2*L561),L561))</f>
        <v/>
      </c>
      <c r="N561" s="45">
        <f>1+(INDEX(SeasonIdx,A561)-1)*SeasonAmp</f>
        <v/>
      </c>
      <c r="O561" s="45">
        <f>IFERROR(INDEX(PSPct,MATCH(E561&amp;"|"&amp;G561,PSKey,0)),0)</f>
        <v/>
      </c>
      <c r="P561" s="46">
        <f>INDEX(ChDoorVel,MATCH(E561,ChName,0))*CalibScalar*(1+VelocityUplift)</f>
        <v/>
      </c>
      <c r="Q561" s="46" t="n">
        <v>0</v>
      </c>
      <c r="R561" s="46">
        <f>P561*O561*M561*N561*H561</f>
        <v/>
      </c>
      <c r="S561" s="46">
        <f>R561*INDEX(FmtCansPerCase,MATCH(F561,FmtName,0))</f>
        <v/>
      </c>
      <c r="T561" s="46">
        <f>S561/INDEX(FmtCansPerPack,MATCH(F561,FmtName,0))</f>
        <v/>
      </c>
      <c r="U561" s="47">
        <f>INDEX(ChBaseCP,MATCH(E561,ChName,0))*(1+INDEX(ProvMod,MATCH(G561,ProvCode,0)))*(1+PriceIndex)</f>
        <v/>
      </c>
      <c r="V561" s="47">
        <f>R561*U561*INDEX(FmtBlendedPriceIdx,MATCH(F561,FmtName,0))</f>
        <v/>
      </c>
      <c r="W561" s="47">
        <f>T561*INDEX(ProvSRP,MATCH(G561,ProvCode,0))*(1+PriceIndex)</f>
        <v/>
      </c>
      <c r="X561" s="47">
        <f>IF(GrossBasis="Wholesale",V561,W561)</f>
        <v/>
      </c>
      <c r="Y561" s="47">
        <f>R561*INDEX(FmtBlendedCogs,MATCH(F561,FmtName,0))</f>
        <v/>
      </c>
      <c r="Z561" s="47">
        <f>X561-Y561</f>
        <v/>
      </c>
    </row>
    <row r="562">
      <c r="A562" t="n">
        <v>31</v>
      </c>
      <c r="B562" s="44">
        <f>FiscalStart+(A562-1)*7</f>
        <v/>
      </c>
      <c r="C562">
        <f>TEXT(B562,"mmm yyyy")</f>
        <v/>
      </c>
      <c r="D562">
        <f>"Q"&amp;(INT((A562-1)/13)+1)</f>
        <v/>
      </c>
      <c r="E562" t="inlineStr">
        <is>
          <t>On Premise</t>
        </is>
      </c>
      <c r="F562">
        <f>IFERROR(INDEX(ChFormat,MATCH(E562,ChName,0)),"")</f>
        <v/>
      </c>
      <c r="G562" t="inlineStr">
        <is>
          <t>BC</t>
        </is>
      </c>
      <c r="H562">
        <f>IF(A562&lt;=NWeeks,1,0)</f>
        <v/>
      </c>
      <c r="I562">
        <f>INDEX(ChLaunch,MATCH(E562,ChName,0))</f>
        <v/>
      </c>
      <c r="J562">
        <f>INDEX(ChWeeksFull,MATCH(E562,ChName,0))</f>
        <v/>
      </c>
      <c r="K562">
        <f>INDEX(ChRamp,MATCH(E562,ChName,0))</f>
        <v/>
      </c>
      <c r="L562" s="45">
        <f>MIN(1,MAX(0,(A562-I562+1)*RampSpeed/J562))</f>
        <v/>
      </c>
      <c r="M562" s="45">
        <f>IF(A562&lt;I562,0,IF(K562="S-curve",L562*L562*(3-2*L562),L562))</f>
        <v/>
      </c>
      <c r="N562" s="45">
        <f>1+(INDEX(SeasonIdx,A562)-1)*SeasonAmp</f>
        <v/>
      </c>
      <c r="O562" s="45">
        <f>IFERROR(INDEX(PSPct,MATCH(E562&amp;"|"&amp;G562,PSKey,0)),0)</f>
        <v/>
      </c>
      <c r="P562" s="46">
        <f>INDEX(ChDoorVel,MATCH(E562,ChName,0))*CalibScalar*(1+VelocityUplift)</f>
        <v/>
      </c>
      <c r="Q562" s="46" t="n">
        <v>0</v>
      </c>
      <c r="R562" s="46">
        <f>P562*O562*M562*N562*H562</f>
        <v/>
      </c>
      <c r="S562" s="46">
        <f>R562*INDEX(FmtCansPerCase,MATCH(F562,FmtName,0))</f>
        <v/>
      </c>
      <c r="T562" s="46">
        <f>S562/INDEX(FmtCansPerPack,MATCH(F562,FmtName,0))</f>
        <v/>
      </c>
      <c r="U562" s="47">
        <f>INDEX(ChBaseCP,MATCH(E562,ChName,0))*(1+INDEX(ProvMod,MATCH(G562,ProvCode,0)))*(1+PriceIndex)</f>
        <v/>
      </c>
      <c r="V562" s="47">
        <f>R562*U562*INDEX(FmtBlendedPriceIdx,MATCH(F562,FmtName,0))</f>
        <v/>
      </c>
      <c r="W562" s="47">
        <f>T562*INDEX(ProvSRP,MATCH(G562,ProvCode,0))*(1+PriceIndex)</f>
        <v/>
      </c>
      <c r="X562" s="47">
        <f>IF(GrossBasis="Wholesale",V562,W562)</f>
        <v/>
      </c>
      <c r="Y562" s="47">
        <f>R562*INDEX(FmtBlendedCogs,MATCH(F562,FmtName,0))</f>
        <v/>
      </c>
      <c r="Z562" s="47">
        <f>X562-Y562</f>
        <v/>
      </c>
    </row>
    <row r="563">
      <c r="A563" t="n">
        <v>32</v>
      </c>
      <c r="B563" s="44">
        <f>FiscalStart+(A563-1)*7</f>
        <v/>
      </c>
      <c r="C563">
        <f>TEXT(B563,"mmm yyyy")</f>
        <v/>
      </c>
      <c r="D563">
        <f>"Q"&amp;(INT((A563-1)/13)+1)</f>
        <v/>
      </c>
      <c r="E563" t="inlineStr">
        <is>
          <t>On Premise</t>
        </is>
      </c>
      <c r="F563">
        <f>IFERROR(INDEX(ChFormat,MATCH(E563,ChName,0)),"")</f>
        <v/>
      </c>
      <c r="G563" t="inlineStr">
        <is>
          <t>BC</t>
        </is>
      </c>
      <c r="H563">
        <f>IF(A563&lt;=NWeeks,1,0)</f>
        <v/>
      </c>
      <c r="I563">
        <f>INDEX(ChLaunch,MATCH(E563,ChName,0))</f>
        <v/>
      </c>
      <c r="J563">
        <f>INDEX(ChWeeksFull,MATCH(E563,ChName,0))</f>
        <v/>
      </c>
      <c r="K563">
        <f>INDEX(ChRamp,MATCH(E563,ChName,0))</f>
        <v/>
      </c>
      <c r="L563" s="45">
        <f>MIN(1,MAX(0,(A563-I563+1)*RampSpeed/J563))</f>
        <v/>
      </c>
      <c r="M563" s="45">
        <f>IF(A563&lt;I563,0,IF(K563="S-curve",L563*L563*(3-2*L563),L563))</f>
        <v/>
      </c>
      <c r="N563" s="45">
        <f>1+(INDEX(SeasonIdx,A563)-1)*SeasonAmp</f>
        <v/>
      </c>
      <c r="O563" s="45">
        <f>IFERROR(INDEX(PSPct,MATCH(E563&amp;"|"&amp;G563,PSKey,0)),0)</f>
        <v/>
      </c>
      <c r="P563" s="46">
        <f>INDEX(ChDoorVel,MATCH(E563,ChName,0))*CalibScalar*(1+VelocityUplift)</f>
        <v/>
      </c>
      <c r="Q563" s="46" t="n">
        <v>0</v>
      </c>
      <c r="R563" s="46">
        <f>P563*O563*M563*N563*H563</f>
        <v/>
      </c>
      <c r="S563" s="46">
        <f>R563*INDEX(FmtCansPerCase,MATCH(F563,FmtName,0))</f>
        <v/>
      </c>
      <c r="T563" s="46">
        <f>S563/INDEX(FmtCansPerPack,MATCH(F563,FmtName,0))</f>
        <v/>
      </c>
      <c r="U563" s="47">
        <f>INDEX(ChBaseCP,MATCH(E563,ChName,0))*(1+INDEX(ProvMod,MATCH(G563,ProvCode,0)))*(1+PriceIndex)</f>
        <v/>
      </c>
      <c r="V563" s="47">
        <f>R563*U563*INDEX(FmtBlendedPriceIdx,MATCH(F563,FmtName,0))</f>
        <v/>
      </c>
      <c r="W563" s="47">
        <f>T563*INDEX(ProvSRP,MATCH(G563,ProvCode,0))*(1+PriceIndex)</f>
        <v/>
      </c>
      <c r="X563" s="47">
        <f>IF(GrossBasis="Wholesale",V563,W563)</f>
        <v/>
      </c>
      <c r="Y563" s="47">
        <f>R563*INDEX(FmtBlendedCogs,MATCH(F563,FmtName,0))</f>
        <v/>
      </c>
      <c r="Z563" s="47">
        <f>X563-Y563</f>
        <v/>
      </c>
    </row>
    <row r="564">
      <c r="A564" t="n">
        <v>33</v>
      </c>
      <c r="B564" s="44">
        <f>FiscalStart+(A564-1)*7</f>
        <v/>
      </c>
      <c r="C564">
        <f>TEXT(B564,"mmm yyyy")</f>
        <v/>
      </c>
      <c r="D564">
        <f>"Q"&amp;(INT((A564-1)/13)+1)</f>
        <v/>
      </c>
      <c r="E564" t="inlineStr">
        <is>
          <t>On Premise</t>
        </is>
      </c>
      <c r="F564">
        <f>IFERROR(INDEX(ChFormat,MATCH(E564,ChName,0)),"")</f>
        <v/>
      </c>
      <c r="G564" t="inlineStr">
        <is>
          <t>BC</t>
        </is>
      </c>
      <c r="H564">
        <f>IF(A564&lt;=NWeeks,1,0)</f>
        <v/>
      </c>
      <c r="I564">
        <f>INDEX(ChLaunch,MATCH(E564,ChName,0))</f>
        <v/>
      </c>
      <c r="J564">
        <f>INDEX(ChWeeksFull,MATCH(E564,ChName,0))</f>
        <v/>
      </c>
      <c r="K564">
        <f>INDEX(ChRamp,MATCH(E564,ChName,0))</f>
        <v/>
      </c>
      <c r="L564" s="45">
        <f>MIN(1,MAX(0,(A564-I564+1)*RampSpeed/J564))</f>
        <v/>
      </c>
      <c r="M564" s="45">
        <f>IF(A564&lt;I564,0,IF(K564="S-curve",L564*L564*(3-2*L564),L564))</f>
        <v/>
      </c>
      <c r="N564" s="45">
        <f>1+(INDEX(SeasonIdx,A564)-1)*SeasonAmp</f>
        <v/>
      </c>
      <c r="O564" s="45">
        <f>IFERROR(INDEX(PSPct,MATCH(E564&amp;"|"&amp;G564,PSKey,0)),0)</f>
        <v/>
      </c>
      <c r="P564" s="46">
        <f>INDEX(ChDoorVel,MATCH(E564,ChName,0))*CalibScalar*(1+VelocityUplift)</f>
        <v/>
      </c>
      <c r="Q564" s="46" t="n">
        <v>0</v>
      </c>
      <c r="R564" s="46">
        <f>P564*O564*M564*N564*H564</f>
        <v/>
      </c>
      <c r="S564" s="46">
        <f>R564*INDEX(FmtCansPerCase,MATCH(F564,FmtName,0))</f>
        <v/>
      </c>
      <c r="T564" s="46">
        <f>S564/INDEX(FmtCansPerPack,MATCH(F564,FmtName,0))</f>
        <v/>
      </c>
      <c r="U564" s="47">
        <f>INDEX(ChBaseCP,MATCH(E564,ChName,0))*(1+INDEX(ProvMod,MATCH(G564,ProvCode,0)))*(1+PriceIndex)</f>
        <v/>
      </c>
      <c r="V564" s="47">
        <f>R564*U564*INDEX(FmtBlendedPriceIdx,MATCH(F564,FmtName,0))</f>
        <v/>
      </c>
      <c r="W564" s="47">
        <f>T564*INDEX(ProvSRP,MATCH(G564,ProvCode,0))*(1+PriceIndex)</f>
        <v/>
      </c>
      <c r="X564" s="47">
        <f>IF(GrossBasis="Wholesale",V564,W564)</f>
        <v/>
      </c>
      <c r="Y564" s="47">
        <f>R564*INDEX(FmtBlendedCogs,MATCH(F564,FmtName,0))</f>
        <v/>
      </c>
      <c r="Z564" s="47">
        <f>X564-Y564</f>
        <v/>
      </c>
    </row>
    <row r="565">
      <c r="A565" t="n">
        <v>34</v>
      </c>
      <c r="B565" s="44">
        <f>FiscalStart+(A565-1)*7</f>
        <v/>
      </c>
      <c r="C565">
        <f>TEXT(B565,"mmm yyyy")</f>
        <v/>
      </c>
      <c r="D565">
        <f>"Q"&amp;(INT((A565-1)/13)+1)</f>
        <v/>
      </c>
      <c r="E565" t="inlineStr">
        <is>
          <t>On Premise</t>
        </is>
      </c>
      <c r="F565">
        <f>IFERROR(INDEX(ChFormat,MATCH(E565,ChName,0)),"")</f>
        <v/>
      </c>
      <c r="G565" t="inlineStr">
        <is>
          <t>BC</t>
        </is>
      </c>
      <c r="H565">
        <f>IF(A565&lt;=NWeeks,1,0)</f>
        <v/>
      </c>
      <c r="I565">
        <f>INDEX(ChLaunch,MATCH(E565,ChName,0))</f>
        <v/>
      </c>
      <c r="J565">
        <f>INDEX(ChWeeksFull,MATCH(E565,ChName,0))</f>
        <v/>
      </c>
      <c r="K565">
        <f>INDEX(ChRamp,MATCH(E565,ChName,0))</f>
        <v/>
      </c>
      <c r="L565" s="45">
        <f>MIN(1,MAX(0,(A565-I565+1)*RampSpeed/J565))</f>
        <v/>
      </c>
      <c r="M565" s="45">
        <f>IF(A565&lt;I565,0,IF(K565="S-curve",L565*L565*(3-2*L565),L565))</f>
        <v/>
      </c>
      <c r="N565" s="45">
        <f>1+(INDEX(SeasonIdx,A565)-1)*SeasonAmp</f>
        <v/>
      </c>
      <c r="O565" s="45">
        <f>IFERROR(INDEX(PSPct,MATCH(E565&amp;"|"&amp;G565,PSKey,0)),0)</f>
        <v/>
      </c>
      <c r="P565" s="46">
        <f>INDEX(ChDoorVel,MATCH(E565,ChName,0))*CalibScalar*(1+VelocityUplift)</f>
        <v/>
      </c>
      <c r="Q565" s="46" t="n">
        <v>0</v>
      </c>
      <c r="R565" s="46">
        <f>P565*O565*M565*N565*H565</f>
        <v/>
      </c>
      <c r="S565" s="46">
        <f>R565*INDEX(FmtCansPerCase,MATCH(F565,FmtName,0))</f>
        <v/>
      </c>
      <c r="T565" s="46">
        <f>S565/INDEX(FmtCansPerPack,MATCH(F565,FmtName,0))</f>
        <v/>
      </c>
      <c r="U565" s="47">
        <f>INDEX(ChBaseCP,MATCH(E565,ChName,0))*(1+INDEX(ProvMod,MATCH(G565,ProvCode,0)))*(1+PriceIndex)</f>
        <v/>
      </c>
      <c r="V565" s="47">
        <f>R565*U565*INDEX(FmtBlendedPriceIdx,MATCH(F565,FmtName,0))</f>
        <v/>
      </c>
      <c r="W565" s="47">
        <f>T565*INDEX(ProvSRP,MATCH(G565,ProvCode,0))*(1+PriceIndex)</f>
        <v/>
      </c>
      <c r="X565" s="47">
        <f>IF(GrossBasis="Wholesale",V565,W565)</f>
        <v/>
      </c>
      <c r="Y565" s="47">
        <f>R565*INDEX(FmtBlendedCogs,MATCH(F565,FmtName,0))</f>
        <v/>
      </c>
      <c r="Z565" s="47">
        <f>X565-Y565</f>
        <v/>
      </c>
    </row>
    <row r="566">
      <c r="A566" t="n">
        <v>35</v>
      </c>
      <c r="B566" s="44">
        <f>FiscalStart+(A566-1)*7</f>
        <v/>
      </c>
      <c r="C566">
        <f>TEXT(B566,"mmm yyyy")</f>
        <v/>
      </c>
      <c r="D566">
        <f>"Q"&amp;(INT((A566-1)/13)+1)</f>
        <v/>
      </c>
      <c r="E566" t="inlineStr">
        <is>
          <t>On Premise</t>
        </is>
      </c>
      <c r="F566">
        <f>IFERROR(INDEX(ChFormat,MATCH(E566,ChName,0)),"")</f>
        <v/>
      </c>
      <c r="G566" t="inlineStr">
        <is>
          <t>BC</t>
        </is>
      </c>
      <c r="H566">
        <f>IF(A566&lt;=NWeeks,1,0)</f>
        <v/>
      </c>
      <c r="I566">
        <f>INDEX(ChLaunch,MATCH(E566,ChName,0))</f>
        <v/>
      </c>
      <c r="J566">
        <f>INDEX(ChWeeksFull,MATCH(E566,ChName,0))</f>
        <v/>
      </c>
      <c r="K566">
        <f>INDEX(ChRamp,MATCH(E566,ChName,0))</f>
        <v/>
      </c>
      <c r="L566" s="45">
        <f>MIN(1,MAX(0,(A566-I566+1)*RampSpeed/J566))</f>
        <v/>
      </c>
      <c r="M566" s="45">
        <f>IF(A566&lt;I566,0,IF(K566="S-curve",L566*L566*(3-2*L566),L566))</f>
        <v/>
      </c>
      <c r="N566" s="45">
        <f>1+(INDEX(SeasonIdx,A566)-1)*SeasonAmp</f>
        <v/>
      </c>
      <c r="O566" s="45">
        <f>IFERROR(INDEX(PSPct,MATCH(E566&amp;"|"&amp;G566,PSKey,0)),0)</f>
        <v/>
      </c>
      <c r="P566" s="46">
        <f>INDEX(ChDoorVel,MATCH(E566,ChName,0))*CalibScalar*(1+VelocityUplift)</f>
        <v/>
      </c>
      <c r="Q566" s="46" t="n">
        <v>0</v>
      </c>
      <c r="R566" s="46">
        <f>P566*O566*M566*N566*H566</f>
        <v/>
      </c>
      <c r="S566" s="46">
        <f>R566*INDEX(FmtCansPerCase,MATCH(F566,FmtName,0))</f>
        <v/>
      </c>
      <c r="T566" s="46">
        <f>S566/INDEX(FmtCansPerPack,MATCH(F566,FmtName,0))</f>
        <v/>
      </c>
      <c r="U566" s="47">
        <f>INDEX(ChBaseCP,MATCH(E566,ChName,0))*(1+INDEX(ProvMod,MATCH(G566,ProvCode,0)))*(1+PriceIndex)</f>
        <v/>
      </c>
      <c r="V566" s="47">
        <f>R566*U566*INDEX(FmtBlendedPriceIdx,MATCH(F566,FmtName,0))</f>
        <v/>
      </c>
      <c r="W566" s="47">
        <f>T566*INDEX(ProvSRP,MATCH(G566,ProvCode,0))*(1+PriceIndex)</f>
        <v/>
      </c>
      <c r="X566" s="47">
        <f>IF(GrossBasis="Wholesale",V566,W566)</f>
        <v/>
      </c>
      <c r="Y566" s="47">
        <f>R566*INDEX(FmtBlendedCogs,MATCH(F566,FmtName,0))</f>
        <v/>
      </c>
      <c r="Z566" s="47">
        <f>X566-Y566</f>
        <v/>
      </c>
    </row>
    <row r="567">
      <c r="A567" t="n">
        <v>36</v>
      </c>
      <c r="B567" s="44">
        <f>FiscalStart+(A567-1)*7</f>
        <v/>
      </c>
      <c r="C567">
        <f>TEXT(B567,"mmm yyyy")</f>
        <v/>
      </c>
      <c r="D567">
        <f>"Q"&amp;(INT((A567-1)/13)+1)</f>
        <v/>
      </c>
      <c r="E567" t="inlineStr">
        <is>
          <t>On Premise</t>
        </is>
      </c>
      <c r="F567">
        <f>IFERROR(INDEX(ChFormat,MATCH(E567,ChName,0)),"")</f>
        <v/>
      </c>
      <c r="G567" t="inlineStr">
        <is>
          <t>BC</t>
        </is>
      </c>
      <c r="H567">
        <f>IF(A567&lt;=NWeeks,1,0)</f>
        <v/>
      </c>
      <c r="I567">
        <f>INDEX(ChLaunch,MATCH(E567,ChName,0))</f>
        <v/>
      </c>
      <c r="J567">
        <f>INDEX(ChWeeksFull,MATCH(E567,ChName,0))</f>
        <v/>
      </c>
      <c r="K567">
        <f>INDEX(ChRamp,MATCH(E567,ChName,0))</f>
        <v/>
      </c>
      <c r="L567" s="45">
        <f>MIN(1,MAX(0,(A567-I567+1)*RampSpeed/J567))</f>
        <v/>
      </c>
      <c r="M567" s="45">
        <f>IF(A567&lt;I567,0,IF(K567="S-curve",L567*L567*(3-2*L567),L567))</f>
        <v/>
      </c>
      <c r="N567" s="45">
        <f>1+(INDEX(SeasonIdx,A567)-1)*SeasonAmp</f>
        <v/>
      </c>
      <c r="O567" s="45">
        <f>IFERROR(INDEX(PSPct,MATCH(E567&amp;"|"&amp;G567,PSKey,0)),0)</f>
        <v/>
      </c>
      <c r="P567" s="46">
        <f>INDEX(ChDoorVel,MATCH(E567,ChName,0))*CalibScalar*(1+VelocityUplift)</f>
        <v/>
      </c>
      <c r="Q567" s="46" t="n">
        <v>0</v>
      </c>
      <c r="R567" s="46">
        <f>P567*O567*M567*N567*H567</f>
        <v/>
      </c>
      <c r="S567" s="46">
        <f>R567*INDEX(FmtCansPerCase,MATCH(F567,FmtName,0))</f>
        <v/>
      </c>
      <c r="T567" s="46">
        <f>S567/INDEX(FmtCansPerPack,MATCH(F567,FmtName,0))</f>
        <v/>
      </c>
      <c r="U567" s="47">
        <f>INDEX(ChBaseCP,MATCH(E567,ChName,0))*(1+INDEX(ProvMod,MATCH(G567,ProvCode,0)))*(1+PriceIndex)</f>
        <v/>
      </c>
      <c r="V567" s="47">
        <f>R567*U567*INDEX(FmtBlendedPriceIdx,MATCH(F567,FmtName,0))</f>
        <v/>
      </c>
      <c r="W567" s="47">
        <f>T567*INDEX(ProvSRP,MATCH(G567,ProvCode,0))*(1+PriceIndex)</f>
        <v/>
      </c>
      <c r="X567" s="47">
        <f>IF(GrossBasis="Wholesale",V567,W567)</f>
        <v/>
      </c>
      <c r="Y567" s="47">
        <f>R567*INDEX(FmtBlendedCogs,MATCH(F567,FmtName,0))</f>
        <v/>
      </c>
      <c r="Z567" s="47">
        <f>X567-Y567</f>
        <v/>
      </c>
    </row>
    <row r="568">
      <c r="A568" t="n">
        <v>37</v>
      </c>
      <c r="B568" s="44">
        <f>FiscalStart+(A568-1)*7</f>
        <v/>
      </c>
      <c r="C568">
        <f>TEXT(B568,"mmm yyyy")</f>
        <v/>
      </c>
      <c r="D568">
        <f>"Q"&amp;(INT((A568-1)/13)+1)</f>
        <v/>
      </c>
      <c r="E568" t="inlineStr">
        <is>
          <t>On Premise</t>
        </is>
      </c>
      <c r="F568">
        <f>IFERROR(INDEX(ChFormat,MATCH(E568,ChName,0)),"")</f>
        <v/>
      </c>
      <c r="G568" t="inlineStr">
        <is>
          <t>BC</t>
        </is>
      </c>
      <c r="H568">
        <f>IF(A568&lt;=NWeeks,1,0)</f>
        <v/>
      </c>
      <c r="I568">
        <f>INDEX(ChLaunch,MATCH(E568,ChName,0))</f>
        <v/>
      </c>
      <c r="J568">
        <f>INDEX(ChWeeksFull,MATCH(E568,ChName,0))</f>
        <v/>
      </c>
      <c r="K568">
        <f>INDEX(ChRamp,MATCH(E568,ChName,0))</f>
        <v/>
      </c>
      <c r="L568" s="45">
        <f>MIN(1,MAX(0,(A568-I568+1)*RampSpeed/J568))</f>
        <v/>
      </c>
      <c r="M568" s="45">
        <f>IF(A568&lt;I568,0,IF(K568="S-curve",L568*L568*(3-2*L568),L568))</f>
        <v/>
      </c>
      <c r="N568" s="45">
        <f>1+(INDEX(SeasonIdx,A568)-1)*SeasonAmp</f>
        <v/>
      </c>
      <c r="O568" s="45">
        <f>IFERROR(INDEX(PSPct,MATCH(E568&amp;"|"&amp;G568,PSKey,0)),0)</f>
        <v/>
      </c>
      <c r="P568" s="46">
        <f>INDEX(ChDoorVel,MATCH(E568,ChName,0))*CalibScalar*(1+VelocityUplift)</f>
        <v/>
      </c>
      <c r="Q568" s="46" t="n">
        <v>0</v>
      </c>
      <c r="R568" s="46">
        <f>P568*O568*M568*N568*H568</f>
        <v/>
      </c>
      <c r="S568" s="46">
        <f>R568*INDEX(FmtCansPerCase,MATCH(F568,FmtName,0))</f>
        <v/>
      </c>
      <c r="T568" s="46">
        <f>S568/INDEX(FmtCansPerPack,MATCH(F568,FmtName,0))</f>
        <v/>
      </c>
      <c r="U568" s="47">
        <f>INDEX(ChBaseCP,MATCH(E568,ChName,0))*(1+INDEX(ProvMod,MATCH(G568,ProvCode,0)))*(1+PriceIndex)</f>
        <v/>
      </c>
      <c r="V568" s="47">
        <f>R568*U568*INDEX(FmtBlendedPriceIdx,MATCH(F568,FmtName,0))</f>
        <v/>
      </c>
      <c r="W568" s="47">
        <f>T568*INDEX(ProvSRP,MATCH(G568,ProvCode,0))*(1+PriceIndex)</f>
        <v/>
      </c>
      <c r="X568" s="47">
        <f>IF(GrossBasis="Wholesale",V568,W568)</f>
        <v/>
      </c>
      <c r="Y568" s="47">
        <f>R568*INDEX(FmtBlendedCogs,MATCH(F568,FmtName,0))</f>
        <v/>
      </c>
      <c r="Z568" s="47">
        <f>X568-Y568</f>
        <v/>
      </c>
    </row>
    <row r="569">
      <c r="A569" t="n">
        <v>38</v>
      </c>
      <c r="B569" s="44">
        <f>FiscalStart+(A569-1)*7</f>
        <v/>
      </c>
      <c r="C569">
        <f>TEXT(B569,"mmm yyyy")</f>
        <v/>
      </c>
      <c r="D569">
        <f>"Q"&amp;(INT((A569-1)/13)+1)</f>
        <v/>
      </c>
      <c r="E569" t="inlineStr">
        <is>
          <t>On Premise</t>
        </is>
      </c>
      <c r="F569">
        <f>IFERROR(INDEX(ChFormat,MATCH(E569,ChName,0)),"")</f>
        <v/>
      </c>
      <c r="G569" t="inlineStr">
        <is>
          <t>BC</t>
        </is>
      </c>
      <c r="H569">
        <f>IF(A569&lt;=NWeeks,1,0)</f>
        <v/>
      </c>
      <c r="I569">
        <f>INDEX(ChLaunch,MATCH(E569,ChName,0))</f>
        <v/>
      </c>
      <c r="J569">
        <f>INDEX(ChWeeksFull,MATCH(E569,ChName,0))</f>
        <v/>
      </c>
      <c r="K569">
        <f>INDEX(ChRamp,MATCH(E569,ChName,0))</f>
        <v/>
      </c>
      <c r="L569" s="45">
        <f>MIN(1,MAX(0,(A569-I569+1)*RampSpeed/J569))</f>
        <v/>
      </c>
      <c r="M569" s="45">
        <f>IF(A569&lt;I569,0,IF(K569="S-curve",L569*L569*(3-2*L569),L569))</f>
        <v/>
      </c>
      <c r="N569" s="45">
        <f>1+(INDEX(SeasonIdx,A569)-1)*SeasonAmp</f>
        <v/>
      </c>
      <c r="O569" s="45">
        <f>IFERROR(INDEX(PSPct,MATCH(E569&amp;"|"&amp;G569,PSKey,0)),0)</f>
        <v/>
      </c>
      <c r="P569" s="46">
        <f>INDEX(ChDoorVel,MATCH(E569,ChName,0))*CalibScalar*(1+VelocityUplift)</f>
        <v/>
      </c>
      <c r="Q569" s="46" t="n">
        <v>0</v>
      </c>
      <c r="R569" s="46">
        <f>P569*O569*M569*N569*H569</f>
        <v/>
      </c>
      <c r="S569" s="46">
        <f>R569*INDEX(FmtCansPerCase,MATCH(F569,FmtName,0))</f>
        <v/>
      </c>
      <c r="T569" s="46">
        <f>S569/INDEX(FmtCansPerPack,MATCH(F569,FmtName,0))</f>
        <v/>
      </c>
      <c r="U569" s="47">
        <f>INDEX(ChBaseCP,MATCH(E569,ChName,0))*(1+INDEX(ProvMod,MATCH(G569,ProvCode,0)))*(1+PriceIndex)</f>
        <v/>
      </c>
      <c r="V569" s="47">
        <f>R569*U569*INDEX(FmtBlendedPriceIdx,MATCH(F569,FmtName,0))</f>
        <v/>
      </c>
      <c r="W569" s="47">
        <f>T569*INDEX(ProvSRP,MATCH(G569,ProvCode,0))*(1+PriceIndex)</f>
        <v/>
      </c>
      <c r="X569" s="47">
        <f>IF(GrossBasis="Wholesale",V569,W569)</f>
        <v/>
      </c>
      <c r="Y569" s="47">
        <f>R569*INDEX(FmtBlendedCogs,MATCH(F569,FmtName,0))</f>
        <v/>
      </c>
      <c r="Z569" s="47">
        <f>X569-Y569</f>
        <v/>
      </c>
    </row>
    <row r="570">
      <c r="A570" t="n">
        <v>39</v>
      </c>
      <c r="B570" s="44">
        <f>FiscalStart+(A570-1)*7</f>
        <v/>
      </c>
      <c r="C570">
        <f>TEXT(B570,"mmm yyyy")</f>
        <v/>
      </c>
      <c r="D570">
        <f>"Q"&amp;(INT((A570-1)/13)+1)</f>
        <v/>
      </c>
      <c r="E570" t="inlineStr">
        <is>
          <t>On Premise</t>
        </is>
      </c>
      <c r="F570">
        <f>IFERROR(INDEX(ChFormat,MATCH(E570,ChName,0)),"")</f>
        <v/>
      </c>
      <c r="G570" t="inlineStr">
        <is>
          <t>BC</t>
        </is>
      </c>
      <c r="H570">
        <f>IF(A570&lt;=NWeeks,1,0)</f>
        <v/>
      </c>
      <c r="I570">
        <f>INDEX(ChLaunch,MATCH(E570,ChName,0))</f>
        <v/>
      </c>
      <c r="J570">
        <f>INDEX(ChWeeksFull,MATCH(E570,ChName,0))</f>
        <v/>
      </c>
      <c r="K570">
        <f>INDEX(ChRamp,MATCH(E570,ChName,0))</f>
        <v/>
      </c>
      <c r="L570" s="45">
        <f>MIN(1,MAX(0,(A570-I570+1)*RampSpeed/J570))</f>
        <v/>
      </c>
      <c r="M570" s="45">
        <f>IF(A570&lt;I570,0,IF(K570="S-curve",L570*L570*(3-2*L570),L570))</f>
        <v/>
      </c>
      <c r="N570" s="45">
        <f>1+(INDEX(SeasonIdx,A570)-1)*SeasonAmp</f>
        <v/>
      </c>
      <c r="O570" s="45">
        <f>IFERROR(INDEX(PSPct,MATCH(E570&amp;"|"&amp;G570,PSKey,0)),0)</f>
        <v/>
      </c>
      <c r="P570" s="46">
        <f>INDEX(ChDoorVel,MATCH(E570,ChName,0))*CalibScalar*(1+VelocityUplift)</f>
        <v/>
      </c>
      <c r="Q570" s="46" t="n">
        <v>0</v>
      </c>
      <c r="R570" s="46">
        <f>P570*O570*M570*N570*H570</f>
        <v/>
      </c>
      <c r="S570" s="46">
        <f>R570*INDEX(FmtCansPerCase,MATCH(F570,FmtName,0))</f>
        <v/>
      </c>
      <c r="T570" s="46">
        <f>S570/INDEX(FmtCansPerPack,MATCH(F570,FmtName,0))</f>
        <v/>
      </c>
      <c r="U570" s="47">
        <f>INDEX(ChBaseCP,MATCH(E570,ChName,0))*(1+INDEX(ProvMod,MATCH(G570,ProvCode,0)))*(1+PriceIndex)</f>
        <v/>
      </c>
      <c r="V570" s="47">
        <f>R570*U570*INDEX(FmtBlendedPriceIdx,MATCH(F570,FmtName,0))</f>
        <v/>
      </c>
      <c r="W570" s="47">
        <f>T570*INDEX(ProvSRP,MATCH(G570,ProvCode,0))*(1+PriceIndex)</f>
        <v/>
      </c>
      <c r="X570" s="47">
        <f>IF(GrossBasis="Wholesale",V570,W570)</f>
        <v/>
      </c>
      <c r="Y570" s="47">
        <f>R570*INDEX(FmtBlendedCogs,MATCH(F570,FmtName,0))</f>
        <v/>
      </c>
      <c r="Z570" s="47">
        <f>X570-Y570</f>
        <v/>
      </c>
    </row>
    <row r="571">
      <c r="A571" t="n">
        <v>40</v>
      </c>
      <c r="B571" s="44">
        <f>FiscalStart+(A571-1)*7</f>
        <v/>
      </c>
      <c r="C571">
        <f>TEXT(B571,"mmm yyyy")</f>
        <v/>
      </c>
      <c r="D571">
        <f>"Q"&amp;(INT((A571-1)/13)+1)</f>
        <v/>
      </c>
      <c r="E571" t="inlineStr">
        <is>
          <t>On Premise</t>
        </is>
      </c>
      <c r="F571">
        <f>IFERROR(INDEX(ChFormat,MATCH(E571,ChName,0)),"")</f>
        <v/>
      </c>
      <c r="G571" t="inlineStr">
        <is>
          <t>BC</t>
        </is>
      </c>
      <c r="H571">
        <f>IF(A571&lt;=NWeeks,1,0)</f>
        <v/>
      </c>
      <c r="I571">
        <f>INDEX(ChLaunch,MATCH(E571,ChName,0))</f>
        <v/>
      </c>
      <c r="J571">
        <f>INDEX(ChWeeksFull,MATCH(E571,ChName,0))</f>
        <v/>
      </c>
      <c r="K571">
        <f>INDEX(ChRamp,MATCH(E571,ChName,0))</f>
        <v/>
      </c>
      <c r="L571" s="45">
        <f>MIN(1,MAX(0,(A571-I571+1)*RampSpeed/J571))</f>
        <v/>
      </c>
      <c r="M571" s="45">
        <f>IF(A571&lt;I571,0,IF(K571="S-curve",L571*L571*(3-2*L571),L571))</f>
        <v/>
      </c>
      <c r="N571" s="45">
        <f>1+(INDEX(SeasonIdx,A571)-1)*SeasonAmp</f>
        <v/>
      </c>
      <c r="O571" s="45">
        <f>IFERROR(INDEX(PSPct,MATCH(E571&amp;"|"&amp;G571,PSKey,0)),0)</f>
        <v/>
      </c>
      <c r="P571" s="46">
        <f>INDEX(ChDoorVel,MATCH(E571,ChName,0))*CalibScalar*(1+VelocityUplift)</f>
        <v/>
      </c>
      <c r="Q571" s="46" t="n">
        <v>0</v>
      </c>
      <c r="R571" s="46">
        <f>P571*O571*M571*N571*H571</f>
        <v/>
      </c>
      <c r="S571" s="46">
        <f>R571*INDEX(FmtCansPerCase,MATCH(F571,FmtName,0))</f>
        <v/>
      </c>
      <c r="T571" s="46">
        <f>S571/INDEX(FmtCansPerPack,MATCH(F571,FmtName,0))</f>
        <v/>
      </c>
      <c r="U571" s="47">
        <f>INDEX(ChBaseCP,MATCH(E571,ChName,0))*(1+INDEX(ProvMod,MATCH(G571,ProvCode,0)))*(1+PriceIndex)</f>
        <v/>
      </c>
      <c r="V571" s="47">
        <f>R571*U571*INDEX(FmtBlendedPriceIdx,MATCH(F571,FmtName,0))</f>
        <v/>
      </c>
      <c r="W571" s="47">
        <f>T571*INDEX(ProvSRP,MATCH(G571,ProvCode,0))*(1+PriceIndex)</f>
        <v/>
      </c>
      <c r="X571" s="47">
        <f>IF(GrossBasis="Wholesale",V571,W571)</f>
        <v/>
      </c>
      <c r="Y571" s="47">
        <f>R571*INDEX(FmtBlendedCogs,MATCH(F571,FmtName,0))</f>
        <v/>
      </c>
      <c r="Z571" s="47">
        <f>X571-Y571</f>
        <v/>
      </c>
    </row>
    <row r="572">
      <c r="A572" t="n">
        <v>41</v>
      </c>
      <c r="B572" s="44">
        <f>FiscalStart+(A572-1)*7</f>
        <v/>
      </c>
      <c r="C572">
        <f>TEXT(B572,"mmm yyyy")</f>
        <v/>
      </c>
      <c r="D572">
        <f>"Q"&amp;(INT((A572-1)/13)+1)</f>
        <v/>
      </c>
      <c r="E572" t="inlineStr">
        <is>
          <t>On Premise</t>
        </is>
      </c>
      <c r="F572">
        <f>IFERROR(INDEX(ChFormat,MATCH(E572,ChName,0)),"")</f>
        <v/>
      </c>
      <c r="G572" t="inlineStr">
        <is>
          <t>BC</t>
        </is>
      </c>
      <c r="H572">
        <f>IF(A572&lt;=NWeeks,1,0)</f>
        <v/>
      </c>
      <c r="I572">
        <f>INDEX(ChLaunch,MATCH(E572,ChName,0))</f>
        <v/>
      </c>
      <c r="J572">
        <f>INDEX(ChWeeksFull,MATCH(E572,ChName,0))</f>
        <v/>
      </c>
      <c r="K572">
        <f>INDEX(ChRamp,MATCH(E572,ChName,0))</f>
        <v/>
      </c>
      <c r="L572" s="45">
        <f>MIN(1,MAX(0,(A572-I572+1)*RampSpeed/J572))</f>
        <v/>
      </c>
      <c r="M572" s="45">
        <f>IF(A572&lt;I572,0,IF(K572="S-curve",L572*L572*(3-2*L572),L572))</f>
        <v/>
      </c>
      <c r="N572" s="45">
        <f>1+(INDEX(SeasonIdx,A572)-1)*SeasonAmp</f>
        <v/>
      </c>
      <c r="O572" s="45">
        <f>IFERROR(INDEX(PSPct,MATCH(E572&amp;"|"&amp;G572,PSKey,0)),0)</f>
        <v/>
      </c>
      <c r="P572" s="46">
        <f>INDEX(ChDoorVel,MATCH(E572,ChName,0))*CalibScalar*(1+VelocityUplift)</f>
        <v/>
      </c>
      <c r="Q572" s="46" t="n">
        <v>0</v>
      </c>
      <c r="R572" s="46">
        <f>P572*O572*M572*N572*H572</f>
        <v/>
      </c>
      <c r="S572" s="46">
        <f>R572*INDEX(FmtCansPerCase,MATCH(F572,FmtName,0))</f>
        <v/>
      </c>
      <c r="T572" s="46">
        <f>S572/INDEX(FmtCansPerPack,MATCH(F572,FmtName,0))</f>
        <v/>
      </c>
      <c r="U572" s="47">
        <f>INDEX(ChBaseCP,MATCH(E572,ChName,0))*(1+INDEX(ProvMod,MATCH(G572,ProvCode,0)))*(1+PriceIndex)</f>
        <v/>
      </c>
      <c r="V572" s="47">
        <f>R572*U572*INDEX(FmtBlendedPriceIdx,MATCH(F572,FmtName,0))</f>
        <v/>
      </c>
      <c r="W572" s="47">
        <f>T572*INDEX(ProvSRP,MATCH(G572,ProvCode,0))*(1+PriceIndex)</f>
        <v/>
      </c>
      <c r="X572" s="47">
        <f>IF(GrossBasis="Wholesale",V572,W572)</f>
        <v/>
      </c>
      <c r="Y572" s="47">
        <f>R572*INDEX(FmtBlendedCogs,MATCH(F572,FmtName,0))</f>
        <v/>
      </c>
      <c r="Z572" s="47">
        <f>X572-Y572</f>
        <v/>
      </c>
    </row>
    <row r="573">
      <c r="A573" t="n">
        <v>42</v>
      </c>
      <c r="B573" s="44">
        <f>FiscalStart+(A573-1)*7</f>
        <v/>
      </c>
      <c r="C573">
        <f>TEXT(B573,"mmm yyyy")</f>
        <v/>
      </c>
      <c r="D573">
        <f>"Q"&amp;(INT((A573-1)/13)+1)</f>
        <v/>
      </c>
      <c r="E573" t="inlineStr">
        <is>
          <t>On Premise</t>
        </is>
      </c>
      <c r="F573">
        <f>IFERROR(INDEX(ChFormat,MATCH(E573,ChName,0)),"")</f>
        <v/>
      </c>
      <c r="G573" t="inlineStr">
        <is>
          <t>BC</t>
        </is>
      </c>
      <c r="H573">
        <f>IF(A573&lt;=NWeeks,1,0)</f>
        <v/>
      </c>
      <c r="I573">
        <f>INDEX(ChLaunch,MATCH(E573,ChName,0))</f>
        <v/>
      </c>
      <c r="J573">
        <f>INDEX(ChWeeksFull,MATCH(E573,ChName,0))</f>
        <v/>
      </c>
      <c r="K573">
        <f>INDEX(ChRamp,MATCH(E573,ChName,0))</f>
        <v/>
      </c>
      <c r="L573" s="45">
        <f>MIN(1,MAX(0,(A573-I573+1)*RampSpeed/J573))</f>
        <v/>
      </c>
      <c r="M573" s="45">
        <f>IF(A573&lt;I573,0,IF(K573="S-curve",L573*L573*(3-2*L573),L573))</f>
        <v/>
      </c>
      <c r="N573" s="45">
        <f>1+(INDEX(SeasonIdx,A573)-1)*SeasonAmp</f>
        <v/>
      </c>
      <c r="O573" s="45">
        <f>IFERROR(INDEX(PSPct,MATCH(E573&amp;"|"&amp;G573,PSKey,0)),0)</f>
        <v/>
      </c>
      <c r="P573" s="46">
        <f>INDEX(ChDoorVel,MATCH(E573,ChName,0))*CalibScalar*(1+VelocityUplift)</f>
        <v/>
      </c>
      <c r="Q573" s="46" t="n">
        <v>0</v>
      </c>
      <c r="R573" s="46">
        <f>P573*O573*M573*N573*H573</f>
        <v/>
      </c>
      <c r="S573" s="46">
        <f>R573*INDEX(FmtCansPerCase,MATCH(F573,FmtName,0))</f>
        <v/>
      </c>
      <c r="T573" s="46">
        <f>S573/INDEX(FmtCansPerPack,MATCH(F573,FmtName,0))</f>
        <v/>
      </c>
      <c r="U573" s="47">
        <f>INDEX(ChBaseCP,MATCH(E573,ChName,0))*(1+INDEX(ProvMod,MATCH(G573,ProvCode,0)))*(1+PriceIndex)</f>
        <v/>
      </c>
      <c r="V573" s="47">
        <f>R573*U573*INDEX(FmtBlendedPriceIdx,MATCH(F573,FmtName,0))</f>
        <v/>
      </c>
      <c r="W573" s="47">
        <f>T573*INDEX(ProvSRP,MATCH(G573,ProvCode,0))*(1+PriceIndex)</f>
        <v/>
      </c>
      <c r="X573" s="47">
        <f>IF(GrossBasis="Wholesale",V573,W573)</f>
        <v/>
      </c>
      <c r="Y573" s="47">
        <f>R573*INDEX(FmtBlendedCogs,MATCH(F573,FmtName,0))</f>
        <v/>
      </c>
      <c r="Z573" s="47">
        <f>X573-Y573</f>
        <v/>
      </c>
    </row>
    <row r="574">
      <c r="A574" t="n">
        <v>43</v>
      </c>
      <c r="B574" s="44">
        <f>FiscalStart+(A574-1)*7</f>
        <v/>
      </c>
      <c r="C574">
        <f>TEXT(B574,"mmm yyyy")</f>
        <v/>
      </c>
      <c r="D574">
        <f>"Q"&amp;(INT((A574-1)/13)+1)</f>
        <v/>
      </c>
      <c r="E574" t="inlineStr">
        <is>
          <t>On Premise</t>
        </is>
      </c>
      <c r="F574">
        <f>IFERROR(INDEX(ChFormat,MATCH(E574,ChName,0)),"")</f>
        <v/>
      </c>
      <c r="G574" t="inlineStr">
        <is>
          <t>BC</t>
        </is>
      </c>
      <c r="H574">
        <f>IF(A574&lt;=NWeeks,1,0)</f>
        <v/>
      </c>
      <c r="I574">
        <f>INDEX(ChLaunch,MATCH(E574,ChName,0))</f>
        <v/>
      </c>
      <c r="J574">
        <f>INDEX(ChWeeksFull,MATCH(E574,ChName,0))</f>
        <v/>
      </c>
      <c r="K574">
        <f>INDEX(ChRamp,MATCH(E574,ChName,0))</f>
        <v/>
      </c>
      <c r="L574" s="45">
        <f>MIN(1,MAX(0,(A574-I574+1)*RampSpeed/J574))</f>
        <v/>
      </c>
      <c r="M574" s="45">
        <f>IF(A574&lt;I574,0,IF(K574="S-curve",L574*L574*(3-2*L574),L574))</f>
        <v/>
      </c>
      <c r="N574" s="45">
        <f>1+(INDEX(SeasonIdx,A574)-1)*SeasonAmp</f>
        <v/>
      </c>
      <c r="O574" s="45">
        <f>IFERROR(INDEX(PSPct,MATCH(E574&amp;"|"&amp;G574,PSKey,0)),0)</f>
        <v/>
      </c>
      <c r="P574" s="46">
        <f>INDEX(ChDoorVel,MATCH(E574,ChName,0))*CalibScalar*(1+VelocityUplift)</f>
        <v/>
      </c>
      <c r="Q574" s="46" t="n">
        <v>0</v>
      </c>
      <c r="R574" s="46">
        <f>P574*O574*M574*N574*H574</f>
        <v/>
      </c>
      <c r="S574" s="46">
        <f>R574*INDEX(FmtCansPerCase,MATCH(F574,FmtName,0))</f>
        <v/>
      </c>
      <c r="T574" s="46">
        <f>S574/INDEX(FmtCansPerPack,MATCH(F574,FmtName,0))</f>
        <v/>
      </c>
      <c r="U574" s="47">
        <f>INDEX(ChBaseCP,MATCH(E574,ChName,0))*(1+INDEX(ProvMod,MATCH(G574,ProvCode,0)))*(1+PriceIndex)</f>
        <v/>
      </c>
      <c r="V574" s="47">
        <f>R574*U574*INDEX(FmtBlendedPriceIdx,MATCH(F574,FmtName,0))</f>
        <v/>
      </c>
      <c r="W574" s="47">
        <f>T574*INDEX(ProvSRP,MATCH(G574,ProvCode,0))*(1+PriceIndex)</f>
        <v/>
      </c>
      <c r="X574" s="47">
        <f>IF(GrossBasis="Wholesale",V574,W574)</f>
        <v/>
      </c>
      <c r="Y574" s="47">
        <f>R574*INDEX(FmtBlendedCogs,MATCH(F574,FmtName,0))</f>
        <v/>
      </c>
      <c r="Z574" s="47">
        <f>X574-Y574</f>
        <v/>
      </c>
    </row>
    <row r="575">
      <c r="A575" t="n">
        <v>44</v>
      </c>
      <c r="B575" s="44">
        <f>FiscalStart+(A575-1)*7</f>
        <v/>
      </c>
      <c r="C575">
        <f>TEXT(B575,"mmm yyyy")</f>
        <v/>
      </c>
      <c r="D575">
        <f>"Q"&amp;(INT((A575-1)/13)+1)</f>
        <v/>
      </c>
      <c r="E575" t="inlineStr">
        <is>
          <t>On Premise</t>
        </is>
      </c>
      <c r="F575">
        <f>IFERROR(INDEX(ChFormat,MATCH(E575,ChName,0)),"")</f>
        <v/>
      </c>
      <c r="G575" t="inlineStr">
        <is>
          <t>BC</t>
        </is>
      </c>
      <c r="H575">
        <f>IF(A575&lt;=NWeeks,1,0)</f>
        <v/>
      </c>
      <c r="I575">
        <f>INDEX(ChLaunch,MATCH(E575,ChName,0))</f>
        <v/>
      </c>
      <c r="J575">
        <f>INDEX(ChWeeksFull,MATCH(E575,ChName,0))</f>
        <v/>
      </c>
      <c r="K575">
        <f>INDEX(ChRamp,MATCH(E575,ChName,0))</f>
        <v/>
      </c>
      <c r="L575" s="45">
        <f>MIN(1,MAX(0,(A575-I575+1)*RampSpeed/J575))</f>
        <v/>
      </c>
      <c r="M575" s="45">
        <f>IF(A575&lt;I575,0,IF(K575="S-curve",L575*L575*(3-2*L575),L575))</f>
        <v/>
      </c>
      <c r="N575" s="45">
        <f>1+(INDEX(SeasonIdx,A575)-1)*SeasonAmp</f>
        <v/>
      </c>
      <c r="O575" s="45">
        <f>IFERROR(INDEX(PSPct,MATCH(E575&amp;"|"&amp;G575,PSKey,0)),0)</f>
        <v/>
      </c>
      <c r="P575" s="46">
        <f>INDEX(ChDoorVel,MATCH(E575,ChName,0))*CalibScalar*(1+VelocityUplift)</f>
        <v/>
      </c>
      <c r="Q575" s="46" t="n">
        <v>0</v>
      </c>
      <c r="R575" s="46">
        <f>P575*O575*M575*N575*H575</f>
        <v/>
      </c>
      <c r="S575" s="46">
        <f>R575*INDEX(FmtCansPerCase,MATCH(F575,FmtName,0))</f>
        <v/>
      </c>
      <c r="T575" s="46">
        <f>S575/INDEX(FmtCansPerPack,MATCH(F575,FmtName,0))</f>
        <v/>
      </c>
      <c r="U575" s="47">
        <f>INDEX(ChBaseCP,MATCH(E575,ChName,0))*(1+INDEX(ProvMod,MATCH(G575,ProvCode,0)))*(1+PriceIndex)</f>
        <v/>
      </c>
      <c r="V575" s="47">
        <f>R575*U575*INDEX(FmtBlendedPriceIdx,MATCH(F575,FmtName,0))</f>
        <v/>
      </c>
      <c r="W575" s="47">
        <f>T575*INDEX(ProvSRP,MATCH(G575,ProvCode,0))*(1+PriceIndex)</f>
        <v/>
      </c>
      <c r="X575" s="47">
        <f>IF(GrossBasis="Wholesale",V575,W575)</f>
        <v/>
      </c>
      <c r="Y575" s="47">
        <f>R575*INDEX(FmtBlendedCogs,MATCH(F575,FmtName,0))</f>
        <v/>
      </c>
      <c r="Z575" s="47">
        <f>X575-Y575</f>
        <v/>
      </c>
    </row>
    <row r="576">
      <c r="A576" t="n">
        <v>45</v>
      </c>
      <c r="B576" s="44">
        <f>FiscalStart+(A576-1)*7</f>
        <v/>
      </c>
      <c r="C576">
        <f>TEXT(B576,"mmm yyyy")</f>
        <v/>
      </c>
      <c r="D576">
        <f>"Q"&amp;(INT((A576-1)/13)+1)</f>
        <v/>
      </c>
      <c r="E576" t="inlineStr">
        <is>
          <t>On Premise</t>
        </is>
      </c>
      <c r="F576">
        <f>IFERROR(INDEX(ChFormat,MATCH(E576,ChName,0)),"")</f>
        <v/>
      </c>
      <c r="G576" t="inlineStr">
        <is>
          <t>BC</t>
        </is>
      </c>
      <c r="H576">
        <f>IF(A576&lt;=NWeeks,1,0)</f>
        <v/>
      </c>
      <c r="I576">
        <f>INDEX(ChLaunch,MATCH(E576,ChName,0))</f>
        <v/>
      </c>
      <c r="J576">
        <f>INDEX(ChWeeksFull,MATCH(E576,ChName,0))</f>
        <v/>
      </c>
      <c r="K576">
        <f>INDEX(ChRamp,MATCH(E576,ChName,0))</f>
        <v/>
      </c>
      <c r="L576" s="45">
        <f>MIN(1,MAX(0,(A576-I576+1)*RampSpeed/J576))</f>
        <v/>
      </c>
      <c r="M576" s="45">
        <f>IF(A576&lt;I576,0,IF(K576="S-curve",L576*L576*(3-2*L576),L576))</f>
        <v/>
      </c>
      <c r="N576" s="45">
        <f>1+(INDEX(SeasonIdx,A576)-1)*SeasonAmp</f>
        <v/>
      </c>
      <c r="O576" s="45">
        <f>IFERROR(INDEX(PSPct,MATCH(E576&amp;"|"&amp;G576,PSKey,0)),0)</f>
        <v/>
      </c>
      <c r="P576" s="46">
        <f>INDEX(ChDoorVel,MATCH(E576,ChName,0))*CalibScalar*(1+VelocityUplift)</f>
        <v/>
      </c>
      <c r="Q576" s="46" t="n">
        <v>0</v>
      </c>
      <c r="R576" s="46">
        <f>P576*O576*M576*N576*H576</f>
        <v/>
      </c>
      <c r="S576" s="46">
        <f>R576*INDEX(FmtCansPerCase,MATCH(F576,FmtName,0))</f>
        <v/>
      </c>
      <c r="T576" s="46">
        <f>S576/INDEX(FmtCansPerPack,MATCH(F576,FmtName,0))</f>
        <v/>
      </c>
      <c r="U576" s="47">
        <f>INDEX(ChBaseCP,MATCH(E576,ChName,0))*(1+INDEX(ProvMod,MATCH(G576,ProvCode,0)))*(1+PriceIndex)</f>
        <v/>
      </c>
      <c r="V576" s="47">
        <f>R576*U576*INDEX(FmtBlendedPriceIdx,MATCH(F576,FmtName,0))</f>
        <v/>
      </c>
      <c r="W576" s="47">
        <f>T576*INDEX(ProvSRP,MATCH(G576,ProvCode,0))*(1+PriceIndex)</f>
        <v/>
      </c>
      <c r="X576" s="47">
        <f>IF(GrossBasis="Wholesale",V576,W576)</f>
        <v/>
      </c>
      <c r="Y576" s="47">
        <f>R576*INDEX(FmtBlendedCogs,MATCH(F576,FmtName,0))</f>
        <v/>
      </c>
      <c r="Z576" s="47">
        <f>X576-Y576</f>
        <v/>
      </c>
    </row>
    <row r="577">
      <c r="A577" t="n">
        <v>46</v>
      </c>
      <c r="B577" s="44">
        <f>FiscalStart+(A577-1)*7</f>
        <v/>
      </c>
      <c r="C577">
        <f>TEXT(B577,"mmm yyyy")</f>
        <v/>
      </c>
      <c r="D577">
        <f>"Q"&amp;(INT((A577-1)/13)+1)</f>
        <v/>
      </c>
      <c r="E577" t="inlineStr">
        <is>
          <t>On Premise</t>
        </is>
      </c>
      <c r="F577">
        <f>IFERROR(INDEX(ChFormat,MATCH(E577,ChName,0)),"")</f>
        <v/>
      </c>
      <c r="G577" t="inlineStr">
        <is>
          <t>BC</t>
        </is>
      </c>
      <c r="H577">
        <f>IF(A577&lt;=NWeeks,1,0)</f>
        <v/>
      </c>
      <c r="I577">
        <f>INDEX(ChLaunch,MATCH(E577,ChName,0))</f>
        <v/>
      </c>
      <c r="J577">
        <f>INDEX(ChWeeksFull,MATCH(E577,ChName,0))</f>
        <v/>
      </c>
      <c r="K577">
        <f>INDEX(ChRamp,MATCH(E577,ChName,0))</f>
        <v/>
      </c>
      <c r="L577" s="45">
        <f>MIN(1,MAX(0,(A577-I577+1)*RampSpeed/J577))</f>
        <v/>
      </c>
      <c r="M577" s="45">
        <f>IF(A577&lt;I577,0,IF(K577="S-curve",L577*L577*(3-2*L577),L577))</f>
        <v/>
      </c>
      <c r="N577" s="45">
        <f>1+(INDEX(SeasonIdx,A577)-1)*SeasonAmp</f>
        <v/>
      </c>
      <c r="O577" s="45">
        <f>IFERROR(INDEX(PSPct,MATCH(E577&amp;"|"&amp;G577,PSKey,0)),0)</f>
        <v/>
      </c>
      <c r="P577" s="46">
        <f>INDEX(ChDoorVel,MATCH(E577,ChName,0))*CalibScalar*(1+VelocityUplift)</f>
        <v/>
      </c>
      <c r="Q577" s="46" t="n">
        <v>0</v>
      </c>
      <c r="R577" s="46">
        <f>P577*O577*M577*N577*H577</f>
        <v/>
      </c>
      <c r="S577" s="46">
        <f>R577*INDEX(FmtCansPerCase,MATCH(F577,FmtName,0))</f>
        <v/>
      </c>
      <c r="T577" s="46">
        <f>S577/INDEX(FmtCansPerPack,MATCH(F577,FmtName,0))</f>
        <v/>
      </c>
      <c r="U577" s="47">
        <f>INDEX(ChBaseCP,MATCH(E577,ChName,0))*(1+INDEX(ProvMod,MATCH(G577,ProvCode,0)))*(1+PriceIndex)</f>
        <v/>
      </c>
      <c r="V577" s="47">
        <f>R577*U577*INDEX(FmtBlendedPriceIdx,MATCH(F577,FmtName,0))</f>
        <v/>
      </c>
      <c r="W577" s="47">
        <f>T577*INDEX(ProvSRP,MATCH(G577,ProvCode,0))*(1+PriceIndex)</f>
        <v/>
      </c>
      <c r="X577" s="47">
        <f>IF(GrossBasis="Wholesale",V577,W577)</f>
        <v/>
      </c>
      <c r="Y577" s="47">
        <f>R577*INDEX(FmtBlendedCogs,MATCH(F577,FmtName,0))</f>
        <v/>
      </c>
      <c r="Z577" s="47">
        <f>X577-Y577</f>
        <v/>
      </c>
    </row>
    <row r="578">
      <c r="A578" t="n">
        <v>47</v>
      </c>
      <c r="B578" s="44">
        <f>FiscalStart+(A578-1)*7</f>
        <v/>
      </c>
      <c r="C578">
        <f>TEXT(B578,"mmm yyyy")</f>
        <v/>
      </c>
      <c r="D578">
        <f>"Q"&amp;(INT((A578-1)/13)+1)</f>
        <v/>
      </c>
      <c r="E578" t="inlineStr">
        <is>
          <t>On Premise</t>
        </is>
      </c>
      <c r="F578">
        <f>IFERROR(INDEX(ChFormat,MATCH(E578,ChName,0)),"")</f>
        <v/>
      </c>
      <c r="G578" t="inlineStr">
        <is>
          <t>BC</t>
        </is>
      </c>
      <c r="H578">
        <f>IF(A578&lt;=NWeeks,1,0)</f>
        <v/>
      </c>
      <c r="I578">
        <f>INDEX(ChLaunch,MATCH(E578,ChName,0))</f>
        <v/>
      </c>
      <c r="J578">
        <f>INDEX(ChWeeksFull,MATCH(E578,ChName,0))</f>
        <v/>
      </c>
      <c r="K578">
        <f>INDEX(ChRamp,MATCH(E578,ChName,0))</f>
        <v/>
      </c>
      <c r="L578" s="45">
        <f>MIN(1,MAX(0,(A578-I578+1)*RampSpeed/J578))</f>
        <v/>
      </c>
      <c r="M578" s="45">
        <f>IF(A578&lt;I578,0,IF(K578="S-curve",L578*L578*(3-2*L578),L578))</f>
        <v/>
      </c>
      <c r="N578" s="45">
        <f>1+(INDEX(SeasonIdx,A578)-1)*SeasonAmp</f>
        <v/>
      </c>
      <c r="O578" s="45">
        <f>IFERROR(INDEX(PSPct,MATCH(E578&amp;"|"&amp;G578,PSKey,0)),0)</f>
        <v/>
      </c>
      <c r="P578" s="46">
        <f>INDEX(ChDoorVel,MATCH(E578,ChName,0))*CalibScalar*(1+VelocityUplift)</f>
        <v/>
      </c>
      <c r="Q578" s="46" t="n">
        <v>0</v>
      </c>
      <c r="R578" s="46">
        <f>P578*O578*M578*N578*H578</f>
        <v/>
      </c>
      <c r="S578" s="46">
        <f>R578*INDEX(FmtCansPerCase,MATCH(F578,FmtName,0))</f>
        <v/>
      </c>
      <c r="T578" s="46">
        <f>S578/INDEX(FmtCansPerPack,MATCH(F578,FmtName,0))</f>
        <v/>
      </c>
      <c r="U578" s="47">
        <f>INDEX(ChBaseCP,MATCH(E578,ChName,0))*(1+INDEX(ProvMod,MATCH(G578,ProvCode,0)))*(1+PriceIndex)</f>
        <v/>
      </c>
      <c r="V578" s="47">
        <f>R578*U578*INDEX(FmtBlendedPriceIdx,MATCH(F578,FmtName,0))</f>
        <v/>
      </c>
      <c r="W578" s="47">
        <f>T578*INDEX(ProvSRP,MATCH(G578,ProvCode,0))*(1+PriceIndex)</f>
        <v/>
      </c>
      <c r="X578" s="47">
        <f>IF(GrossBasis="Wholesale",V578,W578)</f>
        <v/>
      </c>
      <c r="Y578" s="47">
        <f>R578*INDEX(FmtBlendedCogs,MATCH(F578,FmtName,0))</f>
        <v/>
      </c>
      <c r="Z578" s="47">
        <f>X578-Y578</f>
        <v/>
      </c>
    </row>
    <row r="579">
      <c r="A579" t="n">
        <v>48</v>
      </c>
      <c r="B579" s="44">
        <f>FiscalStart+(A579-1)*7</f>
        <v/>
      </c>
      <c r="C579">
        <f>TEXT(B579,"mmm yyyy")</f>
        <v/>
      </c>
      <c r="D579">
        <f>"Q"&amp;(INT((A579-1)/13)+1)</f>
        <v/>
      </c>
      <c r="E579" t="inlineStr">
        <is>
          <t>On Premise</t>
        </is>
      </c>
      <c r="F579">
        <f>IFERROR(INDEX(ChFormat,MATCH(E579,ChName,0)),"")</f>
        <v/>
      </c>
      <c r="G579" t="inlineStr">
        <is>
          <t>BC</t>
        </is>
      </c>
      <c r="H579">
        <f>IF(A579&lt;=NWeeks,1,0)</f>
        <v/>
      </c>
      <c r="I579">
        <f>INDEX(ChLaunch,MATCH(E579,ChName,0))</f>
        <v/>
      </c>
      <c r="J579">
        <f>INDEX(ChWeeksFull,MATCH(E579,ChName,0))</f>
        <v/>
      </c>
      <c r="K579">
        <f>INDEX(ChRamp,MATCH(E579,ChName,0))</f>
        <v/>
      </c>
      <c r="L579" s="45">
        <f>MIN(1,MAX(0,(A579-I579+1)*RampSpeed/J579))</f>
        <v/>
      </c>
      <c r="M579" s="45">
        <f>IF(A579&lt;I579,0,IF(K579="S-curve",L579*L579*(3-2*L579),L579))</f>
        <v/>
      </c>
      <c r="N579" s="45">
        <f>1+(INDEX(SeasonIdx,A579)-1)*SeasonAmp</f>
        <v/>
      </c>
      <c r="O579" s="45">
        <f>IFERROR(INDEX(PSPct,MATCH(E579&amp;"|"&amp;G579,PSKey,0)),0)</f>
        <v/>
      </c>
      <c r="P579" s="46">
        <f>INDEX(ChDoorVel,MATCH(E579,ChName,0))*CalibScalar*(1+VelocityUplift)</f>
        <v/>
      </c>
      <c r="Q579" s="46" t="n">
        <v>0</v>
      </c>
      <c r="R579" s="46">
        <f>P579*O579*M579*N579*H579</f>
        <v/>
      </c>
      <c r="S579" s="46">
        <f>R579*INDEX(FmtCansPerCase,MATCH(F579,FmtName,0))</f>
        <v/>
      </c>
      <c r="T579" s="46">
        <f>S579/INDEX(FmtCansPerPack,MATCH(F579,FmtName,0))</f>
        <v/>
      </c>
      <c r="U579" s="47">
        <f>INDEX(ChBaseCP,MATCH(E579,ChName,0))*(1+INDEX(ProvMod,MATCH(G579,ProvCode,0)))*(1+PriceIndex)</f>
        <v/>
      </c>
      <c r="V579" s="47">
        <f>R579*U579*INDEX(FmtBlendedPriceIdx,MATCH(F579,FmtName,0))</f>
        <v/>
      </c>
      <c r="W579" s="47">
        <f>T579*INDEX(ProvSRP,MATCH(G579,ProvCode,0))*(1+PriceIndex)</f>
        <v/>
      </c>
      <c r="X579" s="47">
        <f>IF(GrossBasis="Wholesale",V579,W579)</f>
        <v/>
      </c>
      <c r="Y579" s="47">
        <f>R579*INDEX(FmtBlendedCogs,MATCH(F579,FmtName,0))</f>
        <v/>
      </c>
      <c r="Z579" s="47">
        <f>X579-Y579</f>
        <v/>
      </c>
    </row>
    <row r="580">
      <c r="A580" t="n">
        <v>49</v>
      </c>
      <c r="B580" s="44">
        <f>FiscalStart+(A580-1)*7</f>
        <v/>
      </c>
      <c r="C580">
        <f>TEXT(B580,"mmm yyyy")</f>
        <v/>
      </c>
      <c r="D580">
        <f>"Q"&amp;(INT((A580-1)/13)+1)</f>
        <v/>
      </c>
      <c r="E580" t="inlineStr">
        <is>
          <t>On Premise</t>
        </is>
      </c>
      <c r="F580">
        <f>IFERROR(INDEX(ChFormat,MATCH(E580,ChName,0)),"")</f>
        <v/>
      </c>
      <c r="G580" t="inlineStr">
        <is>
          <t>BC</t>
        </is>
      </c>
      <c r="H580">
        <f>IF(A580&lt;=NWeeks,1,0)</f>
        <v/>
      </c>
      <c r="I580">
        <f>INDEX(ChLaunch,MATCH(E580,ChName,0))</f>
        <v/>
      </c>
      <c r="J580">
        <f>INDEX(ChWeeksFull,MATCH(E580,ChName,0))</f>
        <v/>
      </c>
      <c r="K580">
        <f>INDEX(ChRamp,MATCH(E580,ChName,0))</f>
        <v/>
      </c>
      <c r="L580" s="45">
        <f>MIN(1,MAX(0,(A580-I580+1)*RampSpeed/J580))</f>
        <v/>
      </c>
      <c r="M580" s="45">
        <f>IF(A580&lt;I580,0,IF(K580="S-curve",L580*L580*(3-2*L580),L580))</f>
        <v/>
      </c>
      <c r="N580" s="45">
        <f>1+(INDEX(SeasonIdx,A580)-1)*SeasonAmp</f>
        <v/>
      </c>
      <c r="O580" s="45">
        <f>IFERROR(INDEX(PSPct,MATCH(E580&amp;"|"&amp;G580,PSKey,0)),0)</f>
        <v/>
      </c>
      <c r="P580" s="46">
        <f>INDEX(ChDoorVel,MATCH(E580,ChName,0))*CalibScalar*(1+VelocityUplift)</f>
        <v/>
      </c>
      <c r="Q580" s="46" t="n">
        <v>0</v>
      </c>
      <c r="R580" s="46">
        <f>P580*O580*M580*N580*H580</f>
        <v/>
      </c>
      <c r="S580" s="46">
        <f>R580*INDEX(FmtCansPerCase,MATCH(F580,FmtName,0))</f>
        <v/>
      </c>
      <c r="T580" s="46">
        <f>S580/INDEX(FmtCansPerPack,MATCH(F580,FmtName,0))</f>
        <v/>
      </c>
      <c r="U580" s="47">
        <f>INDEX(ChBaseCP,MATCH(E580,ChName,0))*(1+INDEX(ProvMod,MATCH(G580,ProvCode,0)))*(1+PriceIndex)</f>
        <v/>
      </c>
      <c r="V580" s="47">
        <f>R580*U580*INDEX(FmtBlendedPriceIdx,MATCH(F580,FmtName,0))</f>
        <v/>
      </c>
      <c r="W580" s="47">
        <f>T580*INDEX(ProvSRP,MATCH(G580,ProvCode,0))*(1+PriceIndex)</f>
        <v/>
      </c>
      <c r="X580" s="47">
        <f>IF(GrossBasis="Wholesale",V580,W580)</f>
        <v/>
      </c>
      <c r="Y580" s="47">
        <f>R580*INDEX(FmtBlendedCogs,MATCH(F580,FmtName,0))</f>
        <v/>
      </c>
      <c r="Z580" s="47">
        <f>X580-Y580</f>
        <v/>
      </c>
    </row>
    <row r="581">
      <c r="A581" t="n">
        <v>50</v>
      </c>
      <c r="B581" s="44">
        <f>FiscalStart+(A581-1)*7</f>
        <v/>
      </c>
      <c r="C581">
        <f>TEXT(B581,"mmm yyyy")</f>
        <v/>
      </c>
      <c r="D581">
        <f>"Q"&amp;(INT((A581-1)/13)+1)</f>
        <v/>
      </c>
      <c r="E581" t="inlineStr">
        <is>
          <t>On Premise</t>
        </is>
      </c>
      <c r="F581">
        <f>IFERROR(INDEX(ChFormat,MATCH(E581,ChName,0)),"")</f>
        <v/>
      </c>
      <c r="G581" t="inlineStr">
        <is>
          <t>BC</t>
        </is>
      </c>
      <c r="H581">
        <f>IF(A581&lt;=NWeeks,1,0)</f>
        <v/>
      </c>
      <c r="I581">
        <f>INDEX(ChLaunch,MATCH(E581,ChName,0))</f>
        <v/>
      </c>
      <c r="J581">
        <f>INDEX(ChWeeksFull,MATCH(E581,ChName,0))</f>
        <v/>
      </c>
      <c r="K581">
        <f>INDEX(ChRamp,MATCH(E581,ChName,0))</f>
        <v/>
      </c>
      <c r="L581" s="45">
        <f>MIN(1,MAX(0,(A581-I581+1)*RampSpeed/J581))</f>
        <v/>
      </c>
      <c r="M581" s="45">
        <f>IF(A581&lt;I581,0,IF(K581="S-curve",L581*L581*(3-2*L581),L581))</f>
        <v/>
      </c>
      <c r="N581" s="45">
        <f>1+(INDEX(SeasonIdx,A581)-1)*SeasonAmp</f>
        <v/>
      </c>
      <c r="O581" s="45">
        <f>IFERROR(INDEX(PSPct,MATCH(E581&amp;"|"&amp;G581,PSKey,0)),0)</f>
        <v/>
      </c>
      <c r="P581" s="46">
        <f>INDEX(ChDoorVel,MATCH(E581,ChName,0))*CalibScalar*(1+VelocityUplift)</f>
        <v/>
      </c>
      <c r="Q581" s="46" t="n">
        <v>0</v>
      </c>
      <c r="R581" s="46">
        <f>P581*O581*M581*N581*H581</f>
        <v/>
      </c>
      <c r="S581" s="46">
        <f>R581*INDEX(FmtCansPerCase,MATCH(F581,FmtName,0))</f>
        <v/>
      </c>
      <c r="T581" s="46">
        <f>S581/INDEX(FmtCansPerPack,MATCH(F581,FmtName,0))</f>
        <v/>
      </c>
      <c r="U581" s="47">
        <f>INDEX(ChBaseCP,MATCH(E581,ChName,0))*(1+INDEX(ProvMod,MATCH(G581,ProvCode,0)))*(1+PriceIndex)</f>
        <v/>
      </c>
      <c r="V581" s="47">
        <f>R581*U581*INDEX(FmtBlendedPriceIdx,MATCH(F581,FmtName,0))</f>
        <v/>
      </c>
      <c r="W581" s="47">
        <f>T581*INDEX(ProvSRP,MATCH(G581,ProvCode,0))*(1+PriceIndex)</f>
        <v/>
      </c>
      <c r="X581" s="47">
        <f>IF(GrossBasis="Wholesale",V581,W581)</f>
        <v/>
      </c>
      <c r="Y581" s="47">
        <f>R581*INDEX(FmtBlendedCogs,MATCH(F581,FmtName,0))</f>
        <v/>
      </c>
      <c r="Z581" s="47">
        <f>X581-Y581</f>
        <v/>
      </c>
    </row>
    <row r="582">
      <c r="A582" t="n">
        <v>51</v>
      </c>
      <c r="B582" s="44">
        <f>FiscalStart+(A582-1)*7</f>
        <v/>
      </c>
      <c r="C582">
        <f>TEXT(B582,"mmm yyyy")</f>
        <v/>
      </c>
      <c r="D582">
        <f>"Q"&amp;(INT((A582-1)/13)+1)</f>
        <v/>
      </c>
      <c r="E582" t="inlineStr">
        <is>
          <t>On Premise</t>
        </is>
      </c>
      <c r="F582">
        <f>IFERROR(INDEX(ChFormat,MATCH(E582,ChName,0)),"")</f>
        <v/>
      </c>
      <c r="G582" t="inlineStr">
        <is>
          <t>BC</t>
        </is>
      </c>
      <c r="H582">
        <f>IF(A582&lt;=NWeeks,1,0)</f>
        <v/>
      </c>
      <c r="I582">
        <f>INDEX(ChLaunch,MATCH(E582,ChName,0))</f>
        <v/>
      </c>
      <c r="J582">
        <f>INDEX(ChWeeksFull,MATCH(E582,ChName,0))</f>
        <v/>
      </c>
      <c r="K582">
        <f>INDEX(ChRamp,MATCH(E582,ChName,0))</f>
        <v/>
      </c>
      <c r="L582" s="45">
        <f>MIN(1,MAX(0,(A582-I582+1)*RampSpeed/J582))</f>
        <v/>
      </c>
      <c r="M582" s="45">
        <f>IF(A582&lt;I582,0,IF(K582="S-curve",L582*L582*(3-2*L582),L582))</f>
        <v/>
      </c>
      <c r="N582" s="45">
        <f>1+(INDEX(SeasonIdx,A582)-1)*SeasonAmp</f>
        <v/>
      </c>
      <c r="O582" s="45">
        <f>IFERROR(INDEX(PSPct,MATCH(E582&amp;"|"&amp;G582,PSKey,0)),0)</f>
        <v/>
      </c>
      <c r="P582" s="46">
        <f>INDEX(ChDoorVel,MATCH(E582,ChName,0))*CalibScalar*(1+VelocityUplift)</f>
        <v/>
      </c>
      <c r="Q582" s="46" t="n">
        <v>0</v>
      </c>
      <c r="R582" s="46">
        <f>P582*O582*M582*N582*H582</f>
        <v/>
      </c>
      <c r="S582" s="46">
        <f>R582*INDEX(FmtCansPerCase,MATCH(F582,FmtName,0))</f>
        <v/>
      </c>
      <c r="T582" s="46">
        <f>S582/INDEX(FmtCansPerPack,MATCH(F582,FmtName,0))</f>
        <v/>
      </c>
      <c r="U582" s="47">
        <f>INDEX(ChBaseCP,MATCH(E582,ChName,0))*(1+INDEX(ProvMod,MATCH(G582,ProvCode,0)))*(1+PriceIndex)</f>
        <v/>
      </c>
      <c r="V582" s="47">
        <f>R582*U582*INDEX(FmtBlendedPriceIdx,MATCH(F582,FmtName,0))</f>
        <v/>
      </c>
      <c r="W582" s="47">
        <f>T582*INDEX(ProvSRP,MATCH(G582,ProvCode,0))*(1+PriceIndex)</f>
        <v/>
      </c>
      <c r="X582" s="47">
        <f>IF(GrossBasis="Wholesale",V582,W582)</f>
        <v/>
      </c>
      <c r="Y582" s="47">
        <f>R582*INDEX(FmtBlendedCogs,MATCH(F582,FmtName,0))</f>
        <v/>
      </c>
      <c r="Z582" s="47">
        <f>X582-Y582</f>
        <v/>
      </c>
    </row>
    <row r="583">
      <c r="A583" t="n">
        <v>52</v>
      </c>
      <c r="B583" s="44">
        <f>FiscalStart+(A583-1)*7</f>
        <v/>
      </c>
      <c r="C583">
        <f>TEXT(B583,"mmm yyyy")</f>
        <v/>
      </c>
      <c r="D583">
        <f>"Q"&amp;(INT((A583-1)/13)+1)</f>
        <v/>
      </c>
      <c r="E583" t="inlineStr">
        <is>
          <t>On Premise</t>
        </is>
      </c>
      <c r="F583">
        <f>IFERROR(INDEX(ChFormat,MATCH(E583,ChName,0)),"")</f>
        <v/>
      </c>
      <c r="G583" t="inlineStr">
        <is>
          <t>BC</t>
        </is>
      </c>
      <c r="H583">
        <f>IF(A583&lt;=NWeeks,1,0)</f>
        <v/>
      </c>
      <c r="I583">
        <f>INDEX(ChLaunch,MATCH(E583,ChName,0))</f>
        <v/>
      </c>
      <c r="J583">
        <f>INDEX(ChWeeksFull,MATCH(E583,ChName,0))</f>
        <v/>
      </c>
      <c r="K583">
        <f>INDEX(ChRamp,MATCH(E583,ChName,0))</f>
        <v/>
      </c>
      <c r="L583" s="45">
        <f>MIN(1,MAX(0,(A583-I583+1)*RampSpeed/J583))</f>
        <v/>
      </c>
      <c r="M583" s="45">
        <f>IF(A583&lt;I583,0,IF(K583="S-curve",L583*L583*(3-2*L583),L583))</f>
        <v/>
      </c>
      <c r="N583" s="45">
        <f>1+(INDEX(SeasonIdx,A583)-1)*SeasonAmp</f>
        <v/>
      </c>
      <c r="O583" s="45">
        <f>IFERROR(INDEX(PSPct,MATCH(E583&amp;"|"&amp;G583,PSKey,0)),0)</f>
        <v/>
      </c>
      <c r="P583" s="46">
        <f>INDEX(ChDoorVel,MATCH(E583,ChName,0))*CalibScalar*(1+VelocityUplift)</f>
        <v/>
      </c>
      <c r="Q583" s="46" t="n">
        <v>0</v>
      </c>
      <c r="R583" s="46">
        <f>P583*O583*M583*N583*H583</f>
        <v/>
      </c>
      <c r="S583" s="46">
        <f>R583*INDEX(FmtCansPerCase,MATCH(F583,FmtName,0))</f>
        <v/>
      </c>
      <c r="T583" s="46">
        <f>S583/INDEX(FmtCansPerPack,MATCH(F583,FmtName,0))</f>
        <v/>
      </c>
      <c r="U583" s="47">
        <f>INDEX(ChBaseCP,MATCH(E583,ChName,0))*(1+INDEX(ProvMod,MATCH(G583,ProvCode,0)))*(1+PriceIndex)</f>
        <v/>
      </c>
      <c r="V583" s="47">
        <f>R583*U583*INDEX(FmtBlendedPriceIdx,MATCH(F583,FmtName,0))</f>
        <v/>
      </c>
      <c r="W583" s="47">
        <f>T583*INDEX(ProvSRP,MATCH(G583,ProvCode,0))*(1+PriceIndex)</f>
        <v/>
      </c>
      <c r="X583" s="47">
        <f>IF(GrossBasis="Wholesale",V583,W583)</f>
        <v/>
      </c>
      <c r="Y583" s="47">
        <f>R583*INDEX(FmtBlendedCogs,MATCH(F583,FmtName,0))</f>
        <v/>
      </c>
      <c r="Z583" s="47">
        <f>X583-Y583</f>
        <v/>
      </c>
    </row>
    <row r="584">
      <c r="A584" t="n">
        <v>53</v>
      </c>
      <c r="B584" s="44">
        <f>FiscalStart+(A584-1)*7</f>
        <v/>
      </c>
      <c r="C584">
        <f>TEXT(B584,"mmm yyyy")</f>
        <v/>
      </c>
      <c r="D584">
        <f>"Q"&amp;(INT((A584-1)/13)+1)</f>
        <v/>
      </c>
      <c r="E584" t="inlineStr">
        <is>
          <t>On Premise</t>
        </is>
      </c>
      <c r="F584">
        <f>IFERROR(INDEX(ChFormat,MATCH(E584,ChName,0)),"")</f>
        <v/>
      </c>
      <c r="G584" t="inlineStr">
        <is>
          <t>BC</t>
        </is>
      </c>
      <c r="H584">
        <f>IF(A584&lt;=NWeeks,1,0)</f>
        <v/>
      </c>
      <c r="I584">
        <f>INDEX(ChLaunch,MATCH(E584,ChName,0))</f>
        <v/>
      </c>
      <c r="J584">
        <f>INDEX(ChWeeksFull,MATCH(E584,ChName,0))</f>
        <v/>
      </c>
      <c r="K584">
        <f>INDEX(ChRamp,MATCH(E584,ChName,0))</f>
        <v/>
      </c>
      <c r="L584" s="45">
        <f>MIN(1,MAX(0,(A584-I584+1)*RampSpeed/J584))</f>
        <v/>
      </c>
      <c r="M584" s="45">
        <f>IF(A584&lt;I584,0,IF(K584="S-curve",L584*L584*(3-2*L584),L584))</f>
        <v/>
      </c>
      <c r="N584" s="45">
        <f>1+(INDEX(SeasonIdx,A584)-1)*SeasonAmp</f>
        <v/>
      </c>
      <c r="O584" s="45">
        <f>IFERROR(INDEX(PSPct,MATCH(E584&amp;"|"&amp;G584,PSKey,0)),0)</f>
        <v/>
      </c>
      <c r="P584" s="46">
        <f>INDEX(ChDoorVel,MATCH(E584,ChName,0))*CalibScalar*(1+VelocityUplift)</f>
        <v/>
      </c>
      <c r="Q584" s="46" t="n">
        <v>0</v>
      </c>
      <c r="R584" s="46">
        <f>P584*O584*M584*N584*H584</f>
        <v/>
      </c>
      <c r="S584" s="46">
        <f>R584*INDEX(FmtCansPerCase,MATCH(F584,FmtName,0))</f>
        <v/>
      </c>
      <c r="T584" s="46">
        <f>S584/INDEX(FmtCansPerPack,MATCH(F584,FmtName,0))</f>
        <v/>
      </c>
      <c r="U584" s="47">
        <f>INDEX(ChBaseCP,MATCH(E584,ChName,0))*(1+INDEX(ProvMod,MATCH(G584,ProvCode,0)))*(1+PriceIndex)</f>
        <v/>
      </c>
      <c r="V584" s="47">
        <f>R584*U584*INDEX(FmtBlendedPriceIdx,MATCH(F584,FmtName,0))</f>
        <v/>
      </c>
      <c r="W584" s="47">
        <f>T584*INDEX(ProvSRP,MATCH(G584,ProvCode,0))*(1+PriceIndex)</f>
        <v/>
      </c>
      <c r="X584" s="47">
        <f>IF(GrossBasis="Wholesale",V584,W584)</f>
        <v/>
      </c>
      <c r="Y584" s="47">
        <f>R584*INDEX(FmtBlendedCogs,MATCH(F584,FmtName,0))</f>
        <v/>
      </c>
      <c r="Z584" s="47">
        <f>X584-Y584</f>
        <v/>
      </c>
    </row>
    <row r="585">
      <c r="A585" t="n">
        <v>1</v>
      </c>
      <c r="B585" s="44">
        <f>FiscalStart+(A585-1)*7</f>
        <v/>
      </c>
      <c r="C585">
        <f>TEXT(B585,"mmm yyyy")</f>
        <v/>
      </c>
      <c r="D585">
        <f>"Q"&amp;(INT((A585-1)/13)+1)</f>
        <v/>
      </c>
      <c r="E585" t="inlineStr">
        <is>
          <t>On Premise</t>
        </is>
      </c>
      <c r="F585">
        <f>IFERROR(INDEX(ChFormat,MATCH(E585,ChName,0)),"")</f>
        <v/>
      </c>
      <c r="G585" t="inlineStr">
        <is>
          <t>AB</t>
        </is>
      </c>
      <c r="H585">
        <f>IF(A585&lt;=NWeeks,1,0)</f>
        <v/>
      </c>
      <c r="I585">
        <f>INDEX(ChLaunch,MATCH(E585,ChName,0))</f>
        <v/>
      </c>
      <c r="J585">
        <f>INDEX(ChWeeksFull,MATCH(E585,ChName,0))</f>
        <v/>
      </c>
      <c r="K585">
        <f>INDEX(ChRamp,MATCH(E585,ChName,0))</f>
        <v/>
      </c>
      <c r="L585" s="45">
        <f>MIN(1,MAX(0,(A585-I585+1)*RampSpeed/J585))</f>
        <v/>
      </c>
      <c r="M585" s="45">
        <f>IF(A585&lt;I585,0,IF(K585="S-curve",L585*L585*(3-2*L585),L585))</f>
        <v/>
      </c>
      <c r="N585" s="45">
        <f>1+(INDEX(SeasonIdx,A585)-1)*SeasonAmp</f>
        <v/>
      </c>
      <c r="O585" s="45">
        <f>IFERROR(INDEX(PSPct,MATCH(E585&amp;"|"&amp;G585,PSKey,0)),0)</f>
        <v/>
      </c>
      <c r="P585" s="46">
        <f>INDEX(ChDoorVel,MATCH(E585,ChName,0))*CalibScalar*(1+VelocityUplift)</f>
        <v/>
      </c>
      <c r="Q585" s="46" t="n">
        <v>0</v>
      </c>
      <c r="R585" s="46">
        <f>P585*O585*M585*N585*H585</f>
        <v/>
      </c>
      <c r="S585" s="46">
        <f>R585*INDEX(FmtCansPerCase,MATCH(F585,FmtName,0))</f>
        <v/>
      </c>
      <c r="T585" s="46">
        <f>S585/INDEX(FmtCansPerPack,MATCH(F585,FmtName,0))</f>
        <v/>
      </c>
      <c r="U585" s="47">
        <f>INDEX(ChBaseCP,MATCH(E585,ChName,0))*(1+INDEX(ProvMod,MATCH(G585,ProvCode,0)))*(1+PriceIndex)</f>
        <v/>
      </c>
      <c r="V585" s="47">
        <f>R585*U585*INDEX(FmtBlendedPriceIdx,MATCH(F585,FmtName,0))</f>
        <v/>
      </c>
      <c r="W585" s="47">
        <f>T585*INDEX(ProvSRP,MATCH(G585,ProvCode,0))*(1+PriceIndex)</f>
        <v/>
      </c>
      <c r="X585" s="47">
        <f>IF(GrossBasis="Wholesale",V585,W585)</f>
        <v/>
      </c>
      <c r="Y585" s="47">
        <f>R585*INDEX(FmtBlendedCogs,MATCH(F585,FmtName,0))</f>
        <v/>
      </c>
      <c r="Z585" s="47">
        <f>X585-Y585</f>
        <v/>
      </c>
    </row>
    <row r="586">
      <c r="A586" t="n">
        <v>2</v>
      </c>
      <c r="B586" s="44">
        <f>FiscalStart+(A586-1)*7</f>
        <v/>
      </c>
      <c r="C586">
        <f>TEXT(B586,"mmm yyyy")</f>
        <v/>
      </c>
      <c r="D586">
        <f>"Q"&amp;(INT((A586-1)/13)+1)</f>
        <v/>
      </c>
      <c r="E586" t="inlineStr">
        <is>
          <t>On Premise</t>
        </is>
      </c>
      <c r="F586">
        <f>IFERROR(INDEX(ChFormat,MATCH(E586,ChName,0)),"")</f>
        <v/>
      </c>
      <c r="G586" t="inlineStr">
        <is>
          <t>AB</t>
        </is>
      </c>
      <c r="H586">
        <f>IF(A586&lt;=NWeeks,1,0)</f>
        <v/>
      </c>
      <c r="I586">
        <f>INDEX(ChLaunch,MATCH(E586,ChName,0))</f>
        <v/>
      </c>
      <c r="J586">
        <f>INDEX(ChWeeksFull,MATCH(E586,ChName,0))</f>
        <v/>
      </c>
      <c r="K586">
        <f>INDEX(ChRamp,MATCH(E586,ChName,0))</f>
        <v/>
      </c>
      <c r="L586" s="45">
        <f>MIN(1,MAX(0,(A586-I586+1)*RampSpeed/J586))</f>
        <v/>
      </c>
      <c r="M586" s="45">
        <f>IF(A586&lt;I586,0,IF(K586="S-curve",L586*L586*(3-2*L586),L586))</f>
        <v/>
      </c>
      <c r="N586" s="45">
        <f>1+(INDEX(SeasonIdx,A586)-1)*SeasonAmp</f>
        <v/>
      </c>
      <c r="O586" s="45">
        <f>IFERROR(INDEX(PSPct,MATCH(E586&amp;"|"&amp;G586,PSKey,0)),0)</f>
        <v/>
      </c>
      <c r="P586" s="46">
        <f>INDEX(ChDoorVel,MATCH(E586,ChName,0))*CalibScalar*(1+VelocityUplift)</f>
        <v/>
      </c>
      <c r="Q586" s="46" t="n">
        <v>0</v>
      </c>
      <c r="R586" s="46">
        <f>P586*O586*M586*N586*H586</f>
        <v/>
      </c>
      <c r="S586" s="46">
        <f>R586*INDEX(FmtCansPerCase,MATCH(F586,FmtName,0))</f>
        <v/>
      </c>
      <c r="T586" s="46">
        <f>S586/INDEX(FmtCansPerPack,MATCH(F586,FmtName,0))</f>
        <v/>
      </c>
      <c r="U586" s="47">
        <f>INDEX(ChBaseCP,MATCH(E586,ChName,0))*(1+INDEX(ProvMod,MATCH(G586,ProvCode,0)))*(1+PriceIndex)</f>
        <v/>
      </c>
      <c r="V586" s="47">
        <f>R586*U586*INDEX(FmtBlendedPriceIdx,MATCH(F586,FmtName,0))</f>
        <v/>
      </c>
      <c r="W586" s="47">
        <f>T586*INDEX(ProvSRP,MATCH(G586,ProvCode,0))*(1+PriceIndex)</f>
        <v/>
      </c>
      <c r="X586" s="47">
        <f>IF(GrossBasis="Wholesale",V586,W586)</f>
        <v/>
      </c>
      <c r="Y586" s="47">
        <f>R586*INDEX(FmtBlendedCogs,MATCH(F586,FmtName,0))</f>
        <v/>
      </c>
      <c r="Z586" s="47">
        <f>X586-Y586</f>
        <v/>
      </c>
    </row>
    <row r="587">
      <c r="A587" t="n">
        <v>3</v>
      </c>
      <c r="B587" s="44">
        <f>FiscalStart+(A587-1)*7</f>
        <v/>
      </c>
      <c r="C587">
        <f>TEXT(B587,"mmm yyyy")</f>
        <v/>
      </c>
      <c r="D587">
        <f>"Q"&amp;(INT((A587-1)/13)+1)</f>
        <v/>
      </c>
      <c r="E587" t="inlineStr">
        <is>
          <t>On Premise</t>
        </is>
      </c>
      <c r="F587">
        <f>IFERROR(INDEX(ChFormat,MATCH(E587,ChName,0)),"")</f>
        <v/>
      </c>
      <c r="G587" t="inlineStr">
        <is>
          <t>AB</t>
        </is>
      </c>
      <c r="H587">
        <f>IF(A587&lt;=NWeeks,1,0)</f>
        <v/>
      </c>
      <c r="I587">
        <f>INDEX(ChLaunch,MATCH(E587,ChName,0))</f>
        <v/>
      </c>
      <c r="J587">
        <f>INDEX(ChWeeksFull,MATCH(E587,ChName,0))</f>
        <v/>
      </c>
      <c r="K587">
        <f>INDEX(ChRamp,MATCH(E587,ChName,0))</f>
        <v/>
      </c>
      <c r="L587" s="45">
        <f>MIN(1,MAX(0,(A587-I587+1)*RampSpeed/J587))</f>
        <v/>
      </c>
      <c r="M587" s="45">
        <f>IF(A587&lt;I587,0,IF(K587="S-curve",L587*L587*(3-2*L587),L587))</f>
        <v/>
      </c>
      <c r="N587" s="45">
        <f>1+(INDEX(SeasonIdx,A587)-1)*SeasonAmp</f>
        <v/>
      </c>
      <c r="O587" s="45">
        <f>IFERROR(INDEX(PSPct,MATCH(E587&amp;"|"&amp;G587,PSKey,0)),0)</f>
        <v/>
      </c>
      <c r="P587" s="46">
        <f>INDEX(ChDoorVel,MATCH(E587,ChName,0))*CalibScalar*(1+VelocityUplift)</f>
        <v/>
      </c>
      <c r="Q587" s="46" t="n">
        <v>0</v>
      </c>
      <c r="R587" s="46">
        <f>P587*O587*M587*N587*H587</f>
        <v/>
      </c>
      <c r="S587" s="46">
        <f>R587*INDEX(FmtCansPerCase,MATCH(F587,FmtName,0))</f>
        <v/>
      </c>
      <c r="T587" s="46">
        <f>S587/INDEX(FmtCansPerPack,MATCH(F587,FmtName,0))</f>
        <v/>
      </c>
      <c r="U587" s="47">
        <f>INDEX(ChBaseCP,MATCH(E587,ChName,0))*(1+INDEX(ProvMod,MATCH(G587,ProvCode,0)))*(1+PriceIndex)</f>
        <v/>
      </c>
      <c r="V587" s="47">
        <f>R587*U587*INDEX(FmtBlendedPriceIdx,MATCH(F587,FmtName,0))</f>
        <v/>
      </c>
      <c r="W587" s="47">
        <f>T587*INDEX(ProvSRP,MATCH(G587,ProvCode,0))*(1+PriceIndex)</f>
        <v/>
      </c>
      <c r="X587" s="47">
        <f>IF(GrossBasis="Wholesale",V587,W587)</f>
        <v/>
      </c>
      <c r="Y587" s="47">
        <f>R587*INDEX(FmtBlendedCogs,MATCH(F587,FmtName,0))</f>
        <v/>
      </c>
      <c r="Z587" s="47">
        <f>X587-Y587</f>
        <v/>
      </c>
    </row>
    <row r="588">
      <c r="A588" t="n">
        <v>4</v>
      </c>
      <c r="B588" s="44">
        <f>FiscalStart+(A588-1)*7</f>
        <v/>
      </c>
      <c r="C588">
        <f>TEXT(B588,"mmm yyyy")</f>
        <v/>
      </c>
      <c r="D588">
        <f>"Q"&amp;(INT((A588-1)/13)+1)</f>
        <v/>
      </c>
      <c r="E588" t="inlineStr">
        <is>
          <t>On Premise</t>
        </is>
      </c>
      <c r="F588">
        <f>IFERROR(INDEX(ChFormat,MATCH(E588,ChName,0)),"")</f>
        <v/>
      </c>
      <c r="G588" t="inlineStr">
        <is>
          <t>AB</t>
        </is>
      </c>
      <c r="H588">
        <f>IF(A588&lt;=NWeeks,1,0)</f>
        <v/>
      </c>
      <c r="I588">
        <f>INDEX(ChLaunch,MATCH(E588,ChName,0))</f>
        <v/>
      </c>
      <c r="J588">
        <f>INDEX(ChWeeksFull,MATCH(E588,ChName,0))</f>
        <v/>
      </c>
      <c r="K588">
        <f>INDEX(ChRamp,MATCH(E588,ChName,0))</f>
        <v/>
      </c>
      <c r="L588" s="45">
        <f>MIN(1,MAX(0,(A588-I588+1)*RampSpeed/J588))</f>
        <v/>
      </c>
      <c r="M588" s="45">
        <f>IF(A588&lt;I588,0,IF(K588="S-curve",L588*L588*(3-2*L588),L588))</f>
        <v/>
      </c>
      <c r="N588" s="45">
        <f>1+(INDEX(SeasonIdx,A588)-1)*SeasonAmp</f>
        <v/>
      </c>
      <c r="O588" s="45">
        <f>IFERROR(INDEX(PSPct,MATCH(E588&amp;"|"&amp;G588,PSKey,0)),0)</f>
        <v/>
      </c>
      <c r="P588" s="46">
        <f>INDEX(ChDoorVel,MATCH(E588,ChName,0))*CalibScalar*(1+VelocityUplift)</f>
        <v/>
      </c>
      <c r="Q588" s="46" t="n">
        <v>0</v>
      </c>
      <c r="R588" s="46">
        <f>P588*O588*M588*N588*H588</f>
        <v/>
      </c>
      <c r="S588" s="46">
        <f>R588*INDEX(FmtCansPerCase,MATCH(F588,FmtName,0))</f>
        <v/>
      </c>
      <c r="T588" s="46">
        <f>S588/INDEX(FmtCansPerPack,MATCH(F588,FmtName,0))</f>
        <v/>
      </c>
      <c r="U588" s="47">
        <f>INDEX(ChBaseCP,MATCH(E588,ChName,0))*(1+INDEX(ProvMod,MATCH(G588,ProvCode,0)))*(1+PriceIndex)</f>
        <v/>
      </c>
      <c r="V588" s="47">
        <f>R588*U588*INDEX(FmtBlendedPriceIdx,MATCH(F588,FmtName,0))</f>
        <v/>
      </c>
      <c r="W588" s="47">
        <f>T588*INDEX(ProvSRP,MATCH(G588,ProvCode,0))*(1+PriceIndex)</f>
        <v/>
      </c>
      <c r="X588" s="47">
        <f>IF(GrossBasis="Wholesale",V588,W588)</f>
        <v/>
      </c>
      <c r="Y588" s="47">
        <f>R588*INDEX(FmtBlendedCogs,MATCH(F588,FmtName,0))</f>
        <v/>
      </c>
      <c r="Z588" s="47">
        <f>X588-Y588</f>
        <v/>
      </c>
    </row>
    <row r="589">
      <c r="A589" t="n">
        <v>5</v>
      </c>
      <c r="B589" s="44">
        <f>FiscalStart+(A589-1)*7</f>
        <v/>
      </c>
      <c r="C589">
        <f>TEXT(B589,"mmm yyyy")</f>
        <v/>
      </c>
      <c r="D589">
        <f>"Q"&amp;(INT((A589-1)/13)+1)</f>
        <v/>
      </c>
      <c r="E589" t="inlineStr">
        <is>
          <t>On Premise</t>
        </is>
      </c>
      <c r="F589">
        <f>IFERROR(INDEX(ChFormat,MATCH(E589,ChName,0)),"")</f>
        <v/>
      </c>
      <c r="G589" t="inlineStr">
        <is>
          <t>AB</t>
        </is>
      </c>
      <c r="H589">
        <f>IF(A589&lt;=NWeeks,1,0)</f>
        <v/>
      </c>
      <c r="I589">
        <f>INDEX(ChLaunch,MATCH(E589,ChName,0))</f>
        <v/>
      </c>
      <c r="J589">
        <f>INDEX(ChWeeksFull,MATCH(E589,ChName,0))</f>
        <v/>
      </c>
      <c r="K589">
        <f>INDEX(ChRamp,MATCH(E589,ChName,0))</f>
        <v/>
      </c>
      <c r="L589" s="45">
        <f>MIN(1,MAX(0,(A589-I589+1)*RampSpeed/J589))</f>
        <v/>
      </c>
      <c r="M589" s="45">
        <f>IF(A589&lt;I589,0,IF(K589="S-curve",L589*L589*(3-2*L589),L589))</f>
        <v/>
      </c>
      <c r="N589" s="45">
        <f>1+(INDEX(SeasonIdx,A589)-1)*SeasonAmp</f>
        <v/>
      </c>
      <c r="O589" s="45">
        <f>IFERROR(INDEX(PSPct,MATCH(E589&amp;"|"&amp;G589,PSKey,0)),0)</f>
        <v/>
      </c>
      <c r="P589" s="46">
        <f>INDEX(ChDoorVel,MATCH(E589,ChName,0))*CalibScalar*(1+VelocityUplift)</f>
        <v/>
      </c>
      <c r="Q589" s="46" t="n">
        <v>0</v>
      </c>
      <c r="R589" s="46">
        <f>P589*O589*M589*N589*H589</f>
        <v/>
      </c>
      <c r="S589" s="46">
        <f>R589*INDEX(FmtCansPerCase,MATCH(F589,FmtName,0))</f>
        <v/>
      </c>
      <c r="T589" s="46">
        <f>S589/INDEX(FmtCansPerPack,MATCH(F589,FmtName,0))</f>
        <v/>
      </c>
      <c r="U589" s="47">
        <f>INDEX(ChBaseCP,MATCH(E589,ChName,0))*(1+INDEX(ProvMod,MATCH(G589,ProvCode,0)))*(1+PriceIndex)</f>
        <v/>
      </c>
      <c r="V589" s="47">
        <f>R589*U589*INDEX(FmtBlendedPriceIdx,MATCH(F589,FmtName,0))</f>
        <v/>
      </c>
      <c r="W589" s="47">
        <f>T589*INDEX(ProvSRP,MATCH(G589,ProvCode,0))*(1+PriceIndex)</f>
        <v/>
      </c>
      <c r="X589" s="47">
        <f>IF(GrossBasis="Wholesale",V589,W589)</f>
        <v/>
      </c>
      <c r="Y589" s="47">
        <f>R589*INDEX(FmtBlendedCogs,MATCH(F589,FmtName,0))</f>
        <v/>
      </c>
      <c r="Z589" s="47">
        <f>X589-Y589</f>
        <v/>
      </c>
    </row>
    <row r="590">
      <c r="A590" t="n">
        <v>6</v>
      </c>
      <c r="B590" s="44">
        <f>FiscalStart+(A590-1)*7</f>
        <v/>
      </c>
      <c r="C590">
        <f>TEXT(B590,"mmm yyyy")</f>
        <v/>
      </c>
      <c r="D590">
        <f>"Q"&amp;(INT((A590-1)/13)+1)</f>
        <v/>
      </c>
      <c r="E590" t="inlineStr">
        <is>
          <t>On Premise</t>
        </is>
      </c>
      <c r="F590">
        <f>IFERROR(INDEX(ChFormat,MATCH(E590,ChName,0)),"")</f>
        <v/>
      </c>
      <c r="G590" t="inlineStr">
        <is>
          <t>AB</t>
        </is>
      </c>
      <c r="H590">
        <f>IF(A590&lt;=NWeeks,1,0)</f>
        <v/>
      </c>
      <c r="I590">
        <f>INDEX(ChLaunch,MATCH(E590,ChName,0))</f>
        <v/>
      </c>
      <c r="J590">
        <f>INDEX(ChWeeksFull,MATCH(E590,ChName,0))</f>
        <v/>
      </c>
      <c r="K590">
        <f>INDEX(ChRamp,MATCH(E590,ChName,0))</f>
        <v/>
      </c>
      <c r="L590" s="45">
        <f>MIN(1,MAX(0,(A590-I590+1)*RampSpeed/J590))</f>
        <v/>
      </c>
      <c r="M590" s="45">
        <f>IF(A590&lt;I590,0,IF(K590="S-curve",L590*L590*(3-2*L590),L590))</f>
        <v/>
      </c>
      <c r="N590" s="45">
        <f>1+(INDEX(SeasonIdx,A590)-1)*SeasonAmp</f>
        <v/>
      </c>
      <c r="O590" s="45">
        <f>IFERROR(INDEX(PSPct,MATCH(E590&amp;"|"&amp;G590,PSKey,0)),0)</f>
        <v/>
      </c>
      <c r="P590" s="46">
        <f>INDEX(ChDoorVel,MATCH(E590,ChName,0))*CalibScalar*(1+VelocityUplift)</f>
        <v/>
      </c>
      <c r="Q590" s="46" t="n">
        <v>0</v>
      </c>
      <c r="R590" s="46">
        <f>P590*O590*M590*N590*H590</f>
        <v/>
      </c>
      <c r="S590" s="46">
        <f>R590*INDEX(FmtCansPerCase,MATCH(F590,FmtName,0))</f>
        <v/>
      </c>
      <c r="T590" s="46">
        <f>S590/INDEX(FmtCansPerPack,MATCH(F590,FmtName,0))</f>
        <v/>
      </c>
      <c r="U590" s="47">
        <f>INDEX(ChBaseCP,MATCH(E590,ChName,0))*(1+INDEX(ProvMod,MATCH(G590,ProvCode,0)))*(1+PriceIndex)</f>
        <v/>
      </c>
      <c r="V590" s="47">
        <f>R590*U590*INDEX(FmtBlendedPriceIdx,MATCH(F590,FmtName,0))</f>
        <v/>
      </c>
      <c r="W590" s="47">
        <f>T590*INDEX(ProvSRP,MATCH(G590,ProvCode,0))*(1+PriceIndex)</f>
        <v/>
      </c>
      <c r="X590" s="47">
        <f>IF(GrossBasis="Wholesale",V590,W590)</f>
        <v/>
      </c>
      <c r="Y590" s="47">
        <f>R590*INDEX(FmtBlendedCogs,MATCH(F590,FmtName,0))</f>
        <v/>
      </c>
      <c r="Z590" s="47">
        <f>X590-Y590</f>
        <v/>
      </c>
    </row>
    <row r="591">
      <c r="A591" t="n">
        <v>7</v>
      </c>
      <c r="B591" s="44">
        <f>FiscalStart+(A591-1)*7</f>
        <v/>
      </c>
      <c r="C591">
        <f>TEXT(B591,"mmm yyyy")</f>
        <v/>
      </c>
      <c r="D591">
        <f>"Q"&amp;(INT((A591-1)/13)+1)</f>
        <v/>
      </c>
      <c r="E591" t="inlineStr">
        <is>
          <t>On Premise</t>
        </is>
      </c>
      <c r="F591">
        <f>IFERROR(INDEX(ChFormat,MATCH(E591,ChName,0)),"")</f>
        <v/>
      </c>
      <c r="G591" t="inlineStr">
        <is>
          <t>AB</t>
        </is>
      </c>
      <c r="H591">
        <f>IF(A591&lt;=NWeeks,1,0)</f>
        <v/>
      </c>
      <c r="I591">
        <f>INDEX(ChLaunch,MATCH(E591,ChName,0))</f>
        <v/>
      </c>
      <c r="J591">
        <f>INDEX(ChWeeksFull,MATCH(E591,ChName,0))</f>
        <v/>
      </c>
      <c r="K591">
        <f>INDEX(ChRamp,MATCH(E591,ChName,0))</f>
        <v/>
      </c>
      <c r="L591" s="45">
        <f>MIN(1,MAX(0,(A591-I591+1)*RampSpeed/J591))</f>
        <v/>
      </c>
      <c r="M591" s="45">
        <f>IF(A591&lt;I591,0,IF(K591="S-curve",L591*L591*(3-2*L591),L591))</f>
        <v/>
      </c>
      <c r="N591" s="45">
        <f>1+(INDEX(SeasonIdx,A591)-1)*SeasonAmp</f>
        <v/>
      </c>
      <c r="O591" s="45">
        <f>IFERROR(INDEX(PSPct,MATCH(E591&amp;"|"&amp;G591,PSKey,0)),0)</f>
        <v/>
      </c>
      <c r="P591" s="46">
        <f>INDEX(ChDoorVel,MATCH(E591,ChName,0))*CalibScalar*(1+VelocityUplift)</f>
        <v/>
      </c>
      <c r="Q591" s="46" t="n">
        <v>0</v>
      </c>
      <c r="R591" s="46">
        <f>P591*O591*M591*N591*H591</f>
        <v/>
      </c>
      <c r="S591" s="46">
        <f>R591*INDEX(FmtCansPerCase,MATCH(F591,FmtName,0))</f>
        <v/>
      </c>
      <c r="T591" s="46">
        <f>S591/INDEX(FmtCansPerPack,MATCH(F591,FmtName,0))</f>
        <v/>
      </c>
      <c r="U591" s="47">
        <f>INDEX(ChBaseCP,MATCH(E591,ChName,0))*(1+INDEX(ProvMod,MATCH(G591,ProvCode,0)))*(1+PriceIndex)</f>
        <v/>
      </c>
      <c r="V591" s="47">
        <f>R591*U591*INDEX(FmtBlendedPriceIdx,MATCH(F591,FmtName,0))</f>
        <v/>
      </c>
      <c r="W591" s="47">
        <f>T591*INDEX(ProvSRP,MATCH(G591,ProvCode,0))*(1+PriceIndex)</f>
        <v/>
      </c>
      <c r="X591" s="47">
        <f>IF(GrossBasis="Wholesale",V591,W591)</f>
        <v/>
      </c>
      <c r="Y591" s="47">
        <f>R591*INDEX(FmtBlendedCogs,MATCH(F591,FmtName,0))</f>
        <v/>
      </c>
      <c r="Z591" s="47">
        <f>X591-Y591</f>
        <v/>
      </c>
    </row>
    <row r="592">
      <c r="A592" t="n">
        <v>8</v>
      </c>
      <c r="B592" s="44">
        <f>FiscalStart+(A592-1)*7</f>
        <v/>
      </c>
      <c r="C592">
        <f>TEXT(B592,"mmm yyyy")</f>
        <v/>
      </c>
      <c r="D592">
        <f>"Q"&amp;(INT((A592-1)/13)+1)</f>
        <v/>
      </c>
      <c r="E592" t="inlineStr">
        <is>
          <t>On Premise</t>
        </is>
      </c>
      <c r="F592">
        <f>IFERROR(INDEX(ChFormat,MATCH(E592,ChName,0)),"")</f>
        <v/>
      </c>
      <c r="G592" t="inlineStr">
        <is>
          <t>AB</t>
        </is>
      </c>
      <c r="H592">
        <f>IF(A592&lt;=NWeeks,1,0)</f>
        <v/>
      </c>
      <c r="I592">
        <f>INDEX(ChLaunch,MATCH(E592,ChName,0))</f>
        <v/>
      </c>
      <c r="J592">
        <f>INDEX(ChWeeksFull,MATCH(E592,ChName,0))</f>
        <v/>
      </c>
      <c r="K592">
        <f>INDEX(ChRamp,MATCH(E592,ChName,0))</f>
        <v/>
      </c>
      <c r="L592" s="45">
        <f>MIN(1,MAX(0,(A592-I592+1)*RampSpeed/J592))</f>
        <v/>
      </c>
      <c r="M592" s="45">
        <f>IF(A592&lt;I592,0,IF(K592="S-curve",L592*L592*(3-2*L592),L592))</f>
        <v/>
      </c>
      <c r="N592" s="45">
        <f>1+(INDEX(SeasonIdx,A592)-1)*SeasonAmp</f>
        <v/>
      </c>
      <c r="O592" s="45">
        <f>IFERROR(INDEX(PSPct,MATCH(E592&amp;"|"&amp;G592,PSKey,0)),0)</f>
        <v/>
      </c>
      <c r="P592" s="46">
        <f>INDEX(ChDoorVel,MATCH(E592,ChName,0))*CalibScalar*(1+VelocityUplift)</f>
        <v/>
      </c>
      <c r="Q592" s="46" t="n">
        <v>0</v>
      </c>
      <c r="R592" s="46">
        <f>P592*O592*M592*N592*H592</f>
        <v/>
      </c>
      <c r="S592" s="46">
        <f>R592*INDEX(FmtCansPerCase,MATCH(F592,FmtName,0))</f>
        <v/>
      </c>
      <c r="T592" s="46">
        <f>S592/INDEX(FmtCansPerPack,MATCH(F592,FmtName,0))</f>
        <v/>
      </c>
      <c r="U592" s="47">
        <f>INDEX(ChBaseCP,MATCH(E592,ChName,0))*(1+INDEX(ProvMod,MATCH(G592,ProvCode,0)))*(1+PriceIndex)</f>
        <v/>
      </c>
      <c r="V592" s="47">
        <f>R592*U592*INDEX(FmtBlendedPriceIdx,MATCH(F592,FmtName,0))</f>
        <v/>
      </c>
      <c r="W592" s="47">
        <f>T592*INDEX(ProvSRP,MATCH(G592,ProvCode,0))*(1+PriceIndex)</f>
        <v/>
      </c>
      <c r="X592" s="47">
        <f>IF(GrossBasis="Wholesale",V592,W592)</f>
        <v/>
      </c>
      <c r="Y592" s="47">
        <f>R592*INDEX(FmtBlendedCogs,MATCH(F592,FmtName,0))</f>
        <v/>
      </c>
      <c r="Z592" s="47">
        <f>X592-Y592</f>
        <v/>
      </c>
    </row>
    <row r="593">
      <c r="A593" t="n">
        <v>9</v>
      </c>
      <c r="B593" s="44">
        <f>FiscalStart+(A593-1)*7</f>
        <v/>
      </c>
      <c r="C593">
        <f>TEXT(B593,"mmm yyyy")</f>
        <v/>
      </c>
      <c r="D593">
        <f>"Q"&amp;(INT((A593-1)/13)+1)</f>
        <v/>
      </c>
      <c r="E593" t="inlineStr">
        <is>
          <t>On Premise</t>
        </is>
      </c>
      <c r="F593">
        <f>IFERROR(INDEX(ChFormat,MATCH(E593,ChName,0)),"")</f>
        <v/>
      </c>
      <c r="G593" t="inlineStr">
        <is>
          <t>AB</t>
        </is>
      </c>
      <c r="H593">
        <f>IF(A593&lt;=NWeeks,1,0)</f>
        <v/>
      </c>
      <c r="I593">
        <f>INDEX(ChLaunch,MATCH(E593,ChName,0))</f>
        <v/>
      </c>
      <c r="J593">
        <f>INDEX(ChWeeksFull,MATCH(E593,ChName,0))</f>
        <v/>
      </c>
      <c r="K593">
        <f>INDEX(ChRamp,MATCH(E593,ChName,0))</f>
        <v/>
      </c>
      <c r="L593" s="45">
        <f>MIN(1,MAX(0,(A593-I593+1)*RampSpeed/J593))</f>
        <v/>
      </c>
      <c r="M593" s="45">
        <f>IF(A593&lt;I593,0,IF(K593="S-curve",L593*L593*(3-2*L593),L593))</f>
        <v/>
      </c>
      <c r="N593" s="45">
        <f>1+(INDEX(SeasonIdx,A593)-1)*SeasonAmp</f>
        <v/>
      </c>
      <c r="O593" s="45">
        <f>IFERROR(INDEX(PSPct,MATCH(E593&amp;"|"&amp;G593,PSKey,0)),0)</f>
        <v/>
      </c>
      <c r="P593" s="46">
        <f>INDEX(ChDoorVel,MATCH(E593,ChName,0))*CalibScalar*(1+VelocityUplift)</f>
        <v/>
      </c>
      <c r="Q593" s="46" t="n">
        <v>0</v>
      </c>
      <c r="R593" s="46">
        <f>P593*O593*M593*N593*H593</f>
        <v/>
      </c>
      <c r="S593" s="46">
        <f>R593*INDEX(FmtCansPerCase,MATCH(F593,FmtName,0))</f>
        <v/>
      </c>
      <c r="T593" s="46">
        <f>S593/INDEX(FmtCansPerPack,MATCH(F593,FmtName,0))</f>
        <v/>
      </c>
      <c r="U593" s="47">
        <f>INDEX(ChBaseCP,MATCH(E593,ChName,0))*(1+INDEX(ProvMod,MATCH(G593,ProvCode,0)))*(1+PriceIndex)</f>
        <v/>
      </c>
      <c r="V593" s="47">
        <f>R593*U593*INDEX(FmtBlendedPriceIdx,MATCH(F593,FmtName,0))</f>
        <v/>
      </c>
      <c r="W593" s="47">
        <f>T593*INDEX(ProvSRP,MATCH(G593,ProvCode,0))*(1+PriceIndex)</f>
        <v/>
      </c>
      <c r="X593" s="47">
        <f>IF(GrossBasis="Wholesale",V593,W593)</f>
        <v/>
      </c>
      <c r="Y593" s="47">
        <f>R593*INDEX(FmtBlendedCogs,MATCH(F593,FmtName,0))</f>
        <v/>
      </c>
      <c r="Z593" s="47">
        <f>X593-Y593</f>
        <v/>
      </c>
    </row>
    <row r="594">
      <c r="A594" t="n">
        <v>10</v>
      </c>
      <c r="B594" s="44">
        <f>FiscalStart+(A594-1)*7</f>
        <v/>
      </c>
      <c r="C594">
        <f>TEXT(B594,"mmm yyyy")</f>
        <v/>
      </c>
      <c r="D594">
        <f>"Q"&amp;(INT((A594-1)/13)+1)</f>
        <v/>
      </c>
      <c r="E594" t="inlineStr">
        <is>
          <t>On Premise</t>
        </is>
      </c>
      <c r="F594">
        <f>IFERROR(INDEX(ChFormat,MATCH(E594,ChName,0)),"")</f>
        <v/>
      </c>
      <c r="G594" t="inlineStr">
        <is>
          <t>AB</t>
        </is>
      </c>
      <c r="H594">
        <f>IF(A594&lt;=NWeeks,1,0)</f>
        <v/>
      </c>
      <c r="I594">
        <f>INDEX(ChLaunch,MATCH(E594,ChName,0))</f>
        <v/>
      </c>
      <c r="J594">
        <f>INDEX(ChWeeksFull,MATCH(E594,ChName,0))</f>
        <v/>
      </c>
      <c r="K594">
        <f>INDEX(ChRamp,MATCH(E594,ChName,0))</f>
        <v/>
      </c>
      <c r="L594" s="45">
        <f>MIN(1,MAX(0,(A594-I594+1)*RampSpeed/J594))</f>
        <v/>
      </c>
      <c r="M594" s="45">
        <f>IF(A594&lt;I594,0,IF(K594="S-curve",L594*L594*(3-2*L594),L594))</f>
        <v/>
      </c>
      <c r="N594" s="45">
        <f>1+(INDEX(SeasonIdx,A594)-1)*SeasonAmp</f>
        <v/>
      </c>
      <c r="O594" s="45">
        <f>IFERROR(INDEX(PSPct,MATCH(E594&amp;"|"&amp;G594,PSKey,0)),0)</f>
        <v/>
      </c>
      <c r="P594" s="46">
        <f>INDEX(ChDoorVel,MATCH(E594,ChName,0))*CalibScalar*(1+VelocityUplift)</f>
        <v/>
      </c>
      <c r="Q594" s="46" t="n">
        <v>0</v>
      </c>
      <c r="R594" s="46">
        <f>P594*O594*M594*N594*H594</f>
        <v/>
      </c>
      <c r="S594" s="46">
        <f>R594*INDEX(FmtCansPerCase,MATCH(F594,FmtName,0))</f>
        <v/>
      </c>
      <c r="T594" s="46">
        <f>S594/INDEX(FmtCansPerPack,MATCH(F594,FmtName,0))</f>
        <v/>
      </c>
      <c r="U594" s="47">
        <f>INDEX(ChBaseCP,MATCH(E594,ChName,0))*(1+INDEX(ProvMod,MATCH(G594,ProvCode,0)))*(1+PriceIndex)</f>
        <v/>
      </c>
      <c r="V594" s="47">
        <f>R594*U594*INDEX(FmtBlendedPriceIdx,MATCH(F594,FmtName,0))</f>
        <v/>
      </c>
      <c r="W594" s="47">
        <f>T594*INDEX(ProvSRP,MATCH(G594,ProvCode,0))*(1+PriceIndex)</f>
        <v/>
      </c>
      <c r="X594" s="47">
        <f>IF(GrossBasis="Wholesale",V594,W594)</f>
        <v/>
      </c>
      <c r="Y594" s="47">
        <f>R594*INDEX(FmtBlendedCogs,MATCH(F594,FmtName,0))</f>
        <v/>
      </c>
      <c r="Z594" s="47">
        <f>X594-Y594</f>
        <v/>
      </c>
    </row>
    <row r="595">
      <c r="A595" t="n">
        <v>11</v>
      </c>
      <c r="B595" s="44">
        <f>FiscalStart+(A595-1)*7</f>
        <v/>
      </c>
      <c r="C595">
        <f>TEXT(B595,"mmm yyyy")</f>
        <v/>
      </c>
      <c r="D595">
        <f>"Q"&amp;(INT((A595-1)/13)+1)</f>
        <v/>
      </c>
      <c r="E595" t="inlineStr">
        <is>
          <t>On Premise</t>
        </is>
      </c>
      <c r="F595">
        <f>IFERROR(INDEX(ChFormat,MATCH(E595,ChName,0)),"")</f>
        <v/>
      </c>
      <c r="G595" t="inlineStr">
        <is>
          <t>AB</t>
        </is>
      </c>
      <c r="H595">
        <f>IF(A595&lt;=NWeeks,1,0)</f>
        <v/>
      </c>
      <c r="I595">
        <f>INDEX(ChLaunch,MATCH(E595,ChName,0))</f>
        <v/>
      </c>
      <c r="J595">
        <f>INDEX(ChWeeksFull,MATCH(E595,ChName,0))</f>
        <v/>
      </c>
      <c r="K595">
        <f>INDEX(ChRamp,MATCH(E595,ChName,0))</f>
        <v/>
      </c>
      <c r="L595" s="45">
        <f>MIN(1,MAX(0,(A595-I595+1)*RampSpeed/J595))</f>
        <v/>
      </c>
      <c r="M595" s="45">
        <f>IF(A595&lt;I595,0,IF(K595="S-curve",L595*L595*(3-2*L595),L595))</f>
        <v/>
      </c>
      <c r="N595" s="45">
        <f>1+(INDEX(SeasonIdx,A595)-1)*SeasonAmp</f>
        <v/>
      </c>
      <c r="O595" s="45">
        <f>IFERROR(INDEX(PSPct,MATCH(E595&amp;"|"&amp;G595,PSKey,0)),0)</f>
        <v/>
      </c>
      <c r="P595" s="46">
        <f>INDEX(ChDoorVel,MATCH(E595,ChName,0))*CalibScalar*(1+VelocityUplift)</f>
        <v/>
      </c>
      <c r="Q595" s="46" t="n">
        <v>0</v>
      </c>
      <c r="R595" s="46">
        <f>P595*O595*M595*N595*H595</f>
        <v/>
      </c>
      <c r="S595" s="46">
        <f>R595*INDEX(FmtCansPerCase,MATCH(F595,FmtName,0))</f>
        <v/>
      </c>
      <c r="T595" s="46">
        <f>S595/INDEX(FmtCansPerPack,MATCH(F595,FmtName,0))</f>
        <v/>
      </c>
      <c r="U595" s="47">
        <f>INDEX(ChBaseCP,MATCH(E595,ChName,0))*(1+INDEX(ProvMod,MATCH(G595,ProvCode,0)))*(1+PriceIndex)</f>
        <v/>
      </c>
      <c r="V595" s="47">
        <f>R595*U595*INDEX(FmtBlendedPriceIdx,MATCH(F595,FmtName,0))</f>
        <v/>
      </c>
      <c r="W595" s="47">
        <f>T595*INDEX(ProvSRP,MATCH(G595,ProvCode,0))*(1+PriceIndex)</f>
        <v/>
      </c>
      <c r="X595" s="47">
        <f>IF(GrossBasis="Wholesale",V595,W595)</f>
        <v/>
      </c>
      <c r="Y595" s="47">
        <f>R595*INDEX(FmtBlendedCogs,MATCH(F595,FmtName,0))</f>
        <v/>
      </c>
      <c r="Z595" s="47">
        <f>X595-Y595</f>
        <v/>
      </c>
    </row>
    <row r="596">
      <c r="A596" t="n">
        <v>12</v>
      </c>
      <c r="B596" s="44">
        <f>FiscalStart+(A596-1)*7</f>
        <v/>
      </c>
      <c r="C596">
        <f>TEXT(B596,"mmm yyyy")</f>
        <v/>
      </c>
      <c r="D596">
        <f>"Q"&amp;(INT((A596-1)/13)+1)</f>
        <v/>
      </c>
      <c r="E596" t="inlineStr">
        <is>
          <t>On Premise</t>
        </is>
      </c>
      <c r="F596">
        <f>IFERROR(INDEX(ChFormat,MATCH(E596,ChName,0)),"")</f>
        <v/>
      </c>
      <c r="G596" t="inlineStr">
        <is>
          <t>AB</t>
        </is>
      </c>
      <c r="H596">
        <f>IF(A596&lt;=NWeeks,1,0)</f>
        <v/>
      </c>
      <c r="I596">
        <f>INDEX(ChLaunch,MATCH(E596,ChName,0))</f>
        <v/>
      </c>
      <c r="J596">
        <f>INDEX(ChWeeksFull,MATCH(E596,ChName,0))</f>
        <v/>
      </c>
      <c r="K596">
        <f>INDEX(ChRamp,MATCH(E596,ChName,0))</f>
        <v/>
      </c>
      <c r="L596" s="45">
        <f>MIN(1,MAX(0,(A596-I596+1)*RampSpeed/J596))</f>
        <v/>
      </c>
      <c r="M596" s="45">
        <f>IF(A596&lt;I596,0,IF(K596="S-curve",L596*L596*(3-2*L596),L596))</f>
        <v/>
      </c>
      <c r="N596" s="45">
        <f>1+(INDEX(SeasonIdx,A596)-1)*SeasonAmp</f>
        <v/>
      </c>
      <c r="O596" s="45">
        <f>IFERROR(INDEX(PSPct,MATCH(E596&amp;"|"&amp;G596,PSKey,0)),0)</f>
        <v/>
      </c>
      <c r="P596" s="46">
        <f>INDEX(ChDoorVel,MATCH(E596,ChName,0))*CalibScalar*(1+VelocityUplift)</f>
        <v/>
      </c>
      <c r="Q596" s="46" t="n">
        <v>0</v>
      </c>
      <c r="R596" s="46">
        <f>P596*O596*M596*N596*H596</f>
        <v/>
      </c>
      <c r="S596" s="46">
        <f>R596*INDEX(FmtCansPerCase,MATCH(F596,FmtName,0))</f>
        <v/>
      </c>
      <c r="T596" s="46">
        <f>S596/INDEX(FmtCansPerPack,MATCH(F596,FmtName,0))</f>
        <v/>
      </c>
      <c r="U596" s="47">
        <f>INDEX(ChBaseCP,MATCH(E596,ChName,0))*(1+INDEX(ProvMod,MATCH(G596,ProvCode,0)))*(1+PriceIndex)</f>
        <v/>
      </c>
      <c r="V596" s="47">
        <f>R596*U596*INDEX(FmtBlendedPriceIdx,MATCH(F596,FmtName,0))</f>
        <v/>
      </c>
      <c r="W596" s="47">
        <f>T596*INDEX(ProvSRP,MATCH(G596,ProvCode,0))*(1+PriceIndex)</f>
        <v/>
      </c>
      <c r="X596" s="47">
        <f>IF(GrossBasis="Wholesale",V596,W596)</f>
        <v/>
      </c>
      <c r="Y596" s="47">
        <f>R596*INDEX(FmtBlendedCogs,MATCH(F596,FmtName,0))</f>
        <v/>
      </c>
      <c r="Z596" s="47">
        <f>X596-Y596</f>
        <v/>
      </c>
    </row>
    <row r="597">
      <c r="A597" t="n">
        <v>13</v>
      </c>
      <c r="B597" s="44">
        <f>FiscalStart+(A597-1)*7</f>
        <v/>
      </c>
      <c r="C597">
        <f>TEXT(B597,"mmm yyyy")</f>
        <v/>
      </c>
      <c r="D597">
        <f>"Q"&amp;(INT((A597-1)/13)+1)</f>
        <v/>
      </c>
      <c r="E597" t="inlineStr">
        <is>
          <t>On Premise</t>
        </is>
      </c>
      <c r="F597">
        <f>IFERROR(INDEX(ChFormat,MATCH(E597,ChName,0)),"")</f>
        <v/>
      </c>
      <c r="G597" t="inlineStr">
        <is>
          <t>AB</t>
        </is>
      </c>
      <c r="H597">
        <f>IF(A597&lt;=NWeeks,1,0)</f>
        <v/>
      </c>
      <c r="I597">
        <f>INDEX(ChLaunch,MATCH(E597,ChName,0))</f>
        <v/>
      </c>
      <c r="J597">
        <f>INDEX(ChWeeksFull,MATCH(E597,ChName,0))</f>
        <v/>
      </c>
      <c r="K597">
        <f>INDEX(ChRamp,MATCH(E597,ChName,0))</f>
        <v/>
      </c>
      <c r="L597" s="45">
        <f>MIN(1,MAX(0,(A597-I597+1)*RampSpeed/J597))</f>
        <v/>
      </c>
      <c r="M597" s="45">
        <f>IF(A597&lt;I597,0,IF(K597="S-curve",L597*L597*(3-2*L597),L597))</f>
        <v/>
      </c>
      <c r="N597" s="45">
        <f>1+(INDEX(SeasonIdx,A597)-1)*SeasonAmp</f>
        <v/>
      </c>
      <c r="O597" s="45">
        <f>IFERROR(INDEX(PSPct,MATCH(E597&amp;"|"&amp;G597,PSKey,0)),0)</f>
        <v/>
      </c>
      <c r="P597" s="46">
        <f>INDEX(ChDoorVel,MATCH(E597,ChName,0))*CalibScalar*(1+VelocityUplift)</f>
        <v/>
      </c>
      <c r="Q597" s="46" t="n">
        <v>0</v>
      </c>
      <c r="R597" s="46">
        <f>P597*O597*M597*N597*H597</f>
        <v/>
      </c>
      <c r="S597" s="46">
        <f>R597*INDEX(FmtCansPerCase,MATCH(F597,FmtName,0))</f>
        <v/>
      </c>
      <c r="T597" s="46">
        <f>S597/INDEX(FmtCansPerPack,MATCH(F597,FmtName,0))</f>
        <v/>
      </c>
      <c r="U597" s="47">
        <f>INDEX(ChBaseCP,MATCH(E597,ChName,0))*(1+INDEX(ProvMod,MATCH(G597,ProvCode,0)))*(1+PriceIndex)</f>
        <v/>
      </c>
      <c r="V597" s="47">
        <f>R597*U597*INDEX(FmtBlendedPriceIdx,MATCH(F597,FmtName,0))</f>
        <v/>
      </c>
      <c r="W597" s="47">
        <f>T597*INDEX(ProvSRP,MATCH(G597,ProvCode,0))*(1+PriceIndex)</f>
        <v/>
      </c>
      <c r="X597" s="47">
        <f>IF(GrossBasis="Wholesale",V597,W597)</f>
        <v/>
      </c>
      <c r="Y597" s="47">
        <f>R597*INDEX(FmtBlendedCogs,MATCH(F597,FmtName,0))</f>
        <v/>
      </c>
      <c r="Z597" s="47">
        <f>X597-Y597</f>
        <v/>
      </c>
    </row>
    <row r="598">
      <c r="A598" t="n">
        <v>14</v>
      </c>
      <c r="B598" s="44">
        <f>FiscalStart+(A598-1)*7</f>
        <v/>
      </c>
      <c r="C598">
        <f>TEXT(B598,"mmm yyyy")</f>
        <v/>
      </c>
      <c r="D598">
        <f>"Q"&amp;(INT((A598-1)/13)+1)</f>
        <v/>
      </c>
      <c r="E598" t="inlineStr">
        <is>
          <t>On Premise</t>
        </is>
      </c>
      <c r="F598">
        <f>IFERROR(INDEX(ChFormat,MATCH(E598,ChName,0)),"")</f>
        <v/>
      </c>
      <c r="G598" t="inlineStr">
        <is>
          <t>AB</t>
        </is>
      </c>
      <c r="H598">
        <f>IF(A598&lt;=NWeeks,1,0)</f>
        <v/>
      </c>
      <c r="I598">
        <f>INDEX(ChLaunch,MATCH(E598,ChName,0))</f>
        <v/>
      </c>
      <c r="J598">
        <f>INDEX(ChWeeksFull,MATCH(E598,ChName,0))</f>
        <v/>
      </c>
      <c r="K598">
        <f>INDEX(ChRamp,MATCH(E598,ChName,0))</f>
        <v/>
      </c>
      <c r="L598" s="45">
        <f>MIN(1,MAX(0,(A598-I598+1)*RampSpeed/J598))</f>
        <v/>
      </c>
      <c r="M598" s="45">
        <f>IF(A598&lt;I598,0,IF(K598="S-curve",L598*L598*(3-2*L598),L598))</f>
        <v/>
      </c>
      <c r="N598" s="45">
        <f>1+(INDEX(SeasonIdx,A598)-1)*SeasonAmp</f>
        <v/>
      </c>
      <c r="O598" s="45">
        <f>IFERROR(INDEX(PSPct,MATCH(E598&amp;"|"&amp;G598,PSKey,0)),0)</f>
        <v/>
      </c>
      <c r="P598" s="46">
        <f>INDEX(ChDoorVel,MATCH(E598,ChName,0))*CalibScalar*(1+VelocityUplift)</f>
        <v/>
      </c>
      <c r="Q598" s="46" t="n">
        <v>0</v>
      </c>
      <c r="R598" s="46">
        <f>P598*O598*M598*N598*H598</f>
        <v/>
      </c>
      <c r="S598" s="46">
        <f>R598*INDEX(FmtCansPerCase,MATCH(F598,FmtName,0))</f>
        <v/>
      </c>
      <c r="T598" s="46">
        <f>S598/INDEX(FmtCansPerPack,MATCH(F598,FmtName,0))</f>
        <v/>
      </c>
      <c r="U598" s="47">
        <f>INDEX(ChBaseCP,MATCH(E598,ChName,0))*(1+INDEX(ProvMod,MATCH(G598,ProvCode,0)))*(1+PriceIndex)</f>
        <v/>
      </c>
      <c r="V598" s="47">
        <f>R598*U598*INDEX(FmtBlendedPriceIdx,MATCH(F598,FmtName,0))</f>
        <v/>
      </c>
      <c r="W598" s="47">
        <f>T598*INDEX(ProvSRP,MATCH(G598,ProvCode,0))*(1+PriceIndex)</f>
        <v/>
      </c>
      <c r="X598" s="47">
        <f>IF(GrossBasis="Wholesale",V598,W598)</f>
        <v/>
      </c>
      <c r="Y598" s="47">
        <f>R598*INDEX(FmtBlendedCogs,MATCH(F598,FmtName,0))</f>
        <v/>
      </c>
      <c r="Z598" s="47">
        <f>X598-Y598</f>
        <v/>
      </c>
    </row>
    <row r="599">
      <c r="A599" t="n">
        <v>15</v>
      </c>
      <c r="B599" s="44">
        <f>FiscalStart+(A599-1)*7</f>
        <v/>
      </c>
      <c r="C599">
        <f>TEXT(B599,"mmm yyyy")</f>
        <v/>
      </c>
      <c r="D599">
        <f>"Q"&amp;(INT((A599-1)/13)+1)</f>
        <v/>
      </c>
      <c r="E599" t="inlineStr">
        <is>
          <t>On Premise</t>
        </is>
      </c>
      <c r="F599">
        <f>IFERROR(INDEX(ChFormat,MATCH(E599,ChName,0)),"")</f>
        <v/>
      </c>
      <c r="G599" t="inlineStr">
        <is>
          <t>AB</t>
        </is>
      </c>
      <c r="H599">
        <f>IF(A599&lt;=NWeeks,1,0)</f>
        <v/>
      </c>
      <c r="I599">
        <f>INDEX(ChLaunch,MATCH(E599,ChName,0))</f>
        <v/>
      </c>
      <c r="J599">
        <f>INDEX(ChWeeksFull,MATCH(E599,ChName,0))</f>
        <v/>
      </c>
      <c r="K599">
        <f>INDEX(ChRamp,MATCH(E599,ChName,0))</f>
        <v/>
      </c>
      <c r="L599" s="45">
        <f>MIN(1,MAX(0,(A599-I599+1)*RampSpeed/J599))</f>
        <v/>
      </c>
      <c r="M599" s="45">
        <f>IF(A599&lt;I599,0,IF(K599="S-curve",L599*L599*(3-2*L599),L599))</f>
        <v/>
      </c>
      <c r="N599" s="45">
        <f>1+(INDEX(SeasonIdx,A599)-1)*SeasonAmp</f>
        <v/>
      </c>
      <c r="O599" s="45">
        <f>IFERROR(INDEX(PSPct,MATCH(E599&amp;"|"&amp;G599,PSKey,0)),0)</f>
        <v/>
      </c>
      <c r="P599" s="46">
        <f>INDEX(ChDoorVel,MATCH(E599,ChName,0))*CalibScalar*(1+VelocityUplift)</f>
        <v/>
      </c>
      <c r="Q599" s="46" t="n">
        <v>0</v>
      </c>
      <c r="R599" s="46">
        <f>P599*O599*M599*N599*H599</f>
        <v/>
      </c>
      <c r="S599" s="46">
        <f>R599*INDEX(FmtCansPerCase,MATCH(F599,FmtName,0))</f>
        <v/>
      </c>
      <c r="T599" s="46">
        <f>S599/INDEX(FmtCansPerPack,MATCH(F599,FmtName,0))</f>
        <v/>
      </c>
      <c r="U599" s="47">
        <f>INDEX(ChBaseCP,MATCH(E599,ChName,0))*(1+INDEX(ProvMod,MATCH(G599,ProvCode,0)))*(1+PriceIndex)</f>
        <v/>
      </c>
      <c r="V599" s="47">
        <f>R599*U599*INDEX(FmtBlendedPriceIdx,MATCH(F599,FmtName,0))</f>
        <v/>
      </c>
      <c r="W599" s="47">
        <f>T599*INDEX(ProvSRP,MATCH(G599,ProvCode,0))*(1+PriceIndex)</f>
        <v/>
      </c>
      <c r="X599" s="47">
        <f>IF(GrossBasis="Wholesale",V599,W599)</f>
        <v/>
      </c>
      <c r="Y599" s="47">
        <f>R599*INDEX(FmtBlendedCogs,MATCH(F599,FmtName,0))</f>
        <v/>
      </c>
      <c r="Z599" s="47">
        <f>X599-Y599</f>
        <v/>
      </c>
    </row>
    <row r="600">
      <c r="A600" t="n">
        <v>16</v>
      </c>
      <c r="B600" s="44">
        <f>FiscalStart+(A600-1)*7</f>
        <v/>
      </c>
      <c r="C600">
        <f>TEXT(B600,"mmm yyyy")</f>
        <v/>
      </c>
      <c r="D600">
        <f>"Q"&amp;(INT((A600-1)/13)+1)</f>
        <v/>
      </c>
      <c r="E600" t="inlineStr">
        <is>
          <t>On Premise</t>
        </is>
      </c>
      <c r="F600">
        <f>IFERROR(INDEX(ChFormat,MATCH(E600,ChName,0)),"")</f>
        <v/>
      </c>
      <c r="G600" t="inlineStr">
        <is>
          <t>AB</t>
        </is>
      </c>
      <c r="H600">
        <f>IF(A600&lt;=NWeeks,1,0)</f>
        <v/>
      </c>
      <c r="I600">
        <f>INDEX(ChLaunch,MATCH(E600,ChName,0))</f>
        <v/>
      </c>
      <c r="J600">
        <f>INDEX(ChWeeksFull,MATCH(E600,ChName,0))</f>
        <v/>
      </c>
      <c r="K600">
        <f>INDEX(ChRamp,MATCH(E600,ChName,0))</f>
        <v/>
      </c>
      <c r="L600" s="45">
        <f>MIN(1,MAX(0,(A600-I600+1)*RampSpeed/J600))</f>
        <v/>
      </c>
      <c r="M600" s="45">
        <f>IF(A600&lt;I600,0,IF(K600="S-curve",L600*L600*(3-2*L600),L600))</f>
        <v/>
      </c>
      <c r="N600" s="45">
        <f>1+(INDEX(SeasonIdx,A600)-1)*SeasonAmp</f>
        <v/>
      </c>
      <c r="O600" s="45">
        <f>IFERROR(INDEX(PSPct,MATCH(E600&amp;"|"&amp;G600,PSKey,0)),0)</f>
        <v/>
      </c>
      <c r="P600" s="46">
        <f>INDEX(ChDoorVel,MATCH(E600,ChName,0))*CalibScalar*(1+VelocityUplift)</f>
        <v/>
      </c>
      <c r="Q600" s="46" t="n">
        <v>0</v>
      </c>
      <c r="R600" s="46">
        <f>P600*O600*M600*N600*H600</f>
        <v/>
      </c>
      <c r="S600" s="46">
        <f>R600*INDEX(FmtCansPerCase,MATCH(F600,FmtName,0))</f>
        <v/>
      </c>
      <c r="T600" s="46">
        <f>S600/INDEX(FmtCansPerPack,MATCH(F600,FmtName,0))</f>
        <v/>
      </c>
      <c r="U600" s="47">
        <f>INDEX(ChBaseCP,MATCH(E600,ChName,0))*(1+INDEX(ProvMod,MATCH(G600,ProvCode,0)))*(1+PriceIndex)</f>
        <v/>
      </c>
      <c r="V600" s="47">
        <f>R600*U600*INDEX(FmtBlendedPriceIdx,MATCH(F600,FmtName,0))</f>
        <v/>
      </c>
      <c r="W600" s="47">
        <f>T600*INDEX(ProvSRP,MATCH(G600,ProvCode,0))*(1+PriceIndex)</f>
        <v/>
      </c>
      <c r="X600" s="47">
        <f>IF(GrossBasis="Wholesale",V600,W600)</f>
        <v/>
      </c>
      <c r="Y600" s="47">
        <f>R600*INDEX(FmtBlendedCogs,MATCH(F600,FmtName,0))</f>
        <v/>
      </c>
      <c r="Z600" s="47">
        <f>X600-Y600</f>
        <v/>
      </c>
    </row>
    <row r="601">
      <c r="A601" t="n">
        <v>17</v>
      </c>
      <c r="B601" s="44">
        <f>FiscalStart+(A601-1)*7</f>
        <v/>
      </c>
      <c r="C601">
        <f>TEXT(B601,"mmm yyyy")</f>
        <v/>
      </c>
      <c r="D601">
        <f>"Q"&amp;(INT((A601-1)/13)+1)</f>
        <v/>
      </c>
      <c r="E601" t="inlineStr">
        <is>
          <t>On Premise</t>
        </is>
      </c>
      <c r="F601">
        <f>IFERROR(INDEX(ChFormat,MATCH(E601,ChName,0)),"")</f>
        <v/>
      </c>
      <c r="G601" t="inlineStr">
        <is>
          <t>AB</t>
        </is>
      </c>
      <c r="H601">
        <f>IF(A601&lt;=NWeeks,1,0)</f>
        <v/>
      </c>
      <c r="I601">
        <f>INDEX(ChLaunch,MATCH(E601,ChName,0))</f>
        <v/>
      </c>
      <c r="J601">
        <f>INDEX(ChWeeksFull,MATCH(E601,ChName,0))</f>
        <v/>
      </c>
      <c r="K601">
        <f>INDEX(ChRamp,MATCH(E601,ChName,0))</f>
        <v/>
      </c>
      <c r="L601" s="45">
        <f>MIN(1,MAX(0,(A601-I601+1)*RampSpeed/J601))</f>
        <v/>
      </c>
      <c r="M601" s="45">
        <f>IF(A601&lt;I601,0,IF(K601="S-curve",L601*L601*(3-2*L601),L601))</f>
        <v/>
      </c>
      <c r="N601" s="45">
        <f>1+(INDEX(SeasonIdx,A601)-1)*SeasonAmp</f>
        <v/>
      </c>
      <c r="O601" s="45">
        <f>IFERROR(INDEX(PSPct,MATCH(E601&amp;"|"&amp;G601,PSKey,0)),0)</f>
        <v/>
      </c>
      <c r="P601" s="46">
        <f>INDEX(ChDoorVel,MATCH(E601,ChName,0))*CalibScalar*(1+VelocityUplift)</f>
        <v/>
      </c>
      <c r="Q601" s="46" t="n">
        <v>0</v>
      </c>
      <c r="R601" s="46">
        <f>P601*O601*M601*N601*H601</f>
        <v/>
      </c>
      <c r="S601" s="46">
        <f>R601*INDEX(FmtCansPerCase,MATCH(F601,FmtName,0))</f>
        <v/>
      </c>
      <c r="T601" s="46">
        <f>S601/INDEX(FmtCansPerPack,MATCH(F601,FmtName,0))</f>
        <v/>
      </c>
      <c r="U601" s="47">
        <f>INDEX(ChBaseCP,MATCH(E601,ChName,0))*(1+INDEX(ProvMod,MATCH(G601,ProvCode,0)))*(1+PriceIndex)</f>
        <v/>
      </c>
      <c r="V601" s="47">
        <f>R601*U601*INDEX(FmtBlendedPriceIdx,MATCH(F601,FmtName,0))</f>
        <v/>
      </c>
      <c r="W601" s="47">
        <f>T601*INDEX(ProvSRP,MATCH(G601,ProvCode,0))*(1+PriceIndex)</f>
        <v/>
      </c>
      <c r="X601" s="47">
        <f>IF(GrossBasis="Wholesale",V601,W601)</f>
        <v/>
      </c>
      <c r="Y601" s="47">
        <f>R601*INDEX(FmtBlendedCogs,MATCH(F601,FmtName,0))</f>
        <v/>
      </c>
      <c r="Z601" s="47">
        <f>X601-Y601</f>
        <v/>
      </c>
    </row>
    <row r="602">
      <c r="A602" t="n">
        <v>18</v>
      </c>
      <c r="B602" s="44">
        <f>FiscalStart+(A602-1)*7</f>
        <v/>
      </c>
      <c r="C602">
        <f>TEXT(B602,"mmm yyyy")</f>
        <v/>
      </c>
      <c r="D602">
        <f>"Q"&amp;(INT((A602-1)/13)+1)</f>
        <v/>
      </c>
      <c r="E602" t="inlineStr">
        <is>
          <t>On Premise</t>
        </is>
      </c>
      <c r="F602">
        <f>IFERROR(INDEX(ChFormat,MATCH(E602,ChName,0)),"")</f>
        <v/>
      </c>
      <c r="G602" t="inlineStr">
        <is>
          <t>AB</t>
        </is>
      </c>
      <c r="H602">
        <f>IF(A602&lt;=NWeeks,1,0)</f>
        <v/>
      </c>
      <c r="I602">
        <f>INDEX(ChLaunch,MATCH(E602,ChName,0))</f>
        <v/>
      </c>
      <c r="J602">
        <f>INDEX(ChWeeksFull,MATCH(E602,ChName,0))</f>
        <v/>
      </c>
      <c r="K602">
        <f>INDEX(ChRamp,MATCH(E602,ChName,0))</f>
        <v/>
      </c>
      <c r="L602" s="45">
        <f>MIN(1,MAX(0,(A602-I602+1)*RampSpeed/J602))</f>
        <v/>
      </c>
      <c r="M602" s="45">
        <f>IF(A602&lt;I602,0,IF(K602="S-curve",L602*L602*(3-2*L602),L602))</f>
        <v/>
      </c>
      <c r="N602" s="45">
        <f>1+(INDEX(SeasonIdx,A602)-1)*SeasonAmp</f>
        <v/>
      </c>
      <c r="O602" s="45">
        <f>IFERROR(INDEX(PSPct,MATCH(E602&amp;"|"&amp;G602,PSKey,0)),0)</f>
        <v/>
      </c>
      <c r="P602" s="46">
        <f>INDEX(ChDoorVel,MATCH(E602,ChName,0))*CalibScalar*(1+VelocityUplift)</f>
        <v/>
      </c>
      <c r="Q602" s="46" t="n">
        <v>0</v>
      </c>
      <c r="R602" s="46">
        <f>P602*O602*M602*N602*H602</f>
        <v/>
      </c>
      <c r="S602" s="46">
        <f>R602*INDEX(FmtCansPerCase,MATCH(F602,FmtName,0))</f>
        <v/>
      </c>
      <c r="T602" s="46">
        <f>S602/INDEX(FmtCansPerPack,MATCH(F602,FmtName,0))</f>
        <v/>
      </c>
      <c r="U602" s="47">
        <f>INDEX(ChBaseCP,MATCH(E602,ChName,0))*(1+INDEX(ProvMod,MATCH(G602,ProvCode,0)))*(1+PriceIndex)</f>
        <v/>
      </c>
      <c r="V602" s="47">
        <f>R602*U602*INDEX(FmtBlendedPriceIdx,MATCH(F602,FmtName,0))</f>
        <v/>
      </c>
      <c r="W602" s="47">
        <f>T602*INDEX(ProvSRP,MATCH(G602,ProvCode,0))*(1+PriceIndex)</f>
        <v/>
      </c>
      <c r="X602" s="47">
        <f>IF(GrossBasis="Wholesale",V602,W602)</f>
        <v/>
      </c>
      <c r="Y602" s="47">
        <f>R602*INDEX(FmtBlendedCogs,MATCH(F602,FmtName,0))</f>
        <v/>
      </c>
      <c r="Z602" s="47">
        <f>X602-Y602</f>
        <v/>
      </c>
    </row>
    <row r="603">
      <c r="A603" t="n">
        <v>19</v>
      </c>
      <c r="B603" s="44">
        <f>FiscalStart+(A603-1)*7</f>
        <v/>
      </c>
      <c r="C603">
        <f>TEXT(B603,"mmm yyyy")</f>
        <v/>
      </c>
      <c r="D603">
        <f>"Q"&amp;(INT((A603-1)/13)+1)</f>
        <v/>
      </c>
      <c r="E603" t="inlineStr">
        <is>
          <t>On Premise</t>
        </is>
      </c>
      <c r="F603">
        <f>IFERROR(INDEX(ChFormat,MATCH(E603,ChName,0)),"")</f>
        <v/>
      </c>
      <c r="G603" t="inlineStr">
        <is>
          <t>AB</t>
        </is>
      </c>
      <c r="H603">
        <f>IF(A603&lt;=NWeeks,1,0)</f>
        <v/>
      </c>
      <c r="I603">
        <f>INDEX(ChLaunch,MATCH(E603,ChName,0))</f>
        <v/>
      </c>
      <c r="J603">
        <f>INDEX(ChWeeksFull,MATCH(E603,ChName,0))</f>
        <v/>
      </c>
      <c r="K603">
        <f>INDEX(ChRamp,MATCH(E603,ChName,0))</f>
        <v/>
      </c>
      <c r="L603" s="45">
        <f>MIN(1,MAX(0,(A603-I603+1)*RampSpeed/J603))</f>
        <v/>
      </c>
      <c r="M603" s="45">
        <f>IF(A603&lt;I603,0,IF(K603="S-curve",L603*L603*(3-2*L603),L603))</f>
        <v/>
      </c>
      <c r="N603" s="45">
        <f>1+(INDEX(SeasonIdx,A603)-1)*SeasonAmp</f>
        <v/>
      </c>
      <c r="O603" s="45">
        <f>IFERROR(INDEX(PSPct,MATCH(E603&amp;"|"&amp;G603,PSKey,0)),0)</f>
        <v/>
      </c>
      <c r="P603" s="46">
        <f>INDEX(ChDoorVel,MATCH(E603,ChName,0))*CalibScalar*(1+VelocityUplift)</f>
        <v/>
      </c>
      <c r="Q603" s="46" t="n">
        <v>0</v>
      </c>
      <c r="R603" s="46">
        <f>P603*O603*M603*N603*H603</f>
        <v/>
      </c>
      <c r="S603" s="46">
        <f>R603*INDEX(FmtCansPerCase,MATCH(F603,FmtName,0))</f>
        <v/>
      </c>
      <c r="T603" s="46">
        <f>S603/INDEX(FmtCansPerPack,MATCH(F603,FmtName,0))</f>
        <v/>
      </c>
      <c r="U603" s="47">
        <f>INDEX(ChBaseCP,MATCH(E603,ChName,0))*(1+INDEX(ProvMod,MATCH(G603,ProvCode,0)))*(1+PriceIndex)</f>
        <v/>
      </c>
      <c r="V603" s="47">
        <f>R603*U603*INDEX(FmtBlendedPriceIdx,MATCH(F603,FmtName,0))</f>
        <v/>
      </c>
      <c r="W603" s="47">
        <f>T603*INDEX(ProvSRP,MATCH(G603,ProvCode,0))*(1+PriceIndex)</f>
        <v/>
      </c>
      <c r="X603" s="47">
        <f>IF(GrossBasis="Wholesale",V603,W603)</f>
        <v/>
      </c>
      <c r="Y603" s="47">
        <f>R603*INDEX(FmtBlendedCogs,MATCH(F603,FmtName,0))</f>
        <v/>
      </c>
      <c r="Z603" s="47">
        <f>X603-Y603</f>
        <v/>
      </c>
    </row>
    <row r="604">
      <c r="A604" t="n">
        <v>20</v>
      </c>
      <c r="B604" s="44">
        <f>FiscalStart+(A604-1)*7</f>
        <v/>
      </c>
      <c r="C604">
        <f>TEXT(B604,"mmm yyyy")</f>
        <v/>
      </c>
      <c r="D604">
        <f>"Q"&amp;(INT((A604-1)/13)+1)</f>
        <v/>
      </c>
      <c r="E604" t="inlineStr">
        <is>
          <t>On Premise</t>
        </is>
      </c>
      <c r="F604">
        <f>IFERROR(INDEX(ChFormat,MATCH(E604,ChName,0)),"")</f>
        <v/>
      </c>
      <c r="G604" t="inlineStr">
        <is>
          <t>AB</t>
        </is>
      </c>
      <c r="H604">
        <f>IF(A604&lt;=NWeeks,1,0)</f>
        <v/>
      </c>
      <c r="I604">
        <f>INDEX(ChLaunch,MATCH(E604,ChName,0))</f>
        <v/>
      </c>
      <c r="J604">
        <f>INDEX(ChWeeksFull,MATCH(E604,ChName,0))</f>
        <v/>
      </c>
      <c r="K604">
        <f>INDEX(ChRamp,MATCH(E604,ChName,0))</f>
        <v/>
      </c>
      <c r="L604" s="45">
        <f>MIN(1,MAX(0,(A604-I604+1)*RampSpeed/J604))</f>
        <v/>
      </c>
      <c r="M604" s="45">
        <f>IF(A604&lt;I604,0,IF(K604="S-curve",L604*L604*(3-2*L604),L604))</f>
        <v/>
      </c>
      <c r="N604" s="45">
        <f>1+(INDEX(SeasonIdx,A604)-1)*SeasonAmp</f>
        <v/>
      </c>
      <c r="O604" s="45">
        <f>IFERROR(INDEX(PSPct,MATCH(E604&amp;"|"&amp;G604,PSKey,0)),0)</f>
        <v/>
      </c>
      <c r="P604" s="46">
        <f>INDEX(ChDoorVel,MATCH(E604,ChName,0))*CalibScalar*(1+VelocityUplift)</f>
        <v/>
      </c>
      <c r="Q604" s="46" t="n">
        <v>0</v>
      </c>
      <c r="R604" s="46">
        <f>P604*O604*M604*N604*H604</f>
        <v/>
      </c>
      <c r="S604" s="46">
        <f>R604*INDEX(FmtCansPerCase,MATCH(F604,FmtName,0))</f>
        <v/>
      </c>
      <c r="T604" s="46">
        <f>S604/INDEX(FmtCansPerPack,MATCH(F604,FmtName,0))</f>
        <v/>
      </c>
      <c r="U604" s="47">
        <f>INDEX(ChBaseCP,MATCH(E604,ChName,0))*(1+INDEX(ProvMod,MATCH(G604,ProvCode,0)))*(1+PriceIndex)</f>
        <v/>
      </c>
      <c r="V604" s="47">
        <f>R604*U604*INDEX(FmtBlendedPriceIdx,MATCH(F604,FmtName,0))</f>
        <v/>
      </c>
      <c r="W604" s="47">
        <f>T604*INDEX(ProvSRP,MATCH(G604,ProvCode,0))*(1+PriceIndex)</f>
        <v/>
      </c>
      <c r="X604" s="47">
        <f>IF(GrossBasis="Wholesale",V604,W604)</f>
        <v/>
      </c>
      <c r="Y604" s="47">
        <f>R604*INDEX(FmtBlendedCogs,MATCH(F604,FmtName,0))</f>
        <v/>
      </c>
      <c r="Z604" s="47">
        <f>X604-Y604</f>
        <v/>
      </c>
    </row>
    <row r="605">
      <c r="A605" t="n">
        <v>21</v>
      </c>
      <c r="B605" s="44">
        <f>FiscalStart+(A605-1)*7</f>
        <v/>
      </c>
      <c r="C605">
        <f>TEXT(B605,"mmm yyyy")</f>
        <v/>
      </c>
      <c r="D605">
        <f>"Q"&amp;(INT((A605-1)/13)+1)</f>
        <v/>
      </c>
      <c r="E605" t="inlineStr">
        <is>
          <t>On Premise</t>
        </is>
      </c>
      <c r="F605">
        <f>IFERROR(INDEX(ChFormat,MATCH(E605,ChName,0)),"")</f>
        <v/>
      </c>
      <c r="G605" t="inlineStr">
        <is>
          <t>AB</t>
        </is>
      </c>
      <c r="H605">
        <f>IF(A605&lt;=NWeeks,1,0)</f>
        <v/>
      </c>
      <c r="I605">
        <f>INDEX(ChLaunch,MATCH(E605,ChName,0))</f>
        <v/>
      </c>
      <c r="J605">
        <f>INDEX(ChWeeksFull,MATCH(E605,ChName,0))</f>
        <v/>
      </c>
      <c r="K605">
        <f>INDEX(ChRamp,MATCH(E605,ChName,0))</f>
        <v/>
      </c>
      <c r="L605" s="45">
        <f>MIN(1,MAX(0,(A605-I605+1)*RampSpeed/J605))</f>
        <v/>
      </c>
      <c r="M605" s="45">
        <f>IF(A605&lt;I605,0,IF(K605="S-curve",L605*L605*(3-2*L605),L605))</f>
        <v/>
      </c>
      <c r="N605" s="45">
        <f>1+(INDEX(SeasonIdx,A605)-1)*SeasonAmp</f>
        <v/>
      </c>
      <c r="O605" s="45">
        <f>IFERROR(INDEX(PSPct,MATCH(E605&amp;"|"&amp;G605,PSKey,0)),0)</f>
        <v/>
      </c>
      <c r="P605" s="46">
        <f>INDEX(ChDoorVel,MATCH(E605,ChName,0))*CalibScalar*(1+VelocityUplift)</f>
        <v/>
      </c>
      <c r="Q605" s="46" t="n">
        <v>0</v>
      </c>
      <c r="R605" s="46">
        <f>P605*O605*M605*N605*H605</f>
        <v/>
      </c>
      <c r="S605" s="46">
        <f>R605*INDEX(FmtCansPerCase,MATCH(F605,FmtName,0))</f>
        <v/>
      </c>
      <c r="T605" s="46">
        <f>S605/INDEX(FmtCansPerPack,MATCH(F605,FmtName,0))</f>
        <v/>
      </c>
      <c r="U605" s="47">
        <f>INDEX(ChBaseCP,MATCH(E605,ChName,0))*(1+INDEX(ProvMod,MATCH(G605,ProvCode,0)))*(1+PriceIndex)</f>
        <v/>
      </c>
      <c r="V605" s="47">
        <f>R605*U605*INDEX(FmtBlendedPriceIdx,MATCH(F605,FmtName,0))</f>
        <v/>
      </c>
      <c r="W605" s="47">
        <f>T605*INDEX(ProvSRP,MATCH(G605,ProvCode,0))*(1+PriceIndex)</f>
        <v/>
      </c>
      <c r="X605" s="47">
        <f>IF(GrossBasis="Wholesale",V605,W605)</f>
        <v/>
      </c>
      <c r="Y605" s="47">
        <f>R605*INDEX(FmtBlendedCogs,MATCH(F605,FmtName,0))</f>
        <v/>
      </c>
      <c r="Z605" s="47">
        <f>X605-Y605</f>
        <v/>
      </c>
    </row>
    <row r="606">
      <c r="A606" t="n">
        <v>22</v>
      </c>
      <c r="B606" s="44">
        <f>FiscalStart+(A606-1)*7</f>
        <v/>
      </c>
      <c r="C606">
        <f>TEXT(B606,"mmm yyyy")</f>
        <v/>
      </c>
      <c r="D606">
        <f>"Q"&amp;(INT((A606-1)/13)+1)</f>
        <v/>
      </c>
      <c r="E606" t="inlineStr">
        <is>
          <t>On Premise</t>
        </is>
      </c>
      <c r="F606">
        <f>IFERROR(INDEX(ChFormat,MATCH(E606,ChName,0)),"")</f>
        <v/>
      </c>
      <c r="G606" t="inlineStr">
        <is>
          <t>AB</t>
        </is>
      </c>
      <c r="H606">
        <f>IF(A606&lt;=NWeeks,1,0)</f>
        <v/>
      </c>
      <c r="I606">
        <f>INDEX(ChLaunch,MATCH(E606,ChName,0))</f>
        <v/>
      </c>
      <c r="J606">
        <f>INDEX(ChWeeksFull,MATCH(E606,ChName,0))</f>
        <v/>
      </c>
      <c r="K606">
        <f>INDEX(ChRamp,MATCH(E606,ChName,0))</f>
        <v/>
      </c>
      <c r="L606" s="45">
        <f>MIN(1,MAX(0,(A606-I606+1)*RampSpeed/J606))</f>
        <v/>
      </c>
      <c r="M606" s="45">
        <f>IF(A606&lt;I606,0,IF(K606="S-curve",L606*L606*(3-2*L606),L606))</f>
        <v/>
      </c>
      <c r="N606" s="45">
        <f>1+(INDEX(SeasonIdx,A606)-1)*SeasonAmp</f>
        <v/>
      </c>
      <c r="O606" s="45">
        <f>IFERROR(INDEX(PSPct,MATCH(E606&amp;"|"&amp;G606,PSKey,0)),0)</f>
        <v/>
      </c>
      <c r="P606" s="46">
        <f>INDEX(ChDoorVel,MATCH(E606,ChName,0))*CalibScalar*(1+VelocityUplift)</f>
        <v/>
      </c>
      <c r="Q606" s="46" t="n">
        <v>0</v>
      </c>
      <c r="R606" s="46">
        <f>P606*O606*M606*N606*H606</f>
        <v/>
      </c>
      <c r="S606" s="46">
        <f>R606*INDEX(FmtCansPerCase,MATCH(F606,FmtName,0))</f>
        <v/>
      </c>
      <c r="T606" s="46">
        <f>S606/INDEX(FmtCansPerPack,MATCH(F606,FmtName,0))</f>
        <v/>
      </c>
      <c r="U606" s="47">
        <f>INDEX(ChBaseCP,MATCH(E606,ChName,0))*(1+INDEX(ProvMod,MATCH(G606,ProvCode,0)))*(1+PriceIndex)</f>
        <v/>
      </c>
      <c r="V606" s="47">
        <f>R606*U606*INDEX(FmtBlendedPriceIdx,MATCH(F606,FmtName,0))</f>
        <v/>
      </c>
      <c r="W606" s="47">
        <f>T606*INDEX(ProvSRP,MATCH(G606,ProvCode,0))*(1+PriceIndex)</f>
        <v/>
      </c>
      <c r="X606" s="47">
        <f>IF(GrossBasis="Wholesale",V606,W606)</f>
        <v/>
      </c>
      <c r="Y606" s="47">
        <f>R606*INDEX(FmtBlendedCogs,MATCH(F606,FmtName,0))</f>
        <v/>
      </c>
      <c r="Z606" s="47">
        <f>X606-Y606</f>
        <v/>
      </c>
    </row>
    <row r="607">
      <c r="A607" t="n">
        <v>23</v>
      </c>
      <c r="B607" s="44">
        <f>FiscalStart+(A607-1)*7</f>
        <v/>
      </c>
      <c r="C607">
        <f>TEXT(B607,"mmm yyyy")</f>
        <v/>
      </c>
      <c r="D607">
        <f>"Q"&amp;(INT((A607-1)/13)+1)</f>
        <v/>
      </c>
      <c r="E607" t="inlineStr">
        <is>
          <t>On Premise</t>
        </is>
      </c>
      <c r="F607">
        <f>IFERROR(INDEX(ChFormat,MATCH(E607,ChName,0)),"")</f>
        <v/>
      </c>
      <c r="G607" t="inlineStr">
        <is>
          <t>AB</t>
        </is>
      </c>
      <c r="H607">
        <f>IF(A607&lt;=NWeeks,1,0)</f>
        <v/>
      </c>
      <c r="I607">
        <f>INDEX(ChLaunch,MATCH(E607,ChName,0))</f>
        <v/>
      </c>
      <c r="J607">
        <f>INDEX(ChWeeksFull,MATCH(E607,ChName,0))</f>
        <v/>
      </c>
      <c r="K607">
        <f>INDEX(ChRamp,MATCH(E607,ChName,0))</f>
        <v/>
      </c>
      <c r="L607" s="45">
        <f>MIN(1,MAX(0,(A607-I607+1)*RampSpeed/J607))</f>
        <v/>
      </c>
      <c r="M607" s="45">
        <f>IF(A607&lt;I607,0,IF(K607="S-curve",L607*L607*(3-2*L607),L607))</f>
        <v/>
      </c>
      <c r="N607" s="45">
        <f>1+(INDEX(SeasonIdx,A607)-1)*SeasonAmp</f>
        <v/>
      </c>
      <c r="O607" s="45">
        <f>IFERROR(INDEX(PSPct,MATCH(E607&amp;"|"&amp;G607,PSKey,0)),0)</f>
        <v/>
      </c>
      <c r="P607" s="46">
        <f>INDEX(ChDoorVel,MATCH(E607,ChName,0))*CalibScalar*(1+VelocityUplift)</f>
        <v/>
      </c>
      <c r="Q607" s="46" t="n">
        <v>0</v>
      </c>
      <c r="R607" s="46">
        <f>P607*O607*M607*N607*H607</f>
        <v/>
      </c>
      <c r="S607" s="46">
        <f>R607*INDEX(FmtCansPerCase,MATCH(F607,FmtName,0))</f>
        <v/>
      </c>
      <c r="T607" s="46">
        <f>S607/INDEX(FmtCansPerPack,MATCH(F607,FmtName,0))</f>
        <v/>
      </c>
      <c r="U607" s="47">
        <f>INDEX(ChBaseCP,MATCH(E607,ChName,0))*(1+INDEX(ProvMod,MATCH(G607,ProvCode,0)))*(1+PriceIndex)</f>
        <v/>
      </c>
      <c r="V607" s="47">
        <f>R607*U607*INDEX(FmtBlendedPriceIdx,MATCH(F607,FmtName,0))</f>
        <v/>
      </c>
      <c r="W607" s="47">
        <f>T607*INDEX(ProvSRP,MATCH(G607,ProvCode,0))*(1+PriceIndex)</f>
        <v/>
      </c>
      <c r="X607" s="47">
        <f>IF(GrossBasis="Wholesale",V607,W607)</f>
        <v/>
      </c>
      <c r="Y607" s="47">
        <f>R607*INDEX(FmtBlendedCogs,MATCH(F607,FmtName,0))</f>
        <v/>
      </c>
      <c r="Z607" s="47">
        <f>X607-Y607</f>
        <v/>
      </c>
    </row>
    <row r="608">
      <c r="A608" t="n">
        <v>24</v>
      </c>
      <c r="B608" s="44">
        <f>FiscalStart+(A608-1)*7</f>
        <v/>
      </c>
      <c r="C608">
        <f>TEXT(B608,"mmm yyyy")</f>
        <v/>
      </c>
      <c r="D608">
        <f>"Q"&amp;(INT((A608-1)/13)+1)</f>
        <v/>
      </c>
      <c r="E608" t="inlineStr">
        <is>
          <t>On Premise</t>
        </is>
      </c>
      <c r="F608">
        <f>IFERROR(INDEX(ChFormat,MATCH(E608,ChName,0)),"")</f>
        <v/>
      </c>
      <c r="G608" t="inlineStr">
        <is>
          <t>AB</t>
        </is>
      </c>
      <c r="H608">
        <f>IF(A608&lt;=NWeeks,1,0)</f>
        <v/>
      </c>
      <c r="I608">
        <f>INDEX(ChLaunch,MATCH(E608,ChName,0))</f>
        <v/>
      </c>
      <c r="J608">
        <f>INDEX(ChWeeksFull,MATCH(E608,ChName,0))</f>
        <v/>
      </c>
      <c r="K608">
        <f>INDEX(ChRamp,MATCH(E608,ChName,0))</f>
        <v/>
      </c>
      <c r="L608" s="45">
        <f>MIN(1,MAX(0,(A608-I608+1)*RampSpeed/J608))</f>
        <v/>
      </c>
      <c r="M608" s="45">
        <f>IF(A608&lt;I608,0,IF(K608="S-curve",L608*L608*(3-2*L608),L608))</f>
        <v/>
      </c>
      <c r="N608" s="45">
        <f>1+(INDEX(SeasonIdx,A608)-1)*SeasonAmp</f>
        <v/>
      </c>
      <c r="O608" s="45">
        <f>IFERROR(INDEX(PSPct,MATCH(E608&amp;"|"&amp;G608,PSKey,0)),0)</f>
        <v/>
      </c>
      <c r="P608" s="46">
        <f>INDEX(ChDoorVel,MATCH(E608,ChName,0))*CalibScalar*(1+VelocityUplift)</f>
        <v/>
      </c>
      <c r="Q608" s="46" t="n">
        <v>0</v>
      </c>
      <c r="R608" s="46">
        <f>P608*O608*M608*N608*H608</f>
        <v/>
      </c>
      <c r="S608" s="46">
        <f>R608*INDEX(FmtCansPerCase,MATCH(F608,FmtName,0))</f>
        <v/>
      </c>
      <c r="T608" s="46">
        <f>S608/INDEX(FmtCansPerPack,MATCH(F608,FmtName,0))</f>
        <v/>
      </c>
      <c r="U608" s="47">
        <f>INDEX(ChBaseCP,MATCH(E608,ChName,0))*(1+INDEX(ProvMod,MATCH(G608,ProvCode,0)))*(1+PriceIndex)</f>
        <v/>
      </c>
      <c r="V608" s="47">
        <f>R608*U608*INDEX(FmtBlendedPriceIdx,MATCH(F608,FmtName,0))</f>
        <v/>
      </c>
      <c r="W608" s="47">
        <f>T608*INDEX(ProvSRP,MATCH(G608,ProvCode,0))*(1+PriceIndex)</f>
        <v/>
      </c>
      <c r="X608" s="47">
        <f>IF(GrossBasis="Wholesale",V608,W608)</f>
        <v/>
      </c>
      <c r="Y608" s="47">
        <f>R608*INDEX(FmtBlendedCogs,MATCH(F608,FmtName,0))</f>
        <v/>
      </c>
      <c r="Z608" s="47">
        <f>X608-Y608</f>
        <v/>
      </c>
    </row>
    <row r="609">
      <c r="A609" t="n">
        <v>25</v>
      </c>
      <c r="B609" s="44">
        <f>FiscalStart+(A609-1)*7</f>
        <v/>
      </c>
      <c r="C609">
        <f>TEXT(B609,"mmm yyyy")</f>
        <v/>
      </c>
      <c r="D609">
        <f>"Q"&amp;(INT((A609-1)/13)+1)</f>
        <v/>
      </c>
      <c r="E609" t="inlineStr">
        <is>
          <t>On Premise</t>
        </is>
      </c>
      <c r="F609">
        <f>IFERROR(INDEX(ChFormat,MATCH(E609,ChName,0)),"")</f>
        <v/>
      </c>
      <c r="G609" t="inlineStr">
        <is>
          <t>AB</t>
        </is>
      </c>
      <c r="H609">
        <f>IF(A609&lt;=NWeeks,1,0)</f>
        <v/>
      </c>
      <c r="I609">
        <f>INDEX(ChLaunch,MATCH(E609,ChName,0))</f>
        <v/>
      </c>
      <c r="J609">
        <f>INDEX(ChWeeksFull,MATCH(E609,ChName,0))</f>
        <v/>
      </c>
      <c r="K609">
        <f>INDEX(ChRamp,MATCH(E609,ChName,0))</f>
        <v/>
      </c>
      <c r="L609" s="45">
        <f>MIN(1,MAX(0,(A609-I609+1)*RampSpeed/J609))</f>
        <v/>
      </c>
      <c r="M609" s="45">
        <f>IF(A609&lt;I609,0,IF(K609="S-curve",L609*L609*(3-2*L609),L609))</f>
        <v/>
      </c>
      <c r="N609" s="45">
        <f>1+(INDEX(SeasonIdx,A609)-1)*SeasonAmp</f>
        <v/>
      </c>
      <c r="O609" s="45">
        <f>IFERROR(INDEX(PSPct,MATCH(E609&amp;"|"&amp;G609,PSKey,0)),0)</f>
        <v/>
      </c>
      <c r="P609" s="46">
        <f>INDEX(ChDoorVel,MATCH(E609,ChName,0))*CalibScalar*(1+VelocityUplift)</f>
        <v/>
      </c>
      <c r="Q609" s="46" t="n">
        <v>0</v>
      </c>
      <c r="R609" s="46">
        <f>P609*O609*M609*N609*H609</f>
        <v/>
      </c>
      <c r="S609" s="46">
        <f>R609*INDEX(FmtCansPerCase,MATCH(F609,FmtName,0))</f>
        <v/>
      </c>
      <c r="T609" s="46">
        <f>S609/INDEX(FmtCansPerPack,MATCH(F609,FmtName,0))</f>
        <v/>
      </c>
      <c r="U609" s="47">
        <f>INDEX(ChBaseCP,MATCH(E609,ChName,0))*(1+INDEX(ProvMod,MATCH(G609,ProvCode,0)))*(1+PriceIndex)</f>
        <v/>
      </c>
      <c r="V609" s="47">
        <f>R609*U609*INDEX(FmtBlendedPriceIdx,MATCH(F609,FmtName,0))</f>
        <v/>
      </c>
      <c r="W609" s="47">
        <f>T609*INDEX(ProvSRP,MATCH(G609,ProvCode,0))*(1+PriceIndex)</f>
        <v/>
      </c>
      <c r="X609" s="47">
        <f>IF(GrossBasis="Wholesale",V609,W609)</f>
        <v/>
      </c>
      <c r="Y609" s="47">
        <f>R609*INDEX(FmtBlendedCogs,MATCH(F609,FmtName,0))</f>
        <v/>
      </c>
      <c r="Z609" s="47">
        <f>X609-Y609</f>
        <v/>
      </c>
    </row>
    <row r="610">
      <c r="A610" t="n">
        <v>26</v>
      </c>
      <c r="B610" s="44">
        <f>FiscalStart+(A610-1)*7</f>
        <v/>
      </c>
      <c r="C610">
        <f>TEXT(B610,"mmm yyyy")</f>
        <v/>
      </c>
      <c r="D610">
        <f>"Q"&amp;(INT((A610-1)/13)+1)</f>
        <v/>
      </c>
      <c r="E610" t="inlineStr">
        <is>
          <t>On Premise</t>
        </is>
      </c>
      <c r="F610">
        <f>IFERROR(INDEX(ChFormat,MATCH(E610,ChName,0)),"")</f>
        <v/>
      </c>
      <c r="G610" t="inlineStr">
        <is>
          <t>AB</t>
        </is>
      </c>
      <c r="H610">
        <f>IF(A610&lt;=NWeeks,1,0)</f>
        <v/>
      </c>
      <c r="I610">
        <f>INDEX(ChLaunch,MATCH(E610,ChName,0))</f>
        <v/>
      </c>
      <c r="J610">
        <f>INDEX(ChWeeksFull,MATCH(E610,ChName,0))</f>
        <v/>
      </c>
      <c r="K610">
        <f>INDEX(ChRamp,MATCH(E610,ChName,0))</f>
        <v/>
      </c>
      <c r="L610" s="45">
        <f>MIN(1,MAX(0,(A610-I610+1)*RampSpeed/J610))</f>
        <v/>
      </c>
      <c r="M610" s="45">
        <f>IF(A610&lt;I610,0,IF(K610="S-curve",L610*L610*(3-2*L610),L610))</f>
        <v/>
      </c>
      <c r="N610" s="45">
        <f>1+(INDEX(SeasonIdx,A610)-1)*SeasonAmp</f>
        <v/>
      </c>
      <c r="O610" s="45">
        <f>IFERROR(INDEX(PSPct,MATCH(E610&amp;"|"&amp;G610,PSKey,0)),0)</f>
        <v/>
      </c>
      <c r="P610" s="46">
        <f>INDEX(ChDoorVel,MATCH(E610,ChName,0))*CalibScalar*(1+VelocityUplift)</f>
        <v/>
      </c>
      <c r="Q610" s="46" t="n">
        <v>0</v>
      </c>
      <c r="R610" s="46">
        <f>P610*O610*M610*N610*H610</f>
        <v/>
      </c>
      <c r="S610" s="46">
        <f>R610*INDEX(FmtCansPerCase,MATCH(F610,FmtName,0))</f>
        <v/>
      </c>
      <c r="T610" s="46">
        <f>S610/INDEX(FmtCansPerPack,MATCH(F610,FmtName,0))</f>
        <v/>
      </c>
      <c r="U610" s="47">
        <f>INDEX(ChBaseCP,MATCH(E610,ChName,0))*(1+INDEX(ProvMod,MATCH(G610,ProvCode,0)))*(1+PriceIndex)</f>
        <v/>
      </c>
      <c r="V610" s="47">
        <f>R610*U610*INDEX(FmtBlendedPriceIdx,MATCH(F610,FmtName,0))</f>
        <v/>
      </c>
      <c r="W610" s="47">
        <f>T610*INDEX(ProvSRP,MATCH(G610,ProvCode,0))*(1+PriceIndex)</f>
        <v/>
      </c>
      <c r="X610" s="47">
        <f>IF(GrossBasis="Wholesale",V610,W610)</f>
        <v/>
      </c>
      <c r="Y610" s="47">
        <f>R610*INDEX(FmtBlendedCogs,MATCH(F610,FmtName,0))</f>
        <v/>
      </c>
      <c r="Z610" s="47">
        <f>X610-Y610</f>
        <v/>
      </c>
    </row>
    <row r="611">
      <c r="A611" t="n">
        <v>27</v>
      </c>
      <c r="B611" s="44">
        <f>FiscalStart+(A611-1)*7</f>
        <v/>
      </c>
      <c r="C611">
        <f>TEXT(B611,"mmm yyyy")</f>
        <v/>
      </c>
      <c r="D611">
        <f>"Q"&amp;(INT((A611-1)/13)+1)</f>
        <v/>
      </c>
      <c r="E611" t="inlineStr">
        <is>
          <t>On Premise</t>
        </is>
      </c>
      <c r="F611">
        <f>IFERROR(INDEX(ChFormat,MATCH(E611,ChName,0)),"")</f>
        <v/>
      </c>
      <c r="G611" t="inlineStr">
        <is>
          <t>AB</t>
        </is>
      </c>
      <c r="H611">
        <f>IF(A611&lt;=NWeeks,1,0)</f>
        <v/>
      </c>
      <c r="I611">
        <f>INDEX(ChLaunch,MATCH(E611,ChName,0))</f>
        <v/>
      </c>
      <c r="J611">
        <f>INDEX(ChWeeksFull,MATCH(E611,ChName,0))</f>
        <v/>
      </c>
      <c r="K611">
        <f>INDEX(ChRamp,MATCH(E611,ChName,0))</f>
        <v/>
      </c>
      <c r="L611" s="45">
        <f>MIN(1,MAX(0,(A611-I611+1)*RampSpeed/J611))</f>
        <v/>
      </c>
      <c r="M611" s="45">
        <f>IF(A611&lt;I611,0,IF(K611="S-curve",L611*L611*(3-2*L611),L611))</f>
        <v/>
      </c>
      <c r="N611" s="45">
        <f>1+(INDEX(SeasonIdx,A611)-1)*SeasonAmp</f>
        <v/>
      </c>
      <c r="O611" s="45">
        <f>IFERROR(INDEX(PSPct,MATCH(E611&amp;"|"&amp;G611,PSKey,0)),0)</f>
        <v/>
      </c>
      <c r="P611" s="46">
        <f>INDEX(ChDoorVel,MATCH(E611,ChName,0))*CalibScalar*(1+VelocityUplift)</f>
        <v/>
      </c>
      <c r="Q611" s="46" t="n">
        <v>0</v>
      </c>
      <c r="R611" s="46">
        <f>P611*O611*M611*N611*H611</f>
        <v/>
      </c>
      <c r="S611" s="46">
        <f>R611*INDEX(FmtCansPerCase,MATCH(F611,FmtName,0))</f>
        <v/>
      </c>
      <c r="T611" s="46">
        <f>S611/INDEX(FmtCansPerPack,MATCH(F611,FmtName,0))</f>
        <v/>
      </c>
      <c r="U611" s="47">
        <f>INDEX(ChBaseCP,MATCH(E611,ChName,0))*(1+INDEX(ProvMod,MATCH(G611,ProvCode,0)))*(1+PriceIndex)</f>
        <v/>
      </c>
      <c r="V611" s="47">
        <f>R611*U611*INDEX(FmtBlendedPriceIdx,MATCH(F611,FmtName,0))</f>
        <v/>
      </c>
      <c r="W611" s="47">
        <f>T611*INDEX(ProvSRP,MATCH(G611,ProvCode,0))*(1+PriceIndex)</f>
        <v/>
      </c>
      <c r="X611" s="47">
        <f>IF(GrossBasis="Wholesale",V611,W611)</f>
        <v/>
      </c>
      <c r="Y611" s="47">
        <f>R611*INDEX(FmtBlendedCogs,MATCH(F611,FmtName,0))</f>
        <v/>
      </c>
      <c r="Z611" s="47">
        <f>X611-Y611</f>
        <v/>
      </c>
    </row>
    <row r="612">
      <c r="A612" t="n">
        <v>28</v>
      </c>
      <c r="B612" s="44">
        <f>FiscalStart+(A612-1)*7</f>
        <v/>
      </c>
      <c r="C612">
        <f>TEXT(B612,"mmm yyyy")</f>
        <v/>
      </c>
      <c r="D612">
        <f>"Q"&amp;(INT((A612-1)/13)+1)</f>
        <v/>
      </c>
      <c r="E612" t="inlineStr">
        <is>
          <t>On Premise</t>
        </is>
      </c>
      <c r="F612">
        <f>IFERROR(INDEX(ChFormat,MATCH(E612,ChName,0)),"")</f>
        <v/>
      </c>
      <c r="G612" t="inlineStr">
        <is>
          <t>AB</t>
        </is>
      </c>
      <c r="H612">
        <f>IF(A612&lt;=NWeeks,1,0)</f>
        <v/>
      </c>
      <c r="I612">
        <f>INDEX(ChLaunch,MATCH(E612,ChName,0))</f>
        <v/>
      </c>
      <c r="J612">
        <f>INDEX(ChWeeksFull,MATCH(E612,ChName,0))</f>
        <v/>
      </c>
      <c r="K612">
        <f>INDEX(ChRamp,MATCH(E612,ChName,0))</f>
        <v/>
      </c>
      <c r="L612" s="45">
        <f>MIN(1,MAX(0,(A612-I612+1)*RampSpeed/J612))</f>
        <v/>
      </c>
      <c r="M612" s="45">
        <f>IF(A612&lt;I612,0,IF(K612="S-curve",L612*L612*(3-2*L612),L612))</f>
        <v/>
      </c>
      <c r="N612" s="45">
        <f>1+(INDEX(SeasonIdx,A612)-1)*SeasonAmp</f>
        <v/>
      </c>
      <c r="O612" s="45">
        <f>IFERROR(INDEX(PSPct,MATCH(E612&amp;"|"&amp;G612,PSKey,0)),0)</f>
        <v/>
      </c>
      <c r="P612" s="46">
        <f>INDEX(ChDoorVel,MATCH(E612,ChName,0))*CalibScalar*(1+VelocityUplift)</f>
        <v/>
      </c>
      <c r="Q612" s="46" t="n">
        <v>0</v>
      </c>
      <c r="R612" s="46">
        <f>P612*O612*M612*N612*H612</f>
        <v/>
      </c>
      <c r="S612" s="46">
        <f>R612*INDEX(FmtCansPerCase,MATCH(F612,FmtName,0))</f>
        <v/>
      </c>
      <c r="T612" s="46">
        <f>S612/INDEX(FmtCansPerPack,MATCH(F612,FmtName,0))</f>
        <v/>
      </c>
      <c r="U612" s="47">
        <f>INDEX(ChBaseCP,MATCH(E612,ChName,0))*(1+INDEX(ProvMod,MATCH(G612,ProvCode,0)))*(1+PriceIndex)</f>
        <v/>
      </c>
      <c r="V612" s="47">
        <f>R612*U612*INDEX(FmtBlendedPriceIdx,MATCH(F612,FmtName,0))</f>
        <v/>
      </c>
      <c r="W612" s="47">
        <f>T612*INDEX(ProvSRP,MATCH(G612,ProvCode,0))*(1+PriceIndex)</f>
        <v/>
      </c>
      <c r="X612" s="47">
        <f>IF(GrossBasis="Wholesale",V612,W612)</f>
        <v/>
      </c>
      <c r="Y612" s="47">
        <f>R612*INDEX(FmtBlendedCogs,MATCH(F612,FmtName,0))</f>
        <v/>
      </c>
      <c r="Z612" s="47">
        <f>X612-Y612</f>
        <v/>
      </c>
    </row>
    <row r="613">
      <c r="A613" t="n">
        <v>29</v>
      </c>
      <c r="B613" s="44">
        <f>FiscalStart+(A613-1)*7</f>
        <v/>
      </c>
      <c r="C613">
        <f>TEXT(B613,"mmm yyyy")</f>
        <v/>
      </c>
      <c r="D613">
        <f>"Q"&amp;(INT((A613-1)/13)+1)</f>
        <v/>
      </c>
      <c r="E613" t="inlineStr">
        <is>
          <t>On Premise</t>
        </is>
      </c>
      <c r="F613">
        <f>IFERROR(INDEX(ChFormat,MATCH(E613,ChName,0)),"")</f>
        <v/>
      </c>
      <c r="G613" t="inlineStr">
        <is>
          <t>AB</t>
        </is>
      </c>
      <c r="H613">
        <f>IF(A613&lt;=NWeeks,1,0)</f>
        <v/>
      </c>
      <c r="I613">
        <f>INDEX(ChLaunch,MATCH(E613,ChName,0))</f>
        <v/>
      </c>
      <c r="J613">
        <f>INDEX(ChWeeksFull,MATCH(E613,ChName,0))</f>
        <v/>
      </c>
      <c r="K613">
        <f>INDEX(ChRamp,MATCH(E613,ChName,0))</f>
        <v/>
      </c>
      <c r="L613" s="45">
        <f>MIN(1,MAX(0,(A613-I613+1)*RampSpeed/J613))</f>
        <v/>
      </c>
      <c r="M613" s="45">
        <f>IF(A613&lt;I613,0,IF(K613="S-curve",L613*L613*(3-2*L613),L613))</f>
        <v/>
      </c>
      <c r="N613" s="45">
        <f>1+(INDEX(SeasonIdx,A613)-1)*SeasonAmp</f>
        <v/>
      </c>
      <c r="O613" s="45">
        <f>IFERROR(INDEX(PSPct,MATCH(E613&amp;"|"&amp;G613,PSKey,0)),0)</f>
        <v/>
      </c>
      <c r="P613" s="46">
        <f>INDEX(ChDoorVel,MATCH(E613,ChName,0))*CalibScalar*(1+VelocityUplift)</f>
        <v/>
      </c>
      <c r="Q613" s="46" t="n">
        <v>0</v>
      </c>
      <c r="R613" s="46">
        <f>P613*O613*M613*N613*H613</f>
        <v/>
      </c>
      <c r="S613" s="46">
        <f>R613*INDEX(FmtCansPerCase,MATCH(F613,FmtName,0))</f>
        <v/>
      </c>
      <c r="T613" s="46">
        <f>S613/INDEX(FmtCansPerPack,MATCH(F613,FmtName,0))</f>
        <v/>
      </c>
      <c r="U613" s="47">
        <f>INDEX(ChBaseCP,MATCH(E613,ChName,0))*(1+INDEX(ProvMod,MATCH(G613,ProvCode,0)))*(1+PriceIndex)</f>
        <v/>
      </c>
      <c r="V613" s="47">
        <f>R613*U613*INDEX(FmtBlendedPriceIdx,MATCH(F613,FmtName,0))</f>
        <v/>
      </c>
      <c r="W613" s="47">
        <f>T613*INDEX(ProvSRP,MATCH(G613,ProvCode,0))*(1+PriceIndex)</f>
        <v/>
      </c>
      <c r="X613" s="47">
        <f>IF(GrossBasis="Wholesale",V613,W613)</f>
        <v/>
      </c>
      <c r="Y613" s="47">
        <f>R613*INDEX(FmtBlendedCogs,MATCH(F613,FmtName,0))</f>
        <v/>
      </c>
      <c r="Z613" s="47">
        <f>X613-Y613</f>
        <v/>
      </c>
    </row>
    <row r="614">
      <c r="A614" t="n">
        <v>30</v>
      </c>
      <c r="B614" s="44">
        <f>FiscalStart+(A614-1)*7</f>
        <v/>
      </c>
      <c r="C614">
        <f>TEXT(B614,"mmm yyyy")</f>
        <v/>
      </c>
      <c r="D614">
        <f>"Q"&amp;(INT((A614-1)/13)+1)</f>
        <v/>
      </c>
      <c r="E614" t="inlineStr">
        <is>
          <t>On Premise</t>
        </is>
      </c>
      <c r="F614">
        <f>IFERROR(INDEX(ChFormat,MATCH(E614,ChName,0)),"")</f>
        <v/>
      </c>
      <c r="G614" t="inlineStr">
        <is>
          <t>AB</t>
        </is>
      </c>
      <c r="H614">
        <f>IF(A614&lt;=NWeeks,1,0)</f>
        <v/>
      </c>
      <c r="I614">
        <f>INDEX(ChLaunch,MATCH(E614,ChName,0))</f>
        <v/>
      </c>
      <c r="J614">
        <f>INDEX(ChWeeksFull,MATCH(E614,ChName,0))</f>
        <v/>
      </c>
      <c r="K614">
        <f>INDEX(ChRamp,MATCH(E614,ChName,0))</f>
        <v/>
      </c>
      <c r="L614" s="45">
        <f>MIN(1,MAX(0,(A614-I614+1)*RampSpeed/J614))</f>
        <v/>
      </c>
      <c r="M614" s="45">
        <f>IF(A614&lt;I614,0,IF(K614="S-curve",L614*L614*(3-2*L614),L614))</f>
        <v/>
      </c>
      <c r="N614" s="45">
        <f>1+(INDEX(SeasonIdx,A614)-1)*SeasonAmp</f>
        <v/>
      </c>
      <c r="O614" s="45">
        <f>IFERROR(INDEX(PSPct,MATCH(E614&amp;"|"&amp;G614,PSKey,0)),0)</f>
        <v/>
      </c>
      <c r="P614" s="46">
        <f>INDEX(ChDoorVel,MATCH(E614,ChName,0))*CalibScalar*(1+VelocityUplift)</f>
        <v/>
      </c>
      <c r="Q614" s="46" t="n">
        <v>0</v>
      </c>
      <c r="R614" s="46">
        <f>P614*O614*M614*N614*H614</f>
        <v/>
      </c>
      <c r="S614" s="46">
        <f>R614*INDEX(FmtCansPerCase,MATCH(F614,FmtName,0))</f>
        <v/>
      </c>
      <c r="T614" s="46">
        <f>S614/INDEX(FmtCansPerPack,MATCH(F614,FmtName,0))</f>
        <v/>
      </c>
      <c r="U614" s="47">
        <f>INDEX(ChBaseCP,MATCH(E614,ChName,0))*(1+INDEX(ProvMod,MATCH(G614,ProvCode,0)))*(1+PriceIndex)</f>
        <v/>
      </c>
      <c r="V614" s="47">
        <f>R614*U614*INDEX(FmtBlendedPriceIdx,MATCH(F614,FmtName,0))</f>
        <v/>
      </c>
      <c r="W614" s="47">
        <f>T614*INDEX(ProvSRP,MATCH(G614,ProvCode,0))*(1+PriceIndex)</f>
        <v/>
      </c>
      <c r="X614" s="47">
        <f>IF(GrossBasis="Wholesale",V614,W614)</f>
        <v/>
      </c>
      <c r="Y614" s="47">
        <f>R614*INDEX(FmtBlendedCogs,MATCH(F614,FmtName,0))</f>
        <v/>
      </c>
      <c r="Z614" s="47">
        <f>X614-Y614</f>
        <v/>
      </c>
    </row>
    <row r="615">
      <c r="A615" t="n">
        <v>31</v>
      </c>
      <c r="B615" s="44">
        <f>FiscalStart+(A615-1)*7</f>
        <v/>
      </c>
      <c r="C615">
        <f>TEXT(B615,"mmm yyyy")</f>
        <v/>
      </c>
      <c r="D615">
        <f>"Q"&amp;(INT((A615-1)/13)+1)</f>
        <v/>
      </c>
      <c r="E615" t="inlineStr">
        <is>
          <t>On Premise</t>
        </is>
      </c>
      <c r="F615">
        <f>IFERROR(INDEX(ChFormat,MATCH(E615,ChName,0)),"")</f>
        <v/>
      </c>
      <c r="G615" t="inlineStr">
        <is>
          <t>AB</t>
        </is>
      </c>
      <c r="H615">
        <f>IF(A615&lt;=NWeeks,1,0)</f>
        <v/>
      </c>
      <c r="I615">
        <f>INDEX(ChLaunch,MATCH(E615,ChName,0))</f>
        <v/>
      </c>
      <c r="J615">
        <f>INDEX(ChWeeksFull,MATCH(E615,ChName,0))</f>
        <v/>
      </c>
      <c r="K615">
        <f>INDEX(ChRamp,MATCH(E615,ChName,0))</f>
        <v/>
      </c>
      <c r="L615" s="45">
        <f>MIN(1,MAX(0,(A615-I615+1)*RampSpeed/J615))</f>
        <v/>
      </c>
      <c r="M615" s="45">
        <f>IF(A615&lt;I615,0,IF(K615="S-curve",L615*L615*(3-2*L615),L615))</f>
        <v/>
      </c>
      <c r="N615" s="45">
        <f>1+(INDEX(SeasonIdx,A615)-1)*SeasonAmp</f>
        <v/>
      </c>
      <c r="O615" s="45">
        <f>IFERROR(INDEX(PSPct,MATCH(E615&amp;"|"&amp;G615,PSKey,0)),0)</f>
        <v/>
      </c>
      <c r="P615" s="46">
        <f>INDEX(ChDoorVel,MATCH(E615,ChName,0))*CalibScalar*(1+VelocityUplift)</f>
        <v/>
      </c>
      <c r="Q615" s="46" t="n">
        <v>0</v>
      </c>
      <c r="R615" s="46">
        <f>P615*O615*M615*N615*H615</f>
        <v/>
      </c>
      <c r="S615" s="46">
        <f>R615*INDEX(FmtCansPerCase,MATCH(F615,FmtName,0))</f>
        <v/>
      </c>
      <c r="T615" s="46">
        <f>S615/INDEX(FmtCansPerPack,MATCH(F615,FmtName,0))</f>
        <v/>
      </c>
      <c r="U615" s="47">
        <f>INDEX(ChBaseCP,MATCH(E615,ChName,0))*(1+INDEX(ProvMod,MATCH(G615,ProvCode,0)))*(1+PriceIndex)</f>
        <v/>
      </c>
      <c r="V615" s="47">
        <f>R615*U615*INDEX(FmtBlendedPriceIdx,MATCH(F615,FmtName,0))</f>
        <v/>
      </c>
      <c r="W615" s="47">
        <f>T615*INDEX(ProvSRP,MATCH(G615,ProvCode,0))*(1+PriceIndex)</f>
        <v/>
      </c>
      <c r="X615" s="47">
        <f>IF(GrossBasis="Wholesale",V615,W615)</f>
        <v/>
      </c>
      <c r="Y615" s="47">
        <f>R615*INDEX(FmtBlendedCogs,MATCH(F615,FmtName,0))</f>
        <v/>
      </c>
      <c r="Z615" s="47">
        <f>X615-Y615</f>
        <v/>
      </c>
    </row>
    <row r="616">
      <c r="A616" t="n">
        <v>32</v>
      </c>
      <c r="B616" s="44">
        <f>FiscalStart+(A616-1)*7</f>
        <v/>
      </c>
      <c r="C616">
        <f>TEXT(B616,"mmm yyyy")</f>
        <v/>
      </c>
      <c r="D616">
        <f>"Q"&amp;(INT((A616-1)/13)+1)</f>
        <v/>
      </c>
      <c r="E616" t="inlineStr">
        <is>
          <t>On Premise</t>
        </is>
      </c>
      <c r="F616">
        <f>IFERROR(INDEX(ChFormat,MATCH(E616,ChName,0)),"")</f>
        <v/>
      </c>
      <c r="G616" t="inlineStr">
        <is>
          <t>AB</t>
        </is>
      </c>
      <c r="H616">
        <f>IF(A616&lt;=NWeeks,1,0)</f>
        <v/>
      </c>
      <c r="I616">
        <f>INDEX(ChLaunch,MATCH(E616,ChName,0))</f>
        <v/>
      </c>
      <c r="J616">
        <f>INDEX(ChWeeksFull,MATCH(E616,ChName,0))</f>
        <v/>
      </c>
      <c r="K616">
        <f>INDEX(ChRamp,MATCH(E616,ChName,0))</f>
        <v/>
      </c>
      <c r="L616" s="45">
        <f>MIN(1,MAX(0,(A616-I616+1)*RampSpeed/J616))</f>
        <v/>
      </c>
      <c r="M616" s="45">
        <f>IF(A616&lt;I616,0,IF(K616="S-curve",L616*L616*(3-2*L616),L616))</f>
        <v/>
      </c>
      <c r="N616" s="45">
        <f>1+(INDEX(SeasonIdx,A616)-1)*SeasonAmp</f>
        <v/>
      </c>
      <c r="O616" s="45">
        <f>IFERROR(INDEX(PSPct,MATCH(E616&amp;"|"&amp;G616,PSKey,0)),0)</f>
        <v/>
      </c>
      <c r="P616" s="46">
        <f>INDEX(ChDoorVel,MATCH(E616,ChName,0))*CalibScalar*(1+VelocityUplift)</f>
        <v/>
      </c>
      <c r="Q616" s="46" t="n">
        <v>0</v>
      </c>
      <c r="R616" s="46">
        <f>P616*O616*M616*N616*H616</f>
        <v/>
      </c>
      <c r="S616" s="46">
        <f>R616*INDEX(FmtCansPerCase,MATCH(F616,FmtName,0))</f>
        <v/>
      </c>
      <c r="T616" s="46">
        <f>S616/INDEX(FmtCansPerPack,MATCH(F616,FmtName,0))</f>
        <v/>
      </c>
      <c r="U616" s="47">
        <f>INDEX(ChBaseCP,MATCH(E616,ChName,0))*(1+INDEX(ProvMod,MATCH(G616,ProvCode,0)))*(1+PriceIndex)</f>
        <v/>
      </c>
      <c r="V616" s="47">
        <f>R616*U616*INDEX(FmtBlendedPriceIdx,MATCH(F616,FmtName,0))</f>
        <v/>
      </c>
      <c r="W616" s="47">
        <f>T616*INDEX(ProvSRP,MATCH(G616,ProvCode,0))*(1+PriceIndex)</f>
        <v/>
      </c>
      <c r="X616" s="47">
        <f>IF(GrossBasis="Wholesale",V616,W616)</f>
        <v/>
      </c>
      <c r="Y616" s="47">
        <f>R616*INDEX(FmtBlendedCogs,MATCH(F616,FmtName,0))</f>
        <v/>
      </c>
      <c r="Z616" s="47">
        <f>X616-Y616</f>
        <v/>
      </c>
    </row>
    <row r="617">
      <c r="A617" t="n">
        <v>33</v>
      </c>
      <c r="B617" s="44">
        <f>FiscalStart+(A617-1)*7</f>
        <v/>
      </c>
      <c r="C617">
        <f>TEXT(B617,"mmm yyyy")</f>
        <v/>
      </c>
      <c r="D617">
        <f>"Q"&amp;(INT((A617-1)/13)+1)</f>
        <v/>
      </c>
      <c r="E617" t="inlineStr">
        <is>
          <t>On Premise</t>
        </is>
      </c>
      <c r="F617">
        <f>IFERROR(INDEX(ChFormat,MATCH(E617,ChName,0)),"")</f>
        <v/>
      </c>
      <c r="G617" t="inlineStr">
        <is>
          <t>AB</t>
        </is>
      </c>
      <c r="H617">
        <f>IF(A617&lt;=NWeeks,1,0)</f>
        <v/>
      </c>
      <c r="I617">
        <f>INDEX(ChLaunch,MATCH(E617,ChName,0))</f>
        <v/>
      </c>
      <c r="J617">
        <f>INDEX(ChWeeksFull,MATCH(E617,ChName,0))</f>
        <v/>
      </c>
      <c r="K617">
        <f>INDEX(ChRamp,MATCH(E617,ChName,0))</f>
        <v/>
      </c>
      <c r="L617" s="45">
        <f>MIN(1,MAX(0,(A617-I617+1)*RampSpeed/J617))</f>
        <v/>
      </c>
      <c r="M617" s="45">
        <f>IF(A617&lt;I617,0,IF(K617="S-curve",L617*L617*(3-2*L617),L617))</f>
        <v/>
      </c>
      <c r="N617" s="45">
        <f>1+(INDEX(SeasonIdx,A617)-1)*SeasonAmp</f>
        <v/>
      </c>
      <c r="O617" s="45">
        <f>IFERROR(INDEX(PSPct,MATCH(E617&amp;"|"&amp;G617,PSKey,0)),0)</f>
        <v/>
      </c>
      <c r="P617" s="46">
        <f>INDEX(ChDoorVel,MATCH(E617,ChName,0))*CalibScalar*(1+VelocityUplift)</f>
        <v/>
      </c>
      <c r="Q617" s="46" t="n">
        <v>0</v>
      </c>
      <c r="R617" s="46">
        <f>P617*O617*M617*N617*H617</f>
        <v/>
      </c>
      <c r="S617" s="46">
        <f>R617*INDEX(FmtCansPerCase,MATCH(F617,FmtName,0))</f>
        <v/>
      </c>
      <c r="T617" s="46">
        <f>S617/INDEX(FmtCansPerPack,MATCH(F617,FmtName,0))</f>
        <v/>
      </c>
      <c r="U617" s="47">
        <f>INDEX(ChBaseCP,MATCH(E617,ChName,0))*(1+INDEX(ProvMod,MATCH(G617,ProvCode,0)))*(1+PriceIndex)</f>
        <v/>
      </c>
      <c r="V617" s="47">
        <f>R617*U617*INDEX(FmtBlendedPriceIdx,MATCH(F617,FmtName,0))</f>
        <v/>
      </c>
      <c r="W617" s="47">
        <f>T617*INDEX(ProvSRP,MATCH(G617,ProvCode,0))*(1+PriceIndex)</f>
        <v/>
      </c>
      <c r="X617" s="47">
        <f>IF(GrossBasis="Wholesale",V617,W617)</f>
        <v/>
      </c>
      <c r="Y617" s="47">
        <f>R617*INDEX(FmtBlendedCogs,MATCH(F617,FmtName,0))</f>
        <v/>
      </c>
      <c r="Z617" s="47">
        <f>X617-Y617</f>
        <v/>
      </c>
    </row>
    <row r="618">
      <c r="A618" t="n">
        <v>34</v>
      </c>
      <c r="B618" s="44">
        <f>FiscalStart+(A618-1)*7</f>
        <v/>
      </c>
      <c r="C618">
        <f>TEXT(B618,"mmm yyyy")</f>
        <v/>
      </c>
      <c r="D618">
        <f>"Q"&amp;(INT((A618-1)/13)+1)</f>
        <v/>
      </c>
      <c r="E618" t="inlineStr">
        <is>
          <t>On Premise</t>
        </is>
      </c>
      <c r="F618">
        <f>IFERROR(INDEX(ChFormat,MATCH(E618,ChName,0)),"")</f>
        <v/>
      </c>
      <c r="G618" t="inlineStr">
        <is>
          <t>AB</t>
        </is>
      </c>
      <c r="H618">
        <f>IF(A618&lt;=NWeeks,1,0)</f>
        <v/>
      </c>
      <c r="I618">
        <f>INDEX(ChLaunch,MATCH(E618,ChName,0))</f>
        <v/>
      </c>
      <c r="J618">
        <f>INDEX(ChWeeksFull,MATCH(E618,ChName,0))</f>
        <v/>
      </c>
      <c r="K618">
        <f>INDEX(ChRamp,MATCH(E618,ChName,0))</f>
        <v/>
      </c>
      <c r="L618" s="45">
        <f>MIN(1,MAX(0,(A618-I618+1)*RampSpeed/J618))</f>
        <v/>
      </c>
      <c r="M618" s="45">
        <f>IF(A618&lt;I618,0,IF(K618="S-curve",L618*L618*(3-2*L618),L618))</f>
        <v/>
      </c>
      <c r="N618" s="45">
        <f>1+(INDEX(SeasonIdx,A618)-1)*SeasonAmp</f>
        <v/>
      </c>
      <c r="O618" s="45">
        <f>IFERROR(INDEX(PSPct,MATCH(E618&amp;"|"&amp;G618,PSKey,0)),0)</f>
        <v/>
      </c>
      <c r="P618" s="46">
        <f>INDEX(ChDoorVel,MATCH(E618,ChName,0))*CalibScalar*(1+VelocityUplift)</f>
        <v/>
      </c>
      <c r="Q618" s="46" t="n">
        <v>0</v>
      </c>
      <c r="R618" s="46">
        <f>P618*O618*M618*N618*H618</f>
        <v/>
      </c>
      <c r="S618" s="46">
        <f>R618*INDEX(FmtCansPerCase,MATCH(F618,FmtName,0))</f>
        <v/>
      </c>
      <c r="T618" s="46">
        <f>S618/INDEX(FmtCansPerPack,MATCH(F618,FmtName,0))</f>
        <v/>
      </c>
      <c r="U618" s="47">
        <f>INDEX(ChBaseCP,MATCH(E618,ChName,0))*(1+INDEX(ProvMod,MATCH(G618,ProvCode,0)))*(1+PriceIndex)</f>
        <v/>
      </c>
      <c r="V618" s="47">
        <f>R618*U618*INDEX(FmtBlendedPriceIdx,MATCH(F618,FmtName,0))</f>
        <v/>
      </c>
      <c r="W618" s="47">
        <f>T618*INDEX(ProvSRP,MATCH(G618,ProvCode,0))*(1+PriceIndex)</f>
        <v/>
      </c>
      <c r="X618" s="47">
        <f>IF(GrossBasis="Wholesale",V618,W618)</f>
        <v/>
      </c>
      <c r="Y618" s="47">
        <f>R618*INDEX(FmtBlendedCogs,MATCH(F618,FmtName,0))</f>
        <v/>
      </c>
      <c r="Z618" s="47">
        <f>X618-Y618</f>
        <v/>
      </c>
    </row>
    <row r="619">
      <c r="A619" t="n">
        <v>35</v>
      </c>
      <c r="B619" s="44">
        <f>FiscalStart+(A619-1)*7</f>
        <v/>
      </c>
      <c r="C619">
        <f>TEXT(B619,"mmm yyyy")</f>
        <v/>
      </c>
      <c r="D619">
        <f>"Q"&amp;(INT((A619-1)/13)+1)</f>
        <v/>
      </c>
      <c r="E619" t="inlineStr">
        <is>
          <t>On Premise</t>
        </is>
      </c>
      <c r="F619">
        <f>IFERROR(INDEX(ChFormat,MATCH(E619,ChName,0)),"")</f>
        <v/>
      </c>
      <c r="G619" t="inlineStr">
        <is>
          <t>AB</t>
        </is>
      </c>
      <c r="H619">
        <f>IF(A619&lt;=NWeeks,1,0)</f>
        <v/>
      </c>
      <c r="I619">
        <f>INDEX(ChLaunch,MATCH(E619,ChName,0))</f>
        <v/>
      </c>
      <c r="J619">
        <f>INDEX(ChWeeksFull,MATCH(E619,ChName,0))</f>
        <v/>
      </c>
      <c r="K619">
        <f>INDEX(ChRamp,MATCH(E619,ChName,0))</f>
        <v/>
      </c>
      <c r="L619" s="45">
        <f>MIN(1,MAX(0,(A619-I619+1)*RampSpeed/J619))</f>
        <v/>
      </c>
      <c r="M619" s="45">
        <f>IF(A619&lt;I619,0,IF(K619="S-curve",L619*L619*(3-2*L619),L619))</f>
        <v/>
      </c>
      <c r="N619" s="45">
        <f>1+(INDEX(SeasonIdx,A619)-1)*SeasonAmp</f>
        <v/>
      </c>
      <c r="O619" s="45">
        <f>IFERROR(INDEX(PSPct,MATCH(E619&amp;"|"&amp;G619,PSKey,0)),0)</f>
        <v/>
      </c>
      <c r="P619" s="46">
        <f>INDEX(ChDoorVel,MATCH(E619,ChName,0))*CalibScalar*(1+VelocityUplift)</f>
        <v/>
      </c>
      <c r="Q619" s="46" t="n">
        <v>0</v>
      </c>
      <c r="R619" s="46">
        <f>P619*O619*M619*N619*H619</f>
        <v/>
      </c>
      <c r="S619" s="46">
        <f>R619*INDEX(FmtCansPerCase,MATCH(F619,FmtName,0))</f>
        <v/>
      </c>
      <c r="T619" s="46">
        <f>S619/INDEX(FmtCansPerPack,MATCH(F619,FmtName,0))</f>
        <v/>
      </c>
      <c r="U619" s="47">
        <f>INDEX(ChBaseCP,MATCH(E619,ChName,0))*(1+INDEX(ProvMod,MATCH(G619,ProvCode,0)))*(1+PriceIndex)</f>
        <v/>
      </c>
      <c r="V619" s="47">
        <f>R619*U619*INDEX(FmtBlendedPriceIdx,MATCH(F619,FmtName,0))</f>
        <v/>
      </c>
      <c r="W619" s="47">
        <f>T619*INDEX(ProvSRP,MATCH(G619,ProvCode,0))*(1+PriceIndex)</f>
        <v/>
      </c>
      <c r="X619" s="47">
        <f>IF(GrossBasis="Wholesale",V619,W619)</f>
        <v/>
      </c>
      <c r="Y619" s="47">
        <f>R619*INDEX(FmtBlendedCogs,MATCH(F619,FmtName,0))</f>
        <v/>
      </c>
      <c r="Z619" s="47">
        <f>X619-Y619</f>
        <v/>
      </c>
    </row>
    <row r="620">
      <c r="A620" t="n">
        <v>36</v>
      </c>
      <c r="B620" s="44">
        <f>FiscalStart+(A620-1)*7</f>
        <v/>
      </c>
      <c r="C620">
        <f>TEXT(B620,"mmm yyyy")</f>
        <v/>
      </c>
      <c r="D620">
        <f>"Q"&amp;(INT((A620-1)/13)+1)</f>
        <v/>
      </c>
      <c r="E620" t="inlineStr">
        <is>
          <t>On Premise</t>
        </is>
      </c>
      <c r="F620">
        <f>IFERROR(INDEX(ChFormat,MATCH(E620,ChName,0)),"")</f>
        <v/>
      </c>
      <c r="G620" t="inlineStr">
        <is>
          <t>AB</t>
        </is>
      </c>
      <c r="H620">
        <f>IF(A620&lt;=NWeeks,1,0)</f>
        <v/>
      </c>
      <c r="I620">
        <f>INDEX(ChLaunch,MATCH(E620,ChName,0))</f>
        <v/>
      </c>
      <c r="J620">
        <f>INDEX(ChWeeksFull,MATCH(E620,ChName,0))</f>
        <v/>
      </c>
      <c r="K620">
        <f>INDEX(ChRamp,MATCH(E620,ChName,0))</f>
        <v/>
      </c>
      <c r="L620" s="45">
        <f>MIN(1,MAX(0,(A620-I620+1)*RampSpeed/J620))</f>
        <v/>
      </c>
      <c r="M620" s="45">
        <f>IF(A620&lt;I620,0,IF(K620="S-curve",L620*L620*(3-2*L620),L620))</f>
        <v/>
      </c>
      <c r="N620" s="45">
        <f>1+(INDEX(SeasonIdx,A620)-1)*SeasonAmp</f>
        <v/>
      </c>
      <c r="O620" s="45">
        <f>IFERROR(INDEX(PSPct,MATCH(E620&amp;"|"&amp;G620,PSKey,0)),0)</f>
        <v/>
      </c>
      <c r="P620" s="46">
        <f>INDEX(ChDoorVel,MATCH(E620,ChName,0))*CalibScalar*(1+VelocityUplift)</f>
        <v/>
      </c>
      <c r="Q620" s="46" t="n">
        <v>0</v>
      </c>
      <c r="R620" s="46">
        <f>P620*O620*M620*N620*H620</f>
        <v/>
      </c>
      <c r="S620" s="46">
        <f>R620*INDEX(FmtCansPerCase,MATCH(F620,FmtName,0))</f>
        <v/>
      </c>
      <c r="T620" s="46">
        <f>S620/INDEX(FmtCansPerPack,MATCH(F620,FmtName,0))</f>
        <v/>
      </c>
      <c r="U620" s="47">
        <f>INDEX(ChBaseCP,MATCH(E620,ChName,0))*(1+INDEX(ProvMod,MATCH(G620,ProvCode,0)))*(1+PriceIndex)</f>
        <v/>
      </c>
      <c r="V620" s="47">
        <f>R620*U620*INDEX(FmtBlendedPriceIdx,MATCH(F620,FmtName,0))</f>
        <v/>
      </c>
      <c r="W620" s="47">
        <f>T620*INDEX(ProvSRP,MATCH(G620,ProvCode,0))*(1+PriceIndex)</f>
        <v/>
      </c>
      <c r="X620" s="47">
        <f>IF(GrossBasis="Wholesale",V620,W620)</f>
        <v/>
      </c>
      <c r="Y620" s="47">
        <f>R620*INDEX(FmtBlendedCogs,MATCH(F620,FmtName,0))</f>
        <v/>
      </c>
      <c r="Z620" s="47">
        <f>X620-Y620</f>
        <v/>
      </c>
    </row>
    <row r="621">
      <c r="A621" t="n">
        <v>37</v>
      </c>
      <c r="B621" s="44">
        <f>FiscalStart+(A621-1)*7</f>
        <v/>
      </c>
      <c r="C621">
        <f>TEXT(B621,"mmm yyyy")</f>
        <v/>
      </c>
      <c r="D621">
        <f>"Q"&amp;(INT((A621-1)/13)+1)</f>
        <v/>
      </c>
      <c r="E621" t="inlineStr">
        <is>
          <t>On Premise</t>
        </is>
      </c>
      <c r="F621">
        <f>IFERROR(INDEX(ChFormat,MATCH(E621,ChName,0)),"")</f>
        <v/>
      </c>
      <c r="G621" t="inlineStr">
        <is>
          <t>AB</t>
        </is>
      </c>
      <c r="H621">
        <f>IF(A621&lt;=NWeeks,1,0)</f>
        <v/>
      </c>
      <c r="I621">
        <f>INDEX(ChLaunch,MATCH(E621,ChName,0))</f>
        <v/>
      </c>
      <c r="J621">
        <f>INDEX(ChWeeksFull,MATCH(E621,ChName,0))</f>
        <v/>
      </c>
      <c r="K621">
        <f>INDEX(ChRamp,MATCH(E621,ChName,0))</f>
        <v/>
      </c>
      <c r="L621" s="45">
        <f>MIN(1,MAX(0,(A621-I621+1)*RampSpeed/J621))</f>
        <v/>
      </c>
      <c r="M621" s="45">
        <f>IF(A621&lt;I621,0,IF(K621="S-curve",L621*L621*(3-2*L621),L621))</f>
        <v/>
      </c>
      <c r="N621" s="45">
        <f>1+(INDEX(SeasonIdx,A621)-1)*SeasonAmp</f>
        <v/>
      </c>
      <c r="O621" s="45">
        <f>IFERROR(INDEX(PSPct,MATCH(E621&amp;"|"&amp;G621,PSKey,0)),0)</f>
        <v/>
      </c>
      <c r="P621" s="46">
        <f>INDEX(ChDoorVel,MATCH(E621,ChName,0))*CalibScalar*(1+VelocityUplift)</f>
        <v/>
      </c>
      <c r="Q621" s="46" t="n">
        <v>0</v>
      </c>
      <c r="R621" s="46">
        <f>P621*O621*M621*N621*H621</f>
        <v/>
      </c>
      <c r="S621" s="46">
        <f>R621*INDEX(FmtCansPerCase,MATCH(F621,FmtName,0))</f>
        <v/>
      </c>
      <c r="T621" s="46">
        <f>S621/INDEX(FmtCansPerPack,MATCH(F621,FmtName,0))</f>
        <v/>
      </c>
      <c r="U621" s="47">
        <f>INDEX(ChBaseCP,MATCH(E621,ChName,0))*(1+INDEX(ProvMod,MATCH(G621,ProvCode,0)))*(1+PriceIndex)</f>
        <v/>
      </c>
      <c r="V621" s="47">
        <f>R621*U621*INDEX(FmtBlendedPriceIdx,MATCH(F621,FmtName,0))</f>
        <v/>
      </c>
      <c r="W621" s="47">
        <f>T621*INDEX(ProvSRP,MATCH(G621,ProvCode,0))*(1+PriceIndex)</f>
        <v/>
      </c>
      <c r="X621" s="47">
        <f>IF(GrossBasis="Wholesale",V621,W621)</f>
        <v/>
      </c>
      <c r="Y621" s="47">
        <f>R621*INDEX(FmtBlendedCogs,MATCH(F621,FmtName,0))</f>
        <v/>
      </c>
      <c r="Z621" s="47">
        <f>X621-Y621</f>
        <v/>
      </c>
    </row>
    <row r="622">
      <c r="A622" t="n">
        <v>38</v>
      </c>
      <c r="B622" s="44">
        <f>FiscalStart+(A622-1)*7</f>
        <v/>
      </c>
      <c r="C622">
        <f>TEXT(B622,"mmm yyyy")</f>
        <v/>
      </c>
      <c r="D622">
        <f>"Q"&amp;(INT((A622-1)/13)+1)</f>
        <v/>
      </c>
      <c r="E622" t="inlineStr">
        <is>
          <t>On Premise</t>
        </is>
      </c>
      <c r="F622">
        <f>IFERROR(INDEX(ChFormat,MATCH(E622,ChName,0)),"")</f>
        <v/>
      </c>
      <c r="G622" t="inlineStr">
        <is>
          <t>AB</t>
        </is>
      </c>
      <c r="H622">
        <f>IF(A622&lt;=NWeeks,1,0)</f>
        <v/>
      </c>
      <c r="I622">
        <f>INDEX(ChLaunch,MATCH(E622,ChName,0))</f>
        <v/>
      </c>
      <c r="J622">
        <f>INDEX(ChWeeksFull,MATCH(E622,ChName,0))</f>
        <v/>
      </c>
      <c r="K622">
        <f>INDEX(ChRamp,MATCH(E622,ChName,0))</f>
        <v/>
      </c>
      <c r="L622" s="45">
        <f>MIN(1,MAX(0,(A622-I622+1)*RampSpeed/J622))</f>
        <v/>
      </c>
      <c r="M622" s="45">
        <f>IF(A622&lt;I622,0,IF(K622="S-curve",L622*L622*(3-2*L622),L622))</f>
        <v/>
      </c>
      <c r="N622" s="45">
        <f>1+(INDEX(SeasonIdx,A622)-1)*SeasonAmp</f>
        <v/>
      </c>
      <c r="O622" s="45">
        <f>IFERROR(INDEX(PSPct,MATCH(E622&amp;"|"&amp;G622,PSKey,0)),0)</f>
        <v/>
      </c>
      <c r="P622" s="46">
        <f>INDEX(ChDoorVel,MATCH(E622,ChName,0))*CalibScalar*(1+VelocityUplift)</f>
        <v/>
      </c>
      <c r="Q622" s="46" t="n">
        <v>0</v>
      </c>
      <c r="R622" s="46">
        <f>P622*O622*M622*N622*H622</f>
        <v/>
      </c>
      <c r="S622" s="46">
        <f>R622*INDEX(FmtCansPerCase,MATCH(F622,FmtName,0))</f>
        <v/>
      </c>
      <c r="T622" s="46">
        <f>S622/INDEX(FmtCansPerPack,MATCH(F622,FmtName,0))</f>
        <v/>
      </c>
      <c r="U622" s="47">
        <f>INDEX(ChBaseCP,MATCH(E622,ChName,0))*(1+INDEX(ProvMod,MATCH(G622,ProvCode,0)))*(1+PriceIndex)</f>
        <v/>
      </c>
      <c r="V622" s="47">
        <f>R622*U622*INDEX(FmtBlendedPriceIdx,MATCH(F622,FmtName,0))</f>
        <v/>
      </c>
      <c r="W622" s="47">
        <f>T622*INDEX(ProvSRP,MATCH(G622,ProvCode,0))*(1+PriceIndex)</f>
        <v/>
      </c>
      <c r="X622" s="47">
        <f>IF(GrossBasis="Wholesale",V622,W622)</f>
        <v/>
      </c>
      <c r="Y622" s="47">
        <f>R622*INDEX(FmtBlendedCogs,MATCH(F622,FmtName,0))</f>
        <v/>
      </c>
      <c r="Z622" s="47">
        <f>X622-Y622</f>
        <v/>
      </c>
    </row>
    <row r="623">
      <c r="A623" t="n">
        <v>39</v>
      </c>
      <c r="B623" s="44">
        <f>FiscalStart+(A623-1)*7</f>
        <v/>
      </c>
      <c r="C623">
        <f>TEXT(B623,"mmm yyyy")</f>
        <v/>
      </c>
      <c r="D623">
        <f>"Q"&amp;(INT((A623-1)/13)+1)</f>
        <v/>
      </c>
      <c r="E623" t="inlineStr">
        <is>
          <t>On Premise</t>
        </is>
      </c>
      <c r="F623">
        <f>IFERROR(INDEX(ChFormat,MATCH(E623,ChName,0)),"")</f>
        <v/>
      </c>
      <c r="G623" t="inlineStr">
        <is>
          <t>AB</t>
        </is>
      </c>
      <c r="H623">
        <f>IF(A623&lt;=NWeeks,1,0)</f>
        <v/>
      </c>
      <c r="I623">
        <f>INDEX(ChLaunch,MATCH(E623,ChName,0))</f>
        <v/>
      </c>
      <c r="J623">
        <f>INDEX(ChWeeksFull,MATCH(E623,ChName,0))</f>
        <v/>
      </c>
      <c r="K623">
        <f>INDEX(ChRamp,MATCH(E623,ChName,0))</f>
        <v/>
      </c>
      <c r="L623" s="45">
        <f>MIN(1,MAX(0,(A623-I623+1)*RampSpeed/J623))</f>
        <v/>
      </c>
      <c r="M623" s="45">
        <f>IF(A623&lt;I623,0,IF(K623="S-curve",L623*L623*(3-2*L623),L623))</f>
        <v/>
      </c>
      <c r="N623" s="45">
        <f>1+(INDEX(SeasonIdx,A623)-1)*SeasonAmp</f>
        <v/>
      </c>
      <c r="O623" s="45">
        <f>IFERROR(INDEX(PSPct,MATCH(E623&amp;"|"&amp;G623,PSKey,0)),0)</f>
        <v/>
      </c>
      <c r="P623" s="46">
        <f>INDEX(ChDoorVel,MATCH(E623,ChName,0))*CalibScalar*(1+VelocityUplift)</f>
        <v/>
      </c>
      <c r="Q623" s="46" t="n">
        <v>0</v>
      </c>
      <c r="R623" s="46">
        <f>P623*O623*M623*N623*H623</f>
        <v/>
      </c>
      <c r="S623" s="46">
        <f>R623*INDEX(FmtCansPerCase,MATCH(F623,FmtName,0))</f>
        <v/>
      </c>
      <c r="T623" s="46">
        <f>S623/INDEX(FmtCansPerPack,MATCH(F623,FmtName,0))</f>
        <v/>
      </c>
      <c r="U623" s="47">
        <f>INDEX(ChBaseCP,MATCH(E623,ChName,0))*(1+INDEX(ProvMod,MATCH(G623,ProvCode,0)))*(1+PriceIndex)</f>
        <v/>
      </c>
      <c r="V623" s="47">
        <f>R623*U623*INDEX(FmtBlendedPriceIdx,MATCH(F623,FmtName,0))</f>
        <v/>
      </c>
      <c r="W623" s="47">
        <f>T623*INDEX(ProvSRP,MATCH(G623,ProvCode,0))*(1+PriceIndex)</f>
        <v/>
      </c>
      <c r="X623" s="47">
        <f>IF(GrossBasis="Wholesale",V623,W623)</f>
        <v/>
      </c>
      <c r="Y623" s="47">
        <f>R623*INDEX(FmtBlendedCogs,MATCH(F623,FmtName,0))</f>
        <v/>
      </c>
      <c r="Z623" s="47">
        <f>X623-Y623</f>
        <v/>
      </c>
    </row>
    <row r="624">
      <c r="A624" t="n">
        <v>40</v>
      </c>
      <c r="B624" s="44">
        <f>FiscalStart+(A624-1)*7</f>
        <v/>
      </c>
      <c r="C624">
        <f>TEXT(B624,"mmm yyyy")</f>
        <v/>
      </c>
      <c r="D624">
        <f>"Q"&amp;(INT((A624-1)/13)+1)</f>
        <v/>
      </c>
      <c r="E624" t="inlineStr">
        <is>
          <t>On Premise</t>
        </is>
      </c>
      <c r="F624">
        <f>IFERROR(INDEX(ChFormat,MATCH(E624,ChName,0)),"")</f>
        <v/>
      </c>
      <c r="G624" t="inlineStr">
        <is>
          <t>AB</t>
        </is>
      </c>
      <c r="H624">
        <f>IF(A624&lt;=NWeeks,1,0)</f>
        <v/>
      </c>
      <c r="I624">
        <f>INDEX(ChLaunch,MATCH(E624,ChName,0))</f>
        <v/>
      </c>
      <c r="J624">
        <f>INDEX(ChWeeksFull,MATCH(E624,ChName,0))</f>
        <v/>
      </c>
      <c r="K624">
        <f>INDEX(ChRamp,MATCH(E624,ChName,0))</f>
        <v/>
      </c>
      <c r="L624" s="45">
        <f>MIN(1,MAX(0,(A624-I624+1)*RampSpeed/J624))</f>
        <v/>
      </c>
      <c r="M624" s="45">
        <f>IF(A624&lt;I624,0,IF(K624="S-curve",L624*L624*(3-2*L624),L624))</f>
        <v/>
      </c>
      <c r="N624" s="45">
        <f>1+(INDEX(SeasonIdx,A624)-1)*SeasonAmp</f>
        <v/>
      </c>
      <c r="O624" s="45">
        <f>IFERROR(INDEX(PSPct,MATCH(E624&amp;"|"&amp;G624,PSKey,0)),0)</f>
        <v/>
      </c>
      <c r="P624" s="46">
        <f>INDEX(ChDoorVel,MATCH(E624,ChName,0))*CalibScalar*(1+VelocityUplift)</f>
        <v/>
      </c>
      <c r="Q624" s="46" t="n">
        <v>0</v>
      </c>
      <c r="R624" s="46">
        <f>P624*O624*M624*N624*H624</f>
        <v/>
      </c>
      <c r="S624" s="46">
        <f>R624*INDEX(FmtCansPerCase,MATCH(F624,FmtName,0))</f>
        <v/>
      </c>
      <c r="T624" s="46">
        <f>S624/INDEX(FmtCansPerPack,MATCH(F624,FmtName,0))</f>
        <v/>
      </c>
      <c r="U624" s="47">
        <f>INDEX(ChBaseCP,MATCH(E624,ChName,0))*(1+INDEX(ProvMod,MATCH(G624,ProvCode,0)))*(1+PriceIndex)</f>
        <v/>
      </c>
      <c r="V624" s="47">
        <f>R624*U624*INDEX(FmtBlendedPriceIdx,MATCH(F624,FmtName,0))</f>
        <v/>
      </c>
      <c r="W624" s="47">
        <f>T624*INDEX(ProvSRP,MATCH(G624,ProvCode,0))*(1+PriceIndex)</f>
        <v/>
      </c>
      <c r="X624" s="47">
        <f>IF(GrossBasis="Wholesale",V624,W624)</f>
        <v/>
      </c>
      <c r="Y624" s="47">
        <f>R624*INDEX(FmtBlendedCogs,MATCH(F624,FmtName,0))</f>
        <v/>
      </c>
      <c r="Z624" s="47">
        <f>X624-Y624</f>
        <v/>
      </c>
    </row>
    <row r="625">
      <c r="A625" t="n">
        <v>41</v>
      </c>
      <c r="B625" s="44">
        <f>FiscalStart+(A625-1)*7</f>
        <v/>
      </c>
      <c r="C625">
        <f>TEXT(B625,"mmm yyyy")</f>
        <v/>
      </c>
      <c r="D625">
        <f>"Q"&amp;(INT((A625-1)/13)+1)</f>
        <v/>
      </c>
      <c r="E625" t="inlineStr">
        <is>
          <t>On Premise</t>
        </is>
      </c>
      <c r="F625">
        <f>IFERROR(INDEX(ChFormat,MATCH(E625,ChName,0)),"")</f>
        <v/>
      </c>
      <c r="G625" t="inlineStr">
        <is>
          <t>AB</t>
        </is>
      </c>
      <c r="H625">
        <f>IF(A625&lt;=NWeeks,1,0)</f>
        <v/>
      </c>
      <c r="I625">
        <f>INDEX(ChLaunch,MATCH(E625,ChName,0))</f>
        <v/>
      </c>
      <c r="J625">
        <f>INDEX(ChWeeksFull,MATCH(E625,ChName,0))</f>
        <v/>
      </c>
      <c r="K625">
        <f>INDEX(ChRamp,MATCH(E625,ChName,0))</f>
        <v/>
      </c>
      <c r="L625" s="45">
        <f>MIN(1,MAX(0,(A625-I625+1)*RampSpeed/J625))</f>
        <v/>
      </c>
      <c r="M625" s="45">
        <f>IF(A625&lt;I625,0,IF(K625="S-curve",L625*L625*(3-2*L625),L625))</f>
        <v/>
      </c>
      <c r="N625" s="45">
        <f>1+(INDEX(SeasonIdx,A625)-1)*SeasonAmp</f>
        <v/>
      </c>
      <c r="O625" s="45">
        <f>IFERROR(INDEX(PSPct,MATCH(E625&amp;"|"&amp;G625,PSKey,0)),0)</f>
        <v/>
      </c>
      <c r="P625" s="46">
        <f>INDEX(ChDoorVel,MATCH(E625,ChName,0))*CalibScalar*(1+VelocityUplift)</f>
        <v/>
      </c>
      <c r="Q625" s="46" t="n">
        <v>0</v>
      </c>
      <c r="R625" s="46">
        <f>P625*O625*M625*N625*H625</f>
        <v/>
      </c>
      <c r="S625" s="46">
        <f>R625*INDEX(FmtCansPerCase,MATCH(F625,FmtName,0))</f>
        <v/>
      </c>
      <c r="T625" s="46">
        <f>S625/INDEX(FmtCansPerPack,MATCH(F625,FmtName,0))</f>
        <v/>
      </c>
      <c r="U625" s="47">
        <f>INDEX(ChBaseCP,MATCH(E625,ChName,0))*(1+INDEX(ProvMod,MATCH(G625,ProvCode,0)))*(1+PriceIndex)</f>
        <v/>
      </c>
      <c r="V625" s="47">
        <f>R625*U625*INDEX(FmtBlendedPriceIdx,MATCH(F625,FmtName,0))</f>
        <v/>
      </c>
      <c r="W625" s="47">
        <f>T625*INDEX(ProvSRP,MATCH(G625,ProvCode,0))*(1+PriceIndex)</f>
        <v/>
      </c>
      <c r="X625" s="47">
        <f>IF(GrossBasis="Wholesale",V625,W625)</f>
        <v/>
      </c>
      <c r="Y625" s="47">
        <f>R625*INDEX(FmtBlendedCogs,MATCH(F625,FmtName,0))</f>
        <v/>
      </c>
      <c r="Z625" s="47">
        <f>X625-Y625</f>
        <v/>
      </c>
    </row>
    <row r="626">
      <c r="A626" t="n">
        <v>42</v>
      </c>
      <c r="B626" s="44">
        <f>FiscalStart+(A626-1)*7</f>
        <v/>
      </c>
      <c r="C626">
        <f>TEXT(B626,"mmm yyyy")</f>
        <v/>
      </c>
      <c r="D626">
        <f>"Q"&amp;(INT((A626-1)/13)+1)</f>
        <v/>
      </c>
      <c r="E626" t="inlineStr">
        <is>
          <t>On Premise</t>
        </is>
      </c>
      <c r="F626">
        <f>IFERROR(INDEX(ChFormat,MATCH(E626,ChName,0)),"")</f>
        <v/>
      </c>
      <c r="G626" t="inlineStr">
        <is>
          <t>AB</t>
        </is>
      </c>
      <c r="H626">
        <f>IF(A626&lt;=NWeeks,1,0)</f>
        <v/>
      </c>
      <c r="I626">
        <f>INDEX(ChLaunch,MATCH(E626,ChName,0))</f>
        <v/>
      </c>
      <c r="J626">
        <f>INDEX(ChWeeksFull,MATCH(E626,ChName,0))</f>
        <v/>
      </c>
      <c r="K626">
        <f>INDEX(ChRamp,MATCH(E626,ChName,0))</f>
        <v/>
      </c>
      <c r="L626" s="45">
        <f>MIN(1,MAX(0,(A626-I626+1)*RampSpeed/J626))</f>
        <v/>
      </c>
      <c r="M626" s="45">
        <f>IF(A626&lt;I626,0,IF(K626="S-curve",L626*L626*(3-2*L626),L626))</f>
        <v/>
      </c>
      <c r="N626" s="45">
        <f>1+(INDEX(SeasonIdx,A626)-1)*SeasonAmp</f>
        <v/>
      </c>
      <c r="O626" s="45">
        <f>IFERROR(INDEX(PSPct,MATCH(E626&amp;"|"&amp;G626,PSKey,0)),0)</f>
        <v/>
      </c>
      <c r="P626" s="46">
        <f>INDEX(ChDoorVel,MATCH(E626,ChName,0))*CalibScalar*(1+VelocityUplift)</f>
        <v/>
      </c>
      <c r="Q626" s="46" t="n">
        <v>0</v>
      </c>
      <c r="R626" s="46">
        <f>P626*O626*M626*N626*H626</f>
        <v/>
      </c>
      <c r="S626" s="46">
        <f>R626*INDEX(FmtCansPerCase,MATCH(F626,FmtName,0))</f>
        <v/>
      </c>
      <c r="T626" s="46">
        <f>S626/INDEX(FmtCansPerPack,MATCH(F626,FmtName,0))</f>
        <v/>
      </c>
      <c r="U626" s="47">
        <f>INDEX(ChBaseCP,MATCH(E626,ChName,0))*(1+INDEX(ProvMod,MATCH(G626,ProvCode,0)))*(1+PriceIndex)</f>
        <v/>
      </c>
      <c r="V626" s="47">
        <f>R626*U626*INDEX(FmtBlendedPriceIdx,MATCH(F626,FmtName,0))</f>
        <v/>
      </c>
      <c r="W626" s="47">
        <f>T626*INDEX(ProvSRP,MATCH(G626,ProvCode,0))*(1+PriceIndex)</f>
        <v/>
      </c>
      <c r="X626" s="47">
        <f>IF(GrossBasis="Wholesale",V626,W626)</f>
        <v/>
      </c>
      <c r="Y626" s="47">
        <f>R626*INDEX(FmtBlendedCogs,MATCH(F626,FmtName,0))</f>
        <v/>
      </c>
      <c r="Z626" s="47">
        <f>X626-Y626</f>
        <v/>
      </c>
    </row>
    <row r="627">
      <c r="A627" t="n">
        <v>43</v>
      </c>
      <c r="B627" s="44">
        <f>FiscalStart+(A627-1)*7</f>
        <v/>
      </c>
      <c r="C627">
        <f>TEXT(B627,"mmm yyyy")</f>
        <v/>
      </c>
      <c r="D627">
        <f>"Q"&amp;(INT((A627-1)/13)+1)</f>
        <v/>
      </c>
      <c r="E627" t="inlineStr">
        <is>
          <t>On Premise</t>
        </is>
      </c>
      <c r="F627">
        <f>IFERROR(INDEX(ChFormat,MATCH(E627,ChName,0)),"")</f>
        <v/>
      </c>
      <c r="G627" t="inlineStr">
        <is>
          <t>AB</t>
        </is>
      </c>
      <c r="H627">
        <f>IF(A627&lt;=NWeeks,1,0)</f>
        <v/>
      </c>
      <c r="I627">
        <f>INDEX(ChLaunch,MATCH(E627,ChName,0))</f>
        <v/>
      </c>
      <c r="J627">
        <f>INDEX(ChWeeksFull,MATCH(E627,ChName,0))</f>
        <v/>
      </c>
      <c r="K627">
        <f>INDEX(ChRamp,MATCH(E627,ChName,0))</f>
        <v/>
      </c>
      <c r="L627" s="45">
        <f>MIN(1,MAX(0,(A627-I627+1)*RampSpeed/J627))</f>
        <v/>
      </c>
      <c r="M627" s="45">
        <f>IF(A627&lt;I627,0,IF(K627="S-curve",L627*L627*(3-2*L627),L627))</f>
        <v/>
      </c>
      <c r="N627" s="45">
        <f>1+(INDEX(SeasonIdx,A627)-1)*SeasonAmp</f>
        <v/>
      </c>
      <c r="O627" s="45">
        <f>IFERROR(INDEX(PSPct,MATCH(E627&amp;"|"&amp;G627,PSKey,0)),0)</f>
        <v/>
      </c>
      <c r="P627" s="46">
        <f>INDEX(ChDoorVel,MATCH(E627,ChName,0))*CalibScalar*(1+VelocityUplift)</f>
        <v/>
      </c>
      <c r="Q627" s="46" t="n">
        <v>0</v>
      </c>
      <c r="R627" s="46">
        <f>P627*O627*M627*N627*H627</f>
        <v/>
      </c>
      <c r="S627" s="46">
        <f>R627*INDEX(FmtCansPerCase,MATCH(F627,FmtName,0))</f>
        <v/>
      </c>
      <c r="T627" s="46">
        <f>S627/INDEX(FmtCansPerPack,MATCH(F627,FmtName,0))</f>
        <v/>
      </c>
      <c r="U627" s="47">
        <f>INDEX(ChBaseCP,MATCH(E627,ChName,0))*(1+INDEX(ProvMod,MATCH(G627,ProvCode,0)))*(1+PriceIndex)</f>
        <v/>
      </c>
      <c r="V627" s="47">
        <f>R627*U627*INDEX(FmtBlendedPriceIdx,MATCH(F627,FmtName,0))</f>
        <v/>
      </c>
      <c r="W627" s="47">
        <f>T627*INDEX(ProvSRP,MATCH(G627,ProvCode,0))*(1+PriceIndex)</f>
        <v/>
      </c>
      <c r="X627" s="47">
        <f>IF(GrossBasis="Wholesale",V627,W627)</f>
        <v/>
      </c>
      <c r="Y627" s="47">
        <f>R627*INDEX(FmtBlendedCogs,MATCH(F627,FmtName,0))</f>
        <v/>
      </c>
      <c r="Z627" s="47">
        <f>X627-Y627</f>
        <v/>
      </c>
    </row>
    <row r="628">
      <c r="A628" t="n">
        <v>44</v>
      </c>
      <c r="B628" s="44">
        <f>FiscalStart+(A628-1)*7</f>
        <v/>
      </c>
      <c r="C628">
        <f>TEXT(B628,"mmm yyyy")</f>
        <v/>
      </c>
      <c r="D628">
        <f>"Q"&amp;(INT((A628-1)/13)+1)</f>
        <v/>
      </c>
      <c r="E628" t="inlineStr">
        <is>
          <t>On Premise</t>
        </is>
      </c>
      <c r="F628">
        <f>IFERROR(INDEX(ChFormat,MATCH(E628,ChName,0)),"")</f>
        <v/>
      </c>
      <c r="G628" t="inlineStr">
        <is>
          <t>AB</t>
        </is>
      </c>
      <c r="H628">
        <f>IF(A628&lt;=NWeeks,1,0)</f>
        <v/>
      </c>
      <c r="I628">
        <f>INDEX(ChLaunch,MATCH(E628,ChName,0))</f>
        <v/>
      </c>
      <c r="J628">
        <f>INDEX(ChWeeksFull,MATCH(E628,ChName,0))</f>
        <v/>
      </c>
      <c r="K628">
        <f>INDEX(ChRamp,MATCH(E628,ChName,0))</f>
        <v/>
      </c>
      <c r="L628" s="45">
        <f>MIN(1,MAX(0,(A628-I628+1)*RampSpeed/J628))</f>
        <v/>
      </c>
      <c r="M628" s="45">
        <f>IF(A628&lt;I628,0,IF(K628="S-curve",L628*L628*(3-2*L628),L628))</f>
        <v/>
      </c>
      <c r="N628" s="45">
        <f>1+(INDEX(SeasonIdx,A628)-1)*SeasonAmp</f>
        <v/>
      </c>
      <c r="O628" s="45">
        <f>IFERROR(INDEX(PSPct,MATCH(E628&amp;"|"&amp;G628,PSKey,0)),0)</f>
        <v/>
      </c>
      <c r="P628" s="46">
        <f>INDEX(ChDoorVel,MATCH(E628,ChName,0))*CalibScalar*(1+VelocityUplift)</f>
        <v/>
      </c>
      <c r="Q628" s="46" t="n">
        <v>0</v>
      </c>
      <c r="R628" s="46">
        <f>P628*O628*M628*N628*H628</f>
        <v/>
      </c>
      <c r="S628" s="46">
        <f>R628*INDEX(FmtCansPerCase,MATCH(F628,FmtName,0))</f>
        <v/>
      </c>
      <c r="T628" s="46">
        <f>S628/INDEX(FmtCansPerPack,MATCH(F628,FmtName,0))</f>
        <v/>
      </c>
      <c r="U628" s="47">
        <f>INDEX(ChBaseCP,MATCH(E628,ChName,0))*(1+INDEX(ProvMod,MATCH(G628,ProvCode,0)))*(1+PriceIndex)</f>
        <v/>
      </c>
      <c r="V628" s="47">
        <f>R628*U628*INDEX(FmtBlendedPriceIdx,MATCH(F628,FmtName,0))</f>
        <v/>
      </c>
      <c r="W628" s="47">
        <f>T628*INDEX(ProvSRP,MATCH(G628,ProvCode,0))*(1+PriceIndex)</f>
        <v/>
      </c>
      <c r="X628" s="47">
        <f>IF(GrossBasis="Wholesale",V628,W628)</f>
        <v/>
      </c>
      <c r="Y628" s="47">
        <f>R628*INDEX(FmtBlendedCogs,MATCH(F628,FmtName,0))</f>
        <v/>
      </c>
      <c r="Z628" s="47">
        <f>X628-Y628</f>
        <v/>
      </c>
    </row>
    <row r="629">
      <c r="A629" t="n">
        <v>45</v>
      </c>
      <c r="B629" s="44">
        <f>FiscalStart+(A629-1)*7</f>
        <v/>
      </c>
      <c r="C629">
        <f>TEXT(B629,"mmm yyyy")</f>
        <v/>
      </c>
      <c r="D629">
        <f>"Q"&amp;(INT((A629-1)/13)+1)</f>
        <v/>
      </c>
      <c r="E629" t="inlineStr">
        <is>
          <t>On Premise</t>
        </is>
      </c>
      <c r="F629">
        <f>IFERROR(INDEX(ChFormat,MATCH(E629,ChName,0)),"")</f>
        <v/>
      </c>
      <c r="G629" t="inlineStr">
        <is>
          <t>AB</t>
        </is>
      </c>
      <c r="H629">
        <f>IF(A629&lt;=NWeeks,1,0)</f>
        <v/>
      </c>
      <c r="I629">
        <f>INDEX(ChLaunch,MATCH(E629,ChName,0))</f>
        <v/>
      </c>
      <c r="J629">
        <f>INDEX(ChWeeksFull,MATCH(E629,ChName,0))</f>
        <v/>
      </c>
      <c r="K629">
        <f>INDEX(ChRamp,MATCH(E629,ChName,0))</f>
        <v/>
      </c>
      <c r="L629" s="45">
        <f>MIN(1,MAX(0,(A629-I629+1)*RampSpeed/J629))</f>
        <v/>
      </c>
      <c r="M629" s="45">
        <f>IF(A629&lt;I629,0,IF(K629="S-curve",L629*L629*(3-2*L629),L629))</f>
        <v/>
      </c>
      <c r="N629" s="45">
        <f>1+(INDEX(SeasonIdx,A629)-1)*SeasonAmp</f>
        <v/>
      </c>
      <c r="O629" s="45">
        <f>IFERROR(INDEX(PSPct,MATCH(E629&amp;"|"&amp;G629,PSKey,0)),0)</f>
        <v/>
      </c>
      <c r="P629" s="46">
        <f>INDEX(ChDoorVel,MATCH(E629,ChName,0))*CalibScalar*(1+VelocityUplift)</f>
        <v/>
      </c>
      <c r="Q629" s="46" t="n">
        <v>0</v>
      </c>
      <c r="R629" s="46">
        <f>P629*O629*M629*N629*H629</f>
        <v/>
      </c>
      <c r="S629" s="46">
        <f>R629*INDEX(FmtCansPerCase,MATCH(F629,FmtName,0))</f>
        <v/>
      </c>
      <c r="T629" s="46">
        <f>S629/INDEX(FmtCansPerPack,MATCH(F629,FmtName,0))</f>
        <v/>
      </c>
      <c r="U629" s="47">
        <f>INDEX(ChBaseCP,MATCH(E629,ChName,0))*(1+INDEX(ProvMod,MATCH(G629,ProvCode,0)))*(1+PriceIndex)</f>
        <v/>
      </c>
      <c r="V629" s="47">
        <f>R629*U629*INDEX(FmtBlendedPriceIdx,MATCH(F629,FmtName,0))</f>
        <v/>
      </c>
      <c r="W629" s="47">
        <f>T629*INDEX(ProvSRP,MATCH(G629,ProvCode,0))*(1+PriceIndex)</f>
        <v/>
      </c>
      <c r="X629" s="47">
        <f>IF(GrossBasis="Wholesale",V629,W629)</f>
        <v/>
      </c>
      <c r="Y629" s="47">
        <f>R629*INDEX(FmtBlendedCogs,MATCH(F629,FmtName,0))</f>
        <v/>
      </c>
      <c r="Z629" s="47">
        <f>X629-Y629</f>
        <v/>
      </c>
    </row>
    <row r="630">
      <c r="A630" t="n">
        <v>46</v>
      </c>
      <c r="B630" s="44">
        <f>FiscalStart+(A630-1)*7</f>
        <v/>
      </c>
      <c r="C630">
        <f>TEXT(B630,"mmm yyyy")</f>
        <v/>
      </c>
      <c r="D630">
        <f>"Q"&amp;(INT((A630-1)/13)+1)</f>
        <v/>
      </c>
      <c r="E630" t="inlineStr">
        <is>
          <t>On Premise</t>
        </is>
      </c>
      <c r="F630">
        <f>IFERROR(INDEX(ChFormat,MATCH(E630,ChName,0)),"")</f>
        <v/>
      </c>
      <c r="G630" t="inlineStr">
        <is>
          <t>AB</t>
        </is>
      </c>
      <c r="H630">
        <f>IF(A630&lt;=NWeeks,1,0)</f>
        <v/>
      </c>
      <c r="I630">
        <f>INDEX(ChLaunch,MATCH(E630,ChName,0))</f>
        <v/>
      </c>
      <c r="J630">
        <f>INDEX(ChWeeksFull,MATCH(E630,ChName,0))</f>
        <v/>
      </c>
      <c r="K630">
        <f>INDEX(ChRamp,MATCH(E630,ChName,0))</f>
        <v/>
      </c>
      <c r="L630" s="45">
        <f>MIN(1,MAX(0,(A630-I630+1)*RampSpeed/J630))</f>
        <v/>
      </c>
      <c r="M630" s="45">
        <f>IF(A630&lt;I630,0,IF(K630="S-curve",L630*L630*(3-2*L630),L630))</f>
        <v/>
      </c>
      <c r="N630" s="45">
        <f>1+(INDEX(SeasonIdx,A630)-1)*SeasonAmp</f>
        <v/>
      </c>
      <c r="O630" s="45">
        <f>IFERROR(INDEX(PSPct,MATCH(E630&amp;"|"&amp;G630,PSKey,0)),0)</f>
        <v/>
      </c>
      <c r="P630" s="46">
        <f>INDEX(ChDoorVel,MATCH(E630,ChName,0))*CalibScalar*(1+VelocityUplift)</f>
        <v/>
      </c>
      <c r="Q630" s="46" t="n">
        <v>0</v>
      </c>
      <c r="R630" s="46">
        <f>P630*O630*M630*N630*H630</f>
        <v/>
      </c>
      <c r="S630" s="46">
        <f>R630*INDEX(FmtCansPerCase,MATCH(F630,FmtName,0))</f>
        <v/>
      </c>
      <c r="T630" s="46">
        <f>S630/INDEX(FmtCansPerPack,MATCH(F630,FmtName,0))</f>
        <v/>
      </c>
      <c r="U630" s="47">
        <f>INDEX(ChBaseCP,MATCH(E630,ChName,0))*(1+INDEX(ProvMod,MATCH(G630,ProvCode,0)))*(1+PriceIndex)</f>
        <v/>
      </c>
      <c r="V630" s="47">
        <f>R630*U630*INDEX(FmtBlendedPriceIdx,MATCH(F630,FmtName,0))</f>
        <v/>
      </c>
      <c r="W630" s="47">
        <f>T630*INDEX(ProvSRP,MATCH(G630,ProvCode,0))*(1+PriceIndex)</f>
        <v/>
      </c>
      <c r="X630" s="47">
        <f>IF(GrossBasis="Wholesale",V630,W630)</f>
        <v/>
      </c>
      <c r="Y630" s="47">
        <f>R630*INDEX(FmtBlendedCogs,MATCH(F630,FmtName,0))</f>
        <v/>
      </c>
      <c r="Z630" s="47">
        <f>X630-Y630</f>
        <v/>
      </c>
    </row>
    <row r="631">
      <c r="A631" t="n">
        <v>47</v>
      </c>
      <c r="B631" s="44">
        <f>FiscalStart+(A631-1)*7</f>
        <v/>
      </c>
      <c r="C631">
        <f>TEXT(B631,"mmm yyyy")</f>
        <v/>
      </c>
      <c r="D631">
        <f>"Q"&amp;(INT((A631-1)/13)+1)</f>
        <v/>
      </c>
      <c r="E631" t="inlineStr">
        <is>
          <t>On Premise</t>
        </is>
      </c>
      <c r="F631">
        <f>IFERROR(INDEX(ChFormat,MATCH(E631,ChName,0)),"")</f>
        <v/>
      </c>
      <c r="G631" t="inlineStr">
        <is>
          <t>AB</t>
        </is>
      </c>
      <c r="H631">
        <f>IF(A631&lt;=NWeeks,1,0)</f>
        <v/>
      </c>
      <c r="I631">
        <f>INDEX(ChLaunch,MATCH(E631,ChName,0))</f>
        <v/>
      </c>
      <c r="J631">
        <f>INDEX(ChWeeksFull,MATCH(E631,ChName,0))</f>
        <v/>
      </c>
      <c r="K631">
        <f>INDEX(ChRamp,MATCH(E631,ChName,0))</f>
        <v/>
      </c>
      <c r="L631" s="45">
        <f>MIN(1,MAX(0,(A631-I631+1)*RampSpeed/J631))</f>
        <v/>
      </c>
      <c r="M631" s="45">
        <f>IF(A631&lt;I631,0,IF(K631="S-curve",L631*L631*(3-2*L631),L631))</f>
        <v/>
      </c>
      <c r="N631" s="45">
        <f>1+(INDEX(SeasonIdx,A631)-1)*SeasonAmp</f>
        <v/>
      </c>
      <c r="O631" s="45">
        <f>IFERROR(INDEX(PSPct,MATCH(E631&amp;"|"&amp;G631,PSKey,0)),0)</f>
        <v/>
      </c>
      <c r="P631" s="46">
        <f>INDEX(ChDoorVel,MATCH(E631,ChName,0))*CalibScalar*(1+VelocityUplift)</f>
        <v/>
      </c>
      <c r="Q631" s="46" t="n">
        <v>0</v>
      </c>
      <c r="R631" s="46">
        <f>P631*O631*M631*N631*H631</f>
        <v/>
      </c>
      <c r="S631" s="46">
        <f>R631*INDEX(FmtCansPerCase,MATCH(F631,FmtName,0))</f>
        <v/>
      </c>
      <c r="T631" s="46">
        <f>S631/INDEX(FmtCansPerPack,MATCH(F631,FmtName,0))</f>
        <v/>
      </c>
      <c r="U631" s="47">
        <f>INDEX(ChBaseCP,MATCH(E631,ChName,0))*(1+INDEX(ProvMod,MATCH(G631,ProvCode,0)))*(1+PriceIndex)</f>
        <v/>
      </c>
      <c r="V631" s="47">
        <f>R631*U631*INDEX(FmtBlendedPriceIdx,MATCH(F631,FmtName,0))</f>
        <v/>
      </c>
      <c r="W631" s="47">
        <f>T631*INDEX(ProvSRP,MATCH(G631,ProvCode,0))*(1+PriceIndex)</f>
        <v/>
      </c>
      <c r="X631" s="47">
        <f>IF(GrossBasis="Wholesale",V631,W631)</f>
        <v/>
      </c>
      <c r="Y631" s="47">
        <f>R631*INDEX(FmtBlendedCogs,MATCH(F631,FmtName,0))</f>
        <v/>
      </c>
      <c r="Z631" s="47">
        <f>X631-Y631</f>
        <v/>
      </c>
    </row>
    <row r="632">
      <c r="A632" t="n">
        <v>48</v>
      </c>
      <c r="B632" s="44">
        <f>FiscalStart+(A632-1)*7</f>
        <v/>
      </c>
      <c r="C632">
        <f>TEXT(B632,"mmm yyyy")</f>
        <v/>
      </c>
      <c r="D632">
        <f>"Q"&amp;(INT((A632-1)/13)+1)</f>
        <v/>
      </c>
      <c r="E632" t="inlineStr">
        <is>
          <t>On Premise</t>
        </is>
      </c>
      <c r="F632">
        <f>IFERROR(INDEX(ChFormat,MATCH(E632,ChName,0)),"")</f>
        <v/>
      </c>
      <c r="G632" t="inlineStr">
        <is>
          <t>AB</t>
        </is>
      </c>
      <c r="H632">
        <f>IF(A632&lt;=NWeeks,1,0)</f>
        <v/>
      </c>
      <c r="I632">
        <f>INDEX(ChLaunch,MATCH(E632,ChName,0))</f>
        <v/>
      </c>
      <c r="J632">
        <f>INDEX(ChWeeksFull,MATCH(E632,ChName,0))</f>
        <v/>
      </c>
      <c r="K632">
        <f>INDEX(ChRamp,MATCH(E632,ChName,0))</f>
        <v/>
      </c>
      <c r="L632" s="45">
        <f>MIN(1,MAX(0,(A632-I632+1)*RampSpeed/J632))</f>
        <v/>
      </c>
      <c r="M632" s="45">
        <f>IF(A632&lt;I632,0,IF(K632="S-curve",L632*L632*(3-2*L632),L632))</f>
        <v/>
      </c>
      <c r="N632" s="45">
        <f>1+(INDEX(SeasonIdx,A632)-1)*SeasonAmp</f>
        <v/>
      </c>
      <c r="O632" s="45">
        <f>IFERROR(INDEX(PSPct,MATCH(E632&amp;"|"&amp;G632,PSKey,0)),0)</f>
        <v/>
      </c>
      <c r="P632" s="46">
        <f>INDEX(ChDoorVel,MATCH(E632,ChName,0))*CalibScalar*(1+VelocityUplift)</f>
        <v/>
      </c>
      <c r="Q632" s="46" t="n">
        <v>0</v>
      </c>
      <c r="R632" s="46">
        <f>P632*O632*M632*N632*H632</f>
        <v/>
      </c>
      <c r="S632" s="46">
        <f>R632*INDEX(FmtCansPerCase,MATCH(F632,FmtName,0))</f>
        <v/>
      </c>
      <c r="T632" s="46">
        <f>S632/INDEX(FmtCansPerPack,MATCH(F632,FmtName,0))</f>
        <v/>
      </c>
      <c r="U632" s="47">
        <f>INDEX(ChBaseCP,MATCH(E632,ChName,0))*(1+INDEX(ProvMod,MATCH(G632,ProvCode,0)))*(1+PriceIndex)</f>
        <v/>
      </c>
      <c r="V632" s="47">
        <f>R632*U632*INDEX(FmtBlendedPriceIdx,MATCH(F632,FmtName,0))</f>
        <v/>
      </c>
      <c r="W632" s="47">
        <f>T632*INDEX(ProvSRP,MATCH(G632,ProvCode,0))*(1+PriceIndex)</f>
        <v/>
      </c>
      <c r="X632" s="47">
        <f>IF(GrossBasis="Wholesale",V632,W632)</f>
        <v/>
      </c>
      <c r="Y632" s="47">
        <f>R632*INDEX(FmtBlendedCogs,MATCH(F632,FmtName,0))</f>
        <v/>
      </c>
      <c r="Z632" s="47">
        <f>X632-Y632</f>
        <v/>
      </c>
    </row>
    <row r="633">
      <c r="A633" t="n">
        <v>49</v>
      </c>
      <c r="B633" s="44">
        <f>FiscalStart+(A633-1)*7</f>
        <v/>
      </c>
      <c r="C633">
        <f>TEXT(B633,"mmm yyyy")</f>
        <v/>
      </c>
      <c r="D633">
        <f>"Q"&amp;(INT((A633-1)/13)+1)</f>
        <v/>
      </c>
      <c r="E633" t="inlineStr">
        <is>
          <t>On Premise</t>
        </is>
      </c>
      <c r="F633">
        <f>IFERROR(INDEX(ChFormat,MATCH(E633,ChName,0)),"")</f>
        <v/>
      </c>
      <c r="G633" t="inlineStr">
        <is>
          <t>AB</t>
        </is>
      </c>
      <c r="H633">
        <f>IF(A633&lt;=NWeeks,1,0)</f>
        <v/>
      </c>
      <c r="I633">
        <f>INDEX(ChLaunch,MATCH(E633,ChName,0))</f>
        <v/>
      </c>
      <c r="J633">
        <f>INDEX(ChWeeksFull,MATCH(E633,ChName,0))</f>
        <v/>
      </c>
      <c r="K633">
        <f>INDEX(ChRamp,MATCH(E633,ChName,0))</f>
        <v/>
      </c>
      <c r="L633" s="45">
        <f>MIN(1,MAX(0,(A633-I633+1)*RampSpeed/J633))</f>
        <v/>
      </c>
      <c r="M633" s="45">
        <f>IF(A633&lt;I633,0,IF(K633="S-curve",L633*L633*(3-2*L633),L633))</f>
        <v/>
      </c>
      <c r="N633" s="45">
        <f>1+(INDEX(SeasonIdx,A633)-1)*SeasonAmp</f>
        <v/>
      </c>
      <c r="O633" s="45">
        <f>IFERROR(INDEX(PSPct,MATCH(E633&amp;"|"&amp;G633,PSKey,0)),0)</f>
        <v/>
      </c>
      <c r="P633" s="46">
        <f>INDEX(ChDoorVel,MATCH(E633,ChName,0))*CalibScalar*(1+VelocityUplift)</f>
        <v/>
      </c>
      <c r="Q633" s="46" t="n">
        <v>0</v>
      </c>
      <c r="R633" s="46">
        <f>P633*O633*M633*N633*H633</f>
        <v/>
      </c>
      <c r="S633" s="46">
        <f>R633*INDEX(FmtCansPerCase,MATCH(F633,FmtName,0))</f>
        <v/>
      </c>
      <c r="T633" s="46">
        <f>S633/INDEX(FmtCansPerPack,MATCH(F633,FmtName,0))</f>
        <v/>
      </c>
      <c r="U633" s="47">
        <f>INDEX(ChBaseCP,MATCH(E633,ChName,0))*(1+INDEX(ProvMod,MATCH(G633,ProvCode,0)))*(1+PriceIndex)</f>
        <v/>
      </c>
      <c r="V633" s="47">
        <f>R633*U633*INDEX(FmtBlendedPriceIdx,MATCH(F633,FmtName,0))</f>
        <v/>
      </c>
      <c r="W633" s="47">
        <f>T633*INDEX(ProvSRP,MATCH(G633,ProvCode,0))*(1+PriceIndex)</f>
        <v/>
      </c>
      <c r="X633" s="47">
        <f>IF(GrossBasis="Wholesale",V633,W633)</f>
        <v/>
      </c>
      <c r="Y633" s="47">
        <f>R633*INDEX(FmtBlendedCogs,MATCH(F633,FmtName,0))</f>
        <v/>
      </c>
      <c r="Z633" s="47">
        <f>X633-Y633</f>
        <v/>
      </c>
    </row>
    <row r="634">
      <c r="A634" t="n">
        <v>50</v>
      </c>
      <c r="B634" s="44">
        <f>FiscalStart+(A634-1)*7</f>
        <v/>
      </c>
      <c r="C634">
        <f>TEXT(B634,"mmm yyyy")</f>
        <v/>
      </c>
      <c r="D634">
        <f>"Q"&amp;(INT((A634-1)/13)+1)</f>
        <v/>
      </c>
      <c r="E634" t="inlineStr">
        <is>
          <t>On Premise</t>
        </is>
      </c>
      <c r="F634">
        <f>IFERROR(INDEX(ChFormat,MATCH(E634,ChName,0)),"")</f>
        <v/>
      </c>
      <c r="G634" t="inlineStr">
        <is>
          <t>AB</t>
        </is>
      </c>
      <c r="H634">
        <f>IF(A634&lt;=NWeeks,1,0)</f>
        <v/>
      </c>
      <c r="I634">
        <f>INDEX(ChLaunch,MATCH(E634,ChName,0))</f>
        <v/>
      </c>
      <c r="J634">
        <f>INDEX(ChWeeksFull,MATCH(E634,ChName,0))</f>
        <v/>
      </c>
      <c r="K634">
        <f>INDEX(ChRamp,MATCH(E634,ChName,0))</f>
        <v/>
      </c>
      <c r="L634" s="45">
        <f>MIN(1,MAX(0,(A634-I634+1)*RampSpeed/J634))</f>
        <v/>
      </c>
      <c r="M634" s="45">
        <f>IF(A634&lt;I634,0,IF(K634="S-curve",L634*L634*(3-2*L634),L634))</f>
        <v/>
      </c>
      <c r="N634" s="45">
        <f>1+(INDEX(SeasonIdx,A634)-1)*SeasonAmp</f>
        <v/>
      </c>
      <c r="O634" s="45">
        <f>IFERROR(INDEX(PSPct,MATCH(E634&amp;"|"&amp;G634,PSKey,0)),0)</f>
        <v/>
      </c>
      <c r="P634" s="46">
        <f>INDEX(ChDoorVel,MATCH(E634,ChName,0))*CalibScalar*(1+VelocityUplift)</f>
        <v/>
      </c>
      <c r="Q634" s="46" t="n">
        <v>0</v>
      </c>
      <c r="R634" s="46">
        <f>P634*O634*M634*N634*H634</f>
        <v/>
      </c>
      <c r="S634" s="46">
        <f>R634*INDEX(FmtCansPerCase,MATCH(F634,FmtName,0))</f>
        <v/>
      </c>
      <c r="T634" s="46">
        <f>S634/INDEX(FmtCansPerPack,MATCH(F634,FmtName,0))</f>
        <v/>
      </c>
      <c r="U634" s="47">
        <f>INDEX(ChBaseCP,MATCH(E634,ChName,0))*(1+INDEX(ProvMod,MATCH(G634,ProvCode,0)))*(1+PriceIndex)</f>
        <v/>
      </c>
      <c r="V634" s="47">
        <f>R634*U634*INDEX(FmtBlendedPriceIdx,MATCH(F634,FmtName,0))</f>
        <v/>
      </c>
      <c r="W634" s="47">
        <f>T634*INDEX(ProvSRP,MATCH(G634,ProvCode,0))*(1+PriceIndex)</f>
        <v/>
      </c>
      <c r="X634" s="47">
        <f>IF(GrossBasis="Wholesale",V634,W634)</f>
        <v/>
      </c>
      <c r="Y634" s="47">
        <f>R634*INDEX(FmtBlendedCogs,MATCH(F634,FmtName,0))</f>
        <v/>
      </c>
      <c r="Z634" s="47">
        <f>X634-Y634</f>
        <v/>
      </c>
    </row>
    <row r="635">
      <c r="A635" t="n">
        <v>51</v>
      </c>
      <c r="B635" s="44">
        <f>FiscalStart+(A635-1)*7</f>
        <v/>
      </c>
      <c r="C635">
        <f>TEXT(B635,"mmm yyyy")</f>
        <v/>
      </c>
      <c r="D635">
        <f>"Q"&amp;(INT((A635-1)/13)+1)</f>
        <v/>
      </c>
      <c r="E635" t="inlineStr">
        <is>
          <t>On Premise</t>
        </is>
      </c>
      <c r="F635">
        <f>IFERROR(INDEX(ChFormat,MATCH(E635,ChName,0)),"")</f>
        <v/>
      </c>
      <c r="G635" t="inlineStr">
        <is>
          <t>AB</t>
        </is>
      </c>
      <c r="H635">
        <f>IF(A635&lt;=NWeeks,1,0)</f>
        <v/>
      </c>
      <c r="I635">
        <f>INDEX(ChLaunch,MATCH(E635,ChName,0))</f>
        <v/>
      </c>
      <c r="J635">
        <f>INDEX(ChWeeksFull,MATCH(E635,ChName,0))</f>
        <v/>
      </c>
      <c r="K635">
        <f>INDEX(ChRamp,MATCH(E635,ChName,0))</f>
        <v/>
      </c>
      <c r="L635" s="45">
        <f>MIN(1,MAX(0,(A635-I635+1)*RampSpeed/J635))</f>
        <v/>
      </c>
      <c r="M635" s="45">
        <f>IF(A635&lt;I635,0,IF(K635="S-curve",L635*L635*(3-2*L635),L635))</f>
        <v/>
      </c>
      <c r="N635" s="45">
        <f>1+(INDEX(SeasonIdx,A635)-1)*SeasonAmp</f>
        <v/>
      </c>
      <c r="O635" s="45">
        <f>IFERROR(INDEX(PSPct,MATCH(E635&amp;"|"&amp;G635,PSKey,0)),0)</f>
        <v/>
      </c>
      <c r="P635" s="46">
        <f>INDEX(ChDoorVel,MATCH(E635,ChName,0))*CalibScalar*(1+VelocityUplift)</f>
        <v/>
      </c>
      <c r="Q635" s="46" t="n">
        <v>0</v>
      </c>
      <c r="R635" s="46">
        <f>P635*O635*M635*N635*H635</f>
        <v/>
      </c>
      <c r="S635" s="46">
        <f>R635*INDEX(FmtCansPerCase,MATCH(F635,FmtName,0))</f>
        <v/>
      </c>
      <c r="T635" s="46">
        <f>S635/INDEX(FmtCansPerPack,MATCH(F635,FmtName,0))</f>
        <v/>
      </c>
      <c r="U635" s="47">
        <f>INDEX(ChBaseCP,MATCH(E635,ChName,0))*(1+INDEX(ProvMod,MATCH(G635,ProvCode,0)))*(1+PriceIndex)</f>
        <v/>
      </c>
      <c r="V635" s="47">
        <f>R635*U635*INDEX(FmtBlendedPriceIdx,MATCH(F635,FmtName,0))</f>
        <v/>
      </c>
      <c r="W635" s="47">
        <f>T635*INDEX(ProvSRP,MATCH(G635,ProvCode,0))*(1+PriceIndex)</f>
        <v/>
      </c>
      <c r="X635" s="47">
        <f>IF(GrossBasis="Wholesale",V635,W635)</f>
        <v/>
      </c>
      <c r="Y635" s="47">
        <f>R635*INDEX(FmtBlendedCogs,MATCH(F635,FmtName,0))</f>
        <v/>
      </c>
      <c r="Z635" s="47">
        <f>X635-Y635</f>
        <v/>
      </c>
    </row>
    <row r="636">
      <c r="A636" t="n">
        <v>52</v>
      </c>
      <c r="B636" s="44">
        <f>FiscalStart+(A636-1)*7</f>
        <v/>
      </c>
      <c r="C636">
        <f>TEXT(B636,"mmm yyyy")</f>
        <v/>
      </c>
      <c r="D636">
        <f>"Q"&amp;(INT((A636-1)/13)+1)</f>
        <v/>
      </c>
      <c r="E636" t="inlineStr">
        <is>
          <t>On Premise</t>
        </is>
      </c>
      <c r="F636">
        <f>IFERROR(INDEX(ChFormat,MATCH(E636,ChName,0)),"")</f>
        <v/>
      </c>
      <c r="G636" t="inlineStr">
        <is>
          <t>AB</t>
        </is>
      </c>
      <c r="H636">
        <f>IF(A636&lt;=NWeeks,1,0)</f>
        <v/>
      </c>
      <c r="I636">
        <f>INDEX(ChLaunch,MATCH(E636,ChName,0))</f>
        <v/>
      </c>
      <c r="J636">
        <f>INDEX(ChWeeksFull,MATCH(E636,ChName,0))</f>
        <v/>
      </c>
      <c r="K636">
        <f>INDEX(ChRamp,MATCH(E636,ChName,0))</f>
        <v/>
      </c>
      <c r="L636" s="45">
        <f>MIN(1,MAX(0,(A636-I636+1)*RampSpeed/J636))</f>
        <v/>
      </c>
      <c r="M636" s="45">
        <f>IF(A636&lt;I636,0,IF(K636="S-curve",L636*L636*(3-2*L636),L636))</f>
        <v/>
      </c>
      <c r="N636" s="45">
        <f>1+(INDEX(SeasonIdx,A636)-1)*SeasonAmp</f>
        <v/>
      </c>
      <c r="O636" s="45">
        <f>IFERROR(INDEX(PSPct,MATCH(E636&amp;"|"&amp;G636,PSKey,0)),0)</f>
        <v/>
      </c>
      <c r="P636" s="46">
        <f>INDEX(ChDoorVel,MATCH(E636,ChName,0))*CalibScalar*(1+VelocityUplift)</f>
        <v/>
      </c>
      <c r="Q636" s="46" t="n">
        <v>0</v>
      </c>
      <c r="R636" s="46">
        <f>P636*O636*M636*N636*H636</f>
        <v/>
      </c>
      <c r="S636" s="46">
        <f>R636*INDEX(FmtCansPerCase,MATCH(F636,FmtName,0))</f>
        <v/>
      </c>
      <c r="T636" s="46">
        <f>S636/INDEX(FmtCansPerPack,MATCH(F636,FmtName,0))</f>
        <v/>
      </c>
      <c r="U636" s="47">
        <f>INDEX(ChBaseCP,MATCH(E636,ChName,0))*(1+INDEX(ProvMod,MATCH(G636,ProvCode,0)))*(1+PriceIndex)</f>
        <v/>
      </c>
      <c r="V636" s="47">
        <f>R636*U636*INDEX(FmtBlendedPriceIdx,MATCH(F636,FmtName,0))</f>
        <v/>
      </c>
      <c r="W636" s="47">
        <f>T636*INDEX(ProvSRP,MATCH(G636,ProvCode,0))*(1+PriceIndex)</f>
        <v/>
      </c>
      <c r="X636" s="47">
        <f>IF(GrossBasis="Wholesale",V636,W636)</f>
        <v/>
      </c>
      <c r="Y636" s="47">
        <f>R636*INDEX(FmtBlendedCogs,MATCH(F636,FmtName,0))</f>
        <v/>
      </c>
      <c r="Z636" s="47">
        <f>X636-Y636</f>
        <v/>
      </c>
    </row>
    <row r="637">
      <c r="A637" t="n">
        <v>53</v>
      </c>
      <c r="B637" s="44">
        <f>FiscalStart+(A637-1)*7</f>
        <v/>
      </c>
      <c r="C637">
        <f>TEXT(B637,"mmm yyyy")</f>
        <v/>
      </c>
      <c r="D637">
        <f>"Q"&amp;(INT((A637-1)/13)+1)</f>
        <v/>
      </c>
      <c r="E637" t="inlineStr">
        <is>
          <t>On Premise</t>
        </is>
      </c>
      <c r="F637">
        <f>IFERROR(INDEX(ChFormat,MATCH(E637,ChName,0)),"")</f>
        <v/>
      </c>
      <c r="G637" t="inlineStr">
        <is>
          <t>AB</t>
        </is>
      </c>
      <c r="H637">
        <f>IF(A637&lt;=NWeeks,1,0)</f>
        <v/>
      </c>
      <c r="I637">
        <f>INDEX(ChLaunch,MATCH(E637,ChName,0))</f>
        <v/>
      </c>
      <c r="J637">
        <f>INDEX(ChWeeksFull,MATCH(E637,ChName,0))</f>
        <v/>
      </c>
      <c r="K637">
        <f>INDEX(ChRamp,MATCH(E637,ChName,0))</f>
        <v/>
      </c>
      <c r="L637" s="45">
        <f>MIN(1,MAX(0,(A637-I637+1)*RampSpeed/J637))</f>
        <v/>
      </c>
      <c r="M637" s="45">
        <f>IF(A637&lt;I637,0,IF(K637="S-curve",L637*L637*(3-2*L637),L637))</f>
        <v/>
      </c>
      <c r="N637" s="45">
        <f>1+(INDEX(SeasonIdx,A637)-1)*SeasonAmp</f>
        <v/>
      </c>
      <c r="O637" s="45">
        <f>IFERROR(INDEX(PSPct,MATCH(E637&amp;"|"&amp;G637,PSKey,0)),0)</f>
        <v/>
      </c>
      <c r="P637" s="46">
        <f>INDEX(ChDoorVel,MATCH(E637,ChName,0))*CalibScalar*(1+VelocityUplift)</f>
        <v/>
      </c>
      <c r="Q637" s="46" t="n">
        <v>0</v>
      </c>
      <c r="R637" s="46">
        <f>P637*O637*M637*N637*H637</f>
        <v/>
      </c>
      <c r="S637" s="46">
        <f>R637*INDEX(FmtCansPerCase,MATCH(F637,FmtName,0))</f>
        <v/>
      </c>
      <c r="T637" s="46">
        <f>S637/INDEX(FmtCansPerPack,MATCH(F637,FmtName,0))</f>
        <v/>
      </c>
      <c r="U637" s="47">
        <f>INDEX(ChBaseCP,MATCH(E637,ChName,0))*(1+INDEX(ProvMod,MATCH(G637,ProvCode,0)))*(1+PriceIndex)</f>
        <v/>
      </c>
      <c r="V637" s="47">
        <f>R637*U637*INDEX(FmtBlendedPriceIdx,MATCH(F637,FmtName,0))</f>
        <v/>
      </c>
      <c r="W637" s="47">
        <f>T637*INDEX(ProvSRP,MATCH(G637,ProvCode,0))*(1+PriceIndex)</f>
        <v/>
      </c>
      <c r="X637" s="47">
        <f>IF(GrossBasis="Wholesale",V637,W637)</f>
        <v/>
      </c>
      <c r="Y637" s="47">
        <f>R637*INDEX(FmtBlendedCogs,MATCH(F637,FmtName,0))</f>
        <v/>
      </c>
      <c r="Z637" s="47">
        <f>X637-Y637</f>
        <v/>
      </c>
    </row>
    <row r="638">
      <c r="A638" t="n">
        <v>1</v>
      </c>
      <c r="B638" s="44">
        <f>FiscalStart+(A638-1)*7</f>
        <v/>
      </c>
      <c r="C638">
        <f>TEXT(B638,"mmm yyyy")</f>
        <v/>
      </c>
      <c r="D638">
        <f>"Q"&amp;(INT((A638-1)/13)+1)</f>
        <v/>
      </c>
      <c r="E638" t="inlineStr">
        <is>
          <t>On Premise</t>
        </is>
      </c>
      <c r="F638">
        <f>IFERROR(INDEX(ChFormat,MATCH(E638,ChName,0)),"")</f>
        <v/>
      </c>
      <c r="G638" t="inlineStr">
        <is>
          <t>SK</t>
        </is>
      </c>
      <c r="H638">
        <f>IF(A638&lt;=NWeeks,1,0)</f>
        <v/>
      </c>
      <c r="I638">
        <f>INDEX(ChLaunch,MATCH(E638,ChName,0))</f>
        <v/>
      </c>
      <c r="J638">
        <f>INDEX(ChWeeksFull,MATCH(E638,ChName,0))</f>
        <v/>
      </c>
      <c r="K638">
        <f>INDEX(ChRamp,MATCH(E638,ChName,0))</f>
        <v/>
      </c>
      <c r="L638" s="45">
        <f>MIN(1,MAX(0,(A638-I638+1)*RampSpeed/J638))</f>
        <v/>
      </c>
      <c r="M638" s="45">
        <f>IF(A638&lt;I638,0,IF(K638="S-curve",L638*L638*(3-2*L638),L638))</f>
        <v/>
      </c>
      <c r="N638" s="45">
        <f>1+(INDEX(SeasonIdx,A638)-1)*SeasonAmp</f>
        <v/>
      </c>
      <c r="O638" s="45">
        <f>IFERROR(INDEX(PSPct,MATCH(E638&amp;"|"&amp;G638,PSKey,0)),0)</f>
        <v/>
      </c>
      <c r="P638" s="46">
        <f>INDEX(ChDoorVel,MATCH(E638,ChName,0))*CalibScalar*(1+VelocityUplift)</f>
        <v/>
      </c>
      <c r="Q638" s="46" t="n">
        <v>0</v>
      </c>
      <c r="R638" s="46">
        <f>P638*O638*M638*N638*H638</f>
        <v/>
      </c>
      <c r="S638" s="46">
        <f>R638*INDEX(FmtCansPerCase,MATCH(F638,FmtName,0))</f>
        <v/>
      </c>
      <c r="T638" s="46">
        <f>S638/INDEX(FmtCansPerPack,MATCH(F638,FmtName,0))</f>
        <v/>
      </c>
      <c r="U638" s="47">
        <f>INDEX(ChBaseCP,MATCH(E638,ChName,0))*(1+INDEX(ProvMod,MATCH(G638,ProvCode,0)))*(1+PriceIndex)</f>
        <v/>
      </c>
      <c r="V638" s="47">
        <f>R638*U638*INDEX(FmtBlendedPriceIdx,MATCH(F638,FmtName,0))</f>
        <v/>
      </c>
      <c r="W638" s="47">
        <f>T638*INDEX(ProvSRP,MATCH(G638,ProvCode,0))*(1+PriceIndex)</f>
        <v/>
      </c>
      <c r="X638" s="47">
        <f>IF(GrossBasis="Wholesale",V638,W638)</f>
        <v/>
      </c>
      <c r="Y638" s="47">
        <f>R638*INDEX(FmtBlendedCogs,MATCH(F638,FmtName,0))</f>
        <v/>
      </c>
      <c r="Z638" s="47">
        <f>X638-Y638</f>
        <v/>
      </c>
    </row>
    <row r="639">
      <c r="A639" t="n">
        <v>2</v>
      </c>
      <c r="B639" s="44">
        <f>FiscalStart+(A639-1)*7</f>
        <v/>
      </c>
      <c r="C639">
        <f>TEXT(B639,"mmm yyyy")</f>
        <v/>
      </c>
      <c r="D639">
        <f>"Q"&amp;(INT((A639-1)/13)+1)</f>
        <v/>
      </c>
      <c r="E639" t="inlineStr">
        <is>
          <t>On Premise</t>
        </is>
      </c>
      <c r="F639">
        <f>IFERROR(INDEX(ChFormat,MATCH(E639,ChName,0)),"")</f>
        <v/>
      </c>
      <c r="G639" t="inlineStr">
        <is>
          <t>SK</t>
        </is>
      </c>
      <c r="H639">
        <f>IF(A639&lt;=NWeeks,1,0)</f>
        <v/>
      </c>
      <c r="I639">
        <f>INDEX(ChLaunch,MATCH(E639,ChName,0))</f>
        <v/>
      </c>
      <c r="J639">
        <f>INDEX(ChWeeksFull,MATCH(E639,ChName,0))</f>
        <v/>
      </c>
      <c r="K639">
        <f>INDEX(ChRamp,MATCH(E639,ChName,0))</f>
        <v/>
      </c>
      <c r="L639" s="45">
        <f>MIN(1,MAX(0,(A639-I639+1)*RampSpeed/J639))</f>
        <v/>
      </c>
      <c r="M639" s="45">
        <f>IF(A639&lt;I639,0,IF(K639="S-curve",L639*L639*(3-2*L639),L639))</f>
        <v/>
      </c>
      <c r="N639" s="45">
        <f>1+(INDEX(SeasonIdx,A639)-1)*SeasonAmp</f>
        <v/>
      </c>
      <c r="O639" s="45">
        <f>IFERROR(INDEX(PSPct,MATCH(E639&amp;"|"&amp;G639,PSKey,0)),0)</f>
        <v/>
      </c>
      <c r="P639" s="46">
        <f>INDEX(ChDoorVel,MATCH(E639,ChName,0))*CalibScalar*(1+VelocityUplift)</f>
        <v/>
      </c>
      <c r="Q639" s="46" t="n">
        <v>0</v>
      </c>
      <c r="R639" s="46">
        <f>P639*O639*M639*N639*H639</f>
        <v/>
      </c>
      <c r="S639" s="46">
        <f>R639*INDEX(FmtCansPerCase,MATCH(F639,FmtName,0))</f>
        <v/>
      </c>
      <c r="T639" s="46">
        <f>S639/INDEX(FmtCansPerPack,MATCH(F639,FmtName,0))</f>
        <v/>
      </c>
      <c r="U639" s="47">
        <f>INDEX(ChBaseCP,MATCH(E639,ChName,0))*(1+INDEX(ProvMod,MATCH(G639,ProvCode,0)))*(1+PriceIndex)</f>
        <v/>
      </c>
      <c r="V639" s="47">
        <f>R639*U639*INDEX(FmtBlendedPriceIdx,MATCH(F639,FmtName,0))</f>
        <v/>
      </c>
      <c r="W639" s="47">
        <f>T639*INDEX(ProvSRP,MATCH(G639,ProvCode,0))*(1+PriceIndex)</f>
        <v/>
      </c>
      <c r="X639" s="47">
        <f>IF(GrossBasis="Wholesale",V639,W639)</f>
        <v/>
      </c>
      <c r="Y639" s="47">
        <f>R639*INDEX(FmtBlendedCogs,MATCH(F639,FmtName,0))</f>
        <v/>
      </c>
      <c r="Z639" s="47">
        <f>X639-Y639</f>
        <v/>
      </c>
    </row>
    <row r="640">
      <c r="A640" t="n">
        <v>3</v>
      </c>
      <c r="B640" s="44">
        <f>FiscalStart+(A640-1)*7</f>
        <v/>
      </c>
      <c r="C640">
        <f>TEXT(B640,"mmm yyyy")</f>
        <v/>
      </c>
      <c r="D640">
        <f>"Q"&amp;(INT((A640-1)/13)+1)</f>
        <v/>
      </c>
      <c r="E640" t="inlineStr">
        <is>
          <t>On Premise</t>
        </is>
      </c>
      <c r="F640">
        <f>IFERROR(INDEX(ChFormat,MATCH(E640,ChName,0)),"")</f>
        <v/>
      </c>
      <c r="G640" t="inlineStr">
        <is>
          <t>SK</t>
        </is>
      </c>
      <c r="H640">
        <f>IF(A640&lt;=NWeeks,1,0)</f>
        <v/>
      </c>
      <c r="I640">
        <f>INDEX(ChLaunch,MATCH(E640,ChName,0))</f>
        <v/>
      </c>
      <c r="J640">
        <f>INDEX(ChWeeksFull,MATCH(E640,ChName,0))</f>
        <v/>
      </c>
      <c r="K640">
        <f>INDEX(ChRamp,MATCH(E640,ChName,0))</f>
        <v/>
      </c>
      <c r="L640" s="45">
        <f>MIN(1,MAX(0,(A640-I640+1)*RampSpeed/J640))</f>
        <v/>
      </c>
      <c r="M640" s="45">
        <f>IF(A640&lt;I640,0,IF(K640="S-curve",L640*L640*(3-2*L640),L640))</f>
        <v/>
      </c>
      <c r="N640" s="45">
        <f>1+(INDEX(SeasonIdx,A640)-1)*SeasonAmp</f>
        <v/>
      </c>
      <c r="O640" s="45">
        <f>IFERROR(INDEX(PSPct,MATCH(E640&amp;"|"&amp;G640,PSKey,0)),0)</f>
        <v/>
      </c>
      <c r="P640" s="46">
        <f>INDEX(ChDoorVel,MATCH(E640,ChName,0))*CalibScalar*(1+VelocityUplift)</f>
        <v/>
      </c>
      <c r="Q640" s="46" t="n">
        <v>0</v>
      </c>
      <c r="R640" s="46">
        <f>P640*O640*M640*N640*H640</f>
        <v/>
      </c>
      <c r="S640" s="46">
        <f>R640*INDEX(FmtCansPerCase,MATCH(F640,FmtName,0))</f>
        <v/>
      </c>
      <c r="T640" s="46">
        <f>S640/INDEX(FmtCansPerPack,MATCH(F640,FmtName,0))</f>
        <v/>
      </c>
      <c r="U640" s="47">
        <f>INDEX(ChBaseCP,MATCH(E640,ChName,0))*(1+INDEX(ProvMod,MATCH(G640,ProvCode,0)))*(1+PriceIndex)</f>
        <v/>
      </c>
      <c r="V640" s="47">
        <f>R640*U640*INDEX(FmtBlendedPriceIdx,MATCH(F640,FmtName,0))</f>
        <v/>
      </c>
      <c r="W640" s="47">
        <f>T640*INDEX(ProvSRP,MATCH(G640,ProvCode,0))*(1+PriceIndex)</f>
        <v/>
      </c>
      <c r="X640" s="47">
        <f>IF(GrossBasis="Wholesale",V640,W640)</f>
        <v/>
      </c>
      <c r="Y640" s="47">
        <f>R640*INDEX(FmtBlendedCogs,MATCH(F640,FmtName,0))</f>
        <v/>
      </c>
      <c r="Z640" s="47">
        <f>X640-Y640</f>
        <v/>
      </c>
    </row>
    <row r="641">
      <c r="A641" t="n">
        <v>4</v>
      </c>
      <c r="B641" s="44">
        <f>FiscalStart+(A641-1)*7</f>
        <v/>
      </c>
      <c r="C641">
        <f>TEXT(B641,"mmm yyyy")</f>
        <v/>
      </c>
      <c r="D641">
        <f>"Q"&amp;(INT((A641-1)/13)+1)</f>
        <v/>
      </c>
      <c r="E641" t="inlineStr">
        <is>
          <t>On Premise</t>
        </is>
      </c>
      <c r="F641">
        <f>IFERROR(INDEX(ChFormat,MATCH(E641,ChName,0)),"")</f>
        <v/>
      </c>
      <c r="G641" t="inlineStr">
        <is>
          <t>SK</t>
        </is>
      </c>
      <c r="H641">
        <f>IF(A641&lt;=NWeeks,1,0)</f>
        <v/>
      </c>
      <c r="I641">
        <f>INDEX(ChLaunch,MATCH(E641,ChName,0))</f>
        <v/>
      </c>
      <c r="J641">
        <f>INDEX(ChWeeksFull,MATCH(E641,ChName,0))</f>
        <v/>
      </c>
      <c r="K641">
        <f>INDEX(ChRamp,MATCH(E641,ChName,0))</f>
        <v/>
      </c>
      <c r="L641" s="45">
        <f>MIN(1,MAX(0,(A641-I641+1)*RampSpeed/J641))</f>
        <v/>
      </c>
      <c r="M641" s="45">
        <f>IF(A641&lt;I641,0,IF(K641="S-curve",L641*L641*(3-2*L641),L641))</f>
        <v/>
      </c>
      <c r="N641" s="45">
        <f>1+(INDEX(SeasonIdx,A641)-1)*SeasonAmp</f>
        <v/>
      </c>
      <c r="O641" s="45">
        <f>IFERROR(INDEX(PSPct,MATCH(E641&amp;"|"&amp;G641,PSKey,0)),0)</f>
        <v/>
      </c>
      <c r="P641" s="46">
        <f>INDEX(ChDoorVel,MATCH(E641,ChName,0))*CalibScalar*(1+VelocityUplift)</f>
        <v/>
      </c>
      <c r="Q641" s="46" t="n">
        <v>0</v>
      </c>
      <c r="R641" s="46">
        <f>P641*O641*M641*N641*H641</f>
        <v/>
      </c>
      <c r="S641" s="46">
        <f>R641*INDEX(FmtCansPerCase,MATCH(F641,FmtName,0))</f>
        <v/>
      </c>
      <c r="T641" s="46">
        <f>S641/INDEX(FmtCansPerPack,MATCH(F641,FmtName,0))</f>
        <v/>
      </c>
      <c r="U641" s="47">
        <f>INDEX(ChBaseCP,MATCH(E641,ChName,0))*(1+INDEX(ProvMod,MATCH(G641,ProvCode,0)))*(1+PriceIndex)</f>
        <v/>
      </c>
      <c r="V641" s="47">
        <f>R641*U641*INDEX(FmtBlendedPriceIdx,MATCH(F641,FmtName,0))</f>
        <v/>
      </c>
      <c r="W641" s="47">
        <f>T641*INDEX(ProvSRP,MATCH(G641,ProvCode,0))*(1+PriceIndex)</f>
        <v/>
      </c>
      <c r="X641" s="47">
        <f>IF(GrossBasis="Wholesale",V641,W641)</f>
        <v/>
      </c>
      <c r="Y641" s="47">
        <f>R641*INDEX(FmtBlendedCogs,MATCH(F641,FmtName,0))</f>
        <v/>
      </c>
      <c r="Z641" s="47">
        <f>X641-Y641</f>
        <v/>
      </c>
    </row>
    <row r="642">
      <c r="A642" t="n">
        <v>5</v>
      </c>
      <c r="B642" s="44">
        <f>FiscalStart+(A642-1)*7</f>
        <v/>
      </c>
      <c r="C642">
        <f>TEXT(B642,"mmm yyyy")</f>
        <v/>
      </c>
      <c r="D642">
        <f>"Q"&amp;(INT((A642-1)/13)+1)</f>
        <v/>
      </c>
      <c r="E642" t="inlineStr">
        <is>
          <t>On Premise</t>
        </is>
      </c>
      <c r="F642">
        <f>IFERROR(INDEX(ChFormat,MATCH(E642,ChName,0)),"")</f>
        <v/>
      </c>
      <c r="G642" t="inlineStr">
        <is>
          <t>SK</t>
        </is>
      </c>
      <c r="H642">
        <f>IF(A642&lt;=NWeeks,1,0)</f>
        <v/>
      </c>
      <c r="I642">
        <f>INDEX(ChLaunch,MATCH(E642,ChName,0))</f>
        <v/>
      </c>
      <c r="J642">
        <f>INDEX(ChWeeksFull,MATCH(E642,ChName,0))</f>
        <v/>
      </c>
      <c r="K642">
        <f>INDEX(ChRamp,MATCH(E642,ChName,0))</f>
        <v/>
      </c>
      <c r="L642" s="45">
        <f>MIN(1,MAX(0,(A642-I642+1)*RampSpeed/J642))</f>
        <v/>
      </c>
      <c r="M642" s="45">
        <f>IF(A642&lt;I642,0,IF(K642="S-curve",L642*L642*(3-2*L642),L642))</f>
        <v/>
      </c>
      <c r="N642" s="45">
        <f>1+(INDEX(SeasonIdx,A642)-1)*SeasonAmp</f>
        <v/>
      </c>
      <c r="O642" s="45">
        <f>IFERROR(INDEX(PSPct,MATCH(E642&amp;"|"&amp;G642,PSKey,0)),0)</f>
        <v/>
      </c>
      <c r="P642" s="46">
        <f>INDEX(ChDoorVel,MATCH(E642,ChName,0))*CalibScalar*(1+VelocityUplift)</f>
        <v/>
      </c>
      <c r="Q642" s="46" t="n">
        <v>0</v>
      </c>
      <c r="R642" s="46">
        <f>P642*O642*M642*N642*H642</f>
        <v/>
      </c>
      <c r="S642" s="46">
        <f>R642*INDEX(FmtCansPerCase,MATCH(F642,FmtName,0))</f>
        <v/>
      </c>
      <c r="T642" s="46">
        <f>S642/INDEX(FmtCansPerPack,MATCH(F642,FmtName,0))</f>
        <v/>
      </c>
      <c r="U642" s="47">
        <f>INDEX(ChBaseCP,MATCH(E642,ChName,0))*(1+INDEX(ProvMod,MATCH(G642,ProvCode,0)))*(1+PriceIndex)</f>
        <v/>
      </c>
      <c r="V642" s="47">
        <f>R642*U642*INDEX(FmtBlendedPriceIdx,MATCH(F642,FmtName,0))</f>
        <v/>
      </c>
      <c r="W642" s="47">
        <f>T642*INDEX(ProvSRP,MATCH(G642,ProvCode,0))*(1+PriceIndex)</f>
        <v/>
      </c>
      <c r="X642" s="47">
        <f>IF(GrossBasis="Wholesale",V642,W642)</f>
        <v/>
      </c>
      <c r="Y642" s="47">
        <f>R642*INDEX(FmtBlendedCogs,MATCH(F642,FmtName,0))</f>
        <v/>
      </c>
      <c r="Z642" s="47">
        <f>X642-Y642</f>
        <v/>
      </c>
    </row>
    <row r="643">
      <c r="A643" t="n">
        <v>6</v>
      </c>
      <c r="B643" s="44">
        <f>FiscalStart+(A643-1)*7</f>
        <v/>
      </c>
      <c r="C643">
        <f>TEXT(B643,"mmm yyyy")</f>
        <v/>
      </c>
      <c r="D643">
        <f>"Q"&amp;(INT((A643-1)/13)+1)</f>
        <v/>
      </c>
      <c r="E643" t="inlineStr">
        <is>
          <t>On Premise</t>
        </is>
      </c>
      <c r="F643">
        <f>IFERROR(INDEX(ChFormat,MATCH(E643,ChName,0)),"")</f>
        <v/>
      </c>
      <c r="G643" t="inlineStr">
        <is>
          <t>SK</t>
        </is>
      </c>
      <c r="H643">
        <f>IF(A643&lt;=NWeeks,1,0)</f>
        <v/>
      </c>
      <c r="I643">
        <f>INDEX(ChLaunch,MATCH(E643,ChName,0))</f>
        <v/>
      </c>
      <c r="J643">
        <f>INDEX(ChWeeksFull,MATCH(E643,ChName,0))</f>
        <v/>
      </c>
      <c r="K643">
        <f>INDEX(ChRamp,MATCH(E643,ChName,0))</f>
        <v/>
      </c>
      <c r="L643" s="45">
        <f>MIN(1,MAX(0,(A643-I643+1)*RampSpeed/J643))</f>
        <v/>
      </c>
      <c r="M643" s="45">
        <f>IF(A643&lt;I643,0,IF(K643="S-curve",L643*L643*(3-2*L643),L643))</f>
        <v/>
      </c>
      <c r="N643" s="45">
        <f>1+(INDEX(SeasonIdx,A643)-1)*SeasonAmp</f>
        <v/>
      </c>
      <c r="O643" s="45">
        <f>IFERROR(INDEX(PSPct,MATCH(E643&amp;"|"&amp;G643,PSKey,0)),0)</f>
        <v/>
      </c>
      <c r="P643" s="46">
        <f>INDEX(ChDoorVel,MATCH(E643,ChName,0))*CalibScalar*(1+VelocityUplift)</f>
        <v/>
      </c>
      <c r="Q643" s="46" t="n">
        <v>0</v>
      </c>
      <c r="R643" s="46">
        <f>P643*O643*M643*N643*H643</f>
        <v/>
      </c>
      <c r="S643" s="46">
        <f>R643*INDEX(FmtCansPerCase,MATCH(F643,FmtName,0))</f>
        <v/>
      </c>
      <c r="T643" s="46">
        <f>S643/INDEX(FmtCansPerPack,MATCH(F643,FmtName,0))</f>
        <v/>
      </c>
      <c r="U643" s="47">
        <f>INDEX(ChBaseCP,MATCH(E643,ChName,0))*(1+INDEX(ProvMod,MATCH(G643,ProvCode,0)))*(1+PriceIndex)</f>
        <v/>
      </c>
      <c r="V643" s="47">
        <f>R643*U643*INDEX(FmtBlendedPriceIdx,MATCH(F643,FmtName,0))</f>
        <v/>
      </c>
      <c r="W643" s="47">
        <f>T643*INDEX(ProvSRP,MATCH(G643,ProvCode,0))*(1+PriceIndex)</f>
        <v/>
      </c>
      <c r="X643" s="47">
        <f>IF(GrossBasis="Wholesale",V643,W643)</f>
        <v/>
      </c>
      <c r="Y643" s="47">
        <f>R643*INDEX(FmtBlendedCogs,MATCH(F643,FmtName,0))</f>
        <v/>
      </c>
      <c r="Z643" s="47">
        <f>X643-Y643</f>
        <v/>
      </c>
    </row>
    <row r="644">
      <c r="A644" t="n">
        <v>7</v>
      </c>
      <c r="B644" s="44">
        <f>FiscalStart+(A644-1)*7</f>
        <v/>
      </c>
      <c r="C644">
        <f>TEXT(B644,"mmm yyyy")</f>
        <v/>
      </c>
      <c r="D644">
        <f>"Q"&amp;(INT((A644-1)/13)+1)</f>
        <v/>
      </c>
      <c r="E644" t="inlineStr">
        <is>
          <t>On Premise</t>
        </is>
      </c>
      <c r="F644">
        <f>IFERROR(INDEX(ChFormat,MATCH(E644,ChName,0)),"")</f>
        <v/>
      </c>
      <c r="G644" t="inlineStr">
        <is>
          <t>SK</t>
        </is>
      </c>
      <c r="H644">
        <f>IF(A644&lt;=NWeeks,1,0)</f>
        <v/>
      </c>
      <c r="I644">
        <f>INDEX(ChLaunch,MATCH(E644,ChName,0))</f>
        <v/>
      </c>
      <c r="J644">
        <f>INDEX(ChWeeksFull,MATCH(E644,ChName,0))</f>
        <v/>
      </c>
      <c r="K644">
        <f>INDEX(ChRamp,MATCH(E644,ChName,0))</f>
        <v/>
      </c>
      <c r="L644" s="45">
        <f>MIN(1,MAX(0,(A644-I644+1)*RampSpeed/J644))</f>
        <v/>
      </c>
      <c r="M644" s="45">
        <f>IF(A644&lt;I644,0,IF(K644="S-curve",L644*L644*(3-2*L644),L644))</f>
        <v/>
      </c>
      <c r="N644" s="45">
        <f>1+(INDEX(SeasonIdx,A644)-1)*SeasonAmp</f>
        <v/>
      </c>
      <c r="O644" s="45">
        <f>IFERROR(INDEX(PSPct,MATCH(E644&amp;"|"&amp;G644,PSKey,0)),0)</f>
        <v/>
      </c>
      <c r="P644" s="46">
        <f>INDEX(ChDoorVel,MATCH(E644,ChName,0))*CalibScalar*(1+VelocityUplift)</f>
        <v/>
      </c>
      <c r="Q644" s="46" t="n">
        <v>0</v>
      </c>
      <c r="R644" s="46">
        <f>P644*O644*M644*N644*H644</f>
        <v/>
      </c>
      <c r="S644" s="46">
        <f>R644*INDEX(FmtCansPerCase,MATCH(F644,FmtName,0))</f>
        <v/>
      </c>
      <c r="T644" s="46">
        <f>S644/INDEX(FmtCansPerPack,MATCH(F644,FmtName,0))</f>
        <v/>
      </c>
      <c r="U644" s="47">
        <f>INDEX(ChBaseCP,MATCH(E644,ChName,0))*(1+INDEX(ProvMod,MATCH(G644,ProvCode,0)))*(1+PriceIndex)</f>
        <v/>
      </c>
      <c r="V644" s="47">
        <f>R644*U644*INDEX(FmtBlendedPriceIdx,MATCH(F644,FmtName,0))</f>
        <v/>
      </c>
      <c r="W644" s="47">
        <f>T644*INDEX(ProvSRP,MATCH(G644,ProvCode,0))*(1+PriceIndex)</f>
        <v/>
      </c>
      <c r="X644" s="47">
        <f>IF(GrossBasis="Wholesale",V644,W644)</f>
        <v/>
      </c>
      <c r="Y644" s="47">
        <f>R644*INDEX(FmtBlendedCogs,MATCH(F644,FmtName,0))</f>
        <v/>
      </c>
      <c r="Z644" s="47">
        <f>X644-Y644</f>
        <v/>
      </c>
    </row>
    <row r="645">
      <c r="A645" t="n">
        <v>8</v>
      </c>
      <c r="B645" s="44">
        <f>FiscalStart+(A645-1)*7</f>
        <v/>
      </c>
      <c r="C645">
        <f>TEXT(B645,"mmm yyyy")</f>
        <v/>
      </c>
      <c r="D645">
        <f>"Q"&amp;(INT((A645-1)/13)+1)</f>
        <v/>
      </c>
      <c r="E645" t="inlineStr">
        <is>
          <t>On Premise</t>
        </is>
      </c>
      <c r="F645">
        <f>IFERROR(INDEX(ChFormat,MATCH(E645,ChName,0)),"")</f>
        <v/>
      </c>
      <c r="G645" t="inlineStr">
        <is>
          <t>SK</t>
        </is>
      </c>
      <c r="H645">
        <f>IF(A645&lt;=NWeeks,1,0)</f>
        <v/>
      </c>
      <c r="I645">
        <f>INDEX(ChLaunch,MATCH(E645,ChName,0))</f>
        <v/>
      </c>
      <c r="J645">
        <f>INDEX(ChWeeksFull,MATCH(E645,ChName,0))</f>
        <v/>
      </c>
      <c r="K645">
        <f>INDEX(ChRamp,MATCH(E645,ChName,0))</f>
        <v/>
      </c>
      <c r="L645" s="45">
        <f>MIN(1,MAX(0,(A645-I645+1)*RampSpeed/J645))</f>
        <v/>
      </c>
      <c r="M645" s="45">
        <f>IF(A645&lt;I645,0,IF(K645="S-curve",L645*L645*(3-2*L645),L645))</f>
        <v/>
      </c>
      <c r="N645" s="45">
        <f>1+(INDEX(SeasonIdx,A645)-1)*SeasonAmp</f>
        <v/>
      </c>
      <c r="O645" s="45">
        <f>IFERROR(INDEX(PSPct,MATCH(E645&amp;"|"&amp;G645,PSKey,0)),0)</f>
        <v/>
      </c>
      <c r="P645" s="46">
        <f>INDEX(ChDoorVel,MATCH(E645,ChName,0))*CalibScalar*(1+VelocityUplift)</f>
        <v/>
      </c>
      <c r="Q645" s="46" t="n">
        <v>0</v>
      </c>
      <c r="R645" s="46">
        <f>P645*O645*M645*N645*H645</f>
        <v/>
      </c>
      <c r="S645" s="46">
        <f>R645*INDEX(FmtCansPerCase,MATCH(F645,FmtName,0))</f>
        <v/>
      </c>
      <c r="T645" s="46">
        <f>S645/INDEX(FmtCansPerPack,MATCH(F645,FmtName,0))</f>
        <v/>
      </c>
      <c r="U645" s="47">
        <f>INDEX(ChBaseCP,MATCH(E645,ChName,0))*(1+INDEX(ProvMod,MATCH(G645,ProvCode,0)))*(1+PriceIndex)</f>
        <v/>
      </c>
      <c r="V645" s="47">
        <f>R645*U645*INDEX(FmtBlendedPriceIdx,MATCH(F645,FmtName,0))</f>
        <v/>
      </c>
      <c r="W645" s="47">
        <f>T645*INDEX(ProvSRP,MATCH(G645,ProvCode,0))*(1+PriceIndex)</f>
        <v/>
      </c>
      <c r="X645" s="47">
        <f>IF(GrossBasis="Wholesale",V645,W645)</f>
        <v/>
      </c>
      <c r="Y645" s="47">
        <f>R645*INDEX(FmtBlendedCogs,MATCH(F645,FmtName,0))</f>
        <v/>
      </c>
      <c r="Z645" s="47">
        <f>X645-Y645</f>
        <v/>
      </c>
    </row>
    <row r="646">
      <c r="A646" t="n">
        <v>9</v>
      </c>
      <c r="B646" s="44">
        <f>FiscalStart+(A646-1)*7</f>
        <v/>
      </c>
      <c r="C646">
        <f>TEXT(B646,"mmm yyyy")</f>
        <v/>
      </c>
      <c r="D646">
        <f>"Q"&amp;(INT((A646-1)/13)+1)</f>
        <v/>
      </c>
      <c r="E646" t="inlineStr">
        <is>
          <t>On Premise</t>
        </is>
      </c>
      <c r="F646">
        <f>IFERROR(INDEX(ChFormat,MATCH(E646,ChName,0)),"")</f>
        <v/>
      </c>
      <c r="G646" t="inlineStr">
        <is>
          <t>SK</t>
        </is>
      </c>
      <c r="H646">
        <f>IF(A646&lt;=NWeeks,1,0)</f>
        <v/>
      </c>
      <c r="I646">
        <f>INDEX(ChLaunch,MATCH(E646,ChName,0))</f>
        <v/>
      </c>
      <c r="J646">
        <f>INDEX(ChWeeksFull,MATCH(E646,ChName,0))</f>
        <v/>
      </c>
      <c r="K646">
        <f>INDEX(ChRamp,MATCH(E646,ChName,0))</f>
        <v/>
      </c>
      <c r="L646" s="45">
        <f>MIN(1,MAX(0,(A646-I646+1)*RampSpeed/J646))</f>
        <v/>
      </c>
      <c r="M646" s="45">
        <f>IF(A646&lt;I646,0,IF(K646="S-curve",L646*L646*(3-2*L646),L646))</f>
        <v/>
      </c>
      <c r="N646" s="45">
        <f>1+(INDEX(SeasonIdx,A646)-1)*SeasonAmp</f>
        <v/>
      </c>
      <c r="O646" s="45">
        <f>IFERROR(INDEX(PSPct,MATCH(E646&amp;"|"&amp;G646,PSKey,0)),0)</f>
        <v/>
      </c>
      <c r="P646" s="46">
        <f>INDEX(ChDoorVel,MATCH(E646,ChName,0))*CalibScalar*(1+VelocityUplift)</f>
        <v/>
      </c>
      <c r="Q646" s="46" t="n">
        <v>0</v>
      </c>
      <c r="R646" s="46">
        <f>P646*O646*M646*N646*H646</f>
        <v/>
      </c>
      <c r="S646" s="46">
        <f>R646*INDEX(FmtCansPerCase,MATCH(F646,FmtName,0))</f>
        <v/>
      </c>
      <c r="T646" s="46">
        <f>S646/INDEX(FmtCansPerPack,MATCH(F646,FmtName,0))</f>
        <v/>
      </c>
      <c r="U646" s="47">
        <f>INDEX(ChBaseCP,MATCH(E646,ChName,0))*(1+INDEX(ProvMod,MATCH(G646,ProvCode,0)))*(1+PriceIndex)</f>
        <v/>
      </c>
      <c r="V646" s="47">
        <f>R646*U646*INDEX(FmtBlendedPriceIdx,MATCH(F646,FmtName,0))</f>
        <v/>
      </c>
      <c r="W646" s="47">
        <f>T646*INDEX(ProvSRP,MATCH(G646,ProvCode,0))*(1+PriceIndex)</f>
        <v/>
      </c>
      <c r="X646" s="47">
        <f>IF(GrossBasis="Wholesale",V646,W646)</f>
        <v/>
      </c>
      <c r="Y646" s="47">
        <f>R646*INDEX(FmtBlendedCogs,MATCH(F646,FmtName,0))</f>
        <v/>
      </c>
      <c r="Z646" s="47">
        <f>X646-Y646</f>
        <v/>
      </c>
    </row>
    <row r="647">
      <c r="A647" t="n">
        <v>10</v>
      </c>
      <c r="B647" s="44">
        <f>FiscalStart+(A647-1)*7</f>
        <v/>
      </c>
      <c r="C647">
        <f>TEXT(B647,"mmm yyyy")</f>
        <v/>
      </c>
      <c r="D647">
        <f>"Q"&amp;(INT((A647-1)/13)+1)</f>
        <v/>
      </c>
      <c r="E647" t="inlineStr">
        <is>
          <t>On Premise</t>
        </is>
      </c>
      <c r="F647">
        <f>IFERROR(INDEX(ChFormat,MATCH(E647,ChName,0)),"")</f>
        <v/>
      </c>
      <c r="G647" t="inlineStr">
        <is>
          <t>SK</t>
        </is>
      </c>
      <c r="H647">
        <f>IF(A647&lt;=NWeeks,1,0)</f>
        <v/>
      </c>
      <c r="I647">
        <f>INDEX(ChLaunch,MATCH(E647,ChName,0))</f>
        <v/>
      </c>
      <c r="J647">
        <f>INDEX(ChWeeksFull,MATCH(E647,ChName,0))</f>
        <v/>
      </c>
      <c r="K647">
        <f>INDEX(ChRamp,MATCH(E647,ChName,0))</f>
        <v/>
      </c>
      <c r="L647" s="45">
        <f>MIN(1,MAX(0,(A647-I647+1)*RampSpeed/J647))</f>
        <v/>
      </c>
      <c r="M647" s="45">
        <f>IF(A647&lt;I647,0,IF(K647="S-curve",L647*L647*(3-2*L647),L647))</f>
        <v/>
      </c>
      <c r="N647" s="45">
        <f>1+(INDEX(SeasonIdx,A647)-1)*SeasonAmp</f>
        <v/>
      </c>
      <c r="O647" s="45">
        <f>IFERROR(INDEX(PSPct,MATCH(E647&amp;"|"&amp;G647,PSKey,0)),0)</f>
        <v/>
      </c>
      <c r="P647" s="46">
        <f>INDEX(ChDoorVel,MATCH(E647,ChName,0))*CalibScalar*(1+VelocityUplift)</f>
        <v/>
      </c>
      <c r="Q647" s="46" t="n">
        <v>0</v>
      </c>
      <c r="R647" s="46">
        <f>P647*O647*M647*N647*H647</f>
        <v/>
      </c>
      <c r="S647" s="46">
        <f>R647*INDEX(FmtCansPerCase,MATCH(F647,FmtName,0))</f>
        <v/>
      </c>
      <c r="T647" s="46">
        <f>S647/INDEX(FmtCansPerPack,MATCH(F647,FmtName,0))</f>
        <v/>
      </c>
      <c r="U647" s="47">
        <f>INDEX(ChBaseCP,MATCH(E647,ChName,0))*(1+INDEX(ProvMod,MATCH(G647,ProvCode,0)))*(1+PriceIndex)</f>
        <v/>
      </c>
      <c r="V647" s="47">
        <f>R647*U647*INDEX(FmtBlendedPriceIdx,MATCH(F647,FmtName,0))</f>
        <v/>
      </c>
      <c r="W647" s="47">
        <f>T647*INDEX(ProvSRP,MATCH(G647,ProvCode,0))*(1+PriceIndex)</f>
        <v/>
      </c>
      <c r="X647" s="47">
        <f>IF(GrossBasis="Wholesale",V647,W647)</f>
        <v/>
      </c>
      <c r="Y647" s="47">
        <f>R647*INDEX(FmtBlendedCogs,MATCH(F647,FmtName,0))</f>
        <v/>
      </c>
      <c r="Z647" s="47">
        <f>X647-Y647</f>
        <v/>
      </c>
    </row>
    <row r="648">
      <c r="A648" t="n">
        <v>11</v>
      </c>
      <c r="B648" s="44">
        <f>FiscalStart+(A648-1)*7</f>
        <v/>
      </c>
      <c r="C648">
        <f>TEXT(B648,"mmm yyyy")</f>
        <v/>
      </c>
      <c r="D648">
        <f>"Q"&amp;(INT((A648-1)/13)+1)</f>
        <v/>
      </c>
      <c r="E648" t="inlineStr">
        <is>
          <t>On Premise</t>
        </is>
      </c>
      <c r="F648">
        <f>IFERROR(INDEX(ChFormat,MATCH(E648,ChName,0)),"")</f>
        <v/>
      </c>
      <c r="G648" t="inlineStr">
        <is>
          <t>SK</t>
        </is>
      </c>
      <c r="H648">
        <f>IF(A648&lt;=NWeeks,1,0)</f>
        <v/>
      </c>
      <c r="I648">
        <f>INDEX(ChLaunch,MATCH(E648,ChName,0))</f>
        <v/>
      </c>
      <c r="J648">
        <f>INDEX(ChWeeksFull,MATCH(E648,ChName,0))</f>
        <v/>
      </c>
      <c r="K648">
        <f>INDEX(ChRamp,MATCH(E648,ChName,0))</f>
        <v/>
      </c>
      <c r="L648" s="45">
        <f>MIN(1,MAX(0,(A648-I648+1)*RampSpeed/J648))</f>
        <v/>
      </c>
      <c r="M648" s="45">
        <f>IF(A648&lt;I648,0,IF(K648="S-curve",L648*L648*(3-2*L648),L648))</f>
        <v/>
      </c>
      <c r="N648" s="45">
        <f>1+(INDEX(SeasonIdx,A648)-1)*SeasonAmp</f>
        <v/>
      </c>
      <c r="O648" s="45">
        <f>IFERROR(INDEX(PSPct,MATCH(E648&amp;"|"&amp;G648,PSKey,0)),0)</f>
        <v/>
      </c>
      <c r="P648" s="46">
        <f>INDEX(ChDoorVel,MATCH(E648,ChName,0))*CalibScalar*(1+VelocityUplift)</f>
        <v/>
      </c>
      <c r="Q648" s="46" t="n">
        <v>0</v>
      </c>
      <c r="R648" s="46">
        <f>P648*O648*M648*N648*H648</f>
        <v/>
      </c>
      <c r="S648" s="46">
        <f>R648*INDEX(FmtCansPerCase,MATCH(F648,FmtName,0))</f>
        <v/>
      </c>
      <c r="T648" s="46">
        <f>S648/INDEX(FmtCansPerPack,MATCH(F648,FmtName,0))</f>
        <v/>
      </c>
      <c r="U648" s="47">
        <f>INDEX(ChBaseCP,MATCH(E648,ChName,0))*(1+INDEX(ProvMod,MATCH(G648,ProvCode,0)))*(1+PriceIndex)</f>
        <v/>
      </c>
      <c r="V648" s="47">
        <f>R648*U648*INDEX(FmtBlendedPriceIdx,MATCH(F648,FmtName,0))</f>
        <v/>
      </c>
      <c r="W648" s="47">
        <f>T648*INDEX(ProvSRP,MATCH(G648,ProvCode,0))*(1+PriceIndex)</f>
        <v/>
      </c>
      <c r="X648" s="47">
        <f>IF(GrossBasis="Wholesale",V648,W648)</f>
        <v/>
      </c>
      <c r="Y648" s="47">
        <f>R648*INDEX(FmtBlendedCogs,MATCH(F648,FmtName,0))</f>
        <v/>
      </c>
      <c r="Z648" s="47">
        <f>X648-Y648</f>
        <v/>
      </c>
    </row>
    <row r="649">
      <c r="A649" t="n">
        <v>12</v>
      </c>
      <c r="B649" s="44">
        <f>FiscalStart+(A649-1)*7</f>
        <v/>
      </c>
      <c r="C649">
        <f>TEXT(B649,"mmm yyyy")</f>
        <v/>
      </c>
      <c r="D649">
        <f>"Q"&amp;(INT((A649-1)/13)+1)</f>
        <v/>
      </c>
      <c r="E649" t="inlineStr">
        <is>
          <t>On Premise</t>
        </is>
      </c>
      <c r="F649">
        <f>IFERROR(INDEX(ChFormat,MATCH(E649,ChName,0)),"")</f>
        <v/>
      </c>
      <c r="G649" t="inlineStr">
        <is>
          <t>SK</t>
        </is>
      </c>
      <c r="H649">
        <f>IF(A649&lt;=NWeeks,1,0)</f>
        <v/>
      </c>
      <c r="I649">
        <f>INDEX(ChLaunch,MATCH(E649,ChName,0))</f>
        <v/>
      </c>
      <c r="J649">
        <f>INDEX(ChWeeksFull,MATCH(E649,ChName,0))</f>
        <v/>
      </c>
      <c r="K649">
        <f>INDEX(ChRamp,MATCH(E649,ChName,0))</f>
        <v/>
      </c>
      <c r="L649" s="45">
        <f>MIN(1,MAX(0,(A649-I649+1)*RampSpeed/J649))</f>
        <v/>
      </c>
      <c r="M649" s="45">
        <f>IF(A649&lt;I649,0,IF(K649="S-curve",L649*L649*(3-2*L649),L649))</f>
        <v/>
      </c>
      <c r="N649" s="45">
        <f>1+(INDEX(SeasonIdx,A649)-1)*SeasonAmp</f>
        <v/>
      </c>
      <c r="O649" s="45">
        <f>IFERROR(INDEX(PSPct,MATCH(E649&amp;"|"&amp;G649,PSKey,0)),0)</f>
        <v/>
      </c>
      <c r="P649" s="46">
        <f>INDEX(ChDoorVel,MATCH(E649,ChName,0))*CalibScalar*(1+VelocityUplift)</f>
        <v/>
      </c>
      <c r="Q649" s="46" t="n">
        <v>0</v>
      </c>
      <c r="R649" s="46">
        <f>P649*O649*M649*N649*H649</f>
        <v/>
      </c>
      <c r="S649" s="46">
        <f>R649*INDEX(FmtCansPerCase,MATCH(F649,FmtName,0))</f>
        <v/>
      </c>
      <c r="T649" s="46">
        <f>S649/INDEX(FmtCansPerPack,MATCH(F649,FmtName,0))</f>
        <v/>
      </c>
      <c r="U649" s="47">
        <f>INDEX(ChBaseCP,MATCH(E649,ChName,0))*(1+INDEX(ProvMod,MATCH(G649,ProvCode,0)))*(1+PriceIndex)</f>
        <v/>
      </c>
      <c r="V649" s="47">
        <f>R649*U649*INDEX(FmtBlendedPriceIdx,MATCH(F649,FmtName,0))</f>
        <v/>
      </c>
      <c r="W649" s="47">
        <f>T649*INDEX(ProvSRP,MATCH(G649,ProvCode,0))*(1+PriceIndex)</f>
        <v/>
      </c>
      <c r="X649" s="47">
        <f>IF(GrossBasis="Wholesale",V649,W649)</f>
        <v/>
      </c>
      <c r="Y649" s="47">
        <f>R649*INDEX(FmtBlendedCogs,MATCH(F649,FmtName,0))</f>
        <v/>
      </c>
      <c r="Z649" s="47">
        <f>X649-Y649</f>
        <v/>
      </c>
    </row>
    <row r="650">
      <c r="A650" t="n">
        <v>13</v>
      </c>
      <c r="B650" s="44">
        <f>FiscalStart+(A650-1)*7</f>
        <v/>
      </c>
      <c r="C650">
        <f>TEXT(B650,"mmm yyyy")</f>
        <v/>
      </c>
      <c r="D650">
        <f>"Q"&amp;(INT((A650-1)/13)+1)</f>
        <v/>
      </c>
      <c r="E650" t="inlineStr">
        <is>
          <t>On Premise</t>
        </is>
      </c>
      <c r="F650">
        <f>IFERROR(INDEX(ChFormat,MATCH(E650,ChName,0)),"")</f>
        <v/>
      </c>
      <c r="G650" t="inlineStr">
        <is>
          <t>SK</t>
        </is>
      </c>
      <c r="H650">
        <f>IF(A650&lt;=NWeeks,1,0)</f>
        <v/>
      </c>
      <c r="I650">
        <f>INDEX(ChLaunch,MATCH(E650,ChName,0))</f>
        <v/>
      </c>
      <c r="J650">
        <f>INDEX(ChWeeksFull,MATCH(E650,ChName,0))</f>
        <v/>
      </c>
      <c r="K650">
        <f>INDEX(ChRamp,MATCH(E650,ChName,0))</f>
        <v/>
      </c>
      <c r="L650" s="45">
        <f>MIN(1,MAX(0,(A650-I650+1)*RampSpeed/J650))</f>
        <v/>
      </c>
      <c r="M650" s="45">
        <f>IF(A650&lt;I650,0,IF(K650="S-curve",L650*L650*(3-2*L650),L650))</f>
        <v/>
      </c>
      <c r="N650" s="45">
        <f>1+(INDEX(SeasonIdx,A650)-1)*SeasonAmp</f>
        <v/>
      </c>
      <c r="O650" s="45">
        <f>IFERROR(INDEX(PSPct,MATCH(E650&amp;"|"&amp;G650,PSKey,0)),0)</f>
        <v/>
      </c>
      <c r="P650" s="46">
        <f>INDEX(ChDoorVel,MATCH(E650,ChName,0))*CalibScalar*(1+VelocityUplift)</f>
        <v/>
      </c>
      <c r="Q650" s="46" t="n">
        <v>0</v>
      </c>
      <c r="R650" s="46">
        <f>P650*O650*M650*N650*H650</f>
        <v/>
      </c>
      <c r="S650" s="46">
        <f>R650*INDEX(FmtCansPerCase,MATCH(F650,FmtName,0))</f>
        <v/>
      </c>
      <c r="T650" s="46">
        <f>S650/INDEX(FmtCansPerPack,MATCH(F650,FmtName,0))</f>
        <v/>
      </c>
      <c r="U650" s="47">
        <f>INDEX(ChBaseCP,MATCH(E650,ChName,0))*(1+INDEX(ProvMod,MATCH(G650,ProvCode,0)))*(1+PriceIndex)</f>
        <v/>
      </c>
      <c r="V650" s="47">
        <f>R650*U650*INDEX(FmtBlendedPriceIdx,MATCH(F650,FmtName,0))</f>
        <v/>
      </c>
      <c r="W650" s="47">
        <f>T650*INDEX(ProvSRP,MATCH(G650,ProvCode,0))*(1+PriceIndex)</f>
        <v/>
      </c>
      <c r="X650" s="47">
        <f>IF(GrossBasis="Wholesale",V650,W650)</f>
        <v/>
      </c>
      <c r="Y650" s="47">
        <f>R650*INDEX(FmtBlendedCogs,MATCH(F650,FmtName,0))</f>
        <v/>
      </c>
      <c r="Z650" s="47">
        <f>X650-Y650</f>
        <v/>
      </c>
    </row>
    <row r="651">
      <c r="A651" t="n">
        <v>14</v>
      </c>
      <c r="B651" s="44">
        <f>FiscalStart+(A651-1)*7</f>
        <v/>
      </c>
      <c r="C651">
        <f>TEXT(B651,"mmm yyyy")</f>
        <v/>
      </c>
      <c r="D651">
        <f>"Q"&amp;(INT((A651-1)/13)+1)</f>
        <v/>
      </c>
      <c r="E651" t="inlineStr">
        <is>
          <t>On Premise</t>
        </is>
      </c>
      <c r="F651">
        <f>IFERROR(INDEX(ChFormat,MATCH(E651,ChName,0)),"")</f>
        <v/>
      </c>
      <c r="G651" t="inlineStr">
        <is>
          <t>SK</t>
        </is>
      </c>
      <c r="H651">
        <f>IF(A651&lt;=NWeeks,1,0)</f>
        <v/>
      </c>
      <c r="I651">
        <f>INDEX(ChLaunch,MATCH(E651,ChName,0))</f>
        <v/>
      </c>
      <c r="J651">
        <f>INDEX(ChWeeksFull,MATCH(E651,ChName,0))</f>
        <v/>
      </c>
      <c r="K651">
        <f>INDEX(ChRamp,MATCH(E651,ChName,0))</f>
        <v/>
      </c>
      <c r="L651" s="45">
        <f>MIN(1,MAX(0,(A651-I651+1)*RampSpeed/J651))</f>
        <v/>
      </c>
      <c r="M651" s="45">
        <f>IF(A651&lt;I651,0,IF(K651="S-curve",L651*L651*(3-2*L651),L651))</f>
        <v/>
      </c>
      <c r="N651" s="45">
        <f>1+(INDEX(SeasonIdx,A651)-1)*SeasonAmp</f>
        <v/>
      </c>
      <c r="O651" s="45">
        <f>IFERROR(INDEX(PSPct,MATCH(E651&amp;"|"&amp;G651,PSKey,0)),0)</f>
        <v/>
      </c>
      <c r="P651" s="46">
        <f>INDEX(ChDoorVel,MATCH(E651,ChName,0))*CalibScalar*(1+VelocityUplift)</f>
        <v/>
      </c>
      <c r="Q651" s="46" t="n">
        <v>0</v>
      </c>
      <c r="R651" s="46">
        <f>P651*O651*M651*N651*H651</f>
        <v/>
      </c>
      <c r="S651" s="46">
        <f>R651*INDEX(FmtCansPerCase,MATCH(F651,FmtName,0))</f>
        <v/>
      </c>
      <c r="T651" s="46">
        <f>S651/INDEX(FmtCansPerPack,MATCH(F651,FmtName,0))</f>
        <v/>
      </c>
      <c r="U651" s="47">
        <f>INDEX(ChBaseCP,MATCH(E651,ChName,0))*(1+INDEX(ProvMod,MATCH(G651,ProvCode,0)))*(1+PriceIndex)</f>
        <v/>
      </c>
      <c r="V651" s="47">
        <f>R651*U651*INDEX(FmtBlendedPriceIdx,MATCH(F651,FmtName,0))</f>
        <v/>
      </c>
      <c r="W651" s="47">
        <f>T651*INDEX(ProvSRP,MATCH(G651,ProvCode,0))*(1+PriceIndex)</f>
        <v/>
      </c>
      <c r="X651" s="47">
        <f>IF(GrossBasis="Wholesale",V651,W651)</f>
        <v/>
      </c>
      <c r="Y651" s="47">
        <f>R651*INDEX(FmtBlendedCogs,MATCH(F651,FmtName,0))</f>
        <v/>
      </c>
      <c r="Z651" s="47">
        <f>X651-Y651</f>
        <v/>
      </c>
    </row>
    <row r="652">
      <c r="A652" t="n">
        <v>15</v>
      </c>
      <c r="B652" s="44">
        <f>FiscalStart+(A652-1)*7</f>
        <v/>
      </c>
      <c r="C652">
        <f>TEXT(B652,"mmm yyyy")</f>
        <v/>
      </c>
      <c r="D652">
        <f>"Q"&amp;(INT((A652-1)/13)+1)</f>
        <v/>
      </c>
      <c r="E652" t="inlineStr">
        <is>
          <t>On Premise</t>
        </is>
      </c>
      <c r="F652">
        <f>IFERROR(INDEX(ChFormat,MATCH(E652,ChName,0)),"")</f>
        <v/>
      </c>
      <c r="G652" t="inlineStr">
        <is>
          <t>SK</t>
        </is>
      </c>
      <c r="H652">
        <f>IF(A652&lt;=NWeeks,1,0)</f>
        <v/>
      </c>
      <c r="I652">
        <f>INDEX(ChLaunch,MATCH(E652,ChName,0))</f>
        <v/>
      </c>
      <c r="J652">
        <f>INDEX(ChWeeksFull,MATCH(E652,ChName,0))</f>
        <v/>
      </c>
      <c r="K652">
        <f>INDEX(ChRamp,MATCH(E652,ChName,0))</f>
        <v/>
      </c>
      <c r="L652" s="45">
        <f>MIN(1,MAX(0,(A652-I652+1)*RampSpeed/J652))</f>
        <v/>
      </c>
      <c r="M652" s="45">
        <f>IF(A652&lt;I652,0,IF(K652="S-curve",L652*L652*(3-2*L652),L652))</f>
        <v/>
      </c>
      <c r="N652" s="45">
        <f>1+(INDEX(SeasonIdx,A652)-1)*SeasonAmp</f>
        <v/>
      </c>
      <c r="O652" s="45">
        <f>IFERROR(INDEX(PSPct,MATCH(E652&amp;"|"&amp;G652,PSKey,0)),0)</f>
        <v/>
      </c>
      <c r="P652" s="46">
        <f>INDEX(ChDoorVel,MATCH(E652,ChName,0))*CalibScalar*(1+VelocityUplift)</f>
        <v/>
      </c>
      <c r="Q652" s="46" t="n">
        <v>0</v>
      </c>
      <c r="R652" s="46">
        <f>P652*O652*M652*N652*H652</f>
        <v/>
      </c>
      <c r="S652" s="46">
        <f>R652*INDEX(FmtCansPerCase,MATCH(F652,FmtName,0))</f>
        <v/>
      </c>
      <c r="T652" s="46">
        <f>S652/INDEX(FmtCansPerPack,MATCH(F652,FmtName,0))</f>
        <v/>
      </c>
      <c r="U652" s="47">
        <f>INDEX(ChBaseCP,MATCH(E652,ChName,0))*(1+INDEX(ProvMod,MATCH(G652,ProvCode,0)))*(1+PriceIndex)</f>
        <v/>
      </c>
      <c r="V652" s="47">
        <f>R652*U652*INDEX(FmtBlendedPriceIdx,MATCH(F652,FmtName,0))</f>
        <v/>
      </c>
      <c r="W652" s="47">
        <f>T652*INDEX(ProvSRP,MATCH(G652,ProvCode,0))*(1+PriceIndex)</f>
        <v/>
      </c>
      <c r="X652" s="47">
        <f>IF(GrossBasis="Wholesale",V652,W652)</f>
        <v/>
      </c>
      <c r="Y652" s="47">
        <f>R652*INDEX(FmtBlendedCogs,MATCH(F652,FmtName,0))</f>
        <v/>
      </c>
      <c r="Z652" s="47">
        <f>X652-Y652</f>
        <v/>
      </c>
    </row>
    <row r="653">
      <c r="A653" t="n">
        <v>16</v>
      </c>
      <c r="B653" s="44">
        <f>FiscalStart+(A653-1)*7</f>
        <v/>
      </c>
      <c r="C653">
        <f>TEXT(B653,"mmm yyyy")</f>
        <v/>
      </c>
      <c r="D653">
        <f>"Q"&amp;(INT((A653-1)/13)+1)</f>
        <v/>
      </c>
      <c r="E653" t="inlineStr">
        <is>
          <t>On Premise</t>
        </is>
      </c>
      <c r="F653">
        <f>IFERROR(INDEX(ChFormat,MATCH(E653,ChName,0)),"")</f>
        <v/>
      </c>
      <c r="G653" t="inlineStr">
        <is>
          <t>SK</t>
        </is>
      </c>
      <c r="H653">
        <f>IF(A653&lt;=NWeeks,1,0)</f>
        <v/>
      </c>
      <c r="I653">
        <f>INDEX(ChLaunch,MATCH(E653,ChName,0))</f>
        <v/>
      </c>
      <c r="J653">
        <f>INDEX(ChWeeksFull,MATCH(E653,ChName,0))</f>
        <v/>
      </c>
      <c r="K653">
        <f>INDEX(ChRamp,MATCH(E653,ChName,0))</f>
        <v/>
      </c>
      <c r="L653" s="45">
        <f>MIN(1,MAX(0,(A653-I653+1)*RampSpeed/J653))</f>
        <v/>
      </c>
      <c r="M653" s="45">
        <f>IF(A653&lt;I653,0,IF(K653="S-curve",L653*L653*(3-2*L653),L653))</f>
        <v/>
      </c>
      <c r="N653" s="45">
        <f>1+(INDEX(SeasonIdx,A653)-1)*SeasonAmp</f>
        <v/>
      </c>
      <c r="O653" s="45">
        <f>IFERROR(INDEX(PSPct,MATCH(E653&amp;"|"&amp;G653,PSKey,0)),0)</f>
        <v/>
      </c>
      <c r="P653" s="46">
        <f>INDEX(ChDoorVel,MATCH(E653,ChName,0))*CalibScalar*(1+VelocityUplift)</f>
        <v/>
      </c>
      <c r="Q653" s="46" t="n">
        <v>0</v>
      </c>
      <c r="R653" s="46">
        <f>P653*O653*M653*N653*H653</f>
        <v/>
      </c>
      <c r="S653" s="46">
        <f>R653*INDEX(FmtCansPerCase,MATCH(F653,FmtName,0))</f>
        <v/>
      </c>
      <c r="T653" s="46">
        <f>S653/INDEX(FmtCansPerPack,MATCH(F653,FmtName,0))</f>
        <v/>
      </c>
      <c r="U653" s="47">
        <f>INDEX(ChBaseCP,MATCH(E653,ChName,0))*(1+INDEX(ProvMod,MATCH(G653,ProvCode,0)))*(1+PriceIndex)</f>
        <v/>
      </c>
      <c r="V653" s="47">
        <f>R653*U653*INDEX(FmtBlendedPriceIdx,MATCH(F653,FmtName,0))</f>
        <v/>
      </c>
      <c r="W653" s="47">
        <f>T653*INDEX(ProvSRP,MATCH(G653,ProvCode,0))*(1+PriceIndex)</f>
        <v/>
      </c>
      <c r="X653" s="47">
        <f>IF(GrossBasis="Wholesale",V653,W653)</f>
        <v/>
      </c>
      <c r="Y653" s="47">
        <f>R653*INDEX(FmtBlendedCogs,MATCH(F653,FmtName,0))</f>
        <v/>
      </c>
      <c r="Z653" s="47">
        <f>X653-Y653</f>
        <v/>
      </c>
    </row>
    <row r="654">
      <c r="A654" t="n">
        <v>17</v>
      </c>
      <c r="B654" s="44">
        <f>FiscalStart+(A654-1)*7</f>
        <v/>
      </c>
      <c r="C654">
        <f>TEXT(B654,"mmm yyyy")</f>
        <v/>
      </c>
      <c r="D654">
        <f>"Q"&amp;(INT((A654-1)/13)+1)</f>
        <v/>
      </c>
      <c r="E654" t="inlineStr">
        <is>
          <t>On Premise</t>
        </is>
      </c>
      <c r="F654">
        <f>IFERROR(INDEX(ChFormat,MATCH(E654,ChName,0)),"")</f>
        <v/>
      </c>
      <c r="G654" t="inlineStr">
        <is>
          <t>SK</t>
        </is>
      </c>
      <c r="H654">
        <f>IF(A654&lt;=NWeeks,1,0)</f>
        <v/>
      </c>
      <c r="I654">
        <f>INDEX(ChLaunch,MATCH(E654,ChName,0))</f>
        <v/>
      </c>
      <c r="J654">
        <f>INDEX(ChWeeksFull,MATCH(E654,ChName,0))</f>
        <v/>
      </c>
      <c r="K654">
        <f>INDEX(ChRamp,MATCH(E654,ChName,0))</f>
        <v/>
      </c>
      <c r="L654" s="45">
        <f>MIN(1,MAX(0,(A654-I654+1)*RampSpeed/J654))</f>
        <v/>
      </c>
      <c r="M654" s="45">
        <f>IF(A654&lt;I654,0,IF(K654="S-curve",L654*L654*(3-2*L654),L654))</f>
        <v/>
      </c>
      <c r="N654" s="45">
        <f>1+(INDEX(SeasonIdx,A654)-1)*SeasonAmp</f>
        <v/>
      </c>
      <c r="O654" s="45">
        <f>IFERROR(INDEX(PSPct,MATCH(E654&amp;"|"&amp;G654,PSKey,0)),0)</f>
        <v/>
      </c>
      <c r="P654" s="46">
        <f>INDEX(ChDoorVel,MATCH(E654,ChName,0))*CalibScalar*(1+VelocityUplift)</f>
        <v/>
      </c>
      <c r="Q654" s="46" t="n">
        <v>0</v>
      </c>
      <c r="R654" s="46">
        <f>P654*O654*M654*N654*H654</f>
        <v/>
      </c>
      <c r="S654" s="46">
        <f>R654*INDEX(FmtCansPerCase,MATCH(F654,FmtName,0))</f>
        <v/>
      </c>
      <c r="T654" s="46">
        <f>S654/INDEX(FmtCansPerPack,MATCH(F654,FmtName,0))</f>
        <v/>
      </c>
      <c r="U654" s="47">
        <f>INDEX(ChBaseCP,MATCH(E654,ChName,0))*(1+INDEX(ProvMod,MATCH(G654,ProvCode,0)))*(1+PriceIndex)</f>
        <v/>
      </c>
      <c r="V654" s="47">
        <f>R654*U654*INDEX(FmtBlendedPriceIdx,MATCH(F654,FmtName,0))</f>
        <v/>
      </c>
      <c r="W654" s="47">
        <f>T654*INDEX(ProvSRP,MATCH(G654,ProvCode,0))*(1+PriceIndex)</f>
        <v/>
      </c>
      <c r="X654" s="47">
        <f>IF(GrossBasis="Wholesale",V654,W654)</f>
        <v/>
      </c>
      <c r="Y654" s="47">
        <f>R654*INDEX(FmtBlendedCogs,MATCH(F654,FmtName,0))</f>
        <v/>
      </c>
      <c r="Z654" s="47">
        <f>X654-Y654</f>
        <v/>
      </c>
    </row>
    <row r="655">
      <c r="A655" t="n">
        <v>18</v>
      </c>
      <c r="B655" s="44">
        <f>FiscalStart+(A655-1)*7</f>
        <v/>
      </c>
      <c r="C655">
        <f>TEXT(B655,"mmm yyyy")</f>
        <v/>
      </c>
      <c r="D655">
        <f>"Q"&amp;(INT((A655-1)/13)+1)</f>
        <v/>
      </c>
      <c r="E655" t="inlineStr">
        <is>
          <t>On Premise</t>
        </is>
      </c>
      <c r="F655">
        <f>IFERROR(INDEX(ChFormat,MATCH(E655,ChName,0)),"")</f>
        <v/>
      </c>
      <c r="G655" t="inlineStr">
        <is>
          <t>SK</t>
        </is>
      </c>
      <c r="H655">
        <f>IF(A655&lt;=NWeeks,1,0)</f>
        <v/>
      </c>
      <c r="I655">
        <f>INDEX(ChLaunch,MATCH(E655,ChName,0))</f>
        <v/>
      </c>
      <c r="J655">
        <f>INDEX(ChWeeksFull,MATCH(E655,ChName,0))</f>
        <v/>
      </c>
      <c r="K655">
        <f>INDEX(ChRamp,MATCH(E655,ChName,0))</f>
        <v/>
      </c>
      <c r="L655" s="45">
        <f>MIN(1,MAX(0,(A655-I655+1)*RampSpeed/J655))</f>
        <v/>
      </c>
      <c r="M655" s="45">
        <f>IF(A655&lt;I655,0,IF(K655="S-curve",L655*L655*(3-2*L655),L655))</f>
        <v/>
      </c>
      <c r="N655" s="45">
        <f>1+(INDEX(SeasonIdx,A655)-1)*SeasonAmp</f>
        <v/>
      </c>
      <c r="O655" s="45">
        <f>IFERROR(INDEX(PSPct,MATCH(E655&amp;"|"&amp;G655,PSKey,0)),0)</f>
        <v/>
      </c>
      <c r="P655" s="46">
        <f>INDEX(ChDoorVel,MATCH(E655,ChName,0))*CalibScalar*(1+VelocityUplift)</f>
        <v/>
      </c>
      <c r="Q655" s="46" t="n">
        <v>0</v>
      </c>
      <c r="R655" s="46">
        <f>P655*O655*M655*N655*H655</f>
        <v/>
      </c>
      <c r="S655" s="46">
        <f>R655*INDEX(FmtCansPerCase,MATCH(F655,FmtName,0))</f>
        <v/>
      </c>
      <c r="T655" s="46">
        <f>S655/INDEX(FmtCansPerPack,MATCH(F655,FmtName,0))</f>
        <v/>
      </c>
      <c r="U655" s="47">
        <f>INDEX(ChBaseCP,MATCH(E655,ChName,0))*(1+INDEX(ProvMod,MATCH(G655,ProvCode,0)))*(1+PriceIndex)</f>
        <v/>
      </c>
      <c r="V655" s="47">
        <f>R655*U655*INDEX(FmtBlendedPriceIdx,MATCH(F655,FmtName,0))</f>
        <v/>
      </c>
      <c r="W655" s="47">
        <f>T655*INDEX(ProvSRP,MATCH(G655,ProvCode,0))*(1+PriceIndex)</f>
        <v/>
      </c>
      <c r="X655" s="47">
        <f>IF(GrossBasis="Wholesale",V655,W655)</f>
        <v/>
      </c>
      <c r="Y655" s="47">
        <f>R655*INDEX(FmtBlendedCogs,MATCH(F655,FmtName,0))</f>
        <v/>
      </c>
      <c r="Z655" s="47">
        <f>X655-Y655</f>
        <v/>
      </c>
    </row>
    <row r="656">
      <c r="A656" t="n">
        <v>19</v>
      </c>
      <c r="B656" s="44">
        <f>FiscalStart+(A656-1)*7</f>
        <v/>
      </c>
      <c r="C656">
        <f>TEXT(B656,"mmm yyyy")</f>
        <v/>
      </c>
      <c r="D656">
        <f>"Q"&amp;(INT((A656-1)/13)+1)</f>
        <v/>
      </c>
      <c r="E656" t="inlineStr">
        <is>
          <t>On Premise</t>
        </is>
      </c>
      <c r="F656">
        <f>IFERROR(INDEX(ChFormat,MATCH(E656,ChName,0)),"")</f>
        <v/>
      </c>
      <c r="G656" t="inlineStr">
        <is>
          <t>SK</t>
        </is>
      </c>
      <c r="H656">
        <f>IF(A656&lt;=NWeeks,1,0)</f>
        <v/>
      </c>
      <c r="I656">
        <f>INDEX(ChLaunch,MATCH(E656,ChName,0))</f>
        <v/>
      </c>
      <c r="J656">
        <f>INDEX(ChWeeksFull,MATCH(E656,ChName,0))</f>
        <v/>
      </c>
      <c r="K656">
        <f>INDEX(ChRamp,MATCH(E656,ChName,0))</f>
        <v/>
      </c>
      <c r="L656" s="45">
        <f>MIN(1,MAX(0,(A656-I656+1)*RampSpeed/J656))</f>
        <v/>
      </c>
      <c r="M656" s="45">
        <f>IF(A656&lt;I656,0,IF(K656="S-curve",L656*L656*(3-2*L656),L656))</f>
        <v/>
      </c>
      <c r="N656" s="45">
        <f>1+(INDEX(SeasonIdx,A656)-1)*SeasonAmp</f>
        <v/>
      </c>
      <c r="O656" s="45">
        <f>IFERROR(INDEX(PSPct,MATCH(E656&amp;"|"&amp;G656,PSKey,0)),0)</f>
        <v/>
      </c>
      <c r="P656" s="46">
        <f>INDEX(ChDoorVel,MATCH(E656,ChName,0))*CalibScalar*(1+VelocityUplift)</f>
        <v/>
      </c>
      <c r="Q656" s="46" t="n">
        <v>0</v>
      </c>
      <c r="R656" s="46">
        <f>P656*O656*M656*N656*H656</f>
        <v/>
      </c>
      <c r="S656" s="46">
        <f>R656*INDEX(FmtCansPerCase,MATCH(F656,FmtName,0))</f>
        <v/>
      </c>
      <c r="T656" s="46">
        <f>S656/INDEX(FmtCansPerPack,MATCH(F656,FmtName,0))</f>
        <v/>
      </c>
      <c r="U656" s="47">
        <f>INDEX(ChBaseCP,MATCH(E656,ChName,0))*(1+INDEX(ProvMod,MATCH(G656,ProvCode,0)))*(1+PriceIndex)</f>
        <v/>
      </c>
      <c r="V656" s="47">
        <f>R656*U656*INDEX(FmtBlendedPriceIdx,MATCH(F656,FmtName,0))</f>
        <v/>
      </c>
      <c r="W656" s="47">
        <f>T656*INDEX(ProvSRP,MATCH(G656,ProvCode,0))*(1+PriceIndex)</f>
        <v/>
      </c>
      <c r="X656" s="47">
        <f>IF(GrossBasis="Wholesale",V656,W656)</f>
        <v/>
      </c>
      <c r="Y656" s="47">
        <f>R656*INDEX(FmtBlendedCogs,MATCH(F656,FmtName,0))</f>
        <v/>
      </c>
      <c r="Z656" s="47">
        <f>X656-Y656</f>
        <v/>
      </c>
    </row>
    <row r="657">
      <c r="A657" t="n">
        <v>20</v>
      </c>
      <c r="B657" s="44">
        <f>FiscalStart+(A657-1)*7</f>
        <v/>
      </c>
      <c r="C657">
        <f>TEXT(B657,"mmm yyyy")</f>
        <v/>
      </c>
      <c r="D657">
        <f>"Q"&amp;(INT((A657-1)/13)+1)</f>
        <v/>
      </c>
      <c r="E657" t="inlineStr">
        <is>
          <t>On Premise</t>
        </is>
      </c>
      <c r="F657">
        <f>IFERROR(INDEX(ChFormat,MATCH(E657,ChName,0)),"")</f>
        <v/>
      </c>
      <c r="G657" t="inlineStr">
        <is>
          <t>SK</t>
        </is>
      </c>
      <c r="H657">
        <f>IF(A657&lt;=NWeeks,1,0)</f>
        <v/>
      </c>
      <c r="I657">
        <f>INDEX(ChLaunch,MATCH(E657,ChName,0))</f>
        <v/>
      </c>
      <c r="J657">
        <f>INDEX(ChWeeksFull,MATCH(E657,ChName,0))</f>
        <v/>
      </c>
      <c r="K657">
        <f>INDEX(ChRamp,MATCH(E657,ChName,0))</f>
        <v/>
      </c>
      <c r="L657" s="45">
        <f>MIN(1,MAX(0,(A657-I657+1)*RampSpeed/J657))</f>
        <v/>
      </c>
      <c r="M657" s="45">
        <f>IF(A657&lt;I657,0,IF(K657="S-curve",L657*L657*(3-2*L657),L657))</f>
        <v/>
      </c>
      <c r="N657" s="45">
        <f>1+(INDEX(SeasonIdx,A657)-1)*SeasonAmp</f>
        <v/>
      </c>
      <c r="O657" s="45">
        <f>IFERROR(INDEX(PSPct,MATCH(E657&amp;"|"&amp;G657,PSKey,0)),0)</f>
        <v/>
      </c>
      <c r="P657" s="46">
        <f>INDEX(ChDoorVel,MATCH(E657,ChName,0))*CalibScalar*(1+VelocityUplift)</f>
        <v/>
      </c>
      <c r="Q657" s="46" t="n">
        <v>0</v>
      </c>
      <c r="R657" s="46">
        <f>P657*O657*M657*N657*H657</f>
        <v/>
      </c>
      <c r="S657" s="46">
        <f>R657*INDEX(FmtCansPerCase,MATCH(F657,FmtName,0))</f>
        <v/>
      </c>
      <c r="T657" s="46">
        <f>S657/INDEX(FmtCansPerPack,MATCH(F657,FmtName,0))</f>
        <v/>
      </c>
      <c r="U657" s="47">
        <f>INDEX(ChBaseCP,MATCH(E657,ChName,0))*(1+INDEX(ProvMod,MATCH(G657,ProvCode,0)))*(1+PriceIndex)</f>
        <v/>
      </c>
      <c r="V657" s="47">
        <f>R657*U657*INDEX(FmtBlendedPriceIdx,MATCH(F657,FmtName,0))</f>
        <v/>
      </c>
      <c r="W657" s="47">
        <f>T657*INDEX(ProvSRP,MATCH(G657,ProvCode,0))*(1+PriceIndex)</f>
        <v/>
      </c>
      <c r="X657" s="47">
        <f>IF(GrossBasis="Wholesale",V657,W657)</f>
        <v/>
      </c>
      <c r="Y657" s="47">
        <f>R657*INDEX(FmtBlendedCogs,MATCH(F657,FmtName,0))</f>
        <v/>
      </c>
      <c r="Z657" s="47">
        <f>X657-Y657</f>
        <v/>
      </c>
    </row>
    <row r="658">
      <c r="A658" t="n">
        <v>21</v>
      </c>
      <c r="B658" s="44">
        <f>FiscalStart+(A658-1)*7</f>
        <v/>
      </c>
      <c r="C658">
        <f>TEXT(B658,"mmm yyyy")</f>
        <v/>
      </c>
      <c r="D658">
        <f>"Q"&amp;(INT((A658-1)/13)+1)</f>
        <v/>
      </c>
      <c r="E658" t="inlineStr">
        <is>
          <t>On Premise</t>
        </is>
      </c>
      <c r="F658">
        <f>IFERROR(INDEX(ChFormat,MATCH(E658,ChName,0)),"")</f>
        <v/>
      </c>
      <c r="G658" t="inlineStr">
        <is>
          <t>SK</t>
        </is>
      </c>
      <c r="H658">
        <f>IF(A658&lt;=NWeeks,1,0)</f>
        <v/>
      </c>
      <c r="I658">
        <f>INDEX(ChLaunch,MATCH(E658,ChName,0))</f>
        <v/>
      </c>
      <c r="J658">
        <f>INDEX(ChWeeksFull,MATCH(E658,ChName,0))</f>
        <v/>
      </c>
      <c r="K658">
        <f>INDEX(ChRamp,MATCH(E658,ChName,0))</f>
        <v/>
      </c>
      <c r="L658" s="45">
        <f>MIN(1,MAX(0,(A658-I658+1)*RampSpeed/J658))</f>
        <v/>
      </c>
      <c r="M658" s="45">
        <f>IF(A658&lt;I658,0,IF(K658="S-curve",L658*L658*(3-2*L658),L658))</f>
        <v/>
      </c>
      <c r="N658" s="45">
        <f>1+(INDEX(SeasonIdx,A658)-1)*SeasonAmp</f>
        <v/>
      </c>
      <c r="O658" s="45">
        <f>IFERROR(INDEX(PSPct,MATCH(E658&amp;"|"&amp;G658,PSKey,0)),0)</f>
        <v/>
      </c>
      <c r="P658" s="46">
        <f>INDEX(ChDoorVel,MATCH(E658,ChName,0))*CalibScalar*(1+VelocityUplift)</f>
        <v/>
      </c>
      <c r="Q658" s="46" t="n">
        <v>0</v>
      </c>
      <c r="R658" s="46">
        <f>P658*O658*M658*N658*H658</f>
        <v/>
      </c>
      <c r="S658" s="46">
        <f>R658*INDEX(FmtCansPerCase,MATCH(F658,FmtName,0))</f>
        <v/>
      </c>
      <c r="T658" s="46">
        <f>S658/INDEX(FmtCansPerPack,MATCH(F658,FmtName,0))</f>
        <v/>
      </c>
      <c r="U658" s="47">
        <f>INDEX(ChBaseCP,MATCH(E658,ChName,0))*(1+INDEX(ProvMod,MATCH(G658,ProvCode,0)))*(1+PriceIndex)</f>
        <v/>
      </c>
      <c r="V658" s="47">
        <f>R658*U658*INDEX(FmtBlendedPriceIdx,MATCH(F658,FmtName,0))</f>
        <v/>
      </c>
      <c r="W658" s="47">
        <f>T658*INDEX(ProvSRP,MATCH(G658,ProvCode,0))*(1+PriceIndex)</f>
        <v/>
      </c>
      <c r="X658" s="47">
        <f>IF(GrossBasis="Wholesale",V658,W658)</f>
        <v/>
      </c>
      <c r="Y658" s="47">
        <f>R658*INDEX(FmtBlendedCogs,MATCH(F658,FmtName,0))</f>
        <v/>
      </c>
      <c r="Z658" s="47">
        <f>X658-Y658</f>
        <v/>
      </c>
    </row>
    <row r="659">
      <c r="A659" t="n">
        <v>22</v>
      </c>
      <c r="B659" s="44">
        <f>FiscalStart+(A659-1)*7</f>
        <v/>
      </c>
      <c r="C659">
        <f>TEXT(B659,"mmm yyyy")</f>
        <v/>
      </c>
      <c r="D659">
        <f>"Q"&amp;(INT((A659-1)/13)+1)</f>
        <v/>
      </c>
      <c r="E659" t="inlineStr">
        <is>
          <t>On Premise</t>
        </is>
      </c>
      <c r="F659">
        <f>IFERROR(INDEX(ChFormat,MATCH(E659,ChName,0)),"")</f>
        <v/>
      </c>
      <c r="G659" t="inlineStr">
        <is>
          <t>SK</t>
        </is>
      </c>
      <c r="H659">
        <f>IF(A659&lt;=NWeeks,1,0)</f>
        <v/>
      </c>
      <c r="I659">
        <f>INDEX(ChLaunch,MATCH(E659,ChName,0))</f>
        <v/>
      </c>
      <c r="J659">
        <f>INDEX(ChWeeksFull,MATCH(E659,ChName,0))</f>
        <v/>
      </c>
      <c r="K659">
        <f>INDEX(ChRamp,MATCH(E659,ChName,0))</f>
        <v/>
      </c>
      <c r="L659" s="45">
        <f>MIN(1,MAX(0,(A659-I659+1)*RampSpeed/J659))</f>
        <v/>
      </c>
      <c r="M659" s="45">
        <f>IF(A659&lt;I659,0,IF(K659="S-curve",L659*L659*(3-2*L659),L659))</f>
        <v/>
      </c>
      <c r="N659" s="45">
        <f>1+(INDEX(SeasonIdx,A659)-1)*SeasonAmp</f>
        <v/>
      </c>
      <c r="O659" s="45">
        <f>IFERROR(INDEX(PSPct,MATCH(E659&amp;"|"&amp;G659,PSKey,0)),0)</f>
        <v/>
      </c>
      <c r="P659" s="46">
        <f>INDEX(ChDoorVel,MATCH(E659,ChName,0))*CalibScalar*(1+VelocityUplift)</f>
        <v/>
      </c>
      <c r="Q659" s="46" t="n">
        <v>0</v>
      </c>
      <c r="R659" s="46">
        <f>P659*O659*M659*N659*H659</f>
        <v/>
      </c>
      <c r="S659" s="46">
        <f>R659*INDEX(FmtCansPerCase,MATCH(F659,FmtName,0))</f>
        <v/>
      </c>
      <c r="T659" s="46">
        <f>S659/INDEX(FmtCansPerPack,MATCH(F659,FmtName,0))</f>
        <v/>
      </c>
      <c r="U659" s="47">
        <f>INDEX(ChBaseCP,MATCH(E659,ChName,0))*(1+INDEX(ProvMod,MATCH(G659,ProvCode,0)))*(1+PriceIndex)</f>
        <v/>
      </c>
      <c r="V659" s="47">
        <f>R659*U659*INDEX(FmtBlendedPriceIdx,MATCH(F659,FmtName,0))</f>
        <v/>
      </c>
      <c r="W659" s="47">
        <f>T659*INDEX(ProvSRP,MATCH(G659,ProvCode,0))*(1+PriceIndex)</f>
        <v/>
      </c>
      <c r="X659" s="47">
        <f>IF(GrossBasis="Wholesale",V659,W659)</f>
        <v/>
      </c>
      <c r="Y659" s="47">
        <f>R659*INDEX(FmtBlendedCogs,MATCH(F659,FmtName,0))</f>
        <v/>
      </c>
      <c r="Z659" s="47">
        <f>X659-Y659</f>
        <v/>
      </c>
    </row>
    <row r="660">
      <c r="A660" t="n">
        <v>23</v>
      </c>
      <c r="B660" s="44">
        <f>FiscalStart+(A660-1)*7</f>
        <v/>
      </c>
      <c r="C660">
        <f>TEXT(B660,"mmm yyyy")</f>
        <v/>
      </c>
      <c r="D660">
        <f>"Q"&amp;(INT((A660-1)/13)+1)</f>
        <v/>
      </c>
      <c r="E660" t="inlineStr">
        <is>
          <t>On Premise</t>
        </is>
      </c>
      <c r="F660">
        <f>IFERROR(INDEX(ChFormat,MATCH(E660,ChName,0)),"")</f>
        <v/>
      </c>
      <c r="G660" t="inlineStr">
        <is>
          <t>SK</t>
        </is>
      </c>
      <c r="H660">
        <f>IF(A660&lt;=NWeeks,1,0)</f>
        <v/>
      </c>
      <c r="I660">
        <f>INDEX(ChLaunch,MATCH(E660,ChName,0))</f>
        <v/>
      </c>
      <c r="J660">
        <f>INDEX(ChWeeksFull,MATCH(E660,ChName,0))</f>
        <v/>
      </c>
      <c r="K660">
        <f>INDEX(ChRamp,MATCH(E660,ChName,0))</f>
        <v/>
      </c>
      <c r="L660" s="45">
        <f>MIN(1,MAX(0,(A660-I660+1)*RampSpeed/J660))</f>
        <v/>
      </c>
      <c r="M660" s="45">
        <f>IF(A660&lt;I660,0,IF(K660="S-curve",L660*L660*(3-2*L660),L660))</f>
        <v/>
      </c>
      <c r="N660" s="45">
        <f>1+(INDEX(SeasonIdx,A660)-1)*SeasonAmp</f>
        <v/>
      </c>
      <c r="O660" s="45">
        <f>IFERROR(INDEX(PSPct,MATCH(E660&amp;"|"&amp;G660,PSKey,0)),0)</f>
        <v/>
      </c>
      <c r="P660" s="46">
        <f>INDEX(ChDoorVel,MATCH(E660,ChName,0))*CalibScalar*(1+VelocityUplift)</f>
        <v/>
      </c>
      <c r="Q660" s="46" t="n">
        <v>0</v>
      </c>
      <c r="R660" s="46">
        <f>P660*O660*M660*N660*H660</f>
        <v/>
      </c>
      <c r="S660" s="46">
        <f>R660*INDEX(FmtCansPerCase,MATCH(F660,FmtName,0))</f>
        <v/>
      </c>
      <c r="T660" s="46">
        <f>S660/INDEX(FmtCansPerPack,MATCH(F660,FmtName,0))</f>
        <v/>
      </c>
      <c r="U660" s="47">
        <f>INDEX(ChBaseCP,MATCH(E660,ChName,0))*(1+INDEX(ProvMod,MATCH(G660,ProvCode,0)))*(1+PriceIndex)</f>
        <v/>
      </c>
      <c r="V660" s="47">
        <f>R660*U660*INDEX(FmtBlendedPriceIdx,MATCH(F660,FmtName,0))</f>
        <v/>
      </c>
      <c r="W660" s="47">
        <f>T660*INDEX(ProvSRP,MATCH(G660,ProvCode,0))*(1+PriceIndex)</f>
        <v/>
      </c>
      <c r="X660" s="47">
        <f>IF(GrossBasis="Wholesale",V660,W660)</f>
        <v/>
      </c>
      <c r="Y660" s="47">
        <f>R660*INDEX(FmtBlendedCogs,MATCH(F660,FmtName,0))</f>
        <v/>
      </c>
      <c r="Z660" s="47">
        <f>X660-Y660</f>
        <v/>
      </c>
    </row>
    <row r="661">
      <c r="A661" t="n">
        <v>24</v>
      </c>
      <c r="B661" s="44">
        <f>FiscalStart+(A661-1)*7</f>
        <v/>
      </c>
      <c r="C661">
        <f>TEXT(B661,"mmm yyyy")</f>
        <v/>
      </c>
      <c r="D661">
        <f>"Q"&amp;(INT((A661-1)/13)+1)</f>
        <v/>
      </c>
      <c r="E661" t="inlineStr">
        <is>
          <t>On Premise</t>
        </is>
      </c>
      <c r="F661">
        <f>IFERROR(INDEX(ChFormat,MATCH(E661,ChName,0)),"")</f>
        <v/>
      </c>
      <c r="G661" t="inlineStr">
        <is>
          <t>SK</t>
        </is>
      </c>
      <c r="H661">
        <f>IF(A661&lt;=NWeeks,1,0)</f>
        <v/>
      </c>
      <c r="I661">
        <f>INDEX(ChLaunch,MATCH(E661,ChName,0))</f>
        <v/>
      </c>
      <c r="J661">
        <f>INDEX(ChWeeksFull,MATCH(E661,ChName,0))</f>
        <v/>
      </c>
      <c r="K661">
        <f>INDEX(ChRamp,MATCH(E661,ChName,0))</f>
        <v/>
      </c>
      <c r="L661" s="45">
        <f>MIN(1,MAX(0,(A661-I661+1)*RampSpeed/J661))</f>
        <v/>
      </c>
      <c r="M661" s="45">
        <f>IF(A661&lt;I661,0,IF(K661="S-curve",L661*L661*(3-2*L661),L661))</f>
        <v/>
      </c>
      <c r="N661" s="45">
        <f>1+(INDEX(SeasonIdx,A661)-1)*SeasonAmp</f>
        <v/>
      </c>
      <c r="O661" s="45">
        <f>IFERROR(INDEX(PSPct,MATCH(E661&amp;"|"&amp;G661,PSKey,0)),0)</f>
        <v/>
      </c>
      <c r="P661" s="46">
        <f>INDEX(ChDoorVel,MATCH(E661,ChName,0))*CalibScalar*(1+VelocityUplift)</f>
        <v/>
      </c>
      <c r="Q661" s="46" t="n">
        <v>0</v>
      </c>
      <c r="R661" s="46">
        <f>P661*O661*M661*N661*H661</f>
        <v/>
      </c>
      <c r="S661" s="46">
        <f>R661*INDEX(FmtCansPerCase,MATCH(F661,FmtName,0))</f>
        <v/>
      </c>
      <c r="T661" s="46">
        <f>S661/INDEX(FmtCansPerPack,MATCH(F661,FmtName,0))</f>
        <v/>
      </c>
      <c r="U661" s="47">
        <f>INDEX(ChBaseCP,MATCH(E661,ChName,0))*(1+INDEX(ProvMod,MATCH(G661,ProvCode,0)))*(1+PriceIndex)</f>
        <v/>
      </c>
      <c r="V661" s="47">
        <f>R661*U661*INDEX(FmtBlendedPriceIdx,MATCH(F661,FmtName,0))</f>
        <v/>
      </c>
      <c r="W661" s="47">
        <f>T661*INDEX(ProvSRP,MATCH(G661,ProvCode,0))*(1+PriceIndex)</f>
        <v/>
      </c>
      <c r="X661" s="47">
        <f>IF(GrossBasis="Wholesale",V661,W661)</f>
        <v/>
      </c>
      <c r="Y661" s="47">
        <f>R661*INDEX(FmtBlendedCogs,MATCH(F661,FmtName,0))</f>
        <v/>
      </c>
      <c r="Z661" s="47">
        <f>X661-Y661</f>
        <v/>
      </c>
    </row>
    <row r="662">
      <c r="A662" t="n">
        <v>25</v>
      </c>
      <c r="B662" s="44">
        <f>FiscalStart+(A662-1)*7</f>
        <v/>
      </c>
      <c r="C662">
        <f>TEXT(B662,"mmm yyyy")</f>
        <v/>
      </c>
      <c r="D662">
        <f>"Q"&amp;(INT((A662-1)/13)+1)</f>
        <v/>
      </c>
      <c r="E662" t="inlineStr">
        <is>
          <t>On Premise</t>
        </is>
      </c>
      <c r="F662">
        <f>IFERROR(INDEX(ChFormat,MATCH(E662,ChName,0)),"")</f>
        <v/>
      </c>
      <c r="G662" t="inlineStr">
        <is>
          <t>SK</t>
        </is>
      </c>
      <c r="H662">
        <f>IF(A662&lt;=NWeeks,1,0)</f>
        <v/>
      </c>
      <c r="I662">
        <f>INDEX(ChLaunch,MATCH(E662,ChName,0))</f>
        <v/>
      </c>
      <c r="J662">
        <f>INDEX(ChWeeksFull,MATCH(E662,ChName,0))</f>
        <v/>
      </c>
      <c r="K662">
        <f>INDEX(ChRamp,MATCH(E662,ChName,0))</f>
        <v/>
      </c>
      <c r="L662" s="45">
        <f>MIN(1,MAX(0,(A662-I662+1)*RampSpeed/J662))</f>
        <v/>
      </c>
      <c r="M662" s="45">
        <f>IF(A662&lt;I662,0,IF(K662="S-curve",L662*L662*(3-2*L662),L662))</f>
        <v/>
      </c>
      <c r="N662" s="45">
        <f>1+(INDEX(SeasonIdx,A662)-1)*SeasonAmp</f>
        <v/>
      </c>
      <c r="O662" s="45">
        <f>IFERROR(INDEX(PSPct,MATCH(E662&amp;"|"&amp;G662,PSKey,0)),0)</f>
        <v/>
      </c>
      <c r="P662" s="46">
        <f>INDEX(ChDoorVel,MATCH(E662,ChName,0))*CalibScalar*(1+VelocityUplift)</f>
        <v/>
      </c>
      <c r="Q662" s="46" t="n">
        <v>0</v>
      </c>
      <c r="R662" s="46">
        <f>P662*O662*M662*N662*H662</f>
        <v/>
      </c>
      <c r="S662" s="46">
        <f>R662*INDEX(FmtCansPerCase,MATCH(F662,FmtName,0))</f>
        <v/>
      </c>
      <c r="T662" s="46">
        <f>S662/INDEX(FmtCansPerPack,MATCH(F662,FmtName,0))</f>
        <v/>
      </c>
      <c r="U662" s="47">
        <f>INDEX(ChBaseCP,MATCH(E662,ChName,0))*(1+INDEX(ProvMod,MATCH(G662,ProvCode,0)))*(1+PriceIndex)</f>
        <v/>
      </c>
      <c r="V662" s="47">
        <f>R662*U662*INDEX(FmtBlendedPriceIdx,MATCH(F662,FmtName,0))</f>
        <v/>
      </c>
      <c r="W662" s="47">
        <f>T662*INDEX(ProvSRP,MATCH(G662,ProvCode,0))*(1+PriceIndex)</f>
        <v/>
      </c>
      <c r="X662" s="47">
        <f>IF(GrossBasis="Wholesale",V662,W662)</f>
        <v/>
      </c>
      <c r="Y662" s="47">
        <f>R662*INDEX(FmtBlendedCogs,MATCH(F662,FmtName,0))</f>
        <v/>
      </c>
      <c r="Z662" s="47">
        <f>X662-Y662</f>
        <v/>
      </c>
    </row>
    <row r="663">
      <c r="A663" t="n">
        <v>26</v>
      </c>
      <c r="B663" s="44">
        <f>FiscalStart+(A663-1)*7</f>
        <v/>
      </c>
      <c r="C663">
        <f>TEXT(B663,"mmm yyyy")</f>
        <v/>
      </c>
      <c r="D663">
        <f>"Q"&amp;(INT((A663-1)/13)+1)</f>
        <v/>
      </c>
      <c r="E663" t="inlineStr">
        <is>
          <t>On Premise</t>
        </is>
      </c>
      <c r="F663">
        <f>IFERROR(INDEX(ChFormat,MATCH(E663,ChName,0)),"")</f>
        <v/>
      </c>
      <c r="G663" t="inlineStr">
        <is>
          <t>SK</t>
        </is>
      </c>
      <c r="H663">
        <f>IF(A663&lt;=NWeeks,1,0)</f>
        <v/>
      </c>
      <c r="I663">
        <f>INDEX(ChLaunch,MATCH(E663,ChName,0))</f>
        <v/>
      </c>
      <c r="J663">
        <f>INDEX(ChWeeksFull,MATCH(E663,ChName,0))</f>
        <v/>
      </c>
      <c r="K663">
        <f>INDEX(ChRamp,MATCH(E663,ChName,0))</f>
        <v/>
      </c>
      <c r="L663" s="45">
        <f>MIN(1,MAX(0,(A663-I663+1)*RampSpeed/J663))</f>
        <v/>
      </c>
      <c r="M663" s="45">
        <f>IF(A663&lt;I663,0,IF(K663="S-curve",L663*L663*(3-2*L663),L663))</f>
        <v/>
      </c>
      <c r="N663" s="45">
        <f>1+(INDEX(SeasonIdx,A663)-1)*SeasonAmp</f>
        <v/>
      </c>
      <c r="O663" s="45">
        <f>IFERROR(INDEX(PSPct,MATCH(E663&amp;"|"&amp;G663,PSKey,0)),0)</f>
        <v/>
      </c>
      <c r="P663" s="46">
        <f>INDEX(ChDoorVel,MATCH(E663,ChName,0))*CalibScalar*(1+VelocityUplift)</f>
        <v/>
      </c>
      <c r="Q663" s="46" t="n">
        <v>0</v>
      </c>
      <c r="R663" s="46">
        <f>P663*O663*M663*N663*H663</f>
        <v/>
      </c>
      <c r="S663" s="46">
        <f>R663*INDEX(FmtCansPerCase,MATCH(F663,FmtName,0))</f>
        <v/>
      </c>
      <c r="T663" s="46">
        <f>S663/INDEX(FmtCansPerPack,MATCH(F663,FmtName,0))</f>
        <v/>
      </c>
      <c r="U663" s="47">
        <f>INDEX(ChBaseCP,MATCH(E663,ChName,0))*(1+INDEX(ProvMod,MATCH(G663,ProvCode,0)))*(1+PriceIndex)</f>
        <v/>
      </c>
      <c r="V663" s="47">
        <f>R663*U663*INDEX(FmtBlendedPriceIdx,MATCH(F663,FmtName,0))</f>
        <v/>
      </c>
      <c r="W663" s="47">
        <f>T663*INDEX(ProvSRP,MATCH(G663,ProvCode,0))*(1+PriceIndex)</f>
        <v/>
      </c>
      <c r="X663" s="47">
        <f>IF(GrossBasis="Wholesale",V663,W663)</f>
        <v/>
      </c>
      <c r="Y663" s="47">
        <f>R663*INDEX(FmtBlendedCogs,MATCH(F663,FmtName,0))</f>
        <v/>
      </c>
      <c r="Z663" s="47">
        <f>X663-Y663</f>
        <v/>
      </c>
    </row>
    <row r="664">
      <c r="A664" t="n">
        <v>27</v>
      </c>
      <c r="B664" s="44">
        <f>FiscalStart+(A664-1)*7</f>
        <v/>
      </c>
      <c r="C664">
        <f>TEXT(B664,"mmm yyyy")</f>
        <v/>
      </c>
      <c r="D664">
        <f>"Q"&amp;(INT((A664-1)/13)+1)</f>
        <v/>
      </c>
      <c r="E664" t="inlineStr">
        <is>
          <t>On Premise</t>
        </is>
      </c>
      <c r="F664">
        <f>IFERROR(INDEX(ChFormat,MATCH(E664,ChName,0)),"")</f>
        <v/>
      </c>
      <c r="G664" t="inlineStr">
        <is>
          <t>SK</t>
        </is>
      </c>
      <c r="H664">
        <f>IF(A664&lt;=NWeeks,1,0)</f>
        <v/>
      </c>
      <c r="I664">
        <f>INDEX(ChLaunch,MATCH(E664,ChName,0))</f>
        <v/>
      </c>
      <c r="J664">
        <f>INDEX(ChWeeksFull,MATCH(E664,ChName,0))</f>
        <v/>
      </c>
      <c r="K664">
        <f>INDEX(ChRamp,MATCH(E664,ChName,0))</f>
        <v/>
      </c>
      <c r="L664" s="45">
        <f>MIN(1,MAX(0,(A664-I664+1)*RampSpeed/J664))</f>
        <v/>
      </c>
      <c r="M664" s="45">
        <f>IF(A664&lt;I664,0,IF(K664="S-curve",L664*L664*(3-2*L664),L664))</f>
        <v/>
      </c>
      <c r="N664" s="45">
        <f>1+(INDEX(SeasonIdx,A664)-1)*SeasonAmp</f>
        <v/>
      </c>
      <c r="O664" s="45">
        <f>IFERROR(INDEX(PSPct,MATCH(E664&amp;"|"&amp;G664,PSKey,0)),0)</f>
        <v/>
      </c>
      <c r="P664" s="46">
        <f>INDEX(ChDoorVel,MATCH(E664,ChName,0))*CalibScalar*(1+VelocityUplift)</f>
        <v/>
      </c>
      <c r="Q664" s="46" t="n">
        <v>0</v>
      </c>
      <c r="R664" s="46">
        <f>P664*O664*M664*N664*H664</f>
        <v/>
      </c>
      <c r="S664" s="46">
        <f>R664*INDEX(FmtCansPerCase,MATCH(F664,FmtName,0))</f>
        <v/>
      </c>
      <c r="T664" s="46">
        <f>S664/INDEX(FmtCansPerPack,MATCH(F664,FmtName,0))</f>
        <v/>
      </c>
      <c r="U664" s="47">
        <f>INDEX(ChBaseCP,MATCH(E664,ChName,0))*(1+INDEX(ProvMod,MATCH(G664,ProvCode,0)))*(1+PriceIndex)</f>
        <v/>
      </c>
      <c r="V664" s="47">
        <f>R664*U664*INDEX(FmtBlendedPriceIdx,MATCH(F664,FmtName,0))</f>
        <v/>
      </c>
      <c r="W664" s="47">
        <f>T664*INDEX(ProvSRP,MATCH(G664,ProvCode,0))*(1+PriceIndex)</f>
        <v/>
      </c>
      <c r="X664" s="47">
        <f>IF(GrossBasis="Wholesale",V664,W664)</f>
        <v/>
      </c>
      <c r="Y664" s="47">
        <f>R664*INDEX(FmtBlendedCogs,MATCH(F664,FmtName,0))</f>
        <v/>
      </c>
      <c r="Z664" s="47">
        <f>X664-Y664</f>
        <v/>
      </c>
    </row>
    <row r="665">
      <c r="A665" t="n">
        <v>28</v>
      </c>
      <c r="B665" s="44">
        <f>FiscalStart+(A665-1)*7</f>
        <v/>
      </c>
      <c r="C665">
        <f>TEXT(B665,"mmm yyyy")</f>
        <v/>
      </c>
      <c r="D665">
        <f>"Q"&amp;(INT((A665-1)/13)+1)</f>
        <v/>
      </c>
      <c r="E665" t="inlineStr">
        <is>
          <t>On Premise</t>
        </is>
      </c>
      <c r="F665">
        <f>IFERROR(INDEX(ChFormat,MATCH(E665,ChName,0)),"")</f>
        <v/>
      </c>
      <c r="G665" t="inlineStr">
        <is>
          <t>SK</t>
        </is>
      </c>
      <c r="H665">
        <f>IF(A665&lt;=NWeeks,1,0)</f>
        <v/>
      </c>
      <c r="I665">
        <f>INDEX(ChLaunch,MATCH(E665,ChName,0))</f>
        <v/>
      </c>
      <c r="J665">
        <f>INDEX(ChWeeksFull,MATCH(E665,ChName,0))</f>
        <v/>
      </c>
      <c r="K665">
        <f>INDEX(ChRamp,MATCH(E665,ChName,0))</f>
        <v/>
      </c>
      <c r="L665" s="45">
        <f>MIN(1,MAX(0,(A665-I665+1)*RampSpeed/J665))</f>
        <v/>
      </c>
      <c r="M665" s="45">
        <f>IF(A665&lt;I665,0,IF(K665="S-curve",L665*L665*(3-2*L665),L665))</f>
        <v/>
      </c>
      <c r="N665" s="45">
        <f>1+(INDEX(SeasonIdx,A665)-1)*SeasonAmp</f>
        <v/>
      </c>
      <c r="O665" s="45">
        <f>IFERROR(INDEX(PSPct,MATCH(E665&amp;"|"&amp;G665,PSKey,0)),0)</f>
        <v/>
      </c>
      <c r="P665" s="46">
        <f>INDEX(ChDoorVel,MATCH(E665,ChName,0))*CalibScalar*(1+VelocityUplift)</f>
        <v/>
      </c>
      <c r="Q665" s="46" t="n">
        <v>0</v>
      </c>
      <c r="R665" s="46">
        <f>P665*O665*M665*N665*H665</f>
        <v/>
      </c>
      <c r="S665" s="46">
        <f>R665*INDEX(FmtCansPerCase,MATCH(F665,FmtName,0))</f>
        <v/>
      </c>
      <c r="T665" s="46">
        <f>S665/INDEX(FmtCansPerPack,MATCH(F665,FmtName,0))</f>
        <v/>
      </c>
      <c r="U665" s="47">
        <f>INDEX(ChBaseCP,MATCH(E665,ChName,0))*(1+INDEX(ProvMod,MATCH(G665,ProvCode,0)))*(1+PriceIndex)</f>
        <v/>
      </c>
      <c r="V665" s="47">
        <f>R665*U665*INDEX(FmtBlendedPriceIdx,MATCH(F665,FmtName,0))</f>
        <v/>
      </c>
      <c r="W665" s="47">
        <f>T665*INDEX(ProvSRP,MATCH(G665,ProvCode,0))*(1+PriceIndex)</f>
        <v/>
      </c>
      <c r="X665" s="47">
        <f>IF(GrossBasis="Wholesale",V665,W665)</f>
        <v/>
      </c>
      <c r="Y665" s="47">
        <f>R665*INDEX(FmtBlendedCogs,MATCH(F665,FmtName,0))</f>
        <v/>
      </c>
      <c r="Z665" s="47">
        <f>X665-Y665</f>
        <v/>
      </c>
    </row>
    <row r="666">
      <c r="A666" t="n">
        <v>29</v>
      </c>
      <c r="B666" s="44">
        <f>FiscalStart+(A666-1)*7</f>
        <v/>
      </c>
      <c r="C666">
        <f>TEXT(B666,"mmm yyyy")</f>
        <v/>
      </c>
      <c r="D666">
        <f>"Q"&amp;(INT((A666-1)/13)+1)</f>
        <v/>
      </c>
      <c r="E666" t="inlineStr">
        <is>
          <t>On Premise</t>
        </is>
      </c>
      <c r="F666">
        <f>IFERROR(INDEX(ChFormat,MATCH(E666,ChName,0)),"")</f>
        <v/>
      </c>
      <c r="G666" t="inlineStr">
        <is>
          <t>SK</t>
        </is>
      </c>
      <c r="H666">
        <f>IF(A666&lt;=NWeeks,1,0)</f>
        <v/>
      </c>
      <c r="I666">
        <f>INDEX(ChLaunch,MATCH(E666,ChName,0))</f>
        <v/>
      </c>
      <c r="J666">
        <f>INDEX(ChWeeksFull,MATCH(E666,ChName,0))</f>
        <v/>
      </c>
      <c r="K666">
        <f>INDEX(ChRamp,MATCH(E666,ChName,0))</f>
        <v/>
      </c>
      <c r="L666" s="45">
        <f>MIN(1,MAX(0,(A666-I666+1)*RampSpeed/J666))</f>
        <v/>
      </c>
      <c r="M666" s="45">
        <f>IF(A666&lt;I666,0,IF(K666="S-curve",L666*L666*(3-2*L666),L666))</f>
        <v/>
      </c>
      <c r="N666" s="45">
        <f>1+(INDEX(SeasonIdx,A666)-1)*SeasonAmp</f>
        <v/>
      </c>
      <c r="O666" s="45">
        <f>IFERROR(INDEX(PSPct,MATCH(E666&amp;"|"&amp;G666,PSKey,0)),0)</f>
        <v/>
      </c>
      <c r="P666" s="46">
        <f>INDEX(ChDoorVel,MATCH(E666,ChName,0))*CalibScalar*(1+VelocityUplift)</f>
        <v/>
      </c>
      <c r="Q666" s="46" t="n">
        <v>0</v>
      </c>
      <c r="R666" s="46">
        <f>P666*O666*M666*N666*H666</f>
        <v/>
      </c>
      <c r="S666" s="46">
        <f>R666*INDEX(FmtCansPerCase,MATCH(F666,FmtName,0))</f>
        <v/>
      </c>
      <c r="T666" s="46">
        <f>S666/INDEX(FmtCansPerPack,MATCH(F666,FmtName,0))</f>
        <v/>
      </c>
      <c r="U666" s="47">
        <f>INDEX(ChBaseCP,MATCH(E666,ChName,0))*(1+INDEX(ProvMod,MATCH(G666,ProvCode,0)))*(1+PriceIndex)</f>
        <v/>
      </c>
      <c r="V666" s="47">
        <f>R666*U666*INDEX(FmtBlendedPriceIdx,MATCH(F666,FmtName,0))</f>
        <v/>
      </c>
      <c r="W666" s="47">
        <f>T666*INDEX(ProvSRP,MATCH(G666,ProvCode,0))*(1+PriceIndex)</f>
        <v/>
      </c>
      <c r="X666" s="47">
        <f>IF(GrossBasis="Wholesale",V666,W666)</f>
        <v/>
      </c>
      <c r="Y666" s="47">
        <f>R666*INDEX(FmtBlendedCogs,MATCH(F666,FmtName,0))</f>
        <v/>
      </c>
      <c r="Z666" s="47">
        <f>X666-Y666</f>
        <v/>
      </c>
    </row>
    <row r="667">
      <c r="A667" t="n">
        <v>30</v>
      </c>
      <c r="B667" s="44">
        <f>FiscalStart+(A667-1)*7</f>
        <v/>
      </c>
      <c r="C667">
        <f>TEXT(B667,"mmm yyyy")</f>
        <v/>
      </c>
      <c r="D667">
        <f>"Q"&amp;(INT((A667-1)/13)+1)</f>
        <v/>
      </c>
      <c r="E667" t="inlineStr">
        <is>
          <t>On Premise</t>
        </is>
      </c>
      <c r="F667">
        <f>IFERROR(INDEX(ChFormat,MATCH(E667,ChName,0)),"")</f>
        <v/>
      </c>
      <c r="G667" t="inlineStr">
        <is>
          <t>SK</t>
        </is>
      </c>
      <c r="H667">
        <f>IF(A667&lt;=NWeeks,1,0)</f>
        <v/>
      </c>
      <c r="I667">
        <f>INDEX(ChLaunch,MATCH(E667,ChName,0))</f>
        <v/>
      </c>
      <c r="J667">
        <f>INDEX(ChWeeksFull,MATCH(E667,ChName,0))</f>
        <v/>
      </c>
      <c r="K667">
        <f>INDEX(ChRamp,MATCH(E667,ChName,0))</f>
        <v/>
      </c>
      <c r="L667" s="45">
        <f>MIN(1,MAX(0,(A667-I667+1)*RampSpeed/J667))</f>
        <v/>
      </c>
      <c r="M667" s="45">
        <f>IF(A667&lt;I667,0,IF(K667="S-curve",L667*L667*(3-2*L667),L667))</f>
        <v/>
      </c>
      <c r="N667" s="45">
        <f>1+(INDEX(SeasonIdx,A667)-1)*SeasonAmp</f>
        <v/>
      </c>
      <c r="O667" s="45">
        <f>IFERROR(INDEX(PSPct,MATCH(E667&amp;"|"&amp;G667,PSKey,0)),0)</f>
        <v/>
      </c>
      <c r="P667" s="46">
        <f>INDEX(ChDoorVel,MATCH(E667,ChName,0))*CalibScalar*(1+VelocityUplift)</f>
        <v/>
      </c>
      <c r="Q667" s="46" t="n">
        <v>0</v>
      </c>
      <c r="R667" s="46">
        <f>P667*O667*M667*N667*H667</f>
        <v/>
      </c>
      <c r="S667" s="46">
        <f>R667*INDEX(FmtCansPerCase,MATCH(F667,FmtName,0))</f>
        <v/>
      </c>
      <c r="T667" s="46">
        <f>S667/INDEX(FmtCansPerPack,MATCH(F667,FmtName,0))</f>
        <v/>
      </c>
      <c r="U667" s="47">
        <f>INDEX(ChBaseCP,MATCH(E667,ChName,0))*(1+INDEX(ProvMod,MATCH(G667,ProvCode,0)))*(1+PriceIndex)</f>
        <v/>
      </c>
      <c r="V667" s="47">
        <f>R667*U667*INDEX(FmtBlendedPriceIdx,MATCH(F667,FmtName,0))</f>
        <v/>
      </c>
      <c r="W667" s="47">
        <f>T667*INDEX(ProvSRP,MATCH(G667,ProvCode,0))*(1+PriceIndex)</f>
        <v/>
      </c>
      <c r="X667" s="47">
        <f>IF(GrossBasis="Wholesale",V667,W667)</f>
        <v/>
      </c>
      <c r="Y667" s="47">
        <f>R667*INDEX(FmtBlendedCogs,MATCH(F667,FmtName,0))</f>
        <v/>
      </c>
      <c r="Z667" s="47">
        <f>X667-Y667</f>
        <v/>
      </c>
    </row>
    <row r="668">
      <c r="A668" t="n">
        <v>31</v>
      </c>
      <c r="B668" s="44">
        <f>FiscalStart+(A668-1)*7</f>
        <v/>
      </c>
      <c r="C668">
        <f>TEXT(B668,"mmm yyyy")</f>
        <v/>
      </c>
      <c r="D668">
        <f>"Q"&amp;(INT((A668-1)/13)+1)</f>
        <v/>
      </c>
      <c r="E668" t="inlineStr">
        <is>
          <t>On Premise</t>
        </is>
      </c>
      <c r="F668">
        <f>IFERROR(INDEX(ChFormat,MATCH(E668,ChName,0)),"")</f>
        <v/>
      </c>
      <c r="G668" t="inlineStr">
        <is>
          <t>SK</t>
        </is>
      </c>
      <c r="H668">
        <f>IF(A668&lt;=NWeeks,1,0)</f>
        <v/>
      </c>
      <c r="I668">
        <f>INDEX(ChLaunch,MATCH(E668,ChName,0))</f>
        <v/>
      </c>
      <c r="J668">
        <f>INDEX(ChWeeksFull,MATCH(E668,ChName,0))</f>
        <v/>
      </c>
      <c r="K668">
        <f>INDEX(ChRamp,MATCH(E668,ChName,0))</f>
        <v/>
      </c>
      <c r="L668" s="45">
        <f>MIN(1,MAX(0,(A668-I668+1)*RampSpeed/J668))</f>
        <v/>
      </c>
      <c r="M668" s="45">
        <f>IF(A668&lt;I668,0,IF(K668="S-curve",L668*L668*(3-2*L668),L668))</f>
        <v/>
      </c>
      <c r="N668" s="45">
        <f>1+(INDEX(SeasonIdx,A668)-1)*SeasonAmp</f>
        <v/>
      </c>
      <c r="O668" s="45">
        <f>IFERROR(INDEX(PSPct,MATCH(E668&amp;"|"&amp;G668,PSKey,0)),0)</f>
        <v/>
      </c>
      <c r="P668" s="46">
        <f>INDEX(ChDoorVel,MATCH(E668,ChName,0))*CalibScalar*(1+VelocityUplift)</f>
        <v/>
      </c>
      <c r="Q668" s="46" t="n">
        <v>0</v>
      </c>
      <c r="R668" s="46">
        <f>P668*O668*M668*N668*H668</f>
        <v/>
      </c>
      <c r="S668" s="46">
        <f>R668*INDEX(FmtCansPerCase,MATCH(F668,FmtName,0))</f>
        <v/>
      </c>
      <c r="T668" s="46">
        <f>S668/INDEX(FmtCansPerPack,MATCH(F668,FmtName,0))</f>
        <v/>
      </c>
      <c r="U668" s="47">
        <f>INDEX(ChBaseCP,MATCH(E668,ChName,0))*(1+INDEX(ProvMod,MATCH(G668,ProvCode,0)))*(1+PriceIndex)</f>
        <v/>
      </c>
      <c r="V668" s="47">
        <f>R668*U668*INDEX(FmtBlendedPriceIdx,MATCH(F668,FmtName,0))</f>
        <v/>
      </c>
      <c r="W668" s="47">
        <f>T668*INDEX(ProvSRP,MATCH(G668,ProvCode,0))*(1+PriceIndex)</f>
        <v/>
      </c>
      <c r="X668" s="47">
        <f>IF(GrossBasis="Wholesale",V668,W668)</f>
        <v/>
      </c>
      <c r="Y668" s="47">
        <f>R668*INDEX(FmtBlendedCogs,MATCH(F668,FmtName,0))</f>
        <v/>
      </c>
      <c r="Z668" s="47">
        <f>X668-Y668</f>
        <v/>
      </c>
    </row>
    <row r="669">
      <c r="A669" t="n">
        <v>32</v>
      </c>
      <c r="B669" s="44">
        <f>FiscalStart+(A669-1)*7</f>
        <v/>
      </c>
      <c r="C669">
        <f>TEXT(B669,"mmm yyyy")</f>
        <v/>
      </c>
      <c r="D669">
        <f>"Q"&amp;(INT((A669-1)/13)+1)</f>
        <v/>
      </c>
      <c r="E669" t="inlineStr">
        <is>
          <t>On Premise</t>
        </is>
      </c>
      <c r="F669">
        <f>IFERROR(INDEX(ChFormat,MATCH(E669,ChName,0)),"")</f>
        <v/>
      </c>
      <c r="G669" t="inlineStr">
        <is>
          <t>SK</t>
        </is>
      </c>
      <c r="H669">
        <f>IF(A669&lt;=NWeeks,1,0)</f>
        <v/>
      </c>
      <c r="I669">
        <f>INDEX(ChLaunch,MATCH(E669,ChName,0))</f>
        <v/>
      </c>
      <c r="J669">
        <f>INDEX(ChWeeksFull,MATCH(E669,ChName,0))</f>
        <v/>
      </c>
      <c r="K669">
        <f>INDEX(ChRamp,MATCH(E669,ChName,0))</f>
        <v/>
      </c>
      <c r="L669" s="45">
        <f>MIN(1,MAX(0,(A669-I669+1)*RampSpeed/J669))</f>
        <v/>
      </c>
      <c r="M669" s="45">
        <f>IF(A669&lt;I669,0,IF(K669="S-curve",L669*L669*(3-2*L669),L669))</f>
        <v/>
      </c>
      <c r="N669" s="45">
        <f>1+(INDEX(SeasonIdx,A669)-1)*SeasonAmp</f>
        <v/>
      </c>
      <c r="O669" s="45">
        <f>IFERROR(INDEX(PSPct,MATCH(E669&amp;"|"&amp;G669,PSKey,0)),0)</f>
        <v/>
      </c>
      <c r="P669" s="46">
        <f>INDEX(ChDoorVel,MATCH(E669,ChName,0))*CalibScalar*(1+VelocityUplift)</f>
        <v/>
      </c>
      <c r="Q669" s="46" t="n">
        <v>0</v>
      </c>
      <c r="R669" s="46">
        <f>P669*O669*M669*N669*H669</f>
        <v/>
      </c>
      <c r="S669" s="46">
        <f>R669*INDEX(FmtCansPerCase,MATCH(F669,FmtName,0))</f>
        <v/>
      </c>
      <c r="T669" s="46">
        <f>S669/INDEX(FmtCansPerPack,MATCH(F669,FmtName,0))</f>
        <v/>
      </c>
      <c r="U669" s="47">
        <f>INDEX(ChBaseCP,MATCH(E669,ChName,0))*(1+INDEX(ProvMod,MATCH(G669,ProvCode,0)))*(1+PriceIndex)</f>
        <v/>
      </c>
      <c r="V669" s="47">
        <f>R669*U669*INDEX(FmtBlendedPriceIdx,MATCH(F669,FmtName,0))</f>
        <v/>
      </c>
      <c r="W669" s="47">
        <f>T669*INDEX(ProvSRP,MATCH(G669,ProvCode,0))*(1+PriceIndex)</f>
        <v/>
      </c>
      <c r="X669" s="47">
        <f>IF(GrossBasis="Wholesale",V669,W669)</f>
        <v/>
      </c>
      <c r="Y669" s="47">
        <f>R669*INDEX(FmtBlendedCogs,MATCH(F669,FmtName,0))</f>
        <v/>
      </c>
      <c r="Z669" s="47">
        <f>X669-Y669</f>
        <v/>
      </c>
    </row>
    <row r="670">
      <c r="A670" t="n">
        <v>33</v>
      </c>
      <c r="B670" s="44">
        <f>FiscalStart+(A670-1)*7</f>
        <v/>
      </c>
      <c r="C670">
        <f>TEXT(B670,"mmm yyyy")</f>
        <v/>
      </c>
      <c r="D670">
        <f>"Q"&amp;(INT((A670-1)/13)+1)</f>
        <v/>
      </c>
      <c r="E670" t="inlineStr">
        <is>
          <t>On Premise</t>
        </is>
      </c>
      <c r="F670">
        <f>IFERROR(INDEX(ChFormat,MATCH(E670,ChName,0)),"")</f>
        <v/>
      </c>
      <c r="G670" t="inlineStr">
        <is>
          <t>SK</t>
        </is>
      </c>
      <c r="H670">
        <f>IF(A670&lt;=NWeeks,1,0)</f>
        <v/>
      </c>
      <c r="I670">
        <f>INDEX(ChLaunch,MATCH(E670,ChName,0))</f>
        <v/>
      </c>
      <c r="J670">
        <f>INDEX(ChWeeksFull,MATCH(E670,ChName,0))</f>
        <v/>
      </c>
      <c r="K670">
        <f>INDEX(ChRamp,MATCH(E670,ChName,0))</f>
        <v/>
      </c>
      <c r="L670" s="45">
        <f>MIN(1,MAX(0,(A670-I670+1)*RampSpeed/J670))</f>
        <v/>
      </c>
      <c r="M670" s="45">
        <f>IF(A670&lt;I670,0,IF(K670="S-curve",L670*L670*(3-2*L670),L670))</f>
        <v/>
      </c>
      <c r="N670" s="45">
        <f>1+(INDEX(SeasonIdx,A670)-1)*SeasonAmp</f>
        <v/>
      </c>
      <c r="O670" s="45">
        <f>IFERROR(INDEX(PSPct,MATCH(E670&amp;"|"&amp;G670,PSKey,0)),0)</f>
        <v/>
      </c>
      <c r="P670" s="46">
        <f>INDEX(ChDoorVel,MATCH(E670,ChName,0))*CalibScalar*(1+VelocityUplift)</f>
        <v/>
      </c>
      <c r="Q670" s="46" t="n">
        <v>0</v>
      </c>
      <c r="R670" s="46">
        <f>P670*O670*M670*N670*H670</f>
        <v/>
      </c>
      <c r="S670" s="46">
        <f>R670*INDEX(FmtCansPerCase,MATCH(F670,FmtName,0))</f>
        <v/>
      </c>
      <c r="T670" s="46">
        <f>S670/INDEX(FmtCansPerPack,MATCH(F670,FmtName,0))</f>
        <v/>
      </c>
      <c r="U670" s="47">
        <f>INDEX(ChBaseCP,MATCH(E670,ChName,0))*(1+INDEX(ProvMod,MATCH(G670,ProvCode,0)))*(1+PriceIndex)</f>
        <v/>
      </c>
      <c r="V670" s="47">
        <f>R670*U670*INDEX(FmtBlendedPriceIdx,MATCH(F670,FmtName,0))</f>
        <v/>
      </c>
      <c r="W670" s="47">
        <f>T670*INDEX(ProvSRP,MATCH(G670,ProvCode,0))*(1+PriceIndex)</f>
        <v/>
      </c>
      <c r="X670" s="47">
        <f>IF(GrossBasis="Wholesale",V670,W670)</f>
        <v/>
      </c>
      <c r="Y670" s="47">
        <f>R670*INDEX(FmtBlendedCogs,MATCH(F670,FmtName,0))</f>
        <v/>
      </c>
      <c r="Z670" s="47">
        <f>X670-Y670</f>
        <v/>
      </c>
    </row>
    <row r="671">
      <c r="A671" t="n">
        <v>34</v>
      </c>
      <c r="B671" s="44">
        <f>FiscalStart+(A671-1)*7</f>
        <v/>
      </c>
      <c r="C671">
        <f>TEXT(B671,"mmm yyyy")</f>
        <v/>
      </c>
      <c r="D671">
        <f>"Q"&amp;(INT((A671-1)/13)+1)</f>
        <v/>
      </c>
      <c r="E671" t="inlineStr">
        <is>
          <t>On Premise</t>
        </is>
      </c>
      <c r="F671">
        <f>IFERROR(INDEX(ChFormat,MATCH(E671,ChName,0)),"")</f>
        <v/>
      </c>
      <c r="G671" t="inlineStr">
        <is>
          <t>SK</t>
        </is>
      </c>
      <c r="H671">
        <f>IF(A671&lt;=NWeeks,1,0)</f>
        <v/>
      </c>
      <c r="I671">
        <f>INDEX(ChLaunch,MATCH(E671,ChName,0))</f>
        <v/>
      </c>
      <c r="J671">
        <f>INDEX(ChWeeksFull,MATCH(E671,ChName,0))</f>
        <v/>
      </c>
      <c r="K671">
        <f>INDEX(ChRamp,MATCH(E671,ChName,0))</f>
        <v/>
      </c>
      <c r="L671" s="45">
        <f>MIN(1,MAX(0,(A671-I671+1)*RampSpeed/J671))</f>
        <v/>
      </c>
      <c r="M671" s="45">
        <f>IF(A671&lt;I671,0,IF(K671="S-curve",L671*L671*(3-2*L671),L671))</f>
        <v/>
      </c>
      <c r="N671" s="45">
        <f>1+(INDEX(SeasonIdx,A671)-1)*SeasonAmp</f>
        <v/>
      </c>
      <c r="O671" s="45">
        <f>IFERROR(INDEX(PSPct,MATCH(E671&amp;"|"&amp;G671,PSKey,0)),0)</f>
        <v/>
      </c>
      <c r="P671" s="46">
        <f>INDEX(ChDoorVel,MATCH(E671,ChName,0))*CalibScalar*(1+VelocityUplift)</f>
        <v/>
      </c>
      <c r="Q671" s="46" t="n">
        <v>0</v>
      </c>
      <c r="R671" s="46">
        <f>P671*O671*M671*N671*H671</f>
        <v/>
      </c>
      <c r="S671" s="46">
        <f>R671*INDEX(FmtCansPerCase,MATCH(F671,FmtName,0))</f>
        <v/>
      </c>
      <c r="T671" s="46">
        <f>S671/INDEX(FmtCansPerPack,MATCH(F671,FmtName,0))</f>
        <v/>
      </c>
      <c r="U671" s="47">
        <f>INDEX(ChBaseCP,MATCH(E671,ChName,0))*(1+INDEX(ProvMod,MATCH(G671,ProvCode,0)))*(1+PriceIndex)</f>
        <v/>
      </c>
      <c r="V671" s="47">
        <f>R671*U671*INDEX(FmtBlendedPriceIdx,MATCH(F671,FmtName,0))</f>
        <v/>
      </c>
      <c r="W671" s="47">
        <f>T671*INDEX(ProvSRP,MATCH(G671,ProvCode,0))*(1+PriceIndex)</f>
        <v/>
      </c>
      <c r="X671" s="47">
        <f>IF(GrossBasis="Wholesale",V671,W671)</f>
        <v/>
      </c>
      <c r="Y671" s="47">
        <f>R671*INDEX(FmtBlendedCogs,MATCH(F671,FmtName,0))</f>
        <v/>
      </c>
      <c r="Z671" s="47">
        <f>X671-Y671</f>
        <v/>
      </c>
    </row>
    <row r="672">
      <c r="A672" t="n">
        <v>35</v>
      </c>
      <c r="B672" s="44">
        <f>FiscalStart+(A672-1)*7</f>
        <v/>
      </c>
      <c r="C672">
        <f>TEXT(B672,"mmm yyyy")</f>
        <v/>
      </c>
      <c r="D672">
        <f>"Q"&amp;(INT((A672-1)/13)+1)</f>
        <v/>
      </c>
      <c r="E672" t="inlineStr">
        <is>
          <t>On Premise</t>
        </is>
      </c>
      <c r="F672">
        <f>IFERROR(INDEX(ChFormat,MATCH(E672,ChName,0)),"")</f>
        <v/>
      </c>
      <c r="G672" t="inlineStr">
        <is>
          <t>SK</t>
        </is>
      </c>
      <c r="H672">
        <f>IF(A672&lt;=NWeeks,1,0)</f>
        <v/>
      </c>
      <c r="I672">
        <f>INDEX(ChLaunch,MATCH(E672,ChName,0))</f>
        <v/>
      </c>
      <c r="J672">
        <f>INDEX(ChWeeksFull,MATCH(E672,ChName,0))</f>
        <v/>
      </c>
      <c r="K672">
        <f>INDEX(ChRamp,MATCH(E672,ChName,0))</f>
        <v/>
      </c>
      <c r="L672" s="45">
        <f>MIN(1,MAX(0,(A672-I672+1)*RampSpeed/J672))</f>
        <v/>
      </c>
      <c r="M672" s="45">
        <f>IF(A672&lt;I672,0,IF(K672="S-curve",L672*L672*(3-2*L672),L672))</f>
        <v/>
      </c>
      <c r="N672" s="45">
        <f>1+(INDEX(SeasonIdx,A672)-1)*SeasonAmp</f>
        <v/>
      </c>
      <c r="O672" s="45">
        <f>IFERROR(INDEX(PSPct,MATCH(E672&amp;"|"&amp;G672,PSKey,0)),0)</f>
        <v/>
      </c>
      <c r="P672" s="46">
        <f>INDEX(ChDoorVel,MATCH(E672,ChName,0))*CalibScalar*(1+VelocityUplift)</f>
        <v/>
      </c>
      <c r="Q672" s="46" t="n">
        <v>0</v>
      </c>
      <c r="R672" s="46">
        <f>P672*O672*M672*N672*H672</f>
        <v/>
      </c>
      <c r="S672" s="46">
        <f>R672*INDEX(FmtCansPerCase,MATCH(F672,FmtName,0))</f>
        <v/>
      </c>
      <c r="T672" s="46">
        <f>S672/INDEX(FmtCansPerPack,MATCH(F672,FmtName,0))</f>
        <v/>
      </c>
      <c r="U672" s="47">
        <f>INDEX(ChBaseCP,MATCH(E672,ChName,0))*(1+INDEX(ProvMod,MATCH(G672,ProvCode,0)))*(1+PriceIndex)</f>
        <v/>
      </c>
      <c r="V672" s="47">
        <f>R672*U672*INDEX(FmtBlendedPriceIdx,MATCH(F672,FmtName,0))</f>
        <v/>
      </c>
      <c r="W672" s="47">
        <f>T672*INDEX(ProvSRP,MATCH(G672,ProvCode,0))*(1+PriceIndex)</f>
        <v/>
      </c>
      <c r="X672" s="47">
        <f>IF(GrossBasis="Wholesale",V672,W672)</f>
        <v/>
      </c>
      <c r="Y672" s="47">
        <f>R672*INDEX(FmtBlendedCogs,MATCH(F672,FmtName,0))</f>
        <v/>
      </c>
      <c r="Z672" s="47">
        <f>X672-Y672</f>
        <v/>
      </c>
    </row>
    <row r="673">
      <c r="A673" t="n">
        <v>36</v>
      </c>
      <c r="B673" s="44">
        <f>FiscalStart+(A673-1)*7</f>
        <v/>
      </c>
      <c r="C673">
        <f>TEXT(B673,"mmm yyyy")</f>
        <v/>
      </c>
      <c r="D673">
        <f>"Q"&amp;(INT((A673-1)/13)+1)</f>
        <v/>
      </c>
      <c r="E673" t="inlineStr">
        <is>
          <t>On Premise</t>
        </is>
      </c>
      <c r="F673">
        <f>IFERROR(INDEX(ChFormat,MATCH(E673,ChName,0)),"")</f>
        <v/>
      </c>
      <c r="G673" t="inlineStr">
        <is>
          <t>SK</t>
        </is>
      </c>
      <c r="H673">
        <f>IF(A673&lt;=NWeeks,1,0)</f>
        <v/>
      </c>
      <c r="I673">
        <f>INDEX(ChLaunch,MATCH(E673,ChName,0))</f>
        <v/>
      </c>
      <c r="J673">
        <f>INDEX(ChWeeksFull,MATCH(E673,ChName,0))</f>
        <v/>
      </c>
      <c r="K673">
        <f>INDEX(ChRamp,MATCH(E673,ChName,0))</f>
        <v/>
      </c>
      <c r="L673" s="45">
        <f>MIN(1,MAX(0,(A673-I673+1)*RampSpeed/J673))</f>
        <v/>
      </c>
      <c r="M673" s="45">
        <f>IF(A673&lt;I673,0,IF(K673="S-curve",L673*L673*(3-2*L673),L673))</f>
        <v/>
      </c>
      <c r="N673" s="45">
        <f>1+(INDEX(SeasonIdx,A673)-1)*SeasonAmp</f>
        <v/>
      </c>
      <c r="O673" s="45">
        <f>IFERROR(INDEX(PSPct,MATCH(E673&amp;"|"&amp;G673,PSKey,0)),0)</f>
        <v/>
      </c>
      <c r="P673" s="46">
        <f>INDEX(ChDoorVel,MATCH(E673,ChName,0))*CalibScalar*(1+VelocityUplift)</f>
        <v/>
      </c>
      <c r="Q673" s="46" t="n">
        <v>0</v>
      </c>
      <c r="R673" s="46">
        <f>P673*O673*M673*N673*H673</f>
        <v/>
      </c>
      <c r="S673" s="46">
        <f>R673*INDEX(FmtCansPerCase,MATCH(F673,FmtName,0))</f>
        <v/>
      </c>
      <c r="T673" s="46">
        <f>S673/INDEX(FmtCansPerPack,MATCH(F673,FmtName,0))</f>
        <v/>
      </c>
      <c r="U673" s="47">
        <f>INDEX(ChBaseCP,MATCH(E673,ChName,0))*(1+INDEX(ProvMod,MATCH(G673,ProvCode,0)))*(1+PriceIndex)</f>
        <v/>
      </c>
      <c r="V673" s="47">
        <f>R673*U673*INDEX(FmtBlendedPriceIdx,MATCH(F673,FmtName,0))</f>
        <v/>
      </c>
      <c r="W673" s="47">
        <f>T673*INDEX(ProvSRP,MATCH(G673,ProvCode,0))*(1+PriceIndex)</f>
        <v/>
      </c>
      <c r="X673" s="47">
        <f>IF(GrossBasis="Wholesale",V673,W673)</f>
        <v/>
      </c>
      <c r="Y673" s="47">
        <f>R673*INDEX(FmtBlendedCogs,MATCH(F673,FmtName,0))</f>
        <v/>
      </c>
      <c r="Z673" s="47">
        <f>X673-Y673</f>
        <v/>
      </c>
    </row>
    <row r="674">
      <c r="A674" t="n">
        <v>37</v>
      </c>
      <c r="B674" s="44">
        <f>FiscalStart+(A674-1)*7</f>
        <v/>
      </c>
      <c r="C674">
        <f>TEXT(B674,"mmm yyyy")</f>
        <v/>
      </c>
      <c r="D674">
        <f>"Q"&amp;(INT((A674-1)/13)+1)</f>
        <v/>
      </c>
      <c r="E674" t="inlineStr">
        <is>
          <t>On Premise</t>
        </is>
      </c>
      <c r="F674">
        <f>IFERROR(INDEX(ChFormat,MATCH(E674,ChName,0)),"")</f>
        <v/>
      </c>
      <c r="G674" t="inlineStr">
        <is>
          <t>SK</t>
        </is>
      </c>
      <c r="H674">
        <f>IF(A674&lt;=NWeeks,1,0)</f>
        <v/>
      </c>
      <c r="I674">
        <f>INDEX(ChLaunch,MATCH(E674,ChName,0))</f>
        <v/>
      </c>
      <c r="J674">
        <f>INDEX(ChWeeksFull,MATCH(E674,ChName,0))</f>
        <v/>
      </c>
      <c r="K674">
        <f>INDEX(ChRamp,MATCH(E674,ChName,0))</f>
        <v/>
      </c>
      <c r="L674" s="45">
        <f>MIN(1,MAX(0,(A674-I674+1)*RampSpeed/J674))</f>
        <v/>
      </c>
      <c r="M674" s="45">
        <f>IF(A674&lt;I674,0,IF(K674="S-curve",L674*L674*(3-2*L674),L674))</f>
        <v/>
      </c>
      <c r="N674" s="45">
        <f>1+(INDEX(SeasonIdx,A674)-1)*SeasonAmp</f>
        <v/>
      </c>
      <c r="O674" s="45">
        <f>IFERROR(INDEX(PSPct,MATCH(E674&amp;"|"&amp;G674,PSKey,0)),0)</f>
        <v/>
      </c>
      <c r="P674" s="46">
        <f>INDEX(ChDoorVel,MATCH(E674,ChName,0))*CalibScalar*(1+VelocityUplift)</f>
        <v/>
      </c>
      <c r="Q674" s="46" t="n">
        <v>0</v>
      </c>
      <c r="R674" s="46">
        <f>P674*O674*M674*N674*H674</f>
        <v/>
      </c>
      <c r="S674" s="46">
        <f>R674*INDEX(FmtCansPerCase,MATCH(F674,FmtName,0))</f>
        <v/>
      </c>
      <c r="T674" s="46">
        <f>S674/INDEX(FmtCansPerPack,MATCH(F674,FmtName,0))</f>
        <v/>
      </c>
      <c r="U674" s="47">
        <f>INDEX(ChBaseCP,MATCH(E674,ChName,0))*(1+INDEX(ProvMod,MATCH(G674,ProvCode,0)))*(1+PriceIndex)</f>
        <v/>
      </c>
      <c r="V674" s="47">
        <f>R674*U674*INDEX(FmtBlendedPriceIdx,MATCH(F674,FmtName,0))</f>
        <v/>
      </c>
      <c r="W674" s="47">
        <f>T674*INDEX(ProvSRP,MATCH(G674,ProvCode,0))*(1+PriceIndex)</f>
        <v/>
      </c>
      <c r="X674" s="47">
        <f>IF(GrossBasis="Wholesale",V674,W674)</f>
        <v/>
      </c>
      <c r="Y674" s="47">
        <f>R674*INDEX(FmtBlendedCogs,MATCH(F674,FmtName,0))</f>
        <v/>
      </c>
      <c r="Z674" s="47">
        <f>X674-Y674</f>
        <v/>
      </c>
    </row>
    <row r="675">
      <c r="A675" t="n">
        <v>38</v>
      </c>
      <c r="B675" s="44">
        <f>FiscalStart+(A675-1)*7</f>
        <v/>
      </c>
      <c r="C675">
        <f>TEXT(B675,"mmm yyyy")</f>
        <v/>
      </c>
      <c r="D675">
        <f>"Q"&amp;(INT((A675-1)/13)+1)</f>
        <v/>
      </c>
      <c r="E675" t="inlineStr">
        <is>
          <t>On Premise</t>
        </is>
      </c>
      <c r="F675">
        <f>IFERROR(INDEX(ChFormat,MATCH(E675,ChName,0)),"")</f>
        <v/>
      </c>
      <c r="G675" t="inlineStr">
        <is>
          <t>SK</t>
        </is>
      </c>
      <c r="H675">
        <f>IF(A675&lt;=NWeeks,1,0)</f>
        <v/>
      </c>
      <c r="I675">
        <f>INDEX(ChLaunch,MATCH(E675,ChName,0))</f>
        <v/>
      </c>
      <c r="J675">
        <f>INDEX(ChWeeksFull,MATCH(E675,ChName,0))</f>
        <v/>
      </c>
      <c r="K675">
        <f>INDEX(ChRamp,MATCH(E675,ChName,0))</f>
        <v/>
      </c>
      <c r="L675" s="45">
        <f>MIN(1,MAX(0,(A675-I675+1)*RampSpeed/J675))</f>
        <v/>
      </c>
      <c r="M675" s="45">
        <f>IF(A675&lt;I675,0,IF(K675="S-curve",L675*L675*(3-2*L675),L675))</f>
        <v/>
      </c>
      <c r="N675" s="45">
        <f>1+(INDEX(SeasonIdx,A675)-1)*SeasonAmp</f>
        <v/>
      </c>
      <c r="O675" s="45">
        <f>IFERROR(INDEX(PSPct,MATCH(E675&amp;"|"&amp;G675,PSKey,0)),0)</f>
        <v/>
      </c>
      <c r="P675" s="46">
        <f>INDEX(ChDoorVel,MATCH(E675,ChName,0))*CalibScalar*(1+VelocityUplift)</f>
        <v/>
      </c>
      <c r="Q675" s="46" t="n">
        <v>0</v>
      </c>
      <c r="R675" s="46">
        <f>P675*O675*M675*N675*H675</f>
        <v/>
      </c>
      <c r="S675" s="46">
        <f>R675*INDEX(FmtCansPerCase,MATCH(F675,FmtName,0))</f>
        <v/>
      </c>
      <c r="T675" s="46">
        <f>S675/INDEX(FmtCansPerPack,MATCH(F675,FmtName,0))</f>
        <v/>
      </c>
      <c r="U675" s="47">
        <f>INDEX(ChBaseCP,MATCH(E675,ChName,0))*(1+INDEX(ProvMod,MATCH(G675,ProvCode,0)))*(1+PriceIndex)</f>
        <v/>
      </c>
      <c r="V675" s="47">
        <f>R675*U675*INDEX(FmtBlendedPriceIdx,MATCH(F675,FmtName,0))</f>
        <v/>
      </c>
      <c r="W675" s="47">
        <f>T675*INDEX(ProvSRP,MATCH(G675,ProvCode,0))*(1+PriceIndex)</f>
        <v/>
      </c>
      <c r="X675" s="47">
        <f>IF(GrossBasis="Wholesale",V675,W675)</f>
        <v/>
      </c>
      <c r="Y675" s="47">
        <f>R675*INDEX(FmtBlendedCogs,MATCH(F675,FmtName,0))</f>
        <v/>
      </c>
      <c r="Z675" s="47">
        <f>X675-Y675</f>
        <v/>
      </c>
    </row>
    <row r="676">
      <c r="A676" t="n">
        <v>39</v>
      </c>
      <c r="B676" s="44">
        <f>FiscalStart+(A676-1)*7</f>
        <v/>
      </c>
      <c r="C676">
        <f>TEXT(B676,"mmm yyyy")</f>
        <v/>
      </c>
      <c r="D676">
        <f>"Q"&amp;(INT((A676-1)/13)+1)</f>
        <v/>
      </c>
      <c r="E676" t="inlineStr">
        <is>
          <t>On Premise</t>
        </is>
      </c>
      <c r="F676">
        <f>IFERROR(INDEX(ChFormat,MATCH(E676,ChName,0)),"")</f>
        <v/>
      </c>
      <c r="G676" t="inlineStr">
        <is>
          <t>SK</t>
        </is>
      </c>
      <c r="H676">
        <f>IF(A676&lt;=NWeeks,1,0)</f>
        <v/>
      </c>
      <c r="I676">
        <f>INDEX(ChLaunch,MATCH(E676,ChName,0))</f>
        <v/>
      </c>
      <c r="J676">
        <f>INDEX(ChWeeksFull,MATCH(E676,ChName,0))</f>
        <v/>
      </c>
      <c r="K676">
        <f>INDEX(ChRamp,MATCH(E676,ChName,0))</f>
        <v/>
      </c>
      <c r="L676" s="45">
        <f>MIN(1,MAX(0,(A676-I676+1)*RampSpeed/J676))</f>
        <v/>
      </c>
      <c r="M676" s="45">
        <f>IF(A676&lt;I676,0,IF(K676="S-curve",L676*L676*(3-2*L676),L676))</f>
        <v/>
      </c>
      <c r="N676" s="45">
        <f>1+(INDEX(SeasonIdx,A676)-1)*SeasonAmp</f>
        <v/>
      </c>
      <c r="O676" s="45">
        <f>IFERROR(INDEX(PSPct,MATCH(E676&amp;"|"&amp;G676,PSKey,0)),0)</f>
        <v/>
      </c>
      <c r="P676" s="46">
        <f>INDEX(ChDoorVel,MATCH(E676,ChName,0))*CalibScalar*(1+VelocityUplift)</f>
        <v/>
      </c>
      <c r="Q676" s="46" t="n">
        <v>0</v>
      </c>
      <c r="R676" s="46">
        <f>P676*O676*M676*N676*H676</f>
        <v/>
      </c>
      <c r="S676" s="46">
        <f>R676*INDEX(FmtCansPerCase,MATCH(F676,FmtName,0))</f>
        <v/>
      </c>
      <c r="T676" s="46">
        <f>S676/INDEX(FmtCansPerPack,MATCH(F676,FmtName,0))</f>
        <v/>
      </c>
      <c r="U676" s="47">
        <f>INDEX(ChBaseCP,MATCH(E676,ChName,0))*(1+INDEX(ProvMod,MATCH(G676,ProvCode,0)))*(1+PriceIndex)</f>
        <v/>
      </c>
      <c r="V676" s="47">
        <f>R676*U676*INDEX(FmtBlendedPriceIdx,MATCH(F676,FmtName,0))</f>
        <v/>
      </c>
      <c r="W676" s="47">
        <f>T676*INDEX(ProvSRP,MATCH(G676,ProvCode,0))*(1+PriceIndex)</f>
        <v/>
      </c>
      <c r="X676" s="47">
        <f>IF(GrossBasis="Wholesale",V676,W676)</f>
        <v/>
      </c>
      <c r="Y676" s="47">
        <f>R676*INDEX(FmtBlendedCogs,MATCH(F676,FmtName,0))</f>
        <v/>
      </c>
      <c r="Z676" s="47">
        <f>X676-Y676</f>
        <v/>
      </c>
    </row>
    <row r="677">
      <c r="A677" t="n">
        <v>40</v>
      </c>
      <c r="B677" s="44">
        <f>FiscalStart+(A677-1)*7</f>
        <v/>
      </c>
      <c r="C677">
        <f>TEXT(B677,"mmm yyyy")</f>
        <v/>
      </c>
      <c r="D677">
        <f>"Q"&amp;(INT((A677-1)/13)+1)</f>
        <v/>
      </c>
      <c r="E677" t="inlineStr">
        <is>
          <t>On Premise</t>
        </is>
      </c>
      <c r="F677">
        <f>IFERROR(INDEX(ChFormat,MATCH(E677,ChName,0)),"")</f>
        <v/>
      </c>
      <c r="G677" t="inlineStr">
        <is>
          <t>SK</t>
        </is>
      </c>
      <c r="H677">
        <f>IF(A677&lt;=NWeeks,1,0)</f>
        <v/>
      </c>
      <c r="I677">
        <f>INDEX(ChLaunch,MATCH(E677,ChName,0))</f>
        <v/>
      </c>
      <c r="J677">
        <f>INDEX(ChWeeksFull,MATCH(E677,ChName,0))</f>
        <v/>
      </c>
      <c r="K677">
        <f>INDEX(ChRamp,MATCH(E677,ChName,0))</f>
        <v/>
      </c>
      <c r="L677" s="45">
        <f>MIN(1,MAX(0,(A677-I677+1)*RampSpeed/J677))</f>
        <v/>
      </c>
      <c r="M677" s="45">
        <f>IF(A677&lt;I677,0,IF(K677="S-curve",L677*L677*(3-2*L677),L677))</f>
        <v/>
      </c>
      <c r="N677" s="45">
        <f>1+(INDEX(SeasonIdx,A677)-1)*SeasonAmp</f>
        <v/>
      </c>
      <c r="O677" s="45">
        <f>IFERROR(INDEX(PSPct,MATCH(E677&amp;"|"&amp;G677,PSKey,0)),0)</f>
        <v/>
      </c>
      <c r="P677" s="46">
        <f>INDEX(ChDoorVel,MATCH(E677,ChName,0))*CalibScalar*(1+VelocityUplift)</f>
        <v/>
      </c>
      <c r="Q677" s="46" t="n">
        <v>0</v>
      </c>
      <c r="R677" s="46">
        <f>P677*O677*M677*N677*H677</f>
        <v/>
      </c>
      <c r="S677" s="46">
        <f>R677*INDEX(FmtCansPerCase,MATCH(F677,FmtName,0))</f>
        <v/>
      </c>
      <c r="T677" s="46">
        <f>S677/INDEX(FmtCansPerPack,MATCH(F677,FmtName,0))</f>
        <v/>
      </c>
      <c r="U677" s="47">
        <f>INDEX(ChBaseCP,MATCH(E677,ChName,0))*(1+INDEX(ProvMod,MATCH(G677,ProvCode,0)))*(1+PriceIndex)</f>
        <v/>
      </c>
      <c r="V677" s="47">
        <f>R677*U677*INDEX(FmtBlendedPriceIdx,MATCH(F677,FmtName,0))</f>
        <v/>
      </c>
      <c r="W677" s="47">
        <f>T677*INDEX(ProvSRP,MATCH(G677,ProvCode,0))*(1+PriceIndex)</f>
        <v/>
      </c>
      <c r="X677" s="47">
        <f>IF(GrossBasis="Wholesale",V677,W677)</f>
        <v/>
      </c>
      <c r="Y677" s="47">
        <f>R677*INDEX(FmtBlendedCogs,MATCH(F677,FmtName,0))</f>
        <v/>
      </c>
      <c r="Z677" s="47">
        <f>X677-Y677</f>
        <v/>
      </c>
    </row>
    <row r="678">
      <c r="A678" t="n">
        <v>41</v>
      </c>
      <c r="B678" s="44">
        <f>FiscalStart+(A678-1)*7</f>
        <v/>
      </c>
      <c r="C678">
        <f>TEXT(B678,"mmm yyyy")</f>
        <v/>
      </c>
      <c r="D678">
        <f>"Q"&amp;(INT((A678-1)/13)+1)</f>
        <v/>
      </c>
      <c r="E678" t="inlineStr">
        <is>
          <t>On Premise</t>
        </is>
      </c>
      <c r="F678">
        <f>IFERROR(INDEX(ChFormat,MATCH(E678,ChName,0)),"")</f>
        <v/>
      </c>
      <c r="G678" t="inlineStr">
        <is>
          <t>SK</t>
        </is>
      </c>
      <c r="H678">
        <f>IF(A678&lt;=NWeeks,1,0)</f>
        <v/>
      </c>
      <c r="I678">
        <f>INDEX(ChLaunch,MATCH(E678,ChName,0))</f>
        <v/>
      </c>
      <c r="J678">
        <f>INDEX(ChWeeksFull,MATCH(E678,ChName,0))</f>
        <v/>
      </c>
      <c r="K678">
        <f>INDEX(ChRamp,MATCH(E678,ChName,0))</f>
        <v/>
      </c>
      <c r="L678" s="45">
        <f>MIN(1,MAX(0,(A678-I678+1)*RampSpeed/J678))</f>
        <v/>
      </c>
      <c r="M678" s="45">
        <f>IF(A678&lt;I678,0,IF(K678="S-curve",L678*L678*(3-2*L678),L678))</f>
        <v/>
      </c>
      <c r="N678" s="45">
        <f>1+(INDEX(SeasonIdx,A678)-1)*SeasonAmp</f>
        <v/>
      </c>
      <c r="O678" s="45">
        <f>IFERROR(INDEX(PSPct,MATCH(E678&amp;"|"&amp;G678,PSKey,0)),0)</f>
        <v/>
      </c>
      <c r="P678" s="46">
        <f>INDEX(ChDoorVel,MATCH(E678,ChName,0))*CalibScalar*(1+VelocityUplift)</f>
        <v/>
      </c>
      <c r="Q678" s="46" t="n">
        <v>0</v>
      </c>
      <c r="R678" s="46">
        <f>P678*O678*M678*N678*H678</f>
        <v/>
      </c>
      <c r="S678" s="46">
        <f>R678*INDEX(FmtCansPerCase,MATCH(F678,FmtName,0))</f>
        <v/>
      </c>
      <c r="T678" s="46">
        <f>S678/INDEX(FmtCansPerPack,MATCH(F678,FmtName,0))</f>
        <v/>
      </c>
      <c r="U678" s="47">
        <f>INDEX(ChBaseCP,MATCH(E678,ChName,0))*(1+INDEX(ProvMod,MATCH(G678,ProvCode,0)))*(1+PriceIndex)</f>
        <v/>
      </c>
      <c r="V678" s="47">
        <f>R678*U678*INDEX(FmtBlendedPriceIdx,MATCH(F678,FmtName,0))</f>
        <v/>
      </c>
      <c r="W678" s="47">
        <f>T678*INDEX(ProvSRP,MATCH(G678,ProvCode,0))*(1+PriceIndex)</f>
        <v/>
      </c>
      <c r="X678" s="47">
        <f>IF(GrossBasis="Wholesale",V678,W678)</f>
        <v/>
      </c>
      <c r="Y678" s="47">
        <f>R678*INDEX(FmtBlendedCogs,MATCH(F678,FmtName,0))</f>
        <v/>
      </c>
      <c r="Z678" s="47">
        <f>X678-Y678</f>
        <v/>
      </c>
    </row>
    <row r="679">
      <c r="A679" t="n">
        <v>42</v>
      </c>
      <c r="B679" s="44">
        <f>FiscalStart+(A679-1)*7</f>
        <v/>
      </c>
      <c r="C679">
        <f>TEXT(B679,"mmm yyyy")</f>
        <v/>
      </c>
      <c r="D679">
        <f>"Q"&amp;(INT((A679-1)/13)+1)</f>
        <v/>
      </c>
      <c r="E679" t="inlineStr">
        <is>
          <t>On Premise</t>
        </is>
      </c>
      <c r="F679">
        <f>IFERROR(INDEX(ChFormat,MATCH(E679,ChName,0)),"")</f>
        <v/>
      </c>
      <c r="G679" t="inlineStr">
        <is>
          <t>SK</t>
        </is>
      </c>
      <c r="H679">
        <f>IF(A679&lt;=NWeeks,1,0)</f>
        <v/>
      </c>
      <c r="I679">
        <f>INDEX(ChLaunch,MATCH(E679,ChName,0))</f>
        <v/>
      </c>
      <c r="J679">
        <f>INDEX(ChWeeksFull,MATCH(E679,ChName,0))</f>
        <v/>
      </c>
      <c r="K679">
        <f>INDEX(ChRamp,MATCH(E679,ChName,0))</f>
        <v/>
      </c>
      <c r="L679" s="45">
        <f>MIN(1,MAX(0,(A679-I679+1)*RampSpeed/J679))</f>
        <v/>
      </c>
      <c r="M679" s="45">
        <f>IF(A679&lt;I679,0,IF(K679="S-curve",L679*L679*(3-2*L679),L679))</f>
        <v/>
      </c>
      <c r="N679" s="45">
        <f>1+(INDEX(SeasonIdx,A679)-1)*SeasonAmp</f>
        <v/>
      </c>
      <c r="O679" s="45">
        <f>IFERROR(INDEX(PSPct,MATCH(E679&amp;"|"&amp;G679,PSKey,0)),0)</f>
        <v/>
      </c>
      <c r="P679" s="46">
        <f>INDEX(ChDoorVel,MATCH(E679,ChName,0))*CalibScalar*(1+VelocityUplift)</f>
        <v/>
      </c>
      <c r="Q679" s="46" t="n">
        <v>0</v>
      </c>
      <c r="R679" s="46">
        <f>P679*O679*M679*N679*H679</f>
        <v/>
      </c>
      <c r="S679" s="46">
        <f>R679*INDEX(FmtCansPerCase,MATCH(F679,FmtName,0))</f>
        <v/>
      </c>
      <c r="T679" s="46">
        <f>S679/INDEX(FmtCansPerPack,MATCH(F679,FmtName,0))</f>
        <v/>
      </c>
      <c r="U679" s="47">
        <f>INDEX(ChBaseCP,MATCH(E679,ChName,0))*(1+INDEX(ProvMod,MATCH(G679,ProvCode,0)))*(1+PriceIndex)</f>
        <v/>
      </c>
      <c r="V679" s="47">
        <f>R679*U679*INDEX(FmtBlendedPriceIdx,MATCH(F679,FmtName,0))</f>
        <v/>
      </c>
      <c r="W679" s="47">
        <f>T679*INDEX(ProvSRP,MATCH(G679,ProvCode,0))*(1+PriceIndex)</f>
        <v/>
      </c>
      <c r="X679" s="47">
        <f>IF(GrossBasis="Wholesale",V679,W679)</f>
        <v/>
      </c>
      <c r="Y679" s="47">
        <f>R679*INDEX(FmtBlendedCogs,MATCH(F679,FmtName,0))</f>
        <v/>
      </c>
      <c r="Z679" s="47">
        <f>X679-Y679</f>
        <v/>
      </c>
    </row>
    <row r="680">
      <c r="A680" t="n">
        <v>43</v>
      </c>
      <c r="B680" s="44">
        <f>FiscalStart+(A680-1)*7</f>
        <v/>
      </c>
      <c r="C680">
        <f>TEXT(B680,"mmm yyyy")</f>
        <v/>
      </c>
      <c r="D680">
        <f>"Q"&amp;(INT((A680-1)/13)+1)</f>
        <v/>
      </c>
      <c r="E680" t="inlineStr">
        <is>
          <t>On Premise</t>
        </is>
      </c>
      <c r="F680">
        <f>IFERROR(INDEX(ChFormat,MATCH(E680,ChName,0)),"")</f>
        <v/>
      </c>
      <c r="G680" t="inlineStr">
        <is>
          <t>SK</t>
        </is>
      </c>
      <c r="H680">
        <f>IF(A680&lt;=NWeeks,1,0)</f>
        <v/>
      </c>
      <c r="I680">
        <f>INDEX(ChLaunch,MATCH(E680,ChName,0))</f>
        <v/>
      </c>
      <c r="J680">
        <f>INDEX(ChWeeksFull,MATCH(E680,ChName,0))</f>
        <v/>
      </c>
      <c r="K680">
        <f>INDEX(ChRamp,MATCH(E680,ChName,0))</f>
        <v/>
      </c>
      <c r="L680" s="45">
        <f>MIN(1,MAX(0,(A680-I680+1)*RampSpeed/J680))</f>
        <v/>
      </c>
      <c r="M680" s="45">
        <f>IF(A680&lt;I680,0,IF(K680="S-curve",L680*L680*(3-2*L680),L680))</f>
        <v/>
      </c>
      <c r="N680" s="45">
        <f>1+(INDEX(SeasonIdx,A680)-1)*SeasonAmp</f>
        <v/>
      </c>
      <c r="O680" s="45">
        <f>IFERROR(INDEX(PSPct,MATCH(E680&amp;"|"&amp;G680,PSKey,0)),0)</f>
        <v/>
      </c>
      <c r="P680" s="46">
        <f>INDEX(ChDoorVel,MATCH(E680,ChName,0))*CalibScalar*(1+VelocityUplift)</f>
        <v/>
      </c>
      <c r="Q680" s="46" t="n">
        <v>0</v>
      </c>
      <c r="R680" s="46">
        <f>P680*O680*M680*N680*H680</f>
        <v/>
      </c>
      <c r="S680" s="46">
        <f>R680*INDEX(FmtCansPerCase,MATCH(F680,FmtName,0))</f>
        <v/>
      </c>
      <c r="T680" s="46">
        <f>S680/INDEX(FmtCansPerPack,MATCH(F680,FmtName,0))</f>
        <v/>
      </c>
      <c r="U680" s="47">
        <f>INDEX(ChBaseCP,MATCH(E680,ChName,0))*(1+INDEX(ProvMod,MATCH(G680,ProvCode,0)))*(1+PriceIndex)</f>
        <v/>
      </c>
      <c r="V680" s="47">
        <f>R680*U680*INDEX(FmtBlendedPriceIdx,MATCH(F680,FmtName,0))</f>
        <v/>
      </c>
      <c r="W680" s="47">
        <f>T680*INDEX(ProvSRP,MATCH(G680,ProvCode,0))*(1+PriceIndex)</f>
        <v/>
      </c>
      <c r="X680" s="47">
        <f>IF(GrossBasis="Wholesale",V680,W680)</f>
        <v/>
      </c>
      <c r="Y680" s="47">
        <f>R680*INDEX(FmtBlendedCogs,MATCH(F680,FmtName,0))</f>
        <v/>
      </c>
      <c r="Z680" s="47">
        <f>X680-Y680</f>
        <v/>
      </c>
    </row>
    <row r="681">
      <c r="A681" t="n">
        <v>44</v>
      </c>
      <c r="B681" s="44">
        <f>FiscalStart+(A681-1)*7</f>
        <v/>
      </c>
      <c r="C681">
        <f>TEXT(B681,"mmm yyyy")</f>
        <v/>
      </c>
      <c r="D681">
        <f>"Q"&amp;(INT((A681-1)/13)+1)</f>
        <v/>
      </c>
      <c r="E681" t="inlineStr">
        <is>
          <t>On Premise</t>
        </is>
      </c>
      <c r="F681">
        <f>IFERROR(INDEX(ChFormat,MATCH(E681,ChName,0)),"")</f>
        <v/>
      </c>
      <c r="G681" t="inlineStr">
        <is>
          <t>SK</t>
        </is>
      </c>
      <c r="H681">
        <f>IF(A681&lt;=NWeeks,1,0)</f>
        <v/>
      </c>
      <c r="I681">
        <f>INDEX(ChLaunch,MATCH(E681,ChName,0))</f>
        <v/>
      </c>
      <c r="J681">
        <f>INDEX(ChWeeksFull,MATCH(E681,ChName,0))</f>
        <v/>
      </c>
      <c r="K681">
        <f>INDEX(ChRamp,MATCH(E681,ChName,0))</f>
        <v/>
      </c>
      <c r="L681" s="45">
        <f>MIN(1,MAX(0,(A681-I681+1)*RampSpeed/J681))</f>
        <v/>
      </c>
      <c r="M681" s="45">
        <f>IF(A681&lt;I681,0,IF(K681="S-curve",L681*L681*(3-2*L681),L681))</f>
        <v/>
      </c>
      <c r="N681" s="45">
        <f>1+(INDEX(SeasonIdx,A681)-1)*SeasonAmp</f>
        <v/>
      </c>
      <c r="O681" s="45">
        <f>IFERROR(INDEX(PSPct,MATCH(E681&amp;"|"&amp;G681,PSKey,0)),0)</f>
        <v/>
      </c>
      <c r="P681" s="46">
        <f>INDEX(ChDoorVel,MATCH(E681,ChName,0))*CalibScalar*(1+VelocityUplift)</f>
        <v/>
      </c>
      <c r="Q681" s="46" t="n">
        <v>0</v>
      </c>
      <c r="R681" s="46">
        <f>P681*O681*M681*N681*H681</f>
        <v/>
      </c>
      <c r="S681" s="46">
        <f>R681*INDEX(FmtCansPerCase,MATCH(F681,FmtName,0))</f>
        <v/>
      </c>
      <c r="T681" s="46">
        <f>S681/INDEX(FmtCansPerPack,MATCH(F681,FmtName,0))</f>
        <v/>
      </c>
      <c r="U681" s="47">
        <f>INDEX(ChBaseCP,MATCH(E681,ChName,0))*(1+INDEX(ProvMod,MATCH(G681,ProvCode,0)))*(1+PriceIndex)</f>
        <v/>
      </c>
      <c r="V681" s="47">
        <f>R681*U681*INDEX(FmtBlendedPriceIdx,MATCH(F681,FmtName,0))</f>
        <v/>
      </c>
      <c r="W681" s="47">
        <f>T681*INDEX(ProvSRP,MATCH(G681,ProvCode,0))*(1+PriceIndex)</f>
        <v/>
      </c>
      <c r="X681" s="47">
        <f>IF(GrossBasis="Wholesale",V681,W681)</f>
        <v/>
      </c>
      <c r="Y681" s="47">
        <f>R681*INDEX(FmtBlendedCogs,MATCH(F681,FmtName,0))</f>
        <v/>
      </c>
      <c r="Z681" s="47">
        <f>X681-Y681</f>
        <v/>
      </c>
    </row>
    <row r="682">
      <c r="A682" t="n">
        <v>45</v>
      </c>
      <c r="B682" s="44">
        <f>FiscalStart+(A682-1)*7</f>
        <v/>
      </c>
      <c r="C682">
        <f>TEXT(B682,"mmm yyyy")</f>
        <v/>
      </c>
      <c r="D682">
        <f>"Q"&amp;(INT((A682-1)/13)+1)</f>
        <v/>
      </c>
      <c r="E682" t="inlineStr">
        <is>
          <t>On Premise</t>
        </is>
      </c>
      <c r="F682">
        <f>IFERROR(INDEX(ChFormat,MATCH(E682,ChName,0)),"")</f>
        <v/>
      </c>
      <c r="G682" t="inlineStr">
        <is>
          <t>SK</t>
        </is>
      </c>
      <c r="H682">
        <f>IF(A682&lt;=NWeeks,1,0)</f>
        <v/>
      </c>
      <c r="I682">
        <f>INDEX(ChLaunch,MATCH(E682,ChName,0))</f>
        <v/>
      </c>
      <c r="J682">
        <f>INDEX(ChWeeksFull,MATCH(E682,ChName,0))</f>
        <v/>
      </c>
      <c r="K682">
        <f>INDEX(ChRamp,MATCH(E682,ChName,0))</f>
        <v/>
      </c>
      <c r="L682" s="45">
        <f>MIN(1,MAX(0,(A682-I682+1)*RampSpeed/J682))</f>
        <v/>
      </c>
      <c r="M682" s="45">
        <f>IF(A682&lt;I682,0,IF(K682="S-curve",L682*L682*(3-2*L682),L682))</f>
        <v/>
      </c>
      <c r="N682" s="45">
        <f>1+(INDEX(SeasonIdx,A682)-1)*SeasonAmp</f>
        <v/>
      </c>
      <c r="O682" s="45">
        <f>IFERROR(INDEX(PSPct,MATCH(E682&amp;"|"&amp;G682,PSKey,0)),0)</f>
        <v/>
      </c>
      <c r="P682" s="46">
        <f>INDEX(ChDoorVel,MATCH(E682,ChName,0))*CalibScalar*(1+VelocityUplift)</f>
        <v/>
      </c>
      <c r="Q682" s="46" t="n">
        <v>0</v>
      </c>
      <c r="R682" s="46">
        <f>P682*O682*M682*N682*H682</f>
        <v/>
      </c>
      <c r="S682" s="46">
        <f>R682*INDEX(FmtCansPerCase,MATCH(F682,FmtName,0))</f>
        <v/>
      </c>
      <c r="T682" s="46">
        <f>S682/INDEX(FmtCansPerPack,MATCH(F682,FmtName,0))</f>
        <v/>
      </c>
      <c r="U682" s="47">
        <f>INDEX(ChBaseCP,MATCH(E682,ChName,0))*(1+INDEX(ProvMod,MATCH(G682,ProvCode,0)))*(1+PriceIndex)</f>
        <v/>
      </c>
      <c r="V682" s="47">
        <f>R682*U682*INDEX(FmtBlendedPriceIdx,MATCH(F682,FmtName,0))</f>
        <v/>
      </c>
      <c r="W682" s="47">
        <f>T682*INDEX(ProvSRP,MATCH(G682,ProvCode,0))*(1+PriceIndex)</f>
        <v/>
      </c>
      <c r="X682" s="47">
        <f>IF(GrossBasis="Wholesale",V682,W682)</f>
        <v/>
      </c>
      <c r="Y682" s="47">
        <f>R682*INDEX(FmtBlendedCogs,MATCH(F682,FmtName,0))</f>
        <v/>
      </c>
      <c r="Z682" s="47">
        <f>X682-Y682</f>
        <v/>
      </c>
    </row>
    <row r="683">
      <c r="A683" t="n">
        <v>46</v>
      </c>
      <c r="B683" s="44">
        <f>FiscalStart+(A683-1)*7</f>
        <v/>
      </c>
      <c r="C683">
        <f>TEXT(B683,"mmm yyyy")</f>
        <v/>
      </c>
      <c r="D683">
        <f>"Q"&amp;(INT((A683-1)/13)+1)</f>
        <v/>
      </c>
      <c r="E683" t="inlineStr">
        <is>
          <t>On Premise</t>
        </is>
      </c>
      <c r="F683">
        <f>IFERROR(INDEX(ChFormat,MATCH(E683,ChName,0)),"")</f>
        <v/>
      </c>
      <c r="G683" t="inlineStr">
        <is>
          <t>SK</t>
        </is>
      </c>
      <c r="H683">
        <f>IF(A683&lt;=NWeeks,1,0)</f>
        <v/>
      </c>
      <c r="I683">
        <f>INDEX(ChLaunch,MATCH(E683,ChName,0))</f>
        <v/>
      </c>
      <c r="J683">
        <f>INDEX(ChWeeksFull,MATCH(E683,ChName,0))</f>
        <v/>
      </c>
      <c r="K683">
        <f>INDEX(ChRamp,MATCH(E683,ChName,0))</f>
        <v/>
      </c>
      <c r="L683" s="45">
        <f>MIN(1,MAX(0,(A683-I683+1)*RampSpeed/J683))</f>
        <v/>
      </c>
      <c r="M683" s="45">
        <f>IF(A683&lt;I683,0,IF(K683="S-curve",L683*L683*(3-2*L683),L683))</f>
        <v/>
      </c>
      <c r="N683" s="45">
        <f>1+(INDEX(SeasonIdx,A683)-1)*SeasonAmp</f>
        <v/>
      </c>
      <c r="O683" s="45">
        <f>IFERROR(INDEX(PSPct,MATCH(E683&amp;"|"&amp;G683,PSKey,0)),0)</f>
        <v/>
      </c>
      <c r="P683" s="46">
        <f>INDEX(ChDoorVel,MATCH(E683,ChName,0))*CalibScalar*(1+VelocityUplift)</f>
        <v/>
      </c>
      <c r="Q683" s="46" t="n">
        <v>0</v>
      </c>
      <c r="R683" s="46">
        <f>P683*O683*M683*N683*H683</f>
        <v/>
      </c>
      <c r="S683" s="46">
        <f>R683*INDEX(FmtCansPerCase,MATCH(F683,FmtName,0))</f>
        <v/>
      </c>
      <c r="T683" s="46">
        <f>S683/INDEX(FmtCansPerPack,MATCH(F683,FmtName,0))</f>
        <v/>
      </c>
      <c r="U683" s="47">
        <f>INDEX(ChBaseCP,MATCH(E683,ChName,0))*(1+INDEX(ProvMod,MATCH(G683,ProvCode,0)))*(1+PriceIndex)</f>
        <v/>
      </c>
      <c r="V683" s="47">
        <f>R683*U683*INDEX(FmtBlendedPriceIdx,MATCH(F683,FmtName,0))</f>
        <v/>
      </c>
      <c r="W683" s="47">
        <f>T683*INDEX(ProvSRP,MATCH(G683,ProvCode,0))*(1+PriceIndex)</f>
        <v/>
      </c>
      <c r="X683" s="47">
        <f>IF(GrossBasis="Wholesale",V683,W683)</f>
        <v/>
      </c>
      <c r="Y683" s="47">
        <f>R683*INDEX(FmtBlendedCogs,MATCH(F683,FmtName,0))</f>
        <v/>
      </c>
      <c r="Z683" s="47">
        <f>X683-Y683</f>
        <v/>
      </c>
    </row>
    <row r="684">
      <c r="A684" t="n">
        <v>47</v>
      </c>
      <c r="B684" s="44">
        <f>FiscalStart+(A684-1)*7</f>
        <v/>
      </c>
      <c r="C684">
        <f>TEXT(B684,"mmm yyyy")</f>
        <v/>
      </c>
      <c r="D684">
        <f>"Q"&amp;(INT((A684-1)/13)+1)</f>
        <v/>
      </c>
      <c r="E684" t="inlineStr">
        <is>
          <t>On Premise</t>
        </is>
      </c>
      <c r="F684">
        <f>IFERROR(INDEX(ChFormat,MATCH(E684,ChName,0)),"")</f>
        <v/>
      </c>
      <c r="G684" t="inlineStr">
        <is>
          <t>SK</t>
        </is>
      </c>
      <c r="H684">
        <f>IF(A684&lt;=NWeeks,1,0)</f>
        <v/>
      </c>
      <c r="I684">
        <f>INDEX(ChLaunch,MATCH(E684,ChName,0))</f>
        <v/>
      </c>
      <c r="J684">
        <f>INDEX(ChWeeksFull,MATCH(E684,ChName,0))</f>
        <v/>
      </c>
      <c r="K684">
        <f>INDEX(ChRamp,MATCH(E684,ChName,0))</f>
        <v/>
      </c>
      <c r="L684" s="45">
        <f>MIN(1,MAX(0,(A684-I684+1)*RampSpeed/J684))</f>
        <v/>
      </c>
      <c r="M684" s="45">
        <f>IF(A684&lt;I684,0,IF(K684="S-curve",L684*L684*(3-2*L684),L684))</f>
        <v/>
      </c>
      <c r="N684" s="45">
        <f>1+(INDEX(SeasonIdx,A684)-1)*SeasonAmp</f>
        <v/>
      </c>
      <c r="O684" s="45">
        <f>IFERROR(INDEX(PSPct,MATCH(E684&amp;"|"&amp;G684,PSKey,0)),0)</f>
        <v/>
      </c>
      <c r="P684" s="46">
        <f>INDEX(ChDoorVel,MATCH(E684,ChName,0))*CalibScalar*(1+VelocityUplift)</f>
        <v/>
      </c>
      <c r="Q684" s="46" t="n">
        <v>0</v>
      </c>
      <c r="R684" s="46">
        <f>P684*O684*M684*N684*H684</f>
        <v/>
      </c>
      <c r="S684" s="46">
        <f>R684*INDEX(FmtCansPerCase,MATCH(F684,FmtName,0))</f>
        <v/>
      </c>
      <c r="T684" s="46">
        <f>S684/INDEX(FmtCansPerPack,MATCH(F684,FmtName,0))</f>
        <v/>
      </c>
      <c r="U684" s="47">
        <f>INDEX(ChBaseCP,MATCH(E684,ChName,0))*(1+INDEX(ProvMod,MATCH(G684,ProvCode,0)))*(1+PriceIndex)</f>
        <v/>
      </c>
      <c r="V684" s="47">
        <f>R684*U684*INDEX(FmtBlendedPriceIdx,MATCH(F684,FmtName,0))</f>
        <v/>
      </c>
      <c r="W684" s="47">
        <f>T684*INDEX(ProvSRP,MATCH(G684,ProvCode,0))*(1+PriceIndex)</f>
        <v/>
      </c>
      <c r="X684" s="47">
        <f>IF(GrossBasis="Wholesale",V684,W684)</f>
        <v/>
      </c>
      <c r="Y684" s="47">
        <f>R684*INDEX(FmtBlendedCogs,MATCH(F684,FmtName,0))</f>
        <v/>
      </c>
      <c r="Z684" s="47">
        <f>X684-Y684</f>
        <v/>
      </c>
    </row>
    <row r="685">
      <c r="A685" t="n">
        <v>48</v>
      </c>
      <c r="B685" s="44">
        <f>FiscalStart+(A685-1)*7</f>
        <v/>
      </c>
      <c r="C685">
        <f>TEXT(B685,"mmm yyyy")</f>
        <v/>
      </c>
      <c r="D685">
        <f>"Q"&amp;(INT((A685-1)/13)+1)</f>
        <v/>
      </c>
      <c r="E685" t="inlineStr">
        <is>
          <t>On Premise</t>
        </is>
      </c>
      <c r="F685">
        <f>IFERROR(INDEX(ChFormat,MATCH(E685,ChName,0)),"")</f>
        <v/>
      </c>
      <c r="G685" t="inlineStr">
        <is>
          <t>SK</t>
        </is>
      </c>
      <c r="H685">
        <f>IF(A685&lt;=NWeeks,1,0)</f>
        <v/>
      </c>
      <c r="I685">
        <f>INDEX(ChLaunch,MATCH(E685,ChName,0))</f>
        <v/>
      </c>
      <c r="J685">
        <f>INDEX(ChWeeksFull,MATCH(E685,ChName,0))</f>
        <v/>
      </c>
      <c r="K685">
        <f>INDEX(ChRamp,MATCH(E685,ChName,0))</f>
        <v/>
      </c>
      <c r="L685" s="45">
        <f>MIN(1,MAX(0,(A685-I685+1)*RampSpeed/J685))</f>
        <v/>
      </c>
      <c r="M685" s="45">
        <f>IF(A685&lt;I685,0,IF(K685="S-curve",L685*L685*(3-2*L685),L685))</f>
        <v/>
      </c>
      <c r="N685" s="45">
        <f>1+(INDEX(SeasonIdx,A685)-1)*SeasonAmp</f>
        <v/>
      </c>
      <c r="O685" s="45">
        <f>IFERROR(INDEX(PSPct,MATCH(E685&amp;"|"&amp;G685,PSKey,0)),0)</f>
        <v/>
      </c>
      <c r="P685" s="46">
        <f>INDEX(ChDoorVel,MATCH(E685,ChName,0))*CalibScalar*(1+VelocityUplift)</f>
        <v/>
      </c>
      <c r="Q685" s="46" t="n">
        <v>0</v>
      </c>
      <c r="R685" s="46">
        <f>P685*O685*M685*N685*H685</f>
        <v/>
      </c>
      <c r="S685" s="46">
        <f>R685*INDEX(FmtCansPerCase,MATCH(F685,FmtName,0))</f>
        <v/>
      </c>
      <c r="T685" s="46">
        <f>S685/INDEX(FmtCansPerPack,MATCH(F685,FmtName,0))</f>
        <v/>
      </c>
      <c r="U685" s="47">
        <f>INDEX(ChBaseCP,MATCH(E685,ChName,0))*(1+INDEX(ProvMod,MATCH(G685,ProvCode,0)))*(1+PriceIndex)</f>
        <v/>
      </c>
      <c r="V685" s="47">
        <f>R685*U685*INDEX(FmtBlendedPriceIdx,MATCH(F685,FmtName,0))</f>
        <v/>
      </c>
      <c r="W685" s="47">
        <f>T685*INDEX(ProvSRP,MATCH(G685,ProvCode,0))*(1+PriceIndex)</f>
        <v/>
      </c>
      <c r="X685" s="47">
        <f>IF(GrossBasis="Wholesale",V685,W685)</f>
        <v/>
      </c>
      <c r="Y685" s="47">
        <f>R685*INDEX(FmtBlendedCogs,MATCH(F685,FmtName,0))</f>
        <v/>
      </c>
      <c r="Z685" s="47">
        <f>X685-Y685</f>
        <v/>
      </c>
    </row>
    <row r="686">
      <c r="A686" t="n">
        <v>49</v>
      </c>
      <c r="B686" s="44">
        <f>FiscalStart+(A686-1)*7</f>
        <v/>
      </c>
      <c r="C686">
        <f>TEXT(B686,"mmm yyyy")</f>
        <v/>
      </c>
      <c r="D686">
        <f>"Q"&amp;(INT((A686-1)/13)+1)</f>
        <v/>
      </c>
      <c r="E686" t="inlineStr">
        <is>
          <t>On Premise</t>
        </is>
      </c>
      <c r="F686">
        <f>IFERROR(INDEX(ChFormat,MATCH(E686,ChName,0)),"")</f>
        <v/>
      </c>
      <c r="G686" t="inlineStr">
        <is>
          <t>SK</t>
        </is>
      </c>
      <c r="H686">
        <f>IF(A686&lt;=NWeeks,1,0)</f>
        <v/>
      </c>
      <c r="I686">
        <f>INDEX(ChLaunch,MATCH(E686,ChName,0))</f>
        <v/>
      </c>
      <c r="J686">
        <f>INDEX(ChWeeksFull,MATCH(E686,ChName,0))</f>
        <v/>
      </c>
      <c r="K686">
        <f>INDEX(ChRamp,MATCH(E686,ChName,0))</f>
        <v/>
      </c>
      <c r="L686" s="45">
        <f>MIN(1,MAX(0,(A686-I686+1)*RampSpeed/J686))</f>
        <v/>
      </c>
      <c r="M686" s="45">
        <f>IF(A686&lt;I686,0,IF(K686="S-curve",L686*L686*(3-2*L686),L686))</f>
        <v/>
      </c>
      <c r="N686" s="45">
        <f>1+(INDEX(SeasonIdx,A686)-1)*SeasonAmp</f>
        <v/>
      </c>
      <c r="O686" s="45">
        <f>IFERROR(INDEX(PSPct,MATCH(E686&amp;"|"&amp;G686,PSKey,0)),0)</f>
        <v/>
      </c>
      <c r="P686" s="46">
        <f>INDEX(ChDoorVel,MATCH(E686,ChName,0))*CalibScalar*(1+VelocityUplift)</f>
        <v/>
      </c>
      <c r="Q686" s="46" t="n">
        <v>0</v>
      </c>
      <c r="R686" s="46">
        <f>P686*O686*M686*N686*H686</f>
        <v/>
      </c>
      <c r="S686" s="46">
        <f>R686*INDEX(FmtCansPerCase,MATCH(F686,FmtName,0))</f>
        <v/>
      </c>
      <c r="T686" s="46">
        <f>S686/INDEX(FmtCansPerPack,MATCH(F686,FmtName,0))</f>
        <v/>
      </c>
      <c r="U686" s="47">
        <f>INDEX(ChBaseCP,MATCH(E686,ChName,0))*(1+INDEX(ProvMod,MATCH(G686,ProvCode,0)))*(1+PriceIndex)</f>
        <v/>
      </c>
      <c r="V686" s="47">
        <f>R686*U686*INDEX(FmtBlendedPriceIdx,MATCH(F686,FmtName,0))</f>
        <v/>
      </c>
      <c r="W686" s="47">
        <f>T686*INDEX(ProvSRP,MATCH(G686,ProvCode,0))*(1+PriceIndex)</f>
        <v/>
      </c>
      <c r="X686" s="47">
        <f>IF(GrossBasis="Wholesale",V686,W686)</f>
        <v/>
      </c>
      <c r="Y686" s="47">
        <f>R686*INDEX(FmtBlendedCogs,MATCH(F686,FmtName,0))</f>
        <v/>
      </c>
      <c r="Z686" s="47">
        <f>X686-Y686</f>
        <v/>
      </c>
    </row>
    <row r="687">
      <c r="A687" t="n">
        <v>50</v>
      </c>
      <c r="B687" s="44">
        <f>FiscalStart+(A687-1)*7</f>
        <v/>
      </c>
      <c r="C687">
        <f>TEXT(B687,"mmm yyyy")</f>
        <v/>
      </c>
      <c r="D687">
        <f>"Q"&amp;(INT((A687-1)/13)+1)</f>
        <v/>
      </c>
      <c r="E687" t="inlineStr">
        <is>
          <t>On Premise</t>
        </is>
      </c>
      <c r="F687">
        <f>IFERROR(INDEX(ChFormat,MATCH(E687,ChName,0)),"")</f>
        <v/>
      </c>
      <c r="G687" t="inlineStr">
        <is>
          <t>SK</t>
        </is>
      </c>
      <c r="H687">
        <f>IF(A687&lt;=NWeeks,1,0)</f>
        <v/>
      </c>
      <c r="I687">
        <f>INDEX(ChLaunch,MATCH(E687,ChName,0))</f>
        <v/>
      </c>
      <c r="J687">
        <f>INDEX(ChWeeksFull,MATCH(E687,ChName,0))</f>
        <v/>
      </c>
      <c r="K687">
        <f>INDEX(ChRamp,MATCH(E687,ChName,0))</f>
        <v/>
      </c>
      <c r="L687" s="45">
        <f>MIN(1,MAX(0,(A687-I687+1)*RampSpeed/J687))</f>
        <v/>
      </c>
      <c r="M687" s="45">
        <f>IF(A687&lt;I687,0,IF(K687="S-curve",L687*L687*(3-2*L687),L687))</f>
        <v/>
      </c>
      <c r="N687" s="45">
        <f>1+(INDEX(SeasonIdx,A687)-1)*SeasonAmp</f>
        <v/>
      </c>
      <c r="O687" s="45">
        <f>IFERROR(INDEX(PSPct,MATCH(E687&amp;"|"&amp;G687,PSKey,0)),0)</f>
        <v/>
      </c>
      <c r="P687" s="46">
        <f>INDEX(ChDoorVel,MATCH(E687,ChName,0))*CalibScalar*(1+VelocityUplift)</f>
        <v/>
      </c>
      <c r="Q687" s="46" t="n">
        <v>0</v>
      </c>
      <c r="R687" s="46">
        <f>P687*O687*M687*N687*H687</f>
        <v/>
      </c>
      <c r="S687" s="46">
        <f>R687*INDEX(FmtCansPerCase,MATCH(F687,FmtName,0))</f>
        <v/>
      </c>
      <c r="T687" s="46">
        <f>S687/INDEX(FmtCansPerPack,MATCH(F687,FmtName,0))</f>
        <v/>
      </c>
      <c r="U687" s="47">
        <f>INDEX(ChBaseCP,MATCH(E687,ChName,0))*(1+INDEX(ProvMod,MATCH(G687,ProvCode,0)))*(1+PriceIndex)</f>
        <v/>
      </c>
      <c r="V687" s="47">
        <f>R687*U687*INDEX(FmtBlendedPriceIdx,MATCH(F687,FmtName,0))</f>
        <v/>
      </c>
      <c r="W687" s="47">
        <f>T687*INDEX(ProvSRP,MATCH(G687,ProvCode,0))*(1+PriceIndex)</f>
        <v/>
      </c>
      <c r="X687" s="47">
        <f>IF(GrossBasis="Wholesale",V687,W687)</f>
        <v/>
      </c>
      <c r="Y687" s="47">
        <f>R687*INDEX(FmtBlendedCogs,MATCH(F687,FmtName,0))</f>
        <v/>
      </c>
      <c r="Z687" s="47">
        <f>X687-Y687</f>
        <v/>
      </c>
    </row>
    <row r="688">
      <c r="A688" t="n">
        <v>51</v>
      </c>
      <c r="B688" s="44">
        <f>FiscalStart+(A688-1)*7</f>
        <v/>
      </c>
      <c r="C688">
        <f>TEXT(B688,"mmm yyyy")</f>
        <v/>
      </c>
      <c r="D688">
        <f>"Q"&amp;(INT((A688-1)/13)+1)</f>
        <v/>
      </c>
      <c r="E688" t="inlineStr">
        <is>
          <t>On Premise</t>
        </is>
      </c>
      <c r="F688">
        <f>IFERROR(INDEX(ChFormat,MATCH(E688,ChName,0)),"")</f>
        <v/>
      </c>
      <c r="G688" t="inlineStr">
        <is>
          <t>SK</t>
        </is>
      </c>
      <c r="H688">
        <f>IF(A688&lt;=NWeeks,1,0)</f>
        <v/>
      </c>
      <c r="I688">
        <f>INDEX(ChLaunch,MATCH(E688,ChName,0))</f>
        <v/>
      </c>
      <c r="J688">
        <f>INDEX(ChWeeksFull,MATCH(E688,ChName,0))</f>
        <v/>
      </c>
      <c r="K688">
        <f>INDEX(ChRamp,MATCH(E688,ChName,0))</f>
        <v/>
      </c>
      <c r="L688" s="45">
        <f>MIN(1,MAX(0,(A688-I688+1)*RampSpeed/J688))</f>
        <v/>
      </c>
      <c r="M688" s="45">
        <f>IF(A688&lt;I688,0,IF(K688="S-curve",L688*L688*(3-2*L688),L688))</f>
        <v/>
      </c>
      <c r="N688" s="45">
        <f>1+(INDEX(SeasonIdx,A688)-1)*SeasonAmp</f>
        <v/>
      </c>
      <c r="O688" s="45">
        <f>IFERROR(INDEX(PSPct,MATCH(E688&amp;"|"&amp;G688,PSKey,0)),0)</f>
        <v/>
      </c>
      <c r="P688" s="46">
        <f>INDEX(ChDoorVel,MATCH(E688,ChName,0))*CalibScalar*(1+VelocityUplift)</f>
        <v/>
      </c>
      <c r="Q688" s="46" t="n">
        <v>0</v>
      </c>
      <c r="R688" s="46">
        <f>P688*O688*M688*N688*H688</f>
        <v/>
      </c>
      <c r="S688" s="46">
        <f>R688*INDEX(FmtCansPerCase,MATCH(F688,FmtName,0))</f>
        <v/>
      </c>
      <c r="T688" s="46">
        <f>S688/INDEX(FmtCansPerPack,MATCH(F688,FmtName,0))</f>
        <v/>
      </c>
      <c r="U688" s="47">
        <f>INDEX(ChBaseCP,MATCH(E688,ChName,0))*(1+INDEX(ProvMod,MATCH(G688,ProvCode,0)))*(1+PriceIndex)</f>
        <v/>
      </c>
      <c r="V688" s="47">
        <f>R688*U688*INDEX(FmtBlendedPriceIdx,MATCH(F688,FmtName,0))</f>
        <v/>
      </c>
      <c r="W688" s="47">
        <f>T688*INDEX(ProvSRP,MATCH(G688,ProvCode,0))*(1+PriceIndex)</f>
        <v/>
      </c>
      <c r="X688" s="47">
        <f>IF(GrossBasis="Wholesale",V688,W688)</f>
        <v/>
      </c>
      <c r="Y688" s="47">
        <f>R688*INDEX(FmtBlendedCogs,MATCH(F688,FmtName,0))</f>
        <v/>
      </c>
      <c r="Z688" s="47">
        <f>X688-Y688</f>
        <v/>
      </c>
    </row>
    <row r="689">
      <c r="A689" t="n">
        <v>52</v>
      </c>
      <c r="B689" s="44">
        <f>FiscalStart+(A689-1)*7</f>
        <v/>
      </c>
      <c r="C689">
        <f>TEXT(B689,"mmm yyyy")</f>
        <v/>
      </c>
      <c r="D689">
        <f>"Q"&amp;(INT((A689-1)/13)+1)</f>
        <v/>
      </c>
      <c r="E689" t="inlineStr">
        <is>
          <t>On Premise</t>
        </is>
      </c>
      <c r="F689">
        <f>IFERROR(INDEX(ChFormat,MATCH(E689,ChName,0)),"")</f>
        <v/>
      </c>
      <c r="G689" t="inlineStr">
        <is>
          <t>SK</t>
        </is>
      </c>
      <c r="H689">
        <f>IF(A689&lt;=NWeeks,1,0)</f>
        <v/>
      </c>
      <c r="I689">
        <f>INDEX(ChLaunch,MATCH(E689,ChName,0))</f>
        <v/>
      </c>
      <c r="J689">
        <f>INDEX(ChWeeksFull,MATCH(E689,ChName,0))</f>
        <v/>
      </c>
      <c r="K689">
        <f>INDEX(ChRamp,MATCH(E689,ChName,0))</f>
        <v/>
      </c>
      <c r="L689" s="45">
        <f>MIN(1,MAX(0,(A689-I689+1)*RampSpeed/J689))</f>
        <v/>
      </c>
      <c r="M689" s="45">
        <f>IF(A689&lt;I689,0,IF(K689="S-curve",L689*L689*(3-2*L689),L689))</f>
        <v/>
      </c>
      <c r="N689" s="45">
        <f>1+(INDEX(SeasonIdx,A689)-1)*SeasonAmp</f>
        <v/>
      </c>
      <c r="O689" s="45">
        <f>IFERROR(INDEX(PSPct,MATCH(E689&amp;"|"&amp;G689,PSKey,0)),0)</f>
        <v/>
      </c>
      <c r="P689" s="46">
        <f>INDEX(ChDoorVel,MATCH(E689,ChName,0))*CalibScalar*(1+VelocityUplift)</f>
        <v/>
      </c>
      <c r="Q689" s="46" t="n">
        <v>0</v>
      </c>
      <c r="R689" s="46">
        <f>P689*O689*M689*N689*H689</f>
        <v/>
      </c>
      <c r="S689" s="46">
        <f>R689*INDEX(FmtCansPerCase,MATCH(F689,FmtName,0))</f>
        <v/>
      </c>
      <c r="T689" s="46">
        <f>S689/INDEX(FmtCansPerPack,MATCH(F689,FmtName,0))</f>
        <v/>
      </c>
      <c r="U689" s="47">
        <f>INDEX(ChBaseCP,MATCH(E689,ChName,0))*(1+INDEX(ProvMod,MATCH(G689,ProvCode,0)))*(1+PriceIndex)</f>
        <v/>
      </c>
      <c r="V689" s="47">
        <f>R689*U689*INDEX(FmtBlendedPriceIdx,MATCH(F689,FmtName,0))</f>
        <v/>
      </c>
      <c r="W689" s="47">
        <f>T689*INDEX(ProvSRP,MATCH(G689,ProvCode,0))*(1+PriceIndex)</f>
        <v/>
      </c>
      <c r="X689" s="47">
        <f>IF(GrossBasis="Wholesale",V689,W689)</f>
        <v/>
      </c>
      <c r="Y689" s="47">
        <f>R689*INDEX(FmtBlendedCogs,MATCH(F689,FmtName,0))</f>
        <v/>
      </c>
      <c r="Z689" s="47">
        <f>X689-Y689</f>
        <v/>
      </c>
    </row>
    <row r="690">
      <c r="A690" t="n">
        <v>53</v>
      </c>
      <c r="B690" s="44">
        <f>FiscalStart+(A690-1)*7</f>
        <v/>
      </c>
      <c r="C690">
        <f>TEXT(B690,"mmm yyyy")</f>
        <v/>
      </c>
      <c r="D690">
        <f>"Q"&amp;(INT((A690-1)/13)+1)</f>
        <v/>
      </c>
      <c r="E690" t="inlineStr">
        <is>
          <t>On Premise</t>
        </is>
      </c>
      <c r="F690">
        <f>IFERROR(INDEX(ChFormat,MATCH(E690,ChName,0)),"")</f>
        <v/>
      </c>
      <c r="G690" t="inlineStr">
        <is>
          <t>SK</t>
        </is>
      </c>
      <c r="H690">
        <f>IF(A690&lt;=NWeeks,1,0)</f>
        <v/>
      </c>
      <c r="I690">
        <f>INDEX(ChLaunch,MATCH(E690,ChName,0))</f>
        <v/>
      </c>
      <c r="J690">
        <f>INDEX(ChWeeksFull,MATCH(E690,ChName,0))</f>
        <v/>
      </c>
      <c r="K690">
        <f>INDEX(ChRamp,MATCH(E690,ChName,0))</f>
        <v/>
      </c>
      <c r="L690" s="45">
        <f>MIN(1,MAX(0,(A690-I690+1)*RampSpeed/J690))</f>
        <v/>
      </c>
      <c r="M690" s="45">
        <f>IF(A690&lt;I690,0,IF(K690="S-curve",L690*L690*(3-2*L690),L690))</f>
        <v/>
      </c>
      <c r="N690" s="45">
        <f>1+(INDEX(SeasonIdx,A690)-1)*SeasonAmp</f>
        <v/>
      </c>
      <c r="O690" s="45">
        <f>IFERROR(INDEX(PSPct,MATCH(E690&amp;"|"&amp;G690,PSKey,0)),0)</f>
        <v/>
      </c>
      <c r="P690" s="46">
        <f>INDEX(ChDoorVel,MATCH(E690,ChName,0))*CalibScalar*(1+VelocityUplift)</f>
        <v/>
      </c>
      <c r="Q690" s="46" t="n">
        <v>0</v>
      </c>
      <c r="R690" s="46">
        <f>P690*O690*M690*N690*H690</f>
        <v/>
      </c>
      <c r="S690" s="46">
        <f>R690*INDEX(FmtCansPerCase,MATCH(F690,FmtName,0))</f>
        <v/>
      </c>
      <c r="T690" s="46">
        <f>S690/INDEX(FmtCansPerPack,MATCH(F690,FmtName,0))</f>
        <v/>
      </c>
      <c r="U690" s="47">
        <f>INDEX(ChBaseCP,MATCH(E690,ChName,0))*(1+INDEX(ProvMod,MATCH(G690,ProvCode,0)))*(1+PriceIndex)</f>
        <v/>
      </c>
      <c r="V690" s="47">
        <f>R690*U690*INDEX(FmtBlendedPriceIdx,MATCH(F690,FmtName,0))</f>
        <v/>
      </c>
      <c r="W690" s="47">
        <f>T690*INDEX(ProvSRP,MATCH(G690,ProvCode,0))*(1+PriceIndex)</f>
        <v/>
      </c>
      <c r="X690" s="47">
        <f>IF(GrossBasis="Wholesale",V690,W690)</f>
        <v/>
      </c>
      <c r="Y690" s="47">
        <f>R690*INDEX(FmtBlendedCogs,MATCH(F690,FmtName,0))</f>
        <v/>
      </c>
      <c r="Z690" s="47">
        <f>X690-Y690</f>
        <v/>
      </c>
    </row>
    <row r="691">
      <c r="A691" t="n">
        <v>1</v>
      </c>
      <c r="B691" s="44">
        <f>FiscalStart+(A691-1)*7</f>
        <v/>
      </c>
      <c r="C691">
        <f>TEXT(B691,"mmm yyyy")</f>
        <v/>
      </c>
      <c r="D691">
        <f>"Q"&amp;(INT((A691-1)/13)+1)</f>
        <v/>
      </c>
      <c r="E691" t="inlineStr">
        <is>
          <t>On Premise</t>
        </is>
      </c>
      <c r="F691">
        <f>IFERROR(INDEX(ChFormat,MATCH(E691,ChName,0)),"")</f>
        <v/>
      </c>
      <c r="G691" t="inlineStr">
        <is>
          <t>MB</t>
        </is>
      </c>
      <c r="H691">
        <f>IF(A691&lt;=NWeeks,1,0)</f>
        <v/>
      </c>
      <c r="I691">
        <f>INDEX(ChLaunch,MATCH(E691,ChName,0))</f>
        <v/>
      </c>
      <c r="J691">
        <f>INDEX(ChWeeksFull,MATCH(E691,ChName,0))</f>
        <v/>
      </c>
      <c r="K691">
        <f>INDEX(ChRamp,MATCH(E691,ChName,0))</f>
        <v/>
      </c>
      <c r="L691" s="45">
        <f>MIN(1,MAX(0,(A691-I691+1)*RampSpeed/J691))</f>
        <v/>
      </c>
      <c r="M691" s="45">
        <f>IF(A691&lt;I691,0,IF(K691="S-curve",L691*L691*(3-2*L691),L691))</f>
        <v/>
      </c>
      <c r="N691" s="45">
        <f>1+(INDEX(SeasonIdx,A691)-1)*SeasonAmp</f>
        <v/>
      </c>
      <c r="O691" s="45">
        <f>IFERROR(INDEX(PSPct,MATCH(E691&amp;"|"&amp;G691,PSKey,0)),0)</f>
        <v/>
      </c>
      <c r="P691" s="46">
        <f>INDEX(ChDoorVel,MATCH(E691,ChName,0))*CalibScalar*(1+VelocityUplift)</f>
        <v/>
      </c>
      <c r="Q691" s="46" t="n">
        <v>0</v>
      </c>
      <c r="R691" s="46">
        <f>P691*O691*M691*N691*H691</f>
        <v/>
      </c>
      <c r="S691" s="46">
        <f>R691*INDEX(FmtCansPerCase,MATCH(F691,FmtName,0))</f>
        <v/>
      </c>
      <c r="T691" s="46">
        <f>S691/INDEX(FmtCansPerPack,MATCH(F691,FmtName,0))</f>
        <v/>
      </c>
      <c r="U691" s="47">
        <f>INDEX(ChBaseCP,MATCH(E691,ChName,0))*(1+INDEX(ProvMod,MATCH(G691,ProvCode,0)))*(1+PriceIndex)</f>
        <v/>
      </c>
      <c r="V691" s="47">
        <f>R691*U691*INDEX(FmtBlendedPriceIdx,MATCH(F691,FmtName,0))</f>
        <v/>
      </c>
      <c r="W691" s="47">
        <f>T691*INDEX(ProvSRP,MATCH(G691,ProvCode,0))*(1+PriceIndex)</f>
        <v/>
      </c>
      <c r="X691" s="47">
        <f>IF(GrossBasis="Wholesale",V691,W691)</f>
        <v/>
      </c>
      <c r="Y691" s="47">
        <f>R691*INDEX(FmtBlendedCogs,MATCH(F691,FmtName,0))</f>
        <v/>
      </c>
      <c r="Z691" s="47">
        <f>X691-Y691</f>
        <v/>
      </c>
    </row>
    <row r="692">
      <c r="A692" t="n">
        <v>2</v>
      </c>
      <c r="B692" s="44">
        <f>FiscalStart+(A692-1)*7</f>
        <v/>
      </c>
      <c r="C692">
        <f>TEXT(B692,"mmm yyyy")</f>
        <v/>
      </c>
      <c r="D692">
        <f>"Q"&amp;(INT((A692-1)/13)+1)</f>
        <v/>
      </c>
      <c r="E692" t="inlineStr">
        <is>
          <t>On Premise</t>
        </is>
      </c>
      <c r="F692">
        <f>IFERROR(INDEX(ChFormat,MATCH(E692,ChName,0)),"")</f>
        <v/>
      </c>
      <c r="G692" t="inlineStr">
        <is>
          <t>MB</t>
        </is>
      </c>
      <c r="H692">
        <f>IF(A692&lt;=NWeeks,1,0)</f>
        <v/>
      </c>
      <c r="I692">
        <f>INDEX(ChLaunch,MATCH(E692,ChName,0))</f>
        <v/>
      </c>
      <c r="J692">
        <f>INDEX(ChWeeksFull,MATCH(E692,ChName,0))</f>
        <v/>
      </c>
      <c r="K692">
        <f>INDEX(ChRamp,MATCH(E692,ChName,0))</f>
        <v/>
      </c>
      <c r="L692" s="45">
        <f>MIN(1,MAX(0,(A692-I692+1)*RampSpeed/J692))</f>
        <v/>
      </c>
      <c r="M692" s="45">
        <f>IF(A692&lt;I692,0,IF(K692="S-curve",L692*L692*(3-2*L692),L692))</f>
        <v/>
      </c>
      <c r="N692" s="45">
        <f>1+(INDEX(SeasonIdx,A692)-1)*SeasonAmp</f>
        <v/>
      </c>
      <c r="O692" s="45">
        <f>IFERROR(INDEX(PSPct,MATCH(E692&amp;"|"&amp;G692,PSKey,0)),0)</f>
        <v/>
      </c>
      <c r="P692" s="46">
        <f>INDEX(ChDoorVel,MATCH(E692,ChName,0))*CalibScalar*(1+VelocityUplift)</f>
        <v/>
      </c>
      <c r="Q692" s="46" t="n">
        <v>0</v>
      </c>
      <c r="R692" s="46">
        <f>P692*O692*M692*N692*H692</f>
        <v/>
      </c>
      <c r="S692" s="46">
        <f>R692*INDEX(FmtCansPerCase,MATCH(F692,FmtName,0))</f>
        <v/>
      </c>
      <c r="T692" s="46">
        <f>S692/INDEX(FmtCansPerPack,MATCH(F692,FmtName,0))</f>
        <v/>
      </c>
      <c r="U692" s="47">
        <f>INDEX(ChBaseCP,MATCH(E692,ChName,0))*(1+INDEX(ProvMod,MATCH(G692,ProvCode,0)))*(1+PriceIndex)</f>
        <v/>
      </c>
      <c r="V692" s="47">
        <f>R692*U692*INDEX(FmtBlendedPriceIdx,MATCH(F692,FmtName,0))</f>
        <v/>
      </c>
      <c r="W692" s="47">
        <f>T692*INDEX(ProvSRP,MATCH(G692,ProvCode,0))*(1+PriceIndex)</f>
        <v/>
      </c>
      <c r="X692" s="47">
        <f>IF(GrossBasis="Wholesale",V692,W692)</f>
        <v/>
      </c>
      <c r="Y692" s="47">
        <f>R692*INDEX(FmtBlendedCogs,MATCH(F692,FmtName,0))</f>
        <v/>
      </c>
      <c r="Z692" s="47">
        <f>X692-Y692</f>
        <v/>
      </c>
    </row>
    <row r="693">
      <c r="A693" t="n">
        <v>3</v>
      </c>
      <c r="B693" s="44">
        <f>FiscalStart+(A693-1)*7</f>
        <v/>
      </c>
      <c r="C693">
        <f>TEXT(B693,"mmm yyyy")</f>
        <v/>
      </c>
      <c r="D693">
        <f>"Q"&amp;(INT((A693-1)/13)+1)</f>
        <v/>
      </c>
      <c r="E693" t="inlineStr">
        <is>
          <t>On Premise</t>
        </is>
      </c>
      <c r="F693">
        <f>IFERROR(INDEX(ChFormat,MATCH(E693,ChName,0)),"")</f>
        <v/>
      </c>
      <c r="G693" t="inlineStr">
        <is>
          <t>MB</t>
        </is>
      </c>
      <c r="H693">
        <f>IF(A693&lt;=NWeeks,1,0)</f>
        <v/>
      </c>
      <c r="I693">
        <f>INDEX(ChLaunch,MATCH(E693,ChName,0))</f>
        <v/>
      </c>
      <c r="J693">
        <f>INDEX(ChWeeksFull,MATCH(E693,ChName,0))</f>
        <v/>
      </c>
      <c r="K693">
        <f>INDEX(ChRamp,MATCH(E693,ChName,0))</f>
        <v/>
      </c>
      <c r="L693" s="45">
        <f>MIN(1,MAX(0,(A693-I693+1)*RampSpeed/J693))</f>
        <v/>
      </c>
      <c r="M693" s="45">
        <f>IF(A693&lt;I693,0,IF(K693="S-curve",L693*L693*(3-2*L693),L693))</f>
        <v/>
      </c>
      <c r="N693" s="45">
        <f>1+(INDEX(SeasonIdx,A693)-1)*SeasonAmp</f>
        <v/>
      </c>
      <c r="O693" s="45">
        <f>IFERROR(INDEX(PSPct,MATCH(E693&amp;"|"&amp;G693,PSKey,0)),0)</f>
        <v/>
      </c>
      <c r="P693" s="46">
        <f>INDEX(ChDoorVel,MATCH(E693,ChName,0))*CalibScalar*(1+VelocityUplift)</f>
        <v/>
      </c>
      <c r="Q693" s="46" t="n">
        <v>0</v>
      </c>
      <c r="R693" s="46">
        <f>P693*O693*M693*N693*H693</f>
        <v/>
      </c>
      <c r="S693" s="46">
        <f>R693*INDEX(FmtCansPerCase,MATCH(F693,FmtName,0))</f>
        <v/>
      </c>
      <c r="T693" s="46">
        <f>S693/INDEX(FmtCansPerPack,MATCH(F693,FmtName,0))</f>
        <v/>
      </c>
      <c r="U693" s="47">
        <f>INDEX(ChBaseCP,MATCH(E693,ChName,0))*(1+INDEX(ProvMod,MATCH(G693,ProvCode,0)))*(1+PriceIndex)</f>
        <v/>
      </c>
      <c r="V693" s="47">
        <f>R693*U693*INDEX(FmtBlendedPriceIdx,MATCH(F693,FmtName,0))</f>
        <v/>
      </c>
      <c r="W693" s="47">
        <f>T693*INDEX(ProvSRP,MATCH(G693,ProvCode,0))*(1+PriceIndex)</f>
        <v/>
      </c>
      <c r="X693" s="47">
        <f>IF(GrossBasis="Wholesale",V693,W693)</f>
        <v/>
      </c>
      <c r="Y693" s="47">
        <f>R693*INDEX(FmtBlendedCogs,MATCH(F693,FmtName,0))</f>
        <v/>
      </c>
      <c r="Z693" s="47">
        <f>X693-Y693</f>
        <v/>
      </c>
    </row>
    <row r="694">
      <c r="A694" t="n">
        <v>4</v>
      </c>
      <c r="B694" s="44">
        <f>FiscalStart+(A694-1)*7</f>
        <v/>
      </c>
      <c r="C694">
        <f>TEXT(B694,"mmm yyyy")</f>
        <v/>
      </c>
      <c r="D694">
        <f>"Q"&amp;(INT((A694-1)/13)+1)</f>
        <v/>
      </c>
      <c r="E694" t="inlineStr">
        <is>
          <t>On Premise</t>
        </is>
      </c>
      <c r="F694">
        <f>IFERROR(INDEX(ChFormat,MATCH(E694,ChName,0)),"")</f>
        <v/>
      </c>
      <c r="G694" t="inlineStr">
        <is>
          <t>MB</t>
        </is>
      </c>
      <c r="H694">
        <f>IF(A694&lt;=NWeeks,1,0)</f>
        <v/>
      </c>
      <c r="I694">
        <f>INDEX(ChLaunch,MATCH(E694,ChName,0))</f>
        <v/>
      </c>
      <c r="J694">
        <f>INDEX(ChWeeksFull,MATCH(E694,ChName,0))</f>
        <v/>
      </c>
      <c r="K694">
        <f>INDEX(ChRamp,MATCH(E694,ChName,0))</f>
        <v/>
      </c>
      <c r="L694" s="45">
        <f>MIN(1,MAX(0,(A694-I694+1)*RampSpeed/J694))</f>
        <v/>
      </c>
      <c r="M694" s="45">
        <f>IF(A694&lt;I694,0,IF(K694="S-curve",L694*L694*(3-2*L694),L694))</f>
        <v/>
      </c>
      <c r="N694" s="45">
        <f>1+(INDEX(SeasonIdx,A694)-1)*SeasonAmp</f>
        <v/>
      </c>
      <c r="O694" s="45">
        <f>IFERROR(INDEX(PSPct,MATCH(E694&amp;"|"&amp;G694,PSKey,0)),0)</f>
        <v/>
      </c>
      <c r="P694" s="46">
        <f>INDEX(ChDoorVel,MATCH(E694,ChName,0))*CalibScalar*(1+VelocityUplift)</f>
        <v/>
      </c>
      <c r="Q694" s="46" t="n">
        <v>0</v>
      </c>
      <c r="R694" s="46">
        <f>P694*O694*M694*N694*H694</f>
        <v/>
      </c>
      <c r="S694" s="46">
        <f>R694*INDEX(FmtCansPerCase,MATCH(F694,FmtName,0))</f>
        <v/>
      </c>
      <c r="T694" s="46">
        <f>S694/INDEX(FmtCansPerPack,MATCH(F694,FmtName,0))</f>
        <v/>
      </c>
      <c r="U694" s="47">
        <f>INDEX(ChBaseCP,MATCH(E694,ChName,0))*(1+INDEX(ProvMod,MATCH(G694,ProvCode,0)))*(1+PriceIndex)</f>
        <v/>
      </c>
      <c r="V694" s="47">
        <f>R694*U694*INDEX(FmtBlendedPriceIdx,MATCH(F694,FmtName,0))</f>
        <v/>
      </c>
      <c r="W694" s="47">
        <f>T694*INDEX(ProvSRP,MATCH(G694,ProvCode,0))*(1+PriceIndex)</f>
        <v/>
      </c>
      <c r="X694" s="47">
        <f>IF(GrossBasis="Wholesale",V694,W694)</f>
        <v/>
      </c>
      <c r="Y694" s="47">
        <f>R694*INDEX(FmtBlendedCogs,MATCH(F694,FmtName,0))</f>
        <v/>
      </c>
      <c r="Z694" s="47">
        <f>X694-Y694</f>
        <v/>
      </c>
    </row>
    <row r="695">
      <c r="A695" t="n">
        <v>5</v>
      </c>
      <c r="B695" s="44">
        <f>FiscalStart+(A695-1)*7</f>
        <v/>
      </c>
      <c r="C695">
        <f>TEXT(B695,"mmm yyyy")</f>
        <v/>
      </c>
      <c r="D695">
        <f>"Q"&amp;(INT((A695-1)/13)+1)</f>
        <v/>
      </c>
      <c r="E695" t="inlineStr">
        <is>
          <t>On Premise</t>
        </is>
      </c>
      <c r="F695">
        <f>IFERROR(INDEX(ChFormat,MATCH(E695,ChName,0)),"")</f>
        <v/>
      </c>
      <c r="G695" t="inlineStr">
        <is>
          <t>MB</t>
        </is>
      </c>
      <c r="H695">
        <f>IF(A695&lt;=NWeeks,1,0)</f>
        <v/>
      </c>
      <c r="I695">
        <f>INDEX(ChLaunch,MATCH(E695,ChName,0))</f>
        <v/>
      </c>
      <c r="J695">
        <f>INDEX(ChWeeksFull,MATCH(E695,ChName,0))</f>
        <v/>
      </c>
      <c r="K695">
        <f>INDEX(ChRamp,MATCH(E695,ChName,0))</f>
        <v/>
      </c>
      <c r="L695" s="45">
        <f>MIN(1,MAX(0,(A695-I695+1)*RampSpeed/J695))</f>
        <v/>
      </c>
      <c r="M695" s="45">
        <f>IF(A695&lt;I695,0,IF(K695="S-curve",L695*L695*(3-2*L695),L695))</f>
        <v/>
      </c>
      <c r="N695" s="45">
        <f>1+(INDEX(SeasonIdx,A695)-1)*SeasonAmp</f>
        <v/>
      </c>
      <c r="O695" s="45">
        <f>IFERROR(INDEX(PSPct,MATCH(E695&amp;"|"&amp;G695,PSKey,0)),0)</f>
        <v/>
      </c>
      <c r="P695" s="46">
        <f>INDEX(ChDoorVel,MATCH(E695,ChName,0))*CalibScalar*(1+VelocityUplift)</f>
        <v/>
      </c>
      <c r="Q695" s="46" t="n">
        <v>0</v>
      </c>
      <c r="R695" s="46">
        <f>P695*O695*M695*N695*H695</f>
        <v/>
      </c>
      <c r="S695" s="46">
        <f>R695*INDEX(FmtCansPerCase,MATCH(F695,FmtName,0))</f>
        <v/>
      </c>
      <c r="T695" s="46">
        <f>S695/INDEX(FmtCansPerPack,MATCH(F695,FmtName,0))</f>
        <v/>
      </c>
      <c r="U695" s="47">
        <f>INDEX(ChBaseCP,MATCH(E695,ChName,0))*(1+INDEX(ProvMod,MATCH(G695,ProvCode,0)))*(1+PriceIndex)</f>
        <v/>
      </c>
      <c r="V695" s="47">
        <f>R695*U695*INDEX(FmtBlendedPriceIdx,MATCH(F695,FmtName,0))</f>
        <v/>
      </c>
      <c r="W695" s="47">
        <f>T695*INDEX(ProvSRP,MATCH(G695,ProvCode,0))*(1+PriceIndex)</f>
        <v/>
      </c>
      <c r="X695" s="47">
        <f>IF(GrossBasis="Wholesale",V695,W695)</f>
        <v/>
      </c>
      <c r="Y695" s="47">
        <f>R695*INDEX(FmtBlendedCogs,MATCH(F695,FmtName,0))</f>
        <v/>
      </c>
      <c r="Z695" s="47">
        <f>X695-Y695</f>
        <v/>
      </c>
    </row>
    <row r="696">
      <c r="A696" t="n">
        <v>6</v>
      </c>
      <c r="B696" s="44">
        <f>FiscalStart+(A696-1)*7</f>
        <v/>
      </c>
      <c r="C696">
        <f>TEXT(B696,"mmm yyyy")</f>
        <v/>
      </c>
      <c r="D696">
        <f>"Q"&amp;(INT((A696-1)/13)+1)</f>
        <v/>
      </c>
      <c r="E696" t="inlineStr">
        <is>
          <t>On Premise</t>
        </is>
      </c>
      <c r="F696">
        <f>IFERROR(INDEX(ChFormat,MATCH(E696,ChName,0)),"")</f>
        <v/>
      </c>
      <c r="G696" t="inlineStr">
        <is>
          <t>MB</t>
        </is>
      </c>
      <c r="H696">
        <f>IF(A696&lt;=NWeeks,1,0)</f>
        <v/>
      </c>
      <c r="I696">
        <f>INDEX(ChLaunch,MATCH(E696,ChName,0))</f>
        <v/>
      </c>
      <c r="J696">
        <f>INDEX(ChWeeksFull,MATCH(E696,ChName,0))</f>
        <v/>
      </c>
      <c r="K696">
        <f>INDEX(ChRamp,MATCH(E696,ChName,0))</f>
        <v/>
      </c>
      <c r="L696" s="45">
        <f>MIN(1,MAX(0,(A696-I696+1)*RampSpeed/J696))</f>
        <v/>
      </c>
      <c r="M696" s="45">
        <f>IF(A696&lt;I696,0,IF(K696="S-curve",L696*L696*(3-2*L696),L696))</f>
        <v/>
      </c>
      <c r="N696" s="45">
        <f>1+(INDEX(SeasonIdx,A696)-1)*SeasonAmp</f>
        <v/>
      </c>
      <c r="O696" s="45">
        <f>IFERROR(INDEX(PSPct,MATCH(E696&amp;"|"&amp;G696,PSKey,0)),0)</f>
        <v/>
      </c>
      <c r="P696" s="46">
        <f>INDEX(ChDoorVel,MATCH(E696,ChName,0))*CalibScalar*(1+VelocityUplift)</f>
        <v/>
      </c>
      <c r="Q696" s="46" t="n">
        <v>0</v>
      </c>
      <c r="R696" s="46">
        <f>P696*O696*M696*N696*H696</f>
        <v/>
      </c>
      <c r="S696" s="46">
        <f>R696*INDEX(FmtCansPerCase,MATCH(F696,FmtName,0))</f>
        <v/>
      </c>
      <c r="T696" s="46">
        <f>S696/INDEX(FmtCansPerPack,MATCH(F696,FmtName,0))</f>
        <v/>
      </c>
      <c r="U696" s="47">
        <f>INDEX(ChBaseCP,MATCH(E696,ChName,0))*(1+INDEX(ProvMod,MATCH(G696,ProvCode,0)))*(1+PriceIndex)</f>
        <v/>
      </c>
      <c r="V696" s="47">
        <f>R696*U696*INDEX(FmtBlendedPriceIdx,MATCH(F696,FmtName,0))</f>
        <v/>
      </c>
      <c r="W696" s="47">
        <f>T696*INDEX(ProvSRP,MATCH(G696,ProvCode,0))*(1+PriceIndex)</f>
        <v/>
      </c>
      <c r="X696" s="47">
        <f>IF(GrossBasis="Wholesale",V696,W696)</f>
        <v/>
      </c>
      <c r="Y696" s="47">
        <f>R696*INDEX(FmtBlendedCogs,MATCH(F696,FmtName,0))</f>
        <v/>
      </c>
      <c r="Z696" s="47">
        <f>X696-Y696</f>
        <v/>
      </c>
    </row>
    <row r="697">
      <c r="A697" t="n">
        <v>7</v>
      </c>
      <c r="B697" s="44">
        <f>FiscalStart+(A697-1)*7</f>
        <v/>
      </c>
      <c r="C697">
        <f>TEXT(B697,"mmm yyyy")</f>
        <v/>
      </c>
      <c r="D697">
        <f>"Q"&amp;(INT((A697-1)/13)+1)</f>
        <v/>
      </c>
      <c r="E697" t="inlineStr">
        <is>
          <t>On Premise</t>
        </is>
      </c>
      <c r="F697">
        <f>IFERROR(INDEX(ChFormat,MATCH(E697,ChName,0)),"")</f>
        <v/>
      </c>
      <c r="G697" t="inlineStr">
        <is>
          <t>MB</t>
        </is>
      </c>
      <c r="H697">
        <f>IF(A697&lt;=NWeeks,1,0)</f>
        <v/>
      </c>
      <c r="I697">
        <f>INDEX(ChLaunch,MATCH(E697,ChName,0))</f>
        <v/>
      </c>
      <c r="J697">
        <f>INDEX(ChWeeksFull,MATCH(E697,ChName,0))</f>
        <v/>
      </c>
      <c r="K697">
        <f>INDEX(ChRamp,MATCH(E697,ChName,0))</f>
        <v/>
      </c>
      <c r="L697" s="45">
        <f>MIN(1,MAX(0,(A697-I697+1)*RampSpeed/J697))</f>
        <v/>
      </c>
      <c r="M697" s="45">
        <f>IF(A697&lt;I697,0,IF(K697="S-curve",L697*L697*(3-2*L697),L697))</f>
        <v/>
      </c>
      <c r="N697" s="45">
        <f>1+(INDEX(SeasonIdx,A697)-1)*SeasonAmp</f>
        <v/>
      </c>
      <c r="O697" s="45">
        <f>IFERROR(INDEX(PSPct,MATCH(E697&amp;"|"&amp;G697,PSKey,0)),0)</f>
        <v/>
      </c>
      <c r="P697" s="46">
        <f>INDEX(ChDoorVel,MATCH(E697,ChName,0))*CalibScalar*(1+VelocityUplift)</f>
        <v/>
      </c>
      <c r="Q697" s="46" t="n">
        <v>0</v>
      </c>
      <c r="R697" s="46">
        <f>P697*O697*M697*N697*H697</f>
        <v/>
      </c>
      <c r="S697" s="46">
        <f>R697*INDEX(FmtCansPerCase,MATCH(F697,FmtName,0))</f>
        <v/>
      </c>
      <c r="T697" s="46">
        <f>S697/INDEX(FmtCansPerPack,MATCH(F697,FmtName,0))</f>
        <v/>
      </c>
      <c r="U697" s="47">
        <f>INDEX(ChBaseCP,MATCH(E697,ChName,0))*(1+INDEX(ProvMod,MATCH(G697,ProvCode,0)))*(1+PriceIndex)</f>
        <v/>
      </c>
      <c r="V697" s="47">
        <f>R697*U697*INDEX(FmtBlendedPriceIdx,MATCH(F697,FmtName,0))</f>
        <v/>
      </c>
      <c r="W697" s="47">
        <f>T697*INDEX(ProvSRP,MATCH(G697,ProvCode,0))*(1+PriceIndex)</f>
        <v/>
      </c>
      <c r="X697" s="47">
        <f>IF(GrossBasis="Wholesale",V697,W697)</f>
        <v/>
      </c>
      <c r="Y697" s="47">
        <f>R697*INDEX(FmtBlendedCogs,MATCH(F697,FmtName,0))</f>
        <v/>
      </c>
      <c r="Z697" s="47">
        <f>X697-Y697</f>
        <v/>
      </c>
    </row>
    <row r="698">
      <c r="A698" t="n">
        <v>8</v>
      </c>
      <c r="B698" s="44">
        <f>FiscalStart+(A698-1)*7</f>
        <v/>
      </c>
      <c r="C698">
        <f>TEXT(B698,"mmm yyyy")</f>
        <v/>
      </c>
      <c r="D698">
        <f>"Q"&amp;(INT((A698-1)/13)+1)</f>
        <v/>
      </c>
      <c r="E698" t="inlineStr">
        <is>
          <t>On Premise</t>
        </is>
      </c>
      <c r="F698">
        <f>IFERROR(INDEX(ChFormat,MATCH(E698,ChName,0)),"")</f>
        <v/>
      </c>
      <c r="G698" t="inlineStr">
        <is>
          <t>MB</t>
        </is>
      </c>
      <c r="H698">
        <f>IF(A698&lt;=NWeeks,1,0)</f>
        <v/>
      </c>
      <c r="I698">
        <f>INDEX(ChLaunch,MATCH(E698,ChName,0))</f>
        <v/>
      </c>
      <c r="J698">
        <f>INDEX(ChWeeksFull,MATCH(E698,ChName,0))</f>
        <v/>
      </c>
      <c r="K698">
        <f>INDEX(ChRamp,MATCH(E698,ChName,0))</f>
        <v/>
      </c>
      <c r="L698" s="45">
        <f>MIN(1,MAX(0,(A698-I698+1)*RampSpeed/J698))</f>
        <v/>
      </c>
      <c r="M698" s="45">
        <f>IF(A698&lt;I698,0,IF(K698="S-curve",L698*L698*(3-2*L698),L698))</f>
        <v/>
      </c>
      <c r="N698" s="45">
        <f>1+(INDEX(SeasonIdx,A698)-1)*SeasonAmp</f>
        <v/>
      </c>
      <c r="O698" s="45">
        <f>IFERROR(INDEX(PSPct,MATCH(E698&amp;"|"&amp;G698,PSKey,0)),0)</f>
        <v/>
      </c>
      <c r="P698" s="46">
        <f>INDEX(ChDoorVel,MATCH(E698,ChName,0))*CalibScalar*(1+VelocityUplift)</f>
        <v/>
      </c>
      <c r="Q698" s="46" t="n">
        <v>0</v>
      </c>
      <c r="R698" s="46">
        <f>P698*O698*M698*N698*H698</f>
        <v/>
      </c>
      <c r="S698" s="46">
        <f>R698*INDEX(FmtCansPerCase,MATCH(F698,FmtName,0))</f>
        <v/>
      </c>
      <c r="T698" s="46">
        <f>S698/INDEX(FmtCansPerPack,MATCH(F698,FmtName,0))</f>
        <v/>
      </c>
      <c r="U698" s="47">
        <f>INDEX(ChBaseCP,MATCH(E698,ChName,0))*(1+INDEX(ProvMod,MATCH(G698,ProvCode,0)))*(1+PriceIndex)</f>
        <v/>
      </c>
      <c r="V698" s="47">
        <f>R698*U698*INDEX(FmtBlendedPriceIdx,MATCH(F698,FmtName,0))</f>
        <v/>
      </c>
      <c r="W698" s="47">
        <f>T698*INDEX(ProvSRP,MATCH(G698,ProvCode,0))*(1+PriceIndex)</f>
        <v/>
      </c>
      <c r="X698" s="47">
        <f>IF(GrossBasis="Wholesale",V698,W698)</f>
        <v/>
      </c>
      <c r="Y698" s="47">
        <f>R698*INDEX(FmtBlendedCogs,MATCH(F698,FmtName,0))</f>
        <v/>
      </c>
      <c r="Z698" s="47">
        <f>X698-Y698</f>
        <v/>
      </c>
    </row>
    <row r="699">
      <c r="A699" t="n">
        <v>9</v>
      </c>
      <c r="B699" s="44">
        <f>FiscalStart+(A699-1)*7</f>
        <v/>
      </c>
      <c r="C699">
        <f>TEXT(B699,"mmm yyyy")</f>
        <v/>
      </c>
      <c r="D699">
        <f>"Q"&amp;(INT((A699-1)/13)+1)</f>
        <v/>
      </c>
      <c r="E699" t="inlineStr">
        <is>
          <t>On Premise</t>
        </is>
      </c>
      <c r="F699">
        <f>IFERROR(INDEX(ChFormat,MATCH(E699,ChName,0)),"")</f>
        <v/>
      </c>
      <c r="G699" t="inlineStr">
        <is>
          <t>MB</t>
        </is>
      </c>
      <c r="H699">
        <f>IF(A699&lt;=NWeeks,1,0)</f>
        <v/>
      </c>
      <c r="I699">
        <f>INDEX(ChLaunch,MATCH(E699,ChName,0))</f>
        <v/>
      </c>
      <c r="J699">
        <f>INDEX(ChWeeksFull,MATCH(E699,ChName,0))</f>
        <v/>
      </c>
      <c r="K699">
        <f>INDEX(ChRamp,MATCH(E699,ChName,0))</f>
        <v/>
      </c>
      <c r="L699" s="45">
        <f>MIN(1,MAX(0,(A699-I699+1)*RampSpeed/J699))</f>
        <v/>
      </c>
      <c r="M699" s="45">
        <f>IF(A699&lt;I699,0,IF(K699="S-curve",L699*L699*(3-2*L699),L699))</f>
        <v/>
      </c>
      <c r="N699" s="45">
        <f>1+(INDEX(SeasonIdx,A699)-1)*SeasonAmp</f>
        <v/>
      </c>
      <c r="O699" s="45">
        <f>IFERROR(INDEX(PSPct,MATCH(E699&amp;"|"&amp;G699,PSKey,0)),0)</f>
        <v/>
      </c>
      <c r="P699" s="46">
        <f>INDEX(ChDoorVel,MATCH(E699,ChName,0))*CalibScalar*(1+VelocityUplift)</f>
        <v/>
      </c>
      <c r="Q699" s="46" t="n">
        <v>0</v>
      </c>
      <c r="R699" s="46">
        <f>P699*O699*M699*N699*H699</f>
        <v/>
      </c>
      <c r="S699" s="46">
        <f>R699*INDEX(FmtCansPerCase,MATCH(F699,FmtName,0))</f>
        <v/>
      </c>
      <c r="T699" s="46">
        <f>S699/INDEX(FmtCansPerPack,MATCH(F699,FmtName,0))</f>
        <v/>
      </c>
      <c r="U699" s="47">
        <f>INDEX(ChBaseCP,MATCH(E699,ChName,0))*(1+INDEX(ProvMod,MATCH(G699,ProvCode,0)))*(1+PriceIndex)</f>
        <v/>
      </c>
      <c r="V699" s="47">
        <f>R699*U699*INDEX(FmtBlendedPriceIdx,MATCH(F699,FmtName,0))</f>
        <v/>
      </c>
      <c r="W699" s="47">
        <f>T699*INDEX(ProvSRP,MATCH(G699,ProvCode,0))*(1+PriceIndex)</f>
        <v/>
      </c>
      <c r="X699" s="47">
        <f>IF(GrossBasis="Wholesale",V699,W699)</f>
        <v/>
      </c>
      <c r="Y699" s="47">
        <f>R699*INDEX(FmtBlendedCogs,MATCH(F699,FmtName,0))</f>
        <v/>
      </c>
      <c r="Z699" s="47">
        <f>X699-Y699</f>
        <v/>
      </c>
    </row>
    <row r="700">
      <c r="A700" t="n">
        <v>10</v>
      </c>
      <c r="B700" s="44">
        <f>FiscalStart+(A700-1)*7</f>
        <v/>
      </c>
      <c r="C700">
        <f>TEXT(B700,"mmm yyyy")</f>
        <v/>
      </c>
      <c r="D700">
        <f>"Q"&amp;(INT((A700-1)/13)+1)</f>
        <v/>
      </c>
      <c r="E700" t="inlineStr">
        <is>
          <t>On Premise</t>
        </is>
      </c>
      <c r="F700">
        <f>IFERROR(INDEX(ChFormat,MATCH(E700,ChName,0)),"")</f>
        <v/>
      </c>
      <c r="G700" t="inlineStr">
        <is>
          <t>MB</t>
        </is>
      </c>
      <c r="H700">
        <f>IF(A700&lt;=NWeeks,1,0)</f>
        <v/>
      </c>
      <c r="I700">
        <f>INDEX(ChLaunch,MATCH(E700,ChName,0))</f>
        <v/>
      </c>
      <c r="J700">
        <f>INDEX(ChWeeksFull,MATCH(E700,ChName,0))</f>
        <v/>
      </c>
      <c r="K700">
        <f>INDEX(ChRamp,MATCH(E700,ChName,0))</f>
        <v/>
      </c>
      <c r="L700" s="45">
        <f>MIN(1,MAX(0,(A700-I700+1)*RampSpeed/J700))</f>
        <v/>
      </c>
      <c r="M700" s="45">
        <f>IF(A700&lt;I700,0,IF(K700="S-curve",L700*L700*(3-2*L700),L700))</f>
        <v/>
      </c>
      <c r="N700" s="45">
        <f>1+(INDEX(SeasonIdx,A700)-1)*SeasonAmp</f>
        <v/>
      </c>
      <c r="O700" s="45">
        <f>IFERROR(INDEX(PSPct,MATCH(E700&amp;"|"&amp;G700,PSKey,0)),0)</f>
        <v/>
      </c>
      <c r="P700" s="46">
        <f>INDEX(ChDoorVel,MATCH(E700,ChName,0))*CalibScalar*(1+VelocityUplift)</f>
        <v/>
      </c>
      <c r="Q700" s="46" t="n">
        <v>0</v>
      </c>
      <c r="R700" s="46">
        <f>P700*O700*M700*N700*H700</f>
        <v/>
      </c>
      <c r="S700" s="46">
        <f>R700*INDEX(FmtCansPerCase,MATCH(F700,FmtName,0))</f>
        <v/>
      </c>
      <c r="T700" s="46">
        <f>S700/INDEX(FmtCansPerPack,MATCH(F700,FmtName,0))</f>
        <v/>
      </c>
      <c r="U700" s="47">
        <f>INDEX(ChBaseCP,MATCH(E700,ChName,0))*(1+INDEX(ProvMod,MATCH(G700,ProvCode,0)))*(1+PriceIndex)</f>
        <v/>
      </c>
      <c r="V700" s="47">
        <f>R700*U700*INDEX(FmtBlendedPriceIdx,MATCH(F700,FmtName,0))</f>
        <v/>
      </c>
      <c r="W700" s="47">
        <f>T700*INDEX(ProvSRP,MATCH(G700,ProvCode,0))*(1+PriceIndex)</f>
        <v/>
      </c>
      <c r="X700" s="47">
        <f>IF(GrossBasis="Wholesale",V700,W700)</f>
        <v/>
      </c>
      <c r="Y700" s="47">
        <f>R700*INDEX(FmtBlendedCogs,MATCH(F700,FmtName,0))</f>
        <v/>
      </c>
      <c r="Z700" s="47">
        <f>X700-Y700</f>
        <v/>
      </c>
    </row>
    <row r="701">
      <c r="A701" t="n">
        <v>11</v>
      </c>
      <c r="B701" s="44">
        <f>FiscalStart+(A701-1)*7</f>
        <v/>
      </c>
      <c r="C701">
        <f>TEXT(B701,"mmm yyyy")</f>
        <v/>
      </c>
      <c r="D701">
        <f>"Q"&amp;(INT((A701-1)/13)+1)</f>
        <v/>
      </c>
      <c r="E701" t="inlineStr">
        <is>
          <t>On Premise</t>
        </is>
      </c>
      <c r="F701">
        <f>IFERROR(INDEX(ChFormat,MATCH(E701,ChName,0)),"")</f>
        <v/>
      </c>
      <c r="G701" t="inlineStr">
        <is>
          <t>MB</t>
        </is>
      </c>
      <c r="H701">
        <f>IF(A701&lt;=NWeeks,1,0)</f>
        <v/>
      </c>
      <c r="I701">
        <f>INDEX(ChLaunch,MATCH(E701,ChName,0))</f>
        <v/>
      </c>
      <c r="J701">
        <f>INDEX(ChWeeksFull,MATCH(E701,ChName,0))</f>
        <v/>
      </c>
      <c r="K701">
        <f>INDEX(ChRamp,MATCH(E701,ChName,0))</f>
        <v/>
      </c>
      <c r="L701" s="45">
        <f>MIN(1,MAX(0,(A701-I701+1)*RampSpeed/J701))</f>
        <v/>
      </c>
      <c r="M701" s="45">
        <f>IF(A701&lt;I701,0,IF(K701="S-curve",L701*L701*(3-2*L701),L701))</f>
        <v/>
      </c>
      <c r="N701" s="45">
        <f>1+(INDEX(SeasonIdx,A701)-1)*SeasonAmp</f>
        <v/>
      </c>
      <c r="O701" s="45">
        <f>IFERROR(INDEX(PSPct,MATCH(E701&amp;"|"&amp;G701,PSKey,0)),0)</f>
        <v/>
      </c>
      <c r="P701" s="46">
        <f>INDEX(ChDoorVel,MATCH(E701,ChName,0))*CalibScalar*(1+VelocityUplift)</f>
        <v/>
      </c>
      <c r="Q701" s="46" t="n">
        <v>0</v>
      </c>
      <c r="R701" s="46">
        <f>P701*O701*M701*N701*H701</f>
        <v/>
      </c>
      <c r="S701" s="46">
        <f>R701*INDEX(FmtCansPerCase,MATCH(F701,FmtName,0))</f>
        <v/>
      </c>
      <c r="T701" s="46">
        <f>S701/INDEX(FmtCansPerPack,MATCH(F701,FmtName,0))</f>
        <v/>
      </c>
      <c r="U701" s="47">
        <f>INDEX(ChBaseCP,MATCH(E701,ChName,0))*(1+INDEX(ProvMod,MATCH(G701,ProvCode,0)))*(1+PriceIndex)</f>
        <v/>
      </c>
      <c r="V701" s="47">
        <f>R701*U701*INDEX(FmtBlendedPriceIdx,MATCH(F701,FmtName,0))</f>
        <v/>
      </c>
      <c r="W701" s="47">
        <f>T701*INDEX(ProvSRP,MATCH(G701,ProvCode,0))*(1+PriceIndex)</f>
        <v/>
      </c>
      <c r="X701" s="47">
        <f>IF(GrossBasis="Wholesale",V701,W701)</f>
        <v/>
      </c>
      <c r="Y701" s="47">
        <f>R701*INDEX(FmtBlendedCogs,MATCH(F701,FmtName,0))</f>
        <v/>
      </c>
      <c r="Z701" s="47">
        <f>X701-Y701</f>
        <v/>
      </c>
    </row>
    <row r="702">
      <c r="A702" t="n">
        <v>12</v>
      </c>
      <c r="B702" s="44">
        <f>FiscalStart+(A702-1)*7</f>
        <v/>
      </c>
      <c r="C702">
        <f>TEXT(B702,"mmm yyyy")</f>
        <v/>
      </c>
      <c r="D702">
        <f>"Q"&amp;(INT((A702-1)/13)+1)</f>
        <v/>
      </c>
      <c r="E702" t="inlineStr">
        <is>
          <t>On Premise</t>
        </is>
      </c>
      <c r="F702">
        <f>IFERROR(INDEX(ChFormat,MATCH(E702,ChName,0)),"")</f>
        <v/>
      </c>
      <c r="G702" t="inlineStr">
        <is>
          <t>MB</t>
        </is>
      </c>
      <c r="H702">
        <f>IF(A702&lt;=NWeeks,1,0)</f>
        <v/>
      </c>
      <c r="I702">
        <f>INDEX(ChLaunch,MATCH(E702,ChName,0))</f>
        <v/>
      </c>
      <c r="J702">
        <f>INDEX(ChWeeksFull,MATCH(E702,ChName,0))</f>
        <v/>
      </c>
      <c r="K702">
        <f>INDEX(ChRamp,MATCH(E702,ChName,0))</f>
        <v/>
      </c>
      <c r="L702" s="45">
        <f>MIN(1,MAX(0,(A702-I702+1)*RampSpeed/J702))</f>
        <v/>
      </c>
      <c r="M702" s="45">
        <f>IF(A702&lt;I702,0,IF(K702="S-curve",L702*L702*(3-2*L702),L702))</f>
        <v/>
      </c>
      <c r="N702" s="45">
        <f>1+(INDEX(SeasonIdx,A702)-1)*SeasonAmp</f>
        <v/>
      </c>
      <c r="O702" s="45">
        <f>IFERROR(INDEX(PSPct,MATCH(E702&amp;"|"&amp;G702,PSKey,0)),0)</f>
        <v/>
      </c>
      <c r="P702" s="46">
        <f>INDEX(ChDoorVel,MATCH(E702,ChName,0))*CalibScalar*(1+VelocityUplift)</f>
        <v/>
      </c>
      <c r="Q702" s="46" t="n">
        <v>0</v>
      </c>
      <c r="R702" s="46">
        <f>P702*O702*M702*N702*H702</f>
        <v/>
      </c>
      <c r="S702" s="46">
        <f>R702*INDEX(FmtCansPerCase,MATCH(F702,FmtName,0))</f>
        <v/>
      </c>
      <c r="T702" s="46">
        <f>S702/INDEX(FmtCansPerPack,MATCH(F702,FmtName,0))</f>
        <v/>
      </c>
      <c r="U702" s="47">
        <f>INDEX(ChBaseCP,MATCH(E702,ChName,0))*(1+INDEX(ProvMod,MATCH(G702,ProvCode,0)))*(1+PriceIndex)</f>
        <v/>
      </c>
      <c r="V702" s="47">
        <f>R702*U702*INDEX(FmtBlendedPriceIdx,MATCH(F702,FmtName,0))</f>
        <v/>
      </c>
      <c r="W702" s="47">
        <f>T702*INDEX(ProvSRP,MATCH(G702,ProvCode,0))*(1+PriceIndex)</f>
        <v/>
      </c>
      <c r="X702" s="47">
        <f>IF(GrossBasis="Wholesale",V702,W702)</f>
        <v/>
      </c>
      <c r="Y702" s="47">
        <f>R702*INDEX(FmtBlendedCogs,MATCH(F702,FmtName,0))</f>
        <v/>
      </c>
      <c r="Z702" s="47">
        <f>X702-Y702</f>
        <v/>
      </c>
    </row>
    <row r="703">
      <c r="A703" t="n">
        <v>13</v>
      </c>
      <c r="B703" s="44">
        <f>FiscalStart+(A703-1)*7</f>
        <v/>
      </c>
      <c r="C703">
        <f>TEXT(B703,"mmm yyyy")</f>
        <v/>
      </c>
      <c r="D703">
        <f>"Q"&amp;(INT((A703-1)/13)+1)</f>
        <v/>
      </c>
      <c r="E703" t="inlineStr">
        <is>
          <t>On Premise</t>
        </is>
      </c>
      <c r="F703">
        <f>IFERROR(INDEX(ChFormat,MATCH(E703,ChName,0)),"")</f>
        <v/>
      </c>
      <c r="G703" t="inlineStr">
        <is>
          <t>MB</t>
        </is>
      </c>
      <c r="H703">
        <f>IF(A703&lt;=NWeeks,1,0)</f>
        <v/>
      </c>
      <c r="I703">
        <f>INDEX(ChLaunch,MATCH(E703,ChName,0))</f>
        <v/>
      </c>
      <c r="J703">
        <f>INDEX(ChWeeksFull,MATCH(E703,ChName,0))</f>
        <v/>
      </c>
      <c r="K703">
        <f>INDEX(ChRamp,MATCH(E703,ChName,0))</f>
        <v/>
      </c>
      <c r="L703" s="45">
        <f>MIN(1,MAX(0,(A703-I703+1)*RampSpeed/J703))</f>
        <v/>
      </c>
      <c r="M703" s="45">
        <f>IF(A703&lt;I703,0,IF(K703="S-curve",L703*L703*(3-2*L703),L703))</f>
        <v/>
      </c>
      <c r="N703" s="45">
        <f>1+(INDEX(SeasonIdx,A703)-1)*SeasonAmp</f>
        <v/>
      </c>
      <c r="O703" s="45">
        <f>IFERROR(INDEX(PSPct,MATCH(E703&amp;"|"&amp;G703,PSKey,0)),0)</f>
        <v/>
      </c>
      <c r="P703" s="46">
        <f>INDEX(ChDoorVel,MATCH(E703,ChName,0))*CalibScalar*(1+VelocityUplift)</f>
        <v/>
      </c>
      <c r="Q703" s="46" t="n">
        <v>0</v>
      </c>
      <c r="R703" s="46">
        <f>P703*O703*M703*N703*H703</f>
        <v/>
      </c>
      <c r="S703" s="46">
        <f>R703*INDEX(FmtCansPerCase,MATCH(F703,FmtName,0))</f>
        <v/>
      </c>
      <c r="T703" s="46">
        <f>S703/INDEX(FmtCansPerPack,MATCH(F703,FmtName,0))</f>
        <v/>
      </c>
      <c r="U703" s="47">
        <f>INDEX(ChBaseCP,MATCH(E703,ChName,0))*(1+INDEX(ProvMod,MATCH(G703,ProvCode,0)))*(1+PriceIndex)</f>
        <v/>
      </c>
      <c r="V703" s="47">
        <f>R703*U703*INDEX(FmtBlendedPriceIdx,MATCH(F703,FmtName,0))</f>
        <v/>
      </c>
      <c r="W703" s="47">
        <f>T703*INDEX(ProvSRP,MATCH(G703,ProvCode,0))*(1+PriceIndex)</f>
        <v/>
      </c>
      <c r="X703" s="47">
        <f>IF(GrossBasis="Wholesale",V703,W703)</f>
        <v/>
      </c>
      <c r="Y703" s="47">
        <f>R703*INDEX(FmtBlendedCogs,MATCH(F703,FmtName,0))</f>
        <v/>
      </c>
      <c r="Z703" s="47">
        <f>X703-Y703</f>
        <v/>
      </c>
    </row>
    <row r="704">
      <c r="A704" t="n">
        <v>14</v>
      </c>
      <c r="B704" s="44">
        <f>FiscalStart+(A704-1)*7</f>
        <v/>
      </c>
      <c r="C704">
        <f>TEXT(B704,"mmm yyyy")</f>
        <v/>
      </c>
      <c r="D704">
        <f>"Q"&amp;(INT((A704-1)/13)+1)</f>
        <v/>
      </c>
      <c r="E704" t="inlineStr">
        <is>
          <t>On Premise</t>
        </is>
      </c>
      <c r="F704">
        <f>IFERROR(INDEX(ChFormat,MATCH(E704,ChName,0)),"")</f>
        <v/>
      </c>
      <c r="G704" t="inlineStr">
        <is>
          <t>MB</t>
        </is>
      </c>
      <c r="H704">
        <f>IF(A704&lt;=NWeeks,1,0)</f>
        <v/>
      </c>
      <c r="I704">
        <f>INDEX(ChLaunch,MATCH(E704,ChName,0))</f>
        <v/>
      </c>
      <c r="J704">
        <f>INDEX(ChWeeksFull,MATCH(E704,ChName,0))</f>
        <v/>
      </c>
      <c r="K704">
        <f>INDEX(ChRamp,MATCH(E704,ChName,0))</f>
        <v/>
      </c>
      <c r="L704" s="45">
        <f>MIN(1,MAX(0,(A704-I704+1)*RampSpeed/J704))</f>
        <v/>
      </c>
      <c r="M704" s="45">
        <f>IF(A704&lt;I704,0,IF(K704="S-curve",L704*L704*(3-2*L704),L704))</f>
        <v/>
      </c>
      <c r="N704" s="45">
        <f>1+(INDEX(SeasonIdx,A704)-1)*SeasonAmp</f>
        <v/>
      </c>
      <c r="O704" s="45">
        <f>IFERROR(INDEX(PSPct,MATCH(E704&amp;"|"&amp;G704,PSKey,0)),0)</f>
        <v/>
      </c>
      <c r="P704" s="46">
        <f>INDEX(ChDoorVel,MATCH(E704,ChName,0))*CalibScalar*(1+VelocityUplift)</f>
        <v/>
      </c>
      <c r="Q704" s="46" t="n">
        <v>0</v>
      </c>
      <c r="R704" s="46">
        <f>P704*O704*M704*N704*H704</f>
        <v/>
      </c>
      <c r="S704" s="46">
        <f>R704*INDEX(FmtCansPerCase,MATCH(F704,FmtName,0))</f>
        <v/>
      </c>
      <c r="T704" s="46">
        <f>S704/INDEX(FmtCansPerPack,MATCH(F704,FmtName,0))</f>
        <v/>
      </c>
      <c r="U704" s="47">
        <f>INDEX(ChBaseCP,MATCH(E704,ChName,0))*(1+INDEX(ProvMod,MATCH(G704,ProvCode,0)))*(1+PriceIndex)</f>
        <v/>
      </c>
      <c r="V704" s="47">
        <f>R704*U704*INDEX(FmtBlendedPriceIdx,MATCH(F704,FmtName,0))</f>
        <v/>
      </c>
      <c r="W704" s="47">
        <f>T704*INDEX(ProvSRP,MATCH(G704,ProvCode,0))*(1+PriceIndex)</f>
        <v/>
      </c>
      <c r="X704" s="47">
        <f>IF(GrossBasis="Wholesale",V704,W704)</f>
        <v/>
      </c>
      <c r="Y704" s="47">
        <f>R704*INDEX(FmtBlendedCogs,MATCH(F704,FmtName,0))</f>
        <v/>
      </c>
      <c r="Z704" s="47">
        <f>X704-Y704</f>
        <v/>
      </c>
    </row>
    <row r="705">
      <c r="A705" t="n">
        <v>15</v>
      </c>
      <c r="B705" s="44">
        <f>FiscalStart+(A705-1)*7</f>
        <v/>
      </c>
      <c r="C705">
        <f>TEXT(B705,"mmm yyyy")</f>
        <v/>
      </c>
      <c r="D705">
        <f>"Q"&amp;(INT((A705-1)/13)+1)</f>
        <v/>
      </c>
      <c r="E705" t="inlineStr">
        <is>
          <t>On Premise</t>
        </is>
      </c>
      <c r="F705">
        <f>IFERROR(INDEX(ChFormat,MATCH(E705,ChName,0)),"")</f>
        <v/>
      </c>
      <c r="G705" t="inlineStr">
        <is>
          <t>MB</t>
        </is>
      </c>
      <c r="H705">
        <f>IF(A705&lt;=NWeeks,1,0)</f>
        <v/>
      </c>
      <c r="I705">
        <f>INDEX(ChLaunch,MATCH(E705,ChName,0))</f>
        <v/>
      </c>
      <c r="J705">
        <f>INDEX(ChWeeksFull,MATCH(E705,ChName,0))</f>
        <v/>
      </c>
      <c r="K705">
        <f>INDEX(ChRamp,MATCH(E705,ChName,0))</f>
        <v/>
      </c>
      <c r="L705" s="45">
        <f>MIN(1,MAX(0,(A705-I705+1)*RampSpeed/J705))</f>
        <v/>
      </c>
      <c r="M705" s="45">
        <f>IF(A705&lt;I705,0,IF(K705="S-curve",L705*L705*(3-2*L705),L705))</f>
        <v/>
      </c>
      <c r="N705" s="45">
        <f>1+(INDEX(SeasonIdx,A705)-1)*SeasonAmp</f>
        <v/>
      </c>
      <c r="O705" s="45">
        <f>IFERROR(INDEX(PSPct,MATCH(E705&amp;"|"&amp;G705,PSKey,0)),0)</f>
        <v/>
      </c>
      <c r="P705" s="46">
        <f>INDEX(ChDoorVel,MATCH(E705,ChName,0))*CalibScalar*(1+VelocityUplift)</f>
        <v/>
      </c>
      <c r="Q705" s="46" t="n">
        <v>0</v>
      </c>
      <c r="R705" s="46">
        <f>P705*O705*M705*N705*H705</f>
        <v/>
      </c>
      <c r="S705" s="46">
        <f>R705*INDEX(FmtCansPerCase,MATCH(F705,FmtName,0))</f>
        <v/>
      </c>
      <c r="T705" s="46">
        <f>S705/INDEX(FmtCansPerPack,MATCH(F705,FmtName,0))</f>
        <v/>
      </c>
      <c r="U705" s="47">
        <f>INDEX(ChBaseCP,MATCH(E705,ChName,0))*(1+INDEX(ProvMod,MATCH(G705,ProvCode,0)))*(1+PriceIndex)</f>
        <v/>
      </c>
      <c r="V705" s="47">
        <f>R705*U705*INDEX(FmtBlendedPriceIdx,MATCH(F705,FmtName,0))</f>
        <v/>
      </c>
      <c r="W705" s="47">
        <f>T705*INDEX(ProvSRP,MATCH(G705,ProvCode,0))*(1+PriceIndex)</f>
        <v/>
      </c>
      <c r="X705" s="47">
        <f>IF(GrossBasis="Wholesale",V705,W705)</f>
        <v/>
      </c>
      <c r="Y705" s="47">
        <f>R705*INDEX(FmtBlendedCogs,MATCH(F705,FmtName,0))</f>
        <v/>
      </c>
      <c r="Z705" s="47">
        <f>X705-Y705</f>
        <v/>
      </c>
    </row>
    <row r="706">
      <c r="A706" t="n">
        <v>16</v>
      </c>
      <c r="B706" s="44">
        <f>FiscalStart+(A706-1)*7</f>
        <v/>
      </c>
      <c r="C706">
        <f>TEXT(B706,"mmm yyyy")</f>
        <v/>
      </c>
      <c r="D706">
        <f>"Q"&amp;(INT((A706-1)/13)+1)</f>
        <v/>
      </c>
      <c r="E706" t="inlineStr">
        <is>
          <t>On Premise</t>
        </is>
      </c>
      <c r="F706">
        <f>IFERROR(INDEX(ChFormat,MATCH(E706,ChName,0)),"")</f>
        <v/>
      </c>
      <c r="G706" t="inlineStr">
        <is>
          <t>MB</t>
        </is>
      </c>
      <c r="H706">
        <f>IF(A706&lt;=NWeeks,1,0)</f>
        <v/>
      </c>
      <c r="I706">
        <f>INDEX(ChLaunch,MATCH(E706,ChName,0))</f>
        <v/>
      </c>
      <c r="J706">
        <f>INDEX(ChWeeksFull,MATCH(E706,ChName,0))</f>
        <v/>
      </c>
      <c r="K706">
        <f>INDEX(ChRamp,MATCH(E706,ChName,0))</f>
        <v/>
      </c>
      <c r="L706" s="45">
        <f>MIN(1,MAX(0,(A706-I706+1)*RampSpeed/J706))</f>
        <v/>
      </c>
      <c r="M706" s="45">
        <f>IF(A706&lt;I706,0,IF(K706="S-curve",L706*L706*(3-2*L706),L706))</f>
        <v/>
      </c>
      <c r="N706" s="45">
        <f>1+(INDEX(SeasonIdx,A706)-1)*SeasonAmp</f>
        <v/>
      </c>
      <c r="O706" s="45">
        <f>IFERROR(INDEX(PSPct,MATCH(E706&amp;"|"&amp;G706,PSKey,0)),0)</f>
        <v/>
      </c>
      <c r="P706" s="46">
        <f>INDEX(ChDoorVel,MATCH(E706,ChName,0))*CalibScalar*(1+VelocityUplift)</f>
        <v/>
      </c>
      <c r="Q706" s="46" t="n">
        <v>0</v>
      </c>
      <c r="R706" s="46">
        <f>P706*O706*M706*N706*H706</f>
        <v/>
      </c>
      <c r="S706" s="46">
        <f>R706*INDEX(FmtCansPerCase,MATCH(F706,FmtName,0))</f>
        <v/>
      </c>
      <c r="T706" s="46">
        <f>S706/INDEX(FmtCansPerPack,MATCH(F706,FmtName,0))</f>
        <v/>
      </c>
      <c r="U706" s="47">
        <f>INDEX(ChBaseCP,MATCH(E706,ChName,0))*(1+INDEX(ProvMod,MATCH(G706,ProvCode,0)))*(1+PriceIndex)</f>
        <v/>
      </c>
      <c r="V706" s="47">
        <f>R706*U706*INDEX(FmtBlendedPriceIdx,MATCH(F706,FmtName,0))</f>
        <v/>
      </c>
      <c r="W706" s="47">
        <f>T706*INDEX(ProvSRP,MATCH(G706,ProvCode,0))*(1+PriceIndex)</f>
        <v/>
      </c>
      <c r="X706" s="47">
        <f>IF(GrossBasis="Wholesale",V706,W706)</f>
        <v/>
      </c>
      <c r="Y706" s="47">
        <f>R706*INDEX(FmtBlendedCogs,MATCH(F706,FmtName,0))</f>
        <v/>
      </c>
      <c r="Z706" s="47">
        <f>X706-Y706</f>
        <v/>
      </c>
    </row>
    <row r="707">
      <c r="A707" t="n">
        <v>17</v>
      </c>
      <c r="B707" s="44">
        <f>FiscalStart+(A707-1)*7</f>
        <v/>
      </c>
      <c r="C707">
        <f>TEXT(B707,"mmm yyyy")</f>
        <v/>
      </c>
      <c r="D707">
        <f>"Q"&amp;(INT((A707-1)/13)+1)</f>
        <v/>
      </c>
      <c r="E707" t="inlineStr">
        <is>
          <t>On Premise</t>
        </is>
      </c>
      <c r="F707">
        <f>IFERROR(INDEX(ChFormat,MATCH(E707,ChName,0)),"")</f>
        <v/>
      </c>
      <c r="G707" t="inlineStr">
        <is>
          <t>MB</t>
        </is>
      </c>
      <c r="H707">
        <f>IF(A707&lt;=NWeeks,1,0)</f>
        <v/>
      </c>
      <c r="I707">
        <f>INDEX(ChLaunch,MATCH(E707,ChName,0))</f>
        <v/>
      </c>
      <c r="J707">
        <f>INDEX(ChWeeksFull,MATCH(E707,ChName,0))</f>
        <v/>
      </c>
      <c r="K707">
        <f>INDEX(ChRamp,MATCH(E707,ChName,0))</f>
        <v/>
      </c>
      <c r="L707" s="45">
        <f>MIN(1,MAX(0,(A707-I707+1)*RampSpeed/J707))</f>
        <v/>
      </c>
      <c r="M707" s="45">
        <f>IF(A707&lt;I707,0,IF(K707="S-curve",L707*L707*(3-2*L707),L707))</f>
        <v/>
      </c>
      <c r="N707" s="45">
        <f>1+(INDEX(SeasonIdx,A707)-1)*SeasonAmp</f>
        <v/>
      </c>
      <c r="O707" s="45">
        <f>IFERROR(INDEX(PSPct,MATCH(E707&amp;"|"&amp;G707,PSKey,0)),0)</f>
        <v/>
      </c>
      <c r="P707" s="46">
        <f>INDEX(ChDoorVel,MATCH(E707,ChName,0))*CalibScalar*(1+VelocityUplift)</f>
        <v/>
      </c>
      <c r="Q707" s="46" t="n">
        <v>0</v>
      </c>
      <c r="R707" s="46">
        <f>P707*O707*M707*N707*H707</f>
        <v/>
      </c>
      <c r="S707" s="46">
        <f>R707*INDEX(FmtCansPerCase,MATCH(F707,FmtName,0))</f>
        <v/>
      </c>
      <c r="T707" s="46">
        <f>S707/INDEX(FmtCansPerPack,MATCH(F707,FmtName,0))</f>
        <v/>
      </c>
      <c r="U707" s="47">
        <f>INDEX(ChBaseCP,MATCH(E707,ChName,0))*(1+INDEX(ProvMod,MATCH(G707,ProvCode,0)))*(1+PriceIndex)</f>
        <v/>
      </c>
      <c r="V707" s="47">
        <f>R707*U707*INDEX(FmtBlendedPriceIdx,MATCH(F707,FmtName,0))</f>
        <v/>
      </c>
      <c r="W707" s="47">
        <f>T707*INDEX(ProvSRP,MATCH(G707,ProvCode,0))*(1+PriceIndex)</f>
        <v/>
      </c>
      <c r="X707" s="47">
        <f>IF(GrossBasis="Wholesale",V707,W707)</f>
        <v/>
      </c>
      <c r="Y707" s="47">
        <f>R707*INDEX(FmtBlendedCogs,MATCH(F707,FmtName,0))</f>
        <v/>
      </c>
      <c r="Z707" s="47">
        <f>X707-Y707</f>
        <v/>
      </c>
    </row>
    <row r="708">
      <c r="A708" t="n">
        <v>18</v>
      </c>
      <c r="B708" s="44">
        <f>FiscalStart+(A708-1)*7</f>
        <v/>
      </c>
      <c r="C708">
        <f>TEXT(B708,"mmm yyyy")</f>
        <v/>
      </c>
      <c r="D708">
        <f>"Q"&amp;(INT((A708-1)/13)+1)</f>
        <v/>
      </c>
      <c r="E708" t="inlineStr">
        <is>
          <t>On Premise</t>
        </is>
      </c>
      <c r="F708">
        <f>IFERROR(INDEX(ChFormat,MATCH(E708,ChName,0)),"")</f>
        <v/>
      </c>
      <c r="G708" t="inlineStr">
        <is>
          <t>MB</t>
        </is>
      </c>
      <c r="H708">
        <f>IF(A708&lt;=NWeeks,1,0)</f>
        <v/>
      </c>
      <c r="I708">
        <f>INDEX(ChLaunch,MATCH(E708,ChName,0))</f>
        <v/>
      </c>
      <c r="J708">
        <f>INDEX(ChWeeksFull,MATCH(E708,ChName,0))</f>
        <v/>
      </c>
      <c r="K708">
        <f>INDEX(ChRamp,MATCH(E708,ChName,0))</f>
        <v/>
      </c>
      <c r="L708" s="45">
        <f>MIN(1,MAX(0,(A708-I708+1)*RampSpeed/J708))</f>
        <v/>
      </c>
      <c r="M708" s="45">
        <f>IF(A708&lt;I708,0,IF(K708="S-curve",L708*L708*(3-2*L708),L708))</f>
        <v/>
      </c>
      <c r="N708" s="45">
        <f>1+(INDEX(SeasonIdx,A708)-1)*SeasonAmp</f>
        <v/>
      </c>
      <c r="O708" s="45">
        <f>IFERROR(INDEX(PSPct,MATCH(E708&amp;"|"&amp;G708,PSKey,0)),0)</f>
        <v/>
      </c>
      <c r="P708" s="46">
        <f>INDEX(ChDoorVel,MATCH(E708,ChName,0))*CalibScalar*(1+VelocityUplift)</f>
        <v/>
      </c>
      <c r="Q708" s="46" t="n">
        <v>0</v>
      </c>
      <c r="R708" s="46">
        <f>P708*O708*M708*N708*H708</f>
        <v/>
      </c>
      <c r="S708" s="46">
        <f>R708*INDEX(FmtCansPerCase,MATCH(F708,FmtName,0))</f>
        <v/>
      </c>
      <c r="T708" s="46">
        <f>S708/INDEX(FmtCansPerPack,MATCH(F708,FmtName,0))</f>
        <v/>
      </c>
      <c r="U708" s="47">
        <f>INDEX(ChBaseCP,MATCH(E708,ChName,0))*(1+INDEX(ProvMod,MATCH(G708,ProvCode,0)))*(1+PriceIndex)</f>
        <v/>
      </c>
      <c r="V708" s="47">
        <f>R708*U708*INDEX(FmtBlendedPriceIdx,MATCH(F708,FmtName,0))</f>
        <v/>
      </c>
      <c r="W708" s="47">
        <f>T708*INDEX(ProvSRP,MATCH(G708,ProvCode,0))*(1+PriceIndex)</f>
        <v/>
      </c>
      <c r="X708" s="47">
        <f>IF(GrossBasis="Wholesale",V708,W708)</f>
        <v/>
      </c>
      <c r="Y708" s="47">
        <f>R708*INDEX(FmtBlendedCogs,MATCH(F708,FmtName,0))</f>
        <v/>
      </c>
      <c r="Z708" s="47">
        <f>X708-Y708</f>
        <v/>
      </c>
    </row>
    <row r="709">
      <c r="A709" t="n">
        <v>19</v>
      </c>
      <c r="B709" s="44">
        <f>FiscalStart+(A709-1)*7</f>
        <v/>
      </c>
      <c r="C709">
        <f>TEXT(B709,"mmm yyyy")</f>
        <v/>
      </c>
      <c r="D709">
        <f>"Q"&amp;(INT((A709-1)/13)+1)</f>
        <v/>
      </c>
      <c r="E709" t="inlineStr">
        <is>
          <t>On Premise</t>
        </is>
      </c>
      <c r="F709">
        <f>IFERROR(INDEX(ChFormat,MATCH(E709,ChName,0)),"")</f>
        <v/>
      </c>
      <c r="G709" t="inlineStr">
        <is>
          <t>MB</t>
        </is>
      </c>
      <c r="H709">
        <f>IF(A709&lt;=NWeeks,1,0)</f>
        <v/>
      </c>
      <c r="I709">
        <f>INDEX(ChLaunch,MATCH(E709,ChName,0))</f>
        <v/>
      </c>
      <c r="J709">
        <f>INDEX(ChWeeksFull,MATCH(E709,ChName,0))</f>
        <v/>
      </c>
      <c r="K709">
        <f>INDEX(ChRamp,MATCH(E709,ChName,0))</f>
        <v/>
      </c>
      <c r="L709" s="45">
        <f>MIN(1,MAX(0,(A709-I709+1)*RampSpeed/J709))</f>
        <v/>
      </c>
      <c r="M709" s="45">
        <f>IF(A709&lt;I709,0,IF(K709="S-curve",L709*L709*(3-2*L709),L709))</f>
        <v/>
      </c>
      <c r="N709" s="45">
        <f>1+(INDEX(SeasonIdx,A709)-1)*SeasonAmp</f>
        <v/>
      </c>
      <c r="O709" s="45">
        <f>IFERROR(INDEX(PSPct,MATCH(E709&amp;"|"&amp;G709,PSKey,0)),0)</f>
        <v/>
      </c>
      <c r="P709" s="46">
        <f>INDEX(ChDoorVel,MATCH(E709,ChName,0))*CalibScalar*(1+VelocityUplift)</f>
        <v/>
      </c>
      <c r="Q709" s="46" t="n">
        <v>0</v>
      </c>
      <c r="R709" s="46">
        <f>P709*O709*M709*N709*H709</f>
        <v/>
      </c>
      <c r="S709" s="46">
        <f>R709*INDEX(FmtCansPerCase,MATCH(F709,FmtName,0))</f>
        <v/>
      </c>
      <c r="T709" s="46">
        <f>S709/INDEX(FmtCansPerPack,MATCH(F709,FmtName,0))</f>
        <v/>
      </c>
      <c r="U709" s="47">
        <f>INDEX(ChBaseCP,MATCH(E709,ChName,0))*(1+INDEX(ProvMod,MATCH(G709,ProvCode,0)))*(1+PriceIndex)</f>
        <v/>
      </c>
      <c r="V709" s="47">
        <f>R709*U709*INDEX(FmtBlendedPriceIdx,MATCH(F709,FmtName,0))</f>
        <v/>
      </c>
      <c r="W709" s="47">
        <f>T709*INDEX(ProvSRP,MATCH(G709,ProvCode,0))*(1+PriceIndex)</f>
        <v/>
      </c>
      <c r="X709" s="47">
        <f>IF(GrossBasis="Wholesale",V709,W709)</f>
        <v/>
      </c>
      <c r="Y709" s="47">
        <f>R709*INDEX(FmtBlendedCogs,MATCH(F709,FmtName,0))</f>
        <v/>
      </c>
      <c r="Z709" s="47">
        <f>X709-Y709</f>
        <v/>
      </c>
    </row>
    <row r="710">
      <c r="A710" t="n">
        <v>20</v>
      </c>
      <c r="B710" s="44">
        <f>FiscalStart+(A710-1)*7</f>
        <v/>
      </c>
      <c r="C710">
        <f>TEXT(B710,"mmm yyyy")</f>
        <v/>
      </c>
      <c r="D710">
        <f>"Q"&amp;(INT((A710-1)/13)+1)</f>
        <v/>
      </c>
      <c r="E710" t="inlineStr">
        <is>
          <t>On Premise</t>
        </is>
      </c>
      <c r="F710">
        <f>IFERROR(INDEX(ChFormat,MATCH(E710,ChName,0)),"")</f>
        <v/>
      </c>
      <c r="G710" t="inlineStr">
        <is>
          <t>MB</t>
        </is>
      </c>
      <c r="H710">
        <f>IF(A710&lt;=NWeeks,1,0)</f>
        <v/>
      </c>
      <c r="I710">
        <f>INDEX(ChLaunch,MATCH(E710,ChName,0))</f>
        <v/>
      </c>
      <c r="J710">
        <f>INDEX(ChWeeksFull,MATCH(E710,ChName,0))</f>
        <v/>
      </c>
      <c r="K710">
        <f>INDEX(ChRamp,MATCH(E710,ChName,0))</f>
        <v/>
      </c>
      <c r="L710" s="45">
        <f>MIN(1,MAX(0,(A710-I710+1)*RampSpeed/J710))</f>
        <v/>
      </c>
      <c r="M710" s="45">
        <f>IF(A710&lt;I710,0,IF(K710="S-curve",L710*L710*(3-2*L710),L710))</f>
        <v/>
      </c>
      <c r="N710" s="45">
        <f>1+(INDEX(SeasonIdx,A710)-1)*SeasonAmp</f>
        <v/>
      </c>
      <c r="O710" s="45">
        <f>IFERROR(INDEX(PSPct,MATCH(E710&amp;"|"&amp;G710,PSKey,0)),0)</f>
        <v/>
      </c>
      <c r="P710" s="46">
        <f>INDEX(ChDoorVel,MATCH(E710,ChName,0))*CalibScalar*(1+VelocityUplift)</f>
        <v/>
      </c>
      <c r="Q710" s="46" t="n">
        <v>0</v>
      </c>
      <c r="R710" s="46">
        <f>P710*O710*M710*N710*H710</f>
        <v/>
      </c>
      <c r="S710" s="46">
        <f>R710*INDEX(FmtCansPerCase,MATCH(F710,FmtName,0))</f>
        <v/>
      </c>
      <c r="T710" s="46">
        <f>S710/INDEX(FmtCansPerPack,MATCH(F710,FmtName,0))</f>
        <v/>
      </c>
      <c r="U710" s="47">
        <f>INDEX(ChBaseCP,MATCH(E710,ChName,0))*(1+INDEX(ProvMod,MATCH(G710,ProvCode,0)))*(1+PriceIndex)</f>
        <v/>
      </c>
      <c r="V710" s="47">
        <f>R710*U710*INDEX(FmtBlendedPriceIdx,MATCH(F710,FmtName,0))</f>
        <v/>
      </c>
      <c r="W710" s="47">
        <f>T710*INDEX(ProvSRP,MATCH(G710,ProvCode,0))*(1+PriceIndex)</f>
        <v/>
      </c>
      <c r="X710" s="47">
        <f>IF(GrossBasis="Wholesale",V710,W710)</f>
        <v/>
      </c>
      <c r="Y710" s="47">
        <f>R710*INDEX(FmtBlendedCogs,MATCH(F710,FmtName,0))</f>
        <v/>
      </c>
      <c r="Z710" s="47">
        <f>X710-Y710</f>
        <v/>
      </c>
    </row>
    <row r="711">
      <c r="A711" t="n">
        <v>21</v>
      </c>
      <c r="B711" s="44">
        <f>FiscalStart+(A711-1)*7</f>
        <v/>
      </c>
      <c r="C711">
        <f>TEXT(B711,"mmm yyyy")</f>
        <v/>
      </c>
      <c r="D711">
        <f>"Q"&amp;(INT((A711-1)/13)+1)</f>
        <v/>
      </c>
      <c r="E711" t="inlineStr">
        <is>
          <t>On Premise</t>
        </is>
      </c>
      <c r="F711">
        <f>IFERROR(INDEX(ChFormat,MATCH(E711,ChName,0)),"")</f>
        <v/>
      </c>
      <c r="G711" t="inlineStr">
        <is>
          <t>MB</t>
        </is>
      </c>
      <c r="H711">
        <f>IF(A711&lt;=NWeeks,1,0)</f>
        <v/>
      </c>
      <c r="I711">
        <f>INDEX(ChLaunch,MATCH(E711,ChName,0))</f>
        <v/>
      </c>
      <c r="J711">
        <f>INDEX(ChWeeksFull,MATCH(E711,ChName,0))</f>
        <v/>
      </c>
      <c r="K711">
        <f>INDEX(ChRamp,MATCH(E711,ChName,0))</f>
        <v/>
      </c>
      <c r="L711" s="45">
        <f>MIN(1,MAX(0,(A711-I711+1)*RampSpeed/J711))</f>
        <v/>
      </c>
      <c r="M711" s="45">
        <f>IF(A711&lt;I711,0,IF(K711="S-curve",L711*L711*(3-2*L711),L711))</f>
        <v/>
      </c>
      <c r="N711" s="45">
        <f>1+(INDEX(SeasonIdx,A711)-1)*SeasonAmp</f>
        <v/>
      </c>
      <c r="O711" s="45">
        <f>IFERROR(INDEX(PSPct,MATCH(E711&amp;"|"&amp;G711,PSKey,0)),0)</f>
        <v/>
      </c>
      <c r="P711" s="46">
        <f>INDEX(ChDoorVel,MATCH(E711,ChName,0))*CalibScalar*(1+VelocityUplift)</f>
        <v/>
      </c>
      <c r="Q711" s="46" t="n">
        <v>0</v>
      </c>
      <c r="R711" s="46">
        <f>P711*O711*M711*N711*H711</f>
        <v/>
      </c>
      <c r="S711" s="46">
        <f>R711*INDEX(FmtCansPerCase,MATCH(F711,FmtName,0))</f>
        <v/>
      </c>
      <c r="T711" s="46">
        <f>S711/INDEX(FmtCansPerPack,MATCH(F711,FmtName,0))</f>
        <v/>
      </c>
      <c r="U711" s="47">
        <f>INDEX(ChBaseCP,MATCH(E711,ChName,0))*(1+INDEX(ProvMod,MATCH(G711,ProvCode,0)))*(1+PriceIndex)</f>
        <v/>
      </c>
      <c r="V711" s="47">
        <f>R711*U711*INDEX(FmtBlendedPriceIdx,MATCH(F711,FmtName,0))</f>
        <v/>
      </c>
      <c r="W711" s="47">
        <f>T711*INDEX(ProvSRP,MATCH(G711,ProvCode,0))*(1+PriceIndex)</f>
        <v/>
      </c>
      <c r="X711" s="47">
        <f>IF(GrossBasis="Wholesale",V711,W711)</f>
        <v/>
      </c>
      <c r="Y711" s="47">
        <f>R711*INDEX(FmtBlendedCogs,MATCH(F711,FmtName,0))</f>
        <v/>
      </c>
      <c r="Z711" s="47">
        <f>X711-Y711</f>
        <v/>
      </c>
    </row>
    <row r="712">
      <c r="A712" t="n">
        <v>22</v>
      </c>
      <c r="B712" s="44">
        <f>FiscalStart+(A712-1)*7</f>
        <v/>
      </c>
      <c r="C712">
        <f>TEXT(B712,"mmm yyyy")</f>
        <v/>
      </c>
      <c r="D712">
        <f>"Q"&amp;(INT((A712-1)/13)+1)</f>
        <v/>
      </c>
      <c r="E712" t="inlineStr">
        <is>
          <t>On Premise</t>
        </is>
      </c>
      <c r="F712">
        <f>IFERROR(INDEX(ChFormat,MATCH(E712,ChName,0)),"")</f>
        <v/>
      </c>
      <c r="G712" t="inlineStr">
        <is>
          <t>MB</t>
        </is>
      </c>
      <c r="H712">
        <f>IF(A712&lt;=NWeeks,1,0)</f>
        <v/>
      </c>
      <c r="I712">
        <f>INDEX(ChLaunch,MATCH(E712,ChName,0))</f>
        <v/>
      </c>
      <c r="J712">
        <f>INDEX(ChWeeksFull,MATCH(E712,ChName,0))</f>
        <v/>
      </c>
      <c r="K712">
        <f>INDEX(ChRamp,MATCH(E712,ChName,0))</f>
        <v/>
      </c>
      <c r="L712" s="45">
        <f>MIN(1,MAX(0,(A712-I712+1)*RampSpeed/J712))</f>
        <v/>
      </c>
      <c r="M712" s="45">
        <f>IF(A712&lt;I712,0,IF(K712="S-curve",L712*L712*(3-2*L712),L712))</f>
        <v/>
      </c>
      <c r="N712" s="45">
        <f>1+(INDEX(SeasonIdx,A712)-1)*SeasonAmp</f>
        <v/>
      </c>
      <c r="O712" s="45">
        <f>IFERROR(INDEX(PSPct,MATCH(E712&amp;"|"&amp;G712,PSKey,0)),0)</f>
        <v/>
      </c>
      <c r="P712" s="46">
        <f>INDEX(ChDoorVel,MATCH(E712,ChName,0))*CalibScalar*(1+VelocityUplift)</f>
        <v/>
      </c>
      <c r="Q712" s="46" t="n">
        <v>0</v>
      </c>
      <c r="R712" s="46">
        <f>P712*O712*M712*N712*H712</f>
        <v/>
      </c>
      <c r="S712" s="46">
        <f>R712*INDEX(FmtCansPerCase,MATCH(F712,FmtName,0))</f>
        <v/>
      </c>
      <c r="T712" s="46">
        <f>S712/INDEX(FmtCansPerPack,MATCH(F712,FmtName,0))</f>
        <v/>
      </c>
      <c r="U712" s="47">
        <f>INDEX(ChBaseCP,MATCH(E712,ChName,0))*(1+INDEX(ProvMod,MATCH(G712,ProvCode,0)))*(1+PriceIndex)</f>
        <v/>
      </c>
      <c r="V712" s="47">
        <f>R712*U712*INDEX(FmtBlendedPriceIdx,MATCH(F712,FmtName,0))</f>
        <v/>
      </c>
      <c r="W712" s="47">
        <f>T712*INDEX(ProvSRP,MATCH(G712,ProvCode,0))*(1+PriceIndex)</f>
        <v/>
      </c>
      <c r="X712" s="47">
        <f>IF(GrossBasis="Wholesale",V712,W712)</f>
        <v/>
      </c>
      <c r="Y712" s="47">
        <f>R712*INDEX(FmtBlendedCogs,MATCH(F712,FmtName,0))</f>
        <v/>
      </c>
      <c r="Z712" s="47">
        <f>X712-Y712</f>
        <v/>
      </c>
    </row>
    <row r="713">
      <c r="A713" t="n">
        <v>23</v>
      </c>
      <c r="B713" s="44">
        <f>FiscalStart+(A713-1)*7</f>
        <v/>
      </c>
      <c r="C713">
        <f>TEXT(B713,"mmm yyyy")</f>
        <v/>
      </c>
      <c r="D713">
        <f>"Q"&amp;(INT((A713-1)/13)+1)</f>
        <v/>
      </c>
      <c r="E713" t="inlineStr">
        <is>
          <t>On Premise</t>
        </is>
      </c>
      <c r="F713">
        <f>IFERROR(INDEX(ChFormat,MATCH(E713,ChName,0)),"")</f>
        <v/>
      </c>
      <c r="G713" t="inlineStr">
        <is>
          <t>MB</t>
        </is>
      </c>
      <c r="H713">
        <f>IF(A713&lt;=NWeeks,1,0)</f>
        <v/>
      </c>
      <c r="I713">
        <f>INDEX(ChLaunch,MATCH(E713,ChName,0))</f>
        <v/>
      </c>
      <c r="J713">
        <f>INDEX(ChWeeksFull,MATCH(E713,ChName,0))</f>
        <v/>
      </c>
      <c r="K713">
        <f>INDEX(ChRamp,MATCH(E713,ChName,0))</f>
        <v/>
      </c>
      <c r="L713" s="45">
        <f>MIN(1,MAX(0,(A713-I713+1)*RampSpeed/J713))</f>
        <v/>
      </c>
      <c r="M713" s="45">
        <f>IF(A713&lt;I713,0,IF(K713="S-curve",L713*L713*(3-2*L713),L713))</f>
        <v/>
      </c>
      <c r="N713" s="45">
        <f>1+(INDEX(SeasonIdx,A713)-1)*SeasonAmp</f>
        <v/>
      </c>
      <c r="O713" s="45">
        <f>IFERROR(INDEX(PSPct,MATCH(E713&amp;"|"&amp;G713,PSKey,0)),0)</f>
        <v/>
      </c>
      <c r="P713" s="46">
        <f>INDEX(ChDoorVel,MATCH(E713,ChName,0))*CalibScalar*(1+VelocityUplift)</f>
        <v/>
      </c>
      <c r="Q713" s="46" t="n">
        <v>0</v>
      </c>
      <c r="R713" s="46">
        <f>P713*O713*M713*N713*H713</f>
        <v/>
      </c>
      <c r="S713" s="46">
        <f>R713*INDEX(FmtCansPerCase,MATCH(F713,FmtName,0))</f>
        <v/>
      </c>
      <c r="T713" s="46">
        <f>S713/INDEX(FmtCansPerPack,MATCH(F713,FmtName,0))</f>
        <v/>
      </c>
      <c r="U713" s="47">
        <f>INDEX(ChBaseCP,MATCH(E713,ChName,0))*(1+INDEX(ProvMod,MATCH(G713,ProvCode,0)))*(1+PriceIndex)</f>
        <v/>
      </c>
      <c r="V713" s="47">
        <f>R713*U713*INDEX(FmtBlendedPriceIdx,MATCH(F713,FmtName,0))</f>
        <v/>
      </c>
      <c r="W713" s="47">
        <f>T713*INDEX(ProvSRP,MATCH(G713,ProvCode,0))*(1+PriceIndex)</f>
        <v/>
      </c>
      <c r="X713" s="47">
        <f>IF(GrossBasis="Wholesale",V713,W713)</f>
        <v/>
      </c>
      <c r="Y713" s="47">
        <f>R713*INDEX(FmtBlendedCogs,MATCH(F713,FmtName,0))</f>
        <v/>
      </c>
      <c r="Z713" s="47">
        <f>X713-Y713</f>
        <v/>
      </c>
    </row>
    <row r="714">
      <c r="A714" t="n">
        <v>24</v>
      </c>
      <c r="B714" s="44">
        <f>FiscalStart+(A714-1)*7</f>
        <v/>
      </c>
      <c r="C714">
        <f>TEXT(B714,"mmm yyyy")</f>
        <v/>
      </c>
      <c r="D714">
        <f>"Q"&amp;(INT((A714-1)/13)+1)</f>
        <v/>
      </c>
      <c r="E714" t="inlineStr">
        <is>
          <t>On Premise</t>
        </is>
      </c>
      <c r="F714">
        <f>IFERROR(INDEX(ChFormat,MATCH(E714,ChName,0)),"")</f>
        <v/>
      </c>
      <c r="G714" t="inlineStr">
        <is>
          <t>MB</t>
        </is>
      </c>
      <c r="H714">
        <f>IF(A714&lt;=NWeeks,1,0)</f>
        <v/>
      </c>
      <c r="I714">
        <f>INDEX(ChLaunch,MATCH(E714,ChName,0))</f>
        <v/>
      </c>
      <c r="J714">
        <f>INDEX(ChWeeksFull,MATCH(E714,ChName,0))</f>
        <v/>
      </c>
      <c r="K714">
        <f>INDEX(ChRamp,MATCH(E714,ChName,0))</f>
        <v/>
      </c>
      <c r="L714" s="45">
        <f>MIN(1,MAX(0,(A714-I714+1)*RampSpeed/J714))</f>
        <v/>
      </c>
      <c r="M714" s="45">
        <f>IF(A714&lt;I714,0,IF(K714="S-curve",L714*L714*(3-2*L714),L714))</f>
        <v/>
      </c>
      <c r="N714" s="45">
        <f>1+(INDEX(SeasonIdx,A714)-1)*SeasonAmp</f>
        <v/>
      </c>
      <c r="O714" s="45">
        <f>IFERROR(INDEX(PSPct,MATCH(E714&amp;"|"&amp;G714,PSKey,0)),0)</f>
        <v/>
      </c>
      <c r="P714" s="46">
        <f>INDEX(ChDoorVel,MATCH(E714,ChName,0))*CalibScalar*(1+VelocityUplift)</f>
        <v/>
      </c>
      <c r="Q714" s="46" t="n">
        <v>0</v>
      </c>
      <c r="R714" s="46">
        <f>P714*O714*M714*N714*H714</f>
        <v/>
      </c>
      <c r="S714" s="46">
        <f>R714*INDEX(FmtCansPerCase,MATCH(F714,FmtName,0))</f>
        <v/>
      </c>
      <c r="T714" s="46">
        <f>S714/INDEX(FmtCansPerPack,MATCH(F714,FmtName,0))</f>
        <v/>
      </c>
      <c r="U714" s="47">
        <f>INDEX(ChBaseCP,MATCH(E714,ChName,0))*(1+INDEX(ProvMod,MATCH(G714,ProvCode,0)))*(1+PriceIndex)</f>
        <v/>
      </c>
      <c r="V714" s="47">
        <f>R714*U714*INDEX(FmtBlendedPriceIdx,MATCH(F714,FmtName,0))</f>
        <v/>
      </c>
      <c r="W714" s="47">
        <f>T714*INDEX(ProvSRP,MATCH(G714,ProvCode,0))*(1+PriceIndex)</f>
        <v/>
      </c>
      <c r="X714" s="47">
        <f>IF(GrossBasis="Wholesale",V714,W714)</f>
        <v/>
      </c>
      <c r="Y714" s="47">
        <f>R714*INDEX(FmtBlendedCogs,MATCH(F714,FmtName,0))</f>
        <v/>
      </c>
      <c r="Z714" s="47">
        <f>X714-Y714</f>
        <v/>
      </c>
    </row>
    <row r="715">
      <c r="A715" t="n">
        <v>25</v>
      </c>
      <c r="B715" s="44">
        <f>FiscalStart+(A715-1)*7</f>
        <v/>
      </c>
      <c r="C715">
        <f>TEXT(B715,"mmm yyyy")</f>
        <v/>
      </c>
      <c r="D715">
        <f>"Q"&amp;(INT((A715-1)/13)+1)</f>
        <v/>
      </c>
      <c r="E715" t="inlineStr">
        <is>
          <t>On Premise</t>
        </is>
      </c>
      <c r="F715">
        <f>IFERROR(INDEX(ChFormat,MATCH(E715,ChName,0)),"")</f>
        <v/>
      </c>
      <c r="G715" t="inlineStr">
        <is>
          <t>MB</t>
        </is>
      </c>
      <c r="H715">
        <f>IF(A715&lt;=NWeeks,1,0)</f>
        <v/>
      </c>
      <c r="I715">
        <f>INDEX(ChLaunch,MATCH(E715,ChName,0))</f>
        <v/>
      </c>
      <c r="J715">
        <f>INDEX(ChWeeksFull,MATCH(E715,ChName,0))</f>
        <v/>
      </c>
      <c r="K715">
        <f>INDEX(ChRamp,MATCH(E715,ChName,0))</f>
        <v/>
      </c>
      <c r="L715" s="45">
        <f>MIN(1,MAX(0,(A715-I715+1)*RampSpeed/J715))</f>
        <v/>
      </c>
      <c r="M715" s="45">
        <f>IF(A715&lt;I715,0,IF(K715="S-curve",L715*L715*(3-2*L715),L715))</f>
        <v/>
      </c>
      <c r="N715" s="45">
        <f>1+(INDEX(SeasonIdx,A715)-1)*SeasonAmp</f>
        <v/>
      </c>
      <c r="O715" s="45">
        <f>IFERROR(INDEX(PSPct,MATCH(E715&amp;"|"&amp;G715,PSKey,0)),0)</f>
        <v/>
      </c>
      <c r="P715" s="46">
        <f>INDEX(ChDoorVel,MATCH(E715,ChName,0))*CalibScalar*(1+VelocityUplift)</f>
        <v/>
      </c>
      <c r="Q715" s="46" t="n">
        <v>0</v>
      </c>
      <c r="R715" s="46">
        <f>P715*O715*M715*N715*H715</f>
        <v/>
      </c>
      <c r="S715" s="46">
        <f>R715*INDEX(FmtCansPerCase,MATCH(F715,FmtName,0))</f>
        <v/>
      </c>
      <c r="T715" s="46">
        <f>S715/INDEX(FmtCansPerPack,MATCH(F715,FmtName,0))</f>
        <v/>
      </c>
      <c r="U715" s="47">
        <f>INDEX(ChBaseCP,MATCH(E715,ChName,0))*(1+INDEX(ProvMod,MATCH(G715,ProvCode,0)))*(1+PriceIndex)</f>
        <v/>
      </c>
      <c r="V715" s="47">
        <f>R715*U715*INDEX(FmtBlendedPriceIdx,MATCH(F715,FmtName,0))</f>
        <v/>
      </c>
      <c r="W715" s="47">
        <f>T715*INDEX(ProvSRP,MATCH(G715,ProvCode,0))*(1+PriceIndex)</f>
        <v/>
      </c>
      <c r="X715" s="47">
        <f>IF(GrossBasis="Wholesale",V715,W715)</f>
        <v/>
      </c>
      <c r="Y715" s="47">
        <f>R715*INDEX(FmtBlendedCogs,MATCH(F715,FmtName,0))</f>
        <v/>
      </c>
      <c r="Z715" s="47">
        <f>X715-Y715</f>
        <v/>
      </c>
    </row>
    <row r="716">
      <c r="A716" t="n">
        <v>26</v>
      </c>
      <c r="B716" s="44">
        <f>FiscalStart+(A716-1)*7</f>
        <v/>
      </c>
      <c r="C716">
        <f>TEXT(B716,"mmm yyyy")</f>
        <v/>
      </c>
      <c r="D716">
        <f>"Q"&amp;(INT((A716-1)/13)+1)</f>
        <v/>
      </c>
      <c r="E716" t="inlineStr">
        <is>
          <t>On Premise</t>
        </is>
      </c>
      <c r="F716">
        <f>IFERROR(INDEX(ChFormat,MATCH(E716,ChName,0)),"")</f>
        <v/>
      </c>
      <c r="G716" t="inlineStr">
        <is>
          <t>MB</t>
        </is>
      </c>
      <c r="H716">
        <f>IF(A716&lt;=NWeeks,1,0)</f>
        <v/>
      </c>
      <c r="I716">
        <f>INDEX(ChLaunch,MATCH(E716,ChName,0))</f>
        <v/>
      </c>
      <c r="J716">
        <f>INDEX(ChWeeksFull,MATCH(E716,ChName,0))</f>
        <v/>
      </c>
      <c r="K716">
        <f>INDEX(ChRamp,MATCH(E716,ChName,0))</f>
        <v/>
      </c>
      <c r="L716" s="45">
        <f>MIN(1,MAX(0,(A716-I716+1)*RampSpeed/J716))</f>
        <v/>
      </c>
      <c r="M716" s="45">
        <f>IF(A716&lt;I716,0,IF(K716="S-curve",L716*L716*(3-2*L716),L716))</f>
        <v/>
      </c>
      <c r="N716" s="45">
        <f>1+(INDEX(SeasonIdx,A716)-1)*SeasonAmp</f>
        <v/>
      </c>
      <c r="O716" s="45">
        <f>IFERROR(INDEX(PSPct,MATCH(E716&amp;"|"&amp;G716,PSKey,0)),0)</f>
        <v/>
      </c>
      <c r="P716" s="46">
        <f>INDEX(ChDoorVel,MATCH(E716,ChName,0))*CalibScalar*(1+VelocityUplift)</f>
        <v/>
      </c>
      <c r="Q716" s="46" t="n">
        <v>0</v>
      </c>
      <c r="R716" s="46">
        <f>P716*O716*M716*N716*H716</f>
        <v/>
      </c>
      <c r="S716" s="46">
        <f>R716*INDEX(FmtCansPerCase,MATCH(F716,FmtName,0))</f>
        <v/>
      </c>
      <c r="T716" s="46">
        <f>S716/INDEX(FmtCansPerPack,MATCH(F716,FmtName,0))</f>
        <v/>
      </c>
      <c r="U716" s="47">
        <f>INDEX(ChBaseCP,MATCH(E716,ChName,0))*(1+INDEX(ProvMod,MATCH(G716,ProvCode,0)))*(1+PriceIndex)</f>
        <v/>
      </c>
      <c r="V716" s="47">
        <f>R716*U716*INDEX(FmtBlendedPriceIdx,MATCH(F716,FmtName,0))</f>
        <v/>
      </c>
      <c r="W716" s="47">
        <f>T716*INDEX(ProvSRP,MATCH(G716,ProvCode,0))*(1+PriceIndex)</f>
        <v/>
      </c>
      <c r="X716" s="47">
        <f>IF(GrossBasis="Wholesale",V716,W716)</f>
        <v/>
      </c>
      <c r="Y716" s="47">
        <f>R716*INDEX(FmtBlendedCogs,MATCH(F716,FmtName,0))</f>
        <v/>
      </c>
      <c r="Z716" s="47">
        <f>X716-Y716</f>
        <v/>
      </c>
    </row>
    <row r="717">
      <c r="A717" t="n">
        <v>27</v>
      </c>
      <c r="B717" s="44">
        <f>FiscalStart+(A717-1)*7</f>
        <v/>
      </c>
      <c r="C717">
        <f>TEXT(B717,"mmm yyyy")</f>
        <v/>
      </c>
      <c r="D717">
        <f>"Q"&amp;(INT((A717-1)/13)+1)</f>
        <v/>
      </c>
      <c r="E717" t="inlineStr">
        <is>
          <t>On Premise</t>
        </is>
      </c>
      <c r="F717">
        <f>IFERROR(INDEX(ChFormat,MATCH(E717,ChName,0)),"")</f>
        <v/>
      </c>
      <c r="G717" t="inlineStr">
        <is>
          <t>MB</t>
        </is>
      </c>
      <c r="H717">
        <f>IF(A717&lt;=NWeeks,1,0)</f>
        <v/>
      </c>
      <c r="I717">
        <f>INDEX(ChLaunch,MATCH(E717,ChName,0))</f>
        <v/>
      </c>
      <c r="J717">
        <f>INDEX(ChWeeksFull,MATCH(E717,ChName,0))</f>
        <v/>
      </c>
      <c r="K717">
        <f>INDEX(ChRamp,MATCH(E717,ChName,0))</f>
        <v/>
      </c>
      <c r="L717" s="45">
        <f>MIN(1,MAX(0,(A717-I717+1)*RampSpeed/J717))</f>
        <v/>
      </c>
      <c r="M717" s="45">
        <f>IF(A717&lt;I717,0,IF(K717="S-curve",L717*L717*(3-2*L717),L717))</f>
        <v/>
      </c>
      <c r="N717" s="45">
        <f>1+(INDEX(SeasonIdx,A717)-1)*SeasonAmp</f>
        <v/>
      </c>
      <c r="O717" s="45">
        <f>IFERROR(INDEX(PSPct,MATCH(E717&amp;"|"&amp;G717,PSKey,0)),0)</f>
        <v/>
      </c>
      <c r="P717" s="46">
        <f>INDEX(ChDoorVel,MATCH(E717,ChName,0))*CalibScalar*(1+VelocityUplift)</f>
        <v/>
      </c>
      <c r="Q717" s="46" t="n">
        <v>0</v>
      </c>
      <c r="R717" s="46">
        <f>P717*O717*M717*N717*H717</f>
        <v/>
      </c>
      <c r="S717" s="46">
        <f>R717*INDEX(FmtCansPerCase,MATCH(F717,FmtName,0))</f>
        <v/>
      </c>
      <c r="T717" s="46">
        <f>S717/INDEX(FmtCansPerPack,MATCH(F717,FmtName,0))</f>
        <v/>
      </c>
      <c r="U717" s="47">
        <f>INDEX(ChBaseCP,MATCH(E717,ChName,0))*(1+INDEX(ProvMod,MATCH(G717,ProvCode,0)))*(1+PriceIndex)</f>
        <v/>
      </c>
      <c r="V717" s="47">
        <f>R717*U717*INDEX(FmtBlendedPriceIdx,MATCH(F717,FmtName,0))</f>
        <v/>
      </c>
      <c r="W717" s="47">
        <f>T717*INDEX(ProvSRP,MATCH(G717,ProvCode,0))*(1+PriceIndex)</f>
        <v/>
      </c>
      <c r="X717" s="47">
        <f>IF(GrossBasis="Wholesale",V717,W717)</f>
        <v/>
      </c>
      <c r="Y717" s="47">
        <f>R717*INDEX(FmtBlendedCogs,MATCH(F717,FmtName,0))</f>
        <v/>
      </c>
      <c r="Z717" s="47">
        <f>X717-Y717</f>
        <v/>
      </c>
    </row>
    <row r="718">
      <c r="A718" t="n">
        <v>28</v>
      </c>
      <c r="B718" s="44">
        <f>FiscalStart+(A718-1)*7</f>
        <v/>
      </c>
      <c r="C718">
        <f>TEXT(B718,"mmm yyyy")</f>
        <v/>
      </c>
      <c r="D718">
        <f>"Q"&amp;(INT((A718-1)/13)+1)</f>
        <v/>
      </c>
      <c r="E718" t="inlineStr">
        <is>
          <t>On Premise</t>
        </is>
      </c>
      <c r="F718">
        <f>IFERROR(INDEX(ChFormat,MATCH(E718,ChName,0)),"")</f>
        <v/>
      </c>
      <c r="G718" t="inlineStr">
        <is>
          <t>MB</t>
        </is>
      </c>
      <c r="H718">
        <f>IF(A718&lt;=NWeeks,1,0)</f>
        <v/>
      </c>
      <c r="I718">
        <f>INDEX(ChLaunch,MATCH(E718,ChName,0))</f>
        <v/>
      </c>
      <c r="J718">
        <f>INDEX(ChWeeksFull,MATCH(E718,ChName,0))</f>
        <v/>
      </c>
      <c r="K718">
        <f>INDEX(ChRamp,MATCH(E718,ChName,0))</f>
        <v/>
      </c>
      <c r="L718" s="45">
        <f>MIN(1,MAX(0,(A718-I718+1)*RampSpeed/J718))</f>
        <v/>
      </c>
      <c r="M718" s="45">
        <f>IF(A718&lt;I718,0,IF(K718="S-curve",L718*L718*(3-2*L718),L718))</f>
        <v/>
      </c>
      <c r="N718" s="45">
        <f>1+(INDEX(SeasonIdx,A718)-1)*SeasonAmp</f>
        <v/>
      </c>
      <c r="O718" s="45">
        <f>IFERROR(INDEX(PSPct,MATCH(E718&amp;"|"&amp;G718,PSKey,0)),0)</f>
        <v/>
      </c>
      <c r="P718" s="46">
        <f>INDEX(ChDoorVel,MATCH(E718,ChName,0))*CalibScalar*(1+VelocityUplift)</f>
        <v/>
      </c>
      <c r="Q718" s="46" t="n">
        <v>0</v>
      </c>
      <c r="R718" s="46">
        <f>P718*O718*M718*N718*H718</f>
        <v/>
      </c>
      <c r="S718" s="46">
        <f>R718*INDEX(FmtCansPerCase,MATCH(F718,FmtName,0))</f>
        <v/>
      </c>
      <c r="T718" s="46">
        <f>S718/INDEX(FmtCansPerPack,MATCH(F718,FmtName,0))</f>
        <v/>
      </c>
      <c r="U718" s="47">
        <f>INDEX(ChBaseCP,MATCH(E718,ChName,0))*(1+INDEX(ProvMod,MATCH(G718,ProvCode,0)))*(1+PriceIndex)</f>
        <v/>
      </c>
      <c r="V718" s="47">
        <f>R718*U718*INDEX(FmtBlendedPriceIdx,MATCH(F718,FmtName,0))</f>
        <v/>
      </c>
      <c r="W718" s="47">
        <f>T718*INDEX(ProvSRP,MATCH(G718,ProvCode,0))*(1+PriceIndex)</f>
        <v/>
      </c>
      <c r="X718" s="47">
        <f>IF(GrossBasis="Wholesale",V718,W718)</f>
        <v/>
      </c>
      <c r="Y718" s="47">
        <f>R718*INDEX(FmtBlendedCogs,MATCH(F718,FmtName,0))</f>
        <v/>
      </c>
      <c r="Z718" s="47">
        <f>X718-Y718</f>
        <v/>
      </c>
    </row>
    <row r="719">
      <c r="A719" t="n">
        <v>29</v>
      </c>
      <c r="B719" s="44">
        <f>FiscalStart+(A719-1)*7</f>
        <v/>
      </c>
      <c r="C719">
        <f>TEXT(B719,"mmm yyyy")</f>
        <v/>
      </c>
      <c r="D719">
        <f>"Q"&amp;(INT((A719-1)/13)+1)</f>
        <v/>
      </c>
      <c r="E719" t="inlineStr">
        <is>
          <t>On Premise</t>
        </is>
      </c>
      <c r="F719">
        <f>IFERROR(INDEX(ChFormat,MATCH(E719,ChName,0)),"")</f>
        <v/>
      </c>
      <c r="G719" t="inlineStr">
        <is>
          <t>MB</t>
        </is>
      </c>
      <c r="H719">
        <f>IF(A719&lt;=NWeeks,1,0)</f>
        <v/>
      </c>
      <c r="I719">
        <f>INDEX(ChLaunch,MATCH(E719,ChName,0))</f>
        <v/>
      </c>
      <c r="J719">
        <f>INDEX(ChWeeksFull,MATCH(E719,ChName,0))</f>
        <v/>
      </c>
      <c r="K719">
        <f>INDEX(ChRamp,MATCH(E719,ChName,0))</f>
        <v/>
      </c>
      <c r="L719" s="45">
        <f>MIN(1,MAX(0,(A719-I719+1)*RampSpeed/J719))</f>
        <v/>
      </c>
      <c r="M719" s="45">
        <f>IF(A719&lt;I719,0,IF(K719="S-curve",L719*L719*(3-2*L719),L719))</f>
        <v/>
      </c>
      <c r="N719" s="45">
        <f>1+(INDEX(SeasonIdx,A719)-1)*SeasonAmp</f>
        <v/>
      </c>
      <c r="O719" s="45">
        <f>IFERROR(INDEX(PSPct,MATCH(E719&amp;"|"&amp;G719,PSKey,0)),0)</f>
        <v/>
      </c>
      <c r="P719" s="46">
        <f>INDEX(ChDoorVel,MATCH(E719,ChName,0))*CalibScalar*(1+VelocityUplift)</f>
        <v/>
      </c>
      <c r="Q719" s="46" t="n">
        <v>0</v>
      </c>
      <c r="R719" s="46">
        <f>P719*O719*M719*N719*H719</f>
        <v/>
      </c>
      <c r="S719" s="46">
        <f>R719*INDEX(FmtCansPerCase,MATCH(F719,FmtName,0))</f>
        <v/>
      </c>
      <c r="T719" s="46">
        <f>S719/INDEX(FmtCansPerPack,MATCH(F719,FmtName,0))</f>
        <v/>
      </c>
      <c r="U719" s="47">
        <f>INDEX(ChBaseCP,MATCH(E719,ChName,0))*(1+INDEX(ProvMod,MATCH(G719,ProvCode,0)))*(1+PriceIndex)</f>
        <v/>
      </c>
      <c r="V719" s="47">
        <f>R719*U719*INDEX(FmtBlendedPriceIdx,MATCH(F719,FmtName,0))</f>
        <v/>
      </c>
      <c r="W719" s="47">
        <f>T719*INDEX(ProvSRP,MATCH(G719,ProvCode,0))*(1+PriceIndex)</f>
        <v/>
      </c>
      <c r="X719" s="47">
        <f>IF(GrossBasis="Wholesale",V719,W719)</f>
        <v/>
      </c>
      <c r="Y719" s="47">
        <f>R719*INDEX(FmtBlendedCogs,MATCH(F719,FmtName,0))</f>
        <v/>
      </c>
      <c r="Z719" s="47">
        <f>X719-Y719</f>
        <v/>
      </c>
    </row>
    <row r="720">
      <c r="A720" t="n">
        <v>30</v>
      </c>
      <c r="B720" s="44">
        <f>FiscalStart+(A720-1)*7</f>
        <v/>
      </c>
      <c r="C720">
        <f>TEXT(B720,"mmm yyyy")</f>
        <v/>
      </c>
      <c r="D720">
        <f>"Q"&amp;(INT((A720-1)/13)+1)</f>
        <v/>
      </c>
      <c r="E720" t="inlineStr">
        <is>
          <t>On Premise</t>
        </is>
      </c>
      <c r="F720">
        <f>IFERROR(INDEX(ChFormat,MATCH(E720,ChName,0)),"")</f>
        <v/>
      </c>
      <c r="G720" t="inlineStr">
        <is>
          <t>MB</t>
        </is>
      </c>
      <c r="H720">
        <f>IF(A720&lt;=NWeeks,1,0)</f>
        <v/>
      </c>
      <c r="I720">
        <f>INDEX(ChLaunch,MATCH(E720,ChName,0))</f>
        <v/>
      </c>
      <c r="J720">
        <f>INDEX(ChWeeksFull,MATCH(E720,ChName,0))</f>
        <v/>
      </c>
      <c r="K720">
        <f>INDEX(ChRamp,MATCH(E720,ChName,0))</f>
        <v/>
      </c>
      <c r="L720" s="45">
        <f>MIN(1,MAX(0,(A720-I720+1)*RampSpeed/J720))</f>
        <v/>
      </c>
      <c r="M720" s="45">
        <f>IF(A720&lt;I720,0,IF(K720="S-curve",L720*L720*(3-2*L720),L720))</f>
        <v/>
      </c>
      <c r="N720" s="45">
        <f>1+(INDEX(SeasonIdx,A720)-1)*SeasonAmp</f>
        <v/>
      </c>
      <c r="O720" s="45">
        <f>IFERROR(INDEX(PSPct,MATCH(E720&amp;"|"&amp;G720,PSKey,0)),0)</f>
        <v/>
      </c>
      <c r="P720" s="46">
        <f>INDEX(ChDoorVel,MATCH(E720,ChName,0))*CalibScalar*(1+VelocityUplift)</f>
        <v/>
      </c>
      <c r="Q720" s="46" t="n">
        <v>0</v>
      </c>
      <c r="R720" s="46">
        <f>P720*O720*M720*N720*H720</f>
        <v/>
      </c>
      <c r="S720" s="46">
        <f>R720*INDEX(FmtCansPerCase,MATCH(F720,FmtName,0))</f>
        <v/>
      </c>
      <c r="T720" s="46">
        <f>S720/INDEX(FmtCansPerPack,MATCH(F720,FmtName,0))</f>
        <v/>
      </c>
      <c r="U720" s="47">
        <f>INDEX(ChBaseCP,MATCH(E720,ChName,0))*(1+INDEX(ProvMod,MATCH(G720,ProvCode,0)))*(1+PriceIndex)</f>
        <v/>
      </c>
      <c r="V720" s="47">
        <f>R720*U720*INDEX(FmtBlendedPriceIdx,MATCH(F720,FmtName,0))</f>
        <v/>
      </c>
      <c r="W720" s="47">
        <f>T720*INDEX(ProvSRP,MATCH(G720,ProvCode,0))*(1+PriceIndex)</f>
        <v/>
      </c>
      <c r="X720" s="47">
        <f>IF(GrossBasis="Wholesale",V720,W720)</f>
        <v/>
      </c>
      <c r="Y720" s="47">
        <f>R720*INDEX(FmtBlendedCogs,MATCH(F720,FmtName,0))</f>
        <v/>
      </c>
      <c r="Z720" s="47">
        <f>X720-Y720</f>
        <v/>
      </c>
    </row>
    <row r="721">
      <c r="A721" t="n">
        <v>31</v>
      </c>
      <c r="B721" s="44">
        <f>FiscalStart+(A721-1)*7</f>
        <v/>
      </c>
      <c r="C721">
        <f>TEXT(B721,"mmm yyyy")</f>
        <v/>
      </c>
      <c r="D721">
        <f>"Q"&amp;(INT((A721-1)/13)+1)</f>
        <v/>
      </c>
      <c r="E721" t="inlineStr">
        <is>
          <t>On Premise</t>
        </is>
      </c>
      <c r="F721">
        <f>IFERROR(INDEX(ChFormat,MATCH(E721,ChName,0)),"")</f>
        <v/>
      </c>
      <c r="G721" t="inlineStr">
        <is>
          <t>MB</t>
        </is>
      </c>
      <c r="H721">
        <f>IF(A721&lt;=NWeeks,1,0)</f>
        <v/>
      </c>
      <c r="I721">
        <f>INDEX(ChLaunch,MATCH(E721,ChName,0))</f>
        <v/>
      </c>
      <c r="J721">
        <f>INDEX(ChWeeksFull,MATCH(E721,ChName,0))</f>
        <v/>
      </c>
      <c r="K721">
        <f>INDEX(ChRamp,MATCH(E721,ChName,0))</f>
        <v/>
      </c>
      <c r="L721" s="45">
        <f>MIN(1,MAX(0,(A721-I721+1)*RampSpeed/J721))</f>
        <v/>
      </c>
      <c r="M721" s="45">
        <f>IF(A721&lt;I721,0,IF(K721="S-curve",L721*L721*(3-2*L721),L721))</f>
        <v/>
      </c>
      <c r="N721" s="45">
        <f>1+(INDEX(SeasonIdx,A721)-1)*SeasonAmp</f>
        <v/>
      </c>
      <c r="O721" s="45">
        <f>IFERROR(INDEX(PSPct,MATCH(E721&amp;"|"&amp;G721,PSKey,0)),0)</f>
        <v/>
      </c>
      <c r="P721" s="46">
        <f>INDEX(ChDoorVel,MATCH(E721,ChName,0))*CalibScalar*(1+VelocityUplift)</f>
        <v/>
      </c>
      <c r="Q721" s="46" t="n">
        <v>0</v>
      </c>
      <c r="R721" s="46">
        <f>P721*O721*M721*N721*H721</f>
        <v/>
      </c>
      <c r="S721" s="46">
        <f>R721*INDEX(FmtCansPerCase,MATCH(F721,FmtName,0))</f>
        <v/>
      </c>
      <c r="T721" s="46">
        <f>S721/INDEX(FmtCansPerPack,MATCH(F721,FmtName,0))</f>
        <v/>
      </c>
      <c r="U721" s="47">
        <f>INDEX(ChBaseCP,MATCH(E721,ChName,0))*(1+INDEX(ProvMod,MATCH(G721,ProvCode,0)))*(1+PriceIndex)</f>
        <v/>
      </c>
      <c r="V721" s="47">
        <f>R721*U721*INDEX(FmtBlendedPriceIdx,MATCH(F721,FmtName,0))</f>
        <v/>
      </c>
      <c r="W721" s="47">
        <f>T721*INDEX(ProvSRP,MATCH(G721,ProvCode,0))*(1+PriceIndex)</f>
        <v/>
      </c>
      <c r="X721" s="47">
        <f>IF(GrossBasis="Wholesale",V721,W721)</f>
        <v/>
      </c>
      <c r="Y721" s="47">
        <f>R721*INDEX(FmtBlendedCogs,MATCH(F721,FmtName,0))</f>
        <v/>
      </c>
      <c r="Z721" s="47">
        <f>X721-Y721</f>
        <v/>
      </c>
    </row>
    <row r="722">
      <c r="A722" t="n">
        <v>32</v>
      </c>
      <c r="B722" s="44">
        <f>FiscalStart+(A722-1)*7</f>
        <v/>
      </c>
      <c r="C722">
        <f>TEXT(B722,"mmm yyyy")</f>
        <v/>
      </c>
      <c r="D722">
        <f>"Q"&amp;(INT((A722-1)/13)+1)</f>
        <v/>
      </c>
      <c r="E722" t="inlineStr">
        <is>
          <t>On Premise</t>
        </is>
      </c>
      <c r="F722">
        <f>IFERROR(INDEX(ChFormat,MATCH(E722,ChName,0)),"")</f>
        <v/>
      </c>
      <c r="G722" t="inlineStr">
        <is>
          <t>MB</t>
        </is>
      </c>
      <c r="H722">
        <f>IF(A722&lt;=NWeeks,1,0)</f>
        <v/>
      </c>
      <c r="I722">
        <f>INDEX(ChLaunch,MATCH(E722,ChName,0))</f>
        <v/>
      </c>
      <c r="J722">
        <f>INDEX(ChWeeksFull,MATCH(E722,ChName,0))</f>
        <v/>
      </c>
      <c r="K722">
        <f>INDEX(ChRamp,MATCH(E722,ChName,0))</f>
        <v/>
      </c>
      <c r="L722" s="45">
        <f>MIN(1,MAX(0,(A722-I722+1)*RampSpeed/J722))</f>
        <v/>
      </c>
      <c r="M722" s="45">
        <f>IF(A722&lt;I722,0,IF(K722="S-curve",L722*L722*(3-2*L722),L722))</f>
        <v/>
      </c>
      <c r="N722" s="45">
        <f>1+(INDEX(SeasonIdx,A722)-1)*SeasonAmp</f>
        <v/>
      </c>
      <c r="O722" s="45">
        <f>IFERROR(INDEX(PSPct,MATCH(E722&amp;"|"&amp;G722,PSKey,0)),0)</f>
        <v/>
      </c>
      <c r="P722" s="46">
        <f>INDEX(ChDoorVel,MATCH(E722,ChName,0))*CalibScalar*(1+VelocityUplift)</f>
        <v/>
      </c>
      <c r="Q722" s="46" t="n">
        <v>0</v>
      </c>
      <c r="R722" s="46">
        <f>P722*O722*M722*N722*H722</f>
        <v/>
      </c>
      <c r="S722" s="46">
        <f>R722*INDEX(FmtCansPerCase,MATCH(F722,FmtName,0))</f>
        <v/>
      </c>
      <c r="T722" s="46">
        <f>S722/INDEX(FmtCansPerPack,MATCH(F722,FmtName,0))</f>
        <v/>
      </c>
      <c r="U722" s="47">
        <f>INDEX(ChBaseCP,MATCH(E722,ChName,0))*(1+INDEX(ProvMod,MATCH(G722,ProvCode,0)))*(1+PriceIndex)</f>
        <v/>
      </c>
      <c r="V722" s="47">
        <f>R722*U722*INDEX(FmtBlendedPriceIdx,MATCH(F722,FmtName,0))</f>
        <v/>
      </c>
      <c r="W722" s="47">
        <f>T722*INDEX(ProvSRP,MATCH(G722,ProvCode,0))*(1+PriceIndex)</f>
        <v/>
      </c>
      <c r="X722" s="47">
        <f>IF(GrossBasis="Wholesale",V722,W722)</f>
        <v/>
      </c>
      <c r="Y722" s="47">
        <f>R722*INDEX(FmtBlendedCogs,MATCH(F722,FmtName,0))</f>
        <v/>
      </c>
      <c r="Z722" s="47">
        <f>X722-Y722</f>
        <v/>
      </c>
    </row>
    <row r="723">
      <c r="A723" t="n">
        <v>33</v>
      </c>
      <c r="B723" s="44">
        <f>FiscalStart+(A723-1)*7</f>
        <v/>
      </c>
      <c r="C723">
        <f>TEXT(B723,"mmm yyyy")</f>
        <v/>
      </c>
      <c r="D723">
        <f>"Q"&amp;(INT((A723-1)/13)+1)</f>
        <v/>
      </c>
      <c r="E723" t="inlineStr">
        <is>
          <t>On Premise</t>
        </is>
      </c>
      <c r="F723">
        <f>IFERROR(INDEX(ChFormat,MATCH(E723,ChName,0)),"")</f>
        <v/>
      </c>
      <c r="G723" t="inlineStr">
        <is>
          <t>MB</t>
        </is>
      </c>
      <c r="H723">
        <f>IF(A723&lt;=NWeeks,1,0)</f>
        <v/>
      </c>
      <c r="I723">
        <f>INDEX(ChLaunch,MATCH(E723,ChName,0))</f>
        <v/>
      </c>
      <c r="J723">
        <f>INDEX(ChWeeksFull,MATCH(E723,ChName,0))</f>
        <v/>
      </c>
      <c r="K723">
        <f>INDEX(ChRamp,MATCH(E723,ChName,0))</f>
        <v/>
      </c>
      <c r="L723" s="45">
        <f>MIN(1,MAX(0,(A723-I723+1)*RampSpeed/J723))</f>
        <v/>
      </c>
      <c r="M723" s="45">
        <f>IF(A723&lt;I723,0,IF(K723="S-curve",L723*L723*(3-2*L723),L723))</f>
        <v/>
      </c>
      <c r="N723" s="45">
        <f>1+(INDEX(SeasonIdx,A723)-1)*SeasonAmp</f>
        <v/>
      </c>
      <c r="O723" s="45">
        <f>IFERROR(INDEX(PSPct,MATCH(E723&amp;"|"&amp;G723,PSKey,0)),0)</f>
        <v/>
      </c>
      <c r="P723" s="46">
        <f>INDEX(ChDoorVel,MATCH(E723,ChName,0))*CalibScalar*(1+VelocityUplift)</f>
        <v/>
      </c>
      <c r="Q723" s="46" t="n">
        <v>0</v>
      </c>
      <c r="R723" s="46">
        <f>P723*O723*M723*N723*H723</f>
        <v/>
      </c>
      <c r="S723" s="46">
        <f>R723*INDEX(FmtCansPerCase,MATCH(F723,FmtName,0))</f>
        <v/>
      </c>
      <c r="T723" s="46">
        <f>S723/INDEX(FmtCansPerPack,MATCH(F723,FmtName,0))</f>
        <v/>
      </c>
      <c r="U723" s="47">
        <f>INDEX(ChBaseCP,MATCH(E723,ChName,0))*(1+INDEX(ProvMod,MATCH(G723,ProvCode,0)))*(1+PriceIndex)</f>
        <v/>
      </c>
      <c r="V723" s="47">
        <f>R723*U723*INDEX(FmtBlendedPriceIdx,MATCH(F723,FmtName,0))</f>
        <v/>
      </c>
      <c r="W723" s="47">
        <f>T723*INDEX(ProvSRP,MATCH(G723,ProvCode,0))*(1+PriceIndex)</f>
        <v/>
      </c>
      <c r="X723" s="47">
        <f>IF(GrossBasis="Wholesale",V723,W723)</f>
        <v/>
      </c>
      <c r="Y723" s="47">
        <f>R723*INDEX(FmtBlendedCogs,MATCH(F723,FmtName,0))</f>
        <v/>
      </c>
      <c r="Z723" s="47">
        <f>X723-Y723</f>
        <v/>
      </c>
    </row>
    <row r="724">
      <c r="A724" t="n">
        <v>34</v>
      </c>
      <c r="B724" s="44">
        <f>FiscalStart+(A724-1)*7</f>
        <v/>
      </c>
      <c r="C724">
        <f>TEXT(B724,"mmm yyyy")</f>
        <v/>
      </c>
      <c r="D724">
        <f>"Q"&amp;(INT((A724-1)/13)+1)</f>
        <v/>
      </c>
      <c r="E724" t="inlineStr">
        <is>
          <t>On Premise</t>
        </is>
      </c>
      <c r="F724">
        <f>IFERROR(INDEX(ChFormat,MATCH(E724,ChName,0)),"")</f>
        <v/>
      </c>
      <c r="G724" t="inlineStr">
        <is>
          <t>MB</t>
        </is>
      </c>
      <c r="H724">
        <f>IF(A724&lt;=NWeeks,1,0)</f>
        <v/>
      </c>
      <c r="I724">
        <f>INDEX(ChLaunch,MATCH(E724,ChName,0))</f>
        <v/>
      </c>
      <c r="J724">
        <f>INDEX(ChWeeksFull,MATCH(E724,ChName,0))</f>
        <v/>
      </c>
      <c r="K724">
        <f>INDEX(ChRamp,MATCH(E724,ChName,0))</f>
        <v/>
      </c>
      <c r="L724" s="45">
        <f>MIN(1,MAX(0,(A724-I724+1)*RampSpeed/J724))</f>
        <v/>
      </c>
      <c r="M724" s="45">
        <f>IF(A724&lt;I724,0,IF(K724="S-curve",L724*L724*(3-2*L724),L724))</f>
        <v/>
      </c>
      <c r="N724" s="45">
        <f>1+(INDEX(SeasonIdx,A724)-1)*SeasonAmp</f>
        <v/>
      </c>
      <c r="O724" s="45">
        <f>IFERROR(INDEX(PSPct,MATCH(E724&amp;"|"&amp;G724,PSKey,0)),0)</f>
        <v/>
      </c>
      <c r="P724" s="46">
        <f>INDEX(ChDoorVel,MATCH(E724,ChName,0))*CalibScalar*(1+VelocityUplift)</f>
        <v/>
      </c>
      <c r="Q724" s="46" t="n">
        <v>0</v>
      </c>
      <c r="R724" s="46">
        <f>P724*O724*M724*N724*H724</f>
        <v/>
      </c>
      <c r="S724" s="46">
        <f>R724*INDEX(FmtCansPerCase,MATCH(F724,FmtName,0))</f>
        <v/>
      </c>
      <c r="T724" s="46">
        <f>S724/INDEX(FmtCansPerPack,MATCH(F724,FmtName,0))</f>
        <v/>
      </c>
      <c r="U724" s="47">
        <f>INDEX(ChBaseCP,MATCH(E724,ChName,0))*(1+INDEX(ProvMod,MATCH(G724,ProvCode,0)))*(1+PriceIndex)</f>
        <v/>
      </c>
      <c r="V724" s="47">
        <f>R724*U724*INDEX(FmtBlendedPriceIdx,MATCH(F724,FmtName,0))</f>
        <v/>
      </c>
      <c r="W724" s="47">
        <f>T724*INDEX(ProvSRP,MATCH(G724,ProvCode,0))*(1+PriceIndex)</f>
        <v/>
      </c>
      <c r="X724" s="47">
        <f>IF(GrossBasis="Wholesale",V724,W724)</f>
        <v/>
      </c>
      <c r="Y724" s="47">
        <f>R724*INDEX(FmtBlendedCogs,MATCH(F724,FmtName,0))</f>
        <v/>
      </c>
      <c r="Z724" s="47">
        <f>X724-Y724</f>
        <v/>
      </c>
    </row>
    <row r="725">
      <c r="A725" t="n">
        <v>35</v>
      </c>
      <c r="B725" s="44">
        <f>FiscalStart+(A725-1)*7</f>
        <v/>
      </c>
      <c r="C725">
        <f>TEXT(B725,"mmm yyyy")</f>
        <v/>
      </c>
      <c r="D725">
        <f>"Q"&amp;(INT((A725-1)/13)+1)</f>
        <v/>
      </c>
      <c r="E725" t="inlineStr">
        <is>
          <t>On Premise</t>
        </is>
      </c>
      <c r="F725">
        <f>IFERROR(INDEX(ChFormat,MATCH(E725,ChName,0)),"")</f>
        <v/>
      </c>
      <c r="G725" t="inlineStr">
        <is>
          <t>MB</t>
        </is>
      </c>
      <c r="H725">
        <f>IF(A725&lt;=NWeeks,1,0)</f>
        <v/>
      </c>
      <c r="I725">
        <f>INDEX(ChLaunch,MATCH(E725,ChName,0))</f>
        <v/>
      </c>
      <c r="J725">
        <f>INDEX(ChWeeksFull,MATCH(E725,ChName,0))</f>
        <v/>
      </c>
      <c r="K725">
        <f>INDEX(ChRamp,MATCH(E725,ChName,0))</f>
        <v/>
      </c>
      <c r="L725" s="45">
        <f>MIN(1,MAX(0,(A725-I725+1)*RampSpeed/J725))</f>
        <v/>
      </c>
      <c r="M725" s="45">
        <f>IF(A725&lt;I725,0,IF(K725="S-curve",L725*L725*(3-2*L725),L725))</f>
        <v/>
      </c>
      <c r="N725" s="45">
        <f>1+(INDEX(SeasonIdx,A725)-1)*SeasonAmp</f>
        <v/>
      </c>
      <c r="O725" s="45">
        <f>IFERROR(INDEX(PSPct,MATCH(E725&amp;"|"&amp;G725,PSKey,0)),0)</f>
        <v/>
      </c>
      <c r="P725" s="46">
        <f>INDEX(ChDoorVel,MATCH(E725,ChName,0))*CalibScalar*(1+VelocityUplift)</f>
        <v/>
      </c>
      <c r="Q725" s="46" t="n">
        <v>0</v>
      </c>
      <c r="R725" s="46">
        <f>P725*O725*M725*N725*H725</f>
        <v/>
      </c>
      <c r="S725" s="46">
        <f>R725*INDEX(FmtCansPerCase,MATCH(F725,FmtName,0))</f>
        <v/>
      </c>
      <c r="T725" s="46">
        <f>S725/INDEX(FmtCansPerPack,MATCH(F725,FmtName,0))</f>
        <v/>
      </c>
      <c r="U725" s="47">
        <f>INDEX(ChBaseCP,MATCH(E725,ChName,0))*(1+INDEX(ProvMod,MATCH(G725,ProvCode,0)))*(1+PriceIndex)</f>
        <v/>
      </c>
      <c r="V725" s="47">
        <f>R725*U725*INDEX(FmtBlendedPriceIdx,MATCH(F725,FmtName,0))</f>
        <v/>
      </c>
      <c r="W725" s="47">
        <f>T725*INDEX(ProvSRP,MATCH(G725,ProvCode,0))*(1+PriceIndex)</f>
        <v/>
      </c>
      <c r="X725" s="47">
        <f>IF(GrossBasis="Wholesale",V725,W725)</f>
        <v/>
      </c>
      <c r="Y725" s="47">
        <f>R725*INDEX(FmtBlendedCogs,MATCH(F725,FmtName,0))</f>
        <v/>
      </c>
      <c r="Z725" s="47">
        <f>X725-Y725</f>
        <v/>
      </c>
    </row>
    <row r="726">
      <c r="A726" t="n">
        <v>36</v>
      </c>
      <c r="B726" s="44">
        <f>FiscalStart+(A726-1)*7</f>
        <v/>
      </c>
      <c r="C726">
        <f>TEXT(B726,"mmm yyyy")</f>
        <v/>
      </c>
      <c r="D726">
        <f>"Q"&amp;(INT((A726-1)/13)+1)</f>
        <v/>
      </c>
      <c r="E726" t="inlineStr">
        <is>
          <t>On Premise</t>
        </is>
      </c>
      <c r="F726">
        <f>IFERROR(INDEX(ChFormat,MATCH(E726,ChName,0)),"")</f>
        <v/>
      </c>
      <c r="G726" t="inlineStr">
        <is>
          <t>MB</t>
        </is>
      </c>
      <c r="H726">
        <f>IF(A726&lt;=NWeeks,1,0)</f>
        <v/>
      </c>
      <c r="I726">
        <f>INDEX(ChLaunch,MATCH(E726,ChName,0))</f>
        <v/>
      </c>
      <c r="J726">
        <f>INDEX(ChWeeksFull,MATCH(E726,ChName,0))</f>
        <v/>
      </c>
      <c r="K726">
        <f>INDEX(ChRamp,MATCH(E726,ChName,0))</f>
        <v/>
      </c>
      <c r="L726" s="45">
        <f>MIN(1,MAX(0,(A726-I726+1)*RampSpeed/J726))</f>
        <v/>
      </c>
      <c r="M726" s="45">
        <f>IF(A726&lt;I726,0,IF(K726="S-curve",L726*L726*(3-2*L726),L726))</f>
        <v/>
      </c>
      <c r="N726" s="45">
        <f>1+(INDEX(SeasonIdx,A726)-1)*SeasonAmp</f>
        <v/>
      </c>
      <c r="O726" s="45">
        <f>IFERROR(INDEX(PSPct,MATCH(E726&amp;"|"&amp;G726,PSKey,0)),0)</f>
        <v/>
      </c>
      <c r="P726" s="46">
        <f>INDEX(ChDoorVel,MATCH(E726,ChName,0))*CalibScalar*(1+VelocityUplift)</f>
        <v/>
      </c>
      <c r="Q726" s="46" t="n">
        <v>0</v>
      </c>
      <c r="R726" s="46">
        <f>P726*O726*M726*N726*H726</f>
        <v/>
      </c>
      <c r="S726" s="46">
        <f>R726*INDEX(FmtCansPerCase,MATCH(F726,FmtName,0))</f>
        <v/>
      </c>
      <c r="T726" s="46">
        <f>S726/INDEX(FmtCansPerPack,MATCH(F726,FmtName,0))</f>
        <v/>
      </c>
      <c r="U726" s="47">
        <f>INDEX(ChBaseCP,MATCH(E726,ChName,0))*(1+INDEX(ProvMod,MATCH(G726,ProvCode,0)))*(1+PriceIndex)</f>
        <v/>
      </c>
      <c r="V726" s="47">
        <f>R726*U726*INDEX(FmtBlendedPriceIdx,MATCH(F726,FmtName,0))</f>
        <v/>
      </c>
      <c r="W726" s="47">
        <f>T726*INDEX(ProvSRP,MATCH(G726,ProvCode,0))*(1+PriceIndex)</f>
        <v/>
      </c>
      <c r="X726" s="47">
        <f>IF(GrossBasis="Wholesale",V726,W726)</f>
        <v/>
      </c>
      <c r="Y726" s="47">
        <f>R726*INDEX(FmtBlendedCogs,MATCH(F726,FmtName,0))</f>
        <v/>
      </c>
      <c r="Z726" s="47">
        <f>X726-Y726</f>
        <v/>
      </c>
    </row>
    <row r="727">
      <c r="A727" t="n">
        <v>37</v>
      </c>
      <c r="B727" s="44">
        <f>FiscalStart+(A727-1)*7</f>
        <v/>
      </c>
      <c r="C727">
        <f>TEXT(B727,"mmm yyyy")</f>
        <v/>
      </c>
      <c r="D727">
        <f>"Q"&amp;(INT((A727-1)/13)+1)</f>
        <v/>
      </c>
      <c r="E727" t="inlineStr">
        <is>
          <t>On Premise</t>
        </is>
      </c>
      <c r="F727">
        <f>IFERROR(INDEX(ChFormat,MATCH(E727,ChName,0)),"")</f>
        <v/>
      </c>
      <c r="G727" t="inlineStr">
        <is>
          <t>MB</t>
        </is>
      </c>
      <c r="H727">
        <f>IF(A727&lt;=NWeeks,1,0)</f>
        <v/>
      </c>
      <c r="I727">
        <f>INDEX(ChLaunch,MATCH(E727,ChName,0))</f>
        <v/>
      </c>
      <c r="J727">
        <f>INDEX(ChWeeksFull,MATCH(E727,ChName,0))</f>
        <v/>
      </c>
      <c r="K727">
        <f>INDEX(ChRamp,MATCH(E727,ChName,0))</f>
        <v/>
      </c>
      <c r="L727" s="45">
        <f>MIN(1,MAX(0,(A727-I727+1)*RampSpeed/J727))</f>
        <v/>
      </c>
      <c r="M727" s="45">
        <f>IF(A727&lt;I727,0,IF(K727="S-curve",L727*L727*(3-2*L727),L727))</f>
        <v/>
      </c>
      <c r="N727" s="45">
        <f>1+(INDEX(SeasonIdx,A727)-1)*SeasonAmp</f>
        <v/>
      </c>
      <c r="O727" s="45">
        <f>IFERROR(INDEX(PSPct,MATCH(E727&amp;"|"&amp;G727,PSKey,0)),0)</f>
        <v/>
      </c>
      <c r="P727" s="46">
        <f>INDEX(ChDoorVel,MATCH(E727,ChName,0))*CalibScalar*(1+VelocityUplift)</f>
        <v/>
      </c>
      <c r="Q727" s="46" t="n">
        <v>0</v>
      </c>
      <c r="R727" s="46">
        <f>P727*O727*M727*N727*H727</f>
        <v/>
      </c>
      <c r="S727" s="46">
        <f>R727*INDEX(FmtCansPerCase,MATCH(F727,FmtName,0))</f>
        <v/>
      </c>
      <c r="T727" s="46">
        <f>S727/INDEX(FmtCansPerPack,MATCH(F727,FmtName,0))</f>
        <v/>
      </c>
      <c r="U727" s="47">
        <f>INDEX(ChBaseCP,MATCH(E727,ChName,0))*(1+INDEX(ProvMod,MATCH(G727,ProvCode,0)))*(1+PriceIndex)</f>
        <v/>
      </c>
      <c r="V727" s="47">
        <f>R727*U727*INDEX(FmtBlendedPriceIdx,MATCH(F727,FmtName,0))</f>
        <v/>
      </c>
      <c r="W727" s="47">
        <f>T727*INDEX(ProvSRP,MATCH(G727,ProvCode,0))*(1+PriceIndex)</f>
        <v/>
      </c>
      <c r="X727" s="47">
        <f>IF(GrossBasis="Wholesale",V727,W727)</f>
        <v/>
      </c>
      <c r="Y727" s="47">
        <f>R727*INDEX(FmtBlendedCogs,MATCH(F727,FmtName,0))</f>
        <v/>
      </c>
      <c r="Z727" s="47">
        <f>X727-Y727</f>
        <v/>
      </c>
    </row>
    <row r="728">
      <c r="A728" t="n">
        <v>38</v>
      </c>
      <c r="B728" s="44">
        <f>FiscalStart+(A728-1)*7</f>
        <v/>
      </c>
      <c r="C728">
        <f>TEXT(B728,"mmm yyyy")</f>
        <v/>
      </c>
      <c r="D728">
        <f>"Q"&amp;(INT((A728-1)/13)+1)</f>
        <v/>
      </c>
      <c r="E728" t="inlineStr">
        <is>
          <t>On Premise</t>
        </is>
      </c>
      <c r="F728">
        <f>IFERROR(INDEX(ChFormat,MATCH(E728,ChName,0)),"")</f>
        <v/>
      </c>
      <c r="G728" t="inlineStr">
        <is>
          <t>MB</t>
        </is>
      </c>
      <c r="H728">
        <f>IF(A728&lt;=NWeeks,1,0)</f>
        <v/>
      </c>
      <c r="I728">
        <f>INDEX(ChLaunch,MATCH(E728,ChName,0))</f>
        <v/>
      </c>
      <c r="J728">
        <f>INDEX(ChWeeksFull,MATCH(E728,ChName,0))</f>
        <v/>
      </c>
      <c r="K728">
        <f>INDEX(ChRamp,MATCH(E728,ChName,0))</f>
        <v/>
      </c>
      <c r="L728" s="45">
        <f>MIN(1,MAX(0,(A728-I728+1)*RampSpeed/J728))</f>
        <v/>
      </c>
      <c r="M728" s="45">
        <f>IF(A728&lt;I728,0,IF(K728="S-curve",L728*L728*(3-2*L728),L728))</f>
        <v/>
      </c>
      <c r="N728" s="45">
        <f>1+(INDEX(SeasonIdx,A728)-1)*SeasonAmp</f>
        <v/>
      </c>
      <c r="O728" s="45">
        <f>IFERROR(INDEX(PSPct,MATCH(E728&amp;"|"&amp;G728,PSKey,0)),0)</f>
        <v/>
      </c>
      <c r="P728" s="46">
        <f>INDEX(ChDoorVel,MATCH(E728,ChName,0))*CalibScalar*(1+VelocityUplift)</f>
        <v/>
      </c>
      <c r="Q728" s="46" t="n">
        <v>0</v>
      </c>
      <c r="R728" s="46">
        <f>P728*O728*M728*N728*H728</f>
        <v/>
      </c>
      <c r="S728" s="46">
        <f>R728*INDEX(FmtCansPerCase,MATCH(F728,FmtName,0))</f>
        <v/>
      </c>
      <c r="T728" s="46">
        <f>S728/INDEX(FmtCansPerPack,MATCH(F728,FmtName,0))</f>
        <v/>
      </c>
      <c r="U728" s="47">
        <f>INDEX(ChBaseCP,MATCH(E728,ChName,0))*(1+INDEX(ProvMod,MATCH(G728,ProvCode,0)))*(1+PriceIndex)</f>
        <v/>
      </c>
      <c r="V728" s="47">
        <f>R728*U728*INDEX(FmtBlendedPriceIdx,MATCH(F728,FmtName,0))</f>
        <v/>
      </c>
      <c r="W728" s="47">
        <f>T728*INDEX(ProvSRP,MATCH(G728,ProvCode,0))*(1+PriceIndex)</f>
        <v/>
      </c>
      <c r="X728" s="47">
        <f>IF(GrossBasis="Wholesale",V728,W728)</f>
        <v/>
      </c>
      <c r="Y728" s="47">
        <f>R728*INDEX(FmtBlendedCogs,MATCH(F728,FmtName,0))</f>
        <v/>
      </c>
      <c r="Z728" s="47">
        <f>X728-Y728</f>
        <v/>
      </c>
    </row>
    <row r="729">
      <c r="A729" t="n">
        <v>39</v>
      </c>
      <c r="B729" s="44">
        <f>FiscalStart+(A729-1)*7</f>
        <v/>
      </c>
      <c r="C729">
        <f>TEXT(B729,"mmm yyyy")</f>
        <v/>
      </c>
      <c r="D729">
        <f>"Q"&amp;(INT((A729-1)/13)+1)</f>
        <v/>
      </c>
      <c r="E729" t="inlineStr">
        <is>
          <t>On Premise</t>
        </is>
      </c>
      <c r="F729">
        <f>IFERROR(INDEX(ChFormat,MATCH(E729,ChName,0)),"")</f>
        <v/>
      </c>
      <c r="G729" t="inlineStr">
        <is>
          <t>MB</t>
        </is>
      </c>
      <c r="H729">
        <f>IF(A729&lt;=NWeeks,1,0)</f>
        <v/>
      </c>
      <c r="I729">
        <f>INDEX(ChLaunch,MATCH(E729,ChName,0))</f>
        <v/>
      </c>
      <c r="J729">
        <f>INDEX(ChWeeksFull,MATCH(E729,ChName,0))</f>
        <v/>
      </c>
      <c r="K729">
        <f>INDEX(ChRamp,MATCH(E729,ChName,0))</f>
        <v/>
      </c>
      <c r="L729" s="45">
        <f>MIN(1,MAX(0,(A729-I729+1)*RampSpeed/J729))</f>
        <v/>
      </c>
      <c r="M729" s="45">
        <f>IF(A729&lt;I729,0,IF(K729="S-curve",L729*L729*(3-2*L729),L729))</f>
        <v/>
      </c>
      <c r="N729" s="45">
        <f>1+(INDEX(SeasonIdx,A729)-1)*SeasonAmp</f>
        <v/>
      </c>
      <c r="O729" s="45">
        <f>IFERROR(INDEX(PSPct,MATCH(E729&amp;"|"&amp;G729,PSKey,0)),0)</f>
        <v/>
      </c>
      <c r="P729" s="46">
        <f>INDEX(ChDoorVel,MATCH(E729,ChName,0))*CalibScalar*(1+VelocityUplift)</f>
        <v/>
      </c>
      <c r="Q729" s="46" t="n">
        <v>0</v>
      </c>
      <c r="R729" s="46">
        <f>P729*O729*M729*N729*H729</f>
        <v/>
      </c>
      <c r="S729" s="46">
        <f>R729*INDEX(FmtCansPerCase,MATCH(F729,FmtName,0))</f>
        <v/>
      </c>
      <c r="T729" s="46">
        <f>S729/INDEX(FmtCansPerPack,MATCH(F729,FmtName,0))</f>
        <v/>
      </c>
      <c r="U729" s="47">
        <f>INDEX(ChBaseCP,MATCH(E729,ChName,0))*(1+INDEX(ProvMod,MATCH(G729,ProvCode,0)))*(1+PriceIndex)</f>
        <v/>
      </c>
      <c r="V729" s="47">
        <f>R729*U729*INDEX(FmtBlendedPriceIdx,MATCH(F729,FmtName,0))</f>
        <v/>
      </c>
      <c r="W729" s="47">
        <f>T729*INDEX(ProvSRP,MATCH(G729,ProvCode,0))*(1+PriceIndex)</f>
        <v/>
      </c>
      <c r="X729" s="47">
        <f>IF(GrossBasis="Wholesale",V729,W729)</f>
        <v/>
      </c>
      <c r="Y729" s="47">
        <f>R729*INDEX(FmtBlendedCogs,MATCH(F729,FmtName,0))</f>
        <v/>
      </c>
      <c r="Z729" s="47">
        <f>X729-Y729</f>
        <v/>
      </c>
    </row>
    <row r="730">
      <c r="A730" t="n">
        <v>40</v>
      </c>
      <c r="B730" s="44">
        <f>FiscalStart+(A730-1)*7</f>
        <v/>
      </c>
      <c r="C730">
        <f>TEXT(B730,"mmm yyyy")</f>
        <v/>
      </c>
      <c r="D730">
        <f>"Q"&amp;(INT((A730-1)/13)+1)</f>
        <v/>
      </c>
      <c r="E730" t="inlineStr">
        <is>
          <t>On Premise</t>
        </is>
      </c>
      <c r="F730">
        <f>IFERROR(INDEX(ChFormat,MATCH(E730,ChName,0)),"")</f>
        <v/>
      </c>
      <c r="G730" t="inlineStr">
        <is>
          <t>MB</t>
        </is>
      </c>
      <c r="H730">
        <f>IF(A730&lt;=NWeeks,1,0)</f>
        <v/>
      </c>
      <c r="I730">
        <f>INDEX(ChLaunch,MATCH(E730,ChName,0))</f>
        <v/>
      </c>
      <c r="J730">
        <f>INDEX(ChWeeksFull,MATCH(E730,ChName,0))</f>
        <v/>
      </c>
      <c r="K730">
        <f>INDEX(ChRamp,MATCH(E730,ChName,0))</f>
        <v/>
      </c>
      <c r="L730" s="45">
        <f>MIN(1,MAX(0,(A730-I730+1)*RampSpeed/J730))</f>
        <v/>
      </c>
      <c r="M730" s="45">
        <f>IF(A730&lt;I730,0,IF(K730="S-curve",L730*L730*(3-2*L730),L730))</f>
        <v/>
      </c>
      <c r="N730" s="45">
        <f>1+(INDEX(SeasonIdx,A730)-1)*SeasonAmp</f>
        <v/>
      </c>
      <c r="O730" s="45">
        <f>IFERROR(INDEX(PSPct,MATCH(E730&amp;"|"&amp;G730,PSKey,0)),0)</f>
        <v/>
      </c>
      <c r="P730" s="46">
        <f>INDEX(ChDoorVel,MATCH(E730,ChName,0))*CalibScalar*(1+VelocityUplift)</f>
        <v/>
      </c>
      <c r="Q730" s="46" t="n">
        <v>0</v>
      </c>
      <c r="R730" s="46">
        <f>P730*O730*M730*N730*H730</f>
        <v/>
      </c>
      <c r="S730" s="46">
        <f>R730*INDEX(FmtCansPerCase,MATCH(F730,FmtName,0))</f>
        <v/>
      </c>
      <c r="T730" s="46">
        <f>S730/INDEX(FmtCansPerPack,MATCH(F730,FmtName,0))</f>
        <v/>
      </c>
      <c r="U730" s="47">
        <f>INDEX(ChBaseCP,MATCH(E730,ChName,0))*(1+INDEX(ProvMod,MATCH(G730,ProvCode,0)))*(1+PriceIndex)</f>
        <v/>
      </c>
      <c r="V730" s="47">
        <f>R730*U730*INDEX(FmtBlendedPriceIdx,MATCH(F730,FmtName,0))</f>
        <v/>
      </c>
      <c r="W730" s="47">
        <f>T730*INDEX(ProvSRP,MATCH(G730,ProvCode,0))*(1+PriceIndex)</f>
        <v/>
      </c>
      <c r="X730" s="47">
        <f>IF(GrossBasis="Wholesale",V730,W730)</f>
        <v/>
      </c>
      <c r="Y730" s="47">
        <f>R730*INDEX(FmtBlendedCogs,MATCH(F730,FmtName,0))</f>
        <v/>
      </c>
      <c r="Z730" s="47">
        <f>X730-Y730</f>
        <v/>
      </c>
    </row>
    <row r="731">
      <c r="A731" t="n">
        <v>41</v>
      </c>
      <c r="B731" s="44">
        <f>FiscalStart+(A731-1)*7</f>
        <v/>
      </c>
      <c r="C731">
        <f>TEXT(B731,"mmm yyyy")</f>
        <v/>
      </c>
      <c r="D731">
        <f>"Q"&amp;(INT((A731-1)/13)+1)</f>
        <v/>
      </c>
      <c r="E731" t="inlineStr">
        <is>
          <t>On Premise</t>
        </is>
      </c>
      <c r="F731">
        <f>IFERROR(INDEX(ChFormat,MATCH(E731,ChName,0)),"")</f>
        <v/>
      </c>
      <c r="G731" t="inlineStr">
        <is>
          <t>MB</t>
        </is>
      </c>
      <c r="H731">
        <f>IF(A731&lt;=NWeeks,1,0)</f>
        <v/>
      </c>
      <c r="I731">
        <f>INDEX(ChLaunch,MATCH(E731,ChName,0))</f>
        <v/>
      </c>
      <c r="J731">
        <f>INDEX(ChWeeksFull,MATCH(E731,ChName,0))</f>
        <v/>
      </c>
      <c r="K731">
        <f>INDEX(ChRamp,MATCH(E731,ChName,0))</f>
        <v/>
      </c>
      <c r="L731" s="45">
        <f>MIN(1,MAX(0,(A731-I731+1)*RampSpeed/J731))</f>
        <v/>
      </c>
      <c r="M731" s="45">
        <f>IF(A731&lt;I731,0,IF(K731="S-curve",L731*L731*(3-2*L731),L731))</f>
        <v/>
      </c>
      <c r="N731" s="45">
        <f>1+(INDEX(SeasonIdx,A731)-1)*SeasonAmp</f>
        <v/>
      </c>
      <c r="O731" s="45">
        <f>IFERROR(INDEX(PSPct,MATCH(E731&amp;"|"&amp;G731,PSKey,0)),0)</f>
        <v/>
      </c>
      <c r="P731" s="46">
        <f>INDEX(ChDoorVel,MATCH(E731,ChName,0))*CalibScalar*(1+VelocityUplift)</f>
        <v/>
      </c>
      <c r="Q731" s="46" t="n">
        <v>0</v>
      </c>
      <c r="R731" s="46">
        <f>P731*O731*M731*N731*H731</f>
        <v/>
      </c>
      <c r="S731" s="46">
        <f>R731*INDEX(FmtCansPerCase,MATCH(F731,FmtName,0))</f>
        <v/>
      </c>
      <c r="T731" s="46">
        <f>S731/INDEX(FmtCansPerPack,MATCH(F731,FmtName,0))</f>
        <v/>
      </c>
      <c r="U731" s="47">
        <f>INDEX(ChBaseCP,MATCH(E731,ChName,0))*(1+INDEX(ProvMod,MATCH(G731,ProvCode,0)))*(1+PriceIndex)</f>
        <v/>
      </c>
      <c r="V731" s="47">
        <f>R731*U731*INDEX(FmtBlendedPriceIdx,MATCH(F731,FmtName,0))</f>
        <v/>
      </c>
      <c r="W731" s="47">
        <f>T731*INDEX(ProvSRP,MATCH(G731,ProvCode,0))*(1+PriceIndex)</f>
        <v/>
      </c>
      <c r="X731" s="47">
        <f>IF(GrossBasis="Wholesale",V731,W731)</f>
        <v/>
      </c>
      <c r="Y731" s="47">
        <f>R731*INDEX(FmtBlendedCogs,MATCH(F731,FmtName,0))</f>
        <v/>
      </c>
      <c r="Z731" s="47">
        <f>X731-Y731</f>
        <v/>
      </c>
    </row>
    <row r="732">
      <c r="A732" t="n">
        <v>42</v>
      </c>
      <c r="B732" s="44">
        <f>FiscalStart+(A732-1)*7</f>
        <v/>
      </c>
      <c r="C732">
        <f>TEXT(B732,"mmm yyyy")</f>
        <v/>
      </c>
      <c r="D732">
        <f>"Q"&amp;(INT((A732-1)/13)+1)</f>
        <v/>
      </c>
      <c r="E732" t="inlineStr">
        <is>
          <t>On Premise</t>
        </is>
      </c>
      <c r="F732">
        <f>IFERROR(INDEX(ChFormat,MATCH(E732,ChName,0)),"")</f>
        <v/>
      </c>
      <c r="G732" t="inlineStr">
        <is>
          <t>MB</t>
        </is>
      </c>
      <c r="H732">
        <f>IF(A732&lt;=NWeeks,1,0)</f>
        <v/>
      </c>
      <c r="I732">
        <f>INDEX(ChLaunch,MATCH(E732,ChName,0))</f>
        <v/>
      </c>
      <c r="J732">
        <f>INDEX(ChWeeksFull,MATCH(E732,ChName,0))</f>
        <v/>
      </c>
      <c r="K732">
        <f>INDEX(ChRamp,MATCH(E732,ChName,0))</f>
        <v/>
      </c>
      <c r="L732" s="45">
        <f>MIN(1,MAX(0,(A732-I732+1)*RampSpeed/J732))</f>
        <v/>
      </c>
      <c r="M732" s="45">
        <f>IF(A732&lt;I732,0,IF(K732="S-curve",L732*L732*(3-2*L732),L732))</f>
        <v/>
      </c>
      <c r="N732" s="45">
        <f>1+(INDEX(SeasonIdx,A732)-1)*SeasonAmp</f>
        <v/>
      </c>
      <c r="O732" s="45">
        <f>IFERROR(INDEX(PSPct,MATCH(E732&amp;"|"&amp;G732,PSKey,0)),0)</f>
        <v/>
      </c>
      <c r="P732" s="46">
        <f>INDEX(ChDoorVel,MATCH(E732,ChName,0))*CalibScalar*(1+VelocityUplift)</f>
        <v/>
      </c>
      <c r="Q732" s="46" t="n">
        <v>0</v>
      </c>
      <c r="R732" s="46">
        <f>P732*O732*M732*N732*H732</f>
        <v/>
      </c>
      <c r="S732" s="46">
        <f>R732*INDEX(FmtCansPerCase,MATCH(F732,FmtName,0))</f>
        <v/>
      </c>
      <c r="T732" s="46">
        <f>S732/INDEX(FmtCansPerPack,MATCH(F732,FmtName,0))</f>
        <v/>
      </c>
      <c r="U732" s="47">
        <f>INDEX(ChBaseCP,MATCH(E732,ChName,0))*(1+INDEX(ProvMod,MATCH(G732,ProvCode,0)))*(1+PriceIndex)</f>
        <v/>
      </c>
      <c r="V732" s="47">
        <f>R732*U732*INDEX(FmtBlendedPriceIdx,MATCH(F732,FmtName,0))</f>
        <v/>
      </c>
      <c r="W732" s="47">
        <f>T732*INDEX(ProvSRP,MATCH(G732,ProvCode,0))*(1+PriceIndex)</f>
        <v/>
      </c>
      <c r="X732" s="47">
        <f>IF(GrossBasis="Wholesale",V732,W732)</f>
        <v/>
      </c>
      <c r="Y732" s="47">
        <f>R732*INDEX(FmtBlendedCogs,MATCH(F732,FmtName,0))</f>
        <v/>
      </c>
      <c r="Z732" s="47">
        <f>X732-Y732</f>
        <v/>
      </c>
    </row>
    <row r="733">
      <c r="A733" t="n">
        <v>43</v>
      </c>
      <c r="B733" s="44">
        <f>FiscalStart+(A733-1)*7</f>
        <v/>
      </c>
      <c r="C733">
        <f>TEXT(B733,"mmm yyyy")</f>
        <v/>
      </c>
      <c r="D733">
        <f>"Q"&amp;(INT((A733-1)/13)+1)</f>
        <v/>
      </c>
      <c r="E733" t="inlineStr">
        <is>
          <t>On Premise</t>
        </is>
      </c>
      <c r="F733">
        <f>IFERROR(INDEX(ChFormat,MATCH(E733,ChName,0)),"")</f>
        <v/>
      </c>
      <c r="G733" t="inlineStr">
        <is>
          <t>MB</t>
        </is>
      </c>
      <c r="H733">
        <f>IF(A733&lt;=NWeeks,1,0)</f>
        <v/>
      </c>
      <c r="I733">
        <f>INDEX(ChLaunch,MATCH(E733,ChName,0))</f>
        <v/>
      </c>
      <c r="J733">
        <f>INDEX(ChWeeksFull,MATCH(E733,ChName,0))</f>
        <v/>
      </c>
      <c r="K733">
        <f>INDEX(ChRamp,MATCH(E733,ChName,0))</f>
        <v/>
      </c>
      <c r="L733" s="45">
        <f>MIN(1,MAX(0,(A733-I733+1)*RampSpeed/J733))</f>
        <v/>
      </c>
      <c r="M733" s="45">
        <f>IF(A733&lt;I733,0,IF(K733="S-curve",L733*L733*(3-2*L733),L733))</f>
        <v/>
      </c>
      <c r="N733" s="45">
        <f>1+(INDEX(SeasonIdx,A733)-1)*SeasonAmp</f>
        <v/>
      </c>
      <c r="O733" s="45">
        <f>IFERROR(INDEX(PSPct,MATCH(E733&amp;"|"&amp;G733,PSKey,0)),0)</f>
        <v/>
      </c>
      <c r="P733" s="46">
        <f>INDEX(ChDoorVel,MATCH(E733,ChName,0))*CalibScalar*(1+VelocityUplift)</f>
        <v/>
      </c>
      <c r="Q733" s="46" t="n">
        <v>0</v>
      </c>
      <c r="R733" s="46">
        <f>P733*O733*M733*N733*H733</f>
        <v/>
      </c>
      <c r="S733" s="46">
        <f>R733*INDEX(FmtCansPerCase,MATCH(F733,FmtName,0))</f>
        <v/>
      </c>
      <c r="T733" s="46">
        <f>S733/INDEX(FmtCansPerPack,MATCH(F733,FmtName,0))</f>
        <v/>
      </c>
      <c r="U733" s="47">
        <f>INDEX(ChBaseCP,MATCH(E733,ChName,0))*(1+INDEX(ProvMod,MATCH(G733,ProvCode,0)))*(1+PriceIndex)</f>
        <v/>
      </c>
      <c r="V733" s="47">
        <f>R733*U733*INDEX(FmtBlendedPriceIdx,MATCH(F733,FmtName,0))</f>
        <v/>
      </c>
      <c r="W733" s="47">
        <f>T733*INDEX(ProvSRP,MATCH(G733,ProvCode,0))*(1+PriceIndex)</f>
        <v/>
      </c>
      <c r="X733" s="47">
        <f>IF(GrossBasis="Wholesale",V733,W733)</f>
        <v/>
      </c>
      <c r="Y733" s="47">
        <f>R733*INDEX(FmtBlendedCogs,MATCH(F733,FmtName,0))</f>
        <v/>
      </c>
      <c r="Z733" s="47">
        <f>X733-Y733</f>
        <v/>
      </c>
    </row>
    <row r="734">
      <c r="A734" t="n">
        <v>44</v>
      </c>
      <c r="B734" s="44">
        <f>FiscalStart+(A734-1)*7</f>
        <v/>
      </c>
      <c r="C734">
        <f>TEXT(B734,"mmm yyyy")</f>
        <v/>
      </c>
      <c r="D734">
        <f>"Q"&amp;(INT((A734-1)/13)+1)</f>
        <v/>
      </c>
      <c r="E734" t="inlineStr">
        <is>
          <t>On Premise</t>
        </is>
      </c>
      <c r="F734">
        <f>IFERROR(INDEX(ChFormat,MATCH(E734,ChName,0)),"")</f>
        <v/>
      </c>
      <c r="G734" t="inlineStr">
        <is>
          <t>MB</t>
        </is>
      </c>
      <c r="H734">
        <f>IF(A734&lt;=NWeeks,1,0)</f>
        <v/>
      </c>
      <c r="I734">
        <f>INDEX(ChLaunch,MATCH(E734,ChName,0))</f>
        <v/>
      </c>
      <c r="J734">
        <f>INDEX(ChWeeksFull,MATCH(E734,ChName,0))</f>
        <v/>
      </c>
      <c r="K734">
        <f>INDEX(ChRamp,MATCH(E734,ChName,0))</f>
        <v/>
      </c>
      <c r="L734" s="45">
        <f>MIN(1,MAX(0,(A734-I734+1)*RampSpeed/J734))</f>
        <v/>
      </c>
      <c r="M734" s="45">
        <f>IF(A734&lt;I734,0,IF(K734="S-curve",L734*L734*(3-2*L734),L734))</f>
        <v/>
      </c>
      <c r="N734" s="45">
        <f>1+(INDEX(SeasonIdx,A734)-1)*SeasonAmp</f>
        <v/>
      </c>
      <c r="O734" s="45">
        <f>IFERROR(INDEX(PSPct,MATCH(E734&amp;"|"&amp;G734,PSKey,0)),0)</f>
        <v/>
      </c>
      <c r="P734" s="46">
        <f>INDEX(ChDoorVel,MATCH(E734,ChName,0))*CalibScalar*(1+VelocityUplift)</f>
        <v/>
      </c>
      <c r="Q734" s="46" t="n">
        <v>0</v>
      </c>
      <c r="R734" s="46">
        <f>P734*O734*M734*N734*H734</f>
        <v/>
      </c>
      <c r="S734" s="46">
        <f>R734*INDEX(FmtCansPerCase,MATCH(F734,FmtName,0))</f>
        <v/>
      </c>
      <c r="T734" s="46">
        <f>S734/INDEX(FmtCansPerPack,MATCH(F734,FmtName,0))</f>
        <v/>
      </c>
      <c r="U734" s="47">
        <f>INDEX(ChBaseCP,MATCH(E734,ChName,0))*(1+INDEX(ProvMod,MATCH(G734,ProvCode,0)))*(1+PriceIndex)</f>
        <v/>
      </c>
      <c r="V734" s="47">
        <f>R734*U734*INDEX(FmtBlendedPriceIdx,MATCH(F734,FmtName,0))</f>
        <v/>
      </c>
      <c r="W734" s="47">
        <f>T734*INDEX(ProvSRP,MATCH(G734,ProvCode,0))*(1+PriceIndex)</f>
        <v/>
      </c>
      <c r="X734" s="47">
        <f>IF(GrossBasis="Wholesale",V734,W734)</f>
        <v/>
      </c>
      <c r="Y734" s="47">
        <f>R734*INDEX(FmtBlendedCogs,MATCH(F734,FmtName,0))</f>
        <v/>
      </c>
      <c r="Z734" s="47">
        <f>X734-Y734</f>
        <v/>
      </c>
    </row>
    <row r="735">
      <c r="A735" t="n">
        <v>45</v>
      </c>
      <c r="B735" s="44">
        <f>FiscalStart+(A735-1)*7</f>
        <v/>
      </c>
      <c r="C735">
        <f>TEXT(B735,"mmm yyyy")</f>
        <v/>
      </c>
      <c r="D735">
        <f>"Q"&amp;(INT((A735-1)/13)+1)</f>
        <v/>
      </c>
      <c r="E735" t="inlineStr">
        <is>
          <t>On Premise</t>
        </is>
      </c>
      <c r="F735">
        <f>IFERROR(INDEX(ChFormat,MATCH(E735,ChName,0)),"")</f>
        <v/>
      </c>
      <c r="G735" t="inlineStr">
        <is>
          <t>MB</t>
        </is>
      </c>
      <c r="H735">
        <f>IF(A735&lt;=NWeeks,1,0)</f>
        <v/>
      </c>
      <c r="I735">
        <f>INDEX(ChLaunch,MATCH(E735,ChName,0))</f>
        <v/>
      </c>
      <c r="J735">
        <f>INDEX(ChWeeksFull,MATCH(E735,ChName,0))</f>
        <v/>
      </c>
      <c r="K735">
        <f>INDEX(ChRamp,MATCH(E735,ChName,0))</f>
        <v/>
      </c>
      <c r="L735" s="45">
        <f>MIN(1,MAX(0,(A735-I735+1)*RampSpeed/J735))</f>
        <v/>
      </c>
      <c r="M735" s="45">
        <f>IF(A735&lt;I735,0,IF(K735="S-curve",L735*L735*(3-2*L735),L735))</f>
        <v/>
      </c>
      <c r="N735" s="45">
        <f>1+(INDEX(SeasonIdx,A735)-1)*SeasonAmp</f>
        <v/>
      </c>
      <c r="O735" s="45">
        <f>IFERROR(INDEX(PSPct,MATCH(E735&amp;"|"&amp;G735,PSKey,0)),0)</f>
        <v/>
      </c>
      <c r="P735" s="46">
        <f>INDEX(ChDoorVel,MATCH(E735,ChName,0))*CalibScalar*(1+VelocityUplift)</f>
        <v/>
      </c>
      <c r="Q735" s="46" t="n">
        <v>0</v>
      </c>
      <c r="R735" s="46">
        <f>P735*O735*M735*N735*H735</f>
        <v/>
      </c>
      <c r="S735" s="46">
        <f>R735*INDEX(FmtCansPerCase,MATCH(F735,FmtName,0))</f>
        <v/>
      </c>
      <c r="T735" s="46">
        <f>S735/INDEX(FmtCansPerPack,MATCH(F735,FmtName,0))</f>
        <v/>
      </c>
      <c r="U735" s="47">
        <f>INDEX(ChBaseCP,MATCH(E735,ChName,0))*(1+INDEX(ProvMod,MATCH(G735,ProvCode,0)))*(1+PriceIndex)</f>
        <v/>
      </c>
      <c r="V735" s="47">
        <f>R735*U735*INDEX(FmtBlendedPriceIdx,MATCH(F735,FmtName,0))</f>
        <v/>
      </c>
      <c r="W735" s="47">
        <f>T735*INDEX(ProvSRP,MATCH(G735,ProvCode,0))*(1+PriceIndex)</f>
        <v/>
      </c>
      <c r="X735" s="47">
        <f>IF(GrossBasis="Wholesale",V735,W735)</f>
        <v/>
      </c>
      <c r="Y735" s="47">
        <f>R735*INDEX(FmtBlendedCogs,MATCH(F735,FmtName,0))</f>
        <v/>
      </c>
      <c r="Z735" s="47">
        <f>X735-Y735</f>
        <v/>
      </c>
    </row>
    <row r="736">
      <c r="A736" t="n">
        <v>46</v>
      </c>
      <c r="B736" s="44">
        <f>FiscalStart+(A736-1)*7</f>
        <v/>
      </c>
      <c r="C736">
        <f>TEXT(B736,"mmm yyyy")</f>
        <v/>
      </c>
      <c r="D736">
        <f>"Q"&amp;(INT((A736-1)/13)+1)</f>
        <v/>
      </c>
      <c r="E736" t="inlineStr">
        <is>
          <t>On Premise</t>
        </is>
      </c>
      <c r="F736">
        <f>IFERROR(INDEX(ChFormat,MATCH(E736,ChName,0)),"")</f>
        <v/>
      </c>
      <c r="G736" t="inlineStr">
        <is>
          <t>MB</t>
        </is>
      </c>
      <c r="H736">
        <f>IF(A736&lt;=NWeeks,1,0)</f>
        <v/>
      </c>
      <c r="I736">
        <f>INDEX(ChLaunch,MATCH(E736,ChName,0))</f>
        <v/>
      </c>
      <c r="J736">
        <f>INDEX(ChWeeksFull,MATCH(E736,ChName,0))</f>
        <v/>
      </c>
      <c r="K736">
        <f>INDEX(ChRamp,MATCH(E736,ChName,0))</f>
        <v/>
      </c>
      <c r="L736" s="45">
        <f>MIN(1,MAX(0,(A736-I736+1)*RampSpeed/J736))</f>
        <v/>
      </c>
      <c r="M736" s="45">
        <f>IF(A736&lt;I736,0,IF(K736="S-curve",L736*L736*(3-2*L736),L736))</f>
        <v/>
      </c>
      <c r="N736" s="45">
        <f>1+(INDEX(SeasonIdx,A736)-1)*SeasonAmp</f>
        <v/>
      </c>
      <c r="O736" s="45">
        <f>IFERROR(INDEX(PSPct,MATCH(E736&amp;"|"&amp;G736,PSKey,0)),0)</f>
        <v/>
      </c>
      <c r="P736" s="46">
        <f>INDEX(ChDoorVel,MATCH(E736,ChName,0))*CalibScalar*(1+VelocityUplift)</f>
        <v/>
      </c>
      <c r="Q736" s="46" t="n">
        <v>0</v>
      </c>
      <c r="R736" s="46">
        <f>P736*O736*M736*N736*H736</f>
        <v/>
      </c>
      <c r="S736" s="46">
        <f>R736*INDEX(FmtCansPerCase,MATCH(F736,FmtName,0))</f>
        <v/>
      </c>
      <c r="T736" s="46">
        <f>S736/INDEX(FmtCansPerPack,MATCH(F736,FmtName,0))</f>
        <v/>
      </c>
      <c r="U736" s="47">
        <f>INDEX(ChBaseCP,MATCH(E736,ChName,0))*(1+INDEX(ProvMod,MATCH(G736,ProvCode,0)))*(1+PriceIndex)</f>
        <v/>
      </c>
      <c r="V736" s="47">
        <f>R736*U736*INDEX(FmtBlendedPriceIdx,MATCH(F736,FmtName,0))</f>
        <v/>
      </c>
      <c r="W736" s="47">
        <f>T736*INDEX(ProvSRP,MATCH(G736,ProvCode,0))*(1+PriceIndex)</f>
        <v/>
      </c>
      <c r="X736" s="47">
        <f>IF(GrossBasis="Wholesale",V736,W736)</f>
        <v/>
      </c>
      <c r="Y736" s="47">
        <f>R736*INDEX(FmtBlendedCogs,MATCH(F736,FmtName,0))</f>
        <v/>
      </c>
      <c r="Z736" s="47">
        <f>X736-Y736</f>
        <v/>
      </c>
    </row>
    <row r="737">
      <c r="A737" t="n">
        <v>47</v>
      </c>
      <c r="B737" s="44">
        <f>FiscalStart+(A737-1)*7</f>
        <v/>
      </c>
      <c r="C737">
        <f>TEXT(B737,"mmm yyyy")</f>
        <v/>
      </c>
      <c r="D737">
        <f>"Q"&amp;(INT((A737-1)/13)+1)</f>
        <v/>
      </c>
      <c r="E737" t="inlineStr">
        <is>
          <t>On Premise</t>
        </is>
      </c>
      <c r="F737">
        <f>IFERROR(INDEX(ChFormat,MATCH(E737,ChName,0)),"")</f>
        <v/>
      </c>
      <c r="G737" t="inlineStr">
        <is>
          <t>MB</t>
        </is>
      </c>
      <c r="H737">
        <f>IF(A737&lt;=NWeeks,1,0)</f>
        <v/>
      </c>
      <c r="I737">
        <f>INDEX(ChLaunch,MATCH(E737,ChName,0))</f>
        <v/>
      </c>
      <c r="J737">
        <f>INDEX(ChWeeksFull,MATCH(E737,ChName,0))</f>
        <v/>
      </c>
      <c r="K737">
        <f>INDEX(ChRamp,MATCH(E737,ChName,0))</f>
        <v/>
      </c>
      <c r="L737" s="45">
        <f>MIN(1,MAX(0,(A737-I737+1)*RampSpeed/J737))</f>
        <v/>
      </c>
      <c r="M737" s="45">
        <f>IF(A737&lt;I737,0,IF(K737="S-curve",L737*L737*(3-2*L737),L737))</f>
        <v/>
      </c>
      <c r="N737" s="45">
        <f>1+(INDEX(SeasonIdx,A737)-1)*SeasonAmp</f>
        <v/>
      </c>
      <c r="O737" s="45">
        <f>IFERROR(INDEX(PSPct,MATCH(E737&amp;"|"&amp;G737,PSKey,0)),0)</f>
        <v/>
      </c>
      <c r="P737" s="46">
        <f>INDEX(ChDoorVel,MATCH(E737,ChName,0))*CalibScalar*(1+VelocityUplift)</f>
        <v/>
      </c>
      <c r="Q737" s="46" t="n">
        <v>0</v>
      </c>
      <c r="R737" s="46">
        <f>P737*O737*M737*N737*H737</f>
        <v/>
      </c>
      <c r="S737" s="46">
        <f>R737*INDEX(FmtCansPerCase,MATCH(F737,FmtName,0))</f>
        <v/>
      </c>
      <c r="T737" s="46">
        <f>S737/INDEX(FmtCansPerPack,MATCH(F737,FmtName,0))</f>
        <v/>
      </c>
      <c r="U737" s="47">
        <f>INDEX(ChBaseCP,MATCH(E737,ChName,0))*(1+INDEX(ProvMod,MATCH(G737,ProvCode,0)))*(1+PriceIndex)</f>
        <v/>
      </c>
      <c r="V737" s="47">
        <f>R737*U737*INDEX(FmtBlendedPriceIdx,MATCH(F737,FmtName,0))</f>
        <v/>
      </c>
      <c r="W737" s="47">
        <f>T737*INDEX(ProvSRP,MATCH(G737,ProvCode,0))*(1+PriceIndex)</f>
        <v/>
      </c>
      <c r="X737" s="47">
        <f>IF(GrossBasis="Wholesale",V737,W737)</f>
        <v/>
      </c>
      <c r="Y737" s="47">
        <f>R737*INDEX(FmtBlendedCogs,MATCH(F737,FmtName,0))</f>
        <v/>
      </c>
      <c r="Z737" s="47">
        <f>X737-Y737</f>
        <v/>
      </c>
    </row>
    <row r="738">
      <c r="A738" t="n">
        <v>48</v>
      </c>
      <c r="B738" s="44">
        <f>FiscalStart+(A738-1)*7</f>
        <v/>
      </c>
      <c r="C738">
        <f>TEXT(B738,"mmm yyyy")</f>
        <v/>
      </c>
      <c r="D738">
        <f>"Q"&amp;(INT((A738-1)/13)+1)</f>
        <v/>
      </c>
      <c r="E738" t="inlineStr">
        <is>
          <t>On Premise</t>
        </is>
      </c>
      <c r="F738">
        <f>IFERROR(INDEX(ChFormat,MATCH(E738,ChName,0)),"")</f>
        <v/>
      </c>
      <c r="G738" t="inlineStr">
        <is>
          <t>MB</t>
        </is>
      </c>
      <c r="H738">
        <f>IF(A738&lt;=NWeeks,1,0)</f>
        <v/>
      </c>
      <c r="I738">
        <f>INDEX(ChLaunch,MATCH(E738,ChName,0))</f>
        <v/>
      </c>
      <c r="J738">
        <f>INDEX(ChWeeksFull,MATCH(E738,ChName,0))</f>
        <v/>
      </c>
      <c r="K738">
        <f>INDEX(ChRamp,MATCH(E738,ChName,0))</f>
        <v/>
      </c>
      <c r="L738" s="45">
        <f>MIN(1,MAX(0,(A738-I738+1)*RampSpeed/J738))</f>
        <v/>
      </c>
      <c r="M738" s="45">
        <f>IF(A738&lt;I738,0,IF(K738="S-curve",L738*L738*(3-2*L738),L738))</f>
        <v/>
      </c>
      <c r="N738" s="45">
        <f>1+(INDEX(SeasonIdx,A738)-1)*SeasonAmp</f>
        <v/>
      </c>
      <c r="O738" s="45">
        <f>IFERROR(INDEX(PSPct,MATCH(E738&amp;"|"&amp;G738,PSKey,0)),0)</f>
        <v/>
      </c>
      <c r="P738" s="46">
        <f>INDEX(ChDoorVel,MATCH(E738,ChName,0))*CalibScalar*(1+VelocityUplift)</f>
        <v/>
      </c>
      <c r="Q738" s="46" t="n">
        <v>0</v>
      </c>
      <c r="R738" s="46">
        <f>P738*O738*M738*N738*H738</f>
        <v/>
      </c>
      <c r="S738" s="46">
        <f>R738*INDEX(FmtCansPerCase,MATCH(F738,FmtName,0))</f>
        <v/>
      </c>
      <c r="T738" s="46">
        <f>S738/INDEX(FmtCansPerPack,MATCH(F738,FmtName,0))</f>
        <v/>
      </c>
      <c r="U738" s="47">
        <f>INDEX(ChBaseCP,MATCH(E738,ChName,0))*(1+INDEX(ProvMod,MATCH(G738,ProvCode,0)))*(1+PriceIndex)</f>
        <v/>
      </c>
      <c r="V738" s="47">
        <f>R738*U738*INDEX(FmtBlendedPriceIdx,MATCH(F738,FmtName,0))</f>
        <v/>
      </c>
      <c r="W738" s="47">
        <f>T738*INDEX(ProvSRP,MATCH(G738,ProvCode,0))*(1+PriceIndex)</f>
        <v/>
      </c>
      <c r="X738" s="47">
        <f>IF(GrossBasis="Wholesale",V738,W738)</f>
        <v/>
      </c>
      <c r="Y738" s="47">
        <f>R738*INDEX(FmtBlendedCogs,MATCH(F738,FmtName,0))</f>
        <v/>
      </c>
      <c r="Z738" s="47">
        <f>X738-Y738</f>
        <v/>
      </c>
    </row>
    <row r="739">
      <c r="A739" t="n">
        <v>49</v>
      </c>
      <c r="B739" s="44">
        <f>FiscalStart+(A739-1)*7</f>
        <v/>
      </c>
      <c r="C739">
        <f>TEXT(B739,"mmm yyyy")</f>
        <v/>
      </c>
      <c r="D739">
        <f>"Q"&amp;(INT((A739-1)/13)+1)</f>
        <v/>
      </c>
      <c r="E739" t="inlineStr">
        <is>
          <t>On Premise</t>
        </is>
      </c>
      <c r="F739">
        <f>IFERROR(INDEX(ChFormat,MATCH(E739,ChName,0)),"")</f>
        <v/>
      </c>
      <c r="G739" t="inlineStr">
        <is>
          <t>MB</t>
        </is>
      </c>
      <c r="H739">
        <f>IF(A739&lt;=NWeeks,1,0)</f>
        <v/>
      </c>
      <c r="I739">
        <f>INDEX(ChLaunch,MATCH(E739,ChName,0))</f>
        <v/>
      </c>
      <c r="J739">
        <f>INDEX(ChWeeksFull,MATCH(E739,ChName,0))</f>
        <v/>
      </c>
      <c r="K739">
        <f>INDEX(ChRamp,MATCH(E739,ChName,0))</f>
        <v/>
      </c>
      <c r="L739" s="45">
        <f>MIN(1,MAX(0,(A739-I739+1)*RampSpeed/J739))</f>
        <v/>
      </c>
      <c r="M739" s="45">
        <f>IF(A739&lt;I739,0,IF(K739="S-curve",L739*L739*(3-2*L739),L739))</f>
        <v/>
      </c>
      <c r="N739" s="45">
        <f>1+(INDEX(SeasonIdx,A739)-1)*SeasonAmp</f>
        <v/>
      </c>
      <c r="O739" s="45">
        <f>IFERROR(INDEX(PSPct,MATCH(E739&amp;"|"&amp;G739,PSKey,0)),0)</f>
        <v/>
      </c>
      <c r="P739" s="46">
        <f>INDEX(ChDoorVel,MATCH(E739,ChName,0))*CalibScalar*(1+VelocityUplift)</f>
        <v/>
      </c>
      <c r="Q739" s="46" t="n">
        <v>0</v>
      </c>
      <c r="R739" s="46">
        <f>P739*O739*M739*N739*H739</f>
        <v/>
      </c>
      <c r="S739" s="46">
        <f>R739*INDEX(FmtCansPerCase,MATCH(F739,FmtName,0))</f>
        <v/>
      </c>
      <c r="T739" s="46">
        <f>S739/INDEX(FmtCansPerPack,MATCH(F739,FmtName,0))</f>
        <v/>
      </c>
      <c r="U739" s="47">
        <f>INDEX(ChBaseCP,MATCH(E739,ChName,0))*(1+INDEX(ProvMod,MATCH(G739,ProvCode,0)))*(1+PriceIndex)</f>
        <v/>
      </c>
      <c r="V739" s="47">
        <f>R739*U739*INDEX(FmtBlendedPriceIdx,MATCH(F739,FmtName,0))</f>
        <v/>
      </c>
      <c r="W739" s="47">
        <f>T739*INDEX(ProvSRP,MATCH(G739,ProvCode,0))*(1+PriceIndex)</f>
        <v/>
      </c>
      <c r="X739" s="47">
        <f>IF(GrossBasis="Wholesale",V739,W739)</f>
        <v/>
      </c>
      <c r="Y739" s="47">
        <f>R739*INDEX(FmtBlendedCogs,MATCH(F739,FmtName,0))</f>
        <v/>
      </c>
      <c r="Z739" s="47">
        <f>X739-Y739</f>
        <v/>
      </c>
    </row>
    <row r="740">
      <c r="A740" t="n">
        <v>50</v>
      </c>
      <c r="B740" s="44">
        <f>FiscalStart+(A740-1)*7</f>
        <v/>
      </c>
      <c r="C740">
        <f>TEXT(B740,"mmm yyyy")</f>
        <v/>
      </c>
      <c r="D740">
        <f>"Q"&amp;(INT((A740-1)/13)+1)</f>
        <v/>
      </c>
      <c r="E740" t="inlineStr">
        <is>
          <t>On Premise</t>
        </is>
      </c>
      <c r="F740">
        <f>IFERROR(INDEX(ChFormat,MATCH(E740,ChName,0)),"")</f>
        <v/>
      </c>
      <c r="G740" t="inlineStr">
        <is>
          <t>MB</t>
        </is>
      </c>
      <c r="H740">
        <f>IF(A740&lt;=NWeeks,1,0)</f>
        <v/>
      </c>
      <c r="I740">
        <f>INDEX(ChLaunch,MATCH(E740,ChName,0))</f>
        <v/>
      </c>
      <c r="J740">
        <f>INDEX(ChWeeksFull,MATCH(E740,ChName,0))</f>
        <v/>
      </c>
      <c r="K740">
        <f>INDEX(ChRamp,MATCH(E740,ChName,0))</f>
        <v/>
      </c>
      <c r="L740" s="45">
        <f>MIN(1,MAX(0,(A740-I740+1)*RampSpeed/J740))</f>
        <v/>
      </c>
      <c r="M740" s="45">
        <f>IF(A740&lt;I740,0,IF(K740="S-curve",L740*L740*(3-2*L740),L740))</f>
        <v/>
      </c>
      <c r="N740" s="45">
        <f>1+(INDEX(SeasonIdx,A740)-1)*SeasonAmp</f>
        <v/>
      </c>
      <c r="O740" s="45">
        <f>IFERROR(INDEX(PSPct,MATCH(E740&amp;"|"&amp;G740,PSKey,0)),0)</f>
        <v/>
      </c>
      <c r="P740" s="46">
        <f>INDEX(ChDoorVel,MATCH(E740,ChName,0))*CalibScalar*(1+VelocityUplift)</f>
        <v/>
      </c>
      <c r="Q740" s="46" t="n">
        <v>0</v>
      </c>
      <c r="R740" s="46">
        <f>P740*O740*M740*N740*H740</f>
        <v/>
      </c>
      <c r="S740" s="46">
        <f>R740*INDEX(FmtCansPerCase,MATCH(F740,FmtName,0))</f>
        <v/>
      </c>
      <c r="T740" s="46">
        <f>S740/INDEX(FmtCansPerPack,MATCH(F740,FmtName,0))</f>
        <v/>
      </c>
      <c r="U740" s="47">
        <f>INDEX(ChBaseCP,MATCH(E740,ChName,0))*(1+INDEX(ProvMod,MATCH(G740,ProvCode,0)))*(1+PriceIndex)</f>
        <v/>
      </c>
      <c r="V740" s="47">
        <f>R740*U740*INDEX(FmtBlendedPriceIdx,MATCH(F740,FmtName,0))</f>
        <v/>
      </c>
      <c r="W740" s="47">
        <f>T740*INDEX(ProvSRP,MATCH(G740,ProvCode,0))*(1+PriceIndex)</f>
        <v/>
      </c>
      <c r="X740" s="47">
        <f>IF(GrossBasis="Wholesale",V740,W740)</f>
        <v/>
      </c>
      <c r="Y740" s="47">
        <f>R740*INDEX(FmtBlendedCogs,MATCH(F740,FmtName,0))</f>
        <v/>
      </c>
      <c r="Z740" s="47">
        <f>X740-Y740</f>
        <v/>
      </c>
    </row>
    <row r="741">
      <c r="A741" t="n">
        <v>51</v>
      </c>
      <c r="B741" s="44">
        <f>FiscalStart+(A741-1)*7</f>
        <v/>
      </c>
      <c r="C741">
        <f>TEXT(B741,"mmm yyyy")</f>
        <v/>
      </c>
      <c r="D741">
        <f>"Q"&amp;(INT((A741-1)/13)+1)</f>
        <v/>
      </c>
      <c r="E741" t="inlineStr">
        <is>
          <t>On Premise</t>
        </is>
      </c>
      <c r="F741">
        <f>IFERROR(INDEX(ChFormat,MATCH(E741,ChName,0)),"")</f>
        <v/>
      </c>
      <c r="G741" t="inlineStr">
        <is>
          <t>MB</t>
        </is>
      </c>
      <c r="H741">
        <f>IF(A741&lt;=NWeeks,1,0)</f>
        <v/>
      </c>
      <c r="I741">
        <f>INDEX(ChLaunch,MATCH(E741,ChName,0))</f>
        <v/>
      </c>
      <c r="J741">
        <f>INDEX(ChWeeksFull,MATCH(E741,ChName,0))</f>
        <v/>
      </c>
      <c r="K741">
        <f>INDEX(ChRamp,MATCH(E741,ChName,0))</f>
        <v/>
      </c>
      <c r="L741" s="45">
        <f>MIN(1,MAX(0,(A741-I741+1)*RampSpeed/J741))</f>
        <v/>
      </c>
      <c r="M741" s="45">
        <f>IF(A741&lt;I741,0,IF(K741="S-curve",L741*L741*(3-2*L741),L741))</f>
        <v/>
      </c>
      <c r="N741" s="45">
        <f>1+(INDEX(SeasonIdx,A741)-1)*SeasonAmp</f>
        <v/>
      </c>
      <c r="O741" s="45">
        <f>IFERROR(INDEX(PSPct,MATCH(E741&amp;"|"&amp;G741,PSKey,0)),0)</f>
        <v/>
      </c>
      <c r="P741" s="46">
        <f>INDEX(ChDoorVel,MATCH(E741,ChName,0))*CalibScalar*(1+VelocityUplift)</f>
        <v/>
      </c>
      <c r="Q741" s="46" t="n">
        <v>0</v>
      </c>
      <c r="R741" s="46">
        <f>P741*O741*M741*N741*H741</f>
        <v/>
      </c>
      <c r="S741" s="46">
        <f>R741*INDEX(FmtCansPerCase,MATCH(F741,FmtName,0))</f>
        <v/>
      </c>
      <c r="T741" s="46">
        <f>S741/INDEX(FmtCansPerPack,MATCH(F741,FmtName,0))</f>
        <v/>
      </c>
      <c r="U741" s="47">
        <f>INDEX(ChBaseCP,MATCH(E741,ChName,0))*(1+INDEX(ProvMod,MATCH(G741,ProvCode,0)))*(1+PriceIndex)</f>
        <v/>
      </c>
      <c r="V741" s="47">
        <f>R741*U741*INDEX(FmtBlendedPriceIdx,MATCH(F741,FmtName,0))</f>
        <v/>
      </c>
      <c r="W741" s="47">
        <f>T741*INDEX(ProvSRP,MATCH(G741,ProvCode,0))*(1+PriceIndex)</f>
        <v/>
      </c>
      <c r="X741" s="47">
        <f>IF(GrossBasis="Wholesale",V741,W741)</f>
        <v/>
      </c>
      <c r="Y741" s="47">
        <f>R741*INDEX(FmtBlendedCogs,MATCH(F741,FmtName,0))</f>
        <v/>
      </c>
      <c r="Z741" s="47">
        <f>X741-Y741</f>
        <v/>
      </c>
    </row>
    <row r="742">
      <c r="A742" t="n">
        <v>52</v>
      </c>
      <c r="B742" s="44">
        <f>FiscalStart+(A742-1)*7</f>
        <v/>
      </c>
      <c r="C742">
        <f>TEXT(B742,"mmm yyyy")</f>
        <v/>
      </c>
      <c r="D742">
        <f>"Q"&amp;(INT((A742-1)/13)+1)</f>
        <v/>
      </c>
      <c r="E742" t="inlineStr">
        <is>
          <t>On Premise</t>
        </is>
      </c>
      <c r="F742">
        <f>IFERROR(INDEX(ChFormat,MATCH(E742,ChName,0)),"")</f>
        <v/>
      </c>
      <c r="G742" t="inlineStr">
        <is>
          <t>MB</t>
        </is>
      </c>
      <c r="H742">
        <f>IF(A742&lt;=NWeeks,1,0)</f>
        <v/>
      </c>
      <c r="I742">
        <f>INDEX(ChLaunch,MATCH(E742,ChName,0))</f>
        <v/>
      </c>
      <c r="J742">
        <f>INDEX(ChWeeksFull,MATCH(E742,ChName,0))</f>
        <v/>
      </c>
      <c r="K742">
        <f>INDEX(ChRamp,MATCH(E742,ChName,0))</f>
        <v/>
      </c>
      <c r="L742" s="45">
        <f>MIN(1,MAX(0,(A742-I742+1)*RampSpeed/J742))</f>
        <v/>
      </c>
      <c r="M742" s="45">
        <f>IF(A742&lt;I742,0,IF(K742="S-curve",L742*L742*(3-2*L742),L742))</f>
        <v/>
      </c>
      <c r="N742" s="45">
        <f>1+(INDEX(SeasonIdx,A742)-1)*SeasonAmp</f>
        <v/>
      </c>
      <c r="O742" s="45">
        <f>IFERROR(INDEX(PSPct,MATCH(E742&amp;"|"&amp;G742,PSKey,0)),0)</f>
        <v/>
      </c>
      <c r="P742" s="46">
        <f>INDEX(ChDoorVel,MATCH(E742,ChName,0))*CalibScalar*(1+VelocityUplift)</f>
        <v/>
      </c>
      <c r="Q742" s="46" t="n">
        <v>0</v>
      </c>
      <c r="R742" s="46">
        <f>P742*O742*M742*N742*H742</f>
        <v/>
      </c>
      <c r="S742" s="46">
        <f>R742*INDEX(FmtCansPerCase,MATCH(F742,FmtName,0))</f>
        <v/>
      </c>
      <c r="T742" s="46">
        <f>S742/INDEX(FmtCansPerPack,MATCH(F742,FmtName,0))</f>
        <v/>
      </c>
      <c r="U742" s="47">
        <f>INDEX(ChBaseCP,MATCH(E742,ChName,0))*(1+INDEX(ProvMod,MATCH(G742,ProvCode,0)))*(1+PriceIndex)</f>
        <v/>
      </c>
      <c r="V742" s="47">
        <f>R742*U742*INDEX(FmtBlendedPriceIdx,MATCH(F742,FmtName,0))</f>
        <v/>
      </c>
      <c r="W742" s="47">
        <f>T742*INDEX(ProvSRP,MATCH(G742,ProvCode,0))*(1+PriceIndex)</f>
        <v/>
      </c>
      <c r="X742" s="47">
        <f>IF(GrossBasis="Wholesale",V742,W742)</f>
        <v/>
      </c>
      <c r="Y742" s="47">
        <f>R742*INDEX(FmtBlendedCogs,MATCH(F742,FmtName,0))</f>
        <v/>
      </c>
      <c r="Z742" s="47">
        <f>X742-Y742</f>
        <v/>
      </c>
    </row>
    <row r="743">
      <c r="A743" t="n">
        <v>53</v>
      </c>
      <c r="B743" s="44">
        <f>FiscalStart+(A743-1)*7</f>
        <v/>
      </c>
      <c r="C743">
        <f>TEXT(B743,"mmm yyyy")</f>
        <v/>
      </c>
      <c r="D743">
        <f>"Q"&amp;(INT((A743-1)/13)+1)</f>
        <v/>
      </c>
      <c r="E743" t="inlineStr">
        <is>
          <t>On Premise</t>
        </is>
      </c>
      <c r="F743">
        <f>IFERROR(INDEX(ChFormat,MATCH(E743,ChName,0)),"")</f>
        <v/>
      </c>
      <c r="G743" t="inlineStr">
        <is>
          <t>MB</t>
        </is>
      </c>
      <c r="H743">
        <f>IF(A743&lt;=NWeeks,1,0)</f>
        <v/>
      </c>
      <c r="I743">
        <f>INDEX(ChLaunch,MATCH(E743,ChName,0))</f>
        <v/>
      </c>
      <c r="J743">
        <f>INDEX(ChWeeksFull,MATCH(E743,ChName,0))</f>
        <v/>
      </c>
      <c r="K743">
        <f>INDEX(ChRamp,MATCH(E743,ChName,0))</f>
        <v/>
      </c>
      <c r="L743" s="45">
        <f>MIN(1,MAX(0,(A743-I743+1)*RampSpeed/J743))</f>
        <v/>
      </c>
      <c r="M743" s="45">
        <f>IF(A743&lt;I743,0,IF(K743="S-curve",L743*L743*(3-2*L743),L743))</f>
        <v/>
      </c>
      <c r="N743" s="45">
        <f>1+(INDEX(SeasonIdx,A743)-1)*SeasonAmp</f>
        <v/>
      </c>
      <c r="O743" s="45">
        <f>IFERROR(INDEX(PSPct,MATCH(E743&amp;"|"&amp;G743,PSKey,0)),0)</f>
        <v/>
      </c>
      <c r="P743" s="46">
        <f>INDEX(ChDoorVel,MATCH(E743,ChName,0))*CalibScalar*(1+VelocityUplift)</f>
        <v/>
      </c>
      <c r="Q743" s="46" t="n">
        <v>0</v>
      </c>
      <c r="R743" s="46">
        <f>P743*O743*M743*N743*H743</f>
        <v/>
      </c>
      <c r="S743" s="46">
        <f>R743*INDEX(FmtCansPerCase,MATCH(F743,FmtName,0))</f>
        <v/>
      </c>
      <c r="T743" s="46">
        <f>S743/INDEX(FmtCansPerPack,MATCH(F743,FmtName,0))</f>
        <v/>
      </c>
      <c r="U743" s="47">
        <f>INDEX(ChBaseCP,MATCH(E743,ChName,0))*(1+INDEX(ProvMod,MATCH(G743,ProvCode,0)))*(1+PriceIndex)</f>
        <v/>
      </c>
      <c r="V743" s="47">
        <f>R743*U743*INDEX(FmtBlendedPriceIdx,MATCH(F743,FmtName,0))</f>
        <v/>
      </c>
      <c r="W743" s="47">
        <f>T743*INDEX(ProvSRP,MATCH(G743,ProvCode,0))*(1+PriceIndex)</f>
        <v/>
      </c>
      <c r="X743" s="47">
        <f>IF(GrossBasis="Wholesale",V743,W743)</f>
        <v/>
      </c>
      <c r="Y743" s="47">
        <f>R743*INDEX(FmtBlendedCogs,MATCH(F743,FmtName,0))</f>
        <v/>
      </c>
      <c r="Z743" s="47">
        <f>X743-Y743</f>
        <v/>
      </c>
    </row>
    <row r="744">
      <c r="A744" t="n">
        <v>1</v>
      </c>
      <c r="B744" s="44">
        <f>FiscalStart+(A744-1)*7</f>
        <v/>
      </c>
      <c r="C744">
        <f>TEXT(B744,"mmm yyyy")</f>
        <v/>
      </c>
      <c r="D744">
        <f>"Q"&amp;(INT((A744-1)/13)+1)</f>
        <v/>
      </c>
      <c r="E744" t="inlineStr">
        <is>
          <t>On Premise</t>
        </is>
      </c>
      <c r="F744">
        <f>IFERROR(INDEX(ChFormat,MATCH(E744,ChName,0)),"")</f>
        <v/>
      </c>
      <c r="G744" t="inlineStr">
        <is>
          <t>ON</t>
        </is>
      </c>
      <c r="H744">
        <f>IF(A744&lt;=NWeeks,1,0)</f>
        <v/>
      </c>
      <c r="I744">
        <f>INDEX(ChLaunch,MATCH(E744,ChName,0))</f>
        <v/>
      </c>
      <c r="J744">
        <f>INDEX(ChWeeksFull,MATCH(E744,ChName,0))</f>
        <v/>
      </c>
      <c r="K744">
        <f>INDEX(ChRamp,MATCH(E744,ChName,0))</f>
        <v/>
      </c>
      <c r="L744" s="45">
        <f>MIN(1,MAX(0,(A744-I744+1)*RampSpeed/J744))</f>
        <v/>
      </c>
      <c r="M744" s="45">
        <f>IF(A744&lt;I744,0,IF(K744="S-curve",L744*L744*(3-2*L744),L744))</f>
        <v/>
      </c>
      <c r="N744" s="45">
        <f>1+(INDEX(SeasonIdx,A744)-1)*SeasonAmp</f>
        <v/>
      </c>
      <c r="O744" s="45">
        <f>IFERROR(INDEX(PSPct,MATCH(E744&amp;"|"&amp;G744,PSKey,0)),0)</f>
        <v/>
      </c>
      <c r="P744" s="46">
        <f>INDEX(ChDoorVel,MATCH(E744,ChName,0))*CalibScalar*(1+VelocityUplift)</f>
        <v/>
      </c>
      <c r="Q744" s="46" t="n">
        <v>0</v>
      </c>
      <c r="R744" s="46">
        <f>P744*O744*M744*N744*H744</f>
        <v/>
      </c>
      <c r="S744" s="46">
        <f>R744*INDEX(FmtCansPerCase,MATCH(F744,FmtName,0))</f>
        <v/>
      </c>
      <c r="T744" s="46">
        <f>S744/INDEX(FmtCansPerPack,MATCH(F744,FmtName,0))</f>
        <v/>
      </c>
      <c r="U744" s="47">
        <f>INDEX(ChBaseCP,MATCH(E744,ChName,0))*(1+INDEX(ProvMod,MATCH(G744,ProvCode,0)))*(1+PriceIndex)</f>
        <v/>
      </c>
      <c r="V744" s="47">
        <f>R744*U744*INDEX(FmtBlendedPriceIdx,MATCH(F744,FmtName,0))</f>
        <v/>
      </c>
      <c r="W744" s="47">
        <f>T744*INDEX(ProvSRP,MATCH(G744,ProvCode,0))*(1+PriceIndex)</f>
        <v/>
      </c>
      <c r="X744" s="47">
        <f>IF(GrossBasis="Wholesale",V744,W744)</f>
        <v/>
      </c>
      <c r="Y744" s="47">
        <f>R744*INDEX(FmtBlendedCogs,MATCH(F744,FmtName,0))</f>
        <v/>
      </c>
      <c r="Z744" s="47">
        <f>X744-Y744</f>
        <v/>
      </c>
    </row>
    <row r="745">
      <c r="A745" t="n">
        <v>2</v>
      </c>
      <c r="B745" s="44">
        <f>FiscalStart+(A745-1)*7</f>
        <v/>
      </c>
      <c r="C745">
        <f>TEXT(B745,"mmm yyyy")</f>
        <v/>
      </c>
      <c r="D745">
        <f>"Q"&amp;(INT((A745-1)/13)+1)</f>
        <v/>
      </c>
      <c r="E745" t="inlineStr">
        <is>
          <t>On Premise</t>
        </is>
      </c>
      <c r="F745">
        <f>IFERROR(INDEX(ChFormat,MATCH(E745,ChName,0)),"")</f>
        <v/>
      </c>
      <c r="G745" t="inlineStr">
        <is>
          <t>ON</t>
        </is>
      </c>
      <c r="H745">
        <f>IF(A745&lt;=NWeeks,1,0)</f>
        <v/>
      </c>
      <c r="I745">
        <f>INDEX(ChLaunch,MATCH(E745,ChName,0))</f>
        <v/>
      </c>
      <c r="J745">
        <f>INDEX(ChWeeksFull,MATCH(E745,ChName,0))</f>
        <v/>
      </c>
      <c r="K745">
        <f>INDEX(ChRamp,MATCH(E745,ChName,0))</f>
        <v/>
      </c>
      <c r="L745" s="45">
        <f>MIN(1,MAX(0,(A745-I745+1)*RampSpeed/J745))</f>
        <v/>
      </c>
      <c r="M745" s="45">
        <f>IF(A745&lt;I745,0,IF(K745="S-curve",L745*L745*(3-2*L745),L745))</f>
        <v/>
      </c>
      <c r="N745" s="45">
        <f>1+(INDEX(SeasonIdx,A745)-1)*SeasonAmp</f>
        <v/>
      </c>
      <c r="O745" s="45">
        <f>IFERROR(INDEX(PSPct,MATCH(E745&amp;"|"&amp;G745,PSKey,0)),0)</f>
        <v/>
      </c>
      <c r="P745" s="46">
        <f>INDEX(ChDoorVel,MATCH(E745,ChName,0))*CalibScalar*(1+VelocityUplift)</f>
        <v/>
      </c>
      <c r="Q745" s="46" t="n">
        <v>0</v>
      </c>
      <c r="R745" s="46">
        <f>P745*O745*M745*N745*H745</f>
        <v/>
      </c>
      <c r="S745" s="46">
        <f>R745*INDEX(FmtCansPerCase,MATCH(F745,FmtName,0))</f>
        <v/>
      </c>
      <c r="T745" s="46">
        <f>S745/INDEX(FmtCansPerPack,MATCH(F745,FmtName,0))</f>
        <v/>
      </c>
      <c r="U745" s="47">
        <f>INDEX(ChBaseCP,MATCH(E745,ChName,0))*(1+INDEX(ProvMod,MATCH(G745,ProvCode,0)))*(1+PriceIndex)</f>
        <v/>
      </c>
      <c r="V745" s="47">
        <f>R745*U745*INDEX(FmtBlendedPriceIdx,MATCH(F745,FmtName,0))</f>
        <v/>
      </c>
      <c r="W745" s="47">
        <f>T745*INDEX(ProvSRP,MATCH(G745,ProvCode,0))*(1+PriceIndex)</f>
        <v/>
      </c>
      <c r="X745" s="47">
        <f>IF(GrossBasis="Wholesale",V745,W745)</f>
        <v/>
      </c>
      <c r="Y745" s="47">
        <f>R745*INDEX(FmtBlendedCogs,MATCH(F745,FmtName,0))</f>
        <v/>
      </c>
      <c r="Z745" s="47">
        <f>X745-Y745</f>
        <v/>
      </c>
    </row>
    <row r="746">
      <c r="A746" t="n">
        <v>3</v>
      </c>
      <c r="B746" s="44">
        <f>FiscalStart+(A746-1)*7</f>
        <v/>
      </c>
      <c r="C746">
        <f>TEXT(B746,"mmm yyyy")</f>
        <v/>
      </c>
      <c r="D746">
        <f>"Q"&amp;(INT((A746-1)/13)+1)</f>
        <v/>
      </c>
      <c r="E746" t="inlineStr">
        <is>
          <t>On Premise</t>
        </is>
      </c>
      <c r="F746">
        <f>IFERROR(INDEX(ChFormat,MATCH(E746,ChName,0)),"")</f>
        <v/>
      </c>
      <c r="G746" t="inlineStr">
        <is>
          <t>ON</t>
        </is>
      </c>
      <c r="H746">
        <f>IF(A746&lt;=NWeeks,1,0)</f>
        <v/>
      </c>
      <c r="I746">
        <f>INDEX(ChLaunch,MATCH(E746,ChName,0))</f>
        <v/>
      </c>
      <c r="J746">
        <f>INDEX(ChWeeksFull,MATCH(E746,ChName,0))</f>
        <v/>
      </c>
      <c r="K746">
        <f>INDEX(ChRamp,MATCH(E746,ChName,0))</f>
        <v/>
      </c>
      <c r="L746" s="45">
        <f>MIN(1,MAX(0,(A746-I746+1)*RampSpeed/J746))</f>
        <v/>
      </c>
      <c r="M746" s="45">
        <f>IF(A746&lt;I746,0,IF(K746="S-curve",L746*L746*(3-2*L746),L746))</f>
        <v/>
      </c>
      <c r="N746" s="45">
        <f>1+(INDEX(SeasonIdx,A746)-1)*SeasonAmp</f>
        <v/>
      </c>
      <c r="O746" s="45">
        <f>IFERROR(INDEX(PSPct,MATCH(E746&amp;"|"&amp;G746,PSKey,0)),0)</f>
        <v/>
      </c>
      <c r="P746" s="46">
        <f>INDEX(ChDoorVel,MATCH(E746,ChName,0))*CalibScalar*(1+VelocityUplift)</f>
        <v/>
      </c>
      <c r="Q746" s="46" t="n">
        <v>0</v>
      </c>
      <c r="R746" s="46">
        <f>P746*O746*M746*N746*H746</f>
        <v/>
      </c>
      <c r="S746" s="46">
        <f>R746*INDEX(FmtCansPerCase,MATCH(F746,FmtName,0))</f>
        <v/>
      </c>
      <c r="T746" s="46">
        <f>S746/INDEX(FmtCansPerPack,MATCH(F746,FmtName,0))</f>
        <v/>
      </c>
      <c r="U746" s="47">
        <f>INDEX(ChBaseCP,MATCH(E746,ChName,0))*(1+INDEX(ProvMod,MATCH(G746,ProvCode,0)))*(1+PriceIndex)</f>
        <v/>
      </c>
      <c r="V746" s="47">
        <f>R746*U746*INDEX(FmtBlendedPriceIdx,MATCH(F746,FmtName,0))</f>
        <v/>
      </c>
      <c r="W746" s="47">
        <f>T746*INDEX(ProvSRP,MATCH(G746,ProvCode,0))*(1+PriceIndex)</f>
        <v/>
      </c>
      <c r="X746" s="47">
        <f>IF(GrossBasis="Wholesale",V746,W746)</f>
        <v/>
      </c>
      <c r="Y746" s="47">
        <f>R746*INDEX(FmtBlendedCogs,MATCH(F746,FmtName,0))</f>
        <v/>
      </c>
      <c r="Z746" s="47">
        <f>X746-Y746</f>
        <v/>
      </c>
    </row>
    <row r="747">
      <c r="A747" t="n">
        <v>4</v>
      </c>
      <c r="B747" s="44">
        <f>FiscalStart+(A747-1)*7</f>
        <v/>
      </c>
      <c r="C747">
        <f>TEXT(B747,"mmm yyyy")</f>
        <v/>
      </c>
      <c r="D747">
        <f>"Q"&amp;(INT((A747-1)/13)+1)</f>
        <v/>
      </c>
      <c r="E747" t="inlineStr">
        <is>
          <t>On Premise</t>
        </is>
      </c>
      <c r="F747">
        <f>IFERROR(INDEX(ChFormat,MATCH(E747,ChName,0)),"")</f>
        <v/>
      </c>
      <c r="G747" t="inlineStr">
        <is>
          <t>ON</t>
        </is>
      </c>
      <c r="H747">
        <f>IF(A747&lt;=NWeeks,1,0)</f>
        <v/>
      </c>
      <c r="I747">
        <f>INDEX(ChLaunch,MATCH(E747,ChName,0))</f>
        <v/>
      </c>
      <c r="J747">
        <f>INDEX(ChWeeksFull,MATCH(E747,ChName,0))</f>
        <v/>
      </c>
      <c r="K747">
        <f>INDEX(ChRamp,MATCH(E747,ChName,0))</f>
        <v/>
      </c>
      <c r="L747" s="45">
        <f>MIN(1,MAX(0,(A747-I747+1)*RampSpeed/J747))</f>
        <v/>
      </c>
      <c r="M747" s="45">
        <f>IF(A747&lt;I747,0,IF(K747="S-curve",L747*L747*(3-2*L747),L747))</f>
        <v/>
      </c>
      <c r="N747" s="45">
        <f>1+(INDEX(SeasonIdx,A747)-1)*SeasonAmp</f>
        <v/>
      </c>
      <c r="O747" s="45">
        <f>IFERROR(INDEX(PSPct,MATCH(E747&amp;"|"&amp;G747,PSKey,0)),0)</f>
        <v/>
      </c>
      <c r="P747" s="46">
        <f>INDEX(ChDoorVel,MATCH(E747,ChName,0))*CalibScalar*(1+VelocityUplift)</f>
        <v/>
      </c>
      <c r="Q747" s="46" t="n">
        <v>0</v>
      </c>
      <c r="R747" s="46">
        <f>P747*O747*M747*N747*H747</f>
        <v/>
      </c>
      <c r="S747" s="46">
        <f>R747*INDEX(FmtCansPerCase,MATCH(F747,FmtName,0))</f>
        <v/>
      </c>
      <c r="T747" s="46">
        <f>S747/INDEX(FmtCansPerPack,MATCH(F747,FmtName,0))</f>
        <v/>
      </c>
      <c r="U747" s="47">
        <f>INDEX(ChBaseCP,MATCH(E747,ChName,0))*(1+INDEX(ProvMod,MATCH(G747,ProvCode,0)))*(1+PriceIndex)</f>
        <v/>
      </c>
      <c r="V747" s="47">
        <f>R747*U747*INDEX(FmtBlendedPriceIdx,MATCH(F747,FmtName,0))</f>
        <v/>
      </c>
      <c r="W747" s="47">
        <f>T747*INDEX(ProvSRP,MATCH(G747,ProvCode,0))*(1+PriceIndex)</f>
        <v/>
      </c>
      <c r="X747" s="47">
        <f>IF(GrossBasis="Wholesale",V747,W747)</f>
        <v/>
      </c>
      <c r="Y747" s="47">
        <f>R747*INDEX(FmtBlendedCogs,MATCH(F747,FmtName,0))</f>
        <v/>
      </c>
      <c r="Z747" s="47">
        <f>X747-Y747</f>
        <v/>
      </c>
    </row>
    <row r="748">
      <c r="A748" t="n">
        <v>5</v>
      </c>
      <c r="B748" s="44">
        <f>FiscalStart+(A748-1)*7</f>
        <v/>
      </c>
      <c r="C748">
        <f>TEXT(B748,"mmm yyyy")</f>
        <v/>
      </c>
      <c r="D748">
        <f>"Q"&amp;(INT((A748-1)/13)+1)</f>
        <v/>
      </c>
      <c r="E748" t="inlineStr">
        <is>
          <t>On Premise</t>
        </is>
      </c>
      <c r="F748">
        <f>IFERROR(INDEX(ChFormat,MATCH(E748,ChName,0)),"")</f>
        <v/>
      </c>
      <c r="G748" t="inlineStr">
        <is>
          <t>ON</t>
        </is>
      </c>
      <c r="H748">
        <f>IF(A748&lt;=NWeeks,1,0)</f>
        <v/>
      </c>
      <c r="I748">
        <f>INDEX(ChLaunch,MATCH(E748,ChName,0))</f>
        <v/>
      </c>
      <c r="J748">
        <f>INDEX(ChWeeksFull,MATCH(E748,ChName,0))</f>
        <v/>
      </c>
      <c r="K748">
        <f>INDEX(ChRamp,MATCH(E748,ChName,0))</f>
        <v/>
      </c>
      <c r="L748" s="45">
        <f>MIN(1,MAX(0,(A748-I748+1)*RampSpeed/J748))</f>
        <v/>
      </c>
      <c r="M748" s="45">
        <f>IF(A748&lt;I748,0,IF(K748="S-curve",L748*L748*(3-2*L748),L748))</f>
        <v/>
      </c>
      <c r="N748" s="45">
        <f>1+(INDEX(SeasonIdx,A748)-1)*SeasonAmp</f>
        <v/>
      </c>
      <c r="O748" s="45">
        <f>IFERROR(INDEX(PSPct,MATCH(E748&amp;"|"&amp;G748,PSKey,0)),0)</f>
        <v/>
      </c>
      <c r="P748" s="46">
        <f>INDEX(ChDoorVel,MATCH(E748,ChName,0))*CalibScalar*(1+VelocityUplift)</f>
        <v/>
      </c>
      <c r="Q748" s="46" t="n">
        <v>0</v>
      </c>
      <c r="R748" s="46">
        <f>P748*O748*M748*N748*H748</f>
        <v/>
      </c>
      <c r="S748" s="46">
        <f>R748*INDEX(FmtCansPerCase,MATCH(F748,FmtName,0))</f>
        <v/>
      </c>
      <c r="T748" s="46">
        <f>S748/INDEX(FmtCansPerPack,MATCH(F748,FmtName,0))</f>
        <v/>
      </c>
      <c r="U748" s="47">
        <f>INDEX(ChBaseCP,MATCH(E748,ChName,0))*(1+INDEX(ProvMod,MATCH(G748,ProvCode,0)))*(1+PriceIndex)</f>
        <v/>
      </c>
      <c r="V748" s="47">
        <f>R748*U748*INDEX(FmtBlendedPriceIdx,MATCH(F748,FmtName,0))</f>
        <v/>
      </c>
      <c r="W748" s="47">
        <f>T748*INDEX(ProvSRP,MATCH(G748,ProvCode,0))*(1+PriceIndex)</f>
        <v/>
      </c>
      <c r="X748" s="47">
        <f>IF(GrossBasis="Wholesale",V748,W748)</f>
        <v/>
      </c>
      <c r="Y748" s="47">
        <f>R748*INDEX(FmtBlendedCogs,MATCH(F748,FmtName,0))</f>
        <v/>
      </c>
      <c r="Z748" s="47">
        <f>X748-Y748</f>
        <v/>
      </c>
    </row>
    <row r="749">
      <c r="A749" t="n">
        <v>6</v>
      </c>
      <c r="B749" s="44">
        <f>FiscalStart+(A749-1)*7</f>
        <v/>
      </c>
      <c r="C749">
        <f>TEXT(B749,"mmm yyyy")</f>
        <v/>
      </c>
      <c r="D749">
        <f>"Q"&amp;(INT((A749-1)/13)+1)</f>
        <v/>
      </c>
      <c r="E749" t="inlineStr">
        <is>
          <t>On Premise</t>
        </is>
      </c>
      <c r="F749">
        <f>IFERROR(INDEX(ChFormat,MATCH(E749,ChName,0)),"")</f>
        <v/>
      </c>
      <c r="G749" t="inlineStr">
        <is>
          <t>ON</t>
        </is>
      </c>
      <c r="H749">
        <f>IF(A749&lt;=NWeeks,1,0)</f>
        <v/>
      </c>
      <c r="I749">
        <f>INDEX(ChLaunch,MATCH(E749,ChName,0))</f>
        <v/>
      </c>
      <c r="J749">
        <f>INDEX(ChWeeksFull,MATCH(E749,ChName,0))</f>
        <v/>
      </c>
      <c r="K749">
        <f>INDEX(ChRamp,MATCH(E749,ChName,0))</f>
        <v/>
      </c>
      <c r="L749" s="45">
        <f>MIN(1,MAX(0,(A749-I749+1)*RampSpeed/J749))</f>
        <v/>
      </c>
      <c r="M749" s="45">
        <f>IF(A749&lt;I749,0,IF(K749="S-curve",L749*L749*(3-2*L749),L749))</f>
        <v/>
      </c>
      <c r="N749" s="45">
        <f>1+(INDEX(SeasonIdx,A749)-1)*SeasonAmp</f>
        <v/>
      </c>
      <c r="O749" s="45">
        <f>IFERROR(INDEX(PSPct,MATCH(E749&amp;"|"&amp;G749,PSKey,0)),0)</f>
        <v/>
      </c>
      <c r="P749" s="46">
        <f>INDEX(ChDoorVel,MATCH(E749,ChName,0))*CalibScalar*(1+VelocityUplift)</f>
        <v/>
      </c>
      <c r="Q749" s="46" t="n">
        <v>0</v>
      </c>
      <c r="R749" s="46">
        <f>P749*O749*M749*N749*H749</f>
        <v/>
      </c>
      <c r="S749" s="46">
        <f>R749*INDEX(FmtCansPerCase,MATCH(F749,FmtName,0))</f>
        <v/>
      </c>
      <c r="T749" s="46">
        <f>S749/INDEX(FmtCansPerPack,MATCH(F749,FmtName,0))</f>
        <v/>
      </c>
      <c r="U749" s="47">
        <f>INDEX(ChBaseCP,MATCH(E749,ChName,0))*(1+INDEX(ProvMod,MATCH(G749,ProvCode,0)))*(1+PriceIndex)</f>
        <v/>
      </c>
      <c r="V749" s="47">
        <f>R749*U749*INDEX(FmtBlendedPriceIdx,MATCH(F749,FmtName,0))</f>
        <v/>
      </c>
      <c r="W749" s="47">
        <f>T749*INDEX(ProvSRP,MATCH(G749,ProvCode,0))*(1+PriceIndex)</f>
        <v/>
      </c>
      <c r="X749" s="47">
        <f>IF(GrossBasis="Wholesale",V749,W749)</f>
        <v/>
      </c>
      <c r="Y749" s="47">
        <f>R749*INDEX(FmtBlendedCogs,MATCH(F749,FmtName,0))</f>
        <v/>
      </c>
      <c r="Z749" s="47">
        <f>X749-Y749</f>
        <v/>
      </c>
    </row>
    <row r="750">
      <c r="A750" t="n">
        <v>7</v>
      </c>
      <c r="B750" s="44">
        <f>FiscalStart+(A750-1)*7</f>
        <v/>
      </c>
      <c r="C750">
        <f>TEXT(B750,"mmm yyyy")</f>
        <v/>
      </c>
      <c r="D750">
        <f>"Q"&amp;(INT((A750-1)/13)+1)</f>
        <v/>
      </c>
      <c r="E750" t="inlineStr">
        <is>
          <t>On Premise</t>
        </is>
      </c>
      <c r="F750">
        <f>IFERROR(INDEX(ChFormat,MATCH(E750,ChName,0)),"")</f>
        <v/>
      </c>
      <c r="G750" t="inlineStr">
        <is>
          <t>ON</t>
        </is>
      </c>
      <c r="H750">
        <f>IF(A750&lt;=NWeeks,1,0)</f>
        <v/>
      </c>
      <c r="I750">
        <f>INDEX(ChLaunch,MATCH(E750,ChName,0))</f>
        <v/>
      </c>
      <c r="J750">
        <f>INDEX(ChWeeksFull,MATCH(E750,ChName,0))</f>
        <v/>
      </c>
      <c r="K750">
        <f>INDEX(ChRamp,MATCH(E750,ChName,0))</f>
        <v/>
      </c>
      <c r="L750" s="45">
        <f>MIN(1,MAX(0,(A750-I750+1)*RampSpeed/J750))</f>
        <v/>
      </c>
      <c r="M750" s="45">
        <f>IF(A750&lt;I750,0,IF(K750="S-curve",L750*L750*(3-2*L750),L750))</f>
        <v/>
      </c>
      <c r="N750" s="45">
        <f>1+(INDEX(SeasonIdx,A750)-1)*SeasonAmp</f>
        <v/>
      </c>
      <c r="O750" s="45">
        <f>IFERROR(INDEX(PSPct,MATCH(E750&amp;"|"&amp;G750,PSKey,0)),0)</f>
        <v/>
      </c>
      <c r="P750" s="46">
        <f>INDEX(ChDoorVel,MATCH(E750,ChName,0))*CalibScalar*(1+VelocityUplift)</f>
        <v/>
      </c>
      <c r="Q750" s="46" t="n">
        <v>0</v>
      </c>
      <c r="R750" s="46">
        <f>P750*O750*M750*N750*H750</f>
        <v/>
      </c>
      <c r="S750" s="46">
        <f>R750*INDEX(FmtCansPerCase,MATCH(F750,FmtName,0))</f>
        <v/>
      </c>
      <c r="T750" s="46">
        <f>S750/INDEX(FmtCansPerPack,MATCH(F750,FmtName,0))</f>
        <v/>
      </c>
      <c r="U750" s="47">
        <f>INDEX(ChBaseCP,MATCH(E750,ChName,0))*(1+INDEX(ProvMod,MATCH(G750,ProvCode,0)))*(1+PriceIndex)</f>
        <v/>
      </c>
      <c r="V750" s="47">
        <f>R750*U750*INDEX(FmtBlendedPriceIdx,MATCH(F750,FmtName,0))</f>
        <v/>
      </c>
      <c r="W750" s="47">
        <f>T750*INDEX(ProvSRP,MATCH(G750,ProvCode,0))*(1+PriceIndex)</f>
        <v/>
      </c>
      <c r="X750" s="47">
        <f>IF(GrossBasis="Wholesale",V750,W750)</f>
        <v/>
      </c>
      <c r="Y750" s="47">
        <f>R750*INDEX(FmtBlendedCogs,MATCH(F750,FmtName,0))</f>
        <v/>
      </c>
      <c r="Z750" s="47">
        <f>X750-Y750</f>
        <v/>
      </c>
    </row>
    <row r="751">
      <c r="A751" t="n">
        <v>8</v>
      </c>
      <c r="B751" s="44">
        <f>FiscalStart+(A751-1)*7</f>
        <v/>
      </c>
      <c r="C751">
        <f>TEXT(B751,"mmm yyyy")</f>
        <v/>
      </c>
      <c r="D751">
        <f>"Q"&amp;(INT((A751-1)/13)+1)</f>
        <v/>
      </c>
      <c r="E751" t="inlineStr">
        <is>
          <t>On Premise</t>
        </is>
      </c>
      <c r="F751">
        <f>IFERROR(INDEX(ChFormat,MATCH(E751,ChName,0)),"")</f>
        <v/>
      </c>
      <c r="G751" t="inlineStr">
        <is>
          <t>ON</t>
        </is>
      </c>
      <c r="H751">
        <f>IF(A751&lt;=NWeeks,1,0)</f>
        <v/>
      </c>
      <c r="I751">
        <f>INDEX(ChLaunch,MATCH(E751,ChName,0))</f>
        <v/>
      </c>
      <c r="J751">
        <f>INDEX(ChWeeksFull,MATCH(E751,ChName,0))</f>
        <v/>
      </c>
      <c r="K751">
        <f>INDEX(ChRamp,MATCH(E751,ChName,0))</f>
        <v/>
      </c>
      <c r="L751" s="45">
        <f>MIN(1,MAX(0,(A751-I751+1)*RampSpeed/J751))</f>
        <v/>
      </c>
      <c r="M751" s="45">
        <f>IF(A751&lt;I751,0,IF(K751="S-curve",L751*L751*(3-2*L751),L751))</f>
        <v/>
      </c>
      <c r="N751" s="45">
        <f>1+(INDEX(SeasonIdx,A751)-1)*SeasonAmp</f>
        <v/>
      </c>
      <c r="O751" s="45">
        <f>IFERROR(INDEX(PSPct,MATCH(E751&amp;"|"&amp;G751,PSKey,0)),0)</f>
        <v/>
      </c>
      <c r="P751" s="46">
        <f>INDEX(ChDoorVel,MATCH(E751,ChName,0))*CalibScalar*(1+VelocityUplift)</f>
        <v/>
      </c>
      <c r="Q751" s="46" t="n">
        <v>0</v>
      </c>
      <c r="R751" s="46">
        <f>P751*O751*M751*N751*H751</f>
        <v/>
      </c>
      <c r="S751" s="46">
        <f>R751*INDEX(FmtCansPerCase,MATCH(F751,FmtName,0))</f>
        <v/>
      </c>
      <c r="T751" s="46">
        <f>S751/INDEX(FmtCansPerPack,MATCH(F751,FmtName,0))</f>
        <v/>
      </c>
      <c r="U751" s="47">
        <f>INDEX(ChBaseCP,MATCH(E751,ChName,0))*(1+INDEX(ProvMod,MATCH(G751,ProvCode,0)))*(1+PriceIndex)</f>
        <v/>
      </c>
      <c r="V751" s="47">
        <f>R751*U751*INDEX(FmtBlendedPriceIdx,MATCH(F751,FmtName,0))</f>
        <v/>
      </c>
      <c r="W751" s="47">
        <f>T751*INDEX(ProvSRP,MATCH(G751,ProvCode,0))*(1+PriceIndex)</f>
        <v/>
      </c>
      <c r="X751" s="47">
        <f>IF(GrossBasis="Wholesale",V751,W751)</f>
        <v/>
      </c>
      <c r="Y751" s="47">
        <f>R751*INDEX(FmtBlendedCogs,MATCH(F751,FmtName,0))</f>
        <v/>
      </c>
      <c r="Z751" s="47">
        <f>X751-Y751</f>
        <v/>
      </c>
    </row>
    <row r="752">
      <c r="A752" t="n">
        <v>9</v>
      </c>
      <c r="B752" s="44">
        <f>FiscalStart+(A752-1)*7</f>
        <v/>
      </c>
      <c r="C752">
        <f>TEXT(B752,"mmm yyyy")</f>
        <v/>
      </c>
      <c r="D752">
        <f>"Q"&amp;(INT((A752-1)/13)+1)</f>
        <v/>
      </c>
      <c r="E752" t="inlineStr">
        <is>
          <t>On Premise</t>
        </is>
      </c>
      <c r="F752">
        <f>IFERROR(INDEX(ChFormat,MATCH(E752,ChName,0)),"")</f>
        <v/>
      </c>
      <c r="G752" t="inlineStr">
        <is>
          <t>ON</t>
        </is>
      </c>
      <c r="H752">
        <f>IF(A752&lt;=NWeeks,1,0)</f>
        <v/>
      </c>
      <c r="I752">
        <f>INDEX(ChLaunch,MATCH(E752,ChName,0))</f>
        <v/>
      </c>
      <c r="J752">
        <f>INDEX(ChWeeksFull,MATCH(E752,ChName,0))</f>
        <v/>
      </c>
      <c r="K752">
        <f>INDEX(ChRamp,MATCH(E752,ChName,0))</f>
        <v/>
      </c>
      <c r="L752" s="45">
        <f>MIN(1,MAX(0,(A752-I752+1)*RampSpeed/J752))</f>
        <v/>
      </c>
      <c r="M752" s="45">
        <f>IF(A752&lt;I752,0,IF(K752="S-curve",L752*L752*(3-2*L752),L752))</f>
        <v/>
      </c>
      <c r="N752" s="45">
        <f>1+(INDEX(SeasonIdx,A752)-1)*SeasonAmp</f>
        <v/>
      </c>
      <c r="O752" s="45">
        <f>IFERROR(INDEX(PSPct,MATCH(E752&amp;"|"&amp;G752,PSKey,0)),0)</f>
        <v/>
      </c>
      <c r="P752" s="46">
        <f>INDEX(ChDoorVel,MATCH(E752,ChName,0))*CalibScalar*(1+VelocityUplift)</f>
        <v/>
      </c>
      <c r="Q752" s="46" t="n">
        <v>0</v>
      </c>
      <c r="R752" s="46">
        <f>P752*O752*M752*N752*H752</f>
        <v/>
      </c>
      <c r="S752" s="46">
        <f>R752*INDEX(FmtCansPerCase,MATCH(F752,FmtName,0))</f>
        <v/>
      </c>
      <c r="T752" s="46">
        <f>S752/INDEX(FmtCansPerPack,MATCH(F752,FmtName,0))</f>
        <v/>
      </c>
      <c r="U752" s="47">
        <f>INDEX(ChBaseCP,MATCH(E752,ChName,0))*(1+INDEX(ProvMod,MATCH(G752,ProvCode,0)))*(1+PriceIndex)</f>
        <v/>
      </c>
      <c r="V752" s="47">
        <f>R752*U752*INDEX(FmtBlendedPriceIdx,MATCH(F752,FmtName,0))</f>
        <v/>
      </c>
      <c r="W752" s="47">
        <f>T752*INDEX(ProvSRP,MATCH(G752,ProvCode,0))*(1+PriceIndex)</f>
        <v/>
      </c>
      <c r="X752" s="47">
        <f>IF(GrossBasis="Wholesale",V752,W752)</f>
        <v/>
      </c>
      <c r="Y752" s="47">
        <f>R752*INDEX(FmtBlendedCogs,MATCH(F752,FmtName,0))</f>
        <v/>
      </c>
      <c r="Z752" s="47">
        <f>X752-Y752</f>
        <v/>
      </c>
    </row>
    <row r="753">
      <c r="A753" t="n">
        <v>10</v>
      </c>
      <c r="B753" s="44">
        <f>FiscalStart+(A753-1)*7</f>
        <v/>
      </c>
      <c r="C753">
        <f>TEXT(B753,"mmm yyyy")</f>
        <v/>
      </c>
      <c r="D753">
        <f>"Q"&amp;(INT((A753-1)/13)+1)</f>
        <v/>
      </c>
      <c r="E753" t="inlineStr">
        <is>
          <t>On Premise</t>
        </is>
      </c>
      <c r="F753">
        <f>IFERROR(INDEX(ChFormat,MATCH(E753,ChName,0)),"")</f>
        <v/>
      </c>
      <c r="G753" t="inlineStr">
        <is>
          <t>ON</t>
        </is>
      </c>
      <c r="H753">
        <f>IF(A753&lt;=NWeeks,1,0)</f>
        <v/>
      </c>
      <c r="I753">
        <f>INDEX(ChLaunch,MATCH(E753,ChName,0))</f>
        <v/>
      </c>
      <c r="J753">
        <f>INDEX(ChWeeksFull,MATCH(E753,ChName,0))</f>
        <v/>
      </c>
      <c r="K753">
        <f>INDEX(ChRamp,MATCH(E753,ChName,0))</f>
        <v/>
      </c>
      <c r="L753" s="45">
        <f>MIN(1,MAX(0,(A753-I753+1)*RampSpeed/J753))</f>
        <v/>
      </c>
      <c r="M753" s="45">
        <f>IF(A753&lt;I753,0,IF(K753="S-curve",L753*L753*(3-2*L753),L753))</f>
        <v/>
      </c>
      <c r="N753" s="45">
        <f>1+(INDEX(SeasonIdx,A753)-1)*SeasonAmp</f>
        <v/>
      </c>
      <c r="O753" s="45">
        <f>IFERROR(INDEX(PSPct,MATCH(E753&amp;"|"&amp;G753,PSKey,0)),0)</f>
        <v/>
      </c>
      <c r="P753" s="46">
        <f>INDEX(ChDoorVel,MATCH(E753,ChName,0))*CalibScalar*(1+VelocityUplift)</f>
        <v/>
      </c>
      <c r="Q753" s="46" t="n">
        <v>0</v>
      </c>
      <c r="R753" s="46">
        <f>P753*O753*M753*N753*H753</f>
        <v/>
      </c>
      <c r="S753" s="46">
        <f>R753*INDEX(FmtCansPerCase,MATCH(F753,FmtName,0))</f>
        <v/>
      </c>
      <c r="T753" s="46">
        <f>S753/INDEX(FmtCansPerPack,MATCH(F753,FmtName,0))</f>
        <v/>
      </c>
      <c r="U753" s="47">
        <f>INDEX(ChBaseCP,MATCH(E753,ChName,0))*(1+INDEX(ProvMod,MATCH(G753,ProvCode,0)))*(1+PriceIndex)</f>
        <v/>
      </c>
      <c r="V753" s="47">
        <f>R753*U753*INDEX(FmtBlendedPriceIdx,MATCH(F753,FmtName,0))</f>
        <v/>
      </c>
      <c r="W753" s="47">
        <f>T753*INDEX(ProvSRP,MATCH(G753,ProvCode,0))*(1+PriceIndex)</f>
        <v/>
      </c>
      <c r="X753" s="47">
        <f>IF(GrossBasis="Wholesale",V753,W753)</f>
        <v/>
      </c>
      <c r="Y753" s="47">
        <f>R753*INDEX(FmtBlendedCogs,MATCH(F753,FmtName,0))</f>
        <v/>
      </c>
      <c r="Z753" s="47">
        <f>X753-Y753</f>
        <v/>
      </c>
    </row>
    <row r="754">
      <c r="A754" t="n">
        <v>11</v>
      </c>
      <c r="B754" s="44">
        <f>FiscalStart+(A754-1)*7</f>
        <v/>
      </c>
      <c r="C754">
        <f>TEXT(B754,"mmm yyyy")</f>
        <v/>
      </c>
      <c r="D754">
        <f>"Q"&amp;(INT((A754-1)/13)+1)</f>
        <v/>
      </c>
      <c r="E754" t="inlineStr">
        <is>
          <t>On Premise</t>
        </is>
      </c>
      <c r="F754">
        <f>IFERROR(INDEX(ChFormat,MATCH(E754,ChName,0)),"")</f>
        <v/>
      </c>
      <c r="G754" t="inlineStr">
        <is>
          <t>ON</t>
        </is>
      </c>
      <c r="H754">
        <f>IF(A754&lt;=NWeeks,1,0)</f>
        <v/>
      </c>
      <c r="I754">
        <f>INDEX(ChLaunch,MATCH(E754,ChName,0))</f>
        <v/>
      </c>
      <c r="J754">
        <f>INDEX(ChWeeksFull,MATCH(E754,ChName,0))</f>
        <v/>
      </c>
      <c r="K754">
        <f>INDEX(ChRamp,MATCH(E754,ChName,0))</f>
        <v/>
      </c>
      <c r="L754" s="45">
        <f>MIN(1,MAX(0,(A754-I754+1)*RampSpeed/J754))</f>
        <v/>
      </c>
      <c r="M754" s="45">
        <f>IF(A754&lt;I754,0,IF(K754="S-curve",L754*L754*(3-2*L754),L754))</f>
        <v/>
      </c>
      <c r="N754" s="45">
        <f>1+(INDEX(SeasonIdx,A754)-1)*SeasonAmp</f>
        <v/>
      </c>
      <c r="O754" s="45">
        <f>IFERROR(INDEX(PSPct,MATCH(E754&amp;"|"&amp;G754,PSKey,0)),0)</f>
        <v/>
      </c>
      <c r="P754" s="46">
        <f>INDEX(ChDoorVel,MATCH(E754,ChName,0))*CalibScalar*(1+VelocityUplift)</f>
        <v/>
      </c>
      <c r="Q754" s="46" t="n">
        <v>0</v>
      </c>
      <c r="R754" s="46">
        <f>P754*O754*M754*N754*H754</f>
        <v/>
      </c>
      <c r="S754" s="46">
        <f>R754*INDEX(FmtCansPerCase,MATCH(F754,FmtName,0))</f>
        <v/>
      </c>
      <c r="T754" s="46">
        <f>S754/INDEX(FmtCansPerPack,MATCH(F754,FmtName,0))</f>
        <v/>
      </c>
      <c r="U754" s="47">
        <f>INDEX(ChBaseCP,MATCH(E754,ChName,0))*(1+INDEX(ProvMod,MATCH(G754,ProvCode,0)))*(1+PriceIndex)</f>
        <v/>
      </c>
      <c r="V754" s="47">
        <f>R754*U754*INDEX(FmtBlendedPriceIdx,MATCH(F754,FmtName,0))</f>
        <v/>
      </c>
      <c r="W754" s="47">
        <f>T754*INDEX(ProvSRP,MATCH(G754,ProvCode,0))*(1+PriceIndex)</f>
        <v/>
      </c>
      <c r="X754" s="47">
        <f>IF(GrossBasis="Wholesale",V754,W754)</f>
        <v/>
      </c>
      <c r="Y754" s="47">
        <f>R754*INDEX(FmtBlendedCogs,MATCH(F754,FmtName,0))</f>
        <v/>
      </c>
      <c r="Z754" s="47">
        <f>X754-Y754</f>
        <v/>
      </c>
    </row>
    <row r="755">
      <c r="A755" t="n">
        <v>12</v>
      </c>
      <c r="B755" s="44">
        <f>FiscalStart+(A755-1)*7</f>
        <v/>
      </c>
      <c r="C755">
        <f>TEXT(B755,"mmm yyyy")</f>
        <v/>
      </c>
      <c r="D755">
        <f>"Q"&amp;(INT((A755-1)/13)+1)</f>
        <v/>
      </c>
      <c r="E755" t="inlineStr">
        <is>
          <t>On Premise</t>
        </is>
      </c>
      <c r="F755">
        <f>IFERROR(INDEX(ChFormat,MATCH(E755,ChName,0)),"")</f>
        <v/>
      </c>
      <c r="G755" t="inlineStr">
        <is>
          <t>ON</t>
        </is>
      </c>
      <c r="H755">
        <f>IF(A755&lt;=NWeeks,1,0)</f>
        <v/>
      </c>
      <c r="I755">
        <f>INDEX(ChLaunch,MATCH(E755,ChName,0))</f>
        <v/>
      </c>
      <c r="J755">
        <f>INDEX(ChWeeksFull,MATCH(E755,ChName,0))</f>
        <v/>
      </c>
      <c r="K755">
        <f>INDEX(ChRamp,MATCH(E755,ChName,0))</f>
        <v/>
      </c>
      <c r="L755" s="45">
        <f>MIN(1,MAX(0,(A755-I755+1)*RampSpeed/J755))</f>
        <v/>
      </c>
      <c r="M755" s="45">
        <f>IF(A755&lt;I755,0,IF(K755="S-curve",L755*L755*(3-2*L755),L755))</f>
        <v/>
      </c>
      <c r="N755" s="45">
        <f>1+(INDEX(SeasonIdx,A755)-1)*SeasonAmp</f>
        <v/>
      </c>
      <c r="O755" s="45">
        <f>IFERROR(INDEX(PSPct,MATCH(E755&amp;"|"&amp;G755,PSKey,0)),0)</f>
        <v/>
      </c>
      <c r="P755" s="46">
        <f>INDEX(ChDoorVel,MATCH(E755,ChName,0))*CalibScalar*(1+VelocityUplift)</f>
        <v/>
      </c>
      <c r="Q755" s="46" t="n">
        <v>0</v>
      </c>
      <c r="R755" s="46">
        <f>P755*O755*M755*N755*H755</f>
        <v/>
      </c>
      <c r="S755" s="46">
        <f>R755*INDEX(FmtCansPerCase,MATCH(F755,FmtName,0))</f>
        <v/>
      </c>
      <c r="T755" s="46">
        <f>S755/INDEX(FmtCansPerPack,MATCH(F755,FmtName,0))</f>
        <v/>
      </c>
      <c r="U755" s="47">
        <f>INDEX(ChBaseCP,MATCH(E755,ChName,0))*(1+INDEX(ProvMod,MATCH(G755,ProvCode,0)))*(1+PriceIndex)</f>
        <v/>
      </c>
      <c r="V755" s="47">
        <f>R755*U755*INDEX(FmtBlendedPriceIdx,MATCH(F755,FmtName,0))</f>
        <v/>
      </c>
      <c r="W755" s="47">
        <f>T755*INDEX(ProvSRP,MATCH(G755,ProvCode,0))*(1+PriceIndex)</f>
        <v/>
      </c>
      <c r="X755" s="47">
        <f>IF(GrossBasis="Wholesale",V755,W755)</f>
        <v/>
      </c>
      <c r="Y755" s="47">
        <f>R755*INDEX(FmtBlendedCogs,MATCH(F755,FmtName,0))</f>
        <v/>
      </c>
      <c r="Z755" s="47">
        <f>X755-Y755</f>
        <v/>
      </c>
    </row>
    <row r="756">
      <c r="A756" t="n">
        <v>13</v>
      </c>
      <c r="B756" s="44">
        <f>FiscalStart+(A756-1)*7</f>
        <v/>
      </c>
      <c r="C756">
        <f>TEXT(B756,"mmm yyyy")</f>
        <v/>
      </c>
      <c r="D756">
        <f>"Q"&amp;(INT((A756-1)/13)+1)</f>
        <v/>
      </c>
      <c r="E756" t="inlineStr">
        <is>
          <t>On Premise</t>
        </is>
      </c>
      <c r="F756">
        <f>IFERROR(INDEX(ChFormat,MATCH(E756,ChName,0)),"")</f>
        <v/>
      </c>
      <c r="G756" t="inlineStr">
        <is>
          <t>ON</t>
        </is>
      </c>
      <c r="H756">
        <f>IF(A756&lt;=NWeeks,1,0)</f>
        <v/>
      </c>
      <c r="I756">
        <f>INDEX(ChLaunch,MATCH(E756,ChName,0))</f>
        <v/>
      </c>
      <c r="J756">
        <f>INDEX(ChWeeksFull,MATCH(E756,ChName,0))</f>
        <v/>
      </c>
      <c r="K756">
        <f>INDEX(ChRamp,MATCH(E756,ChName,0))</f>
        <v/>
      </c>
      <c r="L756" s="45">
        <f>MIN(1,MAX(0,(A756-I756+1)*RampSpeed/J756))</f>
        <v/>
      </c>
      <c r="M756" s="45">
        <f>IF(A756&lt;I756,0,IF(K756="S-curve",L756*L756*(3-2*L756),L756))</f>
        <v/>
      </c>
      <c r="N756" s="45">
        <f>1+(INDEX(SeasonIdx,A756)-1)*SeasonAmp</f>
        <v/>
      </c>
      <c r="O756" s="45">
        <f>IFERROR(INDEX(PSPct,MATCH(E756&amp;"|"&amp;G756,PSKey,0)),0)</f>
        <v/>
      </c>
      <c r="P756" s="46">
        <f>INDEX(ChDoorVel,MATCH(E756,ChName,0))*CalibScalar*(1+VelocityUplift)</f>
        <v/>
      </c>
      <c r="Q756" s="46" t="n">
        <v>0</v>
      </c>
      <c r="R756" s="46">
        <f>P756*O756*M756*N756*H756</f>
        <v/>
      </c>
      <c r="S756" s="46">
        <f>R756*INDEX(FmtCansPerCase,MATCH(F756,FmtName,0))</f>
        <v/>
      </c>
      <c r="T756" s="46">
        <f>S756/INDEX(FmtCansPerPack,MATCH(F756,FmtName,0))</f>
        <v/>
      </c>
      <c r="U756" s="47">
        <f>INDEX(ChBaseCP,MATCH(E756,ChName,0))*(1+INDEX(ProvMod,MATCH(G756,ProvCode,0)))*(1+PriceIndex)</f>
        <v/>
      </c>
      <c r="V756" s="47">
        <f>R756*U756*INDEX(FmtBlendedPriceIdx,MATCH(F756,FmtName,0))</f>
        <v/>
      </c>
      <c r="W756" s="47">
        <f>T756*INDEX(ProvSRP,MATCH(G756,ProvCode,0))*(1+PriceIndex)</f>
        <v/>
      </c>
      <c r="X756" s="47">
        <f>IF(GrossBasis="Wholesale",V756,W756)</f>
        <v/>
      </c>
      <c r="Y756" s="47">
        <f>R756*INDEX(FmtBlendedCogs,MATCH(F756,FmtName,0))</f>
        <v/>
      </c>
      <c r="Z756" s="47">
        <f>X756-Y756</f>
        <v/>
      </c>
    </row>
    <row r="757">
      <c r="A757" t="n">
        <v>14</v>
      </c>
      <c r="B757" s="44">
        <f>FiscalStart+(A757-1)*7</f>
        <v/>
      </c>
      <c r="C757">
        <f>TEXT(B757,"mmm yyyy")</f>
        <v/>
      </c>
      <c r="D757">
        <f>"Q"&amp;(INT((A757-1)/13)+1)</f>
        <v/>
      </c>
      <c r="E757" t="inlineStr">
        <is>
          <t>On Premise</t>
        </is>
      </c>
      <c r="F757">
        <f>IFERROR(INDEX(ChFormat,MATCH(E757,ChName,0)),"")</f>
        <v/>
      </c>
      <c r="G757" t="inlineStr">
        <is>
          <t>ON</t>
        </is>
      </c>
      <c r="H757">
        <f>IF(A757&lt;=NWeeks,1,0)</f>
        <v/>
      </c>
      <c r="I757">
        <f>INDEX(ChLaunch,MATCH(E757,ChName,0))</f>
        <v/>
      </c>
      <c r="J757">
        <f>INDEX(ChWeeksFull,MATCH(E757,ChName,0))</f>
        <v/>
      </c>
      <c r="K757">
        <f>INDEX(ChRamp,MATCH(E757,ChName,0))</f>
        <v/>
      </c>
      <c r="L757" s="45">
        <f>MIN(1,MAX(0,(A757-I757+1)*RampSpeed/J757))</f>
        <v/>
      </c>
      <c r="M757" s="45">
        <f>IF(A757&lt;I757,0,IF(K757="S-curve",L757*L757*(3-2*L757),L757))</f>
        <v/>
      </c>
      <c r="N757" s="45">
        <f>1+(INDEX(SeasonIdx,A757)-1)*SeasonAmp</f>
        <v/>
      </c>
      <c r="O757" s="45">
        <f>IFERROR(INDEX(PSPct,MATCH(E757&amp;"|"&amp;G757,PSKey,0)),0)</f>
        <v/>
      </c>
      <c r="P757" s="46">
        <f>INDEX(ChDoorVel,MATCH(E757,ChName,0))*CalibScalar*(1+VelocityUplift)</f>
        <v/>
      </c>
      <c r="Q757" s="46" t="n">
        <v>0</v>
      </c>
      <c r="R757" s="46">
        <f>P757*O757*M757*N757*H757</f>
        <v/>
      </c>
      <c r="S757" s="46">
        <f>R757*INDEX(FmtCansPerCase,MATCH(F757,FmtName,0))</f>
        <v/>
      </c>
      <c r="T757" s="46">
        <f>S757/INDEX(FmtCansPerPack,MATCH(F757,FmtName,0))</f>
        <v/>
      </c>
      <c r="U757" s="47">
        <f>INDEX(ChBaseCP,MATCH(E757,ChName,0))*(1+INDEX(ProvMod,MATCH(G757,ProvCode,0)))*(1+PriceIndex)</f>
        <v/>
      </c>
      <c r="V757" s="47">
        <f>R757*U757*INDEX(FmtBlendedPriceIdx,MATCH(F757,FmtName,0))</f>
        <v/>
      </c>
      <c r="W757" s="47">
        <f>T757*INDEX(ProvSRP,MATCH(G757,ProvCode,0))*(1+PriceIndex)</f>
        <v/>
      </c>
      <c r="X757" s="47">
        <f>IF(GrossBasis="Wholesale",V757,W757)</f>
        <v/>
      </c>
      <c r="Y757" s="47">
        <f>R757*INDEX(FmtBlendedCogs,MATCH(F757,FmtName,0))</f>
        <v/>
      </c>
      <c r="Z757" s="47">
        <f>X757-Y757</f>
        <v/>
      </c>
    </row>
    <row r="758">
      <c r="A758" t="n">
        <v>15</v>
      </c>
      <c r="B758" s="44">
        <f>FiscalStart+(A758-1)*7</f>
        <v/>
      </c>
      <c r="C758">
        <f>TEXT(B758,"mmm yyyy")</f>
        <v/>
      </c>
      <c r="D758">
        <f>"Q"&amp;(INT((A758-1)/13)+1)</f>
        <v/>
      </c>
      <c r="E758" t="inlineStr">
        <is>
          <t>On Premise</t>
        </is>
      </c>
      <c r="F758">
        <f>IFERROR(INDEX(ChFormat,MATCH(E758,ChName,0)),"")</f>
        <v/>
      </c>
      <c r="G758" t="inlineStr">
        <is>
          <t>ON</t>
        </is>
      </c>
      <c r="H758">
        <f>IF(A758&lt;=NWeeks,1,0)</f>
        <v/>
      </c>
      <c r="I758">
        <f>INDEX(ChLaunch,MATCH(E758,ChName,0))</f>
        <v/>
      </c>
      <c r="J758">
        <f>INDEX(ChWeeksFull,MATCH(E758,ChName,0))</f>
        <v/>
      </c>
      <c r="K758">
        <f>INDEX(ChRamp,MATCH(E758,ChName,0))</f>
        <v/>
      </c>
      <c r="L758" s="45">
        <f>MIN(1,MAX(0,(A758-I758+1)*RampSpeed/J758))</f>
        <v/>
      </c>
      <c r="M758" s="45">
        <f>IF(A758&lt;I758,0,IF(K758="S-curve",L758*L758*(3-2*L758),L758))</f>
        <v/>
      </c>
      <c r="N758" s="45">
        <f>1+(INDEX(SeasonIdx,A758)-1)*SeasonAmp</f>
        <v/>
      </c>
      <c r="O758" s="45">
        <f>IFERROR(INDEX(PSPct,MATCH(E758&amp;"|"&amp;G758,PSKey,0)),0)</f>
        <v/>
      </c>
      <c r="P758" s="46">
        <f>INDEX(ChDoorVel,MATCH(E758,ChName,0))*CalibScalar*(1+VelocityUplift)</f>
        <v/>
      </c>
      <c r="Q758" s="46" t="n">
        <v>0</v>
      </c>
      <c r="R758" s="46">
        <f>P758*O758*M758*N758*H758</f>
        <v/>
      </c>
      <c r="S758" s="46">
        <f>R758*INDEX(FmtCansPerCase,MATCH(F758,FmtName,0))</f>
        <v/>
      </c>
      <c r="T758" s="46">
        <f>S758/INDEX(FmtCansPerPack,MATCH(F758,FmtName,0))</f>
        <v/>
      </c>
      <c r="U758" s="47">
        <f>INDEX(ChBaseCP,MATCH(E758,ChName,0))*(1+INDEX(ProvMod,MATCH(G758,ProvCode,0)))*(1+PriceIndex)</f>
        <v/>
      </c>
      <c r="V758" s="47">
        <f>R758*U758*INDEX(FmtBlendedPriceIdx,MATCH(F758,FmtName,0))</f>
        <v/>
      </c>
      <c r="W758" s="47">
        <f>T758*INDEX(ProvSRP,MATCH(G758,ProvCode,0))*(1+PriceIndex)</f>
        <v/>
      </c>
      <c r="X758" s="47">
        <f>IF(GrossBasis="Wholesale",V758,W758)</f>
        <v/>
      </c>
      <c r="Y758" s="47">
        <f>R758*INDEX(FmtBlendedCogs,MATCH(F758,FmtName,0))</f>
        <v/>
      </c>
      <c r="Z758" s="47">
        <f>X758-Y758</f>
        <v/>
      </c>
    </row>
    <row r="759">
      <c r="A759" t="n">
        <v>16</v>
      </c>
      <c r="B759" s="44">
        <f>FiscalStart+(A759-1)*7</f>
        <v/>
      </c>
      <c r="C759">
        <f>TEXT(B759,"mmm yyyy")</f>
        <v/>
      </c>
      <c r="D759">
        <f>"Q"&amp;(INT((A759-1)/13)+1)</f>
        <v/>
      </c>
      <c r="E759" t="inlineStr">
        <is>
          <t>On Premise</t>
        </is>
      </c>
      <c r="F759">
        <f>IFERROR(INDEX(ChFormat,MATCH(E759,ChName,0)),"")</f>
        <v/>
      </c>
      <c r="G759" t="inlineStr">
        <is>
          <t>ON</t>
        </is>
      </c>
      <c r="H759">
        <f>IF(A759&lt;=NWeeks,1,0)</f>
        <v/>
      </c>
      <c r="I759">
        <f>INDEX(ChLaunch,MATCH(E759,ChName,0))</f>
        <v/>
      </c>
      <c r="J759">
        <f>INDEX(ChWeeksFull,MATCH(E759,ChName,0))</f>
        <v/>
      </c>
      <c r="K759">
        <f>INDEX(ChRamp,MATCH(E759,ChName,0))</f>
        <v/>
      </c>
      <c r="L759" s="45">
        <f>MIN(1,MAX(0,(A759-I759+1)*RampSpeed/J759))</f>
        <v/>
      </c>
      <c r="M759" s="45">
        <f>IF(A759&lt;I759,0,IF(K759="S-curve",L759*L759*(3-2*L759),L759))</f>
        <v/>
      </c>
      <c r="N759" s="45">
        <f>1+(INDEX(SeasonIdx,A759)-1)*SeasonAmp</f>
        <v/>
      </c>
      <c r="O759" s="45">
        <f>IFERROR(INDEX(PSPct,MATCH(E759&amp;"|"&amp;G759,PSKey,0)),0)</f>
        <v/>
      </c>
      <c r="P759" s="46">
        <f>INDEX(ChDoorVel,MATCH(E759,ChName,0))*CalibScalar*(1+VelocityUplift)</f>
        <v/>
      </c>
      <c r="Q759" s="46" t="n">
        <v>0</v>
      </c>
      <c r="R759" s="46">
        <f>P759*O759*M759*N759*H759</f>
        <v/>
      </c>
      <c r="S759" s="46">
        <f>R759*INDEX(FmtCansPerCase,MATCH(F759,FmtName,0))</f>
        <v/>
      </c>
      <c r="T759" s="46">
        <f>S759/INDEX(FmtCansPerPack,MATCH(F759,FmtName,0))</f>
        <v/>
      </c>
      <c r="U759" s="47">
        <f>INDEX(ChBaseCP,MATCH(E759,ChName,0))*(1+INDEX(ProvMod,MATCH(G759,ProvCode,0)))*(1+PriceIndex)</f>
        <v/>
      </c>
      <c r="V759" s="47">
        <f>R759*U759*INDEX(FmtBlendedPriceIdx,MATCH(F759,FmtName,0))</f>
        <v/>
      </c>
      <c r="W759" s="47">
        <f>T759*INDEX(ProvSRP,MATCH(G759,ProvCode,0))*(1+PriceIndex)</f>
        <v/>
      </c>
      <c r="X759" s="47">
        <f>IF(GrossBasis="Wholesale",V759,W759)</f>
        <v/>
      </c>
      <c r="Y759" s="47">
        <f>R759*INDEX(FmtBlendedCogs,MATCH(F759,FmtName,0))</f>
        <v/>
      </c>
      <c r="Z759" s="47">
        <f>X759-Y759</f>
        <v/>
      </c>
    </row>
    <row r="760">
      <c r="A760" t="n">
        <v>17</v>
      </c>
      <c r="B760" s="44">
        <f>FiscalStart+(A760-1)*7</f>
        <v/>
      </c>
      <c r="C760">
        <f>TEXT(B760,"mmm yyyy")</f>
        <v/>
      </c>
      <c r="D760">
        <f>"Q"&amp;(INT((A760-1)/13)+1)</f>
        <v/>
      </c>
      <c r="E760" t="inlineStr">
        <is>
          <t>On Premise</t>
        </is>
      </c>
      <c r="F760">
        <f>IFERROR(INDEX(ChFormat,MATCH(E760,ChName,0)),"")</f>
        <v/>
      </c>
      <c r="G760" t="inlineStr">
        <is>
          <t>ON</t>
        </is>
      </c>
      <c r="H760">
        <f>IF(A760&lt;=NWeeks,1,0)</f>
        <v/>
      </c>
      <c r="I760">
        <f>INDEX(ChLaunch,MATCH(E760,ChName,0))</f>
        <v/>
      </c>
      <c r="J760">
        <f>INDEX(ChWeeksFull,MATCH(E760,ChName,0))</f>
        <v/>
      </c>
      <c r="K760">
        <f>INDEX(ChRamp,MATCH(E760,ChName,0))</f>
        <v/>
      </c>
      <c r="L760" s="45">
        <f>MIN(1,MAX(0,(A760-I760+1)*RampSpeed/J760))</f>
        <v/>
      </c>
      <c r="M760" s="45">
        <f>IF(A760&lt;I760,0,IF(K760="S-curve",L760*L760*(3-2*L760),L760))</f>
        <v/>
      </c>
      <c r="N760" s="45">
        <f>1+(INDEX(SeasonIdx,A760)-1)*SeasonAmp</f>
        <v/>
      </c>
      <c r="O760" s="45">
        <f>IFERROR(INDEX(PSPct,MATCH(E760&amp;"|"&amp;G760,PSKey,0)),0)</f>
        <v/>
      </c>
      <c r="P760" s="46">
        <f>INDEX(ChDoorVel,MATCH(E760,ChName,0))*CalibScalar*(1+VelocityUplift)</f>
        <v/>
      </c>
      <c r="Q760" s="46" t="n">
        <v>0</v>
      </c>
      <c r="R760" s="46">
        <f>P760*O760*M760*N760*H760</f>
        <v/>
      </c>
      <c r="S760" s="46">
        <f>R760*INDEX(FmtCansPerCase,MATCH(F760,FmtName,0))</f>
        <v/>
      </c>
      <c r="T760" s="46">
        <f>S760/INDEX(FmtCansPerPack,MATCH(F760,FmtName,0))</f>
        <v/>
      </c>
      <c r="U760" s="47">
        <f>INDEX(ChBaseCP,MATCH(E760,ChName,0))*(1+INDEX(ProvMod,MATCH(G760,ProvCode,0)))*(1+PriceIndex)</f>
        <v/>
      </c>
      <c r="V760" s="47">
        <f>R760*U760*INDEX(FmtBlendedPriceIdx,MATCH(F760,FmtName,0))</f>
        <v/>
      </c>
      <c r="W760" s="47">
        <f>T760*INDEX(ProvSRP,MATCH(G760,ProvCode,0))*(1+PriceIndex)</f>
        <v/>
      </c>
      <c r="X760" s="47">
        <f>IF(GrossBasis="Wholesale",V760,W760)</f>
        <v/>
      </c>
      <c r="Y760" s="47">
        <f>R760*INDEX(FmtBlendedCogs,MATCH(F760,FmtName,0))</f>
        <v/>
      </c>
      <c r="Z760" s="47">
        <f>X760-Y760</f>
        <v/>
      </c>
    </row>
    <row r="761">
      <c r="A761" t="n">
        <v>18</v>
      </c>
      <c r="B761" s="44">
        <f>FiscalStart+(A761-1)*7</f>
        <v/>
      </c>
      <c r="C761">
        <f>TEXT(B761,"mmm yyyy")</f>
        <v/>
      </c>
      <c r="D761">
        <f>"Q"&amp;(INT((A761-1)/13)+1)</f>
        <v/>
      </c>
      <c r="E761" t="inlineStr">
        <is>
          <t>On Premise</t>
        </is>
      </c>
      <c r="F761">
        <f>IFERROR(INDEX(ChFormat,MATCH(E761,ChName,0)),"")</f>
        <v/>
      </c>
      <c r="G761" t="inlineStr">
        <is>
          <t>ON</t>
        </is>
      </c>
      <c r="H761">
        <f>IF(A761&lt;=NWeeks,1,0)</f>
        <v/>
      </c>
      <c r="I761">
        <f>INDEX(ChLaunch,MATCH(E761,ChName,0))</f>
        <v/>
      </c>
      <c r="J761">
        <f>INDEX(ChWeeksFull,MATCH(E761,ChName,0))</f>
        <v/>
      </c>
      <c r="K761">
        <f>INDEX(ChRamp,MATCH(E761,ChName,0))</f>
        <v/>
      </c>
      <c r="L761" s="45">
        <f>MIN(1,MAX(0,(A761-I761+1)*RampSpeed/J761))</f>
        <v/>
      </c>
      <c r="M761" s="45">
        <f>IF(A761&lt;I761,0,IF(K761="S-curve",L761*L761*(3-2*L761),L761))</f>
        <v/>
      </c>
      <c r="N761" s="45">
        <f>1+(INDEX(SeasonIdx,A761)-1)*SeasonAmp</f>
        <v/>
      </c>
      <c r="O761" s="45">
        <f>IFERROR(INDEX(PSPct,MATCH(E761&amp;"|"&amp;G761,PSKey,0)),0)</f>
        <v/>
      </c>
      <c r="P761" s="46">
        <f>INDEX(ChDoorVel,MATCH(E761,ChName,0))*CalibScalar*(1+VelocityUplift)</f>
        <v/>
      </c>
      <c r="Q761" s="46" t="n">
        <v>0</v>
      </c>
      <c r="R761" s="46">
        <f>P761*O761*M761*N761*H761</f>
        <v/>
      </c>
      <c r="S761" s="46">
        <f>R761*INDEX(FmtCansPerCase,MATCH(F761,FmtName,0))</f>
        <v/>
      </c>
      <c r="T761" s="46">
        <f>S761/INDEX(FmtCansPerPack,MATCH(F761,FmtName,0))</f>
        <v/>
      </c>
      <c r="U761" s="47">
        <f>INDEX(ChBaseCP,MATCH(E761,ChName,0))*(1+INDEX(ProvMod,MATCH(G761,ProvCode,0)))*(1+PriceIndex)</f>
        <v/>
      </c>
      <c r="V761" s="47">
        <f>R761*U761*INDEX(FmtBlendedPriceIdx,MATCH(F761,FmtName,0))</f>
        <v/>
      </c>
      <c r="W761" s="47">
        <f>T761*INDEX(ProvSRP,MATCH(G761,ProvCode,0))*(1+PriceIndex)</f>
        <v/>
      </c>
      <c r="X761" s="47">
        <f>IF(GrossBasis="Wholesale",V761,W761)</f>
        <v/>
      </c>
      <c r="Y761" s="47">
        <f>R761*INDEX(FmtBlendedCogs,MATCH(F761,FmtName,0))</f>
        <v/>
      </c>
      <c r="Z761" s="47">
        <f>X761-Y761</f>
        <v/>
      </c>
    </row>
    <row r="762">
      <c r="A762" t="n">
        <v>19</v>
      </c>
      <c r="B762" s="44">
        <f>FiscalStart+(A762-1)*7</f>
        <v/>
      </c>
      <c r="C762">
        <f>TEXT(B762,"mmm yyyy")</f>
        <v/>
      </c>
      <c r="D762">
        <f>"Q"&amp;(INT((A762-1)/13)+1)</f>
        <v/>
      </c>
      <c r="E762" t="inlineStr">
        <is>
          <t>On Premise</t>
        </is>
      </c>
      <c r="F762">
        <f>IFERROR(INDEX(ChFormat,MATCH(E762,ChName,0)),"")</f>
        <v/>
      </c>
      <c r="G762" t="inlineStr">
        <is>
          <t>ON</t>
        </is>
      </c>
      <c r="H762">
        <f>IF(A762&lt;=NWeeks,1,0)</f>
        <v/>
      </c>
      <c r="I762">
        <f>INDEX(ChLaunch,MATCH(E762,ChName,0))</f>
        <v/>
      </c>
      <c r="J762">
        <f>INDEX(ChWeeksFull,MATCH(E762,ChName,0))</f>
        <v/>
      </c>
      <c r="K762">
        <f>INDEX(ChRamp,MATCH(E762,ChName,0))</f>
        <v/>
      </c>
      <c r="L762" s="45">
        <f>MIN(1,MAX(0,(A762-I762+1)*RampSpeed/J762))</f>
        <v/>
      </c>
      <c r="M762" s="45">
        <f>IF(A762&lt;I762,0,IF(K762="S-curve",L762*L762*(3-2*L762),L762))</f>
        <v/>
      </c>
      <c r="N762" s="45">
        <f>1+(INDEX(SeasonIdx,A762)-1)*SeasonAmp</f>
        <v/>
      </c>
      <c r="O762" s="45">
        <f>IFERROR(INDEX(PSPct,MATCH(E762&amp;"|"&amp;G762,PSKey,0)),0)</f>
        <v/>
      </c>
      <c r="P762" s="46">
        <f>INDEX(ChDoorVel,MATCH(E762,ChName,0))*CalibScalar*(1+VelocityUplift)</f>
        <v/>
      </c>
      <c r="Q762" s="46" t="n">
        <v>0</v>
      </c>
      <c r="R762" s="46">
        <f>P762*O762*M762*N762*H762</f>
        <v/>
      </c>
      <c r="S762" s="46">
        <f>R762*INDEX(FmtCansPerCase,MATCH(F762,FmtName,0))</f>
        <v/>
      </c>
      <c r="T762" s="46">
        <f>S762/INDEX(FmtCansPerPack,MATCH(F762,FmtName,0))</f>
        <v/>
      </c>
      <c r="U762" s="47">
        <f>INDEX(ChBaseCP,MATCH(E762,ChName,0))*(1+INDEX(ProvMod,MATCH(G762,ProvCode,0)))*(1+PriceIndex)</f>
        <v/>
      </c>
      <c r="V762" s="47">
        <f>R762*U762*INDEX(FmtBlendedPriceIdx,MATCH(F762,FmtName,0))</f>
        <v/>
      </c>
      <c r="W762" s="47">
        <f>T762*INDEX(ProvSRP,MATCH(G762,ProvCode,0))*(1+PriceIndex)</f>
        <v/>
      </c>
      <c r="X762" s="47">
        <f>IF(GrossBasis="Wholesale",V762,W762)</f>
        <v/>
      </c>
      <c r="Y762" s="47">
        <f>R762*INDEX(FmtBlendedCogs,MATCH(F762,FmtName,0))</f>
        <v/>
      </c>
      <c r="Z762" s="47">
        <f>X762-Y762</f>
        <v/>
      </c>
    </row>
    <row r="763">
      <c r="A763" t="n">
        <v>20</v>
      </c>
      <c r="B763" s="44">
        <f>FiscalStart+(A763-1)*7</f>
        <v/>
      </c>
      <c r="C763">
        <f>TEXT(B763,"mmm yyyy")</f>
        <v/>
      </c>
      <c r="D763">
        <f>"Q"&amp;(INT((A763-1)/13)+1)</f>
        <v/>
      </c>
      <c r="E763" t="inlineStr">
        <is>
          <t>On Premise</t>
        </is>
      </c>
      <c r="F763">
        <f>IFERROR(INDEX(ChFormat,MATCH(E763,ChName,0)),"")</f>
        <v/>
      </c>
      <c r="G763" t="inlineStr">
        <is>
          <t>ON</t>
        </is>
      </c>
      <c r="H763">
        <f>IF(A763&lt;=NWeeks,1,0)</f>
        <v/>
      </c>
      <c r="I763">
        <f>INDEX(ChLaunch,MATCH(E763,ChName,0))</f>
        <v/>
      </c>
      <c r="J763">
        <f>INDEX(ChWeeksFull,MATCH(E763,ChName,0))</f>
        <v/>
      </c>
      <c r="K763">
        <f>INDEX(ChRamp,MATCH(E763,ChName,0))</f>
        <v/>
      </c>
      <c r="L763" s="45">
        <f>MIN(1,MAX(0,(A763-I763+1)*RampSpeed/J763))</f>
        <v/>
      </c>
      <c r="M763" s="45">
        <f>IF(A763&lt;I763,0,IF(K763="S-curve",L763*L763*(3-2*L763),L763))</f>
        <v/>
      </c>
      <c r="N763" s="45">
        <f>1+(INDEX(SeasonIdx,A763)-1)*SeasonAmp</f>
        <v/>
      </c>
      <c r="O763" s="45">
        <f>IFERROR(INDEX(PSPct,MATCH(E763&amp;"|"&amp;G763,PSKey,0)),0)</f>
        <v/>
      </c>
      <c r="P763" s="46">
        <f>INDEX(ChDoorVel,MATCH(E763,ChName,0))*CalibScalar*(1+VelocityUplift)</f>
        <v/>
      </c>
      <c r="Q763" s="46" t="n">
        <v>0</v>
      </c>
      <c r="R763" s="46">
        <f>P763*O763*M763*N763*H763</f>
        <v/>
      </c>
      <c r="S763" s="46">
        <f>R763*INDEX(FmtCansPerCase,MATCH(F763,FmtName,0))</f>
        <v/>
      </c>
      <c r="T763" s="46">
        <f>S763/INDEX(FmtCansPerPack,MATCH(F763,FmtName,0))</f>
        <v/>
      </c>
      <c r="U763" s="47">
        <f>INDEX(ChBaseCP,MATCH(E763,ChName,0))*(1+INDEX(ProvMod,MATCH(G763,ProvCode,0)))*(1+PriceIndex)</f>
        <v/>
      </c>
      <c r="V763" s="47">
        <f>R763*U763*INDEX(FmtBlendedPriceIdx,MATCH(F763,FmtName,0))</f>
        <v/>
      </c>
      <c r="W763" s="47">
        <f>T763*INDEX(ProvSRP,MATCH(G763,ProvCode,0))*(1+PriceIndex)</f>
        <v/>
      </c>
      <c r="X763" s="47">
        <f>IF(GrossBasis="Wholesale",V763,W763)</f>
        <v/>
      </c>
      <c r="Y763" s="47">
        <f>R763*INDEX(FmtBlendedCogs,MATCH(F763,FmtName,0))</f>
        <v/>
      </c>
      <c r="Z763" s="47">
        <f>X763-Y763</f>
        <v/>
      </c>
    </row>
    <row r="764">
      <c r="A764" t="n">
        <v>21</v>
      </c>
      <c r="B764" s="44">
        <f>FiscalStart+(A764-1)*7</f>
        <v/>
      </c>
      <c r="C764">
        <f>TEXT(B764,"mmm yyyy")</f>
        <v/>
      </c>
      <c r="D764">
        <f>"Q"&amp;(INT((A764-1)/13)+1)</f>
        <v/>
      </c>
      <c r="E764" t="inlineStr">
        <is>
          <t>On Premise</t>
        </is>
      </c>
      <c r="F764">
        <f>IFERROR(INDEX(ChFormat,MATCH(E764,ChName,0)),"")</f>
        <v/>
      </c>
      <c r="G764" t="inlineStr">
        <is>
          <t>ON</t>
        </is>
      </c>
      <c r="H764">
        <f>IF(A764&lt;=NWeeks,1,0)</f>
        <v/>
      </c>
      <c r="I764">
        <f>INDEX(ChLaunch,MATCH(E764,ChName,0))</f>
        <v/>
      </c>
      <c r="J764">
        <f>INDEX(ChWeeksFull,MATCH(E764,ChName,0))</f>
        <v/>
      </c>
      <c r="K764">
        <f>INDEX(ChRamp,MATCH(E764,ChName,0))</f>
        <v/>
      </c>
      <c r="L764" s="45">
        <f>MIN(1,MAX(0,(A764-I764+1)*RampSpeed/J764))</f>
        <v/>
      </c>
      <c r="M764" s="45">
        <f>IF(A764&lt;I764,0,IF(K764="S-curve",L764*L764*(3-2*L764),L764))</f>
        <v/>
      </c>
      <c r="N764" s="45">
        <f>1+(INDEX(SeasonIdx,A764)-1)*SeasonAmp</f>
        <v/>
      </c>
      <c r="O764" s="45">
        <f>IFERROR(INDEX(PSPct,MATCH(E764&amp;"|"&amp;G764,PSKey,0)),0)</f>
        <v/>
      </c>
      <c r="P764" s="46">
        <f>INDEX(ChDoorVel,MATCH(E764,ChName,0))*CalibScalar*(1+VelocityUplift)</f>
        <v/>
      </c>
      <c r="Q764" s="46" t="n">
        <v>0</v>
      </c>
      <c r="R764" s="46">
        <f>P764*O764*M764*N764*H764</f>
        <v/>
      </c>
      <c r="S764" s="46">
        <f>R764*INDEX(FmtCansPerCase,MATCH(F764,FmtName,0))</f>
        <v/>
      </c>
      <c r="T764" s="46">
        <f>S764/INDEX(FmtCansPerPack,MATCH(F764,FmtName,0))</f>
        <v/>
      </c>
      <c r="U764" s="47">
        <f>INDEX(ChBaseCP,MATCH(E764,ChName,0))*(1+INDEX(ProvMod,MATCH(G764,ProvCode,0)))*(1+PriceIndex)</f>
        <v/>
      </c>
      <c r="V764" s="47">
        <f>R764*U764*INDEX(FmtBlendedPriceIdx,MATCH(F764,FmtName,0))</f>
        <v/>
      </c>
      <c r="W764" s="47">
        <f>T764*INDEX(ProvSRP,MATCH(G764,ProvCode,0))*(1+PriceIndex)</f>
        <v/>
      </c>
      <c r="X764" s="47">
        <f>IF(GrossBasis="Wholesale",V764,W764)</f>
        <v/>
      </c>
      <c r="Y764" s="47">
        <f>R764*INDEX(FmtBlendedCogs,MATCH(F764,FmtName,0))</f>
        <v/>
      </c>
      <c r="Z764" s="47">
        <f>X764-Y764</f>
        <v/>
      </c>
    </row>
    <row r="765">
      <c r="A765" t="n">
        <v>22</v>
      </c>
      <c r="B765" s="44">
        <f>FiscalStart+(A765-1)*7</f>
        <v/>
      </c>
      <c r="C765">
        <f>TEXT(B765,"mmm yyyy")</f>
        <v/>
      </c>
      <c r="D765">
        <f>"Q"&amp;(INT((A765-1)/13)+1)</f>
        <v/>
      </c>
      <c r="E765" t="inlineStr">
        <is>
          <t>On Premise</t>
        </is>
      </c>
      <c r="F765">
        <f>IFERROR(INDEX(ChFormat,MATCH(E765,ChName,0)),"")</f>
        <v/>
      </c>
      <c r="G765" t="inlineStr">
        <is>
          <t>ON</t>
        </is>
      </c>
      <c r="H765">
        <f>IF(A765&lt;=NWeeks,1,0)</f>
        <v/>
      </c>
      <c r="I765">
        <f>INDEX(ChLaunch,MATCH(E765,ChName,0))</f>
        <v/>
      </c>
      <c r="J765">
        <f>INDEX(ChWeeksFull,MATCH(E765,ChName,0))</f>
        <v/>
      </c>
      <c r="K765">
        <f>INDEX(ChRamp,MATCH(E765,ChName,0))</f>
        <v/>
      </c>
      <c r="L765" s="45">
        <f>MIN(1,MAX(0,(A765-I765+1)*RampSpeed/J765))</f>
        <v/>
      </c>
      <c r="M765" s="45">
        <f>IF(A765&lt;I765,0,IF(K765="S-curve",L765*L765*(3-2*L765),L765))</f>
        <v/>
      </c>
      <c r="N765" s="45">
        <f>1+(INDEX(SeasonIdx,A765)-1)*SeasonAmp</f>
        <v/>
      </c>
      <c r="O765" s="45">
        <f>IFERROR(INDEX(PSPct,MATCH(E765&amp;"|"&amp;G765,PSKey,0)),0)</f>
        <v/>
      </c>
      <c r="P765" s="46">
        <f>INDEX(ChDoorVel,MATCH(E765,ChName,0))*CalibScalar*(1+VelocityUplift)</f>
        <v/>
      </c>
      <c r="Q765" s="46" t="n">
        <v>0</v>
      </c>
      <c r="R765" s="46">
        <f>P765*O765*M765*N765*H765</f>
        <v/>
      </c>
      <c r="S765" s="46">
        <f>R765*INDEX(FmtCansPerCase,MATCH(F765,FmtName,0))</f>
        <v/>
      </c>
      <c r="T765" s="46">
        <f>S765/INDEX(FmtCansPerPack,MATCH(F765,FmtName,0))</f>
        <v/>
      </c>
      <c r="U765" s="47">
        <f>INDEX(ChBaseCP,MATCH(E765,ChName,0))*(1+INDEX(ProvMod,MATCH(G765,ProvCode,0)))*(1+PriceIndex)</f>
        <v/>
      </c>
      <c r="V765" s="47">
        <f>R765*U765*INDEX(FmtBlendedPriceIdx,MATCH(F765,FmtName,0))</f>
        <v/>
      </c>
      <c r="W765" s="47">
        <f>T765*INDEX(ProvSRP,MATCH(G765,ProvCode,0))*(1+PriceIndex)</f>
        <v/>
      </c>
      <c r="X765" s="47">
        <f>IF(GrossBasis="Wholesale",V765,W765)</f>
        <v/>
      </c>
      <c r="Y765" s="47">
        <f>R765*INDEX(FmtBlendedCogs,MATCH(F765,FmtName,0))</f>
        <v/>
      </c>
      <c r="Z765" s="47">
        <f>X765-Y765</f>
        <v/>
      </c>
    </row>
    <row r="766">
      <c r="A766" t="n">
        <v>23</v>
      </c>
      <c r="B766" s="44">
        <f>FiscalStart+(A766-1)*7</f>
        <v/>
      </c>
      <c r="C766">
        <f>TEXT(B766,"mmm yyyy")</f>
        <v/>
      </c>
      <c r="D766">
        <f>"Q"&amp;(INT((A766-1)/13)+1)</f>
        <v/>
      </c>
      <c r="E766" t="inlineStr">
        <is>
          <t>On Premise</t>
        </is>
      </c>
      <c r="F766">
        <f>IFERROR(INDEX(ChFormat,MATCH(E766,ChName,0)),"")</f>
        <v/>
      </c>
      <c r="G766" t="inlineStr">
        <is>
          <t>ON</t>
        </is>
      </c>
      <c r="H766">
        <f>IF(A766&lt;=NWeeks,1,0)</f>
        <v/>
      </c>
      <c r="I766">
        <f>INDEX(ChLaunch,MATCH(E766,ChName,0))</f>
        <v/>
      </c>
      <c r="J766">
        <f>INDEX(ChWeeksFull,MATCH(E766,ChName,0))</f>
        <v/>
      </c>
      <c r="K766">
        <f>INDEX(ChRamp,MATCH(E766,ChName,0))</f>
        <v/>
      </c>
      <c r="L766" s="45">
        <f>MIN(1,MAX(0,(A766-I766+1)*RampSpeed/J766))</f>
        <v/>
      </c>
      <c r="M766" s="45">
        <f>IF(A766&lt;I766,0,IF(K766="S-curve",L766*L766*(3-2*L766),L766))</f>
        <v/>
      </c>
      <c r="N766" s="45">
        <f>1+(INDEX(SeasonIdx,A766)-1)*SeasonAmp</f>
        <v/>
      </c>
      <c r="O766" s="45">
        <f>IFERROR(INDEX(PSPct,MATCH(E766&amp;"|"&amp;G766,PSKey,0)),0)</f>
        <v/>
      </c>
      <c r="P766" s="46">
        <f>INDEX(ChDoorVel,MATCH(E766,ChName,0))*CalibScalar*(1+VelocityUplift)</f>
        <v/>
      </c>
      <c r="Q766" s="46" t="n">
        <v>0</v>
      </c>
      <c r="R766" s="46">
        <f>P766*O766*M766*N766*H766</f>
        <v/>
      </c>
      <c r="S766" s="46">
        <f>R766*INDEX(FmtCansPerCase,MATCH(F766,FmtName,0))</f>
        <v/>
      </c>
      <c r="T766" s="46">
        <f>S766/INDEX(FmtCansPerPack,MATCH(F766,FmtName,0))</f>
        <v/>
      </c>
      <c r="U766" s="47">
        <f>INDEX(ChBaseCP,MATCH(E766,ChName,0))*(1+INDEX(ProvMod,MATCH(G766,ProvCode,0)))*(1+PriceIndex)</f>
        <v/>
      </c>
      <c r="V766" s="47">
        <f>R766*U766*INDEX(FmtBlendedPriceIdx,MATCH(F766,FmtName,0))</f>
        <v/>
      </c>
      <c r="W766" s="47">
        <f>T766*INDEX(ProvSRP,MATCH(G766,ProvCode,0))*(1+PriceIndex)</f>
        <v/>
      </c>
      <c r="X766" s="47">
        <f>IF(GrossBasis="Wholesale",V766,W766)</f>
        <v/>
      </c>
      <c r="Y766" s="47">
        <f>R766*INDEX(FmtBlendedCogs,MATCH(F766,FmtName,0))</f>
        <v/>
      </c>
      <c r="Z766" s="47">
        <f>X766-Y766</f>
        <v/>
      </c>
    </row>
    <row r="767">
      <c r="A767" t="n">
        <v>24</v>
      </c>
      <c r="B767" s="44">
        <f>FiscalStart+(A767-1)*7</f>
        <v/>
      </c>
      <c r="C767">
        <f>TEXT(B767,"mmm yyyy")</f>
        <v/>
      </c>
      <c r="D767">
        <f>"Q"&amp;(INT((A767-1)/13)+1)</f>
        <v/>
      </c>
      <c r="E767" t="inlineStr">
        <is>
          <t>On Premise</t>
        </is>
      </c>
      <c r="F767">
        <f>IFERROR(INDEX(ChFormat,MATCH(E767,ChName,0)),"")</f>
        <v/>
      </c>
      <c r="G767" t="inlineStr">
        <is>
          <t>ON</t>
        </is>
      </c>
      <c r="H767">
        <f>IF(A767&lt;=NWeeks,1,0)</f>
        <v/>
      </c>
      <c r="I767">
        <f>INDEX(ChLaunch,MATCH(E767,ChName,0))</f>
        <v/>
      </c>
      <c r="J767">
        <f>INDEX(ChWeeksFull,MATCH(E767,ChName,0))</f>
        <v/>
      </c>
      <c r="K767">
        <f>INDEX(ChRamp,MATCH(E767,ChName,0))</f>
        <v/>
      </c>
      <c r="L767" s="45">
        <f>MIN(1,MAX(0,(A767-I767+1)*RampSpeed/J767))</f>
        <v/>
      </c>
      <c r="M767" s="45">
        <f>IF(A767&lt;I767,0,IF(K767="S-curve",L767*L767*(3-2*L767),L767))</f>
        <v/>
      </c>
      <c r="N767" s="45">
        <f>1+(INDEX(SeasonIdx,A767)-1)*SeasonAmp</f>
        <v/>
      </c>
      <c r="O767" s="45">
        <f>IFERROR(INDEX(PSPct,MATCH(E767&amp;"|"&amp;G767,PSKey,0)),0)</f>
        <v/>
      </c>
      <c r="P767" s="46">
        <f>INDEX(ChDoorVel,MATCH(E767,ChName,0))*CalibScalar*(1+VelocityUplift)</f>
        <v/>
      </c>
      <c r="Q767" s="46" t="n">
        <v>0</v>
      </c>
      <c r="R767" s="46">
        <f>P767*O767*M767*N767*H767</f>
        <v/>
      </c>
      <c r="S767" s="46">
        <f>R767*INDEX(FmtCansPerCase,MATCH(F767,FmtName,0))</f>
        <v/>
      </c>
      <c r="T767" s="46">
        <f>S767/INDEX(FmtCansPerPack,MATCH(F767,FmtName,0))</f>
        <v/>
      </c>
      <c r="U767" s="47">
        <f>INDEX(ChBaseCP,MATCH(E767,ChName,0))*(1+INDEX(ProvMod,MATCH(G767,ProvCode,0)))*(1+PriceIndex)</f>
        <v/>
      </c>
      <c r="V767" s="47">
        <f>R767*U767*INDEX(FmtBlendedPriceIdx,MATCH(F767,FmtName,0))</f>
        <v/>
      </c>
      <c r="W767" s="47">
        <f>T767*INDEX(ProvSRP,MATCH(G767,ProvCode,0))*(1+PriceIndex)</f>
        <v/>
      </c>
      <c r="X767" s="47">
        <f>IF(GrossBasis="Wholesale",V767,W767)</f>
        <v/>
      </c>
      <c r="Y767" s="47">
        <f>R767*INDEX(FmtBlendedCogs,MATCH(F767,FmtName,0))</f>
        <v/>
      </c>
      <c r="Z767" s="47">
        <f>X767-Y767</f>
        <v/>
      </c>
    </row>
    <row r="768">
      <c r="A768" t="n">
        <v>25</v>
      </c>
      <c r="B768" s="44">
        <f>FiscalStart+(A768-1)*7</f>
        <v/>
      </c>
      <c r="C768">
        <f>TEXT(B768,"mmm yyyy")</f>
        <v/>
      </c>
      <c r="D768">
        <f>"Q"&amp;(INT((A768-1)/13)+1)</f>
        <v/>
      </c>
      <c r="E768" t="inlineStr">
        <is>
          <t>On Premise</t>
        </is>
      </c>
      <c r="F768">
        <f>IFERROR(INDEX(ChFormat,MATCH(E768,ChName,0)),"")</f>
        <v/>
      </c>
      <c r="G768" t="inlineStr">
        <is>
          <t>ON</t>
        </is>
      </c>
      <c r="H768">
        <f>IF(A768&lt;=NWeeks,1,0)</f>
        <v/>
      </c>
      <c r="I768">
        <f>INDEX(ChLaunch,MATCH(E768,ChName,0))</f>
        <v/>
      </c>
      <c r="J768">
        <f>INDEX(ChWeeksFull,MATCH(E768,ChName,0))</f>
        <v/>
      </c>
      <c r="K768">
        <f>INDEX(ChRamp,MATCH(E768,ChName,0))</f>
        <v/>
      </c>
      <c r="L768" s="45">
        <f>MIN(1,MAX(0,(A768-I768+1)*RampSpeed/J768))</f>
        <v/>
      </c>
      <c r="M768" s="45">
        <f>IF(A768&lt;I768,0,IF(K768="S-curve",L768*L768*(3-2*L768),L768))</f>
        <v/>
      </c>
      <c r="N768" s="45">
        <f>1+(INDEX(SeasonIdx,A768)-1)*SeasonAmp</f>
        <v/>
      </c>
      <c r="O768" s="45">
        <f>IFERROR(INDEX(PSPct,MATCH(E768&amp;"|"&amp;G768,PSKey,0)),0)</f>
        <v/>
      </c>
      <c r="P768" s="46">
        <f>INDEX(ChDoorVel,MATCH(E768,ChName,0))*CalibScalar*(1+VelocityUplift)</f>
        <v/>
      </c>
      <c r="Q768" s="46" t="n">
        <v>0</v>
      </c>
      <c r="R768" s="46">
        <f>P768*O768*M768*N768*H768</f>
        <v/>
      </c>
      <c r="S768" s="46">
        <f>R768*INDEX(FmtCansPerCase,MATCH(F768,FmtName,0))</f>
        <v/>
      </c>
      <c r="T768" s="46">
        <f>S768/INDEX(FmtCansPerPack,MATCH(F768,FmtName,0))</f>
        <v/>
      </c>
      <c r="U768" s="47">
        <f>INDEX(ChBaseCP,MATCH(E768,ChName,0))*(1+INDEX(ProvMod,MATCH(G768,ProvCode,0)))*(1+PriceIndex)</f>
        <v/>
      </c>
      <c r="V768" s="47">
        <f>R768*U768*INDEX(FmtBlendedPriceIdx,MATCH(F768,FmtName,0))</f>
        <v/>
      </c>
      <c r="W768" s="47">
        <f>T768*INDEX(ProvSRP,MATCH(G768,ProvCode,0))*(1+PriceIndex)</f>
        <v/>
      </c>
      <c r="X768" s="47">
        <f>IF(GrossBasis="Wholesale",V768,W768)</f>
        <v/>
      </c>
      <c r="Y768" s="47">
        <f>R768*INDEX(FmtBlendedCogs,MATCH(F768,FmtName,0))</f>
        <v/>
      </c>
      <c r="Z768" s="47">
        <f>X768-Y768</f>
        <v/>
      </c>
    </row>
    <row r="769">
      <c r="A769" t="n">
        <v>26</v>
      </c>
      <c r="B769" s="44">
        <f>FiscalStart+(A769-1)*7</f>
        <v/>
      </c>
      <c r="C769">
        <f>TEXT(B769,"mmm yyyy")</f>
        <v/>
      </c>
      <c r="D769">
        <f>"Q"&amp;(INT((A769-1)/13)+1)</f>
        <v/>
      </c>
      <c r="E769" t="inlineStr">
        <is>
          <t>On Premise</t>
        </is>
      </c>
      <c r="F769">
        <f>IFERROR(INDEX(ChFormat,MATCH(E769,ChName,0)),"")</f>
        <v/>
      </c>
      <c r="G769" t="inlineStr">
        <is>
          <t>ON</t>
        </is>
      </c>
      <c r="H769">
        <f>IF(A769&lt;=NWeeks,1,0)</f>
        <v/>
      </c>
      <c r="I769">
        <f>INDEX(ChLaunch,MATCH(E769,ChName,0))</f>
        <v/>
      </c>
      <c r="J769">
        <f>INDEX(ChWeeksFull,MATCH(E769,ChName,0))</f>
        <v/>
      </c>
      <c r="K769">
        <f>INDEX(ChRamp,MATCH(E769,ChName,0))</f>
        <v/>
      </c>
      <c r="L769" s="45">
        <f>MIN(1,MAX(0,(A769-I769+1)*RampSpeed/J769))</f>
        <v/>
      </c>
      <c r="M769" s="45">
        <f>IF(A769&lt;I769,0,IF(K769="S-curve",L769*L769*(3-2*L769),L769))</f>
        <v/>
      </c>
      <c r="N769" s="45">
        <f>1+(INDEX(SeasonIdx,A769)-1)*SeasonAmp</f>
        <v/>
      </c>
      <c r="O769" s="45">
        <f>IFERROR(INDEX(PSPct,MATCH(E769&amp;"|"&amp;G769,PSKey,0)),0)</f>
        <v/>
      </c>
      <c r="P769" s="46">
        <f>INDEX(ChDoorVel,MATCH(E769,ChName,0))*CalibScalar*(1+VelocityUplift)</f>
        <v/>
      </c>
      <c r="Q769" s="46" t="n">
        <v>0</v>
      </c>
      <c r="R769" s="46">
        <f>P769*O769*M769*N769*H769</f>
        <v/>
      </c>
      <c r="S769" s="46">
        <f>R769*INDEX(FmtCansPerCase,MATCH(F769,FmtName,0))</f>
        <v/>
      </c>
      <c r="T769" s="46">
        <f>S769/INDEX(FmtCansPerPack,MATCH(F769,FmtName,0))</f>
        <v/>
      </c>
      <c r="U769" s="47">
        <f>INDEX(ChBaseCP,MATCH(E769,ChName,0))*(1+INDEX(ProvMod,MATCH(G769,ProvCode,0)))*(1+PriceIndex)</f>
        <v/>
      </c>
      <c r="V769" s="47">
        <f>R769*U769*INDEX(FmtBlendedPriceIdx,MATCH(F769,FmtName,0))</f>
        <v/>
      </c>
      <c r="W769" s="47">
        <f>T769*INDEX(ProvSRP,MATCH(G769,ProvCode,0))*(1+PriceIndex)</f>
        <v/>
      </c>
      <c r="X769" s="47">
        <f>IF(GrossBasis="Wholesale",V769,W769)</f>
        <v/>
      </c>
      <c r="Y769" s="47">
        <f>R769*INDEX(FmtBlendedCogs,MATCH(F769,FmtName,0))</f>
        <v/>
      </c>
      <c r="Z769" s="47">
        <f>X769-Y769</f>
        <v/>
      </c>
    </row>
    <row r="770">
      <c r="A770" t="n">
        <v>27</v>
      </c>
      <c r="B770" s="44">
        <f>FiscalStart+(A770-1)*7</f>
        <v/>
      </c>
      <c r="C770">
        <f>TEXT(B770,"mmm yyyy")</f>
        <v/>
      </c>
      <c r="D770">
        <f>"Q"&amp;(INT((A770-1)/13)+1)</f>
        <v/>
      </c>
      <c r="E770" t="inlineStr">
        <is>
          <t>On Premise</t>
        </is>
      </c>
      <c r="F770">
        <f>IFERROR(INDEX(ChFormat,MATCH(E770,ChName,0)),"")</f>
        <v/>
      </c>
      <c r="G770" t="inlineStr">
        <is>
          <t>ON</t>
        </is>
      </c>
      <c r="H770">
        <f>IF(A770&lt;=NWeeks,1,0)</f>
        <v/>
      </c>
      <c r="I770">
        <f>INDEX(ChLaunch,MATCH(E770,ChName,0))</f>
        <v/>
      </c>
      <c r="J770">
        <f>INDEX(ChWeeksFull,MATCH(E770,ChName,0))</f>
        <v/>
      </c>
      <c r="K770">
        <f>INDEX(ChRamp,MATCH(E770,ChName,0))</f>
        <v/>
      </c>
      <c r="L770" s="45">
        <f>MIN(1,MAX(0,(A770-I770+1)*RampSpeed/J770))</f>
        <v/>
      </c>
      <c r="M770" s="45">
        <f>IF(A770&lt;I770,0,IF(K770="S-curve",L770*L770*(3-2*L770),L770))</f>
        <v/>
      </c>
      <c r="N770" s="45">
        <f>1+(INDEX(SeasonIdx,A770)-1)*SeasonAmp</f>
        <v/>
      </c>
      <c r="O770" s="45">
        <f>IFERROR(INDEX(PSPct,MATCH(E770&amp;"|"&amp;G770,PSKey,0)),0)</f>
        <v/>
      </c>
      <c r="P770" s="46">
        <f>INDEX(ChDoorVel,MATCH(E770,ChName,0))*CalibScalar*(1+VelocityUplift)</f>
        <v/>
      </c>
      <c r="Q770" s="46" t="n">
        <v>0</v>
      </c>
      <c r="R770" s="46">
        <f>P770*O770*M770*N770*H770</f>
        <v/>
      </c>
      <c r="S770" s="46">
        <f>R770*INDEX(FmtCansPerCase,MATCH(F770,FmtName,0))</f>
        <v/>
      </c>
      <c r="T770" s="46">
        <f>S770/INDEX(FmtCansPerPack,MATCH(F770,FmtName,0))</f>
        <v/>
      </c>
      <c r="U770" s="47">
        <f>INDEX(ChBaseCP,MATCH(E770,ChName,0))*(1+INDEX(ProvMod,MATCH(G770,ProvCode,0)))*(1+PriceIndex)</f>
        <v/>
      </c>
      <c r="V770" s="47">
        <f>R770*U770*INDEX(FmtBlendedPriceIdx,MATCH(F770,FmtName,0))</f>
        <v/>
      </c>
      <c r="W770" s="47">
        <f>T770*INDEX(ProvSRP,MATCH(G770,ProvCode,0))*(1+PriceIndex)</f>
        <v/>
      </c>
      <c r="X770" s="47">
        <f>IF(GrossBasis="Wholesale",V770,W770)</f>
        <v/>
      </c>
      <c r="Y770" s="47">
        <f>R770*INDEX(FmtBlendedCogs,MATCH(F770,FmtName,0))</f>
        <v/>
      </c>
      <c r="Z770" s="47">
        <f>X770-Y770</f>
        <v/>
      </c>
    </row>
    <row r="771">
      <c r="A771" t="n">
        <v>28</v>
      </c>
      <c r="B771" s="44">
        <f>FiscalStart+(A771-1)*7</f>
        <v/>
      </c>
      <c r="C771">
        <f>TEXT(B771,"mmm yyyy")</f>
        <v/>
      </c>
      <c r="D771">
        <f>"Q"&amp;(INT((A771-1)/13)+1)</f>
        <v/>
      </c>
      <c r="E771" t="inlineStr">
        <is>
          <t>On Premise</t>
        </is>
      </c>
      <c r="F771">
        <f>IFERROR(INDEX(ChFormat,MATCH(E771,ChName,0)),"")</f>
        <v/>
      </c>
      <c r="G771" t="inlineStr">
        <is>
          <t>ON</t>
        </is>
      </c>
      <c r="H771">
        <f>IF(A771&lt;=NWeeks,1,0)</f>
        <v/>
      </c>
      <c r="I771">
        <f>INDEX(ChLaunch,MATCH(E771,ChName,0))</f>
        <v/>
      </c>
      <c r="J771">
        <f>INDEX(ChWeeksFull,MATCH(E771,ChName,0))</f>
        <v/>
      </c>
      <c r="K771">
        <f>INDEX(ChRamp,MATCH(E771,ChName,0))</f>
        <v/>
      </c>
      <c r="L771" s="45">
        <f>MIN(1,MAX(0,(A771-I771+1)*RampSpeed/J771))</f>
        <v/>
      </c>
      <c r="M771" s="45">
        <f>IF(A771&lt;I771,0,IF(K771="S-curve",L771*L771*(3-2*L771),L771))</f>
        <v/>
      </c>
      <c r="N771" s="45">
        <f>1+(INDEX(SeasonIdx,A771)-1)*SeasonAmp</f>
        <v/>
      </c>
      <c r="O771" s="45">
        <f>IFERROR(INDEX(PSPct,MATCH(E771&amp;"|"&amp;G771,PSKey,0)),0)</f>
        <v/>
      </c>
      <c r="P771" s="46">
        <f>INDEX(ChDoorVel,MATCH(E771,ChName,0))*CalibScalar*(1+VelocityUplift)</f>
        <v/>
      </c>
      <c r="Q771" s="46" t="n">
        <v>0</v>
      </c>
      <c r="R771" s="46">
        <f>P771*O771*M771*N771*H771</f>
        <v/>
      </c>
      <c r="S771" s="46">
        <f>R771*INDEX(FmtCansPerCase,MATCH(F771,FmtName,0))</f>
        <v/>
      </c>
      <c r="T771" s="46">
        <f>S771/INDEX(FmtCansPerPack,MATCH(F771,FmtName,0))</f>
        <v/>
      </c>
      <c r="U771" s="47">
        <f>INDEX(ChBaseCP,MATCH(E771,ChName,0))*(1+INDEX(ProvMod,MATCH(G771,ProvCode,0)))*(1+PriceIndex)</f>
        <v/>
      </c>
      <c r="V771" s="47">
        <f>R771*U771*INDEX(FmtBlendedPriceIdx,MATCH(F771,FmtName,0))</f>
        <v/>
      </c>
      <c r="W771" s="47">
        <f>T771*INDEX(ProvSRP,MATCH(G771,ProvCode,0))*(1+PriceIndex)</f>
        <v/>
      </c>
      <c r="X771" s="47">
        <f>IF(GrossBasis="Wholesale",V771,W771)</f>
        <v/>
      </c>
      <c r="Y771" s="47">
        <f>R771*INDEX(FmtBlendedCogs,MATCH(F771,FmtName,0))</f>
        <v/>
      </c>
      <c r="Z771" s="47">
        <f>X771-Y771</f>
        <v/>
      </c>
    </row>
    <row r="772">
      <c r="A772" t="n">
        <v>29</v>
      </c>
      <c r="B772" s="44">
        <f>FiscalStart+(A772-1)*7</f>
        <v/>
      </c>
      <c r="C772">
        <f>TEXT(B772,"mmm yyyy")</f>
        <v/>
      </c>
      <c r="D772">
        <f>"Q"&amp;(INT((A772-1)/13)+1)</f>
        <v/>
      </c>
      <c r="E772" t="inlineStr">
        <is>
          <t>On Premise</t>
        </is>
      </c>
      <c r="F772">
        <f>IFERROR(INDEX(ChFormat,MATCH(E772,ChName,0)),"")</f>
        <v/>
      </c>
      <c r="G772" t="inlineStr">
        <is>
          <t>ON</t>
        </is>
      </c>
      <c r="H772">
        <f>IF(A772&lt;=NWeeks,1,0)</f>
        <v/>
      </c>
      <c r="I772">
        <f>INDEX(ChLaunch,MATCH(E772,ChName,0))</f>
        <v/>
      </c>
      <c r="J772">
        <f>INDEX(ChWeeksFull,MATCH(E772,ChName,0))</f>
        <v/>
      </c>
      <c r="K772">
        <f>INDEX(ChRamp,MATCH(E772,ChName,0))</f>
        <v/>
      </c>
      <c r="L772" s="45">
        <f>MIN(1,MAX(0,(A772-I772+1)*RampSpeed/J772))</f>
        <v/>
      </c>
      <c r="M772" s="45">
        <f>IF(A772&lt;I772,0,IF(K772="S-curve",L772*L772*(3-2*L772),L772))</f>
        <v/>
      </c>
      <c r="N772" s="45">
        <f>1+(INDEX(SeasonIdx,A772)-1)*SeasonAmp</f>
        <v/>
      </c>
      <c r="O772" s="45">
        <f>IFERROR(INDEX(PSPct,MATCH(E772&amp;"|"&amp;G772,PSKey,0)),0)</f>
        <v/>
      </c>
      <c r="P772" s="46">
        <f>INDEX(ChDoorVel,MATCH(E772,ChName,0))*CalibScalar*(1+VelocityUplift)</f>
        <v/>
      </c>
      <c r="Q772" s="46" t="n">
        <v>0</v>
      </c>
      <c r="R772" s="46">
        <f>P772*O772*M772*N772*H772</f>
        <v/>
      </c>
      <c r="S772" s="46">
        <f>R772*INDEX(FmtCansPerCase,MATCH(F772,FmtName,0))</f>
        <v/>
      </c>
      <c r="T772" s="46">
        <f>S772/INDEX(FmtCansPerPack,MATCH(F772,FmtName,0))</f>
        <v/>
      </c>
      <c r="U772" s="47">
        <f>INDEX(ChBaseCP,MATCH(E772,ChName,0))*(1+INDEX(ProvMod,MATCH(G772,ProvCode,0)))*(1+PriceIndex)</f>
        <v/>
      </c>
      <c r="V772" s="47">
        <f>R772*U772*INDEX(FmtBlendedPriceIdx,MATCH(F772,FmtName,0))</f>
        <v/>
      </c>
      <c r="W772" s="47">
        <f>T772*INDEX(ProvSRP,MATCH(G772,ProvCode,0))*(1+PriceIndex)</f>
        <v/>
      </c>
      <c r="X772" s="47">
        <f>IF(GrossBasis="Wholesale",V772,W772)</f>
        <v/>
      </c>
      <c r="Y772" s="47">
        <f>R772*INDEX(FmtBlendedCogs,MATCH(F772,FmtName,0))</f>
        <v/>
      </c>
      <c r="Z772" s="47">
        <f>X772-Y772</f>
        <v/>
      </c>
    </row>
    <row r="773">
      <c r="A773" t="n">
        <v>30</v>
      </c>
      <c r="B773" s="44">
        <f>FiscalStart+(A773-1)*7</f>
        <v/>
      </c>
      <c r="C773">
        <f>TEXT(B773,"mmm yyyy")</f>
        <v/>
      </c>
      <c r="D773">
        <f>"Q"&amp;(INT((A773-1)/13)+1)</f>
        <v/>
      </c>
      <c r="E773" t="inlineStr">
        <is>
          <t>On Premise</t>
        </is>
      </c>
      <c r="F773">
        <f>IFERROR(INDEX(ChFormat,MATCH(E773,ChName,0)),"")</f>
        <v/>
      </c>
      <c r="G773" t="inlineStr">
        <is>
          <t>ON</t>
        </is>
      </c>
      <c r="H773">
        <f>IF(A773&lt;=NWeeks,1,0)</f>
        <v/>
      </c>
      <c r="I773">
        <f>INDEX(ChLaunch,MATCH(E773,ChName,0))</f>
        <v/>
      </c>
      <c r="J773">
        <f>INDEX(ChWeeksFull,MATCH(E773,ChName,0))</f>
        <v/>
      </c>
      <c r="K773">
        <f>INDEX(ChRamp,MATCH(E773,ChName,0))</f>
        <v/>
      </c>
      <c r="L773" s="45">
        <f>MIN(1,MAX(0,(A773-I773+1)*RampSpeed/J773))</f>
        <v/>
      </c>
      <c r="M773" s="45">
        <f>IF(A773&lt;I773,0,IF(K773="S-curve",L773*L773*(3-2*L773),L773))</f>
        <v/>
      </c>
      <c r="N773" s="45">
        <f>1+(INDEX(SeasonIdx,A773)-1)*SeasonAmp</f>
        <v/>
      </c>
      <c r="O773" s="45">
        <f>IFERROR(INDEX(PSPct,MATCH(E773&amp;"|"&amp;G773,PSKey,0)),0)</f>
        <v/>
      </c>
      <c r="P773" s="46">
        <f>INDEX(ChDoorVel,MATCH(E773,ChName,0))*CalibScalar*(1+VelocityUplift)</f>
        <v/>
      </c>
      <c r="Q773" s="46" t="n">
        <v>0</v>
      </c>
      <c r="R773" s="46">
        <f>P773*O773*M773*N773*H773</f>
        <v/>
      </c>
      <c r="S773" s="46">
        <f>R773*INDEX(FmtCansPerCase,MATCH(F773,FmtName,0))</f>
        <v/>
      </c>
      <c r="T773" s="46">
        <f>S773/INDEX(FmtCansPerPack,MATCH(F773,FmtName,0))</f>
        <v/>
      </c>
      <c r="U773" s="47">
        <f>INDEX(ChBaseCP,MATCH(E773,ChName,0))*(1+INDEX(ProvMod,MATCH(G773,ProvCode,0)))*(1+PriceIndex)</f>
        <v/>
      </c>
      <c r="V773" s="47">
        <f>R773*U773*INDEX(FmtBlendedPriceIdx,MATCH(F773,FmtName,0))</f>
        <v/>
      </c>
      <c r="W773" s="47">
        <f>T773*INDEX(ProvSRP,MATCH(G773,ProvCode,0))*(1+PriceIndex)</f>
        <v/>
      </c>
      <c r="X773" s="47">
        <f>IF(GrossBasis="Wholesale",V773,W773)</f>
        <v/>
      </c>
      <c r="Y773" s="47">
        <f>R773*INDEX(FmtBlendedCogs,MATCH(F773,FmtName,0))</f>
        <v/>
      </c>
      <c r="Z773" s="47">
        <f>X773-Y773</f>
        <v/>
      </c>
    </row>
    <row r="774">
      <c r="A774" t="n">
        <v>31</v>
      </c>
      <c r="B774" s="44">
        <f>FiscalStart+(A774-1)*7</f>
        <v/>
      </c>
      <c r="C774">
        <f>TEXT(B774,"mmm yyyy")</f>
        <v/>
      </c>
      <c r="D774">
        <f>"Q"&amp;(INT((A774-1)/13)+1)</f>
        <v/>
      </c>
      <c r="E774" t="inlineStr">
        <is>
          <t>On Premise</t>
        </is>
      </c>
      <c r="F774">
        <f>IFERROR(INDEX(ChFormat,MATCH(E774,ChName,0)),"")</f>
        <v/>
      </c>
      <c r="G774" t="inlineStr">
        <is>
          <t>ON</t>
        </is>
      </c>
      <c r="H774">
        <f>IF(A774&lt;=NWeeks,1,0)</f>
        <v/>
      </c>
      <c r="I774">
        <f>INDEX(ChLaunch,MATCH(E774,ChName,0))</f>
        <v/>
      </c>
      <c r="J774">
        <f>INDEX(ChWeeksFull,MATCH(E774,ChName,0))</f>
        <v/>
      </c>
      <c r="K774">
        <f>INDEX(ChRamp,MATCH(E774,ChName,0))</f>
        <v/>
      </c>
      <c r="L774" s="45">
        <f>MIN(1,MAX(0,(A774-I774+1)*RampSpeed/J774))</f>
        <v/>
      </c>
      <c r="M774" s="45">
        <f>IF(A774&lt;I774,0,IF(K774="S-curve",L774*L774*(3-2*L774),L774))</f>
        <v/>
      </c>
      <c r="N774" s="45">
        <f>1+(INDEX(SeasonIdx,A774)-1)*SeasonAmp</f>
        <v/>
      </c>
      <c r="O774" s="45">
        <f>IFERROR(INDEX(PSPct,MATCH(E774&amp;"|"&amp;G774,PSKey,0)),0)</f>
        <v/>
      </c>
      <c r="P774" s="46">
        <f>INDEX(ChDoorVel,MATCH(E774,ChName,0))*CalibScalar*(1+VelocityUplift)</f>
        <v/>
      </c>
      <c r="Q774" s="46" t="n">
        <v>0</v>
      </c>
      <c r="R774" s="46">
        <f>P774*O774*M774*N774*H774</f>
        <v/>
      </c>
      <c r="S774" s="46">
        <f>R774*INDEX(FmtCansPerCase,MATCH(F774,FmtName,0))</f>
        <v/>
      </c>
      <c r="T774" s="46">
        <f>S774/INDEX(FmtCansPerPack,MATCH(F774,FmtName,0))</f>
        <v/>
      </c>
      <c r="U774" s="47">
        <f>INDEX(ChBaseCP,MATCH(E774,ChName,0))*(1+INDEX(ProvMod,MATCH(G774,ProvCode,0)))*(1+PriceIndex)</f>
        <v/>
      </c>
      <c r="V774" s="47">
        <f>R774*U774*INDEX(FmtBlendedPriceIdx,MATCH(F774,FmtName,0))</f>
        <v/>
      </c>
      <c r="W774" s="47">
        <f>T774*INDEX(ProvSRP,MATCH(G774,ProvCode,0))*(1+PriceIndex)</f>
        <v/>
      </c>
      <c r="X774" s="47">
        <f>IF(GrossBasis="Wholesale",V774,W774)</f>
        <v/>
      </c>
      <c r="Y774" s="47">
        <f>R774*INDEX(FmtBlendedCogs,MATCH(F774,FmtName,0))</f>
        <v/>
      </c>
      <c r="Z774" s="47">
        <f>X774-Y774</f>
        <v/>
      </c>
    </row>
    <row r="775">
      <c r="A775" t="n">
        <v>32</v>
      </c>
      <c r="B775" s="44">
        <f>FiscalStart+(A775-1)*7</f>
        <v/>
      </c>
      <c r="C775">
        <f>TEXT(B775,"mmm yyyy")</f>
        <v/>
      </c>
      <c r="D775">
        <f>"Q"&amp;(INT((A775-1)/13)+1)</f>
        <v/>
      </c>
      <c r="E775" t="inlineStr">
        <is>
          <t>On Premise</t>
        </is>
      </c>
      <c r="F775">
        <f>IFERROR(INDEX(ChFormat,MATCH(E775,ChName,0)),"")</f>
        <v/>
      </c>
      <c r="G775" t="inlineStr">
        <is>
          <t>ON</t>
        </is>
      </c>
      <c r="H775">
        <f>IF(A775&lt;=NWeeks,1,0)</f>
        <v/>
      </c>
      <c r="I775">
        <f>INDEX(ChLaunch,MATCH(E775,ChName,0))</f>
        <v/>
      </c>
      <c r="J775">
        <f>INDEX(ChWeeksFull,MATCH(E775,ChName,0))</f>
        <v/>
      </c>
      <c r="K775">
        <f>INDEX(ChRamp,MATCH(E775,ChName,0))</f>
        <v/>
      </c>
      <c r="L775" s="45">
        <f>MIN(1,MAX(0,(A775-I775+1)*RampSpeed/J775))</f>
        <v/>
      </c>
      <c r="M775" s="45">
        <f>IF(A775&lt;I775,0,IF(K775="S-curve",L775*L775*(3-2*L775),L775))</f>
        <v/>
      </c>
      <c r="N775" s="45">
        <f>1+(INDEX(SeasonIdx,A775)-1)*SeasonAmp</f>
        <v/>
      </c>
      <c r="O775" s="45">
        <f>IFERROR(INDEX(PSPct,MATCH(E775&amp;"|"&amp;G775,PSKey,0)),0)</f>
        <v/>
      </c>
      <c r="P775" s="46">
        <f>INDEX(ChDoorVel,MATCH(E775,ChName,0))*CalibScalar*(1+VelocityUplift)</f>
        <v/>
      </c>
      <c r="Q775" s="46" t="n">
        <v>0</v>
      </c>
      <c r="R775" s="46">
        <f>P775*O775*M775*N775*H775</f>
        <v/>
      </c>
      <c r="S775" s="46">
        <f>R775*INDEX(FmtCansPerCase,MATCH(F775,FmtName,0))</f>
        <v/>
      </c>
      <c r="T775" s="46">
        <f>S775/INDEX(FmtCansPerPack,MATCH(F775,FmtName,0))</f>
        <v/>
      </c>
      <c r="U775" s="47">
        <f>INDEX(ChBaseCP,MATCH(E775,ChName,0))*(1+INDEX(ProvMod,MATCH(G775,ProvCode,0)))*(1+PriceIndex)</f>
        <v/>
      </c>
      <c r="V775" s="47">
        <f>R775*U775*INDEX(FmtBlendedPriceIdx,MATCH(F775,FmtName,0))</f>
        <v/>
      </c>
      <c r="W775" s="47">
        <f>T775*INDEX(ProvSRP,MATCH(G775,ProvCode,0))*(1+PriceIndex)</f>
        <v/>
      </c>
      <c r="X775" s="47">
        <f>IF(GrossBasis="Wholesale",V775,W775)</f>
        <v/>
      </c>
      <c r="Y775" s="47">
        <f>R775*INDEX(FmtBlendedCogs,MATCH(F775,FmtName,0))</f>
        <v/>
      </c>
      <c r="Z775" s="47">
        <f>X775-Y775</f>
        <v/>
      </c>
    </row>
    <row r="776">
      <c r="A776" t="n">
        <v>33</v>
      </c>
      <c r="B776" s="44">
        <f>FiscalStart+(A776-1)*7</f>
        <v/>
      </c>
      <c r="C776">
        <f>TEXT(B776,"mmm yyyy")</f>
        <v/>
      </c>
      <c r="D776">
        <f>"Q"&amp;(INT((A776-1)/13)+1)</f>
        <v/>
      </c>
      <c r="E776" t="inlineStr">
        <is>
          <t>On Premise</t>
        </is>
      </c>
      <c r="F776">
        <f>IFERROR(INDEX(ChFormat,MATCH(E776,ChName,0)),"")</f>
        <v/>
      </c>
      <c r="G776" t="inlineStr">
        <is>
          <t>ON</t>
        </is>
      </c>
      <c r="H776">
        <f>IF(A776&lt;=NWeeks,1,0)</f>
        <v/>
      </c>
      <c r="I776">
        <f>INDEX(ChLaunch,MATCH(E776,ChName,0))</f>
        <v/>
      </c>
      <c r="J776">
        <f>INDEX(ChWeeksFull,MATCH(E776,ChName,0))</f>
        <v/>
      </c>
      <c r="K776">
        <f>INDEX(ChRamp,MATCH(E776,ChName,0))</f>
        <v/>
      </c>
      <c r="L776" s="45">
        <f>MIN(1,MAX(0,(A776-I776+1)*RampSpeed/J776))</f>
        <v/>
      </c>
      <c r="M776" s="45">
        <f>IF(A776&lt;I776,0,IF(K776="S-curve",L776*L776*(3-2*L776),L776))</f>
        <v/>
      </c>
      <c r="N776" s="45">
        <f>1+(INDEX(SeasonIdx,A776)-1)*SeasonAmp</f>
        <v/>
      </c>
      <c r="O776" s="45">
        <f>IFERROR(INDEX(PSPct,MATCH(E776&amp;"|"&amp;G776,PSKey,0)),0)</f>
        <v/>
      </c>
      <c r="P776" s="46">
        <f>INDEX(ChDoorVel,MATCH(E776,ChName,0))*CalibScalar*(1+VelocityUplift)</f>
        <v/>
      </c>
      <c r="Q776" s="46" t="n">
        <v>0</v>
      </c>
      <c r="R776" s="46">
        <f>P776*O776*M776*N776*H776</f>
        <v/>
      </c>
      <c r="S776" s="46">
        <f>R776*INDEX(FmtCansPerCase,MATCH(F776,FmtName,0))</f>
        <v/>
      </c>
      <c r="T776" s="46">
        <f>S776/INDEX(FmtCansPerPack,MATCH(F776,FmtName,0))</f>
        <v/>
      </c>
      <c r="U776" s="47">
        <f>INDEX(ChBaseCP,MATCH(E776,ChName,0))*(1+INDEX(ProvMod,MATCH(G776,ProvCode,0)))*(1+PriceIndex)</f>
        <v/>
      </c>
      <c r="V776" s="47">
        <f>R776*U776*INDEX(FmtBlendedPriceIdx,MATCH(F776,FmtName,0))</f>
        <v/>
      </c>
      <c r="W776" s="47">
        <f>T776*INDEX(ProvSRP,MATCH(G776,ProvCode,0))*(1+PriceIndex)</f>
        <v/>
      </c>
      <c r="X776" s="47">
        <f>IF(GrossBasis="Wholesale",V776,W776)</f>
        <v/>
      </c>
      <c r="Y776" s="47">
        <f>R776*INDEX(FmtBlendedCogs,MATCH(F776,FmtName,0))</f>
        <v/>
      </c>
      <c r="Z776" s="47">
        <f>X776-Y776</f>
        <v/>
      </c>
    </row>
    <row r="777">
      <c r="A777" t="n">
        <v>34</v>
      </c>
      <c r="B777" s="44">
        <f>FiscalStart+(A777-1)*7</f>
        <v/>
      </c>
      <c r="C777">
        <f>TEXT(B777,"mmm yyyy")</f>
        <v/>
      </c>
      <c r="D777">
        <f>"Q"&amp;(INT((A777-1)/13)+1)</f>
        <v/>
      </c>
      <c r="E777" t="inlineStr">
        <is>
          <t>On Premise</t>
        </is>
      </c>
      <c r="F777">
        <f>IFERROR(INDEX(ChFormat,MATCH(E777,ChName,0)),"")</f>
        <v/>
      </c>
      <c r="G777" t="inlineStr">
        <is>
          <t>ON</t>
        </is>
      </c>
      <c r="H777">
        <f>IF(A777&lt;=NWeeks,1,0)</f>
        <v/>
      </c>
      <c r="I777">
        <f>INDEX(ChLaunch,MATCH(E777,ChName,0))</f>
        <v/>
      </c>
      <c r="J777">
        <f>INDEX(ChWeeksFull,MATCH(E777,ChName,0))</f>
        <v/>
      </c>
      <c r="K777">
        <f>INDEX(ChRamp,MATCH(E777,ChName,0))</f>
        <v/>
      </c>
      <c r="L777" s="45">
        <f>MIN(1,MAX(0,(A777-I777+1)*RampSpeed/J777))</f>
        <v/>
      </c>
      <c r="M777" s="45">
        <f>IF(A777&lt;I777,0,IF(K777="S-curve",L777*L777*(3-2*L777),L777))</f>
        <v/>
      </c>
      <c r="N777" s="45">
        <f>1+(INDEX(SeasonIdx,A777)-1)*SeasonAmp</f>
        <v/>
      </c>
      <c r="O777" s="45">
        <f>IFERROR(INDEX(PSPct,MATCH(E777&amp;"|"&amp;G777,PSKey,0)),0)</f>
        <v/>
      </c>
      <c r="P777" s="46">
        <f>INDEX(ChDoorVel,MATCH(E777,ChName,0))*CalibScalar*(1+VelocityUplift)</f>
        <v/>
      </c>
      <c r="Q777" s="46" t="n">
        <v>0</v>
      </c>
      <c r="R777" s="46">
        <f>P777*O777*M777*N777*H777</f>
        <v/>
      </c>
      <c r="S777" s="46">
        <f>R777*INDEX(FmtCansPerCase,MATCH(F777,FmtName,0))</f>
        <v/>
      </c>
      <c r="T777" s="46">
        <f>S777/INDEX(FmtCansPerPack,MATCH(F777,FmtName,0))</f>
        <v/>
      </c>
      <c r="U777" s="47">
        <f>INDEX(ChBaseCP,MATCH(E777,ChName,0))*(1+INDEX(ProvMod,MATCH(G777,ProvCode,0)))*(1+PriceIndex)</f>
        <v/>
      </c>
      <c r="V777" s="47">
        <f>R777*U777*INDEX(FmtBlendedPriceIdx,MATCH(F777,FmtName,0))</f>
        <v/>
      </c>
      <c r="W777" s="47">
        <f>T777*INDEX(ProvSRP,MATCH(G777,ProvCode,0))*(1+PriceIndex)</f>
        <v/>
      </c>
      <c r="X777" s="47">
        <f>IF(GrossBasis="Wholesale",V777,W777)</f>
        <v/>
      </c>
      <c r="Y777" s="47">
        <f>R777*INDEX(FmtBlendedCogs,MATCH(F777,FmtName,0))</f>
        <v/>
      </c>
      <c r="Z777" s="47">
        <f>X777-Y777</f>
        <v/>
      </c>
    </row>
    <row r="778">
      <c r="A778" t="n">
        <v>35</v>
      </c>
      <c r="B778" s="44">
        <f>FiscalStart+(A778-1)*7</f>
        <v/>
      </c>
      <c r="C778">
        <f>TEXT(B778,"mmm yyyy")</f>
        <v/>
      </c>
      <c r="D778">
        <f>"Q"&amp;(INT((A778-1)/13)+1)</f>
        <v/>
      </c>
      <c r="E778" t="inlineStr">
        <is>
          <t>On Premise</t>
        </is>
      </c>
      <c r="F778">
        <f>IFERROR(INDEX(ChFormat,MATCH(E778,ChName,0)),"")</f>
        <v/>
      </c>
      <c r="G778" t="inlineStr">
        <is>
          <t>ON</t>
        </is>
      </c>
      <c r="H778">
        <f>IF(A778&lt;=NWeeks,1,0)</f>
        <v/>
      </c>
      <c r="I778">
        <f>INDEX(ChLaunch,MATCH(E778,ChName,0))</f>
        <v/>
      </c>
      <c r="J778">
        <f>INDEX(ChWeeksFull,MATCH(E778,ChName,0))</f>
        <v/>
      </c>
      <c r="K778">
        <f>INDEX(ChRamp,MATCH(E778,ChName,0))</f>
        <v/>
      </c>
      <c r="L778" s="45">
        <f>MIN(1,MAX(0,(A778-I778+1)*RampSpeed/J778))</f>
        <v/>
      </c>
      <c r="M778" s="45">
        <f>IF(A778&lt;I778,0,IF(K778="S-curve",L778*L778*(3-2*L778),L778))</f>
        <v/>
      </c>
      <c r="N778" s="45">
        <f>1+(INDEX(SeasonIdx,A778)-1)*SeasonAmp</f>
        <v/>
      </c>
      <c r="O778" s="45">
        <f>IFERROR(INDEX(PSPct,MATCH(E778&amp;"|"&amp;G778,PSKey,0)),0)</f>
        <v/>
      </c>
      <c r="P778" s="46">
        <f>INDEX(ChDoorVel,MATCH(E778,ChName,0))*CalibScalar*(1+VelocityUplift)</f>
        <v/>
      </c>
      <c r="Q778" s="46" t="n">
        <v>0</v>
      </c>
      <c r="R778" s="46">
        <f>P778*O778*M778*N778*H778</f>
        <v/>
      </c>
      <c r="S778" s="46">
        <f>R778*INDEX(FmtCansPerCase,MATCH(F778,FmtName,0))</f>
        <v/>
      </c>
      <c r="T778" s="46">
        <f>S778/INDEX(FmtCansPerPack,MATCH(F778,FmtName,0))</f>
        <v/>
      </c>
      <c r="U778" s="47">
        <f>INDEX(ChBaseCP,MATCH(E778,ChName,0))*(1+INDEX(ProvMod,MATCH(G778,ProvCode,0)))*(1+PriceIndex)</f>
        <v/>
      </c>
      <c r="V778" s="47">
        <f>R778*U778*INDEX(FmtBlendedPriceIdx,MATCH(F778,FmtName,0))</f>
        <v/>
      </c>
      <c r="W778" s="47">
        <f>T778*INDEX(ProvSRP,MATCH(G778,ProvCode,0))*(1+PriceIndex)</f>
        <v/>
      </c>
      <c r="X778" s="47">
        <f>IF(GrossBasis="Wholesale",V778,W778)</f>
        <v/>
      </c>
      <c r="Y778" s="47">
        <f>R778*INDEX(FmtBlendedCogs,MATCH(F778,FmtName,0))</f>
        <v/>
      </c>
      <c r="Z778" s="47">
        <f>X778-Y778</f>
        <v/>
      </c>
    </row>
    <row r="779">
      <c r="A779" t="n">
        <v>36</v>
      </c>
      <c r="B779" s="44">
        <f>FiscalStart+(A779-1)*7</f>
        <v/>
      </c>
      <c r="C779">
        <f>TEXT(B779,"mmm yyyy")</f>
        <v/>
      </c>
      <c r="D779">
        <f>"Q"&amp;(INT((A779-1)/13)+1)</f>
        <v/>
      </c>
      <c r="E779" t="inlineStr">
        <is>
          <t>On Premise</t>
        </is>
      </c>
      <c r="F779">
        <f>IFERROR(INDEX(ChFormat,MATCH(E779,ChName,0)),"")</f>
        <v/>
      </c>
      <c r="G779" t="inlineStr">
        <is>
          <t>ON</t>
        </is>
      </c>
      <c r="H779">
        <f>IF(A779&lt;=NWeeks,1,0)</f>
        <v/>
      </c>
      <c r="I779">
        <f>INDEX(ChLaunch,MATCH(E779,ChName,0))</f>
        <v/>
      </c>
      <c r="J779">
        <f>INDEX(ChWeeksFull,MATCH(E779,ChName,0))</f>
        <v/>
      </c>
      <c r="K779">
        <f>INDEX(ChRamp,MATCH(E779,ChName,0))</f>
        <v/>
      </c>
      <c r="L779" s="45">
        <f>MIN(1,MAX(0,(A779-I779+1)*RampSpeed/J779))</f>
        <v/>
      </c>
      <c r="M779" s="45">
        <f>IF(A779&lt;I779,0,IF(K779="S-curve",L779*L779*(3-2*L779),L779))</f>
        <v/>
      </c>
      <c r="N779" s="45">
        <f>1+(INDEX(SeasonIdx,A779)-1)*SeasonAmp</f>
        <v/>
      </c>
      <c r="O779" s="45">
        <f>IFERROR(INDEX(PSPct,MATCH(E779&amp;"|"&amp;G779,PSKey,0)),0)</f>
        <v/>
      </c>
      <c r="P779" s="46">
        <f>INDEX(ChDoorVel,MATCH(E779,ChName,0))*CalibScalar*(1+VelocityUplift)</f>
        <v/>
      </c>
      <c r="Q779" s="46" t="n">
        <v>0</v>
      </c>
      <c r="R779" s="46">
        <f>P779*O779*M779*N779*H779</f>
        <v/>
      </c>
      <c r="S779" s="46">
        <f>R779*INDEX(FmtCansPerCase,MATCH(F779,FmtName,0))</f>
        <v/>
      </c>
      <c r="T779" s="46">
        <f>S779/INDEX(FmtCansPerPack,MATCH(F779,FmtName,0))</f>
        <v/>
      </c>
      <c r="U779" s="47">
        <f>INDEX(ChBaseCP,MATCH(E779,ChName,0))*(1+INDEX(ProvMod,MATCH(G779,ProvCode,0)))*(1+PriceIndex)</f>
        <v/>
      </c>
      <c r="V779" s="47">
        <f>R779*U779*INDEX(FmtBlendedPriceIdx,MATCH(F779,FmtName,0))</f>
        <v/>
      </c>
      <c r="W779" s="47">
        <f>T779*INDEX(ProvSRP,MATCH(G779,ProvCode,0))*(1+PriceIndex)</f>
        <v/>
      </c>
      <c r="X779" s="47">
        <f>IF(GrossBasis="Wholesale",V779,W779)</f>
        <v/>
      </c>
      <c r="Y779" s="47">
        <f>R779*INDEX(FmtBlendedCogs,MATCH(F779,FmtName,0))</f>
        <v/>
      </c>
      <c r="Z779" s="47">
        <f>X779-Y779</f>
        <v/>
      </c>
    </row>
    <row r="780">
      <c r="A780" t="n">
        <v>37</v>
      </c>
      <c r="B780" s="44">
        <f>FiscalStart+(A780-1)*7</f>
        <v/>
      </c>
      <c r="C780">
        <f>TEXT(B780,"mmm yyyy")</f>
        <v/>
      </c>
      <c r="D780">
        <f>"Q"&amp;(INT((A780-1)/13)+1)</f>
        <v/>
      </c>
      <c r="E780" t="inlineStr">
        <is>
          <t>On Premise</t>
        </is>
      </c>
      <c r="F780">
        <f>IFERROR(INDEX(ChFormat,MATCH(E780,ChName,0)),"")</f>
        <v/>
      </c>
      <c r="G780" t="inlineStr">
        <is>
          <t>ON</t>
        </is>
      </c>
      <c r="H780">
        <f>IF(A780&lt;=NWeeks,1,0)</f>
        <v/>
      </c>
      <c r="I780">
        <f>INDEX(ChLaunch,MATCH(E780,ChName,0))</f>
        <v/>
      </c>
      <c r="J780">
        <f>INDEX(ChWeeksFull,MATCH(E780,ChName,0))</f>
        <v/>
      </c>
      <c r="K780">
        <f>INDEX(ChRamp,MATCH(E780,ChName,0))</f>
        <v/>
      </c>
      <c r="L780" s="45">
        <f>MIN(1,MAX(0,(A780-I780+1)*RampSpeed/J780))</f>
        <v/>
      </c>
      <c r="M780" s="45">
        <f>IF(A780&lt;I780,0,IF(K780="S-curve",L780*L780*(3-2*L780),L780))</f>
        <v/>
      </c>
      <c r="N780" s="45">
        <f>1+(INDEX(SeasonIdx,A780)-1)*SeasonAmp</f>
        <v/>
      </c>
      <c r="O780" s="45">
        <f>IFERROR(INDEX(PSPct,MATCH(E780&amp;"|"&amp;G780,PSKey,0)),0)</f>
        <v/>
      </c>
      <c r="P780" s="46">
        <f>INDEX(ChDoorVel,MATCH(E780,ChName,0))*CalibScalar*(1+VelocityUplift)</f>
        <v/>
      </c>
      <c r="Q780" s="46" t="n">
        <v>0</v>
      </c>
      <c r="R780" s="46">
        <f>P780*O780*M780*N780*H780</f>
        <v/>
      </c>
      <c r="S780" s="46">
        <f>R780*INDEX(FmtCansPerCase,MATCH(F780,FmtName,0))</f>
        <v/>
      </c>
      <c r="T780" s="46">
        <f>S780/INDEX(FmtCansPerPack,MATCH(F780,FmtName,0))</f>
        <v/>
      </c>
      <c r="U780" s="47">
        <f>INDEX(ChBaseCP,MATCH(E780,ChName,0))*(1+INDEX(ProvMod,MATCH(G780,ProvCode,0)))*(1+PriceIndex)</f>
        <v/>
      </c>
      <c r="V780" s="47">
        <f>R780*U780*INDEX(FmtBlendedPriceIdx,MATCH(F780,FmtName,0))</f>
        <v/>
      </c>
      <c r="W780" s="47">
        <f>T780*INDEX(ProvSRP,MATCH(G780,ProvCode,0))*(1+PriceIndex)</f>
        <v/>
      </c>
      <c r="X780" s="47">
        <f>IF(GrossBasis="Wholesale",V780,W780)</f>
        <v/>
      </c>
      <c r="Y780" s="47">
        <f>R780*INDEX(FmtBlendedCogs,MATCH(F780,FmtName,0))</f>
        <v/>
      </c>
      <c r="Z780" s="47">
        <f>X780-Y780</f>
        <v/>
      </c>
    </row>
    <row r="781">
      <c r="A781" t="n">
        <v>38</v>
      </c>
      <c r="B781" s="44">
        <f>FiscalStart+(A781-1)*7</f>
        <v/>
      </c>
      <c r="C781">
        <f>TEXT(B781,"mmm yyyy")</f>
        <v/>
      </c>
      <c r="D781">
        <f>"Q"&amp;(INT((A781-1)/13)+1)</f>
        <v/>
      </c>
      <c r="E781" t="inlineStr">
        <is>
          <t>On Premise</t>
        </is>
      </c>
      <c r="F781">
        <f>IFERROR(INDEX(ChFormat,MATCH(E781,ChName,0)),"")</f>
        <v/>
      </c>
      <c r="G781" t="inlineStr">
        <is>
          <t>ON</t>
        </is>
      </c>
      <c r="H781">
        <f>IF(A781&lt;=NWeeks,1,0)</f>
        <v/>
      </c>
      <c r="I781">
        <f>INDEX(ChLaunch,MATCH(E781,ChName,0))</f>
        <v/>
      </c>
      <c r="J781">
        <f>INDEX(ChWeeksFull,MATCH(E781,ChName,0))</f>
        <v/>
      </c>
      <c r="K781">
        <f>INDEX(ChRamp,MATCH(E781,ChName,0))</f>
        <v/>
      </c>
      <c r="L781" s="45">
        <f>MIN(1,MAX(0,(A781-I781+1)*RampSpeed/J781))</f>
        <v/>
      </c>
      <c r="M781" s="45">
        <f>IF(A781&lt;I781,0,IF(K781="S-curve",L781*L781*(3-2*L781),L781))</f>
        <v/>
      </c>
      <c r="N781" s="45">
        <f>1+(INDEX(SeasonIdx,A781)-1)*SeasonAmp</f>
        <v/>
      </c>
      <c r="O781" s="45">
        <f>IFERROR(INDEX(PSPct,MATCH(E781&amp;"|"&amp;G781,PSKey,0)),0)</f>
        <v/>
      </c>
      <c r="P781" s="46">
        <f>INDEX(ChDoorVel,MATCH(E781,ChName,0))*CalibScalar*(1+VelocityUplift)</f>
        <v/>
      </c>
      <c r="Q781" s="46" t="n">
        <v>0</v>
      </c>
      <c r="R781" s="46">
        <f>P781*O781*M781*N781*H781</f>
        <v/>
      </c>
      <c r="S781" s="46">
        <f>R781*INDEX(FmtCansPerCase,MATCH(F781,FmtName,0))</f>
        <v/>
      </c>
      <c r="T781" s="46">
        <f>S781/INDEX(FmtCansPerPack,MATCH(F781,FmtName,0))</f>
        <v/>
      </c>
      <c r="U781" s="47">
        <f>INDEX(ChBaseCP,MATCH(E781,ChName,0))*(1+INDEX(ProvMod,MATCH(G781,ProvCode,0)))*(1+PriceIndex)</f>
        <v/>
      </c>
      <c r="V781" s="47">
        <f>R781*U781*INDEX(FmtBlendedPriceIdx,MATCH(F781,FmtName,0))</f>
        <v/>
      </c>
      <c r="W781" s="47">
        <f>T781*INDEX(ProvSRP,MATCH(G781,ProvCode,0))*(1+PriceIndex)</f>
        <v/>
      </c>
      <c r="X781" s="47">
        <f>IF(GrossBasis="Wholesale",V781,W781)</f>
        <v/>
      </c>
      <c r="Y781" s="47">
        <f>R781*INDEX(FmtBlendedCogs,MATCH(F781,FmtName,0))</f>
        <v/>
      </c>
      <c r="Z781" s="47">
        <f>X781-Y781</f>
        <v/>
      </c>
    </row>
    <row r="782">
      <c r="A782" t="n">
        <v>39</v>
      </c>
      <c r="B782" s="44">
        <f>FiscalStart+(A782-1)*7</f>
        <v/>
      </c>
      <c r="C782">
        <f>TEXT(B782,"mmm yyyy")</f>
        <v/>
      </c>
      <c r="D782">
        <f>"Q"&amp;(INT((A782-1)/13)+1)</f>
        <v/>
      </c>
      <c r="E782" t="inlineStr">
        <is>
          <t>On Premise</t>
        </is>
      </c>
      <c r="F782">
        <f>IFERROR(INDEX(ChFormat,MATCH(E782,ChName,0)),"")</f>
        <v/>
      </c>
      <c r="G782" t="inlineStr">
        <is>
          <t>ON</t>
        </is>
      </c>
      <c r="H782">
        <f>IF(A782&lt;=NWeeks,1,0)</f>
        <v/>
      </c>
      <c r="I782">
        <f>INDEX(ChLaunch,MATCH(E782,ChName,0))</f>
        <v/>
      </c>
      <c r="J782">
        <f>INDEX(ChWeeksFull,MATCH(E782,ChName,0))</f>
        <v/>
      </c>
      <c r="K782">
        <f>INDEX(ChRamp,MATCH(E782,ChName,0))</f>
        <v/>
      </c>
      <c r="L782" s="45">
        <f>MIN(1,MAX(0,(A782-I782+1)*RampSpeed/J782))</f>
        <v/>
      </c>
      <c r="M782" s="45">
        <f>IF(A782&lt;I782,0,IF(K782="S-curve",L782*L782*(3-2*L782),L782))</f>
        <v/>
      </c>
      <c r="N782" s="45">
        <f>1+(INDEX(SeasonIdx,A782)-1)*SeasonAmp</f>
        <v/>
      </c>
      <c r="O782" s="45">
        <f>IFERROR(INDEX(PSPct,MATCH(E782&amp;"|"&amp;G782,PSKey,0)),0)</f>
        <v/>
      </c>
      <c r="P782" s="46">
        <f>INDEX(ChDoorVel,MATCH(E782,ChName,0))*CalibScalar*(1+VelocityUplift)</f>
        <v/>
      </c>
      <c r="Q782" s="46" t="n">
        <v>0</v>
      </c>
      <c r="R782" s="46">
        <f>P782*O782*M782*N782*H782</f>
        <v/>
      </c>
      <c r="S782" s="46">
        <f>R782*INDEX(FmtCansPerCase,MATCH(F782,FmtName,0))</f>
        <v/>
      </c>
      <c r="T782" s="46">
        <f>S782/INDEX(FmtCansPerPack,MATCH(F782,FmtName,0))</f>
        <v/>
      </c>
      <c r="U782" s="47">
        <f>INDEX(ChBaseCP,MATCH(E782,ChName,0))*(1+INDEX(ProvMod,MATCH(G782,ProvCode,0)))*(1+PriceIndex)</f>
        <v/>
      </c>
      <c r="V782" s="47">
        <f>R782*U782*INDEX(FmtBlendedPriceIdx,MATCH(F782,FmtName,0))</f>
        <v/>
      </c>
      <c r="W782" s="47">
        <f>T782*INDEX(ProvSRP,MATCH(G782,ProvCode,0))*(1+PriceIndex)</f>
        <v/>
      </c>
      <c r="X782" s="47">
        <f>IF(GrossBasis="Wholesale",V782,W782)</f>
        <v/>
      </c>
      <c r="Y782" s="47">
        <f>R782*INDEX(FmtBlendedCogs,MATCH(F782,FmtName,0))</f>
        <v/>
      </c>
      <c r="Z782" s="47">
        <f>X782-Y782</f>
        <v/>
      </c>
    </row>
    <row r="783">
      <c r="A783" t="n">
        <v>40</v>
      </c>
      <c r="B783" s="44">
        <f>FiscalStart+(A783-1)*7</f>
        <v/>
      </c>
      <c r="C783">
        <f>TEXT(B783,"mmm yyyy")</f>
        <v/>
      </c>
      <c r="D783">
        <f>"Q"&amp;(INT((A783-1)/13)+1)</f>
        <v/>
      </c>
      <c r="E783" t="inlineStr">
        <is>
          <t>On Premise</t>
        </is>
      </c>
      <c r="F783">
        <f>IFERROR(INDEX(ChFormat,MATCH(E783,ChName,0)),"")</f>
        <v/>
      </c>
      <c r="G783" t="inlineStr">
        <is>
          <t>ON</t>
        </is>
      </c>
      <c r="H783">
        <f>IF(A783&lt;=NWeeks,1,0)</f>
        <v/>
      </c>
      <c r="I783">
        <f>INDEX(ChLaunch,MATCH(E783,ChName,0))</f>
        <v/>
      </c>
      <c r="J783">
        <f>INDEX(ChWeeksFull,MATCH(E783,ChName,0))</f>
        <v/>
      </c>
      <c r="K783">
        <f>INDEX(ChRamp,MATCH(E783,ChName,0))</f>
        <v/>
      </c>
      <c r="L783" s="45">
        <f>MIN(1,MAX(0,(A783-I783+1)*RampSpeed/J783))</f>
        <v/>
      </c>
      <c r="M783" s="45">
        <f>IF(A783&lt;I783,0,IF(K783="S-curve",L783*L783*(3-2*L783),L783))</f>
        <v/>
      </c>
      <c r="N783" s="45">
        <f>1+(INDEX(SeasonIdx,A783)-1)*SeasonAmp</f>
        <v/>
      </c>
      <c r="O783" s="45">
        <f>IFERROR(INDEX(PSPct,MATCH(E783&amp;"|"&amp;G783,PSKey,0)),0)</f>
        <v/>
      </c>
      <c r="P783" s="46">
        <f>INDEX(ChDoorVel,MATCH(E783,ChName,0))*CalibScalar*(1+VelocityUplift)</f>
        <v/>
      </c>
      <c r="Q783" s="46" t="n">
        <v>0</v>
      </c>
      <c r="R783" s="46">
        <f>P783*O783*M783*N783*H783</f>
        <v/>
      </c>
      <c r="S783" s="46">
        <f>R783*INDEX(FmtCansPerCase,MATCH(F783,FmtName,0))</f>
        <v/>
      </c>
      <c r="T783" s="46">
        <f>S783/INDEX(FmtCansPerPack,MATCH(F783,FmtName,0))</f>
        <v/>
      </c>
      <c r="U783" s="47">
        <f>INDEX(ChBaseCP,MATCH(E783,ChName,0))*(1+INDEX(ProvMod,MATCH(G783,ProvCode,0)))*(1+PriceIndex)</f>
        <v/>
      </c>
      <c r="V783" s="47">
        <f>R783*U783*INDEX(FmtBlendedPriceIdx,MATCH(F783,FmtName,0))</f>
        <v/>
      </c>
      <c r="W783" s="47">
        <f>T783*INDEX(ProvSRP,MATCH(G783,ProvCode,0))*(1+PriceIndex)</f>
        <v/>
      </c>
      <c r="X783" s="47">
        <f>IF(GrossBasis="Wholesale",V783,W783)</f>
        <v/>
      </c>
      <c r="Y783" s="47">
        <f>R783*INDEX(FmtBlendedCogs,MATCH(F783,FmtName,0))</f>
        <v/>
      </c>
      <c r="Z783" s="47">
        <f>X783-Y783</f>
        <v/>
      </c>
    </row>
    <row r="784">
      <c r="A784" t="n">
        <v>41</v>
      </c>
      <c r="B784" s="44">
        <f>FiscalStart+(A784-1)*7</f>
        <v/>
      </c>
      <c r="C784">
        <f>TEXT(B784,"mmm yyyy")</f>
        <v/>
      </c>
      <c r="D784">
        <f>"Q"&amp;(INT((A784-1)/13)+1)</f>
        <v/>
      </c>
      <c r="E784" t="inlineStr">
        <is>
          <t>On Premise</t>
        </is>
      </c>
      <c r="F784">
        <f>IFERROR(INDEX(ChFormat,MATCH(E784,ChName,0)),"")</f>
        <v/>
      </c>
      <c r="G784" t="inlineStr">
        <is>
          <t>ON</t>
        </is>
      </c>
      <c r="H784">
        <f>IF(A784&lt;=NWeeks,1,0)</f>
        <v/>
      </c>
      <c r="I784">
        <f>INDEX(ChLaunch,MATCH(E784,ChName,0))</f>
        <v/>
      </c>
      <c r="J784">
        <f>INDEX(ChWeeksFull,MATCH(E784,ChName,0))</f>
        <v/>
      </c>
      <c r="K784">
        <f>INDEX(ChRamp,MATCH(E784,ChName,0))</f>
        <v/>
      </c>
      <c r="L784" s="45">
        <f>MIN(1,MAX(0,(A784-I784+1)*RampSpeed/J784))</f>
        <v/>
      </c>
      <c r="M784" s="45">
        <f>IF(A784&lt;I784,0,IF(K784="S-curve",L784*L784*(3-2*L784),L784))</f>
        <v/>
      </c>
      <c r="N784" s="45">
        <f>1+(INDEX(SeasonIdx,A784)-1)*SeasonAmp</f>
        <v/>
      </c>
      <c r="O784" s="45">
        <f>IFERROR(INDEX(PSPct,MATCH(E784&amp;"|"&amp;G784,PSKey,0)),0)</f>
        <v/>
      </c>
      <c r="P784" s="46">
        <f>INDEX(ChDoorVel,MATCH(E784,ChName,0))*CalibScalar*(1+VelocityUplift)</f>
        <v/>
      </c>
      <c r="Q784" s="46" t="n">
        <v>0</v>
      </c>
      <c r="R784" s="46">
        <f>P784*O784*M784*N784*H784</f>
        <v/>
      </c>
      <c r="S784" s="46">
        <f>R784*INDEX(FmtCansPerCase,MATCH(F784,FmtName,0))</f>
        <v/>
      </c>
      <c r="T784" s="46">
        <f>S784/INDEX(FmtCansPerPack,MATCH(F784,FmtName,0))</f>
        <v/>
      </c>
      <c r="U784" s="47">
        <f>INDEX(ChBaseCP,MATCH(E784,ChName,0))*(1+INDEX(ProvMod,MATCH(G784,ProvCode,0)))*(1+PriceIndex)</f>
        <v/>
      </c>
      <c r="V784" s="47">
        <f>R784*U784*INDEX(FmtBlendedPriceIdx,MATCH(F784,FmtName,0))</f>
        <v/>
      </c>
      <c r="W784" s="47">
        <f>T784*INDEX(ProvSRP,MATCH(G784,ProvCode,0))*(1+PriceIndex)</f>
        <v/>
      </c>
      <c r="X784" s="47">
        <f>IF(GrossBasis="Wholesale",V784,W784)</f>
        <v/>
      </c>
      <c r="Y784" s="47">
        <f>R784*INDEX(FmtBlendedCogs,MATCH(F784,FmtName,0))</f>
        <v/>
      </c>
      <c r="Z784" s="47">
        <f>X784-Y784</f>
        <v/>
      </c>
    </row>
    <row r="785">
      <c r="A785" t="n">
        <v>42</v>
      </c>
      <c r="B785" s="44">
        <f>FiscalStart+(A785-1)*7</f>
        <v/>
      </c>
      <c r="C785">
        <f>TEXT(B785,"mmm yyyy")</f>
        <v/>
      </c>
      <c r="D785">
        <f>"Q"&amp;(INT((A785-1)/13)+1)</f>
        <v/>
      </c>
      <c r="E785" t="inlineStr">
        <is>
          <t>On Premise</t>
        </is>
      </c>
      <c r="F785">
        <f>IFERROR(INDEX(ChFormat,MATCH(E785,ChName,0)),"")</f>
        <v/>
      </c>
      <c r="G785" t="inlineStr">
        <is>
          <t>ON</t>
        </is>
      </c>
      <c r="H785">
        <f>IF(A785&lt;=NWeeks,1,0)</f>
        <v/>
      </c>
      <c r="I785">
        <f>INDEX(ChLaunch,MATCH(E785,ChName,0))</f>
        <v/>
      </c>
      <c r="J785">
        <f>INDEX(ChWeeksFull,MATCH(E785,ChName,0))</f>
        <v/>
      </c>
      <c r="K785">
        <f>INDEX(ChRamp,MATCH(E785,ChName,0))</f>
        <v/>
      </c>
      <c r="L785" s="45">
        <f>MIN(1,MAX(0,(A785-I785+1)*RampSpeed/J785))</f>
        <v/>
      </c>
      <c r="M785" s="45">
        <f>IF(A785&lt;I785,0,IF(K785="S-curve",L785*L785*(3-2*L785),L785))</f>
        <v/>
      </c>
      <c r="N785" s="45">
        <f>1+(INDEX(SeasonIdx,A785)-1)*SeasonAmp</f>
        <v/>
      </c>
      <c r="O785" s="45">
        <f>IFERROR(INDEX(PSPct,MATCH(E785&amp;"|"&amp;G785,PSKey,0)),0)</f>
        <v/>
      </c>
      <c r="P785" s="46">
        <f>INDEX(ChDoorVel,MATCH(E785,ChName,0))*CalibScalar*(1+VelocityUplift)</f>
        <v/>
      </c>
      <c r="Q785" s="46" t="n">
        <v>0</v>
      </c>
      <c r="R785" s="46">
        <f>P785*O785*M785*N785*H785</f>
        <v/>
      </c>
      <c r="S785" s="46">
        <f>R785*INDEX(FmtCansPerCase,MATCH(F785,FmtName,0))</f>
        <v/>
      </c>
      <c r="T785" s="46">
        <f>S785/INDEX(FmtCansPerPack,MATCH(F785,FmtName,0))</f>
        <v/>
      </c>
      <c r="U785" s="47">
        <f>INDEX(ChBaseCP,MATCH(E785,ChName,0))*(1+INDEX(ProvMod,MATCH(G785,ProvCode,0)))*(1+PriceIndex)</f>
        <v/>
      </c>
      <c r="V785" s="47">
        <f>R785*U785*INDEX(FmtBlendedPriceIdx,MATCH(F785,FmtName,0))</f>
        <v/>
      </c>
      <c r="W785" s="47">
        <f>T785*INDEX(ProvSRP,MATCH(G785,ProvCode,0))*(1+PriceIndex)</f>
        <v/>
      </c>
      <c r="X785" s="47">
        <f>IF(GrossBasis="Wholesale",V785,W785)</f>
        <v/>
      </c>
      <c r="Y785" s="47">
        <f>R785*INDEX(FmtBlendedCogs,MATCH(F785,FmtName,0))</f>
        <v/>
      </c>
      <c r="Z785" s="47">
        <f>X785-Y785</f>
        <v/>
      </c>
    </row>
    <row r="786">
      <c r="A786" t="n">
        <v>43</v>
      </c>
      <c r="B786" s="44">
        <f>FiscalStart+(A786-1)*7</f>
        <v/>
      </c>
      <c r="C786">
        <f>TEXT(B786,"mmm yyyy")</f>
        <v/>
      </c>
      <c r="D786">
        <f>"Q"&amp;(INT((A786-1)/13)+1)</f>
        <v/>
      </c>
      <c r="E786" t="inlineStr">
        <is>
          <t>On Premise</t>
        </is>
      </c>
      <c r="F786">
        <f>IFERROR(INDEX(ChFormat,MATCH(E786,ChName,0)),"")</f>
        <v/>
      </c>
      <c r="G786" t="inlineStr">
        <is>
          <t>ON</t>
        </is>
      </c>
      <c r="H786">
        <f>IF(A786&lt;=NWeeks,1,0)</f>
        <v/>
      </c>
      <c r="I786">
        <f>INDEX(ChLaunch,MATCH(E786,ChName,0))</f>
        <v/>
      </c>
      <c r="J786">
        <f>INDEX(ChWeeksFull,MATCH(E786,ChName,0))</f>
        <v/>
      </c>
      <c r="K786">
        <f>INDEX(ChRamp,MATCH(E786,ChName,0))</f>
        <v/>
      </c>
      <c r="L786" s="45">
        <f>MIN(1,MAX(0,(A786-I786+1)*RampSpeed/J786))</f>
        <v/>
      </c>
      <c r="M786" s="45">
        <f>IF(A786&lt;I786,0,IF(K786="S-curve",L786*L786*(3-2*L786),L786))</f>
        <v/>
      </c>
      <c r="N786" s="45">
        <f>1+(INDEX(SeasonIdx,A786)-1)*SeasonAmp</f>
        <v/>
      </c>
      <c r="O786" s="45">
        <f>IFERROR(INDEX(PSPct,MATCH(E786&amp;"|"&amp;G786,PSKey,0)),0)</f>
        <v/>
      </c>
      <c r="P786" s="46">
        <f>INDEX(ChDoorVel,MATCH(E786,ChName,0))*CalibScalar*(1+VelocityUplift)</f>
        <v/>
      </c>
      <c r="Q786" s="46" t="n">
        <v>0</v>
      </c>
      <c r="R786" s="46">
        <f>P786*O786*M786*N786*H786</f>
        <v/>
      </c>
      <c r="S786" s="46">
        <f>R786*INDEX(FmtCansPerCase,MATCH(F786,FmtName,0))</f>
        <v/>
      </c>
      <c r="T786" s="46">
        <f>S786/INDEX(FmtCansPerPack,MATCH(F786,FmtName,0))</f>
        <v/>
      </c>
      <c r="U786" s="47">
        <f>INDEX(ChBaseCP,MATCH(E786,ChName,0))*(1+INDEX(ProvMod,MATCH(G786,ProvCode,0)))*(1+PriceIndex)</f>
        <v/>
      </c>
      <c r="V786" s="47">
        <f>R786*U786*INDEX(FmtBlendedPriceIdx,MATCH(F786,FmtName,0))</f>
        <v/>
      </c>
      <c r="W786" s="47">
        <f>T786*INDEX(ProvSRP,MATCH(G786,ProvCode,0))*(1+PriceIndex)</f>
        <v/>
      </c>
      <c r="X786" s="47">
        <f>IF(GrossBasis="Wholesale",V786,W786)</f>
        <v/>
      </c>
      <c r="Y786" s="47">
        <f>R786*INDEX(FmtBlendedCogs,MATCH(F786,FmtName,0))</f>
        <v/>
      </c>
      <c r="Z786" s="47">
        <f>X786-Y786</f>
        <v/>
      </c>
    </row>
    <row r="787">
      <c r="A787" t="n">
        <v>44</v>
      </c>
      <c r="B787" s="44">
        <f>FiscalStart+(A787-1)*7</f>
        <v/>
      </c>
      <c r="C787">
        <f>TEXT(B787,"mmm yyyy")</f>
        <v/>
      </c>
      <c r="D787">
        <f>"Q"&amp;(INT((A787-1)/13)+1)</f>
        <v/>
      </c>
      <c r="E787" t="inlineStr">
        <is>
          <t>On Premise</t>
        </is>
      </c>
      <c r="F787">
        <f>IFERROR(INDEX(ChFormat,MATCH(E787,ChName,0)),"")</f>
        <v/>
      </c>
      <c r="G787" t="inlineStr">
        <is>
          <t>ON</t>
        </is>
      </c>
      <c r="H787">
        <f>IF(A787&lt;=NWeeks,1,0)</f>
        <v/>
      </c>
      <c r="I787">
        <f>INDEX(ChLaunch,MATCH(E787,ChName,0))</f>
        <v/>
      </c>
      <c r="J787">
        <f>INDEX(ChWeeksFull,MATCH(E787,ChName,0))</f>
        <v/>
      </c>
      <c r="K787">
        <f>INDEX(ChRamp,MATCH(E787,ChName,0))</f>
        <v/>
      </c>
      <c r="L787" s="45">
        <f>MIN(1,MAX(0,(A787-I787+1)*RampSpeed/J787))</f>
        <v/>
      </c>
      <c r="M787" s="45">
        <f>IF(A787&lt;I787,0,IF(K787="S-curve",L787*L787*(3-2*L787),L787))</f>
        <v/>
      </c>
      <c r="N787" s="45">
        <f>1+(INDEX(SeasonIdx,A787)-1)*SeasonAmp</f>
        <v/>
      </c>
      <c r="O787" s="45">
        <f>IFERROR(INDEX(PSPct,MATCH(E787&amp;"|"&amp;G787,PSKey,0)),0)</f>
        <v/>
      </c>
      <c r="P787" s="46">
        <f>INDEX(ChDoorVel,MATCH(E787,ChName,0))*CalibScalar*(1+VelocityUplift)</f>
        <v/>
      </c>
      <c r="Q787" s="46" t="n">
        <v>0</v>
      </c>
      <c r="R787" s="46">
        <f>P787*O787*M787*N787*H787</f>
        <v/>
      </c>
      <c r="S787" s="46">
        <f>R787*INDEX(FmtCansPerCase,MATCH(F787,FmtName,0))</f>
        <v/>
      </c>
      <c r="T787" s="46">
        <f>S787/INDEX(FmtCansPerPack,MATCH(F787,FmtName,0))</f>
        <v/>
      </c>
      <c r="U787" s="47">
        <f>INDEX(ChBaseCP,MATCH(E787,ChName,0))*(1+INDEX(ProvMod,MATCH(G787,ProvCode,0)))*(1+PriceIndex)</f>
        <v/>
      </c>
      <c r="V787" s="47">
        <f>R787*U787*INDEX(FmtBlendedPriceIdx,MATCH(F787,FmtName,0))</f>
        <v/>
      </c>
      <c r="W787" s="47">
        <f>T787*INDEX(ProvSRP,MATCH(G787,ProvCode,0))*(1+PriceIndex)</f>
        <v/>
      </c>
      <c r="X787" s="47">
        <f>IF(GrossBasis="Wholesale",V787,W787)</f>
        <v/>
      </c>
      <c r="Y787" s="47">
        <f>R787*INDEX(FmtBlendedCogs,MATCH(F787,FmtName,0))</f>
        <v/>
      </c>
      <c r="Z787" s="47">
        <f>X787-Y787</f>
        <v/>
      </c>
    </row>
    <row r="788">
      <c r="A788" t="n">
        <v>45</v>
      </c>
      <c r="B788" s="44">
        <f>FiscalStart+(A788-1)*7</f>
        <v/>
      </c>
      <c r="C788">
        <f>TEXT(B788,"mmm yyyy")</f>
        <v/>
      </c>
      <c r="D788">
        <f>"Q"&amp;(INT((A788-1)/13)+1)</f>
        <v/>
      </c>
      <c r="E788" t="inlineStr">
        <is>
          <t>On Premise</t>
        </is>
      </c>
      <c r="F788">
        <f>IFERROR(INDEX(ChFormat,MATCH(E788,ChName,0)),"")</f>
        <v/>
      </c>
      <c r="G788" t="inlineStr">
        <is>
          <t>ON</t>
        </is>
      </c>
      <c r="H788">
        <f>IF(A788&lt;=NWeeks,1,0)</f>
        <v/>
      </c>
      <c r="I788">
        <f>INDEX(ChLaunch,MATCH(E788,ChName,0))</f>
        <v/>
      </c>
      <c r="J788">
        <f>INDEX(ChWeeksFull,MATCH(E788,ChName,0))</f>
        <v/>
      </c>
      <c r="K788">
        <f>INDEX(ChRamp,MATCH(E788,ChName,0))</f>
        <v/>
      </c>
      <c r="L788" s="45">
        <f>MIN(1,MAX(0,(A788-I788+1)*RampSpeed/J788))</f>
        <v/>
      </c>
      <c r="M788" s="45">
        <f>IF(A788&lt;I788,0,IF(K788="S-curve",L788*L788*(3-2*L788),L788))</f>
        <v/>
      </c>
      <c r="N788" s="45">
        <f>1+(INDEX(SeasonIdx,A788)-1)*SeasonAmp</f>
        <v/>
      </c>
      <c r="O788" s="45">
        <f>IFERROR(INDEX(PSPct,MATCH(E788&amp;"|"&amp;G788,PSKey,0)),0)</f>
        <v/>
      </c>
      <c r="P788" s="46">
        <f>INDEX(ChDoorVel,MATCH(E788,ChName,0))*CalibScalar*(1+VelocityUplift)</f>
        <v/>
      </c>
      <c r="Q788" s="46" t="n">
        <v>0</v>
      </c>
      <c r="R788" s="46">
        <f>P788*O788*M788*N788*H788</f>
        <v/>
      </c>
      <c r="S788" s="46">
        <f>R788*INDEX(FmtCansPerCase,MATCH(F788,FmtName,0))</f>
        <v/>
      </c>
      <c r="T788" s="46">
        <f>S788/INDEX(FmtCansPerPack,MATCH(F788,FmtName,0))</f>
        <v/>
      </c>
      <c r="U788" s="47">
        <f>INDEX(ChBaseCP,MATCH(E788,ChName,0))*(1+INDEX(ProvMod,MATCH(G788,ProvCode,0)))*(1+PriceIndex)</f>
        <v/>
      </c>
      <c r="V788" s="47">
        <f>R788*U788*INDEX(FmtBlendedPriceIdx,MATCH(F788,FmtName,0))</f>
        <v/>
      </c>
      <c r="W788" s="47">
        <f>T788*INDEX(ProvSRP,MATCH(G788,ProvCode,0))*(1+PriceIndex)</f>
        <v/>
      </c>
      <c r="X788" s="47">
        <f>IF(GrossBasis="Wholesale",V788,W788)</f>
        <v/>
      </c>
      <c r="Y788" s="47">
        <f>R788*INDEX(FmtBlendedCogs,MATCH(F788,FmtName,0))</f>
        <v/>
      </c>
      <c r="Z788" s="47">
        <f>X788-Y788</f>
        <v/>
      </c>
    </row>
    <row r="789">
      <c r="A789" t="n">
        <v>46</v>
      </c>
      <c r="B789" s="44">
        <f>FiscalStart+(A789-1)*7</f>
        <v/>
      </c>
      <c r="C789">
        <f>TEXT(B789,"mmm yyyy")</f>
        <v/>
      </c>
      <c r="D789">
        <f>"Q"&amp;(INT((A789-1)/13)+1)</f>
        <v/>
      </c>
      <c r="E789" t="inlineStr">
        <is>
          <t>On Premise</t>
        </is>
      </c>
      <c r="F789">
        <f>IFERROR(INDEX(ChFormat,MATCH(E789,ChName,0)),"")</f>
        <v/>
      </c>
      <c r="G789" t="inlineStr">
        <is>
          <t>ON</t>
        </is>
      </c>
      <c r="H789">
        <f>IF(A789&lt;=NWeeks,1,0)</f>
        <v/>
      </c>
      <c r="I789">
        <f>INDEX(ChLaunch,MATCH(E789,ChName,0))</f>
        <v/>
      </c>
      <c r="J789">
        <f>INDEX(ChWeeksFull,MATCH(E789,ChName,0))</f>
        <v/>
      </c>
      <c r="K789">
        <f>INDEX(ChRamp,MATCH(E789,ChName,0))</f>
        <v/>
      </c>
      <c r="L789" s="45">
        <f>MIN(1,MAX(0,(A789-I789+1)*RampSpeed/J789))</f>
        <v/>
      </c>
      <c r="M789" s="45">
        <f>IF(A789&lt;I789,0,IF(K789="S-curve",L789*L789*(3-2*L789),L789))</f>
        <v/>
      </c>
      <c r="N789" s="45">
        <f>1+(INDEX(SeasonIdx,A789)-1)*SeasonAmp</f>
        <v/>
      </c>
      <c r="O789" s="45">
        <f>IFERROR(INDEX(PSPct,MATCH(E789&amp;"|"&amp;G789,PSKey,0)),0)</f>
        <v/>
      </c>
      <c r="P789" s="46">
        <f>INDEX(ChDoorVel,MATCH(E789,ChName,0))*CalibScalar*(1+VelocityUplift)</f>
        <v/>
      </c>
      <c r="Q789" s="46" t="n">
        <v>0</v>
      </c>
      <c r="R789" s="46">
        <f>P789*O789*M789*N789*H789</f>
        <v/>
      </c>
      <c r="S789" s="46">
        <f>R789*INDEX(FmtCansPerCase,MATCH(F789,FmtName,0))</f>
        <v/>
      </c>
      <c r="T789" s="46">
        <f>S789/INDEX(FmtCansPerPack,MATCH(F789,FmtName,0))</f>
        <v/>
      </c>
      <c r="U789" s="47">
        <f>INDEX(ChBaseCP,MATCH(E789,ChName,0))*(1+INDEX(ProvMod,MATCH(G789,ProvCode,0)))*(1+PriceIndex)</f>
        <v/>
      </c>
      <c r="V789" s="47">
        <f>R789*U789*INDEX(FmtBlendedPriceIdx,MATCH(F789,FmtName,0))</f>
        <v/>
      </c>
      <c r="W789" s="47">
        <f>T789*INDEX(ProvSRP,MATCH(G789,ProvCode,0))*(1+PriceIndex)</f>
        <v/>
      </c>
      <c r="X789" s="47">
        <f>IF(GrossBasis="Wholesale",V789,W789)</f>
        <v/>
      </c>
      <c r="Y789" s="47">
        <f>R789*INDEX(FmtBlendedCogs,MATCH(F789,FmtName,0))</f>
        <v/>
      </c>
      <c r="Z789" s="47">
        <f>X789-Y789</f>
        <v/>
      </c>
    </row>
    <row r="790">
      <c r="A790" t="n">
        <v>47</v>
      </c>
      <c r="B790" s="44">
        <f>FiscalStart+(A790-1)*7</f>
        <v/>
      </c>
      <c r="C790">
        <f>TEXT(B790,"mmm yyyy")</f>
        <v/>
      </c>
      <c r="D790">
        <f>"Q"&amp;(INT((A790-1)/13)+1)</f>
        <v/>
      </c>
      <c r="E790" t="inlineStr">
        <is>
          <t>On Premise</t>
        </is>
      </c>
      <c r="F790">
        <f>IFERROR(INDEX(ChFormat,MATCH(E790,ChName,0)),"")</f>
        <v/>
      </c>
      <c r="G790" t="inlineStr">
        <is>
          <t>ON</t>
        </is>
      </c>
      <c r="H790">
        <f>IF(A790&lt;=NWeeks,1,0)</f>
        <v/>
      </c>
      <c r="I790">
        <f>INDEX(ChLaunch,MATCH(E790,ChName,0))</f>
        <v/>
      </c>
      <c r="J790">
        <f>INDEX(ChWeeksFull,MATCH(E790,ChName,0))</f>
        <v/>
      </c>
      <c r="K790">
        <f>INDEX(ChRamp,MATCH(E790,ChName,0))</f>
        <v/>
      </c>
      <c r="L790" s="45">
        <f>MIN(1,MAX(0,(A790-I790+1)*RampSpeed/J790))</f>
        <v/>
      </c>
      <c r="M790" s="45">
        <f>IF(A790&lt;I790,0,IF(K790="S-curve",L790*L790*(3-2*L790),L790))</f>
        <v/>
      </c>
      <c r="N790" s="45">
        <f>1+(INDEX(SeasonIdx,A790)-1)*SeasonAmp</f>
        <v/>
      </c>
      <c r="O790" s="45">
        <f>IFERROR(INDEX(PSPct,MATCH(E790&amp;"|"&amp;G790,PSKey,0)),0)</f>
        <v/>
      </c>
      <c r="P790" s="46">
        <f>INDEX(ChDoorVel,MATCH(E790,ChName,0))*CalibScalar*(1+VelocityUplift)</f>
        <v/>
      </c>
      <c r="Q790" s="46" t="n">
        <v>0</v>
      </c>
      <c r="R790" s="46">
        <f>P790*O790*M790*N790*H790</f>
        <v/>
      </c>
      <c r="S790" s="46">
        <f>R790*INDEX(FmtCansPerCase,MATCH(F790,FmtName,0))</f>
        <v/>
      </c>
      <c r="T790" s="46">
        <f>S790/INDEX(FmtCansPerPack,MATCH(F790,FmtName,0))</f>
        <v/>
      </c>
      <c r="U790" s="47">
        <f>INDEX(ChBaseCP,MATCH(E790,ChName,0))*(1+INDEX(ProvMod,MATCH(G790,ProvCode,0)))*(1+PriceIndex)</f>
        <v/>
      </c>
      <c r="V790" s="47">
        <f>R790*U790*INDEX(FmtBlendedPriceIdx,MATCH(F790,FmtName,0))</f>
        <v/>
      </c>
      <c r="W790" s="47">
        <f>T790*INDEX(ProvSRP,MATCH(G790,ProvCode,0))*(1+PriceIndex)</f>
        <v/>
      </c>
      <c r="X790" s="47">
        <f>IF(GrossBasis="Wholesale",V790,W790)</f>
        <v/>
      </c>
      <c r="Y790" s="47">
        <f>R790*INDEX(FmtBlendedCogs,MATCH(F790,FmtName,0))</f>
        <v/>
      </c>
      <c r="Z790" s="47">
        <f>X790-Y790</f>
        <v/>
      </c>
    </row>
    <row r="791">
      <c r="A791" t="n">
        <v>48</v>
      </c>
      <c r="B791" s="44">
        <f>FiscalStart+(A791-1)*7</f>
        <v/>
      </c>
      <c r="C791">
        <f>TEXT(B791,"mmm yyyy")</f>
        <v/>
      </c>
      <c r="D791">
        <f>"Q"&amp;(INT((A791-1)/13)+1)</f>
        <v/>
      </c>
      <c r="E791" t="inlineStr">
        <is>
          <t>On Premise</t>
        </is>
      </c>
      <c r="F791">
        <f>IFERROR(INDEX(ChFormat,MATCH(E791,ChName,0)),"")</f>
        <v/>
      </c>
      <c r="G791" t="inlineStr">
        <is>
          <t>ON</t>
        </is>
      </c>
      <c r="H791">
        <f>IF(A791&lt;=NWeeks,1,0)</f>
        <v/>
      </c>
      <c r="I791">
        <f>INDEX(ChLaunch,MATCH(E791,ChName,0))</f>
        <v/>
      </c>
      <c r="J791">
        <f>INDEX(ChWeeksFull,MATCH(E791,ChName,0))</f>
        <v/>
      </c>
      <c r="K791">
        <f>INDEX(ChRamp,MATCH(E791,ChName,0))</f>
        <v/>
      </c>
      <c r="L791" s="45">
        <f>MIN(1,MAX(0,(A791-I791+1)*RampSpeed/J791))</f>
        <v/>
      </c>
      <c r="M791" s="45">
        <f>IF(A791&lt;I791,0,IF(K791="S-curve",L791*L791*(3-2*L791),L791))</f>
        <v/>
      </c>
      <c r="N791" s="45">
        <f>1+(INDEX(SeasonIdx,A791)-1)*SeasonAmp</f>
        <v/>
      </c>
      <c r="O791" s="45">
        <f>IFERROR(INDEX(PSPct,MATCH(E791&amp;"|"&amp;G791,PSKey,0)),0)</f>
        <v/>
      </c>
      <c r="P791" s="46">
        <f>INDEX(ChDoorVel,MATCH(E791,ChName,0))*CalibScalar*(1+VelocityUplift)</f>
        <v/>
      </c>
      <c r="Q791" s="46" t="n">
        <v>0</v>
      </c>
      <c r="R791" s="46">
        <f>P791*O791*M791*N791*H791</f>
        <v/>
      </c>
      <c r="S791" s="46">
        <f>R791*INDEX(FmtCansPerCase,MATCH(F791,FmtName,0))</f>
        <v/>
      </c>
      <c r="T791" s="46">
        <f>S791/INDEX(FmtCansPerPack,MATCH(F791,FmtName,0))</f>
        <v/>
      </c>
      <c r="U791" s="47">
        <f>INDEX(ChBaseCP,MATCH(E791,ChName,0))*(1+INDEX(ProvMod,MATCH(G791,ProvCode,0)))*(1+PriceIndex)</f>
        <v/>
      </c>
      <c r="V791" s="47">
        <f>R791*U791*INDEX(FmtBlendedPriceIdx,MATCH(F791,FmtName,0))</f>
        <v/>
      </c>
      <c r="W791" s="47">
        <f>T791*INDEX(ProvSRP,MATCH(G791,ProvCode,0))*(1+PriceIndex)</f>
        <v/>
      </c>
      <c r="X791" s="47">
        <f>IF(GrossBasis="Wholesale",V791,W791)</f>
        <v/>
      </c>
      <c r="Y791" s="47">
        <f>R791*INDEX(FmtBlendedCogs,MATCH(F791,FmtName,0))</f>
        <v/>
      </c>
      <c r="Z791" s="47">
        <f>X791-Y791</f>
        <v/>
      </c>
    </row>
    <row r="792">
      <c r="A792" t="n">
        <v>49</v>
      </c>
      <c r="B792" s="44">
        <f>FiscalStart+(A792-1)*7</f>
        <v/>
      </c>
      <c r="C792">
        <f>TEXT(B792,"mmm yyyy")</f>
        <v/>
      </c>
      <c r="D792">
        <f>"Q"&amp;(INT((A792-1)/13)+1)</f>
        <v/>
      </c>
      <c r="E792" t="inlineStr">
        <is>
          <t>On Premise</t>
        </is>
      </c>
      <c r="F792">
        <f>IFERROR(INDEX(ChFormat,MATCH(E792,ChName,0)),"")</f>
        <v/>
      </c>
      <c r="G792" t="inlineStr">
        <is>
          <t>ON</t>
        </is>
      </c>
      <c r="H792">
        <f>IF(A792&lt;=NWeeks,1,0)</f>
        <v/>
      </c>
      <c r="I792">
        <f>INDEX(ChLaunch,MATCH(E792,ChName,0))</f>
        <v/>
      </c>
      <c r="J792">
        <f>INDEX(ChWeeksFull,MATCH(E792,ChName,0))</f>
        <v/>
      </c>
      <c r="K792">
        <f>INDEX(ChRamp,MATCH(E792,ChName,0))</f>
        <v/>
      </c>
      <c r="L792" s="45">
        <f>MIN(1,MAX(0,(A792-I792+1)*RampSpeed/J792))</f>
        <v/>
      </c>
      <c r="M792" s="45">
        <f>IF(A792&lt;I792,0,IF(K792="S-curve",L792*L792*(3-2*L792),L792))</f>
        <v/>
      </c>
      <c r="N792" s="45">
        <f>1+(INDEX(SeasonIdx,A792)-1)*SeasonAmp</f>
        <v/>
      </c>
      <c r="O792" s="45">
        <f>IFERROR(INDEX(PSPct,MATCH(E792&amp;"|"&amp;G792,PSKey,0)),0)</f>
        <v/>
      </c>
      <c r="P792" s="46">
        <f>INDEX(ChDoorVel,MATCH(E792,ChName,0))*CalibScalar*(1+VelocityUplift)</f>
        <v/>
      </c>
      <c r="Q792" s="46" t="n">
        <v>0</v>
      </c>
      <c r="R792" s="46">
        <f>P792*O792*M792*N792*H792</f>
        <v/>
      </c>
      <c r="S792" s="46">
        <f>R792*INDEX(FmtCansPerCase,MATCH(F792,FmtName,0))</f>
        <v/>
      </c>
      <c r="T792" s="46">
        <f>S792/INDEX(FmtCansPerPack,MATCH(F792,FmtName,0))</f>
        <v/>
      </c>
      <c r="U792" s="47">
        <f>INDEX(ChBaseCP,MATCH(E792,ChName,0))*(1+INDEX(ProvMod,MATCH(G792,ProvCode,0)))*(1+PriceIndex)</f>
        <v/>
      </c>
      <c r="V792" s="47">
        <f>R792*U792*INDEX(FmtBlendedPriceIdx,MATCH(F792,FmtName,0))</f>
        <v/>
      </c>
      <c r="W792" s="47">
        <f>T792*INDEX(ProvSRP,MATCH(G792,ProvCode,0))*(1+PriceIndex)</f>
        <v/>
      </c>
      <c r="X792" s="47">
        <f>IF(GrossBasis="Wholesale",V792,W792)</f>
        <v/>
      </c>
      <c r="Y792" s="47">
        <f>R792*INDEX(FmtBlendedCogs,MATCH(F792,FmtName,0))</f>
        <v/>
      </c>
      <c r="Z792" s="47">
        <f>X792-Y792</f>
        <v/>
      </c>
    </row>
    <row r="793">
      <c r="A793" t="n">
        <v>50</v>
      </c>
      <c r="B793" s="44">
        <f>FiscalStart+(A793-1)*7</f>
        <v/>
      </c>
      <c r="C793">
        <f>TEXT(B793,"mmm yyyy")</f>
        <v/>
      </c>
      <c r="D793">
        <f>"Q"&amp;(INT((A793-1)/13)+1)</f>
        <v/>
      </c>
      <c r="E793" t="inlineStr">
        <is>
          <t>On Premise</t>
        </is>
      </c>
      <c r="F793">
        <f>IFERROR(INDEX(ChFormat,MATCH(E793,ChName,0)),"")</f>
        <v/>
      </c>
      <c r="G793" t="inlineStr">
        <is>
          <t>ON</t>
        </is>
      </c>
      <c r="H793">
        <f>IF(A793&lt;=NWeeks,1,0)</f>
        <v/>
      </c>
      <c r="I793">
        <f>INDEX(ChLaunch,MATCH(E793,ChName,0))</f>
        <v/>
      </c>
      <c r="J793">
        <f>INDEX(ChWeeksFull,MATCH(E793,ChName,0))</f>
        <v/>
      </c>
      <c r="K793">
        <f>INDEX(ChRamp,MATCH(E793,ChName,0))</f>
        <v/>
      </c>
      <c r="L793" s="45">
        <f>MIN(1,MAX(0,(A793-I793+1)*RampSpeed/J793))</f>
        <v/>
      </c>
      <c r="M793" s="45">
        <f>IF(A793&lt;I793,0,IF(K793="S-curve",L793*L793*(3-2*L793),L793))</f>
        <v/>
      </c>
      <c r="N793" s="45">
        <f>1+(INDEX(SeasonIdx,A793)-1)*SeasonAmp</f>
        <v/>
      </c>
      <c r="O793" s="45">
        <f>IFERROR(INDEX(PSPct,MATCH(E793&amp;"|"&amp;G793,PSKey,0)),0)</f>
        <v/>
      </c>
      <c r="P793" s="46">
        <f>INDEX(ChDoorVel,MATCH(E793,ChName,0))*CalibScalar*(1+VelocityUplift)</f>
        <v/>
      </c>
      <c r="Q793" s="46" t="n">
        <v>0</v>
      </c>
      <c r="R793" s="46">
        <f>P793*O793*M793*N793*H793</f>
        <v/>
      </c>
      <c r="S793" s="46">
        <f>R793*INDEX(FmtCansPerCase,MATCH(F793,FmtName,0))</f>
        <v/>
      </c>
      <c r="T793" s="46">
        <f>S793/INDEX(FmtCansPerPack,MATCH(F793,FmtName,0))</f>
        <v/>
      </c>
      <c r="U793" s="47">
        <f>INDEX(ChBaseCP,MATCH(E793,ChName,0))*(1+INDEX(ProvMod,MATCH(G793,ProvCode,0)))*(1+PriceIndex)</f>
        <v/>
      </c>
      <c r="V793" s="47">
        <f>R793*U793*INDEX(FmtBlendedPriceIdx,MATCH(F793,FmtName,0))</f>
        <v/>
      </c>
      <c r="W793" s="47">
        <f>T793*INDEX(ProvSRP,MATCH(G793,ProvCode,0))*(1+PriceIndex)</f>
        <v/>
      </c>
      <c r="X793" s="47">
        <f>IF(GrossBasis="Wholesale",V793,W793)</f>
        <v/>
      </c>
      <c r="Y793" s="47">
        <f>R793*INDEX(FmtBlendedCogs,MATCH(F793,FmtName,0))</f>
        <v/>
      </c>
      <c r="Z793" s="47">
        <f>X793-Y793</f>
        <v/>
      </c>
    </row>
    <row r="794">
      <c r="A794" t="n">
        <v>51</v>
      </c>
      <c r="B794" s="44">
        <f>FiscalStart+(A794-1)*7</f>
        <v/>
      </c>
      <c r="C794">
        <f>TEXT(B794,"mmm yyyy")</f>
        <v/>
      </c>
      <c r="D794">
        <f>"Q"&amp;(INT((A794-1)/13)+1)</f>
        <v/>
      </c>
      <c r="E794" t="inlineStr">
        <is>
          <t>On Premise</t>
        </is>
      </c>
      <c r="F794">
        <f>IFERROR(INDEX(ChFormat,MATCH(E794,ChName,0)),"")</f>
        <v/>
      </c>
      <c r="G794" t="inlineStr">
        <is>
          <t>ON</t>
        </is>
      </c>
      <c r="H794">
        <f>IF(A794&lt;=NWeeks,1,0)</f>
        <v/>
      </c>
      <c r="I794">
        <f>INDEX(ChLaunch,MATCH(E794,ChName,0))</f>
        <v/>
      </c>
      <c r="J794">
        <f>INDEX(ChWeeksFull,MATCH(E794,ChName,0))</f>
        <v/>
      </c>
      <c r="K794">
        <f>INDEX(ChRamp,MATCH(E794,ChName,0))</f>
        <v/>
      </c>
      <c r="L794" s="45">
        <f>MIN(1,MAX(0,(A794-I794+1)*RampSpeed/J794))</f>
        <v/>
      </c>
      <c r="M794" s="45">
        <f>IF(A794&lt;I794,0,IF(K794="S-curve",L794*L794*(3-2*L794),L794))</f>
        <v/>
      </c>
      <c r="N794" s="45">
        <f>1+(INDEX(SeasonIdx,A794)-1)*SeasonAmp</f>
        <v/>
      </c>
      <c r="O794" s="45">
        <f>IFERROR(INDEX(PSPct,MATCH(E794&amp;"|"&amp;G794,PSKey,0)),0)</f>
        <v/>
      </c>
      <c r="P794" s="46">
        <f>INDEX(ChDoorVel,MATCH(E794,ChName,0))*CalibScalar*(1+VelocityUplift)</f>
        <v/>
      </c>
      <c r="Q794" s="46" t="n">
        <v>0</v>
      </c>
      <c r="R794" s="46">
        <f>P794*O794*M794*N794*H794</f>
        <v/>
      </c>
      <c r="S794" s="46">
        <f>R794*INDEX(FmtCansPerCase,MATCH(F794,FmtName,0))</f>
        <v/>
      </c>
      <c r="T794" s="46">
        <f>S794/INDEX(FmtCansPerPack,MATCH(F794,FmtName,0))</f>
        <v/>
      </c>
      <c r="U794" s="47">
        <f>INDEX(ChBaseCP,MATCH(E794,ChName,0))*(1+INDEX(ProvMod,MATCH(G794,ProvCode,0)))*(1+PriceIndex)</f>
        <v/>
      </c>
      <c r="V794" s="47">
        <f>R794*U794*INDEX(FmtBlendedPriceIdx,MATCH(F794,FmtName,0))</f>
        <v/>
      </c>
      <c r="W794" s="47">
        <f>T794*INDEX(ProvSRP,MATCH(G794,ProvCode,0))*(1+PriceIndex)</f>
        <v/>
      </c>
      <c r="X794" s="47">
        <f>IF(GrossBasis="Wholesale",V794,W794)</f>
        <v/>
      </c>
      <c r="Y794" s="47">
        <f>R794*INDEX(FmtBlendedCogs,MATCH(F794,FmtName,0))</f>
        <v/>
      </c>
      <c r="Z794" s="47">
        <f>X794-Y794</f>
        <v/>
      </c>
    </row>
    <row r="795">
      <c r="A795" t="n">
        <v>52</v>
      </c>
      <c r="B795" s="44">
        <f>FiscalStart+(A795-1)*7</f>
        <v/>
      </c>
      <c r="C795">
        <f>TEXT(B795,"mmm yyyy")</f>
        <v/>
      </c>
      <c r="D795">
        <f>"Q"&amp;(INT((A795-1)/13)+1)</f>
        <v/>
      </c>
      <c r="E795" t="inlineStr">
        <is>
          <t>On Premise</t>
        </is>
      </c>
      <c r="F795">
        <f>IFERROR(INDEX(ChFormat,MATCH(E795,ChName,0)),"")</f>
        <v/>
      </c>
      <c r="G795" t="inlineStr">
        <is>
          <t>ON</t>
        </is>
      </c>
      <c r="H795">
        <f>IF(A795&lt;=NWeeks,1,0)</f>
        <v/>
      </c>
      <c r="I795">
        <f>INDEX(ChLaunch,MATCH(E795,ChName,0))</f>
        <v/>
      </c>
      <c r="J795">
        <f>INDEX(ChWeeksFull,MATCH(E795,ChName,0))</f>
        <v/>
      </c>
      <c r="K795">
        <f>INDEX(ChRamp,MATCH(E795,ChName,0))</f>
        <v/>
      </c>
      <c r="L795" s="45">
        <f>MIN(1,MAX(0,(A795-I795+1)*RampSpeed/J795))</f>
        <v/>
      </c>
      <c r="M795" s="45">
        <f>IF(A795&lt;I795,0,IF(K795="S-curve",L795*L795*(3-2*L795),L795))</f>
        <v/>
      </c>
      <c r="N795" s="45">
        <f>1+(INDEX(SeasonIdx,A795)-1)*SeasonAmp</f>
        <v/>
      </c>
      <c r="O795" s="45">
        <f>IFERROR(INDEX(PSPct,MATCH(E795&amp;"|"&amp;G795,PSKey,0)),0)</f>
        <v/>
      </c>
      <c r="P795" s="46">
        <f>INDEX(ChDoorVel,MATCH(E795,ChName,0))*CalibScalar*(1+VelocityUplift)</f>
        <v/>
      </c>
      <c r="Q795" s="46" t="n">
        <v>0</v>
      </c>
      <c r="R795" s="46">
        <f>P795*O795*M795*N795*H795</f>
        <v/>
      </c>
      <c r="S795" s="46">
        <f>R795*INDEX(FmtCansPerCase,MATCH(F795,FmtName,0))</f>
        <v/>
      </c>
      <c r="T795" s="46">
        <f>S795/INDEX(FmtCansPerPack,MATCH(F795,FmtName,0))</f>
        <v/>
      </c>
      <c r="U795" s="47">
        <f>INDEX(ChBaseCP,MATCH(E795,ChName,0))*(1+INDEX(ProvMod,MATCH(G795,ProvCode,0)))*(1+PriceIndex)</f>
        <v/>
      </c>
      <c r="V795" s="47">
        <f>R795*U795*INDEX(FmtBlendedPriceIdx,MATCH(F795,FmtName,0))</f>
        <v/>
      </c>
      <c r="W795" s="47">
        <f>T795*INDEX(ProvSRP,MATCH(G795,ProvCode,0))*(1+PriceIndex)</f>
        <v/>
      </c>
      <c r="X795" s="47">
        <f>IF(GrossBasis="Wholesale",V795,W795)</f>
        <v/>
      </c>
      <c r="Y795" s="47">
        <f>R795*INDEX(FmtBlendedCogs,MATCH(F795,FmtName,0))</f>
        <v/>
      </c>
      <c r="Z795" s="47">
        <f>X795-Y795</f>
        <v/>
      </c>
    </row>
    <row r="796">
      <c r="A796" t="n">
        <v>53</v>
      </c>
      <c r="B796" s="44">
        <f>FiscalStart+(A796-1)*7</f>
        <v/>
      </c>
      <c r="C796">
        <f>TEXT(B796,"mmm yyyy")</f>
        <v/>
      </c>
      <c r="D796">
        <f>"Q"&amp;(INT((A796-1)/13)+1)</f>
        <v/>
      </c>
      <c r="E796" t="inlineStr">
        <is>
          <t>On Premise</t>
        </is>
      </c>
      <c r="F796">
        <f>IFERROR(INDEX(ChFormat,MATCH(E796,ChName,0)),"")</f>
        <v/>
      </c>
      <c r="G796" t="inlineStr">
        <is>
          <t>ON</t>
        </is>
      </c>
      <c r="H796">
        <f>IF(A796&lt;=NWeeks,1,0)</f>
        <v/>
      </c>
      <c r="I796">
        <f>INDEX(ChLaunch,MATCH(E796,ChName,0))</f>
        <v/>
      </c>
      <c r="J796">
        <f>INDEX(ChWeeksFull,MATCH(E796,ChName,0))</f>
        <v/>
      </c>
      <c r="K796">
        <f>INDEX(ChRamp,MATCH(E796,ChName,0))</f>
        <v/>
      </c>
      <c r="L796" s="45">
        <f>MIN(1,MAX(0,(A796-I796+1)*RampSpeed/J796))</f>
        <v/>
      </c>
      <c r="M796" s="45">
        <f>IF(A796&lt;I796,0,IF(K796="S-curve",L796*L796*(3-2*L796),L796))</f>
        <v/>
      </c>
      <c r="N796" s="45">
        <f>1+(INDEX(SeasonIdx,A796)-1)*SeasonAmp</f>
        <v/>
      </c>
      <c r="O796" s="45">
        <f>IFERROR(INDEX(PSPct,MATCH(E796&amp;"|"&amp;G796,PSKey,0)),0)</f>
        <v/>
      </c>
      <c r="P796" s="46">
        <f>INDEX(ChDoorVel,MATCH(E796,ChName,0))*CalibScalar*(1+VelocityUplift)</f>
        <v/>
      </c>
      <c r="Q796" s="46" t="n">
        <v>0</v>
      </c>
      <c r="R796" s="46">
        <f>P796*O796*M796*N796*H796</f>
        <v/>
      </c>
      <c r="S796" s="46">
        <f>R796*INDEX(FmtCansPerCase,MATCH(F796,FmtName,0))</f>
        <v/>
      </c>
      <c r="T796" s="46">
        <f>S796/INDEX(FmtCansPerPack,MATCH(F796,FmtName,0))</f>
        <v/>
      </c>
      <c r="U796" s="47">
        <f>INDEX(ChBaseCP,MATCH(E796,ChName,0))*(1+INDEX(ProvMod,MATCH(G796,ProvCode,0)))*(1+PriceIndex)</f>
        <v/>
      </c>
      <c r="V796" s="47">
        <f>R796*U796*INDEX(FmtBlendedPriceIdx,MATCH(F796,FmtName,0))</f>
        <v/>
      </c>
      <c r="W796" s="47">
        <f>T796*INDEX(ProvSRP,MATCH(G796,ProvCode,0))*(1+PriceIndex)</f>
        <v/>
      </c>
      <c r="X796" s="47">
        <f>IF(GrossBasis="Wholesale",V796,W796)</f>
        <v/>
      </c>
      <c r="Y796" s="47">
        <f>R796*INDEX(FmtBlendedCogs,MATCH(F796,FmtName,0))</f>
        <v/>
      </c>
      <c r="Z796" s="47">
        <f>X796-Y796</f>
        <v/>
      </c>
    </row>
    <row r="797">
      <c r="A797" t="n">
        <v>1</v>
      </c>
      <c r="B797" s="44">
        <f>FiscalStart+(A797-1)*7</f>
        <v/>
      </c>
      <c r="C797">
        <f>TEXT(B797,"mmm yyyy")</f>
        <v/>
      </c>
      <c r="D797">
        <f>"Q"&amp;(INT((A797-1)/13)+1)</f>
        <v/>
      </c>
      <c r="E797" t="inlineStr">
        <is>
          <t>On Premise</t>
        </is>
      </c>
      <c r="F797">
        <f>IFERROR(INDEX(ChFormat,MATCH(E797,ChName,0)),"")</f>
        <v/>
      </c>
      <c r="G797" t="inlineStr">
        <is>
          <t>QC</t>
        </is>
      </c>
      <c r="H797">
        <f>IF(A797&lt;=NWeeks,1,0)</f>
        <v/>
      </c>
      <c r="I797">
        <f>INDEX(ChLaunch,MATCH(E797,ChName,0))</f>
        <v/>
      </c>
      <c r="J797">
        <f>INDEX(ChWeeksFull,MATCH(E797,ChName,0))</f>
        <v/>
      </c>
      <c r="K797">
        <f>INDEX(ChRamp,MATCH(E797,ChName,0))</f>
        <v/>
      </c>
      <c r="L797" s="45">
        <f>MIN(1,MAX(0,(A797-I797+1)*RampSpeed/J797))</f>
        <v/>
      </c>
      <c r="M797" s="45">
        <f>IF(A797&lt;I797,0,IF(K797="S-curve",L797*L797*(3-2*L797),L797))</f>
        <v/>
      </c>
      <c r="N797" s="45">
        <f>1+(INDEX(SeasonIdx,A797)-1)*SeasonAmp</f>
        <v/>
      </c>
      <c r="O797" s="45">
        <f>IFERROR(INDEX(PSPct,MATCH(E797&amp;"|"&amp;G797,PSKey,0)),0)</f>
        <v/>
      </c>
      <c r="P797" s="46">
        <f>INDEX(ChDoorVel,MATCH(E797,ChName,0))*CalibScalar*(1+VelocityUplift)</f>
        <v/>
      </c>
      <c r="Q797" s="46" t="n">
        <v>0</v>
      </c>
      <c r="R797" s="46">
        <f>P797*O797*M797*N797*H797</f>
        <v/>
      </c>
      <c r="S797" s="46">
        <f>R797*INDEX(FmtCansPerCase,MATCH(F797,FmtName,0))</f>
        <v/>
      </c>
      <c r="T797" s="46">
        <f>S797/INDEX(FmtCansPerPack,MATCH(F797,FmtName,0))</f>
        <v/>
      </c>
      <c r="U797" s="47">
        <f>INDEX(ChBaseCP,MATCH(E797,ChName,0))*(1+INDEX(ProvMod,MATCH(G797,ProvCode,0)))*(1+PriceIndex)</f>
        <v/>
      </c>
      <c r="V797" s="47">
        <f>R797*U797*INDEX(FmtBlendedPriceIdx,MATCH(F797,FmtName,0))</f>
        <v/>
      </c>
      <c r="W797" s="47">
        <f>T797*INDEX(ProvSRP,MATCH(G797,ProvCode,0))*(1+PriceIndex)</f>
        <v/>
      </c>
      <c r="X797" s="47">
        <f>IF(GrossBasis="Wholesale",V797,W797)</f>
        <v/>
      </c>
      <c r="Y797" s="47">
        <f>R797*INDEX(FmtBlendedCogs,MATCH(F797,FmtName,0))</f>
        <v/>
      </c>
      <c r="Z797" s="47">
        <f>X797-Y797</f>
        <v/>
      </c>
    </row>
    <row r="798">
      <c r="A798" t="n">
        <v>2</v>
      </c>
      <c r="B798" s="44">
        <f>FiscalStart+(A798-1)*7</f>
        <v/>
      </c>
      <c r="C798">
        <f>TEXT(B798,"mmm yyyy")</f>
        <v/>
      </c>
      <c r="D798">
        <f>"Q"&amp;(INT((A798-1)/13)+1)</f>
        <v/>
      </c>
      <c r="E798" t="inlineStr">
        <is>
          <t>On Premise</t>
        </is>
      </c>
      <c r="F798">
        <f>IFERROR(INDEX(ChFormat,MATCH(E798,ChName,0)),"")</f>
        <v/>
      </c>
      <c r="G798" t="inlineStr">
        <is>
          <t>QC</t>
        </is>
      </c>
      <c r="H798">
        <f>IF(A798&lt;=NWeeks,1,0)</f>
        <v/>
      </c>
      <c r="I798">
        <f>INDEX(ChLaunch,MATCH(E798,ChName,0))</f>
        <v/>
      </c>
      <c r="J798">
        <f>INDEX(ChWeeksFull,MATCH(E798,ChName,0))</f>
        <v/>
      </c>
      <c r="K798">
        <f>INDEX(ChRamp,MATCH(E798,ChName,0))</f>
        <v/>
      </c>
      <c r="L798" s="45">
        <f>MIN(1,MAX(0,(A798-I798+1)*RampSpeed/J798))</f>
        <v/>
      </c>
      <c r="M798" s="45">
        <f>IF(A798&lt;I798,0,IF(K798="S-curve",L798*L798*(3-2*L798),L798))</f>
        <v/>
      </c>
      <c r="N798" s="45">
        <f>1+(INDEX(SeasonIdx,A798)-1)*SeasonAmp</f>
        <v/>
      </c>
      <c r="O798" s="45">
        <f>IFERROR(INDEX(PSPct,MATCH(E798&amp;"|"&amp;G798,PSKey,0)),0)</f>
        <v/>
      </c>
      <c r="P798" s="46">
        <f>INDEX(ChDoorVel,MATCH(E798,ChName,0))*CalibScalar*(1+VelocityUplift)</f>
        <v/>
      </c>
      <c r="Q798" s="46" t="n">
        <v>0</v>
      </c>
      <c r="R798" s="46">
        <f>P798*O798*M798*N798*H798</f>
        <v/>
      </c>
      <c r="S798" s="46">
        <f>R798*INDEX(FmtCansPerCase,MATCH(F798,FmtName,0))</f>
        <v/>
      </c>
      <c r="T798" s="46">
        <f>S798/INDEX(FmtCansPerPack,MATCH(F798,FmtName,0))</f>
        <v/>
      </c>
      <c r="U798" s="47">
        <f>INDEX(ChBaseCP,MATCH(E798,ChName,0))*(1+INDEX(ProvMod,MATCH(G798,ProvCode,0)))*(1+PriceIndex)</f>
        <v/>
      </c>
      <c r="V798" s="47">
        <f>R798*U798*INDEX(FmtBlendedPriceIdx,MATCH(F798,FmtName,0))</f>
        <v/>
      </c>
      <c r="W798" s="47">
        <f>T798*INDEX(ProvSRP,MATCH(G798,ProvCode,0))*(1+PriceIndex)</f>
        <v/>
      </c>
      <c r="X798" s="47">
        <f>IF(GrossBasis="Wholesale",V798,W798)</f>
        <v/>
      </c>
      <c r="Y798" s="47">
        <f>R798*INDEX(FmtBlendedCogs,MATCH(F798,FmtName,0))</f>
        <v/>
      </c>
      <c r="Z798" s="47">
        <f>X798-Y798</f>
        <v/>
      </c>
    </row>
    <row r="799">
      <c r="A799" t="n">
        <v>3</v>
      </c>
      <c r="B799" s="44">
        <f>FiscalStart+(A799-1)*7</f>
        <v/>
      </c>
      <c r="C799">
        <f>TEXT(B799,"mmm yyyy")</f>
        <v/>
      </c>
      <c r="D799">
        <f>"Q"&amp;(INT((A799-1)/13)+1)</f>
        <v/>
      </c>
      <c r="E799" t="inlineStr">
        <is>
          <t>On Premise</t>
        </is>
      </c>
      <c r="F799">
        <f>IFERROR(INDEX(ChFormat,MATCH(E799,ChName,0)),"")</f>
        <v/>
      </c>
      <c r="G799" t="inlineStr">
        <is>
          <t>QC</t>
        </is>
      </c>
      <c r="H799">
        <f>IF(A799&lt;=NWeeks,1,0)</f>
        <v/>
      </c>
      <c r="I799">
        <f>INDEX(ChLaunch,MATCH(E799,ChName,0))</f>
        <v/>
      </c>
      <c r="J799">
        <f>INDEX(ChWeeksFull,MATCH(E799,ChName,0))</f>
        <v/>
      </c>
      <c r="K799">
        <f>INDEX(ChRamp,MATCH(E799,ChName,0))</f>
        <v/>
      </c>
      <c r="L799" s="45">
        <f>MIN(1,MAX(0,(A799-I799+1)*RampSpeed/J799))</f>
        <v/>
      </c>
      <c r="M799" s="45">
        <f>IF(A799&lt;I799,0,IF(K799="S-curve",L799*L799*(3-2*L799),L799))</f>
        <v/>
      </c>
      <c r="N799" s="45">
        <f>1+(INDEX(SeasonIdx,A799)-1)*SeasonAmp</f>
        <v/>
      </c>
      <c r="O799" s="45">
        <f>IFERROR(INDEX(PSPct,MATCH(E799&amp;"|"&amp;G799,PSKey,0)),0)</f>
        <v/>
      </c>
      <c r="P799" s="46">
        <f>INDEX(ChDoorVel,MATCH(E799,ChName,0))*CalibScalar*(1+VelocityUplift)</f>
        <v/>
      </c>
      <c r="Q799" s="46" t="n">
        <v>0</v>
      </c>
      <c r="R799" s="46">
        <f>P799*O799*M799*N799*H799</f>
        <v/>
      </c>
      <c r="S799" s="46">
        <f>R799*INDEX(FmtCansPerCase,MATCH(F799,FmtName,0))</f>
        <v/>
      </c>
      <c r="T799" s="46">
        <f>S799/INDEX(FmtCansPerPack,MATCH(F799,FmtName,0))</f>
        <v/>
      </c>
      <c r="U799" s="47">
        <f>INDEX(ChBaseCP,MATCH(E799,ChName,0))*(1+INDEX(ProvMod,MATCH(G799,ProvCode,0)))*(1+PriceIndex)</f>
        <v/>
      </c>
      <c r="V799" s="47">
        <f>R799*U799*INDEX(FmtBlendedPriceIdx,MATCH(F799,FmtName,0))</f>
        <v/>
      </c>
      <c r="W799" s="47">
        <f>T799*INDEX(ProvSRP,MATCH(G799,ProvCode,0))*(1+PriceIndex)</f>
        <v/>
      </c>
      <c r="X799" s="47">
        <f>IF(GrossBasis="Wholesale",V799,W799)</f>
        <v/>
      </c>
      <c r="Y799" s="47">
        <f>R799*INDEX(FmtBlendedCogs,MATCH(F799,FmtName,0))</f>
        <v/>
      </c>
      <c r="Z799" s="47">
        <f>X799-Y799</f>
        <v/>
      </c>
    </row>
    <row r="800">
      <c r="A800" t="n">
        <v>4</v>
      </c>
      <c r="B800" s="44">
        <f>FiscalStart+(A800-1)*7</f>
        <v/>
      </c>
      <c r="C800">
        <f>TEXT(B800,"mmm yyyy")</f>
        <v/>
      </c>
      <c r="D800">
        <f>"Q"&amp;(INT((A800-1)/13)+1)</f>
        <v/>
      </c>
      <c r="E800" t="inlineStr">
        <is>
          <t>On Premise</t>
        </is>
      </c>
      <c r="F800">
        <f>IFERROR(INDEX(ChFormat,MATCH(E800,ChName,0)),"")</f>
        <v/>
      </c>
      <c r="G800" t="inlineStr">
        <is>
          <t>QC</t>
        </is>
      </c>
      <c r="H800">
        <f>IF(A800&lt;=NWeeks,1,0)</f>
        <v/>
      </c>
      <c r="I800">
        <f>INDEX(ChLaunch,MATCH(E800,ChName,0))</f>
        <v/>
      </c>
      <c r="J800">
        <f>INDEX(ChWeeksFull,MATCH(E800,ChName,0))</f>
        <v/>
      </c>
      <c r="K800">
        <f>INDEX(ChRamp,MATCH(E800,ChName,0))</f>
        <v/>
      </c>
      <c r="L800" s="45">
        <f>MIN(1,MAX(0,(A800-I800+1)*RampSpeed/J800))</f>
        <v/>
      </c>
      <c r="M800" s="45">
        <f>IF(A800&lt;I800,0,IF(K800="S-curve",L800*L800*(3-2*L800),L800))</f>
        <v/>
      </c>
      <c r="N800" s="45">
        <f>1+(INDEX(SeasonIdx,A800)-1)*SeasonAmp</f>
        <v/>
      </c>
      <c r="O800" s="45">
        <f>IFERROR(INDEX(PSPct,MATCH(E800&amp;"|"&amp;G800,PSKey,0)),0)</f>
        <v/>
      </c>
      <c r="P800" s="46">
        <f>INDEX(ChDoorVel,MATCH(E800,ChName,0))*CalibScalar*(1+VelocityUplift)</f>
        <v/>
      </c>
      <c r="Q800" s="46" t="n">
        <v>0</v>
      </c>
      <c r="R800" s="46">
        <f>P800*O800*M800*N800*H800</f>
        <v/>
      </c>
      <c r="S800" s="46">
        <f>R800*INDEX(FmtCansPerCase,MATCH(F800,FmtName,0))</f>
        <v/>
      </c>
      <c r="T800" s="46">
        <f>S800/INDEX(FmtCansPerPack,MATCH(F800,FmtName,0))</f>
        <v/>
      </c>
      <c r="U800" s="47">
        <f>INDEX(ChBaseCP,MATCH(E800,ChName,0))*(1+INDEX(ProvMod,MATCH(G800,ProvCode,0)))*(1+PriceIndex)</f>
        <v/>
      </c>
      <c r="V800" s="47">
        <f>R800*U800*INDEX(FmtBlendedPriceIdx,MATCH(F800,FmtName,0))</f>
        <v/>
      </c>
      <c r="W800" s="47">
        <f>T800*INDEX(ProvSRP,MATCH(G800,ProvCode,0))*(1+PriceIndex)</f>
        <v/>
      </c>
      <c r="X800" s="47">
        <f>IF(GrossBasis="Wholesale",V800,W800)</f>
        <v/>
      </c>
      <c r="Y800" s="47">
        <f>R800*INDEX(FmtBlendedCogs,MATCH(F800,FmtName,0))</f>
        <v/>
      </c>
      <c r="Z800" s="47">
        <f>X800-Y800</f>
        <v/>
      </c>
    </row>
    <row r="801">
      <c r="A801" t="n">
        <v>5</v>
      </c>
      <c r="B801" s="44">
        <f>FiscalStart+(A801-1)*7</f>
        <v/>
      </c>
      <c r="C801">
        <f>TEXT(B801,"mmm yyyy")</f>
        <v/>
      </c>
      <c r="D801">
        <f>"Q"&amp;(INT((A801-1)/13)+1)</f>
        <v/>
      </c>
      <c r="E801" t="inlineStr">
        <is>
          <t>On Premise</t>
        </is>
      </c>
      <c r="F801">
        <f>IFERROR(INDEX(ChFormat,MATCH(E801,ChName,0)),"")</f>
        <v/>
      </c>
      <c r="G801" t="inlineStr">
        <is>
          <t>QC</t>
        </is>
      </c>
      <c r="H801">
        <f>IF(A801&lt;=NWeeks,1,0)</f>
        <v/>
      </c>
      <c r="I801">
        <f>INDEX(ChLaunch,MATCH(E801,ChName,0))</f>
        <v/>
      </c>
      <c r="J801">
        <f>INDEX(ChWeeksFull,MATCH(E801,ChName,0))</f>
        <v/>
      </c>
      <c r="K801">
        <f>INDEX(ChRamp,MATCH(E801,ChName,0))</f>
        <v/>
      </c>
      <c r="L801" s="45">
        <f>MIN(1,MAX(0,(A801-I801+1)*RampSpeed/J801))</f>
        <v/>
      </c>
      <c r="M801" s="45">
        <f>IF(A801&lt;I801,0,IF(K801="S-curve",L801*L801*(3-2*L801),L801))</f>
        <v/>
      </c>
      <c r="N801" s="45">
        <f>1+(INDEX(SeasonIdx,A801)-1)*SeasonAmp</f>
        <v/>
      </c>
      <c r="O801" s="45">
        <f>IFERROR(INDEX(PSPct,MATCH(E801&amp;"|"&amp;G801,PSKey,0)),0)</f>
        <v/>
      </c>
      <c r="P801" s="46">
        <f>INDEX(ChDoorVel,MATCH(E801,ChName,0))*CalibScalar*(1+VelocityUplift)</f>
        <v/>
      </c>
      <c r="Q801" s="46" t="n">
        <v>0</v>
      </c>
      <c r="R801" s="46">
        <f>P801*O801*M801*N801*H801</f>
        <v/>
      </c>
      <c r="S801" s="46">
        <f>R801*INDEX(FmtCansPerCase,MATCH(F801,FmtName,0))</f>
        <v/>
      </c>
      <c r="T801" s="46">
        <f>S801/INDEX(FmtCansPerPack,MATCH(F801,FmtName,0))</f>
        <v/>
      </c>
      <c r="U801" s="47">
        <f>INDEX(ChBaseCP,MATCH(E801,ChName,0))*(1+INDEX(ProvMod,MATCH(G801,ProvCode,0)))*(1+PriceIndex)</f>
        <v/>
      </c>
      <c r="V801" s="47">
        <f>R801*U801*INDEX(FmtBlendedPriceIdx,MATCH(F801,FmtName,0))</f>
        <v/>
      </c>
      <c r="W801" s="47">
        <f>T801*INDEX(ProvSRP,MATCH(G801,ProvCode,0))*(1+PriceIndex)</f>
        <v/>
      </c>
      <c r="X801" s="47">
        <f>IF(GrossBasis="Wholesale",V801,W801)</f>
        <v/>
      </c>
      <c r="Y801" s="47">
        <f>R801*INDEX(FmtBlendedCogs,MATCH(F801,FmtName,0))</f>
        <v/>
      </c>
      <c r="Z801" s="47">
        <f>X801-Y801</f>
        <v/>
      </c>
    </row>
    <row r="802">
      <c r="A802" t="n">
        <v>6</v>
      </c>
      <c r="B802" s="44">
        <f>FiscalStart+(A802-1)*7</f>
        <v/>
      </c>
      <c r="C802">
        <f>TEXT(B802,"mmm yyyy")</f>
        <v/>
      </c>
      <c r="D802">
        <f>"Q"&amp;(INT((A802-1)/13)+1)</f>
        <v/>
      </c>
      <c r="E802" t="inlineStr">
        <is>
          <t>On Premise</t>
        </is>
      </c>
      <c r="F802">
        <f>IFERROR(INDEX(ChFormat,MATCH(E802,ChName,0)),"")</f>
        <v/>
      </c>
      <c r="G802" t="inlineStr">
        <is>
          <t>QC</t>
        </is>
      </c>
      <c r="H802">
        <f>IF(A802&lt;=NWeeks,1,0)</f>
        <v/>
      </c>
      <c r="I802">
        <f>INDEX(ChLaunch,MATCH(E802,ChName,0))</f>
        <v/>
      </c>
      <c r="J802">
        <f>INDEX(ChWeeksFull,MATCH(E802,ChName,0))</f>
        <v/>
      </c>
      <c r="K802">
        <f>INDEX(ChRamp,MATCH(E802,ChName,0))</f>
        <v/>
      </c>
      <c r="L802" s="45">
        <f>MIN(1,MAX(0,(A802-I802+1)*RampSpeed/J802))</f>
        <v/>
      </c>
      <c r="M802" s="45">
        <f>IF(A802&lt;I802,0,IF(K802="S-curve",L802*L802*(3-2*L802),L802))</f>
        <v/>
      </c>
      <c r="N802" s="45">
        <f>1+(INDEX(SeasonIdx,A802)-1)*SeasonAmp</f>
        <v/>
      </c>
      <c r="O802" s="45">
        <f>IFERROR(INDEX(PSPct,MATCH(E802&amp;"|"&amp;G802,PSKey,0)),0)</f>
        <v/>
      </c>
      <c r="P802" s="46">
        <f>INDEX(ChDoorVel,MATCH(E802,ChName,0))*CalibScalar*(1+VelocityUplift)</f>
        <v/>
      </c>
      <c r="Q802" s="46" t="n">
        <v>0</v>
      </c>
      <c r="R802" s="46">
        <f>P802*O802*M802*N802*H802</f>
        <v/>
      </c>
      <c r="S802" s="46">
        <f>R802*INDEX(FmtCansPerCase,MATCH(F802,FmtName,0))</f>
        <v/>
      </c>
      <c r="T802" s="46">
        <f>S802/INDEX(FmtCansPerPack,MATCH(F802,FmtName,0))</f>
        <v/>
      </c>
      <c r="U802" s="47">
        <f>INDEX(ChBaseCP,MATCH(E802,ChName,0))*(1+INDEX(ProvMod,MATCH(G802,ProvCode,0)))*(1+PriceIndex)</f>
        <v/>
      </c>
      <c r="V802" s="47">
        <f>R802*U802*INDEX(FmtBlendedPriceIdx,MATCH(F802,FmtName,0))</f>
        <v/>
      </c>
      <c r="W802" s="47">
        <f>T802*INDEX(ProvSRP,MATCH(G802,ProvCode,0))*(1+PriceIndex)</f>
        <v/>
      </c>
      <c r="X802" s="47">
        <f>IF(GrossBasis="Wholesale",V802,W802)</f>
        <v/>
      </c>
      <c r="Y802" s="47">
        <f>R802*INDEX(FmtBlendedCogs,MATCH(F802,FmtName,0))</f>
        <v/>
      </c>
      <c r="Z802" s="47">
        <f>X802-Y802</f>
        <v/>
      </c>
    </row>
    <row r="803">
      <c r="A803" t="n">
        <v>7</v>
      </c>
      <c r="B803" s="44">
        <f>FiscalStart+(A803-1)*7</f>
        <v/>
      </c>
      <c r="C803">
        <f>TEXT(B803,"mmm yyyy")</f>
        <v/>
      </c>
      <c r="D803">
        <f>"Q"&amp;(INT((A803-1)/13)+1)</f>
        <v/>
      </c>
      <c r="E803" t="inlineStr">
        <is>
          <t>On Premise</t>
        </is>
      </c>
      <c r="F803">
        <f>IFERROR(INDEX(ChFormat,MATCH(E803,ChName,0)),"")</f>
        <v/>
      </c>
      <c r="G803" t="inlineStr">
        <is>
          <t>QC</t>
        </is>
      </c>
      <c r="H803">
        <f>IF(A803&lt;=NWeeks,1,0)</f>
        <v/>
      </c>
      <c r="I803">
        <f>INDEX(ChLaunch,MATCH(E803,ChName,0))</f>
        <v/>
      </c>
      <c r="J803">
        <f>INDEX(ChWeeksFull,MATCH(E803,ChName,0))</f>
        <v/>
      </c>
      <c r="K803">
        <f>INDEX(ChRamp,MATCH(E803,ChName,0))</f>
        <v/>
      </c>
      <c r="L803" s="45">
        <f>MIN(1,MAX(0,(A803-I803+1)*RampSpeed/J803))</f>
        <v/>
      </c>
      <c r="M803" s="45">
        <f>IF(A803&lt;I803,0,IF(K803="S-curve",L803*L803*(3-2*L803),L803))</f>
        <v/>
      </c>
      <c r="N803" s="45">
        <f>1+(INDEX(SeasonIdx,A803)-1)*SeasonAmp</f>
        <v/>
      </c>
      <c r="O803" s="45">
        <f>IFERROR(INDEX(PSPct,MATCH(E803&amp;"|"&amp;G803,PSKey,0)),0)</f>
        <v/>
      </c>
      <c r="P803" s="46">
        <f>INDEX(ChDoorVel,MATCH(E803,ChName,0))*CalibScalar*(1+VelocityUplift)</f>
        <v/>
      </c>
      <c r="Q803" s="46" t="n">
        <v>0</v>
      </c>
      <c r="R803" s="46">
        <f>P803*O803*M803*N803*H803</f>
        <v/>
      </c>
      <c r="S803" s="46">
        <f>R803*INDEX(FmtCansPerCase,MATCH(F803,FmtName,0))</f>
        <v/>
      </c>
      <c r="T803" s="46">
        <f>S803/INDEX(FmtCansPerPack,MATCH(F803,FmtName,0))</f>
        <v/>
      </c>
      <c r="U803" s="47">
        <f>INDEX(ChBaseCP,MATCH(E803,ChName,0))*(1+INDEX(ProvMod,MATCH(G803,ProvCode,0)))*(1+PriceIndex)</f>
        <v/>
      </c>
      <c r="V803" s="47">
        <f>R803*U803*INDEX(FmtBlendedPriceIdx,MATCH(F803,FmtName,0))</f>
        <v/>
      </c>
      <c r="W803" s="47">
        <f>T803*INDEX(ProvSRP,MATCH(G803,ProvCode,0))*(1+PriceIndex)</f>
        <v/>
      </c>
      <c r="X803" s="47">
        <f>IF(GrossBasis="Wholesale",V803,W803)</f>
        <v/>
      </c>
      <c r="Y803" s="47">
        <f>R803*INDEX(FmtBlendedCogs,MATCH(F803,FmtName,0))</f>
        <v/>
      </c>
      <c r="Z803" s="47">
        <f>X803-Y803</f>
        <v/>
      </c>
    </row>
    <row r="804">
      <c r="A804" t="n">
        <v>8</v>
      </c>
      <c r="B804" s="44">
        <f>FiscalStart+(A804-1)*7</f>
        <v/>
      </c>
      <c r="C804">
        <f>TEXT(B804,"mmm yyyy")</f>
        <v/>
      </c>
      <c r="D804">
        <f>"Q"&amp;(INT((A804-1)/13)+1)</f>
        <v/>
      </c>
      <c r="E804" t="inlineStr">
        <is>
          <t>On Premise</t>
        </is>
      </c>
      <c r="F804">
        <f>IFERROR(INDEX(ChFormat,MATCH(E804,ChName,0)),"")</f>
        <v/>
      </c>
      <c r="G804" t="inlineStr">
        <is>
          <t>QC</t>
        </is>
      </c>
      <c r="H804">
        <f>IF(A804&lt;=NWeeks,1,0)</f>
        <v/>
      </c>
      <c r="I804">
        <f>INDEX(ChLaunch,MATCH(E804,ChName,0))</f>
        <v/>
      </c>
      <c r="J804">
        <f>INDEX(ChWeeksFull,MATCH(E804,ChName,0))</f>
        <v/>
      </c>
      <c r="K804">
        <f>INDEX(ChRamp,MATCH(E804,ChName,0))</f>
        <v/>
      </c>
      <c r="L804" s="45">
        <f>MIN(1,MAX(0,(A804-I804+1)*RampSpeed/J804))</f>
        <v/>
      </c>
      <c r="M804" s="45">
        <f>IF(A804&lt;I804,0,IF(K804="S-curve",L804*L804*(3-2*L804),L804))</f>
        <v/>
      </c>
      <c r="N804" s="45">
        <f>1+(INDEX(SeasonIdx,A804)-1)*SeasonAmp</f>
        <v/>
      </c>
      <c r="O804" s="45">
        <f>IFERROR(INDEX(PSPct,MATCH(E804&amp;"|"&amp;G804,PSKey,0)),0)</f>
        <v/>
      </c>
      <c r="P804" s="46">
        <f>INDEX(ChDoorVel,MATCH(E804,ChName,0))*CalibScalar*(1+VelocityUplift)</f>
        <v/>
      </c>
      <c r="Q804" s="46" t="n">
        <v>0</v>
      </c>
      <c r="R804" s="46">
        <f>P804*O804*M804*N804*H804</f>
        <v/>
      </c>
      <c r="S804" s="46">
        <f>R804*INDEX(FmtCansPerCase,MATCH(F804,FmtName,0))</f>
        <v/>
      </c>
      <c r="T804" s="46">
        <f>S804/INDEX(FmtCansPerPack,MATCH(F804,FmtName,0))</f>
        <v/>
      </c>
      <c r="U804" s="47">
        <f>INDEX(ChBaseCP,MATCH(E804,ChName,0))*(1+INDEX(ProvMod,MATCH(G804,ProvCode,0)))*(1+PriceIndex)</f>
        <v/>
      </c>
      <c r="V804" s="47">
        <f>R804*U804*INDEX(FmtBlendedPriceIdx,MATCH(F804,FmtName,0))</f>
        <v/>
      </c>
      <c r="W804" s="47">
        <f>T804*INDEX(ProvSRP,MATCH(G804,ProvCode,0))*(1+PriceIndex)</f>
        <v/>
      </c>
      <c r="X804" s="47">
        <f>IF(GrossBasis="Wholesale",V804,W804)</f>
        <v/>
      </c>
      <c r="Y804" s="47">
        <f>R804*INDEX(FmtBlendedCogs,MATCH(F804,FmtName,0))</f>
        <v/>
      </c>
      <c r="Z804" s="47">
        <f>X804-Y804</f>
        <v/>
      </c>
    </row>
    <row r="805">
      <c r="A805" t="n">
        <v>9</v>
      </c>
      <c r="B805" s="44">
        <f>FiscalStart+(A805-1)*7</f>
        <v/>
      </c>
      <c r="C805">
        <f>TEXT(B805,"mmm yyyy")</f>
        <v/>
      </c>
      <c r="D805">
        <f>"Q"&amp;(INT((A805-1)/13)+1)</f>
        <v/>
      </c>
      <c r="E805" t="inlineStr">
        <is>
          <t>On Premise</t>
        </is>
      </c>
      <c r="F805">
        <f>IFERROR(INDEX(ChFormat,MATCH(E805,ChName,0)),"")</f>
        <v/>
      </c>
      <c r="G805" t="inlineStr">
        <is>
          <t>QC</t>
        </is>
      </c>
      <c r="H805">
        <f>IF(A805&lt;=NWeeks,1,0)</f>
        <v/>
      </c>
      <c r="I805">
        <f>INDEX(ChLaunch,MATCH(E805,ChName,0))</f>
        <v/>
      </c>
      <c r="J805">
        <f>INDEX(ChWeeksFull,MATCH(E805,ChName,0))</f>
        <v/>
      </c>
      <c r="K805">
        <f>INDEX(ChRamp,MATCH(E805,ChName,0))</f>
        <v/>
      </c>
      <c r="L805" s="45">
        <f>MIN(1,MAX(0,(A805-I805+1)*RampSpeed/J805))</f>
        <v/>
      </c>
      <c r="M805" s="45">
        <f>IF(A805&lt;I805,0,IF(K805="S-curve",L805*L805*(3-2*L805),L805))</f>
        <v/>
      </c>
      <c r="N805" s="45">
        <f>1+(INDEX(SeasonIdx,A805)-1)*SeasonAmp</f>
        <v/>
      </c>
      <c r="O805" s="45">
        <f>IFERROR(INDEX(PSPct,MATCH(E805&amp;"|"&amp;G805,PSKey,0)),0)</f>
        <v/>
      </c>
      <c r="P805" s="46">
        <f>INDEX(ChDoorVel,MATCH(E805,ChName,0))*CalibScalar*(1+VelocityUplift)</f>
        <v/>
      </c>
      <c r="Q805" s="46" t="n">
        <v>0</v>
      </c>
      <c r="R805" s="46">
        <f>P805*O805*M805*N805*H805</f>
        <v/>
      </c>
      <c r="S805" s="46">
        <f>R805*INDEX(FmtCansPerCase,MATCH(F805,FmtName,0))</f>
        <v/>
      </c>
      <c r="T805" s="46">
        <f>S805/INDEX(FmtCansPerPack,MATCH(F805,FmtName,0))</f>
        <v/>
      </c>
      <c r="U805" s="47">
        <f>INDEX(ChBaseCP,MATCH(E805,ChName,0))*(1+INDEX(ProvMod,MATCH(G805,ProvCode,0)))*(1+PriceIndex)</f>
        <v/>
      </c>
      <c r="V805" s="47">
        <f>R805*U805*INDEX(FmtBlendedPriceIdx,MATCH(F805,FmtName,0))</f>
        <v/>
      </c>
      <c r="W805" s="47">
        <f>T805*INDEX(ProvSRP,MATCH(G805,ProvCode,0))*(1+PriceIndex)</f>
        <v/>
      </c>
      <c r="X805" s="47">
        <f>IF(GrossBasis="Wholesale",V805,W805)</f>
        <v/>
      </c>
      <c r="Y805" s="47">
        <f>R805*INDEX(FmtBlendedCogs,MATCH(F805,FmtName,0))</f>
        <v/>
      </c>
      <c r="Z805" s="47">
        <f>X805-Y805</f>
        <v/>
      </c>
    </row>
    <row r="806">
      <c r="A806" t="n">
        <v>10</v>
      </c>
      <c r="B806" s="44">
        <f>FiscalStart+(A806-1)*7</f>
        <v/>
      </c>
      <c r="C806">
        <f>TEXT(B806,"mmm yyyy")</f>
        <v/>
      </c>
      <c r="D806">
        <f>"Q"&amp;(INT((A806-1)/13)+1)</f>
        <v/>
      </c>
      <c r="E806" t="inlineStr">
        <is>
          <t>On Premise</t>
        </is>
      </c>
      <c r="F806">
        <f>IFERROR(INDEX(ChFormat,MATCH(E806,ChName,0)),"")</f>
        <v/>
      </c>
      <c r="G806" t="inlineStr">
        <is>
          <t>QC</t>
        </is>
      </c>
      <c r="H806">
        <f>IF(A806&lt;=NWeeks,1,0)</f>
        <v/>
      </c>
      <c r="I806">
        <f>INDEX(ChLaunch,MATCH(E806,ChName,0))</f>
        <v/>
      </c>
      <c r="J806">
        <f>INDEX(ChWeeksFull,MATCH(E806,ChName,0))</f>
        <v/>
      </c>
      <c r="K806">
        <f>INDEX(ChRamp,MATCH(E806,ChName,0))</f>
        <v/>
      </c>
      <c r="L806" s="45">
        <f>MIN(1,MAX(0,(A806-I806+1)*RampSpeed/J806))</f>
        <v/>
      </c>
      <c r="M806" s="45">
        <f>IF(A806&lt;I806,0,IF(K806="S-curve",L806*L806*(3-2*L806),L806))</f>
        <v/>
      </c>
      <c r="N806" s="45">
        <f>1+(INDEX(SeasonIdx,A806)-1)*SeasonAmp</f>
        <v/>
      </c>
      <c r="O806" s="45">
        <f>IFERROR(INDEX(PSPct,MATCH(E806&amp;"|"&amp;G806,PSKey,0)),0)</f>
        <v/>
      </c>
      <c r="P806" s="46">
        <f>INDEX(ChDoorVel,MATCH(E806,ChName,0))*CalibScalar*(1+VelocityUplift)</f>
        <v/>
      </c>
      <c r="Q806" s="46" t="n">
        <v>0</v>
      </c>
      <c r="R806" s="46">
        <f>P806*O806*M806*N806*H806</f>
        <v/>
      </c>
      <c r="S806" s="46">
        <f>R806*INDEX(FmtCansPerCase,MATCH(F806,FmtName,0))</f>
        <v/>
      </c>
      <c r="T806" s="46">
        <f>S806/INDEX(FmtCansPerPack,MATCH(F806,FmtName,0))</f>
        <v/>
      </c>
      <c r="U806" s="47">
        <f>INDEX(ChBaseCP,MATCH(E806,ChName,0))*(1+INDEX(ProvMod,MATCH(G806,ProvCode,0)))*(1+PriceIndex)</f>
        <v/>
      </c>
      <c r="V806" s="47">
        <f>R806*U806*INDEX(FmtBlendedPriceIdx,MATCH(F806,FmtName,0))</f>
        <v/>
      </c>
      <c r="W806" s="47">
        <f>T806*INDEX(ProvSRP,MATCH(G806,ProvCode,0))*(1+PriceIndex)</f>
        <v/>
      </c>
      <c r="X806" s="47">
        <f>IF(GrossBasis="Wholesale",V806,W806)</f>
        <v/>
      </c>
      <c r="Y806" s="47">
        <f>R806*INDEX(FmtBlendedCogs,MATCH(F806,FmtName,0))</f>
        <v/>
      </c>
      <c r="Z806" s="47">
        <f>X806-Y806</f>
        <v/>
      </c>
    </row>
    <row r="807">
      <c r="A807" t="n">
        <v>11</v>
      </c>
      <c r="B807" s="44">
        <f>FiscalStart+(A807-1)*7</f>
        <v/>
      </c>
      <c r="C807">
        <f>TEXT(B807,"mmm yyyy")</f>
        <v/>
      </c>
      <c r="D807">
        <f>"Q"&amp;(INT((A807-1)/13)+1)</f>
        <v/>
      </c>
      <c r="E807" t="inlineStr">
        <is>
          <t>On Premise</t>
        </is>
      </c>
      <c r="F807">
        <f>IFERROR(INDEX(ChFormat,MATCH(E807,ChName,0)),"")</f>
        <v/>
      </c>
      <c r="G807" t="inlineStr">
        <is>
          <t>QC</t>
        </is>
      </c>
      <c r="H807">
        <f>IF(A807&lt;=NWeeks,1,0)</f>
        <v/>
      </c>
      <c r="I807">
        <f>INDEX(ChLaunch,MATCH(E807,ChName,0))</f>
        <v/>
      </c>
      <c r="J807">
        <f>INDEX(ChWeeksFull,MATCH(E807,ChName,0))</f>
        <v/>
      </c>
      <c r="K807">
        <f>INDEX(ChRamp,MATCH(E807,ChName,0))</f>
        <v/>
      </c>
      <c r="L807" s="45">
        <f>MIN(1,MAX(0,(A807-I807+1)*RampSpeed/J807))</f>
        <v/>
      </c>
      <c r="M807" s="45">
        <f>IF(A807&lt;I807,0,IF(K807="S-curve",L807*L807*(3-2*L807),L807))</f>
        <v/>
      </c>
      <c r="N807" s="45">
        <f>1+(INDEX(SeasonIdx,A807)-1)*SeasonAmp</f>
        <v/>
      </c>
      <c r="O807" s="45">
        <f>IFERROR(INDEX(PSPct,MATCH(E807&amp;"|"&amp;G807,PSKey,0)),0)</f>
        <v/>
      </c>
      <c r="P807" s="46">
        <f>INDEX(ChDoorVel,MATCH(E807,ChName,0))*CalibScalar*(1+VelocityUplift)</f>
        <v/>
      </c>
      <c r="Q807" s="46" t="n">
        <v>0</v>
      </c>
      <c r="R807" s="46">
        <f>P807*O807*M807*N807*H807</f>
        <v/>
      </c>
      <c r="S807" s="46">
        <f>R807*INDEX(FmtCansPerCase,MATCH(F807,FmtName,0))</f>
        <v/>
      </c>
      <c r="T807" s="46">
        <f>S807/INDEX(FmtCansPerPack,MATCH(F807,FmtName,0))</f>
        <v/>
      </c>
      <c r="U807" s="47">
        <f>INDEX(ChBaseCP,MATCH(E807,ChName,0))*(1+INDEX(ProvMod,MATCH(G807,ProvCode,0)))*(1+PriceIndex)</f>
        <v/>
      </c>
      <c r="V807" s="47">
        <f>R807*U807*INDEX(FmtBlendedPriceIdx,MATCH(F807,FmtName,0))</f>
        <v/>
      </c>
      <c r="W807" s="47">
        <f>T807*INDEX(ProvSRP,MATCH(G807,ProvCode,0))*(1+PriceIndex)</f>
        <v/>
      </c>
      <c r="X807" s="47">
        <f>IF(GrossBasis="Wholesale",V807,W807)</f>
        <v/>
      </c>
      <c r="Y807" s="47">
        <f>R807*INDEX(FmtBlendedCogs,MATCH(F807,FmtName,0))</f>
        <v/>
      </c>
      <c r="Z807" s="47">
        <f>X807-Y807</f>
        <v/>
      </c>
    </row>
    <row r="808">
      <c r="A808" t="n">
        <v>12</v>
      </c>
      <c r="B808" s="44">
        <f>FiscalStart+(A808-1)*7</f>
        <v/>
      </c>
      <c r="C808">
        <f>TEXT(B808,"mmm yyyy")</f>
        <v/>
      </c>
      <c r="D808">
        <f>"Q"&amp;(INT((A808-1)/13)+1)</f>
        <v/>
      </c>
      <c r="E808" t="inlineStr">
        <is>
          <t>On Premise</t>
        </is>
      </c>
      <c r="F808">
        <f>IFERROR(INDEX(ChFormat,MATCH(E808,ChName,0)),"")</f>
        <v/>
      </c>
      <c r="G808" t="inlineStr">
        <is>
          <t>QC</t>
        </is>
      </c>
      <c r="H808">
        <f>IF(A808&lt;=NWeeks,1,0)</f>
        <v/>
      </c>
      <c r="I808">
        <f>INDEX(ChLaunch,MATCH(E808,ChName,0))</f>
        <v/>
      </c>
      <c r="J808">
        <f>INDEX(ChWeeksFull,MATCH(E808,ChName,0))</f>
        <v/>
      </c>
      <c r="K808">
        <f>INDEX(ChRamp,MATCH(E808,ChName,0))</f>
        <v/>
      </c>
      <c r="L808" s="45">
        <f>MIN(1,MAX(0,(A808-I808+1)*RampSpeed/J808))</f>
        <v/>
      </c>
      <c r="M808" s="45">
        <f>IF(A808&lt;I808,0,IF(K808="S-curve",L808*L808*(3-2*L808),L808))</f>
        <v/>
      </c>
      <c r="N808" s="45">
        <f>1+(INDEX(SeasonIdx,A808)-1)*SeasonAmp</f>
        <v/>
      </c>
      <c r="O808" s="45">
        <f>IFERROR(INDEX(PSPct,MATCH(E808&amp;"|"&amp;G808,PSKey,0)),0)</f>
        <v/>
      </c>
      <c r="P808" s="46">
        <f>INDEX(ChDoorVel,MATCH(E808,ChName,0))*CalibScalar*(1+VelocityUplift)</f>
        <v/>
      </c>
      <c r="Q808" s="46" t="n">
        <v>0</v>
      </c>
      <c r="R808" s="46">
        <f>P808*O808*M808*N808*H808</f>
        <v/>
      </c>
      <c r="S808" s="46">
        <f>R808*INDEX(FmtCansPerCase,MATCH(F808,FmtName,0))</f>
        <v/>
      </c>
      <c r="T808" s="46">
        <f>S808/INDEX(FmtCansPerPack,MATCH(F808,FmtName,0))</f>
        <v/>
      </c>
      <c r="U808" s="47">
        <f>INDEX(ChBaseCP,MATCH(E808,ChName,0))*(1+INDEX(ProvMod,MATCH(G808,ProvCode,0)))*(1+PriceIndex)</f>
        <v/>
      </c>
      <c r="V808" s="47">
        <f>R808*U808*INDEX(FmtBlendedPriceIdx,MATCH(F808,FmtName,0))</f>
        <v/>
      </c>
      <c r="W808" s="47">
        <f>T808*INDEX(ProvSRP,MATCH(G808,ProvCode,0))*(1+PriceIndex)</f>
        <v/>
      </c>
      <c r="X808" s="47">
        <f>IF(GrossBasis="Wholesale",V808,W808)</f>
        <v/>
      </c>
      <c r="Y808" s="47">
        <f>R808*INDEX(FmtBlendedCogs,MATCH(F808,FmtName,0))</f>
        <v/>
      </c>
      <c r="Z808" s="47">
        <f>X808-Y808</f>
        <v/>
      </c>
    </row>
    <row r="809">
      <c r="A809" t="n">
        <v>13</v>
      </c>
      <c r="B809" s="44">
        <f>FiscalStart+(A809-1)*7</f>
        <v/>
      </c>
      <c r="C809">
        <f>TEXT(B809,"mmm yyyy")</f>
        <v/>
      </c>
      <c r="D809">
        <f>"Q"&amp;(INT((A809-1)/13)+1)</f>
        <v/>
      </c>
      <c r="E809" t="inlineStr">
        <is>
          <t>On Premise</t>
        </is>
      </c>
      <c r="F809">
        <f>IFERROR(INDEX(ChFormat,MATCH(E809,ChName,0)),"")</f>
        <v/>
      </c>
      <c r="G809" t="inlineStr">
        <is>
          <t>QC</t>
        </is>
      </c>
      <c r="H809">
        <f>IF(A809&lt;=NWeeks,1,0)</f>
        <v/>
      </c>
      <c r="I809">
        <f>INDEX(ChLaunch,MATCH(E809,ChName,0))</f>
        <v/>
      </c>
      <c r="J809">
        <f>INDEX(ChWeeksFull,MATCH(E809,ChName,0))</f>
        <v/>
      </c>
      <c r="K809">
        <f>INDEX(ChRamp,MATCH(E809,ChName,0))</f>
        <v/>
      </c>
      <c r="L809" s="45">
        <f>MIN(1,MAX(0,(A809-I809+1)*RampSpeed/J809))</f>
        <v/>
      </c>
      <c r="M809" s="45">
        <f>IF(A809&lt;I809,0,IF(K809="S-curve",L809*L809*(3-2*L809),L809))</f>
        <v/>
      </c>
      <c r="N809" s="45">
        <f>1+(INDEX(SeasonIdx,A809)-1)*SeasonAmp</f>
        <v/>
      </c>
      <c r="O809" s="45">
        <f>IFERROR(INDEX(PSPct,MATCH(E809&amp;"|"&amp;G809,PSKey,0)),0)</f>
        <v/>
      </c>
      <c r="P809" s="46">
        <f>INDEX(ChDoorVel,MATCH(E809,ChName,0))*CalibScalar*(1+VelocityUplift)</f>
        <v/>
      </c>
      <c r="Q809" s="46" t="n">
        <v>0</v>
      </c>
      <c r="R809" s="46">
        <f>P809*O809*M809*N809*H809</f>
        <v/>
      </c>
      <c r="S809" s="46">
        <f>R809*INDEX(FmtCansPerCase,MATCH(F809,FmtName,0))</f>
        <v/>
      </c>
      <c r="T809" s="46">
        <f>S809/INDEX(FmtCansPerPack,MATCH(F809,FmtName,0))</f>
        <v/>
      </c>
      <c r="U809" s="47">
        <f>INDEX(ChBaseCP,MATCH(E809,ChName,0))*(1+INDEX(ProvMod,MATCH(G809,ProvCode,0)))*(1+PriceIndex)</f>
        <v/>
      </c>
      <c r="V809" s="47">
        <f>R809*U809*INDEX(FmtBlendedPriceIdx,MATCH(F809,FmtName,0))</f>
        <v/>
      </c>
      <c r="W809" s="47">
        <f>T809*INDEX(ProvSRP,MATCH(G809,ProvCode,0))*(1+PriceIndex)</f>
        <v/>
      </c>
      <c r="X809" s="47">
        <f>IF(GrossBasis="Wholesale",V809,W809)</f>
        <v/>
      </c>
      <c r="Y809" s="47">
        <f>R809*INDEX(FmtBlendedCogs,MATCH(F809,FmtName,0))</f>
        <v/>
      </c>
      <c r="Z809" s="47">
        <f>X809-Y809</f>
        <v/>
      </c>
    </row>
    <row r="810">
      <c r="A810" t="n">
        <v>14</v>
      </c>
      <c r="B810" s="44">
        <f>FiscalStart+(A810-1)*7</f>
        <v/>
      </c>
      <c r="C810">
        <f>TEXT(B810,"mmm yyyy")</f>
        <v/>
      </c>
      <c r="D810">
        <f>"Q"&amp;(INT((A810-1)/13)+1)</f>
        <v/>
      </c>
      <c r="E810" t="inlineStr">
        <is>
          <t>On Premise</t>
        </is>
      </c>
      <c r="F810">
        <f>IFERROR(INDEX(ChFormat,MATCH(E810,ChName,0)),"")</f>
        <v/>
      </c>
      <c r="G810" t="inlineStr">
        <is>
          <t>QC</t>
        </is>
      </c>
      <c r="H810">
        <f>IF(A810&lt;=NWeeks,1,0)</f>
        <v/>
      </c>
      <c r="I810">
        <f>INDEX(ChLaunch,MATCH(E810,ChName,0))</f>
        <v/>
      </c>
      <c r="J810">
        <f>INDEX(ChWeeksFull,MATCH(E810,ChName,0))</f>
        <v/>
      </c>
      <c r="K810">
        <f>INDEX(ChRamp,MATCH(E810,ChName,0))</f>
        <v/>
      </c>
      <c r="L810" s="45">
        <f>MIN(1,MAX(0,(A810-I810+1)*RampSpeed/J810))</f>
        <v/>
      </c>
      <c r="M810" s="45">
        <f>IF(A810&lt;I810,0,IF(K810="S-curve",L810*L810*(3-2*L810),L810))</f>
        <v/>
      </c>
      <c r="N810" s="45">
        <f>1+(INDEX(SeasonIdx,A810)-1)*SeasonAmp</f>
        <v/>
      </c>
      <c r="O810" s="45">
        <f>IFERROR(INDEX(PSPct,MATCH(E810&amp;"|"&amp;G810,PSKey,0)),0)</f>
        <v/>
      </c>
      <c r="P810" s="46">
        <f>INDEX(ChDoorVel,MATCH(E810,ChName,0))*CalibScalar*(1+VelocityUplift)</f>
        <v/>
      </c>
      <c r="Q810" s="46" t="n">
        <v>0</v>
      </c>
      <c r="R810" s="46">
        <f>P810*O810*M810*N810*H810</f>
        <v/>
      </c>
      <c r="S810" s="46">
        <f>R810*INDEX(FmtCansPerCase,MATCH(F810,FmtName,0))</f>
        <v/>
      </c>
      <c r="T810" s="46">
        <f>S810/INDEX(FmtCansPerPack,MATCH(F810,FmtName,0))</f>
        <v/>
      </c>
      <c r="U810" s="47">
        <f>INDEX(ChBaseCP,MATCH(E810,ChName,0))*(1+INDEX(ProvMod,MATCH(G810,ProvCode,0)))*(1+PriceIndex)</f>
        <v/>
      </c>
      <c r="V810" s="47">
        <f>R810*U810*INDEX(FmtBlendedPriceIdx,MATCH(F810,FmtName,0))</f>
        <v/>
      </c>
      <c r="W810" s="47">
        <f>T810*INDEX(ProvSRP,MATCH(G810,ProvCode,0))*(1+PriceIndex)</f>
        <v/>
      </c>
      <c r="X810" s="47">
        <f>IF(GrossBasis="Wholesale",V810,W810)</f>
        <v/>
      </c>
      <c r="Y810" s="47">
        <f>R810*INDEX(FmtBlendedCogs,MATCH(F810,FmtName,0))</f>
        <v/>
      </c>
      <c r="Z810" s="47">
        <f>X810-Y810</f>
        <v/>
      </c>
    </row>
    <row r="811">
      <c r="A811" t="n">
        <v>15</v>
      </c>
      <c r="B811" s="44">
        <f>FiscalStart+(A811-1)*7</f>
        <v/>
      </c>
      <c r="C811">
        <f>TEXT(B811,"mmm yyyy")</f>
        <v/>
      </c>
      <c r="D811">
        <f>"Q"&amp;(INT((A811-1)/13)+1)</f>
        <v/>
      </c>
      <c r="E811" t="inlineStr">
        <is>
          <t>On Premise</t>
        </is>
      </c>
      <c r="F811">
        <f>IFERROR(INDEX(ChFormat,MATCH(E811,ChName,0)),"")</f>
        <v/>
      </c>
      <c r="G811" t="inlineStr">
        <is>
          <t>QC</t>
        </is>
      </c>
      <c r="H811">
        <f>IF(A811&lt;=NWeeks,1,0)</f>
        <v/>
      </c>
      <c r="I811">
        <f>INDEX(ChLaunch,MATCH(E811,ChName,0))</f>
        <v/>
      </c>
      <c r="J811">
        <f>INDEX(ChWeeksFull,MATCH(E811,ChName,0))</f>
        <v/>
      </c>
      <c r="K811">
        <f>INDEX(ChRamp,MATCH(E811,ChName,0))</f>
        <v/>
      </c>
      <c r="L811" s="45">
        <f>MIN(1,MAX(0,(A811-I811+1)*RampSpeed/J811))</f>
        <v/>
      </c>
      <c r="M811" s="45">
        <f>IF(A811&lt;I811,0,IF(K811="S-curve",L811*L811*(3-2*L811),L811))</f>
        <v/>
      </c>
      <c r="N811" s="45">
        <f>1+(INDEX(SeasonIdx,A811)-1)*SeasonAmp</f>
        <v/>
      </c>
      <c r="O811" s="45">
        <f>IFERROR(INDEX(PSPct,MATCH(E811&amp;"|"&amp;G811,PSKey,0)),0)</f>
        <v/>
      </c>
      <c r="P811" s="46">
        <f>INDEX(ChDoorVel,MATCH(E811,ChName,0))*CalibScalar*(1+VelocityUplift)</f>
        <v/>
      </c>
      <c r="Q811" s="46" t="n">
        <v>0</v>
      </c>
      <c r="R811" s="46">
        <f>P811*O811*M811*N811*H811</f>
        <v/>
      </c>
      <c r="S811" s="46">
        <f>R811*INDEX(FmtCansPerCase,MATCH(F811,FmtName,0))</f>
        <v/>
      </c>
      <c r="T811" s="46">
        <f>S811/INDEX(FmtCansPerPack,MATCH(F811,FmtName,0))</f>
        <v/>
      </c>
      <c r="U811" s="47">
        <f>INDEX(ChBaseCP,MATCH(E811,ChName,0))*(1+INDEX(ProvMod,MATCH(G811,ProvCode,0)))*(1+PriceIndex)</f>
        <v/>
      </c>
      <c r="V811" s="47">
        <f>R811*U811*INDEX(FmtBlendedPriceIdx,MATCH(F811,FmtName,0))</f>
        <v/>
      </c>
      <c r="W811" s="47">
        <f>T811*INDEX(ProvSRP,MATCH(G811,ProvCode,0))*(1+PriceIndex)</f>
        <v/>
      </c>
      <c r="X811" s="47">
        <f>IF(GrossBasis="Wholesale",V811,W811)</f>
        <v/>
      </c>
      <c r="Y811" s="47">
        <f>R811*INDEX(FmtBlendedCogs,MATCH(F811,FmtName,0))</f>
        <v/>
      </c>
      <c r="Z811" s="47">
        <f>X811-Y811</f>
        <v/>
      </c>
    </row>
    <row r="812">
      <c r="A812" t="n">
        <v>16</v>
      </c>
      <c r="B812" s="44">
        <f>FiscalStart+(A812-1)*7</f>
        <v/>
      </c>
      <c r="C812">
        <f>TEXT(B812,"mmm yyyy")</f>
        <v/>
      </c>
      <c r="D812">
        <f>"Q"&amp;(INT((A812-1)/13)+1)</f>
        <v/>
      </c>
      <c r="E812" t="inlineStr">
        <is>
          <t>On Premise</t>
        </is>
      </c>
      <c r="F812">
        <f>IFERROR(INDEX(ChFormat,MATCH(E812,ChName,0)),"")</f>
        <v/>
      </c>
      <c r="G812" t="inlineStr">
        <is>
          <t>QC</t>
        </is>
      </c>
      <c r="H812">
        <f>IF(A812&lt;=NWeeks,1,0)</f>
        <v/>
      </c>
      <c r="I812">
        <f>INDEX(ChLaunch,MATCH(E812,ChName,0))</f>
        <v/>
      </c>
      <c r="J812">
        <f>INDEX(ChWeeksFull,MATCH(E812,ChName,0))</f>
        <v/>
      </c>
      <c r="K812">
        <f>INDEX(ChRamp,MATCH(E812,ChName,0))</f>
        <v/>
      </c>
      <c r="L812" s="45">
        <f>MIN(1,MAX(0,(A812-I812+1)*RampSpeed/J812))</f>
        <v/>
      </c>
      <c r="M812" s="45">
        <f>IF(A812&lt;I812,0,IF(K812="S-curve",L812*L812*(3-2*L812),L812))</f>
        <v/>
      </c>
      <c r="N812" s="45">
        <f>1+(INDEX(SeasonIdx,A812)-1)*SeasonAmp</f>
        <v/>
      </c>
      <c r="O812" s="45">
        <f>IFERROR(INDEX(PSPct,MATCH(E812&amp;"|"&amp;G812,PSKey,0)),0)</f>
        <v/>
      </c>
      <c r="P812" s="46">
        <f>INDEX(ChDoorVel,MATCH(E812,ChName,0))*CalibScalar*(1+VelocityUplift)</f>
        <v/>
      </c>
      <c r="Q812" s="46" t="n">
        <v>0</v>
      </c>
      <c r="R812" s="46">
        <f>P812*O812*M812*N812*H812</f>
        <v/>
      </c>
      <c r="S812" s="46">
        <f>R812*INDEX(FmtCansPerCase,MATCH(F812,FmtName,0))</f>
        <v/>
      </c>
      <c r="T812" s="46">
        <f>S812/INDEX(FmtCansPerPack,MATCH(F812,FmtName,0))</f>
        <v/>
      </c>
      <c r="U812" s="47">
        <f>INDEX(ChBaseCP,MATCH(E812,ChName,0))*(1+INDEX(ProvMod,MATCH(G812,ProvCode,0)))*(1+PriceIndex)</f>
        <v/>
      </c>
      <c r="V812" s="47">
        <f>R812*U812*INDEX(FmtBlendedPriceIdx,MATCH(F812,FmtName,0))</f>
        <v/>
      </c>
      <c r="W812" s="47">
        <f>T812*INDEX(ProvSRP,MATCH(G812,ProvCode,0))*(1+PriceIndex)</f>
        <v/>
      </c>
      <c r="X812" s="47">
        <f>IF(GrossBasis="Wholesale",V812,W812)</f>
        <v/>
      </c>
      <c r="Y812" s="47">
        <f>R812*INDEX(FmtBlendedCogs,MATCH(F812,FmtName,0))</f>
        <v/>
      </c>
      <c r="Z812" s="47">
        <f>X812-Y812</f>
        <v/>
      </c>
    </row>
    <row r="813">
      <c r="A813" t="n">
        <v>17</v>
      </c>
      <c r="B813" s="44">
        <f>FiscalStart+(A813-1)*7</f>
        <v/>
      </c>
      <c r="C813">
        <f>TEXT(B813,"mmm yyyy")</f>
        <v/>
      </c>
      <c r="D813">
        <f>"Q"&amp;(INT((A813-1)/13)+1)</f>
        <v/>
      </c>
      <c r="E813" t="inlineStr">
        <is>
          <t>On Premise</t>
        </is>
      </c>
      <c r="F813">
        <f>IFERROR(INDEX(ChFormat,MATCH(E813,ChName,0)),"")</f>
        <v/>
      </c>
      <c r="G813" t="inlineStr">
        <is>
          <t>QC</t>
        </is>
      </c>
      <c r="H813">
        <f>IF(A813&lt;=NWeeks,1,0)</f>
        <v/>
      </c>
      <c r="I813">
        <f>INDEX(ChLaunch,MATCH(E813,ChName,0))</f>
        <v/>
      </c>
      <c r="J813">
        <f>INDEX(ChWeeksFull,MATCH(E813,ChName,0))</f>
        <v/>
      </c>
      <c r="K813">
        <f>INDEX(ChRamp,MATCH(E813,ChName,0))</f>
        <v/>
      </c>
      <c r="L813" s="45">
        <f>MIN(1,MAX(0,(A813-I813+1)*RampSpeed/J813))</f>
        <v/>
      </c>
      <c r="M813" s="45">
        <f>IF(A813&lt;I813,0,IF(K813="S-curve",L813*L813*(3-2*L813),L813))</f>
        <v/>
      </c>
      <c r="N813" s="45">
        <f>1+(INDEX(SeasonIdx,A813)-1)*SeasonAmp</f>
        <v/>
      </c>
      <c r="O813" s="45">
        <f>IFERROR(INDEX(PSPct,MATCH(E813&amp;"|"&amp;G813,PSKey,0)),0)</f>
        <v/>
      </c>
      <c r="P813" s="46">
        <f>INDEX(ChDoorVel,MATCH(E813,ChName,0))*CalibScalar*(1+VelocityUplift)</f>
        <v/>
      </c>
      <c r="Q813" s="46" t="n">
        <v>0</v>
      </c>
      <c r="R813" s="46">
        <f>P813*O813*M813*N813*H813</f>
        <v/>
      </c>
      <c r="S813" s="46">
        <f>R813*INDEX(FmtCansPerCase,MATCH(F813,FmtName,0))</f>
        <v/>
      </c>
      <c r="T813" s="46">
        <f>S813/INDEX(FmtCansPerPack,MATCH(F813,FmtName,0))</f>
        <v/>
      </c>
      <c r="U813" s="47">
        <f>INDEX(ChBaseCP,MATCH(E813,ChName,0))*(1+INDEX(ProvMod,MATCH(G813,ProvCode,0)))*(1+PriceIndex)</f>
        <v/>
      </c>
      <c r="V813" s="47">
        <f>R813*U813*INDEX(FmtBlendedPriceIdx,MATCH(F813,FmtName,0))</f>
        <v/>
      </c>
      <c r="W813" s="47">
        <f>T813*INDEX(ProvSRP,MATCH(G813,ProvCode,0))*(1+PriceIndex)</f>
        <v/>
      </c>
      <c r="X813" s="47">
        <f>IF(GrossBasis="Wholesale",V813,W813)</f>
        <v/>
      </c>
      <c r="Y813" s="47">
        <f>R813*INDEX(FmtBlendedCogs,MATCH(F813,FmtName,0))</f>
        <v/>
      </c>
      <c r="Z813" s="47">
        <f>X813-Y813</f>
        <v/>
      </c>
    </row>
    <row r="814">
      <c r="A814" t="n">
        <v>18</v>
      </c>
      <c r="B814" s="44">
        <f>FiscalStart+(A814-1)*7</f>
        <v/>
      </c>
      <c r="C814">
        <f>TEXT(B814,"mmm yyyy")</f>
        <v/>
      </c>
      <c r="D814">
        <f>"Q"&amp;(INT((A814-1)/13)+1)</f>
        <v/>
      </c>
      <c r="E814" t="inlineStr">
        <is>
          <t>On Premise</t>
        </is>
      </c>
      <c r="F814">
        <f>IFERROR(INDEX(ChFormat,MATCH(E814,ChName,0)),"")</f>
        <v/>
      </c>
      <c r="G814" t="inlineStr">
        <is>
          <t>QC</t>
        </is>
      </c>
      <c r="H814">
        <f>IF(A814&lt;=NWeeks,1,0)</f>
        <v/>
      </c>
      <c r="I814">
        <f>INDEX(ChLaunch,MATCH(E814,ChName,0))</f>
        <v/>
      </c>
      <c r="J814">
        <f>INDEX(ChWeeksFull,MATCH(E814,ChName,0))</f>
        <v/>
      </c>
      <c r="K814">
        <f>INDEX(ChRamp,MATCH(E814,ChName,0))</f>
        <v/>
      </c>
      <c r="L814" s="45">
        <f>MIN(1,MAX(0,(A814-I814+1)*RampSpeed/J814))</f>
        <v/>
      </c>
      <c r="M814" s="45">
        <f>IF(A814&lt;I814,0,IF(K814="S-curve",L814*L814*(3-2*L814),L814))</f>
        <v/>
      </c>
      <c r="N814" s="45">
        <f>1+(INDEX(SeasonIdx,A814)-1)*SeasonAmp</f>
        <v/>
      </c>
      <c r="O814" s="45">
        <f>IFERROR(INDEX(PSPct,MATCH(E814&amp;"|"&amp;G814,PSKey,0)),0)</f>
        <v/>
      </c>
      <c r="P814" s="46">
        <f>INDEX(ChDoorVel,MATCH(E814,ChName,0))*CalibScalar*(1+VelocityUplift)</f>
        <v/>
      </c>
      <c r="Q814" s="46" t="n">
        <v>0</v>
      </c>
      <c r="R814" s="46">
        <f>P814*O814*M814*N814*H814</f>
        <v/>
      </c>
      <c r="S814" s="46">
        <f>R814*INDEX(FmtCansPerCase,MATCH(F814,FmtName,0))</f>
        <v/>
      </c>
      <c r="T814" s="46">
        <f>S814/INDEX(FmtCansPerPack,MATCH(F814,FmtName,0))</f>
        <v/>
      </c>
      <c r="U814" s="47">
        <f>INDEX(ChBaseCP,MATCH(E814,ChName,0))*(1+INDEX(ProvMod,MATCH(G814,ProvCode,0)))*(1+PriceIndex)</f>
        <v/>
      </c>
      <c r="V814" s="47">
        <f>R814*U814*INDEX(FmtBlendedPriceIdx,MATCH(F814,FmtName,0))</f>
        <v/>
      </c>
      <c r="W814" s="47">
        <f>T814*INDEX(ProvSRP,MATCH(G814,ProvCode,0))*(1+PriceIndex)</f>
        <v/>
      </c>
      <c r="X814" s="47">
        <f>IF(GrossBasis="Wholesale",V814,W814)</f>
        <v/>
      </c>
      <c r="Y814" s="47">
        <f>R814*INDEX(FmtBlendedCogs,MATCH(F814,FmtName,0))</f>
        <v/>
      </c>
      <c r="Z814" s="47">
        <f>X814-Y814</f>
        <v/>
      </c>
    </row>
    <row r="815">
      <c r="A815" t="n">
        <v>19</v>
      </c>
      <c r="B815" s="44">
        <f>FiscalStart+(A815-1)*7</f>
        <v/>
      </c>
      <c r="C815">
        <f>TEXT(B815,"mmm yyyy")</f>
        <v/>
      </c>
      <c r="D815">
        <f>"Q"&amp;(INT((A815-1)/13)+1)</f>
        <v/>
      </c>
      <c r="E815" t="inlineStr">
        <is>
          <t>On Premise</t>
        </is>
      </c>
      <c r="F815">
        <f>IFERROR(INDEX(ChFormat,MATCH(E815,ChName,0)),"")</f>
        <v/>
      </c>
      <c r="G815" t="inlineStr">
        <is>
          <t>QC</t>
        </is>
      </c>
      <c r="H815">
        <f>IF(A815&lt;=NWeeks,1,0)</f>
        <v/>
      </c>
      <c r="I815">
        <f>INDEX(ChLaunch,MATCH(E815,ChName,0))</f>
        <v/>
      </c>
      <c r="J815">
        <f>INDEX(ChWeeksFull,MATCH(E815,ChName,0))</f>
        <v/>
      </c>
      <c r="K815">
        <f>INDEX(ChRamp,MATCH(E815,ChName,0))</f>
        <v/>
      </c>
      <c r="L815" s="45">
        <f>MIN(1,MAX(0,(A815-I815+1)*RampSpeed/J815))</f>
        <v/>
      </c>
      <c r="M815" s="45">
        <f>IF(A815&lt;I815,0,IF(K815="S-curve",L815*L815*(3-2*L815),L815))</f>
        <v/>
      </c>
      <c r="N815" s="45">
        <f>1+(INDEX(SeasonIdx,A815)-1)*SeasonAmp</f>
        <v/>
      </c>
      <c r="O815" s="45">
        <f>IFERROR(INDEX(PSPct,MATCH(E815&amp;"|"&amp;G815,PSKey,0)),0)</f>
        <v/>
      </c>
      <c r="P815" s="46">
        <f>INDEX(ChDoorVel,MATCH(E815,ChName,0))*CalibScalar*(1+VelocityUplift)</f>
        <v/>
      </c>
      <c r="Q815" s="46" t="n">
        <v>0</v>
      </c>
      <c r="R815" s="46">
        <f>P815*O815*M815*N815*H815</f>
        <v/>
      </c>
      <c r="S815" s="46">
        <f>R815*INDEX(FmtCansPerCase,MATCH(F815,FmtName,0))</f>
        <v/>
      </c>
      <c r="T815" s="46">
        <f>S815/INDEX(FmtCansPerPack,MATCH(F815,FmtName,0))</f>
        <v/>
      </c>
      <c r="U815" s="47">
        <f>INDEX(ChBaseCP,MATCH(E815,ChName,0))*(1+INDEX(ProvMod,MATCH(G815,ProvCode,0)))*(1+PriceIndex)</f>
        <v/>
      </c>
      <c r="V815" s="47">
        <f>R815*U815*INDEX(FmtBlendedPriceIdx,MATCH(F815,FmtName,0))</f>
        <v/>
      </c>
      <c r="W815" s="47">
        <f>T815*INDEX(ProvSRP,MATCH(G815,ProvCode,0))*(1+PriceIndex)</f>
        <v/>
      </c>
      <c r="X815" s="47">
        <f>IF(GrossBasis="Wholesale",V815,W815)</f>
        <v/>
      </c>
      <c r="Y815" s="47">
        <f>R815*INDEX(FmtBlendedCogs,MATCH(F815,FmtName,0))</f>
        <v/>
      </c>
      <c r="Z815" s="47">
        <f>X815-Y815</f>
        <v/>
      </c>
    </row>
    <row r="816">
      <c r="A816" t="n">
        <v>20</v>
      </c>
      <c r="B816" s="44">
        <f>FiscalStart+(A816-1)*7</f>
        <v/>
      </c>
      <c r="C816">
        <f>TEXT(B816,"mmm yyyy")</f>
        <v/>
      </c>
      <c r="D816">
        <f>"Q"&amp;(INT((A816-1)/13)+1)</f>
        <v/>
      </c>
      <c r="E816" t="inlineStr">
        <is>
          <t>On Premise</t>
        </is>
      </c>
      <c r="F816">
        <f>IFERROR(INDEX(ChFormat,MATCH(E816,ChName,0)),"")</f>
        <v/>
      </c>
      <c r="G816" t="inlineStr">
        <is>
          <t>QC</t>
        </is>
      </c>
      <c r="H816">
        <f>IF(A816&lt;=NWeeks,1,0)</f>
        <v/>
      </c>
      <c r="I816">
        <f>INDEX(ChLaunch,MATCH(E816,ChName,0))</f>
        <v/>
      </c>
      <c r="J816">
        <f>INDEX(ChWeeksFull,MATCH(E816,ChName,0))</f>
        <v/>
      </c>
      <c r="K816">
        <f>INDEX(ChRamp,MATCH(E816,ChName,0))</f>
        <v/>
      </c>
      <c r="L816" s="45">
        <f>MIN(1,MAX(0,(A816-I816+1)*RampSpeed/J816))</f>
        <v/>
      </c>
      <c r="M816" s="45">
        <f>IF(A816&lt;I816,0,IF(K816="S-curve",L816*L816*(3-2*L816),L816))</f>
        <v/>
      </c>
      <c r="N816" s="45">
        <f>1+(INDEX(SeasonIdx,A816)-1)*SeasonAmp</f>
        <v/>
      </c>
      <c r="O816" s="45">
        <f>IFERROR(INDEX(PSPct,MATCH(E816&amp;"|"&amp;G816,PSKey,0)),0)</f>
        <v/>
      </c>
      <c r="P816" s="46">
        <f>INDEX(ChDoorVel,MATCH(E816,ChName,0))*CalibScalar*(1+VelocityUplift)</f>
        <v/>
      </c>
      <c r="Q816" s="46" t="n">
        <v>0</v>
      </c>
      <c r="R816" s="46">
        <f>P816*O816*M816*N816*H816</f>
        <v/>
      </c>
      <c r="S816" s="46">
        <f>R816*INDEX(FmtCansPerCase,MATCH(F816,FmtName,0))</f>
        <v/>
      </c>
      <c r="T816" s="46">
        <f>S816/INDEX(FmtCansPerPack,MATCH(F816,FmtName,0))</f>
        <v/>
      </c>
      <c r="U816" s="47">
        <f>INDEX(ChBaseCP,MATCH(E816,ChName,0))*(1+INDEX(ProvMod,MATCH(G816,ProvCode,0)))*(1+PriceIndex)</f>
        <v/>
      </c>
      <c r="V816" s="47">
        <f>R816*U816*INDEX(FmtBlendedPriceIdx,MATCH(F816,FmtName,0))</f>
        <v/>
      </c>
      <c r="W816" s="47">
        <f>T816*INDEX(ProvSRP,MATCH(G816,ProvCode,0))*(1+PriceIndex)</f>
        <v/>
      </c>
      <c r="X816" s="47">
        <f>IF(GrossBasis="Wholesale",V816,W816)</f>
        <v/>
      </c>
      <c r="Y816" s="47">
        <f>R816*INDEX(FmtBlendedCogs,MATCH(F816,FmtName,0))</f>
        <v/>
      </c>
      <c r="Z816" s="47">
        <f>X816-Y816</f>
        <v/>
      </c>
    </row>
    <row r="817">
      <c r="A817" t="n">
        <v>21</v>
      </c>
      <c r="B817" s="44">
        <f>FiscalStart+(A817-1)*7</f>
        <v/>
      </c>
      <c r="C817">
        <f>TEXT(B817,"mmm yyyy")</f>
        <v/>
      </c>
      <c r="D817">
        <f>"Q"&amp;(INT((A817-1)/13)+1)</f>
        <v/>
      </c>
      <c r="E817" t="inlineStr">
        <is>
          <t>On Premise</t>
        </is>
      </c>
      <c r="F817">
        <f>IFERROR(INDEX(ChFormat,MATCH(E817,ChName,0)),"")</f>
        <v/>
      </c>
      <c r="G817" t="inlineStr">
        <is>
          <t>QC</t>
        </is>
      </c>
      <c r="H817">
        <f>IF(A817&lt;=NWeeks,1,0)</f>
        <v/>
      </c>
      <c r="I817">
        <f>INDEX(ChLaunch,MATCH(E817,ChName,0))</f>
        <v/>
      </c>
      <c r="J817">
        <f>INDEX(ChWeeksFull,MATCH(E817,ChName,0))</f>
        <v/>
      </c>
      <c r="K817">
        <f>INDEX(ChRamp,MATCH(E817,ChName,0))</f>
        <v/>
      </c>
      <c r="L817" s="45">
        <f>MIN(1,MAX(0,(A817-I817+1)*RampSpeed/J817))</f>
        <v/>
      </c>
      <c r="M817" s="45">
        <f>IF(A817&lt;I817,0,IF(K817="S-curve",L817*L817*(3-2*L817),L817))</f>
        <v/>
      </c>
      <c r="N817" s="45">
        <f>1+(INDEX(SeasonIdx,A817)-1)*SeasonAmp</f>
        <v/>
      </c>
      <c r="O817" s="45">
        <f>IFERROR(INDEX(PSPct,MATCH(E817&amp;"|"&amp;G817,PSKey,0)),0)</f>
        <v/>
      </c>
      <c r="P817" s="46">
        <f>INDEX(ChDoorVel,MATCH(E817,ChName,0))*CalibScalar*(1+VelocityUplift)</f>
        <v/>
      </c>
      <c r="Q817" s="46" t="n">
        <v>0</v>
      </c>
      <c r="R817" s="46">
        <f>P817*O817*M817*N817*H817</f>
        <v/>
      </c>
      <c r="S817" s="46">
        <f>R817*INDEX(FmtCansPerCase,MATCH(F817,FmtName,0))</f>
        <v/>
      </c>
      <c r="T817" s="46">
        <f>S817/INDEX(FmtCansPerPack,MATCH(F817,FmtName,0))</f>
        <v/>
      </c>
      <c r="U817" s="47">
        <f>INDEX(ChBaseCP,MATCH(E817,ChName,0))*(1+INDEX(ProvMod,MATCH(G817,ProvCode,0)))*(1+PriceIndex)</f>
        <v/>
      </c>
      <c r="V817" s="47">
        <f>R817*U817*INDEX(FmtBlendedPriceIdx,MATCH(F817,FmtName,0))</f>
        <v/>
      </c>
      <c r="W817" s="47">
        <f>T817*INDEX(ProvSRP,MATCH(G817,ProvCode,0))*(1+PriceIndex)</f>
        <v/>
      </c>
      <c r="X817" s="47">
        <f>IF(GrossBasis="Wholesale",V817,W817)</f>
        <v/>
      </c>
      <c r="Y817" s="47">
        <f>R817*INDEX(FmtBlendedCogs,MATCH(F817,FmtName,0))</f>
        <v/>
      </c>
      <c r="Z817" s="47">
        <f>X817-Y817</f>
        <v/>
      </c>
    </row>
    <row r="818">
      <c r="A818" t="n">
        <v>22</v>
      </c>
      <c r="B818" s="44">
        <f>FiscalStart+(A818-1)*7</f>
        <v/>
      </c>
      <c r="C818">
        <f>TEXT(B818,"mmm yyyy")</f>
        <v/>
      </c>
      <c r="D818">
        <f>"Q"&amp;(INT((A818-1)/13)+1)</f>
        <v/>
      </c>
      <c r="E818" t="inlineStr">
        <is>
          <t>On Premise</t>
        </is>
      </c>
      <c r="F818">
        <f>IFERROR(INDEX(ChFormat,MATCH(E818,ChName,0)),"")</f>
        <v/>
      </c>
      <c r="G818" t="inlineStr">
        <is>
          <t>QC</t>
        </is>
      </c>
      <c r="H818">
        <f>IF(A818&lt;=NWeeks,1,0)</f>
        <v/>
      </c>
      <c r="I818">
        <f>INDEX(ChLaunch,MATCH(E818,ChName,0))</f>
        <v/>
      </c>
      <c r="J818">
        <f>INDEX(ChWeeksFull,MATCH(E818,ChName,0))</f>
        <v/>
      </c>
      <c r="K818">
        <f>INDEX(ChRamp,MATCH(E818,ChName,0))</f>
        <v/>
      </c>
      <c r="L818" s="45">
        <f>MIN(1,MAX(0,(A818-I818+1)*RampSpeed/J818))</f>
        <v/>
      </c>
      <c r="M818" s="45">
        <f>IF(A818&lt;I818,0,IF(K818="S-curve",L818*L818*(3-2*L818),L818))</f>
        <v/>
      </c>
      <c r="N818" s="45">
        <f>1+(INDEX(SeasonIdx,A818)-1)*SeasonAmp</f>
        <v/>
      </c>
      <c r="O818" s="45">
        <f>IFERROR(INDEX(PSPct,MATCH(E818&amp;"|"&amp;G818,PSKey,0)),0)</f>
        <v/>
      </c>
      <c r="P818" s="46">
        <f>INDEX(ChDoorVel,MATCH(E818,ChName,0))*CalibScalar*(1+VelocityUplift)</f>
        <v/>
      </c>
      <c r="Q818" s="46" t="n">
        <v>0</v>
      </c>
      <c r="R818" s="46">
        <f>P818*O818*M818*N818*H818</f>
        <v/>
      </c>
      <c r="S818" s="46">
        <f>R818*INDEX(FmtCansPerCase,MATCH(F818,FmtName,0))</f>
        <v/>
      </c>
      <c r="T818" s="46">
        <f>S818/INDEX(FmtCansPerPack,MATCH(F818,FmtName,0))</f>
        <v/>
      </c>
      <c r="U818" s="47">
        <f>INDEX(ChBaseCP,MATCH(E818,ChName,0))*(1+INDEX(ProvMod,MATCH(G818,ProvCode,0)))*(1+PriceIndex)</f>
        <v/>
      </c>
      <c r="V818" s="47">
        <f>R818*U818*INDEX(FmtBlendedPriceIdx,MATCH(F818,FmtName,0))</f>
        <v/>
      </c>
      <c r="W818" s="47">
        <f>T818*INDEX(ProvSRP,MATCH(G818,ProvCode,0))*(1+PriceIndex)</f>
        <v/>
      </c>
      <c r="X818" s="47">
        <f>IF(GrossBasis="Wholesale",V818,W818)</f>
        <v/>
      </c>
      <c r="Y818" s="47">
        <f>R818*INDEX(FmtBlendedCogs,MATCH(F818,FmtName,0))</f>
        <v/>
      </c>
      <c r="Z818" s="47">
        <f>X818-Y818</f>
        <v/>
      </c>
    </row>
    <row r="819">
      <c r="A819" t="n">
        <v>23</v>
      </c>
      <c r="B819" s="44">
        <f>FiscalStart+(A819-1)*7</f>
        <v/>
      </c>
      <c r="C819">
        <f>TEXT(B819,"mmm yyyy")</f>
        <v/>
      </c>
      <c r="D819">
        <f>"Q"&amp;(INT((A819-1)/13)+1)</f>
        <v/>
      </c>
      <c r="E819" t="inlineStr">
        <is>
          <t>On Premise</t>
        </is>
      </c>
      <c r="F819">
        <f>IFERROR(INDEX(ChFormat,MATCH(E819,ChName,0)),"")</f>
        <v/>
      </c>
      <c r="G819" t="inlineStr">
        <is>
          <t>QC</t>
        </is>
      </c>
      <c r="H819">
        <f>IF(A819&lt;=NWeeks,1,0)</f>
        <v/>
      </c>
      <c r="I819">
        <f>INDEX(ChLaunch,MATCH(E819,ChName,0))</f>
        <v/>
      </c>
      <c r="J819">
        <f>INDEX(ChWeeksFull,MATCH(E819,ChName,0))</f>
        <v/>
      </c>
      <c r="K819">
        <f>INDEX(ChRamp,MATCH(E819,ChName,0))</f>
        <v/>
      </c>
      <c r="L819" s="45">
        <f>MIN(1,MAX(0,(A819-I819+1)*RampSpeed/J819))</f>
        <v/>
      </c>
      <c r="M819" s="45">
        <f>IF(A819&lt;I819,0,IF(K819="S-curve",L819*L819*(3-2*L819),L819))</f>
        <v/>
      </c>
      <c r="N819" s="45">
        <f>1+(INDEX(SeasonIdx,A819)-1)*SeasonAmp</f>
        <v/>
      </c>
      <c r="O819" s="45">
        <f>IFERROR(INDEX(PSPct,MATCH(E819&amp;"|"&amp;G819,PSKey,0)),0)</f>
        <v/>
      </c>
      <c r="P819" s="46">
        <f>INDEX(ChDoorVel,MATCH(E819,ChName,0))*CalibScalar*(1+VelocityUplift)</f>
        <v/>
      </c>
      <c r="Q819" s="46" t="n">
        <v>0</v>
      </c>
      <c r="R819" s="46">
        <f>P819*O819*M819*N819*H819</f>
        <v/>
      </c>
      <c r="S819" s="46">
        <f>R819*INDEX(FmtCansPerCase,MATCH(F819,FmtName,0))</f>
        <v/>
      </c>
      <c r="T819" s="46">
        <f>S819/INDEX(FmtCansPerPack,MATCH(F819,FmtName,0))</f>
        <v/>
      </c>
      <c r="U819" s="47">
        <f>INDEX(ChBaseCP,MATCH(E819,ChName,0))*(1+INDEX(ProvMod,MATCH(G819,ProvCode,0)))*(1+PriceIndex)</f>
        <v/>
      </c>
      <c r="V819" s="47">
        <f>R819*U819*INDEX(FmtBlendedPriceIdx,MATCH(F819,FmtName,0))</f>
        <v/>
      </c>
      <c r="W819" s="47">
        <f>T819*INDEX(ProvSRP,MATCH(G819,ProvCode,0))*(1+PriceIndex)</f>
        <v/>
      </c>
      <c r="X819" s="47">
        <f>IF(GrossBasis="Wholesale",V819,W819)</f>
        <v/>
      </c>
      <c r="Y819" s="47">
        <f>R819*INDEX(FmtBlendedCogs,MATCH(F819,FmtName,0))</f>
        <v/>
      </c>
      <c r="Z819" s="47">
        <f>X819-Y819</f>
        <v/>
      </c>
    </row>
    <row r="820">
      <c r="A820" t="n">
        <v>24</v>
      </c>
      <c r="B820" s="44">
        <f>FiscalStart+(A820-1)*7</f>
        <v/>
      </c>
      <c r="C820">
        <f>TEXT(B820,"mmm yyyy")</f>
        <v/>
      </c>
      <c r="D820">
        <f>"Q"&amp;(INT((A820-1)/13)+1)</f>
        <v/>
      </c>
      <c r="E820" t="inlineStr">
        <is>
          <t>On Premise</t>
        </is>
      </c>
      <c r="F820">
        <f>IFERROR(INDEX(ChFormat,MATCH(E820,ChName,0)),"")</f>
        <v/>
      </c>
      <c r="G820" t="inlineStr">
        <is>
          <t>QC</t>
        </is>
      </c>
      <c r="H820">
        <f>IF(A820&lt;=NWeeks,1,0)</f>
        <v/>
      </c>
      <c r="I820">
        <f>INDEX(ChLaunch,MATCH(E820,ChName,0))</f>
        <v/>
      </c>
      <c r="J820">
        <f>INDEX(ChWeeksFull,MATCH(E820,ChName,0))</f>
        <v/>
      </c>
      <c r="K820">
        <f>INDEX(ChRamp,MATCH(E820,ChName,0))</f>
        <v/>
      </c>
      <c r="L820" s="45">
        <f>MIN(1,MAX(0,(A820-I820+1)*RampSpeed/J820))</f>
        <v/>
      </c>
      <c r="M820" s="45">
        <f>IF(A820&lt;I820,0,IF(K820="S-curve",L820*L820*(3-2*L820),L820))</f>
        <v/>
      </c>
      <c r="N820" s="45">
        <f>1+(INDEX(SeasonIdx,A820)-1)*SeasonAmp</f>
        <v/>
      </c>
      <c r="O820" s="45">
        <f>IFERROR(INDEX(PSPct,MATCH(E820&amp;"|"&amp;G820,PSKey,0)),0)</f>
        <v/>
      </c>
      <c r="P820" s="46">
        <f>INDEX(ChDoorVel,MATCH(E820,ChName,0))*CalibScalar*(1+VelocityUplift)</f>
        <v/>
      </c>
      <c r="Q820" s="46" t="n">
        <v>0</v>
      </c>
      <c r="R820" s="46">
        <f>P820*O820*M820*N820*H820</f>
        <v/>
      </c>
      <c r="S820" s="46">
        <f>R820*INDEX(FmtCansPerCase,MATCH(F820,FmtName,0))</f>
        <v/>
      </c>
      <c r="T820" s="46">
        <f>S820/INDEX(FmtCansPerPack,MATCH(F820,FmtName,0))</f>
        <v/>
      </c>
      <c r="U820" s="47">
        <f>INDEX(ChBaseCP,MATCH(E820,ChName,0))*(1+INDEX(ProvMod,MATCH(G820,ProvCode,0)))*(1+PriceIndex)</f>
        <v/>
      </c>
      <c r="V820" s="47">
        <f>R820*U820*INDEX(FmtBlendedPriceIdx,MATCH(F820,FmtName,0))</f>
        <v/>
      </c>
      <c r="W820" s="47">
        <f>T820*INDEX(ProvSRP,MATCH(G820,ProvCode,0))*(1+PriceIndex)</f>
        <v/>
      </c>
      <c r="X820" s="47">
        <f>IF(GrossBasis="Wholesale",V820,W820)</f>
        <v/>
      </c>
      <c r="Y820" s="47">
        <f>R820*INDEX(FmtBlendedCogs,MATCH(F820,FmtName,0))</f>
        <v/>
      </c>
      <c r="Z820" s="47">
        <f>X820-Y820</f>
        <v/>
      </c>
    </row>
    <row r="821">
      <c r="A821" t="n">
        <v>25</v>
      </c>
      <c r="B821" s="44">
        <f>FiscalStart+(A821-1)*7</f>
        <v/>
      </c>
      <c r="C821">
        <f>TEXT(B821,"mmm yyyy")</f>
        <v/>
      </c>
      <c r="D821">
        <f>"Q"&amp;(INT((A821-1)/13)+1)</f>
        <v/>
      </c>
      <c r="E821" t="inlineStr">
        <is>
          <t>On Premise</t>
        </is>
      </c>
      <c r="F821">
        <f>IFERROR(INDEX(ChFormat,MATCH(E821,ChName,0)),"")</f>
        <v/>
      </c>
      <c r="G821" t="inlineStr">
        <is>
          <t>QC</t>
        </is>
      </c>
      <c r="H821">
        <f>IF(A821&lt;=NWeeks,1,0)</f>
        <v/>
      </c>
      <c r="I821">
        <f>INDEX(ChLaunch,MATCH(E821,ChName,0))</f>
        <v/>
      </c>
      <c r="J821">
        <f>INDEX(ChWeeksFull,MATCH(E821,ChName,0))</f>
        <v/>
      </c>
      <c r="K821">
        <f>INDEX(ChRamp,MATCH(E821,ChName,0))</f>
        <v/>
      </c>
      <c r="L821" s="45">
        <f>MIN(1,MAX(0,(A821-I821+1)*RampSpeed/J821))</f>
        <v/>
      </c>
      <c r="M821" s="45">
        <f>IF(A821&lt;I821,0,IF(K821="S-curve",L821*L821*(3-2*L821),L821))</f>
        <v/>
      </c>
      <c r="N821" s="45">
        <f>1+(INDEX(SeasonIdx,A821)-1)*SeasonAmp</f>
        <v/>
      </c>
      <c r="O821" s="45">
        <f>IFERROR(INDEX(PSPct,MATCH(E821&amp;"|"&amp;G821,PSKey,0)),0)</f>
        <v/>
      </c>
      <c r="P821" s="46">
        <f>INDEX(ChDoorVel,MATCH(E821,ChName,0))*CalibScalar*(1+VelocityUplift)</f>
        <v/>
      </c>
      <c r="Q821" s="46" t="n">
        <v>0</v>
      </c>
      <c r="R821" s="46">
        <f>P821*O821*M821*N821*H821</f>
        <v/>
      </c>
      <c r="S821" s="46">
        <f>R821*INDEX(FmtCansPerCase,MATCH(F821,FmtName,0))</f>
        <v/>
      </c>
      <c r="T821" s="46">
        <f>S821/INDEX(FmtCansPerPack,MATCH(F821,FmtName,0))</f>
        <v/>
      </c>
      <c r="U821" s="47">
        <f>INDEX(ChBaseCP,MATCH(E821,ChName,0))*(1+INDEX(ProvMod,MATCH(G821,ProvCode,0)))*(1+PriceIndex)</f>
        <v/>
      </c>
      <c r="V821" s="47">
        <f>R821*U821*INDEX(FmtBlendedPriceIdx,MATCH(F821,FmtName,0))</f>
        <v/>
      </c>
      <c r="W821" s="47">
        <f>T821*INDEX(ProvSRP,MATCH(G821,ProvCode,0))*(1+PriceIndex)</f>
        <v/>
      </c>
      <c r="X821" s="47">
        <f>IF(GrossBasis="Wholesale",V821,W821)</f>
        <v/>
      </c>
      <c r="Y821" s="47">
        <f>R821*INDEX(FmtBlendedCogs,MATCH(F821,FmtName,0))</f>
        <v/>
      </c>
      <c r="Z821" s="47">
        <f>X821-Y821</f>
        <v/>
      </c>
    </row>
    <row r="822">
      <c r="A822" t="n">
        <v>26</v>
      </c>
      <c r="B822" s="44">
        <f>FiscalStart+(A822-1)*7</f>
        <v/>
      </c>
      <c r="C822">
        <f>TEXT(B822,"mmm yyyy")</f>
        <v/>
      </c>
      <c r="D822">
        <f>"Q"&amp;(INT((A822-1)/13)+1)</f>
        <v/>
      </c>
      <c r="E822" t="inlineStr">
        <is>
          <t>On Premise</t>
        </is>
      </c>
      <c r="F822">
        <f>IFERROR(INDEX(ChFormat,MATCH(E822,ChName,0)),"")</f>
        <v/>
      </c>
      <c r="G822" t="inlineStr">
        <is>
          <t>QC</t>
        </is>
      </c>
      <c r="H822">
        <f>IF(A822&lt;=NWeeks,1,0)</f>
        <v/>
      </c>
      <c r="I822">
        <f>INDEX(ChLaunch,MATCH(E822,ChName,0))</f>
        <v/>
      </c>
      <c r="J822">
        <f>INDEX(ChWeeksFull,MATCH(E822,ChName,0))</f>
        <v/>
      </c>
      <c r="K822">
        <f>INDEX(ChRamp,MATCH(E822,ChName,0))</f>
        <v/>
      </c>
      <c r="L822" s="45">
        <f>MIN(1,MAX(0,(A822-I822+1)*RampSpeed/J822))</f>
        <v/>
      </c>
      <c r="M822" s="45">
        <f>IF(A822&lt;I822,0,IF(K822="S-curve",L822*L822*(3-2*L822),L822))</f>
        <v/>
      </c>
      <c r="N822" s="45">
        <f>1+(INDEX(SeasonIdx,A822)-1)*SeasonAmp</f>
        <v/>
      </c>
      <c r="O822" s="45">
        <f>IFERROR(INDEX(PSPct,MATCH(E822&amp;"|"&amp;G822,PSKey,0)),0)</f>
        <v/>
      </c>
      <c r="P822" s="46">
        <f>INDEX(ChDoorVel,MATCH(E822,ChName,0))*CalibScalar*(1+VelocityUplift)</f>
        <v/>
      </c>
      <c r="Q822" s="46" t="n">
        <v>0</v>
      </c>
      <c r="R822" s="46">
        <f>P822*O822*M822*N822*H822</f>
        <v/>
      </c>
      <c r="S822" s="46">
        <f>R822*INDEX(FmtCansPerCase,MATCH(F822,FmtName,0))</f>
        <v/>
      </c>
      <c r="T822" s="46">
        <f>S822/INDEX(FmtCansPerPack,MATCH(F822,FmtName,0))</f>
        <v/>
      </c>
      <c r="U822" s="47">
        <f>INDEX(ChBaseCP,MATCH(E822,ChName,0))*(1+INDEX(ProvMod,MATCH(G822,ProvCode,0)))*(1+PriceIndex)</f>
        <v/>
      </c>
      <c r="V822" s="47">
        <f>R822*U822*INDEX(FmtBlendedPriceIdx,MATCH(F822,FmtName,0))</f>
        <v/>
      </c>
      <c r="W822" s="47">
        <f>T822*INDEX(ProvSRP,MATCH(G822,ProvCode,0))*(1+PriceIndex)</f>
        <v/>
      </c>
      <c r="X822" s="47">
        <f>IF(GrossBasis="Wholesale",V822,W822)</f>
        <v/>
      </c>
      <c r="Y822" s="47">
        <f>R822*INDEX(FmtBlendedCogs,MATCH(F822,FmtName,0))</f>
        <v/>
      </c>
      <c r="Z822" s="47">
        <f>X822-Y822</f>
        <v/>
      </c>
    </row>
    <row r="823">
      <c r="A823" t="n">
        <v>27</v>
      </c>
      <c r="B823" s="44">
        <f>FiscalStart+(A823-1)*7</f>
        <v/>
      </c>
      <c r="C823">
        <f>TEXT(B823,"mmm yyyy")</f>
        <v/>
      </c>
      <c r="D823">
        <f>"Q"&amp;(INT((A823-1)/13)+1)</f>
        <v/>
      </c>
      <c r="E823" t="inlineStr">
        <is>
          <t>On Premise</t>
        </is>
      </c>
      <c r="F823">
        <f>IFERROR(INDEX(ChFormat,MATCH(E823,ChName,0)),"")</f>
        <v/>
      </c>
      <c r="G823" t="inlineStr">
        <is>
          <t>QC</t>
        </is>
      </c>
      <c r="H823">
        <f>IF(A823&lt;=NWeeks,1,0)</f>
        <v/>
      </c>
      <c r="I823">
        <f>INDEX(ChLaunch,MATCH(E823,ChName,0))</f>
        <v/>
      </c>
      <c r="J823">
        <f>INDEX(ChWeeksFull,MATCH(E823,ChName,0))</f>
        <v/>
      </c>
      <c r="K823">
        <f>INDEX(ChRamp,MATCH(E823,ChName,0))</f>
        <v/>
      </c>
      <c r="L823" s="45">
        <f>MIN(1,MAX(0,(A823-I823+1)*RampSpeed/J823))</f>
        <v/>
      </c>
      <c r="M823" s="45">
        <f>IF(A823&lt;I823,0,IF(K823="S-curve",L823*L823*(3-2*L823),L823))</f>
        <v/>
      </c>
      <c r="N823" s="45">
        <f>1+(INDEX(SeasonIdx,A823)-1)*SeasonAmp</f>
        <v/>
      </c>
      <c r="O823" s="45">
        <f>IFERROR(INDEX(PSPct,MATCH(E823&amp;"|"&amp;G823,PSKey,0)),0)</f>
        <v/>
      </c>
      <c r="P823" s="46">
        <f>INDEX(ChDoorVel,MATCH(E823,ChName,0))*CalibScalar*(1+VelocityUplift)</f>
        <v/>
      </c>
      <c r="Q823" s="46" t="n">
        <v>0</v>
      </c>
      <c r="R823" s="46">
        <f>P823*O823*M823*N823*H823</f>
        <v/>
      </c>
      <c r="S823" s="46">
        <f>R823*INDEX(FmtCansPerCase,MATCH(F823,FmtName,0))</f>
        <v/>
      </c>
      <c r="T823" s="46">
        <f>S823/INDEX(FmtCansPerPack,MATCH(F823,FmtName,0))</f>
        <v/>
      </c>
      <c r="U823" s="47">
        <f>INDEX(ChBaseCP,MATCH(E823,ChName,0))*(1+INDEX(ProvMod,MATCH(G823,ProvCode,0)))*(1+PriceIndex)</f>
        <v/>
      </c>
      <c r="V823" s="47">
        <f>R823*U823*INDEX(FmtBlendedPriceIdx,MATCH(F823,FmtName,0))</f>
        <v/>
      </c>
      <c r="W823" s="47">
        <f>T823*INDEX(ProvSRP,MATCH(G823,ProvCode,0))*(1+PriceIndex)</f>
        <v/>
      </c>
      <c r="X823" s="47">
        <f>IF(GrossBasis="Wholesale",V823,W823)</f>
        <v/>
      </c>
      <c r="Y823" s="47">
        <f>R823*INDEX(FmtBlendedCogs,MATCH(F823,FmtName,0))</f>
        <v/>
      </c>
      <c r="Z823" s="47">
        <f>X823-Y823</f>
        <v/>
      </c>
    </row>
    <row r="824">
      <c r="A824" t="n">
        <v>28</v>
      </c>
      <c r="B824" s="44">
        <f>FiscalStart+(A824-1)*7</f>
        <v/>
      </c>
      <c r="C824">
        <f>TEXT(B824,"mmm yyyy")</f>
        <v/>
      </c>
      <c r="D824">
        <f>"Q"&amp;(INT((A824-1)/13)+1)</f>
        <v/>
      </c>
      <c r="E824" t="inlineStr">
        <is>
          <t>On Premise</t>
        </is>
      </c>
      <c r="F824">
        <f>IFERROR(INDEX(ChFormat,MATCH(E824,ChName,0)),"")</f>
        <v/>
      </c>
      <c r="G824" t="inlineStr">
        <is>
          <t>QC</t>
        </is>
      </c>
      <c r="H824">
        <f>IF(A824&lt;=NWeeks,1,0)</f>
        <v/>
      </c>
      <c r="I824">
        <f>INDEX(ChLaunch,MATCH(E824,ChName,0))</f>
        <v/>
      </c>
      <c r="J824">
        <f>INDEX(ChWeeksFull,MATCH(E824,ChName,0))</f>
        <v/>
      </c>
      <c r="K824">
        <f>INDEX(ChRamp,MATCH(E824,ChName,0))</f>
        <v/>
      </c>
      <c r="L824" s="45">
        <f>MIN(1,MAX(0,(A824-I824+1)*RampSpeed/J824))</f>
        <v/>
      </c>
      <c r="M824" s="45">
        <f>IF(A824&lt;I824,0,IF(K824="S-curve",L824*L824*(3-2*L824),L824))</f>
        <v/>
      </c>
      <c r="N824" s="45">
        <f>1+(INDEX(SeasonIdx,A824)-1)*SeasonAmp</f>
        <v/>
      </c>
      <c r="O824" s="45">
        <f>IFERROR(INDEX(PSPct,MATCH(E824&amp;"|"&amp;G824,PSKey,0)),0)</f>
        <v/>
      </c>
      <c r="P824" s="46">
        <f>INDEX(ChDoorVel,MATCH(E824,ChName,0))*CalibScalar*(1+VelocityUplift)</f>
        <v/>
      </c>
      <c r="Q824" s="46" t="n">
        <v>0</v>
      </c>
      <c r="R824" s="46">
        <f>P824*O824*M824*N824*H824</f>
        <v/>
      </c>
      <c r="S824" s="46">
        <f>R824*INDEX(FmtCansPerCase,MATCH(F824,FmtName,0))</f>
        <v/>
      </c>
      <c r="T824" s="46">
        <f>S824/INDEX(FmtCansPerPack,MATCH(F824,FmtName,0))</f>
        <v/>
      </c>
      <c r="U824" s="47">
        <f>INDEX(ChBaseCP,MATCH(E824,ChName,0))*(1+INDEX(ProvMod,MATCH(G824,ProvCode,0)))*(1+PriceIndex)</f>
        <v/>
      </c>
      <c r="V824" s="47">
        <f>R824*U824*INDEX(FmtBlendedPriceIdx,MATCH(F824,FmtName,0))</f>
        <v/>
      </c>
      <c r="W824" s="47">
        <f>T824*INDEX(ProvSRP,MATCH(G824,ProvCode,0))*(1+PriceIndex)</f>
        <v/>
      </c>
      <c r="X824" s="47">
        <f>IF(GrossBasis="Wholesale",V824,W824)</f>
        <v/>
      </c>
      <c r="Y824" s="47">
        <f>R824*INDEX(FmtBlendedCogs,MATCH(F824,FmtName,0))</f>
        <v/>
      </c>
      <c r="Z824" s="47">
        <f>X824-Y824</f>
        <v/>
      </c>
    </row>
    <row r="825">
      <c r="A825" t="n">
        <v>29</v>
      </c>
      <c r="B825" s="44">
        <f>FiscalStart+(A825-1)*7</f>
        <v/>
      </c>
      <c r="C825">
        <f>TEXT(B825,"mmm yyyy")</f>
        <v/>
      </c>
      <c r="D825">
        <f>"Q"&amp;(INT((A825-1)/13)+1)</f>
        <v/>
      </c>
      <c r="E825" t="inlineStr">
        <is>
          <t>On Premise</t>
        </is>
      </c>
      <c r="F825">
        <f>IFERROR(INDEX(ChFormat,MATCH(E825,ChName,0)),"")</f>
        <v/>
      </c>
      <c r="G825" t="inlineStr">
        <is>
          <t>QC</t>
        </is>
      </c>
      <c r="H825">
        <f>IF(A825&lt;=NWeeks,1,0)</f>
        <v/>
      </c>
      <c r="I825">
        <f>INDEX(ChLaunch,MATCH(E825,ChName,0))</f>
        <v/>
      </c>
      <c r="J825">
        <f>INDEX(ChWeeksFull,MATCH(E825,ChName,0))</f>
        <v/>
      </c>
      <c r="K825">
        <f>INDEX(ChRamp,MATCH(E825,ChName,0))</f>
        <v/>
      </c>
      <c r="L825" s="45">
        <f>MIN(1,MAX(0,(A825-I825+1)*RampSpeed/J825))</f>
        <v/>
      </c>
      <c r="M825" s="45">
        <f>IF(A825&lt;I825,0,IF(K825="S-curve",L825*L825*(3-2*L825),L825))</f>
        <v/>
      </c>
      <c r="N825" s="45">
        <f>1+(INDEX(SeasonIdx,A825)-1)*SeasonAmp</f>
        <v/>
      </c>
      <c r="O825" s="45">
        <f>IFERROR(INDEX(PSPct,MATCH(E825&amp;"|"&amp;G825,PSKey,0)),0)</f>
        <v/>
      </c>
      <c r="P825" s="46">
        <f>INDEX(ChDoorVel,MATCH(E825,ChName,0))*CalibScalar*(1+VelocityUplift)</f>
        <v/>
      </c>
      <c r="Q825" s="46" t="n">
        <v>0</v>
      </c>
      <c r="R825" s="46">
        <f>P825*O825*M825*N825*H825</f>
        <v/>
      </c>
      <c r="S825" s="46">
        <f>R825*INDEX(FmtCansPerCase,MATCH(F825,FmtName,0))</f>
        <v/>
      </c>
      <c r="T825" s="46">
        <f>S825/INDEX(FmtCansPerPack,MATCH(F825,FmtName,0))</f>
        <v/>
      </c>
      <c r="U825" s="47">
        <f>INDEX(ChBaseCP,MATCH(E825,ChName,0))*(1+INDEX(ProvMod,MATCH(G825,ProvCode,0)))*(1+PriceIndex)</f>
        <v/>
      </c>
      <c r="V825" s="47">
        <f>R825*U825*INDEX(FmtBlendedPriceIdx,MATCH(F825,FmtName,0))</f>
        <v/>
      </c>
      <c r="W825" s="47">
        <f>T825*INDEX(ProvSRP,MATCH(G825,ProvCode,0))*(1+PriceIndex)</f>
        <v/>
      </c>
      <c r="X825" s="47">
        <f>IF(GrossBasis="Wholesale",V825,W825)</f>
        <v/>
      </c>
      <c r="Y825" s="47">
        <f>R825*INDEX(FmtBlendedCogs,MATCH(F825,FmtName,0))</f>
        <v/>
      </c>
      <c r="Z825" s="47">
        <f>X825-Y825</f>
        <v/>
      </c>
    </row>
    <row r="826">
      <c r="A826" t="n">
        <v>30</v>
      </c>
      <c r="B826" s="44">
        <f>FiscalStart+(A826-1)*7</f>
        <v/>
      </c>
      <c r="C826">
        <f>TEXT(B826,"mmm yyyy")</f>
        <v/>
      </c>
      <c r="D826">
        <f>"Q"&amp;(INT((A826-1)/13)+1)</f>
        <v/>
      </c>
      <c r="E826" t="inlineStr">
        <is>
          <t>On Premise</t>
        </is>
      </c>
      <c r="F826">
        <f>IFERROR(INDEX(ChFormat,MATCH(E826,ChName,0)),"")</f>
        <v/>
      </c>
      <c r="G826" t="inlineStr">
        <is>
          <t>QC</t>
        </is>
      </c>
      <c r="H826">
        <f>IF(A826&lt;=NWeeks,1,0)</f>
        <v/>
      </c>
      <c r="I826">
        <f>INDEX(ChLaunch,MATCH(E826,ChName,0))</f>
        <v/>
      </c>
      <c r="J826">
        <f>INDEX(ChWeeksFull,MATCH(E826,ChName,0))</f>
        <v/>
      </c>
      <c r="K826">
        <f>INDEX(ChRamp,MATCH(E826,ChName,0))</f>
        <v/>
      </c>
      <c r="L826" s="45">
        <f>MIN(1,MAX(0,(A826-I826+1)*RampSpeed/J826))</f>
        <v/>
      </c>
      <c r="M826" s="45">
        <f>IF(A826&lt;I826,0,IF(K826="S-curve",L826*L826*(3-2*L826),L826))</f>
        <v/>
      </c>
      <c r="N826" s="45">
        <f>1+(INDEX(SeasonIdx,A826)-1)*SeasonAmp</f>
        <v/>
      </c>
      <c r="O826" s="45">
        <f>IFERROR(INDEX(PSPct,MATCH(E826&amp;"|"&amp;G826,PSKey,0)),0)</f>
        <v/>
      </c>
      <c r="P826" s="46">
        <f>INDEX(ChDoorVel,MATCH(E826,ChName,0))*CalibScalar*(1+VelocityUplift)</f>
        <v/>
      </c>
      <c r="Q826" s="46" t="n">
        <v>0</v>
      </c>
      <c r="R826" s="46">
        <f>P826*O826*M826*N826*H826</f>
        <v/>
      </c>
      <c r="S826" s="46">
        <f>R826*INDEX(FmtCansPerCase,MATCH(F826,FmtName,0))</f>
        <v/>
      </c>
      <c r="T826" s="46">
        <f>S826/INDEX(FmtCansPerPack,MATCH(F826,FmtName,0))</f>
        <v/>
      </c>
      <c r="U826" s="47">
        <f>INDEX(ChBaseCP,MATCH(E826,ChName,0))*(1+INDEX(ProvMod,MATCH(G826,ProvCode,0)))*(1+PriceIndex)</f>
        <v/>
      </c>
      <c r="V826" s="47">
        <f>R826*U826*INDEX(FmtBlendedPriceIdx,MATCH(F826,FmtName,0))</f>
        <v/>
      </c>
      <c r="W826" s="47">
        <f>T826*INDEX(ProvSRP,MATCH(G826,ProvCode,0))*(1+PriceIndex)</f>
        <v/>
      </c>
      <c r="X826" s="47">
        <f>IF(GrossBasis="Wholesale",V826,W826)</f>
        <v/>
      </c>
      <c r="Y826" s="47">
        <f>R826*INDEX(FmtBlendedCogs,MATCH(F826,FmtName,0))</f>
        <v/>
      </c>
      <c r="Z826" s="47">
        <f>X826-Y826</f>
        <v/>
      </c>
    </row>
    <row r="827">
      <c r="A827" t="n">
        <v>31</v>
      </c>
      <c r="B827" s="44">
        <f>FiscalStart+(A827-1)*7</f>
        <v/>
      </c>
      <c r="C827">
        <f>TEXT(B827,"mmm yyyy")</f>
        <v/>
      </c>
      <c r="D827">
        <f>"Q"&amp;(INT((A827-1)/13)+1)</f>
        <v/>
      </c>
      <c r="E827" t="inlineStr">
        <is>
          <t>On Premise</t>
        </is>
      </c>
      <c r="F827">
        <f>IFERROR(INDEX(ChFormat,MATCH(E827,ChName,0)),"")</f>
        <v/>
      </c>
      <c r="G827" t="inlineStr">
        <is>
          <t>QC</t>
        </is>
      </c>
      <c r="H827">
        <f>IF(A827&lt;=NWeeks,1,0)</f>
        <v/>
      </c>
      <c r="I827">
        <f>INDEX(ChLaunch,MATCH(E827,ChName,0))</f>
        <v/>
      </c>
      <c r="J827">
        <f>INDEX(ChWeeksFull,MATCH(E827,ChName,0))</f>
        <v/>
      </c>
      <c r="K827">
        <f>INDEX(ChRamp,MATCH(E827,ChName,0))</f>
        <v/>
      </c>
      <c r="L827" s="45">
        <f>MIN(1,MAX(0,(A827-I827+1)*RampSpeed/J827))</f>
        <v/>
      </c>
      <c r="M827" s="45">
        <f>IF(A827&lt;I827,0,IF(K827="S-curve",L827*L827*(3-2*L827),L827))</f>
        <v/>
      </c>
      <c r="N827" s="45">
        <f>1+(INDEX(SeasonIdx,A827)-1)*SeasonAmp</f>
        <v/>
      </c>
      <c r="O827" s="45">
        <f>IFERROR(INDEX(PSPct,MATCH(E827&amp;"|"&amp;G827,PSKey,0)),0)</f>
        <v/>
      </c>
      <c r="P827" s="46">
        <f>INDEX(ChDoorVel,MATCH(E827,ChName,0))*CalibScalar*(1+VelocityUplift)</f>
        <v/>
      </c>
      <c r="Q827" s="46" t="n">
        <v>0</v>
      </c>
      <c r="R827" s="46">
        <f>P827*O827*M827*N827*H827</f>
        <v/>
      </c>
      <c r="S827" s="46">
        <f>R827*INDEX(FmtCansPerCase,MATCH(F827,FmtName,0))</f>
        <v/>
      </c>
      <c r="T827" s="46">
        <f>S827/INDEX(FmtCansPerPack,MATCH(F827,FmtName,0))</f>
        <v/>
      </c>
      <c r="U827" s="47">
        <f>INDEX(ChBaseCP,MATCH(E827,ChName,0))*(1+INDEX(ProvMod,MATCH(G827,ProvCode,0)))*(1+PriceIndex)</f>
        <v/>
      </c>
      <c r="V827" s="47">
        <f>R827*U827*INDEX(FmtBlendedPriceIdx,MATCH(F827,FmtName,0))</f>
        <v/>
      </c>
      <c r="W827" s="47">
        <f>T827*INDEX(ProvSRP,MATCH(G827,ProvCode,0))*(1+PriceIndex)</f>
        <v/>
      </c>
      <c r="X827" s="47">
        <f>IF(GrossBasis="Wholesale",V827,W827)</f>
        <v/>
      </c>
      <c r="Y827" s="47">
        <f>R827*INDEX(FmtBlendedCogs,MATCH(F827,FmtName,0))</f>
        <v/>
      </c>
      <c r="Z827" s="47">
        <f>X827-Y827</f>
        <v/>
      </c>
    </row>
    <row r="828">
      <c r="A828" t="n">
        <v>32</v>
      </c>
      <c r="B828" s="44">
        <f>FiscalStart+(A828-1)*7</f>
        <v/>
      </c>
      <c r="C828">
        <f>TEXT(B828,"mmm yyyy")</f>
        <v/>
      </c>
      <c r="D828">
        <f>"Q"&amp;(INT((A828-1)/13)+1)</f>
        <v/>
      </c>
      <c r="E828" t="inlineStr">
        <is>
          <t>On Premise</t>
        </is>
      </c>
      <c r="F828">
        <f>IFERROR(INDEX(ChFormat,MATCH(E828,ChName,0)),"")</f>
        <v/>
      </c>
      <c r="G828" t="inlineStr">
        <is>
          <t>QC</t>
        </is>
      </c>
      <c r="H828">
        <f>IF(A828&lt;=NWeeks,1,0)</f>
        <v/>
      </c>
      <c r="I828">
        <f>INDEX(ChLaunch,MATCH(E828,ChName,0))</f>
        <v/>
      </c>
      <c r="J828">
        <f>INDEX(ChWeeksFull,MATCH(E828,ChName,0))</f>
        <v/>
      </c>
      <c r="K828">
        <f>INDEX(ChRamp,MATCH(E828,ChName,0))</f>
        <v/>
      </c>
      <c r="L828" s="45">
        <f>MIN(1,MAX(0,(A828-I828+1)*RampSpeed/J828))</f>
        <v/>
      </c>
      <c r="M828" s="45">
        <f>IF(A828&lt;I828,0,IF(K828="S-curve",L828*L828*(3-2*L828),L828))</f>
        <v/>
      </c>
      <c r="N828" s="45">
        <f>1+(INDEX(SeasonIdx,A828)-1)*SeasonAmp</f>
        <v/>
      </c>
      <c r="O828" s="45">
        <f>IFERROR(INDEX(PSPct,MATCH(E828&amp;"|"&amp;G828,PSKey,0)),0)</f>
        <v/>
      </c>
      <c r="P828" s="46">
        <f>INDEX(ChDoorVel,MATCH(E828,ChName,0))*CalibScalar*(1+VelocityUplift)</f>
        <v/>
      </c>
      <c r="Q828" s="46" t="n">
        <v>0</v>
      </c>
      <c r="R828" s="46">
        <f>P828*O828*M828*N828*H828</f>
        <v/>
      </c>
      <c r="S828" s="46">
        <f>R828*INDEX(FmtCansPerCase,MATCH(F828,FmtName,0))</f>
        <v/>
      </c>
      <c r="T828" s="46">
        <f>S828/INDEX(FmtCansPerPack,MATCH(F828,FmtName,0))</f>
        <v/>
      </c>
      <c r="U828" s="47">
        <f>INDEX(ChBaseCP,MATCH(E828,ChName,0))*(1+INDEX(ProvMod,MATCH(G828,ProvCode,0)))*(1+PriceIndex)</f>
        <v/>
      </c>
      <c r="V828" s="47">
        <f>R828*U828*INDEX(FmtBlendedPriceIdx,MATCH(F828,FmtName,0))</f>
        <v/>
      </c>
      <c r="W828" s="47">
        <f>T828*INDEX(ProvSRP,MATCH(G828,ProvCode,0))*(1+PriceIndex)</f>
        <v/>
      </c>
      <c r="X828" s="47">
        <f>IF(GrossBasis="Wholesale",V828,W828)</f>
        <v/>
      </c>
      <c r="Y828" s="47">
        <f>R828*INDEX(FmtBlendedCogs,MATCH(F828,FmtName,0))</f>
        <v/>
      </c>
      <c r="Z828" s="47">
        <f>X828-Y828</f>
        <v/>
      </c>
    </row>
    <row r="829">
      <c r="A829" t="n">
        <v>33</v>
      </c>
      <c r="B829" s="44">
        <f>FiscalStart+(A829-1)*7</f>
        <v/>
      </c>
      <c r="C829">
        <f>TEXT(B829,"mmm yyyy")</f>
        <v/>
      </c>
      <c r="D829">
        <f>"Q"&amp;(INT((A829-1)/13)+1)</f>
        <v/>
      </c>
      <c r="E829" t="inlineStr">
        <is>
          <t>On Premise</t>
        </is>
      </c>
      <c r="F829">
        <f>IFERROR(INDEX(ChFormat,MATCH(E829,ChName,0)),"")</f>
        <v/>
      </c>
      <c r="G829" t="inlineStr">
        <is>
          <t>QC</t>
        </is>
      </c>
      <c r="H829">
        <f>IF(A829&lt;=NWeeks,1,0)</f>
        <v/>
      </c>
      <c r="I829">
        <f>INDEX(ChLaunch,MATCH(E829,ChName,0))</f>
        <v/>
      </c>
      <c r="J829">
        <f>INDEX(ChWeeksFull,MATCH(E829,ChName,0))</f>
        <v/>
      </c>
      <c r="K829">
        <f>INDEX(ChRamp,MATCH(E829,ChName,0))</f>
        <v/>
      </c>
      <c r="L829" s="45">
        <f>MIN(1,MAX(0,(A829-I829+1)*RampSpeed/J829))</f>
        <v/>
      </c>
      <c r="M829" s="45">
        <f>IF(A829&lt;I829,0,IF(K829="S-curve",L829*L829*(3-2*L829),L829))</f>
        <v/>
      </c>
      <c r="N829" s="45">
        <f>1+(INDEX(SeasonIdx,A829)-1)*SeasonAmp</f>
        <v/>
      </c>
      <c r="O829" s="45">
        <f>IFERROR(INDEX(PSPct,MATCH(E829&amp;"|"&amp;G829,PSKey,0)),0)</f>
        <v/>
      </c>
      <c r="P829" s="46">
        <f>INDEX(ChDoorVel,MATCH(E829,ChName,0))*CalibScalar*(1+VelocityUplift)</f>
        <v/>
      </c>
      <c r="Q829" s="46" t="n">
        <v>0</v>
      </c>
      <c r="R829" s="46">
        <f>P829*O829*M829*N829*H829</f>
        <v/>
      </c>
      <c r="S829" s="46">
        <f>R829*INDEX(FmtCansPerCase,MATCH(F829,FmtName,0))</f>
        <v/>
      </c>
      <c r="T829" s="46">
        <f>S829/INDEX(FmtCansPerPack,MATCH(F829,FmtName,0))</f>
        <v/>
      </c>
      <c r="U829" s="47">
        <f>INDEX(ChBaseCP,MATCH(E829,ChName,0))*(1+INDEX(ProvMod,MATCH(G829,ProvCode,0)))*(1+PriceIndex)</f>
        <v/>
      </c>
      <c r="V829" s="47">
        <f>R829*U829*INDEX(FmtBlendedPriceIdx,MATCH(F829,FmtName,0))</f>
        <v/>
      </c>
      <c r="W829" s="47">
        <f>T829*INDEX(ProvSRP,MATCH(G829,ProvCode,0))*(1+PriceIndex)</f>
        <v/>
      </c>
      <c r="X829" s="47">
        <f>IF(GrossBasis="Wholesale",V829,W829)</f>
        <v/>
      </c>
      <c r="Y829" s="47">
        <f>R829*INDEX(FmtBlendedCogs,MATCH(F829,FmtName,0))</f>
        <v/>
      </c>
      <c r="Z829" s="47">
        <f>X829-Y829</f>
        <v/>
      </c>
    </row>
    <row r="830">
      <c r="A830" t="n">
        <v>34</v>
      </c>
      <c r="B830" s="44">
        <f>FiscalStart+(A830-1)*7</f>
        <v/>
      </c>
      <c r="C830">
        <f>TEXT(B830,"mmm yyyy")</f>
        <v/>
      </c>
      <c r="D830">
        <f>"Q"&amp;(INT((A830-1)/13)+1)</f>
        <v/>
      </c>
      <c r="E830" t="inlineStr">
        <is>
          <t>On Premise</t>
        </is>
      </c>
      <c r="F830">
        <f>IFERROR(INDEX(ChFormat,MATCH(E830,ChName,0)),"")</f>
        <v/>
      </c>
      <c r="G830" t="inlineStr">
        <is>
          <t>QC</t>
        </is>
      </c>
      <c r="H830">
        <f>IF(A830&lt;=NWeeks,1,0)</f>
        <v/>
      </c>
      <c r="I830">
        <f>INDEX(ChLaunch,MATCH(E830,ChName,0))</f>
        <v/>
      </c>
      <c r="J830">
        <f>INDEX(ChWeeksFull,MATCH(E830,ChName,0))</f>
        <v/>
      </c>
      <c r="K830">
        <f>INDEX(ChRamp,MATCH(E830,ChName,0))</f>
        <v/>
      </c>
      <c r="L830" s="45">
        <f>MIN(1,MAX(0,(A830-I830+1)*RampSpeed/J830))</f>
        <v/>
      </c>
      <c r="M830" s="45">
        <f>IF(A830&lt;I830,0,IF(K830="S-curve",L830*L830*(3-2*L830),L830))</f>
        <v/>
      </c>
      <c r="N830" s="45">
        <f>1+(INDEX(SeasonIdx,A830)-1)*SeasonAmp</f>
        <v/>
      </c>
      <c r="O830" s="45">
        <f>IFERROR(INDEX(PSPct,MATCH(E830&amp;"|"&amp;G830,PSKey,0)),0)</f>
        <v/>
      </c>
      <c r="P830" s="46">
        <f>INDEX(ChDoorVel,MATCH(E830,ChName,0))*CalibScalar*(1+VelocityUplift)</f>
        <v/>
      </c>
      <c r="Q830" s="46" t="n">
        <v>0</v>
      </c>
      <c r="R830" s="46">
        <f>P830*O830*M830*N830*H830</f>
        <v/>
      </c>
      <c r="S830" s="46">
        <f>R830*INDEX(FmtCansPerCase,MATCH(F830,FmtName,0))</f>
        <v/>
      </c>
      <c r="T830" s="46">
        <f>S830/INDEX(FmtCansPerPack,MATCH(F830,FmtName,0))</f>
        <v/>
      </c>
      <c r="U830" s="47">
        <f>INDEX(ChBaseCP,MATCH(E830,ChName,0))*(1+INDEX(ProvMod,MATCH(G830,ProvCode,0)))*(1+PriceIndex)</f>
        <v/>
      </c>
      <c r="V830" s="47">
        <f>R830*U830*INDEX(FmtBlendedPriceIdx,MATCH(F830,FmtName,0))</f>
        <v/>
      </c>
      <c r="W830" s="47">
        <f>T830*INDEX(ProvSRP,MATCH(G830,ProvCode,0))*(1+PriceIndex)</f>
        <v/>
      </c>
      <c r="X830" s="47">
        <f>IF(GrossBasis="Wholesale",V830,W830)</f>
        <v/>
      </c>
      <c r="Y830" s="47">
        <f>R830*INDEX(FmtBlendedCogs,MATCH(F830,FmtName,0))</f>
        <v/>
      </c>
      <c r="Z830" s="47">
        <f>X830-Y830</f>
        <v/>
      </c>
    </row>
    <row r="831">
      <c r="A831" t="n">
        <v>35</v>
      </c>
      <c r="B831" s="44">
        <f>FiscalStart+(A831-1)*7</f>
        <v/>
      </c>
      <c r="C831">
        <f>TEXT(B831,"mmm yyyy")</f>
        <v/>
      </c>
      <c r="D831">
        <f>"Q"&amp;(INT((A831-1)/13)+1)</f>
        <v/>
      </c>
      <c r="E831" t="inlineStr">
        <is>
          <t>On Premise</t>
        </is>
      </c>
      <c r="F831">
        <f>IFERROR(INDEX(ChFormat,MATCH(E831,ChName,0)),"")</f>
        <v/>
      </c>
      <c r="G831" t="inlineStr">
        <is>
          <t>QC</t>
        </is>
      </c>
      <c r="H831">
        <f>IF(A831&lt;=NWeeks,1,0)</f>
        <v/>
      </c>
      <c r="I831">
        <f>INDEX(ChLaunch,MATCH(E831,ChName,0))</f>
        <v/>
      </c>
      <c r="J831">
        <f>INDEX(ChWeeksFull,MATCH(E831,ChName,0))</f>
        <v/>
      </c>
      <c r="K831">
        <f>INDEX(ChRamp,MATCH(E831,ChName,0))</f>
        <v/>
      </c>
      <c r="L831" s="45">
        <f>MIN(1,MAX(0,(A831-I831+1)*RampSpeed/J831))</f>
        <v/>
      </c>
      <c r="M831" s="45">
        <f>IF(A831&lt;I831,0,IF(K831="S-curve",L831*L831*(3-2*L831),L831))</f>
        <v/>
      </c>
      <c r="N831" s="45">
        <f>1+(INDEX(SeasonIdx,A831)-1)*SeasonAmp</f>
        <v/>
      </c>
      <c r="O831" s="45">
        <f>IFERROR(INDEX(PSPct,MATCH(E831&amp;"|"&amp;G831,PSKey,0)),0)</f>
        <v/>
      </c>
      <c r="P831" s="46">
        <f>INDEX(ChDoorVel,MATCH(E831,ChName,0))*CalibScalar*(1+VelocityUplift)</f>
        <v/>
      </c>
      <c r="Q831" s="46" t="n">
        <v>0</v>
      </c>
      <c r="R831" s="46">
        <f>P831*O831*M831*N831*H831</f>
        <v/>
      </c>
      <c r="S831" s="46">
        <f>R831*INDEX(FmtCansPerCase,MATCH(F831,FmtName,0))</f>
        <v/>
      </c>
      <c r="T831" s="46">
        <f>S831/INDEX(FmtCansPerPack,MATCH(F831,FmtName,0))</f>
        <v/>
      </c>
      <c r="U831" s="47">
        <f>INDEX(ChBaseCP,MATCH(E831,ChName,0))*(1+INDEX(ProvMod,MATCH(G831,ProvCode,0)))*(1+PriceIndex)</f>
        <v/>
      </c>
      <c r="V831" s="47">
        <f>R831*U831*INDEX(FmtBlendedPriceIdx,MATCH(F831,FmtName,0))</f>
        <v/>
      </c>
      <c r="W831" s="47">
        <f>T831*INDEX(ProvSRP,MATCH(G831,ProvCode,0))*(1+PriceIndex)</f>
        <v/>
      </c>
      <c r="X831" s="47">
        <f>IF(GrossBasis="Wholesale",V831,W831)</f>
        <v/>
      </c>
      <c r="Y831" s="47">
        <f>R831*INDEX(FmtBlendedCogs,MATCH(F831,FmtName,0))</f>
        <v/>
      </c>
      <c r="Z831" s="47">
        <f>X831-Y831</f>
        <v/>
      </c>
    </row>
    <row r="832">
      <c r="A832" t="n">
        <v>36</v>
      </c>
      <c r="B832" s="44">
        <f>FiscalStart+(A832-1)*7</f>
        <v/>
      </c>
      <c r="C832">
        <f>TEXT(B832,"mmm yyyy")</f>
        <v/>
      </c>
      <c r="D832">
        <f>"Q"&amp;(INT((A832-1)/13)+1)</f>
        <v/>
      </c>
      <c r="E832" t="inlineStr">
        <is>
          <t>On Premise</t>
        </is>
      </c>
      <c r="F832">
        <f>IFERROR(INDEX(ChFormat,MATCH(E832,ChName,0)),"")</f>
        <v/>
      </c>
      <c r="G832" t="inlineStr">
        <is>
          <t>QC</t>
        </is>
      </c>
      <c r="H832">
        <f>IF(A832&lt;=NWeeks,1,0)</f>
        <v/>
      </c>
      <c r="I832">
        <f>INDEX(ChLaunch,MATCH(E832,ChName,0))</f>
        <v/>
      </c>
      <c r="J832">
        <f>INDEX(ChWeeksFull,MATCH(E832,ChName,0))</f>
        <v/>
      </c>
      <c r="K832">
        <f>INDEX(ChRamp,MATCH(E832,ChName,0))</f>
        <v/>
      </c>
      <c r="L832" s="45">
        <f>MIN(1,MAX(0,(A832-I832+1)*RampSpeed/J832))</f>
        <v/>
      </c>
      <c r="M832" s="45">
        <f>IF(A832&lt;I832,0,IF(K832="S-curve",L832*L832*(3-2*L832),L832))</f>
        <v/>
      </c>
      <c r="N832" s="45">
        <f>1+(INDEX(SeasonIdx,A832)-1)*SeasonAmp</f>
        <v/>
      </c>
      <c r="O832" s="45">
        <f>IFERROR(INDEX(PSPct,MATCH(E832&amp;"|"&amp;G832,PSKey,0)),0)</f>
        <v/>
      </c>
      <c r="P832" s="46">
        <f>INDEX(ChDoorVel,MATCH(E832,ChName,0))*CalibScalar*(1+VelocityUplift)</f>
        <v/>
      </c>
      <c r="Q832" s="46" t="n">
        <v>0</v>
      </c>
      <c r="R832" s="46">
        <f>P832*O832*M832*N832*H832</f>
        <v/>
      </c>
      <c r="S832" s="46">
        <f>R832*INDEX(FmtCansPerCase,MATCH(F832,FmtName,0))</f>
        <v/>
      </c>
      <c r="T832" s="46">
        <f>S832/INDEX(FmtCansPerPack,MATCH(F832,FmtName,0))</f>
        <v/>
      </c>
      <c r="U832" s="47">
        <f>INDEX(ChBaseCP,MATCH(E832,ChName,0))*(1+INDEX(ProvMod,MATCH(G832,ProvCode,0)))*(1+PriceIndex)</f>
        <v/>
      </c>
      <c r="V832" s="47">
        <f>R832*U832*INDEX(FmtBlendedPriceIdx,MATCH(F832,FmtName,0))</f>
        <v/>
      </c>
      <c r="W832" s="47">
        <f>T832*INDEX(ProvSRP,MATCH(G832,ProvCode,0))*(1+PriceIndex)</f>
        <v/>
      </c>
      <c r="X832" s="47">
        <f>IF(GrossBasis="Wholesale",V832,W832)</f>
        <v/>
      </c>
      <c r="Y832" s="47">
        <f>R832*INDEX(FmtBlendedCogs,MATCH(F832,FmtName,0))</f>
        <v/>
      </c>
      <c r="Z832" s="47">
        <f>X832-Y832</f>
        <v/>
      </c>
    </row>
    <row r="833">
      <c r="A833" t="n">
        <v>37</v>
      </c>
      <c r="B833" s="44">
        <f>FiscalStart+(A833-1)*7</f>
        <v/>
      </c>
      <c r="C833">
        <f>TEXT(B833,"mmm yyyy")</f>
        <v/>
      </c>
      <c r="D833">
        <f>"Q"&amp;(INT((A833-1)/13)+1)</f>
        <v/>
      </c>
      <c r="E833" t="inlineStr">
        <is>
          <t>On Premise</t>
        </is>
      </c>
      <c r="F833">
        <f>IFERROR(INDEX(ChFormat,MATCH(E833,ChName,0)),"")</f>
        <v/>
      </c>
      <c r="G833" t="inlineStr">
        <is>
          <t>QC</t>
        </is>
      </c>
      <c r="H833">
        <f>IF(A833&lt;=NWeeks,1,0)</f>
        <v/>
      </c>
      <c r="I833">
        <f>INDEX(ChLaunch,MATCH(E833,ChName,0))</f>
        <v/>
      </c>
      <c r="J833">
        <f>INDEX(ChWeeksFull,MATCH(E833,ChName,0))</f>
        <v/>
      </c>
      <c r="K833">
        <f>INDEX(ChRamp,MATCH(E833,ChName,0))</f>
        <v/>
      </c>
      <c r="L833" s="45">
        <f>MIN(1,MAX(0,(A833-I833+1)*RampSpeed/J833))</f>
        <v/>
      </c>
      <c r="M833" s="45">
        <f>IF(A833&lt;I833,0,IF(K833="S-curve",L833*L833*(3-2*L833),L833))</f>
        <v/>
      </c>
      <c r="N833" s="45">
        <f>1+(INDEX(SeasonIdx,A833)-1)*SeasonAmp</f>
        <v/>
      </c>
      <c r="O833" s="45">
        <f>IFERROR(INDEX(PSPct,MATCH(E833&amp;"|"&amp;G833,PSKey,0)),0)</f>
        <v/>
      </c>
      <c r="P833" s="46">
        <f>INDEX(ChDoorVel,MATCH(E833,ChName,0))*CalibScalar*(1+VelocityUplift)</f>
        <v/>
      </c>
      <c r="Q833" s="46" t="n">
        <v>0</v>
      </c>
      <c r="R833" s="46">
        <f>P833*O833*M833*N833*H833</f>
        <v/>
      </c>
      <c r="S833" s="46">
        <f>R833*INDEX(FmtCansPerCase,MATCH(F833,FmtName,0))</f>
        <v/>
      </c>
      <c r="T833" s="46">
        <f>S833/INDEX(FmtCansPerPack,MATCH(F833,FmtName,0))</f>
        <v/>
      </c>
      <c r="U833" s="47">
        <f>INDEX(ChBaseCP,MATCH(E833,ChName,0))*(1+INDEX(ProvMod,MATCH(G833,ProvCode,0)))*(1+PriceIndex)</f>
        <v/>
      </c>
      <c r="V833" s="47">
        <f>R833*U833*INDEX(FmtBlendedPriceIdx,MATCH(F833,FmtName,0))</f>
        <v/>
      </c>
      <c r="W833" s="47">
        <f>T833*INDEX(ProvSRP,MATCH(G833,ProvCode,0))*(1+PriceIndex)</f>
        <v/>
      </c>
      <c r="X833" s="47">
        <f>IF(GrossBasis="Wholesale",V833,W833)</f>
        <v/>
      </c>
      <c r="Y833" s="47">
        <f>R833*INDEX(FmtBlendedCogs,MATCH(F833,FmtName,0))</f>
        <v/>
      </c>
      <c r="Z833" s="47">
        <f>X833-Y833</f>
        <v/>
      </c>
    </row>
    <row r="834">
      <c r="A834" t="n">
        <v>38</v>
      </c>
      <c r="B834" s="44">
        <f>FiscalStart+(A834-1)*7</f>
        <v/>
      </c>
      <c r="C834">
        <f>TEXT(B834,"mmm yyyy")</f>
        <v/>
      </c>
      <c r="D834">
        <f>"Q"&amp;(INT((A834-1)/13)+1)</f>
        <v/>
      </c>
      <c r="E834" t="inlineStr">
        <is>
          <t>On Premise</t>
        </is>
      </c>
      <c r="F834">
        <f>IFERROR(INDEX(ChFormat,MATCH(E834,ChName,0)),"")</f>
        <v/>
      </c>
      <c r="G834" t="inlineStr">
        <is>
          <t>QC</t>
        </is>
      </c>
      <c r="H834">
        <f>IF(A834&lt;=NWeeks,1,0)</f>
        <v/>
      </c>
      <c r="I834">
        <f>INDEX(ChLaunch,MATCH(E834,ChName,0))</f>
        <v/>
      </c>
      <c r="J834">
        <f>INDEX(ChWeeksFull,MATCH(E834,ChName,0))</f>
        <v/>
      </c>
      <c r="K834">
        <f>INDEX(ChRamp,MATCH(E834,ChName,0))</f>
        <v/>
      </c>
      <c r="L834" s="45">
        <f>MIN(1,MAX(0,(A834-I834+1)*RampSpeed/J834))</f>
        <v/>
      </c>
      <c r="M834" s="45">
        <f>IF(A834&lt;I834,0,IF(K834="S-curve",L834*L834*(3-2*L834),L834))</f>
        <v/>
      </c>
      <c r="N834" s="45">
        <f>1+(INDEX(SeasonIdx,A834)-1)*SeasonAmp</f>
        <v/>
      </c>
      <c r="O834" s="45">
        <f>IFERROR(INDEX(PSPct,MATCH(E834&amp;"|"&amp;G834,PSKey,0)),0)</f>
        <v/>
      </c>
      <c r="P834" s="46">
        <f>INDEX(ChDoorVel,MATCH(E834,ChName,0))*CalibScalar*(1+VelocityUplift)</f>
        <v/>
      </c>
      <c r="Q834" s="46" t="n">
        <v>0</v>
      </c>
      <c r="R834" s="46">
        <f>P834*O834*M834*N834*H834</f>
        <v/>
      </c>
      <c r="S834" s="46">
        <f>R834*INDEX(FmtCansPerCase,MATCH(F834,FmtName,0))</f>
        <v/>
      </c>
      <c r="T834" s="46">
        <f>S834/INDEX(FmtCansPerPack,MATCH(F834,FmtName,0))</f>
        <v/>
      </c>
      <c r="U834" s="47">
        <f>INDEX(ChBaseCP,MATCH(E834,ChName,0))*(1+INDEX(ProvMod,MATCH(G834,ProvCode,0)))*(1+PriceIndex)</f>
        <v/>
      </c>
      <c r="V834" s="47">
        <f>R834*U834*INDEX(FmtBlendedPriceIdx,MATCH(F834,FmtName,0))</f>
        <v/>
      </c>
      <c r="W834" s="47">
        <f>T834*INDEX(ProvSRP,MATCH(G834,ProvCode,0))*(1+PriceIndex)</f>
        <v/>
      </c>
      <c r="X834" s="47">
        <f>IF(GrossBasis="Wholesale",V834,W834)</f>
        <v/>
      </c>
      <c r="Y834" s="47">
        <f>R834*INDEX(FmtBlendedCogs,MATCH(F834,FmtName,0))</f>
        <v/>
      </c>
      <c r="Z834" s="47">
        <f>X834-Y834</f>
        <v/>
      </c>
    </row>
    <row r="835">
      <c r="A835" t="n">
        <v>39</v>
      </c>
      <c r="B835" s="44">
        <f>FiscalStart+(A835-1)*7</f>
        <v/>
      </c>
      <c r="C835">
        <f>TEXT(B835,"mmm yyyy")</f>
        <v/>
      </c>
      <c r="D835">
        <f>"Q"&amp;(INT((A835-1)/13)+1)</f>
        <v/>
      </c>
      <c r="E835" t="inlineStr">
        <is>
          <t>On Premise</t>
        </is>
      </c>
      <c r="F835">
        <f>IFERROR(INDEX(ChFormat,MATCH(E835,ChName,0)),"")</f>
        <v/>
      </c>
      <c r="G835" t="inlineStr">
        <is>
          <t>QC</t>
        </is>
      </c>
      <c r="H835">
        <f>IF(A835&lt;=NWeeks,1,0)</f>
        <v/>
      </c>
      <c r="I835">
        <f>INDEX(ChLaunch,MATCH(E835,ChName,0))</f>
        <v/>
      </c>
      <c r="J835">
        <f>INDEX(ChWeeksFull,MATCH(E835,ChName,0))</f>
        <v/>
      </c>
      <c r="K835">
        <f>INDEX(ChRamp,MATCH(E835,ChName,0))</f>
        <v/>
      </c>
      <c r="L835" s="45">
        <f>MIN(1,MAX(0,(A835-I835+1)*RampSpeed/J835))</f>
        <v/>
      </c>
      <c r="M835" s="45">
        <f>IF(A835&lt;I835,0,IF(K835="S-curve",L835*L835*(3-2*L835),L835))</f>
        <v/>
      </c>
      <c r="N835" s="45">
        <f>1+(INDEX(SeasonIdx,A835)-1)*SeasonAmp</f>
        <v/>
      </c>
      <c r="O835" s="45">
        <f>IFERROR(INDEX(PSPct,MATCH(E835&amp;"|"&amp;G835,PSKey,0)),0)</f>
        <v/>
      </c>
      <c r="P835" s="46">
        <f>INDEX(ChDoorVel,MATCH(E835,ChName,0))*CalibScalar*(1+VelocityUplift)</f>
        <v/>
      </c>
      <c r="Q835" s="46" t="n">
        <v>0</v>
      </c>
      <c r="R835" s="46">
        <f>P835*O835*M835*N835*H835</f>
        <v/>
      </c>
      <c r="S835" s="46">
        <f>R835*INDEX(FmtCansPerCase,MATCH(F835,FmtName,0))</f>
        <v/>
      </c>
      <c r="T835" s="46">
        <f>S835/INDEX(FmtCansPerPack,MATCH(F835,FmtName,0))</f>
        <v/>
      </c>
      <c r="U835" s="47">
        <f>INDEX(ChBaseCP,MATCH(E835,ChName,0))*(1+INDEX(ProvMod,MATCH(G835,ProvCode,0)))*(1+PriceIndex)</f>
        <v/>
      </c>
      <c r="V835" s="47">
        <f>R835*U835*INDEX(FmtBlendedPriceIdx,MATCH(F835,FmtName,0))</f>
        <v/>
      </c>
      <c r="W835" s="47">
        <f>T835*INDEX(ProvSRP,MATCH(G835,ProvCode,0))*(1+PriceIndex)</f>
        <v/>
      </c>
      <c r="X835" s="47">
        <f>IF(GrossBasis="Wholesale",V835,W835)</f>
        <v/>
      </c>
      <c r="Y835" s="47">
        <f>R835*INDEX(FmtBlendedCogs,MATCH(F835,FmtName,0))</f>
        <v/>
      </c>
      <c r="Z835" s="47">
        <f>X835-Y835</f>
        <v/>
      </c>
    </row>
    <row r="836">
      <c r="A836" t="n">
        <v>40</v>
      </c>
      <c r="B836" s="44">
        <f>FiscalStart+(A836-1)*7</f>
        <v/>
      </c>
      <c r="C836">
        <f>TEXT(B836,"mmm yyyy")</f>
        <v/>
      </c>
      <c r="D836">
        <f>"Q"&amp;(INT((A836-1)/13)+1)</f>
        <v/>
      </c>
      <c r="E836" t="inlineStr">
        <is>
          <t>On Premise</t>
        </is>
      </c>
      <c r="F836">
        <f>IFERROR(INDEX(ChFormat,MATCH(E836,ChName,0)),"")</f>
        <v/>
      </c>
      <c r="G836" t="inlineStr">
        <is>
          <t>QC</t>
        </is>
      </c>
      <c r="H836">
        <f>IF(A836&lt;=NWeeks,1,0)</f>
        <v/>
      </c>
      <c r="I836">
        <f>INDEX(ChLaunch,MATCH(E836,ChName,0))</f>
        <v/>
      </c>
      <c r="J836">
        <f>INDEX(ChWeeksFull,MATCH(E836,ChName,0))</f>
        <v/>
      </c>
      <c r="K836">
        <f>INDEX(ChRamp,MATCH(E836,ChName,0))</f>
        <v/>
      </c>
      <c r="L836" s="45">
        <f>MIN(1,MAX(0,(A836-I836+1)*RampSpeed/J836))</f>
        <v/>
      </c>
      <c r="M836" s="45">
        <f>IF(A836&lt;I836,0,IF(K836="S-curve",L836*L836*(3-2*L836),L836))</f>
        <v/>
      </c>
      <c r="N836" s="45">
        <f>1+(INDEX(SeasonIdx,A836)-1)*SeasonAmp</f>
        <v/>
      </c>
      <c r="O836" s="45">
        <f>IFERROR(INDEX(PSPct,MATCH(E836&amp;"|"&amp;G836,PSKey,0)),0)</f>
        <v/>
      </c>
      <c r="P836" s="46">
        <f>INDEX(ChDoorVel,MATCH(E836,ChName,0))*CalibScalar*(1+VelocityUplift)</f>
        <v/>
      </c>
      <c r="Q836" s="46" t="n">
        <v>0</v>
      </c>
      <c r="R836" s="46">
        <f>P836*O836*M836*N836*H836</f>
        <v/>
      </c>
      <c r="S836" s="46">
        <f>R836*INDEX(FmtCansPerCase,MATCH(F836,FmtName,0))</f>
        <v/>
      </c>
      <c r="T836" s="46">
        <f>S836/INDEX(FmtCansPerPack,MATCH(F836,FmtName,0))</f>
        <v/>
      </c>
      <c r="U836" s="47">
        <f>INDEX(ChBaseCP,MATCH(E836,ChName,0))*(1+INDEX(ProvMod,MATCH(G836,ProvCode,0)))*(1+PriceIndex)</f>
        <v/>
      </c>
      <c r="V836" s="47">
        <f>R836*U836*INDEX(FmtBlendedPriceIdx,MATCH(F836,FmtName,0))</f>
        <v/>
      </c>
      <c r="W836" s="47">
        <f>T836*INDEX(ProvSRP,MATCH(G836,ProvCode,0))*(1+PriceIndex)</f>
        <v/>
      </c>
      <c r="X836" s="47">
        <f>IF(GrossBasis="Wholesale",V836,W836)</f>
        <v/>
      </c>
      <c r="Y836" s="47">
        <f>R836*INDEX(FmtBlendedCogs,MATCH(F836,FmtName,0))</f>
        <v/>
      </c>
      <c r="Z836" s="47">
        <f>X836-Y836</f>
        <v/>
      </c>
    </row>
    <row r="837">
      <c r="A837" t="n">
        <v>41</v>
      </c>
      <c r="B837" s="44">
        <f>FiscalStart+(A837-1)*7</f>
        <v/>
      </c>
      <c r="C837">
        <f>TEXT(B837,"mmm yyyy")</f>
        <v/>
      </c>
      <c r="D837">
        <f>"Q"&amp;(INT((A837-1)/13)+1)</f>
        <v/>
      </c>
      <c r="E837" t="inlineStr">
        <is>
          <t>On Premise</t>
        </is>
      </c>
      <c r="F837">
        <f>IFERROR(INDEX(ChFormat,MATCH(E837,ChName,0)),"")</f>
        <v/>
      </c>
      <c r="G837" t="inlineStr">
        <is>
          <t>QC</t>
        </is>
      </c>
      <c r="H837">
        <f>IF(A837&lt;=NWeeks,1,0)</f>
        <v/>
      </c>
      <c r="I837">
        <f>INDEX(ChLaunch,MATCH(E837,ChName,0))</f>
        <v/>
      </c>
      <c r="J837">
        <f>INDEX(ChWeeksFull,MATCH(E837,ChName,0))</f>
        <v/>
      </c>
      <c r="K837">
        <f>INDEX(ChRamp,MATCH(E837,ChName,0))</f>
        <v/>
      </c>
      <c r="L837" s="45">
        <f>MIN(1,MAX(0,(A837-I837+1)*RampSpeed/J837))</f>
        <v/>
      </c>
      <c r="M837" s="45">
        <f>IF(A837&lt;I837,0,IF(K837="S-curve",L837*L837*(3-2*L837),L837))</f>
        <v/>
      </c>
      <c r="N837" s="45">
        <f>1+(INDEX(SeasonIdx,A837)-1)*SeasonAmp</f>
        <v/>
      </c>
      <c r="O837" s="45">
        <f>IFERROR(INDEX(PSPct,MATCH(E837&amp;"|"&amp;G837,PSKey,0)),0)</f>
        <v/>
      </c>
      <c r="P837" s="46">
        <f>INDEX(ChDoorVel,MATCH(E837,ChName,0))*CalibScalar*(1+VelocityUplift)</f>
        <v/>
      </c>
      <c r="Q837" s="46" t="n">
        <v>0</v>
      </c>
      <c r="R837" s="46">
        <f>P837*O837*M837*N837*H837</f>
        <v/>
      </c>
      <c r="S837" s="46">
        <f>R837*INDEX(FmtCansPerCase,MATCH(F837,FmtName,0))</f>
        <v/>
      </c>
      <c r="T837" s="46">
        <f>S837/INDEX(FmtCansPerPack,MATCH(F837,FmtName,0))</f>
        <v/>
      </c>
      <c r="U837" s="47">
        <f>INDEX(ChBaseCP,MATCH(E837,ChName,0))*(1+INDEX(ProvMod,MATCH(G837,ProvCode,0)))*(1+PriceIndex)</f>
        <v/>
      </c>
      <c r="V837" s="47">
        <f>R837*U837*INDEX(FmtBlendedPriceIdx,MATCH(F837,FmtName,0))</f>
        <v/>
      </c>
      <c r="W837" s="47">
        <f>T837*INDEX(ProvSRP,MATCH(G837,ProvCode,0))*(1+PriceIndex)</f>
        <v/>
      </c>
      <c r="X837" s="47">
        <f>IF(GrossBasis="Wholesale",V837,W837)</f>
        <v/>
      </c>
      <c r="Y837" s="47">
        <f>R837*INDEX(FmtBlendedCogs,MATCH(F837,FmtName,0))</f>
        <v/>
      </c>
      <c r="Z837" s="47">
        <f>X837-Y837</f>
        <v/>
      </c>
    </row>
    <row r="838">
      <c r="A838" t="n">
        <v>42</v>
      </c>
      <c r="B838" s="44">
        <f>FiscalStart+(A838-1)*7</f>
        <v/>
      </c>
      <c r="C838">
        <f>TEXT(B838,"mmm yyyy")</f>
        <v/>
      </c>
      <c r="D838">
        <f>"Q"&amp;(INT((A838-1)/13)+1)</f>
        <v/>
      </c>
      <c r="E838" t="inlineStr">
        <is>
          <t>On Premise</t>
        </is>
      </c>
      <c r="F838">
        <f>IFERROR(INDEX(ChFormat,MATCH(E838,ChName,0)),"")</f>
        <v/>
      </c>
      <c r="G838" t="inlineStr">
        <is>
          <t>QC</t>
        </is>
      </c>
      <c r="H838">
        <f>IF(A838&lt;=NWeeks,1,0)</f>
        <v/>
      </c>
      <c r="I838">
        <f>INDEX(ChLaunch,MATCH(E838,ChName,0))</f>
        <v/>
      </c>
      <c r="J838">
        <f>INDEX(ChWeeksFull,MATCH(E838,ChName,0))</f>
        <v/>
      </c>
      <c r="K838">
        <f>INDEX(ChRamp,MATCH(E838,ChName,0))</f>
        <v/>
      </c>
      <c r="L838" s="45">
        <f>MIN(1,MAX(0,(A838-I838+1)*RampSpeed/J838))</f>
        <v/>
      </c>
      <c r="M838" s="45">
        <f>IF(A838&lt;I838,0,IF(K838="S-curve",L838*L838*(3-2*L838),L838))</f>
        <v/>
      </c>
      <c r="N838" s="45">
        <f>1+(INDEX(SeasonIdx,A838)-1)*SeasonAmp</f>
        <v/>
      </c>
      <c r="O838" s="45">
        <f>IFERROR(INDEX(PSPct,MATCH(E838&amp;"|"&amp;G838,PSKey,0)),0)</f>
        <v/>
      </c>
      <c r="P838" s="46">
        <f>INDEX(ChDoorVel,MATCH(E838,ChName,0))*CalibScalar*(1+VelocityUplift)</f>
        <v/>
      </c>
      <c r="Q838" s="46" t="n">
        <v>0</v>
      </c>
      <c r="R838" s="46">
        <f>P838*O838*M838*N838*H838</f>
        <v/>
      </c>
      <c r="S838" s="46">
        <f>R838*INDEX(FmtCansPerCase,MATCH(F838,FmtName,0))</f>
        <v/>
      </c>
      <c r="T838" s="46">
        <f>S838/INDEX(FmtCansPerPack,MATCH(F838,FmtName,0))</f>
        <v/>
      </c>
      <c r="U838" s="47">
        <f>INDEX(ChBaseCP,MATCH(E838,ChName,0))*(1+INDEX(ProvMod,MATCH(G838,ProvCode,0)))*(1+PriceIndex)</f>
        <v/>
      </c>
      <c r="V838" s="47">
        <f>R838*U838*INDEX(FmtBlendedPriceIdx,MATCH(F838,FmtName,0))</f>
        <v/>
      </c>
      <c r="W838" s="47">
        <f>T838*INDEX(ProvSRP,MATCH(G838,ProvCode,0))*(1+PriceIndex)</f>
        <v/>
      </c>
      <c r="X838" s="47">
        <f>IF(GrossBasis="Wholesale",V838,W838)</f>
        <v/>
      </c>
      <c r="Y838" s="47">
        <f>R838*INDEX(FmtBlendedCogs,MATCH(F838,FmtName,0))</f>
        <v/>
      </c>
      <c r="Z838" s="47">
        <f>X838-Y838</f>
        <v/>
      </c>
    </row>
    <row r="839">
      <c r="A839" t="n">
        <v>43</v>
      </c>
      <c r="B839" s="44">
        <f>FiscalStart+(A839-1)*7</f>
        <v/>
      </c>
      <c r="C839">
        <f>TEXT(B839,"mmm yyyy")</f>
        <v/>
      </c>
      <c r="D839">
        <f>"Q"&amp;(INT((A839-1)/13)+1)</f>
        <v/>
      </c>
      <c r="E839" t="inlineStr">
        <is>
          <t>On Premise</t>
        </is>
      </c>
      <c r="F839">
        <f>IFERROR(INDEX(ChFormat,MATCH(E839,ChName,0)),"")</f>
        <v/>
      </c>
      <c r="G839" t="inlineStr">
        <is>
          <t>QC</t>
        </is>
      </c>
      <c r="H839">
        <f>IF(A839&lt;=NWeeks,1,0)</f>
        <v/>
      </c>
      <c r="I839">
        <f>INDEX(ChLaunch,MATCH(E839,ChName,0))</f>
        <v/>
      </c>
      <c r="J839">
        <f>INDEX(ChWeeksFull,MATCH(E839,ChName,0))</f>
        <v/>
      </c>
      <c r="K839">
        <f>INDEX(ChRamp,MATCH(E839,ChName,0))</f>
        <v/>
      </c>
      <c r="L839" s="45">
        <f>MIN(1,MAX(0,(A839-I839+1)*RampSpeed/J839))</f>
        <v/>
      </c>
      <c r="M839" s="45">
        <f>IF(A839&lt;I839,0,IF(K839="S-curve",L839*L839*(3-2*L839),L839))</f>
        <v/>
      </c>
      <c r="N839" s="45">
        <f>1+(INDEX(SeasonIdx,A839)-1)*SeasonAmp</f>
        <v/>
      </c>
      <c r="O839" s="45">
        <f>IFERROR(INDEX(PSPct,MATCH(E839&amp;"|"&amp;G839,PSKey,0)),0)</f>
        <v/>
      </c>
      <c r="P839" s="46">
        <f>INDEX(ChDoorVel,MATCH(E839,ChName,0))*CalibScalar*(1+VelocityUplift)</f>
        <v/>
      </c>
      <c r="Q839" s="46" t="n">
        <v>0</v>
      </c>
      <c r="R839" s="46">
        <f>P839*O839*M839*N839*H839</f>
        <v/>
      </c>
      <c r="S839" s="46">
        <f>R839*INDEX(FmtCansPerCase,MATCH(F839,FmtName,0))</f>
        <v/>
      </c>
      <c r="T839" s="46">
        <f>S839/INDEX(FmtCansPerPack,MATCH(F839,FmtName,0))</f>
        <v/>
      </c>
      <c r="U839" s="47">
        <f>INDEX(ChBaseCP,MATCH(E839,ChName,0))*(1+INDEX(ProvMod,MATCH(G839,ProvCode,0)))*(1+PriceIndex)</f>
        <v/>
      </c>
      <c r="V839" s="47">
        <f>R839*U839*INDEX(FmtBlendedPriceIdx,MATCH(F839,FmtName,0))</f>
        <v/>
      </c>
      <c r="W839" s="47">
        <f>T839*INDEX(ProvSRP,MATCH(G839,ProvCode,0))*(1+PriceIndex)</f>
        <v/>
      </c>
      <c r="X839" s="47">
        <f>IF(GrossBasis="Wholesale",V839,W839)</f>
        <v/>
      </c>
      <c r="Y839" s="47">
        <f>R839*INDEX(FmtBlendedCogs,MATCH(F839,FmtName,0))</f>
        <v/>
      </c>
      <c r="Z839" s="47">
        <f>X839-Y839</f>
        <v/>
      </c>
    </row>
    <row r="840">
      <c r="A840" t="n">
        <v>44</v>
      </c>
      <c r="B840" s="44">
        <f>FiscalStart+(A840-1)*7</f>
        <v/>
      </c>
      <c r="C840">
        <f>TEXT(B840,"mmm yyyy")</f>
        <v/>
      </c>
      <c r="D840">
        <f>"Q"&amp;(INT((A840-1)/13)+1)</f>
        <v/>
      </c>
      <c r="E840" t="inlineStr">
        <is>
          <t>On Premise</t>
        </is>
      </c>
      <c r="F840">
        <f>IFERROR(INDEX(ChFormat,MATCH(E840,ChName,0)),"")</f>
        <v/>
      </c>
      <c r="G840" t="inlineStr">
        <is>
          <t>QC</t>
        </is>
      </c>
      <c r="H840">
        <f>IF(A840&lt;=NWeeks,1,0)</f>
        <v/>
      </c>
      <c r="I840">
        <f>INDEX(ChLaunch,MATCH(E840,ChName,0))</f>
        <v/>
      </c>
      <c r="J840">
        <f>INDEX(ChWeeksFull,MATCH(E840,ChName,0))</f>
        <v/>
      </c>
      <c r="K840">
        <f>INDEX(ChRamp,MATCH(E840,ChName,0))</f>
        <v/>
      </c>
      <c r="L840" s="45">
        <f>MIN(1,MAX(0,(A840-I840+1)*RampSpeed/J840))</f>
        <v/>
      </c>
      <c r="M840" s="45">
        <f>IF(A840&lt;I840,0,IF(K840="S-curve",L840*L840*(3-2*L840),L840))</f>
        <v/>
      </c>
      <c r="N840" s="45">
        <f>1+(INDEX(SeasonIdx,A840)-1)*SeasonAmp</f>
        <v/>
      </c>
      <c r="O840" s="45">
        <f>IFERROR(INDEX(PSPct,MATCH(E840&amp;"|"&amp;G840,PSKey,0)),0)</f>
        <v/>
      </c>
      <c r="P840" s="46">
        <f>INDEX(ChDoorVel,MATCH(E840,ChName,0))*CalibScalar*(1+VelocityUplift)</f>
        <v/>
      </c>
      <c r="Q840" s="46" t="n">
        <v>0</v>
      </c>
      <c r="R840" s="46">
        <f>P840*O840*M840*N840*H840</f>
        <v/>
      </c>
      <c r="S840" s="46">
        <f>R840*INDEX(FmtCansPerCase,MATCH(F840,FmtName,0))</f>
        <v/>
      </c>
      <c r="T840" s="46">
        <f>S840/INDEX(FmtCansPerPack,MATCH(F840,FmtName,0))</f>
        <v/>
      </c>
      <c r="U840" s="47">
        <f>INDEX(ChBaseCP,MATCH(E840,ChName,0))*(1+INDEX(ProvMod,MATCH(G840,ProvCode,0)))*(1+PriceIndex)</f>
        <v/>
      </c>
      <c r="V840" s="47">
        <f>R840*U840*INDEX(FmtBlendedPriceIdx,MATCH(F840,FmtName,0))</f>
        <v/>
      </c>
      <c r="W840" s="47">
        <f>T840*INDEX(ProvSRP,MATCH(G840,ProvCode,0))*(1+PriceIndex)</f>
        <v/>
      </c>
      <c r="X840" s="47">
        <f>IF(GrossBasis="Wholesale",V840,W840)</f>
        <v/>
      </c>
      <c r="Y840" s="47">
        <f>R840*INDEX(FmtBlendedCogs,MATCH(F840,FmtName,0))</f>
        <v/>
      </c>
      <c r="Z840" s="47">
        <f>X840-Y840</f>
        <v/>
      </c>
    </row>
    <row r="841">
      <c r="A841" t="n">
        <v>45</v>
      </c>
      <c r="B841" s="44">
        <f>FiscalStart+(A841-1)*7</f>
        <v/>
      </c>
      <c r="C841">
        <f>TEXT(B841,"mmm yyyy")</f>
        <v/>
      </c>
      <c r="D841">
        <f>"Q"&amp;(INT((A841-1)/13)+1)</f>
        <v/>
      </c>
      <c r="E841" t="inlineStr">
        <is>
          <t>On Premise</t>
        </is>
      </c>
      <c r="F841">
        <f>IFERROR(INDEX(ChFormat,MATCH(E841,ChName,0)),"")</f>
        <v/>
      </c>
      <c r="G841" t="inlineStr">
        <is>
          <t>QC</t>
        </is>
      </c>
      <c r="H841">
        <f>IF(A841&lt;=NWeeks,1,0)</f>
        <v/>
      </c>
      <c r="I841">
        <f>INDEX(ChLaunch,MATCH(E841,ChName,0))</f>
        <v/>
      </c>
      <c r="J841">
        <f>INDEX(ChWeeksFull,MATCH(E841,ChName,0))</f>
        <v/>
      </c>
      <c r="K841">
        <f>INDEX(ChRamp,MATCH(E841,ChName,0))</f>
        <v/>
      </c>
      <c r="L841" s="45">
        <f>MIN(1,MAX(0,(A841-I841+1)*RampSpeed/J841))</f>
        <v/>
      </c>
      <c r="M841" s="45">
        <f>IF(A841&lt;I841,0,IF(K841="S-curve",L841*L841*(3-2*L841),L841))</f>
        <v/>
      </c>
      <c r="N841" s="45">
        <f>1+(INDEX(SeasonIdx,A841)-1)*SeasonAmp</f>
        <v/>
      </c>
      <c r="O841" s="45">
        <f>IFERROR(INDEX(PSPct,MATCH(E841&amp;"|"&amp;G841,PSKey,0)),0)</f>
        <v/>
      </c>
      <c r="P841" s="46">
        <f>INDEX(ChDoorVel,MATCH(E841,ChName,0))*CalibScalar*(1+VelocityUplift)</f>
        <v/>
      </c>
      <c r="Q841" s="46" t="n">
        <v>0</v>
      </c>
      <c r="R841" s="46">
        <f>P841*O841*M841*N841*H841</f>
        <v/>
      </c>
      <c r="S841" s="46">
        <f>R841*INDEX(FmtCansPerCase,MATCH(F841,FmtName,0))</f>
        <v/>
      </c>
      <c r="T841" s="46">
        <f>S841/INDEX(FmtCansPerPack,MATCH(F841,FmtName,0))</f>
        <v/>
      </c>
      <c r="U841" s="47">
        <f>INDEX(ChBaseCP,MATCH(E841,ChName,0))*(1+INDEX(ProvMod,MATCH(G841,ProvCode,0)))*(1+PriceIndex)</f>
        <v/>
      </c>
      <c r="V841" s="47">
        <f>R841*U841*INDEX(FmtBlendedPriceIdx,MATCH(F841,FmtName,0))</f>
        <v/>
      </c>
      <c r="W841" s="47">
        <f>T841*INDEX(ProvSRP,MATCH(G841,ProvCode,0))*(1+PriceIndex)</f>
        <v/>
      </c>
      <c r="X841" s="47">
        <f>IF(GrossBasis="Wholesale",V841,W841)</f>
        <v/>
      </c>
      <c r="Y841" s="47">
        <f>R841*INDEX(FmtBlendedCogs,MATCH(F841,FmtName,0))</f>
        <v/>
      </c>
      <c r="Z841" s="47">
        <f>X841-Y841</f>
        <v/>
      </c>
    </row>
    <row r="842">
      <c r="A842" t="n">
        <v>46</v>
      </c>
      <c r="B842" s="44">
        <f>FiscalStart+(A842-1)*7</f>
        <v/>
      </c>
      <c r="C842">
        <f>TEXT(B842,"mmm yyyy")</f>
        <v/>
      </c>
      <c r="D842">
        <f>"Q"&amp;(INT((A842-1)/13)+1)</f>
        <v/>
      </c>
      <c r="E842" t="inlineStr">
        <is>
          <t>On Premise</t>
        </is>
      </c>
      <c r="F842">
        <f>IFERROR(INDEX(ChFormat,MATCH(E842,ChName,0)),"")</f>
        <v/>
      </c>
      <c r="G842" t="inlineStr">
        <is>
          <t>QC</t>
        </is>
      </c>
      <c r="H842">
        <f>IF(A842&lt;=NWeeks,1,0)</f>
        <v/>
      </c>
      <c r="I842">
        <f>INDEX(ChLaunch,MATCH(E842,ChName,0))</f>
        <v/>
      </c>
      <c r="J842">
        <f>INDEX(ChWeeksFull,MATCH(E842,ChName,0))</f>
        <v/>
      </c>
      <c r="K842">
        <f>INDEX(ChRamp,MATCH(E842,ChName,0))</f>
        <v/>
      </c>
      <c r="L842" s="45">
        <f>MIN(1,MAX(0,(A842-I842+1)*RampSpeed/J842))</f>
        <v/>
      </c>
      <c r="M842" s="45">
        <f>IF(A842&lt;I842,0,IF(K842="S-curve",L842*L842*(3-2*L842),L842))</f>
        <v/>
      </c>
      <c r="N842" s="45">
        <f>1+(INDEX(SeasonIdx,A842)-1)*SeasonAmp</f>
        <v/>
      </c>
      <c r="O842" s="45">
        <f>IFERROR(INDEX(PSPct,MATCH(E842&amp;"|"&amp;G842,PSKey,0)),0)</f>
        <v/>
      </c>
      <c r="P842" s="46">
        <f>INDEX(ChDoorVel,MATCH(E842,ChName,0))*CalibScalar*(1+VelocityUplift)</f>
        <v/>
      </c>
      <c r="Q842" s="46" t="n">
        <v>0</v>
      </c>
      <c r="R842" s="46">
        <f>P842*O842*M842*N842*H842</f>
        <v/>
      </c>
      <c r="S842" s="46">
        <f>R842*INDEX(FmtCansPerCase,MATCH(F842,FmtName,0))</f>
        <v/>
      </c>
      <c r="T842" s="46">
        <f>S842/INDEX(FmtCansPerPack,MATCH(F842,FmtName,0))</f>
        <v/>
      </c>
      <c r="U842" s="47">
        <f>INDEX(ChBaseCP,MATCH(E842,ChName,0))*(1+INDEX(ProvMod,MATCH(G842,ProvCode,0)))*(1+PriceIndex)</f>
        <v/>
      </c>
      <c r="V842" s="47">
        <f>R842*U842*INDEX(FmtBlendedPriceIdx,MATCH(F842,FmtName,0))</f>
        <v/>
      </c>
      <c r="W842" s="47">
        <f>T842*INDEX(ProvSRP,MATCH(G842,ProvCode,0))*(1+PriceIndex)</f>
        <v/>
      </c>
      <c r="X842" s="47">
        <f>IF(GrossBasis="Wholesale",V842,W842)</f>
        <v/>
      </c>
      <c r="Y842" s="47">
        <f>R842*INDEX(FmtBlendedCogs,MATCH(F842,FmtName,0))</f>
        <v/>
      </c>
      <c r="Z842" s="47">
        <f>X842-Y842</f>
        <v/>
      </c>
    </row>
    <row r="843">
      <c r="A843" t="n">
        <v>47</v>
      </c>
      <c r="B843" s="44">
        <f>FiscalStart+(A843-1)*7</f>
        <v/>
      </c>
      <c r="C843">
        <f>TEXT(B843,"mmm yyyy")</f>
        <v/>
      </c>
      <c r="D843">
        <f>"Q"&amp;(INT((A843-1)/13)+1)</f>
        <v/>
      </c>
      <c r="E843" t="inlineStr">
        <is>
          <t>On Premise</t>
        </is>
      </c>
      <c r="F843">
        <f>IFERROR(INDEX(ChFormat,MATCH(E843,ChName,0)),"")</f>
        <v/>
      </c>
      <c r="G843" t="inlineStr">
        <is>
          <t>QC</t>
        </is>
      </c>
      <c r="H843">
        <f>IF(A843&lt;=NWeeks,1,0)</f>
        <v/>
      </c>
      <c r="I843">
        <f>INDEX(ChLaunch,MATCH(E843,ChName,0))</f>
        <v/>
      </c>
      <c r="J843">
        <f>INDEX(ChWeeksFull,MATCH(E843,ChName,0))</f>
        <v/>
      </c>
      <c r="K843">
        <f>INDEX(ChRamp,MATCH(E843,ChName,0))</f>
        <v/>
      </c>
      <c r="L843" s="45">
        <f>MIN(1,MAX(0,(A843-I843+1)*RampSpeed/J843))</f>
        <v/>
      </c>
      <c r="M843" s="45">
        <f>IF(A843&lt;I843,0,IF(K843="S-curve",L843*L843*(3-2*L843),L843))</f>
        <v/>
      </c>
      <c r="N843" s="45">
        <f>1+(INDEX(SeasonIdx,A843)-1)*SeasonAmp</f>
        <v/>
      </c>
      <c r="O843" s="45">
        <f>IFERROR(INDEX(PSPct,MATCH(E843&amp;"|"&amp;G843,PSKey,0)),0)</f>
        <v/>
      </c>
      <c r="P843" s="46">
        <f>INDEX(ChDoorVel,MATCH(E843,ChName,0))*CalibScalar*(1+VelocityUplift)</f>
        <v/>
      </c>
      <c r="Q843" s="46" t="n">
        <v>0</v>
      </c>
      <c r="R843" s="46">
        <f>P843*O843*M843*N843*H843</f>
        <v/>
      </c>
      <c r="S843" s="46">
        <f>R843*INDEX(FmtCansPerCase,MATCH(F843,FmtName,0))</f>
        <v/>
      </c>
      <c r="T843" s="46">
        <f>S843/INDEX(FmtCansPerPack,MATCH(F843,FmtName,0))</f>
        <v/>
      </c>
      <c r="U843" s="47">
        <f>INDEX(ChBaseCP,MATCH(E843,ChName,0))*(1+INDEX(ProvMod,MATCH(G843,ProvCode,0)))*(1+PriceIndex)</f>
        <v/>
      </c>
      <c r="V843" s="47">
        <f>R843*U843*INDEX(FmtBlendedPriceIdx,MATCH(F843,FmtName,0))</f>
        <v/>
      </c>
      <c r="W843" s="47">
        <f>T843*INDEX(ProvSRP,MATCH(G843,ProvCode,0))*(1+PriceIndex)</f>
        <v/>
      </c>
      <c r="X843" s="47">
        <f>IF(GrossBasis="Wholesale",V843,W843)</f>
        <v/>
      </c>
      <c r="Y843" s="47">
        <f>R843*INDEX(FmtBlendedCogs,MATCH(F843,FmtName,0))</f>
        <v/>
      </c>
      <c r="Z843" s="47">
        <f>X843-Y843</f>
        <v/>
      </c>
    </row>
    <row r="844">
      <c r="A844" t="n">
        <v>48</v>
      </c>
      <c r="B844" s="44">
        <f>FiscalStart+(A844-1)*7</f>
        <v/>
      </c>
      <c r="C844">
        <f>TEXT(B844,"mmm yyyy")</f>
        <v/>
      </c>
      <c r="D844">
        <f>"Q"&amp;(INT((A844-1)/13)+1)</f>
        <v/>
      </c>
      <c r="E844" t="inlineStr">
        <is>
          <t>On Premise</t>
        </is>
      </c>
      <c r="F844">
        <f>IFERROR(INDEX(ChFormat,MATCH(E844,ChName,0)),"")</f>
        <v/>
      </c>
      <c r="G844" t="inlineStr">
        <is>
          <t>QC</t>
        </is>
      </c>
      <c r="H844">
        <f>IF(A844&lt;=NWeeks,1,0)</f>
        <v/>
      </c>
      <c r="I844">
        <f>INDEX(ChLaunch,MATCH(E844,ChName,0))</f>
        <v/>
      </c>
      <c r="J844">
        <f>INDEX(ChWeeksFull,MATCH(E844,ChName,0))</f>
        <v/>
      </c>
      <c r="K844">
        <f>INDEX(ChRamp,MATCH(E844,ChName,0))</f>
        <v/>
      </c>
      <c r="L844" s="45">
        <f>MIN(1,MAX(0,(A844-I844+1)*RampSpeed/J844))</f>
        <v/>
      </c>
      <c r="M844" s="45">
        <f>IF(A844&lt;I844,0,IF(K844="S-curve",L844*L844*(3-2*L844),L844))</f>
        <v/>
      </c>
      <c r="N844" s="45">
        <f>1+(INDEX(SeasonIdx,A844)-1)*SeasonAmp</f>
        <v/>
      </c>
      <c r="O844" s="45">
        <f>IFERROR(INDEX(PSPct,MATCH(E844&amp;"|"&amp;G844,PSKey,0)),0)</f>
        <v/>
      </c>
      <c r="P844" s="46">
        <f>INDEX(ChDoorVel,MATCH(E844,ChName,0))*CalibScalar*(1+VelocityUplift)</f>
        <v/>
      </c>
      <c r="Q844" s="46" t="n">
        <v>0</v>
      </c>
      <c r="R844" s="46">
        <f>P844*O844*M844*N844*H844</f>
        <v/>
      </c>
      <c r="S844" s="46">
        <f>R844*INDEX(FmtCansPerCase,MATCH(F844,FmtName,0))</f>
        <v/>
      </c>
      <c r="T844" s="46">
        <f>S844/INDEX(FmtCansPerPack,MATCH(F844,FmtName,0))</f>
        <v/>
      </c>
      <c r="U844" s="47">
        <f>INDEX(ChBaseCP,MATCH(E844,ChName,0))*(1+INDEX(ProvMod,MATCH(G844,ProvCode,0)))*(1+PriceIndex)</f>
        <v/>
      </c>
      <c r="V844" s="47">
        <f>R844*U844*INDEX(FmtBlendedPriceIdx,MATCH(F844,FmtName,0))</f>
        <v/>
      </c>
      <c r="W844" s="47">
        <f>T844*INDEX(ProvSRP,MATCH(G844,ProvCode,0))*(1+PriceIndex)</f>
        <v/>
      </c>
      <c r="X844" s="47">
        <f>IF(GrossBasis="Wholesale",V844,W844)</f>
        <v/>
      </c>
      <c r="Y844" s="47">
        <f>R844*INDEX(FmtBlendedCogs,MATCH(F844,FmtName,0))</f>
        <v/>
      </c>
      <c r="Z844" s="47">
        <f>X844-Y844</f>
        <v/>
      </c>
    </row>
    <row r="845">
      <c r="A845" t="n">
        <v>49</v>
      </c>
      <c r="B845" s="44">
        <f>FiscalStart+(A845-1)*7</f>
        <v/>
      </c>
      <c r="C845">
        <f>TEXT(B845,"mmm yyyy")</f>
        <v/>
      </c>
      <c r="D845">
        <f>"Q"&amp;(INT((A845-1)/13)+1)</f>
        <v/>
      </c>
      <c r="E845" t="inlineStr">
        <is>
          <t>On Premise</t>
        </is>
      </c>
      <c r="F845">
        <f>IFERROR(INDEX(ChFormat,MATCH(E845,ChName,0)),"")</f>
        <v/>
      </c>
      <c r="G845" t="inlineStr">
        <is>
          <t>QC</t>
        </is>
      </c>
      <c r="H845">
        <f>IF(A845&lt;=NWeeks,1,0)</f>
        <v/>
      </c>
      <c r="I845">
        <f>INDEX(ChLaunch,MATCH(E845,ChName,0))</f>
        <v/>
      </c>
      <c r="J845">
        <f>INDEX(ChWeeksFull,MATCH(E845,ChName,0))</f>
        <v/>
      </c>
      <c r="K845">
        <f>INDEX(ChRamp,MATCH(E845,ChName,0))</f>
        <v/>
      </c>
      <c r="L845" s="45">
        <f>MIN(1,MAX(0,(A845-I845+1)*RampSpeed/J845))</f>
        <v/>
      </c>
      <c r="M845" s="45">
        <f>IF(A845&lt;I845,0,IF(K845="S-curve",L845*L845*(3-2*L845),L845))</f>
        <v/>
      </c>
      <c r="N845" s="45">
        <f>1+(INDEX(SeasonIdx,A845)-1)*SeasonAmp</f>
        <v/>
      </c>
      <c r="O845" s="45">
        <f>IFERROR(INDEX(PSPct,MATCH(E845&amp;"|"&amp;G845,PSKey,0)),0)</f>
        <v/>
      </c>
      <c r="P845" s="46">
        <f>INDEX(ChDoorVel,MATCH(E845,ChName,0))*CalibScalar*(1+VelocityUplift)</f>
        <v/>
      </c>
      <c r="Q845" s="46" t="n">
        <v>0</v>
      </c>
      <c r="R845" s="46">
        <f>P845*O845*M845*N845*H845</f>
        <v/>
      </c>
      <c r="S845" s="46">
        <f>R845*INDEX(FmtCansPerCase,MATCH(F845,FmtName,0))</f>
        <v/>
      </c>
      <c r="T845" s="46">
        <f>S845/INDEX(FmtCansPerPack,MATCH(F845,FmtName,0))</f>
        <v/>
      </c>
      <c r="U845" s="47">
        <f>INDEX(ChBaseCP,MATCH(E845,ChName,0))*(1+INDEX(ProvMod,MATCH(G845,ProvCode,0)))*(1+PriceIndex)</f>
        <v/>
      </c>
      <c r="V845" s="47">
        <f>R845*U845*INDEX(FmtBlendedPriceIdx,MATCH(F845,FmtName,0))</f>
        <v/>
      </c>
      <c r="W845" s="47">
        <f>T845*INDEX(ProvSRP,MATCH(G845,ProvCode,0))*(1+PriceIndex)</f>
        <v/>
      </c>
      <c r="X845" s="47">
        <f>IF(GrossBasis="Wholesale",V845,W845)</f>
        <v/>
      </c>
      <c r="Y845" s="47">
        <f>R845*INDEX(FmtBlendedCogs,MATCH(F845,FmtName,0))</f>
        <v/>
      </c>
      <c r="Z845" s="47">
        <f>X845-Y845</f>
        <v/>
      </c>
    </row>
    <row r="846">
      <c r="A846" t="n">
        <v>50</v>
      </c>
      <c r="B846" s="44">
        <f>FiscalStart+(A846-1)*7</f>
        <v/>
      </c>
      <c r="C846">
        <f>TEXT(B846,"mmm yyyy")</f>
        <v/>
      </c>
      <c r="D846">
        <f>"Q"&amp;(INT((A846-1)/13)+1)</f>
        <v/>
      </c>
      <c r="E846" t="inlineStr">
        <is>
          <t>On Premise</t>
        </is>
      </c>
      <c r="F846">
        <f>IFERROR(INDEX(ChFormat,MATCH(E846,ChName,0)),"")</f>
        <v/>
      </c>
      <c r="G846" t="inlineStr">
        <is>
          <t>QC</t>
        </is>
      </c>
      <c r="H846">
        <f>IF(A846&lt;=NWeeks,1,0)</f>
        <v/>
      </c>
      <c r="I846">
        <f>INDEX(ChLaunch,MATCH(E846,ChName,0))</f>
        <v/>
      </c>
      <c r="J846">
        <f>INDEX(ChWeeksFull,MATCH(E846,ChName,0))</f>
        <v/>
      </c>
      <c r="K846">
        <f>INDEX(ChRamp,MATCH(E846,ChName,0))</f>
        <v/>
      </c>
      <c r="L846" s="45">
        <f>MIN(1,MAX(0,(A846-I846+1)*RampSpeed/J846))</f>
        <v/>
      </c>
      <c r="M846" s="45">
        <f>IF(A846&lt;I846,0,IF(K846="S-curve",L846*L846*(3-2*L846),L846))</f>
        <v/>
      </c>
      <c r="N846" s="45">
        <f>1+(INDEX(SeasonIdx,A846)-1)*SeasonAmp</f>
        <v/>
      </c>
      <c r="O846" s="45">
        <f>IFERROR(INDEX(PSPct,MATCH(E846&amp;"|"&amp;G846,PSKey,0)),0)</f>
        <v/>
      </c>
      <c r="P846" s="46">
        <f>INDEX(ChDoorVel,MATCH(E846,ChName,0))*CalibScalar*(1+VelocityUplift)</f>
        <v/>
      </c>
      <c r="Q846" s="46" t="n">
        <v>0</v>
      </c>
      <c r="R846" s="46">
        <f>P846*O846*M846*N846*H846</f>
        <v/>
      </c>
      <c r="S846" s="46">
        <f>R846*INDEX(FmtCansPerCase,MATCH(F846,FmtName,0))</f>
        <v/>
      </c>
      <c r="T846" s="46">
        <f>S846/INDEX(FmtCansPerPack,MATCH(F846,FmtName,0))</f>
        <v/>
      </c>
      <c r="U846" s="47">
        <f>INDEX(ChBaseCP,MATCH(E846,ChName,0))*(1+INDEX(ProvMod,MATCH(G846,ProvCode,0)))*(1+PriceIndex)</f>
        <v/>
      </c>
      <c r="V846" s="47">
        <f>R846*U846*INDEX(FmtBlendedPriceIdx,MATCH(F846,FmtName,0))</f>
        <v/>
      </c>
      <c r="W846" s="47">
        <f>T846*INDEX(ProvSRP,MATCH(G846,ProvCode,0))*(1+PriceIndex)</f>
        <v/>
      </c>
      <c r="X846" s="47">
        <f>IF(GrossBasis="Wholesale",V846,W846)</f>
        <v/>
      </c>
      <c r="Y846" s="47">
        <f>R846*INDEX(FmtBlendedCogs,MATCH(F846,FmtName,0))</f>
        <v/>
      </c>
      <c r="Z846" s="47">
        <f>X846-Y846</f>
        <v/>
      </c>
    </row>
    <row r="847">
      <c r="A847" t="n">
        <v>51</v>
      </c>
      <c r="B847" s="44">
        <f>FiscalStart+(A847-1)*7</f>
        <v/>
      </c>
      <c r="C847">
        <f>TEXT(B847,"mmm yyyy")</f>
        <v/>
      </c>
      <c r="D847">
        <f>"Q"&amp;(INT((A847-1)/13)+1)</f>
        <v/>
      </c>
      <c r="E847" t="inlineStr">
        <is>
          <t>On Premise</t>
        </is>
      </c>
      <c r="F847">
        <f>IFERROR(INDEX(ChFormat,MATCH(E847,ChName,0)),"")</f>
        <v/>
      </c>
      <c r="G847" t="inlineStr">
        <is>
          <t>QC</t>
        </is>
      </c>
      <c r="H847">
        <f>IF(A847&lt;=NWeeks,1,0)</f>
        <v/>
      </c>
      <c r="I847">
        <f>INDEX(ChLaunch,MATCH(E847,ChName,0))</f>
        <v/>
      </c>
      <c r="J847">
        <f>INDEX(ChWeeksFull,MATCH(E847,ChName,0))</f>
        <v/>
      </c>
      <c r="K847">
        <f>INDEX(ChRamp,MATCH(E847,ChName,0))</f>
        <v/>
      </c>
      <c r="L847" s="45">
        <f>MIN(1,MAX(0,(A847-I847+1)*RampSpeed/J847))</f>
        <v/>
      </c>
      <c r="M847" s="45">
        <f>IF(A847&lt;I847,0,IF(K847="S-curve",L847*L847*(3-2*L847),L847))</f>
        <v/>
      </c>
      <c r="N847" s="45">
        <f>1+(INDEX(SeasonIdx,A847)-1)*SeasonAmp</f>
        <v/>
      </c>
      <c r="O847" s="45">
        <f>IFERROR(INDEX(PSPct,MATCH(E847&amp;"|"&amp;G847,PSKey,0)),0)</f>
        <v/>
      </c>
      <c r="P847" s="46">
        <f>INDEX(ChDoorVel,MATCH(E847,ChName,0))*CalibScalar*(1+VelocityUplift)</f>
        <v/>
      </c>
      <c r="Q847" s="46" t="n">
        <v>0</v>
      </c>
      <c r="R847" s="46">
        <f>P847*O847*M847*N847*H847</f>
        <v/>
      </c>
      <c r="S847" s="46">
        <f>R847*INDEX(FmtCansPerCase,MATCH(F847,FmtName,0))</f>
        <v/>
      </c>
      <c r="T847" s="46">
        <f>S847/INDEX(FmtCansPerPack,MATCH(F847,FmtName,0))</f>
        <v/>
      </c>
      <c r="U847" s="47">
        <f>INDEX(ChBaseCP,MATCH(E847,ChName,0))*(1+INDEX(ProvMod,MATCH(G847,ProvCode,0)))*(1+PriceIndex)</f>
        <v/>
      </c>
      <c r="V847" s="47">
        <f>R847*U847*INDEX(FmtBlendedPriceIdx,MATCH(F847,FmtName,0))</f>
        <v/>
      </c>
      <c r="W847" s="47">
        <f>T847*INDEX(ProvSRP,MATCH(G847,ProvCode,0))*(1+PriceIndex)</f>
        <v/>
      </c>
      <c r="X847" s="47">
        <f>IF(GrossBasis="Wholesale",V847,W847)</f>
        <v/>
      </c>
      <c r="Y847" s="47">
        <f>R847*INDEX(FmtBlendedCogs,MATCH(F847,FmtName,0))</f>
        <v/>
      </c>
      <c r="Z847" s="47">
        <f>X847-Y847</f>
        <v/>
      </c>
    </row>
    <row r="848">
      <c r="A848" t="n">
        <v>52</v>
      </c>
      <c r="B848" s="44">
        <f>FiscalStart+(A848-1)*7</f>
        <v/>
      </c>
      <c r="C848">
        <f>TEXT(B848,"mmm yyyy")</f>
        <v/>
      </c>
      <c r="D848">
        <f>"Q"&amp;(INT((A848-1)/13)+1)</f>
        <v/>
      </c>
      <c r="E848" t="inlineStr">
        <is>
          <t>On Premise</t>
        </is>
      </c>
      <c r="F848">
        <f>IFERROR(INDEX(ChFormat,MATCH(E848,ChName,0)),"")</f>
        <v/>
      </c>
      <c r="G848" t="inlineStr">
        <is>
          <t>QC</t>
        </is>
      </c>
      <c r="H848">
        <f>IF(A848&lt;=NWeeks,1,0)</f>
        <v/>
      </c>
      <c r="I848">
        <f>INDEX(ChLaunch,MATCH(E848,ChName,0))</f>
        <v/>
      </c>
      <c r="J848">
        <f>INDEX(ChWeeksFull,MATCH(E848,ChName,0))</f>
        <v/>
      </c>
      <c r="K848">
        <f>INDEX(ChRamp,MATCH(E848,ChName,0))</f>
        <v/>
      </c>
      <c r="L848" s="45">
        <f>MIN(1,MAX(0,(A848-I848+1)*RampSpeed/J848))</f>
        <v/>
      </c>
      <c r="M848" s="45">
        <f>IF(A848&lt;I848,0,IF(K848="S-curve",L848*L848*(3-2*L848),L848))</f>
        <v/>
      </c>
      <c r="N848" s="45">
        <f>1+(INDEX(SeasonIdx,A848)-1)*SeasonAmp</f>
        <v/>
      </c>
      <c r="O848" s="45">
        <f>IFERROR(INDEX(PSPct,MATCH(E848&amp;"|"&amp;G848,PSKey,0)),0)</f>
        <v/>
      </c>
      <c r="P848" s="46">
        <f>INDEX(ChDoorVel,MATCH(E848,ChName,0))*CalibScalar*(1+VelocityUplift)</f>
        <v/>
      </c>
      <c r="Q848" s="46" t="n">
        <v>0</v>
      </c>
      <c r="R848" s="46">
        <f>P848*O848*M848*N848*H848</f>
        <v/>
      </c>
      <c r="S848" s="46">
        <f>R848*INDEX(FmtCansPerCase,MATCH(F848,FmtName,0))</f>
        <v/>
      </c>
      <c r="T848" s="46">
        <f>S848/INDEX(FmtCansPerPack,MATCH(F848,FmtName,0))</f>
        <v/>
      </c>
      <c r="U848" s="47">
        <f>INDEX(ChBaseCP,MATCH(E848,ChName,0))*(1+INDEX(ProvMod,MATCH(G848,ProvCode,0)))*(1+PriceIndex)</f>
        <v/>
      </c>
      <c r="V848" s="47">
        <f>R848*U848*INDEX(FmtBlendedPriceIdx,MATCH(F848,FmtName,0))</f>
        <v/>
      </c>
      <c r="W848" s="47">
        <f>T848*INDEX(ProvSRP,MATCH(G848,ProvCode,0))*(1+PriceIndex)</f>
        <v/>
      </c>
      <c r="X848" s="47">
        <f>IF(GrossBasis="Wholesale",V848,W848)</f>
        <v/>
      </c>
      <c r="Y848" s="47">
        <f>R848*INDEX(FmtBlendedCogs,MATCH(F848,FmtName,0))</f>
        <v/>
      </c>
      <c r="Z848" s="47">
        <f>X848-Y848</f>
        <v/>
      </c>
    </row>
    <row r="849">
      <c r="A849" t="n">
        <v>53</v>
      </c>
      <c r="B849" s="44">
        <f>FiscalStart+(A849-1)*7</f>
        <v/>
      </c>
      <c r="C849">
        <f>TEXT(B849,"mmm yyyy")</f>
        <v/>
      </c>
      <c r="D849">
        <f>"Q"&amp;(INT((A849-1)/13)+1)</f>
        <v/>
      </c>
      <c r="E849" t="inlineStr">
        <is>
          <t>On Premise</t>
        </is>
      </c>
      <c r="F849">
        <f>IFERROR(INDEX(ChFormat,MATCH(E849,ChName,0)),"")</f>
        <v/>
      </c>
      <c r="G849" t="inlineStr">
        <is>
          <t>QC</t>
        </is>
      </c>
      <c r="H849">
        <f>IF(A849&lt;=NWeeks,1,0)</f>
        <v/>
      </c>
      <c r="I849">
        <f>INDEX(ChLaunch,MATCH(E849,ChName,0))</f>
        <v/>
      </c>
      <c r="J849">
        <f>INDEX(ChWeeksFull,MATCH(E849,ChName,0))</f>
        <v/>
      </c>
      <c r="K849">
        <f>INDEX(ChRamp,MATCH(E849,ChName,0))</f>
        <v/>
      </c>
      <c r="L849" s="45">
        <f>MIN(1,MAX(0,(A849-I849+1)*RampSpeed/J849))</f>
        <v/>
      </c>
      <c r="M849" s="45">
        <f>IF(A849&lt;I849,0,IF(K849="S-curve",L849*L849*(3-2*L849),L849))</f>
        <v/>
      </c>
      <c r="N849" s="45">
        <f>1+(INDEX(SeasonIdx,A849)-1)*SeasonAmp</f>
        <v/>
      </c>
      <c r="O849" s="45">
        <f>IFERROR(INDEX(PSPct,MATCH(E849&amp;"|"&amp;G849,PSKey,0)),0)</f>
        <v/>
      </c>
      <c r="P849" s="46">
        <f>INDEX(ChDoorVel,MATCH(E849,ChName,0))*CalibScalar*(1+VelocityUplift)</f>
        <v/>
      </c>
      <c r="Q849" s="46" t="n">
        <v>0</v>
      </c>
      <c r="R849" s="46">
        <f>P849*O849*M849*N849*H849</f>
        <v/>
      </c>
      <c r="S849" s="46">
        <f>R849*INDEX(FmtCansPerCase,MATCH(F849,FmtName,0))</f>
        <v/>
      </c>
      <c r="T849" s="46">
        <f>S849/INDEX(FmtCansPerPack,MATCH(F849,FmtName,0))</f>
        <v/>
      </c>
      <c r="U849" s="47">
        <f>INDEX(ChBaseCP,MATCH(E849,ChName,0))*(1+INDEX(ProvMod,MATCH(G849,ProvCode,0)))*(1+PriceIndex)</f>
        <v/>
      </c>
      <c r="V849" s="47">
        <f>R849*U849*INDEX(FmtBlendedPriceIdx,MATCH(F849,FmtName,0))</f>
        <v/>
      </c>
      <c r="W849" s="47">
        <f>T849*INDEX(ProvSRP,MATCH(G849,ProvCode,0))*(1+PriceIndex)</f>
        <v/>
      </c>
      <c r="X849" s="47">
        <f>IF(GrossBasis="Wholesale",V849,W849)</f>
        <v/>
      </c>
      <c r="Y849" s="47">
        <f>R849*INDEX(FmtBlendedCogs,MATCH(F849,FmtName,0))</f>
        <v/>
      </c>
      <c r="Z849" s="47">
        <f>X849-Y849</f>
        <v/>
      </c>
    </row>
    <row r="850">
      <c r="A850" t="n">
        <v>1</v>
      </c>
      <c r="B850" s="44">
        <f>FiscalStart+(A850-1)*7</f>
        <v/>
      </c>
      <c r="C850">
        <f>TEXT(B850,"mmm yyyy")</f>
        <v/>
      </c>
      <c r="D850">
        <f>"Q"&amp;(INT((A850-1)/13)+1)</f>
        <v/>
      </c>
      <c r="E850" t="inlineStr">
        <is>
          <t>On Premise</t>
        </is>
      </c>
      <c r="F850">
        <f>IFERROR(INDEX(ChFormat,MATCH(E850,ChName,0)),"")</f>
        <v/>
      </c>
      <c r="G850" t="inlineStr">
        <is>
          <t>NB</t>
        </is>
      </c>
      <c r="H850">
        <f>IF(A850&lt;=NWeeks,1,0)</f>
        <v/>
      </c>
      <c r="I850">
        <f>INDEX(ChLaunch,MATCH(E850,ChName,0))</f>
        <v/>
      </c>
      <c r="J850">
        <f>INDEX(ChWeeksFull,MATCH(E850,ChName,0))</f>
        <v/>
      </c>
      <c r="K850">
        <f>INDEX(ChRamp,MATCH(E850,ChName,0))</f>
        <v/>
      </c>
      <c r="L850" s="45">
        <f>MIN(1,MAX(0,(A850-I850+1)*RampSpeed/J850))</f>
        <v/>
      </c>
      <c r="M850" s="45">
        <f>IF(A850&lt;I850,0,IF(K850="S-curve",L850*L850*(3-2*L850),L850))</f>
        <v/>
      </c>
      <c r="N850" s="45">
        <f>1+(INDEX(SeasonIdx,A850)-1)*SeasonAmp</f>
        <v/>
      </c>
      <c r="O850" s="45">
        <f>IFERROR(INDEX(PSPct,MATCH(E850&amp;"|"&amp;G850,PSKey,0)),0)</f>
        <v/>
      </c>
      <c r="P850" s="46">
        <f>INDEX(ChDoorVel,MATCH(E850,ChName,0))*CalibScalar*(1+VelocityUplift)</f>
        <v/>
      </c>
      <c r="Q850" s="46" t="n">
        <v>0</v>
      </c>
      <c r="R850" s="46">
        <f>P850*O850*M850*N850*H850</f>
        <v/>
      </c>
      <c r="S850" s="46">
        <f>R850*INDEX(FmtCansPerCase,MATCH(F850,FmtName,0))</f>
        <v/>
      </c>
      <c r="T850" s="46">
        <f>S850/INDEX(FmtCansPerPack,MATCH(F850,FmtName,0))</f>
        <v/>
      </c>
      <c r="U850" s="47">
        <f>INDEX(ChBaseCP,MATCH(E850,ChName,0))*(1+INDEX(ProvMod,MATCH(G850,ProvCode,0)))*(1+PriceIndex)</f>
        <v/>
      </c>
      <c r="V850" s="47">
        <f>R850*U850*INDEX(FmtBlendedPriceIdx,MATCH(F850,FmtName,0))</f>
        <v/>
      </c>
      <c r="W850" s="47">
        <f>T850*INDEX(ProvSRP,MATCH(G850,ProvCode,0))*(1+PriceIndex)</f>
        <v/>
      </c>
      <c r="X850" s="47">
        <f>IF(GrossBasis="Wholesale",V850,W850)</f>
        <v/>
      </c>
      <c r="Y850" s="47">
        <f>R850*INDEX(FmtBlendedCogs,MATCH(F850,FmtName,0))</f>
        <v/>
      </c>
      <c r="Z850" s="47">
        <f>X850-Y850</f>
        <v/>
      </c>
    </row>
    <row r="851">
      <c r="A851" t="n">
        <v>2</v>
      </c>
      <c r="B851" s="44">
        <f>FiscalStart+(A851-1)*7</f>
        <v/>
      </c>
      <c r="C851">
        <f>TEXT(B851,"mmm yyyy")</f>
        <v/>
      </c>
      <c r="D851">
        <f>"Q"&amp;(INT((A851-1)/13)+1)</f>
        <v/>
      </c>
      <c r="E851" t="inlineStr">
        <is>
          <t>On Premise</t>
        </is>
      </c>
      <c r="F851">
        <f>IFERROR(INDEX(ChFormat,MATCH(E851,ChName,0)),"")</f>
        <v/>
      </c>
      <c r="G851" t="inlineStr">
        <is>
          <t>NB</t>
        </is>
      </c>
      <c r="H851">
        <f>IF(A851&lt;=NWeeks,1,0)</f>
        <v/>
      </c>
      <c r="I851">
        <f>INDEX(ChLaunch,MATCH(E851,ChName,0))</f>
        <v/>
      </c>
      <c r="J851">
        <f>INDEX(ChWeeksFull,MATCH(E851,ChName,0))</f>
        <v/>
      </c>
      <c r="K851">
        <f>INDEX(ChRamp,MATCH(E851,ChName,0))</f>
        <v/>
      </c>
      <c r="L851" s="45">
        <f>MIN(1,MAX(0,(A851-I851+1)*RampSpeed/J851))</f>
        <v/>
      </c>
      <c r="M851" s="45">
        <f>IF(A851&lt;I851,0,IF(K851="S-curve",L851*L851*(3-2*L851),L851))</f>
        <v/>
      </c>
      <c r="N851" s="45">
        <f>1+(INDEX(SeasonIdx,A851)-1)*SeasonAmp</f>
        <v/>
      </c>
      <c r="O851" s="45">
        <f>IFERROR(INDEX(PSPct,MATCH(E851&amp;"|"&amp;G851,PSKey,0)),0)</f>
        <v/>
      </c>
      <c r="P851" s="46">
        <f>INDEX(ChDoorVel,MATCH(E851,ChName,0))*CalibScalar*(1+VelocityUplift)</f>
        <v/>
      </c>
      <c r="Q851" s="46" t="n">
        <v>0</v>
      </c>
      <c r="R851" s="46">
        <f>P851*O851*M851*N851*H851</f>
        <v/>
      </c>
      <c r="S851" s="46">
        <f>R851*INDEX(FmtCansPerCase,MATCH(F851,FmtName,0))</f>
        <v/>
      </c>
      <c r="T851" s="46">
        <f>S851/INDEX(FmtCansPerPack,MATCH(F851,FmtName,0))</f>
        <v/>
      </c>
      <c r="U851" s="47">
        <f>INDEX(ChBaseCP,MATCH(E851,ChName,0))*(1+INDEX(ProvMod,MATCH(G851,ProvCode,0)))*(1+PriceIndex)</f>
        <v/>
      </c>
      <c r="V851" s="47">
        <f>R851*U851*INDEX(FmtBlendedPriceIdx,MATCH(F851,FmtName,0))</f>
        <v/>
      </c>
      <c r="W851" s="47">
        <f>T851*INDEX(ProvSRP,MATCH(G851,ProvCode,0))*(1+PriceIndex)</f>
        <v/>
      </c>
      <c r="X851" s="47">
        <f>IF(GrossBasis="Wholesale",V851,W851)</f>
        <v/>
      </c>
      <c r="Y851" s="47">
        <f>R851*INDEX(FmtBlendedCogs,MATCH(F851,FmtName,0))</f>
        <v/>
      </c>
      <c r="Z851" s="47">
        <f>X851-Y851</f>
        <v/>
      </c>
    </row>
    <row r="852">
      <c r="A852" t="n">
        <v>3</v>
      </c>
      <c r="B852" s="44">
        <f>FiscalStart+(A852-1)*7</f>
        <v/>
      </c>
      <c r="C852">
        <f>TEXT(B852,"mmm yyyy")</f>
        <v/>
      </c>
      <c r="D852">
        <f>"Q"&amp;(INT((A852-1)/13)+1)</f>
        <v/>
      </c>
      <c r="E852" t="inlineStr">
        <is>
          <t>On Premise</t>
        </is>
      </c>
      <c r="F852">
        <f>IFERROR(INDEX(ChFormat,MATCH(E852,ChName,0)),"")</f>
        <v/>
      </c>
      <c r="G852" t="inlineStr">
        <is>
          <t>NB</t>
        </is>
      </c>
      <c r="H852">
        <f>IF(A852&lt;=NWeeks,1,0)</f>
        <v/>
      </c>
      <c r="I852">
        <f>INDEX(ChLaunch,MATCH(E852,ChName,0))</f>
        <v/>
      </c>
      <c r="J852">
        <f>INDEX(ChWeeksFull,MATCH(E852,ChName,0))</f>
        <v/>
      </c>
      <c r="K852">
        <f>INDEX(ChRamp,MATCH(E852,ChName,0))</f>
        <v/>
      </c>
      <c r="L852" s="45">
        <f>MIN(1,MAX(0,(A852-I852+1)*RampSpeed/J852))</f>
        <v/>
      </c>
      <c r="M852" s="45">
        <f>IF(A852&lt;I852,0,IF(K852="S-curve",L852*L852*(3-2*L852),L852))</f>
        <v/>
      </c>
      <c r="N852" s="45">
        <f>1+(INDEX(SeasonIdx,A852)-1)*SeasonAmp</f>
        <v/>
      </c>
      <c r="O852" s="45">
        <f>IFERROR(INDEX(PSPct,MATCH(E852&amp;"|"&amp;G852,PSKey,0)),0)</f>
        <v/>
      </c>
      <c r="P852" s="46">
        <f>INDEX(ChDoorVel,MATCH(E852,ChName,0))*CalibScalar*(1+VelocityUplift)</f>
        <v/>
      </c>
      <c r="Q852" s="46" t="n">
        <v>0</v>
      </c>
      <c r="R852" s="46">
        <f>P852*O852*M852*N852*H852</f>
        <v/>
      </c>
      <c r="S852" s="46">
        <f>R852*INDEX(FmtCansPerCase,MATCH(F852,FmtName,0))</f>
        <v/>
      </c>
      <c r="T852" s="46">
        <f>S852/INDEX(FmtCansPerPack,MATCH(F852,FmtName,0))</f>
        <v/>
      </c>
      <c r="U852" s="47">
        <f>INDEX(ChBaseCP,MATCH(E852,ChName,0))*(1+INDEX(ProvMod,MATCH(G852,ProvCode,0)))*(1+PriceIndex)</f>
        <v/>
      </c>
      <c r="V852" s="47">
        <f>R852*U852*INDEX(FmtBlendedPriceIdx,MATCH(F852,FmtName,0))</f>
        <v/>
      </c>
      <c r="W852" s="47">
        <f>T852*INDEX(ProvSRP,MATCH(G852,ProvCode,0))*(1+PriceIndex)</f>
        <v/>
      </c>
      <c r="X852" s="47">
        <f>IF(GrossBasis="Wholesale",V852,W852)</f>
        <v/>
      </c>
      <c r="Y852" s="47">
        <f>R852*INDEX(FmtBlendedCogs,MATCH(F852,FmtName,0))</f>
        <v/>
      </c>
      <c r="Z852" s="47">
        <f>X852-Y852</f>
        <v/>
      </c>
    </row>
    <row r="853">
      <c r="A853" t="n">
        <v>4</v>
      </c>
      <c r="B853" s="44">
        <f>FiscalStart+(A853-1)*7</f>
        <v/>
      </c>
      <c r="C853">
        <f>TEXT(B853,"mmm yyyy")</f>
        <v/>
      </c>
      <c r="D853">
        <f>"Q"&amp;(INT((A853-1)/13)+1)</f>
        <v/>
      </c>
      <c r="E853" t="inlineStr">
        <is>
          <t>On Premise</t>
        </is>
      </c>
      <c r="F853">
        <f>IFERROR(INDEX(ChFormat,MATCH(E853,ChName,0)),"")</f>
        <v/>
      </c>
      <c r="G853" t="inlineStr">
        <is>
          <t>NB</t>
        </is>
      </c>
      <c r="H853">
        <f>IF(A853&lt;=NWeeks,1,0)</f>
        <v/>
      </c>
      <c r="I853">
        <f>INDEX(ChLaunch,MATCH(E853,ChName,0))</f>
        <v/>
      </c>
      <c r="J853">
        <f>INDEX(ChWeeksFull,MATCH(E853,ChName,0))</f>
        <v/>
      </c>
      <c r="K853">
        <f>INDEX(ChRamp,MATCH(E853,ChName,0))</f>
        <v/>
      </c>
      <c r="L853" s="45">
        <f>MIN(1,MAX(0,(A853-I853+1)*RampSpeed/J853))</f>
        <v/>
      </c>
      <c r="M853" s="45">
        <f>IF(A853&lt;I853,0,IF(K853="S-curve",L853*L853*(3-2*L853),L853))</f>
        <v/>
      </c>
      <c r="N853" s="45">
        <f>1+(INDEX(SeasonIdx,A853)-1)*SeasonAmp</f>
        <v/>
      </c>
      <c r="O853" s="45">
        <f>IFERROR(INDEX(PSPct,MATCH(E853&amp;"|"&amp;G853,PSKey,0)),0)</f>
        <v/>
      </c>
      <c r="P853" s="46">
        <f>INDEX(ChDoorVel,MATCH(E853,ChName,0))*CalibScalar*(1+VelocityUplift)</f>
        <v/>
      </c>
      <c r="Q853" s="46" t="n">
        <v>0</v>
      </c>
      <c r="R853" s="46">
        <f>P853*O853*M853*N853*H853</f>
        <v/>
      </c>
      <c r="S853" s="46">
        <f>R853*INDEX(FmtCansPerCase,MATCH(F853,FmtName,0))</f>
        <v/>
      </c>
      <c r="T853" s="46">
        <f>S853/INDEX(FmtCansPerPack,MATCH(F853,FmtName,0))</f>
        <v/>
      </c>
      <c r="U853" s="47">
        <f>INDEX(ChBaseCP,MATCH(E853,ChName,0))*(1+INDEX(ProvMod,MATCH(G853,ProvCode,0)))*(1+PriceIndex)</f>
        <v/>
      </c>
      <c r="V853" s="47">
        <f>R853*U853*INDEX(FmtBlendedPriceIdx,MATCH(F853,FmtName,0))</f>
        <v/>
      </c>
      <c r="W853" s="47">
        <f>T853*INDEX(ProvSRP,MATCH(G853,ProvCode,0))*(1+PriceIndex)</f>
        <v/>
      </c>
      <c r="X853" s="47">
        <f>IF(GrossBasis="Wholesale",V853,W853)</f>
        <v/>
      </c>
      <c r="Y853" s="47">
        <f>R853*INDEX(FmtBlendedCogs,MATCH(F853,FmtName,0))</f>
        <v/>
      </c>
      <c r="Z853" s="47">
        <f>X853-Y853</f>
        <v/>
      </c>
    </row>
    <row r="854">
      <c r="A854" t="n">
        <v>5</v>
      </c>
      <c r="B854" s="44">
        <f>FiscalStart+(A854-1)*7</f>
        <v/>
      </c>
      <c r="C854">
        <f>TEXT(B854,"mmm yyyy")</f>
        <v/>
      </c>
      <c r="D854">
        <f>"Q"&amp;(INT((A854-1)/13)+1)</f>
        <v/>
      </c>
      <c r="E854" t="inlineStr">
        <is>
          <t>On Premise</t>
        </is>
      </c>
      <c r="F854">
        <f>IFERROR(INDEX(ChFormat,MATCH(E854,ChName,0)),"")</f>
        <v/>
      </c>
      <c r="G854" t="inlineStr">
        <is>
          <t>NB</t>
        </is>
      </c>
      <c r="H854">
        <f>IF(A854&lt;=NWeeks,1,0)</f>
        <v/>
      </c>
      <c r="I854">
        <f>INDEX(ChLaunch,MATCH(E854,ChName,0))</f>
        <v/>
      </c>
      <c r="J854">
        <f>INDEX(ChWeeksFull,MATCH(E854,ChName,0))</f>
        <v/>
      </c>
      <c r="K854">
        <f>INDEX(ChRamp,MATCH(E854,ChName,0))</f>
        <v/>
      </c>
      <c r="L854" s="45">
        <f>MIN(1,MAX(0,(A854-I854+1)*RampSpeed/J854))</f>
        <v/>
      </c>
      <c r="M854" s="45">
        <f>IF(A854&lt;I854,0,IF(K854="S-curve",L854*L854*(3-2*L854),L854))</f>
        <v/>
      </c>
      <c r="N854" s="45">
        <f>1+(INDEX(SeasonIdx,A854)-1)*SeasonAmp</f>
        <v/>
      </c>
      <c r="O854" s="45">
        <f>IFERROR(INDEX(PSPct,MATCH(E854&amp;"|"&amp;G854,PSKey,0)),0)</f>
        <v/>
      </c>
      <c r="P854" s="46">
        <f>INDEX(ChDoorVel,MATCH(E854,ChName,0))*CalibScalar*(1+VelocityUplift)</f>
        <v/>
      </c>
      <c r="Q854" s="46" t="n">
        <v>0</v>
      </c>
      <c r="R854" s="46">
        <f>P854*O854*M854*N854*H854</f>
        <v/>
      </c>
      <c r="S854" s="46">
        <f>R854*INDEX(FmtCansPerCase,MATCH(F854,FmtName,0))</f>
        <v/>
      </c>
      <c r="T854" s="46">
        <f>S854/INDEX(FmtCansPerPack,MATCH(F854,FmtName,0))</f>
        <v/>
      </c>
      <c r="U854" s="47">
        <f>INDEX(ChBaseCP,MATCH(E854,ChName,0))*(1+INDEX(ProvMod,MATCH(G854,ProvCode,0)))*(1+PriceIndex)</f>
        <v/>
      </c>
      <c r="V854" s="47">
        <f>R854*U854*INDEX(FmtBlendedPriceIdx,MATCH(F854,FmtName,0))</f>
        <v/>
      </c>
      <c r="W854" s="47">
        <f>T854*INDEX(ProvSRP,MATCH(G854,ProvCode,0))*(1+PriceIndex)</f>
        <v/>
      </c>
      <c r="X854" s="47">
        <f>IF(GrossBasis="Wholesale",V854,W854)</f>
        <v/>
      </c>
      <c r="Y854" s="47">
        <f>R854*INDEX(FmtBlendedCogs,MATCH(F854,FmtName,0))</f>
        <v/>
      </c>
      <c r="Z854" s="47">
        <f>X854-Y854</f>
        <v/>
      </c>
    </row>
    <row r="855">
      <c r="A855" t="n">
        <v>6</v>
      </c>
      <c r="B855" s="44">
        <f>FiscalStart+(A855-1)*7</f>
        <v/>
      </c>
      <c r="C855">
        <f>TEXT(B855,"mmm yyyy")</f>
        <v/>
      </c>
      <c r="D855">
        <f>"Q"&amp;(INT((A855-1)/13)+1)</f>
        <v/>
      </c>
      <c r="E855" t="inlineStr">
        <is>
          <t>On Premise</t>
        </is>
      </c>
      <c r="F855">
        <f>IFERROR(INDEX(ChFormat,MATCH(E855,ChName,0)),"")</f>
        <v/>
      </c>
      <c r="G855" t="inlineStr">
        <is>
          <t>NB</t>
        </is>
      </c>
      <c r="H855">
        <f>IF(A855&lt;=NWeeks,1,0)</f>
        <v/>
      </c>
      <c r="I855">
        <f>INDEX(ChLaunch,MATCH(E855,ChName,0))</f>
        <v/>
      </c>
      <c r="J855">
        <f>INDEX(ChWeeksFull,MATCH(E855,ChName,0))</f>
        <v/>
      </c>
      <c r="K855">
        <f>INDEX(ChRamp,MATCH(E855,ChName,0))</f>
        <v/>
      </c>
      <c r="L855" s="45">
        <f>MIN(1,MAX(0,(A855-I855+1)*RampSpeed/J855))</f>
        <v/>
      </c>
      <c r="M855" s="45">
        <f>IF(A855&lt;I855,0,IF(K855="S-curve",L855*L855*(3-2*L855),L855))</f>
        <v/>
      </c>
      <c r="N855" s="45">
        <f>1+(INDEX(SeasonIdx,A855)-1)*SeasonAmp</f>
        <v/>
      </c>
      <c r="O855" s="45">
        <f>IFERROR(INDEX(PSPct,MATCH(E855&amp;"|"&amp;G855,PSKey,0)),0)</f>
        <v/>
      </c>
      <c r="P855" s="46">
        <f>INDEX(ChDoorVel,MATCH(E855,ChName,0))*CalibScalar*(1+VelocityUplift)</f>
        <v/>
      </c>
      <c r="Q855" s="46" t="n">
        <v>0</v>
      </c>
      <c r="R855" s="46">
        <f>P855*O855*M855*N855*H855</f>
        <v/>
      </c>
      <c r="S855" s="46">
        <f>R855*INDEX(FmtCansPerCase,MATCH(F855,FmtName,0))</f>
        <v/>
      </c>
      <c r="T855" s="46">
        <f>S855/INDEX(FmtCansPerPack,MATCH(F855,FmtName,0))</f>
        <v/>
      </c>
      <c r="U855" s="47">
        <f>INDEX(ChBaseCP,MATCH(E855,ChName,0))*(1+INDEX(ProvMod,MATCH(G855,ProvCode,0)))*(1+PriceIndex)</f>
        <v/>
      </c>
      <c r="V855" s="47">
        <f>R855*U855*INDEX(FmtBlendedPriceIdx,MATCH(F855,FmtName,0))</f>
        <v/>
      </c>
      <c r="W855" s="47">
        <f>T855*INDEX(ProvSRP,MATCH(G855,ProvCode,0))*(1+PriceIndex)</f>
        <v/>
      </c>
      <c r="X855" s="47">
        <f>IF(GrossBasis="Wholesale",V855,W855)</f>
        <v/>
      </c>
      <c r="Y855" s="47">
        <f>R855*INDEX(FmtBlendedCogs,MATCH(F855,FmtName,0))</f>
        <v/>
      </c>
      <c r="Z855" s="47">
        <f>X855-Y855</f>
        <v/>
      </c>
    </row>
    <row r="856">
      <c r="A856" t="n">
        <v>7</v>
      </c>
      <c r="B856" s="44">
        <f>FiscalStart+(A856-1)*7</f>
        <v/>
      </c>
      <c r="C856">
        <f>TEXT(B856,"mmm yyyy")</f>
        <v/>
      </c>
      <c r="D856">
        <f>"Q"&amp;(INT((A856-1)/13)+1)</f>
        <v/>
      </c>
      <c r="E856" t="inlineStr">
        <is>
          <t>On Premise</t>
        </is>
      </c>
      <c r="F856">
        <f>IFERROR(INDEX(ChFormat,MATCH(E856,ChName,0)),"")</f>
        <v/>
      </c>
      <c r="G856" t="inlineStr">
        <is>
          <t>NB</t>
        </is>
      </c>
      <c r="H856">
        <f>IF(A856&lt;=NWeeks,1,0)</f>
        <v/>
      </c>
      <c r="I856">
        <f>INDEX(ChLaunch,MATCH(E856,ChName,0))</f>
        <v/>
      </c>
      <c r="J856">
        <f>INDEX(ChWeeksFull,MATCH(E856,ChName,0))</f>
        <v/>
      </c>
      <c r="K856">
        <f>INDEX(ChRamp,MATCH(E856,ChName,0))</f>
        <v/>
      </c>
      <c r="L856" s="45">
        <f>MIN(1,MAX(0,(A856-I856+1)*RampSpeed/J856))</f>
        <v/>
      </c>
      <c r="M856" s="45">
        <f>IF(A856&lt;I856,0,IF(K856="S-curve",L856*L856*(3-2*L856),L856))</f>
        <v/>
      </c>
      <c r="N856" s="45">
        <f>1+(INDEX(SeasonIdx,A856)-1)*SeasonAmp</f>
        <v/>
      </c>
      <c r="O856" s="45">
        <f>IFERROR(INDEX(PSPct,MATCH(E856&amp;"|"&amp;G856,PSKey,0)),0)</f>
        <v/>
      </c>
      <c r="P856" s="46">
        <f>INDEX(ChDoorVel,MATCH(E856,ChName,0))*CalibScalar*(1+VelocityUplift)</f>
        <v/>
      </c>
      <c r="Q856" s="46" t="n">
        <v>0</v>
      </c>
      <c r="R856" s="46">
        <f>P856*O856*M856*N856*H856</f>
        <v/>
      </c>
      <c r="S856" s="46">
        <f>R856*INDEX(FmtCansPerCase,MATCH(F856,FmtName,0))</f>
        <v/>
      </c>
      <c r="T856" s="46">
        <f>S856/INDEX(FmtCansPerPack,MATCH(F856,FmtName,0))</f>
        <v/>
      </c>
      <c r="U856" s="47">
        <f>INDEX(ChBaseCP,MATCH(E856,ChName,0))*(1+INDEX(ProvMod,MATCH(G856,ProvCode,0)))*(1+PriceIndex)</f>
        <v/>
      </c>
      <c r="V856" s="47">
        <f>R856*U856*INDEX(FmtBlendedPriceIdx,MATCH(F856,FmtName,0))</f>
        <v/>
      </c>
      <c r="W856" s="47">
        <f>T856*INDEX(ProvSRP,MATCH(G856,ProvCode,0))*(1+PriceIndex)</f>
        <v/>
      </c>
      <c r="X856" s="47">
        <f>IF(GrossBasis="Wholesale",V856,W856)</f>
        <v/>
      </c>
      <c r="Y856" s="47">
        <f>R856*INDEX(FmtBlendedCogs,MATCH(F856,FmtName,0))</f>
        <v/>
      </c>
      <c r="Z856" s="47">
        <f>X856-Y856</f>
        <v/>
      </c>
    </row>
    <row r="857">
      <c r="A857" t="n">
        <v>8</v>
      </c>
      <c r="B857" s="44">
        <f>FiscalStart+(A857-1)*7</f>
        <v/>
      </c>
      <c r="C857">
        <f>TEXT(B857,"mmm yyyy")</f>
        <v/>
      </c>
      <c r="D857">
        <f>"Q"&amp;(INT((A857-1)/13)+1)</f>
        <v/>
      </c>
      <c r="E857" t="inlineStr">
        <is>
          <t>On Premise</t>
        </is>
      </c>
      <c r="F857">
        <f>IFERROR(INDEX(ChFormat,MATCH(E857,ChName,0)),"")</f>
        <v/>
      </c>
      <c r="G857" t="inlineStr">
        <is>
          <t>NB</t>
        </is>
      </c>
      <c r="H857">
        <f>IF(A857&lt;=NWeeks,1,0)</f>
        <v/>
      </c>
      <c r="I857">
        <f>INDEX(ChLaunch,MATCH(E857,ChName,0))</f>
        <v/>
      </c>
      <c r="J857">
        <f>INDEX(ChWeeksFull,MATCH(E857,ChName,0))</f>
        <v/>
      </c>
      <c r="K857">
        <f>INDEX(ChRamp,MATCH(E857,ChName,0))</f>
        <v/>
      </c>
      <c r="L857" s="45">
        <f>MIN(1,MAX(0,(A857-I857+1)*RampSpeed/J857))</f>
        <v/>
      </c>
      <c r="M857" s="45">
        <f>IF(A857&lt;I857,0,IF(K857="S-curve",L857*L857*(3-2*L857),L857))</f>
        <v/>
      </c>
      <c r="N857" s="45">
        <f>1+(INDEX(SeasonIdx,A857)-1)*SeasonAmp</f>
        <v/>
      </c>
      <c r="O857" s="45">
        <f>IFERROR(INDEX(PSPct,MATCH(E857&amp;"|"&amp;G857,PSKey,0)),0)</f>
        <v/>
      </c>
      <c r="P857" s="46">
        <f>INDEX(ChDoorVel,MATCH(E857,ChName,0))*CalibScalar*(1+VelocityUplift)</f>
        <v/>
      </c>
      <c r="Q857" s="46" t="n">
        <v>0</v>
      </c>
      <c r="R857" s="46">
        <f>P857*O857*M857*N857*H857</f>
        <v/>
      </c>
      <c r="S857" s="46">
        <f>R857*INDEX(FmtCansPerCase,MATCH(F857,FmtName,0))</f>
        <v/>
      </c>
      <c r="T857" s="46">
        <f>S857/INDEX(FmtCansPerPack,MATCH(F857,FmtName,0))</f>
        <v/>
      </c>
      <c r="U857" s="47">
        <f>INDEX(ChBaseCP,MATCH(E857,ChName,0))*(1+INDEX(ProvMod,MATCH(G857,ProvCode,0)))*(1+PriceIndex)</f>
        <v/>
      </c>
      <c r="V857" s="47">
        <f>R857*U857*INDEX(FmtBlendedPriceIdx,MATCH(F857,FmtName,0))</f>
        <v/>
      </c>
      <c r="W857" s="47">
        <f>T857*INDEX(ProvSRP,MATCH(G857,ProvCode,0))*(1+PriceIndex)</f>
        <v/>
      </c>
      <c r="X857" s="47">
        <f>IF(GrossBasis="Wholesale",V857,W857)</f>
        <v/>
      </c>
      <c r="Y857" s="47">
        <f>R857*INDEX(FmtBlendedCogs,MATCH(F857,FmtName,0))</f>
        <v/>
      </c>
      <c r="Z857" s="47">
        <f>X857-Y857</f>
        <v/>
      </c>
    </row>
    <row r="858">
      <c r="A858" t="n">
        <v>9</v>
      </c>
      <c r="B858" s="44">
        <f>FiscalStart+(A858-1)*7</f>
        <v/>
      </c>
      <c r="C858">
        <f>TEXT(B858,"mmm yyyy")</f>
        <v/>
      </c>
      <c r="D858">
        <f>"Q"&amp;(INT((A858-1)/13)+1)</f>
        <v/>
      </c>
      <c r="E858" t="inlineStr">
        <is>
          <t>On Premise</t>
        </is>
      </c>
      <c r="F858">
        <f>IFERROR(INDEX(ChFormat,MATCH(E858,ChName,0)),"")</f>
        <v/>
      </c>
      <c r="G858" t="inlineStr">
        <is>
          <t>NB</t>
        </is>
      </c>
      <c r="H858">
        <f>IF(A858&lt;=NWeeks,1,0)</f>
        <v/>
      </c>
      <c r="I858">
        <f>INDEX(ChLaunch,MATCH(E858,ChName,0))</f>
        <v/>
      </c>
      <c r="J858">
        <f>INDEX(ChWeeksFull,MATCH(E858,ChName,0))</f>
        <v/>
      </c>
      <c r="K858">
        <f>INDEX(ChRamp,MATCH(E858,ChName,0))</f>
        <v/>
      </c>
      <c r="L858" s="45">
        <f>MIN(1,MAX(0,(A858-I858+1)*RampSpeed/J858))</f>
        <v/>
      </c>
      <c r="M858" s="45">
        <f>IF(A858&lt;I858,0,IF(K858="S-curve",L858*L858*(3-2*L858),L858))</f>
        <v/>
      </c>
      <c r="N858" s="45">
        <f>1+(INDEX(SeasonIdx,A858)-1)*SeasonAmp</f>
        <v/>
      </c>
      <c r="O858" s="45">
        <f>IFERROR(INDEX(PSPct,MATCH(E858&amp;"|"&amp;G858,PSKey,0)),0)</f>
        <v/>
      </c>
      <c r="P858" s="46">
        <f>INDEX(ChDoorVel,MATCH(E858,ChName,0))*CalibScalar*(1+VelocityUplift)</f>
        <v/>
      </c>
      <c r="Q858" s="46" t="n">
        <v>0</v>
      </c>
      <c r="R858" s="46">
        <f>P858*O858*M858*N858*H858</f>
        <v/>
      </c>
      <c r="S858" s="46">
        <f>R858*INDEX(FmtCansPerCase,MATCH(F858,FmtName,0))</f>
        <v/>
      </c>
      <c r="T858" s="46">
        <f>S858/INDEX(FmtCansPerPack,MATCH(F858,FmtName,0))</f>
        <v/>
      </c>
      <c r="U858" s="47">
        <f>INDEX(ChBaseCP,MATCH(E858,ChName,0))*(1+INDEX(ProvMod,MATCH(G858,ProvCode,0)))*(1+PriceIndex)</f>
        <v/>
      </c>
      <c r="V858" s="47">
        <f>R858*U858*INDEX(FmtBlendedPriceIdx,MATCH(F858,FmtName,0))</f>
        <v/>
      </c>
      <c r="W858" s="47">
        <f>T858*INDEX(ProvSRP,MATCH(G858,ProvCode,0))*(1+PriceIndex)</f>
        <v/>
      </c>
      <c r="X858" s="47">
        <f>IF(GrossBasis="Wholesale",V858,W858)</f>
        <v/>
      </c>
      <c r="Y858" s="47">
        <f>R858*INDEX(FmtBlendedCogs,MATCH(F858,FmtName,0))</f>
        <v/>
      </c>
      <c r="Z858" s="47">
        <f>X858-Y858</f>
        <v/>
      </c>
    </row>
    <row r="859">
      <c r="A859" t="n">
        <v>10</v>
      </c>
      <c r="B859" s="44">
        <f>FiscalStart+(A859-1)*7</f>
        <v/>
      </c>
      <c r="C859">
        <f>TEXT(B859,"mmm yyyy")</f>
        <v/>
      </c>
      <c r="D859">
        <f>"Q"&amp;(INT((A859-1)/13)+1)</f>
        <v/>
      </c>
      <c r="E859" t="inlineStr">
        <is>
          <t>On Premise</t>
        </is>
      </c>
      <c r="F859">
        <f>IFERROR(INDEX(ChFormat,MATCH(E859,ChName,0)),"")</f>
        <v/>
      </c>
      <c r="G859" t="inlineStr">
        <is>
          <t>NB</t>
        </is>
      </c>
      <c r="H859">
        <f>IF(A859&lt;=NWeeks,1,0)</f>
        <v/>
      </c>
      <c r="I859">
        <f>INDEX(ChLaunch,MATCH(E859,ChName,0))</f>
        <v/>
      </c>
      <c r="J859">
        <f>INDEX(ChWeeksFull,MATCH(E859,ChName,0))</f>
        <v/>
      </c>
      <c r="K859">
        <f>INDEX(ChRamp,MATCH(E859,ChName,0))</f>
        <v/>
      </c>
      <c r="L859" s="45">
        <f>MIN(1,MAX(0,(A859-I859+1)*RampSpeed/J859))</f>
        <v/>
      </c>
      <c r="M859" s="45">
        <f>IF(A859&lt;I859,0,IF(K859="S-curve",L859*L859*(3-2*L859),L859))</f>
        <v/>
      </c>
      <c r="N859" s="45">
        <f>1+(INDEX(SeasonIdx,A859)-1)*SeasonAmp</f>
        <v/>
      </c>
      <c r="O859" s="45">
        <f>IFERROR(INDEX(PSPct,MATCH(E859&amp;"|"&amp;G859,PSKey,0)),0)</f>
        <v/>
      </c>
      <c r="P859" s="46">
        <f>INDEX(ChDoorVel,MATCH(E859,ChName,0))*CalibScalar*(1+VelocityUplift)</f>
        <v/>
      </c>
      <c r="Q859" s="46" t="n">
        <v>0</v>
      </c>
      <c r="R859" s="46">
        <f>P859*O859*M859*N859*H859</f>
        <v/>
      </c>
      <c r="S859" s="46">
        <f>R859*INDEX(FmtCansPerCase,MATCH(F859,FmtName,0))</f>
        <v/>
      </c>
      <c r="T859" s="46">
        <f>S859/INDEX(FmtCansPerPack,MATCH(F859,FmtName,0))</f>
        <v/>
      </c>
      <c r="U859" s="47">
        <f>INDEX(ChBaseCP,MATCH(E859,ChName,0))*(1+INDEX(ProvMod,MATCH(G859,ProvCode,0)))*(1+PriceIndex)</f>
        <v/>
      </c>
      <c r="V859" s="47">
        <f>R859*U859*INDEX(FmtBlendedPriceIdx,MATCH(F859,FmtName,0))</f>
        <v/>
      </c>
      <c r="W859" s="47">
        <f>T859*INDEX(ProvSRP,MATCH(G859,ProvCode,0))*(1+PriceIndex)</f>
        <v/>
      </c>
      <c r="X859" s="47">
        <f>IF(GrossBasis="Wholesale",V859,W859)</f>
        <v/>
      </c>
      <c r="Y859" s="47">
        <f>R859*INDEX(FmtBlendedCogs,MATCH(F859,FmtName,0))</f>
        <v/>
      </c>
      <c r="Z859" s="47">
        <f>X859-Y859</f>
        <v/>
      </c>
    </row>
    <row r="860">
      <c r="A860" t="n">
        <v>11</v>
      </c>
      <c r="B860" s="44">
        <f>FiscalStart+(A860-1)*7</f>
        <v/>
      </c>
      <c r="C860">
        <f>TEXT(B860,"mmm yyyy")</f>
        <v/>
      </c>
      <c r="D860">
        <f>"Q"&amp;(INT((A860-1)/13)+1)</f>
        <v/>
      </c>
      <c r="E860" t="inlineStr">
        <is>
          <t>On Premise</t>
        </is>
      </c>
      <c r="F860">
        <f>IFERROR(INDEX(ChFormat,MATCH(E860,ChName,0)),"")</f>
        <v/>
      </c>
      <c r="G860" t="inlineStr">
        <is>
          <t>NB</t>
        </is>
      </c>
      <c r="H860">
        <f>IF(A860&lt;=NWeeks,1,0)</f>
        <v/>
      </c>
      <c r="I860">
        <f>INDEX(ChLaunch,MATCH(E860,ChName,0))</f>
        <v/>
      </c>
      <c r="J860">
        <f>INDEX(ChWeeksFull,MATCH(E860,ChName,0))</f>
        <v/>
      </c>
      <c r="K860">
        <f>INDEX(ChRamp,MATCH(E860,ChName,0))</f>
        <v/>
      </c>
      <c r="L860" s="45">
        <f>MIN(1,MAX(0,(A860-I860+1)*RampSpeed/J860))</f>
        <v/>
      </c>
      <c r="M860" s="45">
        <f>IF(A860&lt;I860,0,IF(K860="S-curve",L860*L860*(3-2*L860),L860))</f>
        <v/>
      </c>
      <c r="N860" s="45">
        <f>1+(INDEX(SeasonIdx,A860)-1)*SeasonAmp</f>
        <v/>
      </c>
      <c r="O860" s="45">
        <f>IFERROR(INDEX(PSPct,MATCH(E860&amp;"|"&amp;G860,PSKey,0)),0)</f>
        <v/>
      </c>
      <c r="P860" s="46">
        <f>INDEX(ChDoorVel,MATCH(E860,ChName,0))*CalibScalar*(1+VelocityUplift)</f>
        <v/>
      </c>
      <c r="Q860" s="46" t="n">
        <v>0</v>
      </c>
      <c r="R860" s="46">
        <f>P860*O860*M860*N860*H860</f>
        <v/>
      </c>
      <c r="S860" s="46">
        <f>R860*INDEX(FmtCansPerCase,MATCH(F860,FmtName,0))</f>
        <v/>
      </c>
      <c r="T860" s="46">
        <f>S860/INDEX(FmtCansPerPack,MATCH(F860,FmtName,0))</f>
        <v/>
      </c>
      <c r="U860" s="47">
        <f>INDEX(ChBaseCP,MATCH(E860,ChName,0))*(1+INDEX(ProvMod,MATCH(G860,ProvCode,0)))*(1+PriceIndex)</f>
        <v/>
      </c>
      <c r="V860" s="47">
        <f>R860*U860*INDEX(FmtBlendedPriceIdx,MATCH(F860,FmtName,0))</f>
        <v/>
      </c>
      <c r="W860" s="47">
        <f>T860*INDEX(ProvSRP,MATCH(G860,ProvCode,0))*(1+PriceIndex)</f>
        <v/>
      </c>
      <c r="X860" s="47">
        <f>IF(GrossBasis="Wholesale",V860,W860)</f>
        <v/>
      </c>
      <c r="Y860" s="47">
        <f>R860*INDEX(FmtBlendedCogs,MATCH(F860,FmtName,0))</f>
        <v/>
      </c>
      <c r="Z860" s="47">
        <f>X860-Y860</f>
        <v/>
      </c>
    </row>
    <row r="861">
      <c r="A861" t="n">
        <v>12</v>
      </c>
      <c r="B861" s="44">
        <f>FiscalStart+(A861-1)*7</f>
        <v/>
      </c>
      <c r="C861">
        <f>TEXT(B861,"mmm yyyy")</f>
        <v/>
      </c>
      <c r="D861">
        <f>"Q"&amp;(INT((A861-1)/13)+1)</f>
        <v/>
      </c>
      <c r="E861" t="inlineStr">
        <is>
          <t>On Premise</t>
        </is>
      </c>
      <c r="F861">
        <f>IFERROR(INDEX(ChFormat,MATCH(E861,ChName,0)),"")</f>
        <v/>
      </c>
      <c r="G861" t="inlineStr">
        <is>
          <t>NB</t>
        </is>
      </c>
      <c r="H861">
        <f>IF(A861&lt;=NWeeks,1,0)</f>
        <v/>
      </c>
      <c r="I861">
        <f>INDEX(ChLaunch,MATCH(E861,ChName,0))</f>
        <v/>
      </c>
      <c r="J861">
        <f>INDEX(ChWeeksFull,MATCH(E861,ChName,0))</f>
        <v/>
      </c>
      <c r="K861">
        <f>INDEX(ChRamp,MATCH(E861,ChName,0))</f>
        <v/>
      </c>
      <c r="L861" s="45">
        <f>MIN(1,MAX(0,(A861-I861+1)*RampSpeed/J861))</f>
        <v/>
      </c>
      <c r="M861" s="45">
        <f>IF(A861&lt;I861,0,IF(K861="S-curve",L861*L861*(3-2*L861),L861))</f>
        <v/>
      </c>
      <c r="N861" s="45">
        <f>1+(INDEX(SeasonIdx,A861)-1)*SeasonAmp</f>
        <v/>
      </c>
      <c r="O861" s="45">
        <f>IFERROR(INDEX(PSPct,MATCH(E861&amp;"|"&amp;G861,PSKey,0)),0)</f>
        <v/>
      </c>
      <c r="P861" s="46">
        <f>INDEX(ChDoorVel,MATCH(E861,ChName,0))*CalibScalar*(1+VelocityUplift)</f>
        <v/>
      </c>
      <c r="Q861" s="46" t="n">
        <v>0</v>
      </c>
      <c r="R861" s="46">
        <f>P861*O861*M861*N861*H861</f>
        <v/>
      </c>
      <c r="S861" s="46">
        <f>R861*INDEX(FmtCansPerCase,MATCH(F861,FmtName,0))</f>
        <v/>
      </c>
      <c r="T861" s="46">
        <f>S861/INDEX(FmtCansPerPack,MATCH(F861,FmtName,0))</f>
        <v/>
      </c>
      <c r="U861" s="47">
        <f>INDEX(ChBaseCP,MATCH(E861,ChName,0))*(1+INDEX(ProvMod,MATCH(G861,ProvCode,0)))*(1+PriceIndex)</f>
        <v/>
      </c>
      <c r="V861" s="47">
        <f>R861*U861*INDEX(FmtBlendedPriceIdx,MATCH(F861,FmtName,0))</f>
        <v/>
      </c>
      <c r="W861" s="47">
        <f>T861*INDEX(ProvSRP,MATCH(G861,ProvCode,0))*(1+PriceIndex)</f>
        <v/>
      </c>
      <c r="X861" s="47">
        <f>IF(GrossBasis="Wholesale",V861,W861)</f>
        <v/>
      </c>
      <c r="Y861" s="47">
        <f>R861*INDEX(FmtBlendedCogs,MATCH(F861,FmtName,0))</f>
        <v/>
      </c>
      <c r="Z861" s="47">
        <f>X861-Y861</f>
        <v/>
      </c>
    </row>
    <row r="862">
      <c r="A862" t="n">
        <v>13</v>
      </c>
      <c r="B862" s="44">
        <f>FiscalStart+(A862-1)*7</f>
        <v/>
      </c>
      <c r="C862">
        <f>TEXT(B862,"mmm yyyy")</f>
        <v/>
      </c>
      <c r="D862">
        <f>"Q"&amp;(INT((A862-1)/13)+1)</f>
        <v/>
      </c>
      <c r="E862" t="inlineStr">
        <is>
          <t>On Premise</t>
        </is>
      </c>
      <c r="F862">
        <f>IFERROR(INDEX(ChFormat,MATCH(E862,ChName,0)),"")</f>
        <v/>
      </c>
      <c r="G862" t="inlineStr">
        <is>
          <t>NB</t>
        </is>
      </c>
      <c r="H862">
        <f>IF(A862&lt;=NWeeks,1,0)</f>
        <v/>
      </c>
      <c r="I862">
        <f>INDEX(ChLaunch,MATCH(E862,ChName,0))</f>
        <v/>
      </c>
      <c r="J862">
        <f>INDEX(ChWeeksFull,MATCH(E862,ChName,0))</f>
        <v/>
      </c>
      <c r="K862">
        <f>INDEX(ChRamp,MATCH(E862,ChName,0))</f>
        <v/>
      </c>
      <c r="L862" s="45">
        <f>MIN(1,MAX(0,(A862-I862+1)*RampSpeed/J862))</f>
        <v/>
      </c>
      <c r="M862" s="45">
        <f>IF(A862&lt;I862,0,IF(K862="S-curve",L862*L862*(3-2*L862),L862))</f>
        <v/>
      </c>
      <c r="N862" s="45">
        <f>1+(INDEX(SeasonIdx,A862)-1)*SeasonAmp</f>
        <v/>
      </c>
      <c r="O862" s="45">
        <f>IFERROR(INDEX(PSPct,MATCH(E862&amp;"|"&amp;G862,PSKey,0)),0)</f>
        <v/>
      </c>
      <c r="P862" s="46">
        <f>INDEX(ChDoorVel,MATCH(E862,ChName,0))*CalibScalar*(1+VelocityUplift)</f>
        <v/>
      </c>
      <c r="Q862" s="46" t="n">
        <v>0</v>
      </c>
      <c r="R862" s="46">
        <f>P862*O862*M862*N862*H862</f>
        <v/>
      </c>
      <c r="S862" s="46">
        <f>R862*INDEX(FmtCansPerCase,MATCH(F862,FmtName,0))</f>
        <v/>
      </c>
      <c r="T862" s="46">
        <f>S862/INDEX(FmtCansPerPack,MATCH(F862,FmtName,0))</f>
        <v/>
      </c>
      <c r="U862" s="47">
        <f>INDEX(ChBaseCP,MATCH(E862,ChName,0))*(1+INDEX(ProvMod,MATCH(G862,ProvCode,0)))*(1+PriceIndex)</f>
        <v/>
      </c>
      <c r="V862" s="47">
        <f>R862*U862*INDEX(FmtBlendedPriceIdx,MATCH(F862,FmtName,0))</f>
        <v/>
      </c>
      <c r="W862" s="47">
        <f>T862*INDEX(ProvSRP,MATCH(G862,ProvCode,0))*(1+PriceIndex)</f>
        <v/>
      </c>
      <c r="X862" s="47">
        <f>IF(GrossBasis="Wholesale",V862,W862)</f>
        <v/>
      </c>
      <c r="Y862" s="47">
        <f>R862*INDEX(FmtBlendedCogs,MATCH(F862,FmtName,0))</f>
        <v/>
      </c>
      <c r="Z862" s="47">
        <f>X862-Y862</f>
        <v/>
      </c>
    </row>
    <row r="863">
      <c r="A863" t="n">
        <v>14</v>
      </c>
      <c r="B863" s="44">
        <f>FiscalStart+(A863-1)*7</f>
        <v/>
      </c>
      <c r="C863">
        <f>TEXT(B863,"mmm yyyy")</f>
        <v/>
      </c>
      <c r="D863">
        <f>"Q"&amp;(INT((A863-1)/13)+1)</f>
        <v/>
      </c>
      <c r="E863" t="inlineStr">
        <is>
          <t>On Premise</t>
        </is>
      </c>
      <c r="F863">
        <f>IFERROR(INDEX(ChFormat,MATCH(E863,ChName,0)),"")</f>
        <v/>
      </c>
      <c r="G863" t="inlineStr">
        <is>
          <t>NB</t>
        </is>
      </c>
      <c r="H863">
        <f>IF(A863&lt;=NWeeks,1,0)</f>
        <v/>
      </c>
      <c r="I863">
        <f>INDEX(ChLaunch,MATCH(E863,ChName,0))</f>
        <v/>
      </c>
      <c r="J863">
        <f>INDEX(ChWeeksFull,MATCH(E863,ChName,0))</f>
        <v/>
      </c>
      <c r="K863">
        <f>INDEX(ChRamp,MATCH(E863,ChName,0))</f>
        <v/>
      </c>
      <c r="L863" s="45">
        <f>MIN(1,MAX(0,(A863-I863+1)*RampSpeed/J863))</f>
        <v/>
      </c>
      <c r="M863" s="45">
        <f>IF(A863&lt;I863,0,IF(K863="S-curve",L863*L863*(3-2*L863),L863))</f>
        <v/>
      </c>
      <c r="N863" s="45">
        <f>1+(INDEX(SeasonIdx,A863)-1)*SeasonAmp</f>
        <v/>
      </c>
      <c r="O863" s="45">
        <f>IFERROR(INDEX(PSPct,MATCH(E863&amp;"|"&amp;G863,PSKey,0)),0)</f>
        <v/>
      </c>
      <c r="P863" s="46">
        <f>INDEX(ChDoorVel,MATCH(E863,ChName,0))*CalibScalar*(1+VelocityUplift)</f>
        <v/>
      </c>
      <c r="Q863" s="46" t="n">
        <v>0</v>
      </c>
      <c r="R863" s="46">
        <f>P863*O863*M863*N863*H863</f>
        <v/>
      </c>
      <c r="S863" s="46">
        <f>R863*INDEX(FmtCansPerCase,MATCH(F863,FmtName,0))</f>
        <v/>
      </c>
      <c r="T863" s="46">
        <f>S863/INDEX(FmtCansPerPack,MATCH(F863,FmtName,0))</f>
        <v/>
      </c>
      <c r="U863" s="47">
        <f>INDEX(ChBaseCP,MATCH(E863,ChName,0))*(1+INDEX(ProvMod,MATCH(G863,ProvCode,0)))*(1+PriceIndex)</f>
        <v/>
      </c>
      <c r="V863" s="47">
        <f>R863*U863*INDEX(FmtBlendedPriceIdx,MATCH(F863,FmtName,0))</f>
        <v/>
      </c>
      <c r="W863" s="47">
        <f>T863*INDEX(ProvSRP,MATCH(G863,ProvCode,0))*(1+PriceIndex)</f>
        <v/>
      </c>
      <c r="X863" s="47">
        <f>IF(GrossBasis="Wholesale",V863,W863)</f>
        <v/>
      </c>
      <c r="Y863" s="47">
        <f>R863*INDEX(FmtBlendedCogs,MATCH(F863,FmtName,0))</f>
        <v/>
      </c>
      <c r="Z863" s="47">
        <f>X863-Y863</f>
        <v/>
      </c>
    </row>
    <row r="864">
      <c r="A864" t="n">
        <v>15</v>
      </c>
      <c r="B864" s="44">
        <f>FiscalStart+(A864-1)*7</f>
        <v/>
      </c>
      <c r="C864">
        <f>TEXT(B864,"mmm yyyy")</f>
        <v/>
      </c>
      <c r="D864">
        <f>"Q"&amp;(INT((A864-1)/13)+1)</f>
        <v/>
      </c>
      <c r="E864" t="inlineStr">
        <is>
          <t>On Premise</t>
        </is>
      </c>
      <c r="F864">
        <f>IFERROR(INDEX(ChFormat,MATCH(E864,ChName,0)),"")</f>
        <v/>
      </c>
      <c r="G864" t="inlineStr">
        <is>
          <t>NB</t>
        </is>
      </c>
      <c r="H864">
        <f>IF(A864&lt;=NWeeks,1,0)</f>
        <v/>
      </c>
      <c r="I864">
        <f>INDEX(ChLaunch,MATCH(E864,ChName,0))</f>
        <v/>
      </c>
      <c r="J864">
        <f>INDEX(ChWeeksFull,MATCH(E864,ChName,0))</f>
        <v/>
      </c>
      <c r="K864">
        <f>INDEX(ChRamp,MATCH(E864,ChName,0))</f>
        <v/>
      </c>
      <c r="L864" s="45">
        <f>MIN(1,MAX(0,(A864-I864+1)*RampSpeed/J864))</f>
        <v/>
      </c>
      <c r="M864" s="45">
        <f>IF(A864&lt;I864,0,IF(K864="S-curve",L864*L864*(3-2*L864),L864))</f>
        <v/>
      </c>
      <c r="N864" s="45">
        <f>1+(INDEX(SeasonIdx,A864)-1)*SeasonAmp</f>
        <v/>
      </c>
      <c r="O864" s="45">
        <f>IFERROR(INDEX(PSPct,MATCH(E864&amp;"|"&amp;G864,PSKey,0)),0)</f>
        <v/>
      </c>
      <c r="P864" s="46">
        <f>INDEX(ChDoorVel,MATCH(E864,ChName,0))*CalibScalar*(1+VelocityUplift)</f>
        <v/>
      </c>
      <c r="Q864" s="46" t="n">
        <v>0</v>
      </c>
      <c r="R864" s="46">
        <f>P864*O864*M864*N864*H864</f>
        <v/>
      </c>
      <c r="S864" s="46">
        <f>R864*INDEX(FmtCansPerCase,MATCH(F864,FmtName,0))</f>
        <v/>
      </c>
      <c r="T864" s="46">
        <f>S864/INDEX(FmtCansPerPack,MATCH(F864,FmtName,0))</f>
        <v/>
      </c>
      <c r="U864" s="47">
        <f>INDEX(ChBaseCP,MATCH(E864,ChName,0))*(1+INDEX(ProvMod,MATCH(G864,ProvCode,0)))*(1+PriceIndex)</f>
        <v/>
      </c>
      <c r="V864" s="47">
        <f>R864*U864*INDEX(FmtBlendedPriceIdx,MATCH(F864,FmtName,0))</f>
        <v/>
      </c>
      <c r="W864" s="47">
        <f>T864*INDEX(ProvSRP,MATCH(G864,ProvCode,0))*(1+PriceIndex)</f>
        <v/>
      </c>
      <c r="X864" s="47">
        <f>IF(GrossBasis="Wholesale",V864,W864)</f>
        <v/>
      </c>
      <c r="Y864" s="47">
        <f>R864*INDEX(FmtBlendedCogs,MATCH(F864,FmtName,0))</f>
        <v/>
      </c>
      <c r="Z864" s="47">
        <f>X864-Y864</f>
        <v/>
      </c>
    </row>
    <row r="865">
      <c r="A865" t="n">
        <v>16</v>
      </c>
      <c r="B865" s="44">
        <f>FiscalStart+(A865-1)*7</f>
        <v/>
      </c>
      <c r="C865">
        <f>TEXT(B865,"mmm yyyy")</f>
        <v/>
      </c>
      <c r="D865">
        <f>"Q"&amp;(INT((A865-1)/13)+1)</f>
        <v/>
      </c>
      <c r="E865" t="inlineStr">
        <is>
          <t>On Premise</t>
        </is>
      </c>
      <c r="F865">
        <f>IFERROR(INDEX(ChFormat,MATCH(E865,ChName,0)),"")</f>
        <v/>
      </c>
      <c r="G865" t="inlineStr">
        <is>
          <t>NB</t>
        </is>
      </c>
      <c r="H865">
        <f>IF(A865&lt;=NWeeks,1,0)</f>
        <v/>
      </c>
      <c r="I865">
        <f>INDEX(ChLaunch,MATCH(E865,ChName,0))</f>
        <v/>
      </c>
      <c r="J865">
        <f>INDEX(ChWeeksFull,MATCH(E865,ChName,0))</f>
        <v/>
      </c>
      <c r="K865">
        <f>INDEX(ChRamp,MATCH(E865,ChName,0))</f>
        <v/>
      </c>
      <c r="L865" s="45">
        <f>MIN(1,MAX(0,(A865-I865+1)*RampSpeed/J865))</f>
        <v/>
      </c>
      <c r="M865" s="45">
        <f>IF(A865&lt;I865,0,IF(K865="S-curve",L865*L865*(3-2*L865),L865))</f>
        <v/>
      </c>
      <c r="N865" s="45">
        <f>1+(INDEX(SeasonIdx,A865)-1)*SeasonAmp</f>
        <v/>
      </c>
      <c r="O865" s="45">
        <f>IFERROR(INDEX(PSPct,MATCH(E865&amp;"|"&amp;G865,PSKey,0)),0)</f>
        <v/>
      </c>
      <c r="P865" s="46">
        <f>INDEX(ChDoorVel,MATCH(E865,ChName,0))*CalibScalar*(1+VelocityUplift)</f>
        <v/>
      </c>
      <c r="Q865" s="46" t="n">
        <v>0</v>
      </c>
      <c r="R865" s="46">
        <f>P865*O865*M865*N865*H865</f>
        <v/>
      </c>
      <c r="S865" s="46">
        <f>R865*INDEX(FmtCansPerCase,MATCH(F865,FmtName,0))</f>
        <v/>
      </c>
      <c r="T865" s="46">
        <f>S865/INDEX(FmtCansPerPack,MATCH(F865,FmtName,0))</f>
        <v/>
      </c>
      <c r="U865" s="47">
        <f>INDEX(ChBaseCP,MATCH(E865,ChName,0))*(1+INDEX(ProvMod,MATCH(G865,ProvCode,0)))*(1+PriceIndex)</f>
        <v/>
      </c>
      <c r="V865" s="47">
        <f>R865*U865*INDEX(FmtBlendedPriceIdx,MATCH(F865,FmtName,0))</f>
        <v/>
      </c>
      <c r="W865" s="47">
        <f>T865*INDEX(ProvSRP,MATCH(G865,ProvCode,0))*(1+PriceIndex)</f>
        <v/>
      </c>
      <c r="X865" s="47">
        <f>IF(GrossBasis="Wholesale",V865,W865)</f>
        <v/>
      </c>
      <c r="Y865" s="47">
        <f>R865*INDEX(FmtBlendedCogs,MATCH(F865,FmtName,0))</f>
        <v/>
      </c>
      <c r="Z865" s="47">
        <f>X865-Y865</f>
        <v/>
      </c>
    </row>
    <row r="866">
      <c r="A866" t="n">
        <v>17</v>
      </c>
      <c r="B866" s="44">
        <f>FiscalStart+(A866-1)*7</f>
        <v/>
      </c>
      <c r="C866">
        <f>TEXT(B866,"mmm yyyy")</f>
        <v/>
      </c>
      <c r="D866">
        <f>"Q"&amp;(INT((A866-1)/13)+1)</f>
        <v/>
      </c>
      <c r="E866" t="inlineStr">
        <is>
          <t>On Premise</t>
        </is>
      </c>
      <c r="F866">
        <f>IFERROR(INDEX(ChFormat,MATCH(E866,ChName,0)),"")</f>
        <v/>
      </c>
      <c r="G866" t="inlineStr">
        <is>
          <t>NB</t>
        </is>
      </c>
      <c r="H866">
        <f>IF(A866&lt;=NWeeks,1,0)</f>
        <v/>
      </c>
      <c r="I866">
        <f>INDEX(ChLaunch,MATCH(E866,ChName,0))</f>
        <v/>
      </c>
      <c r="J866">
        <f>INDEX(ChWeeksFull,MATCH(E866,ChName,0))</f>
        <v/>
      </c>
      <c r="K866">
        <f>INDEX(ChRamp,MATCH(E866,ChName,0))</f>
        <v/>
      </c>
      <c r="L866" s="45">
        <f>MIN(1,MAX(0,(A866-I866+1)*RampSpeed/J866))</f>
        <v/>
      </c>
      <c r="M866" s="45">
        <f>IF(A866&lt;I866,0,IF(K866="S-curve",L866*L866*(3-2*L866),L866))</f>
        <v/>
      </c>
      <c r="N866" s="45">
        <f>1+(INDEX(SeasonIdx,A866)-1)*SeasonAmp</f>
        <v/>
      </c>
      <c r="O866" s="45">
        <f>IFERROR(INDEX(PSPct,MATCH(E866&amp;"|"&amp;G866,PSKey,0)),0)</f>
        <v/>
      </c>
      <c r="P866" s="46">
        <f>INDEX(ChDoorVel,MATCH(E866,ChName,0))*CalibScalar*(1+VelocityUplift)</f>
        <v/>
      </c>
      <c r="Q866" s="46" t="n">
        <v>0</v>
      </c>
      <c r="R866" s="46">
        <f>P866*O866*M866*N866*H866</f>
        <v/>
      </c>
      <c r="S866" s="46">
        <f>R866*INDEX(FmtCansPerCase,MATCH(F866,FmtName,0))</f>
        <v/>
      </c>
      <c r="T866" s="46">
        <f>S866/INDEX(FmtCansPerPack,MATCH(F866,FmtName,0))</f>
        <v/>
      </c>
      <c r="U866" s="47">
        <f>INDEX(ChBaseCP,MATCH(E866,ChName,0))*(1+INDEX(ProvMod,MATCH(G866,ProvCode,0)))*(1+PriceIndex)</f>
        <v/>
      </c>
      <c r="V866" s="47">
        <f>R866*U866*INDEX(FmtBlendedPriceIdx,MATCH(F866,FmtName,0))</f>
        <v/>
      </c>
      <c r="W866" s="47">
        <f>T866*INDEX(ProvSRP,MATCH(G866,ProvCode,0))*(1+PriceIndex)</f>
        <v/>
      </c>
      <c r="X866" s="47">
        <f>IF(GrossBasis="Wholesale",V866,W866)</f>
        <v/>
      </c>
      <c r="Y866" s="47">
        <f>R866*INDEX(FmtBlendedCogs,MATCH(F866,FmtName,0))</f>
        <v/>
      </c>
      <c r="Z866" s="47">
        <f>X866-Y866</f>
        <v/>
      </c>
    </row>
    <row r="867">
      <c r="A867" t="n">
        <v>18</v>
      </c>
      <c r="B867" s="44">
        <f>FiscalStart+(A867-1)*7</f>
        <v/>
      </c>
      <c r="C867">
        <f>TEXT(B867,"mmm yyyy")</f>
        <v/>
      </c>
      <c r="D867">
        <f>"Q"&amp;(INT((A867-1)/13)+1)</f>
        <v/>
      </c>
      <c r="E867" t="inlineStr">
        <is>
          <t>On Premise</t>
        </is>
      </c>
      <c r="F867">
        <f>IFERROR(INDEX(ChFormat,MATCH(E867,ChName,0)),"")</f>
        <v/>
      </c>
      <c r="G867" t="inlineStr">
        <is>
          <t>NB</t>
        </is>
      </c>
      <c r="H867">
        <f>IF(A867&lt;=NWeeks,1,0)</f>
        <v/>
      </c>
      <c r="I867">
        <f>INDEX(ChLaunch,MATCH(E867,ChName,0))</f>
        <v/>
      </c>
      <c r="J867">
        <f>INDEX(ChWeeksFull,MATCH(E867,ChName,0))</f>
        <v/>
      </c>
      <c r="K867">
        <f>INDEX(ChRamp,MATCH(E867,ChName,0))</f>
        <v/>
      </c>
      <c r="L867" s="45">
        <f>MIN(1,MAX(0,(A867-I867+1)*RampSpeed/J867))</f>
        <v/>
      </c>
      <c r="M867" s="45">
        <f>IF(A867&lt;I867,0,IF(K867="S-curve",L867*L867*(3-2*L867),L867))</f>
        <v/>
      </c>
      <c r="N867" s="45">
        <f>1+(INDEX(SeasonIdx,A867)-1)*SeasonAmp</f>
        <v/>
      </c>
      <c r="O867" s="45">
        <f>IFERROR(INDEX(PSPct,MATCH(E867&amp;"|"&amp;G867,PSKey,0)),0)</f>
        <v/>
      </c>
      <c r="P867" s="46">
        <f>INDEX(ChDoorVel,MATCH(E867,ChName,0))*CalibScalar*(1+VelocityUplift)</f>
        <v/>
      </c>
      <c r="Q867" s="46" t="n">
        <v>0</v>
      </c>
      <c r="R867" s="46">
        <f>P867*O867*M867*N867*H867</f>
        <v/>
      </c>
      <c r="S867" s="46">
        <f>R867*INDEX(FmtCansPerCase,MATCH(F867,FmtName,0))</f>
        <v/>
      </c>
      <c r="T867" s="46">
        <f>S867/INDEX(FmtCansPerPack,MATCH(F867,FmtName,0))</f>
        <v/>
      </c>
      <c r="U867" s="47">
        <f>INDEX(ChBaseCP,MATCH(E867,ChName,0))*(1+INDEX(ProvMod,MATCH(G867,ProvCode,0)))*(1+PriceIndex)</f>
        <v/>
      </c>
      <c r="V867" s="47">
        <f>R867*U867*INDEX(FmtBlendedPriceIdx,MATCH(F867,FmtName,0))</f>
        <v/>
      </c>
      <c r="W867" s="47">
        <f>T867*INDEX(ProvSRP,MATCH(G867,ProvCode,0))*(1+PriceIndex)</f>
        <v/>
      </c>
      <c r="X867" s="47">
        <f>IF(GrossBasis="Wholesale",V867,W867)</f>
        <v/>
      </c>
      <c r="Y867" s="47">
        <f>R867*INDEX(FmtBlendedCogs,MATCH(F867,FmtName,0))</f>
        <v/>
      </c>
      <c r="Z867" s="47">
        <f>X867-Y867</f>
        <v/>
      </c>
    </row>
    <row r="868">
      <c r="A868" t="n">
        <v>19</v>
      </c>
      <c r="B868" s="44">
        <f>FiscalStart+(A868-1)*7</f>
        <v/>
      </c>
      <c r="C868">
        <f>TEXT(B868,"mmm yyyy")</f>
        <v/>
      </c>
      <c r="D868">
        <f>"Q"&amp;(INT((A868-1)/13)+1)</f>
        <v/>
      </c>
      <c r="E868" t="inlineStr">
        <is>
          <t>On Premise</t>
        </is>
      </c>
      <c r="F868">
        <f>IFERROR(INDEX(ChFormat,MATCH(E868,ChName,0)),"")</f>
        <v/>
      </c>
      <c r="G868" t="inlineStr">
        <is>
          <t>NB</t>
        </is>
      </c>
      <c r="H868">
        <f>IF(A868&lt;=NWeeks,1,0)</f>
        <v/>
      </c>
      <c r="I868">
        <f>INDEX(ChLaunch,MATCH(E868,ChName,0))</f>
        <v/>
      </c>
      <c r="J868">
        <f>INDEX(ChWeeksFull,MATCH(E868,ChName,0))</f>
        <v/>
      </c>
      <c r="K868">
        <f>INDEX(ChRamp,MATCH(E868,ChName,0))</f>
        <v/>
      </c>
      <c r="L868" s="45">
        <f>MIN(1,MAX(0,(A868-I868+1)*RampSpeed/J868))</f>
        <v/>
      </c>
      <c r="M868" s="45">
        <f>IF(A868&lt;I868,0,IF(K868="S-curve",L868*L868*(3-2*L868),L868))</f>
        <v/>
      </c>
      <c r="N868" s="45">
        <f>1+(INDEX(SeasonIdx,A868)-1)*SeasonAmp</f>
        <v/>
      </c>
      <c r="O868" s="45">
        <f>IFERROR(INDEX(PSPct,MATCH(E868&amp;"|"&amp;G868,PSKey,0)),0)</f>
        <v/>
      </c>
      <c r="P868" s="46">
        <f>INDEX(ChDoorVel,MATCH(E868,ChName,0))*CalibScalar*(1+VelocityUplift)</f>
        <v/>
      </c>
      <c r="Q868" s="46" t="n">
        <v>0</v>
      </c>
      <c r="R868" s="46">
        <f>P868*O868*M868*N868*H868</f>
        <v/>
      </c>
      <c r="S868" s="46">
        <f>R868*INDEX(FmtCansPerCase,MATCH(F868,FmtName,0))</f>
        <v/>
      </c>
      <c r="T868" s="46">
        <f>S868/INDEX(FmtCansPerPack,MATCH(F868,FmtName,0))</f>
        <v/>
      </c>
      <c r="U868" s="47">
        <f>INDEX(ChBaseCP,MATCH(E868,ChName,0))*(1+INDEX(ProvMod,MATCH(G868,ProvCode,0)))*(1+PriceIndex)</f>
        <v/>
      </c>
      <c r="V868" s="47">
        <f>R868*U868*INDEX(FmtBlendedPriceIdx,MATCH(F868,FmtName,0))</f>
        <v/>
      </c>
      <c r="W868" s="47">
        <f>T868*INDEX(ProvSRP,MATCH(G868,ProvCode,0))*(1+PriceIndex)</f>
        <v/>
      </c>
      <c r="X868" s="47">
        <f>IF(GrossBasis="Wholesale",V868,W868)</f>
        <v/>
      </c>
      <c r="Y868" s="47">
        <f>R868*INDEX(FmtBlendedCogs,MATCH(F868,FmtName,0))</f>
        <v/>
      </c>
      <c r="Z868" s="47">
        <f>X868-Y868</f>
        <v/>
      </c>
    </row>
    <row r="869">
      <c r="A869" t="n">
        <v>20</v>
      </c>
      <c r="B869" s="44">
        <f>FiscalStart+(A869-1)*7</f>
        <v/>
      </c>
      <c r="C869">
        <f>TEXT(B869,"mmm yyyy")</f>
        <v/>
      </c>
      <c r="D869">
        <f>"Q"&amp;(INT((A869-1)/13)+1)</f>
        <v/>
      </c>
      <c r="E869" t="inlineStr">
        <is>
          <t>On Premise</t>
        </is>
      </c>
      <c r="F869">
        <f>IFERROR(INDEX(ChFormat,MATCH(E869,ChName,0)),"")</f>
        <v/>
      </c>
      <c r="G869" t="inlineStr">
        <is>
          <t>NB</t>
        </is>
      </c>
      <c r="H869">
        <f>IF(A869&lt;=NWeeks,1,0)</f>
        <v/>
      </c>
      <c r="I869">
        <f>INDEX(ChLaunch,MATCH(E869,ChName,0))</f>
        <v/>
      </c>
      <c r="J869">
        <f>INDEX(ChWeeksFull,MATCH(E869,ChName,0))</f>
        <v/>
      </c>
      <c r="K869">
        <f>INDEX(ChRamp,MATCH(E869,ChName,0))</f>
        <v/>
      </c>
      <c r="L869" s="45">
        <f>MIN(1,MAX(0,(A869-I869+1)*RampSpeed/J869))</f>
        <v/>
      </c>
      <c r="M869" s="45">
        <f>IF(A869&lt;I869,0,IF(K869="S-curve",L869*L869*(3-2*L869),L869))</f>
        <v/>
      </c>
      <c r="N869" s="45">
        <f>1+(INDEX(SeasonIdx,A869)-1)*SeasonAmp</f>
        <v/>
      </c>
      <c r="O869" s="45">
        <f>IFERROR(INDEX(PSPct,MATCH(E869&amp;"|"&amp;G869,PSKey,0)),0)</f>
        <v/>
      </c>
      <c r="P869" s="46">
        <f>INDEX(ChDoorVel,MATCH(E869,ChName,0))*CalibScalar*(1+VelocityUplift)</f>
        <v/>
      </c>
      <c r="Q869" s="46" t="n">
        <v>0</v>
      </c>
      <c r="R869" s="46">
        <f>P869*O869*M869*N869*H869</f>
        <v/>
      </c>
      <c r="S869" s="46">
        <f>R869*INDEX(FmtCansPerCase,MATCH(F869,FmtName,0))</f>
        <v/>
      </c>
      <c r="T869" s="46">
        <f>S869/INDEX(FmtCansPerPack,MATCH(F869,FmtName,0))</f>
        <v/>
      </c>
      <c r="U869" s="47">
        <f>INDEX(ChBaseCP,MATCH(E869,ChName,0))*(1+INDEX(ProvMod,MATCH(G869,ProvCode,0)))*(1+PriceIndex)</f>
        <v/>
      </c>
      <c r="V869" s="47">
        <f>R869*U869*INDEX(FmtBlendedPriceIdx,MATCH(F869,FmtName,0))</f>
        <v/>
      </c>
      <c r="W869" s="47">
        <f>T869*INDEX(ProvSRP,MATCH(G869,ProvCode,0))*(1+PriceIndex)</f>
        <v/>
      </c>
      <c r="X869" s="47">
        <f>IF(GrossBasis="Wholesale",V869,W869)</f>
        <v/>
      </c>
      <c r="Y869" s="47">
        <f>R869*INDEX(FmtBlendedCogs,MATCH(F869,FmtName,0))</f>
        <v/>
      </c>
      <c r="Z869" s="47">
        <f>X869-Y869</f>
        <v/>
      </c>
    </row>
    <row r="870">
      <c r="A870" t="n">
        <v>21</v>
      </c>
      <c r="B870" s="44">
        <f>FiscalStart+(A870-1)*7</f>
        <v/>
      </c>
      <c r="C870">
        <f>TEXT(B870,"mmm yyyy")</f>
        <v/>
      </c>
      <c r="D870">
        <f>"Q"&amp;(INT((A870-1)/13)+1)</f>
        <v/>
      </c>
      <c r="E870" t="inlineStr">
        <is>
          <t>On Premise</t>
        </is>
      </c>
      <c r="F870">
        <f>IFERROR(INDEX(ChFormat,MATCH(E870,ChName,0)),"")</f>
        <v/>
      </c>
      <c r="G870" t="inlineStr">
        <is>
          <t>NB</t>
        </is>
      </c>
      <c r="H870">
        <f>IF(A870&lt;=NWeeks,1,0)</f>
        <v/>
      </c>
      <c r="I870">
        <f>INDEX(ChLaunch,MATCH(E870,ChName,0))</f>
        <v/>
      </c>
      <c r="J870">
        <f>INDEX(ChWeeksFull,MATCH(E870,ChName,0))</f>
        <v/>
      </c>
      <c r="K870">
        <f>INDEX(ChRamp,MATCH(E870,ChName,0))</f>
        <v/>
      </c>
      <c r="L870" s="45">
        <f>MIN(1,MAX(0,(A870-I870+1)*RampSpeed/J870))</f>
        <v/>
      </c>
      <c r="M870" s="45">
        <f>IF(A870&lt;I870,0,IF(K870="S-curve",L870*L870*(3-2*L870),L870))</f>
        <v/>
      </c>
      <c r="N870" s="45">
        <f>1+(INDEX(SeasonIdx,A870)-1)*SeasonAmp</f>
        <v/>
      </c>
      <c r="O870" s="45">
        <f>IFERROR(INDEX(PSPct,MATCH(E870&amp;"|"&amp;G870,PSKey,0)),0)</f>
        <v/>
      </c>
      <c r="P870" s="46">
        <f>INDEX(ChDoorVel,MATCH(E870,ChName,0))*CalibScalar*(1+VelocityUplift)</f>
        <v/>
      </c>
      <c r="Q870" s="46" t="n">
        <v>0</v>
      </c>
      <c r="R870" s="46">
        <f>P870*O870*M870*N870*H870</f>
        <v/>
      </c>
      <c r="S870" s="46">
        <f>R870*INDEX(FmtCansPerCase,MATCH(F870,FmtName,0))</f>
        <v/>
      </c>
      <c r="T870" s="46">
        <f>S870/INDEX(FmtCansPerPack,MATCH(F870,FmtName,0))</f>
        <v/>
      </c>
      <c r="U870" s="47">
        <f>INDEX(ChBaseCP,MATCH(E870,ChName,0))*(1+INDEX(ProvMod,MATCH(G870,ProvCode,0)))*(1+PriceIndex)</f>
        <v/>
      </c>
      <c r="V870" s="47">
        <f>R870*U870*INDEX(FmtBlendedPriceIdx,MATCH(F870,FmtName,0))</f>
        <v/>
      </c>
      <c r="W870" s="47">
        <f>T870*INDEX(ProvSRP,MATCH(G870,ProvCode,0))*(1+PriceIndex)</f>
        <v/>
      </c>
      <c r="X870" s="47">
        <f>IF(GrossBasis="Wholesale",V870,W870)</f>
        <v/>
      </c>
      <c r="Y870" s="47">
        <f>R870*INDEX(FmtBlendedCogs,MATCH(F870,FmtName,0))</f>
        <v/>
      </c>
      <c r="Z870" s="47">
        <f>X870-Y870</f>
        <v/>
      </c>
    </row>
    <row r="871">
      <c r="A871" t="n">
        <v>22</v>
      </c>
      <c r="B871" s="44">
        <f>FiscalStart+(A871-1)*7</f>
        <v/>
      </c>
      <c r="C871">
        <f>TEXT(B871,"mmm yyyy")</f>
        <v/>
      </c>
      <c r="D871">
        <f>"Q"&amp;(INT((A871-1)/13)+1)</f>
        <v/>
      </c>
      <c r="E871" t="inlineStr">
        <is>
          <t>On Premise</t>
        </is>
      </c>
      <c r="F871">
        <f>IFERROR(INDEX(ChFormat,MATCH(E871,ChName,0)),"")</f>
        <v/>
      </c>
      <c r="G871" t="inlineStr">
        <is>
          <t>NB</t>
        </is>
      </c>
      <c r="H871">
        <f>IF(A871&lt;=NWeeks,1,0)</f>
        <v/>
      </c>
      <c r="I871">
        <f>INDEX(ChLaunch,MATCH(E871,ChName,0))</f>
        <v/>
      </c>
      <c r="J871">
        <f>INDEX(ChWeeksFull,MATCH(E871,ChName,0))</f>
        <v/>
      </c>
      <c r="K871">
        <f>INDEX(ChRamp,MATCH(E871,ChName,0))</f>
        <v/>
      </c>
      <c r="L871" s="45">
        <f>MIN(1,MAX(0,(A871-I871+1)*RampSpeed/J871))</f>
        <v/>
      </c>
      <c r="M871" s="45">
        <f>IF(A871&lt;I871,0,IF(K871="S-curve",L871*L871*(3-2*L871),L871))</f>
        <v/>
      </c>
      <c r="N871" s="45">
        <f>1+(INDEX(SeasonIdx,A871)-1)*SeasonAmp</f>
        <v/>
      </c>
      <c r="O871" s="45">
        <f>IFERROR(INDEX(PSPct,MATCH(E871&amp;"|"&amp;G871,PSKey,0)),0)</f>
        <v/>
      </c>
      <c r="P871" s="46">
        <f>INDEX(ChDoorVel,MATCH(E871,ChName,0))*CalibScalar*(1+VelocityUplift)</f>
        <v/>
      </c>
      <c r="Q871" s="46" t="n">
        <v>0</v>
      </c>
      <c r="R871" s="46">
        <f>P871*O871*M871*N871*H871</f>
        <v/>
      </c>
      <c r="S871" s="46">
        <f>R871*INDEX(FmtCansPerCase,MATCH(F871,FmtName,0))</f>
        <v/>
      </c>
      <c r="T871" s="46">
        <f>S871/INDEX(FmtCansPerPack,MATCH(F871,FmtName,0))</f>
        <v/>
      </c>
      <c r="U871" s="47">
        <f>INDEX(ChBaseCP,MATCH(E871,ChName,0))*(1+INDEX(ProvMod,MATCH(G871,ProvCode,0)))*(1+PriceIndex)</f>
        <v/>
      </c>
      <c r="V871" s="47">
        <f>R871*U871*INDEX(FmtBlendedPriceIdx,MATCH(F871,FmtName,0))</f>
        <v/>
      </c>
      <c r="W871" s="47">
        <f>T871*INDEX(ProvSRP,MATCH(G871,ProvCode,0))*(1+PriceIndex)</f>
        <v/>
      </c>
      <c r="X871" s="47">
        <f>IF(GrossBasis="Wholesale",V871,W871)</f>
        <v/>
      </c>
      <c r="Y871" s="47">
        <f>R871*INDEX(FmtBlendedCogs,MATCH(F871,FmtName,0))</f>
        <v/>
      </c>
      <c r="Z871" s="47">
        <f>X871-Y871</f>
        <v/>
      </c>
    </row>
    <row r="872">
      <c r="A872" t="n">
        <v>23</v>
      </c>
      <c r="B872" s="44">
        <f>FiscalStart+(A872-1)*7</f>
        <v/>
      </c>
      <c r="C872">
        <f>TEXT(B872,"mmm yyyy")</f>
        <v/>
      </c>
      <c r="D872">
        <f>"Q"&amp;(INT((A872-1)/13)+1)</f>
        <v/>
      </c>
      <c r="E872" t="inlineStr">
        <is>
          <t>On Premise</t>
        </is>
      </c>
      <c r="F872">
        <f>IFERROR(INDEX(ChFormat,MATCH(E872,ChName,0)),"")</f>
        <v/>
      </c>
      <c r="G872" t="inlineStr">
        <is>
          <t>NB</t>
        </is>
      </c>
      <c r="H872">
        <f>IF(A872&lt;=NWeeks,1,0)</f>
        <v/>
      </c>
      <c r="I872">
        <f>INDEX(ChLaunch,MATCH(E872,ChName,0))</f>
        <v/>
      </c>
      <c r="J872">
        <f>INDEX(ChWeeksFull,MATCH(E872,ChName,0))</f>
        <v/>
      </c>
      <c r="K872">
        <f>INDEX(ChRamp,MATCH(E872,ChName,0))</f>
        <v/>
      </c>
      <c r="L872" s="45">
        <f>MIN(1,MAX(0,(A872-I872+1)*RampSpeed/J872))</f>
        <v/>
      </c>
      <c r="M872" s="45">
        <f>IF(A872&lt;I872,0,IF(K872="S-curve",L872*L872*(3-2*L872),L872))</f>
        <v/>
      </c>
      <c r="N872" s="45">
        <f>1+(INDEX(SeasonIdx,A872)-1)*SeasonAmp</f>
        <v/>
      </c>
      <c r="O872" s="45">
        <f>IFERROR(INDEX(PSPct,MATCH(E872&amp;"|"&amp;G872,PSKey,0)),0)</f>
        <v/>
      </c>
      <c r="P872" s="46">
        <f>INDEX(ChDoorVel,MATCH(E872,ChName,0))*CalibScalar*(1+VelocityUplift)</f>
        <v/>
      </c>
      <c r="Q872" s="46" t="n">
        <v>0</v>
      </c>
      <c r="R872" s="46">
        <f>P872*O872*M872*N872*H872</f>
        <v/>
      </c>
      <c r="S872" s="46">
        <f>R872*INDEX(FmtCansPerCase,MATCH(F872,FmtName,0))</f>
        <v/>
      </c>
      <c r="T872" s="46">
        <f>S872/INDEX(FmtCansPerPack,MATCH(F872,FmtName,0))</f>
        <v/>
      </c>
      <c r="U872" s="47">
        <f>INDEX(ChBaseCP,MATCH(E872,ChName,0))*(1+INDEX(ProvMod,MATCH(G872,ProvCode,0)))*(1+PriceIndex)</f>
        <v/>
      </c>
      <c r="V872" s="47">
        <f>R872*U872*INDEX(FmtBlendedPriceIdx,MATCH(F872,FmtName,0))</f>
        <v/>
      </c>
      <c r="W872" s="47">
        <f>T872*INDEX(ProvSRP,MATCH(G872,ProvCode,0))*(1+PriceIndex)</f>
        <v/>
      </c>
      <c r="X872" s="47">
        <f>IF(GrossBasis="Wholesale",V872,W872)</f>
        <v/>
      </c>
      <c r="Y872" s="47">
        <f>R872*INDEX(FmtBlendedCogs,MATCH(F872,FmtName,0))</f>
        <v/>
      </c>
      <c r="Z872" s="47">
        <f>X872-Y872</f>
        <v/>
      </c>
    </row>
    <row r="873">
      <c r="A873" t="n">
        <v>24</v>
      </c>
      <c r="B873" s="44">
        <f>FiscalStart+(A873-1)*7</f>
        <v/>
      </c>
      <c r="C873">
        <f>TEXT(B873,"mmm yyyy")</f>
        <v/>
      </c>
      <c r="D873">
        <f>"Q"&amp;(INT((A873-1)/13)+1)</f>
        <v/>
      </c>
      <c r="E873" t="inlineStr">
        <is>
          <t>On Premise</t>
        </is>
      </c>
      <c r="F873">
        <f>IFERROR(INDEX(ChFormat,MATCH(E873,ChName,0)),"")</f>
        <v/>
      </c>
      <c r="G873" t="inlineStr">
        <is>
          <t>NB</t>
        </is>
      </c>
      <c r="H873">
        <f>IF(A873&lt;=NWeeks,1,0)</f>
        <v/>
      </c>
      <c r="I873">
        <f>INDEX(ChLaunch,MATCH(E873,ChName,0))</f>
        <v/>
      </c>
      <c r="J873">
        <f>INDEX(ChWeeksFull,MATCH(E873,ChName,0))</f>
        <v/>
      </c>
      <c r="K873">
        <f>INDEX(ChRamp,MATCH(E873,ChName,0))</f>
        <v/>
      </c>
      <c r="L873" s="45">
        <f>MIN(1,MAX(0,(A873-I873+1)*RampSpeed/J873))</f>
        <v/>
      </c>
      <c r="M873" s="45">
        <f>IF(A873&lt;I873,0,IF(K873="S-curve",L873*L873*(3-2*L873),L873))</f>
        <v/>
      </c>
      <c r="N873" s="45">
        <f>1+(INDEX(SeasonIdx,A873)-1)*SeasonAmp</f>
        <v/>
      </c>
      <c r="O873" s="45">
        <f>IFERROR(INDEX(PSPct,MATCH(E873&amp;"|"&amp;G873,PSKey,0)),0)</f>
        <v/>
      </c>
      <c r="P873" s="46">
        <f>INDEX(ChDoorVel,MATCH(E873,ChName,0))*CalibScalar*(1+VelocityUplift)</f>
        <v/>
      </c>
      <c r="Q873" s="46" t="n">
        <v>0</v>
      </c>
      <c r="R873" s="46">
        <f>P873*O873*M873*N873*H873</f>
        <v/>
      </c>
      <c r="S873" s="46">
        <f>R873*INDEX(FmtCansPerCase,MATCH(F873,FmtName,0))</f>
        <v/>
      </c>
      <c r="T873" s="46">
        <f>S873/INDEX(FmtCansPerPack,MATCH(F873,FmtName,0))</f>
        <v/>
      </c>
      <c r="U873" s="47">
        <f>INDEX(ChBaseCP,MATCH(E873,ChName,0))*(1+INDEX(ProvMod,MATCH(G873,ProvCode,0)))*(1+PriceIndex)</f>
        <v/>
      </c>
      <c r="V873" s="47">
        <f>R873*U873*INDEX(FmtBlendedPriceIdx,MATCH(F873,FmtName,0))</f>
        <v/>
      </c>
      <c r="W873" s="47">
        <f>T873*INDEX(ProvSRP,MATCH(G873,ProvCode,0))*(1+PriceIndex)</f>
        <v/>
      </c>
      <c r="X873" s="47">
        <f>IF(GrossBasis="Wholesale",V873,W873)</f>
        <v/>
      </c>
      <c r="Y873" s="47">
        <f>R873*INDEX(FmtBlendedCogs,MATCH(F873,FmtName,0))</f>
        <v/>
      </c>
      <c r="Z873" s="47">
        <f>X873-Y873</f>
        <v/>
      </c>
    </row>
    <row r="874">
      <c r="A874" t="n">
        <v>25</v>
      </c>
      <c r="B874" s="44">
        <f>FiscalStart+(A874-1)*7</f>
        <v/>
      </c>
      <c r="C874">
        <f>TEXT(B874,"mmm yyyy")</f>
        <v/>
      </c>
      <c r="D874">
        <f>"Q"&amp;(INT((A874-1)/13)+1)</f>
        <v/>
      </c>
      <c r="E874" t="inlineStr">
        <is>
          <t>On Premise</t>
        </is>
      </c>
      <c r="F874">
        <f>IFERROR(INDEX(ChFormat,MATCH(E874,ChName,0)),"")</f>
        <v/>
      </c>
      <c r="G874" t="inlineStr">
        <is>
          <t>NB</t>
        </is>
      </c>
      <c r="H874">
        <f>IF(A874&lt;=NWeeks,1,0)</f>
        <v/>
      </c>
      <c r="I874">
        <f>INDEX(ChLaunch,MATCH(E874,ChName,0))</f>
        <v/>
      </c>
      <c r="J874">
        <f>INDEX(ChWeeksFull,MATCH(E874,ChName,0))</f>
        <v/>
      </c>
      <c r="K874">
        <f>INDEX(ChRamp,MATCH(E874,ChName,0))</f>
        <v/>
      </c>
      <c r="L874" s="45">
        <f>MIN(1,MAX(0,(A874-I874+1)*RampSpeed/J874))</f>
        <v/>
      </c>
      <c r="M874" s="45">
        <f>IF(A874&lt;I874,0,IF(K874="S-curve",L874*L874*(3-2*L874),L874))</f>
        <v/>
      </c>
      <c r="N874" s="45">
        <f>1+(INDEX(SeasonIdx,A874)-1)*SeasonAmp</f>
        <v/>
      </c>
      <c r="O874" s="45">
        <f>IFERROR(INDEX(PSPct,MATCH(E874&amp;"|"&amp;G874,PSKey,0)),0)</f>
        <v/>
      </c>
      <c r="P874" s="46">
        <f>INDEX(ChDoorVel,MATCH(E874,ChName,0))*CalibScalar*(1+VelocityUplift)</f>
        <v/>
      </c>
      <c r="Q874" s="46" t="n">
        <v>0</v>
      </c>
      <c r="R874" s="46">
        <f>P874*O874*M874*N874*H874</f>
        <v/>
      </c>
      <c r="S874" s="46">
        <f>R874*INDEX(FmtCansPerCase,MATCH(F874,FmtName,0))</f>
        <v/>
      </c>
      <c r="T874" s="46">
        <f>S874/INDEX(FmtCansPerPack,MATCH(F874,FmtName,0))</f>
        <v/>
      </c>
      <c r="U874" s="47">
        <f>INDEX(ChBaseCP,MATCH(E874,ChName,0))*(1+INDEX(ProvMod,MATCH(G874,ProvCode,0)))*(1+PriceIndex)</f>
        <v/>
      </c>
      <c r="V874" s="47">
        <f>R874*U874*INDEX(FmtBlendedPriceIdx,MATCH(F874,FmtName,0))</f>
        <v/>
      </c>
      <c r="W874" s="47">
        <f>T874*INDEX(ProvSRP,MATCH(G874,ProvCode,0))*(1+PriceIndex)</f>
        <v/>
      </c>
      <c r="X874" s="47">
        <f>IF(GrossBasis="Wholesale",V874,W874)</f>
        <v/>
      </c>
      <c r="Y874" s="47">
        <f>R874*INDEX(FmtBlendedCogs,MATCH(F874,FmtName,0))</f>
        <v/>
      </c>
      <c r="Z874" s="47">
        <f>X874-Y874</f>
        <v/>
      </c>
    </row>
    <row r="875">
      <c r="A875" t="n">
        <v>26</v>
      </c>
      <c r="B875" s="44">
        <f>FiscalStart+(A875-1)*7</f>
        <v/>
      </c>
      <c r="C875">
        <f>TEXT(B875,"mmm yyyy")</f>
        <v/>
      </c>
      <c r="D875">
        <f>"Q"&amp;(INT((A875-1)/13)+1)</f>
        <v/>
      </c>
      <c r="E875" t="inlineStr">
        <is>
          <t>On Premise</t>
        </is>
      </c>
      <c r="F875">
        <f>IFERROR(INDEX(ChFormat,MATCH(E875,ChName,0)),"")</f>
        <v/>
      </c>
      <c r="G875" t="inlineStr">
        <is>
          <t>NB</t>
        </is>
      </c>
      <c r="H875">
        <f>IF(A875&lt;=NWeeks,1,0)</f>
        <v/>
      </c>
      <c r="I875">
        <f>INDEX(ChLaunch,MATCH(E875,ChName,0))</f>
        <v/>
      </c>
      <c r="J875">
        <f>INDEX(ChWeeksFull,MATCH(E875,ChName,0))</f>
        <v/>
      </c>
      <c r="K875">
        <f>INDEX(ChRamp,MATCH(E875,ChName,0))</f>
        <v/>
      </c>
      <c r="L875" s="45">
        <f>MIN(1,MAX(0,(A875-I875+1)*RampSpeed/J875))</f>
        <v/>
      </c>
      <c r="M875" s="45">
        <f>IF(A875&lt;I875,0,IF(K875="S-curve",L875*L875*(3-2*L875),L875))</f>
        <v/>
      </c>
      <c r="N875" s="45">
        <f>1+(INDEX(SeasonIdx,A875)-1)*SeasonAmp</f>
        <v/>
      </c>
      <c r="O875" s="45">
        <f>IFERROR(INDEX(PSPct,MATCH(E875&amp;"|"&amp;G875,PSKey,0)),0)</f>
        <v/>
      </c>
      <c r="P875" s="46">
        <f>INDEX(ChDoorVel,MATCH(E875,ChName,0))*CalibScalar*(1+VelocityUplift)</f>
        <v/>
      </c>
      <c r="Q875" s="46" t="n">
        <v>0</v>
      </c>
      <c r="R875" s="46">
        <f>P875*O875*M875*N875*H875</f>
        <v/>
      </c>
      <c r="S875" s="46">
        <f>R875*INDEX(FmtCansPerCase,MATCH(F875,FmtName,0))</f>
        <v/>
      </c>
      <c r="T875" s="46">
        <f>S875/INDEX(FmtCansPerPack,MATCH(F875,FmtName,0))</f>
        <v/>
      </c>
      <c r="U875" s="47">
        <f>INDEX(ChBaseCP,MATCH(E875,ChName,0))*(1+INDEX(ProvMod,MATCH(G875,ProvCode,0)))*(1+PriceIndex)</f>
        <v/>
      </c>
      <c r="V875" s="47">
        <f>R875*U875*INDEX(FmtBlendedPriceIdx,MATCH(F875,FmtName,0))</f>
        <v/>
      </c>
      <c r="W875" s="47">
        <f>T875*INDEX(ProvSRP,MATCH(G875,ProvCode,0))*(1+PriceIndex)</f>
        <v/>
      </c>
      <c r="X875" s="47">
        <f>IF(GrossBasis="Wholesale",V875,W875)</f>
        <v/>
      </c>
      <c r="Y875" s="47">
        <f>R875*INDEX(FmtBlendedCogs,MATCH(F875,FmtName,0))</f>
        <v/>
      </c>
      <c r="Z875" s="47">
        <f>X875-Y875</f>
        <v/>
      </c>
    </row>
    <row r="876">
      <c r="A876" t="n">
        <v>27</v>
      </c>
      <c r="B876" s="44">
        <f>FiscalStart+(A876-1)*7</f>
        <v/>
      </c>
      <c r="C876">
        <f>TEXT(B876,"mmm yyyy")</f>
        <v/>
      </c>
      <c r="D876">
        <f>"Q"&amp;(INT((A876-1)/13)+1)</f>
        <v/>
      </c>
      <c r="E876" t="inlineStr">
        <is>
          <t>On Premise</t>
        </is>
      </c>
      <c r="F876">
        <f>IFERROR(INDEX(ChFormat,MATCH(E876,ChName,0)),"")</f>
        <v/>
      </c>
      <c r="G876" t="inlineStr">
        <is>
          <t>NB</t>
        </is>
      </c>
      <c r="H876">
        <f>IF(A876&lt;=NWeeks,1,0)</f>
        <v/>
      </c>
      <c r="I876">
        <f>INDEX(ChLaunch,MATCH(E876,ChName,0))</f>
        <v/>
      </c>
      <c r="J876">
        <f>INDEX(ChWeeksFull,MATCH(E876,ChName,0))</f>
        <v/>
      </c>
      <c r="K876">
        <f>INDEX(ChRamp,MATCH(E876,ChName,0))</f>
        <v/>
      </c>
      <c r="L876" s="45">
        <f>MIN(1,MAX(0,(A876-I876+1)*RampSpeed/J876))</f>
        <v/>
      </c>
      <c r="M876" s="45">
        <f>IF(A876&lt;I876,0,IF(K876="S-curve",L876*L876*(3-2*L876),L876))</f>
        <v/>
      </c>
      <c r="N876" s="45">
        <f>1+(INDEX(SeasonIdx,A876)-1)*SeasonAmp</f>
        <v/>
      </c>
      <c r="O876" s="45">
        <f>IFERROR(INDEX(PSPct,MATCH(E876&amp;"|"&amp;G876,PSKey,0)),0)</f>
        <v/>
      </c>
      <c r="P876" s="46">
        <f>INDEX(ChDoorVel,MATCH(E876,ChName,0))*CalibScalar*(1+VelocityUplift)</f>
        <v/>
      </c>
      <c r="Q876" s="46" t="n">
        <v>0</v>
      </c>
      <c r="R876" s="46">
        <f>P876*O876*M876*N876*H876</f>
        <v/>
      </c>
      <c r="S876" s="46">
        <f>R876*INDEX(FmtCansPerCase,MATCH(F876,FmtName,0))</f>
        <v/>
      </c>
      <c r="T876" s="46">
        <f>S876/INDEX(FmtCansPerPack,MATCH(F876,FmtName,0))</f>
        <v/>
      </c>
      <c r="U876" s="47">
        <f>INDEX(ChBaseCP,MATCH(E876,ChName,0))*(1+INDEX(ProvMod,MATCH(G876,ProvCode,0)))*(1+PriceIndex)</f>
        <v/>
      </c>
      <c r="V876" s="47">
        <f>R876*U876*INDEX(FmtBlendedPriceIdx,MATCH(F876,FmtName,0))</f>
        <v/>
      </c>
      <c r="W876" s="47">
        <f>T876*INDEX(ProvSRP,MATCH(G876,ProvCode,0))*(1+PriceIndex)</f>
        <v/>
      </c>
      <c r="X876" s="47">
        <f>IF(GrossBasis="Wholesale",V876,W876)</f>
        <v/>
      </c>
      <c r="Y876" s="47">
        <f>R876*INDEX(FmtBlendedCogs,MATCH(F876,FmtName,0))</f>
        <v/>
      </c>
      <c r="Z876" s="47">
        <f>X876-Y876</f>
        <v/>
      </c>
    </row>
    <row r="877">
      <c r="A877" t="n">
        <v>28</v>
      </c>
      <c r="B877" s="44">
        <f>FiscalStart+(A877-1)*7</f>
        <v/>
      </c>
      <c r="C877">
        <f>TEXT(B877,"mmm yyyy")</f>
        <v/>
      </c>
      <c r="D877">
        <f>"Q"&amp;(INT((A877-1)/13)+1)</f>
        <v/>
      </c>
      <c r="E877" t="inlineStr">
        <is>
          <t>On Premise</t>
        </is>
      </c>
      <c r="F877">
        <f>IFERROR(INDEX(ChFormat,MATCH(E877,ChName,0)),"")</f>
        <v/>
      </c>
      <c r="G877" t="inlineStr">
        <is>
          <t>NB</t>
        </is>
      </c>
      <c r="H877">
        <f>IF(A877&lt;=NWeeks,1,0)</f>
        <v/>
      </c>
      <c r="I877">
        <f>INDEX(ChLaunch,MATCH(E877,ChName,0))</f>
        <v/>
      </c>
      <c r="J877">
        <f>INDEX(ChWeeksFull,MATCH(E877,ChName,0))</f>
        <v/>
      </c>
      <c r="K877">
        <f>INDEX(ChRamp,MATCH(E877,ChName,0))</f>
        <v/>
      </c>
      <c r="L877" s="45">
        <f>MIN(1,MAX(0,(A877-I877+1)*RampSpeed/J877))</f>
        <v/>
      </c>
      <c r="M877" s="45">
        <f>IF(A877&lt;I877,0,IF(K877="S-curve",L877*L877*(3-2*L877),L877))</f>
        <v/>
      </c>
      <c r="N877" s="45">
        <f>1+(INDEX(SeasonIdx,A877)-1)*SeasonAmp</f>
        <v/>
      </c>
      <c r="O877" s="45">
        <f>IFERROR(INDEX(PSPct,MATCH(E877&amp;"|"&amp;G877,PSKey,0)),0)</f>
        <v/>
      </c>
      <c r="P877" s="46">
        <f>INDEX(ChDoorVel,MATCH(E877,ChName,0))*CalibScalar*(1+VelocityUplift)</f>
        <v/>
      </c>
      <c r="Q877" s="46" t="n">
        <v>0</v>
      </c>
      <c r="R877" s="46">
        <f>P877*O877*M877*N877*H877</f>
        <v/>
      </c>
      <c r="S877" s="46">
        <f>R877*INDEX(FmtCansPerCase,MATCH(F877,FmtName,0))</f>
        <v/>
      </c>
      <c r="T877" s="46">
        <f>S877/INDEX(FmtCansPerPack,MATCH(F877,FmtName,0))</f>
        <v/>
      </c>
      <c r="U877" s="47">
        <f>INDEX(ChBaseCP,MATCH(E877,ChName,0))*(1+INDEX(ProvMod,MATCH(G877,ProvCode,0)))*(1+PriceIndex)</f>
        <v/>
      </c>
      <c r="V877" s="47">
        <f>R877*U877*INDEX(FmtBlendedPriceIdx,MATCH(F877,FmtName,0))</f>
        <v/>
      </c>
      <c r="W877" s="47">
        <f>T877*INDEX(ProvSRP,MATCH(G877,ProvCode,0))*(1+PriceIndex)</f>
        <v/>
      </c>
      <c r="X877" s="47">
        <f>IF(GrossBasis="Wholesale",V877,W877)</f>
        <v/>
      </c>
      <c r="Y877" s="47">
        <f>R877*INDEX(FmtBlendedCogs,MATCH(F877,FmtName,0))</f>
        <v/>
      </c>
      <c r="Z877" s="47">
        <f>X877-Y877</f>
        <v/>
      </c>
    </row>
    <row r="878">
      <c r="A878" t="n">
        <v>29</v>
      </c>
      <c r="B878" s="44">
        <f>FiscalStart+(A878-1)*7</f>
        <v/>
      </c>
      <c r="C878">
        <f>TEXT(B878,"mmm yyyy")</f>
        <v/>
      </c>
      <c r="D878">
        <f>"Q"&amp;(INT((A878-1)/13)+1)</f>
        <v/>
      </c>
      <c r="E878" t="inlineStr">
        <is>
          <t>On Premise</t>
        </is>
      </c>
      <c r="F878">
        <f>IFERROR(INDEX(ChFormat,MATCH(E878,ChName,0)),"")</f>
        <v/>
      </c>
      <c r="G878" t="inlineStr">
        <is>
          <t>NB</t>
        </is>
      </c>
      <c r="H878">
        <f>IF(A878&lt;=NWeeks,1,0)</f>
        <v/>
      </c>
      <c r="I878">
        <f>INDEX(ChLaunch,MATCH(E878,ChName,0))</f>
        <v/>
      </c>
      <c r="J878">
        <f>INDEX(ChWeeksFull,MATCH(E878,ChName,0))</f>
        <v/>
      </c>
      <c r="K878">
        <f>INDEX(ChRamp,MATCH(E878,ChName,0))</f>
        <v/>
      </c>
      <c r="L878" s="45">
        <f>MIN(1,MAX(0,(A878-I878+1)*RampSpeed/J878))</f>
        <v/>
      </c>
      <c r="M878" s="45">
        <f>IF(A878&lt;I878,0,IF(K878="S-curve",L878*L878*(3-2*L878),L878))</f>
        <v/>
      </c>
      <c r="N878" s="45">
        <f>1+(INDEX(SeasonIdx,A878)-1)*SeasonAmp</f>
        <v/>
      </c>
      <c r="O878" s="45">
        <f>IFERROR(INDEX(PSPct,MATCH(E878&amp;"|"&amp;G878,PSKey,0)),0)</f>
        <v/>
      </c>
      <c r="P878" s="46">
        <f>INDEX(ChDoorVel,MATCH(E878,ChName,0))*CalibScalar*(1+VelocityUplift)</f>
        <v/>
      </c>
      <c r="Q878" s="46" t="n">
        <v>0</v>
      </c>
      <c r="R878" s="46">
        <f>P878*O878*M878*N878*H878</f>
        <v/>
      </c>
      <c r="S878" s="46">
        <f>R878*INDEX(FmtCansPerCase,MATCH(F878,FmtName,0))</f>
        <v/>
      </c>
      <c r="T878" s="46">
        <f>S878/INDEX(FmtCansPerPack,MATCH(F878,FmtName,0))</f>
        <v/>
      </c>
      <c r="U878" s="47">
        <f>INDEX(ChBaseCP,MATCH(E878,ChName,0))*(1+INDEX(ProvMod,MATCH(G878,ProvCode,0)))*(1+PriceIndex)</f>
        <v/>
      </c>
      <c r="V878" s="47">
        <f>R878*U878*INDEX(FmtBlendedPriceIdx,MATCH(F878,FmtName,0))</f>
        <v/>
      </c>
      <c r="W878" s="47">
        <f>T878*INDEX(ProvSRP,MATCH(G878,ProvCode,0))*(1+PriceIndex)</f>
        <v/>
      </c>
      <c r="X878" s="47">
        <f>IF(GrossBasis="Wholesale",V878,W878)</f>
        <v/>
      </c>
      <c r="Y878" s="47">
        <f>R878*INDEX(FmtBlendedCogs,MATCH(F878,FmtName,0))</f>
        <v/>
      </c>
      <c r="Z878" s="47">
        <f>X878-Y878</f>
        <v/>
      </c>
    </row>
    <row r="879">
      <c r="A879" t="n">
        <v>30</v>
      </c>
      <c r="B879" s="44">
        <f>FiscalStart+(A879-1)*7</f>
        <v/>
      </c>
      <c r="C879">
        <f>TEXT(B879,"mmm yyyy")</f>
        <v/>
      </c>
      <c r="D879">
        <f>"Q"&amp;(INT((A879-1)/13)+1)</f>
        <v/>
      </c>
      <c r="E879" t="inlineStr">
        <is>
          <t>On Premise</t>
        </is>
      </c>
      <c r="F879">
        <f>IFERROR(INDEX(ChFormat,MATCH(E879,ChName,0)),"")</f>
        <v/>
      </c>
      <c r="G879" t="inlineStr">
        <is>
          <t>NB</t>
        </is>
      </c>
      <c r="H879">
        <f>IF(A879&lt;=NWeeks,1,0)</f>
        <v/>
      </c>
      <c r="I879">
        <f>INDEX(ChLaunch,MATCH(E879,ChName,0))</f>
        <v/>
      </c>
      <c r="J879">
        <f>INDEX(ChWeeksFull,MATCH(E879,ChName,0))</f>
        <v/>
      </c>
      <c r="K879">
        <f>INDEX(ChRamp,MATCH(E879,ChName,0))</f>
        <v/>
      </c>
      <c r="L879" s="45">
        <f>MIN(1,MAX(0,(A879-I879+1)*RampSpeed/J879))</f>
        <v/>
      </c>
      <c r="M879" s="45">
        <f>IF(A879&lt;I879,0,IF(K879="S-curve",L879*L879*(3-2*L879),L879))</f>
        <v/>
      </c>
      <c r="N879" s="45">
        <f>1+(INDEX(SeasonIdx,A879)-1)*SeasonAmp</f>
        <v/>
      </c>
      <c r="O879" s="45">
        <f>IFERROR(INDEX(PSPct,MATCH(E879&amp;"|"&amp;G879,PSKey,0)),0)</f>
        <v/>
      </c>
      <c r="P879" s="46">
        <f>INDEX(ChDoorVel,MATCH(E879,ChName,0))*CalibScalar*(1+VelocityUplift)</f>
        <v/>
      </c>
      <c r="Q879" s="46" t="n">
        <v>0</v>
      </c>
      <c r="R879" s="46">
        <f>P879*O879*M879*N879*H879</f>
        <v/>
      </c>
      <c r="S879" s="46">
        <f>R879*INDEX(FmtCansPerCase,MATCH(F879,FmtName,0))</f>
        <v/>
      </c>
      <c r="T879" s="46">
        <f>S879/INDEX(FmtCansPerPack,MATCH(F879,FmtName,0))</f>
        <v/>
      </c>
      <c r="U879" s="47">
        <f>INDEX(ChBaseCP,MATCH(E879,ChName,0))*(1+INDEX(ProvMod,MATCH(G879,ProvCode,0)))*(1+PriceIndex)</f>
        <v/>
      </c>
      <c r="V879" s="47">
        <f>R879*U879*INDEX(FmtBlendedPriceIdx,MATCH(F879,FmtName,0))</f>
        <v/>
      </c>
      <c r="W879" s="47">
        <f>T879*INDEX(ProvSRP,MATCH(G879,ProvCode,0))*(1+PriceIndex)</f>
        <v/>
      </c>
      <c r="X879" s="47">
        <f>IF(GrossBasis="Wholesale",V879,W879)</f>
        <v/>
      </c>
      <c r="Y879" s="47">
        <f>R879*INDEX(FmtBlendedCogs,MATCH(F879,FmtName,0))</f>
        <v/>
      </c>
      <c r="Z879" s="47">
        <f>X879-Y879</f>
        <v/>
      </c>
    </row>
    <row r="880">
      <c r="A880" t="n">
        <v>31</v>
      </c>
      <c r="B880" s="44">
        <f>FiscalStart+(A880-1)*7</f>
        <v/>
      </c>
      <c r="C880">
        <f>TEXT(B880,"mmm yyyy")</f>
        <v/>
      </c>
      <c r="D880">
        <f>"Q"&amp;(INT((A880-1)/13)+1)</f>
        <v/>
      </c>
      <c r="E880" t="inlineStr">
        <is>
          <t>On Premise</t>
        </is>
      </c>
      <c r="F880">
        <f>IFERROR(INDEX(ChFormat,MATCH(E880,ChName,0)),"")</f>
        <v/>
      </c>
      <c r="G880" t="inlineStr">
        <is>
          <t>NB</t>
        </is>
      </c>
      <c r="H880">
        <f>IF(A880&lt;=NWeeks,1,0)</f>
        <v/>
      </c>
      <c r="I880">
        <f>INDEX(ChLaunch,MATCH(E880,ChName,0))</f>
        <v/>
      </c>
      <c r="J880">
        <f>INDEX(ChWeeksFull,MATCH(E880,ChName,0))</f>
        <v/>
      </c>
      <c r="K880">
        <f>INDEX(ChRamp,MATCH(E880,ChName,0))</f>
        <v/>
      </c>
      <c r="L880" s="45">
        <f>MIN(1,MAX(0,(A880-I880+1)*RampSpeed/J880))</f>
        <v/>
      </c>
      <c r="M880" s="45">
        <f>IF(A880&lt;I880,0,IF(K880="S-curve",L880*L880*(3-2*L880),L880))</f>
        <v/>
      </c>
      <c r="N880" s="45">
        <f>1+(INDEX(SeasonIdx,A880)-1)*SeasonAmp</f>
        <v/>
      </c>
      <c r="O880" s="45">
        <f>IFERROR(INDEX(PSPct,MATCH(E880&amp;"|"&amp;G880,PSKey,0)),0)</f>
        <v/>
      </c>
      <c r="P880" s="46">
        <f>INDEX(ChDoorVel,MATCH(E880,ChName,0))*CalibScalar*(1+VelocityUplift)</f>
        <v/>
      </c>
      <c r="Q880" s="46" t="n">
        <v>0</v>
      </c>
      <c r="R880" s="46">
        <f>P880*O880*M880*N880*H880</f>
        <v/>
      </c>
      <c r="S880" s="46">
        <f>R880*INDEX(FmtCansPerCase,MATCH(F880,FmtName,0))</f>
        <v/>
      </c>
      <c r="T880" s="46">
        <f>S880/INDEX(FmtCansPerPack,MATCH(F880,FmtName,0))</f>
        <v/>
      </c>
      <c r="U880" s="47">
        <f>INDEX(ChBaseCP,MATCH(E880,ChName,0))*(1+INDEX(ProvMod,MATCH(G880,ProvCode,0)))*(1+PriceIndex)</f>
        <v/>
      </c>
      <c r="V880" s="47">
        <f>R880*U880*INDEX(FmtBlendedPriceIdx,MATCH(F880,FmtName,0))</f>
        <v/>
      </c>
      <c r="W880" s="47">
        <f>T880*INDEX(ProvSRP,MATCH(G880,ProvCode,0))*(1+PriceIndex)</f>
        <v/>
      </c>
      <c r="X880" s="47">
        <f>IF(GrossBasis="Wholesale",V880,W880)</f>
        <v/>
      </c>
      <c r="Y880" s="47">
        <f>R880*INDEX(FmtBlendedCogs,MATCH(F880,FmtName,0))</f>
        <v/>
      </c>
      <c r="Z880" s="47">
        <f>X880-Y880</f>
        <v/>
      </c>
    </row>
    <row r="881">
      <c r="A881" t="n">
        <v>32</v>
      </c>
      <c r="B881" s="44">
        <f>FiscalStart+(A881-1)*7</f>
        <v/>
      </c>
      <c r="C881">
        <f>TEXT(B881,"mmm yyyy")</f>
        <v/>
      </c>
      <c r="D881">
        <f>"Q"&amp;(INT((A881-1)/13)+1)</f>
        <v/>
      </c>
      <c r="E881" t="inlineStr">
        <is>
          <t>On Premise</t>
        </is>
      </c>
      <c r="F881">
        <f>IFERROR(INDEX(ChFormat,MATCH(E881,ChName,0)),"")</f>
        <v/>
      </c>
      <c r="G881" t="inlineStr">
        <is>
          <t>NB</t>
        </is>
      </c>
      <c r="H881">
        <f>IF(A881&lt;=NWeeks,1,0)</f>
        <v/>
      </c>
      <c r="I881">
        <f>INDEX(ChLaunch,MATCH(E881,ChName,0))</f>
        <v/>
      </c>
      <c r="J881">
        <f>INDEX(ChWeeksFull,MATCH(E881,ChName,0))</f>
        <v/>
      </c>
      <c r="K881">
        <f>INDEX(ChRamp,MATCH(E881,ChName,0))</f>
        <v/>
      </c>
      <c r="L881" s="45">
        <f>MIN(1,MAX(0,(A881-I881+1)*RampSpeed/J881))</f>
        <v/>
      </c>
      <c r="M881" s="45">
        <f>IF(A881&lt;I881,0,IF(K881="S-curve",L881*L881*(3-2*L881),L881))</f>
        <v/>
      </c>
      <c r="N881" s="45">
        <f>1+(INDEX(SeasonIdx,A881)-1)*SeasonAmp</f>
        <v/>
      </c>
      <c r="O881" s="45">
        <f>IFERROR(INDEX(PSPct,MATCH(E881&amp;"|"&amp;G881,PSKey,0)),0)</f>
        <v/>
      </c>
      <c r="P881" s="46">
        <f>INDEX(ChDoorVel,MATCH(E881,ChName,0))*CalibScalar*(1+VelocityUplift)</f>
        <v/>
      </c>
      <c r="Q881" s="46" t="n">
        <v>0</v>
      </c>
      <c r="R881" s="46">
        <f>P881*O881*M881*N881*H881</f>
        <v/>
      </c>
      <c r="S881" s="46">
        <f>R881*INDEX(FmtCansPerCase,MATCH(F881,FmtName,0))</f>
        <v/>
      </c>
      <c r="T881" s="46">
        <f>S881/INDEX(FmtCansPerPack,MATCH(F881,FmtName,0))</f>
        <v/>
      </c>
      <c r="U881" s="47">
        <f>INDEX(ChBaseCP,MATCH(E881,ChName,0))*(1+INDEX(ProvMod,MATCH(G881,ProvCode,0)))*(1+PriceIndex)</f>
        <v/>
      </c>
      <c r="V881" s="47">
        <f>R881*U881*INDEX(FmtBlendedPriceIdx,MATCH(F881,FmtName,0))</f>
        <v/>
      </c>
      <c r="W881" s="47">
        <f>T881*INDEX(ProvSRP,MATCH(G881,ProvCode,0))*(1+PriceIndex)</f>
        <v/>
      </c>
      <c r="X881" s="47">
        <f>IF(GrossBasis="Wholesale",V881,W881)</f>
        <v/>
      </c>
      <c r="Y881" s="47">
        <f>R881*INDEX(FmtBlendedCogs,MATCH(F881,FmtName,0))</f>
        <v/>
      </c>
      <c r="Z881" s="47">
        <f>X881-Y881</f>
        <v/>
      </c>
    </row>
    <row r="882">
      <c r="A882" t="n">
        <v>33</v>
      </c>
      <c r="B882" s="44">
        <f>FiscalStart+(A882-1)*7</f>
        <v/>
      </c>
      <c r="C882">
        <f>TEXT(B882,"mmm yyyy")</f>
        <v/>
      </c>
      <c r="D882">
        <f>"Q"&amp;(INT((A882-1)/13)+1)</f>
        <v/>
      </c>
      <c r="E882" t="inlineStr">
        <is>
          <t>On Premise</t>
        </is>
      </c>
      <c r="F882">
        <f>IFERROR(INDEX(ChFormat,MATCH(E882,ChName,0)),"")</f>
        <v/>
      </c>
      <c r="G882" t="inlineStr">
        <is>
          <t>NB</t>
        </is>
      </c>
      <c r="H882">
        <f>IF(A882&lt;=NWeeks,1,0)</f>
        <v/>
      </c>
      <c r="I882">
        <f>INDEX(ChLaunch,MATCH(E882,ChName,0))</f>
        <v/>
      </c>
      <c r="J882">
        <f>INDEX(ChWeeksFull,MATCH(E882,ChName,0))</f>
        <v/>
      </c>
      <c r="K882">
        <f>INDEX(ChRamp,MATCH(E882,ChName,0))</f>
        <v/>
      </c>
      <c r="L882" s="45">
        <f>MIN(1,MAX(0,(A882-I882+1)*RampSpeed/J882))</f>
        <v/>
      </c>
      <c r="M882" s="45">
        <f>IF(A882&lt;I882,0,IF(K882="S-curve",L882*L882*(3-2*L882),L882))</f>
        <v/>
      </c>
      <c r="N882" s="45">
        <f>1+(INDEX(SeasonIdx,A882)-1)*SeasonAmp</f>
        <v/>
      </c>
      <c r="O882" s="45">
        <f>IFERROR(INDEX(PSPct,MATCH(E882&amp;"|"&amp;G882,PSKey,0)),0)</f>
        <v/>
      </c>
      <c r="P882" s="46">
        <f>INDEX(ChDoorVel,MATCH(E882,ChName,0))*CalibScalar*(1+VelocityUplift)</f>
        <v/>
      </c>
      <c r="Q882" s="46" t="n">
        <v>0</v>
      </c>
      <c r="R882" s="46">
        <f>P882*O882*M882*N882*H882</f>
        <v/>
      </c>
      <c r="S882" s="46">
        <f>R882*INDEX(FmtCansPerCase,MATCH(F882,FmtName,0))</f>
        <v/>
      </c>
      <c r="T882" s="46">
        <f>S882/INDEX(FmtCansPerPack,MATCH(F882,FmtName,0))</f>
        <v/>
      </c>
      <c r="U882" s="47">
        <f>INDEX(ChBaseCP,MATCH(E882,ChName,0))*(1+INDEX(ProvMod,MATCH(G882,ProvCode,0)))*(1+PriceIndex)</f>
        <v/>
      </c>
      <c r="V882" s="47">
        <f>R882*U882*INDEX(FmtBlendedPriceIdx,MATCH(F882,FmtName,0))</f>
        <v/>
      </c>
      <c r="W882" s="47">
        <f>T882*INDEX(ProvSRP,MATCH(G882,ProvCode,0))*(1+PriceIndex)</f>
        <v/>
      </c>
      <c r="X882" s="47">
        <f>IF(GrossBasis="Wholesale",V882,W882)</f>
        <v/>
      </c>
      <c r="Y882" s="47">
        <f>R882*INDEX(FmtBlendedCogs,MATCH(F882,FmtName,0))</f>
        <v/>
      </c>
      <c r="Z882" s="47">
        <f>X882-Y882</f>
        <v/>
      </c>
    </row>
    <row r="883">
      <c r="A883" t="n">
        <v>34</v>
      </c>
      <c r="B883" s="44">
        <f>FiscalStart+(A883-1)*7</f>
        <v/>
      </c>
      <c r="C883">
        <f>TEXT(B883,"mmm yyyy")</f>
        <v/>
      </c>
      <c r="D883">
        <f>"Q"&amp;(INT((A883-1)/13)+1)</f>
        <v/>
      </c>
      <c r="E883" t="inlineStr">
        <is>
          <t>On Premise</t>
        </is>
      </c>
      <c r="F883">
        <f>IFERROR(INDEX(ChFormat,MATCH(E883,ChName,0)),"")</f>
        <v/>
      </c>
      <c r="G883" t="inlineStr">
        <is>
          <t>NB</t>
        </is>
      </c>
      <c r="H883">
        <f>IF(A883&lt;=NWeeks,1,0)</f>
        <v/>
      </c>
      <c r="I883">
        <f>INDEX(ChLaunch,MATCH(E883,ChName,0))</f>
        <v/>
      </c>
      <c r="J883">
        <f>INDEX(ChWeeksFull,MATCH(E883,ChName,0))</f>
        <v/>
      </c>
      <c r="K883">
        <f>INDEX(ChRamp,MATCH(E883,ChName,0))</f>
        <v/>
      </c>
      <c r="L883" s="45">
        <f>MIN(1,MAX(0,(A883-I883+1)*RampSpeed/J883))</f>
        <v/>
      </c>
      <c r="M883" s="45">
        <f>IF(A883&lt;I883,0,IF(K883="S-curve",L883*L883*(3-2*L883),L883))</f>
        <v/>
      </c>
      <c r="N883" s="45">
        <f>1+(INDEX(SeasonIdx,A883)-1)*SeasonAmp</f>
        <v/>
      </c>
      <c r="O883" s="45">
        <f>IFERROR(INDEX(PSPct,MATCH(E883&amp;"|"&amp;G883,PSKey,0)),0)</f>
        <v/>
      </c>
      <c r="P883" s="46">
        <f>INDEX(ChDoorVel,MATCH(E883,ChName,0))*CalibScalar*(1+VelocityUplift)</f>
        <v/>
      </c>
      <c r="Q883" s="46" t="n">
        <v>0</v>
      </c>
      <c r="R883" s="46">
        <f>P883*O883*M883*N883*H883</f>
        <v/>
      </c>
      <c r="S883" s="46">
        <f>R883*INDEX(FmtCansPerCase,MATCH(F883,FmtName,0))</f>
        <v/>
      </c>
      <c r="T883" s="46">
        <f>S883/INDEX(FmtCansPerPack,MATCH(F883,FmtName,0))</f>
        <v/>
      </c>
      <c r="U883" s="47">
        <f>INDEX(ChBaseCP,MATCH(E883,ChName,0))*(1+INDEX(ProvMod,MATCH(G883,ProvCode,0)))*(1+PriceIndex)</f>
        <v/>
      </c>
      <c r="V883" s="47">
        <f>R883*U883*INDEX(FmtBlendedPriceIdx,MATCH(F883,FmtName,0))</f>
        <v/>
      </c>
      <c r="W883" s="47">
        <f>T883*INDEX(ProvSRP,MATCH(G883,ProvCode,0))*(1+PriceIndex)</f>
        <v/>
      </c>
      <c r="X883" s="47">
        <f>IF(GrossBasis="Wholesale",V883,W883)</f>
        <v/>
      </c>
      <c r="Y883" s="47">
        <f>R883*INDEX(FmtBlendedCogs,MATCH(F883,FmtName,0))</f>
        <v/>
      </c>
      <c r="Z883" s="47">
        <f>X883-Y883</f>
        <v/>
      </c>
    </row>
    <row r="884">
      <c r="A884" t="n">
        <v>35</v>
      </c>
      <c r="B884" s="44">
        <f>FiscalStart+(A884-1)*7</f>
        <v/>
      </c>
      <c r="C884">
        <f>TEXT(B884,"mmm yyyy")</f>
        <v/>
      </c>
      <c r="D884">
        <f>"Q"&amp;(INT((A884-1)/13)+1)</f>
        <v/>
      </c>
      <c r="E884" t="inlineStr">
        <is>
          <t>On Premise</t>
        </is>
      </c>
      <c r="F884">
        <f>IFERROR(INDEX(ChFormat,MATCH(E884,ChName,0)),"")</f>
        <v/>
      </c>
      <c r="G884" t="inlineStr">
        <is>
          <t>NB</t>
        </is>
      </c>
      <c r="H884">
        <f>IF(A884&lt;=NWeeks,1,0)</f>
        <v/>
      </c>
      <c r="I884">
        <f>INDEX(ChLaunch,MATCH(E884,ChName,0))</f>
        <v/>
      </c>
      <c r="J884">
        <f>INDEX(ChWeeksFull,MATCH(E884,ChName,0))</f>
        <v/>
      </c>
      <c r="K884">
        <f>INDEX(ChRamp,MATCH(E884,ChName,0))</f>
        <v/>
      </c>
      <c r="L884" s="45">
        <f>MIN(1,MAX(0,(A884-I884+1)*RampSpeed/J884))</f>
        <v/>
      </c>
      <c r="M884" s="45">
        <f>IF(A884&lt;I884,0,IF(K884="S-curve",L884*L884*(3-2*L884),L884))</f>
        <v/>
      </c>
      <c r="N884" s="45">
        <f>1+(INDEX(SeasonIdx,A884)-1)*SeasonAmp</f>
        <v/>
      </c>
      <c r="O884" s="45">
        <f>IFERROR(INDEX(PSPct,MATCH(E884&amp;"|"&amp;G884,PSKey,0)),0)</f>
        <v/>
      </c>
      <c r="P884" s="46">
        <f>INDEX(ChDoorVel,MATCH(E884,ChName,0))*CalibScalar*(1+VelocityUplift)</f>
        <v/>
      </c>
      <c r="Q884" s="46" t="n">
        <v>0</v>
      </c>
      <c r="R884" s="46">
        <f>P884*O884*M884*N884*H884</f>
        <v/>
      </c>
      <c r="S884" s="46">
        <f>R884*INDEX(FmtCansPerCase,MATCH(F884,FmtName,0))</f>
        <v/>
      </c>
      <c r="T884" s="46">
        <f>S884/INDEX(FmtCansPerPack,MATCH(F884,FmtName,0))</f>
        <v/>
      </c>
      <c r="U884" s="47">
        <f>INDEX(ChBaseCP,MATCH(E884,ChName,0))*(1+INDEX(ProvMod,MATCH(G884,ProvCode,0)))*(1+PriceIndex)</f>
        <v/>
      </c>
      <c r="V884" s="47">
        <f>R884*U884*INDEX(FmtBlendedPriceIdx,MATCH(F884,FmtName,0))</f>
        <v/>
      </c>
      <c r="W884" s="47">
        <f>T884*INDEX(ProvSRP,MATCH(G884,ProvCode,0))*(1+PriceIndex)</f>
        <v/>
      </c>
      <c r="X884" s="47">
        <f>IF(GrossBasis="Wholesale",V884,W884)</f>
        <v/>
      </c>
      <c r="Y884" s="47">
        <f>R884*INDEX(FmtBlendedCogs,MATCH(F884,FmtName,0))</f>
        <v/>
      </c>
      <c r="Z884" s="47">
        <f>X884-Y884</f>
        <v/>
      </c>
    </row>
    <row r="885">
      <c r="A885" t="n">
        <v>36</v>
      </c>
      <c r="B885" s="44">
        <f>FiscalStart+(A885-1)*7</f>
        <v/>
      </c>
      <c r="C885">
        <f>TEXT(B885,"mmm yyyy")</f>
        <v/>
      </c>
      <c r="D885">
        <f>"Q"&amp;(INT((A885-1)/13)+1)</f>
        <v/>
      </c>
      <c r="E885" t="inlineStr">
        <is>
          <t>On Premise</t>
        </is>
      </c>
      <c r="F885">
        <f>IFERROR(INDEX(ChFormat,MATCH(E885,ChName,0)),"")</f>
        <v/>
      </c>
      <c r="G885" t="inlineStr">
        <is>
          <t>NB</t>
        </is>
      </c>
      <c r="H885">
        <f>IF(A885&lt;=NWeeks,1,0)</f>
        <v/>
      </c>
      <c r="I885">
        <f>INDEX(ChLaunch,MATCH(E885,ChName,0))</f>
        <v/>
      </c>
      <c r="J885">
        <f>INDEX(ChWeeksFull,MATCH(E885,ChName,0))</f>
        <v/>
      </c>
      <c r="K885">
        <f>INDEX(ChRamp,MATCH(E885,ChName,0))</f>
        <v/>
      </c>
      <c r="L885" s="45">
        <f>MIN(1,MAX(0,(A885-I885+1)*RampSpeed/J885))</f>
        <v/>
      </c>
      <c r="M885" s="45">
        <f>IF(A885&lt;I885,0,IF(K885="S-curve",L885*L885*(3-2*L885),L885))</f>
        <v/>
      </c>
      <c r="N885" s="45">
        <f>1+(INDEX(SeasonIdx,A885)-1)*SeasonAmp</f>
        <v/>
      </c>
      <c r="O885" s="45">
        <f>IFERROR(INDEX(PSPct,MATCH(E885&amp;"|"&amp;G885,PSKey,0)),0)</f>
        <v/>
      </c>
      <c r="P885" s="46">
        <f>INDEX(ChDoorVel,MATCH(E885,ChName,0))*CalibScalar*(1+VelocityUplift)</f>
        <v/>
      </c>
      <c r="Q885" s="46" t="n">
        <v>0</v>
      </c>
      <c r="R885" s="46">
        <f>P885*O885*M885*N885*H885</f>
        <v/>
      </c>
      <c r="S885" s="46">
        <f>R885*INDEX(FmtCansPerCase,MATCH(F885,FmtName,0))</f>
        <v/>
      </c>
      <c r="T885" s="46">
        <f>S885/INDEX(FmtCansPerPack,MATCH(F885,FmtName,0))</f>
        <v/>
      </c>
      <c r="U885" s="47">
        <f>INDEX(ChBaseCP,MATCH(E885,ChName,0))*(1+INDEX(ProvMod,MATCH(G885,ProvCode,0)))*(1+PriceIndex)</f>
        <v/>
      </c>
      <c r="V885" s="47">
        <f>R885*U885*INDEX(FmtBlendedPriceIdx,MATCH(F885,FmtName,0))</f>
        <v/>
      </c>
      <c r="W885" s="47">
        <f>T885*INDEX(ProvSRP,MATCH(G885,ProvCode,0))*(1+PriceIndex)</f>
        <v/>
      </c>
      <c r="X885" s="47">
        <f>IF(GrossBasis="Wholesale",V885,W885)</f>
        <v/>
      </c>
      <c r="Y885" s="47">
        <f>R885*INDEX(FmtBlendedCogs,MATCH(F885,FmtName,0))</f>
        <v/>
      </c>
      <c r="Z885" s="47">
        <f>X885-Y885</f>
        <v/>
      </c>
    </row>
    <row r="886">
      <c r="A886" t="n">
        <v>37</v>
      </c>
      <c r="B886" s="44">
        <f>FiscalStart+(A886-1)*7</f>
        <v/>
      </c>
      <c r="C886">
        <f>TEXT(B886,"mmm yyyy")</f>
        <v/>
      </c>
      <c r="D886">
        <f>"Q"&amp;(INT((A886-1)/13)+1)</f>
        <v/>
      </c>
      <c r="E886" t="inlineStr">
        <is>
          <t>On Premise</t>
        </is>
      </c>
      <c r="F886">
        <f>IFERROR(INDEX(ChFormat,MATCH(E886,ChName,0)),"")</f>
        <v/>
      </c>
      <c r="G886" t="inlineStr">
        <is>
          <t>NB</t>
        </is>
      </c>
      <c r="H886">
        <f>IF(A886&lt;=NWeeks,1,0)</f>
        <v/>
      </c>
      <c r="I886">
        <f>INDEX(ChLaunch,MATCH(E886,ChName,0))</f>
        <v/>
      </c>
      <c r="J886">
        <f>INDEX(ChWeeksFull,MATCH(E886,ChName,0))</f>
        <v/>
      </c>
      <c r="K886">
        <f>INDEX(ChRamp,MATCH(E886,ChName,0))</f>
        <v/>
      </c>
      <c r="L886" s="45">
        <f>MIN(1,MAX(0,(A886-I886+1)*RampSpeed/J886))</f>
        <v/>
      </c>
      <c r="M886" s="45">
        <f>IF(A886&lt;I886,0,IF(K886="S-curve",L886*L886*(3-2*L886),L886))</f>
        <v/>
      </c>
      <c r="N886" s="45">
        <f>1+(INDEX(SeasonIdx,A886)-1)*SeasonAmp</f>
        <v/>
      </c>
      <c r="O886" s="45">
        <f>IFERROR(INDEX(PSPct,MATCH(E886&amp;"|"&amp;G886,PSKey,0)),0)</f>
        <v/>
      </c>
      <c r="P886" s="46">
        <f>INDEX(ChDoorVel,MATCH(E886,ChName,0))*CalibScalar*(1+VelocityUplift)</f>
        <v/>
      </c>
      <c r="Q886" s="46" t="n">
        <v>0</v>
      </c>
      <c r="R886" s="46">
        <f>P886*O886*M886*N886*H886</f>
        <v/>
      </c>
      <c r="S886" s="46">
        <f>R886*INDEX(FmtCansPerCase,MATCH(F886,FmtName,0))</f>
        <v/>
      </c>
      <c r="T886" s="46">
        <f>S886/INDEX(FmtCansPerPack,MATCH(F886,FmtName,0))</f>
        <v/>
      </c>
      <c r="U886" s="47">
        <f>INDEX(ChBaseCP,MATCH(E886,ChName,0))*(1+INDEX(ProvMod,MATCH(G886,ProvCode,0)))*(1+PriceIndex)</f>
        <v/>
      </c>
      <c r="V886" s="47">
        <f>R886*U886*INDEX(FmtBlendedPriceIdx,MATCH(F886,FmtName,0))</f>
        <v/>
      </c>
      <c r="W886" s="47">
        <f>T886*INDEX(ProvSRP,MATCH(G886,ProvCode,0))*(1+PriceIndex)</f>
        <v/>
      </c>
      <c r="X886" s="47">
        <f>IF(GrossBasis="Wholesale",V886,W886)</f>
        <v/>
      </c>
      <c r="Y886" s="47">
        <f>R886*INDEX(FmtBlendedCogs,MATCH(F886,FmtName,0))</f>
        <v/>
      </c>
      <c r="Z886" s="47">
        <f>X886-Y886</f>
        <v/>
      </c>
    </row>
    <row r="887">
      <c r="A887" t="n">
        <v>38</v>
      </c>
      <c r="B887" s="44">
        <f>FiscalStart+(A887-1)*7</f>
        <v/>
      </c>
      <c r="C887">
        <f>TEXT(B887,"mmm yyyy")</f>
        <v/>
      </c>
      <c r="D887">
        <f>"Q"&amp;(INT((A887-1)/13)+1)</f>
        <v/>
      </c>
      <c r="E887" t="inlineStr">
        <is>
          <t>On Premise</t>
        </is>
      </c>
      <c r="F887">
        <f>IFERROR(INDEX(ChFormat,MATCH(E887,ChName,0)),"")</f>
        <v/>
      </c>
      <c r="G887" t="inlineStr">
        <is>
          <t>NB</t>
        </is>
      </c>
      <c r="H887">
        <f>IF(A887&lt;=NWeeks,1,0)</f>
        <v/>
      </c>
      <c r="I887">
        <f>INDEX(ChLaunch,MATCH(E887,ChName,0))</f>
        <v/>
      </c>
      <c r="J887">
        <f>INDEX(ChWeeksFull,MATCH(E887,ChName,0))</f>
        <v/>
      </c>
      <c r="K887">
        <f>INDEX(ChRamp,MATCH(E887,ChName,0))</f>
        <v/>
      </c>
      <c r="L887" s="45">
        <f>MIN(1,MAX(0,(A887-I887+1)*RampSpeed/J887))</f>
        <v/>
      </c>
      <c r="M887" s="45">
        <f>IF(A887&lt;I887,0,IF(K887="S-curve",L887*L887*(3-2*L887),L887))</f>
        <v/>
      </c>
      <c r="N887" s="45">
        <f>1+(INDEX(SeasonIdx,A887)-1)*SeasonAmp</f>
        <v/>
      </c>
      <c r="O887" s="45">
        <f>IFERROR(INDEX(PSPct,MATCH(E887&amp;"|"&amp;G887,PSKey,0)),0)</f>
        <v/>
      </c>
      <c r="P887" s="46">
        <f>INDEX(ChDoorVel,MATCH(E887,ChName,0))*CalibScalar*(1+VelocityUplift)</f>
        <v/>
      </c>
      <c r="Q887" s="46" t="n">
        <v>0</v>
      </c>
      <c r="R887" s="46">
        <f>P887*O887*M887*N887*H887</f>
        <v/>
      </c>
      <c r="S887" s="46">
        <f>R887*INDEX(FmtCansPerCase,MATCH(F887,FmtName,0))</f>
        <v/>
      </c>
      <c r="T887" s="46">
        <f>S887/INDEX(FmtCansPerPack,MATCH(F887,FmtName,0))</f>
        <v/>
      </c>
      <c r="U887" s="47">
        <f>INDEX(ChBaseCP,MATCH(E887,ChName,0))*(1+INDEX(ProvMod,MATCH(G887,ProvCode,0)))*(1+PriceIndex)</f>
        <v/>
      </c>
      <c r="V887" s="47">
        <f>R887*U887*INDEX(FmtBlendedPriceIdx,MATCH(F887,FmtName,0))</f>
        <v/>
      </c>
      <c r="W887" s="47">
        <f>T887*INDEX(ProvSRP,MATCH(G887,ProvCode,0))*(1+PriceIndex)</f>
        <v/>
      </c>
      <c r="X887" s="47">
        <f>IF(GrossBasis="Wholesale",V887,W887)</f>
        <v/>
      </c>
      <c r="Y887" s="47">
        <f>R887*INDEX(FmtBlendedCogs,MATCH(F887,FmtName,0))</f>
        <v/>
      </c>
      <c r="Z887" s="47">
        <f>X887-Y887</f>
        <v/>
      </c>
    </row>
    <row r="888">
      <c r="A888" t="n">
        <v>39</v>
      </c>
      <c r="B888" s="44">
        <f>FiscalStart+(A888-1)*7</f>
        <v/>
      </c>
      <c r="C888">
        <f>TEXT(B888,"mmm yyyy")</f>
        <v/>
      </c>
      <c r="D888">
        <f>"Q"&amp;(INT((A888-1)/13)+1)</f>
        <v/>
      </c>
      <c r="E888" t="inlineStr">
        <is>
          <t>On Premise</t>
        </is>
      </c>
      <c r="F888">
        <f>IFERROR(INDEX(ChFormat,MATCH(E888,ChName,0)),"")</f>
        <v/>
      </c>
      <c r="G888" t="inlineStr">
        <is>
          <t>NB</t>
        </is>
      </c>
      <c r="H888">
        <f>IF(A888&lt;=NWeeks,1,0)</f>
        <v/>
      </c>
      <c r="I888">
        <f>INDEX(ChLaunch,MATCH(E888,ChName,0))</f>
        <v/>
      </c>
      <c r="J888">
        <f>INDEX(ChWeeksFull,MATCH(E888,ChName,0))</f>
        <v/>
      </c>
      <c r="K888">
        <f>INDEX(ChRamp,MATCH(E888,ChName,0))</f>
        <v/>
      </c>
      <c r="L888" s="45">
        <f>MIN(1,MAX(0,(A888-I888+1)*RampSpeed/J888))</f>
        <v/>
      </c>
      <c r="M888" s="45">
        <f>IF(A888&lt;I888,0,IF(K888="S-curve",L888*L888*(3-2*L888),L888))</f>
        <v/>
      </c>
      <c r="N888" s="45">
        <f>1+(INDEX(SeasonIdx,A888)-1)*SeasonAmp</f>
        <v/>
      </c>
      <c r="O888" s="45">
        <f>IFERROR(INDEX(PSPct,MATCH(E888&amp;"|"&amp;G888,PSKey,0)),0)</f>
        <v/>
      </c>
      <c r="P888" s="46">
        <f>INDEX(ChDoorVel,MATCH(E888,ChName,0))*CalibScalar*(1+VelocityUplift)</f>
        <v/>
      </c>
      <c r="Q888" s="46" t="n">
        <v>0</v>
      </c>
      <c r="R888" s="46">
        <f>P888*O888*M888*N888*H888</f>
        <v/>
      </c>
      <c r="S888" s="46">
        <f>R888*INDEX(FmtCansPerCase,MATCH(F888,FmtName,0))</f>
        <v/>
      </c>
      <c r="T888" s="46">
        <f>S888/INDEX(FmtCansPerPack,MATCH(F888,FmtName,0))</f>
        <v/>
      </c>
      <c r="U888" s="47">
        <f>INDEX(ChBaseCP,MATCH(E888,ChName,0))*(1+INDEX(ProvMod,MATCH(G888,ProvCode,0)))*(1+PriceIndex)</f>
        <v/>
      </c>
      <c r="V888" s="47">
        <f>R888*U888*INDEX(FmtBlendedPriceIdx,MATCH(F888,FmtName,0))</f>
        <v/>
      </c>
      <c r="W888" s="47">
        <f>T888*INDEX(ProvSRP,MATCH(G888,ProvCode,0))*(1+PriceIndex)</f>
        <v/>
      </c>
      <c r="X888" s="47">
        <f>IF(GrossBasis="Wholesale",V888,W888)</f>
        <v/>
      </c>
      <c r="Y888" s="47">
        <f>R888*INDEX(FmtBlendedCogs,MATCH(F888,FmtName,0))</f>
        <v/>
      </c>
      <c r="Z888" s="47">
        <f>X888-Y888</f>
        <v/>
      </c>
    </row>
    <row r="889">
      <c r="A889" t="n">
        <v>40</v>
      </c>
      <c r="B889" s="44">
        <f>FiscalStart+(A889-1)*7</f>
        <v/>
      </c>
      <c r="C889">
        <f>TEXT(B889,"mmm yyyy")</f>
        <v/>
      </c>
      <c r="D889">
        <f>"Q"&amp;(INT((A889-1)/13)+1)</f>
        <v/>
      </c>
      <c r="E889" t="inlineStr">
        <is>
          <t>On Premise</t>
        </is>
      </c>
      <c r="F889">
        <f>IFERROR(INDEX(ChFormat,MATCH(E889,ChName,0)),"")</f>
        <v/>
      </c>
      <c r="G889" t="inlineStr">
        <is>
          <t>NB</t>
        </is>
      </c>
      <c r="H889">
        <f>IF(A889&lt;=NWeeks,1,0)</f>
        <v/>
      </c>
      <c r="I889">
        <f>INDEX(ChLaunch,MATCH(E889,ChName,0))</f>
        <v/>
      </c>
      <c r="J889">
        <f>INDEX(ChWeeksFull,MATCH(E889,ChName,0))</f>
        <v/>
      </c>
      <c r="K889">
        <f>INDEX(ChRamp,MATCH(E889,ChName,0))</f>
        <v/>
      </c>
      <c r="L889" s="45">
        <f>MIN(1,MAX(0,(A889-I889+1)*RampSpeed/J889))</f>
        <v/>
      </c>
      <c r="M889" s="45">
        <f>IF(A889&lt;I889,0,IF(K889="S-curve",L889*L889*(3-2*L889),L889))</f>
        <v/>
      </c>
      <c r="N889" s="45">
        <f>1+(INDEX(SeasonIdx,A889)-1)*SeasonAmp</f>
        <v/>
      </c>
      <c r="O889" s="45">
        <f>IFERROR(INDEX(PSPct,MATCH(E889&amp;"|"&amp;G889,PSKey,0)),0)</f>
        <v/>
      </c>
      <c r="P889" s="46">
        <f>INDEX(ChDoorVel,MATCH(E889,ChName,0))*CalibScalar*(1+VelocityUplift)</f>
        <v/>
      </c>
      <c r="Q889" s="46" t="n">
        <v>0</v>
      </c>
      <c r="R889" s="46">
        <f>P889*O889*M889*N889*H889</f>
        <v/>
      </c>
      <c r="S889" s="46">
        <f>R889*INDEX(FmtCansPerCase,MATCH(F889,FmtName,0))</f>
        <v/>
      </c>
      <c r="T889" s="46">
        <f>S889/INDEX(FmtCansPerPack,MATCH(F889,FmtName,0))</f>
        <v/>
      </c>
      <c r="U889" s="47">
        <f>INDEX(ChBaseCP,MATCH(E889,ChName,0))*(1+INDEX(ProvMod,MATCH(G889,ProvCode,0)))*(1+PriceIndex)</f>
        <v/>
      </c>
      <c r="V889" s="47">
        <f>R889*U889*INDEX(FmtBlendedPriceIdx,MATCH(F889,FmtName,0))</f>
        <v/>
      </c>
      <c r="W889" s="47">
        <f>T889*INDEX(ProvSRP,MATCH(G889,ProvCode,0))*(1+PriceIndex)</f>
        <v/>
      </c>
      <c r="X889" s="47">
        <f>IF(GrossBasis="Wholesale",V889,W889)</f>
        <v/>
      </c>
      <c r="Y889" s="47">
        <f>R889*INDEX(FmtBlendedCogs,MATCH(F889,FmtName,0))</f>
        <v/>
      </c>
      <c r="Z889" s="47">
        <f>X889-Y889</f>
        <v/>
      </c>
    </row>
    <row r="890">
      <c r="A890" t="n">
        <v>41</v>
      </c>
      <c r="B890" s="44">
        <f>FiscalStart+(A890-1)*7</f>
        <v/>
      </c>
      <c r="C890">
        <f>TEXT(B890,"mmm yyyy")</f>
        <v/>
      </c>
      <c r="D890">
        <f>"Q"&amp;(INT((A890-1)/13)+1)</f>
        <v/>
      </c>
      <c r="E890" t="inlineStr">
        <is>
          <t>On Premise</t>
        </is>
      </c>
      <c r="F890">
        <f>IFERROR(INDEX(ChFormat,MATCH(E890,ChName,0)),"")</f>
        <v/>
      </c>
      <c r="G890" t="inlineStr">
        <is>
          <t>NB</t>
        </is>
      </c>
      <c r="H890">
        <f>IF(A890&lt;=NWeeks,1,0)</f>
        <v/>
      </c>
      <c r="I890">
        <f>INDEX(ChLaunch,MATCH(E890,ChName,0))</f>
        <v/>
      </c>
      <c r="J890">
        <f>INDEX(ChWeeksFull,MATCH(E890,ChName,0))</f>
        <v/>
      </c>
      <c r="K890">
        <f>INDEX(ChRamp,MATCH(E890,ChName,0))</f>
        <v/>
      </c>
      <c r="L890" s="45">
        <f>MIN(1,MAX(0,(A890-I890+1)*RampSpeed/J890))</f>
        <v/>
      </c>
      <c r="M890" s="45">
        <f>IF(A890&lt;I890,0,IF(K890="S-curve",L890*L890*(3-2*L890),L890))</f>
        <v/>
      </c>
      <c r="N890" s="45">
        <f>1+(INDEX(SeasonIdx,A890)-1)*SeasonAmp</f>
        <v/>
      </c>
      <c r="O890" s="45">
        <f>IFERROR(INDEX(PSPct,MATCH(E890&amp;"|"&amp;G890,PSKey,0)),0)</f>
        <v/>
      </c>
      <c r="P890" s="46">
        <f>INDEX(ChDoorVel,MATCH(E890,ChName,0))*CalibScalar*(1+VelocityUplift)</f>
        <v/>
      </c>
      <c r="Q890" s="46" t="n">
        <v>0</v>
      </c>
      <c r="R890" s="46">
        <f>P890*O890*M890*N890*H890</f>
        <v/>
      </c>
      <c r="S890" s="46">
        <f>R890*INDEX(FmtCansPerCase,MATCH(F890,FmtName,0))</f>
        <v/>
      </c>
      <c r="T890" s="46">
        <f>S890/INDEX(FmtCansPerPack,MATCH(F890,FmtName,0))</f>
        <v/>
      </c>
      <c r="U890" s="47">
        <f>INDEX(ChBaseCP,MATCH(E890,ChName,0))*(1+INDEX(ProvMod,MATCH(G890,ProvCode,0)))*(1+PriceIndex)</f>
        <v/>
      </c>
      <c r="V890" s="47">
        <f>R890*U890*INDEX(FmtBlendedPriceIdx,MATCH(F890,FmtName,0))</f>
        <v/>
      </c>
      <c r="W890" s="47">
        <f>T890*INDEX(ProvSRP,MATCH(G890,ProvCode,0))*(1+PriceIndex)</f>
        <v/>
      </c>
      <c r="X890" s="47">
        <f>IF(GrossBasis="Wholesale",V890,W890)</f>
        <v/>
      </c>
      <c r="Y890" s="47">
        <f>R890*INDEX(FmtBlendedCogs,MATCH(F890,FmtName,0))</f>
        <v/>
      </c>
      <c r="Z890" s="47">
        <f>X890-Y890</f>
        <v/>
      </c>
    </row>
    <row r="891">
      <c r="A891" t="n">
        <v>42</v>
      </c>
      <c r="B891" s="44">
        <f>FiscalStart+(A891-1)*7</f>
        <v/>
      </c>
      <c r="C891">
        <f>TEXT(B891,"mmm yyyy")</f>
        <v/>
      </c>
      <c r="D891">
        <f>"Q"&amp;(INT((A891-1)/13)+1)</f>
        <v/>
      </c>
      <c r="E891" t="inlineStr">
        <is>
          <t>On Premise</t>
        </is>
      </c>
      <c r="F891">
        <f>IFERROR(INDEX(ChFormat,MATCH(E891,ChName,0)),"")</f>
        <v/>
      </c>
      <c r="G891" t="inlineStr">
        <is>
          <t>NB</t>
        </is>
      </c>
      <c r="H891">
        <f>IF(A891&lt;=NWeeks,1,0)</f>
        <v/>
      </c>
      <c r="I891">
        <f>INDEX(ChLaunch,MATCH(E891,ChName,0))</f>
        <v/>
      </c>
      <c r="J891">
        <f>INDEX(ChWeeksFull,MATCH(E891,ChName,0))</f>
        <v/>
      </c>
      <c r="K891">
        <f>INDEX(ChRamp,MATCH(E891,ChName,0))</f>
        <v/>
      </c>
      <c r="L891" s="45">
        <f>MIN(1,MAX(0,(A891-I891+1)*RampSpeed/J891))</f>
        <v/>
      </c>
      <c r="M891" s="45">
        <f>IF(A891&lt;I891,0,IF(K891="S-curve",L891*L891*(3-2*L891),L891))</f>
        <v/>
      </c>
      <c r="N891" s="45">
        <f>1+(INDEX(SeasonIdx,A891)-1)*SeasonAmp</f>
        <v/>
      </c>
      <c r="O891" s="45">
        <f>IFERROR(INDEX(PSPct,MATCH(E891&amp;"|"&amp;G891,PSKey,0)),0)</f>
        <v/>
      </c>
      <c r="P891" s="46">
        <f>INDEX(ChDoorVel,MATCH(E891,ChName,0))*CalibScalar*(1+VelocityUplift)</f>
        <v/>
      </c>
      <c r="Q891" s="46" t="n">
        <v>0</v>
      </c>
      <c r="R891" s="46">
        <f>P891*O891*M891*N891*H891</f>
        <v/>
      </c>
      <c r="S891" s="46">
        <f>R891*INDEX(FmtCansPerCase,MATCH(F891,FmtName,0))</f>
        <v/>
      </c>
      <c r="T891" s="46">
        <f>S891/INDEX(FmtCansPerPack,MATCH(F891,FmtName,0))</f>
        <v/>
      </c>
      <c r="U891" s="47">
        <f>INDEX(ChBaseCP,MATCH(E891,ChName,0))*(1+INDEX(ProvMod,MATCH(G891,ProvCode,0)))*(1+PriceIndex)</f>
        <v/>
      </c>
      <c r="V891" s="47">
        <f>R891*U891*INDEX(FmtBlendedPriceIdx,MATCH(F891,FmtName,0))</f>
        <v/>
      </c>
      <c r="W891" s="47">
        <f>T891*INDEX(ProvSRP,MATCH(G891,ProvCode,0))*(1+PriceIndex)</f>
        <v/>
      </c>
      <c r="X891" s="47">
        <f>IF(GrossBasis="Wholesale",V891,W891)</f>
        <v/>
      </c>
      <c r="Y891" s="47">
        <f>R891*INDEX(FmtBlendedCogs,MATCH(F891,FmtName,0))</f>
        <v/>
      </c>
      <c r="Z891" s="47">
        <f>X891-Y891</f>
        <v/>
      </c>
    </row>
    <row r="892">
      <c r="A892" t="n">
        <v>43</v>
      </c>
      <c r="B892" s="44">
        <f>FiscalStart+(A892-1)*7</f>
        <v/>
      </c>
      <c r="C892">
        <f>TEXT(B892,"mmm yyyy")</f>
        <v/>
      </c>
      <c r="D892">
        <f>"Q"&amp;(INT((A892-1)/13)+1)</f>
        <v/>
      </c>
      <c r="E892" t="inlineStr">
        <is>
          <t>On Premise</t>
        </is>
      </c>
      <c r="F892">
        <f>IFERROR(INDEX(ChFormat,MATCH(E892,ChName,0)),"")</f>
        <v/>
      </c>
      <c r="G892" t="inlineStr">
        <is>
          <t>NB</t>
        </is>
      </c>
      <c r="H892">
        <f>IF(A892&lt;=NWeeks,1,0)</f>
        <v/>
      </c>
      <c r="I892">
        <f>INDEX(ChLaunch,MATCH(E892,ChName,0))</f>
        <v/>
      </c>
      <c r="J892">
        <f>INDEX(ChWeeksFull,MATCH(E892,ChName,0))</f>
        <v/>
      </c>
      <c r="K892">
        <f>INDEX(ChRamp,MATCH(E892,ChName,0))</f>
        <v/>
      </c>
      <c r="L892" s="45">
        <f>MIN(1,MAX(0,(A892-I892+1)*RampSpeed/J892))</f>
        <v/>
      </c>
      <c r="M892" s="45">
        <f>IF(A892&lt;I892,0,IF(K892="S-curve",L892*L892*(3-2*L892),L892))</f>
        <v/>
      </c>
      <c r="N892" s="45">
        <f>1+(INDEX(SeasonIdx,A892)-1)*SeasonAmp</f>
        <v/>
      </c>
      <c r="O892" s="45">
        <f>IFERROR(INDEX(PSPct,MATCH(E892&amp;"|"&amp;G892,PSKey,0)),0)</f>
        <v/>
      </c>
      <c r="P892" s="46">
        <f>INDEX(ChDoorVel,MATCH(E892,ChName,0))*CalibScalar*(1+VelocityUplift)</f>
        <v/>
      </c>
      <c r="Q892" s="46" t="n">
        <v>0</v>
      </c>
      <c r="R892" s="46">
        <f>P892*O892*M892*N892*H892</f>
        <v/>
      </c>
      <c r="S892" s="46">
        <f>R892*INDEX(FmtCansPerCase,MATCH(F892,FmtName,0))</f>
        <v/>
      </c>
      <c r="T892" s="46">
        <f>S892/INDEX(FmtCansPerPack,MATCH(F892,FmtName,0))</f>
        <v/>
      </c>
      <c r="U892" s="47">
        <f>INDEX(ChBaseCP,MATCH(E892,ChName,0))*(1+INDEX(ProvMod,MATCH(G892,ProvCode,0)))*(1+PriceIndex)</f>
        <v/>
      </c>
      <c r="V892" s="47">
        <f>R892*U892*INDEX(FmtBlendedPriceIdx,MATCH(F892,FmtName,0))</f>
        <v/>
      </c>
      <c r="W892" s="47">
        <f>T892*INDEX(ProvSRP,MATCH(G892,ProvCode,0))*(1+PriceIndex)</f>
        <v/>
      </c>
      <c r="X892" s="47">
        <f>IF(GrossBasis="Wholesale",V892,W892)</f>
        <v/>
      </c>
      <c r="Y892" s="47">
        <f>R892*INDEX(FmtBlendedCogs,MATCH(F892,FmtName,0))</f>
        <v/>
      </c>
      <c r="Z892" s="47">
        <f>X892-Y892</f>
        <v/>
      </c>
    </row>
    <row r="893">
      <c r="A893" t="n">
        <v>44</v>
      </c>
      <c r="B893" s="44">
        <f>FiscalStart+(A893-1)*7</f>
        <v/>
      </c>
      <c r="C893">
        <f>TEXT(B893,"mmm yyyy")</f>
        <v/>
      </c>
      <c r="D893">
        <f>"Q"&amp;(INT((A893-1)/13)+1)</f>
        <v/>
      </c>
      <c r="E893" t="inlineStr">
        <is>
          <t>On Premise</t>
        </is>
      </c>
      <c r="F893">
        <f>IFERROR(INDEX(ChFormat,MATCH(E893,ChName,0)),"")</f>
        <v/>
      </c>
      <c r="G893" t="inlineStr">
        <is>
          <t>NB</t>
        </is>
      </c>
      <c r="H893">
        <f>IF(A893&lt;=NWeeks,1,0)</f>
        <v/>
      </c>
      <c r="I893">
        <f>INDEX(ChLaunch,MATCH(E893,ChName,0))</f>
        <v/>
      </c>
      <c r="J893">
        <f>INDEX(ChWeeksFull,MATCH(E893,ChName,0))</f>
        <v/>
      </c>
      <c r="K893">
        <f>INDEX(ChRamp,MATCH(E893,ChName,0))</f>
        <v/>
      </c>
      <c r="L893" s="45">
        <f>MIN(1,MAX(0,(A893-I893+1)*RampSpeed/J893))</f>
        <v/>
      </c>
      <c r="M893" s="45">
        <f>IF(A893&lt;I893,0,IF(K893="S-curve",L893*L893*(3-2*L893),L893))</f>
        <v/>
      </c>
      <c r="N893" s="45">
        <f>1+(INDEX(SeasonIdx,A893)-1)*SeasonAmp</f>
        <v/>
      </c>
      <c r="O893" s="45">
        <f>IFERROR(INDEX(PSPct,MATCH(E893&amp;"|"&amp;G893,PSKey,0)),0)</f>
        <v/>
      </c>
      <c r="P893" s="46">
        <f>INDEX(ChDoorVel,MATCH(E893,ChName,0))*CalibScalar*(1+VelocityUplift)</f>
        <v/>
      </c>
      <c r="Q893" s="46" t="n">
        <v>0</v>
      </c>
      <c r="R893" s="46">
        <f>P893*O893*M893*N893*H893</f>
        <v/>
      </c>
      <c r="S893" s="46">
        <f>R893*INDEX(FmtCansPerCase,MATCH(F893,FmtName,0))</f>
        <v/>
      </c>
      <c r="T893" s="46">
        <f>S893/INDEX(FmtCansPerPack,MATCH(F893,FmtName,0))</f>
        <v/>
      </c>
      <c r="U893" s="47">
        <f>INDEX(ChBaseCP,MATCH(E893,ChName,0))*(1+INDEX(ProvMod,MATCH(G893,ProvCode,0)))*(1+PriceIndex)</f>
        <v/>
      </c>
      <c r="V893" s="47">
        <f>R893*U893*INDEX(FmtBlendedPriceIdx,MATCH(F893,FmtName,0))</f>
        <v/>
      </c>
      <c r="W893" s="47">
        <f>T893*INDEX(ProvSRP,MATCH(G893,ProvCode,0))*(1+PriceIndex)</f>
        <v/>
      </c>
      <c r="X893" s="47">
        <f>IF(GrossBasis="Wholesale",V893,W893)</f>
        <v/>
      </c>
      <c r="Y893" s="47">
        <f>R893*INDEX(FmtBlendedCogs,MATCH(F893,FmtName,0))</f>
        <v/>
      </c>
      <c r="Z893" s="47">
        <f>X893-Y893</f>
        <v/>
      </c>
    </row>
    <row r="894">
      <c r="A894" t="n">
        <v>45</v>
      </c>
      <c r="B894" s="44">
        <f>FiscalStart+(A894-1)*7</f>
        <v/>
      </c>
      <c r="C894">
        <f>TEXT(B894,"mmm yyyy")</f>
        <v/>
      </c>
      <c r="D894">
        <f>"Q"&amp;(INT((A894-1)/13)+1)</f>
        <v/>
      </c>
      <c r="E894" t="inlineStr">
        <is>
          <t>On Premise</t>
        </is>
      </c>
      <c r="F894">
        <f>IFERROR(INDEX(ChFormat,MATCH(E894,ChName,0)),"")</f>
        <v/>
      </c>
      <c r="G894" t="inlineStr">
        <is>
          <t>NB</t>
        </is>
      </c>
      <c r="H894">
        <f>IF(A894&lt;=NWeeks,1,0)</f>
        <v/>
      </c>
      <c r="I894">
        <f>INDEX(ChLaunch,MATCH(E894,ChName,0))</f>
        <v/>
      </c>
      <c r="J894">
        <f>INDEX(ChWeeksFull,MATCH(E894,ChName,0))</f>
        <v/>
      </c>
      <c r="K894">
        <f>INDEX(ChRamp,MATCH(E894,ChName,0))</f>
        <v/>
      </c>
      <c r="L894" s="45">
        <f>MIN(1,MAX(0,(A894-I894+1)*RampSpeed/J894))</f>
        <v/>
      </c>
      <c r="M894" s="45">
        <f>IF(A894&lt;I894,0,IF(K894="S-curve",L894*L894*(3-2*L894),L894))</f>
        <v/>
      </c>
      <c r="N894" s="45">
        <f>1+(INDEX(SeasonIdx,A894)-1)*SeasonAmp</f>
        <v/>
      </c>
      <c r="O894" s="45">
        <f>IFERROR(INDEX(PSPct,MATCH(E894&amp;"|"&amp;G894,PSKey,0)),0)</f>
        <v/>
      </c>
      <c r="P894" s="46">
        <f>INDEX(ChDoorVel,MATCH(E894,ChName,0))*CalibScalar*(1+VelocityUplift)</f>
        <v/>
      </c>
      <c r="Q894" s="46" t="n">
        <v>0</v>
      </c>
      <c r="R894" s="46">
        <f>P894*O894*M894*N894*H894</f>
        <v/>
      </c>
      <c r="S894" s="46">
        <f>R894*INDEX(FmtCansPerCase,MATCH(F894,FmtName,0))</f>
        <v/>
      </c>
      <c r="T894" s="46">
        <f>S894/INDEX(FmtCansPerPack,MATCH(F894,FmtName,0))</f>
        <v/>
      </c>
      <c r="U894" s="47">
        <f>INDEX(ChBaseCP,MATCH(E894,ChName,0))*(1+INDEX(ProvMod,MATCH(G894,ProvCode,0)))*(1+PriceIndex)</f>
        <v/>
      </c>
      <c r="V894" s="47">
        <f>R894*U894*INDEX(FmtBlendedPriceIdx,MATCH(F894,FmtName,0))</f>
        <v/>
      </c>
      <c r="W894" s="47">
        <f>T894*INDEX(ProvSRP,MATCH(G894,ProvCode,0))*(1+PriceIndex)</f>
        <v/>
      </c>
      <c r="X894" s="47">
        <f>IF(GrossBasis="Wholesale",V894,W894)</f>
        <v/>
      </c>
      <c r="Y894" s="47">
        <f>R894*INDEX(FmtBlendedCogs,MATCH(F894,FmtName,0))</f>
        <v/>
      </c>
      <c r="Z894" s="47">
        <f>X894-Y894</f>
        <v/>
      </c>
    </row>
    <row r="895">
      <c r="A895" t="n">
        <v>46</v>
      </c>
      <c r="B895" s="44">
        <f>FiscalStart+(A895-1)*7</f>
        <v/>
      </c>
      <c r="C895">
        <f>TEXT(B895,"mmm yyyy")</f>
        <v/>
      </c>
      <c r="D895">
        <f>"Q"&amp;(INT((A895-1)/13)+1)</f>
        <v/>
      </c>
      <c r="E895" t="inlineStr">
        <is>
          <t>On Premise</t>
        </is>
      </c>
      <c r="F895">
        <f>IFERROR(INDEX(ChFormat,MATCH(E895,ChName,0)),"")</f>
        <v/>
      </c>
      <c r="G895" t="inlineStr">
        <is>
          <t>NB</t>
        </is>
      </c>
      <c r="H895">
        <f>IF(A895&lt;=NWeeks,1,0)</f>
        <v/>
      </c>
      <c r="I895">
        <f>INDEX(ChLaunch,MATCH(E895,ChName,0))</f>
        <v/>
      </c>
      <c r="J895">
        <f>INDEX(ChWeeksFull,MATCH(E895,ChName,0))</f>
        <v/>
      </c>
      <c r="K895">
        <f>INDEX(ChRamp,MATCH(E895,ChName,0))</f>
        <v/>
      </c>
      <c r="L895" s="45">
        <f>MIN(1,MAX(0,(A895-I895+1)*RampSpeed/J895))</f>
        <v/>
      </c>
      <c r="M895" s="45">
        <f>IF(A895&lt;I895,0,IF(K895="S-curve",L895*L895*(3-2*L895),L895))</f>
        <v/>
      </c>
      <c r="N895" s="45">
        <f>1+(INDEX(SeasonIdx,A895)-1)*SeasonAmp</f>
        <v/>
      </c>
      <c r="O895" s="45">
        <f>IFERROR(INDEX(PSPct,MATCH(E895&amp;"|"&amp;G895,PSKey,0)),0)</f>
        <v/>
      </c>
      <c r="P895" s="46">
        <f>INDEX(ChDoorVel,MATCH(E895,ChName,0))*CalibScalar*(1+VelocityUplift)</f>
        <v/>
      </c>
      <c r="Q895" s="46" t="n">
        <v>0</v>
      </c>
      <c r="R895" s="46">
        <f>P895*O895*M895*N895*H895</f>
        <v/>
      </c>
      <c r="S895" s="46">
        <f>R895*INDEX(FmtCansPerCase,MATCH(F895,FmtName,0))</f>
        <v/>
      </c>
      <c r="T895" s="46">
        <f>S895/INDEX(FmtCansPerPack,MATCH(F895,FmtName,0))</f>
        <v/>
      </c>
      <c r="U895" s="47">
        <f>INDEX(ChBaseCP,MATCH(E895,ChName,0))*(1+INDEX(ProvMod,MATCH(G895,ProvCode,0)))*(1+PriceIndex)</f>
        <v/>
      </c>
      <c r="V895" s="47">
        <f>R895*U895*INDEX(FmtBlendedPriceIdx,MATCH(F895,FmtName,0))</f>
        <v/>
      </c>
      <c r="W895" s="47">
        <f>T895*INDEX(ProvSRP,MATCH(G895,ProvCode,0))*(1+PriceIndex)</f>
        <v/>
      </c>
      <c r="X895" s="47">
        <f>IF(GrossBasis="Wholesale",V895,W895)</f>
        <v/>
      </c>
      <c r="Y895" s="47">
        <f>R895*INDEX(FmtBlendedCogs,MATCH(F895,FmtName,0))</f>
        <v/>
      </c>
      <c r="Z895" s="47">
        <f>X895-Y895</f>
        <v/>
      </c>
    </row>
    <row r="896">
      <c r="A896" t="n">
        <v>47</v>
      </c>
      <c r="B896" s="44">
        <f>FiscalStart+(A896-1)*7</f>
        <v/>
      </c>
      <c r="C896">
        <f>TEXT(B896,"mmm yyyy")</f>
        <v/>
      </c>
      <c r="D896">
        <f>"Q"&amp;(INT((A896-1)/13)+1)</f>
        <v/>
      </c>
      <c r="E896" t="inlineStr">
        <is>
          <t>On Premise</t>
        </is>
      </c>
      <c r="F896">
        <f>IFERROR(INDEX(ChFormat,MATCH(E896,ChName,0)),"")</f>
        <v/>
      </c>
      <c r="G896" t="inlineStr">
        <is>
          <t>NB</t>
        </is>
      </c>
      <c r="H896">
        <f>IF(A896&lt;=NWeeks,1,0)</f>
        <v/>
      </c>
      <c r="I896">
        <f>INDEX(ChLaunch,MATCH(E896,ChName,0))</f>
        <v/>
      </c>
      <c r="J896">
        <f>INDEX(ChWeeksFull,MATCH(E896,ChName,0))</f>
        <v/>
      </c>
      <c r="K896">
        <f>INDEX(ChRamp,MATCH(E896,ChName,0))</f>
        <v/>
      </c>
      <c r="L896" s="45">
        <f>MIN(1,MAX(0,(A896-I896+1)*RampSpeed/J896))</f>
        <v/>
      </c>
      <c r="M896" s="45">
        <f>IF(A896&lt;I896,0,IF(K896="S-curve",L896*L896*(3-2*L896),L896))</f>
        <v/>
      </c>
      <c r="N896" s="45">
        <f>1+(INDEX(SeasonIdx,A896)-1)*SeasonAmp</f>
        <v/>
      </c>
      <c r="O896" s="45">
        <f>IFERROR(INDEX(PSPct,MATCH(E896&amp;"|"&amp;G896,PSKey,0)),0)</f>
        <v/>
      </c>
      <c r="P896" s="46">
        <f>INDEX(ChDoorVel,MATCH(E896,ChName,0))*CalibScalar*(1+VelocityUplift)</f>
        <v/>
      </c>
      <c r="Q896" s="46" t="n">
        <v>0</v>
      </c>
      <c r="R896" s="46">
        <f>P896*O896*M896*N896*H896</f>
        <v/>
      </c>
      <c r="S896" s="46">
        <f>R896*INDEX(FmtCansPerCase,MATCH(F896,FmtName,0))</f>
        <v/>
      </c>
      <c r="T896" s="46">
        <f>S896/INDEX(FmtCansPerPack,MATCH(F896,FmtName,0))</f>
        <v/>
      </c>
      <c r="U896" s="47">
        <f>INDEX(ChBaseCP,MATCH(E896,ChName,0))*(1+INDEX(ProvMod,MATCH(G896,ProvCode,0)))*(1+PriceIndex)</f>
        <v/>
      </c>
      <c r="V896" s="47">
        <f>R896*U896*INDEX(FmtBlendedPriceIdx,MATCH(F896,FmtName,0))</f>
        <v/>
      </c>
      <c r="W896" s="47">
        <f>T896*INDEX(ProvSRP,MATCH(G896,ProvCode,0))*(1+PriceIndex)</f>
        <v/>
      </c>
      <c r="X896" s="47">
        <f>IF(GrossBasis="Wholesale",V896,W896)</f>
        <v/>
      </c>
      <c r="Y896" s="47">
        <f>R896*INDEX(FmtBlendedCogs,MATCH(F896,FmtName,0))</f>
        <v/>
      </c>
      <c r="Z896" s="47">
        <f>X896-Y896</f>
        <v/>
      </c>
    </row>
    <row r="897">
      <c r="A897" t="n">
        <v>48</v>
      </c>
      <c r="B897" s="44">
        <f>FiscalStart+(A897-1)*7</f>
        <v/>
      </c>
      <c r="C897">
        <f>TEXT(B897,"mmm yyyy")</f>
        <v/>
      </c>
      <c r="D897">
        <f>"Q"&amp;(INT((A897-1)/13)+1)</f>
        <v/>
      </c>
      <c r="E897" t="inlineStr">
        <is>
          <t>On Premise</t>
        </is>
      </c>
      <c r="F897">
        <f>IFERROR(INDEX(ChFormat,MATCH(E897,ChName,0)),"")</f>
        <v/>
      </c>
      <c r="G897" t="inlineStr">
        <is>
          <t>NB</t>
        </is>
      </c>
      <c r="H897">
        <f>IF(A897&lt;=NWeeks,1,0)</f>
        <v/>
      </c>
      <c r="I897">
        <f>INDEX(ChLaunch,MATCH(E897,ChName,0))</f>
        <v/>
      </c>
      <c r="J897">
        <f>INDEX(ChWeeksFull,MATCH(E897,ChName,0))</f>
        <v/>
      </c>
      <c r="K897">
        <f>INDEX(ChRamp,MATCH(E897,ChName,0))</f>
        <v/>
      </c>
      <c r="L897" s="45">
        <f>MIN(1,MAX(0,(A897-I897+1)*RampSpeed/J897))</f>
        <v/>
      </c>
      <c r="M897" s="45">
        <f>IF(A897&lt;I897,0,IF(K897="S-curve",L897*L897*(3-2*L897),L897))</f>
        <v/>
      </c>
      <c r="N897" s="45">
        <f>1+(INDEX(SeasonIdx,A897)-1)*SeasonAmp</f>
        <v/>
      </c>
      <c r="O897" s="45">
        <f>IFERROR(INDEX(PSPct,MATCH(E897&amp;"|"&amp;G897,PSKey,0)),0)</f>
        <v/>
      </c>
      <c r="P897" s="46">
        <f>INDEX(ChDoorVel,MATCH(E897,ChName,0))*CalibScalar*(1+VelocityUplift)</f>
        <v/>
      </c>
      <c r="Q897" s="46" t="n">
        <v>0</v>
      </c>
      <c r="R897" s="46">
        <f>P897*O897*M897*N897*H897</f>
        <v/>
      </c>
      <c r="S897" s="46">
        <f>R897*INDEX(FmtCansPerCase,MATCH(F897,FmtName,0))</f>
        <v/>
      </c>
      <c r="T897" s="46">
        <f>S897/INDEX(FmtCansPerPack,MATCH(F897,FmtName,0))</f>
        <v/>
      </c>
      <c r="U897" s="47">
        <f>INDEX(ChBaseCP,MATCH(E897,ChName,0))*(1+INDEX(ProvMod,MATCH(G897,ProvCode,0)))*(1+PriceIndex)</f>
        <v/>
      </c>
      <c r="V897" s="47">
        <f>R897*U897*INDEX(FmtBlendedPriceIdx,MATCH(F897,FmtName,0))</f>
        <v/>
      </c>
      <c r="W897" s="47">
        <f>T897*INDEX(ProvSRP,MATCH(G897,ProvCode,0))*(1+PriceIndex)</f>
        <v/>
      </c>
      <c r="X897" s="47">
        <f>IF(GrossBasis="Wholesale",V897,W897)</f>
        <v/>
      </c>
      <c r="Y897" s="47">
        <f>R897*INDEX(FmtBlendedCogs,MATCH(F897,FmtName,0))</f>
        <v/>
      </c>
      <c r="Z897" s="47">
        <f>X897-Y897</f>
        <v/>
      </c>
    </row>
    <row r="898">
      <c r="A898" t="n">
        <v>49</v>
      </c>
      <c r="B898" s="44">
        <f>FiscalStart+(A898-1)*7</f>
        <v/>
      </c>
      <c r="C898">
        <f>TEXT(B898,"mmm yyyy")</f>
        <v/>
      </c>
      <c r="D898">
        <f>"Q"&amp;(INT((A898-1)/13)+1)</f>
        <v/>
      </c>
      <c r="E898" t="inlineStr">
        <is>
          <t>On Premise</t>
        </is>
      </c>
      <c r="F898">
        <f>IFERROR(INDEX(ChFormat,MATCH(E898,ChName,0)),"")</f>
        <v/>
      </c>
      <c r="G898" t="inlineStr">
        <is>
          <t>NB</t>
        </is>
      </c>
      <c r="H898">
        <f>IF(A898&lt;=NWeeks,1,0)</f>
        <v/>
      </c>
      <c r="I898">
        <f>INDEX(ChLaunch,MATCH(E898,ChName,0))</f>
        <v/>
      </c>
      <c r="J898">
        <f>INDEX(ChWeeksFull,MATCH(E898,ChName,0))</f>
        <v/>
      </c>
      <c r="K898">
        <f>INDEX(ChRamp,MATCH(E898,ChName,0))</f>
        <v/>
      </c>
      <c r="L898" s="45">
        <f>MIN(1,MAX(0,(A898-I898+1)*RampSpeed/J898))</f>
        <v/>
      </c>
      <c r="M898" s="45">
        <f>IF(A898&lt;I898,0,IF(K898="S-curve",L898*L898*(3-2*L898),L898))</f>
        <v/>
      </c>
      <c r="N898" s="45">
        <f>1+(INDEX(SeasonIdx,A898)-1)*SeasonAmp</f>
        <v/>
      </c>
      <c r="O898" s="45">
        <f>IFERROR(INDEX(PSPct,MATCH(E898&amp;"|"&amp;G898,PSKey,0)),0)</f>
        <v/>
      </c>
      <c r="P898" s="46">
        <f>INDEX(ChDoorVel,MATCH(E898,ChName,0))*CalibScalar*(1+VelocityUplift)</f>
        <v/>
      </c>
      <c r="Q898" s="46" t="n">
        <v>0</v>
      </c>
      <c r="R898" s="46">
        <f>P898*O898*M898*N898*H898</f>
        <v/>
      </c>
      <c r="S898" s="46">
        <f>R898*INDEX(FmtCansPerCase,MATCH(F898,FmtName,0))</f>
        <v/>
      </c>
      <c r="T898" s="46">
        <f>S898/INDEX(FmtCansPerPack,MATCH(F898,FmtName,0))</f>
        <v/>
      </c>
      <c r="U898" s="47">
        <f>INDEX(ChBaseCP,MATCH(E898,ChName,0))*(1+INDEX(ProvMod,MATCH(G898,ProvCode,0)))*(1+PriceIndex)</f>
        <v/>
      </c>
      <c r="V898" s="47">
        <f>R898*U898*INDEX(FmtBlendedPriceIdx,MATCH(F898,FmtName,0))</f>
        <v/>
      </c>
      <c r="W898" s="47">
        <f>T898*INDEX(ProvSRP,MATCH(G898,ProvCode,0))*(1+PriceIndex)</f>
        <v/>
      </c>
      <c r="X898" s="47">
        <f>IF(GrossBasis="Wholesale",V898,W898)</f>
        <v/>
      </c>
      <c r="Y898" s="47">
        <f>R898*INDEX(FmtBlendedCogs,MATCH(F898,FmtName,0))</f>
        <v/>
      </c>
      <c r="Z898" s="47">
        <f>X898-Y898</f>
        <v/>
      </c>
    </row>
    <row r="899">
      <c r="A899" t="n">
        <v>50</v>
      </c>
      <c r="B899" s="44">
        <f>FiscalStart+(A899-1)*7</f>
        <v/>
      </c>
      <c r="C899">
        <f>TEXT(B899,"mmm yyyy")</f>
        <v/>
      </c>
      <c r="D899">
        <f>"Q"&amp;(INT((A899-1)/13)+1)</f>
        <v/>
      </c>
      <c r="E899" t="inlineStr">
        <is>
          <t>On Premise</t>
        </is>
      </c>
      <c r="F899">
        <f>IFERROR(INDEX(ChFormat,MATCH(E899,ChName,0)),"")</f>
        <v/>
      </c>
      <c r="G899" t="inlineStr">
        <is>
          <t>NB</t>
        </is>
      </c>
      <c r="H899">
        <f>IF(A899&lt;=NWeeks,1,0)</f>
        <v/>
      </c>
      <c r="I899">
        <f>INDEX(ChLaunch,MATCH(E899,ChName,0))</f>
        <v/>
      </c>
      <c r="J899">
        <f>INDEX(ChWeeksFull,MATCH(E899,ChName,0))</f>
        <v/>
      </c>
      <c r="K899">
        <f>INDEX(ChRamp,MATCH(E899,ChName,0))</f>
        <v/>
      </c>
      <c r="L899" s="45">
        <f>MIN(1,MAX(0,(A899-I899+1)*RampSpeed/J899))</f>
        <v/>
      </c>
      <c r="M899" s="45">
        <f>IF(A899&lt;I899,0,IF(K899="S-curve",L899*L899*(3-2*L899),L899))</f>
        <v/>
      </c>
      <c r="N899" s="45">
        <f>1+(INDEX(SeasonIdx,A899)-1)*SeasonAmp</f>
        <v/>
      </c>
      <c r="O899" s="45">
        <f>IFERROR(INDEX(PSPct,MATCH(E899&amp;"|"&amp;G899,PSKey,0)),0)</f>
        <v/>
      </c>
      <c r="P899" s="46">
        <f>INDEX(ChDoorVel,MATCH(E899,ChName,0))*CalibScalar*(1+VelocityUplift)</f>
        <v/>
      </c>
      <c r="Q899" s="46" t="n">
        <v>0</v>
      </c>
      <c r="R899" s="46">
        <f>P899*O899*M899*N899*H899</f>
        <v/>
      </c>
      <c r="S899" s="46">
        <f>R899*INDEX(FmtCansPerCase,MATCH(F899,FmtName,0))</f>
        <v/>
      </c>
      <c r="T899" s="46">
        <f>S899/INDEX(FmtCansPerPack,MATCH(F899,FmtName,0))</f>
        <v/>
      </c>
      <c r="U899" s="47">
        <f>INDEX(ChBaseCP,MATCH(E899,ChName,0))*(1+INDEX(ProvMod,MATCH(G899,ProvCode,0)))*(1+PriceIndex)</f>
        <v/>
      </c>
      <c r="V899" s="47">
        <f>R899*U899*INDEX(FmtBlendedPriceIdx,MATCH(F899,FmtName,0))</f>
        <v/>
      </c>
      <c r="W899" s="47">
        <f>T899*INDEX(ProvSRP,MATCH(G899,ProvCode,0))*(1+PriceIndex)</f>
        <v/>
      </c>
      <c r="X899" s="47">
        <f>IF(GrossBasis="Wholesale",V899,W899)</f>
        <v/>
      </c>
      <c r="Y899" s="47">
        <f>R899*INDEX(FmtBlendedCogs,MATCH(F899,FmtName,0))</f>
        <v/>
      </c>
      <c r="Z899" s="47">
        <f>X899-Y899</f>
        <v/>
      </c>
    </row>
    <row r="900">
      <c r="A900" t="n">
        <v>51</v>
      </c>
      <c r="B900" s="44">
        <f>FiscalStart+(A900-1)*7</f>
        <v/>
      </c>
      <c r="C900">
        <f>TEXT(B900,"mmm yyyy")</f>
        <v/>
      </c>
      <c r="D900">
        <f>"Q"&amp;(INT((A900-1)/13)+1)</f>
        <v/>
      </c>
      <c r="E900" t="inlineStr">
        <is>
          <t>On Premise</t>
        </is>
      </c>
      <c r="F900">
        <f>IFERROR(INDEX(ChFormat,MATCH(E900,ChName,0)),"")</f>
        <v/>
      </c>
      <c r="G900" t="inlineStr">
        <is>
          <t>NB</t>
        </is>
      </c>
      <c r="H900">
        <f>IF(A900&lt;=NWeeks,1,0)</f>
        <v/>
      </c>
      <c r="I900">
        <f>INDEX(ChLaunch,MATCH(E900,ChName,0))</f>
        <v/>
      </c>
      <c r="J900">
        <f>INDEX(ChWeeksFull,MATCH(E900,ChName,0))</f>
        <v/>
      </c>
      <c r="K900">
        <f>INDEX(ChRamp,MATCH(E900,ChName,0))</f>
        <v/>
      </c>
      <c r="L900" s="45">
        <f>MIN(1,MAX(0,(A900-I900+1)*RampSpeed/J900))</f>
        <v/>
      </c>
      <c r="M900" s="45">
        <f>IF(A900&lt;I900,0,IF(K900="S-curve",L900*L900*(3-2*L900),L900))</f>
        <v/>
      </c>
      <c r="N900" s="45">
        <f>1+(INDEX(SeasonIdx,A900)-1)*SeasonAmp</f>
        <v/>
      </c>
      <c r="O900" s="45">
        <f>IFERROR(INDEX(PSPct,MATCH(E900&amp;"|"&amp;G900,PSKey,0)),0)</f>
        <v/>
      </c>
      <c r="P900" s="46">
        <f>INDEX(ChDoorVel,MATCH(E900,ChName,0))*CalibScalar*(1+VelocityUplift)</f>
        <v/>
      </c>
      <c r="Q900" s="46" t="n">
        <v>0</v>
      </c>
      <c r="R900" s="46">
        <f>P900*O900*M900*N900*H900</f>
        <v/>
      </c>
      <c r="S900" s="46">
        <f>R900*INDEX(FmtCansPerCase,MATCH(F900,FmtName,0))</f>
        <v/>
      </c>
      <c r="T900" s="46">
        <f>S900/INDEX(FmtCansPerPack,MATCH(F900,FmtName,0))</f>
        <v/>
      </c>
      <c r="U900" s="47">
        <f>INDEX(ChBaseCP,MATCH(E900,ChName,0))*(1+INDEX(ProvMod,MATCH(G900,ProvCode,0)))*(1+PriceIndex)</f>
        <v/>
      </c>
      <c r="V900" s="47">
        <f>R900*U900*INDEX(FmtBlendedPriceIdx,MATCH(F900,FmtName,0))</f>
        <v/>
      </c>
      <c r="W900" s="47">
        <f>T900*INDEX(ProvSRP,MATCH(G900,ProvCode,0))*(1+PriceIndex)</f>
        <v/>
      </c>
      <c r="X900" s="47">
        <f>IF(GrossBasis="Wholesale",V900,W900)</f>
        <v/>
      </c>
      <c r="Y900" s="47">
        <f>R900*INDEX(FmtBlendedCogs,MATCH(F900,FmtName,0))</f>
        <v/>
      </c>
      <c r="Z900" s="47">
        <f>X900-Y900</f>
        <v/>
      </c>
    </row>
    <row r="901">
      <c r="A901" t="n">
        <v>52</v>
      </c>
      <c r="B901" s="44">
        <f>FiscalStart+(A901-1)*7</f>
        <v/>
      </c>
      <c r="C901">
        <f>TEXT(B901,"mmm yyyy")</f>
        <v/>
      </c>
      <c r="D901">
        <f>"Q"&amp;(INT((A901-1)/13)+1)</f>
        <v/>
      </c>
      <c r="E901" t="inlineStr">
        <is>
          <t>On Premise</t>
        </is>
      </c>
      <c r="F901">
        <f>IFERROR(INDEX(ChFormat,MATCH(E901,ChName,0)),"")</f>
        <v/>
      </c>
      <c r="G901" t="inlineStr">
        <is>
          <t>NB</t>
        </is>
      </c>
      <c r="H901">
        <f>IF(A901&lt;=NWeeks,1,0)</f>
        <v/>
      </c>
      <c r="I901">
        <f>INDEX(ChLaunch,MATCH(E901,ChName,0))</f>
        <v/>
      </c>
      <c r="J901">
        <f>INDEX(ChWeeksFull,MATCH(E901,ChName,0))</f>
        <v/>
      </c>
      <c r="K901">
        <f>INDEX(ChRamp,MATCH(E901,ChName,0))</f>
        <v/>
      </c>
      <c r="L901" s="45">
        <f>MIN(1,MAX(0,(A901-I901+1)*RampSpeed/J901))</f>
        <v/>
      </c>
      <c r="M901" s="45">
        <f>IF(A901&lt;I901,0,IF(K901="S-curve",L901*L901*(3-2*L901),L901))</f>
        <v/>
      </c>
      <c r="N901" s="45">
        <f>1+(INDEX(SeasonIdx,A901)-1)*SeasonAmp</f>
        <v/>
      </c>
      <c r="O901" s="45">
        <f>IFERROR(INDEX(PSPct,MATCH(E901&amp;"|"&amp;G901,PSKey,0)),0)</f>
        <v/>
      </c>
      <c r="P901" s="46">
        <f>INDEX(ChDoorVel,MATCH(E901,ChName,0))*CalibScalar*(1+VelocityUplift)</f>
        <v/>
      </c>
      <c r="Q901" s="46" t="n">
        <v>0</v>
      </c>
      <c r="R901" s="46">
        <f>P901*O901*M901*N901*H901</f>
        <v/>
      </c>
      <c r="S901" s="46">
        <f>R901*INDEX(FmtCansPerCase,MATCH(F901,FmtName,0))</f>
        <v/>
      </c>
      <c r="T901" s="46">
        <f>S901/INDEX(FmtCansPerPack,MATCH(F901,FmtName,0))</f>
        <v/>
      </c>
      <c r="U901" s="47">
        <f>INDEX(ChBaseCP,MATCH(E901,ChName,0))*(1+INDEX(ProvMod,MATCH(G901,ProvCode,0)))*(1+PriceIndex)</f>
        <v/>
      </c>
      <c r="V901" s="47">
        <f>R901*U901*INDEX(FmtBlendedPriceIdx,MATCH(F901,FmtName,0))</f>
        <v/>
      </c>
      <c r="W901" s="47">
        <f>T901*INDEX(ProvSRP,MATCH(G901,ProvCode,0))*(1+PriceIndex)</f>
        <v/>
      </c>
      <c r="X901" s="47">
        <f>IF(GrossBasis="Wholesale",V901,W901)</f>
        <v/>
      </c>
      <c r="Y901" s="47">
        <f>R901*INDEX(FmtBlendedCogs,MATCH(F901,FmtName,0))</f>
        <v/>
      </c>
      <c r="Z901" s="47">
        <f>X901-Y901</f>
        <v/>
      </c>
    </row>
    <row r="902">
      <c r="A902" t="n">
        <v>53</v>
      </c>
      <c r="B902" s="44">
        <f>FiscalStart+(A902-1)*7</f>
        <v/>
      </c>
      <c r="C902">
        <f>TEXT(B902,"mmm yyyy")</f>
        <v/>
      </c>
      <c r="D902">
        <f>"Q"&amp;(INT((A902-1)/13)+1)</f>
        <v/>
      </c>
      <c r="E902" t="inlineStr">
        <is>
          <t>On Premise</t>
        </is>
      </c>
      <c r="F902">
        <f>IFERROR(INDEX(ChFormat,MATCH(E902,ChName,0)),"")</f>
        <v/>
      </c>
      <c r="G902" t="inlineStr">
        <is>
          <t>NB</t>
        </is>
      </c>
      <c r="H902">
        <f>IF(A902&lt;=NWeeks,1,0)</f>
        <v/>
      </c>
      <c r="I902">
        <f>INDEX(ChLaunch,MATCH(E902,ChName,0))</f>
        <v/>
      </c>
      <c r="J902">
        <f>INDEX(ChWeeksFull,MATCH(E902,ChName,0))</f>
        <v/>
      </c>
      <c r="K902">
        <f>INDEX(ChRamp,MATCH(E902,ChName,0))</f>
        <v/>
      </c>
      <c r="L902" s="45">
        <f>MIN(1,MAX(0,(A902-I902+1)*RampSpeed/J902))</f>
        <v/>
      </c>
      <c r="M902" s="45">
        <f>IF(A902&lt;I902,0,IF(K902="S-curve",L902*L902*(3-2*L902),L902))</f>
        <v/>
      </c>
      <c r="N902" s="45">
        <f>1+(INDEX(SeasonIdx,A902)-1)*SeasonAmp</f>
        <v/>
      </c>
      <c r="O902" s="45">
        <f>IFERROR(INDEX(PSPct,MATCH(E902&amp;"|"&amp;G902,PSKey,0)),0)</f>
        <v/>
      </c>
      <c r="P902" s="46">
        <f>INDEX(ChDoorVel,MATCH(E902,ChName,0))*CalibScalar*(1+VelocityUplift)</f>
        <v/>
      </c>
      <c r="Q902" s="46" t="n">
        <v>0</v>
      </c>
      <c r="R902" s="46">
        <f>P902*O902*M902*N902*H902</f>
        <v/>
      </c>
      <c r="S902" s="46">
        <f>R902*INDEX(FmtCansPerCase,MATCH(F902,FmtName,0))</f>
        <v/>
      </c>
      <c r="T902" s="46">
        <f>S902/INDEX(FmtCansPerPack,MATCH(F902,FmtName,0))</f>
        <v/>
      </c>
      <c r="U902" s="47">
        <f>INDEX(ChBaseCP,MATCH(E902,ChName,0))*(1+INDEX(ProvMod,MATCH(G902,ProvCode,0)))*(1+PriceIndex)</f>
        <v/>
      </c>
      <c r="V902" s="47">
        <f>R902*U902*INDEX(FmtBlendedPriceIdx,MATCH(F902,FmtName,0))</f>
        <v/>
      </c>
      <c r="W902" s="47">
        <f>T902*INDEX(ProvSRP,MATCH(G902,ProvCode,0))*(1+PriceIndex)</f>
        <v/>
      </c>
      <c r="X902" s="47">
        <f>IF(GrossBasis="Wholesale",V902,W902)</f>
        <v/>
      </c>
      <c r="Y902" s="47">
        <f>R902*INDEX(FmtBlendedCogs,MATCH(F902,FmtName,0))</f>
        <v/>
      </c>
      <c r="Z902" s="47">
        <f>X902-Y902</f>
        <v/>
      </c>
    </row>
    <row r="903">
      <c r="A903" t="n">
        <v>1</v>
      </c>
      <c r="B903" s="44">
        <f>FiscalStart+(A903-1)*7</f>
        <v/>
      </c>
      <c r="C903">
        <f>TEXT(B903,"mmm yyyy")</f>
        <v/>
      </c>
      <c r="D903">
        <f>"Q"&amp;(INT((A903-1)/13)+1)</f>
        <v/>
      </c>
      <c r="E903" t="inlineStr">
        <is>
          <t>On Premise</t>
        </is>
      </c>
      <c r="F903">
        <f>IFERROR(INDEX(ChFormat,MATCH(E903,ChName,0)),"")</f>
        <v/>
      </c>
      <c r="G903" t="inlineStr">
        <is>
          <t>NS</t>
        </is>
      </c>
      <c r="H903">
        <f>IF(A903&lt;=NWeeks,1,0)</f>
        <v/>
      </c>
      <c r="I903">
        <f>INDEX(ChLaunch,MATCH(E903,ChName,0))</f>
        <v/>
      </c>
      <c r="J903">
        <f>INDEX(ChWeeksFull,MATCH(E903,ChName,0))</f>
        <v/>
      </c>
      <c r="K903">
        <f>INDEX(ChRamp,MATCH(E903,ChName,0))</f>
        <v/>
      </c>
      <c r="L903" s="45">
        <f>MIN(1,MAX(0,(A903-I903+1)*RampSpeed/J903))</f>
        <v/>
      </c>
      <c r="M903" s="45">
        <f>IF(A903&lt;I903,0,IF(K903="S-curve",L903*L903*(3-2*L903),L903))</f>
        <v/>
      </c>
      <c r="N903" s="45">
        <f>1+(INDEX(SeasonIdx,A903)-1)*SeasonAmp</f>
        <v/>
      </c>
      <c r="O903" s="45">
        <f>IFERROR(INDEX(PSPct,MATCH(E903&amp;"|"&amp;G903,PSKey,0)),0)</f>
        <v/>
      </c>
      <c r="P903" s="46">
        <f>INDEX(ChDoorVel,MATCH(E903,ChName,0))*CalibScalar*(1+VelocityUplift)</f>
        <v/>
      </c>
      <c r="Q903" s="46" t="n">
        <v>0</v>
      </c>
      <c r="R903" s="46">
        <f>P903*O903*M903*N903*H903</f>
        <v/>
      </c>
      <c r="S903" s="46">
        <f>R903*INDEX(FmtCansPerCase,MATCH(F903,FmtName,0))</f>
        <v/>
      </c>
      <c r="T903" s="46">
        <f>S903/INDEX(FmtCansPerPack,MATCH(F903,FmtName,0))</f>
        <v/>
      </c>
      <c r="U903" s="47">
        <f>INDEX(ChBaseCP,MATCH(E903,ChName,0))*(1+INDEX(ProvMod,MATCH(G903,ProvCode,0)))*(1+PriceIndex)</f>
        <v/>
      </c>
      <c r="V903" s="47">
        <f>R903*U903*INDEX(FmtBlendedPriceIdx,MATCH(F903,FmtName,0))</f>
        <v/>
      </c>
      <c r="W903" s="47">
        <f>T903*INDEX(ProvSRP,MATCH(G903,ProvCode,0))*(1+PriceIndex)</f>
        <v/>
      </c>
      <c r="X903" s="47">
        <f>IF(GrossBasis="Wholesale",V903,W903)</f>
        <v/>
      </c>
      <c r="Y903" s="47">
        <f>R903*INDEX(FmtBlendedCogs,MATCH(F903,FmtName,0))</f>
        <v/>
      </c>
      <c r="Z903" s="47">
        <f>X903-Y903</f>
        <v/>
      </c>
    </row>
    <row r="904">
      <c r="A904" t="n">
        <v>2</v>
      </c>
      <c r="B904" s="44">
        <f>FiscalStart+(A904-1)*7</f>
        <v/>
      </c>
      <c r="C904">
        <f>TEXT(B904,"mmm yyyy")</f>
        <v/>
      </c>
      <c r="D904">
        <f>"Q"&amp;(INT((A904-1)/13)+1)</f>
        <v/>
      </c>
      <c r="E904" t="inlineStr">
        <is>
          <t>On Premise</t>
        </is>
      </c>
      <c r="F904">
        <f>IFERROR(INDEX(ChFormat,MATCH(E904,ChName,0)),"")</f>
        <v/>
      </c>
      <c r="G904" t="inlineStr">
        <is>
          <t>NS</t>
        </is>
      </c>
      <c r="H904">
        <f>IF(A904&lt;=NWeeks,1,0)</f>
        <v/>
      </c>
      <c r="I904">
        <f>INDEX(ChLaunch,MATCH(E904,ChName,0))</f>
        <v/>
      </c>
      <c r="J904">
        <f>INDEX(ChWeeksFull,MATCH(E904,ChName,0))</f>
        <v/>
      </c>
      <c r="K904">
        <f>INDEX(ChRamp,MATCH(E904,ChName,0))</f>
        <v/>
      </c>
      <c r="L904" s="45">
        <f>MIN(1,MAX(0,(A904-I904+1)*RampSpeed/J904))</f>
        <v/>
      </c>
      <c r="M904" s="45">
        <f>IF(A904&lt;I904,0,IF(K904="S-curve",L904*L904*(3-2*L904),L904))</f>
        <v/>
      </c>
      <c r="N904" s="45">
        <f>1+(INDEX(SeasonIdx,A904)-1)*SeasonAmp</f>
        <v/>
      </c>
      <c r="O904" s="45">
        <f>IFERROR(INDEX(PSPct,MATCH(E904&amp;"|"&amp;G904,PSKey,0)),0)</f>
        <v/>
      </c>
      <c r="P904" s="46">
        <f>INDEX(ChDoorVel,MATCH(E904,ChName,0))*CalibScalar*(1+VelocityUplift)</f>
        <v/>
      </c>
      <c r="Q904" s="46" t="n">
        <v>0</v>
      </c>
      <c r="R904" s="46">
        <f>P904*O904*M904*N904*H904</f>
        <v/>
      </c>
      <c r="S904" s="46">
        <f>R904*INDEX(FmtCansPerCase,MATCH(F904,FmtName,0))</f>
        <v/>
      </c>
      <c r="T904" s="46">
        <f>S904/INDEX(FmtCansPerPack,MATCH(F904,FmtName,0))</f>
        <v/>
      </c>
      <c r="U904" s="47">
        <f>INDEX(ChBaseCP,MATCH(E904,ChName,0))*(1+INDEX(ProvMod,MATCH(G904,ProvCode,0)))*(1+PriceIndex)</f>
        <v/>
      </c>
      <c r="V904" s="47">
        <f>R904*U904*INDEX(FmtBlendedPriceIdx,MATCH(F904,FmtName,0))</f>
        <v/>
      </c>
      <c r="W904" s="47">
        <f>T904*INDEX(ProvSRP,MATCH(G904,ProvCode,0))*(1+PriceIndex)</f>
        <v/>
      </c>
      <c r="X904" s="47">
        <f>IF(GrossBasis="Wholesale",V904,W904)</f>
        <v/>
      </c>
      <c r="Y904" s="47">
        <f>R904*INDEX(FmtBlendedCogs,MATCH(F904,FmtName,0))</f>
        <v/>
      </c>
      <c r="Z904" s="47">
        <f>X904-Y904</f>
        <v/>
      </c>
    </row>
    <row r="905">
      <c r="A905" t="n">
        <v>3</v>
      </c>
      <c r="B905" s="44">
        <f>FiscalStart+(A905-1)*7</f>
        <v/>
      </c>
      <c r="C905">
        <f>TEXT(B905,"mmm yyyy")</f>
        <v/>
      </c>
      <c r="D905">
        <f>"Q"&amp;(INT((A905-1)/13)+1)</f>
        <v/>
      </c>
      <c r="E905" t="inlineStr">
        <is>
          <t>On Premise</t>
        </is>
      </c>
      <c r="F905">
        <f>IFERROR(INDEX(ChFormat,MATCH(E905,ChName,0)),"")</f>
        <v/>
      </c>
      <c r="G905" t="inlineStr">
        <is>
          <t>NS</t>
        </is>
      </c>
      <c r="H905">
        <f>IF(A905&lt;=NWeeks,1,0)</f>
        <v/>
      </c>
      <c r="I905">
        <f>INDEX(ChLaunch,MATCH(E905,ChName,0))</f>
        <v/>
      </c>
      <c r="J905">
        <f>INDEX(ChWeeksFull,MATCH(E905,ChName,0))</f>
        <v/>
      </c>
      <c r="K905">
        <f>INDEX(ChRamp,MATCH(E905,ChName,0))</f>
        <v/>
      </c>
      <c r="L905" s="45">
        <f>MIN(1,MAX(0,(A905-I905+1)*RampSpeed/J905))</f>
        <v/>
      </c>
      <c r="M905" s="45">
        <f>IF(A905&lt;I905,0,IF(K905="S-curve",L905*L905*(3-2*L905),L905))</f>
        <v/>
      </c>
      <c r="N905" s="45">
        <f>1+(INDEX(SeasonIdx,A905)-1)*SeasonAmp</f>
        <v/>
      </c>
      <c r="O905" s="45">
        <f>IFERROR(INDEX(PSPct,MATCH(E905&amp;"|"&amp;G905,PSKey,0)),0)</f>
        <v/>
      </c>
      <c r="P905" s="46">
        <f>INDEX(ChDoorVel,MATCH(E905,ChName,0))*CalibScalar*(1+VelocityUplift)</f>
        <v/>
      </c>
      <c r="Q905" s="46" t="n">
        <v>0</v>
      </c>
      <c r="R905" s="46">
        <f>P905*O905*M905*N905*H905</f>
        <v/>
      </c>
      <c r="S905" s="46">
        <f>R905*INDEX(FmtCansPerCase,MATCH(F905,FmtName,0))</f>
        <v/>
      </c>
      <c r="T905" s="46">
        <f>S905/INDEX(FmtCansPerPack,MATCH(F905,FmtName,0))</f>
        <v/>
      </c>
      <c r="U905" s="47">
        <f>INDEX(ChBaseCP,MATCH(E905,ChName,0))*(1+INDEX(ProvMod,MATCH(G905,ProvCode,0)))*(1+PriceIndex)</f>
        <v/>
      </c>
      <c r="V905" s="47">
        <f>R905*U905*INDEX(FmtBlendedPriceIdx,MATCH(F905,FmtName,0))</f>
        <v/>
      </c>
      <c r="W905" s="47">
        <f>T905*INDEX(ProvSRP,MATCH(G905,ProvCode,0))*(1+PriceIndex)</f>
        <v/>
      </c>
      <c r="X905" s="47">
        <f>IF(GrossBasis="Wholesale",V905,W905)</f>
        <v/>
      </c>
      <c r="Y905" s="47">
        <f>R905*INDEX(FmtBlendedCogs,MATCH(F905,FmtName,0))</f>
        <v/>
      </c>
      <c r="Z905" s="47">
        <f>X905-Y905</f>
        <v/>
      </c>
    </row>
    <row r="906">
      <c r="A906" t="n">
        <v>4</v>
      </c>
      <c r="B906" s="44">
        <f>FiscalStart+(A906-1)*7</f>
        <v/>
      </c>
      <c r="C906">
        <f>TEXT(B906,"mmm yyyy")</f>
        <v/>
      </c>
      <c r="D906">
        <f>"Q"&amp;(INT((A906-1)/13)+1)</f>
        <v/>
      </c>
      <c r="E906" t="inlineStr">
        <is>
          <t>On Premise</t>
        </is>
      </c>
      <c r="F906">
        <f>IFERROR(INDEX(ChFormat,MATCH(E906,ChName,0)),"")</f>
        <v/>
      </c>
      <c r="G906" t="inlineStr">
        <is>
          <t>NS</t>
        </is>
      </c>
      <c r="H906">
        <f>IF(A906&lt;=NWeeks,1,0)</f>
        <v/>
      </c>
      <c r="I906">
        <f>INDEX(ChLaunch,MATCH(E906,ChName,0))</f>
        <v/>
      </c>
      <c r="J906">
        <f>INDEX(ChWeeksFull,MATCH(E906,ChName,0))</f>
        <v/>
      </c>
      <c r="K906">
        <f>INDEX(ChRamp,MATCH(E906,ChName,0))</f>
        <v/>
      </c>
      <c r="L906" s="45">
        <f>MIN(1,MAX(0,(A906-I906+1)*RampSpeed/J906))</f>
        <v/>
      </c>
      <c r="M906" s="45">
        <f>IF(A906&lt;I906,0,IF(K906="S-curve",L906*L906*(3-2*L906),L906))</f>
        <v/>
      </c>
      <c r="N906" s="45">
        <f>1+(INDEX(SeasonIdx,A906)-1)*SeasonAmp</f>
        <v/>
      </c>
      <c r="O906" s="45">
        <f>IFERROR(INDEX(PSPct,MATCH(E906&amp;"|"&amp;G906,PSKey,0)),0)</f>
        <v/>
      </c>
      <c r="P906" s="46">
        <f>INDEX(ChDoorVel,MATCH(E906,ChName,0))*CalibScalar*(1+VelocityUplift)</f>
        <v/>
      </c>
      <c r="Q906" s="46" t="n">
        <v>0</v>
      </c>
      <c r="R906" s="46">
        <f>P906*O906*M906*N906*H906</f>
        <v/>
      </c>
      <c r="S906" s="46">
        <f>R906*INDEX(FmtCansPerCase,MATCH(F906,FmtName,0))</f>
        <v/>
      </c>
      <c r="T906" s="46">
        <f>S906/INDEX(FmtCansPerPack,MATCH(F906,FmtName,0))</f>
        <v/>
      </c>
      <c r="U906" s="47">
        <f>INDEX(ChBaseCP,MATCH(E906,ChName,0))*(1+INDEX(ProvMod,MATCH(G906,ProvCode,0)))*(1+PriceIndex)</f>
        <v/>
      </c>
      <c r="V906" s="47">
        <f>R906*U906*INDEX(FmtBlendedPriceIdx,MATCH(F906,FmtName,0))</f>
        <v/>
      </c>
      <c r="W906" s="47">
        <f>T906*INDEX(ProvSRP,MATCH(G906,ProvCode,0))*(1+PriceIndex)</f>
        <v/>
      </c>
      <c r="X906" s="47">
        <f>IF(GrossBasis="Wholesale",V906,W906)</f>
        <v/>
      </c>
      <c r="Y906" s="47">
        <f>R906*INDEX(FmtBlendedCogs,MATCH(F906,FmtName,0))</f>
        <v/>
      </c>
      <c r="Z906" s="47">
        <f>X906-Y906</f>
        <v/>
      </c>
    </row>
    <row r="907">
      <c r="A907" t="n">
        <v>5</v>
      </c>
      <c r="B907" s="44">
        <f>FiscalStart+(A907-1)*7</f>
        <v/>
      </c>
      <c r="C907">
        <f>TEXT(B907,"mmm yyyy")</f>
        <v/>
      </c>
      <c r="D907">
        <f>"Q"&amp;(INT((A907-1)/13)+1)</f>
        <v/>
      </c>
      <c r="E907" t="inlineStr">
        <is>
          <t>On Premise</t>
        </is>
      </c>
      <c r="F907">
        <f>IFERROR(INDEX(ChFormat,MATCH(E907,ChName,0)),"")</f>
        <v/>
      </c>
      <c r="G907" t="inlineStr">
        <is>
          <t>NS</t>
        </is>
      </c>
      <c r="H907">
        <f>IF(A907&lt;=NWeeks,1,0)</f>
        <v/>
      </c>
      <c r="I907">
        <f>INDEX(ChLaunch,MATCH(E907,ChName,0))</f>
        <v/>
      </c>
      <c r="J907">
        <f>INDEX(ChWeeksFull,MATCH(E907,ChName,0))</f>
        <v/>
      </c>
      <c r="K907">
        <f>INDEX(ChRamp,MATCH(E907,ChName,0))</f>
        <v/>
      </c>
      <c r="L907" s="45">
        <f>MIN(1,MAX(0,(A907-I907+1)*RampSpeed/J907))</f>
        <v/>
      </c>
      <c r="M907" s="45">
        <f>IF(A907&lt;I907,0,IF(K907="S-curve",L907*L907*(3-2*L907),L907))</f>
        <v/>
      </c>
      <c r="N907" s="45">
        <f>1+(INDEX(SeasonIdx,A907)-1)*SeasonAmp</f>
        <v/>
      </c>
      <c r="O907" s="45">
        <f>IFERROR(INDEX(PSPct,MATCH(E907&amp;"|"&amp;G907,PSKey,0)),0)</f>
        <v/>
      </c>
      <c r="P907" s="46">
        <f>INDEX(ChDoorVel,MATCH(E907,ChName,0))*CalibScalar*(1+VelocityUplift)</f>
        <v/>
      </c>
      <c r="Q907" s="46" t="n">
        <v>0</v>
      </c>
      <c r="R907" s="46">
        <f>P907*O907*M907*N907*H907</f>
        <v/>
      </c>
      <c r="S907" s="46">
        <f>R907*INDEX(FmtCansPerCase,MATCH(F907,FmtName,0))</f>
        <v/>
      </c>
      <c r="T907" s="46">
        <f>S907/INDEX(FmtCansPerPack,MATCH(F907,FmtName,0))</f>
        <v/>
      </c>
      <c r="U907" s="47">
        <f>INDEX(ChBaseCP,MATCH(E907,ChName,0))*(1+INDEX(ProvMod,MATCH(G907,ProvCode,0)))*(1+PriceIndex)</f>
        <v/>
      </c>
      <c r="V907" s="47">
        <f>R907*U907*INDEX(FmtBlendedPriceIdx,MATCH(F907,FmtName,0))</f>
        <v/>
      </c>
      <c r="W907" s="47">
        <f>T907*INDEX(ProvSRP,MATCH(G907,ProvCode,0))*(1+PriceIndex)</f>
        <v/>
      </c>
      <c r="X907" s="47">
        <f>IF(GrossBasis="Wholesale",V907,W907)</f>
        <v/>
      </c>
      <c r="Y907" s="47">
        <f>R907*INDEX(FmtBlendedCogs,MATCH(F907,FmtName,0))</f>
        <v/>
      </c>
      <c r="Z907" s="47">
        <f>X907-Y907</f>
        <v/>
      </c>
    </row>
    <row r="908">
      <c r="A908" t="n">
        <v>6</v>
      </c>
      <c r="B908" s="44">
        <f>FiscalStart+(A908-1)*7</f>
        <v/>
      </c>
      <c r="C908">
        <f>TEXT(B908,"mmm yyyy")</f>
        <v/>
      </c>
      <c r="D908">
        <f>"Q"&amp;(INT((A908-1)/13)+1)</f>
        <v/>
      </c>
      <c r="E908" t="inlineStr">
        <is>
          <t>On Premise</t>
        </is>
      </c>
      <c r="F908">
        <f>IFERROR(INDEX(ChFormat,MATCH(E908,ChName,0)),"")</f>
        <v/>
      </c>
      <c r="G908" t="inlineStr">
        <is>
          <t>NS</t>
        </is>
      </c>
      <c r="H908">
        <f>IF(A908&lt;=NWeeks,1,0)</f>
        <v/>
      </c>
      <c r="I908">
        <f>INDEX(ChLaunch,MATCH(E908,ChName,0))</f>
        <v/>
      </c>
      <c r="J908">
        <f>INDEX(ChWeeksFull,MATCH(E908,ChName,0))</f>
        <v/>
      </c>
      <c r="K908">
        <f>INDEX(ChRamp,MATCH(E908,ChName,0))</f>
        <v/>
      </c>
      <c r="L908" s="45">
        <f>MIN(1,MAX(0,(A908-I908+1)*RampSpeed/J908))</f>
        <v/>
      </c>
      <c r="M908" s="45">
        <f>IF(A908&lt;I908,0,IF(K908="S-curve",L908*L908*(3-2*L908),L908))</f>
        <v/>
      </c>
      <c r="N908" s="45">
        <f>1+(INDEX(SeasonIdx,A908)-1)*SeasonAmp</f>
        <v/>
      </c>
      <c r="O908" s="45">
        <f>IFERROR(INDEX(PSPct,MATCH(E908&amp;"|"&amp;G908,PSKey,0)),0)</f>
        <v/>
      </c>
      <c r="P908" s="46">
        <f>INDEX(ChDoorVel,MATCH(E908,ChName,0))*CalibScalar*(1+VelocityUplift)</f>
        <v/>
      </c>
      <c r="Q908" s="46" t="n">
        <v>0</v>
      </c>
      <c r="R908" s="46">
        <f>P908*O908*M908*N908*H908</f>
        <v/>
      </c>
      <c r="S908" s="46">
        <f>R908*INDEX(FmtCansPerCase,MATCH(F908,FmtName,0))</f>
        <v/>
      </c>
      <c r="T908" s="46">
        <f>S908/INDEX(FmtCansPerPack,MATCH(F908,FmtName,0))</f>
        <v/>
      </c>
      <c r="U908" s="47">
        <f>INDEX(ChBaseCP,MATCH(E908,ChName,0))*(1+INDEX(ProvMod,MATCH(G908,ProvCode,0)))*(1+PriceIndex)</f>
        <v/>
      </c>
      <c r="V908" s="47">
        <f>R908*U908*INDEX(FmtBlendedPriceIdx,MATCH(F908,FmtName,0))</f>
        <v/>
      </c>
      <c r="W908" s="47">
        <f>T908*INDEX(ProvSRP,MATCH(G908,ProvCode,0))*(1+PriceIndex)</f>
        <v/>
      </c>
      <c r="X908" s="47">
        <f>IF(GrossBasis="Wholesale",V908,W908)</f>
        <v/>
      </c>
      <c r="Y908" s="47">
        <f>R908*INDEX(FmtBlendedCogs,MATCH(F908,FmtName,0))</f>
        <v/>
      </c>
      <c r="Z908" s="47">
        <f>X908-Y908</f>
        <v/>
      </c>
    </row>
    <row r="909">
      <c r="A909" t="n">
        <v>7</v>
      </c>
      <c r="B909" s="44">
        <f>FiscalStart+(A909-1)*7</f>
        <v/>
      </c>
      <c r="C909">
        <f>TEXT(B909,"mmm yyyy")</f>
        <v/>
      </c>
      <c r="D909">
        <f>"Q"&amp;(INT((A909-1)/13)+1)</f>
        <v/>
      </c>
      <c r="E909" t="inlineStr">
        <is>
          <t>On Premise</t>
        </is>
      </c>
      <c r="F909">
        <f>IFERROR(INDEX(ChFormat,MATCH(E909,ChName,0)),"")</f>
        <v/>
      </c>
      <c r="G909" t="inlineStr">
        <is>
          <t>NS</t>
        </is>
      </c>
      <c r="H909">
        <f>IF(A909&lt;=NWeeks,1,0)</f>
        <v/>
      </c>
      <c r="I909">
        <f>INDEX(ChLaunch,MATCH(E909,ChName,0))</f>
        <v/>
      </c>
      <c r="J909">
        <f>INDEX(ChWeeksFull,MATCH(E909,ChName,0))</f>
        <v/>
      </c>
      <c r="K909">
        <f>INDEX(ChRamp,MATCH(E909,ChName,0))</f>
        <v/>
      </c>
      <c r="L909" s="45">
        <f>MIN(1,MAX(0,(A909-I909+1)*RampSpeed/J909))</f>
        <v/>
      </c>
      <c r="M909" s="45">
        <f>IF(A909&lt;I909,0,IF(K909="S-curve",L909*L909*(3-2*L909),L909))</f>
        <v/>
      </c>
      <c r="N909" s="45">
        <f>1+(INDEX(SeasonIdx,A909)-1)*SeasonAmp</f>
        <v/>
      </c>
      <c r="O909" s="45">
        <f>IFERROR(INDEX(PSPct,MATCH(E909&amp;"|"&amp;G909,PSKey,0)),0)</f>
        <v/>
      </c>
      <c r="P909" s="46">
        <f>INDEX(ChDoorVel,MATCH(E909,ChName,0))*CalibScalar*(1+VelocityUplift)</f>
        <v/>
      </c>
      <c r="Q909" s="46" t="n">
        <v>0</v>
      </c>
      <c r="R909" s="46">
        <f>P909*O909*M909*N909*H909</f>
        <v/>
      </c>
      <c r="S909" s="46">
        <f>R909*INDEX(FmtCansPerCase,MATCH(F909,FmtName,0))</f>
        <v/>
      </c>
      <c r="T909" s="46">
        <f>S909/INDEX(FmtCansPerPack,MATCH(F909,FmtName,0))</f>
        <v/>
      </c>
      <c r="U909" s="47">
        <f>INDEX(ChBaseCP,MATCH(E909,ChName,0))*(1+INDEX(ProvMod,MATCH(G909,ProvCode,0)))*(1+PriceIndex)</f>
        <v/>
      </c>
      <c r="V909" s="47">
        <f>R909*U909*INDEX(FmtBlendedPriceIdx,MATCH(F909,FmtName,0))</f>
        <v/>
      </c>
      <c r="W909" s="47">
        <f>T909*INDEX(ProvSRP,MATCH(G909,ProvCode,0))*(1+PriceIndex)</f>
        <v/>
      </c>
      <c r="X909" s="47">
        <f>IF(GrossBasis="Wholesale",V909,W909)</f>
        <v/>
      </c>
      <c r="Y909" s="47">
        <f>R909*INDEX(FmtBlendedCogs,MATCH(F909,FmtName,0))</f>
        <v/>
      </c>
      <c r="Z909" s="47">
        <f>X909-Y909</f>
        <v/>
      </c>
    </row>
    <row r="910">
      <c r="A910" t="n">
        <v>8</v>
      </c>
      <c r="B910" s="44">
        <f>FiscalStart+(A910-1)*7</f>
        <v/>
      </c>
      <c r="C910">
        <f>TEXT(B910,"mmm yyyy")</f>
        <v/>
      </c>
      <c r="D910">
        <f>"Q"&amp;(INT((A910-1)/13)+1)</f>
        <v/>
      </c>
      <c r="E910" t="inlineStr">
        <is>
          <t>On Premise</t>
        </is>
      </c>
      <c r="F910">
        <f>IFERROR(INDEX(ChFormat,MATCH(E910,ChName,0)),"")</f>
        <v/>
      </c>
      <c r="G910" t="inlineStr">
        <is>
          <t>NS</t>
        </is>
      </c>
      <c r="H910">
        <f>IF(A910&lt;=NWeeks,1,0)</f>
        <v/>
      </c>
      <c r="I910">
        <f>INDEX(ChLaunch,MATCH(E910,ChName,0))</f>
        <v/>
      </c>
      <c r="J910">
        <f>INDEX(ChWeeksFull,MATCH(E910,ChName,0))</f>
        <v/>
      </c>
      <c r="K910">
        <f>INDEX(ChRamp,MATCH(E910,ChName,0))</f>
        <v/>
      </c>
      <c r="L910" s="45">
        <f>MIN(1,MAX(0,(A910-I910+1)*RampSpeed/J910))</f>
        <v/>
      </c>
      <c r="M910" s="45">
        <f>IF(A910&lt;I910,0,IF(K910="S-curve",L910*L910*(3-2*L910),L910))</f>
        <v/>
      </c>
      <c r="N910" s="45">
        <f>1+(INDEX(SeasonIdx,A910)-1)*SeasonAmp</f>
        <v/>
      </c>
      <c r="O910" s="45">
        <f>IFERROR(INDEX(PSPct,MATCH(E910&amp;"|"&amp;G910,PSKey,0)),0)</f>
        <v/>
      </c>
      <c r="P910" s="46">
        <f>INDEX(ChDoorVel,MATCH(E910,ChName,0))*CalibScalar*(1+VelocityUplift)</f>
        <v/>
      </c>
      <c r="Q910" s="46" t="n">
        <v>0</v>
      </c>
      <c r="R910" s="46">
        <f>P910*O910*M910*N910*H910</f>
        <v/>
      </c>
      <c r="S910" s="46">
        <f>R910*INDEX(FmtCansPerCase,MATCH(F910,FmtName,0))</f>
        <v/>
      </c>
      <c r="T910" s="46">
        <f>S910/INDEX(FmtCansPerPack,MATCH(F910,FmtName,0))</f>
        <v/>
      </c>
      <c r="U910" s="47">
        <f>INDEX(ChBaseCP,MATCH(E910,ChName,0))*(1+INDEX(ProvMod,MATCH(G910,ProvCode,0)))*(1+PriceIndex)</f>
        <v/>
      </c>
      <c r="V910" s="47">
        <f>R910*U910*INDEX(FmtBlendedPriceIdx,MATCH(F910,FmtName,0))</f>
        <v/>
      </c>
      <c r="W910" s="47">
        <f>T910*INDEX(ProvSRP,MATCH(G910,ProvCode,0))*(1+PriceIndex)</f>
        <v/>
      </c>
      <c r="X910" s="47">
        <f>IF(GrossBasis="Wholesale",V910,W910)</f>
        <v/>
      </c>
      <c r="Y910" s="47">
        <f>R910*INDEX(FmtBlendedCogs,MATCH(F910,FmtName,0))</f>
        <v/>
      </c>
      <c r="Z910" s="47">
        <f>X910-Y910</f>
        <v/>
      </c>
    </row>
    <row r="911">
      <c r="A911" t="n">
        <v>9</v>
      </c>
      <c r="B911" s="44">
        <f>FiscalStart+(A911-1)*7</f>
        <v/>
      </c>
      <c r="C911">
        <f>TEXT(B911,"mmm yyyy")</f>
        <v/>
      </c>
      <c r="D911">
        <f>"Q"&amp;(INT((A911-1)/13)+1)</f>
        <v/>
      </c>
      <c r="E911" t="inlineStr">
        <is>
          <t>On Premise</t>
        </is>
      </c>
      <c r="F911">
        <f>IFERROR(INDEX(ChFormat,MATCH(E911,ChName,0)),"")</f>
        <v/>
      </c>
      <c r="G911" t="inlineStr">
        <is>
          <t>NS</t>
        </is>
      </c>
      <c r="H911">
        <f>IF(A911&lt;=NWeeks,1,0)</f>
        <v/>
      </c>
      <c r="I911">
        <f>INDEX(ChLaunch,MATCH(E911,ChName,0))</f>
        <v/>
      </c>
      <c r="J911">
        <f>INDEX(ChWeeksFull,MATCH(E911,ChName,0))</f>
        <v/>
      </c>
      <c r="K911">
        <f>INDEX(ChRamp,MATCH(E911,ChName,0))</f>
        <v/>
      </c>
      <c r="L911" s="45">
        <f>MIN(1,MAX(0,(A911-I911+1)*RampSpeed/J911))</f>
        <v/>
      </c>
      <c r="M911" s="45">
        <f>IF(A911&lt;I911,0,IF(K911="S-curve",L911*L911*(3-2*L911),L911))</f>
        <v/>
      </c>
      <c r="N911" s="45">
        <f>1+(INDEX(SeasonIdx,A911)-1)*SeasonAmp</f>
        <v/>
      </c>
      <c r="O911" s="45">
        <f>IFERROR(INDEX(PSPct,MATCH(E911&amp;"|"&amp;G911,PSKey,0)),0)</f>
        <v/>
      </c>
      <c r="P911" s="46">
        <f>INDEX(ChDoorVel,MATCH(E911,ChName,0))*CalibScalar*(1+VelocityUplift)</f>
        <v/>
      </c>
      <c r="Q911" s="46" t="n">
        <v>0</v>
      </c>
      <c r="R911" s="46">
        <f>P911*O911*M911*N911*H911</f>
        <v/>
      </c>
      <c r="S911" s="46">
        <f>R911*INDEX(FmtCansPerCase,MATCH(F911,FmtName,0))</f>
        <v/>
      </c>
      <c r="T911" s="46">
        <f>S911/INDEX(FmtCansPerPack,MATCH(F911,FmtName,0))</f>
        <v/>
      </c>
      <c r="U911" s="47">
        <f>INDEX(ChBaseCP,MATCH(E911,ChName,0))*(1+INDEX(ProvMod,MATCH(G911,ProvCode,0)))*(1+PriceIndex)</f>
        <v/>
      </c>
      <c r="V911" s="47">
        <f>R911*U911*INDEX(FmtBlendedPriceIdx,MATCH(F911,FmtName,0))</f>
        <v/>
      </c>
      <c r="W911" s="47">
        <f>T911*INDEX(ProvSRP,MATCH(G911,ProvCode,0))*(1+PriceIndex)</f>
        <v/>
      </c>
      <c r="X911" s="47">
        <f>IF(GrossBasis="Wholesale",V911,W911)</f>
        <v/>
      </c>
      <c r="Y911" s="47">
        <f>R911*INDEX(FmtBlendedCogs,MATCH(F911,FmtName,0))</f>
        <v/>
      </c>
      <c r="Z911" s="47">
        <f>X911-Y911</f>
        <v/>
      </c>
    </row>
    <row r="912">
      <c r="A912" t="n">
        <v>10</v>
      </c>
      <c r="B912" s="44">
        <f>FiscalStart+(A912-1)*7</f>
        <v/>
      </c>
      <c r="C912">
        <f>TEXT(B912,"mmm yyyy")</f>
        <v/>
      </c>
      <c r="D912">
        <f>"Q"&amp;(INT((A912-1)/13)+1)</f>
        <v/>
      </c>
      <c r="E912" t="inlineStr">
        <is>
          <t>On Premise</t>
        </is>
      </c>
      <c r="F912">
        <f>IFERROR(INDEX(ChFormat,MATCH(E912,ChName,0)),"")</f>
        <v/>
      </c>
      <c r="G912" t="inlineStr">
        <is>
          <t>NS</t>
        </is>
      </c>
      <c r="H912">
        <f>IF(A912&lt;=NWeeks,1,0)</f>
        <v/>
      </c>
      <c r="I912">
        <f>INDEX(ChLaunch,MATCH(E912,ChName,0))</f>
        <v/>
      </c>
      <c r="J912">
        <f>INDEX(ChWeeksFull,MATCH(E912,ChName,0))</f>
        <v/>
      </c>
      <c r="K912">
        <f>INDEX(ChRamp,MATCH(E912,ChName,0))</f>
        <v/>
      </c>
      <c r="L912" s="45">
        <f>MIN(1,MAX(0,(A912-I912+1)*RampSpeed/J912))</f>
        <v/>
      </c>
      <c r="M912" s="45">
        <f>IF(A912&lt;I912,0,IF(K912="S-curve",L912*L912*(3-2*L912),L912))</f>
        <v/>
      </c>
      <c r="N912" s="45">
        <f>1+(INDEX(SeasonIdx,A912)-1)*SeasonAmp</f>
        <v/>
      </c>
      <c r="O912" s="45">
        <f>IFERROR(INDEX(PSPct,MATCH(E912&amp;"|"&amp;G912,PSKey,0)),0)</f>
        <v/>
      </c>
      <c r="P912" s="46">
        <f>INDEX(ChDoorVel,MATCH(E912,ChName,0))*CalibScalar*(1+VelocityUplift)</f>
        <v/>
      </c>
      <c r="Q912" s="46" t="n">
        <v>0</v>
      </c>
      <c r="R912" s="46">
        <f>P912*O912*M912*N912*H912</f>
        <v/>
      </c>
      <c r="S912" s="46">
        <f>R912*INDEX(FmtCansPerCase,MATCH(F912,FmtName,0))</f>
        <v/>
      </c>
      <c r="T912" s="46">
        <f>S912/INDEX(FmtCansPerPack,MATCH(F912,FmtName,0))</f>
        <v/>
      </c>
      <c r="U912" s="47">
        <f>INDEX(ChBaseCP,MATCH(E912,ChName,0))*(1+INDEX(ProvMod,MATCH(G912,ProvCode,0)))*(1+PriceIndex)</f>
        <v/>
      </c>
      <c r="V912" s="47">
        <f>R912*U912*INDEX(FmtBlendedPriceIdx,MATCH(F912,FmtName,0))</f>
        <v/>
      </c>
      <c r="W912" s="47">
        <f>T912*INDEX(ProvSRP,MATCH(G912,ProvCode,0))*(1+PriceIndex)</f>
        <v/>
      </c>
      <c r="X912" s="47">
        <f>IF(GrossBasis="Wholesale",V912,W912)</f>
        <v/>
      </c>
      <c r="Y912" s="47">
        <f>R912*INDEX(FmtBlendedCogs,MATCH(F912,FmtName,0))</f>
        <v/>
      </c>
      <c r="Z912" s="47">
        <f>X912-Y912</f>
        <v/>
      </c>
    </row>
    <row r="913">
      <c r="A913" t="n">
        <v>11</v>
      </c>
      <c r="B913" s="44">
        <f>FiscalStart+(A913-1)*7</f>
        <v/>
      </c>
      <c r="C913">
        <f>TEXT(B913,"mmm yyyy")</f>
        <v/>
      </c>
      <c r="D913">
        <f>"Q"&amp;(INT((A913-1)/13)+1)</f>
        <v/>
      </c>
      <c r="E913" t="inlineStr">
        <is>
          <t>On Premise</t>
        </is>
      </c>
      <c r="F913">
        <f>IFERROR(INDEX(ChFormat,MATCH(E913,ChName,0)),"")</f>
        <v/>
      </c>
      <c r="G913" t="inlineStr">
        <is>
          <t>NS</t>
        </is>
      </c>
      <c r="H913">
        <f>IF(A913&lt;=NWeeks,1,0)</f>
        <v/>
      </c>
      <c r="I913">
        <f>INDEX(ChLaunch,MATCH(E913,ChName,0))</f>
        <v/>
      </c>
      <c r="J913">
        <f>INDEX(ChWeeksFull,MATCH(E913,ChName,0))</f>
        <v/>
      </c>
      <c r="K913">
        <f>INDEX(ChRamp,MATCH(E913,ChName,0))</f>
        <v/>
      </c>
      <c r="L913" s="45">
        <f>MIN(1,MAX(0,(A913-I913+1)*RampSpeed/J913))</f>
        <v/>
      </c>
      <c r="M913" s="45">
        <f>IF(A913&lt;I913,0,IF(K913="S-curve",L913*L913*(3-2*L913),L913))</f>
        <v/>
      </c>
      <c r="N913" s="45">
        <f>1+(INDEX(SeasonIdx,A913)-1)*SeasonAmp</f>
        <v/>
      </c>
      <c r="O913" s="45">
        <f>IFERROR(INDEX(PSPct,MATCH(E913&amp;"|"&amp;G913,PSKey,0)),0)</f>
        <v/>
      </c>
      <c r="P913" s="46">
        <f>INDEX(ChDoorVel,MATCH(E913,ChName,0))*CalibScalar*(1+VelocityUplift)</f>
        <v/>
      </c>
      <c r="Q913" s="46" t="n">
        <v>0</v>
      </c>
      <c r="R913" s="46">
        <f>P913*O913*M913*N913*H913</f>
        <v/>
      </c>
      <c r="S913" s="46">
        <f>R913*INDEX(FmtCansPerCase,MATCH(F913,FmtName,0))</f>
        <v/>
      </c>
      <c r="T913" s="46">
        <f>S913/INDEX(FmtCansPerPack,MATCH(F913,FmtName,0))</f>
        <v/>
      </c>
      <c r="U913" s="47">
        <f>INDEX(ChBaseCP,MATCH(E913,ChName,0))*(1+INDEX(ProvMod,MATCH(G913,ProvCode,0)))*(1+PriceIndex)</f>
        <v/>
      </c>
      <c r="V913" s="47">
        <f>R913*U913*INDEX(FmtBlendedPriceIdx,MATCH(F913,FmtName,0))</f>
        <v/>
      </c>
      <c r="W913" s="47">
        <f>T913*INDEX(ProvSRP,MATCH(G913,ProvCode,0))*(1+PriceIndex)</f>
        <v/>
      </c>
      <c r="X913" s="47">
        <f>IF(GrossBasis="Wholesale",V913,W913)</f>
        <v/>
      </c>
      <c r="Y913" s="47">
        <f>R913*INDEX(FmtBlendedCogs,MATCH(F913,FmtName,0))</f>
        <v/>
      </c>
      <c r="Z913" s="47">
        <f>X913-Y913</f>
        <v/>
      </c>
    </row>
    <row r="914">
      <c r="A914" t="n">
        <v>12</v>
      </c>
      <c r="B914" s="44">
        <f>FiscalStart+(A914-1)*7</f>
        <v/>
      </c>
      <c r="C914">
        <f>TEXT(B914,"mmm yyyy")</f>
        <v/>
      </c>
      <c r="D914">
        <f>"Q"&amp;(INT((A914-1)/13)+1)</f>
        <v/>
      </c>
      <c r="E914" t="inlineStr">
        <is>
          <t>On Premise</t>
        </is>
      </c>
      <c r="F914">
        <f>IFERROR(INDEX(ChFormat,MATCH(E914,ChName,0)),"")</f>
        <v/>
      </c>
      <c r="G914" t="inlineStr">
        <is>
          <t>NS</t>
        </is>
      </c>
      <c r="H914">
        <f>IF(A914&lt;=NWeeks,1,0)</f>
        <v/>
      </c>
      <c r="I914">
        <f>INDEX(ChLaunch,MATCH(E914,ChName,0))</f>
        <v/>
      </c>
      <c r="J914">
        <f>INDEX(ChWeeksFull,MATCH(E914,ChName,0))</f>
        <v/>
      </c>
      <c r="K914">
        <f>INDEX(ChRamp,MATCH(E914,ChName,0))</f>
        <v/>
      </c>
      <c r="L914" s="45">
        <f>MIN(1,MAX(0,(A914-I914+1)*RampSpeed/J914))</f>
        <v/>
      </c>
      <c r="M914" s="45">
        <f>IF(A914&lt;I914,0,IF(K914="S-curve",L914*L914*(3-2*L914),L914))</f>
        <v/>
      </c>
      <c r="N914" s="45">
        <f>1+(INDEX(SeasonIdx,A914)-1)*SeasonAmp</f>
        <v/>
      </c>
      <c r="O914" s="45">
        <f>IFERROR(INDEX(PSPct,MATCH(E914&amp;"|"&amp;G914,PSKey,0)),0)</f>
        <v/>
      </c>
      <c r="P914" s="46">
        <f>INDEX(ChDoorVel,MATCH(E914,ChName,0))*CalibScalar*(1+VelocityUplift)</f>
        <v/>
      </c>
      <c r="Q914" s="46" t="n">
        <v>0</v>
      </c>
      <c r="R914" s="46">
        <f>P914*O914*M914*N914*H914</f>
        <v/>
      </c>
      <c r="S914" s="46">
        <f>R914*INDEX(FmtCansPerCase,MATCH(F914,FmtName,0))</f>
        <v/>
      </c>
      <c r="T914" s="46">
        <f>S914/INDEX(FmtCansPerPack,MATCH(F914,FmtName,0))</f>
        <v/>
      </c>
      <c r="U914" s="47">
        <f>INDEX(ChBaseCP,MATCH(E914,ChName,0))*(1+INDEX(ProvMod,MATCH(G914,ProvCode,0)))*(1+PriceIndex)</f>
        <v/>
      </c>
      <c r="V914" s="47">
        <f>R914*U914*INDEX(FmtBlendedPriceIdx,MATCH(F914,FmtName,0))</f>
        <v/>
      </c>
      <c r="W914" s="47">
        <f>T914*INDEX(ProvSRP,MATCH(G914,ProvCode,0))*(1+PriceIndex)</f>
        <v/>
      </c>
      <c r="X914" s="47">
        <f>IF(GrossBasis="Wholesale",V914,W914)</f>
        <v/>
      </c>
      <c r="Y914" s="47">
        <f>R914*INDEX(FmtBlendedCogs,MATCH(F914,FmtName,0))</f>
        <v/>
      </c>
      <c r="Z914" s="47">
        <f>X914-Y914</f>
        <v/>
      </c>
    </row>
    <row r="915">
      <c r="A915" t="n">
        <v>13</v>
      </c>
      <c r="B915" s="44">
        <f>FiscalStart+(A915-1)*7</f>
        <v/>
      </c>
      <c r="C915">
        <f>TEXT(B915,"mmm yyyy")</f>
        <v/>
      </c>
      <c r="D915">
        <f>"Q"&amp;(INT((A915-1)/13)+1)</f>
        <v/>
      </c>
      <c r="E915" t="inlineStr">
        <is>
          <t>On Premise</t>
        </is>
      </c>
      <c r="F915">
        <f>IFERROR(INDEX(ChFormat,MATCH(E915,ChName,0)),"")</f>
        <v/>
      </c>
      <c r="G915" t="inlineStr">
        <is>
          <t>NS</t>
        </is>
      </c>
      <c r="H915">
        <f>IF(A915&lt;=NWeeks,1,0)</f>
        <v/>
      </c>
      <c r="I915">
        <f>INDEX(ChLaunch,MATCH(E915,ChName,0))</f>
        <v/>
      </c>
      <c r="J915">
        <f>INDEX(ChWeeksFull,MATCH(E915,ChName,0))</f>
        <v/>
      </c>
      <c r="K915">
        <f>INDEX(ChRamp,MATCH(E915,ChName,0))</f>
        <v/>
      </c>
      <c r="L915" s="45">
        <f>MIN(1,MAX(0,(A915-I915+1)*RampSpeed/J915))</f>
        <v/>
      </c>
      <c r="M915" s="45">
        <f>IF(A915&lt;I915,0,IF(K915="S-curve",L915*L915*(3-2*L915),L915))</f>
        <v/>
      </c>
      <c r="N915" s="45">
        <f>1+(INDEX(SeasonIdx,A915)-1)*SeasonAmp</f>
        <v/>
      </c>
      <c r="O915" s="45">
        <f>IFERROR(INDEX(PSPct,MATCH(E915&amp;"|"&amp;G915,PSKey,0)),0)</f>
        <v/>
      </c>
      <c r="P915" s="46">
        <f>INDEX(ChDoorVel,MATCH(E915,ChName,0))*CalibScalar*(1+VelocityUplift)</f>
        <v/>
      </c>
      <c r="Q915" s="46" t="n">
        <v>0</v>
      </c>
      <c r="R915" s="46">
        <f>P915*O915*M915*N915*H915</f>
        <v/>
      </c>
      <c r="S915" s="46">
        <f>R915*INDEX(FmtCansPerCase,MATCH(F915,FmtName,0))</f>
        <v/>
      </c>
      <c r="T915" s="46">
        <f>S915/INDEX(FmtCansPerPack,MATCH(F915,FmtName,0))</f>
        <v/>
      </c>
      <c r="U915" s="47">
        <f>INDEX(ChBaseCP,MATCH(E915,ChName,0))*(1+INDEX(ProvMod,MATCH(G915,ProvCode,0)))*(1+PriceIndex)</f>
        <v/>
      </c>
      <c r="V915" s="47">
        <f>R915*U915*INDEX(FmtBlendedPriceIdx,MATCH(F915,FmtName,0))</f>
        <v/>
      </c>
      <c r="W915" s="47">
        <f>T915*INDEX(ProvSRP,MATCH(G915,ProvCode,0))*(1+PriceIndex)</f>
        <v/>
      </c>
      <c r="X915" s="47">
        <f>IF(GrossBasis="Wholesale",V915,W915)</f>
        <v/>
      </c>
      <c r="Y915" s="47">
        <f>R915*INDEX(FmtBlendedCogs,MATCH(F915,FmtName,0))</f>
        <v/>
      </c>
      <c r="Z915" s="47">
        <f>X915-Y915</f>
        <v/>
      </c>
    </row>
    <row r="916">
      <c r="A916" t="n">
        <v>14</v>
      </c>
      <c r="B916" s="44">
        <f>FiscalStart+(A916-1)*7</f>
        <v/>
      </c>
      <c r="C916">
        <f>TEXT(B916,"mmm yyyy")</f>
        <v/>
      </c>
      <c r="D916">
        <f>"Q"&amp;(INT((A916-1)/13)+1)</f>
        <v/>
      </c>
      <c r="E916" t="inlineStr">
        <is>
          <t>On Premise</t>
        </is>
      </c>
      <c r="F916">
        <f>IFERROR(INDEX(ChFormat,MATCH(E916,ChName,0)),"")</f>
        <v/>
      </c>
      <c r="G916" t="inlineStr">
        <is>
          <t>NS</t>
        </is>
      </c>
      <c r="H916">
        <f>IF(A916&lt;=NWeeks,1,0)</f>
        <v/>
      </c>
      <c r="I916">
        <f>INDEX(ChLaunch,MATCH(E916,ChName,0))</f>
        <v/>
      </c>
      <c r="J916">
        <f>INDEX(ChWeeksFull,MATCH(E916,ChName,0))</f>
        <v/>
      </c>
      <c r="K916">
        <f>INDEX(ChRamp,MATCH(E916,ChName,0))</f>
        <v/>
      </c>
      <c r="L916" s="45">
        <f>MIN(1,MAX(0,(A916-I916+1)*RampSpeed/J916))</f>
        <v/>
      </c>
      <c r="M916" s="45">
        <f>IF(A916&lt;I916,0,IF(K916="S-curve",L916*L916*(3-2*L916),L916))</f>
        <v/>
      </c>
      <c r="N916" s="45">
        <f>1+(INDEX(SeasonIdx,A916)-1)*SeasonAmp</f>
        <v/>
      </c>
      <c r="O916" s="45">
        <f>IFERROR(INDEX(PSPct,MATCH(E916&amp;"|"&amp;G916,PSKey,0)),0)</f>
        <v/>
      </c>
      <c r="P916" s="46">
        <f>INDEX(ChDoorVel,MATCH(E916,ChName,0))*CalibScalar*(1+VelocityUplift)</f>
        <v/>
      </c>
      <c r="Q916" s="46" t="n">
        <v>0</v>
      </c>
      <c r="R916" s="46">
        <f>P916*O916*M916*N916*H916</f>
        <v/>
      </c>
      <c r="S916" s="46">
        <f>R916*INDEX(FmtCansPerCase,MATCH(F916,FmtName,0))</f>
        <v/>
      </c>
      <c r="T916" s="46">
        <f>S916/INDEX(FmtCansPerPack,MATCH(F916,FmtName,0))</f>
        <v/>
      </c>
      <c r="U916" s="47">
        <f>INDEX(ChBaseCP,MATCH(E916,ChName,0))*(1+INDEX(ProvMod,MATCH(G916,ProvCode,0)))*(1+PriceIndex)</f>
        <v/>
      </c>
      <c r="V916" s="47">
        <f>R916*U916*INDEX(FmtBlendedPriceIdx,MATCH(F916,FmtName,0))</f>
        <v/>
      </c>
      <c r="W916" s="47">
        <f>T916*INDEX(ProvSRP,MATCH(G916,ProvCode,0))*(1+PriceIndex)</f>
        <v/>
      </c>
      <c r="X916" s="47">
        <f>IF(GrossBasis="Wholesale",V916,W916)</f>
        <v/>
      </c>
      <c r="Y916" s="47">
        <f>R916*INDEX(FmtBlendedCogs,MATCH(F916,FmtName,0))</f>
        <v/>
      </c>
      <c r="Z916" s="47">
        <f>X916-Y916</f>
        <v/>
      </c>
    </row>
    <row r="917">
      <c r="A917" t="n">
        <v>15</v>
      </c>
      <c r="B917" s="44">
        <f>FiscalStart+(A917-1)*7</f>
        <v/>
      </c>
      <c r="C917">
        <f>TEXT(B917,"mmm yyyy")</f>
        <v/>
      </c>
      <c r="D917">
        <f>"Q"&amp;(INT((A917-1)/13)+1)</f>
        <v/>
      </c>
      <c r="E917" t="inlineStr">
        <is>
          <t>On Premise</t>
        </is>
      </c>
      <c r="F917">
        <f>IFERROR(INDEX(ChFormat,MATCH(E917,ChName,0)),"")</f>
        <v/>
      </c>
      <c r="G917" t="inlineStr">
        <is>
          <t>NS</t>
        </is>
      </c>
      <c r="H917">
        <f>IF(A917&lt;=NWeeks,1,0)</f>
        <v/>
      </c>
      <c r="I917">
        <f>INDEX(ChLaunch,MATCH(E917,ChName,0))</f>
        <v/>
      </c>
      <c r="J917">
        <f>INDEX(ChWeeksFull,MATCH(E917,ChName,0))</f>
        <v/>
      </c>
      <c r="K917">
        <f>INDEX(ChRamp,MATCH(E917,ChName,0))</f>
        <v/>
      </c>
      <c r="L917" s="45">
        <f>MIN(1,MAX(0,(A917-I917+1)*RampSpeed/J917))</f>
        <v/>
      </c>
      <c r="M917" s="45">
        <f>IF(A917&lt;I917,0,IF(K917="S-curve",L917*L917*(3-2*L917),L917))</f>
        <v/>
      </c>
      <c r="N917" s="45">
        <f>1+(INDEX(SeasonIdx,A917)-1)*SeasonAmp</f>
        <v/>
      </c>
      <c r="O917" s="45">
        <f>IFERROR(INDEX(PSPct,MATCH(E917&amp;"|"&amp;G917,PSKey,0)),0)</f>
        <v/>
      </c>
      <c r="P917" s="46">
        <f>INDEX(ChDoorVel,MATCH(E917,ChName,0))*CalibScalar*(1+VelocityUplift)</f>
        <v/>
      </c>
      <c r="Q917" s="46" t="n">
        <v>0</v>
      </c>
      <c r="R917" s="46">
        <f>P917*O917*M917*N917*H917</f>
        <v/>
      </c>
      <c r="S917" s="46">
        <f>R917*INDEX(FmtCansPerCase,MATCH(F917,FmtName,0))</f>
        <v/>
      </c>
      <c r="T917" s="46">
        <f>S917/INDEX(FmtCansPerPack,MATCH(F917,FmtName,0))</f>
        <v/>
      </c>
      <c r="U917" s="47">
        <f>INDEX(ChBaseCP,MATCH(E917,ChName,0))*(1+INDEX(ProvMod,MATCH(G917,ProvCode,0)))*(1+PriceIndex)</f>
        <v/>
      </c>
      <c r="V917" s="47">
        <f>R917*U917*INDEX(FmtBlendedPriceIdx,MATCH(F917,FmtName,0))</f>
        <v/>
      </c>
      <c r="W917" s="47">
        <f>T917*INDEX(ProvSRP,MATCH(G917,ProvCode,0))*(1+PriceIndex)</f>
        <v/>
      </c>
      <c r="X917" s="47">
        <f>IF(GrossBasis="Wholesale",V917,W917)</f>
        <v/>
      </c>
      <c r="Y917" s="47">
        <f>R917*INDEX(FmtBlendedCogs,MATCH(F917,FmtName,0))</f>
        <v/>
      </c>
      <c r="Z917" s="47">
        <f>X917-Y917</f>
        <v/>
      </c>
    </row>
    <row r="918">
      <c r="A918" t="n">
        <v>16</v>
      </c>
      <c r="B918" s="44">
        <f>FiscalStart+(A918-1)*7</f>
        <v/>
      </c>
      <c r="C918">
        <f>TEXT(B918,"mmm yyyy")</f>
        <v/>
      </c>
      <c r="D918">
        <f>"Q"&amp;(INT((A918-1)/13)+1)</f>
        <v/>
      </c>
      <c r="E918" t="inlineStr">
        <is>
          <t>On Premise</t>
        </is>
      </c>
      <c r="F918">
        <f>IFERROR(INDEX(ChFormat,MATCH(E918,ChName,0)),"")</f>
        <v/>
      </c>
      <c r="G918" t="inlineStr">
        <is>
          <t>NS</t>
        </is>
      </c>
      <c r="H918">
        <f>IF(A918&lt;=NWeeks,1,0)</f>
        <v/>
      </c>
      <c r="I918">
        <f>INDEX(ChLaunch,MATCH(E918,ChName,0))</f>
        <v/>
      </c>
      <c r="J918">
        <f>INDEX(ChWeeksFull,MATCH(E918,ChName,0))</f>
        <v/>
      </c>
      <c r="K918">
        <f>INDEX(ChRamp,MATCH(E918,ChName,0))</f>
        <v/>
      </c>
      <c r="L918" s="45">
        <f>MIN(1,MAX(0,(A918-I918+1)*RampSpeed/J918))</f>
        <v/>
      </c>
      <c r="M918" s="45">
        <f>IF(A918&lt;I918,0,IF(K918="S-curve",L918*L918*(3-2*L918),L918))</f>
        <v/>
      </c>
      <c r="N918" s="45">
        <f>1+(INDEX(SeasonIdx,A918)-1)*SeasonAmp</f>
        <v/>
      </c>
      <c r="O918" s="45">
        <f>IFERROR(INDEX(PSPct,MATCH(E918&amp;"|"&amp;G918,PSKey,0)),0)</f>
        <v/>
      </c>
      <c r="P918" s="46">
        <f>INDEX(ChDoorVel,MATCH(E918,ChName,0))*CalibScalar*(1+VelocityUplift)</f>
        <v/>
      </c>
      <c r="Q918" s="46" t="n">
        <v>0</v>
      </c>
      <c r="R918" s="46">
        <f>P918*O918*M918*N918*H918</f>
        <v/>
      </c>
      <c r="S918" s="46">
        <f>R918*INDEX(FmtCansPerCase,MATCH(F918,FmtName,0))</f>
        <v/>
      </c>
      <c r="T918" s="46">
        <f>S918/INDEX(FmtCansPerPack,MATCH(F918,FmtName,0))</f>
        <v/>
      </c>
      <c r="U918" s="47">
        <f>INDEX(ChBaseCP,MATCH(E918,ChName,0))*(1+INDEX(ProvMod,MATCH(G918,ProvCode,0)))*(1+PriceIndex)</f>
        <v/>
      </c>
      <c r="V918" s="47">
        <f>R918*U918*INDEX(FmtBlendedPriceIdx,MATCH(F918,FmtName,0))</f>
        <v/>
      </c>
      <c r="W918" s="47">
        <f>T918*INDEX(ProvSRP,MATCH(G918,ProvCode,0))*(1+PriceIndex)</f>
        <v/>
      </c>
      <c r="X918" s="47">
        <f>IF(GrossBasis="Wholesale",V918,W918)</f>
        <v/>
      </c>
      <c r="Y918" s="47">
        <f>R918*INDEX(FmtBlendedCogs,MATCH(F918,FmtName,0))</f>
        <v/>
      </c>
      <c r="Z918" s="47">
        <f>X918-Y918</f>
        <v/>
      </c>
    </row>
    <row r="919">
      <c r="A919" t="n">
        <v>17</v>
      </c>
      <c r="B919" s="44">
        <f>FiscalStart+(A919-1)*7</f>
        <v/>
      </c>
      <c r="C919">
        <f>TEXT(B919,"mmm yyyy")</f>
        <v/>
      </c>
      <c r="D919">
        <f>"Q"&amp;(INT((A919-1)/13)+1)</f>
        <v/>
      </c>
      <c r="E919" t="inlineStr">
        <is>
          <t>On Premise</t>
        </is>
      </c>
      <c r="F919">
        <f>IFERROR(INDEX(ChFormat,MATCH(E919,ChName,0)),"")</f>
        <v/>
      </c>
      <c r="G919" t="inlineStr">
        <is>
          <t>NS</t>
        </is>
      </c>
      <c r="H919">
        <f>IF(A919&lt;=NWeeks,1,0)</f>
        <v/>
      </c>
      <c r="I919">
        <f>INDEX(ChLaunch,MATCH(E919,ChName,0))</f>
        <v/>
      </c>
      <c r="J919">
        <f>INDEX(ChWeeksFull,MATCH(E919,ChName,0))</f>
        <v/>
      </c>
      <c r="K919">
        <f>INDEX(ChRamp,MATCH(E919,ChName,0))</f>
        <v/>
      </c>
      <c r="L919" s="45">
        <f>MIN(1,MAX(0,(A919-I919+1)*RampSpeed/J919))</f>
        <v/>
      </c>
      <c r="M919" s="45">
        <f>IF(A919&lt;I919,0,IF(K919="S-curve",L919*L919*(3-2*L919),L919))</f>
        <v/>
      </c>
      <c r="N919" s="45">
        <f>1+(INDEX(SeasonIdx,A919)-1)*SeasonAmp</f>
        <v/>
      </c>
      <c r="O919" s="45">
        <f>IFERROR(INDEX(PSPct,MATCH(E919&amp;"|"&amp;G919,PSKey,0)),0)</f>
        <v/>
      </c>
      <c r="P919" s="46">
        <f>INDEX(ChDoorVel,MATCH(E919,ChName,0))*CalibScalar*(1+VelocityUplift)</f>
        <v/>
      </c>
      <c r="Q919" s="46" t="n">
        <v>0</v>
      </c>
      <c r="R919" s="46">
        <f>P919*O919*M919*N919*H919</f>
        <v/>
      </c>
      <c r="S919" s="46">
        <f>R919*INDEX(FmtCansPerCase,MATCH(F919,FmtName,0))</f>
        <v/>
      </c>
      <c r="T919" s="46">
        <f>S919/INDEX(FmtCansPerPack,MATCH(F919,FmtName,0))</f>
        <v/>
      </c>
      <c r="U919" s="47">
        <f>INDEX(ChBaseCP,MATCH(E919,ChName,0))*(1+INDEX(ProvMod,MATCH(G919,ProvCode,0)))*(1+PriceIndex)</f>
        <v/>
      </c>
      <c r="V919" s="47">
        <f>R919*U919*INDEX(FmtBlendedPriceIdx,MATCH(F919,FmtName,0))</f>
        <v/>
      </c>
      <c r="W919" s="47">
        <f>T919*INDEX(ProvSRP,MATCH(G919,ProvCode,0))*(1+PriceIndex)</f>
        <v/>
      </c>
      <c r="X919" s="47">
        <f>IF(GrossBasis="Wholesale",V919,W919)</f>
        <v/>
      </c>
      <c r="Y919" s="47">
        <f>R919*INDEX(FmtBlendedCogs,MATCH(F919,FmtName,0))</f>
        <v/>
      </c>
      <c r="Z919" s="47">
        <f>X919-Y919</f>
        <v/>
      </c>
    </row>
    <row r="920">
      <c r="A920" t="n">
        <v>18</v>
      </c>
      <c r="B920" s="44">
        <f>FiscalStart+(A920-1)*7</f>
        <v/>
      </c>
      <c r="C920">
        <f>TEXT(B920,"mmm yyyy")</f>
        <v/>
      </c>
      <c r="D920">
        <f>"Q"&amp;(INT((A920-1)/13)+1)</f>
        <v/>
      </c>
      <c r="E920" t="inlineStr">
        <is>
          <t>On Premise</t>
        </is>
      </c>
      <c r="F920">
        <f>IFERROR(INDEX(ChFormat,MATCH(E920,ChName,0)),"")</f>
        <v/>
      </c>
      <c r="G920" t="inlineStr">
        <is>
          <t>NS</t>
        </is>
      </c>
      <c r="H920">
        <f>IF(A920&lt;=NWeeks,1,0)</f>
        <v/>
      </c>
      <c r="I920">
        <f>INDEX(ChLaunch,MATCH(E920,ChName,0))</f>
        <v/>
      </c>
      <c r="J920">
        <f>INDEX(ChWeeksFull,MATCH(E920,ChName,0))</f>
        <v/>
      </c>
      <c r="K920">
        <f>INDEX(ChRamp,MATCH(E920,ChName,0))</f>
        <v/>
      </c>
      <c r="L920" s="45">
        <f>MIN(1,MAX(0,(A920-I920+1)*RampSpeed/J920))</f>
        <v/>
      </c>
      <c r="M920" s="45">
        <f>IF(A920&lt;I920,0,IF(K920="S-curve",L920*L920*(3-2*L920),L920))</f>
        <v/>
      </c>
      <c r="N920" s="45">
        <f>1+(INDEX(SeasonIdx,A920)-1)*SeasonAmp</f>
        <v/>
      </c>
      <c r="O920" s="45">
        <f>IFERROR(INDEX(PSPct,MATCH(E920&amp;"|"&amp;G920,PSKey,0)),0)</f>
        <v/>
      </c>
      <c r="P920" s="46">
        <f>INDEX(ChDoorVel,MATCH(E920,ChName,0))*CalibScalar*(1+VelocityUplift)</f>
        <v/>
      </c>
      <c r="Q920" s="46" t="n">
        <v>0</v>
      </c>
      <c r="R920" s="46">
        <f>P920*O920*M920*N920*H920</f>
        <v/>
      </c>
      <c r="S920" s="46">
        <f>R920*INDEX(FmtCansPerCase,MATCH(F920,FmtName,0))</f>
        <v/>
      </c>
      <c r="T920" s="46">
        <f>S920/INDEX(FmtCansPerPack,MATCH(F920,FmtName,0))</f>
        <v/>
      </c>
      <c r="U920" s="47">
        <f>INDEX(ChBaseCP,MATCH(E920,ChName,0))*(1+INDEX(ProvMod,MATCH(G920,ProvCode,0)))*(1+PriceIndex)</f>
        <v/>
      </c>
      <c r="V920" s="47">
        <f>R920*U920*INDEX(FmtBlendedPriceIdx,MATCH(F920,FmtName,0))</f>
        <v/>
      </c>
      <c r="W920" s="47">
        <f>T920*INDEX(ProvSRP,MATCH(G920,ProvCode,0))*(1+PriceIndex)</f>
        <v/>
      </c>
      <c r="X920" s="47">
        <f>IF(GrossBasis="Wholesale",V920,W920)</f>
        <v/>
      </c>
      <c r="Y920" s="47">
        <f>R920*INDEX(FmtBlendedCogs,MATCH(F920,FmtName,0))</f>
        <v/>
      </c>
      <c r="Z920" s="47">
        <f>X920-Y920</f>
        <v/>
      </c>
    </row>
    <row r="921">
      <c r="A921" t="n">
        <v>19</v>
      </c>
      <c r="B921" s="44">
        <f>FiscalStart+(A921-1)*7</f>
        <v/>
      </c>
      <c r="C921">
        <f>TEXT(B921,"mmm yyyy")</f>
        <v/>
      </c>
      <c r="D921">
        <f>"Q"&amp;(INT((A921-1)/13)+1)</f>
        <v/>
      </c>
      <c r="E921" t="inlineStr">
        <is>
          <t>On Premise</t>
        </is>
      </c>
      <c r="F921">
        <f>IFERROR(INDEX(ChFormat,MATCH(E921,ChName,0)),"")</f>
        <v/>
      </c>
      <c r="G921" t="inlineStr">
        <is>
          <t>NS</t>
        </is>
      </c>
      <c r="H921">
        <f>IF(A921&lt;=NWeeks,1,0)</f>
        <v/>
      </c>
      <c r="I921">
        <f>INDEX(ChLaunch,MATCH(E921,ChName,0))</f>
        <v/>
      </c>
      <c r="J921">
        <f>INDEX(ChWeeksFull,MATCH(E921,ChName,0))</f>
        <v/>
      </c>
      <c r="K921">
        <f>INDEX(ChRamp,MATCH(E921,ChName,0))</f>
        <v/>
      </c>
      <c r="L921" s="45">
        <f>MIN(1,MAX(0,(A921-I921+1)*RampSpeed/J921))</f>
        <v/>
      </c>
      <c r="M921" s="45">
        <f>IF(A921&lt;I921,0,IF(K921="S-curve",L921*L921*(3-2*L921),L921))</f>
        <v/>
      </c>
      <c r="N921" s="45">
        <f>1+(INDEX(SeasonIdx,A921)-1)*SeasonAmp</f>
        <v/>
      </c>
      <c r="O921" s="45">
        <f>IFERROR(INDEX(PSPct,MATCH(E921&amp;"|"&amp;G921,PSKey,0)),0)</f>
        <v/>
      </c>
      <c r="P921" s="46">
        <f>INDEX(ChDoorVel,MATCH(E921,ChName,0))*CalibScalar*(1+VelocityUplift)</f>
        <v/>
      </c>
      <c r="Q921" s="46" t="n">
        <v>0</v>
      </c>
      <c r="R921" s="46">
        <f>P921*O921*M921*N921*H921</f>
        <v/>
      </c>
      <c r="S921" s="46">
        <f>R921*INDEX(FmtCansPerCase,MATCH(F921,FmtName,0))</f>
        <v/>
      </c>
      <c r="T921" s="46">
        <f>S921/INDEX(FmtCansPerPack,MATCH(F921,FmtName,0))</f>
        <v/>
      </c>
      <c r="U921" s="47">
        <f>INDEX(ChBaseCP,MATCH(E921,ChName,0))*(1+INDEX(ProvMod,MATCH(G921,ProvCode,0)))*(1+PriceIndex)</f>
        <v/>
      </c>
      <c r="V921" s="47">
        <f>R921*U921*INDEX(FmtBlendedPriceIdx,MATCH(F921,FmtName,0))</f>
        <v/>
      </c>
      <c r="W921" s="47">
        <f>T921*INDEX(ProvSRP,MATCH(G921,ProvCode,0))*(1+PriceIndex)</f>
        <v/>
      </c>
      <c r="X921" s="47">
        <f>IF(GrossBasis="Wholesale",V921,W921)</f>
        <v/>
      </c>
      <c r="Y921" s="47">
        <f>R921*INDEX(FmtBlendedCogs,MATCH(F921,FmtName,0))</f>
        <v/>
      </c>
      <c r="Z921" s="47">
        <f>X921-Y921</f>
        <v/>
      </c>
    </row>
    <row r="922">
      <c r="A922" t="n">
        <v>20</v>
      </c>
      <c r="B922" s="44">
        <f>FiscalStart+(A922-1)*7</f>
        <v/>
      </c>
      <c r="C922">
        <f>TEXT(B922,"mmm yyyy")</f>
        <v/>
      </c>
      <c r="D922">
        <f>"Q"&amp;(INT((A922-1)/13)+1)</f>
        <v/>
      </c>
      <c r="E922" t="inlineStr">
        <is>
          <t>On Premise</t>
        </is>
      </c>
      <c r="F922">
        <f>IFERROR(INDEX(ChFormat,MATCH(E922,ChName,0)),"")</f>
        <v/>
      </c>
      <c r="G922" t="inlineStr">
        <is>
          <t>NS</t>
        </is>
      </c>
      <c r="H922">
        <f>IF(A922&lt;=NWeeks,1,0)</f>
        <v/>
      </c>
      <c r="I922">
        <f>INDEX(ChLaunch,MATCH(E922,ChName,0))</f>
        <v/>
      </c>
      <c r="J922">
        <f>INDEX(ChWeeksFull,MATCH(E922,ChName,0))</f>
        <v/>
      </c>
      <c r="K922">
        <f>INDEX(ChRamp,MATCH(E922,ChName,0))</f>
        <v/>
      </c>
      <c r="L922" s="45">
        <f>MIN(1,MAX(0,(A922-I922+1)*RampSpeed/J922))</f>
        <v/>
      </c>
      <c r="M922" s="45">
        <f>IF(A922&lt;I922,0,IF(K922="S-curve",L922*L922*(3-2*L922),L922))</f>
        <v/>
      </c>
      <c r="N922" s="45">
        <f>1+(INDEX(SeasonIdx,A922)-1)*SeasonAmp</f>
        <v/>
      </c>
      <c r="O922" s="45">
        <f>IFERROR(INDEX(PSPct,MATCH(E922&amp;"|"&amp;G922,PSKey,0)),0)</f>
        <v/>
      </c>
      <c r="P922" s="46">
        <f>INDEX(ChDoorVel,MATCH(E922,ChName,0))*CalibScalar*(1+VelocityUplift)</f>
        <v/>
      </c>
      <c r="Q922" s="46" t="n">
        <v>0</v>
      </c>
      <c r="R922" s="46">
        <f>P922*O922*M922*N922*H922</f>
        <v/>
      </c>
      <c r="S922" s="46">
        <f>R922*INDEX(FmtCansPerCase,MATCH(F922,FmtName,0))</f>
        <v/>
      </c>
      <c r="T922" s="46">
        <f>S922/INDEX(FmtCansPerPack,MATCH(F922,FmtName,0))</f>
        <v/>
      </c>
      <c r="U922" s="47">
        <f>INDEX(ChBaseCP,MATCH(E922,ChName,0))*(1+INDEX(ProvMod,MATCH(G922,ProvCode,0)))*(1+PriceIndex)</f>
        <v/>
      </c>
      <c r="V922" s="47">
        <f>R922*U922*INDEX(FmtBlendedPriceIdx,MATCH(F922,FmtName,0))</f>
        <v/>
      </c>
      <c r="W922" s="47">
        <f>T922*INDEX(ProvSRP,MATCH(G922,ProvCode,0))*(1+PriceIndex)</f>
        <v/>
      </c>
      <c r="X922" s="47">
        <f>IF(GrossBasis="Wholesale",V922,W922)</f>
        <v/>
      </c>
      <c r="Y922" s="47">
        <f>R922*INDEX(FmtBlendedCogs,MATCH(F922,FmtName,0))</f>
        <v/>
      </c>
      <c r="Z922" s="47">
        <f>X922-Y922</f>
        <v/>
      </c>
    </row>
    <row r="923">
      <c r="A923" t="n">
        <v>21</v>
      </c>
      <c r="B923" s="44">
        <f>FiscalStart+(A923-1)*7</f>
        <v/>
      </c>
      <c r="C923">
        <f>TEXT(B923,"mmm yyyy")</f>
        <v/>
      </c>
      <c r="D923">
        <f>"Q"&amp;(INT((A923-1)/13)+1)</f>
        <v/>
      </c>
      <c r="E923" t="inlineStr">
        <is>
          <t>On Premise</t>
        </is>
      </c>
      <c r="F923">
        <f>IFERROR(INDEX(ChFormat,MATCH(E923,ChName,0)),"")</f>
        <v/>
      </c>
      <c r="G923" t="inlineStr">
        <is>
          <t>NS</t>
        </is>
      </c>
      <c r="H923">
        <f>IF(A923&lt;=NWeeks,1,0)</f>
        <v/>
      </c>
      <c r="I923">
        <f>INDEX(ChLaunch,MATCH(E923,ChName,0))</f>
        <v/>
      </c>
      <c r="J923">
        <f>INDEX(ChWeeksFull,MATCH(E923,ChName,0))</f>
        <v/>
      </c>
      <c r="K923">
        <f>INDEX(ChRamp,MATCH(E923,ChName,0))</f>
        <v/>
      </c>
      <c r="L923" s="45">
        <f>MIN(1,MAX(0,(A923-I923+1)*RampSpeed/J923))</f>
        <v/>
      </c>
      <c r="M923" s="45">
        <f>IF(A923&lt;I923,0,IF(K923="S-curve",L923*L923*(3-2*L923),L923))</f>
        <v/>
      </c>
      <c r="N923" s="45">
        <f>1+(INDEX(SeasonIdx,A923)-1)*SeasonAmp</f>
        <v/>
      </c>
      <c r="O923" s="45">
        <f>IFERROR(INDEX(PSPct,MATCH(E923&amp;"|"&amp;G923,PSKey,0)),0)</f>
        <v/>
      </c>
      <c r="P923" s="46">
        <f>INDEX(ChDoorVel,MATCH(E923,ChName,0))*CalibScalar*(1+VelocityUplift)</f>
        <v/>
      </c>
      <c r="Q923" s="46" t="n">
        <v>0</v>
      </c>
      <c r="R923" s="46">
        <f>P923*O923*M923*N923*H923</f>
        <v/>
      </c>
      <c r="S923" s="46">
        <f>R923*INDEX(FmtCansPerCase,MATCH(F923,FmtName,0))</f>
        <v/>
      </c>
      <c r="T923" s="46">
        <f>S923/INDEX(FmtCansPerPack,MATCH(F923,FmtName,0))</f>
        <v/>
      </c>
      <c r="U923" s="47">
        <f>INDEX(ChBaseCP,MATCH(E923,ChName,0))*(1+INDEX(ProvMod,MATCH(G923,ProvCode,0)))*(1+PriceIndex)</f>
        <v/>
      </c>
      <c r="V923" s="47">
        <f>R923*U923*INDEX(FmtBlendedPriceIdx,MATCH(F923,FmtName,0))</f>
        <v/>
      </c>
      <c r="W923" s="47">
        <f>T923*INDEX(ProvSRP,MATCH(G923,ProvCode,0))*(1+PriceIndex)</f>
        <v/>
      </c>
      <c r="X923" s="47">
        <f>IF(GrossBasis="Wholesale",V923,W923)</f>
        <v/>
      </c>
      <c r="Y923" s="47">
        <f>R923*INDEX(FmtBlendedCogs,MATCH(F923,FmtName,0))</f>
        <v/>
      </c>
      <c r="Z923" s="47">
        <f>X923-Y923</f>
        <v/>
      </c>
    </row>
    <row r="924">
      <c r="A924" t="n">
        <v>22</v>
      </c>
      <c r="B924" s="44">
        <f>FiscalStart+(A924-1)*7</f>
        <v/>
      </c>
      <c r="C924">
        <f>TEXT(B924,"mmm yyyy")</f>
        <v/>
      </c>
      <c r="D924">
        <f>"Q"&amp;(INT((A924-1)/13)+1)</f>
        <v/>
      </c>
      <c r="E924" t="inlineStr">
        <is>
          <t>On Premise</t>
        </is>
      </c>
      <c r="F924">
        <f>IFERROR(INDEX(ChFormat,MATCH(E924,ChName,0)),"")</f>
        <v/>
      </c>
      <c r="G924" t="inlineStr">
        <is>
          <t>NS</t>
        </is>
      </c>
      <c r="H924">
        <f>IF(A924&lt;=NWeeks,1,0)</f>
        <v/>
      </c>
      <c r="I924">
        <f>INDEX(ChLaunch,MATCH(E924,ChName,0))</f>
        <v/>
      </c>
      <c r="J924">
        <f>INDEX(ChWeeksFull,MATCH(E924,ChName,0))</f>
        <v/>
      </c>
      <c r="K924">
        <f>INDEX(ChRamp,MATCH(E924,ChName,0))</f>
        <v/>
      </c>
      <c r="L924" s="45">
        <f>MIN(1,MAX(0,(A924-I924+1)*RampSpeed/J924))</f>
        <v/>
      </c>
      <c r="M924" s="45">
        <f>IF(A924&lt;I924,0,IF(K924="S-curve",L924*L924*(3-2*L924),L924))</f>
        <v/>
      </c>
      <c r="N924" s="45">
        <f>1+(INDEX(SeasonIdx,A924)-1)*SeasonAmp</f>
        <v/>
      </c>
      <c r="O924" s="45">
        <f>IFERROR(INDEX(PSPct,MATCH(E924&amp;"|"&amp;G924,PSKey,0)),0)</f>
        <v/>
      </c>
      <c r="P924" s="46">
        <f>INDEX(ChDoorVel,MATCH(E924,ChName,0))*CalibScalar*(1+VelocityUplift)</f>
        <v/>
      </c>
      <c r="Q924" s="46" t="n">
        <v>0</v>
      </c>
      <c r="R924" s="46">
        <f>P924*O924*M924*N924*H924</f>
        <v/>
      </c>
      <c r="S924" s="46">
        <f>R924*INDEX(FmtCansPerCase,MATCH(F924,FmtName,0))</f>
        <v/>
      </c>
      <c r="T924" s="46">
        <f>S924/INDEX(FmtCansPerPack,MATCH(F924,FmtName,0))</f>
        <v/>
      </c>
      <c r="U924" s="47">
        <f>INDEX(ChBaseCP,MATCH(E924,ChName,0))*(1+INDEX(ProvMod,MATCH(G924,ProvCode,0)))*(1+PriceIndex)</f>
        <v/>
      </c>
      <c r="V924" s="47">
        <f>R924*U924*INDEX(FmtBlendedPriceIdx,MATCH(F924,FmtName,0))</f>
        <v/>
      </c>
      <c r="W924" s="47">
        <f>T924*INDEX(ProvSRP,MATCH(G924,ProvCode,0))*(1+PriceIndex)</f>
        <v/>
      </c>
      <c r="X924" s="47">
        <f>IF(GrossBasis="Wholesale",V924,W924)</f>
        <v/>
      </c>
      <c r="Y924" s="47">
        <f>R924*INDEX(FmtBlendedCogs,MATCH(F924,FmtName,0))</f>
        <v/>
      </c>
      <c r="Z924" s="47">
        <f>X924-Y924</f>
        <v/>
      </c>
    </row>
    <row r="925">
      <c r="A925" t="n">
        <v>23</v>
      </c>
      <c r="B925" s="44">
        <f>FiscalStart+(A925-1)*7</f>
        <v/>
      </c>
      <c r="C925">
        <f>TEXT(B925,"mmm yyyy")</f>
        <v/>
      </c>
      <c r="D925">
        <f>"Q"&amp;(INT((A925-1)/13)+1)</f>
        <v/>
      </c>
      <c r="E925" t="inlineStr">
        <is>
          <t>On Premise</t>
        </is>
      </c>
      <c r="F925">
        <f>IFERROR(INDEX(ChFormat,MATCH(E925,ChName,0)),"")</f>
        <v/>
      </c>
      <c r="G925" t="inlineStr">
        <is>
          <t>NS</t>
        </is>
      </c>
      <c r="H925">
        <f>IF(A925&lt;=NWeeks,1,0)</f>
        <v/>
      </c>
      <c r="I925">
        <f>INDEX(ChLaunch,MATCH(E925,ChName,0))</f>
        <v/>
      </c>
      <c r="J925">
        <f>INDEX(ChWeeksFull,MATCH(E925,ChName,0))</f>
        <v/>
      </c>
      <c r="K925">
        <f>INDEX(ChRamp,MATCH(E925,ChName,0))</f>
        <v/>
      </c>
      <c r="L925" s="45">
        <f>MIN(1,MAX(0,(A925-I925+1)*RampSpeed/J925))</f>
        <v/>
      </c>
      <c r="M925" s="45">
        <f>IF(A925&lt;I925,0,IF(K925="S-curve",L925*L925*(3-2*L925),L925))</f>
        <v/>
      </c>
      <c r="N925" s="45">
        <f>1+(INDEX(SeasonIdx,A925)-1)*SeasonAmp</f>
        <v/>
      </c>
      <c r="O925" s="45">
        <f>IFERROR(INDEX(PSPct,MATCH(E925&amp;"|"&amp;G925,PSKey,0)),0)</f>
        <v/>
      </c>
      <c r="P925" s="46">
        <f>INDEX(ChDoorVel,MATCH(E925,ChName,0))*CalibScalar*(1+VelocityUplift)</f>
        <v/>
      </c>
      <c r="Q925" s="46" t="n">
        <v>0</v>
      </c>
      <c r="R925" s="46">
        <f>P925*O925*M925*N925*H925</f>
        <v/>
      </c>
      <c r="S925" s="46">
        <f>R925*INDEX(FmtCansPerCase,MATCH(F925,FmtName,0))</f>
        <v/>
      </c>
      <c r="T925" s="46">
        <f>S925/INDEX(FmtCansPerPack,MATCH(F925,FmtName,0))</f>
        <v/>
      </c>
      <c r="U925" s="47">
        <f>INDEX(ChBaseCP,MATCH(E925,ChName,0))*(1+INDEX(ProvMod,MATCH(G925,ProvCode,0)))*(1+PriceIndex)</f>
        <v/>
      </c>
      <c r="V925" s="47">
        <f>R925*U925*INDEX(FmtBlendedPriceIdx,MATCH(F925,FmtName,0))</f>
        <v/>
      </c>
      <c r="W925" s="47">
        <f>T925*INDEX(ProvSRP,MATCH(G925,ProvCode,0))*(1+PriceIndex)</f>
        <v/>
      </c>
      <c r="X925" s="47">
        <f>IF(GrossBasis="Wholesale",V925,W925)</f>
        <v/>
      </c>
      <c r="Y925" s="47">
        <f>R925*INDEX(FmtBlendedCogs,MATCH(F925,FmtName,0))</f>
        <v/>
      </c>
      <c r="Z925" s="47">
        <f>X925-Y925</f>
        <v/>
      </c>
    </row>
    <row r="926">
      <c r="A926" t="n">
        <v>24</v>
      </c>
      <c r="B926" s="44">
        <f>FiscalStart+(A926-1)*7</f>
        <v/>
      </c>
      <c r="C926">
        <f>TEXT(B926,"mmm yyyy")</f>
        <v/>
      </c>
      <c r="D926">
        <f>"Q"&amp;(INT((A926-1)/13)+1)</f>
        <v/>
      </c>
      <c r="E926" t="inlineStr">
        <is>
          <t>On Premise</t>
        </is>
      </c>
      <c r="F926">
        <f>IFERROR(INDEX(ChFormat,MATCH(E926,ChName,0)),"")</f>
        <v/>
      </c>
      <c r="G926" t="inlineStr">
        <is>
          <t>NS</t>
        </is>
      </c>
      <c r="H926">
        <f>IF(A926&lt;=NWeeks,1,0)</f>
        <v/>
      </c>
      <c r="I926">
        <f>INDEX(ChLaunch,MATCH(E926,ChName,0))</f>
        <v/>
      </c>
      <c r="J926">
        <f>INDEX(ChWeeksFull,MATCH(E926,ChName,0))</f>
        <v/>
      </c>
      <c r="K926">
        <f>INDEX(ChRamp,MATCH(E926,ChName,0))</f>
        <v/>
      </c>
      <c r="L926" s="45">
        <f>MIN(1,MAX(0,(A926-I926+1)*RampSpeed/J926))</f>
        <v/>
      </c>
      <c r="M926" s="45">
        <f>IF(A926&lt;I926,0,IF(K926="S-curve",L926*L926*(3-2*L926),L926))</f>
        <v/>
      </c>
      <c r="N926" s="45">
        <f>1+(INDEX(SeasonIdx,A926)-1)*SeasonAmp</f>
        <v/>
      </c>
      <c r="O926" s="45">
        <f>IFERROR(INDEX(PSPct,MATCH(E926&amp;"|"&amp;G926,PSKey,0)),0)</f>
        <v/>
      </c>
      <c r="P926" s="46">
        <f>INDEX(ChDoorVel,MATCH(E926,ChName,0))*CalibScalar*(1+VelocityUplift)</f>
        <v/>
      </c>
      <c r="Q926" s="46" t="n">
        <v>0</v>
      </c>
      <c r="R926" s="46">
        <f>P926*O926*M926*N926*H926</f>
        <v/>
      </c>
      <c r="S926" s="46">
        <f>R926*INDEX(FmtCansPerCase,MATCH(F926,FmtName,0))</f>
        <v/>
      </c>
      <c r="T926" s="46">
        <f>S926/INDEX(FmtCansPerPack,MATCH(F926,FmtName,0))</f>
        <v/>
      </c>
      <c r="U926" s="47">
        <f>INDEX(ChBaseCP,MATCH(E926,ChName,0))*(1+INDEX(ProvMod,MATCH(G926,ProvCode,0)))*(1+PriceIndex)</f>
        <v/>
      </c>
      <c r="V926" s="47">
        <f>R926*U926*INDEX(FmtBlendedPriceIdx,MATCH(F926,FmtName,0))</f>
        <v/>
      </c>
      <c r="W926" s="47">
        <f>T926*INDEX(ProvSRP,MATCH(G926,ProvCode,0))*(1+PriceIndex)</f>
        <v/>
      </c>
      <c r="X926" s="47">
        <f>IF(GrossBasis="Wholesale",V926,W926)</f>
        <v/>
      </c>
      <c r="Y926" s="47">
        <f>R926*INDEX(FmtBlendedCogs,MATCH(F926,FmtName,0))</f>
        <v/>
      </c>
      <c r="Z926" s="47">
        <f>X926-Y926</f>
        <v/>
      </c>
    </row>
    <row r="927">
      <c r="A927" t="n">
        <v>25</v>
      </c>
      <c r="B927" s="44">
        <f>FiscalStart+(A927-1)*7</f>
        <v/>
      </c>
      <c r="C927">
        <f>TEXT(B927,"mmm yyyy")</f>
        <v/>
      </c>
      <c r="D927">
        <f>"Q"&amp;(INT((A927-1)/13)+1)</f>
        <v/>
      </c>
      <c r="E927" t="inlineStr">
        <is>
          <t>On Premise</t>
        </is>
      </c>
      <c r="F927">
        <f>IFERROR(INDEX(ChFormat,MATCH(E927,ChName,0)),"")</f>
        <v/>
      </c>
      <c r="G927" t="inlineStr">
        <is>
          <t>NS</t>
        </is>
      </c>
      <c r="H927">
        <f>IF(A927&lt;=NWeeks,1,0)</f>
        <v/>
      </c>
      <c r="I927">
        <f>INDEX(ChLaunch,MATCH(E927,ChName,0))</f>
        <v/>
      </c>
      <c r="J927">
        <f>INDEX(ChWeeksFull,MATCH(E927,ChName,0))</f>
        <v/>
      </c>
      <c r="K927">
        <f>INDEX(ChRamp,MATCH(E927,ChName,0))</f>
        <v/>
      </c>
      <c r="L927" s="45">
        <f>MIN(1,MAX(0,(A927-I927+1)*RampSpeed/J927))</f>
        <v/>
      </c>
      <c r="M927" s="45">
        <f>IF(A927&lt;I927,0,IF(K927="S-curve",L927*L927*(3-2*L927),L927))</f>
        <v/>
      </c>
      <c r="N927" s="45">
        <f>1+(INDEX(SeasonIdx,A927)-1)*SeasonAmp</f>
        <v/>
      </c>
      <c r="O927" s="45">
        <f>IFERROR(INDEX(PSPct,MATCH(E927&amp;"|"&amp;G927,PSKey,0)),0)</f>
        <v/>
      </c>
      <c r="P927" s="46">
        <f>INDEX(ChDoorVel,MATCH(E927,ChName,0))*CalibScalar*(1+VelocityUplift)</f>
        <v/>
      </c>
      <c r="Q927" s="46" t="n">
        <v>0</v>
      </c>
      <c r="R927" s="46">
        <f>P927*O927*M927*N927*H927</f>
        <v/>
      </c>
      <c r="S927" s="46">
        <f>R927*INDEX(FmtCansPerCase,MATCH(F927,FmtName,0))</f>
        <v/>
      </c>
      <c r="T927" s="46">
        <f>S927/INDEX(FmtCansPerPack,MATCH(F927,FmtName,0))</f>
        <v/>
      </c>
      <c r="U927" s="47">
        <f>INDEX(ChBaseCP,MATCH(E927,ChName,0))*(1+INDEX(ProvMod,MATCH(G927,ProvCode,0)))*(1+PriceIndex)</f>
        <v/>
      </c>
      <c r="V927" s="47">
        <f>R927*U927*INDEX(FmtBlendedPriceIdx,MATCH(F927,FmtName,0))</f>
        <v/>
      </c>
      <c r="W927" s="47">
        <f>T927*INDEX(ProvSRP,MATCH(G927,ProvCode,0))*(1+PriceIndex)</f>
        <v/>
      </c>
      <c r="X927" s="47">
        <f>IF(GrossBasis="Wholesale",V927,W927)</f>
        <v/>
      </c>
      <c r="Y927" s="47">
        <f>R927*INDEX(FmtBlendedCogs,MATCH(F927,FmtName,0))</f>
        <v/>
      </c>
      <c r="Z927" s="47">
        <f>X927-Y927</f>
        <v/>
      </c>
    </row>
    <row r="928">
      <c r="A928" t="n">
        <v>26</v>
      </c>
      <c r="B928" s="44">
        <f>FiscalStart+(A928-1)*7</f>
        <v/>
      </c>
      <c r="C928">
        <f>TEXT(B928,"mmm yyyy")</f>
        <v/>
      </c>
      <c r="D928">
        <f>"Q"&amp;(INT((A928-1)/13)+1)</f>
        <v/>
      </c>
      <c r="E928" t="inlineStr">
        <is>
          <t>On Premise</t>
        </is>
      </c>
      <c r="F928">
        <f>IFERROR(INDEX(ChFormat,MATCH(E928,ChName,0)),"")</f>
        <v/>
      </c>
      <c r="G928" t="inlineStr">
        <is>
          <t>NS</t>
        </is>
      </c>
      <c r="H928">
        <f>IF(A928&lt;=NWeeks,1,0)</f>
        <v/>
      </c>
      <c r="I928">
        <f>INDEX(ChLaunch,MATCH(E928,ChName,0))</f>
        <v/>
      </c>
      <c r="J928">
        <f>INDEX(ChWeeksFull,MATCH(E928,ChName,0))</f>
        <v/>
      </c>
      <c r="K928">
        <f>INDEX(ChRamp,MATCH(E928,ChName,0))</f>
        <v/>
      </c>
      <c r="L928" s="45">
        <f>MIN(1,MAX(0,(A928-I928+1)*RampSpeed/J928))</f>
        <v/>
      </c>
      <c r="M928" s="45">
        <f>IF(A928&lt;I928,0,IF(K928="S-curve",L928*L928*(3-2*L928),L928))</f>
        <v/>
      </c>
      <c r="N928" s="45">
        <f>1+(INDEX(SeasonIdx,A928)-1)*SeasonAmp</f>
        <v/>
      </c>
      <c r="O928" s="45">
        <f>IFERROR(INDEX(PSPct,MATCH(E928&amp;"|"&amp;G928,PSKey,0)),0)</f>
        <v/>
      </c>
      <c r="P928" s="46">
        <f>INDEX(ChDoorVel,MATCH(E928,ChName,0))*CalibScalar*(1+VelocityUplift)</f>
        <v/>
      </c>
      <c r="Q928" s="46" t="n">
        <v>0</v>
      </c>
      <c r="R928" s="46">
        <f>P928*O928*M928*N928*H928</f>
        <v/>
      </c>
      <c r="S928" s="46">
        <f>R928*INDEX(FmtCansPerCase,MATCH(F928,FmtName,0))</f>
        <v/>
      </c>
      <c r="T928" s="46">
        <f>S928/INDEX(FmtCansPerPack,MATCH(F928,FmtName,0))</f>
        <v/>
      </c>
      <c r="U928" s="47">
        <f>INDEX(ChBaseCP,MATCH(E928,ChName,0))*(1+INDEX(ProvMod,MATCH(G928,ProvCode,0)))*(1+PriceIndex)</f>
        <v/>
      </c>
      <c r="V928" s="47">
        <f>R928*U928*INDEX(FmtBlendedPriceIdx,MATCH(F928,FmtName,0))</f>
        <v/>
      </c>
      <c r="W928" s="47">
        <f>T928*INDEX(ProvSRP,MATCH(G928,ProvCode,0))*(1+PriceIndex)</f>
        <v/>
      </c>
      <c r="X928" s="47">
        <f>IF(GrossBasis="Wholesale",V928,W928)</f>
        <v/>
      </c>
      <c r="Y928" s="47">
        <f>R928*INDEX(FmtBlendedCogs,MATCH(F928,FmtName,0))</f>
        <v/>
      </c>
      <c r="Z928" s="47">
        <f>X928-Y928</f>
        <v/>
      </c>
    </row>
    <row r="929">
      <c r="A929" t="n">
        <v>27</v>
      </c>
      <c r="B929" s="44">
        <f>FiscalStart+(A929-1)*7</f>
        <v/>
      </c>
      <c r="C929">
        <f>TEXT(B929,"mmm yyyy")</f>
        <v/>
      </c>
      <c r="D929">
        <f>"Q"&amp;(INT((A929-1)/13)+1)</f>
        <v/>
      </c>
      <c r="E929" t="inlineStr">
        <is>
          <t>On Premise</t>
        </is>
      </c>
      <c r="F929">
        <f>IFERROR(INDEX(ChFormat,MATCH(E929,ChName,0)),"")</f>
        <v/>
      </c>
      <c r="G929" t="inlineStr">
        <is>
          <t>NS</t>
        </is>
      </c>
      <c r="H929">
        <f>IF(A929&lt;=NWeeks,1,0)</f>
        <v/>
      </c>
      <c r="I929">
        <f>INDEX(ChLaunch,MATCH(E929,ChName,0))</f>
        <v/>
      </c>
      <c r="J929">
        <f>INDEX(ChWeeksFull,MATCH(E929,ChName,0))</f>
        <v/>
      </c>
      <c r="K929">
        <f>INDEX(ChRamp,MATCH(E929,ChName,0))</f>
        <v/>
      </c>
      <c r="L929" s="45">
        <f>MIN(1,MAX(0,(A929-I929+1)*RampSpeed/J929))</f>
        <v/>
      </c>
      <c r="M929" s="45">
        <f>IF(A929&lt;I929,0,IF(K929="S-curve",L929*L929*(3-2*L929),L929))</f>
        <v/>
      </c>
      <c r="N929" s="45">
        <f>1+(INDEX(SeasonIdx,A929)-1)*SeasonAmp</f>
        <v/>
      </c>
      <c r="O929" s="45">
        <f>IFERROR(INDEX(PSPct,MATCH(E929&amp;"|"&amp;G929,PSKey,0)),0)</f>
        <v/>
      </c>
      <c r="P929" s="46">
        <f>INDEX(ChDoorVel,MATCH(E929,ChName,0))*CalibScalar*(1+VelocityUplift)</f>
        <v/>
      </c>
      <c r="Q929" s="46" t="n">
        <v>0</v>
      </c>
      <c r="R929" s="46">
        <f>P929*O929*M929*N929*H929</f>
        <v/>
      </c>
      <c r="S929" s="46">
        <f>R929*INDEX(FmtCansPerCase,MATCH(F929,FmtName,0))</f>
        <v/>
      </c>
      <c r="T929" s="46">
        <f>S929/INDEX(FmtCansPerPack,MATCH(F929,FmtName,0))</f>
        <v/>
      </c>
      <c r="U929" s="47">
        <f>INDEX(ChBaseCP,MATCH(E929,ChName,0))*(1+INDEX(ProvMod,MATCH(G929,ProvCode,0)))*(1+PriceIndex)</f>
        <v/>
      </c>
      <c r="V929" s="47">
        <f>R929*U929*INDEX(FmtBlendedPriceIdx,MATCH(F929,FmtName,0))</f>
        <v/>
      </c>
      <c r="W929" s="47">
        <f>T929*INDEX(ProvSRP,MATCH(G929,ProvCode,0))*(1+PriceIndex)</f>
        <v/>
      </c>
      <c r="X929" s="47">
        <f>IF(GrossBasis="Wholesale",V929,W929)</f>
        <v/>
      </c>
      <c r="Y929" s="47">
        <f>R929*INDEX(FmtBlendedCogs,MATCH(F929,FmtName,0))</f>
        <v/>
      </c>
      <c r="Z929" s="47">
        <f>X929-Y929</f>
        <v/>
      </c>
    </row>
    <row r="930">
      <c r="A930" t="n">
        <v>28</v>
      </c>
      <c r="B930" s="44">
        <f>FiscalStart+(A930-1)*7</f>
        <v/>
      </c>
      <c r="C930">
        <f>TEXT(B930,"mmm yyyy")</f>
        <v/>
      </c>
      <c r="D930">
        <f>"Q"&amp;(INT((A930-1)/13)+1)</f>
        <v/>
      </c>
      <c r="E930" t="inlineStr">
        <is>
          <t>On Premise</t>
        </is>
      </c>
      <c r="F930">
        <f>IFERROR(INDEX(ChFormat,MATCH(E930,ChName,0)),"")</f>
        <v/>
      </c>
      <c r="G930" t="inlineStr">
        <is>
          <t>NS</t>
        </is>
      </c>
      <c r="H930">
        <f>IF(A930&lt;=NWeeks,1,0)</f>
        <v/>
      </c>
      <c r="I930">
        <f>INDEX(ChLaunch,MATCH(E930,ChName,0))</f>
        <v/>
      </c>
      <c r="J930">
        <f>INDEX(ChWeeksFull,MATCH(E930,ChName,0))</f>
        <v/>
      </c>
      <c r="K930">
        <f>INDEX(ChRamp,MATCH(E930,ChName,0))</f>
        <v/>
      </c>
      <c r="L930" s="45">
        <f>MIN(1,MAX(0,(A930-I930+1)*RampSpeed/J930))</f>
        <v/>
      </c>
      <c r="M930" s="45">
        <f>IF(A930&lt;I930,0,IF(K930="S-curve",L930*L930*(3-2*L930),L930))</f>
        <v/>
      </c>
      <c r="N930" s="45">
        <f>1+(INDEX(SeasonIdx,A930)-1)*SeasonAmp</f>
        <v/>
      </c>
      <c r="O930" s="45">
        <f>IFERROR(INDEX(PSPct,MATCH(E930&amp;"|"&amp;G930,PSKey,0)),0)</f>
        <v/>
      </c>
      <c r="P930" s="46">
        <f>INDEX(ChDoorVel,MATCH(E930,ChName,0))*CalibScalar*(1+VelocityUplift)</f>
        <v/>
      </c>
      <c r="Q930" s="46" t="n">
        <v>0</v>
      </c>
      <c r="R930" s="46">
        <f>P930*O930*M930*N930*H930</f>
        <v/>
      </c>
      <c r="S930" s="46">
        <f>R930*INDEX(FmtCansPerCase,MATCH(F930,FmtName,0))</f>
        <v/>
      </c>
      <c r="T930" s="46">
        <f>S930/INDEX(FmtCansPerPack,MATCH(F930,FmtName,0))</f>
        <v/>
      </c>
      <c r="U930" s="47">
        <f>INDEX(ChBaseCP,MATCH(E930,ChName,0))*(1+INDEX(ProvMod,MATCH(G930,ProvCode,0)))*(1+PriceIndex)</f>
        <v/>
      </c>
      <c r="V930" s="47">
        <f>R930*U930*INDEX(FmtBlendedPriceIdx,MATCH(F930,FmtName,0))</f>
        <v/>
      </c>
      <c r="W930" s="47">
        <f>T930*INDEX(ProvSRP,MATCH(G930,ProvCode,0))*(1+PriceIndex)</f>
        <v/>
      </c>
      <c r="X930" s="47">
        <f>IF(GrossBasis="Wholesale",V930,W930)</f>
        <v/>
      </c>
      <c r="Y930" s="47">
        <f>R930*INDEX(FmtBlendedCogs,MATCH(F930,FmtName,0))</f>
        <v/>
      </c>
      <c r="Z930" s="47">
        <f>X930-Y930</f>
        <v/>
      </c>
    </row>
    <row r="931">
      <c r="A931" t="n">
        <v>29</v>
      </c>
      <c r="B931" s="44">
        <f>FiscalStart+(A931-1)*7</f>
        <v/>
      </c>
      <c r="C931">
        <f>TEXT(B931,"mmm yyyy")</f>
        <v/>
      </c>
      <c r="D931">
        <f>"Q"&amp;(INT((A931-1)/13)+1)</f>
        <v/>
      </c>
      <c r="E931" t="inlineStr">
        <is>
          <t>On Premise</t>
        </is>
      </c>
      <c r="F931">
        <f>IFERROR(INDEX(ChFormat,MATCH(E931,ChName,0)),"")</f>
        <v/>
      </c>
      <c r="G931" t="inlineStr">
        <is>
          <t>NS</t>
        </is>
      </c>
      <c r="H931">
        <f>IF(A931&lt;=NWeeks,1,0)</f>
        <v/>
      </c>
      <c r="I931">
        <f>INDEX(ChLaunch,MATCH(E931,ChName,0))</f>
        <v/>
      </c>
      <c r="J931">
        <f>INDEX(ChWeeksFull,MATCH(E931,ChName,0))</f>
        <v/>
      </c>
      <c r="K931">
        <f>INDEX(ChRamp,MATCH(E931,ChName,0))</f>
        <v/>
      </c>
      <c r="L931" s="45">
        <f>MIN(1,MAX(0,(A931-I931+1)*RampSpeed/J931))</f>
        <v/>
      </c>
      <c r="M931" s="45">
        <f>IF(A931&lt;I931,0,IF(K931="S-curve",L931*L931*(3-2*L931),L931))</f>
        <v/>
      </c>
      <c r="N931" s="45">
        <f>1+(INDEX(SeasonIdx,A931)-1)*SeasonAmp</f>
        <v/>
      </c>
      <c r="O931" s="45">
        <f>IFERROR(INDEX(PSPct,MATCH(E931&amp;"|"&amp;G931,PSKey,0)),0)</f>
        <v/>
      </c>
      <c r="P931" s="46">
        <f>INDEX(ChDoorVel,MATCH(E931,ChName,0))*CalibScalar*(1+VelocityUplift)</f>
        <v/>
      </c>
      <c r="Q931" s="46" t="n">
        <v>0</v>
      </c>
      <c r="R931" s="46">
        <f>P931*O931*M931*N931*H931</f>
        <v/>
      </c>
      <c r="S931" s="46">
        <f>R931*INDEX(FmtCansPerCase,MATCH(F931,FmtName,0))</f>
        <v/>
      </c>
      <c r="T931" s="46">
        <f>S931/INDEX(FmtCansPerPack,MATCH(F931,FmtName,0))</f>
        <v/>
      </c>
      <c r="U931" s="47">
        <f>INDEX(ChBaseCP,MATCH(E931,ChName,0))*(1+INDEX(ProvMod,MATCH(G931,ProvCode,0)))*(1+PriceIndex)</f>
        <v/>
      </c>
      <c r="V931" s="47">
        <f>R931*U931*INDEX(FmtBlendedPriceIdx,MATCH(F931,FmtName,0))</f>
        <v/>
      </c>
      <c r="W931" s="47">
        <f>T931*INDEX(ProvSRP,MATCH(G931,ProvCode,0))*(1+PriceIndex)</f>
        <v/>
      </c>
      <c r="X931" s="47">
        <f>IF(GrossBasis="Wholesale",V931,W931)</f>
        <v/>
      </c>
      <c r="Y931" s="47">
        <f>R931*INDEX(FmtBlendedCogs,MATCH(F931,FmtName,0))</f>
        <v/>
      </c>
      <c r="Z931" s="47">
        <f>X931-Y931</f>
        <v/>
      </c>
    </row>
    <row r="932">
      <c r="A932" t="n">
        <v>30</v>
      </c>
      <c r="B932" s="44">
        <f>FiscalStart+(A932-1)*7</f>
        <v/>
      </c>
      <c r="C932">
        <f>TEXT(B932,"mmm yyyy")</f>
        <v/>
      </c>
      <c r="D932">
        <f>"Q"&amp;(INT((A932-1)/13)+1)</f>
        <v/>
      </c>
      <c r="E932" t="inlineStr">
        <is>
          <t>On Premise</t>
        </is>
      </c>
      <c r="F932">
        <f>IFERROR(INDEX(ChFormat,MATCH(E932,ChName,0)),"")</f>
        <v/>
      </c>
      <c r="G932" t="inlineStr">
        <is>
          <t>NS</t>
        </is>
      </c>
      <c r="H932">
        <f>IF(A932&lt;=NWeeks,1,0)</f>
        <v/>
      </c>
      <c r="I932">
        <f>INDEX(ChLaunch,MATCH(E932,ChName,0))</f>
        <v/>
      </c>
      <c r="J932">
        <f>INDEX(ChWeeksFull,MATCH(E932,ChName,0))</f>
        <v/>
      </c>
      <c r="K932">
        <f>INDEX(ChRamp,MATCH(E932,ChName,0))</f>
        <v/>
      </c>
      <c r="L932" s="45">
        <f>MIN(1,MAX(0,(A932-I932+1)*RampSpeed/J932))</f>
        <v/>
      </c>
      <c r="M932" s="45">
        <f>IF(A932&lt;I932,0,IF(K932="S-curve",L932*L932*(3-2*L932),L932))</f>
        <v/>
      </c>
      <c r="N932" s="45">
        <f>1+(INDEX(SeasonIdx,A932)-1)*SeasonAmp</f>
        <v/>
      </c>
      <c r="O932" s="45">
        <f>IFERROR(INDEX(PSPct,MATCH(E932&amp;"|"&amp;G932,PSKey,0)),0)</f>
        <v/>
      </c>
      <c r="P932" s="46">
        <f>INDEX(ChDoorVel,MATCH(E932,ChName,0))*CalibScalar*(1+VelocityUplift)</f>
        <v/>
      </c>
      <c r="Q932" s="46" t="n">
        <v>0</v>
      </c>
      <c r="R932" s="46">
        <f>P932*O932*M932*N932*H932</f>
        <v/>
      </c>
      <c r="S932" s="46">
        <f>R932*INDEX(FmtCansPerCase,MATCH(F932,FmtName,0))</f>
        <v/>
      </c>
      <c r="T932" s="46">
        <f>S932/INDEX(FmtCansPerPack,MATCH(F932,FmtName,0))</f>
        <v/>
      </c>
      <c r="U932" s="47">
        <f>INDEX(ChBaseCP,MATCH(E932,ChName,0))*(1+INDEX(ProvMod,MATCH(G932,ProvCode,0)))*(1+PriceIndex)</f>
        <v/>
      </c>
      <c r="V932" s="47">
        <f>R932*U932*INDEX(FmtBlendedPriceIdx,MATCH(F932,FmtName,0))</f>
        <v/>
      </c>
      <c r="W932" s="47">
        <f>T932*INDEX(ProvSRP,MATCH(G932,ProvCode,0))*(1+PriceIndex)</f>
        <v/>
      </c>
      <c r="X932" s="47">
        <f>IF(GrossBasis="Wholesale",V932,W932)</f>
        <v/>
      </c>
      <c r="Y932" s="47">
        <f>R932*INDEX(FmtBlendedCogs,MATCH(F932,FmtName,0))</f>
        <v/>
      </c>
      <c r="Z932" s="47">
        <f>X932-Y932</f>
        <v/>
      </c>
    </row>
    <row r="933">
      <c r="A933" t="n">
        <v>31</v>
      </c>
      <c r="B933" s="44">
        <f>FiscalStart+(A933-1)*7</f>
        <v/>
      </c>
      <c r="C933">
        <f>TEXT(B933,"mmm yyyy")</f>
        <v/>
      </c>
      <c r="D933">
        <f>"Q"&amp;(INT((A933-1)/13)+1)</f>
        <v/>
      </c>
      <c r="E933" t="inlineStr">
        <is>
          <t>On Premise</t>
        </is>
      </c>
      <c r="F933">
        <f>IFERROR(INDEX(ChFormat,MATCH(E933,ChName,0)),"")</f>
        <v/>
      </c>
      <c r="G933" t="inlineStr">
        <is>
          <t>NS</t>
        </is>
      </c>
      <c r="H933">
        <f>IF(A933&lt;=NWeeks,1,0)</f>
        <v/>
      </c>
      <c r="I933">
        <f>INDEX(ChLaunch,MATCH(E933,ChName,0))</f>
        <v/>
      </c>
      <c r="J933">
        <f>INDEX(ChWeeksFull,MATCH(E933,ChName,0))</f>
        <v/>
      </c>
      <c r="K933">
        <f>INDEX(ChRamp,MATCH(E933,ChName,0))</f>
        <v/>
      </c>
      <c r="L933" s="45">
        <f>MIN(1,MAX(0,(A933-I933+1)*RampSpeed/J933))</f>
        <v/>
      </c>
      <c r="M933" s="45">
        <f>IF(A933&lt;I933,0,IF(K933="S-curve",L933*L933*(3-2*L933),L933))</f>
        <v/>
      </c>
      <c r="N933" s="45">
        <f>1+(INDEX(SeasonIdx,A933)-1)*SeasonAmp</f>
        <v/>
      </c>
      <c r="O933" s="45">
        <f>IFERROR(INDEX(PSPct,MATCH(E933&amp;"|"&amp;G933,PSKey,0)),0)</f>
        <v/>
      </c>
      <c r="P933" s="46">
        <f>INDEX(ChDoorVel,MATCH(E933,ChName,0))*CalibScalar*(1+VelocityUplift)</f>
        <v/>
      </c>
      <c r="Q933" s="46" t="n">
        <v>0</v>
      </c>
      <c r="R933" s="46">
        <f>P933*O933*M933*N933*H933</f>
        <v/>
      </c>
      <c r="S933" s="46">
        <f>R933*INDEX(FmtCansPerCase,MATCH(F933,FmtName,0))</f>
        <v/>
      </c>
      <c r="T933" s="46">
        <f>S933/INDEX(FmtCansPerPack,MATCH(F933,FmtName,0))</f>
        <v/>
      </c>
      <c r="U933" s="47">
        <f>INDEX(ChBaseCP,MATCH(E933,ChName,0))*(1+INDEX(ProvMod,MATCH(G933,ProvCode,0)))*(1+PriceIndex)</f>
        <v/>
      </c>
      <c r="V933" s="47">
        <f>R933*U933*INDEX(FmtBlendedPriceIdx,MATCH(F933,FmtName,0))</f>
        <v/>
      </c>
      <c r="W933" s="47">
        <f>T933*INDEX(ProvSRP,MATCH(G933,ProvCode,0))*(1+PriceIndex)</f>
        <v/>
      </c>
      <c r="X933" s="47">
        <f>IF(GrossBasis="Wholesale",V933,W933)</f>
        <v/>
      </c>
      <c r="Y933" s="47">
        <f>R933*INDEX(FmtBlendedCogs,MATCH(F933,FmtName,0))</f>
        <v/>
      </c>
      <c r="Z933" s="47">
        <f>X933-Y933</f>
        <v/>
      </c>
    </row>
    <row r="934">
      <c r="A934" t="n">
        <v>32</v>
      </c>
      <c r="B934" s="44">
        <f>FiscalStart+(A934-1)*7</f>
        <v/>
      </c>
      <c r="C934">
        <f>TEXT(B934,"mmm yyyy")</f>
        <v/>
      </c>
      <c r="D934">
        <f>"Q"&amp;(INT((A934-1)/13)+1)</f>
        <v/>
      </c>
      <c r="E934" t="inlineStr">
        <is>
          <t>On Premise</t>
        </is>
      </c>
      <c r="F934">
        <f>IFERROR(INDEX(ChFormat,MATCH(E934,ChName,0)),"")</f>
        <v/>
      </c>
      <c r="G934" t="inlineStr">
        <is>
          <t>NS</t>
        </is>
      </c>
      <c r="H934">
        <f>IF(A934&lt;=NWeeks,1,0)</f>
        <v/>
      </c>
      <c r="I934">
        <f>INDEX(ChLaunch,MATCH(E934,ChName,0))</f>
        <v/>
      </c>
      <c r="J934">
        <f>INDEX(ChWeeksFull,MATCH(E934,ChName,0))</f>
        <v/>
      </c>
      <c r="K934">
        <f>INDEX(ChRamp,MATCH(E934,ChName,0))</f>
        <v/>
      </c>
      <c r="L934" s="45">
        <f>MIN(1,MAX(0,(A934-I934+1)*RampSpeed/J934))</f>
        <v/>
      </c>
      <c r="M934" s="45">
        <f>IF(A934&lt;I934,0,IF(K934="S-curve",L934*L934*(3-2*L934),L934))</f>
        <v/>
      </c>
      <c r="N934" s="45">
        <f>1+(INDEX(SeasonIdx,A934)-1)*SeasonAmp</f>
        <v/>
      </c>
      <c r="O934" s="45">
        <f>IFERROR(INDEX(PSPct,MATCH(E934&amp;"|"&amp;G934,PSKey,0)),0)</f>
        <v/>
      </c>
      <c r="P934" s="46">
        <f>INDEX(ChDoorVel,MATCH(E934,ChName,0))*CalibScalar*(1+VelocityUplift)</f>
        <v/>
      </c>
      <c r="Q934" s="46" t="n">
        <v>0</v>
      </c>
      <c r="R934" s="46">
        <f>P934*O934*M934*N934*H934</f>
        <v/>
      </c>
      <c r="S934" s="46">
        <f>R934*INDEX(FmtCansPerCase,MATCH(F934,FmtName,0))</f>
        <v/>
      </c>
      <c r="T934" s="46">
        <f>S934/INDEX(FmtCansPerPack,MATCH(F934,FmtName,0))</f>
        <v/>
      </c>
      <c r="U934" s="47">
        <f>INDEX(ChBaseCP,MATCH(E934,ChName,0))*(1+INDEX(ProvMod,MATCH(G934,ProvCode,0)))*(1+PriceIndex)</f>
        <v/>
      </c>
      <c r="V934" s="47">
        <f>R934*U934*INDEX(FmtBlendedPriceIdx,MATCH(F934,FmtName,0))</f>
        <v/>
      </c>
      <c r="W934" s="47">
        <f>T934*INDEX(ProvSRP,MATCH(G934,ProvCode,0))*(1+PriceIndex)</f>
        <v/>
      </c>
      <c r="X934" s="47">
        <f>IF(GrossBasis="Wholesale",V934,W934)</f>
        <v/>
      </c>
      <c r="Y934" s="47">
        <f>R934*INDEX(FmtBlendedCogs,MATCH(F934,FmtName,0))</f>
        <v/>
      </c>
      <c r="Z934" s="47">
        <f>X934-Y934</f>
        <v/>
      </c>
    </row>
    <row r="935">
      <c r="A935" t="n">
        <v>33</v>
      </c>
      <c r="B935" s="44">
        <f>FiscalStart+(A935-1)*7</f>
        <v/>
      </c>
      <c r="C935">
        <f>TEXT(B935,"mmm yyyy")</f>
        <v/>
      </c>
      <c r="D935">
        <f>"Q"&amp;(INT((A935-1)/13)+1)</f>
        <v/>
      </c>
      <c r="E935" t="inlineStr">
        <is>
          <t>On Premise</t>
        </is>
      </c>
      <c r="F935">
        <f>IFERROR(INDEX(ChFormat,MATCH(E935,ChName,0)),"")</f>
        <v/>
      </c>
      <c r="G935" t="inlineStr">
        <is>
          <t>NS</t>
        </is>
      </c>
      <c r="H935">
        <f>IF(A935&lt;=NWeeks,1,0)</f>
        <v/>
      </c>
      <c r="I935">
        <f>INDEX(ChLaunch,MATCH(E935,ChName,0))</f>
        <v/>
      </c>
      <c r="J935">
        <f>INDEX(ChWeeksFull,MATCH(E935,ChName,0))</f>
        <v/>
      </c>
      <c r="K935">
        <f>INDEX(ChRamp,MATCH(E935,ChName,0))</f>
        <v/>
      </c>
      <c r="L935" s="45">
        <f>MIN(1,MAX(0,(A935-I935+1)*RampSpeed/J935))</f>
        <v/>
      </c>
      <c r="M935" s="45">
        <f>IF(A935&lt;I935,0,IF(K935="S-curve",L935*L935*(3-2*L935),L935))</f>
        <v/>
      </c>
      <c r="N935" s="45">
        <f>1+(INDEX(SeasonIdx,A935)-1)*SeasonAmp</f>
        <v/>
      </c>
      <c r="O935" s="45">
        <f>IFERROR(INDEX(PSPct,MATCH(E935&amp;"|"&amp;G935,PSKey,0)),0)</f>
        <v/>
      </c>
      <c r="P935" s="46">
        <f>INDEX(ChDoorVel,MATCH(E935,ChName,0))*CalibScalar*(1+VelocityUplift)</f>
        <v/>
      </c>
      <c r="Q935" s="46" t="n">
        <v>0</v>
      </c>
      <c r="R935" s="46">
        <f>P935*O935*M935*N935*H935</f>
        <v/>
      </c>
      <c r="S935" s="46">
        <f>R935*INDEX(FmtCansPerCase,MATCH(F935,FmtName,0))</f>
        <v/>
      </c>
      <c r="T935" s="46">
        <f>S935/INDEX(FmtCansPerPack,MATCH(F935,FmtName,0))</f>
        <v/>
      </c>
      <c r="U935" s="47">
        <f>INDEX(ChBaseCP,MATCH(E935,ChName,0))*(1+INDEX(ProvMod,MATCH(G935,ProvCode,0)))*(1+PriceIndex)</f>
        <v/>
      </c>
      <c r="V935" s="47">
        <f>R935*U935*INDEX(FmtBlendedPriceIdx,MATCH(F935,FmtName,0))</f>
        <v/>
      </c>
      <c r="W935" s="47">
        <f>T935*INDEX(ProvSRP,MATCH(G935,ProvCode,0))*(1+PriceIndex)</f>
        <v/>
      </c>
      <c r="X935" s="47">
        <f>IF(GrossBasis="Wholesale",V935,W935)</f>
        <v/>
      </c>
      <c r="Y935" s="47">
        <f>R935*INDEX(FmtBlendedCogs,MATCH(F935,FmtName,0))</f>
        <v/>
      </c>
      <c r="Z935" s="47">
        <f>X935-Y935</f>
        <v/>
      </c>
    </row>
    <row r="936">
      <c r="A936" t="n">
        <v>34</v>
      </c>
      <c r="B936" s="44">
        <f>FiscalStart+(A936-1)*7</f>
        <v/>
      </c>
      <c r="C936">
        <f>TEXT(B936,"mmm yyyy")</f>
        <v/>
      </c>
      <c r="D936">
        <f>"Q"&amp;(INT((A936-1)/13)+1)</f>
        <v/>
      </c>
      <c r="E936" t="inlineStr">
        <is>
          <t>On Premise</t>
        </is>
      </c>
      <c r="F936">
        <f>IFERROR(INDEX(ChFormat,MATCH(E936,ChName,0)),"")</f>
        <v/>
      </c>
      <c r="G936" t="inlineStr">
        <is>
          <t>NS</t>
        </is>
      </c>
      <c r="H936">
        <f>IF(A936&lt;=NWeeks,1,0)</f>
        <v/>
      </c>
      <c r="I936">
        <f>INDEX(ChLaunch,MATCH(E936,ChName,0))</f>
        <v/>
      </c>
      <c r="J936">
        <f>INDEX(ChWeeksFull,MATCH(E936,ChName,0))</f>
        <v/>
      </c>
      <c r="K936">
        <f>INDEX(ChRamp,MATCH(E936,ChName,0))</f>
        <v/>
      </c>
      <c r="L936" s="45">
        <f>MIN(1,MAX(0,(A936-I936+1)*RampSpeed/J936))</f>
        <v/>
      </c>
      <c r="M936" s="45">
        <f>IF(A936&lt;I936,0,IF(K936="S-curve",L936*L936*(3-2*L936),L936))</f>
        <v/>
      </c>
      <c r="N936" s="45">
        <f>1+(INDEX(SeasonIdx,A936)-1)*SeasonAmp</f>
        <v/>
      </c>
      <c r="O936" s="45">
        <f>IFERROR(INDEX(PSPct,MATCH(E936&amp;"|"&amp;G936,PSKey,0)),0)</f>
        <v/>
      </c>
      <c r="P936" s="46">
        <f>INDEX(ChDoorVel,MATCH(E936,ChName,0))*CalibScalar*(1+VelocityUplift)</f>
        <v/>
      </c>
      <c r="Q936" s="46" t="n">
        <v>0</v>
      </c>
      <c r="R936" s="46">
        <f>P936*O936*M936*N936*H936</f>
        <v/>
      </c>
      <c r="S936" s="46">
        <f>R936*INDEX(FmtCansPerCase,MATCH(F936,FmtName,0))</f>
        <v/>
      </c>
      <c r="T936" s="46">
        <f>S936/INDEX(FmtCansPerPack,MATCH(F936,FmtName,0))</f>
        <v/>
      </c>
      <c r="U936" s="47">
        <f>INDEX(ChBaseCP,MATCH(E936,ChName,0))*(1+INDEX(ProvMod,MATCH(G936,ProvCode,0)))*(1+PriceIndex)</f>
        <v/>
      </c>
      <c r="V936" s="47">
        <f>R936*U936*INDEX(FmtBlendedPriceIdx,MATCH(F936,FmtName,0))</f>
        <v/>
      </c>
      <c r="W936" s="47">
        <f>T936*INDEX(ProvSRP,MATCH(G936,ProvCode,0))*(1+PriceIndex)</f>
        <v/>
      </c>
      <c r="X936" s="47">
        <f>IF(GrossBasis="Wholesale",V936,W936)</f>
        <v/>
      </c>
      <c r="Y936" s="47">
        <f>R936*INDEX(FmtBlendedCogs,MATCH(F936,FmtName,0))</f>
        <v/>
      </c>
      <c r="Z936" s="47">
        <f>X936-Y936</f>
        <v/>
      </c>
    </row>
    <row r="937">
      <c r="A937" t="n">
        <v>35</v>
      </c>
      <c r="B937" s="44">
        <f>FiscalStart+(A937-1)*7</f>
        <v/>
      </c>
      <c r="C937">
        <f>TEXT(B937,"mmm yyyy")</f>
        <v/>
      </c>
      <c r="D937">
        <f>"Q"&amp;(INT((A937-1)/13)+1)</f>
        <v/>
      </c>
      <c r="E937" t="inlineStr">
        <is>
          <t>On Premise</t>
        </is>
      </c>
      <c r="F937">
        <f>IFERROR(INDEX(ChFormat,MATCH(E937,ChName,0)),"")</f>
        <v/>
      </c>
      <c r="G937" t="inlineStr">
        <is>
          <t>NS</t>
        </is>
      </c>
      <c r="H937">
        <f>IF(A937&lt;=NWeeks,1,0)</f>
        <v/>
      </c>
      <c r="I937">
        <f>INDEX(ChLaunch,MATCH(E937,ChName,0))</f>
        <v/>
      </c>
      <c r="J937">
        <f>INDEX(ChWeeksFull,MATCH(E937,ChName,0))</f>
        <v/>
      </c>
      <c r="K937">
        <f>INDEX(ChRamp,MATCH(E937,ChName,0))</f>
        <v/>
      </c>
      <c r="L937" s="45">
        <f>MIN(1,MAX(0,(A937-I937+1)*RampSpeed/J937))</f>
        <v/>
      </c>
      <c r="M937" s="45">
        <f>IF(A937&lt;I937,0,IF(K937="S-curve",L937*L937*(3-2*L937),L937))</f>
        <v/>
      </c>
      <c r="N937" s="45">
        <f>1+(INDEX(SeasonIdx,A937)-1)*SeasonAmp</f>
        <v/>
      </c>
      <c r="O937" s="45">
        <f>IFERROR(INDEX(PSPct,MATCH(E937&amp;"|"&amp;G937,PSKey,0)),0)</f>
        <v/>
      </c>
      <c r="P937" s="46">
        <f>INDEX(ChDoorVel,MATCH(E937,ChName,0))*CalibScalar*(1+VelocityUplift)</f>
        <v/>
      </c>
      <c r="Q937" s="46" t="n">
        <v>0</v>
      </c>
      <c r="R937" s="46">
        <f>P937*O937*M937*N937*H937</f>
        <v/>
      </c>
      <c r="S937" s="46">
        <f>R937*INDEX(FmtCansPerCase,MATCH(F937,FmtName,0))</f>
        <v/>
      </c>
      <c r="T937" s="46">
        <f>S937/INDEX(FmtCansPerPack,MATCH(F937,FmtName,0))</f>
        <v/>
      </c>
      <c r="U937" s="47">
        <f>INDEX(ChBaseCP,MATCH(E937,ChName,0))*(1+INDEX(ProvMod,MATCH(G937,ProvCode,0)))*(1+PriceIndex)</f>
        <v/>
      </c>
      <c r="V937" s="47">
        <f>R937*U937*INDEX(FmtBlendedPriceIdx,MATCH(F937,FmtName,0))</f>
        <v/>
      </c>
      <c r="W937" s="47">
        <f>T937*INDEX(ProvSRP,MATCH(G937,ProvCode,0))*(1+PriceIndex)</f>
        <v/>
      </c>
      <c r="X937" s="47">
        <f>IF(GrossBasis="Wholesale",V937,W937)</f>
        <v/>
      </c>
      <c r="Y937" s="47">
        <f>R937*INDEX(FmtBlendedCogs,MATCH(F937,FmtName,0))</f>
        <v/>
      </c>
      <c r="Z937" s="47">
        <f>X937-Y937</f>
        <v/>
      </c>
    </row>
    <row r="938">
      <c r="A938" t="n">
        <v>36</v>
      </c>
      <c r="B938" s="44">
        <f>FiscalStart+(A938-1)*7</f>
        <v/>
      </c>
      <c r="C938">
        <f>TEXT(B938,"mmm yyyy")</f>
        <v/>
      </c>
      <c r="D938">
        <f>"Q"&amp;(INT((A938-1)/13)+1)</f>
        <v/>
      </c>
      <c r="E938" t="inlineStr">
        <is>
          <t>On Premise</t>
        </is>
      </c>
      <c r="F938">
        <f>IFERROR(INDEX(ChFormat,MATCH(E938,ChName,0)),"")</f>
        <v/>
      </c>
      <c r="G938" t="inlineStr">
        <is>
          <t>NS</t>
        </is>
      </c>
      <c r="H938">
        <f>IF(A938&lt;=NWeeks,1,0)</f>
        <v/>
      </c>
      <c r="I938">
        <f>INDEX(ChLaunch,MATCH(E938,ChName,0))</f>
        <v/>
      </c>
      <c r="J938">
        <f>INDEX(ChWeeksFull,MATCH(E938,ChName,0))</f>
        <v/>
      </c>
      <c r="K938">
        <f>INDEX(ChRamp,MATCH(E938,ChName,0))</f>
        <v/>
      </c>
      <c r="L938" s="45">
        <f>MIN(1,MAX(0,(A938-I938+1)*RampSpeed/J938))</f>
        <v/>
      </c>
      <c r="M938" s="45">
        <f>IF(A938&lt;I938,0,IF(K938="S-curve",L938*L938*(3-2*L938),L938))</f>
        <v/>
      </c>
      <c r="N938" s="45">
        <f>1+(INDEX(SeasonIdx,A938)-1)*SeasonAmp</f>
        <v/>
      </c>
      <c r="O938" s="45">
        <f>IFERROR(INDEX(PSPct,MATCH(E938&amp;"|"&amp;G938,PSKey,0)),0)</f>
        <v/>
      </c>
      <c r="P938" s="46">
        <f>INDEX(ChDoorVel,MATCH(E938,ChName,0))*CalibScalar*(1+VelocityUplift)</f>
        <v/>
      </c>
      <c r="Q938" s="46" t="n">
        <v>0</v>
      </c>
      <c r="R938" s="46">
        <f>P938*O938*M938*N938*H938</f>
        <v/>
      </c>
      <c r="S938" s="46">
        <f>R938*INDEX(FmtCansPerCase,MATCH(F938,FmtName,0))</f>
        <v/>
      </c>
      <c r="T938" s="46">
        <f>S938/INDEX(FmtCansPerPack,MATCH(F938,FmtName,0))</f>
        <v/>
      </c>
      <c r="U938" s="47">
        <f>INDEX(ChBaseCP,MATCH(E938,ChName,0))*(1+INDEX(ProvMod,MATCH(G938,ProvCode,0)))*(1+PriceIndex)</f>
        <v/>
      </c>
      <c r="V938" s="47">
        <f>R938*U938*INDEX(FmtBlendedPriceIdx,MATCH(F938,FmtName,0))</f>
        <v/>
      </c>
      <c r="W938" s="47">
        <f>T938*INDEX(ProvSRP,MATCH(G938,ProvCode,0))*(1+PriceIndex)</f>
        <v/>
      </c>
      <c r="X938" s="47">
        <f>IF(GrossBasis="Wholesale",V938,W938)</f>
        <v/>
      </c>
      <c r="Y938" s="47">
        <f>R938*INDEX(FmtBlendedCogs,MATCH(F938,FmtName,0))</f>
        <v/>
      </c>
      <c r="Z938" s="47">
        <f>X938-Y938</f>
        <v/>
      </c>
    </row>
    <row r="939">
      <c r="A939" t="n">
        <v>37</v>
      </c>
      <c r="B939" s="44">
        <f>FiscalStart+(A939-1)*7</f>
        <v/>
      </c>
      <c r="C939">
        <f>TEXT(B939,"mmm yyyy")</f>
        <v/>
      </c>
      <c r="D939">
        <f>"Q"&amp;(INT((A939-1)/13)+1)</f>
        <v/>
      </c>
      <c r="E939" t="inlineStr">
        <is>
          <t>On Premise</t>
        </is>
      </c>
      <c r="F939">
        <f>IFERROR(INDEX(ChFormat,MATCH(E939,ChName,0)),"")</f>
        <v/>
      </c>
      <c r="G939" t="inlineStr">
        <is>
          <t>NS</t>
        </is>
      </c>
      <c r="H939">
        <f>IF(A939&lt;=NWeeks,1,0)</f>
        <v/>
      </c>
      <c r="I939">
        <f>INDEX(ChLaunch,MATCH(E939,ChName,0))</f>
        <v/>
      </c>
      <c r="J939">
        <f>INDEX(ChWeeksFull,MATCH(E939,ChName,0))</f>
        <v/>
      </c>
      <c r="K939">
        <f>INDEX(ChRamp,MATCH(E939,ChName,0))</f>
        <v/>
      </c>
      <c r="L939" s="45">
        <f>MIN(1,MAX(0,(A939-I939+1)*RampSpeed/J939))</f>
        <v/>
      </c>
      <c r="M939" s="45">
        <f>IF(A939&lt;I939,0,IF(K939="S-curve",L939*L939*(3-2*L939),L939))</f>
        <v/>
      </c>
      <c r="N939" s="45">
        <f>1+(INDEX(SeasonIdx,A939)-1)*SeasonAmp</f>
        <v/>
      </c>
      <c r="O939" s="45">
        <f>IFERROR(INDEX(PSPct,MATCH(E939&amp;"|"&amp;G939,PSKey,0)),0)</f>
        <v/>
      </c>
      <c r="P939" s="46">
        <f>INDEX(ChDoorVel,MATCH(E939,ChName,0))*CalibScalar*(1+VelocityUplift)</f>
        <v/>
      </c>
      <c r="Q939" s="46" t="n">
        <v>0</v>
      </c>
      <c r="R939" s="46">
        <f>P939*O939*M939*N939*H939</f>
        <v/>
      </c>
      <c r="S939" s="46">
        <f>R939*INDEX(FmtCansPerCase,MATCH(F939,FmtName,0))</f>
        <v/>
      </c>
      <c r="T939" s="46">
        <f>S939/INDEX(FmtCansPerPack,MATCH(F939,FmtName,0))</f>
        <v/>
      </c>
      <c r="U939" s="47">
        <f>INDEX(ChBaseCP,MATCH(E939,ChName,0))*(1+INDEX(ProvMod,MATCH(G939,ProvCode,0)))*(1+PriceIndex)</f>
        <v/>
      </c>
      <c r="V939" s="47">
        <f>R939*U939*INDEX(FmtBlendedPriceIdx,MATCH(F939,FmtName,0))</f>
        <v/>
      </c>
      <c r="W939" s="47">
        <f>T939*INDEX(ProvSRP,MATCH(G939,ProvCode,0))*(1+PriceIndex)</f>
        <v/>
      </c>
      <c r="X939" s="47">
        <f>IF(GrossBasis="Wholesale",V939,W939)</f>
        <v/>
      </c>
      <c r="Y939" s="47">
        <f>R939*INDEX(FmtBlendedCogs,MATCH(F939,FmtName,0))</f>
        <v/>
      </c>
      <c r="Z939" s="47">
        <f>X939-Y939</f>
        <v/>
      </c>
    </row>
    <row r="940">
      <c r="A940" t="n">
        <v>38</v>
      </c>
      <c r="B940" s="44">
        <f>FiscalStart+(A940-1)*7</f>
        <v/>
      </c>
      <c r="C940">
        <f>TEXT(B940,"mmm yyyy")</f>
        <v/>
      </c>
      <c r="D940">
        <f>"Q"&amp;(INT((A940-1)/13)+1)</f>
        <v/>
      </c>
      <c r="E940" t="inlineStr">
        <is>
          <t>On Premise</t>
        </is>
      </c>
      <c r="F940">
        <f>IFERROR(INDEX(ChFormat,MATCH(E940,ChName,0)),"")</f>
        <v/>
      </c>
      <c r="G940" t="inlineStr">
        <is>
          <t>NS</t>
        </is>
      </c>
      <c r="H940">
        <f>IF(A940&lt;=NWeeks,1,0)</f>
        <v/>
      </c>
      <c r="I940">
        <f>INDEX(ChLaunch,MATCH(E940,ChName,0))</f>
        <v/>
      </c>
      <c r="J940">
        <f>INDEX(ChWeeksFull,MATCH(E940,ChName,0))</f>
        <v/>
      </c>
      <c r="K940">
        <f>INDEX(ChRamp,MATCH(E940,ChName,0))</f>
        <v/>
      </c>
      <c r="L940" s="45">
        <f>MIN(1,MAX(0,(A940-I940+1)*RampSpeed/J940))</f>
        <v/>
      </c>
      <c r="M940" s="45">
        <f>IF(A940&lt;I940,0,IF(K940="S-curve",L940*L940*(3-2*L940),L940))</f>
        <v/>
      </c>
      <c r="N940" s="45">
        <f>1+(INDEX(SeasonIdx,A940)-1)*SeasonAmp</f>
        <v/>
      </c>
      <c r="O940" s="45">
        <f>IFERROR(INDEX(PSPct,MATCH(E940&amp;"|"&amp;G940,PSKey,0)),0)</f>
        <v/>
      </c>
      <c r="P940" s="46">
        <f>INDEX(ChDoorVel,MATCH(E940,ChName,0))*CalibScalar*(1+VelocityUplift)</f>
        <v/>
      </c>
      <c r="Q940" s="46" t="n">
        <v>0</v>
      </c>
      <c r="R940" s="46">
        <f>P940*O940*M940*N940*H940</f>
        <v/>
      </c>
      <c r="S940" s="46">
        <f>R940*INDEX(FmtCansPerCase,MATCH(F940,FmtName,0))</f>
        <v/>
      </c>
      <c r="T940" s="46">
        <f>S940/INDEX(FmtCansPerPack,MATCH(F940,FmtName,0))</f>
        <v/>
      </c>
      <c r="U940" s="47">
        <f>INDEX(ChBaseCP,MATCH(E940,ChName,0))*(1+INDEX(ProvMod,MATCH(G940,ProvCode,0)))*(1+PriceIndex)</f>
        <v/>
      </c>
      <c r="V940" s="47">
        <f>R940*U940*INDEX(FmtBlendedPriceIdx,MATCH(F940,FmtName,0))</f>
        <v/>
      </c>
      <c r="W940" s="47">
        <f>T940*INDEX(ProvSRP,MATCH(G940,ProvCode,0))*(1+PriceIndex)</f>
        <v/>
      </c>
      <c r="X940" s="47">
        <f>IF(GrossBasis="Wholesale",V940,W940)</f>
        <v/>
      </c>
      <c r="Y940" s="47">
        <f>R940*INDEX(FmtBlendedCogs,MATCH(F940,FmtName,0))</f>
        <v/>
      </c>
      <c r="Z940" s="47">
        <f>X940-Y940</f>
        <v/>
      </c>
    </row>
    <row r="941">
      <c r="A941" t="n">
        <v>39</v>
      </c>
      <c r="B941" s="44">
        <f>FiscalStart+(A941-1)*7</f>
        <v/>
      </c>
      <c r="C941">
        <f>TEXT(B941,"mmm yyyy")</f>
        <v/>
      </c>
      <c r="D941">
        <f>"Q"&amp;(INT((A941-1)/13)+1)</f>
        <v/>
      </c>
      <c r="E941" t="inlineStr">
        <is>
          <t>On Premise</t>
        </is>
      </c>
      <c r="F941">
        <f>IFERROR(INDEX(ChFormat,MATCH(E941,ChName,0)),"")</f>
        <v/>
      </c>
      <c r="G941" t="inlineStr">
        <is>
          <t>NS</t>
        </is>
      </c>
      <c r="H941">
        <f>IF(A941&lt;=NWeeks,1,0)</f>
        <v/>
      </c>
      <c r="I941">
        <f>INDEX(ChLaunch,MATCH(E941,ChName,0))</f>
        <v/>
      </c>
      <c r="J941">
        <f>INDEX(ChWeeksFull,MATCH(E941,ChName,0))</f>
        <v/>
      </c>
      <c r="K941">
        <f>INDEX(ChRamp,MATCH(E941,ChName,0))</f>
        <v/>
      </c>
      <c r="L941" s="45">
        <f>MIN(1,MAX(0,(A941-I941+1)*RampSpeed/J941))</f>
        <v/>
      </c>
      <c r="M941" s="45">
        <f>IF(A941&lt;I941,0,IF(K941="S-curve",L941*L941*(3-2*L941),L941))</f>
        <v/>
      </c>
      <c r="N941" s="45">
        <f>1+(INDEX(SeasonIdx,A941)-1)*SeasonAmp</f>
        <v/>
      </c>
      <c r="O941" s="45">
        <f>IFERROR(INDEX(PSPct,MATCH(E941&amp;"|"&amp;G941,PSKey,0)),0)</f>
        <v/>
      </c>
      <c r="P941" s="46">
        <f>INDEX(ChDoorVel,MATCH(E941,ChName,0))*CalibScalar*(1+VelocityUplift)</f>
        <v/>
      </c>
      <c r="Q941" s="46" t="n">
        <v>0</v>
      </c>
      <c r="R941" s="46">
        <f>P941*O941*M941*N941*H941</f>
        <v/>
      </c>
      <c r="S941" s="46">
        <f>R941*INDEX(FmtCansPerCase,MATCH(F941,FmtName,0))</f>
        <v/>
      </c>
      <c r="T941" s="46">
        <f>S941/INDEX(FmtCansPerPack,MATCH(F941,FmtName,0))</f>
        <v/>
      </c>
      <c r="U941" s="47">
        <f>INDEX(ChBaseCP,MATCH(E941,ChName,0))*(1+INDEX(ProvMod,MATCH(G941,ProvCode,0)))*(1+PriceIndex)</f>
        <v/>
      </c>
      <c r="V941" s="47">
        <f>R941*U941*INDEX(FmtBlendedPriceIdx,MATCH(F941,FmtName,0))</f>
        <v/>
      </c>
      <c r="W941" s="47">
        <f>T941*INDEX(ProvSRP,MATCH(G941,ProvCode,0))*(1+PriceIndex)</f>
        <v/>
      </c>
      <c r="X941" s="47">
        <f>IF(GrossBasis="Wholesale",V941,W941)</f>
        <v/>
      </c>
      <c r="Y941" s="47">
        <f>R941*INDEX(FmtBlendedCogs,MATCH(F941,FmtName,0))</f>
        <v/>
      </c>
      <c r="Z941" s="47">
        <f>X941-Y941</f>
        <v/>
      </c>
    </row>
    <row r="942">
      <c r="A942" t="n">
        <v>40</v>
      </c>
      <c r="B942" s="44">
        <f>FiscalStart+(A942-1)*7</f>
        <v/>
      </c>
      <c r="C942">
        <f>TEXT(B942,"mmm yyyy")</f>
        <v/>
      </c>
      <c r="D942">
        <f>"Q"&amp;(INT((A942-1)/13)+1)</f>
        <v/>
      </c>
      <c r="E942" t="inlineStr">
        <is>
          <t>On Premise</t>
        </is>
      </c>
      <c r="F942">
        <f>IFERROR(INDEX(ChFormat,MATCH(E942,ChName,0)),"")</f>
        <v/>
      </c>
      <c r="G942" t="inlineStr">
        <is>
          <t>NS</t>
        </is>
      </c>
      <c r="H942">
        <f>IF(A942&lt;=NWeeks,1,0)</f>
        <v/>
      </c>
      <c r="I942">
        <f>INDEX(ChLaunch,MATCH(E942,ChName,0))</f>
        <v/>
      </c>
      <c r="J942">
        <f>INDEX(ChWeeksFull,MATCH(E942,ChName,0))</f>
        <v/>
      </c>
      <c r="K942">
        <f>INDEX(ChRamp,MATCH(E942,ChName,0))</f>
        <v/>
      </c>
      <c r="L942" s="45">
        <f>MIN(1,MAX(0,(A942-I942+1)*RampSpeed/J942))</f>
        <v/>
      </c>
      <c r="M942" s="45">
        <f>IF(A942&lt;I942,0,IF(K942="S-curve",L942*L942*(3-2*L942),L942))</f>
        <v/>
      </c>
      <c r="N942" s="45">
        <f>1+(INDEX(SeasonIdx,A942)-1)*SeasonAmp</f>
        <v/>
      </c>
      <c r="O942" s="45">
        <f>IFERROR(INDEX(PSPct,MATCH(E942&amp;"|"&amp;G942,PSKey,0)),0)</f>
        <v/>
      </c>
      <c r="P942" s="46">
        <f>INDEX(ChDoorVel,MATCH(E942,ChName,0))*CalibScalar*(1+VelocityUplift)</f>
        <v/>
      </c>
      <c r="Q942" s="46" t="n">
        <v>0</v>
      </c>
      <c r="R942" s="46">
        <f>P942*O942*M942*N942*H942</f>
        <v/>
      </c>
      <c r="S942" s="46">
        <f>R942*INDEX(FmtCansPerCase,MATCH(F942,FmtName,0))</f>
        <v/>
      </c>
      <c r="T942" s="46">
        <f>S942/INDEX(FmtCansPerPack,MATCH(F942,FmtName,0))</f>
        <v/>
      </c>
      <c r="U942" s="47">
        <f>INDEX(ChBaseCP,MATCH(E942,ChName,0))*(1+INDEX(ProvMod,MATCH(G942,ProvCode,0)))*(1+PriceIndex)</f>
        <v/>
      </c>
      <c r="V942" s="47">
        <f>R942*U942*INDEX(FmtBlendedPriceIdx,MATCH(F942,FmtName,0))</f>
        <v/>
      </c>
      <c r="W942" s="47">
        <f>T942*INDEX(ProvSRP,MATCH(G942,ProvCode,0))*(1+PriceIndex)</f>
        <v/>
      </c>
      <c r="X942" s="47">
        <f>IF(GrossBasis="Wholesale",V942,W942)</f>
        <v/>
      </c>
      <c r="Y942" s="47">
        <f>R942*INDEX(FmtBlendedCogs,MATCH(F942,FmtName,0))</f>
        <v/>
      </c>
      <c r="Z942" s="47">
        <f>X942-Y942</f>
        <v/>
      </c>
    </row>
    <row r="943">
      <c r="A943" t="n">
        <v>41</v>
      </c>
      <c r="B943" s="44">
        <f>FiscalStart+(A943-1)*7</f>
        <v/>
      </c>
      <c r="C943">
        <f>TEXT(B943,"mmm yyyy")</f>
        <v/>
      </c>
      <c r="D943">
        <f>"Q"&amp;(INT((A943-1)/13)+1)</f>
        <v/>
      </c>
      <c r="E943" t="inlineStr">
        <is>
          <t>On Premise</t>
        </is>
      </c>
      <c r="F943">
        <f>IFERROR(INDEX(ChFormat,MATCH(E943,ChName,0)),"")</f>
        <v/>
      </c>
      <c r="G943" t="inlineStr">
        <is>
          <t>NS</t>
        </is>
      </c>
      <c r="H943">
        <f>IF(A943&lt;=NWeeks,1,0)</f>
        <v/>
      </c>
      <c r="I943">
        <f>INDEX(ChLaunch,MATCH(E943,ChName,0))</f>
        <v/>
      </c>
      <c r="J943">
        <f>INDEX(ChWeeksFull,MATCH(E943,ChName,0))</f>
        <v/>
      </c>
      <c r="K943">
        <f>INDEX(ChRamp,MATCH(E943,ChName,0))</f>
        <v/>
      </c>
      <c r="L943" s="45">
        <f>MIN(1,MAX(0,(A943-I943+1)*RampSpeed/J943))</f>
        <v/>
      </c>
      <c r="M943" s="45">
        <f>IF(A943&lt;I943,0,IF(K943="S-curve",L943*L943*(3-2*L943),L943))</f>
        <v/>
      </c>
      <c r="N943" s="45">
        <f>1+(INDEX(SeasonIdx,A943)-1)*SeasonAmp</f>
        <v/>
      </c>
      <c r="O943" s="45">
        <f>IFERROR(INDEX(PSPct,MATCH(E943&amp;"|"&amp;G943,PSKey,0)),0)</f>
        <v/>
      </c>
      <c r="P943" s="46">
        <f>INDEX(ChDoorVel,MATCH(E943,ChName,0))*CalibScalar*(1+VelocityUplift)</f>
        <v/>
      </c>
      <c r="Q943" s="46" t="n">
        <v>0</v>
      </c>
      <c r="R943" s="46">
        <f>P943*O943*M943*N943*H943</f>
        <v/>
      </c>
      <c r="S943" s="46">
        <f>R943*INDEX(FmtCansPerCase,MATCH(F943,FmtName,0))</f>
        <v/>
      </c>
      <c r="T943" s="46">
        <f>S943/INDEX(FmtCansPerPack,MATCH(F943,FmtName,0))</f>
        <v/>
      </c>
      <c r="U943" s="47">
        <f>INDEX(ChBaseCP,MATCH(E943,ChName,0))*(1+INDEX(ProvMod,MATCH(G943,ProvCode,0)))*(1+PriceIndex)</f>
        <v/>
      </c>
      <c r="V943" s="47">
        <f>R943*U943*INDEX(FmtBlendedPriceIdx,MATCH(F943,FmtName,0))</f>
        <v/>
      </c>
      <c r="W943" s="47">
        <f>T943*INDEX(ProvSRP,MATCH(G943,ProvCode,0))*(1+PriceIndex)</f>
        <v/>
      </c>
      <c r="X943" s="47">
        <f>IF(GrossBasis="Wholesale",V943,W943)</f>
        <v/>
      </c>
      <c r="Y943" s="47">
        <f>R943*INDEX(FmtBlendedCogs,MATCH(F943,FmtName,0))</f>
        <v/>
      </c>
      <c r="Z943" s="47">
        <f>X943-Y943</f>
        <v/>
      </c>
    </row>
    <row r="944">
      <c r="A944" t="n">
        <v>42</v>
      </c>
      <c r="B944" s="44">
        <f>FiscalStart+(A944-1)*7</f>
        <v/>
      </c>
      <c r="C944">
        <f>TEXT(B944,"mmm yyyy")</f>
        <v/>
      </c>
      <c r="D944">
        <f>"Q"&amp;(INT((A944-1)/13)+1)</f>
        <v/>
      </c>
      <c r="E944" t="inlineStr">
        <is>
          <t>On Premise</t>
        </is>
      </c>
      <c r="F944">
        <f>IFERROR(INDEX(ChFormat,MATCH(E944,ChName,0)),"")</f>
        <v/>
      </c>
      <c r="G944" t="inlineStr">
        <is>
          <t>NS</t>
        </is>
      </c>
      <c r="H944">
        <f>IF(A944&lt;=NWeeks,1,0)</f>
        <v/>
      </c>
      <c r="I944">
        <f>INDEX(ChLaunch,MATCH(E944,ChName,0))</f>
        <v/>
      </c>
      <c r="J944">
        <f>INDEX(ChWeeksFull,MATCH(E944,ChName,0))</f>
        <v/>
      </c>
      <c r="K944">
        <f>INDEX(ChRamp,MATCH(E944,ChName,0))</f>
        <v/>
      </c>
      <c r="L944" s="45">
        <f>MIN(1,MAX(0,(A944-I944+1)*RampSpeed/J944))</f>
        <v/>
      </c>
      <c r="M944" s="45">
        <f>IF(A944&lt;I944,0,IF(K944="S-curve",L944*L944*(3-2*L944),L944))</f>
        <v/>
      </c>
      <c r="N944" s="45">
        <f>1+(INDEX(SeasonIdx,A944)-1)*SeasonAmp</f>
        <v/>
      </c>
      <c r="O944" s="45">
        <f>IFERROR(INDEX(PSPct,MATCH(E944&amp;"|"&amp;G944,PSKey,0)),0)</f>
        <v/>
      </c>
      <c r="P944" s="46">
        <f>INDEX(ChDoorVel,MATCH(E944,ChName,0))*CalibScalar*(1+VelocityUplift)</f>
        <v/>
      </c>
      <c r="Q944" s="46" t="n">
        <v>0</v>
      </c>
      <c r="R944" s="46">
        <f>P944*O944*M944*N944*H944</f>
        <v/>
      </c>
      <c r="S944" s="46">
        <f>R944*INDEX(FmtCansPerCase,MATCH(F944,FmtName,0))</f>
        <v/>
      </c>
      <c r="T944" s="46">
        <f>S944/INDEX(FmtCansPerPack,MATCH(F944,FmtName,0))</f>
        <v/>
      </c>
      <c r="U944" s="47">
        <f>INDEX(ChBaseCP,MATCH(E944,ChName,0))*(1+INDEX(ProvMod,MATCH(G944,ProvCode,0)))*(1+PriceIndex)</f>
        <v/>
      </c>
      <c r="V944" s="47">
        <f>R944*U944*INDEX(FmtBlendedPriceIdx,MATCH(F944,FmtName,0))</f>
        <v/>
      </c>
      <c r="W944" s="47">
        <f>T944*INDEX(ProvSRP,MATCH(G944,ProvCode,0))*(1+PriceIndex)</f>
        <v/>
      </c>
      <c r="X944" s="47">
        <f>IF(GrossBasis="Wholesale",V944,W944)</f>
        <v/>
      </c>
      <c r="Y944" s="47">
        <f>R944*INDEX(FmtBlendedCogs,MATCH(F944,FmtName,0))</f>
        <v/>
      </c>
      <c r="Z944" s="47">
        <f>X944-Y944</f>
        <v/>
      </c>
    </row>
    <row r="945">
      <c r="A945" t="n">
        <v>43</v>
      </c>
      <c r="B945" s="44">
        <f>FiscalStart+(A945-1)*7</f>
        <v/>
      </c>
      <c r="C945">
        <f>TEXT(B945,"mmm yyyy")</f>
        <v/>
      </c>
      <c r="D945">
        <f>"Q"&amp;(INT((A945-1)/13)+1)</f>
        <v/>
      </c>
      <c r="E945" t="inlineStr">
        <is>
          <t>On Premise</t>
        </is>
      </c>
      <c r="F945">
        <f>IFERROR(INDEX(ChFormat,MATCH(E945,ChName,0)),"")</f>
        <v/>
      </c>
      <c r="G945" t="inlineStr">
        <is>
          <t>NS</t>
        </is>
      </c>
      <c r="H945">
        <f>IF(A945&lt;=NWeeks,1,0)</f>
        <v/>
      </c>
      <c r="I945">
        <f>INDEX(ChLaunch,MATCH(E945,ChName,0))</f>
        <v/>
      </c>
      <c r="J945">
        <f>INDEX(ChWeeksFull,MATCH(E945,ChName,0))</f>
        <v/>
      </c>
      <c r="K945">
        <f>INDEX(ChRamp,MATCH(E945,ChName,0))</f>
        <v/>
      </c>
      <c r="L945" s="45">
        <f>MIN(1,MAX(0,(A945-I945+1)*RampSpeed/J945))</f>
        <v/>
      </c>
      <c r="M945" s="45">
        <f>IF(A945&lt;I945,0,IF(K945="S-curve",L945*L945*(3-2*L945),L945))</f>
        <v/>
      </c>
      <c r="N945" s="45">
        <f>1+(INDEX(SeasonIdx,A945)-1)*SeasonAmp</f>
        <v/>
      </c>
      <c r="O945" s="45">
        <f>IFERROR(INDEX(PSPct,MATCH(E945&amp;"|"&amp;G945,PSKey,0)),0)</f>
        <v/>
      </c>
      <c r="P945" s="46">
        <f>INDEX(ChDoorVel,MATCH(E945,ChName,0))*CalibScalar*(1+VelocityUplift)</f>
        <v/>
      </c>
      <c r="Q945" s="46" t="n">
        <v>0</v>
      </c>
      <c r="R945" s="46">
        <f>P945*O945*M945*N945*H945</f>
        <v/>
      </c>
      <c r="S945" s="46">
        <f>R945*INDEX(FmtCansPerCase,MATCH(F945,FmtName,0))</f>
        <v/>
      </c>
      <c r="T945" s="46">
        <f>S945/INDEX(FmtCansPerPack,MATCH(F945,FmtName,0))</f>
        <v/>
      </c>
      <c r="U945" s="47">
        <f>INDEX(ChBaseCP,MATCH(E945,ChName,0))*(1+INDEX(ProvMod,MATCH(G945,ProvCode,0)))*(1+PriceIndex)</f>
        <v/>
      </c>
      <c r="V945" s="47">
        <f>R945*U945*INDEX(FmtBlendedPriceIdx,MATCH(F945,FmtName,0))</f>
        <v/>
      </c>
      <c r="W945" s="47">
        <f>T945*INDEX(ProvSRP,MATCH(G945,ProvCode,0))*(1+PriceIndex)</f>
        <v/>
      </c>
      <c r="X945" s="47">
        <f>IF(GrossBasis="Wholesale",V945,W945)</f>
        <v/>
      </c>
      <c r="Y945" s="47">
        <f>R945*INDEX(FmtBlendedCogs,MATCH(F945,FmtName,0))</f>
        <v/>
      </c>
      <c r="Z945" s="47">
        <f>X945-Y945</f>
        <v/>
      </c>
    </row>
    <row r="946">
      <c r="A946" t="n">
        <v>44</v>
      </c>
      <c r="B946" s="44">
        <f>FiscalStart+(A946-1)*7</f>
        <v/>
      </c>
      <c r="C946">
        <f>TEXT(B946,"mmm yyyy")</f>
        <v/>
      </c>
      <c r="D946">
        <f>"Q"&amp;(INT((A946-1)/13)+1)</f>
        <v/>
      </c>
      <c r="E946" t="inlineStr">
        <is>
          <t>On Premise</t>
        </is>
      </c>
      <c r="F946">
        <f>IFERROR(INDEX(ChFormat,MATCH(E946,ChName,0)),"")</f>
        <v/>
      </c>
      <c r="G946" t="inlineStr">
        <is>
          <t>NS</t>
        </is>
      </c>
      <c r="H946">
        <f>IF(A946&lt;=NWeeks,1,0)</f>
        <v/>
      </c>
      <c r="I946">
        <f>INDEX(ChLaunch,MATCH(E946,ChName,0))</f>
        <v/>
      </c>
      <c r="J946">
        <f>INDEX(ChWeeksFull,MATCH(E946,ChName,0))</f>
        <v/>
      </c>
      <c r="K946">
        <f>INDEX(ChRamp,MATCH(E946,ChName,0))</f>
        <v/>
      </c>
      <c r="L946" s="45">
        <f>MIN(1,MAX(0,(A946-I946+1)*RampSpeed/J946))</f>
        <v/>
      </c>
      <c r="M946" s="45">
        <f>IF(A946&lt;I946,0,IF(K946="S-curve",L946*L946*(3-2*L946),L946))</f>
        <v/>
      </c>
      <c r="N946" s="45">
        <f>1+(INDEX(SeasonIdx,A946)-1)*SeasonAmp</f>
        <v/>
      </c>
      <c r="O946" s="45">
        <f>IFERROR(INDEX(PSPct,MATCH(E946&amp;"|"&amp;G946,PSKey,0)),0)</f>
        <v/>
      </c>
      <c r="P946" s="46">
        <f>INDEX(ChDoorVel,MATCH(E946,ChName,0))*CalibScalar*(1+VelocityUplift)</f>
        <v/>
      </c>
      <c r="Q946" s="46" t="n">
        <v>0</v>
      </c>
      <c r="R946" s="46">
        <f>P946*O946*M946*N946*H946</f>
        <v/>
      </c>
      <c r="S946" s="46">
        <f>R946*INDEX(FmtCansPerCase,MATCH(F946,FmtName,0))</f>
        <v/>
      </c>
      <c r="T946" s="46">
        <f>S946/INDEX(FmtCansPerPack,MATCH(F946,FmtName,0))</f>
        <v/>
      </c>
      <c r="U946" s="47">
        <f>INDEX(ChBaseCP,MATCH(E946,ChName,0))*(1+INDEX(ProvMod,MATCH(G946,ProvCode,0)))*(1+PriceIndex)</f>
        <v/>
      </c>
      <c r="V946" s="47">
        <f>R946*U946*INDEX(FmtBlendedPriceIdx,MATCH(F946,FmtName,0))</f>
        <v/>
      </c>
      <c r="W946" s="47">
        <f>T946*INDEX(ProvSRP,MATCH(G946,ProvCode,0))*(1+PriceIndex)</f>
        <v/>
      </c>
      <c r="X946" s="47">
        <f>IF(GrossBasis="Wholesale",V946,W946)</f>
        <v/>
      </c>
      <c r="Y946" s="47">
        <f>R946*INDEX(FmtBlendedCogs,MATCH(F946,FmtName,0))</f>
        <v/>
      </c>
      <c r="Z946" s="47">
        <f>X946-Y946</f>
        <v/>
      </c>
    </row>
    <row r="947">
      <c r="A947" t="n">
        <v>45</v>
      </c>
      <c r="B947" s="44">
        <f>FiscalStart+(A947-1)*7</f>
        <v/>
      </c>
      <c r="C947">
        <f>TEXT(B947,"mmm yyyy")</f>
        <v/>
      </c>
      <c r="D947">
        <f>"Q"&amp;(INT((A947-1)/13)+1)</f>
        <v/>
      </c>
      <c r="E947" t="inlineStr">
        <is>
          <t>On Premise</t>
        </is>
      </c>
      <c r="F947">
        <f>IFERROR(INDEX(ChFormat,MATCH(E947,ChName,0)),"")</f>
        <v/>
      </c>
      <c r="G947" t="inlineStr">
        <is>
          <t>NS</t>
        </is>
      </c>
      <c r="H947">
        <f>IF(A947&lt;=NWeeks,1,0)</f>
        <v/>
      </c>
      <c r="I947">
        <f>INDEX(ChLaunch,MATCH(E947,ChName,0))</f>
        <v/>
      </c>
      <c r="J947">
        <f>INDEX(ChWeeksFull,MATCH(E947,ChName,0))</f>
        <v/>
      </c>
      <c r="K947">
        <f>INDEX(ChRamp,MATCH(E947,ChName,0))</f>
        <v/>
      </c>
      <c r="L947" s="45">
        <f>MIN(1,MAX(0,(A947-I947+1)*RampSpeed/J947))</f>
        <v/>
      </c>
      <c r="M947" s="45">
        <f>IF(A947&lt;I947,0,IF(K947="S-curve",L947*L947*(3-2*L947),L947))</f>
        <v/>
      </c>
      <c r="N947" s="45">
        <f>1+(INDEX(SeasonIdx,A947)-1)*SeasonAmp</f>
        <v/>
      </c>
      <c r="O947" s="45">
        <f>IFERROR(INDEX(PSPct,MATCH(E947&amp;"|"&amp;G947,PSKey,0)),0)</f>
        <v/>
      </c>
      <c r="P947" s="46">
        <f>INDEX(ChDoorVel,MATCH(E947,ChName,0))*CalibScalar*(1+VelocityUplift)</f>
        <v/>
      </c>
      <c r="Q947" s="46" t="n">
        <v>0</v>
      </c>
      <c r="R947" s="46">
        <f>P947*O947*M947*N947*H947</f>
        <v/>
      </c>
      <c r="S947" s="46">
        <f>R947*INDEX(FmtCansPerCase,MATCH(F947,FmtName,0))</f>
        <v/>
      </c>
      <c r="T947" s="46">
        <f>S947/INDEX(FmtCansPerPack,MATCH(F947,FmtName,0))</f>
        <v/>
      </c>
      <c r="U947" s="47">
        <f>INDEX(ChBaseCP,MATCH(E947,ChName,0))*(1+INDEX(ProvMod,MATCH(G947,ProvCode,0)))*(1+PriceIndex)</f>
        <v/>
      </c>
      <c r="V947" s="47">
        <f>R947*U947*INDEX(FmtBlendedPriceIdx,MATCH(F947,FmtName,0))</f>
        <v/>
      </c>
      <c r="W947" s="47">
        <f>T947*INDEX(ProvSRP,MATCH(G947,ProvCode,0))*(1+PriceIndex)</f>
        <v/>
      </c>
      <c r="X947" s="47">
        <f>IF(GrossBasis="Wholesale",V947,W947)</f>
        <v/>
      </c>
      <c r="Y947" s="47">
        <f>R947*INDEX(FmtBlendedCogs,MATCH(F947,FmtName,0))</f>
        <v/>
      </c>
      <c r="Z947" s="47">
        <f>X947-Y947</f>
        <v/>
      </c>
    </row>
    <row r="948">
      <c r="A948" t="n">
        <v>46</v>
      </c>
      <c r="B948" s="44">
        <f>FiscalStart+(A948-1)*7</f>
        <v/>
      </c>
      <c r="C948">
        <f>TEXT(B948,"mmm yyyy")</f>
        <v/>
      </c>
      <c r="D948">
        <f>"Q"&amp;(INT((A948-1)/13)+1)</f>
        <v/>
      </c>
      <c r="E948" t="inlineStr">
        <is>
          <t>On Premise</t>
        </is>
      </c>
      <c r="F948">
        <f>IFERROR(INDEX(ChFormat,MATCH(E948,ChName,0)),"")</f>
        <v/>
      </c>
      <c r="G948" t="inlineStr">
        <is>
          <t>NS</t>
        </is>
      </c>
      <c r="H948">
        <f>IF(A948&lt;=NWeeks,1,0)</f>
        <v/>
      </c>
      <c r="I948">
        <f>INDEX(ChLaunch,MATCH(E948,ChName,0))</f>
        <v/>
      </c>
      <c r="J948">
        <f>INDEX(ChWeeksFull,MATCH(E948,ChName,0))</f>
        <v/>
      </c>
      <c r="K948">
        <f>INDEX(ChRamp,MATCH(E948,ChName,0))</f>
        <v/>
      </c>
      <c r="L948" s="45">
        <f>MIN(1,MAX(0,(A948-I948+1)*RampSpeed/J948))</f>
        <v/>
      </c>
      <c r="M948" s="45">
        <f>IF(A948&lt;I948,0,IF(K948="S-curve",L948*L948*(3-2*L948),L948))</f>
        <v/>
      </c>
      <c r="N948" s="45">
        <f>1+(INDEX(SeasonIdx,A948)-1)*SeasonAmp</f>
        <v/>
      </c>
      <c r="O948" s="45">
        <f>IFERROR(INDEX(PSPct,MATCH(E948&amp;"|"&amp;G948,PSKey,0)),0)</f>
        <v/>
      </c>
      <c r="P948" s="46">
        <f>INDEX(ChDoorVel,MATCH(E948,ChName,0))*CalibScalar*(1+VelocityUplift)</f>
        <v/>
      </c>
      <c r="Q948" s="46" t="n">
        <v>0</v>
      </c>
      <c r="R948" s="46">
        <f>P948*O948*M948*N948*H948</f>
        <v/>
      </c>
      <c r="S948" s="46">
        <f>R948*INDEX(FmtCansPerCase,MATCH(F948,FmtName,0))</f>
        <v/>
      </c>
      <c r="T948" s="46">
        <f>S948/INDEX(FmtCansPerPack,MATCH(F948,FmtName,0))</f>
        <v/>
      </c>
      <c r="U948" s="47">
        <f>INDEX(ChBaseCP,MATCH(E948,ChName,0))*(1+INDEX(ProvMod,MATCH(G948,ProvCode,0)))*(1+PriceIndex)</f>
        <v/>
      </c>
      <c r="V948" s="47">
        <f>R948*U948*INDEX(FmtBlendedPriceIdx,MATCH(F948,FmtName,0))</f>
        <v/>
      </c>
      <c r="W948" s="47">
        <f>T948*INDEX(ProvSRP,MATCH(G948,ProvCode,0))*(1+PriceIndex)</f>
        <v/>
      </c>
      <c r="X948" s="47">
        <f>IF(GrossBasis="Wholesale",V948,W948)</f>
        <v/>
      </c>
      <c r="Y948" s="47">
        <f>R948*INDEX(FmtBlendedCogs,MATCH(F948,FmtName,0))</f>
        <v/>
      </c>
      <c r="Z948" s="47">
        <f>X948-Y948</f>
        <v/>
      </c>
    </row>
    <row r="949">
      <c r="A949" t="n">
        <v>47</v>
      </c>
      <c r="B949" s="44">
        <f>FiscalStart+(A949-1)*7</f>
        <v/>
      </c>
      <c r="C949">
        <f>TEXT(B949,"mmm yyyy")</f>
        <v/>
      </c>
      <c r="D949">
        <f>"Q"&amp;(INT((A949-1)/13)+1)</f>
        <v/>
      </c>
      <c r="E949" t="inlineStr">
        <is>
          <t>On Premise</t>
        </is>
      </c>
      <c r="F949">
        <f>IFERROR(INDEX(ChFormat,MATCH(E949,ChName,0)),"")</f>
        <v/>
      </c>
      <c r="G949" t="inlineStr">
        <is>
          <t>NS</t>
        </is>
      </c>
      <c r="H949">
        <f>IF(A949&lt;=NWeeks,1,0)</f>
        <v/>
      </c>
      <c r="I949">
        <f>INDEX(ChLaunch,MATCH(E949,ChName,0))</f>
        <v/>
      </c>
      <c r="J949">
        <f>INDEX(ChWeeksFull,MATCH(E949,ChName,0))</f>
        <v/>
      </c>
      <c r="K949">
        <f>INDEX(ChRamp,MATCH(E949,ChName,0))</f>
        <v/>
      </c>
      <c r="L949" s="45">
        <f>MIN(1,MAX(0,(A949-I949+1)*RampSpeed/J949))</f>
        <v/>
      </c>
      <c r="M949" s="45">
        <f>IF(A949&lt;I949,0,IF(K949="S-curve",L949*L949*(3-2*L949),L949))</f>
        <v/>
      </c>
      <c r="N949" s="45">
        <f>1+(INDEX(SeasonIdx,A949)-1)*SeasonAmp</f>
        <v/>
      </c>
      <c r="O949" s="45">
        <f>IFERROR(INDEX(PSPct,MATCH(E949&amp;"|"&amp;G949,PSKey,0)),0)</f>
        <v/>
      </c>
      <c r="P949" s="46">
        <f>INDEX(ChDoorVel,MATCH(E949,ChName,0))*CalibScalar*(1+VelocityUplift)</f>
        <v/>
      </c>
      <c r="Q949" s="46" t="n">
        <v>0</v>
      </c>
      <c r="R949" s="46">
        <f>P949*O949*M949*N949*H949</f>
        <v/>
      </c>
      <c r="S949" s="46">
        <f>R949*INDEX(FmtCansPerCase,MATCH(F949,FmtName,0))</f>
        <v/>
      </c>
      <c r="T949" s="46">
        <f>S949/INDEX(FmtCansPerPack,MATCH(F949,FmtName,0))</f>
        <v/>
      </c>
      <c r="U949" s="47">
        <f>INDEX(ChBaseCP,MATCH(E949,ChName,0))*(1+INDEX(ProvMod,MATCH(G949,ProvCode,0)))*(1+PriceIndex)</f>
        <v/>
      </c>
      <c r="V949" s="47">
        <f>R949*U949*INDEX(FmtBlendedPriceIdx,MATCH(F949,FmtName,0))</f>
        <v/>
      </c>
      <c r="W949" s="47">
        <f>T949*INDEX(ProvSRP,MATCH(G949,ProvCode,0))*(1+PriceIndex)</f>
        <v/>
      </c>
      <c r="X949" s="47">
        <f>IF(GrossBasis="Wholesale",V949,W949)</f>
        <v/>
      </c>
      <c r="Y949" s="47">
        <f>R949*INDEX(FmtBlendedCogs,MATCH(F949,FmtName,0))</f>
        <v/>
      </c>
      <c r="Z949" s="47">
        <f>X949-Y949</f>
        <v/>
      </c>
    </row>
    <row r="950">
      <c r="A950" t="n">
        <v>48</v>
      </c>
      <c r="B950" s="44">
        <f>FiscalStart+(A950-1)*7</f>
        <v/>
      </c>
      <c r="C950">
        <f>TEXT(B950,"mmm yyyy")</f>
        <v/>
      </c>
      <c r="D950">
        <f>"Q"&amp;(INT((A950-1)/13)+1)</f>
        <v/>
      </c>
      <c r="E950" t="inlineStr">
        <is>
          <t>On Premise</t>
        </is>
      </c>
      <c r="F950">
        <f>IFERROR(INDEX(ChFormat,MATCH(E950,ChName,0)),"")</f>
        <v/>
      </c>
      <c r="G950" t="inlineStr">
        <is>
          <t>NS</t>
        </is>
      </c>
      <c r="H950">
        <f>IF(A950&lt;=NWeeks,1,0)</f>
        <v/>
      </c>
      <c r="I950">
        <f>INDEX(ChLaunch,MATCH(E950,ChName,0))</f>
        <v/>
      </c>
      <c r="J950">
        <f>INDEX(ChWeeksFull,MATCH(E950,ChName,0))</f>
        <v/>
      </c>
      <c r="K950">
        <f>INDEX(ChRamp,MATCH(E950,ChName,0))</f>
        <v/>
      </c>
      <c r="L950" s="45">
        <f>MIN(1,MAX(0,(A950-I950+1)*RampSpeed/J950))</f>
        <v/>
      </c>
      <c r="M950" s="45">
        <f>IF(A950&lt;I950,0,IF(K950="S-curve",L950*L950*(3-2*L950),L950))</f>
        <v/>
      </c>
      <c r="N950" s="45">
        <f>1+(INDEX(SeasonIdx,A950)-1)*SeasonAmp</f>
        <v/>
      </c>
      <c r="O950" s="45">
        <f>IFERROR(INDEX(PSPct,MATCH(E950&amp;"|"&amp;G950,PSKey,0)),0)</f>
        <v/>
      </c>
      <c r="P950" s="46">
        <f>INDEX(ChDoorVel,MATCH(E950,ChName,0))*CalibScalar*(1+VelocityUplift)</f>
        <v/>
      </c>
      <c r="Q950" s="46" t="n">
        <v>0</v>
      </c>
      <c r="R950" s="46">
        <f>P950*O950*M950*N950*H950</f>
        <v/>
      </c>
      <c r="S950" s="46">
        <f>R950*INDEX(FmtCansPerCase,MATCH(F950,FmtName,0))</f>
        <v/>
      </c>
      <c r="T950" s="46">
        <f>S950/INDEX(FmtCansPerPack,MATCH(F950,FmtName,0))</f>
        <v/>
      </c>
      <c r="U950" s="47">
        <f>INDEX(ChBaseCP,MATCH(E950,ChName,0))*(1+INDEX(ProvMod,MATCH(G950,ProvCode,0)))*(1+PriceIndex)</f>
        <v/>
      </c>
      <c r="V950" s="47">
        <f>R950*U950*INDEX(FmtBlendedPriceIdx,MATCH(F950,FmtName,0))</f>
        <v/>
      </c>
      <c r="W950" s="47">
        <f>T950*INDEX(ProvSRP,MATCH(G950,ProvCode,0))*(1+PriceIndex)</f>
        <v/>
      </c>
      <c r="X950" s="47">
        <f>IF(GrossBasis="Wholesale",V950,W950)</f>
        <v/>
      </c>
      <c r="Y950" s="47">
        <f>R950*INDEX(FmtBlendedCogs,MATCH(F950,FmtName,0))</f>
        <v/>
      </c>
      <c r="Z950" s="47">
        <f>X950-Y950</f>
        <v/>
      </c>
    </row>
    <row r="951">
      <c r="A951" t="n">
        <v>49</v>
      </c>
      <c r="B951" s="44">
        <f>FiscalStart+(A951-1)*7</f>
        <v/>
      </c>
      <c r="C951">
        <f>TEXT(B951,"mmm yyyy")</f>
        <v/>
      </c>
      <c r="D951">
        <f>"Q"&amp;(INT((A951-1)/13)+1)</f>
        <v/>
      </c>
      <c r="E951" t="inlineStr">
        <is>
          <t>On Premise</t>
        </is>
      </c>
      <c r="F951">
        <f>IFERROR(INDEX(ChFormat,MATCH(E951,ChName,0)),"")</f>
        <v/>
      </c>
      <c r="G951" t="inlineStr">
        <is>
          <t>NS</t>
        </is>
      </c>
      <c r="H951">
        <f>IF(A951&lt;=NWeeks,1,0)</f>
        <v/>
      </c>
      <c r="I951">
        <f>INDEX(ChLaunch,MATCH(E951,ChName,0))</f>
        <v/>
      </c>
      <c r="J951">
        <f>INDEX(ChWeeksFull,MATCH(E951,ChName,0))</f>
        <v/>
      </c>
      <c r="K951">
        <f>INDEX(ChRamp,MATCH(E951,ChName,0))</f>
        <v/>
      </c>
      <c r="L951" s="45">
        <f>MIN(1,MAX(0,(A951-I951+1)*RampSpeed/J951))</f>
        <v/>
      </c>
      <c r="M951" s="45">
        <f>IF(A951&lt;I951,0,IF(K951="S-curve",L951*L951*(3-2*L951),L951))</f>
        <v/>
      </c>
      <c r="N951" s="45">
        <f>1+(INDEX(SeasonIdx,A951)-1)*SeasonAmp</f>
        <v/>
      </c>
      <c r="O951" s="45">
        <f>IFERROR(INDEX(PSPct,MATCH(E951&amp;"|"&amp;G951,PSKey,0)),0)</f>
        <v/>
      </c>
      <c r="P951" s="46">
        <f>INDEX(ChDoorVel,MATCH(E951,ChName,0))*CalibScalar*(1+VelocityUplift)</f>
        <v/>
      </c>
      <c r="Q951" s="46" t="n">
        <v>0</v>
      </c>
      <c r="R951" s="46">
        <f>P951*O951*M951*N951*H951</f>
        <v/>
      </c>
      <c r="S951" s="46">
        <f>R951*INDEX(FmtCansPerCase,MATCH(F951,FmtName,0))</f>
        <v/>
      </c>
      <c r="T951" s="46">
        <f>S951/INDEX(FmtCansPerPack,MATCH(F951,FmtName,0))</f>
        <v/>
      </c>
      <c r="U951" s="47">
        <f>INDEX(ChBaseCP,MATCH(E951,ChName,0))*(1+INDEX(ProvMod,MATCH(G951,ProvCode,0)))*(1+PriceIndex)</f>
        <v/>
      </c>
      <c r="V951" s="47">
        <f>R951*U951*INDEX(FmtBlendedPriceIdx,MATCH(F951,FmtName,0))</f>
        <v/>
      </c>
      <c r="W951" s="47">
        <f>T951*INDEX(ProvSRP,MATCH(G951,ProvCode,0))*(1+PriceIndex)</f>
        <v/>
      </c>
      <c r="X951" s="47">
        <f>IF(GrossBasis="Wholesale",V951,W951)</f>
        <v/>
      </c>
      <c r="Y951" s="47">
        <f>R951*INDEX(FmtBlendedCogs,MATCH(F951,FmtName,0))</f>
        <v/>
      </c>
      <c r="Z951" s="47">
        <f>X951-Y951</f>
        <v/>
      </c>
    </row>
    <row r="952">
      <c r="A952" t="n">
        <v>50</v>
      </c>
      <c r="B952" s="44">
        <f>FiscalStart+(A952-1)*7</f>
        <v/>
      </c>
      <c r="C952">
        <f>TEXT(B952,"mmm yyyy")</f>
        <v/>
      </c>
      <c r="D952">
        <f>"Q"&amp;(INT((A952-1)/13)+1)</f>
        <v/>
      </c>
      <c r="E952" t="inlineStr">
        <is>
          <t>On Premise</t>
        </is>
      </c>
      <c r="F952">
        <f>IFERROR(INDEX(ChFormat,MATCH(E952,ChName,0)),"")</f>
        <v/>
      </c>
      <c r="G952" t="inlineStr">
        <is>
          <t>NS</t>
        </is>
      </c>
      <c r="H952">
        <f>IF(A952&lt;=NWeeks,1,0)</f>
        <v/>
      </c>
      <c r="I952">
        <f>INDEX(ChLaunch,MATCH(E952,ChName,0))</f>
        <v/>
      </c>
      <c r="J952">
        <f>INDEX(ChWeeksFull,MATCH(E952,ChName,0))</f>
        <v/>
      </c>
      <c r="K952">
        <f>INDEX(ChRamp,MATCH(E952,ChName,0))</f>
        <v/>
      </c>
      <c r="L952" s="45">
        <f>MIN(1,MAX(0,(A952-I952+1)*RampSpeed/J952))</f>
        <v/>
      </c>
      <c r="M952" s="45">
        <f>IF(A952&lt;I952,0,IF(K952="S-curve",L952*L952*(3-2*L952),L952))</f>
        <v/>
      </c>
      <c r="N952" s="45">
        <f>1+(INDEX(SeasonIdx,A952)-1)*SeasonAmp</f>
        <v/>
      </c>
      <c r="O952" s="45">
        <f>IFERROR(INDEX(PSPct,MATCH(E952&amp;"|"&amp;G952,PSKey,0)),0)</f>
        <v/>
      </c>
      <c r="P952" s="46">
        <f>INDEX(ChDoorVel,MATCH(E952,ChName,0))*CalibScalar*(1+VelocityUplift)</f>
        <v/>
      </c>
      <c r="Q952" s="46" t="n">
        <v>0</v>
      </c>
      <c r="R952" s="46">
        <f>P952*O952*M952*N952*H952</f>
        <v/>
      </c>
      <c r="S952" s="46">
        <f>R952*INDEX(FmtCansPerCase,MATCH(F952,FmtName,0))</f>
        <v/>
      </c>
      <c r="T952" s="46">
        <f>S952/INDEX(FmtCansPerPack,MATCH(F952,FmtName,0))</f>
        <v/>
      </c>
      <c r="U952" s="47">
        <f>INDEX(ChBaseCP,MATCH(E952,ChName,0))*(1+INDEX(ProvMod,MATCH(G952,ProvCode,0)))*(1+PriceIndex)</f>
        <v/>
      </c>
      <c r="V952" s="47">
        <f>R952*U952*INDEX(FmtBlendedPriceIdx,MATCH(F952,FmtName,0))</f>
        <v/>
      </c>
      <c r="W952" s="47">
        <f>T952*INDEX(ProvSRP,MATCH(G952,ProvCode,0))*(1+PriceIndex)</f>
        <v/>
      </c>
      <c r="X952" s="47">
        <f>IF(GrossBasis="Wholesale",V952,W952)</f>
        <v/>
      </c>
      <c r="Y952" s="47">
        <f>R952*INDEX(FmtBlendedCogs,MATCH(F952,FmtName,0))</f>
        <v/>
      </c>
      <c r="Z952" s="47">
        <f>X952-Y952</f>
        <v/>
      </c>
    </row>
    <row r="953">
      <c r="A953" t="n">
        <v>51</v>
      </c>
      <c r="B953" s="44">
        <f>FiscalStart+(A953-1)*7</f>
        <v/>
      </c>
      <c r="C953">
        <f>TEXT(B953,"mmm yyyy")</f>
        <v/>
      </c>
      <c r="D953">
        <f>"Q"&amp;(INT((A953-1)/13)+1)</f>
        <v/>
      </c>
      <c r="E953" t="inlineStr">
        <is>
          <t>On Premise</t>
        </is>
      </c>
      <c r="F953">
        <f>IFERROR(INDEX(ChFormat,MATCH(E953,ChName,0)),"")</f>
        <v/>
      </c>
      <c r="G953" t="inlineStr">
        <is>
          <t>NS</t>
        </is>
      </c>
      <c r="H953">
        <f>IF(A953&lt;=NWeeks,1,0)</f>
        <v/>
      </c>
      <c r="I953">
        <f>INDEX(ChLaunch,MATCH(E953,ChName,0))</f>
        <v/>
      </c>
      <c r="J953">
        <f>INDEX(ChWeeksFull,MATCH(E953,ChName,0))</f>
        <v/>
      </c>
      <c r="K953">
        <f>INDEX(ChRamp,MATCH(E953,ChName,0))</f>
        <v/>
      </c>
      <c r="L953" s="45">
        <f>MIN(1,MAX(0,(A953-I953+1)*RampSpeed/J953))</f>
        <v/>
      </c>
      <c r="M953" s="45">
        <f>IF(A953&lt;I953,0,IF(K953="S-curve",L953*L953*(3-2*L953),L953))</f>
        <v/>
      </c>
      <c r="N953" s="45">
        <f>1+(INDEX(SeasonIdx,A953)-1)*SeasonAmp</f>
        <v/>
      </c>
      <c r="O953" s="45">
        <f>IFERROR(INDEX(PSPct,MATCH(E953&amp;"|"&amp;G953,PSKey,0)),0)</f>
        <v/>
      </c>
      <c r="P953" s="46">
        <f>INDEX(ChDoorVel,MATCH(E953,ChName,0))*CalibScalar*(1+VelocityUplift)</f>
        <v/>
      </c>
      <c r="Q953" s="46" t="n">
        <v>0</v>
      </c>
      <c r="R953" s="46">
        <f>P953*O953*M953*N953*H953</f>
        <v/>
      </c>
      <c r="S953" s="46">
        <f>R953*INDEX(FmtCansPerCase,MATCH(F953,FmtName,0))</f>
        <v/>
      </c>
      <c r="T953" s="46">
        <f>S953/INDEX(FmtCansPerPack,MATCH(F953,FmtName,0))</f>
        <v/>
      </c>
      <c r="U953" s="47">
        <f>INDEX(ChBaseCP,MATCH(E953,ChName,0))*(1+INDEX(ProvMod,MATCH(G953,ProvCode,0)))*(1+PriceIndex)</f>
        <v/>
      </c>
      <c r="V953" s="47">
        <f>R953*U953*INDEX(FmtBlendedPriceIdx,MATCH(F953,FmtName,0))</f>
        <v/>
      </c>
      <c r="W953" s="47">
        <f>T953*INDEX(ProvSRP,MATCH(G953,ProvCode,0))*(1+PriceIndex)</f>
        <v/>
      </c>
      <c r="X953" s="47">
        <f>IF(GrossBasis="Wholesale",V953,W953)</f>
        <v/>
      </c>
      <c r="Y953" s="47">
        <f>R953*INDEX(FmtBlendedCogs,MATCH(F953,FmtName,0))</f>
        <v/>
      </c>
      <c r="Z953" s="47">
        <f>X953-Y953</f>
        <v/>
      </c>
    </row>
    <row r="954">
      <c r="A954" t="n">
        <v>52</v>
      </c>
      <c r="B954" s="44">
        <f>FiscalStart+(A954-1)*7</f>
        <v/>
      </c>
      <c r="C954">
        <f>TEXT(B954,"mmm yyyy")</f>
        <v/>
      </c>
      <c r="D954">
        <f>"Q"&amp;(INT((A954-1)/13)+1)</f>
        <v/>
      </c>
      <c r="E954" t="inlineStr">
        <is>
          <t>On Premise</t>
        </is>
      </c>
      <c r="F954">
        <f>IFERROR(INDEX(ChFormat,MATCH(E954,ChName,0)),"")</f>
        <v/>
      </c>
      <c r="G954" t="inlineStr">
        <is>
          <t>NS</t>
        </is>
      </c>
      <c r="H954">
        <f>IF(A954&lt;=NWeeks,1,0)</f>
        <v/>
      </c>
      <c r="I954">
        <f>INDEX(ChLaunch,MATCH(E954,ChName,0))</f>
        <v/>
      </c>
      <c r="J954">
        <f>INDEX(ChWeeksFull,MATCH(E954,ChName,0))</f>
        <v/>
      </c>
      <c r="K954">
        <f>INDEX(ChRamp,MATCH(E954,ChName,0))</f>
        <v/>
      </c>
      <c r="L954" s="45">
        <f>MIN(1,MAX(0,(A954-I954+1)*RampSpeed/J954))</f>
        <v/>
      </c>
      <c r="M954" s="45">
        <f>IF(A954&lt;I954,0,IF(K954="S-curve",L954*L954*(3-2*L954),L954))</f>
        <v/>
      </c>
      <c r="N954" s="45">
        <f>1+(INDEX(SeasonIdx,A954)-1)*SeasonAmp</f>
        <v/>
      </c>
      <c r="O954" s="45">
        <f>IFERROR(INDEX(PSPct,MATCH(E954&amp;"|"&amp;G954,PSKey,0)),0)</f>
        <v/>
      </c>
      <c r="P954" s="46">
        <f>INDEX(ChDoorVel,MATCH(E954,ChName,0))*CalibScalar*(1+VelocityUplift)</f>
        <v/>
      </c>
      <c r="Q954" s="46" t="n">
        <v>0</v>
      </c>
      <c r="R954" s="46">
        <f>P954*O954*M954*N954*H954</f>
        <v/>
      </c>
      <c r="S954" s="46">
        <f>R954*INDEX(FmtCansPerCase,MATCH(F954,FmtName,0))</f>
        <v/>
      </c>
      <c r="T954" s="46">
        <f>S954/INDEX(FmtCansPerPack,MATCH(F954,FmtName,0))</f>
        <v/>
      </c>
      <c r="U954" s="47">
        <f>INDEX(ChBaseCP,MATCH(E954,ChName,0))*(1+INDEX(ProvMod,MATCH(G954,ProvCode,0)))*(1+PriceIndex)</f>
        <v/>
      </c>
      <c r="V954" s="47">
        <f>R954*U954*INDEX(FmtBlendedPriceIdx,MATCH(F954,FmtName,0))</f>
        <v/>
      </c>
      <c r="W954" s="47">
        <f>T954*INDEX(ProvSRP,MATCH(G954,ProvCode,0))*(1+PriceIndex)</f>
        <v/>
      </c>
      <c r="X954" s="47">
        <f>IF(GrossBasis="Wholesale",V954,W954)</f>
        <v/>
      </c>
      <c r="Y954" s="47">
        <f>R954*INDEX(FmtBlendedCogs,MATCH(F954,FmtName,0))</f>
        <v/>
      </c>
      <c r="Z954" s="47">
        <f>X954-Y954</f>
        <v/>
      </c>
    </row>
    <row r="955">
      <c r="A955" t="n">
        <v>53</v>
      </c>
      <c r="B955" s="44">
        <f>FiscalStart+(A955-1)*7</f>
        <v/>
      </c>
      <c r="C955">
        <f>TEXT(B955,"mmm yyyy")</f>
        <v/>
      </c>
      <c r="D955">
        <f>"Q"&amp;(INT((A955-1)/13)+1)</f>
        <v/>
      </c>
      <c r="E955" t="inlineStr">
        <is>
          <t>On Premise</t>
        </is>
      </c>
      <c r="F955">
        <f>IFERROR(INDEX(ChFormat,MATCH(E955,ChName,0)),"")</f>
        <v/>
      </c>
      <c r="G955" t="inlineStr">
        <is>
          <t>NS</t>
        </is>
      </c>
      <c r="H955">
        <f>IF(A955&lt;=NWeeks,1,0)</f>
        <v/>
      </c>
      <c r="I955">
        <f>INDEX(ChLaunch,MATCH(E955,ChName,0))</f>
        <v/>
      </c>
      <c r="J955">
        <f>INDEX(ChWeeksFull,MATCH(E955,ChName,0))</f>
        <v/>
      </c>
      <c r="K955">
        <f>INDEX(ChRamp,MATCH(E955,ChName,0))</f>
        <v/>
      </c>
      <c r="L955" s="45">
        <f>MIN(1,MAX(0,(A955-I955+1)*RampSpeed/J955))</f>
        <v/>
      </c>
      <c r="M955" s="45">
        <f>IF(A955&lt;I955,0,IF(K955="S-curve",L955*L955*(3-2*L955),L955))</f>
        <v/>
      </c>
      <c r="N955" s="45">
        <f>1+(INDEX(SeasonIdx,A955)-1)*SeasonAmp</f>
        <v/>
      </c>
      <c r="O955" s="45">
        <f>IFERROR(INDEX(PSPct,MATCH(E955&amp;"|"&amp;G955,PSKey,0)),0)</f>
        <v/>
      </c>
      <c r="P955" s="46">
        <f>INDEX(ChDoorVel,MATCH(E955,ChName,0))*CalibScalar*(1+VelocityUplift)</f>
        <v/>
      </c>
      <c r="Q955" s="46" t="n">
        <v>0</v>
      </c>
      <c r="R955" s="46">
        <f>P955*O955*M955*N955*H955</f>
        <v/>
      </c>
      <c r="S955" s="46">
        <f>R955*INDEX(FmtCansPerCase,MATCH(F955,FmtName,0))</f>
        <v/>
      </c>
      <c r="T955" s="46">
        <f>S955/INDEX(FmtCansPerPack,MATCH(F955,FmtName,0))</f>
        <v/>
      </c>
      <c r="U955" s="47">
        <f>INDEX(ChBaseCP,MATCH(E955,ChName,0))*(1+INDEX(ProvMod,MATCH(G955,ProvCode,0)))*(1+PriceIndex)</f>
        <v/>
      </c>
      <c r="V955" s="47">
        <f>R955*U955*INDEX(FmtBlendedPriceIdx,MATCH(F955,FmtName,0))</f>
        <v/>
      </c>
      <c r="W955" s="47">
        <f>T955*INDEX(ProvSRP,MATCH(G955,ProvCode,0))*(1+PriceIndex)</f>
        <v/>
      </c>
      <c r="X955" s="47">
        <f>IF(GrossBasis="Wholesale",V955,W955)</f>
        <v/>
      </c>
      <c r="Y955" s="47">
        <f>R955*INDEX(FmtBlendedCogs,MATCH(F955,FmtName,0))</f>
        <v/>
      </c>
      <c r="Z955" s="47">
        <f>X955-Y955</f>
        <v/>
      </c>
    </row>
    <row r="956">
      <c r="A956" t="n">
        <v>1</v>
      </c>
      <c r="B956" s="44">
        <f>FiscalStart+(A956-1)*7</f>
        <v/>
      </c>
      <c r="C956">
        <f>TEXT(B956,"mmm yyyy")</f>
        <v/>
      </c>
      <c r="D956">
        <f>"Q"&amp;(INT((A956-1)/13)+1)</f>
        <v/>
      </c>
      <c r="E956" t="inlineStr">
        <is>
          <t>On Premise</t>
        </is>
      </c>
      <c r="F956">
        <f>IFERROR(INDEX(ChFormat,MATCH(E956,ChName,0)),"")</f>
        <v/>
      </c>
      <c r="G956" t="inlineStr">
        <is>
          <t>PE</t>
        </is>
      </c>
      <c r="H956">
        <f>IF(A956&lt;=NWeeks,1,0)</f>
        <v/>
      </c>
      <c r="I956">
        <f>INDEX(ChLaunch,MATCH(E956,ChName,0))</f>
        <v/>
      </c>
      <c r="J956">
        <f>INDEX(ChWeeksFull,MATCH(E956,ChName,0))</f>
        <v/>
      </c>
      <c r="K956">
        <f>INDEX(ChRamp,MATCH(E956,ChName,0))</f>
        <v/>
      </c>
      <c r="L956" s="45">
        <f>MIN(1,MAX(0,(A956-I956+1)*RampSpeed/J956))</f>
        <v/>
      </c>
      <c r="M956" s="45">
        <f>IF(A956&lt;I956,0,IF(K956="S-curve",L956*L956*(3-2*L956),L956))</f>
        <v/>
      </c>
      <c r="N956" s="45">
        <f>1+(INDEX(SeasonIdx,A956)-1)*SeasonAmp</f>
        <v/>
      </c>
      <c r="O956" s="45">
        <f>IFERROR(INDEX(PSPct,MATCH(E956&amp;"|"&amp;G956,PSKey,0)),0)</f>
        <v/>
      </c>
      <c r="P956" s="46">
        <f>INDEX(ChDoorVel,MATCH(E956,ChName,0))*CalibScalar*(1+VelocityUplift)</f>
        <v/>
      </c>
      <c r="Q956" s="46" t="n">
        <v>0</v>
      </c>
      <c r="R956" s="46">
        <f>P956*O956*M956*N956*H956</f>
        <v/>
      </c>
      <c r="S956" s="46">
        <f>R956*INDEX(FmtCansPerCase,MATCH(F956,FmtName,0))</f>
        <v/>
      </c>
      <c r="T956" s="46">
        <f>S956/INDEX(FmtCansPerPack,MATCH(F956,FmtName,0))</f>
        <v/>
      </c>
      <c r="U956" s="47">
        <f>INDEX(ChBaseCP,MATCH(E956,ChName,0))*(1+INDEX(ProvMod,MATCH(G956,ProvCode,0)))*(1+PriceIndex)</f>
        <v/>
      </c>
      <c r="V956" s="47">
        <f>R956*U956*INDEX(FmtBlendedPriceIdx,MATCH(F956,FmtName,0))</f>
        <v/>
      </c>
      <c r="W956" s="47">
        <f>T956*INDEX(ProvSRP,MATCH(G956,ProvCode,0))*(1+PriceIndex)</f>
        <v/>
      </c>
      <c r="X956" s="47">
        <f>IF(GrossBasis="Wholesale",V956,W956)</f>
        <v/>
      </c>
      <c r="Y956" s="47">
        <f>R956*INDEX(FmtBlendedCogs,MATCH(F956,FmtName,0))</f>
        <v/>
      </c>
      <c r="Z956" s="47">
        <f>X956-Y956</f>
        <v/>
      </c>
    </row>
    <row r="957">
      <c r="A957" t="n">
        <v>2</v>
      </c>
      <c r="B957" s="44">
        <f>FiscalStart+(A957-1)*7</f>
        <v/>
      </c>
      <c r="C957">
        <f>TEXT(B957,"mmm yyyy")</f>
        <v/>
      </c>
      <c r="D957">
        <f>"Q"&amp;(INT((A957-1)/13)+1)</f>
        <v/>
      </c>
      <c r="E957" t="inlineStr">
        <is>
          <t>On Premise</t>
        </is>
      </c>
      <c r="F957">
        <f>IFERROR(INDEX(ChFormat,MATCH(E957,ChName,0)),"")</f>
        <v/>
      </c>
      <c r="G957" t="inlineStr">
        <is>
          <t>PE</t>
        </is>
      </c>
      <c r="H957">
        <f>IF(A957&lt;=NWeeks,1,0)</f>
        <v/>
      </c>
      <c r="I957">
        <f>INDEX(ChLaunch,MATCH(E957,ChName,0))</f>
        <v/>
      </c>
      <c r="J957">
        <f>INDEX(ChWeeksFull,MATCH(E957,ChName,0))</f>
        <v/>
      </c>
      <c r="K957">
        <f>INDEX(ChRamp,MATCH(E957,ChName,0))</f>
        <v/>
      </c>
      <c r="L957" s="45">
        <f>MIN(1,MAX(0,(A957-I957+1)*RampSpeed/J957))</f>
        <v/>
      </c>
      <c r="M957" s="45">
        <f>IF(A957&lt;I957,0,IF(K957="S-curve",L957*L957*(3-2*L957),L957))</f>
        <v/>
      </c>
      <c r="N957" s="45">
        <f>1+(INDEX(SeasonIdx,A957)-1)*SeasonAmp</f>
        <v/>
      </c>
      <c r="O957" s="45">
        <f>IFERROR(INDEX(PSPct,MATCH(E957&amp;"|"&amp;G957,PSKey,0)),0)</f>
        <v/>
      </c>
      <c r="P957" s="46">
        <f>INDEX(ChDoorVel,MATCH(E957,ChName,0))*CalibScalar*(1+VelocityUplift)</f>
        <v/>
      </c>
      <c r="Q957" s="46" t="n">
        <v>0</v>
      </c>
      <c r="R957" s="46">
        <f>P957*O957*M957*N957*H957</f>
        <v/>
      </c>
      <c r="S957" s="46">
        <f>R957*INDEX(FmtCansPerCase,MATCH(F957,FmtName,0))</f>
        <v/>
      </c>
      <c r="T957" s="46">
        <f>S957/INDEX(FmtCansPerPack,MATCH(F957,FmtName,0))</f>
        <v/>
      </c>
      <c r="U957" s="47">
        <f>INDEX(ChBaseCP,MATCH(E957,ChName,0))*(1+INDEX(ProvMod,MATCH(G957,ProvCode,0)))*(1+PriceIndex)</f>
        <v/>
      </c>
      <c r="V957" s="47">
        <f>R957*U957*INDEX(FmtBlendedPriceIdx,MATCH(F957,FmtName,0))</f>
        <v/>
      </c>
      <c r="W957" s="47">
        <f>T957*INDEX(ProvSRP,MATCH(G957,ProvCode,0))*(1+PriceIndex)</f>
        <v/>
      </c>
      <c r="X957" s="47">
        <f>IF(GrossBasis="Wholesale",V957,W957)</f>
        <v/>
      </c>
      <c r="Y957" s="47">
        <f>R957*INDEX(FmtBlendedCogs,MATCH(F957,FmtName,0))</f>
        <v/>
      </c>
      <c r="Z957" s="47">
        <f>X957-Y957</f>
        <v/>
      </c>
    </row>
    <row r="958">
      <c r="A958" t="n">
        <v>3</v>
      </c>
      <c r="B958" s="44">
        <f>FiscalStart+(A958-1)*7</f>
        <v/>
      </c>
      <c r="C958">
        <f>TEXT(B958,"mmm yyyy")</f>
        <v/>
      </c>
      <c r="D958">
        <f>"Q"&amp;(INT((A958-1)/13)+1)</f>
        <v/>
      </c>
      <c r="E958" t="inlineStr">
        <is>
          <t>On Premise</t>
        </is>
      </c>
      <c r="F958">
        <f>IFERROR(INDEX(ChFormat,MATCH(E958,ChName,0)),"")</f>
        <v/>
      </c>
      <c r="G958" t="inlineStr">
        <is>
          <t>PE</t>
        </is>
      </c>
      <c r="H958">
        <f>IF(A958&lt;=NWeeks,1,0)</f>
        <v/>
      </c>
      <c r="I958">
        <f>INDEX(ChLaunch,MATCH(E958,ChName,0))</f>
        <v/>
      </c>
      <c r="J958">
        <f>INDEX(ChWeeksFull,MATCH(E958,ChName,0))</f>
        <v/>
      </c>
      <c r="K958">
        <f>INDEX(ChRamp,MATCH(E958,ChName,0))</f>
        <v/>
      </c>
      <c r="L958" s="45">
        <f>MIN(1,MAX(0,(A958-I958+1)*RampSpeed/J958))</f>
        <v/>
      </c>
      <c r="M958" s="45">
        <f>IF(A958&lt;I958,0,IF(K958="S-curve",L958*L958*(3-2*L958),L958))</f>
        <v/>
      </c>
      <c r="N958" s="45">
        <f>1+(INDEX(SeasonIdx,A958)-1)*SeasonAmp</f>
        <v/>
      </c>
      <c r="O958" s="45">
        <f>IFERROR(INDEX(PSPct,MATCH(E958&amp;"|"&amp;G958,PSKey,0)),0)</f>
        <v/>
      </c>
      <c r="P958" s="46">
        <f>INDEX(ChDoorVel,MATCH(E958,ChName,0))*CalibScalar*(1+VelocityUplift)</f>
        <v/>
      </c>
      <c r="Q958" s="46" t="n">
        <v>0</v>
      </c>
      <c r="R958" s="46">
        <f>P958*O958*M958*N958*H958</f>
        <v/>
      </c>
      <c r="S958" s="46">
        <f>R958*INDEX(FmtCansPerCase,MATCH(F958,FmtName,0))</f>
        <v/>
      </c>
      <c r="T958" s="46">
        <f>S958/INDEX(FmtCansPerPack,MATCH(F958,FmtName,0))</f>
        <v/>
      </c>
      <c r="U958" s="47">
        <f>INDEX(ChBaseCP,MATCH(E958,ChName,0))*(1+INDEX(ProvMod,MATCH(G958,ProvCode,0)))*(1+PriceIndex)</f>
        <v/>
      </c>
      <c r="V958" s="47">
        <f>R958*U958*INDEX(FmtBlendedPriceIdx,MATCH(F958,FmtName,0))</f>
        <v/>
      </c>
      <c r="W958" s="47">
        <f>T958*INDEX(ProvSRP,MATCH(G958,ProvCode,0))*(1+PriceIndex)</f>
        <v/>
      </c>
      <c r="X958" s="47">
        <f>IF(GrossBasis="Wholesale",V958,W958)</f>
        <v/>
      </c>
      <c r="Y958" s="47">
        <f>R958*INDEX(FmtBlendedCogs,MATCH(F958,FmtName,0))</f>
        <v/>
      </c>
      <c r="Z958" s="47">
        <f>X958-Y958</f>
        <v/>
      </c>
    </row>
    <row r="959">
      <c r="A959" t="n">
        <v>4</v>
      </c>
      <c r="B959" s="44">
        <f>FiscalStart+(A959-1)*7</f>
        <v/>
      </c>
      <c r="C959">
        <f>TEXT(B959,"mmm yyyy")</f>
        <v/>
      </c>
      <c r="D959">
        <f>"Q"&amp;(INT((A959-1)/13)+1)</f>
        <v/>
      </c>
      <c r="E959" t="inlineStr">
        <is>
          <t>On Premise</t>
        </is>
      </c>
      <c r="F959">
        <f>IFERROR(INDEX(ChFormat,MATCH(E959,ChName,0)),"")</f>
        <v/>
      </c>
      <c r="G959" t="inlineStr">
        <is>
          <t>PE</t>
        </is>
      </c>
      <c r="H959">
        <f>IF(A959&lt;=NWeeks,1,0)</f>
        <v/>
      </c>
      <c r="I959">
        <f>INDEX(ChLaunch,MATCH(E959,ChName,0))</f>
        <v/>
      </c>
      <c r="J959">
        <f>INDEX(ChWeeksFull,MATCH(E959,ChName,0))</f>
        <v/>
      </c>
      <c r="K959">
        <f>INDEX(ChRamp,MATCH(E959,ChName,0))</f>
        <v/>
      </c>
      <c r="L959" s="45">
        <f>MIN(1,MAX(0,(A959-I959+1)*RampSpeed/J959))</f>
        <v/>
      </c>
      <c r="M959" s="45">
        <f>IF(A959&lt;I959,0,IF(K959="S-curve",L959*L959*(3-2*L959),L959))</f>
        <v/>
      </c>
      <c r="N959" s="45">
        <f>1+(INDEX(SeasonIdx,A959)-1)*SeasonAmp</f>
        <v/>
      </c>
      <c r="O959" s="45">
        <f>IFERROR(INDEX(PSPct,MATCH(E959&amp;"|"&amp;G959,PSKey,0)),0)</f>
        <v/>
      </c>
      <c r="P959" s="46">
        <f>INDEX(ChDoorVel,MATCH(E959,ChName,0))*CalibScalar*(1+VelocityUplift)</f>
        <v/>
      </c>
      <c r="Q959" s="46" t="n">
        <v>0</v>
      </c>
      <c r="R959" s="46">
        <f>P959*O959*M959*N959*H959</f>
        <v/>
      </c>
      <c r="S959" s="46">
        <f>R959*INDEX(FmtCansPerCase,MATCH(F959,FmtName,0))</f>
        <v/>
      </c>
      <c r="T959" s="46">
        <f>S959/INDEX(FmtCansPerPack,MATCH(F959,FmtName,0))</f>
        <v/>
      </c>
      <c r="U959" s="47">
        <f>INDEX(ChBaseCP,MATCH(E959,ChName,0))*(1+INDEX(ProvMod,MATCH(G959,ProvCode,0)))*(1+PriceIndex)</f>
        <v/>
      </c>
      <c r="V959" s="47">
        <f>R959*U959*INDEX(FmtBlendedPriceIdx,MATCH(F959,FmtName,0))</f>
        <v/>
      </c>
      <c r="W959" s="47">
        <f>T959*INDEX(ProvSRP,MATCH(G959,ProvCode,0))*(1+PriceIndex)</f>
        <v/>
      </c>
      <c r="X959" s="47">
        <f>IF(GrossBasis="Wholesale",V959,W959)</f>
        <v/>
      </c>
      <c r="Y959" s="47">
        <f>R959*INDEX(FmtBlendedCogs,MATCH(F959,FmtName,0))</f>
        <v/>
      </c>
      <c r="Z959" s="47">
        <f>X959-Y959</f>
        <v/>
      </c>
    </row>
    <row r="960">
      <c r="A960" t="n">
        <v>5</v>
      </c>
      <c r="B960" s="44">
        <f>FiscalStart+(A960-1)*7</f>
        <v/>
      </c>
      <c r="C960">
        <f>TEXT(B960,"mmm yyyy")</f>
        <v/>
      </c>
      <c r="D960">
        <f>"Q"&amp;(INT((A960-1)/13)+1)</f>
        <v/>
      </c>
      <c r="E960" t="inlineStr">
        <is>
          <t>On Premise</t>
        </is>
      </c>
      <c r="F960">
        <f>IFERROR(INDEX(ChFormat,MATCH(E960,ChName,0)),"")</f>
        <v/>
      </c>
      <c r="G960" t="inlineStr">
        <is>
          <t>PE</t>
        </is>
      </c>
      <c r="H960">
        <f>IF(A960&lt;=NWeeks,1,0)</f>
        <v/>
      </c>
      <c r="I960">
        <f>INDEX(ChLaunch,MATCH(E960,ChName,0))</f>
        <v/>
      </c>
      <c r="J960">
        <f>INDEX(ChWeeksFull,MATCH(E960,ChName,0))</f>
        <v/>
      </c>
      <c r="K960">
        <f>INDEX(ChRamp,MATCH(E960,ChName,0))</f>
        <v/>
      </c>
      <c r="L960" s="45">
        <f>MIN(1,MAX(0,(A960-I960+1)*RampSpeed/J960))</f>
        <v/>
      </c>
      <c r="M960" s="45">
        <f>IF(A960&lt;I960,0,IF(K960="S-curve",L960*L960*(3-2*L960),L960))</f>
        <v/>
      </c>
      <c r="N960" s="45">
        <f>1+(INDEX(SeasonIdx,A960)-1)*SeasonAmp</f>
        <v/>
      </c>
      <c r="O960" s="45">
        <f>IFERROR(INDEX(PSPct,MATCH(E960&amp;"|"&amp;G960,PSKey,0)),0)</f>
        <v/>
      </c>
      <c r="P960" s="46">
        <f>INDEX(ChDoorVel,MATCH(E960,ChName,0))*CalibScalar*(1+VelocityUplift)</f>
        <v/>
      </c>
      <c r="Q960" s="46" t="n">
        <v>0</v>
      </c>
      <c r="R960" s="46">
        <f>P960*O960*M960*N960*H960</f>
        <v/>
      </c>
      <c r="S960" s="46">
        <f>R960*INDEX(FmtCansPerCase,MATCH(F960,FmtName,0))</f>
        <v/>
      </c>
      <c r="T960" s="46">
        <f>S960/INDEX(FmtCansPerPack,MATCH(F960,FmtName,0))</f>
        <v/>
      </c>
      <c r="U960" s="47">
        <f>INDEX(ChBaseCP,MATCH(E960,ChName,0))*(1+INDEX(ProvMod,MATCH(G960,ProvCode,0)))*(1+PriceIndex)</f>
        <v/>
      </c>
      <c r="V960" s="47">
        <f>R960*U960*INDEX(FmtBlendedPriceIdx,MATCH(F960,FmtName,0))</f>
        <v/>
      </c>
      <c r="W960" s="47">
        <f>T960*INDEX(ProvSRP,MATCH(G960,ProvCode,0))*(1+PriceIndex)</f>
        <v/>
      </c>
      <c r="X960" s="47">
        <f>IF(GrossBasis="Wholesale",V960,W960)</f>
        <v/>
      </c>
      <c r="Y960" s="47">
        <f>R960*INDEX(FmtBlendedCogs,MATCH(F960,FmtName,0))</f>
        <v/>
      </c>
      <c r="Z960" s="47">
        <f>X960-Y960</f>
        <v/>
      </c>
    </row>
    <row r="961">
      <c r="A961" t="n">
        <v>6</v>
      </c>
      <c r="B961" s="44">
        <f>FiscalStart+(A961-1)*7</f>
        <v/>
      </c>
      <c r="C961">
        <f>TEXT(B961,"mmm yyyy")</f>
        <v/>
      </c>
      <c r="D961">
        <f>"Q"&amp;(INT((A961-1)/13)+1)</f>
        <v/>
      </c>
      <c r="E961" t="inlineStr">
        <is>
          <t>On Premise</t>
        </is>
      </c>
      <c r="F961">
        <f>IFERROR(INDEX(ChFormat,MATCH(E961,ChName,0)),"")</f>
        <v/>
      </c>
      <c r="G961" t="inlineStr">
        <is>
          <t>PE</t>
        </is>
      </c>
      <c r="H961">
        <f>IF(A961&lt;=NWeeks,1,0)</f>
        <v/>
      </c>
      <c r="I961">
        <f>INDEX(ChLaunch,MATCH(E961,ChName,0))</f>
        <v/>
      </c>
      <c r="J961">
        <f>INDEX(ChWeeksFull,MATCH(E961,ChName,0))</f>
        <v/>
      </c>
      <c r="K961">
        <f>INDEX(ChRamp,MATCH(E961,ChName,0))</f>
        <v/>
      </c>
      <c r="L961" s="45">
        <f>MIN(1,MAX(0,(A961-I961+1)*RampSpeed/J961))</f>
        <v/>
      </c>
      <c r="M961" s="45">
        <f>IF(A961&lt;I961,0,IF(K961="S-curve",L961*L961*(3-2*L961),L961))</f>
        <v/>
      </c>
      <c r="N961" s="45">
        <f>1+(INDEX(SeasonIdx,A961)-1)*SeasonAmp</f>
        <v/>
      </c>
      <c r="O961" s="45">
        <f>IFERROR(INDEX(PSPct,MATCH(E961&amp;"|"&amp;G961,PSKey,0)),0)</f>
        <v/>
      </c>
      <c r="P961" s="46">
        <f>INDEX(ChDoorVel,MATCH(E961,ChName,0))*CalibScalar*(1+VelocityUplift)</f>
        <v/>
      </c>
      <c r="Q961" s="46" t="n">
        <v>0</v>
      </c>
      <c r="R961" s="46">
        <f>P961*O961*M961*N961*H961</f>
        <v/>
      </c>
      <c r="S961" s="46">
        <f>R961*INDEX(FmtCansPerCase,MATCH(F961,FmtName,0))</f>
        <v/>
      </c>
      <c r="T961" s="46">
        <f>S961/INDEX(FmtCansPerPack,MATCH(F961,FmtName,0))</f>
        <v/>
      </c>
      <c r="U961" s="47">
        <f>INDEX(ChBaseCP,MATCH(E961,ChName,0))*(1+INDEX(ProvMod,MATCH(G961,ProvCode,0)))*(1+PriceIndex)</f>
        <v/>
      </c>
      <c r="V961" s="47">
        <f>R961*U961*INDEX(FmtBlendedPriceIdx,MATCH(F961,FmtName,0))</f>
        <v/>
      </c>
      <c r="W961" s="47">
        <f>T961*INDEX(ProvSRP,MATCH(G961,ProvCode,0))*(1+PriceIndex)</f>
        <v/>
      </c>
      <c r="X961" s="47">
        <f>IF(GrossBasis="Wholesale",V961,W961)</f>
        <v/>
      </c>
      <c r="Y961" s="47">
        <f>R961*INDEX(FmtBlendedCogs,MATCH(F961,FmtName,0))</f>
        <v/>
      </c>
      <c r="Z961" s="47">
        <f>X961-Y961</f>
        <v/>
      </c>
    </row>
    <row r="962">
      <c r="A962" t="n">
        <v>7</v>
      </c>
      <c r="B962" s="44">
        <f>FiscalStart+(A962-1)*7</f>
        <v/>
      </c>
      <c r="C962">
        <f>TEXT(B962,"mmm yyyy")</f>
        <v/>
      </c>
      <c r="D962">
        <f>"Q"&amp;(INT((A962-1)/13)+1)</f>
        <v/>
      </c>
      <c r="E962" t="inlineStr">
        <is>
          <t>On Premise</t>
        </is>
      </c>
      <c r="F962">
        <f>IFERROR(INDEX(ChFormat,MATCH(E962,ChName,0)),"")</f>
        <v/>
      </c>
      <c r="G962" t="inlineStr">
        <is>
          <t>PE</t>
        </is>
      </c>
      <c r="H962">
        <f>IF(A962&lt;=NWeeks,1,0)</f>
        <v/>
      </c>
      <c r="I962">
        <f>INDEX(ChLaunch,MATCH(E962,ChName,0))</f>
        <v/>
      </c>
      <c r="J962">
        <f>INDEX(ChWeeksFull,MATCH(E962,ChName,0))</f>
        <v/>
      </c>
      <c r="K962">
        <f>INDEX(ChRamp,MATCH(E962,ChName,0))</f>
        <v/>
      </c>
      <c r="L962" s="45">
        <f>MIN(1,MAX(0,(A962-I962+1)*RampSpeed/J962))</f>
        <v/>
      </c>
      <c r="M962" s="45">
        <f>IF(A962&lt;I962,0,IF(K962="S-curve",L962*L962*(3-2*L962),L962))</f>
        <v/>
      </c>
      <c r="N962" s="45">
        <f>1+(INDEX(SeasonIdx,A962)-1)*SeasonAmp</f>
        <v/>
      </c>
      <c r="O962" s="45">
        <f>IFERROR(INDEX(PSPct,MATCH(E962&amp;"|"&amp;G962,PSKey,0)),0)</f>
        <v/>
      </c>
      <c r="P962" s="46">
        <f>INDEX(ChDoorVel,MATCH(E962,ChName,0))*CalibScalar*(1+VelocityUplift)</f>
        <v/>
      </c>
      <c r="Q962" s="46" t="n">
        <v>0</v>
      </c>
      <c r="R962" s="46">
        <f>P962*O962*M962*N962*H962</f>
        <v/>
      </c>
      <c r="S962" s="46">
        <f>R962*INDEX(FmtCansPerCase,MATCH(F962,FmtName,0))</f>
        <v/>
      </c>
      <c r="T962" s="46">
        <f>S962/INDEX(FmtCansPerPack,MATCH(F962,FmtName,0))</f>
        <v/>
      </c>
      <c r="U962" s="47">
        <f>INDEX(ChBaseCP,MATCH(E962,ChName,0))*(1+INDEX(ProvMod,MATCH(G962,ProvCode,0)))*(1+PriceIndex)</f>
        <v/>
      </c>
      <c r="V962" s="47">
        <f>R962*U962*INDEX(FmtBlendedPriceIdx,MATCH(F962,FmtName,0))</f>
        <v/>
      </c>
      <c r="W962" s="47">
        <f>T962*INDEX(ProvSRP,MATCH(G962,ProvCode,0))*(1+PriceIndex)</f>
        <v/>
      </c>
      <c r="X962" s="47">
        <f>IF(GrossBasis="Wholesale",V962,W962)</f>
        <v/>
      </c>
      <c r="Y962" s="47">
        <f>R962*INDEX(FmtBlendedCogs,MATCH(F962,FmtName,0))</f>
        <v/>
      </c>
      <c r="Z962" s="47">
        <f>X962-Y962</f>
        <v/>
      </c>
    </row>
    <row r="963">
      <c r="A963" t="n">
        <v>8</v>
      </c>
      <c r="B963" s="44">
        <f>FiscalStart+(A963-1)*7</f>
        <v/>
      </c>
      <c r="C963">
        <f>TEXT(B963,"mmm yyyy")</f>
        <v/>
      </c>
      <c r="D963">
        <f>"Q"&amp;(INT((A963-1)/13)+1)</f>
        <v/>
      </c>
      <c r="E963" t="inlineStr">
        <is>
          <t>On Premise</t>
        </is>
      </c>
      <c r="F963">
        <f>IFERROR(INDEX(ChFormat,MATCH(E963,ChName,0)),"")</f>
        <v/>
      </c>
      <c r="G963" t="inlineStr">
        <is>
          <t>PE</t>
        </is>
      </c>
      <c r="H963">
        <f>IF(A963&lt;=NWeeks,1,0)</f>
        <v/>
      </c>
      <c r="I963">
        <f>INDEX(ChLaunch,MATCH(E963,ChName,0))</f>
        <v/>
      </c>
      <c r="J963">
        <f>INDEX(ChWeeksFull,MATCH(E963,ChName,0))</f>
        <v/>
      </c>
      <c r="K963">
        <f>INDEX(ChRamp,MATCH(E963,ChName,0))</f>
        <v/>
      </c>
      <c r="L963" s="45">
        <f>MIN(1,MAX(0,(A963-I963+1)*RampSpeed/J963))</f>
        <v/>
      </c>
      <c r="M963" s="45">
        <f>IF(A963&lt;I963,0,IF(K963="S-curve",L963*L963*(3-2*L963),L963))</f>
        <v/>
      </c>
      <c r="N963" s="45">
        <f>1+(INDEX(SeasonIdx,A963)-1)*SeasonAmp</f>
        <v/>
      </c>
      <c r="O963" s="45">
        <f>IFERROR(INDEX(PSPct,MATCH(E963&amp;"|"&amp;G963,PSKey,0)),0)</f>
        <v/>
      </c>
      <c r="P963" s="46">
        <f>INDEX(ChDoorVel,MATCH(E963,ChName,0))*CalibScalar*(1+VelocityUplift)</f>
        <v/>
      </c>
      <c r="Q963" s="46" t="n">
        <v>0</v>
      </c>
      <c r="R963" s="46">
        <f>P963*O963*M963*N963*H963</f>
        <v/>
      </c>
      <c r="S963" s="46">
        <f>R963*INDEX(FmtCansPerCase,MATCH(F963,FmtName,0))</f>
        <v/>
      </c>
      <c r="T963" s="46">
        <f>S963/INDEX(FmtCansPerPack,MATCH(F963,FmtName,0))</f>
        <v/>
      </c>
      <c r="U963" s="47">
        <f>INDEX(ChBaseCP,MATCH(E963,ChName,0))*(1+INDEX(ProvMod,MATCH(G963,ProvCode,0)))*(1+PriceIndex)</f>
        <v/>
      </c>
      <c r="V963" s="47">
        <f>R963*U963*INDEX(FmtBlendedPriceIdx,MATCH(F963,FmtName,0))</f>
        <v/>
      </c>
      <c r="W963" s="47">
        <f>T963*INDEX(ProvSRP,MATCH(G963,ProvCode,0))*(1+PriceIndex)</f>
        <v/>
      </c>
      <c r="X963" s="47">
        <f>IF(GrossBasis="Wholesale",V963,W963)</f>
        <v/>
      </c>
      <c r="Y963" s="47">
        <f>R963*INDEX(FmtBlendedCogs,MATCH(F963,FmtName,0))</f>
        <v/>
      </c>
      <c r="Z963" s="47">
        <f>X963-Y963</f>
        <v/>
      </c>
    </row>
    <row r="964">
      <c r="A964" t="n">
        <v>9</v>
      </c>
      <c r="B964" s="44">
        <f>FiscalStart+(A964-1)*7</f>
        <v/>
      </c>
      <c r="C964">
        <f>TEXT(B964,"mmm yyyy")</f>
        <v/>
      </c>
      <c r="D964">
        <f>"Q"&amp;(INT((A964-1)/13)+1)</f>
        <v/>
      </c>
      <c r="E964" t="inlineStr">
        <is>
          <t>On Premise</t>
        </is>
      </c>
      <c r="F964">
        <f>IFERROR(INDEX(ChFormat,MATCH(E964,ChName,0)),"")</f>
        <v/>
      </c>
      <c r="G964" t="inlineStr">
        <is>
          <t>PE</t>
        </is>
      </c>
      <c r="H964">
        <f>IF(A964&lt;=NWeeks,1,0)</f>
        <v/>
      </c>
      <c r="I964">
        <f>INDEX(ChLaunch,MATCH(E964,ChName,0))</f>
        <v/>
      </c>
      <c r="J964">
        <f>INDEX(ChWeeksFull,MATCH(E964,ChName,0))</f>
        <v/>
      </c>
      <c r="K964">
        <f>INDEX(ChRamp,MATCH(E964,ChName,0))</f>
        <v/>
      </c>
      <c r="L964" s="45">
        <f>MIN(1,MAX(0,(A964-I964+1)*RampSpeed/J964))</f>
        <v/>
      </c>
      <c r="M964" s="45">
        <f>IF(A964&lt;I964,0,IF(K964="S-curve",L964*L964*(3-2*L964),L964))</f>
        <v/>
      </c>
      <c r="N964" s="45">
        <f>1+(INDEX(SeasonIdx,A964)-1)*SeasonAmp</f>
        <v/>
      </c>
      <c r="O964" s="45">
        <f>IFERROR(INDEX(PSPct,MATCH(E964&amp;"|"&amp;G964,PSKey,0)),0)</f>
        <v/>
      </c>
      <c r="P964" s="46">
        <f>INDEX(ChDoorVel,MATCH(E964,ChName,0))*CalibScalar*(1+VelocityUplift)</f>
        <v/>
      </c>
      <c r="Q964" s="46" t="n">
        <v>0</v>
      </c>
      <c r="R964" s="46">
        <f>P964*O964*M964*N964*H964</f>
        <v/>
      </c>
      <c r="S964" s="46">
        <f>R964*INDEX(FmtCansPerCase,MATCH(F964,FmtName,0))</f>
        <v/>
      </c>
      <c r="T964" s="46">
        <f>S964/INDEX(FmtCansPerPack,MATCH(F964,FmtName,0))</f>
        <v/>
      </c>
      <c r="U964" s="47">
        <f>INDEX(ChBaseCP,MATCH(E964,ChName,0))*(1+INDEX(ProvMod,MATCH(G964,ProvCode,0)))*(1+PriceIndex)</f>
        <v/>
      </c>
      <c r="V964" s="47">
        <f>R964*U964*INDEX(FmtBlendedPriceIdx,MATCH(F964,FmtName,0))</f>
        <v/>
      </c>
      <c r="W964" s="47">
        <f>T964*INDEX(ProvSRP,MATCH(G964,ProvCode,0))*(1+PriceIndex)</f>
        <v/>
      </c>
      <c r="X964" s="47">
        <f>IF(GrossBasis="Wholesale",V964,W964)</f>
        <v/>
      </c>
      <c r="Y964" s="47">
        <f>R964*INDEX(FmtBlendedCogs,MATCH(F964,FmtName,0))</f>
        <v/>
      </c>
      <c r="Z964" s="47">
        <f>X964-Y964</f>
        <v/>
      </c>
    </row>
    <row r="965">
      <c r="A965" t="n">
        <v>10</v>
      </c>
      <c r="B965" s="44">
        <f>FiscalStart+(A965-1)*7</f>
        <v/>
      </c>
      <c r="C965">
        <f>TEXT(B965,"mmm yyyy")</f>
        <v/>
      </c>
      <c r="D965">
        <f>"Q"&amp;(INT((A965-1)/13)+1)</f>
        <v/>
      </c>
      <c r="E965" t="inlineStr">
        <is>
          <t>On Premise</t>
        </is>
      </c>
      <c r="F965">
        <f>IFERROR(INDEX(ChFormat,MATCH(E965,ChName,0)),"")</f>
        <v/>
      </c>
      <c r="G965" t="inlineStr">
        <is>
          <t>PE</t>
        </is>
      </c>
      <c r="H965">
        <f>IF(A965&lt;=NWeeks,1,0)</f>
        <v/>
      </c>
      <c r="I965">
        <f>INDEX(ChLaunch,MATCH(E965,ChName,0))</f>
        <v/>
      </c>
      <c r="J965">
        <f>INDEX(ChWeeksFull,MATCH(E965,ChName,0))</f>
        <v/>
      </c>
      <c r="K965">
        <f>INDEX(ChRamp,MATCH(E965,ChName,0))</f>
        <v/>
      </c>
      <c r="L965" s="45">
        <f>MIN(1,MAX(0,(A965-I965+1)*RampSpeed/J965))</f>
        <v/>
      </c>
      <c r="M965" s="45">
        <f>IF(A965&lt;I965,0,IF(K965="S-curve",L965*L965*(3-2*L965),L965))</f>
        <v/>
      </c>
      <c r="N965" s="45">
        <f>1+(INDEX(SeasonIdx,A965)-1)*SeasonAmp</f>
        <v/>
      </c>
      <c r="O965" s="45">
        <f>IFERROR(INDEX(PSPct,MATCH(E965&amp;"|"&amp;G965,PSKey,0)),0)</f>
        <v/>
      </c>
      <c r="P965" s="46">
        <f>INDEX(ChDoorVel,MATCH(E965,ChName,0))*CalibScalar*(1+VelocityUplift)</f>
        <v/>
      </c>
      <c r="Q965" s="46" t="n">
        <v>0</v>
      </c>
      <c r="R965" s="46">
        <f>P965*O965*M965*N965*H965</f>
        <v/>
      </c>
      <c r="S965" s="46">
        <f>R965*INDEX(FmtCansPerCase,MATCH(F965,FmtName,0))</f>
        <v/>
      </c>
      <c r="T965" s="46">
        <f>S965/INDEX(FmtCansPerPack,MATCH(F965,FmtName,0))</f>
        <v/>
      </c>
      <c r="U965" s="47">
        <f>INDEX(ChBaseCP,MATCH(E965,ChName,0))*(1+INDEX(ProvMod,MATCH(G965,ProvCode,0)))*(1+PriceIndex)</f>
        <v/>
      </c>
      <c r="V965" s="47">
        <f>R965*U965*INDEX(FmtBlendedPriceIdx,MATCH(F965,FmtName,0))</f>
        <v/>
      </c>
      <c r="W965" s="47">
        <f>T965*INDEX(ProvSRP,MATCH(G965,ProvCode,0))*(1+PriceIndex)</f>
        <v/>
      </c>
      <c r="X965" s="47">
        <f>IF(GrossBasis="Wholesale",V965,W965)</f>
        <v/>
      </c>
      <c r="Y965" s="47">
        <f>R965*INDEX(FmtBlendedCogs,MATCH(F965,FmtName,0))</f>
        <v/>
      </c>
      <c r="Z965" s="47">
        <f>X965-Y965</f>
        <v/>
      </c>
    </row>
    <row r="966">
      <c r="A966" t="n">
        <v>11</v>
      </c>
      <c r="B966" s="44">
        <f>FiscalStart+(A966-1)*7</f>
        <v/>
      </c>
      <c r="C966">
        <f>TEXT(B966,"mmm yyyy")</f>
        <v/>
      </c>
      <c r="D966">
        <f>"Q"&amp;(INT((A966-1)/13)+1)</f>
        <v/>
      </c>
      <c r="E966" t="inlineStr">
        <is>
          <t>On Premise</t>
        </is>
      </c>
      <c r="F966">
        <f>IFERROR(INDEX(ChFormat,MATCH(E966,ChName,0)),"")</f>
        <v/>
      </c>
      <c r="G966" t="inlineStr">
        <is>
          <t>PE</t>
        </is>
      </c>
      <c r="H966">
        <f>IF(A966&lt;=NWeeks,1,0)</f>
        <v/>
      </c>
      <c r="I966">
        <f>INDEX(ChLaunch,MATCH(E966,ChName,0))</f>
        <v/>
      </c>
      <c r="J966">
        <f>INDEX(ChWeeksFull,MATCH(E966,ChName,0))</f>
        <v/>
      </c>
      <c r="K966">
        <f>INDEX(ChRamp,MATCH(E966,ChName,0))</f>
        <v/>
      </c>
      <c r="L966" s="45">
        <f>MIN(1,MAX(0,(A966-I966+1)*RampSpeed/J966))</f>
        <v/>
      </c>
      <c r="M966" s="45">
        <f>IF(A966&lt;I966,0,IF(K966="S-curve",L966*L966*(3-2*L966),L966))</f>
        <v/>
      </c>
      <c r="N966" s="45">
        <f>1+(INDEX(SeasonIdx,A966)-1)*SeasonAmp</f>
        <v/>
      </c>
      <c r="O966" s="45">
        <f>IFERROR(INDEX(PSPct,MATCH(E966&amp;"|"&amp;G966,PSKey,0)),0)</f>
        <v/>
      </c>
      <c r="P966" s="46">
        <f>INDEX(ChDoorVel,MATCH(E966,ChName,0))*CalibScalar*(1+VelocityUplift)</f>
        <v/>
      </c>
      <c r="Q966" s="46" t="n">
        <v>0</v>
      </c>
      <c r="R966" s="46">
        <f>P966*O966*M966*N966*H966</f>
        <v/>
      </c>
      <c r="S966" s="46">
        <f>R966*INDEX(FmtCansPerCase,MATCH(F966,FmtName,0))</f>
        <v/>
      </c>
      <c r="T966" s="46">
        <f>S966/INDEX(FmtCansPerPack,MATCH(F966,FmtName,0))</f>
        <v/>
      </c>
      <c r="U966" s="47">
        <f>INDEX(ChBaseCP,MATCH(E966,ChName,0))*(1+INDEX(ProvMod,MATCH(G966,ProvCode,0)))*(1+PriceIndex)</f>
        <v/>
      </c>
      <c r="V966" s="47">
        <f>R966*U966*INDEX(FmtBlendedPriceIdx,MATCH(F966,FmtName,0))</f>
        <v/>
      </c>
      <c r="W966" s="47">
        <f>T966*INDEX(ProvSRP,MATCH(G966,ProvCode,0))*(1+PriceIndex)</f>
        <v/>
      </c>
      <c r="X966" s="47">
        <f>IF(GrossBasis="Wholesale",V966,W966)</f>
        <v/>
      </c>
      <c r="Y966" s="47">
        <f>R966*INDEX(FmtBlendedCogs,MATCH(F966,FmtName,0))</f>
        <v/>
      </c>
      <c r="Z966" s="47">
        <f>X966-Y966</f>
        <v/>
      </c>
    </row>
    <row r="967">
      <c r="A967" t="n">
        <v>12</v>
      </c>
      <c r="B967" s="44">
        <f>FiscalStart+(A967-1)*7</f>
        <v/>
      </c>
      <c r="C967">
        <f>TEXT(B967,"mmm yyyy")</f>
        <v/>
      </c>
      <c r="D967">
        <f>"Q"&amp;(INT((A967-1)/13)+1)</f>
        <v/>
      </c>
      <c r="E967" t="inlineStr">
        <is>
          <t>On Premise</t>
        </is>
      </c>
      <c r="F967">
        <f>IFERROR(INDEX(ChFormat,MATCH(E967,ChName,0)),"")</f>
        <v/>
      </c>
      <c r="G967" t="inlineStr">
        <is>
          <t>PE</t>
        </is>
      </c>
      <c r="H967">
        <f>IF(A967&lt;=NWeeks,1,0)</f>
        <v/>
      </c>
      <c r="I967">
        <f>INDEX(ChLaunch,MATCH(E967,ChName,0))</f>
        <v/>
      </c>
      <c r="J967">
        <f>INDEX(ChWeeksFull,MATCH(E967,ChName,0))</f>
        <v/>
      </c>
      <c r="K967">
        <f>INDEX(ChRamp,MATCH(E967,ChName,0))</f>
        <v/>
      </c>
      <c r="L967" s="45">
        <f>MIN(1,MAX(0,(A967-I967+1)*RampSpeed/J967))</f>
        <v/>
      </c>
      <c r="M967" s="45">
        <f>IF(A967&lt;I967,0,IF(K967="S-curve",L967*L967*(3-2*L967),L967))</f>
        <v/>
      </c>
      <c r="N967" s="45">
        <f>1+(INDEX(SeasonIdx,A967)-1)*SeasonAmp</f>
        <v/>
      </c>
      <c r="O967" s="45">
        <f>IFERROR(INDEX(PSPct,MATCH(E967&amp;"|"&amp;G967,PSKey,0)),0)</f>
        <v/>
      </c>
      <c r="P967" s="46">
        <f>INDEX(ChDoorVel,MATCH(E967,ChName,0))*CalibScalar*(1+VelocityUplift)</f>
        <v/>
      </c>
      <c r="Q967" s="46" t="n">
        <v>0</v>
      </c>
      <c r="R967" s="46">
        <f>P967*O967*M967*N967*H967</f>
        <v/>
      </c>
      <c r="S967" s="46">
        <f>R967*INDEX(FmtCansPerCase,MATCH(F967,FmtName,0))</f>
        <v/>
      </c>
      <c r="T967" s="46">
        <f>S967/INDEX(FmtCansPerPack,MATCH(F967,FmtName,0))</f>
        <v/>
      </c>
      <c r="U967" s="47">
        <f>INDEX(ChBaseCP,MATCH(E967,ChName,0))*(1+INDEX(ProvMod,MATCH(G967,ProvCode,0)))*(1+PriceIndex)</f>
        <v/>
      </c>
      <c r="V967" s="47">
        <f>R967*U967*INDEX(FmtBlendedPriceIdx,MATCH(F967,FmtName,0))</f>
        <v/>
      </c>
      <c r="W967" s="47">
        <f>T967*INDEX(ProvSRP,MATCH(G967,ProvCode,0))*(1+PriceIndex)</f>
        <v/>
      </c>
      <c r="X967" s="47">
        <f>IF(GrossBasis="Wholesale",V967,W967)</f>
        <v/>
      </c>
      <c r="Y967" s="47">
        <f>R967*INDEX(FmtBlendedCogs,MATCH(F967,FmtName,0))</f>
        <v/>
      </c>
      <c r="Z967" s="47">
        <f>X967-Y967</f>
        <v/>
      </c>
    </row>
    <row r="968">
      <c r="A968" t="n">
        <v>13</v>
      </c>
      <c r="B968" s="44">
        <f>FiscalStart+(A968-1)*7</f>
        <v/>
      </c>
      <c r="C968">
        <f>TEXT(B968,"mmm yyyy")</f>
        <v/>
      </c>
      <c r="D968">
        <f>"Q"&amp;(INT((A968-1)/13)+1)</f>
        <v/>
      </c>
      <c r="E968" t="inlineStr">
        <is>
          <t>On Premise</t>
        </is>
      </c>
      <c r="F968">
        <f>IFERROR(INDEX(ChFormat,MATCH(E968,ChName,0)),"")</f>
        <v/>
      </c>
      <c r="G968" t="inlineStr">
        <is>
          <t>PE</t>
        </is>
      </c>
      <c r="H968">
        <f>IF(A968&lt;=NWeeks,1,0)</f>
        <v/>
      </c>
      <c r="I968">
        <f>INDEX(ChLaunch,MATCH(E968,ChName,0))</f>
        <v/>
      </c>
      <c r="J968">
        <f>INDEX(ChWeeksFull,MATCH(E968,ChName,0))</f>
        <v/>
      </c>
      <c r="K968">
        <f>INDEX(ChRamp,MATCH(E968,ChName,0))</f>
        <v/>
      </c>
      <c r="L968" s="45">
        <f>MIN(1,MAX(0,(A968-I968+1)*RampSpeed/J968))</f>
        <v/>
      </c>
      <c r="M968" s="45">
        <f>IF(A968&lt;I968,0,IF(K968="S-curve",L968*L968*(3-2*L968),L968))</f>
        <v/>
      </c>
      <c r="N968" s="45">
        <f>1+(INDEX(SeasonIdx,A968)-1)*SeasonAmp</f>
        <v/>
      </c>
      <c r="O968" s="45">
        <f>IFERROR(INDEX(PSPct,MATCH(E968&amp;"|"&amp;G968,PSKey,0)),0)</f>
        <v/>
      </c>
      <c r="P968" s="46">
        <f>INDEX(ChDoorVel,MATCH(E968,ChName,0))*CalibScalar*(1+VelocityUplift)</f>
        <v/>
      </c>
      <c r="Q968" s="46" t="n">
        <v>0</v>
      </c>
      <c r="R968" s="46">
        <f>P968*O968*M968*N968*H968</f>
        <v/>
      </c>
      <c r="S968" s="46">
        <f>R968*INDEX(FmtCansPerCase,MATCH(F968,FmtName,0))</f>
        <v/>
      </c>
      <c r="T968" s="46">
        <f>S968/INDEX(FmtCansPerPack,MATCH(F968,FmtName,0))</f>
        <v/>
      </c>
      <c r="U968" s="47">
        <f>INDEX(ChBaseCP,MATCH(E968,ChName,0))*(1+INDEX(ProvMod,MATCH(G968,ProvCode,0)))*(1+PriceIndex)</f>
        <v/>
      </c>
      <c r="V968" s="47">
        <f>R968*U968*INDEX(FmtBlendedPriceIdx,MATCH(F968,FmtName,0))</f>
        <v/>
      </c>
      <c r="W968" s="47">
        <f>T968*INDEX(ProvSRP,MATCH(G968,ProvCode,0))*(1+PriceIndex)</f>
        <v/>
      </c>
      <c r="X968" s="47">
        <f>IF(GrossBasis="Wholesale",V968,W968)</f>
        <v/>
      </c>
      <c r="Y968" s="47">
        <f>R968*INDEX(FmtBlendedCogs,MATCH(F968,FmtName,0))</f>
        <v/>
      </c>
      <c r="Z968" s="47">
        <f>X968-Y968</f>
        <v/>
      </c>
    </row>
    <row r="969">
      <c r="A969" t="n">
        <v>14</v>
      </c>
      <c r="B969" s="44">
        <f>FiscalStart+(A969-1)*7</f>
        <v/>
      </c>
      <c r="C969">
        <f>TEXT(B969,"mmm yyyy")</f>
        <v/>
      </c>
      <c r="D969">
        <f>"Q"&amp;(INT((A969-1)/13)+1)</f>
        <v/>
      </c>
      <c r="E969" t="inlineStr">
        <is>
          <t>On Premise</t>
        </is>
      </c>
      <c r="F969">
        <f>IFERROR(INDEX(ChFormat,MATCH(E969,ChName,0)),"")</f>
        <v/>
      </c>
      <c r="G969" t="inlineStr">
        <is>
          <t>PE</t>
        </is>
      </c>
      <c r="H969">
        <f>IF(A969&lt;=NWeeks,1,0)</f>
        <v/>
      </c>
      <c r="I969">
        <f>INDEX(ChLaunch,MATCH(E969,ChName,0))</f>
        <v/>
      </c>
      <c r="J969">
        <f>INDEX(ChWeeksFull,MATCH(E969,ChName,0))</f>
        <v/>
      </c>
      <c r="K969">
        <f>INDEX(ChRamp,MATCH(E969,ChName,0))</f>
        <v/>
      </c>
      <c r="L969" s="45">
        <f>MIN(1,MAX(0,(A969-I969+1)*RampSpeed/J969))</f>
        <v/>
      </c>
      <c r="M969" s="45">
        <f>IF(A969&lt;I969,0,IF(K969="S-curve",L969*L969*(3-2*L969),L969))</f>
        <v/>
      </c>
      <c r="N969" s="45">
        <f>1+(INDEX(SeasonIdx,A969)-1)*SeasonAmp</f>
        <v/>
      </c>
      <c r="O969" s="45">
        <f>IFERROR(INDEX(PSPct,MATCH(E969&amp;"|"&amp;G969,PSKey,0)),0)</f>
        <v/>
      </c>
      <c r="P969" s="46">
        <f>INDEX(ChDoorVel,MATCH(E969,ChName,0))*CalibScalar*(1+VelocityUplift)</f>
        <v/>
      </c>
      <c r="Q969" s="46" t="n">
        <v>0</v>
      </c>
      <c r="R969" s="46">
        <f>P969*O969*M969*N969*H969</f>
        <v/>
      </c>
      <c r="S969" s="46">
        <f>R969*INDEX(FmtCansPerCase,MATCH(F969,FmtName,0))</f>
        <v/>
      </c>
      <c r="T969" s="46">
        <f>S969/INDEX(FmtCansPerPack,MATCH(F969,FmtName,0))</f>
        <v/>
      </c>
      <c r="U969" s="47">
        <f>INDEX(ChBaseCP,MATCH(E969,ChName,0))*(1+INDEX(ProvMod,MATCH(G969,ProvCode,0)))*(1+PriceIndex)</f>
        <v/>
      </c>
      <c r="V969" s="47">
        <f>R969*U969*INDEX(FmtBlendedPriceIdx,MATCH(F969,FmtName,0))</f>
        <v/>
      </c>
      <c r="W969" s="47">
        <f>T969*INDEX(ProvSRP,MATCH(G969,ProvCode,0))*(1+PriceIndex)</f>
        <v/>
      </c>
      <c r="X969" s="47">
        <f>IF(GrossBasis="Wholesale",V969,W969)</f>
        <v/>
      </c>
      <c r="Y969" s="47">
        <f>R969*INDEX(FmtBlendedCogs,MATCH(F969,FmtName,0))</f>
        <v/>
      </c>
      <c r="Z969" s="47">
        <f>X969-Y969</f>
        <v/>
      </c>
    </row>
    <row r="970">
      <c r="A970" t="n">
        <v>15</v>
      </c>
      <c r="B970" s="44">
        <f>FiscalStart+(A970-1)*7</f>
        <v/>
      </c>
      <c r="C970">
        <f>TEXT(B970,"mmm yyyy")</f>
        <v/>
      </c>
      <c r="D970">
        <f>"Q"&amp;(INT((A970-1)/13)+1)</f>
        <v/>
      </c>
      <c r="E970" t="inlineStr">
        <is>
          <t>On Premise</t>
        </is>
      </c>
      <c r="F970">
        <f>IFERROR(INDEX(ChFormat,MATCH(E970,ChName,0)),"")</f>
        <v/>
      </c>
      <c r="G970" t="inlineStr">
        <is>
          <t>PE</t>
        </is>
      </c>
      <c r="H970">
        <f>IF(A970&lt;=NWeeks,1,0)</f>
        <v/>
      </c>
      <c r="I970">
        <f>INDEX(ChLaunch,MATCH(E970,ChName,0))</f>
        <v/>
      </c>
      <c r="J970">
        <f>INDEX(ChWeeksFull,MATCH(E970,ChName,0))</f>
        <v/>
      </c>
      <c r="K970">
        <f>INDEX(ChRamp,MATCH(E970,ChName,0))</f>
        <v/>
      </c>
      <c r="L970" s="45">
        <f>MIN(1,MAX(0,(A970-I970+1)*RampSpeed/J970))</f>
        <v/>
      </c>
      <c r="M970" s="45">
        <f>IF(A970&lt;I970,0,IF(K970="S-curve",L970*L970*(3-2*L970),L970))</f>
        <v/>
      </c>
      <c r="N970" s="45">
        <f>1+(INDEX(SeasonIdx,A970)-1)*SeasonAmp</f>
        <v/>
      </c>
      <c r="O970" s="45">
        <f>IFERROR(INDEX(PSPct,MATCH(E970&amp;"|"&amp;G970,PSKey,0)),0)</f>
        <v/>
      </c>
      <c r="P970" s="46">
        <f>INDEX(ChDoorVel,MATCH(E970,ChName,0))*CalibScalar*(1+VelocityUplift)</f>
        <v/>
      </c>
      <c r="Q970" s="46" t="n">
        <v>0</v>
      </c>
      <c r="R970" s="46">
        <f>P970*O970*M970*N970*H970</f>
        <v/>
      </c>
      <c r="S970" s="46">
        <f>R970*INDEX(FmtCansPerCase,MATCH(F970,FmtName,0))</f>
        <v/>
      </c>
      <c r="T970" s="46">
        <f>S970/INDEX(FmtCansPerPack,MATCH(F970,FmtName,0))</f>
        <v/>
      </c>
      <c r="U970" s="47">
        <f>INDEX(ChBaseCP,MATCH(E970,ChName,0))*(1+INDEX(ProvMod,MATCH(G970,ProvCode,0)))*(1+PriceIndex)</f>
        <v/>
      </c>
      <c r="V970" s="47">
        <f>R970*U970*INDEX(FmtBlendedPriceIdx,MATCH(F970,FmtName,0))</f>
        <v/>
      </c>
      <c r="W970" s="47">
        <f>T970*INDEX(ProvSRP,MATCH(G970,ProvCode,0))*(1+PriceIndex)</f>
        <v/>
      </c>
      <c r="X970" s="47">
        <f>IF(GrossBasis="Wholesale",V970,W970)</f>
        <v/>
      </c>
      <c r="Y970" s="47">
        <f>R970*INDEX(FmtBlendedCogs,MATCH(F970,FmtName,0))</f>
        <v/>
      </c>
      <c r="Z970" s="47">
        <f>X970-Y970</f>
        <v/>
      </c>
    </row>
    <row r="971">
      <c r="A971" t="n">
        <v>16</v>
      </c>
      <c r="B971" s="44">
        <f>FiscalStart+(A971-1)*7</f>
        <v/>
      </c>
      <c r="C971">
        <f>TEXT(B971,"mmm yyyy")</f>
        <v/>
      </c>
      <c r="D971">
        <f>"Q"&amp;(INT((A971-1)/13)+1)</f>
        <v/>
      </c>
      <c r="E971" t="inlineStr">
        <is>
          <t>On Premise</t>
        </is>
      </c>
      <c r="F971">
        <f>IFERROR(INDEX(ChFormat,MATCH(E971,ChName,0)),"")</f>
        <v/>
      </c>
      <c r="G971" t="inlineStr">
        <is>
          <t>PE</t>
        </is>
      </c>
      <c r="H971">
        <f>IF(A971&lt;=NWeeks,1,0)</f>
        <v/>
      </c>
      <c r="I971">
        <f>INDEX(ChLaunch,MATCH(E971,ChName,0))</f>
        <v/>
      </c>
      <c r="J971">
        <f>INDEX(ChWeeksFull,MATCH(E971,ChName,0))</f>
        <v/>
      </c>
      <c r="K971">
        <f>INDEX(ChRamp,MATCH(E971,ChName,0))</f>
        <v/>
      </c>
      <c r="L971" s="45">
        <f>MIN(1,MAX(0,(A971-I971+1)*RampSpeed/J971))</f>
        <v/>
      </c>
      <c r="M971" s="45">
        <f>IF(A971&lt;I971,0,IF(K971="S-curve",L971*L971*(3-2*L971),L971))</f>
        <v/>
      </c>
      <c r="N971" s="45">
        <f>1+(INDEX(SeasonIdx,A971)-1)*SeasonAmp</f>
        <v/>
      </c>
      <c r="O971" s="45">
        <f>IFERROR(INDEX(PSPct,MATCH(E971&amp;"|"&amp;G971,PSKey,0)),0)</f>
        <v/>
      </c>
      <c r="P971" s="46">
        <f>INDEX(ChDoorVel,MATCH(E971,ChName,0))*CalibScalar*(1+VelocityUplift)</f>
        <v/>
      </c>
      <c r="Q971" s="46" t="n">
        <v>0</v>
      </c>
      <c r="R971" s="46">
        <f>P971*O971*M971*N971*H971</f>
        <v/>
      </c>
      <c r="S971" s="46">
        <f>R971*INDEX(FmtCansPerCase,MATCH(F971,FmtName,0))</f>
        <v/>
      </c>
      <c r="T971" s="46">
        <f>S971/INDEX(FmtCansPerPack,MATCH(F971,FmtName,0))</f>
        <v/>
      </c>
      <c r="U971" s="47">
        <f>INDEX(ChBaseCP,MATCH(E971,ChName,0))*(1+INDEX(ProvMod,MATCH(G971,ProvCode,0)))*(1+PriceIndex)</f>
        <v/>
      </c>
      <c r="V971" s="47">
        <f>R971*U971*INDEX(FmtBlendedPriceIdx,MATCH(F971,FmtName,0))</f>
        <v/>
      </c>
      <c r="W971" s="47">
        <f>T971*INDEX(ProvSRP,MATCH(G971,ProvCode,0))*(1+PriceIndex)</f>
        <v/>
      </c>
      <c r="X971" s="47">
        <f>IF(GrossBasis="Wholesale",V971,W971)</f>
        <v/>
      </c>
      <c r="Y971" s="47">
        <f>R971*INDEX(FmtBlendedCogs,MATCH(F971,FmtName,0))</f>
        <v/>
      </c>
      <c r="Z971" s="47">
        <f>X971-Y971</f>
        <v/>
      </c>
    </row>
    <row r="972">
      <c r="A972" t="n">
        <v>17</v>
      </c>
      <c r="B972" s="44">
        <f>FiscalStart+(A972-1)*7</f>
        <v/>
      </c>
      <c r="C972">
        <f>TEXT(B972,"mmm yyyy")</f>
        <v/>
      </c>
      <c r="D972">
        <f>"Q"&amp;(INT((A972-1)/13)+1)</f>
        <v/>
      </c>
      <c r="E972" t="inlineStr">
        <is>
          <t>On Premise</t>
        </is>
      </c>
      <c r="F972">
        <f>IFERROR(INDEX(ChFormat,MATCH(E972,ChName,0)),"")</f>
        <v/>
      </c>
      <c r="G972" t="inlineStr">
        <is>
          <t>PE</t>
        </is>
      </c>
      <c r="H972">
        <f>IF(A972&lt;=NWeeks,1,0)</f>
        <v/>
      </c>
      <c r="I972">
        <f>INDEX(ChLaunch,MATCH(E972,ChName,0))</f>
        <v/>
      </c>
      <c r="J972">
        <f>INDEX(ChWeeksFull,MATCH(E972,ChName,0))</f>
        <v/>
      </c>
      <c r="K972">
        <f>INDEX(ChRamp,MATCH(E972,ChName,0))</f>
        <v/>
      </c>
      <c r="L972" s="45">
        <f>MIN(1,MAX(0,(A972-I972+1)*RampSpeed/J972))</f>
        <v/>
      </c>
      <c r="M972" s="45">
        <f>IF(A972&lt;I972,0,IF(K972="S-curve",L972*L972*(3-2*L972),L972))</f>
        <v/>
      </c>
      <c r="N972" s="45">
        <f>1+(INDEX(SeasonIdx,A972)-1)*SeasonAmp</f>
        <v/>
      </c>
      <c r="O972" s="45">
        <f>IFERROR(INDEX(PSPct,MATCH(E972&amp;"|"&amp;G972,PSKey,0)),0)</f>
        <v/>
      </c>
      <c r="P972" s="46">
        <f>INDEX(ChDoorVel,MATCH(E972,ChName,0))*CalibScalar*(1+VelocityUplift)</f>
        <v/>
      </c>
      <c r="Q972" s="46" t="n">
        <v>0</v>
      </c>
      <c r="R972" s="46">
        <f>P972*O972*M972*N972*H972</f>
        <v/>
      </c>
      <c r="S972" s="46">
        <f>R972*INDEX(FmtCansPerCase,MATCH(F972,FmtName,0))</f>
        <v/>
      </c>
      <c r="T972" s="46">
        <f>S972/INDEX(FmtCansPerPack,MATCH(F972,FmtName,0))</f>
        <v/>
      </c>
      <c r="U972" s="47">
        <f>INDEX(ChBaseCP,MATCH(E972,ChName,0))*(1+INDEX(ProvMod,MATCH(G972,ProvCode,0)))*(1+PriceIndex)</f>
        <v/>
      </c>
      <c r="V972" s="47">
        <f>R972*U972*INDEX(FmtBlendedPriceIdx,MATCH(F972,FmtName,0))</f>
        <v/>
      </c>
      <c r="W972" s="47">
        <f>T972*INDEX(ProvSRP,MATCH(G972,ProvCode,0))*(1+PriceIndex)</f>
        <v/>
      </c>
      <c r="X972" s="47">
        <f>IF(GrossBasis="Wholesale",V972,W972)</f>
        <v/>
      </c>
      <c r="Y972" s="47">
        <f>R972*INDEX(FmtBlendedCogs,MATCH(F972,FmtName,0))</f>
        <v/>
      </c>
      <c r="Z972" s="47">
        <f>X972-Y972</f>
        <v/>
      </c>
    </row>
    <row r="973">
      <c r="A973" t="n">
        <v>18</v>
      </c>
      <c r="B973" s="44">
        <f>FiscalStart+(A973-1)*7</f>
        <v/>
      </c>
      <c r="C973">
        <f>TEXT(B973,"mmm yyyy")</f>
        <v/>
      </c>
      <c r="D973">
        <f>"Q"&amp;(INT((A973-1)/13)+1)</f>
        <v/>
      </c>
      <c r="E973" t="inlineStr">
        <is>
          <t>On Premise</t>
        </is>
      </c>
      <c r="F973">
        <f>IFERROR(INDEX(ChFormat,MATCH(E973,ChName,0)),"")</f>
        <v/>
      </c>
      <c r="G973" t="inlineStr">
        <is>
          <t>PE</t>
        </is>
      </c>
      <c r="H973">
        <f>IF(A973&lt;=NWeeks,1,0)</f>
        <v/>
      </c>
      <c r="I973">
        <f>INDEX(ChLaunch,MATCH(E973,ChName,0))</f>
        <v/>
      </c>
      <c r="J973">
        <f>INDEX(ChWeeksFull,MATCH(E973,ChName,0))</f>
        <v/>
      </c>
      <c r="K973">
        <f>INDEX(ChRamp,MATCH(E973,ChName,0))</f>
        <v/>
      </c>
      <c r="L973" s="45">
        <f>MIN(1,MAX(0,(A973-I973+1)*RampSpeed/J973))</f>
        <v/>
      </c>
      <c r="M973" s="45">
        <f>IF(A973&lt;I973,0,IF(K973="S-curve",L973*L973*(3-2*L973),L973))</f>
        <v/>
      </c>
      <c r="N973" s="45">
        <f>1+(INDEX(SeasonIdx,A973)-1)*SeasonAmp</f>
        <v/>
      </c>
      <c r="O973" s="45">
        <f>IFERROR(INDEX(PSPct,MATCH(E973&amp;"|"&amp;G973,PSKey,0)),0)</f>
        <v/>
      </c>
      <c r="P973" s="46">
        <f>INDEX(ChDoorVel,MATCH(E973,ChName,0))*CalibScalar*(1+VelocityUplift)</f>
        <v/>
      </c>
      <c r="Q973" s="46" t="n">
        <v>0</v>
      </c>
      <c r="R973" s="46">
        <f>P973*O973*M973*N973*H973</f>
        <v/>
      </c>
      <c r="S973" s="46">
        <f>R973*INDEX(FmtCansPerCase,MATCH(F973,FmtName,0))</f>
        <v/>
      </c>
      <c r="T973" s="46">
        <f>S973/INDEX(FmtCansPerPack,MATCH(F973,FmtName,0))</f>
        <v/>
      </c>
      <c r="U973" s="47">
        <f>INDEX(ChBaseCP,MATCH(E973,ChName,0))*(1+INDEX(ProvMod,MATCH(G973,ProvCode,0)))*(1+PriceIndex)</f>
        <v/>
      </c>
      <c r="V973" s="47">
        <f>R973*U973*INDEX(FmtBlendedPriceIdx,MATCH(F973,FmtName,0))</f>
        <v/>
      </c>
      <c r="W973" s="47">
        <f>T973*INDEX(ProvSRP,MATCH(G973,ProvCode,0))*(1+PriceIndex)</f>
        <v/>
      </c>
      <c r="X973" s="47">
        <f>IF(GrossBasis="Wholesale",V973,W973)</f>
        <v/>
      </c>
      <c r="Y973" s="47">
        <f>R973*INDEX(FmtBlendedCogs,MATCH(F973,FmtName,0))</f>
        <v/>
      </c>
      <c r="Z973" s="47">
        <f>X973-Y973</f>
        <v/>
      </c>
    </row>
    <row r="974">
      <c r="A974" t="n">
        <v>19</v>
      </c>
      <c r="B974" s="44">
        <f>FiscalStart+(A974-1)*7</f>
        <v/>
      </c>
      <c r="C974">
        <f>TEXT(B974,"mmm yyyy")</f>
        <v/>
      </c>
      <c r="D974">
        <f>"Q"&amp;(INT((A974-1)/13)+1)</f>
        <v/>
      </c>
      <c r="E974" t="inlineStr">
        <is>
          <t>On Premise</t>
        </is>
      </c>
      <c r="F974">
        <f>IFERROR(INDEX(ChFormat,MATCH(E974,ChName,0)),"")</f>
        <v/>
      </c>
      <c r="G974" t="inlineStr">
        <is>
          <t>PE</t>
        </is>
      </c>
      <c r="H974">
        <f>IF(A974&lt;=NWeeks,1,0)</f>
        <v/>
      </c>
      <c r="I974">
        <f>INDEX(ChLaunch,MATCH(E974,ChName,0))</f>
        <v/>
      </c>
      <c r="J974">
        <f>INDEX(ChWeeksFull,MATCH(E974,ChName,0))</f>
        <v/>
      </c>
      <c r="K974">
        <f>INDEX(ChRamp,MATCH(E974,ChName,0))</f>
        <v/>
      </c>
      <c r="L974" s="45">
        <f>MIN(1,MAX(0,(A974-I974+1)*RampSpeed/J974))</f>
        <v/>
      </c>
      <c r="M974" s="45">
        <f>IF(A974&lt;I974,0,IF(K974="S-curve",L974*L974*(3-2*L974),L974))</f>
        <v/>
      </c>
      <c r="N974" s="45">
        <f>1+(INDEX(SeasonIdx,A974)-1)*SeasonAmp</f>
        <v/>
      </c>
      <c r="O974" s="45">
        <f>IFERROR(INDEX(PSPct,MATCH(E974&amp;"|"&amp;G974,PSKey,0)),0)</f>
        <v/>
      </c>
      <c r="P974" s="46">
        <f>INDEX(ChDoorVel,MATCH(E974,ChName,0))*CalibScalar*(1+VelocityUplift)</f>
        <v/>
      </c>
      <c r="Q974" s="46" t="n">
        <v>0</v>
      </c>
      <c r="R974" s="46">
        <f>P974*O974*M974*N974*H974</f>
        <v/>
      </c>
      <c r="S974" s="46">
        <f>R974*INDEX(FmtCansPerCase,MATCH(F974,FmtName,0))</f>
        <v/>
      </c>
      <c r="T974" s="46">
        <f>S974/INDEX(FmtCansPerPack,MATCH(F974,FmtName,0))</f>
        <v/>
      </c>
      <c r="U974" s="47">
        <f>INDEX(ChBaseCP,MATCH(E974,ChName,0))*(1+INDEX(ProvMod,MATCH(G974,ProvCode,0)))*(1+PriceIndex)</f>
        <v/>
      </c>
      <c r="V974" s="47">
        <f>R974*U974*INDEX(FmtBlendedPriceIdx,MATCH(F974,FmtName,0))</f>
        <v/>
      </c>
      <c r="W974" s="47">
        <f>T974*INDEX(ProvSRP,MATCH(G974,ProvCode,0))*(1+PriceIndex)</f>
        <v/>
      </c>
      <c r="X974" s="47">
        <f>IF(GrossBasis="Wholesale",V974,W974)</f>
        <v/>
      </c>
      <c r="Y974" s="47">
        <f>R974*INDEX(FmtBlendedCogs,MATCH(F974,FmtName,0))</f>
        <v/>
      </c>
      <c r="Z974" s="47">
        <f>X974-Y974</f>
        <v/>
      </c>
    </row>
    <row r="975">
      <c r="A975" t="n">
        <v>20</v>
      </c>
      <c r="B975" s="44">
        <f>FiscalStart+(A975-1)*7</f>
        <v/>
      </c>
      <c r="C975">
        <f>TEXT(B975,"mmm yyyy")</f>
        <v/>
      </c>
      <c r="D975">
        <f>"Q"&amp;(INT((A975-1)/13)+1)</f>
        <v/>
      </c>
      <c r="E975" t="inlineStr">
        <is>
          <t>On Premise</t>
        </is>
      </c>
      <c r="F975">
        <f>IFERROR(INDEX(ChFormat,MATCH(E975,ChName,0)),"")</f>
        <v/>
      </c>
      <c r="G975" t="inlineStr">
        <is>
          <t>PE</t>
        </is>
      </c>
      <c r="H975">
        <f>IF(A975&lt;=NWeeks,1,0)</f>
        <v/>
      </c>
      <c r="I975">
        <f>INDEX(ChLaunch,MATCH(E975,ChName,0))</f>
        <v/>
      </c>
      <c r="J975">
        <f>INDEX(ChWeeksFull,MATCH(E975,ChName,0))</f>
        <v/>
      </c>
      <c r="K975">
        <f>INDEX(ChRamp,MATCH(E975,ChName,0))</f>
        <v/>
      </c>
      <c r="L975" s="45">
        <f>MIN(1,MAX(0,(A975-I975+1)*RampSpeed/J975))</f>
        <v/>
      </c>
      <c r="M975" s="45">
        <f>IF(A975&lt;I975,0,IF(K975="S-curve",L975*L975*(3-2*L975),L975))</f>
        <v/>
      </c>
      <c r="N975" s="45">
        <f>1+(INDEX(SeasonIdx,A975)-1)*SeasonAmp</f>
        <v/>
      </c>
      <c r="O975" s="45">
        <f>IFERROR(INDEX(PSPct,MATCH(E975&amp;"|"&amp;G975,PSKey,0)),0)</f>
        <v/>
      </c>
      <c r="P975" s="46">
        <f>INDEX(ChDoorVel,MATCH(E975,ChName,0))*CalibScalar*(1+VelocityUplift)</f>
        <v/>
      </c>
      <c r="Q975" s="46" t="n">
        <v>0</v>
      </c>
      <c r="R975" s="46">
        <f>P975*O975*M975*N975*H975</f>
        <v/>
      </c>
      <c r="S975" s="46">
        <f>R975*INDEX(FmtCansPerCase,MATCH(F975,FmtName,0))</f>
        <v/>
      </c>
      <c r="T975" s="46">
        <f>S975/INDEX(FmtCansPerPack,MATCH(F975,FmtName,0))</f>
        <v/>
      </c>
      <c r="U975" s="47">
        <f>INDEX(ChBaseCP,MATCH(E975,ChName,0))*(1+INDEX(ProvMod,MATCH(G975,ProvCode,0)))*(1+PriceIndex)</f>
        <v/>
      </c>
      <c r="V975" s="47">
        <f>R975*U975*INDEX(FmtBlendedPriceIdx,MATCH(F975,FmtName,0))</f>
        <v/>
      </c>
      <c r="W975" s="47">
        <f>T975*INDEX(ProvSRP,MATCH(G975,ProvCode,0))*(1+PriceIndex)</f>
        <v/>
      </c>
      <c r="X975" s="47">
        <f>IF(GrossBasis="Wholesale",V975,W975)</f>
        <v/>
      </c>
      <c r="Y975" s="47">
        <f>R975*INDEX(FmtBlendedCogs,MATCH(F975,FmtName,0))</f>
        <v/>
      </c>
      <c r="Z975" s="47">
        <f>X975-Y975</f>
        <v/>
      </c>
    </row>
    <row r="976">
      <c r="A976" t="n">
        <v>21</v>
      </c>
      <c r="B976" s="44">
        <f>FiscalStart+(A976-1)*7</f>
        <v/>
      </c>
      <c r="C976">
        <f>TEXT(B976,"mmm yyyy")</f>
        <v/>
      </c>
      <c r="D976">
        <f>"Q"&amp;(INT((A976-1)/13)+1)</f>
        <v/>
      </c>
      <c r="E976" t="inlineStr">
        <is>
          <t>On Premise</t>
        </is>
      </c>
      <c r="F976">
        <f>IFERROR(INDEX(ChFormat,MATCH(E976,ChName,0)),"")</f>
        <v/>
      </c>
      <c r="G976" t="inlineStr">
        <is>
          <t>PE</t>
        </is>
      </c>
      <c r="H976">
        <f>IF(A976&lt;=NWeeks,1,0)</f>
        <v/>
      </c>
      <c r="I976">
        <f>INDEX(ChLaunch,MATCH(E976,ChName,0))</f>
        <v/>
      </c>
      <c r="J976">
        <f>INDEX(ChWeeksFull,MATCH(E976,ChName,0))</f>
        <v/>
      </c>
      <c r="K976">
        <f>INDEX(ChRamp,MATCH(E976,ChName,0))</f>
        <v/>
      </c>
      <c r="L976" s="45">
        <f>MIN(1,MAX(0,(A976-I976+1)*RampSpeed/J976))</f>
        <v/>
      </c>
      <c r="M976" s="45">
        <f>IF(A976&lt;I976,0,IF(K976="S-curve",L976*L976*(3-2*L976),L976))</f>
        <v/>
      </c>
      <c r="N976" s="45">
        <f>1+(INDEX(SeasonIdx,A976)-1)*SeasonAmp</f>
        <v/>
      </c>
      <c r="O976" s="45">
        <f>IFERROR(INDEX(PSPct,MATCH(E976&amp;"|"&amp;G976,PSKey,0)),0)</f>
        <v/>
      </c>
      <c r="P976" s="46">
        <f>INDEX(ChDoorVel,MATCH(E976,ChName,0))*CalibScalar*(1+VelocityUplift)</f>
        <v/>
      </c>
      <c r="Q976" s="46" t="n">
        <v>0</v>
      </c>
      <c r="R976" s="46">
        <f>P976*O976*M976*N976*H976</f>
        <v/>
      </c>
      <c r="S976" s="46">
        <f>R976*INDEX(FmtCansPerCase,MATCH(F976,FmtName,0))</f>
        <v/>
      </c>
      <c r="T976" s="46">
        <f>S976/INDEX(FmtCansPerPack,MATCH(F976,FmtName,0))</f>
        <v/>
      </c>
      <c r="U976" s="47">
        <f>INDEX(ChBaseCP,MATCH(E976,ChName,0))*(1+INDEX(ProvMod,MATCH(G976,ProvCode,0)))*(1+PriceIndex)</f>
        <v/>
      </c>
      <c r="V976" s="47">
        <f>R976*U976*INDEX(FmtBlendedPriceIdx,MATCH(F976,FmtName,0))</f>
        <v/>
      </c>
      <c r="W976" s="47">
        <f>T976*INDEX(ProvSRP,MATCH(G976,ProvCode,0))*(1+PriceIndex)</f>
        <v/>
      </c>
      <c r="X976" s="47">
        <f>IF(GrossBasis="Wholesale",V976,W976)</f>
        <v/>
      </c>
      <c r="Y976" s="47">
        <f>R976*INDEX(FmtBlendedCogs,MATCH(F976,FmtName,0))</f>
        <v/>
      </c>
      <c r="Z976" s="47">
        <f>X976-Y976</f>
        <v/>
      </c>
    </row>
    <row r="977">
      <c r="A977" t="n">
        <v>22</v>
      </c>
      <c r="B977" s="44">
        <f>FiscalStart+(A977-1)*7</f>
        <v/>
      </c>
      <c r="C977">
        <f>TEXT(B977,"mmm yyyy")</f>
        <v/>
      </c>
      <c r="D977">
        <f>"Q"&amp;(INT((A977-1)/13)+1)</f>
        <v/>
      </c>
      <c r="E977" t="inlineStr">
        <is>
          <t>On Premise</t>
        </is>
      </c>
      <c r="F977">
        <f>IFERROR(INDEX(ChFormat,MATCH(E977,ChName,0)),"")</f>
        <v/>
      </c>
      <c r="G977" t="inlineStr">
        <is>
          <t>PE</t>
        </is>
      </c>
      <c r="H977">
        <f>IF(A977&lt;=NWeeks,1,0)</f>
        <v/>
      </c>
      <c r="I977">
        <f>INDEX(ChLaunch,MATCH(E977,ChName,0))</f>
        <v/>
      </c>
      <c r="J977">
        <f>INDEX(ChWeeksFull,MATCH(E977,ChName,0))</f>
        <v/>
      </c>
      <c r="K977">
        <f>INDEX(ChRamp,MATCH(E977,ChName,0))</f>
        <v/>
      </c>
      <c r="L977" s="45">
        <f>MIN(1,MAX(0,(A977-I977+1)*RampSpeed/J977))</f>
        <v/>
      </c>
      <c r="M977" s="45">
        <f>IF(A977&lt;I977,0,IF(K977="S-curve",L977*L977*(3-2*L977),L977))</f>
        <v/>
      </c>
      <c r="N977" s="45">
        <f>1+(INDEX(SeasonIdx,A977)-1)*SeasonAmp</f>
        <v/>
      </c>
      <c r="O977" s="45">
        <f>IFERROR(INDEX(PSPct,MATCH(E977&amp;"|"&amp;G977,PSKey,0)),0)</f>
        <v/>
      </c>
      <c r="P977" s="46">
        <f>INDEX(ChDoorVel,MATCH(E977,ChName,0))*CalibScalar*(1+VelocityUplift)</f>
        <v/>
      </c>
      <c r="Q977" s="46" t="n">
        <v>0</v>
      </c>
      <c r="R977" s="46">
        <f>P977*O977*M977*N977*H977</f>
        <v/>
      </c>
      <c r="S977" s="46">
        <f>R977*INDEX(FmtCansPerCase,MATCH(F977,FmtName,0))</f>
        <v/>
      </c>
      <c r="T977" s="46">
        <f>S977/INDEX(FmtCansPerPack,MATCH(F977,FmtName,0))</f>
        <v/>
      </c>
      <c r="U977" s="47">
        <f>INDEX(ChBaseCP,MATCH(E977,ChName,0))*(1+INDEX(ProvMod,MATCH(G977,ProvCode,0)))*(1+PriceIndex)</f>
        <v/>
      </c>
      <c r="V977" s="47">
        <f>R977*U977*INDEX(FmtBlendedPriceIdx,MATCH(F977,FmtName,0))</f>
        <v/>
      </c>
      <c r="W977" s="47">
        <f>T977*INDEX(ProvSRP,MATCH(G977,ProvCode,0))*(1+PriceIndex)</f>
        <v/>
      </c>
      <c r="X977" s="47">
        <f>IF(GrossBasis="Wholesale",V977,W977)</f>
        <v/>
      </c>
      <c r="Y977" s="47">
        <f>R977*INDEX(FmtBlendedCogs,MATCH(F977,FmtName,0))</f>
        <v/>
      </c>
      <c r="Z977" s="47">
        <f>X977-Y977</f>
        <v/>
      </c>
    </row>
    <row r="978">
      <c r="A978" t="n">
        <v>23</v>
      </c>
      <c r="B978" s="44">
        <f>FiscalStart+(A978-1)*7</f>
        <v/>
      </c>
      <c r="C978">
        <f>TEXT(B978,"mmm yyyy")</f>
        <v/>
      </c>
      <c r="D978">
        <f>"Q"&amp;(INT((A978-1)/13)+1)</f>
        <v/>
      </c>
      <c r="E978" t="inlineStr">
        <is>
          <t>On Premise</t>
        </is>
      </c>
      <c r="F978">
        <f>IFERROR(INDEX(ChFormat,MATCH(E978,ChName,0)),"")</f>
        <v/>
      </c>
      <c r="G978" t="inlineStr">
        <is>
          <t>PE</t>
        </is>
      </c>
      <c r="H978">
        <f>IF(A978&lt;=NWeeks,1,0)</f>
        <v/>
      </c>
      <c r="I978">
        <f>INDEX(ChLaunch,MATCH(E978,ChName,0))</f>
        <v/>
      </c>
      <c r="J978">
        <f>INDEX(ChWeeksFull,MATCH(E978,ChName,0))</f>
        <v/>
      </c>
      <c r="K978">
        <f>INDEX(ChRamp,MATCH(E978,ChName,0))</f>
        <v/>
      </c>
      <c r="L978" s="45">
        <f>MIN(1,MAX(0,(A978-I978+1)*RampSpeed/J978))</f>
        <v/>
      </c>
      <c r="M978" s="45">
        <f>IF(A978&lt;I978,0,IF(K978="S-curve",L978*L978*(3-2*L978),L978))</f>
        <v/>
      </c>
      <c r="N978" s="45">
        <f>1+(INDEX(SeasonIdx,A978)-1)*SeasonAmp</f>
        <v/>
      </c>
      <c r="O978" s="45">
        <f>IFERROR(INDEX(PSPct,MATCH(E978&amp;"|"&amp;G978,PSKey,0)),0)</f>
        <v/>
      </c>
      <c r="P978" s="46">
        <f>INDEX(ChDoorVel,MATCH(E978,ChName,0))*CalibScalar*(1+VelocityUplift)</f>
        <v/>
      </c>
      <c r="Q978" s="46" t="n">
        <v>0</v>
      </c>
      <c r="R978" s="46">
        <f>P978*O978*M978*N978*H978</f>
        <v/>
      </c>
      <c r="S978" s="46">
        <f>R978*INDEX(FmtCansPerCase,MATCH(F978,FmtName,0))</f>
        <v/>
      </c>
      <c r="T978" s="46">
        <f>S978/INDEX(FmtCansPerPack,MATCH(F978,FmtName,0))</f>
        <v/>
      </c>
      <c r="U978" s="47">
        <f>INDEX(ChBaseCP,MATCH(E978,ChName,0))*(1+INDEX(ProvMod,MATCH(G978,ProvCode,0)))*(1+PriceIndex)</f>
        <v/>
      </c>
      <c r="V978" s="47">
        <f>R978*U978*INDEX(FmtBlendedPriceIdx,MATCH(F978,FmtName,0))</f>
        <v/>
      </c>
      <c r="W978" s="47">
        <f>T978*INDEX(ProvSRP,MATCH(G978,ProvCode,0))*(1+PriceIndex)</f>
        <v/>
      </c>
      <c r="X978" s="47">
        <f>IF(GrossBasis="Wholesale",V978,W978)</f>
        <v/>
      </c>
      <c r="Y978" s="47">
        <f>R978*INDEX(FmtBlendedCogs,MATCH(F978,FmtName,0))</f>
        <v/>
      </c>
      <c r="Z978" s="47">
        <f>X978-Y978</f>
        <v/>
      </c>
    </row>
    <row r="979">
      <c r="A979" t="n">
        <v>24</v>
      </c>
      <c r="B979" s="44">
        <f>FiscalStart+(A979-1)*7</f>
        <v/>
      </c>
      <c r="C979">
        <f>TEXT(B979,"mmm yyyy")</f>
        <v/>
      </c>
      <c r="D979">
        <f>"Q"&amp;(INT((A979-1)/13)+1)</f>
        <v/>
      </c>
      <c r="E979" t="inlineStr">
        <is>
          <t>On Premise</t>
        </is>
      </c>
      <c r="F979">
        <f>IFERROR(INDEX(ChFormat,MATCH(E979,ChName,0)),"")</f>
        <v/>
      </c>
      <c r="G979" t="inlineStr">
        <is>
          <t>PE</t>
        </is>
      </c>
      <c r="H979">
        <f>IF(A979&lt;=NWeeks,1,0)</f>
        <v/>
      </c>
      <c r="I979">
        <f>INDEX(ChLaunch,MATCH(E979,ChName,0))</f>
        <v/>
      </c>
      <c r="J979">
        <f>INDEX(ChWeeksFull,MATCH(E979,ChName,0))</f>
        <v/>
      </c>
      <c r="K979">
        <f>INDEX(ChRamp,MATCH(E979,ChName,0))</f>
        <v/>
      </c>
      <c r="L979" s="45">
        <f>MIN(1,MAX(0,(A979-I979+1)*RampSpeed/J979))</f>
        <v/>
      </c>
      <c r="M979" s="45">
        <f>IF(A979&lt;I979,0,IF(K979="S-curve",L979*L979*(3-2*L979),L979))</f>
        <v/>
      </c>
      <c r="N979" s="45">
        <f>1+(INDEX(SeasonIdx,A979)-1)*SeasonAmp</f>
        <v/>
      </c>
      <c r="O979" s="45">
        <f>IFERROR(INDEX(PSPct,MATCH(E979&amp;"|"&amp;G979,PSKey,0)),0)</f>
        <v/>
      </c>
      <c r="P979" s="46">
        <f>INDEX(ChDoorVel,MATCH(E979,ChName,0))*CalibScalar*(1+VelocityUplift)</f>
        <v/>
      </c>
      <c r="Q979" s="46" t="n">
        <v>0</v>
      </c>
      <c r="R979" s="46">
        <f>P979*O979*M979*N979*H979</f>
        <v/>
      </c>
      <c r="S979" s="46">
        <f>R979*INDEX(FmtCansPerCase,MATCH(F979,FmtName,0))</f>
        <v/>
      </c>
      <c r="T979" s="46">
        <f>S979/INDEX(FmtCansPerPack,MATCH(F979,FmtName,0))</f>
        <v/>
      </c>
      <c r="U979" s="47">
        <f>INDEX(ChBaseCP,MATCH(E979,ChName,0))*(1+INDEX(ProvMod,MATCH(G979,ProvCode,0)))*(1+PriceIndex)</f>
        <v/>
      </c>
      <c r="V979" s="47">
        <f>R979*U979*INDEX(FmtBlendedPriceIdx,MATCH(F979,FmtName,0))</f>
        <v/>
      </c>
      <c r="W979" s="47">
        <f>T979*INDEX(ProvSRP,MATCH(G979,ProvCode,0))*(1+PriceIndex)</f>
        <v/>
      </c>
      <c r="X979" s="47">
        <f>IF(GrossBasis="Wholesale",V979,W979)</f>
        <v/>
      </c>
      <c r="Y979" s="47">
        <f>R979*INDEX(FmtBlendedCogs,MATCH(F979,FmtName,0))</f>
        <v/>
      </c>
      <c r="Z979" s="47">
        <f>X979-Y979</f>
        <v/>
      </c>
    </row>
    <row r="980">
      <c r="A980" t="n">
        <v>25</v>
      </c>
      <c r="B980" s="44">
        <f>FiscalStart+(A980-1)*7</f>
        <v/>
      </c>
      <c r="C980">
        <f>TEXT(B980,"mmm yyyy")</f>
        <v/>
      </c>
      <c r="D980">
        <f>"Q"&amp;(INT((A980-1)/13)+1)</f>
        <v/>
      </c>
      <c r="E980" t="inlineStr">
        <is>
          <t>On Premise</t>
        </is>
      </c>
      <c r="F980">
        <f>IFERROR(INDEX(ChFormat,MATCH(E980,ChName,0)),"")</f>
        <v/>
      </c>
      <c r="G980" t="inlineStr">
        <is>
          <t>PE</t>
        </is>
      </c>
      <c r="H980">
        <f>IF(A980&lt;=NWeeks,1,0)</f>
        <v/>
      </c>
      <c r="I980">
        <f>INDEX(ChLaunch,MATCH(E980,ChName,0))</f>
        <v/>
      </c>
      <c r="J980">
        <f>INDEX(ChWeeksFull,MATCH(E980,ChName,0))</f>
        <v/>
      </c>
      <c r="K980">
        <f>INDEX(ChRamp,MATCH(E980,ChName,0))</f>
        <v/>
      </c>
      <c r="L980" s="45">
        <f>MIN(1,MAX(0,(A980-I980+1)*RampSpeed/J980))</f>
        <v/>
      </c>
      <c r="M980" s="45">
        <f>IF(A980&lt;I980,0,IF(K980="S-curve",L980*L980*(3-2*L980),L980))</f>
        <v/>
      </c>
      <c r="N980" s="45">
        <f>1+(INDEX(SeasonIdx,A980)-1)*SeasonAmp</f>
        <v/>
      </c>
      <c r="O980" s="45">
        <f>IFERROR(INDEX(PSPct,MATCH(E980&amp;"|"&amp;G980,PSKey,0)),0)</f>
        <v/>
      </c>
      <c r="P980" s="46">
        <f>INDEX(ChDoorVel,MATCH(E980,ChName,0))*CalibScalar*(1+VelocityUplift)</f>
        <v/>
      </c>
      <c r="Q980" s="46" t="n">
        <v>0</v>
      </c>
      <c r="R980" s="46">
        <f>P980*O980*M980*N980*H980</f>
        <v/>
      </c>
      <c r="S980" s="46">
        <f>R980*INDEX(FmtCansPerCase,MATCH(F980,FmtName,0))</f>
        <v/>
      </c>
      <c r="T980" s="46">
        <f>S980/INDEX(FmtCansPerPack,MATCH(F980,FmtName,0))</f>
        <v/>
      </c>
      <c r="U980" s="47">
        <f>INDEX(ChBaseCP,MATCH(E980,ChName,0))*(1+INDEX(ProvMod,MATCH(G980,ProvCode,0)))*(1+PriceIndex)</f>
        <v/>
      </c>
      <c r="V980" s="47">
        <f>R980*U980*INDEX(FmtBlendedPriceIdx,MATCH(F980,FmtName,0))</f>
        <v/>
      </c>
      <c r="W980" s="47">
        <f>T980*INDEX(ProvSRP,MATCH(G980,ProvCode,0))*(1+PriceIndex)</f>
        <v/>
      </c>
      <c r="X980" s="47">
        <f>IF(GrossBasis="Wholesale",V980,W980)</f>
        <v/>
      </c>
      <c r="Y980" s="47">
        <f>R980*INDEX(FmtBlendedCogs,MATCH(F980,FmtName,0))</f>
        <v/>
      </c>
      <c r="Z980" s="47">
        <f>X980-Y980</f>
        <v/>
      </c>
    </row>
    <row r="981">
      <c r="A981" t="n">
        <v>26</v>
      </c>
      <c r="B981" s="44">
        <f>FiscalStart+(A981-1)*7</f>
        <v/>
      </c>
      <c r="C981">
        <f>TEXT(B981,"mmm yyyy")</f>
        <v/>
      </c>
      <c r="D981">
        <f>"Q"&amp;(INT((A981-1)/13)+1)</f>
        <v/>
      </c>
      <c r="E981" t="inlineStr">
        <is>
          <t>On Premise</t>
        </is>
      </c>
      <c r="F981">
        <f>IFERROR(INDEX(ChFormat,MATCH(E981,ChName,0)),"")</f>
        <v/>
      </c>
      <c r="G981" t="inlineStr">
        <is>
          <t>PE</t>
        </is>
      </c>
      <c r="H981">
        <f>IF(A981&lt;=NWeeks,1,0)</f>
        <v/>
      </c>
      <c r="I981">
        <f>INDEX(ChLaunch,MATCH(E981,ChName,0))</f>
        <v/>
      </c>
      <c r="J981">
        <f>INDEX(ChWeeksFull,MATCH(E981,ChName,0))</f>
        <v/>
      </c>
      <c r="K981">
        <f>INDEX(ChRamp,MATCH(E981,ChName,0))</f>
        <v/>
      </c>
      <c r="L981" s="45">
        <f>MIN(1,MAX(0,(A981-I981+1)*RampSpeed/J981))</f>
        <v/>
      </c>
      <c r="M981" s="45">
        <f>IF(A981&lt;I981,0,IF(K981="S-curve",L981*L981*(3-2*L981),L981))</f>
        <v/>
      </c>
      <c r="N981" s="45">
        <f>1+(INDEX(SeasonIdx,A981)-1)*SeasonAmp</f>
        <v/>
      </c>
      <c r="O981" s="45">
        <f>IFERROR(INDEX(PSPct,MATCH(E981&amp;"|"&amp;G981,PSKey,0)),0)</f>
        <v/>
      </c>
      <c r="P981" s="46">
        <f>INDEX(ChDoorVel,MATCH(E981,ChName,0))*CalibScalar*(1+VelocityUplift)</f>
        <v/>
      </c>
      <c r="Q981" s="46" t="n">
        <v>0</v>
      </c>
      <c r="R981" s="46">
        <f>P981*O981*M981*N981*H981</f>
        <v/>
      </c>
      <c r="S981" s="46">
        <f>R981*INDEX(FmtCansPerCase,MATCH(F981,FmtName,0))</f>
        <v/>
      </c>
      <c r="T981" s="46">
        <f>S981/INDEX(FmtCansPerPack,MATCH(F981,FmtName,0))</f>
        <v/>
      </c>
      <c r="U981" s="47">
        <f>INDEX(ChBaseCP,MATCH(E981,ChName,0))*(1+INDEX(ProvMod,MATCH(G981,ProvCode,0)))*(1+PriceIndex)</f>
        <v/>
      </c>
      <c r="V981" s="47">
        <f>R981*U981*INDEX(FmtBlendedPriceIdx,MATCH(F981,FmtName,0))</f>
        <v/>
      </c>
      <c r="W981" s="47">
        <f>T981*INDEX(ProvSRP,MATCH(G981,ProvCode,0))*(1+PriceIndex)</f>
        <v/>
      </c>
      <c r="X981" s="47">
        <f>IF(GrossBasis="Wholesale",V981,W981)</f>
        <v/>
      </c>
      <c r="Y981" s="47">
        <f>R981*INDEX(FmtBlendedCogs,MATCH(F981,FmtName,0))</f>
        <v/>
      </c>
      <c r="Z981" s="47">
        <f>X981-Y981</f>
        <v/>
      </c>
    </row>
    <row r="982">
      <c r="A982" t="n">
        <v>27</v>
      </c>
      <c r="B982" s="44">
        <f>FiscalStart+(A982-1)*7</f>
        <v/>
      </c>
      <c r="C982">
        <f>TEXT(B982,"mmm yyyy")</f>
        <v/>
      </c>
      <c r="D982">
        <f>"Q"&amp;(INT((A982-1)/13)+1)</f>
        <v/>
      </c>
      <c r="E982" t="inlineStr">
        <is>
          <t>On Premise</t>
        </is>
      </c>
      <c r="F982">
        <f>IFERROR(INDEX(ChFormat,MATCH(E982,ChName,0)),"")</f>
        <v/>
      </c>
      <c r="G982" t="inlineStr">
        <is>
          <t>PE</t>
        </is>
      </c>
      <c r="H982">
        <f>IF(A982&lt;=NWeeks,1,0)</f>
        <v/>
      </c>
      <c r="I982">
        <f>INDEX(ChLaunch,MATCH(E982,ChName,0))</f>
        <v/>
      </c>
      <c r="J982">
        <f>INDEX(ChWeeksFull,MATCH(E982,ChName,0))</f>
        <v/>
      </c>
      <c r="K982">
        <f>INDEX(ChRamp,MATCH(E982,ChName,0))</f>
        <v/>
      </c>
      <c r="L982" s="45">
        <f>MIN(1,MAX(0,(A982-I982+1)*RampSpeed/J982))</f>
        <v/>
      </c>
      <c r="M982" s="45">
        <f>IF(A982&lt;I982,0,IF(K982="S-curve",L982*L982*(3-2*L982),L982))</f>
        <v/>
      </c>
      <c r="N982" s="45">
        <f>1+(INDEX(SeasonIdx,A982)-1)*SeasonAmp</f>
        <v/>
      </c>
      <c r="O982" s="45">
        <f>IFERROR(INDEX(PSPct,MATCH(E982&amp;"|"&amp;G982,PSKey,0)),0)</f>
        <v/>
      </c>
      <c r="P982" s="46">
        <f>INDEX(ChDoorVel,MATCH(E982,ChName,0))*CalibScalar*(1+VelocityUplift)</f>
        <v/>
      </c>
      <c r="Q982" s="46" t="n">
        <v>0</v>
      </c>
      <c r="R982" s="46">
        <f>P982*O982*M982*N982*H982</f>
        <v/>
      </c>
      <c r="S982" s="46">
        <f>R982*INDEX(FmtCansPerCase,MATCH(F982,FmtName,0))</f>
        <v/>
      </c>
      <c r="T982" s="46">
        <f>S982/INDEX(FmtCansPerPack,MATCH(F982,FmtName,0))</f>
        <v/>
      </c>
      <c r="U982" s="47">
        <f>INDEX(ChBaseCP,MATCH(E982,ChName,0))*(1+INDEX(ProvMod,MATCH(G982,ProvCode,0)))*(1+PriceIndex)</f>
        <v/>
      </c>
      <c r="V982" s="47">
        <f>R982*U982*INDEX(FmtBlendedPriceIdx,MATCH(F982,FmtName,0))</f>
        <v/>
      </c>
      <c r="W982" s="47">
        <f>T982*INDEX(ProvSRP,MATCH(G982,ProvCode,0))*(1+PriceIndex)</f>
        <v/>
      </c>
      <c r="X982" s="47">
        <f>IF(GrossBasis="Wholesale",V982,W982)</f>
        <v/>
      </c>
      <c r="Y982" s="47">
        <f>R982*INDEX(FmtBlendedCogs,MATCH(F982,FmtName,0))</f>
        <v/>
      </c>
      <c r="Z982" s="47">
        <f>X982-Y982</f>
        <v/>
      </c>
    </row>
    <row r="983">
      <c r="A983" t="n">
        <v>28</v>
      </c>
      <c r="B983" s="44">
        <f>FiscalStart+(A983-1)*7</f>
        <v/>
      </c>
      <c r="C983">
        <f>TEXT(B983,"mmm yyyy")</f>
        <v/>
      </c>
      <c r="D983">
        <f>"Q"&amp;(INT((A983-1)/13)+1)</f>
        <v/>
      </c>
      <c r="E983" t="inlineStr">
        <is>
          <t>On Premise</t>
        </is>
      </c>
      <c r="F983">
        <f>IFERROR(INDEX(ChFormat,MATCH(E983,ChName,0)),"")</f>
        <v/>
      </c>
      <c r="G983" t="inlineStr">
        <is>
          <t>PE</t>
        </is>
      </c>
      <c r="H983">
        <f>IF(A983&lt;=NWeeks,1,0)</f>
        <v/>
      </c>
      <c r="I983">
        <f>INDEX(ChLaunch,MATCH(E983,ChName,0))</f>
        <v/>
      </c>
      <c r="J983">
        <f>INDEX(ChWeeksFull,MATCH(E983,ChName,0))</f>
        <v/>
      </c>
      <c r="K983">
        <f>INDEX(ChRamp,MATCH(E983,ChName,0))</f>
        <v/>
      </c>
      <c r="L983" s="45">
        <f>MIN(1,MAX(0,(A983-I983+1)*RampSpeed/J983))</f>
        <v/>
      </c>
      <c r="M983" s="45">
        <f>IF(A983&lt;I983,0,IF(K983="S-curve",L983*L983*(3-2*L983),L983))</f>
        <v/>
      </c>
      <c r="N983" s="45">
        <f>1+(INDEX(SeasonIdx,A983)-1)*SeasonAmp</f>
        <v/>
      </c>
      <c r="O983" s="45">
        <f>IFERROR(INDEX(PSPct,MATCH(E983&amp;"|"&amp;G983,PSKey,0)),0)</f>
        <v/>
      </c>
      <c r="P983" s="46">
        <f>INDEX(ChDoorVel,MATCH(E983,ChName,0))*CalibScalar*(1+VelocityUplift)</f>
        <v/>
      </c>
      <c r="Q983" s="46" t="n">
        <v>0</v>
      </c>
      <c r="R983" s="46">
        <f>P983*O983*M983*N983*H983</f>
        <v/>
      </c>
      <c r="S983" s="46">
        <f>R983*INDEX(FmtCansPerCase,MATCH(F983,FmtName,0))</f>
        <v/>
      </c>
      <c r="T983" s="46">
        <f>S983/INDEX(FmtCansPerPack,MATCH(F983,FmtName,0))</f>
        <v/>
      </c>
      <c r="U983" s="47">
        <f>INDEX(ChBaseCP,MATCH(E983,ChName,0))*(1+INDEX(ProvMod,MATCH(G983,ProvCode,0)))*(1+PriceIndex)</f>
        <v/>
      </c>
      <c r="V983" s="47">
        <f>R983*U983*INDEX(FmtBlendedPriceIdx,MATCH(F983,FmtName,0))</f>
        <v/>
      </c>
      <c r="W983" s="47">
        <f>T983*INDEX(ProvSRP,MATCH(G983,ProvCode,0))*(1+PriceIndex)</f>
        <v/>
      </c>
      <c r="X983" s="47">
        <f>IF(GrossBasis="Wholesale",V983,W983)</f>
        <v/>
      </c>
      <c r="Y983" s="47">
        <f>R983*INDEX(FmtBlendedCogs,MATCH(F983,FmtName,0))</f>
        <v/>
      </c>
      <c r="Z983" s="47">
        <f>X983-Y983</f>
        <v/>
      </c>
    </row>
    <row r="984">
      <c r="A984" t="n">
        <v>29</v>
      </c>
      <c r="B984" s="44">
        <f>FiscalStart+(A984-1)*7</f>
        <v/>
      </c>
      <c r="C984">
        <f>TEXT(B984,"mmm yyyy")</f>
        <v/>
      </c>
      <c r="D984">
        <f>"Q"&amp;(INT((A984-1)/13)+1)</f>
        <v/>
      </c>
      <c r="E984" t="inlineStr">
        <is>
          <t>On Premise</t>
        </is>
      </c>
      <c r="F984">
        <f>IFERROR(INDEX(ChFormat,MATCH(E984,ChName,0)),"")</f>
        <v/>
      </c>
      <c r="G984" t="inlineStr">
        <is>
          <t>PE</t>
        </is>
      </c>
      <c r="H984">
        <f>IF(A984&lt;=NWeeks,1,0)</f>
        <v/>
      </c>
      <c r="I984">
        <f>INDEX(ChLaunch,MATCH(E984,ChName,0))</f>
        <v/>
      </c>
      <c r="J984">
        <f>INDEX(ChWeeksFull,MATCH(E984,ChName,0))</f>
        <v/>
      </c>
      <c r="K984">
        <f>INDEX(ChRamp,MATCH(E984,ChName,0))</f>
        <v/>
      </c>
      <c r="L984" s="45">
        <f>MIN(1,MAX(0,(A984-I984+1)*RampSpeed/J984))</f>
        <v/>
      </c>
      <c r="M984" s="45">
        <f>IF(A984&lt;I984,0,IF(K984="S-curve",L984*L984*(3-2*L984),L984))</f>
        <v/>
      </c>
      <c r="N984" s="45">
        <f>1+(INDEX(SeasonIdx,A984)-1)*SeasonAmp</f>
        <v/>
      </c>
      <c r="O984" s="45">
        <f>IFERROR(INDEX(PSPct,MATCH(E984&amp;"|"&amp;G984,PSKey,0)),0)</f>
        <v/>
      </c>
      <c r="P984" s="46">
        <f>INDEX(ChDoorVel,MATCH(E984,ChName,0))*CalibScalar*(1+VelocityUplift)</f>
        <v/>
      </c>
      <c r="Q984" s="46" t="n">
        <v>0</v>
      </c>
      <c r="R984" s="46">
        <f>P984*O984*M984*N984*H984</f>
        <v/>
      </c>
      <c r="S984" s="46">
        <f>R984*INDEX(FmtCansPerCase,MATCH(F984,FmtName,0))</f>
        <v/>
      </c>
      <c r="T984" s="46">
        <f>S984/INDEX(FmtCansPerPack,MATCH(F984,FmtName,0))</f>
        <v/>
      </c>
      <c r="U984" s="47">
        <f>INDEX(ChBaseCP,MATCH(E984,ChName,0))*(1+INDEX(ProvMod,MATCH(G984,ProvCode,0)))*(1+PriceIndex)</f>
        <v/>
      </c>
      <c r="V984" s="47">
        <f>R984*U984*INDEX(FmtBlendedPriceIdx,MATCH(F984,FmtName,0))</f>
        <v/>
      </c>
      <c r="W984" s="47">
        <f>T984*INDEX(ProvSRP,MATCH(G984,ProvCode,0))*(1+PriceIndex)</f>
        <v/>
      </c>
      <c r="X984" s="47">
        <f>IF(GrossBasis="Wholesale",V984,W984)</f>
        <v/>
      </c>
      <c r="Y984" s="47">
        <f>R984*INDEX(FmtBlendedCogs,MATCH(F984,FmtName,0))</f>
        <v/>
      </c>
      <c r="Z984" s="47">
        <f>X984-Y984</f>
        <v/>
      </c>
    </row>
    <row r="985">
      <c r="A985" t="n">
        <v>30</v>
      </c>
      <c r="B985" s="44">
        <f>FiscalStart+(A985-1)*7</f>
        <v/>
      </c>
      <c r="C985">
        <f>TEXT(B985,"mmm yyyy")</f>
        <v/>
      </c>
      <c r="D985">
        <f>"Q"&amp;(INT((A985-1)/13)+1)</f>
        <v/>
      </c>
      <c r="E985" t="inlineStr">
        <is>
          <t>On Premise</t>
        </is>
      </c>
      <c r="F985">
        <f>IFERROR(INDEX(ChFormat,MATCH(E985,ChName,0)),"")</f>
        <v/>
      </c>
      <c r="G985" t="inlineStr">
        <is>
          <t>PE</t>
        </is>
      </c>
      <c r="H985">
        <f>IF(A985&lt;=NWeeks,1,0)</f>
        <v/>
      </c>
      <c r="I985">
        <f>INDEX(ChLaunch,MATCH(E985,ChName,0))</f>
        <v/>
      </c>
      <c r="J985">
        <f>INDEX(ChWeeksFull,MATCH(E985,ChName,0))</f>
        <v/>
      </c>
      <c r="K985">
        <f>INDEX(ChRamp,MATCH(E985,ChName,0))</f>
        <v/>
      </c>
      <c r="L985" s="45">
        <f>MIN(1,MAX(0,(A985-I985+1)*RampSpeed/J985))</f>
        <v/>
      </c>
      <c r="M985" s="45">
        <f>IF(A985&lt;I985,0,IF(K985="S-curve",L985*L985*(3-2*L985),L985))</f>
        <v/>
      </c>
      <c r="N985" s="45">
        <f>1+(INDEX(SeasonIdx,A985)-1)*SeasonAmp</f>
        <v/>
      </c>
      <c r="O985" s="45">
        <f>IFERROR(INDEX(PSPct,MATCH(E985&amp;"|"&amp;G985,PSKey,0)),0)</f>
        <v/>
      </c>
      <c r="P985" s="46">
        <f>INDEX(ChDoorVel,MATCH(E985,ChName,0))*CalibScalar*(1+VelocityUplift)</f>
        <v/>
      </c>
      <c r="Q985" s="46" t="n">
        <v>0</v>
      </c>
      <c r="R985" s="46">
        <f>P985*O985*M985*N985*H985</f>
        <v/>
      </c>
      <c r="S985" s="46">
        <f>R985*INDEX(FmtCansPerCase,MATCH(F985,FmtName,0))</f>
        <v/>
      </c>
      <c r="T985" s="46">
        <f>S985/INDEX(FmtCansPerPack,MATCH(F985,FmtName,0))</f>
        <v/>
      </c>
      <c r="U985" s="47">
        <f>INDEX(ChBaseCP,MATCH(E985,ChName,0))*(1+INDEX(ProvMod,MATCH(G985,ProvCode,0)))*(1+PriceIndex)</f>
        <v/>
      </c>
      <c r="V985" s="47">
        <f>R985*U985*INDEX(FmtBlendedPriceIdx,MATCH(F985,FmtName,0))</f>
        <v/>
      </c>
      <c r="W985" s="47">
        <f>T985*INDEX(ProvSRP,MATCH(G985,ProvCode,0))*(1+PriceIndex)</f>
        <v/>
      </c>
      <c r="X985" s="47">
        <f>IF(GrossBasis="Wholesale",V985,W985)</f>
        <v/>
      </c>
      <c r="Y985" s="47">
        <f>R985*INDEX(FmtBlendedCogs,MATCH(F985,FmtName,0))</f>
        <v/>
      </c>
      <c r="Z985" s="47">
        <f>X985-Y985</f>
        <v/>
      </c>
    </row>
    <row r="986">
      <c r="A986" t="n">
        <v>31</v>
      </c>
      <c r="B986" s="44">
        <f>FiscalStart+(A986-1)*7</f>
        <v/>
      </c>
      <c r="C986">
        <f>TEXT(B986,"mmm yyyy")</f>
        <v/>
      </c>
      <c r="D986">
        <f>"Q"&amp;(INT((A986-1)/13)+1)</f>
        <v/>
      </c>
      <c r="E986" t="inlineStr">
        <is>
          <t>On Premise</t>
        </is>
      </c>
      <c r="F986">
        <f>IFERROR(INDEX(ChFormat,MATCH(E986,ChName,0)),"")</f>
        <v/>
      </c>
      <c r="G986" t="inlineStr">
        <is>
          <t>PE</t>
        </is>
      </c>
      <c r="H986">
        <f>IF(A986&lt;=NWeeks,1,0)</f>
        <v/>
      </c>
      <c r="I986">
        <f>INDEX(ChLaunch,MATCH(E986,ChName,0))</f>
        <v/>
      </c>
      <c r="J986">
        <f>INDEX(ChWeeksFull,MATCH(E986,ChName,0))</f>
        <v/>
      </c>
      <c r="K986">
        <f>INDEX(ChRamp,MATCH(E986,ChName,0))</f>
        <v/>
      </c>
      <c r="L986" s="45">
        <f>MIN(1,MAX(0,(A986-I986+1)*RampSpeed/J986))</f>
        <v/>
      </c>
      <c r="M986" s="45">
        <f>IF(A986&lt;I986,0,IF(K986="S-curve",L986*L986*(3-2*L986),L986))</f>
        <v/>
      </c>
      <c r="N986" s="45">
        <f>1+(INDEX(SeasonIdx,A986)-1)*SeasonAmp</f>
        <v/>
      </c>
      <c r="O986" s="45">
        <f>IFERROR(INDEX(PSPct,MATCH(E986&amp;"|"&amp;G986,PSKey,0)),0)</f>
        <v/>
      </c>
      <c r="P986" s="46">
        <f>INDEX(ChDoorVel,MATCH(E986,ChName,0))*CalibScalar*(1+VelocityUplift)</f>
        <v/>
      </c>
      <c r="Q986" s="46" t="n">
        <v>0</v>
      </c>
      <c r="R986" s="46">
        <f>P986*O986*M986*N986*H986</f>
        <v/>
      </c>
      <c r="S986" s="46">
        <f>R986*INDEX(FmtCansPerCase,MATCH(F986,FmtName,0))</f>
        <v/>
      </c>
      <c r="T986" s="46">
        <f>S986/INDEX(FmtCansPerPack,MATCH(F986,FmtName,0))</f>
        <v/>
      </c>
      <c r="U986" s="47">
        <f>INDEX(ChBaseCP,MATCH(E986,ChName,0))*(1+INDEX(ProvMod,MATCH(G986,ProvCode,0)))*(1+PriceIndex)</f>
        <v/>
      </c>
      <c r="V986" s="47">
        <f>R986*U986*INDEX(FmtBlendedPriceIdx,MATCH(F986,FmtName,0))</f>
        <v/>
      </c>
      <c r="W986" s="47">
        <f>T986*INDEX(ProvSRP,MATCH(G986,ProvCode,0))*(1+PriceIndex)</f>
        <v/>
      </c>
      <c r="X986" s="47">
        <f>IF(GrossBasis="Wholesale",V986,W986)</f>
        <v/>
      </c>
      <c r="Y986" s="47">
        <f>R986*INDEX(FmtBlendedCogs,MATCH(F986,FmtName,0))</f>
        <v/>
      </c>
      <c r="Z986" s="47">
        <f>X986-Y986</f>
        <v/>
      </c>
    </row>
    <row r="987">
      <c r="A987" t="n">
        <v>32</v>
      </c>
      <c r="B987" s="44">
        <f>FiscalStart+(A987-1)*7</f>
        <v/>
      </c>
      <c r="C987">
        <f>TEXT(B987,"mmm yyyy")</f>
        <v/>
      </c>
      <c r="D987">
        <f>"Q"&amp;(INT((A987-1)/13)+1)</f>
        <v/>
      </c>
      <c r="E987" t="inlineStr">
        <is>
          <t>On Premise</t>
        </is>
      </c>
      <c r="F987">
        <f>IFERROR(INDEX(ChFormat,MATCH(E987,ChName,0)),"")</f>
        <v/>
      </c>
      <c r="G987" t="inlineStr">
        <is>
          <t>PE</t>
        </is>
      </c>
      <c r="H987">
        <f>IF(A987&lt;=NWeeks,1,0)</f>
        <v/>
      </c>
      <c r="I987">
        <f>INDEX(ChLaunch,MATCH(E987,ChName,0))</f>
        <v/>
      </c>
      <c r="J987">
        <f>INDEX(ChWeeksFull,MATCH(E987,ChName,0))</f>
        <v/>
      </c>
      <c r="K987">
        <f>INDEX(ChRamp,MATCH(E987,ChName,0))</f>
        <v/>
      </c>
      <c r="L987" s="45">
        <f>MIN(1,MAX(0,(A987-I987+1)*RampSpeed/J987))</f>
        <v/>
      </c>
      <c r="M987" s="45">
        <f>IF(A987&lt;I987,0,IF(K987="S-curve",L987*L987*(3-2*L987),L987))</f>
        <v/>
      </c>
      <c r="N987" s="45">
        <f>1+(INDEX(SeasonIdx,A987)-1)*SeasonAmp</f>
        <v/>
      </c>
      <c r="O987" s="45">
        <f>IFERROR(INDEX(PSPct,MATCH(E987&amp;"|"&amp;G987,PSKey,0)),0)</f>
        <v/>
      </c>
      <c r="P987" s="46">
        <f>INDEX(ChDoorVel,MATCH(E987,ChName,0))*CalibScalar*(1+VelocityUplift)</f>
        <v/>
      </c>
      <c r="Q987" s="46" t="n">
        <v>0</v>
      </c>
      <c r="R987" s="46">
        <f>P987*O987*M987*N987*H987</f>
        <v/>
      </c>
      <c r="S987" s="46">
        <f>R987*INDEX(FmtCansPerCase,MATCH(F987,FmtName,0))</f>
        <v/>
      </c>
      <c r="T987" s="46">
        <f>S987/INDEX(FmtCansPerPack,MATCH(F987,FmtName,0))</f>
        <v/>
      </c>
      <c r="U987" s="47">
        <f>INDEX(ChBaseCP,MATCH(E987,ChName,0))*(1+INDEX(ProvMod,MATCH(G987,ProvCode,0)))*(1+PriceIndex)</f>
        <v/>
      </c>
      <c r="V987" s="47">
        <f>R987*U987*INDEX(FmtBlendedPriceIdx,MATCH(F987,FmtName,0))</f>
        <v/>
      </c>
      <c r="W987" s="47">
        <f>T987*INDEX(ProvSRP,MATCH(G987,ProvCode,0))*(1+PriceIndex)</f>
        <v/>
      </c>
      <c r="X987" s="47">
        <f>IF(GrossBasis="Wholesale",V987,W987)</f>
        <v/>
      </c>
      <c r="Y987" s="47">
        <f>R987*INDEX(FmtBlendedCogs,MATCH(F987,FmtName,0))</f>
        <v/>
      </c>
      <c r="Z987" s="47">
        <f>X987-Y987</f>
        <v/>
      </c>
    </row>
    <row r="988">
      <c r="A988" t="n">
        <v>33</v>
      </c>
      <c r="B988" s="44">
        <f>FiscalStart+(A988-1)*7</f>
        <v/>
      </c>
      <c r="C988">
        <f>TEXT(B988,"mmm yyyy")</f>
        <v/>
      </c>
      <c r="D988">
        <f>"Q"&amp;(INT((A988-1)/13)+1)</f>
        <v/>
      </c>
      <c r="E988" t="inlineStr">
        <is>
          <t>On Premise</t>
        </is>
      </c>
      <c r="F988">
        <f>IFERROR(INDEX(ChFormat,MATCH(E988,ChName,0)),"")</f>
        <v/>
      </c>
      <c r="G988" t="inlineStr">
        <is>
          <t>PE</t>
        </is>
      </c>
      <c r="H988">
        <f>IF(A988&lt;=NWeeks,1,0)</f>
        <v/>
      </c>
      <c r="I988">
        <f>INDEX(ChLaunch,MATCH(E988,ChName,0))</f>
        <v/>
      </c>
      <c r="J988">
        <f>INDEX(ChWeeksFull,MATCH(E988,ChName,0))</f>
        <v/>
      </c>
      <c r="K988">
        <f>INDEX(ChRamp,MATCH(E988,ChName,0))</f>
        <v/>
      </c>
      <c r="L988" s="45">
        <f>MIN(1,MAX(0,(A988-I988+1)*RampSpeed/J988))</f>
        <v/>
      </c>
      <c r="M988" s="45">
        <f>IF(A988&lt;I988,0,IF(K988="S-curve",L988*L988*(3-2*L988),L988))</f>
        <v/>
      </c>
      <c r="N988" s="45">
        <f>1+(INDEX(SeasonIdx,A988)-1)*SeasonAmp</f>
        <v/>
      </c>
      <c r="O988" s="45">
        <f>IFERROR(INDEX(PSPct,MATCH(E988&amp;"|"&amp;G988,PSKey,0)),0)</f>
        <v/>
      </c>
      <c r="P988" s="46">
        <f>INDEX(ChDoorVel,MATCH(E988,ChName,0))*CalibScalar*(1+VelocityUplift)</f>
        <v/>
      </c>
      <c r="Q988" s="46" t="n">
        <v>0</v>
      </c>
      <c r="R988" s="46">
        <f>P988*O988*M988*N988*H988</f>
        <v/>
      </c>
      <c r="S988" s="46">
        <f>R988*INDEX(FmtCansPerCase,MATCH(F988,FmtName,0))</f>
        <v/>
      </c>
      <c r="T988" s="46">
        <f>S988/INDEX(FmtCansPerPack,MATCH(F988,FmtName,0))</f>
        <v/>
      </c>
      <c r="U988" s="47">
        <f>INDEX(ChBaseCP,MATCH(E988,ChName,0))*(1+INDEX(ProvMod,MATCH(G988,ProvCode,0)))*(1+PriceIndex)</f>
        <v/>
      </c>
      <c r="V988" s="47">
        <f>R988*U988*INDEX(FmtBlendedPriceIdx,MATCH(F988,FmtName,0))</f>
        <v/>
      </c>
      <c r="W988" s="47">
        <f>T988*INDEX(ProvSRP,MATCH(G988,ProvCode,0))*(1+PriceIndex)</f>
        <v/>
      </c>
      <c r="X988" s="47">
        <f>IF(GrossBasis="Wholesale",V988,W988)</f>
        <v/>
      </c>
      <c r="Y988" s="47">
        <f>R988*INDEX(FmtBlendedCogs,MATCH(F988,FmtName,0))</f>
        <v/>
      </c>
      <c r="Z988" s="47">
        <f>X988-Y988</f>
        <v/>
      </c>
    </row>
    <row r="989">
      <c r="A989" t="n">
        <v>34</v>
      </c>
      <c r="B989" s="44">
        <f>FiscalStart+(A989-1)*7</f>
        <v/>
      </c>
      <c r="C989">
        <f>TEXT(B989,"mmm yyyy")</f>
        <v/>
      </c>
      <c r="D989">
        <f>"Q"&amp;(INT((A989-1)/13)+1)</f>
        <v/>
      </c>
      <c r="E989" t="inlineStr">
        <is>
          <t>On Premise</t>
        </is>
      </c>
      <c r="F989">
        <f>IFERROR(INDEX(ChFormat,MATCH(E989,ChName,0)),"")</f>
        <v/>
      </c>
      <c r="G989" t="inlineStr">
        <is>
          <t>PE</t>
        </is>
      </c>
      <c r="H989">
        <f>IF(A989&lt;=NWeeks,1,0)</f>
        <v/>
      </c>
      <c r="I989">
        <f>INDEX(ChLaunch,MATCH(E989,ChName,0))</f>
        <v/>
      </c>
      <c r="J989">
        <f>INDEX(ChWeeksFull,MATCH(E989,ChName,0))</f>
        <v/>
      </c>
      <c r="K989">
        <f>INDEX(ChRamp,MATCH(E989,ChName,0))</f>
        <v/>
      </c>
      <c r="L989" s="45">
        <f>MIN(1,MAX(0,(A989-I989+1)*RampSpeed/J989))</f>
        <v/>
      </c>
      <c r="M989" s="45">
        <f>IF(A989&lt;I989,0,IF(K989="S-curve",L989*L989*(3-2*L989),L989))</f>
        <v/>
      </c>
      <c r="N989" s="45">
        <f>1+(INDEX(SeasonIdx,A989)-1)*SeasonAmp</f>
        <v/>
      </c>
      <c r="O989" s="45">
        <f>IFERROR(INDEX(PSPct,MATCH(E989&amp;"|"&amp;G989,PSKey,0)),0)</f>
        <v/>
      </c>
      <c r="P989" s="46">
        <f>INDEX(ChDoorVel,MATCH(E989,ChName,0))*CalibScalar*(1+VelocityUplift)</f>
        <v/>
      </c>
      <c r="Q989" s="46" t="n">
        <v>0</v>
      </c>
      <c r="R989" s="46">
        <f>P989*O989*M989*N989*H989</f>
        <v/>
      </c>
      <c r="S989" s="46">
        <f>R989*INDEX(FmtCansPerCase,MATCH(F989,FmtName,0))</f>
        <v/>
      </c>
      <c r="T989" s="46">
        <f>S989/INDEX(FmtCansPerPack,MATCH(F989,FmtName,0))</f>
        <v/>
      </c>
      <c r="U989" s="47">
        <f>INDEX(ChBaseCP,MATCH(E989,ChName,0))*(1+INDEX(ProvMod,MATCH(G989,ProvCode,0)))*(1+PriceIndex)</f>
        <v/>
      </c>
      <c r="V989" s="47">
        <f>R989*U989*INDEX(FmtBlendedPriceIdx,MATCH(F989,FmtName,0))</f>
        <v/>
      </c>
      <c r="W989" s="47">
        <f>T989*INDEX(ProvSRP,MATCH(G989,ProvCode,0))*(1+PriceIndex)</f>
        <v/>
      </c>
      <c r="X989" s="47">
        <f>IF(GrossBasis="Wholesale",V989,W989)</f>
        <v/>
      </c>
      <c r="Y989" s="47">
        <f>R989*INDEX(FmtBlendedCogs,MATCH(F989,FmtName,0))</f>
        <v/>
      </c>
      <c r="Z989" s="47">
        <f>X989-Y989</f>
        <v/>
      </c>
    </row>
    <row r="990">
      <c r="A990" t="n">
        <v>35</v>
      </c>
      <c r="B990" s="44">
        <f>FiscalStart+(A990-1)*7</f>
        <v/>
      </c>
      <c r="C990">
        <f>TEXT(B990,"mmm yyyy")</f>
        <v/>
      </c>
      <c r="D990">
        <f>"Q"&amp;(INT((A990-1)/13)+1)</f>
        <v/>
      </c>
      <c r="E990" t="inlineStr">
        <is>
          <t>On Premise</t>
        </is>
      </c>
      <c r="F990">
        <f>IFERROR(INDEX(ChFormat,MATCH(E990,ChName,0)),"")</f>
        <v/>
      </c>
      <c r="G990" t="inlineStr">
        <is>
          <t>PE</t>
        </is>
      </c>
      <c r="H990">
        <f>IF(A990&lt;=NWeeks,1,0)</f>
        <v/>
      </c>
      <c r="I990">
        <f>INDEX(ChLaunch,MATCH(E990,ChName,0))</f>
        <v/>
      </c>
      <c r="J990">
        <f>INDEX(ChWeeksFull,MATCH(E990,ChName,0))</f>
        <v/>
      </c>
      <c r="K990">
        <f>INDEX(ChRamp,MATCH(E990,ChName,0))</f>
        <v/>
      </c>
      <c r="L990" s="45">
        <f>MIN(1,MAX(0,(A990-I990+1)*RampSpeed/J990))</f>
        <v/>
      </c>
      <c r="M990" s="45">
        <f>IF(A990&lt;I990,0,IF(K990="S-curve",L990*L990*(3-2*L990),L990))</f>
        <v/>
      </c>
      <c r="N990" s="45">
        <f>1+(INDEX(SeasonIdx,A990)-1)*SeasonAmp</f>
        <v/>
      </c>
      <c r="O990" s="45">
        <f>IFERROR(INDEX(PSPct,MATCH(E990&amp;"|"&amp;G990,PSKey,0)),0)</f>
        <v/>
      </c>
      <c r="P990" s="46">
        <f>INDEX(ChDoorVel,MATCH(E990,ChName,0))*CalibScalar*(1+VelocityUplift)</f>
        <v/>
      </c>
      <c r="Q990" s="46" t="n">
        <v>0</v>
      </c>
      <c r="R990" s="46">
        <f>P990*O990*M990*N990*H990</f>
        <v/>
      </c>
      <c r="S990" s="46">
        <f>R990*INDEX(FmtCansPerCase,MATCH(F990,FmtName,0))</f>
        <v/>
      </c>
      <c r="T990" s="46">
        <f>S990/INDEX(FmtCansPerPack,MATCH(F990,FmtName,0))</f>
        <v/>
      </c>
      <c r="U990" s="47">
        <f>INDEX(ChBaseCP,MATCH(E990,ChName,0))*(1+INDEX(ProvMod,MATCH(G990,ProvCode,0)))*(1+PriceIndex)</f>
        <v/>
      </c>
      <c r="V990" s="47">
        <f>R990*U990*INDEX(FmtBlendedPriceIdx,MATCH(F990,FmtName,0))</f>
        <v/>
      </c>
      <c r="W990" s="47">
        <f>T990*INDEX(ProvSRP,MATCH(G990,ProvCode,0))*(1+PriceIndex)</f>
        <v/>
      </c>
      <c r="X990" s="47">
        <f>IF(GrossBasis="Wholesale",V990,W990)</f>
        <v/>
      </c>
      <c r="Y990" s="47">
        <f>R990*INDEX(FmtBlendedCogs,MATCH(F990,FmtName,0))</f>
        <v/>
      </c>
      <c r="Z990" s="47">
        <f>X990-Y990</f>
        <v/>
      </c>
    </row>
    <row r="991">
      <c r="A991" t="n">
        <v>36</v>
      </c>
      <c r="B991" s="44">
        <f>FiscalStart+(A991-1)*7</f>
        <v/>
      </c>
      <c r="C991">
        <f>TEXT(B991,"mmm yyyy")</f>
        <v/>
      </c>
      <c r="D991">
        <f>"Q"&amp;(INT((A991-1)/13)+1)</f>
        <v/>
      </c>
      <c r="E991" t="inlineStr">
        <is>
          <t>On Premise</t>
        </is>
      </c>
      <c r="F991">
        <f>IFERROR(INDEX(ChFormat,MATCH(E991,ChName,0)),"")</f>
        <v/>
      </c>
      <c r="G991" t="inlineStr">
        <is>
          <t>PE</t>
        </is>
      </c>
      <c r="H991">
        <f>IF(A991&lt;=NWeeks,1,0)</f>
        <v/>
      </c>
      <c r="I991">
        <f>INDEX(ChLaunch,MATCH(E991,ChName,0))</f>
        <v/>
      </c>
      <c r="J991">
        <f>INDEX(ChWeeksFull,MATCH(E991,ChName,0))</f>
        <v/>
      </c>
      <c r="K991">
        <f>INDEX(ChRamp,MATCH(E991,ChName,0))</f>
        <v/>
      </c>
      <c r="L991" s="45">
        <f>MIN(1,MAX(0,(A991-I991+1)*RampSpeed/J991))</f>
        <v/>
      </c>
      <c r="M991" s="45">
        <f>IF(A991&lt;I991,0,IF(K991="S-curve",L991*L991*(3-2*L991),L991))</f>
        <v/>
      </c>
      <c r="N991" s="45">
        <f>1+(INDEX(SeasonIdx,A991)-1)*SeasonAmp</f>
        <v/>
      </c>
      <c r="O991" s="45">
        <f>IFERROR(INDEX(PSPct,MATCH(E991&amp;"|"&amp;G991,PSKey,0)),0)</f>
        <v/>
      </c>
      <c r="P991" s="46">
        <f>INDEX(ChDoorVel,MATCH(E991,ChName,0))*CalibScalar*(1+VelocityUplift)</f>
        <v/>
      </c>
      <c r="Q991" s="46" t="n">
        <v>0</v>
      </c>
      <c r="R991" s="46">
        <f>P991*O991*M991*N991*H991</f>
        <v/>
      </c>
      <c r="S991" s="46">
        <f>R991*INDEX(FmtCansPerCase,MATCH(F991,FmtName,0))</f>
        <v/>
      </c>
      <c r="T991" s="46">
        <f>S991/INDEX(FmtCansPerPack,MATCH(F991,FmtName,0))</f>
        <v/>
      </c>
      <c r="U991" s="47">
        <f>INDEX(ChBaseCP,MATCH(E991,ChName,0))*(1+INDEX(ProvMod,MATCH(G991,ProvCode,0)))*(1+PriceIndex)</f>
        <v/>
      </c>
      <c r="V991" s="47">
        <f>R991*U991*INDEX(FmtBlendedPriceIdx,MATCH(F991,FmtName,0))</f>
        <v/>
      </c>
      <c r="W991" s="47">
        <f>T991*INDEX(ProvSRP,MATCH(G991,ProvCode,0))*(1+PriceIndex)</f>
        <v/>
      </c>
      <c r="X991" s="47">
        <f>IF(GrossBasis="Wholesale",V991,W991)</f>
        <v/>
      </c>
      <c r="Y991" s="47">
        <f>R991*INDEX(FmtBlendedCogs,MATCH(F991,FmtName,0))</f>
        <v/>
      </c>
      <c r="Z991" s="47">
        <f>X991-Y991</f>
        <v/>
      </c>
    </row>
    <row r="992">
      <c r="A992" t="n">
        <v>37</v>
      </c>
      <c r="B992" s="44">
        <f>FiscalStart+(A992-1)*7</f>
        <v/>
      </c>
      <c r="C992">
        <f>TEXT(B992,"mmm yyyy")</f>
        <v/>
      </c>
      <c r="D992">
        <f>"Q"&amp;(INT((A992-1)/13)+1)</f>
        <v/>
      </c>
      <c r="E992" t="inlineStr">
        <is>
          <t>On Premise</t>
        </is>
      </c>
      <c r="F992">
        <f>IFERROR(INDEX(ChFormat,MATCH(E992,ChName,0)),"")</f>
        <v/>
      </c>
      <c r="G992" t="inlineStr">
        <is>
          <t>PE</t>
        </is>
      </c>
      <c r="H992">
        <f>IF(A992&lt;=NWeeks,1,0)</f>
        <v/>
      </c>
      <c r="I992">
        <f>INDEX(ChLaunch,MATCH(E992,ChName,0))</f>
        <v/>
      </c>
      <c r="J992">
        <f>INDEX(ChWeeksFull,MATCH(E992,ChName,0))</f>
        <v/>
      </c>
      <c r="K992">
        <f>INDEX(ChRamp,MATCH(E992,ChName,0))</f>
        <v/>
      </c>
      <c r="L992" s="45">
        <f>MIN(1,MAX(0,(A992-I992+1)*RampSpeed/J992))</f>
        <v/>
      </c>
      <c r="M992" s="45">
        <f>IF(A992&lt;I992,0,IF(K992="S-curve",L992*L992*(3-2*L992),L992))</f>
        <v/>
      </c>
      <c r="N992" s="45">
        <f>1+(INDEX(SeasonIdx,A992)-1)*SeasonAmp</f>
        <v/>
      </c>
      <c r="O992" s="45">
        <f>IFERROR(INDEX(PSPct,MATCH(E992&amp;"|"&amp;G992,PSKey,0)),0)</f>
        <v/>
      </c>
      <c r="P992" s="46">
        <f>INDEX(ChDoorVel,MATCH(E992,ChName,0))*CalibScalar*(1+VelocityUplift)</f>
        <v/>
      </c>
      <c r="Q992" s="46" t="n">
        <v>0</v>
      </c>
      <c r="R992" s="46">
        <f>P992*O992*M992*N992*H992</f>
        <v/>
      </c>
      <c r="S992" s="46">
        <f>R992*INDEX(FmtCansPerCase,MATCH(F992,FmtName,0))</f>
        <v/>
      </c>
      <c r="T992" s="46">
        <f>S992/INDEX(FmtCansPerPack,MATCH(F992,FmtName,0))</f>
        <v/>
      </c>
      <c r="U992" s="47">
        <f>INDEX(ChBaseCP,MATCH(E992,ChName,0))*(1+INDEX(ProvMod,MATCH(G992,ProvCode,0)))*(1+PriceIndex)</f>
        <v/>
      </c>
      <c r="V992" s="47">
        <f>R992*U992*INDEX(FmtBlendedPriceIdx,MATCH(F992,FmtName,0))</f>
        <v/>
      </c>
      <c r="W992" s="47">
        <f>T992*INDEX(ProvSRP,MATCH(G992,ProvCode,0))*(1+PriceIndex)</f>
        <v/>
      </c>
      <c r="X992" s="47">
        <f>IF(GrossBasis="Wholesale",V992,W992)</f>
        <v/>
      </c>
      <c r="Y992" s="47">
        <f>R992*INDEX(FmtBlendedCogs,MATCH(F992,FmtName,0))</f>
        <v/>
      </c>
      <c r="Z992" s="47">
        <f>X992-Y992</f>
        <v/>
      </c>
    </row>
    <row r="993">
      <c r="A993" t="n">
        <v>38</v>
      </c>
      <c r="B993" s="44">
        <f>FiscalStart+(A993-1)*7</f>
        <v/>
      </c>
      <c r="C993">
        <f>TEXT(B993,"mmm yyyy")</f>
        <v/>
      </c>
      <c r="D993">
        <f>"Q"&amp;(INT((A993-1)/13)+1)</f>
        <v/>
      </c>
      <c r="E993" t="inlineStr">
        <is>
          <t>On Premise</t>
        </is>
      </c>
      <c r="F993">
        <f>IFERROR(INDEX(ChFormat,MATCH(E993,ChName,0)),"")</f>
        <v/>
      </c>
      <c r="G993" t="inlineStr">
        <is>
          <t>PE</t>
        </is>
      </c>
      <c r="H993">
        <f>IF(A993&lt;=NWeeks,1,0)</f>
        <v/>
      </c>
      <c r="I993">
        <f>INDEX(ChLaunch,MATCH(E993,ChName,0))</f>
        <v/>
      </c>
      <c r="J993">
        <f>INDEX(ChWeeksFull,MATCH(E993,ChName,0))</f>
        <v/>
      </c>
      <c r="K993">
        <f>INDEX(ChRamp,MATCH(E993,ChName,0))</f>
        <v/>
      </c>
      <c r="L993" s="45">
        <f>MIN(1,MAX(0,(A993-I993+1)*RampSpeed/J993))</f>
        <v/>
      </c>
      <c r="M993" s="45">
        <f>IF(A993&lt;I993,0,IF(K993="S-curve",L993*L993*(3-2*L993),L993))</f>
        <v/>
      </c>
      <c r="N993" s="45">
        <f>1+(INDEX(SeasonIdx,A993)-1)*SeasonAmp</f>
        <v/>
      </c>
      <c r="O993" s="45">
        <f>IFERROR(INDEX(PSPct,MATCH(E993&amp;"|"&amp;G993,PSKey,0)),0)</f>
        <v/>
      </c>
      <c r="P993" s="46">
        <f>INDEX(ChDoorVel,MATCH(E993,ChName,0))*CalibScalar*(1+VelocityUplift)</f>
        <v/>
      </c>
      <c r="Q993" s="46" t="n">
        <v>0</v>
      </c>
      <c r="R993" s="46">
        <f>P993*O993*M993*N993*H993</f>
        <v/>
      </c>
      <c r="S993" s="46">
        <f>R993*INDEX(FmtCansPerCase,MATCH(F993,FmtName,0))</f>
        <v/>
      </c>
      <c r="T993" s="46">
        <f>S993/INDEX(FmtCansPerPack,MATCH(F993,FmtName,0))</f>
        <v/>
      </c>
      <c r="U993" s="47">
        <f>INDEX(ChBaseCP,MATCH(E993,ChName,0))*(1+INDEX(ProvMod,MATCH(G993,ProvCode,0)))*(1+PriceIndex)</f>
        <v/>
      </c>
      <c r="V993" s="47">
        <f>R993*U993*INDEX(FmtBlendedPriceIdx,MATCH(F993,FmtName,0))</f>
        <v/>
      </c>
      <c r="W993" s="47">
        <f>T993*INDEX(ProvSRP,MATCH(G993,ProvCode,0))*(1+PriceIndex)</f>
        <v/>
      </c>
      <c r="X993" s="47">
        <f>IF(GrossBasis="Wholesale",V993,W993)</f>
        <v/>
      </c>
      <c r="Y993" s="47">
        <f>R993*INDEX(FmtBlendedCogs,MATCH(F993,FmtName,0))</f>
        <v/>
      </c>
      <c r="Z993" s="47">
        <f>X993-Y993</f>
        <v/>
      </c>
    </row>
    <row r="994">
      <c r="A994" t="n">
        <v>39</v>
      </c>
      <c r="B994" s="44">
        <f>FiscalStart+(A994-1)*7</f>
        <v/>
      </c>
      <c r="C994">
        <f>TEXT(B994,"mmm yyyy")</f>
        <v/>
      </c>
      <c r="D994">
        <f>"Q"&amp;(INT((A994-1)/13)+1)</f>
        <v/>
      </c>
      <c r="E994" t="inlineStr">
        <is>
          <t>On Premise</t>
        </is>
      </c>
      <c r="F994">
        <f>IFERROR(INDEX(ChFormat,MATCH(E994,ChName,0)),"")</f>
        <v/>
      </c>
      <c r="G994" t="inlineStr">
        <is>
          <t>PE</t>
        </is>
      </c>
      <c r="H994">
        <f>IF(A994&lt;=NWeeks,1,0)</f>
        <v/>
      </c>
      <c r="I994">
        <f>INDEX(ChLaunch,MATCH(E994,ChName,0))</f>
        <v/>
      </c>
      <c r="J994">
        <f>INDEX(ChWeeksFull,MATCH(E994,ChName,0))</f>
        <v/>
      </c>
      <c r="K994">
        <f>INDEX(ChRamp,MATCH(E994,ChName,0))</f>
        <v/>
      </c>
      <c r="L994" s="45">
        <f>MIN(1,MAX(0,(A994-I994+1)*RampSpeed/J994))</f>
        <v/>
      </c>
      <c r="M994" s="45">
        <f>IF(A994&lt;I994,0,IF(K994="S-curve",L994*L994*(3-2*L994),L994))</f>
        <v/>
      </c>
      <c r="N994" s="45">
        <f>1+(INDEX(SeasonIdx,A994)-1)*SeasonAmp</f>
        <v/>
      </c>
      <c r="O994" s="45">
        <f>IFERROR(INDEX(PSPct,MATCH(E994&amp;"|"&amp;G994,PSKey,0)),0)</f>
        <v/>
      </c>
      <c r="P994" s="46">
        <f>INDEX(ChDoorVel,MATCH(E994,ChName,0))*CalibScalar*(1+VelocityUplift)</f>
        <v/>
      </c>
      <c r="Q994" s="46" t="n">
        <v>0</v>
      </c>
      <c r="R994" s="46">
        <f>P994*O994*M994*N994*H994</f>
        <v/>
      </c>
      <c r="S994" s="46">
        <f>R994*INDEX(FmtCansPerCase,MATCH(F994,FmtName,0))</f>
        <v/>
      </c>
      <c r="T994" s="46">
        <f>S994/INDEX(FmtCansPerPack,MATCH(F994,FmtName,0))</f>
        <v/>
      </c>
      <c r="U994" s="47">
        <f>INDEX(ChBaseCP,MATCH(E994,ChName,0))*(1+INDEX(ProvMod,MATCH(G994,ProvCode,0)))*(1+PriceIndex)</f>
        <v/>
      </c>
      <c r="V994" s="47">
        <f>R994*U994*INDEX(FmtBlendedPriceIdx,MATCH(F994,FmtName,0))</f>
        <v/>
      </c>
      <c r="W994" s="47">
        <f>T994*INDEX(ProvSRP,MATCH(G994,ProvCode,0))*(1+PriceIndex)</f>
        <v/>
      </c>
      <c r="X994" s="47">
        <f>IF(GrossBasis="Wholesale",V994,W994)</f>
        <v/>
      </c>
      <c r="Y994" s="47">
        <f>R994*INDEX(FmtBlendedCogs,MATCH(F994,FmtName,0))</f>
        <v/>
      </c>
      <c r="Z994" s="47">
        <f>X994-Y994</f>
        <v/>
      </c>
    </row>
    <row r="995">
      <c r="A995" t="n">
        <v>40</v>
      </c>
      <c r="B995" s="44">
        <f>FiscalStart+(A995-1)*7</f>
        <v/>
      </c>
      <c r="C995">
        <f>TEXT(B995,"mmm yyyy")</f>
        <v/>
      </c>
      <c r="D995">
        <f>"Q"&amp;(INT((A995-1)/13)+1)</f>
        <v/>
      </c>
      <c r="E995" t="inlineStr">
        <is>
          <t>On Premise</t>
        </is>
      </c>
      <c r="F995">
        <f>IFERROR(INDEX(ChFormat,MATCH(E995,ChName,0)),"")</f>
        <v/>
      </c>
      <c r="G995" t="inlineStr">
        <is>
          <t>PE</t>
        </is>
      </c>
      <c r="H995">
        <f>IF(A995&lt;=NWeeks,1,0)</f>
        <v/>
      </c>
      <c r="I995">
        <f>INDEX(ChLaunch,MATCH(E995,ChName,0))</f>
        <v/>
      </c>
      <c r="J995">
        <f>INDEX(ChWeeksFull,MATCH(E995,ChName,0))</f>
        <v/>
      </c>
      <c r="K995">
        <f>INDEX(ChRamp,MATCH(E995,ChName,0))</f>
        <v/>
      </c>
      <c r="L995" s="45">
        <f>MIN(1,MAX(0,(A995-I995+1)*RampSpeed/J995))</f>
        <v/>
      </c>
      <c r="M995" s="45">
        <f>IF(A995&lt;I995,0,IF(K995="S-curve",L995*L995*(3-2*L995),L995))</f>
        <v/>
      </c>
      <c r="N995" s="45">
        <f>1+(INDEX(SeasonIdx,A995)-1)*SeasonAmp</f>
        <v/>
      </c>
      <c r="O995" s="45">
        <f>IFERROR(INDEX(PSPct,MATCH(E995&amp;"|"&amp;G995,PSKey,0)),0)</f>
        <v/>
      </c>
      <c r="P995" s="46">
        <f>INDEX(ChDoorVel,MATCH(E995,ChName,0))*CalibScalar*(1+VelocityUplift)</f>
        <v/>
      </c>
      <c r="Q995" s="46" t="n">
        <v>0</v>
      </c>
      <c r="R995" s="46">
        <f>P995*O995*M995*N995*H995</f>
        <v/>
      </c>
      <c r="S995" s="46">
        <f>R995*INDEX(FmtCansPerCase,MATCH(F995,FmtName,0))</f>
        <v/>
      </c>
      <c r="T995" s="46">
        <f>S995/INDEX(FmtCansPerPack,MATCH(F995,FmtName,0))</f>
        <v/>
      </c>
      <c r="U995" s="47">
        <f>INDEX(ChBaseCP,MATCH(E995,ChName,0))*(1+INDEX(ProvMod,MATCH(G995,ProvCode,0)))*(1+PriceIndex)</f>
        <v/>
      </c>
      <c r="V995" s="47">
        <f>R995*U995*INDEX(FmtBlendedPriceIdx,MATCH(F995,FmtName,0))</f>
        <v/>
      </c>
      <c r="W995" s="47">
        <f>T995*INDEX(ProvSRP,MATCH(G995,ProvCode,0))*(1+PriceIndex)</f>
        <v/>
      </c>
      <c r="X995" s="47">
        <f>IF(GrossBasis="Wholesale",V995,W995)</f>
        <v/>
      </c>
      <c r="Y995" s="47">
        <f>R995*INDEX(FmtBlendedCogs,MATCH(F995,FmtName,0))</f>
        <v/>
      </c>
      <c r="Z995" s="47">
        <f>X995-Y995</f>
        <v/>
      </c>
    </row>
    <row r="996">
      <c r="A996" t="n">
        <v>41</v>
      </c>
      <c r="B996" s="44">
        <f>FiscalStart+(A996-1)*7</f>
        <v/>
      </c>
      <c r="C996">
        <f>TEXT(B996,"mmm yyyy")</f>
        <v/>
      </c>
      <c r="D996">
        <f>"Q"&amp;(INT((A996-1)/13)+1)</f>
        <v/>
      </c>
      <c r="E996" t="inlineStr">
        <is>
          <t>On Premise</t>
        </is>
      </c>
      <c r="F996">
        <f>IFERROR(INDEX(ChFormat,MATCH(E996,ChName,0)),"")</f>
        <v/>
      </c>
      <c r="G996" t="inlineStr">
        <is>
          <t>PE</t>
        </is>
      </c>
      <c r="H996">
        <f>IF(A996&lt;=NWeeks,1,0)</f>
        <v/>
      </c>
      <c r="I996">
        <f>INDEX(ChLaunch,MATCH(E996,ChName,0))</f>
        <v/>
      </c>
      <c r="J996">
        <f>INDEX(ChWeeksFull,MATCH(E996,ChName,0))</f>
        <v/>
      </c>
      <c r="K996">
        <f>INDEX(ChRamp,MATCH(E996,ChName,0))</f>
        <v/>
      </c>
      <c r="L996" s="45">
        <f>MIN(1,MAX(0,(A996-I996+1)*RampSpeed/J996))</f>
        <v/>
      </c>
      <c r="M996" s="45">
        <f>IF(A996&lt;I996,0,IF(K996="S-curve",L996*L996*(3-2*L996),L996))</f>
        <v/>
      </c>
      <c r="N996" s="45">
        <f>1+(INDEX(SeasonIdx,A996)-1)*SeasonAmp</f>
        <v/>
      </c>
      <c r="O996" s="45">
        <f>IFERROR(INDEX(PSPct,MATCH(E996&amp;"|"&amp;G996,PSKey,0)),0)</f>
        <v/>
      </c>
      <c r="P996" s="46">
        <f>INDEX(ChDoorVel,MATCH(E996,ChName,0))*CalibScalar*(1+VelocityUplift)</f>
        <v/>
      </c>
      <c r="Q996" s="46" t="n">
        <v>0</v>
      </c>
      <c r="R996" s="46">
        <f>P996*O996*M996*N996*H996</f>
        <v/>
      </c>
      <c r="S996" s="46">
        <f>R996*INDEX(FmtCansPerCase,MATCH(F996,FmtName,0))</f>
        <v/>
      </c>
      <c r="T996" s="46">
        <f>S996/INDEX(FmtCansPerPack,MATCH(F996,FmtName,0))</f>
        <v/>
      </c>
      <c r="U996" s="47">
        <f>INDEX(ChBaseCP,MATCH(E996,ChName,0))*(1+INDEX(ProvMod,MATCH(G996,ProvCode,0)))*(1+PriceIndex)</f>
        <v/>
      </c>
      <c r="V996" s="47">
        <f>R996*U996*INDEX(FmtBlendedPriceIdx,MATCH(F996,FmtName,0))</f>
        <v/>
      </c>
      <c r="W996" s="47">
        <f>T996*INDEX(ProvSRP,MATCH(G996,ProvCode,0))*(1+PriceIndex)</f>
        <v/>
      </c>
      <c r="X996" s="47">
        <f>IF(GrossBasis="Wholesale",V996,W996)</f>
        <v/>
      </c>
      <c r="Y996" s="47">
        <f>R996*INDEX(FmtBlendedCogs,MATCH(F996,FmtName,0))</f>
        <v/>
      </c>
      <c r="Z996" s="47">
        <f>X996-Y996</f>
        <v/>
      </c>
    </row>
    <row r="997">
      <c r="A997" t="n">
        <v>42</v>
      </c>
      <c r="B997" s="44">
        <f>FiscalStart+(A997-1)*7</f>
        <v/>
      </c>
      <c r="C997">
        <f>TEXT(B997,"mmm yyyy")</f>
        <v/>
      </c>
      <c r="D997">
        <f>"Q"&amp;(INT((A997-1)/13)+1)</f>
        <v/>
      </c>
      <c r="E997" t="inlineStr">
        <is>
          <t>On Premise</t>
        </is>
      </c>
      <c r="F997">
        <f>IFERROR(INDEX(ChFormat,MATCH(E997,ChName,0)),"")</f>
        <v/>
      </c>
      <c r="G997" t="inlineStr">
        <is>
          <t>PE</t>
        </is>
      </c>
      <c r="H997">
        <f>IF(A997&lt;=NWeeks,1,0)</f>
        <v/>
      </c>
      <c r="I997">
        <f>INDEX(ChLaunch,MATCH(E997,ChName,0))</f>
        <v/>
      </c>
      <c r="J997">
        <f>INDEX(ChWeeksFull,MATCH(E997,ChName,0))</f>
        <v/>
      </c>
      <c r="K997">
        <f>INDEX(ChRamp,MATCH(E997,ChName,0))</f>
        <v/>
      </c>
      <c r="L997" s="45">
        <f>MIN(1,MAX(0,(A997-I997+1)*RampSpeed/J997))</f>
        <v/>
      </c>
      <c r="M997" s="45">
        <f>IF(A997&lt;I997,0,IF(K997="S-curve",L997*L997*(3-2*L997),L997))</f>
        <v/>
      </c>
      <c r="N997" s="45">
        <f>1+(INDEX(SeasonIdx,A997)-1)*SeasonAmp</f>
        <v/>
      </c>
      <c r="O997" s="45">
        <f>IFERROR(INDEX(PSPct,MATCH(E997&amp;"|"&amp;G997,PSKey,0)),0)</f>
        <v/>
      </c>
      <c r="P997" s="46">
        <f>INDEX(ChDoorVel,MATCH(E997,ChName,0))*CalibScalar*(1+VelocityUplift)</f>
        <v/>
      </c>
      <c r="Q997" s="46" t="n">
        <v>0</v>
      </c>
      <c r="R997" s="46">
        <f>P997*O997*M997*N997*H997</f>
        <v/>
      </c>
      <c r="S997" s="46">
        <f>R997*INDEX(FmtCansPerCase,MATCH(F997,FmtName,0))</f>
        <v/>
      </c>
      <c r="T997" s="46">
        <f>S997/INDEX(FmtCansPerPack,MATCH(F997,FmtName,0))</f>
        <v/>
      </c>
      <c r="U997" s="47">
        <f>INDEX(ChBaseCP,MATCH(E997,ChName,0))*(1+INDEX(ProvMod,MATCH(G997,ProvCode,0)))*(1+PriceIndex)</f>
        <v/>
      </c>
      <c r="V997" s="47">
        <f>R997*U997*INDEX(FmtBlendedPriceIdx,MATCH(F997,FmtName,0))</f>
        <v/>
      </c>
      <c r="W997" s="47">
        <f>T997*INDEX(ProvSRP,MATCH(G997,ProvCode,0))*(1+PriceIndex)</f>
        <v/>
      </c>
      <c r="X997" s="47">
        <f>IF(GrossBasis="Wholesale",V997,W997)</f>
        <v/>
      </c>
      <c r="Y997" s="47">
        <f>R997*INDEX(FmtBlendedCogs,MATCH(F997,FmtName,0))</f>
        <v/>
      </c>
      <c r="Z997" s="47">
        <f>X997-Y997</f>
        <v/>
      </c>
    </row>
    <row r="998">
      <c r="A998" t="n">
        <v>43</v>
      </c>
      <c r="B998" s="44">
        <f>FiscalStart+(A998-1)*7</f>
        <v/>
      </c>
      <c r="C998">
        <f>TEXT(B998,"mmm yyyy")</f>
        <v/>
      </c>
      <c r="D998">
        <f>"Q"&amp;(INT((A998-1)/13)+1)</f>
        <v/>
      </c>
      <c r="E998" t="inlineStr">
        <is>
          <t>On Premise</t>
        </is>
      </c>
      <c r="F998">
        <f>IFERROR(INDEX(ChFormat,MATCH(E998,ChName,0)),"")</f>
        <v/>
      </c>
      <c r="G998" t="inlineStr">
        <is>
          <t>PE</t>
        </is>
      </c>
      <c r="H998">
        <f>IF(A998&lt;=NWeeks,1,0)</f>
        <v/>
      </c>
      <c r="I998">
        <f>INDEX(ChLaunch,MATCH(E998,ChName,0))</f>
        <v/>
      </c>
      <c r="J998">
        <f>INDEX(ChWeeksFull,MATCH(E998,ChName,0))</f>
        <v/>
      </c>
      <c r="K998">
        <f>INDEX(ChRamp,MATCH(E998,ChName,0))</f>
        <v/>
      </c>
      <c r="L998" s="45">
        <f>MIN(1,MAX(0,(A998-I998+1)*RampSpeed/J998))</f>
        <v/>
      </c>
      <c r="M998" s="45">
        <f>IF(A998&lt;I998,0,IF(K998="S-curve",L998*L998*(3-2*L998),L998))</f>
        <v/>
      </c>
      <c r="N998" s="45">
        <f>1+(INDEX(SeasonIdx,A998)-1)*SeasonAmp</f>
        <v/>
      </c>
      <c r="O998" s="45">
        <f>IFERROR(INDEX(PSPct,MATCH(E998&amp;"|"&amp;G998,PSKey,0)),0)</f>
        <v/>
      </c>
      <c r="P998" s="46">
        <f>INDEX(ChDoorVel,MATCH(E998,ChName,0))*CalibScalar*(1+VelocityUplift)</f>
        <v/>
      </c>
      <c r="Q998" s="46" t="n">
        <v>0</v>
      </c>
      <c r="R998" s="46">
        <f>P998*O998*M998*N998*H998</f>
        <v/>
      </c>
      <c r="S998" s="46">
        <f>R998*INDEX(FmtCansPerCase,MATCH(F998,FmtName,0))</f>
        <v/>
      </c>
      <c r="T998" s="46">
        <f>S998/INDEX(FmtCansPerPack,MATCH(F998,FmtName,0))</f>
        <v/>
      </c>
      <c r="U998" s="47">
        <f>INDEX(ChBaseCP,MATCH(E998,ChName,0))*(1+INDEX(ProvMod,MATCH(G998,ProvCode,0)))*(1+PriceIndex)</f>
        <v/>
      </c>
      <c r="V998" s="47">
        <f>R998*U998*INDEX(FmtBlendedPriceIdx,MATCH(F998,FmtName,0))</f>
        <v/>
      </c>
      <c r="W998" s="47">
        <f>T998*INDEX(ProvSRP,MATCH(G998,ProvCode,0))*(1+PriceIndex)</f>
        <v/>
      </c>
      <c r="X998" s="47">
        <f>IF(GrossBasis="Wholesale",V998,W998)</f>
        <v/>
      </c>
      <c r="Y998" s="47">
        <f>R998*INDEX(FmtBlendedCogs,MATCH(F998,FmtName,0))</f>
        <v/>
      </c>
      <c r="Z998" s="47">
        <f>X998-Y998</f>
        <v/>
      </c>
    </row>
    <row r="999">
      <c r="A999" t="n">
        <v>44</v>
      </c>
      <c r="B999" s="44">
        <f>FiscalStart+(A999-1)*7</f>
        <v/>
      </c>
      <c r="C999">
        <f>TEXT(B999,"mmm yyyy")</f>
        <v/>
      </c>
      <c r="D999">
        <f>"Q"&amp;(INT((A999-1)/13)+1)</f>
        <v/>
      </c>
      <c r="E999" t="inlineStr">
        <is>
          <t>On Premise</t>
        </is>
      </c>
      <c r="F999">
        <f>IFERROR(INDEX(ChFormat,MATCH(E999,ChName,0)),"")</f>
        <v/>
      </c>
      <c r="G999" t="inlineStr">
        <is>
          <t>PE</t>
        </is>
      </c>
      <c r="H999">
        <f>IF(A999&lt;=NWeeks,1,0)</f>
        <v/>
      </c>
      <c r="I999">
        <f>INDEX(ChLaunch,MATCH(E999,ChName,0))</f>
        <v/>
      </c>
      <c r="J999">
        <f>INDEX(ChWeeksFull,MATCH(E999,ChName,0))</f>
        <v/>
      </c>
      <c r="K999">
        <f>INDEX(ChRamp,MATCH(E999,ChName,0))</f>
        <v/>
      </c>
      <c r="L999" s="45">
        <f>MIN(1,MAX(0,(A999-I999+1)*RampSpeed/J999))</f>
        <v/>
      </c>
      <c r="M999" s="45">
        <f>IF(A999&lt;I999,0,IF(K999="S-curve",L999*L999*(3-2*L999),L999))</f>
        <v/>
      </c>
      <c r="N999" s="45">
        <f>1+(INDEX(SeasonIdx,A999)-1)*SeasonAmp</f>
        <v/>
      </c>
      <c r="O999" s="45">
        <f>IFERROR(INDEX(PSPct,MATCH(E999&amp;"|"&amp;G999,PSKey,0)),0)</f>
        <v/>
      </c>
      <c r="P999" s="46">
        <f>INDEX(ChDoorVel,MATCH(E999,ChName,0))*CalibScalar*(1+VelocityUplift)</f>
        <v/>
      </c>
      <c r="Q999" s="46" t="n">
        <v>0</v>
      </c>
      <c r="R999" s="46">
        <f>P999*O999*M999*N999*H999</f>
        <v/>
      </c>
      <c r="S999" s="46">
        <f>R999*INDEX(FmtCansPerCase,MATCH(F999,FmtName,0))</f>
        <v/>
      </c>
      <c r="T999" s="46">
        <f>S999/INDEX(FmtCansPerPack,MATCH(F999,FmtName,0))</f>
        <v/>
      </c>
      <c r="U999" s="47">
        <f>INDEX(ChBaseCP,MATCH(E999,ChName,0))*(1+INDEX(ProvMod,MATCH(G999,ProvCode,0)))*(1+PriceIndex)</f>
        <v/>
      </c>
      <c r="V999" s="47">
        <f>R999*U999*INDEX(FmtBlendedPriceIdx,MATCH(F999,FmtName,0))</f>
        <v/>
      </c>
      <c r="W999" s="47">
        <f>T999*INDEX(ProvSRP,MATCH(G999,ProvCode,0))*(1+PriceIndex)</f>
        <v/>
      </c>
      <c r="X999" s="47">
        <f>IF(GrossBasis="Wholesale",V999,W999)</f>
        <v/>
      </c>
      <c r="Y999" s="47">
        <f>R999*INDEX(FmtBlendedCogs,MATCH(F999,FmtName,0))</f>
        <v/>
      </c>
      <c r="Z999" s="47">
        <f>X999-Y999</f>
        <v/>
      </c>
    </row>
    <row r="1000">
      <c r="A1000" t="n">
        <v>45</v>
      </c>
      <c r="B1000" s="44">
        <f>FiscalStart+(A1000-1)*7</f>
        <v/>
      </c>
      <c r="C1000">
        <f>TEXT(B1000,"mmm yyyy")</f>
        <v/>
      </c>
      <c r="D1000">
        <f>"Q"&amp;(INT((A1000-1)/13)+1)</f>
        <v/>
      </c>
      <c r="E1000" t="inlineStr">
        <is>
          <t>On Premise</t>
        </is>
      </c>
      <c r="F1000">
        <f>IFERROR(INDEX(ChFormat,MATCH(E1000,ChName,0)),"")</f>
        <v/>
      </c>
      <c r="G1000" t="inlineStr">
        <is>
          <t>PE</t>
        </is>
      </c>
      <c r="H1000">
        <f>IF(A1000&lt;=NWeeks,1,0)</f>
        <v/>
      </c>
      <c r="I1000">
        <f>INDEX(ChLaunch,MATCH(E1000,ChName,0))</f>
        <v/>
      </c>
      <c r="J1000">
        <f>INDEX(ChWeeksFull,MATCH(E1000,ChName,0))</f>
        <v/>
      </c>
      <c r="K1000">
        <f>INDEX(ChRamp,MATCH(E1000,ChName,0))</f>
        <v/>
      </c>
      <c r="L1000" s="45">
        <f>MIN(1,MAX(0,(A1000-I1000+1)*RampSpeed/J1000))</f>
        <v/>
      </c>
      <c r="M1000" s="45">
        <f>IF(A1000&lt;I1000,0,IF(K1000="S-curve",L1000*L1000*(3-2*L1000),L1000))</f>
        <v/>
      </c>
      <c r="N1000" s="45">
        <f>1+(INDEX(SeasonIdx,A1000)-1)*SeasonAmp</f>
        <v/>
      </c>
      <c r="O1000" s="45">
        <f>IFERROR(INDEX(PSPct,MATCH(E1000&amp;"|"&amp;G1000,PSKey,0)),0)</f>
        <v/>
      </c>
      <c r="P1000" s="46">
        <f>INDEX(ChDoorVel,MATCH(E1000,ChName,0))*CalibScalar*(1+VelocityUplift)</f>
        <v/>
      </c>
      <c r="Q1000" s="46" t="n">
        <v>0</v>
      </c>
      <c r="R1000" s="46">
        <f>P1000*O1000*M1000*N1000*H1000</f>
        <v/>
      </c>
      <c r="S1000" s="46">
        <f>R1000*INDEX(FmtCansPerCase,MATCH(F1000,FmtName,0))</f>
        <v/>
      </c>
      <c r="T1000" s="46">
        <f>S1000/INDEX(FmtCansPerPack,MATCH(F1000,FmtName,0))</f>
        <v/>
      </c>
      <c r="U1000" s="47">
        <f>INDEX(ChBaseCP,MATCH(E1000,ChName,0))*(1+INDEX(ProvMod,MATCH(G1000,ProvCode,0)))*(1+PriceIndex)</f>
        <v/>
      </c>
      <c r="V1000" s="47">
        <f>R1000*U1000*INDEX(FmtBlendedPriceIdx,MATCH(F1000,FmtName,0))</f>
        <v/>
      </c>
      <c r="W1000" s="47">
        <f>T1000*INDEX(ProvSRP,MATCH(G1000,ProvCode,0))*(1+PriceIndex)</f>
        <v/>
      </c>
      <c r="X1000" s="47">
        <f>IF(GrossBasis="Wholesale",V1000,W1000)</f>
        <v/>
      </c>
      <c r="Y1000" s="47">
        <f>R1000*INDEX(FmtBlendedCogs,MATCH(F1000,FmtName,0))</f>
        <v/>
      </c>
      <c r="Z1000" s="47">
        <f>X1000-Y1000</f>
        <v/>
      </c>
    </row>
    <row r="1001">
      <c r="A1001" t="n">
        <v>46</v>
      </c>
      <c r="B1001" s="44">
        <f>FiscalStart+(A1001-1)*7</f>
        <v/>
      </c>
      <c r="C1001">
        <f>TEXT(B1001,"mmm yyyy")</f>
        <v/>
      </c>
      <c r="D1001">
        <f>"Q"&amp;(INT((A1001-1)/13)+1)</f>
        <v/>
      </c>
      <c r="E1001" t="inlineStr">
        <is>
          <t>On Premise</t>
        </is>
      </c>
      <c r="F1001">
        <f>IFERROR(INDEX(ChFormat,MATCH(E1001,ChName,0)),"")</f>
        <v/>
      </c>
      <c r="G1001" t="inlineStr">
        <is>
          <t>PE</t>
        </is>
      </c>
      <c r="H1001">
        <f>IF(A1001&lt;=NWeeks,1,0)</f>
        <v/>
      </c>
      <c r="I1001">
        <f>INDEX(ChLaunch,MATCH(E1001,ChName,0))</f>
        <v/>
      </c>
      <c r="J1001">
        <f>INDEX(ChWeeksFull,MATCH(E1001,ChName,0))</f>
        <v/>
      </c>
      <c r="K1001">
        <f>INDEX(ChRamp,MATCH(E1001,ChName,0))</f>
        <v/>
      </c>
      <c r="L1001" s="45">
        <f>MIN(1,MAX(0,(A1001-I1001+1)*RampSpeed/J1001))</f>
        <v/>
      </c>
      <c r="M1001" s="45">
        <f>IF(A1001&lt;I1001,0,IF(K1001="S-curve",L1001*L1001*(3-2*L1001),L1001))</f>
        <v/>
      </c>
      <c r="N1001" s="45">
        <f>1+(INDEX(SeasonIdx,A1001)-1)*SeasonAmp</f>
        <v/>
      </c>
      <c r="O1001" s="45">
        <f>IFERROR(INDEX(PSPct,MATCH(E1001&amp;"|"&amp;G1001,PSKey,0)),0)</f>
        <v/>
      </c>
      <c r="P1001" s="46">
        <f>INDEX(ChDoorVel,MATCH(E1001,ChName,0))*CalibScalar*(1+VelocityUplift)</f>
        <v/>
      </c>
      <c r="Q1001" s="46" t="n">
        <v>0</v>
      </c>
      <c r="R1001" s="46">
        <f>P1001*O1001*M1001*N1001*H1001</f>
        <v/>
      </c>
      <c r="S1001" s="46">
        <f>R1001*INDEX(FmtCansPerCase,MATCH(F1001,FmtName,0))</f>
        <v/>
      </c>
      <c r="T1001" s="46">
        <f>S1001/INDEX(FmtCansPerPack,MATCH(F1001,FmtName,0))</f>
        <v/>
      </c>
      <c r="U1001" s="47">
        <f>INDEX(ChBaseCP,MATCH(E1001,ChName,0))*(1+INDEX(ProvMod,MATCH(G1001,ProvCode,0)))*(1+PriceIndex)</f>
        <v/>
      </c>
      <c r="V1001" s="47">
        <f>R1001*U1001*INDEX(FmtBlendedPriceIdx,MATCH(F1001,FmtName,0))</f>
        <v/>
      </c>
      <c r="W1001" s="47">
        <f>T1001*INDEX(ProvSRP,MATCH(G1001,ProvCode,0))*(1+PriceIndex)</f>
        <v/>
      </c>
      <c r="X1001" s="47">
        <f>IF(GrossBasis="Wholesale",V1001,W1001)</f>
        <v/>
      </c>
      <c r="Y1001" s="47">
        <f>R1001*INDEX(FmtBlendedCogs,MATCH(F1001,FmtName,0))</f>
        <v/>
      </c>
      <c r="Z1001" s="47">
        <f>X1001-Y1001</f>
        <v/>
      </c>
    </row>
    <row r="1002">
      <c r="A1002" t="n">
        <v>47</v>
      </c>
      <c r="B1002" s="44">
        <f>FiscalStart+(A1002-1)*7</f>
        <v/>
      </c>
      <c r="C1002">
        <f>TEXT(B1002,"mmm yyyy")</f>
        <v/>
      </c>
      <c r="D1002">
        <f>"Q"&amp;(INT((A1002-1)/13)+1)</f>
        <v/>
      </c>
      <c r="E1002" t="inlineStr">
        <is>
          <t>On Premise</t>
        </is>
      </c>
      <c r="F1002">
        <f>IFERROR(INDEX(ChFormat,MATCH(E1002,ChName,0)),"")</f>
        <v/>
      </c>
      <c r="G1002" t="inlineStr">
        <is>
          <t>PE</t>
        </is>
      </c>
      <c r="H1002">
        <f>IF(A1002&lt;=NWeeks,1,0)</f>
        <v/>
      </c>
      <c r="I1002">
        <f>INDEX(ChLaunch,MATCH(E1002,ChName,0))</f>
        <v/>
      </c>
      <c r="J1002">
        <f>INDEX(ChWeeksFull,MATCH(E1002,ChName,0))</f>
        <v/>
      </c>
      <c r="K1002">
        <f>INDEX(ChRamp,MATCH(E1002,ChName,0))</f>
        <v/>
      </c>
      <c r="L1002" s="45">
        <f>MIN(1,MAX(0,(A1002-I1002+1)*RampSpeed/J1002))</f>
        <v/>
      </c>
      <c r="M1002" s="45">
        <f>IF(A1002&lt;I1002,0,IF(K1002="S-curve",L1002*L1002*(3-2*L1002),L1002))</f>
        <v/>
      </c>
      <c r="N1002" s="45">
        <f>1+(INDEX(SeasonIdx,A1002)-1)*SeasonAmp</f>
        <v/>
      </c>
      <c r="O1002" s="45">
        <f>IFERROR(INDEX(PSPct,MATCH(E1002&amp;"|"&amp;G1002,PSKey,0)),0)</f>
        <v/>
      </c>
      <c r="P1002" s="46">
        <f>INDEX(ChDoorVel,MATCH(E1002,ChName,0))*CalibScalar*(1+VelocityUplift)</f>
        <v/>
      </c>
      <c r="Q1002" s="46" t="n">
        <v>0</v>
      </c>
      <c r="R1002" s="46">
        <f>P1002*O1002*M1002*N1002*H1002</f>
        <v/>
      </c>
      <c r="S1002" s="46">
        <f>R1002*INDEX(FmtCansPerCase,MATCH(F1002,FmtName,0))</f>
        <v/>
      </c>
      <c r="T1002" s="46">
        <f>S1002/INDEX(FmtCansPerPack,MATCH(F1002,FmtName,0))</f>
        <v/>
      </c>
      <c r="U1002" s="47">
        <f>INDEX(ChBaseCP,MATCH(E1002,ChName,0))*(1+INDEX(ProvMod,MATCH(G1002,ProvCode,0)))*(1+PriceIndex)</f>
        <v/>
      </c>
      <c r="V1002" s="47">
        <f>R1002*U1002*INDEX(FmtBlendedPriceIdx,MATCH(F1002,FmtName,0))</f>
        <v/>
      </c>
      <c r="W1002" s="47">
        <f>T1002*INDEX(ProvSRP,MATCH(G1002,ProvCode,0))*(1+PriceIndex)</f>
        <v/>
      </c>
      <c r="X1002" s="47">
        <f>IF(GrossBasis="Wholesale",V1002,W1002)</f>
        <v/>
      </c>
      <c r="Y1002" s="47">
        <f>R1002*INDEX(FmtBlendedCogs,MATCH(F1002,FmtName,0))</f>
        <v/>
      </c>
      <c r="Z1002" s="47">
        <f>X1002-Y1002</f>
        <v/>
      </c>
    </row>
    <row r="1003">
      <c r="A1003" t="n">
        <v>48</v>
      </c>
      <c r="B1003" s="44">
        <f>FiscalStart+(A1003-1)*7</f>
        <v/>
      </c>
      <c r="C1003">
        <f>TEXT(B1003,"mmm yyyy")</f>
        <v/>
      </c>
      <c r="D1003">
        <f>"Q"&amp;(INT((A1003-1)/13)+1)</f>
        <v/>
      </c>
      <c r="E1003" t="inlineStr">
        <is>
          <t>On Premise</t>
        </is>
      </c>
      <c r="F1003">
        <f>IFERROR(INDEX(ChFormat,MATCH(E1003,ChName,0)),"")</f>
        <v/>
      </c>
      <c r="G1003" t="inlineStr">
        <is>
          <t>PE</t>
        </is>
      </c>
      <c r="H1003">
        <f>IF(A1003&lt;=NWeeks,1,0)</f>
        <v/>
      </c>
      <c r="I1003">
        <f>INDEX(ChLaunch,MATCH(E1003,ChName,0))</f>
        <v/>
      </c>
      <c r="J1003">
        <f>INDEX(ChWeeksFull,MATCH(E1003,ChName,0))</f>
        <v/>
      </c>
      <c r="K1003">
        <f>INDEX(ChRamp,MATCH(E1003,ChName,0))</f>
        <v/>
      </c>
      <c r="L1003" s="45">
        <f>MIN(1,MAX(0,(A1003-I1003+1)*RampSpeed/J1003))</f>
        <v/>
      </c>
      <c r="M1003" s="45">
        <f>IF(A1003&lt;I1003,0,IF(K1003="S-curve",L1003*L1003*(3-2*L1003),L1003))</f>
        <v/>
      </c>
      <c r="N1003" s="45">
        <f>1+(INDEX(SeasonIdx,A1003)-1)*SeasonAmp</f>
        <v/>
      </c>
      <c r="O1003" s="45">
        <f>IFERROR(INDEX(PSPct,MATCH(E1003&amp;"|"&amp;G1003,PSKey,0)),0)</f>
        <v/>
      </c>
      <c r="P1003" s="46">
        <f>INDEX(ChDoorVel,MATCH(E1003,ChName,0))*CalibScalar*(1+VelocityUplift)</f>
        <v/>
      </c>
      <c r="Q1003" s="46" t="n">
        <v>0</v>
      </c>
      <c r="R1003" s="46">
        <f>P1003*O1003*M1003*N1003*H1003</f>
        <v/>
      </c>
      <c r="S1003" s="46">
        <f>R1003*INDEX(FmtCansPerCase,MATCH(F1003,FmtName,0))</f>
        <v/>
      </c>
      <c r="T1003" s="46">
        <f>S1003/INDEX(FmtCansPerPack,MATCH(F1003,FmtName,0))</f>
        <v/>
      </c>
      <c r="U1003" s="47">
        <f>INDEX(ChBaseCP,MATCH(E1003,ChName,0))*(1+INDEX(ProvMod,MATCH(G1003,ProvCode,0)))*(1+PriceIndex)</f>
        <v/>
      </c>
      <c r="V1003" s="47">
        <f>R1003*U1003*INDEX(FmtBlendedPriceIdx,MATCH(F1003,FmtName,0))</f>
        <v/>
      </c>
      <c r="W1003" s="47">
        <f>T1003*INDEX(ProvSRP,MATCH(G1003,ProvCode,0))*(1+PriceIndex)</f>
        <v/>
      </c>
      <c r="X1003" s="47">
        <f>IF(GrossBasis="Wholesale",V1003,W1003)</f>
        <v/>
      </c>
      <c r="Y1003" s="47">
        <f>R1003*INDEX(FmtBlendedCogs,MATCH(F1003,FmtName,0))</f>
        <v/>
      </c>
      <c r="Z1003" s="47">
        <f>X1003-Y1003</f>
        <v/>
      </c>
    </row>
    <row r="1004">
      <c r="A1004" t="n">
        <v>49</v>
      </c>
      <c r="B1004" s="44">
        <f>FiscalStart+(A1004-1)*7</f>
        <v/>
      </c>
      <c r="C1004">
        <f>TEXT(B1004,"mmm yyyy")</f>
        <v/>
      </c>
      <c r="D1004">
        <f>"Q"&amp;(INT((A1004-1)/13)+1)</f>
        <v/>
      </c>
      <c r="E1004" t="inlineStr">
        <is>
          <t>On Premise</t>
        </is>
      </c>
      <c r="F1004">
        <f>IFERROR(INDEX(ChFormat,MATCH(E1004,ChName,0)),"")</f>
        <v/>
      </c>
      <c r="G1004" t="inlineStr">
        <is>
          <t>PE</t>
        </is>
      </c>
      <c r="H1004">
        <f>IF(A1004&lt;=NWeeks,1,0)</f>
        <v/>
      </c>
      <c r="I1004">
        <f>INDEX(ChLaunch,MATCH(E1004,ChName,0))</f>
        <v/>
      </c>
      <c r="J1004">
        <f>INDEX(ChWeeksFull,MATCH(E1004,ChName,0))</f>
        <v/>
      </c>
      <c r="K1004">
        <f>INDEX(ChRamp,MATCH(E1004,ChName,0))</f>
        <v/>
      </c>
      <c r="L1004" s="45">
        <f>MIN(1,MAX(0,(A1004-I1004+1)*RampSpeed/J1004))</f>
        <v/>
      </c>
      <c r="M1004" s="45">
        <f>IF(A1004&lt;I1004,0,IF(K1004="S-curve",L1004*L1004*(3-2*L1004),L1004))</f>
        <v/>
      </c>
      <c r="N1004" s="45">
        <f>1+(INDEX(SeasonIdx,A1004)-1)*SeasonAmp</f>
        <v/>
      </c>
      <c r="O1004" s="45">
        <f>IFERROR(INDEX(PSPct,MATCH(E1004&amp;"|"&amp;G1004,PSKey,0)),0)</f>
        <v/>
      </c>
      <c r="P1004" s="46">
        <f>INDEX(ChDoorVel,MATCH(E1004,ChName,0))*CalibScalar*(1+VelocityUplift)</f>
        <v/>
      </c>
      <c r="Q1004" s="46" t="n">
        <v>0</v>
      </c>
      <c r="R1004" s="46">
        <f>P1004*O1004*M1004*N1004*H1004</f>
        <v/>
      </c>
      <c r="S1004" s="46">
        <f>R1004*INDEX(FmtCansPerCase,MATCH(F1004,FmtName,0))</f>
        <v/>
      </c>
      <c r="T1004" s="46">
        <f>S1004/INDEX(FmtCansPerPack,MATCH(F1004,FmtName,0))</f>
        <v/>
      </c>
      <c r="U1004" s="47">
        <f>INDEX(ChBaseCP,MATCH(E1004,ChName,0))*(1+INDEX(ProvMod,MATCH(G1004,ProvCode,0)))*(1+PriceIndex)</f>
        <v/>
      </c>
      <c r="V1004" s="47">
        <f>R1004*U1004*INDEX(FmtBlendedPriceIdx,MATCH(F1004,FmtName,0))</f>
        <v/>
      </c>
      <c r="W1004" s="47">
        <f>T1004*INDEX(ProvSRP,MATCH(G1004,ProvCode,0))*(1+PriceIndex)</f>
        <v/>
      </c>
      <c r="X1004" s="47">
        <f>IF(GrossBasis="Wholesale",V1004,W1004)</f>
        <v/>
      </c>
      <c r="Y1004" s="47">
        <f>R1004*INDEX(FmtBlendedCogs,MATCH(F1004,FmtName,0))</f>
        <v/>
      </c>
      <c r="Z1004" s="47">
        <f>X1004-Y1004</f>
        <v/>
      </c>
    </row>
    <row r="1005">
      <c r="A1005" t="n">
        <v>50</v>
      </c>
      <c r="B1005" s="44">
        <f>FiscalStart+(A1005-1)*7</f>
        <v/>
      </c>
      <c r="C1005">
        <f>TEXT(B1005,"mmm yyyy")</f>
        <v/>
      </c>
      <c r="D1005">
        <f>"Q"&amp;(INT((A1005-1)/13)+1)</f>
        <v/>
      </c>
      <c r="E1005" t="inlineStr">
        <is>
          <t>On Premise</t>
        </is>
      </c>
      <c r="F1005">
        <f>IFERROR(INDEX(ChFormat,MATCH(E1005,ChName,0)),"")</f>
        <v/>
      </c>
      <c r="G1005" t="inlineStr">
        <is>
          <t>PE</t>
        </is>
      </c>
      <c r="H1005">
        <f>IF(A1005&lt;=NWeeks,1,0)</f>
        <v/>
      </c>
      <c r="I1005">
        <f>INDEX(ChLaunch,MATCH(E1005,ChName,0))</f>
        <v/>
      </c>
      <c r="J1005">
        <f>INDEX(ChWeeksFull,MATCH(E1005,ChName,0))</f>
        <v/>
      </c>
      <c r="K1005">
        <f>INDEX(ChRamp,MATCH(E1005,ChName,0))</f>
        <v/>
      </c>
      <c r="L1005" s="45">
        <f>MIN(1,MAX(0,(A1005-I1005+1)*RampSpeed/J1005))</f>
        <v/>
      </c>
      <c r="M1005" s="45">
        <f>IF(A1005&lt;I1005,0,IF(K1005="S-curve",L1005*L1005*(3-2*L1005),L1005))</f>
        <v/>
      </c>
      <c r="N1005" s="45">
        <f>1+(INDEX(SeasonIdx,A1005)-1)*SeasonAmp</f>
        <v/>
      </c>
      <c r="O1005" s="45">
        <f>IFERROR(INDEX(PSPct,MATCH(E1005&amp;"|"&amp;G1005,PSKey,0)),0)</f>
        <v/>
      </c>
      <c r="P1005" s="46">
        <f>INDEX(ChDoorVel,MATCH(E1005,ChName,0))*CalibScalar*(1+VelocityUplift)</f>
        <v/>
      </c>
      <c r="Q1005" s="46" t="n">
        <v>0</v>
      </c>
      <c r="R1005" s="46">
        <f>P1005*O1005*M1005*N1005*H1005</f>
        <v/>
      </c>
      <c r="S1005" s="46">
        <f>R1005*INDEX(FmtCansPerCase,MATCH(F1005,FmtName,0))</f>
        <v/>
      </c>
      <c r="T1005" s="46">
        <f>S1005/INDEX(FmtCansPerPack,MATCH(F1005,FmtName,0))</f>
        <v/>
      </c>
      <c r="U1005" s="47">
        <f>INDEX(ChBaseCP,MATCH(E1005,ChName,0))*(1+INDEX(ProvMod,MATCH(G1005,ProvCode,0)))*(1+PriceIndex)</f>
        <v/>
      </c>
      <c r="V1005" s="47">
        <f>R1005*U1005*INDEX(FmtBlendedPriceIdx,MATCH(F1005,FmtName,0))</f>
        <v/>
      </c>
      <c r="W1005" s="47">
        <f>T1005*INDEX(ProvSRP,MATCH(G1005,ProvCode,0))*(1+PriceIndex)</f>
        <v/>
      </c>
      <c r="X1005" s="47">
        <f>IF(GrossBasis="Wholesale",V1005,W1005)</f>
        <v/>
      </c>
      <c r="Y1005" s="47">
        <f>R1005*INDEX(FmtBlendedCogs,MATCH(F1005,FmtName,0))</f>
        <v/>
      </c>
      <c r="Z1005" s="47">
        <f>X1005-Y1005</f>
        <v/>
      </c>
    </row>
    <row r="1006">
      <c r="A1006" t="n">
        <v>51</v>
      </c>
      <c r="B1006" s="44">
        <f>FiscalStart+(A1006-1)*7</f>
        <v/>
      </c>
      <c r="C1006">
        <f>TEXT(B1006,"mmm yyyy")</f>
        <v/>
      </c>
      <c r="D1006">
        <f>"Q"&amp;(INT((A1006-1)/13)+1)</f>
        <v/>
      </c>
      <c r="E1006" t="inlineStr">
        <is>
          <t>On Premise</t>
        </is>
      </c>
      <c r="F1006">
        <f>IFERROR(INDEX(ChFormat,MATCH(E1006,ChName,0)),"")</f>
        <v/>
      </c>
      <c r="G1006" t="inlineStr">
        <is>
          <t>PE</t>
        </is>
      </c>
      <c r="H1006">
        <f>IF(A1006&lt;=NWeeks,1,0)</f>
        <v/>
      </c>
      <c r="I1006">
        <f>INDEX(ChLaunch,MATCH(E1006,ChName,0))</f>
        <v/>
      </c>
      <c r="J1006">
        <f>INDEX(ChWeeksFull,MATCH(E1006,ChName,0))</f>
        <v/>
      </c>
      <c r="K1006">
        <f>INDEX(ChRamp,MATCH(E1006,ChName,0))</f>
        <v/>
      </c>
      <c r="L1006" s="45">
        <f>MIN(1,MAX(0,(A1006-I1006+1)*RampSpeed/J1006))</f>
        <v/>
      </c>
      <c r="M1006" s="45">
        <f>IF(A1006&lt;I1006,0,IF(K1006="S-curve",L1006*L1006*(3-2*L1006),L1006))</f>
        <v/>
      </c>
      <c r="N1006" s="45">
        <f>1+(INDEX(SeasonIdx,A1006)-1)*SeasonAmp</f>
        <v/>
      </c>
      <c r="O1006" s="45">
        <f>IFERROR(INDEX(PSPct,MATCH(E1006&amp;"|"&amp;G1006,PSKey,0)),0)</f>
        <v/>
      </c>
      <c r="P1006" s="46">
        <f>INDEX(ChDoorVel,MATCH(E1006,ChName,0))*CalibScalar*(1+VelocityUplift)</f>
        <v/>
      </c>
      <c r="Q1006" s="46" t="n">
        <v>0</v>
      </c>
      <c r="R1006" s="46">
        <f>P1006*O1006*M1006*N1006*H1006</f>
        <v/>
      </c>
      <c r="S1006" s="46">
        <f>R1006*INDEX(FmtCansPerCase,MATCH(F1006,FmtName,0))</f>
        <v/>
      </c>
      <c r="T1006" s="46">
        <f>S1006/INDEX(FmtCansPerPack,MATCH(F1006,FmtName,0))</f>
        <v/>
      </c>
      <c r="U1006" s="47">
        <f>INDEX(ChBaseCP,MATCH(E1006,ChName,0))*(1+INDEX(ProvMod,MATCH(G1006,ProvCode,0)))*(1+PriceIndex)</f>
        <v/>
      </c>
      <c r="V1006" s="47">
        <f>R1006*U1006*INDEX(FmtBlendedPriceIdx,MATCH(F1006,FmtName,0))</f>
        <v/>
      </c>
      <c r="W1006" s="47">
        <f>T1006*INDEX(ProvSRP,MATCH(G1006,ProvCode,0))*(1+PriceIndex)</f>
        <v/>
      </c>
      <c r="X1006" s="47">
        <f>IF(GrossBasis="Wholesale",V1006,W1006)</f>
        <v/>
      </c>
      <c r="Y1006" s="47">
        <f>R1006*INDEX(FmtBlendedCogs,MATCH(F1006,FmtName,0))</f>
        <v/>
      </c>
      <c r="Z1006" s="47">
        <f>X1006-Y1006</f>
        <v/>
      </c>
    </row>
    <row r="1007">
      <c r="A1007" t="n">
        <v>52</v>
      </c>
      <c r="B1007" s="44">
        <f>FiscalStart+(A1007-1)*7</f>
        <v/>
      </c>
      <c r="C1007">
        <f>TEXT(B1007,"mmm yyyy")</f>
        <v/>
      </c>
      <c r="D1007">
        <f>"Q"&amp;(INT((A1007-1)/13)+1)</f>
        <v/>
      </c>
      <c r="E1007" t="inlineStr">
        <is>
          <t>On Premise</t>
        </is>
      </c>
      <c r="F1007">
        <f>IFERROR(INDEX(ChFormat,MATCH(E1007,ChName,0)),"")</f>
        <v/>
      </c>
      <c r="G1007" t="inlineStr">
        <is>
          <t>PE</t>
        </is>
      </c>
      <c r="H1007">
        <f>IF(A1007&lt;=NWeeks,1,0)</f>
        <v/>
      </c>
      <c r="I1007">
        <f>INDEX(ChLaunch,MATCH(E1007,ChName,0))</f>
        <v/>
      </c>
      <c r="J1007">
        <f>INDEX(ChWeeksFull,MATCH(E1007,ChName,0))</f>
        <v/>
      </c>
      <c r="K1007">
        <f>INDEX(ChRamp,MATCH(E1007,ChName,0))</f>
        <v/>
      </c>
      <c r="L1007" s="45">
        <f>MIN(1,MAX(0,(A1007-I1007+1)*RampSpeed/J1007))</f>
        <v/>
      </c>
      <c r="M1007" s="45">
        <f>IF(A1007&lt;I1007,0,IF(K1007="S-curve",L1007*L1007*(3-2*L1007),L1007))</f>
        <v/>
      </c>
      <c r="N1007" s="45">
        <f>1+(INDEX(SeasonIdx,A1007)-1)*SeasonAmp</f>
        <v/>
      </c>
      <c r="O1007" s="45">
        <f>IFERROR(INDEX(PSPct,MATCH(E1007&amp;"|"&amp;G1007,PSKey,0)),0)</f>
        <v/>
      </c>
      <c r="P1007" s="46">
        <f>INDEX(ChDoorVel,MATCH(E1007,ChName,0))*CalibScalar*(1+VelocityUplift)</f>
        <v/>
      </c>
      <c r="Q1007" s="46" t="n">
        <v>0</v>
      </c>
      <c r="R1007" s="46">
        <f>P1007*O1007*M1007*N1007*H1007</f>
        <v/>
      </c>
      <c r="S1007" s="46">
        <f>R1007*INDEX(FmtCansPerCase,MATCH(F1007,FmtName,0))</f>
        <v/>
      </c>
      <c r="T1007" s="46">
        <f>S1007/INDEX(FmtCansPerPack,MATCH(F1007,FmtName,0))</f>
        <v/>
      </c>
      <c r="U1007" s="47">
        <f>INDEX(ChBaseCP,MATCH(E1007,ChName,0))*(1+INDEX(ProvMod,MATCH(G1007,ProvCode,0)))*(1+PriceIndex)</f>
        <v/>
      </c>
      <c r="V1007" s="47">
        <f>R1007*U1007*INDEX(FmtBlendedPriceIdx,MATCH(F1007,FmtName,0))</f>
        <v/>
      </c>
      <c r="W1007" s="47">
        <f>T1007*INDEX(ProvSRP,MATCH(G1007,ProvCode,0))*(1+PriceIndex)</f>
        <v/>
      </c>
      <c r="X1007" s="47">
        <f>IF(GrossBasis="Wholesale",V1007,W1007)</f>
        <v/>
      </c>
      <c r="Y1007" s="47">
        <f>R1007*INDEX(FmtBlendedCogs,MATCH(F1007,FmtName,0))</f>
        <v/>
      </c>
      <c r="Z1007" s="47">
        <f>X1007-Y1007</f>
        <v/>
      </c>
    </row>
    <row r="1008">
      <c r="A1008" t="n">
        <v>53</v>
      </c>
      <c r="B1008" s="44">
        <f>FiscalStart+(A1008-1)*7</f>
        <v/>
      </c>
      <c r="C1008">
        <f>TEXT(B1008,"mmm yyyy")</f>
        <v/>
      </c>
      <c r="D1008">
        <f>"Q"&amp;(INT((A1008-1)/13)+1)</f>
        <v/>
      </c>
      <c r="E1008" t="inlineStr">
        <is>
          <t>On Premise</t>
        </is>
      </c>
      <c r="F1008">
        <f>IFERROR(INDEX(ChFormat,MATCH(E1008,ChName,0)),"")</f>
        <v/>
      </c>
      <c r="G1008" t="inlineStr">
        <is>
          <t>PE</t>
        </is>
      </c>
      <c r="H1008">
        <f>IF(A1008&lt;=NWeeks,1,0)</f>
        <v/>
      </c>
      <c r="I1008">
        <f>INDEX(ChLaunch,MATCH(E1008,ChName,0))</f>
        <v/>
      </c>
      <c r="J1008">
        <f>INDEX(ChWeeksFull,MATCH(E1008,ChName,0))</f>
        <v/>
      </c>
      <c r="K1008">
        <f>INDEX(ChRamp,MATCH(E1008,ChName,0))</f>
        <v/>
      </c>
      <c r="L1008" s="45">
        <f>MIN(1,MAX(0,(A1008-I1008+1)*RampSpeed/J1008))</f>
        <v/>
      </c>
      <c r="M1008" s="45">
        <f>IF(A1008&lt;I1008,0,IF(K1008="S-curve",L1008*L1008*(3-2*L1008),L1008))</f>
        <v/>
      </c>
      <c r="N1008" s="45">
        <f>1+(INDEX(SeasonIdx,A1008)-1)*SeasonAmp</f>
        <v/>
      </c>
      <c r="O1008" s="45">
        <f>IFERROR(INDEX(PSPct,MATCH(E1008&amp;"|"&amp;G1008,PSKey,0)),0)</f>
        <v/>
      </c>
      <c r="P1008" s="46">
        <f>INDEX(ChDoorVel,MATCH(E1008,ChName,0))*CalibScalar*(1+VelocityUplift)</f>
        <v/>
      </c>
      <c r="Q1008" s="46" t="n">
        <v>0</v>
      </c>
      <c r="R1008" s="46">
        <f>P1008*O1008*M1008*N1008*H1008</f>
        <v/>
      </c>
      <c r="S1008" s="46">
        <f>R1008*INDEX(FmtCansPerCase,MATCH(F1008,FmtName,0))</f>
        <v/>
      </c>
      <c r="T1008" s="46">
        <f>S1008/INDEX(FmtCansPerPack,MATCH(F1008,FmtName,0))</f>
        <v/>
      </c>
      <c r="U1008" s="47">
        <f>INDEX(ChBaseCP,MATCH(E1008,ChName,0))*(1+INDEX(ProvMod,MATCH(G1008,ProvCode,0)))*(1+PriceIndex)</f>
        <v/>
      </c>
      <c r="V1008" s="47">
        <f>R1008*U1008*INDEX(FmtBlendedPriceIdx,MATCH(F1008,FmtName,0))</f>
        <v/>
      </c>
      <c r="W1008" s="47">
        <f>T1008*INDEX(ProvSRP,MATCH(G1008,ProvCode,0))*(1+PriceIndex)</f>
        <v/>
      </c>
      <c r="X1008" s="47">
        <f>IF(GrossBasis="Wholesale",V1008,W1008)</f>
        <v/>
      </c>
      <c r="Y1008" s="47">
        <f>R1008*INDEX(FmtBlendedCogs,MATCH(F1008,FmtName,0))</f>
        <v/>
      </c>
      <c r="Z1008" s="47">
        <f>X1008-Y1008</f>
        <v/>
      </c>
    </row>
    <row r="1009">
      <c r="A1009" t="n">
        <v>1</v>
      </c>
      <c r="B1009" s="44">
        <f>FiscalStart+(A1009-1)*7</f>
        <v/>
      </c>
      <c r="C1009">
        <f>TEXT(B1009,"mmm yyyy")</f>
        <v/>
      </c>
      <c r="D1009">
        <f>"Q"&amp;(INT((A1009-1)/13)+1)</f>
        <v/>
      </c>
      <c r="E1009" t="inlineStr">
        <is>
          <t>On Premise</t>
        </is>
      </c>
      <c r="F1009">
        <f>IFERROR(INDEX(ChFormat,MATCH(E1009,ChName,0)),"")</f>
        <v/>
      </c>
      <c r="G1009" t="inlineStr">
        <is>
          <t>NL</t>
        </is>
      </c>
      <c r="H1009">
        <f>IF(A1009&lt;=NWeeks,1,0)</f>
        <v/>
      </c>
      <c r="I1009">
        <f>INDEX(ChLaunch,MATCH(E1009,ChName,0))</f>
        <v/>
      </c>
      <c r="J1009">
        <f>INDEX(ChWeeksFull,MATCH(E1009,ChName,0))</f>
        <v/>
      </c>
      <c r="K1009">
        <f>INDEX(ChRamp,MATCH(E1009,ChName,0))</f>
        <v/>
      </c>
      <c r="L1009" s="45">
        <f>MIN(1,MAX(0,(A1009-I1009+1)*RampSpeed/J1009))</f>
        <v/>
      </c>
      <c r="M1009" s="45">
        <f>IF(A1009&lt;I1009,0,IF(K1009="S-curve",L1009*L1009*(3-2*L1009),L1009))</f>
        <v/>
      </c>
      <c r="N1009" s="45">
        <f>1+(INDEX(SeasonIdx,A1009)-1)*SeasonAmp</f>
        <v/>
      </c>
      <c r="O1009" s="45">
        <f>IFERROR(INDEX(PSPct,MATCH(E1009&amp;"|"&amp;G1009,PSKey,0)),0)</f>
        <v/>
      </c>
      <c r="P1009" s="46">
        <f>INDEX(ChDoorVel,MATCH(E1009,ChName,0))*CalibScalar*(1+VelocityUplift)</f>
        <v/>
      </c>
      <c r="Q1009" s="46" t="n">
        <v>0</v>
      </c>
      <c r="R1009" s="46">
        <f>P1009*O1009*M1009*N1009*H1009</f>
        <v/>
      </c>
      <c r="S1009" s="46">
        <f>R1009*INDEX(FmtCansPerCase,MATCH(F1009,FmtName,0))</f>
        <v/>
      </c>
      <c r="T1009" s="46">
        <f>S1009/INDEX(FmtCansPerPack,MATCH(F1009,FmtName,0))</f>
        <v/>
      </c>
      <c r="U1009" s="47">
        <f>INDEX(ChBaseCP,MATCH(E1009,ChName,0))*(1+INDEX(ProvMod,MATCH(G1009,ProvCode,0)))*(1+PriceIndex)</f>
        <v/>
      </c>
      <c r="V1009" s="47">
        <f>R1009*U1009*INDEX(FmtBlendedPriceIdx,MATCH(F1009,FmtName,0))</f>
        <v/>
      </c>
      <c r="W1009" s="47">
        <f>T1009*INDEX(ProvSRP,MATCH(G1009,ProvCode,0))*(1+PriceIndex)</f>
        <v/>
      </c>
      <c r="X1009" s="47">
        <f>IF(GrossBasis="Wholesale",V1009,W1009)</f>
        <v/>
      </c>
      <c r="Y1009" s="47">
        <f>R1009*INDEX(FmtBlendedCogs,MATCH(F1009,FmtName,0))</f>
        <v/>
      </c>
      <c r="Z1009" s="47">
        <f>X1009-Y1009</f>
        <v/>
      </c>
    </row>
    <row r="1010">
      <c r="A1010" t="n">
        <v>2</v>
      </c>
      <c r="B1010" s="44">
        <f>FiscalStart+(A1010-1)*7</f>
        <v/>
      </c>
      <c r="C1010">
        <f>TEXT(B1010,"mmm yyyy")</f>
        <v/>
      </c>
      <c r="D1010">
        <f>"Q"&amp;(INT((A1010-1)/13)+1)</f>
        <v/>
      </c>
      <c r="E1010" t="inlineStr">
        <is>
          <t>On Premise</t>
        </is>
      </c>
      <c r="F1010">
        <f>IFERROR(INDEX(ChFormat,MATCH(E1010,ChName,0)),"")</f>
        <v/>
      </c>
      <c r="G1010" t="inlineStr">
        <is>
          <t>NL</t>
        </is>
      </c>
      <c r="H1010">
        <f>IF(A1010&lt;=NWeeks,1,0)</f>
        <v/>
      </c>
      <c r="I1010">
        <f>INDEX(ChLaunch,MATCH(E1010,ChName,0))</f>
        <v/>
      </c>
      <c r="J1010">
        <f>INDEX(ChWeeksFull,MATCH(E1010,ChName,0))</f>
        <v/>
      </c>
      <c r="K1010">
        <f>INDEX(ChRamp,MATCH(E1010,ChName,0))</f>
        <v/>
      </c>
      <c r="L1010" s="45">
        <f>MIN(1,MAX(0,(A1010-I1010+1)*RampSpeed/J1010))</f>
        <v/>
      </c>
      <c r="M1010" s="45">
        <f>IF(A1010&lt;I1010,0,IF(K1010="S-curve",L1010*L1010*(3-2*L1010),L1010))</f>
        <v/>
      </c>
      <c r="N1010" s="45">
        <f>1+(INDEX(SeasonIdx,A1010)-1)*SeasonAmp</f>
        <v/>
      </c>
      <c r="O1010" s="45">
        <f>IFERROR(INDEX(PSPct,MATCH(E1010&amp;"|"&amp;G1010,PSKey,0)),0)</f>
        <v/>
      </c>
      <c r="P1010" s="46">
        <f>INDEX(ChDoorVel,MATCH(E1010,ChName,0))*CalibScalar*(1+VelocityUplift)</f>
        <v/>
      </c>
      <c r="Q1010" s="46" t="n">
        <v>0</v>
      </c>
      <c r="R1010" s="46">
        <f>P1010*O1010*M1010*N1010*H1010</f>
        <v/>
      </c>
      <c r="S1010" s="46">
        <f>R1010*INDEX(FmtCansPerCase,MATCH(F1010,FmtName,0))</f>
        <v/>
      </c>
      <c r="T1010" s="46">
        <f>S1010/INDEX(FmtCansPerPack,MATCH(F1010,FmtName,0))</f>
        <v/>
      </c>
      <c r="U1010" s="47">
        <f>INDEX(ChBaseCP,MATCH(E1010,ChName,0))*(1+INDEX(ProvMod,MATCH(G1010,ProvCode,0)))*(1+PriceIndex)</f>
        <v/>
      </c>
      <c r="V1010" s="47">
        <f>R1010*U1010*INDEX(FmtBlendedPriceIdx,MATCH(F1010,FmtName,0))</f>
        <v/>
      </c>
      <c r="W1010" s="47">
        <f>T1010*INDEX(ProvSRP,MATCH(G1010,ProvCode,0))*(1+PriceIndex)</f>
        <v/>
      </c>
      <c r="X1010" s="47">
        <f>IF(GrossBasis="Wholesale",V1010,W1010)</f>
        <v/>
      </c>
      <c r="Y1010" s="47">
        <f>R1010*INDEX(FmtBlendedCogs,MATCH(F1010,FmtName,0))</f>
        <v/>
      </c>
      <c r="Z1010" s="47">
        <f>X1010-Y1010</f>
        <v/>
      </c>
    </row>
    <row r="1011">
      <c r="A1011" t="n">
        <v>3</v>
      </c>
      <c r="B1011" s="44">
        <f>FiscalStart+(A1011-1)*7</f>
        <v/>
      </c>
      <c r="C1011">
        <f>TEXT(B1011,"mmm yyyy")</f>
        <v/>
      </c>
      <c r="D1011">
        <f>"Q"&amp;(INT((A1011-1)/13)+1)</f>
        <v/>
      </c>
      <c r="E1011" t="inlineStr">
        <is>
          <t>On Premise</t>
        </is>
      </c>
      <c r="F1011">
        <f>IFERROR(INDEX(ChFormat,MATCH(E1011,ChName,0)),"")</f>
        <v/>
      </c>
      <c r="G1011" t="inlineStr">
        <is>
          <t>NL</t>
        </is>
      </c>
      <c r="H1011">
        <f>IF(A1011&lt;=NWeeks,1,0)</f>
        <v/>
      </c>
      <c r="I1011">
        <f>INDEX(ChLaunch,MATCH(E1011,ChName,0))</f>
        <v/>
      </c>
      <c r="J1011">
        <f>INDEX(ChWeeksFull,MATCH(E1011,ChName,0))</f>
        <v/>
      </c>
      <c r="K1011">
        <f>INDEX(ChRamp,MATCH(E1011,ChName,0))</f>
        <v/>
      </c>
      <c r="L1011" s="45">
        <f>MIN(1,MAX(0,(A1011-I1011+1)*RampSpeed/J1011))</f>
        <v/>
      </c>
      <c r="M1011" s="45">
        <f>IF(A1011&lt;I1011,0,IF(K1011="S-curve",L1011*L1011*(3-2*L1011),L1011))</f>
        <v/>
      </c>
      <c r="N1011" s="45">
        <f>1+(INDEX(SeasonIdx,A1011)-1)*SeasonAmp</f>
        <v/>
      </c>
      <c r="O1011" s="45">
        <f>IFERROR(INDEX(PSPct,MATCH(E1011&amp;"|"&amp;G1011,PSKey,0)),0)</f>
        <v/>
      </c>
      <c r="P1011" s="46">
        <f>INDEX(ChDoorVel,MATCH(E1011,ChName,0))*CalibScalar*(1+VelocityUplift)</f>
        <v/>
      </c>
      <c r="Q1011" s="46" t="n">
        <v>0</v>
      </c>
      <c r="R1011" s="46">
        <f>P1011*O1011*M1011*N1011*H1011</f>
        <v/>
      </c>
      <c r="S1011" s="46">
        <f>R1011*INDEX(FmtCansPerCase,MATCH(F1011,FmtName,0))</f>
        <v/>
      </c>
      <c r="T1011" s="46">
        <f>S1011/INDEX(FmtCansPerPack,MATCH(F1011,FmtName,0))</f>
        <v/>
      </c>
      <c r="U1011" s="47">
        <f>INDEX(ChBaseCP,MATCH(E1011,ChName,0))*(1+INDEX(ProvMod,MATCH(G1011,ProvCode,0)))*(1+PriceIndex)</f>
        <v/>
      </c>
      <c r="V1011" s="47">
        <f>R1011*U1011*INDEX(FmtBlendedPriceIdx,MATCH(F1011,FmtName,0))</f>
        <v/>
      </c>
      <c r="W1011" s="47">
        <f>T1011*INDEX(ProvSRP,MATCH(G1011,ProvCode,0))*(1+PriceIndex)</f>
        <v/>
      </c>
      <c r="X1011" s="47">
        <f>IF(GrossBasis="Wholesale",V1011,W1011)</f>
        <v/>
      </c>
      <c r="Y1011" s="47">
        <f>R1011*INDEX(FmtBlendedCogs,MATCH(F1011,FmtName,0))</f>
        <v/>
      </c>
      <c r="Z1011" s="47">
        <f>X1011-Y1011</f>
        <v/>
      </c>
    </row>
    <row r="1012">
      <c r="A1012" t="n">
        <v>4</v>
      </c>
      <c r="B1012" s="44">
        <f>FiscalStart+(A1012-1)*7</f>
        <v/>
      </c>
      <c r="C1012">
        <f>TEXT(B1012,"mmm yyyy")</f>
        <v/>
      </c>
      <c r="D1012">
        <f>"Q"&amp;(INT((A1012-1)/13)+1)</f>
        <v/>
      </c>
      <c r="E1012" t="inlineStr">
        <is>
          <t>On Premise</t>
        </is>
      </c>
      <c r="F1012">
        <f>IFERROR(INDEX(ChFormat,MATCH(E1012,ChName,0)),"")</f>
        <v/>
      </c>
      <c r="G1012" t="inlineStr">
        <is>
          <t>NL</t>
        </is>
      </c>
      <c r="H1012">
        <f>IF(A1012&lt;=NWeeks,1,0)</f>
        <v/>
      </c>
      <c r="I1012">
        <f>INDEX(ChLaunch,MATCH(E1012,ChName,0))</f>
        <v/>
      </c>
      <c r="J1012">
        <f>INDEX(ChWeeksFull,MATCH(E1012,ChName,0))</f>
        <v/>
      </c>
      <c r="K1012">
        <f>INDEX(ChRamp,MATCH(E1012,ChName,0))</f>
        <v/>
      </c>
      <c r="L1012" s="45">
        <f>MIN(1,MAX(0,(A1012-I1012+1)*RampSpeed/J1012))</f>
        <v/>
      </c>
      <c r="M1012" s="45">
        <f>IF(A1012&lt;I1012,0,IF(K1012="S-curve",L1012*L1012*(3-2*L1012),L1012))</f>
        <v/>
      </c>
      <c r="N1012" s="45">
        <f>1+(INDEX(SeasonIdx,A1012)-1)*SeasonAmp</f>
        <v/>
      </c>
      <c r="O1012" s="45">
        <f>IFERROR(INDEX(PSPct,MATCH(E1012&amp;"|"&amp;G1012,PSKey,0)),0)</f>
        <v/>
      </c>
      <c r="P1012" s="46">
        <f>INDEX(ChDoorVel,MATCH(E1012,ChName,0))*CalibScalar*(1+VelocityUplift)</f>
        <v/>
      </c>
      <c r="Q1012" s="46" t="n">
        <v>0</v>
      </c>
      <c r="R1012" s="46">
        <f>P1012*O1012*M1012*N1012*H1012</f>
        <v/>
      </c>
      <c r="S1012" s="46">
        <f>R1012*INDEX(FmtCansPerCase,MATCH(F1012,FmtName,0))</f>
        <v/>
      </c>
      <c r="T1012" s="46">
        <f>S1012/INDEX(FmtCansPerPack,MATCH(F1012,FmtName,0))</f>
        <v/>
      </c>
      <c r="U1012" s="47">
        <f>INDEX(ChBaseCP,MATCH(E1012,ChName,0))*(1+INDEX(ProvMod,MATCH(G1012,ProvCode,0)))*(1+PriceIndex)</f>
        <v/>
      </c>
      <c r="V1012" s="47">
        <f>R1012*U1012*INDEX(FmtBlendedPriceIdx,MATCH(F1012,FmtName,0))</f>
        <v/>
      </c>
      <c r="W1012" s="47">
        <f>T1012*INDEX(ProvSRP,MATCH(G1012,ProvCode,0))*(1+PriceIndex)</f>
        <v/>
      </c>
      <c r="X1012" s="47">
        <f>IF(GrossBasis="Wholesale",V1012,W1012)</f>
        <v/>
      </c>
      <c r="Y1012" s="47">
        <f>R1012*INDEX(FmtBlendedCogs,MATCH(F1012,FmtName,0))</f>
        <v/>
      </c>
      <c r="Z1012" s="47">
        <f>X1012-Y1012</f>
        <v/>
      </c>
    </row>
    <row r="1013">
      <c r="A1013" t="n">
        <v>5</v>
      </c>
      <c r="B1013" s="44">
        <f>FiscalStart+(A1013-1)*7</f>
        <v/>
      </c>
      <c r="C1013">
        <f>TEXT(B1013,"mmm yyyy")</f>
        <v/>
      </c>
      <c r="D1013">
        <f>"Q"&amp;(INT((A1013-1)/13)+1)</f>
        <v/>
      </c>
      <c r="E1013" t="inlineStr">
        <is>
          <t>On Premise</t>
        </is>
      </c>
      <c r="F1013">
        <f>IFERROR(INDEX(ChFormat,MATCH(E1013,ChName,0)),"")</f>
        <v/>
      </c>
      <c r="G1013" t="inlineStr">
        <is>
          <t>NL</t>
        </is>
      </c>
      <c r="H1013">
        <f>IF(A1013&lt;=NWeeks,1,0)</f>
        <v/>
      </c>
      <c r="I1013">
        <f>INDEX(ChLaunch,MATCH(E1013,ChName,0))</f>
        <v/>
      </c>
      <c r="J1013">
        <f>INDEX(ChWeeksFull,MATCH(E1013,ChName,0))</f>
        <v/>
      </c>
      <c r="K1013">
        <f>INDEX(ChRamp,MATCH(E1013,ChName,0))</f>
        <v/>
      </c>
      <c r="L1013" s="45">
        <f>MIN(1,MAX(0,(A1013-I1013+1)*RampSpeed/J1013))</f>
        <v/>
      </c>
      <c r="M1013" s="45">
        <f>IF(A1013&lt;I1013,0,IF(K1013="S-curve",L1013*L1013*(3-2*L1013),L1013))</f>
        <v/>
      </c>
      <c r="N1013" s="45">
        <f>1+(INDEX(SeasonIdx,A1013)-1)*SeasonAmp</f>
        <v/>
      </c>
      <c r="O1013" s="45">
        <f>IFERROR(INDEX(PSPct,MATCH(E1013&amp;"|"&amp;G1013,PSKey,0)),0)</f>
        <v/>
      </c>
      <c r="P1013" s="46">
        <f>INDEX(ChDoorVel,MATCH(E1013,ChName,0))*CalibScalar*(1+VelocityUplift)</f>
        <v/>
      </c>
      <c r="Q1013" s="46" t="n">
        <v>0</v>
      </c>
      <c r="R1013" s="46">
        <f>P1013*O1013*M1013*N1013*H1013</f>
        <v/>
      </c>
      <c r="S1013" s="46">
        <f>R1013*INDEX(FmtCansPerCase,MATCH(F1013,FmtName,0))</f>
        <v/>
      </c>
      <c r="T1013" s="46">
        <f>S1013/INDEX(FmtCansPerPack,MATCH(F1013,FmtName,0))</f>
        <v/>
      </c>
      <c r="U1013" s="47">
        <f>INDEX(ChBaseCP,MATCH(E1013,ChName,0))*(1+INDEX(ProvMod,MATCH(G1013,ProvCode,0)))*(1+PriceIndex)</f>
        <v/>
      </c>
      <c r="V1013" s="47">
        <f>R1013*U1013*INDEX(FmtBlendedPriceIdx,MATCH(F1013,FmtName,0))</f>
        <v/>
      </c>
      <c r="W1013" s="47">
        <f>T1013*INDEX(ProvSRP,MATCH(G1013,ProvCode,0))*(1+PriceIndex)</f>
        <v/>
      </c>
      <c r="X1013" s="47">
        <f>IF(GrossBasis="Wholesale",V1013,W1013)</f>
        <v/>
      </c>
      <c r="Y1013" s="47">
        <f>R1013*INDEX(FmtBlendedCogs,MATCH(F1013,FmtName,0))</f>
        <v/>
      </c>
      <c r="Z1013" s="47">
        <f>X1013-Y1013</f>
        <v/>
      </c>
    </row>
    <row r="1014">
      <c r="A1014" t="n">
        <v>6</v>
      </c>
      <c r="B1014" s="44">
        <f>FiscalStart+(A1014-1)*7</f>
        <v/>
      </c>
      <c r="C1014">
        <f>TEXT(B1014,"mmm yyyy")</f>
        <v/>
      </c>
      <c r="D1014">
        <f>"Q"&amp;(INT((A1014-1)/13)+1)</f>
        <v/>
      </c>
      <c r="E1014" t="inlineStr">
        <is>
          <t>On Premise</t>
        </is>
      </c>
      <c r="F1014">
        <f>IFERROR(INDEX(ChFormat,MATCH(E1014,ChName,0)),"")</f>
        <v/>
      </c>
      <c r="G1014" t="inlineStr">
        <is>
          <t>NL</t>
        </is>
      </c>
      <c r="H1014">
        <f>IF(A1014&lt;=NWeeks,1,0)</f>
        <v/>
      </c>
      <c r="I1014">
        <f>INDEX(ChLaunch,MATCH(E1014,ChName,0))</f>
        <v/>
      </c>
      <c r="J1014">
        <f>INDEX(ChWeeksFull,MATCH(E1014,ChName,0))</f>
        <v/>
      </c>
      <c r="K1014">
        <f>INDEX(ChRamp,MATCH(E1014,ChName,0))</f>
        <v/>
      </c>
      <c r="L1014" s="45">
        <f>MIN(1,MAX(0,(A1014-I1014+1)*RampSpeed/J1014))</f>
        <v/>
      </c>
      <c r="M1014" s="45">
        <f>IF(A1014&lt;I1014,0,IF(K1014="S-curve",L1014*L1014*(3-2*L1014),L1014))</f>
        <v/>
      </c>
      <c r="N1014" s="45">
        <f>1+(INDEX(SeasonIdx,A1014)-1)*SeasonAmp</f>
        <v/>
      </c>
      <c r="O1014" s="45">
        <f>IFERROR(INDEX(PSPct,MATCH(E1014&amp;"|"&amp;G1014,PSKey,0)),0)</f>
        <v/>
      </c>
      <c r="P1014" s="46">
        <f>INDEX(ChDoorVel,MATCH(E1014,ChName,0))*CalibScalar*(1+VelocityUplift)</f>
        <v/>
      </c>
      <c r="Q1014" s="46" t="n">
        <v>0</v>
      </c>
      <c r="R1014" s="46">
        <f>P1014*O1014*M1014*N1014*H1014</f>
        <v/>
      </c>
      <c r="S1014" s="46">
        <f>R1014*INDEX(FmtCansPerCase,MATCH(F1014,FmtName,0))</f>
        <v/>
      </c>
      <c r="T1014" s="46">
        <f>S1014/INDEX(FmtCansPerPack,MATCH(F1014,FmtName,0))</f>
        <v/>
      </c>
      <c r="U1014" s="47">
        <f>INDEX(ChBaseCP,MATCH(E1014,ChName,0))*(1+INDEX(ProvMod,MATCH(G1014,ProvCode,0)))*(1+PriceIndex)</f>
        <v/>
      </c>
      <c r="V1014" s="47">
        <f>R1014*U1014*INDEX(FmtBlendedPriceIdx,MATCH(F1014,FmtName,0))</f>
        <v/>
      </c>
      <c r="W1014" s="47">
        <f>T1014*INDEX(ProvSRP,MATCH(G1014,ProvCode,0))*(1+PriceIndex)</f>
        <v/>
      </c>
      <c r="X1014" s="47">
        <f>IF(GrossBasis="Wholesale",V1014,W1014)</f>
        <v/>
      </c>
      <c r="Y1014" s="47">
        <f>R1014*INDEX(FmtBlendedCogs,MATCH(F1014,FmtName,0))</f>
        <v/>
      </c>
      <c r="Z1014" s="47">
        <f>X1014-Y1014</f>
        <v/>
      </c>
    </row>
    <row r="1015">
      <c r="A1015" t="n">
        <v>7</v>
      </c>
      <c r="B1015" s="44">
        <f>FiscalStart+(A1015-1)*7</f>
        <v/>
      </c>
      <c r="C1015">
        <f>TEXT(B1015,"mmm yyyy")</f>
        <v/>
      </c>
      <c r="D1015">
        <f>"Q"&amp;(INT((A1015-1)/13)+1)</f>
        <v/>
      </c>
      <c r="E1015" t="inlineStr">
        <is>
          <t>On Premise</t>
        </is>
      </c>
      <c r="F1015">
        <f>IFERROR(INDEX(ChFormat,MATCH(E1015,ChName,0)),"")</f>
        <v/>
      </c>
      <c r="G1015" t="inlineStr">
        <is>
          <t>NL</t>
        </is>
      </c>
      <c r="H1015">
        <f>IF(A1015&lt;=NWeeks,1,0)</f>
        <v/>
      </c>
      <c r="I1015">
        <f>INDEX(ChLaunch,MATCH(E1015,ChName,0))</f>
        <v/>
      </c>
      <c r="J1015">
        <f>INDEX(ChWeeksFull,MATCH(E1015,ChName,0))</f>
        <v/>
      </c>
      <c r="K1015">
        <f>INDEX(ChRamp,MATCH(E1015,ChName,0))</f>
        <v/>
      </c>
      <c r="L1015" s="45">
        <f>MIN(1,MAX(0,(A1015-I1015+1)*RampSpeed/J1015))</f>
        <v/>
      </c>
      <c r="M1015" s="45">
        <f>IF(A1015&lt;I1015,0,IF(K1015="S-curve",L1015*L1015*(3-2*L1015),L1015))</f>
        <v/>
      </c>
      <c r="N1015" s="45">
        <f>1+(INDEX(SeasonIdx,A1015)-1)*SeasonAmp</f>
        <v/>
      </c>
      <c r="O1015" s="45">
        <f>IFERROR(INDEX(PSPct,MATCH(E1015&amp;"|"&amp;G1015,PSKey,0)),0)</f>
        <v/>
      </c>
      <c r="P1015" s="46">
        <f>INDEX(ChDoorVel,MATCH(E1015,ChName,0))*CalibScalar*(1+VelocityUplift)</f>
        <v/>
      </c>
      <c r="Q1015" s="46" t="n">
        <v>0</v>
      </c>
      <c r="R1015" s="46">
        <f>P1015*O1015*M1015*N1015*H1015</f>
        <v/>
      </c>
      <c r="S1015" s="46">
        <f>R1015*INDEX(FmtCansPerCase,MATCH(F1015,FmtName,0))</f>
        <v/>
      </c>
      <c r="T1015" s="46">
        <f>S1015/INDEX(FmtCansPerPack,MATCH(F1015,FmtName,0))</f>
        <v/>
      </c>
      <c r="U1015" s="47">
        <f>INDEX(ChBaseCP,MATCH(E1015,ChName,0))*(1+INDEX(ProvMod,MATCH(G1015,ProvCode,0)))*(1+PriceIndex)</f>
        <v/>
      </c>
      <c r="V1015" s="47">
        <f>R1015*U1015*INDEX(FmtBlendedPriceIdx,MATCH(F1015,FmtName,0))</f>
        <v/>
      </c>
      <c r="W1015" s="47">
        <f>T1015*INDEX(ProvSRP,MATCH(G1015,ProvCode,0))*(1+PriceIndex)</f>
        <v/>
      </c>
      <c r="X1015" s="47">
        <f>IF(GrossBasis="Wholesale",V1015,W1015)</f>
        <v/>
      </c>
      <c r="Y1015" s="47">
        <f>R1015*INDEX(FmtBlendedCogs,MATCH(F1015,FmtName,0))</f>
        <v/>
      </c>
      <c r="Z1015" s="47">
        <f>X1015-Y1015</f>
        <v/>
      </c>
    </row>
    <row r="1016">
      <c r="A1016" t="n">
        <v>8</v>
      </c>
      <c r="B1016" s="44">
        <f>FiscalStart+(A1016-1)*7</f>
        <v/>
      </c>
      <c r="C1016">
        <f>TEXT(B1016,"mmm yyyy")</f>
        <v/>
      </c>
      <c r="D1016">
        <f>"Q"&amp;(INT((A1016-1)/13)+1)</f>
        <v/>
      </c>
      <c r="E1016" t="inlineStr">
        <is>
          <t>On Premise</t>
        </is>
      </c>
      <c r="F1016">
        <f>IFERROR(INDEX(ChFormat,MATCH(E1016,ChName,0)),"")</f>
        <v/>
      </c>
      <c r="G1016" t="inlineStr">
        <is>
          <t>NL</t>
        </is>
      </c>
      <c r="H1016">
        <f>IF(A1016&lt;=NWeeks,1,0)</f>
        <v/>
      </c>
      <c r="I1016">
        <f>INDEX(ChLaunch,MATCH(E1016,ChName,0))</f>
        <v/>
      </c>
      <c r="J1016">
        <f>INDEX(ChWeeksFull,MATCH(E1016,ChName,0))</f>
        <v/>
      </c>
      <c r="K1016">
        <f>INDEX(ChRamp,MATCH(E1016,ChName,0))</f>
        <v/>
      </c>
      <c r="L1016" s="45">
        <f>MIN(1,MAX(0,(A1016-I1016+1)*RampSpeed/J1016))</f>
        <v/>
      </c>
      <c r="M1016" s="45">
        <f>IF(A1016&lt;I1016,0,IF(K1016="S-curve",L1016*L1016*(3-2*L1016),L1016))</f>
        <v/>
      </c>
      <c r="N1016" s="45">
        <f>1+(INDEX(SeasonIdx,A1016)-1)*SeasonAmp</f>
        <v/>
      </c>
      <c r="O1016" s="45">
        <f>IFERROR(INDEX(PSPct,MATCH(E1016&amp;"|"&amp;G1016,PSKey,0)),0)</f>
        <v/>
      </c>
      <c r="P1016" s="46">
        <f>INDEX(ChDoorVel,MATCH(E1016,ChName,0))*CalibScalar*(1+VelocityUplift)</f>
        <v/>
      </c>
      <c r="Q1016" s="46" t="n">
        <v>0</v>
      </c>
      <c r="R1016" s="46">
        <f>P1016*O1016*M1016*N1016*H1016</f>
        <v/>
      </c>
      <c r="S1016" s="46">
        <f>R1016*INDEX(FmtCansPerCase,MATCH(F1016,FmtName,0))</f>
        <v/>
      </c>
      <c r="T1016" s="46">
        <f>S1016/INDEX(FmtCansPerPack,MATCH(F1016,FmtName,0))</f>
        <v/>
      </c>
      <c r="U1016" s="47">
        <f>INDEX(ChBaseCP,MATCH(E1016,ChName,0))*(1+INDEX(ProvMod,MATCH(G1016,ProvCode,0)))*(1+PriceIndex)</f>
        <v/>
      </c>
      <c r="V1016" s="47">
        <f>R1016*U1016*INDEX(FmtBlendedPriceIdx,MATCH(F1016,FmtName,0))</f>
        <v/>
      </c>
      <c r="W1016" s="47">
        <f>T1016*INDEX(ProvSRP,MATCH(G1016,ProvCode,0))*(1+PriceIndex)</f>
        <v/>
      </c>
      <c r="X1016" s="47">
        <f>IF(GrossBasis="Wholesale",V1016,W1016)</f>
        <v/>
      </c>
      <c r="Y1016" s="47">
        <f>R1016*INDEX(FmtBlendedCogs,MATCH(F1016,FmtName,0))</f>
        <v/>
      </c>
      <c r="Z1016" s="47">
        <f>X1016-Y1016</f>
        <v/>
      </c>
    </row>
    <row r="1017">
      <c r="A1017" t="n">
        <v>9</v>
      </c>
      <c r="B1017" s="44">
        <f>FiscalStart+(A1017-1)*7</f>
        <v/>
      </c>
      <c r="C1017">
        <f>TEXT(B1017,"mmm yyyy")</f>
        <v/>
      </c>
      <c r="D1017">
        <f>"Q"&amp;(INT((A1017-1)/13)+1)</f>
        <v/>
      </c>
      <c r="E1017" t="inlineStr">
        <is>
          <t>On Premise</t>
        </is>
      </c>
      <c r="F1017">
        <f>IFERROR(INDEX(ChFormat,MATCH(E1017,ChName,0)),"")</f>
        <v/>
      </c>
      <c r="G1017" t="inlineStr">
        <is>
          <t>NL</t>
        </is>
      </c>
      <c r="H1017">
        <f>IF(A1017&lt;=NWeeks,1,0)</f>
        <v/>
      </c>
      <c r="I1017">
        <f>INDEX(ChLaunch,MATCH(E1017,ChName,0))</f>
        <v/>
      </c>
      <c r="J1017">
        <f>INDEX(ChWeeksFull,MATCH(E1017,ChName,0))</f>
        <v/>
      </c>
      <c r="K1017">
        <f>INDEX(ChRamp,MATCH(E1017,ChName,0))</f>
        <v/>
      </c>
      <c r="L1017" s="45">
        <f>MIN(1,MAX(0,(A1017-I1017+1)*RampSpeed/J1017))</f>
        <v/>
      </c>
      <c r="M1017" s="45">
        <f>IF(A1017&lt;I1017,0,IF(K1017="S-curve",L1017*L1017*(3-2*L1017),L1017))</f>
        <v/>
      </c>
      <c r="N1017" s="45">
        <f>1+(INDEX(SeasonIdx,A1017)-1)*SeasonAmp</f>
        <v/>
      </c>
      <c r="O1017" s="45">
        <f>IFERROR(INDEX(PSPct,MATCH(E1017&amp;"|"&amp;G1017,PSKey,0)),0)</f>
        <v/>
      </c>
      <c r="P1017" s="46">
        <f>INDEX(ChDoorVel,MATCH(E1017,ChName,0))*CalibScalar*(1+VelocityUplift)</f>
        <v/>
      </c>
      <c r="Q1017" s="46" t="n">
        <v>0</v>
      </c>
      <c r="R1017" s="46">
        <f>P1017*O1017*M1017*N1017*H1017</f>
        <v/>
      </c>
      <c r="S1017" s="46">
        <f>R1017*INDEX(FmtCansPerCase,MATCH(F1017,FmtName,0))</f>
        <v/>
      </c>
      <c r="T1017" s="46">
        <f>S1017/INDEX(FmtCansPerPack,MATCH(F1017,FmtName,0))</f>
        <v/>
      </c>
      <c r="U1017" s="47">
        <f>INDEX(ChBaseCP,MATCH(E1017,ChName,0))*(1+INDEX(ProvMod,MATCH(G1017,ProvCode,0)))*(1+PriceIndex)</f>
        <v/>
      </c>
      <c r="V1017" s="47">
        <f>R1017*U1017*INDEX(FmtBlendedPriceIdx,MATCH(F1017,FmtName,0))</f>
        <v/>
      </c>
      <c r="W1017" s="47">
        <f>T1017*INDEX(ProvSRP,MATCH(G1017,ProvCode,0))*(1+PriceIndex)</f>
        <v/>
      </c>
      <c r="X1017" s="47">
        <f>IF(GrossBasis="Wholesale",V1017,W1017)</f>
        <v/>
      </c>
      <c r="Y1017" s="47">
        <f>R1017*INDEX(FmtBlendedCogs,MATCH(F1017,FmtName,0))</f>
        <v/>
      </c>
      <c r="Z1017" s="47">
        <f>X1017-Y1017</f>
        <v/>
      </c>
    </row>
    <row r="1018">
      <c r="A1018" t="n">
        <v>10</v>
      </c>
      <c r="B1018" s="44">
        <f>FiscalStart+(A1018-1)*7</f>
        <v/>
      </c>
      <c r="C1018">
        <f>TEXT(B1018,"mmm yyyy")</f>
        <v/>
      </c>
      <c r="D1018">
        <f>"Q"&amp;(INT((A1018-1)/13)+1)</f>
        <v/>
      </c>
      <c r="E1018" t="inlineStr">
        <is>
          <t>On Premise</t>
        </is>
      </c>
      <c r="F1018">
        <f>IFERROR(INDEX(ChFormat,MATCH(E1018,ChName,0)),"")</f>
        <v/>
      </c>
      <c r="G1018" t="inlineStr">
        <is>
          <t>NL</t>
        </is>
      </c>
      <c r="H1018">
        <f>IF(A1018&lt;=NWeeks,1,0)</f>
        <v/>
      </c>
      <c r="I1018">
        <f>INDEX(ChLaunch,MATCH(E1018,ChName,0))</f>
        <v/>
      </c>
      <c r="J1018">
        <f>INDEX(ChWeeksFull,MATCH(E1018,ChName,0))</f>
        <v/>
      </c>
      <c r="K1018">
        <f>INDEX(ChRamp,MATCH(E1018,ChName,0))</f>
        <v/>
      </c>
      <c r="L1018" s="45">
        <f>MIN(1,MAX(0,(A1018-I1018+1)*RampSpeed/J1018))</f>
        <v/>
      </c>
      <c r="M1018" s="45">
        <f>IF(A1018&lt;I1018,0,IF(K1018="S-curve",L1018*L1018*(3-2*L1018),L1018))</f>
        <v/>
      </c>
      <c r="N1018" s="45">
        <f>1+(INDEX(SeasonIdx,A1018)-1)*SeasonAmp</f>
        <v/>
      </c>
      <c r="O1018" s="45">
        <f>IFERROR(INDEX(PSPct,MATCH(E1018&amp;"|"&amp;G1018,PSKey,0)),0)</f>
        <v/>
      </c>
      <c r="P1018" s="46">
        <f>INDEX(ChDoorVel,MATCH(E1018,ChName,0))*CalibScalar*(1+VelocityUplift)</f>
        <v/>
      </c>
      <c r="Q1018" s="46" t="n">
        <v>0</v>
      </c>
      <c r="R1018" s="46">
        <f>P1018*O1018*M1018*N1018*H1018</f>
        <v/>
      </c>
      <c r="S1018" s="46">
        <f>R1018*INDEX(FmtCansPerCase,MATCH(F1018,FmtName,0))</f>
        <v/>
      </c>
      <c r="T1018" s="46">
        <f>S1018/INDEX(FmtCansPerPack,MATCH(F1018,FmtName,0))</f>
        <v/>
      </c>
      <c r="U1018" s="47">
        <f>INDEX(ChBaseCP,MATCH(E1018,ChName,0))*(1+INDEX(ProvMod,MATCH(G1018,ProvCode,0)))*(1+PriceIndex)</f>
        <v/>
      </c>
      <c r="V1018" s="47">
        <f>R1018*U1018*INDEX(FmtBlendedPriceIdx,MATCH(F1018,FmtName,0))</f>
        <v/>
      </c>
      <c r="W1018" s="47">
        <f>T1018*INDEX(ProvSRP,MATCH(G1018,ProvCode,0))*(1+PriceIndex)</f>
        <v/>
      </c>
      <c r="X1018" s="47">
        <f>IF(GrossBasis="Wholesale",V1018,W1018)</f>
        <v/>
      </c>
      <c r="Y1018" s="47">
        <f>R1018*INDEX(FmtBlendedCogs,MATCH(F1018,FmtName,0))</f>
        <v/>
      </c>
      <c r="Z1018" s="47">
        <f>X1018-Y1018</f>
        <v/>
      </c>
    </row>
    <row r="1019">
      <c r="A1019" t="n">
        <v>11</v>
      </c>
      <c r="B1019" s="44">
        <f>FiscalStart+(A1019-1)*7</f>
        <v/>
      </c>
      <c r="C1019">
        <f>TEXT(B1019,"mmm yyyy")</f>
        <v/>
      </c>
      <c r="D1019">
        <f>"Q"&amp;(INT((A1019-1)/13)+1)</f>
        <v/>
      </c>
      <c r="E1019" t="inlineStr">
        <is>
          <t>On Premise</t>
        </is>
      </c>
      <c r="F1019">
        <f>IFERROR(INDEX(ChFormat,MATCH(E1019,ChName,0)),"")</f>
        <v/>
      </c>
      <c r="G1019" t="inlineStr">
        <is>
          <t>NL</t>
        </is>
      </c>
      <c r="H1019">
        <f>IF(A1019&lt;=NWeeks,1,0)</f>
        <v/>
      </c>
      <c r="I1019">
        <f>INDEX(ChLaunch,MATCH(E1019,ChName,0))</f>
        <v/>
      </c>
      <c r="J1019">
        <f>INDEX(ChWeeksFull,MATCH(E1019,ChName,0))</f>
        <v/>
      </c>
      <c r="K1019">
        <f>INDEX(ChRamp,MATCH(E1019,ChName,0))</f>
        <v/>
      </c>
      <c r="L1019" s="45">
        <f>MIN(1,MAX(0,(A1019-I1019+1)*RampSpeed/J1019))</f>
        <v/>
      </c>
      <c r="M1019" s="45">
        <f>IF(A1019&lt;I1019,0,IF(K1019="S-curve",L1019*L1019*(3-2*L1019),L1019))</f>
        <v/>
      </c>
      <c r="N1019" s="45">
        <f>1+(INDEX(SeasonIdx,A1019)-1)*SeasonAmp</f>
        <v/>
      </c>
      <c r="O1019" s="45">
        <f>IFERROR(INDEX(PSPct,MATCH(E1019&amp;"|"&amp;G1019,PSKey,0)),0)</f>
        <v/>
      </c>
      <c r="P1019" s="46">
        <f>INDEX(ChDoorVel,MATCH(E1019,ChName,0))*CalibScalar*(1+VelocityUplift)</f>
        <v/>
      </c>
      <c r="Q1019" s="46" t="n">
        <v>0</v>
      </c>
      <c r="R1019" s="46">
        <f>P1019*O1019*M1019*N1019*H1019</f>
        <v/>
      </c>
      <c r="S1019" s="46">
        <f>R1019*INDEX(FmtCansPerCase,MATCH(F1019,FmtName,0))</f>
        <v/>
      </c>
      <c r="T1019" s="46">
        <f>S1019/INDEX(FmtCansPerPack,MATCH(F1019,FmtName,0))</f>
        <v/>
      </c>
      <c r="U1019" s="47">
        <f>INDEX(ChBaseCP,MATCH(E1019,ChName,0))*(1+INDEX(ProvMod,MATCH(G1019,ProvCode,0)))*(1+PriceIndex)</f>
        <v/>
      </c>
      <c r="V1019" s="47">
        <f>R1019*U1019*INDEX(FmtBlendedPriceIdx,MATCH(F1019,FmtName,0))</f>
        <v/>
      </c>
      <c r="W1019" s="47">
        <f>T1019*INDEX(ProvSRP,MATCH(G1019,ProvCode,0))*(1+PriceIndex)</f>
        <v/>
      </c>
      <c r="X1019" s="47">
        <f>IF(GrossBasis="Wholesale",V1019,W1019)</f>
        <v/>
      </c>
      <c r="Y1019" s="47">
        <f>R1019*INDEX(FmtBlendedCogs,MATCH(F1019,FmtName,0))</f>
        <v/>
      </c>
      <c r="Z1019" s="47">
        <f>X1019-Y1019</f>
        <v/>
      </c>
    </row>
    <row r="1020">
      <c r="A1020" t="n">
        <v>12</v>
      </c>
      <c r="B1020" s="44">
        <f>FiscalStart+(A1020-1)*7</f>
        <v/>
      </c>
      <c r="C1020">
        <f>TEXT(B1020,"mmm yyyy")</f>
        <v/>
      </c>
      <c r="D1020">
        <f>"Q"&amp;(INT((A1020-1)/13)+1)</f>
        <v/>
      </c>
      <c r="E1020" t="inlineStr">
        <is>
          <t>On Premise</t>
        </is>
      </c>
      <c r="F1020">
        <f>IFERROR(INDEX(ChFormat,MATCH(E1020,ChName,0)),"")</f>
        <v/>
      </c>
      <c r="G1020" t="inlineStr">
        <is>
          <t>NL</t>
        </is>
      </c>
      <c r="H1020">
        <f>IF(A1020&lt;=NWeeks,1,0)</f>
        <v/>
      </c>
      <c r="I1020">
        <f>INDEX(ChLaunch,MATCH(E1020,ChName,0))</f>
        <v/>
      </c>
      <c r="J1020">
        <f>INDEX(ChWeeksFull,MATCH(E1020,ChName,0))</f>
        <v/>
      </c>
      <c r="K1020">
        <f>INDEX(ChRamp,MATCH(E1020,ChName,0))</f>
        <v/>
      </c>
      <c r="L1020" s="45">
        <f>MIN(1,MAX(0,(A1020-I1020+1)*RampSpeed/J1020))</f>
        <v/>
      </c>
      <c r="M1020" s="45">
        <f>IF(A1020&lt;I1020,0,IF(K1020="S-curve",L1020*L1020*(3-2*L1020),L1020))</f>
        <v/>
      </c>
      <c r="N1020" s="45">
        <f>1+(INDEX(SeasonIdx,A1020)-1)*SeasonAmp</f>
        <v/>
      </c>
      <c r="O1020" s="45">
        <f>IFERROR(INDEX(PSPct,MATCH(E1020&amp;"|"&amp;G1020,PSKey,0)),0)</f>
        <v/>
      </c>
      <c r="P1020" s="46">
        <f>INDEX(ChDoorVel,MATCH(E1020,ChName,0))*CalibScalar*(1+VelocityUplift)</f>
        <v/>
      </c>
      <c r="Q1020" s="46" t="n">
        <v>0</v>
      </c>
      <c r="R1020" s="46">
        <f>P1020*O1020*M1020*N1020*H1020</f>
        <v/>
      </c>
      <c r="S1020" s="46">
        <f>R1020*INDEX(FmtCansPerCase,MATCH(F1020,FmtName,0))</f>
        <v/>
      </c>
      <c r="T1020" s="46">
        <f>S1020/INDEX(FmtCansPerPack,MATCH(F1020,FmtName,0))</f>
        <v/>
      </c>
      <c r="U1020" s="47">
        <f>INDEX(ChBaseCP,MATCH(E1020,ChName,0))*(1+INDEX(ProvMod,MATCH(G1020,ProvCode,0)))*(1+PriceIndex)</f>
        <v/>
      </c>
      <c r="V1020" s="47">
        <f>R1020*U1020*INDEX(FmtBlendedPriceIdx,MATCH(F1020,FmtName,0))</f>
        <v/>
      </c>
      <c r="W1020" s="47">
        <f>T1020*INDEX(ProvSRP,MATCH(G1020,ProvCode,0))*(1+PriceIndex)</f>
        <v/>
      </c>
      <c r="X1020" s="47">
        <f>IF(GrossBasis="Wholesale",V1020,W1020)</f>
        <v/>
      </c>
      <c r="Y1020" s="47">
        <f>R1020*INDEX(FmtBlendedCogs,MATCH(F1020,FmtName,0))</f>
        <v/>
      </c>
      <c r="Z1020" s="47">
        <f>X1020-Y1020</f>
        <v/>
      </c>
    </row>
    <row r="1021">
      <c r="A1021" t="n">
        <v>13</v>
      </c>
      <c r="B1021" s="44">
        <f>FiscalStart+(A1021-1)*7</f>
        <v/>
      </c>
      <c r="C1021">
        <f>TEXT(B1021,"mmm yyyy")</f>
        <v/>
      </c>
      <c r="D1021">
        <f>"Q"&amp;(INT((A1021-1)/13)+1)</f>
        <v/>
      </c>
      <c r="E1021" t="inlineStr">
        <is>
          <t>On Premise</t>
        </is>
      </c>
      <c r="F1021">
        <f>IFERROR(INDEX(ChFormat,MATCH(E1021,ChName,0)),"")</f>
        <v/>
      </c>
      <c r="G1021" t="inlineStr">
        <is>
          <t>NL</t>
        </is>
      </c>
      <c r="H1021">
        <f>IF(A1021&lt;=NWeeks,1,0)</f>
        <v/>
      </c>
      <c r="I1021">
        <f>INDEX(ChLaunch,MATCH(E1021,ChName,0))</f>
        <v/>
      </c>
      <c r="J1021">
        <f>INDEX(ChWeeksFull,MATCH(E1021,ChName,0))</f>
        <v/>
      </c>
      <c r="K1021">
        <f>INDEX(ChRamp,MATCH(E1021,ChName,0))</f>
        <v/>
      </c>
      <c r="L1021" s="45">
        <f>MIN(1,MAX(0,(A1021-I1021+1)*RampSpeed/J1021))</f>
        <v/>
      </c>
      <c r="M1021" s="45">
        <f>IF(A1021&lt;I1021,0,IF(K1021="S-curve",L1021*L1021*(3-2*L1021),L1021))</f>
        <v/>
      </c>
      <c r="N1021" s="45">
        <f>1+(INDEX(SeasonIdx,A1021)-1)*SeasonAmp</f>
        <v/>
      </c>
      <c r="O1021" s="45">
        <f>IFERROR(INDEX(PSPct,MATCH(E1021&amp;"|"&amp;G1021,PSKey,0)),0)</f>
        <v/>
      </c>
      <c r="P1021" s="46">
        <f>INDEX(ChDoorVel,MATCH(E1021,ChName,0))*CalibScalar*(1+VelocityUplift)</f>
        <v/>
      </c>
      <c r="Q1021" s="46" t="n">
        <v>0</v>
      </c>
      <c r="R1021" s="46">
        <f>P1021*O1021*M1021*N1021*H1021</f>
        <v/>
      </c>
      <c r="S1021" s="46">
        <f>R1021*INDEX(FmtCansPerCase,MATCH(F1021,FmtName,0))</f>
        <v/>
      </c>
      <c r="T1021" s="46">
        <f>S1021/INDEX(FmtCansPerPack,MATCH(F1021,FmtName,0))</f>
        <v/>
      </c>
      <c r="U1021" s="47">
        <f>INDEX(ChBaseCP,MATCH(E1021,ChName,0))*(1+INDEX(ProvMod,MATCH(G1021,ProvCode,0)))*(1+PriceIndex)</f>
        <v/>
      </c>
      <c r="V1021" s="47">
        <f>R1021*U1021*INDEX(FmtBlendedPriceIdx,MATCH(F1021,FmtName,0))</f>
        <v/>
      </c>
      <c r="W1021" s="47">
        <f>T1021*INDEX(ProvSRP,MATCH(G1021,ProvCode,0))*(1+PriceIndex)</f>
        <v/>
      </c>
      <c r="X1021" s="47">
        <f>IF(GrossBasis="Wholesale",V1021,W1021)</f>
        <v/>
      </c>
      <c r="Y1021" s="47">
        <f>R1021*INDEX(FmtBlendedCogs,MATCH(F1021,FmtName,0))</f>
        <v/>
      </c>
      <c r="Z1021" s="47">
        <f>X1021-Y1021</f>
        <v/>
      </c>
    </row>
    <row r="1022">
      <c r="A1022" t="n">
        <v>14</v>
      </c>
      <c r="B1022" s="44">
        <f>FiscalStart+(A1022-1)*7</f>
        <v/>
      </c>
      <c r="C1022">
        <f>TEXT(B1022,"mmm yyyy")</f>
        <v/>
      </c>
      <c r="D1022">
        <f>"Q"&amp;(INT((A1022-1)/13)+1)</f>
        <v/>
      </c>
      <c r="E1022" t="inlineStr">
        <is>
          <t>On Premise</t>
        </is>
      </c>
      <c r="F1022">
        <f>IFERROR(INDEX(ChFormat,MATCH(E1022,ChName,0)),"")</f>
        <v/>
      </c>
      <c r="G1022" t="inlineStr">
        <is>
          <t>NL</t>
        </is>
      </c>
      <c r="H1022">
        <f>IF(A1022&lt;=NWeeks,1,0)</f>
        <v/>
      </c>
      <c r="I1022">
        <f>INDEX(ChLaunch,MATCH(E1022,ChName,0))</f>
        <v/>
      </c>
      <c r="J1022">
        <f>INDEX(ChWeeksFull,MATCH(E1022,ChName,0))</f>
        <v/>
      </c>
      <c r="K1022">
        <f>INDEX(ChRamp,MATCH(E1022,ChName,0))</f>
        <v/>
      </c>
      <c r="L1022" s="45">
        <f>MIN(1,MAX(0,(A1022-I1022+1)*RampSpeed/J1022))</f>
        <v/>
      </c>
      <c r="M1022" s="45">
        <f>IF(A1022&lt;I1022,0,IF(K1022="S-curve",L1022*L1022*(3-2*L1022),L1022))</f>
        <v/>
      </c>
      <c r="N1022" s="45">
        <f>1+(INDEX(SeasonIdx,A1022)-1)*SeasonAmp</f>
        <v/>
      </c>
      <c r="O1022" s="45">
        <f>IFERROR(INDEX(PSPct,MATCH(E1022&amp;"|"&amp;G1022,PSKey,0)),0)</f>
        <v/>
      </c>
      <c r="P1022" s="46">
        <f>INDEX(ChDoorVel,MATCH(E1022,ChName,0))*CalibScalar*(1+VelocityUplift)</f>
        <v/>
      </c>
      <c r="Q1022" s="46" t="n">
        <v>0</v>
      </c>
      <c r="R1022" s="46">
        <f>P1022*O1022*M1022*N1022*H1022</f>
        <v/>
      </c>
      <c r="S1022" s="46">
        <f>R1022*INDEX(FmtCansPerCase,MATCH(F1022,FmtName,0))</f>
        <v/>
      </c>
      <c r="T1022" s="46">
        <f>S1022/INDEX(FmtCansPerPack,MATCH(F1022,FmtName,0))</f>
        <v/>
      </c>
      <c r="U1022" s="47">
        <f>INDEX(ChBaseCP,MATCH(E1022,ChName,0))*(1+INDEX(ProvMod,MATCH(G1022,ProvCode,0)))*(1+PriceIndex)</f>
        <v/>
      </c>
      <c r="V1022" s="47">
        <f>R1022*U1022*INDEX(FmtBlendedPriceIdx,MATCH(F1022,FmtName,0))</f>
        <v/>
      </c>
      <c r="W1022" s="47">
        <f>T1022*INDEX(ProvSRP,MATCH(G1022,ProvCode,0))*(1+PriceIndex)</f>
        <v/>
      </c>
      <c r="X1022" s="47">
        <f>IF(GrossBasis="Wholesale",V1022,W1022)</f>
        <v/>
      </c>
      <c r="Y1022" s="47">
        <f>R1022*INDEX(FmtBlendedCogs,MATCH(F1022,FmtName,0))</f>
        <v/>
      </c>
      <c r="Z1022" s="47">
        <f>X1022-Y1022</f>
        <v/>
      </c>
    </row>
    <row r="1023">
      <c r="A1023" t="n">
        <v>15</v>
      </c>
      <c r="B1023" s="44">
        <f>FiscalStart+(A1023-1)*7</f>
        <v/>
      </c>
      <c r="C1023">
        <f>TEXT(B1023,"mmm yyyy")</f>
        <v/>
      </c>
      <c r="D1023">
        <f>"Q"&amp;(INT((A1023-1)/13)+1)</f>
        <v/>
      </c>
      <c r="E1023" t="inlineStr">
        <is>
          <t>On Premise</t>
        </is>
      </c>
      <c r="F1023">
        <f>IFERROR(INDEX(ChFormat,MATCH(E1023,ChName,0)),"")</f>
        <v/>
      </c>
      <c r="G1023" t="inlineStr">
        <is>
          <t>NL</t>
        </is>
      </c>
      <c r="H1023">
        <f>IF(A1023&lt;=NWeeks,1,0)</f>
        <v/>
      </c>
      <c r="I1023">
        <f>INDEX(ChLaunch,MATCH(E1023,ChName,0))</f>
        <v/>
      </c>
      <c r="J1023">
        <f>INDEX(ChWeeksFull,MATCH(E1023,ChName,0))</f>
        <v/>
      </c>
      <c r="K1023">
        <f>INDEX(ChRamp,MATCH(E1023,ChName,0))</f>
        <v/>
      </c>
      <c r="L1023" s="45">
        <f>MIN(1,MAX(0,(A1023-I1023+1)*RampSpeed/J1023))</f>
        <v/>
      </c>
      <c r="M1023" s="45">
        <f>IF(A1023&lt;I1023,0,IF(K1023="S-curve",L1023*L1023*(3-2*L1023),L1023))</f>
        <v/>
      </c>
      <c r="N1023" s="45">
        <f>1+(INDEX(SeasonIdx,A1023)-1)*SeasonAmp</f>
        <v/>
      </c>
      <c r="O1023" s="45">
        <f>IFERROR(INDEX(PSPct,MATCH(E1023&amp;"|"&amp;G1023,PSKey,0)),0)</f>
        <v/>
      </c>
      <c r="P1023" s="46">
        <f>INDEX(ChDoorVel,MATCH(E1023,ChName,0))*CalibScalar*(1+VelocityUplift)</f>
        <v/>
      </c>
      <c r="Q1023" s="46" t="n">
        <v>0</v>
      </c>
      <c r="R1023" s="46">
        <f>P1023*O1023*M1023*N1023*H1023</f>
        <v/>
      </c>
      <c r="S1023" s="46">
        <f>R1023*INDEX(FmtCansPerCase,MATCH(F1023,FmtName,0))</f>
        <v/>
      </c>
      <c r="T1023" s="46">
        <f>S1023/INDEX(FmtCansPerPack,MATCH(F1023,FmtName,0))</f>
        <v/>
      </c>
      <c r="U1023" s="47">
        <f>INDEX(ChBaseCP,MATCH(E1023,ChName,0))*(1+INDEX(ProvMod,MATCH(G1023,ProvCode,0)))*(1+PriceIndex)</f>
        <v/>
      </c>
      <c r="V1023" s="47">
        <f>R1023*U1023*INDEX(FmtBlendedPriceIdx,MATCH(F1023,FmtName,0))</f>
        <v/>
      </c>
      <c r="W1023" s="47">
        <f>T1023*INDEX(ProvSRP,MATCH(G1023,ProvCode,0))*(1+PriceIndex)</f>
        <v/>
      </c>
      <c r="X1023" s="47">
        <f>IF(GrossBasis="Wholesale",V1023,W1023)</f>
        <v/>
      </c>
      <c r="Y1023" s="47">
        <f>R1023*INDEX(FmtBlendedCogs,MATCH(F1023,FmtName,0))</f>
        <v/>
      </c>
      <c r="Z1023" s="47">
        <f>X1023-Y1023</f>
        <v/>
      </c>
    </row>
    <row r="1024">
      <c r="A1024" t="n">
        <v>16</v>
      </c>
      <c r="B1024" s="44">
        <f>FiscalStart+(A1024-1)*7</f>
        <v/>
      </c>
      <c r="C1024">
        <f>TEXT(B1024,"mmm yyyy")</f>
        <v/>
      </c>
      <c r="D1024">
        <f>"Q"&amp;(INT((A1024-1)/13)+1)</f>
        <v/>
      </c>
      <c r="E1024" t="inlineStr">
        <is>
          <t>On Premise</t>
        </is>
      </c>
      <c r="F1024">
        <f>IFERROR(INDEX(ChFormat,MATCH(E1024,ChName,0)),"")</f>
        <v/>
      </c>
      <c r="G1024" t="inlineStr">
        <is>
          <t>NL</t>
        </is>
      </c>
      <c r="H1024">
        <f>IF(A1024&lt;=NWeeks,1,0)</f>
        <v/>
      </c>
      <c r="I1024">
        <f>INDEX(ChLaunch,MATCH(E1024,ChName,0))</f>
        <v/>
      </c>
      <c r="J1024">
        <f>INDEX(ChWeeksFull,MATCH(E1024,ChName,0))</f>
        <v/>
      </c>
      <c r="K1024">
        <f>INDEX(ChRamp,MATCH(E1024,ChName,0))</f>
        <v/>
      </c>
      <c r="L1024" s="45">
        <f>MIN(1,MAX(0,(A1024-I1024+1)*RampSpeed/J1024))</f>
        <v/>
      </c>
      <c r="M1024" s="45">
        <f>IF(A1024&lt;I1024,0,IF(K1024="S-curve",L1024*L1024*(3-2*L1024),L1024))</f>
        <v/>
      </c>
      <c r="N1024" s="45">
        <f>1+(INDEX(SeasonIdx,A1024)-1)*SeasonAmp</f>
        <v/>
      </c>
      <c r="O1024" s="45">
        <f>IFERROR(INDEX(PSPct,MATCH(E1024&amp;"|"&amp;G1024,PSKey,0)),0)</f>
        <v/>
      </c>
      <c r="P1024" s="46">
        <f>INDEX(ChDoorVel,MATCH(E1024,ChName,0))*CalibScalar*(1+VelocityUplift)</f>
        <v/>
      </c>
      <c r="Q1024" s="46" t="n">
        <v>0</v>
      </c>
      <c r="R1024" s="46">
        <f>P1024*O1024*M1024*N1024*H1024</f>
        <v/>
      </c>
      <c r="S1024" s="46">
        <f>R1024*INDEX(FmtCansPerCase,MATCH(F1024,FmtName,0))</f>
        <v/>
      </c>
      <c r="T1024" s="46">
        <f>S1024/INDEX(FmtCansPerPack,MATCH(F1024,FmtName,0))</f>
        <v/>
      </c>
      <c r="U1024" s="47">
        <f>INDEX(ChBaseCP,MATCH(E1024,ChName,0))*(1+INDEX(ProvMod,MATCH(G1024,ProvCode,0)))*(1+PriceIndex)</f>
        <v/>
      </c>
      <c r="V1024" s="47">
        <f>R1024*U1024*INDEX(FmtBlendedPriceIdx,MATCH(F1024,FmtName,0))</f>
        <v/>
      </c>
      <c r="W1024" s="47">
        <f>T1024*INDEX(ProvSRP,MATCH(G1024,ProvCode,0))*(1+PriceIndex)</f>
        <v/>
      </c>
      <c r="X1024" s="47">
        <f>IF(GrossBasis="Wholesale",V1024,W1024)</f>
        <v/>
      </c>
      <c r="Y1024" s="47">
        <f>R1024*INDEX(FmtBlendedCogs,MATCH(F1024,FmtName,0))</f>
        <v/>
      </c>
      <c r="Z1024" s="47">
        <f>X1024-Y1024</f>
        <v/>
      </c>
    </row>
    <row r="1025">
      <c r="A1025" t="n">
        <v>17</v>
      </c>
      <c r="B1025" s="44">
        <f>FiscalStart+(A1025-1)*7</f>
        <v/>
      </c>
      <c r="C1025">
        <f>TEXT(B1025,"mmm yyyy")</f>
        <v/>
      </c>
      <c r="D1025">
        <f>"Q"&amp;(INT((A1025-1)/13)+1)</f>
        <v/>
      </c>
      <c r="E1025" t="inlineStr">
        <is>
          <t>On Premise</t>
        </is>
      </c>
      <c r="F1025">
        <f>IFERROR(INDEX(ChFormat,MATCH(E1025,ChName,0)),"")</f>
        <v/>
      </c>
      <c r="G1025" t="inlineStr">
        <is>
          <t>NL</t>
        </is>
      </c>
      <c r="H1025">
        <f>IF(A1025&lt;=NWeeks,1,0)</f>
        <v/>
      </c>
      <c r="I1025">
        <f>INDEX(ChLaunch,MATCH(E1025,ChName,0))</f>
        <v/>
      </c>
      <c r="J1025">
        <f>INDEX(ChWeeksFull,MATCH(E1025,ChName,0))</f>
        <v/>
      </c>
      <c r="K1025">
        <f>INDEX(ChRamp,MATCH(E1025,ChName,0))</f>
        <v/>
      </c>
      <c r="L1025" s="45">
        <f>MIN(1,MAX(0,(A1025-I1025+1)*RampSpeed/J1025))</f>
        <v/>
      </c>
      <c r="M1025" s="45">
        <f>IF(A1025&lt;I1025,0,IF(K1025="S-curve",L1025*L1025*(3-2*L1025),L1025))</f>
        <v/>
      </c>
      <c r="N1025" s="45">
        <f>1+(INDEX(SeasonIdx,A1025)-1)*SeasonAmp</f>
        <v/>
      </c>
      <c r="O1025" s="45">
        <f>IFERROR(INDEX(PSPct,MATCH(E1025&amp;"|"&amp;G1025,PSKey,0)),0)</f>
        <v/>
      </c>
      <c r="P1025" s="46">
        <f>INDEX(ChDoorVel,MATCH(E1025,ChName,0))*CalibScalar*(1+VelocityUplift)</f>
        <v/>
      </c>
      <c r="Q1025" s="46" t="n">
        <v>0</v>
      </c>
      <c r="R1025" s="46">
        <f>P1025*O1025*M1025*N1025*H1025</f>
        <v/>
      </c>
      <c r="S1025" s="46">
        <f>R1025*INDEX(FmtCansPerCase,MATCH(F1025,FmtName,0))</f>
        <v/>
      </c>
      <c r="T1025" s="46">
        <f>S1025/INDEX(FmtCansPerPack,MATCH(F1025,FmtName,0))</f>
        <v/>
      </c>
      <c r="U1025" s="47">
        <f>INDEX(ChBaseCP,MATCH(E1025,ChName,0))*(1+INDEX(ProvMod,MATCH(G1025,ProvCode,0)))*(1+PriceIndex)</f>
        <v/>
      </c>
      <c r="V1025" s="47">
        <f>R1025*U1025*INDEX(FmtBlendedPriceIdx,MATCH(F1025,FmtName,0))</f>
        <v/>
      </c>
      <c r="W1025" s="47">
        <f>T1025*INDEX(ProvSRP,MATCH(G1025,ProvCode,0))*(1+PriceIndex)</f>
        <v/>
      </c>
      <c r="X1025" s="47">
        <f>IF(GrossBasis="Wholesale",V1025,W1025)</f>
        <v/>
      </c>
      <c r="Y1025" s="47">
        <f>R1025*INDEX(FmtBlendedCogs,MATCH(F1025,FmtName,0))</f>
        <v/>
      </c>
      <c r="Z1025" s="47">
        <f>X1025-Y1025</f>
        <v/>
      </c>
    </row>
    <row r="1026">
      <c r="A1026" t="n">
        <v>18</v>
      </c>
      <c r="B1026" s="44">
        <f>FiscalStart+(A1026-1)*7</f>
        <v/>
      </c>
      <c r="C1026">
        <f>TEXT(B1026,"mmm yyyy")</f>
        <v/>
      </c>
      <c r="D1026">
        <f>"Q"&amp;(INT((A1026-1)/13)+1)</f>
        <v/>
      </c>
      <c r="E1026" t="inlineStr">
        <is>
          <t>On Premise</t>
        </is>
      </c>
      <c r="F1026">
        <f>IFERROR(INDEX(ChFormat,MATCH(E1026,ChName,0)),"")</f>
        <v/>
      </c>
      <c r="G1026" t="inlineStr">
        <is>
          <t>NL</t>
        </is>
      </c>
      <c r="H1026">
        <f>IF(A1026&lt;=NWeeks,1,0)</f>
        <v/>
      </c>
      <c r="I1026">
        <f>INDEX(ChLaunch,MATCH(E1026,ChName,0))</f>
        <v/>
      </c>
      <c r="J1026">
        <f>INDEX(ChWeeksFull,MATCH(E1026,ChName,0))</f>
        <v/>
      </c>
      <c r="K1026">
        <f>INDEX(ChRamp,MATCH(E1026,ChName,0))</f>
        <v/>
      </c>
      <c r="L1026" s="45">
        <f>MIN(1,MAX(0,(A1026-I1026+1)*RampSpeed/J1026))</f>
        <v/>
      </c>
      <c r="M1026" s="45">
        <f>IF(A1026&lt;I1026,0,IF(K1026="S-curve",L1026*L1026*(3-2*L1026),L1026))</f>
        <v/>
      </c>
      <c r="N1026" s="45">
        <f>1+(INDEX(SeasonIdx,A1026)-1)*SeasonAmp</f>
        <v/>
      </c>
      <c r="O1026" s="45">
        <f>IFERROR(INDEX(PSPct,MATCH(E1026&amp;"|"&amp;G1026,PSKey,0)),0)</f>
        <v/>
      </c>
      <c r="P1026" s="46">
        <f>INDEX(ChDoorVel,MATCH(E1026,ChName,0))*CalibScalar*(1+VelocityUplift)</f>
        <v/>
      </c>
      <c r="Q1026" s="46" t="n">
        <v>0</v>
      </c>
      <c r="R1026" s="46">
        <f>P1026*O1026*M1026*N1026*H1026</f>
        <v/>
      </c>
      <c r="S1026" s="46">
        <f>R1026*INDEX(FmtCansPerCase,MATCH(F1026,FmtName,0))</f>
        <v/>
      </c>
      <c r="T1026" s="46">
        <f>S1026/INDEX(FmtCansPerPack,MATCH(F1026,FmtName,0))</f>
        <v/>
      </c>
      <c r="U1026" s="47">
        <f>INDEX(ChBaseCP,MATCH(E1026,ChName,0))*(1+INDEX(ProvMod,MATCH(G1026,ProvCode,0)))*(1+PriceIndex)</f>
        <v/>
      </c>
      <c r="V1026" s="47">
        <f>R1026*U1026*INDEX(FmtBlendedPriceIdx,MATCH(F1026,FmtName,0))</f>
        <v/>
      </c>
      <c r="W1026" s="47">
        <f>T1026*INDEX(ProvSRP,MATCH(G1026,ProvCode,0))*(1+PriceIndex)</f>
        <v/>
      </c>
      <c r="X1026" s="47">
        <f>IF(GrossBasis="Wholesale",V1026,W1026)</f>
        <v/>
      </c>
      <c r="Y1026" s="47">
        <f>R1026*INDEX(FmtBlendedCogs,MATCH(F1026,FmtName,0))</f>
        <v/>
      </c>
      <c r="Z1026" s="47">
        <f>X1026-Y1026</f>
        <v/>
      </c>
    </row>
    <row r="1027">
      <c r="A1027" t="n">
        <v>19</v>
      </c>
      <c r="B1027" s="44">
        <f>FiscalStart+(A1027-1)*7</f>
        <v/>
      </c>
      <c r="C1027">
        <f>TEXT(B1027,"mmm yyyy")</f>
        <v/>
      </c>
      <c r="D1027">
        <f>"Q"&amp;(INT((A1027-1)/13)+1)</f>
        <v/>
      </c>
      <c r="E1027" t="inlineStr">
        <is>
          <t>On Premise</t>
        </is>
      </c>
      <c r="F1027">
        <f>IFERROR(INDEX(ChFormat,MATCH(E1027,ChName,0)),"")</f>
        <v/>
      </c>
      <c r="G1027" t="inlineStr">
        <is>
          <t>NL</t>
        </is>
      </c>
      <c r="H1027">
        <f>IF(A1027&lt;=NWeeks,1,0)</f>
        <v/>
      </c>
      <c r="I1027">
        <f>INDEX(ChLaunch,MATCH(E1027,ChName,0))</f>
        <v/>
      </c>
      <c r="J1027">
        <f>INDEX(ChWeeksFull,MATCH(E1027,ChName,0))</f>
        <v/>
      </c>
      <c r="K1027">
        <f>INDEX(ChRamp,MATCH(E1027,ChName,0))</f>
        <v/>
      </c>
      <c r="L1027" s="45">
        <f>MIN(1,MAX(0,(A1027-I1027+1)*RampSpeed/J1027))</f>
        <v/>
      </c>
      <c r="M1027" s="45">
        <f>IF(A1027&lt;I1027,0,IF(K1027="S-curve",L1027*L1027*(3-2*L1027),L1027))</f>
        <v/>
      </c>
      <c r="N1027" s="45">
        <f>1+(INDEX(SeasonIdx,A1027)-1)*SeasonAmp</f>
        <v/>
      </c>
      <c r="O1027" s="45">
        <f>IFERROR(INDEX(PSPct,MATCH(E1027&amp;"|"&amp;G1027,PSKey,0)),0)</f>
        <v/>
      </c>
      <c r="P1027" s="46">
        <f>INDEX(ChDoorVel,MATCH(E1027,ChName,0))*CalibScalar*(1+VelocityUplift)</f>
        <v/>
      </c>
      <c r="Q1027" s="46" t="n">
        <v>0</v>
      </c>
      <c r="R1027" s="46">
        <f>P1027*O1027*M1027*N1027*H1027</f>
        <v/>
      </c>
      <c r="S1027" s="46">
        <f>R1027*INDEX(FmtCansPerCase,MATCH(F1027,FmtName,0))</f>
        <v/>
      </c>
      <c r="T1027" s="46">
        <f>S1027/INDEX(FmtCansPerPack,MATCH(F1027,FmtName,0))</f>
        <v/>
      </c>
      <c r="U1027" s="47">
        <f>INDEX(ChBaseCP,MATCH(E1027,ChName,0))*(1+INDEX(ProvMod,MATCH(G1027,ProvCode,0)))*(1+PriceIndex)</f>
        <v/>
      </c>
      <c r="V1027" s="47">
        <f>R1027*U1027*INDEX(FmtBlendedPriceIdx,MATCH(F1027,FmtName,0))</f>
        <v/>
      </c>
      <c r="W1027" s="47">
        <f>T1027*INDEX(ProvSRP,MATCH(G1027,ProvCode,0))*(1+PriceIndex)</f>
        <v/>
      </c>
      <c r="X1027" s="47">
        <f>IF(GrossBasis="Wholesale",V1027,W1027)</f>
        <v/>
      </c>
      <c r="Y1027" s="47">
        <f>R1027*INDEX(FmtBlendedCogs,MATCH(F1027,FmtName,0))</f>
        <v/>
      </c>
      <c r="Z1027" s="47">
        <f>X1027-Y1027</f>
        <v/>
      </c>
    </row>
    <row r="1028">
      <c r="A1028" t="n">
        <v>20</v>
      </c>
      <c r="B1028" s="44">
        <f>FiscalStart+(A1028-1)*7</f>
        <v/>
      </c>
      <c r="C1028">
        <f>TEXT(B1028,"mmm yyyy")</f>
        <v/>
      </c>
      <c r="D1028">
        <f>"Q"&amp;(INT((A1028-1)/13)+1)</f>
        <v/>
      </c>
      <c r="E1028" t="inlineStr">
        <is>
          <t>On Premise</t>
        </is>
      </c>
      <c r="F1028">
        <f>IFERROR(INDEX(ChFormat,MATCH(E1028,ChName,0)),"")</f>
        <v/>
      </c>
      <c r="G1028" t="inlineStr">
        <is>
          <t>NL</t>
        </is>
      </c>
      <c r="H1028">
        <f>IF(A1028&lt;=NWeeks,1,0)</f>
        <v/>
      </c>
      <c r="I1028">
        <f>INDEX(ChLaunch,MATCH(E1028,ChName,0))</f>
        <v/>
      </c>
      <c r="J1028">
        <f>INDEX(ChWeeksFull,MATCH(E1028,ChName,0))</f>
        <v/>
      </c>
      <c r="K1028">
        <f>INDEX(ChRamp,MATCH(E1028,ChName,0))</f>
        <v/>
      </c>
      <c r="L1028" s="45">
        <f>MIN(1,MAX(0,(A1028-I1028+1)*RampSpeed/J1028))</f>
        <v/>
      </c>
      <c r="M1028" s="45">
        <f>IF(A1028&lt;I1028,0,IF(K1028="S-curve",L1028*L1028*(3-2*L1028),L1028))</f>
        <v/>
      </c>
      <c r="N1028" s="45">
        <f>1+(INDEX(SeasonIdx,A1028)-1)*SeasonAmp</f>
        <v/>
      </c>
      <c r="O1028" s="45">
        <f>IFERROR(INDEX(PSPct,MATCH(E1028&amp;"|"&amp;G1028,PSKey,0)),0)</f>
        <v/>
      </c>
      <c r="P1028" s="46">
        <f>INDEX(ChDoorVel,MATCH(E1028,ChName,0))*CalibScalar*(1+VelocityUplift)</f>
        <v/>
      </c>
      <c r="Q1028" s="46" t="n">
        <v>0</v>
      </c>
      <c r="R1028" s="46">
        <f>P1028*O1028*M1028*N1028*H1028</f>
        <v/>
      </c>
      <c r="S1028" s="46">
        <f>R1028*INDEX(FmtCansPerCase,MATCH(F1028,FmtName,0))</f>
        <v/>
      </c>
      <c r="T1028" s="46">
        <f>S1028/INDEX(FmtCansPerPack,MATCH(F1028,FmtName,0))</f>
        <v/>
      </c>
      <c r="U1028" s="47">
        <f>INDEX(ChBaseCP,MATCH(E1028,ChName,0))*(1+INDEX(ProvMod,MATCH(G1028,ProvCode,0)))*(1+PriceIndex)</f>
        <v/>
      </c>
      <c r="V1028" s="47">
        <f>R1028*U1028*INDEX(FmtBlendedPriceIdx,MATCH(F1028,FmtName,0))</f>
        <v/>
      </c>
      <c r="W1028" s="47">
        <f>T1028*INDEX(ProvSRP,MATCH(G1028,ProvCode,0))*(1+PriceIndex)</f>
        <v/>
      </c>
      <c r="X1028" s="47">
        <f>IF(GrossBasis="Wholesale",V1028,W1028)</f>
        <v/>
      </c>
      <c r="Y1028" s="47">
        <f>R1028*INDEX(FmtBlendedCogs,MATCH(F1028,FmtName,0))</f>
        <v/>
      </c>
      <c r="Z1028" s="47">
        <f>X1028-Y1028</f>
        <v/>
      </c>
    </row>
    <row r="1029">
      <c r="A1029" t="n">
        <v>21</v>
      </c>
      <c r="B1029" s="44">
        <f>FiscalStart+(A1029-1)*7</f>
        <v/>
      </c>
      <c r="C1029">
        <f>TEXT(B1029,"mmm yyyy")</f>
        <v/>
      </c>
      <c r="D1029">
        <f>"Q"&amp;(INT((A1029-1)/13)+1)</f>
        <v/>
      </c>
      <c r="E1029" t="inlineStr">
        <is>
          <t>On Premise</t>
        </is>
      </c>
      <c r="F1029">
        <f>IFERROR(INDEX(ChFormat,MATCH(E1029,ChName,0)),"")</f>
        <v/>
      </c>
      <c r="G1029" t="inlineStr">
        <is>
          <t>NL</t>
        </is>
      </c>
      <c r="H1029">
        <f>IF(A1029&lt;=NWeeks,1,0)</f>
        <v/>
      </c>
      <c r="I1029">
        <f>INDEX(ChLaunch,MATCH(E1029,ChName,0))</f>
        <v/>
      </c>
      <c r="J1029">
        <f>INDEX(ChWeeksFull,MATCH(E1029,ChName,0))</f>
        <v/>
      </c>
      <c r="K1029">
        <f>INDEX(ChRamp,MATCH(E1029,ChName,0))</f>
        <v/>
      </c>
      <c r="L1029" s="45">
        <f>MIN(1,MAX(0,(A1029-I1029+1)*RampSpeed/J1029))</f>
        <v/>
      </c>
      <c r="M1029" s="45">
        <f>IF(A1029&lt;I1029,0,IF(K1029="S-curve",L1029*L1029*(3-2*L1029),L1029))</f>
        <v/>
      </c>
      <c r="N1029" s="45">
        <f>1+(INDEX(SeasonIdx,A1029)-1)*SeasonAmp</f>
        <v/>
      </c>
      <c r="O1029" s="45">
        <f>IFERROR(INDEX(PSPct,MATCH(E1029&amp;"|"&amp;G1029,PSKey,0)),0)</f>
        <v/>
      </c>
      <c r="P1029" s="46">
        <f>INDEX(ChDoorVel,MATCH(E1029,ChName,0))*CalibScalar*(1+VelocityUplift)</f>
        <v/>
      </c>
      <c r="Q1029" s="46" t="n">
        <v>0</v>
      </c>
      <c r="R1029" s="46">
        <f>P1029*O1029*M1029*N1029*H1029</f>
        <v/>
      </c>
      <c r="S1029" s="46">
        <f>R1029*INDEX(FmtCansPerCase,MATCH(F1029,FmtName,0))</f>
        <v/>
      </c>
      <c r="T1029" s="46">
        <f>S1029/INDEX(FmtCansPerPack,MATCH(F1029,FmtName,0))</f>
        <v/>
      </c>
      <c r="U1029" s="47">
        <f>INDEX(ChBaseCP,MATCH(E1029,ChName,0))*(1+INDEX(ProvMod,MATCH(G1029,ProvCode,0)))*(1+PriceIndex)</f>
        <v/>
      </c>
      <c r="V1029" s="47">
        <f>R1029*U1029*INDEX(FmtBlendedPriceIdx,MATCH(F1029,FmtName,0))</f>
        <v/>
      </c>
      <c r="W1029" s="47">
        <f>T1029*INDEX(ProvSRP,MATCH(G1029,ProvCode,0))*(1+PriceIndex)</f>
        <v/>
      </c>
      <c r="X1029" s="47">
        <f>IF(GrossBasis="Wholesale",V1029,W1029)</f>
        <v/>
      </c>
      <c r="Y1029" s="47">
        <f>R1029*INDEX(FmtBlendedCogs,MATCH(F1029,FmtName,0))</f>
        <v/>
      </c>
      <c r="Z1029" s="47">
        <f>X1029-Y1029</f>
        <v/>
      </c>
    </row>
    <row r="1030">
      <c r="A1030" t="n">
        <v>22</v>
      </c>
      <c r="B1030" s="44">
        <f>FiscalStart+(A1030-1)*7</f>
        <v/>
      </c>
      <c r="C1030">
        <f>TEXT(B1030,"mmm yyyy")</f>
        <v/>
      </c>
      <c r="D1030">
        <f>"Q"&amp;(INT((A1030-1)/13)+1)</f>
        <v/>
      </c>
      <c r="E1030" t="inlineStr">
        <is>
          <t>On Premise</t>
        </is>
      </c>
      <c r="F1030">
        <f>IFERROR(INDEX(ChFormat,MATCH(E1030,ChName,0)),"")</f>
        <v/>
      </c>
      <c r="G1030" t="inlineStr">
        <is>
          <t>NL</t>
        </is>
      </c>
      <c r="H1030">
        <f>IF(A1030&lt;=NWeeks,1,0)</f>
        <v/>
      </c>
      <c r="I1030">
        <f>INDEX(ChLaunch,MATCH(E1030,ChName,0))</f>
        <v/>
      </c>
      <c r="J1030">
        <f>INDEX(ChWeeksFull,MATCH(E1030,ChName,0))</f>
        <v/>
      </c>
      <c r="K1030">
        <f>INDEX(ChRamp,MATCH(E1030,ChName,0))</f>
        <v/>
      </c>
      <c r="L1030" s="45">
        <f>MIN(1,MAX(0,(A1030-I1030+1)*RampSpeed/J1030))</f>
        <v/>
      </c>
      <c r="M1030" s="45">
        <f>IF(A1030&lt;I1030,0,IF(K1030="S-curve",L1030*L1030*(3-2*L1030),L1030))</f>
        <v/>
      </c>
      <c r="N1030" s="45">
        <f>1+(INDEX(SeasonIdx,A1030)-1)*SeasonAmp</f>
        <v/>
      </c>
      <c r="O1030" s="45">
        <f>IFERROR(INDEX(PSPct,MATCH(E1030&amp;"|"&amp;G1030,PSKey,0)),0)</f>
        <v/>
      </c>
      <c r="P1030" s="46">
        <f>INDEX(ChDoorVel,MATCH(E1030,ChName,0))*CalibScalar*(1+VelocityUplift)</f>
        <v/>
      </c>
      <c r="Q1030" s="46" t="n">
        <v>0</v>
      </c>
      <c r="R1030" s="46">
        <f>P1030*O1030*M1030*N1030*H1030</f>
        <v/>
      </c>
      <c r="S1030" s="46">
        <f>R1030*INDEX(FmtCansPerCase,MATCH(F1030,FmtName,0))</f>
        <v/>
      </c>
      <c r="T1030" s="46">
        <f>S1030/INDEX(FmtCansPerPack,MATCH(F1030,FmtName,0))</f>
        <v/>
      </c>
      <c r="U1030" s="47">
        <f>INDEX(ChBaseCP,MATCH(E1030,ChName,0))*(1+INDEX(ProvMod,MATCH(G1030,ProvCode,0)))*(1+PriceIndex)</f>
        <v/>
      </c>
      <c r="V1030" s="47">
        <f>R1030*U1030*INDEX(FmtBlendedPriceIdx,MATCH(F1030,FmtName,0))</f>
        <v/>
      </c>
      <c r="W1030" s="47">
        <f>T1030*INDEX(ProvSRP,MATCH(G1030,ProvCode,0))*(1+PriceIndex)</f>
        <v/>
      </c>
      <c r="X1030" s="47">
        <f>IF(GrossBasis="Wholesale",V1030,W1030)</f>
        <v/>
      </c>
      <c r="Y1030" s="47">
        <f>R1030*INDEX(FmtBlendedCogs,MATCH(F1030,FmtName,0))</f>
        <v/>
      </c>
      <c r="Z1030" s="47">
        <f>X1030-Y1030</f>
        <v/>
      </c>
    </row>
    <row r="1031">
      <c r="A1031" t="n">
        <v>23</v>
      </c>
      <c r="B1031" s="44">
        <f>FiscalStart+(A1031-1)*7</f>
        <v/>
      </c>
      <c r="C1031">
        <f>TEXT(B1031,"mmm yyyy")</f>
        <v/>
      </c>
      <c r="D1031">
        <f>"Q"&amp;(INT((A1031-1)/13)+1)</f>
        <v/>
      </c>
      <c r="E1031" t="inlineStr">
        <is>
          <t>On Premise</t>
        </is>
      </c>
      <c r="F1031">
        <f>IFERROR(INDEX(ChFormat,MATCH(E1031,ChName,0)),"")</f>
        <v/>
      </c>
      <c r="G1031" t="inlineStr">
        <is>
          <t>NL</t>
        </is>
      </c>
      <c r="H1031">
        <f>IF(A1031&lt;=NWeeks,1,0)</f>
        <v/>
      </c>
      <c r="I1031">
        <f>INDEX(ChLaunch,MATCH(E1031,ChName,0))</f>
        <v/>
      </c>
      <c r="J1031">
        <f>INDEX(ChWeeksFull,MATCH(E1031,ChName,0))</f>
        <v/>
      </c>
      <c r="K1031">
        <f>INDEX(ChRamp,MATCH(E1031,ChName,0))</f>
        <v/>
      </c>
      <c r="L1031" s="45">
        <f>MIN(1,MAX(0,(A1031-I1031+1)*RampSpeed/J1031))</f>
        <v/>
      </c>
      <c r="M1031" s="45">
        <f>IF(A1031&lt;I1031,0,IF(K1031="S-curve",L1031*L1031*(3-2*L1031),L1031))</f>
        <v/>
      </c>
      <c r="N1031" s="45">
        <f>1+(INDEX(SeasonIdx,A1031)-1)*SeasonAmp</f>
        <v/>
      </c>
      <c r="O1031" s="45">
        <f>IFERROR(INDEX(PSPct,MATCH(E1031&amp;"|"&amp;G1031,PSKey,0)),0)</f>
        <v/>
      </c>
      <c r="P1031" s="46">
        <f>INDEX(ChDoorVel,MATCH(E1031,ChName,0))*CalibScalar*(1+VelocityUplift)</f>
        <v/>
      </c>
      <c r="Q1031" s="46" t="n">
        <v>0</v>
      </c>
      <c r="R1031" s="46">
        <f>P1031*O1031*M1031*N1031*H1031</f>
        <v/>
      </c>
      <c r="S1031" s="46">
        <f>R1031*INDEX(FmtCansPerCase,MATCH(F1031,FmtName,0))</f>
        <v/>
      </c>
      <c r="T1031" s="46">
        <f>S1031/INDEX(FmtCansPerPack,MATCH(F1031,FmtName,0))</f>
        <v/>
      </c>
      <c r="U1031" s="47">
        <f>INDEX(ChBaseCP,MATCH(E1031,ChName,0))*(1+INDEX(ProvMod,MATCH(G1031,ProvCode,0)))*(1+PriceIndex)</f>
        <v/>
      </c>
      <c r="V1031" s="47">
        <f>R1031*U1031*INDEX(FmtBlendedPriceIdx,MATCH(F1031,FmtName,0))</f>
        <v/>
      </c>
      <c r="W1031" s="47">
        <f>T1031*INDEX(ProvSRP,MATCH(G1031,ProvCode,0))*(1+PriceIndex)</f>
        <v/>
      </c>
      <c r="X1031" s="47">
        <f>IF(GrossBasis="Wholesale",V1031,W1031)</f>
        <v/>
      </c>
      <c r="Y1031" s="47">
        <f>R1031*INDEX(FmtBlendedCogs,MATCH(F1031,FmtName,0))</f>
        <v/>
      </c>
      <c r="Z1031" s="47">
        <f>X1031-Y1031</f>
        <v/>
      </c>
    </row>
    <row r="1032">
      <c r="A1032" t="n">
        <v>24</v>
      </c>
      <c r="B1032" s="44">
        <f>FiscalStart+(A1032-1)*7</f>
        <v/>
      </c>
      <c r="C1032">
        <f>TEXT(B1032,"mmm yyyy")</f>
        <v/>
      </c>
      <c r="D1032">
        <f>"Q"&amp;(INT((A1032-1)/13)+1)</f>
        <v/>
      </c>
      <c r="E1032" t="inlineStr">
        <is>
          <t>On Premise</t>
        </is>
      </c>
      <c r="F1032">
        <f>IFERROR(INDEX(ChFormat,MATCH(E1032,ChName,0)),"")</f>
        <v/>
      </c>
      <c r="G1032" t="inlineStr">
        <is>
          <t>NL</t>
        </is>
      </c>
      <c r="H1032">
        <f>IF(A1032&lt;=NWeeks,1,0)</f>
        <v/>
      </c>
      <c r="I1032">
        <f>INDEX(ChLaunch,MATCH(E1032,ChName,0))</f>
        <v/>
      </c>
      <c r="J1032">
        <f>INDEX(ChWeeksFull,MATCH(E1032,ChName,0))</f>
        <v/>
      </c>
      <c r="K1032">
        <f>INDEX(ChRamp,MATCH(E1032,ChName,0))</f>
        <v/>
      </c>
      <c r="L1032" s="45">
        <f>MIN(1,MAX(0,(A1032-I1032+1)*RampSpeed/J1032))</f>
        <v/>
      </c>
      <c r="M1032" s="45">
        <f>IF(A1032&lt;I1032,0,IF(K1032="S-curve",L1032*L1032*(3-2*L1032),L1032))</f>
        <v/>
      </c>
      <c r="N1032" s="45">
        <f>1+(INDEX(SeasonIdx,A1032)-1)*SeasonAmp</f>
        <v/>
      </c>
      <c r="O1032" s="45">
        <f>IFERROR(INDEX(PSPct,MATCH(E1032&amp;"|"&amp;G1032,PSKey,0)),0)</f>
        <v/>
      </c>
      <c r="P1032" s="46">
        <f>INDEX(ChDoorVel,MATCH(E1032,ChName,0))*CalibScalar*(1+VelocityUplift)</f>
        <v/>
      </c>
      <c r="Q1032" s="46" t="n">
        <v>0</v>
      </c>
      <c r="R1032" s="46">
        <f>P1032*O1032*M1032*N1032*H1032</f>
        <v/>
      </c>
      <c r="S1032" s="46">
        <f>R1032*INDEX(FmtCansPerCase,MATCH(F1032,FmtName,0))</f>
        <v/>
      </c>
      <c r="T1032" s="46">
        <f>S1032/INDEX(FmtCansPerPack,MATCH(F1032,FmtName,0))</f>
        <v/>
      </c>
      <c r="U1032" s="47">
        <f>INDEX(ChBaseCP,MATCH(E1032,ChName,0))*(1+INDEX(ProvMod,MATCH(G1032,ProvCode,0)))*(1+PriceIndex)</f>
        <v/>
      </c>
      <c r="V1032" s="47">
        <f>R1032*U1032*INDEX(FmtBlendedPriceIdx,MATCH(F1032,FmtName,0))</f>
        <v/>
      </c>
      <c r="W1032" s="47">
        <f>T1032*INDEX(ProvSRP,MATCH(G1032,ProvCode,0))*(1+PriceIndex)</f>
        <v/>
      </c>
      <c r="X1032" s="47">
        <f>IF(GrossBasis="Wholesale",V1032,W1032)</f>
        <v/>
      </c>
      <c r="Y1032" s="47">
        <f>R1032*INDEX(FmtBlendedCogs,MATCH(F1032,FmtName,0))</f>
        <v/>
      </c>
      <c r="Z1032" s="47">
        <f>X1032-Y1032</f>
        <v/>
      </c>
    </row>
    <row r="1033">
      <c r="A1033" t="n">
        <v>25</v>
      </c>
      <c r="B1033" s="44">
        <f>FiscalStart+(A1033-1)*7</f>
        <v/>
      </c>
      <c r="C1033">
        <f>TEXT(B1033,"mmm yyyy")</f>
        <v/>
      </c>
      <c r="D1033">
        <f>"Q"&amp;(INT((A1033-1)/13)+1)</f>
        <v/>
      </c>
      <c r="E1033" t="inlineStr">
        <is>
          <t>On Premise</t>
        </is>
      </c>
      <c r="F1033">
        <f>IFERROR(INDEX(ChFormat,MATCH(E1033,ChName,0)),"")</f>
        <v/>
      </c>
      <c r="G1033" t="inlineStr">
        <is>
          <t>NL</t>
        </is>
      </c>
      <c r="H1033">
        <f>IF(A1033&lt;=NWeeks,1,0)</f>
        <v/>
      </c>
      <c r="I1033">
        <f>INDEX(ChLaunch,MATCH(E1033,ChName,0))</f>
        <v/>
      </c>
      <c r="J1033">
        <f>INDEX(ChWeeksFull,MATCH(E1033,ChName,0))</f>
        <v/>
      </c>
      <c r="K1033">
        <f>INDEX(ChRamp,MATCH(E1033,ChName,0))</f>
        <v/>
      </c>
      <c r="L1033" s="45">
        <f>MIN(1,MAX(0,(A1033-I1033+1)*RampSpeed/J1033))</f>
        <v/>
      </c>
      <c r="M1033" s="45">
        <f>IF(A1033&lt;I1033,0,IF(K1033="S-curve",L1033*L1033*(3-2*L1033),L1033))</f>
        <v/>
      </c>
      <c r="N1033" s="45">
        <f>1+(INDEX(SeasonIdx,A1033)-1)*SeasonAmp</f>
        <v/>
      </c>
      <c r="O1033" s="45">
        <f>IFERROR(INDEX(PSPct,MATCH(E1033&amp;"|"&amp;G1033,PSKey,0)),0)</f>
        <v/>
      </c>
      <c r="P1033" s="46">
        <f>INDEX(ChDoorVel,MATCH(E1033,ChName,0))*CalibScalar*(1+VelocityUplift)</f>
        <v/>
      </c>
      <c r="Q1033" s="46" t="n">
        <v>0</v>
      </c>
      <c r="R1033" s="46">
        <f>P1033*O1033*M1033*N1033*H1033</f>
        <v/>
      </c>
      <c r="S1033" s="46">
        <f>R1033*INDEX(FmtCansPerCase,MATCH(F1033,FmtName,0))</f>
        <v/>
      </c>
      <c r="T1033" s="46">
        <f>S1033/INDEX(FmtCansPerPack,MATCH(F1033,FmtName,0))</f>
        <v/>
      </c>
      <c r="U1033" s="47">
        <f>INDEX(ChBaseCP,MATCH(E1033,ChName,0))*(1+INDEX(ProvMod,MATCH(G1033,ProvCode,0)))*(1+PriceIndex)</f>
        <v/>
      </c>
      <c r="V1033" s="47">
        <f>R1033*U1033*INDEX(FmtBlendedPriceIdx,MATCH(F1033,FmtName,0))</f>
        <v/>
      </c>
      <c r="W1033" s="47">
        <f>T1033*INDEX(ProvSRP,MATCH(G1033,ProvCode,0))*(1+PriceIndex)</f>
        <v/>
      </c>
      <c r="X1033" s="47">
        <f>IF(GrossBasis="Wholesale",V1033,W1033)</f>
        <v/>
      </c>
      <c r="Y1033" s="47">
        <f>R1033*INDEX(FmtBlendedCogs,MATCH(F1033,FmtName,0))</f>
        <v/>
      </c>
      <c r="Z1033" s="47">
        <f>X1033-Y1033</f>
        <v/>
      </c>
    </row>
    <row r="1034">
      <c r="A1034" t="n">
        <v>26</v>
      </c>
      <c r="B1034" s="44">
        <f>FiscalStart+(A1034-1)*7</f>
        <v/>
      </c>
      <c r="C1034">
        <f>TEXT(B1034,"mmm yyyy")</f>
        <v/>
      </c>
      <c r="D1034">
        <f>"Q"&amp;(INT((A1034-1)/13)+1)</f>
        <v/>
      </c>
      <c r="E1034" t="inlineStr">
        <is>
          <t>On Premise</t>
        </is>
      </c>
      <c r="F1034">
        <f>IFERROR(INDEX(ChFormat,MATCH(E1034,ChName,0)),"")</f>
        <v/>
      </c>
      <c r="G1034" t="inlineStr">
        <is>
          <t>NL</t>
        </is>
      </c>
      <c r="H1034">
        <f>IF(A1034&lt;=NWeeks,1,0)</f>
        <v/>
      </c>
      <c r="I1034">
        <f>INDEX(ChLaunch,MATCH(E1034,ChName,0))</f>
        <v/>
      </c>
      <c r="J1034">
        <f>INDEX(ChWeeksFull,MATCH(E1034,ChName,0))</f>
        <v/>
      </c>
      <c r="K1034">
        <f>INDEX(ChRamp,MATCH(E1034,ChName,0))</f>
        <v/>
      </c>
      <c r="L1034" s="45">
        <f>MIN(1,MAX(0,(A1034-I1034+1)*RampSpeed/J1034))</f>
        <v/>
      </c>
      <c r="M1034" s="45">
        <f>IF(A1034&lt;I1034,0,IF(K1034="S-curve",L1034*L1034*(3-2*L1034),L1034))</f>
        <v/>
      </c>
      <c r="N1034" s="45">
        <f>1+(INDEX(SeasonIdx,A1034)-1)*SeasonAmp</f>
        <v/>
      </c>
      <c r="O1034" s="45">
        <f>IFERROR(INDEX(PSPct,MATCH(E1034&amp;"|"&amp;G1034,PSKey,0)),0)</f>
        <v/>
      </c>
      <c r="P1034" s="46">
        <f>INDEX(ChDoorVel,MATCH(E1034,ChName,0))*CalibScalar*(1+VelocityUplift)</f>
        <v/>
      </c>
      <c r="Q1034" s="46" t="n">
        <v>0</v>
      </c>
      <c r="R1034" s="46">
        <f>P1034*O1034*M1034*N1034*H1034</f>
        <v/>
      </c>
      <c r="S1034" s="46">
        <f>R1034*INDEX(FmtCansPerCase,MATCH(F1034,FmtName,0))</f>
        <v/>
      </c>
      <c r="T1034" s="46">
        <f>S1034/INDEX(FmtCansPerPack,MATCH(F1034,FmtName,0))</f>
        <v/>
      </c>
      <c r="U1034" s="47">
        <f>INDEX(ChBaseCP,MATCH(E1034,ChName,0))*(1+INDEX(ProvMod,MATCH(G1034,ProvCode,0)))*(1+PriceIndex)</f>
        <v/>
      </c>
      <c r="V1034" s="47">
        <f>R1034*U1034*INDEX(FmtBlendedPriceIdx,MATCH(F1034,FmtName,0))</f>
        <v/>
      </c>
      <c r="W1034" s="47">
        <f>T1034*INDEX(ProvSRP,MATCH(G1034,ProvCode,0))*(1+PriceIndex)</f>
        <v/>
      </c>
      <c r="X1034" s="47">
        <f>IF(GrossBasis="Wholesale",V1034,W1034)</f>
        <v/>
      </c>
      <c r="Y1034" s="47">
        <f>R1034*INDEX(FmtBlendedCogs,MATCH(F1034,FmtName,0))</f>
        <v/>
      </c>
      <c r="Z1034" s="47">
        <f>X1034-Y1034</f>
        <v/>
      </c>
    </row>
    <row r="1035">
      <c r="A1035" t="n">
        <v>27</v>
      </c>
      <c r="B1035" s="44">
        <f>FiscalStart+(A1035-1)*7</f>
        <v/>
      </c>
      <c r="C1035">
        <f>TEXT(B1035,"mmm yyyy")</f>
        <v/>
      </c>
      <c r="D1035">
        <f>"Q"&amp;(INT((A1035-1)/13)+1)</f>
        <v/>
      </c>
      <c r="E1035" t="inlineStr">
        <is>
          <t>On Premise</t>
        </is>
      </c>
      <c r="F1035">
        <f>IFERROR(INDEX(ChFormat,MATCH(E1035,ChName,0)),"")</f>
        <v/>
      </c>
      <c r="G1035" t="inlineStr">
        <is>
          <t>NL</t>
        </is>
      </c>
      <c r="H1035">
        <f>IF(A1035&lt;=NWeeks,1,0)</f>
        <v/>
      </c>
      <c r="I1035">
        <f>INDEX(ChLaunch,MATCH(E1035,ChName,0))</f>
        <v/>
      </c>
      <c r="J1035">
        <f>INDEX(ChWeeksFull,MATCH(E1035,ChName,0))</f>
        <v/>
      </c>
      <c r="K1035">
        <f>INDEX(ChRamp,MATCH(E1035,ChName,0))</f>
        <v/>
      </c>
      <c r="L1035" s="45">
        <f>MIN(1,MAX(0,(A1035-I1035+1)*RampSpeed/J1035))</f>
        <v/>
      </c>
      <c r="M1035" s="45">
        <f>IF(A1035&lt;I1035,0,IF(K1035="S-curve",L1035*L1035*(3-2*L1035),L1035))</f>
        <v/>
      </c>
      <c r="N1035" s="45">
        <f>1+(INDEX(SeasonIdx,A1035)-1)*SeasonAmp</f>
        <v/>
      </c>
      <c r="O1035" s="45">
        <f>IFERROR(INDEX(PSPct,MATCH(E1035&amp;"|"&amp;G1035,PSKey,0)),0)</f>
        <v/>
      </c>
      <c r="P1035" s="46">
        <f>INDEX(ChDoorVel,MATCH(E1035,ChName,0))*CalibScalar*(1+VelocityUplift)</f>
        <v/>
      </c>
      <c r="Q1035" s="46" t="n">
        <v>0</v>
      </c>
      <c r="R1035" s="46">
        <f>P1035*O1035*M1035*N1035*H1035</f>
        <v/>
      </c>
      <c r="S1035" s="46">
        <f>R1035*INDEX(FmtCansPerCase,MATCH(F1035,FmtName,0))</f>
        <v/>
      </c>
      <c r="T1035" s="46">
        <f>S1035/INDEX(FmtCansPerPack,MATCH(F1035,FmtName,0))</f>
        <v/>
      </c>
      <c r="U1035" s="47">
        <f>INDEX(ChBaseCP,MATCH(E1035,ChName,0))*(1+INDEX(ProvMod,MATCH(G1035,ProvCode,0)))*(1+PriceIndex)</f>
        <v/>
      </c>
      <c r="V1035" s="47">
        <f>R1035*U1035*INDEX(FmtBlendedPriceIdx,MATCH(F1035,FmtName,0))</f>
        <v/>
      </c>
      <c r="W1035" s="47">
        <f>T1035*INDEX(ProvSRP,MATCH(G1035,ProvCode,0))*(1+PriceIndex)</f>
        <v/>
      </c>
      <c r="X1035" s="47">
        <f>IF(GrossBasis="Wholesale",V1035,W1035)</f>
        <v/>
      </c>
      <c r="Y1035" s="47">
        <f>R1035*INDEX(FmtBlendedCogs,MATCH(F1035,FmtName,0))</f>
        <v/>
      </c>
      <c r="Z1035" s="47">
        <f>X1035-Y1035</f>
        <v/>
      </c>
    </row>
    <row r="1036">
      <c r="A1036" t="n">
        <v>28</v>
      </c>
      <c r="B1036" s="44">
        <f>FiscalStart+(A1036-1)*7</f>
        <v/>
      </c>
      <c r="C1036">
        <f>TEXT(B1036,"mmm yyyy")</f>
        <v/>
      </c>
      <c r="D1036">
        <f>"Q"&amp;(INT((A1036-1)/13)+1)</f>
        <v/>
      </c>
      <c r="E1036" t="inlineStr">
        <is>
          <t>On Premise</t>
        </is>
      </c>
      <c r="F1036">
        <f>IFERROR(INDEX(ChFormat,MATCH(E1036,ChName,0)),"")</f>
        <v/>
      </c>
      <c r="G1036" t="inlineStr">
        <is>
          <t>NL</t>
        </is>
      </c>
      <c r="H1036">
        <f>IF(A1036&lt;=NWeeks,1,0)</f>
        <v/>
      </c>
      <c r="I1036">
        <f>INDEX(ChLaunch,MATCH(E1036,ChName,0))</f>
        <v/>
      </c>
      <c r="J1036">
        <f>INDEX(ChWeeksFull,MATCH(E1036,ChName,0))</f>
        <v/>
      </c>
      <c r="K1036">
        <f>INDEX(ChRamp,MATCH(E1036,ChName,0))</f>
        <v/>
      </c>
      <c r="L1036" s="45">
        <f>MIN(1,MAX(0,(A1036-I1036+1)*RampSpeed/J1036))</f>
        <v/>
      </c>
      <c r="M1036" s="45">
        <f>IF(A1036&lt;I1036,0,IF(K1036="S-curve",L1036*L1036*(3-2*L1036),L1036))</f>
        <v/>
      </c>
      <c r="N1036" s="45">
        <f>1+(INDEX(SeasonIdx,A1036)-1)*SeasonAmp</f>
        <v/>
      </c>
      <c r="O1036" s="45">
        <f>IFERROR(INDEX(PSPct,MATCH(E1036&amp;"|"&amp;G1036,PSKey,0)),0)</f>
        <v/>
      </c>
      <c r="P1036" s="46">
        <f>INDEX(ChDoorVel,MATCH(E1036,ChName,0))*CalibScalar*(1+VelocityUplift)</f>
        <v/>
      </c>
      <c r="Q1036" s="46" t="n">
        <v>0</v>
      </c>
      <c r="R1036" s="46">
        <f>P1036*O1036*M1036*N1036*H1036</f>
        <v/>
      </c>
      <c r="S1036" s="46">
        <f>R1036*INDEX(FmtCansPerCase,MATCH(F1036,FmtName,0))</f>
        <v/>
      </c>
      <c r="T1036" s="46">
        <f>S1036/INDEX(FmtCansPerPack,MATCH(F1036,FmtName,0))</f>
        <v/>
      </c>
      <c r="U1036" s="47">
        <f>INDEX(ChBaseCP,MATCH(E1036,ChName,0))*(1+INDEX(ProvMod,MATCH(G1036,ProvCode,0)))*(1+PriceIndex)</f>
        <v/>
      </c>
      <c r="V1036" s="47">
        <f>R1036*U1036*INDEX(FmtBlendedPriceIdx,MATCH(F1036,FmtName,0))</f>
        <v/>
      </c>
      <c r="W1036" s="47">
        <f>T1036*INDEX(ProvSRP,MATCH(G1036,ProvCode,0))*(1+PriceIndex)</f>
        <v/>
      </c>
      <c r="X1036" s="47">
        <f>IF(GrossBasis="Wholesale",V1036,W1036)</f>
        <v/>
      </c>
      <c r="Y1036" s="47">
        <f>R1036*INDEX(FmtBlendedCogs,MATCH(F1036,FmtName,0))</f>
        <v/>
      </c>
      <c r="Z1036" s="47">
        <f>X1036-Y1036</f>
        <v/>
      </c>
    </row>
    <row r="1037">
      <c r="A1037" t="n">
        <v>29</v>
      </c>
      <c r="B1037" s="44">
        <f>FiscalStart+(A1037-1)*7</f>
        <v/>
      </c>
      <c r="C1037">
        <f>TEXT(B1037,"mmm yyyy")</f>
        <v/>
      </c>
      <c r="D1037">
        <f>"Q"&amp;(INT((A1037-1)/13)+1)</f>
        <v/>
      </c>
      <c r="E1037" t="inlineStr">
        <is>
          <t>On Premise</t>
        </is>
      </c>
      <c r="F1037">
        <f>IFERROR(INDEX(ChFormat,MATCH(E1037,ChName,0)),"")</f>
        <v/>
      </c>
      <c r="G1037" t="inlineStr">
        <is>
          <t>NL</t>
        </is>
      </c>
      <c r="H1037">
        <f>IF(A1037&lt;=NWeeks,1,0)</f>
        <v/>
      </c>
      <c r="I1037">
        <f>INDEX(ChLaunch,MATCH(E1037,ChName,0))</f>
        <v/>
      </c>
      <c r="J1037">
        <f>INDEX(ChWeeksFull,MATCH(E1037,ChName,0))</f>
        <v/>
      </c>
      <c r="K1037">
        <f>INDEX(ChRamp,MATCH(E1037,ChName,0))</f>
        <v/>
      </c>
      <c r="L1037" s="45">
        <f>MIN(1,MAX(0,(A1037-I1037+1)*RampSpeed/J1037))</f>
        <v/>
      </c>
      <c r="M1037" s="45">
        <f>IF(A1037&lt;I1037,0,IF(K1037="S-curve",L1037*L1037*(3-2*L1037),L1037))</f>
        <v/>
      </c>
      <c r="N1037" s="45">
        <f>1+(INDEX(SeasonIdx,A1037)-1)*SeasonAmp</f>
        <v/>
      </c>
      <c r="O1037" s="45">
        <f>IFERROR(INDEX(PSPct,MATCH(E1037&amp;"|"&amp;G1037,PSKey,0)),0)</f>
        <v/>
      </c>
      <c r="P1037" s="46">
        <f>INDEX(ChDoorVel,MATCH(E1037,ChName,0))*CalibScalar*(1+VelocityUplift)</f>
        <v/>
      </c>
      <c r="Q1037" s="46" t="n">
        <v>0</v>
      </c>
      <c r="R1037" s="46">
        <f>P1037*O1037*M1037*N1037*H1037</f>
        <v/>
      </c>
      <c r="S1037" s="46">
        <f>R1037*INDEX(FmtCansPerCase,MATCH(F1037,FmtName,0))</f>
        <v/>
      </c>
      <c r="T1037" s="46">
        <f>S1037/INDEX(FmtCansPerPack,MATCH(F1037,FmtName,0))</f>
        <v/>
      </c>
      <c r="U1037" s="47">
        <f>INDEX(ChBaseCP,MATCH(E1037,ChName,0))*(1+INDEX(ProvMod,MATCH(G1037,ProvCode,0)))*(1+PriceIndex)</f>
        <v/>
      </c>
      <c r="V1037" s="47">
        <f>R1037*U1037*INDEX(FmtBlendedPriceIdx,MATCH(F1037,FmtName,0))</f>
        <v/>
      </c>
      <c r="W1037" s="47">
        <f>T1037*INDEX(ProvSRP,MATCH(G1037,ProvCode,0))*(1+PriceIndex)</f>
        <v/>
      </c>
      <c r="X1037" s="47">
        <f>IF(GrossBasis="Wholesale",V1037,W1037)</f>
        <v/>
      </c>
      <c r="Y1037" s="47">
        <f>R1037*INDEX(FmtBlendedCogs,MATCH(F1037,FmtName,0))</f>
        <v/>
      </c>
      <c r="Z1037" s="47">
        <f>X1037-Y1037</f>
        <v/>
      </c>
    </row>
    <row r="1038">
      <c r="A1038" t="n">
        <v>30</v>
      </c>
      <c r="B1038" s="44">
        <f>FiscalStart+(A1038-1)*7</f>
        <v/>
      </c>
      <c r="C1038">
        <f>TEXT(B1038,"mmm yyyy")</f>
        <v/>
      </c>
      <c r="D1038">
        <f>"Q"&amp;(INT((A1038-1)/13)+1)</f>
        <v/>
      </c>
      <c r="E1038" t="inlineStr">
        <is>
          <t>On Premise</t>
        </is>
      </c>
      <c r="F1038">
        <f>IFERROR(INDEX(ChFormat,MATCH(E1038,ChName,0)),"")</f>
        <v/>
      </c>
      <c r="G1038" t="inlineStr">
        <is>
          <t>NL</t>
        </is>
      </c>
      <c r="H1038">
        <f>IF(A1038&lt;=NWeeks,1,0)</f>
        <v/>
      </c>
      <c r="I1038">
        <f>INDEX(ChLaunch,MATCH(E1038,ChName,0))</f>
        <v/>
      </c>
      <c r="J1038">
        <f>INDEX(ChWeeksFull,MATCH(E1038,ChName,0))</f>
        <v/>
      </c>
      <c r="K1038">
        <f>INDEX(ChRamp,MATCH(E1038,ChName,0))</f>
        <v/>
      </c>
      <c r="L1038" s="45">
        <f>MIN(1,MAX(0,(A1038-I1038+1)*RampSpeed/J1038))</f>
        <v/>
      </c>
      <c r="M1038" s="45">
        <f>IF(A1038&lt;I1038,0,IF(K1038="S-curve",L1038*L1038*(3-2*L1038),L1038))</f>
        <v/>
      </c>
      <c r="N1038" s="45">
        <f>1+(INDEX(SeasonIdx,A1038)-1)*SeasonAmp</f>
        <v/>
      </c>
      <c r="O1038" s="45">
        <f>IFERROR(INDEX(PSPct,MATCH(E1038&amp;"|"&amp;G1038,PSKey,0)),0)</f>
        <v/>
      </c>
      <c r="P1038" s="46">
        <f>INDEX(ChDoorVel,MATCH(E1038,ChName,0))*CalibScalar*(1+VelocityUplift)</f>
        <v/>
      </c>
      <c r="Q1038" s="46" t="n">
        <v>0</v>
      </c>
      <c r="R1038" s="46">
        <f>P1038*O1038*M1038*N1038*H1038</f>
        <v/>
      </c>
      <c r="S1038" s="46">
        <f>R1038*INDEX(FmtCansPerCase,MATCH(F1038,FmtName,0))</f>
        <v/>
      </c>
      <c r="T1038" s="46">
        <f>S1038/INDEX(FmtCansPerPack,MATCH(F1038,FmtName,0))</f>
        <v/>
      </c>
      <c r="U1038" s="47">
        <f>INDEX(ChBaseCP,MATCH(E1038,ChName,0))*(1+INDEX(ProvMod,MATCH(G1038,ProvCode,0)))*(1+PriceIndex)</f>
        <v/>
      </c>
      <c r="V1038" s="47">
        <f>R1038*U1038*INDEX(FmtBlendedPriceIdx,MATCH(F1038,FmtName,0))</f>
        <v/>
      </c>
      <c r="W1038" s="47">
        <f>T1038*INDEX(ProvSRP,MATCH(G1038,ProvCode,0))*(1+PriceIndex)</f>
        <v/>
      </c>
      <c r="X1038" s="47">
        <f>IF(GrossBasis="Wholesale",V1038,W1038)</f>
        <v/>
      </c>
      <c r="Y1038" s="47">
        <f>R1038*INDEX(FmtBlendedCogs,MATCH(F1038,FmtName,0))</f>
        <v/>
      </c>
      <c r="Z1038" s="47">
        <f>X1038-Y1038</f>
        <v/>
      </c>
    </row>
    <row r="1039">
      <c r="A1039" t="n">
        <v>31</v>
      </c>
      <c r="B1039" s="44">
        <f>FiscalStart+(A1039-1)*7</f>
        <v/>
      </c>
      <c r="C1039">
        <f>TEXT(B1039,"mmm yyyy")</f>
        <v/>
      </c>
      <c r="D1039">
        <f>"Q"&amp;(INT((A1039-1)/13)+1)</f>
        <v/>
      </c>
      <c r="E1039" t="inlineStr">
        <is>
          <t>On Premise</t>
        </is>
      </c>
      <c r="F1039">
        <f>IFERROR(INDEX(ChFormat,MATCH(E1039,ChName,0)),"")</f>
        <v/>
      </c>
      <c r="G1039" t="inlineStr">
        <is>
          <t>NL</t>
        </is>
      </c>
      <c r="H1039">
        <f>IF(A1039&lt;=NWeeks,1,0)</f>
        <v/>
      </c>
      <c r="I1039">
        <f>INDEX(ChLaunch,MATCH(E1039,ChName,0))</f>
        <v/>
      </c>
      <c r="J1039">
        <f>INDEX(ChWeeksFull,MATCH(E1039,ChName,0))</f>
        <v/>
      </c>
      <c r="K1039">
        <f>INDEX(ChRamp,MATCH(E1039,ChName,0))</f>
        <v/>
      </c>
      <c r="L1039" s="45">
        <f>MIN(1,MAX(0,(A1039-I1039+1)*RampSpeed/J1039))</f>
        <v/>
      </c>
      <c r="M1039" s="45">
        <f>IF(A1039&lt;I1039,0,IF(K1039="S-curve",L1039*L1039*(3-2*L1039),L1039))</f>
        <v/>
      </c>
      <c r="N1039" s="45">
        <f>1+(INDEX(SeasonIdx,A1039)-1)*SeasonAmp</f>
        <v/>
      </c>
      <c r="O1039" s="45">
        <f>IFERROR(INDEX(PSPct,MATCH(E1039&amp;"|"&amp;G1039,PSKey,0)),0)</f>
        <v/>
      </c>
      <c r="P1039" s="46">
        <f>INDEX(ChDoorVel,MATCH(E1039,ChName,0))*CalibScalar*(1+VelocityUplift)</f>
        <v/>
      </c>
      <c r="Q1039" s="46" t="n">
        <v>0</v>
      </c>
      <c r="R1039" s="46">
        <f>P1039*O1039*M1039*N1039*H1039</f>
        <v/>
      </c>
      <c r="S1039" s="46">
        <f>R1039*INDEX(FmtCansPerCase,MATCH(F1039,FmtName,0))</f>
        <v/>
      </c>
      <c r="T1039" s="46">
        <f>S1039/INDEX(FmtCansPerPack,MATCH(F1039,FmtName,0))</f>
        <v/>
      </c>
      <c r="U1039" s="47">
        <f>INDEX(ChBaseCP,MATCH(E1039,ChName,0))*(1+INDEX(ProvMod,MATCH(G1039,ProvCode,0)))*(1+PriceIndex)</f>
        <v/>
      </c>
      <c r="V1039" s="47">
        <f>R1039*U1039*INDEX(FmtBlendedPriceIdx,MATCH(F1039,FmtName,0))</f>
        <v/>
      </c>
      <c r="W1039" s="47">
        <f>T1039*INDEX(ProvSRP,MATCH(G1039,ProvCode,0))*(1+PriceIndex)</f>
        <v/>
      </c>
      <c r="X1039" s="47">
        <f>IF(GrossBasis="Wholesale",V1039,W1039)</f>
        <v/>
      </c>
      <c r="Y1039" s="47">
        <f>R1039*INDEX(FmtBlendedCogs,MATCH(F1039,FmtName,0))</f>
        <v/>
      </c>
      <c r="Z1039" s="47">
        <f>X1039-Y1039</f>
        <v/>
      </c>
    </row>
    <row r="1040">
      <c r="A1040" t="n">
        <v>32</v>
      </c>
      <c r="B1040" s="44">
        <f>FiscalStart+(A1040-1)*7</f>
        <v/>
      </c>
      <c r="C1040">
        <f>TEXT(B1040,"mmm yyyy")</f>
        <v/>
      </c>
      <c r="D1040">
        <f>"Q"&amp;(INT((A1040-1)/13)+1)</f>
        <v/>
      </c>
      <c r="E1040" t="inlineStr">
        <is>
          <t>On Premise</t>
        </is>
      </c>
      <c r="F1040">
        <f>IFERROR(INDEX(ChFormat,MATCH(E1040,ChName,0)),"")</f>
        <v/>
      </c>
      <c r="G1040" t="inlineStr">
        <is>
          <t>NL</t>
        </is>
      </c>
      <c r="H1040">
        <f>IF(A1040&lt;=NWeeks,1,0)</f>
        <v/>
      </c>
      <c r="I1040">
        <f>INDEX(ChLaunch,MATCH(E1040,ChName,0))</f>
        <v/>
      </c>
      <c r="J1040">
        <f>INDEX(ChWeeksFull,MATCH(E1040,ChName,0))</f>
        <v/>
      </c>
      <c r="K1040">
        <f>INDEX(ChRamp,MATCH(E1040,ChName,0))</f>
        <v/>
      </c>
      <c r="L1040" s="45">
        <f>MIN(1,MAX(0,(A1040-I1040+1)*RampSpeed/J1040))</f>
        <v/>
      </c>
      <c r="M1040" s="45">
        <f>IF(A1040&lt;I1040,0,IF(K1040="S-curve",L1040*L1040*(3-2*L1040),L1040))</f>
        <v/>
      </c>
      <c r="N1040" s="45">
        <f>1+(INDEX(SeasonIdx,A1040)-1)*SeasonAmp</f>
        <v/>
      </c>
      <c r="O1040" s="45">
        <f>IFERROR(INDEX(PSPct,MATCH(E1040&amp;"|"&amp;G1040,PSKey,0)),0)</f>
        <v/>
      </c>
      <c r="P1040" s="46">
        <f>INDEX(ChDoorVel,MATCH(E1040,ChName,0))*CalibScalar*(1+VelocityUplift)</f>
        <v/>
      </c>
      <c r="Q1040" s="46" t="n">
        <v>0</v>
      </c>
      <c r="R1040" s="46">
        <f>P1040*O1040*M1040*N1040*H1040</f>
        <v/>
      </c>
      <c r="S1040" s="46">
        <f>R1040*INDEX(FmtCansPerCase,MATCH(F1040,FmtName,0))</f>
        <v/>
      </c>
      <c r="T1040" s="46">
        <f>S1040/INDEX(FmtCansPerPack,MATCH(F1040,FmtName,0))</f>
        <v/>
      </c>
      <c r="U1040" s="47">
        <f>INDEX(ChBaseCP,MATCH(E1040,ChName,0))*(1+INDEX(ProvMod,MATCH(G1040,ProvCode,0)))*(1+PriceIndex)</f>
        <v/>
      </c>
      <c r="V1040" s="47">
        <f>R1040*U1040*INDEX(FmtBlendedPriceIdx,MATCH(F1040,FmtName,0))</f>
        <v/>
      </c>
      <c r="W1040" s="47">
        <f>T1040*INDEX(ProvSRP,MATCH(G1040,ProvCode,0))*(1+PriceIndex)</f>
        <v/>
      </c>
      <c r="X1040" s="47">
        <f>IF(GrossBasis="Wholesale",V1040,W1040)</f>
        <v/>
      </c>
      <c r="Y1040" s="47">
        <f>R1040*INDEX(FmtBlendedCogs,MATCH(F1040,FmtName,0))</f>
        <v/>
      </c>
      <c r="Z1040" s="47">
        <f>X1040-Y1040</f>
        <v/>
      </c>
    </row>
    <row r="1041">
      <c r="A1041" t="n">
        <v>33</v>
      </c>
      <c r="B1041" s="44">
        <f>FiscalStart+(A1041-1)*7</f>
        <v/>
      </c>
      <c r="C1041">
        <f>TEXT(B1041,"mmm yyyy")</f>
        <v/>
      </c>
      <c r="D1041">
        <f>"Q"&amp;(INT((A1041-1)/13)+1)</f>
        <v/>
      </c>
      <c r="E1041" t="inlineStr">
        <is>
          <t>On Premise</t>
        </is>
      </c>
      <c r="F1041">
        <f>IFERROR(INDEX(ChFormat,MATCH(E1041,ChName,0)),"")</f>
        <v/>
      </c>
      <c r="G1041" t="inlineStr">
        <is>
          <t>NL</t>
        </is>
      </c>
      <c r="H1041">
        <f>IF(A1041&lt;=NWeeks,1,0)</f>
        <v/>
      </c>
      <c r="I1041">
        <f>INDEX(ChLaunch,MATCH(E1041,ChName,0))</f>
        <v/>
      </c>
      <c r="J1041">
        <f>INDEX(ChWeeksFull,MATCH(E1041,ChName,0))</f>
        <v/>
      </c>
      <c r="K1041">
        <f>INDEX(ChRamp,MATCH(E1041,ChName,0))</f>
        <v/>
      </c>
      <c r="L1041" s="45">
        <f>MIN(1,MAX(0,(A1041-I1041+1)*RampSpeed/J1041))</f>
        <v/>
      </c>
      <c r="M1041" s="45">
        <f>IF(A1041&lt;I1041,0,IF(K1041="S-curve",L1041*L1041*(3-2*L1041),L1041))</f>
        <v/>
      </c>
      <c r="N1041" s="45">
        <f>1+(INDEX(SeasonIdx,A1041)-1)*SeasonAmp</f>
        <v/>
      </c>
      <c r="O1041" s="45">
        <f>IFERROR(INDEX(PSPct,MATCH(E1041&amp;"|"&amp;G1041,PSKey,0)),0)</f>
        <v/>
      </c>
      <c r="P1041" s="46">
        <f>INDEX(ChDoorVel,MATCH(E1041,ChName,0))*CalibScalar*(1+VelocityUplift)</f>
        <v/>
      </c>
      <c r="Q1041" s="46" t="n">
        <v>0</v>
      </c>
      <c r="R1041" s="46">
        <f>P1041*O1041*M1041*N1041*H1041</f>
        <v/>
      </c>
      <c r="S1041" s="46">
        <f>R1041*INDEX(FmtCansPerCase,MATCH(F1041,FmtName,0))</f>
        <v/>
      </c>
      <c r="T1041" s="46">
        <f>S1041/INDEX(FmtCansPerPack,MATCH(F1041,FmtName,0))</f>
        <v/>
      </c>
      <c r="U1041" s="47">
        <f>INDEX(ChBaseCP,MATCH(E1041,ChName,0))*(1+INDEX(ProvMod,MATCH(G1041,ProvCode,0)))*(1+PriceIndex)</f>
        <v/>
      </c>
      <c r="V1041" s="47">
        <f>R1041*U1041*INDEX(FmtBlendedPriceIdx,MATCH(F1041,FmtName,0))</f>
        <v/>
      </c>
      <c r="W1041" s="47">
        <f>T1041*INDEX(ProvSRP,MATCH(G1041,ProvCode,0))*(1+PriceIndex)</f>
        <v/>
      </c>
      <c r="X1041" s="47">
        <f>IF(GrossBasis="Wholesale",V1041,W1041)</f>
        <v/>
      </c>
      <c r="Y1041" s="47">
        <f>R1041*INDEX(FmtBlendedCogs,MATCH(F1041,FmtName,0))</f>
        <v/>
      </c>
      <c r="Z1041" s="47">
        <f>X1041-Y1041</f>
        <v/>
      </c>
    </row>
    <row r="1042">
      <c r="A1042" t="n">
        <v>34</v>
      </c>
      <c r="B1042" s="44">
        <f>FiscalStart+(A1042-1)*7</f>
        <v/>
      </c>
      <c r="C1042">
        <f>TEXT(B1042,"mmm yyyy")</f>
        <v/>
      </c>
      <c r="D1042">
        <f>"Q"&amp;(INT((A1042-1)/13)+1)</f>
        <v/>
      </c>
      <c r="E1042" t="inlineStr">
        <is>
          <t>On Premise</t>
        </is>
      </c>
      <c r="F1042">
        <f>IFERROR(INDEX(ChFormat,MATCH(E1042,ChName,0)),"")</f>
        <v/>
      </c>
      <c r="G1042" t="inlineStr">
        <is>
          <t>NL</t>
        </is>
      </c>
      <c r="H1042">
        <f>IF(A1042&lt;=NWeeks,1,0)</f>
        <v/>
      </c>
      <c r="I1042">
        <f>INDEX(ChLaunch,MATCH(E1042,ChName,0))</f>
        <v/>
      </c>
      <c r="J1042">
        <f>INDEX(ChWeeksFull,MATCH(E1042,ChName,0))</f>
        <v/>
      </c>
      <c r="K1042">
        <f>INDEX(ChRamp,MATCH(E1042,ChName,0))</f>
        <v/>
      </c>
      <c r="L1042" s="45">
        <f>MIN(1,MAX(0,(A1042-I1042+1)*RampSpeed/J1042))</f>
        <v/>
      </c>
      <c r="M1042" s="45">
        <f>IF(A1042&lt;I1042,0,IF(K1042="S-curve",L1042*L1042*(3-2*L1042),L1042))</f>
        <v/>
      </c>
      <c r="N1042" s="45">
        <f>1+(INDEX(SeasonIdx,A1042)-1)*SeasonAmp</f>
        <v/>
      </c>
      <c r="O1042" s="45">
        <f>IFERROR(INDEX(PSPct,MATCH(E1042&amp;"|"&amp;G1042,PSKey,0)),0)</f>
        <v/>
      </c>
      <c r="P1042" s="46">
        <f>INDEX(ChDoorVel,MATCH(E1042,ChName,0))*CalibScalar*(1+VelocityUplift)</f>
        <v/>
      </c>
      <c r="Q1042" s="46" t="n">
        <v>0</v>
      </c>
      <c r="R1042" s="46">
        <f>P1042*O1042*M1042*N1042*H1042</f>
        <v/>
      </c>
      <c r="S1042" s="46">
        <f>R1042*INDEX(FmtCansPerCase,MATCH(F1042,FmtName,0))</f>
        <v/>
      </c>
      <c r="T1042" s="46">
        <f>S1042/INDEX(FmtCansPerPack,MATCH(F1042,FmtName,0))</f>
        <v/>
      </c>
      <c r="U1042" s="47">
        <f>INDEX(ChBaseCP,MATCH(E1042,ChName,0))*(1+INDEX(ProvMod,MATCH(G1042,ProvCode,0)))*(1+PriceIndex)</f>
        <v/>
      </c>
      <c r="V1042" s="47">
        <f>R1042*U1042*INDEX(FmtBlendedPriceIdx,MATCH(F1042,FmtName,0))</f>
        <v/>
      </c>
      <c r="W1042" s="47">
        <f>T1042*INDEX(ProvSRP,MATCH(G1042,ProvCode,0))*(1+PriceIndex)</f>
        <v/>
      </c>
      <c r="X1042" s="47">
        <f>IF(GrossBasis="Wholesale",V1042,W1042)</f>
        <v/>
      </c>
      <c r="Y1042" s="47">
        <f>R1042*INDEX(FmtBlendedCogs,MATCH(F1042,FmtName,0))</f>
        <v/>
      </c>
      <c r="Z1042" s="47">
        <f>X1042-Y1042</f>
        <v/>
      </c>
    </row>
    <row r="1043">
      <c r="A1043" t="n">
        <v>35</v>
      </c>
      <c r="B1043" s="44">
        <f>FiscalStart+(A1043-1)*7</f>
        <v/>
      </c>
      <c r="C1043">
        <f>TEXT(B1043,"mmm yyyy")</f>
        <v/>
      </c>
      <c r="D1043">
        <f>"Q"&amp;(INT((A1043-1)/13)+1)</f>
        <v/>
      </c>
      <c r="E1043" t="inlineStr">
        <is>
          <t>On Premise</t>
        </is>
      </c>
      <c r="F1043">
        <f>IFERROR(INDEX(ChFormat,MATCH(E1043,ChName,0)),"")</f>
        <v/>
      </c>
      <c r="G1043" t="inlineStr">
        <is>
          <t>NL</t>
        </is>
      </c>
      <c r="H1043">
        <f>IF(A1043&lt;=NWeeks,1,0)</f>
        <v/>
      </c>
      <c r="I1043">
        <f>INDEX(ChLaunch,MATCH(E1043,ChName,0))</f>
        <v/>
      </c>
      <c r="J1043">
        <f>INDEX(ChWeeksFull,MATCH(E1043,ChName,0))</f>
        <v/>
      </c>
      <c r="K1043">
        <f>INDEX(ChRamp,MATCH(E1043,ChName,0))</f>
        <v/>
      </c>
      <c r="L1043" s="45">
        <f>MIN(1,MAX(0,(A1043-I1043+1)*RampSpeed/J1043))</f>
        <v/>
      </c>
      <c r="M1043" s="45">
        <f>IF(A1043&lt;I1043,0,IF(K1043="S-curve",L1043*L1043*(3-2*L1043),L1043))</f>
        <v/>
      </c>
      <c r="N1043" s="45">
        <f>1+(INDEX(SeasonIdx,A1043)-1)*SeasonAmp</f>
        <v/>
      </c>
      <c r="O1043" s="45">
        <f>IFERROR(INDEX(PSPct,MATCH(E1043&amp;"|"&amp;G1043,PSKey,0)),0)</f>
        <v/>
      </c>
      <c r="P1043" s="46">
        <f>INDEX(ChDoorVel,MATCH(E1043,ChName,0))*CalibScalar*(1+VelocityUplift)</f>
        <v/>
      </c>
      <c r="Q1043" s="46" t="n">
        <v>0</v>
      </c>
      <c r="R1043" s="46">
        <f>P1043*O1043*M1043*N1043*H1043</f>
        <v/>
      </c>
      <c r="S1043" s="46">
        <f>R1043*INDEX(FmtCansPerCase,MATCH(F1043,FmtName,0))</f>
        <v/>
      </c>
      <c r="T1043" s="46">
        <f>S1043/INDEX(FmtCansPerPack,MATCH(F1043,FmtName,0))</f>
        <v/>
      </c>
      <c r="U1043" s="47">
        <f>INDEX(ChBaseCP,MATCH(E1043,ChName,0))*(1+INDEX(ProvMod,MATCH(G1043,ProvCode,0)))*(1+PriceIndex)</f>
        <v/>
      </c>
      <c r="V1043" s="47">
        <f>R1043*U1043*INDEX(FmtBlendedPriceIdx,MATCH(F1043,FmtName,0))</f>
        <v/>
      </c>
      <c r="W1043" s="47">
        <f>T1043*INDEX(ProvSRP,MATCH(G1043,ProvCode,0))*(1+PriceIndex)</f>
        <v/>
      </c>
      <c r="X1043" s="47">
        <f>IF(GrossBasis="Wholesale",V1043,W1043)</f>
        <v/>
      </c>
      <c r="Y1043" s="47">
        <f>R1043*INDEX(FmtBlendedCogs,MATCH(F1043,FmtName,0))</f>
        <v/>
      </c>
      <c r="Z1043" s="47">
        <f>X1043-Y1043</f>
        <v/>
      </c>
    </row>
    <row r="1044">
      <c r="A1044" t="n">
        <v>36</v>
      </c>
      <c r="B1044" s="44">
        <f>FiscalStart+(A1044-1)*7</f>
        <v/>
      </c>
      <c r="C1044">
        <f>TEXT(B1044,"mmm yyyy")</f>
        <v/>
      </c>
      <c r="D1044">
        <f>"Q"&amp;(INT((A1044-1)/13)+1)</f>
        <v/>
      </c>
      <c r="E1044" t="inlineStr">
        <is>
          <t>On Premise</t>
        </is>
      </c>
      <c r="F1044">
        <f>IFERROR(INDEX(ChFormat,MATCH(E1044,ChName,0)),"")</f>
        <v/>
      </c>
      <c r="G1044" t="inlineStr">
        <is>
          <t>NL</t>
        </is>
      </c>
      <c r="H1044">
        <f>IF(A1044&lt;=NWeeks,1,0)</f>
        <v/>
      </c>
      <c r="I1044">
        <f>INDEX(ChLaunch,MATCH(E1044,ChName,0))</f>
        <v/>
      </c>
      <c r="J1044">
        <f>INDEX(ChWeeksFull,MATCH(E1044,ChName,0))</f>
        <v/>
      </c>
      <c r="K1044">
        <f>INDEX(ChRamp,MATCH(E1044,ChName,0))</f>
        <v/>
      </c>
      <c r="L1044" s="45">
        <f>MIN(1,MAX(0,(A1044-I1044+1)*RampSpeed/J1044))</f>
        <v/>
      </c>
      <c r="M1044" s="45">
        <f>IF(A1044&lt;I1044,0,IF(K1044="S-curve",L1044*L1044*(3-2*L1044),L1044))</f>
        <v/>
      </c>
      <c r="N1044" s="45">
        <f>1+(INDEX(SeasonIdx,A1044)-1)*SeasonAmp</f>
        <v/>
      </c>
      <c r="O1044" s="45">
        <f>IFERROR(INDEX(PSPct,MATCH(E1044&amp;"|"&amp;G1044,PSKey,0)),0)</f>
        <v/>
      </c>
      <c r="P1044" s="46">
        <f>INDEX(ChDoorVel,MATCH(E1044,ChName,0))*CalibScalar*(1+VelocityUplift)</f>
        <v/>
      </c>
      <c r="Q1044" s="46" t="n">
        <v>0</v>
      </c>
      <c r="R1044" s="46">
        <f>P1044*O1044*M1044*N1044*H1044</f>
        <v/>
      </c>
      <c r="S1044" s="46">
        <f>R1044*INDEX(FmtCansPerCase,MATCH(F1044,FmtName,0))</f>
        <v/>
      </c>
      <c r="T1044" s="46">
        <f>S1044/INDEX(FmtCansPerPack,MATCH(F1044,FmtName,0))</f>
        <v/>
      </c>
      <c r="U1044" s="47">
        <f>INDEX(ChBaseCP,MATCH(E1044,ChName,0))*(1+INDEX(ProvMod,MATCH(G1044,ProvCode,0)))*(1+PriceIndex)</f>
        <v/>
      </c>
      <c r="V1044" s="47">
        <f>R1044*U1044*INDEX(FmtBlendedPriceIdx,MATCH(F1044,FmtName,0))</f>
        <v/>
      </c>
      <c r="W1044" s="47">
        <f>T1044*INDEX(ProvSRP,MATCH(G1044,ProvCode,0))*(1+PriceIndex)</f>
        <v/>
      </c>
      <c r="X1044" s="47">
        <f>IF(GrossBasis="Wholesale",V1044,W1044)</f>
        <v/>
      </c>
      <c r="Y1044" s="47">
        <f>R1044*INDEX(FmtBlendedCogs,MATCH(F1044,FmtName,0))</f>
        <v/>
      </c>
      <c r="Z1044" s="47">
        <f>X1044-Y1044</f>
        <v/>
      </c>
    </row>
    <row r="1045">
      <c r="A1045" t="n">
        <v>37</v>
      </c>
      <c r="B1045" s="44">
        <f>FiscalStart+(A1045-1)*7</f>
        <v/>
      </c>
      <c r="C1045">
        <f>TEXT(B1045,"mmm yyyy")</f>
        <v/>
      </c>
      <c r="D1045">
        <f>"Q"&amp;(INT((A1045-1)/13)+1)</f>
        <v/>
      </c>
      <c r="E1045" t="inlineStr">
        <is>
          <t>On Premise</t>
        </is>
      </c>
      <c r="F1045">
        <f>IFERROR(INDEX(ChFormat,MATCH(E1045,ChName,0)),"")</f>
        <v/>
      </c>
      <c r="G1045" t="inlineStr">
        <is>
          <t>NL</t>
        </is>
      </c>
      <c r="H1045">
        <f>IF(A1045&lt;=NWeeks,1,0)</f>
        <v/>
      </c>
      <c r="I1045">
        <f>INDEX(ChLaunch,MATCH(E1045,ChName,0))</f>
        <v/>
      </c>
      <c r="J1045">
        <f>INDEX(ChWeeksFull,MATCH(E1045,ChName,0))</f>
        <v/>
      </c>
      <c r="K1045">
        <f>INDEX(ChRamp,MATCH(E1045,ChName,0))</f>
        <v/>
      </c>
      <c r="L1045" s="45">
        <f>MIN(1,MAX(0,(A1045-I1045+1)*RampSpeed/J1045))</f>
        <v/>
      </c>
      <c r="M1045" s="45">
        <f>IF(A1045&lt;I1045,0,IF(K1045="S-curve",L1045*L1045*(3-2*L1045),L1045))</f>
        <v/>
      </c>
      <c r="N1045" s="45">
        <f>1+(INDEX(SeasonIdx,A1045)-1)*SeasonAmp</f>
        <v/>
      </c>
      <c r="O1045" s="45">
        <f>IFERROR(INDEX(PSPct,MATCH(E1045&amp;"|"&amp;G1045,PSKey,0)),0)</f>
        <v/>
      </c>
      <c r="P1045" s="46">
        <f>INDEX(ChDoorVel,MATCH(E1045,ChName,0))*CalibScalar*(1+VelocityUplift)</f>
        <v/>
      </c>
      <c r="Q1045" s="46" t="n">
        <v>0</v>
      </c>
      <c r="R1045" s="46">
        <f>P1045*O1045*M1045*N1045*H1045</f>
        <v/>
      </c>
      <c r="S1045" s="46">
        <f>R1045*INDEX(FmtCansPerCase,MATCH(F1045,FmtName,0))</f>
        <v/>
      </c>
      <c r="T1045" s="46">
        <f>S1045/INDEX(FmtCansPerPack,MATCH(F1045,FmtName,0))</f>
        <v/>
      </c>
      <c r="U1045" s="47">
        <f>INDEX(ChBaseCP,MATCH(E1045,ChName,0))*(1+INDEX(ProvMod,MATCH(G1045,ProvCode,0)))*(1+PriceIndex)</f>
        <v/>
      </c>
      <c r="V1045" s="47">
        <f>R1045*U1045*INDEX(FmtBlendedPriceIdx,MATCH(F1045,FmtName,0))</f>
        <v/>
      </c>
      <c r="W1045" s="47">
        <f>T1045*INDEX(ProvSRP,MATCH(G1045,ProvCode,0))*(1+PriceIndex)</f>
        <v/>
      </c>
      <c r="X1045" s="47">
        <f>IF(GrossBasis="Wholesale",V1045,W1045)</f>
        <v/>
      </c>
      <c r="Y1045" s="47">
        <f>R1045*INDEX(FmtBlendedCogs,MATCH(F1045,FmtName,0))</f>
        <v/>
      </c>
      <c r="Z1045" s="47">
        <f>X1045-Y1045</f>
        <v/>
      </c>
    </row>
    <row r="1046">
      <c r="A1046" t="n">
        <v>38</v>
      </c>
      <c r="B1046" s="44">
        <f>FiscalStart+(A1046-1)*7</f>
        <v/>
      </c>
      <c r="C1046">
        <f>TEXT(B1046,"mmm yyyy")</f>
        <v/>
      </c>
      <c r="D1046">
        <f>"Q"&amp;(INT((A1046-1)/13)+1)</f>
        <v/>
      </c>
      <c r="E1046" t="inlineStr">
        <is>
          <t>On Premise</t>
        </is>
      </c>
      <c r="F1046">
        <f>IFERROR(INDEX(ChFormat,MATCH(E1046,ChName,0)),"")</f>
        <v/>
      </c>
      <c r="G1046" t="inlineStr">
        <is>
          <t>NL</t>
        </is>
      </c>
      <c r="H1046">
        <f>IF(A1046&lt;=NWeeks,1,0)</f>
        <v/>
      </c>
      <c r="I1046">
        <f>INDEX(ChLaunch,MATCH(E1046,ChName,0))</f>
        <v/>
      </c>
      <c r="J1046">
        <f>INDEX(ChWeeksFull,MATCH(E1046,ChName,0))</f>
        <v/>
      </c>
      <c r="K1046">
        <f>INDEX(ChRamp,MATCH(E1046,ChName,0))</f>
        <v/>
      </c>
      <c r="L1046" s="45">
        <f>MIN(1,MAX(0,(A1046-I1046+1)*RampSpeed/J1046))</f>
        <v/>
      </c>
      <c r="M1046" s="45">
        <f>IF(A1046&lt;I1046,0,IF(K1046="S-curve",L1046*L1046*(3-2*L1046),L1046))</f>
        <v/>
      </c>
      <c r="N1046" s="45">
        <f>1+(INDEX(SeasonIdx,A1046)-1)*SeasonAmp</f>
        <v/>
      </c>
      <c r="O1046" s="45">
        <f>IFERROR(INDEX(PSPct,MATCH(E1046&amp;"|"&amp;G1046,PSKey,0)),0)</f>
        <v/>
      </c>
      <c r="P1046" s="46">
        <f>INDEX(ChDoorVel,MATCH(E1046,ChName,0))*CalibScalar*(1+VelocityUplift)</f>
        <v/>
      </c>
      <c r="Q1046" s="46" t="n">
        <v>0</v>
      </c>
      <c r="R1046" s="46">
        <f>P1046*O1046*M1046*N1046*H1046</f>
        <v/>
      </c>
      <c r="S1046" s="46">
        <f>R1046*INDEX(FmtCansPerCase,MATCH(F1046,FmtName,0))</f>
        <v/>
      </c>
      <c r="T1046" s="46">
        <f>S1046/INDEX(FmtCansPerPack,MATCH(F1046,FmtName,0))</f>
        <v/>
      </c>
      <c r="U1046" s="47">
        <f>INDEX(ChBaseCP,MATCH(E1046,ChName,0))*(1+INDEX(ProvMod,MATCH(G1046,ProvCode,0)))*(1+PriceIndex)</f>
        <v/>
      </c>
      <c r="V1046" s="47">
        <f>R1046*U1046*INDEX(FmtBlendedPriceIdx,MATCH(F1046,FmtName,0))</f>
        <v/>
      </c>
      <c r="W1046" s="47">
        <f>T1046*INDEX(ProvSRP,MATCH(G1046,ProvCode,0))*(1+PriceIndex)</f>
        <v/>
      </c>
      <c r="X1046" s="47">
        <f>IF(GrossBasis="Wholesale",V1046,W1046)</f>
        <v/>
      </c>
      <c r="Y1046" s="47">
        <f>R1046*INDEX(FmtBlendedCogs,MATCH(F1046,FmtName,0))</f>
        <v/>
      </c>
      <c r="Z1046" s="47">
        <f>X1046-Y1046</f>
        <v/>
      </c>
    </row>
    <row r="1047">
      <c r="A1047" t="n">
        <v>39</v>
      </c>
      <c r="B1047" s="44">
        <f>FiscalStart+(A1047-1)*7</f>
        <v/>
      </c>
      <c r="C1047">
        <f>TEXT(B1047,"mmm yyyy")</f>
        <v/>
      </c>
      <c r="D1047">
        <f>"Q"&amp;(INT((A1047-1)/13)+1)</f>
        <v/>
      </c>
      <c r="E1047" t="inlineStr">
        <is>
          <t>On Premise</t>
        </is>
      </c>
      <c r="F1047">
        <f>IFERROR(INDEX(ChFormat,MATCH(E1047,ChName,0)),"")</f>
        <v/>
      </c>
      <c r="G1047" t="inlineStr">
        <is>
          <t>NL</t>
        </is>
      </c>
      <c r="H1047">
        <f>IF(A1047&lt;=NWeeks,1,0)</f>
        <v/>
      </c>
      <c r="I1047">
        <f>INDEX(ChLaunch,MATCH(E1047,ChName,0))</f>
        <v/>
      </c>
      <c r="J1047">
        <f>INDEX(ChWeeksFull,MATCH(E1047,ChName,0))</f>
        <v/>
      </c>
      <c r="K1047">
        <f>INDEX(ChRamp,MATCH(E1047,ChName,0))</f>
        <v/>
      </c>
      <c r="L1047" s="45">
        <f>MIN(1,MAX(0,(A1047-I1047+1)*RampSpeed/J1047))</f>
        <v/>
      </c>
      <c r="M1047" s="45">
        <f>IF(A1047&lt;I1047,0,IF(K1047="S-curve",L1047*L1047*(3-2*L1047),L1047))</f>
        <v/>
      </c>
      <c r="N1047" s="45">
        <f>1+(INDEX(SeasonIdx,A1047)-1)*SeasonAmp</f>
        <v/>
      </c>
      <c r="O1047" s="45">
        <f>IFERROR(INDEX(PSPct,MATCH(E1047&amp;"|"&amp;G1047,PSKey,0)),0)</f>
        <v/>
      </c>
      <c r="P1047" s="46">
        <f>INDEX(ChDoorVel,MATCH(E1047,ChName,0))*CalibScalar*(1+VelocityUplift)</f>
        <v/>
      </c>
      <c r="Q1047" s="46" t="n">
        <v>0</v>
      </c>
      <c r="R1047" s="46">
        <f>P1047*O1047*M1047*N1047*H1047</f>
        <v/>
      </c>
      <c r="S1047" s="46">
        <f>R1047*INDEX(FmtCansPerCase,MATCH(F1047,FmtName,0))</f>
        <v/>
      </c>
      <c r="T1047" s="46">
        <f>S1047/INDEX(FmtCansPerPack,MATCH(F1047,FmtName,0))</f>
        <v/>
      </c>
      <c r="U1047" s="47">
        <f>INDEX(ChBaseCP,MATCH(E1047,ChName,0))*(1+INDEX(ProvMod,MATCH(G1047,ProvCode,0)))*(1+PriceIndex)</f>
        <v/>
      </c>
      <c r="V1047" s="47">
        <f>R1047*U1047*INDEX(FmtBlendedPriceIdx,MATCH(F1047,FmtName,0))</f>
        <v/>
      </c>
      <c r="W1047" s="47">
        <f>T1047*INDEX(ProvSRP,MATCH(G1047,ProvCode,0))*(1+PriceIndex)</f>
        <v/>
      </c>
      <c r="X1047" s="47">
        <f>IF(GrossBasis="Wholesale",V1047,W1047)</f>
        <v/>
      </c>
      <c r="Y1047" s="47">
        <f>R1047*INDEX(FmtBlendedCogs,MATCH(F1047,FmtName,0))</f>
        <v/>
      </c>
      <c r="Z1047" s="47">
        <f>X1047-Y1047</f>
        <v/>
      </c>
    </row>
    <row r="1048">
      <c r="A1048" t="n">
        <v>40</v>
      </c>
      <c r="B1048" s="44">
        <f>FiscalStart+(A1048-1)*7</f>
        <v/>
      </c>
      <c r="C1048">
        <f>TEXT(B1048,"mmm yyyy")</f>
        <v/>
      </c>
      <c r="D1048">
        <f>"Q"&amp;(INT((A1048-1)/13)+1)</f>
        <v/>
      </c>
      <c r="E1048" t="inlineStr">
        <is>
          <t>On Premise</t>
        </is>
      </c>
      <c r="F1048">
        <f>IFERROR(INDEX(ChFormat,MATCH(E1048,ChName,0)),"")</f>
        <v/>
      </c>
      <c r="G1048" t="inlineStr">
        <is>
          <t>NL</t>
        </is>
      </c>
      <c r="H1048">
        <f>IF(A1048&lt;=NWeeks,1,0)</f>
        <v/>
      </c>
      <c r="I1048">
        <f>INDEX(ChLaunch,MATCH(E1048,ChName,0))</f>
        <v/>
      </c>
      <c r="J1048">
        <f>INDEX(ChWeeksFull,MATCH(E1048,ChName,0))</f>
        <v/>
      </c>
      <c r="K1048">
        <f>INDEX(ChRamp,MATCH(E1048,ChName,0))</f>
        <v/>
      </c>
      <c r="L1048" s="45">
        <f>MIN(1,MAX(0,(A1048-I1048+1)*RampSpeed/J1048))</f>
        <v/>
      </c>
      <c r="M1048" s="45">
        <f>IF(A1048&lt;I1048,0,IF(K1048="S-curve",L1048*L1048*(3-2*L1048),L1048))</f>
        <v/>
      </c>
      <c r="N1048" s="45">
        <f>1+(INDEX(SeasonIdx,A1048)-1)*SeasonAmp</f>
        <v/>
      </c>
      <c r="O1048" s="45">
        <f>IFERROR(INDEX(PSPct,MATCH(E1048&amp;"|"&amp;G1048,PSKey,0)),0)</f>
        <v/>
      </c>
      <c r="P1048" s="46">
        <f>INDEX(ChDoorVel,MATCH(E1048,ChName,0))*CalibScalar*(1+VelocityUplift)</f>
        <v/>
      </c>
      <c r="Q1048" s="46" t="n">
        <v>0</v>
      </c>
      <c r="R1048" s="46">
        <f>P1048*O1048*M1048*N1048*H1048</f>
        <v/>
      </c>
      <c r="S1048" s="46">
        <f>R1048*INDEX(FmtCansPerCase,MATCH(F1048,FmtName,0))</f>
        <v/>
      </c>
      <c r="T1048" s="46">
        <f>S1048/INDEX(FmtCansPerPack,MATCH(F1048,FmtName,0))</f>
        <v/>
      </c>
      <c r="U1048" s="47">
        <f>INDEX(ChBaseCP,MATCH(E1048,ChName,0))*(1+INDEX(ProvMod,MATCH(G1048,ProvCode,0)))*(1+PriceIndex)</f>
        <v/>
      </c>
      <c r="V1048" s="47">
        <f>R1048*U1048*INDEX(FmtBlendedPriceIdx,MATCH(F1048,FmtName,0))</f>
        <v/>
      </c>
      <c r="W1048" s="47">
        <f>T1048*INDEX(ProvSRP,MATCH(G1048,ProvCode,0))*(1+PriceIndex)</f>
        <v/>
      </c>
      <c r="X1048" s="47">
        <f>IF(GrossBasis="Wholesale",V1048,W1048)</f>
        <v/>
      </c>
      <c r="Y1048" s="47">
        <f>R1048*INDEX(FmtBlendedCogs,MATCH(F1048,FmtName,0))</f>
        <v/>
      </c>
      <c r="Z1048" s="47">
        <f>X1048-Y1048</f>
        <v/>
      </c>
    </row>
    <row r="1049">
      <c r="A1049" t="n">
        <v>41</v>
      </c>
      <c r="B1049" s="44">
        <f>FiscalStart+(A1049-1)*7</f>
        <v/>
      </c>
      <c r="C1049">
        <f>TEXT(B1049,"mmm yyyy")</f>
        <v/>
      </c>
      <c r="D1049">
        <f>"Q"&amp;(INT((A1049-1)/13)+1)</f>
        <v/>
      </c>
      <c r="E1049" t="inlineStr">
        <is>
          <t>On Premise</t>
        </is>
      </c>
      <c r="F1049">
        <f>IFERROR(INDEX(ChFormat,MATCH(E1049,ChName,0)),"")</f>
        <v/>
      </c>
      <c r="G1049" t="inlineStr">
        <is>
          <t>NL</t>
        </is>
      </c>
      <c r="H1049">
        <f>IF(A1049&lt;=NWeeks,1,0)</f>
        <v/>
      </c>
      <c r="I1049">
        <f>INDEX(ChLaunch,MATCH(E1049,ChName,0))</f>
        <v/>
      </c>
      <c r="J1049">
        <f>INDEX(ChWeeksFull,MATCH(E1049,ChName,0))</f>
        <v/>
      </c>
      <c r="K1049">
        <f>INDEX(ChRamp,MATCH(E1049,ChName,0))</f>
        <v/>
      </c>
      <c r="L1049" s="45">
        <f>MIN(1,MAX(0,(A1049-I1049+1)*RampSpeed/J1049))</f>
        <v/>
      </c>
      <c r="M1049" s="45">
        <f>IF(A1049&lt;I1049,0,IF(K1049="S-curve",L1049*L1049*(3-2*L1049),L1049))</f>
        <v/>
      </c>
      <c r="N1049" s="45">
        <f>1+(INDEX(SeasonIdx,A1049)-1)*SeasonAmp</f>
        <v/>
      </c>
      <c r="O1049" s="45">
        <f>IFERROR(INDEX(PSPct,MATCH(E1049&amp;"|"&amp;G1049,PSKey,0)),0)</f>
        <v/>
      </c>
      <c r="P1049" s="46">
        <f>INDEX(ChDoorVel,MATCH(E1049,ChName,0))*CalibScalar*(1+VelocityUplift)</f>
        <v/>
      </c>
      <c r="Q1049" s="46" t="n">
        <v>0</v>
      </c>
      <c r="R1049" s="46">
        <f>P1049*O1049*M1049*N1049*H1049</f>
        <v/>
      </c>
      <c r="S1049" s="46">
        <f>R1049*INDEX(FmtCansPerCase,MATCH(F1049,FmtName,0))</f>
        <v/>
      </c>
      <c r="T1049" s="46">
        <f>S1049/INDEX(FmtCansPerPack,MATCH(F1049,FmtName,0))</f>
        <v/>
      </c>
      <c r="U1049" s="47">
        <f>INDEX(ChBaseCP,MATCH(E1049,ChName,0))*(1+INDEX(ProvMod,MATCH(G1049,ProvCode,0)))*(1+PriceIndex)</f>
        <v/>
      </c>
      <c r="V1049" s="47">
        <f>R1049*U1049*INDEX(FmtBlendedPriceIdx,MATCH(F1049,FmtName,0))</f>
        <v/>
      </c>
      <c r="W1049" s="47">
        <f>T1049*INDEX(ProvSRP,MATCH(G1049,ProvCode,0))*(1+PriceIndex)</f>
        <v/>
      </c>
      <c r="X1049" s="47">
        <f>IF(GrossBasis="Wholesale",V1049,W1049)</f>
        <v/>
      </c>
      <c r="Y1049" s="47">
        <f>R1049*INDEX(FmtBlendedCogs,MATCH(F1049,FmtName,0))</f>
        <v/>
      </c>
      <c r="Z1049" s="47">
        <f>X1049-Y1049</f>
        <v/>
      </c>
    </row>
    <row r="1050">
      <c r="A1050" t="n">
        <v>42</v>
      </c>
      <c r="B1050" s="44">
        <f>FiscalStart+(A1050-1)*7</f>
        <v/>
      </c>
      <c r="C1050">
        <f>TEXT(B1050,"mmm yyyy")</f>
        <v/>
      </c>
      <c r="D1050">
        <f>"Q"&amp;(INT((A1050-1)/13)+1)</f>
        <v/>
      </c>
      <c r="E1050" t="inlineStr">
        <is>
          <t>On Premise</t>
        </is>
      </c>
      <c r="F1050">
        <f>IFERROR(INDEX(ChFormat,MATCH(E1050,ChName,0)),"")</f>
        <v/>
      </c>
      <c r="G1050" t="inlineStr">
        <is>
          <t>NL</t>
        </is>
      </c>
      <c r="H1050">
        <f>IF(A1050&lt;=NWeeks,1,0)</f>
        <v/>
      </c>
      <c r="I1050">
        <f>INDEX(ChLaunch,MATCH(E1050,ChName,0))</f>
        <v/>
      </c>
      <c r="J1050">
        <f>INDEX(ChWeeksFull,MATCH(E1050,ChName,0))</f>
        <v/>
      </c>
      <c r="K1050">
        <f>INDEX(ChRamp,MATCH(E1050,ChName,0))</f>
        <v/>
      </c>
      <c r="L1050" s="45">
        <f>MIN(1,MAX(0,(A1050-I1050+1)*RampSpeed/J1050))</f>
        <v/>
      </c>
      <c r="M1050" s="45">
        <f>IF(A1050&lt;I1050,0,IF(K1050="S-curve",L1050*L1050*(3-2*L1050),L1050))</f>
        <v/>
      </c>
      <c r="N1050" s="45">
        <f>1+(INDEX(SeasonIdx,A1050)-1)*SeasonAmp</f>
        <v/>
      </c>
      <c r="O1050" s="45">
        <f>IFERROR(INDEX(PSPct,MATCH(E1050&amp;"|"&amp;G1050,PSKey,0)),0)</f>
        <v/>
      </c>
      <c r="P1050" s="46">
        <f>INDEX(ChDoorVel,MATCH(E1050,ChName,0))*CalibScalar*(1+VelocityUplift)</f>
        <v/>
      </c>
      <c r="Q1050" s="46" t="n">
        <v>0</v>
      </c>
      <c r="R1050" s="46">
        <f>P1050*O1050*M1050*N1050*H1050</f>
        <v/>
      </c>
      <c r="S1050" s="46">
        <f>R1050*INDEX(FmtCansPerCase,MATCH(F1050,FmtName,0))</f>
        <v/>
      </c>
      <c r="T1050" s="46">
        <f>S1050/INDEX(FmtCansPerPack,MATCH(F1050,FmtName,0))</f>
        <v/>
      </c>
      <c r="U1050" s="47">
        <f>INDEX(ChBaseCP,MATCH(E1050,ChName,0))*(1+INDEX(ProvMod,MATCH(G1050,ProvCode,0)))*(1+PriceIndex)</f>
        <v/>
      </c>
      <c r="V1050" s="47">
        <f>R1050*U1050*INDEX(FmtBlendedPriceIdx,MATCH(F1050,FmtName,0))</f>
        <v/>
      </c>
      <c r="W1050" s="47">
        <f>T1050*INDEX(ProvSRP,MATCH(G1050,ProvCode,0))*(1+PriceIndex)</f>
        <v/>
      </c>
      <c r="X1050" s="47">
        <f>IF(GrossBasis="Wholesale",V1050,W1050)</f>
        <v/>
      </c>
      <c r="Y1050" s="47">
        <f>R1050*INDEX(FmtBlendedCogs,MATCH(F1050,FmtName,0))</f>
        <v/>
      </c>
      <c r="Z1050" s="47">
        <f>X1050-Y1050</f>
        <v/>
      </c>
    </row>
    <row r="1051">
      <c r="A1051" t="n">
        <v>43</v>
      </c>
      <c r="B1051" s="44">
        <f>FiscalStart+(A1051-1)*7</f>
        <v/>
      </c>
      <c r="C1051">
        <f>TEXT(B1051,"mmm yyyy")</f>
        <v/>
      </c>
      <c r="D1051">
        <f>"Q"&amp;(INT((A1051-1)/13)+1)</f>
        <v/>
      </c>
      <c r="E1051" t="inlineStr">
        <is>
          <t>On Premise</t>
        </is>
      </c>
      <c r="F1051">
        <f>IFERROR(INDEX(ChFormat,MATCH(E1051,ChName,0)),"")</f>
        <v/>
      </c>
      <c r="G1051" t="inlineStr">
        <is>
          <t>NL</t>
        </is>
      </c>
      <c r="H1051">
        <f>IF(A1051&lt;=NWeeks,1,0)</f>
        <v/>
      </c>
      <c r="I1051">
        <f>INDEX(ChLaunch,MATCH(E1051,ChName,0))</f>
        <v/>
      </c>
      <c r="J1051">
        <f>INDEX(ChWeeksFull,MATCH(E1051,ChName,0))</f>
        <v/>
      </c>
      <c r="K1051">
        <f>INDEX(ChRamp,MATCH(E1051,ChName,0))</f>
        <v/>
      </c>
      <c r="L1051" s="45">
        <f>MIN(1,MAX(0,(A1051-I1051+1)*RampSpeed/J1051))</f>
        <v/>
      </c>
      <c r="M1051" s="45">
        <f>IF(A1051&lt;I1051,0,IF(K1051="S-curve",L1051*L1051*(3-2*L1051),L1051))</f>
        <v/>
      </c>
      <c r="N1051" s="45">
        <f>1+(INDEX(SeasonIdx,A1051)-1)*SeasonAmp</f>
        <v/>
      </c>
      <c r="O1051" s="45">
        <f>IFERROR(INDEX(PSPct,MATCH(E1051&amp;"|"&amp;G1051,PSKey,0)),0)</f>
        <v/>
      </c>
      <c r="P1051" s="46">
        <f>INDEX(ChDoorVel,MATCH(E1051,ChName,0))*CalibScalar*(1+VelocityUplift)</f>
        <v/>
      </c>
      <c r="Q1051" s="46" t="n">
        <v>0</v>
      </c>
      <c r="R1051" s="46">
        <f>P1051*O1051*M1051*N1051*H1051</f>
        <v/>
      </c>
      <c r="S1051" s="46">
        <f>R1051*INDEX(FmtCansPerCase,MATCH(F1051,FmtName,0))</f>
        <v/>
      </c>
      <c r="T1051" s="46">
        <f>S1051/INDEX(FmtCansPerPack,MATCH(F1051,FmtName,0))</f>
        <v/>
      </c>
      <c r="U1051" s="47">
        <f>INDEX(ChBaseCP,MATCH(E1051,ChName,0))*(1+INDEX(ProvMod,MATCH(G1051,ProvCode,0)))*(1+PriceIndex)</f>
        <v/>
      </c>
      <c r="V1051" s="47">
        <f>R1051*U1051*INDEX(FmtBlendedPriceIdx,MATCH(F1051,FmtName,0))</f>
        <v/>
      </c>
      <c r="W1051" s="47">
        <f>T1051*INDEX(ProvSRP,MATCH(G1051,ProvCode,0))*(1+PriceIndex)</f>
        <v/>
      </c>
      <c r="X1051" s="47">
        <f>IF(GrossBasis="Wholesale",V1051,W1051)</f>
        <v/>
      </c>
      <c r="Y1051" s="47">
        <f>R1051*INDEX(FmtBlendedCogs,MATCH(F1051,FmtName,0))</f>
        <v/>
      </c>
      <c r="Z1051" s="47">
        <f>X1051-Y1051</f>
        <v/>
      </c>
    </row>
    <row r="1052">
      <c r="A1052" t="n">
        <v>44</v>
      </c>
      <c r="B1052" s="44">
        <f>FiscalStart+(A1052-1)*7</f>
        <v/>
      </c>
      <c r="C1052">
        <f>TEXT(B1052,"mmm yyyy")</f>
        <v/>
      </c>
      <c r="D1052">
        <f>"Q"&amp;(INT((A1052-1)/13)+1)</f>
        <v/>
      </c>
      <c r="E1052" t="inlineStr">
        <is>
          <t>On Premise</t>
        </is>
      </c>
      <c r="F1052">
        <f>IFERROR(INDEX(ChFormat,MATCH(E1052,ChName,0)),"")</f>
        <v/>
      </c>
      <c r="G1052" t="inlineStr">
        <is>
          <t>NL</t>
        </is>
      </c>
      <c r="H1052">
        <f>IF(A1052&lt;=NWeeks,1,0)</f>
        <v/>
      </c>
      <c r="I1052">
        <f>INDEX(ChLaunch,MATCH(E1052,ChName,0))</f>
        <v/>
      </c>
      <c r="J1052">
        <f>INDEX(ChWeeksFull,MATCH(E1052,ChName,0))</f>
        <v/>
      </c>
      <c r="K1052">
        <f>INDEX(ChRamp,MATCH(E1052,ChName,0))</f>
        <v/>
      </c>
      <c r="L1052" s="45">
        <f>MIN(1,MAX(0,(A1052-I1052+1)*RampSpeed/J1052))</f>
        <v/>
      </c>
      <c r="M1052" s="45">
        <f>IF(A1052&lt;I1052,0,IF(K1052="S-curve",L1052*L1052*(3-2*L1052),L1052))</f>
        <v/>
      </c>
      <c r="N1052" s="45">
        <f>1+(INDEX(SeasonIdx,A1052)-1)*SeasonAmp</f>
        <v/>
      </c>
      <c r="O1052" s="45">
        <f>IFERROR(INDEX(PSPct,MATCH(E1052&amp;"|"&amp;G1052,PSKey,0)),0)</f>
        <v/>
      </c>
      <c r="P1052" s="46">
        <f>INDEX(ChDoorVel,MATCH(E1052,ChName,0))*CalibScalar*(1+VelocityUplift)</f>
        <v/>
      </c>
      <c r="Q1052" s="46" t="n">
        <v>0</v>
      </c>
      <c r="R1052" s="46">
        <f>P1052*O1052*M1052*N1052*H1052</f>
        <v/>
      </c>
      <c r="S1052" s="46">
        <f>R1052*INDEX(FmtCansPerCase,MATCH(F1052,FmtName,0))</f>
        <v/>
      </c>
      <c r="T1052" s="46">
        <f>S1052/INDEX(FmtCansPerPack,MATCH(F1052,FmtName,0))</f>
        <v/>
      </c>
      <c r="U1052" s="47">
        <f>INDEX(ChBaseCP,MATCH(E1052,ChName,0))*(1+INDEX(ProvMod,MATCH(G1052,ProvCode,0)))*(1+PriceIndex)</f>
        <v/>
      </c>
      <c r="V1052" s="47">
        <f>R1052*U1052*INDEX(FmtBlendedPriceIdx,MATCH(F1052,FmtName,0))</f>
        <v/>
      </c>
      <c r="W1052" s="47">
        <f>T1052*INDEX(ProvSRP,MATCH(G1052,ProvCode,0))*(1+PriceIndex)</f>
        <v/>
      </c>
      <c r="X1052" s="47">
        <f>IF(GrossBasis="Wholesale",V1052,W1052)</f>
        <v/>
      </c>
      <c r="Y1052" s="47">
        <f>R1052*INDEX(FmtBlendedCogs,MATCH(F1052,FmtName,0))</f>
        <v/>
      </c>
      <c r="Z1052" s="47">
        <f>X1052-Y1052</f>
        <v/>
      </c>
    </row>
    <row r="1053">
      <c r="A1053" t="n">
        <v>45</v>
      </c>
      <c r="B1053" s="44">
        <f>FiscalStart+(A1053-1)*7</f>
        <v/>
      </c>
      <c r="C1053">
        <f>TEXT(B1053,"mmm yyyy")</f>
        <v/>
      </c>
      <c r="D1053">
        <f>"Q"&amp;(INT((A1053-1)/13)+1)</f>
        <v/>
      </c>
      <c r="E1053" t="inlineStr">
        <is>
          <t>On Premise</t>
        </is>
      </c>
      <c r="F1053">
        <f>IFERROR(INDEX(ChFormat,MATCH(E1053,ChName,0)),"")</f>
        <v/>
      </c>
      <c r="G1053" t="inlineStr">
        <is>
          <t>NL</t>
        </is>
      </c>
      <c r="H1053">
        <f>IF(A1053&lt;=NWeeks,1,0)</f>
        <v/>
      </c>
      <c r="I1053">
        <f>INDEX(ChLaunch,MATCH(E1053,ChName,0))</f>
        <v/>
      </c>
      <c r="J1053">
        <f>INDEX(ChWeeksFull,MATCH(E1053,ChName,0))</f>
        <v/>
      </c>
      <c r="K1053">
        <f>INDEX(ChRamp,MATCH(E1053,ChName,0))</f>
        <v/>
      </c>
      <c r="L1053" s="45">
        <f>MIN(1,MAX(0,(A1053-I1053+1)*RampSpeed/J1053))</f>
        <v/>
      </c>
      <c r="M1053" s="45">
        <f>IF(A1053&lt;I1053,0,IF(K1053="S-curve",L1053*L1053*(3-2*L1053),L1053))</f>
        <v/>
      </c>
      <c r="N1053" s="45">
        <f>1+(INDEX(SeasonIdx,A1053)-1)*SeasonAmp</f>
        <v/>
      </c>
      <c r="O1053" s="45">
        <f>IFERROR(INDEX(PSPct,MATCH(E1053&amp;"|"&amp;G1053,PSKey,0)),0)</f>
        <v/>
      </c>
      <c r="P1053" s="46">
        <f>INDEX(ChDoorVel,MATCH(E1053,ChName,0))*CalibScalar*(1+VelocityUplift)</f>
        <v/>
      </c>
      <c r="Q1053" s="46" t="n">
        <v>0</v>
      </c>
      <c r="R1053" s="46">
        <f>P1053*O1053*M1053*N1053*H1053</f>
        <v/>
      </c>
      <c r="S1053" s="46">
        <f>R1053*INDEX(FmtCansPerCase,MATCH(F1053,FmtName,0))</f>
        <v/>
      </c>
      <c r="T1053" s="46">
        <f>S1053/INDEX(FmtCansPerPack,MATCH(F1053,FmtName,0))</f>
        <v/>
      </c>
      <c r="U1053" s="47">
        <f>INDEX(ChBaseCP,MATCH(E1053,ChName,0))*(1+INDEX(ProvMod,MATCH(G1053,ProvCode,0)))*(1+PriceIndex)</f>
        <v/>
      </c>
      <c r="V1053" s="47">
        <f>R1053*U1053*INDEX(FmtBlendedPriceIdx,MATCH(F1053,FmtName,0))</f>
        <v/>
      </c>
      <c r="W1053" s="47">
        <f>T1053*INDEX(ProvSRP,MATCH(G1053,ProvCode,0))*(1+PriceIndex)</f>
        <v/>
      </c>
      <c r="X1053" s="47">
        <f>IF(GrossBasis="Wholesale",V1053,W1053)</f>
        <v/>
      </c>
      <c r="Y1053" s="47">
        <f>R1053*INDEX(FmtBlendedCogs,MATCH(F1053,FmtName,0))</f>
        <v/>
      </c>
      <c r="Z1053" s="47">
        <f>X1053-Y1053</f>
        <v/>
      </c>
    </row>
    <row r="1054">
      <c r="A1054" t="n">
        <v>46</v>
      </c>
      <c r="B1054" s="44">
        <f>FiscalStart+(A1054-1)*7</f>
        <v/>
      </c>
      <c r="C1054">
        <f>TEXT(B1054,"mmm yyyy")</f>
        <v/>
      </c>
      <c r="D1054">
        <f>"Q"&amp;(INT((A1054-1)/13)+1)</f>
        <v/>
      </c>
      <c r="E1054" t="inlineStr">
        <is>
          <t>On Premise</t>
        </is>
      </c>
      <c r="F1054">
        <f>IFERROR(INDEX(ChFormat,MATCH(E1054,ChName,0)),"")</f>
        <v/>
      </c>
      <c r="G1054" t="inlineStr">
        <is>
          <t>NL</t>
        </is>
      </c>
      <c r="H1054">
        <f>IF(A1054&lt;=NWeeks,1,0)</f>
        <v/>
      </c>
      <c r="I1054">
        <f>INDEX(ChLaunch,MATCH(E1054,ChName,0))</f>
        <v/>
      </c>
      <c r="J1054">
        <f>INDEX(ChWeeksFull,MATCH(E1054,ChName,0))</f>
        <v/>
      </c>
      <c r="K1054">
        <f>INDEX(ChRamp,MATCH(E1054,ChName,0))</f>
        <v/>
      </c>
      <c r="L1054" s="45">
        <f>MIN(1,MAX(0,(A1054-I1054+1)*RampSpeed/J1054))</f>
        <v/>
      </c>
      <c r="M1054" s="45">
        <f>IF(A1054&lt;I1054,0,IF(K1054="S-curve",L1054*L1054*(3-2*L1054),L1054))</f>
        <v/>
      </c>
      <c r="N1054" s="45">
        <f>1+(INDEX(SeasonIdx,A1054)-1)*SeasonAmp</f>
        <v/>
      </c>
      <c r="O1054" s="45">
        <f>IFERROR(INDEX(PSPct,MATCH(E1054&amp;"|"&amp;G1054,PSKey,0)),0)</f>
        <v/>
      </c>
      <c r="P1054" s="46">
        <f>INDEX(ChDoorVel,MATCH(E1054,ChName,0))*CalibScalar*(1+VelocityUplift)</f>
        <v/>
      </c>
      <c r="Q1054" s="46" t="n">
        <v>0</v>
      </c>
      <c r="R1054" s="46">
        <f>P1054*O1054*M1054*N1054*H1054</f>
        <v/>
      </c>
      <c r="S1054" s="46">
        <f>R1054*INDEX(FmtCansPerCase,MATCH(F1054,FmtName,0))</f>
        <v/>
      </c>
      <c r="T1054" s="46">
        <f>S1054/INDEX(FmtCansPerPack,MATCH(F1054,FmtName,0))</f>
        <v/>
      </c>
      <c r="U1054" s="47">
        <f>INDEX(ChBaseCP,MATCH(E1054,ChName,0))*(1+INDEX(ProvMod,MATCH(G1054,ProvCode,0)))*(1+PriceIndex)</f>
        <v/>
      </c>
      <c r="V1054" s="47">
        <f>R1054*U1054*INDEX(FmtBlendedPriceIdx,MATCH(F1054,FmtName,0))</f>
        <v/>
      </c>
      <c r="W1054" s="47">
        <f>T1054*INDEX(ProvSRP,MATCH(G1054,ProvCode,0))*(1+PriceIndex)</f>
        <v/>
      </c>
      <c r="X1054" s="47">
        <f>IF(GrossBasis="Wholesale",V1054,W1054)</f>
        <v/>
      </c>
      <c r="Y1054" s="47">
        <f>R1054*INDEX(FmtBlendedCogs,MATCH(F1054,FmtName,0))</f>
        <v/>
      </c>
      <c r="Z1054" s="47">
        <f>X1054-Y1054</f>
        <v/>
      </c>
    </row>
    <row r="1055">
      <c r="A1055" t="n">
        <v>47</v>
      </c>
      <c r="B1055" s="44">
        <f>FiscalStart+(A1055-1)*7</f>
        <v/>
      </c>
      <c r="C1055">
        <f>TEXT(B1055,"mmm yyyy")</f>
        <v/>
      </c>
      <c r="D1055">
        <f>"Q"&amp;(INT((A1055-1)/13)+1)</f>
        <v/>
      </c>
      <c r="E1055" t="inlineStr">
        <is>
          <t>On Premise</t>
        </is>
      </c>
      <c r="F1055">
        <f>IFERROR(INDEX(ChFormat,MATCH(E1055,ChName,0)),"")</f>
        <v/>
      </c>
      <c r="G1055" t="inlineStr">
        <is>
          <t>NL</t>
        </is>
      </c>
      <c r="H1055">
        <f>IF(A1055&lt;=NWeeks,1,0)</f>
        <v/>
      </c>
      <c r="I1055">
        <f>INDEX(ChLaunch,MATCH(E1055,ChName,0))</f>
        <v/>
      </c>
      <c r="J1055">
        <f>INDEX(ChWeeksFull,MATCH(E1055,ChName,0))</f>
        <v/>
      </c>
      <c r="K1055">
        <f>INDEX(ChRamp,MATCH(E1055,ChName,0))</f>
        <v/>
      </c>
      <c r="L1055" s="45">
        <f>MIN(1,MAX(0,(A1055-I1055+1)*RampSpeed/J1055))</f>
        <v/>
      </c>
      <c r="M1055" s="45">
        <f>IF(A1055&lt;I1055,0,IF(K1055="S-curve",L1055*L1055*(3-2*L1055),L1055))</f>
        <v/>
      </c>
      <c r="N1055" s="45">
        <f>1+(INDEX(SeasonIdx,A1055)-1)*SeasonAmp</f>
        <v/>
      </c>
      <c r="O1055" s="45">
        <f>IFERROR(INDEX(PSPct,MATCH(E1055&amp;"|"&amp;G1055,PSKey,0)),0)</f>
        <v/>
      </c>
      <c r="P1055" s="46">
        <f>INDEX(ChDoorVel,MATCH(E1055,ChName,0))*CalibScalar*(1+VelocityUplift)</f>
        <v/>
      </c>
      <c r="Q1055" s="46" t="n">
        <v>0</v>
      </c>
      <c r="R1055" s="46">
        <f>P1055*O1055*M1055*N1055*H1055</f>
        <v/>
      </c>
      <c r="S1055" s="46">
        <f>R1055*INDEX(FmtCansPerCase,MATCH(F1055,FmtName,0))</f>
        <v/>
      </c>
      <c r="T1055" s="46">
        <f>S1055/INDEX(FmtCansPerPack,MATCH(F1055,FmtName,0))</f>
        <v/>
      </c>
      <c r="U1055" s="47">
        <f>INDEX(ChBaseCP,MATCH(E1055,ChName,0))*(1+INDEX(ProvMod,MATCH(G1055,ProvCode,0)))*(1+PriceIndex)</f>
        <v/>
      </c>
      <c r="V1055" s="47">
        <f>R1055*U1055*INDEX(FmtBlendedPriceIdx,MATCH(F1055,FmtName,0))</f>
        <v/>
      </c>
      <c r="W1055" s="47">
        <f>T1055*INDEX(ProvSRP,MATCH(G1055,ProvCode,0))*(1+PriceIndex)</f>
        <v/>
      </c>
      <c r="X1055" s="47">
        <f>IF(GrossBasis="Wholesale",V1055,W1055)</f>
        <v/>
      </c>
      <c r="Y1055" s="47">
        <f>R1055*INDEX(FmtBlendedCogs,MATCH(F1055,FmtName,0))</f>
        <v/>
      </c>
      <c r="Z1055" s="47">
        <f>X1055-Y1055</f>
        <v/>
      </c>
    </row>
    <row r="1056">
      <c r="A1056" t="n">
        <v>48</v>
      </c>
      <c r="B1056" s="44">
        <f>FiscalStart+(A1056-1)*7</f>
        <v/>
      </c>
      <c r="C1056">
        <f>TEXT(B1056,"mmm yyyy")</f>
        <v/>
      </c>
      <c r="D1056">
        <f>"Q"&amp;(INT((A1056-1)/13)+1)</f>
        <v/>
      </c>
      <c r="E1056" t="inlineStr">
        <is>
          <t>On Premise</t>
        </is>
      </c>
      <c r="F1056">
        <f>IFERROR(INDEX(ChFormat,MATCH(E1056,ChName,0)),"")</f>
        <v/>
      </c>
      <c r="G1056" t="inlineStr">
        <is>
          <t>NL</t>
        </is>
      </c>
      <c r="H1056">
        <f>IF(A1056&lt;=NWeeks,1,0)</f>
        <v/>
      </c>
      <c r="I1056">
        <f>INDEX(ChLaunch,MATCH(E1056,ChName,0))</f>
        <v/>
      </c>
      <c r="J1056">
        <f>INDEX(ChWeeksFull,MATCH(E1056,ChName,0))</f>
        <v/>
      </c>
      <c r="K1056">
        <f>INDEX(ChRamp,MATCH(E1056,ChName,0))</f>
        <v/>
      </c>
      <c r="L1056" s="45">
        <f>MIN(1,MAX(0,(A1056-I1056+1)*RampSpeed/J1056))</f>
        <v/>
      </c>
      <c r="M1056" s="45">
        <f>IF(A1056&lt;I1056,0,IF(K1056="S-curve",L1056*L1056*(3-2*L1056),L1056))</f>
        <v/>
      </c>
      <c r="N1056" s="45">
        <f>1+(INDEX(SeasonIdx,A1056)-1)*SeasonAmp</f>
        <v/>
      </c>
      <c r="O1056" s="45">
        <f>IFERROR(INDEX(PSPct,MATCH(E1056&amp;"|"&amp;G1056,PSKey,0)),0)</f>
        <v/>
      </c>
      <c r="P1056" s="46">
        <f>INDEX(ChDoorVel,MATCH(E1056,ChName,0))*CalibScalar*(1+VelocityUplift)</f>
        <v/>
      </c>
      <c r="Q1056" s="46" t="n">
        <v>0</v>
      </c>
      <c r="R1056" s="46">
        <f>P1056*O1056*M1056*N1056*H1056</f>
        <v/>
      </c>
      <c r="S1056" s="46">
        <f>R1056*INDEX(FmtCansPerCase,MATCH(F1056,FmtName,0))</f>
        <v/>
      </c>
      <c r="T1056" s="46">
        <f>S1056/INDEX(FmtCansPerPack,MATCH(F1056,FmtName,0))</f>
        <v/>
      </c>
      <c r="U1056" s="47">
        <f>INDEX(ChBaseCP,MATCH(E1056,ChName,0))*(1+INDEX(ProvMod,MATCH(G1056,ProvCode,0)))*(1+PriceIndex)</f>
        <v/>
      </c>
      <c r="V1056" s="47">
        <f>R1056*U1056*INDEX(FmtBlendedPriceIdx,MATCH(F1056,FmtName,0))</f>
        <v/>
      </c>
      <c r="W1056" s="47">
        <f>T1056*INDEX(ProvSRP,MATCH(G1056,ProvCode,0))*(1+PriceIndex)</f>
        <v/>
      </c>
      <c r="X1056" s="47">
        <f>IF(GrossBasis="Wholesale",V1056,W1056)</f>
        <v/>
      </c>
      <c r="Y1056" s="47">
        <f>R1056*INDEX(FmtBlendedCogs,MATCH(F1056,FmtName,0))</f>
        <v/>
      </c>
      <c r="Z1056" s="47">
        <f>X1056-Y1056</f>
        <v/>
      </c>
    </row>
    <row r="1057">
      <c r="A1057" t="n">
        <v>49</v>
      </c>
      <c r="B1057" s="44">
        <f>FiscalStart+(A1057-1)*7</f>
        <v/>
      </c>
      <c r="C1057">
        <f>TEXT(B1057,"mmm yyyy")</f>
        <v/>
      </c>
      <c r="D1057">
        <f>"Q"&amp;(INT((A1057-1)/13)+1)</f>
        <v/>
      </c>
      <c r="E1057" t="inlineStr">
        <is>
          <t>On Premise</t>
        </is>
      </c>
      <c r="F1057">
        <f>IFERROR(INDEX(ChFormat,MATCH(E1057,ChName,0)),"")</f>
        <v/>
      </c>
      <c r="G1057" t="inlineStr">
        <is>
          <t>NL</t>
        </is>
      </c>
      <c r="H1057">
        <f>IF(A1057&lt;=NWeeks,1,0)</f>
        <v/>
      </c>
      <c r="I1057">
        <f>INDEX(ChLaunch,MATCH(E1057,ChName,0))</f>
        <v/>
      </c>
      <c r="J1057">
        <f>INDEX(ChWeeksFull,MATCH(E1057,ChName,0))</f>
        <v/>
      </c>
      <c r="K1057">
        <f>INDEX(ChRamp,MATCH(E1057,ChName,0))</f>
        <v/>
      </c>
      <c r="L1057" s="45">
        <f>MIN(1,MAX(0,(A1057-I1057+1)*RampSpeed/J1057))</f>
        <v/>
      </c>
      <c r="M1057" s="45">
        <f>IF(A1057&lt;I1057,0,IF(K1057="S-curve",L1057*L1057*(3-2*L1057),L1057))</f>
        <v/>
      </c>
      <c r="N1057" s="45">
        <f>1+(INDEX(SeasonIdx,A1057)-1)*SeasonAmp</f>
        <v/>
      </c>
      <c r="O1057" s="45">
        <f>IFERROR(INDEX(PSPct,MATCH(E1057&amp;"|"&amp;G1057,PSKey,0)),0)</f>
        <v/>
      </c>
      <c r="P1057" s="46">
        <f>INDEX(ChDoorVel,MATCH(E1057,ChName,0))*CalibScalar*(1+VelocityUplift)</f>
        <v/>
      </c>
      <c r="Q1057" s="46" t="n">
        <v>0</v>
      </c>
      <c r="R1057" s="46">
        <f>P1057*O1057*M1057*N1057*H1057</f>
        <v/>
      </c>
      <c r="S1057" s="46">
        <f>R1057*INDEX(FmtCansPerCase,MATCH(F1057,FmtName,0))</f>
        <v/>
      </c>
      <c r="T1057" s="46">
        <f>S1057/INDEX(FmtCansPerPack,MATCH(F1057,FmtName,0))</f>
        <v/>
      </c>
      <c r="U1057" s="47">
        <f>INDEX(ChBaseCP,MATCH(E1057,ChName,0))*(1+INDEX(ProvMod,MATCH(G1057,ProvCode,0)))*(1+PriceIndex)</f>
        <v/>
      </c>
      <c r="V1057" s="47">
        <f>R1057*U1057*INDEX(FmtBlendedPriceIdx,MATCH(F1057,FmtName,0))</f>
        <v/>
      </c>
      <c r="W1057" s="47">
        <f>T1057*INDEX(ProvSRP,MATCH(G1057,ProvCode,0))*(1+PriceIndex)</f>
        <v/>
      </c>
      <c r="X1057" s="47">
        <f>IF(GrossBasis="Wholesale",V1057,W1057)</f>
        <v/>
      </c>
      <c r="Y1057" s="47">
        <f>R1057*INDEX(FmtBlendedCogs,MATCH(F1057,FmtName,0))</f>
        <v/>
      </c>
      <c r="Z1057" s="47">
        <f>X1057-Y1057</f>
        <v/>
      </c>
    </row>
    <row r="1058">
      <c r="A1058" t="n">
        <v>50</v>
      </c>
      <c r="B1058" s="44">
        <f>FiscalStart+(A1058-1)*7</f>
        <v/>
      </c>
      <c r="C1058">
        <f>TEXT(B1058,"mmm yyyy")</f>
        <v/>
      </c>
      <c r="D1058">
        <f>"Q"&amp;(INT((A1058-1)/13)+1)</f>
        <v/>
      </c>
      <c r="E1058" t="inlineStr">
        <is>
          <t>On Premise</t>
        </is>
      </c>
      <c r="F1058">
        <f>IFERROR(INDEX(ChFormat,MATCH(E1058,ChName,0)),"")</f>
        <v/>
      </c>
      <c r="G1058" t="inlineStr">
        <is>
          <t>NL</t>
        </is>
      </c>
      <c r="H1058">
        <f>IF(A1058&lt;=NWeeks,1,0)</f>
        <v/>
      </c>
      <c r="I1058">
        <f>INDEX(ChLaunch,MATCH(E1058,ChName,0))</f>
        <v/>
      </c>
      <c r="J1058">
        <f>INDEX(ChWeeksFull,MATCH(E1058,ChName,0))</f>
        <v/>
      </c>
      <c r="K1058">
        <f>INDEX(ChRamp,MATCH(E1058,ChName,0))</f>
        <v/>
      </c>
      <c r="L1058" s="45">
        <f>MIN(1,MAX(0,(A1058-I1058+1)*RampSpeed/J1058))</f>
        <v/>
      </c>
      <c r="M1058" s="45">
        <f>IF(A1058&lt;I1058,0,IF(K1058="S-curve",L1058*L1058*(3-2*L1058),L1058))</f>
        <v/>
      </c>
      <c r="N1058" s="45">
        <f>1+(INDEX(SeasonIdx,A1058)-1)*SeasonAmp</f>
        <v/>
      </c>
      <c r="O1058" s="45">
        <f>IFERROR(INDEX(PSPct,MATCH(E1058&amp;"|"&amp;G1058,PSKey,0)),0)</f>
        <v/>
      </c>
      <c r="P1058" s="46">
        <f>INDEX(ChDoorVel,MATCH(E1058,ChName,0))*CalibScalar*(1+VelocityUplift)</f>
        <v/>
      </c>
      <c r="Q1058" s="46" t="n">
        <v>0</v>
      </c>
      <c r="R1058" s="46">
        <f>P1058*O1058*M1058*N1058*H1058</f>
        <v/>
      </c>
      <c r="S1058" s="46">
        <f>R1058*INDEX(FmtCansPerCase,MATCH(F1058,FmtName,0))</f>
        <v/>
      </c>
      <c r="T1058" s="46">
        <f>S1058/INDEX(FmtCansPerPack,MATCH(F1058,FmtName,0))</f>
        <v/>
      </c>
      <c r="U1058" s="47">
        <f>INDEX(ChBaseCP,MATCH(E1058,ChName,0))*(1+INDEX(ProvMod,MATCH(G1058,ProvCode,0)))*(1+PriceIndex)</f>
        <v/>
      </c>
      <c r="V1058" s="47">
        <f>R1058*U1058*INDEX(FmtBlendedPriceIdx,MATCH(F1058,FmtName,0))</f>
        <v/>
      </c>
      <c r="W1058" s="47">
        <f>T1058*INDEX(ProvSRP,MATCH(G1058,ProvCode,0))*(1+PriceIndex)</f>
        <v/>
      </c>
      <c r="X1058" s="47">
        <f>IF(GrossBasis="Wholesale",V1058,W1058)</f>
        <v/>
      </c>
      <c r="Y1058" s="47">
        <f>R1058*INDEX(FmtBlendedCogs,MATCH(F1058,FmtName,0))</f>
        <v/>
      </c>
      <c r="Z1058" s="47">
        <f>X1058-Y1058</f>
        <v/>
      </c>
    </row>
    <row r="1059">
      <c r="A1059" t="n">
        <v>51</v>
      </c>
      <c r="B1059" s="44">
        <f>FiscalStart+(A1059-1)*7</f>
        <v/>
      </c>
      <c r="C1059">
        <f>TEXT(B1059,"mmm yyyy")</f>
        <v/>
      </c>
      <c r="D1059">
        <f>"Q"&amp;(INT((A1059-1)/13)+1)</f>
        <v/>
      </c>
      <c r="E1059" t="inlineStr">
        <is>
          <t>On Premise</t>
        </is>
      </c>
      <c r="F1059">
        <f>IFERROR(INDEX(ChFormat,MATCH(E1059,ChName,0)),"")</f>
        <v/>
      </c>
      <c r="G1059" t="inlineStr">
        <is>
          <t>NL</t>
        </is>
      </c>
      <c r="H1059">
        <f>IF(A1059&lt;=NWeeks,1,0)</f>
        <v/>
      </c>
      <c r="I1059">
        <f>INDEX(ChLaunch,MATCH(E1059,ChName,0))</f>
        <v/>
      </c>
      <c r="J1059">
        <f>INDEX(ChWeeksFull,MATCH(E1059,ChName,0))</f>
        <v/>
      </c>
      <c r="K1059">
        <f>INDEX(ChRamp,MATCH(E1059,ChName,0))</f>
        <v/>
      </c>
      <c r="L1059" s="45">
        <f>MIN(1,MAX(0,(A1059-I1059+1)*RampSpeed/J1059))</f>
        <v/>
      </c>
      <c r="M1059" s="45">
        <f>IF(A1059&lt;I1059,0,IF(K1059="S-curve",L1059*L1059*(3-2*L1059),L1059))</f>
        <v/>
      </c>
      <c r="N1059" s="45">
        <f>1+(INDEX(SeasonIdx,A1059)-1)*SeasonAmp</f>
        <v/>
      </c>
      <c r="O1059" s="45">
        <f>IFERROR(INDEX(PSPct,MATCH(E1059&amp;"|"&amp;G1059,PSKey,0)),0)</f>
        <v/>
      </c>
      <c r="P1059" s="46">
        <f>INDEX(ChDoorVel,MATCH(E1059,ChName,0))*CalibScalar*(1+VelocityUplift)</f>
        <v/>
      </c>
      <c r="Q1059" s="46" t="n">
        <v>0</v>
      </c>
      <c r="R1059" s="46">
        <f>P1059*O1059*M1059*N1059*H1059</f>
        <v/>
      </c>
      <c r="S1059" s="46">
        <f>R1059*INDEX(FmtCansPerCase,MATCH(F1059,FmtName,0))</f>
        <v/>
      </c>
      <c r="T1059" s="46">
        <f>S1059/INDEX(FmtCansPerPack,MATCH(F1059,FmtName,0))</f>
        <v/>
      </c>
      <c r="U1059" s="47">
        <f>INDEX(ChBaseCP,MATCH(E1059,ChName,0))*(1+INDEX(ProvMod,MATCH(G1059,ProvCode,0)))*(1+PriceIndex)</f>
        <v/>
      </c>
      <c r="V1059" s="47">
        <f>R1059*U1059*INDEX(FmtBlendedPriceIdx,MATCH(F1059,FmtName,0))</f>
        <v/>
      </c>
      <c r="W1059" s="47">
        <f>T1059*INDEX(ProvSRP,MATCH(G1059,ProvCode,0))*(1+PriceIndex)</f>
        <v/>
      </c>
      <c r="X1059" s="47">
        <f>IF(GrossBasis="Wholesale",V1059,W1059)</f>
        <v/>
      </c>
      <c r="Y1059" s="47">
        <f>R1059*INDEX(FmtBlendedCogs,MATCH(F1059,FmtName,0))</f>
        <v/>
      </c>
      <c r="Z1059" s="47">
        <f>X1059-Y1059</f>
        <v/>
      </c>
    </row>
    <row r="1060">
      <c r="A1060" t="n">
        <v>52</v>
      </c>
      <c r="B1060" s="44">
        <f>FiscalStart+(A1060-1)*7</f>
        <v/>
      </c>
      <c r="C1060">
        <f>TEXT(B1060,"mmm yyyy")</f>
        <v/>
      </c>
      <c r="D1060">
        <f>"Q"&amp;(INT((A1060-1)/13)+1)</f>
        <v/>
      </c>
      <c r="E1060" t="inlineStr">
        <is>
          <t>On Premise</t>
        </is>
      </c>
      <c r="F1060">
        <f>IFERROR(INDEX(ChFormat,MATCH(E1060,ChName,0)),"")</f>
        <v/>
      </c>
      <c r="G1060" t="inlineStr">
        <is>
          <t>NL</t>
        </is>
      </c>
      <c r="H1060">
        <f>IF(A1060&lt;=NWeeks,1,0)</f>
        <v/>
      </c>
      <c r="I1060">
        <f>INDEX(ChLaunch,MATCH(E1060,ChName,0))</f>
        <v/>
      </c>
      <c r="J1060">
        <f>INDEX(ChWeeksFull,MATCH(E1060,ChName,0))</f>
        <v/>
      </c>
      <c r="K1060">
        <f>INDEX(ChRamp,MATCH(E1060,ChName,0))</f>
        <v/>
      </c>
      <c r="L1060" s="45">
        <f>MIN(1,MAX(0,(A1060-I1060+1)*RampSpeed/J1060))</f>
        <v/>
      </c>
      <c r="M1060" s="45">
        <f>IF(A1060&lt;I1060,0,IF(K1060="S-curve",L1060*L1060*(3-2*L1060),L1060))</f>
        <v/>
      </c>
      <c r="N1060" s="45">
        <f>1+(INDEX(SeasonIdx,A1060)-1)*SeasonAmp</f>
        <v/>
      </c>
      <c r="O1060" s="45">
        <f>IFERROR(INDEX(PSPct,MATCH(E1060&amp;"|"&amp;G1060,PSKey,0)),0)</f>
        <v/>
      </c>
      <c r="P1060" s="46">
        <f>INDEX(ChDoorVel,MATCH(E1060,ChName,0))*CalibScalar*(1+VelocityUplift)</f>
        <v/>
      </c>
      <c r="Q1060" s="46" t="n">
        <v>0</v>
      </c>
      <c r="R1060" s="46">
        <f>P1060*O1060*M1060*N1060*H1060</f>
        <v/>
      </c>
      <c r="S1060" s="46">
        <f>R1060*INDEX(FmtCansPerCase,MATCH(F1060,FmtName,0))</f>
        <v/>
      </c>
      <c r="T1060" s="46">
        <f>S1060/INDEX(FmtCansPerPack,MATCH(F1060,FmtName,0))</f>
        <v/>
      </c>
      <c r="U1060" s="47">
        <f>INDEX(ChBaseCP,MATCH(E1060,ChName,0))*(1+INDEX(ProvMod,MATCH(G1060,ProvCode,0)))*(1+PriceIndex)</f>
        <v/>
      </c>
      <c r="V1060" s="47">
        <f>R1060*U1060*INDEX(FmtBlendedPriceIdx,MATCH(F1060,FmtName,0))</f>
        <v/>
      </c>
      <c r="W1060" s="47">
        <f>T1060*INDEX(ProvSRP,MATCH(G1060,ProvCode,0))*(1+PriceIndex)</f>
        <v/>
      </c>
      <c r="X1060" s="47">
        <f>IF(GrossBasis="Wholesale",V1060,W1060)</f>
        <v/>
      </c>
      <c r="Y1060" s="47">
        <f>R1060*INDEX(FmtBlendedCogs,MATCH(F1060,FmtName,0))</f>
        <v/>
      </c>
      <c r="Z1060" s="47">
        <f>X1060-Y1060</f>
        <v/>
      </c>
    </row>
    <row r="1061">
      <c r="A1061" t="n">
        <v>53</v>
      </c>
      <c r="B1061" s="44">
        <f>FiscalStart+(A1061-1)*7</f>
        <v/>
      </c>
      <c r="C1061">
        <f>TEXT(B1061,"mmm yyyy")</f>
        <v/>
      </c>
      <c r="D1061">
        <f>"Q"&amp;(INT((A1061-1)/13)+1)</f>
        <v/>
      </c>
      <c r="E1061" t="inlineStr">
        <is>
          <t>On Premise</t>
        </is>
      </c>
      <c r="F1061">
        <f>IFERROR(INDEX(ChFormat,MATCH(E1061,ChName,0)),"")</f>
        <v/>
      </c>
      <c r="G1061" t="inlineStr">
        <is>
          <t>NL</t>
        </is>
      </c>
      <c r="H1061">
        <f>IF(A1061&lt;=NWeeks,1,0)</f>
        <v/>
      </c>
      <c r="I1061">
        <f>INDEX(ChLaunch,MATCH(E1061,ChName,0))</f>
        <v/>
      </c>
      <c r="J1061">
        <f>INDEX(ChWeeksFull,MATCH(E1061,ChName,0))</f>
        <v/>
      </c>
      <c r="K1061">
        <f>INDEX(ChRamp,MATCH(E1061,ChName,0))</f>
        <v/>
      </c>
      <c r="L1061" s="45">
        <f>MIN(1,MAX(0,(A1061-I1061+1)*RampSpeed/J1061))</f>
        <v/>
      </c>
      <c r="M1061" s="45">
        <f>IF(A1061&lt;I1061,0,IF(K1061="S-curve",L1061*L1061*(3-2*L1061),L1061))</f>
        <v/>
      </c>
      <c r="N1061" s="45">
        <f>1+(INDEX(SeasonIdx,A1061)-1)*SeasonAmp</f>
        <v/>
      </c>
      <c r="O1061" s="45">
        <f>IFERROR(INDEX(PSPct,MATCH(E1061&amp;"|"&amp;G1061,PSKey,0)),0)</f>
        <v/>
      </c>
      <c r="P1061" s="46">
        <f>INDEX(ChDoorVel,MATCH(E1061,ChName,0))*CalibScalar*(1+VelocityUplift)</f>
        <v/>
      </c>
      <c r="Q1061" s="46" t="n">
        <v>0</v>
      </c>
      <c r="R1061" s="46">
        <f>P1061*O1061*M1061*N1061*H1061</f>
        <v/>
      </c>
      <c r="S1061" s="46">
        <f>R1061*INDEX(FmtCansPerCase,MATCH(F1061,FmtName,0))</f>
        <v/>
      </c>
      <c r="T1061" s="46">
        <f>S1061/INDEX(FmtCansPerPack,MATCH(F1061,FmtName,0))</f>
        <v/>
      </c>
      <c r="U1061" s="47">
        <f>INDEX(ChBaseCP,MATCH(E1061,ChName,0))*(1+INDEX(ProvMod,MATCH(G1061,ProvCode,0)))*(1+PriceIndex)</f>
        <v/>
      </c>
      <c r="V1061" s="47">
        <f>R1061*U1061*INDEX(FmtBlendedPriceIdx,MATCH(F1061,FmtName,0))</f>
        <v/>
      </c>
      <c r="W1061" s="47">
        <f>T1061*INDEX(ProvSRP,MATCH(G1061,ProvCode,0))*(1+PriceIndex)</f>
        <v/>
      </c>
      <c r="X1061" s="47">
        <f>IF(GrossBasis="Wholesale",V1061,W1061)</f>
        <v/>
      </c>
      <c r="Y1061" s="47">
        <f>R1061*INDEX(FmtBlendedCogs,MATCH(F1061,FmtName,0))</f>
        <v/>
      </c>
      <c r="Z1061" s="47">
        <f>X1061-Y1061</f>
        <v/>
      </c>
    </row>
    <row r="1062">
      <c r="A1062" t="n">
        <v>1</v>
      </c>
      <c r="B1062" s="44">
        <f>FiscalStart+(A1062-1)*7</f>
        <v/>
      </c>
      <c r="C1062">
        <f>TEXT(B1062,"mmm yyyy")</f>
        <v/>
      </c>
      <c r="D1062">
        <f>"Q"&amp;(INT((A1062-1)/13)+1)</f>
        <v/>
      </c>
      <c r="E1062" t="inlineStr">
        <is>
          <t>Fitness</t>
        </is>
      </c>
      <c r="F1062">
        <f>IFERROR(INDEX(ChFormat,MATCH(E1062,ChName,0)),"")</f>
        <v/>
      </c>
      <c r="G1062" t="inlineStr">
        <is>
          <t>BC</t>
        </is>
      </c>
      <c r="H1062">
        <f>IF(A1062&lt;=NWeeks,1,0)</f>
        <v/>
      </c>
      <c r="I1062">
        <f>INDEX(ChLaunch,MATCH(E1062,ChName,0))</f>
        <v/>
      </c>
      <c r="J1062">
        <f>INDEX(ChWeeksFull,MATCH(E1062,ChName,0))</f>
        <v/>
      </c>
      <c r="K1062">
        <f>INDEX(ChRamp,MATCH(E1062,ChName,0))</f>
        <v/>
      </c>
      <c r="L1062" s="45">
        <f>MIN(1,MAX(0,(A1062-I1062+1)*RampSpeed/J1062))</f>
        <v/>
      </c>
      <c r="M1062" s="45">
        <f>IF(A1062&lt;I1062,0,IF(K1062="S-curve",L1062*L1062*(3-2*L1062),L1062))</f>
        <v/>
      </c>
      <c r="N1062" s="45">
        <f>1+(INDEX(SeasonIdx,A1062)-1)*SeasonAmp</f>
        <v/>
      </c>
      <c r="O1062" s="45">
        <f>IFERROR(INDEX(PSPct,MATCH(E1062&amp;"|"&amp;G1062,PSKey,0)),0)</f>
        <v/>
      </c>
      <c r="P1062" s="46">
        <f>INDEX(ChDoorVel,MATCH(E1062,ChName,0))*CalibScalar*(1+VelocityUplift)</f>
        <v/>
      </c>
      <c r="Q1062" s="46" t="n">
        <v>0</v>
      </c>
      <c r="R1062" s="46">
        <f>P1062*O1062*M1062*N1062*H1062</f>
        <v/>
      </c>
      <c r="S1062" s="46">
        <f>R1062*INDEX(FmtCansPerCase,MATCH(F1062,FmtName,0))</f>
        <v/>
      </c>
      <c r="T1062" s="46">
        <f>S1062/INDEX(FmtCansPerPack,MATCH(F1062,FmtName,0))</f>
        <v/>
      </c>
      <c r="U1062" s="47">
        <f>INDEX(ChBaseCP,MATCH(E1062,ChName,0))*(1+INDEX(ProvMod,MATCH(G1062,ProvCode,0)))*(1+PriceIndex)</f>
        <v/>
      </c>
      <c r="V1062" s="47">
        <f>R1062*U1062*INDEX(FmtBlendedPriceIdx,MATCH(F1062,FmtName,0))</f>
        <v/>
      </c>
      <c r="W1062" s="47">
        <f>T1062*INDEX(ProvSRP,MATCH(G1062,ProvCode,0))*(1+PriceIndex)</f>
        <v/>
      </c>
      <c r="X1062" s="47">
        <f>IF(GrossBasis="Wholesale",V1062,W1062)</f>
        <v/>
      </c>
      <c r="Y1062" s="47">
        <f>R1062*INDEX(FmtBlendedCogs,MATCH(F1062,FmtName,0))</f>
        <v/>
      </c>
      <c r="Z1062" s="47">
        <f>X1062-Y1062</f>
        <v/>
      </c>
    </row>
    <row r="1063">
      <c r="A1063" t="n">
        <v>2</v>
      </c>
      <c r="B1063" s="44">
        <f>FiscalStart+(A1063-1)*7</f>
        <v/>
      </c>
      <c r="C1063">
        <f>TEXT(B1063,"mmm yyyy")</f>
        <v/>
      </c>
      <c r="D1063">
        <f>"Q"&amp;(INT((A1063-1)/13)+1)</f>
        <v/>
      </c>
      <c r="E1063" t="inlineStr">
        <is>
          <t>Fitness</t>
        </is>
      </c>
      <c r="F1063">
        <f>IFERROR(INDEX(ChFormat,MATCH(E1063,ChName,0)),"")</f>
        <v/>
      </c>
      <c r="G1063" t="inlineStr">
        <is>
          <t>BC</t>
        </is>
      </c>
      <c r="H1063">
        <f>IF(A1063&lt;=NWeeks,1,0)</f>
        <v/>
      </c>
      <c r="I1063">
        <f>INDEX(ChLaunch,MATCH(E1063,ChName,0))</f>
        <v/>
      </c>
      <c r="J1063">
        <f>INDEX(ChWeeksFull,MATCH(E1063,ChName,0))</f>
        <v/>
      </c>
      <c r="K1063">
        <f>INDEX(ChRamp,MATCH(E1063,ChName,0))</f>
        <v/>
      </c>
      <c r="L1063" s="45">
        <f>MIN(1,MAX(0,(A1063-I1063+1)*RampSpeed/J1063))</f>
        <v/>
      </c>
      <c r="M1063" s="45">
        <f>IF(A1063&lt;I1063,0,IF(K1063="S-curve",L1063*L1063*(3-2*L1063),L1063))</f>
        <v/>
      </c>
      <c r="N1063" s="45">
        <f>1+(INDEX(SeasonIdx,A1063)-1)*SeasonAmp</f>
        <v/>
      </c>
      <c r="O1063" s="45">
        <f>IFERROR(INDEX(PSPct,MATCH(E1063&amp;"|"&amp;G1063,PSKey,0)),0)</f>
        <v/>
      </c>
      <c r="P1063" s="46">
        <f>INDEX(ChDoorVel,MATCH(E1063,ChName,0))*CalibScalar*(1+VelocityUplift)</f>
        <v/>
      </c>
      <c r="Q1063" s="46" t="n">
        <v>0</v>
      </c>
      <c r="R1063" s="46">
        <f>P1063*O1063*M1063*N1063*H1063</f>
        <v/>
      </c>
      <c r="S1063" s="46">
        <f>R1063*INDEX(FmtCansPerCase,MATCH(F1063,FmtName,0))</f>
        <v/>
      </c>
      <c r="T1063" s="46">
        <f>S1063/INDEX(FmtCansPerPack,MATCH(F1063,FmtName,0))</f>
        <v/>
      </c>
      <c r="U1063" s="47">
        <f>INDEX(ChBaseCP,MATCH(E1063,ChName,0))*(1+INDEX(ProvMod,MATCH(G1063,ProvCode,0)))*(1+PriceIndex)</f>
        <v/>
      </c>
      <c r="V1063" s="47">
        <f>R1063*U1063*INDEX(FmtBlendedPriceIdx,MATCH(F1063,FmtName,0))</f>
        <v/>
      </c>
      <c r="W1063" s="47">
        <f>T1063*INDEX(ProvSRP,MATCH(G1063,ProvCode,0))*(1+PriceIndex)</f>
        <v/>
      </c>
      <c r="X1063" s="47">
        <f>IF(GrossBasis="Wholesale",V1063,W1063)</f>
        <v/>
      </c>
      <c r="Y1063" s="47">
        <f>R1063*INDEX(FmtBlendedCogs,MATCH(F1063,FmtName,0))</f>
        <v/>
      </c>
      <c r="Z1063" s="47">
        <f>X1063-Y1063</f>
        <v/>
      </c>
    </row>
    <row r="1064">
      <c r="A1064" t="n">
        <v>3</v>
      </c>
      <c r="B1064" s="44">
        <f>FiscalStart+(A1064-1)*7</f>
        <v/>
      </c>
      <c r="C1064">
        <f>TEXT(B1064,"mmm yyyy")</f>
        <v/>
      </c>
      <c r="D1064">
        <f>"Q"&amp;(INT((A1064-1)/13)+1)</f>
        <v/>
      </c>
      <c r="E1064" t="inlineStr">
        <is>
          <t>Fitness</t>
        </is>
      </c>
      <c r="F1064">
        <f>IFERROR(INDEX(ChFormat,MATCH(E1064,ChName,0)),"")</f>
        <v/>
      </c>
      <c r="G1064" t="inlineStr">
        <is>
          <t>BC</t>
        </is>
      </c>
      <c r="H1064">
        <f>IF(A1064&lt;=NWeeks,1,0)</f>
        <v/>
      </c>
      <c r="I1064">
        <f>INDEX(ChLaunch,MATCH(E1064,ChName,0))</f>
        <v/>
      </c>
      <c r="J1064">
        <f>INDEX(ChWeeksFull,MATCH(E1064,ChName,0))</f>
        <v/>
      </c>
      <c r="K1064">
        <f>INDEX(ChRamp,MATCH(E1064,ChName,0))</f>
        <v/>
      </c>
      <c r="L1064" s="45">
        <f>MIN(1,MAX(0,(A1064-I1064+1)*RampSpeed/J1064))</f>
        <v/>
      </c>
      <c r="M1064" s="45">
        <f>IF(A1064&lt;I1064,0,IF(K1064="S-curve",L1064*L1064*(3-2*L1064),L1064))</f>
        <v/>
      </c>
      <c r="N1064" s="45">
        <f>1+(INDEX(SeasonIdx,A1064)-1)*SeasonAmp</f>
        <v/>
      </c>
      <c r="O1064" s="45">
        <f>IFERROR(INDEX(PSPct,MATCH(E1064&amp;"|"&amp;G1064,PSKey,0)),0)</f>
        <v/>
      </c>
      <c r="P1064" s="46">
        <f>INDEX(ChDoorVel,MATCH(E1064,ChName,0))*CalibScalar*(1+VelocityUplift)</f>
        <v/>
      </c>
      <c r="Q1064" s="46" t="n">
        <v>0</v>
      </c>
      <c r="R1064" s="46">
        <f>P1064*O1064*M1064*N1064*H1064</f>
        <v/>
      </c>
      <c r="S1064" s="46">
        <f>R1064*INDEX(FmtCansPerCase,MATCH(F1064,FmtName,0))</f>
        <v/>
      </c>
      <c r="T1064" s="46">
        <f>S1064/INDEX(FmtCansPerPack,MATCH(F1064,FmtName,0))</f>
        <v/>
      </c>
      <c r="U1064" s="47">
        <f>INDEX(ChBaseCP,MATCH(E1064,ChName,0))*(1+INDEX(ProvMod,MATCH(G1064,ProvCode,0)))*(1+PriceIndex)</f>
        <v/>
      </c>
      <c r="V1064" s="47">
        <f>R1064*U1064*INDEX(FmtBlendedPriceIdx,MATCH(F1064,FmtName,0))</f>
        <v/>
      </c>
      <c r="W1064" s="47">
        <f>T1064*INDEX(ProvSRP,MATCH(G1064,ProvCode,0))*(1+PriceIndex)</f>
        <v/>
      </c>
      <c r="X1064" s="47">
        <f>IF(GrossBasis="Wholesale",V1064,W1064)</f>
        <v/>
      </c>
      <c r="Y1064" s="47">
        <f>R1064*INDEX(FmtBlendedCogs,MATCH(F1064,FmtName,0))</f>
        <v/>
      </c>
      <c r="Z1064" s="47">
        <f>X1064-Y1064</f>
        <v/>
      </c>
    </row>
    <row r="1065">
      <c r="A1065" t="n">
        <v>4</v>
      </c>
      <c r="B1065" s="44">
        <f>FiscalStart+(A1065-1)*7</f>
        <v/>
      </c>
      <c r="C1065">
        <f>TEXT(B1065,"mmm yyyy")</f>
        <v/>
      </c>
      <c r="D1065">
        <f>"Q"&amp;(INT((A1065-1)/13)+1)</f>
        <v/>
      </c>
      <c r="E1065" t="inlineStr">
        <is>
          <t>Fitness</t>
        </is>
      </c>
      <c r="F1065">
        <f>IFERROR(INDEX(ChFormat,MATCH(E1065,ChName,0)),"")</f>
        <v/>
      </c>
      <c r="G1065" t="inlineStr">
        <is>
          <t>BC</t>
        </is>
      </c>
      <c r="H1065">
        <f>IF(A1065&lt;=NWeeks,1,0)</f>
        <v/>
      </c>
      <c r="I1065">
        <f>INDEX(ChLaunch,MATCH(E1065,ChName,0))</f>
        <v/>
      </c>
      <c r="J1065">
        <f>INDEX(ChWeeksFull,MATCH(E1065,ChName,0))</f>
        <v/>
      </c>
      <c r="K1065">
        <f>INDEX(ChRamp,MATCH(E1065,ChName,0))</f>
        <v/>
      </c>
      <c r="L1065" s="45">
        <f>MIN(1,MAX(0,(A1065-I1065+1)*RampSpeed/J1065))</f>
        <v/>
      </c>
      <c r="M1065" s="45">
        <f>IF(A1065&lt;I1065,0,IF(K1065="S-curve",L1065*L1065*(3-2*L1065),L1065))</f>
        <v/>
      </c>
      <c r="N1065" s="45">
        <f>1+(INDEX(SeasonIdx,A1065)-1)*SeasonAmp</f>
        <v/>
      </c>
      <c r="O1065" s="45">
        <f>IFERROR(INDEX(PSPct,MATCH(E1065&amp;"|"&amp;G1065,PSKey,0)),0)</f>
        <v/>
      </c>
      <c r="P1065" s="46">
        <f>INDEX(ChDoorVel,MATCH(E1065,ChName,0))*CalibScalar*(1+VelocityUplift)</f>
        <v/>
      </c>
      <c r="Q1065" s="46" t="n">
        <v>0</v>
      </c>
      <c r="R1065" s="46">
        <f>P1065*O1065*M1065*N1065*H1065</f>
        <v/>
      </c>
      <c r="S1065" s="46">
        <f>R1065*INDEX(FmtCansPerCase,MATCH(F1065,FmtName,0))</f>
        <v/>
      </c>
      <c r="T1065" s="46">
        <f>S1065/INDEX(FmtCansPerPack,MATCH(F1065,FmtName,0))</f>
        <v/>
      </c>
      <c r="U1065" s="47">
        <f>INDEX(ChBaseCP,MATCH(E1065,ChName,0))*(1+INDEX(ProvMod,MATCH(G1065,ProvCode,0)))*(1+PriceIndex)</f>
        <v/>
      </c>
      <c r="V1065" s="47">
        <f>R1065*U1065*INDEX(FmtBlendedPriceIdx,MATCH(F1065,FmtName,0))</f>
        <v/>
      </c>
      <c r="W1065" s="47">
        <f>T1065*INDEX(ProvSRP,MATCH(G1065,ProvCode,0))*(1+PriceIndex)</f>
        <v/>
      </c>
      <c r="X1065" s="47">
        <f>IF(GrossBasis="Wholesale",V1065,W1065)</f>
        <v/>
      </c>
      <c r="Y1065" s="47">
        <f>R1065*INDEX(FmtBlendedCogs,MATCH(F1065,FmtName,0))</f>
        <v/>
      </c>
      <c r="Z1065" s="47">
        <f>X1065-Y1065</f>
        <v/>
      </c>
    </row>
    <row r="1066">
      <c r="A1066" t="n">
        <v>5</v>
      </c>
      <c r="B1066" s="44">
        <f>FiscalStart+(A1066-1)*7</f>
        <v/>
      </c>
      <c r="C1066">
        <f>TEXT(B1066,"mmm yyyy")</f>
        <v/>
      </c>
      <c r="D1066">
        <f>"Q"&amp;(INT((A1066-1)/13)+1)</f>
        <v/>
      </c>
      <c r="E1066" t="inlineStr">
        <is>
          <t>Fitness</t>
        </is>
      </c>
      <c r="F1066">
        <f>IFERROR(INDEX(ChFormat,MATCH(E1066,ChName,0)),"")</f>
        <v/>
      </c>
      <c r="G1066" t="inlineStr">
        <is>
          <t>BC</t>
        </is>
      </c>
      <c r="H1066">
        <f>IF(A1066&lt;=NWeeks,1,0)</f>
        <v/>
      </c>
      <c r="I1066">
        <f>INDEX(ChLaunch,MATCH(E1066,ChName,0))</f>
        <v/>
      </c>
      <c r="J1066">
        <f>INDEX(ChWeeksFull,MATCH(E1066,ChName,0))</f>
        <v/>
      </c>
      <c r="K1066">
        <f>INDEX(ChRamp,MATCH(E1066,ChName,0))</f>
        <v/>
      </c>
      <c r="L1066" s="45">
        <f>MIN(1,MAX(0,(A1066-I1066+1)*RampSpeed/J1066))</f>
        <v/>
      </c>
      <c r="M1066" s="45">
        <f>IF(A1066&lt;I1066,0,IF(K1066="S-curve",L1066*L1066*(3-2*L1066),L1066))</f>
        <v/>
      </c>
      <c r="N1066" s="45">
        <f>1+(INDEX(SeasonIdx,A1066)-1)*SeasonAmp</f>
        <v/>
      </c>
      <c r="O1066" s="45">
        <f>IFERROR(INDEX(PSPct,MATCH(E1066&amp;"|"&amp;G1066,PSKey,0)),0)</f>
        <v/>
      </c>
      <c r="P1066" s="46">
        <f>INDEX(ChDoorVel,MATCH(E1066,ChName,0))*CalibScalar*(1+VelocityUplift)</f>
        <v/>
      </c>
      <c r="Q1066" s="46" t="n">
        <v>0</v>
      </c>
      <c r="R1066" s="46">
        <f>P1066*O1066*M1066*N1066*H1066</f>
        <v/>
      </c>
      <c r="S1066" s="46">
        <f>R1066*INDEX(FmtCansPerCase,MATCH(F1066,FmtName,0))</f>
        <v/>
      </c>
      <c r="T1066" s="46">
        <f>S1066/INDEX(FmtCansPerPack,MATCH(F1066,FmtName,0))</f>
        <v/>
      </c>
      <c r="U1066" s="47">
        <f>INDEX(ChBaseCP,MATCH(E1066,ChName,0))*(1+INDEX(ProvMod,MATCH(G1066,ProvCode,0)))*(1+PriceIndex)</f>
        <v/>
      </c>
      <c r="V1066" s="47">
        <f>R1066*U1066*INDEX(FmtBlendedPriceIdx,MATCH(F1066,FmtName,0))</f>
        <v/>
      </c>
      <c r="W1066" s="47">
        <f>T1066*INDEX(ProvSRP,MATCH(G1066,ProvCode,0))*(1+PriceIndex)</f>
        <v/>
      </c>
      <c r="X1066" s="47">
        <f>IF(GrossBasis="Wholesale",V1066,W1066)</f>
        <v/>
      </c>
      <c r="Y1066" s="47">
        <f>R1066*INDEX(FmtBlendedCogs,MATCH(F1066,FmtName,0))</f>
        <v/>
      </c>
      <c r="Z1066" s="47">
        <f>X1066-Y1066</f>
        <v/>
      </c>
    </row>
    <row r="1067">
      <c r="A1067" t="n">
        <v>6</v>
      </c>
      <c r="B1067" s="44">
        <f>FiscalStart+(A1067-1)*7</f>
        <v/>
      </c>
      <c r="C1067">
        <f>TEXT(B1067,"mmm yyyy")</f>
        <v/>
      </c>
      <c r="D1067">
        <f>"Q"&amp;(INT((A1067-1)/13)+1)</f>
        <v/>
      </c>
      <c r="E1067" t="inlineStr">
        <is>
          <t>Fitness</t>
        </is>
      </c>
      <c r="F1067">
        <f>IFERROR(INDEX(ChFormat,MATCH(E1067,ChName,0)),"")</f>
        <v/>
      </c>
      <c r="G1067" t="inlineStr">
        <is>
          <t>BC</t>
        </is>
      </c>
      <c r="H1067">
        <f>IF(A1067&lt;=NWeeks,1,0)</f>
        <v/>
      </c>
      <c r="I1067">
        <f>INDEX(ChLaunch,MATCH(E1067,ChName,0))</f>
        <v/>
      </c>
      <c r="J1067">
        <f>INDEX(ChWeeksFull,MATCH(E1067,ChName,0))</f>
        <v/>
      </c>
      <c r="K1067">
        <f>INDEX(ChRamp,MATCH(E1067,ChName,0))</f>
        <v/>
      </c>
      <c r="L1067" s="45">
        <f>MIN(1,MAX(0,(A1067-I1067+1)*RampSpeed/J1067))</f>
        <v/>
      </c>
      <c r="M1067" s="45">
        <f>IF(A1067&lt;I1067,0,IF(K1067="S-curve",L1067*L1067*(3-2*L1067),L1067))</f>
        <v/>
      </c>
      <c r="N1067" s="45">
        <f>1+(INDEX(SeasonIdx,A1067)-1)*SeasonAmp</f>
        <v/>
      </c>
      <c r="O1067" s="45">
        <f>IFERROR(INDEX(PSPct,MATCH(E1067&amp;"|"&amp;G1067,PSKey,0)),0)</f>
        <v/>
      </c>
      <c r="P1067" s="46">
        <f>INDEX(ChDoorVel,MATCH(E1067,ChName,0))*CalibScalar*(1+VelocityUplift)</f>
        <v/>
      </c>
      <c r="Q1067" s="46" t="n">
        <v>0</v>
      </c>
      <c r="R1067" s="46">
        <f>P1067*O1067*M1067*N1067*H1067</f>
        <v/>
      </c>
      <c r="S1067" s="46">
        <f>R1067*INDEX(FmtCansPerCase,MATCH(F1067,FmtName,0))</f>
        <v/>
      </c>
      <c r="T1067" s="46">
        <f>S1067/INDEX(FmtCansPerPack,MATCH(F1067,FmtName,0))</f>
        <v/>
      </c>
      <c r="U1067" s="47">
        <f>INDEX(ChBaseCP,MATCH(E1067,ChName,0))*(1+INDEX(ProvMod,MATCH(G1067,ProvCode,0)))*(1+PriceIndex)</f>
        <v/>
      </c>
      <c r="V1067" s="47">
        <f>R1067*U1067*INDEX(FmtBlendedPriceIdx,MATCH(F1067,FmtName,0))</f>
        <v/>
      </c>
      <c r="W1067" s="47">
        <f>T1067*INDEX(ProvSRP,MATCH(G1067,ProvCode,0))*(1+PriceIndex)</f>
        <v/>
      </c>
      <c r="X1067" s="47">
        <f>IF(GrossBasis="Wholesale",V1067,W1067)</f>
        <v/>
      </c>
      <c r="Y1067" s="47">
        <f>R1067*INDEX(FmtBlendedCogs,MATCH(F1067,FmtName,0))</f>
        <v/>
      </c>
      <c r="Z1067" s="47">
        <f>X1067-Y1067</f>
        <v/>
      </c>
    </row>
    <row r="1068">
      <c r="A1068" t="n">
        <v>7</v>
      </c>
      <c r="B1068" s="44">
        <f>FiscalStart+(A1068-1)*7</f>
        <v/>
      </c>
      <c r="C1068">
        <f>TEXT(B1068,"mmm yyyy")</f>
        <v/>
      </c>
      <c r="D1068">
        <f>"Q"&amp;(INT((A1068-1)/13)+1)</f>
        <v/>
      </c>
      <c r="E1068" t="inlineStr">
        <is>
          <t>Fitness</t>
        </is>
      </c>
      <c r="F1068">
        <f>IFERROR(INDEX(ChFormat,MATCH(E1068,ChName,0)),"")</f>
        <v/>
      </c>
      <c r="G1068" t="inlineStr">
        <is>
          <t>BC</t>
        </is>
      </c>
      <c r="H1068">
        <f>IF(A1068&lt;=NWeeks,1,0)</f>
        <v/>
      </c>
      <c r="I1068">
        <f>INDEX(ChLaunch,MATCH(E1068,ChName,0))</f>
        <v/>
      </c>
      <c r="J1068">
        <f>INDEX(ChWeeksFull,MATCH(E1068,ChName,0))</f>
        <v/>
      </c>
      <c r="K1068">
        <f>INDEX(ChRamp,MATCH(E1068,ChName,0))</f>
        <v/>
      </c>
      <c r="L1068" s="45">
        <f>MIN(1,MAX(0,(A1068-I1068+1)*RampSpeed/J1068))</f>
        <v/>
      </c>
      <c r="M1068" s="45">
        <f>IF(A1068&lt;I1068,0,IF(K1068="S-curve",L1068*L1068*(3-2*L1068),L1068))</f>
        <v/>
      </c>
      <c r="N1068" s="45">
        <f>1+(INDEX(SeasonIdx,A1068)-1)*SeasonAmp</f>
        <v/>
      </c>
      <c r="O1068" s="45">
        <f>IFERROR(INDEX(PSPct,MATCH(E1068&amp;"|"&amp;G1068,PSKey,0)),0)</f>
        <v/>
      </c>
      <c r="P1068" s="46">
        <f>INDEX(ChDoorVel,MATCH(E1068,ChName,0))*CalibScalar*(1+VelocityUplift)</f>
        <v/>
      </c>
      <c r="Q1068" s="46" t="n">
        <v>0</v>
      </c>
      <c r="R1068" s="46">
        <f>P1068*O1068*M1068*N1068*H1068</f>
        <v/>
      </c>
      <c r="S1068" s="46">
        <f>R1068*INDEX(FmtCansPerCase,MATCH(F1068,FmtName,0))</f>
        <v/>
      </c>
      <c r="T1068" s="46">
        <f>S1068/INDEX(FmtCansPerPack,MATCH(F1068,FmtName,0))</f>
        <v/>
      </c>
      <c r="U1068" s="47">
        <f>INDEX(ChBaseCP,MATCH(E1068,ChName,0))*(1+INDEX(ProvMod,MATCH(G1068,ProvCode,0)))*(1+PriceIndex)</f>
        <v/>
      </c>
      <c r="V1068" s="47">
        <f>R1068*U1068*INDEX(FmtBlendedPriceIdx,MATCH(F1068,FmtName,0))</f>
        <v/>
      </c>
      <c r="W1068" s="47">
        <f>T1068*INDEX(ProvSRP,MATCH(G1068,ProvCode,0))*(1+PriceIndex)</f>
        <v/>
      </c>
      <c r="X1068" s="47">
        <f>IF(GrossBasis="Wholesale",V1068,W1068)</f>
        <v/>
      </c>
      <c r="Y1068" s="47">
        <f>R1068*INDEX(FmtBlendedCogs,MATCH(F1068,FmtName,0))</f>
        <v/>
      </c>
      <c r="Z1068" s="47">
        <f>X1068-Y1068</f>
        <v/>
      </c>
    </row>
    <row r="1069">
      <c r="A1069" t="n">
        <v>8</v>
      </c>
      <c r="B1069" s="44">
        <f>FiscalStart+(A1069-1)*7</f>
        <v/>
      </c>
      <c r="C1069">
        <f>TEXT(B1069,"mmm yyyy")</f>
        <v/>
      </c>
      <c r="D1069">
        <f>"Q"&amp;(INT((A1069-1)/13)+1)</f>
        <v/>
      </c>
      <c r="E1069" t="inlineStr">
        <is>
          <t>Fitness</t>
        </is>
      </c>
      <c r="F1069">
        <f>IFERROR(INDEX(ChFormat,MATCH(E1069,ChName,0)),"")</f>
        <v/>
      </c>
      <c r="G1069" t="inlineStr">
        <is>
          <t>BC</t>
        </is>
      </c>
      <c r="H1069">
        <f>IF(A1069&lt;=NWeeks,1,0)</f>
        <v/>
      </c>
      <c r="I1069">
        <f>INDEX(ChLaunch,MATCH(E1069,ChName,0))</f>
        <v/>
      </c>
      <c r="J1069">
        <f>INDEX(ChWeeksFull,MATCH(E1069,ChName,0))</f>
        <v/>
      </c>
      <c r="K1069">
        <f>INDEX(ChRamp,MATCH(E1069,ChName,0))</f>
        <v/>
      </c>
      <c r="L1069" s="45">
        <f>MIN(1,MAX(0,(A1069-I1069+1)*RampSpeed/J1069))</f>
        <v/>
      </c>
      <c r="M1069" s="45">
        <f>IF(A1069&lt;I1069,0,IF(K1069="S-curve",L1069*L1069*(3-2*L1069),L1069))</f>
        <v/>
      </c>
      <c r="N1069" s="45">
        <f>1+(INDEX(SeasonIdx,A1069)-1)*SeasonAmp</f>
        <v/>
      </c>
      <c r="O1069" s="45">
        <f>IFERROR(INDEX(PSPct,MATCH(E1069&amp;"|"&amp;G1069,PSKey,0)),0)</f>
        <v/>
      </c>
      <c r="P1069" s="46">
        <f>INDEX(ChDoorVel,MATCH(E1069,ChName,0))*CalibScalar*(1+VelocityUplift)</f>
        <v/>
      </c>
      <c r="Q1069" s="46" t="n">
        <v>0</v>
      </c>
      <c r="R1069" s="46">
        <f>P1069*O1069*M1069*N1069*H1069</f>
        <v/>
      </c>
      <c r="S1069" s="46">
        <f>R1069*INDEX(FmtCansPerCase,MATCH(F1069,FmtName,0))</f>
        <v/>
      </c>
      <c r="T1069" s="46">
        <f>S1069/INDEX(FmtCansPerPack,MATCH(F1069,FmtName,0))</f>
        <v/>
      </c>
      <c r="U1069" s="47">
        <f>INDEX(ChBaseCP,MATCH(E1069,ChName,0))*(1+INDEX(ProvMod,MATCH(G1069,ProvCode,0)))*(1+PriceIndex)</f>
        <v/>
      </c>
      <c r="V1069" s="47">
        <f>R1069*U1069*INDEX(FmtBlendedPriceIdx,MATCH(F1069,FmtName,0))</f>
        <v/>
      </c>
      <c r="W1069" s="47">
        <f>T1069*INDEX(ProvSRP,MATCH(G1069,ProvCode,0))*(1+PriceIndex)</f>
        <v/>
      </c>
      <c r="X1069" s="47">
        <f>IF(GrossBasis="Wholesale",V1069,W1069)</f>
        <v/>
      </c>
      <c r="Y1069" s="47">
        <f>R1069*INDEX(FmtBlendedCogs,MATCH(F1069,FmtName,0))</f>
        <v/>
      </c>
      <c r="Z1069" s="47">
        <f>X1069-Y1069</f>
        <v/>
      </c>
    </row>
    <row r="1070">
      <c r="A1070" t="n">
        <v>9</v>
      </c>
      <c r="B1070" s="44">
        <f>FiscalStart+(A1070-1)*7</f>
        <v/>
      </c>
      <c r="C1070">
        <f>TEXT(B1070,"mmm yyyy")</f>
        <v/>
      </c>
      <c r="D1070">
        <f>"Q"&amp;(INT((A1070-1)/13)+1)</f>
        <v/>
      </c>
      <c r="E1070" t="inlineStr">
        <is>
          <t>Fitness</t>
        </is>
      </c>
      <c r="F1070">
        <f>IFERROR(INDEX(ChFormat,MATCH(E1070,ChName,0)),"")</f>
        <v/>
      </c>
      <c r="G1070" t="inlineStr">
        <is>
          <t>BC</t>
        </is>
      </c>
      <c r="H1070">
        <f>IF(A1070&lt;=NWeeks,1,0)</f>
        <v/>
      </c>
      <c r="I1070">
        <f>INDEX(ChLaunch,MATCH(E1070,ChName,0))</f>
        <v/>
      </c>
      <c r="J1070">
        <f>INDEX(ChWeeksFull,MATCH(E1070,ChName,0))</f>
        <v/>
      </c>
      <c r="K1070">
        <f>INDEX(ChRamp,MATCH(E1070,ChName,0))</f>
        <v/>
      </c>
      <c r="L1070" s="45">
        <f>MIN(1,MAX(0,(A1070-I1070+1)*RampSpeed/J1070))</f>
        <v/>
      </c>
      <c r="M1070" s="45">
        <f>IF(A1070&lt;I1070,0,IF(K1070="S-curve",L1070*L1070*(3-2*L1070),L1070))</f>
        <v/>
      </c>
      <c r="N1070" s="45">
        <f>1+(INDEX(SeasonIdx,A1070)-1)*SeasonAmp</f>
        <v/>
      </c>
      <c r="O1070" s="45">
        <f>IFERROR(INDEX(PSPct,MATCH(E1070&amp;"|"&amp;G1070,PSKey,0)),0)</f>
        <v/>
      </c>
      <c r="P1070" s="46">
        <f>INDEX(ChDoorVel,MATCH(E1070,ChName,0))*CalibScalar*(1+VelocityUplift)</f>
        <v/>
      </c>
      <c r="Q1070" s="46" t="n">
        <v>0</v>
      </c>
      <c r="R1070" s="46">
        <f>P1070*O1070*M1070*N1070*H1070</f>
        <v/>
      </c>
      <c r="S1070" s="46">
        <f>R1070*INDEX(FmtCansPerCase,MATCH(F1070,FmtName,0))</f>
        <v/>
      </c>
      <c r="T1070" s="46">
        <f>S1070/INDEX(FmtCansPerPack,MATCH(F1070,FmtName,0))</f>
        <v/>
      </c>
      <c r="U1070" s="47">
        <f>INDEX(ChBaseCP,MATCH(E1070,ChName,0))*(1+INDEX(ProvMod,MATCH(G1070,ProvCode,0)))*(1+PriceIndex)</f>
        <v/>
      </c>
      <c r="V1070" s="47">
        <f>R1070*U1070*INDEX(FmtBlendedPriceIdx,MATCH(F1070,FmtName,0))</f>
        <v/>
      </c>
      <c r="W1070" s="47">
        <f>T1070*INDEX(ProvSRP,MATCH(G1070,ProvCode,0))*(1+PriceIndex)</f>
        <v/>
      </c>
      <c r="X1070" s="47">
        <f>IF(GrossBasis="Wholesale",V1070,W1070)</f>
        <v/>
      </c>
      <c r="Y1070" s="47">
        <f>R1070*INDEX(FmtBlendedCogs,MATCH(F1070,FmtName,0))</f>
        <v/>
      </c>
      <c r="Z1070" s="47">
        <f>X1070-Y1070</f>
        <v/>
      </c>
    </row>
    <row r="1071">
      <c r="A1071" t="n">
        <v>10</v>
      </c>
      <c r="B1071" s="44">
        <f>FiscalStart+(A1071-1)*7</f>
        <v/>
      </c>
      <c r="C1071">
        <f>TEXT(B1071,"mmm yyyy")</f>
        <v/>
      </c>
      <c r="D1071">
        <f>"Q"&amp;(INT((A1071-1)/13)+1)</f>
        <v/>
      </c>
      <c r="E1071" t="inlineStr">
        <is>
          <t>Fitness</t>
        </is>
      </c>
      <c r="F1071">
        <f>IFERROR(INDEX(ChFormat,MATCH(E1071,ChName,0)),"")</f>
        <v/>
      </c>
      <c r="G1071" t="inlineStr">
        <is>
          <t>BC</t>
        </is>
      </c>
      <c r="H1071">
        <f>IF(A1071&lt;=NWeeks,1,0)</f>
        <v/>
      </c>
      <c r="I1071">
        <f>INDEX(ChLaunch,MATCH(E1071,ChName,0))</f>
        <v/>
      </c>
      <c r="J1071">
        <f>INDEX(ChWeeksFull,MATCH(E1071,ChName,0))</f>
        <v/>
      </c>
      <c r="K1071">
        <f>INDEX(ChRamp,MATCH(E1071,ChName,0))</f>
        <v/>
      </c>
      <c r="L1071" s="45">
        <f>MIN(1,MAX(0,(A1071-I1071+1)*RampSpeed/J1071))</f>
        <v/>
      </c>
      <c r="M1071" s="45">
        <f>IF(A1071&lt;I1071,0,IF(K1071="S-curve",L1071*L1071*(3-2*L1071),L1071))</f>
        <v/>
      </c>
      <c r="N1071" s="45">
        <f>1+(INDEX(SeasonIdx,A1071)-1)*SeasonAmp</f>
        <v/>
      </c>
      <c r="O1071" s="45">
        <f>IFERROR(INDEX(PSPct,MATCH(E1071&amp;"|"&amp;G1071,PSKey,0)),0)</f>
        <v/>
      </c>
      <c r="P1071" s="46">
        <f>INDEX(ChDoorVel,MATCH(E1071,ChName,0))*CalibScalar*(1+VelocityUplift)</f>
        <v/>
      </c>
      <c r="Q1071" s="46" t="n">
        <v>0</v>
      </c>
      <c r="R1071" s="46">
        <f>P1071*O1071*M1071*N1071*H1071</f>
        <v/>
      </c>
      <c r="S1071" s="46">
        <f>R1071*INDEX(FmtCansPerCase,MATCH(F1071,FmtName,0))</f>
        <v/>
      </c>
      <c r="T1071" s="46">
        <f>S1071/INDEX(FmtCansPerPack,MATCH(F1071,FmtName,0))</f>
        <v/>
      </c>
      <c r="U1071" s="47">
        <f>INDEX(ChBaseCP,MATCH(E1071,ChName,0))*(1+INDEX(ProvMod,MATCH(G1071,ProvCode,0)))*(1+PriceIndex)</f>
        <v/>
      </c>
      <c r="V1071" s="47">
        <f>R1071*U1071*INDEX(FmtBlendedPriceIdx,MATCH(F1071,FmtName,0))</f>
        <v/>
      </c>
      <c r="W1071" s="47">
        <f>T1071*INDEX(ProvSRP,MATCH(G1071,ProvCode,0))*(1+PriceIndex)</f>
        <v/>
      </c>
      <c r="X1071" s="47">
        <f>IF(GrossBasis="Wholesale",V1071,W1071)</f>
        <v/>
      </c>
      <c r="Y1071" s="47">
        <f>R1071*INDEX(FmtBlendedCogs,MATCH(F1071,FmtName,0))</f>
        <v/>
      </c>
      <c r="Z1071" s="47">
        <f>X1071-Y1071</f>
        <v/>
      </c>
    </row>
    <row r="1072">
      <c r="A1072" t="n">
        <v>11</v>
      </c>
      <c r="B1072" s="44">
        <f>FiscalStart+(A1072-1)*7</f>
        <v/>
      </c>
      <c r="C1072">
        <f>TEXT(B1072,"mmm yyyy")</f>
        <v/>
      </c>
      <c r="D1072">
        <f>"Q"&amp;(INT((A1072-1)/13)+1)</f>
        <v/>
      </c>
      <c r="E1072" t="inlineStr">
        <is>
          <t>Fitness</t>
        </is>
      </c>
      <c r="F1072">
        <f>IFERROR(INDEX(ChFormat,MATCH(E1072,ChName,0)),"")</f>
        <v/>
      </c>
      <c r="G1072" t="inlineStr">
        <is>
          <t>BC</t>
        </is>
      </c>
      <c r="H1072">
        <f>IF(A1072&lt;=NWeeks,1,0)</f>
        <v/>
      </c>
      <c r="I1072">
        <f>INDEX(ChLaunch,MATCH(E1072,ChName,0))</f>
        <v/>
      </c>
      <c r="J1072">
        <f>INDEX(ChWeeksFull,MATCH(E1072,ChName,0))</f>
        <v/>
      </c>
      <c r="K1072">
        <f>INDEX(ChRamp,MATCH(E1072,ChName,0))</f>
        <v/>
      </c>
      <c r="L1072" s="45">
        <f>MIN(1,MAX(0,(A1072-I1072+1)*RampSpeed/J1072))</f>
        <v/>
      </c>
      <c r="M1072" s="45">
        <f>IF(A1072&lt;I1072,0,IF(K1072="S-curve",L1072*L1072*(3-2*L1072),L1072))</f>
        <v/>
      </c>
      <c r="N1072" s="45">
        <f>1+(INDEX(SeasonIdx,A1072)-1)*SeasonAmp</f>
        <v/>
      </c>
      <c r="O1072" s="45">
        <f>IFERROR(INDEX(PSPct,MATCH(E1072&amp;"|"&amp;G1072,PSKey,0)),0)</f>
        <v/>
      </c>
      <c r="P1072" s="46">
        <f>INDEX(ChDoorVel,MATCH(E1072,ChName,0))*CalibScalar*(1+VelocityUplift)</f>
        <v/>
      </c>
      <c r="Q1072" s="46" t="n">
        <v>0</v>
      </c>
      <c r="R1072" s="46">
        <f>P1072*O1072*M1072*N1072*H1072</f>
        <v/>
      </c>
      <c r="S1072" s="46">
        <f>R1072*INDEX(FmtCansPerCase,MATCH(F1072,FmtName,0))</f>
        <v/>
      </c>
      <c r="T1072" s="46">
        <f>S1072/INDEX(FmtCansPerPack,MATCH(F1072,FmtName,0))</f>
        <v/>
      </c>
      <c r="U1072" s="47">
        <f>INDEX(ChBaseCP,MATCH(E1072,ChName,0))*(1+INDEX(ProvMod,MATCH(G1072,ProvCode,0)))*(1+PriceIndex)</f>
        <v/>
      </c>
      <c r="V1072" s="47">
        <f>R1072*U1072*INDEX(FmtBlendedPriceIdx,MATCH(F1072,FmtName,0))</f>
        <v/>
      </c>
      <c r="W1072" s="47">
        <f>T1072*INDEX(ProvSRP,MATCH(G1072,ProvCode,0))*(1+PriceIndex)</f>
        <v/>
      </c>
      <c r="X1072" s="47">
        <f>IF(GrossBasis="Wholesale",V1072,W1072)</f>
        <v/>
      </c>
      <c r="Y1072" s="47">
        <f>R1072*INDEX(FmtBlendedCogs,MATCH(F1072,FmtName,0))</f>
        <v/>
      </c>
      <c r="Z1072" s="47">
        <f>X1072-Y1072</f>
        <v/>
      </c>
    </row>
    <row r="1073">
      <c r="A1073" t="n">
        <v>12</v>
      </c>
      <c r="B1073" s="44">
        <f>FiscalStart+(A1073-1)*7</f>
        <v/>
      </c>
      <c r="C1073">
        <f>TEXT(B1073,"mmm yyyy")</f>
        <v/>
      </c>
      <c r="D1073">
        <f>"Q"&amp;(INT((A1073-1)/13)+1)</f>
        <v/>
      </c>
      <c r="E1073" t="inlineStr">
        <is>
          <t>Fitness</t>
        </is>
      </c>
      <c r="F1073">
        <f>IFERROR(INDEX(ChFormat,MATCH(E1073,ChName,0)),"")</f>
        <v/>
      </c>
      <c r="G1073" t="inlineStr">
        <is>
          <t>BC</t>
        </is>
      </c>
      <c r="H1073">
        <f>IF(A1073&lt;=NWeeks,1,0)</f>
        <v/>
      </c>
      <c r="I1073">
        <f>INDEX(ChLaunch,MATCH(E1073,ChName,0))</f>
        <v/>
      </c>
      <c r="J1073">
        <f>INDEX(ChWeeksFull,MATCH(E1073,ChName,0))</f>
        <v/>
      </c>
      <c r="K1073">
        <f>INDEX(ChRamp,MATCH(E1073,ChName,0))</f>
        <v/>
      </c>
      <c r="L1073" s="45">
        <f>MIN(1,MAX(0,(A1073-I1073+1)*RampSpeed/J1073))</f>
        <v/>
      </c>
      <c r="M1073" s="45">
        <f>IF(A1073&lt;I1073,0,IF(K1073="S-curve",L1073*L1073*(3-2*L1073),L1073))</f>
        <v/>
      </c>
      <c r="N1073" s="45">
        <f>1+(INDEX(SeasonIdx,A1073)-1)*SeasonAmp</f>
        <v/>
      </c>
      <c r="O1073" s="45">
        <f>IFERROR(INDEX(PSPct,MATCH(E1073&amp;"|"&amp;G1073,PSKey,0)),0)</f>
        <v/>
      </c>
      <c r="P1073" s="46">
        <f>INDEX(ChDoorVel,MATCH(E1073,ChName,0))*CalibScalar*(1+VelocityUplift)</f>
        <v/>
      </c>
      <c r="Q1073" s="46" t="n">
        <v>0</v>
      </c>
      <c r="R1073" s="46">
        <f>P1073*O1073*M1073*N1073*H1073</f>
        <v/>
      </c>
      <c r="S1073" s="46">
        <f>R1073*INDEX(FmtCansPerCase,MATCH(F1073,FmtName,0))</f>
        <v/>
      </c>
      <c r="T1073" s="46">
        <f>S1073/INDEX(FmtCansPerPack,MATCH(F1073,FmtName,0))</f>
        <v/>
      </c>
      <c r="U1073" s="47">
        <f>INDEX(ChBaseCP,MATCH(E1073,ChName,0))*(1+INDEX(ProvMod,MATCH(G1073,ProvCode,0)))*(1+PriceIndex)</f>
        <v/>
      </c>
      <c r="V1073" s="47">
        <f>R1073*U1073*INDEX(FmtBlendedPriceIdx,MATCH(F1073,FmtName,0))</f>
        <v/>
      </c>
      <c r="W1073" s="47">
        <f>T1073*INDEX(ProvSRP,MATCH(G1073,ProvCode,0))*(1+PriceIndex)</f>
        <v/>
      </c>
      <c r="X1073" s="47">
        <f>IF(GrossBasis="Wholesale",V1073,W1073)</f>
        <v/>
      </c>
      <c r="Y1073" s="47">
        <f>R1073*INDEX(FmtBlendedCogs,MATCH(F1073,FmtName,0))</f>
        <v/>
      </c>
      <c r="Z1073" s="47">
        <f>X1073-Y1073</f>
        <v/>
      </c>
    </row>
    <row r="1074">
      <c r="A1074" t="n">
        <v>13</v>
      </c>
      <c r="B1074" s="44">
        <f>FiscalStart+(A1074-1)*7</f>
        <v/>
      </c>
      <c r="C1074">
        <f>TEXT(B1074,"mmm yyyy")</f>
        <v/>
      </c>
      <c r="D1074">
        <f>"Q"&amp;(INT((A1074-1)/13)+1)</f>
        <v/>
      </c>
      <c r="E1074" t="inlineStr">
        <is>
          <t>Fitness</t>
        </is>
      </c>
      <c r="F1074">
        <f>IFERROR(INDEX(ChFormat,MATCH(E1074,ChName,0)),"")</f>
        <v/>
      </c>
      <c r="G1074" t="inlineStr">
        <is>
          <t>BC</t>
        </is>
      </c>
      <c r="H1074">
        <f>IF(A1074&lt;=NWeeks,1,0)</f>
        <v/>
      </c>
      <c r="I1074">
        <f>INDEX(ChLaunch,MATCH(E1074,ChName,0))</f>
        <v/>
      </c>
      <c r="J1074">
        <f>INDEX(ChWeeksFull,MATCH(E1074,ChName,0))</f>
        <v/>
      </c>
      <c r="K1074">
        <f>INDEX(ChRamp,MATCH(E1074,ChName,0))</f>
        <v/>
      </c>
      <c r="L1074" s="45">
        <f>MIN(1,MAX(0,(A1074-I1074+1)*RampSpeed/J1074))</f>
        <v/>
      </c>
      <c r="M1074" s="45">
        <f>IF(A1074&lt;I1074,0,IF(K1074="S-curve",L1074*L1074*(3-2*L1074),L1074))</f>
        <v/>
      </c>
      <c r="N1074" s="45">
        <f>1+(INDEX(SeasonIdx,A1074)-1)*SeasonAmp</f>
        <v/>
      </c>
      <c r="O1074" s="45">
        <f>IFERROR(INDEX(PSPct,MATCH(E1074&amp;"|"&amp;G1074,PSKey,0)),0)</f>
        <v/>
      </c>
      <c r="P1074" s="46">
        <f>INDEX(ChDoorVel,MATCH(E1074,ChName,0))*CalibScalar*(1+VelocityUplift)</f>
        <v/>
      </c>
      <c r="Q1074" s="46" t="n">
        <v>0</v>
      </c>
      <c r="R1074" s="46">
        <f>P1074*O1074*M1074*N1074*H1074</f>
        <v/>
      </c>
      <c r="S1074" s="46">
        <f>R1074*INDEX(FmtCansPerCase,MATCH(F1074,FmtName,0))</f>
        <v/>
      </c>
      <c r="T1074" s="46">
        <f>S1074/INDEX(FmtCansPerPack,MATCH(F1074,FmtName,0))</f>
        <v/>
      </c>
      <c r="U1074" s="47">
        <f>INDEX(ChBaseCP,MATCH(E1074,ChName,0))*(1+INDEX(ProvMod,MATCH(G1074,ProvCode,0)))*(1+PriceIndex)</f>
        <v/>
      </c>
      <c r="V1074" s="47">
        <f>R1074*U1074*INDEX(FmtBlendedPriceIdx,MATCH(F1074,FmtName,0))</f>
        <v/>
      </c>
      <c r="W1074" s="47">
        <f>T1074*INDEX(ProvSRP,MATCH(G1074,ProvCode,0))*(1+PriceIndex)</f>
        <v/>
      </c>
      <c r="X1074" s="47">
        <f>IF(GrossBasis="Wholesale",V1074,W1074)</f>
        <v/>
      </c>
      <c r="Y1074" s="47">
        <f>R1074*INDEX(FmtBlendedCogs,MATCH(F1074,FmtName,0))</f>
        <v/>
      </c>
      <c r="Z1074" s="47">
        <f>X1074-Y1074</f>
        <v/>
      </c>
    </row>
    <row r="1075">
      <c r="A1075" t="n">
        <v>14</v>
      </c>
      <c r="B1075" s="44">
        <f>FiscalStart+(A1075-1)*7</f>
        <v/>
      </c>
      <c r="C1075">
        <f>TEXT(B1075,"mmm yyyy")</f>
        <v/>
      </c>
      <c r="D1075">
        <f>"Q"&amp;(INT((A1075-1)/13)+1)</f>
        <v/>
      </c>
      <c r="E1075" t="inlineStr">
        <is>
          <t>Fitness</t>
        </is>
      </c>
      <c r="F1075">
        <f>IFERROR(INDEX(ChFormat,MATCH(E1075,ChName,0)),"")</f>
        <v/>
      </c>
      <c r="G1075" t="inlineStr">
        <is>
          <t>BC</t>
        </is>
      </c>
      <c r="H1075">
        <f>IF(A1075&lt;=NWeeks,1,0)</f>
        <v/>
      </c>
      <c r="I1075">
        <f>INDEX(ChLaunch,MATCH(E1075,ChName,0))</f>
        <v/>
      </c>
      <c r="J1075">
        <f>INDEX(ChWeeksFull,MATCH(E1075,ChName,0))</f>
        <v/>
      </c>
      <c r="K1075">
        <f>INDEX(ChRamp,MATCH(E1075,ChName,0))</f>
        <v/>
      </c>
      <c r="L1075" s="45">
        <f>MIN(1,MAX(0,(A1075-I1075+1)*RampSpeed/J1075))</f>
        <v/>
      </c>
      <c r="M1075" s="45">
        <f>IF(A1075&lt;I1075,0,IF(K1075="S-curve",L1075*L1075*(3-2*L1075),L1075))</f>
        <v/>
      </c>
      <c r="N1075" s="45">
        <f>1+(INDEX(SeasonIdx,A1075)-1)*SeasonAmp</f>
        <v/>
      </c>
      <c r="O1075" s="45">
        <f>IFERROR(INDEX(PSPct,MATCH(E1075&amp;"|"&amp;G1075,PSKey,0)),0)</f>
        <v/>
      </c>
      <c r="P1075" s="46">
        <f>INDEX(ChDoorVel,MATCH(E1075,ChName,0))*CalibScalar*(1+VelocityUplift)</f>
        <v/>
      </c>
      <c r="Q1075" s="46" t="n">
        <v>0</v>
      </c>
      <c r="R1075" s="46">
        <f>P1075*O1075*M1075*N1075*H1075</f>
        <v/>
      </c>
      <c r="S1075" s="46">
        <f>R1075*INDEX(FmtCansPerCase,MATCH(F1075,FmtName,0))</f>
        <v/>
      </c>
      <c r="T1075" s="46">
        <f>S1075/INDEX(FmtCansPerPack,MATCH(F1075,FmtName,0))</f>
        <v/>
      </c>
      <c r="U1075" s="47">
        <f>INDEX(ChBaseCP,MATCH(E1075,ChName,0))*(1+INDEX(ProvMod,MATCH(G1075,ProvCode,0)))*(1+PriceIndex)</f>
        <v/>
      </c>
      <c r="V1075" s="47">
        <f>R1075*U1075*INDEX(FmtBlendedPriceIdx,MATCH(F1075,FmtName,0))</f>
        <v/>
      </c>
      <c r="W1075" s="47">
        <f>T1075*INDEX(ProvSRP,MATCH(G1075,ProvCode,0))*(1+PriceIndex)</f>
        <v/>
      </c>
      <c r="X1075" s="47">
        <f>IF(GrossBasis="Wholesale",V1075,W1075)</f>
        <v/>
      </c>
      <c r="Y1075" s="47">
        <f>R1075*INDEX(FmtBlendedCogs,MATCH(F1075,FmtName,0))</f>
        <v/>
      </c>
      <c r="Z1075" s="47">
        <f>X1075-Y1075</f>
        <v/>
      </c>
    </row>
    <row r="1076">
      <c r="A1076" t="n">
        <v>15</v>
      </c>
      <c r="B1076" s="44">
        <f>FiscalStart+(A1076-1)*7</f>
        <v/>
      </c>
      <c r="C1076">
        <f>TEXT(B1076,"mmm yyyy")</f>
        <v/>
      </c>
      <c r="D1076">
        <f>"Q"&amp;(INT((A1076-1)/13)+1)</f>
        <v/>
      </c>
      <c r="E1076" t="inlineStr">
        <is>
          <t>Fitness</t>
        </is>
      </c>
      <c r="F1076">
        <f>IFERROR(INDEX(ChFormat,MATCH(E1076,ChName,0)),"")</f>
        <v/>
      </c>
      <c r="G1076" t="inlineStr">
        <is>
          <t>BC</t>
        </is>
      </c>
      <c r="H1076">
        <f>IF(A1076&lt;=NWeeks,1,0)</f>
        <v/>
      </c>
      <c r="I1076">
        <f>INDEX(ChLaunch,MATCH(E1076,ChName,0))</f>
        <v/>
      </c>
      <c r="J1076">
        <f>INDEX(ChWeeksFull,MATCH(E1076,ChName,0))</f>
        <v/>
      </c>
      <c r="K1076">
        <f>INDEX(ChRamp,MATCH(E1076,ChName,0))</f>
        <v/>
      </c>
      <c r="L1076" s="45">
        <f>MIN(1,MAX(0,(A1076-I1076+1)*RampSpeed/J1076))</f>
        <v/>
      </c>
      <c r="M1076" s="45">
        <f>IF(A1076&lt;I1076,0,IF(K1076="S-curve",L1076*L1076*(3-2*L1076),L1076))</f>
        <v/>
      </c>
      <c r="N1076" s="45">
        <f>1+(INDEX(SeasonIdx,A1076)-1)*SeasonAmp</f>
        <v/>
      </c>
      <c r="O1076" s="45">
        <f>IFERROR(INDEX(PSPct,MATCH(E1076&amp;"|"&amp;G1076,PSKey,0)),0)</f>
        <v/>
      </c>
      <c r="P1076" s="46">
        <f>INDEX(ChDoorVel,MATCH(E1076,ChName,0))*CalibScalar*(1+VelocityUplift)</f>
        <v/>
      </c>
      <c r="Q1076" s="46" t="n">
        <v>0</v>
      </c>
      <c r="R1076" s="46">
        <f>P1076*O1076*M1076*N1076*H1076</f>
        <v/>
      </c>
      <c r="S1076" s="46">
        <f>R1076*INDEX(FmtCansPerCase,MATCH(F1076,FmtName,0))</f>
        <v/>
      </c>
      <c r="T1076" s="46">
        <f>S1076/INDEX(FmtCansPerPack,MATCH(F1076,FmtName,0))</f>
        <v/>
      </c>
      <c r="U1076" s="47">
        <f>INDEX(ChBaseCP,MATCH(E1076,ChName,0))*(1+INDEX(ProvMod,MATCH(G1076,ProvCode,0)))*(1+PriceIndex)</f>
        <v/>
      </c>
      <c r="V1076" s="47">
        <f>R1076*U1076*INDEX(FmtBlendedPriceIdx,MATCH(F1076,FmtName,0))</f>
        <v/>
      </c>
      <c r="W1076" s="47">
        <f>T1076*INDEX(ProvSRP,MATCH(G1076,ProvCode,0))*(1+PriceIndex)</f>
        <v/>
      </c>
      <c r="X1076" s="47">
        <f>IF(GrossBasis="Wholesale",V1076,W1076)</f>
        <v/>
      </c>
      <c r="Y1076" s="47">
        <f>R1076*INDEX(FmtBlendedCogs,MATCH(F1076,FmtName,0))</f>
        <v/>
      </c>
      <c r="Z1076" s="47">
        <f>X1076-Y1076</f>
        <v/>
      </c>
    </row>
    <row r="1077">
      <c r="A1077" t="n">
        <v>16</v>
      </c>
      <c r="B1077" s="44">
        <f>FiscalStart+(A1077-1)*7</f>
        <v/>
      </c>
      <c r="C1077">
        <f>TEXT(B1077,"mmm yyyy")</f>
        <v/>
      </c>
      <c r="D1077">
        <f>"Q"&amp;(INT((A1077-1)/13)+1)</f>
        <v/>
      </c>
      <c r="E1077" t="inlineStr">
        <is>
          <t>Fitness</t>
        </is>
      </c>
      <c r="F1077">
        <f>IFERROR(INDEX(ChFormat,MATCH(E1077,ChName,0)),"")</f>
        <v/>
      </c>
      <c r="G1077" t="inlineStr">
        <is>
          <t>BC</t>
        </is>
      </c>
      <c r="H1077">
        <f>IF(A1077&lt;=NWeeks,1,0)</f>
        <v/>
      </c>
      <c r="I1077">
        <f>INDEX(ChLaunch,MATCH(E1077,ChName,0))</f>
        <v/>
      </c>
      <c r="J1077">
        <f>INDEX(ChWeeksFull,MATCH(E1077,ChName,0))</f>
        <v/>
      </c>
      <c r="K1077">
        <f>INDEX(ChRamp,MATCH(E1077,ChName,0))</f>
        <v/>
      </c>
      <c r="L1077" s="45">
        <f>MIN(1,MAX(0,(A1077-I1077+1)*RampSpeed/J1077))</f>
        <v/>
      </c>
      <c r="M1077" s="45">
        <f>IF(A1077&lt;I1077,0,IF(K1077="S-curve",L1077*L1077*(3-2*L1077),L1077))</f>
        <v/>
      </c>
      <c r="N1077" s="45">
        <f>1+(INDEX(SeasonIdx,A1077)-1)*SeasonAmp</f>
        <v/>
      </c>
      <c r="O1077" s="45">
        <f>IFERROR(INDEX(PSPct,MATCH(E1077&amp;"|"&amp;G1077,PSKey,0)),0)</f>
        <v/>
      </c>
      <c r="P1077" s="46">
        <f>INDEX(ChDoorVel,MATCH(E1077,ChName,0))*CalibScalar*(1+VelocityUplift)</f>
        <v/>
      </c>
      <c r="Q1077" s="46" t="n">
        <v>0</v>
      </c>
      <c r="R1077" s="46">
        <f>P1077*O1077*M1077*N1077*H1077</f>
        <v/>
      </c>
      <c r="S1077" s="46">
        <f>R1077*INDEX(FmtCansPerCase,MATCH(F1077,FmtName,0))</f>
        <v/>
      </c>
      <c r="T1077" s="46">
        <f>S1077/INDEX(FmtCansPerPack,MATCH(F1077,FmtName,0))</f>
        <v/>
      </c>
      <c r="U1077" s="47">
        <f>INDEX(ChBaseCP,MATCH(E1077,ChName,0))*(1+INDEX(ProvMod,MATCH(G1077,ProvCode,0)))*(1+PriceIndex)</f>
        <v/>
      </c>
      <c r="V1077" s="47">
        <f>R1077*U1077*INDEX(FmtBlendedPriceIdx,MATCH(F1077,FmtName,0))</f>
        <v/>
      </c>
      <c r="W1077" s="47">
        <f>T1077*INDEX(ProvSRP,MATCH(G1077,ProvCode,0))*(1+PriceIndex)</f>
        <v/>
      </c>
      <c r="X1077" s="47">
        <f>IF(GrossBasis="Wholesale",V1077,W1077)</f>
        <v/>
      </c>
      <c r="Y1077" s="47">
        <f>R1077*INDEX(FmtBlendedCogs,MATCH(F1077,FmtName,0))</f>
        <v/>
      </c>
      <c r="Z1077" s="47">
        <f>X1077-Y1077</f>
        <v/>
      </c>
    </row>
    <row r="1078">
      <c r="A1078" t="n">
        <v>17</v>
      </c>
      <c r="B1078" s="44">
        <f>FiscalStart+(A1078-1)*7</f>
        <v/>
      </c>
      <c r="C1078">
        <f>TEXT(B1078,"mmm yyyy")</f>
        <v/>
      </c>
      <c r="D1078">
        <f>"Q"&amp;(INT((A1078-1)/13)+1)</f>
        <v/>
      </c>
      <c r="E1078" t="inlineStr">
        <is>
          <t>Fitness</t>
        </is>
      </c>
      <c r="F1078">
        <f>IFERROR(INDEX(ChFormat,MATCH(E1078,ChName,0)),"")</f>
        <v/>
      </c>
      <c r="G1078" t="inlineStr">
        <is>
          <t>BC</t>
        </is>
      </c>
      <c r="H1078">
        <f>IF(A1078&lt;=NWeeks,1,0)</f>
        <v/>
      </c>
      <c r="I1078">
        <f>INDEX(ChLaunch,MATCH(E1078,ChName,0))</f>
        <v/>
      </c>
      <c r="J1078">
        <f>INDEX(ChWeeksFull,MATCH(E1078,ChName,0))</f>
        <v/>
      </c>
      <c r="K1078">
        <f>INDEX(ChRamp,MATCH(E1078,ChName,0))</f>
        <v/>
      </c>
      <c r="L1078" s="45">
        <f>MIN(1,MAX(0,(A1078-I1078+1)*RampSpeed/J1078))</f>
        <v/>
      </c>
      <c r="M1078" s="45">
        <f>IF(A1078&lt;I1078,0,IF(K1078="S-curve",L1078*L1078*(3-2*L1078),L1078))</f>
        <v/>
      </c>
      <c r="N1078" s="45">
        <f>1+(INDEX(SeasonIdx,A1078)-1)*SeasonAmp</f>
        <v/>
      </c>
      <c r="O1078" s="45">
        <f>IFERROR(INDEX(PSPct,MATCH(E1078&amp;"|"&amp;G1078,PSKey,0)),0)</f>
        <v/>
      </c>
      <c r="P1078" s="46">
        <f>INDEX(ChDoorVel,MATCH(E1078,ChName,0))*CalibScalar*(1+VelocityUplift)</f>
        <v/>
      </c>
      <c r="Q1078" s="46" t="n">
        <v>0</v>
      </c>
      <c r="R1078" s="46">
        <f>P1078*O1078*M1078*N1078*H1078</f>
        <v/>
      </c>
      <c r="S1078" s="46">
        <f>R1078*INDEX(FmtCansPerCase,MATCH(F1078,FmtName,0))</f>
        <v/>
      </c>
      <c r="T1078" s="46">
        <f>S1078/INDEX(FmtCansPerPack,MATCH(F1078,FmtName,0))</f>
        <v/>
      </c>
      <c r="U1078" s="47">
        <f>INDEX(ChBaseCP,MATCH(E1078,ChName,0))*(1+INDEX(ProvMod,MATCH(G1078,ProvCode,0)))*(1+PriceIndex)</f>
        <v/>
      </c>
      <c r="V1078" s="47">
        <f>R1078*U1078*INDEX(FmtBlendedPriceIdx,MATCH(F1078,FmtName,0))</f>
        <v/>
      </c>
      <c r="W1078" s="47">
        <f>T1078*INDEX(ProvSRP,MATCH(G1078,ProvCode,0))*(1+PriceIndex)</f>
        <v/>
      </c>
      <c r="X1078" s="47">
        <f>IF(GrossBasis="Wholesale",V1078,W1078)</f>
        <v/>
      </c>
      <c r="Y1078" s="47">
        <f>R1078*INDEX(FmtBlendedCogs,MATCH(F1078,FmtName,0))</f>
        <v/>
      </c>
      <c r="Z1078" s="47">
        <f>X1078-Y1078</f>
        <v/>
      </c>
    </row>
    <row r="1079">
      <c r="A1079" t="n">
        <v>18</v>
      </c>
      <c r="B1079" s="44">
        <f>FiscalStart+(A1079-1)*7</f>
        <v/>
      </c>
      <c r="C1079">
        <f>TEXT(B1079,"mmm yyyy")</f>
        <v/>
      </c>
      <c r="D1079">
        <f>"Q"&amp;(INT((A1079-1)/13)+1)</f>
        <v/>
      </c>
      <c r="E1079" t="inlineStr">
        <is>
          <t>Fitness</t>
        </is>
      </c>
      <c r="F1079">
        <f>IFERROR(INDEX(ChFormat,MATCH(E1079,ChName,0)),"")</f>
        <v/>
      </c>
      <c r="G1079" t="inlineStr">
        <is>
          <t>BC</t>
        </is>
      </c>
      <c r="H1079">
        <f>IF(A1079&lt;=NWeeks,1,0)</f>
        <v/>
      </c>
      <c r="I1079">
        <f>INDEX(ChLaunch,MATCH(E1079,ChName,0))</f>
        <v/>
      </c>
      <c r="J1079">
        <f>INDEX(ChWeeksFull,MATCH(E1079,ChName,0))</f>
        <v/>
      </c>
      <c r="K1079">
        <f>INDEX(ChRamp,MATCH(E1079,ChName,0))</f>
        <v/>
      </c>
      <c r="L1079" s="45">
        <f>MIN(1,MAX(0,(A1079-I1079+1)*RampSpeed/J1079))</f>
        <v/>
      </c>
      <c r="M1079" s="45">
        <f>IF(A1079&lt;I1079,0,IF(K1079="S-curve",L1079*L1079*(3-2*L1079),L1079))</f>
        <v/>
      </c>
      <c r="N1079" s="45">
        <f>1+(INDEX(SeasonIdx,A1079)-1)*SeasonAmp</f>
        <v/>
      </c>
      <c r="O1079" s="45">
        <f>IFERROR(INDEX(PSPct,MATCH(E1079&amp;"|"&amp;G1079,PSKey,0)),0)</f>
        <v/>
      </c>
      <c r="P1079" s="46">
        <f>INDEX(ChDoorVel,MATCH(E1079,ChName,0))*CalibScalar*(1+VelocityUplift)</f>
        <v/>
      </c>
      <c r="Q1079" s="46" t="n">
        <v>0</v>
      </c>
      <c r="R1079" s="46">
        <f>P1079*O1079*M1079*N1079*H1079</f>
        <v/>
      </c>
      <c r="S1079" s="46">
        <f>R1079*INDEX(FmtCansPerCase,MATCH(F1079,FmtName,0))</f>
        <v/>
      </c>
      <c r="T1079" s="46">
        <f>S1079/INDEX(FmtCansPerPack,MATCH(F1079,FmtName,0))</f>
        <v/>
      </c>
      <c r="U1079" s="47">
        <f>INDEX(ChBaseCP,MATCH(E1079,ChName,0))*(1+INDEX(ProvMod,MATCH(G1079,ProvCode,0)))*(1+PriceIndex)</f>
        <v/>
      </c>
      <c r="V1079" s="47">
        <f>R1079*U1079*INDEX(FmtBlendedPriceIdx,MATCH(F1079,FmtName,0))</f>
        <v/>
      </c>
      <c r="W1079" s="47">
        <f>T1079*INDEX(ProvSRP,MATCH(G1079,ProvCode,0))*(1+PriceIndex)</f>
        <v/>
      </c>
      <c r="X1079" s="47">
        <f>IF(GrossBasis="Wholesale",V1079,W1079)</f>
        <v/>
      </c>
      <c r="Y1079" s="47">
        <f>R1079*INDEX(FmtBlendedCogs,MATCH(F1079,FmtName,0))</f>
        <v/>
      </c>
      <c r="Z1079" s="47">
        <f>X1079-Y1079</f>
        <v/>
      </c>
    </row>
    <row r="1080">
      <c r="A1080" t="n">
        <v>19</v>
      </c>
      <c r="B1080" s="44">
        <f>FiscalStart+(A1080-1)*7</f>
        <v/>
      </c>
      <c r="C1080">
        <f>TEXT(B1080,"mmm yyyy")</f>
        <v/>
      </c>
      <c r="D1080">
        <f>"Q"&amp;(INT((A1080-1)/13)+1)</f>
        <v/>
      </c>
      <c r="E1080" t="inlineStr">
        <is>
          <t>Fitness</t>
        </is>
      </c>
      <c r="F1080">
        <f>IFERROR(INDEX(ChFormat,MATCH(E1080,ChName,0)),"")</f>
        <v/>
      </c>
      <c r="G1080" t="inlineStr">
        <is>
          <t>BC</t>
        </is>
      </c>
      <c r="H1080">
        <f>IF(A1080&lt;=NWeeks,1,0)</f>
        <v/>
      </c>
      <c r="I1080">
        <f>INDEX(ChLaunch,MATCH(E1080,ChName,0))</f>
        <v/>
      </c>
      <c r="J1080">
        <f>INDEX(ChWeeksFull,MATCH(E1080,ChName,0))</f>
        <v/>
      </c>
      <c r="K1080">
        <f>INDEX(ChRamp,MATCH(E1080,ChName,0))</f>
        <v/>
      </c>
      <c r="L1080" s="45">
        <f>MIN(1,MAX(0,(A1080-I1080+1)*RampSpeed/J1080))</f>
        <v/>
      </c>
      <c r="M1080" s="45">
        <f>IF(A1080&lt;I1080,0,IF(K1080="S-curve",L1080*L1080*(3-2*L1080),L1080))</f>
        <v/>
      </c>
      <c r="N1080" s="45">
        <f>1+(INDEX(SeasonIdx,A1080)-1)*SeasonAmp</f>
        <v/>
      </c>
      <c r="O1080" s="45">
        <f>IFERROR(INDEX(PSPct,MATCH(E1080&amp;"|"&amp;G1080,PSKey,0)),0)</f>
        <v/>
      </c>
      <c r="P1080" s="46">
        <f>INDEX(ChDoorVel,MATCH(E1080,ChName,0))*CalibScalar*(1+VelocityUplift)</f>
        <v/>
      </c>
      <c r="Q1080" s="46" t="n">
        <v>0</v>
      </c>
      <c r="R1080" s="46">
        <f>P1080*O1080*M1080*N1080*H1080</f>
        <v/>
      </c>
      <c r="S1080" s="46">
        <f>R1080*INDEX(FmtCansPerCase,MATCH(F1080,FmtName,0))</f>
        <v/>
      </c>
      <c r="T1080" s="46">
        <f>S1080/INDEX(FmtCansPerPack,MATCH(F1080,FmtName,0))</f>
        <v/>
      </c>
      <c r="U1080" s="47">
        <f>INDEX(ChBaseCP,MATCH(E1080,ChName,0))*(1+INDEX(ProvMod,MATCH(G1080,ProvCode,0)))*(1+PriceIndex)</f>
        <v/>
      </c>
      <c r="V1080" s="47">
        <f>R1080*U1080*INDEX(FmtBlendedPriceIdx,MATCH(F1080,FmtName,0))</f>
        <v/>
      </c>
      <c r="W1080" s="47">
        <f>T1080*INDEX(ProvSRP,MATCH(G1080,ProvCode,0))*(1+PriceIndex)</f>
        <v/>
      </c>
      <c r="X1080" s="47">
        <f>IF(GrossBasis="Wholesale",V1080,W1080)</f>
        <v/>
      </c>
      <c r="Y1080" s="47">
        <f>R1080*INDEX(FmtBlendedCogs,MATCH(F1080,FmtName,0))</f>
        <v/>
      </c>
      <c r="Z1080" s="47">
        <f>X1080-Y1080</f>
        <v/>
      </c>
    </row>
    <row r="1081">
      <c r="A1081" t="n">
        <v>20</v>
      </c>
      <c r="B1081" s="44">
        <f>FiscalStart+(A1081-1)*7</f>
        <v/>
      </c>
      <c r="C1081">
        <f>TEXT(B1081,"mmm yyyy")</f>
        <v/>
      </c>
      <c r="D1081">
        <f>"Q"&amp;(INT((A1081-1)/13)+1)</f>
        <v/>
      </c>
      <c r="E1081" t="inlineStr">
        <is>
          <t>Fitness</t>
        </is>
      </c>
      <c r="F1081">
        <f>IFERROR(INDEX(ChFormat,MATCH(E1081,ChName,0)),"")</f>
        <v/>
      </c>
      <c r="G1081" t="inlineStr">
        <is>
          <t>BC</t>
        </is>
      </c>
      <c r="H1081">
        <f>IF(A1081&lt;=NWeeks,1,0)</f>
        <v/>
      </c>
      <c r="I1081">
        <f>INDEX(ChLaunch,MATCH(E1081,ChName,0))</f>
        <v/>
      </c>
      <c r="J1081">
        <f>INDEX(ChWeeksFull,MATCH(E1081,ChName,0))</f>
        <v/>
      </c>
      <c r="K1081">
        <f>INDEX(ChRamp,MATCH(E1081,ChName,0))</f>
        <v/>
      </c>
      <c r="L1081" s="45">
        <f>MIN(1,MAX(0,(A1081-I1081+1)*RampSpeed/J1081))</f>
        <v/>
      </c>
      <c r="M1081" s="45">
        <f>IF(A1081&lt;I1081,0,IF(K1081="S-curve",L1081*L1081*(3-2*L1081),L1081))</f>
        <v/>
      </c>
      <c r="N1081" s="45">
        <f>1+(INDEX(SeasonIdx,A1081)-1)*SeasonAmp</f>
        <v/>
      </c>
      <c r="O1081" s="45">
        <f>IFERROR(INDEX(PSPct,MATCH(E1081&amp;"|"&amp;G1081,PSKey,0)),0)</f>
        <v/>
      </c>
      <c r="P1081" s="46">
        <f>INDEX(ChDoorVel,MATCH(E1081,ChName,0))*CalibScalar*(1+VelocityUplift)</f>
        <v/>
      </c>
      <c r="Q1081" s="46" t="n">
        <v>0</v>
      </c>
      <c r="R1081" s="46">
        <f>P1081*O1081*M1081*N1081*H1081</f>
        <v/>
      </c>
      <c r="S1081" s="46">
        <f>R1081*INDEX(FmtCansPerCase,MATCH(F1081,FmtName,0))</f>
        <v/>
      </c>
      <c r="T1081" s="46">
        <f>S1081/INDEX(FmtCansPerPack,MATCH(F1081,FmtName,0))</f>
        <v/>
      </c>
      <c r="U1081" s="47">
        <f>INDEX(ChBaseCP,MATCH(E1081,ChName,0))*(1+INDEX(ProvMod,MATCH(G1081,ProvCode,0)))*(1+PriceIndex)</f>
        <v/>
      </c>
      <c r="V1081" s="47">
        <f>R1081*U1081*INDEX(FmtBlendedPriceIdx,MATCH(F1081,FmtName,0))</f>
        <v/>
      </c>
      <c r="W1081" s="47">
        <f>T1081*INDEX(ProvSRP,MATCH(G1081,ProvCode,0))*(1+PriceIndex)</f>
        <v/>
      </c>
      <c r="X1081" s="47">
        <f>IF(GrossBasis="Wholesale",V1081,W1081)</f>
        <v/>
      </c>
      <c r="Y1081" s="47">
        <f>R1081*INDEX(FmtBlendedCogs,MATCH(F1081,FmtName,0))</f>
        <v/>
      </c>
      <c r="Z1081" s="47">
        <f>X1081-Y1081</f>
        <v/>
      </c>
    </row>
    <row r="1082">
      <c r="A1082" t="n">
        <v>21</v>
      </c>
      <c r="B1082" s="44">
        <f>FiscalStart+(A1082-1)*7</f>
        <v/>
      </c>
      <c r="C1082">
        <f>TEXT(B1082,"mmm yyyy")</f>
        <v/>
      </c>
      <c r="D1082">
        <f>"Q"&amp;(INT((A1082-1)/13)+1)</f>
        <v/>
      </c>
      <c r="E1082" t="inlineStr">
        <is>
          <t>Fitness</t>
        </is>
      </c>
      <c r="F1082">
        <f>IFERROR(INDEX(ChFormat,MATCH(E1082,ChName,0)),"")</f>
        <v/>
      </c>
      <c r="G1082" t="inlineStr">
        <is>
          <t>BC</t>
        </is>
      </c>
      <c r="H1082">
        <f>IF(A1082&lt;=NWeeks,1,0)</f>
        <v/>
      </c>
      <c r="I1082">
        <f>INDEX(ChLaunch,MATCH(E1082,ChName,0))</f>
        <v/>
      </c>
      <c r="J1082">
        <f>INDEX(ChWeeksFull,MATCH(E1082,ChName,0))</f>
        <v/>
      </c>
      <c r="K1082">
        <f>INDEX(ChRamp,MATCH(E1082,ChName,0))</f>
        <v/>
      </c>
      <c r="L1082" s="45">
        <f>MIN(1,MAX(0,(A1082-I1082+1)*RampSpeed/J1082))</f>
        <v/>
      </c>
      <c r="M1082" s="45">
        <f>IF(A1082&lt;I1082,0,IF(K1082="S-curve",L1082*L1082*(3-2*L1082),L1082))</f>
        <v/>
      </c>
      <c r="N1082" s="45">
        <f>1+(INDEX(SeasonIdx,A1082)-1)*SeasonAmp</f>
        <v/>
      </c>
      <c r="O1082" s="45">
        <f>IFERROR(INDEX(PSPct,MATCH(E1082&amp;"|"&amp;G1082,PSKey,0)),0)</f>
        <v/>
      </c>
      <c r="P1082" s="46">
        <f>INDEX(ChDoorVel,MATCH(E1082,ChName,0))*CalibScalar*(1+VelocityUplift)</f>
        <v/>
      </c>
      <c r="Q1082" s="46" t="n">
        <v>0</v>
      </c>
      <c r="R1082" s="46">
        <f>P1082*O1082*M1082*N1082*H1082</f>
        <v/>
      </c>
      <c r="S1082" s="46">
        <f>R1082*INDEX(FmtCansPerCase,MATCH(F1082,FmtName,0))</f>
        <v/>
      </c>
      <c r="T1082" s="46">
        <f>S1082/INDEX(FmtCansPerPack,MATCH(F1082,FmtName,0))</f>
        <v/>
      </c>
      <c r="U1082" s="47">
        <f>INDEX(ChBaseCP,MATCH(E1082,ChName,0))*(1+INDEX(ProvMod,MATCH(G1082,ProvCode,0)))*(1+PriceIndex)</f>
        <v/>
      </c>
      <c r="V1082" s="47">
        <f>R1082*U1082*INDEX(FmtBlendedPriceIdx,MATCH(F1082,FmtName,0))</f>
        <v/>
      </c>
      <c r="W1082" s="47">
        <f>T1082*INDEX(ProvSRP,MATCH(G1082,ProvCode,0))*(1+PriceIndex)</f>
        <v/>
      </c>
      <c r="X1082" s="47">
        <f>IF(GrossBasis="Wholesale",V1082,W1082)</f>
        <v/>
      </c>
      <c r="Y1082" s="47">
        <f>R1082*INDEX(FmtBlendedCogs,MATCH(F1082,FmtName,0))</f>
        <v/>
      </c>
      <c r="Z1082" s="47">
        <f>X1082-Y1082</f>
        <v/>
      </c>
    </row>
    <row r="1083">
      <c r="A1083" t="n">
        <v>22</v>
      </c>
      <c r="B1083" s="44">
        <f>FiscalStart+(A1083-1)*7</f>
        <v/>
      </c>
      <c r="C1083">
        <f>TEXT(B1083,"mmm yyyy")</f>
        <v/>
      </c>
      <c r="D1083">
        <f>"Q"&amp;(INT((A1083-1)/13)+1)</f>
        <v/>
      </c>
      <c r="E1083" t="inlineStr">
        <is>
          <t>Fitness</t>
        </is>
      </c>
      <c r="F1083">
        <f>IFERROR(INDEX(ChFormat,MATCH(E1083,ChName,0)),"")</f>
        <v/>
      </c>
      <c r="G1083" t="inlineStr">
        <is>
          <t>BC</t>
        </is>
      </c>
      <c r="H1083">
        <f>IF(A1083&lt;=NWeeks,1,0)</f>
        <v/>
      </c>
      <c r="I1083">
        <f>INDEX(ChLaunch,MATCH(E1083,ChName,0))</f>
        <v/>
      </c>
      <c r="J1083">
        <f>INDEX(ChWeeksFull,MATCH(E1083,ChName,0))</f>
        <v/>
      </c>
      <c r="K1083">
        <f>INDEX(ChRamp,MATCH(E1083,ChName,0))</f>
        <v/>
      </c>
      <c r="L1083" s="45">
        <f>MIN(1,MAX(0,(A1083-I1083+1)*RampSpeed/J1083))</f>
        <v/>
      </c>
      <c r="M1083" s="45">
        <f>IF(A1083&lt;I1083,0,IF(K1083="S-curve",L1083*L1083*(3-2*L1083),L1083))</f>
        <v/>
      </c>
      <c r="N1083" s="45">
        <f>1+(INDEX(SeasonIdx,A1083)-1)*SeasonAmp</f>
        <v/>
      </c>
      <c r="O1083" s="45">
        <f>IFERROR(INDEX(PSPct,MATCH(E1083&amp;"|"&amp;G1083,PSKey,0)),0)</f>
        <v/>
      </c>
      <c r="P1083" s="46">
        <f>INDEX(ChDoorVel,MATCH(E1083,ChName,0))*CalibScalar*(1+VelocityUplift)</f>
        <v/>
      </c>
      <c r="Q1083" s="46" t="n">
        <v>0</v>
      </c>
      <c r="R1083" s="46">
        <f>P1083*O1083*M1083*N1083*H1083</f>
        <v/>
      </c>
      <c r="S1083" s="46">
        <f>R1083*INDEX(FmtCansPerCase,MATCH(F1083,FmtName,0))</f>
        <v/>
      </c>
      <c r="T1083" s="46">
        <f>S1083/INDEX(FmtCansPerPack,MATCH(F1083,FmtName,0))</f>
        <v/>
      </c>
      <c r="U1083" s="47">
        <f>INDEX(ChBaseCP,MATCH(E1083,ChName,0))*(1+INDEX(ProvMod,MATCH(G1083,ProvCode,0)))*(1+PriceIndex)</f>
        <v/>
      </c>
      <c r="V1083" s="47">
        <f>R1083*U1083*INDEX(FmtBlendedPriceIdx,MATCH(F1083,FmtName,0))</f>
        <v/>
      </c>
      <c r="W1083" s="47">
        <f>T1083*INDEX(ProvSRP,MATCH(G1083,ProvCode,0))*(1+PriceIndex)</f>
        <v/>
      </c>
      <c r="X1083" s="47">
        <f>IF(GrossBasis="Wholesale",V1083,W1083)</f>
        <v/>
      </c>
      <c r="Y1083" s="47">
        <f>R1083*INDEX(FmtBlendedCogs,MATCH(F1083,FmtName,0))</f>
        <v/>
      </c>
      <c r="Z1083" s="47">
        <f>X1083-Y1083</f>
        <v/>
      </c>
    </row>
    <row r="1084">
      <c r="A1084" t="n">
        <v>23</v>
      </c>
      <c r="B1084" s="44">
        <f>FiscalStart+(A1084-1)*7</f>
        <v/>
      </c>
      <c r="C1084">
        <f>TEXT(B1084,"mmm yyyy")</f>
        <v/>
      </c>
      <c r="D1084">
        <f>"Q"&amp;(INT((A1084-1)/13)+1)</f>
        <v/>
      </c>
      <c r="E1084" t="inlineStr">
        <is>
          <t>Fitness</t>
        </is>
      </c>
      <c r="F1084">
        <f>IFERROR(INDEX(ChFormat,MATCH(E1084,ChName,0)),"")</f>
        <v/>
      </c>
      <c r="G1084" t="inlineStr">
        <is>
          <t>BC</t>
        </is>
      </c>
      <c r="H1084">
        <f>IF(A1084&lt;=NWeeks,1,0)</f>
        <v/>
      </c>
      <c r="I1084">
        <f>INDEX(ChLaunch,MATCH(E1084,ChName,0))</f>
        <v/>
      </c>
      <c r="J1084">
        <f>INDEX(ChWeeksFull,MATCH(E1084,ChName,0))</f>
        <v/>
      </c>
      <c r="K1084">
        <f>INDEX(ChRamp,MATCH(E1084,ChName,0))</f>
        <v/>
      </c>
      <c r="L1084" s="45">
        <f>MIN(1,MAX(0,(A1084-I1084+1)*RampSpeed/J1084))</f>
        <v/>
      </c>
      <c r="M1084" s="45">
        <f>IF(A1084&lt;I1084,0,IF(K1084="S-curve",L1084*L1084*(3-2*L1084),L1084))</f>
        <v/>
      </c>
      <c r="N1084" s="45">
        <f>1+(INDEX(SeasonIdx,A1084)-1)*SeasonAmp</f>
        <v/>
      </c>
      <c r="O1084" s="45">
        <f>IFERROR(INDEX(PSPct,MATCH(E1084&amp;"|"&amp;G1084,PSKey,0)),0)</f>
        <v/>
      </c>
      <c r="P1084" s="46">
        <f>INDEX(ChDoorVel,MATCH(E1084,ChName,0))*CalibScalar*(1+VelocityUplift)</f>
        <v/>
      </c>
      <c r="Q1084" s="46" t="n">
        <v>0</v>
      </c>
      <c r="R1084" s="46">
        <f>P1084*O1084*M1084*N1084*H1084</f>
        <v/>
      </c>
      <c r="S1084" s="46">
        <f>R1084*INDEX(FmtCansPerCase,MATCH(F1084,FmtName,0))</f>
        <v/>
      </c>
      <c r="T1084" s="46">
        <f>S1084/INDEX(FmtCansPerPack,MATCH(F1084,FmtName,0))</f>
        <v/>
      </c>
      <c r="U1084" s="47">
        <f>INDEX(ChBaseCP,MATCH(E1084,ChName,0))*(1+INDEX(ProvMod,MATCH(G1084,ProvCode,0)))*(1+PriceIndex)</f>
        <v/>
      </c>
      <c r="V1084" s="47">
        <f>R1084*U1084*INDEX(FmtBlendedPriceIdx,MATCH(F1084,FmtName,0))</f>
        <v/>
      </c>
      <c r="W1084" s="47">
        <f>T1084*INDEX(ProvSRP,MATCH(G1084,ProvCode,0))*(1+PriceIndex)</f>
        <v/>
      </c>
      <c r="X1084" s="47">
        <f>IF(GrossBasis="Wholesale",V1084,W1084)</f>
        <v/>
      </c>
      <c r="Y1084" s="47">
        <f>R1084*INDEX(FmtBlendedCogs,MATCH(F1084,FmtName,0))</f>
        <v/>
      </c>
      <c r="Z1084" s="47">
        <f>X1084-Y1084</f>
        <v/>
      </c>
    </row>
    <row r="1085">
      <c r="A1085" t="n">
        <v>24</v>
      </c>
      <c r="B1085" s="44">
        <f>FiscalStart+(A1085-1)*7</f>
        <v/>
      </c>
      <c r="C1085">
        <f>TEXT(B1085,"mmm yyyy")</f>
        <v/>
      </c>
      <c r="D1085">
        <f>"Q"&amp;(INT((A1085-1)/13)+1)</f>
        <v/>
      </c>
      <c r="E1085" t="inlineStr">
        <is>
          <t>Fitness</t>
        </is>
      </c>
      <c r="F1085">
        <f>IFERROR(INDEX(ChFormat,MATCH(E1085,ChName,0)),"")</f>
        <v/>
      </c>
      <c r="G1085" t="inlineStr">
        <is>
          <t>BC</t>
        </is>
      </c>
      <c r="H1085">
        <f>IF(A1085&lt;=NWeeks,1,0)</f>
        <v/>
      </c>
      <c r="I1085">
        <f>INDEX(ChLaunch,MATCH(E1085,ChName,0))</f>
        <v/>
      </c>
      <c r="J1085">
        <f>INDEX(ChWeeksFull,MATCH(E1085,ChName,0))</f>
        <v/>
      </c>
      <c r="K1085">
        <f>INDEX(ChRamp,MATCH(E1085,ChName,0))</f>
        <v/>
      </c>
      <c r="L1085" s="45">
        <f>MIN(1,MAX(0,(A1085-I1085+1)*RampSpeed/J1085))</f>
        <v/>
      </c>
      <c r="M1085" s="45">
        <f>IF(A1085&lt;I1085,0,IF(K1085="S-curve",L1085*L1085*(3-2*L1085),L1085))</f>
        <v/>
      </c>
      <c r="N1085" s="45">
        <f>1+(INDEX(SeasonIdx,A1085)-1)*SeasonAmp</f>
        <v/>
      </c>
      <c r="O1085" s="45">
        <f>IFERROR(INDEX(PSPct,MATCH(E1085&amp;"|"&amp;G1085,PSKey,0)),0)</f>
        <v/>
      </c>
      <c r="P1085" s="46">
        <f>INDEX(ChDoorVel,MATCH(E1085,ChName,0))*CalibScalar*(1+VelocityUplift)</f>
        <v/>
      </c>
      <c r="Q1085" s="46" t="n">
        <v>0</v>
      </c>
      <c r="R1085" s="46">
        <f>P1085*O1085*M1085*N1085*H1085</f>
        <v/>
      </c>
      <c r="S1085" s="46">
        <f>R1085*INDEX(FmtCansPerCase,MATCH(F1085,FmtName,0))</f>
        <v/>
      </c>
      <c r="T1085" s="46">
        <f>S1085/INDEX(FmtCansPerPack,MATCH(F1085,FmtName,0))</f>
        <v/>
      </c>
      <c r="U1085" s="47">
        <f>INDEX(ChBaseCP,MATCH(E1085,ChName,0))*(1+INDEX(ProvMod,MATCH(G1085,ProvCode,0)))*(1+PriceIndex)</f>
        <v/>
      </c>
      <c r="V1085" s="47">
        <f>R1085*U1085*INDEX(FmtBlendedPriceIdx,MATCH(F1085,FmtName,0))</f>
        <v/>
      </c>
      <c r="W1085" s="47">
        <f>T1085*INDEX(ProvSRP,MATCH(G1085,ProvCode,0))*(1+PriceIndex)</f>
        <v/>
      </c>
      <c r="X1085" s="47">
        <f>IF(GrossBasis="Wholesale",V1085,W1085)</f>
        <v/>
      </c>
      <c r="Y1085" s="47">
        <f>R1085*INDEX(FmtBlendedCogs,MATCH(F1085,FmtName,0))</f>
        <v/>
      </c>
      <c r="Z1085" s="47">
        <f>X1085-Y1085</f>
        <v/>
      </c>
    </row>
    <row r="1086">
      <c r="A1086" t="n">
        <v>25</v>
      </c>
      <c r="B1086" s="44">
        <f>FiscalStart+(A1086-1)*7</f>
        <v/>
      </c>
      <c r="C1086">
        <f>TEXT(B1086,"mmm yyyy")</f>
        <v/>
      </c>
      <c r="D1086">
        <f>"Q"&amp;(INT((A1086-1)/13)+1)</f>
        <v/>
      </c>
      <c r="E1086" t="inlineStr">
        <is>
          <t>Fitness</t>
        </is>
      </c>
      <c r="F1086">
        <f>IFERROR(INDEX(ChFormat,MATCH(E1086,ChName,0)),"")</f>
        <v/>
      </c>
      <c r="G1086" t="inlineStr">
        <is>
          <t>BC</t>
        </is>
      </c>
      <c r="H1086">
        <f>IF(A1086&lt;=NWeeks,1,0)</f>
        <v/>
      </c>
      <c r="I1086">
        <f>INDEX(ChLaunch,MATCH(E1086,ChName,0))</f>
        <v/>
      </c>
      <c r="J1086">
        <f>INDEX(ChWeeksFull,MATCH(E1086,ChName,0))</f>
        <v/>
      </c>
      <c r="K1086">
        <f>INDEX(ChRamp,MATCH(E1086,ChName,0))</f>
        <v/>
      </c>
      <c r="L1086" s="45">
        <f>MIN(1,MAX(0,(A1086-I1086+1)*RampSpeed/J1086))</f>
        <v/>
      </c>
      <c r="M1086" s="45">
        <f>IF(A1086&lt;I1086,0,IF(K1086="S-curve",L1086*L1086*(3-2*L1086),L1086))</f>
        <v/>
      </c>
      <c r="N1086" s="45">
        <f>1+(INDEX(SeasonIdx,A1086)-1)*SeasonAmp</f>
        <v/>
      </c>
      <c r="O1086" s="45">
        <f>IFERROR(INDEX(PSPct,MATCH(E1086&amp;"|"&amp;G1086,PSKey,0)),0)</f>
        <v/>
      </c>
      <c r="P1086" s="46">
        <f>INDEX(ChDoorVel,MATCH(E1086,ChName,0))*CalibScalar*(1+VelocityUplift)</f>
        <v/>
      </c>
      <c r="Q1086" s="46" t="n">
        <v>0</v>
      </c>
      <c r="R1086" s="46">
        <f>P1086*O1086*M1086*N1086*H1086</f>
        <v/>
      </c>
      <c r="S1086" s="46">
        <f>R1086*INDEX(FmtCansPerCase,MATCH(F1086,FmtName,0))</f>
        <v/>
      </c>
      <c r="T1086" s="46">
        <f>S1086/INDEX(FmtCansPerPack,MATCH(F1086,FmtName,0))</f>
        <v/>
      </c>
      <c r="U1086" s="47">
        <f>INDEX(ChBaseCP,MATCH(E1086,ChName,0))*(1+INDEX(ProvMod,MATCH(G1086,ProvCode,0)))*(1+PriceIndex)</f>
        <v/>
      </c>
      <c r="V1086" s="47">
        <f>R1086*U1086*INDEX(FmtBlendedPriceIdx,MATCH(F1086,FmtName,0))</f>
        <v/>
      </c>
      <c r="W1086" s="47">
        <f>T1086*INDEX(ProvSRP,MATCH(G1086,ProvCode,0))*(1+PriceIndex)</f>
        <v/>
      </c>
      <c r="X1086" s="47">
        <f>IF(GrossBasis="Wholesale",V1086,W1086)</f>
        <v/>
      </c>
      <c r="Y1086" s="47">
        <f>R1086*INDEX(FmtBlendedCogs,MATCH(F1086,FmtName,0))</f>
        <v/>
      </c>
      <c r="Z1086" s="47">
        <f>X1086-Y1086</f>
        <v/>
      </c>
    </row>
    <row r="1087">
      <c r="A1087" t="n">
        <v>26</v>
      </c>
      <c r="B1087" s="44">
        <f>FiscalStart+(A1087-1)*7</f>
        <v/>
      </c>
      <c r="C1087">
        <f>TEXT(B1087,"mmm yyyy")</f>
        <v/>
      </c>
      <c r="D1087">
        <f>"Q"&amp;(INT((A1087-1)/13)+1)</f>
        <v/>
      </c>
      <c r="E1087" t="inlineStr">
        <is>
          <t>Fitness</t>
        </is>
      </c>
      <c r="F1087">
        <f>IFERROR(INDEX(ChFormat,MATCH(E1087,ChName,0)),"")</f>
        <v/>
      </c>
      <c r="G1087" t="inlineStr">
        <is>
          <t>BC</t>
        </is>
      </c>
      <c r="H1087">
        <f>IF(A1087&lt;=NWeeks,1,0)</f>
        <v/>
      </c>
      <c r="I1087">
        <f>INDEX(ChLaunch,MATCH(E1087,ChName,0))</f>
        <v/>
      </c>
      <c r="J1087">
        <f>INDEX(ChWeeksFull,MATCH(E1087,ChName,0))</f>
        <v/>
      </c>
      <c r="K1087">
        <f>INDEX(ChRamp,MATCH(E1087,ChName,0))</f>
        <v/>
      </c>
      <c r="L1087" s="45">
        <f>MIN(1,MAX(0,(A1087-I1087+1)*RampSpeed/J1087))</f>
        <v/>
      </c>
      <c r="M1087" s="45">
        <f>IF(A1087&lt;I1087,0,IF(K1087="S-curve",L1087*L1087*(3-2*L1087),L1087))</f>
        <v/>
      </c>
      <c r="N1087" s="45">
        <f>1+(INDEX(SeasonIdx,A1087)-1)*SeasonAmp</f>
        <v/>
      </c>
      <c r="O1087" s="45">
        <f>IFERROR(INDEX(PSPct,MATCH(E1087&amp;"|"&amp;G1087,PSKey,0)),0)</f>
        <v/>
      </c>
      <c r="P1087" s="46">
        <f>INDEX(ChDoorVel,MATCH(E1087,ChName,0))*CalibScalar*(1+VelocityUplift)</f>
        <v/>
      </c>
      <c r="Q1087" s="46" t="n">
        <v>0</v>
      </c>
      <c r="R1087" s="46">
        <f>P1087*O1087*M1087*N1087*H1087</f>
        <v/>
      </c>
      <c r="S1087" s="46">
        <f>R1087*INDEX(FmtCansPerCase,MATCH(F1087,FmtName,0))</f>
        <v/>
      </c>
      <c r="T1087" s="46">
        <f>S1087/INDEX(FmtCansPerPack,MATCH(F1087,FmtName,0))</f>
        <v/>
      </c>
      <c r="U1087" s="47">
        <f>INDEX(ChBaseCP,MATCH(E1087,ChName,0))*(1+INDEX(ProvMod,MATCH(G1087,ProvCode,0)))*(1+PriceIndex)</f>
        <v/>
      </c>
      <c r="V1087" s="47">
        <f>R1087*U1087*INDEX(FmtBlendedPriceIdx,MATCH(F1087,FmtName,0))</f>
        <v/>
      </c>
      <c r="W1087" s="47">
        <f>T1087*INDEX(ProvSRP,MATCH(G1087,ProvCode,0))*(1+PriceIndex)</f>
        <v/>
      </c>
      <c r="X1087" s="47">
        <f>IF(GrossBasis="Wholesale",V1087,W1087)</f>
        <v/>
      </c>
      <c r="Y1087" s="47">
        <f>R1087*INDEX(FmtBlendedCogs,MATCH(F1087,FmtName,0))</f>
        <v/>
      </c>
      <c r="Z1087" s="47">
        <f>X1087-Y1087</f>
        <v/>
      </c>
    </row>
    <row r="1088">
      <c r="A1088" t="n">
        <v>27</v>
      </c>
      <c r="B1088" s="44">
        <f>FiscalStart+(A1088-1)*7</f>
        <v/>
      </c>
      <c r="C1088">
        <f>TEXT(B1088,"mmm yyyy")</f>
        <v/>
      </c>
      <c r="D1088">
        <f>"Q"&amp;(INT((A1088-1)/13)+1)</f>
        <v/>
      </c>
      <c r="E1088" t="inlineStr">
        <is>
          <t>Fitness</t>
        </is>
      </c>
      <c r="F1088">
        <f>IFERROR(INDEX(ChFormat,MATCH(E1088,ChName,0)),"")</f>
        <v/>
      </c>
      <c r="G1088" t="inlineStr">
        <is>
          <t>BC</t>
        </is>
      </c>
      <c r="H1088">
        <f>IF(A1088&lt;=NWeeks,1,0)</f>
        <v/>
      </c>
      <c r="I1088">
        <f>INDEX(ChLaunch,MATCH(E1088,ChName,0))</f>
        <v/>
      </c>
      <c r="J1088">
        <f>INDEX(ChWeeksFull,MATCH(E1088,ChName,0))</f>
        <v/>
      </c>
      <c r="K1088">
        <f>INDEX(ChRamp,MATCH(E1088,ChName,0))</f>
        <v/>
      </c>
      <c r="L1088" s="45">
        <f>MIN(1,MAX(0,(A1088-I1088+1)*RampSpeed/J1088))</f>
        <v/>
      </c>
      <c r="M1088" s="45">
        <f>IF(A1088&lt;I1088,0,IF(K1088="S-curve",L1088*L1088*(3-2*L1088),L1088))</f>
        <v/>
      </c>
      <c r="N1088" s="45">
        <f>1+(INDEX(SeasonIdx,A1088)-1)*SeasonAmp</f>
        <v/>
      </c>
      <c r="O1088" s="45">
        <f>IFERROR(INDEX(PSPct,MATCH(E1088&amp;"|"&amp;G1088,PSKey,0)),0)</f>
        <v/>
      </c>
      <c r="P1088" s="46">
        <f>INDEX(ChDoorVel,MATCH(E1088,ChName,0))*CalibScalar*(1+VelocityUplift)</f>
        <v/>
      </c>
      <c r="Q1088" s="46" t="n">
        <v>0</v>
      </c>
      <c r="R1088" s="46">
        <f>P1088*O1088*M1088*N1088*H1088</f>
        <v/>
      </c>
      <c r="S1088" s="46">
        <f>R1088*INDEX(FmtCansPerCase,MATCH(F1088,FmtName,0))</f>
        <v/>
      </c>
      <c r="T1088" s="46">
        <f>S1088/INDEX(FmtCansPerPack,MATCH(F1088,FmtName,0))</f>
        <v/>
      </c>
      <c r="U1088" s="47">
        <f>INDEX(ChBaseCP,MATCH(E1088,ChName,0))*(1+INDEX(ProvMod,MATCH(G1088,ProvCode,0)))*(1+PriceIndex)</f>
        <v/>
      </c>
      <c r="V1088" s="47">
        <f>R1088*U1088*INDEX(FmtBlendedPriceIdx,MATCH(F1088,FmtName,0))</f>
        <v/>
      </c>
      <c r="W1088" s="47">
        <f>T1088*INDEX(ProvSRP,MATCH(G1088,ProvCode,0))*(1+PriceIndex)</f>
        <v/>
      </c>
      <c r="X1088" s="47">
        <f>IF(GrossBasis="Wholesale",V1088,W1088)</f>
        <v/>
      </c>
      <c r="Y1088" s="47">
        <f>R1088*INDEX(FmtBlendedCogs,MATCH(F1088,FmtName,0))</f>
        <v/>
      </c>
      <c r="Z1088" s="47">
        <f>X1088-Y1088</f>
        <v/>
      </c>
    </row>
    <row r="1089">
      <c r="A1089" t="n">
        <v>28</v>
      </c>
      <c r="B1089" s="44">
        <f>FiscalStart+(A1089-1)*7</f>
        <v/>
      </c>
      <c r="C1089">
        <f>TEXT(B1089,"mmm yyyy")</f>
        <v/>
      </c>
      <c r="D1089">
        <f>"Q"&amp;(INT((A1089-1)/13)+1)</f>
        <v/>
      </c>
      <c r="E1089" t="inlineStr">
        <is>
          <t>Fitness</t>
        </is>
      </c>
      <c r="F1089">
        <f>IFERROR(INDEX(ChFormat,MATCH(E1089,ChName,0)),"")</f>
        <v/>
      </c>
      <c r="G1089" t="inlineStr">
        <is>
          <t>BC</t>
        </is>
      </c>
      <c r="H1089">
        <f>IF(A1089&lt;=NWeeks,1,0)</f>
        <v/>
      </c>
      <c r="I1089">
        <f>INDEX(ChLaunch,MATCH(E1089,ChName,0))</f>
        <v/>
      </c>
      <c r="J1089">
        <f>INDEX(ChWeeksFull,MATCH(E1089,ChName,0))</f>
        <v/>
      </c>
      <c r="K1089">
        <f>INDEX(ChRamp,MATCH(E1089,ChName,0))</f>
        <v/>
      </c>
      <c r="L1089" s="45">
        <f>MIN(1,MAX(0,(A1089-I1089+1)*RampSpeed/J1089))</f>
        <v/>
      </c>
      <c r="M1089" s="45">
        <f>IF(A1089&lt;I1089,0,IF(K1089="S-curve",L1089*L1089*(3-2*L1089),L1089))</f>
        <v/>
      </c>
      <c r="N1089" s="45">
        <f>1+(INDEX(SeasonIdx,A1089)-1)*SeasonAmp</f>
        <v/>
      </c>
      <c r="O1089" s="45">
        <f>IFERROR(INDEX(PSPct,MATCH(E1089&amp;"|"&amp;G1089,PSKey,0)),0)</f>
        <v/>
      </c>
      <c r="P1089" s="46">
        <f>INDEX(ChDoorVel,MATCH(E1089,ChName,0))*CalibScalar*(1+VelocityUplift)</f>
        <v/>
      </c>
      <c r="Q1089" s="46" t="n">
        <v>0</v>
      </c>
      <c r="R1089" s="46">
        <f>P1089*O1089*M1089*N1089*H1089</f>
        <v/>
      </c>
      <c r="S1089" s="46">
        <f>R1089*INDEX(FmtCansPerCase,MATCH(F1089,FmtName,0))</f>
        <v/>
      </c>
      <c r="T1089" s="46">
        <f>S1089/INDEX(FmtCansPerPack,MATCH(F1089,FmtName,0))</f>
        <v/>
      </c>
      <c r="U1089" s="47">
        <f>INDEX(ChBaseCP,MATCH(E1089,ChName,0))*(1+INDEX(ProvMod,MATCH(G1089,ProvCode,0)))*(1+PriceIndex)</f>
        <v/>
      </c>
      <c r="V1089" s="47">
        <f>R1089*U1089*INDEX(FmtBlendedPriceIdx,MATCH(F1089,FmtName,0))</f>
        <v/>
      </c>
      <c r="W1089" s="47">
        <f>T1089*INDEX(ProvSRP,MATCH(G1089,ProvCode,0))*(1+PriceIndex)</f>
        <v/>
      </c>
      <c r="X1089" s="47">
        <f>IF(GrossBasis="Wholesale",V1089,W1089)</f>
        <v/>
      </c>
      <c r="Y1089" s="47">
        <f>R1089*INDEX(FmtBlendedCogs,MATCH(F1089,FmtName,0))</f>
        <v/>
      </c>
      <c r="Z1089" s="47">
        <f>X1089-Y1089</f>
        <v/>
      </c>
    </row>
    <row r="1090">
      <c r="A1090" t="n">
        <v>29</v>
      </c>
      <c r="B1090" s="44">
        <f>FiscalStart+(A1090-1)*7</f>
        <v/>
      </c>
      <c r="C1090">
        <f>TEXT(B1090,"mmm yyyy")</f>
        <v/>
      </c>
      <c r="D1090">
        <f>"Q"&amp;(INT((A1090-1)/13)+1)</f>
        <v/>
      </c>
      <c r="E1090" t="inlineStr">
        <is>
          <t>Fitness</t>
        </is>
      </c>
      <c r="F1090">
        <f>IFERROR(INDEX(ChFormat,MATCH(E1090,ChName,0)),"")</f>
        <v/>
      </c>
      <c r="G1090" t="inlineStr">
        <is>
          <t>BC</t>
        </is>
      </c>
      <c r="H1090">
        <f>IF(A1090&lt;=NWeeks,1,0)</f>
        <v/>
      </c>
      <c r="I1090">
        <f>INDEX(ChLaunch,MATCH(E1090,ChName,0))</f>
        <v/>
      </c>
      <c r="J1090">
        <f>INDEX(ChWeeksFull,MATCH(E1090,ChName,0))</f>
        <v/>
      </c>
      <c r="K1090">
        <f>INDEX(ChRamp,MATCH(E1090,ChName,0))</f>
        <v/>
      </c>
      <c r="L1090" s="45">
        <f>MIN(1,MAX(0,(A1090-I1090+1)*RampSpeed/J1090))</f>
        <v/>
      </c>
      <c r="M1090" s="45">
        <f>IF(A1090&lt;I1090,0,IF(K1090="S-curve",L1090*L1090*(3-2*L1090),L1090))</f>
        <v/>
      </c>
      <c r="N1090" s="45">
        <f>1+(INDEX(SeasonIdx,A1090)-1)*SeasonAmp</f>
        <v/>
      </c>
      <c r="O1090" s="45">
        <f>IFERROR(INDEX(PSPct,MATCH(E1090&amp;"|"&amp;G1090,PSKey,0)),0)</f>
        <v/>
      </c>
      <c r="P1090" s="46">
        <f>INDEX(ChDoorVel,MATCH(E1090,ChName,0))*CalibScalar*(1+VelocityUplift)</f>
        <v/>
      </c>
      <c r="Q1090" s="46" t="n">
        <v>0</v>
      </c>
      <c r="R1090" s="46">
        <f>P1090*O1090*M1090*N1090*H1090</f>
        <v/>
      </c>
      <c r="S1090" s="46">
        <f>R1090*INDEX(FmtCansPerCase,MATCH(F1090,FmtName,0))</f>
        <v/>
      </c>
      <c r="T1090" s="46">
        <f>S1090/INDEX(FmtCansPerPack,MATCH(F1090,FmtName,0))</f>
        <v/>
      </c>
      <c r="U1090" s="47">
        <f>INDEX(ChBaseCP,MATCH(E1090,ChName,0))*(1+INDEX(ProvMod,MATCH(G1090,ProvCode,0)))*(1+PriceIndex)</f>
        <v/>
      </c>
      <c r="V1090" s="47">
        <f>R1090*U1090*INDEX(FmtBlendedPriceIdx,MATCH(F1090,FmtName,0))</f>
        <v/>
      </c>
      <c r="W1090" s="47">
        <f>T1090*INDEX(ProvSRP,MATCH(G1090,ProvCode,0))*(1+PriceIndex)</f>
        <v/>
      </c>
      <c r="X1090" s="47">
        <f>IF(GrossBasis="Wholesale",V1090,W1090)</f>
        <v/>
      </c>
      <c r="Y1090" s="47">
        <f>R1090*INDEX(FmtBlendedCogs,MATCH(F1090,FmtName,0))</f>
        <v/>
      </c>
      <c r="Z1090" s="47">
        <f>X1090-Y1090</f>
        <v/>
      </c>
    </row>
    <row r="1091">
      <c r="A1091" t="n">
        <v>30</v>
      </c>
      <c r="B1091" s="44">
        <f>FiscalStart+(A1091-1)*7</f>
        <v/>
      </c>
      <c r="C1091">
        <f>TEXT(B1091,"mmm yyyy")</f>
        <v/>
      </c>
      <c r="D1091">
        <f>"Q"&amp;(INT((A1091-1)/13)+1)</f>
        <v/>
      </c>
      <c r="E1091" t="inlineStr">
        <is>
          <t>Fitness</t>
        </is>
      </c>
      <c r="F1091">
        <f>IFERROR(INDEX(ChFormat,MATCH(E1091,ChName,0)),"")</f>
        <v/>
      </c>
      <c r="G1091" t="inlineStr">
        <is>
          <t>BC</t>
        </is>
      </c>
      <c r="H1091">
        <f>IF(A1091&lt;=NWeeks,1,0)</f>
        <v/>
      </c>
      <c r="I1091">
        <f>INDEX(ChLaunch,MATCH(E1091,ChName,0))</f>
        <v/>
      </c>
      <c r="J1091">
        <f>INDEX(ChWeeksFull,MATCH(E1091,ChName,0))</f>
        <v/>
      </c>
      <c r="K1091">
        <f>INDEX(ChRamp,MATCH(E1091,ChName,0))</f>
        <v/>
      </c>
      <c r="L1091" s="45">
        <f>MIN(1,MAX(0,(A1091-I1091+1)*RampSpeed/J1091))</f>
        <v/>
      </c>
      <c r="M1091" s="45">
        <f>IF(A1091&lt;I1091,0,IF(K1091="S-curve",L1091*L1091*(3-2*L1091),L1091))</f>
        <v/>
      </c>
      <c r="N1091" s="45">
        <f>1+(INDEX(SeasonIdx,A1091)-1)*SeasonAmp</f>
        <v/>
      </c>
      <c r="O1091" s="45">
        <f>IFERROR(INDEX(PSPct,MATCH(E1091&amp;"|"&amp;G1091,PSKey,0)),0)</f>
        <v/>
      </c>
      <c r="P1091" s="46">
        <f>INDEX(ChDoorVel,MATCH(E1091,ChName,0))*CalibScalar*(1+VelocityUplift)</f>
        <v/>
      </c>
      <c r="Q1091" s="46" t="n">
        <v>0</v>
      </c>
      <c r="R1091" s="46">
        <f>P1091*O1091*M1091*N1091*H1091</f>
        <v/>
      </c>
      <c r="S1091" s="46">
        <f>R1091*INDEX(FmtCansPerCase,MATCH(F1091,FmtName,0))</f>
        <v/>
      </c>
      <c r="T1091" s="46">
        <f>S1091/INDEX(FmtCansPerPack,MATCH(F1091,FmtName,0))</f>
        <v/>
      </c>
      <c r="U1091" s="47">
        <f>INDEX(ChBaseCP,MATCH(E1091,ChName,0))*(1+INDEX(ProvMod,MATCH(G1091,ProvCode,0)))*(1+PriceIndex)</f>
        <v/>
      </c>
      <c r="V1091" s="47">
        <f>R1091*U1091*INDEX(FmtBlendedPriceIdx,MATCH(F1091,FmtName,0))</f>
        <v/>
      </c>
      <c r="W1091" s="47">
        <f>T1091*INDEX(ProvSRP,MATCH(G1091,ProvCode,0))*(1+PriceIndex)</f>
        <v/>
      </c>
      <c r="X1091" s="47">
        <f>IF(GrossBasis="Wholesale",V1091,W1091)</f>
        <v/>
      </c>
      <c r="Y1091" s="47">
        <f>R1091*INDEX(FmtBlendedCogs,MATCH(F1091,FmtName,0))</f>
        <v/>
      </c>
      <c r="Z1091" s="47">
        <f>X1091-Y1091</f>
        <v/>
      </c>
    </row>
    <row r="1092">
      <c r="A1092" t="n">
        <v>31</v>
      </c>
      <c r="B1092" s="44">
        <f>FiscalStart+(A1092-1)*7</f>
        <v/>
      </c>
      <c r="C1092">
        <f>TEXT(B1092,"mmm yyyy")</f>
        <v/>
      </c>
      <c r="D1092">
        <f>"Q"&amp;(INT((A1092-1)/13)+1)</f>
        <v/>
      </c>
      <c r="E1092" t="inlineStr">
        <is>
          <t>Fitness</t>
        </is>
      </c>
      <c r="F1092">
        <f>IFERROR(INDEX(ChFormat,MATCH(E1092,ChName,0)),"")</f>
        <v/>
      </c>
      <c r="G1092" t="inlineStr">
        <is>
          <t>BC</t>
        </is>
      </c>
      <c r="H1092">
        <f>IF(A1092&lt;=NWeeks,1,0)</f>
        <v/>
      </c>
      <c r="I1092">
        <f>INDEX(ChLaunch,MATCH(E1092,ChName,0))</f>
        <v/>
      </c>
      <c r="J1092">
        <f>INDEX(ChWeeksFull,MATCH(E1092,ChName,0))</f>
        <v/>
      </c>
      <c r="K1092">
        <f>INDEX(ChRamp,MATCH(E1092,ChName,0))</f>
        <v/>
      </c>
      <c r="L1092" s="45">
        <f>MIN(1,MAX(0,(A1092-I1092+1)*RampSpeed/J1092))</f>
        <v/>
      </c>
      <c r="M1092" s="45">
        <f>IF(A1092&lt;I1092,0,IF(K1092="S-curve",L1092*L1092*(3-2*L1092),L1092))</f>
        <v/>
      </c>
      <c r="N1092" s="45">
        <f>1+(INDEX(SeasonIdx,A1092)-1)*SeasonAmp</f>
        <v/>
      </c>
      <c r="O1092" s="45">
        <f>IFERROR(INDEX(PSPct,MATCH(E1092&amp;"|"&amp;G1092,PSKey,0)),0)</f>
        <v/>
      </c>
      <c r="P1092" s="46">
        <f>INDEX(ChDoorVel,MATCH(E1092,ChName,0))*CalibScalar*(1+VelocityUplift)</f>
        <v/>
      </c>
      <c r="Q1092" s="46" t="n">
        <v>0</v>
      </c>
      <c r="R1092" s="46">
        <f>P1092*O1092*M1092*N1092*H1092</f>
        <v/>
      </c>
      <c r="S1092" s="46">
        <f>R1092*INDEX(FmtCansPerCase,MATCH(F1092,FmtName,0))</f>
        <v/>
      </c>
      <c r="T1092" s="46">
        <f>S1092/INDEX(FmtCansPerPack,MATCH(F1092,FmtName,0))</f>
        <v/>
      </c>
      <c r="U1092" s="47">
        <f>INDEX(ChBaseCP,MATCH(E1092,ChName,0))*(1+INDEX(ProvMod,MATCH(G1092,ProvCode,0)))*(1+PriceIndex)</f>
        <v/>
      </c>
      <c r="V1092" s="47">
        <f>R1092*U1092*INDEX(FmtBlendedPriceIdx,MATCH(F1092,FmtName,0))</f>
        <v/>
      </c>
      <c r="W1092" s="47">
        <f>T1092*INDEX(ProvSRP,MATCH(G1092,ProvCode,0))*(1+PriceIndex)</f>
        <v/>
      </c>
      <c r="X1092" s="47">
        <f>IF(GrossBasis="Wholesale",V1092,W1092)</f>
        <v/>
      </c>
      <c r="Y1092" s="47">
        <f>R1092*INDEX(FmtBlendedCogs,MATCH(F1092,FmtName,0))</f>
        <v/>
      </c>
      <c r="Z1092" s="47">
        <f>X1092-Y1092</f>
        <v/>
      </c>
    </row>
    <row r="1093">
      <c r="A1093" t="n">
        <v>32</v>
      </c>
      <c r="B1093" s="44">
        <f>FiscalStart+(A1093-1)*7</f>
        <v/>
      </c>
      <c r="C1093">
        <f>TEXT(B1093,"mmm yyyy")</f>
        <v/>
      </c>
      <c r="D1093">
        <f>"Q"&amp;(INT((A1093-1)/13)+1)</f>
        <v/>
      </c>
      <c r="E1093" t="inlineStr">
        <is>
          <t>Fitness</t>
        </is>
      </c>
      <c r="F1093">
        <f>IFERROR(INDEX(ChFormat,MATCH(E1093,ChName,0)),"")</f>
        <v/>
      </c>
      <c r="G1093" t="inlineStr">
        <is>
          <t>BC</t>
        </is>
      </c>
      <c r="H1093">
        <f>IF(A1093&lt;=NWeeks,1,0)</f>
        <v/>
      </c>
      <c r="I1093">
        <f>INDEX(ChLaunch,MATCH(E1093,ChName,0))</f>
        <v/>
      </c>
      <c r="J1093">
        <f>INDEX(ChWeeksFull,MATCH(E1093,ChName,0))</f>
        <v/>
      </c>
      <c r="K1093">
        <f>INDEX(ChRamp,MATCH(E1093,ChName,0))</f>
        <v/>
      </c>
      <c r="L1093" s="45">
        <f>MIN(1,MAX(0,(A1093-I1093+1)*RampSpeed/J1093))</f>
        <v/>
      </c>
      <c r="M1093" s="45">
        <f>IF(A1093&lt;I1093,0,IF(K1093="S-curve",L1093*L1093*(3-2*L1093),L1093))</f>
        <v/>
      </c>
      <c r="N1093" s="45">
        <f>1+(INDEX(SeasonIdx,A1093)-1)*SeasonAmp</f>
        <v/>
      </c>
      <c r="O1093" s="45">
        <f>IFERROR(INDEX(PSPct,MATCH(E1093&amp;"|"&amp;G1093,PSKey,0)),0)</f>
        <v/>
      </c>
      <c r="P1093" s="46">
        <f>INDEX(ChDoorVel,MATCH(E1093,ChName,0))*CalibScalar*(1+VelocityUplift)</f>
        <v/>
      </c>
      <c r="Q1093" s="46" t="n">
        <v>0</v>
      </c>
      <c r="R1093" s="46">
        <f>P1093*O1093*M1093*N1093*H1093</f>
        <v/>
      </c>
      <c r="S1093" s="46">
        <f>R1093*INDEX(FmtCansPerCase,MATCH(F1093,FmtName,0))</f>
        <v/>
      </c>
      <c r="T1093" s="46">
        <f>S1093/INDEX(FmtCansPerPack,MATCH(F1093,FmtName,0))</f>
        <v/>
      </c>
      <c r="U1093" s="47">
        <f>INDEX(ChBaseCP,MATCH(E1093,ChName,0))*(1+INDEX(ProvMod,MATCH(G1093,ProvCode,0)))*(1+PriceIndex)</f>
        <v/>
      </c>
      <c r="V1093" s="47">
        <f>R1093*U1093*INDEX(FmtBlendedPriceIdx,MATCH(F1093,FmtName,0))</f>
        <v/>
      </c>
      <c r="W1093" s="47">
        <f>T1093*INDEX(ProvSRP,MATCH(G1093,ProvCode,0))*(1+PriceIndex)</f>
        <v/>
      </c>
      <c r="X1093" s="47">
        <f>IF(GrossBasis="Wholesale",V1093,W1093)</f>
        <v/>
      </c>
      <c r="Y1093" s="47">
        <f>R1093*INDEX(FmtBlendedCogs,MATCH(F1093,FmtName,0))</f>
        <v/>
      </c>
      <c r="Z1093" s="47">
        <f>X1093-Y1093</f>
        <v/>
      </c>
    </row>
    <row r="1094">
      <c r="A1094" t="n">
        <v>33</v>
      </c>
      <c r="B1094" s="44">
        <f>FiscalStart+(A1094-1)*7</f>
        <v/>
      </c>
      <c r="C1094">
        <f>TEXT(B1094,"mmm yyyy")</f>
        <v/>
      </c>
      <c r="D1094">
        <f>"Q"&amp;(INT((A1094-1)/13)+1)</f>
        <v/>
      </c>
      <c r="E1094" t="inlineStr">
        <is>
          <t>Fitness</t>
        </is>
      </c>
      <c r="F1094">
        <f>IFERROR(INDEX(ChFormat,MATCH(E1094,ChName,0)),"")</f>
        <v/>
      </c>
      <c r="G1094" t="inlineStr">
        <is>
          <t>BC</t>
        </is>
      </c>
      <c r="H1094">
        <f>IF(A1094&lt;=NWeeks,1,0)</f>
        <v/>
      </c>
      <c r="I1094">
        <f>INDEX(ChLaunch,MATCH(E1094,ChName,0))</f>
        <v/>
      </c>
      <c r="J1094">
        <f>INDEX(ChWeeksFull,MATCH(E1094,ChName,0))</f>
        <v/>
      </c>
      <c r="K1094">
        <f>INDEX(ChRamp,MATCH(E1094,ChName,0))</f>
        <v/>
      </c>
      <c r="L1094" s="45">
        <f>MIN(1,MAX(0,(A1094-I1094+1)*RampSpeed/J1094))</f>
        <v/>
      </c>
      <c r="M1094" s="45">
        <f>IF(A1094&lt;I1094,0,IF(K1094="S-curve",L1094*L1094*(3-2*L1094),L1094))</f>
        <v/>
      </c>
      <c r="N1094" s="45">
        <f>1+(INDEX(SeasonIdx,A1094)-1)*SeasonAmp</f>
        <v/>
      </c>
      <c r="O1094" s="45">
        <f>IFERROR(INDEX(PSPct,MATCH(E1094&amp;"|"&amp;G1094,PSKey,0)),0)</f>
        <v/>
      </c>
      <c r="P1094" s="46">
        <f>INDEX(ChDoorVel,MATCH(E1094,ChName,0))*CalibScalar*(1+VelocityUplift)</f>
        <v/>
      </c>
      <c r="Q1094" s="46" t="n">
        <v>0</v>
      </c>
      <c r="R1094" s="46">
        <f>P1094*O1094*M1094*N1094*H1094</f>
        <v/>
      </c>
      <c r="S1094" s="46">
        <f>R1094*INDEX(FmtCansPerCase,MATCH(F1094,FmtName,0))</f>
        <v/>
      </c>
      <c r="T1094" s="46">
        <f>S1094/INDEX(FmtCansPerPack,MATCH(F1094,FmtName,0))</f>
        <v/>
      </c>
      <c r="U1094" s="47">
        <f>INDEX(ChBaseCP,MATCH(E1094,ChName,0))*(1+INDEX(ProvMod,MATCH(G1094,ProvCode,0)))*(1+PriceIndex)</f>
        <v/>
      </c>
      <c r="V1094" s="47">
        <f>R1094*U1094*INDEX(FmtBlendedPriceIdx,MATCH(F1094,FmtName,0))</f>
        <v/>
      </c>
      <c r="W1094" s="47">
        <f>T1094*INDEX(ProvSRP,MATCH(G1094,ProvCode,0))*(1+PriceIndex)</f>
        <v/>
      </c>
      <c r="X1094" s="47">
        <f>IF(GrossBasis="Wholesale",V1094,W1094)</f>
        <v/>
      </c>
      <c r="Y1094" s="47">
        <f>R1094*INDEX(FmtBlendedCogs,MATCH(F1094,FmtName,0))</f>
        <v/>
      </c>
      <c r="Z1094" s="47">
        <f>X1094-Y1094</f>
        <v/>
      </c>
    </row>
    <row r="1095">
      <c r="A1095" t="n">
        <v>34</v>
      </c>
      <c r="B1095" s="44">
        <f>FiscalStart+(A1095-1)*7</f>
        <v/>
      </c>
      <c r="C1095">
        <f>TEXT(B1095,"mmm yyyy")</f>
        <v/>
      </c>
      <c r="D1095">
        <f>"Q"&amp;(INT((A1095-1)/13)+1)</f>
        <v/>
      </c>
      <c r="E1095" t="inlineStr">
        <is>
          <t>Fitness</t>
        </is>
      </c>
      <c r="F1095">
        <f>IFERROR(INDEX(ChFormat,MATCH(E1095,ChName,0)),"")</f>
        <v/>
      </c>
      <c r="G1095" t="inlineStr">
        <is>
          <t>BC</t>
        </is>
      </c>
      <c r="H1095">
        <f>IF(A1095&lt;=NWeeks,1,0)</f>
        <v/>
      </c>
      <c r="I1095">
        <f>INDEX(ChLaunch,MATCH(E1095,ChName,0))</f>
        <v/>
      </c>
      <c r="J1095">
        <f>INDEX(ChWeeksFull,MATCH(E1095,ChName,0))</f>
        <v/>
      </c>
      <c r="K1095">
        <f>INDEX(ChRamp,MATCH(E1095,ChName,0))</f>
        <v/>
      </c>
      <c r="L1095" s="45">
        <f>MIN(1,MAX(0,(A1095-I1095+1)*RampSpeed/J1095))</f>
        <v/>
      </c>
      <c r="M1095" s="45">
        <f>IF(A1095&lt;I1095,0,IF(K1095="S-curve",L1095*L1095*(3-2*L1095),L1095))</f>
        <v/>
      </c>
      <c r="N1095" s="45">
        <f>1+(INDEX(SeasonIdx,A1095)-1)*SeasonAmp</f>
        <v/>
      </c>
      <c r="O1095" s="45">
        <f>IFERROR(INDEX(PSPct,MATCH(E1095&amp;"|"&amp;G1095,PSKey,0)),0)</f>
        <v/>
      </c>
      <c r="P1095" s="46">
        <f>INDEX(ChDoorVel,MATCH(E1095,ChName,0))*CalibScalar*(1+VelocityUplift)</f>
        <v/>
      </c>
      <c r="Q1095" s="46" t="n">
        <v>0</v>
      </c>
      <c r="R1095" s="46">
        <f>P1095*O1095*M1095*N1095*H1095</f>
        <v/>
      </c>
      <c r="S1095" s="46">
        <f>R1095*INDEX(FmtCansPerCase,MATCH(F1095,FmtName,0))</f>
        <v/>
      </c>
      <c r="T1095" s="46">
        <f>S1095/INDEX(FmtCansPerPack,MATCH(F1095,FmtName,0))</f>
        <v/>
      </c>
      <c r="U1095" s="47">
        <f>INDEX(ChBaseCP,MATCH(E1095,ChName,0))*(1+INDEX(ProvMod,MATCH(G1095,ProvCode,0)))*(1+PriceIndex)</f>
        <v/>
      </c>
      <c r="V1095" s="47">
        <f>R1095*U1095*INDEX(FmtBlendedPriceIdx,MATCH(F1095,FmtName,0))</f>
        <v/>
      </c>
      <c r="W1095" s="47">
        <f>T1095*INDEX(ProvSRP,MATCH(G1095,ProvCode,0))*(1+PriceIndex)</f>
        <v/>
      </c>
      <c r="X1095" s="47">
        <f>IF(GrossBasis="Wholesale",V1095,W1095)</f>
        <v/>
      </c>
      <c r="Y1095" s="47">
        <f>R1095*INDEX(FmtBlendedCogs,MATCH(F1095,FmtName,0))</f>
        <v/>
      </c>
      <c r="Z1095" s="47">
        <f>X1095-Y1095</f>
        <v/>
      </c>
    </row>
    <row r="1096">
      <c r="A1096" t="n">
        <v>35</v>
      </c>
      <c r="B1096" s="44">
        <f>FiscalStart+(A1096-1)*7</f>
        <v/>
      </c>
      <c r="C1096">
        <f>TEXT(B1096,"mmm yyyy")</f>
        <v/>
      </c>
      <c r="D1096">
        <f>"Q"&amp;(INT((A1096-1)/13)+1)</f>
        <v/>
      </c>
      <c r="E1096" t="inlineStr">
        <is>
          <t>Fitness</t>
        </is>
      </c>
      <c r="F1096">
        <f>IFERROR(INDEX(ChFormat,MATCH(E1096,ChName,0)),"")</f>
        <v/>
      </c>
      <c r="G1096" t="inlineStr">
        <is>
          <t>BC</t>
        </is>
      </c>
      <c r="H1096">
        <f>IF(A1096&lt;=NWeeks,1,0)</f>
        <v/>
      </c>
      <c r="I1096">
        <f>INDEX(ChLaunch,MATCH(E1096,ChName,0))</f>
        <v/>
      </c>
      <c r="J1096">
        <f>INDEX(ChWeeksFull,MATCH(E1096,ChName,0))</f>
        <v/>
      </c>
      <c r="K1096">
        <f>INDEX(ChRamp,MATCH(E1096,ChName,0))</f>
        <v/>
      </c>
      <c r="L1096" s="45">
        <f>MIN(1,MAX(0,(A1096-I1096+1)*RampSpeed/J1096))</f>
        <v/>
      </c>
      <c r="M1096" s="45">
        <f>IF(A1096&lt;I1096,0,IF(K1096="S-curve",L1096*L1096*(3-2*L1096),L1096))</f>
        <v/>
      </c>
      <c r="N1096" s="45">
        <f>1+(INDEX(SeasonIdx,A1096)-1)*SeasonAmp</f>
        <v/>
      </c>
      <c r="O1096" s="45">
        <f>IFERROR(INDEX(PSPct,MATCH(E1096&amp;"|"&amp;G1096,PSKey,0)),0)</f>
        <v/>
      </c>
      <c r="P1096" s="46">
        <f>INDEX(ChDoorVel,MATCH(E1096,ChName,0))*CalibScalar*(1+VelocityUplift)</f>
        <v/>
      </c>
      <c r="Q1096" s="46" t="n">
        <v>0</v>
      </c>
      <c r="R1096" s="46">
        <f>P1096*O1096*M1096*N1096*H1096</f>
        <v/>
      </c>
      <c r="S1096" s="46">
        <f>R1096*INDEX(FmtCansPerCase,MATCH(F1096,FmtName,0))</f>
        <v/>
      </c>
      <c r="T1096" s="46">
        <f>S1096/INDEX(FmtCansPerPack,MATCH(F1096,FmtName,0))</f>
        <v/>
      </c>
      <c r="U1096" s="47">
        <f>INDEX(ChBaseCP,MATCH(E1096,ChName,0))*(1+INDEX(ProvMod,MATCH(G1096,ProvCode,0)))*(1+PriceIndex)</f>
        <v/>
      </c>
      <c r="V1096" s="47">
        <f>R1096*U1096*INDEX(FmtBlendedPriceIdx,MATCH(F1096,FmtName,0))</f>
        <v/>
      </c>
      <c r="W1096" s="47">
        <f>T1096*INDEX(ProvSRP,MATCH(G1096,ProvCode,0))*(1+PriceIndex)</f>
        <v/>
      </c>
      <c r="X1096" s="47">
        <f>IF(GrossBasis="Wholesale",V1096,W1096)</f>
        <v/>
      </c>
      <c r="Y1096" s="47">
        <f>R1096*INDEX(FmtBlendedCogs,MATCH(F1096,FmtName,0))</f>
        <v/>
      </c>
      <c r="Z1096" s="47">
        <f>X1096-Y1096</f>
        <v/>
      </c>
    </row>
    <row r="1097">
      <c r="A1097" t="n">
        <v>36</v>
      </c>
      <c r="B1097" s="44">
        <f>FiscalStart+(A1097-1)*7</f>
        <v/>
      </c>
      <c r="C1097">
        <f>TEXT(B1097,"mmm yyyy")</f>
        <v/>
      </c>
      <c r="D1097">
        <f>"Q"&amp;(INT((A1097-1)/13)+1)</f>
        <v/>
      </c>
      <c r="E1097" t="inlineStr">
        <is>
          <t>Fitness</t>
        </is>
      </c>
      <c r="F1097">
        <f>IFERROR(INDEX(ChFormat,MATCH(E1097,ChName,0)),"")</f>
        <v/>
      </c>
      <c r="G1097" t="inlineStr">
        <is>
          <t>BC</t>
        </is>
      </c>
      <c r="H1097">
        <f>IF(A1097&lt;=NWeeks,1,0)</f>
        <v/>
      </c>
      <c r="I1097">
        <f>INDEX(ChLaunch,MATCH(E1097,ChName,0))</f>
        <v/>
      </c>
      <c r="J1097">
        <f>INDEX(ChWeeksFull,MATCH(E1097,ChName,0))</f>
        <v/>
      </c>
      <c r="K1097">
        <f>INDEX(ChRamp,MATCH(E1097,ChName,0))</f>
        <v/>
      </c>
      <c r="L1097" s="45">
        <f>MIN(1,MAX(0,(A1097-I1097+1)*RampSpeed/J1097))</f>
        <v/>
      </c>
      <c r="M1097" s="45">
        <f>IF(A1097&lt;I1097,0,IF(K1097="S-curve",L1097*L1097*(3-2*L1097),L1097))</f>
        <v/>
      </c>
      <c r="N1097" s="45">
        <f>1+(INDEX(SeasonIdx,A1097)-1)*SeasonAmp</f>
        <v/>
      </c>
      <c r="O1097" s="45">
        <f>IFERROR(INDEX(PSPct,MATCH(E1097&amp;"|"&amp;G1097,PSKey,0)),0)</f>
        <v/>
      </c>
      <c r="P1097" s="46">
        <f>INDEX(ChDoorVel,MATCH(E1097,ChName,0))*CalibScalar*(1+VelocityUplift)</f>
        <v/>
      </c>
      <c r="Q1097" s="46" t="n">
        <v>0</v>
      </c>
      <c r="R1097" s="46">
        <f>P1097*O1097*M1097*N1097*H1097</f>
        <v/>
      </c>
      <c r="S1097" s="46">
        <f>R1097*INDEX(FmtCansPerCase,MATCH(F1097,FmtName,0))</f>
        <v/>
      </c>
      <c r="T1097" s="46">
        <f>S1097/INDEX(FmtCansPerPack,MATCH(F1097,FmtName,0))</f>
        <v/>
      </c>
      <c r="U1097" s="47">
        <f>INDEX(ChBaseCP,MATCH(E1097,ChName,0))*(1+INDEX(ProvMod,MATCH(G1097,ProvCode,0)))*(1+PriceIndex)</f>
        <v/>
      </c>
      <c r="V1097" s="47">
        <f>R1097*U1097*INDEX(FmtBlendedPriceIdx,MATCH(F1097,FmtName,0))</f>
        <v/>
      </c>
      <c r="W1097" s="47">
        <f>T1097*INDEX(ProvSRP,MATCH(G1097,ProvCode,0))*(1+PriceIndex)</f>
        <v/>
      </c>
      <c r="X1097" s="47">
        <f>IF(GrossBasis="Wholesale",V1097,W1097)</f>
        <v/>
      </c>
      <c r="Y1097" s="47">
        <f>R1097*INDEX(FmtBlendedCogs,MATCH(F1097,FmtName,0))</f>
        <v/>
      </c>
      <c r="Z1097" s="47">
        <f>X1097-Y1097</f>
        <v/>
      </c>
    </row>
    <row r="1098">
      <c r="A1098" t="n">
        <v>37</v>
      </c>
      <c r="B1098" s="44">
        <f>FiscalStart+(A1098-1)*7</f>
        <v/>
      </c>
      <c r="C1098">
        <f>TEXT(B1098,"mmm yyyy")</f>
        <v/>
      </c>
      <c r="D1098">
        <f>"Q"&amp;(INT((A1098-1)/13)+1)</f>
        <v/>
      </c>
      <c r="E1098" t="inlineStr">
        <is>
          <t>Fitness</t>
        </is>
      </c>
      <c r="F1098">
        <f>IFERROR(INDEX(ChFormat,MATCH(E1098,ChName,0)),"")</f>
        <v/>
      </c>
      <c r="G1098" t="inlineStr">
        <is>
          <t>BC</t>
        </is>
      </c>
      <c r="H1098">
        <f>IF(A1098&lt;=NWeeks,1,0)</f>
        <v/>
      </c>
      <c r="I1098">
        <f>INDEX(ChLaunch,MATCH(E1098,ChName,0))</f>
        <v/>
      </c>
      <c r="J1098">
        <f>INDEX(ChWeeksFull,MATCH(E1098,ChName,0))</f>
        <v/>
      </c>
      <c r="K1098">
        <f>INDEX(ChRamp,MATCH(E1098,ChName,0))</f>
        <v/>
      </c>
      <c r="L1098" s="45">
        <f>MIN(1,MAX(0,(A1098-I1098+1)*RampSpeed/J1098))</f>
        <v/>
      </c>
      <c r="M1098" s="45">
        <f>IF(A1098&lt;I1098,0,IF(K1098="S-curve",L1098*L1098*(3-2*L1098),L1098))</f>
        <v/>
      </c>
      <c r="N1098" s="45">
        <f>1+(INDEX(SeasonIdx,A1098)-1)*SeasonAmp</f>
        <v/>
      </c>
      <c r="O1098" s="45">
        <f>IFERROR(INDEX(PSPct,MATCH(E1098&amp;"|"&amp;G1098,PSKey,0)),0)</f>
        <v/>
      </c>
      <c r="P1098" s="46">
        <f>INDEX(ChDoorVel,MATCH(E1098,ChName,0))*CalibScalar*(1+VelocityUplift)</f>
        <v/>
      </c>
      <c r="Q1098" s="46" t="n">
        <v>0</v>
      </c>
      <c r="R1098" s="46">
        <f>P1098*O1098*M1098*N1098*H1098</f>
        <v/>
      </c>
      <c r="S1098" s="46">
        <f>R1098*INDEX(FmtCansPerCase,MATCH(F1098,FmtName,0))</f>
        <v/>
      </c>
      <c r="T1098" s="46">
        <f>S1098/INDEX(FmtCansPerPack,MATCH(F1098,FmtName,0))</f>
        <v/>
      </c>
      <c r="U1098" s="47">
        <f>INDEX(ChBaseCP,MATCH(E1098,ChName,0))*(1+INDEX(ProvMod,MATCH(G1098,ProvCode,0)))*(1+PriceIndex)</f>
        <v/>
      </c>
      <c r="V1098" s="47">
        <f>R1098*U1098*INDEX(FmtBlendedPriceIdx,MATCH(F1098,FmtName,0))</f>
        <v/>
      </c>
      <c r="W1098" s="47">
        <f>T1098*INDEX(ProvSRP,MATCH(G1098,ProvCode,0))*(1+PriceIndex)</f>
        <v/>
      </c>
      <c r="X1098" s="47">
        <f>IF(GrossBasis="Wholesale",V1098,W1098)</f>
        <v/>
      </c>
      <c r="Y1098" s="47">
        <f>R1098*INDEX(FmtBlendedCogs,MATCH(F1098,FmtName,0))</f>
        <v/>
      </c>
      <c r="Z1098" s="47">
        <f>X1098-Y1098</f>
        <v/>
      </c>
    </row>
    <row r="1099">
      <c r="A1099" t="n">
        <v>38</v>
      </c>
      <c r="B1099" s="44">
        <f>FiscalStart+(A1099-1)*7</f>
        <v/>
      </c>
      <c r="C1099">
        <f>TEXT(B1099,"mmm yyyy")</f>
        <v/>
      </c>
      <c r="D1099">
        <f>"Q"&amp;(INT((A1099-1)/13)+1)</f>
        <v/>
      </c>
      <c r="E1099" t="inlineStr">
        <is>
          <t>Fitness</t>
        </is>
      </c>
      <c r="F1099">
        <f>IFERROR(INDEX(ChFormat,MATCH(E1099,ChName,0)),"")</f>
        <v/>
      </c>
      <c r="G1099" t="inlineStr">
        <is>
          <t>BC</t>
        </is>
      </c>
      <c r="H1099">
        <f>IF(A1099&lt;=NWeeks,1,0)</f>
        <v/>
      </c>
      <c r="I1099">
        <f>INDEX(ChLaunch,MATCH(E1099,ChName,0))</f>
        <v/>
      </c>
      <c r="J1099">
        <f>INDEX(ChWeeksFull,MATCH(E1099,ChName,0))</f>
        <v/>
      </c>
      <c r="K1099">
        <f>INDEX(ChRamp,MATCH(E1099,ChName,0))</f>
        <v/>
      </c>
      <c r="L1099" s="45">
        <f>MIN(1,MAX(0,(A1099-I1099+1)*RampSpeed/J1099))</f>
        <v/>
      </c>
      <c r="M1099" s="45">
        <f>IF(A1099&lt;I1099,0,IF(K1099="S-curve",L1099*L1099*(3-2*L1099),L1099))</f>
        <v/>
      </c>
      <c r="N1099" s="45">
        <f>1+(INDEX(SeasonIdx,A1099)-1)*SeasonAmp</f>
        <v/>
      </c>
      <c r="O1099" s="45">
        <f>IFERROR(INDEX(PSPct,MATCH(E1099&amp;"|"&amp;G1099,PSKey,0)),0)</f>
        <v/>
      </c>
      <c r="P1099" s="46">
        <f>INDEX(ChDoorVel,MATCH(E1099,ChName,0))*CalibScalar*(1+VelocityUplift)</f>
        <v/>
      </c>
      <c r="Q1099" s="46" t="n">
        <v>0</v>
      </c>
      <c r="R1099" s="46">
        <f>P1099*O1099*M1099*N1099*H1099</f>
        <v/>
      </c>
      <c r="S1099" s="46">
        <f>R1099*INDEX(FmtCansPerCase,MATCH(F1099,FmtName,0))</f>
        <v/>
      </c>
      <c r="T1099" s="46">
        <f>S1099/INDEX(FmtCansPerPack,MATCH(F1099,FmtName,0))</f>
        <v/>
      </c>
      <c r="U1099" s="47">
        <f>INDEX(ChBaseCP,MATCH(E1099,ChName,0))*(1+INDEX(ProvMod,MATCH(G1099,ProvCode,0)))*(1+PriceIndex)</f>
        <v/>
      </c>
      <c r="V1099" s="47">
        <f>R1099*U1099*INDEX(FmtBlendedPriceIdx,MATCH(F1099,FmtName,0))</f>
        <v/>
      </c>
      <c r="W1099" s="47">
        <f>T1099*INDEX(ProvSRP,MATCH(G1099,ProvCode,0))*(1+PriceIndex)</f>
        <v/>
      </c>
      <c r="X1099" s="47">
        <f>IF(GrossBasis="Wholesale",V1099,W1099)</f>
        <v/>
      </c>
      <c r="Y1099" s="47">
        <f>R1099*INDEX(FmtBlendedCogs,MATCH(F1099,FmtName,0))</f>
        <v/>
      </c>
      <c r="Z1099" s="47">
        <f>X1099-Y1099</f>
        <v/>
      </c>
    </row>
    <row r="1100">
      <c r="A1100" t="n">
        <v>39</v>
      </c>
      <c r="B1100" s="44">
        <f>FiscalStart+(A1100-1)*7</f>
        <v/>
      </c>
      <c r="C1100">
        <f>TEXT(B1100,"mmm yyyy")</f>
        <v/>
      </c>
      <c r="D1100">
        <f>"Q"&amp;(INT((A1100-1)/13)+1)</f>
        <v/>
      </c>
      <c r="E1100" t="inlineStr">
        <is>
          <t>Fitness</t>
        </is>
      </c>
      <c r="F1100">
        <f>IFERROR(INDEX(ChFormat,MATCH(E1100,ChName,0)),"")</f>
        <v/>
      </c>
      <c r="G1100" t="inlineStr">
        <is>
          <t>BC</t>
        </is>
      </c>
      <c r="H1100">
        <f>IF(A1100&lt;=NWeeks,1,0)</f>
        <v/>
      </c>
      <c r="I1100">
        <f>INDEX(ChLaunch,MATCH(E1100,ChName,0))</f>
        <v/>
      </c>
      <c r="J1100">
        <f>INDEX(ChWeeksFull,MATCH(E1100,ChName,0))</f>
        <v/>
      </c>
      <c r="K1100">
        <f>INDEX(ChRamp,MATCH(E1100,ChName,0))</f>
        <v/>
      </c>
      <c r="L1100" s="45">
        <f>MIN(1,MAX(0,(A1100-I1100+1)*RampSpeed/J1100))</f>
        <v/>
      </c>
      <c r="M1100" s="45">
        <f>IF(A1100&lt;I1100,0,IF(K1100="S-curve",L1100*L1100*(3-2*L1100),L1100))</f>
        <v/>
      </c>
      <c r="N1100" s="45">
        <f>1+(INDEX(SeasonIdx,A1100)-1)*SeasonAmp</f>
        <v/>
      </c>
      <c r="O1100" s="45">
        <f>IFERROR(INDEX(PSPct,MATCH(E1100&amp;"|"&amp;G1100,PSKey,0)),0)</f>
        <v/>
      </c>
      <c r="P1100" s="46">
        <f>INDEX(ChDoorVel,MATCH(E1100,ChName,0))*CalibScalar*(1+VelocityUplift)</f>
        <v/>
      </c>
      <c r="Q1100" s="46" t="n">
        <v>0</v>
      </c>
      <c r="R1100" s="46">
        <f>P1100*O1100*M1100*N1100*H1100</f>
        <v/>
      </c>
      <c r="S1100" s="46">
        <f>R1100*INDEX(FmtCansPerCase,MATCH(F1100,FmtName,0))</f>
        <v/>
      </c>
      <c r="T1100" s="46">
        <f>S1100/INDEX(FmtCansPerPack,MATCH(F1100,FmtName,0))</f>
        <v/>
      </c>
      <c r="U1100" s="47">
        <f>INDEX(ChBaseCP,MATCH(E1100,ChName,0))*(1+INDEX(ProvMod,MATCH(G1100,ProvCode,0)))*(1+PriceIndex)</f>
        <v/>
      </c>
      <c r="V1100" s="47">
        <f>R1100*U1100*INDEX(FmtBlendedPriceIdx,MATCH(F1100,FmtName,0))</f>
        <v/>
      </c>
      <c r="W1100" s="47">
        <f>T1100*INDEX(ProvSRP,MATCH(G1100,ProvCode,0))*(1+PriceIndex)</f>
        <v/>
      </c>
      <c r="X1100" s="47">
        <f>IF(GrossBasis="Wholesale",V1100,W1100)</f>
        <v/>
      </c>
      <c r="Y1100" s="47">
        <f>R1100*INDEX(FmtBlendedCogs,MATCH(F1100,FmtName,0))</f>
        <v/>
      </c>
      <c r="Z1100" s="47">
        <f>X1100-Y1100</f>
        <v/>
      </c>
    </row>
    <row r="1101">
      <c r="A1101" t="n">
        <v>40</v>
      </c>
      <c r="B1101" s="44">
        <f>FiscalStart+(A1101-1)*7</f>
        <v/>
      </c>
      <c r="C1101">
        <f>TEXT(B1101,"mmm yyyy")</f>
        <v/>
      </c>
      <c r="D1101">
        <f>"Q"&amp;(INT((A1101-1)/13)+1)</f>
        <v/>
      </c>
      <c r="E1101" t="inlineStr">
        <is>
          <t>Fitness</t>
        </is>
      </c>
      <c r="F1101">
        <f>IFERROR(INDEX(ChFormat,MATCH(E1101,ChName,0)),"")</f>
        <v/>
      </c>
      <c r="G1101" t="inlineStr">
        <is>
          <t>BC</t>
        </is>
      </c>
      <c r="H1101">
        <f>IF(A1101&lt;=NWeeks,1,0)</f>
        <v/>
      </c>
      <c r="I1101">
        <f>INDEX(ChLaunch,MATCH(E1101,ChName,0))</f>
        <v/>
      </c>
      <c r="J1101">
        <f>INDEX(ChWeeksFull,MATCH(E1101,ChName,0))</f>
        <v/>
      </c>
      <c r="K1101">
        <f>INDEX(ChRamp,MATCH(E1101,ChName,0))</f>
        <v/>
      </c>
      <c r="L1101" s="45">
        <f>MIN(1,MAX(0,(A1101-I1101+1)*RampSpeed/J1101))</f>
        <v/>
      </c>
      <c r="M1101" s="45">
        <f>IF(A1101&lt;I1101,0,IF(K1101="S-curve",L1101*L1101*(3-2*L1101),L1101))</f>
        <v/>
      </c>
      <c r="N1101" s="45">
        <f>1+(INDEX(SeasonIdx,A1101)-1)*SeasonAmp</f>
        <v/>
      </c>
      <c r="O1101" s="45">
        <f>IFERROR(INDEX(PSPct,MATCH(E1101&amp;"|"&amp;G1101,PSKey,0)),0)</f>
        <v/>
      </c>
      <c r="P1101" s="46">
        <f>INDEX(ChDoorVel,MATCH(E1101,ChName,0))*CalibScalar*(1+VelocityUplift)</f>
        <v/>
      </c>
      <c r="Q1101" s="46" t="n">
        <v>0</v>
      </c>
      <c r="R1101" s="46">
        <f>P1101*O1101*M1101*N1101*H1101</f>
        <v/>
      </c>
      <c r="S1101" s="46">
        <f>R1101*INDEX(FmtCansPerCase,MATCH(F1101,FmtName,0))</f>
        <v/>
      </c>
      <c r="T1101" s="46">
        <f>S1101/INDEX(FmtCansPerPack,MATCH(F1101,FmtName,0))</f>
        <v/>
      </c>
      <c r="U1101" s="47">
        <f>INDEX(ChBaseCP,MATCH(E1101,ChName,0))*(1+INDEX(ProvMod,MATCH(G1101,ProvCode,0)))*(1+PriceIndex)</f>
        <v/>
      </c>
      <c r="V1101" s="47">
        <f>R1101*U1101*INDEX(FmtBlendedPriceIdx,MATCH(F1101,FmtName,0))</f>
        <v/>
      </c>
      <c r="W1101" s="47">
        <f>T1101*INDEX(ProvSRP,MATCH(G1101,ProvCode,0))*(1+PriceIndex)</f>
        <v/>
      </c>
      <c r="X1101" s="47">
        <f>IF(GrossBasis="Wholesale",V1101,W1101)</f>
        <v/>
      </c>
      <c r="Y1101" s="47">
        <f>R1101*INDEX(FmtBlendedCogs,MATCH(F1101,FmtName,0))</f>
        <v/>
      </c>
      <c r="Z1101" s="47">
        <f>X1101-Y1101</f>
        <v/>
      </c>
    </row>
    <row r="1102">
      <c r="A1102" t="n">
        <v>41</v>
      </c>
      <c r="B1102" s="44">
        <f>FiscalStart+(A1102-1)*7</f>
        <v/>
      </c>
      <c r="C1102">
        <f>TEXT(B1102,"mmm yyyy")</f>
        <v/>
      </c>
      <c r="D1102">
        <f>"Q"&amp;(INT((A1102-1)/13)+1)</f>
        <v/>
      </c>
      <c r="E1102" t="inlineStr">
        <is>
          <t>Fitness</t>
        </is>
      </c>
      <c r="F1102">
        <f>IFERROR(INDEX(ChFormat,MATCH(E1102,ChName,0)),"")</f>
        <v/>
      </c>
      <c r="G1102" t="inlineStr">
        <is>
          <t>BC</t>
        </is>
      </c>
      <c r="H1102">
        <f>IF(A1102&lt;=NWeeks,1,0)</f>
        <v/>
      </c>
      <c r="I1102">
        <f>INDEX(ChLaunch,MATCH(E1102,ChName,0))</f>
        <v/>
      </c>
      <c r="J1102">
        <f>INDEX(ChWeeksFull,MATCH(E1102,ChName,0))</f>
        <v/>
      </c>
      <c r="K1102">
        <f>INDEX(ChRamp,MATCH(E1102,ChName,0))</f>
        <v/>
      </c>
      <c r="L1102" s="45">
        <f>MIN(1,MAX(0,(A1102-I1102+1)*RampSpeed/J1102))</f>
        <v/>
      </c>
      <c r="M1102" s="45">
        <f>IF(A1102&lt;I1102,0,IF(K1102="S-curve",L1102*L1102*(3-2*L1102),L1102))</f>
        <v/>
      </c>
      <c r="N1102" s="45">
        <f>1+(INDEX(SeasonIdx,A1102)-1)*SeasonAmp</f>
        <v/>
      </c>
      <c r="O1102" s="45">
        <f>IFERROR(INDEX(PSPct,MATCH(E1102&amp;"|"&amp;G1102,PSKey,0)),0)</f>
        <v/>
      </c>
      <c r="P1102" s="46">
        <f>INDEX(ChDoorVel,MATCH(E1102,ChName,0))*CalibScalar*(1+VelocityUplift)</f>
        <v/>
      </c>
      <c r="Q1102" s="46" t="n">
        <v>0</v>
      </c>
      <c r="R1102" s="46">
        <f>P1102*O1102*M1102*N1102*H1102</f>
        <v/>
      </c>
      <c r="S1102" s="46">
        <f>R1102*INDEX(FmtCansPerCase,MATCH(F1102,FmtName,0))</f>
        <v/>
      </c>
      <c r="T1102" s="46">
        <f>S1102/INDEX(FmtCansPerPack,MATCH(F1102,FmtName,0))</f>
        <v/>
      </c>
      <c r="U1102" s="47">
        <f>INDEX(ChBaseCP,MATCH(E1102,ChName,0))*(1+INDEX(ProvMod,MATCH(G1102,ProvCode,0)))*(1+PriceIndex)</f>
        <v/>
      </c>
      <c r="V1102" s="47">
        <f>R1102*U1102*INDEX(FmtBlendedPriceIdx,MATCH(F1102,FmtName,0))</f>
        <v/>
      </c>
      <c r="W1102" s="47">
        <f>T1102*INDEX(ProvSRP,MATCH(G1102,ProvCode,0))*(1+PriceIndex)</f>
        <v/>
      </c>
      <c r="X1102" s="47">
        <f>IF(GrossBasis="Wholesale",V1102,W1102)</f>
        <v/>
      </c>
      <c r="Y1102" s="47">
        <f>R1102*INDEX(FmtBlendedCogs,MATCH(F1102,FmtName,0))</f>
        <v/>
      </c>
      <c r="Z1102" s="47">
        <f>X1102-Y1102</f>
        <v/>
      </c>
    </row>
    <row r="1103">
      <c r="A1103" t="n">
        <v>42</v>
      </c>
      <c r="B1103" s="44">
        <f>FiscalStart+(A1103-1)*7</f>
        <v/>
      </c>
      <c r="C1103">
        <f>TEXT(B1103,"mmm yyyy")</f>
        <v/>
      </c>
      <c r="D1103">
        <f>"Q"&amp;(INT((A1103-1)/13)+1)</f>
        <v/>
      </c>
      <c r="E1103" t="inlineStr">
        <is>
          <t>Fitness</t>
        </is>
      </c>
      <c r="F1103">
        <f>IFERROR(INDEX(ChFormat,MATCH(E1103,ChName,0)),"")</f>
        <v/>
      </c>
      <c r="G1103" t="inlineStr">
        <is>
          <t>BC</t>
        </is>
      </c>
      <c r="H1103">
        <f>IF(A1103&lt;=NWeeks,1,0)</f>
        <v/>
      </c>
      <c r="I1103">
        <f>INDEX(ChLaunch,MATCH(E1103,ChName,0))</f>
        <v/>
      </c>
      <c r="J1103">
        <f>INDEX(ChWeeksFull,MATCH(E1103,ChName,0))</f>
        <v/>
      </c>
      <c r="K1103">
        <f>INDEX(ChRamp,MATCH(E1103,ChName,0))</f>
        <v/>
      </c>
      <c r="L1103" s="45">
        <f>MIN(1,MAX(0,(A1103-I1103+1)*RampSpeed/J1103))</f>
        <v/>
      </c>
      <c r="M1103" s="45">
        <f>IF(A1103&lt;I1103,0,IF(K1103="S-curve",L1103*L1103*(3-2*L1103),L1103))</f>
        <v/>
      </c>
      <c r="N1103" s="45">
        <f>1+(INDEX(SeasonIdx,A1103)-1)*SeasonAmp</f>
        <v/>
      </c>
      <c r="O1103" s="45">
        <f>IFERROR(INDEX(PSPct,MATCH(E1103&amp;"|"&amp;G1103,PSKey,0)),0)</f>
        <v/>
      </c>
      <c r="P1103" s="46">
        <f>INDEX(ChDoorVel,MATCH(E1103,ChName,0))*CalibScalar*(1+VelocityUplift)</f>
        <v/>
      </c>
      <c r="Q1103" s="46" t="n">
        <v>0</v>
      </c>
      <c r="R1103" s="46">
        <f>P1103*O1103*M1103*N1103*H1103</f>
        <v/>
      </c>
      <c r="S1103" s="46">
        <f>R1103*INDEX(FmtCansPerCase,MATCH(F1103,FmtName,0))</f>
        <v/>
      </c>
      <c r="T1103" s="46">
        <f>S1103/INDEX(FmtCansPerPack,MATCH(F1103,FmtName,0))</f>
        <v/>
      </c>
      <c r="U1103" s="47">
        <f>INDEX(ChBaseCP,MATCH(E1103,ChName,0))*(1+INDEX(ProvMod,MATCH(G1103,ProvCode,0)))*(1+PriceIndex)</f>
        <v/>
      </c>
      <c r="V1103" s="47">
        <f>R1103*U1103*INDEX(FmtBlendedPriceIdx,MATCH(F1103,FmtName,0))</f>
        <v/>
      </c>
      <c r="W1103" s="47">
        <f>T1103*INDEX(ProvSRP,MATCH(G1103,ProvCode,0))*(1+PriceIndex)</f>
        <v/>
      </c>
      <c r="X1103" s="47">
        <f>IF(GrossBasis="Wholesale",V1103,W1103)</f>
        <v/>
      </c>
      <c r="Y1103" s="47">
        <f>R1103*INDEX(FmtBlendedCogs,MATCH(F1103,FmtName,0))</f>
        <v/>
      </c>
      <c r="Z1103" s="47">
        <f>X1103-Y1103</f>
        <v/>
      </c>
    </row>
    <row r="1104">
      <c r="A1104" t="n">
        <v>43</v>
      </c>
      <c r="B1104" s="44">
        <f>FiscalStart+(A1104-1)*7</f>
        <v/>
      </c>
      <c r="C1104">
        <f>TEXT(B1104,"mmm yyyy")</f>
        <v/>
      </c>
      <c r="D1104">
        <f>"Q"&amp;(INT((A1104-1)/13)+1)</f>
        <v/>
      </c>
      <c r="E1104" t="inlineStr">
        <is>
          <t>Fitness</t>
        </is>
      </c>
      <c r="F1104">
        <f>IFERROR(INDEX(ChFormat,MATCH(E1104,ChName,0)),"")</f>
        <v/>
      </c>
      <c r="G1104" t="inlineStr">
        <is>
          <t>BC</t>
        </is>
      </c>
      <c r="H1104">
        <f>IF(A1104&lt;=NWeeks,1,0)</f>
        <v/>
      </c>
      <c r="I1104">
        <f>INDEX(ChLaunch,MATCH(E1104,ChName,0))</f>
        <v/>
      </c>
      <c r="J1104">
        <f>INDEX(ChWeeksFull,MATCH(E1104,ChName,0))</f>
        <v/>
      </c>
      <c r="K1104">
        <f>INDEX(ChRamp,MATCH(E1104,ChName,0))</f>
        <v/>
      </c>
      <c r="L1104" s="45">
        <f>MIN(1,MAX(0,(A1104-I1104+1)*RampSpeed/J1104))</f>
        <v/>
      </c>
      <c r="M1104" s="45">
        <f>IF(A1104&lt;I1104,0,IF(K1104="S-curve",L1104*L1104*(3-2*L1104),L1104))</f>
        <v/>
      </c>
      <c r="N1104" s="45">
        <f>1+(INDEX(SeasonIdx,A1104)-1)*SeasonAmp</f>
        <v/>
      </c>
      <c r="O1104" s="45">
        <f>IFERROR(INDEX(PSPct,MATCH(E1104&amp;"|"&amp;G1104,PSKey,0)),0)</f>
        <v/>
      </c>
      <c r="P1104" s="46">
        <f>INDEX(ChDoorVel,MATCH(E1104,ChName,0))*CalibScalar*(1+VelocityUplift)</f>
        <v/>
      </c>
      <c r="Q1104" s="46" t="n">
        <v>0</v>
      </c>
      <c r="R1104" s="46">
        <f>P1104*O1104*M1104*N1104*H1104</f>
        <v/>
      </c>
      <c r="S1104" s="46">
        <f>R1104*INDEX(FmtCansPerCase,MATCH(F1104,FmtName,0))</f>
        <v/>
      </c>
      <c r="T1104" s="46">
        <f>S1104/INDEX(FmtCansPerPack,MATCH(F1104,FmtName,0))</f>
        <v/>
      </c>
      <c r="U1104" s="47">
        <f>INDEX(ChBaseCP,MATCH(E1104,ChName,0))*(1+INDEX(ProvMod,MATCH(G1104,ProvCode,0)))*(1+PriceIndex)</f>
        <v/>
      </c>
      <c r="V1104" s="47">
        <f>R1104*U1104*INDEX(FmtBlendedPriceIdx,MATCH(F1104,FmtName,0))</f>
        <v/>
      </c>
      <c r="W1104" s="47">
        <f>T1104*INDEX(ProvSRP,MATCH(G1104,ProvCode,0))*(1+PriceIndex)</f>
        <v/>
      </c>
      <c r="X1104" s="47">
        <f>IF(GrossBasis="Wholesale",V1104,W1104)</f>
        <v/>
      </c>
      <c r="Y1104" s="47">
        <f>R1104*INDEX(FmtBlendedCogs,MATCH(F1104,FmtName,0))</f>
        <v/>
      </c>
      <c r="Z1104" s="47">
        <f>X1104-Y1104</f>
        <v/>
      </c>
    </row>
    <row r="1105">
      <c r="A1105" t="n">
        <v>44</v>
      </c>
      <c r="B1105" s="44">
        <f>FiscalStart+(A1105-1)*7</f>
        <v/>
      </c>
      <c r="C1105">
        <f>TEXT(B1105,"mmm yyyy")</f>
        <v/>
      </c>
      <c r="D1105">
        <f>"Q"&amp;(INT((A1105-1)/13)+1)</f>
        <v/>
      </c>
      <c r="E1105" t="inlineStr">
        <is>
          <t>Fitness</t>
        </is>
      </c>
      <c r="F1105">
        <f>IFERROR(INDEX(ChFormat,MATCH(E1105,ChName,0)),"")</f>
        <v/>
      </c>
      <c r="G1105" t="inlineStr">
        <is>
          <t>BC</t>
        </is>
      </c>
      <c r="H1105">
        <f>IF(A1105&lt;=NWeeks,1,0)</f>
        <v/>
      </c>
      <c r="I1105">
        <f>INDEX(ChLaunch,MATCH(E1105,ChName,0))</f>
        <v/>
      </c>
      <c r="J1105">
        <f>INDEX(ChWeeksFull,MATCH(E1105,ChName,0))</f>
        <v/>
      </c>
      <c r="K1105">
        <f>INDEX(ChRamp,MATCH(E1105,ChName,0))</f>
        <v/>
      </c>
      <c r="L1105" s="45">
        <f>MIN(1,MAX(0,(A1105-I1105+1)*RampSpeed/J1105))</f>
        <v/>
      </c>
      <c r="M1105" s="45">
        <f>IF(A1105&lt;I1105,0,IF(K1105="S-curve",L1105*L1105*(3-2*L1105),L1105))</f>
        <v/>
      </c>
      <c r="N1105" s="45">
        <f>1+(INDEX(SeasonIdx,A1105)-1)*SeasonAmp</f>
        <v/>
      </c>
      <c r="O1105" s="45">
        <f>IFERROR(INDEX(PSPct,MATCH(E1105&amp;"|"&amp;G1105,PSKey,0)),0)</f>
        <v/>
      </c>
      <c r="P1105" s="46">
        <f>INDEX(ChDoorVel,MATCH(E1105,ChName,0))*CalibScalar*(1+VelocityUplift)</f>
        <v/>
      </c>
      <c r="Q1105" s="46" t="n">
        <v>0</v>
      </c>
      <c r="R1105" s="46">
        <f>P1105*O1105*M1105*N1105*H1105</f>
        <v/>
      </c>
      <c r="S1105" s="46">
        <f>R1105*INDEX(FmtCansPerCase,MATCH(F1105,FmtName,0))</f>
        <v/>
      </c>
      <c r="T1105" s="46">
        <f>S1105/INDEX(FmtCansPerPack,MATCH(F1105,FmtName,0))</f>
        <v/>
      </c>
      <c r="U1105" s="47">
        <f>INDEX(ChBaseCP,MATCH(E1105,ChName,0))*(1+INDEX(ProvMod,MATCH(G1105,ProvCode,0)))*(1+PriceIndex)</f>
        <v/>
      </c>
      <c r="V1105" s="47">
        <f>R1105*U1105*INDEX(FmtBlendedPriceIdx,MATCH(F1105,FmtName,0))</f>
        <v/>
      </c>
      <c r="W1105" s="47">
        <f>T1105*INDEX(ProvSRP,MATCH(G1105,ProvCode,0))*(1+PriceIndex)</f>
        <v/>
      </c>
      <c r="X1105" s="47">
        <f>IF(GrossBasis="Wholesale",V1105,W1105)</f>
        <v/>
      </c>
      <c r="Y1105" s="47">
        <f>R1105*INDEX(FmtBlendedCogs,MATCH(F1105,FmtName,0))</f>
        <v/>
      </c>
      <c r="Z1105" s="47">
        <f>X1105-Y1105</f>
        <v/>
      </c>
    </row>
    <row r="1106">
      <c r="A1106" t="n">
        <v>45</v>
      </c>
      <c r="B1106" s="44">
        <f>FiscalStart+(A1106-1)*7</f>
        <v/>
      </c>
      <c r="C1106">
        <f>TEXT(B1106,"mmm yyyy")</f>
        <v/>
      </c>
      <c r="D1106">
        <f>"Q"&amp;(INT((A1106-1)/13)+1)</f>
        <v/>
      </c>
      <c r="E1106" t="inlineStr">
        <is>
          <t>Fitness</t>
        </is>
      </c>
      <c r="F1106">
        <f>IFERROR(INDEX(ChFormat,MATCH(E1106,ChName,0)),"")</f>
        <v/>
      </c>
      <c r="G1106" t="inlineStr">
        <is>
          <t>BC</t>
        </is>
      </c>
      <c r="H1106">
        <f>IF(A1106&lt;=NWeeks,1,0)</f>
        <v/>
      </c>
      <c r="I1106">
        <f>INDEX(ChLaunch,MATCH(E1106,ChName,0))</f>
        <v/>
      </c>
      <c r="J1106">
        <f>INDEX(ChWeeksFull,MATCH(E1106,ChName,0))</f>
        <v/>
      </c>
      <c r="K1106">
        <f>INDEX(ChRamp,MATCH(E1106,ChName,0))</f>
        <v/>
      </c>
      <c r="L1106" s="45">
        <f>MIN(1,MAX(0,(A1106-I1106+1)*RampSpeed/J1106))</f>
        <v/>
      </c>
      <c r="M1106" s="45">
        <f>IF(A1106&lt;I1106,0,IF(K1106="S-curve",L1106*L1106*(3-2*L1106),L1106))</f>
        <v/>
      </c>
      <c r="N1106" s="45">
        <f>1+(INDEX(SeasonIdx,A1106)-1)*SeasonAmp</f>
        <v/>
      </c>
      <c r="O1106" s="45">
        <f>IFERROR(INDEX(PSPct,MATCH(E1106&amp;"|"&amp;G1106,PSKey,0)),0)</f>
        <v/>
      </c>
      <c r="P1106" s="46">
        <f>INDEX(ChDoorVel,MATCH(E1106,ChName,0))*CalibScalar*(1+VelocityUplift)</f>
        <v/>
      </c>
      <c r="Q1106" s="46" t="n">
        <v>0</v>
      </c>
      <c r="R1106" s="46">
        <f>P1106*O1106*M1106*N1106*H1106</f>
        <v/>
      </c>
      <c r="S1106" s="46">
        <f>R1106*INDEX(FmtCansPerCase,MATCH(F1106,FmtName,0))</f>
        <v/>
      </c>
      <c r="T1106" s="46">
        <f>S1106/INDEX(FmtCansPerPack,MATCH(F1106,FmtName,0))</f>
        <v/>
      </c>
      <c r="U1106" s="47">
        <f>INDEX(ChBaseCP,MATCH(E1106,ChName,0))*(1+INDEX(ProvMod,MATCH(G1106,ProvCode,0)))*(1+PriceIndex)</f>
        <v/>
      </c>
      <c r="V1106" s="47">
        <f>R1106*U1106*INDEX(FmtBlendedPriceIdx,MATCH(F1106,FmtName,0))</f>
        <v/>
      </c>
      <c r="W1106" s="47">
        <f>T1106*INDEX(ProvSRP,MATCH(G1106,ProvCode,0))*(1+PriceIndex)</f>
        <v/>
      </c>
      <c r="X1106" s="47">
        <f>IF(GrossBasis="Wholesale",V1106,W1106)</f>
        <v/>
      </c>
      <c r="Y1106" s="47">
        <f>R1106*INDEX(FmtBlendedCogs,MATCH(F1106,FmtName,0))</f>
        <v/>
      </c>
      <c r="Z1106" s="47">
        <f>X1106-Y1106</f>
        <v/>
      </c>
    </row>
    <row r="1107">
      <c r="A1107" t="n">
        <v>46</v>
      </c>
      <c r="B1107" s="44">
        <f>FiscalStart+(A1107-1)*7</f>
        <v/>
      </c>
      <c r="C1107">
        <f>TEXT(B1107,"mmm yyyy")</f>
        <v/>
      </c>
      <c r="D1107">
        <f>"Q"&amp;(INT((A1107-1)/13)+1)</f>
        <v/>
      </c>
      <c r="E1107" t="inlineStr">
        <is>
          <t>Fitness</t>
        </is>
      </c>
      <c r="F1107">
        <f>IFERROR(INDEX(ChFormat,MATCH(E1107,ChName,0)),"")</f>
        <v/>
      </c>
      <c r="G1107" t="inlineStr">
        <is>
          <t>BC</t>
        </is>
      </c>
      <c r="H1107">
        <f>IF(A1107&lt;=NWeeks,1,0)</f>
        <v/>
      </c>
      <c r="I1107">
        <f>INDEX(ChLaunch,MATCH(E1107,ChName,0))</f>
        <v/>
      </c>
      <c r="J1107">
        <f>INDEX(ChWeeksFull,MATCH(E1107,ChName,0))</f>
        <v/>
      </c>
      <c r="K1107">
        <f>INDEX(ChRamp,MATCH(E1107,ChName,0))</f>
        <v/>
      </c>
      <c r="L1107" s="45">
        <f>MIN(1,MAX(0,(A1107-I1107+1)*RampSpeed/J1107))</f>
        <v/>
      </c>
      <c r="M1107" s="45">
        <f>IF(A1107&lt;I1107,0,IF(K1107="S-curve",L1107*L1107*(3-2*L1107),L1107))</f>
        <v/>
      </c>
      <c r="N1107" s="45">
        <f>1+(INDEX(SeasonIdx,A1107)-1)*SeasonAmp</f>
        <v/>
      </c>
      <c r="O1107" s="45">
        <f>IFERROR(INDEX(PSPct,MATCH(E1107&amp;"|"&amp;G1107,PSKey,0)),0)</f>
        <v/>
      </c>
      <c r="P1107" s="46">
        <f>INDEX(ChDoorVel,MATCH(E1107,ChName,0))*CalibScalar*(1+VelocityUplift)</f>
        <v/>
      </c>
      <c r="Q1107" s="46" t="n">
        <v>0</v>
      </c>
      <c r="R1107" s="46">
        <f>P1107*O1107*M1107*N1107*H1107</f>
        <v/>
      </c>
      <c r="S1107" s="46">
        <f>R1107*INDEX(FmtCansPerCase,MATCH(F1107,FmtName,0))</f>
        <v/>
      </c>
      <c r="T1107" s="46">
        <f>S1107/INDEX(FmtCansPerPack,MATCH(F1107,FmtName,0))</f>
        <v/>
      </c>
      <c r="U1107" s="47">
        <f>INDEX(ChBaseCP,MATCH(E1107,ChName,0))*(1+INDEX(ProvMod,MATCH(G1107,ProvCode,0)))*(1+PriceIndex)</f>
        <v/>
      </c>
      <c r="V1107" s="47">
        <f>R1107*U1107*INDEX(FmtBlendedPriceIdx,MATCH(F1107,FmtName,0))</f>
        <v/>
      </c>
      <c r="W1107" s="47">
        <f>T1107*INDEX(ProvSRP,MATCH(G1107,ProvCode,0))*(1+PriceIndex)</f>
        <v/>
      </c>
      <c r="X1107" s="47">
        <f>IF(GrossBasis="Wholesale",V1107,W1107)</f>
        <v/>
      </c>
      <c r="Y1107" s="47">
        <f>R1107*INDEX(FmtBlendedCogs,MATCH(F1107,FmtName,0))</f>
        <v/>
      </c>
      <c r="Z1107" s="47">
        <f>X1107-Y1107</f>
        <v/>
      </c>
    </row>
    <row r="1108">
      <c r="A1108" t="n">
        <v>47</v>
      </c>
      <c r="B1108" s="44">
        <f>FiscalStart+(A1108-1)*7</f>
        <v/>
      </c>
      <c r="C1108">
        <f>TEXT(B1108,"mmm yyyy")</f>
        <v/>
      </c>
      <c r="D1108">
        <f>"Q"&amp;(INT((A1108-1)/13)+1)</f>
        <v/>
      </c>
      <c r="E1108" t="inlineStr">
        <is>
          <t>Fitness</t>
        </is>
      </c>
      <c r="F1108">
        <f>IFERROR(INDEX(ChFormat,MATCH(E1108,ChName,0)),"")</f>
        <v/>
      </c>
      <c r="G1108" t="inlineStr">
        <is>
          <t>BC</t>
        </is>
      </c>
      <c r="H1108">
        <f>IF(A1108&lt;=NWeeks,1,0)</f>
        <v/>
      </c>
      <c r="I1108">
        <f>INDEX(ChLaunch,MATCH(E1108,ChName,0))</f>
        <v/>
      </c>
      <c r="J1108">
        <f>INDEX(ChWeeksFull,MATCH(E1108,ChName,0))</f>
        <v/>
      </c>
      <c r="K1108">
        <f>INDEX(ChRamp,MATCH(E1108,ChName,0))</f>
        <v/>
      </c>
      <c r="L1108" s="45">
        <f>MIN(1,MAX(0,(A1108-I1108+1)*RampSpeed/J1108))</f>
        <v/>
      </c>
      <c r="M1108" s="45">
        <f>IF(A1108&lt;I1108,0,IF(K1108="S-curve",L1108*L1108*(3-2*L1108),L1108))</f>
        <v/>
      </c>
      <c r="N1108" s="45">
        <f>1+(INDEX(SeasonIdx,A1108)-1)*SeasonAmp</f>
        <v/>
      </c>
      <c r="O1108" s="45">
        <f>IFERROR(INDEX(PSPct,MATCH(E1108&amp;"|"&amp;G1108,PSKey,0)),0)</f>
        <v/>
      </c>
      <c r="P1108" s="46">
        <f>INDEX(ChDoorVel,MATCH(E1108,ChName,0))*CalibScalar*(1+VelocityUplift)</f>
        <v/>
      </c>
      <c r="Q1108" s="46" t="n">
        <v>0</v>
      </c>
      <c r="R1108" s="46">
        <f>P1108*O1108*M1108*N1108*H1108</f>
        <v/>
      </c>
      <c r="S1108" s="46">
        <f>R1108*INDEX(FmtCansPerCase,MATCH(F1108,FmtName,0))</f>
        <v/>
      </c>
      <c r="T1108" s="46">
        <f>S1108/INDEX(FmtCansPerPack,MATCH(F1108,FmtName,0))</f>
        <v/>
      </c>
      <c r="U1108" s="47">
        <f>INDEX(ChBaseCP,MATCH(E1108,ChName,0))*(1+INDEX(ProvMod,MATCH(G1108,ProvCode,0)))*(1+PriceIndex)</f>
        <v/>
      </c>
      <c r="V1108" s="47">
        <f>R1108*U1108*INDEX(FmtBlendedPriceIdx,MATCH(F1108,FmtName,0))</f>
        <v/>
      </c>
      <c r="W1108" s="47">
        <f>T1108*INDEX(ProvSRP,MATCH(G1108,ProvCode,0))*(1+PriceIndex)</f>
        <v/>
      </c>
      <c r="X1108" s="47">
        <f>IF(GrossBasis="Wholesale",V1108,W1108)</f>
        <v/>
      </c>
      <c r="Y1108" s="47">
        <f>R1108*INDEX(FmtBlendedCogs,MATCH(F1108,FmtName,0))</f>
        <v/>
      </c>
      <c r="Z1108" s="47">
        <f>X1108-Y1108</f>
        <v/>
      </c>
    </row>
    <row r="1109">
      <c r="A1109" t="n">
        <v>48</v>
      </c>
      <c r="B1109" s="44">
        <f>FiscalStart+(A1109-1)*7</f>
        <v/>
      </c>
      <c r="C1109">
        <f>TEXT(B1109,"mmm yyyy")</f>
        <v/>
      </c>
      <c r="D1109">
        <f>"Q"&amp;(INT((A1109-1)/13)+1)</f>
        <v/>
      </c>
      <c r="E1109" t="inlineStr">
        <is>
          <t>Fitness</t>
        </is>
      </c>
      <c r="F1109">
        <f>IFERROR(INDEX(ChFormat,MATCH(E1109,ChName,0)),"")</f>
        <v/>
      </c>
      <c r="G1109" t="inlineStr">
        <is>
          <t>BC</t>
        </is>
      </c>
      <c r="H1109">
        <f>IF(A1109&lt;=NWeeks,1,0)</f>
        <v/>
      </c>
      <c r="I1109">
        <f>INDEX(ChLaunch,MATCH(E1109,ChName,0))</f>
        <v/>
      </c>
      <c r="J1109">
        <f>INDEX(ChWeeksFull,MATCH(E1109,ChName,0))</f>
        <v/>
      </c>
      <c r="K1109">
        <f>INDEX(ChRamp,MATCH(E1109,ChName,0))</f>
        <v/>
      </c>
      <c r="L1109" s="45">
        <f>MIN(1,MAX(0,(A1109-I1109+1)*RampSpeed/J1109))</f>
        <v/>
      </c>
      <c r="M1109" s="45">
        <f>IF(A1109&lt;I1109,0,IF(K1109="S-curve",L1109*L1109*(3-2*L1109),L1109))</f>
        <v/>
      </c>
      <c r="N1109" s="45">
        <f>1+(INDEX(SeasonIdx,A1109)-1)*SeasonAmp</f>
        <v/>
      </c>
      <c r="O1109" s="45">
        <f>IFERROR(INDEX(PSPct,MATCH(E1109&amp;"|"&amp;G1109,PSKey,0)),0)</f>
        <v/>
      </c>
      <c r="P1109" s="46">
        <f>INDEX(ChDoorVel,MATCH(E1109,ChName,0))*CalibScalar*(1+VelocityUplift)</f>
        <v/>
      </c>
      <c r="Q1109" s="46" t="n">
        <v>0</v>
      </c>
      <c r="R1109" s="46">
        <f>P1109*O1109*M1109*N1109*H1109</f>
        <v/>
      </c>
      <c r="S1109" s="46">
        <f>R1109*INDEX(FmtCansPerCase,MATCH(F1109,FmtName,0))</f>
        <v/>
      </c>
      <c r="T1109" s="46">
        <f>S1109/INDEX(FmtCansPerPack,MATCH(F1109,FmtName,0))</f>
        <v/>
      </c>
      <c r="U1109" s="47">
        <f>INDEX(ChBaseCP,MATCH(E1109,ChName,0))*(1+INDEX(ProvMod,MATCH(G1109,ProvCode,0)))*(1+PriceIndex)</f>
        <v/>
      </c>
      <c r="V1109" s="47">
        <f>R1109*U1109*INDEX(FmtBlendedPriceIdx,MATCH(F1109,FmtName,0))</f>
        <v/>
      </c>
      <c r="W1109" s="47">
        <f>T1109*INDEX(ProvSRP,MATCH(G1109,ProvCode,0))*(1+PriceIndex)</f>
        <v/>
      </c>
      <c r="X1109" s="47">
        <f>IF(GrossBasis="Wholesale",V1109,W1109)</f>
        <v/>
      </c>
      <c r="Y1109" s="47">
        <f>R1109*INDEX(FmtBlendedCogs,MATCH(F1109,FmtName,0))</f>
        <v/>
      </c>
      <c r="Z1109" s="47">
        <f>X1109-Y1109</f>
        <v/>
      </c>
    </row>
    <row r="1110">
      <c r="A1110" t="n">
        <v>49</v>
      </c>
      <c r="B1110" s="44">
        <f>FiscalStart+(A1110-1)*7</f>
        <v/>
      </c>
      <c r="C1110">
        <f>TEXT(B1110,"mmm yyyy")</f>
        <v/>
      </c>
      <c r="D1110">
        <f>"Q"&amp;(INT((A1110-1)/13)+1)</f>
        <v/>
      </c>
      <c r="E1110" t="inlineStr">
        <is>
          <t>Fitness</t>
        </is>
      </c>
      <c r="F1110">
        <f>IFERROR(INDEX(ChFormat,MATCH(E1110,ChName,0)),"")</f>
        <v/>
      </c>
      <c r="G1110" t="inlineStr">
        <is>
          <t>BC</t>
        </is>
      </c>
      <c r="H1110">
        <f>IF(A1110&lt;=NWeeks,1,0)</f>
        <v/>
      </c>
      <c r="I1110">
        <f>INDEX(ChLaunch,MATCH(E1110,ChName,0))</f>
        <v/>
      </c>
      <c r="J1110">
        <f>INDEX(ChWeeksFull,MATCH(E1110,ChName,0))</f>
        <v/>
      </c>
      <c r="K1110">
        <f>INDEX(ChRamp,MATCH(E1110,ChName,0))</f>
        <v/>
      </c>
      <c r="L1110" s="45">
        <f>MIN(1,MAX(0,(A1110-I1110+1)*RampSpeed/J1110))</f>
        <v/>
      </c>
      <c r="M1110" s="45">
        <f>IF(A1110&lt;I1110,0,IF(K1110="S-curve",L1110*L1110*(3-2*L1110),L1110))</f>
        <v/>
      </c>
      <c r="N1110" s="45">
        <f>1+(INDEX(SeasonIdx,A1110)-1)*SeasonAmp</f>
        <v/>
      </c>
      <c r="O1110" s="45">
        <f>IFERROR(INDEX(PSPct,MATCH(E1110&amp;"|"&amp;G1110,PSKey,0)),0)</f>
        <v/>
      </c>
      <c r="P1110" s="46">
        <f>INDEX(ChDoorVel,MATCH(E1110,ChName,0))*CalibScalar*(1+VelocityUplift)</f>
        <v/>
      </c>
      <c r="Q1110" s="46" t="n">
        <v>0</v>
      </c>
      <c r="R1110" s="46">
        <f>P1110*O1110*M1110*N1110*H1110</f>
        <v/>
      </c>
      <c r="S1110" s="46">
        <f>R1110*INDEX(FmtCansPerCase,MATCH(F1110,FmtName,0))</f>
        <v/>
      </c>
      <c r="T1110" s="46">
        <f>S1110/INDEX(FmtCansPerPack,MATCH(F1110,FmtName,0))</f>
        <v/>
      </c>
      <c r="U1110" s="47">
        <f>INDEX(ChBaseCP,MATCH(E1110,ChName,0))*(1+INDEX(ProvMod,MATCH(G1110,ProvCode,0)))*(1+PriceIndex)</f>
        <v/>
      </c>
      <c r="V1110" s="47">
        <f>R1110*U1110*INDEX(FmtBlendedPriceIdx,MATCH(F1110,FmtName,0))</f>
        <v/>
      </c>
      <c r="W1110" s="47">
        <f>T1110*INDEX(ProvSRP,MATCH(G1110,ProvCode,0))*(1+PriceIndex)</f>
        <v/>
      </c>
      <c r="X1110" s="47">
        <f>IF(GrossBasis="Wholesale",V1110,W1110)</f>
        <v/>
      </c>
      <c r="Y1110" s="47">
        <f>R1110*INDEX(FmtBlendedCogs,MATCH(F1110,FmtName,0))</f>
        <v/>
      </c>
      <c r="Z1110" s="47">
        <f>X1110-Y1110</f>
        <v/>
      </c>
    </row>
    <row r="1111">
      <c r="A1111" t="n">
        <v>50</v>
      </c>
      <c r="B1111" s="44">
        <f>FiscalStart+(A1111-1)*7</f>
        <v/>
      </c>
      <c r="C1111">
        <f>TEXT(B1111,"mmm yyyy")</f>
        <v/>
      </c>
      <c r="D1111">
        <f>"Q"&amp;(INT((A1111-1)/13)+1)</f>
        <v/>
      </c>
      <c r="E1111" t="inlineStr">
        <is>
          <t>Fitness</t>
        </is>
      </c>
      <c r="F1111">
        <f>IFERROR(INDEX(ChFormat,MATCH(E1111,ChName,0)),"")</f>
        <v/>
      </c>
      <c r="G1111" t="inlineStr">
        <is>
          <t>BC</t>
        </is>
      </c>
      <c r="H1111">
        <f>IF(A1111&lt;=NWeeks,1,0)</f>
        <v/>
      </c>
      <c r="I1111">
        <f>INDEX(ChLaunch,MATCH(E1111,ChName,0))</f>
        <v/>
      </c>
      <c r="J1111">
        <f>INDEX(ChWeeksFull,MATCH(E1111,ChName,0))</f>
        <v/>
      </c>
      <c r="K1111">
        <f>INDEX(ChRamp,MATCH(E1111,ChName,0))</f>
        <v/>
      </c>
      <c r="L1111" s="45">
        <f>MIN(1,MAX(0,(A1111-I1111+1)*RampSpeed/J1111))</f>
        <v/>
      </c>
      <c r="M1111" s="45">
        <f>IF(A1111&lt;I1111,0,IF(K1111="S-curve",L1111*L1111*(3-2*L1111),L1111))</f>
        <v/>
      </c>
      <c r="N1111" s="45">
        <f>1+(INDEX(SeasonIdx,A1111)-1)*SeasonAmp</f>
        <v/>
      </c>
      <c r="O1111" s="45">
        <f>IFERROR(INDEX(PSPct,MATCH(E1111&amp;"|"&amp;G1111,PSKey,0)),0)</f>
        <v/>
      </c>
      <c r="P1111" s="46">
        <f>INDEX(ChDoorVel,MATCH(E1111,ChName,0))*CalibScalar*(1+VelocityUplift)</f>
        <v/>
      </c>
      <c r="Q1111" s="46" t="n">
        <v>0</v>
      </c>
      <c r="R1111" s="46">
        <f>P1111*O1111*M1111*N1111*H1111</f>
        <v/>
      </c>
      <c r="S1111" s="46">
        <f>R1111*INDEX(FmtCansPerCase,MATCH(F1111,FmtName,0))</f>
        <v/>
      </c>
      <c r="T1111" s="46">
        <f>S1111/INDEX(FmtCansPerPack,MATCH(F1111,FmtName,0))</f>
        <v/>
      </c>
      <c r="U1111" s="47">
        <f>INDEX(ChBaseCP,MATCH(E1111,ChName,0))*(1+INDEX(ProvMod,MATCH(G1111,ProvCode,0)))*(1+PriceIndex)</f>
        <v/>
      </c>
      <c r="V1111" s="47">
        <f>R1111*U1111*INDEX(FmtBlendedPriceIdx,MATCH(F1111,FmtName,0))</f>
        <v/>
      </c>
      <c r="W1111" s="47">
        <f>T1111*INDEX(ProvSRP,MATCH(G1111,ProvCode,0))*(1+PriceIndex)</f>
        <v/>
      </c>
      <c r="X1111" s="47">
        <f>IF(GrossBasis="Wholesale",V1111,W1111)</f>
        <v/>
      </c>
      <c r="Y1111" s="47">
        <f>R1111*INDEX(FmtBlendedCogs,MATCH(F1111,FmtName,0))</f>
        <v/>
      </c>
      <c r="Z1111" s="47">
        <f>X1111-Y1111</f>
        <v/>
      </c>
    </row>
    <row r="1112">
      <c r="A1112" t="n">
        <v>51</v>
      </c>
      <c r="B1112" s="44">
        <f>FiscalStart+(A1112-1)*7</f>
        <v/>
      </c>
      <c r="C1112">
        <f>TEXT(B1112,"mmm yyyy")</f>
        <v/>
      </c>
      <c r="D1112">
        <f>"Q"&amp;(INT((A1112-1)/13)+1)</f>
        <v/>
      </c>
      <c r="E1112" t="inlineStr">
        <is>
          <t>Fitness</t>
        </is>
      </c>
      <c r="F1112">
        <f>IFERROR(INDEX(ChFormat,MATCH(E1112,ChName,0)),"")</f>
        <v/>
      </c>
      <c r="G1112" t="inlineStr">
        <is>
          <t>BC</t>
        </is>
      </c>
      <c r="H1112">
        <f>IF(A1112&lt;=NWeeks,1,0)</f>
        <v/>
      </c>
      <c r="I1112">
        <f>INDEX(ChLaunch,MATCH(E1112,ChName,0))</f>
        <v/>
      </c>
      <c r="J1112">
        <f>INDEX(ChWeeksFull,MATCH(E1112,ChName,0))</f>
        <v/>
      </c>
      <c r="K1112">
        <f>INDEX(ChRamp,MATCH(E1112,ChName,0))</f>
        <v/>
      </c>
      <c r="L1112" s="45">
        <f>MIN(1,MAX(0,(A1112-I1112+1)*RampSpeed/J1112))</f>
        <v/>
      </c>
      <c r="M1112" s="45">
        <f>IF(A1112&lt;I1112,0,IF(K1112="S-curve",L1112*L1112*(3-2*L1112),L1112))</f>
        <v/>
      </c>
      <c r="N1112" s="45">
        <f>1+(INDEX(SeasonIdx,A1112)-1)*SeasonAmp</f>
        <v/>
      </c>
      <c r="O1112" s="45">
        <f>IFERROR(INDEX(PSPct,MATCH(E1112&amp;"|"&amp;G1112,PSKey,0)),0)</f>
        <v/>
      </c>
      <c r="P1112" s="46">
        <f>INDEX(ChDoorVel,MATCH(E1112,ChName,0))*CalibScalar*(1+VelocityUplift)</f>
        <v/>
      </c>
      <c r="Q1112" s="46" t="n">
        <v>0</v>
      </c>
      <c r="R1112" s="46">
        <f>P1112*O1112*M1112*N1112*H1112</f>
        <v/>
      </c>
      <c r="S1112" s="46">
        <f>R1112*INDEX(FmtCansPerCase,MATCH(F1112,FmtName,0))</f>
        <v/>
      </c>
      <c r="T1112" s="46">
        <f>S1112/INDEX(FmtCansPerPack,MATCH(F1112,FmtName,0))</f>
        <v/>
      </c>
      <c r="U1112" s="47">
        <f>INDEX(ChBaseCP,MATCH(E1112,ChName,0))*(1+INDEX(ProvMod,MATCH(G1112,ProvCode,0)))*(1+PriceIndex)</f>
        <v/>
      </c>
      <c r="V1112" s="47">
        <f>R1112*U1112*INDEX(FmtBlendedPriceIdx,MATCH(F1112,FmtName,0))</f>
        <v/>
      </c>
      <c r="W1112" s="47">
        <f>T1112*INDEX(ProvSRP,MATCH(G1112,ProvCode,0))*(1+PriceIndex)</f>
        <v/>
      </c>
      <c r="X1112" s="47">
        <f>IF(GrossBasis="Wholesale",V1112,W1112)</f>
        <v/>
      </c>
      <c r="Y1112" s="47">
        <f>R1112*INDEX(FmtBlendedCogs,MATCH(F1112,FmtName,0))</f>
        <v/>
      </c>
      <c r="Z1112" s="47">
        <f>X1112-Y1112</f>
        <v/>
      </c>
    </row>
    <row r="1113">
      <c r="A1113" t="n">
        <v>52</v>
      </c>
      <c r="B1113" s="44">
        <f>FiscalStart+(A1113-1)*7</f>
        <v/>
      </c>
      <c r="C1113">
        <f>TEXT(B1113,"mmm yyyy")</f>
        <v/>
      </c>
      <c r="D1113">
        <f>"Q"&amp;(INT((A1113-1)/13)+1)</f>
        <v/>
      </c>
      <c r="E1113" t="inlineStr">
        <is>
          <t>Fitness</t>
        </is>
      </c>
      <c r="F1113">
        <f>IFERROR(INDEX(ChFormat,MATCH(E1113,ChName,0)),"")</f>
        <v/>
      </c>
      <c r="G1113" t="inlineStr">
        <is>
          <t>BC</t>
        </is>
      </c>
      <c r="H1113">
        <f>IF(A1113&lt;=NWeeks,1,0)</f>
        <v/>
      </c>
      <c r="I1113">
        <f>INDEX(ChLaunch,MATCH(E1113,ChName,0))</f>
        <v/>
      </c>
      <c r="J1113">
        <f>INDEX(ChWeeksFull,MATCH(E1113,ChName,0))</f>
        <v/>
      </c>
      <c r="K1113">
        <f>INDEX(ChRamp,MATCH(E1113,ChName,0))</f>
        <v/>
      </c>
      <c r="L1113" s="45">
        <f>MIN(1,MAX(0,(A1113-I1113+1)*RampSpeed/J1113))</f>
        <v/>
      </c>
      <c r="M1113" s="45">
        <f>IF(A1113&lt;I1113,0,IF(K1113="S-curve",L1113*L1113*(3-2*L1113),L1113))</f>
        <v/>
      </c>
      <c r="N1113" s="45">
        <f>1+(INDEX(SeasonIdx,A1113)-1)*SeasonAmp</f>
        <v/>
      </c>
      <c r="O1113" s="45">
        <f>IFERROR(INDEX(PSPct,MATCH(E1113&amp;"|"&amp;G1113,PSKey,0)),0)</f>
        <v/>
      </c>
      <c r="P1113" s="46">
        <f>INDEX(ChDoorVel,MATCH(E1113,ChName,0))*CalibScalar*(1+VelocityUplift)</f>
        <v/>
      </c>
      <c r="Q1113" s="46" t="n">
        <v>0</v>
      </c>
      <c r="R1113" s="46">
        <f>P1113*O1113*M1113*N1113*H1113</f>
        <v/>
      </c>
      <c r="S1113" s="46">
        <f>R1113*INDEX(FmtCansPerCase,MATCH(F1113,FmtName,0))</f>
        <v/>
      </c>
      <c r="T1113" s="46">
        <f>S1113/INDEX(FmtCansPerPack,MATCH(F1113,FmtName,0))</f>
        <v/>
      </c>
      <c r="U1113" s="47">
        <f>INDEX(ChBaseCP,MATCH(E1113,ChName,0))*(1+INDEX(ProvMod,MATCH(G1113,ProvCode,0)))*(1+PriceIndex)</f>
        <v/>
      </c>
      <c r="V1113" s="47">
        <f>R1113*U1113*INDEX(FmtBlendedPriceIdx,MATCH(F1113,FmtName,0))</f>
        <v/>
      </c>
      <c r="W1113" s="47">
        <f>T1113*INDEX(ProvSRP,MATCH(G1113,ProvCode,0))*(1+PriceIndex)</f>
        <v/>
      </c>
      <c r="X1113" s="47">
        <f>IF(GrossBasis="Wholesale",V1113,W1113)</f>
        <v/>
      </c>
      <c r="Y1113" s="47">
        <f>R1113*INDEX(FmtBlendedCogs,MATCH(F1113,FmtName,0))</f>
        <v/>
      </c>
      <c r="Z1113" s="47">
        <f>X1113-Y1113</f>
        <v/>
      </c>
    </row>
    <row r="1114">
      <c r="A1114" t="n">
        <v>53</v>
      </c>
      <c r="B1114" s="44">
        <f>FiscalStart+(A1114-1)*7</f>
        <v/>
      </c>
      <c r="C1114">
        <f>TEXT(B1114,"mmm yyyy")</f>
        <v/>
      </c>
      <c r="D1114">
        <f>"Q"&amp;(INT((A1114-1)/13)+1)</f>
        <v/>
      </c>
      <c r="E1114" t="inlineStr">
        <is>
          <t>Fitness</t>
        </is>
      </c>
      <c r="F1114">
        <f>IFERROR(INDEX(ChFormat,MATCH(E1114,ChName,0)),"")</f>
        <v/>
      </c>
      <c r="G1114" t="inlineStr">
        <is>
          <t>BC</t>
        </is>
      </c>
      <c r="H1114">
        <f>IF(A1114&lt;=NWeeks,1,0)</f>
        <v/>
      </c>
      <c r="I1114">
        <f>INDEX(ChLaunch,MATCH(E1114,ChName,0))</f>
        <v/>
      </c>
      <c r="J1114">
        <f>INDEX(ChWeeksFull,MATCH(E1114,ChName,0))</f>
        <v/>
      </c>
      <c r="K1114">
        <f>INDEX(ChRamp,MATCH(E1114,ChName,0))</f>
        <v/>
      </c>
      <c r="L1114" s="45">
        <f>MIN(1,MAX(0,(A1114-I1114+1)*RampSpeed/J1114))</f>
        <v/>
      </c>
      <c r="M1114" s="45">
        <f>IF(A1114&lt;I1114,0,IF(K1114="S-curve",L1114*L1114*(3-2*L1114),L1114))</f>
        <v/>
      </c>
      <c r="N1114" s="45">
        <f>1+(INDEX(SeasonIdx,A1114)-1)*SeasonAmp</f>
        <v/>
      </c>
      <c r="O1114" s="45">
        <f>IFERROR(INDEX(PSPct,MATCH(E1114&amp;"|"&amp;G1114,PSKey,0)),0)</f>
        <v/>
      </c>
      <c r="P1114" s="46">
        <f>INDEX(ChDoorVel,MATCH(E1114,ChName,0))*CalibScalar*(1+VelocityUplift)</f>
        <v/>
      </c>
      <c r="Q1114" s="46" t="n">
        <v>0</v>
      </c>
      <c r="R1114" s="46">
        <f>P1114*O1114*M1114*N1114*H1114</f>
        <v/>
      </c>
      <c r="S1114" s="46">
        <f>R1114*INDEX(FmtCansPerCase,MATCH(F1114,FmtName,0))</f>
        <v/>
      </c>
      <c r="T1114" s="46">
        <f>S1114/INDEX(FmtCansPerPack,MATCH(F1114,FmtName,0))</f>
        <v/>
      </c>
      <c r="U1114" s="47">
        <f>INDEX(ChBaseCP,MATCH(E1114,ChName,0))*(1+INDEX(ProvMod,MATCH(G1114,ProvCode,0)))*(1+PriceIndex)</f>
        <v/>
      </c>
      <c r="V1114" s="47">
        <f>R1114*U1114*INDEX(FmtBlendedPriceIdx,MATCH(F1114,FmtName,0))</f>
        <v/>
      </c>
      <c r="W1114" s="47">
        <f>T1114*INDEX(ProvSRP,MATCH(G1114,ProvCode,0))*(1+PriceIndex)</f>
        <v/>
      </c>
      <c r="X1114" s="47">
        <f>IF(GrossBasis="Wholesale",V1114,W1114)</f>
        <v/>
      </c>
      <c r="Y1114" s="47">
        <f>R1114*INDEX(FmtBlendedCogs,MATCH(F1114,FmtName,0))</f>
        <v/>
      </c>
      <c r="Z1114" s="47">
        <f>X1114-Y1114</f>
        <v/>
      </c>
    </row>
    <row r="1115">
      <c r="A1115" t="n">
        <v>1</v>
      </c>
      <c r="B1115" s="44">
        <f>FiscalStart+(A1115-1)*7</f>
        <v/>
      </c>
      <c r="C1115">
        <f>TEXT(B1115,"mmm yyyy")</f>
        <v/>
      </c>
      <c r="D1115">
        <f>"Q"&amp;(INT((A1115-1)/13)+1)</f>
        <v/>
      </c>
      <c r="E1115" t="inlineStr">
        <is>
          <t>Fitness</t>
        </is>
      </c>
      <c r="F1115">
        <f>IFERROR(INDEX(ChFormat,MATCH(E1115,ChName,0)),"")</f>
        <v/>
      </c>
      <c r="G1115" t="inlineStr">
        <is>
          <t>AB</t>
        </is>
      </c>
      <c r="H1115">
        <f>IF(A1115&lt;=NWeeks,1,0)</f>
        <v/>
      </c>
      <c r="I1115">
        <f>INDEX(ChLaunch,MATCH(E1115,ChName,0))</f>
        <v/>
      </c>
      <c r="J1115">
        <f>INDEX(ChWeeksFull,MATCH(E1115,ChName,0))</f>
        <v/>
      </c>
      <c r="K1115">
        <f>INDEX(ChRamp,MATCH(E1115,ChName,0))</f>
        <v/>
      </c>
      <c r="L1115" s="45">
        <f>MIN(1,MAX(0,(A1115-I1115+1)*RampSpeed/J1115))</f>
        <v/>
      </c>
      <c r="M1115" s="45">
        <f>IF(A1115&lt;I1115,0,IF(K1115="S-curve",L1115*L1115*(3-2*L1115),L1115))</f>
        <v/>
      </c>
      <c r="N1115" s="45">
        <f>1+(INDEX(SeasonIdx,A1115)-1)*SeasonAmp</f>
        <v/>
      </c>
      <c r="O1115" s="45">
        <f>IFERROR(INDEX(PSPct,MATCH(E1115&amp;"|"&amp;G1115,PSKey,0)),0)</f>
        <v/>
      </c>
      <c r="P1115" s="46">
        <f>INDEX(ChDoorVel,MATCH(E1115,ChName,0))*CalibScalar*(1+VelocityUplift)</f>
        <v/>
      </c>
      <c r="Q1115" s="46" t="n">
        <v>0</v>
      </c>
      <c r="R1115" s="46">
        <f>P1115*O1115*M1115*N1115*H1115</f>
        <v/>
      </c>
      <c r="S1115" s="46">
        <f>R1115*INDEX(FmtCansPerCase,MATCH(F1115,FmtName,0))</f>
        <v/>
      </c>
      <c r="T1115" s="46">
        <f>S1115/INDEX(FmtCansPerPack,MATCH(F1115,FmtName,0))</f>
        <v/>
      </c>
      <c r="U1115" s="47">
        <f>INDEX(ChBaseCP,MATCH(E1115,ChName,0))*(1+INDEX(ProvMod,MATCH(G1115,ProvCode,0)))*(1+PriceIndex)</f>
        <v/>
      </c>
      <c r="V1115" s="47">
        <f>R1115*U1115*INDEX(FmtBlendedPriceIdx,MATCH(F1115,FmtName,0))</f>
        <v/>
      </c>
      <c r="W1115" s="47">
        <f>T1115*INDEX(ProvSRP,MATCH(G1115,ProvCode,0))*(1+PriceIndex)</f>
        <v/>
      </c>
      <c r="X1115" s="47">
        <f>IF(GrossBasis="Wholesale",V1115,W1115)</f>
        <v/>
      </c>
      <c r="Y1115" s="47">
        <f>R1115*INDEX(FmtBlendedCogs,MATCH(F1115,FmtName,0))</f>
        <v/>
      </c>
      <c r="Z1115" s="47">
        <f>X1115-Y1115</f>
        <v/>
      </c>
    </row>
    <row r="1116">
      <c r="A1116" t="n">
        <v>2</v>
      </c>
      <c r="B1116" s="44">
        <f>FiscalStart+(A1116-1)*7</f>
        <v/>
      </c>
      <c r="C1116">
        <f>TEXT(B1116,"mmm yyyy")</f>
        <v/>
      </c>
      <c r="D1116">
        <f>"Q"&amp;(INT((A1116-1)/13)+1)</f>
        <v/>
      </c>
      <c r="E1116" t="inlineStr">
        <is>
          <t>Fitness</t>
        </is>
      </c>
      <c r="F1116">
        <f>IFERROR(INDEX(ChFormat,MATCH(E1116,ChName,0)),"")</f>
        <v/>
      </c>
      <c r="G1116" t="inlineStr">
        <is>
          <t>AB</t>
        </is>
      </c>
      <c r="H1116">
        <f>IF(A1116&lt;=NWeeks,1,0)</f>
        <v/>
      </c>
      <c r="I1116">
        <f>INDEX(ChLaunch,MATCH(E1116,ChName,0))</f>
        <v/>
      </c>
      <c r="J1116">
        <f>INDEX(ChWeeksFull,MATCH(E1116,ChName,0))</f>
        <v/>
      </c>
      <c r="K1116">
        <f>INDEX(ChRamp,MATCH(E1116,ChName,0))</f>
        <v/>
      </c>
      <c r="L1116" s="45">
        <f>MIN(1,MAX(0,(A1116-I1116+1)*RampSpeed/J1116))</f>
        <v/>
      </c>
      <c r="M1116" s="45">
        <f>IF(A1116&lt;I1116,0,IF(K1116="S-curve",L1116*L1116*(3-2*L1116),L1116))</f>
        <v/>
      </c>
      <c r="N1116" s="45">
        <f>1+(INDEX(SeasonIdx,A1116)-1)*SeasonAmp</f>
        <v/>
      </c>
      <c r="O1116" s="45">
        <f>IFERROR(INDEX(PSPct,MATCH(E1116&amp;"|"&amp;G1116,PSKey,0)),0)</f>
        <v/>
      </c>
      <c r="P1116" s="46">
        <f>INDEX(ChDoorVel,MATCH(E1116,ChName,0))*CalibScalar*(1+VelocityUplift)</f>
        <v/>
      </c>
      <c r="Q1116" s="46" t="n">
        <v>0</v>
      </c>
      <c r="R1116" s="46">
        <f>P1116*O1116*M1116*N1116*H1116</f>
        <v/>
      </c>
      <c r="S1116" s="46">
        <f>R1116*INDEX(FmtCansPerCase,MATCH(F1116,FmtName,0))</f>
        <v/>
      </c>
      <c r="T1116" s="46">
        <f>S1116/INDEX(FmtCansPerPack,MATCH(F1116,FmtName,0))</f>
        <v/>
      </c>
      <c r="U1116" s="47">
        <f>INDEX(ChBaseCP,MATCH(E1116,ChName,0))*(1+INDEX(ProvMod,MATCH(G1116,ProvCode,0)))*(1+PriceIndex)</f>
        <v/>
      </c>
      <c r="V1116" s="47">
        <f>R1116*U1116*INDEX(FmtBlendedPriceIdx,MATCH(F1116,FmtName,0))</f>
        <v/>
      </c>
      <c r="W1116" s="47">
        <f>T1116*INDEX(ProvSRP,MATCH(G1116,ProvCode,0))*(1+PriceIndex)</f>
        <v/>
      </c>
      <c r="X1116" s="47">
        <f>IF(GrossBasis="Wholesale",V1116,W1116)</f>
        <v/>
      </c>
      <c r="Y1116" s="47">
        <f>R1116*INDEX(FmtBlendedCogs,MATCH(F1116,FmtName,0))</f>
        <v/>
      </c>
      <c r="Z1116" s="47">
        <f>X1116-Y1116</f>
        <v/>
      </c>
    </row>
    <row r="1117">
      <c r="A1117" t="n">
        <v>3</v>
      </c>
      <c r="B1117" s="44">
        <f>FiscalStart+(A1117-1)*7</f>
        <v/>
      </c>
      <c r="C1117">
        <f>TEXT(B1117,"mmm yyyy")</f>
        <v/>
      </c>
      <c r="D1117">
        <f>"Q"&amp;(INT((A1117-1)/13)+1)</f>
        <v/>
      </c>
      <c r="E1117" t="inlineStr">
        <is>
          <t>Fitness</t>
        </is>
      </c>
      <c r="F1117">
        <f>IFERROR(INDEX(ChFormat,MATCH(E1117,ChName,0)),"")</f>
        <v/>
      </c>
      <c r="G1117" t="inlineStr">
        <is>
          <t>AB</t>
        </is>
      </c>
      <c r="H1117">
        <f>IF(A1117&lt;=NWeeks,1,0)</f>
        <v/>
      </c>
      <c r="I1117">
        <f>INDEX(ChLaunch,MATCH(E1117,ChName,0))</f>
        <v/>
      </c>
      <c r="J1117">
        <f>INDEX(ChWeeksFull,MATCH(E1117,ChName,0))</f>
        <v/>
      </c>
      <c r="K1117">
        <f>INDEX(ChRamp,MATCH(E1117,ChName,0))</f>
        <v/>
      </c>
      <c r="L1117" s="45">
        <f>MIN(1,MAX(0,(A1117-I1117+1)*RampSpeed/J1117))</f>
        <v/>
      </c>
      <c r="M1117" s="45">
        <f>IF(A1117&lt;I1117,0,IF(K1117="S-curve",L1117*L1117*(3-2*L1117),L1117))</f>
        <v/>
      </c>
      <c r="N1117" s="45">
        <f>1+(INDEX(SeasonIdx,A1117)-1)*SeasonAmp</f>
        <v/>
      </c>
      <c r="O1117" s="45">
        <f>IFERROR(INDEX(PSPct,MATCH(E1117&amp;"|"&amp;G1117,PSKey,0)),0)</f>
        <v/>
      </c>
      <c r="P1117" s="46">
        <f>INDEX(ChDoorVel,MATCH(E1117,ChName,0))*CalibScalar*(1+VelocityUplift)</f>
        <v/>
      </c>
      <c r="Q1117" s="46" t="n">
        <v>0</v>
      </c>
      <c r="R1117" s="46">
        <f>P1117*O1117*M1117*N1117*H1117</f>
        <v/>
      </c>
      <c r="S1117" s="46">
        <f>R1117*INDEX(FmtCansPerCase,MATCH(F1117,FmtName,0))</f>
        <v/>
      </c>
      <c r="T1117" s="46">
        <f>S1117/INDEX(FmtCansPerPack,MATCH(F1117,FmtName,0))</f>
        <v/>
      </c>
      <c r="U1117" s="47">
        <f>INDEX(ChBaseCP,MATCH(E1117,ChName,0))*(1+INDEX(ProvMod,MATCH(G1117,ProvCode,0)))*(1+PriceIndex)</f>
        <v/>
      </c>
      <c r="V1117" s="47">
        <f>R1117*U1117*INDEX(FmtBlendedPriceIdx,MATCH(F1117,FmtName,0))</f>
        <v/>
      </c>
      <c r="W1117" s="47">
        <f>T1117*INDEX(ProvSRP,MATCH(G1117,ProvCode,0))*(1+PriceIndex)</f>
        <v/>
      </c>
      <c r="X1117" s="47">
        <f>IF(GrossBasis="Wholesale",V1117,W1117)</f>
        <v/>
      </c>
      <c r="Y1117" s="47">
        <f>R1117*INDEX(FmtBlendedCogs,MATCH(F1117,FmtName,0))</f>
        <v/>
      </c>
      <c r="Z1117" s="47">
        <f>X1117-Y1117</f>
        <v/>
      </c>
    </row>
    <row r="1118">
      <c r="A1118" t="n">
        <v>4</v>
      </c>
      <c r="B1118" s="44">
        <f>FiscalStart+(A1118-1)*7</f>
        <v/>
      </c>
      <c r="C1118">
        <f>TEXT(B1118,"mmm yyyy")</f>
        <v/>
      </c>
      <c r="D1118">
        <f>"Q"&amp;(INT((A1118-1)/13)+1)</f>
        <v/>
      </c>
      <c r="E1118" t="inlineStr">
        <is>
          <t>Fitness</t>
        </is>
      </c>
      <c r="F1118">
        <f>IFERROR(INDEX(ChFormat,MATCH(E1118,ChName,0)),"")</f>
        <v/>
      </c>
      <c r="G1118" t="inlineStr">
        <is>
          <t>AB</t>
        </is>
      </c>
      <c r="H1118">
        <f>IF(A1118&lt;=NWeeks,1,0)</f>
        <v/>
      </c>
      <c r="I1118">
        <f>INDEX(ChLaunch,MATCH(E1118,ChName,0))</f>
        <v/>
      </c>
      <c r="J1118">
        <f>INDEX(ChWeeksFull,MATCH(E1118,ChName,0))</f>
        <v/>
      </c>
      <c r="K1118">
        <f>INDEX(ChRamp,MATCH(E1118,ChName,0))</f>
        <v/>
      </c>
      <c r="L1118" s="45">
        <f>MIN(1,MAX(0,(A1118-I1118+1)*RampSpeed/J1118))</f>
        <v/>
      </c>
      <c r="M1118" s="45">
        <f>IF(A1118&lt;I1118,0,IF(K1118="S-curve",L1118*L1118*(3-2*L1118),L1118))</f>
        <v/>
      </c>
      <c r="N1118" s="45">
        <f>1+(INDEX(SeasonIdx,A1118)-1)*SeasonAmp</f>
        <v/>
      </c>
      <c r="O1118" s="45">
        <f>IFERROR(INDEX(PSPct,MATCH(E1118&amp;"|"&amp;G1118,PSKey,0)),0)</f>
        <v/>
      </c>
      <c r="P1118" s="46">
        <f>INDEX(ChDoorVel,MATCH(E1118,ChName,0))*CalibScalar*(1+VelocityUplift)</f>
        <v/>
      </c>
      <c r="Q1118" s="46" t="n">
        <v>0</v>
      </c>
      <c r="R1118" s="46">
        <f>P1118*O1118*M1118*N1118*H1118</f>
        <v/>
      </c>
      <c r="S1118" s="46">
        <f>R1118*INDEX(FmtCansPerCase,MATCH(F1118,FmtName,0))</f>
        <v/>
      </c>
      <c r="T1118" s="46">
        <f>S1118/INDEX(FmtCansPerPack,MATCH(F1118,FmtName,0))</f>
        <v/>
      </c>
      <c r="U1118" s="47">
        <f>INDEX(ChBaseCP,MATCH(E1118,ChName,0))*(1+INDEX(ProvMod,MATCH(G1118,ProvCode,0)))*(1+PriceIndex)</f>
        <v/>
      </c>
      <c r="V1118" s="47">
        <f>R1118*U1118*INDEX(FmtBlendedPriceIdx,MATCH(F1118,FmtName,0))</f>
        <v/>
      </c>
      <c r="W1118" s="47">
        <f>T1118*INDEX(ProvSRP,MATCH(G1118,ProvCode,0))*(1+PriceIndex)</f>
        <v/>
      </c>
      <c r="X1118" s="47">
        <f>IF(GrossBasis="Wholesale",V1118,W1118)</f>
        <v/>
      </c>
      <c r="Y1118" s="47">
        <f>R1118*INDEX(FmtBlendedCogs,MATCH(F1118,FmtName,0))</f>
        <v/>
      </c>
      <c r="Z1118" s="47">
        <f>X1118-Y1118</f>
        <v/>
      </c>
    </row>
    <row r="1119">
      <c r="A1119" t="n">
        <v>5</v>
      </c>
      <c r="B1119" s="44">
        <f>FiscalStart+(A1119-1)*7</f>
        <v/>
      </c>
      <c r="C1119">
        <f>TEXT(B1119,"mmm yyyy")</f>
        <v/>
      </c>
      <c r="D1119">
        <f>"Q"&amp;(INT((A1119-1)/13)+1)</f>
        <v/>
      </c>
      <c r="E1119" t="inlineStr">
        <is>
          <t>Fitness</t>
        </is>
      </c>
      <c r="F1119">
        <f>IFERROR(INDEX(ChFormat,MATCH(E1119,ChName,0)),"")</f>
        <v/>
      </c>
      <c r="G1119" t="inlineStr">
        <is>
          <t>AB</t>
        </is>
      </c>
      <c r="H1119">
        <f>IF(A1119&lt;=NWeeks,1,0)</f>
        <v/>
      </c>
      <c r="I1119">
        <f>INDEX(ChLaunch,MATCH(E1119,ChName,0))</f>
        <v/>
      </c>
      <c r="J1119">
        <f>INDEX(ChWeeksFull,MATCH(E1119,ChName,0))</f>
        <v/>
      </c>
      <c r="K1119">
        <f>INDEX(ChRamp,MATCH(E1119,ChName,0))</f>
        <v/>
      </c>
      <c r="L1119" s="45">
        <f>MIN(1,MAX(0,(A1119-I1119+1)*RampSpeed/J1119))</f>
        <v/>
      </c>
      <c r="M1119" s="45">
        <f>IF(A1119&lt;I1119,0,IF(K1119="S-curve",L1119*L1119*(3-2*L1119),L1119))</f>
        <v/>
      </c>
      <c r="N1119" s="45">
        <f>1+(INDEX(SeasonIdx,A1119)-1)*SeasonAmp</f>
        <v/>
      </c>
      <c r="O1119" s="45">
        <f>IFERROR(INDEX(PSPct,MATCH(E1119&amp;"|"&amp;G1119,PSKey,0)),0)</f>
        <v/>
      </c>
      <c r="P1119" s="46">
        <f>INDEX(ChDoorVel,MATCH(E1119,ChName,0))*CalibScalar*(1+VelocityUplift)</f>
        <v/>
      </c>
      <c r="Q1119" s="46" t="n">
        <v>0</v>
      </c>
      <c r="R1119" s="46">
        <f>P1119*O1119*M1119*N1119*H1119</f>
        <v/>
      </c>
      <c r="S1119" s="46">
        <f>R1119*INDEX(FmtCansPerCase,MATCH(F1119,FmtName,0))</f>
        <v/>
      </c>
      <c r="T1119" s="46">
        <f>S1119/INDEX(FmtCansPerPack,MATCH(F1119,FmtName,0))</f>
        <v/>
      </c>
      <c r="U1119" s="47">
        <f>INDEX(ChBaseCP,MATCH(E1119,ChName,0))*(1+INDEX(ProvMod,MATCH(G1119,ProvCode,0)))*(1+PriceIndex)</f>
        <v/>
      </c>
      <c r="V1119" s="47">
        <f>R1119*U1119*INDEX(FmtBlendedPriceIdx,MATCH(F1119,FmtName,0))</f>
        <v/>
      </c>
      <c r="W1119" s="47">
        <f>T1119*INDEX(ProvSRP,MATCH(G1119,ProvCode,0))*(1+PriceIndex)</f>
        <v/>
      </c>
      <c r="X1119" s="47">
        <f>IF(GrossBasis="Wholesale",V1119,W1119)</f>
        <v/>
      </c>
      <c r="Y1119" s="47">
        <f>R1119*INDEX(FmtBlendedCogs,MATCH(F1119,FmtName,0))</f>
        <v/>
      </c>
      <c r="Z1119" s="47">
        <f>X1119-Y1119</f>
        <v/>
      </c>
    </row>
    <row r="1120">
      <c r="A1120" t="n">
        <v>6</v>
      </c>
      <c r="B1120" s="44">
        <f>FiscalStart+(A1120-1)*7</f>
        <v/>
      </c>
      <c r="C1120">
        <f>TEXT(B1120,"mmm yyyy")</f>
        <v/>
      </c>
      <c r="D1120">
        <f>"Q"&amp;(INT((A1120-1)/13)+1)</f>
        <v/>
      </c>
      <c r="E1120" t="inlineStr">
        <is>
          <t>Fitness</t>
        </is>
      </c>
      <c r="F1120">
        <f>IFERROR(INDEX(ChFormat,MATCH(E1120,ChName,0)),"")</f>
        <v/>
      </c>
      <c r="G1120" t="inlineStr">
        <is>
          <t>AB</t>
        </is>
      </c>
      <c r="H1120">
        <f>IF(A1120&lt;=NWeeks,1,0)</f>
        <v/>
      </c>
      <c r="I1120">
        <f>INDEX(ChLaunch,MATCH(E1120,ChName,0))</f>
        <v/>
      </c>
      <c r="J1120">
        <f>INDEX(ChWeeksFull,MATCH(E1120,ChName,0))</f>
        <v/>
      </c>
      <c r="K1120">
        <f>INDEX(ChRamp,MATCH(E1120,ChName,0))</f>
        <v/>
      </c>
      <c r="L1120" s="45">
        <f>MIN(1,MAX(0,(A1120-I1120+1)*RampSpeed/J1120))</f>
        <v/>
      </c>
      <c r="M1120" s="45">
        <f>IF(A1120&lt;I1120,0,IF(K1120="S-curve",L1120*L1120*(3-2*L1120),L1120))</f>
        <v/>
      </c>
      <c r="N1120" s="45">
        <f>1+(INDEX(SeasonIdx,A1120)-1)*SeasonAmp</f>
        <v/>
      </c>
      <c r="O1120" s="45">
        <f>IFERROR(INDEX(PSPct,MATCH(E1120&amp;"|"&amp;G1120,PSKey,0)),0)</f>
        <v/>
      </c>
      <c r="P1120" s="46">
        <f>INDEX(ChDoorVel,MATCH(E1120,ChName,0))*CalibScalar*(1+VelocityUplift)</f>
        <v/>
      </c>
      <c r="Q1120" s="46" t="n">
        <v>0</v>
      </c>
      <c r="R1120" s="46">
        <f>P1120*O1120*M1120*N1120*H1120</f>
        <v/>
      </c>
      <c r="S1120" s="46">
        <f>R1120*INDEX(FmtCansPerCase,MATCH(F1120,FmtName,0))</f>
        <v/>
      </c>
      <c r="T1120" s="46">
        <f>S1120/INDEX(FmtCansPerPack,MATCH(F1120,FmtName,0))</f>
        <v/>
      </c>
      <c r="U1120" s="47">
        <f>INDEX(ChBaseCP,MATCH(E1120,ChName,0))*(1+INDEX(ProvMod,MATCH(G1120,ProvCode,0)))*(1+PriceIndex)</f>
        <v/>
      </c>
      <c r="V1120" s="47">
        <f>R1120*U1120*INDEX(FmtBlendedPriceIdx,MATCH(F1120,FmtName,0))</f>
        <v/>
      </c>
      <c r="W1120" s="47">
        <f>T1120*INDEX(ProvSRP,MATCH(G1120,ProvCode,0))*(1+PriceIndex)</f>
        <v/>
      </c>
      <c r="X1120" s="47">
        <f>IF(GrossBasis="Wholesale",V1120,W1120)</f>
        <v/>
      </c>
      <c r="Y1120" s="47">
        <f>R1120*INDEX(FmtBlendedCogs,MATCH(F1120,FmtName,0))</f>
        <v/>
      </c>
      <c r="Z1120" s="47">
        <f>X1120-Y1120</f>
        <v/>
      </c>
    </row>
    <row r="1121">
      <c r="A1121" t="n">
        <v>7</v>
      </c>
      <c r="B1121" s="44">
        <f>FiscalStart+(A1121-1)*7</f>
        <v/>
      </c>
      <c r="C1121">
        <f>TEXT(B1121,"mmm yyyy")</f>
        <v/>
      </c>
      <c r="D1121">
        <f>"Q"&amp;(INT((A1121-1)/13)+1)</f>
        <v/>
      </c>
      <c r="E1121" t="inlineStr">
        <is>
          <t>Fitness</t>
        </is>
      </c>
      <c r="F1121">
        <f>IFERROR(INDEX(ChFormat,MATCH(E1121,ChName,0)),"")</f>
        <v/>
      </c>
      <c r="G1121" t="inlineStr">
        <is>
          <t>AB</t>
        </is>
      </c>
      <c r="H1121">
        <f>IF(A1121&lt;=NWeeks,1,0)</f>
        <v/>
      </c>
      <c r="I1121">
        <f>INDEX(ChLaunch,MATCH(E1121,ChName,0))</f>
        <v/>
      </c>
      <c r="J1121">
        <f>INDEX(ChWeeksFull,MATCH(E1121,ChName,0))</f>
        <v/>
      </c>
      <c r="K1121">
        <f>INDEX(ChRamp,MATCH(E1121,ChName,0))</f>
        <v/>
      </c>
      <c r="L1121" s="45">
        <f>MIN(1,MAX(0,(A1121-I1121+1)*RampSpeed/J1121))</f>
        <v/>
      </c>
      <c r="M1121" s="45">
        <f>IF(A1121&lt;I1121,0,IF(K1121="S-curve",L1121*L1121*(3-2*L1121),L1121))</f>
        <v/>
      </c>
      <c r="N1121" s="45">
        <f>1+(INDEX(SeasonIdx,A1121)-1)*SeasonAmp</f>
        <v/>
      </c>
      <c r="O1121" s="45">
        <f>IFERROR(INDEX(PSPct,MATCH(E1121&amp;"|"&amp;G1121,PSKey,0)),0)</f>
        <v/>
      </c>
      <c r="P1121" s="46">
        <f>INDEX(ChDoorVel,MATCH(E1121,ChName,0))*CalibScalar*(1+VelocityUplift)</f>
        <v/>
      </c>
      <c r="Q1121" s="46" t="n">
        <v>0</v>
      </c>
      <c r="R1121" s="46">
        <f>P1121*O1121*M1121*N1121*H1121</f>
        <v/>
      </c>
      <c r="S1121" s="46">
        <f>R1121*INDEX(FmtCansPerCase,MATCH(F1121,FmtName,0))</f>
        <v/>
      </c>
      <c r="T1121" s="46">
        <f>S1121/INDEX(FmtCansPerPack,MATCH(F1121,FmtName,0))</f>
        <v/>
      </c>
      <c r="U1121" s="47">
        <f>INDEX(ChBaseCP,MATCH(E1121,ChName,0))*(1+INDEX(ProvMod,MATCH(G1121,ProvCode,0)))*(1+PriceIndex)</f>
        <v/>
      </c>
      <c r="V1121" s="47">
        <f>R1121*U1121*INDEX(FmtBlendedPriceIdx,MATCH(F1121,FmtName,0))</f>
        <v/>
      </c>
      <c r="W1121" s="47">
        <f>T1121*INDEX(ProvSRP,MATCH(G1121,ProvCode,0))*(1+PriceIndex)</f>
        <v/>
      </c>
      <c r="X1121" s="47">
        <f>IF(GrossBasis="Wholesale",V1121,W1121)</f>
        <v/>
      </c>
      <c r="Y1121" s="47">
        <f>R1121*INDEX(FmtBlendedCogs,MATCH(F1121,FmtName,0))</f>
        <v/>
      </c>
      <c r="Z1121" s="47">
        <f>X1121-Y1121</f>
        <v/>
      </c>
    </row>
    <row r="1122">
      <c r="A1122" t="n">
        <v>8</v>
      </c>
      <c r="B1122" s="44">
        <f>FiscalStart+(A1122-1)*7</f>
        <v/>
      </c>
      <c r="C1122">
        <f>TEXT(B1122,"mmm yyyy")</f>
        <v/>
      </c>
      <c r="D1122">
        <f>"Q"&amp;(INT((A1122-1)/13)+1)</f>
        <v/>
      </c>
      <c r="E1122" t="inlineStr">
        <is>
          <t>Fitness</t>
        </is>
      </c>
      <c r="F1122">
        <f>IFERROR(INDEX(ChFormat,MATCH(E1122,ChName,0)),"")</f>
        <v/>
      </c>
      <c r="G1122" t="inlineStr">
        <is>
          <t>AB</t>
        </is>
      </c>
      <c r="H1122">
        <f>IF(A1122&lt;=NWeeks,1,0)</f>
        <v/>
      </c>
      <c r="I1122">
        <f>INDEX(ChLaunch,MATCH(E1122,ChName,0))</f>
        <v/>
      </c>
      <c r="J1122">
        <f>INDEX(ChWeeksFull,MATCH(E1122,ChName,0))</f>
        <v/>
      </c>
      <c r="K1122">
        <f>INDEX(ChRamp,MATCH(E1122,ChName,0))</f>
        <v/>
      </c>
      <c r="L1122" s="45">
        <f>MIN(1,MAX(0,(A1122-I1122+1)*RampSpeed/J1122))</f>
        <v/>
      </c>
      <c r="M1122" s="45">
        <f>IF(A1122&lt;I1122,0,IF(K1122="S-curve",L1122*L1122*(3-2*L1122),L1122))</f>
        <v/>
      </c>
      <c r="N1122" s="45">
        <f>1+(INDEX(SeasonIdx,A1122)-1)*SeasonAmp</f>
        <v/>
      </c>
      <c r="O1122" s="45">
        <f>IFERROR(INDEX(PSPct,MATCH(E1122&amp;"|"&amp;G1122,PSKey,0)),0)</f>
        <v/>
      </c>
      <c r="P1122" s="46">
        <f>INDEX(ChDoorVel,MATCH(E1122,ChName,0))*CalibScalar*(1+VelocityUplift)</f>
        <v/>
      </c>
      <c r="Q1122" s="46" t="n">
        <v>0</v>
      </c>
      <c r="R1122" s="46">
        <f>P1122*O1122*M1122*N1122*H1122</f>
        <v/>
      </c>
      <c r="S1122" s="46">
        <f>R1122*INDEX(FmtCansPerCase,MATCH(F1122,FmtName,0))</f>
        <v/>
      </c>
      <c r="T1122" s="46">
        <f>S1122/INDEX(FmtCansPerPack,MATCH(F1122,FmtName,0))</f>
        <v/>
      </c>
      <c r="U1122" s="47">
        <f>INDEX(ChBaseCP,MATCH(E1122,ChName,0))*(1+INDEX(ProvMod,MATCH(G1122,ProvCode,0)))*(1+PriceIndex)</f>
        <v/>
      </c>
      <c r="V1122" s="47">
        <f>R1122*U1122*INDEX(FmtBlendedPriceIdx,MATCH(F1122,FmtName,0))</f>
        <v/>
      </c>
      <c r="W1122" s="47">
        <f>T1122*INDEX(ProvSRP,MATCH(G1122,ProvCode,0))*(1+PriceIndex)</f>
        <v/>
      </c>
      <c r="X1122" s="47">
        <f>IF(GrossBasis="Wholesale",V1122,W1122)</f>
        <v/>
      </c>
      <c r="Y1122" s="47">
        <f>R1122*INDEX(FmtBlendedCogs,MATCH(F1122,FmtName,0))</f>
        <v/>
      </c>
      <c r="Z1122" s="47">
        <f>X1122-Y1122</f>
        <v/>
      </c>
    </row>
    <row r="1123">
      <c r="A1123" t="n">
        <v>9</v>
      </c>
      <c r="B1123" s="44">
        <f>FiscalStart+(A1123-1)*7</f>
        <v/>
      </c>
      <c r="C1123">
        <f>TEXT(B1123,"mmm yyyy")</f>
        <v/>
      </c>
      <c r="D1123">
        <f>"Q"&amp;(INT((A1123-1)/13)+1)</f>
        <v/>
      </c>
      <c r="E1123" t="inlineStr">
        <is>
          <t>Fitness</t>
        </is>
      </c>
      <c r="F1123">
        <f>IFERROR(INDEX(ChFormat,MATCH(E1123,ChName,0)),"")</f>
        <v/>
      </c>
      <c r="G1123" t="inlineStr">
        <is>
          <t>AB</t>
        </is>
      </c>
      <c r="H1123">
        <f>IF(A1123&lt;=NWeeks,1,0)</f>
        <v/>
      </c>
      <c r="I1123">
        <f>INDEX(ChLaunch,MATCH(E1123,ChName,0))</f>
        <v/>
      </c>
      <c r="J1123">
        <f>INDEX(ChWeeksFull,MATCH(E1123,ChName,0))</f>
        <v/>
      </c>
      <c r="K1123">
        <f>INDEX(ChRamp,MATCH(E1123,ChName,0))</f>
        <v/>
      </c>
      <c r="L1123" s="45">
        <f>MIN(1,MAX(0,(A1123-I1123+1)*RampSpeed/J1123))</f>
        <v/>
      </c>
      <c r="M1123" s="45">
        <f>IF(A1123&lt;I1123,0,IF(K1123="S-curve",L1123*L1123*(3-2*L1123),L1123))</f>
        <v/>
      </c>
      <c r="N1123" s="45">
        <f>1+(INDEX(SeasonIdx,A1123)-1)*SeasonAmp</f>
        <v/>
      </c>
      <c r="O1123" s="45">
        <f>IFERROR(INDEX(PSPct,MATCH(E1123&amp;"|"&amp;G1123,PSKey,0)),0)</f>
        <v/>
      </c>
      <c r="P1123" s="46">
        <f>INDEX(ChDoorVel,MATCH(E1123,ChName,0))*CalibScalar*(1+VelocityUplift)</f>
        <v/>
      </c>
      <c r="Q1123" s="46" t="n">
        <v>0</v>
      </c>
      <c r="R1123" s="46">
        <f>P1123*O1123*M1123*N1123*H1123</f>
        <v/>
      </c>
      <c r="S1123" s="46">
        <f>R1123*INDEX(FmtCansPerCase,MATCH(F1123,FmtName,0))</f>
        <v/>
      </c>
      <c r="T1123" s="46">
        <f>S1123/INDEX(FmtCansPerPack,MATCH(F1123,FmtName,0))</f>
        <v/>
      </c>
      <c r="U1123" s="47">
        <f>INDEX(ChBaseCP,MATCH(E1123,ChName,0))*(1+INDEX(ProvMod,MATCH(G1123,ProvCode,0)))*(1+PriceIndex)</f>
        <v/>
      </c>
      <c r="V1123" s="47">
        <f>R1123*U1123*INDEX(FmtBlendedPriceIdx,MATCH(F1123,FmtName,0))</f>
        <v/>
      </c>
      <c r="W1123" s="47">
        <f>T1123*INDEX(ProvSRP,MATCH(G1123,ProvCode,0))*(1+PriceIndex)</f>
        <v/>
      </c>
      <c r="X1123" s="47">
        <f>IF(GrossBasis="Wholesale",V1123,W1123)</f>
        <v/>
      </c>
      <c r="Y1123" s="47">
        <f>R1123*INDEX(FmtBlendedCogs,MATCH(F1123,FmtName,0))</f>
        <v/>
      </c>
      <c r="Z1123" s="47">
        <f>X1123-Y1123</f>
        <v/>
      </c>
    </row>
    <row r="1124">
      <c r="A1124" t="n">
        <v>10</v>
      </c>
      <c r="B1124" s="44">
        <f>FiscalStart+(A1124-1)*7</f>
        <v/>
      </c>
      <c r="C1124">
        <f>TEXT(B1124,"mmm yyyy")</f>
        <v/>
      </c>
      <c r="D1124">
        <f>"Q"&amp;(INT((A1124-1)/13)+1)</f>
        <v/>
      </c>
      <c r="E1124" t="inlineStr">
        <is>
          <t>Fitness</t>
        </is>
      </c>
      <c r="F1124">
        <f>IFERROR(INDEX(ChFormat,MATCH(E1124,ChName,0)),"")</f>
        <v/>
      </c>
      <c r="G1124" t="inlineStr">
        <is>
          <t>AB</t>
        </is>
      </c>
      <c r="H1124">
        <f>IF(A1124&lt;=NWeeks,1,0)</f>
        <v/>
      </c>
      <c r="I1124">
        <f>INDEX(ChLaunch,MATCH(E1124,ChName,0))</f>
        <v/>
      </c>
      <c r="J1124">
        <f>INDEX(ChWeeksFull,MATCH(E1124,ChName,0))</f>
        <v/>
      </c>
      <c r="K1124">
        <f>INDEX(ChRamp,MATCH(E1124,ChName,0))</f>
        <v/>
      </c>
      <c r="L1124" s="45">
        <f>MIN(1,MAX(0,(A1124-I1124+1)*RampSpeed/J1124))</f>
        <v/>
      </c>
      <c r="M1124" s="45">
        <f>IF(A1124&lt;I1124,0,IF(K1124="S-curve",L1124*L1124*(3-2*L1124),L1124))</f>
        <v/>
      </c>
      <c r="N1124" s="45">
        <f>1+(INDEX(SeasonIdx,A1124)-1)*SeasonAmp</f>
        <v/>
      </c>
      <c r="O1124" s="45">
        <f>IFERROR(INDEX(PSPct,MATCH(E1124&amp;"|"&amp;G1124,PSKey,0)),0)</f>
        <v/>
      </c>
      <c r="P1124" s="46">
        <f>INDEX(ChDoorVel,MATCH(E1124,ChName,0))*CalibScalar*(1+VelocityUplift)</f>
        <v/>
      </c>
      <c r="Q1124" s="46" t="n">
        <v>0</v>
      </c>
      <c r="R1124" s="46">
        <f>P1124*O1124*M1124*N1124*H1124</f>
        <v/>
      </c>
      <c r="S1124" s="46">
        <f>R1124*INDEX(FmtCansPerCase,MATCH(F1124,FmtName,0))</f>
        <v/>
      </c>
      <c r="T1124" s="46">
        <f>S1124/INDEX(FmtCansPerPack,MATCH(F1124,FmtName,0))</f>
        <v/>
      </c>
      <c r="U1124" s="47">
        <f>INDEX(ChBaseCP,MATCH(E1124,ChName,0))*(1+INDEX(ProvMod,MATCH(G1124,ProvCode,0)))*(1+PriceIndex)</f>
        <v/>
      </c>
      <c r="V1124" s="47">
        <f>R1124*U1124*INDEX(FmtBlendedPriceIdx,MATCH(F1124,FmtName,0))</f>
        <v/>
      </c>
      <c r="W1124" s="47">
        <f>T1124*INDEX(ProvSRP,MATCH(G1124,ProvCode,0))*(1+PriceIndex)</f>
        <v/>
      </c>
      <c r="X1124" s="47">
        <f>IF(GrossBasis="Wholesale",V1124,W1124)</f>
        <v/>
      </c>
      <c r="Y1124" s="47">
        <f>R1124*INDEX(FmtBlendedCogs,MATCH(F1124,FmtName,0))</f>
        <v/>
      </c>
      <c r="Z1124" s="47">
        <f>X1124-Y1124</f>
        <v/>
      </c>
    </row>
    <row r="1125">
      <c r="A1125" t="n">
        <v>11</v>
      </c>
      <c r="B1125" s="44">
        <f>FiscalStart+(A1125-1)*7</f>
        <v/>
      </c>
      <c r="C1125">
        <f>TEXT(B1125,"mmm yyyy")</f>
        <v/>
      </c>
      <c r="D1125">
        <f>"Q"&amp;(INT((A1125-1)/13)+1)</f>
        <v/>
      </c>
      <c r="E1125" t="inlineStr">
        <is>
          <t>Fitness</t>
        </is>
      </c>
      <c r="F1125">
        <f>IFERROR(INDEX(ChFormat,MATCH(E1125,ChName,0)),"")</f>
        <v/>
      </c>
      <c r="G1125" t="inlineStr">
        <is>
          <t>AB</t>
        </is>
      </c>
      <c r="H1125">
        <f>IF(A1125&lt;=NWeeks,1,0)</f>
        <v/>
      </c>
      <c r="I1125">
        <f>INDEX(ChLaunch,MATCH(E1125,ChName,0))</f>
        <v/>
      </c>
      <c r="J1125">
        <f>INDEX(ChWeeksFull,MATCH(E1125,ChName,0))</f>
        <v/>
      </c>
      <c r="K1125">
        <f>INDEX(ChRamp,MATCH(E1125,ChName,0))</f>
        <v/>
      </c>
      <c r="L1125" s="45">
        <f>MIN(1,MAX(0,(A1125-I1125+1)*RampSpeed/J1125))</f>
        <v/>
      </c>
      <c r="M1125" s="45">
        <f>IF(A1125&lt;I1125,0,IF(K1125="S-curve",L1125*L1125*(3-2*L1125),L1125))</f>
        <v/>
      </c>
      <c r="N1125" s="45">
        <f>1+(INDEX(SeasonIdx,A1125)-1)*SeasonAmp</f>
        <v/>
      </c>
      <c r="O1125" s="45">
        <f>IFERROR(INDEX(PSPct,MATCH(E1125&amp;"|"&amp;G1125,PSKey,0)),0)</f>
        <v/>
      </c>
      <c r="P1125" s="46">
        <f>INDEX(ChDoorVel,MATCH(E1125,ChName,0))*CalibScalar*(1+VelocityUplift)</f>
        <v/>
      </c>
      <c r="Q1125" s="46" t="n">
        <v>0</v>
      </c>
      <c r="R1125" s="46">
        <f>P1125*O1125*M1125*N1125*H1125</f>
        <v/>
      </c>
      <c r="S1125" s="46">
        <f>R1125*INDEX(FmtCansPerCase,MATCH(F1125,FmtName,0))</f>
        <v/>
      </c>
      <c r="T1125" s="46">
        <f>S1125/INDEX(FmtCansPerPack,MATCH(F1125,FmtName,0))</f>
        <v/>
      </c>
      <c r="U1125" s="47">
        <f>INDEX(ChBaseCP,MATCH(E1125,ChName,0))*(1+INDEX(ProvMod,MATCH(G1125,ProvCode,0)))*(1+PriceIndex)</f>
        <v/>
      </c>
      <c r="V1125" s="47">
        <f>R1125*U1125*INDEX(FmtBlendedPriceIdx,MATCH(F1125,FmtName,0))</f>
        <v/>
      </c>
      <c r="W1125" s="47">
        <f>T1125*INDEX(ProvSRP,MATCH(G1125,ProvCode,0))*(1+PriceIndex)</f>
        <v/>
      </c>
      <c r="X1125" s="47">
        <f>IF(GrossBasis="Wholesale",V1125,W1125)</f>
        <v/>
      </c>
      <c r="Y1125" s="47">
        <f>R1125*INDEX(FmtBlendedCogs,MATCH(F1125,FmtName,0))</f>
        <v/>
      </c>
      <c r="Z1125" s="47">
        <f>X1125-Y1125</f>
        <v/>
      </c>
    </row>
    <row r="1126">
      <c r="A1126" t="n">
        <v>12</v>
      </c>
      <c r="B1126" s="44">
        <f>FiscalStart+(A1126-1)*7</f>
        <v/>
      </c>
      <c r="C1126">
        <f>TEXT(B1126,"mmm yyyy")</f>
        <v/>
      </c>
      <c r="D1126">
        <f>"Q"&amp;(INT((A1126-1)/13)+1)</f>
        <v/>
      </c>
      <c r="E1126" t="inlineStr">
        <is>
          <t>Fitness</t>
        </is>
      </c>
      <c r="F1126">
        <f>IFERROR(INDEX(ChFormat,MATCH(E1126,ChName,0)),"")</f>
        <v/>
      </c>
      <c r="G1126" t="inlineStr">
        <is>
          <t>AB</t>
        </is>
      </c>
      <c r="H1126">
        <f>IF(A1126&lt;=NWeeks,1,0)</f>
        <v/>
      </c>
      <c r="I1126">
        <f>INDEX(ChLaunch,MATCH(E1126,ChName,0))</f>
        <v/>
      </c>
      <c r="J1126">
        <f>INDEX(ChWeeksFull,MATCH(E1126,ChName,0))</f>
        <v/>
      </c>
      <c r="K1126">
        <f>INDEX(ChRamp,MATCH(E1126,ChName,0))</f>
        <v/>
      </c>
      <c r="L1126" s="45">
        <f>MIN(1,MAX(0,(A1126-I1126+1)*RampSpeed/J1126))</f>
        <v/>
      </c>
      <c r="M1126" s="45">
        <f>IF(A1126&lt;I1126,0,IF(K1126="S-curve",L1126*L1126*(3-2*L1126),L1126))</f>
        <v/>
      </c>
      <c r="N1126" s="45">
        <f>1+(INDEX(SeasonIdx,A1126)-1)*SeasonAmp</f>
        <v/>
      </c>
      <c r="O1126" s="45">
        <f>IFERROR(INDEX(PSPct,MATCH(E1126&amp;"|"&amp;G1126,PSKey,0)),0)</f>
        <v/>
      </c>
      <c r="P1126" s="46">
        <f>INDEX(ChDoorVel,MATCH(E1126,ChName,0))*CalibScalar*(1+VelocityUplift)</f>
        <v/>
      </c>
      <c r="Q1126" s="46" t="n">
        <v>0</v>
      </c>
      <c r="R1126" s="46">
        <f>P1126*O1126*M1126*N1126*H1126</f>
        <v/>
      </c>
      <c r="S1126" s="46">
        <f>R1126*INDEX(FmtCansPerCase,MATCH(F1126,FmtName,0))</f>
        <v/>
      </c>
      <c r="T1126" s="46">
        <f>S1126/INDEX(FmtCansPerPack,MATCH(F1126,FmtName,0))</f>
        <v/>
      </c>
      <c r="U1126" s="47">
        <f>INDEX(ChBaseCP,MATCH(E1126,ChName,0))*(1+INDEX(ProvMod,MATCH(G1126,ProvCode,0)))*(1+PriceIndex)</f>
        <v/>
      </c>
      <c r="V1126" s="47">
        <f>R1126*U1126*INDEX(FmtBlendedPriceIdx,MATCH(F1126,FmtName,0))</f>
        <v/>
      </c>
      <c r="W1126" s="47">
        <f>T1126*INDEX(ProvSRP,MATCH(G1126,ProvCode,0))*(1+PriceIndex)</f>
        <v/>
      </c>
      <c r="X1126" s="47">
        <f>IF(GrossBasis="Wholesale",V1126,W1126)</f>
        <v/>
      </c>
      <c r="Y1126" s="47">
        <f>R1126*INDEX(FmtBlendedCogs,MATCH(F1126,FmtName,0))</f>
        <v/>
      </c>
      <c r="Z1126" s="47">
        <f>X1126-Y1126</f>
        <v/>
      </c>
    </row>
    <row r="1127">
      <c r="A1127" t="n">
        <v>13</v>
      </c>
      <c r="B1127" s="44">
        <f>FiscalStart+(A1127-1)*7</f>
        <v/>
      </c>
      <c r="C1127">
        <f>TEXT(B1127,"mmm yyyy")</f>
        <v/>
      </c>
      <c r="D1127">
        <f>"Q"&amp;(INT((A1127-1)/13)+1)</f>
        <v/>
      </c>
      <c r="E1127" t="inlineStr">
        <is>
          <t>Fitness</t>
        </is>
      </c>
      <c r="F1127">
        <f>IFERROR(INDEX(ChFormat,MATCH(E1127,ChName,0)),"")</f>
        <v/>
      </c>
      <c r="G1127" t="inlineStr">
        <is>
          <t>AB</t>
        </is>
      </c>
      <c r="H1127">
        <f>IF(A1127&lt;=NWeeks,1,0)</f>
        <v/>
      </c>
      <c r="I1127">
        <f>INDEX(ChLaunch,MATCH(E1127,ChName,0))</f>
        <v/>
      </c>
      <c r="J1127">
        <f>INDEX(ChWeeksFull,MATCH(E1127,ChName,0))</f>
        <v/>
      </c>
      <c r="K1127">
        <f>INDEX(ChRamp,MATCH(E1127,ChName,0))</f>
        <v/>
      </c>
      <c r="L1127" s="45">
        <f>MIN(1,MAX(0,(A1127-I1127+1)*RampSpeed/J1127))</f>
        <v/>
      </c>
      <c r="M1127" s="45">
        <f>IF(A1127&lt;I1127,0,IF(K1127="S-curve",L1127*L1127*(3-2*L1127),L1127))</f>
        <v/>
      </c>
      <c r="N1127" s="45">
        <f>1+(INDEX(SeasonIdx,A1127)-1)*SeasonAmp</f>
        <v/>
      </c>
      <c r="O1127" s="45">
        <f>IFERROR(INDEX(PSPct,MATCH(E1127&amp;"|"&amp;G1127,PSKey,0)),0)</f>
        <v/>
      </c>
      <c r="P1127" s="46">
        <f>INDEX(ChDoorVel,MATCH(E1127,ChName,0))*CalibScalar*(1+VelocityUplift)</f>
        <v/>
      </c>
      <c r="Q1127" s="46" t="n">
        <v>0</v>
      </c>
      <c r="R1127" s="46">
        <f>P1127*O1127*M1127*N1127*H1127</f>
        <v/>
      </c>
      <c r="S1127" s="46">
        <f>R1127*INDEX(FmtCansPerCase,MATCH(F1127,FmtName,0))</f>
        <v/>
      </c>
      <c r="T1127" s="46">
        <f>S1127/INDEX(FmtCansPerPack,MATCH(F1127,FmtName,0))</f>
        <v/>
      </c>
      <c r="U1127" s="47">
        <f>INDEX(ChBaseCP,MATCH(E1127,ChName,0))*(1+INDEX(ProvMod,MATCH(G1127,ProvCode,0)))*(1+PriceIndex)</f>
        <v/>
      </c>
      <c r="V1127" s="47">
        <f>R1127*U1127*INDEX(FmtBlendedPriceIdx,MATCH(F1127,FmtName,0))</f>
        <v/>
      </c>
      <c r="W1127" s="47">
        <f>T1127*INDEX(ProvSRP,MATCH(G1127,ProvCode,0))*(1+PriceIndex)</f>
        <v/>
      </c>
      <c r="X1127" s="47">
        <f>IF(GrossBasis="Wholesale",V1127,W1127)</f>
        <v/>
      </c>
      <c r="Y1127" s="47">
        <f>R1127*INDEX(FmtBlendedCogs,MATCH(F1127,FmtName,0))</f>
        <v/>
      </c>
      <c r="Z1127" s="47">
        <f>X1127-Y1127</f>
        <v/>
      </c>
    </row>
    <row r="1128">
      <c r="A1128" t="n">
        <v>14</v>
      </c>
      <c r="B1128" s="44">
        <f>FiscalStart+(A1128-1)*7</f>
        <v/>
      </c>
      <c r="C1128">
        <f>TEXT(B1128,"mmm yyyy")</f>
        <v/>
      </c>
      <c r="D1128">
        <f>"Q"&amp;(INT((A1128-1)/13)+1)</f>
        <v/>
      </c>
      <c r="E1128" t="inlineStr">
        <is>
          <t>Fitness</t>
        </is>
      </c>
      <c r="F1128">
        <f>IFERROR(INDEX(ChFormat,MATCH(E1128,ChName,0)),"")</f>
        <v/>
      </c>
      <c r="G1128" t="inlineStr">
        <is>
          <t>AB</t>
        </is>
      </c>
      <c r="H1128">
        <f>IF(A1128&lt;=NWeeks,1,0)</f>
        <v/>
      </c>
      <c r="I1128">
        <f>INDEX(ChLaunch,MATCH(E1128,ChName,0))</f>
        <v/>
      </c>
      <c r="J1128">
        <f>INDEX(ChWeeksFull,MATCH(E1128,ChName,0))</f>
        <v/>
      </c>
      <c r="K1128">
        <f>INDEX(ChRamp,MATCH(E1128,ChName,0))</f>
        <v/>
      </c>
      <c r="L1128" s="45">
        <f>MIN(1,MAX(0,(A1128-I1128+1)*RampSpeed/J1128))</f>
        <v/>
      </c>
      <c r="M1128" s="45">
        <f>IF(A1128&lt;I1128,0,IF(K1128="S-curve",L1128*L1128*(3-2*L1128),L1128))</f>
        <v/>
      </c>
      <c r="N1128" s="45">
        <f>1+(INDEX(SeasonIdx,A1128)-1)*SeasonAmp</f>
        <v/>
      </c>
      <c r="O1128" s="45">
        <f>IFERROR(INDEX(PSPct,MATCH(E1128&amp;"|"&amp;G1128,PSKey,0)),0)</f>
        <v/>
      </c>
      <c r="P1128" s="46">
        <f>INDEX(ChDoorVel,MATCH(E1128,ChName,0))*CalibScalar*(1+VelocityUplift)</f>
        <v/>
      </c>
      <c r="Q1128" s="46" t="n">
        <v>0</v>
      </c>
      <c r="R1128" s="46">
        <f>P1128*O1128*M1128*N1128*H1128</f>
        <v/>
      </c>
      <c r="S1128" s="46">
        <f>R1128*INDEX(FmtCansPerCase,MATCH(F1128,FmtName,0))</f>
        <v/>
      </c>
      <c r="T1128" s="46">
        <f>S1128/INDEX(FmtCansPerPack,MATCH(F1128,FmtName,0))</f>
        <v/>
      </c>
      <c r="U1128" s="47">
        <f>INDEX(ChBaseCP,MATCH(E1128,ChName,0))*(1+INDEX(ProvMod,MATCH(G1128,ProvCode,0)))*(1+PriceIndex)</f>
        <v/>
      </c>
      <c r="V1128" s="47">
        <f>R1128*U1128*INDEX(FmtBlendedPriceIdx,MATCH(F1128,FmtName,0))</f>
        <v/>
      </c>
      <c r="W1128" s="47">
        <f>T1128*INDEX(ProvSRP,MATCH(G1128,ProvCode,0))*(1+PriceIndex)</f>
        <v/>
      </c>
      <c r="X1128" s="47">
        <f>IF(GrossBasis="Wholesale",V1128,W1128)</f>
        <v/>
      </c>
      <c r="Y1128" s="47">
        <f>R1128*INDEX(FmtBlendedCogs,MATCH(F1128,FmtName,0))</f>
        <v/>
      </c>
      <c r="Z1128" s="47">
        <f>X1128-Y1128</f>
        <v/>
      </c>
    </row>
    <row r="1129">
      <c r="A1129" t="n">
        <v>15</v>
      </c>
      <c r="B1129" s="44">
        <f>FiscalStart+(A1129-1)*7</f>
        <v/>
      </c>
      <c r="C1129">
        <f>TEXT(B1129,"mmm yyyy")</f>
        <v/>
      </c>
      <c r="D1129">
        <f>"Q"&amp;(INT((A1129-1)/13)+1)</f>
        <v/>
      </c>
      <c r="E1129" t="inlineStr">
        <is>
          <t>Fitness</t>
        </is>
      </c>
      <c r="F1129">
        <f>IFERROR(INDEX(ChFormat,MATCH(E1129,ChName,0)),"")</f>
        <v/>
      </c>
      <c r="G1129" t="inlineStr">
        <is>
          <t>AB</t>
        </is>
      </c>
      <c r="H1129">
        <f>IF(A1129&lt;=NWeeks,1,0)</f>
        <v/>
      </c>
      <c r="I1129">
        <f>INDEX(ChLaunch,MATCH(E1129,ChName,0))</f>
        <v/>
      </c>
      <c r="J1129">
        <f>INDEX(ChWeeksFull,MATCH(E1129,ChName,0))</f>
        <v/>
      </c>
      <c r="K1129">
        <f>INDEX(ChRamp,MATCH(E1129,ChName,0))</f>
        <v/>
      </c>
      <c r="L1129" s="45">
        <f>MIN(1,MAX(0,(A1129-I1129+1)*RampSpeed/J1129))</f>
        <v/>
      </c>
      <c r="M1129" s="45">
        <f>IF(A1129&lt;I1129,0,IF(K1129="S-curve",L1129*L1129*(3-2*L1129),L1129))</f>
        <v/>
      </c>
      <c r="N1129" s="45">
        <f>1+(INDEX(SeasonIdx,A1129)-1)*SeasonAmp</f>
        <v/>
      </c>
      <c r="O1129" s="45">
        <f>IFERROR(INDEX(PSPct,MATCH(E1129&amp;"|"&amp;G1129,PSKey,0)),0)</f>
        <v/>
      </c>
      <c r="P1129" s="46">
        <f>INDEX(ChDoorVel,MATCH(E1129,ChName,0))*CalibScalar*(1+VelocityUplift)</f>
        <v/>
      </c>
      <c r="Q1129" s="46" t="n">
        <v>0</v>
      </c>
      <c r="R1129" s="46">
        <f>P1129*O1129*M1129*N1129*H1129</f>
        <v/>
      </c>
      <c r="S1129" s="46">
        <f>R1129*INDEX(FmtCansPerCase,MATCH(F1129,FmtName,0))</f>
        <v/>
      </c>
      <c r="T1129" s="46">
        <f>S1129/INDEX(FmtCansPerPack,MATCH(F1129,FmtName,0))</f>
        <v/>
      </c>
      <c r="U1129" s="47">
        <f>INDEX(ChBaseCP,MATCH(E1129,ChName,0))*(1+INDEX(ProvMod,MATCH(G1129,ProvCode,0)))*(1+PriceIndex)</f>
        <v/>
      </c>
      <c r="V1129" s="47">
        <f>R1129*U1129*INDEX(FmtBlendedPriceIdx,MATCH(F1129,FmtName,0))</f>
        <v/>
      </c>
      <c r="W1129" s="47">
        <f>T1129*INDEX(ProvSRP,MATCH(G1129,ProvCode,0))*(1+PriceIndex)</f>
        <v/>
      </c>
      <c r="X1129" s="47">
        <f>IF(GrossBasis="Wholesale",V1129,W1129)</f>
        <v/>
      </c>
      <c r="Y1129" s="47">
        <f>R1129*INDEX(FmtBlendedCogs,MATCH(F1129,FmtName,0))</f>
        <v/>
      </c>
      <c r="Z1129" s="47">
        <f>X1129-Y1129</f>
        <v/>
      </c>
    </row>
    <row r="1130">
      <c r="A1130" t="n">
        <v>16</v>
      </c>
      <c r="B1130" s="44">
        <f>FiscalStart+(A1130-1)*7</f>
        <v/>
      </c>
      <c r="C1130">
        <f>TEXT(B1130,"mmm yyyy")</f>
        <v/>
      </c>
      <c r="D1130">
        <f>"Q"&amp;(INT((A1130-1)/13)+1)</f>
        <v/>
      </c>
      <c r="E1130" t="inlineStr">
        <is>
          <t>Fitness</t>
        </is>
      </c>
      <c r="F1130">
        <f>IFERROR(INDEX(ChFormat,MATCH(E1130,ChName,0)),"")</f>
        <v/>
      </c>
      <c r="G1130" t="inlineStr">
        <is>
          <t>AB</t>
        </is>
      </c>
      <c r="H1130">
        <f>IF(A1130&lt;=NWeeks,1,0)</f>
        <v/>
      </c>
      <c r="I1130">
        <f>INDEX(ChLaunch,MATCH(E1130,ChName,0))</f>
        <v/>
      </c>
      <c r="J1130">
        <f>INDEX(ChWeeksFull,MATCH(E1130,ChName,0))</f>
        <v/>
      </c>
      <c r="K1130">
        <f>INDEX(ChRamp,MATCH(E1130,ChName,0))</f>
        <v/>
      </c>
      <c r="L1130" s="45">
        <f>MIN(1,MAX(0,(A1130-I1130+1)*RampSpeed/J1130))</f>
        <v/>
      </c>
      <c r="M1130" s="45">
        <f>IF(A1130&lt;I1130,0,IF(K1130="S-curve",L1130*L1130*(3-2*L1130),L1130))</f>
        <v/>
      </c>
      <c r="N1130" s="45">
        <f>1+(INDEX(SeasonIdx,A1130)-1)*SeasonAmp</f>
        <v/>
      </c>
      <c r="O1130" s="45">
        <f>IFERROR(INDEX(PSPct,MATCH(E1130&amp;"|"&amp;G1130,PSKey,0)),0)</f>
        <v/>
      </c>
      <c r="P1130" s="46">
        <f>INDEX(ChDoorVel,MATCH(E1130,ChName,0))*CalibScalar*(1+VelocityUplift)</f>
        <v/>
      </c>
      <c r="Q1130" s="46" t="n">
        <v>0</v>
      </c>
      <c r="R1130" s="46">
        <f>P1130*O1130*M1130*N1130*H1130</f>
        <v/>
      </c>
      <c r="S1130" s="46">
        <f>R1130*INDEX(FmtCansPerCase,MATCH(F1130,FmtName,0))</f>
        <v/>
      </c>
      <c r="T1130" s="46">
        <f>S1130/INDEX(FmtCansPerPack,MATCH(F1130,FmtName,0))</f>
        <v/>
      </c>
      <c r="U1130" s="47">
        <f>INDEX(ChBaseCP,MATCH(E1130,ChName,0))*(1+INDEX(ProvMod,MATCH(G1130,ProvCode,0)))*(1+PriceIndex)</f>
        <v/>
      </c>
      <c r="V1130" s="47">
        <f>R1130*U1130*INDEX(FmtBlendedPriceIdx,MATCH(F1130,FmtName,0))</f>
        <v/>
      </c>
      <c r="W1130" s="47">
        <f>T1130*INDEX(ProvSRP,MATCH(G1130,ProvCode,0))*(1+PriceIndex)</f>
        <v/>
      </c>
      <c r="X1130" s="47">
        <f>IF(GrossBasis="Wholesale",V1130,W1130)</f>
        <v/>
      </c>
      <c r="Y1130" s="47">
        <f>R1130*INDEX(FmtBlendedCogs,MATCH(F1130,FmtName,0))</f>
        <v/>
      </c>
      <c r="Z1130" s="47">
        <f>X1130-Y1130</f>
        <v/>
      </c>
    </row>
    <row r="1131">
      <c r="A1131" t="n">
        <v>17</v>
      </c>
      <c r="B1131" s="44">
        <f>FiscalStart+(A1131-1)*7</f>
        <v/>
      </c>
      <c r="C1131">
        <f>TEXT(B1131,"mmm yyyy")</f>
        <v/>
      </c>
      <c r="D1131">
        <f>"Q"&amp;(INT((A1131-1)/13)+1)</f>
        <v/>
      </c>
      <c r="E1131" t="inlineStr">
        <is>
          <t>Fitness</t>
        </is>
      </c>
      <c r="F1131">
        <f>IFERROR(INDEX(ChFormat,MATCH(E1131,ChName,0)),"")</f>
        <v/>
      </c>
      <c r="G1131" t="inlineStr">
        <is>
          <t>AB</t>
        </is>
      </c>
      <c r="H1131">
        <f>IF(A1131&lt;=NWeeks,1,0)</f>
        <v/>
      </c>
      <c r="I1131">
        <f>INDEX(ChLaunch,MATCH(E1131,ChName,0))</f>
        <v/>
      </c>
      <c r="J1131">
        <f>INDEX(ChWeeksFull,MATCH(E1131,ChName,0))</f>
        <v/>
      </c>
      <c r="K1131">
        <f>INDEX(ChRamp,MATCH(E1131,ChName,0))</f>
        <v/>
      </c>
      <c r="L1131" s="45">
        <f>MIN(1,MAX(0,(A1131-I1131+1)*RampSpeed/J1131))</f>
        <v/>
      </c>
      <c r="M1131" s="45">
        <f>IF(A1131&lt;I1131,0,IF(K1131="S-curve",L1131*L1131*(3-2*L1131),L1131))</f>
        <v/>
      </c>
      <c r="N1131" s="45">
        <f>1+(INDEX(SeasonIdx,A1131)-1)*SeasonAmp</f>
        <v/>
      </c>
      <c r="O1131" s="45">
        <f>IFERROR(INDEX(PSPct,MATCH(E1131&amp;"|"&amp;G1131,PSKey,0)),0)</f>
        <v/>
      </c>
      <c r="P1131" s="46">
        <f>INDEX(ChDoorVel,MATCH(E1131,ChName,0))*CalibScalar*(1+VelocityUplift)</f>
        <v/>
      </c>
      <c r="Q1131" s="46" t="n">
        <v>0</v>
      </c>
      <c r="R1131" s="46">
        <f>P1131*O1131*M1131*N1131*H1131</f>
        <v/>
      </c>
      <c r="S1131" s="46">
        <f>R1131*INDEX(FmtCansPerCase,MATCH(F1131,FmtName,0))</f>
        <v/>
      </c>
      <c r="T1131" s="46">
        <f>S1131/INDEX(FmtCansPerPack,MATCH(F1131,FmtName,0))</f>
        <v/>
      </c>
      <c r="U1131" s="47">
        <f>INDEX(ChBaseCP,MATCH(E1131,ChName,0))*(1+INDEX(ProvMod,MATCH(G1131,ProvCode,0)))*(1+PriceIndex)</f>
        <v/>
      </c>
      <c r="V1131" s="47">
        <f>R1131*U1131*INDEX(FmtBlendedPriceIdx,MATCH(F1131,FmtName,0))</f>
        <v/>
      </c>
      <c r="W1131" s="47">
        <f>T1131*INDEX(ProvSRP,MATCH(G1131,ProvCode,0))*(1+PriceIndex)</f>
        <v/>
      </c>
      <c r="X1131" s="47">
        <f>IF(GrossBasis="Wholesale",V1131,W1131)</f>
        <v/>
      </c>
      <c r="Y1131" s="47">
        <f>R1131*INDEX(FmtBlendedCogs,MATCH(F1131,FmtName,0))</f>
        <v/>
      </c>
      <c r="Z1131" s="47">
        <f>X1131-Y1131</f>
        <v/>
      </c>
    </row>
    <row r="1132">
      <c r="A1132" t="n">
        <v>18</v>
      </c>
      <c r="B1132" s="44">
        <f>FiscalStart+(A1132-1)*7</f>
        <v/>
      </c>
      <c r="C1132">
        <f>TEXT(B1132,"mmm yyyy")</f>
        <v/>
      </c>
      <c r="D1132">
        <f>"Q"&amp;(INT((A1132-1)/13)+1)</f>
        <v/>
      </c>
      <c r="E1132" t="inlineStr">
        <is>
          <t>Fitness</t>
        </is>
      </c>
      <c r="F1132">
        <f>IFERROR(INDEX(ChFormat,MATCH(E1132,ChName,0)),"")</f>
        <v/>
      </c>
      <c r="G1132" t="inlineStr">
        <is>
          <t>AB</t>
        </is>
      </c>
      <c r="H1132">
        <f>IF(A1132&lt;=NWeeks,1,0)</f>
        <v/>
      </c>
      <c r="I1132">
        <f>INDEX(ChLaunch,MATCH(E1132,ChName,0))</f>
        <v/>
      </c>
      <c r="J1132">
        <f>INDEX(ChWeeksFull,MATCH(E1132,ChName,0))</f>
        <v/>
      </c>
      <c r="K1132">
        <f>INDEX(ChRamp,MATCH(E1132,ChName,0))</f>
        <v/>
      </c>
      <c r="L1132" s="45">
        <f>MIN(1,MAX(0,(A1132-I1132+1)*RampSpeed/J1132))</f>
        <v/>
      </c>
      <c r="M1132" s="45">
        <f>IF(A1132&lt;I1132,0,IF(K1132="S-curve",L1132*L1132*(3-2*L1132),L1132))</f>
        <v/>
      </c>
      <c r="N1132" s="45">
        <f>1+(INDEX(SeasonIdx,A1132)-1)*SeasonAmp</f>
        <v/>
      </c>
      <c r="O1132" s="45">
        <f>IFERROR(INDEX(PSPct,MATCH(E1132&amp;"|"&amp;G1132,PSKey,0)),0)</f>
        <v/>
      </c>
      <c r="P1132" s="46">
        <f>INDEX(ChDoorVel,MATCH(E1132,ChName,0))*CalibScalar*(1+VelocityUplift)</f>
        <v/>
      </c>
      <c r="Q1132" s="46" t="n">
        <v>0</v>
      </c>
      <c r="R1132" s="46">
        <f>P1132*O1132*M1132*N1132*H1132</f>
        <v/>
      </c>
      <c r="S1132" s="46">
        <f>R1132*INDEX(FmtCansPerCase,MATCH(F1132,FmtName,0))</f>
        <v/>
      </c>
      <c r="T1132" s="46">
        <f>S1132/INDEX(FmtCansPerPack,MATCH(F1132,FmtName,0))</f>
        <v/>
      </c>
      <c r="U1132" s="47">
        <f>INDEX(ChBaseCP,MATCH(E1132,ChName,0))*(1+INDEX(ProvMod,MATCH(G1132,ProvCode,0)))*(1+PriceIndex)</f>
        <v/>
      </c>
      <c r="V1132" s="47">
        <f>R1132*U1132*INDEX(FmtBlendedPriceIdx,MATCH(F1132,FmtName,0))</f>
        <v/>
      </c>
      <c r="W1132" s="47">
        <f>T1132*INDEX(ProvSRP,MATCH(G1132,ProvCode,0))*(1+PriceIndex)</f>
        <v/>
      </c>
      <c r="X1132" s="47">
        <f>IF(GrossBasis="Wholesale",V1132,W1132)</f>
        <v/>
      </c>
      <c r="Y1132" s="47">
        <f>R1132*INDEX(FmtBlendedCogs,MATCH(F1132,FmtName,0))</f>
        <v/>
      </c>
      <c r="Z1132" s="47">
        <f>X1132-Y1132</f>
        <v/>
      </c>
    </row>
    <row r="1133">
      <c r="A1133" t="n">
        <v>19</v>
      </c>
      <c r="B1133" s="44">
        <f>FiscalStart+(A1133-1)*7</f>
        <v/>
      </c>
      <c r="C1133">
        <f>TEXT(B1133,"mmm yyyy")</f>
        <v/>
      </c>
      <c r="D1133">
        <f>"Q"&amp;(INT((A1133-1)/13)+1)</f>
        <v/>
      </c>
      <c r="E1133" t="inlineStr">
        <is>
          <t>Fitness</t>
        </is>
      </c>
      <c r="F1133">
        <f>IFERROR(INDEX(ChFormat,MATCH(E1133,ChName,0)),"")</f>
        <v/>
      </c>
      <c r="G1133" t="inlineStr">
        <is>
          <t>AB</t>
        </is>
      </c>
      <c r="H1133">
        <f>IF(A1133&lt;=NWeeks,1,0)</f>
        <v/>
      </c>
      <c r="I1133">
        <f>INDEX(ChLaunch,MATCH(E1133,ChName,0))</f>
        <v/>
      </c>
      <c r="J1133">
        <f>INDEX(ChWeeksFull,MATCH(E1133,ChName,0))</f>
        <v/>
      </c>
      <c r="K1133">
        <f>INDEX(ChRamp,MATCH(E1133,ChName,0))</f>
        <v/>
      </c>
      <c r="L1133" s="45">
        <f>MIN(1,MAX(0,(A1133-I1133+1)*RampSpeed/J1133))</f>
        <v/>
      </c>
      <c r="M1133" s="45">
        <f>IF(A1133&lt;I1133,0,IF(K1133="S-curve",L1133*L1133*(3-2*L1133),L1133))</f>
        <v/>
      </c>
      <c r="N1133" s="45">
        <f>1+(INDEX(SeasonIdx,A1133)-1)*SeasonAmp</f>
        <v/>
      </c>
      <c r="O1133" s="45">
        <f>IFERROR(INDEX(PSPct,MATCH(E1133&amp;"|"&amp;G1133,PSKey,0)),0)</f>
        <v/>
      </c>
      <c r="P1133" s="46">
        <f>INDEX(ChDoorVel,MATCH(E1133,ChName,0))*CalibScalar*(1+VelocityUplift)</f>
        <v/>
      </c>
      <c r="Q1133" s="46" t="n">
        <v>0</v>
      </c>
      <c r="R1133" s="46">
        <f>P1133*O1133*M1133*N1133*H1133</f>
        <v/>
      </c>
      <c r="S1133" s="46">
        <f>R1133*INDEX(FmtCansPerCase,MATCH(F1133,FmtName,0))</f>
        <v/>
      </c>
      <c r="T1133" s="46">
        <f>S1133/INDEX(FmtCansPerPack,MATCH(F1133,FmtName,0))</f>
        <v/>
      </c>
      <c r="U1133" s="47">
        <f>INDEX(ChBaseCP,MATCH(E1133,ChName,0))*(1+INDEX(ProvMod,MATCH(G1133,ProvCode,0)))*(1+PriceIndex)</f>
        <v/>
      </c>
      <c r="V1133" s="47">
        <f>R1133*U1133*INDEX(FmtBlendedPriceIdx,MATCH(F1133,FmtName,0))</f>
        <v/>
      </c>
      <c r="W1133" s="47">
        <f>T1133*INDEX(ProvSRP,MATCH(G1133,ProvCode,0))*(1+PriceIndex)</f>
        <v/>
      </c>
      <c r="X1133" s="47">
        <f>IF(GrossBasis="Wholesale",V1133,W1133)</f>
        <v/>
      </c>
      <c r="Y1133" s="47">
        <f>R1133*INDEX(FmtBlendedCogs,MATCH(F1133,FmtName,0))</f>
        <v/>
      </c>
      <c r="Z1133" s="47">
        <f>X1133-Y1133</f>
        <v/>
      </c>
    </row>
    <row r="1134">
      <c r="A1134" t="n">
        <v>20</v>
      </c>
      <c r="B1134" s="44">
        <f>FiscalStart+(A1134-1)*7</f>
        <v/>
      </c>
      <c r="C1134">
        <f>TEXT(B1134,"mmm yyyy")</f>
        <v/>
      </c>
      <c r="D1134">
        <f>"Q"&amp;(INT((A1134-1)/13)+1)</f>
        <v/>
      </c>
      <c r="E1134" t="inlineStr">
        <is>
          <t>Fitness</t>
        </is>
      </c>
      <c r="F1134">
        <f>IFERROR(INDEX(ChFormat,MATCH(E1134,ChName,0)),"")</f>
        <v/>
      </c>
      <c r="G1134" t="inlineStr">
        <is>
          <t>AB</t>
        </is>
      </c>
      <c r="H1134">
        <f>IF(A1134&lt;=NWeeks,1,0)</f>
        <v/>
      </c>
      <c r="I1134">
        <f>INDEX(ChLaunch,MATCH(E1134,ChName,0))</f>
        <v/>
      </c>
      <c r="J1134">
        <f>INDEX(ChWeeksFull,MATCH(E1134,ChName,0))</f>
        <v/>
      </c>
      <c r="K1134">
        <f>INDEX(ChRamp,MATCH(E1134,ChName,0))</f>
        <v/>
      </c>
      <c r="L1134" s="45">
        <f>MIN(1,MAX(0,(A1134-I1134+1)*RampSpeed/J1134))</f>
        <v/>
      </c>
      <c r="M1134" s="45">
        <f>IF(A1134&lt;I1134,0,IF(K1134="S-curve",L1134*L1134*(3-2*L1134),L1134))</f>
        <v/>
      </c>
      <c r="N1134" s="45">
        <f>1+(INDEX(SeasonIdx,A1134)-1)*SeasonAmp</f>
        <v/>
      </c>
      <c r="O1134" s="45">
        <f>IFERROR(INDEX(PSPct,MATCH(E1134&amp;"|"&amp;G1134,PSKey,0)),0)</f>
        <v/>
      </c>
      <c r="P1134" s="46">
        <f>INDEX(ChDoorVel,MATCH(E1134,ChName,0))*CalibScalar*(1+VelocityUplift)</f>
        <v/>
      </c>
      <c r="Q1134" s="46" t="n">
        <v>0</v>
      </c>
      <c r="R1134" s="46">
        <f>P1134*O1134*M1134*N1134*H1134</f>
        <v/>
      </c>
      <c r="S1134" s="46">
        <f>R1134*INDEX(FmtCansPerCase,MATCH(F1134,FmtName,0))</f>
        <v/>
      </c>
      <c r="T1134" s="46">
        <f>S1134/INDEX(FmtCansPerPack,MATCH(F1134,FmtName,0))</f>
        <v/>
      </c>
      <c r="U1134" s="47">
        <f>INDEX(ChBaseCP,MATCH(E1134,ChName,0))*(1+INDEX(ProvMod,MATCH(G1134,ProvCode,0)))*(1+PriceIndex)</f>
        <v/>
      </c>
      <c r="V1134" s="47">
        <f>R1134*U1134*INDEX(FmtBlendedPriceIdx,MATCH(F1134,FmtName,0))</f>
        <v/>
      </c>
      <c r="W1134" s="47">
        <f>T1134*INDEX(ProvSRP,MATCH(G1134,ProvCode,0))*(1+PriceIndex)</f>
        <v/>
      </c>
      <c r="X1134" s="47">
        <f>IF(GrossBasis="Wholesale",V1134,W1134)</f>
        <v/>
      </c>
      <c r="Y1134" s="47">
        <f>R1134*INDEX(FmtBlendedCogs,MATCH(F1134,FmtName,0))</f>
        <v/>
      </c>
      <c r="Z1134" s="47">
        <f>X1134-Y1134</f>
        <v/>
      </c>
    </row>
    <row r="1135">
      <c r="A1135" t="n">
        <v>21</v>
      </c>
      <c r="B1135" s="44">
        <f>FiscalStart+(A1135-1)*7</f>
        <v/>
      </c>
      <c r="C1135">
        <f>TEXT(B1135,"mmm yyyy")</f>
        <v/>
      </c>
      <c r="D1135">
        <f>"Q"&amp;(INT((A1135-1)/13)+1)</f>
        <v/>
      </c>
      <c r="E1135" t="inlineStr">
        <is>
          <t>Fitness</t>
        </is>
      </c>
      <c r="F1135">
        <f>IFERROR(INDEX(ChFormat,MATCH(E1135,ChName,0)),"")</f>
        <v/>
      </c>
      <c r="G1135" t="inlineStr">
        <is>
          <t>AB</t>
        </is>
      </c>
      <c r="H1135">
        <f>IF(A1135&lt;=NWeeks,1,0)</f>
        <v/>
      </c>
      <c r="I1135">
        <f>INDEX(ChLaunch,MATCH(E1135,ChName,0))</f>
        <v/>
      </c>
      <c r="J1135">
        <f>INDEX(ChWeeksFull,MATCH(E1135,ChName,0))</f>
        <v/>
      </c>
      <c r="K1135">
        <f>INDEX(ChRamp,MATCH(E1135,ChName,0))</f>
        <v/>
      </c>
      <c r="L1135" s="45">
        <f>MIN(1,MAX(0,(A1135-I1135+1)*RampSpeed/J1135))</f>
        <v/>
      </c>
      <c r="M1135" s="45">
        <f>IF(A1135&lt;I1135,0,IF(K1135="S-curve",L1135*L1135*(3-2*L1135),L1135))</f>
        <v/>
      </c>
      <c r="N1135" s="45">
        <f>1+(INDEX(SeasonIdx,A1135)-1)*SeasonAmp</f>
        <v/>
      </c>
      <c r="O1135" s="45">
        <f>IFERROR(INDEX(PSPct,MATCH(E1135&amp;"|"&amp;G1135,PSKey,0)),0)</f>
        <v/>
      </c>
      <c r="P1135" s="46">
        <f>INDEX(ChDoorVel,MATCH(E1135,ChName,0))*CalibScalar*(1+VelocityUplift)</f>
        <v/>
      </c>
      <c r="Q1135" s="46" t="n">
        <v>0</v>
      </c>
      <c r="R1135" s="46">
        <f>P1135*O1135*M1135*N1135*H1135</f>
        <v/>
      </c>
      <c r="S1135" s="46">
        <f>R1135*INDEX(FmtCansPerCase,MATCH(F1135,FmtName,0))</f>
        <v/>
      </c>
      <c r="T1135" s="46">
        <f>S1135/INDEX(FmtCansPerPack,MATCH(F1135,FmtName,0))</f>
        <v/>
      </c>
      <c r="U1135" s="47">
        <f>INDEX(ChBaseCP,MATCH(E1135,ChName,0))*(1+INDEX(ProvMod,MATCH(G1135,ProvCode,0)))*(1+PriceIndex)</f>
        <v/>
      </c>
      <c r="V1135" s="47">
        <f>R1135*U1135*INDEX(FmtBlendedPriceIdx,MATCH(F1135,FmtName,0))</f>
        <v/>
      </c>
      <c r="W1135" s="47">
        <f>T1135*INDEX(ProvSRP,MATCH(G1135,ProvCode,0))*(1+PriceIndex)</f>
        <v/>
      </c>
      <c r="X1135" s="47">
        <f>IF(GrossBasis="Wholesale",V1135,W1135)</f>
        <v/>
      </c>
      <c r="Y1135" s="47">
        <f>R1135*INDEX(FmtBlendedCogs,MATCH(F1135,FmtName,0))</f>
        <v/>
      </c>
      <c r="Z1135" s="47">
        <f>X1135-Y1135</f>
        <v/>
      </c>
    </row>
    <row r="1136">
      <c r="A1136" t="n">
        <v>22</v>
      </c>
      <c r="B1136" s="44">
        <f>FiscalStart+(A1136-1)*7</f>
        <v/>
      </c>
      <c r="C1136">
        <f>TEXT(B1136,"mmm yyyy")</f>
        <v/>
      </c>
      <c r="D1136">
        <f>"Q"&amp;(INT((A1136-1)/13)+1)</f>
        <v/>
      </c>
      <c r="E1136" t="inlineStr">
        <is>
          <t>Fitness</t>
        </is>
      </c>
      <c r="F1136">
        <f>IFERROR(INDEX(ChFormat,MATCH(E1136,ChName,0)),"")</f>
        <v/>
      </c>
      <c r="G1136" t="inlineStr">
        <is>
          <t>AB</t>
        </is>
      </c>
      <c r="H1136">
        <f>IF(A1136&lt;=NWeeks,1,0)</f>
        <v/>
      </c>
      <c r="I1136">
        <f>INDEX(ChLaunch,MATCH(E1136,ChName,0))</f>
        <v/>
      </c>
      <c r="J1136">
        <f>INDEX(ChWeeksFull,MATCH(E1136,ChName,0))</f>
        <v/>
      </c>
      <c r="K1136">
        <f>INDEX(ChRamp,MATCH(E1136,ChName,0))</f>
        <v/>
      </c>
      <c r="L1136" s="45">
        <f>MIN(1,MAX(0,(A1136-I1136+1)*RampSpeed/J1136))</f>
        <v/>
      </c>
      <c r="M1136" s="45">
        <f>IF(A1136&lt;I1136,0,IF(K1136="S-curve",L1136*L1136*(3-2*L1136),L1136))</f>
        <v/>
      </c>
      <c r="N1136" s="45">
        <f>1+(INDEX(SeasonIdx,A1136)-1)*SeasonAmp</f>
        <v/>
      </c>
      <c r="O1136" s="45">
        <f>IFERROR(INDEX(PSPct,MATCH(E1136&amp;"|"&amp;G1136,PSKey,0)),0)</f>
        <v/>
      </c>
      <c r="P1136" s="46">
        <f>INDEX(ChDoorVel,MATCH(E1136,ChName,0))*CalibScalar*(1+VelocityUplift)</f>
        <v/>
      </c>
      <c r="Q1136" s="46" t="n">
        <v>0</v>
      </c>
      <c r="R1136" s="46">
        <f>P1136*O1136*M1136*N1136*H1136</f>
        <v/>
      </c>
      <c r="S1136" s="46">
        <f>R1136*INDEX(FmtCansPerCase,MATCH(F1136,FmtName,0))</f>
        <v/>
      </c>
      <c r="T1136" s="46">
        <f>S1136/INDEX(FmtCansPerPack,MATCH(F1136,FmtName,0))</f>
        <v/>
      </c>
      <c r="U1136" s="47">
        <f>INDEX(ChBaseCP,MATCH(E1136,ChName,0))*(1+INDEX(ProvMod,MATCH(G1136,ProvCode,0)))*(1+PriceIndex)</f>
        <v/>
      </c>
      <c r="V1136" s="47">
        <f>R1136*U1136*INDEX(FmtBlendedPriceIdx,MATCH(F1136,FmtName,0))</f>
        <v/>
      </c>
      <c r="W1136" s="47">
        <f>T1136*INDEX(ProvSRP,MATCH(G1136,ProvCode,0))*(1+PriceIndex)</f>
        <v/>
      </c>
      <c r="X1136" s="47">
        <f>IF(GrossBasis="Wholesale",V1136,W1136)</f>
        <v/>
      </c>
      <c r="Y1136" s="47">
        <f>R1136*INDEX(FmtBlendedCogs,MATCH(F1136,FmtName,0))</f>
        <v/>
      </c>
      <c r="Z1136" s="47">
        <f>X1136-Y1136</f>
        <v/>
      </c>
    </row>
    <row r="1137">
      <c r="A1137" t="n">
        <v>23</v>
      </c>
      <c r="B1137" s="44">
        <f>FiscalStart+(A1137-1)*7</f>
        <v/>
      </c>
      <c r="C1137">
        <f>TEXT(B1137,"mmm yyyy")</f>
        <v/>
      </c>
      <c r="D1137">
        <f>"Q"&amp;(INT((A1137-1)/13)+1)</f>
        <v/>
      </c>
      <c r="E1137" t="inlineStr">
        <is>
          <t>Fitness</t>
        </is>
      </c>
      <c r="F1137">
        <f>IFERROR(INDEX(ChFormat,MATCH(E1137,ChName,0)),"")</f>
        <v/>
      </c>
      <c r="G1137" t="inlineStr">
        <is>
          <t>AB</t>
        </is>
      </c>
      <c r="H1137">
        <f>IF(A1137&lt;=NWeeks,1,0)</f>
        <v/>
      </c>
      <c r="I1137">
        <f>INDEX(ChLaunch,MATCH(E1137,ChName,0))</f>
        <v/>
      </c>
      <c r="J1137">
        <f>INDEX(ChWeeksFull,MATCH(E1137,ChName,0))</f>
        <v/>
      </c>
      <c r="K1137">
        <f>INDEX(ChRamp,MATCH(E1137,ChName,0))</f>
        <v/>
      </c>
      <c r="L1137" s="45">
        <f>MIN(1,MAX(0,(A1137-I1137+1)*RampSpeed/J1137))</f>
        <v/>
      </c>
      <c r="M1137" s="45">
        <f>IF(A1137&lt;I1137,0,IF(K1137="S-curve",L1137*L1137*(3-2*L1137),L1137))</f>
        <v/>
      </c>
      <c r="N1137" s="45">
        <f>1+(INDEX(SeasonIdx,A1137)-1)*SeasonAmp</f>
        <v/>
      </c>
      <c r="O1137" s="45">
        <f>IFERROR(INDEX(PSPct,MATCH(E1137&amp;"|"&amp;G1137,PSKey,0)),0)</f>
        <v/>
      </c>
      <c r="P1137" s="46">
        <f>INDEX(ChDoorVel,MATCH(E1137,ChName,0))*CalibScalar*(1+VelocityUplift)</f>
        <v/>
      </c>
      <c r="Q1137" s="46" t="n">
        <v>0</v>
      </c>
      <c r="R1137" s="46">
        <f>P1137*O1137*M1137*N1137*H1137</f>
        <v/>
      </c>
      <c r="S1137" s="46">
        <f>R1137*INDEX(FmtCansPerCase,MATCH(F1137,FmtName,0))</f>
        <v/>
      </c>
      <c r="T1137" s="46">
        <f>S1137/INDEX(FmtCansPerPack,MATCH(F1137,FmtName,0))</f>
        <v/>
      </c>
      <c r="U1137" s="47">
        <f>INDEX(ChBaseCP,MATCH(E1137,ChName,0))*(1+INDEX(ProvMod,MATCH(G1137,ProvCode,0)))*(1+PriceIndex)</f>
        <v/>
      </c>
      <c r="V1137" s="47">
        <f>R1137*U1137*INDEX(FmtBlendedPriceIdx,MATCH(F1137,FmtName,0))</f>
        <v/>
      </c>
      <c r="W1137" s="47">
        <f>T1137*INDEX(ProvSRP,MATCH(G1137,ProvCode,0))*(1+PriceIndex)</f>
        <v/>
      </c>
      <c r="X1137" s="47">
        <f>IF(GrossBasis="Wholesale",V1137,W1137)</f>
        <v/>
      </c>
      <c r="Y1137" s="47">
        <f>R1137*INDEX(FmtBlendedCogs,MATCH(F1137,FmtName,0))</f>
        <v/>
      </c>
      <c r="Z1137" s="47">
        <f>X1137-Y1137</f>
        <v/>
      </c>
    </row>
    <row r="1138">
      <c r="A1138" t="n">
        <v>24</v>
      </c>
      <c r="B1138" s="44">
        <f>FiscalStart+(A1138-1)*7</f>
        <v/>
      </c>
      <c r="C1138">
        <f>TEXT(B1138,"mmm yyyy")</f>
        <v/>
      </c>
      <c r="D1138">
        <f>"Q"&amp;(INT((A1138-1)/13)+1)</f>
        <v/>
      </c>
      <c r="E1138" t="inlineStr">
        <is>
          <t>Fitness</t>
        </is>
      </c>
      <c r="F1138">
        <f>IFERROR(INDEX(ChFormat,MATCH(E1138,ChName,0)),"")</f>
        <v/>
      </c>
      <c r="G1138" t="inlineStr">
        <is>
          <t>AB</t>
        </is>
      </c>
      <c r="H1138">
        <f>IF(A1138&lt;=NWeeks,1,0)</f>
        <v/>
      </c>
      <c r="I1138">
        <f>INDEX(ChLaunch,MATCH(E1138,ChName,0))</f>
        <v/>
      </c>
      <c r="J1138">
        <f>INDEX(ChWeeksFull,MATCH(E1138,ChName,0))</f>
        <v/>
      </c>
      <c r="K1138">
        <f>INDEX(ChRamp,MATCH(E1138,ChName,0))</f>
        <v/>
      </c>
      <c r="L1138" s="45">
        <f>MIN(1,MAX(0,(A1138-I1138+1)*RampSpeed/J1138))</f>
        <v/>
      </c>
      <c r="M1138" s="45">
        <f>IF(A1138&lt;I1138,0,IF(K1138="S-curve",L1138*L1138*(3-2*L1138),L1138))</f>
        <v/>
      </c>
      <c r="N1138" s="45">
        <f>1+(INDEX(SeasonIdx,A1138)-1)*SeasonAmp</f>
        <v/>
      </c>
      <c r="O1138" s="45">
        <f>IFERROR(INDEX(PSPct,MATCH(E1138&amp;"|"&amp;G1138,PSKey,0)),0)</f>
        <v/>
      </c>
      <c r="P1138" s="46">
        <f>INDEX(ChDoorVel,MATCH(E1138,ChName,0))*CalibScalar*(1+VelocityUplift)</f>
        <v/>
      </c>
      <c r="Q1138" s="46" t="n">
        <v>0</v>
      </c>
      <c r="R1138" s="46">
        <f>P1138*O1138*M1138*N1138*H1138</f>
        <v/>
      </c>
      <c r="S1138" s="46">
        <f>R1138*INDEX(FmtCansPerCase,MATCH(F1138,FmtName,0))</f>
        <v/>
      </c>
      <c r="T1138" s="46">
        <f>S1138/INDEX(FmtCansPerPack,MATCH(F1138,FmtName,0))</f>
        <v/>
      </c>
      <c r="U1138" s="47">
        <f>INDEX(ChBaseCP,MATCH(E1138,ChName,0))*(1+INDEX(ProvMod,MATCH(G1138,ProvCode,0)))*(1+PriceIndex)</f>
        <v/>
      </c>
      <c r="V1138" s="47">
        <f>R1138*U1138*INDEX(FmtBlendedPriceIdx,MATCH(F1138,FmtName,0))</f>
        <v/>
      </c>
      <c r="W1138" s="47">
        <f>T1138*INDEX(ProvSRP,MATCH(G1138,ProvCode,0))*(1+PriceIndex)</f>
        <v/>
      </c>
      <c r="X1138" s="47">
        <f>IF(GrossBasis="Wholesale",V1138,W1138)</f>
        <v/>
      </c>
      <c r="Y1138" s="47">
        <f>R1138*INDEX(FmtBlendedCogs,MATCH(F1138,FmtName,0))</f>
        <v/>
      </c>
      <c r="Z1138" s="47">
        <f>X1138-Y1138</f>
        <v/>
      </c>
    </row>
    <row r="1139">
      <c r="A1139" t="n">
        <v>25</v>
      </c>
      <c r="B1139" s="44">
        <f>FiscalStart+(A1139-1)*7</f>
        <v/>
      </c>
      <c r="C1139">
        <f>TEXT(B1139,"mmm yyyy")</f>
        <v/>
      </c>
      <c r="D1139">
        <f>"Q"&amp;(INT((A1139-1)/13)+1)</f>
        <v/>
      </c>
      <c r="E1139" t="inlineStr">
        <is>
          <t>Fitness</t>
        </is>
      </c>
      <c r="F1139">
        <f>IFERROR(INDEX(ChFormat,MATCH(E1139,ChName,0)),"")</f>
        <v/>
      </c>
      <c r="G1139" t="inlineStr">
        <is>
          <t>AB</t>
        </is>
      </c>
      <c r="H1139">
        <f>IF(A1139&lt;=NWeeks,1,0)</f>
        <v/>
      </c>
      <c r="I1139">
        <f>INDEX(ChLaunch,MATCH(E1139,ChName,0))</f>
        <v/>
      </c>
      <c r="J1139">
        <f>INDEX(ChWeeksFull,MATCH(E1139,ChName,0))</f>
        <v/>
      </c>
      <c r="K1139">
        <f>INDEX(ChRamp,MATCH(E1139,ChName,0))</f>
        <v/>
      </c>
      <c r="L1139" s="45">
        <f>MIN(1,MAX(0,(A1139-I1139+1)*RampSpeed/J1139))</f>
        <v/>
      </c>
      <c r="M1139" s="45">
        <f>IF(A1139&lt;I1139,0,IF(K1139="S-curve",L1139*L1139*(3-2*L1139),L1139))</f>
        <v/>
      </c>
      <c r="N1139" s="45">
        <f>1+(INDEX(SeasonIdx,A1139)-1)*SeasonAmp</f>
        <v/>
      </c>
      <c r="O1139" s="45">
        <f>IFERROR(INDEX(PSPct,MATCH(E1139&amp;"|"&amp;G1139,PSKey,0)),0)</f>
        <v/>
      </c>
      <c r="P1139" s="46">
        <f>INDEX(ChDoorVel,MATCH(E1139,ChName,0))*CalibScalar*(1+VelocityUplift)</f>
        <v/>
      </c>
      <c r="Q1139" s="46" t="n">
        <v>0</v>
      </c>
      <c r="R1139" s="46">
        <f>P1139*O1139*M1139*N1139*H1139</f>
        <v/>
      </c>
      <c r="S1139" s="46">
        <f>R1139*INDEX(FmtCansPerCase,MATCH(F1139,FmtName,0))</f>
        <v/>
      </c>
      <c r="T1139" s="46">
        <f>S1139/INDEX(FmtCansPerPack,MATCH(F1139,FmtName,0))</f>
        <v/>
      </c>
      <c r="U1139" s="47">
        <f>INDEX(ChBaseCP,MATCH(E1139,ChName,0))*(1+INDEX(ProvMod,MATCH(G1139,ProvCode,0)))*(1+PriceIndex)</f>
        <v/>
      </c>
      <c r="V1139" s="47">
        <f>R1139*U1139*INDEX(FmtBlendedPriceIdx,MATCH(F1139,FmtName,0))</f>
        <v/>
      </c>
      <c r="W1139" s="47">
        <f>T1139*INDEX(ProvSRP,MATCH(G1139,ProvCode,0))*(1+PriceIndex)</f>
        <v/>
      </c>
      <c r="X1139" s="47">
        <f>IF(GrossBasis="Wholesale",V1139,W1139)</f>
        <v/>
      </c>
      <c r="Y1139" s="47">
        <f>R1139*INDEX(FmtBlendedCogs,MATCH(F1139,FmtName,0))</f>
        <v/>
      </c>
      <c r="Z1139" s="47">
        <f>X1139-Y1139</f>
        <v/>
      </c>
    </row>
    <row r="1140">
      <c r="A1140" t="n">
        <v>26</v>
      </c>
      <c r="B1140" s="44">
        <f>FiscalStart+(A1140-1)*7</f>
        <v/>
      </c>
      <c r="C1140">
        <f>TEXT(B1140,"mmm yyyy")</f>
        <v/>
      </c>
      <c r="D1140">
        <f>"Q"&amp;(INT((A1140-1)/13)+1)</f>
        <v/>
      </c>
      <c r="E1140" t="inlineStr">
        <is>
          <t>Fitness</t>
        </is>
      </c>
      <c r="F1140">
        <f>IFERROR(INDEX(ChFormat,MATCH(E1140,ChName,0)),"")</f>
        <v/>
      </c>
      <c r="G1140" t="inlineStr">
        <is>
          <t>AB</t>
        </is>
      </c>
      <c r="H1140">
        <f>IF(A1140&lt;=NWeeks,1,0)</f>
        <v/>
      </c>
      <c r="I1140">
        <f>INDEX(ChLaunch,MATCH(E1140,ChName,0))</f>
        <v/>
      </c>
      <c r="J1140">
        <f>INDEX(ChWeeksFull,MATCH(E1140,ChName,0))</f>
        <v/>
      </c>
      <c r="K1140">
        <f>INDEX(ChRamp,MATCH(E1140,ChName,0))</f>
        <v/>
      </c>
      <c r="L1140" s="45">
        <f>MIN(1,MAX(0,(A1140-I1140+1)*RampSpeed/J1140))</f>
        <v/>
      </c>
      <c r="M1140" s="45">
        <f>IF(A1140&lt;I1140,0,IF(K1140="S-curve",L1140*L1140*(3-2*L1140),L1140))</f>
        <v/>
      </c>
      <c r="N1140" s="45">
        <f>1+(INDEX(SeasonIdx,A1140)-1)*SeasonAmp</f>
        <v/>
      </c>
      <c r="O1140" s="45">
        <f>IFERROR(INDEX(PSPct,MATCH(E1140&amp;"|"&amp;G1140,PSKey,0)),0)</f>
        <v/>
      </c>
      <c r="P1140" s="46">
        <f>INDEX(ChDoorVel,MATCH(E1140,ChName,0))*CalibScalar*(1+VelocityUplift)</f>
        <v/>
      </c>
      <c r="Q1140" s="46" t="n">
        <v>0</v>
      </c>
      <c r="R1140" s="46">
        <f>P1140*O1140*M1140*N1140*H1140</f>
        <v/>
      </c>
      <c r="S1140" s="46">
        <f>R1140*INDEX(FmtCansPerCase,MATCH(F1140,FmtName,0))</f>
        <v/>
      </c>
      <c r="T1140" s="46">
        <f>S1140/INDEX(FmtCansPerPack,MATCH(F1140,FmtName,0))</f>
        <v/>
      </c>
      <c r="U1140" s="47">
        <f>INDEX(ChBaseCP,MATCH(E1140,ChName,0))*(1+INDEX(ProvMod,MATCH(G1140,ProvCode,0)))*(1+PriceIndex)</f>
        <v/>
      </c>
      <c r="V1140" s="47">
        <f>R1140*U1140*INDEX(FmtBlendedPriceIdx,MATCH(F1140,FmtName,0))</f>
        <v/>
      </c>
      <c r="W1140" s="47">
        <f>T1140*INDEX(ProvSRP,MATCH(G1140,ProvCode,0))*(1+PriceIndex)</f>
        <v/>
      </c>
      <c r="X1140" s="47">
        <f>IF(GrossBasis="Wholesale",V1140,W1140)</f>
        <v/>
      </c>
      <c r="Y1140" s="47">
        <f>R1140*INDEX(FmtBlendedCogs,MATCH(F1140,FmtName,0))</f>
        <v/>
      </c>
      <c r="Z1140" s="47">
        <f>X1140-Y1140</f>
        <v/>
      </c>
    </row>
    <row r="1141">
      <c r="A1141" t="n">
        <v>27</v>
      </c>
      <c r="B1141" s="44">
        <f>FiscalStart+(A1141-1)*7</f>
        <v/>
      </c>
      <c r="C1141">
        <f>TEXT(B1141,"mmm yyyy")</f>
        <v/>
      </c>
      <c r="D1141">
        <f>"Q"&amp;(INT((A1141-1)/13)+1)</f>
        <v/>
      </c>
      <c r="E1141" t="inlineStr">
        <is>
          <t>Fitness</t>
        </is>
      </c>
      <c r="F1141">
        <f>IFERROR(INDEX(ChFormat,MATCH(E1141,ChName,0)),"")</f>
        <v/>
      </c>
      <c r="G1141" t="inlineStr">
        <is>
          <t>AB</t>
        </is>
      </c>
      <c r="H1141">
        <f>IF(A1141&lt;=NWeeks,1,0)</f>
        <v/>
      </c>
      <c r="I1141">
        <f>INDEX(ChLaunch,MATCH(E1141,ChName,0))</f>
        <v/>
      </c>
      <c r="J1141">
        <f>INDEX(ChWeeksFull,MATCH(E1141,ChName,0))</f>
        <v/>
      </c>
      <c r="K1141">
        <f>INDEX(ChRamp,MATCH(E1141,ChName,0))</f>
        <v/>
      </c>
      <c r="L1141" s="45">
        <f>MIN(1,MAX(0,(A1141-I1141+1)*RampSpeed/J1141))</f>
        <v/>
      </c>
      <c r="M1141" s="45">
        <f>IF(A1141&lt;I1141,0,IF(K1141="S-curve",L1141*L1141*(3-2*L1141),L1141))</f>
        <v/>
      </c>
      <c r="N1141" s="45">
        <f>1+(INDEX(SeasonIdx,A1141)-1)*SeasonAmp</f>
        <v/>
      </c>
      <c r="O1141" s="45">
        <f>IFERROR(INDEX(PSPct,MATCH(E1141&amp;"|"&amp;G1141,PSKey,0)),0)</f>
        <v/>
      </c>
      <c r="P1141" s="46">
        <f>INDEX(ChDoorVel,MATCH(E1141,ChName,0))*CalibScalar*(1+VelocityUplift)</f>
        <v/>
      </c>
      <c r="Q1141" s="46" t="n">
        <v>0</v>
      </c>
      <c r="R1141" s="46">
        <f>P1141*O1141*M1141*N1141*H1141</f>
        <v/>
      </c>
      <c r="S1141" s="46">
        <f>R1141*INDEX(FmtCansPerCase,MATCH(F1141,FmtName,0))</f>
        <v/>
      </c>
      <c r="T1141" s="46">
        <f>S1141/INDEX(FmtCansPerPack,MATCH(F1141,FmtName,0))</f>
        <v/>
      </c>
      <c r="U1141" s="47">
        <f>INDEX(ChBaseCP,MATCH(E1141,ChName,0))*(1+INDEX(ProvMod,MATCH(G1141,ProvCode,0)))*(1+PriceIndex)</f>
        <v/>
      </c>
      <c r="V1141" s="47">
        <f>R1141*U1141*INDEX(FmtBlendedPriceIdx,MATCH(F1141,FmtName,0))</f>
        <v/>
      </c>
      <c r="W1141" s="47">
        <f>T1141*INDEX(ProvSRP,MATCH(G1141,ProvCode,0))*(1+PriceIndex)</f>
        <v/>
      </c>
      <c r="X1141" s="47">
        <f>IF(GrossBasis="Wholesale",V1141,W1141)</f>
        <v/>
      </c>
      <c r="Y1141" s="47">
        <f>R1141*INDEX(FmtBlendedCogs,MATCH(F1141,FmtName,0))</f>
        <v/>
      </c>
      <c r="Z1141" s="47">
        <f>X1141-Y1141</f>
        <v/>
      </c>
    </row>
    <row r="1142">
      <c r="A1142" t="n">
        <v>28</v>
      </c>
      <c r="B1142" s="44">
        <f>FiscalStart+(A1142-1)*7</f>
        <v/>
      </c>
      <c r="C1142">
        <f>TEXT(B1142,"mmm yyyy")</f>
        <v/>
      </c>
      <c r="D1142">
        <f>"Q"&amp;(INT((A1142-1)/13)+1)</f>
        <v/>
      </c>
      <c r="E1142" t="inlineStr">
        <is>
          <t>Fitness</t>
        </is>
      </c>
      <c r="F1142">
        <f>IFERROR(INDEX(ChFormat,MATCH(E1142,ChName,0)),"")</f>
        <v/>
      </c>
      <c r="G1142" t="inlineStr">
        <is>
          <t>AB</t>
        </is>
      </c>
      <c r="H1142">
        <f>IF(A1142&lt;=NWeeks,1,0)</f>
        <v/>
      </c>
      <c r="I1142">
        <f>INDEX(ChLaunch,MATCH(E1142,ChName,0))</f>
        <v/>
      </c>
      <c r="J1142">
        <f>INDEX(ChWeeksFull,MATCH(E1142,ChName,0))</f>
        <v/>
      </c>
      <c r="K1142">
        <f>INDEX(ChRamp,MATCH(E1142,ChName,0))</f>
        <v/>
      </c>
      <c r="L1142" s="45">
        <f>MIN(1,MAX(0,(A1142-I1142+1)*RampSpeed/J1142))</f>
        <v/>
      </c>
      <c r="M1142" s="45">
        <f>IF(A1142&lt;I1142,0,IF(K1142="S-curve",L1142*L1142*(3-2*L1142),L1142))</f>
        <v/>
      </c>
      <c r="N1142" s="45">
        <f>1+(INDEX(SeasonIdx,A1142)-1)*SeasonAmp</f>
        <v/>
      </c>
      <c r="O1142" s="45">
        <f>IFERROR(INDEX(PSPct,MATCH(E1142&amp;"|"&amp;G1142,PSKey,0)),0)</f>
        <v/>
      </c>
      <c r="P1142" s="46">
        <f>INDEX(ChDoorVel,MATCH(E1142,ChName,0))*CalibScalar*(1+VelocityUplift)</f>
        <v/>
      </c>
      <c r="Q1142" s="46" t="n">
        <v>0</v>
      </c>
      <c r="R1142" s="46">
        <f>P1142*O1142*M1142*N1142*H1142</f>
        <v/>
      </c>
      <c r="S1142" s="46">
        <f>R1142*INDEX(FmtCansPerCase,MATCH(F1142,FmtName,0))</f>
        <v/>
      </c>
      <c r="T1142" s="46">
        <f>S1142/INDEX(FmtCansPerPack,MATCH(F1142,FmtName,0))</f>
        <v/>
      </c>
      <c r="U1142" s="47">
        <f>INDEX(ChBaseCP,MATCH(E1142,ChName,0))*(1+INDEX(ProvMod,MATCH(G1142,ProvCode,0)))*(1+PriceIndex)</f>
        <v/>
      </c>
      <c r="V1142" s="47">
        <f>R1142*U1142*INDEX(FmtBlendedPriceIdx,MATCH(F1142,FmtName,0))</f>
        <v/>
      </c>
      <c r="W1142" s="47">
        <f>T1142*INDEX(ProvSRP,MATCH(G1142,ProvCode,0))*(1+PriceIndex)</f>
        <v/>
      </c>
      <c r="X1142" s="47">
        <f>IF(GrossBasis="Wholesale",V1142,W1142)</f>
        <v/>
      </c>
      <c r="Y1142" s="47">
        <f>R1142*INDEX(FmtBlendedCogs,MATCH(F1142,FmtName,0))</f>
        <v/>
      </c>
      <c r="Z1142" s="47">
        <f>X1142-Y1142</f>
        <v/>
      </c>
    </row>
    <row r="1143">
      <c r="A1143" t="n">
        <v>29</v>
      </c>
      <c r="B1143" s="44">
        <f>FiscalStart+(A1143-1)*7</f>
        <v/>
      </c>
      <c r="C1143">
        <f>TEXT(B1143,"mmm yyyy")</f>
        <v/>
      </c>
      <c r="D1143">
        <f>"Q"&amp;(INT((A1143-1)/13)+1)</f>
        <v/>
      </c>
      <c r="E1143" t="inlineStr">
        <is>
          <t>Fitness</t>
        </is>
      </c>
      <c r="F1143">
        <f>IFERROR(INDEX(ChFormat,MATCH(E1143,ChName,0)),"")</f>
        <v/>
      </c>
      <c r="G1143" t="inlineStr">
        <is>
          <t>AB</t>
        </is>
      </c>
      <c r="H1143">
        <f>IF(A1143&lt;=NWeeks,1,0)</f>
        <v/>
      </c>
      <c r="I1143">
        <f>INDEX(ChLaunch,MATCH(E1143,ChName,0))</f>
        <v/>
      </c>
      <c r="J1143">
        <f>INDEX(ChWeeksFull,MATCH(E1143,ChName,0))</f>
        <v/>
      </c>
      <c r="K1143">
        <f>INDEX(ChRamp,MATCH(E1143,ChName,0))</f>
        <v/>
      </c>
      <c r="L1143" s="45">
        <f>MIN(1,MAX(0,(A1143-I1143+1)*RampSpeed/J1143))</f>
        <v/>
      </c>
      <c r="M1143" s="45">
        <f>IF(A1143&lt;I1143,0,IF(K1143="S-curve",L1143*L1143*(3-2*L1143),L1143))</f>
        <v/>
      </c>
      <c r="N1143" s="45">
        <f>1+(INDEX(SeasonIdx,A1143)-1)*SeasonAmp</f>
        <v/>
      </c>
      <c r="O1143" s="45">
        <f>IFERROR(INDEX(PSPct,MATCH(E1143&amp;"|"&amp;G1143,PSKey,0)),0)</f>
        <v/>
      </c>
      <c r="P1143" s="46">
        <f>INDEX(ChDoorVel,MATCH(E1143,ChName,0))*CalibScalar*(1+VelocityUplift)</f>
        <v/>
      </c>
      <c r="Q1143" s="46" t="n">
        <v>0</v>
      </c>
      <c r="R1143" s="46">
        <f>P1143*O1143*M1143*N1143*H1143</f>
        <v/>
      </c>
      <c r="S1143" s="46">
        <f>R1143*INDEX(FmtCansPerCase,MATCH(F1143,FmtName,0))</f>
        <v/>
      </c>
      <c r="T1143" s="46">
        <f>S1143/INDEX(FmtCansPerPack,MATCH(F1143,FmtName,0))</f>
        <v/>
      </c>
      <c r="U1143" s="47">
        <f>INDEX(ChBaseCP,MATCH(E1143,ChName,0))*(1+INDEX(ProvMod,MATCH(G1143,ProvCode,0)))*(1+PriceIndex)</f>
        <v/>
      </c>
      <c r="V1143" s="47">
        <f>R1143*U1143*INDEX(FmtBlendedPriceIdx,MATCH(F1143,FmtName,0))</f>
        <v/>
      </c>
      <c r="W1143" s="47">
        <f>T1143*INDEX(ProvSRP,MATCH(G1143,ProvCode,0))*(1+PriceIndex)</f>
        <v/>
      </c>
      <c r="X1143" s="47">
        <f>IF(GrossBasis="Wholesale",V1143,W1143)</f>
        <v/>
      </c>
      <c r="Y1143" s="47">
        <f>R1143*INDEX(FmtBlendedCogs,MATCH(F1143,FmtName,0))</f>
        <v/>
      </c>
      <c r="Z1143" s="47">
        <f>X1143-Y1143</f>
        <v/>
      </c>
    </row>
    <row r="1144">
      <c r="A1144" t="n">
        <v>30</v>
      </c>
      <c r="B1144" s="44">
        <f>FiscalStart+(A1144-1)*7</f>
        <v/>
      </c>
      <c r="C1144">
        <f>TEXT(B1144,"mmm yyyy")</f>
        <v/>
      </c>
      <c r="D1144">
        <f>"Q"&amp;(INT((A1144-1)/13)+1)</f>
        <v/>
      </c>
      <c r="E1144" t="inlineStr">
        <is>
          <t>Fitness</t>
        </is>
      </c>
      <c r="F1144">
        <f>IFERROR(INDEX(ChFormat,MATCH(E1144,ChName,0)),"")</f>
        <v/>
      </c>
      <c r="G1144" t="inlineStr">
        <is>
          <t>AB</t>
        </is>
      </c>
      <c r="H1144">
        <f>IF(A1144&lt;=NWeeks,1,0)</f>
        <v/>
      </c>
      <c r="I1144">
        <f>INDEX(ChLaunch,MATCH(E1144,ChName,0))</f>
        <v/>
      </c>
      <c r="J1144">
        <f>INDEX(ChWeeksFull,MATCH(E1144,ChName,0))</f>
        <v/>
      </c>
      <c r="K1144">
        <f>INDEX(ChRamp,MATCH(E1144,ChName,0))</f>
        <v/>
      </c>
      <c r="L1144" s="45">
        <f>MIN(1,MAX(0,(A1144-I1144+1)*RampSpeed/J1144))</f>
        <v/>
      </c>
      <c r="M1144" s="45">
        <f>IF(A1144&lt;I1144,0,IF(K1144="S-curve",L1144*L1144*(3-2*L1144),L1144))</f>
        <v/>
      </c>
      <c r="N1144" s="45">
        <f>1+(INDEX(SeasonIdx,A1144)-1)*SeasonAmp</f>
        <v/>
      </c>
      <c r="O1144" s="45">
        <f>IFERROR(INDEX(PSPct,MATCH(E1144&amp;"|"&amp;G1144,PSKey,0)),0)</f>
        <v/>
      </c>
      <c r="P1144" s="46">
        <f>INDEX(ChDoorVel,MATCH(E1144,ChName,0))*CalibScalar*(1+VelocityUplift)</f>
        <v/>
      </c>
      <c r="Q1144" s="46" t="n">
        <v>0</v>
      </c>
      <c r="R1144" s="46">
        <f>P1144*O1144*M1144*N1144*H1144</f>
        <v/>
      </c>
      <c r="S1144" s="46">
        <f>R1144*INDEX(FmtCansPerCase,MATCH(F1144,FmtName,0))</f>
        <v/>
      </c>
      <c r="T1144" s="46">
        <f>S1144/INDEX(FmtCansPerPack,MATCH(F1144,FmtName,0))</f>
        <v/>
      </c>
      <c r="U1144" s="47">
        <f>INDEX(ChBaseCP,MATCH(E1144,ChName,0))*(1+INDEX(ProvMod,MATCH(G1144,ProvCode,0)))*(1+PriceIndex)</f>
        <v/>
      </c>
      <c r="V1144" s="47">
        <f>R1144*U1144*INDEX(FmtBlendedPriceIdx,MATCH(F1144,FmtName,0))</f>
        <v/>
      </c>
      <c r="W1144" s="47">
        <f>T1144*INDEX(ProvSRP,MATCH(G1144,ProvCode,0))*(1+PriceIndex)</f>
        <v/>
      </c>
      <c r="X1144" s="47">
        <f>IF(GrossBasis="Wholesale",V1144,W1144)</f>
        <v/>
      </c>
      <c r="Y1144" s="47">
        <f>R1144*INDEX(FmtBlendedCogs,MATCH(F1144,FmtName,0))</f>
        <v/>
      </c>
      <c r="Z1144" s="47">
        <f>X1144-Y1144</f>
        <v/>
      </c>
    </row>
    <row r="1145">
      <c r="A1145" t="n">
        <v>31</v>
      </c>
      <c r="B1145" s="44">
        <f>FiscalStart+(A1145-1)*7</f>
        <v/>
      </c>
      <c r="C1145">
        <f>TEXT(B1145,"mmm yyyy")</f>
        <v/>
      </c>
      <c r="D1145">
        <f>"Q"&amp;(INT((A1145-1)/13)+1)</f>
        <v/>
      </c>
      <c r="E1145" t="inlineStr">
        <is>
          <t>Fitness</t>
        </is>
      </c>
      <c r="F1145">
        <f>IFERROR(INDEX(ChFormat,MATCH(E1145,ChName,0)),"")</f>
        <v/>
      </c>
      <c r="G1145" t="inlineStr">
        <is>
          <t>AB</t>
        </is>
      </c>
      <c r="H1145">
        <f>IF(A1145&lt;=NWeeks,1,0)</f>
        <v/>
      </c>
      <c r="I1145">
        <f>INDEX(ChLaunch,MATCH(E1145,ChName,0))</f>
        <v/>
      </c>
      <c r="J1145">
        <f>INDEX(ChWeeksFull,MATCH(E1145,ChName,0))</f>
        <v/>
      </c>
      <c r="K1145">
        <f>INDEX(ChRamp,MATCH(E1145,ChName,0))</f>
        <v/>
      </c>
      <c r="L1145" s="45">
        <f>MIN(1,MAX(0,(A1145-I1145+1)*RampSpeed/J1145))</f>
        <v/>
      </c>
      <c r="M1145" s="45">
        <f>IF(A1145&lt;I1145,0,IF(K1145="S-curve",L1145*L1145*(3-2*L1145),L1145))</f>
        <v/>
      </c>
      <c r="N1145" s="45">
        <f>1+(INDEX(SeasonIdx,A1145)-1)*SeasonAmp</f>
        <v/>
      </c>
      <c r="O1145" s="45">
        <f>IFERROR(INDEX(PSPct,MATCH(E1145&amp;"|"&amp;G1145,PSKey,0)),0)</f>
        <v/>
      </c>
      <c r="P1145" s="46">
        <f>INDEX(ChDoorVel,MATCH(E1145,ChName,0))*CalibScalar*(1+VelocityUplift)</f>
        <v/>
      </c>
      <c r="Q1145" s="46" t="n">
        <v>0</v>
      </c>
      <c r="R1145" s="46">
        <f>P1145*O1145*M1145*N1145*H1145</f>
        <v/>
      </c>
      <c r="S1145" s="46">
        <f>R1145*INDEX(FmtCansPerCase,MATCH(F1145,FmtName,0))</f>
        <v/>
      </c>
      <c r="T1145" s="46">
        <f>S1145/INDEX(FmtCansPerPack,MATCH(F1145,FmtName,0))</f>
        <v/>
      </c>
      <c r="U1145" s="47">
        <f>INDEX(ChBaseCP,MATCH(E1145,ChName,0))*(1+INDEX(ProvMod,MATCH(G1145,ProvCode,0)))*(1+PriceIndex)</f>
        <v/>
      </c>
      <c r="V1145" s="47">
        <f>R1145*U1145*INDEX(FmtBlendedPriceIdx,MATCH(F1145,FmtName,0))</f>
        <v/>
      </c>
      <c r="W1145" s="47">
        <f>T1145*INDEX(ProvSRP,MATCH(G1145,ProvCode,0))*(1+PriceIndex)</f>
        <v/>
      </c>
      <c r="X1145" s="47">
        <f>IF(GrossBasis="Wholesale",V1145,W1145)</f>
        <v/>
      </c>
      <c r="Y1145" s="47">
        <f>R1145*INDEX(FmtBlendedCogs,MATCH(F1145,FmtName,0))</f>
        <v/>
      </c>
      <c r="Z1145" s="47">
        <f>X1145-Y1145</f>
        <v/>
      </c>
    </row>
    <row r="1146">
      <c r="A1146" t="n">
        <v>32</v>
      </c>
      <c r="B1146" s="44">
        <f>FiscalStart+(A1146-1)*7</f>
        <v/>
      </c>
      <c r="C1146">
        <f>TEXT(B1146,"mmm yyyy")</f>
        <v/>
      </c>
      <c r="D1146">
        <f>"Q"&amp;(INT((A1146-1)/13)+1)</f>
        <v/>
      </c>
      <c r="E1146" t="inlineStr">
        <is>
          <t>Fitness</t>
        </is>
      </c>
      <c r="F1146">
        <f>IFERROR(INDEX(ChFormat,MATCH(E1146,ChName,0)),"")</f>
        <v/>
      </c>
      <c r="G1146" t="inlineStr">
        <is>
          <t>AB</t>
        </is>
      </c>
      <c r="H1146">
        <f>IF(A1146&lt;=NWeeks,1,0)</f>
        <v/>
      </c>
      <c r="I1146">
        <f>INDEX(ChLaunch,MATCH(E1146,ChName,0))</f>
        <v/>
      </c>
      <c r="J1146">
        <f>INDEX(ChWeeksFull,MATCH(E1146,ChName,0))</f>
        <v/>
      </c>
      <c r="K1146">
        <f>INDEX(ChRamp,MATCH(E1146,ChName,0))</f>
        <v/>
      </c>
      <c r="L1146" s="45">
        <f>MIN(1,MAX(0,(A1146-I1146+1)*RampSpeed/J1146))</f>
        <v/>
      </c>
      <c r="M1146" s="45">
        <f>IF(A1146&lt;I1146,0,IF(K1146="S-curve",L1146*L1146*(3-2*L1146),L1146))</f>
        <v/>
      </c>
      <c r="N1146" s="45">
        <f>1+(INDEX(SeasonIdx,A1146)-1)*SeasonAmp</f>
        <v/>
      </c>
      <c r="O1146" s="45">
        <f>IFERROR(INDEX(PSPct,MATCH(E1146&amp;"|"&amp;G1146,PSKey,0)),0)</f>
        <v/>
      </c>
      <c r="P1146" s="46">
        <f>INDEX(ChDoorVel,MATCH(E1146,ChName,0))*CalibScalar*(1+VelocityUplift)</f>
        <v/>
      </c>
      <c r="Q1146" s="46" t="n">
        <v>0</v>
      </c>
      <c r="R1146" s="46">
        <f>P1146*O1146*M1146*N1146*H1146</f>
        <v/>
      </c>
      <c r="S1146" s="46">
        <f>R1146*INDEX(FmtCansPerCase,MATCH(F1146,FmtName,0))</f>
        <v/>
      </c>
      <c r="T1146" s="46">
        <f>S1146/INDEX(FmtCansPerPack,MATCH(F1146,FmtName,0))</f>
        <v/>
      </c>
      <c r="U1146" s="47">
        <f>INDEX(ChBaseCP,MATCH(E1146,ChName,0))*(1+INDEX(ProvMod,MATCH(G1146,ProvCode,0)))*(1+PriceIndex)</f>
        <v/>
      </c>
      <c r="V1146" s="47">
        <f>R1146*U1146*INDEX(FmtBlendedPriceIdx,MATCH(F1146,FmtName,0))</f>
        <v/>
      </c>
      <c r="W1146" s="47">
        <f>T1146*INDEX(ProvSRP,MATCH(G1146,ProvCode,0))*(1+PriceIndex)</f>
        <v/>
      </c>
      <c r="X1146" s="47">
        <f>IF(GrossBasis="Wholesale",V1146,W1146)</f>
        <v/>
      </c>
      <c r="Y1146" s="47">
        <f>R1146*INDEX(FmtBlendedCogs,MATCH(F1146,FmtName,0))</f>
        <v/>
      </c>
      <c r="Z1146" s="47">
        <f>X1146-Y1146</f>
        <v/>
      </c>
    </row>
    <row r="1147">
      <c r="A1147" t="n">
        <v>33</v>
      </c>
      <c r="B1147" s="44">
        <f>FiscalStart+(A1147-1)*7</f>
        <v/>
      </c>
      <c r="C1147">
        <f>TEXT(B1147,"mmm yyyy")</f>
        <v/>
      </c>
      <c r="D1147">
        <f>"Q"&amp;(INT((A1147-1)/13)+1)</f>
        <v/>
      </c>
      <c r="E1147" t="inlineStr">
        <is>
          <t>Fitness</t>
        </is>
      </c>
      <c r="F1147">
        <f>IFERROR(INDEX(ChFormat,MATCH(E1147,ChName,0)),"")</f>
        <v/>
      </c>
      <c r="G1147" t="inlineStr">
        <is>
          <t>AB</t>
        </is>
      </c>
      <c r="H1147">
        <f>IF(A1147&lt;=NWeeks,1,0)</f>
        <v/>
      </c>
      <c r="I1147">
        <f>INDEX(ChLaunch,MATCH(E1147,ChName,0))</f>
        <v/>
      </c>
      <c r="J1147">
        <f>INDEX(ChWeeksFull,MATCH(E1147,ChName,0))</f>
        <v/>
      </c>
      <c r="K1147">
        <f>INDEX(ChRamp,MATCH(E1147,ChName,0))</f>
        <v/>
      </c>
      <c r="L1147" s="45">
        <f>MIN(1,MAX(0,(A1147-I1147+1)*RampSpeed/J1147))</f>
        <v/>
      </c>
      <c r="M1147" s="45">
        <f>IF(A1147&lt;I1147,0,IF(K1147="S-curve",L1147*L1147*(3-2*L1147),L1147))</f>
        <v/>
      </c>
      <c r="N1147" s="45">
        <f>1+(INDEX(SeasonIdx,A1147)-1)*SeasonAmp</f>
        <v/>
      </c>
      <c r="O1147" s="45">
        <f>IFERROR(INDEX(PSPct,MATCH(E1147&amp;"|"&amp;G1147,PSKey,0)),0)</f>
        <v/>
      </c>
      <c r="P1147" s="46">
        <f>INDEX(ChDoorVel,MATCH(E1147,ChName,0))*CalibScalar*(1+VelocityUplift)</f>
        <v/>
      </c>
      <c r="Q1147" s="46" t="n">
        <v>0</v>
      </c>
      <c r="R1147" s="46">
        <f>P1147*O1147*M1147*N1147*H1147</f>
        <v/>
      </c>
      <c r="S1147" s="46">
        <f>R1147*INDEX(FmtCansPerCase,MATCH(F1147,FmtName,0))</f>
        <v/>
      </c>
      <c r="T1147" s="46">
        <f>S1147/INDEX(FmtCansPerPack,MATCH(F1147,FmtName,0))</f>
        <v/>
      </c>
      <c r="U1147" s="47">
        <f>INDEX(ChBaseCP,MATCH(E1147,ChName,0))*(1+INDEX(ProvMod,MATCH(G1147,ProvCode,0)))*(1+PriceIndex)</f>
        <v/>
      </c>
      <c r="V1147" s="47">
        <f>R1147*U1147*INDEX(FmtBlendedPriceIdx,MATCH(F1147,FmtName,0))</f>
        <v/>
      </c>
      <c r="W1147" s="47">
        <f>T1147*INDEX(ProvSRP,MATCH(G1147,ProvCode,0))*(1+PriceIndex)</f>
        <v/>
      </c>
      <c r="X1147" s="47">
        <f>IF(GrossBasis="Wholesale",V1147,W1147)</f>
        <v/>
      </c>
      <c r="Y1147" s="47">
        <f>R1147*INDEX(FmtBlendedCogs,MATCH(F1147,FmtName,0))</f>
        <v/>
      </c>
      <c r="Z1147" s="47">
        <f>X1147-Y1147</f>
        <v/>
      </c>
    </row>
    <row r="1148">
      <c r="A1148" t="n">
        <v>34</v>
      </c>
      <c r="B1148" s="44">
        <f>FiscalStart+(A1148-1)*7</f>
        <v/>
      </c>
      <c r="C1148">
        <f>TEXT(B1148,"mmm yyyy")</f>
        <v/>
      </c>
      <c r="D1148">
        <f>"Q"&amp;(INT((A1148-1)/13)+1)</f>
        <v/>
      </c>
      <c r="E1148" t="inlineStr">
        <is>
          <t>Fitness</t>
        </is>
      </c>
      <c r="F1148">
        <f>IFERROR(INDEX(ChFormat,MATCH(E1148,ChName,0)),"")</f>
        <v/>
      </c>
      <c r="G1148" t="inlineStr">
        <is>
          <t>AB</t>
        </is>
      </c>
      <c r="H1148">
        <f>IF(A1148&lt;=NWeeks,1,0)</f>
        <v/>
      </c>
      <c r="I1148">
        <f>INDEX(ChLaunch,MATCH(E1148,ChName,0))</f>
        <v/>
      </c>
      <c r="J1148">
        <f>INDEX(ChWeeksFull,MATCH(E1148,ChName,0))</f>
        <v/>
      </c>
      <c r="K1148">
        <f>INDEX(ChRamp,MATCH(E1148,ChName,0))</f>
        <v/>
      </c>
      <c r="L1148" s="45">
        <f>MIN(1,MAX(0,(A1148-I1148+1)*RampSpeed/J1148))</f>
        <v/>
      </c>
      <c r="M1148" s="45">
        <f>IF(A1148&lt;I1148,0,IF(K1148="S-curve",L1148*L1148*(3-2*L1148),L1148))</f>
        <v/>
      </c>
      <c r="N1148" s="45">
        <f>1+(INDEX(SeasonIdx,A1148)-1)*SeasonAmp</f>
        <v/>
      </c>
      <c r="O1148" s="45">
        <f>IFERROR(INDEX(PSPct,MATCH(E1148&amp;"|"&amp;G1148,PSKey,0)),0)</f>
        <v/>
      </c>
      <c r="P1148" s="46">
        <f>INDEX(ChDoorVel,MATCH(E1148,ChName,0))*CalibScalar*(1+VelocityUplift)</f>
        <v/>
      </c>
      <c r="Q1148" s="46" t="n">
        <v>0</v>
      </c>
      <c r="R1148" s="46">
        <f>P1148*O1148*M1148*N1148*H1148</f>
        <v/>
      </c>
      <c r="S1148" s="46">
        <f>R1148*INDEX(FmtCansPerCase,MATCH(F1148,FmtName,0))</f>
        <v/>
      </c>
      <c r="T1148" s="46">
        <f>S1148/INDEX(FmtCansPerPack,MATCH(F1148,FmtName,0))</f>
        <v/>
      </c>
      <c r="U1148" s="47">
        <f>INDEX(ChBaseCP,MATCH(E1148,ChName,0))*(1+INDEX(ProvMod,MATCH(G1148,ProvCode,0)))*(1+PriceIndex)</f>
        <v/>
      </c>
      <c r="V1148" s="47">
        <f>R1148*U1148*INDEX(FmtBlendedPriceIdx,MATCH(F1148,FmtName,0))</f>
        <v/>
      </c>
      <c r="W1148" s="47">
        <f>T1148*INDEX(ProvSRP,MATCH(G1148,ProvCode,0))*(1+PriceIndex)</f>
        <v/>
      </c>
      <c r="X1148" s="47">
        <f>IF(GrossBasis="Wholesale",V1148,W1148)</f>
        <v/>
      </c>
      <c r="Y1148" s="47">
        <f>R1148*INDEX(FmtBlendedCogs,MATCH(F1148,FmtName,0))</f>
        <v/>
      </c>
      <c r="Z1148" s="47">
        <f>X1148-Y1148</f>
        <v/>
      </c>
    </row>
    <row r="1149">
      <c r="A1149" t="n">
        <v>35</v>
      </c>
      <c r="B1149" s="44">
        <f>FiscalStart+(A1149-1)*7</f>
        <v/>
      </c>
      <c r="C1149">
        <f>TEXT(B1149,"mmm yyyy")</f>
        <v/>
      </c>
      <c r="D1149">
        <f>"Q"&amp;(INT((A1149-1)/13)+1)</f>
        <v/>
      </c>
      <c r="E1149" t="inlineStr">
        <is>
          <t>Fitness</t>
        </is>
      </c>
      <c r="F1149">
        <f>IFERROR(INDEX(ChFormat,MATCH(E1149,ChName,0)),"")</f>
        <v/>
      </c>
      <c r="G1149" t="inlineStr">
        <is>
          <t>AB</t>
        </is>
      </c>
      <c r="H1149">
        <f>IF(A1149&lt;=NWeeks,1,0)</f>
        <v/>
      </c>
      <c r="I1149">
        <f>INDEX(ChLaunch,MATCH(E1149,ChName,0))</f>
        <v/>
      </c>
      <c r="J1149">
        <f>INDEX(ChWeeksFull,MATCH(E1149,ChName,0))</f>
        <v/>
      </c>
      <c r="K1149">
        <f>INDEX(ChRamp,MATCH(E1149,ChName,0))</f>
        <v/>
      </c>
      <c r="L1149" s="45">
        <f>MIN(1,MAX(0,(A1149-I1149+1)*RampSpeed/J1149))</f>
        <v/>
      </c>
      <c r="M1149" s="45">
        <f>IF(A1149&lt;I1149,0,IF(K1149="S-curve",L1149*L1149*(3-2*L1149),L1149))</f>
        <v/>
      </c>
      <c r="N1149" s="45">
        <f>1+(INDEX(SeasonIdx,A1149)-1)*SeasonAmp</f>
        <v/>
      </c>
      <c r="O1149" s="45">
        <f>IFERROR(INDEX(PSPct,MATCH(E1149&amp;"|"&amp;G1149,PSKey,0)),0)</f>
        <v/>
      </c>
      <c r="P1149" s="46">
        <f>INDEX(ChDoorVel,MATCH(E1149,ChName,0))*CalibScalar*(1+VelocityUplift)</f>
        <v/>
      </c>
      <c r="Q1149" s="46" t="n">
        <v>0</v>
      </c>
      <c r="R1149" s="46">
        <f>P1149*O1149*M1149*N1149*H1149</f>
        <v/>
      </c>
      <c r="S1149" s="46">
        <f>R1149*INDEX(FmtCansPerCase,MATCH(F1149,FmtName,0))</f>
        <v/>
      </c>
      <c r="T1149" s="46">
        <f>S1149/INDEX(FmtCansPerPack,MATCH(F1149,FmtName,0))</f>
        <v/>
      </c>
      <c r="U1149" s="47">
        <f>INDEX(ChBaseCP,MATCH(E1149,ChName,0))*(1+INDEX(ProvMod,MATCH(G1149,ProvCode,0)))*(1+PriceIndex)</f>
        <v/>
      </c>
      <c r="V1149" s="47">
        <f>R1149*U1149*INDEX(FmtBlendedPriceIdx,MATCH(F1149,FmtName,0))</f>
        <v/>
      </c>
      <c r="W1149" s="47">
        <f>T1149*INDEX(ProvSRP,MATCH(G1149,ProvCode,0))*(1+PriceIndex)</f>
        <v/>
      </c>
      <c r="X1149" s="47">
        <f>IF(GrossBasis="Wholesale",V1149,W1149)</f>
        <v/>
      </c>
      <c r="Y1149" s="47">
        <f>R1149*INDEX(FmtBlendedCogs,MATCH(F1149,FmtName,0))</f>
        <v/>
      </c>
      <c r="Z1149" s="47">
        <f>X1149-Y1149</f>
        <v/>
      </c>
    </row>
    <row r="1150">
      <c r="A1150" t="n">
        <v>36</v>
      </c>
      <c r="B1150" s="44">
        <f>FiscalStart+(A1150-1)*7</f>
        <v/>
      </c>
      <c r="C1150">
        <f>TEXT(B1150,"mmm yyyy")</f>
        <v/>
      </c>
      <c r="D1150">
        <f>"Q"&amp;(INT((A1150-1)/13)+1)</f>
        <v/>
      </c>
      <c r="E1150" t="inlineStr">
        <is>
          <t>Fitness</t>
        </is>
      </c>
      <c r="F1150">
        <f>IFERROR(INDEX(ChFormat,MATCH(E1150,ChName,0)),"")</f>
        <v/>
      </c>
      <c r="G1150" t="inlineStr">
        <is>
          <t>AB</t>
        </is>
      </c>
      <c r="H1150">
        <f>IF(A1150&lt;=NWeeks,1,0)</f>
        <v/>
      </c>
      <c r="I1150">
        <f>INDEX(ChLaunch,MATCH(E1150,ChName,0))</f>
        <v/>
      </c>
      <c r="J1150">
        <f>INDEX(ChWeeksFull,MATCH(E1150,ChName,0))</f>
        <v/>
      </c>
      <c r="K1150">
        <f>INDEX(ChRamp,MATCH(E1150,ChName,0))</f>
        <v/>
      </c>
      <c r="L1150" s="45">
        <f>MIN(1,MAX(0,(A1150-I1150+1)*RampSpeed/J1150))</f>
        <v/>
      </c>
      <c r="M1150" s="45">
        <f>IF(A1150&lt;I1150,0,IF(K1150="S-curve",L1150*L1150*(3-2*L1150),L1150))</f>
        <v/>
      </c>
      <c r="N1150" s="45">
        <f>1+(INDEX(SeasonIdx,A1150)-1)*SeasonAmp</f>
        <v/>
      </c>
      <c r="O1150" s="45">
        <f>IFERROR(INDEX(PSPct,MATCH(E1150&amp;"|"&amp;G1150,PSKey,0)),0)</f>
        <v/>
      </c>
      <c r="P1150" s="46">
        <f>INDEX(ChDoorVel,MATCH(E1150,ChName,0))*CalibScalar*(1+VelocityUplift)</f>
        <v/>
      </c>
      <c r="Q1150" s="46" t="n">
        <v>0</v>
      </c>
      <c r="R1150" s="46">
        <f>P1150*O1150*M1150*N1150*H1150</f>
        <v/>
      </c>
      <c r="S1150" s="46">
        <f>R1150*INDEX(FmtCansPerCase,MATCH(F1150,FmtName,0))</f>
        <v/>
      </c>
      <c r="T1150" s="46">
        <f>S1150/INDEX(FmtCansPerPack,MATCH(F1150,FmtName,0))</f>
        <v/>
      </c>
      <c r="U1150" s="47">
        <f>INDEX(ChBaseCP,MATCH(E1150,ChName,0))*(1+INDEX(ProvMod,MATCH(G1150,ProvCode,0)))*(1+PriceIndex)</f>
        <v/>
      </c>
      <c r="V1150" s="47">
        <f>R1150*U1150*INDEX(FmtBlendedPriceIdx,MATCH(F1150,FmtName,0))</f>
        <v/>
      </c>
      <c r="W1150" s="47">
        <f>T1150*INDEX(ProvSRP,MATCH(G1150,ProvCode,0))*(1+PriceIndex)</f>
        <v/>
      </c>
      <c r="X1150" s="47">
        <f>IF(GrossBasis="Wholesale",V1150,W1150)</f>
        <v/>
      </c>
      <c r="Y1150" s="47">
        <f>R1150*INDEX(FmtBlendedCogs,MATCH(F1150,FmtName,0))</f>
        <v/>
      </c>
      <c r="Z1150" s="47">
        <f>X1150-Y1150</f>
        <v/>
      </c>
    </row>
    <row r="1151">
      <c r="A1151" t="n">
        <v>37</v>
      </c>
      <c r="B1151" s="44">
        <f>FiscalStart+(A1151-1)*7</f>
        <v/>
      </c>
      <c r="C1151">
        <f>TEXT(B1151,"mmm yyyy")</f>
        <v/>
      </c>
      <c r="D1151">
        <f>"Q"&amp;(INT((A1151-1)/13)+1)</f>
        <v/>
      </c>
      <c r="E1151" t="inlineStr">
        <is>
          <t>Fitness</t>
        </is>
      </c>
      <c r="F1151">
        <f>IFERROR(INDEX(ChFormat,MATCH(E1151,ChName,0)),"")</f>
        <v/>
      </c>
      <c r="G1151" t="inlineStr">
        <is>
          <t>AB</t>
        </is>
      </c>
      <c r="H1151">
        <f>IF(A1151&lt;=NWeeks,1,0)</f>
        <v/>
      </c>
      <c r="I1151">
        <f>INDEX(ChLaunch,MATCH(E1151,ChName,0))</f>
        <v/>
      </c>
      <c r="J1151">
        <f>INDEX(ChWeeksFull,MATCH(E1151,ChName,0))</f>
        <v/>
      </c>
      <c r="K1151">
        <f>INDEX(ChRamp,MATCH(E1151,ChName,0))</f>
        <v/>
      </c>
      <c r="L1151" s="45">
        <f>MIN(1,MAX(0,(A1151-I1151+1)*RampSpeed/J1151))</f>
        <v/>
      </c>
      <c r="M1151" s="45">
        <f>IF(A1151&lt;I1151,0,IF(K1151="S-curve",L1151*L1151*(3-2*L1151),L1151))</f>
        <v/>
      </c>
      <c r="N1151" s="45">
        <f>1+(INDEX(SeasonIdx,A1151)-1)*SeasonAmp</f>
        <v/>
      </c>
      <c r="O1151" s="45">
        <f>IFERROR(INDEX(PSPct,MATCH(E1151&amp;"|"&amp;G1151,PSKey,0)),0)</f>
        <v/>
      </c>
      <c r="P1151" s="46">
        <f>INDEX(ChDoorVel,MATCH(E1151,ChName,0))*CalibScalar*(1+VelocityUplift)</f>
        <v/>
      </c>
      <c r="Q1151" s="46" t="n">
        <v>0</v>
      </c>
      <c r="R1151" s="46">
        <f>P1151*O1151*M1151*N1151*H1151</f>
        <v/>
      </c>
      <c r="S1151" s="46">
        <f>R1151*INDEX(FmtCansPerCase,MATCH(F1151,FmtName,0))</f>
        <v/>
      </c>
      <c r="T1151" s="46">
        <f>S1151/INDEX(FmtCansPerPack,MATCH(F1151,FmtName,0))</f>
        <v/>
      </c>
      <c r="U1151" s="47">
        <f>INDEX(ChBaseCP,MATCH(E1151,ChName,0))*(1+INDEX(ProvMod,MATCH(G1151,ProvCode,0)))*(1+PriceIndex)</f>
        <v/>
      </c>
      <c r="V1151" s="47">
        <f>R1151*U1151*INDEX(FmtBlendedPriceIdx,MATCH(F1151,FmtName,0))</f>
        <v/>
      </c>
      <c r="W1151" s="47">
        <f>T1151*INDEX(ProvSRP,MATCH(G1151,ProvCode,0))*(1+PriceIndex)</f>
        <v/>
      </c>
      <c r="X1151" s="47">
        <f>IF(GrossBasis="Wholesale",V1151,W1151)</f>
        <v/>
      </c>
      <c r="Y1151" s="47">
        <f>R1151*INDEX(FmtBlendedCogs,MATCH(F1151,FmtName,0))</f>
        <v/>
      </c>
      <c r="Z1151" s="47">
        <f>X1151-Y1151</f>
        <v/>
      </c>
    </row>
    <row r="1152">
      <c r="A1152" t="n">
        <v>38</v>
      </c>
      <c r="B1152" s="44">
        <f>FiscalStart+(A1152-1)*7</f>
        <v/>
      </c>
      <c r="C1152">
        <f>TEXT(B1152,"mmm yyyy")</f>
        <v/>
      </c>
      <c r="D1152">
        <f>"Q"&amp;(INT((A1152-1)/13)+1)</f>
        <v/>
      </c>
      <c r="E1152" t="inlineStr">
        <is>
          <t>Fitness</t>
        </is>
      </c>
      <c r="F1152">
        <f>IFERROR(INDEX(ChFormat,MATCH(E1152,ChName,0)),"")</f>
        <v/>
      </c>
      <c r="G1152" t="inlineStr">
        <is>
          <t>AB</t>
        </is>
      </c>
      <c r="H1152">
        <f>IF(A1152&lt;=NWeeks,1,0)</f>
        <v/>
      </c>
      <c r="I1152">
        <f>INDEX(ChLaunch,MATCH(E1152,ChName,0))</f>
        <v/>
      </c>
      <c r="J1152">
        <f>INDEX(ChWeeksFull,MATCH(E1152,ChName,0))</f>
        <v/>
      </c>
      <c r="K1152">
        <f>INDEX(ChRamp,MATCH(E1152,ChName,0))</f>
        <v/>
      </c>
      <c r="L1152" s="45">
        <f>MIN(1,MAX(0,(A1152-I1152+1)*RampSpeed/J1152))</f>
        <v/>
      </c>
      <c r="M1152" s="45">
        <f>IF(A1152&lt;I1152,0,IF(K1152="S-curve",L1152*L1152*(3-2*L1152),L1152))</f>
        <v/>
      </c>
      <c r="N1152" s="45">
        <f>1+(INDEX(SeasonIdx,A1152)-1)*SeasonAmp</f>
        <v/>
      </c>
      <c r="O1152" s="45">
        <f>IFERROR(INDEX(PSPct,MATCH(E1152&amp;"|"&amp;G1152,PSKey,0)),0)</f>
        <v/>
      </c>
      <c r="P1152" s="46">
        <f>INDEX(ChDoorVel,MATCH(E1152,ChName,0))*CalibScalar*(1+VelocityUplift)</f>
        <v/>
      </c>
      <c r="Q1152" s="46" t="n">
        <v>0</v>
      </c>
      <c r="R1152" s="46">
        <f>P1152*O1152*M1152*N1152*H1152</f>
        <v/>
      </c>
      <c r="S1152" s="46">
        <f>R1152*INDEX(FmtCansPerCase,MATCH(F1152,FmtName,0))</f>
        <v/>
      </c>
      <c r="T1152" s="46">
        <f>S1152/INDEX(FmtCansPerPack,MATCH(F1152,FmtName,0))</f>
        <v/>
      </c>
      <c r="U1152" s="47">
        <f>INDEX(ChBaseCP,MATCH(E1152,ChName,0))*(1+INDEX(ProvMod,MATCH(G1152,ProvCode,0)))*(1+PriceIndex)</f>
        <v/>
      </c>
      <c r="V1152" s="47">
        <f>R1152*U1152*INDEX(FmtBlendedPriceIdx,MATCH(F1152,FmtName,0))</f>
        <v/>
      </c>
      <c r="W1152" s="47">
        <f>T1152*INDEX(ProvSRP,MATCH(G1152,ProvCode,0))*(1+PriceIndex)</f>
        <v/>
      </c>
      <c r="X1152" s="47">
        <f>IF(GrossBasis="Wholesale",V1152,W1152)</f>
        <v/>
      </c>
      <c r="Y1152" s="47">
        <f>R1152*INDEX(FmtBlendedCogs,MATCH(F1152,FmtName,0))</f>
        <v/>
      </c>
      <c r="Z1152" s="47">
        <f>X1152-Y1152</f>
        <v/>
      </c>
    </row>
    <row r="1153">
      <c r="A1153" t="n">
        <v>39</v>
      </c>
      <c r="B1153" s="44">
        <f>FiscalStart+(A1153-1)*7</f>
        <v/>
      </c>
      <c r="C1153">
        <f>TEXT(B1153,"mmm yyyy")</f>
        <v/>
      </c>
      <c r="D1153">
        <f>"Q"&amp;(INT((A1153-1)/13)+1)</f>
        <v/>
      </c>
      <c r="E1153" t="inlineStr">
        <is>
          <t>Fitness</t>
        </is>
      </c>
      <c r="F1153">
        <f>IFERROR(INDEX(ChFormat,MATCH(E1153,ChName,0)),"")</f>
        <v/>
      </c>
      <c r="G1153" t="inlineStr">
        <is>
          <t>AB</t>
        </is>
      </c>
      <c r="H1153">
        <f>IF(A1153&lt;=NWeeks,1,0)</f>
        <v/>
      </c>
      <c r="I1153">
        <f>INDEX(ChLaunch,MATCH(E1153,ChName,0))</f>
        <v/>
      </c>
      <c r="J1153">
        <f>INDEX(ChWeeksFull,MATCH(E1153,ChName,0))</f>
        <v/>
      </c>
      <c r="K1153">
        <f>INDEX(ChRamp,MATCH(E1153,ChName,0))</f>
        <v/>
      </c>
      <c r="L1153" s="45">
        <f>MIN(1,MAX(0,(A1153-I1153+1)*RampSpeed/J1153))</f>
        <v/>
      </c>
      <c r="M1153" s="45">
        <f>IF(A1153&lt;I1153,0,IF(K1153="S-curve",L1153*L1153*(3-2*L1153),L1153))</f>
        <v/>
      </c>
      <c r="N1153" s="45">
        <f>1+(INDEX(SeasonIdx,A1153)-1)*SeasonAmp</f>
        <v/>
      </c>
      <c r="O1153" s="45">
        <f>IFERROR(INDEX(PSPct,MATCH(E1153&amp;"|"&amp;G1153,PSKey,0)),0)</f>
        <v/>
      </c>
      <c r="P1153" s="46">
        <f>INDEX(ChDoorVel,MATCH(E1153,ChName,0))*CalibScalar*(1+VelocityUplift)</f>
        <v/>
      </c>
      <c r="Q1153" s="46" t="n">
        <v>0</v>
      </c>
      <c r="R1153" s="46">
        <f>P1153*O1153*M1153*N1153*H1153</f>
        <v/>
      </c>
      <c r="S1153" s="46">
        <f>R1153*INDEX(FmtCansPerCase,MATCH(F1153,FmtName,0))</f>
        <v/>
      </c>
      <c r="T1153" s="46">
        <f>S1153/INDEX(FmtCansPerPack,MATCH(F1153,FmtName,0))</f>
        <v/>
      </c>
      <c r="U1153" s="47">
        <f>INDEX(ChBaseCP,MATCH(E1153,ChName,0))*(1+INDEX(ProvMod,MATCH(G1153,ProvCode,0)))*(1+PriceIndex)</f>
        <v/>
      </c>
      <c r="V1153" s="47">
        <f>R1153*U1153*INDEX(FmtBlendedPriceIdx,MATCH(F1153,FmtName,0))</f>
        <v/>
      </c>
      <c r="W1153" s="47">
        <f>T1153*INDEX(ProvSRP,MATCH(G1153,ProvCode,0))*(1+PriceIndex)</f>
        <v/>
      </c>
      <c r="X1153" s="47">
        <f>IF(GrossBasis="Wholesale",V1153,W1153)</f>
        <v/>
      </c>
      <c r="Y1153" s="47">
        <f>R1153*INDEX(FmtBlendedCogs,MATCH(F1153,FmtName,0))</f>
        <v/>
      </c>
      <c r="Z1153" s="47">
        <f>X1153-Y1153</f>
        <v/>
      </c>
    </row>
    <row r="1154">
      <c r="A1154" t="n">
        <v>40</v>
      </c>
      <c r="B1154" s="44">
        <f>FiscalStart+(A1154-1)*7</f>
        <v/>
      </c>
      <c r="C1154">
        <f>TEXT(B1154,"mmm yyyy")</f>
        <v/>
      </c>
      <c r="D1154">
        <f>"Q"&amp;(INT((A1154-1)/13)+1)</f>
        <v/>
      </c>
      <c r="E1154" t="inlineStr">
        <is>
          <t>Fitness</t>
        </is>
      </c>
      <c r="F1154">
        <f>IFERROR(INDEX(ChFormat,MATCH(E1154,ChName,0)),"")</f>
        <v/>
      </c>
      <c r="G1154" t="inlineStr">
        <is>
          <t>AB</t>
        </is>
      </c>
      <c r="H1154">
        <f>IF(A1154&lt;=NWeeks,1,0)</f>
        <v/>
      </c>
      <c r="I1154">
        <f>INDEX(ChLaunch,MATCH(E1154,ChName,0))</f>
        <v/>
      </c>
      <c r="J1154">
        <f>INDEX(ChWeeksFull,MATCH(E1154,ChName,0))</f>
        <v/>
      </c>
      <c r="K1154">
        <f>INDEX(ChRamp,MATCH(E1154,ChName,0))</f>
        <v/>
      </c>
      <c r="L1154" s="45">
        <f>MIN(1,MAX(0,(A1154-I1154+1)*RampSpeed/J1154))</f>
        <v/>
      </c>
      <c r="M1154" s="45">
        <f>IF(A1154&lt;I1154,0,IF(K1154="S-curve",L1154*L1154*(3-2*L1154),L1154))</f>
        <v/>
      </c>
      <c r="N1154" s="45">
        <f>1+(INDEX(SeasonIdx,A1154)-1)*SeasonAmp</f>
        <v/>
      </c>
      <c r="O1154" s="45">
        <f>IFERROR(INDEX(PSPct,MATCH(E1154&amp;"|"&amp;G1154,PSKey,0)),0)</f>
        <v/>
      </c>
      <c r="P1154" s="46">
        <f>INDEX(ChDoorVel,MATCH(E1154,ChName,0))*CalibScalar*(1+VelocityUplift)</f>
        <v/>
      </c>
      <c r="Q1154" s="46" t="n">
        <v>0</v>
      </c>
      <c r="R1154" s="46">
        <f>P1154*O1154*M1154*N1154*H1154</f>
        <v/>
      </c>
      <c r="S1154" s="46">
        <f>R1154*INDEX(FmtCansPerCase,MATCH(F1154,FmtName,0))</f>
        <v/>
      </c>
      <c r="T1154" s="46">
        <f>S1154/INDEX(FmtCansPerPack,MATCH(F1154,FmtName,0))</f>
        <v/>
      </c>
      <c r="U1154" s="47">
        <f>INDEX(ChBaseCP,MATCH(E1154,ChName,0))*(1+INDEX(ProvMod,MATCH(G1154,ProvCode,0)))*(1+PriceIndex)</f>
        <v/>
      </c>
      <c r="V1154" s="47">
        <f>R1154*U1154*INDEX(FmtBlendedPriceIdx,MATCH(F1154,FmtName,0))</f>
        <v/>
      </c>
      <c r="W1154" s="47">
        <f>T1154*INDEX(ProvSRP,MATCH(G1154,ProvCode,0))*(1+PriceIndex)</f>
        <v/>
      </c>
      <c r="X1154" s="47">
        <f>IF(GrossBasis="Wholesale",V1154,W1154)</f>
        <v/>
      </c>
      <c r="Y1154" s="47">
        <f>R1154*INDEX(FmtBlendedCogs,MATCH(F1154,FmtName,0))</f>
        <v/>
      </c>
      <c r="Z1154" s="47">
        <f>X1154-Y1154</f>
        <v/>
      </c>
    </row>
    <row r="1155">
      <c r="A1155" t="n">
        <v>41</v>
      </c>
      <c r="B1155" s="44">
        <f>FiscalStart+(A1155-1)*7</f>
        <v/>
      </c>
      <c r="C1155">
        <f>TEXT(B1155,"mmm yyyy")</f>
        <v/>
      </c>
      <c r="D1155">
        <f>"Q"&amp;(INT((A1155-1)/13)+1)</f>
        <v/>
      </c>
      <c r="E1155" t="inlineStr">
        <is>
          <t>Fitness</t>
        </is>
      </c>
      <c r="F1155">
        <f>IFERROR(INDEX(ChFormat,MATCH(E1155,ChName,0)),"")</f>
        <v/>
      </c>
      <c r="G1155" t="inlineStr">
        <is>
          <t>AB</t>
        </is>
      </c>
      <c r="H1155">
        <f>IF(A1155&lt;=NWeeks,1,0)</f>
        <v/>
      </c>
      <c r="I1155">
        <f>INDEX(ChLaunch,MATCH(E1155,ChName,0))</f>
        <v/>
      </c>
      <c r="J1155">
        <f>INDEX(ChWeeksFull,MATCH(E1155,ChName,0))</f>
        <v/>
      </c>
      <c r="K1155">
        <f>INDEX(ChRamp,MATCH(E1155,ChName,0))</f>
        <v/>
      </c>
      <c r="L1155" s="45">
        <f>MIN(1,MAX(0,(A1155-I1155+1)*RampSpeed/J1155))</f>
        <v/>
      </c>
      <c r="M1155" s="45">
        <f>IF(A1155&lt;I1155,0,IF(K1155="S-curve",L1155*L1155*(3-2*L1155),L1155))</f>
        <v/>
      </c>
      <c r="N1155" s="45">
        <f>1+(INDEX(SeasonIdx,A1155)-1)*SeasonAmp</f>
        <v/>
      </c>
      <c r="O1155" s="45">
        <f>IFERROR(INDEX(PSPct,MATCH(E1155&amp;"|"&amp;G1155,PSKey,0)),0)</f>
        <v/>
      </c>
      <c r="P1155" s="46">
        <f>INDEX(ChDoorVel,MATCH(E1155,ChName,0))*CalibScalar*(1+VelocityUplift)</f>
        <v/>
      </c>
      <c r="Q1155" s="46" t="n">
        <v>0</v>
      </c>
      <c r="R1155" s="46">
        <f>P1155*O1155*M1155*N1155*H1155</f>
        <v/>
      </c>
      <c r="S1155" s="46">
        <f>R1155*INDEX(FmtCansPerCase,MATCH(F1155,FmtName,0))</f>
        <v/>
      </c>
      <c r="T1155" s="46">
        <f>S1155/INDEX(FmtCansPerPack,MATCH(F1155,FmtName,0))</f>
        <v/>
      </c>
      <c r="U1155" s="47">
        <f>INDEX(ChBaseCP,MATCH(E1155,ChName,0))*(1+INDEX(ProvMod,MATCH(G1155,ProvCode,0)))*(1+PriceIndex)</f>
        <v/>
      </c>
      <c r="V1155" s="47">
        <f>R1155*U1155*INDEX(FmtBlendedPriceIdx,MATCH(F1155,FmtName,0))</f>
        <v/>
      </c>
      <c r="W1155" s="47">
        <f>T1155*INDEX(ProvSRP,MATCH(G1155,ProvCode,0))*(1+PriceIndex)</f>
        <v/>
      </c>
      <c r="X1155" s="47">
        <f>IF(GrossBasis="Wholesale",V1155,W1155)</f>
        <v/>
      </c>
      <c r="Y1155" s="47">
        <f>R1155*INDEX(FmtBlendedCogs,MATCH(F1155,FmtName,0))</f>
        <v/>
      </c>
      <c r="Z1155" s="47">
        <f>X1155-Y1155</f>
        <v/>
      </c>
    </row>
    <row r="1156">
      <c r="A1156" t="n">
        <v>42</v>
      </c>
      <c r="B1156" s="44">
        <f>FiscalStart+(A1156-1)*7</f>
        <v/>
      </c>
      <c r="C1156">
        <f>TEXT(B1156,"mmm yyyy")</f>
        <v/>
      </c>
      <c r="D1156">
        <f>"Q"&amp;(INT((A1156-1)/13)+1)</f>
        <v/>
      </c>
      <c r="E1156" t="inlineStr">
        <is>
          <t>Fitness</t>
        </is>
      </c>
      <c r="F1156">
        <f>IFERROR(INDEX(ChFormat,MATCH(E1156,ChName,0)),"")</f>
        <v/>
      </c>
      <c r="G1156" t="inlineStr">
        <is>
          <t>AB</t>
        </is>
      </c>
      <c r="H1156">
        <f>IF(A1156&lt;=NWeeks,1,0)</f>
        <v/>
      </c>
      <c r="I1156">
        <f>INDEX(ChLaunch,MATCH(E1156,ChName,0))</f>
        <v/>
      </c>
      <c r="J1156">
        <f>INDEX(ChWeeksFull,MATCH(E1156,ChName,0))</f>
        <v/>
      </c>
      <c r="K1156">
        <f>INDEX(ChRamp,MATCH(E1156,ChName,0))</f>
        <v/>
      </c>
      <c r="L1156" s="45">
        <f>MIN(1,MAX(0,(A1156-I1156+1)*RampSpeed/J1156))</f>
        <v/>
      </c>
      <c r="M1156" s="45">
        <f>IF(A1156&lt;I1156,0,IF(K1156="S-curve",L1156*L1156*(3-2*L1156),L1156))</f>
        <v/>
      </c>
      <c r="N1156" s="45">
        <f>1+(INDEX(SeasonIdx,A1156)-1)*SeasonAmp</f>
        <v/>
      </c>
      <c r="O1156" s="45">
        <f>IFERROR(INDEX(PSPct,MATCH(E1156&amp;"|"&amp;G1156,PSKey,0)),0)</f>
        <v/>
      </c>
      <c r="P1156" s="46">
        <f>INDEX(ChDoorVel,MATCH(E1156,ChName,0))*CalibScalar*(1+VelocityUplift)</f>
        <v/>
      </c>
      <c r="Q1156" s="46" t="n">
        <v>0</v>
      </c>
      <c r="R1156" s="46">
        <f>P1156*O1156*M1156*N1156*H1156</f>
        <v/>
      </c>
      <c r="S1156" s="46">
        <f>R1156*INDEX(FmtCansPerCase,MATCH(F1156,FmtName,0))</f>
        <v/>
      </c>
      <c r="T1156" s="46">
        <f>S1156/INDEX(FmtCansPerPack,MATCH(F1156,FmtName,0))</f>
        <v/>
      </c>
      <c r="U1156" s="47">
        <f>INDEX(ChBaseCP,MATCH(E1156,ChName,0))*(1+INDEX(ProvMod,MATCH(G1156,ProvCode,0)))*(1+PriceIndex)</f>
        <v/>
      </c>
      <c r="V1156" s="47">
        <f>R1156*U1156*INDEX(FmtBlendedPriceIdx,MATCH(F1156,FmtName,0))</f>
        <v/>
      </c>
      <c r="W1156" s="47">
        <f>T1156*INDEX(ProvSRP,MATCH(G1156,ProvCode,0))*(1+PriceIndex)</f>
        <v/>
      </c>
      <c r="X1156" s="47">
        <f>IF(GrossBasis="Wholesale",V1156,W1156)</f>
        <v/>
      </c>
      <c r="Y1156" s="47">
        <f>R1156*INDEX(FmtBlendedCogs,MATCH(F1156,FmtName,0))</f>
        <v/>
      </c>
      <c r="Z1156" s="47">
        <f>X1156-Y1156</f>
        <v/>
      </c>
    </row>
    <row r="1157">
      <c r="A1157" t="n">
        <v>43</v>
      </c>
      <c r="B1157" s="44">
        <f>FiscalStart+(A1157-1)*7</f>
        <v/>
      </c>
      <c r="C1157">
        <f>TEXT(B1157,"mmm yyyy")</f>
        <v/>
      </c>
      <c r="D1157">
        <f>"Q"&amp;(INT((A1157-1)/13)+1)</f>
        <v/>
      </c>
      <c r="E1157" t="inlineStr">
        <is>
          <t>Fitness</t>
        </is>
      </c>
      <c r="F1157">
        <f>IFERROR(INDEX(ChFormat,MATCH(E1157,ChName,0)),"")</f>
        <v/>
      </c>
      <c r="G1157" t="inlineStr">
        <is>
          <t>AB</t>
        </is>
      </c>
      <c r="H1157">
        <f>IF(A1157&lt;=NWeeks,1,0)</f>
        <v/>
      </c>
      <c r="I1157">
        <f>INDEX(ChLaunch,MATCH(E1157,ChName,0))</f>
        <v/>
      </c>
      <c r="J1157">
        <f>INDEX(ChWeeksFull,MATCH(E1157,ChName,0))</f>
        <v/>
      </c>
      <c r="K1157">
        <f>INDEX(ChRamp,MATCH(E1157,ChName,0))</f>
        <v/>
      </c>
      <c r="L1157" s="45">
        <f>MIN(1,MAX(0,(A1157-I1157+1)*RampSpeed/J1157))</f>
        <v/>
      </c>
      <c r="M1157" s="45">
        <f>IF(A1157&lt;I1157,0,IF(K1157="S-curve",L1157*L1157*(3-2*L1157),L1157))</f>
        <v/>
      </c>
      <c r="N1157" s="45">
        <f>1+(INDEX(SeasonIdx,A1157)-1)*SeasonAmp</f>
        <v/>
      </c>
      <c r="O1157" s="45">
        <f>IFERROR(INDEX(PSPct,MATCH(E1157&amp;"|"&amp;G1157,PSKey,0)),0)</f>
        <v/>
      </c>
      <c r="P1157" s="46">
        <f>INDEX(ChDoorVel,MATCH(E1157,ChName,0))*CalibScalar*(1+VelocityUplift)</f>
        <v/>
      </c>
      <c r="Q1157" s="46" t="n">
        <v>0</v>
      </c>
      <c r="R1157" s="46">
        <f>P1157*O1157*M1157*N1157*H1157</f>
        <v/>
      </c>
      <c r="S1157" s="46">
        <f>R1157*INDEX(FmtCansPerCase,MATCH(F1157,FmtName,0))</f>
        <v/>
      </c>
      <c r="T1157" s="46">
        <f>S1157/INDEX(FmtCansPerPack,MATCH(F1157,FmtName,0))</f>
        <v/>
      </c>
      <c r="U1157" s="47">
        <f>INDEX(ChBaseCP,MATCH(E1157,ChName,0))*(1+INDEX(ProvMod,MATCH(G1157,ProvCode,0)))*(1+PriceIndex)</f>
        <v/>
      </c>
      <c r="V1157" s="47">
        <f>R1157*U1157*INDEX(FmtBlendedPriceIdx,MATCH(F1157,FmtName,0))</f>
        <v/>
      </c>
      <c r="W1157" s="47">
        <f>T1157*INDEX(ProvSRP,MATCH(G1157,ProvCode,0))*(1+PriceIndex)</f>
        <v/>
      </c>
      <c r="X1157" s="47">
        <f>IF(GrossBasis="Wholesale",V1157,W1157)</f>
        <v/>
      </c>
      <c r="Y1157" s="47">
        <f>R1157*INDEX(FmtBlendedCogs,MATCH(F1157,FmtName,0))</f>
        <v/>
      </c>
      <c r="Z1157" s="47">
        <f>X1157-Y1157</f>
        <v/>
      </c>
    </row>
    <row r="1158">
      <c r="A1158" t="n">
        <v>44</v>
      </c>
      <c r="B1158" s="44">
        <f>FiscalStart+(A1158-1)*7</f>
        <v/>
      </c>
      <c r="C1158">
        <f>TEXT(B1158,"mmm yyyy")</f>
        <v/>
      </c>
      <c r="D1158">
        <f>"Q"&amp;(INT((A1158-1)/13)+1)</f>
        <v/>
      </c>
      <c r="E1158" t="inlineStr">
        <is>
          <t>Fitness</t>
        </is>
      </c>
      <c r="F1158">
        <f>IFERROR(INDEX(ChFormat,MATCH(E1158,ChName,0)),"")</f>
        <v/>
      </c>
      <c r="G1158" t="inlineStr">
        <is>
          <t>AB</t>
        </is>
      </c>
      <c r="H1158">
        <f>IF(A1158&lt;=NWeeks,1,0)</f>
        <v/>
      </c>
      <c r="I1158">
        <f>INDEX(ChLaunch,MATCH(E1158,ChName,0))</f>
        <v/>
      </c>
      <c r="J1158">
        <f>INDEX(ChWeeksFull,MATCH(E1158,ChName,0))</f>
        <v/>
      </c>
      <c r="K1158">
        <f>INDEX(ChRamp,MATCH(E1158,ChName,0))</f>
        <v/>
      </c>
      <c r="L1158" s="45">
        <f>MIN(1,MAX(0,(A1158-I1158+1)*RampSpeed/J1158))</f>
        <v/>
      </c>
      <c r="M1158" s="45">
        <f>IF(A1158&lt;I1158,0,IF(K1158="S-curve",L1158*L1158*(3-2*L1158),L1158))</f>
        <v/>
      </c>
      <c r="N1158" s="45">
        <f>1+(INDEX(SeasonIdx,A1158)-1)*SeasonAmp</f>
        <v/>
      </c>
      <c r="O1158" s="45">
        <f>IFERROR(INDEX(PSPct,MATCH(E1158&amp;"|"&amp;G1158,PSKey,0)),0)</f>
        <v/>
      </c>
      <c r="P1158" s="46">
        <f>INDEX(ChDoorVel,MATCH(E1158,ChName,0))*CalibScalar*(1+VelocityUplift)</f>
        <v/>
      </c>
      <c r="Q1158" s="46" t="n">
        <v>0</v>
      </c>
      <c r="R1158" s="46">
        <f>P1158*O1158*M1158*N1158*H1158</f>
        <v/>
      </c>
      <c r="S1158" s="46">
        <f>R1158*INDEX(FmtCansPerCase,MATCH(F1158,FmtName,0))</f>
        <v/>
      </c>
      <c r="T1158" s="46">
        <f>S1158/INDEX(FmtCansPerPack,MATCH(F1158,FmtName,0))</f>
        <v/>
      </c>
      <c r="U1158" s="47">
        <f>INDEX(ChBaseCP,MATCH(E1158,ChName,0))*(1+INDEX(ProvMod,MATCH(G1158,ProvCode,0)))*(1+PriceIndex)</f>
        <v/>
      </c>
      <c r="V1158" s="47">
        <f>R1158*U1158*INDEX(FmtBlendedPriceIdx,MATCH(F1158,FmtName,0))</f>
        <v/>
      </c>
      <c r="W1158" s="47">
        <f>T1158*INDEX(ProvSRP,MATCH(G1158,ProvCode,0))*(1+PriceIndex)</f>
        <v/>
      </c>
      <c r="X1158" s="47">
        <f>IF(GrossBasis="Wholesale",V1158,W1158)</f>
        <v/>
      </c>
      <c r="Y1158" s="47">
        <f>R1158*INDEX(FmtBlendedCogs,MATCH(F1158,FmtName,0))</f>
        <v/>
      </c>
      <c r="Z1158" s="47">
        <f>X1158-Y1158</f>
        <v/>
      </c>
    </row>
    <row r="1159">
      <c r="A1159" t="n">
        <v>45</v>
      </c>
      <c r="B1159" s="44">
        <f>FiscalStart+(A1159-1)*7</f>
        <v/>
      </c>
      <c r="C1159">
        <f>TEXT(B1159,"mmm yyyy")</f>
        <v/>
      </c>
      <c r="D1159">
        <f>"Q"&amp;(INT((A1159-1)/13)+1)</f>
        <v/>
      </c>
      <c r="E1159" t="inlineStr">
        <is>
          <t>Fitness</t>
        </is>
      </c>
      <c r="F1159">
        <f>IFERROR(INDEX(ChFormat,MATCH(E1159,ChName,0)),"")</f>
        <v/>
      </c>
      <c r="G1159" t="inlineStr">
        <is>
          <t>AB</t>
        </is>
      </c>
      <c r="H1159">
        <f>IF(A1159&lt;=NWeeks,1,0)</f>
        <v/>
      </c>
      <c r="I1159">
        <f>INDEX(ChLaunch,MATCH(E1159,ChName,0))</f>
        <v/>
      </c>
      <c r="J1159">
        <f>INDEX(ChWeeksFull,MATCH(E1159,ChName,0))</f>
        <v/>
      </c>
      <c r="K1159">
        <f>INDEX(ChRamp,MATCH(E1159,ChName,0))</f>
        <v/>
      </c>
      <c r="L1159" s="45">
        <f>MIN(1,MAX(0,(A1159-I1159+1)*RampSpeed/J1159))</f>
        <v/>
      </c>
      <c r="M1159" s="45">
        <f>IF(A1159&lt;I1159,0,IF(K1159="S-curve",L1159*L1159*(3-2*L1159),L1159))</f>
        <v/>
      </c>
      <c r="N1159" s="45">
        <f>1+(INDEX(SeasonIdx,A1159)-1)*SeasonAmp</f>
        <v/>
      </c>
      <c r="O1159" s="45">
        <f>IFERROR(INDEX(PSPct,MATCH(E1159&amp;"|"&amp;G1159,PSKey,0)),0)</f>
        <v/>
      </c>
      <c r="P1159" s="46">
        <f>INDEX(ChDoorVel,MATCH(E1159,ChName,0))*CalibScalar*(1+VelocityUplift)</f>
        <v/>
      </c>
      <c r="Q1159" s="46" t="n">
        <v>0</v>
      </c>
      <c r="R1159" s="46">
        <f>P1159*O1159*M1159*N1159*H1159</f>
        <v/>
      </c>
      <c r="S1159" s="46">
        <f>R1159*INDEX(FmtCansPerCase,MATCH(F1159,FmtName,0))</f>
        <v/>
      </c>
      <c r="T1159" s="46">
        <f>S1159/INDEX(FmtCansPerPack,MATCH(F1159,FmtName,0))</f>
        <v/>
      </c>
      <c r="U1159" s="47">
        <f>INDEX(ChBaseCP,MATCH(E1159,ChName,0))*(1+INDEX(ProvMod,MATCH(G1159,ProvCode,0)))*(1+PriceIndex)</f>
        <v/>
      </c>
      <c r="V1159" s="47">
        <f>R1159*U1159*INDEX(FmtBlendedPriceIdx,MATCH(F1159,FmtName,0))</f>
        <v/>
      </c>
      <c r="W1159" s="47">
        <f>T1159*INDEX(ProvSRP,MATCH(G1159,ProvCode,0))*(1+PriceIndex)</f>
        <v/>
      </c>
      <c r="X1159" s="47">
        <f>IF(GrossBasis="Wholesale",V1159,W1159)</f>
        <v/>
      </c>
      <c r="Y1159" s="47">
        <f>R1159*INDEX(FmtBlendedCogs,MATCH(F1159,FmtName,0))</f>
        <v/>
      </c>
      <c r="Z1159" s="47">
        <f>X1159-Y1159</f>
        <v/>
      </c>
    </row>
    <row r="1160">
      <c r="A1160" t="n">
        <v>46</v>
      </c>
      <c r="B1160" s="44">
        <f>FiscalStart+(A1160-1)*7</f>
        <v/>
      </c>
      <c r="C1160">
        <f>TEXT(B1160,"mmm yyyy")</f>
        <v/>
      </c>
      <c r="D1160">
        <f>"Q"&amp;(INT((A1160-1)/13)+1)</f>
        <v/>
      </c>
      <c r="E1160" t="inlineStr">
        <is>
          <t>Fitness</t>
        </is>
      </c>
      <c r="F1160">
        <f>IFERROR(INDEX(ChFormat,MATCH(E1160,ChName,0)),"")</f>
        <v/>
      </c>
      <c r="G1160" t="inlineStr">
        <is>
          <t>AB</t>
        </is>
      </c>
      <c r="H1160">
        <f>IF(A1160&lt;=NWeeks,1,0)</f>
        <v/>
      </c>
      <c r="I1160">
        <f>INDEX(ChLaunch,MATCH(E1160,ChName,0))</f>
        <v/>
      </c>
      <c r="J1160">
        <f>INDEX(ChWeeksFull,MATCH(E1160,ChName,0))</f>
        <v/>
      </c>
      <c r="K1160">
        <f>INDEX(ChRamp,MATCH(E1160,ChName,0))</f>
        <v/>
      </c>
      <c r="L1160" s="45">
        <f>MIN(1,MAX(0,(A1160-I1160+1)*RampSpeed/J1160))</f>
        <v/>
      </c>
      <c r="M1160" s="45">
        <f>IF(A1160&lt;I1160,0,IF(K1160="S-curve",L1160*L1160*(3-2*L1160),L1160))</f>
        <v/>
      </c>
      <c r="N1160" s="45">
        <f>1+(INDEX(SeasonIdx,A1160)-1)*SeasonAmp</f>
        <v/>
      </c>
      <c r="O1160" s="45">
        <f>IFERROR(INDEX(PSPct,MATCH(E1160&amp;"|"&amp;G1160,PSKey,0)),0)</f>
        <v/>
      </c>
      <c r="P1160" s="46">
        <f>INDEX(ChDoorVel,MATCH(E1160,ChName,0))*CalibScalar*(1+VelocityUplift)</f>
        <v/>
      </c>
      <c r="Q1160" s="46" t="n">
        <v>0</v>
      </c>
      <c r="R1160" s="46">
        <f>P1160*O1160*M1160*N1160*H1160</f>
        <v/>
      </c>
      <c r="S1160" s="46">
        <f>R1160*INDEX(FmtCansPerCase,MATCH(F1160,FmtName,0))</f>
        <v/>
      </c>
      <c r="T1160" s="46">
        <f>S1160/INDEX(FmtCansPerPack,MATCH(F1160,FmtName,0))</f>
        <v/>
      </c>
      <c r="U1160" s="47">
        <f>INDEX(ChBaseCP,MATCH(E1160,ChName,0))*(1+INDEX(ProvMod,MATCH(G1160,ProvCode,0)))*(1+PriceIndex)</f>
        <v/>
      </c>
      <c r="V1160" s="47">
        <f>R1160*U1160*INDEX(FmtBlendedPriceIdx,MATCH(F1160,FmtName,0))</f>
        <v/>
      </c>
      <c r="W1160" s="47">
        <f>T1160*INDEX(ProvSRP,MATCH(G1160,ProvCode,0))*(1+PriceIndex)</f>
        <v/>
      </c>
      <c r="X1160" s="47">
        <f>IF(GrossBasis="Wholesale",V1160,W1160)</f>
        <v/>
      </c>
      <c r="Y1160" s="47">
        <f>R1160*INDEX(FmtBlendedCogs,MATCH(F1160,FmtName,0))</f>
        <v/>
      </c>
      <c r="Z1160" s="47">
        <f>X1160-Y1160</f>
        <v/>
      </c>
    </row>
    <row r="1161">
      <c r="A1161" t="n">
        <v>47</v>
      </c>
      <c r="B1161" s="44">
        <f>FiscalStart+(A1161-1)*7</f>
        <v/>
      </c>
      <c r="C1161">
        <f>TEXT(B1161,"mmm yyyy")</f>
        <v/>
      </c>
      <c r="D1161">
        <f>"Q"&amp;(INT((A1161-1)/13)+1)</f>
        <v/>
      </c>
      <c r="E1161" t="inlineStr">
        <is>
          <t>Fitness</t>
        </is>
      </c>
      <c r="F1161">
        <f>IFERROR(INDEX(ChFormat,MATCH(E1161,ChName,0)),"")</f>
        <v/>
      </c>
      <c r="G1161" t="inlineStr">
        <is>
          <t>AB</t>
        </is>
      </c>
      <c r="H1161">
        <f>IF(A1161&lt;=NWeeks,1,0)</f>
        <v/>
      </c>
      <c r="I1161">
        <f>INDEX(ChLaunch,MATCH(E1161,ChName,0))</f>
        <v/>
      </c>
      <c r="J1161">
        <f>INDEX(ChWeeksFull,MATCH(E1161,ChName,0))</f>
        <v/>
      </c>
      <c r="K1161">
        <f>INDEX(ChRamp,MATCH(E1161,ChName,0))</f>
        <v/>
      </c>
      <c r="L1161" s="45">
        <f>MIN(1,MAX(0,(A1161-I1161+1)*RampSpeed/J1161))</f>
        <v/>
      </c>
      <c r="M1161" s="45">
        <f>IF(A1161&lt;I1161,0,IF(K1161="S-curve",L1161*L1161*(3-2*L1161),L1161))</f>
        <v/>
      </c>
      <c r="N1161" s="45">
        <f>1+(INDEX(SeasonIdx,A1161)-1)*SeasonAmp</f>
        <v/>
      </c>
      <c r="O1161" s="45">
        <f>IFERROR(INDEX(PSPct,MATCH(E1161&amp;"|"&amp;G1161,PSKey,0)),0)</f>
        <v/>
      </c>
      <c r="P1161" s="46">
        <f>INDEX(ChDoorVel,MATCH(E1161,ChName,0))*CalibScalar*(1+VelocityUplift)</f>
        <v/>
      </c>
      <c r="Q1161" s="46" t="n">
        <v>0</v>
      </c>
      <c r="R1161" s="46">
        <f>P1161*O1161*M1161*N1161*H1161</f>
        <v/>
      </c>
      <c r="S1161" s="46">
        <f>R1161*INDEX(FmtCansPerCase,MATCH(F1161,FmtName,0))</f>
        <v/>
      </c>
      <c r="T1161" s="46">
        <f>S1161/INDEX(FmtCansPerPack,MATCH(F1161,FmtName,0))</f>
        <v/>
      </c>
      <c r="U1161" s="47">
        <f>INDEX(ChBaseCP,MATCH(E1161,ChName,0))*(1+INDEX(ProvMod,MATCH(G1161,ProvCode,0)))*(1+PriceIndex)</f>
        <v/>
      </c>
      <c r="V1161" s="47">
        <f>R1161*U1161*INDEX(FmtBlendedPriceIdx,MATCH(F1161,FmtName,0))</f>
        <v/>
      </c>
      <c r="W1161" s="47">
        <f>T1161*INDEX(ProvSRP,MATCH(G1161,ProvCode,0))*(1+PriceIndex)</f>
        <v/>
      </c>
      <c r="X1161" s="47">
        <f>IF(GrossBasis="Wholesale",V1161,W1161)</f>
        <v/>
      </c>
      <c r="Y1161" s="47">
        <f>R1161*INDEX(FmtBlendedCogs,MATCH(F1161,FmtName,0))</f>
        <v/>
      </c>
      <c r="Z1161" s="47">
        <f>X1161-Y1161</f>
        <v/>
      </c>
    </row>
    <row r="1162">
      <c r="A1162" t="n">
        <v>48</v>
      </c>
      <c r="B1162" s="44">
        <f>FiscalStart+(A1162-1)*7</f>
        <v/>
      </c>
      <c r="C1162">
        <f>TEXT(B1162,"mmm yyyy")</f>
        <v/>
      </c>
      <c r="D1162">
        <f>"Q"&amp;(INT((A1162-1)/13)+1)</f>
        <v/>
      </c>
      <c r="E1162" t="inlineStr">
        <is>
          <t>Fitness</t>
        </is>
      </c>
      <c r="F1162">
        <f>IFERROR(INDEX(ChFormat,MATCH(E1162,ChName,0)),"")</f>
        <v/>
      </c>
      <c r="G1162" t="inlineStr">
        <is>
          <t>AB</t>
        </is>
      </c>
      <c r="H1162">
        <f>IF(A1162&lt;=NWeeks,1,0)</f>
        <v/>
      </c>
      <c r="I1162">
        <f>INDEX(ChLaunch,MATCH(E1162,ChName,0))</f>
        <v/>
      </c>
      <c r="J1162">
        <f>INDEX(ChWeeksFull,MATCH(E1162,ChName,0))</f>
        <v/>
      </c>
      <c r="K1162">
        <f>INDEX(ChRamp,MATCH(E1162,ChName,0))</f>
        <v/>
      </c>
      <c r="L1162" s="45">
        <f>MIN(1,MAX(0,(A1162-I1162+1)*RampSpeed/J1162))</f>
        <v/>
      </c>
      <c r="M1162" s="45">
        <f>IF(A1162&lt;I1162,0,IF(K1162="S-curve",L1162*L1162*(3-2*L1162),L1162))</f>
        <v/>
      </c>
      <c r="N1162" s="45">
        <f>1+(INDEX(SeasonIdx,A1162)-1)*SeasonAmp</f>
        <v/>
      </c>
      <c r="O1162" s="45">
        <f>IFERROR(INDEX(PSPct,MATCH(E1162&amp;"|"&amp;G1162,PSKey,0)),0)</f>
        <v/>
      </c>
      <c r="P1162" s="46">
        <f>INDEX(ChDoorVel,MATCH(E1162,ChName,0))*CalibScalar*(1+VelocityUplift)</f>
        <v/>
      </c>
      <c r="Q1162" s="46" t="n">
        <v>0</v>
      </c>
      <c r="R1162" s="46">
        <f>P1162*O1162*M1162*N1162*H1162</f>
        <v/>
      </c>
      <c r="S1162" s="46">
        <f>R1162*INDEX(FmtCansPerCase,MATCH(F1162,FmtName,0))</f>
        <v/>
      </c>
      <c r="T1162" s="46">
        <f>S1162/INDEX(FmtCansPerPack,MATCH(F1162,FmtName,0))</f>
        <v/>
      </c>
      <c r="U1162" s="47">
        <f>INDEX(ChBaseCP,MATCH(E1162,ChName,0))*(1+INDEX(ProvMod,MATCH(G1162,ProvCode,0)))*(1+PriceIndex)</f>
        <v/>
      </c>
      <c r="V1162" s="47">
        <f>R1162*U1162*INDEX(FmtBlendedPriceIdx,MATCH(F1162,FmtName,0))</f>
        <v/>
      </c>
      <c r="W1162" s="47">
        <f>T1162*INDEX(ProvSRP,MATCH(G1162,ProvCode,0))*(1+PriceIndex)</f>
        <v/>
      </c>
      <c r="X1162" s="47">
        <f>IF(GrossBasis="Wholesale",V1162,W1162)</f>
        <v/>
      </c>
      <c r="Y1162" s="47">
        <f>R1162*INDEX(FmtBlendedCogs,MATCH(F1162,FmtName,0))</f>
        <v/>
      </c>
      <c r="Z1162" s="47">
        <f>X1162-Y1162</f>
        <v/>
      </c>
    </row>
    <row r="1163">
      <c r="A1163" t="n">
        <v>49</v>
      </c>
      <c r="B1163" s="44">
        <f>FiscalStart+(A1163-1)*7</f>
        <v/>
      </c>
      <c r="C1163">
        <f>TEXT(B1163,"mmm yyyy")</f>
        <v/>
      </c>
      <c r="D1163">
        <f>"Q"&amp;(INT((A1163-1)/13)+1)</f>
        <v/>
      </c>
      <c r="E1163" t="inlineStr">
        <is>
          <t>Fitness</t>
        </is>
      </c>
      <c r="F1163">
        <f>IFERROR(INDEX(ChFormat,MATCH(E1163,ChName,0)),"")</f>
        <v/>
      </c>
      <c r="G1163" t="inlineStr">
        <is>
          <t>AB</t>
        </is>
      </c>
      <c r="H1163">
        <f>IF(A1163&lt;=NWeeks,1,0)</f>
        <v/>
      </c>
      <c r="I1163">
        <f>INDEX(ChLaunch,MATCH(E1163,ChName,0))</f>
        <v/>
      </c>
      <c r="J1163">
        <f>INDEX(ChWeeksFull,MATCH(E1163,ChName,0))</f>
        <v/>
      </c>
      <c r="K1163">
        <f>INDEX(ChRamp,MATCH(E1163,ChName,0))</f>
        <v/>
      </c>
      <c r="L1163" s="45">
        <f>MIN(1,MAX(0,(A1163-I1163+1)*RampSpeed/J1163))</f>
        <v/>
      </c>
      <c r="M1163" s="45">
        <f>IF(A1163&lt;I1163,0,IF(K1163="S-curve",L1163*L1163*(3-2*L1163),L1163))</f>
        <v/>
      </c>
      <c r="N1163" s="45">
        <f>1+(INDEX(SeasonIdx,A1163)-1)*SeasonAmp</f>
        <v/>
      </c>
      <c r="O1163" s="45">
        <f>IFERROR(INDEX(PSPct,MATCH(E1163&amp;"|"&amp;G1163,PSKey,0)),0)</f>
        <v/>
      </c>
      <c r="P1163" s="46">
        <f>INDEX(ChDoorVel,MATCH(E1163,ChName,0))*CalibScalar*(1+VelocityUplift)</f>
        <v/>
      </c>
      <c r="Q1163" s="46" t="n">
        <v>0</v>
      </c>
      <c r="R1163" s="46">
        <f>P1163*O1163*M1163*N1163*H1163</f>
        <v/>
      </c>
      <c r="S1163" s="46">
        <f>R1163*INDEX(FmtCansPerCase,MATCH(F1163,FmtName,0))</f>
        <v/>
      </c>
      <c r="T1163" s="46">
        <f>S1163/INDEX(FmtCansPerPack,MATCH(F1163,FmtName,0))</f>
        <v/>
      </c>
      <c r="U1163" s="47">
        <f>INDEX(ChBaseCP,MATCH(E1163,ChName,0))*(1+INDEX(ProvMod,MATCH(G1163,ProvCode,0)))*(1+PriceIndex)</f>
        <v/>
      </c>
      <c r="V1163" s="47">
        <f>R1163*U1163*INDEX(FmtBlendedPriceIdx,MATCH(F1163,FmtName,0))</f>
        <v/>
      </c>
      <c r="W1163" s="47">
        <f>T1163*INDEX(ProvSRP,MATCH(G1163,ProvCode,0))*(1+PriceIndex)</f>
        <v/>
      </c>
      <c r="X1163" s="47">
        <f>IF(GrossBasis="Wholesale",V1163,W1163)</f>
        <v/>
      </c>
      <c r="Y1163" s="47">
        <f>R1163*INDEX(FmtBlendedCogs,MATCH(F1163,FmtName,0))</f>
        <v/>
      </c>
      <c r="Z1163" s="47">
        <f>X1163-Y1163</f>
        <v/>
      </c>
    </row>
    <row r="1164">
      <c r="A1164" t="n">
        <v>50</v>
      </c>
      <c r="B1164" s="44">
        <f>FiscalStart+(A1164-1)*7</f>
        <v/>
      </c>
      <c r="C1164">
        <f>TEXT(B1164,"mmm yyyy")</f>
        <v/>
      </c>
      <c r="D1164">
        <f>"Q"&amp;(INT((A1164-1)/13)+1)</f>
        <v/>
      </c>
      <c r="E1164" t="inlineStr">
        <is>
          <t>Fitness</t>
        </is>
      </c>
      <c r="F1164">
        <f>IFERROR(INDEX(ChFormat,MATCH(E1164,ChName,0)),"")</f>
        <v/>
      </c>
      <c r="G1164" t="inlineStr">
        <is>
          <t>AB</t>
        </is>
      </c>
      <c r="H1164">
        <f>IF(A1164&lt;=NWeeks,1,0)</f>
        <v/>
      </c>
      <c r="I1164">
        <f>INDEX(ChLaunch,MATCH(E1164,ChName,0))</f>
        <v/>
      </c>
      <c r="J1164">
        <f>INDEX(ChWeeksFull,MATCH(E1164,ChName,0))</f>
        <v/>
      </c>
      <c r="K1164">
        <f>INDEX(ChRamp,MATCH(E1164,ChName,0))</f>
        <v/>
      </c>
      <c r="L1164" s="45">
        <f>MIN(1,MAX(0,(A1164-I1164+1)*RampSpeed/J1164))</f>
        <v/>
      </c>
      <c r="M1164" s="45">
        <f>IF(A1164&lt;I1164,0,IF(K1164="S-curve",L1164*L1164*(3-2*L1164),L1164))</f>
        <v/>
      </c>
      <c r="N1164" s="45">
        <f>1+(INDEX(SeasonIdx,A1164)-1)*SeasonAmp</f>
        <v/>
      </c>
      <c r="O1164" s="45">
        <f>IFERROR(INDEX(PSPct,MATCH(E1164&amp;"|"&amp;G1164,PSKey,0)),0)</f>
        <v/>
      </c>
      <c r="P1164" s="46">
        <f>INDEX(ChDoorVel,MATCH(E1164,ChName,0))*CalibScalar*(1+VelocityUplift)</f>
        <v/>
      </c>
      <c r="Q1164" s="46" t="n">
        <v>0</v>
      </c>
      <c r="R1164" s="46">
        <f>P1164*O1164*M1164*N1164*H1164</f>
        <v/>
      </c>
      <c r="S1164" s="46">
        <f>R1164*INDEX(FmtCansPerCase,MATCH(F1164,FmtName,0))</f>
        <v/>
      </c>
      <c r="T1164" s="46">
        <f>S1164/INDEX(FmtCansPerPack,MATCH(F1164,FmtName,0))</f>
        <v/>
      </c>
      <c r="U1164" s="47">
        <f>INDEX(ChBaseCP,MATCH(E1164,ChName,0))*(1+INDEX(ProvMod,MATCH(G1164,ProvCode,0)))*(1+PriceIndex)</f>
        <v/>
      </c>
      <c r="V1164" s="47">
        <f>R1164*U1164*INDEX(FmtBlendedPriceIdx,MATCH(F1164,FmtName,0))</f>
        <v/>
      </c>
      <c r="W1164" s="47">
        <f>T1164*INDEX(ProvSRP,MATCH(G1164,ProvCode,0))*(1+PriceIndex)</f>
        <v/>
      </c>
      <c r="X1164" s="47">
        <f>IF(GrossBasis="Wholesale",V1164,W1164)</f>
        <v/>
      </c>
      <c r="Y1164" s="47">
        <f>R1164*INDEX(FmtBlendedCogs,MATCH(F1164,FmtName,0))</f>
        <v/>
      </c>
      <c r="Z1164" s="47">
        <f>X1164-Y1164</f>
        <v/>
      </c>
    </row>
    <row r="1165">
      <c r="A1165" t="n">
        <v>51</v>
      </c>
      <c r="B1165" s="44">
        <f>FiscalStart+(A1165-1)*7</f>
        <v/>
      </c>
      <c r="C1165">
        <f>TEXT(B1165,"mmm yyyy")</f>
        <v/>
      </c>
      <c r="D1165">
        <f>"Q"&amp;(INT((A1165-1)/13)+1)</f>
        <v/>
      </c>
      <c r="E1165" t="inlineStr">
        <is>
          <t>Fitness</t>
        </is>
      </c>
      <c r="F1165">
        <f>IFERROR(INDEX(ChFormat,MATCH(E1165,ChName,0)),"")</f>
        <v/>
      </c>
      <c r="G1165" t="inlineStr">
        <is>
          <t>AB</t>
        </is>
      </c>
      <c r="H1165">
        <f>IF(A1165&lt;=NWeeks,1,0)</f>
        <v/>
      </c>
      <c r="I1165">
        <f>INDEX(ChLaunch,MATCH(E1165,ChName,0))</f>
        <v/>
      </c>
      <c r="J1165">
        <f>INDEX(ChWeeksFull,MATCH(E1165,ChName,0))</f>
        <v/>
      </c>
      <c r="K1165">
        <f>INDEX(ChRamp,MATCH(E1165,ChName,0))</f>
        <v/>
      </c>
      <c r="L1165" s="45">
        <f>MIN(1,MAX(0,(A1165-I1165+1)*RampSpeed/J1165))</f>
        <v/>
      </c>
      <c r="M1165" s="45">
        <f>IF(A1165&lt;I1165,0,IF(K1165="S-curve",L1165*L1165*(3-2*L1165),L1165))</f>
        <v/>
      </c>
      <c r="N1165" s="45">
        <f>1+(INDEX(SeasonIdx,A1165)-1)*SeasonAmp</f>
        <v/>
      </c>
      <c r="O1165" s="45">
        <f>IFERROR(INDEX(PSPct,MATCH(E1165&amp;"|"&amp;G1165,PSKey,0)),0)</f>
        <v/>
      </c>
      <c r="P1165" s="46">
        <f>INDEX(ChDoorVel,MATCH(E1165,ChName,0))*CalibScalar*(1+VelocityUplift)</f>
        <v/>
      </c>
      <c r="Q1165" s="46" t="n">
        <v>0</v>
      </c>
      <c r="R1165" s="46">
        <f>P1165*O1165*M1165*N1165*H1165</f>
        <v/>
      </c>
      <c r="S1165" s="46">
        <f>R1165*INDEX(FmtCansPerCase,MATCH(F1165,FmtName,0))</f>
        <v/>
      </c>
      <c r="T1165" s="46">
        <f>S1165/INDEX(FmtCansPerPack,MATCH(F1165,FmtName,0))</f>
        <v/>
      </c>
      <c r="U1165" s="47">
        <f>INDEX(ChBaseCP,MATCH(E1165,ChName,0))*(1+INDEX(ProvMod,MATCH(G1165,ProvCode,0)))*(1+PriceIndex)</f>
        <v/>
      </c>
      <c r="V1165" s="47">
        <f>R1165*U1165*INDEX(FmtBlendedPriceIdx,MATCH(F1165,FmtName,0))</f>
        <v/>
      </c>
      <c r="W1165" s="47">
        <f>T1165*INDEX(ProvSRP,MATCH(G1165,ProvCode,0))*(1+PriceIndex)</f>
        <v/>
      </c>
      <c r="X1165" s="47">
        <f>IF(GrossBasis="Wholesale",V1165,W1165)</f>
        <v/>
      </c>
      <c r="Y1165" s="47">
        <f>R1165*INDEX(FmtBlendedCogs,MATCH(F1165,FmtName,0))</f>
        <v/>
      </c>
      <c r="Z1165" s="47">
        <f>X1165-Y1165</f>
        <v/>
      </c>
    </row>
    <row r="1166">
      <c r="A1166" t="n">
        <v>52</v>
      </c>
      <c r="B1166" s="44">
        <f>FiscalStart+(A1166-1)*7</f>
        <v/>
      </c>
      <c r="C1166">
        <f>TEXT(B1166,"mmm yyyy")</f>
        <v/>
      </c>
      <c r="D1166">
        <f>"Q"&amp;(INT((A1166-1)/13)+1)</f>
        <v/>
      </c>
      <c r="E1166" t="inlineStr">
        <is>
          <t>Fitness</t>
        </is>
      </c>
      <c r="F1166">
        <f>IFERROR(INDEX(ChFormat,MATCH(E1166,ChName,0)),"")</f>
        <v/>
      </c>
      <c r="G1166" t="inlineStr">
        <is>
          <t>AB</t>
        </is>
      </c>
      <c r="H1166">
        <f>IF(A1166&lt;=NWeeks,1,0)</f>
        <v/>
      </c>
      <c r="I1166">
        <f>INDEX(ChLaunch,MATCH(E1166,ChName,0))</f>
        <v/>
      </c>
      <c r="J1166">
        <f>INDEX(ChWeeksFull,MATCH(E1166,ChName,0))</f>
        <v/>
      </c>
      <c r="K1166">
        <f>INDEX(ChRamp,MATCH(E1166,ChName,0))</f>
        <v/>
      </c>
      <c r="L1166" s="45">
        <f>MIN(1,MAX(0,(A1166-I1166+1)*RampSpeed/J1166))</f>
        <v/>
      </c>
      <c r="M1166" s="45">
        <f>IF(A1166&lt;I1166,0,IF(K1166="S-curve",L1166*L1166*(3-2*L1166),L1166))</f>
        <v/>
      </c>
      <c r="N1166" s="45">
        <f>1+(INDEX(SeasonIdx,A1166)-1)*SeasonAmp</f>
        <v/>
      </c>
      <c r="O1166" s="45">
        <f>IFERROR(INDEX(PSPct,MATCH(E1166&amp;"|"&amp;G1166,PSKey,0)),0)</f>
        <v/>
      </c>
      <c r="P1166" s="46">
        <f>INDEX(ChDoorVel,MATCH(E1166,ChName,0))*CalibScalar*(1+VelocityUplift)</f>
        <v/>
      </c>
      <c r="Q1166" s="46" t="n">
        <v>0</v>
      </c>
      <c r="R1166" s="46">
        <f>P1166*O1166*M1166*N1166*H1166</f>
        <v/>
      </c>
      <c r="S1166" s="46">
        <f>R1166*INDEX(FmtCansPerCase,MATCH(F1166,FmtName,0))</f>
        <v/>
      </c>
      <c r="T1166" s="46">
        <f>S1166/INDEX(FmtCansPerPack,MATCH(F1166,FmtName,0))</f>
        <v/>
      </c>
      <c r="U1166" s="47">
        <f>INDEX(ChBaseCP,MATCH(E1166,ChName,0))*(1+INDEX(ProvMod,MATCH(G1166,ProvCode,0)))*(1+PriceIndex)</f>
        <v/>
      </c>
      <c r="V1166" s="47">
        <f>R1166*U1166*INDEX(FmtBlendedPriceIdx,MATCH(F1166,FmtName,0))</f>
        <v/>
      </c>
      <c r="W1166" s="47">
        <f>T1166*INDEX(ProvSRP,MATCH(G1166,ProvCode,0))*(1+PriceIndex)</f>
        <v/>
      </c>
      <c r="X1166" s="47">
        <f>IF(GrossBasis="Wholesale",V1166,W1166)</f>
        <v/>
      </c>
      <c r="Y1166" s="47">
        <f>R1166*INDEX(FmtBlendedCogs,MATCH(F1166,FmtName,0))</f>
        <v/>
      </c>
      <c r="Z1166" s="47">
        <f>X1166-Y1166</f>
        <v/>
      </c>
    </row>
    <row r="1167">
      <c r="A1167" t="n">
        <v>53</v>
      </c>
      <c r="B1167" s="44">
        <f>FiscalStart+(A1167-1)*7</f>
        <v/>
      </c>
      <c r="C1167">
        <f>TEXT(B1167,"mmm yyyy")</f>
        <v/>
      </c>
      <c r="D1167">
        <f>"Q"&amp;(INT((A1167-1)/13)+1)</f>
        <v/>
      </c>
      <c r="E1167" t="inlineStr">
        <is>
          <t>Fitness</t>
        </is>
      </c>
      <c r="F1167">
        <f>IFERROR(INDEX(ChFormat,MATCH(E1167,ChName,0)),"")</f>
        <v/>
      </c>
      <c r="G1167" t="inlineStr">
        <is>
          <t>AB</t>
        </is>
      </c>
      <c r="H1167">
        <f>IF(A1167&lt;=NWeeks,1,0)</f>
        <v/>
      </c>
      <c r="I1167">
        <f>INDEX(ChLaunch,MATCH(E1167,ChName,0))</f>
        <v/>
      </c>
      <c r="J1167">
        <f>INDEX(ChWeeksFull,MATCH(E1167,ChName,0))</f>
        <v/>
      </c>
      <c r="K1167">
        <f>INDEX(ChRamp,MATCH(E1167,ChName,0))</f>
        <v/>
      </c>
      <c r="L1167" s="45">
        <f>MIN(1,MAX(0,(A1167-I1167+1)*RampSpeed/J1167))</f>
        <v/>
      </c>
      <c r="M1167" s="45">
        <f>IF(A1167&lt;I1167,0,IF(K1167="S-curve",L1167*L1167*(3-2*L1167),L1167))</f>
        <v/>
      </c>
      <c r="N1167" s="45">
        <f>1+(INDEX(SeasonIdx,A1167)-1)*SeasonAmp</f>
        <v/>
      </c>
      <c r="O1167" s="45">
        <f>IFERROR(INDEX(PSPct,MATCH(E1167&amp;"|"&amp;G1167,PSKey,0)),0)</f>
        <v/>
      </c>
      <c r="P1167" s="46">
        <f>INDEX(ChDoorVel,MATCH(E1167,ChName,0))*CalibScalar*(1+VelocityUplift)</f>
        <v/>
      </c>
      <c r="Q1167" s="46" t="n">
        <v>0</v>
      </c>
      <c r="R1167" s="46">
        <f>P1167*O1167*M1167*N1167*H1167</f>
        <v/>
      </c>
      <c r="S1167" s="46">
        <f>R1167*INDEX(FmtCansPerCase,MATCH(F1167,FmtName,0))</f>
        <v/>
      </c>
      <c r="T1167" s="46">
        <f>S1167/INDEX(FmtCansPerPack,MATCH(F1167,FmtName,0))</f>
        <v/>
      </c>
      <c r="U1167" s="47">
        <f>INDEX(ChBaseCP,MATCH(E1167,ChName,0))*(1+INDEX(ProvMod,MATCH(G1167,ProvCode,0)))*(1+PriceIndex)</f>
        <v/>
      </c>
      <c r="V1167" s="47">
        <f>R1167*U1167*INDEX(FmtBlendedPriceIdx,MATCH(F1167,FmtName,0))</f>
        <v/>
      </c>
      <c r="W1167" s="47">
        <f>T1167*INDEX(ProvSRP,MATCH(G1167,ProvCode,0))*(1+PriceIndex)</f>
        <v/>
      </c>
      <c r="X1167" s="47">
        <f>IF(GrossBasis="Wholesale",V1167,W1167)</f>
        <v/>
      </c>
      <c r="Y1167" s="47">
        <f>R1167*INDEX(FmtBlendedCogs,MATCH(F1167,FmtName,0))</f>
        <v/>
      </c>
      <c r="Z1167" s="47">
        <f>X1167-Y1167</f>
        <v/>
      </c>
    </row>
    <row r="1168">
      <c r="A1168" t="n">
        <v>1</v>
      </c>
      <c r="B1168" s="44">
        <f>FiscalStart+(A1168-1)*7</f>
        <v/>
      </c>
      <c r="C1168">
        <f>TEXT(B1168,"mmm yyyy")</f>
        <v/>
      </c>
      <c r="D1168">
        <f>"Q"&amp;(INT((A1168-1)/13)+1)</f>
        <v/>
      </c>
      <c r="E1168" t="inlineStr">
        <is>
          <t>Fitness</t>
        </is>
      </c>
      <c r="F1168">
        <f>IFERROR(INDEX(ChFormat,MATCH(E1168,ChName,0)),"")</f>
        <v/>
      </c>
      <c r="G1168" t="inlineStr">
        <is>
          <t>SK</t>
        </is>
      </c>
      <c r="H1168">
        <f>IF(A1168&lt;=NWeeks,1,0)</f>
        <v/>
      </c>
      <c r="I1168">
        <f>INDEX(ChLaunch,MATCH(E1168,ChName,0))</f>
        <v/>
      </c>
      <c r="J1168">
        <f>INDEX(ChWeeksFull,MATCH(E1168,ChName,0))</f>
        <v/>
      </c>
      <c r="K1168">
        <f>INDEX(ChRamp,MATCH(E1168,ChName,0))</f>
        <v/>
      </c>
      <c r="L1168" s="45">
        <f>MIN(1,MAX(0,(A1168-I1168+1)*RampSpeed/J1168))</f>
        <v/>
      </c>
      <c r="M1168" s="45">
        <f>IF(A1168&lt;I1168,0,IF(K1168="S-curve",L1168*L1168*(3-2*L1168),L1168))</f>
        <v/>
      </c>
      <c r="N1168" s="45">
        <f>1+(INDEX(SeasonIdx,A1168)-1)*SeasonAmp</f>
        <v/>
      </c>
      <c r="O1168" s="45">
        <f>IFERROR(INDEX(PSPct,MATCH(E1168&amp;"|"&amp;G1168,PSKey,0)),0)</f>
        <v/>
      </c>
      <c r="P1168" s="46">
        <f>INDEX(ChDoorVel,MATCH(E1168,ChName,0))*CalibScalar*(1+VelocityUplift)</f>
        <v/>
      </c>
      <c r="Q1168" s="46" t="n">
        <v>0</v>
      </c>
      <c r="R1168" s="46">
        <f>P1168*O1168*M1168*N1168*H1168</f>
        <v/>
      </c>
      <c r="S1168" s="46">
        <f>R1168*INDEX(FmtCansPerCase,MATCH(F1168,FmtName,0))</f>
        <v/>
      </c>
      <c r="T1168" s="46">
        <f>S1168/INDEX(FmtCansPerPack,MATCH(F1168,FmtName,0))</f>
        <v/>
      </c>
      <c r="U1168" s="47">
        <f>INDEX(ChBaseCP,MATCH(E1168,ChName,0))*(1+INDEX(ProvMod,MATCH(G1168,ProvCode,0)))*(1+PriceIndex)</f>
        <v/>
      </c>
      <c r="V1168" s="47">
        <f>R1168*U1168*INDEX(FmtBlendedPriceIdx,MATCH(F1168,FmtName,0))</f>
        <v/>
      </c>
      <c r="W1168" s="47">
        <f>T1168*INDEX(ProvSRP,MATCH(G1168,ProvCode,0))*(1+PriceIndex)</f>
        <v/>
      </c>
      <c r="X1168" s="47">
        <f>IF(GrossBasis="Wholesale",V1168,W1168)</f>
        <v/>
      </c>
      <c r="Y1168" s="47">
        <f>R1168*INDEX(FmtBlendedCogs,MATCH(F1168,FmtName,0))</f>
        <v/>
      </c>
      <c r="Z1168" s="47">
        <f>X1168-Y1168</f>
        <v/>
      </c>
    </row>
    <row r="1169">
      <c r="A1169" t="n">
        <v>2</v>
      </c>
      <c r="B1169" s="44">
        <f>FiscalStart+(A1169-1)*7</f>
        <v/>
      </c>
      <c r="C1169">
        <f>TEXT(B1169,"mmm yyyy")</f>
        <v/>
      </c>
      <c r="D1169">
        <f>"Q"&amp;(INT((A1169-1)/13)+1)</f>
        <v/>
      </c>
      <c r="E1169" t="inlineStr">
        <is>
          <t>Fitness</t>
        </is>
      </c>
      <c r="F1169">
        <f>IFERROR(INDEX(ChFormat,MATCH(E1169,ChName,0)),"")</f>
        <v/>
      </c>
      <c r="G1169" t="inlineStr">
        <is>
          <t>SK</t>
        </is>
      </c>
      <c r="H1169">
        <f>IF(A1169&lt;=NWeeks,1,0)</f>
        <v/>
      </c>
      <c r="I1169">
        <f>INDEX(ChLaunch,MATCH(E1169,ChName,0))</f>
        <v/>
      </c>
      <c r="J1169">
        <f>INDEX(ChWeeksFull,MATCH(E1169,ChName,0))</f>
        <v/>
      </c>
      <c r="K1169">
        <f>INDEX(ChRamp,MATCH(E1169,ChName,0))</f>
        <v/>
      </c>
      <c r="L1169" s="45">
        <f>MIN(1,MAX(0,(A1169-I1169+1)*RampSpeed/J1169))</f>
        <v/>
      </c>
      <c r="M1169" s="45">
        <f>IF(A1169&lt;I1169,0,IF(K1169="S-curve",L1169*L1169*(3-2*L1169),L1169))</f>
        <v/>
      </c>
      <c r="N1169" s="45">
        <f>1+(INDEX(SeasonIdx,A1169)-1)*SeasonAmp</f>
        <v/>
      </c>
      <c r="O1169" s="45">
        <f>IFERROR(INDEX(PSPct,MATCH(E1169&amp;"|"&amp;G1169,PSKey,0)),0)</f>
        <v/>
      </c>
      <c r="P1169" s="46">
        <f>INDEX(ChDoorVel,MATCH(E1169,ChName,0))*CalibScalar*(1+VelocityUplift)</f>
        <v/>
      </c>
      <c r="Q1169" s="46" t="n">
        <v>0</v>
      </c>
      <c r="R1169" s="46">
        <f>P1169*O1169*M1169*N1169*H1169</f>
        <v/>
      </c>
      <c r="S1169" s="46">
        <f>R1169*INDEX(FmtCansPerCase,MATCH(F1169,FmtName,0))</f>
        <v/>
      </c>
      <c r="T1169" s="46">
        <f>S1169/INDEX(FmtCansPerPack,MATCH(F1169,FmtName,0))</f>
        <v/>
      </c>
      <c r="U1169" s="47">
        <f>INDEX(ChBaseCP,MATCH(E1169,ChName,0))*(1+INDEX(ProvMod,MATCH(G1169,ProvCode,0)))*(1+PriceIndex)</f>
        <v/>
      </c>
      <c r="V1169" s="47">
        <f>R1169*U1169*INDEX(FmtBlendedPriceIdx,MATCH(F1169,FmtName,0))</f>
        <v/>
      </c>
      <c r="W1169" s="47">
        <f>T1169*INDEX(ProvSRP,MATCH(G1169,ProvCode,0))*(1+PriceIndex)</f>
        <v/>
      </c>
      <c r="X1169" s="47">
        <f>IF(GrossBasis="Wholesale",V1169,W1169)</f>
        <v/>
      </c>
      <c r="Y1169" s="47">
        <f>R1169*INDEX(FmtBlendedCogs,MATCH(F1169,FmtName,0))</f>
        <v/>
      </c>
      <c r="Z1169" s="47">
        <f>X1169-Y1169</f>
        <v/>
      </c>
    </row>
    <row r="1170">
      <c r="A1170" t="n">
        <v>3</v>
      </c>
      <c r="B1170" s="44">
        <f>FiscalStart+(A1170-1)*7</f>
        <v/>
      </c>
      <c r="C1170">
        <f>TEXT(B1170,"mmm yyyy")</f>
        <v/>
      </c>
      <c r="D1170">
        <f>"Q"&amp;(INT((A1170-1)/13)+1)</f>
        <v/>
      </c>
      <c r="E1170" t="inlineStr">
        <is>
          <t>Fitness</t>
        </is>
      </c>
      <c r="F1170">
        <f>IFERROR(INDEX(ChFormat,MATCH(E1170,ChName,0)),"")</f>
        <v/>
      </c>
      <c r="G1170" t="inlineStr">
        <is>
          <t>SK</t>
        </is>
      </c>
      <c r="H1170">
        <f>IF(A1170&lt;=NWeeks,1,0)</f>
        <v/>
      </c>
      <c r="I1170">
        <f>INDEX(ChLaunch,MATCH(E1170,ChName,0))</f>
        <v/>
      </c>
      <c r="J1170">
        <f>INDEX(ChWeeksFull,MATCH(E1170,ChName,0))</f>
        <v/>
      </c>
      <c r="K1170">
        <f>INDEX(ChRamp,MATCH(E1170,ChName,0))</f>
        <v/>
      </c>
      <c r="L1170" s="45">
        <f>MIN(1,MAX(0,(A1170-I1170+1)*RampSpeed/J1170))</f>
        <v/>
      </c>
      <c r="M1170" s="45">
        <f>IF(A1170&lt;I1170,0,IF(K1170="S-curve",L1170*L1170*(3-2*L1170),L1170))</f>
        <v/>
      </c>
      <c r="N1170" s="45">
        <f>1+(INDEX(SeasonIdx,A1170)-1)*SeasonAmp</f>
        <v/>
      </c>
      <c r="O1170" s="45">
        <f>IFERROR(INDEX(PSPct,MATCH(E1170&amp;"|"&amp;G1170,PSKey,0)),0)</f>
        <v/>
      </c>
      <c r="P1170" s="46">
        <f>INDEX(ChDoorVel,MATCH(E1170,ChName,0))*CalibScalar*(1+VelocityUplift)</f>
        <v/>
      </c>
      <c r="Q1170" s="46" t="n">
        <v>0</v>
      </c>
      <c r="R1170" s="46">
        <f>P1170*O1170*M1170*N1170*H1170</f>
        <v/>
      </c>
      <c r="S1170" s="46">
        <f>R1170*INDEX(FmtCansPerCase,MATCH(F1170,FmtName,0))</f>
        <v/>
      </c>
      <c r="T1170" s="46">
        <f>S1170/INDEX(FmtCansPerPack,MATCH(F1170,FmtName,0))</f>
        <v/>
      </c>
      <c r="U1170" s="47">
        <f>INDEX(ChBaseCP,MATCH(E1170,ChName,0))*(1+INDEX(ProvMod,MATCH(G1170,ProvCode,0)))*(1+PriceIndex)</f>
        <v/>
      </c>
      <c r="V1170" s="47">
        <f>R1170*U1170*INDEX(FmtBlendedPriceIdx,MATCH(F1170,FmtName,0))</f>
        <v/>
      </c>
      <c r="W1170" s="47">
        <f>T1170*INDEX(ProvSRP,MATCH(G1170,ProvCode,0))*(1+PriceIndex)</f>
        <v/>
      </c>
      <c r="X1170" s="47">
        <f>IF(GrossBasis="Wholesale",V1170,W1170)</f>
        <v/>
      </c>
      <c r="Y1170" s="47">
        <f>R1170*INDEX(FmtBlendedCogs,MATCH(F1170,FmtName,0))</f>
        <v/>
      </c>
      <c r="Z1170" s="47">
        <f>X1170-Y1170</f>
        <v/>
      </c>
    </row>
    <row r="1171">
      <c r="A1171" t="n">
        <v>4</v>
      </c>
      <c r="B1171" s="44">
        <f>FiscalStart+(A1171-1)*7</f>
        <v/>
      </c>
      <c r="C1171">
        <f>TEXT(B1171,"mmm yyyy")</f>
        <v/>
      </c>
      <c r="D1171">
        <f>"Q"&amp;(INT((A1171-1)/13)+1)</f>
        <v/>
      </c>
      <c r="E1171" t="inlineStr">
        <is>
          <t>Fitness</t>
        </is>
      </c>
      <c r="F1171">
        <f>IFERROR(INDEX(ChFormat,MATCH(E1171,ChName,0)),"")</f>
        <v/>
      </c>
      <c r="G1171" t="inlineStr">
        <is>
          <t>SK</t>
        </is>
      </c>
      <c r="H1171">
        <f>IF(A1171&lt;=NWeeks,1,0)</f>
        <v/>
      </c>
      <c r="I1171">
        <f>INDEX(ChLaunch,MATCH(E1171,ChName,0))</f>
        <v/>
      </c>
      <c r="J1171">
        <f>INDEX(ChWeeksFull,MATCH(E1171,ChName,0))</f>
        <v/>
      </c>
      <c r="K1171">
        <f>INDEX(ChRamp,MATCH(E1171,ChName,0))</f>
        <v/>
      </c>
      <c r="L1171" s="45">
        <f>MIN(1,MAX(0,(A1171-I1171+1)*RampSpeed/J1171))</f>
        <v/>
      </c>
      <c r="M1171" s="45">
        <f>IF(A1171&lt;I1171,0,IF(K1171="S-curve",L1171*L1171*(3-2*L1171),L1171))</f>
        <v/>
      </c>
      <c r="N1171" s="45">
        <f>1+(INDEX(SeasonIdx,A1171)-1)*SeasonAmp</f>
        <v/>
      </c>
      <c r="O1171" s="45">
        <f>IFERROR(INDEX(PSPct,MATCH(E1171&amp;"|"&amp;G1171,PSKey,0)),0)</f>
        <v/>
      </c>
      <c r="P1171" s="46">
        <f>INDEX(ChDoorVel,MATCH(E1171,ChName,0))*CalibScalar*(1+VelocityUplift)</f>
        <v/>
      </c>
      <c r="Q1171" s="46" t="n">
        <v>0</v>
      </c>
      <c r="R1171" s="46">
        <f>P1171*O1171*M1171*N1171*H1171</f>
        <v/>
      </c>
      <c r="S1171" s="46">
        <f>R1171*INDEX(FmtCansPerCase,MATCH(F1171,FmtName,0))</f>
        <v/>
      </c>
      <c r="T1171" s="46">
        <f>S1171/INDEX(FmtCansPerPack,MATCH(F1171,FmtName,0))</f>
        <v/>
      </c>
      <c r="U1171" s="47">
        <f>INDEX(ChBaseCP,MATCH(E1171,ChName,0))*(1+INDEX(ProvMod,MATCH(G1171,ProvCode,0)))*(1+PriceIndex)</f>
        <v/>
      </c>
      <c r="V1171" s="47">
        <f>R1171*U1171*INDEX(FmtBlendedPriceIdx,MATCH(F1171,FmtName,0))</f>
        <v/>
      </c>
      <c r="W1171" s="47">
        <f>T1171*INDEX(ProvSRP,MATCH(G1171,ProvCode,0))*(1+PriceIndex)</f>
        <v/>
      </c>
      <c r="X1171" s="47">
        <f>IF(GrossBasis="Wholesale",V1171,W1171)</f>
        <v/>
      </c>
      <c r="Y1171" s="47">
        <f>R1171*INDEX(FmtBlendedCogs,MATCH(F1171,FmtName,0))</f>
        <v/>
      </c>
      <c r="Z1171" s="47">
        <f>X1171-Y1171</f>
        <v/>
      </c>
    </row>
    <row r="1172">
      <c r="A1172" t="n">
        <v>5</v>
      </c>
      <c r="B1172" s="44">
        <f>FiscalStart+(A1172-1)*7</f>
        <v/>
      </c>
      <c r="C1172">
        <f>TEXT(B1172,"mmm yyyy")</f>
        <v/>
      </c>
      <c r="D1172">
        <f>"Q"&amp;(INT((A1172-1)/13)+1)</f>
        <v/>
      </c>
      <c r="E1172" t="inlineStr">
        <is>
          <t>Fitness</t>
        </is>
      </c>
      <c r="F1172">
        <f>IFERROR(INDEX(ChFormat,MATCH(E1172,ChName,0)),"")</f>
        <v/>
      </c>
      <c r="G1172" t="inlineStr">
        <is>
          <t>SK</t>
        </is>
      </c>
      <c r="H1172">
        <f>IF(A1172&lt;=NWeeks,1,0)</f>
        <v/>
      </c>
      <c r="I1172">
        <f>INDEX(ChLaunch,MATCH(E1172,ChName,0))</f>
        <v/>
      </c>
      <c r="J1172">
        <f>INDEX(ChWeeksFull,MATCH(E1172,ChName,0))</f>
        <v/>
      </c>
      <c r="K1172">
        <f>INDEX(ChRamp,MATCH(E1172,ChName,0))</f>
        <v/>
      </c>
      <c r="L1172" s="45">
        <f>MIN(1,MAX(0,(A1172-I1172+1)*RampSpeed/J1172))</f>
        <v/>
      </c>
      <c r="M1172" s="45">
        <f>IF(A1172&lt;I1172,0,IF(K1172="S-curve",L1172*L1172*(3-2*L1172),L1172))</f>
        <v/>
      </c>
      <c r="N1172" s="45">
        <f>1+(INDEX(SeasonIdx,A1172)-1)*SeasonAmp</f>
        <v/>
      </c>
      <c r="O1172" s="45">
        <f>IFERROR(INDEX(PSPct,MATCH(E1172&amp;"|"&amp;G1172,PSKey,0)),0)</f>
        <v/>
      </c>
      <c r="P1172" s="46">
        <f>INDEX(ChDoorVel,MATCH(E1172,ChName,0))*CalibScalar*(1+VelocityUplift)</f>
        <v/>
      </c>
      <c r="Q1172" s="46" t="n">
        <v>0</v>
      </c>
      <c r="R1172" s="46">
        <f>P1172*O1172*M1172*N1172*H1172</f>
        <v/>
      </c>
      <c r="S1172" s="46">
        <f>R1172*INDEX(FmtCansPerCase,MATCH(F1172,FmtName,0))</f>
        <v/>
      </c>
      <c r="T1172" s="46">
        <f>S1172/INDEX(FmtCansPerPack,MATCH(F1172,FmtName,0))</f>
        <v/>
      </c>
      <c r="U1172" s="47">
        <f>INDEX(ChBaseCP,MATCH(E1172,ChName,0))*(1+INDEX(ProvMod,MATCH(G1172,ProvCode,0)))*(1+PriceIndex)</f>
        <v/>
      </c>
      <c r="V1172" s="47">
        <f>R1172*U1172*INDEX(FmtBlendedPriceIdx,MATCH(F1172,FmtName,0))</f>
        <v/>
      </c>
      <c r="W1172" s="47">
        <f>T1172*INDEX(ProvSRP,MATCH(G1172,ProvCode,0))*(1+PriceIndex)</f>
        <v/>
      </c>
      <c r="X1172" s="47">
        <f>IF(GrossBasis="Wholesale",V1172,W1172)</f>
        <v/>
      </c>
      <c r="Y1172" s="47">
        <f>R1172*INDEX(FmtBlendedCogs,MATCH(F1172,FmtName,0))</f>
        <v/>
      </c>
      <c r="Z1172" s="47">
        <f>X1172-Y1172</f>
        <v/>
      </c>
    </row>
    <row r="1173">
      <c r="A1173" t="n">
        <v>6</v>
      </c>
      <c r="B1173" s="44">
        <f>FiscalStart+(A1173-1)*7</f>
        <v/>
      </c>
      <c r="C1173">
        <f>TEXT(B1173,"mmm yyyy")</f>
        <v/>
      </c>
      <c r="D1173">
        <f>"Q"&amp;(INT((A1173-1)/13)+1)</f>
        <v/>
      </c>
      <c r="E1173" t="inlineStr">
        <is>
          <t>Fitness</t>
        </is>
      </c>
      <c r="F1173">
        <f>IFERROR(INDEX(ChFormat,MATCH(E1173,ChName,0)),"")</f>
        <v/>
      </c>
      <c r="G1173" t="inlineStr">
        <is>
          <t>SK</t>
        </is>
      </c>
      <c r="H1173">
        <f>IF(A1173&lt;=NWeeks,1,0)</f>
        <v/>
      </c>
      <c r="I1173">
        <f>INDEX(ChLaunch,MATCH(E1173,ChName,0))</f>
        <v/>
      </c>
      <c r="J1173">
        <f>INDEX(ChWeeksFull,MATCH(E1173,ChName,0))</f>
        <v/>
      </c>
      <c r="K1173">
        <f>INDEX(ChRamp,MATCH(E1173,ChName,0))</f>
        <v/>
      </c>
      <c r="L1173" s="45">
        <f>MIN(1,MAX(0,(A1173-I1173+1)*RampSpeed/J1173))</f>
        <v/>
      </c>
      <c r="M1173" s="45">
        <f>IF(A1173&lt;I1173,0,IF(K1173="S-curve",L1173*L1173*(3-2*L1173),L1173))</f>
        <v/>
      </c>
      <c r="N1173" s="45">
        <f>1+(INDEX(SeasonIdx,A1173)-1)*SeasonAmp</f>
        <v/>
      </c>
      <c r="O1173" s="45">
        <f>IFERROR(INDEX(PSPct,MATCH(E1173&amp;"|"&amp;G1173,PSKey,0)),0)</f>
        <v/>
      </c>
      <c r="P1173" s="46">
        <f>INDEX(ChDoorVel,MATCH(E1173,ChName,0))*CalibScalar*(1+VelocityUplift)</f>
        <v/>
      </c>
      <c r="Q1173" s="46" t="n">
        <v>0</v>
      </c>
      <c r="R1173" s="46">
        <f>P1173*O1173*M1173*N1173*H1173</f>
        <v/>
      </c>
      <c r="S1173" s="46">
        <f>R1173*INDEX(FmtCansPerCase,MATCH(F1173,FmtName,0))</f>
        <v/>
      </c>
      <c r="T1173" s="46">
        <f>S1173/INDEX(FmtCansPerPack,MATCH(F1173,FmtName,0))</f>
        <v/>
      </c>
      <c r="U1173" s="47">
        <f>INDEX(ChBaseCP,MATCH(E1173,ChName,0))*(1+INDEX(ProvMod,MATCH(G1173,ProvCode,0)))*(1+PriceIndex)</f>
        <v/>
      </c>
      <c r="V1173" s="47">
        <f>R1173*U1173*INDEX(FmtBlendedPriceIdx,MATCH(F1173,FmtName,0))</f>
        <v/>
      </c>
      <c r="W1173" s="47">
        <f>T1173*INDEX(ProvSRP,MATCH(G1173,ProvCode,0))*(1+PriceIndex)</f>
        <v/>
      </c>
      <c r="X1173" s="47">
        <f>IF(GrossBasis="Wholesale",V1173,W1173)</f>
        <v/>
      </c>
      <c r="Y1173" s="47">
        <f>R1173*INDEX(FmtBlendedCogs,MATCH(F1173,FmtName,0))</f>
        <v/>
      </c>
      <c r="Z1173" s="47">
        <f>X1173-Y1173</f>
        <v/>
      </c>
    </row>
    <row r="1174">
      <c r="A1174" t="n">
        <v>7</v>
      </c>
      <c r="B1174" s="44">
        <f>FiscalStart+(A1174-1)*7</f>
        <v/>
      </c>
      <c r="C1174">
        <f>TEXT(B1174,"mmm yyyy")</f>
        <v/>
      </c>
      <c r="D1174">
        <f>"Q"&amp;(INT((A1174-1)/13)+1)</f>
        <v/>
      </c>
      <c r="E1174" t="inlineStr">
        <is>
          <t>Fitness</t>
        </is>
      </c>
      <c r="F1174">
        <f>IFERROR(INDEX(ChFormat,MATCH(E1174,ChName,0)),"")</f>
        <v/>
      </c>
      <c r="G1174" t="inlineStr">
        <is>
          <t>SK</t>
        </is>
      </c>
      <c r="H1174">
        <f>IF(A1174&lt;=NWeeks,1,0)</f>
        <v/>
      </c>
      <c r="I1174">
        <f>INDEX(ChLaunch,MATCH(E1174,ChName,0))</f>
        <v/>
      </c>
      <c r="J1174">
        <f>INDEX(ChWeeksFull,MATCH(E1174,ChName,0))</f>
        <v/>
      </c>
      <c r="K1174">
        <f>INDEX(ChRamp,MATCH(E1174,ChName,0))</f>
        <v/>
      </c>
      <c r="L1174" s="45">
        <f>MIN(1,MAX(0,(A1174-I1174+1)*RampSpeed/J1174))</f>
        <v/>
      </c>
      <c r="M1174" s="45">
        <f>IF(A1174&lt;I1174,0,IF(K1174="S-curve",L1174*L1174*(3-2*L1174),L1174))</f>
        <v/>
      </c>
      <c r="N1174" s="45">
        <f>1+(INDEX(SeasonIdx,A1174)-1)*SeasonAmp</f>
        <v/>
      </c>
      <c r="O1174" s="45">
        <f>IFERROR(INDEX(PSPct,MATCH(E1174&amp;"|"&amp;G1174,PSKey,0)),0)</f>
        <v/>
      </c>
      <c r="P1174" s="46">
        <f>INDEX(ChDoorVel,MATCH(E1174,ChName,0))*CalibScalar*(1+VelocityUplift)</f>
        <v/>
      </c>
      <c r="Q1174" s="46" t="n">
        <v>0</v>
      </c>
      <c r="R1174" s="46">
        <f>P1174*O1174*M1174*N1174*H1174</f>
        <v/>
      </c>
      <c r="S1174" s="46">
        <f>R1174*INDEX(FmtCansPerCase,MATCH(F1174,FmtName,0))</f>
        <v/>
      </c>
      <c r="T1174" s="46">
        <f>S1174/INDEX(FmtCansPerPack,MATCH(F1174,FmtName,0))</f>
        <v/>
      </c>
      <c r="U1174" s="47">
        <f>INDEX(ChBaseCP,MATCH(E1174,ChName,0))*(1+INDEX(ProvMod,MATCH(G1174,ProvCode,0)))*(1+PriceIndex)</f>
        <v/>
      </c>
      <c r="V1174" s="47">
        <f>R1174*U1174*INDEX(FmtBlendedPriceIdx,MATCH(F1174,FmtName,0))</f>
        <v/>
      </c>
      <c r="W1174" s="47">
        <f>T1174*INDEX(ProvSRP,MATCH(G1174,ProvCode,0))*(1+PriceIndex)</f>
        <v/>
      </c>
      <c r="X1174" s="47">
        <f>IF(GrossBasis="Wholesale",V1174,W1174)</f>
        <v/>
      </c>
      <c r="Y1174" s="47">
        <f>R1174*INDEX(FmtBlendedCogs,MATCH(F1174,FmtName,0))</f>
        <v/>
      </c>
      <c r="Z1174" s="47">
        <f>X1174-Y1174</f>
        <v/>
      </c>
    </row>
    <row r="1175">
      <c r="A1175" t="n">
        <v>8</v>
      </c>
      <c r="B1175" s="44">
        <f>FiscalStart+(A1175-1)*7</f>
        <v/>
      </c>
      <c r="C1175">
        <f>TEXT(B1175,"mmm yyyy")</f>
        <v/>
      </c>
      <c r="D1175">
        <f>"Q"&amp;(INT((A1175-1)/13)+1)</f>
        <v/>
      </c>
      <c r="E1175" t="inlineStr">
        <is>
          <t>Fitness</t>
        </is>
      </c>
      <c r="F1175">
        <f>IFERROR(INDEX(ChFormat,MATCH(E1175,ChName,0)),"")</f>
        <v/>
      </c>
      <c r="G1175" t="inlineStr">
        <is>
          <t>SK</t>
        </is>
      </c>
      <c r="H1175">
        <f>IF(A1175&lt;=NWeeks,1,0)</f>
        <v/>
      </c>
      <c r="I1175">
        <f>INDEX(ChLaunch,MATCH(E1175,ChName,0))</f>
        <v/>
      </c>
      <c r="J1175">
        <f>INDEX(ChWeeksFull,MATCH(E1175,ChName,0))</f>
        <v/>
      </c>
      <c r="K1175">
        <f>INDEX(ChRamp,MATCH(E1175,ChName,0))</f>
        <v/>
      </c>
      <c r="L1175" s="45">
        <f>MIN(1,MAX(0,(A1175-I1175+1)*RampSpeed/J1175))</f>
        <v/>
      </c>
      <c r="M1175" s="45">
        <f>IF(A1175&lt;I1175,0,IF(K1175="S-curve",L1175*L1175*(3-2*L1175),L1175))</f>
        <v/>
      </c>
      <c r="N1175" s="45">
        <f>1+(INDEX(SeasonIdx,A1175)-1)*SeasonAmp</f>
        <v/>
      </c>
      <c r="O1175" s="45">
        <f>IFERROR(INDEX(PSPct,MATCH(E1175&amp;"|"&amp;G1175,PSKey,0)),0)</f>
        <v/>
      </c>
      <c r="P1175" s="46">
        <f>INDEX(ChDoorVel,MATCH(E1175,ChName,0))*CalibScalar*(1+VelocityUplift)</f>
        <v/>
      </c>
      <c r="Q1175" s="46" t="n">
        <v>0</v>
      </c>
      <c r="R1175" s="46">
        <f>P1175*O1175*M1175*N1175*H1175</f>
        <v/>
      </c>
      <c r="S1175" s="46">
        <f>R1175*INDEX(FmtCansPerCase,MATCH(F1175,FmtName,0))</f>
        <v/>
      </c>
      <c r="T1175" s="46">
        <f>S1175/INDEX(FmtCansPerPack,MATCH(F1175,FmtName,0))</f>
        <v/>
      </c>
      <c r="U1175" s="47">
        <f>INDEX(ChBaseCP,MATCH(E1175,ChName,0))*(1+INDEX(ProvMod,MATCH(G1175,ProvCode,0)))*(1+PriceIndex)</f>
        <v/>
      </c>
      <c r="V1175" s="47">
        <f>R1175*U1175*INDEX(FmtBlendedPriceIdx,MATCH(F1175,FmtName,0))</f>
        <v/>
      </c>
      <c r="W1175" s="47">
        <f>T1175*INDEX(ProvSRP,MATCH(G1175,ProvCode,0))*(1+PriceIndex)</f>
        <v/>
      </c>
      <c r="X1175" s="47">
        <f>IF(GrossBasis="Wholesale",V1175,W1175)</f>
        <v/>
      </c>
      <c r="Y1175" s="47">
        <f>R1175*INDEX(FmtBlendedCogs,MATCH(F1175,FmtName,0))</f>
        <v/>
      </c>
      <c r="Z1175" s="47">
        <f>X1175-Y1175</f>
        <v/>
      </c>
    </row>
    <row r="1176">
      <c r="A1176" t="n">
        <v>9</v>
      </c>
      <c r="B1176" s="44">
        <f>FiscalStart+(A1176-1)*7</f>
        <v/>
      </c>
      <c r="C1176">
        <f>TEXT(B1176,"mmm yyyy")</f>
        <v/>
      </c>
      <c r="D1176">
        <f>"Q"&amp;(INT((A1176-1)/13)+1)</f>
        <v/>
      </c>
      <c r="E1176" t="inlineStr">
        <is>
          <t>Fitness</t>
        </is>
      </c>
      <c r="F1176">
        <f>IFERROR(INDEX(ChFormat,MATCH(E1176,ChName,0)),"")</f>
        <v/>
      </c>
      <c r="G1176" t="inlineStr">
        <is>
          <t>SK</t>
        </is>
      </c>
      <c r="H1176">
        <f>IF(A1176&lt;=NWeeks,1,0)</f>
        <v/>
      </c>
      <c r="I1176">
        <f>INDEX(ChLaunch,MATCH(E1176,ChName,0))</f>
        <v/>
      </c>
      <c r="J1176">
        <f>INDEX(ChWeeksFull,MATCH(E1176,ChName,0))</f>
        <v/>
      </c>
      <c r="K1176">
        <f>INDEX(ChRamp,MATCH(E1176,ChName,0))</f>
        <v/>
      </c>
      <c r="L1176" s="45">
        <f>MIN(1,MAX(0,(A1176-I1176+1)*RampSpeed/J1176))</f>
        <v/>
      </c>
      <c r="M1176" s="45">
        <f>IF(A1176&lt;I1176,0,IF(K1176="S-curve",L1176*L1176*(3-2*L1176),L1176))</f>
        <v/>
      </c>
      <c r="N1176" s="45">
        <f>1+(INDEX(SeasonIdx,A1176)-1)*SeasonAmp</f>
        <v/>
      </c>
      <c r="O1176" s="45">
        <f>IFERROR(INDEX(PSPct,MATCH(E1176&amp;"|"&amp;G1176,PSKey,0)),0)</f>
        <v/>
      </c>
      <c r="P1176" s="46">
        <f>INDEX(ChDoorVel,MATCH(E1176,ChName,0))*CalibScalar*(1+VelocityUplift)</f>
        <v/>
      </c>
      <c r="Q1176" s="46" t="n">
        <v>0</v>
      </c>
      <c r="R1176" s="46">
        <f>P1176*O1176*M1176*N1176*H1176</f>
        <v/>
      </c>
      <c r="S1176" s="46">
        <f>R1176*INDEX(FmtCansPerCase,MATCH(F1176,FmtName,0))</f>
        <v/>
      </c>
      <c r="T1176" s="46">
        <f>S1176/INDEX(FmtCansPerPack,MATCH(F1176,FmtName,0))</f>
        <v/>
      </c>
      <c r="U1176" s="47">
        <f>INDEX(ChBaseCP,MATCH(E1176,ChName,0))*(1+INDEX(ProvMod,MATCH(G1176,ProvCode,0)))*(1+PriceIndex)</f>
        <v/>
      </c>
      <c r="V1176" s="47">
        <f>R1176*U1176*INDEX(FmtBlendedPriceIdx,MATCH(F1176,FmtName,0))</f>
        <v/>
      </c>
      <c r="W1176" s="47">
        <f>T1176*INDEX(ProvSRP,MATCH(G1176,ProvCode,0))*(1+PriceIndex)</f>
        <v/>
      </c>
      <c r="X1176" s="47">
        <f>IF(GrossBasis="Wholesale",V1176,W1176)</f>
        <v/>
      </c>
      <c r="Y1176" s="47">
        <f>R1176*INDEX(FmtBlendedCogs,MATCH(F1176,FmtName,0))</f>
        <v/>
      </c>
      <c r="Z1176" s="47">
        <f>X1176-Y1176</f>
        <v/>
      </c>
    </row>
    <row r="1177">
      <c r="A1177" t="n">
        <v>10</v>
      </c>
      <c r="B1177" s="44">
        <f>FiscalStart+(A1177-1)*7</f>
        <v/>
      </c>
      <c r="C1177">
        <f>TEXT(B1177,"mmm yyyy")</f>
        <v/>
      </c>
      <c r="D1177">
        <f>"Q"&amp;(INT((A1177-1)/13)+1)</f>
        <v/>
      </c>
      <c r="E1177" t="inlineStr">
        <is>
          <t>Fitness</t>
        </is>
      </c>
      <c r="F1177">
        <f>IFERROR(INDEX(ChFormat,MATCH(E1177,ChName,0)),"")</f>
        <v/>
      </c>
      <c r="G1177" t="inlineStr">
        <is>
          <t>SK</t>
        </is>
      </c>
      <c r="H1177">
        <f>IF(A1177&lt;=NWeeks,1,0)</f>
        <v/>
      </c>
      <c r="I1177">
        <f>INDEX(ChLaunch,MATCH(E1177,ChName,0))</f>
        <v/>
      </c>
      <c r="J1177">
        <f>INDEX(ChWeeksFull,MATCH(E1177,ChName,0))</f>
        <v/>
      </c>
      <c r="K1177">
        <f>INDEX(ChRamp,MATCH(E1177,ChName,0))</f>
        <v/>
      </c>
      <c r="L1177" s="45">
        <f>MIN(1,MAX(0,(A1177-I1177+1)*RampSpeed/J1177))</f>
        <v/>
      </c>
      <c r="M1177" s="45">
        <f>IF(A1177&lt;I1177,0,IF(K1177="S-curve",L1177*L1177*(3-2*L1177),L1177))</f>
        <v/>
      </c>
      <c r="N1177" s="45">
        <f>1+(INDEX(SeasonIdx,A1177)-1)*SeasonAmp</f>
        <v/>
      </c>
      <c r="O1177" s="45">
        <f>IFERROR(INDEX(PSPct,MATCH(E1177&amp;"|"&amp;G1177,PSKey,0)),0)</f>
        <v/>
      </c>
      <c r="P1177" s="46">
        <f>INDEX(ChDoorVel,MATCH(E1177,ChName,0))*CalibScalar*(1+VelocityUplift)</f>
        <v/>
      </c>
      <c r="Q1177" s="46" t="n">
        <v>0</v>
      </c>
      <c r="R1177" s="46">
        <f>P1177*O1177*M1177*N1177*H1177</f>
        <v/>
      </c>
      <c r="S1177" s="46">
        <f>R1177*INDEX(FmtCansPerCase,MATCH(F1177,FmtName,0))</f>
        <v/>
      </c>
      <c r="T1177" s="46">
        <f>S1177/INDEX(FmtCansPerPack,MATCH(F1177,FmtName,0))</f>
        <v/>
      </c>
      <c r="U1177" s="47">
        <f>INDEX(ChBaseCP,MATCH(E1177,ChName,0))*(1+INDEX(ProvMod,MATCH(G1177,ProvCode,0)))*(1+PriceIndex)</f>
        <v/>
      </c>
      <c r="V1177" s="47">
        <f>R1177*U1177*INDEX(FmtBlendedPriceIdx,MATCH(F1177,FmtName,0))</f>
        <v/>
      </c>
      <c r="W1177" s="47">
        <f>T1177*INDEX(ProvSRP,MATCH(G1177,ProvCode,0))*(1+PriceIndex)</f>
        <v/>
      </c>
      <c r="X1177" s="47">
        <f>IF(GrossBasis="Wholesale",V1177,W1177)</f>
        <v/>
      </c>
      <c r="Y1177" s="47">
        <f>R1177*INDEX(FmtBlendedCogs,MATCH(F1177,FmtName,0))</f>
        <v/>
      </c>
      <c r="Z1177" s="47">
        <f>X1177-Y1177</f>
        <v/>
      </c>
    </row>
    <row r="1178">
      <c r="A1178" t="n">
        <v>11</v>
      </c>
      <c r="B1178" s="44">
        <f>FiscalStart+(A1178-1)*7</f>
        <v/>
      </c>
      <c r="C1178">
        <f>TEXT(B1178,"mmm yyyy")</f>
        <v/>
      </c>
      <c r="D1178">
        <f>"Q"&amp;(INT((A1178-1)/13)+1)</f>
        <v/>
      </c>
      <c r="E1178" t="inlineStr">
        <is>
          <t>Fitness</t>
        </is>
      </c>
      <c r="F1178">
        <f>IFERROR(INDEX(ChFormat,MATCH(E1178,ChName,0)),"")</f>
        <v/>
      </c>
      <c r="G1178" t="inlineStr">
        <is>
          <t>SK</t>
        </is>
      </c>
      <c r="H1178">
        <f>IF(A1178&lt;=NWeeks,1,0)</f>
        <v/>
      </c>
      <c r="I1178">
        <f>INDEX(ChLaunch,MATCH(E1178,ChName,0))</f>
        <v/>
      </c>
      <c r="J1178">
        <f>INDEX(ChWeeksFull,MATCH(E1178,ChName,0))</f>
        <v/>
      </c>
      <c r="K1178">
        <f>INDEX(ChRamp,MATCH(E1178,ChName,0))</f>
        <v/>
      </c>
      <c r="L1178" s="45">
        <f>MIN(1,MAX(0,(A1178-I1178+1)*RampSpeed/J1178))</f>
        <v/>
      </c>
      <c r="M1178" s="45">
        <f>IF(A1178&lt;I1178,0,IF(K1178="S-curve",L1178*L1178*(3-2*L1178),L1178))</f>
        <v/>
      </c>
      <c r="N1178" s="45">
        <f>1+(INDEX(SeasonIdx,A1178)-1)*SeasonAmp</f>
        <v/>
      </c>
      <c r="O1178" s="45">
        <f>IFERROR(INDEX(PSPct,MATCH(E1178&amp;"|"&amp;G1178,PSKey,0)),0)</f>
        <v/>
      </c>
      <c r="P1178" s="46">
        <f>INDEX(ChDoorVel,MATCH(E1178,ChName,0))*CalibScalar*(1+VelocityUplift)</f>
        <v/>
      </c>
      <c r="Q1178" s="46" t="n">
        <v>0</v>
      </c>
      <c r="R1178" s="46">
        <f>P1178*O1178*M1178*N1178*H1178</f>
        <v/>
      </c>
      <c r="S1178" s="46">
        <f>R1178*INDEX(FmtCansPerCase,MATCH(F1178,FmtName,0))</f>
        <v/>
      </c>
      <c r="T1178" s="46">
        <f>S1178/INDEX(FmtCansPerPack,MATCH(F1178,FmtName,0))</f>
        <v/>
      </c>
      <c r="U1178" s="47">
        <f>INDEX(ChBaseCP,MATCH(E1178,ChName,0))*(1+INDEX(ProvMod,MATCH(G1178,ProvCode,0)))*(1+PriceIndex)</f>
        <v/>
      </c>
      <c r="V1178" s="47">
        <f>R1178*U1178*INDEX(FmtBlendedPriceIdx,MATCH(F1178,FmtName,0))</f>
        <v/>
      </c>
      <c r="W1178" s="47">
        <f>T1178*INDEX(ProvSRP,MATCH(G1178,ProvCode,0))*(1+PriceIndex)</f>
        <v/>
      </c>
      <c r="X1178" s="47">
        <f>IF(GrossBasis="Wholesale",V1178,W1178)</f>
        <v/>
      </c>
      <c r="Y1178" s="47">
        <f>R1178*INDEX(FmtBlendedCogs,MATCH(F1178,FmtName,0))</f>
        <v/>
      </c>
      <c r="Z1178" s="47">
        <f>X1178-Y1178</f>
        <v/>
      </c>
    </row>
    <row r="1179">
      <c r="A1179" t="n">
        <v>12</v>
      </c>
      <c r="B1179" s="44">
        <f>FiscalStart+(A1179-1)*7</f>
        <v/>
      </c>
      <c r="C1179">
        <f>TEXT(B1179,"mmm yyyy")</f>
        <v/>
      </c>
      <c r="D1179">
        <f>"Q"&amp;(INT((A1179-1)/13)+1)</f>
        <v/>
      </c>
      <c r="E1179" t="inlineStr">
        <is>
          <t>Fitness</t>
        </is>
      </c>
      <c r="F1179">
        <f>IFERROR(INDEX(ChFormat,MATCH(E1179,ChName,0)),"")</f>
        <v/>
      </c>
      <c r="G1179" t="inlineStr">
        <is>
          <t>SK</t>
        </is>
      </c>
      <c r="H1179">
        <f>IF(A1179&lt;=NWeeks,1,0)</f>
        <v/>
      </c>
      <c r="I1179">
        <f>INDEX(ChLaunch,MATCH(E1179,ChName,0))</f>
        <v/>
      </c>
      <c r="J1179">
        <f>INDEX(ChWeeksFull,MATCH(E1179,ChName,0))</f>
        <v/>
      </c>
      <c r="K1179">
        <f>INDEX(ChRamp,MATCH(E1179,ChName,0))</f>
        <v/>
      </c>
      <c r="L1179" s="45">
        <f>MIN(1,MAX(0,(A1179-I1179+1)*RampSpeed/J1179))</f>
        <v/>
      </c>
      <c r="M1179" s="45">
        <f>IF(A1179&lt;I1179,0,IF(K1179="S-curve",L1179*L1179*(3-2*L1179),L1179))</f>
        <v/>
      </c>
      <c r="N1179" s="45">
        <f>1+(INDEX(SeasonIdx,A1179)-1)*SeasonAmp</f>
        <v/>
      </c>
      <c r="O1179" s="45">
        <f>IFERROR(INDEX(PSPct,MATCH(E1179&amp;"|"&amp;G1179,PSKey,0)),0)</f>
        <v/>
      </c>
      <c r="P1179" s="46">
        <f>INDEX(ChDoorVel,MATCH(E1179,ChName,0))*CalibScalar*(1+VelocityUplift)</f>
        <v/>
      </c>
      <c r="Q1179" s="46" t="n">
        <v>0</v>
      </c>
      <c r="R1179" s="46">
        <f>P1179*O1179*M1179*N1179*H1179</f>
        <v/>
      </c>
      <c r="S1179" s="46">
        <f>R1179*INDEX(FmtCansPerCase,MATCH(F1179,FmtName,0))</f>
        <v/>
      </c>
      <c r="T1179" s="46">
        <f>S1179/INDEX(FmtCansPerPack,MATCH(F1179,FmtName,0))</f>
        <v/>
      </c>
      <c r="U1179" s="47">
        <f>INDEX(ChBaseCP,MATCH(E1179,ChName,0))*(1+INDEX(ProvMod,MATCH(G1179,ProvCode,0)))*(1+PriceIndex)</f>
        <v/>
      </c>
      <c r="V1179" s="47">
        <f>R1179*U1179*INDEX(FmtBlendedPriceIdx,MATCH(F1179,FmtName,0))</f>
        <v/>
      </c>
      <c r="W1179" s="47">
        <f>T1179*INDEX(ProvSRP,MATCH(G1179,ProvCode,0))*(1+PriceIndex)</f>
        <v/>
      </c>
      <c r="X1179" s="47">
        <f>IF(GrossBasis="Wholesale",V1179,W1179)</f>
        <v/>
      </c>
      <c r="Y1179" s="47">
        <f>R1179*INDEX(FmtBlendedCogs,MATCH(F1179,FmtName,0))</f>
        <v/>
      </c>
      <c r="Z1179" s="47">
        <f>X1179-Y1179</f>
        <v/>
      </c>
    </row>
    <row r="1180">
      <c r="A1180" t="n">
        <v>13</v>
      </c>
      <c r="B1180" s="44">
        <f>FiscalStart+(A1180-1)*7</f>
        <v/>
      </c>
      <c r="C1180">
        <f>TEXT(B1180,"mmm yyyy")</f>
        <v/>
      </c>
      <c r="D1180">
        <f>"Q"&amp;(INT((A1180-1)/13)+1)</f>
        <v/>
      </c>
      <c r="E1180" t="inlineStr">
        <is>
          <t>Fitness</t>
        </is>
      </c>
      <c r="F1180">
        <f>IFERROR(INDEX(ChFormat,MATCH(E1180,ChName,0)),"")</f>
        <v/>
      </c>
      <c r="G1180" t="inlineStr">
        <is>
          <t>SK</t>
        </is>
      </c>
      <c r="H1180">
        <f>IF(A1180&lt;=NWeeks,1,0)</f>
        <v/>
      </c>
      <c r="I1180">
        <f>INDEX(ChLaunch,MATCH(E1180,ChName,0))</f>
        <v/>
      </c>
      <c r="J1180">
        <f>INDEX(ChWeeksFull,MATCH(E1180,ChName,0))</f>
        <v/>
      </c>
      <c r="K1180">
        <f>INDEX(ChRamp,MATCH(E1180,ChName,0))</f>
        <v/>
      </c>
      <c r="L1180" s="45">
        <f>MIN(1,MAX(0,(A1180-I1180+1)*RampSpeed/J1180))</f>
        <v/>
      </c>
      <c r="M1180" s="45">
        <f>IF(A1180&lt;I1180,0,IF(K1180="S-curve",L1180*L1180*(3-2*L1180),L1180))</f>
        <v/>
      </c>
      <c r="N1180" s="45">
        <f>1+(INDEX(SeasonIdx,A1180)-1)*SeasonAmp</f>
        <v/>
      </c>
      <c r="O1180" s="45">
        <f>IFERROR(INDEX(PSPct,MATCH(E1180&amp;"|"&amp;G1180,PSKey,0)),0)</f>
        <v/>
      </c>
      <c r="P1180" s="46">
        <f>INDEX(ChDoorVel,MATCH(E1180,ChName,0))*CalibScalar*(1+VelocityUplift)</f>
        <v/>
      </c>
      <c r="Q1180" s="46" t="n">
        <v>0</v>
      </c>
      <c r="R1180" s="46">
        <f>P1180*O1180*M1180*N1180*H1180</f>
        <v/>
      </c>
      <c r="S1180" s="46">
        <f>R1180*INDEX(FmtCansPerCase,MATCH(F1180,FmtName,0))</f>
        <v/>
      </c>
      <c r="T1180" s="46">
        <f>S1180/INDEX(FmtCansPerPack,MATCH(F1180,FmtName,0))</f>
        <v/>
      </c>
      <c r="U1180" s="47">
        <f>INDEX(ChBaseCP,MATCH(E1180,ChName,0))*(1+INDEX(ProvMod,MATCH(G1180,ProvCode,0)))*(1+PriceIndex)</f>
        <v/>
      </c>
      <c r="V1180" s="47">
        <f>R1180*U1180*INDEX(FmtBlendedPriceIdx,MATCH(F1180,FmtName,0))</f>
        <v/>
      </c>
      <c r="W1180" s="47">
        <f>T1180*INDEX(ProvSRP,MATCH(G1180,ProvCode,0))*(1+PriceIndex)</f>
        <v/>
      </c>
      <c r="X1180" s="47">
        <f>IF(GrossBasis="Wholesale",V1180,W1180)</f>
        <v/>
      </c>
      <c r="Y1180" s="47">
        <f>R1180*INDEX(FmtBlendedCogs,MATCH(F1180,FmtName,0))</f>
        <v/>
      </c>
      <c r="Z1180" s="47">
        <f>X1180-Y1180</f>
        <v/>
      </c>
    </row>
    <row r="1181">
      <c r="A1181" t="n">
        <v>14</v>
      </c>
      <c r="B1181" s="44">
        <f>FiscalStart+(A1181-1)*7</f>
        <v/>
      </c>
      <c r="C1181">
        <f>TEXT(B1181,"mmm yyyy")</f>
        <v/>
      </c>
      <c r="D1181">
        <f>"Q"&amp;(INT((A1181-1)/13)+1)</f>
        <v/>
      </c>
      <c r="E1181" t="inlineStr">
        <is>
          <t>Fitness</t>
        </is>
      </c>
      <c r="F1181">
        <f>IFERROR(INDEX(ChFormat,MATCH(E1181,ChName,0)),"")</f>
        <v/>
      </c>
      <c r="G1181" t="inlineStr">
        <is>
          <t>SK</t>
        </is>
      </c>
      <c r="H1181">
        <f>IF(A1181&lt;=NWeeks,1,0)</f>
        <v/>
      </c>
      <c r="I1181">
        <f>INDEX(ChLaunch,MATCH(E1181,ChName,0))</f>
        <v/>
      </c>
      <c r="J1181">
        <f>INDEX(ChWeeksFull,MATCH(E1181,ChName,0))</f>
        <v/>
      </c>
      <c r="K1181">
        <f>INDEX(ChRamp,MATCH(E1181,ChName,0))</f>
        <v/>
      </c>
      <c r="L1181" s="45">
        <f>MIN(1,MAX(0,(A1181-I1181+1)*RampSpeed/J1181))</f>
        <v/>
      </c>
      <c r="M1181" s="45">
        <f>IF(A1181&lt;I1181,0,IF(K1181="S-curve",L1181*L1181*(3-2*L1181),L1181))</f>
        <v/>
      </c>
      <c r="N1181" s="45">
        <f>1+(INDEX(SeasonIdx,A1181)-1)*SeasonAmp</f>
        <v/>
      </c>
      <c r="O1181" s="45">
        <f>IFERROR(INDEX(PSPct,MATCH(E1181&amp;"|"&amp;G1181,PSKey,0)),0)</f>
        <v/>
      </c>
      <c r="P1181" s="46">
        <f>INDEX(ChDoorVel,MATCH(E1181,ChName,0))*CalibScalar*(1+VelocityUplift)</f>
        <v/>
      </c>
      <c r="Q1181" s="46" t="n">
        <v>0</v>
      </c>
      <c r="R1181" s="46">
        <f>P1181*O1181*M1181*N1181*H1181</f>
        <v/>
      </c>
      <c r="S1181" s="46">
        <f>R1181*INDEX(FmtCansPerCase,MATCH(F1181,FmtName,0))</f>
        <v/>
      </c>
      <c r="T1181" s="46">
        <f>S1181/INDEX(FmtCansPerPack,MATCH(F1181,FmtName,0))</f>
        <v/>
      </c>
      <c r="U1181" s="47">
        <f>INDEX(ChBaseCP,MATCH(E1181,ChName,0))*(1+INDEX(ProvMod,MATCH(G1181,ProvCode,0)))*(1+PriceIndex)</f>
        <v/>
      </c>
      <c r="V1181" s="47">
        <f>R1181*U1181*INDEX(FmtBlendedPriceIdx,MATCH(F1181,FmtName,0))</f>
        <v/>
      </c>
      <c r="W1181" s="47">
        <f>T1181*INDEX(ProvSRP,MATCH(G1181,ProvCode,0))*(1+PriceIndex)</f>
        <v/>
      </c>
      <c r="X1181" s="47">
        <f>IF(GrossBasis="Wholesale",V1181,W1181)</f>
        <v/>
      </c>
      <c r="Y1181" s="47">
        <f>R1181*INDEX(FmtBlendedCogs,MATCH(F1181,FmtName,0))</f>
        <v/>
      </c>
      <c r="Z1181" s="47">
        <f>X1181-Y1181</f>
        <v/>
      </c>
    </row>
    <row r="1182">
      <c r="A1182" t="n">
        <v>15</v>
      </c>
      <c r="B1182" s="44">
        <f>FiscalStart+(A1182-1)*7</f>
        <v/>
      </c>
      <c r="C1182">
        <f>TEXT(B1182,"mmm yyyy")</f>
        <v/>
      </c>
      <c r="D1182">
        <f>"Q"&amp;(INT((A1182-1)/13)+1)</f>
        <v/>
      </c>
      <c r="E1182" t="inlineStr">
        <is>
          <t>Fitness</t>
        </is>
      </c>
      <c r="F1182">
        <f>IFERROR(INDEX(ChFormat,MATCH(E1182,ChName,0)),"")</f>
        <v/>
      </c>
      <c r="G1182" t="inlineStr">
        <is>
          <t>SK</t>
        </is>
      </c>
      <c r="H1182">
        <f>IF(A1182&lt;=NWeeks,1,0)</f>
        <v/>
      </c>
      <c r="I1182">
        <f>INDEX(ChLaunch,MATCH(E1182,ChName,0))</f>
        <v/>
      </c>
      <c r="J1182">
        <f>INDEX(ChWeeksFull,MATCH(E1182,ChName,0))</f>
        <v/>
      </c>
      <c r="K1182">
        <f>INDEX(ChRamp,MATCH(E1182,ChName,0))</f>
        <v/>
      </c>
      <c r="L1182" s="45">
        <f>MIN(1,MAX(0,(A1182-I1182+1)*RampSpeed/J1182))</f>
        <v/>
      </c>
      <c r="M1182" s="45">
        <f>IF(A1182&lt;I1182,0,IF(K1182="S-curve",L1182*L1182*(3-2*L1182),L1182))</f>
        <v/>
      </c>
      <c r="N1182" s="45">
        <f>1+(INDEX(SeasonIdx,A1182)-1)*SeasonAmp</f>
        <v/>
      </c>
      <c r="O1182" s="45">
        <f>IFERROR(INDEX(PSPct,MATCH(E1182&amp;"|"&amp;G1182,PSKey,0)),0)</f>
        <v/>
      </c>
      <c r="P1182" s="46">
        <f>INDEX(ChDoorVel,MATCH(E1182,ChName,0))*CalibScalar*(1+VelocityUplift)</f>
        <v/>
      </c>
      <c r="Q1182" s="46" t="n">
        <v>0</v>
      </c>
      <c r="R1182" s="46">
        <f>P1182*O1182*M1182*N1182*H1182</f>
        <v/>
      </c>
      <c r="S1182" s="46">
        <f>R1182*INDEX(FmtCansPerCase,MATCH(F1182,FmtName,0))</f>
        <v/>
      </c>
      <c r="T1182" s="46">
        <f>S1182/INDEX(FmtCansPerPack,MATCH(F1182,FmtName,0))</f>
        <v/>
      </c>
      <c r="U1182" s="47">
        <f>INDEX(ChBaseCP,MATCH(E1182,ChName,0))*(1+INDEX(ProvMod,MATCH(G1182,ProvCode,0)))*(1+PriceIndex)</f>
        <v/>
      </c>
      <c r="V1182" s="47">
        <f>R1182*U1182*INDEX(FmtBlendedPriceIdx,MATCH(F1182,FmtName,0))</f>
        <v/>
      </c>
      <c r="W1182" s="47">
        <f>T1182*INDEX(ProvSRP,MATCH(G1182,ProvCode,0))*(1+PriceIndex)</f>
        <v/>
      </c>
      <c r="X1182" s="47">
        <f>IF(GrossBasis="Wholesale",V1182,W1182)</f>
        <v/>
      </c>
      <c r="Y1182" s="47">
        <f>R1182*INDEX(FmtBlendedCogs,MATCH(F1182,FmtName,0))</f>
        <v/>
      </c>
      <c r="Z1182" s="47">
        <f>X1182-Y1182</f>
        <v/>
      </c>
    </row>
    <row r="1183">
      <c r="A1183" t="n">
        <v>16</v>
      </c>
      <c r="B1183" s="44">
        <f>FiscalStart+(A1183-1)*7</f>
        <v/>
      </c>
      <c r="C1183">
        <f>TEXT(B1183,"mmm yyyy")</f>
        <v/>
      </c>
      <c r="D1183">
        <f>"Q"&amp;(INT((A1183-1)/13)+1)</f>
        <v/>
      </c>
      <c r="E1183" t="inlineStr">
        <is>
          <t>Fitness</t>
        </is>
      </c>
      <c r="F1183">
        <f>IFERROR(INDEX(ChFormat,MATCH(E1183,ChName,0)),"")</f>
        <v/>
      </c>
      <c r="G1183" t="inlineStr">
        <is>
          <t>SK</t>
        </is>
      </c>
      <c r="H1183">
        <f>IF(A1183&lt;=NWeeks,1,0)</f>
        <v/>
      </c>
      <c r="I1183">
        <f>INDEX(ChLaunch,MATCH(E1183,ChName,0))</f>
        <v/>
      </c>
      <c r="J1183">
        <f>INDEX(ChWeeksFull,MATCH(E1183,ChName,0))</f>
        <v/>
      </c>
      <c r="K1183">
        <f>INDEX(ChRamp,MATCH(E1183,ChName,0))</f>
        <v/>
      </c>
      <c r="L1183" s="45">
        <f>MIN(1,MAX(0,(A1183-I1183+1)*RampSpeed/J1183))</f>
        <v/>
      </c>
      <c r="M1183" s="45">
        <f>IF(A1183&lt;I1183,0,IF(K1183="S-curve",L1183*L1183*(3-2*L1183),L1183))</f>
        <v/>
      </c>
      <c r="N1183" s="45">
        <f>1+(INDEX(SeasonIdx,A1183)-1)*SeasonAmp</f>
        <v/>
      </c>
      <c r="O1183" s="45">
        <f>IFERROR(INDEX(PSPct,MATCH(E1183&amp;"|"&amp;G1183,PSKey,0)),0)</f>
        <v/>
      </c>
      <c r="P1183" s="46">
        <f>INDEX(ChDoorVel,MATCH(E1183,ChName,0))*CalibScalar*(1+VelocityUplift)</f>
        <v/>
      </c>
      <c r="Q1183" s="46" t="n">
        <v>0</v>
      </c>
      <c r="R1183" s="46">
        <f>P1183*O1183*M1183*N1183*H1183</f>
        <v/>
      </c>
      <c r="S1183" s="46">
        <f>R1183*INDEX(FmtCansPerCase,MATCH(F1183,FmtName,0))</f>
        <v/>
      </c>
      <c r="T1183" s="46">
        <f>S1183/INDEX(FmtCansPerPack,MATCH(F1183,FmtName,0))</f>
        <v/>
      </c>
      <c r="U1183" s="47">
        <f>INDEX(ChBaseCP,MATCH(E1183,ChName,0))*(1+INDEX(ProvMod,MATCH(G1183,ProvCode,0)))*(1+PriceIndex)</f>
        <v/>
      </c>
      <c r="V1183" s="47">
        <f>R1183*U1183*INDEX(FmtBlendedPriceIdx,MATCH(F1183,FmtName,0))</f>
        <v/>
      </c>
      <c r="W1183" s="47">
        <f>T1183*INDEX(ProvSRP,MATCH(G1183,ProvCode,0))*(1+PriceIndex)</f>
        <v/>
      </c>
      <c r="X1183" s="47">
        <f>IF(GrossBasis="Wholesale",V1183,W1183)</f>
        <v/>
      </c>
      <c r="Y1183" s="47">
        <f>R1183*INDEX(FmtBlendedCogs,MATCH(F1183,FmtName,0))</f>
        <v/>
      </c>
      <c r="Z1183" s="47">
        <f>X1183-Y1183</f>
        <v/>
      </c>
    </row>
    <row r="1184">
      <c r="A1184" t="n">
        <v>17</v>
      </c>
      <c r="B1184" s="44">
        <f>FiscalStart+(A1184-1)*7</f>
        <v/>
      </c>
      <c r="C1184">
        <f>TEXT(B1184,"mmm yyyy")</f>
        <v/>
      </c>
      <c r="D1184">
        <f>"Q"&amp;(INT((A1184-1)/13)+1)</f>
        <v/>
      </c>
      <c r="E1184" t="inlineStr">
        <is>
          <t>Fitness</t>
        </is>
      </c>
      <c r="F1184">
        <f>IFERROR(INDEX(ChFormat,MATCH(E1184,ChName,0)),"")</f>
        <v/>
      </c>
      <c r="G1184" t="inlineStr">
        <is>
          <t>SK</t>
        </is>
      </c>
      <c r="H1184">
        <f>IF(A1184&lt;=NWeeks,1,0)</f>
        <v/>
      </c>
      <c r="I1184">
        <f>INDEX(ChLaunch,MATCH(E1184,ChName,0))</f>
        <v/>
      </c>
      <c r="J1184">
        <f>INDEX(ChWeeksFull,MATCH(E1184,ChName,0))</f>
        <v/>
      </c>
      <c r="K1184">
        <f>INDEX(ChRamp,MATCH(E1184,ChName,0))</f>
        <v/>
      </c>
      <c r="L1184" s="45">
        <f>MIN(1,MAX(0,(A1184-I1184+1)*RampSpeed/J1184))</f>
        <v/>
      </c>
      <c r="M1184" s="45">
        <f>IF(A1184&lt;I1184,0,IF(K1184="S-curve",L1184*L1184*(3-2*L1184),L1184))</f>
        <v/>
      </c>
      <c r="N1184" s="45">
        <f>1+(INDEX(SeasonIdx,A1184)-1)*SeasonAmp</f>
        <v/>
      </c>
      <c r="O1184" s="45">
        <f>IFERROR(INDEX(PSPct,MATCH(E1184&amp;"|"&amp;G1184,PSKey,0)),0)</f>
        <v/>
      </c>
      <c r="P1184" s="46">
        <f>INDEX(ChDoorVel,MATCH(E1184,ChName,0))*CalibScalar*(1+VelocityUplift)</f>
        <v/>
      </c>
      <c r="Q1184" s="46" t="n">
        <v>0</v>
      </c>
      <c r="R1184" s="46">
        <f>P1184*O1184*M1184*N1184*H1184</f>
        <v/>
      </c>
      <c r="S1184" s="46">
        <f>R1184*INDEX(FmtCansPerCase,MATCH(F1184,FmtName,0))</f>
        <v/>
      </c>
      <c r="T1184" s="46">
        <f>S1184/INDEX(FmtCansPerPack,MATCH(F1184,FmtName,0))</f>
        <v/>
      </c>
      <c r="U1184" s="47">
        <f>INDEX(ChBaseCP,MATCH(E1184,ChName,0))*(1+INDEX(ProvMod,MATCH(G1184,ProvCode,0)))*(1+PriceIndex)</f>
        <v/>
      </c>
      <c r="V1184" s="47">
        <f>R1184*U1184*INDEX(FmtBlendedPriceIdx,MATCH(F1184,FmtName,0))</f>
        <v/>
      </c>
      <c r="W1184" s="47">
        <f>T1184*INDEX(ProvSRP,MATCH(G1184,ProvCode,0))*(1+PriceIndex)</f>
        <v/>
      </c>
      <c r="X1184" s="47">
        <f>IF(GrossBasis="Wholesale",V1184,W1184)</f>
        <v/>
      </c>
      <c r="Y1184" s="47">
        <f>R1184*INDEX(FmtBlendedCogs,MATCH(F1184,FmtName,0))</f>
        <v/>
      </c>
      <c r="Z1184" s="47">
        <f>X1184-Y1184</f>
        <v/>
      </c>
    </row>
    <row r="1185">
      <c r="A1185" t="n">
        <v>18</v>
      </c>
      <c r="B1185" s="44">
        <f>FiscalStart+(A1185-1)*7</f>
        <v/>
      </c>
      <c r="C1185">
        <f>TEXT(B1185,"mmm yyyy")</f>
        <v/>
      </c>
      <c r="D1185">
        <f>"Q"&amp;(INT((A1185-1)/13)+1)</f>
        <v/>
      </c>
      <c r="E1185" t="inlineStr">
        <is>
          <t>Fitness</t>
        </is>
      </c>
      <c r="F1185">
        <f>IFERROR(INDEX(ChFormat,MATCH(E1185,ChName,0)),"")</f>
        <v/>
      </c>
      <c r="G1185" t="inlineStr">
        <is>
          <t>SK</t>
        </is>
      </c>
      <c r="H1185">
        <f>IF(A1185&lt;=NWeeks,1,0)</f>
        <v/>
      </c>
      <c r="I1185">
        <f>INDEX(ChLaunch,MATCH(E1185,ChName,0))</f>
        <v/>
      </c>
      <c r="J1185">
        <f>INDEX(ChWeeksFull,MATCH(E1185,ChName,0))</f>
        <v/>
      </c>
      <c r="K1185">
        <f>INDEX(ChRamp,MATCH(E1185,ChName,0))</f>
        <v/>
      </c>
      <c r="L1185" s="45">
        <f>MIN(1,MAX(0,(A1185-I1185+1)*RampSpeed/J1185))</f>
        <v/>
      </c>
      <c r="M1185" s="45">
        <f>IF(A1185&lt;I1185,0,IF(K1185="S-curve",L1185*L1185*(3-2*L1185),L1185))</f>
        <v/>
      </c>
      <c r="N1185" s="45">
        <f>1+(INDEX(SeasonIdx,A1185)-1)*SeasonAmp</f>
        <v/>
      </c>
      <c r="O1185" s="45">
        <f>IFERROR(INDEX(PSPct,MATCH(E1185&amp;"|"&amp;G1185,PSKey,0)),0)</f>
        <v/>
      </c>
      <c r="P1185" s="46">
        <f>INDEX(ChDoorVel,MATCH(E1185,ChName,0))*CalibScalar*(1+VelocityUplift)</f>
        <v/>
      </c>
      <c r="Q1185" s="46" t="n">
        <v>0</v>
      </c>
      <c r="R1185" s="46">
        <f>P1185*O1185*M1185*N1185*H1185</f>
        <v/>
      </c>
      <c r="S1185" s="46">
        <f>R1185*INDEX(FmtCansPerCase,MATCH(F1185,FmtName,0))</f>
        <v/>
      </c>
      <c r="T1185" s="46">
        <f>S1185/INDEX(FmtCansPerPack,MATCH(F1185,FmtName,0))</f>
        <v/>
      </c>
      <c r="U1185" s="47">
        <f>INDEX(ChBaseCP,MATCH(E1185,ChName,0))*(1+INDEX(ProvMod,MATCH(G1185,ProvCode,0)))*(1+PriceIndex)</f>
        <v/>
      </c>
      <c r="V1185" s="47">
        <f>R1185*U1185*INDEX(FmtBlendedPriceIdx,MATCH(F1185,FmtName,0))</f>
        <v/>
      </c>
      <c r="W1185" s="47">
        <f>T1185*INDEX(ProvSRP,MATCH(G1185,ProvCode,0))*(1+PriceIndex)</f>
        <v/>
      </c>
      <c r="X1185" s="47">
        <f>IF(GrossBasis="Wholesale",V1185,W1185)</f>
        <v/>
      </c>
      <c r="Y1185" s="47">
        <f>R1185*INDEX(FmtBlendedCogs,MATCH(F1185,FmtName,0))</f>
        <v/>
      </c>
      <c r="Z1185" s="47">
        <f>X1185-Y1185</f>
        <v/>
      </c>
    </row>
    <row r="1186">
      <c r="A1186" t="n">
        <v>19</v>
      </c>
      <c r="B1186" s="44">
        <f>FiscalStart+(A1186-1)*7</f>
        <v/>
      </c>
      <c r="C1186">
        <f>TEXT(B1186,"mmm yyyy")</f>
        <v/>
      </c>
      <c r="D1186">
        <f>"Q"&amp;(INT((A1186-1)/13)+1)</f>
        <v/>
      </c>
      <c r="E1186" t="inlineStr">
        <is>
          <t>Fitness</t>
        </is>
      </c>
      <c r="F1186">
        <f>IFERROR(INDEX(ChFormat,MATCH(E1186,ChName,0)),"")</f>
        <v/>
      </c>
      <c r="G1186" t="inlineStr">
        <is>
          <t>SK</t>
        </is>
      </c>
      <c r="H1186">
        <f>IF(A1186&lt;=NWeeks,1,0)</f>
        <v/>
      </c>
      <c r="I1186">
        <f>INDEX(ChLaunch,MATCH(E1186,ChName,0))</f>
        <v/>
      </c>
      <c r="J1186">
        <f>INDEX(ChWeeksFull,MATCH(E1186,ChName,0))</f>
        <v/>
      </c>
      <c r="K1186">
        <f>INDEX(ChRamp,MATCH(E1186,ChName,0))</f>
        <v/>
      </c>
      <c r="L1186" s="45">
        <f>MIN(1,MAX(0,(A1186-I1186+1)*RampSpeed/J1186))</f>
        <v/>
      </c>
      <c r="M1186" s="45">
        <f>IF(A1186&lt;I1186,0,IF(K1186="S-curve",L1186*L1186*(3-2*L1186),L1186))</f>
        <v/>
      </c>
      <c r="N1186" s="45">
        <f>1+(INDEX(SeasonIdx,A1186)-1)*SeasonAmp</f>
        <v/>
      </c>
      <c r="O1186" s="45">
        <f>IFERROR(INDEX(PSPct,MATCH(E1186&amp;"|"&amp;G1186,PSKey,0)),0)</f>
        <v/>
      </c>
      <c r="P1186" s="46">
        <f>INDEX(ChDoorVel,MATCH(E1186,ChName,0))*CalibScalar*(1+VelocityUplift)</f>
        <v/>
      </c>
      <c r="Q1186" s="46" t="n">
        <v>0</v>
      </c>
      <c r="R1186" s="46">
        <f>P1186*O1186*M1186*N1186*H1186</f>
        <v/>
      </c>
      <c r="S1186" s="46">
        <f>R1186*INDEX(FmtCansPerCase,MATCH(F1186,FmtName,0))</f>
        <v/>
      </c>
      <c r="T1186" s="46">
        <f>S1186/INDEX(FmtCansPerPack,MATCH(F1186,FmtName,0))</f>
        <v/>
      </c>
      <c r="U1186" s="47">
        <f>INDEX(ChBaseCP,MATCH(E1186,ChName,0))*(1+INDEX(ProvMod,MATCH(G1186,ProvCode,0)))*(1+PriceIndex)</f>
        <v/>
      </c>
      <c r="V1186" s="47">
        <f>R1186*U1186*INDEX(FmtBlendedPriceIdx,MATCH(F1186,FmtName,0))</f>
        <v/>
      </c>
      <c r="W1186" s="47">
        <f>T1186*INDEX(ProvSRP,MATCH(G1186,ProvCode,0))*(1+PriceIndex)</f>
        <v/>
      </c>
      <c r="X1186" s="47">
        <f>IF(GrossBasis="Wholesale",V1186,W1186)</f>
        <v/>
      </c>
      <c r="Y1186" s="47">
        <f>R1186*INDEX(FmtBlendedCogs,MATCH(F1186,FmtName,0))</f>
        <v/>
      </c>
      <c r="Z1186" s="47">
        <f>X1186-Y1186</f>
        <v/>
      </c>
    </row>
    <row r="1187">
      <c r="A1187" t="n">
        <v>20</v>
      </c>
      <c r="B1187" s="44">
        <f>FiscalStart+(A1187-1)*7</f>
        <v/>
      </c>
      <c r="C1187">
        <f>TEXT(B1187,"mmm yyyy")</f>
        <v/>
      </c>
      <c r="D1187">
        <f>"Q"&amp;(INT((A1187-1)/13)+1)</f>
        <v/>
      </c>
      <c r="E1187" t="inlineStr">
        <is>
          <t>Fitness</t>
        </is>
      </c>
      <c r="F1187">
        <f>IFERROR(INDEX(ChFormat,MATCH(E1187,ChName,0)),"")</f>
        <v/>
      </c>
      <c r="G1187" t="inlineStr">
        <is>
          <t>SK</t>
        </is>
      </c>
      <c r="H1187">
        <f>IF(A1187&lt;=NWeeks,1,0)</f>
        <v/>
      </c>
      <c r="I1187">
        <f>INDEX(ChLaunch,MATCH(E1187,ChName,0))</f>
        <v/>
      </c>
      <c r="J1187">
        <f>INDEX(ChWeeksFull,MATCH(E1187,ChName,0))</f>
        <v/>
      </c>
      <c r="K1187">
        <f>INDEX(ChRamp,MATCH(E1187,ChName,0))</f>
        <v/>
      </c>
      <c r="L1187" s="45">
        <f>MIN(1,MAX(0,(A1187-I1187+1)*RampSpeed/J1187))</f>
        <v/>
      </c>
      <c r="M1187" s="45">
        <f>IF(A1187&lt;I1187,0,IF(K1187="S-curve",L1187*L1187*(3-2*L1187),L1187))</f>
        <v/>
      </c>
      <c r="N1187" s="45">
        <f>1+(INDEX(SeasonIdx,A1187)-1)*SeasonAmp</f>
        <v/>
      </c>
      <c r="O1187" s="45">
        <f>IFERROR(INDEX(PSPct,MATCH(E1187&amp;"|"&amp;G1187,PSKey,0)),0)</f>
        <v/>
      </c>
      <c r="P1187" s="46">
        <f>INDEX(ChDoorVel,MATCH(E1187,ChName,0))*CalibScalar*(1+VelocityUplift)</f>
        <v/>
      </c>
      <c r="Q1187" s="46" t="n">
        <v>0</v>
      </c>
      <c r="R1187" s="46">
        <f>P1187*O1187*M1187*N1187*H1187</f>
        <v/>
      </c>
      <c r="S1187" s="46">
        <f>R1187*INDEX(FmtCansPerCase,MATCH(F1187,FmtName,0))</f>
        <v/>
      </c>
      <c r="T1187" s="46">
        <f>S1187/INDEX(FmtCansPerPack,MATCH(F1187,FmtName,0))</f>
        <v/>
      </c>
      <c r="U1187" s="47">
        <f>INDEX(ChBaseCP,MATCH(E1187,ChName,0))*(1+INDEX(ProvMod,MATCH(G1187,ProvCode,0)))*(1+PriceIndex)</f>
        <v/>
      </c>
      <c r="V1187" s="47">
        <f>R1187*U1187*INDEX(FmtBlendedPriceIdx,MATCH(F1187,FmtName,0))</f>
        <v/>
      </c>
      <c r="W1187" s="47">
        <f>T1187*INDEX(ProvSRP,MATCH(G1187,ProvCode,0))*(1+PriceIndex)</f>
        <v/>
      </c>
      <c r="X1187" s="47">
        <f>IF(GrossBasis="Wholesale",V1187,W1187)</f>
        <v/>
      </c>
      <c r="Y1187" s="47">
        <f>R1187*INDEX(FmtBlendedCogs,MATCH(F1187,FmtName,0))</f>
        <v/>
      </c>
      <c r="Z1187" s="47">
        <f>X1187-Y1187</f>
        <v/>
      </c>
    </row>
    <row r="1188">
      <c r="A1188" t="n">
        <v>21</v>
      </c>
      <c r="B1188" s="44">
        <f>FiscalStart+(A1188-1)*7</f>
        <v/>
      </c>
      <c r="C1188">
        <f>TEXT(B1188,"mmm yyyy")</f>
        <v/>
      </c>
      <c r="D1188">
        <f>"Q"&amp;(INT((A1188-1)/13)+1)</f>
        <v/>
      </c>
      <c r="E1188" t="inlineStr">
        <is>
          <t>Fitness</t>
        </is>
      </c>
      <c r="F1188">
        <f>IFERROR(INDEX(ChFormat,MATCH(E1188,ChName,0)),"")</f>
        <v/>
      </c>
      <c r="G1188" t="inlineStr">
        <is>
          <t>SK</t>
        </is>
      </c>
      <c r="H1188">
        <f>IF(A1188&lt;=NWeeks,1,0)</f>
        <v/>
      </c>
      <c r="I1188">
        <f>INDEX(ChLaunch,MATCH(E1188,ChName,0))</f>
        <v/>
      </c>
      <c r="J1188">
        <f>INDEX(ChWeeksFull,MATCH(E1188,ChName,0))</f>
        <v/>
      </c>
      <c r="K1188">
        <f>INDEX(ChRamp,MATCH(E1188,ChName,0))</f>
        <v/>
      </c>
      <c r="L1188" s="45">
        <f>MIN(1,MAX(0,(A1188-I1188+1)*RampSpeed/J1188))</f>
        <v/>
      </c>
      <c r="M1188" s="45">
        <f>IF(A1188&lt;I1188,0,IF(K1188="S-curve",L1188*L1188*(3-2*L1188),L1188))</f>
        <v/>
      </c>
      <c r="N1188" s="45">
        <f>1+(INDEX(SeasonIdx,A1188)-1)*SeasonAmp</f>
        <v/>
      </c>
      <c r="O1188" s="45">
        <f>IFERROR(INDEX(PSPct,MATCH(E1188&amp;"|"&amp;G1188,PSKey,0)),0)</f>
        <v/>
      </c>
      <c r="P1188" s="46">
        <f>INDEX(ChDoorVel,MATCH(E1188,ChName,0))*CalibScalar*(1+VelocityUplift)</f>
        <v/>
      </c>
      <c r="Q1188" s="46" t="n">
        <v>0</v>
      </c>
      <c r="R1188" s="46">
        <f>P1188*O1188*M1188*N1188*H1188</f>
        <v/>
      </c>
      <c r="S1188" s="46">
        <f>R1188*INDEX(FmtCansPerCase,MATCH(F1188,FmtName,0))</f>
        <v/>
      </c>
      <c r="T1188" s="46">
        <f>S1188/INDEX(FmtCansPerPack,MATCH(F1188,FmtName,0))</f>
        <v/>
      </c>
      <c r="U1188" s="47">
        <f>INDEX(ChBaseCP,MATCH(E1188,ChName,0))*(1+INDEX(ProvMod,MATCH(G1188,ProvCode,0)))*(1+PriceIndex)</f>
        <v/>
      </c>
      <c r="V1188" s="47">
        <f>R1188*U1188*INDEX(FmtBlendedPriceIdx,MATCH(F1188,FmtName,0))</f>
        <v/>
      </c>
      <c r="W1188" s="47">
        <f>T1188*INDEX(ProvSRP,MATCH(G1188,ProvCode,0))*(1+PriceIndex)</f>
        <v/>
      </c>
      <c r="X1188" s="47">
        <f>IF(GrossBasis="Wholesale",V1188,W1188)</f>
        <v/>
      </c>
      <c r="Y1188" s="47">
        <f>R1188*INDEX(FmtBlendedCogs,MATCH(F1188,FmtName,0))</f>
        <v/>
      </c>
      <c r="Z1188" s="47">
        <f>X1188-Y1188</f>
        <v/>
      </c>
    </row>
    <row r="1189">
      <c r="A1189" t="n">
        <v>22</v>
      </c>
      <c r="B1189" s="44">
        <f>FiscalStart+(A1189-1)*7</f>
        <v/>
      </c>
      <c r="C1189">
        <f>TEXT(B1189,"mmm yyyy")</f>
        <v/>
      </c>
      <c r="D1189">
        <f>"Q"&amp;(INT((A1189-1)/13)+1)</f>
        <v/>
      </c>
      <c r="E1189" t="inlineStr">
        <is>
          <t>Fitness</t>
        </is>
      </c>
      <c r="F1189">
        <f>IFERROR(INDEX(ChFormat,MATCH(E1189,ChName,0)),"")</f>
        <v/>
      </c>
      <c r="G1189" t="inlineStr">
        <is>
          <t>SK</t>
        </is>
      </c>
      <c r="H1189">
        <f>IF(A1189&lt;=NWeeks,1,0)</f>
        <v/>
      </c>
      <c r="I1189">
        <f>INDEX(ChLaunch,MATCH(E1189,ChName,0))</f>
        <v/>
      </c>
      <c r="J1189">
        <f>INDEX(ChWeeksFull,MATCH(E1189,ChName,0))</f>
        <v/>
      </c>
      <c r="K1189">
        <f>INDEX(ChRamp,MATCH(E1189,ChName,0))</f>
        <v/>
      </c>
      <c r="L1189" s="45">
        <f>MIN(1,MAX(0,(A1189-I1189+1)*RampSpeed/J1189))</f>
        <v/>
      </c>
      <c r="M1189" s="45">
        <f>IF(A1189&lt;I1189,0,IF(K1189="S-curve",L1189*L1189*(3-2*L1189),L1189))</f>
        <v/>
      </c>
      <c r="N1189" s="45">
        <f>1+(INDEX(SeasonIdx,A1189)-1)*SeasonAmp</f>
        <v/>
      </c>
      <c r="O1189" s="45">
        <f>IFERROR(INDEX(PSPct,MATCH(E1189&amp;"|"&amp;G1189,PSKey,0)),0)</f>
        <v/>
      </c>
      <c r="P1189" s="46">
        <f>INDEX(ChDoorVel,MATCH(E1189,ChName,0))*CalibScalar*(1+VelocityUplift)</f>
        <v/>
      </c>
      <c r="Q1189" s="46" t="n">
        <v>0</v>
      </c>
      <c r="R1189" s="46">
        <f>P1189*O1189*M1189*N1189*H1189</f>
        <v/>
      </c>
      <c r="S1189" s="46">
        <f>R1189*INDEX(FmtCansPerCase,MATCH(F1189,FmtName,0))</f>
        <v/>
      </c>
      <c r="T1189" s="46">
        <f>S1189/INDEX(FmtCansPerPack,MATCH(F1189,FmtName,0))</f>
        <v/>
      </c>
      <c r="U1189" s="47">
        <f>INDEX(ChBaseCP,MATCH(E1189,ChName,0))*(1+INDEX(ProvMod,MATCH(G1189,ProvCode,0)))*(1+PriceIndex)</f>
        <v/>
      </c>
      <c r="V1189" s="47">
        <f>R1189*U1189*INDEX(FmtBlendedPriceIdx,MATCH(F1189,FmtName,0))</f>
        <v/>
      </c>
      <c r="W1189" s="47">
        <f>T1189*INDEX(ProvSRP,MATCH(G1189,ProvCode,0))*(1+PriceIndex)</f>
        <v/>
      </c>
      <c r="X1189" s="47">
        <f>IF(GrossBasis="Wholesale",V1189,W1189)</f>
        <v/>
      </c>
      <c r="Y1189" s="47">
        <f>R1189*INDEX(FmtBlendedCogs,MATCH(F1189,FmtName,0))</f>
        <v/>
      </c>
      <c r="Z1189" s="47">
        <f>X1189-Y1189</f>
        <v/>
      </c>
    </row>
    <row r="1190">
      <c r="A1190" t="n">
        <v>23</v>
      </c>
      <c r="B1190" s="44">
        <f>FiscalStart+(A1190-1)*7</f>
        <v/>
      </c>
      <c r="C1190">
        <f>TEXT(B1190,"mmm yyyy")</f>
        <v/>
      </c>
      <c r="D1190">
        <f>"Q"&amp;(INT((A1190-1)/13)+1)</f>
        <v/>
      </c>
      <c r="E1190" t="inlineStr">
        <is>
          <t>Fitness</t>
        </is>
      </c>
      <c r="F1190">
        <f>IFERROR(INDEX(ChFormat,MATCH(E1190,ChName,0)),"")</f>
        <v/>
      </c>
      <c r="G1190" t="inlineStr">
        <is>
          <t>SK</t>
        </is>
      </c>
      <c r="H1190">
        <f>IF(A1190&lt;=NWeeks,1,0)</f>
        <v/>
      </c>
      <c r="I1190">
        <f>INDEX(ChLaunch,MATCH(E1190,ChName,0))</f>
        <v/>
      </c>
      <c r="J1190">
        <f>INDEX(ChWeeksFull,MATCH(E1190,ChName,0))</f>
        <v/>
      </c>
      <c r="K1190">
        <f>INDEX(ChRamp,MATCH(E1190,ChName,0))</f>
        <v/>
      </c>
      <c r="L1190" s="45">
        <f>MIN(1,MAX(0,(A1190-I1190+1)*RampSpeed/J1190))</f>
        <v/>
      </c>
      <c r="M1190" s="45">
        <f>IF(A1190&lt;I1190,0,IF(K1190="S-curve",L1190*L1190*(3-2*L1190),L1190))</f>
        <v/>
      </c>
      <c r="N1190" s="45">
        <f>1+(INDEX(SeasonIdx,A1190)-1)*SeasonAmp</f>
        <v/>
      </c>
      <c r="O1190" s="45">
        <f>IFERROR(INDEX(PSPct,MATCH(E1190&amp;"|"&amp;G1190,PSKey,0)),0)</f>
        <v/>
      </c>
      <c r="P1190" s="46">
        <f>INDEX(ChDoorVel,MATCH(E1190,ChName,0))*CalibScalar*(1+VelocityUplift)</f>
        <v/>
      </c>
      <c r="Q1190" s="46" t="n">
        <v>0</v>
      </c>
      <c r="R1190" s="46">
        <f>P1190*O1190*M1190*N1190*H1190</f>
        <v/>
      </c>
      <c r="S1190" s="46">
        <f>R1190*INDEX(FmtCansPerCase,MATCH(F1190,FmtName,0))</f>
        <v/>
      </c>
      <c r="T1190" s="46">
        <f>S1190/INDEX(FmtCansPerPack,MATCH(F1190,FmtName,0))</f>
        <v/>
      </c>
      <c r="U1190" s="47">
        <f>INDEX(ChBaseCP,MATCH(E1190,ChName,0))*(1+INDEX(ProvMod,MATCH(G1190,ProvCode,0)))*(1+PriceIndex)</f>
        <v/>
      </c>
      <c r="V1190" s="47">
        <f>R1190*U1190*INDEX(FmtBlendedPriceIdx,MATCH(F1190,FmtName,0))</f>
        <v/>
      </c>
      <c r="W1190" s="47">
        <f>T1190*INDEX(ProvSRP,MATCH(G1190,ProvCode,0))*(1+PriceIndex)</f>
        <v/>
      </c>
      <c r="X1190" s="47">
        <f>IF(GrossBasis="Wholesale",V1190,W1190)</f>
        <v/>
      </c>
      <c r="Y1190" s="47">
        <f>R1190*INDEX(FmtBlendedCogs,MATCH(F1190,FmtName,0))</f>
        <v/>
      </c>
      <c r="Z1190" s="47">
        <f>X1190-Y1190</f>
        <v/>
      </c>
    </row>
    <row r="1191">
      <c r="A1191" t="n">
        <v>24</v>
      </c>
      <c r="B1191" s="44">
        <f>FiscalStart+(A1191-1)*7</f>
        <v/>
      </c>
      <c r="C1191">
        <f>TEXT(B1191,"mmm yyyy")</f>
        <v/>
      </c>
      <c r="D1191">
        <f>"Q"&amp;(INT((A1191-1)/13)+1)</f>
        <v/>
      </c>
      <c r="E1191" t="inlineStr">
        <is>
          <t>Fitness</t>
        </is>
      </c>
      <c r="F1191">
        <f>IFERROR(INDEX(ChFormat,MATCH(E1191,ChName,0)),"")</f>
        <v/>
      </c>
      <c r="G1191" t="inlineStr">
        <is>
          <t>SK</t>
        </is>
      </c>
      <c r="H1191">
        <f>IF(A1191&lt;=NWeeks,1,0)</f>
        <v/>
      </c>
      <c r="I1191">
        <f>INDEX(ChLaunch,MATCH(E1191,ChName,0))</f>
        <v/>
      </c>
      <c r="J1191">
        <f>INDEX(ChWeeksFull,MATCH(E1191,ChName,0))</f>
        <v/>
      </c>
      <c r="K1191">
        <f>INDEX(ChRamp,MATCH(E1191,ChName,0))</f>
        <v/>
      </c>
      <c r="L1191" s="45">
        <f>MIN(1,MAX(0,(A1191-I1191+1)*RampSpeed/J1191))</f>
        <v/>
      </c>
      <c r="M1191" s="45">
        <f>IF(A1191&lt;I1191,0,IF(K1191="S-curve",L1191*L1191*(3-2*L1191),L1191))</f>
        <v/>
      </c>
      <c r="N1191" s="45">
        <f>1+(INDEX(SeasonIdx,A1191)-1)*SeasonAmp</f>
        <v/>
      </c>
      <c r="O1191" s="45">
        <f>IFERROR(INDEX(PSPct,MATCH(E1191&amp;"|"&amp;G1191,PSKey,0)),0)</f>
        <v/>
      </c>
      <c r="P1191" s="46">
        <f>INDEX(ChDoorVel,MATCH(E1191,ChName,0))*CalibScalar*(1+VelocityUplift)</f>
        <v/>
      </c>
      <c r="Q1191" s="46" t="n">
        <v>0</v>
      </c>
      <c r="R1191" s="46">
        <f>P1191*O1191*M1191*N1191*H1191</f>
        <v/>
      </c>
      <c r="S1191" s="46">
        <f>R1191*INDEX(FmtCansPerCase,MATCH(F1191,FmtName,0))</f>
        <v/>
      </c>
      <c r="T1191" s="46">
        <f>S1191/INDEX(FmtCansPerPack,MATCH(F1191,FmtName,0))</f>
        <v/>
      </c>
      <c r="U1191" s="47">
        <f>INDEX(ChBaseCP,MATCH(E1191,ChName,0))*(1+INDEX(ProvMod,MATCH(G1191,ProvCode,0)))*(1+PriceIndex)</f>
        <v/>
      </c>
      <c r="V1191" s="47">
        <f>R1191*U1191*INDEX(FmtBlendedPriceIdx,MATCH(F1191,FmtName,0))</f>
        <v/>
      </c>
      <c r="W1191" s="47">
        <f>T1191*INDEX(ProvSRP,MATCH(G1191,ProvCode,0))*(1+PriceIndex)</f>
        <v/>
      </c>
      <c r="X1191" s="47">
        <f>IF(GrossBasis="Wholesale",V1191,W1191)</f>
        <v/>
      </c>
      <c r="Y1191" s="47">
        <f>R1191*INDEX(FmtBlendedCogs,MATCH(F1191,FmtName,0))</f>
        <v/>
      </c>
      <c r="Z1191" s="47">
        <f>X1191-Y1191</f>
        <v/>
      </c>
    </row>
    <row r="1192">
      <c r="A1192" t="n">
        <v>25</v>
      </c>
      <c r="B1192" s="44">
        <f>FiscalStart+(A1192-1)*7</f>
        <v/>
      </c>
      <c r="C1192">
        <f>TEXT(B1192,"mmm yyyy")</f>
        <v/>
      </c>
      <c r="D1192">
        <f>"Q"&amp;(INT((A1192-1)/13)+1)</f>
        <v/>
      </c>
      <c r="E1192" t="inlineStr">
        <is>
          <t>Fitness</t>
        </is>
      </c>
      <c r="F1192">
        <f>IFERROR(INDEX(ChFormat,MATCH(E1192,ChName,0)),"")</f>
        <v/>
      </c>
      <c r="G1192" t="inlineStr">
        <is>
          <t>SK</t>
        </is>
      </c>
      <c r="H1192">
        <f>IF(A1192&lt;=NWeeks,1,0)</f>
        <v/>
      </c>
      <c r="I1192">
        <f>INDEX(ChLaunch,MATCH(E1192,ChName,0))</f>
        <v/>
      </c>
      <c r="J1192">
        <f>INDEX(ChWeeksFull,MATCH(E1192,ChName,0))</f>
        <v/>
      </c>
      <c r="K1192">
        <f>INDEX(ChRamp,MATCH(E1192,ChName,0))</f>
        <v/>
      </c>
      <c r="L1192" s="45">
        <f>MIN(1,MAX(0,(A1192-I1192+1)*RampSpeed/J1192))</f>
        <v/>
      </c>
      <c r="M1192" s="45">
        <f>IF(A1192&lt;I1192,0,IF(K1192="S-curve",L1192*L1192*(3-2*L1192),L1192))</f>
        <v/>
      </c>
      <c r="N1192" s="45">
        <f>1+(INDEX(SeasonIdx,A1192)-1)*SeasonAmp</f>
        <v/>
      </c>
      <c r="O1192" s="45">
        <f>IFERROR(INDEX(PSPct,MATCH(E1192&amp;"|"&amp;G1192,PSKey,0)),0)</f>
        <v/>
      </c>
      <c r="P1192" s="46">
        <f>INDEX(ChDoorVel,MATCH(E1192,ChName,0))*CalibScalar*(1+VelocityUplift)</f>
        <v/>
      </c>
      <c r="Q1192" s="46" t="n">
        <v>0</v>
      </c>
      <c r="R1192" s="46">
        <f>P1192*O1192*M1192*N1192*H1192</f>
        <v/>
      </c>
      <c r="S1192" s="46">
        <f>R1192*INDEX(FmtCansPerCase,MATCH(F1192,FmtName,0))</f>
        <v/>
      </c>
      <c r="T1192" s="46">
        <f>S1192/INDEX(FmtCansPerPack,MATCH(F1192,FmtName,0))</f>
        <v/>
      </c>
      <c r="U1192" s="47">
        <f>INDEX(ChBaseCP,MATCH(E1192,ChName,0))*(1+INDEX(ProvMod,MATCH(G1192,ProvCode,0)))*(1+PriceIndex)</f>
        <v/>
      </c>
      <c r="V1192" s="47">
        <f>R1192*U1192*INDEX(FmtBlendedPriceIdx,MATCH(F1192,FmtName,0))</f>
        <v/>
      </c>
      <c r="W1192" s="47">
        <f>T1192*INDEX(ProvSRP,MATCH(G1192,ProvCode,0))*(1+PriceIndex)</f>
        <v/>
      </c>
      <c r="X1192" s="47">
        <f>IF(GrossBasis="Wholesale",V1192,W1192)</f>
        <v/>
      </c>
      <c r="Y1192" s="47">
        <f>R1192*INDEX(FmtBlendedCogs,MATCH(F1192,FmtName,0))</f>
        <v/>
      </c>
      <c r="Z1192" s="47">
        <f>X1192-Y1192</f>
        <v/>
      </c>
    </row>
    <row r="1193">
      <c r="A1193" t="n">
        <v>26</v>
      </c>
      <c r="B1193" s="44">
        <f>FiscalStart+(A1193-1)*7</f>
        <v/>
      </c>
      <c r="C1193">
        <f>TEXT(B1193,"mmm yyyy")</f>
        <v/>
      </c>
      <c r="D1193">
        <f>"Q"&amp;(INT((A1193-1)/13)+1)</f>
        <v/>
      </c>
      <c r="E1193" t="inlineStr">
        <is>
          <t>Fitness</t>
        </is>
      </c>
      <c r="F1193">
        <f>IFERROR(INDEX(ChFormat,MATCH(E1193,ChName,0)),"")</f>
        <v/>
      </c>
      <c r="G1193" t="inlineStr">
        <is>
          <t>SK</t>
        </is>
      </c>
      <c r="H1193">
        <f>IF(A1193&lt;=NWeeks,1,0)</f>
        <v/>
      </c>
      <c r="I1193">
        <f>INDEX(ChLaunch,MATCH(E1193,ChName,0))</f>
        <v/>
      </c>
      <c r="J1193">
        <f>INDEX(ChWeeksFull,MATCH(E1193,ChName,0))</f>
        <v/>
      </c>
      <c r="K1193">
        <f>INDEX(ChRamp,MATCH(E1193,ChName,0))</f>
        <v/>
      </c>
      <c r="L1193" s="45">
        <f>MIN(1,MAX(0,(A1193-I1193+1)*RampSpeed/J1193))</f>
        <v/>
      </c>
      <c r="M1193" s="45">
        <f>IF(A1193&lt;I1193,0,IF(K1193="S-curve",L1193*L1193*(3-2*L1193),L1193))</f>
        <v/>
      </c>
      <c r="N1193" s="45">
        <f>1+(INDEX(SeasonIdx,A1193)-1)*SeasonAmp</f>
        <v/>
      </c>
      <c r="O1193" s="45">
        <f>IFERROR(INDEX(PSPct,MATCH(E1193&amp;"|"&amp;G1193,PSKey,0)),0)</f>
        <v/>
      </c>
      <c r="P1193" s="46">
        <f>INDEX(ChDoorVel,MATCH(E1193,ChName,0))*CalibScalar*(1+VelocityUplift)</f>
        <v/>
      </c>
      <c r="Q1193" s="46" t="n">
        <v>0</v>
      </c>
      <c r="R1193" s="46">
        <f>P1193*O1193*M1193*N1193*H1193</f>
        <v/>
      </c>
      <c r="S1193" s="46">
        <f>R1193*INDEX(FmtCansPerCase,MATCH(F1193,FmtName,0))</f>
        <v/>
      </c>
      <c r="T1193" s="46">
        <f>S1193/INDEX(FmtCansPerPack,MATCH(F1193,FmtName,0))</f>
        <v/>
      </c>
      <c r="U1193" s="47">
        <f>INDEX(ChBaseCP,MATCH(E1193,ChName,0))*(1+INDEX(ProvMod,MATCH(G1193,ProvCode,0)))*(1+PriceIndex)</f>
        <v/>
      </c>
      <c r="V1193" s="47">
        <f>R1193*U1193*INDEX(FmtBlendedPriceIdx,MATCH(F1193,FmtName,0))</f>
        <v/>
      </c>
      <c r="W1193" s="47">
        <f>T1193*INDEX(ProvSRP,MATCH(G1193,ProvCode,0))*(1+PriceIndex)</f>
        <v/>
      </c>
      <c r="X1193" s="47">
        <f>IF(GrossBasis="Wholesale",V1193,W1193)</f>
        <v/>
      </c>
      <c r="Y1193" s="47">
        <f>R1193*INDEX(FmtBlendedCogs,MATCH(F1193,FmtName,0))</f>
        <v/>
      </c>
      <c r="Z1193" s="47">
        <f>X1193-Y1193</f>
        <v/>
      </c>
    </row>
    <row r="1194">
      <c r="A1194" t="n">
        <v>27</v>
      </c>
      <c r="B1194" s="44">
        <f>FiscalStart+(A1194-1)*7</f>
        <v/>
      </c>
      <c r="C1194">
        <f>TEXT(B1194,"mmm yyyy")</f>
        <v/>
      </c>
      <c r="D1194">
        <f>"Q"&amp;(INT((A1194-1)/13)+1)</f>
        <v/>
      </c>
      <c r="E1194" t="inlineStr">
        <is>
          <t>Fitness</t>
        </is>
      </c>
      <c r="F1194">
        <f>IFERROR(INDEX(ChFormat,MATCH(E1194,ChName,0)),"")</f>
        <v/>
      </c>
      <c r="G1194" t="inlineStr">
        <is>
          <t>SK</t>
        </is>
      </c>
      <c r="H1194">
        <f>IF(A1194&lt;=NWeeks,1,0)</f>
        <v/>
      </c>
      <c r="I1194">
        <f>INDEX(ChLaunch,MATCH(E1194,ChName,0))</f>
        <v/>
      </c>
      <c r="J1194">
        <f>INDEX(ChWeeksFull,MATCH(E1194,ChName,0))</f>
        <v/>
      </c>
      <c r="K1194">
        <f>INDEX(ChRamp,MATCH(E1194,ChName,0))</f>
        <v/>
      </c>
      <c r="L1194" s="45">
        <f>MIN(1,MAX(0,(A1194-I1194+1)*RampSpeed/J1194))</f>
        <v/>
      </c>
      <c r="M1194" s="45">
        <f>IF(A1194&lt;I1194,0,IF(K1194="S-curve",L1194*L1194*(3-2*L1194),L1194))</f>
        <v/>
      </c>
      <c r="N1194" s="45">
        <f>1+(INDEX(SeasonIdx,A1194)-1)*SeasonAmp</f>
        <v/>
      </c>
      <c r="O1194" s="45">
        <f>IFERROR(INDEX(PSPct,MATCH(E1194&amp;"|"&amp;G1194,PSKey,0)),0)</f>
        <v/>
      </c>
      <c r="P1194" s="46">
        <f>INDEX(ChDoorVel,MATCH(E1194,ChName,0))*CalibScalar*(1+VelocityUplift)</f>
        <v/>
      </c>
      <c r="Q1194" s="46" t="n">
        <v>0</v>
      </c>
      <c r="R1194" s="46">
        <f>P1194*O1194*M1194*N1194*H1194</f>
        <v/>
      </c>
      <c r="S1194" s="46">
        <f>R1194*INDEX(FmtCansPerCase,MATCH(F1194,FmtName,0))</f>
        <v/>
      </c>
      <c r="T1194" s="46">
        <f>S1194/INDEX(FmtCansPerPack,MATCH(F1194,FmtName,0))</f>
        <v/>
      </c>
      <c r="U1194" s="47">
        <f>INDEX(ChBaseCP,MATCH(E1194,ChName,0))*(1+INDEX(ProvMod,MATCH(G1194,ProvCode,0)))*(1+PriceIndex)</f>
        <v/>
      </c>
      <c r="V1194" s="47">
        <f>R1194*U1194*INDEX(FmtBlendedPriceIdx,MATCH(F1194,FmtName,0))</f>
        <v/>
      </c>
      <c r="W1194" s="47">
        <f>T1194*INDEX(ProvSRP,MATCH(G1194,ProvCode,0))*(1+PriceIndex)</f>
        <v/>
      </c>
      <c r="X1194" s="47">
        <f>IF(GrossBasis="Wholesale",V1194,W1194)</f>
        <v/>
      </c>
      <c r="Y1194" s="47">
        <f>R1194*INDEX(FmtBlendedCogs,MATCH(F1194,FmtName,0))</f>
        <v/>
      </c>
      <c r="Z1194" s="47">
        <f>X1194-Y1194</f>
        <v/>
      </c>
    </row>
    <row r="1195">
      <c r="A1195" t="n">
        <v>28</v>
      </c>
      <c r="B1195" s="44">
        <f>FiscalStart+(A1195-1)*7</f>
        <v/>
      </c>
      <c r="C1195">
        <f>TEXT(B1195,"mmm yyyy")</f>
        <v/>
      </c>
      <c r="D1195">
        <f>"Q"&amp;(INT((A1195-1)/13)+1)</f>
        <v/>
      </c>
      <c r="E1195" t="inlineStr">
        <is>
          <t>Fitness</t>
        </is>
      </c>
      <c r="F1195">
        <f>IFERROR(INDEX(ChFormat,MATCH(E1195,ChName,0)),"")</f>
        <v/>
      </c>
      <c r="G1195" t="inlineStr">
        <is>
          <t>SK</t>
        </is>
      </c>
      <c r="H1195">
        <f>IF(A1195&lt;=NWeeks,1,0)</f>
        <v/>
      </c>
      <c r="I1195">
        <f>INDEX(ChLaunch,MATCH(E1195,ChName,0))</f>
        <v/>
      </c>
      <c r="J1195">
        <f>INDEX(ChWeeksFull,MATCH(E1195,ChName,0))</f>
        <v/>
      </c>
      <c r="K1195">
        <f>INDEX(ChRamp,MATCH(E1195,ChName,0))</f>
        <v/>
      </c>
      <c r="L1195" s="45">
        <f>MIN(1,MAX(0,(A1195-I1195+1)*RampSpeed/J1195))</f>
        <v/>
      </c>
      <c r="M1195" s="45">
        <f>IF(A1195&lt;I1195,0,IF(K1195="S-curve",L1195*L1195*(3-2*L1195),L1195))</f>
        <v/>
      </c>
      <c r="N1195" s="45">
        <f>1+(INDEX(SeasonIdx,A1195)-1)*SeasonAmp</f>
        <v/>
      </c>
      <c r="O1195" s="45">
        <f>IFERROR(INDEX(PSPct,MATCH(E1195&amp;"|"&amp;G1195,PSKey,0)),0)</f>
        <v/>
      </c>
      <c r="P1195" s="46">
        <f>INDEX(ChDoorVel,MATCH(E1195,ChName,0))*CalibScalar*(1+VelocityUplift)</f>
        <v/>
      </c>
      <c r="Q1195" s="46" t="n">
        <v>0</v>
      </c>
      <c r="R1195" s="46">
        <f>P1195*O1195*M1195*N1195*H1195</f>
        <v/>
      </c>
      <c r="S1195" s="46">
        <f>R1195*INDEX(FmtCansPerCase,MATCH(F1195,FmtName,0))</f>
        <v/>
      </c>
      <c r="T1195" s="46">
        <f>S1195/INDEX(FmtCansPerPack,MATCH(F1195,FmtName,0))</f>
        <v/>
      </c>
      <c r="U1195" s="47">
        <f>INDEX(ChBaseCP,MATCH(E1195,ChName,0))*(1+INDEX(ProvMod,MATCH(G1195,ProvCode,0)))*(1+PriceIndex)</f>
        <v/>
      </c>
      <c r="V1195" s="47">
        <f>R1195*U1195*INDEX(FmtBlendedPriceIdx,MATCH(F1195,FmtName,0))</f>
        <v/>
      </c>
      <c r="W1195" s="47">
        <f>T1195*INDEX(ProvSRP,MATCH(G1195,ProvCode,0))*(1+PriceIndex)</f>
        <v/>
      </c>
      <c r="X1195" s="47">
        <f>IF(GrossBasis="Wholesale",V1195,W1195)</f>
        <v/>
      </c>
      <c r="Y1195" s="47">
        <f>R1195*INDEX(FmtBlendedCogs,MATCH(F1195,FmtName,0))</f>
        <v/>
      </c>
      <c r="Z1195" s="47">
        <f>X1195-Y1195</f>
        <v/>
      </c>
    </row>
    <row r="1196">
      <c r="A1196" t="n">
        <v>29</v>
      </c>
      <c r="B1196" s="44">
        <f>FiscalStart+(A1196-1)*7</f>
        <v/>
      </c>
      <c r="C1196">
        <f>TEXT(B1196,"mmm yyyy")</f>
        <v/>
      </c>
      <c r="D1196">
        <f>"Q"&amp;(INT((A1196-1)/13)+1)</f>
        <v/>
      </c>
      <c r="E1196" t="inlineStr">
        <is>
          <t>Fitness</t>
        </is>
      </c>
      <c r="F1196">
        <f>IFERROR(INDEX(ChFormat,MATCH(E1196,ChName,0)),"")</f>
        <v/>
      </c>
      <c r="G1196" t="inlineStr">
        <is>
          <t>SK</t>
        </is>
      </c>
      <c r="H1196">
        <f>IF(A1196&lt;=NWeeks,1,0)</f>
        <v/>
      </c>
      <c r="I1196">
        <f>INDEX(ChLaunch,MATCH(E1196,ChName,0))</f>
        <v/>
      </c>
      <c r="J1196">
        <f>INDEX(ChWeeksFull,MATCH(E1196,ChName,0))</f>
        <v/>
      </c>
      <c r="K1196">
        <f>INDEX(ChRamp,MATCH(E1196,ChName,0))</f>
        <v/>
      </c>
      <c r="L1196" s="45">
        <f>MIN(1,MAX(0,(A1196-I1196+1)*RampSpeed/J1196))</f>
        <v/>
      </c>
      <c r="M1196" s="45">
        <f>IF(A1196&lt;I1196,0,IF(K1196="S-curve",L1196*L1196*(3-2*L1196),L1196))</f>
        <v/>
      </c>
      <c r="N1196" s="45">
        <f>1+(INDEX(SeasonIdx,A1196)-1)*SeasonAmp</f>
        <v/>
      </c>
      <c r="O1196" s="45">
        <f>IFERROR(INDEX(PSPct,MATCH(E1196&amp;"|"&amp;G1196,PSKey,0)),0)</f>
        <v/>
      </c>
      <c r="P1196" s="46">
        <f>INDEX(ChDoorVel,MATCH(E1196,ChName,0))*CalibScalar*(1+VelocityUplift)</f>
        <v/>
      </c>
      <c r="Q1196" s="46" t="n">
        <v>0</v>
      </c>
      <c r="R1196" s="46">
        <f>P1196*O1196*M1196*N1196*H1196</f>
        <v/>
      </c>
      <c r="S1196" s="46">
        <f>R1196*INDEX(FmtCansPerCase,MATCH(F1196,FmtName,0))</f>
        <v/>
      </c>
      <c r="T1196" s="46">
        <f>S1196/INDEX(FmtCansPerPack,MATCH(F1196,FmtName,0))</f>
        <v/>
      </c>
      <c r="U1196" s="47">
        <f>INDEX(ChBaseCP,MATCH(E1196,ChName,0))*(1+INDEX(ProvMod,MATCH(G1196,ProvCode,0)))*(1+PriceIndex)</f>
        <v/>
      </c>
      <c r="V1196" s="47">
        <f>R1196*U1196*INDEX(FmtBlendedPriceIdx,MATCH(F1196,FmtName,0))</f>
        <v/>
      </c>
      <c r="W1196" s="47">
        <f>T1196*INDEX(ProvSRP,MATCH(G1196,ProvCode,0))*(1+PriceIndex)</f>
        <v/>
      </c>
      <c r="X1196" s="47">
        <f>IF(GrossBasis="Wholesale",V1196,W1196)</f>
        <v/>
      </c>
      <c r="Y1196" s="47">
        <f>R1196*INDEX(FmtBlendedCogs,MATCH(F1196,FmtName,0))</f>
        <v/>
      </c>
      <c r="Z1196" s="47">
        <f>X1196-Y1196</f>
        <v/>
      </c>
    </row>
    <row r="1197">
      <c r="A1197" t="n">
        <v>30</v>
      </c>
      <c r="B1197" s="44">
        <f>FiscalStart+(A1197-1)*7</f>
        <v/>
      </c>
      <c r="C1197">
        <f>TEXT(B1197,"mmm yyyy")</f>
        <v/>
      </c>
      <c r="D1197">
        <f>"Q"&amp;(INT((A1197-1)/13)+1)</f>
        <v/>
      </c>
      <c r="E1197" t="inlineStr">
        <is>
          <t>Fitness</t>
        </is>
      </c>
      <c r="F1197">
        <f>IFERROR(INDEX(ChFormat,MATCH(E1197,ChName,0)),"")</f>
        <v/>
      </c>
      <c r="G1197" t="inlineStr">
        <is>
          <t>SK</t>
        </is>
      </c>
      <c r="H1197">
        <f>IF(A1197&lt;=NWeeks,1,0)</f>
        <v/>
      </c>
      <c r="I1197">
        <f>INDEX(ChLaunch,MATCH(E1197,ChName,0))</f>
        <v/>
      </c>
      <c r="J1197">
        <f>INDEX(ChWeeksFull,MATCH(E1197,ChName,0))</f>
        <v/>
      </c>
      <c r="K1197">
        <f>INDEX(ChRamp,MATCH(E1197,ChName,0))</f>
        <v/>
      </c>
      <c r="L1197" s="45">
        <f>MIN(1,MAX(0,(A1197-I1197+1)*RampSpeed/J1197))</f>
        <v/>
      </c>
      <c r="M1197" s="45">
        <f>IF(A1197&lt;I1197,0,IF(K1197="S-curve",L1197*L1197*(3-2*L1197),L1197))</f>
        <v/>
      </c>
      <c r="N1197" s="45">
        <f>1+(INDEX(SeasonIdx,A1197)-1)*SeasonAmp</f>
        <v/>
      </c>
      <c r="O1197" s="45">
        <f>IFERROR(INDEX(PSPct,MATCH(E1197&amp;"|"&amp;G1197,PSKey,0)),0)</f>
        <v/>
      </c>
      <c r="P1197" s="46">
        <f>INDEX(ChDoorVel,MATCH(E1197,ChName,0))*CalibScalar*(1+VelocityUplift)</f>
        <v/>
      </c>
      <c r="Q1197" s="46" t="n">
        <v>0</v>
      </c>
      <c r="R1197" s="46">
        <f>P1197*O1197*M1197*N1197*H1197</f>
        <v/>
      </c>
      <c r="S1197" s="46">
        <f>R1197*INDEX(FmtCansPerCase,MATCH(F1197,FmtName,0))</f>
        <v/>
      </c>
      <c r="T1197" s="46">
        <f>S1197/INDEX(FmtCansPerPack,MATCH(F1197,FmtName,0))</f>
        <v/>
      </c>
      <c r="U1197" s="47">
        <f>INDEX(ChBaseCP,MATCH(E1197,ChName,0))*(1+INDEX(ProvMod,MATCH(G1197,ProvCode,0)))*(1+PriceIndex)</f>
        <v/>
      </c>
      <c r="V1197" s="47">
        <f>R1197*U1197*INDEX(FmtBlendedPriceIdx,MATCH(F1197,FmtName,0))</f>
        <v/>
      </c>
      <c r="W1197" s="47">
        <f>T1197*INDEX(ProvSRP,MATCH(G1197,ProvCode,0))*(1+PriceIndex)</f>
        <v/>
      </c>
      <c r="X1197" s="47">
        <f>IF(GrossBasis="Wholesale",V1197,W1197)</f>
        <v/>
      </c>
      <c r="Y1197" s="47">
        <f>R1197*INDEX(FmtBlendedCogs,MATCH(F1197,FmtName,0))</f>
        <v/>
      </c>
      <c r="Z1197" s="47">
        <f>X1197-Y1197</f>
        <v/>
      </c>
    </row>
    <row r="1198">
      <c r="A1198" t="n">
        <v>31</v>
      </c>
      <c r="B1198" s="44">
        <f>FiscalStart+(A1198-1)*7</f>
        <v/>
      </c>
      <c r="C1198">
        <f>TEXT(B1198,"mmm yyyy")</f>
        <v/>
      </c>
      <c r="D1198">
        <f>"Q"&amp;(INT((A1198-1)/13)+1)</f>
        <v/>
      </c>
      <c r="E1198" t="inlineStr">
        <is>
          <t>Fitness</t>
        </is>
      </c>
      <c r="F1198">
        <f>IFERROR(INDEX(ChFormat,MATCH(E1198,ChName,0)),"")</f>
        <v/>
      </c>
      <c r="G1198" t="inlineStr">
        <is>
          <t>SK</t>
        </is>
      </c>
      <c r="H1198">
        <f>IF(A1198&lt;=NWeeks,1,0)</f>
        <v/>
      </c>
      <c r="I1198">
        <f>INDEX(ChLaunch,MATCH(E1198,ChName,0))</f>
        <v/>
      </c>
      <c r="J1198">
        <f>INDEX(ChWeeksFull,MATCH(E1198,ChName,0))</f>
        <v/>
      </c>
      <c r="K1198">
        <f>INDEX(ChRamp,MATCH(E1198,ChName,0))</f>
        <v/>
      </c>
      <c r="L1198" s="45">
        <f>MIN(1,MAX(0,(A1198-I1198+1)*RampSpeed/J1198))</f>
        <v/>
      </c>
      <c r="M1198" s="45">
        <f>IF(A1198&lt;I1198,0,IF(K1198="S-curve",L1198*L1198*(3-2*L1198),L1198))</f>
        <v/>
      </c>
      <c r="N1198" s="45">
        <f>1+(INDEX(SeasonIdx,A1198)-1)*SeasonAmp</f>
        <v/>
      </c>
      <c r="O1198" s="45">
        <f>IFERROR(INDEX(PSPct,MATCH(E1198&amp;"|"&amp;G1198,PSKey,0)),0)</f>
        <v/>
      </c>
      <c r="P1198" s="46">
        <f>INDEX(ChDoorVel,MATCH(E1198,ChName,0))*CalibScalar*(1+VelocityUplift)</f>
        <v/>
      </c>
      <c r="Q1198" s="46" t="n">
        <v>0</v>
      </c>
      <c r="R1198" s="46">
        <f>P1198*O1198*M1198*N1198*H1198</f>
        <v/>
      </c>
      <c r="S1198" s="46">
        <f>R1198*INDEX(FmtCansPerCase,MATCH(F1198,FmtName,0))</f>
        <v/>
      </c>
      <c r="T1198" s="46">
        <f>S1198/INDEX(FmtCansPerPack,MATCH(F1198,FmtName,0))</f>
        <v/>
      </c>
      <c r="U1198" s="47">
        <f>INDEX(ChBaseCP,MATCH(E1198,ChName,0))*(1+INDEX(ProvMod,MATCH(G1198,ProvCode,0)))*(1+PriceIndex)</f>
        <v/>
      </c>
      <c r="V1198" s="47">
        <f>R1198*U1198*INDEX(FmtBlendedPriceIdx,MATCH(F1198,FmtName,0))</f>
        <v/>
      </c>
      <c r="W1198" s="47">
        <f>T1198*INDEX(ProvSRP,MATCH(G1198,ProvCode,0))*(1+PriceIndex)</f>
        <v/>
      </c>
      <c r="X1198" s="47">
        <f>IF(GrossBasis="Wholesale",V1198,W1198)</f>
        <v/>
      </c>
      <c r="Y1198" s="47">
        <f>R1198*INDEX(FmtBlendedCogs,MATCH(F1198,FmtName,0))</f>
        <v/>
      </c>
      <c r="Z1198" s="47">
        <f>X1198-Y1198</f>
        <v/>
      </c>
    </row>
    <row r="1199">
      <c r="A1199" t="n">
        <v>32</v>
      </c>
      <c r="B1199" s="44">
        <f>FiscalStart+(A1199-1)*7</f>
        <v/>
      </c>
      <c r="C1199">
        <f>TEXT(B1199,"mmm yyyy")</f>
        <v/>
      </c>
      <c r="D1199">
        <f>"Q"&amp;(INT((A1199-1)/13)+1)</f>
        <v/>
      </c>
      <c r="E1199" t="inlineStr">
        <is>
          <t>Fitness</t>
        </is>
      </c>
      <c r="F1199">
        <f>IFERROR(INDEX(ChFormat,MATCH(E1199,ChName,0)),"")</f>
        <v/>
      </c>
      <c r="G1199" t="inlineStr">
        <is>
          <t>SK</t>
        </is>
      </c>
      <c r="H1199">
        <f>IF(A1199&lt;=NWeeks,1,0)</f>
        <v/>
      </c>
      <c r="I1199">
        <f>INDEX(ChLaunch,MATCH(E1199,ChName,0))</f>
        <v/>
      </c>
      <c r="J1199">
        <f>INDEX(ChWeeksFull,MATCH(E1199,ChName,0))</f>
        <v/>
      </c>
      <c r="K1199">
        <f>INDEX(ChRamp,MATCH(E1199,ChName,0))</f>
        <v/>
      </c>
      <c r="L1199" s="45">
        <f>MIN(1,MAX(0,(A1199-I1199+1)*RampSpeed/J1199))</f>
        <v/>
      </c>
      <c r="M1199" s="45">
        <f>IF(A1199&lt;I1199,0,IF(K1199="S-curve",L1199*L1199*(3-2*L1199),L1199))</f>
        <v/>
      </c>
      <c r="N1199" s="45">
        <f>1+(INDEX(SeasonIdx,A1199)-1)*SeasonAmp</f>
        <v/>
      </c>
      <c r="O1199" s="45">
        <f>IFERROR(INDEX(PSPct,MATCH(E1199&amp;"|"&amp;G1199,PSKey,0)),0)</f>
        <v/>
      </c>
      <c r="P1199" s="46">
        <f>INDEX(ChDoorVel,MATCH(E1199,ChName,0))*CalibScalar*(1+VelocityUplift)</f>
        <v/>
      </c>
      <c r="Q1199" s="46" t="n">
        <v>0</v>
      </c>
      <c r="R1199" s="46">
        <f>P1199*O1199*M1199*N1199*H1199</f>
        <v/>
      </c>
      <c r="S1199" s="46">
        <f>R1199*INDEX(FmtCansPerCase,MATCH(F1199,FmtName,0))</f>
        <v/>
      </c>
      <c r="T1199" s="46">
        <f>S1199/INDEX(FmtCansPerPack,MATCH(F1199,FmtName,0))</f>
        <v/>
      </c>
      <c r="U1199" s="47">
        <f>INDEX(ChBaseCP,MATCH(E1199,ChName,0))*(1+INDEX(ProvMod,MATCH(G1199,ProvCode,0)))*(1+PriceIndex)</f>
        <v/>
      </c>
      <c r="V1199" s="47">
        <f>R1199*U1199*INDEX(FmtBlendedPriceIdx,MATCH(F1199,FmtName,0))</f>
        <v/>
      </c>
      <c r="W1199" s="47">
        <f>T1199*INDEX(ProvSRP,MATCH(G1199,ProvCode,0))*(1+PriceIndex)</f>
        <v/>
      </c>
      <c r="X1199" s="47">
        <f>IF(GrossBasis="Wholesale",V1199,W1199)</f>
        <v/>
      </c>
      <c r="Y1199" s="47">
        <f>R1199*INDEX(FmtBlendedCogs,MATCH(F1199,FmtName,0))</f>
        <v/>
      </c>
      <c r="Z1199" s="47">
        <f>X1199-Y1199</f>
        <v/>
      </c>
    </row>
    <row r="1200">
      <c r="A1200" t="n">
        <v>33</v>
      </c>
      <c r="B1200" s="44">
        <f>FiscalStart+(A1200-1)*7</f>
        <v/>
      </c>
      <c r="C1200">
        <f>TEXT(B1200,"mmm yyyy")</f>
        <v/>
      </c>
      <c r="D1200">
        <f>"Q"&amp;(INT((A1200-1)/13)+1)</f>
        <v/>
      </c>
      <c r="E1200" t="inlineStr">
        <is>
          <t>Fitness</t>
        </is>
      </c>
      <c r="F1200">
        <f>IFERROR(INDEX(ChFormat,MATCH(E1200,ChName,0)),"")</f>
        <v/>
      </c>
      <c r="G1200" t="inlineStr">
        <is>
          <t>SK</t>
        </is>
      </c>
      <c r="H1200">
        <f>IF(A1200&lt;=NWeeks,1,0)</f>
        <v/>
      </c>
      <c r="I1200">
        <f>INDEX(ChLaunch,MATCH(E1200,ChName,0))</f>
        <v/>
      </c>
      <c r="J1200">
        <f>INDEX(ChWeeksFull,MATCH(E1200,ChName,0))</f>
        <v/>
      </c>
      <c r="K1200">
        <f>INDEX(ChRamp,MATCH(E1200,ChName,0))</f>
        <v/>
      </c>
      <c r="L1200" s="45">
        <f>MIN(1,MAX(0,(A1200-I1200+1)*RampSpeed/J1200))</f>
        <v/>
      </c>
      <c r="M1200" s="45">
        <f>IF(A1200&lt;I1200,0,IF(K1200="S-curve",L1200*L1200*(3-2*L1200),L1200))</f>
        <v/>
      </c>
      <c r="N1200" s="45">
        <f>1+(INDEX(SeasonIdx,A1200)-1)*SeasonAmp</f>
        <v/>
      </c>
      <c r="O1200" s="45">
        <f>IFERROR(INDEX(PSPct,MATCH(E1200&amp;"|"&amp;G1200,PSKey,0)),0)</f>
        <v/>
      </c>
      <c r="P1200" s="46">
        <f>INDEX(ChDoorVel,MATCH(E1200,ChName,0))*CalibScalar*(1+VelocityUplift)</f>
        <v/>
      </c>
      <c r="Q1200" s="46" t="n">
        <v>0</v>
      </c>
      <c r="R1200" s="46">
        <f>P1200*O1200*M1200*N1200*H1200</f>
        <v/>
      </c>
      <c r="S1200" s="46">
        <f>R1200*INDEX(FmtCansPerCase,MATCH(F1200,FmtName,0))</f>
        <v/>
      </c>
      <c r="T1200" s="46">
        <f>S1200/INDEX(FmtCansPerPack,MATCH(F1200,FmtName,0))</f>
        <v/>
      </c>
      <c r="U1200" s="47">
        <f>INDEX(ChBaseCP,MATCH(E1200,ChName,0))*(1+INDEX(ProvMod,MATCH(G1200,ProvCode,0)))*(1+PriceIndex)</f>
        <v/>
      </c>
      <c r="V1200" s="47">
        <f>R1200*U1200*INDEX(FmtBlendedPriceIdx,MATCH(F1200,FmtName,0))</f>
        <v/>
      </c>
      <c r="W1200" s="47">
        <f>T1200*INDEX(ProvSRP,MATCH(G1200,ProvCode,0))*(1+PriceIndex)</f>
        <v/>
      </c>
      <c r="X1200" s="47">
        <f>IF(GrossBasis="Wholesale",V1200,W1200)</f>
        <v/>
      </c>
      <c r="Y1200" s="47">
        <f>R1200*INDEX(FmtBlendedCogs,MATCH(F1200,FmtName,0))</f>
        <v/>
      </c>
      <c r="Z1200" s="47">
        <f>X1200-Y1200</f>
        <v/>
      </c>
    </row>
    <row r="1201">
      <c r="A1201" t="n">
        <v>34</v>
      </c>
      <c r="B1201" s="44">
        <f>FiscalStart+(A1201-1)*7</f>
        <v/>
      </c>
      <c r="C1201">
        <f>TEXT(B1201,"mmm yyyy")</f>
        <v/>
      </c>
      <c r="D1201">
        <f>"Q"&amp;(INT((A1201-1)/13)+1)</f>
        <v/>
      </c>
      <c r="E1201" t="inlineStr">
        <is>
          <t>Fitness</t>
        </is>
      </c>
      <c r="F1201">
        <f>IFERROR(INDEX(ChFormat,MATCH(E1201,ChName,0)),"")</f>
        <v/>
      </c>
      <c r="G1201" t="inlineStr">
        <is>
          <t>SK</t>
        </is>
      </c>
      <c r="H1201">
        <f>IF(A1201&lt;=NWeeks,1,0)</f>
        <v/>
      </c>
      <c r="I1201">
        <f>INDEX(ChLaunch,MATCH(E1201,ChName,0))</f>
        <v/>
      </c>
      <c r="J1201">
        <f>INDEX(ChWeeksFull,MATCH(E1201,ChName,0))</f>
        <v/>
      </c>
      <c r="K1201">
        <f>INDEX(ChRamp,MATCH(E1201,ChName,0))</f>
        <v/>
      </c>
      <c r="L1201" s="45">
        <f>MIN(1,MAX(0,(A1201-I1201+1)*RampSpeed/J1201))</f>
        <v/>
      </c>
      <c r="M1201" s="45">
        <f>IF(A1201&lt;I1201,0,IF(K1201="S-curve",L1201*L1201*(3-2*L1201),L1201))</f>
        <v/>
      </c>
      <c r="N1201" s="45">
        <f>1+(INDEX(SeasonIdx,A1201)-1)*SeasonAmp</f>
        <v/>
      </c>
      <c r="O1201" s="45">
        <f>IFERROR(INDEX(PSPct,MATCH(E1201&amp;"|"&amp;G1201,PSKey,0)),0)</f>
        <v/>
      </c>
      <c r="P1201" s="46">
        <f>INDEX(ChDoorVel,MATCH(E1201,ChName,0))*CalibScalar*(1+VelocityUplift)</f>
        <v/>
      </c>
      <c r="Q1201" s="46" t="n">
        <v>0</v>
      </c>
      <c r="R1201" s="46">
        <f>P1201*O1201*M1201*N1201*H1201</f>
        <v/>
      </c>
      <c r="S1201" s="46">
        <f>R1201*INDEX(FmtCansPerCase,MATCH(F1201,FmtName,0))</f>
        <v/>
      </c>
      <c r="T1201" s="46">
        <f>S1201/INDEX(FmtCansPerPack,MATCH(F1201,FmtName,0))</f>
        <v/>
      </c>
      <c r="U1201" s="47">
        <f>INDEX(ChBaseCP,MATCH(E1201,ChName,0))*(1+INDEX(ProvMod,MATCH(G1201,ProvCode,0)))*(1+PriceIndex)</f>
        <v/>
      </c>
      <c r="V1201" s="47">
        <f>R1201*U1201*INDEX(FmtBlendedPriceIdx,MATCH(F1201,FmtName,0))</f>
        <v/>
      </c>
      <c r="W1201" s="47">
        <f>T1201*INDEX(ProvSRP,MATCH(G1201,ProvCode,0))*(1+PriceIndex)</f>
        <v/>
      </c>
      <c r="X1201" s="47">
        <f>IF(GrossBasis="Wholesale",V1201,W1201)</f>
        <v/>
      </c>
      <c r="Y1201" s="47">
        <f>R1201*INDEX(FmtBlendedCogs,MATCH(F1201,FmtName,0))</f>
        <v/>
      </c>
      <c r="Z1201" s="47">
        <f>X1201-Y1201</f>
        <v/>
      </c>
    </row>
    <row r="1202">
      <c r="A1202" t="n">
        <v>35</v>
      </c>
      <c r="B1202" s="44">
        <f>FiscalStart+(A1202-1)*7</f>
        <v/>
      </c>
      <c r="C1202">
        <f>TEXT(B1202,"mmm yyyy")</f>
        <v/>
      </c>
      <c r="D1202">
        <f>"Q"&amp;(INT((A1202-1)/13)+1)</f>
        <v/>
      </c>
      <c r="E1202" t="inlineStr">
        <is>
          <t>Fitness</t>
        </is>
      </c>
      <c r="F1202">
        <f>IFERROR(INDEX(ChFormat,MATCH(E1202,ChName,0)),"")</f>
        <v/>
      </c>
      <c r="G1202" t="inlineStr">
        <is>
          <t>SK</t>
        </is>
      </c>
      <c r="H1202">
        <f>IF(A1202&lt;=NWeeks,1,0)</f>
        <v/>
      </c>
      <c r="I1202">
        <f>INDEX(ChLaunch,MATCH(E1202,ChName,0))</f>
        <v/>
      </c>
      <c r="J1202">
        <f>INDEX(ChWeeksFull,MATCH(E1202,ChName,0))</f>
        <v/>
      </c>
      <c r="K1202">
        <f>INDEX(ChRamp,MATCH(E1202,ChName,0))</f>
        <v/>
      </c>
      <c r="L1202" s="45">
        <f>MIN(1,MAX(0,(A1202-I1202+1)*RampSpeed/J1202))</f>
        <v/>
      </c>
      <c r="M1202" s="45">
        <f>IF(A1202&lt;I1202,0,IF(K1202="S-curve",L1202*L1202*(3-2*L1202),L1202))</f>
        <v/>
      </c>
      <c r="N1202" s="45">
        <f>1+(INDEX(SeasonIdx,A1202)-1)*SeasonAmp</f>
        <v/>
      </c>
      <c r="O1202" s="45">
        <f>IFERROR(INDEX(PSPct,MATCH(E1202&amp;"|"&amp;G1202,PSKey,0)),0)</f>
        <v/>
      </c>
      <c r="P1202" s="46">
        <f>INDEX(ChDoorVel,MATCH(E1202,ChName,0))*CalibScalar*(1+VelocityUplift)</f>
        <v/>
      </c>
      <c r="Q1202" s="46" t="n">
        <v>0</v>
      </c>
      <c r="R1202" s="46">
        <f>P1202*O1202*M1202*N1202*H1202</f>
        <v/>
      </c>
      <c r="S1202" s="46">
        <f>R1202*INDEX(FmtCansPerCase,MATCH(F1202,FmtName,0))</f>
        <v/>
      </c>
      <c r="T1202" s="46">
        <f>S1202/INDEX(FmtCansPerPack,MATCH(F1202,FmtName,0))</f>
        <v/>
      </c>
      <c r="U1202" s="47">
        <f>INDEX(ChBaseCP,MATCH(E1202,ChName,0))*(1+INDEX(ProvMod,MATCH(G1202,ProvCode,0)))*(1+PriceIndex)</f>
        <v/>
      </c>
      <c r="V1202" s="47">
        <f>R1202*U1202*INDEX(FmtBlendedPriceIdx,MATCH(F1202,FmtName,0))</f>
        <v/>
      </c>
      <c r="W1202" s="47">
        <f>T1202*INDEX(ProvSRP,MATCH(G1202,ProvCode,0))*(1+PriceIndex)</f>
        <v/>
      </c>
      <c r="X1202" s="47">
        <f>IF(GrossBasis="Wholesale",V1202,W1202)</f>
        <v/>
      </c>
      <c r="Y1202" s="47">
        <f>R1202*INDEX(FmtBlendedCogs,MATCH(F1202,FmtName,0))</f>
        <v/>
      </c>
      <c r="Z1202" s="47">
        <f>X1202-Y1202</f>
        <v/>
      </c>
    </row>
    <row r="1203">
      <c r="A1203" t="n">
        <v>36</v>
      </c>
      <c r="B1203" s="44">
        <f>FiscalStart+(A1203-1)*7</f>
        <v/>
      </c>
      <c r="C1203">
        <f>TEXT(B1203,"mmm yyyy")</f>
        <v/>
      </c>
      <c r="D1203">
        <f>"Q"&amp;(INT((A1203-1)/13)+1)</f>
        <v/>
      </c>
      <c r="E1203" t="inlineStr">
        <is>
          <t>Fitness</t>
        </is>
      </c>
      <c r="F1203">
        <f>IFERROR(INDEX(ChFormat,MATCH(E1203,ChName,0)),"")</f>
        <v/>
      </c>
      <c r="G1203" t="inlineStr">
        <is>
          <t>SK</t>
        </is>
      </c>
      <c r="H1203">
        <f>IF(A1203&lt;=NWeeks,1,0)</f>
        <v/>
      </c>
      <c r="I1203">
        <f>INDEX(ChLaunch,MATCH(E1203,ChName,0))</f>
        <v/>
      </c>
      <c r="J1203">
        <f>INDEX(ChWeeksFull,MATCH(E1203,ChName,0))</f>
        <v/>
      </c>
      <c r="K1203">
        <f>INDEX(ChRamp,MATCH(E1203,ChName,0))</f>
        <v/>
      </c>
      <c r="L1203" s="45">
        <f>MIN(1,MAX(0,(A1203-I1203+1)*RampSpeed/J1203))</f>
        <v/>
      </c>
      <c r="M1203" s="45">
        <f>IF(A1203&lt;I1203,0,IF(K1203="S-curve",L1203*L1203*(3-2*L1203),L1203))</f>
        <v/>
      </c>
      <c r="N1203" s="45">
        <f>1+(INDEX(SeasonIdx,A1203)-1)*SeasonAmp</f>
        <v/>
      </c>
      <c r="O1203" s="45">
        <f>IFERROR(INDEX(PSPct,MATCH(E1203&amp;"|"&amp;G1203,PSKey,0)),0)</f>
        <v/>
      </c>
      <c r="P1203" s="46">
        <f>INDEX(ChDoorVel,MATCH(E1203,ChName,0))*CalibScalar*(1+VelocityUplift)</f>
        <v/>
      </c>
      <c r="Q1203" s="46" t="n">
        <v>0</v>
      </c>
      <c r="R1203" s="46">
        <f>P1203*O1203*M1203*N1203*H1203</f>
        <v/>
      </c>
      <c r="S1203" s="46">
        <f>R1203*INDEX(FmtCansPerCase,MATCH(F1203,FmtName,0))</f>
        <v/>
      </c>
      <c r="T1203" s="46">
        <f>S1203/INDEX(FmtCansPerPack,MATCH(F1203,FmtName,0))</f>
        <v/>
      </c>
      <c r="U1203" s="47">
        <f>INDEX(ChBaseCP,MATCH(E1203,ChName,0))*(1+INDEX(ProvMod,MATCH(G1203,ProvCode,0)))*(1+PriceIndex)</f>
        <v/>
      </c>
      <c r="V1203" s="47">
        <f>R1203*U1203*INDEX(FmtBlendedPriceIdx,MATCH(F1203,FmtName,0))</f>
        <v/>
      </c>
      <c r="W1203" s="47">
        <f>T1203*INDEX(ProvSRP,MATCH(G1203,ProvCode,0))*(1+PriceIndex)</f>
        <v/>
      </c>
      <c r="X1203" s="47">
        <f>IF(GrossBasis="Wholesale",V1203,W1203)</f>
        <v/>
      </c>
      <c r="Y1203" s="47">
        <f>R1203*INDEX(FmtBlendedCogs,MATCH(F1203,FmtName,0))</f>
        <v/>
      </c>
      <c r="Z1203" s="47">
        <f>X1203-Y1203</f>
        <v/>
      </c>
    </row>
    <row r="1204">
      <c r="A1204" t="n">
        <v>37</v>
      </c>
      <c r="B1204" s="44">
        <f>FiscalStart+(A1204-1)*7</f>
        <v/>
      </c>
      <c r="C1204">
        <f>TEXT(B1204,"mmm yyyy")</f>
        <v/>
      </c>
      <c r="D1204">
        <f>"Q"&amp;(INT((A1204-1)/13)+1)</f>
        <v/>
      </c>
      <c r="E1204" t="inlineStr">
        <is>
          <t>Fitness</t>
        </is>
      </c>
      <c r="F1204">
        <f>IFERROR(INDEX(ChFormat,MATCH(E1204,ChName,0)),"")</f>
        <v/>
      </c>
      <c r="G1204" t="inlineStr">
        <is>
          <t>SK</t>
        </is>
      </c>
      <c r="H1204">
        <f>IF(A1204&lt;=NWeeks,1,0)</f>
        <v/>
      </c>
      <c r="I1204">
        <f>INDEX(ChLaunch,MATCH(E1204,ChName,0))</f>
        <v/>
      </c>
      <c r="J1204">
        <f>INDEX(ChWeeksFull,MATCH(E1204,ChName,0))</f>
        <v/>
      </c>
      <c r="K1204">
        <f>INDEX(ChRamp,MATCH(E1204,ChName,0))</f>
        <v/>
      </c>
      <c r="L1204" s="45">
        <f>MIN(1,MAX(0,(A1204-I1204+1)*RampSpeed/J1204))</f>
        <v/>
      </c>
      <c r="M1204" s="45">
        <f>IF(A1204&lt;I1204,0,IF(K1204="S-curve",L1204*L1204*(3-2*L1204),L1204))</f>
        <v/>
      </c>
      <c r="N1204" s="45">
        <f>1+(INDEX(SeasonIdx,A1204)-1)*SeasonAmp</f>
        <v/>
      </c>
      <c r="O1204" s="45">
        <f>IFERROR(INDEX(PSPct,MATCH(E1204&amp;"|"&amp;G1204,PSKey,0)),0)</f>
        <v/>
      </c>
      <c r="P1204" s="46">
        <f>INDEX(ChDoorVel,MATCH(E1204,ChName,0))*CalibScalar*(1+VelocityUplift)</f>
        <v/>
      </c>
      <c r="Q1204" s="46" t="n">
        <v>0</v>
      </c>
      <c r="R1204" s="46">
        <f>P1204*O1204*M1204*N1204*H1204</f>
        <v/>
      </c>
      <c r="S1204" s="46">
        <f>R1204*INDEX(FmtCansPerCase,MATCH(F1204,FmtName,0))</f>
        <v/>
      </c>
      <c r="T1204" s="46">
        <f>S1204/INDEX(FmtCansPerPack,MATCH(F1204,FmtName,0))</f>
        <v/>
      </c>
      <c r="U1204" s="47">
        <f>INDEX(ChBaseCP,MATCH(E1204,ChName,0))*(1+INDEX(ProvMod,MATCH(G1204,ProvCode,0)))*(1+PriceIndex)</f>
        <v/>
      </c>
      <c r="V1204" s="47">
        <f>R1204*U1204*INDEX(FmtBlendedPriceIdx,MATCH(F1204,FmtName,0))</f>
        <v/>
      </c>
      <c r="W1204" s="47">
        <f>T1204*INDEX(ProvSRP,MATCH(G1204,ProvCode,0))*(1+PriceIndex)</f>
        <v/>
      </c>
      <c r="X1204" s="47">
        <f>IF(GrossBasis="Wholesale",V1204,W1204)</f>
        <v/>
      </c>
      <c r="Y1204" s="47">
        <f>R1204*INDEX(FmtBlendedCogs,MATCH(F1204,FmtName,0))</f>
        <v/>
      </c>
      <c r="Z1204" s="47">
        <f>X1204-Y1204</f>
        <v/>
      </c>
    </row>
    <row r="1205">
      <c r="A1205" t="n">
        <v>38</v>
      </c>
      <c r="B1205" s="44">
        <f>FiscalStart+(A1205-1)*7</f>
        <v/>
      </c>
      <c r="C1205">
        <f>TEXT(B1205,"mmm yyyy")</f>
        <v/>
      </c>
      <c r="D1205">
        <f>"Q"&amp;(INT((A1205-1)/13)+1)</f>
        <v/>
      </c>
      <c r="E1205" t="inlineStr">
        <is>
          <t>Fitness</t>
        </is>
      </c>
      <c r="F1205">
        <f>IFERROR(INDEX(ChFormat,MATCH(E1205,ChName,0)),"")</f>
        <v/>
      </c>
      <c r="G1205" t="inlineStr">
        <is>
          <t>SK</t>
        </is>
      </c>
      <c r="H1205">
        <f>IF(A1205&lt;=NWeeks,1,0)</f>
        <v/>
      </c>
      <c r="I1205">
        <f>INDEX(ChLaunch,MATCH(E1205,ChName,0))</f>
        <v/>
      </c>
      <c r="J1205">
        <f>INDEX(ChWeeksFull,MATCH(E1205,ChName,0))</f>
        <v/>
      </c>
      <c r="K1205">
        <f>INDEX(ChRamp,MATCH(E1205,ChName,0))</f>
        <v/>
      </c>
      <c r="L1205" s="45">
        <f>MIN(1,MAX(0,(A1205-I1205+1)*RampSpeed/J1205))</f>
        <v/>
      </c>
      <c r="M1205" s="45">
        <f>IF(A1205&lt;I1205,0,IF(K1205="S-curve",L1205*L1205*(3-2*L1205),L1205))</f>
        <v/>
      </c>
      <c r="N1205" s="45">
        <f>1+(INDEX(SeasonIdx,A1205)-1)*SeasonAmp</f>
        <v/>
      </c>
      <c r="O1205" s="45">
        <f>IFERROR(INDEX(PSPct,MATCH(E1205&amp;"|"&amp;G1205,PSKey,0)),0)</f>
        <v/>
      </c>
      <c r="P1205" s="46">
        <f>INDEX(ChDoorVel,MATCH(E1205,ChName,0))*CalibScalar*(1+VelocityUplift)</f>
        <v/>
      </c>
      <c r="Q1205" s="46" t="n">
        <v>0</v>
      </c>
      <c r="R1205" s="46">
        <f>P1205*O1205*M1205*N1205*H1205</f>
        <v/>
      </c>
      <c r="S1205" s="46">
        <f>R1205*INDEX(FmtCansPerCase,MATCH(F1205,FmtName,0))</f>
        <v/>
      </c>
      <c r="T1205" s="46">
        <f>S1205/INDEX(FmtCansPerPack,MATCH(F1205,FmtName,0))</f>
        <v/>
      </c>
      <c r="U1205" s="47">
        <f>INDEX(ChBaseCP,MATCH(E1205,ChName,0))*(1+INDEX(ProvMod,MATCH(G1205,ProvCode,0)))*(1+PriceIndex)</f>
        <v/>
      </c>
      <c r="V1205" s="47">
        <f>R1205*U1205*INDEX(FmtBlendedPriceIdx,MATCH(F1205,FmtName,0))</f>
        <v/>
      </c>
      <c r="W1205" s="47">
        <f>T1205*INDEX(ProvSRP,MATCH(G1205,ProvCode,0))*(1+PriceIndex)</f>
        <v/>
      </c>
      <c r="X1205" s="47">
        <f>IF(GrossBasis="Wholesale",V1205,W1205)</f>
        <v/>
      </c>
      <c r="Y1205" s="47">
        <f>R1205*INDEX(FmtBlendedCogs,MATCH(F1205,FmtName,0))</f>
        <v/>
      </c>
      <c r="Z1205" s="47">
        <f>X1205-Y1205</f>
        <v/>
      </c>
    </row>
    <row r="1206">
      <c r="A1206" t="n">
        <v>39</v>
      </c>
      <c r="B1206" s="44">
        <f>FiscalStart+(A1206-1)*7</f>
        <v/>
      </c>
      <c r="C1206">
        <f>TEXT(B1206,"mmm yyyy")</f>
        <v/>
      </c>
      <c r="D1206">
        <f>"Q"&amp;(INT((A1206-1)/13)+1)</f>
        <v/>
      </c>
      <c r="E1206" t="inlineStr">
        <is>
          <t>Fitness</t>
        </is>
      </c>
      <c r="F1206">
        <f>IFERROR(INDEX(ChFormat,MATCH(E1206,ChName,0)),"")</f>
        <v/>
      </c>
      <c r="G1206" t="inlineStr">
        <is>
          <t>SK</t>
        </is>
      </c>
      <c r="H1206">
        <f>IF(A1206&lt;=NWeeks,1,0)</f>
        <v/>
      </c>
      <c r="I1206">
        <f>INDEX(ChLaunch,MATCH(E1206,ChName,0))</f>
        <v/>
      </c>
      <c r="J1206">
        <f>INDEX(ChWeeksFull,MATCH(E1206,ChName,0))</f>
        <v/>
      </c>
      <c r="K1206">
        <f>INDEX(ChRamp,MATCH(E1206,ChName,0))</f>
        <v/>
      </c>
      <c r="L1206" s="45">
        <f>MIN(1,MAX(0,(A1206-I1206+1)*RampSpeed/J1206))</f>
        <v/>
      </c>
      <c r="M1206" s="45">
        <f>IF(A1206&lt;I1206,0,IF(K1206="S-curve",L1206*L1206*(3-2*L1206),L1206))</f>
        <v/>
      </c>
      <c r="N1206" s="45">
        <f>1+(INDEX(SeasonIdx,A1206)-1)*SeasonAmp</f>
        <v/>
      </c>
      <c r="O1206" s="45">
        <f>IFERROR(INDEX(PSPct,MATCH(E1206&amp;"|"&amp;G1206,PSKey,0)),0)</f>
        <v/>
      </c>
      <c r="P1206" s="46">
        <f>INDEX(ChDoorVel,MATCH(E1206,ChName,0))*CalibScalar*(1+VelocityUplift)</f>
        <v/>
      </c>
      <c r="Q1206" s="46" t="n">
        <v>0</v>
      </c>
      <c r="R1206" s="46">
        <f>P1206*O1206*M1206*N1206*H1206</f>
        <v/>
      </c>
      <c r="S1206" s="46">
        <f>R1206*INDEX(FmtCansPerCase,MATCH(F1206,FmtName,0))</f>
        <v/>
      </c>
      <c r="T1206" s="46">
        <f>S1206/INDEX(FmtCansPerPack,MATCH(F1206,FmtName,0))</f>
        <v/>
      </c>
      <c r="U1206" s="47">
        <f>INDEX(ChBaseCP,MATCH(E1206,ChName,0))*(1+INDEX(ProvMod,MATCH(G1206,ProvCode,0)))*(1+PriceIndex)</f>
        <v/>
      </c>
      <c r="V1206" s="47">
        <f>R1206*U1206*INDEX(FmtBlendedPriceIdx,MATCH(F1206,FmtName,0))</f>
        <v/>
      </c>
      <c r="W1206" s="47">
        <f>T1206*INDEX(ProvSRP,MATCH(G1206,ProvCode,0))*(1+PriceIndex)</f>
        <v/>
      </c>
      <c r="X1206" s="47">
        <f>IF(GrossBasis="Wholesale",V1206,W1206)</f>
        <v/>
      </c>
      <c r="Y1206" s="47">
        <f>R1206*INDEX(FmtBlendedCogs,MATCH(F1206,FmtName,0))</f>
        <v/>
      </c>
      <c r="Z1206" s="47">
        <f>X1206-Y1206</f>
        <v/>
      </c>
    </row>
    <row r="1207">
      <c r="A1207" t="n">
        <v>40</v>
      </c>
      <c r="B1207" s="44">
        <f>FiscalStart+(A1207-1)*7</f>
        <v/>
      </c>
      <c r="C1207">
        <f>TEXT(B1207,"mmm yyyy")</f>
        <v/>
      </c>
      <c r="D1207">
        <f>"Q"&amp;(INT((A1207-1)/13)+1)</f>
        <v/>
      </c>
      <c r="E1207" t="inlineStr">
        <is>
          <t>Fitness</t>
        </is>
      </c>
      <c r="F1207">
        <f>IFERROR(INDEX(ChFormat,MATCH(E1207,ChName,0)),"")</f>
        <v/>
      </c>
      <c r="G1207" t="inlineStr">
        <is>
          <t>SK</t>
        </is>
      </c>
      <c r="H1207">
        <f>IF(A1207&lt;=NWeeks,1,0)</f>
        <v/>
      </c>
      <c r="I1207">
        <f>INDEX(ChLaunch,MATCH(E1207,ChName,0))</f>
        <v/>
      </c>
      <c r="J1207">
        <f>INDEX(ChWeeksFull,MATCH(E1207,ChName,0))</f>
        <v/>
      </c>
      <c r="K1207">
        <f>INDEX(ChRamp,MATCH(E1207,ChName,0))</f>
        <v/>
      </c>
      <c r="L1207" s="45">
        <f>MIN(1,MAX(0,(A1207-I1207+1)*RampSpeed/J1207))</f>
        <v/>
      </c>
      <c r="M1207" s="45">
        <f>IF(A1207&lt;I1207,0,IF(K1207="S-curve",L1207*L1207*(3-2*L1207),L1207))</f>
        <v/>
      </c>
      <c r="N1207" s="45">
        <f>1+(INDEX(SeasonIdx,A1207)-1)*SeasonAmp</f>
        <v/>
      </c>
      <c r="O1207" s="45">
        <f>IFERROR(INDEX(PSPct,MATCH(E1207&amp;"|"&amp;G1207,PSKey,0)),0)</f>
        <v/>
      </c>
      <c r="P1207" s="46">
        <f>INDEX(ChDoorVel,MATCH(E1207,ChName,0))*CalibScalar*(1+VelocityUplift)</f>
        <v/>
      </c>
      <c r="Q1207" s="46" t="n">
        <v>0</v>
      </c>
      <c r="R1207" s="46">
        <f>P1207*O1207*M1207*N1207*H1207</f>
        <v/>
      </c>
      <c r="S1207" s="46">
        <f>R1207*INDEX(FmtCansPerCase,MATCH(F1207,FmtName,0))</f>
        <v/>
      </c>
      <c r="T1207" s="46">
        <f>S1207/INDEX(FmtCansPerPack,MATCH(F1207,FmtName,0))</f>
        <v/>
      </c>
      <c r="U1207" s="47">
        <f>INDEX(ChBaseCP,MATCH(E1207,ChName,0))*(1+INDEX(ProvMod,MATCH(G1207,ProvCode,0)))*(1+PriceIndex)</f>
        <v/>
      </c>
      <c r="V1207" s="47">
        <f>R1207*U1207*INDEX(FmtBlendedPriceIdx,MATCH(F1207,FmtName,0))</f>
        <v/>
      </c>
      <c r="W1207" s="47">
        <f>T1207*INDEX(ProvSRP,MATCH(G1207,ProvCode,0))*(1+PriceIndex)</f>
        <v/>
      </c>
      <c r="X1207" s="47">
        <f>IF(GrossBasis="Wholesale",V1207,W1207)</f>
        <v/>
      </c>
      <c r="Y1207" s="47">
        <f>R1207*INDEX(FmtBlendedCogs,MATCH(F1207,FmtName,0))</f>
        <v/>
      </c>
      <c r="Z1207" s="47">
        <f>X1207-Y1207</f>
        <v/>
      </c>
    </row>
    <row r="1208">
      <c r="A1208" t="n">
        <v>41</v>
      </c>
      <c r="B1208" s="44">
        <f>FiscalStart+(A1208-1)*7</f>
        <v/>
      </c>
      <c r="C1208">
        <f>TEXT(B1208,"mmm yyyy")</f>
        <v/>
      </c>
      <c r="D1208">
        <f>"Q"&amp;(INT((A1208-1)/13)+1)</f>
        <v/>
      </c>
      <c r="E1208" t="inlineStr">
        <is>
          <t>Fitness</t>
        </is>
      </c>
      <c r="F1208">
        <f>IFERROR(INDEX(ChFormat,MATCH(E1208,ChName,0)),"")</f>
        <v/>
      </c>
      <c r="G1208" t="inlineStr">
        <is>
          <t>SK</t>
        </is>
      </c>
      <c r="H1208">
        <f>IF(A1208&lt;=NWeeks,1,0)</f>
        <v/>
      </c>
      <c r="I1208">
        <f>INDEX(ChLaunch,MATCH(E1208,ChName,0))</f>
        <v/>
      </c>
      <c r="J1208">
        <f>INDEX(ChWeeksFull,MATCH(E1208,ChName,0))</f>
        <v/>
      </c>
      <c r="K1208">
        <f>INDEX(ChRamp,MATCH(E1208,ChName,0))</f>
        <v/>
      </c>
      <c r="L1208" s="45">
        <f>MIN(1,MAX(0,(A1208-I1208+1)*RampSpeed/J1208))</f>
        <v/>
      </c>
      <c r="M1208" s="45">
        <f>IF(A1208&lt;I1208,0,IF(K1208="S-curve",L1208*L1208*(3-2*L1208),L1208))</f>
        <v/>
      </c>
      <c r="N1208" s="45">
        <f>1+(INDEX(SeasonIdx,A1208)-1)*SeasonAmp</f>
        <v/>
      </c>
      <c r="O1208" s="45">
        <f>IFERROR(INDEX(PSPct,MATCH(E1208&amp;"|"&amp;G1208,PSKey,0)),0)</f>
        <v/>
      </c>
      <c r="P1208" s="46">
        <f>INDEX(ChDoorVel,MATCH(E1208,ChName,0))*CalibScalar*(1+VelocityUplift)</f>
        <v/>
      </c>
      <c r="Q1208" s="46" t="n">
        <v>0</v>
      </c>
      <c r="R1208" s="46">
        <f>P1208*O1208*M1208*N1208*H1208</f>
        <v/>
      </c>
      <c r="S1208" s="46">
        <f>R1208*INDEX(FmtCansPerCase,MATCH(F1208,FmtName,0))</f>
        <v/>
      </c>
      <c r="T1208" s="46">
        <f>S1208/INDEX(FmtCansPerPack,MATCH(F1208,FmtName,0))</f>
        <v/>
      </c>
      <c r="U1208" s="47">
        <f>INDEX(ChBaseCP,MATCH(E1208,ChName,0))*(1+INDEX(ProvMod,MATCH(G1208,ProvCode,0)))*(1+PriceIndex)</f>
        <v/>
      </c>
      <c r="V1208" s="47">
        <f>R1208*U1208*INDEX(FmtBlendedPriceIdx,MATCH(F1208,FmtName,0))</f>
        <v/>
      </c>
      <c r="W1208" s="47">
        <f>T1208*INDEX(ProvSRP,MATCH(G1208,ProvCode,0))*(1+PriceIndex)</f>
        <v/>
      </c>
      <c r="X1208" s="47">
        <f>IF(GrossBasis="Wholesale",V1208,W1208)</f>
        <v/>
      </c>
      <c r="Y1208" s="47">
        <f>R1208*INDEX(FmtBlendedCogs,MATCH(F1208,FmtName,0))</f>
        <v/>
      </c>
      <c r="Z1208" s="47">
        <f>X1208-Y1208</f>
        <v/>
      </c>
    </row>
    <row r="1209">
      <c r="A1209" t="n">
        <v>42</v>
      </c>
      <c r="B1209" s="44">
        <f>FiscalStart+(A1209-1)*7</f>
        <v/>
      </c>
      <c r="C1209">
        <f>TEXT(B1209,"mmm yyyy")</f>
        <v/>
      </c>
      <c r="D1209">
        <f>"Q"&amp;(INT((A1209-1)/13)+1)</f>
        <v/>
      </c>
      <c r="E1209" t="inlineStr">
        <is>
          <t>Fitness</t>
        </is>
      </c>
      <c r="F1209">
        <f>IFERROR(INDEX(ChFormat,MATCH(E1209,ChName,0)),"")</f>
        <v/>
      </c>
      <c r="G1209" t="inlineStr">
        <is>
          <t>SK</t>
        </is>
      </c>
      <c r="H1209">
        <f>IF(A1209&lt;=NWeeks,1,0)</f>
        <v/>
      </c>
      <c r="I1209">
        <f>INDEX(ChLaunch,MATCH(E1209,ChName,0))</f>
        <v/>
      </c>
      <c r="J1209">
        <f>INDEX(ChWeeksFull,MATCH(E1209,ChName,0))</f>
        <v/>
      </c>
      <c r="K1209">
        <f>INDEX(ChRamp,MATCH(E1209,ChName,0))</f>
        <v/>
      </c>
      <c r="L1209" s="45">
        <f>MIN(1,MAX(0,(A1209-I1209+1)*RampSpeed/J1209))</f>
        <v/>
      </c>
      <c r="M1209" s="45">
        <f>IF(A1209&lt;I1209,0,IF(K1209="S-curve",L1209*L1209*(3-2*L1209),L1209))</f>
        <v/>
      </c>
      <c r="N1209" s="45">
        <f>1+(INDEX(SeasonIdx,A1209)-1)*SeasonAmp</f>
        <v/>
      </c>
      <c r="O1209" s="45">
        <f>IFERROR(INDEX(PSPct,MATCH(E1209&amp;"|"&amp;G1209,PSKey,0)),0)</f>
        <v/>
      </c>
      <c r="P1209" s="46">
        <f>INDEX(ChDoorVel,MATCH(E1209,ChName,0))*CalibScalar*(1+VelocityUplift)</f>
        <v/>
      </c>
      <c r="Q1209" s="46" t="n">
        <v>0</v>
      </c>
      <c r="R1209" s="46">
        <f>P1209*O1209*M1209*N1209*H1209</f>
        <v/>
      </c>
      <c r="S1209" s="46">
        <f>R1209*INDEX(FmtCansPerCase,MATCH(F1209,FmtName,0))</f>
        <v/>
      </c>
      <c r="T1209" s="46">
        <f>S1209/INDEX(FmtCansPerPack,MATCH(F1209,FmtName,0))</f>
        <v/>
      </c>
      <c r="U1209" s="47">
        <f>INDEX(ChBaseCP,MATCH(E1209,ChName,0))*(1+INDEX(ProvMod,MATCH(G1209,ProvCode,0)))*(1+PriceIndex)</f>
        <v/>
      </c>
      <c r="V1209" s="47">
        <f>R1209*U1209*INDEX(FmtBlendedPriceIdx,MATCH(F1209,FmtName,0))</f>
        <v/>
      </c>
      <c r="W1209" s="47">
        <f>T1209*INDEX(ProvSRP,MATCH(G1209,ProvCode,0))*(1+PriceIndex)</f>
        <v/>
      </c>
      <c r="X1209" s="47">
        <f>IF(GrossBasis="Wholesale",V1209,W1209)</f>
        <v/>
      </c>
      <c r="Y1209" s="47">
        <f>R1209*INDEX(FmtBlendedCogs,MATCH(F1209,FmtName,0))</f>
        <v/>
      </c>
      <c r="Z1209" s="47">
        <f>X1209-Y1209</f>
        <v/>
      </c>
    </row>
    <row r="1210">
      <c r="A1210" t="n">
        <v>43</v>
      </c>
      <c r="B1210" s="44">
        <f>FiscalStart+(A1210-1)*7</f>
        <v/>
      </c>
      <c r="C1210">
        <f>TEXT(B1210,"mmm yyyy")</f>
        <v/>
      </c>
      <c r="D1210">
        <f>"Q"&amp;(INT((A1210-1)/13)+1)</f>
        <v/>
      </c>
      <c r="E1210" t="inlineStr">
        <is>
          <t>Fitness</t>
        </is>
      </c>
      <c r="F1210">
        <f>IFERROR(INDEX(ChFormat,MATCH(E1210,ChName,0)),"")</f>
        <v/>
      </c>
      <c r="G1210" t="inlineStr">
        <is>
          <t>SK</t>
        </is>
      </c>
      <c r="H1210">
        <f>IF(A1210&lt;=NWeeks,1,0)</f>
        <v/>
      </c>
      <c r="I1210">
        <f>INDEX(ChLaunch,MATCH(E1210,ChName,0))</f>
        <v/>
      </c>
      <c r="J1210">
        <f>INDEX(ChWeeksFull,MATCH(E1210,ChName,0))</f>
        <v/>
      </c>
      <c r="K1210">
        <f>INDEX(ChRamp,MATCH(E1210,ChName,0))</f>
        <v/>
      </c>
      <c r="L1210" s="45">
        <f>MIN(1,MAX(0,(A1210-I1210+1)*RampSpeed/J1210))</f>
        <v/>
      </c>
      <c r="M1210" s="45">
        <f>IF(A1210&lt;I1210,0,IF(K1210="S-curve",L1210*L1210*(3-2*L1210),L1210))</f>
        <v/>
      </c>
      <c r="N1210" s="45">
        <f>1+(INDEX(SeasonIdx,A1210)-1)*SeasonAmp</f>
        <v/>
      </c>
      <c r="O1210" s="45">
        <f>IFERROR(INDEX(PSPct,MATCH(E1210&amp;"|"&amp;G1210,PSKey,0)),0)</f>
        <v/>
      </c>
      <c r="P1210" s="46">
        <f>INDEX(ChDoorVel,MATCH(E1210,ChName,0))*CalibScalar*(1+VelocityUplift)</f>
        <v/>
      </c>
      <c r="Q1210" s="46" t="n">
        <v>0</v>
      </c>
      <c r="R1210" s="46">
        <f>P1210*O1210*M1210*N1210*H1210</f>
        <v/>
      </c>
      <c r="S1210" s="46">
        <f>R1210*INDEX(FmtCansPerCase,MATCH(F1210,FmtName,0))</f>
        <v/>
      </c>
      <c r="T1210" s="46">
        <f>S1210/INDEX(FmtCansPerPack,MATCH(F1210,FmtName,0))</f>
        <v/>
      </c>
      <c r="U1210" s="47">
        <f>INDEX(ChBaseCP,MATCH(E1210,ChName,0))*(1+INDEX(ProvMod,MATCH(G1210,ProvCode,0)))*(1+PriceIndex)</f>
        <v/>
      </c>
      <c r="V1210" s="47">
        <f>R1210*U1210*INDEX(FmtBlendedPriceIdx,MATCH(F1210,FmtName,0))</f>
        <v/>
      </c>
      <c r="W1210" s="47">
        <f>T1210*INDEX(ProvSRP,MATCH(G1210,ProvCode,0))*(1+PriceIndex)</f>
        <v/>
      </c>
      <c r="X1210" s="47">
        <f>IF(GrossBasis="Wholesale",V1210,W1210)</f>
        <v/>
      </c>
      <c r="Y1210" s="47">
        <f>R1210*INDEX(FmtBlendedCogs,MATCH(F1210,FmtName,0))</f>
        <v/>
      </c>
      <c r="Z1210" s="47">
        <f>X1210-Y1210</f>
        <v/>
      </c>
    </row>
    <row r="1211">
      <c r="A1211" t="n">
        <v>44</v>
      </c>
      <c r="B1211" s="44">
        <f>FiscalStart+(A1211-1)*7</f>
        <v/>
      </c>
      <c r="C1211">
        <f>TEXT(B1211,"mmm yyyy")</f>
        <v/>
      </c>
      <c r="D1211">
        <f>"Q"&amp;(INT((A1211-1)/13)+1)</f>
        <v/>
      </c>
      <c r="E1211" t="inlineStr">
        <is>
          <t>Fitness</t>
        </is>
      </c>
      <c r="F1211">
        <f>IFERROR(INDEX(ChFormat,MATCH(E1211,ChName,0)),"")</f>
        <v/>
      </c>
      <c r="G1211" t="inlineStr">
        <is>
          <t>SK</t>
        </is>
      </c>
      <c r="H1211">
        <f>IF(A1211&lt;=NWeeks,1,0)</f>
        <v/>
      </c>
      <c r="I1211">
        <f>INDEX(ChLaunch,MATCH(E1211,ChName,0))</f>
        <v/>
      </c>
      <c r="J1211">
        <f>INDEX(ChWeeksFull,MATCH(E1211,ChName,0))</f>
        <v/>
      </c>
      <c r="K1211">
        <f>INDEX(ChRamp,MATCH(E1211,ChName,0))</f>
        <v/>
      </c>
      <c r="L1211" s="45">
        <f>MIN(1,MAX(0,(A1211-I1211+1)*RampSpeed/J1211))</f>
        <v/>
      </c>
      <c r="M1211" s="45">
        <f>IF(A1211&lt;I1211,0,IF(K1211="S-curve",L1211*L1211*(3-2*L1211),L1211))</f>
        <v/>
      </c>
      <c r="N1211" s="45">
        <f>1+(INDEX(SeasonIdx,A1211)-1)*SeasonAmp</f>
        <v/>
      </c>
      <c r="O1211" s="45">
        <f>IFERROR(INDEX(PSPct,MATCH(E1211&amp;"|"&amp;G1211,PSKey,0)),0)</f>
        <v/>
      </c>
      <c r="P1211" s="46">
        <f>INDEX(ChDoorVel,MATCH(E1211,ChName,0))*CalibScalar*(1+VelocityUplift)</f>
        <v/>
      </c>
      <c r="Q1211" s="46" t="n">
        <v>0</v>
      </c>
      <c r="R1211" s="46">
        <f>P1211*O1211*M1211*N1211*H1211</f>
        <v/>
      </c>
      <c r="S1211" s="46">
        <f>R1211*INDEX(FmtCansPerCase,MATCH(F1211,FmtName,0))</f>
        <v/>
      </c>
      <c r="T1211" s="46">
        <f>S1211/INDEX(FmtCansPerPack,MATCH(F1211,FmtName,0))</f>
        <v/>
      </c>
      <c r="U1211" s="47">
        <f>INDEX(ChBaseCP,MATCH(E1211,ChName,0))*(1+INDEX(ProvMod,MATCH(G1211,ProvCode,0)))*(1+PriceIndex)</f>
        <v/>
      </c>
      <c r="V1211" s="47">
        <f>R1211*U1211*INDEX(FmtBlendedPriceIdx,MATCH(F1211,FmtName,0))</f>
        <v/>
      </c>
      <c r="W1211" s="47">
        <f>T1211*INDEX(ProvSRP,MATCH(G1211,ProvCode,0))*(1+PriceIndex)</f>
        <v/>
      </c>
      <c r="X1211" s="47">
        <f>IF(GrossBasis="Wholesale",V1211,W1211)</f>
        <v/>
      </c>
      <c r="Y1211" s="47">
        <f>R1211*INDEX(FmtBlendedCogs,MATCH(F1211,FmtName,0))</f>
        <v/>
      </c>
      <c r="Z1211" s="47">
        <f>X1211-Y1211</f>
        <v/>
      </c>
    </row>
    <row r="1212">
      <c r="A1212" t="n">
        <v>45</v>
      </c>
      <c r="B1212" s="44">
        <f>FiscalStart+(A1212-1)*7</f>
        <v/>
      </c>
      <c r="C1212">
        <f>TEXT(B1212,"mmm yyyy")</f>
        <v/>
      </c>
      <c r="D1212">
        <f>"Q"&amp;(INT((A1212-1)/13)+1)</f>
        <v/>
      </c>
      <c r="E1212" t="inlineStr">
        <is>
          <t>Fitness</t>
        </is>
      </c>
      <c r="F1212">
        <f>IFERROR(INDEX(ChFormat,MATCH(E1212,ChName,0)),"")</f>
        <v/>
      </c>
      <c r="G1212" t="inlineStr">
        <is>
          <t>SK</t>
        </is>
      </c>
      <c r="H1212">
        <f>IF(A1212&lt;=NWeeks,1,0)</f>
        <v/>
      </c>
      <c r="I1212">
        <f>INDEX(ChLaunch,MATCH(E1212,ChName,0))</f>
        <v/>
      </c>
      <c r="J1212">
        <f>INDEX(ChWeeksFull,MATCH(E1212,ChName,0))</f>
        <v/>
      </c>
      <c r="K1212">
        <f>INDEX(ChRamp,MATCH(E1212,ChName,0))</f>
        <v/>
      </c>
      <c r="L1212" s="45">
        <f>MIN(1,MAX(0,(A1212-I1212+1)*RampSpeed/J1212))</f>
        <v/>
      </c>
      <c r="M1212" s="45">
        <f>IF(A1212&lt;I1212,0,IF(K1212="S-curve",L1212*L1212*(3-2*L1212),L1212))</f>
        <v/>
      </c>
      <c r="N1212" s="45">
        <f>1+(INDEX(SeasonIdx,A1212)-1)*SeasonAmp</f>
        <v/>
      </c>
      <c r="O1212" s="45">
        <f>IFERROR(INDEX(PSPct,MATCH(E1212&amp;"|"&amp;G1212,PSKey,0)),0)</f>
        <v/>
      </c>
      <c r="P1212" s="46">
        <f>INDEX(ChDoorVel,MATCH(E1212,ChName,0))*CalibScalar*(1+VelocityUplift)</f>
        <v/>
      </c>
      <c r="Q1212" s="46" t="n">
        <v>0</v>
      </c>
      <c r="R1212" s="46">
        <f>P1212*O1212*M1212*N1212*H1212</f>
        <v/>
      </c>
      <c r="S1212" s="46">
        <f>R1212*INDEX(FmtCansPerCase,MATCH(F1212,FmtName,0))</f>
        <v/>
      </c>
      <c r="T1212" s="46">
        <f>S1212/INDEX(FmtCansPerPack,MATCH(F1212,FmtName,0))</f>
        <v/>
      </c>
      <c r="U1212" s="47">
        <f>INDEX(ChBaseCP,MATCH(E1212,ChName,0))*(1+INDEX(ProvMod,MATCH(G1212,ProvCode,0)))*(1+PriceIndex)</f>
        <v/>
      </c>
      <c r="V1212" s="47">
        <f>R1212*U1212*INDEX(FmtBlendedPriceIdx,MATCH(F1212,FmtName,0))</f>
        <v/>
      </c>
      <c r="W1212" s="47">
        <f>T1212*INDEX(ProvSRP,MATCH(G1212,ProvCode,0))*(1+PriceIndex)</f>
        <v/>
      </c>
      <c r="X1212" s="47">
        <f>IF(GrossBasis="Wholesale",V1212,W1212)</f>
        <v/>
      </c>
      <c r="Y1212" s="47">
        <f>R1212*INDEX(FmtBlendedCogs,MATCH(F1212,FmtName,0))</f>
        <v/>
      </c>
      <c r="Z1212" s="47">
        <f>X1212-Y1212</f>
        <v/>
      </c>
    </row>
    <row r="1213">
      <c r="A1213" t="n">
        <v>46</v>
      </c>
      <c r="B1213" s="44">
        <f>FiscalStart+(A1213-1)*7</f>
        <v/>
      </c>
      <c r="C1213">
        <f>TEXT(B1213,"mmm yyyy")</f>
        <v/>
      </c>
      <c r="D1213">
        <f>"Q"&amp;(INT((A1213-1)/13)+1)</f>
        <v/>
      </c>
      <c r="E1213" t="inlineStr">
        <is>
          <t>Fitness</t>
        </is>
      </c>
      <c r="F1213">
        <f>IFERROR(INDEX(ChFormat,MATCH(E1213,ChName,0)),"")</f>
        <v/>
      </c>
      <c r="G1213" t="inlineStr">
        <is>
          <t>SK</t>
        </is>
      </c>
      <c r="H1213">
        <f>IF(A1213&lt;=NWeeks,1,0)</f>
        <v/>
      </c>
      <c r="I1213">
        <f>INDEX(ChLaunch,MATCH(E1213,ChName,0))</f>
        <v/>
      </c>
      <c r="J1213">
        <f>INDEX(ChWeeksFull,MATCH(E1213,ChName,0))</f>
        <v/>
      </c>
      <c r="K1213">
        <f>INDEX(ChRamp,MATCH(E1213,ChName,0))</f>
        <v/>
      </c>
      <c r="L1213" s="45">
        <f>MIN(1,MAX(0,(A1213-I1213+1)*RampSpeed/J1213))</f>
        <v/>
      </c>
      <c r="M1213" s="45">
        <f>IF(A1213&lt;I1213,0,IF(K1213="S-curve",L1213*L1213*(3-2*L1213),L1213))</f>
        <v/>
      </c>
      <c r="N1213" s="45">
        <f>1+(INDEX(SeasonIdx,A1213)-1)*SeasonAmp</f>
        <v/>
      </c>
      <c r="O1213" s="45">
        <f>IFERROR(INDEX(PSPct,MATCH(E1213&amp;"|"&amp;G1213,PSKey,0)),0)</f>
        <v/>
      </c>
      <c r="P1213" s="46">
        <f>INDEX(ChDoorVel,MATCH(E1213,ChName,0))*CalibScalar*(1+VelocityUplift)</f>
        <v/>
      </c>
      <c r="Q1213" s="46" t="n">
        <v>0</v>
      </c>
      <c r="R1213" s="46">
        <f>P1213*O1213*M1213*N1213*H1213</f>
        <v/>
      </c>
      <c r="S1213" s="46">
        <f>R1213*INDEX(FmtCansPerCase,MATCH(F1213,FmtName,0))</f>
        <v/>
      </c>
      <c r="T1213" s="46">
        <f>S1213/INDEX(FmtCansPerPack,MATCH(F1213,FmtName,0))</f>
        <v/>
      </c>
      <c r="U1213" s="47">
        <f>INDEX(ChBaseCP,MATCH(E1213,ChName,0))*(1+INDEX(ProvMod,MATCH(G1213,ProvCode,0)))*(1+PriceIndex)</f>
        <v/>
      </c>
      <c r="V1213" s="47">
        <f>R1213*U1213*INDEX(FmtBlendedPriceIdx,MATCH(F1213,FmtName,0))</f>
        <v/>
      </c>
      <c r="W1213" s="47">
        <f>T1213*INDEX(ProvSRP,MATCH(G1213,ProvCode,0))*(1+PriceIndex)</f>
        <v/>
      </c>
      <c r="X1213" s="47">
        <f>IF(GrossBasis="Wholesale",V1213,W1213)</f>
        <v/>
      </c>
      <c r="Y1213" s="47">
        <f>R1213*INDEX(FmtBlendedCogs,MATCH(F1213,FmtName,0))</f>
        <v/>
      </c>
      <c r="Z1213" s="47">
        <f>X1213-Y1213</f>
        <v/>
      </c>
    </row>
    <row r="1214">
      <c r="A1214" t="n">
        <v>47</v>
      </c>
      <c r="B1214" s="44">
        <f>FiscalStart+(A1214-1)*7</f>
        <v/>
      </c>
      <c r="C1214">
        <f>TEXT(B1214,"mmm yyyy")</f>
        <v/>
      </c>
      <c r="D1214">
        <f>"Q"&amp;(INT((A1214-1)/13)+1)</f>
        <v/>
      </c>
      <c r="E1214" t="inlineStr">
        <is>
          <t>Fitness</t>
        </is>
      </c>
      <c r="F1214">
        <f>IFERROR(INDEX(ChFormat,MATCH(E1214,ChName,0)),"")</f>
        <v/>
      </c>
      <c r="G1214" t="inlineStr">
        <is>
          <t>SK</t>
        </is>
      </c>
      <c r="H1214">
        <f>IF(A1214&lt;=NWeeks,1,0)</f>
        <v/>
      </c>
      <c r="I1214">
        <f>INDEX(ChLaunch,MATCH(E1214,ChName,0))</f>
        <v/>
      </c>
      <c r="J1214">
        <f>INDEX(ChWeeksFull,MATCH(E1214,ChName,0))</f>
        <v/>
      </c>
      <c r="K1214">
        <f>INDEX(ChRamp,MATCH(E1214,ChName,0))</f>
        <v/>
      </c>
      <c r="L1214" s="45">
        <f>MIN(1,MAX(0,(A1214-I1214+1)*RampSpeed/J1214))</f>
        <v/>
      </c>
      <c r="M1214" s="45">
        <f>IF(A1214&lt;I1214,0,IF(K1214="S-curve",L1214*L1214*(3-2*L1214),L1214))</f>
        <v/>
      </c>
      <c r="N1214" s="45">
        <f>1+(INDEX(SeasonIdx,A1214)-1)*SeasonAmp</f>
        <v/>
      </c>
      <c r="O1214" s="45">
        <f>IFERROR(INDEX(PSPct,MATCH(E1214&amp;"|"&amp;G1214,PSKey,0)),0)</f>
        <v/>
      </c>
      <c r="P1214" s="46">
        <f>INDEX(ChDoorVel,MATCH(E1214,ChName,0))*CalibScalar*(1+VelocityUplift)</f>
        <v/>
      </c>
      <c r="Q1214" s="46" t="n">
        <v>0</v>
      </c>
      <c r="R1214" s="46">
        <f>P1214*O1214*M1214*N1214*H1214</f>
        <v/>
      </c>
      <c r="S1214" s="46">
        <f>R1214*INDEX(FmtCansPerCase,MATCH(F1214,FmtName,0))</f>
        <v/>
      </c>
      <c r="T1214" s="46">
        <f>S1214/INDEX(FmtCansPerPack,MATCH(F1214,FmtName,0))</f>
        <v/>
      </c>
      <c r="U1214" s="47">
        <f>INDEX(ChBaseCP,MATCH(E1214,ChName,0))*(1+INDEX(ProvMod,MATCH(G1214,ProvCode,0)))*(1+PriceIndex)</f>
        <v/>
      </c>
      <c r="V1214" s="47">
        <f>R1214*U1214*INDEX(FmtBlendedPriceIdx,MATCH(F1214,FmtName,0))</f>
        <v/>
      </c>
      <c r="W1214" s="47">
        <f>T1214*INDEX(ProvSRP,MATCH(G1214,ProvCode,0))*(1+PriceIndex)</f>
        <v/>
      </c>
      <c r="X1214" s="47">
        <f>IF(GrossBasis="Wholesale",V1214,W1214)</f>
        <v/>
      </c>
      <c r="Y1214" s="47">
        <f>R1214*INDEX(FmtBlendedCogs,MATCH(F1214,FmtName,0))</f>
        <v/>
      </c>
      <c r="Z1214" s="47">
        <f>X1214-Y1214</f>
        <v/>
      </c>
    </row>
    <row r="1215">
      <c r="A1215" t="n">
        <v>48</v>
      </c>
      <c r="B1215" s="44">
        <f>FiscalStart+(A1215-1)*7</f>
        <v/>
      </c>
      <c r="C1215">
        <f>TEXT(B1215,"mmm yyyy")</f>
        <v/>
      </c>
      <c r="D1215">
        <f>"Q"&amp;(INT((A1215-1)/13)+1)</f>
        <v/>
      </c>
      <c r="E1215" t="inlineStr">
        <is>
          <t>Fitness</t>
        </is>
      </c>
      <c r="F1215">
        <f>IFERROR(INDEX(ChFormat,MATCH(E1215,ChName,0)),"")</f>
        <v/>
      </c>
      <c r="G1215" t="inlineStr">
        <is>
          <t>SK</t>
        </is>
      </c>
      <c r="H1215">
        <f>IF(A1215&lt;=NWeeks,1,0)</f>
        <v/>
      </c>
      <c r="I1215">
        <f>INDEX(ChLaunch,MATCH(E1215,ChName,0))</f>
        <v/>
      </c>
      <c r="J1215">
        <f>INDEX(ChWeeksFull,MATCH(E1215,ChName,0))</f>
        <v/>
      </c>
      <c r="K1215">
        <f>INDEX(ChRamp,MATCH(E1215,ChName,0))</f>
        <v/>
      </c>
      <c r="L1215" s="45">
        <f>MIN(1,MAX(0,(A1215-I1215+1)*RampSpeed/J1215))</f>
        <v/>
      </c>
      <c r="M1215" s="45">
        <f>IF(A1215&lt;I1215,0,IF(K1215="S-curve",L1215*L1215*(3-2*L1215),L1215))</f>
        <v/>
      </c>
      <c r="N1215" s="45">
        <f>1+(INDEX(SeasonIdx,A1215)-1)*SeasonAmp</f>
        <v/>
      </c>
      <c r="O1215" s="45">
        <f>IFERROR(INDEX(PSPct,MATCH(E1215&amp;"|"&amp;G1215,PSKey,0)),0)</f>
        <v/>
      </c>
      <c r="P1215" s="46">
        <f>INDEX(ChDoorVel,MATCH(E1215,ChName,0))*CalibScalar*(1+VelocityUplift)</f>
        <v/>
      </c>
      <c r="Q1215" s="46" t="n">
        <v>0</v>
      </c>
      <c r="R1215" s="46">
        <f>P1215*O1215*M1215*N1215*H1215</f>
        <v/>
      </c>
      <c r="S1215" s="46">
        <f>R1215*INDEX(FmtCansPerCase,MATCH(F1215,FmtName,0))</f>
        <v/>
      </c>
      <c r="T1215" s="46">
        <f>S1215/INDEX(FmtCansPerPack,MATCH(F1215,FmtName,0))</f>
        <v/>
      </c>
      <c r="U1215" s="47">
        <f>INDEX(ChBaseCP,MATCH(E1215,ChName,0))*(1+INDEX(ProvMod,MATCH(G1215,ProvCode,0)))*(1+PriceIndex)</f>
        <v/>
      </c>
      <c r="V1215" s="47">
        <f>R1215*U1215*INDEX(FmtBlendedPriceIdx,MATCH(F1215,FmtName,0))</f>
        <v/>
      </c>
      <c r="W1215" s="47">
        <f>T1215*INDEX(ProvSRP,MATCH(G1215,ProvCode,0))*(1+PriceIndex)</f>
        <v/>
      </c>
      <c r="X1215" s="47">
        <f>IF(GrossBasis="Wholesale",V1215,W1215)</f>
        <v/>
      </c>
      <c r="Y1215" s="47">
        <f>R1215*INDEX(FmtBlendedCogs,MATCH(F1215,FmtName,0))</f>
        <v/>
      </c>
      <c r="Z1215" s="47">
        <f>X1215-Y1215</f>
        <v/>
      </c>
    </row>
    <row r="1216">
      <c r="A1216" t="n">
        <v>49</v>
      </c>
      <c r="B1216" s="44">
        <f>FiscalStart+(A1216-1)*7</f>
        <v/>
      </c>
      <c r="C1216">
        <f>TEXT(B1216,"mmm yyyy")</f>
        <v/>
      </c>
      <c r="D1216">
        <f>"Q"&amp;(INT((A1216-1)/13)+1)</f>
        <v/>
      </c>
      <c r="E1216" t="inlineStr">
        <is>
          <t>Fitness</t>
        </is>
      </c>
      <c r="F1216">
        <f>IFERROR(INDEX(ChFormat,MATCH(E1216,ChName,0)),"")</f>
        <v/>
      </c>
      <c r="G1216" t="inlineStr">
        <is>
          <t>SK</t>
        </is>
      </c>
      <c r="H1216">
        <f>IF(A1216&lt;=NWeeks,1,0)</f>
        <v/>
      </c>
      <c r="I1216">
        <f>INDEX(ChLaunch,MATCH(E1216,ChName,0))</f>
        <v/>
      </c>
      <c r="J1216">
        <f>INDEX(ChWeeksFull,MATCH(E1216,ChName,0))</f>
        <v/>
      </c>
      <c r="K1216">
        <f>INDEX(ChRamp,MATCH(E1216,ChName,0))</f>
        <v/>
      </c>
      <c r="L1216" s="45">
        <f>MIN(1,MAX(0,(A1216-I1216+1)*RampSpeed/J1216))</f>
        <v/>
      </c>
      <c r="M1216" s="45">
        <f>IF(A1216&lt;I1216,0,IF(K1216="S-curve",L1216*L1216*(3-2*L1216),L1216))</f>
        <v/>
      </c>
      <c r="N1216" s="45">
        <f>1+(INDEX(SeasonIdx,A1216)-1)*SeasonAmp</f>
        <v/>
      </c>
      <c r="O1216" s="45">
        <f>IFERROR(INDEX(PSPct,MATCH(E1216&amp;"|"&amp;G1216,PSKey,0)),0)</f>
        <v/>
      </c>
      <c r="P1216" s="46">
        <f>INDEX(ChDoorVel,MATCH(E1216,ChName,0))*CalibScalar*(1+VelocityUplift)</f>
        <v/>
      </c>
      <c r="Q1216" s="46" t="n">
        <v>0</v>
      </c>
      <c r="R1216" s="46">
        <f>P1216*O1216*M1216*N1216*H1216</f>
        <v/>
      </c>
      <c r="S1216" s="46">
        <f>R1216*INDEX(FmtCansPerCase,MATCH(F1216,FmtName,0))</f>
        <v/>
      </c>
      <c r="T1216" s="46">
        <f>S1216/INDEX(FmtCansPerPack,MATCH(F1216,FmtName,0))</f>
        <v/>
      </c>
      <c r="U1216" s="47">
        <f>INDEX(ChBaseCP,MATCH(E1216,ChName,0))*(1+INDEX(ProvMod,MATCH(G1216,ProvCode,0)))*(1+PriceIndex)</f>
        <v/>
      </c>
      <c r="V1216" s="47">
        <f>R1216*U1216*INDEX(FmtBlendedPriceIdx,MATCH(F1216,FmtName,0))</f>
        <v/>
      </c>
      <c r="W1216" s="47">
        <f>T1216*INDEX(ProvSRP,MATCH(G1216,ProvCode,0))*(1+PriceIndex)</f>
        <v/>
      </c>
      <c r="X1216" s="47">
        <f>IF(GrossBasis="Wholesale",V1216,W1216)</f>
        <v/>
      </c>
      <c r="Y1216" s="47">
        <f>R1216*INDEX(FmtBlendedCogs,MATCH(F1216,FmtName,0))</f>
        <v/>
      </c>
      <c r="Z1216" s="47">
        <f>X1216-Y1216</f>
        <v/>
      </c>
    </row>
    <row r="1217">
      <c r="A1217" t="n">
        <v>50</v>
      </c>
      <c r="B1217" s="44">
        <f>FiscalStart+(A1217-1)*7</f>
        <v/>
      </c>
      <c r="C1217">
        <f>TEXT(B1217,"mmm yyyy")</f>
        <v/>
      </c>
      <c r="D1217">
        <f>"Q"&amp;(INT((A1217-1)/13)+1)</f>
        <v/>
      </c>
      <c r="E1217" t="inlineStr">
        <is>
          <t>Fitness</t>
        </is>
      </c>
      <c r="F1217">
        <f>IFERROR(INDEX(ChFormat,MATCH(E1217,ChName,0)),"")</f>
        <v/>
      </c>
      <c r="G1217" t="inlineStr">
        <is>
          <t>SK</t>
        </is>
      </c>
      <c r="H1217">
        <f>IF(A1217&lt;=NWeeks,1,0)</f>
        <v/>
      </c>
      <c r="I1217">
        <f>INDEX(ChLaunch,MATCH(E1217,ChName,0))</f>
        <v/>
      </c>
      <c r="J1217">
        <f>INDEX(ChWeeksFull,MATCH(E1217,ChName,0))</f>
        <v/>
      </c>
      <c r="K1217">
        <f>INDEX(ChRamp,MATCH(E1217,ChName,0))</f>
        <v/>
      </c>
      <c r="L1217" s="45">
        <f>MIN(1,MAX(0,(A1217-I1217+1)*RampSpeed/J1217))</f>
        <v/>
      </c>
      <c r="M1217" s="45">
        <f>IF(A1217&lt;I1217,0,IF(K1217="S-curve",L1217*L1217*(3-2*L1217),L1217))</f>
        <v/>
      </c>
      <c r="N1217" s="45">
        <f>1+(INDEX(SeasonIdx,A1217)-1)*SeasonAmp</f>
        <v/>
      </c>
      <c r="O1217" s="45">
        <f>IFERROR(INDEX(PSPct,MATCH(E1217&amp;"|"&amp;G1217,PSKey,0)),0)</f>
        <v/>
      </c>
      <c r="P1217" s="46">
        <f>INDEX(ChDoorVel,MATCH(E1217,ChName,0))*CalibScalar*(1+VelocityUplift)</f>
        <v/>
      </c>
      <c r="Q1217" s="46" t="n">
        <v>0</v>
      </c>
      <c r="R1217" s="46">
        <f>P1217*O1217*M1217*N1217*H1217</f>
        <v/>
      </c>
      <c r="S1217" s="46">
        <f>R1217*INDEX(FmtCansPerCase,MATCH(F1217,FmtName,0))</f>
        <v/>
      </c>
      <c r="T1217" s="46">
        <f>S1217/INDEX(FmtCansPerPack,MATCH(F1217,FmtName,0))</f>
        <v/>
      </c>
      <c r="U1217" s="47">
        <f>INDEX(ChBaseCP,MATCH(E1217,ChName,0))*(1+INDEX(ProvMod,MATCH(G1217,ProvCode,0)))*(1+PriceIndex)</f>
        <v/>
      </c>
      <c r="V1217" s="47">
        <f>R1217*U1217*INDEX(FmtBlendedPriceIdx,MATCH(F1217,FmtName,0))</f>
        <v/>
      </c>
      <c r="W1217" s="47">
        <f>T1217*INDEX(ProvSRP,MATCH(G1217,ProvCode,0))*(1+PriceIndex)</f>
        <v/>
      </c>
      <c r="X1217" s="47">
        <f>IF(GrossBasis="Wholesale",V1217,W1217)</f>
        <v/>
      </c>
      <c r="Y1217" s="47">
        <f>R1217*INDEX(FmtBlendedCogs,MATCH(F1217,FmtName,0))</f>
        <v/>
      </c>
      <c r="Z1217" s="47">
        <f>X1217-Y1217</f>
        <v/>
      </c>
    </row>
    <row r="1218">
      <c r="A1218" t="n">
        <v>51</v>
      </c>
      <c r="B1218" s="44">
        <f>FiscalStart+(A1218-1)*7</f>
        <v/>
      </c>
      <c r="C1218">
        <f>TEXT(B1218,"mmm yyyy")</f>
        <v/>
      </c>
      <c r="D1218">
        <f>"Q"&amp;(INT((A1218-1)/13)+1)</f>
        <v/>
      </c>
      <c r="E1218" t="inlineStr">
        <is>
          <t>Fitness</t>
        </is>
      </c>
      <c r="F1218">
        <f>IFERROR(INDEX(ChFormat,MATCH(E1218,ChName,0)),"")</f>
        <v/>
      </c>
      <c r="G1218" t="inlineStr">
        <is>
          <t>SK</t>
        </is>
      </c>
      <c r="H1218">
        <f>IF(A1218&lt;=NWeeks,1,0)</f>
        <v/>
      </c>
      <c r="I1218">
        <f>INDEX(ChLaunch,MATCH(E1218,ChName,0))</f>
        <v/>
      </c>
      <c r="J1218">
        <f>INDEX(ChWeeksFull,MATCH(E1218,ChName,0))</f>
        <v/>
      </c>
      <c r="K1218">
        <f>INDEX(ChRamp,MATCH(E1218,ChName,0))</f>
        <v/>
      </c>
      <c r="L1218" s="45">
        <f>MIN(1,MAX(0,(A1218-I1218+1)*RampSpeed/J1218))</f>
        <v/>
      </c>
      <c r="M1218" s="45">
        <f>IF(A1218&lt;I1218,0,IF(K1218="S-curve",L1218*L1218*(3-2*L1218),L1218))</f>
        <v/>
      </c>
      <c r="N1218" s="45">
        <f>1+(INDEX(SeasonIdx,A1218)-1)*SeasonAmp</f>
        <v/>
      </c>
      <c r="O1218" s="45">
        <f>IFERROR(INDEX(PSPct,MATCH(E1218&amp;"|"&amp;G1218,PSKey,0)),0)</f>
        <v/>
      </c>
      <c r="P1218" s="46">
        <f>INDEX(ChDoorVel,MATCH(E1218,ChName,0))*CalibScalar*(1+VelocityUplift)</f>
        <v/>
      </c>
      <c r="Q1218" s="46" t="n">
        <v>0</v>
      </c>
      <c r="R1218" s="46">
        <f>P1218*O1218*M1218*N1218*H1218</f>
        <v/>
      </c>
      <c r="S1218" s="46">
        <f>R1218*INDEX(FmtCansPerCase,MATCH(F1218,FmtName,0))</f>
        <v/>
      </c>
      <c r="T1218" s="46">
        <f>S1218/INDEX(FmtCansPerPack,MATCH(F1218,FmtName,0))</f>
        <v/>
      </c>
      <c r="U1218" s="47">
        <f>INDEX(ChBaseCP,MATCH(E1218,ChName,0))*(1+INDEX(ProvMod,MATCH(G1218,ProvCode,0)))*(1+PriceIndex)</f>
        <v/>
      </c>
      <c r="V1218" s="47">
        <f>R1218*U1218*INDEX(FmtBlendedPriceIdx,MATCH(F1218,FmtName,0))</f>
        <v/>
      </c>
      <c r="W1218" s="47">
        <f>T1218*INDEX(ProvSRP,MATCH(G1218,ProvCode,0))*(1+PriceIndex)</f>
        <v/>
      </c>
      <c r="X1218" s="47">
        <f>IF(GrossBasis="Wholesale",V1218,W1218)</f>
        <v/>
      </c>
      <c r="Y1218" s="47">
        <f>R1218*INDEX(FmtBlendedCogs,MATCH(F1218,FmtName,0))</f>
        <v/>
      </c>
      <c r="Z1218" s="47">
        <f>X1218-Y1218</f>
        <v/>
      </c>
    </row>
    <row r="1219">
      <c r="A1219" t="n">
        <v>52</v>
      </c>
      <c r="B1219" s="44">
        <f>FiscalStart+(A1219-1)*7</f>
        <v/>
      </c>
      <c r="C1219">
        <f>TEXT(B1219,"mmm yyyy")</f>
        <v/>
      </c>
      <c r="D1219">
        <f>"Q"&amp;(INT((A1219-1)/13)+1)</f>
        <v/>
      </c>
      <c r="E1219" t="inlineStr">
        <is>
          <t>Fitness</t>
        </is>
      </c>
      <c r="F1219">
        <f>IFERROR(INDEX(ChFormat,MATCH(E1219,ChName,0)),"")</f>
        <v/>
      </c>
      <c r="G1219" t="inlineStr">
        <is>
          <t>SK</t>
        </is>
      </c>
      <c r="H1219">
        <f>IF(A1219&lt;=NWeeks,1,0)</f>
        <v/>
      </c>
      <c r="I1219">
        <f>INDEX(ChLaunch,MATCH(E1219,ChName,0))</f>
        <v/>
      </c>
      <c r="J1219">
        <f>INDEX(ChWeeksFull,MATCH(E1219,ChName,0))</f>
        <v/>
      </c>
      <c r="K1219">
        <f>INDEX(ChRamp,MATCH(E1219,ChName,0))</f>
        <v/>
      </c>
      <c r="L1219" s="45">
        <f>MIN(1,MAX(0,(A1219-I1219+1)*RampSpeed/J1219))</f>
        <v/>
      </c>
      <c r="M1219" s="45">
        <f>IF(A1219&lt;I1219,0,IF(K1219="S-curve",L1219*L1219*(3-2*L1219),L1219))</f>
        <v/>
      </c>
      <c r="N1219" s="45">
        <f>1+(INDEX(SeasonIdx,A1219)-1)*SeasonAmp</f>
        <v/>
      </c>
      <c r="O1219" s="45">
        <f>IFERROR(INDEX(PSPct,MATCH(E1219&amp;"|"&amp;G1219,PSKey,0)),0)</f>
        <v/>
      </c>
      <c r="P1219" s="46">
        <f>INDEX(ChDoorVel,MATCH(E1219,ChName,0))*CalibScalar*(1+VelocityUplift)</f>
        <v/>
      </c>
      <c r="Q1219" s="46" t="n">
        <v>0</v>
      </c>
      <c r="R1219" s="46">
        <f>P1219*O1219*M1219*N1219*H1219</f>
        <v/>
      </c>
      <c r="S1219" s="46">
        <f>R1219*INDEX(FmtCansPerCase,MATCH(F1219,FmtName,0))</f>
        <v/>
      </c>
      <c r="T1219" s="46">
        <f>S1219/INDEX(FmtCansPerPack,MATCH(F1219,FmtName,0))</f>
        <v/>
      </c>
      <c r="U1219" s="47">
        <f>INDEX(ChBaseCP,MATCH(E1219,ChName,0))*(1+INDEX(ProvMod,MATCH(G1219,ProvCode,0)))*(1+PriceIndex)</f>
        <v/>
      </c>
      <c r="V1219" s="47">
        <f>R1219*U1219*INDEX(FmtBlendedPriceIdx,MATCH(F1219,FmtName,0))</f>
        <v/>
      </c>
      <c r="W1219" s="47">
        <f>T1219*INDEX(ProvSRP,MATCH(G1219,ProvCode,0))*(1+PriceIndex)</f>
        <v/>
      </c>
      <c r="X1219" s="47">
        <f>IF(GrossBasis="Wholesale",V1219,W1219)</f>
        <v/>
      </c>
      <c r="Y1219" s="47">
        <f>R1219*INDEX(FmtBlendedCogs,MATCH(F1219,FmtName,0))</f>
        <v/>
      </c>
      <c r="Z1219" s="47">
        <f>X1219-Y1219</f>
        <v/>
      </c>
    </row>
    <row r="1220">
      <c r="A1220" t="n">
        <v>53</v>
      </c>
      <c r="B1220" s="44">
        <f>FiscalStart+(A1220-1)*7</f>
        <v/>
      </c>
      <c r="C1220">
        <f>TEXT(B1220,"mmm yyyy")</f>
        <v/>
      </c>
      <c r="D1220">
        <f>"Q"&amp;(INT((A1220-1)/13)+1)</f>
        <v/>
      </c>
      <c r="E1220" t="inlineStr">
        <is>
          <t>Fitness</t>
        </is>
      </c>
      <c r="F1220">
        <f>IFERROR(INDEX(ChFormat,MATCH(E1220,ChName,0)),"")</f>
        <v/>
      </c>
      <c r="G1220" t="inlineStr">
        <is>
          <t>SK</t>
        </is>
      </c>
      <c r="H1220">
        <f>IF(A1220&lt;=NWeeks,1,0)</f>
        <v/>
      </c>
      <c r="I1220">
        <f>INDEX(ChLaunch,MATCH(E1220,ChName,0))</f>
        <v/>
      </c>
      <c r="J1220">
        <f>INDEX(ChWeeksFull,MATCH(E1220,ChName,0))</f>
        <v/>
      </c>
      <c r="K1220">
        <f>INDEX(ChRamp,MATCH(E1220,ChName,0))</f>
        <v/>
      </c>
      <c r="L1220" s="45">
        <f>MIN(1,MAX(0,(A1220-I1220+1)*RampSpeed/J1220))</f>
        <v/>
      </c>
      <c r="M1220" s="45">
        <f>IF(A1220&lt;I1220,0,IF(K1220="S-curve",L1220*L1220*(3-2*L1220),L1220))</f>
        <v/>
      </c>
      <c r="N1220" s="45">
        <f>1+(INDEX(SeasonIdx,A1220)-1)*SeasonAmp</f>
        <v/>
      </c>
      <c r="O1220" s="45">
        <f>IFERROR(INDEX(PSPct,MATCH(E1220&amp;"|"&amp;G1220,PSKey,0)),0)</f>
        <v/>
      </c>
      <c r="P1220" s="46">
        <f>INDEX(ChDoorVel,MATCH(E1220,ChName,0))*CalibScalar*(1+VelocityUplift)</f>
        <v/>
      </c>
      <c r="Q1220" s="46" t="n">
        <v>0</v>
      </c>
      <c r="R1220" s="46">
        <f>P1220*O1220*M1220*N1220*H1220</f>
        <v/>
      </c>
      <c r="S1220" s="46">
        <f>R1220*INDEX(FmtCansPerCase,MATCH(F1220,FmtName,0))</f>
        <v/>
      </c>
      <c r="T1220" s="46">
        <f>S1220/INDEX(FmtCansPerPack,MATCH(F1220,FmtName,0))</f>
        <v/>
      </c>
      <c r="U1220" s="47">
        <f>INDEX(ChBaseCP,MATCH(E1220,ChName,0))*(1+INDEX(ProvMod,MATCH(G1220,ProvCode,0)))*(1+PriceIndex)</f>
        <v/>
      </c>
      <c r="V1220" s="47">
        <f>R1220*U1220*INDEX(FmtBlendedPriceIdx,MATCH(F1220,FmtName,0))</f>
        <v/>
      </c>
      <c r="W1220" s="47">
        <f>T1220*INDEX(ProvSRP,MATCH(G1220,ProvCode,0))*(1+PriceIndex)</f>
        <v/>
      </c>
      <c r="X1220" s="47">
        <f>IF(GrossBasis="Wholesale",V1220,W1220)</f>
        <v/>
      </c>
      <c r="Y1220" s="47">
        <f>R1220*INDEX(FmtBlendedCogs,MATCH(F1220,FmtName,0))</f>
        <v/>
      </c>
      <c r="Z1220" s="47">
        <f>X1220-Y1220</f>
        <v/>
      </c>
    </row>
    <row r="1221">
      <c r="A1221" t="n">
        <v>1</v>
      </c>
      <c r="B1221" s="44">
        <f>FiscalStart+(A1221-1)*7</f>
        <v/>
      </c>
      <c r="C1221">
        <f>TEXT(B1221,"mmm yyyy")</f>
        <v/>
      </c>
      <c r="D1221">
        <f>"Q"&amp;(INT((A1221-1)/13)+1)</f>
        <v/>
      </c>
      <c r="E1221" t="inlineStr">
        <is>
          <t>Fitness</t>
        </is>
      </c>
      <c r="F1221">
        <f>IFERROR(INDEX(ChFormat,MATCH(E1221,ChName,0)),"")</f>
        <v/>
      </c>
      <c r="G1221" t="inlineStr">
        <is>
          <t>MB</t>
        </is>
      </c>
      <c r="H1221">
        <f>IF(A1221&lt;=NWeeks,1,0)</f>
        <v/>
      </c>
      <c r="I1221">
        <f>INDEX(ChLaunch,MATCH(E1221,ChName,0))</f>
        <v/>
      </c>
      <c r="J1221">
        <f>INDEX(ChWeeksFull,MATCH(E1221,ChName,0))</f>
        <v/>
      </c>
      <c r="K1221">
        <f>INDEX(ChRamp,MATCH(E1221,ChName,0))</f>
        <v/>
      </c>
      <c r="L1221" s="45">
        <f>MIN(1,MAX(0,(A1221-I1221+1)*RampSpeed/J1221))</f>
        <v/>
      </c>
      <c r="M1221" s="45">
        <f>IF(A1221&lt;I1221,0,IF(K1221="S-curve",L1221*L1221*(3-2*L1221),L1221))</f>
        <v/>
      </c>
      <c r="N1221" s="45">
        <f>1+(INDEX(SeasonIdx,A1221)-1)*SeasonAmp</f>
        <v/>
      </c>
      <c r="O1221" s="45">
        <f>IFERROR(INDEX(PSPct,MATCH(E1221&amp;"|"&amp;G1221,PSKey,0)),0)</f>
        <v/>
      </c>
      <c r="P1221" s="46">
        <f>INDEX(ChDoorVel,MATCH(E1221,ChName,0))*CalibScalar*(1+VelocityUplift)</f>
        <v/>
      </c>
      <c r="Q1221" s="46" t="n">
        <v>0</v>
      </c>
      <c r="R1221" s="46">
        <f>P1221*O1221*M1221*N1221*H1221</f>
        <v/>
      </c>
      <c r="S1221" s="46">
        <f>R1221*INDEX(FmtCansPerCase,MATCH(F1221,FmtName,0))</f>
        <v/>
      </c>
      <c r="T1221" s="46">
        <f>S1221/INDEX(FmtCansPerPack,MATCH(F1221,FmtName,0))</f>
        <v/>
      </c>
      <c r="U1221" s="47">
        <f>INDEX(ChBaseCP,MATCH(E1221,ChName,0))*(1+INDEX(ProvMod,MATCH(G1221,ProvCode,0)))*(1+PriceIndex)</f>
        <v/>
      </c>
      <c r="V1221" s="47">
        <f>R1221*U1221*INDEX(FmtBlendedPriceIdx,MATCH(F1221,FmtName,0))</f>
        <v/>
      </c>
      <c r="W1221" s="47">
        <f>T1221*INDEX(ProvSRP,MATCH(G1221,ProvCode,0))*(1+PriceIndex)</f>
        <v/>
      </c>
      <c r="X1221" s="47">
        <f>IF(GrossBasis="Wholesale",V1221,W1221)</f>
        <v/>
      </c>
      <c r="Y1221" s="47">
        <f>R1221*INDEX(FmtBlendedCogs,MATCH(F1221,FmtName,0))</f>
        <v/>
      </c>
      <c r="Z1221" s="47">
        <f>X1221-Y1221</f>
        <v/>
      </c>
    </row>
    <row r="1222">
      <c r="A1222" t="n">
        <v>2</v>
      </c>
      <c r="B1222" s="44">
        <f>FiscalStart+(A1222-1)*7</f>
        <v/>
      </c>
      <c r="C1222">
        <f>TEXT(B1222,"mmm yyyy")</f>
        <v/>
      </c>
      <c r="D1222">
        <f>"Q"&amp;(INT((A1222-1)/13)+1)</f>
        <v/>
      </c>
      <c r="E1222" t="inlineStr">
        <is>
          <t>Fitness</t>
        </is>
      </c>
      <c r="F1222">
        <f>IFERROR(INDEX(ChFormat,MATCH(E1222,ChName,0)),"")</f>
        <v/>
      </c>
      <c r="G1222" t="inlineStr">
        <is>
          <t>MB</t>
        </is>
      </c>
      <c r="H1222">
        <f>IF(A1222&lt;=NWeeks,1,0)</f>
        <v/>
      </c>
      <c r="I1222">
        <f>INDEX(ChLaunch,MATCH(E1222,ChName,0))</f>
        <v/>
      </c>
      <c r="J1222">
        <f>INDEX(ChWeeksFull,MATCH(E1222,ChName,0))</f>
        <v/>
      </c>
      <c r="K1222">
        <f>INDEX(ChRamp,MATCH(E1222,ChName,0))</f>
        <v/>
      </c>
      <c r="L1222" s="45">
        <f>MIN(1,MAX(0,(A1222-I1222+1)*RampSpeed/J1222))</f>
        <v/>
      </c>
      <c r="M1222" s="45">
        <f>IF(A1222&lt;I1222,0,IF(K1222="S-curve",L1222*L1222*(3-2*L1222),L1222))</f>
        <v/>
      </c>
      <c r="N1222" s="45">
        <f>1+(INDEX(SeasonIdx,A1222)-1)*SeasonAmp</f>
        <v/>
      </c>
      <c r="O1222" s="45">
        <f>IFERROR(INDEX(PSPct,MATCH(E1222&amp;"|"&amp;G1222,PSKey,0)),0)</f>
        <v/>
      </c>
      <c r="P1222" s="46">
        <f>INDEX(ChDoorVel,MATCH(E1222,ChName,0))*CalibScalar*(1+VelocityUplift)</f>
        <v/>
      </c>
      <c r="Q1222" s="46" t="n">
        <v>0</v>
      </c>
      <c r="R1222" s="46">
        <f>P1222*O1222*M1222*N1222*H1222</f>
        <v/>
      </c>
      <c r="S1222" s="46">
        <f>R1222*INDEX(FmtCansPerCase,MATCH(F1222,FmtName,0))</f>
        <v/>
      </c>
      <c r="T1222" s="46">
        <f>S1222/INDEX(FmtCansPerPack,MATCH(F1222,FmtName,0))</f>
        <v/>
      </c>
      <c r="U1222" s="47">
        <f>INDEX(ChBaseCP,MATCH(E1222,ChName,0))*(1+INDEX(ProvMod,MATCH(G1222,ProvCode,0)))*(1+PriceIndex)</f>
        <v/>
      </c>
      <c r="V1222" s="47">
        <f>R1222*U1222*INDEX(FmtBlendedPriceIdx,MATCH(F1222,FmtName,0))</f>
        <v/>
      </c>
      <c r="W1222" s="47">
        <f>T1222*INDEX(ProvSRP,MATCH(G1222,ProvCode,0))*(1+PriceIndex)</f>
        <v/>
      </c>
      <c r="X1222" s="47">
        <f>IF(GrossBasis="Wholesale",V1222,W1222)</f>
        <v/>
      </c>
      <c r="Y1222" s="47">
        <f>R1222*INDEX(FmtBlendedCogs,MATCH(F1222,FmtName,0))</f>
        <v/>
      </c>
      <c r="Z1222" s="47">
        <f>X1222-Y1222</f>
        <v/>
      </c>
    </row>
    <row r="1223">
      <c r="A1223" t="n">
        <v>3</v>
      </c>
      <c r="B1223" s="44">
        <f>FiscalStart+(A1223-1)*7</f>
        <v/>
      </c>
      <c r="C1223">
        <f>TEXT(B1223,"mmm yyyy")</f>
        <v/>
      </c>
      <c r="D1223">
        <f>"Q"&amp;(INT((A1223-1)/13)+1)</f>
        <v/>
      </c>
      <c r="E1223" t="inlineStr">
        <is>
          <t>Fitness</t>
        </is>
      </c>
      <c r="F1223">
        <f>IFERROR(INDEX(ChFormat,MATCH(E1223,ChName,0)),"")</f>
        <v/>
      </c>
      <c r="G1223" t="inlineStr">
        <is>
          <t>MB</t>
        </is>
      </c>
      <c r="H1223">
        <f>IF(A1223&lt;=NWeeks,1,0)</f>
        <v/>
      </c>
      <c r="I1223">
        <f>INDEX(ChLaunch,MATCH(E1223,ChName,0))</f>
        <v/>
      </c>
      <c r="J1223">
        <f>INDEX(ChWeeksFull,MATCH(E1223,ChName,0))</f>
        <v/>
      </c>
      <c r="K1223">
        <f>INDEX(ChRamp,MATCH(E1223,ChName,0))</f>
        <v/>
      </c>
      <c r="L1223" s="45">
        <f>MIN(1,MAX(0,(A1223-I1223+1)*RampSpeed/J1223))</f>
        <v/>
      </c>
      <c r="M1223" s="45">
        <f>IF(A1223&lt;I1223,0,IF(K1223="S-curve",L1223*L1223*(3-2*L1223),L1223))</f>
        <v/>
      </c>
      <c r="N1223" s="45">
        <f>1+(INDEX(SeasonIdx,A1223)-1)*SeasonAmp</f>
        <v/>
      </c>
      <c r="O1223" s="45">
        <f>IFERROR(INDEX(PSPct,MATCH(E1223&amp;"|"&amp;G1223,PSKey,0)),0)</f>
        <v/>
      </c>
      <c r="P1223" s="46">
        <f>INDEX(ChDoorVel,MATCH(E1223,ChName,0))*CalibScalar*(1+VelocityUplift)</f>
        <v/>
      </c>
      <c r="Q1223" s="46" t="n">
        <v>0</v>
      </c>
      <c r="R1223" s="46">
        <f>P1223*O1223*M1223*N1223*H1223</f>
        <v/>
      </c>
      <c r="S1223" s="46">
        <f>R1223*INDEX(FmtCansPerCase,MATCH(F1223,FmtName,0))</f>
        <v/>
      </c>
      <c r="T1223" s="46">
        <f>S1223/INDEX(FmtCansPerPack,MATCH(F1223,FmtName,0))</f>
        <v/>
      </c>
      <c r="U1223" s="47">
        <f>INDEX(ChBaseCP,MATCH(E1223,ChName,0))*(1+INDEX(ProvMod,MATCH(G1223,ProvCode,0)))*(1+PriceIndex)</f>
        <v/>
      </c>
      <c r="V1223" s="47">
        <f>R1223*U1223*INDEX(FmtBlendedPriceIdx,MATCH(F1223,FmtName,0))</f>
        <v/>
      </c>
      <c r="W1223" s="47">
        <f>T1223*INDEX(ProvSRP,MATCH(G1223,ProvCode,0))*(1+PriceIndex)</f>
        <v/>
      </c>
      <c r="X1223" s="47">
        <f>IF(GrossBasis="Wholesale",V1223,W1223)</f>
        <v/>
      </c>
      <c r="Y1223" s="47">
        <f>R1223*INDEX(FmtBlendedCogs,MATCH(F1223,FmtName,0))</f>
        <v/>
      </c>
      <c r="Z1223" s="47">
        <f>X1223-Y1223</f>
        <v/>
      </c>
    </row>
    <row r="1224">
      <c r="A1224" t="n">
        <v>4</v>
      </c>
      <c r="B1224" s="44">
        <f>FiscalStart+(A1224-1)*7</f>
        <v/>
      </c>
      <c r="C1224">
        <f>TEXT(B1224,"mmm yyyy")</f>
        <v/>
      </c>
      <c r="D1224">
        <f>"Q"&amp;(INT((A1224-1)/13)+1)</f>
        <v/>
      </c>
      <c r="E1224" t="inlineStr">
        <is>
          <t>Fitness</t>
        </is>
      </c>
      <c r="F1224">
        <f>IFERROR(INDEX(ChFormat,MATCH(E1224,ChName,0)),"")</f>
        <v/>
      </c>
      <c r="G1224" t="inlineStr">
        <is>
          <t>MB</t>
        </is>
      </c>
      <c r="H1224">
        <f>IF(A1224&lt;=NWeeks,1,0)</f>
        <v/>
      </c>
      <c r="I1224">
        <f>INDEX(ChLaunch,MATCH(E1224,ChName,0))</f>
        <v/>
      </c>
      <c r="J1224">
        <f>INDEX(ChWeeksFull,MATCH(E1224,ChName,0))</f>
        <v/>
      </c>
      <c r="K1224">
        <f>INDEX(ChRamp,MATCH(E1224,ChName,0))</f>
        <v/>
      </c>
      <c r="L1224" s="45">
        <f>MIN(1,MAX(0,(A1224-I1224+1)*RampSpeed/J1224))</f>
        <v/>
      </c>
      <c r="M1224" s="45">
        <f>IF(A1224&lt;I1224,0,IF(K1224="S-curve",L1224*L1224*(3-2*L1224),L1224))</f>
        <v/>
      </c>
      <c r="N1224" s="45">
        <f>1+(INDEX(SeasonIdx,A1224)-1)*SeasonAmp</f>
        <v/>
      </c>
      <c r="O1224" s="45">
        <f>IFERROR(INDEX(PSPct,MATCH(E1224&amp;"|"&amp;G1224,PSKey,0)),0)</f>
        <v/>
      </c>
      <c r="P1224" s="46">
        <f>INDEX(ChDoorVel,MATCH(E1224,ChName,0))*CalibScalar*(1+VelocityUplift)</f>
        <v/>
      </c>
      <c r="Q1224" s="46" t="n">
        <v>0</v>
      </c>
      <c r="R1224" s="46">
        <f>P1224*O1224*M1224*N1224*H1224</f>
        <v/>
      </c>
      <c r="S1224" s="46">
        <f>R1224*INDEX(FmtCansPerCase,MATCH(F1224,FmtName,0))</f>
        <v/>
      </c>
      <c r="T1224" s="46">
        <f>S1224/INDEX(FmtCansPerPack,MATCH(F1224,FmtName,0))</f>
        <v/>
      </c>
      <c r="U1224" s="47">
        <f>INDEX(ChBaseCP,MATCH(E1224,ChName,0))*(1+INDEX(ProvMod,MATCH(G1224,ProvCode,0)))*(1+PriceIndex)</f>
        <v/>
      </c>
      <c r="V1224" s="47">
        <f>R1224*U1224*INDEX(FmtBlendedPriceIdx,MATCH(F1224,FmtName,0))</f>
        <v/>
      </c>
      <c r="W1224" s="47">
        <f>T1224*INDEX(ProvSRP,MATCH(G1224,ProvCode,0))*(1+PriceIndex)</f>
        <v/>
      </c>
      <c r="X1224" s="47">
        <f>IF(GrossBasis="Wholesale",V1224,W1224)</f>
        <v/>
      </c>
      <c r="Y1224" s="47">
        <f>R1224*INDEX(FmtBlendedCogs,MATCH(F1224,FmtName,0))</f>
        <v/>
      </c>
      <c r="Z1224" s="47">
        <f>X1224-Y1224</f>
        <v/>
      </c>
    </row>
    <row r="1225">
      <c r="A1225" t="n">
        <v>5</v>
      </c>
      <c r="B1225" s="44">
        <f>FiscalStart+(A1225-1)*7</f>
        <v/>
      </c>
      <c r="C1225">
        <f>TEXT(B1225,"mmm yyyy")</f>
        <v/>
      </c>
      <c r="D1225">
        <f>"Q"&amp;(INT((A1225-1)/13)+1)</f>
        <v/>
      </c>
      <c r="E1225" t="inlineStr">
        <is>
          <t>Fitness</t>
        </is>
      </c>
      <c r="F1225">
        <f>IFERROR(INDEX(ChFormat,MATCH(E1225,ChName,0)),"")</f>
        <v/>
      </c>
      <c r="G1225" t="inlineStr">
        <is>
          <t>MB</t>
        </is>
      </c>
      <c r="H1225">
        <f>IF(A1225&lt;=NWeeks,1,0)</f>
        <v/>
      </c>
      <c r="I1225">
        <f>INDEX(ChLaunch,MATCH(E1225,ChName,0))</f>
        <v/>
      </c>
      <c r="J1225">
        <f>INDEX(ChWeeksFull,MATCH(E1225,ChName,0))</f>
        <v/>
      </c>
      <c r="K1225">
        <f>INDEX(ChRamp,MATCH(E1225,ChName,0))</f>
        <v/>
      </c>
      <c r="L1225" s="45">
        <f>MIN(1,MAX(0,(A1225-I1225+1)*RampSpeed/J1225))</f>
        <v/>
      </c>
      <c r="M1225" s="45">
        <f>IF(A1225&lt;I1225,0,IF(K1225="S-curve",L1225*L1225*(3-2*L1225),L1225))</f>
        <v/>
      </c>
      <c r="N1225" s="45">
        <f>1+(INDEX(SeasonIdx,A1225)-1)*SeasonAmp</f>
        <v/>
      </c>
      <c r="O1225" s="45">
        <f>IFERROR(INDEX(PSPct,MATCH(E1225&amp;"|"&amp;G1225,PSKey,0)),0)</f>
        <v/>
      </c>
      <c r="P1225" s="46">
        <f>INDEX(ChDoorVel,MATCH(E1225,ChName,0))*CalibScalar*(1+VelocityUplift)</f>
        <v/>
      </c>
      <c r="Q1225" s="46" t="n">
        <v>0</v>
      </c>
      <c r="R1225" s="46">
        <f>P1225*O1225*M1225*N1225*H1225</f>
        <v/>
      </c>
      <c r="S1225" s="46">
        <f>R1225*INDEX(FmtCansPerCase,MATCH(F1225,FmtName,0))</f>
        <v/>
      </c>
      <c r="T1225" s="46">
        <f>S1225/INDEX(FmtCansPerPack,MATCH(F1225,FmtName,0))</f>
        <v/>
      </c>
      <c r="U1225" s="47">
        <f>INDEX(ChBaseCP,MATCH(E1225,ChName,0))*(1+INDEX(ProvMod,MATCH(G1225,ProvCode,0)))*(1+PriceIndex)</f>
        <v/>
      </c>
      <c r="V1225" s="47">
        <f>R1225*U1225*INDEX(FmtBlendedPriceIdx,MATCH(F1225,FmtName,0))</f>
        <v/>
      </c>
      <c r="W1225" s="47">
        <f>T1225*INDEX(ProvSRP,MATCH(G1225,ProvCode,0))*(1+PriceIndex)</f>
        <v/>
      </c>
      <c r="X1225" s="47">
        <f>IF(GrossBasis="Wholesale",V1225,W1225)</f>
        <v/>
      </c>
      <c r="Y1225" s="47">
        <f>R1225*INDEX(FmtBlendedCogs,MATCH(F1225,FmtName,0))</f>
        <v/>
      </c>
      <c r="Z1225" s="47">
        <f>X1225-Y1225</f>
        <v/>
      </c>
    </row>
    <row r="1226">
      <c r="A1226" t="n">
        <v>6</v>
      </c>
      <c r="B1226" s="44">
        <f>FiscalStart+(A1226-1)*7</f>
        <v/>
      </c>
      <c r="C1226">
        <f>TEXT(B1226,"mmm yyyy")</f>
        <v/>
      </c>
      <c r="D1226">
        <f>"Q"&amp;(INT((A1226-1)/13)+1)</f>
        <v/>
      </c>
      <c r="E1226" t="inlineStr">
        <is>
          <t>Fitness</t>
        </is>
      </c>
      <c r="F1226">
        <f>IFERROR(INDEX(ChFormat,MATCH(E1226,ChName,0)),"")</f>
        <v/>
      </c>
      <c r="G1226" t="inlineStr">
        <is>
          <t>MB</t>
        </is>
      </c>
      <c r="H1226">
        <f>IF(A1226&lt;=NWeeks,1,0)</f>
        <v/>
      </c>
      <c r="I1226">
        <f>INDEX(ChLaunch,MATCH(E1226,ChName,0))</f>
        <v/>
      </c>
      <c r="J1226">
        <f>INDEX(ChWeeksFull,MATCH(E1226,ChName,0))</f>
        <v/>
      </c>
      <c r="K1226">
        <f>INDEX(ChRamp,MATCH(E1226,ChName,0))</f>
        <v/>
      </c>
      <c r="L1226" s="45">
        <f>MIN(1,MAX(0,(A1226-I1226+1)*RampSpeed/J1226))</f>
        <v/>
      </c>
      <c r="M1226" s="45">
        <f>IF(A1226&lt;I1226,0,IF(K1226="S-curve",L1226*L1226*(3-2*L1226),L1226))</f>
        <v/>
      </c>
      <c r="N1226" s="45">
        <f>1+(INDEX(SeasonIdx,A1226)-1)*SeasonAmp</f>
        <v/>
      </c>
      <c r="O1226" s="45">
        <f>IFERROR(INDEX(PSPct,MATCH(E1226&amp;"|"&amp;G1226,PSKey,0)),0)</f>
        <v/>
      </c>
      <c r="P1226" s="46">
        <f>INDEX(ChDoorVel,MATCH(E1226,ChName,0))*CalibScalar*(1+VelocityUplift)</f>
        <v/>
      </c>
      <c r="Q1226" s="46" t="n">
        <v>0</v>
      </c>
      <c r="R1226" s="46">
        <f>P1226*O1226*M1226*N1226*H1226</f>
        <v/>
      </c>
      <c r="S1226" s="46">
        <f>R1226*INDEX(FmtCansPerCase,MATCH(F1226,FmtName,0))</f>
        <v/>
      </c>
      <c r="T1226" s="46">
        <f>S1226/INDEX(FmtCansPerPack,MATCH(F1226,FmtName,0))</f>
        <v/>
      </c>
      <c r="U1226" s="47">
        <f>INDEX(ChBaseCP,MATCH(E1226,ChName,0))*(1+INDEX(ProvMod,MATCH(G1226,ProvCode,0)))*(1+PriceIndex)</f>
        <v/>
      </c>
      <c r="V1226" s="47">
        <f>R1226*U1226*INDEX(FmtBlendedPriceIdx,MATCH(F1226,FmtName,0))</f>
        <v/>
      </c>
      <c r="W1226" s="47">
        <f>T1226*INDEX(ProvSRP,MATCH(G1226,ProvCode,0))*(1+PriceIndex)</f>
        <v/>
      </c>
      <c r="X1226" s="47">
        <f>IF(GrossBasis="Wholesale",V1226,W1226)</f>
        <v/>
      </c>
      <c r="Y1226" s="47">
        <f>R1226*INDEX(FmtBlendedCogs,MATCH(F1226,FmtName,0))</f>
        <v/>
      </c>
      <c r="Z1226" s="47">
        <f>X1226-Y1226</f>
        <v/>
      </c>
    </row>
    <row r="1227">
      <c r="A1227" t="n">
        <v>7</v>
      </c>
      <c r="B1227" s="44">
        <f>FiscalStart+(A1227-1)*7</f>
        <v/>
      </c>
      <c r="C1227">
        <f>TEXT(B1227,"mmm yyyy")</f>
        <v/>
      </c>
      <c r="D1227">
        <f>"Q"&amp;(INT((A1227-1)/13)+1)</f>
        <v/>
      </c>
      <c r="E1227" t="inlineStr">
        <is>
          <t>Fitness</t>
        </is>
      </c>
      <c r="F1227">
        <f>IFERROR(INDEX(ChFormat,MATCH(E1227,ChName,0)),"")</f>
        <v/>
      </c>
      <c r="G1227" t="inlineStr">
        <is>
          <t>MB</t>
        </is>
      </c>
      <c r="H1227">
        <f>IF(A1227&lt;=NWeeks,1,0)</f>
        <v/>
      </c>
      <c r="I1227">
        <f>INDEX(ChLaunch,MATCH(E1227,ChName,0))</f>
        <v/>
      </c>
      <c r="J1227">
        <f>INDEX(ChWeeksFull,MATCH(E1227,ChName,0))</f>
        <v/>
      </c>
      <c r="K1227">
        <f>INDEX(ChRamp,MATCH(E1227,ChName,0))</f>
        <v/>
      </c>
      <c r="L1227" s="45">
        <f>MIN(1,MAX(0,(A1227-I1227+1)*RampSpeed/J1227))</f>
        <v/>
      </c>
      <c r="M1227" s="45">
        <f>IF(A1227&lt;I1227,0,IF(K1227="S-curve",L1227*L1227*(3-2*L1227),L1227))</f>
        <v/>
      </c>
      <c r="N1227" s="45">
        <f>1+(INDEX(SeasonIdx,A1227)-1)*SeasonAmp</f>
        <v/>
      </c>
      <c r="O1227" s="45">
        <f>IFERROR(INDEX(PSPct,MATCH(E1227&amp;"|"&amp;G1227,PSKey,0)),0)</f>
        <v/>
      </c>
      <c r="P1227" s="46">
        <f>INDEX(ChDoorVel,MATCH(E1227,ChName,0))*CalibScalar*(1+VelocityUplift)</f>
        <v/>
      </c>
      <c r="Q1227" s="46" t="n">
        <v>0</v>
      </c>
      <c r="R1227" s="46">
        <f>P1227*O1227*M1227*N1227*H1227</f>
        <v/>
      </c>
      <c r="S1227" s="46">
        <f>R1227*INDEX(FmtCansPerCase,MATCH(F1227,FmtName,0))</f>
        <v/>
      </c>
      <c r="T1227" s="46">
        <f>S1227/INDEX(FmtCansPerPack,MATCH(F1227,FmtName,0))</f>
        <v/>
      </c>
      <c r="U1227" s="47">
        <f>INDEX(ChBaseCP,MATCH(E1227,ChName,0))*(1+INDEX(ProvMod,MATCH(G1227,ProvCode,0)))*(1+PriceIndex)</f>
        <v/>
      </c>
      <c r="V1227" s="47">
        <f>R1227*U1227*INDEX(FmtBlendedPriceIdx,MATCH(F1227,FmtName,0))</f>
        <v/>
      </c>
      <c r="W1227" s="47">
        <f>T1227*INDEX(ProvSRP,MATCH(G1227,ProvCode,0))*(1+PriceIndex)</f>
        <v/>
      </c>
      <c r="X1227" s="47">
        <f>IF(GrossBasis="Wholesale",V1227,W1227)</f>
        <v/>
      </c>
      <c r="Y1227" s="47">
        <f>R1227*INDEX(FmtBlendedCogs,MATCH(F1227,FmtName,0))</f>
        <v/>
      </c>
      <c r="Z1227" s="47">
        <f>X1227-Y1227</f>
        <v/>
      </c>
    </row>
    <row r="1228">
      <c r="A1228" t="n">
        <v>8</v>
      </c>
      <c r="B1228" s="44">
        <f>FiscalStart+(A1228-1)*7</f>
        <v/>
      </c>
      <c r="C1228">
        <f>TEXT(B1228,"mmm yyyy")</f>
        <v/>
      </c>
      <c r="D1228">
        <f>"Q"&amp;(INT((A1228-1)/13)+1)</f>
        <v/>
      </c>
      <c r="E1228" t="inlineStr">
        <is>
          <t>Fitness</t>
        </is>
      </c>
      <c r="F1228">
        <f>IFERROR(INDEX(ChFormat,MATCH(E1228,ChName,0)),"")</f>
        <v/>
      </c>
      <c r="G1228" t="inlineStr">
        <is>
          <t>MB</t>
        </is>
      </c>
      <c r="H1228">
        <f>IF(A1228&lt;=NWeeks,1,0)</f>
        <v/>
      </c>
      <c r="I1228">
        <f>INDEX(ChLaunch,MATCH(E1228,ChName,0))</f>
        <v/>
      </c>
      <c r="J1228">
        <f>INDEX(ChWeeksFull,MATCH(E1228,ChName,0))</f>
        <v/>
      </c>
      <c r="K1228">
        <f>INDEX(ChRamp,MATCH(E1228,ChName,0))</f>
        <v/>
      </c>
      <c r="L1228" s="45">
        <f>MIN(1,MAX(0,(A1228-I1228+1)*RampSpeed/J1228))</f>
        <v/>
      </c>
      <c r="M1228" s="45">
        <f>IF(A1228&lt;I1228,0,IF(K1228="S-curve",L1228*L1228*(3-2*L1228),L1228))</f>
        <v/>
      </c>
      <c r="N1228" s="45">
        <f>1+(INDEX(SeasonIdx,A1228)-1)*SeasonAmp</f>
        <v/>
      </c>
      <c r="O1228" s="45">
        <f>IFERROR(INDEX(PSPct,MATCH(E1228&amp;"|"&amp;G1228,PSKey,0)),0)</f>
        <v/>
      </c>
      <c r="P1228" s="46">
        <f>INDEX(ChDoorVel,MATCH(E1228,ChName,0))*CalibScalar*(1+VelocityUplift)</f>
        <v/>
      </c>
      <c r="Q1228" s="46" t="n">
        <v>0</v>
      </c>
      <c r="R1228" s="46">
        <f>P1228*O1228*M1228*N1228*H1228</f>
        <v/>
      </c>
      <c r="S1228" s="46">
        <f>R1228*INDEX(FmtCansPerCase,MATCH(F1228,FmtName,0))</f>
        <v/>
      </c>
      <c r="T1228" s="46">
        <f>S1228/INDEX(FmtCansPerPack,MATCH(F1228,FmtName,0))</f>
        <v/>
      </c>
      <c r="U1228" s="47">
        <f>INDEX(ChBaseCP,MATCH(E1228,ChName,0))*(1+INDEX(ProvMod,MATCH(G1228,ProvCode,0)))*(1+PriceIndex)</f>
        <v/>
      </c>
      <c r="V1228" s="47">
        <f>R1228*U1228*INDEX(FmtBlendedPriceIdx,MATCH(F1228,FmtName,0))</f>
        <v/>
      </c>
      <c r="W1228" s="47">
        <f>T1228*INDEX(ProvSRP,MATCH(G1228,ProvCode,0))*(1+PriceIndex)</f>
        <v/>
      </c>
      <c r="X1228" s="47">
        <f>IF(GrossBasis="Wholesale",V1228,W1228)</f>
        <v/>
      </c>
      <c r="Y1228" s="47">
        <f>R1228*INDEX(FmtBlendedCogs,MATCH(F1228,FmtName,0))</f>
        <v/>
      </c>
      <c r="Z1228" s="47">
        <f>X1228-Y1228</f>
        <v/>
      </c>
    </row>
    <row r="1229">
      <c r="A1229" t="n">
        <v>9</v>
      </c>
      <c r="B1229" s="44">
        <f>FiscalStart+(A1229-1)*7</f>
        <v/>
      </c>
      <c r="C1229">
        <f>TEXT(B1229,"mmm yyyy")</f>
        <v/>
      </c>
      <c r="D1229">
        <f>"Q"&amp;(INT((A1229-1)/13)+1)</f>
        <v/>
      </c>
      <c r="E1229" t="inlineStr">
        <is>
          <t>Fitness</t>
        </is>
      </c>
      <c r="F1229">
        <f>IFERROR(INDEX(ChFormat,MATCH(E1229,ChName,0)),"")</f>
        <v/>
      </c>
      <c r="G1229" t="inlineStr">
        <is>
          <t>MB</t>
        </is>
      </c>
      <c r="H1229">
        <f>IF(A1229&lt;=NWeeks,1,0)</f>
        <v/>
      </c>
      <c r="I1229">
        <f>INDEX(ChLaunch,MATCH(E1229,ChName,0))</f>
        <v/>
      </c>
      <c r="J1229">
        <f>INDEX(ChWeeksFull,MATCH(E1229,ChName,0))</f>
        <v/>
      </c>
      <c r="K1229">
        <f>INDEX(ChRamp,MATCH(E1229,ChName,0))</f>
        <v/>
      </c>
      <c r="L1229" s="45">
        <f>MIN(1,MAX(0,(A1229-I1229+1)*RampSpeed/J1229))</f>
        <v/>
      </c>
      <c r="M1229" s="45">
        <f>IF(A1229&lt;I1229,0,IF(K1229="S-curve",L1229*L1229*(3-2*L1229),L1229))</f>
        <v/>
      </c>
      <c r="N1229" s="45">
        <f>1+(INDEX(SeasonIdx,A1229)-1)*SeasonAmp</f>
        <v/>
      </c>
      <c r="O1229" s="45">
        <f>IFERROR(INDEX(PSPct,MATCH(E1229&amp;"|"&amp;G1229,PSKey,0)),0)</f>
        <v/>
      </c>
      <c r="P1229" s="46">
        <f>INDEX(ChDoorVel,MATCH(E1229,ChName,0))*CalibScalar*(1+VelocityUplift)</f>
        <v/>
      </c>
      <c r="Q1229" s="46" t="n">
        <v>0</v>
      </c>
      <c r="R1229" s="46">
        <f>P1229*O1229*M1229*N1229*H1229</f>
        <v/>
      </c>
      <c r="S1229" s="46">
        <f>R1229*INDEX(FmtCansPerCase,MATCH(F1229,FmtName,0))</f>
        <v/>
      </c>
      <c r="T1229" s="46">
        <f>S1229/INDEX(FmtCansPerPack,MATCH(F1229,FmtName,0))</f>
        <v/>
      </c>
      <c r="U1229" s="47">
        <f>INDEX(ChBaseCP,MATCH(E1229,ChName,0))*(1+INDEX(ProvMod,MATCH(G1229,ProvCode,0)))*(1+PriceIndex)</f>
        <v/>
      </c>
      <c r="V1229" s="47">
        <f>R1229*U1229*INDEX(FmtBlendedPriceIdx,MATCH(F1229,FmtName,0))</f>
        <v/>
      </c>
      <c r="W1229" s="47">
        <f>T1229*INDEX(ProvSRP,MATCH(G1229,ProvCode,0))*(1+PriceIndex)</f>
        <v/>
      </c>
      <c r="X1229" s="47">
        <f>IF(GrossBasis="Wholesale",V1229,W1229)</f>
        <v/>
      </c>
      <c r="Y1229" s="47">
        <f>R1229*INDEX(FmtBlendedCogs,MATCH(F1229,FmtName,0))</f>
        <v/>
      </c>
      <c r="Z1229" s="47">
        <f>X1229-Y1229</f>
        <v/>
      </c>
    </row>
    <row r="1230">
      <c r="A1230" t="n">
        <v>10</v>
      </c>
      <c r="B1230" s="44">
        <f>FiscalStart+(A1230-1)*7</f>
        <v/>
      </c>
      <c r="C1230">
        <f>TEXT(B1230,"mmm yyyy")</f>
        <v/>
      </c>
      <c r="D1230">
        <f>"Q"&amp;(INT((A1230-1)/13)+1)</f>
        <v/>
      </c>
      <c r="E1230" t="inlineStr">
        <is>
          <t>Fitness</t>
        </is>
      </c>
      <c r="F1230">
        <f>IFERROR(INDEX(ChFormat,MATCH(E1230,ChName,0)),"")</f>
        <v/>
      </c>
      <c r="G1230" t="inlineStr">
        <is>
          <t>MB</t>
        </is>
      </c>
      <c r="H1230">
        <f>IF(A1230&lt;=NWeeks,1,0)</f>
        <v/>
      </c>
      <c r="I1230">
        <f>INDEX(ChLaunch,MATCH(E1230,ChName,0))</f>
        <v/>
      </c>
      <c r="J1230">
        <f>INDEX(ChWeeksFull,MATCH(E1230,ChName,0))</f>
        <v/>
      </c>
      <c r="K1230">
        <f>INDEX(ChRamp,MATCH(E1230,ChName,0))</f>
        <v/>
      </c>
      <c r="L1230" s="45">
        <f>MIN(1,MAX(0,(A1230-I1230+1)*RampSpeed/J1230))</f>
        <v/>
      </c>
      <c r="M1230" s="45">
        <f>IF(A1230&lt;I1230,0,IF(K1230="S-curve",L1230*L1230*(3-2*L1230),L1230))</f>
        <v/>
      </c>
      <c r="N1230" s="45">
        <f>1+(INDEX(SeasonIdx,A1230)-1)*SeasonAmp</f>
        <v/>
      </c>
      <c r="O1230" s="45">
        <f>IFERROR(INDEX(PSPct,MATCH(E1230&amp;"|"&amp;G1230,PSKey,0)),0)</f>
        <v/>
      </c>
      <c r="P1230" s="46">
        <f>INDEX(ChDoorVel,MATCH(E1230,ChName,0))*CalibScalar*(1+VelocityUplift)</f>
        <v/>
      </c>
      <c r="Q1230" s="46" t="n">
        <v>0</v>
      </c>
      <c r="R1230" s="46">
        <f>P1230*O1230*M1230*N1230*H1230</f>
        <v/>
      </c>
      <c r="S1230" s="46">
        <f>R1230*INDEX(FmtCansPerCase,MATCH(F1230,FmtName,0))</f>
        <v/>
      </c>
      <c r="T1230" s="46">
        <f>S1230/INDEX(FmtCansPerPack,MATCH(F1230,FmtName,0))</f>
        <v/>
      </c>
      <c r="U1230" s="47">
        <f>INDEX(ChBaseCP,MATCH(E1230,ChName,0))*(1+INDEX(ProvMod,MATCH(G1230,ProvCode,0)))*(1+PriceIndex)</f>
        <v/>
      </c>
      <c r="V1230" s="47">
        <f>R1230*U1230*INDEX(FmtBlendedPriceIdx,MATCH(F1230,FmtName,0))</f>
        <v/>
      </c>
      <c r="W1230" s="47">
        <f>T1230*INDEX(ProvSRP,MATCH(G1230,ProvCode,0))*(1+PriceIndex)</f>
        <v/>
      </c>
      <c r="X1230" s="47">
        <f>IF(GrossBasis="Wholesale",V1230,W1230)</f>
        <v/>
      </c>
      <c r="Y1230" s="47">
        <f>R1230*INDEX(FmtBlendedCogs,MATCH(F1230,FmtName,0))</f>
        <v/>
      </c>
      <c r="Z1230" s="47">
        <f>X1230-Y1230</f>
        <v/>
      </c>
    </row>
    <row r="1231">
      <c r="A1231" t="n">
        <v>11</v>
      </c>
      <c r="B1231" s="44">
        <f>FiscalStart+(A1231-1)*7</f>
        <v/>
      </c>
      <c r="C1231">
        <f>TEXT(B1231,"mmm yyyy")</f>
        <v/>
      </c>
      <c r="D1231">
        <f>"Q"&amp;(INT((A1231-1)/13)+1)</f>
        <v/>
      </c>
      <c r="E1231" t="inlineStr">
        <is>
          <t>Fitness</t>
        </is>
      </c>
      <c r="F1231">
        <f>IFERROR(INDEX(ChFormat,MATCH(E1231,ChName,0)),"")</f>
        <v/>
      </c>
      <c r="G1231" t="inlineStr">
        <is>
          <t>MB</t>
        </is>
      </c>
      <c r="H1231">
        <f>IF(A1231&lt;=NWeeks,1,0)</f>
        <v/>
      </c>
      <c r="I1231">
        <f>INDEX(ChLaunch,MATCH(E1231,ChName,0))</f>
        <v/>
      </c>
      <c r="J1231">
        <f>INDEX(ChWeeksFull,MATCH(E1231,ChName,0))</f>
        <v/>
      </c>
      <c r="K1231">
        <f>INDEX(ChRamp,MATCH(E1231,ChName,0))</f>
        <v/>
      </c>
      <c r="L1231" s="45">
        <f>MIN(1,MAX(0,(A1231-I1231+1)*RampSpeed/J1231))</f>
        <v/>
      </c>
      <c r="M1231" s="45">
        <f>IF(A1231&lt;I1231,0,IF(K1231="S-curve",L1231*L1231*(3-2*L1231),L1231))</f>
        <v/>
      </c>
      <c r="N1231" s="45">
        <f>1+(INDEX(SeasonIdx,A1231)-1)*SeasonAmp</f>
        <v/>
      </c>
      <c r="O1231" s="45">
        <f>IFERROR(INDEX(PSPct,MATCH(E1231&amp;"|"&amp;G1231,PSKey,0)),0)</f>
        <v/>
      </c>
      <c r="P1231" s="46">
        <f>INDEX(ChDoorVel,MATCH(E1231,ChName,0))*CalibScalar*(1+VelocityUplift)</f>
        <v/>
      </c>
      <c r="Q1231" s="46" t="n">
        <v>0</v>
      </c>
      <c r="R1231" s="46">
        <f>P1231*O1231*M1231*N1231*H1231</f>
        <v/>
      </c>
      <c r="S1231" s="46">
        <f>R1231*INDEX(FmtCansPerCase,MATCH(F1231,FmtName,0))</f>
        <v/>
      </c>
      <c r="T1231" s="46">
        <f>S1231/INDEX(FmtCansPerPack,MATCH(F1231,FmtName,0))</f>
        <v/>
      </c>
      <c r="U1231" s="47">
        <f>INDEX(ChBaseCP,MATCH(E1231,ChName,0))*(1+INDEX(ProvMod,MATCH(G1231,ProvCode,0)))*(1+PriceIndex)</f>
        <v/>
      </c>
      <c r="V1231" s="47">
        <f>R1231*U1231*INDEX(FmtBlendedPriceIdx,MATCH(F1231,FmtName,0))</f>
        <v/>
      </c>
      <c r="W1231" s="47">
        <f>T1231*INDEX(ProvSRP,MATCH(G1231,ProvCode,0))*(1+PriceIndex)</f>
        <v/>
      </c>
      <c r="X1231" s="47">
        <f>IF(GrossBasis="Wholesale",V1231,W1231)</f>
        <v/>
      </c>
      <c r="Y1231" s="47">
        <f>R1231*INDEX(FmtBlendedCogs,MATCH(F1231,FmtName,0))</f>
        <v/>
      </c>
      <c r="Z1231" s="47">
        <f>X1231-Y1231</f>
        <v/>
      </c>
    </row>
    <row r="1232">
      <c r="A1232" t="n">
        <v>12</v>
      </c>
      <c r="B1232" s="44">
        <f>FiscalStart+(A1232-1)*7</f>
        <v/>
      </c>
      <c r="C1232">
        <f>TEXT(B1232,"mmm yyyy")</f>
        <v/>
      </c>
      <c r="D1232">
        <f>"Q"&amp;(INT((A1232-1)/13)+1)</f>
        <v/>
      </c>
      <c r="E1232" t="inlineStr">
        <is>
          <t>Fitness</t>
        </is>
      </c>
      <c r="F1232">
        <f>IFERROR(INDEX(ChFormat,MATCH(E1232,ChName,0)),"")</f>
        <v/>
      </c>
      <c r="G1232" t="inlineStr">
        <is>
          <t>MB</t>
        </is>
      </c>
      <c r="H1232">
        <f>IF(A1232&lt;=NWeeks,1,0)</f>
        <v/>
      </c>
      <c r="I1232">
        <f>INDEX(ChLaunch,MATCH(E1232,ChName,0))</f>
        <v/>
      </c>
      <c r="J1232">
        <f>INDEX(ChWeeksFull,MATCH(E1232,ChName,0))</f>
        <v/>
      </c>
      <c r="K1232">
        <f>INDEX(ChRamp,MATCH(E1232,ChName,0))</f>
        <v/>
      </c>
      <c r="L1232" s="45">
        <f>MIN(1,MAX(0,(A1232-I1232+1)*RampSpeed/J1232))</f>
        <v/>
      </c>
      <c r="M1232" s="45">
        <f>IF(A1232&lt;I1232,0,IF(K1232="S-curve",L1232*L1232*(3-2*L1232),L1232))</f>
        <v/>
      </c>
      <c r="N1232" s="45">
        <f>1+(INDEX(SeasonIdx,A1232)-1)*SeasonAmp</f>
        <v/>
      </c>
      <c r="O1232" s="45">
        <f>IFERROR(INDEX(PSPct,MATCH(E1232&amp;"|"&amp;G1232,PSKey,0)),0)</f>
        <v/>
      </c>
      <c r="P1232" s="46">
        <f>INDEX(ChDoorVel,MATCH(E1232,ChName,0))*CalibScalar*(1+VelocityUplift)</f>
        <v/>
      </c>
      <c r="Q1232" s="46" t="n">
        <v>0</v>
      </c>
      <c r="R1232" s="46">
        <f>P1232*O1232*M1232*N1232*H1232</f>
        <v/>
      </c>
      <c r="S1232" s="46">
        <f>R1232*INDEX(FmtCansPerCase,MATCH(F1232,FmtName,0))</f>
        <v/>
      </c>
      <c r="T1232" s="46">
        <f>S1232/INDEX(FmtCansPerPack,MATCH(F1232,FmtName,0))</f>
        <v/>
      </c>
      <c r="U1232" s="47">
        <f>INDEX(ChBaseCP,MATCH(E1232,ChName,0))*(1+INDEX(ProvMod,MATCH(G1232,ProvCode,0)))*(1+PriceIndex)</f>
        <v/>
      </c>
      <c r="V1232" s="47">
        <f>R1232*U1232*INDEX(FmtBlendedPriceIdx,MATCH(F1232,FmtName,0))</f>
        <v/>
      </c>
      <c r="W1232" s="47">
        <f>T1232*INDEX(ProvSRP,MATCH(G1232,ProvCode,0))*(1+PriceIndex)</f>
        <v/>
      </c>
      <c r="X1232" s="47">
        <f>IF(GrossBasis="Wholesale",V1232,W1232)</f>
        <v/>
      </c>
      <c r="Y1232" s="47">
        <f>R1232*INDEX(FmtBlendedCogs,MATCH(F1232,FmtName,0))</f>
        <v/>
      </c>
      <c r="Z1232" s="47">
        <f>X1232-Y1232</f>
        <v/>
      </c>
    </row>
    <row r="1233">
      <c r="A1233" t="n">
        <v>13</v>
      </c>
      <c r="B1233" s="44">
        <f>FiscalStart+(A1233-1)*7</f>
        <v/>
      </c>
      <c r="C1233">
        <f>TEXT(B1233,"mmm yyyy")</f>
        <v/>
      </c>
      <c r="D1233">
        <f>"Q"&amp;(INT((A1233-1)/13)+1)</f>
        <v/>
      </c>
      <c r="E1233" t="inlineStr">
        <is>
          <t>Fitness</t>
        </is>
      </c>
      <c r="F1233">
        <f>IFERROR(INDEX(ChFormat,MATCH(E1233,ChName,0)),"")</f>
        <v/>
      </c>
      <c r="G1233" t="inlineStr">
        <is>
          <t>MB</t>
        </is>
      </c>
      <c r="H1233">
        <f>IF(A1233&lt;=NWeeks,1,0)</f>
        <v/>
      </c>
      <c r="I1233">
        <f>INDEX(ChLaunch,MATCH(E1233,ChName,0))</f>
        <v/>
      </c>
      <c r="J1233">
        <f>INDEX(ChWeeksFull,MATCH(E1233,ChName,0))</f>
        <v/>
      </c>
      <c r="K1233">
        <f>INDEX(ChRamp,MATCH(E1233,ChName,0))</f>
        <v/>
      </c>
      <c r="L1233" s="45">
        <f>MIN(1,MAX(0,(A1233-I1233+1)*RampSpeed/J1233))</f>
        <v/>
      </c>
      <c r="M1233" s="45">
        <f>IF(A1233&lt;I1233,0,IF(K1233="S-curve",L1233*L1233*(3-2*L1233),L1233))</f>
        <v/>
      </c>
      <c r="N1233" s="45">
        <f>1+(INDEX(SeasonIdx,A1233)-1)*SeasonAmp</f>
        <v/>
      </c>
      <c r="O1233" s="45">
        <f>IFERROR(INDEX(PSPct,MATCH(E1233&amp;"|"&amp;G1233,PSKey,0)),0)</f>
        <v/>
      </c>
      <c r="P1233" s="46">
        <f>INDEX(ChDoorVel,MATCH(E1233,ChName,0))*CalibScalar*(1+VelocityUplift)</f>
        <v/>
      </c>
      <c r="Q1233" s="46" t="n">
        <v>0</v>
      </c>
      <c r="R1233" s="46">
        <f>P1233*O1233*M1233*N1233*H1233</f>
        <v/>
      </c>
      <c r="S1233" s="46">
        <f>R1233*INDEX(FmtCansPerCase,MATCH(F1233,FmtName,0))</f>
        <v/>
      </c>
      <c r="T1233" s="46">
        <f>S1233/INDEX(FmtCansPerPack,MATCH(F1233,FmtName,0))</f>
        <v/>
      </c>
      <c r="U1233" s="47">
        <f>INDEX(ChBaseCP,MATCH(E1233,ChName,0))*(1+INDEX(ProvMod,MATCH(G1233,ProvCode,0)))*(1+PriceIndex)</f>
        <v/>
      </c>
      <c r="V1233" s="47">
        <f>R1233*U1233*INDEX(FmtBlendedPriceIdx,MATCH(F1233,FmtName,0))</f>
        <v/>
      </c>
      <c r="W1233" s="47">
        <f>T1233*INDEX(ProvSRP,MATCH(G1233,ProvCode,0))*(1+PriceIndex)</f>
        <v/>
      </c>
      <c r="X1233" s="47">
        <f>IF(GrossBasis="Wholesale",V1233,W1233)</f>
        <v/>
      </c>
      <c r="Y1233" s="47">
        <f>R1233*INDEX(FmtBlendedCogs,MATCH(F1233,FmtName,0))</f>
        <v/>
      </c>
      <c r="Z1233" s="47">
        <f>X1233-Y1233</f>
        <v/>
      </c>
    </row>
    <row r="1234">
      <c r="A1234" t="n">
        <v>14</v>
      </c>
      <c r="B1234" s="44">
        <f>FiscalStart+(A1234-1)*7</f>
        <v/>
      </c>
      <c r="C1234">
        <f>TEXT(B1234,"mmm yyyy")</f>
        <v/>
      </c>
      <c r="D1234">
        <f>"Q"&amp;(INT((A1234-1)/13)+1)</f>
        <v/>
      </c>
      <c r="E1234" t="inlineStr">
        <is>
          <t>Fitness</t>
        </is>
      </c>
      <c r="F1234">
        <f>IFERROR(INDEX(ChFormat,MATCH(E1234,ChName,0)),"")</f>
        <v/>
      </c>
      <c r="G1234" t="inlineStr">
        <is>
          <t>MB</t>
        </is>
      </c>
      <c r="H1234">
        <f>IF(A1234&lt;=NWeeks,1,0)</f>
        <v/>
      </c>
      <c r="I1234">
        <f>INDEX(ChLaunch,MATCH(E1234,ChName,0))</f>
        <v/>
      </c>
      <c r="J1234">
        <f>INDEX(ChWeeksFull,MATCH(E1234,ChName,0))</f>
        <v/>
      </c>
      <c r="K1234">
        <f>INDEX(ChRamp,MATCH(E1234,ChName,0))</f>
        <v/>
      </c>
      <c r="L1234" s="45">
        <f>MIN(1,MAX(0,(A1234-I1234+1)*RampSpeed/J1234))</f>
        <v/>
      </c>
      <c r="M1234" s="45">
        <f>IF(A1234&lt;I1234,0,IF(K1234="S-curve",L1234*L1234*(3-2*L1234),L1234))</f>
        <v/>
      </c>
      <c r="N1234" s="45">
        <f>1+(INDEX(SeasonIdx,A1234)-1)*SeasonAmp</f>
        <v/>
      </c>
      <c r="O1234" s="45">
        <f>IFERROR(INDEX(PSPct,MATCH(E1234&amp;"|"&amp;G1234,PSKey,0)),0)</f>
        <v/>
      </c>
      <c r="P1234" s="46">
        <f>INDEX(ChDoorVel,MATCH(E1234,ChName,0))*CalibScalar*(1+VelocityUplift)</f>
        <v/>
      </c>
      <c r="Q1234" s="46" t="n">
        <v>0</v>
      </c>
      <c r="R1234" s="46">
        <f>P1234*O1234*M1234*N1234*H1234</f>
        <v/>
      </c>
      <c r="S1234" s="46">
        <f>R1234*INDEX(FmtCansPerCase,MATCH(F1234,FmtName,0))</f>
        <v/>
      </c>
      <c r="T1234" s="46">
        <f>S1234/INDEX(FmtCansPerPack,MATCH(F1234,FmtName,0))</f>
        <v/>
      </c>
      <c r="U1234" s="47">
        <f>INDEX(ChBaseCP,MATCH(E1234,ChName,0))*(1+INDEX(ProvMod,MATCH(G1234,ProvCode,0)))*(1+PriceIndex)</f>
        <v/>
      </c>
      <c r="V1234" s="47">
        <f>R1234*U1234*INDEX(FmtBlendedPriceIdx,MATCH(F1234,FmtName,0))</f>
        <v/>
      </c>
      <c r="W1234" s="47">
        <f>T1234*INDEX(ProvSRP,MATCH(G1234,ProvCode,0))*(1+PriceIndex)</f>
        <v/>
      </c>
      <c r="X1234" s="47">
        <f>IF(GrossBasis="Wholesale",V1234,W1234)</f>
        <v/>
      </c>
      <c r="Y1234" s="47">
        <f>R1234*INDEX(FmtBlendedCogs,MATCH(F1234,FmtName,0))</f>
        <v/>
      </c>
      <c r="Z1234" s="47">
        <f>X1234-Y1234</f>
        <v/>
      </c>
    </row>
    <row r="1235">
      <c r="A1235" t="n">
        <v>15</v>
      </c>
      <c r="B1235" s="44">
        <f>FiscalStart+(A1235-1)*7</f>
        <v/>
      </c>
      <c r="C1235">
        <f>TEXT(B1235,"mmm yyyy")</f>
        <v/>
      </c>
      <c r="D1235">
        <f>"Q"&amp;(INT((A1235-1)/13)+1)</f>
        <v/>
      </c>
      <c r="E1235" t="inlineStr">
        <is>
          <t>Fitness</t>
        </is>
      </c>
      <c r="F1235">
        <f>IFERROR(INDEX(ChFormat,MATCH(E1235,ChName,0)),"")</f>
        <v/>
      </c>
      <c r="G1235" t="inlineStr">
        <is>
          <t>MB</t>
        </is>
      </c>
      <c r="H1235">
        <f>IF(A1235&lt;=NWeeks,1,0)</f>
        <v/>
      </c>
      <c r="I1235">
        <f>INDEX(ChLaunch,MATCH(E1235,ChName,0))</f>
        <v/>
      </c>
      <c r="J1235">
        <f>INDEX(ChWeeksFull,MATCH(E1235,ChName,0))</f>
        <v/>
      </c>
      <c r="K1235">
        <f>INDEX(ChRamp,MATCH(E1235,ChName,0))</f>
        <v/>
      </c>
      <c r="L1235" s="45">
        <f>MIN(1,MAX(0,(A1235-I1235+1)*RampSpeed/J1235))</f>
        <v/>
      </c>
      <c r="M1235" s="45">
        <f>IF(A1235&lt;I1235,0,IF(K1235="S-curve",L1235*L1235*(3-2*L1235),L1235))</f>
        <v/>
      </c>
      <c r="N1235" s="45">
        <f>1+(INDEX(SeasonIdx,A1235)-1)*SeasonAmp</f>
        <v/>
      </c>
      <c r="O1235" s="45">
        <f>IFERROR(INDEX(PSPct,MATCH(E1235&amp;"|"&amp;G1235,PSKey,0)),0)</f>
        <v/>
      </c>
      <c r="P1235" s="46">
        <f>INDEX(ChDoorVel,MATCH(E1235,ChName,0))*CalibScalar*(1+VelocityUplift)</f>
        <v/>
      </c>
      <c r="Q1235" s="46" t="n">
        <v>0</v>
      </c>
      <c r="R1235" s="46">
        <f>P1235*O1235*M1235*N1235*H1235</f>
        <v/>
      </c>
      <c r="S1235" s="46">
        <f>R1235*INDEX(FmtCansPerCase,MATCH(F1235,FmtName,0))</f>
        <v/>
      </c>
      <c r="T1235" s="46">
        <f>S1235/INDEX(FmtCansPerPack,MATCH(F1235,FmtName,0))</f>
        <v/>
      </c>
      <c r="U1235" s="47">
        <f>INDEX(ChBaseCP,MATCH(E1235,ChName,0))*(1+INDEX(ProvMod,MATCH(G1235,ProvCode,0)))*(1+PriceIndex)</f>
        <v/>
      </c>
      <c r="V1235" s="47">
        <f>R1235*U1235*INDEX(FmtBlendedPriceIdx,MATCH(F1235,FmtName,0))</f>
        <v/>
      </c>
      <c r="W1235" s="47">
        <f>T1235*INDEX(ProvSRP,MATCH(G1235,ProvCode,0))*(1+PriceIndex)</f>
        <v/>
      </c>
      <c r="X1235" s="47">
        <f>IF(GrossBasis="Wholesale",V1235,W1235)</f>
        <v/>
      </c>
      <c r="Y1235" s="47">
        <f>R1235*INDEX(FmtBlendedCogs,MATCH(F1235,FmtName,0))</f>
        <v/>
      </c>
      <c r="Z1235" s="47">
        <f>X1235-Y1235</f>
        <v/>
      </c>
    </row>
    <row r="1236">
      <c r="A1236" t="n">
        <v>16</v>
      </c>
      <c r="B1236" s="44">
        <f>FiscalStart+(A1236-1)*7</f>
        <v/>
      </c>
      <c r="C1236">
        <f>TEXT(B1236,"mmm yyyy")</f>
        <v/>
      </c>
      <c r="D1236">
        <f>"Q"&amp;(INT((A1236-1)/13)+1)</f>
        <v/>
      </c>
      <c r="E1236" t="inlineStr">
        <is>
          <t>Fitness</t>
        </is>
      </c>
      <c r="F1236">
        <f>IFERROR(INDEX(ChFormat,MATCH(E1236,ChName,0)),"")</f>
        <v/>
      </c>
      <c r="G1236" t="inlineStr">
        <is>
          <t>MB</t>
        </is>
      </c>
      <c r="H1236">
        <f>IF(A1236&lt;=NWeeks,1,0)</f>
        <v/>
      </c>
      <c r="I1236">
        <f>INDEX(ChLaunch,MATCH(E1236,ChName,0))</f>
        <v/>
      </c>
      <c r="J1236">
        <f>INDEX(ChWeeksFull,MATCH(E1236,ChName,0))</f>
        <v/>
      </c>
      <c r="K1236">
        <f>INDEX(ChRamp,MATCH(E1236,ChName,0))</f>
        <v/>
      </c>
      <c r="L1236" s="45">
        <f>MIN(1,MAX(0,(A1236-I1236+1)*RampSpeed/J1236))</f>
        <v/>
      </c>
      <c r="M1236" s="45">
        <f>IF(A1236&lt;I1236,0,IF(K1236="S-curve",L1236*L1236*(3-2*L1236),L1236))</f>
        <v/>
      </c>
      <c r="N1236" s="45">
        <f>1+(INDEX(SeasonIdx,A1236)-1)*SeasonAmp</f>
        <v/>
      </c>
      <c r="O1236" s="45">
        <f>IFERROR(INDEX(PSPct,MATCH(E1236&amp;"|"&amp;G1236,PSKey,0)),0)</f>
        <v/>
      </c>
      <c r="P1236" s="46">
        <f>INDEX(ChDoorVel,MATCH(E1236,ChName,0))*CalibScalar*(1+VelocityUplift)</f>
        <v/>
      </c>
      <c r="Q1236" s="46" t="n">
        <v>0</v>
      </c>
      <c r="R1236" s="46">
        <f>P1236*O1236*M1236*N1236*H1236</f>
        <v/>
      </c>
      <c r="S1236" s="46">
        <f>R1236*INDEX(FmtCansPerCase,MATCH(F1236,FmtName,0))</f>
        <v/>
      </c>
      <c r="T1236" s="46">
        <f>S1236/INDEX(FmtCansPerPack,MATCH(F1236,FmtName,0))</f>
        <v/>
      </c>
      <c r="U1236" s="47">
        <f>INDEX(ChBaseCP,MATCH(E1236,ChName,0))*(1+INDEX(ProvMod,MATCH(G1236,ProvCode,0)))*(1+PriceIndex)</f>
        <v/>
      </c>
      <c r="V1236" s="47">
        <f>R1236*U1236*INDEX(FmtBlendedPriceIdx,MATCH(F1236,FmtName,0))</f>
        <v/>
      </c>
      <c r="W1236" s="47">
        <f>T1236*INDEX(ProvSRP,MATCH(G1236,ProvCode,0))*(1+PriceIndex)</f>
        <v/>
      </c>
      <c r="X1236" s="47">
        <f>IF(GrossBasis="Wholesale",V1236,W1236)</f>
        <v/>
      </c>
      <c r="Y1236" s="47">
        <f>R1236*INDEX(FmtBlendedCogs,MATCH(F1236,FmtName,0))</f>
        <v/>
      </c>
      <c r="Z1236" s="47">
        <f>X1236-Y1236</f>
        <v/>
      </c>
    </row>
    <row r="1237">
      <c r="A1237" t="n">
        <v>17</v>
      </c>
      <c r="B1237" s="44">
        <f>FiscalStart+(A1237-1)*7</f>
        <v/>
      </c>
      <c r="C1237">
        <f>TEXT(B1237,"mmm yyyy")</f>
        <v/>
      </c>
      <c r="D1237">
        <f>"Q"&amp;(INT((A1237-1)/13)+1)</f>
        <v/>
      </c>
      <c r="E1237" t="inlineStr">
        <is>
          <t>Fitness</t>
        </is>
      </c>
      <c r="F1237">
        <f>IFERROR(INDEX(ChFormat,MATCH(E1237,ChName,0)),"")</f>
        <v/>
      </c>
      <c r="G1237" t="inlineStr">
        <is>
          <t>MB</t>
        </is>
      </c>
      <c r="H1237">
        <f>IF(A1237&lt;=NWeeks,1,0)</f>
        <v/>
      </c>
      <c r="I1237">
        <f>INDEX(ChLaunch,MATCH(E1237,ChName,0))</f>
        <v/>
      </c>
      <c r="J1237">
        <f>INDEX(ChWeeksFull,MATCH(E1237,ChName,0))</f>
        <v/>
      </c>
      <c r="K1237">
        <f>INDEX(ChRamp,MATCH(E1237,ChName,0))</f>
        <v/>
      </c>
      <c r="L1237" s="45">
        <f>MIN(1,MAX(0,(A1237-I1237+1)*RampSpeed/J1237))</f>
        <v/>
      </c>
      <c r="M1237" s="45">
        <f>IF(A1237&lt;I1237,0,IF(K1237="S-curve",L1237*L1237*(3-2*L1237),L1237))</f>
        <v/>
      </c>
      <c r="N1237" s="45">
        <f>1+(INDEX(SeasonIdx,A1237)-1)*SeasonAmp</f>
        <v/>
      </c>
      <c r="O1237" s="45">
        <f>IFERROR(INDEX(PSPct,MATCH(E1237&amp;"|"&amp;G1237,PSKey,0)),0)</f>
        <v/>
      </c>
      <c r="P1237" s="46">
        <f>INDEX(ChDoorVel,MATCH(E1237,ChName,0))*CalibScalar*(1+VelocityUplift)</f>
        <v/>
      </c>
      <c r="Q1237" s="46" t="n">
        <v>0</v>
      </c>
      <c r="R1237" s="46">
        <f>P1237*O1237*M1237*N1237*H1237</f>
        <v/>
      </c>
      <c r="S1237" s="46">
        <f>R1237*INDEX(FmtCansPerCase,MATCH(F1237,FmtName,0))</f>
        <v/>
      </c>
      <c r="T1237" s="46">
        <f>S1237/INDEX(FmtCansPerPack,MATCH(F1237,FmtName,0))</f>
        <v/>
      </c>
      <c r="U1237" s="47">
        <f>INDEX(ChBaseCP,MATCH(E1237,ChName,0))*(1+INDEX(ProvMod,MATCH(G1237,ProvCode,0)))*(1+PriceIndex)</f>
        <v/>
      </c>
      <c r="V1237" s="47">
        <f>R1237*U1237*INDEX(FmtBlendedPriceIdx,MATCH(F1237,FmtName,0))</f>
        <v/>
      </c>
      <c r="W1237" s="47">
        <f>T1237*INDEX(ProvSRP,MATCH(G1237,ProvCode,0))*(1+PriceIndex)</f>
        <v/>
      </c>
      <c r="X1237" s="47">
        <f>IF(GrossBasis="Wholesale",V1237,W1237)</f>
        <v/>
      </c>
      <c r="Y1237" s="47">
        <f>R1237*INDEX(FmtBlendedCogs,MATCH(F1237,FmtName,0))</f>
        <v/>
      </c>
      <c r="Z1237" s="47">
        <f>X1237-Y1237</f>
        <v/>
      </c>
    </row>
    <row r="1238">
      <c r="A1238" t="n">
        <v>18</v>
      </c>
      <c r="B1238" s="44">
        <f>FiscalStart+(A1238-1)*7</f>
        <v/>
      </c>
      <c r="C1238">
        <f>TEXT(B1238,"mmm yyyy")</f>
        <v/>
      </c>
      <c r="D1238">
        <f>"Q"&amp;(INT((A1238-1)/13)+1)</f>
        <v/>
      </c>
      <c r="E1238" t="inlineStr">
        <is>
          <t>Fitness</t>
        </is>
      </c>
      <c r="F1238">
        <f>IFERROR(INDEX(ChFormat,MATCH(E1238,ChName,0)),"")</f>
        <v/>
      </c>
      <c r="G1238" t="inlineStr">
        <is>
          <t>MB</t>
        </is>
      </c>
      <c r="H1238">
        <f>IF(A1238&lt;=NWeeks,1,0)</f>
        <v/>
      </c>
      <c r="I1238">
        <f>INDEX(ChLaunch,MATCH(E1238,ChName,0))</f>
        <v/>
      </c>
      <c r="J1238">
        <f>INDEX(ChWeeksFull,MATCH(E1238,ChName,0))</f>
        <v/>
      </c>
      <c r="K1238">
        <f>INDEX(ChRamp,MATCH(E1238,ChName,0))</f>
        <v/>
      </c>
      <c r="L1238" s="45">
        <f>MIN(1,MAX(0,(A1238-I1238+1)*RampSpeed/J1238))</f>
        <v/>
      </c>
      <c r="M1238" s="45">
        <f>IF(A1238&lt;I1238,0,IF(K1238="S-curve",L1238*L1238*(3-2*L1238),L1238))</f>
        <v/>
      </c>
      <c r="N1238" s="45">
        <f>1+(INDEX(SeasonIdx,A1238)-1)*SeasonAmp</f>
        <v/>
      </c>
      <c r="O1238" s="45">
        <f>IFERROR(INDEX(PSPct,MATCH(E1238&amp;"|"&amp;G1238,PSKey,0)),0)</f>
        <v/>
      </c>
      <c r="P1238" s="46">
        <f>INDEX(ChDoorVel,MATCH(E1238,ChName,0))*CalibScalar*(1+VelocityUplift)</f>
        <v/>
      </c>
      <c r="Q1238" s="46" t="n">
        <v>0</v>
      </c>
      <c r="R1238" s="46">
        <f>P1238*O1238*M1238*N1238*H1238</f>
        <v/>
      </c>
      <c r="S1238" s="46">
        <f>R1238*INDEX(FmtCansPerCase,MATCH(F1238,FmtName,0))</f>
        <v/>
      </c>
      <c r="T1238" s="46">
        <f>S1238/INDEX(FmtCansPerPack,MATCH(F1238,FmtName,0))</f>
        <v/>
      </c>
      <c r="U1238" s="47">
        <f>INDEX(ChBaseCP,MATCH(E1238,ChName,0))*(1+INDEX(ProvMod,MATCH(G1238,ProvCode,0)))*(1+PriceIndex)</f>
        <v/>
      </c>
      <c r="V1238" s="47">
        <f>R1238*U1238*INDEX(FmtBlendedPriceIdx,MATCH(F1238,FmtName,0))</f>
        <v/>
      </c>
      <c r="W1238" s="47">
        <f>T1238*INDEX(ProvSRP,MATCH(G1238,ProvCode,0))*(1+PriceIndex)</f>
        <v/>
      </c>
      <c r="X1238" s="47">
        <f>IF(GrossBasis="Wholesale",V1238,W1238)</f>
        <v/>
      </c>
      <c r="Y1238" s="47">
        <f>R1238*INDEX(FmtBlendedCogs,MATCH(F1238,FmtName,0))</f>
        <v/>
      </c>
      <c r="Z1238" s="47">
        <f>X1238-Y1238</f>
        <v/>
      </c>
    </row>
    <row r="1239">
      <c r="A1239" t="n">
        <v>19</v>
      </c>
      <c r="B1239" s="44">
        <f>FiscalStart+(A1239-1)*7</f>
        <v/>
      </c>
      <c r="C1239">
        <f>TEXT(B1239,"mmm yyyy")</f>
        <v/>
      </c>
      <c r="D1239">
        <f>"Q"&amp;(INT((A1239-1)/13)+1)</f>
        <v/>
      </c>
      <c r="E1239" t="inlineStr">
        <is>
          <t>Fitness</t>
        </is>
      </c>
      <c r="F1239">
        <f>IFERROR(INDEX(ChFormat,MATCH(E1239,ChName,0)),"")</f>
        <v/>
      </c>
      <c r="G1239" t="inlineStr">
        <is>
          <t>MB</t>
        </is>
      </c>
      <c r="H1239">
        <f>IF(A1239&lt;=NWeeks,1,0)</f>
        <v/>
      </c>
      <c r="I1239">
        <f>INDEX(ChLaunch,MATCH(E1239,ChName,0))</f>
        <v/>
      </c>
      <c r="J1239">
        <f>INDEX(ChWeeksFull,MATCH(E1239,ChName,0))</f>
        <v/>
      </c>
      <c r="K1239">
        <f>INDEX(ChRamp,MATCH(E1239,ChName,0))</f>
        <v/>
      </c>
      <c r="L1239" s="45">
        <f>MIN(1,MAX(0,(A1239-I1239+1)*RampSpeed/J1239))</f>
        <v/>
      </c>
      <c r="M1239" s="45">
        <f>IF(A1239&lt;I1239,0,IF(K1239="S-curve",L1239*L1239*(3-2*L1239),L1239))</f>
        <v/>
      </c>
      <c r="N1239" s="45">
        <f>1+(INDEX(SeasonIdx,A1239)-1)*SeasonAmp</f>
        <v/>
      </c>
      <c r="O1239" s="45">
        <f>IFERROR(INDEX(PSPct,MATCH(E1239&amp;"|"&amp;G1239,PSKey,0)),0)</f>
        <v/>
      </c>
      <c r="P1239" s="46">
        <f>INDEX(ChDoorVel,MATCH(E1239,ChName,0))*CalibScalar*(1+VelocityUplift)</f>
        <v/>
      </c>
      <c r="Q1239" s="46" t="n">
        <v>0</v>
      </c>
      <c r="R1239" s="46">
        <f>P1239*O1239*M1239*N1239*H1239</f>
        <v/>
      </c>
      <c r="S1239" s="46">
        <f>R1239*INDEX(FmtCansPerCase,MATCH(F1239,FmtName,0))</f>
        <v/>
      </c>
      <c r="T1239" s="46">
        <f>S1239/INDEX(FmtCansPerPack,MATCH(F1239,FmtName,0))</f>
        <v/>
      </c>
      <c r="U1239" s="47">
        <f>INDEX(ChBaseCP,MATCH(E1239,ChName,0))*(1+INDEX(ProvMod,MATCH(G1239,ProvCode,0)))*(1+PriceIndex)</f>
        <v/>
      </c>
      <c r="V1239" s="47">
        <f>R1239*U1239*INDEX(FmtBlendedPriceIdx,MATCH(F1239,FmtName,0))</f>
        <v/>
      </c>
      <c r="W1239" s="47">
        <f>T1239*INDEX(ProvSRP,MATCH(G1239,ProvCode,0))*(1+PriceIndex)</f>
        <v/>
      </c>
      <c r="X1239" s="47">
        <f>IF(GrossBasis="Wholesale",V1239,W1239)</f>
        <v/>
      </c>
      <c r="Y1239" s="47">
        <f>R1239*INDEX(FmtBlendedCogs,MATCH(F1239,FmtName,0))</f>
        <v/>
      </c>
      <c r="Z1239" s="47">
        <f>X1239-Y1239</f>
        <v/>
      </c>
    </row>
    <row r="1240">
      <c r="A1240" t="n">
        <v>20</v>
      </c>
      <c r="B1240" s="44">
        <f>FiscalStart+(A1240-1)*7</f>
        <v/>
      </c>
      <c r="C1240">
        <f>TEXT(B1240,"mmm yyyy")</f>
        <v/>
      </c>
      <c r="D1240">
        <f>"Q"&amp;(INT((A1240-1)/13)+1)</f>
        <v/>
      </c>
      <c r="E1240" t="inlineStr">
        <is>
          <t>Fitness</t>
        </is>
      </c>
      <c r="F1240">
        <f>IFERROR(INDEX(ChFormat,MATCH(E1240,ChName,0)),"")</f>
        <v/>
      </c>
      <c r="G1240" t="inlineStr">
        <is>
          <t>MB</t>
        </is>
      </c>
      <c r="H1240">
        <f>IF(A1240&lt;=NWeeks,1,0)</f>
        <v/>
      </c>
      <c r="I1240">
        <f>INDEX(ChLaunch,MATCH(E1240,ChName,0))</f>
        <v/>
      </c>
      <c r="J1240">
        <f>INDEX(ChWeeksFull,MATCH(E1240,ChName,0))</f>
        <v/>
      </c>
      <c r="K1240">
        <f>INDEX(ChRamp,MATCH(E1240,ChName,0))</f>
        <v/>
      </c>
      <c r="L1240" s="45">
        <f>MIN(1,MAX(0,(A1240-I1240+1)*RampSpeed/J1240))</f>
        <v/>
      </c>
      <c r="M1240" s="45">
        <f>IF(A1240&lt;I1240,0,IF(K1240="S-curve",L1240*L1240*(3-2*L1240),L1240))</f>
        <v/>
      </c>
      <c r="N1240" s="45">
        <f>1+(INDEX(SeasonIdx,A1240)-1)*SeasonAmp</f>
        <v/>
      </c>
      <c r="O1240" s="45">
        <f>IFERROR(INDEX(PSPct,MATCH(E1240&amp;"|"&amp;G1240,PSKey,0)),0)</f>
        <v/>
      </c>
      <c r="P1240" s="46">
        <f>INDEX(ChDoorVel,MATCH(E1240,ChName,0))*CalibScalar*(1+VelocityUplift)</f>
        <v/>
      </c>
      <c r="Q1240" s="46" t="n">
        <v>0</v>
      </c>
      <c r="R1240" s="46">
        <f>P1240*O1240*M1240*N1240*H1240</f>
        <v/>
      </c>
      <c r="S1240" s="46">
        <f>R1240*INDEX(FmtCansPerCase,MATCH(F1240,FmtName,0))</f>
        <v/>
      </c>
      <c r="T1240" s="46">
        <f>S1240/INDEX(FmtCansPerPack,MATCH(F1240,FmtName,0))</f>
        <v/>
      </c>
      <c r="U1240" s="47">
        <f>INDEX(ChBaseCP,MATCH(E1240,ChName,0))*(1+INDEX(ProvMod,MATCH(G1240,ProvCode,0)))*(1+PriceIndex)</f>
        <v/>
      </c>
      <c r="V1240" s="47">
        <f>R1240*U1240*INDEX(FmtBlendedPriceIdx,MATCH(F1240,FmtName,0))</f>
        <v/>
      </c>
      <c r="W1240" s="47">
        <f>T1240*INDEX(ProvSRP,MATCH(G1240,ProvCode,0))*(1+PriceIndex)</f>
        <v/>
      </c>
      <c r="X1240" s="47">
        <f>IF(GrossBasis="Wholesale",V1240,W1240)</f>
        <v/>
      </c>
      <c r="Y1240" s="47">
        <f>R1240*INDEX(FmtBlendedCogs,MATCH(F1240,FmtName,0))</f>
        <v/>
      </c>
      <c r="Z1240" s="47">
        <f>X1240-Y1240</f>
        <v/>
      </c>
    </row>
    <row r="1241">
      <c r="A1241" t="n">
        <v>21</v>
      </c>
      <c r="B1241" s="44">
        <f>FiscalStart+(A1241-1)*7</f>
        <v/>
      </c>
      <c r="C1241">
        <f>TEXT(B1241,"mmm yyyy")</f>
        <v/>
      </c>
      <c r="D1241">
        <f>"Q"&amp;(INT((A1241-1)/13)+1)</f>
        <v/>
      </c>
      <c r="E1241" t="inlineStr">
        <is>
          <t>Fitness</t>
        </is>
      </c>
      <c r="F1241">
        <f>IFERROR(INDEX(ChFormat,MATCH(E1241,ChName,0)),"")</f>
        <v/>
      </c>
      <c r="G1241" t="inlineStr">
        <is>
          <t>MB</t>
        </is>
      </c>
      <c r="H1241">
        <f>IF(A1241&lt;=NWeeks,1,0)</f>
        <v/>
      </c>
      <c r="I1241">
        <f>INDEX(ChLaunch,MATCH(E1241,ChName,0))</f>
        <v/>
      </c>
      <c r="J1241">
        <f>INDEX(ChWeeksFull,MATCH(E1241,ChName,0))</f>
        <v/>
      </c>
      <c r="K1241">
        <f>INDEX(ChRamp,MATCH(E1241,ChName,0))</f>
        <v/>
      </c>
      <c r="L1241" s="45">
        <f>MIN(1,MAX(0,(A1241-I1241+1)*RampSpeed/J1241))</f>
        <v/>
      </c>
      <c r="M1241" s="45">
        <f>IF(A1241&lt;I1241,0,IF(K1241="S-curve",L1241*L1241*(3-2*L1241),L1241))</f>
        <v/>
      </c>
      <c r="N1241" s="45">
        <f>1+(INDEX(SeasonIdx,A1241)-1)*SeasonAmp</f>
        <v/>
      </c>
      <c r="O1241" s="45">
        <f>IFERROR(INDEX(PSPct,MATCH(E1241&amp;"|"&amp;G1241,PSKey,0)),0)</f>
        <v/>
      </c>
      <c r="P1241" s="46">
        <f>INDEX(ChDoorVel,MATCH(E1241,ChName,0))*CalibScalar*(1+VelocityUplift)</f>
        <v/>
      </c>
      <c r="Q1241" s="46" t="n">
        <v>0</v>
      </c>
      <c r="R1241" s="46">
        <f>P1241*O1241*M1241*N1241*H1241</f>
        <v/>
      </c>
      <c r="S1241" s="46">
        <f>R1241*INDEX(FmtCansPerCase,MATCH(F1241,FmtName,0))</f>
        <v/>
      </c>
      <c r="T1241" s="46">
        <f>S1241/INDEX(FmtCansPerPack,MATCH(F1241,FmtName,0))</f>
        <v/>
      </c>
      <c r="U1241" s="47">
        <f>INDEX(ChBaseCP,MATCH(E1241,ChName,0))*(1+INDEX(ProvMod,MATCH(G1241,ProvCode,0)))*(1+PriceIndex)</f>
        <v/>
      </c>
      <c r="V1241" s="47">
        <f>R1241*U1241*INDEX(FmtBlendedPriceIdx,MATCH(F1241,FmtName,0))</f>
        <v/>
      </c>
      <c r="W1241" s="47">
        <f>T1241*INDEX(ProvSRP,MATCH(G1241,ProvCode,0))*(1+PriceIndex)</f>
        <v/>
      </c>
      <c r="X1241" s="47">
        <f>IF(GrossBasis="Wholesale",V1241,W1241)</f>
        <v/>
      </c>
      <c r="Y1241" s="47">
        <f>R1241*INDEX(FmtBlendedCogs,MATCH(F1241,FmtName,0))</f>
        <v/>
      </c>
      <c r="Z1241" s="47">
        <f>X1241-Y1241</f>
        <v/>
      </c>
    </row>
    <row r="1242">
      <c r="A1242" t="n">
        <v>22</v>
      </c>
      <c r="B1242" s="44">
        <f>FiscalStart+(A1242-1)*7</f>
        <v/>
      </c>
      <c r="C1242">
        <f>TEXT(B1242,"mmm yyyy")</f>
        <v/>
      </c>
      <c r="D1242">
        <f>"Q"&amp;(INT((A1242-1)/13)+1)</f>
        <v/>
      </c>
      <c r="E1242" t="inlineStr">
        <is>
          <t>Fitness</t>
        </is>
      </c>
      <c r="F1242">
        <f>IFERROR(INDEX(ChFormat,MATCH(E1242,ChName,0)),"")</f>
        <v/>
      </c>
      <c r="G1242" t="inlineStr">
        <is>
          <t>MB</t>
        </is>
      </c>
      <c r="H1242">
        <f>IF(A1242&lt;=NWeeks,1,0)</f>
        <v/>
      </c>
      <c r="I1242">
        <f>INDEX(ChLaunch,MATCH(E1242,ChName,0))</f>
        <v/>
      </c>
      <c r="J1242">
        <f>INDEX(ChWeeksFull,MATCH(E1242,ChName,0))</f>
        <v/>
      </c>
      <c r="K1242">
        <f>INDEX(ChRamp,MATCH(E1242,ChName,0))</f>
        <v/>
      </c>
      <c r="L1242" s="45">
        <f>MIN(1,MAX(0,(A1242-I1242+1)*RampSpeed/J1242))</f>
        <v/>
      </c>
      <c r="M1242" s="45">
        <f>IF(A1242&lt;I1242,0,IF(K1242="S-curve",L1242*L1242*(3-2*L1242),L1242))</f>
        <v/>
      </c>
      <c r="N1242" s="45">
        <f>1+(INDEX(SeasonIdx,A1242)-1)*SeasonAmp</f>
        <v/>
      </c>
      <c r="O1242" s="45">
        <f>IFERROR(INDEX(PSPct,MATCH(E1242&amp;"|"&amp;G1242,PSKey,0)),0)</f>
        <v/>
      </c>
      <c r="P1242" s="46">
        <f>INDEX(ChDoorVel,MATCH(E1242,ChName,0))*CalibScalar*(1+VelocityUplift)</f>
        <v/>
      </c>
      <c r="Q1242" s="46" t="n">
        <v>0</v>
      </c>
      <c r="R1242" s="46">
        <f>P1242*O1242*M1242*N1242*H1242</f>
        <v/>
      </c>
      <c r="S1242" s="46">
        <f>R1242*INDEX(FmtCansPerCase,MATCH(F1242,FmtName,0))</f>
        <v/>
      </c>
      <c r="T1242" s="46">
        <f>S1242/INDEX(FmtCansPerPack,MATCH(F1242,FmtName,0))</f>
        <v/>
      </c>
      <c r="U1242" s="47">
        <f>INDEX(ChBaseCP,MATCH(E1242,ChName,0))*(1+INDEX(ProvMod,MATCH(G1242,ProvCode,0)))*(1+PriceIndex)</f>
        <v/>
      </c>
      <c r="V1242" s="47">
        <f>R1242*U1242*INDEX(FmtBlendedPriceIdx,MATCH(F1242,FmtName,0))</f>
        <v/>
      </c>
      <c r="W1242" s="47">
        <f>T1242*INDEX(ProvSRP,MATCH(G1242,ProvCode,0))*(1+PriceIndex)</f>
        <v/>
      </c>
      <c r="X1242" s="47">
        <f>IF(GrossBasis="Wholesale",V1242,W1242)</f>
        <v/>
      </c>
      <c r="Y1242" s="47">
        <f>R1242*INDEX(FmtBlendedCogs,MATCH(F1242,FmtName,0))</f>
        <v/>
      </c>
      <c r="Z1242" s="47">
        <f>X1242-Y1242</f>
        <v/>
      </c>
    </row>
    <row r="1243">
      <c r="A1243" t="n">
        <v>23</v>
      </c>
      <c r="B1243" s="44">
        <f>FiscalStart+(A1243-1)*7</f>
        <v/>
      </c>
      <c r="C1243">
        <f>TEXT(B1243,"mmm yyyy")</f>
        <v/>
      </c>
      <c r="D1243">
        <f>"Q"&amp;(INT((A1243-1)/13)+1)</f>
        <v/>
      </c>
      <c r="E1243" t="inlineStr">
        <is>
          <t>Fitness</t>
        </is>
      </c>
      <c r="F1243">
        <f>IFERROR(INDEX(ChFormat,MATCH(E1243,ChName,0)),"")</f>
        <v/>
      </c>
      <c r="G1243" t="inlineStr">
        <is>
          <t>MB</t>
        </is>
      </c>
      <c r="H1243">
        <f>IF(A1243&lt;=NWeeks,1,0)</f>
        <v/>
      </c>
      <c r="I1243">
        <f>INDEX(ChLaunch,MATCH(E1243,ChName,0))</f>
        <v/>
      </c>
      <c r="J1243">
        <f>INDEX(ChWeeksFull,MATCH(E1243,ChName,0))</f>
        <v/>
      </c>
      <c r="K1243">
        <f>INDEX(ChRamp,MATCH(E1243,ChName,0))</f>
        <v/>
      </c>
      <c r="L1243" s="45">
        <f>MIN(1,MAX(0,(A1243-I1243+1)*RampSpeed/J1243))</f>
        <v/>
      </c>
      <c r="M1243" s="45">
        <f>IF(A1243&lt;I1243,0,IF(K1243="S-curve",L1243*L1243*(3-2*L1243),L1243))</f>
        <v/>
      </c>
      <c r="N1243" s="45">
        <f>1+(INDEX(SeasonIdx,A1243)-1)*SeasonAmp</f>
        <v/>
      </c>
      <c r="O1243" s="45">
        <f>IFERROR(INDEX(PSPct,MATCH(E1243&amp;"|"&amp;G1243,PSKey,0)),0)</f>
        <v/>
      </c>
      <c r="P1243" s="46">
        <f>INDEX(ChDoorVel,MATCH(E1243,ChName,0))*CalibScalar*(1+VelocityUplift)</f>
        <v/>
      </c>
      <c r="Q1243" s="46" t="n">
        <v>0</v>
      </c>
      <c r="R1243" s="46">
        <f>P1243*O1243*M1243*N1243*H1243</f>
        <v/>
      </c>
      <c r="S1243" s="46">
        <f>R1243*INDEX(FmtCansPerCase,MATCH(F1243,FmtName,0))</f>
        <v/>
      </c>
      <c r="T1243" s="46">
        <f>S1243/INDEX(FmtCansPerPack,MATCH(F1243,FmtName,0))</f>
        <v/>
      </c>
      <c r="U1243" s="47">
        <f>INDEX(ChBaseCP,MATCH(E1243,ChName,0))*(1+INDEX(ProvMod,MATCH(G1243,ProvCode,0)))*(1+PriceIndex)</f>
        <v/>
      </c>
      <c r="V1243" s="47">
        <f>R1243*U1243*INDEX(FmtBlendedPriceIdx,MATCH(F1243,FmtName,0))</f>
        <v/>
      </c>
      <c r="W1243" s="47">
        <f>T1243*INDEX(ProvSRP,MATCH(G1243,ProvCode,0))*(1+PriceIndex)</f>
        <v/>
      </c>
      <c r="X1243" s="47">
        <f>IF(GrossBasis="Wholesale",V1243,W1243)</f>
        <v/>
      </c>
      <c r="Y1243" s="47">
        <f>R1243*INDEX(FmtBlendedCogs,MATCH(F1243,FmtName,0))</f>
        <v/>
      </c>
      <c r="Z1243" s="47">
        <f>X1243-Y1243</f>
        <v/>
      </c>
    </row>
    <row r="1244">
      <c r="A1244" t="n">
        <v>24</v>
      </c>
      <c r="B1244" s="44">
        <f>FiscalStart+(A1244-1)*7</f>
        <v/>
      </c>
      <c r="C1244">
        <f>TEXT(B1244,"mmm yyyy")</f>
        <v/>
      </c>
      <c r="D1244">
        <f>"Q"&amp;(INT((A1244-1)/13)+1)</f>
        <v/>
      </c>
      <c r="E1244" t="inlineStr">
        <is>
          <t>Fitness</t>
        </is>
      </c>
      <c r="F1244">
        <f>IFERROR(INDEX(ChFormat,MATCH(E1244,ChName,0)),"")</f>
        <v/>
      </c>
      <c r="G1244" t="inlineStr">
        <is>
          <t>MB</t>
        </is>
      </c>
      <c r="H1244">
        <f>IF(A1244&lt;=NWeeks,1,0)</f>
        <v/>
      </c>
      <c r="I1244">
        <f>INDEX(ChLaunch,MATCH(E1244,ChName,0))</f>
        <v/>
      </c>
      <c r="J1244">
        <f>INDEX(ChWeeksFull,MATCH(E1244,ChName,0))</f>
        <v/>
      </c>
      <c r="K1244">
        <f>INDEX(ChRamp,MATCH(E1244,ChName,0))</f>
        <v/>
      </c>
      <c r="L1244" s="45">
        <f>MIN(1,MAX(0,(A1244-I1244+1)*RampSpeed/J1244))</f>
        <v/>
      </c>
      <c r="M1244" s="45">
        <f>IF(A1244&lt;I1244,0,IF(K1244="S-curve",L1244*L1244*(3-2*L1244),L1244))</f>
        <v/>
      </c>
      <c r="N1244" s="45">
        <f>1+(INDEX(SeasonIdx,A1244)-1)*SeasonAmp</f>
        <v/>
      </c>
      <c r="O1244" s="45">
        <f>IFERROR(INDEX(PSPct,MATCH(E1244&amp;"|"&amp;G1244,PSKey,0)),0)</f>
        <v/>
      </c>
      <c r="P1244" s="46">
        <f>INDEX(ChDoorVel,MATCH(E1244,ChName,0))*CalibScalar*(1+VelocityUplift)</f>
        <v/>
      </c>
      <c r="Q1244" s="46" t="n">
        <v>0</v>
      </c>
      <c r="R1244" s="46">
        <f>P1244*O1244*M1244*N1244*H1244</f>
        <v/>
      </c>
      <c r="S1244" s="46">
        <f>R1244*INDEX(FmtCansPerCase,MATCH(F1244,FmtName,0))</f>
        <v/>
      </c>
      <c r="T1244" s="46">
        <f>S1244/INDEX(FmtCansPerPack,MATCH(F1244,FmtName,0))</f>
        <v/>
      </c>
      <c r="U1244" s="47">
        <f>INDEX(ChBaseCP,MATCH(E1244,ChName,0))*(1+INDEX(ProvMod,MATCH(G1244,ProvCode,0)))*(1+PriceIndex)</f>
        <v/>
      </c>
      <c r="V1244" s="47">
        <f>R1244*U1244*INDEX(FmtBlendedPriceIdx,MATCH(F1244,FmtName,0))</f>
        <v/>
      </c>
      <c r="W1244" s="47">
        <f>T1244*INDEX(ProvSRP,MATCH(G1244,ProvCode,0))*(1+PriceIndex)</f>
        <v/>
      </c>
      <c r="X1244" s="47">
        <f>IF(GrossBasis="Wholesale",V1244,W1244)</f>
        <v/>
      </c>
      <c r="Y1244" s="47">
        <f>R1244*INDEX(FmtBlendedCogs,MATCH(F1244,FmtName,0))</f>
        <v/>
      </c>
      <c r="Z1244" s="47">
        <f>X1244-Y1244</f>
        <v/>
      </c>
    </row>
    <row r="1245">
      <c r="A1245" t="n">
        <v>25</v>
      </c>
      <c r="B1245" s="44">
        <f>FiscalStart+(A1245-1)*7</f>
        <v/>
      </c>
      <c r="C1245">
        <f>TEXT(B1245,"mmm yyyy")</f>
        <v/>
      </c>
      <c r="D1245">
        <f>"Q"&amp;(INT((A1245-1)/13)+1)</f>
        <v/>
      </c>
      <c r="E1245" t="inlineStr">
        <is>
          <t>Fitness</t>
        </is>
      </c>
      <c r="F1245">
        <f>IFERROR(INDEX(ChFormat,MATCH(E1245,ChName,0)),"")</f>
        <v/>
      </c>
      <c r="G1245" t="inlineStr">
        <is>
          <t>MB</t>
        </is>
      </c>
      <c r="H1245">
        <f>IF(A1245&lt;=NWeeks,1,0)</f>
        <v/>
      </c>
      <c r="I1245">
        <f>INDEX(ChLaunch,MATCH(E1245,ChName,0))</f>
        <v/>
      </c>
      <c r="J1245">
        <f>INDEX(ChWeeksFull,MATCH(E1245,ChName,0))</f>
        <v/>
      </c>
      <c r="K1245">
        <f>INDEX(ChRamp,MATCH(E1245,ChName,0))</f>
        <v/>
      </c>
      <c r="L1245" s="45">
        <f>MIN(1,MAX(0,(A1245-I1245+1)*RampSpeed/J1245))</f>
        <v/>
      </c>
      <c r="M1245" s="45">
        <f>IF(A1245&lt;I1245,0,IF(K1245="S-curve",L1245*L1245*(3-2*L1245),L1245))</f>
        <v/>
      </c>
      <c r="N1245" s="45">
        <f>1+(INDEX(SeasonIdx,A1245)-1)*SeasonAmp</f>
        <v/>
      </c>
      <c r="O1245" s="45">
        <f>IFERROR(INDEX(PSPct,MATCH(E1245&amp;"|"&amp;G1245,PSKey,0)),0)</f>
        <v/>
      </c>
      <c r="P1245" s="46">
        <f>INDEX(ChDoorVel,MATCH(E1245,ChName,0))*CalibScalar*(1+VelocityUplift)</f>
        <v/>
      </c>
      <c r="Q1245" s="46" t="n">
        <v>0</v>
      </c>
      <c r="R1245" s="46">
        <f>P1245*O1245*M1245*N1245*H1245</f>
        <v/>
      </c>
      <c r="S1245" s="46">
        <f>R1245*INDEX(FmtCansPerCase,MATCH(F1245,FmtName,0))</f>
        <v/>
      </c>
      <c r="T1245" s="46">
        <f>S1245/INDEX(FmtCansPerPack,MATCH(F1245,FmtName,0))</f>
        <v/>
      </c>
      <c r="U1245" s="47">
        <f>INDEX(ChBaseCP,MATCH(E1245,ChName,0))*(1+INDEX(ProvMod,MATCH(G1245,ProvCode,0)))*(1+PriceIndex)</f>
        <v/>
      </c>
      <c r="V1245" s="47">
        <f>R1245*U1245*INDEX(FmtBlendedPriceIdx,MATCH(F1245,FmtName,0))</f>
        <v/>
      </c>
      <c r="W1245" s="47">
        <f>T1245*INDEX(ProvSRP,MATCH(G1245,ProvCode,0))*(1+PriceIndex)</f>
        <v/>
      </c>
      <c r="X1245" s="47">
        <f>IF(GrossBasis="Wholesale",V1245,W1245)</f>
        <v/>
      </c>
      <c r="Y1245" s="47">
        <f>R1245*INDEX(FmtBlendedCogs,MATCH(F1245,FmtName,0))</f>
        <v/>
      </c>
      <c r="Z1245" s="47">
        <f>X1245-Y1245</f>
        <v/>
      </c>
    </row>
    <row r="1246">
      <c r="A1246" t="n">
        <v>26</v>
      </c>
      <c r="B1246" s="44">
        <f>FiscalStart+(A1246-1)*7</f>
        <v/>
      </c>
      <c r="C1246">
        <f>TEXT(B1246,"mmm yyyy")</f>
        <v/>
      </c>
      <c r="D1246">
        <f>"Q"&amp;(INT((A1246-1)/13)+1)</f>
        <v/>
      </c>
      <c r="E1246" t="inlineStr">
        <is>
          <t>Fitness</t>
        </is>
      </c>
      <c r="F1246">
        <f>IFERROR(INDEX(ChFormat,MATCH(E1246,ChName,0)),"")</f>
        <v/>
      </c>
      <c r="G1246" t="inlineStr">
        <is>
          <t>MB</t>
        </is>
      </c>
      <c r="H1246">
        <f>IF(A1246&lt;=NWeeks,1,0)</f>
        <v/>
      </c>
      <c r="I1246">
        <f>INDEX(ChLaunch,MATCH(E1246,ChName,0))</f>
        <v/>
      </c>
      <c r="J1246">
        <f>INDEX(ChWeeksFull,MATCH(E1246,ChName,0))</f>
        <v/>
      </c>
      <c r="K1246">
        <f>INDEX(ChRamp,MATCH(E1246,ChName,0))</f>
        <v/>
      </c>
      <c r="L1246" s="45">
        <f>MIN(1,MAX(0,(A1246-I1246+1)*RampSpeed/J1246))</f>
        <v/>
      </c>
      <c r="M1246" s="45">
        <f>IF(A1246&lt;I1246,0,IF(K1246="S-curve",L1246*L1246*(3-2*L1246),L1246))</f>
        <v/>
      </c>
      <c r="N1246" s="45">
        <f>1+(INDEX(SeasonIdx,A1246)-1)*SeasonAmp</f>
        <v/>
      </c>
      <c r="O1246" s="45">
        <f>IFERROR(INDEX(PSPct,MATCH(E1246&amp;"|"&amp;G1246,PSKey,0)),0)</f>
        <v/>
      </c>
      <c r="P1246" s="46">
        <f>INDEX(ChDoorVel,MATCH(E1246,ChName,0))*CalibScalar*(1+VelocityUplift)</f>
        <v/>
      </c>
      <c r="Q1246" s="46" t="n">
        <v>0</v>
      </c>
      <c r="R1246" s="46">
        <f>P1246*O1246*M1246*N1246*H1246</f>
        <v/>
      </c>
      <c r="S1246" s="46">
        <f>R1246*INDEX(FmtCansPerCase,MATCH(F1246,FmtName,0))</f>
        <v/>
      </c>
      <c r="T1246" s="46">
        <f>S1246/INDEX(FmtCansPerPack,MATCH(F1246,FmtName,0))</f>
        <v/>
      </c>
      <c r="U1246" s="47">
        <f>INDEX(ChBaseCP,MATCH(E1246,ChName,0))*(1+INDEX(ProvMod,MATCH(G1246,ProvCode,0)))*(1+PriceIndex)</f>
        <v/>
      </c>
      <c r="V1246" s="47">
        <f>R1246*U1246*INDEX(FmtBlendedPriceIdx,MATCH(F1246,FmtName,0))</f>
        <v/>
      </c>
      <c r="W1246" s="47">
        <f>T1246*INDEX(ProvSRP,MATCH(G1246,ProvCode,0))*(1+PriceIndex)</f>
        <v/>
      </c>
      <c r="X1246" s="47">
        <f>IF(GrossBasis="Wholesale",V1246,W1246)</f>
        <v/>
      </c>
      <c r="Y1246" s="47">
        <f>R1246*INDEX(FmtBlendedCogs,MATCH(F1246,FmtName,0))</f>
        <v/>
      </c>
      <c r="Z1246" s="47">
        <f>X1246-Y1246</f>
        <v/>
      </c>
    </row>
    <row r="1247">
      <c r="A1247" t="n">
        <v>27</v>
      </c>
      <c r="B1247" s="44">
        <f>FiscalStart+(A1247-1)*7</f>
        <v/>
      </c>
      <c r="C1247">
        <f>TEXT(B1247,"mmm yyyy")</f>
        <v/>
      </c>
      <c r="D1247">
        <f>"Q"&amp;(INT((A1247-1)/13)+1)</f>
        <v/>
      </c>
      <c r="E1247" t="inlineStr">
        <is>
          <t>Fitness</t>
        </is>
      </c>
      <c r="F1247">
        <f>IFERROR(INDEX(ChFormat,MATCH(E1247,ChName,0)),"")</f>
        <v/>
      </c>
      <c r="G1247" t="inlineStr">
        <is>
          <t>MB</t>
        </is>
      </c>
      <c r="H1247">
        <f>IF(A1247&lt;=NWeeks,1,0)</f>
        <v/>
      </c>
      <c r="I1247">
        <f>INDEX(ChLaunch,MATCH(E1247,ChName,0))</f>
        <v/>
      </c>
      <c r="J1247">
        <f>INDEX(ChWeeksFull,MATCH(E1247,ChName,0))</f>
        <v/>
      </c>
      <c r="K1247">
        <f>INDEX(ChRamp,MATCH(E1247,ChName,0))</f>
        <v/>
      </c>
      <c r="L1247" s="45">
        <f>MIN(1,MAX(0,(A1247-I1247+1)*RampSpeed/J1247))</f>
        <v/>
      </c>
      <c r="M1247" s="45">
        <f>IF(A1247&lt;I1247,0,IF(K1247="S-curve",L1247*L1247*(3-2*L1247),L1247))</f>
        <v/>
      </c>
      <c r="N1247" s="45">
        <f>1+(INDEX(SeasonIdx,A1247)-1)*SeasonAmp</f>
        <v/>
      </c>
      <c r="O1247" s="45">
        <f>IFERROR(INDEX(PSPct,MATCH(E1247&amp;"|"&amp;G1247,PSKey,0)),0)</f>
        <v/>
      </c>
      <c r="P1247" s="46">
        <f>INDEX(ChDoorVel,MATCH(E1247,ChName,0))*CalibScalar*(1+VelocityUplift)</f>
        <v/>
      </c>
      <c r="Q1247" s="46" t="n">
        <v>0</v>
      </c>
      <c r="R1247" s="46">
        <f>P1247*O1247*M1247*N1247*H1247</f>
        <v/>
      </c>
      <c r="S1247" s="46">
        <f>R1247*INDEX(FmtCansPerCase,MATCH(F1247,FmtName,0))</f>
        <v/>
      </c>
      <c r="T1247" s="46">
        <f>S1247/INDEX(FmtCansPerPack,MATCH(F1247,FmtName,0))</f>
        <v/>
      </c>
      <c r="U1247" s="47">
        <f>INDEX(ChBaseCP,MATCH(E1247,ChName,0))*(1+INDEX(ProvMod,MATCH(G1247,ProvCode,0)))*(1+PriceIndex)</f>
        <v/>
      </c>
      <c r="V1247" s="47">
        <f>R1247*U1247*INDEX(FmtBlendedPriceIdx,MATCH(F1247,FmtName,0))</f>
        <v/>
      </c>
      <c r="W1247" s="47">
        <f>T1247*INDEX(ProvSRP,MATCH(G1247,ProvCode,0))*(1+PriceIndex)</f>
        <v/>
      </c>
      <c r="X1247" s="47">
        <f>IF(GrossBasis="Wholesale",V1247,W1247)</f>
        <v/>
      </c>
      <c r="Y1247" s="47">
        <f>R1247*INDEX(FmtBlendedCogs,MATCH(F1247,FmtName,0))</f>
        <v/>
      </c>
      <c r="Z1247" s="47">
        <f>X1247-Y1247</f>
        <v/>
      </c>
    </row>
    <row r="1248">
      <c r="A1248" t="n">
        <v>28</v>
      </c>
      <c r="B1248" s="44">
        <f>FiscalStart+(A1248-1)*7</f>
        <v/>
      </c>
      <c r="C1248">
        <f>TEXT(B1248,"mmm yyyy")</f>
        <v/>
      </c>
      <c r="D1248">
        <f>"Q"&amp;(INT((A1248-1)/13)+1)</f>
        <v/>
      </c>
      <c r="E1248" t="inlineStr">
        <is>
          <t>Fitness</t>
        </is>
      </c>
      <c r="F1248">
        <f>IFERROR(INDEX(ChFormat,MATCH(E1248,ChName,0)),"")</f>
        <v/>
      </c>
      <c r="G1248" t="inlineStr">
        <is>
          <t>MB</t>
        </is>
      </c>
      <c r="H1248">
        <f>IF(A1248&lt;=NWeeks,1,0)</f>
        <v/>
      </c>
      <c r="I1248">
        <f>INDEX(ChLaunch,MATCH(E1248,ChName,0))</f>
        <v/>
      </c>
      <c r="J1248">
        <f>INDEX(ChWeeksFull,MATCH(E1248,ChName,0))</f>
        <v/>
      </c>
      <c r="K1248">
        <f>INDEX(ChRamp,MATCH(E1248,ChName,0))</f>
        <v/>
      </c>
      <c r="L1248" s="45">
        <f>MIN(1,MAX(0,(A1248-I1248+1)*RampSpeed/J1248))</f>
        <v/>
      </c>
      <c r="M1248" s="45">
        <f>IF(A1248&lt;I1248,0,IF(K1248="S-curve",L1248*L1248*(3-2*L1248),L1248))</f>
        <v/>
      </c>
      <c r="N1248" s="45">
        <f>1+(INDEX(SeasonIdx,A1248)-1)*SeasonAmp</f>
        <v/>
      </c>
      <c r="O1248" s="45">
        <f>IFERROR(INDEX(PSPct,MATCH(E1248&amp;"|"&amp;G1248,PSKey,0)),0)</f>
        <v/>
      </c>
      <c r="P1248" s="46">
        <f>INDEX(ChDoorVel,MATCH(E1248,ChName,0))*CalibScalar*(1+VelocityUplift)</f>
        <v/>
      </c>
      <c r="Q1248" s="46" t="n">
        <v>0</v>
      </c>
      <c r="R1248" s="46">
        <f>P1248*O1248*M1248*N1248*H1248</f>
        <v/>
      </c>
      <c r="S1248" s="46">
        <f>R1248*INDEX(FmtCansPerCase,MATCH(F1248,FmtName,0))</f>
        <v/>
      </c>
      <c r="T1248" s="46">
        <f>S1248/INDEX(FmtCansPerPack,MATCH(F1248,FmtName,0))</f>
        <v/>
      </c>
      <c r="U1248" s="47">
        <f>INDEX(ChBaseCP,MATCH(E1248,ChName,0))*(1+INDEX(ProvMod,MATCH(G1248,ProvCode,0)))*(1+PriceIndex)</f>
        <v/>
      </c>
      <c r="V1248" s="47">
        <f>R1248*U1248*INDEX(FmtBlendedPriceIdx,MATCH(F1248,FmtName,0))</f>
        <v/>
      </c>
      <c r="W1248" s="47">
        <f>T1248*INDEX(ProvSRP,MATCH(G1248,ProvCode,0))*(1+PriceIndex)</f>
        <v/>
      </c>
      <c r="X1248" s="47">
        <f>IF(GrossBasis="Wholesale",V1248,W1248)</f>
        <v/>
      </c>
      <c r="Y1248" s="47">
        <f>R1248*INDEX(FmtBlendedCogs,MATCH(F1248,FmtName,0))</f>
        <v/>
      </c>
      <c r="Z1248" s="47">
        <f>X1248-Y1248</f>
        <v/>
      </c>
    </row>
    <row r="1249">
      <c r="A1249" t="n">
        <v>29</v>
      </c>
      <c r="B1249" s="44">
        <f>FiscalStart+(A1249-1)*7</f>
        <v/>
      </c>
      <c r="C1249">
        <f>TEXT(B1249,"mmm yyyy")</f>
        <v/>
      </c>
      <c r="D1249">
        <f>"Q"&amp;(INT((A1249-1)/13)+1)</f>
        <v/>
      </c>
      <c r="E1249" t="inlineStr">
        <is>
          <t>Fitness</t>
        </is>
      </c>
      <c r="F1249">
        <f>IFERROR(INDEX(ChFormat,MATCH(E1249,ChName,0)),"")</f>
        <v/>
      </c>
      <c r="G1249" t="inlineStr">
        <is>
          <t>MB</t>
        </is>
      </c>
      <c r="H1249">
        <f>IF(A1249&lt;=NWeeks,1,0)</f>
        <v/>
      </c>
      <c r="I1249">
        <f>INDEX(ChLaunch,MATCH(E1249,ChName,0))</f>
        <v/>
      </c>
      <c r="J1249">
        <f>INDEX(ChWeeksFull,MATCH(E1249,ChName,0))</f>
        <v/>
      </c>
      <c r="K1249">
        <f>INDEX(ChRamp,MATCH(E1249,ChName,0))</f>
        <v/>
      </c>
      <c r="L1249" s="45">
        <f>MIN(1,MAX(0,(A1249-I1249+1)*RampSpeed/J1249))</f>
        <v/>
      </c>
      <c r="M1249" s="45">
        <f>IF(A1249&lt;I1249,0,IF(K1249="S-curve",L1249*L1249*(3-2*L1249),L1249))</f>
        <v/>
      </c>
      <c r="N1249" s="45">
        <f>1+(INDEX(SeasonIdx,A1249)-1)*SeasonAmp</f>
        <v/>
      </c>
      <c r="O1249" s="45">
        <f>IFERROR(INDEX(PSPct,MATCH(E1249&amp;"|"&amp;G1249,PSKey,0)),0)</f>
        <v/>
      </c>
      <c r="P1249" s="46">
        <f>INDEX(ChDoorVel,MATCH(E1249,ChName,0))*CalibScalar*(1+VelocityUplift)</f>
        <v/>
      </c>
      <c r="Q1249" s="46" t="n">
        <v>0</v>
      </c>
      <c r="R1249" s="46">
        <f>P1249*O1249*M1249*N1249*H1249</f>
        <v/>
      </c>
      <c r="S1249" s="46">
        <f>R1249*INDEX(FmtCansPerCase,MATCH(F1249,FmtName,0))</f>
        <v/>
      </c>
      <c r="T1249" s="46">
        <f>S1249/INDEX(FmtCansPerPack,MATCH(F1249,FmtName,0))</f>
        <v/>
      </c>
      <c r="U1249" s="47">
        <f>INDEX(ChBaseCP,MATCH(E1249,ChName,0))*(1+INDEX(ProvMod,MATCH(G1249,ProvCode,0)))*(1+PriceIndex)</f>
        <v/>
      </c>
      <c r="V1249" s="47">
        <f>R1249*U1249*INDEX(FmtBlendedPriceIdx,MATCH(F1249,FmtName,0))</f>
        <v/>
      </c>
      <c r="W1249" s="47">
        <f>T1249*INDEX(ProvSRP,MATCH(G1249,ProvCode,0))*(1+PriceIndex)</f>
        <v/>
      </c>
      <c r="X1249" s="47">
        <f>IF(GrossBasis="Wholesale",V1249,W1249)</f>
        <v/>
      </c>
      <c r="Y1249" s="47">
        <f>R1249*INDEX(FmtBlendedCogs,MATCH(F1249,FmtName,0))</f>
        <v/>
      </c>
      <c r="Z1249" s="47">
        <f>X1249-Y1249</f>
        <v/>
      </c>
    </row>
    <row r="1250">
      <c r="A1250" t="n">
        <v>30</v>
      </c>
      <c r="B1250" s="44">
        <f>FiscalStart+(A1250-1)*7</f>
        <v/>
      </c>
      <c r="C1250">
        <f>TEXT(B1250,"mmm yyyy")</f>
        <v/>
      </c>
      <c r="D1250">
        <f>"Q"&amp;(INT((A1250-1)/13)+1)</f>
        <v/>
      </c>
      <c r="E1250" t="inlineStr">
        <is>
          <t>Fitness</t>
        </is>
      </c>
      <c r="F1250">
        <f>IFERROR(INDEX(ChFormat,MATCH(E1250,ChName,0)),"")</f>
        <v/>
      </c>
      <c r="G1250" t="inlineStr">
        <is>
          <t>MB</t>
        </is>
      </c>
      <c r="H1250">
        <f>IF(A1250&lt;=NWeeks,1,0)</f>
        <v/>
      </c>
      <c r="I1250">
        <f>INDEX(ChLaunch,MATCH(E1250,ChName,0))</f>
        <v/>
      </c>
      <c r="J1250">
        <f>INDEX(ChWeeksFull,MATCH(E1250,ChName,0))</f>
        <v/>
      </c>
      <c r="K1250">
        <f>INDEX(ChRamp,MATCH(E1250,ChName,0))</f>
        <v/>
      </c>
      <c r="L1250" s="45">
        <f>MIN(1,MAX(0,(A1250-I1250+1)*RampSpeed/J1250))</f>
        <v/>
      </c>
      <c r="M1250" s="45">
        <f>IF(A1250&lt;I1250,0,IF(K1250="S-curve",L1250*L1250*(3-2*L1250),L1250))</f>
        <v/>
      </c>
      <c r="N1250" s="45">
        <f>1+(INDEX(SeasonIdx,A1250)-1)*SeasonAmp</f>
        <v/>
      </c>
      <c r="O1250" s="45">
        <f>IFERROR(INDEX(PSPct,MATCH(E1250&amp;"|"&amp;G1250,PSKey,0)),0)</f>
        <v/>
      </c>
      <c r="P1250" s="46">
        <f>INDEX(ChDoorVel,MATCH(E1250,ChName,0))*CalibScalar*(1+VelocityUplift)</f>
        <v/>
      </c>
      <c r="Q1250" s="46" t="n">
        <v>0</v>
      </c>
      <c r="R1250" s="46">
        <f>P1250*O1250*M1250*N1250*H1250</f>
        <v/>
      </c>
      <c r="S1250" s="46">
        <f>R1250*INDEX(FmtCansPerCase,MATCH(F1250,FmtName,0))</f>
        <v/>
      </c>
      <c r="T1250" s="46">
        <f>S1250/INDEX(FmtCansPerPack,MATCH(F1250,FmtName,0))</f>
        <v/>
      </c>
      <c r="U1250" s="47">
        <f>INDEX(ChBaseCP,MATCH(E1250,ChName,0))*(1+INDEX(ProvMod,MATCH(G1250,ProvCode,0)))*(1+PriceIndex)</f>
        <v/>
      </c>
      <c r="V1250" s="47">
        <f>R1250*U1250*INDEX(FmtBlendedPriceIdx,MATCH(F1250,FmtName,0))</f>
        <v/>
      </c>
      <c r="W1250" s="47">
        <f>T1250*INDEX(ProvSRP,MATCH(G1250,ProvCode,0))*(1+PriceIndex)</f>
        <v/>
      </c>
      <c r="X1250" s="47">
        <f>IF(GrossBasis="Wholesale",V1250,W1250)</f>
        <v/>
      </c>
      <c r="Y1250" s="47">
        <f>R1250*INDEX(FmtBlendedCogs,MATCH(F1250,FmtName,0))</f>
        <v/>
      </c>
      <c r="Z1250" s="47">
        <f>X1250-Y1250</f>
        <v/>
      </c>
    </row>
    <row r="1251">
      <c r="A1251" t="n">
        <v>31</v>
      </c>
      <c r="B1251" s="44">
        <f>FiscalStart+(A1251-1)*7</f>
        <v/>
      </c>
      <c r="C1251">
        <f>TEXT(B1251,"mmm yyyy")</f>
        <v/>
      </c>
      <c r="D1251">
        <f>"Q"&amp;(INT((A1251-1)/13)+1)</f>
        <v/>
      </c>
      <c r="E1251" t="inlineStr">
        <is>
          <t>Fitness</t>
        </is>
      </c>
      <c r="F1251">
        <f>IFERROR(INDEX(ChFormat,MATCH(E1251,ChName,0)),"")</f>
        <v/>
      </c>
      <c r="G1251" t="inlineStr">
        <is>
          <t>MB</t>
        </is>
      </c>
      <c r="H1251">
        <f>IF(A1251&lt;=NWeeks,1,0)</f>
        <v/>
      </c>
      <c r="I1251">
        <f>INDEX(ChLaunch,MATCH(E1251,ChName,0))</f>
        <v/>
      </c>
      <c r="J1251">
        <f>INDEX(ChWeeksFull,MATCH(E1251,ChName,0))</f>
        <v/>
      </c>
      <c r="K1251">
        <f>INDEX(ChRamp,MATCH(E1251,ChName,0))</f>
        <v/>
      </c>
      <c r="L1251" s="45">
        <f>MIN(1,MAX(0,(A1251-I1251+1)*RampSpeed/J1251))</f>
        <v/>
      </c>
      <c r="M1251" s="45">
        <f>IF(A1251&lt;I1251,0,IF(K1251="S-curve",L1251*L1251*(3-2*L1251),L1251))</f>
        <v/>
      </c>
      <c r="N1251" s="45">
        <f>1+(INDEX(SeasonIdx,A1251)-1)*SeasonAmp</f>
        <v/>
      </c>
      <c r="O1251" s="45">
        <f>IFERROR(INDEX(PSPct,MATCH(E1251&amp;"|"&amp;G1251,PSKey,0)),0)</f>
        <v/>
      </c>
      <c r="P1251" s="46">
        <f>INDEX(ChDoorVel,MATCH(E1251,ChName,0))*CalibScalar*(1+VelocityUplift)</f>
        <v/>
      </c>
      <c r="Q1251" s="46" t="n">
        <v>0</v>
      </c>
      <c r="R1251" s="46">
        <f>P1251*O1251*M1251*N1251*H1251</f>
        <v/>
      </c>
      <c r="S1251" s="46">
        <f>R1251*INDEX(FmtCansPerCase,MATCH(F1251,FmtName,0))</f>
        <v/>
      </c>
      <c r="T1251" s="46">
        <f>S1251/INDEX(FmtCansPerPack,MATCH(F1251,FmtName,0))</f>
        <v/>
      </c>
      <c r="U1251" s="47">
        <f>INDEX(ChBaseCP,MATCH(E1251,ChName,0))*(1+INDEX(ProvMod,MATCH(G1251,ProvCode,0)))*(1+PriceIndex)</f>
        <v/>
      </c>
      <c r="V1251" s="47">
        <f>R1251*U1251*INDEX(FmtBlendedPriceIdx,MATCH(F1251,FmtName,0))</f>
        <v/>
      </c>
      <c r="W1251" s="47">
        <f>T1251*INDEX(ProvSRP,MATCH(G1251,ProvCode,0))*(1+PriceIndex)</f>
        <v/>
      </c>
      <c r="X1251" s="47">
        <f>IF(GrossBasis="Wholesale",V1251,W1251)</f>
        <v/>
      </c>
      <c r="Y1251" s="47">
        <f>R1251*INDEX(FmtBlendedCogs,MATCH(F1251,FmtName,0))</f>
        <v/>
      </c>
      <c r="Z1251" s="47">
        <f>X1251-Y1251</f>
        <v/>
      </c>
    </row>
    <row r="1252">
      <c r="A1252" t="n">
        <v>32</v>
      </c>
      <c r="B1252" s="44">
        <f>FiscalStart+(A1252-1)*7</f>
        <v/>
      </c>
      <c r="C1252">
        <f>TEXT(B1252,"mmm yyyy")</f>
        <v/>
      </c>
      <c r="D1252">
        <f>"Q"&amp;(INT((A1252-1)/13)+1)</f>
        <v/>
      </c>
      <c r="E1252" t="inlineStr">
        <is>
          <t>Fitness</t>
        </is>
      </c>
      <c r="F1252">
        <f>IFERROR(INDEX(ChFormat,MATCH(E1252,ChName,0)),"")</f>
        <v/>
      </c>
      <c r="G1252" t="inlineStr">
        <is>
          <t>MB</t>
        </is>
      </c>
      <c r="H1252">
        <f>IF(A1252&lt;=NWeeks,1,0)</f>
        <v/>
      </c>
      <c r="I1252">
        <f>INDEX(ChLaunch,MATCH(E1252,ChName,0))</f>
        <v/>
      </c>
      <c r="J1252">
        <f>INDEX(ChWeeksFull,MATCH(E1252,ChName,0))</f>
        <v/>
      </c>
      <c r="K1252">
        <f>INDEX(ChRamp,MATCH(E1252,ChName,0))</f>
        <v/>
      </c>
      <c r="L1252" s="45">
        <f>MIN(1,MAX(0,(A1252-I1252+1)*RampSpeed/J1252))</f>
        <v/>
      </c>
      <c r="M1252" s="45">
        <f>IF(A1252&lt;I1252,0,IF(K1252="S-curve",L1252*L1252*(3-2*L1252),L1252))</f>
        <v/>
      </c>
      <c r="N1252" s="45">
        <f>1+(INDEX(SeasonIdx,A1252)-1)*SeasonAmp</f>
        <v/>
      </c>
      <c r="O1252" s="45">
        <f>IFERROR(INDEX(PSPct,MATCH(E1252&amp;"|"&amp;G1252,PSKey,0)),0)</f>
        <v/>
      </c>
      <c r="P1252" s="46">
        <f>INDEX(ChDoorVel,MATCH(E1252,ChName,0))*CalibScalar*(1+VelocityUplift)</f>
        <v/>
      </c>
      <c r="Q1252" s="46" t="n">
        <v>0</v>
      </c>
      <c r="R1252" s="46">
        <f>P1252*O1252*M1252*N1252*H1252</f>
        <v/>
      </c>
      <c r="S1252" s="46">
        <f>R1252*INDEX(FmtCansPerCase,MATCH(F1252,FmtName,0))</f>
        <v/>
      </c>
      <c r="T1252" s="46">
        <f>S1252/INDEX(FmtCansPerPack,MATCH(F1252,FmtName,0))</f>
        <v/>
      </c>
      <c r="U1252" s="47">
        <f>INDEX(ChBaseCP,MATCH(E1252,ChName,0))*(1+INDEX(ProvMod,MATCH(G1252,ProvCode,0)))*(1+PriceIndex)</f>
        <v/>
      </c>
      <c r="V1252" s="47">
        <f>R1252*U1252*INDEX(FmtBlendedPriceIdx,MATCH(F1252,FmtName,0))</f>
        <v/>
      </c>
      <c r="W1252" s="47">
        <f>T1252*INDEX(ProvSRP,MATCH(G1252,ProvCode,0))*(1+PriceIndex)</f>
        <v/>
      </c>
      <c r="X1252" s="47">
        <f>IF(GrossBasis="Wholesale",V1252,W1252)</f>
        <v/>
      </c>
      <c r="Y1252" s="47">
        <f>R1252*INDEX(FmtBlendedCogs,MATCH(F1252,FmtName,0))</f>
        <v/>
      </c>
      <c r="Z1252" s="47">
        <f>X1252-Y1252</f>
        <v/>
      </c>
    </row>
    <row r="1253">
      <c r="A1253" t="n">
        <v>33</v>
      </c>
      <c r="B1253" s="44">
        <f>FiscalStart+(A1253-1)*7</f>
        <v/>
      </c>
      <c r="C1253">
        <f>TEXT(B1253,"mmm yyyy")</f>
        <v/>
      </c>
      <c r="D1253">
        <f>"Q"&amp;(INT((A1253-1)/13)+1)</f>
        <v/>
      </c>
      <c r="E1253" t="inlineStr">
        <is>
          <t>Fitness</t>
        </is>
      </c>
      <c r="F1253">
        <f>IFERROR(INDEX(ChFormat,MATCH(E1253,ChName,0)),"")</f>
        <v/>
      </c>
      <c r="G1253" t="inlineStr">
        <is>
          <t>MB</t>
        </is>
      </c>
      <c r="H1253">
        <f>IF(A1253&lt;=NWeeks,1,0)</f>
        <v/>
      </c>
      <c r="I1253">
        <f>INDEX(ChLaunch,MATCH(E1253,ChName,0))</f>
        <v/>
      </c>
      <c r="J1253">
        <f>INDEX(ChWeeksFull,MATCH(E1253,ChName,0))</f>
        <v/>
      </c>
      <c r="K1253">
        <f>INDEX(ChRamp,MATCH(E1253,ChName,0))</f>
        <v/>
      </c>
      <c r="L1253" s="45">
        <f>MIN(1,MAX(0,(A1253-I1253+1)*RampSpeed/J1253))</f>
        <v/>
      </c>
      <c r="M1253" s="45">
        <f>IF(A1253&lt;I1253,0,IF(K1253="S-curve",L1253*L1253*(3-2*L1253),L1253))</f>
        <v/>
      </c>
      <c r="N1253" s="45">
        <f>1+(INDEX(SeasonIdx,A1253)-1)*SeasonAmp</f>
        <v/>
      </c>
      <c r="O1253" s="45">
        <f>IFERROR(INDEX(PSPct,MATCH(E1253&amp;"|"&amp;G1253,PSKey,0)),0)</f>
        <v/>
      </c>
      <c r="P1253" s="46">
        <f>INDEX(ChDoorVel,MATCH(E1253,ChName,0))*CalibScalar*(1+VelocityUplift)</f>
        <v/>
      </c>
      <c r="Q1253" s="46" t="n">
        <v>0</v>
      </c>
      <c r="R1253" s="46">
        <f>P1253*O1253*M1253*N1253*H1253</f>
        <v/>
      </c>
      <c r="S1253" s="46">
        <f>R1253*INDEX(FmtCansPerCase,MATCH(F1253,FmtName,0))</f>
        <v/>
      </c>
      <c r="T1253" s="46">
        <f>S1253/INDEX(FmtCansPerPack,MATCH(F1253,FmtName,0))</f>
        <v/>
      </c>
      <c r="U1253" s="47">
        <f>INDEX(ChBaseCP,MATCH(E1253,ChName,0))*(1+INDEX(ProvMod,MATCH(G1253,ProvCode,0)))*(1+PriceIndex)</f>
        <v/>
      </c>
      <c r="V1253" s="47">
        <f>R1253*U1253*INDEX(FmtBlendedPriceIdx,MATCH(F1253,FmtName,0))</f>
        <v/>
      </c>
      <c r="W1253" s="47">
        <f>T1253*INDEX(ProvSRP,MATCH(G1253,ProvCode,0))*(1+PriceIndex)</f>
        <v/>
      </c>
      <c r="X1253" s="47">
        <f>IF(GrossBasis="Wholesale",V1253,W1253)</f>
        <v/>
      </c>
      <c r="Y1253" s="47">
        <f>R1253*INDEX(FmtBlendedCogs,MATCH(F1253,FmtName,0))</f>
        <v/>
      </c>
      <c r="Z1253" s="47">
        <f>X1253-Y1253</f>
        <v/>
      </c>
    </row>
    <row r="1254">
      <c r="A1254" t="n">
        <v>34</v>
      </c>
      <c r="B1254" s="44">
        <f>FiscalStart+(A1254-1)*7</f>
        <v/>
      </c>
      <c r="C1254">
        <f>TEXT(B1254,"mmm yyyy")</f>
        <v/>
      </c>
      <c r="D1254">
        <f>"Q"&amp;(INT((A1254-1)/13)+1)</f>
        <v/>
      </c>
      <c r="E1254" t="inlineStr">
        <is>
          <t>Fitness</t>
        </is>
      </c>
      <c r="F1254">
        <f>IFERROR(INDEX(ChFormat,MATCH(E1254,ChName,0)),"")</f>
        <v/>
      </c>
      <c r="G1254" t="inlineStr">
        <is>
          <t>MB</t>
        </is>
      </c>
      <c r="H1254">
        <f>IF(A1254&lt;=NWeeks,1,0)</f>
        <v/>
      </c>
      <c r="I1254">
        <f>INDEX(ChLaunch,MATCH(E1254,ChName,0))</f>
        <v/>
      </c>
      <c r="J1254">
        <f>INDEX(ChWeeksFull,MATCH(E1254,ChName,0))</f>
        <v/>
      </c>
      <c r="K1254">
        <f>INDEX(ChRamp,MATCH(E1254,ChName,0))</f>
        <v/>
      </c>
      <c r="L1254" s="45">
        <f>MIN(1,MAX(0,(A1254-I1254+1)*RampSpeed/J1254))</f>
        <v/>
      </c>
      <c r="M1254" s="45">
        <f>IF(A1254&lt;I1254,0,IF(K1254="S-curve",L1254*L1254*(3-2*L1254),L1254))</f>
        <v/>
      </c>
      <c r="N1254" s="45">
        <f>1+(INDEX(SeasonIdx,A1254)-1)*SeasonAmp</f>
        <v/>
      </c>
      <c r="O1254" s="45">
        <f>IFERROR(INDEX(PSPct,MATCH(E1254&amp;"|"&amp;G1254,PSKey,0)),0)</f>
        <v/>
      </c>
      <c r="P1254" s="46">
        <f>INDEX(ChDoorVel,MATCH(E1254,ChName,0))*CalibScalar*(1+VelocityUplift)</f>
        <v/>
      </c>
      <c r="Q1254" s="46" t="n">
        <v>0</v>
      </c>
      <c r="R1254" s="46">
        <f>P1254*O1254*M1254*N1254*H1254</f>
        <v/>
      </c>
      <c r="S1254" s="46">
        <f>R1254*INDEX(FmtCansPerCase,MATCH(F1254,FmtName,0))</f>
        <v/>
      </c>
      <c r="T1254" s="46">
        <f>S1254/INDEX(FmtCansPerPack,MATCH(F1254,FmtName,0))</f>
        <v/>
      </c>
      <c r="U1254" s="47">
        <f>INDEX(ChBaseCP,MATCH(E1254,ChName,0))*(1+INDEX(ProvMod,MATCH(G1254,ProvCode,0)))*(1+PriceIndex)</f>
        <v/>
      </c>
      <c r="V1254" s="47">
        <f>R1254*U1254*INDEX(FmtBlendedPriceIdx,MATCH(F1254,FmtName,0))</f>
        <v/>
      </c>
      <c r="W1254" s="47">
        <f>T1254*INDEX(ProvSRP,MATCH(G1254,ProvCode,0))*(1+PriceIndex)</f>
        <v/>
      </c>
      <c r="X1254" s="47">
        <f>IF(GrossBasis="Wholesale",V1254,W1254)</f>
        <v/>
      </c>
      <c r="Y1254" s="47">
        <f>R1254*INDEX(FmtBlendedCogs,MATCH(F1254,FmtName,0))</f>
        <v/>
      </c>
      <c r="Z1254" s="47">
        <f>X1254-Y1254</f>
        <v/>
      </c>
    </row>
    <row r="1255">
      <c r="A1255" t="n">
        <v>35</v>
      </c>
      <c r="B1255" s="44">
        <f>FiscalStart+(A1255-1)*7</f>
        <v/>
      </c>
      <c r="C1255">
        <f>TEXT(B1255,"mmm yyyy")</f>
        <v/>
      </c>
      <c r="D1255">
        <f>"Q"&amp;(INT((A1255-1)/13)+1)</f>
        <v/>
      </c>
      <c r="E1255" t="inlineStr">
        <is>
          <t>Fitness</t>
        </is>
      </c>
      <c r="F1255">
        <f>IFERROR(INDEX(ChFormat,MATCH(E1255,ChName,0)),"")</f>
        <v/>
      </c>
      <c r="G1255" t="inlineStr">
        <is>
          <t>MB</t>
        </is>
      </c>
      <c r="H1255">
        <f>IF(A1255&lt;=NWeeks,1,0)</f>
        <v/>
      </c>
      <c r="I1255">
        <f>INDEX(ChLaunch,MATCH(E1255,ChName,0))</f>
        <v/>
      </c>
      <c r="J1255">
        <f>INDEX(ChWeeksFull,MATCH(E1255,ChName,0))</f>
        <v/>
      </c>
      <c r="K1255">
        <f>INDEX(ChRamp,MATCH(E1255,ChName,0))</f>
        <v/>
      </c>
      <c r="L1255" s="45">
        <f>MIN(1,MAX(0,(A1255-I1255+1)*RampSpeed/J1255))</f>
        <v/>
      </c>
      <c r="M1255" s="45">
        <f>IF(A1255&lt;I1255,0,IF(K1255="S-curve",L1255*L1255*(3-2*L1255),L1255))</f>
        <v/>
      </c>
      <c r="N1255" s="45">
        <f>1+(INDEX(SeasonIdx,A1255)-1)*SeasonAmp</f>
        <v/>
      </c>
      <c r="O1255" s="45">
        <f>IFERROR(INDEX(PSPct,MATCH(E1255&amp;"|"&amp;G1255,PSKey,0)),0)</f>
        <v/>
      </c>
      <c r="P1255" s="46">
        <f>INDEX(ChDoorVel,MATCH(E1255,ChName,0))*CalibScalar*(1+VelocityUplift)</f>
        <v/>
      </c>
      <c r="Q1255" s="46" t="n">
        <v>0</v>
      </c>
      <c r="R1255" s="46">
        <f>P1255*O1255*M1255*N1255*H1255</f>
        <v/>
      </c>
      <c r="S1255" s="46">
        <f>R1255*INDEX(FmtCansPerCase,MATCH(F1255,FmtName,0))</f>
        <v/>
      </c>
      <c r="T1255" s="46">
        <f>S1255/INDEX(FmtCansPerPack,MATCH(F1255,FmtName,0))</f>
        <v/>
      </c>
      <c r="U1255" s="47">
        <f>INDEX(ChBaseCP,MATCH(E1255,ChName,0))*(1+INDEX(ProvMod,MATCH(G1255,ProvCode,0)))*(1+PriceIndex)</f>
        <v/>
      </c>
      <c r="V1255" s="47">
        <f>R1255*U1255*INDEX(FmtBlendedPriceIdx,MATCH(F1255,FmtName,0))</f>
        <v/>
      </c>
      <c r="W1255" s="47">
        <f>T1255*INDEX(ProvSRP,MATCH(G1255,ProvCode,0))*(1+PriceIndex)</f>
        <v/>
      </c>
      <c r="X1255" s="47">
        <f>IF(GrossBasis="Wholesale",V1255,W1255)</f>
        <v/>
      </c>
      <c r="Y1255" s="47">
        <f>R1255*INDEX(FmtBlendedCogs,MATCH(F1255,FmtName,0))</f>
        <v/>
      </c>
      <c r="Z1255" s="47">
        <f>X1255-Y1255</f>
        <v/>
      </c>
    </row>
    <row r="1256">
      <c r="A1256" t="n">
        <v>36</v>
      </c>
      <c r="B1256" s="44">
        <f>FiscalStart+(A1256-1)*7</f>
        <v/>
      </c>
      <c r="C1256">
        <f>TEXT(B1256,"mmm yyyy")</f>
        <v/>
      </c>
      <c r="D1256">
        <f>"Q"&amp;(INT((A1256-1)/13)+1)</f>
        <v/>
      </c>
      <c r="E1256" t="inlineStr">
        <is>
          <t>Fitness</t>
        </is>
      </c>
      <c r="F1256">
        <f>IFERROR(INDEX(ChFormat,MATCH(E1256,ChName,0)),"")</f>
        <v/>
      </c>
      <c r="G1256" t="inlineStr">
        <is>
          <t>MB</t>
        </is>
      </c>
      <c r="H1256">
        <f>IF(A1256&lt;=NWeeks,1,0)</f>
        <v/>
      </c>
      <c r="I1256">
        <f>INDEX(ChLaunch,MATCH(E1256,ChName,0))</f>
        <v/>
      </c>
      <c r="J1256">
        <f>INDEX(ChWeeksFull,MATCH(E1256,ChName,0))</f>
        <v/>
      </c>
      <c r="K1256">
        <f>INDEX(ChRamp,MATCH(E1256,ChName,0))</f>
        <v/>
      </c>
      <c r="L1256" s="45">
        <f>MIN(1,MAX(0,(A1256-I1256+1)*RampSpeed/J1256))</f>
        <v/>
      </c>
      <c r="M1256" s="45">
        <f>IF(A1256&lt;I1256,0,IF(K1256="S-curve",L1256*L1256*(3-2*L1256),L1256))</f>
        <v/>
      </c>
      <c r="N1256" s="45">
        <f>1+(INDEX(SeasonIdx,A1256)-1)*SeasonAmp</f>
        <v/>
      </c>
      <c r="O1256" s="45">
        <f>IFERROR(INDEX(PSPct,MATCH(E1256&amp;"|"&amp;G1256,PSKey,0)),0)</f>
        <v/>
      </c>
      <c r="P1256" s="46">
        <f>INDEX(ChDoorVel,MATCH(E1256,ChName,0))*CalibScalar*(1+VelocityUplift)</f>
        <v/>
      </c>
      <c r="Q1256" s="46" t="n">
        <v>0</v>
      </c>
      <c r="R1256" s="46">
        <f>P1256*O1256*M1256*N1256*H1256</f>
        <v/>
      </c>
      <c r="S1256" s="46">
        <f>R1256*INDEX(FmtCansPerCase,MATCH(F1256,FmtName,0))</f>
        <v/>
      </c>
      <c r="T1256" s="46">
        <f>S1256/INDEX(FmtCansPerPack,MATCH(F1256,FmtName,0))</f>
        <v/>
      </c>
      <c r="U1256" s="47">
        <f>INDEX(ChBaseCP,MATCH(E1256,ChName,0))*(1+INDEX(ProvMod,MATCH(G1256,ProvCode,0)))*(1+PriceIndex)</f>
        <v/>
      </c>
      <c r="V1256" s="47">
        <f>R1256*U1256*INDEX(FmtBlendedPriceIdx,MATCH(F1256,FmtName,0))</f>
        <v/>
      </c>
      <c r="W1256" s="47">
        <f>T1256*INDEX(ProvSRP,MATCH(G1256,ProvCode,0))*(1+PriceIndex)</f>
        <v/>
      </c>
      <c r="X1256" s="47">
        <f>IF(GrossBasis="Wholesale",V1256,W1256)</f>
        <v/>
      </c>
      <c r="Y1256" s="47">
        <f>R1256*INDEX(FmtBlendedCogs,MATCH(F1256,FmtName,0))</f>
        <v/>
      </c>
      <c r="Z1256" s="47">
        <f>X1256-Y1256</f>
        <v/>
      </c>
    </row>
    <row r="1257">
      <c r="A1257" t="n">
        <v>37</v>
      </c>
      <c r="B1257" s="44">
        <f>FiscalStart+(A1257-1)*7</f>
        <v/>
      </c>
      <c r="C1257">
        <f>TEXT(B1257,"mmm yyyy")</f>
        <v/>
      </c>
      <c r="D1257">
        <f>"Q"&amp;(INT((A1257-1)/13)+1)</f>
        <v/>
      </c>
      <c r="E1257" t="inlineStr">
        <is>
          <t>Fitness</t>
        </is>
      </c>
      <c r="F1257">
        <f>IFERROR(INDEX(ChFormat,MATCH(E1257,ChName,0)),"")</f>
        <v/>
      </c>
      <c r="G1257" t="inlineStr">
        <is>
          <t>MB</t>
        </is>
      </c>
      <c r="H1257">
        <f>IF(A1257&lt;=NWeeks,1,0)</f>
        <v/>
      </c>
      <c r="I1257">
        <f>INDEX(ChLaunch,MATCH(E1257,ChName,0))</f>
        <v/>
      </c>
      <c r="J1257">
        <f>INDEX(ChWeeksFull,MATCH(E1257,ChName,0))</f>
        <v/>
      </c>
      <c r="K1257">
        <f>INDEX(ChRamp,MATCH(E1257,ChName,0))</f>
        <v/>
      </c>
      <c r="L1257" s="45">
        <f>MIN(1,MAX(0,(A1257-I1257+1)*RampSpeed/J1257))</f>
        <v/>
      </c>
      <c r="M1257" s="45">
        <f>IF(A1257&lt;I1257,0,IF(K1257="S-curve",L1257*L1257*(3-2*L1257),L1257))</f>
        <v/>
      </c>
      <c r="N1257" s="45">
        <f>1+(INDEX(SeasonIdx,A1257)-1)*SeasonAmp</f>
        <v/>
      </c>
      <c r="O1257" s="45">
        <f>IFERROR(INDEX(PSPct,MATCH(E1257&amp;"|"&amp;G1257,PSKey,0)),0)</f>
        <v/>
      </c>
      <c r="P1257" s="46">
        <f>INDEX(ChDoorVel,MATCH(E1257,ChName,0))*CalibScalar*(1+VelocityUplift)</f>
        <v/>
      </c>
      <c r="Q1257" s="46" t="n">
        <v>0</v>
      </c>
      <c r="R1257" s="46">
        <f>P1257*O1257*M1257*N1257*H1257</f>
        <v/>
      </c>
      <c r="S1257" s="46">
        <f>R1257*INDEX(FmtCansPerCase,MATCH(F1257,FmtName,0))</f>
        <v/>
      </c>
      <c r="T1257" s="46">
        <f>S1257/INDEX(FmtCansPerPack,MATCH(F1257,FmtName,0))</f>
        <v/>
      </c>
      <c r="U1257" s="47">
        <f>INDEX(ChBaseCP,MATCH(E1257,ChName,0))*(1+INDEX(ProvMod,MATCH(G1257,ProvCode,0)))*(1+PriceIndex)</f>
        <v/>
      </c>
      <c r="V1257" s="47">
        <f>R1257*U1257*INDEX(FmtBlendedPriceIdx,MATCH(F1257,FmtName,0))</f>
        <v/>
      </c>
      <c r="W1257" s="47">
        <f>T1257*INDEX(ProvSRP,MATCH(G1257,ProvCode,0))*(1+PriceIndex)</f>
        <v/>
      </c>
      <c r="X1257" s="47">
        <f>IF(GrossBasis="Wholesale",V1257,W1257)</f>
        <v/>
      </c>
      <c r="Y1257" s="47">
        <f>R1257*INDEX(FmtBlendedCogs,MATCH(F1257,FmtName,0))</f>
        <v/>
      </c>
      <c r="Z1257" s="47">
        <f>X1257-Y1257</f>
        <v/>
      </c>
    </row>
    <row r="1258">
      <c r="A1258" t="n">
        <v>38</v>
      </c>
      <c r="B1258" s="44">
        <f>FiscalStart+(A1258-1)*7</f>
        <v/>
      </c>
      <c r="C1258">
        <f>TEXT(B1258,"mmm yyyy")</f>
        <v/>
      </c>
      <c r="D1258">
        <f>"Q"&amp;(INT((A1258-1)/13)+1)</f>
        <v/>
      </c>
      <c r="E1258" t="inlineStr">
        <is>
          <t>Fitness</t>
        </is>
      </c>
      <c r="F1258">
        <f>IFERROR(INDEX(ChFormat,MATCH(E1258,ChName,0)),"")</f>
        <v/>
      </c>
      <c r="G1258" t="inlineStr">
        <is>
          <t>MB</t>
        </is>
      </c>
      <c r="H1258">
        <f>IF(A1258&lt;=NWeeks,1,0)</f>
        <v/>
      </c>
      <c r="I1258">
        <f>INDEX(ChLaunch,MATCH(E1258,ChName,0))</f>
        <v/>
      </c>
      <c r="J1258">
        <f>INDEX(ChWeeksFull,MATCH(E1258,ChName,0))</f>
        <v/>
      </c>
      <c r="K1258">
        <f>INDEX(ChRamp,MATCH(E1258,ChName,0))</f>
        <v/>
      </c>
      <c r="L1258" s="45">
        <f>MIN(1,MAX(0,(A1258-I1258+1)*RampSpeed/J1258))</f>
        <v/>
      </c>
      <c r="M1258" s="45">
        <f>IF(A1258&lt;I1258,0,IF(K1258="S-curve",L1258*L1258*(3-2*L1258),L1258))</f>
        <v/>
      </c>
      <c r="N1258" s="45">
        <f>1+(INDEX(SeasonIdx,A1258)-1)*SeasonAmp</f>
        <v/>
      </c>
      <c r="O1258" s="45">
        <f>IFERROR(INDEX(PSPct,MATCH(E1258&amp;"|"&amp;G1258,PSKey,0)),0)</f>
        <v/>
      </c>
      <c r="P1258" s="46">
        <f>INDEX(ChDoorVel,MATCH(E1258,ChName,0))*CalibScalar*(1+VelocityUplift)</f>
        <v/>
      </c>
      <c r="Q1258" s="46" t="n">
        <v>0</v>
      </c>
      <c r="R1258" s="46">
        <f>P1258*O1258*M1258*N1258*H1258</f>
        <v/>
      </c>
      <c r="S1258" s="46">
        <f>R1258*INDEX(FmtCansPerCase,MATCH(F1258,FmtName,0))</f>
        <v/>
      </c>
      <c r="T1258" s="46">
        <f>S1258/INDEX(FmtCansPerPack,MATCH(F1258,FmtName,0))</f>
        <v/>
      </c>
      <c r="U1258" s="47">
        <f>INDEX(ChBaseCP,MATCH(E1258,ChName,0))*(1+INDEX(ProvMod,MATCH(G1258,ProvCode,0)))*(1+PriceIndex)</f>
        <v/>
      </c>
      <c r="V1258" s="47">
        <f>R1258*U1258*INDEX(FmtBlendedPriceIdx,MATCH(F1258,FmtName,0))</f>
        <v/>
      </c>
      <c r="W1258" s="47">
        <f>T1258*INDEX(ProvSRP,MATCH(G1258,ProvCode,0))*(1+PriceIndex)</f>
        <v/>
      </c>
      <c r="X1258" s="47">
        <f>IF(GrossBasis="Wholesale",V1258,W1258)</f>
        <v/>
      </c>
      <c r="Y1258" s="47">
        <f>R1258*INDEX(FmtBlendedCogs,MATCH(F1258,FmtName,0))</f>
        <v/>
      </c>
      <c r="Z1258" s="47">
        <f>X1258-Y1258</f>
        <v/>
      </c>
    </row>
    <row r="1259">
      <c r="A1259" t="n">
        <v>39</v>
      </c>
      <c r="B1259" s="44">
        <f>FiscalStart+(A1259-1)*7</f>
        <v/>
      </c>
      <c r="C1259">
        <f>TEXT(B1259,"mmm yyyy")</f>
        <v/>
      </c>
      <c r="D1259">
        <f>"Q"&amp;(INT((A1259-1)/13)+1)</f>
        <v/>
      </c>
      <c r="E1259" t="inlineStr">
        <is>
          <t>Fitness</t>
        </is>
      </c>
      <c r="F1259">
        <f>IFERROR(INDEX(ChFormat,MATCH(E1259,ChName,0)),"")</f>
        <v/>
      </c>
      <c r="G1259" t="inlineStr">
        <is>
          <t>MB</t>
        </is>
      </c>
      <c r="H1259">
        <f>IF(A1259&lt;=NWeeks,1,0)</f>
        <v/>
      </c>
      <c r="I1259">
        <f>INDEX(ChLaunch,MATCH(E1259,ChName,0))</f>
        <v/>
      </c>
      <c r="J1259">
        <f>INDEX(ChWeeksFull,MATCH(E1259,ChName,0))</f>
        <v/>
      </c>
      <c r="K1259">
        <f>INDEX(ChRamp,MATCH(E1259,ChName,0))</f>
        <v/>
      </c>
      <c r="L1259" s="45">
        <f>MIN(1,MAX(0,(A1259-I1259+1)*RampSpeed/J1259))</f>
        <v/>
      </c>
      <c r="M1259" s="45">
        <f>IF(A1259&lt;I1259,0,IF(K1259="S-curve",L1259*L1259*(3-2*L1259),L1259))</f>
        <v/>
      </c>
      <c r="N1259" s="45">
        <f>1+(INDEX(SeasonIdx,A1259)-1)*SeasonAmp</f>
        <v/>
      </c>
      <c r="O1259" s="45">
        <f>IFERROR(INDEX(PSPct,MATCH(E1259&amp;"|"&amp;G1259,PSKey,0)),0)</f>
        <v/>
      </c>
      <c r="P1259" s="46">
        <f>INDEX(ChDoorVel,MATCH(E1259,ChName,0))*CalibScalar*(1+VelocityUplift)</f>
        <v/>
      </c>
      <c r="Q1259" s="46" t="n">
        <v>0</v>
      </c>
      <c r="R1259" s="46">
        <f>P1259*O1259*M1259*N1259*H1259</f>
        <v/>
      </c>
      <c r="S1259" s="46">
        <f>R1259*INDEX(FmtCansPerCase,MATCH(F1259,FmtName,0))</f>
        <v/>
      </c>
      <c r="T1259" s="46">
        <f>S1259/INDEX(FmtCansPerPack,MATCH(F1259,FmtName,0))</f>
        <v/>
      </c>
      <c r="U1259" s="47">
        <f>INDEX(ChBaseCP,MATCH(E1259,ChName,0))*(1+INDEX(ProvMod,MATCH(G1259,ProvCode,0)))*(1+PriceIndex)</f>
        <v/>
      </c>
      <c r="V1259" s="47">
        <f>R1259*U1259*INDEX(FmtBlendedPriceIdx,MATCH(F1259,FmtName,0))</f>
        <v/>
      </c>
      <c r="W1259" s="47">
        <f>T1259*INDEX(ProvSRP,MATCH(G1259,ProvCode,0))*(1+PriceIndex)</f>
        <v/>
      </c>
      <c r="X1259" s="47">
        <f>IF(GrossBasis="Wholesale",V1259,W1259)</f>
        <v/>
      </c>
      <c r="Y1259" s="47">
        <f>R1259*INDEX(FmtBlendedCogs,MATCH(F1259,FmtName,0))</f>
        <v/>
      </c>
      <c r="Z1259" s="47">
        <f>X1259-Y1259</f>
        <v/>
      </c>
    </row>
    <row r="1260">
      <c r="A1260" t="n">
        <v>40</v>
      </c>
      <c r="B1260" s="44">
        <f>FiscalStart+(A1260-1)*7</f>
        <v/>
      </c>
      <c r="C1260">
        <f>TEXT(B1260,"mmm yyyy")</f>
        <v/>
      </c>
      <c r="D1260">
        <f>"Q"&amp;(INT((A1260-1)/13)+1)</f>
        <v/>
      </c>
      <c r="E1260" t="inlineStr">
        <is>
          <t>Fitness</t>
        </is>
      </c>
      <c r="F1260">
        <f>IFERROR(INDEX(ChFormat,MATCH(E1260,ChName,0)),"")</f>
        <v/>
      </c>
      <c r="G1260" t="inlineStr">
        <is>
          <t>MB</t>
        </is>
      </c>
      <c r="H1260">
        <f>IF(A1260&lt;=NWeeks,1,0)</f>
        <v/>
      </c>
      <c r="I1260">
        <f>INDEX(ChLaunch,MATCH(E1260,ChName,0))</f>
        <v/>
      </c>
      <c r="J1260">
        <f>INDEX(ChWeeksFull,MATCH(E1260,ChName,0))</f>
        <v/>
      </c>
      <c r="K1260">
        <f>INDEX(ChRamp,MATCH(E1260,ChName,0))</f>
        <v/>
      </c>
      <c r="L1260" s="45">
        <f>MIN(1,MAX(0,(A1260-I1260+1)*RampSpeed/J1260))</f>
        <v/>
      </c>
      <c r="M1260" s="45">
        <f>IF(A1260&lt;I1260,0,IF(K1260="S-curve",L1260*L1260*(3-2*L1260),L1260))</f>
        <v/>
      </c>
      <c r="N1260" s="45">
        <f>1+(INDEX(SeasonIdx,A1260)-1)*SeasonAmp</f>
        <v/>
      </c>
      <c r="O1260" s="45">
        <f>IFERROR(INDEX(PSPct,MATCH(E1260&amp;"|"&amp;G1260,PSKey,0)),0)</f>
        <v/>
      </c>
      <c r="P1260" s="46">
        <f>INDEX(ChDoorVel,MATCH(E1260,ChName,0))*CalibScalar*(1+VelocityUplift)</f>
        <v/>
      </c>
      <c r="Q1260" s="46" t="n">
        <v>0</v>
      </c>
      <c r="R1260" s="46">
        <f>P1260*O1260*M1260*N1260*H1260</f>
        <v/>
      </c>
      <c r="S1260" s="46">
        <f>R1260*INDEX(FmtCansPerCase,MATCH(F1260,FmtName,0))</f>
        <v/>
      </c>
      <c r="T1260" s="46">
        <f>S1260/INDEX(FmtCansPerPack,MATCH(F1260,FmtName,0))</f>
        <v/>
      </c>
      <c r="U1260" s="47">
        <f>INDEX(ChBaseCP,MATCH(E1260,ChName,0))*(1+INDEX(ProvMod,MATCH(G1260,ProvCode,0)))*(1+PriceIndex)</f>
        <v/>
      </c>
      <c r="V1260" s="47">
        <f>R1260*U1260*INDEX(FmtBlendedPriceIdx,MATCH(F1260,FmtName,0))</f>
        <v/>
      </c>
      <c r="W1260" s="47">
        <f>T1260*INDEX(ProvSRP,MATCH(G1260,ProvCode,0))*(1+PriceIndex)</f>
        <v/>
      </c>
      <c r="X1260" s="47">
        <f>IF(GrossBasis="Wholesale",V1260,W1260)</f>
        <v/>
      </c>
      <c r="Y1260" s="47">
        <f>R1260*INDEX(FmtBlendedCogs,MATCH(F1260,FmtName,0))</f>
        <v/>
      </c>
      <c r="Z1260" s="47">
        <f>X1260-Y1260</f>
        <v/>
      </c>
    </row>
    <row r="1261">
      <c r="A1261" t="n">
        <v>41</v>
      </c>
      <c r="B1261" s="44">
        <f>FiscalStart+(A1261-1)*7</f>
        <v/>
      </c>
      <c r="C1261">
        <f>TEXT(B1261,"mmm yyyy")</f>
        <v/>
      </c>
      <c r="D1261">
        <f>"Q"&amp;(INT((A1261-1)/13)+1)</f>
        <v/>
      </c>
      <c r="E1261" t="inlineStr">
        <is>
          <t>Fitness</t>
        </is>
      </c>
      <c r="F1261">
        <f>IFERROR(INDEX(ChFormat,MATCH(E1261,ChName,0)),"")</f>
        <v/>
      </c>
      <c r="G1261" t="inlineStr">
        <is>
          <t>MB</t>
        </is>
      </c>
      <c r="H1261">
        <f>IF(A1261&lt;=NWeeks,1,0)</f>
        <v/>
      </c>
      <c r="I1261">
        <f>INDEX(ChLaunch,MATCH(E1261,ChName,0))</f>
        <v/>
      </c>
      <c r="J1261">
        <f>INDEX(ChWeeksFull,MATCH(E1261,ChName,0))</f>
        <v/>
      </c>
      <c r="K1261">
        <f>INDEX(ChRamp,MATCH(E1261,ChName,0))</f>
        <v/>
      </c>
      <c r="L1261" s="45">
        <f>MIN(1,MAX(0,(A1261-I1261+1)*RampSpeed/J1261))</f>
        <v/>
      </c>
      <c r="M1261" s="45">
        <f>IF(A1261&lt;I1261,0,IF(K1261="S-curve",L1261*L1261*(3-2*L1261),L1261))</f>
        <v/>
      </c>
      <c r="N1261" s="45">
        <f>1+(INDEX(SeasonIdx,A1261)-1)*SeasonAmp</f>
        <v/>
      </c>
      <c r="O1261" s="45">
        <f>IFERROR(INDEX(PSPct,MATCH(E1261&amp;"|"&amp;G1261,PSKey,0)),0)</f>
        <v/>
      </c>
      <c r="P1261" s="46">
        <f>INDEX(ChDoorVel,MATCH(E1261,ChName,0))*CalibScalar*(1+VelocityUplift)</f>
        <v/>
      </c>
      <c r="Q1261" s="46" t="n">
        <v>0</v>
      </c>
      <c r="R1261" s="46">
        <f>P1261*O1261*M1261*N1261*H1261</f>
        <v/>
      </c>
      <c r="S1261" s="46">
        <f>R1261*INDEX(FmtCansPerCase,MATCH(F1261,FmtName,0))</f>
        <v/>
      </c>
      <c r="T1261" s="46">
        <f>S1261/INDEX(FmtCansPerPack,MATCH(F1261,FmtName,0))</f>
        <v/>
      </c>
      <c r="U1261" s="47">
        <f>INDEX(ChBaseCP,MATCH(E1261,ChName,0))*(1+INDEX(ProvMod,MATCH(G1261,ProvCode,0)))*(1+PriceIndex)</f>
        <v/>
      </c>
      <c r="V1261" s="47">
        <f>R1261*U1261*INDEX(FmtBlendedPriceIdx,MATCH(F1261,FmtName,0))</f>
        <v/>
      </c>
      <c r="W1261" s="47">
        <f>T1261*INDEX(ProvSRP,MATCH(G1261,ProvCode,0))*(1+PriceIndex)</f>
        <v/>
      </c>
      <c r="X1261" s="47">
        <f>IF(GrossBasis="Wholesale",V1261,W1261)</f>
        <v/>
      </c>
      <c r="Y1261" s="47">
        <f>R1261*INDEX(FmtBlendedCogs,MATCH(F1261,FmtName,0))</f>
        <v/>
      </c>
      <c r="Z1261" s="47">
        <f>X1261-Y1261</f>
        <v/>
      </c>
    </row>
    <row r="1262">
      <c r="A1262" t="n">
        <v>42</v>
      </c>
      <c r="B1262" s="44">
        <f>FiscalStart+(A1262-1)*7</f>
        <v/>
      </c>
      <c r="C1262">
        <f>TEXT(B1262,"mmm yyyy")</f>
        <v/>
      </c>
      <c r="D1262">
        <f>"Q"&amp;(INT((A1262-1)/13)+1)</f>
        <v/>
      </c>
      <c r="E1262" t="inlineStr">
        <is>
          <t>Fitness</t>
        </is>
      </c>
      <c r="F1262">
        <f>IFERROR(INDEX(ChFormat,MATCH(E1262,ChName,0)),"")</f>
        <v/>
      </c>
      <c r="G1262" t="inlineStr">
        <is>
          <t>MB</t>
        </is>
      </c>
      <c r="H1262">
        <f>IF(A1262&lt;=NWeeks,1,0)</f>
        <v/>
      </c>
      <c r="I1262">
        <f>INDEX(ChLaunch,MATCH(E1262,ChName,0))</f>
        <v/>
      </c>
      <c r="J1262">
        <f>INDEX(ChWeeksFull,MATCH(E1262,ChName,0))</f>
        <v/>
      </c>
      <c r="K1262">
        <f>INDEX(ChRamp,MATCH(E1262,ChName,0))</f>
        <v/>
      </c>
      <c r="L1262" s="45">
        <f>MIN(1,MAX(0,(A1262-I1262+1)*RampSpeed/J1262))</f>
        <v/>
      </c>
      <c r="M1262" s="45">
        <f>IF(A1262&lt;I1262,0,IF(K1262="S-curve",L1262*L1262*(3-2*L1262),L1262))</f>
        <v/>
      </c>
      <c r="N1262" s="45">
        <f>1+(INDEX(SeasonIdx,A1262)-1)*SeasonAmp</f>
        <v/>
      </c>
      <c r="O1262" s="45">
        <f>IFERROR(INDEX(PSPct,MATCH(E1262&amp;"|"&amp;G1262,PSKey,0)),0)</f>
        <v/>
      </c>
      <c r="P1262" s="46">
        <f>INDEX(ChDoorVel,MATCH(E1262,ChName,0))*CalibScalar*(1+VelocityUplift)</f>
        <v/>
      </c>
      <c r="Q1262" s="46" t="n">
        <v>0</v>
      </c>
      <c r="R1262" s="46">
        <f>P1262*O1262*M1262*N1262*H1262</f>
        <v/>
      </c>
      <c r="S1262" s="46">
        <f>R1262*INDEX(FmtCansPerCase,MATCH(F1262,FmtName,0))</f>
        <v/>
      </c>
      <c r="T1262" s="46">
        <f>S1262/INDEX(FmtCansPerPack,MATCH(F1262,FmtName,0))</f>
        <v/>
      </c>
      <c r="U1262" s="47">
        <f>INDEX(ChBaseCP,MATCH(E1262,ChName,0))*(1+INDEX(ProvMod,MATCH(G1262,ProvCode,0)))*(1+PriceIndex)</f>
        <v/>
      </c>
      <c r="V1262" s="47">
        <f>R1262*U1262*INDEX(FmtBlendedPriceIdx,MATCH(F1262,FmtName,0))</f>
        <v/>
      </c>
      <c r="W1262" s="47">
        <f>T1262*INDEX(ProvSRP,MATCH(G1262,ProvCode,0))*(1+PriceIndex)</f>
        <v/>
      </c>
      <c r="X1262" s="47">
        <f>IF(GrossBasis="Wholesale",V1262,W1262)</f>
        <v/>
      </c>
      <c r="Y1262" s="47">
        <f>R1262*INDEX(FmtBlendedCogs,MATCH(F1262,FmtName,0))</f>
        <v/>
      </c>
      <c r="Z1262" s="47">
        <f>X1262-Y1262</f>
        <v/>
      </c>
    </row>
    <row r="1263">
      <c r="A1263" t="n">
        <v>43</v>
      </c>
      <c r="B1263" s="44">
        <f>FiscalStart+(A1263-1)*7</f>
        <v/>
      </c>
      <c r="C1263">
        <f>TEXT(B1263,"mmm yyyy")</f>
        <v/>
      </c>
      <c r="D1263">
        <f>"Q"&amp;(INT((A1263-1)/13)+1)</f>
        <v/>
      </c>
      <c r="E1263" t="inlineStr">
        <is>
          <t>Fitness</t>
        </is>
      </c>
      <c r="F1263">
        <f>IFERROR(INDEX(ChFormat,MATCH(E1263,ChName,0)),"")</f>
        <v/>
      </c>
      <c r="G1263" t="inlineStr">
        <is>
          <t>MB</t>
        </is>
      </c>
      <c r="H1263">
        <f>IF(A1263&lt;=NWeeks,1,0)</f>
        <v/>
      </c>
      <c r="I1263">
        <f>INDEX(ChLaunch,MATCH(E1263,ChName,0))</f>
        <v/>
      </c>
      <c r="J1263">
        <f>INDEX(ChWeeksFull,MATCH(E1263,ChName,0))</f>
        <v/>
      </c>
      <c r="K1263">
        <f>INDEX(ChRamp,MATCH(E1263,ChName,0))</f>
        <v/>
      </c>
      <c r="L1263" s="45">
        <f>MIN(1,MAX(0,(A1263-I1263+1)*RampSpeed/J1263))</f>
        <v/>
      </c>
      <c r="M1263" s="45">
        <f>IF(A1263&lt;I1263,0,IF(K1263="S-curve",L1263*L1263*(3-2*L1263),L1263))</f>
        <v/>
      </c>
      <c r="N1263" s="45">
        <f>1+(INDEX(SeasonIdx,A1263)-1)*SeasonAmp</f>
        <v/>
      </c>
      <c r="O1263" s="45">
        <f>IFERROR(INDEX(PSPct,MATCH(E1263&amp;"|"&amp;G1263,PSKey,0)),0)</f>
        <v/>
      </c>
      <c r="P1263" s="46">
        <f>INDEX(ChDoorVel,MATCH(E1263,ChName,0))*CalibScalar*(1+VelocityUplift)</f>
        <v/>
      </c>
      <c r="Q1263" s="46" t="n">
        <v>0</v>
      </c>
      <c r="R1263" s="46">
        <f>P1263*O1263*M1263*N1263*H1263</f>
        <v/>
      </c>
      <c r="S1263" s="46">
        <f>R1263*INDEX(FmtCansPerCase,MATCH(F1263,FmtName,0))</f>
        <v/>
      </c>
      <c r="T1263" s="46">
        <f>S1263/INDEX(FmtCansPerPack,MATCH(F1263,FmtName,0))</f>
        <v/>
      </c>
      <c r="U1263" s="47">
        <f>INDEX(ChBaseCP,MATCH(E1263,ChName,0))*(1+INDEX(ProvMod,MATCH(G1263,ProvCode,0)))*(1+PriceIndex)</f>
        <v/>
      </c>
      <c r="V1263" s="47">
        <f>R1263*U1263*INDEX(FmtBlendedPriceIdx,MATCH(F1263,FmtName,0))</f>
        <v/>
      </c>
      <c r="W1263" s="47">
        <f>T1263*INDEX(ProvSRP,MATCH(G1263,ProvCode,0))*(1+PriceIndex)</f>
        <v/>
      </c>
      <c r="X1263" s="47">
        <f>IF(GrossBasis="Wholesale",V1263,W1263)</f>
        <v/>
      </c>
      <c r="Y1263" s="47">
        <f>R1263*INDEX(FmtBlendedCogs,MATCH(F1263,FmtName,0))</f>
        <v/>
      </c>
      <c r="Z1263" s="47">
        <f>X1263-Y1263</f>
        <v/>
      </c>
    </row>
    <row r="1264">
      <c r="A1264" t="n">
        <v>44</v>
      </c>
      <c r="B1264" s="44">
        <f>FiscalStart+(A1264-1)*7</f>
        <v/>
      </c>
      <c r="C1264">
        <f>TEXT(B1264,"mmm yyyy")</f>
        <v/>
      </c>
      <c r="D1264">
        <f>"Q"&amp;(INT((A1264-1)/13)+1)</f>
        <v/>
      </c>
      <c r="E1264" t="inlineStr">
        <is>
          <t>Fitness</t>
        </is>
      </c>
      <c r="F1264">
        <f>IFERROR(INDEX(ChFormat,MATCH(E1264,ChName,0)),"")</f>
        <v/>
      </c>
      <c r="G1264" t="inlineStr">
        <is>
          <t>MB</t>
        </is>
      </c>
      <c r="H1264">
        <f>IF(A1264&lt;=NWeeks,1,0)</f>
        <v/>
      </c>
      <c r="I1264">
        <f>INDEX(ChLaunch,MATCH(E1264,ChName,0))</f>
        <v/>
      </c>
      <c r="J1264">
        <f>INDEX(ChWeeksFull,MATCH(E1264,ChName,0))</f>
        <v/>
      </c>
      <c r="K1264">
        <f>INDEX(ChRamp,MATCH(E1264,ChName,0))</f>
        <v/>
      </c>
      <c r="L1264" s="45">
        <f>MIN(1,MAX(0,(A1264-I1264+1)*RampSpeed/J1264))</f>
        <v/>
      </c>
      <c r="M1264" s="45">
        <f>IF(A1264&lt;I1264,0,IF(K1264="S-curve",L1264*L1264*(3-2*L1264),L1264))</f>
        <v/>
      </c>
      <c r="N1264" s="45">
        <f>1+(INDEX(SeasonIdx,A1264)-1)*SeasonAmp</f>
        <v/>
      </c>
      <c r="O1264" s="45">
        <f>IFERROR(INDEX(PSPct,MATCH(E1264&amp;"|"&amp;G1264,PSKey,0)),0)</f>
        <v/>
      </c>
      <c r="P1264" s="46">
        <f>INDEX(ChDoorVel,MATCH(E1264,ChName,0))*CalibScalar*(1+VelocityUplift)</f>
        <v/>
      </c>
      <c r="Q1264" s="46" t="n">
        <v>0</v>
      </c>
      <c r="R1264" s="46">
        <f>P1264*O1264*M1264*N1264*H1264</f>
        <v/>
      </c>
      <c r="S1264" s="46">
        <f>R1264*INDEX(FmtCansPerCase,MATCH(F1264,FmtName,0))</f>
        <v/>
      </c>
      <c r="T1264" s="46">
        <f>S1264/INDEX(FmtCansPerPack,MATCH(F1264,FmtName,0))</f>
        <v/>
      </c>
      <c r="U1264" s="47">
        <f>INDEX(ChBaseCP,MATCH(E1264,ChName,0))*(1+INDEX(ProvMod,MATCH(G1264,ProvCode,0)))*(1+PriceIndex)</f>
        <v/>
      </c>
      <c r="V1264" s="47">
        <f>R1264*U1264*INDEX(FmtBlendedPriceIdx,MATCH(F1264,FmtName,0))</f>
        <v/>
      </c>
      <c r="W1264" s="47">
        <f>T1264*INDEX(ProvSRP,MATCH(G1264,ProvCode,0))*(1+PriceIndex)</f>
        <v/>
      </c>
      <c r="X1264" s="47">
        <f>IF(GrossBasis="Wholesale",V1264,W1264)</f>
        <v/>
      </c>
      <c r="Y1264" s="47">
        <f>R1264*INDEX(FmtBlendedCogs,MATCH(F1264,FmtName,0))</f>
        <v/>
      </c>
      <c r="Z1264" s="47">
        <f>X1264-Y1264</f>
        <v/>
      </c>
    </row>
    <row r="1265">
      <c r="A1265" t="n">
        <v>45</v>
      </c>
      <c r="B1265" s="44">
        <f>FiscalStart+(A1265-1)*7</f>
        <v/>
      </c>
      <c r="C1265">
        <f>TEXT(B1265,"mmm yyyy")</f>
        <v/>
      </c>
      <c r="D1265">
        <f>"Q"&amp;(INT((A1265-1)/13)+1)</f>
        <v/>
      </c>
      <c r="E1265" t="inlineStr">
        <is>
          <t>Fitness</t>
        </is>
      </c>
      <c r="F1265">
        <f>IFERROR(INDEX(ChFormat,MATCH(E1265,ChName,0)),"")</f>
        <v/>
      </c>
      <c r="G1265" t="inlineStr">
        <is>
          <t>MB</t>
        </is>
      </c>
      <c r="H1265">
        <f>IF(A1265&lt;=NWeeks,1,0)</f>
        <v/>
      </c>
      <c r="I1265">
        <f>INDEX(ChLaunch,MATCH(E1265,ChName,0))</f>
        <v/>
      </c>
      <c r="J1265">
        <f>INDEX(ChWeeksFull,MATCH(E1265,ChName,0))</f>
        <v/>
      </c>
      <c r="K1265">
        <f>INDEX(ChRamp,MATCH(E1265,ChName,0))</f>
        <v/>
      </c>
      <c r="L1265" s="45">
        <f>MIN(1,MAX(0,(A1265-I1265+1)*RampSpeed/J1265))</f>
        <v/>
      </c>
      <c r="M1265" s="45">
        <f>IF(A1265&lt;I1265,0,IF(K1265="S-curve",L1265*L1265*(3-2*L1265),L1265))</f>
        <v/>
      </c>
      <c r="N1265" s="45">
        <f>1+(INDEX(SeasonIdx,A1265)-1)*SeasonAmp</f>
        <v/>
      </c>
      <c r="O1265" s="45">
        <f>IFERROR(INDEX(PSPct,MATCH(E1265&amp;"|"&amp;G1265,PSKey,0)),0)</f>
        <v/>
      </c>
      <c r="P1265" s="46">
        <f>INDEX(ChDoorVel,MATCH(E1265,ChName,0))*CalibScalar*(1+VelocityUplift)</f>
        <v/>
      </c>
      <c r="Q1265" s="46" t="n">
        <v>0</v>
      </c>
      <c r="R1265" s="46">
        <f>P1265*O1265*M1265*N1265*H1265</f>
        <v/>
      </c>
      <c r="S1265" s="46">
        <f>R1265*INDEX(FmtCansPerCase,MATCH(F1265,FmtName,0))</f>
        <v/>
      </c>
      <c r="T1265" s="46">
        <f>S1265/INDEX(FmtCansPerPack,MATCH(F1265,FmtName,0))</f>
        <v/>
      </c>
      <c r="U1265" s="47">
        <f>INDEX(ChBaseCP,MATCH(E1265,ChName,0))*(1+INDEX(ProvMod,MATCH(G1265,ProvCode,0)))*(1+PriceIndex)</f>
        <v/>
      </c>
      <c r="V1265" s="47">
        <f>R1265*U1265*INDEX(FmtBlendedPriceIdx,MATCH(F1265,FmtName,0))</f>
        <v/>
      </c>
      <c r="W1265" s="47">
        <f>T1265*INDEX(ProvSRP,MATCH(G1265,ProvCode,0))*(1+PriceIndex)</f>
        <v/>
      </c>
      <c r="X1265" s="47">
        <f>IF(GrossBasis="Wholesale",V1265,W1265)</f>
        <v/>
      </c>
      <c r="Y1265" s="47">
        <f>R1265*INDEX(FmtBlendedCogs,MATCH(F1265,FmtName,0))</f>
        <v/>
      </c>
      <c r="Z1265" s="47">
        <f>X1265-Y1265</f>
        <v/>
      </c>
    </row>
    <row r="1266">
      <c r="A1266" t="n">
        <v>46</v>
      </c>
      <c r="B1266" s="44">
        <f>FiscalStart+(A1266-1)*7</f>
        <v/>
      </c>
      <c r="C1266">
        <f>TEXT(B1266,"mmm yyyy")</f>
        <v/>
      </c>
      <c r="D1266">
        <f>"Q"&amp;(INT((A1266-1)/13)+1)</f>
        <v/>
      </c>
      <c r="E1266" t="inlineStr">
        <is>
          <t>Fitness</t>
        </is>
      </c>
      <c r="F1266">
        <f>IFERROR(INDEX(ChFormat,MATCH(E1266,ChName,0)),"")</f>
        <v/>
      </c>
      <c r="G1266" t="inlineStr">
        <is>
          <t>MB</t>
        </is>
      </c>
      <c r="H1266">
        <f>IF(A1266&lt;=NWeeks,1,0)</f>
        <v/>
      </c>
      <c r="I1266">
        <f>INDEX(ChLaunch,MATCH(E1266,ChName,0))</f>
        <v/>
      </c>
      <c r="J1266">
        <f>INDEX(ChWeeksFull,MATCH(E1266,ChName,0))</f>
        <v/>
      </c>
      <c r="K1266">
        <f>INDEX(ChRamp,MATCH(E1266,ChName,0))</f>
        <v/>
      </c>
      <c r="L1266" s="45">
        <f>MIN(1,MAX(0,(A1266-I1266+1)*RampSpeed/J1266))</f>
        <v/>
      </c>
      <c r="M1266" s="45">
        <f>IF(A1266&lt;I1266,0,IF(K1266="S-curve",L1266*L1266*(3-2*L1266),L1266))</f>
        <v/>
      </c>
      <c r="N1266" s="45">
        <f>1+(INDEX(SeasonIdx,A1266)-1)*SeasonAmp</f>
        <v/>
      </c>
      <c r="O1266" s="45">
        <f>IFERROR(INDEX(PSPct,MATCH(E1266&amp;"|"&amp;G1266,PSKey,0)),0)</f>
        <v/>
      </c>
      <c r="P1266" s="46">
        <f>INDEX(ChDoorVel,MATCH(E1266,ChName,0))*CalibScalar*(1+VelocityUplift)</f>
        <v/>
      </c>
      <c r="Q1266" s="46" t="n">
        <v>0</v>
      </c>
      <c r="R1266" s="46">
        <f>P1266*O1266*M1266*N1266*H1266</f>
        <v/>
      </c>
      <c r="S1266" s="46">
        <f>R1266*INDEX(FmtCansPerCase,MATCH(F1266,FmtName,0))</f>
        <v/>
      </c>
      <c r="T1266" s="46">
        <f>S1266/INDEX(FmtCansPerPack,MATCH(F1266,FmtName,0))</f>
        <v/>
      </c>
      <c r="U1266" s="47">
        <f>INDEX(ChBaseCP,MATCH(E1266,ChName,0))*(1+INDEX(ProvMod,MATCH(G1266,ProvCode,0)))*(1+PriceIndex)</f>
        <v/>
      </c>
      <c r="V1266" s="47">
        <f>R1266*U1266*INDEX(FmtBlendedPriceIdx,MATCH(F1266,FmtName,0))</f>
        <v/>
      </c>
      <c r="W1266" s="47">
        <f>T1266*INDEX(ProvSRP,MATCH(G1266,ProvCode,0))*(1+PriceIndex)</f>
        <v/>
      </c>
      <c r="X1266" s="47">
        <f>IF(GrossBasis="Wholesale",V1266,W1266)</f>
        <v/>
      </c>
      <c r="Y1266" s="47">
        <f>R1266*INDEX(FmtBlendedCogs,MATCH(F1266,FmtName,0))</f>
        <v/>
      </c>
      <c r="Z1266" s="47">
        <f>X1266-Y1266</f>
        <v/>
      </c>
    </row>
    <row r="1267">
      <c r="A1267" t="n">
        <v>47</v>
      </c>
      <c r="B1267" s="44">
        <f>FiscalStart+(A1267-1)*7</f>
        <v/>
      </c>
      <c r="C1267">
        <f>TEXT(B1267,"mmm yyyy")</f>
        <v/>
      </c>
      <c r="D1267">
        <f>"Q"&amp;(INT((A1267-1)/13)+1)</f>
        <v/>
      </c>
      <c r="E1267" t="inlineStr">
        <is>
          <t>Fitness</t>
        </is>
      </c>
      <c r="F1267">
        <f>IFERROR(INDEX(ChFormat,MATCH(E1267,ChName,0)),"")</f>
        <v/>
      </c>
      <c r="G1267" t="inlineStr">
        <is>
          <t>MB</t>
        </is>
      </c>
      <c r="H1267">
        <f>IF(A1267&lt;=NWeeks,1,0)</f>
        <v/>
      </c>
      <c r="I1267">
        <f>INDEX(ChLaunch,MATCH(E1267,ChName,0))</f>
        <v/>
      </c>
      <c r="J1267">
        <f>INDEX(ChWeeksFull,MATCH(E1267,ChName,0))</f>
        <v/>
      </c>
      <c r="K1267">
        <f>INDEX(ChRamp,MATCH(E1267,ChName,0))</f>
        <v/>
      </c>
      <c r="L1267" s="45">
        <f>MIN(1,MAX(0,(A1267-I1267+1)*RampSpeed/J1267))</f>
        <v/>
      </c>
      <c r="M1267" s="45">
        <f>IF(A1267&lt;I1267,0,IF(K1267="S-curve",L1267*L1267*(3-2*L1267),L1267))</f>
        <v/>
      </c>
      <c r="N1267" s="45">
        <f>1+(INDEX(SeasonIdx,A1267)-1)*SeasonAmp</f>
        <v/>
      </c>
      <c r="O1267" s="45">
        <f>IFERROR(INDEX(PSPct,MATCH(E1267&amp;"|"&amp;G1267,PSKey,0)),0)</f>
        <v/>
      </c>
      <c r="P1267" s="46">
        <f>INDEX(ChDoorVel,MATCH(E1267,ChName,0))*CalibScalar*(1+VelocityUplift)</f>
        <v/>
      </c>
      <c r="Q1267" s="46" t="n">
        <v>0</v>
      </c>
      <c r="R1267" s="46">
        <f>P1267*O1267*M1267*N1267*H1267</f>
        <v/>
      </c>
      <c r="S1267" s="46">
        <f>R1267*INDEX(FmtCansPerCase,MATCH(F1267,FmtName,0))</f>
        <v/>
      </c>
      <c r="T1267" s="46">
        <f>S1267/INDEX(FmtCansPerPack,MATCH(F1267,FmtName,0))</f>
        <v/>
      </c>
      <c r="U1267" s="47">
        <f>INDEX(ChBaseCP,MATCH(E1267,ChName,0))*(1+INDEX(ProvMod,MATCH(G1267,ProvCode,0)))*(1+PriceIndex)</f>
        <v/>
      </c>
      <c r="V1267" s="47">
        <f>R1267*U1267*INDEX(FmtBlendedPriceIdx,MATCH(F1267,FmtName,0))</f>
        <v/>
      </c>
      <c r="W1267" s="47">
        <f>T1267*INDEX(ProvSRP,MATCH(G1267,ProvCode,0))*(1+PriceIndex)</f>
        <v/>
      </c>
      <c r="X1267" s="47">
        <f>IF(GrossBasis="Wholesale",V1267,W1267)</f>
        <v/>
      </c>
      <c r="Y1267" s="47">
        <f>R1267*INDEX(FmtBlendedCogs,MATCH(F1267,FmtName,0))</f>
        <v/>
      </c>
      <c r="Z1267" s="47">
        <f>X1267-Y1267</f>
        <v/>
      </c>
    </row>
    <row r="1268">
      <c r="A1268" t="n">
        <v>48</v>
      </c>
      <c r="B1268" s="44">
        <f>FiscalStart+(A1268-1)*7</f>
        <v/>
      </c>
      <c r="C1268">
        <f>TEXT(B1268,"mmm yyyy")</f>
        <v/>
      </c>
      <c r="D1268">
        <f>"Q"&amp;(INT((A1268-1)/13)+1)</f>
        <v/>
      </c>
      <c r="E1268" t="inlineStr">
        <is>
          <t>Fitness</t>
        </is>
      </c>
      <c r="F1268">
        <f>IFERROR(INDEX(ChFormat,MATCH(E1268,ChName,0)),"")</f>
        <v/>
      </c>
      <c r="G1268" t="inlineStr">
        <is>
          <t>MB</t>
        </is>
      </c>
      <c r="H1268">
        <f>IF(A1268&lt;=NWeeks,1,0)</f>
        <v/>
      </c>
      <c r="I1268">
        <f>INDEX(ChLaunch,MATCH(E1268,ChName,0))</f>
        <v/>
      </c>
      <c r="J1268">
        <f>INDEX(ChWeeksFull,MATCH(E1268,ChName,0))</f>
        <v/>
      </c>
      <c r="K1268">
        <f>INDEX(ChRamp,MATCH(E1268,ChName,0))</f>
        <v/>
      </c>
      <c r="L1268" s="45">
        <f>MIN(1,MAX(0,(A1268-I1268+1)*RampSpeed/J1268))</f>
        <v/>
      </c>
      <c r="M1268" s="45">
        <f>IF(A1268&lt;I1268,0,IF(K1268="S-curve",L1268*L1268*(3-2*L1268),L1268))</f>
        <v/>
      </c>
      <c r="N1268" s="45">
        <f>1+(INDEX(SeasonIdx,A1268)-1)*SeasonAmp</f>
        <v/>
      </c>
      <c r="O1268" s="45">
        <f>IFERROR(INDEX(PSPct,MATCH(E1268&amp;"|"&amp;G1268,PSKey,0)),0)</f>
        <v/>
      </c>
      <c r="P1268" s="46">
        <f>INDEX(ChDoorVel,MATCH(E1268,ChName,0))*CalibScalar*(1+VelocityUplift)</f>
        <v/>
      </c>
      <c r="Q1268" s="46" t="n">
        <v>0</v>
      </c>
      <c r="R1268" s="46">
        <f>P1268*O1268*M1268*N1268*H1268</f>
        <v/>
      </c>
      <c r="S1268" s="46">
        <f>R1268*INDEX(FmtCansPerCase,MATCH(F1268,FmtName,0))</f>
        <v/>
      </c>
      <c r="T1268" s="46">
        <f>S1268/INDEX(FmtCansPerPack,MATCH(F1268,FmtName,0))</f>
        <v/>
      </c>
      <c r="U1268" s="47">
        <f>INDEX(ChBaseCP,MATCH(E1268,ChName,0))*(1+INDEX(ProvMod,MATCH(G1268,ProvCode,0)))*(1+PriceIndex)</f>
        <v/>
      </c>
      <c r="V1268" s="47">
        <f>R1268*U1268*INDEX(FmtBlendedPriceIdx,MATCH(F1268,FmtName,0))</f>
        <v/>
      </c>
      <c r="W1268" s="47">
        <f>T1268*INDEX(ProvSRP,MATCH(G1268,ProvCode,0))*(1+PriceIndex)</f>
        <v/>
      </c>
      <c r="X1268" s="47">
        <f>IF(GrossBasis="Wholesale",V1268,W1268)</f>
        <v/>
      </c>
      <c r="Y1268" s="47">
        <f>R1268*INDEX(FmtBlendedCogs,MATCH(F1268,FmtName,0))</f>
        <v/>
      </c>
      <c r="Z1268" s="47">
        <f>X1268-Y1268</f>
        <v/>
      </c>
    </row>
    <row r="1269">
      <c r="A1269" t="n">
        <v>49</v>
      </c>
      <c r="B1269" s="44">
        <f>FiscalStart+(A1269-1)*7</f>
        <v/>
      </c>
      <c r="C1269">
        <f>TEXT(B1269,"mmm yyyy")</f>
        <v/>
      </c>
      <c r="D1269">
        <f>"Q"&amp;(INT((A1269-1)/13)+1)</f>
        <v/>
      </c>
      <c r="E1269" t="inlineStr">
        <is>
          <t>Fitness</t>
        </is>
      </c>
      <c r="F1269">
        <f>IFERROR(INDEX(ChFormat,MATCH(E1269,ChName,0)),"")</f>
        <v/>
      </c>
      <c r="G1269" t="inlineStr">
        <is>
          <t>MB</t>
        </is>
      </c>
      <c r="H1269">
        <f>IF(A1269&lt;=NWeeks,1,0)</f>
        <v/>
      </c>
      <c r="I1269">
        <f>INDEX(ChLaunch,MATCH(E1269,ChName,0))</f>
        <v/>
      </c>
      <c r="J1269">
        <f>INDEX(ChWeeksFull,MATCH(E1269,ChName,0))</f>
        <v/>
      </c>
      <c r="K1269">
        <f>INDEX(ChRamp,MATCH(E1269,ChName,0))</f>
        <v/>
      </c>
      <c r="L1269" s="45">
        <f>MIN(1,MAX(0,(A1269-I1269+1)*RampSpeed/J1269))</f>
        <v/>
      </c>
      <c r="M1269" s="45">
        <f>IF(A1269&lt;I1269,0,IF(K1269="S-curve",L1269*L1269*(3-2*L1269),L1269))</f>
        <v/>
      </c>
      <c r="N1269" s="45">
        <f>1+(INDEX(SeasonIdx,A1269)-1)*SeasonAmp</f>
        <v/>
      </c>
      <c r="O1269" s="45">
        <f>IFERROR(INDEX(PSPct,MATCH(E1269&amp;"|"&amp;G1269,PSKey,0)),0)</f>
        <v/>
      </c>
      <c r="P1269" s="46">
        <f>INDEX(ChDoorVel,MATCH(E1269,ChName,0))*CalibScalar*(1+VelocityUplift)</f>
        <v/>
      </c>
      <c r="Q1269" s="46" t="n">
        <v>0</v>
      </c>
      <c r="R1269" s="46">
        <f>P1269*O1269*M1269*N1269*H1269</f>
        <v/>
      </c>
      <c r="S1269" s="46">
        <f>R1269*INDEX(FmtCansPerCase,MATCH(F1269,FmtName,0))</f>
        <v/>
      </c>
      <c r="T1269" s="46">
        <f>S1269/INDEX(FmtCansPerPack,MATCH(F1269,FmtName,0))</f>
        <v/>
      </c>
      <c r="U1269" s="47">
        <f>INDEX(ChBaseCP,MATCH(E1269,ChName,0))*(1+INDEX(ProvMod,MATCH(G1269,ProvCode,0)))*(1+PriceIndex)</f>
        <v/>
      </c>
      <c r="V1269" s="47">
        <f>R1269*U1269*INDEX(FmtBlendedPriceIdx,MATCH(F1269,FmtName,0))</f>
        <v/>
      </c>
      <c r="W1269" s="47">
        <f>T1269*INDEX(ProvSRP,MATCH(G1269,ProvCode,0))*(1+PriceIndex)</f>
        <v/>
      </c>
      <c r="X1269" s="47">
        <f>IF(GrossBasis="Wholesale",V1269,W1269)</f>
        <v/>
      </c>
      <c r="Y1269" s="47">
        <f>R1269*INDEX(FmtBlendedCogs,MATCH(F1269,FmtName,0))</f>
        <v/>
      </c>
      <c r="Z1269" s="47">
        <f>X1269-Y1269</f>
        <v/>
      </c>
    </row>
    <row r="1270">
      <c r="A1270" t="n">
        <v>50</v>
      </c>
      <c r="B1270" s="44">
        <f>FiscalStart+(A1270-1)*7</f>
        <v/>
      </c>
      <c r="C1270">
        <f>TEXT(B1270,"mmm yyyy")</f>
        <v/>
      </c>
      <c r="D1270">
        <f>"Q"&amp;(INT((A1270-1)/13)+1)</f>
        <v/>
      </c>
      <c r="E1270" t="inlineStr">
        <is>
          <t>Fitness</t>
        </is>
      </c>
      <c r="F1270">
        <f>IFERROR(INDEX(ChFormat,MATCH(E1270,ChName,0)),"")</f>
        <v/>
      </c>
      <c r="G1270" t="inlineStr">
        <is>
          <t>MB</t>
        </is>
      </c>
      <c r="H1270">
        <f>IF(A1270&lt;=NWeeks,1,0)</f>
        <v/>
      </c>
      <c r="I1270">
        <f>INDEX(ChLaunch,MATCH(E1270,ChName,0))</f>
        <v/>
      </c>
      <c r="J1270">
        <f>INDEX(ChWeeksFull,MATCH(E1270,ChName,0))</f>
        <v/>
      </c>
      <c r="K1270">
        <f>INDEX(ChRamp,MATCH(E1270,ChName,0))</f>
        <v/>
      </c>
      <c r="L1270" s="45">
        <f>MIN(1,MAX(0,(A1270-I1270+1)*RampSpeed/J1270))</f>
        <v/>
      </c>
      <c r="M1270" s="45">
        <f>IF(A1270&lt;I1270,0,IF(K1270="S-curve",L1270*L1270*(3-2*L1270),L1270))</f>
        <v/>
      </c>
      <c r="N1270" s="45">
        <f>1+(INDEX(SeasonIdx,A1270)-1)*SeasonAmp</f>
        <v/>
      </c>
      <c r="O1270" s="45">
        <f>IFERROR(INDEX(PSPct,MATCH(E1270&amp;"|"&amp;G1270,PSKey,0)),0)</f>
        <v/>
      </c>
      <c r="P1270" s="46">
        <f>INDEX(ChDoorVel,MATCH(E1270,ChName,0))*CalibScalar*(1+VelocityUplift)</f>
        <v/>
      </c>
      <c r="Q1270" s="46" t="n">
        <v>0</v>
      </c>
      <c r="R1270" s="46">
        <f>P1270*O1270*M1270*N1270*H1270</f>
        <v/>
      </c>
      <c r="S1270" s="46">
        <f>R1270*INDEX(FmtCansPerCase,MATCH(F1270,FmtName,0))</f>
        <v/>
      </c>
      <c r="T1270" s="46">
        <f>S1270/INDEX(FmtCansPerPack,MATCH(F1270,FmtName,0))</f>
        <v/>
      </c>
      <c r="U1270" s="47">
        <f>INDEX(ChBaseCP,MATCH(E1270,ChName,0))*(1+INDEX(ProvMod,MATCH(G1270,ProvCode,0)))*(1+PriceIndex)</f>
        <v/>
      </c>
      <c r="V1270" s="47">
        <f>R1270*U1270*INDEX(FmtBlendedPriceIdx,MATCH(F1270,FmtName,0))</f>
        <v/>
      </c>
      <c r="W1270" s="47">
        <f>T1270*INDEX(ProvSRP,MATCH(G1270,ProvCode,0))*(1+PriceIndex)</f>
        <v/>
      </c>
      <c r="X1270" s="47">
        <f>IF(GrossBasis="Wholesale",V1270,W1270)</f>
        <v/>
      </c>
      <c r="Y1270" s="47">
        <f>R1270*INDEX(FmtBlendedCogs,MATCH(F1270,FmtName,0))</f>
        <v/>
      </c>
      <c r="Z1270" s="47">
        <f>X1270-Y1270</f>
        <v/>
      </c>
    </row>
    <row r="1271">
      <c r="A1271" t="n">
        <v>51</v>
      </c>
      <c r="B1271" s="44">
        <f>FiscalStart+(A1271-1)*7</f>
        <v/>
      </c>
      <c r="C1271">
        <f>TEXT(B1271,"mmm yyyy")</f>
        <v/>
      </c>
      <c r="D1271">
        <f>"Q"&amp;(INT((A1271-1)/13)+1)</f>
        <v/>
      </c>
      <c r="E1271" t="inlineStr">
        <is>
          <t>Fitness</t>
        </is>
      </c>
      <c r="F1271">
        <f>IFERROR(INDEX(ChFormat,MATCH(E1271,ChName,0)),"")</f>
        <v/>
      </c>
      <c r="G1271" t="inlineStr">
        <is>
          <t>MB</t>
        </is>
      </c>
      <c r="H1271">
        <f>IF(A1271&lt;=NWeeks,1,0)</f>
        <v/>
      </c>
      <c r="I1271">
        <f>INDEX(ChLaunch,MATCH(E1271,ChName,0))</f>
        <v/>
      </c>
      <c r="J1271">
        <f>INDEX(ChWeeksFull,MATCH(E1271,ChName,0))</f>
        <v/>
      </c>
      <c r="K1271">
        <f>INDEX(ChRamp,MATCH(E1271,ChName,0))</f>
        <v/>
      </c>
      <c r="L1271" s="45">
        <f>MIN(1,MAX(0,(A1271-I1271+1)*RampSpeed/J1271))</f>
        <v/>
      </c>
      <c r="M1271" s="45">
        <f>IF(A1271&lt;I1271,0,IF(K1271="S-curve",L1271*L1271*(3-2*L1271),L1271))</f>
        <v/>
      </c>
      <c r="N1271" s="45">
        <f>1+(INDEX(SeasonIdx,A1271)-1)*SeasonAmp</f>
        <v/>
      </c>
      <c r="O1271" s="45">
        <f>IFERROR(INDEX(PSPct,MATCH(E1271&amp;"|"&amp;G1271,PSKey,0)),0)</f>
        <v/>
      </c>
      <c r="P1271" s="46">
        <f>INDEX(ChDoorVel,MATCH(E1271,ChName,0))*CalibScalar*(1+VelocityUplift)</f>
        <v/>
      </c>
      <c r="Q1271" s="46" t="n">
        <v>0</v>
      </c>
      <c r="R1271" s="46">
        <f>P1271*O1271*M1271*N1271*H1271</f>
        <v/>
      </c>
      <c r="S1271" s="46">
        <f>R1271*INDEX(FmtCansPerCase,MATCH(F1271,FmtName,0))</f>
        <v/>
      </c>
      <c r="T1271" s="46">
        <f>S1271/INDEX(FmtCansPerPack,MATCH(F1271,FmtName,0))</f>
        <v/>
      </c>
      <c r="U1271" s="47">
        <f>INDEX(ChBaseCP,MATCH(E1271,ChName,0))*(1+INDEX(ProvMod,MATCH(G1271,ProvCode,0)))*(1+PriceIndex)</f>
        <v/>
      </c>
      <c r="V1271" s="47">
        <f>R1271*U1271*INDEX(FmtBlendedPriceIdx,MATCH(F1271,FmtName,0))</f>
        <v/>
      </c>
      <c r="W1271" s="47">
        <f>T1271*INDEX(ProvSRP,MATCH(G1271,ProvCode,0))*(1+PriceIndex)</f>
        <v/>
      </c>
      <c r="X1271" s="47">
        <f>IF(GrossBasis="Wholesale",V1271,W1271)</f>
        <v/>
      </c>
      <c r="Y1271" s="47">
        <f>R1271*INDEX(FmtBlendedCogs,MATCH(F1271,FmtName,0))</f>
        <v/>
      </c>
      <c r="Z1271" s="47">
        <f>X1271-Y1271</f>
        <v/>
      </c>
    </row>
    <row r="1272">
      <c r="A1272" t="n">
        <v>52</v>
      </c>
      <c r="B1272" s="44">
        <f>FiscalStart+(A1272-1)*7</f>
        <v/>
      </c>
      <c r="C1272">
        <f>TEXT(B1272,"mmm yyyy")</f>
        <v/>
      </c>
      <c r="D1272">
        <f>"Q"&amp;(INT((A1272-1)/13)+1)</f>
        <v/>
      </c>
      <c r="E1272" t="inlineStr">
        <is>
          <t>Fitness</t>
        </is>
      </c>
      <c r="F1272">
        <f>IFERROR(INDEX(ChFormat,MATCH(E1272,ChName,0)),"")</f>
        <v/>
      </c>
      <c r="G1272" t="inlineStr">
        <is>
          <t>MB</t>
        </is>
      </c>
      <c r="H1272">
        <f>IF(A1272&lt;=NWeeks,1,0)</f>
        <v/>
      </c>
      <c r="I1272">
        <f>INDEX(ChLaunch,MATCH(E1272,ChName,0))</f>
        <v/>
      </c>
      <c r="J1272">
        <f>INDEX(ChWeeksFull,MATCH(E1272,ChName,0))</f>
        <v/>
      </c>
      <c r="K1272">
        <f>INDEX(ChRamp,MATCH(E1272,ChName,0))</f>
        <v/>
      </c>
      <c r="L1272" s="45">
        <f>MIN(1,MAX(0,(A1272-I1272+1)*RampSpeed/J1272))</f>
        <v/>
      </c>
      <c r="M1272" s="45">
        <f>IF(A1272&lt;I1272,0,IF(K1272="S-curve",L1272*L1272*(3-2*L1272),L1272))</f>
        <v/>
      </c>
      <c r="N1272" s="45">
        <f>1+(INDEX(SeasonIdx,A1272)-1)*SeasonAmp</f>
        <v/>
      </c>
      <c r="O1272" s="45">
        <f>IFERROR(INDEX(PSPct,MATCH(E1272&amp;"|"&amp;G1272,PSKey,0)),0)</f>
        <v/>
      </c>
      <c r="P1272" s="46">
        <f>INDEX(ChDoorVel,MATCH(E1272,ChName,0))*CalibScalar*(1+VelocityUplift)</f>
        <v/>
      </c>
      <c r="Q1272" s="46" t="n">
        <v>0</v>
      </c>
      <c r="R1272" s="46">
        <f>P1272*O1272*M1272*N1272*H1272</f>
        <v/>
      </c>
      <c r="S1272" s="46">
        <f>R1272*INDEX(FmtCansPerCase,MATCH(F1272,FmtName,0))</f>
        <v/>
      </c>
      <c r="T1272" s="46">
        <f>S1272/INDEX(FmtCansPerPack,MATCH(F1272,FmtName,0))</f>
        <v/>
      </c>
      <c r="U1272" s="47">
        <f>INDEX(ChBaseCP,MATCH(E1272,ChName,0))*(1+INDEX(ProvMod,MATCH(G1272,ProvCode,0)))*(1+PriceIndex)</f>
        <v/>
      </c>
      <c r="V1272" s="47">
        <f>R1272*U1272*INDEX(FmtBlendedPriceIdx,MATCH(F1272,FmtName,0))</f>
        <v/>
      </c>
      <c r="W1272" s="47">
        <f>T1272*INDEX(ProvSRP,MATCH(G1272,ProvCode,0))*(1+PriceIndex)</f>
        <v/>
      </c>
      <c r="X1272" s="47">
        <f>IF(GrossBasis="Wholesale",V1272,W1272)</f>
        <v/>
      </c>
      <c r="Y1272" s="47">
        <f>R1272*INDEX(FmtBlendedCogs,MATCH(F1272,FmtName,0))</f>
        <v/>
      </c>
      <c r="Z1272" s="47">
        <f>X1272-Y1272</f>
        <v/>
      </c>
    </row>
    <row r="1273">
      <c r="A1273" t="n">
        <v>53</v>
      </c>
      <c r="B1273" s="44">
        <f>FiscalStart+(A1273-1)*7</f>
        <v/>
      </c>
      <c r="C1273">
        <f>TEXT(B1273,"mmm yyyy")</f>
        <v/>
      </c>
      <c r="D1273">
        <f>"Q"&amp;(INT((A1273-1)/13)+1)</f>
        <v/>
      </c>
      <c r="E1273" t="inlineStr">
        <is>
          <t>Fitness</t>
        </is>
      </c>
      <c r="F1273">
        <f>IFERROR(INDEX(ChFormat,MATCH(E1273,ChName,0)),"")</f>
        <v/>
      </c>
      <c r="G1273" t="inlineStr">
        <is>
          <t>MB</t>
        </is>
      </c>
      <c r="H1273">
        <f>IF(A1273&lt;=NWeeks,1,0)</f>
        <v/>
      </c>
      <c r="I1273">
        <f>INDEX(ChLaunch,MATCH(E1273,ChName,0))</f>
        <v/>
      </c>
      <c r="J1273">
        <f>INDEX(ChWeeksFull,MATCH(E1273,ChName,0))</f>
        <v/>
      </c>
      <c r="K1273">
        <f>INDEX(ChRamp,MATCH(E1273,ChName,0))</f>
        <v/>
      </c>
      <c r="L1273" s="45">
        <f>MIN(1,MAX(0,(A1273-I1273+1)*RampSpeed/J1273))</f>
        <v/>
      </c>
      <c r="M1273" s="45">
        <f>IF(A1273&lt;I1273,0,IF(K1273="S-curve",L1273*L1273*(3-2*L1273),L1273))</f>
        <v/>
      </c>
      <c r="N1273" s="45">
        <f>1+(INDEX(SeasonIdx,A1273)-1)*SeasonAmp</f>
        <v/>
      </c>
      <c r="O1273" s="45">
        <f>IFERROR(INDEX(PSPct,MATCH(E1273&amp;"|"&amp;G1273,PSKey,0)),0)</f>
        <v/>
      </c>
      <c r="P1273" s="46">
        <f>INDEX(ChDoorVel,MATCH(E1273,ChName,0))*CalibScalar*(1+VelocityUplift)</f>
        <v/>
      </c>
      <c r="Q1273" s="46" t="n">
        <v>0</v>
      </c>
      <c r="R1273" s="46">
        <f>P1273*O1273*M1273*N1273*H1273</f>
        <v/>
      </c>
      <c r="S1273" s="46">
        <f>R1273*INDEX(FmtCansPerCase,MATCH(F1273,FmtName,0))</f>
        <v/>
      </c>
      <c r="T1273" s="46">
        <f>S1273/INDEX(FmtCansPerPack,MATCH(F1273,FmtName,0))</f>
        <v/>
      </c>
      <c r="U1273" s="47">
        <f>INDEX(ChBaseCP,MATCH(E1273,ChName,0))*(1+INDEX(ProvMod,MATCH(G1273,ProvCode,0)))*(1+PriceIndex)</f>
        <v/>
      </c>
      <c r="V1273" s="47">
        <f>R1273*U1273*INDEX(FmtBlendedPriceIdx,MATCH(F1273,FmtName,0))</f>
        <v/>
      </c>
      <c r="W1273" s="47">
        <f>T1273*INDEX(ProvSRP,MATCH(G1273,ProvCode,0))*(1+PriceIndex)</f>
        <v/>
      </c>
      <c r="X1273" s="47">
        <f>IF(GrossBasis="Wholesale",V1273,W1273)</f>
        <v/>
      </c>
      <c r="Y1273" s="47">
        <f>R1273*INDEX(FmtBlendedCogs,MATCH(F1273,FmtName,0))</f>
        <v/>
      </c>
      <c r="Z1273" s="47">
        <f>X1273-Y1273</f>
        <v/>
      </c>
    </row>
    <row r="1274">
      <c r="A1274" t="n">
        <v>1</v>
      </c>
      <c r="B1274" s="44">
        <f>FiscalStart+(A1274-1)*7</f>
        <v/>
      </c>
      <c r="C1274">
        <f>TEXT(B1274,"mmm yyyy")</f>
        <v/>
      </c>
      <c r="D1274">
        <f>"Q"&amp;(INT((A1274-1)/13)+1)</f>
        <v/>
      </c>
      <c r="E1274" t="inlineStr">
        <is>
          <t>Fitness</t>
        </is>
      </c>
      <c r="F1274">
        <f>IFERROR(INDEX(ChFormat,MATCH(E1274,ChName,0)),"")</f>
        <v/>
      </c>
      <c r="G1274" t="inlineStr">
        <is>
          <t>ON</t>
        </is>
      </c>
      <c r="H1274">
        <f>IF(A1274&lt;=NWeeks,1,0)</f>
        <v/>
      </c>
      <c r="I1274">
        <f>INDEX(ChLaunch,MATCH(E1274,ChName,0))</f>
        <v/>
      </c>
      <c r="J1274">
        <f>INDEX(ChWeeksFull,MATCH(E1274,ChName,0))</f>
        <v/>
      </c>
      <c r="K1274">
        <f>INDEX(ChRamp,MATCH(E1274,ChName,0))</f>
        <v/>
      </c>
      <c r="L1274" s="45">
        <f>MIN(1,MAX(0,(A1274-I1274+1)*RampSpeed/J1274))</f>
        <v/>
      </c>
      <c r="M1274" s="45">
        <f>IF(A1274&lt;I1274,0,IF(K1274="S-curve",L1274*L1274*(3-2*L1274),L1274))</f>
        <v/>
      </c>
      <c r="N1274" s="45">
        <f>1+(INDEX(SeasonIdx,A1274)-1)*SeasonAmp</f>
        <v/>
      </c>
      <c r="O1274" s="45">
        <f>IFERROR(INDEX(PSPct,MATCH(E1274&amp;"|"&amp;G1274,PSKey,0)),0)</f>
        <v/>
      </c>
      <c r="P1274" s="46">
        <f>INDEX(ChDoorVel,MATCH(E1274,ChName,0))*CalibScalar*(1+VelocityUplift)</f>
        <v/>
      </c>
      <c r="Q1274" s="46" t="n">
        <v>0</v>
      </c>
      <c r="R1274" s="46">
        <f>P1274*O1274*M1274*N1274*H1274</f>
        <v/>
      </c>
      <c r="S1274" s="46">
        <f>R1274*INDEX(FmtCansPerCase,MATCH(F1274,FmtName,0))</f>
        <v/>
      </c>
      <c r="T1274" s="46">
        <f>S1274/INDEX(FmtCansPerPack,MATCH(F1274,FmtName,0))</f>
        <v/>
      </c>
      <c r="U1274" s="47">
        <f>INDEX(ChBaseCP,MATCH(E1274,ChName,0))*(1+INDEX(ProvMod,MATCH(G1274,ProvCode,0)))*(1+PriceIndex)</f>
        <v/>
      </c>
      <c r="V1274" s="47">
        <f>R1274*U1274*INDEX(FmtBlendedPriceIdx,MATCH(F1274,FmtName,0))</f>
        <v/>
      </c>
      <c r="W1274" s="47">
        <f>T1274*INDEX(ProvSRP,MATCH(G1274,ProvCode,0))*(1+PriceIndex)</f>
        <v/>
      </c>
      <c r="X1274" s="47">
        <f>IF(GrossBasis="Wholesale",V1274,W1274)</f>
        <v/>
      </c>
      <c r="Y1274" s="47">
        <f>R1274*INDEX(FmtBlendedCogs,MATCH(F1274,FmtName,0))</f>
        <v/>
      </c>
      <c r="Z1274" s="47">
        <f>X1274-Y1274</f>
        <v/>
      </c>
    </row>
    <row r="1275">
      <c r="A1275" t="n">
        <v>2</v>
      </c>
      <c r="B1275" s="44">
        <f>FiscalStart+(A1275-1)*7</f>
        <v/>
      </c>
      <c r="C1275">
        <f>TEXT(B1275,"mmm yyyy")</f>
        <v/>
      </c>
      <c r="D1275">
        <f>"Q"&amp;(INT((A1275-1)/13)+1)</f>
        <v/>
      </c>
      <c r="E1275" t="inlineStr">
        <is>
          <t>Fitness</t>
        </is>
      </c>
      <c r="F1275">
        <f>IFERROR(INDEX(ChFormat,MATCH(E1275,ChName,0)),"")</f>
        <v/>
      </c>
      <c r="G1275" t="inlineStr">
        <is>
          <t>ON</t>
        </is>
      </c>
      <c r="H1275">
        <f>IF(A1275&lt;=NWeeks,1,0)</f>
        <v/>
      </c>
      <c r="I1275">
        <f>INDEX(ChLaunch,MATCH(E1275,ChName,0))</f>
        <v/>
      </c>
      <c r="J1275">
        <f>INDEX(ChWeeksFull,MATCH(E1275,ChName,0))</f>
        <v/>
      </c>
      <c r="K1275">
        <f>INDEX(ChRamp,MATCH(E1275,ChName,0))</f>
        <v/>
      </c>
      <c r="L1275" s="45">
        <f>MIN(1,MAX(0,(A1275-I1275+1)*RampSpeed/J1275))</f>
        <v/>
      </c>
      <c r="M1275" s="45">
        <f>IF(A1275&lt;I1275,0,IF(K1275="S-curve",L1275*L1275*(3-2*L1275),L1275))</f>
        <v/>
      </c>
      <c r="N1275" s="45">
        <f>1+(INDEX(SeasonIdx,A1275)-1)*SeasonAmp</f>
        <v/>
      </c>
      <c r="O1275" s="45">
        <f>IFERROR(INDEX(PSPct,MATCH(E1275&amp;"|"&amp;G1275,PSKey,0)),0)</f>
        <v/>
      </c>
      <c r="P1275" s="46">
        <f>INDEX(ChDoorVel,MATCH(E1275,ChName,0))*CalibScalar*(1+VelocityUplift)</f>
        <v/>
      </c>
      <c r="Q1275" s="46" t="n">
        <v>0</v>
      </c>
      <c r="R1275" s="46">
        <f>P1275*O1275*M1275*N1275*H1275</f>
        <v/>
      </c>
      <c r="S1275" s="46">
        <f>R1275*INDEX(FmtCansPerCase,MATCH(F1275,FmtName,0))</f>
        <v/>
      </c>
      <c r="T1275" s="46">
        <f>S1275/INDEX(FmtCansPerPack,MATCH(F1275,FmtName,0))</f>
        <v/>
      </c>
      <c r="U1275" s="47">
        <f>INDEX(ChBaseCP,MATCH(E1275,ChName,0))*(1+INDEX(ProvMod,MATCH(G1275,ProvCode,0)))*(1+PriceIndex)</f>
        <v/>
      </c>
      <c r="V1275" s="47">
        <f>R1275*U1275*INDEX(FmtBlendedPriceIdx,MATCH(F1275,FmtName,0))</f>
        <v/>
      </c>
      <c r="W1275" s="47">
        <f>T1275*INDEX(ProvSRP,MATCH(G1275,ProvCode,0))*(1+PriceIndex)</f>
        <v/>
      </c>
      <c r="X1275" s="47">
        <f>IF(GrossBasis="Wholesale",V1275,W1275)</f>
        <v/>
      </c>
      <c r="Y1275" s="47">
        <f>R1275*INDEX(FmtBlendedCogs,MATCH(F1275,FmtName,0))</f>
        <v/>
      </c>
      <c r="Z1275" s="47">
        <f>X1275-Y1275</f>
        <v/>
      </c>
    </row>
    <row r="1276">
      <c r="A1276" t="n">
        <v>3</v>
      </c>
      <c r="B1276" s="44">
        <f>FiscalStart+(A1276-1)*7</f>
        <v/>
      </c>
      <c r="C1276">
        <f>TEXT(B1276,"mmm yyyy")</f>
        <v/>
      </c>
      <c r="D1276">
        <f>"Q"&amp;(INT((A1276-1)/13)+1)</f>
        <v/>
      </c>
      <c r="E1276" t="inlineStr">
        <is>
          <t>Fitness</t>
        </is>
      </c>
      <c r="F1276">
        <f>IFERROR(INDEX(ChFormat,MATCH(E1276,ChName,0)),"")</f>
        <v/>
      </c>
      <c r="G1276" t="inlineStr">
        <is>
          <t>ON</t>
        </is>
      </c>
      <c r="H1276">
        <f>IF(A1276&lt;=NWeeks,1,0)</f>
        <v/>
      </c>
      <c r="I1276">
        <f>INDEX(ChLaunch,MATCH(E1276,ChName,0))</f>
        <v/>
      </c>
      <c r="J1276">
        <f>INDEX(ChWeeksFull,MATCH(E1276,ChName,0))</f>
        <v/>
      </c>
      <c r="K1276">
        <f>INDEX(ChRamp,MATCH(E1276,ChName,0))</f>
        <v/>
      </c>
      <c r="L1276" s="45">
        <f>MIN(1,MAX(0,(A1276-I1276+1)*RampSpeed/J1276))</f>
        <v/>
      </c>
      <c r="M1276" s="45">
        <f>IF(A1276&lt;I1276,0,IF(K1276="S-curve",L1276*L1276*(3-2*L1276),L1276))</f>
        <v/>
      </c>
      <c r="N1276" s="45">
        <f>1+(INDEX(SeasonIdx,A1276)-1)*SeasonAmp</f>
        <v/>
      </c>
      <c r="O1276" s="45">
        <f>IFERROR(INDEX(PSPct,MATCH(E1276&amp;"|"&amp;G1276,PSKey,0)),0)</f>
        <v/>
      </c>
      <c r="P1276" s="46">
        <f>INDEX(ChDoorVel,MATCH(E1276,ChName,0))*CalibScalar*(1+VelocityUplift)</f>
        <v/>
      </c>
      <c r="Q1276" s="46" t="n">
        <v>0</v>
      </c>
      <c r="R1276" s="46">
        <f>P1276*O1276*M1276*N1276*H1276</f>
        <v/>
      </c>
      <c r="S1276" s="46">
        <f>R1276*INDEX(FmtCansPerCase,MATCH(F1276,FmtName,0))</f>
        <v/>
      </c>
      <c r="T1276" s="46">
        <f>S1276/INDEX(FmtCansPerPack,MATCH(F1276,FmtName,0))</f>
        <v/>
      </c>
      <c r="U1276" s="47">
        <f>INDEX(ChBaseCP,MATCH(E1276,ChName,0))*(1+INDEX(ProvMod,MATCH(G1276,ProvCode,0)))*(1+PriceIndex)</f>
        <v/>
      </c>
      <c r="V1276" s="47">
        <f>R1276*U1276*INDEX(FmtBlendedPriceIdx,MATCH(F1276,FmtName,0))</f>
        <v/>
      </c>
      <c r="W1276" s="47">
        <f>T1276*INDEX(ProvSRP,MATCH(G1276,ProvCode,0))*(1+PriceIndex)</f>
        <v/>
      </c>
      <c r="X1276" s="47">
        <f>IF(GrossBasis="Wholesale",V1276,W1276)</f>
        <v/>
      </c>
      <c r="Y1276" s="47">
        <f>R1276*INDEX(FmtBlendedCogs,MATCH(F1276,FmtName,0))</f>
        <v/>
      </c>
      <c r="Z1276" s="47">
        <f>X1276-Y1276</f>
        <v/>
      </c>
    </row>
    <row r="1277">
      <c r="A1277" t="n">
        <v>4</v>
      </c>
      <c r="B1277" s="44">
        <f>FiscalStart+(A1277-1)*7</f>
        <v/>
      </c>
      <c r="C1277">
        <f>TEXT(B1277,"mmm yyyy")</f>
        <v/>
      </c>
      <c r="D1277">
        <f>"Q"&amp;(INT((A1277-1)/13)+1)</f>
        <v/>
      </c>
      <c r="E1277" t="inlineStr">
        <is>
          <t>Fitness</t>
        </is>
      </c>
      <c r="F1277">
        <f>IFERROR(INDEX(ChFormat,MATCH(E1277,ChName,0)),"")</f>
        <v/>
      </c>
      <c r="G1277" t="inlineStr">
        <is>
          <t>ON</t>
        </is>
      </c>
      <c r="H1277">
        <f>IF(A1277&lt;=NWeeks,1,0)</f>
        <v/>
      </c>
      <c r="I1277">
        <f>INDEX(ChLaunch,MATCH(E1277,ChName,0))</f>
        <v/>
      </c>
      <c r="J1277">
        <f>INDEX(ChWeeksFull,MATCH(E1277,ChName,0))</f>
        <v/>
      </c>
      <c r="K1277">
        <f>INDEX(ChRamp,MATCH(E1277,ChName,0))</f>
        <v/>
      </c>
      <c r="L1277" s="45">
        <f>MIN(1,MAX(0,(A1277-I1277+1)*RampSpeed/J1277))</f>
        <v/>
      </c>
      <c r="M1277" s="45">
        <f>IF(A1277&lt;I1277,0,IF(K1277="S-curve",L1277*L1277*(3-2*L1277),L1277))</f>
        <v/>
      </c>
      <c r="N1277" s="45">
        <f>1+(INDEX(SeasonIdx,A1277)-1)*SeasonAmp</f>
        <v/>
      </c>
      <c r="O1277" s="45">
        <f>IFERROR(INDEX(PSPct,MATCH(E1277&amp;"|"&amp;G1277,PSKey,0)),0)</f>
        <v/>
      </c>
      <c r="P1277" s="46">
        <f>INDEX(ChDoorVel,MATCH(E1277,ChName,0))*CalibScalar*(1+VelocityUplift)</f>
        <v/>
      </c>
      <c r="Q1277" s="46" t="n">
        <v>0</v>
      </c>
      <c r="R1277" s="46">
        <f>P1277*O1277*M1277*N1277*H1277</f>
        <v/>
      </c>
      <c r="S1277" s="46">
        <f>R1277*INDEX(FmtCansPerCase,MATCH(F1277,FmtName,0))</f>
        <v/>
      </c>
      <c r="T1277" s="46">
        <f>S1277/INDEX(FmtCansPerPack,MATCH(F1277,FmtName,0))</f>
        <v/>
      </c>
      <c r="U1277" s="47">
        <f>INDEX(ChBaseCP,MATCH(E1277,ChName,0))*(1+INDEX(ProvMod,MATCH(G1277,ProvCode,0)))*(1+PriceIndex)</f>
        <v/>
      </c>
      <c r="V1277" s="47">
        <f>R1277*U1277*INDEX(FmtBlendedPriceIdx,MATCH(F1277,FmtName,0))</f>
        <v/>
      </c>
      <c r="W1277" s="47">
        <f>T1277*INDEX(ProvSRP,MATCH(G1277,ProvCode,0))*(1+PriceIndex)</f>
        <v/>
      </c>
      <c r="X1277" s="47">
        <f>IF(GrossBasis="Wholesale",V1277,W1277)</f>
        <v/>
      </c>
      <c r="Y1277" s="47">
        <f>R1277*INDEX(FmtBlendedCogs,MATCH(F1277,FmtName,0))</f>
        <v/>
      </c>
      <c r="Z1277" s="47">
        <f>X1277-Y1277</f>
        <v/>
      </c>
    </row>
    <row r="1278">
      <c r="A1278" t="n">
        <v>5</v>
      </c>
      <c r="B1278" s="44">
        <f>FiscalStart+(A1278-1)*7</f>
        <v/>
      </c>
      <c r="C1278">
        <f>TEXT(B1278,"mmm yyyy")</f>
        <v/>
      </c>
      <c r="D1278">
        <f>"Q"&amp;(INT((A1278-1)/13)+1)</f>
        <v/>
      </c>
      <c r="E1278" t="inlineStr">
        <is>
          <t>Fitness</t>
        </is>
      </c>
      <c r="F1278">
        <f>IFERROR(INDEX(ChFormat,MATCH(E1278,ChName,0)),"")</f>
        <v/>
      </c>
      <c r="G1278" t="inlineStr">
        <is>
          <t>ON</t>
        </is>
      </c>
      <c r="H1278">
        <f>IF(A1278&lt;=NWeeks,1,0)</f>
        <v/>
      </c>
      <c r="I1278">
        <f>INDEX(ChLaunch,MATCH(E1278,ChName,0))</f>
        <v/>
      </c>
      <c r="J1278">
        <f>INDEX(ChWeeksFull,MATCH(E1278,ChName,0))</f>
        <v/>
      </c>
      <c r="K1278">
        <f>INDEX(ChRamp,MATCH(E1278,ChName,0))</f>
        <v/>
      </c>
      <c r="L1278" s="45">
        <f>MIN(1,MAX(0,(A1278-I1278+1)*RampSpeed/J1278))</f>
        <v/>
      </c>
      <c r="M1278" s="45">
        <f>IF(A1278&lt;I1278,0,IF(K1278="S-curve",L1278*L1278*(3-2*L1278),L1278))</f>
        <v/>
      </c>
      <c r="N1278" s="45">
        <f>1+(INDEX(SeasonIdx,A1278)-1)*SeasonAmp</f>
        <v/>
      </c>
      <c r="O1278" s="45">
        <f>IFERROR(INDEX(PSPct,MATCH(E1278&amp;"|"&amp;G1278,PSKey,0)),0)</f>
        <v/>
      </c>
      <c r="P1278" s="46">
        <f>INDEX(ChDoorVel,MATCH(E1278,ChName,0))*CalibScalar*(1+VelocityUplift)</f>
        <v/>
      </c>
      <c r="Q1278" s="46" t="n">
        <v>0</v>
      </c>
      <c r="R1278" s="46">
        <f>P1278*O1278*M1278*N1278*H1278</f>
        <v/>
      </c>
      <c r="S1278" s="46">
        <f>R1278*INDEX(FmtCansPerCase,MATCH(F1278,FmtName,0))</f>
        <v/>
      </c>
      <c r="T1278" s="46">
        <f>S1278/INDEX(FmtCansPerPack,MATCH(F1278,FmtName,0))</f>
        <v/>
      </c>
      <c r="U1278" s="47">
        <f>INDEX(ChBaseCP,MATCH(E1278,ChName,0))*(1+INDEX(ProvMod,MATCH(G1278,ProvCode,0)))*(1+PriceIndex)</f>
        <v/>
      </c>
      <c r="V1278" s="47">
        <f>R1278*U1278*INDEX(FmtBlendedPriceIdx,MATCH(F1278,FmtName,0))</f>
        <v/>
      </c>
      <c r="W1278" s="47">
        <f>T1278*INDEX(ProvSRP,MATCH(G1278,ProvCode,0))*(1+PriceIndex)</f>
        <v/>
      </c>
      <c r="X1278" s="47">
        <f>IF(GrossBasis="Wholesale",V1278,W1278)</f>
        <v/>
      </c>
      <c r="Y1278" s="47">
        <f>R1278*INDEX(FmtBlendedCogs,MATCH(F1278,FmtName,0))</f>
        <v/>
      </c>
      <c r="Z1278" s="47">
        <f>X1278-Y1278</f>
        <v/>
      </c>
    </row>
    <row r="1279">
      <c r="A1279" t="n">
        <v>6</v>
      </c>
      <c r="B1279" s="44">
        <f>FiscalStart+(A1279-1)*7</f>
        <v/>
      </c>
      <c r="C1279">
        <f>TEXT(B1279,"mmm yyyy")</f>
        <v/>
      </c>
      <c r="D1279">
        <f>"Q"&amp;(INT((A1279-1)/13)+1)</f>
        <v/>
      </c>
      <c r="E1279" t="inlineStr">
        <is>
          <t>Fitness</t>
        </is>
      </c>
      <c r="F1279">
        <f>IFERROR(INDEX(ChFormat,MATCH(E1279,ChName,0)),"")</f>
        <v/>
      </c>
      <c r="G1279" t="inlineStr">
        <is>
          <t>ON</t>
        </is>
      </c>
      <c r="H1279">
        <f>IF(A1279&lt;=NWeeks,1,0)</f>
        <v/>
      </c>
      <c r="I1279">
        <f>INDEX(ChLaunch,MATCH(E1279,ChName,0))</f>
        <v/>
      </c>
      <c r="J1279">
        <f>INDEX(ChWeeksFull,MATCH(E1279,ChName,0))</f>
        <v/>
      </c>
      <c r="K1279">
        <f>INDEX(ChRamp,MATCH(E1279,ChName,0))</f>
        <v/>
      </c>
      <c r="L1279" s="45">
        <f>MIN(1,MAX(0,(A1279-I1279+1)*RampSpeed/J1279))</f>
        <v/>
      </c>
      <c r="M1279" s="45">
        <f>IF(A1279&lt;I1279,0,IF(K1279="S-curve",L1279*L1279*(3-2*L1279),L1279))</f>
        <v/>
      </c>
      <c r="N1279" s="45">
        <f>1+(INDEX(SeasonIdx,A1279)-1)*SeasonAmp</f>
        <v/>
      </c>
      <c r="O1279" s="45">
        <f>IFERROR(INDEX(PSPct,MATCH(E1279&amp;"|"&amp;G1279,PSKey,0)),0)</f>
        <v/>
      </c>
      <c r="P1279" s="46">
        <f>INDEX(ChDoorVel,MATCH(E1279,ChName,0))*CalibScalar*(1+VelocityUplift)</f>
        <v/>
      </c>
      <c r="Q1279" s="46" t="n">
        <v>0</v>
      </c>
      <c r="R1279" s="46">
        <f>P1279*O1279*M1279*N1279*H1279</f>
        <v/>
      </c>
      <c r="S1279" s="46">
        <f>R1279*INDEX(FmtCansPerCase,MATCH(F1279,FmtName,0))</f>
        <v/>
      </c>
      <c r="T1279" s="46">
        <f>S1279/INDEX(FmtCansPerPack,MATCH(F1279,FmtName,0))</f>
        <v/>
      </c>
      <c r="U1279" s="47">
        <f>INDEX(ChBaseCP,MATCH(E1279,ChName,0))*(1+INDEX(ProvMod,MATCH(G1279,ProvCode,0)))*(1+PriceIndex)</f>
        <v/>
      </c>
      <c r="V1279" s="47">
        <f>R1279*U1279*INDEX(FmtBlendedPriceIdx,MATCH(F1279,FmtName,0))</f>
        <v/>
      </c>
      <c r="W1279" s="47">
        <f>T1279*INDEX(ProvSRP,MATCH(G1279,ProvCode,0))*(1+PriceIndex)</f>
        <v/>
      </c>
      <c r="X1279" s="47">
        <f>IF(GrossBasis="Wholesale",V1279,W1279)</f>
        <v/>
      </c>
      <c r="Y1279" s="47">
        <f>R1279*INDEX(FmtBlendedCogs,MATCH(F1279,FmtName,0))</f>
        <v/>
      </c>
      <c r="Z1279" s="47">
        <f>X1279-Y1279</f>
        <v/>
      </c>
    </row>
    <row r="1280">
      <c r="A1280" t="n">
        <v>7</v>
      </c>
      <c r="B1280" s="44">
        <f>FiscalStart+(A1280-1)*7</f>
        <v/>
      </c>
      <c r="C1280">
        <f>TEXT(B1280,"mmm yyyy")</f>
        <v/>
      </c>
      <c r="D1280">
        <f>"Q"&amp;(INT((A1280-1)/13)+1)</f>
        <v/>
      </c>
      <c r="E1280" t="inlineStr">
        <is>
          <t>Fitness</t>
        </is>
      </c>
      <c r="F1280">
        <f>IFERROR(INDEX(ChFormat,MATCH(E1280,ChName,0)),"")</f>
        <v/>
      </c>
      <c r="G1280" t="inlineStr">
        <is>
          <t>ON</t>
        </is>
      </c>
      <c r="H1280">
        <f>IF(A1280&lt;=NWeeks,1,0)</f>
        <v/>
      </c>
      <c r="I1280">
        <f>INDEX(ChLaunch,MATCH(E1280,ChName,0))</f>
        <v/>
      </c>
      <c r="J1280">
        <f>INDEX(ChWeeksFull,MATCH(E1280,ChName,0))</f>
        <v/>
      </c>
      <c r="K1280">
        <f>INDEX(ChRamp,MATCH(E1280,ChName,0))</f>
        <v/>
      </c>
      <c r="L1280" s="45">
        <f>MIN(1,MAX(0,(A1280-I1280+1)*RampSpeed/J1280))</f>
        <v/>
      </c>
      <c r="M1280" s="45">
        <f>IF(A1280&lt;I1280,0,IF(K1280="S-curve",L1280*L1280*(3-2*L1280),L1280))</f>
        <v/>
      </c>
      <c r="N1280" s="45">
        <f>1+(INDEX(SeasonIdx,A1280)-1)*SeasonAmp</f>
        <v/>
      </c>
      <c r="O1280" s="45">
        <f>IFERROR(INDEX(PSPct,MATCH(E1280&amp;"|"&amp;G1280,PSKey,0)),0)</f>
        <v/>
      </c>
      <c r="P1280" s="46">
        <f>INDEX(ChDoorVel,MATCH(E1280,ChName,0))*CalibScalar*(1+VelocityUplift)</f>
        <v/>
      </c>
      <c r="Q1280" s="46" t="n">
        <v>0</v>
      </c>
      <c r="R1280" s="46">
        <f>P1280*O1280*M1280*N1280*H1280</f>
        <v/>
      </c>
      <c r="S1280" s="46">
        <f>R1280*INDEX(FmtCansPerCase,MATCH(F1280,FmtName,0))</f>
        <v/>
      </c>
      <c r="T1280" s="46">
        <f>S1280/INDEX(FmtCansPerPack,MATCH(F1280,FmtName,0))</f>
        <v/>
      </c>
      <c r="U1280" s="47">
        <f>INDEX(ChBaseCP,MATCH(E1280,ChName,0))*(1+INDEX(ProvMod,MATCH(G1280,ProvCode,0)))*(1+PriceIndex)</f>
        <v/>
      </c>
      <c r="V1280" s="47">
        <f>R1280*U1280*INDEX(FmtBlendedPriceIdx,MATCH(F1280,FmtName,0))</f>
        <v/>
      </c>
      <c r="W1280" s="47">
        <f>T1280*INDEX(ProvSRP,MATCH(G1280,ProvCode,0))*(1+PriceIndex)</f>
        <v/>
      </c>
      <c r="X1280" s="47">
        <f>IF(GrossBasis="Wholesale",V1280,W1280)</f>
        <v/>
      </c>
      <c r="Y1280" s="47">
        <f>R1280*INDEX(FmtBlendedCogs,MATCH(F1280,FmtName,0))</f>
        <v/>
      </c>
      <c r="Z1280" s="47">
        <f>X1280-Y1280</f>
        <v/>
      </c>
    </row>
    <row r="1281">
      <c r="A1281" t="n">
        <v>8</v>
      </c>
      <c r="B1281" s="44">
        <f>FiscalStart+(A1281-1)*7</f>
        <v/>
      </c>
      <c r="C1281">
        <f>TEXT(B1281,"mmm yyyy")</f>
        <v/>
      </c>
      <c r="D1281">
        <f>"Q"&amp;(INT((A1281-1)/13)+1)</f>
        <v/>
      </c>
      <c r="E1281" t="inlineStr">
        <is>
          <t>Fitness</t>
        </is>
      </c>
      <c r="F1281">
        <f>IFERROR(INDEX(ChFormat,MATCH(E1281,ChName,0)),"")</f>
        <v/>
      </c>
      <c r="G1281" t="inlineStr">
        <is>
          <t>ON</t>
        </is>
      </c>
      <c r="H1281">
        <f>IF(A1281&lt;=NWeeks,1,0)</f>
        <v/>
      </c>
      <c r="I1281">
        <f>INDEX(ChLaunch,MATCH(E1281,ChName,0))</f>
        <v/>
      </c>
      <c r="J1281">
        <f>INDEX(ChWeeksFull,MATCH(E1281,ChName,0))</f>
        <v/>
      </c>
      <c r="K1281">
        <f>INDEX(ChRamp,MATCH(E1281,ChName,0))</f>
        <v/>
      </c>
      <c r="L1281" s="45">
        <f>MIN(1,MAX(0,(A1281-I1281+1)*RampSpeed/J1281))</f>
        <v/>
      </c>
      <c r="M1281" s="45">
        <f>IF(A1281&lt;I1281,0,IF(K1281="S-curve",L1281*L1281*(3-2*L1281),L1281))</f>
        <v/>
      </c>
      <c r="N1281" s="45">
        <f>1+(INDEX(SeasonIdx,A1281)-1)*SeasonAmp</f>
        <v/>
      </c>
      <c r="O1281" s="45">
        <f>IFERROR(INDEX(PSPct,MATCH(E1281&amp;"|"&amp;G1281,PSKey,0)),0)</f>
        <v/>
      </c>
      <c r="P1281" s="46">
        <f>INDEX(ChDoorVel,MATCH(E1281,ChName,0))*CalibScalar*(1+VelocityUplift)</f>
        <v/>
      </c>
      <c r="Q1281" s="46" t="n">
        <v>0</v>
      </c>
      <c r="R1281" s="46">
        <f>P1281*O1281*M1281*N1281*H1281</f>
        <v/>
      </c>
      <c r="S1281" s="46">
        <f>R1281*INDEX(FmtCansPerCase,MATCH(F1281,FmtName,0))</f>
        <v/>
      </c>
      <c r="T1281" s="46">
        <f>S1281/INDEX(FmtCansPerPack,MATCH(F1281,FmtName,0))</f>
        <v/>
      </c>
      <c r="U1281" s="47">
        <f>INDEX(ChBaseCP,MATCH(E1281,ChName,0))*(1+INDEX(ProvMod,MATCH(G1281,ProvCode,0)))*(1+PriceIndex)</f>
        <v/>
      </c>
      <c r="V1281" s="47">
        <f>R1281*U1281*INDEX(FmtBlendedPriceIdx,MATCH(F1281,FmtName,0))</f>
        <v/>
      </c>
      <c r="W1281" s="47">
        <f>T1281*INDEX(ProvSRP,MATCH(G1281,ProvCode,0))*(1+PriceIndex)</f>
        <v/>
      </c>
      <c r="X1281" s="47">
        <f>IF(GrossBasis="Wholesale",V1281,W1281)</f>
        <v/>
      </c>
      <c r="Y1281" s="47">
        <f>R1281*INDEX(FmtBlendedCogs,MATCH(F1281,FmtName,0))</f>
        <v/>
      </c>
      <c r="Z1281" s="47">
        <f>X1281-Y1281</f>
        <v/>
      </c>
    </row>
    <row r="1282">
      <c r="A1282" t="n">
        <v>9</v>
      </c>
      <c r="B1282" s="44">
        <f>FiscalStart+(A1282-1)*7</f>
        <v/>
      </c>
      <c r="C1282">
        <f>TEXT(B1282,"mmm yyyy")</f>
        <v/>
      </c>
      <c r="D1282">
        <f>"Q"&amp;(INT((A1282-1)/13)+1)</f>
        <v/>
      </c>
      <c r="E1282" t="inlineStr">
        <is>
          <t>Fitness</t>
        </is>
      </c>
      <c r="F1282">
        <f>IFERROR(INDEX(ChFormat,MATCH(E1282,ChName,0)),"")</f>
        <v/>
      </c>
      <c r="G1282" t="inlineStr">
        <is>
          <t>ON</t>
        </is>
      </c>
      <c r="H1282">
        <f>IF(A1282&lt;=NWeeks,1,0)</f>
        <v/>
      </c>
      <c r="I1282">
        <f>INDEX(ChLaunch,MATCH(E1282,ChName,0))</f>
        <v/>
      </c>
      <c r="J1282">
        <f>INDEX(ChWeeksFull,MATCH(E1282,ChName,0))</f>
        <v/>
      </c>
      <c r="K1282">
        <f>INDEX(ChRamp,MATCH(E1282,ChName,0))</f>
        <v/>
      </c>
      <c r="L1282" s="45">
        <f>MIN(1,MAX(0,(A1282-I1282+1)*RampSpeed/J1282))</f>
        <v/>
      </c>
      <c r="M1282" s="45">
        <f>IF(A1282&lt;I1282,0,IF(K1282="S-curve",L1282*L1282*(3-2*L1282),L1282))</f>
        <v/>
      </c>
      <c r="N1282" s="45">
        <f>1+(INDEX(SeasonIdx,A1282)-1)*SeasonAmp</f>
        <v/>
      </c>
      <c r="O1282" s="45">
        <f>IFERROR(INDEX(PSPct,MATCH(E1282&amp;"|"&amp;G1282,PSKey,0)),0)</f>
        <v/>
      </c>
      <c r="P1282" s="46">
        <f>INDEX(ChDoorVel,MATCH(E1282,ChName,0))*CalibScalar*(1+VelocityUplift)</f>
        <v/>
      </c>
      <c r="Q1282" s="46" t="n">
        <v>0</v>
      </c>
      <c r="R1282" s="46">
        <f>P1282*O1282*M1282*N1282*H1282</f>
        <v/>
      </c>
      <c r="S1282" s="46">
        <f>R1282*INDEX(FmtCansPerCase,MATCH(F1282,FmtName,0))</f>
        <v/>
      </c>
      <c r="T1282" s="46">
        <f>S1282/INDEX(FmtCansPerPack,MATCH(F1282,FmtName,0))</f>
        <v/>
      </c>
      <c r="U1282" s="47">
        <f>INDEX(ChBaseCP,MATCH(E1282,ChName,0))*(1+INDEX(ProvMod,MATCH(G1282,ProvCode,0)))*(1+PriceIndex)</f>
        <v/>
      </c>
      <c r="V1282" s="47">
        <f>R1282*U1282*INDEX(FmtBlendedPriceIdx,MATCH(F1282,FmtName,0))</f>
        <v/>
      </c>
      <c r="W1282" s="47">
        <f>T1282*INDEX(ProvSRP,MATCH(G1282,ProvCode,0))*(1+PriceIndex)</f>
        <v/>
      </c>
      <c r="X1282" s="47">
        <f>IF(GrossBasis="Wholesale",V1282,W1282)</f>
        <v/>
      </c>
      <c r="Y1282" s="47">
        <f>R1282*INDEX(FmtBlendedCogs,MATCH(F1282,FmtName,0))</f>
        <v/>
      </c>
      <c r="Z1282" s="47">
        <f>X1282-Y1282</f>
        <v/>
      </c>
    </row>
    <row r="1283">
      <c r="A1283" t="n">
        <v>10</v>
      </c>
      <c r="B1283" s="44">
        <f>FiscalStart+(A1283-1)*7</f>
        <v/>
      </c>
      <c r="C1283">
        <f>TEXT(B1283,"mmm yyyy")</f>
        <v/>
      </c>
      <c r="D1283">
        <f>"Q"&amp;(INT((A1283-1)/13)+1)</f>
        <v/>
      </c>
      <c r="E1283" t="inlineStr">
        <is>
          <t>Fitness</t>
        </is>
      </c>
      <c r="F1283">
        <f>IFERROR(INDEX(ChFormat,MATCH(E1283,ChName,0)),"")</f>
        <v/>
      </c>
      <c r="G1283" t="inlineStr">
        <is>
          <t>ON</t>
        </is>
      </c>
      <c r="H1283">
        <f>IF(A1283&lt;=NWeeks,1,0)</f>
        <v/>
      </c>
      <c r="I1283">
        <f>INDEX(ChLaunch,MATCH(E1283,ChName,0))</f>
        <v/>
      </c>
      <c r="J1283">
        <f>INDEX(ChWeeksFull,MATCH(E1283,ChName,0))</f>
        <v/>
      </c>
      <c r="K1283">
        <f>INDEX(ChRamp,MATCH(E1283,ChName,0))</f>
        <v/>
      </c>
      <c r="L1283" s="45">
        <f>MIN(1,MAX(0,(A1283-I1283+1)*RampSpeed/J1283))</f>
        <v/>
      </c>
      <c r="M1283" s="45">
        <f>IF(A1283&lt;I1283,0,IF(K1283="S-curve",L1283*L1283*(3-2*L1283),L1283))</f>
        <v/>
      </c>
      <c r="N1283" s="45">
        <f>1+(INDEX(SeasonIdx,A1283)-1)*SeasonAmp</f>
        <v/>
      </c>
      <c r="O1283" s="45">
        <f>IFERROR(INDEX(PSPct,MATCH(E1283&amp;"|"&amp;G1283,PSKey,0)),0)</f>
        <v/>
      </c>
      <c r="P1283" s="46">
        <f>INDEX(ChDoorVel,MATCH(E1283,ChName,0))*CalibScalar*(1+VelocityUplift)</f>
        <v/>
      </c>
      <c r="Q1283" s="46" t="n">
        <v>0</v>
      </c>
      <c r="R1283" s="46">
        <f>P1283*O1283*M1283*N1283*H1283</f>
        <v/>
      </c>
      <c r="S1283" s="46">
        <f>R1283*INDEX(FmtCansPerCase,MATCH(F1283,FmtName,0))</f>
        <v/>
      </c>
      <c r="T1283" s="46">
        <f>S1283/INDEX(FmtCansPerPack,MATCH(F1283,FmtName,0))</f>
        <v/>
      </c>
      <c r="U1283" s="47">
        <f>INDEX(ChBaseCP,MATCH(E1283,ChName,0))*(1+INDEX(ProvMod,MATCH(G1283,ProvCode,0)))*(1+PriceIndex)</f>
        <v/>
      </c>
      <c r="V1283" s="47">
        <f>R1283*U1283*INDEX(FmtBlendedPriceIdx,MATCH(F1283,FmtName,0))</f>
        <v/>
      </c>
      <c r="W1283" s="47">
        <f>T1283*INDEX(ProvSRP,MATCH(G1283,ProvCode,0))*(1+PriceIndex)</f>
        <v/>
      </c>
      <c r="X1283" s="47">
        <f>IF(GrossBasis="Wholesale",V1283,W1283)</f>
        <v/>
      </c>
      <c r="Y1283" s="47">
        <f>R1283*INDEX(FmtBlendedCogs,MATCH(F1283,FmtName,0))</f>
        <v/>
      </c>
      <c r="Z1283" s="47">
        <f>X1283-Y1283</f>
        <v/>
      </c>
    </row>
    <row r="1284">
      <c r="A1284" t="n">
        <v>11</v>
      </c>
      <c r="B1284" s="44">
        <f>FiscalStart+(A1284-1)*7</f>
        <v/>
      </c>
      <c r="C1284">
        <f>TEXT(B1284,"mmm yyyy")</f>
        <v/>
      </c>
      <c r="D1284">
        <f>"Q"&amp;(INT((A1284-1)/13)+1)</f>
        <v/>
      </c>
      <c r="E1284" t="inlineStr">
        <is>
          <t>Fitness</t>
        </is>
      </c>
      <c r="F1284">
        <f>IFERROR(INDEX(ChFormat,MATCH(E1284,ChName,0)),"")</f>
        <v/>
      </c>
      <c r="G1284" t="inlineStr">
        <is>
          <t>ON</t>
        </is>
      </c>
      <c r="H1284">
        <f>IF(A1284&lt;=NWeeks,1,0)</f>
        <v/>
      </c>
      <c r="I1284">
        <f>INDEX(ChLaunch,MATCH(E1284,ChName,0))</f>
        <v/>
      </c>
      <c r="J1284">
        <f>INDEX(ChWeeksFull,MATCH(E1284,ChName,0))</f>
        <v/>
      </c>
      <c r="K1284">
        <f>INDEX(ChRamp,MATCH(E1284,ChName,0))</f>
        <v/>
      </c>
      <c r="L1284" s="45">
        <f>MIN(1,MAX(0,(A1284-I1284+1)*RampSpeed/J1284))</f>
        <v/>
      </c>
      <c r="M1284" s="45">
        <f>IF(A1284&lt;I1284,0,IF(K1284="S-curve",L1284*L1284*(3-2*L1284),L1284))</f>
        <v/>
      </c>
      <c r="N1284" s="45">
        <f>1+(INDEX(SeasonIdx,A1284)-1)*SeasonAmp</f>
        <v/>
      </c>
      <c r="O1284" s="45">
        <f>IFERROR(INDEX(PSPct,MATCH(E1284&amp;"|"&amp;G1284,PSKey,0)),0)</f>
        <v/>
      </c>
      <c r="P1284" s="46">
        <f>INDEX(ChDoorVel,MATCH(E1284,ChName,0))*CalibScalar*(1+VelocityUplift)</f>
        <v/>
      </c>
      <c r="Q1284" s="46" t="n">
        <v>0</v>
      </c>
      <c r="R1284" s="46">
        <f>P1284*O1284*M1284*N1284*H1284</f>
        <v/>
      </c>
      <c r="S1284" s="46">
        <f>R1284*INDEX(FmtCansPerCase,MATCH(F1284,FmtName,0))</f>
        <v/>
      </c>
      <c r="T1284" s="46">
        <f>S1284/INDEX(FmtCansPerPack,MATCH(F1284,FmtName,0))</f>
        <v/>
      </c>
      <c r="U1284" s="47">
        <f>INDEX(ChBaseCP,MATCH(E1284,ChName,0))*(1+INDEX(ProvMod,MATCH(G1284,ProvCode,0)))*(1+PriceIndex)</f>
        <v/>
      </c>
      <c r="V1284" s="47">
        <f>R1284*U1284*INDEX(FmtBlendedPriceIdx,MATCH(F1284,FmtName,0))</f>
        <v/>
      </c>
      <c r="W1284" s="47">
        <f>T1284*INDEX(ProvSRP,MATCH(G1284,ProvCode,0))*(1+PriceIndex)</f>
        <v/>
      </c>
      <c r="X1284" s="47">
        <f>IF(GrossBasis="Wholesale",V1284,W1284)</f>
        <v/>
      </c>
      <c r="Y1284" s="47">
        <f>R1284*INDEX(FmtBlendedCogs,MATCH(F1284,FmtName,0))</f>
        <v/>
      </c>
      <c r="Z1284" s="47">
        <f>X1284-Y1284</f>
        <v/>
      </c>
    </row>
    <row r="1285">
      <c r="A1285" t="n">
        <v>12</v>
      </c>
      <c r="B1285" s="44">
        <f>FiscalStart+(A1285-1)*7</f>
        <v/>
      </c>
      <c r="C1285">
        <f>TEXT(B1285,"mmm yyyy")</f>
        <v/>
      </c>
      <c r="D1285">
        <f>"Q"&amp;(INT((A1285-1)/13)+1)</f>
        <v/>
      </c>
      <c r="E1285" t="inlineStr">
        <is>
          <t>Fitness</t>
        </is>
      </c>
      <c r="F1285">
        <f>IFERROR(INDEX(ChFormat,MATCH(E1285,ChName,0)),"")</f>
        <v/>
      </c>
      <c r="G1285" t="inlineStr">
        <is>
          <t>ON</t>
        </is>
      </c>
      <c r="H1285">
        <f>IF(A1285&lt;=NWeeks,1,0)</f>
        <v/>
      </c>
      <c r="I1285">
        <f>INDEX(ChLaunch,MATCH(E1285,ChName,0))</f>
        <v/>
      </c>
      <c r="J1285">
        <f>INDEX(ChWeeksFull,MATCH(E1285,ChName,0))</f>
        <v/>
      </c>
      <c r="K1285">
        <f>INDEX(ChRamp,MATCH(E1285,ChName,0))</f>
        <v/>
      </c>
      <c r="L1285" s="45">
        <f>MIN(1,MAX(0,(A1285-I1285+1)*RampSpeed/J1285))</f>
        <v/>
      </c>
      <c r="M1285" s="45">
        <f>IF(A1285&lt;I1285,0,IF(K1285="S-curve",L1285*L1285*(3-2*L1285),L1285))</f>
        <v/>
      </c>
      <c r="N1285" s="45">
        <f>1+(INDEX(SeasonIdx,A1285)-1)*SeasonAmp</f>
        <v/>
      </c>
      <c r="O1285" s="45">
        <f>IFERROR(INDEX(PSPct,MATCH(E1285&amp;"|"&amp;G1285,PSKey,0)),0)</f>
        <v/>
      </c>
      <c r="P1285" s="46">
        <f>INDEX(ChDoorVel,MATCH(E1285,ChName,0))*CalibScalar*(1+VelocityUplift)</f>
        <v/>
      </c>
      <c r="Q1285" s="46" t="n">
        <v>0</v>
      </c>
      <c r="R1285" s="46">
        <f>P1285*O1285*M1285*N1285*H1285</f>
        <v/>
      </c>
      <c r="S1285" s="46">
        <f>R1285*INDEX(FmtCansPerCase,MATCH(F1285,FmtName,0))</f>
        <v/>
      </c>
      <c r="T1285" s="46">
        <f>S1285/INDEX(FmtCansPerPack,MATCH(F1285,FmtName,0))</f>
        <v/>
      </c>
      <c r="U1285" s="47">
        <f>INDEX(ChBaseCP,MATCH(E1285,ChName,0))*(1+INDEX(ProvMod,MATCH(G1285,ProvCode,0)))*(1+PriceIndex)</f>
        <v/>
      </c>
      <c r="V1285" s="47">
        <f>R1285*U1285*INDEX(FmtBlendedPriceIdx,MATCH(F1285,FmtName,0))</f>
        <v/>
      </c>
      <c r="W1285" s="47">
        <f>T1285*INDEX(ProvSRP,MATCH(G1285,ProvCode,0))*(1+PriceIndex)</f>
        <v/>
      </c>
      <c r="X1285" s="47">
        <f>IF(GrossBasis="Wholesale",V1285,W1285)</f>
        <v/>
      </c>
      <c r="Y1285" s="47">
        <f>R1285*INDEX(FmtBlendedCogs,MATCH(F1285,FmtName,0))</f>
        <v/>
      </c>
      <c r="Z1285" s="47">
        <f>X1285-Y1285</f>
        <v/>
      </c>
    </row>
    <row r="1286">
      <c r="A1286" t="n">
        <v>13</v>
      </c>
      <c r="B1286" s="44">
        <f>FiscalStart+(A1286-1)*7</f>
        <v/>
      </c>
      <c r="C1286">
        <f>TEXT(B1286,"mmm yyyy")</f>
        <v/>
      </c>
      <c r="D1286">
        <f>"Q"&amp;(INT((A1286-1)/13)+1)</f>
        <v/>
      </c>
      <c r="E1286" t="inlineStr">
        <is>
          <t>Fitness</t>
        </is>
      </c>
      <c r="F1286">
        <f>IFERROR(INDEX(ChFormat,MATCH(E1286,ChName,0)),"")</f>
        <v/>
      </c>
      <c r="G1286" t="inlineStr">
        <is>
          <t>ON</t>
        </is>
      </c>
      <c r="H1286">
        <f>IF(A1286&lt;=NWeeks,1,0)</f>
        <v/>
      </c>
      <c r="I1286">
        <f>INDEX(ChLaunch,MATCH(E1286,ChName,0))</f>
        <v/>
      </c>
      <c r="J1286">
        <f>INDEX(ChWeeksFull,MATCH(E1286,ChName,0))</f>
        <v/>
      </c>
      <c r="K1286">
        <f>INDEX(ChRamp,MATCH(E1286,ChName,0))</f>
        <v/>
      </c>
      <c r="L1286" s="45">
        <f>MIN(1,MAX(0,(A1286-I1286+1)*RampSpeed/J1286))</f>
        <v/>
      </c>
      <c r="M1286" s="45">
        <f>IF(A1286&lt;I1286,0,IF(K1286="S-curve",L1286*L1286*(3-2*L1286),L1286))</f>
        <v/>
      </c>
      <c r="N1286" s="45">
        <f>1+(INDEX(SeasonIdx,A1286)-1)*SeasonAmp</f>
        <v/>
      </c>
      <c r="O1286" s="45">
        <f>IFERROR(INDEX(PSPct,MATCH(E1286&amp;"|"&amp;G1286,PSKey,0)),0)</f>
        <v/>
      </c>
      <c r="P1286" s="46">
        <f>INDEX(ChDoorVel,MATCH(E1286,ChName,0))*CalibScalar*(1+VelocityUplift)</f>
        <v/>
      </c>
      <c r="Q1286" s="46" t="n">
        <v>0</v>
      </c>
      <c r="R1286" s="46">
        <f>P1286*O1286*M1286*N1286*H1286</f>
        <v/>
      </c>
      <c r="S1286" s="46">
        <f>R1286*INDEX(FmtCansPerCase,MATCH(F1286,FmtName,0))</f>
        <v/>
      </c>
      <c r="T1286" s="46">
        <f>S1286/INDEX(FmtCansPerPack,MATCH(F1286,FmtName,0))</f>
        <v/>
      </c>
      <c r="U1286" s="47">
        <f>INDEX(ChBaseCP,MATCH(E1286,ChName,0))*(1+INDEX(ProvMod,MATCH(G1286,ProvCode,0)))*(1+PriceIndex)</f>
        <v/>
      </c>
      <c r="V1286" s="47">
        <f>R1286*U1286*INDEX(FmtBlendedPriceIdx,MATCH(F1286,FmtName,0))</f>
        <v/>
      </c>
      <c r="W1286" s="47">
        <f>T1286*INDEX(ProvSRP,MATCH(G1286,ProvCode,0))*(1+PriceIndex)</f>
        <v/>
      </c>
      <c r="X1286" s="47">
        <f>IF(GrossBasis="Wholesale",V1286,W1286)</f>
        <v/>
      </c>
      <c r="Y1286" s="47">
        <f>R1286*INDEX(FmtBlendedCogs,MATCH(F1286,FmtName,0))</f>
        <v/>
      </c>
      <c r="Z1286" s="47">
        <f>X1286-Y1286</f>
        <v/>
      </c>
    </row>
    <row r="1287">
      <c r="A1287" t="n">
        <v>14</v>
      </c>
      <c r="B1287" s="44">
        <f>FiscalStart+(A1287-1)*7</f>
        <v/>
      </c>
      <c r="C1287">
        <f>TEXT(B1287,"mmm yyyy")</f>
        <v/>
      </c>
      <c r="D1287">
        <f>"Q"&amp;(INT((A1287-1)/13)+1)</f>
        <v/>
      </c>
      <c r="E1287" t="inlineStr">
        <is>
          <t>Fitness</t>
        </is>
      </c>
      <c r="F1287">
        <f>IFERROR(INDEX(ChFormat,MATCH(E1287,ChName,0)),"")</f>
        <v/>
      </c>
      <c r="G1287" t="inlineStr">
        <is>
          <t>ON</t>
        </is>
      </c>
      <c r="H1287">
        <f>IF(A1287&lt;=NWeeks,1,0)</f>
        <v/>
      </c>
      <c r="I1287">
        <f>INDEX(ChLaunch,MATCH(E1287,ChName,0))</f>
        <v/>
      </c>
      <c r="J1287">
        <f>INDEX(ChWeeksFull,MATCH(E1287,ChName,0))</f>
        <v/>
      </c>
      <c r="K1287">
        <f>INDEX(ChRamp,MATCH(E1287,ChName,0))</f>
        <v/>
      </c>
      <c r="L1287" s="45">
        <f>MIN(1,MAX(0,(A1287-I1287+1)*RampSpeed/J1287))</f>
        <v/>
      </c>
      <c r="M1287" s="45">
        <f>IF(A1287&lt;I1287,0,IF(K1287="S-curve",L1287*L1287*(3-2*L1287),L1287))</f>
        <v/>
      </c>
      <c r="N1287" s="45">
        <f>1+(INDEX(SeasonIdx,A1287)-1)*SeasonAmp</f>
        <v/>
      </c>
      <c r="O1287" s="45">
        <f>IFERROR(INDEX(PSPct,MATCH(E1287&amp;"|"&amp;G1287,PSKey,0)),0)</f>
        <v/>
      </c>
      <c r="P1287" s="46">
        <f>INDEX(ChDoorVel,MATCH(E1287,ChName,0))*CalibScalar*(1+VelocityUplift)</f>
        <v/>
      </c>
      <c r="Q1287" s="46" t="n">
        <v>0</v>
      </c>
      <c r="R1287" s="46">
        <f>P1287*O1287*M1287*N1287*H1287</f>
        <v/>
      </c>
      <c r="S1287" s="46">
        <f>R1287*INDEX(FmtCansPerCase,MATCH(F1287,FmtName,0))</f>
        <v/>
      </c>
      <c r="T1287" s="46">
        <f>S1287/INDEX(FmtCansPerPack,MATCH(F1287,FmtName,0))</f>
        <v/>
      </c>
      <c r="U1287" s="47">
        <f>INDEX(ChBaseCP,MATCH(E1287,ChName,0))*(1+INDEX(ProvMod,MATCH(G1287,ProvCode,0)))*(1+PriceIndex)</f>
        <v/>
      </c>
      <c r="V1287" s="47">
        <f>R1287*U1287*INDEX(FmtBlendedPriceIdx,MATCH(F1287,FmtName,0))</f>
        <v/>
      </c>
      <c r="W1287" s="47">
        <f>T1287*INDEX(ProvSRP,MATCH(G1287,ProvCode,0))*(1+PriceIndex)</f>
        <v/>
      </c>
      <c r="X1287" s="47">
        <f>IF(GrossBasis="Wholesale",V1287,W1287)</f>
        <v/>
      </c>
      <c r="Y1287" s="47">
        <f>R1287*INDEX(FmtBlendedCogs,MATCH(F1287,FmtName,0))</f>
        <v/>
      </c>
      <c r="Z1287" s="47">
        <f>X1287-Y1287</f>
        <v/>
      </c>
    </row>
    <row r="1288">
      <c r="A1288" t="n">
        <v>15</v>
      </c>
      <c r="B1288" s="44">
        <f>FiscalStart+(A1288-1)*7</f>
        <v/>
      </c>
      <c r="C1288">
        <f>TEXT(B1288,"mmm yyyy")</f>
        <v/>
      </c>
      <c r="D1288">
        <f>"Q"&amp;(INT((A1288-1)/13)+1)</f>
        <v/>
      </c>
      <c r="E1288" t="inlineStr">
        <is>
          <t>Fitness</t>
        </is>
      </c>
      <c r="F1288">
        <f>IFERROR(INDEX(ChFormat,MATCH(E1288,ChName,0)),"")</f>
        <v/>
      </c>
      <c r="G1288" t="inlineStr">
        <is>
          <t>ON</t>
        </is>
      </c>
      <c r="H1288">
        <f>IF(A1288&lt;=NWeeks,1,0)</f>
        <v/>
      </c>
      <c r="I1288">
        <f>INDEX(ChLaunch,MATCH(E1288,ChName,0))</f>
        <v/>
      </c>
      <c r="J1288">
        <f>INDEX(ChWeeksFull,MATCH(E1288,ChName,0))</f>
        <v/>
      </c>
      <c r="K1288">
        <f>INDEX(ChRamp,MATCH(E1288,ChName,0))</f>
        <v/>
      </c>
      <c r="L1288" s="45">
        <f>MIN(1,MAX(0,(A1288-I1288+1)*RampSpeed/J1288))</f>
        <v/>
      </c>
      <c r="M1288" s="45">
        <f>IF(A1288&lt;I1288,0,IF(K1288="S-curve",L1288*L1288*(3-2*L1288),L1288))</f>
        <v/>
      </c>
      <c r="N1288" s="45">
        <f>1+(INDEX(SeasonIdx,A1288)-1)*SeasonAmp</f>
        <v/>
      </c>
      <c r="O1288" s="45">
        <f>IFERROR(INDEX(PSPct,MATCH(E1288&amp;"|"&amp;G1288,PSKey,0)),0)</f>
        <v/>
      </c>
      <c r="P1288" s="46">
        <f>INDEX(ChDoorVel,MATCH(E1288,ChName,0))*CalibScalar*(1+VelocityUplift)</f>
        <v/>
      </c>
      <c r="Q1288" s="46" t="n">
        <v>0</v>
      </c>
      <c r="R1288" s="46">
        <f>P1288*O1288*M1288*N1288*H1288</f>
        <v/>
      </c>
      <c r="S1288" s="46">
        <f>R1288*INDEX(FmtCansPerCase,MATCH(F1288,FmtName,0))</f>
        <v/>
      </c>
      <c r="T1288" s="46">
        <f>S1288/INDEX(FmtCansPerPack,MATCH(F1288,FmtName,0))</f>
        <v/>
      </c>
      <c r="U1288" s="47">
        <f>INDEX(ChBaseCP,MATCH(E1288,ChName,0))*(1+INDEX(ProvMod,MATCH(G1288,ProvCode,0)))*(1+PriceIndex)</f>
        <v/>
      </c>
      <c r="V1288" s="47">
        <f>R1288*U1288*INDEX(FmtBlendedPriceIdx,MATCH(F1288,FmtName,0))</f>
        <v/>
      </c>
      <c r="W1288" s="47">
        <f>T1288*INDEX(ProvSRP,MATCH(G1288,ProvCode,0))*(1+PriceIndex)</f>
        <v/>
      </c>
      <c r="X1288" s="47">
        <f>IF(GrossBasis="Wholesale",V1288,W1288)</f>
        <v/>
      </c>
      <c r="Y1288" s="47">
        <f>R1288*INDEX(FmtBlendedCogs,MATCH(F1288,FmtName,0))</f>
        <v/>
      </c>
      <c r="Z1288" s="47">
        <f>X1288-Y1288</f>
        <v/>
      </c>
    </row>
    <row r="1289">
      <c r="A1289" t="n">
        <v>16</v>
      </c>
      <c r="B1289" s="44">
        <f>FiscalStart+(A1289-1)*7</f>
        <v/>
      </c>
      <c r="C1289">
        <f>TEXT(B1289,"mmm yyyy")</f>
        <v/>
      </c>
      <c r="D1289">
        <f>"Q"&amp;(INT((A1289-1)/13)+1)</f>
        <v/>
      </c>
      <c r="E1289" t="inlineStr">
        <is>
          <t>Fitness</t>
        </is>
      </c>
      <c r="F1289">
        <f>IFERROR(INDEX(ChFormat,MATCH(E1289,ChName,0)),"")</f>
        <v/>
      </c>
      <c r="G1289" t="inlineStr">
        <is>
          <t>ON</t>
        </is>
      </c>
      <c r="H1289">
        <f>IF(A1289&lt;=NWeeks,1,0)</f>
        <v/>
      </c>
      <c r="I1289">
        <f>INDEX(ChLaunch,MATCH(E1289,ChName,0))</f>
        <v/>
      </c>
      <c r="J1289">
        <f>INDEX(ChWeeksFull,MATCH(E1289,ChName,0))</f>
        <v/>
      </c>
      <c r="K1289">
        <f>INDEX(ChRamp,MATCH(E1289,ChName,0))</f>
        <v/>
      </c>
      <c r="L1289" s="45">
        <f>MIN(1,MAX(0,(A1289-I1289+1)*RampSpeed/J1289))</f>
        <v/>
      </c>
      <c r="M1289" s="45">
        <f>IF(A1289&lt;I1289,0,IF(K1289="S-curve",L1289*L1289*(3-2*L1289),L1289))</f>
        <v/>
      </c>
      <c r="N1289" s="45">
        <f>1+(INDEX(SeasonIdx,A1289)-1)*SeasonAmp</f>
        <v/>
      </c>
      <c r="O1289" s="45">
        <f>IFERROR(INDEX(PSPct,MATCH(E1289&amp;"|"&amp;G1289,PSKey,0)),0)</f>
        <v/>
      </c>
      <c r="P1289" s="46">
        <f>INDEX(ChDoorVel,MATCH(E1289,ChName,0))*CalibScalar*(1+VelocityUplift)</f>
        <v/>
      </c>
      <c r="Q1289" s="46" t="n">
        <v>0</v>
      </c>
      <c r="R1289" s="46">
        <f>P1289*O1289*M1289*N1289*H1289</f>
        <v/>
      </c>
      <c r="S1289" s="46">
        <f>R1289*INDEX(FmtCansPerCase,MATCH(F1289,FmtName,0))</f>
        <v/>
      </c>
      <c r="T1289" s="46">
        <f>S1289/INDEX(FmtCansPerPack,MATCH(F1289,FmtName,0))</f>
        <v/>
      </c>
      <c r="U1289" s="47">
        <f>INDEX(ChBaseCP,MATCH(E1289,ChName,0))*(1+INDEX(ProvMod,MATCH(G1289,ProvCode,0)))*(1+PriceIndex)</f>
        <v/>
      </c>
      <c r="V1289" s="47">
        <f>R1289*U1289*INDEX(FmtBlendedPriceIdx,MATCH(F1289,FmtName,0))</f>
        <v/>
      </c>
      <c r="W1289" s="47">
        <f>T1289*INDEX(ProvSRP,MATCH(G1289,ProvCode,0))*(1+PriceIndex)</f>
        <v/>
      </c>
      <c r="X1289" s="47">
        <f>IF(GrossBasis="Wholesale",V1289,W1289)</f>
        <v/>
      </c>
      <c r="Y1289" s="47">
        <f>R1289*INDEX(FmtBlendedCogs,MATCH(F1289,FmtName,0))</f>
        <v/>
      </c>
      <c r="Z1289" s="47">
        <f>X1289-Y1289</f>
        <v/>
      </c>
    </row>
    <row r="1290">
      <c r="A1290" t="n">
        <v>17</v>
      </c>
      <c r="B1290" s="44">
        <f>FiscalStart+(A1290-1)*7</f>
        <v/>
      </c>
      <c r="C1290">
        <f>TEXT(B1290,"mmm yyyy")</f>
        <v/>
      </c>
      <c r="D1290">
        <f>"Q"&amp;(INT((A1290-1)/13)+1)</f>
        <v/>
      </c>
      <c r="E1290" t="inlineStr">
        <is>
          <t>Fitness</t>
        </is>
      </c>
      <c r="F1290">
        <f>IFERROR(INDEX(ChFormat,MATCH(E1290,ChName,0)),"")</f>
        <v/>
      </c>
      <c r="G1290" t="inlineStr">
        <is>
          <t>ON</t>
        </is>
      </c>
      <c r="H1290">
        <f>IF(A1290&lt;=NWeeks,1,0)</f>
        <v/>
      </c>
      <c r="I1290">
        <f>INDEX(ChLaunch,MATCH(E1290,ChName,0))</f>
        <v/>
      </c>
      <c r="J1290">
        <f>INDEX(ChWeeksFull,MATCH(E1290,ChName,0))</f>
        <v/>
      </c>
      <c r="K1290">
        <f>INDEX(ChRamp,MATCH(E1290,ChName,0))</f>
        <v/>
      </c>
      <c r="L1290" s="45">
        <f>MIN(1,MAX(0,(A1290-I1290+1)*RampSpeed/J1290))</f>
        <v/>
      </c>
      <c r="M1290" s="45">
        <f>IF(A1290&lt;I1290,0,IF(K1290="S-curve",L1290*L1290*(3-2*L1290),L1290))</f>
        <v/>
      </c>
      <c r="N1290" s="45">
        <f>1+(INDEX(SeasonIdx,A1290)-1)*SeasonAmp</f>
        <v/>
      </c>
      <c r="O1290" s="45">
        <f>IFERROR(INDEX(PSPct,MATCH(E1290&amp;"|"&amp;G1290,PSKey,0)),0)</f>
        <v/>
      </c>
      <c r="P1290" s="46">
        <f>INDEX(ChDoorVel,MATCH(E1290,ChName,0))*CalibScalar*(1+VelocityUplift)</f>
        <v/>
      </c>
      <c r="Q1290" s="46" t="n">
        <v>0</v>
      </c>
      <c r="R1290" s="46">
        <f>P1290*O1290*M1290*N1290*H1290</f>
        <v/>
      </c>
      <c r="S1290" s="46">
        <f>R1290*INDEX(FmtCansPerCase,MATCH(F1290,FmtName,0))</f>
        <v/>
      </c>
      <c r="T1290" s="46">
        <f>S1290/INDEX(FmtCansPerPack,MATCH(F1290,FmtName,0))</f>
        <v/>
      </c>
      <c r="U1290" s="47">
        <f>INDEX(ChBaseCP,MATCH(E1290,ChName,0))*(1+INDEX(ProvMod,MATCH(G1290,ProvCode,0)))*(1+PriceIndex)</f>
        <v/>
      </c>
      <c r="V1290" s="47">
        <f>R1290*U1290*INDEX(FmtBlendedPriceIdx,MATCH(F1290,FmtName,0))</f>
        <v/>
      </c>
      <c r="W1290" s="47">
        <f>T1290*INDEX(ProvSRP,MATCH(G1290,ProvCode,0))*(1+PriceIndex)</f>
        <v/>
      </c>
      <c r="X1290" s="47">
        <f>IF(GrossBasis="Wholesale",V1290,W1290)</f>
        <v/>
      </c>
      <c r="Y1290" s="47">
        <f>R1290*INDEX(FmtBlendedCogs,MATCH(F1290,FmtName,0))</f>
        <v/>
      </c>
      <c r="Z1290" s="47">
        <f>X1290-Y1290</f>
        <v/>
      </c>
    </row>
    <row r="1291">
      <c r="A1291" t="n">
        <v>18</v>
      </c>
      <c r="B1291" s="44">
        <f>FiscalStart+(A1291-1)*7</f>
        <v/>
      </c>
      <c r="C1291">
        <f>TEXT(B1291,"mmm yyyy")</f>
        <v/>
      </c>
      <c r="D1291">
        <f>"Q"&amp;(INT((A1291-1)/13)+1)</f>
        <v/>
      </c>
      <c r="E1291" t="inlineStr">
        <is>
          <t>Fitness</t>
        </is>
      </c>
      <c r="F1291">
        <f>IFERROR(INDEX(ChFormat,MATCH(E1291,ChName,0)),"")</f>
        <v/>
      </c>
      <c r="G1291" t="inlineStr">
        <is>
          <t>ON</t>
        </is>
      </c>
      <c r="H1291">
        <f>IF(A1291&lt;=NWeeks,1,0)</f>
        <v/>
      </c>
      <c r="I1291">
        <f>INDEX(ChLaunch,MATCH(E1291,ChName,0))</f>
        <v/>
      </c>
      <c r="J1291">
        <f>INDEX(ChWeeksFull,MATCH(E1291,ChName,0))</f>
        <v/>
      </c>
      <c r="K1291">
        <f>INDEX(ChRamp,MATCH(E1291,ChName,0))</f>
        <v/>
      </c>
      <c r="L1291" s="45">
        <f>MIN(1,MAX(0,(A1291-I1291+1)*RampSpeed/J1291))</f>
        <v/>
      </c>
      <c r="M1291" s="45">
        <f>IF(A1291&lt;I1291,0,IF(K1291="S-curve",L1291*L1291*(3-2*L1291),L1291))</f>
        <v/>
      </c>
      <c r="N1291" s="45">
        <f>1+(INDEX(SeasonIdx,A1291)-1)*SeasonAmp</f>
        <v/>
      </c>
      <c r="O1291" s="45">
        <f>IFERROR(INDEX(PSPct,MATCH(E1291&amp;"|"&amp;G1291,PSKey,0)),0)</f>
        <v/>
      </c>
      <c r="P1291" s="46">
        <f>INDEX(ChDoorVel,MATCH(E1291,ChName,0))*CalibScalar*(1+VelocityUplift)</f>
        <v/>
      </c>
      <c r="Q1291" s="46" t="n">
        <v>0</v>
      </c>
      <c r="R1291" s="46">
        <f>P1291*O1291*M1291*N1291*H1291</f>
        <v/>
      </c>
      <c r="S1291" s="46">
        <f>R1291*INDEX(FmtCansPerCase,MATCH(F1291,FmtName,0))</f>
        <v/>
      </c>
      <c r="T1291" s="46">
        <f>S1291/INDEX(FmtCansPerPack,MATCH(F1291,FmtName,0))</f>
        <v/>
      </c>
      <c r="U1291" s="47">
        <f>INDEX(ChBaseCP,MATCH(E1291,ChName,0))*(1+INDEX(ProvMod,MATCH(G1291,ProvCode,0)))*(1+PriceIndex)</f>
        <v/>
      </c>
      <c r="V1291" s="47">
        <f>R1291*U1291*INDEX(FmtBlendedPriceIdx,MATCH(F1291,FmtName,0))</f>
        <v/>
      </c>
      <c r="W1291" s="47">
        <f>T1291*INDEX(ProvSRP,MATCH(G1291,ProvCode,0))*(1+PriceIndex)</f>
        <v/>
      </c>
      <c r="X1291" s="47">
        <f>IF(GrossBasis="Wholesale",V1291,W1291)</f>
        <v/>
      </c>
      <c r="Y1291" s="47">
        <f>R1291*INDEX(FmtBlendedCogs,MATCH(F1291,FmtName,0))</f>
        <v/>
      </c>
      <c r="Z1291" s="47">
        <f>X1291-Y1291</f>
        <v/>
      </c>
    </row>
    <row r="1292">
      <c r="A1292" t="n">
        <v>19</v>
      </c>
      <c r="B1292" s="44">
        <f>FiscalStart+(A1292-1)*7</f>
        <v/>
      </c>
      <c r="C1292">
        <f>TEXT(B1292,"mmm yyyy")</f>
        <v/>
      </c>
      <c r="D1292">
        <f>"Q"&amp;(INT((A1292-1)/13)+1)</f>
        <v/>
      </c>
      <c r="E1292" t="inlineStr">
        <is>
          <t>Fitness</t>
        </is>
      </c>
      <c r="F1292">
        <f>IFERROR(INDEX(ChFormat,MATCH(E1292,ChName,0)),"")</f>
        <v/>
      </c>
      <c r="G1292" t="inlineStr">
        <is>
          <t>ON</t>
        </is>
      </c>
      <c r="H1292">
        <f>IF(A1292&lt;=NWeeks,1,0)</f>
        <v/>
      </c>
      <c r="I1292">
        <f>INDEX(ChLaunch,MATCH(E1292,ChName,0))</f>
        <v/>
      </c>
      <c r="J1292">
        <f>INDEX(ChWeeksFull,MATCH(E1292,ChName,0))</f>
        <v/>
      </c>
      <c r="K1292">
        <f>INDEX(ChRamp,MATCH(E1292,ChName,0))</f>
        <v/>
      </c>
      <c r="L1292" s="45">
        <f>MIN(1,MAX(0,(A1292-I1292+1)*RampSpeed/J1292))</f>
        <v/>
      </c>
      <c r="M1292" s="45">
        <f>IF(A1292&lt;I1292,0,IF(K1292="S-curve",L1292*L1292*(3-2*L1292),L1292))</f>
        <v/>
      </c>
      <c r="N1292" s="45">
        <f>1+(INDEX(SeasonIdx,A1292)-1)*SeasonAmp</f>
        <v/>
      </c>
      <c r="O1292" s="45">
        <f>IFERROR(INDEX(PSPct,MATCH(E1292&amp;"|"&amp;G1292,PSKey,0)),0)</f>
        <v/>
      </c>
      <c r="P1292" s="46">
        <f>INDEX(ChDoorVel,MATCH(E1292,ChName,0))*CalibScalar*(1+VelocityUplift)</f>
        <v/>
      </c>
      <c r="Q1292" s="46" t="n">
        <v>0</v>
      </c>
      <c r="R1292" s="46">
        <f>P1292*O1292*M1292*N1292*H1292</f>
        <v/>
      </c>
      <c r="S1292" s="46">
        <f>R1292*INDEX(FmtCansPerCase,MATCH(F1292,FmtName,0))</f>
        <v/>
      </c>
      <c r="T1292" s="46">
        <f>S1292/INDEX(FmtCansPerPack,MATCH(F1292,FmtName,0))</f>
        <v/>
      </c>
      <c r="U1292" s="47">
        <f>INDEX(ChBaseCP,MATCH(E1292,ChName,0))*(1+INDEX(ProvMod,MATCH(G1292,ProvCode,0)))*(1+PriceIndex)</f>
        <v/>
      </c>
      <c r="V1292" s="47">
        <f>R1292*U1292*INDEX(FmtBlendedPriceIdx,MATCH(F1292,FmtName,0))</f>
        <v/>
      </c>
      <c r="W1292" s="47">
        <f>T1292*INDEX(ProvSRP,MATCH(G1292,ProvCode,0))*(1+PriceIndex)</f>
        <v/>
      </c>
      <c r="X1292" s="47">
        <f>IF(GrossBasis="Wholesale",V1292,W1292)</f>
        <v/>
      </c>
      <c r="Y1292" s="47">
        <f>R1292*INDEX(FmtBlendedCogs,MATCH(F1292,FmtName,0))</f>
        <v/>
      </c>
      <c r="Z1292" s="47">
        <f>X1292-Y1292</f>
        <v/>
      </c>
    </row>
    <row r="1293">
      <c r="A1293" t="n">
        <v>20</v>
      </c>
      <c r="B1293" s="44">
        <f>FiscalStart+(A1293-1)*7</f>
        <v/>
      </c>
      <c r="C1293">
        <f>TEXT(B1293,"mmm yyyy")</f>
        <v/>
      </c>
      <c r="D1293">
        <f>"Q"&amp;(INT((A1293-1)/13)+1)</f>
        <v/>
      </c>
      <c r="E1293" t="inlineStr">
        <is>
          <t>Fitness</t>
        </is>
      </c>
      <c r="F1293">
        <f>IFERROR(INDEX(ChFormat,MATCH(E1293,ChName,0)),"")</f>
        <v/>
      </c>
      <c r="G1293" t="inlineStr">
        <is>
          <t>ON</t>
        </is>
      </c>
      <c r="H1293">
        <f>IF(A1293&lt;=NWeeks,1,0)</f>
        <v/>
      </c>
      <c r="I1293">
        <f>INDEX(ChLaunch,MATCH(E1293,ChName,0))</f>
        <v/>
      </c>
      <c r="J1293">
        <f>INDEX(ChWeeksFull,MATCH(E1293,ChName,0))</f>
        <v/>
      </c>
      <c r="K1293">
        <f>INDEX(ChRamp,MATCH(E1293,ChName,0))</f>
        <v/>
      </c>
      <c r="L1293" s="45">
        <f>MIN(1,MAX(0,(A1293-I1293+1)*RampSpeed/J1293))</f>
        <v/>
      </c>
      <c r="M1293" s="45">
        <f>IF(A1293&lt;I1293,0,IF(K1293="S-curve",L1293*L1293*(3-2*L1293),L1293))</f>
        <v/>
      </c>
      <c r="N1293" s="45">
        <f>1+(INDEX(SeasonIdx,A1293)-1)*SeasonAmp</f>
        <v/>
      </c>
      <c r="O1293" s="45">
        <f>IFERROR(INDEX(PSPct,MATCH(E1293&amp;"|"&amp;G1293,PSKey,0)),0)</f>
        <v/>
      </c>
      <c r="P1293" s="46">
        <f>INDEX(ChDoorVel,MATCH(E1293,ChName,0))*CalibScalar*(1+VelocityUplift)</f>
        <v/>
      </c>
      <c r="Q1293" s="46" t="n">
        <v>0</v>
      </c>
      <c r="R1293" s="46">
        <f>P1293*O1293*M1293*N1293*H1293</f>
        <v/>
      </c>
      <c r="S1293" s="46">
        <f>R1293*INDEX(FmtCansPerCase,MATCH(F1293,FmtName,0))</f>
        <v/>
      </c>
      <c r="T1293" s="46">
        <f>S1293/INDEX(FmtCansPerPack,MATCH(F1293,FmtName,0))</f>
        <v/>
      </c>
      <c r="U1293" s="47">
        <f>INDEX(ChBaseCP,MATCH(E1293,ChName,0))*(1+INDEX(ProvMod,MATCH(G1293,ProvCode,0)))*(1+PriceIndex)</f>
        <v/>
      </c>
      <c r="V1293" s="47">
        <f>R1293*U1293*INDEX(FmtBlendedPriceIdx,MATCH(F1293,FmtName,0))</f>
        <v/>
      </c>
      <c r="W1293" s="47">
        <f>T1293*INDEX(ProvSRP,MATCH(G1293,ProvCode,0))*(1+PriceIndex)</f>
        <v/>
      </c>
      <c r="X1293" s="47">
        <f>IF(GrossBasis="Wholesale",V1293,W1293)</f>
        <v/>
      </c>
      <c r="Y1293" s="47">
        <f>R1293*INDEX(FmtBlendedCogs,MATCH(F1293,FmtName,0))</f>
        <v/>
      </c>
      <c r="Z1293" s="47">
        <f>X1293-Y1293</f>
        <v/>
      </c>
    </row>
    <row r="1294">
      <c r="A1294" t="n">
        <v>21</v>
      </c>
      <c r="B1294" s="44">
        <f>FiscalStart+(A1294-1)*7</f>
        <v/>
      </c>
      <c r="C1294">
        <f>TEXT(B1294,"mmm yyyy")</f>
        <v/>
      </c>
      <c r="D1294">
        <f>"Q"&amp;(INT((A1294-1)/13)+1)</f>
        <v/>
      </c>
      <c r="E1294" t="inlineStr">
        <is>
          <t>Fitness</t>
        </is>
      </c>
      <c r="F1294">
        <f>IFERROR(INDEX(ChFormat,MATCH(E1294,ChName,0)),"")</f>
        <v/>
      </c>
      <c r="G1294" t="inlineStr">
        <is>
          <t>ON</t>
        </is>
      </c>
      <c r="H1294">
        <f>IF(A1294&lt;=NWeeks,1,0)</f>
        <v/>
      </c>
      <c r="I1294">
        <f>INDEX(ChLaunch,MATCH(E1294,ChName,0))</f>
        <v/>
      </c>
      <c r="J1294">
        <f>INDEX(ChWeeksFull,MATCH(E1294,ChName,0))</f>
        <v/>
      </c>
      <c r="K1294">
        <f>INDEX(ChRamp,MATCH(E1294,ChName,0))</f>
        <v/>
      </c>
      <c r="L1294" s="45">
        <f>MIN(1,MAX(0,(A1294-I1294+1)*RampSpeed/J1294))</f>
        <v/>
      </c>
      <c r="M1294" s="45">
        <f>IF(A1294&lt;I1294,0,IF(K1294="S-curve",L1294*L1294*(3-2*L1294),L1294))</f>
        <v/>
      </c>
      <c r="N1294" s="45">
        <f>1+(INDEX(SeasonIdx,A1294)-1)*SeasonAmp</f>
        <v/>
      </c>
      <c r="O1294" s="45">
        <f>IFERROR(INDEX(PSPct,MATCH(E1294&amp;"|"&amp;G1294,PSKey,0)),0)</f>
        <v/>
      </c>
      <c r="P1294" s="46">
        <f>INDEX(ChDoorVel,MATCH(E1294,ChName,0))*CalibScalar*(1+VelocityUplift)</f>
        <v/>
      </c>
      <c r="Q1294" s="46" t="n">
        <v>0</v>
      </c>
      <c r="R1294" s="46">
        <f>P1294*O1294*M1294*N1294*H1294</f>
        <v/>
      </c>
      <c r="S1294" s="46">
        <f>R1294*INDEX(FmtCansPerCase,MATCH(F1294,FmtName,0))</f>
        <v/>
      </c>
      <c r="T1294" s="46">
        <f>S1294/INDEX(FmtCansPerPack,MATCH(F1294,FmtName,0))</f>
        <v/>
      </c>
      <c r="U1294" s="47">
        <f>INDEX(ChBaseCP,MATCH(E1294,ChName,0))*(1+INDEX(ProvMod,MATCH(G1294,ProvCode,0)))*(1+PriceIndex)</f>
        <v/>
      </c>
      <c r="V1294" s="47">
        <f>R1294*U1294*INDEX(FmtBlendedPriceIdx,MATCH(F1294,FmtName,0))</f>
        <v/>
      </c>
      <c r="W1294" s="47">
        <f>T1294*INDEX(ProvSRP,MATCH(G1294,ProvCode,0))*(1+PriceIndex)</f>
        <v/>
      </c>
      <c r="X1294" s="47">
        <f>IF(GrossBasis="Wholesale",V1294,W1294)</f>
        <v/>
      </c>
      <c r="Y1294" s="47">
        <f>R1294*INDEX(FmtBlendedCogs,MATCH(F1294,FmtName,0))</f>
        <v/>
      </c>
      <c r="Z1294" s="47">
        <f>X1294-Y1294</f>
        <v/>
      </c>
    </row>
    <row r="1295">
      <c r="A1295" t="n">
        <v>22</v>
      </c>
      <c r="B1295" s="44">
        <f>FiscalStart+(A1295-1)*7</f>
        <v/>
      </c>
      <c r="C1295">
        <f>TEXT(B1295,"mmm yyyy")</f>
        <v/>
      </c>
      <c r="D1295">
        <f>"Q"&amp;(INT((A1295-1)/13)+1)</f>
        <v/>
      </c>
      <c r="E1295" t="inlineStr">
        <is>
          <t>Fitness</t>
        </is>
      </c>
      <c r="F1295">
        <f>IFERROR(INDEX(ChFormat,MATCH(E1295,ChName,0)),"")</f>
        <v/>
      </c>
      <c r="G1295" t="inlineStr">
        <is>
          <t>ON</t>
        </is>
      </c>
      <c r="H1295">
        <f>IF(A1295&lt;=NWeeks,1,0)</f>
        <v/>
      </c>
      <c r="I1295">
        <f>INDEX(ChLaunch,MATCH(E1295,ChName,0))</f>
        <v/>
      </c>
      <c r="J1295">
        <f>INDEX(ChWeeksFull,MATCH(E1295,ChName,0))</f>
        <v/>
      </c>
      <c r="K1295">
        <f>INDEX(ChRamp,MATCH(E1295,ChName,0))</f>
        <v/>
      </c>
      <c r="L1295" s="45">
        <f>MIN(1,MAX(0,(A1295-I1295+1)*RampSpeed/J1295))</f>
        <v/>
      </c>
      <c r="M1295" s="45">
        <f>IF(A1295&lt;I1295,0,IF(K1295="S-curve",L1295*L1295*(3-2*L1295),L1295))</f>
        <v/>
      </c>
      <c r="N1295" s="45">
        <f>1+(INDEX(SeasonIdx,A1295)-1)*SeasonAmp</f>
        <v/>
      </c>
      <c r="O1295" s="45">
        <f>IFERROR(INDEX(PSPct,MATCH(E1295&amp;"|"&amp;G1295,PSKey,0)),0)</f>
        <v/>
      </c>
      <c r="P1295" s="46">
        <f>INDEX(ChDoorVel,MATCH(E1295,ChName,0))*CalibScalar*(1+VelocityUplift)</f>
        <v/>
      </c>
      <c r="Q1295" s="46" t="n">
        <v>0</v>
      </c>
      <c r="R1295" s="46">
        <f>P1295*O1295*M1295*N1295*H1295</f>
        <v/>
      </c>
      <c r="S1295" s="46">
        <f>R1295*INDEX(FmtCansPerCase,MATCH(F1295,FmtName,0))</f>
        <v/>
      </c>
      <c r="T1295" s="46">
        <f>S1295/INDEX(FmtCansPerPack,MATCH(F1295,FmtName,0))</f>
        <v/>
      </c>
      <c r="U1295" s="47">
        <f>INDEX(ChBaseCP,MATCH(E1295,ChName,0))*(1+INDEX(ProvMod,MATCH(G1295,ProvCode,0)))*(1+PriceIndex)</f>
        <v/>
      </c>
      <c r="V1295" s="47">
        <f>R1295*U1295*INDEX(FmtBlendedPriceIdx,MATCH(F1295,FmtName,0))</f>
        <v/>
      </c>
      <c r="W1295" s="47">
        <f>T1295*INDEX(ProvSRP,MATCH(G1295,ProvCode,0))*(1+PriceIndex)</f>
        <v/>
      </c>
      <c r="X1295" s="47">
        <f>IF(GrossBasis="Wholesale",V1295,W1295)</f>
        <v/>
      </c>
      <c r="Y1295" s="47">
        <f>R1295*INDEX(FmtBlendedCogs,MATCH(F1295,FmtName,0))</f>
        <v/>
      </c>
      <c r="Z1295" s="47">
        <f>X1295-Y1295</f>
        <v/>
      </c>
    </row>
    <row r="1296">
      <c r="A1296" t="n">
        <v>23</v>
      </c>
      <c r="B1296" s="44">
        <f>FiscalStart+(A1296-1)*7</f>
        <v/>
      </c>
      <c r="C1296">
        <f>TEXT(B1296,"mmm yyyy")</f>
        <v/>
      </c>
      <c r="D1296">
        <f>"Q"&amp;(INT((A1296-1)/13)+1)</f>
        <v/>
      </c>
      <c r="E1296" t="inlineStr">
        <is>
          <t>Fitness</t>
        </is>
      </c>
      <c r="F1296">
        <f>IFERROR(INDEX(ChFormat,MATCH(E1296,ChName,0)),"")</f>
        <v/>
      </c>
      <c r="G1296" t="inlineStr">
        <is>
          <t>ON</t>
        </is>
      </c>
      <c r="H1296">
        <f>IF(A1296&lt;=NWeeks,1,0)</f>
        <v/>
      </c>
      <c r="I1296">
        <f>INDEX(ChLaunch,MATCH(E1296,ChName,0))</f>
        <v/>
      </c>
      <c r="J1296">
        <f>INDEX(ChWeeksFull,MATCH(E1296,ChName,0))</f>
        <v/>
      </c>
      <c r="K1296">
        <f>INDEX(ChRamp,MATCH(E1296,ChName,0))</f>
        <v/>
      </c>
      <c r="L1296" s="45">
        <f>MIN(1,MAX(0,(A1296-I1296+1)*RampSpeed/J1296))</f>
        <v/>
      </c>
      <c r="M1296" s="45">
        <f>IF(A1296&lt;I1296,0,IF(K1296="S-curve",L1296*L1296*(3-2*L1296),L1296))</f>
        <v/>
      </c>
      <c r="N1296" s="45">
        <f>1+(INDEX(SeasonIdx,A1296)-1)*SeasonAmp</f>
        <v/>
      </c>
      <c r="O1296" s="45">
        <f>IFERROR(INDEX(PSPct,MATCH(E1296&amp;"|"&amp;G1296,PSKey,0)),0)</f>
        <v/>
      </c>
      <c r="P1296" s="46">
        <f>INDEX(ChDoorVel,MATCH(E1296,ChName,0))*CalibScalar*(1+VelocityUplift)</f>
        <v/>
      </c>
      <c r="Q1296" s="46" t="n">
        <v>0</v>
      </c>
      <c r="R1296" s="46">
        <f>P1296*O1296*M1296*N1296*H1296</f>
        <v/>
      </c>
      <c r="S1296" s="46">
        <f>R1296*INDEX(FmtCansPerCase,MATCH(F1296,FmtName,0))</f>
        <v/>
      </c>
      <c r="T1296" s="46">
        <f>S1296/INDEX(FmtCansPerPack,MATCH(F1296,FmtName,0))</f>
        <v/>
      </c>
      <c r="U1296" s="47">
        <f>INDEX(ChBaseCP,MATCH(E1296,ChName,0))*(1+INDEX(ProvMod,MATCH(G1296,ProvCode,0)))*(1+PriceIndex)</f>
        <v/>
      </c>
      <c r="V1296" s="47">
        <f>R1296*U1296*INDEX(FmtBlendedPriceIdx,MATCH(F1296,FmtName,0))</f>
        <v/>
      </c>
      <c r="W1296" s="47">
        <f>T1296*INDEX(ProvSRP,MATCH(G1296,ProvCode,0))*(1+PriceIndex)</f>
        <v/>
      </c>
      <c r="X1296" s="47">
        <f>IF(GrossBasis="Wholesale",V1296,W1296)</f>
        <v/>
      </c>
      <c r="Y1296" s="47">
        <f>R1296*INDEX(FmtBlendedCogs,MATCH(F1296,FmtName,0))</f>
        <v/>
      </c>
      <c r="Z1296" s="47">
        <f>X1296-Y1296</f>
        <v/>
      </c>
    </row>
    <row r="1297">
      <c r="A1297" t="n">
        <v>24</v>
      </c>
      <c r="B1297" s="44">
        <f>FiscalStart+(A1297-1)*7</f>
        <v/>
      </c>
      <c r="C1297">
        <f>TEXT(B1297,"mmm yyyy")</f>
        <v/>
      </c>
      <c r="D1297">
        <f>"Q"&amp;(INT((A1297-1)/13)+1)</f>
        <v/>
      </c>
      <c r="E1297" t="inlineStr">
        <is>
          <t>Fitness</t>
        </is>
      </c>
      <c r="F1297">
        <f>IFERROR(INDEX(ChFormat,MATCH(E1297,ChName,0)),"")</f>
        <v/>
      </c>
      <c r="G1297" t="inlineStr">
        <is>
          <t>ON</t>
        </is>
      </c>
      <c r="H1297">
        <f>IF(A1297&lt;=NWeeks,1,0)</f>
        <v/>
      </c>
      <c r="I1297">
        <f>INDEX(ChLaunch,MATCH(E1297,ChName,0))</f>
        <v/>
      </c>
      <c r="J1297">
        <f>INDEX(ChWeeksFull,MATCH(E1297,ChName,0))</f>
        <v/>
      </c>
      <c r="K1297">
        <f>INDEX(ChRamp,MATCH(E1297,ChName,0))</f>
        <v/>
      </c>
      <c r="L1297" s="45">
        <f>MIN(1,MAX(0,(A1297-I1297+1)*RampSpeed/J1297))</f>
        <v/>
      </c>
      <c r="M1297" s="45">
        <f>IF(A1297&lt;I1297,0,IF(K1297="S-curve",L1297*L1297*(3-2*L1297),L1297))</f>
        <v/>
      </c>
      <c r="N1297" s="45">
        <f>1+(INDEX(SeasonIdx,A1297)-1)*SeasonAmp</f>
        <v/>
      </c>
      <c r="O1297" s="45">
        <f>IFERROR(INDEX(PSPct,MATCH(E1297&amp;"|"&amp;G1297,PSKey,0)),0)</f>
        <v/>
      </c>
      <c r="P1297" s="46">
        <f>INDEX(ChDoorVel,MATCH(E1297,ChName,0))*CalibScalar*(1+VelocityUplift)</f>
        <v/>
      </c>
      <c r="Q1297" s="46" t="n">
        <v>0</v>
      </c>
      <c r="R1297" s="46">
        <f>P1297*O1297*M1297*N1297*H1297</f>
        <v/>
      </c>
      <c r="S1297" s="46">
        <f>R1297*INDEX(FmtCansPerCase,MATCH(F1297,FmtName,0))</f>
        <v/>
      </c>
      <c r="T1297" s="46">
        <f>S1297/INDEX(FmtCansPerPack,MATCH(F1297,FmtName,0))</f>
        <v/>
      </c>
      <c r="U1297" s="47">
        <f>INDEX(ChBaseCP,MATCH(E1297,ChName,0))*(1+INDEX(ProvMod,MATCH(G1297,ProvCode,0)))*(1+PriceIndex)</f>
        <v/>
      </c>
      <c r="V1297" s="47">
        <f>R1297*U1297*INDEX(FmtBlendedPriceIdx,MATCH(F1297,FmtName,0))</f>
        <v/>
      </c>
      <c r="W1297" s="47">
        <f>T1297*INDEX(ProvSRP,MATCH(G1297,ProvCode,0))*(1+PriceIndex)</f>
        <v/>
      </c>
      <c r="X1297" s="47">
        <f>IF(GrossBasis="Wholesale",V1297,W1297)</f>
        <v/>
      </c>
      <c r="Y1297" s="47">
        <f>R1297*INDEX(FmtBlendedCogs,MATCH(F1297,FmtName,0))</f>
        <v/>
      </c>
      <c r="Z1297" s="47">
        <f>X1297-Y1297</f>
        <v/>
      </c>
    </row>
    <row r="1298">
      <c r="A1298" t="n">
        <v>25</v>
      </c>
      <c r="B1298" s="44">
        <f>FiscalStart+(A1298-1)*7</f>
        <v/>
      </c>
      <c r="C1298">
        <f>TEXT(B1298,"mmm yyyy")</f>
        <v/>
      </c>
      <c r="D1298">
        <f>"Q"&amp;(INT((A1298-1)/13)+1)</f>
        <v/>
      </c>
      <c r="E1298" t="inlineStr">
        <is>
          <t>Fitness</t>
        </is>
      </c>
      <c r="F1298">
        <f>IFERROR(INDEX(ChFormat,MATCH(E1298,ChName,0)),"")</f>
        <v/>
      </c>
      <c r="G1298" t="inlineStr">
        <is>
          <t>ON</t>
        </is>
      </c>
      <c r="H1298">
        <f>IF(A1298&lt;=NWeeks,1,0)</f>
        <v/>
      </c>
      <c r="I1298">
        <f>INDEX(ChLaunch,MATCH(E1298,ChName,0))</f>
        <v/>
      </c>
      <c r="J1298">
        <f>INDEX(ChWeeksFull,MATCH(E1298,ChName,0))</f>
        <v/>
      </c>
      <c r="K1298">
        <f>INDEX(ChRamp,MATCH(E1298,ChName,0))</f>
        <v/>
      </c>
      <c r="L1298" s="45">
        <f>MIN(1,MAX(0,(A1298-I1298+1)*RampSpeed/J1298))</f>
        <v/>
      </c>
      <c r="M1298" s="45">
        <f>IF(A1298&lt;I1298,0,IF(K1298="S-curve",L1298*L1298*(3-2*L1298),L1298))</f>
        <v/>
      </c>
      <c r="N1298" s="45">
        <f>1+(INDEX(SeasonIdx,A1298)-1)*SeasonAmp</f>
        <v/>
      </c>
      <c r="O1298" s="45">
        <f>IFERROR(INDEX(PSPct,MATCH(E1298&amp;"|"&amp;G1298,PSKey,0)),0)</f>
        <v/>
      </c>
      <c r="P1298" s="46">
        <f>INDEX(ChDoorVel,MATCH(E1298,ChName,0))*CalibScalar*(1+VelocityUplift)</f>
        <v/>
      </c>
      <c r="Q1298" s="46" t="n">
        <v>0</v>
      </c>
      <c r="R1298" s="46">
        <f>P1298*O1298*M1298*N1298*H1298</f>
        <v/>
      </c>
      <c r="S1298" s="46">
        <f>R1298*INDEX(FmtCansPerCase,MATCH(F1298,FmtName,0))</f>
        <v/>
      </c>
      <c r="T1298" s="46">
        <f>S1298/INDEX(FmtCansPerPack,MATCH(F1298,FmtName,0))</f>
        <v/>
      </c>
      <c r="U1298" s="47">
        <f>INDEX(ChBaseCP,MATCH(E1298,ChName,0))*(1+INDEX(ProvMod,MATCH(G1298,ProvCode,0)))*(1+PriceIndex)</f>
        <v/>
      </c>
      <c r="V1298" s="47">
        <f>R1298*U1298*INDEX(FmtBlendedPriceIdx,MATCH(F1298,FmtName,0))</f>
        <v/>
      </c>
      <c r="W1298" s="47">
        <f>T1298*INDEX(ProvSRP,MATCH(G1298,ProvCode,0))*(1+PriceIndex)</f>
        <v/>
      </c>
      <c r="X1298" s="47">
        <f>IF(GrossBasis="Wholesale",V1298,W1298)</f>
        <v/>
      </c>
      <c r="Y1298" s="47">
        <f>R1298*INDEX(FmtBlendedCogs,MATCH(F1298,FmtName,0))</f>
        <v/>
      </c>
      <c r="Z1298" s="47">
        <f>X1298-Y1298</f>
        <v/>
      </c>
    </row>
    <row r="1299">
      <c r="A1299" t="n">
        <v>26</v>
      </c>
      <c r="B1299" s="44">
        <f>FiscalStart+(A1299-1)*7</f>
        <v/>
      </c>
      <c r="C1299">
        <f>TEXT(B1299,"mmm yyyy")</f>
        <v/>
      </c>
      <c r="D1299">
        <f>"Q"&amp;(INT((A1299-1)/13)+1)</f>
        <v/>
      </c>
      <c r="E1299" t="inlineStr">
        <is>
          <t>Fitness</t>
        </is>
      </c>
      <c r="F1299">
        <f>IFERROR(INDEX(ChFormat,MATCH(E1299,ChName,0)),"")</f>
        <v/>
      </c>
      <c r="G1299" t="inlineStr">
        <is>
          <t>ON</t>
        </is>
      </c>
      <c r="H1299">
        <f>IF(A1299&lt;=NWeeks,1,0)</f>
        <v/>
      </c>
      <c r="I1299">
        <f>INDEX(ChLaunch,MATCH(E1299,ChName,0))</f>
        <v/>
      </c>
      <c r="J1299">
        <f>INDEX(ChWeeksFull,MATCH(E1299,ChName,0))</f>
        <v/>
      </c>
      <c r="K1299">
        <f>INDEX(ChRamp,MATCH(E1299,ChName,0))</f>
        <v/>
      </c>
      <c r="L1299" s="45">
        <f>MIN(1,MAX(0,(A1299-I1299+1)*RampSpeed/J1299))</f>
        <v/>
      </c>
      <c r="M1299" s="45">
        <f>IF(A1299&lt;I1299,0,IF(K1299="S-curve",L1299*L1299*(3-2*L1299),L1299))</f>
        <v/>
      </c>
      <c r="N1299" s="45">
        <f>1+(INDEX(SeasonIdx,A1299)-1)*SeasonAmp</f>
        <v/>
      </c>
      <c r="O1299" s="45">
        <f>IFERROR(INDEX(PSPct,MATCH(E1299&amp;"|"&amp;G1299,PSKey,0)),0)</f>
        <v/>
      </c>
      <c r="P1299" s="46">
        <f>INDEX(ChDoorVel,MATCH(E1299,ChName,0))*CalibScalar*(1+VelocityUplift)</f>
        <v/>
      </c>
      <c r="Q1299" s="46" t="n">
        <v>0</v>
      </c>
      <c r="R1299" s="46">
        <f>P1299*O1299*M1299*N1299*H1299</f>
        <v/>
      </c>
      <c r="S1299" s="46">
        <f>R1299*INDEX(FmtCansPerCase,MATCH(F1299,FmtName,0))</f>
        <v/>
      </c>
      <c r="T1299" s="46">
        <f>S1299/INDEX(FmtCansPerPack,MATCH(F1299,FmtName,0))</f>
        <v/>
      </c>
      <c r="U1299" s="47">
        <f>INDEX(ChBaseCP,MATCH(E1299,ChName,0))*(1+INDEX(ProvMod,MATCH(G1299,ProvCode,0)))*(1+PriceIndex)</f>
        <v/>
      </c>
      <c r="V1299" s="47">
        <f>R1299*U1299*INDEX(FmtBlendedPriceIdx,MATCH(F1299,FmtName,0))</f>
        <v/>
      </c>
      <c r="W1299" s="47">
        <f>T1299*INDEX(ProvSRP,MATCH(G1299,ProvCode,0))*(1+PriceIndex)</f>
        <v/>
      </c>
      <c r="X1299" s="47">
        <f>IF(GrossBasis="Wholesale",V1299,W1299)</f>
        <v/>
      </c>
      <c r="Y1299" s="47">
        <f>R1299*INDEX(FmtBlendedCogs,MATCH(F1299,FmtName,0))</f>
        <v/>
      </c>
      <c r="Z1299" s="47">
        <f>X1299-Y1299</f>
        <v/>
      </c>
    </row>
    <row r="1300">
      <c r="A1300" t="n">
        <v>27</v>
      </c>
      <c r="B1300" s="44">
        <f>FiscalStart+(A1300-1)*7</f>
        <v/>
      </c>
      <c r="C1300">
        <f>TEXT(B1300,"mmm yyyy")</f>
        <v/>
      </c>
      <c r="D1300">
        <f>"Q"&amp;(INT((A1300-1)/13)+1)</f>
        <v/>
      </c>
      <c r="E1300" t="inlineStr">
        <is>
          <t>Fitness</t>
        </is>
      </c>
      <c r="F1300">
        <f>IFERROR(INDEX(ChFormat,MATCH(E1300,ChName,0)),"")</f>
        <v/>
      </c>
      <c r="G1300" t="inlineStr">
        <is>
          <t>ON</t>
        </is>
      </c>
      <c r="H1300">
        <f>IF(A1300&lt;=NWeeks,1,0)</f>
        <v/>
      </c>
      <c r="I1300">
        <f>INDEX(ChLaunch,MATCH(E1300,ChName,0))</f>
        <v/>
      </c>
      <c r="J1300">
        <f>INDEX(ChWeeksFull,MATCH(E1300,ChName,0))</f>
        <v/>
      </c>
      <c r="K1300">
        <f>INDEX(ChRamp,MATCH(E1300,ChName,0))</f>
        <v/>
      </c>
      <c r="L1300" s="45">
        <f>MIN(1,MAX(0,(A1300-I1300+1)*RampSpeed/J1300))</f>
        <v/>
      </c>
      <c r="M1300" s="45">
        <f>IF(A1300&lt;I1300,0,IF(K1300="S-curve",L1300*L1300*(3-2*L1300),L1300))</f>
        <v/>
      </c>
      <c r="N1300" s="45">
        <f>1+(INDEX(SeasonIdx,A1300)-1)*SeasonAmp</f>
        <v/>
      </c>
      <c r="O1300" s="45">
        <f>IFERROR(INDEX(PSPct,MATCH(E1300&amp;"|"&amp;G1300,PSKey,0)),0)</f>
        <v/>
      </c>
      <c r="P1300" s="46">
        <f>INDEX(ChDoorVel,MATCH(E1300,ChName,0))*CalibScalar*(1+VelocityUplift)</f>
        <v/>
      </c>
      <c r="Q1300" s="46" t="n">
        <v>0</v>
      </c>
      <c r="R1300" s="46">
        <f>P1300*O1300*M1300*N1300*H1300</f>
        <v/>
      </c>
      <c r="S1300" s="46">
        <f>R1300*INDEX(FmtCansPerCase,MATCH(F1300,FmtName,0))</f>
        <v/>
      </c>
      <c r="T1300" s="46">
        <f>S1300/INDEX(FmtCansPerPack,MATCH(F1300,FmtName,0))</f>
        <v/>
      </c>
      <c r="U1300" s="47">
        <f>INDEX(ChBaseCP,MATCH(E1300,ChName,0))*(1+INDEX(ProvMod,MATCH(G1300,ProvCode,0)))*(1+PriceIndex)</f>
        <v/>
      </c>
      <c r="V1300" s="47">
        <f>R1300*U1300*INDEX(FmtBlendedPriceIdx,MATCH(F1300,FmtName,0))</f>
        <v/>
      </c>
      <c r="W1300" s="47">
        <f>T1300*INDEX(ProvSRP,MATCH(G1300,ProvCode,0))*(1+PriceIndex)</f>
        <v/>
      </c>
      <c r="X1300" s="47">
        <f>IF(GrossBasis="Wholesale",V1300,W1300)</f>
        <v/>
      </c>
      <c r="Y1300" s="47">
        <f>R1300*INDEX(FmtBlendedCogs,MATCH(F1300,FmtName,0))</f>
        <v/>
      </c>
      <c r="Z1300" s="47">
        <f>X1300-Y1300</f>
        <v/>
      </c>
    </row>
    <row r="1301">
      <c r="A1301" t="n">
        <v>28</v>
      </c>
      <c r="B1301" s="44">
        <f>FiscalStart+(A1301-1)*7</f>
        <v/>
      </c>
      <c r="C1301">
        <f>TEXT(B1301,"mmm yyyy")</f>
        <v/>
      </c>
      <c r="D1301">
        <f>"Q"&amp;(INT((A1301-1)/13)+1)</f>
        <v/>
      </c>
      <c r="E1301" t="inlineStr">
        <is>
          <t>Fitness</t>
        </is>
      </c>
      <c r="F1301">
        <f>IFERROR(INDEX(ChFormat,MATCH(E1301,ChName,0)),"")</f>
        <v/>
      </c>
      <c r="G1301" t="inlineStr">
        <is>
          <t>ON</t>
        </is>
      </c>
      <c r="H1301">
        <f>IF(A1301&lt;=NWeeks,1,0)</f>
        <v/>
      </c>
      <c r="I1301">
        <f>INDEX(ChLaunch,MATCH(E1301,ChName,0))</f>
        <v/>
      </c>
      <c r="J1301">
        <f>INDEX(ChWeeksFull,MATCH(E1301,ChName,0))</f>
        <v/>
      </c>
      <c r="K1301">
        <f>INDEX(ChRamp,MATCH(E1301,ChName,0))</f>
        <v/>
      </c>
      <c r="L1301" s="45">
        <f>MIN(1,MAX(0,(A1301-I1301+1)*RampSpeed/J1301))</f>
        <v/>
      </c>
      <c r="M1301" s="45">
        <f>IF(A1301&lt;I1301,0,IF(K1301="S-curve",L1301*L1301*(3-2*L1301),L1301))</f>
        <v/>
      </c>
      <c r="N1301" s="45">
        <f>1+(INDEX(SeasonIdx,A1301)-1)*SeasonAmp</f>
        <v/>
      </c>
      <c r="O1301" s="45">
        <f>IFERROR(INDEX(PSPct,MATCH(E1301&amp;"|"&amp;G1301,PSKey,0)),0)</f>
        <v/>
      </c>
      <c r="P1301" s="46">
        <f>INDEX(ChDoorVel,MATCH(E1301,ChName,0))*CalibScalar*(1+VelocityUplift)</f>
        <v/>
      </c>
      <c r="Q1301" s="46" t="n">
        <v>0</v>
      </c>
      <c r="R1301" s="46">
        <f>P1301*O1301*M1301*N1301*H1301</f>
        <v/>
      </c>
      <c r="S1301" s="46">
        <f>R1301*INDEX(FmtCansPerCase,MATCH(F1301,FmtName,0))</f>
        <v/>
      </c>
      <c r="T1301" s="46">
        <f>S1301/INDEX(FmtCansPerPack,MATCH(F1301,FmtName,0))</f>
        <v/>
      </c>
      <c r="U1301" s="47">
        <f>INDEX(ChBaseCP,MATCH(E1301,ChName,0))*(1+INDEX(ProvMod,MATCH(G1301,ProvCode,0)))*(1+PriceIndex)</f>
        <v/>
      </c>
      <c r="V1301" s="47">
        <f>R1301*U1301*INDEX(FmtBlendedPriceIdx,MATCH(F1301,FmtName,0))</f>
        <v/>
      </c>
      <c r="W1301" s="47">
        <f>T1301*INDEX(ProvSRP,MATCH(G1301,ProvCode,0))*(1+PriceIndex)</f>
        <v/>
      </c>
      <c r="X1301" s="47">
        <f>IF(GrossBasis="Wholesale",V1301,W1301)</f>
        <v/>
      </c>
      <c r="Y1301" s="47">
        <f>R1301*INDEX(FmtBlendedCogs,MATCH(F1301,FmtName,0))</f>
        <v/>
      </c>
      <c r="Z1301" s="47">
        <f>X1301-Y1301</f>
        <v/>
      </c>
    </row>
    <row r="1302">
      <c r="A1302" t="n">
        <v>29</v>
      </c>
      <c r="B1302" s="44">
        <f>FiscalStart+(A1302-1)*7</f>
        <v/>
      </c>
      <c r="C1302">
        <f>TEXT(B1302,"mmm yyyy")</f>
        <v/>
      </c>
      <c r="D1302">
        <f>"Q"&amp;(INT((A1302-1)/13)+1)</f>
        <v/>
      </c>
      <c r="E1302" t="inlineStr">
        <is>
          <t>Fitness</t>
        </is>
      </c>
      <c r="F1302">
        <f>IFERROR(INDEX(ChFormat,MATCH(E1302,ChName,0)),"")</f>
        <v/>
      </c>
      <c r="G1302" t="inlineStr">
        <is>
          <t>ON</t>
        </is>
      </c>
      <c r="H1302">
        <f>IF(A1302&lt;=NWeeks,1,0)</f>
        <v/>
      </c>
      <c r="I1302">
        <f>INDEX(ChLaunch,MATCH(E1302,ChName,0))</f>
        <v/>
      </c>
      <c r="J1302">
        <f>INDEX(ChWeeksFull,MATCH(E1302,ChName,0))</f>
        <v/>
      </c>
      <c r="K1302">
        <f>INDEX(ChRamp,MATCH(E1302,ChName,0))</f>
        <v/>
      </c>
      <c r="L1302" s="45">
        <f>MIN(1,MAX(0,(A1302-I1302+1)*RampSpeed/J1302))</f>
        <v/>
      </c>
      <c r="M1302" s="45">
        <f>IF(A1302&lt;I1302,0,IF(K1302="S-curve",L1302*L1302*(3-2*L1302),L1302))</f>
        <v/>
      </c>
      <c r="N1302" s="45">
        <f>1+(INDEX(SeasonIdx,A1302)-1)*SeasonAmp</f>
        <v/>
      </c>
      <c r="O1302" s="45">
        <f>IFERROR(INDEX(PSPct,MATCH(E1302&amp;"|"&amp;G1302,PSKey,0)),0)</f>
        <v/>
      </c>
      <c r="P1302" s="46">
        <f>INDEX(ChDoorVel,MATCH(E1302,ChName,0))*CalibScalar*(1+VelocityUplift)</f>
        <v/>
      </c>
      <c r="Q1302" s="46" t="n">
        <v>0</v>
      </c>
      <c r="R1302" s="46">
        <f>P1302*O1302*M1302*N1302*H1302</f>
        <v/>
      </c>
      <c r="S1302" s="46">
        <f>R1302*INDEX(FmtCansPerCase,MATCH(F1302,FmtName,0))</f>
        <v/>
      </c>
      <c r="T1302" s="46">
        <f>S1302/INDEX(FmtCansPerPack,MATCH(F1302,FmtName,0))</f>
        <v/>
      </c>
      <c r="U1302" s="47">
        <f>INDEX(ChBaseCP,MATCH(E1302,ChName,0))*(1+INDEX(ProvMod,MATCH(G1302,ProvCode,0)))*(1+PriceIndex)</f>
        <v/>
      </c>
      <c r="V1302" s="47">
        <f>R1302*U1302*INDEX(FmtBlendedPriceIdx,MATCH(F1302,FmtName,0))</f>
        <v/>
      </c>
      <c r="W1302" s="47">
        <f>T1302*INDEX(ProvSRP,MATCH(G1302,ProvCode,0))*(1+PriceIndex)</f>
        <v/>
      </c>
      <c r="X1302" s="47">
        <f>IF(GrossBasis="Wholesale",V1302,W1302)</f>
        <v/>
      </c>
      <c r="Y1302" s="47">
        <f>R1302*INDEX(FmtBlendedCogs,MATCH(F1302,FmtName,0))</f>
        <v/>
      </c>
      <c r="Z1302" s="47">
        <f>X1302-Y1302</f>
        <v/>
      </c>
    </row>
    <row r="1303">
      <c r="A1303" t="n">
        <v>30</v>
      </c>
      <c r="B1303" s="44">
        <f>FiscalStart+(A1303-1)*7</f>
        <v/>
      </c>
      <c r="C1303">
        <f>TEXT(B1303,"mmm yyyy")</f>
        <v/>
      </c>
      <c r="D1303">
        <f>"Q"&amp;(INT((A1303-1)/13)+1)</f>
        <v/>
      </c>
      <c r="E1303" t="inlineStr">
        <is>
          <t>Fitness</t>
        </is>
      </c>
      <c r="F1303">
        <f>IFERROR(INDEX(ChFormat,MATCH(E1303,ChName,0)),"")</f>
        <v/>
      </c>
      <c r="G1303" t="inlineStr">
        <is>
          <t>ON</t>
        </is>
      </c>
      <c r="H1303">
        <f>IF(A1303&lt;=NWeeks,1,0)</f>
        <v/>
      </c>
      <c r="I1303">
        <f>INDEX(ChLaunch,MATCH(E1303,ChName,0))</f>
        <v/>
      </c>
      <c r="J1303">
        <f>INDEX(ChWeeksFull,MATCH(E1303,ChName,0))</f>
        <v/>
      </c>
      <c r="K1303">
        <f>INDEX(ChRamp,MATCH(E1303,ChName,0))</f>
        <v/>
      </c>
      <c r="L1303" s="45">
        <f>MIN(1,MAX(0,(A1303-I1303+1)*RampSpeed/J1303))</f>
        <v/>
      </c>
      <c r="M1303" s="45">
        <f>IF(A1303&lt;I1303,0,IF(K1303="S-curve",L1303*L1303*(3-2*L1303),L1303))</f>
        <v/>
      </c>
      <c r="N1303" s="45">
        <f>1+(INDEX(SeasonIdx,A1303)-1)*SeasonAmp</f>
        <v/>
      </c>
      <c r="O1303" s="45">
        <f>IFERROR(INDEX(PSPct,MATCH(E1303&amp;"|"&amp;G1303,PSKey,0)),0)</f>
        <v/>
      </c>
      <c r="P1303" s="46">
        <f>INDEX(ChDoorVel,MATCH(E1303,ChName,0))*CalibScalar*(1+VelocityUplift)</f>
        <v/>
      </c>
      <c r="Q1303" s="46" t="n">
        <v>0</v>
      </c>
      <c r="R1303" s="46">
        <f>P1303*O1303*M1303*N1303*H1303</f>
        <v/>
      </c>
      <c r="S1303" s="46">
        <f>R1303*INDEX(FmtCansPerCase,MATCH(F1303,FmtName,0))</f>
        <v/>
      </c>
      <c r="T1303" s="46">
        <f>S1303/INDEX(FmtCansPerPack,MATCH(F1303,FmtName,0))</f>
        <v/>
      </c>
      <c r="U1303" s="47">
        <f>INDEX(ChBaseCP,MATCH(E1303,ChName,0))*(1+INDEX(ProvMod,MATCH(G1303,ProvCode,0)))*(1+PriceIndex)</f>
        <v/>
      </c>
      <c r="V1303" s="47">
        <f>R1303*U1303*INDEX(FmtBlendedPriceIdx,MATCH(F1303,FmtName,0))</f>
        <v/>
      </c>
      <c r="W1303" s="47">
        <f>T1303*INDEX(ProvSRP,MATCH(G1303,ProvCode,0))*(1+PriceIndex)</f>
        <v/>
      </c>
      <c r="X1303" s="47">
        <f>IF(GrossBasis="Wholesale",V1303,W1303)</f>
        <v/>
      </c>
      <c r="Y1303" s="47">
        <f>R1303*INDEX(FmtBlendedCogs,MATCH(F1303,FmtName,0))</f>
        <v/>
      </c>
      <c r="Z1303" s="47">
        <f>X1303-Y1303</f>
        <v/>
      </c>
    </row>
    <row r="1304">
      <c r="A1304" t="n">
        <v>31</v>
      </c>
      <c r="B1304" s="44">
        <f>FiscalStart+(A1304-1)*7</f>
        <v/>
      </c>
      <c r="C1304">
        <f>TEXT(B1304,"mmm yyyy")</f>
        <v/>
      </c>
      <c r="D1304">
        <f>"Q"&amp;(INT((A1304-1)/13)+1)</f>
        <v/>
      </c>
      <c r="E1304" t="inlineStr">
        <is>
          <t>Fitness</t>
        </is>
      </c>
      <c r="F1304">
        <f>IFERROR(INDEX(ChFormat,MATCH(E1304,ChName,0)),"")</f>
        <v/>
      </c>
      <c r="G1304" t="inlineStr">
        <is>
          <t>ON</t>
        </is>
      </c>
      <c r="H1304">
        <f>IF(A1304&lt;=NWeeks,1,0)</f>
        <v/>
      </c>
      <c r="I1304">
        <f>INDEX(ChLaunch,MATCH(E1304,ChName,0))</f>
        <v/>
      </c>
      <c r="J1304">
        <f>INDEX(ChWeeksFull,MATCH(E1304,ChName,0))</f>
        <v/>
      </c>
      <c r="K1304">
        <f>INDEX(ChRamp,MATCH(E1304,ChName,0))</f>
        <v/>
      </c>
      <c r="L1304" s="45">
        <f>MIN(1,MAX(0,(A1304-I1304+1)*RampSpeed/J1304))</f>
        <v/>
      </c>
      <c r="M1304" s="45">
        <f>IF(A1304&lt;I1304,0,IF(K1304="S-curve",L1304*L1304*(3-2*L1304),L1304))</f>
        <v/>
      </c>
      <c r="N1304" s="45">
        <f>1+(INDEX(SeasonIdx,A1304)-1)*SeasonAmp</f>
        <v/>
      </c>
      <c r="O1304" s="45">
        <f>IFERROR(INDEX(PSPct,MATCH(E1304&amp;"|"&amp;G1304,PSKey,0)),0)</f>
        <v/>
      </c>
      <c r="P1304" s="46">
        <f>INDEX(ChDoorVel,MATCH(E1304,ChName,0))*CalibScalar*(1+VelocityUplift)</f>
        <v/>
      </c>
      <c r="Q1304" s="46" t="n">
        <v>0</v>
      </c>
      <c r="R1304" s="46">
        <f>P1304*O1304*M1304*N1304*H1304</f>
        <v/>
      </c>
      <c r="S1304" s="46">
        <f>R1304*INDEX(FmtCansPerCase,MATCH(F1304,FmtName,0))</f>
        <v/>
      </c>
      <c r="T1304" s="46">
        <f>S1304/INDEX(FmtCansPerPack,MATCH(F1304,FmtName,0))</f>
        <v/>
      </c>
      <c r="U1304" s="47">
        <f>INDEX(ChBaseCP,MATCH(E1304,ChName,0))*(1+INDEX(ProvMod,MATCH(G1304,ProvCode,0)))*(1+PriceIndex)</f>
        <v/>
      </c>
      <c r="V1304" s="47">
        <f>R1304*U1304*INDEX(FmtBlendedPriceIdx,MATCH(F1304,FmtName,0))</f>
        <v/>
      </c>
      <c r="W1304" s="47">
        <f>T1304*INDEX(ProvSRP,MATCH(G1304,ProvCode,0))*(1+PriceIndex)</f>
        <v/>
      </c>
      <c r="X1304" s="47">
        <f>IF(GrossBasis="Wholesale",V1304,W1304)</f>
        <v/>
      </c>
      <c r="Y1304" s="47">
        <f>R1304*INDEX(FmtBlendedCogs,MATCH(F1304,FmtName,0))</f>
        <v/>
      </c>
      <c r="Z1304" s="47">
        <f>X1304-Y1304</f>
        <v/>
      </c>
    </row>
    <row r="1305">
      <c r="A1305" t="n">
        <v>32</v>
      </c>
      <c r="B1305" s="44">
        <f>FiscalStart+(A1305-1)*7</f>
        <v/>
      </c>
      <c r="C1305">
        <f>TEXT(B1305,"mmm yyyy")</f>
        <v/>
      </c>
      <c r="D1305">
        <f>"Q"&amp;(INT((A1305-1)/13)+1)</f>
        <v/>
      </c>
      <c r="E1305" t="inlineStr">
        <is>
          <t>Fitness</t>
        </is>
      </c>
      <c r="F1305">
        <f>IFERROR(INDEX(ChFormat,MATCH(E1305,ChName,0)),"")</f>
        <v/>
      </c>
      <c r="G1305" t="inlineStr">
        <is>
          <t>ON</t>
        </is>
      </c>
      <c r="H1305">
        <f>IF(A1305&lt;=NWeeks,1,0)</f>
        <v/>
      </c>
      <c r="I1305">
        <f>INDEX(ChLaunch,MATCH(E1305,ChName,0))</f>
        <v/>
      </c>
      <c r="J1305">
        <f>INDEX(ChWeeksFull,MATCH(E1305,ChName,0))</f>
        <v/>
      </c>
      <c r="K1305">
        <f>INDEX(ChRamp,MATCH(E1305,ChName,0))</f>
        <v/>
      </c>
      <c r="L1305" s="45">
        <f>MIN(1,MAX(0,(A1305-I1305+1)*RampSpeed/J1305))</f>
        <v/>
      </c>
      <c r="M1305" s="45">
        <f>IF(A1305&lt;I1305,0,IF(K1305="S-curve",L1305*L1305*(3-2*L1305),L1305))</f>
        <v/>
      </c>
      <c r="N1305" s="45">
        <f>1+(INDEX(SeasonIdx,A1305)-1)*SeasonAmp</f>
        <v/>
      </c>
      <c r="O1305" s="45">
        <f>IFERROR(INDEX(PSPct,MATCH(E1305&amp;"|"&amp;G1305,PSKey,0)),0)</f>
        <v/>
      </c>
      <c r="P1305" s="46">
        <f>INDEX(ChDoorVel,MATCH(E1305,ChName,0))*CalibScalar*(1+VelocityUplift)</f>
        <v/>
      </c>
      <c r="Q1305" s="46" t="n">
        <v>0</v>
      </c>
      <c r="R1305" s="46">
        <f>P1305*O1305*M1305*N1305*H1305</f>
        <v/>
      </c>
      <c r="S1305" s="46">
        <f>R1305*INDEX(FmtCansPerCase,MATCH(F1305,FmtName,0))</f>
        <v/>
      </c>
      <c r="T1305" s="46">
        <f>S1305/INDEX(FmtCansPerPack,MATCH(F1305,FmtName,0))</f>
        <v/>
      </c>
      <c r="U1305" s="47">
        <f>INDEX(ChBaseCP,MATCH(E1305,ChName,0))*(1+INDEX(ProvMod,MATCH(G1305,ProvCode,0)))*(1+PriceIndex)</f>
        <v/>
      </c>
      <c r="V1305" s="47">
        <f>R1305*U1305*INDEX(FmtBlendedPriceIdx,MATCH(F1305,FmtName,0))</f>
        <v/>
      </c>
      <c r="W1305" s="47">
        <f>T1305*INDEX(ProvSRP,MATCH(G1305,ProvCode,0))*(1+PriceIndex)</f>
        <v/>
      </c>
      <c r="X1305" s="47">
        <f>IF(GrossBasis="Wholesale",V1305,W1305)</f>
        <v/>
      </c>
      <c r="Y1305" s="47">
        <f>R1305*INDEX(FmtBlendedCogs,MATCH(F1305,FmtName,0))</f>
        <v/>
      </c>
      <c r="Z1305" s="47">
        <f>X1305-Y1305</f>
        <v/>
      </c>
    </row>
    <row r="1306">
      <c r="A1306" t="n">
        <v>33</v>
      </c>
      <c r="B1306" s="44">
        <f>FiscalStart+(A1306-1)*7</f>
        <v/>
      </c>
      <c r="C1306">
        <f>TEXT(B1306,"mmm yyyy")</f>
        <v/>
      </c>
      <c r="D1306">
        <f>"Q"&amp;(INT((A1306-1)/13)+1)</f>
        <v/>
      </c>
      <c r="E1306" t="inlineStr">
        <is>
          <t>Fitness</t>
        </is>
      </c>
      <c r="F1306">
        <f>IFERROR(INDEX(ChFormat,MATCH(E1306,ChName,0)),"")</f>
        <v/>
      </c>
      <c r="G1306" t="inlineStr">
        <is>
          <t>ON</t>
        </is>
      </c>
      <c r="H1306">
        <f>IF(A1306&lt;=NWeeks,1,0)</f>
        <v/>
      </c>
      <c r="I1306">
        <f>INDEX(ChLaunch,MATCH(E1306,ChName,0))</f>
        <v/>
      </c>
      <c r="J1306">
        <f>INDEX(ChWeeksFull,MATCH(E1306,ChName,0))</f>
        <v/>
      </c>
      <c r="K1306">
        <f>INDEX(ChRamp,MATCH(E1306,ChName,0))</f>
        <v/>
      </c>
      <c r="L1306" s="45">
        <f>MIN(1,MAX(0,(A1306-I1306+1)*RampSpeed/J1306))</f>
        <v/>
      </c>
      <c r="M1306" s="45">
        <f>IF(A1306&lt;I1306,0,IF(K1306="S-curve",L1306*L1306*(3-2*L1306),L1306))</f>
        <v/>
      </c>
      <c r="N1306" s="45">
        <f>1+(INDEX(SeasonIdx,A1306)-1)*SeasonAmp</f>
        <v/>
      </c>
      <c r="O1306" s="45">
        <f>IFERROR(INDEX(PSPct,MATCH(E1306&amp;"|"&amp;G1306,PSKey,0)),0)</f>
        <v/>
      </c>
      <c r="P1306" s="46">
        <f>INDEX(ChDoorVel,MATCH(E1306,ChName,0))*CalibScalar*(1+VelocityUplift)</f>
        <v/>
      </c>
      <c r="Q1306" s="46" t="n">
        <v>0</v>
      </c>
      <c r="R1306" s="46">
        <f>P1306*O1306*M1306*N1306*H1306</f>
        <v/>
      </c>
      <c r="S1306" s="46">
        <f>R1306*INDEX(FmtCansPerCase,MATCH(F1306,FmtName,0))</f>
        <v/>
      </c>
      <c r="T1306" s="46">
        <f>S1306/INDEX(FmtCansPerPack,MATCH(F1306,FmtName,0))</f>
        <v/>
      </c>
      <c r="U1306" s="47">
        <f>INDEX(ChBaseCP,MATCH(E1306,ChName,0))*(1+INDEX(ProvMod,MATCH(G1306,ProvCode,0)))*(1+PriceIndex)</f>
        <v/>
      </c>
      <c r="V1306" s="47">
        <f>R1306*U1306*INDEX(FmtBlendedPriceIdx,MATCH(F1306,FmtName,0))</f>
        <v/>
      </c>
      <c r="W1306" s="47">
        <f>T1306*INDEX(ProvSRP,MATCH(G1306,ProvCode,0))*(1+PriceIndex)</f>
        <v/>
      </c>
      <c r="X1306" s="47">
        <f>IF(GrossBasis="Wholesale",V1306,W1306)</f>
        <v/>
      </c>
      <c r="Y1306" s="47">
        <f>R1306*INDEX(FmtBlendedCogs,MATCH(F1306,FmtName,0))</f>
        <v/>
      </c>
      <c r="Z1306" s="47">
        <f>X1306-Y1306</f>
        <v/>
      </c>
    </row>
    <row r="1307">
      <c r="A1307" t="n">
        <v>34</v>
      </c>
      <c r="B1307" s="44">
        <f>FiscalStart+(A1307-1)*7</f>
        <v/>
      </c>
      <c r="C1307">
        <f>TEXT(B1307,"mmm yyyy")</f>
        <v/>
      </c>
      <c r="D1307">
        <f>"Q"&amp;(INT((A1307-1)/13)+1)</f>
        <v/>
      </c>
      <c r="E1307" t="inlineStr">
        <is>
          <t>Fitness</t>
        </is>
      </c>
      <c r="F1307">
        <f>IFERROR(INDEX(ChFormat,MATCH(E1307,ChName,0)),"")</f>
        <v/>
      </c>
      <c r="G1307" t="inlineStr">
        <is>
          <t>ON</t>
        </is>
      </c>
      <c r="H1307">
        <f>IF(A1307&lt;=NWeeks,1,0)</f>
        <v/>
      </c>
      <c r="I1307">
        <f>INDEX(ChLaunch,MATCH(E1307,ChName,0))</f>
        <v/>
      </c>
      <c r="J1307">
        <f>INDEX(ChWeeksFull,MATCH(E1307,ChName,0))</f>
        <v/>
      </c>
      <c r="K1307">
        <f>INDEX(ChRamp,MATCH(E1307,ChName,0))</f>
        <v/>
      </c>
      <c r="L1307" s="45">
        <f>MIN(1,MAX(0,(A1307-I1307+1)*RampSpeed/J1307))</f>
        <v/>
      </c>
      <c r="M1307" s="45">
        <f>IF(A1307&lt;I1307,0,IF(K1307="S-curve",L1307*L1307*(3-2*L1307),L1307))</f>
        <v/>
      </c>
      <c r="N1307" s="45">
        <f>1+(INDEX(SeasonIdx,A1307)-1)*SeasonAmp</f>
        <v/>
      </c>
      <c r="O1307" s="45">
        <f>IFERROR(INDEX(PSPct,MATCH(E1307&amp;"|"&amp;G1307,PSKey,0)),0)</f>
        <v/>
      </c>
      <c r="P1307" s="46">
        <f>INDEX(ChDoorVel,MATCH(E1307,ChName,0))*CalibScalar*(1+VelocityUplift)</f>
        <v/>
      </c>
      <c r="Q1307" s="46" t="n">
        <v>0</v>
      </c>
      <c r="R1307" s="46">
        <f>P1307*O1307*M1307*N1307*H1307</f>
        <v/>
      </c>
      <c r="S1307" s="46">
        <f>R1307*INDEX(FmtCansPerCase,MATCH(F1307,FmtName,0))</f>
        <v/>
      </c>
      <c r="T1307" s="46">
        <f>S1307/INDEX(FmtCansPerPack,MATCH(F1307,FmtName,0))</f>
        <v/>
      </c>
      <c r="U1307" s="47">
        <f>INDEX(ChBaseCP,MATCH(E1307,ChName,0))*(1+INDEX(ProvMod,MATCH(G1307,ProvCode,0)))*(1+PriceIndex)</f>
        <v/>
      </c>
      <c r="V1307" s="47">
        <f>R1307*U1307*INDEX(FmtBlendedPriceIdx,MATCH(F1307,FmtName,0))</f>
        <v/>
      </c>
      <c r="W1307" s="47">
        <f>T1307*INDEX(ProvSRP,MATCH(G1307,ProvCode,0))*(1+PriceIndex)</f>
        <v/>
      </c>
      <c r="X1307" s="47">
        <f>IF(GrossBasis="Wholesale",V1307,W1307)</f>
        <v/>
      </c>
      <c r="Y1307" s="47">
        <f>R1307*INDEX(FmtBlendedCogs,MATCH(F1307,FmtName,0))</f>
        <v/>
      </c>
      <c r="Z1307" s="47">
        <f>X1307-Y1307</f>
        <v/>
      </c>
    </row>
    <row r="1308">
      <c r="A1308" t="n">
        <v>35</v>
      </c>
      <c r="B1308" s="44">
        <f>FiscalStart+(A1308-1)*7</f>
        <v/>
      </c>
      <c r="C1308">
        <f>TEXT(B1308,"mmm yyyy")</f>
        <v/>
      </c>
      <c r="D1308">
        <f>"Q"&amp;(INT((A1308-1)/13)+1)</f>
        <v/>
      </c>
      <c r="E1308" t="inlineStr">
        <is>
          <t>Fitness</t>
        </is>
      </c>
      <c r="F1308">
        <f>IFERROR(INDEX(ChFormat,MATCH(E1308,ChName,0)),"")</f>
        <v/>
      </c>
      <c r="G1308" t="inlineStr">
        <is>
          <t>ON</t>
        </is>
      </c>
      <c r="H1308">
        <f>IF(A1308&lt;=NWeeks,1,0)</f>
        <v/>
      </c>
      <c r="I1308">
        <f>INDEX(ChLaunch,MATCH(E1308,ChName,0))</f>
        <v/>
      </c>
      <c r="J1308">
        <f>INDEX(ChWeeksFull,MATCH(E1308,ChName,0))</f>
        <v/>
      </c>
      <c r="K1308">
        <f>INDEX(ChRamp,MATCH(E1308,ChName,0))</f>
        <v/>
      </c>
      <c r="L1308" s="45">
        <f>MIN(1,MAX(0,(A1308-I1308+1)*RampSpeed/J1308))</f>
        <v/>
      </c>
      <c r="M1308" s="45">
        <f>IF(A1308&lt;I1308,0,IF(K1308="S-curve",L1308*L1308*(3-2*L1308),L1308))</f>
        <v/>
      </c>
      <c r="N1308" s="45">
        <f>1+(INDEX(SeasonIdx,A1308)-1)*SeasonAmp</f>
        <v/>
      </c>
      <c r="O1308" s="45">
        <f>IFERROR(INDEX(PSPct,MATCH(E1308&amp;"|"&amp;G1308,PSKey,0)),0)</f>
        <v/>
      </c>
      <c r="P1308" s="46">
        <f>INDEX(ChDoorVel,MATCH(E1308,ChName,0))*CalibScalar*(1+VelocityUplift)</f>
        <v/>
      </c>
      <c r="Q1308" s="46" t="n">
        <v>0</v>
      </c>
      <c r="R1308" s="46">
        <f>P1308*O1308*M1308*N1308*H1308</f>
        <v/>
      </c>
      <c r="S1308" s="46">
        <f>R1308*INDEX(FmtCansPerCase,MATCH(F1308,FmtName,0))</f>
        <v/>
      </c>
      <c r="T1308" s="46">
        <f>S1308/INDEX(FmtCansPerPack,MATCH(F1308,FmtName,0))</f>
        <v/>
      </c>
      <c r="U1308" s="47">
        <f>INDEX(ChBaseCP,MATCH(E1308,ChName,0))*(1+INDEX(ProvMod,MATCH(G1308,ProvCode,0)))*(1+PriceIndex)</f>
        <v/>
      </c>
      <c r="V1308" s="47">
        <f>R1308*U1308*INDEX(FmtBlendedPriceIdx,MATCH(F1308,FmtName,0))</f>
        <v/>
      </c>
      <c r="W1308" s="47">
        <f>T1308*INDEX(ProvSRP,MATCH(G1308,ProvCode,0))*(1+PriceIndex)</f>
        <v/>
      </c>
      <c r="X1308" s="47">
        <f>IF(GrossBasis="Wholesale",V1308,W1308)</f>
        <v/>
      </c>
      <c r="Y1308" s="47">
        <f>R1308*INDEX(FmtBlendedCogs,MATCH(F1308,FmtName,0))</f>
        <v/>
      </c>
      <c r="Z1308" s="47">
        <f>X1308-Y1308</f>
        <v/>
      </c>
    </row>
    <row r="1309">
      <c r="A1309" t="n">
        <v>36</v>
      </c>
      <c r="B1309" s="44">
        <f>FiscalStart+(A1309-1)*7</f>
        <v/>
      </c>
      <c r="C1309">
        <f>TEXT(B1309,"mmm yyyy")</f>
        <v/>
      </c>
      <c r="D1309">
        <f>"Q"&amp;(INT((A1309-1)/13)+1)</f>
        <v/>
      </c>
      <c r="E1309" t="inlineStr">
        <is>
          <t>Fitness</t>
        </is>
      </c>
      <c r="F1309">
        <f>IFERROR(INDEX(ChFormat,MATCH(E1309,ChName,0)),"")</f>
        <v/>
      </c>
      <c r="G1309" t="inlineStr">
        <is>
          <t>ON</t>
        </is>
      </c>
      <c r="H1309">
        <f>IF(A1309&lt;=NWeeks,1,0)</f>
        <v/>
      </c>
      <c r="I1309">
        <f>INDEX(ChLaunch,MATCH(E1309,ChName,0))</f>
        <v/>
      </c>
      <c r="J1309">
        <f>INDEX(ChWeeksFull,MATCH(E1309,ChName,0))</f>
        <v/>
      </c>
      <c r="K1309">
        <f>INDEX(ChRamp,MATCH(E1309,ChName,0))</f>
        <v/>
      </c>
      <c r="L1309" s="45">
        <f>MIN(1,MAX(0,(A1309-I1309+1)*RampSpeed/J1309))</f>
        <v/>
      </c>
      <c r="M1309" s="45">
        <f>IF(A1309&lt;I1309,0,IF(K1309="S-curve",L1309*L1309*(3-2*L1309),L1309))</f>
        <v/>
      </c>
      <c r="N1309" s="45">
        <f>1+(INDEX(SeasonIdx,A1309)-1)*SeasonAmp</f>
        <v/>
      </c>
      <c r="O1309" s="45">
        <f>IFERROR(INDEX(PSPct,MATCH(E1309&amp;"|"&amp;G1309,PSKey,0)),0)</f>
        <v/>
      </c>
      <c r="P1309" s="46">
        <f>INDEX(ChDoorVel,MATCH(E1309,ChName,0))*CalibScalar*(1+VelocityUplift)</f>
        <v/>
      </c>
      <c r="Q1309" s="46" t="n">
        <v>0</v>
      </c>
      <c r="R1309" s="46">
        <f>P1309*O1309*M1309*N1309*H1309</f>
        <v/>
      </c>
      <c r="S1309" s="46">
        <f>R1309*INDEX(FmtCansPerCase,MATCH(F1309,FmtName,0))</f>
        <v/>
      </c>
      <c r="T1309" s="46">
        <f>S1309/INDEX(FmtCansPerPack,MATCH(F1309,FmtName,0))</f>
        <v/>
      </c>
      <c r="U1309" s="47">
        <f>INDEX(ChBaseCP,MATCH(E1309,ChName,0))*(1+INDEX(ProvMod,MATCH(G1309,ProvCode,0)))*(1+PriceIndex)</f>
        <v/>
      </c>
      <c r="V1309" s="47">
        <f>R1309*U1309*INDEX(FmtBlendedPriceIdx,MATCH(F1309,FmtName,0))</f>
        <v/>
      </c>
      <c r="W1309" s="47">
        <f>T1309*INDEX(ProvSRP,MATCH(G1309,ProvCode,0))*(1+PriceIndex)</f>
        <v/>
      </c>
      <c r="X1309" s="47">
        <f>IF(GrossBasis="Wholesale",V1309,W1309)</f>
        <v/>
      </c>
      <c r="Y1309" s="47">
        <f>R1309*INDEX(FmtBlendedCogs,MATCH(F1309,FmtName,0))</f>
        <v/>
      </c>
      <c r="Z1309" s="47">
        <f>X1309-Y1309</f>
        <v/>
      </c>
    </row>
    <row r="1310">
      <c r="A1310" t="n">
        <v>37</v>
      </c>
      <c r="B1310" s="44">
        <f>FiscalStart+(A1310-1)*7</f>
        <v/>
      </c>
      <c r="C1310">
        <f>TEXT(B1310,"mmm yyyy")</f>
        <v/>
      </c>
      <c r="D1310">
        <f>"Q"&amp;(INT((A1310-1)/13)+1)</f>
        <v/>
      </c>
      <c r="E1310" t="inlineStr">
        <is>
          <t>Fitness</t>
        </is>
      </c>
      <c r="F1310">
        <f>IFERROR(INDEX(ChFormat,MATCH(E1310,ChName,0)),"")</f>
        <v/>
      </c>
      <c r="G1310" t="inlineStr">
        <is>
          <t>ON</t>
        </is>
      </c>
      <c r="H1310">
        <f>IF(A1310&lt;=NWeeks,1,0)</f>
        <v/>
      </c>
      <c r="I1310">
        <f>INDEX(ChLaunch,MATCH(E1310,ChName,0))</f>
        <v/>
      </c>
      <c r="J1310">
        <f>INDEX(ChWeeksFull,MATCH(E1310,ChName,0))</f>
        <v/>
      </c>
      <c r="K1310">
        <f>INDEX(ChRamp,MATCH(E1310,ChName,0))</f>
        <v/>
      </c>
      <c r="L1310" s="45">
        <f>MIN(1,MAX(0,(A1310-I1310+1)*RampSpeed/J1310))</f>
        <v/>
      </c>
      <c r="M1310" s="45">
        <f>IF(A1310&lt;I1310,0,IF(K1310="S-curve",L1310*L1310*(3-2*L1310),L1310))</f>
        <v/>
      </c>
      <c r="N1310" s="45">
        <f>1+(INDEX(SeasonIdx,A1310)-1)*SeasonAmp</f>
        <v/>
      </c>
      <c r="O1310" s="45">
        <f>IFERROR(INDEX(PSPct,MATCH(E1310&amp;"|"&amp;G1310,PSKey,0)),0)</f>
        <v/>
      </c>
      <c r="P1310" s="46">
        <f>INDEX(ChDoorVel,MATCH(E1310,ChName,0))*CalibScalar*(1+VelocityUplift)</f>
        <v/>
      </c>
      <c r="Q1310" s="46" t="n">
        <v>0</v>
      </c>
      <c r="R1310" s="46">
        <f>P1310*O1310*M1310*N1310*H1310</f>
        <v/>
      </c>
      <c r="S1310" s="46">
        <f>R1310*INDEX(FmtCansPerCase,MATCH(F1310,FmtName,0))</f>
        <v/>
      </c>
      <c r="T1310" s="46">
        <f>S1310/INDEX(FmtCansPerPack,MATCH(F1310,FmtName,0))</f>
        <v/>
      </c>
      <c r="U1310" s="47">
        <f>INDEX(ChBaseCP,MATCH(E1310,ChName,0))*(1+INDEX(ProvMod,MATCH(G1310,ProvCode,0)))*(1+PriceIndex)</f>
        <v/>
      </c>
      <c r="V1310" s="47">
        <f>R1310*U1310*INDEX(FmtBlendedPriceIdx,MATCH(F1310,FmtName,0))</f>
        <v/>
      </c>
      <c r="W1310" s="47">
        <f>T1310*INDEX(ProvSRP,MATCH(G1310,ProvCode,0))*(1+PriceIndex)</f>
        <v/>
      </c>
      <c r="X1310" s="47">
        <f>IF(GrossBasis="Wholesale",V1310,W1310)</f>
        <v/>
      </c>
      <c r="Y1310" s="47">
        <f>R1310*INDEX(FmtBlendedCogs,MATCH(F1310,FmtName,0))</f>
        <v/>
      </c>
      <c r="Z1310" s="47">
        <f>X1310-Y1310</f>
        <v/>
      </c>
    </row>
    <row r="1311">
      <c r="A1311" t="n">
        <v>38</v>
      </c>
      <c r="B1311" s="44">
        <f>FiscalStart+(A1311-1)*7</f>
        <v/>
      </c>
      <c r="C1311">
        <f>TEXT(B1311,"mmm yyyy")</f>
        <v/>
      </c>
      <c r="D1311">
        <f>"Q"&amp;(INT((A1311-1)/13)+1)</f>
        <v/>
      </c>
      <c r="E1311" t="inlineStr">
        <is>
          <t>Fitness</t>
        </is>
      </c>
      <c r="F1311">
        <f>IFERROR(INDEX(ChFormat,MATCH(E1311,ChName,0)),"")</f>
        <v/>
      </c>
      <c r="G1311" t="inlineStr">
        <is>
          <t>ON</t>
        </is>
      </c>
      <c r="H1311">
        <f>IF(A1311&lt;=NWeeks,1,0)</f>
        <v/>
      </c>
      <c r="I1311">
        <f>INDEX(ChLaunch,MATCH(E1311,ChName,0))</f>
        <v/>
      </c>
      <c r="J1311">
        <f>INDEX(ChWeeksFull,MATCH(E1311,ChName,0))</f>
        <v/>
      </c>
      <c r="K1311">
        <f>INDEX(ChRamp,MATCH(E1311,ChName,0))</f>
        <v/>
      </c>
      <c r="L1311" s="45">
        <f>MIN(1,MAX(0,(A1311-I1311+1)*RampSpeed/J1311))</f>
        <v/>
      </c>
      <c r="M1311" s="45">
        <f>IF(A1311&lt;I1311,0,IF(K1311="S-curve",L1311*L1311*(3-2*L1311),L1311))</f>
        <v/>
      </c>
      <c r="N1311" s="45">
        <f>1+(INDEX(SeasonIdx,A1311)-1)*SeasonAmp</f>
        <v/>
      </c>
      <c r="O1311" s="45">
        <f>IFERROR(INDEX(PSPct,MATCH(E1311&amp;"|"&amp;G1311,PSKey,0)),0)</f>
        <v/>
      </c>
      <c r="P1311" s="46">
        <f>INDEX(ChDoorVel,MATCH(E1311,ChName,0))*CalibScalar*(1+VelocityUplift)</f>
        <v/>
      </c>
      <c r="Q1311" s="46" t="n">
        <v>0</v>
      </c>
      <c r="R1311" s="46">
        <f>P1311*O1311*M1311*N1311*H1311</f>
        <v/>
      </c>
      <c r="S1311" s="46">
        <f>R1311*INDEX(FmtCansPerCase,MATCH(F1311,FmtName,0))</f>
        <v/>
      </c>
      <c r="T1311" s="46">
        <f>S1311/INDEX(FmtCansPerPack,MATCH(F1311,FmtName,0))</f>
        <v/>
      </c>
      <c r="U1311" s="47">
        <f>INDEX(ChBaseCP,MATCH(E1311,ChName,0))*(1+INDEX(ProvMod,MATCH(G1311,ProvCode,0)))*(1+PriceIndex)</f>
        <v/>
      </c>
      <c r="V1311" s="47">
        <f>R1311*U1311*INDEX(FmtBlendedPriceIdx,MATCH(F1311,FmtName,0))</f>
        <v/>
      </c>
      <c r="W1311" s="47">
        <f>T1311*INDEX(ProvSRP,MATCH(G1311,ProvCode,0))*(1+PriceIndex)</f>
        <v/>
      </c>
      <c r="X1311" s="47">
        <f>IF(GrossBasis="Wholesale",V1311,W1311)</f>
        <v/>
      </c>
      <c r="Y1311" s="47">
        <f>R1311*INDEX(FmtBlendedCogs,MATCH(F1311,FmtName,0))</f>
        <v/>
      </c>
      <c r="Z1311" s="47">
        <f>X1311-Y1311</f>
        <v/>
      </c>
    </row>
    <row r="1312">
      <c r="A1312" t="n">
        <v>39</v>
      </c>
      <c r="B1312" s="44">
        <f>FiscalStart+(A1312-1)*7</f>
        <v/>
      </c>
      <c r="C1312">
        <f>TEXT(B1312,"mmm yyyy")</f>
        <v/>
      </c>
      <c r="D1312">
        <f>"Q"&amp;(INT((A1312-1)/13)+1)</f>
        <v/>
      </c>
      <c r="E1312" t="inlineStr">
        <is>
          <t>Fitness</t>
        </is>
      </c>
      <c r="F1312">
        <f>IFERROR(INDEX(ChFormat,MATCH(E1312,ChName,0)),"")</f>
        <v/>
      </c>
      <c r="G1312" t="inlineStr">
        <is>
          <t>ON</t>
        </is>
      </c>
      <c r="H1312">
        <f>IF(A1312&lt;=NWeeks,1,0)</f>
        <v/>
      </c>
      <c r="I1312">
        <f>INDEX(ChLaunch,MATCH(E1312,ChName,0))</f>
        <v/>
      </c>
      <c r="J1312">
        <f>INDEX(ChWeeksFull,MATCH(E1312,ChName,0))</f>
        <v/>
      </c>
      <c r="K1312">
        <f>INDEX(ChRamp,MATCH(E1312,ChName,0))</f>
        <v/>
      </c>
      <c r="L1312" s="45">
        <f>MIN(1,MAX(0,(A1312-I1312+1)*RampSpeed/J1312))</f>
        <v/>
      </c>
      <c r="M1312" s="45">
        <f>IF(A1312&lt;I1312,0,IF(K1312="S-curve",L1312*L1312*(3-2*L1312),L1312))</f>
        <v/>
      </c>
      <c r="N1312" s="45">
        <f>1+(INDEX(SeasonIdx,A1312)-1)*SeasonAmp</f>
        <v/>
      </c>
      <c r="O1312" s="45">
        <f>IFERROR(INDEX(PSPct,MATCH(E1312&amp;"|"&amp;G1312,PSKey,0)),0)</f>
        <v/>
      </c>
      <c r="P1312" s="46">
        <f>INDEX(ChDoorVel,MATCH(E1312,ChName,0))*CalibScalar*(1+VelocityUplift)</f>
        <v/>
      </c>
      <c r="Q1312" s="46" t="n">
        <v>0</v>
      </c>
      <c r="R1312" s="46">
        <f>P1312*O1312*M1312*N1312*H1312</f>
        <v/>
      </c>
      <c r="S1312" s="46">
        <f>R1312*INDEX(FmtCansPerCase,MATCH(F1312,FmtName,0))</f>
        <v/>
      </c>
      <c r="T1312" s="46">
        <f>S1312/INDEX(FmtCansPerPack,MATCH(F1312,FmtName,0))</f>
        <v/>
      </c>
      <c r="U1312" s="47">
        <f>INDEX(ChBaseCP,MATCH(E1312,ChName,0))*(1+INDEX(ProvMod,MATCH(G1312,ProvCode,0)))*(1+PriceIndex)</f>
        <v/>
      </c>
      <c r="V1312" s="47">
        <f>R1312*U1312*INDEX(FmtBlendedPriceIdx,MATCH(F1312,FmtName,0))</f>
        <v/>
      </c>
      <c r="W1312" s="47">
        <f>T1312*INDEX(ProvSRP,MATCH(G1312,ProvCode,0))*(1+PriceIndex)</f>
        <v/>
      </c>
      <c r="X1312" s="47">
        <f>IF(GrossBasis="Wholesale",V1312,W1312)</f>
        <v/>
      </c>
      <c r="Y1312" s="47">
        <f>R1312*INDEX(FmtBlendedCogs,MATCH(F1312,FmtName,0))</f>
        <v/>
      </c>
      <c r="Z1312" s="47">
        <f>X1312-Y1312</f>
        <v/>
      </c>
    </row>
    <row r="1313">
      <c r="A1313" t="n">
        <v>40</v>
      </c>
      <c r="B1313" s="44">
        <f>FiscalStart+(A1313-1)*7</f>
        <v/>
      </c>
      <c r="C1313">
        <f>TEXT(B1313,"mmm yyyy")</f>
        <v/>
      </c>
      <c r="D1313">
        <f>"Q"&amp;(INT((A1313-1)/13)+1)</f>
        <v/>
      </c>
      <c r="E1313" t="inlineStr">
        <is>
          <t>Fitness</t>
        </is>
      </c>
      <c r="F1313">
        <f>IFERROR(INDEX(ChFormat,MATCH(E1313,ChName,0)),"")</f>
        <v/>
      </c>
      <c r="G1313" t="inlineStr">
        <is>
          <t>ON</t>
        </is>
      </c>
      <c r="H1313">
        <f>IF(A1313&lt;=NWeeks,1,0)</f>
        <v/>
      </c>
      <c r="I1313">
        <f>INDEX(ChLaunch,MATCH(E1313,ChName,0))</f>
        <v/>
      </c>
      <c r="J1313">
        <f>INDEX(ChWeeksFull,MATCH(E1313,ChName,0))</f>
        <v/>
      </c>
      <c r="K1313">
        <f>INDEX(ChRamp,MATCH(E1313,ChName,0))</f>
        <v/>
      </c>
      <c r="L1313" s="45">
        <f>MIN(1,MAX(0,(A1313-I1313+1)*RampSpeed/J1313))</f>
        <v/>
      </c>
      <c r="M1313" s="45">
        <f>IF(A1313&lt;I1313,0,IF(K1313="S-curve",L1313*L1313*(3-2*L1313),L1313))</f>
        <v/>
      </c>
      <c r="N1313" s="45">
        <f>1+(INDEX(SeasonIdx,A1313)-1)*SeasonAmp</f>
        <v/>
      </c>
      <c r="O1313" s="45">
        <f>IFERROR(INDEX(PSPct,MATCH(E1313&amp;"|"&amp;G1313,PSKey,0)),0)</f>
        <v/>
      </c>
      <c r="P1313" s="46">
        <f>INDEX(ChDoorVel,MATCH(E1313,ChName,0))*CalibScalar*(1+VelocityUplift)</f>
        <v/>
      </c>
      <c r="Q1313" s="46" t="n">
        <v>0</v>
      </c>
      <c r="R1313" s="46">
        <f>P1313*O1313*M1313*N1313*H1313</f>
        <v/>
      </c>
      <c r="S1313" s="46">
        <f>R1313*INDEX(FmtCansPerCase,MATCH(F1313,FmtName,0))</f>
        <v/>
      </c>
      <c r="T1313" s="46">
        <f>S1313/INDEX(FmtCansPerPack,MATCH(F1313,FmtName,0))</f>
        <v/>
      </c>
      <c r="U1313" s="47">
        <f>INDEX(ChBaseCP,MATCH(E1313,ChName,0))*(1+INDEX(ProvMod,MATCH(G1313,ProvCode,0)))*(1+PriceIndex)</f>
        <v/>
      </c>
      <c r="V1313" s="47">
        <f>R1313*U1313*INDEX(FmtBlendedPriceIdx,MATCH(F1313,FmtName,0))</f>
        <v/>
      </c>
      <c r="W1313" s="47">
        <f>T1313*INDEX(ProvSRP,MATCH(G1313,ProvCode,0))*(1+PriceIndex)</f>
        <v/>
      </c>
      <c r="X1313" s="47">
        <f>IF(GrossBasis="Wholesale",V1313,W1313)</f>
        <v/>
      </c>
      <c r="Y1313" s="47">
        <f>R1313*INDEX(FmtBlendedCogs,MATCH(F1313,FmtName,0))</f>
        <v/>
      </c>
      <c r="Z1313" s="47">
        <f>X1313-Y1313</f>
        <v/>
      </c>
    </row>
    <row r="1314">
      <c r="A1314" t="n">
        <v>41</v>
      </c>
      <c r="B1314" s="44">
        <f>FiscalStart+(A1314-1)*7</f>
        <v/>
      </c>
      <c r="C1314">
        <f>TEXT(B1314,"mmm yyyy")</f>
        <v/>
      </c>
      <c r="D1314">
        <f>"Q"&amp;(INT((A1314-1)/13)+1)</f>
        <v/>
      </c>
      <c r="E1314" t="inlineStr">
        <is>
          <t>Fitness</t>
        </is>
      </c>
      <c r="F1314">
        <f>IFERROR(INDEX(ChFormat,MATCH(E1314,ChName,0)),"")</f>
        <v/>
      </c>
      <c r="G1314" t="inlineStr">
        <is>
          <t>ON</t>
        </is>
      </c>
      <c r="H1314">
        <f>IF(A1314&lt;=NWeeks,1,0)</f>
        <v/>
      </c>
      <c r="I1314">
        <f>INDEX(ChLaunch,MATCH(E1314,ChName,0))</f>
        <v/>
      </c>
      <c r="J1314">
        <f>INDEX(ChWeeksFull,MATCH(E1314,ChName,0))</f>
        <v/>
      </c>
      <c r="K1314">
        <f>INDEX(ChRamp,MATCH(E1314,ChName,0))</f>
        <v/>
      </c>
      <c r="L1314" s="45">
        <f>MIN(1,MAX(0,(A1314-I1314+1)*RampSpeed/J1314))</f>
        <v/>
      </c>
      <c r="M1314" s="45">
        <f>IF(A1314&lt;I1314,0,IF(K1314="S-curve",L1314*L1314*(3-2*L1314),L1314))</f>
        <v/>
      </c>
      <c r="N1314" s="45">
        <f>1+(INDEX(SeasonIdx,A1314)-1)*SeasonAmp</f>
        <v/>
      </c>
      <c r="O1314" s="45">
        <f>IFERROR(INDEX(PSPct,MATCH(E1314&amp;"|"&amp;G1314,PSKey,0)),0)</f>
        <v/>
      </c>
      <c r="P1314" s="46">
        <f>INDEX(ChDoorVel,MATCH(E1314,ChName,0))*CalibScalar*(1+VelocityUplift)</f>
        <v/>
      </c>
      <c r="Q1314" s="46" t="n">
        <v>0</v>
      </c>
      <c r="R1314" s="46">
        <f>P1314*O1314*M1314*N1314*H1314</f>
        <v/>
      </c>
      <c r="S1314" s="46">
        <f>R1314*INDEX(FmtCansPerCase,MATCH(F1314,FmtName,0))</f>
        <v/>
      </c>
      <c r="T1314" s="46">
        <f>S1314/INDEX(FmtCansPerPack,MATCH(F1314,FmtName,0))</f>
        <v/>
      </c>
      <c r="U1314" s="47">
        <f>INDEX(ChBaseCP,MATCH(E1314,ChName,0))*(1+INDEX(ProvMod,MATCH(G1314,ProvCode,0)))*(1+PriceIndex)</f>
        <v/>
      </c>
      <c r="V1314" s="47">
        <f>R1314*U1314*INDEX(FmtBlendedPriceIdx,MATCH(F1314,FmtName,0))</f>
        <v/>
      </c>
      <c r="W1314" s="47">
        <f>T1314*INDEX(ProvSRP,MATCH(G1314,ProvCode,0))*(1+PriceIndex)</f>
        <v/>
      </c>
      <c r="X1314" s="47">
        <f>IF(GrossBasis="Wholesale",V1314,W1314)</f>
        <v/>
      </c>
      <c r="Y1314" s="47">
        <f>R1314*INDEX(FmtBlendedCogs,MATCH(F1314,FmtName,0))</f>
        <v/>
      </c>
      <c r="Z1314" s="47">
        <f>X1314-Y1314</f>
        <v/>
      </c>
    </row>
    <row r="1315">
      <c r="A1315" t="n">
        <v>42</v>
      </c>
      <c r="B1315" s="44">
        <f>FiscalStart+(A1315-1)*7</f>
        <v/>
      </c>
      <c r="C1315">
        <f>TEXT(B1315,"mmm yyyy")</f>
        <v/>
      </c>
      <c r="D1315">
        <f>"Q"&amp;(INT((A1315-1)/13)+1)</f>
        <v/>
      </c>
      <c r="E1315" t="inlineStr">
        <is>
          <t>Fitness</t>
        </is>
      </c>
      <c r="F1315">
        <f>IFERROR(INDEX(ChFormat,MATCH(E1315,ChName,0)),"")</f>
        <v/>
      </c>
      <c r="G1315" t="inlineStr">
        <is>
          <t>ON</t>
        </is>
      </c>
      <c r="H1315">
        <f>IF(A1315&lt;=NWeeks,1,0)</f>
        <v/>
      </c>
      <c r="I1315">
        <f>INDEX(ChLaunch,MATCH(E1315,ChName,0))</f>
        <v/>
      </c>
      <c r="J1315">
        <f>INDEX(ChWeeksFull,MATCH(E1315,ChName,0))</f>
        <v/>
      </c>
      <c r="K1315">
        <f>INDEX(ChRamp,MATCH(E1315,ChName,0))</f>
        <v/>
      </c>
      <c r="L1315" s="45">
        <f>MIN(1,MAX(0,(A1315-I1315+1)*RampSpeed/J1315))</f>
        <v/>
      </c>
      <c r="M1315" s="45">
        <f>IF(A1315&lt;I1315,0,IF(K1315="S-curve",L1315*L1315*(3-2*L1315),L1315))</f>
        <v/>
      </c>
      <c r="N1315" s="45">
        <f>1+(INDEX(SeasonIdx,A1315)-1)*SeasonAmp</f>
        <v/>
      </c>
      <c r="O1315" s="45">
        <f>IFERROR(INDEX(PSPct,MATCH(E1315&amp;"|"&amp;G1315,PSKey,0)),0)</f>
        <v/>
      </c>
      <c r="P1315" s="46">
        <f>INDEX(ChDoorVel,MATCH(E1315,ChName,0))*CalibScalar*(1+VelocityUplift)</f>
        <v/>
      </c>
      <c r="Q1315" s="46" t="n">
        <v>0</v>
      </c>
      <c r="R1315" s="46">
        <f>P1315*O1315*M1315*N1315*H1315</f>
        <v/>
      </c>
      <c r="S1315" s="46">
        <f>R1315*INDEX(FmtCansPerCase,MATCH(F1315,FmtName,0))</f>
        <v/>
      </c>
      <c r="T1315" s="46">
        <f>S1315/INDEX(FmtCansPerPack,MATCH(F1315,FmtName,0))</f>
        <v/>
      </c>
      <c r="U1315" s="47">
        <f>INDEX(ChBaseCP,MATCH(E1315,ChName,0))*(1+INDEX(ProvMod,MATCH(G1315,ProvCode,0)))*(1+PriceIndex)</f>
        <v/>
      </c>
      <c r="V1315" s="47">
        <f>R1315*U1315*INDEX(FmtBlendedPriceIdx,MATCH(F1315,FmtName,0))</f>
        <v/>
      </c>
      <c r="W1315" s="47">
        <f>T1315*INDEX(ProvSRP,MATCH(G1315,ProvCode,0))*(1+PriceIndex)</f>
        <v/>
      </c>
      <c r="X1315" s="47">
        <f>IF(GrossBasis="Wholesale",V1315,W1315)</f>
        <v/>
      </c>
      <c r="Y1315" s="47">
        <f>R1315*INDEX(FmtBlendedCogs,MATCH(F1315,FmtName,0))</f>
        <v/>
      </c>
      <c r="Z1315" s="47">
        <f>X1315-Y1315</f>
        <v/>
      </c>
    </row>
    <row r="1316">
      <c r="A1316" t="n">
        <v>43</v>
      </c>
      <c r="B1316" s="44">
        <f>FiscalStart+(A1316-1)*7</f>
        <v/>
      </c>
      <c r="C1316">
        <f>TEXT(B1316,"mmm yyyy")</f>
        <v/>
      </c>
      <c r="D1316">
        <f>"Q"&amp;(INT((A1316-1)/13)+1)</f>
        <v/>
      </c>
      <c r="E1316" t="inlineStr">
        <is>
          <t>Fitness</t>
        </is>
      </c>
      <c r="F1316">
        <f>IFERROR(INDEX(ChFormat,MATCH(E1316,ChName,0)),"")</f>
        <v/>
      </c>
      <c r="G1316" t="inlineStr">
        <is>
          <t>ON</t>
        </is>
      </c>
      <c r="H1316">
        <f>IF(A1316&lt;=NWeeks,1,0)</f>
        <v/>
      </c>
      <c r="I1316">
        <f>INDEX(ChLaunch,MATCH(E1316,ChName,0))</f>
        <v/>
      </c>
      <c r="J1316">
        <f>INDEX(ChWeeksFull,MATCH(E1316,ChName,0))</f>
        <v/>
      </c>
      <c r="K1316">
        <f>INDEX(ChRamp,MATCH(E1316,ChName,0))</f>
        <v/>
      </c>
      <c r="L1316" s="45">
        <f>MIN(1,MAX(0,(A1316-I1316+1)*RampSpeed/J1316))</f>
        <v/>
      </c>
      <c r="M1316" s="45">
        <f>IF(A1316&lt;I1316,0,IF(K1316="S-curve",L1316*L1316*(3-2*L1316),L1316))</f>
        <v/>
      </c>
      <c r="N1316" s="45">
        <f>1+(INDEX(SeasonIdx,A1316)-1)*SeasonAmp</f>
        <v/>
      </c>
      <c r="O1316" s="45">
        <f>IFERROR(INDEX(PSPct,MATCH(E1316&amp;"|"&amp;G1316,PSKey,0)),0)</f>
        <v/>
      </c>
      <c r="P1316" s="46">
        <f>INDEX(ChDoorVel,MATCH(E1316,ChName,0))*CalibScalar*(1+VelocityUplift)</f>
        <v/>
      </c>
      <c r="Q1316" s="46" t="n">
        <v>0</v>
      </c>
      <c r="R1316" s="46">
        <f>P1316*O1316*M1316*N1316*H1316</f>
        <v/>
      </c>
      <c r="S1316" s="46">
        <f>R1316*INDEX(FmtCansPerCase,MATCH(F1316,FmtName,0))</f>
        <v/>
      </c>
      <c r="T1316" s="46">
        <f>S1316/INDEX(FmtCansPerPack,MATCH(F1316,FmtName,0))</f>
        <v/>
      </c>
      <c r="U1316" s="47">
        <f>INDEX(ChBaseCP,MATCH(E1316,ChName,0))*(1+INDEX(ProvMod,MATCH(G1316,ProvCode,0)))*(1+PriceIndex)</f>
        <v/>
      </c>
      <c r="V1316" s="47">
        <f>R1316*U1316*INDEX(FmtBlendedPriceIdx,MATCH(F1316,FmtName,0))</f>
        <v/>
      </c>
      <c r="W1316" s="47">
        <f>T1316*INDEX(ProvSRP,MATCH(G1316,ProvCode,0))*(1+PriceIndex)</f>
        <v/>
      </c>
      <c r="X1316" s="47">
        <f>IF(GrossBasis="Wholesale",V1316,W1316)</f>
        <v/>
      </c>
      <c r="Y1316" s="47">
        <f>R1316*INDEX(FmtBlendedCogs,MATCH(F1316,FmtName,0))</f>
        <v/>
      </c>
      <c r="Z1316" s="47">
        <f>X1316-Y1316</f>
        <v/>
      </c>
    </row>
    <row r="1317">
      <c r="A1317" t="n">
        <v>44</v>
      </c>
      <c r="B1317" s="44">
        <f>FiscalStart+(A1317-1)*7</f>
        <v/>
      </c>
      <c r="C1317">
        <f>TEXT(B1317,"mmm yyyy")</f>
        <v/>
      </c>
      <c r="D1317">
        <f>"Q"&amp;(INT((A1317-1)/13)+1)</f>
        <v/>
      </c>
      <c r="E1317" t="inlineStr">
        <is>
          <t>Fitness</t>
        </is>
      </c>
      <c r="F1317">
        <f>IFERROR(INDEX(ChFormat,MATCH(E1317,ChName,0)),"")</f>
        <v/>
      </c>
      <c r="G1317" t="inlineStr">
        <is>
          <t>ON</t>
        </is>
      </c>
      <c r="H1317">
        <f>IF(A1317&lt;=NWeeks,1,0)</f>
        <v/>
      </c>
      <c r="I1317">
        <f>INDEX(ChLaunch,MATCH(E1317,ChName,0))</f>
        <v/>
      </c>
      <c r="J1317">
        <f>INDEX(ChWeeksFull,MATCH(E1317,ChName,0))</f>
        <v/>
      </c>
      <c r="K1317">
        <f>INDEX(ChRamp,MATCH(E1317,ChName,0))</f>
        <v/>
      </c>
      <c r="L1317" s="45">
        <f>MIN(1,MAX(0,(A1317-I1317+1)*RampSpeed/J1317))</f>
        <v/>
      </c>
      <c r="M1317" s="45">
        <f>IF(A1317&lt;I1317,0,IF(K1317="S-curve",L1317*L1317*(3-2*L1317),L1317))</f>
        <v/>
      </c>
      <c r="N1317" s="45">
        <f>1+(INDEX(SeasonIdx,A1317)-1)*SeasonAmp</f>
        <v/>
      </c>
      <c r="O1317" s="45">
        <f>IFERROR(INDEX(PSPct,MATCH(E1317&amp;"|"&amp;G1317,PSKey,0)),0)</f>
        <v/>
      </c>
      <c r="P1317" s="46">
        <f>INDEX(ChDoorVel,MATCH(E1317,ChName,0))*CalibScalar*(1+VelocityUplift)</f>
        <v/>
      </c>
      <c r="Q1317" s="46" t="n">
        <v>0</v>
      </c>
      <c r="R1317" s="46">
        <f>P1317*O1317*M1317*N1317*H1317</f>
        <v/>
      </c>
      <c r="S1317" s="46">
        <f>R1317*INDEX(FmtCansPerCase,MATCH(F1317,FmtName,0))</f>
        <v/>
      </c>
      <c r="T1317" s="46">
        <f>S1317/INDEX(FmtCansPerPack,MATCH(F1317,FmtName,0))</f>
        <v/>
      </c>
      <c r="U1317" s="47">
        <f>INDEX(ChBaseCP,MATCH(E1317,ChName,0))*(1+INDEX(ProvMod,MATCH(G1317,ProvCode,0)))*(1+PriceIndex)</f>
        <v/>
      </c>
      <c r="V1317" s="47">
        <f>R1317*U1317*INDEX(FmtBlendedPriceIdx,MATCH(F1317,FmtName,0))</f>
        <v/>
      </c>
      <c r="W1317" s="47">
        <f>T1317*INDEX(ProvSRP,MATCH(G1317,ProvCode,0))*(1+PriceIndex)</f>
        <v/>
      </c>
      <c r="X1317" s="47">
        <f>IF(GrossBasis="Wholesale",V1317,W1317)</f>
        <v/>
      </c>
      <c r="Y1317" s="47">
        <f>R1317*INDEX(FmtBlendedCogs,MATCH(F1317,FmtName,0))</f>
        <v/>
      </c>
      <c r="Z1317" s="47">
        <f>X1317-Y1317</f>
        <v/>
      </c>
    </row>
    <row r="1318">
      <c r="A1318" t="n">
        <v>45</v>
      </c>
      <c r="B1318" s="44">
        <f>FiscalStart+(A1318-1)*7</f>
        <v/>
      </c>
      <c r="C1318">
        <f>TEXT(B1318,"mmm yyyy")</f>
        <v/>
      </c>
      <c r="D1318">
        <f>"Q"&amp;(INT((A1318-1)/13)+1)</f>
        <v/>
      </c>
      <c r="E1318" t="inlineStr">
        <is>
          <t>Fitness</t>
        </is>
      </c>
      <c r="F1318">
        <f>IFERROR(INDEX(ChFormat,MATCH(E1318,ChName,0)),"")</f>
        <v/>
      </c>
      <c r="G1318" t="inlineStr">
        <is>
          <t>ON</t>
        </is>
      </c>
      <c r="H1318">
        <f>IF(A1318&lt;=NWeeks,1,0)</f>
        <v/>
      </c>
      <c r="I1318">
        <f>INDEX(ChLaunch,MATCH(E1318,ChName,0))</f>
        <v/>
      </c>
      <c r="J1318">
        <f>INDEX(ChWeeksFull,MATCH(E1318,ChName,0))</f>
        <v/>
      </c>
      <c r="K1318">
        <f>INDEX(ChRamp,MATCH(E1318,ChName,0))</f>
        <v/>
      </c>
      <c r="L1318" s="45">
        <f>MIN(1,MAX(0,(A1318-I1318+1)*RampSpeed/J1318))</f>
        <v/>
      </c>
      <c r="M1318" s="45">
        <f>IF(A1318&lt;I1318,0,IF(K1318="S-curve",L1318*L1318*(3-2*L1318),L1318))</f>
        <v/>
      </c>
      <c r="N1318" s="45">
        <f>1+(INDEX(SeasonIdx,A1318)-1)*SeasonAmp</f>
        <v/>
      </c>
      <c r="O1318" s="45">
        <f>IFERROR(INDEX(PSPct,MATCH(E1318&amp;"|"&amp;G1318,PSKey,0)),0)</f>
        <v/>
      </c>
      <c r="P1318" s="46">
        <f>INDEX(ChDoorVel,MATCH(E1318,ChName,0))*CalibScalar*(1+VelocityUplift)</f>
        <v/>
      </c>
      <c r="Q1318" s="46" t="n">
        <v>0</v>
      </c>
      <c r="R1318" s="46">
        <f>P1318*O1318*M1318*N1318*H1318</f>
        <v/>
      </c>
      <c r="S1318" s="46">
        <f>R1318*INDEX(FmtCansPerCase,MATCH(F1318,FmtName,0))</f>
        <v/>
      </c>
      <c r="T1318" s="46">
        <f>S1318/INDEX(FmtCansPerPack,MATCH(F1318,FmtName,0))</f>
        <v/>
      </c>
      <c r="U1318" s="47">
        <f>INDEX(ChBaseCP,MATCH(E1318,ChName,0))*(1+INDEX(ProvMod,MATCH(G1318,ProvCode,0)))*(1+PriceIndex)</f>
        <v/>
      </c>
      <c r="V1318" s="47">
        <f>R1318*U1318*INDEX(FmtBlendedPriceIdx,MATCH(F1318,FmtName,0))</f>
        <v/>
      </c>
      <c r="W1318" s="47">
        <f>T1318*INDEX(ProvSRP,MATCH(G1318,ProvCode,0))*(1+PriceIndex)</f>
        <v/>
      </c>
      <c r="X1318" s="47">
        <f>IF(GrossBasis="Wholesale",V1318,W1318)</f>
        <v/>
      </c>
      <c r="Y1318" s="47">
        <f>R1318*INDEX(FmtBlendedCogs,MATCH(F1318,FmtName,0))</f>
        <v/>
      </c>
      <c r="Z1318" s="47">
        <f>X1318-Y1318</f>
        <v/>
      </c>
    </row>
    <row r="1319">
      <c r="A1319" t="n">
        <v>46</v>
      </c>
      <c r="B1319" s="44">
        <f>FiscalStart+(A1319-1)*7</f>
        <v/>
      </c>
      <c r="C1319">
        <f>TEXT(B1319,"mmm yyyy")</f>
        <v/>
      </c>
      <c r="D1319">
        <f>"Q"&amp;(INT((A1319-1)/13)+1)</f>
        <v/>
      </c>
      <c r="E1319" t="inlineStr">
        <is>
          <t>Fitness</t>
        </is>
      </c>
      <c r="F1319">
        <f>IFERROR(INDEX(ChFormat,MATCH(E1319,ChName,0)),"")</f>
        <v/>
      </c>
      <c r="G1319" t="inlineStr">
        <is>
          <t>ON</t>
        </is>
      </c>
      <c r="H1319">
        <f>IF(A1319&lt;=NWeeks,1,0)</f>
        <v/>
      </c>
      <c r="I1319">
        <f>INDEX(ChLaunch,MATCH(E1319,ChName,0))</f>
        <v/>
      </c>
      <c r="J1319">
        <f>INDEX(ChWeeksFull,MATCH(E1319,ChName,0))</f>
        <v/>
      </c>
      <c r="K1319">
        <f>INDEX(ChRamp,MATCH(E1319,ChName,0))</f>
        <v/>
      </c>
      <c r="L1319" s="45">
        <f>MIN(1,MAX(0,(A1319-I1319+1)*RampSpeed/J1319))</f>
        <v/>
      </c>
      <c r="M1319" s="45">
        <f>IF(A1319&lt;I1319,0,IF(K1319="S-curve",L1319*L1319*(3-2*L1319),L1319))</f>
        <v/>
      </c>
      <c r="N1319" s="45">
        <f>1+(INDEX(SeasonIdx,A1319)-1)*SeasonAmp</f>
        <v/>
      </c>
      <c r="O1319" s="45">
        <f>IFERROR(INDEX(PSPct,MATCH(E1319&amp;"|"&amp;G1319,PSKey,0)),0)</f>
        <v/>
      </c>
      <c r="P1319" s="46">
        <f>INDEX(ChDoorVel,MATCH(E1319,ChName,0))*CalibScalar*(1+VelocityUplift)</f>
        <v/>
      </c>
      <c r="Q1319" s="46" t="n">
        <v>0</v>
      </c>
      <c r="R1319" s="46">
        <f>P1319*O1319*M1319*N1319*H1319</f>
        <v/>
      </c>
      <c r="S1319" s="46">
        <f>R1319*INDEX(FmtCansPerCase,MATCH(F1319,FmtName,0))</f>
        <v/>
      </c>
      <c r="T1319" s="46">
        <f>S1319/INDEX(FmtCansPerPack,MATCH(F1319,FmtName,0))</f>
        <v/>
      </c>
      <c r="U1319" s="47">
        <f>INDEX(ChBaseCP,MATCH(E1319,ChName,0))*(1+INDEX(ProvMod,MATCH(G1319,ProvCode,0)))*(1+PriceIndex)</f>
        <v/>
      </c>
      <c r="V1319" s="47">
        <f>R1319*U1319*INDEX(FmtBlendedPriceIdx,MATCH(F1319,FmtName,0))</f>
        <v/>
      </c>
      <c r="W1319" s="47">
        <f>T1319*INDEX(ProvSRP,MATCH(G1319,ProvCode,0))*(1+PriceIndex)</f>
        <v/>
      </c>
      <c r="X1319" s="47">
        <f>IF(GrossBasis="Wholesale",V1319,W1319)</f>
        <v/>
      </c>
      <c r="Y1319" s="47">
        <f>R1319*INDEX(FmtBlendedCogs,MATCH(F1319,FmtName,0))</f>
        <v/>
      </c>
      <c r="Z1319" s="47">
        <f>X1319-Y1319</f>
        <v/>
      </c>
    </row>
    <row r="1320">
      <c r="A1320" t="n">
        <v>47</v>
      </c>
      <c r="B1320" s="44">
        <f>FiscalStart+(A1320-1)*7</f>
        <v/>
      </c>
      <c r="C1320">
        <f>TEXT(B1320,"mmm yyyy")</f>
        <v/>
      </c>
      <c r="D1320">
        <f>"Q"&amp;(INT((A1320-1)/13)+1)</f>
        <v/>
      </c>
      <c r="E1320" t="inlineStr">
        <is>
          <t>Fitness</t>
        </is>
      </c>
      <c r="F1320">
        <f>IFERROR(INDEX(ChFormat,MATCH(E1320,ChName,0)),"")</f>
        <v/>
      </c>
      <c r="G1320" t="inlineStr">
        <is>
          <t>ON</t>
        </is>
      </c>
      <c r="H1320">
        <f>IF(A1320&lt;=NWeeks,1,0)</f>
        <v/>
      </c>
      <c r="I1320">
        <f>INDEX(ChLaunch,MATCH(E1320,ChName,0))</f>
        <v/>
      </c>
      <c r="J1320">
        <f>INDEX(ChWeeksFull,MATCH(E1320,ChName,0))</f>
        <v/>
      </c>
      <c r="K1320">
        <f>INDEX(ChRamp,MATCH(E1320,ChName,0))</f>
        <v/>
      </c>
      <c r="L1320" s="45">
        <f>MIN(1,MAX(0,(A1320-I1320+1)*RampSpeed/J1320))</f>
        <v/>
      </c>
      <c r="M1320" s="45">
        <f>IF(A1320&lt;I1320,0,IF(K1320="S-curve",L1320*L1320*(3-2*L1320),L1320))</f>
        <v/>
      </c>
      <c r="N1320" s="45">
        <f>1+(INDEX(SeasonIdx,A1320)-1)*SeasonAmp</f>
        <v/>
      </c>
      <c r="O1320" s="45">
        <f>IFERROR(INDEX(PSPct,MATCH(E1320&amp;"|"&amp;G1320,PSKey,0)),0)</f>
        <v/>
      </c>
      <c r="P1320" s="46">
        <f>INDEX(ChDoorVel,MATCH(E1320,ChName,0))*CalibScalar*(1+VelocityUplift)</f>
        <v/>
      </c>
      <c r="Q1320" s="46" t="n">
        <v>0</v>
      </c>
      <c r="R1320" s="46">
        <f>P1320*O1320*M1320*N1320*H1320</f>
        <v/>
      </c>
      <c r="S1320" s="46">
        <f>R1320*INDEX(FmtCansPerCase,MATCH(F1320,FmtName,0))</f>
        <v/>
      </c>
      <c r="T1320" s="46">
        <f>S1320/INDEX(FmtCansPerPack,MATCH(F1320,FmtName,0))</f>
        <v/>
      </c>
      <c r="U1320" s="47">
        <f>INDEX(ChBaseCP,MATCH(E1320,ChName,0))*(1+INDEX(ProvMod,MATCH(G1320,ProvCode,0)))*(1+PriceIndex)</f>
        <v/>
      </c>
      <c r="V1320" s="47">
        <f>R1320*U1320*INDEX(FmtBlendedPriceIdx,MATCH(F1320,FmtName,0))</f>
        <v/>
      </c>
      <c r="W1320" s="47">
        <f>T1320*INDEX(ProvSRP,MATCH(G1320,ProvCode,0))*(1+PriceIndex)</f>
        <v/>
      </c>
      <c r="X1320" s="47">
        <f>IF(GrossBasis="Wholesale",V1320,W1320)</f>
        <v/>
      </c>
      <c r="Y1320" s="47">
        <f>R1320*INDEX(FmtBlendedCogs,MATCH(F1320,FmtName,0))</f>
        <v/>
      </c>
      <c r="Z1320" s="47">
        <f>X1320-Y1320</f>
        <v/>
      </c>
    </row>
    <row r="1321">
      <c r="A1321" t="n">
        <v>48</v>
      </c>
      <c r="B1321" s="44">
        <f>FiscalStart+(A1321-1)*7</f>
        <v/>
      </c>
      <c r="C1321">
        <f>TEXT(B1321,"mmm yyyy")</f>
        <v/>
      </c>
      <c r="D1321">
        <f>"Q"&amp;(INT((A1321-1)/13)+1)</f>
        <v/>
      </c>
      <c r="E1321" t="inlineStr">
        <is>
          <t>Fitness</t>
        </is>
      </c>
      <c r="F1321">
        <f>IFERROR(INDEX(ChFormat,MATCH(E1321,ChName,0)),"")</f>
        <v/>
      </c>
      <c r="G1321" t="inlineStr">
        <is>
          <t>ON</t>
        </is>
      </c>
      <c r="H1321">
        <f>IF(A1321&lt;=NWeeks,1,0)</f>
        <v/>
      </c>
      <c r="I1321">
        <f>INDEX(ChLaunch,MATCH(E1321,ChName,0))</f>
        <v/>
      </c>
      <c r="J1321">
        <f>INDEX(ChWeeksFull,MATCH(E1321,ChName,0))</f>
        <v/>
      </c>
      <c r="K1321">
        <f>INDEX(ChRamp,MATCH(E1321,ChName,0))</f>
        <v/>
      </c>
      <c r="L1321" s="45">
        <f>MIN(1,MAX(0,(A1321-I1321+1)*RampSpeed/J1321))</f>
        <v/>
      </c>
      <c r="M1321" s="45">
        <f>IF(A1321&lt;I1321,0,IF(K1321="S-curve",L1321*L1321*(3-2*L1321),L1321))</f>
        <v/>
      </c>
      <c r="N1321" s="45">
        <f>1+(INDEX(SeasonIdx,A1321)-1)*SeasonAmp</f>
        <v/>
      </c>
      <c r="O1321" s="45">
        <f>IFERROR(INDEX(PSPct,MATCH(E1321&amp;"|"&amp;G1321,PSKey,0)),0)</f>
        <v/>
      </c>
      <c r="P1321" s="46">
        <f>INDEX(ChDoorVel,MATCH(E1321,ChName,0))*CalibScalar*(1+VelocityUplift)</f>
        <v/>
      </c>
      <c r="Q1321" s="46" t="n">
        <v>0</v>
      </c>
      <c r="R1321" s="46">
        <f>P1321*O1321*M1321*N1321*H1321</f>
        <v/>
      </c>
      <c r="S1321" s="46">
        <f>R1321*INDEX(FmtCansPerCase,MATCH(F1321,FmtName,0))</f>
        <v/>
      </c>
      <c r="T1321" s="46">
        <f>S1321/INDEX(FmtCansPerPack,MATCH(F1321,FmtName,0))</f>
        <v/>
      </c>
      <c r="U1321" s="47">
        <f>INDEX(ChBaseCP,MATCH(E1321,ChName,0))*(1+INDEX(ProvMod,MATCH(G1321,ProvCode,0)))*(1+PriceIndex)</f>
        <v/>
      </c>
      <c r="V1321" s="47">
        <f>R1321*U1321*INDEX(FmtBlendedPriceIdx,MATCH(F1321,FmtName,0))</f>
        <v/>
      </c>
      <c r="W1321" s="47">
        <f>T1321*INDEX(ProvSRP,MATCH(G1321,ProvCode,0))*(1+PriceIndex)</f>
        <v/>
      </c>
      <c r="X1321" s="47">
        <f>IF(GrossBasis="Wholesale",V1321,W1321)</f>
        <v/>
      </c>
      <c r="Y1321" s="47">
        <f>R1321*INDEX(FmtBlendedCogs,MATCH(F1321,FmtName,0))</f>
        <v/>
      </c>
      <c r="Z1321" s="47">
        <f>X1321-Y1321</f>
        <v/>
      </c>
    </row>
    <row r="1322">
      <c r="A1322" t="n">
        <v>49</v>
      </c>
      <c r="B1322" s="44">
        <f>FiscalStart+(A1322-1)*7</f>
        <v/>
      </c>
      <c r="C1322">
        <f>TEXT(B1322,"mmm yyyy")</f>
        <v/>
      </c>
      <c r="D1322">
        <f>"Q"&amp;(INT((A1322-1)/13)+1)</f>
        <v/>
      </c>
      <c r="E1322" t="inlineStr">
        <is>
          <t>Fitness</t>
        </is>
      </c>
      <c r="F1322">
        <f>IFERROR(INDEX(ChFormat,MATCH(E1322,ChName,0)),"")</f>
        <v/>
      </c>
      <c r="G1322" t="inlineStr">
        <is>
          <t>ON</t>
        </is>
      </c>
      <c r="H1322">
        <f>IF(A1322&lt;=NWeeks,1,0)</f>
        <v/>
      </c>
      <c r="I1322">
        <f>INDEX(ChLaunch,MATCH(E1322,ChName,0))</f>
        <v/>
      </c>
      <c r="J1322">
        <f>INDEX(ChWeeksFull,MATCH(E1322,ChName,0))</f>
        <v/>
      </c>
      <c r="K1322">
        <f>INDEX(ChRamp,MATCH(E1322,ChName,0))</f>
        <v/>
      </c>
      <c r="L1322" s="45">
        <f>MIN(1,MAX(0,(A1322-I1322+1)*RampSpeed/J1322))</f>
        <v/>
      </c>
      <c r="M1322" s="45">
        <f>IF(A1322&lt;I1322,0,IF(K1322="S-curve",L1322*L1322*(3-2*L1322),L1322))</f>
        <v/>
      </c>
      <c r="N1322" s="45">
        <f>1+(INDEX(SeasonIdx,A1322)-1)*SeasonAmp</f>
        <v/>
      </c>
      <c r="O1322" s="45">
        <f>IFERROR(INDEX(PSPct,MATCH(E1322&amp;"|"&amp;G1322,PSKey,0)),0)</f>
        <v/>
      </c>
      <c r="P1322" s="46">
        <f>INDEX(ChDoorVel,MATCH(E1322,ChName,0))*CalibScalar*(1+VelocityUplift)</f>
        <v/>
      </c>
      <c r="Q1322" s="46" t="n">
        <v>0</v>
      </c>
      <c r="R1322" s="46">
        <f>P1322*O1322*M1322*N1322*H1322</f>
        <v/>
      </c>
      <c r="S1322" s="46">
        <f>R1322*INDEX(FmtCansPerCase,MATCH(F1322,FmtName,0))</f>
        <v/>
      </c>
      <c r="T1322" s="46">
        <f>S1322/INDEX(FmtCansPerPack,MATCH(F1322,FmtName,0))</f>
        <v/>
      </c>
      <c r="U1322" s="47">
        <f>INDEX(ChBaseCP,MATCH(E1322,ChName,0))*(1+INDEX(ProvMod,MATCH(G1322,ProvCode,0)))*(1+PriceIndex)</f>
        <v/>
      </c>
      <c r="V1322" s="47">
        <f>R1322*U1322*INDEX(FmtBlendedPriceIdx,MATCH(F1322,FmtName,0))</f>
        <v/>
      </c>
      <c r="W1322" s="47">
        <f>T1322*INDEX(ProvSRP,MATCH(G1322,ProvCode,0))*(1+PriceIndex)</f>
        <v/>
      </c>
      <c r="X1322" s="47">
        <f>IF(GrossBasis="Wholesale",V1322,W1322)</f>
        <v/>
      </c>
      <c r="Y1322" s="47">
        <f>R1322*INDEX(FmtBlendedCogs,MATCH(F1322,FmtName,0))</f>
        <v/>
      </c>
      <c r="Z1322" s="47">
        <f>X1322-Y1322</f>
        <v/>
      </c>
    </row>
    <row r="1323">
      <c r="A1323" t="n">
        <v>50</v>
      </c>
      <c r="B1323" s="44">
        <f>FiscalStart+(A1323-1)*7</f>
        <v/>
      </c>
      <c r="C1323">
        <f>TEXT(B1323,"mmm yyyy")</f>
        <v/>
      </c>
      <c r="D1323">
        <f>"Q"&amp;(INT((A1323-1)/13)+1)</f>
        <v/>
      </c>
      <c r="E1323" t="inlineStr">
        <is>
          <t>Fitness</t>
        </is>
      </c>
      <c r="F1323">
        <f>IFERROR(INDEX(ChFormat,MATCH(E1323,ChName,0)),"")</f>
        <v/>
      </c>
      <c r="G1323" t="inlineStr">
        <is>
          <t>ON</t>
        </is>
      </c>
      <c r="H1323">
        <f>IF(A1323&lt;=NWeeks,1,0)</f>
        <v/>
      </c>
      <c r="I1323">
        <f>INDEX(ChLaunch,MATCH(E1323,ChName,0))</f>
        <v/>
      </c>
      <c r="J1323">
        <f>INDEX(ChWeeksFull,MATCH(E1323,ChName,0))</f>
        <v/>
      </c>
      <c r="K1323">
        <f>INDEX(ChRamp,MATCH(E1323,ChName,0))</f>
        <v/>
      </c>
      <c r="L1323" s="45">
        <f>MIN(1,MAX(0,(A1323-I1323+1)*RampSpeed/J1323))</f>
        <v/>
      </c>
      <c r="M1323" s="45">
        <f>IF(A1323&lt;I1323,0,IF(K1323="S-curve",L1323*L1323*(3-2*L1323),L1323))</f>
        <v/>
      </c>
      <c r="N1323" s="45">
        <f>1+(INDEX(SeasonIdx,A1323)-1)*SeasonAmp</f>
        <v/>
      </c>
      <c r="O1323" s="45">
        <f>IFERROR(INDEX(PSPct,MATCH(E1323&amp;"|"&amp;G1323,PSKey,0)),0)</f>
        <v/>
      </c>
      <c r="P1323" s="46">
        <f>INDEX(ChDoorVel,MATCH(E1323,ChName,0))*CalibScalar*(1+VelocityUplift)</f>
        <v/>
      </c>
      <c r="Q1323" s="46" t="n">
        <v>0</v>
      </c>
      <c r="R1323" s="46">
        <f>P1323*O1323*M1323*N1323*H1323</f>
        <v/>
      </c>
      <c r="S1323" s="46">
        <f>R1323*INDEX(FmtCansPerCase,MATCH(F1323,FmtName,0))</f>
        <v/>
      </c>
      <c r="T1323" s="46">
        <f>S1323/INDEX(FmtCansPerPack,MATCH(F1323,FmtName,0))</f>
        <v/>
      </c>
      <c r="U1323" s="47">
        <f>INDEX(ChBaseCP,MATCH(E1323,ChName,0))*(1+INDEX(ProvMod,MATCH(G1323,ProvCode,0)))*(1+PriceIndex)</f>
        <v/>
      </c>
      <c r="V1323" s="47">
        <f>R1323*U1323*INDEX(FmtBlendedPriceIdx,MATCH(F1323,FmtName,0))</f>
        <v/>
      </c>
      <c r="W1323" s="47">
        <f>T1323*INDEX(ProvSRP,MATCH(G1323,ProvCode,0))*(1+PriceIndex)</f>
        <v/>
      </c>
      <c r="X1323" s="47">
        <f>IF(GrossBasis="Wholesale",V1323,W1323)</f>
        <v/>
      </c>
      <c r="Y1323" s="47">
        <f>R1323*INDEX(FmtBlendedCogs,MATCH(F1323,FmtName,0))</f>
        <v/>
      </c>
      <c r="Z1323" s="47">
        <f>X1323-Y1323</f>
        <v/>
      </c>
    </row>
    <row r="1324">
      <c r="A1324" t="n">
        <v>51</v>
      </c>
      <c r="B1324" s="44">
        <f>FiscalStart+(A1324-1)*7</f>
        <v/>
      </c>
      <c r="C1324">
        <f>TEXT(B1324,"mmm yyyy")</f>
        <v/>
      </c>
      <c r="D1324">
        <f>"Q"&amp;(INT((A1324-1)/13)+1)</f>
        <v/>
      </c>
      <c r="E1324" t="inlineStr">
        <is>
          <t>Fitness</t>
        </is>
      </c>
      <c r="F1324">
        <f>IFERROR(INDEX(ChFormat,MATCH(E1324,ChName,0)),"")</f>
        <v/>
      </c>
      <c r="G1324" t="inlineStr">
        <is>
          <t>ON</t>
        </is>
      </c>
      <c r="H1324">
        <f>IF(A1324&lt;=NWeeks,1,0)</f>
        <v/>
      </c>
      <c r="I1324">
        <f>INDEX(ChLaunch,MATCH(E1324,ChName,0))</f>
        <v/>
      </c>
      <c r="J1324">
        <f>INDEX(ChWeeksFull,MATCH(E1324,ChName,0))</f>
        <v/>
      </c>
      <c r="K1324">
        <f>INDEX(ChRamp,MATCH(E1324,ChName,0))</f>
        <v/>
      </c>
      <c r="L1324" s="45">
        <f>MIN(1,MAX(0,(A1324-I1324+1)*RampSpeed/J1324))</f>
        <v/>
      </c>
      <c r="M1324" s="45">
        <f>IF(A1324&lt;I1324,0,IF(K1324="S-curve",L1324*L1324*(3-2*L1324),L1324))</f>
        <v/>
      </c>
      <c r="N1324" s="45">
        <f>1+(INDEX(SeasonIdx,A1324)-1)*SeasonAmp</f>
        <v/>
      </c>
      <c r="O1324" s="45">
        <f>IFERROR(INDEX(PSPct,MATCH(E1324&amp;"|"&amp;G1324,PSKey,0)),0)</f>
        <v/>
      </c>
      <c r="P1324" s="46">
        <f>INDEX(ChDoorVel,MATCH(E1324,ChName,0))*CalibScalar*(1+VelocityUplift)</f>
        <v/>
      </c>
      <c r="Q1324" s="46" t="n">
        <v>0</v>
      </c>
      <c r="R1324" s="46">
        <f>P1324*O1324*M1324*N1324*H1324</f>
        <v/>
      </c>
      <c r="S1324" s="46">
        <f>R1324*INDEX(FmtCansPerCase,MATCH(F1324,FmtName,0))</f>
        <v/>
      </c>
      <c r="T1324" s="46">
        <f>S1324/INDEX(FmtCansPerPack,MATCH(F1324,FmtName,0))</f>
        <v/>
      </c>
      <c r="U1324" s="47">
        <f>INDEX(ChBaseCP,MATCH(E1324,ChName,0))*(1+INDEX(ProvMod,MATCH(G1324,ProvCode,0)))*(1+PriceIndex)</f>
        <v/>
      </c>
      <c r="V1324" s="47">
        <f>R1324*U1324*INDEX(FmtBlendedPriceIdx,MATCH(F1324,FmtName,0))</f>
        <v/>
      </c>
      <c r="W1324" s="47">
        <f>T1324*INDEX(ProvSRP,MATCH(G1324,ProvCode,0))*(1+PriceIndex)</f>
        <v/>
      </c>
      <c r="X1324" s="47">
        <f>IF(GrossBasis="Wholesale",V1324,W1324)</f>
        <v/>
      </c>
      <c r="Y1324" s="47">
        <f>R1324*INDEX(FmtBlendedCogs,MATCH(F1324,FmtName,0))</f>
        <v/>
      </c>
      <c r="Z1324" s="47">
        <f>X1324-Y1324</f>
        <v/>
      </c>
    </row>
    <row r="1325">
      <c r="A1325" t="n">
        <v>52</v>
      </c>
      <c r="B1325" s="44">
        <f>FiscalStart+(A1325-1)*7</f>
        <v/>
      </c>
      <c r="C1325">
        <f>TEXT(B1325,"mmm yyyy")</f>
        <v/>
      </c>
      <c r="D1325">
        <f>"Q"&amp;(INT((A1325-1)/13)+1)</f>
        <v/>
      </c>
      <c r="E1325" t="inlineStr">
        <is>
          <t>Fitness</t>
        </is>
      </c>
      <c r="F1325">
        <f>IFERROR(INDEX(ChFormat,MATCH(E1325,ChName,0)),"")</f>
        <v/>
      </c>
      <c r="G1325" t="inlineStr">
        <is>
          <t>ON</t>
        </is>
      </c>
      <c r="H1325">
        <f>IF(A1325&lt;=NWeeks,1,0)</f>
        <v/>
      </c>
      <c r="I1325">
        <f>INDEX(ChLaunch,MATCH(E1325,ChName,0))</f>
        <v/>
      </c>
      <c r="J1325">
        <f>INDEX(ChWeeksFull,MATCH(E1325,ChName,0))</f>
        <v/>
      </c>
      <c r="K1325">
        <f>INDEX(ChRamp,MATCH(E1325,ChName,0))</f>
        <v/>
      </c>
      <c r="L1325" s="45">
        <f>MIN(1,MAX(0,(A1325-I1325+1)*RampSpeed/J1325))</f>
        <v/>
      </c>
      <c r="M1325" s="45">
        <f>IF(A1325&lt;I1325,0,IF(K1325="S-curve",L1325*L1325*(3-2*L1325),L1325))</f>
        <v/>
      </c>
      <c r="N1325" s="45">
        <f>1+(INDEX(SeasonIdx,A1325)-1)*SeasonAmp</f>
        <v/>
      </c>
      <c r="O1325" s="45">
        <f>IFERROR(INDEX(PSPct,MATCH(E1325&amp;"|"&amp;G1325,PSKey,0)),0)</f>
        <v/>
      </c>
      <c r="P1325" s="46">
        <f>INDEX(ChDoorVel,MATCH(E1325,ChName,0))*CalibScalar*(1+VelocityUplift)</f>
        <v/>
      </c>
      <c r="Q1325" s="46" t="n">
        <v>0</v>
      </c>
      <c r="R1325" s="46">
        <f>P1325*O1325*M1325*N1325*H1325</f>
        <v/>
      </c>
      <c r="S1325" s="46">
        <f>R1325*INDEX(FmtCansPerCase,MATCH(F1325,FmtName,0))</f>
        <v/>
      </c>
      <c r="T1325" s="46">
        <f>S1325/INDEX(FmtCansPerPack,MATCH(F1325,FmtName,0))</f>
        <v/>
      </c>
      <c r="U1325" s="47">
        <f>INDEX(ChBaseCP,MATCH(E1325,ChName,0))*(1+INDEX(ProvMod,MATCH(G1325,ProvCode,0)))*(1+PriceIndex)</f>
        <v/>
      </c>
      <c r="V1325" s="47">
        <f>R1325*U1325*INDEX(FmtBlendedPriceIdx,MATCH(F1325,FmtName,0))</f>
        <v/>
      </c>
      <c r="W1325" s="47">
        <f>T1325*INDEX(ProvSRP,MATCH(G1325,ProvCode,0))*(1+PriceIndex)</f>
        <v/>
      </c>
      <c r="X1325" s="47">
        <f>IF(GrossBasis="Wholesale",V1325,W1325)</f>
        <v/>
      </c>
      <c r="Y1325" s="47">
        <f>R1325*INDEX(FmtBlendedCogs,MATCH(F1325,FmtName,0))</f>
        <v/>
      </c>
      <c r="Z1325" s="47">
        <f>X1325-Y1325</f>
        <v/>
      </c>
    </row>
    <row r="1326">
      <c r="A1326" t="n">
        <v>53</v>
      </c>
      <c r="B1326" s="44">
        <f>FiscalStart+(A1326-1)*7</f>
        <v/>
      </c>
      <c r="C1326">
        <f>TEXT(B1326,"mmm yyyy")</f>
        <v/>
      </c>
      <c r="D1326">
        <f>"Q"&amp;(INT((A1326-1)/13)+1)</f>
        <v/>
      </c>
      <c r="E1326" t="inlineStr">
        <is>
          <t>Fitness</t>
        </is>
      </c>
      <c r="F1326">
        <f>IFERROR(INDEX(ChFormat,MATCH(E1326,ChName,0)),"")</f>
        <v/>
      </c>
      <c r="G1326" t="inlineStr">
        <is>
          <t>ON</t>
        </is>
      </c>
      <c r="H1326">
        <f>IF(A1326&lt;=NWeeks,1,0)</f>
        <v/>
      </c>
      <c r="I1326">
        <f>INDEX(ChLaunch,MATCH(E1326,ChName,0))</f>
        <v/>
      </c>
      <c r="J1326">
        <f>INDEX(ChWeeksFull,MATCH(E1326,ChName,0))</f>
        <v/>
      </c>
      <c r="K1326">
        <f>INDEX(ChRamp,MATCH(E1326,ChName,0))</f>
        <v/>
      </c>
      <c r="L1326" s="45">
        <f>MIN(1,MAX(0,(A1326-I1326+1)*RampSpeed/J1326))</f>
        <v/>
      </c>
      <c r="M1326" s="45">
        <f>IF(A1326&lt;I1326,0,IF(K1326="S-curve",L1326*L1326*(3-2*L1326),L1326))</f>
        <v/>
      </c>
      <c r="N1326" s="45">
        <f>1+(INDEX(SeasonIdx,A1326)-1)*SeasonAmp</f>
        <v/>
      </c>
      <c r="O1326" s="45">
        <f>IFERROR(INDEX(PSPct,MATCH(E1326&amp;"|"&amp;G1326,PSKey,0)),0)</f>
        <v/>
      </c>
      <c r="P1326" s="46">
        <f>INDEX(ChDoorVel,MATCH(E1326,ChName,0))*CalibScalar*(1+VelocityUplift)</f>
        <v/>
      </c>
      <c r="Q1326" s="46" t="n">
        <v>0</v>
      </c>
      <c r="R1326" s="46">
        <f>P1326*O1326*M1326*N1326*H1326</f>
        <v/>
      </c>
      <c r="S1326" s="46">
        <f>R1326*INDEX(FmtCansPerCase,MATCH(F1326,FmtName,0))</f>
        <v/>
      </c>
      <c r="T1326" s="46">
        <f>S1326/INDEX(FmtCansPerPack,MATCH(F1326,FmtName,0))</f>
        <v/>
      </c>
      <c r="U1326" s="47">
        <f>INDEX(ChBaseCP,MATCH(E1326,ChName,0))*(1+INDEX(ProvMod,MATCH(G1326,ProvCode,0)))*(1+PriceIndex)</f>
        <v/>
      </c>
      <c r="V1326" s="47">
        <f>R1326*U1326*INDEX(FmtBlendedPriceIdx,MATCH(F1326,FmtName,0))</f>
        <v/>
      </c>
      <c r="W1326" s="47">
        <f>T1326*INDEX(ProvSRP,MATCH(G1326,ProvCode,0))*(1+PriceIndex)</f>
        <v/>
      </c>
      <c r="X1326" s="47">
        <f>IF(GrossBasis="Wholesale",V1326,W1326)</f>
        <v/>
      </c>
      <c r="Y1326" s="47">
        <f>R1326*INDEX(FmtBlendedCogs,MATCH(F1326,FmtName,0))</f>
        <v/>
      </c>
      <c r="Z1326" s="47">
        <f>X1326-Y1326</f>
        <v/>
      </c>
    </row>
    <row r="1327">
      <c r="A1327" t="n">
        <v>1</v>
      </c>
      <c r="B1327" s="44">
        <f>FiscalStart+(A1327-1)*7</f>
        <v/>
      </c>
      <c r="C1327">
        <f>TEXT(B1327,"mmm yyyy")</f>
        <v/>
      </c>
      <c r="D1327">
        <f>"Q"&amp;(INT((A1327-1)/13)+1)</f>
        <v/>
      </c>
      <c r="E1327" t="inlineStr">
        <is>
          <t>Fitness</t>
        </is>
      </c>
      <c r="F1327">
        <f>IFERROR(INDEX(ChFormat,MATCH(E1327,ChName,0)),"")</f>
        <v/>
      </c>
      <c r="G1327" t="inlineStr">
        <is>
          <t>QC</t>
        </is>
      </c>
      <c r="H1327">
        <f>IF(A1327&lt;=NWeeks,1,0)</f>
        <v/>
      </c>
      <c r="I1327">
        <f>INDEX(ChLaunch,MATCH(E1327,ChName,0))</f>
        <v/>
      </c>
      <c r="J1327">
        <f>INDEX(ChWeeksFull,MATCH(E1327,ChName,0))</f>
        <v/>
      </c>
      <c r="K1327">
        <f>INDEX(ChRamp,MATCH(E1327,ChName,0))</f>
        <v/>
      </c>
      <c r="L1327" s="45">
        <f>MIN(1,MAX(0,(A1327-I1327+1)*RampSpeed/J1327))</f>
        <v/>
      </c>
      <c r="M1327" s="45">
        <f>IF(A1327&lt;I1327,0,IF(K1327="S-curve",L1327*L1327*(3-2*L1327),L1327))</f>
        <v/>
      </c>
      <c r="N1327" s="45">
        <f>1+(INDEX(SeasonIdx,A1327)-1)*SeasonAmp</f>
        <v/>
      </c>
      <c r="O1327" s="45">
        <f>IFERROR(INDEX(PSPct,MATCH(E1327&amp;"|"&amp;G1327,PSKey,0)),0)</f>
        <v/>
      </c>
      <c r="P1327" s="46">
        <f>INDEX(ChDoorVel,MATCH(E1327,ChName,0))*CalibScalar*(1+VelocityUplift)</f>
        <v/>
      </c>
      <c r="Q1327" s="46" t="n">
        <v>0</v>
      </c>
      <c r="R1327" s="46">
        <f>P1327*O1327*M1327*N1327*H1327</f>
        <v/>
      </c>
      <c r="S1327" s="46">
        <f>R1327*INDEX(FmtCansPerCase,MATCH(F1327,FmtName,0))</f>
        <v/>
      </c>
      <c r="T1327" s="46">
        <f>S1327/INDEX(FmtCansPerPack,MATCH(F1327,FmtName,0))</f>
        <v/>
      </c>
      <c r="U1327" s="47">
        <f>INDEX(ChBaseCP,MATCH(E1327,ChName,0))*(1+INDEX(ProvMod,MATCH(G1327,ProvCode,0)))*(1+PriceIndex)</f>
        <v/>
      </c>
      <c r="V1327" s="47">
        <f>R1327*U1327*INDEX(FmtBlendedPriceIdx,MATCH(F1327,FmtName,0))</f>
        <v/>
      </c>
      <c r="W1327" s="47">
        <f>T1327*INDEX(ProvSRP,MATCH(G1327,ProvCode,0))*(1+PriceIndex)</f>
        <v/>
      </c>
      <c r="X1327" s="47">
        <f>IF(GrossBasis="Wholesale",V1327,W1327)</f>
        <v/>
      </c>
      <c r="Y1327" s="47">
        <f>R1327*INDEX(FmtBlendedCogs,MATCH(F1327,FmtName,0))</f>
        <v/>
      </c>
      <c r="Z1327" s="47">
        <f>X1327-Y1327</f>
        <v/>
      </c>
    </row>
    <row r="1328">
      <c r="A1328" t="n">
        <v>2</v>
      </c>
      <c r="B1328" s="44">
        <f>FiscalStart+(A1328-1)*7</f>
        <v/>
      </c>
      <c r="C1328">
        <f>TEXT(B1328,"mmm yyyy")</f>
        <v/>
      </c>
      <c r="D1328">
        <f>"Q"&amp;(INT((A1328-1)/13)+1)</f>
        <v/>
      </c>
      <c r="E1328" t="inlineStr">
        <is>
          <t>Fitness</t>
        </is>
      </c>
      <c r="F1328">
        <f>IFERROR(INDEX(ChFormat,MATCH(E1328,ChName,0)),"")</f>
        <v/>
      </c>
      <c r="G1328" t="inlineStr">
        <is>
          <t>QC</t>
        </is>
      </c>
      <c r="H1328">
        <f>IF(A1328&lt;=NWeeks,1,0)</f>
        <v/>
      </c>
      <c r="I1328">
        <f>INDEX(ChLaunch,MATCH(E1328,ChName,0))</f>
        <v/>
      </c>
      <c r="J1328">
        <f>INDEX(ChWeeksFull,MATCH(E1328,ChName,0))</f>
        <v/>
      </c>
      <c r="K1328">
        <f>INDEX(ChRamp,MATCH(E1328,ChName,0))</f>
        <v/>
      </c>
      <c r="L1328" s="45">
        <f>MIN(1,MAX(0,(A1328-I1328+1)*RampSpeed/J1328))</f>
        <v/>
      </c>
      <c r="M1328" s="45">
        <f>IF(A1328&lt;I1328,0,IF(K1328="S-curve",L1328*L1328*(3-2*L1328),L1328))</f>
        <v/>
      </c>
      <c r="N1328" s="45">
        <f>1+(INDEX(SeasonIdx,A1328)-1)*SeasonAmp</f>
        <v/>
      </c>
      <c r="O1328" s="45">
        <f>IFERROR(INDEX(PSPct,MATCH(E1328&amp;"|"&amp;G1328,PSKey,0)),0)</f>
        <v/>
      </c>
      <c r="P1328" s="46">
        <f>INDEX(ChDoorVel,MATCH(E1328,ChName,0))*CalibScalar*(1+VelocityUplift)</f>
        <v/>
      </c>
      <c r="Q1328" s="46" t="n">
        <v>0</v>
      </c>
      <c r="R1328" s="46">
        <f>P1328*O1328*M1328*N1328*H1328</f>
        <v/>
      </c>
      <c r="S1328" s="46">
        <f>R1328*INDEX(FmtCansPerCase,MATCH(F1328,FmtName,0))</f>
        <v/>
      </c>
      <c r="T1328" s="46">
        <f>S1328/INDEX(FmtCansPerPack,MATCH(F1328,FmtName,0))</f>
        <v/>
      </c>
      <c r="U1328" s="47">
        <f>INDEX(ChBaseCP,MATCH(E1328,ChName,0))*(1+INDEX(ProvMod,MATCH(G1328,ProvCode,0)))*(1+PriceIndex)</f>
        <v/>
      </c>
      <c r="V1328" s="47">
        <f>R1328*U1328*INDEX(FmtBlendedPriceIdx,MATCH(F1328,FmtName,0))</f>
        <v/>
      </c>
      <c r="W1328" s="47">
        <f>T1328*INDEX(ProvSRP,MATCH(G1328,ProvCode,0))*(1+PriceIndex)</f>
        <v/>
      </c>
      <c r="X1328" s="47">
        <f>IF(GrossBasis="Wholesale",V1328,W1328)</f>
        <v/>
      </c>
      <c r="Y1328" s="47">
        <f>R1328*INDEX(FmtBlendedCogs,MATCH(F1328,FmtName,0))</f>
        <v/>
      </c>
      <c r="Z1328" s="47">
        <f>X1328-Y1328</f>
        <v/>
      </c>
    </row>
    <row r="1329">
      <c r="A1329" t="n">
        <v>3</v>
      </c>
      <c r="B1329" s="44">
        <f>FiscalStart+(A1329-1)*7</f>
        <v/>
      </c>
      <c r="C1329">
        <f>TEXT(B1329,"mmm yyyy")</f>
        <v/>
      </c>
      <c r="D1329">
        <f>"Q"&amp;(INT((A1329-1)/13)+1)</f>
        <v/>
      </c>
      <c r="E1329" t="inlineStr">
        <is>
          <t>Fitness</t>
        </is>
      </c>
      <c r="F1329">
        <f>IFERROR(INDEX(ChFormat,MATCH(E1329,ChName,0)),"")</f>
        <v/>
      </c>
      <c r="G1329" t="inlineStr">
        <is>
          <t>QC</t>
        </is>
      </c>
      <c r="H1329">
        <f>IF(A1329&lt;=NWeeks,1,0)</f>
        <v/>
      </c>
      <c r="I1329">
        <f>INDEX(ChLaunch,MATCH(E1329,ChName,0))</f>
        <v/>
      </c>
      <c r="J1329">
        <f>INDEX(ChWeeksFull,MATCH(E1329,ChName,0))</f>
        <v/>
      </c>
      <c r="K1329">
        <f>INDEX(ChRamp,MATCH(E1329,ChName,0))</f>
        <v/>
      </c>
      <c r="L1329" s="45">
        <f>MIN(1,MAX(0,(A1329-I1329+1)*RampSpeed/J1329))</f>
        <v/>
      </c>
      <c r="M1329" s="45">
        <f>IF(A1329&lt;I1329,0,IF(K1329="S-curve",L1329*L1329*(3-2*L1329),L1329))</f>
        <v/>
      </c>
      <c r="N1329" s="45">
        <f>1+(INDEX(SeasonIdx,A1329)-1)*SeasonAmp</f>
        <v/>
      </c>
      <c r="O1329" s="45">
        <f>IFERROR(INDEX(PSPct,MATCH(E1329&amp;"|"&amp;G1329,PSKey,0)),0)</f>
        <v/>
      </c>
      <c r="P1329" s="46">
        <f>INDEX(ChDoorVel,MATCH(E1329,ChName,0))*CalibScalar*(1+VelocityUplift)</f>
        <v/>
      </c>
      <c r="Q1329" s="46" t="n">
        <v>0</v>
      </c>
      <c r="R1329" s="46">
        <f>P1329*O1329*M1329*N1329*H1329</f>
        <v/>
      </c>
      <c r="S1329" s="46">
        <f>R1329*INDEX(FmtCansPerCase,MATCH(F1329,FmtName,0))</f>
        <v/>
      </c>
      <c r="T1329" s="46">
        <f>S1329/INDEX(FmtCansPerPack,MATCH(F1329,FmtName,0))</f>
        <v/>
      </c>
      <c r="U1329" s="47">
        <f>INDEX(ChBaseCP,MATCH(E1329,ChName,0))*(1+INDEX(ProvMod,MATCH(G1329,ProvCode,0)))*(1+PriceIndex)</f>
        <v/>
      </c>
      <c r="V1329" s="47">
        <f>R1329*U1329*INDEX(FmtBlendedPriceIdx,MATCH(F1329,FmtName,0))</f>
        <v/>
      </c>
      <c r="W1329" s="47">
        <f>T1329*INDEX(ProvSRP,MATCH(G1329,ProvCode,0))*(1+PriceIndex)</f>
        <v/>
      </c>
      <c r="X1329" s="47">
        <f>IF(GrossBasis="Wholesale",V1329,W1329)</f>
        <v/>
      </c>
      <c r="Y1329" s="47">
        <f>R1329*INDEX(FmtBlendedCogs,MATCH(F1329,FmtName,0))</f>
        <v/>
      </c>
      <c r="Z1329" s="47">
        <f>X1329-Y1329</f>
        <v/>
      </c>
    </row>
    <row r="1330">
      <c r="A1330" t="n">
        <v>4</v>
      </c>
      <c r="B1330" s="44">
        <f>FiscalStart+(A1330-1)*7</f>
        <v/>
      </c>
      <c r="C1330">
        <f>TEXT(B1330,"mmm yyyy")</f>
        <v/>
      </c>
      <c r="D1330">
        <f>"Q"&amp;(INT((A1330-1)/13)+1)</f>
        <v/>
      </c>
      <c r="E1330" t="inlineStr">
        <is>
          <t>Fitness</t>
        </is>
      </c>
      <c r="F1330">
        <f>IFERROR(INDEX(ChFormat,MATCH(E1330,ChName,0)),"")</f>
        <v/>
      </c>
      <c r="G1330" t="inlineStr">
        <is>
          <t>QC</t>
        </is>
      </c>
      <c r="H1330">
        <f>IF(A1330&lt;=NWeeks,1,0)</f>
        <v/>
      </c>
      <c r="I1330">
        <f>INDEX(ChLaunch,MATCH(E1330,ChName,0))</f>
        <v/>
      </c>
      <c r="J1330">
        <f>INDEX(ChWeeksFull,MATCH(E1330,ChName,0))</f>
        <v/>
      </c>
      <c r="K1330">
        <f>INDEX(ChRamp,MATCH(E1330,ChName,0))</f>
        <v/>
      </c>
      <c r="L1330" s="45">
        <f>MIN(1,MAX(0,(A1330-I1330+1)*RampSpeed/J1330))</f>
        <v/>
      </c>
      <c r="M1330" s="45">
        <f>IF(A1330&lt;I1330,0,IF(K1330="S-curve",L1330*L1330*(3-2*L1330),L1330))</f>
        <v/>
      </c>
      <c r="N1330" s="45">
        <f>1+(INDEX(SeasonIdx,A1330)-1)*SeasonAmp</f>
        <v/>
      </c>
      <c r="O1330" s="45">
        <f>IFERROR(INDEX(PSPct,MATCH(E1330&amp;"|"&amp;G1330,PSKey,0)),0)</f>
        <v/>
      </c>
      <c r="P1330" s="46">
        <f>INDEX(ChDoorVel,MATCH(E1330,ChName,0))*CalibScalar*(1+VelocityUplift)</f>
        <v/>
      </c>
      <c r="Q1330" s="46" t="n">
        <v>0</v>
      </c>
      <c r="R1330" s="46">
        <f>P1330*O1330*M1330*N1330*H1330</f>
        <v/>
      </c>
      <c r="S1330" s="46">
        <f>R1330*INDEX(FmtCansPerCase,MATCH(F1330,FmtName,0))</f>
        <v/>
      </c>
      <c r="T1330" s="46">
        <f>S1330/INDEX(FmtCansPerPack,MATCH(F1330,FmtName,0))</f>
        <v/>
      </c>
      <c r="U1330" s="47">
        <f>INDEX(ChBaseCP,MATCH(E1330,ChName,0))*(1+INDEX(ProvMod,MATCH(G1330,ProvCode,0)))*(1+PriceIndex)</f>
        <v/>
      </c>
      <c r="V1330" s="47">
        <f>R1330*U1330*INDEX(FmtBlendedPriceIdx,MATCH(F1330,FmtName,0))</f>
        <v/>
      </c>
      <c r="W1330" s="47">
        <f>T1330*INDEX(ProvSRP,MATCH(G1330,ProvCode,0))*(1+PriceIndex)</f>
        <v/>
      </c>
      <c r="X1330" s="47">
        <f>IF(GrossBasis="Wholesale",V1330,W1330)</f>
        <v/>
      </c>
      <c r="Y1330" s="47">
        <f>R1330*INDEX(FmtBlendedCogs,MATCH(F1330,FmtName,0))</f>
        <v/>
      </c>
      <c r="Z1330" s="47">
        <f>X1330-Y1330</f>
        <v/>
      </c>
    </row>
    <row r="1331">
      <c r="A1331" t="n">
        <v>5</v>
      </c>
      <c r="B1331" s="44">
        <f>FiscalStart+(A1331-1)*7</f>
        <v/>
      </c>
      <c r="C1331">
        <f>TEXT(B1331,"mmm yyyy")</f>
        <v/>
      </c>
      <c r="D1331">
        <f>"Q"&amp;(INT((A1331-1)/13)+1)</f>
        <v/>
      </c>
      <c r="E1331" t="inlineStr">
        <is>
          <t>Fitness</t>
        </is>
      </c>
      <c r="F1331">
        <f>IFERROR(INDEX(ChFormat,MATCH(E1331,ChName,0)),"")</f>
        <v/>
      </c>
      <c r="G1331" t="inlineStr">
        <is>
          <t>QC</t>
        </is>
      </c>
      <c r="H1331">
        <f>IF(A1331&lt;=NWeeks,1,0)</f>
        <v/>
      </c>
      <c r="I1331">
        <f>INDEX(ChLaunch,MATCH(E1331,ChName,0))</f>
        <v/>
      </c>
      <c r="J1331">
        <f>INDEX(ChWeeksFull,MATCH(E1331,ChName,0))</f>
        <v/>
      </c>
      <c r="K1331">
        <f>INDEX(ChRamp,MATCH(E1331,ChName,0))</f>
        <v/>
      </c>
      <c r="L1331" s="45">
        <f>MIN(1,MAX(0,(A1331-I1331+1)*RampSpeed/J1331))</f>
        <v/>
      </c>
      <c r="M1331" s="45">
        <f>IF(A1331&lt;I1331,0,IF(K1331="S-curve",L1331*L1331*(3-2*L1331),L1331))</f>
        <v/>
      </c>
      <c r="N1331" s="45">
        <f>1+(INDEX(SeasonIdx,A1331)-1)*SeasonAmp</f>
        <v/>
      </c>
      <c r="O1331" s="45">
        <f>IFERROR(INDEX(PSPct,MATCH(E1331&amp;"|"&amp;G1331,PSKey,0)),0)</f>
        <v/>
      </c>
      <c r="P1331" s="46">
        <f>INDEX(ChDoorVel,MATCH(E1331,ChName,0))*CalibScalar*(1+VelocityUplift)</f>
        <v/>
      </c>
      <c r="Q1331" s="46" t="n">
        <v>0</v>
      </c>
      <c r="R1331" s="46">
        <f>P1331*O1331*M1331*N1331*H1331</f>
        <v/>
      </c>
      <c r="S1331" s="46">
        <f>R1331*INDEX(FmtCansPerCase,MATCH(F1331,FmtName,0))</f>
        <v/>
      </c>
      <c r="T1331" s="46">
        <f>S1331/INDEX(FmtCansPerPack,MATCH(F1331,FmtName,0))</f>
        <v/>
      </c>
      <c r="U1331" s="47">
        <f>INDEX(ChBaseCP,MATCH(E1331,ChName,0))*(1+INDEX(ProvMod,MATCH(G1331,ProvCode,0)))*(1+PriceIndex)</f>
        <v/>
      </c>
      <c r="V1331" s="47">
        <f>R1331*U1331*INDEX(FmtBlendedPriceIdx,MATCH(F1331,FmtName,0))</f>
        <v/>
      </c>
      <c r="W1331" s="47">
        <f>T1331*INDEX(ProvSRP,MATCH(G1331,ProvCode,0))*(1+PriceIndex)</f>
        <v/>
      </c>
      <c r="X1331" s="47">
        <f>IF(GrossBasis="Wholesale",V1331,W1331)</f>
        <v/>
      </c>
      <c r="Y1331" s="47">
        <f>R1331*INDEX(FmtBlendedCogs,MATCH(F1331,FmtName,0))</f>
        <v/>
      </c>
      <c r="Z1331" s="47">
        <f>X1331-Y1331</f>
        <v/>
      </c>
    </row>
    <row r="1332">
      <c r="A1332" t="n">
        <v>6</v>
      </c>
      <c r="B1332" s="44">
        <f>FiscalStart+(A1332-1)*7</f>
        <v/>
      </c>
      <c r="C1332">
        <f>TEXT(B1332,"mmm yyyy")</f>
        <v/>
      </c>
      <c r="D1332">
        <f>"Q"&amp;(INT((A1332-1)/13)+1)</f>
        <v/>
      </c>
      <c r="E1332" t="inlineStr">
        <is>
          <t>Fitness</t>
        </is>
      </c>
      <c r="F1332">
        <f>IFERROR(INDEX(ChFormat,MATCH(E1332,ChName,0)),"")</f>
        <v/>
      </c>
      <c r="G1332" t="inlineStr">
        <is>
          <t>QC</t>
        </is>
      </c>
      <c r="H1332">
        <f>IF(A1332&lt;=NWeeks,1,0)</f>
        <v/>
      </c>
      <c r="I1332">
        <f>INDEX(ChLaunch,MATCH(E1332,ChName,0))</f>
        <v/>
      </c>
      <c r="J1332">
        <f>INDEX(ChWeeksFull,MATCH(E1332,ChName,0))</f>
        <v/>
      </c>
      <c r="K1332">
        <f>INDEX(ChRamp,MATCH(E1332,ChName,0))</f>
        <v/>
      </c>
      <c r="L1332" s="45">
        <f>MIN(1,MAX(0,(A1332-I1332+1)*RampSpeed/J1332))</f>
        <v/>
      </c>
      <c r="M1332" s="45">
        <f>IF(A1332&lt;I1332,0,IF(K1332="S-curve",L1332*L1332*(3-2*L1332),L1332))</f>
        <v/>
      </c>
      <c r="N1332" s="45">
        <f>1+(INDEX(SeasonIdx,A1332)-1)*SeasonAmp</f>
        <v/>
      </c>
      <c r="O1332" s="45">
        <f>IFERROR(INDEX(PSPct,MATCH(E1332&amp;"|"&amp;G1332,PSKey,0)),0)</f>
        <v/>
      </c>
      <c r="P1332" s="46">
        <f>INDEX(ChDoorVel,MATCH(E1332,ChName,0))*CalibScalar*(1+VelocityUplift)</f>
        <v/>
      </c>
      <c r="Q1332" s="46" t="n">
        <v>0</v>
      </c>
      <c r="R1332" s="46">
        <f>P1332*O1332*M1332*N1332*H1332</f>
        <v/>
      </c>
      <c r="S1332" s="46">
        <f>R1332*INDEX(FmtCansPerCase,MATCH(F1332,FmtName,0))</f>
        <v/>
      </c>
      <c r="T1332" s="46">
        <f>S1332/INDEX(FmtCansPerPack,MATCH(F1332,FmtName,0))</f>
        <v/>
      </c>
      <c r="U1332" s="47">
        <f>INDEX(ChBaseCP,MATCH(E1332,ChName,0))*(1+INDEX(ProvMod,MATCH(G1332,ProvCode,0)))*(1+PriceIndex)</f>
        <v/>
      </c>
      <c r="V1332" s="47">
        <f>R1332*U1332*INDEX(FmtBlendedPriceIdx,MATCH(F1332,FmtName,0))</f>
        <v/>
      </c>
      <c r="W1332" s="47">
        <f>T1332*INDEX(ProvSRP,MATCH(G1332,ProvCode,0))*(1+PriceIndex)</f>
        <v/>
      </c>
      <c r="X1332" s="47">
        <f>IF(GrossBasis="Wholesale",V1332,W1332)</f>
        <v/>
      </c>
      <c r="Y1332" s="47">
        <f>R1332*INDEX(FmtBlendedCogs,MATCH(F1332,FmtName,0))</f>
        <v/>
      </c>
      <c r="Z1332" s="47">
        <f>X1332-Y1332</f>
        <v/>
      </c>
    </row>
    <row r="1333">
      <c r="A1333" t="n">
        <v>7</v>
      </c>
      <c r="B1333" s="44">
        <f>FiscalStart+(A1333-1)*7</f>
        <v/>
      </c>
      <c r="C1333">
        <f>TEXT(B1333,"mmm yyyy")</f>
        <v/>
      </c>
      <c r="D1333">
        <f>"Q"&amp;(INT((A1333-1)/13)+1)</f>
        <v/>
      </c>
      <c r="E1333" t="inlineStr">
        <is>
          <t>Fitness</t>
        </is>
      </c>
      <c r="F1333">
        <f>IFERROR(INDEX(ChFormat,MATCH(E1333,ChName,0)),"")</f>
        <v/>
      </c>
      <c r="G1333" t="inlineStr">
        <is>
          <t>QC</t>
        </is>
      </c>
      <c r="H1333">
        <f>IF(A1333&lt;=NWeeks,1,0)</f>
        <v/>
      </c>
      <c r="I1333">
        <f>INDEX(ChLaunch,MATCH(E1333,ChName,0))</f>
        <v/>
      </c>
      <c r="J1333">
        <f>INDEX(ChWeeksFull,MATCH(E1333,ChName,0))</f>
        <v/>
      </c>
      <c r="K1333">
        <f>INDEX(ChRamp,MATCH(E1333,ChName,0))</f>
        <v/>
      </c>
      <c r="L1333" s="45">
        <f>MIN(1,MAX(0,(A1333-I1333+1)*RampSpeed/J1333))</f>
        <v/>
      </c>
      <c r="M1333" s="45">
        <f>IF(A1333&lt;I1333,0,IF(K1333="S-curve",L1333*L1333*(3-2*L1333),L1333))</f>
        <v/>
      </c>
      <c r="N1333" s="45">
        <f>1+(INDEX(SeasonIdx,A1333)-1)*SeasonAmp</f>
        <v/>
      </c>
      <c r="O1333" s="45">
        <f>IFERROR(INDEX(PSPct,MATCH(E1333&amp;"|"&amp;G1333,PSKey,0)),0)</f>
        <v/>
      </c>
      <c r="P1333" s="46">
        <f>INDEX(ChDoorVel,MATCH(E1333,ChName,0))*CalibScalar*(1+VelocityUplift)</f>
        <v/>
      </c>
      <c r="Q1333" s="46" t="n">
        <v>0</v>
      </c>
      <c r="R1333" s="46">
        <f>P1333*O1333*M1333*N1333*H1333</f>
        <v/>
      </c>
      <c r="S1333" s="46">
        <f>R1333*INDEX(FmtCansPerCase,MATCH(F1333,FmtName,0))</f>
        <v/>
      </c>
      <c r="T1333" s="46">
        <f>S1333/INDEX(FmtCansPerPack,MATCH(F1333,FmtName,0))</f>
        <v/>
      </c>
      <c r="U1333" s="47">
        <f>INDEX(ChBaseCP,MATCH(E1333,ChName,0))*(1+INDEX(ProvMod,MATCH(G1333,ProvCode,0)))*(1+PriceIndex)</f>
        <v/>
      </c>
      <c r="V1333" s="47">
        <f>R1333*U1333*INDEX(FmtBlendedPriceIdx,MATCH(F1333,FmtName,0))</f>
        <v/>
      </c>
      <c r="W1333" s="47">
        <f>T1333*INDEX(ProvSRP,MATCH(G1333,ProvCode,0))*(1+PriceIndex)</f>
        <v/>
      </c>
      <c r="X1333" s="47">
        <f>IF(GrossBasis="Wholesale",V1333,W1333)</f>
        <v/>
      </c>
      <c r="Y1333" s="47">
        <f>R1333*INDEX(FmtBlendedCogs,MATCH(F1333,FmtName,0))</f>
        <v/>
      </c>
      <c r="Z1333" s="47">
        <f>X1333-Y1333</f>
        <v/>
      </c>
    </row>
    <row r="1334">
      <c r="A1334" t="n">
        <v>8</v>
      </c>
      <c r="B1334" s="44">
        <f>FiscalStart+(A1334-1)*7</f>
        <v/>
      </c>
      <c r="C1334">
        <f>TEXT(B1334,"mmm yyyy")</f>
        <v/>
      </c>
      <c r="D1334">
        <f>"Q"&amp;(INT((A1334-1)/13)+1)</f>
        <v/>
      </c>
      <c r="E1334" t="inlineStr">
        <is>
          <t>Fitness</t>
        </is>
      </c>
      <c r="F1334">
        <f>IFERROR(INDEX(ChFormat,MATCH(E1334,ChName,0)),"")</f>
        <v/>
      </c>
      <c r="G1334" t="inlineStr">
        <is>
          <t>QC</t>
        </is>
      </c>
      <c r="H1334">
        <f>IF(A1334&lt;=NWeeks,1,0)</f>
        <v/>
      </c>
      <c r="I1334">
        <f>INDEX(ChLaunch,MATCH(E1334,ChName,0))</f>
        <v/>
      </c>
      <c r="J1334">
        <f>INDEX(ChWeeksFull,MATCH(E1334,ChName,0))</f>
        <v/>
      </c>
      <c r="K1334">
        <f>INDEX(ChRamp,MATCH(E1334,ChName,0))</f>
        <v/>
      </c>
      <c r="L1334" s="45">
        <f>MIN(1,MAX(0,(A1334-I1334+1)*RampSpeed/J1334))</f>
        <v/>
      </c>
      <c r="M1334" s="45">
        <f>IF(A1334&lt;I1334,0,IF(K1334="S-curve",L1334*L1334*(3-2*L1334),L1334))</f>
        <v/>
      </c>
      <c r="N1334" s="45">
        <f>1+(INDEX(SeasonIdx,A1334)-1)*SeasonAmp</f>
        <v/>
      </c>
      <c r="O1334" s="45">
        <f>IFERROR(INDEX(PSPct,MATCH(E1334&amp;"|"&amp;G1334,PSKey,0)),0)</f>
        <v/>
      </c>
      <c r="P1334" s="46">
        <f>INDEX(ChDoorVel,MATCH(E1334,ChName,0))*CalibScalar*(1+VelocityUplift)</f>
        <v/>
      </c>
      <c r="Q1334" s="46" t="n">
        <v>0</v>
      </c>
      <c r="R1334" s="46">
        <f>P1334*O1334*M1334*N1334*H1334</f>
        <v/>
      </c>
      <c r="S1334" s="46">
        <f>R1334*INDEX(FmtCansPerCase,MATCH(F1334,FmtName,0))</f>
        <v/>
      </c>
      <c r="T1334" s="46">
        <f>S1334/INDEX(FmtCansPerPack,MATCH(F1334,FmtName,0))</f>
        <v/>
      </c>
      <c r="U1334" s="47">
        <f>INDEX(ChBaseCP,MATCH(E1334,ChName,0))*(1+INDEX(ProvMod,MATCH(G1334,ProvCode,0)))*(1+PriceIndex)</f>
        <v/>
      </c>
      <c r="V1334" s="47">
        <f>R1334*U1334*INDEX(FmtBlendedPriceIdx,MATCH(F1334,FmtName,0))</f>
        <v/>
      </c>
      <c r="W1334" s="47">
        <f>T1334*INDEX(ProvSRP,MATCH(G1334,ProvCode,0))*(1+PriceIndex)</f>
        <v/>
      </c>
      <c r="X1334" s="47">
        <f>IF(GrossBasis="Wholesale",V1334,W1334)</f>
        <v/>
      </c>
      <c r="Y1334" s="47">
        <f>R1334*INDEX(FmtBlendedCogs,MATCH(F1334,FmtName,0))</f>
        <v/>
      </c>
      <c r="Z1334" s="47">
        <f>X1334-Y1334</f>
        <v/>
      </c>
    </row>
    <row r="1335">
      <c r="A1335" t="n">
        <v>9</v>
      </c>
      <c r="B1335" s="44">
        <f>FiscalStart+(A1335-1)*7</f>
        <v/>
      </c>
      <c r="C1335">
        <f>TEXT(B1335,"mmm yyyy")</f>
        <v/>
      </c>
      <c r="D1335">
        <f>"Q"&amp;(INT((A1335-1)/13)+1)</f>
        <v/>
      </c>
      <c r="E1335" t="inlineStr">
        <is>
          <t>Fitness</t>
        </is>
      </c>
      <c r="F1335">
        <f>IFERROR(INDEX(ChFormat,MATCH(E1335,ChName,0)),"")</f>
        <v/>
      </c>
      <c r="G1335" t="inlineStr">
        <is>
          <t>QC</t>
        </is>
      </c>
      <c r="H1335">
        <f>IF(A1335&lt;=NWeeks,1,0)</f>
        <v/>
      </c>
      <c r="I1335">
        <f>INDEX(ChLaunch,MATCH(E1335,ChName,0))</f>
        <v/>
      </c>
      <c r="J1335">
        <f>INDEX(ChWeeksFull,MATCH(E1335,ChName,0))</f>
        <v/>
      </c>
      <c r="K1335">
        <f>INDEX(ChRamp,MATCH(E1335,ChName,0))</f>
        <v/>
      </c>
      <c r="L1335" s="45">
        <f>MIN(1,MAX(0,(A1335-I1335+1)*RampSpeed/J1335))</f>
        <v/>
      </c>
      <c r="M1335" s="45">
        <f>IF(A1335&lt;I1335,0,IF(K1335="S-curve",L1335*L1335*(3-2*L1335),L1335))</f>
        <v/>
      </c>
      <c r="N1335" s="45">
        <f>1+(INDEX(SeasonIdx,A1335)-1)*SeasonAmp</f>
        <v/>
      </c>
      <c r="O1335" s="45">
        <f>IFERROR(INDEX(PSPct,MATCH(E1335&amp;"|"&amp;G1335,PSKey,0)),0)</f>
        <v/>
      </c>
      <c r="P1335" s="46">
        <f>INDEX(ChDoorVel,MATCH(E1335,ChName,0))*CalibScalar*(1+VelocityUplift)</f>
        <v/>
      </c>
      <c r="Q1335" s="46" t="n">
        <v>0</v>
      </c>
      <c r="R1335" s="46">
        <f>P1335*O1335*M1335*N1335*H1335</f>
        <v/>
      </c>
      <c r="S1335" s="46">
        <f>R1335*INDEX(FmtCansPerCase,MATCH(F1335,FmtName,0))</f>
        <v/>
      </c>
      <c r="T1335" s="46">
        <f>S1335/INDEX(FmtCansPerPack,MATCH(F1335,FmtName,0))</f>
        <v/>
      </c>
      <c r="U1335" s="47">
        <f>INDEX(ChBaseCP,MATCH(E1335,ChName,0))*(1+INDEX(ProvMod,MATCH(G1335,ProvCode,0)))*(1+PriceIndex)</f>
        <v/>
      </c>
      <c r="V1335" s="47">
        <f>R1335*U1335*INDEX(FmtBlendedPriceIdx,MATCH(F1335,FmtName,0))</f>
        <v/>
      </c>
      <c r="W1335" s="47">
        <f>T1335*INDEX(ProvSRP,MATCH(G1335,ProvCode,0))*(1+PriceIndex)</f>
        <v/>
      </c>
      <c r="X1335" s="47">
        <f>IF(GrossBasis="Wholesale",V1335,W1335)</f>
        <v/>
      </c>
      <c r="Y1335" s="47">
        <f>R1335*INDEX(FmtBlendedCogs,MATCH(F1335,FmtName,0))</f>
        <v/>
      </c>
      <c r="Z1335" s="47">
        <f>X1335-Y1335</f>
        <v/>
      </c>
    </row>
    <row r="1336">
      <c r="A1336" t="n">
        <v>10</v>
      </c>
      <c r="B1336" s="44">
        <f>FiscalStart+(A1336-1)*7</f>
        <v/>
      </c>
      <c r="C1336">
        <f>TEXT(B1336,"mmm yyyy")</f>
        <v/>
      </c>
      <c r="D1336">
        <f>"Q"&amp;(INT((A1336-1)/13)+1)</f>
        <v/>
      </c>
      <c r="E1336" t="inlineStr">
        <is>
          <t>Fitness</t>
        </is>
      </c>
      <c r="F1336">
        <f>IFERROR(INDEX(ChFormat,MATCH(E1336,ChName,0)),"")</f>
        <v/>
      </c>
      <c r="G1336" t="inlineStr">
        <is>
          <t>QC</t>
        </is>
      </c>
      <c r="H1336">
        <f>IF(A1336&lt;=NWeeks,1,0)</f>
        <v/>
      </c>
      <c r="I1336">
        <f>INDEX(ChLaunch,MATCH(E1336,ChName,0))</f>
        <v/>
      </c>
      <c r="J1336">
        <f>INDEX(ChWeeksFull,MATCH(E1336,ChName,0))</f>
        <v/>
      </c>
      <c r="K1336">
        <f>INDEX(ChRamp,MATCH(E1336,ChName,0))</f>
        <v/>
      </c>
      <c r="L1336" s="45">
        <f>MIN(1,MAX(0,(A1336-I1336+1)*RampSpeed/J1336))</f>
        <v/>
      </c>
      <c r="M1336" s="45">
        <f>IF(A1336&lt;I1336,0,IF(K1336="S-curve",L1336*L1336*(3-2*L1336),L1336))</f>
        <v/>
      </c>
      <c r="N1336" s="45">
        <f>1+(INDEX(SeasonIdx,A1336)-1)*SeasonAmp</f>
        <v/>
      </c>
      <c r="O1336" s="45">
        <f>IFERROR(INDEX(PSPct,MATCH(E1336&amp;"|"&amp;G1336,PSKey,0)),0)</f>
        <v/>
      </c>
      <c r="P1336" s="46">
        <f>INDEX(ChDoorVel,MATCH(E1336,ChName,0))*CalibScalar*(1+VelocityUplift)</f>
        <v/>
      </c>
      <c r="Q1336" s="46" t="n">
        <v>0</v>
      </c>
      <c r="R1336" s="46">
        <f>P1336*O1336*M1336*N1336*H1336</f>
        <v/>
      </c>
      <c r="S1336" s="46">
        <f>R1336*INDEX(FmtCansPerCase,MATCH(F1336,FmtName,0))</f>
        <v/>
      </c>
      <c r="T1336" s="46">
        <f>S1336/INDEX(FmtCansPerPack,MATCH(F1336,FmtName,0))</f>
        <v/>
      </c>
      <c r="U1336" s="47">
        <f>INDEX(ChBaseCP,MATCH(E1336,ChName,0))*(1+INDEX(ProvMod,MATCH(G1336,ProvCode,0)))*(1+PriceIndex)</f>
        <v/>
      </c>
      <c r="V1336" s="47">
        <f>R1336*U1336*INDEX(FmtBlendedPriceIdx,MATCH(F1336,FmtName,0))</f>
        <v/>
      </c>
      <c r="W1336" s="47">
        <f>T1336*INDEX(ProvSRP,MATCH(G1336,ProvCode,0))*(1+PriceIndex)</f>
        <v/>
      </c>
      <c r="X1336" s="47">
        <f>IF(GrossBasis="Wholesale",V1336,W1336)</f>
        <v/>
      </c>
      <c r="Y1336" s="47">
        <f>R1336*INDEX(FmtBlendedCogs,MATCH(F1336,FmtName,0))</f>
        <v/>
      </c>
      <c r="Z1336" s="47">
        <f>X1336-Y1336</f>
        <v/>
      </c>
    </row>
    <row r="1337">
      <c r="A1337" t="n">
        <v>11</v>
      </c>
      <c r="B1337" s="44">
        <f>FiscalStart+(A1337-1)*7</f>
        <v/>
      </c>
      <c r="C1337">
        <f>TEXT(B1337,"mmm yyyy")</f>
        <v/>
      </c>
      <c r="D1337">
        <f>"Q"&amp;(INT((A1337-1)/13)+1)</f>
        <v/>
      </c>
      <c r="E1337" t="inlineStr">
        <is>
          <t>Fitness</t>
        </is>
      </c>
      <c r="F1337">
        <f>IFERROR(INDEX(ChFormat,MATCH(E1337,ChName,0)),"")</f>
        <v/>
      </c>
      <c r="G1337" t="inlineStr">
        <is>
          <t>QC</t>
        </is>
      </c>
      <c r="H1337">
        <f>IF(A1337&lt;=NWeeks,1,0)</f>
        <v/>
      </c>
      <c r="I1337">
        <f>INDEX(ChLaunch,MATCH(E1337,ChName,0))</f>
        <v/>
      </c>
      <c r="J1337">
        <f>INDEX(ChWeeksFull,MATCH(E1337,ChName,0))</f>
        <v/>
      </c>
      <c r="K1337">
        <f>INDEX(ChRamp,MATCH(E1337,ChName,0))</f>
        <v/>
      </c>
      <c r="L1337" s="45">
        <f>MIN(1,MAX(0,(A1337-I1337+1)*RampSpeed/J1337))</f>
        <v/>
      </c>
      <c r="M1337" s="45">
        <f>IF(A1337&lt;I1337,0,IF(K1337="S-curve",L1337*L1337*(3-2*L1337),L1337))</f>
        <v/>
      </c>
      <c r="N1337" s="45">
        <f>1+(INDEX(SeasonIdx,A1337)-1)*SeasonAmp</f>
        <v/>
      </c>
      <c r="O1337" s="45">
        <f>IFERROR(INDEX(PSPct,MATCH(E1337&amp;"|"&amp;G1337,PSKey,0)),0)</f>
        <v/>
      </c>
      <c r="P1337" s="46">
        <f>INDEX(ChDoorVel,MATCH(E1337,ChName,0))*CalibScalar*(1+VelocityUplift)</f>
        <v/>
      </c>
      <c r="Q1337" s="46" t="n">
        <v>0</v>
      </c>
      <c r="R1337" s="46">
        <f>P1337*O1337*M1337*N1337*H1337</f>
        <v/>
      </c>
      <c r="S1337" s="46">
        <f>R1337*INDEX(FmtCansPerCase,MATCH(F1337,FmtName,0))</f>
        <v/>
      </c>
      <c r="T1337" s="46">
        <f>S1337/INDEX(FmtCansPerPack,MATCH(F1337,FmtName,0))</f>
        <v/>
      </c>
      <c r="U1337" s="47">
        <f>INDEX(ChBaseCP,MATCH(E1337,ChName,0))*(1+INDEX(ProvMod,MATCH(G1337,ProvCode,0)))*(1+PriceIndex)</f>
        <v/>
      </c>
      <c r="V1337" s="47">
        <f>R1337*U1337*INDEX(FmtBlendedPriceIdx,MATCH(F1337,FmtName,0))</f>
        <v/>
      </c>
      <c r="W1337" s="47">
        <f>T1337*INDEX(ProvSRP,MATCH(G1337,ProvCode,0))*(1+PriceIndex)</f>
        <v/>
      </c>
      <c r="X1337" s="47">
        <f>IF(GrossBasis="Wholesale",V1337,W1337)</f>
        <v/>
      </c>
      <c r="Y1337" s="47">
        <f>R1337*INDEX(FmtBlendedCogs,MATCH(F1337,FmtName,0))</f>
        <v/>
      </c>
      <c r="Z1337" s="47">
        <f>X1337-Y1337</f>
        <v/>
      </c>
    </row>
    <row r="1338">
      <c r="A1338" t="n">
        <v>12</v>
      </c>
      <c r="B1338" s="44">
        <f>FiscalStart+(A1338-1)*7</f>
        <v/>
      </c>
      <c r="C1338">
        <f>TEXT(B1338,"mmm yyyy")</f>
        <v/>
      </c>
      <c r="D1338">
        <f>"Q"&amp;(INT((A1338-1)/13)+1)</f>
        <v/>
      </c>
      <c r="E1338" t="inlineStr">
        <is>
          <t>Fitness</t>
        </is>
      </c>
      <c r="F1338">
        <f>IFERROR(INDEX(ChFormat,MATCH(E1338,ChName,0)),"")</f>
        <v/>
      </c>
      <c r="G1338" t="inlineStr">
        <is>
          <t>QC</t>
        </is>
      </c>
      <c r="H1338">
        <f>IF(A1338&lt;=NWeeks,1,0)</f>
        <v/>
      </c>
      <c r="I1338">
        <f>INDEX(ChLaunch,MATCH(E1338,ChName,0))</f>
        <v/>
      </c>
      <c r="J1338">
        <f>INDEX(ChWeeksFull,MATCH(E1338,ChName,0))</f>
        <v/>
      </c>
      <c r="K1338">
        <f>INDEX(ChRamp,MATCH(E1338,ChName,0))</f>
        <v/>
      </c>
      <c r="L1338" s="45">
        <f>MIN(1,MAX(0,(A1338-I1338+1)*RampSpeed/J1338))</f>
        <v/>
      </c>
      <c r="M1338" s="45">
        <f>IF(A1338&lt;I1338,0,IF(K1338="S-curve",L1338*L1338*(3-2*L1338),L1338))</f>
        <v/>
      </c>
      <c r="N1338" s="45">
        <f>1+(INDEX(SeasonIdx,A1338)-1)*SeasonAmp</f>
        <v/>
      </c>
      <c r="O1338" s="45">
        <f>IFERROR(INDEX(PSPct,MATCH(E1338&amp;"|"&amp;G1338,PSKey,0)),0)</f>
        <v/>
      </c>
      <c r="P1338" s="46">
        <f>INDEX(ChDoorVel,MATCH(E1338,ChName,0))*CalibScalar*(1+VelocityUplift)</f>
        <v/>
      </c>
      <c r="Q1338" s="46" t="n">
        <v>0</v>
      </c>
      <c r="R1338" s="46">
        <f>P1338*O1338*M1338*N1338*H1338</f>
        <v/>
      </c>
      <c r="S1338" s="46">
        <f>R1338*INDEX(FmtCansPerCase,MATCH(F1338,FmtName,0))</f>
        <v/>
      </c>
      <c r="T1338" s="46">
        <f>S1338/INDEX(FmtCansPerPack,MATCH(F1338,FmtName,0))</f>
        <v/>
      </c>
      <c r="U1338" s="47">
        <f>INDEX(ChBaseCP,MATCH(E1338,ChName,0))*(1+INDEX(ProvMod,MATCH(G1338,ProvCode,0)))*(1+PriceIndex)</f>
        <v/>
      </c>
      <c r="V1338" s="47">
        <f>R1338*U1338*INDEX(FmtBlendedPriceIdx,MATCH(F1338,FmtName,0))</f>
        <v/>
      </c>
      <c r="W1338" s="47">
        <f>T1338*INDEX(ProvSRP,MATCH(G1338,ProvCode,0))*(1+PriceIndex)</f>
        <v/>
      </c>
      <c r="X1338" s="47">
        <f>IF(GrossBasis="Wholesale",V1338,W1338)</f>
        <v/>
      </c>
      <c r="Y1338" s="47">
        <f>R1338*INDEX(FmtBlendedCogs,MATCH(F1338,FmtName,0))</f>
        <v/>
      </c>
      <c r="Z1338" s="47">
        <f>X1338-Y1338</f>
        <v/>
      </c>
    </row>
    <row r="1339">
      <c r="A1339" t="n">
        <v>13</v>
      </c>
      <c r="B1339" s="44">
        <f>FiscalStart+(A1339-1)*7</f>
        <v/>
      </c>
      <c r="C1339">
        <f>TEXT(B1339,"mmm yyyy")</f>
        <v/>
      </c>
      <c r="D1339">
        <f>"Q"&amp;(INT((A1339-1)/13)+1)</f>
        <v/>
      </c>
      <c r="E1339" t="inlineStr">
        <is>
          <t>Fitness</t>
        </is>
      </c>
      <c r="F1339">
        <f>IFERROR(INDEX(ChFormat,MATCH(E1339,ChName,0)),"")</f>
        <v/>
      </c>
      <c r="G1339" t="inlineStr">
        <is>
          <t>QC</t>
        </is>
      </c>
      <c r="H1339">
        <f>IF(A1339&lt;=NWeeks,1,0)</f>
        <v/>
      </c>
      <c r="I1339">
        <f>INDEX(ChLaunch,MATCH(E1339,ChName,0))</f>
        <v/>
      </c>
      <c r="J1339">
        <f>INDEX(ChWeeksFull,MATCH(E1339,ChName,0))</f>
        <v/>
      </c>
      <c r="K1339">
        <f>INDEX(ChRamp,MATCH(E1339,ChName,0))</f>
        <v/>
      </c>
      <c r="L1339" s="45">
        <f>MIN(1,MAX(0,(A1339-I1339+1)*RampSpeed/J1339))</f>
        <v/>
      </c>
      <c r="M1339" s="45">
        <f>IF(A1339&lt;I1339,0,IF(K1339="S-curve",L1339*L1339*(3-2*L1339),L1339))</f>
        <v/>
      </c>
      <c r="N1339" s="45">
        <f>1+(INDEX(SeasonIdx,A1339)-1)*SeasonAmp</f>
        <v/>
      </c>
      <c r="O1339" s="45">
        <f>IFERROR(INDEX(PSPct,MATCH(E1339&amp;"|"&amp;G1339,PSKey,0)),0)</f>
        <v/>
      </c>
      <c r="P1339" s="46">
        <f>INDEX(ChDoorVel,MATCH(E1339,ChName,0))*CalibScalar*(1+VelocityUplift)</f>
        <v/>
      </c>
      <c r="Q1339" s="46" t="n">
        <v>0</v>
      </c>
      <c r="R1339" s="46">
        <f>P1339*O1339*M1339*N1339*H1339</f>
        <v/>
      </c>
      <c r="S1339" s="46">
        <f>R1339*INDEX(FmtCansPerCase,MATCH(F1339,FmtName,0))</f>
        <v/>
      </c>
      <c r="T1339" s="46">
        <f>S1339/INDEX(FmtCansPerPack,MATCH(F1339,FmtName,0))</f>
        <v/>
      </c>
      <c r="U1339" s="47">
        <f>INDEX(ChBaseCP,MATCH(E1339,ChName,0))*(1+INDEX(ProvMod,MATCH(G1339,ProvCode,0)))*(1+PriceIndex)</f>
        <v/>
      </c>
      <c r="V1339" s="47">
        <f>R1339*U1339*INDEX(FmtBlendedPriceIdx,MATCH(F1339,FmtName,0))</f>
        <v/>
      </c>
      <c r="W1339" s="47">
        <f>T1339*INDEX(ProvSRP,MATCH(G1339,ProvCode,0))*(1+PriceIndex)</f>
        <v/>
      </c>
      <c r="X1339" s="47">
        <f>IF(GrossBasis="Wholesale",V1339,W1339)</f>
        <v/>
      </c>
      <c r="Y1339" s="47">
        <f>R1339*INDEX(FmtBlendedCogs,MATCH(F1339,FmtName,0))</f>
        <v/>
      </c>
      <c r="Z1339" s="47">
        <f>X1339-Y1339</f>
        <v/>
      </c>
    </row>
    <row r="1340">
      <c r="A1340" t="n">
        <v>14</v>
      </c>
      <c r="B1340" s="44">
        <f>FiscalStart+(A1340-1)*7</f>
        <v/>
      </c>
      <c r="C1340">
        <f>TEXT(B1340,"mmm yyyy")</f>
        <v/>
      </c>
      <c r="D1340">
        <f>"Q"&amp;(INT((A1340-1)/13)+1)</f>
        <v/>
      </c>
      <c r="E1340" t="inlineStr">
        <is>
          <t>Fitness</t>
        </is>
      </c>
      <c r="F1340">
        <f>IFERROR(INDEX(ChFormat,MATCH(E1340,ChName,0)),"")</f>
        <v/>
      </c>
      <c r="G1340" t="inlineStr">
        <is>
          <t>QC</t>
        </is>
      </c>
      <c r="H1340">
        <f>IF(A1340&lt;=NWeeks,1,0)</f>
        <v/>
      </c>
      <c r="I1340">
        <f>INDEX(ChLaunch,MATCH(E1340,ChName,0))</f>
        <v/>
      </c>
      <c r="J1340">
        <f>INDEX(ChWeeksFull,MATCH(E1340,ChName,0))</f>
        <v/>
      </c>
      <c r="K1340">
        <f>INDEX(ChRamp,MATCH(E1340,ChName,0))</f>
        <v/>
      </c>
      <c r="L1340" s="45">
        <f>MIN(1,MAX(0,(A1340-I1340+1)*RampSpeed/J1340))</f>
        <v/>
      </c>
      <c r="M1340" s="45">
        <f>IF(A1340&lt;I1340,0,IF(K1340="S-curve",L1340*L1340*(3-2*L1340),L1340))</f>
        <v/>
      </c>
      <c r="N1340" s="45">
        <f>1+(INDEX(SeasonIdx,A1340)-1)*SeasonAmp</f>
        <v/>
      </c>
      <c r="O1340" s="45">
        <f>IFERROR(INDEX(PSPct,MATCH(E1340&amp;"|"&amp;G1340,PSKey,0)),0)</f>
        <v/>
      </c>
      <c r="P1340" s="46">
        <f>INDEX(ChDoorVel,MATCH(E1340,ChName,0))*CalibScalar*(1+VelocityUplift)</f>
        <v/>
      </c>
      <c r="Q1340" s="46" t="n">
        <v>0</v>
      </c>
      <c r="R1340" s="46">
        <f>P1340*O1340*M1340*N1340*H1340</f>
        <v/>
      </c>
      <c r="S1340" s="46">
        <f>R1340*INDEX(FmtCansPerCase,MATCH(F1340,FmtName,0))</f>
        <v/>
      </c>
      <c r="T1340" s="46">
        <f>S1340/INDEX(FmtCansPerPack,MATCH(F1340,FmtName,0))</f>
        <v/>
      </c>
      <c r="U1340" s="47">
        <f>INDEX(ChBaseCP,MATCH(E1340,ChName,0))*(1+INDEX(ProvMod,MATCH(G1340,ProvCode,0)))*(1+PriceIndex)</f>
        <v/>
      </c>
      <c r="V1340" s="47">
        <f>R1340*U1340*INDEX(FmtBlendedPriceIdx,MATCH(F1340,FmtName,0))</f>
        <v/>
      </c>
      <c r="W1340" s="47">
        <f>T1340*INDEX(ProvSRP,MATCH(G1340,ProvCode,0))*(1+PriceIndex)</f>
        <v/>
      </c>
      <c r="X1340" s="47">
        <f>IF(GrossBasis="Wholesale",V1340,W1340)</f>
        <v/>
      </c>
      <c r="Y1340" s="47">
        <f>R1340*INDEX(FmtBlendedCogs,MATCH(F1340,FmtName,0))</f>
        <v/>
      </c>
      <c r="Z1340" s="47">
        <f>X1340-Y1340</f>
        <v/>
      </c>
    </row>
    <row r="1341">
      <c r="A1341" t="n">
        <v>15</v>
      </c>
      <c r="B1341" s="44">
        <f>FiscalStart+(A1341-1)*7</f>
        <v/>
      </c>
      <c r="C1341">
        <f>TEXT(B1341,"mmm yyyy")</f>
        <v/>
      </c>
      <c r="D1341">
        <f>"Q"&amp;(INT((A1341-1)/13)+1)</f>
        <v/>
      </c>
      <c r="E1341" t="inlineStr">
        <is>
          <t>Fitness</t>
        </is>
      </c>
      <c r="F1341">
        <f>IFERROR(INDEX(ChFormat,MATCH(E1341,ChName,0)),"")</f>
        <v/>
      </c>
      <c r="G1341" t="inlineStr">
        <is>
          <t>QC</t>
        </is>
      </c>
      <c r="H1341">
        <f>IF(A1341&lt;=NWeeks,1,0)</f>
        <v/>
      </c>
      <c r="I1341">
        <f>INDEX(ChLaunch,MATCH(E1341,ChName,0))</f>
        <v/>
      </c>
      <c r="J1341">
        <f>INDEX(ChWeeksFull,MATCH(E1341,ChName,0))</f>
        <v/>
      </c>
      <c r="K1341">
        <f>INDEX(ChRamp,MATCH(E1341,ChName,0))</f>
        <v/>
      </c>
      <c r="L1341" s="45">
        <f>MIN(1,MAX(0,(A1341-I1341+1)*RampSpeed/J1341))</f>
        <v/>
      </c>
      <c r="M1341" s="45">
        <f>IF(A1341&lt;I1341,0,IF(K1341="S-curve",L1341*L1341*(3-2*L1341),L1341))</f>
        <v/>
      </c>
      <c r="N1341" s="45">
        <f>1+(INDEX(SeasonIdx,A1341)-1)*SeasonAmp</f>
        <v/>
      </c>
      <c r="O1341" s="45">
        <f>IFERROR(INDEX(PSPct,MATCH(E1341&amp;"|"&amp;G1341,PSKey,0)),0)</f>
        <v/>
      </c>
      <c r="P1341" s="46">
        <f>INDEX(ChDoorVel,MATCH(E1341,ChName,0))*CalibScalar*(1+VelocityUplift)</f>
        <v/>
      </c>
      <c r="Q1341" s="46" t="n">
        <v>0</v>
      </c>
      <c r="R1341" s="46">
        <f>P1341*O1341*M1341*N1341*H1341</f>
        <v/>
      </c>
      <c r="S1341" s="46">
        <f>R1341*INDEX(FmtCansPerCase,MATCH(F1341,FmtName,0))</f>
        <v/>
      </c>
      <c r="T1341" s="46">
        <f>S1341/INDEX(FmtCansPerPack,MATCH(F1341,FmtName,0))</f>
        <v/>
      </c>
      <c r="U1341" s="47">
        <f>INDEX(ChBaseCP,MATCH(E1341,ChName,0))*(1+INDEX(ProvMod,MATCH(G1341,ProvCode,0)))*(1+PriceIndex)</f>
        <v/>
      </c>
      <c r="V1341" s="47">
        <f>R1341*U1341*INDEX(FmtBlendedPriceIdx,MATCH(F1341,FmtName,0))</f>
        <v/>
      </c>
      <c r="W1341" s="47">
        <f>T1341*INDEX(ProvSRP,MATCH(G1341,ProvCode,0))*(1+PriceIndex)</f>
        <v/>
      </c>
      <c r="X1341" s="47">
        <f>IF(GrossBasis="Wholesale",V1341,W1341)</f>
        <v/>
      </c>
      <c r="Y1341" s="47">
        <f>R1341*INDEX(FmtBlendedCogs,MATCH(F1341,FmtName,0))</f>
        <v/>
      </c>
      <c r="Z1341" s="47">
        <f>X1341-Y1341</f>
        <v/>
      </c>
    </row>
    <row r="1342">
      <c r="A1342" t="n">
        <v>16</v>
      </c>
      <c r="B1342" s="44">
        <f>FiscalStart+(A1342-1)*7</f>
        <v/>
      </c>
      <c r="C1342">
        <f>TEXT(B1342,"mmm yyyy")</f>
        <v/>
      </c>
      <c r="D1342">
        <f>"Q"&amp;(INT((A1342-1)/13)+1)</f>
        <v/>
      </c>
      <c r="E1342" t="inlineStr">
        <is>
          <t>Fitness</t>
        </is>
      </c>
      <c r="F1342">
        <f>IFERROR(INDEX(ChFormat,MATCH(E1342,ChName,0)),"")</f>
        <v/>
      </c>
      <c r="G1342" t="inlineStr">
        <is>
          <t>QC</t>
        </is>
      </c>
      <c r="H1342">
        <f>IF(A1342&lt;=NWeeks,1,0)</f>
        <v/>
      </c>
      <c r="I1342">
        <f>INDEX(ChLaunch,MATCH(E1342,ChName,0))</f>
        <v/>
      </c>
      <c r="J1342">
        <f>INDEX(ChWeeksFull,MATCH(E1342,ChName,0))</f>
        <v/>
      </c>
      <c r="K1342">
        <f>INDEX(ChRamp,MATCH(E1342,ChName,0))</f>
        <v/>
      </c>
      <c r="L1342" s="45">
        <f>MIN(1,MAX(0,(A1342-I1342+1)*RampSpeed/J1342))</f>
        <v/>
      </c>
      <c r="M1342" s="45">
        <f>IF(A1342&lt;I1342,0,IF(K1342="S-curve",L1342*L1342*(3-2*L1342),L1342))</f>
        <v/>
      </c>
      <c r="N1342" s="45">
        <f>1+(INDEX(SeasonIdx,A1342)-1)*SeasonAmp</f>
        <v/>
      </c>
      <c r="O1342" s="45">
        <f>IFERROR(INDEX(PSPct,MATCH(E1342&amp;"|"&amp;G1342,PSKey,0)),0)</f>
        <v/>
      </c>
      <c r="P1342" s="46">
        <f>INDEX(ChDoorVel,MATCH(E1342,ChName,0))*CalibScalar*(1+VelocityUplift)</f>
        <v/>
      </c>
      <c r="Q1342" s="46" t="n">
        <v>0</v>
      </c>
      <c r="R1342" s="46">
        <f>P1342*O1342*M1342*N1342*H1342</f>
        <v/>
      </c>
      <c r="S1342" s="46">
        <f>R1342*INDEX(FmtCansPerCase,MATCH(F1342,FmtName,0))</f>
        <v/>
      </c>
      <c r="T1342" s="46">
        <f>S1342/INDEX(FmtCansPerPack,MATCH(F1342,FmtName,0))</f>
        <v/>
      </c>
      <c r="U1342" s="47">
        <f>INDEX(ChBaseCP,MATCH(E1342,ChName,0))*(1+INDEX(ProvMod,MATCH(G1342,ProvCode,0)))*(1+PriceIndex)</f>
        <v/>
      </c>
      <c r="V1342" s="47">
        <f>R1342*U1342*INDEX(FmtBlendedPriceIdx,MATCH(F1342,FmtName,0))</f>
        <v/>
      </c>
      <c r="W1342" s="47">
        <f>T1342*INDEX(ProvSRP,MATCH(G1342,ProvCode,0))*(1+PriceIndex)</f>
        <v/>
      </c>
      <c r="X1342" s="47">
        <f>IF(GrossBasis="Wholesale",V1342,W1342)</f>
        <v/>
      </c>
      <c r="Y1342" s="47">
        <f>R1342*INDEX(FmtBlendedCogs,MATCH(F1342,FmtName,0))</f>
        <v/>
      </c>
      <c r="Z1342" s="47">
        <f>X1342-Y1342</f>
        <v/>
      </c>
    </row>
    <row r="1343">
      <c r="A1343" t="n">
        <v>17</v>
      </c>
      <c r="B1343" s="44">
        <f>FiscalStart+(A1343-1)*7</f>
        <v/>
      </c>
      <c r="C1343">
        <f>TEXT(B1343,"mmm yyyy")</f>
        <v/>
      </c>
      <c r="D1343">
        <f>"Q"&amp;(INT((A1343-1)/13)+1)</f>
        <v/>
      </c>
      <c r="E1343" t="inlineStr">
        <is>
          <t>Fitness</t>
        </is>
      </c>
      <c r="F1343">
        <f>IFERROR(INDEX(ChFormat,MATCH(E1343,ChName,0)),"")</f>
        <v/>
      </c>
      <c r="G1343" t="inlineStr">
        <is>
          <t>QC</t>
        </is>
      </c>
      <c r="H1343">
        <f>IF(A1343&lt;=NWeeks,1,0)</f>
        <v/>
      </c>
      <c r="I1343">
        <f>INDEX(ChLaunch,MATCH(E1343,ChName,0))</f>
        <v/>
      </c>
      <c r="J1343">
        <f>INDEX(ChWeeksFull,MATCH(E1343,ChName,0))</f>
        <v/>
      </c>
      <c r="K1343">
        <f>INDEX(ChRamp,MATCH(E1343,ChName,0))</f>
        <v/>
      </c>
      <c r="L1343" s="45">
        <f>MIN(1,MAX(0,(A1343-I1343+1)*RampSpeed/J1343))</f>
        <v/>
      </c>
      <c r="M1343" s="45">
        <f>IF(A1343&lt;I1343,0,IF(K1343="S-curve",L1343*L1343*(3-2*L1343),L1343))</f>
        <v/>
      </c>
      <c r="N1343" s="45">
        <f>1+(INDEX(SeasonIdx,A1343)-1)*SeasonAmp</f>
        <v/>
      </c>
      <c r="O1343" s="45">
        <f>IFERROR(INDEX(PSPct,MATCH(E1343&amp;"|"&amp;G1343,PSKey,0)),0)</f>
        <v/>
      </c>
      <c r="P1343" s="46">
        <f>INDEX(ChDoorVel,MATCH(E1343,ChName,0))*CalibScalar*(1+VelocityUplift)</f>
        <v/>
      </c>
      <c r="Q1343" s="46" t="n">
        <v>0</v>
      </c>
      <c r="R1343" s="46">
        <f>P1343*O1343*M1343*N1343*H1343</f>
        <v/>
      </c>
      <c r="S1343" s="46">
        <f>R1343*INDEX(FmtCansPerCase,MATCH(F1343,FmtName,0))</f>
        <v/>
      </c>
      <c r="T1343" s="46">
        <f>S1343/INDEX(FmtCansPerPack,MATCH(F1343,FmtName,0))</f>
        <v/>
      </c>
      <c r="U1343" s="47">
        <f>INDEX(ChBaseCP,MATCH(E1343,ChName,0))*(1+INDEX(ProvMod,MATCH(G1343,ProvCode,0)))*(1+PriceIndex)</f>
        <v/>
      </c>
      <c r="V1343" s="47">
        <f>R1343*U1343*INDEX(FmtBlendedPriceIdx,MATCH(F1343,FmtName,0))</f>
        <v/>
      </c>
      <c r="W1343" s="47">
        <f>T1343*INDEX(ProvSRP,MATCH(G1343,ProvCode,0))*(1+PriceIndex)</f>
        <v/>
      </c>
      <c r="X1343" s="47">
        <f>IF(GrossBasis="Wholesale",V1343,W1343)</f>
        <v/>
      </c>
      <c r="Y1343" s="47">
        <f>R1343*INDEX(FmtBlendedCogs,MATCH(F1343,FmtName,0))</f>
        <v/>
      </c>
      <c r="Z1343" s="47">
        <f>X1343-Y1343</f>
        <v/>
      </c>
    </row>
    <row r="1344">
      <c r="A1344" t="n">
        <v>18</v>
      </c>
      <c r="B1344" s="44">
        <f>FiscalStart+(A1344-1)*7</f>
        <v/>
      </c>
      <c r="C1344">
        <f>TEXT(B1344,"mmm yyyy")</f>
        <v/>
      </c>
      <c r="D1344">
        <f>"Q"&amp;(INT((A1344-1)/13)+1)</f>
        <v/>
      </c>
      <c r="E1344" t="inlineStr">
        <is>
          <t>Fitness</t>
        </is>
      </c>
      <c r="F1344">
        <f>IFERROR(INDEX(ChFormat,MATCH(E1344,ChName,0)),"")</f>
        <v/>
      </c>
      <c r="G1344" t="inlineStr">
        <is>
          <t>QC</t>
        </is>
      </c>
      <c r="H1344">
        <f>IF(A1344&lt;=NWeeks,1,0)</f>
        <v/>
      </c>
      <c r="I1344">
        <f>INDEX(ChLaunch,MATCH(E1344,ChName,0))</f>
        <v/>
      </c>
      <c r="J1344">
        <f>INDEX(ChWeeksFull,MATCH(E1344,ChName,0))</f>
        <v/>
      </c>
      <c r="K1344">
        <f>INDEX(ChRamp,MATCH(E1344,ChName,0))</f>
        <v/>
      </c>
      <c r="L1344" s="45">
        <f>MIN(1,MAX(0,(A1344-I1344+1)*RampSpeed/J1344))</f>
        <v/>
      </c>
      <c r="M1344" s="45">
        <f>IF(A1344&lt;I1344,0,IF(K1344="S-curve",L1344*L1344*(3-2*L1344),L1344))</f>
        <v/>
      </c>
      <c r="N1344" s="45">
        <f>1+(INDEX(SeasonIdx,A1344)-1)*SeasonAmp</f>
        <v/>
      </c>
      <c r="O1344" s="45">
        <f>IFERROR(INDEX(PSPct,MATCH(E1344&amp;"|"&amp;G1344,PSKey,0)),0)</f>
        <v/>
      </c>
      <c r="P1344" s="46">
        <f>INDEX(ChDoorVel,MATCH(E1344,ChName,0))*CalibScalar*(1+VelocityUplift)</f>
        <v/>
      </c>
      <c r="Q1344" s="46" t="n">
        <v>0</v>
      </c>
      <c r="R1344" s="46">
        <f>P1344*O1344*M1344*N1344*H1344</f>
        <v/>
      </c>
      <c r="S1344" s="46">
        <f>R1344*INDEX(FmtCansPerCase,MATCH(F1344,FmtName,0))</f>
        <v/>
      </c>
      <c r="T1344" s="46">
        <f>S1344/INDEX(FmtCansPerPack,MATCH(F1344,FmtName,0))</f>
        <v/>
      </c>
      <c r="U1344" s="47">
        <f>INDEX(ChBaseCP,MATCH(E1344,ChName,0))*(1+INDEX(ProvMod,MATCH(G1344,ProvCode,0)))*(1+PriceIndex)</f>
        <v/>
      </c>
      <c r="V1344" s="47">
        <f>R1344*U1344*INDEX(FmtBlendedPriceIdx,MATCH(F1344,FmtName,0))</f>
        <v/>
      </c>
      <c r="W1344" s="47">
        <f>T1344*INDEX(ProvSRP,MATCH(G1344,ProvCode,0))*(1+PriceIndex)</f>
        <v/>
      </c>
      <c r="X1344" s="47">
        <f>IF(GrossBasis="Wholesale",V1344,W1344)</f>
        <v/>
      </c>
      <c r="Y1344" s="47">
        <f>R1344*INDEX(FmtBlendedCogs,MATCH(F1344,FmtName,0))</f>
        <v/>
      </c>
      <c r="Z1344" s="47">
        <f>X1344-Y1344</f>
        <v/>
      </c>
    </row>
    <row r="1345">
      <c r="A1345" t="n">
        <v>19</v>
      </c>
      <c r="B1345" s="44">
        <f>FiscalStart+(A1345-1)*7</f>
        <v/>
      </c>
      <c r="C1345">
        <f>TEXT(B1345,"mmm yyyy")</f>
        <v/>
      </c>
      <c r="D1345">
        <f>"Q"&amp;(INT((A1345-1)/13)+1)</f>
        <v/>
      </c>
      <c r="E1345" t="inlineStr">
        <is>
          <t>Fitness</t>
        </is>
      </c>
      <c r="F1345">
        <f>IFERROR(INDEX(ChFormat,MATCH(E1345,ChName,0)),"")</f>
        <v/>
      </c>
      <c r="G1345" t="inlineStr">
        <is>
          <t>QC</t>
        </is>
      </c>
      <c r="H1345">
        <f>IF(A1345&lt;=NWeeks,1,0)</f>
        <v/>
      </c>
      <c r="I1345">
        <f>INDEX(ChLaunch,MATCH(E1345,ChName,0))</f>
        <v/>
      </c>
      <c r="J1345">
        <f>INDEX(ChWeeksFull,MATCH(E1345,ChName,0))</f>
        <v/>
      </c>
      <c r="K1345">
        <f>INDEX(ChRamp,MATCH(E1345,ChName,0))</f>
        <v/>
      </c>
      <c r="L1345" s="45">
        <f>MIN(1,MAX(0,(A1345-I1345+1)*RampSpeed/J1345))</f>
        <v/>
      </c>
      <c r="M1345" s="45">
        <f>IF(A1345&lt;I1345,0,IF(K1345="S-curve",L1345*L1345*(3-2*L1345),L1345))</f>
        <v/>
      </c>
      <c r="N1345" s="45">
        <f>1+(INDEX(SeasonIdx,A1345)-1)*SeasonAmp</f>
        <v/>
      </c>
      <c r="O1345" s="45">
        <f>IFERROR(INDEX(PSPct,MATCH(E1345&amp;"|"&amp;G1345,PSKey,0)),0)</f>
        <v/>
      </c>
      <c r="P1345" s="46">
        <f>INDEX(ChDoorVel,MATCH(E1345,ChName,0))*CalibScalar*(1+VelocityUplift)</f>
        <v/>
      </c>
      <c r="Q1345" s="46" t="n">
        <v>0</v>
      </c>
      <c r="R1345" s="46">
        <f>P1345*O1345*M1345*N1345*H1345</f>
        <v/>
      </c>
      <c r="S1345" s="46">
        <f>R1345*INDEX(FmtCansPerCase,MATCH(F1345,FmtName,0))</f>
        <v/>
      </c>
      <c r="T1345" s="46">
        <f>S1345/INDEX(FmtCansPerPack,MATCH(F1345,FmtName,0))</f>
        <v/>
      </c>
      <c r="U1345" s="47">
        <f>INDEX(ChBaseCP,MATCH(E1345,ChName,0))*(1+INDEX(ProvMod,MATCH(G1345,ProvCode,0)))*(1+PriceIndex)</f>
        <v/>
      </c>
      <c r="V1345" s="47">
        <f>R1345*U1345*INDEX(FmtBlendedPriceIdx,MATCH(F1345,FmtName,0))</f>
        <v/>
      </c>
      <c r="W1345" s="47">
        <f>T1345*INDEX(ProvSRP,MATCH(G1345,ProvCode,0))*(1+PriceIndex)</f>
        <v/>
      </c>
      <c r="X1345" s="47">
        <f>IF(GrossBasis="Wholesale",V1345,W1345)</f>
        <v/>
      </c>
      <c r="Y1345" s="47">
        <f>R1345*INDEX(FmtBlendedCogs,MATCH(F1345,FmtName,0))</f>
        <v/>
      </c>
      <c r="Z1345" s="47">
        <f>X1345-Y1345</f>
        <v/>
      </c>
    </row>
    <row r="1346">
      <c r="A1346" t="n">
        <v>20</v>
      </c>
      <c r="B1346" s="44">
        <f>FiscalStart+(A1346-1)*7</f>
        <v/>
      </c>
      <c r="C1346">
        <f>TEXT(B1346,"mmm yyyy")</f>
        <v/>
      </c>
      <c r="D1346">
        <f>"Q"&amp;(INT((A1346-1)/13)+1)</f>
        <v/>
      </c>
      <c r="E1346" t="inlineStr">
        <is>
          <t>Fitness</t>
        </is>
      </c>
      <c r="F1346">
        <f>IFERROR(INDEX(ChFormat,MATCH(E1346,ChName,0)),"")</f>
        <v/>
      </c>
      <c r="G1346" t="inlineStr">
        <is>
          <t>QC</t>
        </is>
      </c>
      <c r="H1346">
        <f>IF(A1346&lt;=NWeeks,1,0)</f>
        <v/>
      </c>
      <c r="I1346">
        <f>INDEX(ChLaunch,MATCH(E1346,ChName,0))</f>
        <v/>
      </c>
      <c r="J1346">
        <f>INDEX(ChWeeksFull,MATCH(E1346,ChName,0))</f>
        <v/>
      </c>
      <c r="K1346">
        <f>INDEX(ChRamp,MATCH(E1346,ChName,0))</f>
        <v/>
      </c>
      <c r="L1346" s="45">
        <f>MIN(1,MAX(0,(A1346-I1346+1)*RampSpeed/J1346))</f>
        <v/>
      </c>
      <c r="M1346" s="45">
        <f>IF(A1346&lt;I1346,0,IF(K1346="S-curve",L1346*L1346*(3-2*L1346),L1346))</f>
        <v/>
      </c>
      <c r="N1346" s="45">
        <f>1+(INDEX(SeasonIdx,A1346)-1)*SeasonAmp</f>
        <v/>
      </c>
      <c r="O1346" s="45">
        <f>IFERROR(INDEX(PSPct,MATCH(E1346&amp;"|"&amp;G1346,PSKey,0)),0)</f>
        <v/>
      </c>
      <c r="P1346" s="46">
        <f>INDEX(ChDoorVel,MATCH(E1346,ChName,0))*CalibScalar*(1+VelocityUplift)</f>
        <v/>
      </c>
      <c r="Q1346" s="46" t="n">
        <v>0</v>
      </c>
      <c r="R1346" s="46">
        <f>P1346*O1346*M1346*N1346*H1346</f>
        <v/>
      </c>
      <c r="S1346" s="46">
        <f>R1346*INDEX(FmtCansPerCase,MATCH(F1346,FmtName,0))</f>
        <v/>
      </c>
      <c r="T1346" s="46">
        <f>S1346/INDEX(FmtCansPerPack,MATCH(F1346,FmtName,0))</f>
        <v/>
      </c>
      <c r="U1346" s="47">
        <f>INDEX(ChBaseCP,MATCH(E1346,ChName,0))*(1+INDEX(ProvMod,MATCH(G1346,ProvCode,0)))*(1+PriceIndex)</f>
        <v/>
      </c>
      <c r="V1346" s="47">
        <f>R1346*U1346*INDEX(FmtBlendedPriceIdx,MATCH(F1346,FmtName,0))</f>
        <v/>
      </c>
      <c r="W1346" s="47">
        <f>T1346*INDEX(ProvSRP,MATCH(G1346,ProvCode,0))*(1+PriceIndex)</f>
        <v/>
      </c>
      <c r="X1346" s="47">
        <f>IF(GrossBasis="Wholesale",V1346,W1346)</f>
        <v/>
      </c>
      <c r="Y1346" s="47">
        <f>R1346*INDEX(FmtBlendedCogs,MATCH(F1346,FmtName,0))</f>
        <v/>
      </c>
      <c r="Z1346" s="47">
        <f>X1346-Y1346</f>
        <v/>
      </c>
    </row>
    <row r="1347">
      <c r="A1347" t="n">
        <v>21</v>
      </c>
      <c r="B1347" s="44">
        <f>FiscalStart+(A1347-1)*7</f>
        <v/>
      </c>
      <c r="C1347">
        <f>TEXT(B1347,"mmm yyyy")</f>
        <v/>
      </c>
      <c r="D1347">
        <f>"Q"&amp;(INT((A1347-1)/13)+1)</f>
        <v/>
      </c>
      <c r="E1347" t="inlineStr">
        <is>
          <t>Fitness</t>
        </is>
      </c>
      <c r="F1347">
        <f>IFERROR(INDEX(ChFormat,MATCH(E1347,ChName,0)),"")</f>
        <v/>
      </c>
      <c r="G1347" t="inlineStr">
        <is>
          <t>QC</t>
        </is>
      </c>
      <c r="H1347">
        <f>IF(A1347&lt;=NWeeks,1,0)</f>
        <v/>
      </c>
      <c r="I1347">
        <f>INDEX(ChLaunch,MATCH(E1347,ChName,0))</f>
        <v/>
      </c>
      <c r="J1347">
        <f>INDEX(ChWeeksFull,MATCH(E1347,ChName,0))</f>
        <v/>
      </c>
      <c r="K1347">
        <f>INDEX(ChRamp,MATCH(E1347,ChName,0))</f>
        <v/>
      </c>
      <c r="L1347" s="45">
        <f>MIN(1,MAX(0,(A1347-I1347+1)*RampSpeed/J1347))</f>
        <v/>
      </c>
      <c r="M1347" s="45">
        <f>IF(A1347&lt;I1347,0,IF(K1347="S-curve",L1347*L1347*(3-2*L1347),L1347))</f>
        <v/>
      </c>
      <c r="N1347" s="45">
        <f>1+(INDEX(SeasonIdx,A1347)-1)*SeasonAmp</f>
        <v/>
      </c>
      <c r="O1347" s="45">
        <f>IFERROR(INDEX(PSPct,MATCH(E1347&amp;"|"&amp;G1347,PSKey,0)),0)</f>
        <v/>
      </c>
      <c r="P1347" s="46">
        <f>INDEX(ChDoorVel,MATCH(E1347,ChName,0))*CalibScalar*(1+VelocityUplift)</f>
        <v/>
      </c>
      <c r="Q1347" s="46" t="n">
        <v>0</v>
      </c>
      <c r="R1347" s="46">
        <f>P1347*O1347*M1347*N1347*H1347</f>
        <v/>
      </c>
      <c r="S1347" s="46">
        <f>R1347*INDEX(FmtCansPerCase,MATCH(F1347,FmtName,0))</f>
        <v/>
      </c>
      <c r="T1347" s="46">
        <f>S1347/INDEX(FmtCansPerPack,MATCH(F1347,FmtName,0))</f>
        <v/>
      </c>
      <c r="U1347" s="47">
        <f>INDEX(ChBaseCP,MATCH(E1347,ChName,0))*(1+INDEX(ProvMod,MATCH(G1347,ProvCode,0)))*(1+PriceIndex)</f>
        <v/>
      </c>
      <c r="V1347" s="47">
        <f>R1347*U1347*INDEX(FmtBlendedPriceIdx,MATCH(F1347,FmtName,0))</f>
        <v/>
      </c>
      <c r="W1347" s="47">
        <f>T1347*INDEX(ProvSRP,MATCH(G1347,ProvCode,0))*(1+PriceIndex)</f>
        <v/>
      </c>
      <c r="X1347" s="47">
        <f>IF(GrossBasis="Wholesale",V1347,W1347)</f>
        <v/>
      </c>
      <c r="Y1347" s="47">
        <f>R1347*INDEX(FmtBlendedCogs,MATCH(F1347,FmtName,0))</f>
        <v/>
      </c>
      <c r="Z1347" s="47">
        <f>X1347-Y1347</f>
        <v/>
      </c>
    </row>
    <row r="1348">
      <c r="A1348" t="n">
        <v>22</v>
      </c>
      <c r="B1348" s="44">
        <f>FiscalStart+(A1348-1)*7</f>
        <v/>
      </c>
      <c r="C1348">
        <f>TEXT(B1348,"mmm yyyy")</f>
        <v/>
      </c>
      <c r="D1348">
        <f>"Q"&amp;(INT((A1348-1)/13)+1)</f>
        <v/>
      </c>
      <c r="E1348" t="inlineStr">
        <is>
          <t>Fitness</t>
        </is>
      </c>
      <c r="F1348">
        <f>IFERROR(INDEX(ChFormat,MATCH(E1348,ChName,0)),"")</f>
        <v/>
      </c>
      <c r="G1348" t="inlineStr">
        <is>
          <t>QC</t>
        </is>
      </c>
      <c r="H1348">
        <f>IF(A1348&lt;=NWeeks,1,0)</f>
        <v/>
      </c>
      <c r="I1348">
        <f>INDEX(ChLaunch,MATCH(E1348,ChName,0))</f>
        <v/>
      </c>
      <c r="J1348">
        <f>INDEX(ChWeeksFull,MATCH(E1348,ChName,0))</f>
        <v/>
      </c>
      <c r="K1348">
        <f>INDEX(ChRamp,MATCH(E1348,ChName,0))</f>
        <v/>
      </c>
      <c r="L1348" s="45">
        <f>MIN(1,MAX(0,(A1348-I1348+1)*RampSpeed/J1348))</f>
        <v/>
      </c>
      <c r="M1348" s="45">
        <f>IF(A1348&lt;I1348,0,IF(K1348="S-curve",L1348*L1348*(3-2*L1348),L1348))</f>
        <v/>
      </c>
      <c r="N1348" s="45">
        <f>1+(INDEX(SeasonIdx,A1348)-1)*SeasonAmp</f>
        <v/>
      </c>
      <c r="O1348" s="45">
        <f>IFERROR(INDEX(PSPct,MATCH(E1348&amp;"|"&amp;G1348,PSKey,0)),0)</f>
        <v/>
      </c>
      <c r="P1348" s="46">
        <f>INDEX(ChDoorVel,MATCH(E1348,ChName,0))*CalibScalar*(1+VelocityUplift)</f>
        <v/>
      </c>
      <c r="Q1348" s="46" t="n">
        <v>0</v>
      </c>
      <c r="R1348" s="46">
        <f>P1348*O1348*M1348*N1348*H1348</f>
        <v/>
      </c>
      <c r="S1348" s="46">
        <f>R1348*INDEX(FmtCansPerCase,MATCH(F1348,FmtName,0))</f>
        <v/>
      </c>
      <c r="T1348" s="46">
        <f>S1348/INDEX(FmtCansPerPack,MATCH(F1348,FmtName,0))</f>
        <v/>
      </c>
      <c r="U1348" s="47">
        <f>INDEX(ChBaseCP,MATCH(E1348,ChName,0))*(1+INDEX(ProvMod,MATCH(G1348,ProvCode,0)))*(1+PriceIndex)</f>
        <v/>
      </c>
      <c r="V1348" s="47">
        <f>R1348*U1348*INDEX(FmtBlendedPriceIdx,MATCH(F1348,FmtName,0))</f>
        <v/>
      </c>
      <c r="W1348" s="47">
        <f>T1348*INDEX(ProvSRP,MATCH(G1348,ProvCode,0))*(1+PriceIndex)</f>
        <v/>
      </c>
      <c r="X1348" s="47">
        <f>IF(GrossBasis="Wholesale",V1348,W1348)</f>
        <v/>
      </c>
      <c r="Y1348" s="47">
        <f>R1348*INDEX(FmtBlendedCogs,MATCH(F1348,FmtName,0))</f>
        <v/>
      </c>
      <c r="Z1348" s="47">
        <f>X1348-Y1348</f>
        <v/>
      </c>
    </row>
    <row r="1349">
      <c r="A1349" t="n">
        <v>23</v>
      </c>
      <c r="B1349" s="44">
        <f>FiscalStart+(A1349-1)*7</f>
        <v/>
      </c>
      <c r="C1349">
        <f>TEXT(B1349,"mmm yyyy")</f>
        <v/>
      </c>
      <c r="D1349">
        <f>"Q"&amp;(INT((A1349-1)/13)+1)</f>
        <v/>
      </c>
      <c r="E1349" t="inlineStr">
        <is>
          <t>Fitness</t>
        </is>
      </c>
      <c r="F1349">
        <f>IFERROR(INDEX(ChFormat,MATCH(E1349,ChName,0)),"")</f>
        <v/>
      </c>
      <c r="G1349" t="inlineStr">
        <is>
          <t>QC</t>
        </is>
      </c>
      <c r="H1349">
        <f>IF(A1349&lt;=NWeeks,1,0)</f>
        <v/>
      </c>
      <c r="I1349">
        <f>INDEX(ChLaunch,MATCH(E1349,ChName,0))</f>
        <v/>
      </c>
      <c r="J1349">
        <f>INDEX(ChWeeksFull,MATCH(E1349,ChName,0))</f>
        <v/>
      </c>
      <c r="K1349">
        <f>INDEX(ChRamp,MATCH(E1349,ChName,0))</f>
        <v/>
      </c>
      <c r="L1349" s="45">
        <f>MIN(1,MAX(0,(A1349-I1349+1)*RampSpeed/J1349))</f>
        <v/>
      </c>
      <c r="M1349" s="45">
        <f>IF(A1349&lt;I1349,0,IF(K1349="S-curve",L1349*L1349*(3-2*L1349),L1349))</f>
        <v/>
      </c>
      <c r="N1349" s="45">
        <f>1+(INDEX(SeasonIdx,A1349)-1)*SeasonAmp</f>
        <v/>
      </c>
      <c r="O1349" s="45">
        <f>IFERROR(INDEX(PSPct,MATCH(E1349&amp;"|"&amp;G1349,PSKey,0)),0)</f>
        <v/>
      </c>
      <c r="P1349" s="46">
        <f>INDEX(ChDoorVel,MATCH(E1349,ChName,0))*CalibScalar*(1+VelocityUplift)</f>
        <v/>
      </c>
      <c r="Q1349" s="46" t="n">
        <v>0</v>
      </c>
      <c r="R1349" s="46">
        <f>P1349*O1349*M1349*N1349*H1349</f>
        <v/>
      </c>
      <c r="S1349" s="46">
        <f>R1349*INDEX(FmtCansPerCase,MATCH(F1349,FmtName,0))</f>
        <v/>
      </c>
      <c r="T1349" s="46">
        <f>S1349/INDEX(FmtCansPerPack,MATCH(F1349,FmtName,0))</f>
        <v/>
      </c>
      <c r="U1349" s="47">
        <f>INDEX(ChBaseCP,MATCH(E1349,ChName,0))*(1+INDEX(ProvMod,MATCH(G1349,ProvCode,0)))*(1+PriceIndex)</f>
        <v/>
      </c>
      <c r="V1349" s="47">
        <f>R1349*U1349*INDEX(FmtBlendedPriceIdx,MATCH(F1349,FmtName,0))</f>
        <v/>
      </c>
      <c r="W1349" s="47">
        <f>T1349*INDEX(ProvSRP,MATCH(G1349,ProvCode,0))*(1+PriceIndex)</f>
        <v/>
      </c>
      <c r="X1349" s="47">
        <f>IF(GrossBasis="Wholesale",V1349,W1349)</f>
        <v/>
      </c>
      <c r="Y1349" s="47">
        <f>R1349*INDEX(FmtBlendedCogs,MATCH(F1349,FmtName,0))</f>
        <v/>
      </c>
      <c r="Z1349" s="47">
        <f>X1349-Y1349</f>
        <v/>
      </c>
    </row>
    <row r="1350">
      <c r="A1350" t="n">
        <v>24</v>
      </c>
      <c r="B1350" s="44">
        <f>FiscalStart+(A1350-1)*7</f>
        <v/>
      </c>
      <c r="C1350">
        <f>TEXT(B1350,"mmm yyyy")</f>
        <v/>
      </c>
      <c r="D1350">
        <f>"Q"&amp;(INT((A1350-1)/13)+1)</f>
        <v/>
      </c>
      <c r="E1350" t="inlineStr">
        <is>
          <t>Fitness</t>
        </is>
      </c>
      <c r="F1350">
        <f>IFERROR(INDEX(ChFormat,MATCH(E1350,ChName,0)),"")</f>
        <v/>
      </c>
      <c r="G1350" t="inlineStr">
        <is>
          <t>QC</t>
        </is>
      </c>
      <c r="H1350">
        <f>IF(A1350&lt;=NWeeks,1,0)</f>
        <v/>
      </c>
      <c r="I1350">
        <f>INDEX(ChLaunch,MATCH(E1350,ChName,0))</f>
        <v/>
      </c>
      <c r="J1350">
        <f>INDEX(ChWeeksFull,MATCH(E1350,ChName,0))</f>
        <v/>
      </c>
      <c r="K1350">
        <f>INDEX(ChRamp,MATCH(E1350,ChName,0))</f>
        <v/>
      </c>
      <c r="L1350" s="45">
        <f>MIN(1,MAX(0,(A1350-I1350+1)*RampSpeed/J1350))</f>
        <v/>
      </c>
      <c r="M1350" s="45">
        <f>IF(A1350&lt;I1350,0,IF(K1350="S-curve",L1350*L1350*(3-2*L1350),L1350))</f>
        <v/>
      </c>
      <c r="N1350" s="45">
        <f>1+(INDEX(SeasonIdx,A1350)-1)*SeasonAmp</f>
        <v/>
      </c>
      <c r="O1350" s="45">
        <f>IFERROR(INDEX(PSPct,MATCH(E1350&amp;"|"&amp;G1350,PSKey,0)),0)</f>
        <v/>
      </c>
      <c r="P1350" s="46">
        <f>INDEX(ChDoorVel,MATCH(E1350,ChName,0))*CalibScalar*(1+VelocityUplift)</f>
        <v/>
      </c>
      <c r="Q1350" s="46" t="n">
        <v>0</v>
      </c>
      <c r="R1350" s="46">
        <f>P1350*O1350*M1350*N1350*H1350</f>
        <v/>
      </c>
      <c r="S1350" s="46">
        <f>R1350*INDEX(FmtCansPerCase,MATCH(F1350,FmtName,0))</f>
        <v/>
      </c>
      <c r="T1350" s="46">
        <f>S1350/INDEX(FmtCansPerPack,MATCH(F1350,FmtName,0))</f>
        <v/>
      </c>
      <c r="U1350" s="47">
        <f>INDEX(ChBaseCP,MATCH(E1350,ChName,0))*(1+INDEX(ProvMod,MATCH(G1350,ProvCode,0)))*(1+PriceIndex)</f>
        <v/>
      </c>
      <c r="V1350" s="47">
        <f>R1350*U1350*INDEX(FmtBlendedPriceIdx,MATCH(F1350,FmtName,0))</f>
        <v/>
      </c>
      <c r="W1350" s="47">
        <f>T1350*INDEX(ProvSRP,MATCH(G1350,ProvCode,0))*(1+PriceIndex)</f>
        <v/>
      </c>
      <c r="X1350" s="47">
        <f>IF(GrossBasis="Wholesale",V1350,W1350)</f>
        <v/>
      </c>
      <c r="Y1350" s="47">
        <f>R1350*INDEX(FmtBlendedCogs,MATCH(F1350,FmtName,0))</f>
        <v/>
      </c>
      <c r="Z1350" s="47">
        <f>X1350-Y1350</f>
        <v/>
      </c>
    </row>
    <row r="1351">
      <c r="A1351" t="n">
        <v>25</v>
      </c>
      <c r="B1351" s="44">
        <f>FiscalStart+(A1351-1)*7</f>
        <v/>
      </c>
      <c r="C1351">
        <f>TEXT(B1351,"mmm yyyy")</f>
        <v/>
      </c>
      <c r="D1351">
        <f>"Q"&amp;(INT((A1351-1)/13)+1)</f>
        <v/>
      </c>
      <c r="E1351" t="inlineStr">
        <is>
          <t>Fitness</t>
        </is>
      </c>
      <c r="F1351">
        <f>IFERROR(INDEX(ChFormat,MATCH(E1351,ChName,0)),"")</f>
        <v/>
      </c>
      <c r="G1351" t="inlineStr">
        <is>
          <t>QC</t>
        </is>
      </c>
      <c r="H1351">
        <f>IF(A1351&lt;=NWeeks,1,0)</f>
        <v/>
      </c>
      <c r="I1351">
        <f>INDEX(ChLaunch,MATCH(E1351,ChName,0))</f>
        <v/>
      </c>
      <c r="J1351">
        <f>INDEX(ChWeeksFull,MATCH(E1351,ChName,0))</f>
        <v/>
      </c>
      <c r="K1351">
        <f>INDEX(ChRamp,MATCH(E1351,ChName,0))</f>
        <v/>
      </c>
      <c r="L1351" s="45">
        <f>MIN(1,MAX(0,(A1351-I1351+1)*RampSpeed/J1351))</f>
        <v/>
      </c>
      <c r="M1351" s="45">
        <f>IF(A1351&lt;I1351,0,IF(K1351="S-curve",L1351*L1351*(3-2*L1351),L1351))</f>
        <v/>
      </c>
      <c r="N1351" s="45">
        <f>1+(INDEX(SeasonIdx,A1351)-1)*SeasonAmp</f>
        <v/>
      </c>
      <c r="O1351" s="45">
        <f>IFERROR(INDEX(PSPct,MATCH(E1351&amp;"|"&amp;G1351,PSKey,0)),0)</f>
        <v/>
      </c>
      <c r="P1351" s="46">
        <f>INDEX(ChDoorVel,MATCH(E1351,ChName,0))*CalibScalar*(1+VelocityUplift)</f>
        <v/>
      </c>
      <c r="Q1351" s="46" t="n">
        <v>0</v>
      </c>
      <c r="R1351" s="46">
        <f>P1351*O1351*M1351*N1351*H1351</f>
        <v/>
      </c>
      <c r="S1351" s="46">
        <f>R1351*INDEX(FmtCansPerCase,MATCH(F1351,FmtName,0))</f>
        <v/>
      </c>
      <c r="T1351" s="46">
        <f>S1351/INDEX(FmtCansPerPack,MATCH(F1351,FmtName,0))</f>
        <v/>
      </c>
      <c r="U1351" s="47">
        <f>INDEX(ChBaseCP,MATCH(E1351,ChName,0))*(1+INDEX(ProvMod,MATCH(G1351,ProvCode,0)))*(1+PriceIndex)</f>
        <v/>
      </c>
      <c r="V1351" s="47">
        <f>R1351*U1351*INDEX(FmtBlendedPriceIdx,MATCH(F1351,FmtName,0))</f>
        <v/>
      </c>
      <c r="W1351" s="47">
        <f>T1351*INDEX(ProvSRP,MATCH(G1351,ProvCode,0))*(1+PriceIndex)</f>
        <v/>
      </c>
      <c r="X1351" s="47">
        <f>IF(GrossBasis="Wholesale",V1351,W1351)</f>
        <v/>
      </c>
      <c r="Y1351" s="47">
        <f>R1351*INDEX(FmtBlendedCogs,MATCH(F1351,FmtName,0))</f>
        <v/>
      </c>
      <c r="Z1351" s="47">
        <f>X1351-Y1351</f>
        <v/>
      </c>
    </row>
    <row r="1352">
      <c r="A1352" t="n">
        <v>26</v>
      </c>
      <c r="B1352" s="44">
        <f>FiscalStart+(A1352-1)*7</f>
        <v/>
      </c>
      <c r="C1352">
        <f>TEXT(B1352,"mmm yyyy")</f>
        <v/>
      </c>
      <c r="D1352">
        <f>"Q"&amp;(INT((A1352-1)/13)+1)</f>
        <v/>
      </c>
      <c r="E1352" t="inlineStr">
        <is>
          <t>Fitness</t>
        </is>
      </c>
      <c r="F1352">
        <f>IFERROR(INDEX(ChFormat,MATCH(E1352,ChName,0)),"")</f>
        <v/>
      </c>
      <c r="G1352" t="inlineStr">
        <is>
          <t>QC</t>
        </is>
      </c>
      <c r="H1352">
        <f>IF(A1352&lt;=NWeeks,1,0)</f>
        <v/>
      </c>
      <c r="I1352">
        <f>INDEX(ChLaunch,MATCH(E1352,ChName,0))</f>
        <v/>
      </c>
      <c r="J1352">
        <f>INDEX(ChWeeksFull,MATCH(E1352,ChName,0))</f>
        <v/>
      </c>
      <c r="K1352">
        <f>INDEX(ChRamp,MATCH(E1352,ChName,0))</f>
        <v/>
      </c>
      <c r="L1352" s="45">
        <f>MIN(1,MAX(0,(A1352-I1352+1)*RampSpeed/J1352))</f>
        <v/>
      </c>
      <c r="M1352" s="45">
        <f>IF(A1352&lt;I1352,0,IF(K1352="S-curve",L1352*L1352*(3-2*L1352),L1352))</f>
        <v/>
      </c>
      <c r="N1352" s="45">
        <f>1+(INDEX(SeasonIdx,A1352)-1)*SeasonAmp</f>
        <v/>
      </c>
      <c r="O1352" s="45">
        <f>IFERROR(INDEX(PSPct,MATCH(E1352&amp;"|"&amp;G1352,PSKey,0)),0)</f>
        <v/>
      </c>
      <c r="P1352" s="46">
        <f>INDEX(ChDoorVel,MATCH(E1352,ChName,0))*CalibScalar*(1+VelocityUplift)</f>
        <v/>
      </c>
      <c r="Q1352" s="46" t="n">
        <v>0</v>
      </c>
      <c r="R1352" s="46">
        <f>P1352*O1352*M1352*N1352*H1352</f>
        <v/>
      </c>
      <c r="S1352" s="46">
        <f>R1352*INDEX(FmtCansPerCase,MATCH(F1352,FmtName,0))</f>
        <v/>
      </c>
      <c r="T1352" s="46">
        <f>S1352/INDEX(FmtCansPerPack,MATCH(F1352,FmtName,0))</f>
        <v/>
      </c>
      <c r="U1352" s="47">
        <f>INDEX(ChBaseCP,MATCH(E1352,ChName,0))*(1+INDEX(ProvMod,MATCH(G1352,ProvCode,0)))*(1+PriceIndex)</f>
        <v/>
      </c>
      <c r="V1352" s="47">
        <f>R1352*U1352*INDEX(FmtBlendedPriceIdx,MATCH(F1352,FmtName,0))</f>
        <v/>
      </c>
      <c r="W1352" s="47">
        <f>T1352*INDEX(ProvSRP,MATCH(G1352,ProvCode,0))*(1+PriceIndex)</f>
        <v/>
      </c>
      <c r="X1352" s="47">
        <f>IF(GrossBasis="Wholesale",V1352,W1352)</f>
        <v/>
      </c>
      <c r="Y1352" s="47">
        <f>R1352*INDEX(FmtBlendedCogs,MATCH(F1352,FmtName,0))</f>
        <v/>
      </c>
      <c r="Z1352" s="47">
        <f>X1352-Y1352</f>
        <v/>
      </c>
    </row>
    <row r="1353">
      <c r="A1353" t="n">
        <v>27</v>
      </c>
      <c r="B1353" s="44">
        <f>FiscalStart+(A1353-1)*7</f>
        <v/>
      </c>
      <c r="C1353">
        <f>TEXT(B1353,"mmm yyyy")</f>
        <v/>
      </c>
      <c r="D1353">
        <f>"Q"&amp;(INT((A1353-1)/13)+1)</f>
        <v/>
      </c>
      <c r="E1353" t="inlineStr">
        <is>
          <t>Fitness</t>
        </is>
      </c>
      <c r="F1353">
        <f>IFERROR(INDEX(ChFormat,MATCH(E1353,ChName,0)),"")</f>
        <v/>
      </c>
      <c r="G1353" t="inlineStr">
        <is>
          <t>QC</t>
        </is>
      </c>
      <c r="H1353">
        <f>IF(A1353&lt;=NWeeks,1,0)</f>
        <v/>
      </c>
      <c r="I1353">
        <f>INDEX(ChLaunch,MATCH(E1353,ChName,0))</f>
        <v/>
      </c>
      <c r="J1353">
        <f>INDEX(ChWeeksFull,MATCH(E1353,ChName,0))</f>
        <v/>
      </c>
      <c r="K1353">
        <f>INDEX(ChRamp,MATCH(E1353,ChName,0))</f>
        <v/>
      </c>
      <c r="L1353" s="45">
        <f>MIN(1,MAX(0,(A1353-I1353+1)*RampSpeed/J1353))</f>
        <v/>
      </c>
      <c r="M1353" s="45">
        <f>IF(A1353&lt;I1353,0,IF(K1353="S-curve",L1353*L1353*(3-2*L1353),L1353))</f>
        <v/>
      </c>
      <c r="N1353" s="45">
        <f>1+(INDEX(SeasonIdx,A1353)-1)*SeasonAmp</f>
        <v/>
      </c>
      <c r="O1353" s="45">
        <f>IFERROR(INDEX(PSPct,MATCH(E1353&amp;"|"&amp;G1353,PSKey,0)),0)</f>
        <v/>
      </c>
      <c r="P1353" s="46">
        <f>INDEX(ChDoorVel,MATCH(E1353,ChName,0))*CalibScalar*(1+VelocityUplift)</f>
        <v/>
      </c>
      <c r="Q1353" s="46" t="n">
        <v>0</v>
      </c>
      <c r="R1353" s="46">
        <f>P1353*O1353*M1353*N1353*H1353</f>
        <v/>
      </c>
      <c r="S1353" s="46">
        <f>R1353*INDEX(FmtCansPerCase,MATCH(F1353,FmtName,0))</f>
        <v/>
      </c>
      <c r="T1353" s="46">
        <f>S1353/INDEX(FmtCansPerPack,MATCH(F1353,FmtName,0))</f>
        <v/>
      </c>
      <c r="U1353" s="47">
        <f>INDEX(ChBaseCP,MATCH(E1353,ChName,0))*(1+INDEX(ProvMod,MATCH(G1353,ProvCode,0)))*(1+PriceIndex)</f>
        <v/>
      </c>
      <c r="V1353" s="47">
        <f>R1353*U1353*INDEX(FmtBlendedPriceIdx,MATCH(F1353,FmtName,0))</f>
        <v/>
      </c>
      <c r="W1353" s="47">
        <f>T1353*INDEX(ProvSRP,MATCH(G1353,ProvCode,0))*(1+PriceIndex)</f>
        <v/>
      </c>
      <c r="X1353" s="47">
        <f>IF(GrossBasis="Wholesale",V1353,W1353)</f>
        <v/>
      </c>
      <c r="Y1353" s="47">
        <f>R1353*INDEX(FmtBlendedCogs,MATCH(F1353,FmtName,0))</f>
        <v/>
      </c>
      <c r="Z1353" s="47">
        <f>X1353-Y1353</f>
        <v/>
      </c>
    </row>
    <row r="1354">
      <c r="A1354" t="n">
        <v>28</v>
      </c>
      <c r="B1354" s="44">
        <f>FiscalStart+(A1354-1)*7</f>
        <v/>
      </c>
      <c r="C1354">
        <f>TEXT(B1354,"mmm yyyy")</f>
        <v/>
      </c>
      <c r="D1354">
        <f>"Q"&amp;(INT((A1354-1)/13)+1)</f>
        <v/>
      </c>
      <c r="E1354" t="inlineStr">
        <is>
          <t>Fitness</t>
        </is>
      </c>
      <c r="F1354">
        <f>IFERROR(INDEX(ChFormat,MATCH(E1354,ChName,0)),"")</f>
        <v/>
      </c>
      <c r="G1354" t="inlineStr">
        <is>
          <t>QC</t>
        </is>
      </c>
      <c r="H1354">
        <f>IF(A1354&lt;=NWeeks,1,0)</f>
        <v/>
      </c>
      <c r="I1354">
        <f>INDEX(ChLaunch,MATCH(E1354,ChName,0))</f>
        <v/>
      </c>
      <c r="J1354">
        <f>INDEX(ChWeeksFull,MATCH(E1354,ChName,0))</f>
        <v/>
      </c>
      <c r="K1354">
        <f>INDEX(ChRamp,MATCH(E1354,ChName,0))</f>
        <v/>
      </c>
      <c r="L1354" s="45">
        <f>MIN(1,MAX(0,(A1354-I1354+1)*RampSpeed/J1354))</f>
        <v/>
      </c>
      <c r="M1354" s="45">
        <f>IF(A1354&lt;I1354,0,IF(K1354="S-curve",L1354*L1354*(3-2*L1354),L1354))</f>
        <v/>
      </c>
      <c r="N1354" s="45">
        <f>1+(INDEX(SeasonIdx,A1354)-1)*SeasonAmp</f>
        <v/>
      </c>
      <c r="O1354" s="45">
        <f>IFERROR(INDEX(PSPct,MATCH(E1354&amp;"|"&amp;G1354,PSKey,0)),0)</f>
        <v/>
      </c>
      <c r="P1354" s="46">
        <f>INDEX(ChDoorVel,MATCH(E1354,ChName,0))*CalibScalar*(1+VelocityUplift)</f>
        <v/>
      </c>
      <c r="Q1354" s="46" t="n">
        <v>0</v>
      </c>
      <c r="R1354" s="46">
        <f>P1354*O1354*M1354*N1354*H1354</f>
        <v/>
      </c>
      <c r="S1354" s="46">
        <f>R1354*INDEX(FmtCansPerCase,MATCH(F1354,FmtName,0))</f>
        <v/>
      </c>
      <c r="T1354" s="46">
        <f>S1354/INDEX(FmtCansPerPack,MATCH(F1354,FmtName,0))</f>
        <v/>
      </c>
      <c r="U1354" s="47">
        <f>INDEX(ChBaseCP,MATCH(E1354,ChName,0))*(1+INDEX(ProvMod,MATCH(G1354,ProvCode,0)))*(1+PriceIndex)</f>
        <v/>
      </c>
      <c r="V1354" s="47">
        <f>R1354*U1354*INDEX(FmtBlendedPriceIdx,MATCH(F1354,FmtName,0))</f>
        <v/>
      </c>
      <c r="W1354" s="47">
        <f>T1354*INDEX(ProvSRP,MATCH(G1354,ProvCode,0))*(1+PriceIndex)</f>
        <v/>
      </c>
      <c r="X1354" s="47">
        <f>IF(GrossBasis="Wholesale",V1354,W1354)</f>
        <v/>
      </c>
      <c r="Y1354" s="47">
        <f>R1354*INDEX(FmtBlendedCogs,MATCH(F1354,FmtName,0))</f>
        <v/>
      </c>
      <c r="Z1354" s="47">
        <f>X1354-Y1354</f>
        <v/>
      </c>
    </row>
    <row r="1355">
      <c r="A1355" t="n">
        <v>29</v>
      </c>
      <c r="B1355" s="44">
        <f>FiscalStart+(A1355-1)*7</f>
        <v/>
      </c>
      <c r="C1355">
        <f>TEXT(B1355,"mmm yyyy")</f>
        <v/>
      </c>
      <c r="D1355">
        <f>"Q"&amp;(INT((A1355-1)/13)+1)</f>
        <v/>
      </c>
      <c r="E1355" t="inlineStr">
        <is>
          <t>Fitness</t>
        </is>
      </c>
      <c r="F1355">
        <f>IFERROR(INDEX(ChFormat,MATCH(E1355,ChName,0)),"")</f>
        <v/>
      </c>
      <c r="G1355" t="inlineStr">
        <is>
          <t>QC</t>
        </is>
      </c>
      <c r="H1355">
        <f>IF(A1355&lt;=NWeeks,1,0)</f>
        <v/>
      </c>
      <c r="I1355">
        <f>INDEX(ChLaunch,MATCH(E1355,ChName,0))</f>
        <v/>
      </c>
      <c r="J1355">
        <f>INDEX(ChWeeksFull,MATCH(E1355,ChName,0))</f>
        <v/>
      </c>
      <c r="K1355">
        <f>INDEX(ChRamp,MATCH(E1355,ChName,0))</f>
        <v/>
      </c>
      <c r="L1355" s="45">
        <f>MIN(1,MAX(0,(A1355-I1355+1)*RampSpeed/J1355))</f>
        <v/>
      </c>
      <c r="M1355" s="45">
        <f>IF(A1355&lt;I1355,0,IF(K1355="S-curve",L1355*L1355*(3-2*L1355),L1355))</f>
        <v/>
      </c>
      <c r="N1355" s="45">
        <f>1+(INDEX(SeasonIdx,A1355)-1)*SeasonAmp</f>
        <v/>
      </c>
      <c r="O1355" s="45">
        <f>IFERROR(INDEX(PSPct,MATCH(E1355&amp;"|"&amp;G1355,PSKey,0)),0)</f>
        <v/>
      </c>
      <c r="P1355" s="46">
        <f>INDEX(ChDoorVel,MATCH(E1355,ChName,0))*CalibScalar*(1+VelocityUplift)</f>
        <v/>
      </c>
      <c r="Q1355" s="46" t="n">
        <v>0</v>
      </c>
      <c r="R1355" s="46">
        <f>P1355*O1355*M1355*N1355*H1355</f>
        <v/>
      </c>
      <c r="S1355" s="46">
        <f>R1355*INDEX(FmtCansPerCase,MATCH(F1355,FmtName,0))</f>
        <v/>
      </c>
      <c r="T1355" s="46">
        <f>S1355/INDEX(FmtCansPerPack,MATCH(F1355,FmtName,0))</f>
        <v/>
      </c>
      <c r="U1355" s="47">
        <f>INDEX(ChBaseCP,MATCH(E1355,ChName,0))*(1+INDEX(ProvMod,MATCH(G1355,ProvCode,0)))*(1+PriceIndex)</f>
        <v/>
      </c>
      <c r="V1355" s="47">
        <f>R1355*U1355*INDEX(FmtBlendedPriceIdx,MATCH(F1355,FmtName,0))</f>
        <v/>
      </c>
      <c r="W1355" s="47">
        <f>T1355*INDEX(ProvSRP,MATCH(G1355,ProvCode,0))*(1+PriceIndex)</f>
        <v/>
      </c>
      <c r="X1355" s="47">
        <f>IF(GrossBasis="Wholesale",V1355,W1355)</f>
        <v/>
      </c>
      <c r="Y1355" s="47">
        <f>R1355*INDEX(FmtBlendedCogs,MATCH(F1355,FmtName,0))</f>
        <v/>
      </c>
      <c r="Z1355" s="47">
        <f>X1355-Y1355</f>
        <v/>
      </c>
    </row>
    <row r="1356">
      <c r="A1356" t="n">
        <v>30</v>
      </c>
      <c r="B1356" s="44">
        <f>FiscalStart+(A1356-1)*7</f>
        <v/>
      </c>
      <c r="C1356">
        <f>TEXT(B1356,"mmm yyyy")</f>
        <v/>
      </c>
      <c r="D1356">
        <f>"Q"&amp;(INT((A1356-1)/13)+1)</f>
        <v/>
      </c>
      <c r="E1356" t="inlineStr">
        <is>
          <t>Fitness</t>
        </is>
      </c>
      <c r="F1356">
        <f>IFERROR(INDEX(ChFormat,MATCH(E1356,ChName,0)),"")</f>
        <v/>
      </c>
      <c r="G1356" t="inlineStr">
        <is>
          <t>QC</t>
        </is>
      </c>
      <c r="H1356">
        <f>IF(A1356&lt;=NWeeks,1,0)</f>
        <v/>
      </c>
      <c r="I1356">
        <f>INDEX(ChLaunch,MATCH(E1356,ChName,0))</f>
        <v/>
      </c>
      <c r="J1356">
        <f>INDEX(ChWeeksFull,MATCH(E1356,ChName,0))</f>
        <v/>
      </c>
      <c r="K1356">
        <f>INDEX(ChRamp,MATCH(E1356,ChName,0))</f>
        <v/>
      </c>
      <c r="L1356" s="45">
        <f>MIN(1,MAX(0,(A1356-I1356+1)*RampSpeed/J1356))</f>
        <v/>
      </c>
      <c r="M1356" s="45">
        <f>IF(A1356&lt;I1356,0,IF(K1356="S-curve",L1356*L1356*(3-2*L1356),L1356))</f>
        <v/>
      </c>
      <c r="N1356" s="45">
        <f>1+(INDEX(SeasonIdx,A1356)-1)*SeasonAmp</f>
        <v/>
      </c>
      <c r="O1356" s="45">
        <f>IFERROR(INDEX(PSPct,MATCH(E1356&amp;"|"&amp;G1356,PSKey,0)),0)</f>
        <v/>
      </c>
      <c r="P1356" s="46">
        <f>INDEX(ChDoorVel,MATCH(E1356,ChName,0))*CalibScalar*(1+VelocityUplift)</f>
        <v/>
      </c>
      <c r="Q1356" s="46" t="n">
        <v>0</v>
      </c>
      <c r="R1356" s="46">
        <f>P1356*O1356*M1356*N1356*H1356</f>
        <v/>
      </c>
      <c r="S1356" s="46">
        <f>R1356*INDEX(FmtCansPerCase,MATCH(F1356,FmtName,0))</f>
        <v/>
      </c>
      <c r="T1356" s="46">
        <f>S1356/INDEX(FmtCansPerPack,MATCH(F1356,FmtName,0))</f>
        <v/>
      </c>
      <c r="U1356" s="47">
        <f>INDEX(ChBaseCP,MATCH(E1356,ChName,0))*(1+INDEX(ProvMod,MATCH(G1356,ProvCode,0)))*(1+PriceIndex)</f>
        <v/>
      </c>
      <c r="V1356" s="47">
        <f>R1356*U1356*INDEX(FmtBlendedPriceIdx,MATCH(F1356,FmtName,0))</f>
        <v/>
      </c>
      <c r="W1356" s="47">
        <f>T1356*INDEX(ProvSRP,MATCH(G1356,ProvCode,0))*(1+PriceIndex)</f>
        <v/>
      </c>
      <c r="X1356" s="47">
        <f>IF(GrossBasis="Wholesale",V1356,W1356)</f>
        <v/>
      </c>
      <c r="Y1356" s="47">
        <f>R1356*INDEX(FmtBlendedCogs,MATCH(F1356,FmtName,0))</f>
        <v/>
      </c>
      <c r="Z1356" s="47">
        <f>X1356-Y1356</f>
        <v/>
      </c>
    </row>
    <row r="1357">
      <c r="A1357" t="n">
        <v>31</v>
      </c>
      <c r="B1357" s="44">
        <f>FiscalStart+(A1357-1)*7</f>
        <v/>
      </c>
      <c r="C1357">
        <f>TEXT(B1357,"mmm yyyy")</f>
        <v/>
      </c>
      <c r="D1357">
        <f>"Q"&amp;(INT((A1357-1)/13)+1)</f>
        <v/>
      </c>
      <c r="E1357" t="inlineStr">
        <is>
          <t>Fitness</t>
        </is>
      </c>
      <c r="F1357">
        <f>IFERROR(INDEX(ChFormat,MATCH(E1357,ChName,0)),"")</f>
        <v/>
      </c>
      <c r="G1357" t="inlineStr">
        <is>
          <t>QC</t>
        </is>
      </c>
      <c r="H1357">
        <f>IF(A1357&lt;=NWeeks,1,0)</f>
        <v/>
      </c>
      <c r="I1357">
        <f>INDEX(ChLaunch,MATCH(E1357,ChName,0))</f>
        <v/>
      </c>
      <c r="J1357">
        <f>INDEX(ChWeeksFull,MATCH(E1357,ChName,0))</f>
        <v/>
      </c>
      <c r="K1357">
        <f>INDEX(ChRamp,MATCH(E1357,ChName,0))</f>
        <v/>
      </c>
      <c r="L1357" s="45">
        <f>MIN(1,MAX(0,(A1357-I1357+1)*RampSpeed/J1357))</f>
        <v/>
      </c>
      <c r="M1357" s="45">
        <f>IF(A1357&lt;I1357,0,IF(K1357="S-curve",L1357*L1357*(3-2*L1357),L1357))</f>
        <v/>
      </c>
      <c r="N1357" s="45">
        <f>1+(INDEX(SeasonIdx,A1357)-1)*SeasonAmp</f>
        <v/>
      </c>
      <c r="O1357" s="45">
        <f>IFERROR(INDEX(PSPct,MATCH(E1357&amp;"|"&amp;G1357,PSKey,0)),0)</f>
        <v/>
      </c>
      <c r="P1357" s="46">
        <f>INDEX(ChDoorVel,MATCH(E1357,ChName,0))*CalibScalar*(1+VelocityUplift)</f>
        <v/>
      </c>
      <c r="Q1357" s="46" t="n">
        <v>0</v>
      </c>
      <c r="R1357" s="46">
        <f>P1357*O1357*M1357*N1357*H1357</f>
        <v/>
      </c>
      <c r="S1357" s="46">
        <f>R1357*INDEX(FmtCansPerCase,MATCH(F1357,FmtName,0))</f>
        <v/>
      </c>
      <c r="T1357" s="46">
        <f>S1357/INDEX(FmtCansPerPack,MATCH(F1357,FmtName,0))</f>
        <v/>
      </c>
      <c r="U1357" s="47">
        <f>INDEX(ChBaseCP,MATCH(E1357,ChName,0))*(1+INDEX(ProvMod,MATCH(G1357,ProvCode,0)))*(1+PriceIndex)</f>
        <v/>
      </c>
      <c r="V1357" s="47">
        <f>R1357*U1357*INDEX(FmtBlendedPriceIdx,MATCH(F1357,FmtName,0))</f>
        <v/>
      </c>
      <c r="W1357" s="47">
        <f>T1357*INDEX(ProvSRP,MATCH(G1357,ProvCode,0))*(1+PriceIndex)</f>
        <v/>
      </c>
      <c r="X1357" s="47">
        <f>IF(GrossBasis="Wholesale",V1357,W1357)</f>
        <v/>
      </c>
      <c r="Y1357" s="47">
        <f>R1357*INDEX(FmtBlendedCogs,MATCH(F1357,FmtName,0))</f>
        <v/>
      </c>
      <c r="Z1357" s="47">
        <f>X1357-Y1357</f>
        <v/>
      </c>
    </row>
    <row r="1358">
      <c r="A1358" t="n">
        <v>32</v>
      </c>
      <c r="B1358" s="44">
        <f>FiscalStart+(A1358-1)*7</f>
        <v/>
      </c>
      <c r="C1358">
        <f>TEXT(B1358,"mmm yyyy")</f>
        <v/>
      </c>
      <c r="D1358">
        <f>"Q"&amp;(INT((A1358-1)/13)+1)</f>
        <v/>
      </c>
      <c r="E1358" t="inlineStr">
        <is>
          <t>Fitness</t>
        </is>
      </c>
      <c r="F1358">
        <f>IFERROR(INDEX(ChFormat,MATCH(E1358,ChName,0)),"")</f>
        <v/>
      </c>
      <c r="G1358" t="inlineStr">
        <is>
          <t>QC</t>
        </is>
      </c>
      <c r="H1358">
        <f>IF(A1358&lt;=NWeeks,1,0)</f>
        <v/>
      </c>
      <c r="I1358">
        <f>INDEX(ChLaunch,MATCH(E1358,ChName,0))</f>
        <v/>
      </c>
      <c r="J1358">
        <f>INDEX(ChWeeksFull,MATCH(E1358,ChName,0))</f>
        <v/>
      </c>
      <c r="K1358">
        <f>INDEX(ChRamp,MATCH(E1358,ChName,0))</f>
        <v/>
      </c>
      <c r="L1358" s="45">
        <f>MIN(1,MAX(0,(A1358-I1358+1)*RampSpeed/J1358))</f>
        <v/>
      </c>
      <c r="M1358" s="45">
        <f>IF(A1358&lt;I1358,0,IF(K1358="S-curve",L1358*L1358*(3-2*L1358),L1358))</f>
        <v/>
      </c>
      <c r="N1358" s="45">
        <f>1+(INDEX(SeasonIdx,A1358)-1)*SeasonAmp</f>
        <v/>
      </c>
      <c r="O1358" s="45">
        <f>IFERROR(INDEX(PSPct,MATCH(E1358&amp;"|"&amp;G1358,PSKey,0)),0)</f>
        <v/>
      </c>
      <c r="P1358" s="46">
        <f>INDEX(ChDoorVel,MATCH(E1358,ChName,0))*CalibScalar*(1+VelocityUplift)</f>
        <v/>
      </c>
      <c r="Q1358" s="46" t="n">
        <v>0</v>
      </c>
      <c r="R1358" s="46">
        <f>P1358*O1358*M1358*N1358*H1358</f>
        <v/>
      </c>
      <c r="S1358" s="46">
        <f>R1358*INDEX(FmtCansPerCase,MATCH(F1358,FmtName,0))</f>
        <v/>
      </c>
      <c r="T1358" s="46">
        <f>S1358/INDEX(FmtCansPerPack,MATCH(F1358,FmtName,0))</f>
        <v/>
      </c>
      <c r="U1358" s="47">
        <f>INDEX(ChBaseCP,MATCH(E1358,ChName,0))*(1+INDEX(ProvMod,MATCH(G1358,ProvCode,0)))*(1+PriceIndex)</f>
        <v/>
      </c>
      <c r="V1358" s="47">
        <f>R1358*U1358*INDEX(FmtBlendedPriceIdx,MATCH(F1358,FmtName,0))</f>
        <v/>
      </c>
      <c r="W1358" s="47">
        <f>T1358*INDEX(ProvSRP,MATCH(G1358,ProvCode,0))*(1+PriceIndex)</f>
        <v/>
      </c>
      <c r="X1358" s="47">
        <f>IF(GrossBasis="Wholesale",V1358,W1358)</f>
        <v/>
      </c>
      <c r="Y1358" s="47">
        <f>R1358*INDEX(FmtBlendedCogs,MATCH(F1358,FmtName,0))</f>
        <v/>
      </c>
      <c r="Z1358" s="47">
        <f>X1358-Y1358</f>
        <v/>
      </c>
    </row>
    <row r="1359">
      <c r="A1359" t="n">
        <v>33</v>
      </c>
      <c r="B1359" s="44">
        <f>FiscalStart+(A1359-1)*7</f>
        <v/>
      </c>
      <c r="C1359">
        <f>TEXT(B1359,"mmm yyyy")</f>
        <v/>
      </c>
      <c r="D1359">
        <f>"Q"&amp;(INT((A1359-1)/13)+1)</f>
        <v/>
      </c>
      <c r="E1359" t="inlineStr">
        <is>
          <t>Fitness</t>
        </is>
      </c>
      <c r="F1359">
        <f>IFERROR(INDEX(ChFormat,MATCH(E1359,ChName,0)),"")</f>
        <v/>
      </c>
      <c r="G1359" t="inlineStr">
        <is>
          <t>QC</t>
        </is>
      </c>
      <c r="H1359">
        <f>IF(A1359&lt;=NWeeks,1,0)</f>
        <v/>
      </c>
      <c r="I1359">
        <f>INDEX(ChLaunch,MATCH(E1359,ChName,0))</f>
        <v/>
      </c>
      <c r="J1359">
        <f>INDEX(ChWeeksFull,MATCH(E1359,ChName,0))</f>
        <v/>
      </c>
      <c r="K1359">
        <f>INDEX(ChRamp,MATCH(E1359,ChName,0))</f>
        <v/>
      </c>
      <c r="L1359" s="45">
        <f>MIN(1,MAX(0,(A1359-I1359+1)*RampSpeed/J1359))</f>
        <v/>
      </c>
      <c r="M1359" s="45">
        <f>IF(A1359&lt;I1359,0,IF(K1359="S-curve",L1359*L1359*(3-2*L1359),L1359))</f>
        <v/>
      </c>
      <c r="N1359" s="45">
        <f>1+(INDEX(SeasonIdx,A1359)-1)*SeasonAmp</f>
        <v/>
      </c>
      <c r="O1359" s="45">
        <f>IFERROR(INDEX(PSPct,MATCH(E1359&amp;"|"&amp;G1359,PSKey,0)),0)</f>
        <v/>
      </c>
      <c r="P1359" s="46">
        <f>INDEX(ChDoorVel,MATCH(E1359,ChName,0))*CalibScalar*(1+VelocityUplift)</f>
        <v/>
      </c>
      <c r="Q1359" s="46" t="n">
        <v>0</v>
      </c>
      <c r="R1359" s="46">
        <f>P1359*O1359*M1359*N1359*H1359</f>
        <v/>
      </c>
      <c r="S1359" s="46">
        <f>R1359*INDEX(FmtCansPerCase,MATCH(F1359,FmtName,0))</f>
        <v/>
      </c>
      <c r="T1359" s="46">
        <f>S1359/INDEX(FmtCansPerPack,MATCH(F1359,FmtName,0))</f>
        <v/>
      </c>
      <c r="U1359" s="47">
        <f>INDEX(ChBaseCP,MATCH(E1359,ChName,0))*(1+INDEX(ProvMod,MATCH(G1359,ProvCode,0)))*(1+PriceIndex)</f>
        <v/>
      </c>
      <c r="V1359" s="47">
        <f>R1359*U1359*INDEX(FmtBlendedPriceIdx,MATCH(F1359,FmtName,0))</f>
        <v/>
      </c>
      <c r="W1359" s="47">
        <f>T1359*INDEX(ProvSRP,MATCH(G1359,ProvCode,0))*(1+PriceIndex)</f>
        <v/>
      </c>
      <c r="X1359" s="47">
        <f>IF(GrossBasis="Wholesale",V1359,W1359)</f>
        <v/>
      </c>
      <c r="Y1359" s="47">
        <f>R1359*INDEX(FmtBlendedCogs,MATCH(F1359,FmtName,0))</f>
        <v/>
      </c>
      <c r="Z1359" s="47">
        <f>X1359-Y1359</f>
        <v/>
      </c>
    </row>
    <row r="1360">
      <c r="A1360" t="n">
        <v>34</v>
      </c>
      <c r="B1360" s="44">
        <f>FiscalStart+(A1360-1)*7</f>
        <v/>
      </c>
      <c r="C1360">
        <f>TEXT(B1360,"mmm yyyy")</f>
        <v/>
      </c>
      <c r="D1360">
        <f>"Q"&amp;(INT((A1360-1)/13)+1)</f>
        <v/>
      </c>
      <c r="E1360" t="inlineStr">
        <is>
          <t>Fitness</t>
        </is>
      </c>
      <c r="F1360">
        <f>IFERROR(INDEX(ChFormat,MATCH(E1360,ChName,0)),"")</f>
        <v/>
      </c>
      <c r="G1360" t="inlineStr">
        <is>
          <t>QC</t>
        </is>
      </c>
      <c r="H1360">
        <f>IF(A1360&lt;=NWeeks,1,0)</f>
        <v/>
      </c>
      <c r="I1360">
        <f>INDEX(ChLaunch,MATCH(E1360,ChName,0))</f>
        <v/>
      </c>
      <c r="J1360">
        <f>INDEX(ChWeeksFull,MATCH(E1360,ChName,0))</f>
        <v/>
      </c>
      <c r="K1360">
        <f>INDEX(ChRamp,MATCH(E1360,ChName,0))</f>
        <v/>
      </c>
      <c r="L1360" s="45">
        <f>MIN(1,MAX(0,(A1360-I1360+1)*RampSpeed/J1360))</f>
        <v/>
      </c>
      <c r="M1360" s="45">
        <f>IF(A1360&lt;I1360,0,IF(K1360="S-curve",L1360*L1360*(3-2*L1360),L1360))</f>
        <v/>
      </c>
      <c r="N1360" s="45">
        <f>1+(INDEX(SeasonIdx,A1360)-1)*SeasonAmp</f>
        <v/>
      </c>
      <c r="O1360" s="45">
        <f>IFERROR(INDEX(PSPct,MATCH(E1360&amp;"|"&amp;G1360,PSKey,0)),0)</f>
        <v/>
      </c>
      <c r="P1360" s="46">
        <f>INDEX(ChDoorVel,MATCH(E1360,ChName,0))*CalibScalar*(1+VelocityUplift)</f>
        <v/>
      </c>
      <c r="Q1360" s="46" t="n">
        <v>0</v>
      </c>
      <c r="R1360" s="46">
        <f>P1360*O1360*M1360*N1360*H1360</f>
        <v/>
      </c>
      <c r="S1360" s="46">
        <f>R1360*INDEX(FmtCansPerCase,MATCH(F1360,FmtName,0))</f>
        <v/>
      </c>
      <c r="T1360" s="46">
        <f>S1360/INDEX(FmtCansPerPack,MATCH(F1360,FmtName,0))</f>
        <v/>
      </c>
      <c r="U1360" s="47">
        <f>INDEX(ChBaseCP,MATCH(E1360,ChName,0))*(1+INDEX(ProvMod,MATCH(G1360,ProvCode,0)))*(1+PriceIndex)</f>
        <v/>
      </c>
      <c r="V1360" s="47">
        <f>R1360*U1360*INDEX(FmtBlendedPriceIdx,MATCH(F1360,FmtName,0))</f>
        <v/>
      </c>
      <c r="W1360" s="47">
        <f>T1360*INDEX(ProvSRP,MATCH(G1360,ProvCode,0))*(1+PriceIndex)</f>
        <v/>
      </c>
      <c r="X1360" s="47">
        <f>IF(GrossBasis="Wholesale",V1360,W1360)</f>
        <v/>
      </c>
      <c r="Y1360" s="47">
        <f>R1360*INDEX(FmtBlendedCogs,MATCH(F1360,FmtName,0))</f>
        <v/>
      </c>
      <c r="Z1360" s="47">
        <f>X1360-Y1360</f>
        <v/>
      </c>
    </row>
    <row r="1361">
      <c r="A1361" t="n">
        <v>35</v>
      </c>
      <c r="B1361" s="44">
        <f>FiscalStart+(A1361-1)*7</f>
        <v/>
      </c>
      <c r="C1361">
        <f>TEXT(B1361,"mmm yyyy")</f>
        <v/>
      </c>
      <c r="D1361">
        <f>"Q"&amp;(INT((A1361-1)/13)+1)</f>
        <v/>
      </c>
      <c r="E1361" t="inlineStr">
        <is>
          <t>Fitness</t>
        </is>
      </c>
      <c r="F1361">
        <f>IFERROR(INDEX(ChFormat,MATCH(E1361,ChName,0)),"")</f>
        <v/>
      </c>
      <c r="G1361" t="inlineStr">
        <is>
          <t>QC</t>
        </is>
      </c>
      <c r="H1361">
        <f>IF(A1361&lt;=NWeeks,1,0)</f>
        <v/>
      </c>
      <c r="I1361">
        <f>INDEX(ChLaunch,MATCH(E1361,ChName,0))</f>
        <v/>
      </c>
      <c r="J1361">
        <f>INDEX(ChWeeksFull,MATCH(E1361,ChName,0))</f>
        <v/>
      </c>
      <c r="K1361">
        <f>INDEX(ChRamp,MATCH(E1361,ChName,0))</f>
        <v/>
      </c>
      <c r="L1361" s="45">
        <f>MIN(1,MAX(0,(A1361-I1361+1)*RampSpeed/J1361))</f>
        <v/>
      </c>
      <c r="M1361" s="45">
        <f>IF(A1361&lt;I1361,0,IF(K1361="S-curve",L1361*L1361*(3-2*L1361),L1361))</f>
        <v/>
      </c>
      <c r="N1361" s="45">
        <f>1+(INDEX(SeasonIdx,A1361)-1)*SeasonAmp</f>
        <v/>
      </c>
      <c r="O1361" s="45">
        <f>IFERROR(INDEX(PSPct,MATCH(E1361&amp;"|"&amp;G1361,PSKey,0)),0)</f>
        <v/>
      </c>
      <c r="P1361" s="46">
        <f>INDEX(ChDoorVel,MATCH(E1361,ChName,0))*CalibScalar*(1+VelocityUplift)</f>
        <v/>
      </c>
      <c r="Q1361" s="46" t="n">
        <v>0</v>
      </c>
      <c r="R1361" s="46">
        <f>P1361*O1361*M1361*N1361*H1361</f>
        <v/>
      </c>
      <c r="S1361" s="46">
        <f>R1361*INDEX(FmtCansPerCase,MATCH(F1361,FmtName,0))</f>
        <v/>
      </c>
      <c r="T1361" s="46">
        <f>S1361/INDEX(FmtCansPerPack,MATCH(F1361,FmtName,0))</f>
        <v/>
      </c>
      <c r="U1361" s="47">
        <f>INDEX(ChBaseCP,MATCH(E1361,ChName,0))*(1+INDEX(ProvMod,MATCH(G1361,ProvCode,0)))*(1+PriceIndex)</f>
        <v/>
      </c>
      <c r="V1361" s="47">
        <f>R1361*U1361*INDEX(FmtBlendedPriceIdx,MATCH(F1361,FmtName,0))</f>
        <v/>
      </c>
      <c r="W1361" s="47">
        <f>T1361*INDEX(ProvSRP,MATCH(G1361,ProvCode,0))*(1+PriceIndex)</f>
        <v/>
      </c>
      <c r="X1361" s="47">
        <f>IF(GrossBasis="Wholesale",V1361,W1361)</f>
        <v/>
      </c>
      <c r="Y1361" s="47">
        <f>R1361*INDEX(FmtBlendedCogs,MATCH(F1361,FmtName,0))</f>
        <v/>
      </c>
      <c r="Z1361" s="47">
        <f>X1361-Y1361</f>
        <v/>
      </c>
    </row>
    <row r="1362">
      <c r="A1362" t="n">
        <v>36</v>
      </c>
      <c r="B1362" s="44">
        <f>FiscalStart+(A1362-1)*7</f>
        <v/>
      </c>
      <c r="C1362">
        <f>TEXT(B1362,"mmm yyyy")</f>
        <v/>
      </c>
      <c r="D1362">
        <f>"Q"&amp;(INT((A1362-1)/13)+1)</f>
        <v/>
      </c>
      <c r="E1362" t="inlineStr">
        <is>
          <t>Fitness</t>
        </is>
      </c>
      <c r="F1362">
        <f>IFERROR(INDEX(ChFormat,MATCH(E1362,ChName,0)),"")</f>
        <v/>
      </c>
      <c r="G1362" t="inlineStr">
        <is>
          <t>QC</t>
        </is>
      </c>
      <c r="H1362">
        <f>IF(A1362&lt;=NWeeks,1,0)</f>
        <v/>
      </c>
      <c r="I1362">
        <f>INDEX(ChLaunch,MATCH(E1362,ChName,0))</f>
        <v/>
      </c>
      <c r="J1362">
        <f>INDEX(ChWeeksFull,MATCH(E1362,ChName,0))</f>
        <v/>
      </c>
      <c r="K1362">
        <f>INDEX(ChRamp,MATCH(E1362,ChName,0))</f>
        <v/>
      </c>
      <c r="L1362" s="45">
        <f>MIN(1,MAX(0,(A1362-I1362+1)*RampSpeed/J1362))</f>
        <v/>
      </c>
      <c r="M1362" s="45">
        <f>IF(A1362&lt;I1362,0,IF(K1362="S-curve",L1362*L1362*(3-2*L1362),L1362))</f>
        <v/>
      </c>
      <c r="N1362" s="45">
        <f>1+(INDEX(SeasonIdx,A1362)-1)*SeasonAmp</f>
        <v/>
      </c>
      <c r="O1362" s="45">
        <f>IFERROR(INDEX(PSPct,MATCH(E1362&amp;"|"&amp;G1362,PSKey,0)),0)</f>
        <v/>
      </c>
      <c r="P1362" s="46">
        <f>INDEX(ChDoorVel,MATCH(E1362,ChName,0))*CalibScalar*(1+VelocityUplift)</f>
        <v/>
      </c>
      <c r="Q1362" s="46" t="n">
        <v>0</v>
      </c>
      <c r="R1362" s="46">
        <f>P1362*O1362*M1362*N1362*H1362</f>
        <v/>
      </c>
      <c r="S1362" s="46">
        <f>R1362*INDEX(FmtCansPerCase,MATCH(F1362,FmtName,0))</f>
        <v/>
      </c>
      <c r="T1362" s="46">
        <f>S1362/INDEX(FmtCansPerPack,MATCH(F1362,FmtName,0))</f>
        <v/>
      </c>
      <c r="U1362" s="47">
        <f>INDEX(ChBaseCP,MATCH(E1362,ChName,0))*(1+INDEX(ProvMod,MATCH(G1362,ProvCode,0)))*(1+PriceIndex)</f>
        <v/>
      </c>
      <c r="V1362" s="47">
        <f>R1362*U1362*INDEX(FmtBlendedPriceIdx,MATCH(F1362,FmtName,0))</f>
        <v/>
      </c>
      <c r="W1362" s="47">
        <f>T1362*INDEX(ProvSRP,MATCH(G1362,ProvCode,0))*(1+PriceIndex)</f>
        <v/>
      </c>
      <c r="X1362" s="47">
        <f>IF(GrossBasis="Wholesale",V1362,W1362)</f>
        <v/>
      </c>
      <c r="Y1362" s="47">
        <f>R1362*INDEX(FmtBlendedCogs,MATCH(F1362,FmtName,0))</f>
        <v/>
      </c>
      <c r="Z1362" s="47">
        <f>X1362-Y1362</f>
        <v/>
      </c>
    </row>
    <row r="1363">
      <c r="A1363" t="n">
        <v>37</v>
      </c>
      <c r="B1363" s="44">
        <f>FiscalStart+(A1363-1)*7</f>
        <v/>
      </c>
      <c r="C1363">
        <f>TEXT(B1363,"mmm yyyy")</f>
        <v/>
      </c>
      <c r="D1363">
        <f>"Q"&amp;(INT((A1363-1)/13)+1)</f>
        <v/>
      </c>
      <c r="E1363" t="inlineStr">
        <is>
          <t>Fitness</t>
        </is>
      </c>
      <c r="F1363">
        <f>IFERROR(INDEX(ChFormat,MATCH(E1363,ChName,0)),"")</f>
        <v/>
      </c>
      <c r="G1363" t="inlineStr">
        <is>
          <t>QC</t>
        </is>
      </c>
      <c r="H1363">
        <f>IF(A1363&lt;=NWeeks,1,0)</f>
        <v/>
      </c>
      <c r="I1363">
        <f>INDEX(ChLaunch,MATCH(E1363,ChName,0))</f>
        <v/>
      </c>
      <c r="J1363">
        <f>INDEX(ChWeeksFull,MATCH(E1363,ChName,0))</f>
        <v/>
      </c>
      <c r="K1363">
        <f>INDEX(ChRamp,MATCH(E1363,ChName,0))</f>
        <v/>
      </c>
      <c r="L1363" s="45">
        <f>MIN(1,MAX(0,(A1363-I1363+1)*RampSpeed/J1363))</f>
        <v/>
      </c>
      <c r="M1363" s="45">
        <f>IF(A1363&lt;I1363,0,IF(K1363="S-curve",L1363*L1363*(3-2*L1363),L1363))</f>
        <v/>
      </c>
      <c r="N1363" s="45">
        <f>1+(INDEX(SeasonIdx,A1363)-1)*SeasonAmp</f>
        <v/>
      </c>
      <c r="O1363" s="45">
        <f>IFERROR(INDEX(PSPct,MATCH(E1363&amp;"|"&amp;G1363,PSKey,0)),0)</f>
        <v/>
      </c>
      <c r="P1363" s="46">
        <f>INDEX(ChDoorVel,MATCH(E1363,ChName,0))*CalibScalar*(1+VelocityUplift)</f>
        <v/>
      </c>
      <c r="Q1363" s="46" t="n">
        <v>0</v>
      </c>
      <c r="R1363" s="46">
        <f>P1363*O1363*M1363*N1363*H1363</f>
        <v/>
      </c>
      <c r="S1363" s="46">
        <f>R1363*INDEX(FmtCansPerCase,MATCH(F1363,FmtName,0))</f>
        <v/>
      </c>
      <c r="T1363" s="46">
        <f>S1363/INDEX(FmtCansPerPack,MATCH(F1363,FmtName,0))</f>
        <v/>
      </c>
      <c r="U1363" s="47">
        <f>INDEX(ChBaseCP,MATCH(E1363,ChName,0))*(1+INDEX(ProvMod,MATCH(G1363,ProvCode,0)))*(1+PriceIndex)</f>
        <v/>
      </c>
      <c r="V1363" s="47">
        <f>R1363*U1363*INDEX(FmtBlendedPriceIdx,MATCH(F1363,FmtName,0))</f>
        <v/>
      </c>
      <c r="W1363" s="47">
        <f>T1363*INDEX(ProvSRP,MATCH(G1363,ProvCode,0))*(1+PriceIndex)</f>
        <v/>
      </c>
      <c r="X1363" s="47">
        <f>IF(GrossBasis="Wholesale",V1363,W1363)</f>
        <v/>
      </c>
      <c r="Y1363" s="47">
        <f>R1363*INDEX(FmtBlendedCogs,MATCH(F1363,FmtName,0))</f>
        <v/>
      </c>
      <c r="Z1363" s="47">
        <f>X1363-Y1363</f>
        <v/>
      </c>
    </row>
    <row r="1364">
      <c r="A1364" t="n">
        <v>38</v>
      </c>
      <c r="B1364" s="44">
        <f>FiscalStart+(A1364-1)*7</f>
        <v/>
      </c>
      <c r="C1364">
        <f>TEXT(B1364,"mmm yyyy")</f>
        <v/>
      </c>
      <c r="D1364">
        <f>"Q"&amp;(INT((A1364-1)/13)+1)</f>
        <v/>
      </c>
      <c r="E1364" t="inlineStr">
        <is>
          <t>Fitness</t>
        </is>
      </c>
      <c r="F1364">
        <f>IFERROR(INDEX(ChFormat,MATCH(E1364,ChName,0)),"")</f>
        <v/>
      </c>
      <c r="G1364" t="inlineStr">
        <is>
          <t>QC</t>
        </is>
      </c>
      <c r="H1364">
        <f>IF(A1364&lt;=NWeeks,1,0)</f>
        <v/>
      </c>
      <c r="I1364">
        <f>INDEX(ChLaunch,MATCH(E1364,ChName,0))</f>
        <v/>
      </c>
      <c r="J1364">
        <f>INDEX(ChWeeksFull,MATCH(E1364,ChName,0))</f>
        <v/>
      </c>
      <c r="K1364">
        <f>INDEX(ChRamp,MATCH(E1364,ChName,0))</f>
        <v/>
      </c>
      <c r="L1364" s="45">
        <f>MIN(1,MAX(0,(A1364-I1364+1)*RampSpeed/J1364))</f>
        <v/>
      </c>
      <c r="M1364" s="45">
        <f>IF(A1364&lt;I1364,0,IF(K1364="S-curve",L1364*L1364*(3-2*L1364),L1364))</f>
        <v/>
      </c>
      <c r="N1364" s="45">
        <f>1+(INDEX(SeasonIdx,A1364)-1)*SeasonAmp</f>
        <v/>
      </c>
      <c r="O1364" s="45">
        <f>IFERROR(INDEX(PSPct,MATCH(E1364&amp;"|"&amp;G1364,PSKey,0)),0)</f>
        <v/>
      </c>
      <c r="P1364" s="46">
        <f>INDEX(ChDoorVel,MATCH(E1364,ChName,0))*CalibScalar*(1+VelocityUplift)</f>
        <v/>
      </c>
      <c r="Q1364" s="46" t="n">
        <v>0</v>
      </c>
      <c r="R1364" s="46">
        <f>P1364*O1364*M1364*N1364*H1364</f>
        <v/>
      </c>
      <c r="S1364" s="46">
        <f>R1364*INDEX(FmtCansPerCase,MATCH(F1364,FmtName,0))</f>
        <v/>
      </c>
      <c r="T1364" s="46">
        <f>S1364/INDEX(FmtCansPerPack,MATCH(F1364,FmtName,0))</f>
        <v/>
      </c>
      <c r="U1364" s="47">
        <f>INDEX(ChBaseCP,MATCH(E1364,ChName,0))*(1+INDEX(ProvMod,MATCH(G1364,ProvCode,0)))*(1+PriceIndex)</f>
        <v/>
      </c>
      <c r="V1364" s="47">
        <f>R1364*U1364*INDEX(FmtBlendedPriceIdx,MATCH(F1364,FmtName,0))</f>
        <v/>
      </c>
      <c r="W1364" s="47">
        <f>T1364*INDEX(ProvSRP,MATCH(G1364,ProvCode,0))*(1+PriceIndex)</f>
        <v/>
      </c>
      <c r="X1364" s="47">
        <f>IF(GrossBasis="Wholesale",V1364,W1364)</f>
        <v/>
      </c>
      <c r="Y1364" s="47">
        <f>R1364*INDEX(FmtBlendedCogs,MATCH(F1364,FmtName,0))</f>
        <v/>
      </c>
      <c r="Z1364" s="47">
        <f>X1364-Y1364</f>
        <v/>
      </c>
    </row>
    <row r="1365">
      <c r="A1365" t="n">
        <v>39</v>
      </c>
      <c r="B1365" s="44">
        <f>FiscalStart+(A1365-1)*7</f>
        <v/>
      </c>
      <c r="C1365">
        <f>TEXT(B1365,"mmm yyyy")</f>
        <v/>
      </c>
      <c r="D1365">
        <f>"Q"&amp;(INT((A1365-1)/13)+1)</f>
        <v/>
      </c>
      <c r="E1365" t="inlineStr">
        <is>
          <t>Fitness</t>
        </is>
      </c>
      <c r="F1365">
        <f>IFERROR(INDEX(ChFormat,MATCH(E1365,ChName,0)),"")</f>
        <v/>
      </c>
      <c r="G1365" t="inlineStr">
        <is>
          <t>QC</t>
        </is>
      </c>
      <c r="H1365">
        <f>IF(A1365&lt;=NWeeks,1,0)</f>
        <v/>
      </c>
      <c r="I1365">
        <f>INDEX(ChLaunch,MATCH(E1365,ChName,0))</f>
        <v/>
      </c>
      <c r="J1365">
        <f>INDEX(ChWeeksFull,MATCH(E1365,ChName,0))</f>
        <v/>
      </c>
      <c r="K1365">
        <f>INDEX(ChRamp,MATCH(E1365,ChName,0))</f>
        <v/>
      </c>
      <c r="L1365" s="45">
        <f>MIN(1,MAX(0,(A1365-I1365+1)*RampSpeed/J1365))</f>
        <v/>
      </c>
      <c r="M1365" s="45">
        <f>IF(A1365&lt;I1365,0,IF(K1365="S-curve",L1365*L1365*(3-2*L1365),L1365))</f>
        <v/>
      </c>
      <c r="N1365" s="45">
        <f>1+(INDEX(SeasonIdx,A1365)-1)*SeasonAmp</f>
        <v/>
      </c>
      <c r="O1365" s="45">
        <f>IFERROR(INDEX(PSPct,MATCH(E1365&amp;"|"&amp;G1365,PSKey,0)),0)</f>
        <v/>
      </c>
      <c r="P1365" s="46">
        <f>INDEX(ChDoorVel,MATCH(E1365,ChName,0))*CalibScalar*(1+VelocityUplift)</f>
        <v/>
      </c>
      <c r="Q1365" s="46" t="n">
        <v>0</v>
      </c>
      <c r="R1365" s="46">
        <f>P1365*O1365*M1365*N1365*H1365</f>
        <v/>
      </c>
      <c r="S1365" s="46">
        <f>R1365*INDEX(FmtCansPerCase,MATCH(F1365,FmtName,0))</f>
        <v/>
      </c>
      <c r="T1365" s="46">
        <f>S1365/INDEX(FmtCansPerPack,MATCH(F1365,FmtName,0))</f>
        <v/>
      </c>
      <c r="U1365" s="47">
        <f>INDEX(ChBaseCP,MATCH(E1365,ChName,0))*(1+INDEX(ProvMod,MATCH(G1365,ProvCode,0)))*(1+PriceIndex)</f>
        <v/>
      </c>
      <c r="V1365" s="47">
        <f>R1365*U1365*INDEX(FmtBlendedPriceIdx,MATCH(F1365,FmtName,0))</f>
        <v/>
      </c>
      <c r="W1365" s="47">
        <f>T1365*INDEX(ProvSRP,MATCH(G1365,ProvCode,0))*(1+PriceIndex)</f>
        <v/>
      </c>
      <c r="X1365" s="47">
        <f>IF(GrossBasis="Wholesale",V1365,W1365)</f>
        <v/>
      </c>
      <c r="Y1365" s="47">
        <f>R1365*INDEX(FmtBlendedCogs,MATCH(F1365,FmtName,0))</f>
        <v/>
      </c>
      <c r="Z1365" s="47">
        <f>X1365-Y1365</f>
        <v/>
      </c>
    </row>
    <row r="1366">
      <c r="A1366" t="n">
        <v>40</v>
      </c>
      <c r="B1366" s="44">
        <f>FiscalStart+(A1366-1)*7</f>
        <v/>
      </c>
      <c r="C1366">
        <f>TEXT(B1366,"mmm yyyy")</f>
        <v/>
      </c>
      <c r="D1366">
        <f>"Q"&amp;(INT((A1366-1)/13)+1)</f>
        <v/>
      </c>
      <c r="E1366" t="inlineStr">
        <is>
          <t>Fitness</t>
        </is>
      </c>
      <c r="F1366">
        <f>IFERROR(INDEX(ChFormat,MATCH(E1366,ChName,0)),"")</f>
        <v/>
      </c>
      <c r="G1366" t="inlineStr">
        <is>
          <t>QC</t>
        </is>
      </c>
      <c r="H1366">
        <f>IF(A1366&lt;=NWeeks,1,0)</f>
        <v/>
      </c>
      <c r="I1366">
        <f>INDEX(ChLaunch,MATCH(E1366,ChName,0))</f>
        <v/>
      </c>
      <c r="J1366">
        <f>INDEX(ChWeeksFull,MATCH(E1366,ChName,0))</f>
        <v/>
      </c>
      <c r="K1366">
        <f>INDEX(ChRamp,MATCH(E1366,ChName,0))</f>
        <v/>
      </c>
      <c r="L1366" s="45">
        <f>MIN(1,MAX(0,(A1366-I1366+1)*RampSpeed/J1366))</f>
        <v/>
      </c>
      <c r="M1366" s="45">
        <f>IF(A1366&lt;I1366,0,IF(K1366="S-curve",L1366*L1366*(3-2*L1366),L1366))</f>
        <v/>
      </c>
      <c r="N1366" s="45">
        <f>1+(INDEX(SeasonIdx,A1366)-1)*SeasonAmp</f>
        <v/>
      </c>
      <c r="O1366" s="45">
        <f>IFERROR(INDEX(PSPct,MATCH(E1366&amp;"|"&amp;G1366,PSKey,0)),0)</f>
        <v/>
      </c>
      <c r="P1366" s="46">
        <f>INDEX(ChDoorVel,MATCH(E1366,ChName,0))*CalibScalar*(1+VelocityUplift)</f>
        <v/>
      </c>
      <c r="Q1366" s="46" t="n">
        <v>0</v>
      </c>
      <c r="R1366" s="46">
        <f>P1366*O1366*M1366*N1366*H1366</f>
        <v/>
      </c>
      <c r="S1366" s="46">
        <f>R1366*INDEX(FmtCansPerCase,MATCH(F1366,FmtName,0))</f>
        <v/>
      </c>
      <c r="T1366" s="46">
        <f>S1366/INDEX(FmtCansPerPack,MATCH(F1366,FmtName,0))</f>
        <v/>
      </c>
      <c r="U1366" s="47">
        <f>INDEX(ChBaseCP,MATCH(E1366,ChName,0))*(1+INDEX(ProvMod,MATCH(G1366,ProvCode,0)))*(1+PriceIndex)</f>
        <v/>
      </c>
      <c r="V1366" s="47">
        <f>R1366*U1366*INDEX(FmtBlendedPriceIdx,MATCH(F1366,FmtName,0))</f>
        <v/>
      </c>
      <c r="W1366" s="47">
        <f>T1366*INDEX(ProvSRP,MATCH(G1366,ProvCode,0))*(1+PriceIndex)</f>
        <v/>
      </c>
      <c r="X1366" s="47">
        <f>IF(GrossBasis="Wholesale",V1366,W1366)</f>
        <v/>
      </c>
      <c r="Y1366" s="47">
        <f>R1366*INDEX(FmtBlendedCogs,MATCH(F1366,FmtName,0))</f>
        <v/>
      </c>
      <c r="Z1366" s="47">
        <f>X1366-Y1366</f>
        <v/>
      </c>
    </row>
    <row r="1367">
      <c r="A1367" t="n">
        <v>41</v>
      </c>
      <c r="B1367" s="44">
        <f>FiscalStart+(A1367-1)*7</f>
        <v/>
      </c>
      <c r="C1367">
        <f>TEXT(B1367,"mmm yyyy")</f>
        <v/>
      </c>
      <c r="D1367">
        <f>"Q"&amp;(INT((A1367-1)/13)+1)</f>
        <v/>
      </c>
      <c r="E1367" t="inlineStr">
        <is>
          <t>Fitness</t>
        </is>
      </c>
      <c r="F1367">
        <f>IFERROR(INDEX(ChFormat,MATCH(E1367,ChName,0)),"")</f>
        <v/>
      </c>
      <c r="G1367" t="inlineStr">
        <is>
          <t>QC</t>
        </is>
      </c>
      <c r="H1367">
        <f>IF(A1367&lt;=NWeeks,1,0)</f>
        <v/>
      </c>
      <c r="I1367">
        <f>INDEX(ChLaunch,MATCH(E1367,ChName,0))</f>
        <v/>
      </c>
      <c r="J1367">
        <f>INDEX(ChWeeksFull,MATCH(E1367,ChName,0))</f>
        <v/>
      </c>
      <c r="K1367">
        <f>INDEX(ChRamp,MATCH(E1367,ChName,0))</f>
        <v/>
      </c>
      <c r="L1367" s="45">
        <f>MIN(1,MAX(0,(A1367-I1367+1)*RampSpeed/J1367))</f>
        <v/>
      </c>
      <c r="M1367" s="45">
        <f>IF(A1367&lt;I1367,0,IF(K1367="S-curve",L1367*L1367*(3-2*L1367),L1367))</f>
        <v/>
      </c>
      <c r="N1367" s="45">
        <f>1+(INDEX(SeasonIdx,A1367)-1)*SeasonAmp</f>
        <v/>
      </c>
      <c r="O1367" s="45">
        <f>IFERROR(INDEX(PSPct,MATCH(E1367&amp;"|"&amp;G1367,PSKey,0)),0)</f>
        <v/>
      </c>
      <c r="P1367" s="46">
        <f>INDEX(ChDoorVel,MATCH(E1367,ChName,0))*CalibScalar*(1+VelocityUplift)</f>
        <v/>
      </c>
      <c r="Q1367" s="46" t="n">
        <v>0</v>
      </c>
      <c r="R1367" s="46">
        <f>P1367*O1367*M1367*N1367*H1367</f>
        <v/>
      </c>
      <c r="S1367" s="46">
        <f>R1367*INDEX(FmtCansPerCase,MATCH(F1367,FmtName,0))</f>
        <v/>
      </c>
      <c r="T1367" s="46">
        <f>S1367/INDEX(FmtCansPerPack,MATCH(F1367,FmtName,0))</f>
        <v/>
      </c>
      <c r="U1367" s="47">
        <f>INDEX(ChBaseCP,MATCH(E1367,ChName,0))*(1+INDEX(ProvMod,MATCH(G1367,ProvCode,0)))*(1+PriceIndex)</f>
        <v/>
      </c>
      <c r="V1367" s="47">
        <f>R1367*U1367*INDEX(FmtBlendedPriceIdx,MATCH(F1367,FmtName,0))</f>
        <v/>
      </c>
      <c r="W1367" s="47">
        <f>T1367*INDEX(ProvSRP,MATCH(G1367,ProvCode,0))*(1+PriceIndex)</f>
        <v/>
      </c>
      <c r="X1367" s="47">
        <f>IF(GrossBasis="Wholesale",V1367,W1367)</f>
        <v/>
      </c>
      <c r="Y1367" s="47">
        <f>R1367*INDEX(FmtBlendedCogs,MATCH(F1367,FmtName,0))</f>
        <v/>
      </c>
      <c r="Z1367" s="47">
        <f>X1367-Y1367</f>
        <v/>
      </c>
    </row>
    <row r="1368">
      <c r="A1368" t="n">
        <v>42</v>
      </c>
      <c r="B1368" s="44">
        <f>FiscalStart+(A1368-1)*7</f>
        <v/>
      </c>
      <c r="C1368">
        <f>TEXT(B1368,"mmm yyyy")</f>
        <v/>
      </c>
      <c r="D1368">
        <f>"Q"&amp;(INT((A1368-1)/13)+1)</f>
        <v/>
      </c>
      <c r="E1368" t="inlineStr">
        <is>
          <t>Fitness</t>
        </is>
      </c>
      <c r="F1368">
        <f>IFERROR(INDEX(ChFormat,MATCH(E1368,ChName,0)),"")</f>
        <v/>
      </c>
      <c r="G1368" t="inlineStr">
        <is>
          <t>QC</t>
        </is>
      </c>
      <c r="H1368">
        <f>IF(A1368&lt;=NWeeks,1,0)</f>
        <v/>
      </c>
      <c r="I1368">
        <f>INDEX(ChLaunch,MATCH(E1368,ChName,0))</f>
        <v/>
      </c>
      <c r="J1368">
        <f>INDEX(ChWeeksFull,MATCH(E1368,ChName,0))</f>
        <v/>
      </c>
      <c r="K1368">
        <f>INDEX(ChRamp,MATCH(E1368,ChName,0))</f>
        <v/>
      </c>
      <c r="L1368" s="45">
        <f>MIN(1,MAX(0,(A1368-I1368+1)*RampSpeed/J1368))</f>
        <v/>
      </c>
      <c r="M1368" s="45">
        <f>IF(A1368&lt;I1368,0,IF(K1368="S-curve",L1368*L1368*(3-2*L1368),L1368))</f>
        <v/>
      </c>
      <c r="N1368" s="45">
        <f>1+(INDEX(SeasonIdx,A1368)-1)*SeasonAmp</f>
        <v/>
      </c>
      <c r="O1368" s="45">
        <f>IFERROR(INDEX(PSPct,MATCH(E1368&amp;"|"&amp;G1368,PSKey,0)),0)</f>
        <v/>
      </c>
      <c r="P1368" s="46">
        <f>INDEX(ChDoorVel,MATCH(E1368,ChName,0))*CalibScalar*(1+VelocityUplift)</f>
        <v/>
      </c>
      <c r="Q1368" s="46" t="n">
        <v>0</v>
      </c>
      <c r="R1368" s="46">
        <f>P1368*O1368*M1368*N1368*H1368</f>
        <v/>
      </c>
      <c r="S1368" s="46">
        <f>R1368*INDEX(FmtCansPerCase,MATCH(F1368,FmtName,0))</f>
        <v/>
      </c>
      <c r="T1368" s="46">
        <f>S1368/INDEX(FmtCansPerPack,MATCH(F1368,FmtName,0))</f>
        <v/>
      </c>
      <c r="U1368" s="47">
        <f>INDEX(ChBaseCP,MATCH(E1368,ChName,0))*(1+INDEX(ProvMod,MATCH(G1368,ProvCode,0)))*(1+PriceIndex)</f>
        <v/>
      </c>
      <c r="V1368" s="47">
        <f>R1368*U1368*INDEX(FmtBlendedPriceIdx,MATCH(F1368,FmtName,0))</f>
        <v/>
      </c>
      <c r="W1368" s="47">
        <f>T1368*INDEX(ProvSRP,MATCH(G1368,ProvCode,0))*(1+PriceIndex)</f>
        <v/>
      </c>
      <c r="X1368" s="47">
        <f>IF(GrossBasis="Wholesale",V1368,W1368)</f>
        <v/>
      </c>
      <c r="Y1368" s="47">
        <f>R1368*INDEX(FmtBlendedCogs,MATCH(F1368,FmtName,0))</f>
        <v/>
      </c>
      <c r="Z1368" s="47">
        <f>X1368-Y1368</f>
        <v/>
      </c>
    </row>
    <row r="1369">
      <c r="A1369" t="n">
        <v>43</v>
      </c>
      <c r="B1369" s="44">
        <f>FiscalStart+(A1369-1)*7</f>
        <v/>
      </c>
      <c r="C1369">
        <f>TEXT(B1369,"mmm yyyy")</f>
        <v/>
      </c>
      <c r="D1369">
        <f>"Q"&amp;(INT((A1369-1)/13)+1)</f>
        <v/>
      </c>
      <c r="E1369" t="inlineStr">
        <is>
          <t>Fitness</t>
        </is>
      </c>
      <c r="F1369">
        <f>IFERROR(INDEX(ChFormat,MATCH(E1369,ChName,0)),"")</f>
        <v/>
      </c>
      <c r="G1369" t="inlineStr">
        <is>
          <t>QC</t>
        </is>
      </c>
      <c r="H1369">
        <f>IF(A1369&lt;=NWeeks,1,0)</f>
        <v/>
      </c>
      <c r="I1369">
        <f>INDEX(ChLaunch,MATCH(E1369,ChName,0))</f>
        <v/>
      </c>
      <c r="J1369">
        <f>INDEX(ChWeeksFull,MATCH(E1369,ChName,0))</f>
        <v/>
      </c>
      <c r="K1369">
        <f>INDEX(ChRamp,MATCH(E1369,ChName,0))</f>
        <v/>
      </c>
      <c r="L1369" s="45">
        <f>MIN(1,MAX(0,(A1369-I1369+1)*RampSpeed/J1369))</f>
        <v/>
      </c>
      <c r="M1369" s="45">
        <f>IF(A1369&lt;I1369,0,IF(K1369="S-curve",L1369*L1369*(3-2*L1369),L1369))</f>
        <v/>
      </c>
      <c r="N1369" s="45">
        <f>1+(INDEX(SeasonIdx,A1369)-1)*SeasonAmp</f>
        <v/>
      </c>
      <c r="O1369" s="45">
        <f>IFERROR(INDEX(PSPct,MATCH(E1369&amp;"|"&amp;G1369,PSKey,0)),0)</f>
        <v/>
      </c>
      <c r="P1369" s="46">
        <f>INDEX(ChDoorVel,MATCH(E1369,ChName,0))*CalibScalar*(1+VelocityUplift)</f>
        <v/>
      </c>
      <c r="Q1369" s="46" t="n">
        <v>0</v>
      </c>
      <c r="R1369" s="46">
        <f>P1369*O1369*M1369*N1369*H1369</f>
        <v/>
      </c>
      <c r="S1369" s="46">
        <f>R1369*INDEX(FmtCansPerCase,MATCH(F1369,FmtName,0))</f>
        <v/>
      </c>
      <c r="T1369" s="46">
        <f>S1369/INDEX(FmtCansPerPack,MATCH(F1369,FmtName,0))</f>
        <v/>
      </c>
      <c r="U1369" s="47">
        <f>INDEX(ChBaseCP,MATCH(E1369,ChName,0))*(1+INDEX(ProvMod,MATCH(G1369,ProvCode,0)))*(1+PriceIndex)</f>
        <v/>
      </c>
      <c r="V1369" s="47">
        <f>R1369*U1369*INDEX(FmtBlendedPriceIdx,MATCH(F1369,FmtName,0))</f>
        <v/>
      </c>
      <c r="W1369" s="47">
        <f>T1369*INDEX(ProvSRP,MATCH(G1369,ProvCode,0))*(1+PriceIndex)</f>
        <v/>
      </c>
      <c r="X1369" s="47">
        <f>IF(GrossBasis="Wholesale",V1369,W1369)</f>
        <v/>
      </c>
      <c r="Y1369" s="47">
        <f>R1369*INDEX(FmtBlendedCogs,MATCH(F1369,FmtName,0))</f>
        <v/>
      </c>
      <c r="Z1369" s="47">
        <f>X1369-Y1369</f>
        <v/>
      </c>
    </row>
    <row r="1370">
      <c r="A1370" t="n">
        <v>44</v>
      </c>
      <c r="B1370" s="44">
        <f>FiscalStart+(A1370-1)*7</f>
        <v/>
      </c>
      <c r="C1370">
        <f>TEXT(B1370,"mmm yyyy")</f>
        <v/>
      </c>
      <c r="D1370">
        <f>"Q"&amp;(INT((A1370-1)/13)+1)</f>
        <v/>
      </c>
      <c r="E1370" t="inlineStr">
        <is>
          <t>Fitness</t>
        </is>
      </c>
      <c r="F1370">
        <f>IFERROR(INDEX(ChFormat,MATCH(E1370,ChName,0)),"")</f>
        <v/>
      </c>
      <c r="G1370" t="inlineStr">
        <is>
          <t>QC</t>
        </is>
      </c>
      <c r="H1370">
        <f>IF(A1370&lt;=NWeeks,1,0)</f>
        <v/>
      </c>
      <c r="I1370">
        <f>INDEX(ChLaunch,MATCH(E1370,ChName,0))</f>
        <v/>
      </c>
      <c r="J1370">
        <f>INDEX(ChWeeksFull,MATCH(E1370,ChName,0))</f>
        <v/>
      </c>
      <c r="K1370">
        <f>INDEX(ChRamp,MATCH(E1370,ChName,0))</f>
        <v/>
      </c>
      <c r="L1370" s="45">
        <f>MIN(1,MAX(0,(A1370-I1370+1)*RampSpeed/J1370))</f>
        <v/>
      </c>
      <c r="M1370" s="45">
        <f>IF(A1370&lt;I1370,0,IF(K1370="S-curve",L1370*L1370*(3-2*L1370),L1370))</f>
        <v/>
      </c>
      <c r="N1370" s="45">
        <f>1+(INDEX(SeasonIdx,A1370)-1)*SeasonAmp</f>
        <v/>
      </c>
      <c r="O1370" s="45">
        <f>IFERROR(INDEX(PSPct,MATCH(E1370&amp;"|"&amp;G1370,PSKey,0)),0)</f>
        <v/>
      </c>
      <c r="P1370" s="46">
        <f>INDEX(ChDoorVel,MATCH(E1370,ChName,0))*CalibScalar*(1+VelocityUplift)</f>
        <v/>
      </c>
      <c r="Q1370" s="46" t="n">
        <v>0</v>
      </c>
      <c r="R1370" s="46">
        <f>P1370*O1370*M1370*N1370*H1370</f>
        <v/>
      </c>
      <c r="S1370" s="46">
        <f>R1370*INDEX(FmtCansPerCase,MATCH(F1370,FmtName,0))</f>
        <v/>
      </c>
      <c r="T1370" s="46">
        <f>S1370/INDEX(FmtCansPerPack,MATCH(F1370,FmtName,0))</f>
        <v/>
      </c>
      <c r="U1370" s="47">
        <f>INDEX(ChBaseCP,MATCH(E1370,ChName,0))*(1+INDEX(ProvMod,MATCH(G1370,ProvCode,0)))*(1+PriceIndex)</f>
        <v/>
      </c>
      <c r="V1370" s="47">
        <f>R1370*U1370*INDEX(FmtBlendedPriceIdx,MATCH(F1370,FmtName,0))</f>
        <v/>
      </c>
      <c r="W1370" s="47">
        <f>T1370*INDEX(ProvSRP,MATCH(G1370,ProvCode,0))*(1+PriceIndex)</f>
        <v/>
      </c>
      <c r="X1370" s="47">
        <f>IF(GrossBasis="Wholesale",V1370,W1370)</f>
        <v/>
      </c>
      <c r="Y1370" s="47">
        <f>R1370*INDEX(FmtBlendedCogs,MATCH(F1370,FmtName,0))</f>
        <v/>
      </c>
      <c r="Z1370" s="47">
        <f>X1370-Y1370</f>
        <v/>
      </c>
    </row>
    <row r="1371">
      <c r="A1371" t="n">
        <v>45</v>
      </c>
      <c r="B1371" s="44">
        <f>FiscalStart+(A1371-1)*7</f>
        <v/>
      </c>
      <c r="C1371">
        <f>TEXT(B1371,"mmm yyyy")</f>
        <v/>
      </c>
      <c r="D1371">
        <f>"Q"&amp;(INT((A1371-1)/13)+1)</f>
        <v/>
      </c>
      <c r="E1371" t="inlineStr">
        <is>
          <t>Fitness</t>
        </is>
      </c>
      <c r="F1371">
        <f>IFERROR(INDEX(ChFormat,MATCH(E1371,ChName,0)),"")</f>
        <v/>
      </c>
      <c r="G1371" t="inlineStr">
        <is>
          <t>QC</t>
        </is>
      </c>
      <c r="H1371">
        <f>IF(A1371&lt;=NWeeks,1,0)</f>
        <v/>
      </c>
      <c r="I1371">
        <f>INDEX(ChLaunch,MATCH(E1371,ChName,0))</f>
        <v/>
      </c>
      <c r="J1371">
        <f>INDEX(ChWeeksFull,MATCH(E1371,ChName,0))</f>
        <v/>
      </c>
      <c r="K1371">
        <f>INDEX(ChRamp,MATCH(E1371,ChName,0))</f>
        <v/>
      </c>
      <c r="L1371" s="45">
        <f>MIN(1,MAX(0,(A1371-I1371+1)*RampSpeed/J1371))</f>
        <v/>
      </c>
      <c r="M1371" s="45">
        <f>IF(A1371&lt;I1371,0,IF(K1371="S-curve",L1371*L1371*(3-2*L1371),L1371))</f>
        <v/>
      </c>
      <c r="N1371" s="45">
        <f>1+(INDEX(SeasonIdx,A1371)-1)*SeasonAmp</f>
        <v/>
      </c>
      <c r="O1371" s="45">
        <f>IFERROR(INDEX(PSPct,MATCH(E1371&amp;"|"&amp;G1371,PSKey,0)),0)</f>
        <v/>
      </c>
      <c r="P1371" s="46">
        <f>INDEX(ChDoorVel,MATCH(E1371,ChName,0))*CalibScalar*(1+VelocityUplift)</f>
        <v/>
      </c>
      <c r="Q1371" s="46" t="n">
        <v>0</v>
      </c>
      <c r="R1371" s="46">
        <f>P1371*O1371*M1371*N1371*H1371</f>
        <v/>
      </c>
      <c r="S1371" s="46">
        <f>R1371*INDEX(FmtCansPerCase,MATCH(F1371,FmtName,0))</f>
        <v/>
      </c>
      <c r="T1371" s="46">
        <f>S1371/INDEX(FmtCansPerPack,MATCH(F1371,FmtName,0))</f>
        <v/>
      </c>
      <c r="U1371" s="47">
        <f>INDEX(ChBaseCP,MATCH(E1371,ChName,0))*(1+INDEX(ProvMod,MATCH(G1371,ProvCode,0)))*(1+PriceIndex)</f>
        <v/>
      </c>
      <c r="V1371" s="47">
        <f>R1371*U1371*INDEX(FmtBlendedPriceIdx,MATCH(F1371,FmtName,0))</f>
        <v/>
      </c>
      <c r="W1371" s="47">
        <f>T1371*INDEX(ProvSRP,MATCH(G1371,ProvCode,0))*(1+PriceIndex)</f>
        <v/>
      </c>
      <c r="X1371" s="47">
        <f>IF(GrossBasis="Wholesale",V1371,W1371)</f>
        <v/>
      </c>
      <c r="Y1371" s="47">
        <f>R1371*INDEX(FmtBlendedCogs,MATCH(F1371,FmtName,0))</f>
        <v/>
      </c>
      <c r="Z1371" s="47">
        <f>X1371-Y1371</f>
        <v/>
      </c>
    </row>
    <row r="1372">
      <c r="A1372" t="n">
        <v>46</v>
      </c>
      <c r="B1372" s="44">
        <f>FiscalStart+(A1372-1)*7</f>
        <v/>
      </c>
      <c r="C1372">
        <f>TEXT(B1372,"mmm yyyy")</f>
        <v/>
      </c>
      <c r="D1372">
        <f>"Q"&amp;(INT((A1372-1)/13)+1)</f>
        <v/>
      </c>
      <c r="E1372" t="inlineStr">
        <is>
          <t>Fitness</t>
        </is>
      </c>
      <c r="F1372">
        <f>IFERROR(INDEX(ChFormat,MATCH(E1372,ChName,0)),"")</f>
        <v/>
      </c>
      <c r="G1372" t="inlineStr">
        <is>
          <t>QC</t>
        </is>
      </c>
      <c r="H1372">
        <f>IF(A1372&lt;=NWeeks,1,0)</f>
        <v/>
      </c>
      <c r="I1372">
        <f>INDEX(ChLaunch,MATCH(E1372,ChName,0))</f>
        <v/>
      </c>
      <c r="J1372">
        <f>INDEX(ChWeeksFull,MATCH(E1372,ChName,0))</f>
        <v/>
      </c>
      <c r="K1372">
        <f>INDEX(ChRamp,MATCH(E1372,ChName,0))</f>
        <v/>
      </c>
      <c r="L1372" s="45">
        <f>MIN(1,MAX(0,(A1372-I1372+1)*RampSpeed/J1372))</f>
        <v/>
      </c>
      <c r="M1372" s="45">
        <f>IF(A1372&lt;I1372,0,IF(K1372="S-curve",L1372*L1372*(3-2*L1372),L1372))</f>
        <v/>
      </c>
      <c r="N1372" s="45">
        <f>1+(INDEX(SeasonIdx,A1372)-1)*SeasonAmp</f>
        <v/>
      </c>
      <c r="O1372" s="45">
        <f>IFERROR(INDEX(PSPct,MATCH(E1372&amp;"|"&amp;G1372,PSKey,0)),0)</f>
        <v/>
      </c>
      <c r="P1372" s="46">
        <f>INDEX(ChDoorVel,MATCH(E1372,ChName,0))*CalibScalar*(1+VelocityUplift)</f>
        <v/>
      </c>
      <c r="Q1372" s="46" t="n">
        <v>0</v>
      </c>
      <c r="R1372" s="46">
        <f>P1372*O1372*M1372*N1372*H1372</f>
        <v/>
      </c>
      <c r="S1372" s="46">
        <f>R1372*INDEX(FmtCansPerCase,MATCH(F1372,FmtName,0))</f>
        <v/>
      </c>
      <c r="T1372" s="46">
        <f>S1372/INDEX(FmtCansPerPack,MATCH(F1372,FmtName,0))</f>
        <v/>
      </c>
      <c r="U1372" s="47">
        <f>INDEX(ChBaseCP,MATCH(E1372,ChName,0))*(1+INDEX(ProvMod,MATCH(G1372,ProvCode,0)))*(1+PriceIndex)</f>
        <v/>
      </c>
      <c r="V1372" s="47">
        <f>R1372*U1372*INDEX(FmtBlendedPriceIdx,MATCH(F1372,FmtName,0))</f>
        <v/>
      </c>
      <c r="W1372" s="47">
        <f>T1372*INDEX(ProvSRP,MATCH(G1372,ProvCode,0))*(1+PriceIndex)</f>
        <v/>
      </c>
      <c r="X1372" s="47">
        <f>IF(GrossBasis="Wholesale",V1372,W1372)</f>
        <v/>
      </c>
      <c r="Y1372" s="47">
        <f>R1372*INDEX(FmtBlendedCogs,MATCH(F1372,FmtName,0))</f>
        <v/>
      </c>
      <c r="Z1372" s="47">
        <f>X1372-Y1372</f>
        <v/>
      </c>
    </row>
    <row r="1373">
      <c r="A1373" t="n">
        <v>47</v>
      </c>
      <c r="B1373" s="44">
        <f>FiscalStart+(A1373-1)*7</f>
        <v/>
      </c>
      <c r="C1373">
        <f>TEXT(B1373,"mmm yyyy")</f>
        <v/>
      </c>
      <c r="D1373">
        <f>"Q"&amp;(INT((A1373-1)/13)+1)</f>
        <v/>
      </c>
      <c r="E1373" t="inlineStr">
        <is>
          <t>Fitness</t>
        </is>
      </c>
      <c r="F1373">
        <f>IFERROR(INDEX(ChFormat,MATCH(E1373,ChName,0)),"")</f>
        <v/>
      </c>
      <c r="G1373" t="inlineStr">
        <is>
          <t>QC</t>
        </is>
      </c>
      <c r="H1373">
        <f>IF(A1373&lt;=NWeeks,1,0)</f>
        <v/>
      </c>
      <c r="I1373">
        <f>INDEX(ChLaunch,MATCH(E1373,ChName,0))</f>
        <v/>
      </c>
      <c r="J1373">
        <f>INDEX(ChWeeksFull,MATCH(E1373,ChName,0))</f>
        <v/>
      </c>
      <c r="K1373">
        <f>INDEX(ChRamp,MATCH(E1373,ChName,0))</f>
        <v/>
      </c>
      <c r="L1373" s="45">
        <f>MIN(1,MAX(0,(A1373-I1373+1)*RampSpeed/J1373))</f>
        <v/>
      </c>
      <c r="M1373" s="45">
        <f>IF(A1373&lt;I1373,0,IF(K1373="S-curve",L1373*L1373*(3-2*L1373),L1373))</f>
        <v/>
      </c>
      <c r="N1373" s="45">
        <f>1+(INDEX(SeasonIdx,A1373)-1)*SeasonAmp</f>
        <v/>
      </c>
      <c r="O1373" s="45">
        <f>IFERROR(INDEX(PSPct,MATCH(E1373&amp;"|"&amp;G1373,PSKey,0)),0)</f>
        <v/>
      </c>
      <c r="P1373" s="46">
        <f>INDEX(ChDoorVel,MATCH(E1373,ChName,0))*CalibScalar*(1+VelocityUplift)</f>
        <v/>
      </c>
      <c r="Q1373" s="46" t="n">
        <v>0</v>
      </c>
      <c r="R1373" s="46">
        <f>P1373*O1373*M1373*N1373*H1373</f>
        <v/>
      </c>
      <c r="S1373" s="46">
        <f>R1373*INDEX(FmtCansPerCase,MATCH(F1373,FmtName,0))</f>
        <v/>
      </c>
      <c r="T1373" s="46">
        <f>S1373/INDEX(FmtCansPerPack,MATCH(F1373,FmtName,0))</f>
        <v/>
      </c>
      <c r="U1373" s="47">
        <f>INDEX(ChBaseCP,MATCH(E1373,ChName,0))*(1+INDEX(ProvMod,MATCH(G1373,ProvCode,0)))*(1+PriceIndex)</f>
        <v/>
      </c>
      <c r="V1373" s="47">
        <f>R1373*U1373*INDEX(FmtBlendedPriceIdx,MATCH(F1373,FmtName,0))</f>
        <v/>
      </c>
      <c r="W1373" s="47">
        <f>T1373*INDEX(ProvSRP,MATCH(G1373,ProvCode,0))*(1+PriceIndex)</f>
        <v/>
      </c>
      <c r="X1373" s="47">
        <f>IF(GrossBasis="Wholesale",V1373,W1373)</f>
        <v/>
      </c>
      <c r="Y1373" s="47">
        <f>R1373*INDEX(FmtBlendedCogs,MATCH(F1373,FmtName,0))</f>
        <v/>
      </c>
      <c r="Z1373" s="47">
        <f>X1373-Y1373</f>
        <v/>
      </c>
    </row>
    <row r="1374">
      <c r="A1374" t="n">
        <v>48</v>
      </c>
      <c r="B1374" s="44">
        <f>FiscalStart+(A1374-1)*7</f>
        <v/>
      </c>
      <c r="C1374">
        <f>TEXT(B1374,"mmm yyyy")</f>
        <v/>
      </c>
      <c r="D1374">
        <f>"Q"&amp;(INT((A1374-1)/13)+1)</f>
        <v/>
      </c>
      <c r="E1374" t="inlineStr">
        <is>
          <t>Fitness</t>
        </is>
      </c>
      <c r="F1374">
        <f>IFERROR(INDEX(ChFormat,MATCH(E1374,ChName,0)),"")</f>
        <v/>
      </c>
      <c r="G1374" t="inlineStr">
        <is>
          <t>QC</t>
        </is>
      </c>
      <c r="H1374">
        <f>IF(A1374&lt;=NWeeks,1,0)</f>
        <v/>
      </c>
      <c r="I1374">
        <f>INDEX(ChLaunch,MATCH(E1374,ChName,0))</f>
        <v/>
      </c>
      <c r="J1374">
        <f>INDEX(ChWeeksFull,MATCH(E1374,ChName,0))</f>
        <v/>
      </c>
      <c r="K1374">
        <f>INDEX(ChRamp,MATCH(E1374,ChName,0))</f>
        <v/>
      </c>
      <c r="L1374" s="45">
        <f>MIN(1,MAX(0,(A1374-I1374+1)*RampSpeed/J1374))</f>
        <v/>
      </c>
      <c r="M1374" s="45">
        <f>IF(A1374&lt;I1374,0,IF(K1374="S-curve",L1374*L1374*(3-2*L1374),L1374))</f>
        <v/>
      </c>
      <c r="N1374" s="45">
        <f>1+(INDEX(SeasonIdx,A1374)-1)*SeasonAmp</f>
        <v/>
      </c>
      <c r="O1374" s="45">
        <f>IFERROR(INDEX(PSPct,MATCH(E1374&amp;"|"&amp;G1374,PSKey,0)),0)</f>
        <v/>
      </c>
      <c r="P1374" s="46">
        <f>INDEX(ChDoorVel,MATCH(E1374,ChName,0))*CalibScalar*(1+VelocityUplift)</f>
        <v/>
      </c>
      <c r="Q1374" s="46" t="n">
        <v>0</v>
      </c>
      <c r="R1374" s="46">
        <f>P1374*O1374*M1374*N1374*H1374</f>
        <v/>
      </c>
      <c r="S1374" s="46">
        <f>R1374*INDEX(FmtCansPerCase,MATCH(F1374,FmtName,0))</f>
        <v/>
      </c>
      <c r="T1374" s="46">
        <f>S1374/INDEX(FmtCansPerPack,MATCH(F1374,FmtName,0))</f>
        <v/>
      </c>
      <c r="U1374" s="47">
        <f>INDEX(ChBaseCP,MATCH(E1374,ChName,0))*(1+INDEX(ProvMod,MATCH(G1374,ProvCode,0)))*(1+PriceIndex)</f>
        <v/>
      </c>
      <c r="V1374" s="47">
        <f>R1374*U1374*INDEX(FmtBlendedPriceIdx,MATCH(F1374,FmtName,0))</f>
        <v/>
      </c>
      <c r="W1374" s="47">
        <f>T1374*INDEX(ProvSRP,MATCH(G1374,ProvCode,0))*(1+PriceIndex)</f>
        <v/>
      </c>
      <c r="X1374" s="47">
        <f>IF(GrossBasis="Wholesale",V1374,W1374)</f>
        <v/>
      </c>
      <c r="Y1374" s="47">
        <f>R1374*INDEX(FmtBlendedCogs,MATCH(F1374,FmtName,0))</f>
        <v/>
      </c>
      <c r="Z1374" s="47">
        <f>X1374-Y1374</f>
        <v/>
      </c>
    </row>
    <row r="1375">
      <c r="A1375" t="n">
        <v>49</v>
      </c>
      <c r="B1375" s="44">
        <f>FiscalStart+(A1375-1)*7</f>
        <v/>
      </c>
      <c r="C1375">
        <f>TEXT(B1375,"mmm yyyy")</f>
        <v/>
      </c>
      <c r="D1375">
        <f>"Q"&amp;(INT((A1375-1)/13)+1)</f>
        <v/>
      </c>
      <c r="E1375" t="inlineStr">
        <is>
          <t>Fitness</t>
        </is>
      </c>
      <c r="F1375">
        <f>IFERROR(INDEX(ChFormat,MATCH(E1375,ChName,0)),"")</f>
        <v/>
      </c>
      <c r="G1375" t="inlineStr">
        <is>
          <t>QC</t>
        </is>
      </c>
      <c r="H1375">
        <f>IF(A1375&lt;=NWeeks,1,0)</f>
        <v/>
      </c>
      <c r="I1375">
        <f>INDEX(ChLaunch,MATCH(E1375,ChName,0))</f>
        <v/>
      </c>
      <c r="J1375">
        <f>INDEX(ChWeeksFull,MATCH(E1375,ChName,0))</f>
        <v/>
      </c>
      <c r="K1375">
        <f>INDEX(ChRamp,MATCH(E1375,ChName,0))</f>
        <v/>
      </c>
      <c r="L1375" s="45">
        <f>MIN(1,MAX(0,(A1375-I1375+1)*RampSpeed/J1375))</f>
        <v/>
      </c>
      <c r="M1375" s="45">
        <f>IF(A1375&lt;I1375,0,IF(K1375="S-curve",L1375*L1375*(3-2*L1375),L1375))</f>
        <v/>
      </c>
      <c r="N1375" s="45">
        <f>1+(INDEX(SeasonIdx,A1375)-1)*SeasonAmp</f>
        <v/>
      </c>
      <c r="O1375" s="45">
        <f>IFERROR(INDEX(PSPct,MATCH(E1375&amp;"|"&amp;G1375,PSKey,0)),0)</f>
        <v/>
      </c>
      <c r="P1375" s="46">
        <f>INDEX(ChDoorVel,MATCH(E1375,ChName,0))*CalibScalar*(1+VelocityUplift)</f>
        <v/>
      </c>
      <c r="Q1375" s="46" t="n">
        <v>0</v>
      </c>
      <c r="R1375" s="46">
        <f>P1375*O1375*M1375*N1375*H1375</f>
        <v/>
      </c>
      <c r="S1375" s="46">
        <f>R1375*INDEX(FmtCansPerCase,MATCH(F1375,FmtName,0))</f>
        <v/>
      </c>
      <c r="T1375" s="46">
        <f>S1375/INDEX(FmtCansPerPack,MATCH(F1375,FmtName,0))</f>
        <v/>
      </c>
      <c r="U1375" s="47">
        <f>INDEX(ChBaseCP,MATCH(E1375,ChName,0))*(1+INDEX(ProvMod,MATCH(G1375,ProvCode,0)))*(1+PriceIndex)</f>
        <v/>
      </c>
      <c r="V1375" s="47">
        <f>R1375*U1375*INDEX(FmtBlendedPriceIdx,MATCH(F1375,FmtName,0))</f>
        <v/>
      </c>
      <c r="W1375" s="47">
        <f>T1375*INDEX(ProvSRP,MATCH(G1375,ProvCode,0))*(1+PriceIndex)</f>
        <v/>
      </c>
      <c r="X1375" s="47">
        <f>IF(GrossBasis="Wholesale",V1375,W1375)</f>
        <v/>
      </c>
      <c r="Y1375" s="47">
        <f>R1375*INDEX(FmtBlendedCogs,MATCH(F1375,FmtName,0))</f>
        <v/>
      </c>
      <c r="Z1375" s="47">
        <f>X1375-Y1375</f>
        <v/>
      </c>
    </row>
    <row r="1376">
      <c r="A1376" t="n">
        <v>50</v>
      </c>
      <c r="B1376" s="44">
        <f>FiscalStart+(A1376-1)*7</f>
        <v/>
      </c>
      <c r="C1376">
        <f>TEXT(B1376,"mmm yyyy")</f>
        <v/>
      </c>
      <c r="D1376">
        <f>"Q"&amp;(INT((A1376-1)/13)+1)</f>
        <v/>
      </c>
      <c r="E1376" t="inlineStr">
        <is>
          <t>Fitness</t>
        </is>
      </c>
      <c r="F1376">
        <f>IFERROR(INDEX(ChFormat,MATCH(E1376,ChName,0)),"")</f>
        <v/>
      </c>
      <c r="G1376" t="inlineStr">
        <is>
          <t>QC</t>
        </is>
      </c>
      <c r="H1376">
        <f>IF(A1376&lt;=NWeeks,1,0)</f>
        <v/>
      </c>
      <c r="I1376">
        <f>INDEX(ChLaunch,MATCH(E1376,ChName,0))</f>
        <v/>
      </c>
      <c r="J1376">
        <f>INDEX(ChWeeksFull,MATCH(E1376,ChName,0))</f>
        <v/>
      </c>
      <c r="K1376">
        <f>INDEX(ChRamp,MATCH(E1376,ChName,0))</f>
        <v/>
      </c>
      <c r="L1376" s="45">
        <f>MIN(1,MAX(0,(A1376-I1376+1)*RampSpeed/J1376))</f>
        <v/>
      </c>
      <c r="M1376" s="45">
        <f>IF(A1376&lt;I1376,0,IF(K1376="S-curve",L1376*L1376*(3-2*L1376),L1376))</f>
        <v/>
      </c>
      <c r="N1376" s="45">
        <f>1+(INDEX(SeasonIdx,A1376)-1)*SeasonAmp</f>
        <v/>
      </c>
      <c r="O1376" s="45">
        <f>IFERROR(INDEX(PSPct,MATCH(E1376&amp;"|"&amp;G1376,PSKey,0)),0)</f>
        <v/>
      </c>
      <c r="P1376" s="46">
        <f>INDEX(ChDoorVel,MATCH(E1376,ChName,0))*CalibScalar*(1+VelocityUplift)</f>
        <v/>
      </c>
      <c r="Q1376" s="46" t="n">
        <v>0</v>
      </c>
      <c r="R1376" s="46">
        <f>P1376*O1376*M1376*N1376*H1376</f>
        <v/>
      </c>
      <c r="S1376" s="46">
        <f>R1376*INDEX(FmtCansPerCase,MATCH(F1376,FmtName,0))</f>
        <v/>
      </c>
      <c r="T1376" s="46">
        <f>S1376/INDEX(FmtCansPerPack,MATCH(F1376,FmtName,0))</f>
        <v/>
      </c>
      <c r="U1376" s="47">
        <f>INDEX(ChBaseCP,MATCH(E1376,ChName,0))*(1+INDEX(ProvMod,MATCH(G1376,ProvCode,0)))*(1+PriceIndex)</f>
        <v/>
      </c>
      <c r="V1376" s="47">
        <f>R1376*U1376*INDEX(FmtBlendedPriceIdx,MATCH(F1376,FmtName,0))</f>
        <v/>
      </c>
      <c r="W1376" s="47">
        <f>T1376*INDEX(ProvSRP,MATCH(G1376,ProvCode,0))*(1+PriceIndex)</f>
        <v/>
      </c>
      <c r="X1376" s="47">
        <f>IF(GrossBasis="Wholesale",V1376,W1376)</f>
        <v/>
      </c>
      <c r="Y1376" s="47">
        <f>R1376*INDEX(FmtBlendedCogs,MATCH(F1376,FmtName,0))</f>
        <v/>
      </c>
      <c r="Z1376" s="47">
        <f>X1376-Y1376</f>
        <v/>
      </c>
    </row>
    <row r="1377">
      <c r="A1377" t="n">
        <v>51</v>
      </c>
      <c r="B1377" s="44">
        <f>FiscalStart+(A1377-1)*7</f>
        <v/>
      </c>
      <c r="C1377">
        <f>TEXT(B1377,"mmm yyyy")</f>
        <v/>
      </c>
      <c r="D1377">
        <f>"Q"&amp;(INT((A1377-1)/13)+1)</f>
        <v/>
      </c>
      <c r="E1377" t="inlineStr">
        <is>
          <t>Fitness</t>
        </is>
      </c>
      <c r="F1377">
        <f>IFERROR(INDEX(ChFormat,MATCH(E1377,ChName,0)),"")</f>
        <v/>
      </c>
      <c r="G1377" t="inlineStr">
        <is>
          <t>QC</t>
        </is>
      </c>
      <c r="H1377">
        <f>IF(A1377&lt;=NWeeks,1,0)</f>
        <v/>
      </c>
      <c r="I1377">
        <f>INDEX(ChLaunch,MATCH(E1377,ChName,0))</f>
        <v/>
      </c>
      <c r="J1377">
        <f>INDEX(ChWeeksFull,MATCH(E1377,ChName,0))</f>
        <v/>
      </c>
      <c r="K1377">
        <f>INDEX(ChRamp,MATCH(E1377,ChName,0))</f>
        <v/>
      </c>
      <c r="L1377" s="45">
        <f>MIN(1,MAX(0,(A1377-I1377+1)*RampSpeed/J1377))</f>
        <v/>
      </c>
      <c r="M1377" s="45">
        <f>IF(A1377&lt;I1377,0,IF(K1377="S-curve",L1377*L1377*(3-2*L1377),L1377))</f>
        <v/>
      </c>
      <c r="N1377" s="45">
        <f>1+(INDEX(SeasonIdx,A1377)-1)*SeasonAmp</f>
        <v/>
      </c>
      <c r="O1377" s="45">
        <f>IFERROR(INDEX(PSPct,MATCH(E1377&amp;"|"&amp;G1377,PSKey,0)),0)</f>
        <v/>
      </c>
      <c r="P1377" s="46">
        <f>INDEX(ChDoorVel,MATCH(E1377,ChName,0))*CalibScalar*(1+VelocityUplift)</f>
        <v/>
      </c>
      <c r="Q1377" s="46" t="n">
        <v>0</v>
      </c>
      <c r="R1377" s="46">
        <f>P1377*O1377*M1377*N1377*H1377</f>
        <v/>
      </c>
      <c r="S1377" s="46">
        <f>R1377*INDEX(FmtCansPerCase,MATCH(F1377,FmtName,0))</f>
        <v/>
      </c>
      <c r="T1377" s="46">
        <f>S1377/INDEX(FmtCansPerPack,MATCH(F1377,FmtName,0))</f>
        <v/>
      </c>
      <c r="U1377" s="47">
        <f>INDEX(ChBaseCP,MATCH(E1377,ChName,0))*(1+INDEX(ProvMod,MATCH(G1377,ProvCode,0)))*(1+PriceIndex)</f>
        <v/>
      </c>
      <c r="V1377" s="47">
        <f>R1377*U1377*INDEX(FmtBlendedPriceIdx,MATCH(F1377,FmtName,0))</f>
        <v/>
      </c>
      <c r="W1377" s="47">
        <f>T1377*INDEX(ProvSRP,MATCH(G1377,ProvCode,0))*(1+PriceIndex)</f>
        <v/>
      </c>
      <c r="X1377" s="47">
        <f>IF(GrossBasis="Wholesale",V1377,W1377)</f>
        <v/>
      </c>
      <c r="Y1377" s="47">
        <f>R1377*INDEX(FmtBlendedCogs,MATCH(F1377,FmtName,0))</f>
        <v/>
      </c>
      <c r="Z1377" s="47">
        <f>X1377-Y1377</f>
        <v/>
      </c>
    </row>
    <row r="1378">
      <c r="A1378" t="n">
        <v>52</v>
      </c>
      <c r="B1378" s="44">
        <f>FiscalStart+(A1378-1)*7</f>
        <v/>
      </c>
      <c r="C1378">
        <f>TEXT(B1378,"mmm yyyy")</f>
        <v/>
      </c>
      <c r="D1378">
        <f>"Q"&amp;(INT((A1378-1)/13)+1)</f>
        <v/>
      </c>
      <c r="E1378" t="inlineStr">
        <is>
          <t>Fitness</t>
        </is>
      </c>
      <c r="F1378">
        <f>IFERROR(INDEX(ChFormat,MATCH(E1378,ChName,0)),"")</f>
        <v/>
      </c>
      <c r="G1378" t="inlineStr">
        <is>
          <t>QC</t>
        </is>
      </c>
      <c r="H1378">
        <f>IF(A1378&lt;=NWeeks,1,0)</f>
        <v/>
      </c>
      <c r="I1378">
        <f>INDEX(ChLaunch,MATCH(E1378,ChName,0))</f>
        <v/>
      </c>
      <c r="J1378">
        <f>INDEX(ChWeeksFull,MATCH(E1378,ChName,0))</f>
        <v/>
      </c>
      <c r="K1378">
        <f>INDEX(ChRamp,MATCH(E1378,ChName,0))</f>
        <v/>
      </c>
      <c r="L1378" s="45">
        <f>MIN(1,MAX(0,(A1378-I1378+1)*RampSpeed/J1378))</f>
        <v/>
      </c>
      <c r="M1378" s="45">
        <f>IF(A1378&lt;I1378,0,IF(K1378="S-curve",L1378*L1378*(3-2*L1378),L1378))</f>
        <v/>
      </c>
      <c r="N1378" s="45">
        <f>1+(INDEX(SeasonIdx,A1378)-1)*SeasonAmp</f>
        <v/>
      </c>
      <c r="O1378" s="45">
        <f>IFERROR(INDEX(PSPct,MATCH(E1378&amp;"|"&amp;G1378,PSKey,0)),0)</f>
        <v/>
      </c>
      <c r="P1378" s="46">
        <f>INDEX(ChDoorVel,MATCH(E1378,ChName,0))*CalibScalar*(1+VelocityUplift)</f>
        <v/>
      </c>
      <c r="Q1378" s="46" t="n">
        <v>0</v>
      </c>
      <c r="R1378" s="46">
        <f>P1378*O1378*M1378*N1378*H1378</f>
        <v/>
      </c>
      <c r="S1378" s="46">
        <f>R1378*INDEX(FmtCansPerCase,MATCH(F1378,FmtName,0))</f>
        <v/>
      </c>
      <c r="T1378" s="46">
        <f>S1378/INDEX(FmtCansPerPack,MATCH(F1378,FmtName,0))</f>
        <v/>
      </c>
      <c r="U1378" s="47">
        <f>INDEX(ChBaseCP,MATCH(E1378,ChName,0))*(1+INDEX(ProvMod,MATCH(G1378,ProvCode,0)))*(1+PriceIndex)</f>
        <v/>
      </c>
      <c r="V1378" s="47">
        <f>R1378*U1378*INDEX(FmtBlendedPriceIdx,MATCH(F1378,FmtName,0))</f>
        <v/>
      </c>
      <c r="W1378" s="47">
        <f>T1378*INDEX(ProvSRP,MATCH(G1378,ProvCode,0))*(1+PriceIndex)</f>
        <v/>
      </c>
      <c r="X1378" s="47">
        <f>IF(GrossBasis="Wholesale",V1378,W1378)</f>
        <v/>
      </c>
      <c r="Y1378" s="47">
        <f>R1378*INDEX(FmtBlendedCogs,MATCH(F1378,FmtName,0))</f>
        <v/>
      </c>
      <c r="Z1378" s="47">
        <f>X1378-Y1378</f>
        <v/>
      </c>
    </row>
    <row r="1379">
      <c r="A1379" t="n">
        <v>53</v>
      </c>
      <c r="B1379" s="44">
        <f>FiscalStart+(A1379-1)*7</f>
        <v/>
      </c>
      <c r="C1379">
        <f>TEXT(B1379,"mmm yyyy")</f>
        <v/>
      </c>
      <c r="D1379">
        <f>"Q"&amp;(INT((A1379-1)/13)+1)</f>
        <v/>
      </c>
      <c r="E1379" t="inlineStr">
        <is>
          <t>Fitness</t>
        </is>
      </c>
      <c r="F1379">
        <f>IFERROR(INDEX(ChFormat,MATCH(E1379,ChName,0)),"")</f>
        <v/>
      </c>
      <c r="G1379" t="inlineStr">
        <is>
          <t>QC</t>
        </is>
      </c>
      <c r="H1379">
        <f>IF(A1379&lt;=NWeeks,1,0)</f>
        <v/>
      </c>
      <c r="I1379">
        <f>INDEX(ChLaunch,MATCH(E1379,ChName,0))</f>
        <v/>
      </c>
      <c r="J1379">
        <f>INDEX(ChWeeksFull,MATCH(E1379,ChName,0))</f>
        <v/>
      </c>
      <c r="K1379">
        <f>INDEX(ChRamp,MATCH(E1379,ChName,0))</f>
        <v/>
      </c>
      <c r="L1379" s="45">
        <f>MIN(1,MAX(0,(A1379-I1379+1)*RampSpeed/J1379))</f>
        <v/>
      </c>
      <c r="M1379" s="45">
        <f>IF(A1379&lt;I1379,0,IF(K1379="S-curve",L1379*L1379*(3-2*L1379),L1379))</f>
        <v/>
      </c>
      <c r="N1379" s="45">
        <f>1+(INDEX(SeasonIdx,A1379)-1)*SeasonAmp</f>
        <v/>
      </c>
      <c r="O1379" s="45">
        <f>IFERROR(INDEX(PSPct,MATCH(E1379&amp;"|"&amp;G1379,PSKey,0)),0)</f>
        <v/>
      </c>
      <c r="P1379" s="46">
        <f>INDEX(ChDoorVel,MATCH(E1379,ChName,0))*CalibScalar*(1+VelocityUplift)</f>
        <v/>
      </c>
      <c r="Q1379" s="46" t="n">
        <v>0</v>
      </c>
      <c r="R1379" s="46">
        <f>P1379*O1379*M1379*N1379*H1379</f>
        <v/>
      </c>
      <c r="S1379" s="46">
        <f>R1379*INDEX(FmtCansPerCase,MATCH(F1379,FmtName,0))</f>
        <v/>
      </c>
      <c r="T1379" s="46">
        <f>S1379/INDEX(FmtCansPerPack,MATCH(F1379,FmtName,0))</f>
        <v/>
      </c>
      <c r="U1379" s="47">
        <f>INDEX(ChBaseCP,MATCH(E1379,ChName,0))*(1+INDEX(ProvMod,MATCH(G1379,ProvCode,0)))*(1+PriceIndex)</f>
        <v/>
      </c>
      <c r="V1379" s="47">
        <f>R1379*U1379*INDEX(FmtBlendedPriceIdx,MATCH(F1379,FmtName,0))</f>
        <v/>
      </c>
      <c r="W1379" s="47">
        <f>T1379*INDEX(ProvSRP,MATCH(G1379,ProvCode,0))*(1+PriceIndex)</f>
        <v/>
      </c>
      <c r="X1379" s="47">
        <f>IF(GrossBasis="Wholesale",V1379,W1379)</f>
        <v/>
      </c>
      <c r="Y1379" s="47">
        <f>R1379*INDEX(FmtBlendedCogs,MATCH(F1379,FmtName,0))</f>
        <v/>
      </c>
      <c r="Z1379" s="47">
        <f>X1379-Y1379</f>
        <v/>
      </c>
    </row>
    <row r="1380">
      <c r="A1380" t="n">
        <v>1</v>
      </c>
      <c r="B1380" s="44">
        <f>FiscalStart+(A1380-1)*7</f>
        <v/>
      </c>
      <c r="C1380">
        <f>TEXT(B1380,"mmm yyyy")</f>
        <v/>
      </c>
      <c r="D1380">
        <f>"Q"&amp;(INT((A1380-1)/13)+1)</f>
        <v/>
      </c>
      <c r="E1380" t="inlineStr">
        <is>
          <t>Fitness</t>
        </is>
      </c>
      <c r="F1380">
        <f>IFERROR(INDEX(ChFormat,MATCH(E1380,ChName,0)),"")</f>
        <v/>
      </c>
      <c r="G1380" t="inlineStr">
        <is>
          <t>NB</t>
        </is>
      </c>
      <c r="H1380">
        <f>IF(A1380&lt;=NWeeks,1,0)</f>
        <v/>
      </c>
      <c r="I1380">
        <f>INDEX(ChLaunch,MATCH(E1380,ChName,0))</f>
        <v/>
      </c>
      <c r="J1380">
        <f>INDEX(ChWeeksFull,MATCH(E1380,ChName,0))</f>
        <v/>
      </c>
      <c r="K1380">
        <f>INDEX(ChRamp,MATCH(E1380,ChName,0))</f>
        <v/>
      </c>
      <c r="L1380" s="45">
        <f>MIN(1,MAX(0,(A1380-I1380+1)*RampSpeed/J1380))</f>
        <v/>
      </c>
      <c r="M1380" s="45">
        <f>IF(A1380&lt;I1380,0,IF(K1380="S-curve",L1380*L1380*(3-2*L1380),L1380))</f>
        <v/>
      </c>
      <c r="N1380" s="45">
        <f>1+(INDEX(SeasonIdx,A1380)-1)*SeasonAmp</f>
        <v/>
      </c>
      <c r="O1380" s="45">
        <f>IFERROR(INDEX(PSPct,MATCH(E1380&amp;"|"&amp;G1380,PSKey,0)),0)</f>
        <v/>
      </c>
      <c r="P1380" s="46">
        <f>INDEX(ChDoorVel,MATCH(E1380,ChName,0))*CalibScalar*(1+VelocityUplift)</f>
        <v/>
      </c>
      <c r="Q1380" s="46" t="n">
        <v>0</v>
      </c>
      <c r="R1380" s="46">
        <f>P1380*O1380*M1380*N1380*H1380</f>
        <v/>
      </c>
      <c r="S1380" s="46">
        <f>R1380*INDEX(FmtCansPerCase,MATCH(F1380,FmtName,0))</f>
        <v/>
      </c>
      <c r="T1380" s="46">
        <f>S1380/INDEX(FmtCansPerPack,MATCH(F1380,FmtName,0))</f>
        <v/>
      </c>
      <c r="U1380" s="47">
        <f>INDEX(ChBaseCP,MATCH(E1380,ChName,0))*(1+INDEX(ProvMod,MATCH(G1380,ProvCode,0)))*(1+PriceIndex)</f>
        <v/>
      </c>
      <c r="V1380" s="47">
        <f>R1380*U1380*INDEX(FmtBlendedPriceIdx,MATCH(F1380,FmtName,0))</f>
        <v/>
      </c>
      <c r="W1380" s="47">
        <f>T1380*INDEX(ProvSRP,MATCH(G1380,ProvCode,0))*(1+PriceIndex)</f>
        <v/>
      </c>
      <c r="X1380" s="47">
        <f>IF(GrossBasis="Wholesale",V1380,W1380)</f>
        <v/>
      </c>
      <c r="Y1380" s="47">
        <f>R1380*INDEX(FmtBlendedCogs,MATCH(F1380,FmtName,0))</f>
        <v/>
      </c>
      <c r="Z1380" s="47">
        <f>X1380-Y1380</f>
        <v/>
      </c>
    </row>
    <row r="1381">
      <c r="A1381" t="n">
        <v>2</v>
      </c>
      <c r="B1381" s="44">
        <f>FiscalStart+(A1381-1)*7</f>
        <v/>
      </c>
      <c r="C1381">
        <f>TEXT(B1381,"mmm yyyy")</f>
        <v/>
      </c>
      <c r="D1381">
        <f>"Q"&amp;(INT((A1381-1)/13)+1)</f>
        <v/>
      </c>
      <c r="E1381" t="inlineStr">
        <is>
          <t>Fitness</t>
        </is>
      </c>
      <c r="F1381">
        <f>IFERROR(INDEX(ChFormat,MATCH(E1381,ChName,0)),"")</f>
        <v/>
      </c>
      <c r="G1381" t="inlineStr">
        <is>
          <t>NB</t>
        </is>
      </c>
      <c r="H1381">
        <f>IF(A1381&lt;=NWeeks,1,0)</f>
        <v/>
      </c>
      <c r="I1381">
        <f>INDEX(ChLaunch,MATCH(E1381,ChName,0))</f>
        <v/>
      </c>
      <c r="J1381">
        <f>INDEX(ChWeeksFull,MATCH(E1381,ChName,0))</f>
        <v/>
      </c>
      <c r="K1381">
        <f>INDEX(ChRamp,MATCH(E1381,ChName,0))</f>
        <v/>
      </c>
      <c r="L1381" s="45">
        <f>MIN(1,MAX(0,(A1381-I1381+1)*RampSpeed/J1381))</f>
        <v/>
      </c>
      <c r="M1381" s="45">
        <f>IF(A1381&lt;I1381,0,IF(K1381="S-curve",L1381*L1381*(3-2*L1381),L1381))</f>
        <v/>
      </c>
      <c r="N1381" s="45">
        <f>1+(INDEX(SeasonIdx,A1381)-1)*SeasonAmp</f>
        <v/>
      </c>
      <c r="O1381" s="45">
        <f>IFERROR(INDEX(PSPct,MATCH(E1381&amp;"|"&amp;G1381,PSKey,0)),0)</f>
        <v/>
      </c>
      <c r="P1381" s="46">
        <f>INDEX(ChDoorVel,MATCH(E1381,ChName,0))*CalibScalar*(1+VelocityUplift)</f>
        <v/>
      </c>
      <c r="Q1381" s="46" t="n">
        <v>0</v>
      </c>
      <c r="R1381" s="46">
        <f>P1381*O1381*M1381*N1381*H1381</f>
        <v/>
      </c>
      <c r="S1381" s="46">
        <f>R1381*INDEX(FmtCansPerCase,MATCH(F1381,FmtName,0))</f>
        <v/>
      </c>
      <c r="T1381" s="46">
        <f>S1381/INDEX(FmtCansPerPack,MATCH(F1381,FmtName,0))</f>
        <v/>
      </c>
      <c r="U1381" s="47">
        <f>INDEX(ChBaseCP,MATCH(E1381,ChName,0))*(1+INDEX(ProvMod,MATCH(G1381,ProvCode,0)))*(1+PriceIndex)</f>
        <v/>
      </c>
      <c r="V1381" s="47">
        <f>R1381*U1381*INDEX(FmtBlendedPriceIdx,MATCH(F1381,FmtName,0))</f>
        <v/>
      </c>
      <c r="W1381" s="47">
        <f>T1381*INDEX(ProvSRP,MATCH(G1381,ProvCode,0))*(1+PriceIndex)</f>
        <v/>
      </c>
      <c r="X1381" s="47">
        <f>IF(GrossBasis="Wholesale",V1381,W1381)</f>
        <v/>
      </c>
      <c r="Y1381" s="47">
        <f>R1381*INDEX(FmtBlendedCogs,MATCH(F1381,FmtName,0))</f>
        <v/>
      </c>
      <c r="Z1381" s="47">
        <f>X1381-Y1381</f>
        <v/>
      </c>
    </row>
    <row r="1382">
      <c r="A1382" t="n">
        <v>3</v>
      </c>
      <c r="B1382" s="44">
        <f>FiscalStart+(A1382-1)*7</f>
        <v/>
      </c>
      <c r="C1382">
        <f>TEXT(B1382,"mmm yyyy")</f>
        <v/>
      </c>
      <c r="D1382">
        <f>"Q"&amp;(INT((A1382-1)/13)+1)</f>
        <v/>
      </c>
      <c r="E1382" t="inlineStr">
        <is>
          <t>Fitness</t>
        </is>
      </c>
      <c r="F1382">
        <f>IFERROR(INDEX(ChFormat,MATCH(E1382,ChName,0)),"")</f>
        <v/>
      </c>
      <c r="G1382" t="inlineStr">
        <is>
          <t>NB</t>
        </is>
      </c>
      <c r="H1382">
        <f>IF(A1382&lt;=NWeeks,1,0)</f>
        <v/>
      </c>
      <c r="I1382">
        <f>INDEX(ChLaunch,MATCH(E1382,ChName,0))</f>
        <v/>
      </c>
      <c r="J1382">
        <f>INDEX(ChWeeksFull,MATCH(E1382,ChName,0))</f>
        <v/>
      </c>
      <c r="K1382">
        <f>INDEX(ChRamp,MATCH(E1382,ChName,0))</f>
        <v/>
      </c>
      <c r="L1382" s="45">
        <f>MIN(1,MAX(0,(A1382-I1382+1)*RampSpeed/J1382))</f>
        <v/>
      </c>
      <c r="M1382" s="45">
        <f>IF(A1382&lt;I1382,0,IF(K1382="S-curve",L1382*L1382*(3-2*L1382),L1382))</f>
        <v/>
      </c>
      <c r="N1382" s="45">
        <f>1+(INDEX(SeasonIdx,A1382)-1)*SeasonAmp</f>
        <v/>
      </c>
      <c r="O1382" s="45">
        <f>IFERROR(INDEX(PSPct,MATCH(E1382&amp;"|"&amp;G1382,PSKey,0)),0)</f>
        <v/>
      </c>
      <c r="P1382" s="46">
        <f>INDEX(ChDoorVel,MATCH(E1382,ChName,0))*CalibScalar*(1+VelocityUplift)</f>
        <v/>
      </c>
      <c r="Q1382" s="46" t="n">
        <v>0</v>
      </c>
      <c r="R1382" s="46">
        <f>P1382*O1382*M1382*N1382*H1382</f>
        <v/>
      </c>
      <c r="S1382" s="46">
        <f>R1382*INDEX(FmtCansPerCase,MATCH(F1382,FmtName,0))</f>
        <v/>
      </c>
      <c r="T1382" s="46">
        <f>S1382/INDEX(FmtCansPerPack,MATCH(F1382,FmtName,0))</f>
        <v/>
      </c>
      <c r="U1382" s="47">
        <f>INDEX(ChBaseCP,MATCH(E1382,ChName,0))*(1+INDEX(ProvMod,MATCH(G1382,ProvCode,0)))*(1+PriceIndex)</f>
        <v/>
      </c>
      <c r="V1382" s="47">
        <f>R1382*U1382*INDEX(FmtBlendedPriceIdx,MATCH(F1382,FmtName,0))</f>
        <v/>
      </c>
      <c r="W1382" s="47">
        <f>T1382*INDEX(ProvSRP,MATCH(G1382,ProvCode,0))*(1+PriceIndex)</f>
        <v/>
      </c>
      <c r="X1382" s="47">
        <f>IF(GrossBasis="Wholesale",V1382,W1382)</f>
        <v/>
      </c>
      <c r="Y1382" s="47">
        <f>R1382*INDEX(FmtBlendedCogs,MATCH(F1382,FmtName,0))</f>
        <v/>
      </c>
      <c r="Z1382" s="47">
        <f>X1382-Y1382</f>
        <v/>
      </c>
    </row>
    <row r="1383">
      <c r="A1383" t="n">
        <v>4</v>
      </c>
      <c r="B1383" s="44">
        <f>FiscalStart+(A1383-1)*7</f>
        <v/>
      </c>
      <c r="C1383">
        <f>TEXT(B1383,"mmm yyyy")</f>
        <v/>
      </c>
      <c r="D1383">
        <f>"Q"&amp;(INT((A1383-1)/13)+1)</f>
        <v/>
      </c>
      <c r="E1383" t="inlineStr">
        <is>
          <t>Fitness</t>
        </is>
      </c>
      <c r="F1383">
        <f>IFERROR(INDEX(ChFormat,MATCH(E1383,ChName,0)),"")</f>
        <v/>
      </c>
      <c r="G1383" t="inlineStr">
        <is>
          <t>NB</t>
        </is>
      </c>
      <c r="H1383">
        <f>IF(A1383&lt;=NWeeks,1,0)</f>
        <v/>
      </c>
      <c r="I1383">
        <f>INDEX(ChLaunch,MATCH(E1383,ChName,0))</f>
        <v/>
      </c>
      <c r="J1383">
        <f>INDEX(ChWeeksFull,MATCH(E1383,ChName,0))</f>
        <v/>
      </c>
      <c r="K1383">
        <f>INDEX(ChRamp,MATCH(E1383,ChName,0))</f>
        <v/>
      </c>
      <c r="L1383" s="45">
        <f>MIN(1,MAX(0,(A1383-I1383+1)*RampSpeed/J1383))</f>
        <v/>
      </c>
      <c r="M1383" s="45">
        <f>IF(A1383&lt;I1383,0,IF(K1383="S-curve",L1383*L1383*(3-2*L1383),L1383))</f>
        <v/>
      </c>
      <c r="N1383" s="45">
        <f>1+(INDEX(SeasonIdx,A1383)-1)*SeasonAmp</f>
        <v/>
      </c>
      <c r="O1383" s="45">
        <f>IFERROR(INDEX(PSPct,MATCH(E1383&amp;"|"&amp;G1383,PSKey,0)),0)</f>
        <v/>
      </c>
      <c r="P1383" s="46">
        <f>INDEX(ChDoorVel,MATCH(E1383,ChName,0))*CalibScalar*(1+VelocityUplift)</f>
        <v/>
      </c>
      <c r="Q1383" s="46" t="n">
        <v>0</v>
      </c>
      <c r="R1383" s="46">
        <f>P1383*O1383*M1383*N1383*H1383</f>
        <v/>
      </c>
      <c r="S1383" s="46">
        <f>R1383*INDEX(FmtCansPerCase,MATCH(F1383,FmtName,0))</f>
        <v/>
      </c>
      <c r="T1383" s="46">
        <f>S1383/INDEX(FmtCansPerPack,MATCH(F1383,FmtName,0))</f>
        <v/>
      </c>
      <c r="U1383" s="47">
        <f>INDEX(ChBaseCP,MATCH(E1383,ChName,0))*(1+INDEX(ProvMod,MATCH(G1383,ProvCode,0)))*(1+PriceIndex)</f>
        <v/>
      </c>
      <c r="V1383" s="47">
        <f>R1383*U1383*INDEX(FmtBlendedPriceIdx,MATCH(F1383,FmtName,0))</f>
        <v/>
      </c>
      <c r="W1383" s="47">
        <f>T1383*INDEX(ProvSRP,MATCH(G1383,ProvCode,0))*(1+PriceIndex)</f>
        <v/>
      </c>
      <c r="X1383" s="47">
        <f>IF(GrossBasis="Wholesale",V1383,W1383)</f>
        <v/>
      </c>
      <c r="Y1383" s="47">
        <f>R1383*INDEX(FmtBlendedCogs,MATCH(F1383,FmtName,0))</f>
        <v/>
      </c>
      <c r="Z1383" s="47">
        <f>X1383-Y1383</f>
        <v/>
      </c>
    </row>
    <row r="1384">
      <c r="A1384" t="n">
        <v>5</v>
      </c>
      <c r="B1384" s="44">
        <f>FiscalStart+(A1384-1)*7</f>
        <v/>
      </c>
      <c r="C1384">
        <f>TEXT(B1384,"mmm yyyy")</f>
        <v/>
      </c>
      <c r="D1384">
        <f>"Q"&amp;(INT((A1384-1)/13)+1)</f>
        <v/>
      </c>
      <c r="E1384" t="inlineStr">
        <is>
          <t>Fitness</t>
        </is>
      </c>
      <c r="F1384">
        <f>IFERROR(INDEX(ChFormat,MATCH(E1384,ChName,0)),"")</f>
        <v/>
      </c>
      <c r="G1384" t="inlineStr">
        <is>
          <t>NB</t>
        </is>
      </c>
      <c r="H1384">
        <f>IF(A1384&lt;=NWeeks,1,0)</f>
        <v/>
      </c>
      <c r="I1384">
        <f>INDEX(ChLaunch,MATCH(E1384,ChName,0))</f>
        <v/>
      </c>
      <c r="J1384">
        <f>INDEX(ChWeeksFull,MATCH(E1384,ChName,0))</f>
        <v/>
      </c>
      <c r="K1384">
        <f>INDEX(ChRamp,MATCH(E1384,ChName,0))</f>
        <v/>
      </c>
      <c r="L1384" s="45">
        <f>MIN(1,MAX(0,(A1384-I1384+1)*RampSpeed/J1384))</f>
        <v/>
      </c>
      <c r="M1384" s="45">
        <f>IF(A1384&lt;I1384,0,IF(K1384="S-curve",L1384*L1384*(3-2*L1384),L1384))</f>
        <v/>
      </c>
      <c r="N1384" s="45">
        <f>1+(INDEX(SeasonIdx,A1384)-1)*SeasonAmp</f>
        <v/>
      </c>
      <c r="O1384" s="45">
        <f>IFERROR(INDEX(PSPct,MATCH(E1384&amp;"|"&amp;G1384,PSKey,0)),0)</f>
        <v/>
      </c>
      <c r="P1384" s="46">
        <f>INDEX(ChDoorVel,MATCH(E1384,ChName,0))*CalibScalar*(1+VelocityUplift)</f>
        <v/>
      </c>
      <c r="Q1384" s="46" t="n">
        <v>0</v>
      </c>
      <c r="R1384" s="46">
        <f>P1384*O1384*M1384*N1384*H1384</f>
        <v/>
      </c>
      <c r="S1384" s="46">
        <f>R1384*INDEX(FmtCansPerCase,MATCH(F1384,FmtName,0))</f>
        <v/>
      </c>
      <c r="T1384" s="46">
        <f>S1384/INDEX(FmtCansPerPack,MATCH(F1384,FmtName,0))</f>
        <v/>
      </c>
      <c r="U1384" s="47">
        <f>INDEX(ChBaseCP,MATCH(E1384,ChName,0))*(1+INDEX(ProvMod,MATCH(G1384,ProvCode,0)))*(1+PriceIndex)</f>
        <v/>
      </c>
      <c r="V1384" s="47">
        <f>R1384*U1384*INDEX(FmtBlendedPriceIdx,MATCH(F1384,FmtName,0))</f>
        <v/>
      </c>
      <c r="W1384" s="47">
        <f>T1384*INDEX(ProvSRP,MATCH(G1384,ProvCode,0))*(1+PriceIndex)</f>
        <v/>
      </c>
      <c r="X1384" s="47">
        <f>IF(GrossBasis="Wholesale",V1384,W1384)</f>
        <v/>
      </c>
      <c r="Y1384" s="47">
        <f>R1384*INDEX(FmtBlendedCogs,MATCH(F1384,FmtName,0))</f>
        <v/>
      </c>
      <c r="Z1384" s="47">
        <f>X1384-Y1384</f>
        <v/>
      </c>
    </row>
    <row r="1385">
      <c r="A1385" t="n">
        <v>6</v>
      </c>
      <c r="B1385" s="44">
        <f>FiscalStart+(A1385-1)*7</f>
        <v/>
      </c>
      <c r="C1385">
        <f>TEXT(B1385,"mmm yyyy")</f>
        <v/>
      </c>
      <c r="D1385">
        <f>"Q"&amp;(INT((A1385-1)/13)+1)</f>
        <v/>
      </c>
      <c r="E1385" t="inlineStr">
        <is>
          <t>Fitness</t>
        </is>
      </c>
      <c r="F1385">
        <f>IFERROR(INDEX(ChFormat,MATCH(E1385,ChName,0)),"")</f>
        <v/>
      </c>
      <c r="G1385" t="inlineStr">
        <is>
          <t>NB</t>
        </is>
      </c>
      <c r="H1385">
        <f>IF(A1385&lt;=NWeeks,1,0)</f>
        <v/>
      </c>
      <c r="I1385">
        <f>INDEX(ChLaunch,MATCH(E1385,ChName,0))</f>
        <v/>
      </c>
      <c r="J1385">
        <f>INDEX(ChWeeksFull,MATCH(E1385,ChName,0))</f>
        <v/>
      </c>
      <c r="K1385">
        <f>INDEX(ChRamp,MATCH(E1385,ChName,0))</f>
        <v/>
      </c>
      <c r="L1385" s="45">
        <f>MIN(1,MAX(0,(A1385-I1385+1)*RampSpeed/J1385))</f>
        <v/>
      </c>
      <c r="M1385" s="45">
        <f>IF(A1385&lt;I1385,0,IF(K1385="S-curve",L1385*L1385*(3-2*L1385),L1385))</f>
        <v/>
      </c>
      <c r="N1385" s="45">
        <f>1+(INDEX(SeasonIdx,A1385)-1)*SeasonAmp</f>
        <v/>
      </c>
      <c r="O1385" s="45">
        <f>IFERROR(INDEX(PSPct,MATCH(E1385&amp;"|"&amp;G1385,PSKey,0)),0)</f>
        <v/>
      </c>
      <c r="P1385" s="46">
        <f>INDEX(ChDoorVel,MATCH(E1385,ChName,0))*CalibScalar*(1+VelocityUplift)</f>
        <v/>
      </c>
      <c r="Q1385" s="46" t="n">
        <v>0</v>
      </c>
      <c r="R1385" s="46">
        <f>P1385*O1385*M1385*N1385*H1385</f>
        <v/>
      </c>
      <c r="S1385" s="46">
        <f>R1385*INDEX(FmtCansPerCase,MATCH(F1385,FmtName,0))</f>
        <v/>
      </c>
      <c r="T1385" s="46">
        <f>S1385/INDEX(FmtCansPerPack,MATCH(F1385,FmtName,0))</f>
        <v/>
      </c>
      <c r="U1385" s="47">
        <f>INDEX(ChBaseCP,MATCH(E1385,ChName,0))*(1+INDEX(ProvMod,MATCH(G1385,ProvCode,0)))*(1+PriceIndex)</f>
        <v/>
      </c>
      <c r="V1385" s="47">
        <f>R1385*U1385*INDEX(FmtBlendedPriceIdx,MATCH(F1385,FmtName,0))</f>
        <v/>
      </c>
      <c r="W1385" s="47">
        <f>T1385*INDEX(ProvSRP,MATCH(G1385,ProvCode,0))*(1+PriceIndex)</f>
        <v/>
      </c>
      <c r="X1385" s="47">
        <f>IF(GrossBasis="Wholesale",V1385,W1385)</f>
        <v/>
      </c>
      <c r="Y1385" s="47">
        <f>R1385*INDEX(FmtBlendedCogs,MATCH(F1385,FmtName,0))</f>
        <v/>
      </c>
      <c r="Z1385" s="47">
        <f>X1385-Y1385</f>
        <v/>
      </c>
    </row>
    <row r="1386">
      <c r="A1386" t="n">
        <v>7</v>
      </c>
      <c r="B1386" s="44">
        <f>FiscalStart+(A1386-1)*7</f>
        <v/>
      </c>
      <c r="C1386">
        <f>TEXT(B1386,"mmm yyyy")</f>
        <v/>
      </c>
      <c r="D1386">
        <f>"Q"&amp;(INT((A1386-1)/13)+1)</f>
        <v/>
      </c>
      <c r="E1386" t="inlineStr">
        <is>
          <t>Fitness</t>
        </is>
      </c>
      <c r="F1386">
        <f>IFERROR(INDEX(ChFormat,MATCH(E1386,ChName,0)),"")</f>
        <v/>
      </c>
      <c r="G1386" t="inlineStr">
        <is>
          <t>NB</t>
        </is>
      </c>
      <c r="H1386">
        <f>IF(A1386&lt;=NWeeks,1,0)</f>
        <v/>
      </c>
      <c r="I1386">
        <f>INDEX(ChLaunch,MATCH(E1386,ChName,0))</f>
        <v/>
      </c>
      <c r="J1386">
        <f>INDEX(ChWeeksFull,MATCH(E1386,ChName,0))</f>
        <v/>
      </c>
      <c r="K1386">
        <f>INDEX(ChRamp,MATCH(E1386,ChName,0))</f>
        <v/>
      </c>
      <c r="L1386" s="45">
        <f>MIN(1,MAX(0,(A1386-I1386+1)*RampSpeed/J1386))</f>
        <v/>
      </c>
      <c r="M1386" s="45">
        <f>IF(A1386&lt;I1386,0,IF(K1386="S-curve",L1386*L1386*(3-2*L1386),L1386))</f>
        <v/>
      </c>
      <c r="N1386" s="45">
        <f>1+(INDEX(SeasonIdx,A1386)-1)*SeasonAmp</f>
        <v/>
      </c>
      <c r="O1386" s="45">
        <f>IFERROR(INDEX(PSPct,MATCH(E1386&amp;"|"&amp;G1386,PSKey,0)),0)</f>
        <v/>
      </c>
      <c r="P1386" s="46">
        <f>INDEX(ChDoorVel,MATCH(E1386,ChName,0))*CalibScalar*(1+VelocityUplift)</f>
        <v/>
      </c>
      <c r="Q1386" s="46" t="n">
        <v>0</v>
      </c>
      <c r="R1386" s="46">
        <f>P1386*O1386*M1386*N1386*H1386</f>
        <v/>
      </c>
      <c r="S1386" s="46">
        <f>R1386*INDEX(FmtCansPerCase,MATCH(F1386,FmtName,0))</f>
        <v/>
      </c>
      <c r="T1386" s="46">
        <f>S1386/INDEX(FmtCansPerPack,MATCH(F1386,FmtName,0))</f>
        <v/>
      </c>
      <c r="U1386" s="47">
        <f>INDEX(ChBaseCP,MATCH(E1386,ChName,0))*(1+INDEX(ProvMod,MATCH(G1386,ProvCode,0)))*(1+PriceIndex)</f>
        <v/>
      </c>
      <c r="V1386" s="47">
        <f>R1386*U1386*INDEX(FmtBlendedPriceIdx,MATCH(F1386,FmtName,0))</f>
        <v/>
      </c>
      <c r="W1386" s="47">
        <f>T1386*INDEX(ProvSRP,MATCH(G1386,ProvCode,0))*(1+PriceIndex)</f>
        <v/>
      </c>
      <c r="X1386" s="47">
        <f>IF(GrossBasis="Wholesale",V1386,W1386)</f>
        <v/>
      </c>
      <c r="Y1386" s="47">
        <f>R1386*INDEX(FmtBlendedCogs,MATCH(F1386,FmtName,0))</f>
        <v/>
      </c>
      <c r="Z1386" s="47">
        <f>X1386-Y1386</f>
        <v/>
      </c>
    </row>
    <row r="1387">
      <c r="A1387" t="n">
        <v>8</v>
      </c>
      <c r="B1387" s="44">
        <f>FiscalStart+(A1387-1)*7</f>
        <v/>
      </c>
      <c r="C1387">
        <f>TEXT(B1387,"mmm yyyy")</f>
        <v/>
      </c>
      <c r="D1387">
        <f>"Q"&amp;(INT((A1387-1)/13)+1)</f>
        <v/>
      </c>
      <c r="E1387" t="inlineStr">
        <is>
          <t>Fitness</t>
        </is>
      </c>
      <c r="F1387">
        <f>IFERROR(INDEX(ChFormat,MATCH(E1387,ChName,0)),"")</f>
        <v/>
      </c>
      <c r="G1387" t="inlineStr">
        <is>
          <t>NB</t>
        </is>
      </c>
      <c r="H1387">
        <f>IF(A1387&lt;=NWeeks,1,0)</f>
        <v/>
      </c>
      <c r="I1387">
        <f>INDEX(ChLaunch,MATCH(E1387,ChName,0))</f>
        <v/>
      </c>
      <c r="J1387">
        <f>INDEX(ChWeeksFull,MATCH(E1387,ChName,0))</f>
        <v/>
      </c>
      <c r="K1387">
        <f>INDEX(ChRamp,MATCH(E1387,ChName,0))</f>
        <v/>
      </c>
      <c r="L1387" s="45">
        <f>MIN(1,MAX(0,(A1387-I1387+1)*RampSpeed/J1387))</f>
        <v/>
      </c>
      <c r="M1387" s="45">
        <f>IF(A1387&lt;I1387,0,IF(K1387="S-curve",L1387*L1387*(3-2*L1387),L1387))</f>
        <v/>
      </c>
      <c r="N1387" s="45">
        <f>1+(INDEX(SeasonIdx,A1387)-1)*SeasonAmp</f>
        <v/>
      </c>
      <c r="O1387" s="45">
        <f>IFERROR(INDEX(PSPct,MATCH(E1387&amp;"|"&amp;G1387,PSKey,0)),0)</f>
        <v/>
      </c>
      <c r="P1387" s="46">
        <f>INDEX(ChDoorVel,MATCH(E1387,ChName,0))*CalibScalar*(1+VelocityUplift)</f>
        <v/>
      </c>
      <c r="Q1387" s="46" t="n">
        <v>0</v>
      </c>
      <c r="R1387" s="46">
        <f>P1387*O1387*M1387*N1387*H1387</f>
        <v/>
      </c>
      <c r="S1387" s="46">
        <f>R1387*INDEX(FmtCansPerCase,MATCH(F1387,FmtName,0))</f>
        <v/>
      </c>
      <c r="T1387" s="46">
        <f>S1387/INDEX(FmtCansPerPack,MATCH(F1387,FmtName,0))</f>
        <v/>
      </c>
      <c r="U1387" s="47">
        <f>INDEX(ChBaseCP,MATCH(E1387,ChName,0))*(1+INDEX(ProvMod,MATCH(G1387,ProvCode,0)))*(1+PriceIndex)</f>
        <v/>
      </c>
      <c r="V1387" s="47">
        <f>R1387*U1387*INDEX(FmtBlendedPriceIdx,MATCH(F1387,FmtName,0))</f>
        <v/>
      </c>
      <c r="W1387" s="47">
        <f>T1387*INDEX(ProvSRP,MATCH(G1387,ProvCode,0))*(1+PriceIndex)</f>
        <v/>
      </c>
      <c r="X1387" s="47">
        <f>IF(GrossBasis="Wholesale",V1387,W1387)</f>
        <v/>
      </c>
      <c r="Y1387" s="47">
        <f>R1387*INDEX(FmtBlendedCogs,MATCH(F1387,FmtName,0))</f>
        <v/>
      </c>
      <c r="Z1387" s="47">
        <f>X1387-Y1387</f>
        <v/>
      </c>
    </row>
    <row r="1388">
      <c r="A1388" t="n">
        <v>9</v>
      </c>
      <c r="B1388" s="44">
        <f>FiscalStart+(A1388-1)*7</f>
        <v/>
      </c>
      <c r="C1388">
        <f>TEXT(B1388,"mmm yyyy")</f>
        <v/>
      </c>
      <c r="D1388">
        <f>"Q"&amp;(INT((A1388-1)/13)+1)</f>
        <v/>
      </c>
      <c r="E1388" t="inlineStr">
        <is>
          <t>Fitness</t>
        </is>
      </c>
      <c r="F1388">
        <f>IFERROR(INDEX(ChFormat,MATCH(E1388,ChName,0)),"")</f>
        <v/>
      </c>
      <c r="G1388" t="inlineStr">
        <is>
          <t>NB</t>
        </is>
      </c>
      <c r="H1388">
        <f>IF(A1388&lt;=NWeeks,1,0)</f>
        <v/>
      </c>
      <c r="I1388">
        <f>INDEX(ChLaunch,MATCH(E1388,ChName,0))</f>
        <v/>
      </c>
      <c r="J1388">
        <f>INDEX(ChWeeksFull,MATCH(E1388,ChName,0))</f>
        <v/>
      </c>
      <c r="K1388">
        <f>INDEX(ChRamp,MATCH(E1388,ChName,0))</f>
        <v/>
      </c>
      <c r="L1388" s="45">
        <f>MIN(1,MAX(0,(A1388-I1388+1)*RampSpeed/J1388))</f>
        <v/>
      </c>
      <c r="M1388" s="45">
        <f>IF(A1388&lt;I1388,0,IF(K1388="S-curve",L1388*L1388*(3-2*L1388),L1388))</f>
        <v/>
      </c>
      <c r="N1388" s="45">
        <f>1+(INDEX(SeasonIdx,A1388)-1)*SeasonAmp</f>
        <v/>
      </c>
      <c r="O1388" s="45">
        <f>IFERROR(INDEX(PSPct,MATCH(E1388&amp;"|"&amp;G1388,PSKey,0)),0)</f>
        <v/>
      </c>
      <c r="P1388" s="46">
        <f>INDEX(ChDoorVel,MATCH(E1388,ChName,0))*CalibScalar*(1+VelocityUplift)</f>
        <v/>
      </c>
      <c r="Q1388" s="46" t="n">
        <v>0</v>
      </c>
      <c r="R1388" s="46">
        <f>P1388*O1388*M1388*N1388*H1388</f>
        <v/>
      </c>
      <c r="S1388" s="46">
        <f>R1388*INDEX(FmtCansPerCase,MATCH(F1388,FmtName,0))</f>
        <v/>
      </c>
      <c r="T1388" s="46">
        <f>S1388/INDEX(FmtCansPerPack,MATCH(F1388,FmtName,0))</f>
        <v/>
      </c>
      <c r="U1388" s="47">
        <f>INDEX(ChBaseCP,MATCH(E1388,ChName,0))*(1+INDEX(ProvMod,MATCH(G1388,ProvCode,0)))*(1+PriceIndex)</f>
        <v/>
      </c>
      <c r="V1388" s="47">
        <f>R1388*U1388*INDEX(FmtBlendedPriceIdx,MATCH(F1388,FmtName,0))</f>
        <v/>
      </c>
      <c r="W1388" s="47">
        <f>T1388*INDEX(ProvSRP,MATCH(G1388,ProvCode,0))*(1+PriceIndex)</f>
        <v/>
      </c>
      <c r="X1388" s="47">
        <f>IF(GrossBasis="Wholesale",V1388,W1388)</f>
        <v/>
      </c>
      <c r="Y1388" s="47">
        <f>R1388*INDEX(FmtBlendedCogs,MATCH(F1388,FmtName,0))</f>
        <v/>
      </c>
      <c r="Z1388" s="47">
        <f>X1388-Y1388</f>
        <v/>
      </c>
    </row>
    <row r="1389">
      <c r="A1389" t="n">
        <v>10</v>
      </c>
      <c r="B1389" s="44">
        <f>FiscalStart+(A1389-1)*7</f>
        <v/>
      </c>
      <c r="C1389">
        <f>TEXT(B1389,"mmm yyyy")</f>
        <v/>
      </c>
      <c r="D1389">
        <f>"Q"&amp;(INT((A1389-1)/13)+1)</f>
        <v/>
      </c>
      <c r="E1389" t="inlineStr">
        <is>
          <t>Fitness</t>
        </is>
      </c>
      <c r="F1389">
        <f>IFERROR(INDEX(ChFormat,MATCH(E1389,ChName,0)),"")</f>
        <v/>
      </c>
      <c r="G1389" t="inlineStr">
        <is>
          <t>NB</t>
        </is>
      </c>
      <c r="H1389">
        <f>IF(A1389&lt;=NWeeks,1,0)</f>
        <v/>
      </c>
      <c r="I1389">
        <f>INDEX(ChLaunch,MATCH(E1389,ChName,0))</f>
        <v/>
      </c>
      <c r="J1389">
        <f>INDEX(ChWeeksFull,MATCH(E1389,ChName,0))</f>
        <v/>
      </c>
      <c r="K1389">
        <f>INDEX(ChRamp,MATCH(E1389,ChName,0))</f>
        <v/>
      </c>
      <c r="L1389" s="45">
        <f>MIN(1,MAX(0,(A1389-I1389+1)*RampSpeed/J1389))</f>
        <v/>
      </c>
      <c r="M1389" s="45">
        <f>IF(A1389&lt;I1389,0,IF(K1389="S-curve",L1389*L1389*(3-2*L1389),L1389))</f>
        <v/>
      </c>
      <c r="N1389" s="45">
        <f>1+(INDEX(SeasonIdx,A1389)-1)*SeasonAmp</f>
        <v/>
      </c>
      <c r="O1389" s="45">
        <f>IFERROR(INDEX(PSPct,MATCH(E1389&amp;"|"&amp;G1389,PSKey,0)),0)</f>
        <v/>
      </c>
      <c r="P1389" s="46">
        <f>INDEX(ChDoorVel,MATCH(E1389,ChName,0))*CalibScalar*(1+VelocityUplift)</f>
        <v/>
      </c>
      <c r="Q1389" s="46" t="n">
        <v>0</v>
      </c>
      <c r="R1389" s="46">
        <f>P1389*O1389*M1389*N1389*H1389</f>
        <v/>
      </c>
      <c r="S1389" s="46">
        <f>R1389*INDEX(FmtCansPerCase,MATCH(F1389,FmtName,0))</f>
        <v/>
      </c>
      <c r="T1389" s="46">
        <f>S1389/INDEX(FmtCansPerPack,MATCH(F1389,FmtName,0))</f>
        <v/>
      </c>
      <c r="U1389" s="47">
        <f>INDEX(ChBaseCP,MATCH(E1389,ChName,0))*(1+INDEX(ProvMod,MATCH(G1389,ProvCode,0)))*(1+PriceIndex)</f>
        <v/>
      </c>
      <c r="V1389" s="47">
        <f>R1389*U1389*INDEX(FmtBlendedPriceIdx,MATCH(F1389,FmtName,0))</f>
        <v/>
      </c>
      <c r="W1389" s="47">
        <f>T1389*INDEX(ProvSRP,MATCH(G1389,ProvCode,0))*(1+PriceIndex)</f>
        <v/>
      </c>
      <c r="X1389" s="47">
        <f>IF(GrossBasis="Wholesale",V1389,W1389)</f>
        <v/>
      </c>
      <c r="Y1389" s="47">
        <f>R1389*INDEX(FmtBlendedCogs,MATCH(F1389,FmtName,0))</f>
        <v/>
      </c>
      <c r="Z1389" s="47">
        <f>X1389-Y1389</f>
        <v/>
      </c>
    </row>
    <row r="1390">
      <c r="A1390" t="n">
        <v>11</v>
      </c>
      <c r="B1390" s="44">
        <f>FiscalStart+(A1390-1)*7</f>
        <v/>
      </c>
      <c r="C1390">
        <f>TEXT(B1390,"mmm yyyy")</f>
        <v/>
      </c>
      <c r="D1390">
        <f>"Q"&amp;(INT((A1390-1)/13)+1)</f>
        <v/>
      </c>
      <c r="E1390" t="inlineStr">
        <is>
          <t>Fitness</t>
        </is>
      </c>
      <c r="F1390">
        <f>IFERROR(INDEX(ChFormat,MATCH(E1390,ChName,0)),"")</f>
        <v/>
      </c>
      <c r="G1390" t="inlineStr">
        <is>
          <t>NB</t>
        </is>
      </c>
      <c r="H1390">
        <f>IF(A1390&lt;=NWeeks,1,0)</f>
        <v/>
      </c>
      <c r="I1390">
        <f>INDEX(ChLaunch,MATCH(E1390,ChName,0))</f>
        <v/>
      </c>
      <c r="J1390">
        <f>INDEX(ChWeeksFull,MATCH(E1390,ChName,0))</f>
        <v/>
      </c>
      <c r="K1390">
        <f>INDEX(ChRamp,MATCH(E1390,ChName,0))</f>
        <v/>
      </c>
      <c r="L1390" s="45">
        <f>MIN(1,MAX(0,(A1390-I1390+1)*RampSpeed/J1390))</f>
        <v/>
      </c>
      <c r="M1390" s="45">
        <f>IF(A1390&lt;I1390,0,IF(K1390="S-curve",L1390*L1390*(3-2*L1390),L1390))</f>
        <v/>
      </c>
      <c r="N1390" s="45">
        <f>1+(INDEX(SeasonIdx,A1390)-1)*SeasonAmp</f>
        <v/>
      </c>
      <c r="O1390" s="45">
        <f>IFERROR(INDEX(PSPct,MATCH(E1390&amp;"|"&amp;G1390,PSKey,0)),0)</f>
        <v/>
      </c>
      <c r="P1390" s="46">
        <f>INDEX(ChDoorVel,MATCH(E1390,ChName,0))*CalibScalar*(1+VelocityUplift)</f>
        <v/>
      </c>
      <c r="Q1390" s="46" t="n">
        <v>0</v>
      </c>
      <c r="R1390" s="46">
        <f>P1390*O1390*M1390*N1390*H1390</f>
        <v/>
      </c>
      <c r="S1390" s="46">
        <f>R1390*INDEX(FmtCansPerCase,MATCH(F1390,FmtName,0))</f>
        <v/>
      </c>
      <c r="T1390" s="46">
        <f>S1390/INDEX(FmtCansPerPack,MATCH(F1390,FmtName,0))</f>
        <v/>
      </c>
      <c r="U1390" s="47">
        <f>INDEX(ChBaseCP,MATCH(E1390,ChName,0))*(1+INDEX(ProvMod,MATCH(G1390,ProvCode,0)))*(1+PriceIndex)</f>
        <v/>
      </c>
      <c r="V1390" s="47">
        <f>R1390*U1390*INDEX(FmtBlendedPriceIdx,MATCH(F1390,FmtName,0))</f>
        <v/>
      </c>
      <c r="W1390" s="47">
        <f>T1390*INDEX(ProvSRP,MATCH(G1390,ProvCode,0))*(1+PriceIndex)</f>
        <v/>
      </c>
      <c r="X1390" s="47">
        <f>IF(GrossBasis="Wholesale",V1390,W1390)</f>
        <v/>
      </c>
      <c r="Y1390" s="47">
        <f>R1390*INDEX(FmtBlendedCogs,MATCH(F1390,FmtName,0))</f>
        <v/>
      </c>
      <c r="Z1390" s="47">
        <f>X1390-Y1390</f>
        <v/>
      </c>
    </row>
    <row r="1391">
      <c r="A1391" t="n">
        <v>12</v>
      </c>
      <c r="B1391" s="44">
        <f>FiscalStart+(A1391-1)*7</f>
        <v/>
      </c>
      <c r="C1391">
        <f>TEXT(B1391,"mmm yyyy")</f>
        <v/>
      </c>
      <c r="D1391">
        <f>"Q"&amp;(INT((A1391-1)/13)+1)</f>
        <v/>
      </c>
      <c r="E1391" t="inlineStr">
        <is>
          <t>Fitness</t>
        </is>
      </c>
      <c r="F1391">
        <f>IFERROR(INDEX(ChFormat,MATCH(E1391,ChName,0)),"")</f>
        <v/>
      </c>
      <c r="G1391" t="inlineStr">
        <is>
          <t>NB</t>
        </is>
      </c>
      <c r="H1391">
        <f>IF(A1391&lt;=NWeeks,1,0)</f>
        <v/>
      </c>
      <c r="I1391">
        <f>INDEX(ChLaunch,MATCH(E1391,ChName,0))</f>
        <v/>
      </c>
      <c r="J1391">
        <f>INDEX(ChWeeksFull,MATCH(E1391,ChName,0))</f>
        <v/>
      </c>
      <c r="K1391">
        <f>INDEX(ChRamp,MATCH(E1391,ChName,0))</f>
        <v/>
      </c>
      <c r="L1391" s="45">
        <f>MIN(1,MAX(0,(A1391-I1391+1)*RampSpeed/J1391))</f>
        <v/>
      </c>
      <c r="M1391" s="45">
        <f>IF(A1391&lt;I1391,0,IF(K1391="S-curve",L1391*L1391*(3-2*L1391),L1391))</f>
        <v/>
      </c>
      <c r="N1391" s="45">
        <f>1+(INDEX(SeasonIdx,A1391)-1)*SeasonAmp</f>
        <v/>
      </c>
      <c r="O1391" s="45">
        <f>IFERROR(INDEX(PSPct,MATCH(E1391&amp;"|"&amp;G1391,PSKey,0)),0)</f>
        <v/>
      </c>
      <c r="P1391" s="46">
        <f>INDEX(ChDoorVel,MATCH(E1391,ChName,0))*CalibScalar*(1+VelocityUplift)</f>
        <v/>
      </c>
      <c r="Q1391" s="46" t="n">
        <v>0</v>
      </c>
      <c r="R1391" s="46">
        <f>P1391*O1391*M1391*N1391*H1391</f>
        <v/>
      </c>
      <c r="S1391" s="46">
        <f>R1391*INDEX(FmtCansPerCase,MATCH(F1391,FmtName,0))</f>
        <v/>
      </c>
      <c r="T1391" s="46">
        <f>S1391/INDEX(FmtCansPerPack,MATCH(F1391,FmtName,0))</f>
        <v/>
      </c>
      <c r="U1391" s="47">
        <f>INDEX(ChBaseCP,MATCH(E1391,ChName,0))*(1+INDEX(ProvMod,MATCH(G1391,ProvCode,0)))*(1+PriceIndex)</f>
        <v/>
      </c>
      <c r="V1391" s="47">
        <f>R1391*U1391*INDEX(FmtBlendedPriceIdx,MATCH(F1391,FmtName,0))</f>
        <v/>
      </c>
      <c r="W1391" s="47">
        <f>T1391*INDEX(ProvSRP,MATCH(G1391,ProvCode,0))*(1+PriceIndex)</f>
        <v/>
      </c>
      <c r="X1391" s="47">
        <f>IF(GrossBasis="Wholesale",V1391,W1391)</f>
        <v/>
      </c>
      <c r="Y1391" s="47">
        <f>R1391*INDEX(FmtBlendedCogs,MATCH(F1391,FmtName,0))</f>
        <v/>
      </c>
      <c r="Z1391" s="47">
        <f>X1391-Y1391</f>
        <v/>
      </c>
    </row>
    <row r="1392">
      <c r="A1392" t="n">
        <v>13</v>
      </c>
      <c r="B1392" s="44">
        <f>FiscalStart+(A1392-1)*7</f>
        <v/>
      </c>
      <c r="C1392">
        <f>TEXT(B1392,"mmm yyyy")</f>
        <v/>
      </c>
      <c r="D1392">
        <f>"Q"&amp;(INT((A1392-1)/13)+1)</f>
        <v/>
      </c>
      <c r="E1392" t="inlineStr">
        <is>
          <t>Fitness</t>
        </is>
      </c>
      <c r="F1392">
        <f>IFERROR(INDEX(ChFormat,MATCH(E1392,ChName,0)),"")</f>
        <v/>
      </c>
      <c r="G1392" t="inlineStr">
        <is>
          <t>NB</t>
        </is>
      </c>
      <c r="H1392">
        <f>IF(A1392&lt;=NWeeks,1,0)</f>
        <v/>
      </c>
      <c r="I1392">
        <f>INDEX(ChLaunch,MATCH(E1392,ChName,0))</f>
        <v/>
      </c>
      <c r="J1392">
        <f>INDEX(ChWeeksFull,MATCH(E1392,ChName,0))</f>
        <v/>
      </c>
      <c r="K1392">
        <f>INDEX(ChRamp,MATCH(E1392,ChName,0))</f>
        <v/>
      </c>
      <c r="L1392" s="45">
        <f>MIN(1,MAX(0,(A1392-I1392+1)*RampSpeed/J1392))</f>
        <v/>
      </c>
      <c r="M1392" s="45">
        <f>IF(A1392&lt;I1392,0,IF(K1392="S-curve",L1392*L1392*(3-2*L1392),L1392))</f>
        <v/>
      </c>
      <c r="N1392" s="45">
        <f>1+(INDEX(SeasonIdx,A1392)-1)*SeasonAmp</f>
        <v/>
      </c>
      <c r="O1392" s="45">
        <f>IFERROR(INDEX(PSPct,MATCH(E1392&amp;"|"&amp;G1392,PSKey,0)),0)</f>
        <v/>
      </c>
      <c r="P1392" s="46">
        <f>INDEX(ChDoorVel,MATCH(E1392,ChName,0))*CalibScalar*(1+VelocityUplift)</f>
        <v/>
      </c>
      <c r="Q1392" s="46" t="n">
        <v>0</v>
      </c>
      <c r="R1392" s="46">
        <f>P1392*O1392*M1392*N1392*H1392</f>
        <v/>
      </c>
      <c r="S1392" s="46">
        <f>R1392*INDEX(FmtCansPerCase,MATCH(F1392,FmtName,0))</f>
        <v/>
      </c>
      <c r="T1392" s="46">
        <f>S1392/INDEX(FmtCansPerPack,MATCH(F1392,FmtName,0))</f>
        <v/>
      </c>
      <c r="U1392" s="47">
        <f>INDEX(ChBaseCP,MATCH(E1392,ChName,0))*(1+INDEX(ProvMod,MATCH(G1392,ProvCode,0)))*(1+PriceIndex)</f>
        <v/>
      </c>
      <c r="V1392" s="47">
        <f>R1392*U1392*INDEX(FmtBlendedPriceIdx,MATCH(F1392,FmtName,0))</f>
        <v/>
      </c>
      <c r="W1392" s="47">
        <f>T1392*INDEX(ProvSRP,MATCH(G1392,ProvCode,0))*(1+PriceIndex)</f>
        <v/>
      </c>
      <c r="X1392" s="47">
        <f>IF(GrossBasis="Wholesale",V1392,W1392)</f>
        <v/>
      </c>
      <c r="Y1392" s="47">
        <f>R1392*INDEX(FmtBlendedCogs,MATCH(F1392,FmtName,0))</f>
        <v/>
      </c>
      <c r="Z1392" s="47">
        <f>X1392-Y1392</f>
        <v/>
      </c>
    </row>
    <row r="1393">
      <c r="A1393" t="n">
        <v>14</v>
      </c>
      <c r="B1393" s="44">
        <f>FiscalStart+(A1393-1)*7</f>
        <v/>
      </c>
      <c r="C1393">
        <f>TEXT(B1393,"mmm yyyy")</f>
        <v/>
      </c>
      <c r="D1393">
        <f>"Q"&amp;(INT((A1393-1)/13)+1)</f>
        <v/>
      </c>
      <c r="E1393" t="inlineStr">
        <is>
          <t>Fitness</t>
        </is>
      </c>
      <c r="F1393">
        <f>IFERROR(INDEX(ChFormat,MATCH(E1393,ChName,0)),"")</f>
        <v/>
      </c>
      <c r="G1393" t="inlineStr">
        <is>
          <t>NB</t>
        </is>
      </c>
      <c r="H1393">
        <f>IF(A1393&lt;=NWeeks,1,0)</f>
        <v/>
      </c>
      <c r="I1393">
        <f>INDEX(ChLaunch,MATCH(E1393,ChName,0))</f>
        <v/>
      </c>
      <c r="J1393">
        <f>INDEX(ChWeeksFull,MATCH(E1393,ChName,0))</f>
        <v/>
      </c>
      <c r="K1393">
        <f>INDEX(ChRamp,MATCH(E1393,ChName,0))</f>
        <v/>
      </c>
      <c r="L1393" s="45">
        <f>MIN(1,MAX(0,(A1393-I1393+1)*RampSpeed/J1393))</f>
        <v/>
      </c>
      <c r="M1393" s="45">
        <f>IF(A1393&lt;I1393,0,IF(K1393="S-curve",L1393*L1393*(3-2*L1393),L1393))</f>
        <v/>
      </c>
      <c r="N1393" s="45">
        <f>1+(INDEX(SeasonIdx,A1393)-1)*SeasonAmp</f>
        <v/>
      </c>
      <c r="O1393" s="45">
        <f>IFERROR(INDEX(PSPct,MATCH(E1393&amp;"|"&amp;G1393,PSKey,0)),0)</f>
        <v/>
      </c>
      <c r="P1393" s="46">
        <f>INDEX(ChDoorVel,MATCH(E1393,ChName,0))*CalibScalar*(1+VelocityUplift)</f>
        <v/>
      </c>
      <c r="Q1393" s="46" t="n">
        <v>0</v>
      </c>
      <c r="R1393" s="46">
        <f>P1393*O1393*M1393*N1393*H1393</f>
        <v/>
      </c>
      <c r="S1393" s="46">
        <f>R1393*INDEX(FmtCansPerCase,MATCH(F1393,FmtName,0))</f>
        <v/>
      </c>
      <c r="T1393" s="46">
        <f>S1393/INDEX(FmtCansPerPack,MATCH(F1393,FmtName,0))</f>
        <v/>
      </c>
      <c r="U1393" s="47">
        <f>INDEX(ChBaseCP,MATCH(E1393,ChName,0))*(1+INDEX(ProvMod,MATCH(G1393,ProvCode,0)))*(1+PriceIndex)</f>
        <v/>
      </c>
      <c r="V1393" s="47">
        <f>R1393*U1393*INDEX(FmtBlendedPriceIdx,MATCH(F1393,FmtName,0))</f>
        <v/>
      </c>
      <c r="W1393" s="47">
        <f>T1393*INDEX(ProvSRP,MATCH(G1393,ProvCode,0))*(1+PriceIndex)</f>
        <v/>
      </c>
      <c r="X1393" s="47">
        <f>IF(GrossBasis="Wholesale",V1393,W1393)</f>
        <v/>
      </c>
      <c r="Y1393" s="47">
        <f>R1393*INDEX(FmtBlendedCogs,MATCH(F1393,FmtName,0))</f>
        <v/>
      </c>
      <c r="Z1393" s="47">
        <f>X1393-Y1393</f>
        <v/>
      </c>
    </row>
    <row r="1394">
      <c r="A1394" t="n">
        <v>15</v>
      </c>
      <c r="B1394" s="44">
        <f>FiscalStart+(A1394-1)*7</f>
        <v/>
      </c>
      <c r="C1394">
        <f>TEXT(B1394,"mmm yyyy")</f>
        <v/>
      </c>
      <c r="D1394">
        <f>"Q"&amp;(INT((A1394-1)/13)+1)</f>
        <v/>
      </c>
      <c r="E1394" t="inlineStr">
        <is>
          <t>Fitness</t>
        </is>
      </c>
      <c r="F1394">
        <f>IFERROR(INDEX(ChFormat,MATCH(E1394,ChName,0)),"")</f>
        <v/>
      </c>
      <c r="G1394" t="inlineStr">
        <is>
          <t>NB</t>
        </is>
      </c>
      <c r="H1394">
        <f>IF(A1394&lt;=NWeeks,1,0)</f>
        <v/>
      </c>
      <c r="I1394">
        <f>INDEX(ChLaunch,MATCH(E1394,ChName,0))</f>
        <v/>
      </c>
      <c r="J1394">
        <f>INDEX(ChWeeksFull,MATCH(E1394,ChName,0))</f>
        <v/>
      </c>
      <c r="K1394">
        <f>INDEX(ChRamp,MATCH(E1394,ChName,0))</f>
        <v/>
      </c>
      <c r="L1394" s="45">
        <f>MIN(1,MAX(0,(A1394-I1394+1)*RampSpeed/J1394))</f>
        <v/>
      </c>
      <c r="M1394" s="45">
        <f>IF(A1394&lt;I1394,0,IF(K1394="S-curve",L1394*L1394*(3-2*L1394),L1394))</f>
        <v/>
      </c>
      <c r="N1394" s="45">
        <f>1+(INDEX(SeasonIdx,A1394)-1)*SeasonAmp</f>
        <v/>
      </c>
      <c r="O1394" s="45">
        <f>IFERROR(INDEX(PSPct,MATCH(E1394&amp;"|"&amp;G1394,PSKey,0)),0)</f>
        <v/>
      </c>
      <c r="P1394" s="46">
        <f>INDEX(ChDoorVel,MATCH(E1394,ChName,0))*CalibScalar*(1+VelocityUplift)</f>
        <v/>
      </c>
      <c r="Q1394" s="46" t="n">
        <v>0</v>
      </c>
      <c r="R1394" s="46">
        <f>P1394*O1394*M1394*N1394*H1394</f>
        <v/>
      </c>
      <c r="S1394" s="46">
        <f>R1394*INDEX(FmtCansPerCase,MATCH(F1394,FmtName,0))</f>
        <v/>
      </c>
      <c r="T1394" s="46">
        <f>S1394/INDEX(FmtCansPerPack,MATCH(F1394,FmtName,0))</f>
        <v/>
      </c>
      <c r="U1394" s="47">
        <f>INDEX(ChBaseCP,MATCH(E1394,ChName,0))*(1+INDEX(ProvMod,MATCH(G1394,ProvCode,0)))*(1+PriceIndex)</f>
        <v/>
      </c>
      <c r="V1394" s="47">
        <f>R1394*U1394*INDEX(FmtBlendedPriceIdx,MATCH(F1394,FmtName,0))</f>
        <v/>
      </c>
      <c r="W1394" s="47">
        <f>T1394*INDEX(ProvSRP,MATCH(G1394,ProvCode,0))*(1+PriceIndex)</f>
        <v/>
      </c>
      <c r="X1394" s="47">
        <f>IF(GrossBasis="Wholesale",V1394,W1394)</f>
        <v/>
      </c>
      <c r="Y1394" s="47">
        <f>R1394*INDEX(FmtBlendedCogs,MATCH(F1394,FmtName,0))</f>
        <v/>
      </c>
      <c r="Z1394" s="47">
        <f>X1394-Y1394</f>
        <v/>
      </c>
    </row>
    <row r="1395">
      <c r="A1395" t="n">
        <v>16</v>
      </c>
      <c r="B1395" s="44">
        <f>FiscalStart+(A1395-1)*7</f>
        <v/>
      </c>
      <c r="C1395">
        <f>TEXT(B1395,"mmm yyyy")</f>
        <v/>
      </c>
      <c r="D1395">
        <f>"Q"&amp;(INT((A1395-1)/13)+1)</f>
        <v/>
      </c>
      <c r="E1395" t="inlineStr">
        <is>
          <t>Fitness</t>
        </is>
      </c>
      <c r="F1395">
        <f>IFERROR(INDEX(ChFormat,MATCH(E1395,ChName,0)),"")</f>
        <v/>
      </c>
      <c r="G1395" t="inlineStr">
        <is>
          <t>NB</t>
        </is>
      </c>
      <c r="H1395">
        <f>IF(A1395&lt;=NWeeks,1,0)</f>
        <v/>
      </c>
      <c r="I1395">
        <f>INDEX(ChLaunch,MATCH(E1395,ChName,0))</f>
        <v/>
      </c>
      <c r="J1395">
        <f>INDEX(ChWeeksFull,MATCH(E1395,ChName,0))</f>
        <v/>
      </c>
      <c r="K1395">
        <f>INDEX(ChRamp,MATCH(E1395,ChName,0))</f>
        <v/>
      </c>
      <c r="L1395" s="45">
        <f>MIN(1,MAX(0,(A1395-I1395+1)*RampSpeed/J1395))</f>
        <v/>
      </c>
      <c r="M1395" s="45">
        <f>IF(A1395&lt;I1395,0,IF(K1395="S-curve",L1395*L1395*(3-2*L1395),L1395))</f>
        <v/>
      </c>
      <c r="N1395" s="45">
        <f>1+(INDEX(SeasonIdx,A1395)-1)*SeasonAmp</f>
        <v/>
      </c>
      <c r="O1395" s="45">
        <f>IFERROR(INDEX(PSPct,MATCH(E1395&amp;"|"&amp;G1395,PSKey,0)),0)</f>
        <v/>
      </c>
      <c r="P1395" s="46">
        <f>INDEX(ChDoorVel,MATCH(E1395,ChName,0))*CalibScalar*(1+VelocityUplift)</f>
        <v/>
      </c>
      <c r="Q1395" s="46" t="n">
        <v>0</v>
      </c>
      <c r="R1395" s="46">
        <f>P1395*O1395*M1395*N1395*H1395</f>
        <v/>
      </c>
      <c r="S1395" s="46">
        <f>R1395*INDEX(FmtCansPerCase,MATCH(F1395,FmtName,0))</f>
        <v/>
      </c>
      <c r="T1395" s="46">
        <f>S1395/INDEX(FmtCansPerPack,MATCH(F1395,FmtName,0))</f>
        <v/>
      </c>
      <c r="U1395" s="47">
        <f>INDEX(ChBaseCP,MATCH(E1395,ChName,0))*(1+INDEX(ProvMod,MATCH(G1395,ProvCode,0)))*(1+PriceIndex)</f>
        <v/>
      </c>
      <c r="V1395" s="47">
        <f>R1395*U1395*INDEX(FmtBlendedPriceIdx,MATCH(F1395,FmtName,0))</f>
        <v/>
      </c>
      <c r="W1395" s="47">
        <f>T1395*INDEX(ProvSRP,MATCH(G1395,ProvCode,0))*(1+PriceIndex)</f>
        <v/>
      </c>
      <c r="X1395" s="47">
        <f>IF(GrossBasis="Wholesale",V1395,W1395)</f>
        <v/>
      </c>
      <c r="Y1395" s="47">
        <f>R1395*INDEX(FmtBlendedCogs,MATCH(F1395,FmtName,0))</f>
        <v/>
      </c>
      <c r="Z1395" s="47">
        <f>X1395-Y1395</f>
        <v/>
      </c>
    </row>
    <row r="1396">
      <c r="A1396" t="n">
        <v>17</v>
      </c>
      <c r="B1396" s="44">
        <f>FiscalStart+(A1396-1)*7</f>
        <v/>
      </c>
      <c r="C1396">
        <f>TEXT(B1396,"mmm yyyy")</f>
        <v/>
      </c>
      <c r="D1396">
        <f>"Q"&amp;(INT((A1396-1)/13)+1)</f>
        <v/>
      </c>
      <c r="E1396" t="inlineStr">
        <is>
          <t>Fitness</t>
        </is>
      </c>
      <c r="F1396">
        <f>IFERROR(INDEX(ChFormat,MATCH(E1396,ChName,0)),"")</f>
        <v/>
      </c>
      <c r="G1396" t="inlineStr">
        <is>
          <t>NB</t>
        </is>
      </c>
      <c r="H1396">
        <f>IF(A1396&lt;=NWeeks,1,0)</f>
        <v/>
      </c>
      <c r="I1396">
        <f>INDEX(ChLaunch,MATCH(E1396,ChName,0))</f>
        <v/>
      </c>
      <c r="J1396">
        <f>INDEX(ChWeeksFull,MATCH(E1396,ChName,0))</f>
        <v/>
      </c>
      <c r="K1396">
        <f>INDEX(ChRamp,MATCH(E1396,ChName,0))</f>
        <v/>
      </c>
      <c r="L1396" s="45">
        <f>MIN(1,MAX(0,(A1396-I1396+1)*RampSpeed/J1396))</f>
        <v/>
      </c>
      <c r="M1396" s="45">
        <f>IF(A1396&lt;I1396,0,IF(K1396="S-curve",L1396*L1396*(3-2*L1396),L1396))</f>
        <v/>
      </c>
      <c r="N1396" s="45">
        <f>1+(INDEX(SeasonIdx,A1396)-1)*SeasonAmp</f>
        <v/>
      </c>
      <c r="O1396" s="45">
        <f>IFERROR(INDEX(PSPct,MATCH(E1396&amp;"|"&amp;G1396,PSKey,0)),0)</f>
        <v/>
      </c>
      <c r="P1396" s="46">
        <f>INDEX(ChDoorVel,MATCH(E1396,ChName,0))*CalibScalar*(1+VelocityUplift)</f>
        <v/>
      </c>
      <c r="Q1396" s="46" t="n">
        <v>0</v>
      </c>
      <c r="R1396" s="46">
        <f>P1396*O1396*M1396*N1396*H1396</f>
        <v/>
      </c>
      <c r="S1396" s="46">
        <f>R1396*INDEX(FmtCansPerCase,MATCH(F1396,FmtName,0))</f>
        <v/>
      </c>
      <c r="T1396" s="46">
        <f>S1396/INDEX(FmtCansPerPack,MATCH(F1396,FmtName,0))</f>
        <v/>
      </c>
      <c r="U1396" s="47">
        <f>INDEX(ChBaseCP,MATCH(E1396,ChName,0))*(1+INDEX(ProvMod,MATCH(G1396,ProvCode,0)))*(1+PriceIndex)</f>
        <v/>
      </c>
      <c r="V1396" s="47">
        <f>R1396*U1396*INDEX(FmtBlendedPriceIdx,MATCH(F1396,FmtName,0))</f>
        <v/>
      </c>
      <c r="W1396" s="47">
        <f>T1396*INDEX(ProvSRP,MATCH(G1396,ProvCode,0))*(1+PriceIndex)</f>
        <v/>
      </c>
      <c r="X1396" s="47">
        <f>IF(GrossBasis="Wholesale",V1396,W1396)</f>
        <v/>
      </c>
      <c r="Y1396" s="47">
        <f>R1396*INDEX(FmtBlendedCogs,MATCH(F1396,FmtName,0))</f>
        <v/>
      </c>
      <c r="Z1396" s="47">
        <f>X1396-Y1396</f>
        <v/>
      </c>
    </row>
    <row r="1397">
      <c r="A1397" t="n">
        <v>18</v>
      </c>
      <c r="B1397" s="44">
        <f>FiscalStart+(A1397-1)*7</f>
        <v/>
      </c>
      <c r="C1397">
        <f>TEXT(B1397,"mmm yyyy")</f>
        <v/>
      </c>
      <c r="D1397">
        <f>"Q"&amp;(INT((A1397-1)/13)+1)</f>
        <v/>
      </c>
      <c r="E1397" t="inlineStr">
        <is>
          <t>Fitness</t>
        </is>
      </c>
      <c r="F1397">
        <f>IFERROR(INDEX(ChFormat,MATCH(E1397,ChName,0)),"")</f>
        <v/>
      </c>
      <c r="G1397" t="inlineStr">
        <is>
          <t>NB</t>
        </is>
      </c>
      <c r="H1397">
        <f>IF(A1397&lt;=NWeeks,1,0)</f>
        <v/>
      </c>
      <c r="I1397">
        <f>INDEX(ChLaunch,MATCH(E1397,ChName,0))</f>
        <v/>
      </c>
      <c r="J1397">
        <f>INDEX(ChWeeksFull,MATCH(E1397,ChName,0))</f>
        <v/>
      </c>
      <c r="K1397">
        <f>INDEX(ChRamp,MATCH(E1397,ChName,0))</f>
        <v/>
      </c>
      <c r="L1397" s="45">
        <f>MIN(1,MAX(0,(A1397-I1397+1)*RampSpeed/J1397))</f>
        <v/>
      </c>
      <c r="M1397" s="45">
        <f>IF(A1397&lt;I1397,0,IF(K1397="S-curve",L1397*L1397*(3-2*L1397),L1397))</f>
        <v/>
      </c>
      <c r="N1397" s="45">
        <f>1+(INDEX(SeasonIdx,A1397)-1)*SeasonAmp</f>
        <v/>
      </c>
      <c r="O1397" s="45">
        <f>IFERROR(INDEX(PSPct,MATCH(E1397&amp;"|"&amp;G1397,PSKey,0)),0)</f>
        <v/>
      </c>
      <c r="P1397" s="46">
        <f>INDEX(ChDoorVel,MATCH(E1397,ChName,0))*CalibScalar*(1+VelocityUplift)</f>
        <v/>
      </c>
      <c r="Q1397" s="46" t="n">
        <v>0</v>
      </c>
      <c r="R1397" s="46">
        <f>P1397*O1397*M1397*N1397*H1397</f>
        <v/>
      </c>
      <c r="S1397" s="46">
        <f>R1397*INDEX(FmtCansPerCase,MATCH(F1397,FmtName,0))</f>
        <v/>
      </c>
      <c r="T1397" s="46">
        <f>S1397/INDEX(FmtCansPerPack,MATCH(F1397,FmtName,0))</f>
        <v/>
      </c>
      <c r="U1397" s="47">
        <f>INDEX(ChBaseCP,MATCH(E1397,ChName,0))*(1+INDEX(ProvMod,MATCH(G1397,ProvCode,0)))*(1+PriceIndex)</f>
        <v/>
      </c>
      <c r="V1397" s="47">
        <f>R1397*U1397*INDEX(FmtBlendedPriceIdx,MATCH(F1397,FmtName,0))</f>
        <v/>
      </c>
      <c r="W1397" s="47">
        <f>T1397*INDEX(ProvSRP,MATCH(G1397,ProvCode,0))*(1+PriceIndex)</f>
        <v/>
      </c>
      <c r="X1397" s="47">
        <f>IF(GrossBasis="Wholesale",V1397,W1397)</f>
        <v/>
      </c>
      <c r="Y1397" s="47">
        <f>R1397*INDEX(FmtBlendedCogs,MATCH(F1397,FmtName,0))</f>
        <v/>
      </c>
      <c r="Z1397" s="47">
        <f>X1397-Y1397</f>
        <v/>
      </c>
    </row>
    <row r="1398">
      <c r="A1398" t="n">
        <v>19</v>
      </c>
      <c r="B1398" s="44">
        <f>FiscalStart+(A1398-1)*7</f>
        <v/>
      </c>
      <c r="C1398">
        <f>TEXT(B1398,"mmm yyyy")</f>
        <v/>
      </c>
      <c r="D1398">
        <f>"Q"&amp;(INT((A1398-1)/13)+1)</f>
        <v/>
      </c>
      <c r="E1398" t="inlineStr">
        <is>
          <t>Fitness</t>
        </is>
      </c>
      <c r="F1398">
        <f>IFERROR(INDEX(ChFormat,MATCH(E1398,ChName,0)),"")</f>
        <v/>
      </c>
      <c r="G1398" t="inlineStr">
        <is>
          <t>NB</t>
        </is>
      </c>
      <c r="H1398">
        <f>IF(A1398&lt;=NWeeks,1,0)</f>
        <v/>
      </c>
      <c r="I1398">
        <f>INDEX(ChLaunch,MATCH(E1398,ChName,0))</f>
        <v/>
      </c>
      <c r="J1398">
        <f>INDEX(ChWeeksFull,MATCH(E1398,ChName,0))</f>
        <v/>
      </c>
      <c r="K1398">
        <f>INDEX(ChRamp,MATCH(E1398,ChName,0))</f>
        <v/>
      </c>
      <c r="L1398" s="45">
        <f>MIN(1,MAX(0,(A1398-I1398+1)*RampSpeed/J1398))</f>
        <v/>
      </c>
      <c r="M1398" s="45">
        <f>IF(A1398&lt;I1398,0,IF(K1398="S-curve",L1398*L1398*(3-2*L1398),L1398))</f>
        <v/>
      </c>
      <c r="N1398" s="45">
        <f>1+(INDEX(SeasonIdx,A1398)-1)*SeasonAmp</f>
        <v/>
      </c>
      <c r="O1398" s="45">
        <f>IFERROR(INDEX(PSPct,MATCH(E1398&amp;"|"&amp;G1398,PSKey,0)),0)</f>
        <v/>
      </c>
      <c r="P1398" s="46">
        <f>INDEX(ChDoorVel,MATCH(E1398,ChName,0))*CalibScalar*(1+VelocityUplift)</f>
        <v/>
      </c>
      <c r="Q1398" s="46" t="n">
        <v>0</v>
      </c>
      <c r="R1398" s="46">
        <f>P1398*O1398*M1398*N1398*H1398</f>
        <v/>
      </c>
      <c r="S1398" s="46">
        <f>R1398*INDEX(FmtCansPerCase,MATCH(F1398,FmtName,0))</f>
        <v/>
      </c>
      <c r="T1398" s="46">
        <f>S1398/INDEX(FmtCansPerPack,MATCH(F1398,FmtName,0))</f>
        <v/>
      </c>
      <c r="U1398" s="47">
        <f>INDEX(ChBaseCP,MATCH(E1398,ChName,0))*(1+INDEX(ProvMod,MATCH(G1398,ProvCode,0)))*(1+PriceIndex)</f>
        <v/>
      </c>
      <c r="V1398" s="47">
        <f>R1398*U1398*INDEX(FmtBlendedPriceIdx,MATCH(F1398,FmtName,0))</f>
        <v/>
      </c>
      <c r="W1398" s="47">
        <f>T1398*INDEX(ProvSRP,MATCH(G1398,ProvCode,0))*(1+PriceIndex)</f>
        <v/>
      </c>
      <c r="X1398" s="47">
        <f>IF(GrossBasis="Wholesale",V1398,W1398)</f>
        <v/>
      </c>
      <c r="Y1398" s="47">
        <f>R1398*INDEX(FmtBlendedCogs,MATCH(F1398,FmtName,0))</f>
        <v/>
      </c>
      <c r="Z1398" s="47">
        <f>X1398-Y1398</f>
        <v/>
      </c>
    </row>
    <row r="1399">
      <c r="A1399" t="n">
        <v>20</v>
      </c>
      <c r="B1399" s="44">
        <f>FiscalStart+(A1399-1)*7</f>
        <v/>
      </c>
      <c r="C1399">
        <f>TEXT(B1399,"mmm yyyy")</f>
        <v/>
      </c>
      <c r="D1399">
        <f>"Q"&amp;(INT((A1399-1)/13)+1)</f>
        <v/>
      </c>
      <c r="E1399" t="inlineStr">
        <is>
          <t>Fitness</t>
        </is>
      </c>
      <c r="F1399">
        <f>IFERROR(INDEX(ChFormat,MATCH(E1399,ChName,0)),"")</f>
        <v/>
      </c>
      <c r="G1399" t="inlineStr">
        <is>
          <t>NB</t>
        </is>
      </c>
      <c r="H1399">
        <f>IF(A1399&lt;=NWeeks,1,0)</f>
        <v/>
      </c>
      <c r="I1399">
        <f>INDEX(ChLaunch,MATCH(E1399,ChName,0))</f>
        <v/>
      </c>
      <c r="J1399">
        <f>INDEX(ChWeeksFull,MATCH(E1399,ChName,0))</f>
        <v/>
      </c>
      <c r="K1399">
        <f>INDEX(ChRamp,MATCH(E1399,ChName,0))</f>
        <v/>
      </c>
      <c r="L1399" s="45">
        <f>MIN(1,MAX(0,(A1399-I1399+1)*RampSpeed/J1399))</f>
        <v/>
      </c>
      <c r="M1399" s="45">
        <f>IF(A1399&lt;I1399,0,IF(K1399="S-curve",L1399*L1399*(3-2*L1399),L1399))</f>
        <v/>
      </c>
      <c r="N1399" s="45">
        <f>1+(INDEX(SeasonIdx,A1399)-1)*SeasonAmp</f>
        <v/>
      </c>
      <c r="O1399" s="45">
        <f>IFERROR(INDEX(PSPct,MATCH(E1399&amp;"|"&amp;G1399,PSKey,0)),0)</f>
        <v/>
      </c>
      <c r="P1399" s="46">
        <f>INDEX(ChDoorVel,MATCH(E1399,ChName,0))*CalibScalar*(1+VelocityUplift)</f>
        <v/>
      </c>
      <c r="Q1399" s="46" t="n">
        <v>0</v>
      </c>
      <c r="R1399" s="46">
        <f>P1399*O1399*M1399*N1399*H1399</f>
        <v/>
      </c>
      <c r="S1399" s="46">
        <f>R1399*INDEX(FmtCansPerCase,MATCH(F1399,FmtName,0))</f>
        <v/>
      </c>
      <c r="T1399" s="46">
        <f>S1399/INDEX(FmtCansPerPack,MATCH(F1399,FmtName,0))</f>
        <v/>
      </c>
      <c r="U1399" s="47">
        <f>INDEX(ChBaseCP,MATCH(E1399,ChName,0))*(1+INDEX(ProvMod,MATCH(G1399,ProvCode,0)))*(1+PriceIndex)</f>
        <v/>
      </c>
      <c r="V1399" s="47">
        <f>R1399*U1399*INDEX(FmtBlendedPriceIdx,MATCH(F1399,FmtName,0))</f>
        <v/>
      </c>
      <c r="W1399" s="47">
        <f>T1399*INDEX(ProvSRP,MATCH(G1399,ProvCode,0))*(1+PriceIndex)</f>
        <v/>
      </c>
      <c r="X1399" s="47">
        <f>IF(GrossBasis="Wholesale",V1399,W1399)</f>
        <v/>
      </c>
      <c r="Y1399" s="47">
        <f>R1399*INDEX(FmtBlendedCogs,MATCH(F1399,FmtName,0))</f>
        <v/>
      </c>
      <c r="Z1399" s="47">
        <f>X1399-Y1399</f>
        <v/>
      </c>
    </row>
    <row r="1400">
      <c r="A1400" t="n">
        <v>21</v>
      </c>
      <c r="B1400" s="44">
        <f>FiscalStart+(A1400-1)*7</f>
        <v/>
      </c>
      <c r="C1400">
        <f>TEXT(B1400,"mmm yyyy")</f>
        <v/>
      </c>
      <c r="D1400">
        <f>"Q"&amp;(INT((A1400-1)/13)+1)</f>
        <v/>
      </c>
      <c r="E1400" t="inlineStr">
        <is>
          <t>Fitness</t>
        </is>
      </c>
      <c r="F1400">
        <f>IFERROR(INDEX(ChFormat,MATCH(E1400,ChName,0)),"")</f>
        <v/>
      </c>
      <c r="G1400" t="inlineStr">
        <is>
          <t>NB</t>
        </is>
      </c>
      <c r="H1400">
        <f>IF(A1400&lt;=NWeeks,1,0)</f>
        <v/>
      </c>
      <c r="I1400">
        <f>INDEX(ChLaunch,MATCH(E1400,ChName,0))</f>
        <v/>
      </c>
      <c r="J1400">
        <f>INDEX(ChWeeksFull,MATCH(E1400,ChName,0))</f>
        <v/>
      </c>
      <c r="K1400">
        <f>INDEX(ChRamp,MATCH(E1400,ChName,0))</f>
        <v/>
      </c>
      <c r="L1400" s="45">
        <f>MIN(1,MAX(0,(A1400-I1400+1)*RampSpeed/J1400))</f>
        <v/>
      </c>
      <c r="M1400" s="45">
        <f>IF(A1400&lt;I1400,0,IF(K1400="S-curve",L1400*L1400*(3-2*L1400),L1400))</f>
        <v/>
      </c>
      <c r="N1400" s="45">
        <f>1+(INDEX(SeasonIdx,A1400)-1)*SeasonAmp</f>
        <v/>
      </c>
      <c r="O1400" s="45">
        <f>IFERROR(INDEX(PSPct,MATCH(E1400&amp;"|"&amp;G1400,PSKey,0)),0)</f>
        <v/>
      </c>
      <c r="P1400" s="46">
        <f>INDEX(ChDoorVel,MATCH(E1400,ChName,0))*CalibScalar*(1+VelocityUplift)</f>
        <v/>
      </c>
      <c r="Q1400" s="46" t="n">
        <v>0</v>
      </c>
      <c r="R1400" s="46">
        <f>P1400*O1400*M1400*N1400*H1400</f>
        <v/>
      </c>
      <c r="S1400" s="46">
        <f>R1400*INDEX(FmtCansPerCase,MATCH(F1400,FmtName,0))</f>
        <v/>
      </c>
      <c r="T1400" s="46">
        <f>S1400/INDEX(FmtCansPerPack,MATCH(F1400,FmtName,0))</f>
        <v/>
      </c>
      <c r="U1400" s="47">
        <f>INDEX(ChBaseCP,MATCH(E1400,ChName,0))*(1+INDEX(ProvMod,MATCH(G1400,ProvCode,0)))*(1+PriceIndex)</f>
        <v/>
      </c>
      <c r="V1400" s="47">
        <f>R1400*U1400*INDEX(FmtBlendedPriceIdx,MATCH(F1400,FmtName,0))</f>
        <v/>
      </c>
      <c r="W1400" s="47">
        <f>T1400*INDEX(ProvSRP,MATCH(G1400,ProvCode,0))*(1+PriceIndex)</f>
        <v/>
      </c>
      <c r="X1400" s="47">
        <f>IF(GrossBasis="Wholesale",V1400,W1400)</f>
        <v/>
      </c>
      <c r="Y1400" s="47">
        <f>R1400*INDEX(FmtBlendedCogs,MATCH(F1400,FmtName,0))</f>
        <v/>
      </c>
      <c r="Z1400" s="47">
        <f>X1400-Y1400</f>
        <v/>
      </c>
    </row>
    <row r="1401">
      <c r="A1401" t="n">
        <v>22</v>
      </c>
      <c r="B1401" s="44">
        <f>FiscalStart+(A1401-1)*7</f>
        <v/>
      </c>
      <c r="C1401">
        <f>TEXT(B1401,"mmm yyyy")</f>
        <v/>
      </c>
      <c r="D1401">
        <f>"Q"&amp;(INT((A1401-1)/13)+1)</f>
        <v/>
      </c>
      <c r="E1401" t="inlineStr">
        <is>
          <t>Fitness</t>
        </is>
      </c>
      <c r="F1401">
        <f>IFERROR(INDEX(ChFormat,MATCH(E1401,ChName,0)),"")</f>
        <v/>
      </c>
      <c r="G1401" t="inlineStr">
        <is>
          <t>NB</t>
        </is>
      </c>
      <c r="H1401">
        <f>IF(A1401&lt;=NWeeks,1,0)</f>
        <v/>
      </c>
      <c r="I1401">
        <f>INDEX(ChLaunch,MATCH(E1401,ChName,0))</f>
        <v/>
      </c>
      <c r="J1401">
        <f>INDEX(ChWeeksFull,MATCH(E1401,ChName,0))</f>
        <v/>
      </c>
      <c r="K1401">
        <f>INDEX(ChRamp,MATCH(E1401,ChName,0))</f>
        <v/>
      </c>
      <c r="L1401" s="45">
        <f>MIN(1,MAX(0,(A1401-I1401+1)*RampSpeed/J1401))</f>
        <v/>
      </c>
      <c r="M1401" s="45">
        <f>IF(A1401&lt;I1401,0,IF(K1401="S-curve",L1401*L1401*(3-2*L1401),L1401))</f>
        <v/>
      </c>
      <c r="N1401" s="45">
        <f>1+(INDEX(SeasonIdx,A1401)-1)*SeasonAmp</f>
        <v/>
      </c>
      <c r="O1401" s="45">
        <f>IFERROR(INDEX(PSPct,MATCH(E1401&amp;"|"&amp;G1401,PSKey,0)),0)</f>
        <v/>
      </c>
      <c r="P1401" s="46">
        <f>INDEX(ChDoorVel,MATCH(E1401,ChName,0))*CalibScalar*(1+VelocityUplift)</f>
        <v/>
      </c>
      <c r="Q1401" s="46" t="n">
        <v>0</v>
      </c>
      <c r="R1401" s="46">
        <f>P1401*O1401*M1401*N1401*H1401</f>
        <v/>
      </c>
      <c r="S1401" s="46">
        <f>R1401*INDEX(FmtCansPerCase,MATCH(F1401,FmtName,0))</f>
        <v/>
      </c>
      <c r="T1401" s="46">
        <f>S1401/INDEX(FmtCansPerPack,MATCH(F1401,FmtName,0))</f>
        <v/>
      </c>
      <c r="U1401" s="47">
        <f>INDEX(ChBaseCP,MATCH(E1401,ChName,0))*(1+INDEX(ProvMod,MATCH(G1401,ProvCode,0)))*(1+PriceIndex)</f>
        <v/>
      </c>
      <c r="V1401" s="47">
        <f>R1401*U1401*INDEX(FmtBlendedPriceIdx,MATCH(F1401,FmtName,0))</f>
        <v/>
      </c>
      <c r="W1401" s="47">
        <f>T1401*INDEX(ProvSRP,MATCH(G1401,ProvCode,0))*(1+PriceIndex)</f>
        <v/>
      </c>
      <c r="X1401" s="47">
        <f>IF(GrossBasis="Wholesale",V1401,W1401)</f>
        <v/>
      </c>
      <c r="Y1401" s="47">
        <f>R1401*INDEX(FmtBlendedCogs,MATCH(F1401,FmtName,0))</f>
        <v/>
      </c>
      <c r="Z1401" s="47">
        <f>X1401-Y1401</f>
        <v/>
      </c>
    </row>
    <row r="1402">
      <c r="A1402" t="n">
        <v>23</v>
      </c>
      <c r="B1402" s="44">
        <f>FiscalStart+(A1402-1)*7</f>
        <v/>
      </c>
      <c r="C1402">
        <f>TEXT(B1402,"mmm yyyy")</f>
        <v/>
      </c>
      <c r="D1402">
        <f>"Q"&amp;(INT((A1402-1)/13)+1)</f>
        <v/>
      </c>
      <c r="E1402" t="inlineStr">
        <is>
          <t>Fitness</t>
        </is>
      </c>
      <c r="F1402">
        <f>IFERROR(INDEX(ChFormat,MATCH(E1402,ChName,0)),"")</f>
        <v/>
      </c>
      <c r="G1402" t="inlineStr">
        <is>
          <t>NB</t>
        </is>
      </c>
      <c r="H1402">
        <f>IF(A1402&lt;=NWeeks,1,0)</f>
        <v/>
      </c>
      <c r="I1402">
        <f>INDEX(ChLaunch,MATCH(E1402,ChName,0))</f>
        <v/>
      </c>
      <c r="J1402">
        <f>INDEX(ChWeeksFull,MATCH(E1402,ChName,0))</f>
        <v/>
      </c>
      <c r="K1402">
        <f>INDEX(ChRamp,MATCH(E1402,ChName,0))</f>
        <v/>
      </c>
      <c r="L1402" s="45">
        <f>MIN(1,MAX(0,(A1402-I1402+1)*RampSpeed/J1402))</f>
        <v/>
      </c>
      <c r="M1402" s="45">
        <f>IF(A1402&lt;I1402,0,IF(K1402="S-curve",L1402*L1402*(3-2*L1402),L1402))</f>
        <v/>
      </c>
      <c r="N1402" s="45">
        <f>1+(INDEX(SeasonIdx,A1402)-1)*SeasonAmp</f>
        <v/>
      </c>
      <c r="O1402" s="45">
        <f>IFERROR(INDEX(PSPct,MATCH(E1402&amp;"|"&amp;G1402,PSKey,0)),0)</f>
        <v/>
      </c>
      <c r="P1402" s="46">
        <f>INDEX(ChDoorVel,MATCH(E1402,ChName,0))*CalibScalar*(1+VelocityUplift)</f>
        <v/>
      </c>
      <c r="Q1402" s="46" t="n">
        <v>0</v>
      </c>
      <c r="R1402" s="46">
        <f>P1402*O1402*M1402*N1402*H1402</f>
        <v/>
      </c>
      <c r="S1402" s="46">
        <f>R1402*INDEX(FmtCansPerCase,MATCH(F1402,FmtName,0))</f>
        <v/>
      </c>
      <c r="T1402" s="46">
        <f>S1402/INDEX(FmtCansPerPack,MATCH(F1402,FmtName,0))</f>
        <v/>
      </c>
      <c r="U1402" s="47">
        <f>INDEX(ChBaseCP,MATCH(E1402,ChName,0))*(1+INDEX(ProvMod,MATCH(G1402,ProvCode,0)))*(1+PriceIndex)</f>
        <v/>
      </c>
      <c r="V1402" s="47">
        <f>R1402*U1402*INDEX(FmtBlendedPriceIdx,MATCH(F1402,FmtName,0))</f>
        <v/>
      </c>
      <c r="W1402" s="47">
        <f>T1402*INDEX(ProvSRP,MATCH(G1402,ProvCode,0))*(1+PriceIndex)</f>
        <v/>
      </c>
      <c r="X1402" s="47">
        <f>IF(GrossBasis="Wholesale",V1402,W1402)</f>
        <v/>
      </c>
      <c r="Y1402" s="47">
        <f>R1402*INDEX(FmtBlendedCogs,MATCH(F1402,FmtName,0))</f>
        <v/>
      </c>
      <c r="Z1402" s="47">
        <f>X1402-Y1402</f>
        <v/>
      </c>
    </row>
    <row r="1403">
      <c r="A1403" t="n">
        <v>24</v>
      </c>
      <c r="B1403" s="44">
        <f>FiscalStart+(A1403-1)*7</f>
        <v/>
      </c>
      <c r="C1403">
        <f>TEXT(B1403,"mmm yyyy")</f>
        <v/>
      </c>
      <c r="D1403">
        <f>"Q"&amp;(INT((A1403-1)/13)+1)</f>
        <v/>
      </c>
      <c r="E1403" t="inlineStr">
        <is>
          <t>Fitness</t>
        </is>
      </c>
      <c r="F1403">
        <f>IFERROR(INDEX(ChFormat,MATCH(E1403,ChName,0)),"")</f>
        <v/>
      </c>
      <c r="G1403" t="inlineStr">
        <is>
          <t>NB</t>
        </is>
      </c>
      <c r="H1403">
        <f>IF(A1403&lt;=NWeeks,1,0)</f>
        <v/>
      </c>
      <c r="I1403">
        <f>INDEX(ChLaunch,MATCH(E1403,ChName,0))</f>
        <v/>
      </c>
      <c r="J1403">
        <f>INDEX(ChWeeksFull,MATCH(E1403,ChName,0))</f>
        <v/>
      </c>
      <c r="K1403">
        <f>INDEX(ChRamp,MATCH(E1403,ChName,0))</f>
        <v/>
      </c>
      <c r="L1403" s="45">
        <f>MIN(1,MAX(0,(A1403-I1403+1)*RampSpeed/J1403))</f>
        <v/>
      </c>
      <c r="M1403" s="45">
        <f>IF(A1403&lt;I1403,0,IF(K1403="S-curve",L1403*L1403*(3-2*L1403),L1403))</f>
        <v/>
      </c>
      <c r="N1403" s="45">
        <f>1+(INDEX(SeasonIdx,A1403)-1)*SeasonAmp</f>
        <v/>
      </c>
      <c r="O1403" s="45">
        <f>IFERROR(INDEX(PSPct,MATCH(E1403&amp;"|"&amp;G1403,PSKey,0)),0)</f>
        <v/>
      </c>
      <c r="P1403" s="46">
        <f>INDEX(ChDoorVel,MATCH(E1403,ChName,0))*CalibScalar*(1+VelocityUplift)</f>
        <v/>
      </c>
      <c r="Q1403" s="46" t="n">
        <v>0</v>
      </c>
      <c r="R1403" s="46">
        <f>P1403*O1403*M1403*N1403*H1403</f>
        <v/>
      </c>
      <c r="S1403" s="46">
        <f>R1403*INDEX(FmtCansPerCase,MATCH(F1403,FmtName,0))</f>
        <v/>
      </c>
      <c r="T1403" s="46">
        <f>S1403/INDEX(FmtCansPerPack,MATCH(F1403,FmtName,0))</f>
        <v/>
      </c>
      <c r="U1403" s="47">
        <f>INDEX(ChBaseCP,MATCH(E1403,ChName,0))*(1+INDEX(ProvMod,MATCH(G1403,ProvCode,0)))*(1+PriceIndex)</f>
        <v/>
      </c>
      <c r="V1403" s="47">
        <f>R1403*U1403*INDEX(FmtBlendedPriceIdx,MATCH(F1403,FmtName,0))</f>
        <v/>
      </c>
      <c r="W1403" s="47">
        <f>T1403*INDEX(ProvSRP,MATCH(G1403,ProvCode,0))*(1+PriceIndex)</f>
        <v/>
      </c>
      <c r="X1403" s="47">
        <f>IF(GrossBasis="Wholesale",V1403,W1403)</f>
        <v/>
      </c>
      <c r="Y1403" s="47">
        <f>R1403*INDEX(FmtBlendedCogs,MATCH(F1403,FmtName,0))</f>
        <v/>
      </c>
      <c r="Z1403" s="47">
        <f>X1403-Y1403</f>
        <v/>
      </c>
    </row>
    <row r="1404">
      <c r="A1404" t="n">
        <v>25</v>
      </c>
      <c r="B1404" s="44">
        <f>FiscalStart+(A1404-1)*7</f>
        <v/>
      </c>
      <c r="C1404">
        <f>TEXT(B1404,"mmm yyyy")</f>
        <v/>
      </c>
      <c r="D1404">
        <f>"Q"&amp;(INT((A1404-1)/13)+1)</f>
        <v/>
      </c>
      <c r="E1404" t="inlineStr">
        <is>
          <t>Fitness</t>
        </is>
      </c>
      <c r="F1404">
        <f>IFERROR(INDEX(ChFormat,MATCH(E1404,ChName,0)),"")</f>
        <v/>
      </c>
      <c r="G1404" t="inlineStr">
        <is>
          <t>NB</t>
        </is>
      </c>
      <c r="H1404">
        <f>IF(A1404&lt;=NWeeks,1,0)</f>
        <v/>
      </c>
      <c r="I1404">
        <f>INDEX(ChLaunch,MATCH(E1404,ChName,0))</f>
        <v/>
      </c>
      <c r="J1404">
        <f>INDEX(ChWeeksFull,MATCH(E1404,ChName,0))</f>
        <v/>
      </c>
      <c r="K1404">
        <f>INDEX(ChRamp,MATCH(E1404,ChName,0))</f>
        <v/>
      </c>
      <c r="L1404" s="45">
        <f>MIN(1,MAX(0,(A1404-I1404+1)*RampSpeed/J1404))</f>
        <v/>
      </c>
      <c r="M1404" s="45">
        <f>IF(A1404&lt;I1404,0,IF(K1404="S-curve",L1404*L1404*(3-2*L1404),L1404))</f>
        <v/>
      </c>
      <c r="N1404" s="45">
        <f>1+(INDEX(SeasonIdx,A1404)-1)*SeasonAmp</f>
        <v/>
      </c>
      <c r="O1404" s="45">
        <f>IFERROR(INDEX(PSPct,MATCH(E1404&amp;"|"&amp;G1404,PSKey,0)),0)</f>
        <v/>
      </c>
      <c r="P1404" s="46">
        <f>INDEX(ChDoorVel,MATCH(E1404,ChName,0))*CalibScalar*(1+VelocityUplift)</f>
        <v/>
      </c>
      <c r="Q1404" s="46" t="n">
        <v>0</v>
      </c>
      <c r="R1404" s="46">
        <f>P1404*O1404*M1404*N1404*H1404</f>
        <v/>
      </c>
      <c r="S1404" s="46">
        <f>R1404*INDEX(FmtCansPerCase,MATCH(F1404,FmtName,0))</f>
        <v/>
      </c>
      <c r="T1404" s="46">
        <f>S1404/INDEX(FmtCansPerPack,MATCH(F1404,FmtName,0))</f>
        <v/>
      </c>
      <c r="U1404" s="47">
        <f>INDEX(ChBaseCP,MATCH(E1404,ChName,0))*(1+INDEX(ProvMod,MATCH(G1404,ProvCode,0)))*(1+PriceIndex)</f>
        <v/>
      </c>
      <c r="V1404" s="47">
        <f>R1404*U1404*INDEX(FmtBlendedPriceIdx,MATCH(F1404,FmtName,0))</f>
        <v/>
      </c>
      <c r="W1404" s="47">
        <f>T1404*INDEX(ProvSRP,MATCH(G1404,ProvCode,0))*(1+PriceIndex)</f>
        <v/>
      </c>
      <c r="X1404" s="47">
        <f>IF(GrossBasis="Wholesale",V1404,W1404)</f>
        <v/>
      </c>
      <c r="Y1404" s="47">
        <f>R1404*INDEX(FmtBlendedCogs,MATCH(F1404,FmtName,0))</f>
        <v/>
      </c>
      <c r="Z1404" s="47">
        <f>X1404-Y1404</f>
        <v/>
      </c>
    </row>
    <row r="1405">
      <c r="A1405" t="n">
        <v>26</v>
      </c>
      <c r="B1405" s="44">
        <f>FiscalStart+(A1405-1)*7</f>
        <v/>
      </c>
      <c r="C1405">
        <f>TEXT(B1405,"mmm yyyy")</f>
        <v/>
      </c>
      <c r="D1405">
        <f>"Q"&amp;(INT((A1405-1)/13)+1)</f>
        <v/>
      </c>
      <c r="E1405" t="inlineStr">
        <is>
          <t>Fitness</t>
        </is>
      </c>
      <c r="F1405">
        <f>IFERROR(INDEX(ChFormat,MATCH(E1405,ChName,0)),"")</f>
        <v/>
      </c>
      <c r="G1405" t="inlineStr">
        <is>
          <t>NB</t>
        </is>
      </c>
      <c r="H1405">
        <f>IF(A1405&lt;=NWeeks,1,0)</f>
        <v/>
      </c>
      <c r="I1405">
        <f>INDEX(ChLaunch,MATCH(E1405,ChName,0))</f>
        <v/>
      </c>
      <c r="J1405">
        <f>INDEX(ChWeeksFull,MATCH(E1405,ChName,0))</f>
        <v/>
      </c>
      <c r="K1405">
        <f>INDEX(ChRamp,MATCH(E1405,ChName,0))</f>
        <v/>
      </c>
      <c r="L1405" s="45">
        <f>MIN(1,MAX(0,(A1405-I1405+1)*RampSpeed/J1405))</f>
        <v/>
      </c>
      <c r="M1405" s="45">
        <f>IF(A1405&lt;I1405,0,IF(K1405="S-curve",L1405*L1405*(3-2*L1405),L1405))</f>
        <v/>
      </c>
      <c r="N1405" s="45">
        <f>1+(INDEX(SeasonIdx,A1405)-1)*SeasonAmp</f>
        <v/>
      </c>
      <c r="O1405" s="45">
        <f>IFERROR(INDEX(PSPct,MATCH(E1405&amp;"|"&amp;G1405,PSKey,0)),0)</f>
        <v/>
      </c>
      <c r="P1405" s="46">
        <f>INDEX(ChDoorVel,MATCH(E1405,ChName,0))*CalibScalar*(1+VelocityUplift)</f>
        <v/>
      </c>
      <c r="Q1405" s="46" t="n">
        <v>0</v>
      </c>
      <c r="R1405" s="46">
        <f>P1405*O1405*M1405*N1405*H1405</f>
        <v/>
      </c>
      <c r="S1405" s="46">
        <f>R1405*INDEX(FmtCansPerCase,MATCH(F1405,FmtName,0))</f>
        <v/>
      </c>
      <c r="T1405" s="46">
        <f>S1405/INDEX(FmtCansPerPack,MATCH(F1405,FmtName,0))</f>
        <v/>
      </c>
      <c r="U1405" s="47">
        <f>INDEX(ChBaseCP,MATCH(E1405,ChName,0))*(1+INDEX(ProvMod,MATCH(G1405,ProvCode,0)))*(1+PriceIndex)</f>
        <v/>
      </c>
      <c r="V1405" s="47">
        <f>R1405*U1405*INDEX(FmtBlendedPriceIdx,MATCH(F1405,FmtName,0))</f>
        <v/>
      </c>
      <c r="W1405" s="47">
        <f>T1405*INDEX(ProvSRP,MATCH(G1405,ProvCode,0))*(1+PriceIndex)</f>
        <v/>
      </c>
      <c r="X1405" s="47">
        <f>IF(GrossBasis="Wholesale",V1405,W1405)</f>
        <v/>
      </c>
      <c r="Y1405" s="47">
        <f>R1405*INDEX(FmtBlendedCogs,MATCH(F1405,FmtName,0))</f>
        <v/>
      </c>
      <c r="Z1405" s="47">
        <f>X1405-Y1405</f>
        <v/>
      </c>
    </row>
    <row r="1406">
      <c r="A1406" t="n">
        <v>27</v>
      </c>
      <c r="B1406" s="44">
        <f>FiscalStart+(A1406-1)*7</f>
        <v/>
      </c>
      <c r="C1406">
        <f>TEXT(B1406,"mmm yyyy")</f>
        <v/>
      </c>
      <c r="D1406">
        <f>"Q"&amp;(INT((A1406-1)/13)+1)</f>
        <v/>
      </c>
      <c r="E1406" t="inlineStr">
        <is>
          <t>Fitness</t>
        </is>
      </c>
      <c r="F1406">
        <f>IFERROR(INDEX(ChFormat,MATCH(E1406,ChName,0)),"")</f>
        <v/>
      </c>
      <c r="G1406" t="inlineStr">
        <is>
          <t>NB</t>
        </is>
      </c>
      <c r="H1406">
        <f>IF(A1406&lt;=NWeeks,1,0)</f>
        <v/>
      </c>
      <c r="I1406">
        <f>INDEX(ChLaunch,MATCH(E1406,ChName,0))</f>
        <v/>
      </c>
      <c r="J1406">
        <f>INDEX(ChWeeksFull,MATCH(E1406,ChName,0))</f>
        <v/>
      </c>
      <c r="K1406">
        <f>INDEX(ChRamp,MATCH(E1406,ChName,0))</f>
        <v/>
      </c>
      <c r="L1406" s="45">
        <f>MIN(1,MAX(0,(A1406-I1406+1)*RampSpeed/J1406))</f>
        <v/>
      </c>
      <c r="M1406" s="45">
        <f>IF(A1406&lt;I1406,0,IF(K1406="S-curve",L1406*L1406*(3-2*L1406),L1406))</f>
        <v/>
      </c>
      <c r="N1406" s="45">
        <f>1+(INDEX(SeasonIdx,A1406)-1)*SeasonAmp</f>
        <v/>
      </c>
      <c r="O1406" s="45">
        <f>IFERROR(INDEX(PSPct,MATCH(E1406&amp;"|"&amp;G1406,PSKey,0)),0)</f>
        <v/>
      </c>
      <c r="P1406" s="46">
        <f>INDEX(ChDoorVel,MATCH(E1406,ChName,0))*CalibScalar*(1+VelocityUplift)</f>
        <v/>
      </c>
      <c r="Q1406" s="46" t="n">
        <v>0</v>
      </c>
      <c r="R1406" s="46">
        <f>P1406*O1406*M1406*N1406*H1406</f>
        <v/>
      </c>
      <c r="S1406" s="46">
        <f>R1406*INDEX(FmtCansPerCase,MATCH(F1406,FmtName,0))</f>
        <v/>
      </c>
      <c r="T1406" s="46">
        <f>S1406/INDEX(FmtCansPerPack,MATCH(F1406,FmtName,0))</f>
        <v/>
      </c>
      <c r="U1406" s="47">
        <f>INDEX(ChBaseCP,MATCH(E1406,ChName,0))*(1+INDEX(ProvMod,MATCH(G1406,ProvCode,0)))*(1+PriceIndex)</f>
        <v/>
      </c>
      <c r="V1406" s="47">
        <f>R1406*U1406*INDEX(FmtBlendedPriceIdx,MATCH(F1406,FmtName,0))</f>
        <v/>
      </c>
      <c r="W1406" s="47">
        <f>T1406*INDEX(ProvSRP,MATCH(G1406,ProvCode,0))*(1+PriceIndex)</f>
        <v/>
      </c>
      <c r="X1406" s="47">
        <f>IF(GrossBasis="Wholesale",V1406,W1406)</f>
        <v/>
      </c>
      <c r="Y1406" s="47">
        <f>R1406*INDEX(FmtBlendedCogs,MATCH(F1406,FmtName,0))</f>
        <v/>
      </c>
      <c r="Z1406" s="47">
        <f>X1406-Y1406</f>
        <v/>
      </c>
    </row>
    <row r="1407">
      <c r="A1407" t="n">
        <v>28</v>
      </c>
      <c r="B1407" s="44">
        <f>FiscalStart+(A1407-1)*7</f>
        <v/>
      </c>
      <c r="C1407">
        <f>TEXT(B1407,"mmm yyyy")</f>
        <v/>
      </c>
      <c r="D1407">
        <f>"Q"&amp;(INT((A1407-1)/13)+1)</f>
        <v/>
      </c>
      <c r="E1407" t="inlineStr">
        <is>
          <t>Fitness</t>
        </is>
      </c>
      <c r="F1407">
        <f>IFERROR(INDEX(ChFormat,MATCH(E1407,ChName,0)),"")</f>
        <v/>
      </c>
      <c r="G1407" t="inlineStr">
        <is>
          <t>NB</t>
        </is>
      </c>
      <c r="H1407">
        <f>IF(A1407&lt;=NWeeks,1,0)</f>
        <v/>
      </c>
      <c r="I1407">
        <f>INDEX(ChLaunch,MATCH(E1407,ChName,0))</f>
        <v/>
      </c>
      <c r="J1407">
        <f>INDEX(ChWeeksFull,MATCH(E1407,ChName,0))</f>
        <v/>
      </c>
      <c r="K1407">
        <f>INDEX(ChRamp,MATCH(E1407,ChName,0))</f>
        <v/>
      </c>
      <c r="L1407" s="45">
        <f>MIN(1,MAX(0,(A1407-I1407+1)*RampSpeed/J1407))</f>
        <v/>
      </c>
      <c r="M1407" s="45">
        <f>IF(A1407&lt;I1407,0,IF(K1407="S-curve",L1407*L1407*(3-2*L1407),L1407))</f>
        <v/>
      </c>
      <c r="N1407" s="45">
        <f>1+(INDEX(SeasonIdx,A1407)-1)*SeasonAmp</f>
        <v/>
      </c>
      <c r="O1407" s="45">
        <f>IFERROR(INDEX(PSPct,MATCH(E1407&amp;"|"&amp;G1407,PSKey,0)),0)</f>
        <v/>
      </c>
      <c r="P1407" s="46">
        <f>INDEX(ChDoorVel,MATCH(E1407,ChName,0))*CalibScalar*(1+VelocityUplift)</f>
        <v/>
      </c>
      <c r="Q1407" s="46" t="n">
        <v>0</v>
      </c>
      <c r="R1407" s="46">
        <f>P1407*O1407*M1407*N1407*H1407</f>
        <v/>
      </c>
      <c r="S1407" s="46">
        <f>R1407*INDEX(FmtCansPerCase,MATCH(F1407,FmtName,0))</f>
        <v/>
      </c>
      <c r="T1407" s="46">
        <f>S1407/INDEX(FmtCansPerPack,MATCH(F1407,FmtName,0))</f>
        <v/>
      </c>
      <c r="U1407" s="47">
        <f>INDEX(ChBaseCP,MATCH(E1407,ChName,0))*(1+INDEX(ProvMod,MATCH(G1407,ProvCode,0)))*(1+PriceIndex)</f>
        <v/>
      </c>
      <c r="V1407" s="47">
        <f>R1407*U1407*INDEX(FmtBlendedPriceIdx,MATCH(F1407,FmtName,0))</f>
        <v/>
      </c>
      <c r="W1407" s="47">
        <f>T1407*INDEX(ProvSRP,MATCH(G1407,ProvCode,0))*(1+PriceIndex)</f>
        <v/>
      </c>
      <c r="X1407" s="47">
        <f>IF(GrossBasis="Wholesale",V1407,W1407)</f>
        <v/>
      </c>
      <c r="Y1407" s="47">
        <f>R1407*INDEX(FmtBlendedCogs,MATCH(F1407,FmtName,0))</f>
        <v/>
      </c>
      <c r="Z1407" s="47">
        <f>X1407-Y1407</f>
        <v/>
      </c>
    </row>
    <row r="1408">
      <c r="A1408" t="n">
        <v>29</v>
      </c>
      <c r="B1408" s="44">
        <f>FiscalStart+(A1408-1)*7</f>
        <v/>
      </c>
      <c r="C1408">
        <f>TEXT(B1408,"mmm yyyy")</f>
        <v/>
      </c>
      <c r="D1408">
        <f>"Q"&amp;(INT((A1408-1)/13)+1)</f>
        <v/>
      </c>
      <c r="E1408" t="inlineStr">
        <is>
          <t>Fitness</t>
        </is>
      </c>
      <c r="F1408">
        <f>IFERROR(INDEX(ChFormat,MATCH(E1408,ChName,0)),"")</f>
        <v/>
      </c>
      <c r="G1408" t="inlineStr">
        <is>
          <t>NB</t>
        </is>
      </c>
      <c r="H1408">
        <f>IF(A1408&lt;=NWeeks,1,0)</f>
        <v/>
      </c>
      <c r="I1408">
        <f>INDEX(ChLaunch,MATCH(E1408,ChName,0))</f>
        <v/>
      </c>
      <c r="J1408">
        <f>INDEX(ChWeeksFull,MATCH(E1408,ChName,0))</f>
        <v/>
      </c>
      <c r="K1408">
        <f>INDEX(ChRamp,MATCH(E1408,ChName,0))</f>
        <v/>
      </c>
      <c r="L1408" s="45">
        <f>MIN(1,MAX(0,(A1408-I1408+1)*RampSpeed/J1408))</f>
        <v/>
      </c>
      <c r="M1408" s="45">
        <f>IF(A1408&lt;I1408,0,IF(K1408="S-curve",L1408*L1408*(3-2*L1408),L1408))</f>
        <v/>
      </c>
      <c r="N1408" s="45">
        <f>1+(INDEX(SeasonIdx,A1408)-1)*SeasonAmp</f>
        <v/>
      </c>
      <c r="O1408" s="45">
        <f>IFERROR(INDEX(PSPct,MATCH(E1408&amp;"|"&amp;G1408,PSKey,0)),0)</f>
        <v/>
      </c>
      <c r="P1408" s="46">
        <f>INDEX(ChDoorVel,MATCH(E1408,ChName,0))*CalibScalar*(1+VelocityUplift)</f>
        <v/>
      </c>
      <c r="Q1408" s="46" t="n">
        <v>0</v>
      </c>
      <c r="R1408" s="46">
        <f>P1408*O1408*M1408*N1408*H1408</f>
        <v/>
      </c>
      <c r="S1408" s="46">
        <f>R1408*INDEX(FmtCansPerCase,MATCH(F1408,FmtName,0))</f>
        <v/>
      </c>
      <c r="T1408" s="46">
        <f>S1408/INDEX(FmtCansPerPack,MATCH(F1408,FmtName,0))</f>
        <v/>
      </c>
      <c r="U1408" s="47">
        <f>INDEX(ChBaseCP,MATCH(E1408,ChName,0))*(1+INDEX(ProvMod,MATCH(G1408,ProvCode,0)))*(1+PriceIndex)</f>
        <v/>
      </c>
      <c r="V1408" s="47">
        <f>R1408*U1408*INDEX(FmtBlendedPriceIdx,MATCH(F1408,FmtName,0))</f>
        <v/>
      </c>
      <c r="W1408" s="47">
        <f>T1408*INDEX(ProvSRP,MATCH(G1408,ProvCode,0))*(1+PriceIndex)</f>
        <v/>
      </c>
      <c r="X1408" s="47">
        <f>IF(GrossBasis="Wholesale",V1408,W1408)</f>
        <v/>
      </c>
      <c r="Y1408" s="47">
        <f>R1408*INDEX(FmtBlendedCogs,MATCH(F1408,FmtName,0))</f>
        <v/>
      </c>
      <c r="Z1408" s="47">
        <f>X1408-Y1408</f>
        <v/>
      </c>
    </row>
    <row r="1409">
      <c r="A1409" t="n">
        <v>30</v>
      </c>
      <c r="B1409" s="44">
        <f>FiscalStart+(A1409-1)*7</f>
        <v/>
      </c>
      <c r="C1409">
        <f>TEXT(B1409,"mmm yyyy")</f>
        <v/>
      </c>
      <c r="D1409">
        <f>"Q"&amp;(INT((A1409-1)/13)+1)</f>
        <v/>
      </c>
      <c r="E1409" t="inlineStr">
        <is>
          <t>Fitness</t>
        </is>
      </c>
      <c r="F1409">
        <f>IFERROR(INDEX(ChFormat,MATCH(E1409,ChName,0)),"")</f>
        <v/>
      </c>
      <c r="G1409" t="inlineStr">
        <is>
          <t>NB</t>
        </is>
      </c>
      <c r="H1409">
        <f>IF(A1409&lt;=NWeeks,1,0)</f>
        <v/>
      </c>
      <c r="I1409">
        <f>INDEX(ChLaunch,MATCH(E1409,ChName,0))</f>
        <v/>
      </c>
      <c r="J1409">
        <f>INDEX(ChWeeksFull,MATCH(E1409,ChName,0))</f>
        <v/>
      </c>
      <c r="K1409">
        <f>INDEX(ChRamp,MATCH(E1409,ChName,0))</f>
        <v/>
      </c>
      <c r="L1409" s="45">
        <f>MIN(1,MAX(0,(A1409-I1409+1)*RampSpeed/J1409))</f>
        <v/>
      </c>
      <c r="M1409" s="45">
        <f>IF(A1409&lt;I1409,0,IF(K1409="S-curve",L1409*L1409*(3-2*L1409),L1409))</f>
        <v/>
      </c>
      <c r="N1409" s="45">
        <f>1+(INDEX(SeasonIdx,A1409)-1)*SeasonAmp</f>
        <v/>
      </c>
      <c r="O1409" s="45">
        <f>IFERROR(INDEX(PSPct,MATCH(E1409&amp;"|"&amp;G1409,PSKey,0)),0)</f>
        <v/>
      </c>
      <c r="P1409" s="46">
        <f>INDEX(ChDoorVel,MATCH(E1409,ChName,0))*CalibScalar*(1+VelocityUplift)</f>
        <v/>
      </c>
      <c r="Q1409" s="46" t="n">
        <v>0</v>
      </c>
      <c r="R1409" s="46">
        <f>P1409*O1409*M1409*N1409*H1409</f>
        <v/>
      </c>
      <c r="S1409" s="46">
        <f>R1409*INDEX(FmtCansPerCase,MATCH(F1409,FmtName,0))</f>
        <v/>
      </c>
      <c r="T1409" s="46">
        <f>S1409/INDEX(FmtCansPerPack,MATCH(F1409,FmtName,0))</f>
        <v/>
      </c>
      <c r="U1409" s="47">
        <f>INDEX(ChBaseCP,MATCH(E1409,ChName,0))*(1+INDEX(ProvMod,MATCH(G1409,ProvCode,0)))*(1+PriceIndex)</f>
        <v/>
      </c>
      <c r="V1409" s="47">
        <f>R1409*U1409*INDEX(FmtBlendedPriceIdx,MATCH(F1409,FmtName,0))</f>
        <v/>
      </c>
      <c r="W1409" s="47">
        <f>T1409*INDEX(ProvSRP,MATCH(G1409,ProvCode,0))*(1+PriceIndex)</f>
        <v/>
      </c>
      <c r="X1409" s="47">
        <f>IF(GrossBasis="Wholesale",V1409,W1409)</f>
        <v/>
      </c>
      <c r="Y1409" s="47">
        <f>R1409*INDEX(FmtBlendedCogs,MATCH(F1409,FmtName,0))</f>
        <v/>
      </c>
      <c r="Z1409" s="47">
        <f>X1409-Y1409</f>
        <v/>
      </c>
    </row>
    <row r="1410">
      <c r="A1410" t="n">
        <v>31</v>
      </c>
      <c r="B1410" s="44">
        <f>FiscalStart+(A1410-1)*7</f>
        <v/>
      </c>
      <c r="C1410">
        <f>TEXT(B1410,"mmm yyyy")</f>
        <v/>
      </c>
      <c r="D1410">
        <f>"Q"&amp;(INT((A1410-1)/13)+1)</f>
        <v/>
      </c>
      <c r="E1410" t="inlineStr">
        <is>
          <t>Fitness</t>
        </is>
      </c>
      <c r="F1410">
        <f>IFERROR(INDEX(ChFormat,MATCH(E1410,ChName,0)),"")</f>
        <v/>
      </c>
      <c r="G1410" t="inlineStr">
        <is>
          <t>NB</t>
        </is>
      </c>
      <c r="H1410">
        <f>IF(A1410&lt;=NWeeks,1,0)</f>
        <v/>
      </c>
      <c r="I1410">
        <f>INDEX(ChLaunch,MATCH(E1410,ChName,0))</f>
        <v/>
      </c>
      <c r="J1410">
        <f>INDEX(ChWeeksFull,MATCH(E1410,ChName,0))</f>
        <v/>
      </c>
      <c r="K1410">
        <f>INDEX(ChRamp,MATCH(E1410,ChName,0))</f>
        <v/>
      </c>
      <c r="L1410" s="45">
        <f>MIN(1,MAX(0,(A1410-I1410+1)*RampSpeed/J1410))</f>
        <v/>
      </c>
      <c r="M1410" s="45">
        <f>IF(A1410&lt;I1410,0,IF(K1410="S-curve",L1410*L1410*(3-2*L1410),L1410))</f>
        <v/>
      </c>
      <c r="N1410" s="45">
        <f>1+(INDEX(SeasonIdx,A1410)-1)*SeasonAmp</f>
        <v/>
      </c>
      <c r="O1410" s="45">
        <f>IFERROR(INDEX(PSPct,MATCH(E1410&amp;"|"&amp;G1410,PSKey,0)),0)</f>
        <v/>
      </c>
      <c r="P1410" s="46">
        <f>INDEX(ChDoorVel,MATCH(E1410,ChName,0))*CalibScalar*(1+VelocityUplift)</f>
        <v/>
      </c>
      <c r="Q1410" s="46" t="n">
        <v>0</v>
      </c>
      <c r="R1410" s="46">
        <f>P1410*O1410*M1410*N1410*H1410</f>
        <v/>
      </c>
      <c r="S1410" s="46">
        <f>R1410*INDEX(FmtCansPerCase,MATCH(F1410,FmtName,0))</f>
        <v/>
      </c>
      <c r="T1410" s="46">
        <f>S1410/INDEX(FmtCansPerPack,MATCH(F1410,FmtName,0))</f>
        <v/>
      </c>
      <c r="U1410" s="47">
        <f>INDEX(ChBaseCP,MATCH(E1410,ChName,0))*(1+INDEX(ProvMod,MATCH(G1410,ProvCode,0)))*(1+PriceIndex)</f>
        <v/>
      </c>
      <c r="V1410" s="47">
        <f>R1410*U1410*INDEX(FmtBlendedPriceIdx,MATCH(F1410,FmtName,0))</f>
        <v/>
      </c>
      <c r="W1410" s="47">
        <f>T1410*INDEX(ProvSRP,MATCH(G1410,ProvCode,0))*(1+PriceIndex)</f>
        <v/>
      </c>
      <c r="X1410" s="47">
        <f>IF(GrossBasis="Wholesale",V1410,W1410)</f>
        <v/>
      </c>
      <c r="Y1410" s="47">
        <f>R1410*INDEX(FmtBlendedCogs,MATCH(F1410,FmtName,0))</f>
        <v/>
      </c>
      <c r="Z1410" s="47">
        <f>X1410-Y1410</f>
        <v/>
      </c>
    </row>
    <row r="1411">
      <c r="A1411" t="n">
        <v>32</v>
      </c>
      <c r="B1411" s="44">
        <f>FiscalStart+(A1411-1)*7</f>
        <v/>
      </c>
      <c r="C1411">
        <f>TEXT(B1411,"mmm yyyy")</f>
        <v/>
      </c>
      <c r="D1411">
        <f>"Q"&amp;(INT((A1411-1)/13)+1)</f>
        <v/>
      </c>
      <c r="E1411" t="inlineStr">
        <is>
          <t>Fitness</t>
        </is>
      </c>
      <c r="F1411">
        <f>IFERROR(INDEX(ChFormat,MATCH(E1411,ChName,0)),"")</f>
        <v/>
      </c>
      <c r="G1411" t="inlineStr">
        <is>
          <t>NB</t>
        </is>
      </c>
      <c r="H1411">
        <f>IF(A1411&lt;=NWeeks,1,0)</f>
        <v/>
      </c>
      <c r="I1411">
        <f>INDEX(ChLaunch,MATCH(E1411,ChName,0))</f>
        <v/>
      </c>
      <c r="J1411">
        <f>INDEX(ChWeeksFull,MATCH(E1411,ChName,0))</f>
        <v/>
      </c>
      <c r="K1411">
        <f>INDEX(ChRamp,MATCH(E1411,ChName,0))</f>
        <v/>
      </c>
      <c r="L1411" s="45">
        <f>MIN(1,MAX(0,(A1411-I1411+1)*RampSpeed/J1411))</f>
        <v/>
      </c>
      <c r="M1411" s="45">
        <f>IF(A1411&lt;I1411,0,IF(K1411="S-curve",L1411*L1411*(3-2*L1411),L1411))</f>
        <v/>
      </c>
      <c r="N1411" s="45">
        <f>1+(INDEX(SeasonIdx,A1411)-1)*SeasonAmp</f>
        <v/>
      </c>
      <c r="O1411" s="45">
        <f>IFERROR(INDEX(PSPct,MATCH(E1411&amp;"|"&amp;G1411,PSKey,0)),0)</f>
        <v/>
      </c>
      <c r="P1411" s="46">
        <f>INDEX(ChDoorVel,MATCH(E1411,ChName,0))*CalibScalar*(1+VelocityUplift)</f>
        <v/>
      </c>
      <c r="Q1411" s="46" t="n">
        <v>0</v>
      </c>
      <c r="R1411" s="46">
        <f>P1411*O1411*M1411*N1411*H1411</f>
        <v/>
      </c>
      <c r="S1411" s="46">
        <f>R1411*INDEX(FmtCansPerCase,MATCH(F1411,FmtName,0))</f>
        <v/>
      </c>
      <c r="T1411" s="46">
        <f>S1411/INDEX(FmtCansPerPack,MATCH(F1411,FmtName,0))</f>
        <v/>
      </c>
      <c r="U1411" s="47">
        <f>INDEX(ChBaseCP,MATCH(E1411,ChName,0))*(1+INDEX(ProvMod,MATCH(G1411,ProvCode,0)))*(1+PriceIndex)</f>
        <v/>
      </c>
      <c r="V1411" s="47">
        <f>R1411*U1411*INDEX(FmtBlendedPriceIdx,MATCH(F1411,FmtName,0))</f>
        <v/>
      </c>
      <c r="W1411" s="47">
        <f>T1411*INDEX(ProvSRP,MATCH(G1411,ProvCode,0))*(1+PriceIndex)</f>
        <v/>
      </c>
      <c r="X1411" s="47">
        <f>IF(GrossBasis="Wholesale",V1411,W1411)</f>
        <v/>
      </c>
      <c r="Y1411" s="47">
        <f>R1411*INDEX(FmtBlendedCogs,MATCH(F1411,FmtName,0))</f>
        <v/>
      </c>
      <c r="Z1411" s="47">
        <f>X1411-Y1411</f>
        <v/>
      </c>
    </row>
    <row r="1412">
      <c r="A1412" t="n">
        <v>33</v>
      </c>
      <c r="B1412" s="44">
        <f>FiscalStart+(A1412-1)*7</f>
        <v/>
      </c>
      <c r="C1412">
        <f>TEXT(B1412,"mmm yyyy")</f>
        <v/>
      </c>
      <c r="D1412">
        <f>"Q"&amp;(INT((A1412-1)/13)+1)</f>
        <v/>
      </c>
      <c r="E1412" t="inlineStr">
        <is>
          <t>Fitness</t>
        </is>
      </c>
      <c r="F1412">
        <f>IFERROR(INDEX(ChFormat,MATCH(E1412,ChName,0)),"")</f>
        <v/>
      </c>
      <c r="G1412" t="inlineStr">
        <is>
          <t>NB</t>
        </is>
      </c>
      <c r="H1412">
        <f>IF(A1412&lt;=NWeeks,1,0)</f>
        <v/>
      </c>
      <c r="I1412">
        <f>INDEX(ChLaunch,MATCH(E1412,ChName,0))</f>
        <v/>
      </c>
      <c r="J1412">
        <f>INDEX(ChWeeksFull,MATCH(E1412,ChName,0))</f>
        <v/>
      </c>
      <c r="K1412">
        <f>INDEX(ChRamp,MATCH(E1412,ChName,0))</f>
        <v/>
      </c>
      <c r="L1412" s="45">
        <f>MIN(1,MAX(0,(A1412-I1412+1)*RampSpeed/J1412))</f>
        <v/>
      </c>
      <c r="M1412" s="45">
        <f>IF(A1412&lt;I1412,0,IF(K1412="S-curve",L1412*L1412*(3-2*L1412),L1412))</f>
        <v/>
      </c>
      <c r="N1412" s="45">
        <f>1+(INDEX(SeasonIdx,A1412)-1)*SeasonAmp</f>
        <v/>
      </c>
      <c r="O1412" s="45">
        <f>IFERROR(INDEX(PSPct,MATCH(E1412&amp;"|"&amp;G1412,PSKey,0)),0)</f>
        <v/>
      </c>
      <c r="P1412" s="46">
        <f>INDEX(ChDoorVel,MATCH(E1412,ChName,0))*CalibScalar*(1+VelocityUplift)</f>
        <v/>
      </c>
      <c r="Q1412" s="46" t="n">
        <v>0</v>
      </c>
      <c r="R1412" s="46">
        <f>P1412*O1412*M1412*N1412*H1412</f>
        <v/>
      </c>
      <c r="S1412" s="46">
        <f>R1412*INDEX(FmtCansPerCase,MATCH(F1412,FmtName,0))</f>
        <v/>
      </c>
      <c r="T1412" s="46">
        <f>S1412/INDEX(FmtCansPerPack,MATCH(F1412,FmtName,0))</f>
        <v/>
      </c>
      <c r="U1412" s="47">
        <f>INDEX(ChBaseCP,MATCH(E1412,ChName,0))*(1+INDEX(ProvMod,MATCH(G1412,ProvCode,0)))*(1+PriceIndex)</f>
        <v/>
      </c>
      <c r="V1412" s="47">
        <f>R1412*U1412*INDEX(FmtBlendedPriceIdx,MATCH(F1412,FmtName,0))</f>
        <v/>
      </c>
      <c r="W1412" s="47">
        <f>T1412*INDEX(ProvSRP,MATCH(G1412,ProvCode,0))*(1+PriceIndex)</f>
        <v/>
      </c>
      <c r="X1412" s="47">
        <f>IF(GrossBasis="Wholesale",V1412,W1412)</f>
        <v/>
      </c>
      <c r="Y1412" s="47">
        <f>R1412*INDEX(FmtBlendedCogs,MATCH(F1412,FmtName,0))</f>
        <v/>
      </c>
      <c r="Z1412" s="47">
        <f>X1412-Y1412</f>
        <v/>
      </c>
    </row>
    <row r="1413">
      <c r="A1413" t="n">
        <v>34</v>
      </c>
      <c r="B1413" s="44">
        <f>FiscalStart+(A1413-1)*7</f>
        <v/>
      </c>
      <c r="C1413">
        <f>TEXT(B1413,"mmm yyyy")</f>
        <v/>
      </c>
      <c r="D1413">
        <f>"Q"&amp;(INT((A1413-1)/13)+1)</f>
        <v/>
      </c>
      <c r="E1413" t="inlineStr">
        <is>
          <t>Fitness</t>
        </is>
      </c>
      <c r="F1413">
        <f>IFERROR(INDEX(ChFormat,MATCH(E1413,ChName,0)),"")</f>
        <v/>
      </c>
      <c r="G1413" t="inlineStr">
        <is>
          <t>NB</t>
        </is>
      </c>
      <c r="H1413">
        <f>IF(A1413&lt;=NWeeks,1,0)</f>
        <v/>
      </c>
      <c r="I1413">
        <f>INDEX(ChLaunch,MATCH(E1413,ChName,0))</f>
        <v/>
      </c>
      <c r="J1413">
        <f>INDEX(ChWeeksFull,MATCH(E1413,ChName,0))</f>
        <v/>
      </c>
      <c r="K1413">
        <f>INDEX(ChRamp,MATCH(E1413,ChName,0))</f>
        <v/>
      </c>
      <c r="L1413" s="45">
        <f>MIN(1,MAX(0,(A1413-I1413+1)*RampSpeed/J1413))</f>
        <v/>
      </c>
      <c r="M1413" s="45">
        <f>IF(A1413&lt;I1413,0,IF(K1413="S-curve",L1413*L1413*(3-2*L1413),L1413))</f>
        <v/>
      </c>
      <c r="N1413" s="45">
        <f>1+(INDEX(SeasonIdx,A1413)-1)*SeasonAmp</f>
        <v/>
      </c>
      <c r="O1413" s="45">
        <f>IFERROR(INDEX(PSPct,MATCH(E1413&amp;"|"&amp;G1413,PSKey,0)),0)</f>
        <v/>
      </c>
      <c r="P1413" s="46">
        <f>INDEX(ChDoorVel,MATCH(E1413,ChName,0))*CalibScalar*(1+VelocityUplift)</f>
        <v/>
      </c>
      <c r="Q1413" s="46" t="n">
        <v>0</v>
      </c>
      <c r="R1413" s="46">
        <f>P1413*O1413*M1413*N1413*H1413</f>
        <v/>
      </c>
      <c r="S1413" s="46">
        <f>R1413*INDEX(FmtCansPerCase,MATCH(F1413,FmtName,0))</f>
        <v/>
      </c>
      <c r="T1413" s="46">
        <f>S1413/INDEX(FmtCansPerPack,MATCH(F1413,FmtName,0))</f>
        <v/>
      </c>
      <c r="U1413" s="47">
        <f>INDEX(ChBaseCP,MATCH(E1413,ChName,0))*(1+INDEX(ProvMod,MATCH(G1413,ProvCode,0)))*(1+PriceIndex)</f>
        <v/>
      </c>
      <c r="V1413" s="47">
        <f>R1413*U1413*INDEX(FmtBlendedPriceIdx,MATCH(F1413,FmtName,0))</f>
        <v/>
      </c>
      <c r="W1413" s="47">
        <f>T1413*INDEX(ProvSRP,MATCH(G1413,ProvCode,0))*(1+PriceIndex)</f>
        <v/>
      </c>
      <c r="X1413" s="47">
        <f>IF(GrossBasis="Wholesale",V1413,W1413)</f>
        <v/>
      </c>
      <c r="Y1413" s="47">
        <f>R1413*INDEX(FmtBlendedCogs,MATCH(F1413,FmtName,0))</f>
        <v/>
      </c>
      <c r="Z1413" s="47">
        <f>X1413-Y1413</f>
        <v/>
      </c>
    </row>
    <row r="1414">
      <c r="A1414" t="n">
        <v>35</v>
      </c>
      <c r="B1414" s="44">
        <f>FiscalStart+(A1414-1)*7</f>
        <v/>
      </c>
      <c r="C1414">
        <f>TEXT(B1414,"mmm yyyy")</f>
        <v/>
      </c>
      <c r="D1414">
        <f>"Q"&amp;(INT((A1414-1)/13)+1)</f>
        <v/>
      </c>
      <c r="E1414" t="inlineStr">
        <is>
          <t>Fitness</t>
        </is>
      </c>
      <c r="F1414">
        <f>IFERROR(INDEX(ChFormat,MATCH(E1414,ChName,0)),"")</f>
        <v/>
      </c>
      <c r="G1414" t="inlineStr">
        <is>
          <t>NB</t>
        </is>
      </c>
      <c r="H1414">
        <f>IF(A1414&lt;=NWeeks,1,0)</f>
        <v/>
      </c>
      <c r="I1414">
        <f>INDEX(ChLaunch,MATCH(E1414,ChName,0))</f>
        <v/>
      </c>
      <c r="J1414">
        <f>INDEX(ChWeeksFull,MATCH(E1414,ChName,0))</f>
        <v/>
      </c>
      <c r="K1414">
        <f>INDEX(ChRamp,MATCH(E1414,ChName,0))</f>
        <v/>
      </c>
      <c r="L1414" s="45">
        <f>MIN(1,MAX(0,(A1414-I1414+1)*RampSpeed/J1414))</f>
        <v/>
      </c>
      <c r="M1414" s="45">
        <f>IF(A1414&lt;I1414,0,IF(K1414="S-curve",L1414*L1414*(3-2*L1414),L1414))</f>
        <v/>
      </c>
      <c r="N1414" s="45">
        <f>1+(INDEX(SeasonIdx,A1414)-1)*SeasonAmp</f>
        <v/>
      </c>
      <c r="O1414" s="45">
        <f>IFERROR(INDEX(PSPct,MATCH(E1414&amp;"|"&amp;G1414,PSKey,0)),0)</f>
        <v/>
      </c>
      <c r="P1414" s="46">
        <f>INDEX(ChDoorVel,MATCH(E1414,ChName,0))*CalibScalar*(1+VelocityUplift)</f>
        <v/>
      </c>
      <c r="Q1414" s="46" t="n">
        <v>0</v>
      </c>
      <c r="R1414" s="46">
        <f>P1414*O1414*M1414*N1414*H1414</f>
        <v/>
      </c>
      <c r="S1414" s="46">
        <f>R1414*INDEX(FmtCansPerCase,MATCH(F1414,FmtName,0))</f>
        <v/>
      </c>
      <c r="T1414" s="46">
        <f>S1414/INDEX(FmtCansPerPack,MATCH(F1414,FmtName,0))</f>
        <v/>
      </c>
      <c r="U1414" s="47">
        <f>INDEX(ChBaseCP,MATCH(E1414,ChName,0))*(1+INDEX(ProvMod,MATCH(G1414,ProvCode,0)))*(1+PriceIndex)</f>
        <v/>
      </c>
      <c r="V1414" s="47">
        <f>R1414*U1414*INDEX(FmtBlendedPriceIdx,MATCH(F1414,FmtName,0))</f>
        <v/>
      </c>
      <c r="W1414" s="47">
        <f>T1414*INDEX(ProvSRP,MATCH(G1414,ProvCode,0))*(1+PriceIndex)</f>
        <v/>
      </c>
      <c r="X1414" s="47">
        <f>IF(GrossBasis="Wholesale",V1414,W1414)</f>
        <v/>
      </c>
      <c r="Y1414" s="47">
        <f>R1414*INDEX(FmtBlendedCogs,MATCH(F1414,FmtName,0))</f>
        <v/>
      </c>
      <c r="Z1414" s="47">
        <f>X1414-Y1414</f>
        <v/>
      </c>
    </row>
    <row r="1415">
      <c r="A1415" t="n">
        <v>36</v>
      </c>
      <c r="B1415" s="44">
        <f>FiscalStart+(A1415-1)*7</f>
        <v/>
      </c>
      <c r="C1415">
        <f>TEXT(B1415,"mmm yyyy")</f>
        <v/>
      </c>
      <c r="D1415">
        <f>"Q"&amp;(INT((A1415-1)/13)+1)</f>
        <v/>
      </c>
      <c r="E1415" t="inlineStr">
        <is>
          <t>Fitness</t>
        </is>
      </c>
      <c r="F1415">
        <f>IFERROR(INDEX(ChFormat,MATCH(E1415,ChName,0)),"")</f>
        <v/>
      </c>
      <c r="G1415" t="inlineStr">
        <is>
          <t>NB</t>
        </is>
      </c>
      <c r="H1415">
        <f>IF(A1415&lt;=NWeeks,1,0)</f>
        <v/>
      </c>
      <c r="I1415">
        <f>INDEX(ChLaunch,MATCH(E1415,ChName,0))</f>
        <v/>
      </c>
      <c r="J1415">
        <f>INDEX(ChWeeksFull,MATCH(E1415,ChName,0))</f>
        <v/>
      </c>
      <c r="K1415">
        <f>INDEX(ChRamp,MATCH(E1415,ChName,0))</f>
        <v/>
      </c>
      <c r="L1415" s="45">
        <f>MIN(1,MAX(0,(A1415-I1415+1)*RampSpeed/J1415))</f>
        <v/>
      </c>
      <c r="M1415" s="45">
        <f>IF(A1415&lt;I1415,0,IF(K1415="S-curve",L1415*L1415*(3-2*L1415),L1415))</f>
        <v/>
      </c>
      <c r="N1415" s="45">
        <f>1+(INDEX(SeasonIdx,A1415)-1)*SeasonAmp</f>
        <v/>
      </c>
      <c r="O1415" s="45">
        <f>IFERROR(INDEX(PSPct,MATCH(E1415&amp;"|"&amp;G1415,PSKey,0)),0)</f>
        <v/>
      </c>
      <c r="P1415" s="46">
        <f>INDEX(ChDoorVel,MATCH(E1415,ChName,0))*CalibScalar*(1+VelocityUplift)</f>
        <v/>
      </c>
      <c r="Q1415" s="46" t="n">
        <v>0</v>
      </c>
      <c r="R1415" s="46">
        <f>P1415*O1415*M1415*N1415*H1415</f>
        <v/>
      </c>
      <c r="S1415" s="46">
        <f>R1415*INDEX(FmtCansPerCase,MATCH(F1415,FmtName,0))</f>
        <v/>
      </c>
      <c r="T1415" s="46">
        <f>S1415/INDEX(FmtCansPerPack,MATCH(F1415,FmtName,0))</f>
        <v/>
      </c>
      <c r="U1415" s="47">
        <f>INDEX(ChBaseCP,MATCH(E1415,ChName,0))*(1+INDEX(ProvMod,MATCH(G1415,ProvCode,0)))*(1+PriceIndex)</f>
        <v/>
      </c>
      <c r="V1415" s="47">
        <f>R1415*U1415*INDEX(FmtBlendedPriceIdx,MATCH(F1415,FmtName,0))</f>
        <v/>
      </c>
      <c r="W1415" s="47">
        <f>T1415*INDEX(ProvSRP,MATCH(G1415,ProvCode,0))*(1+PriceIndex)</f>
        <v/>
      </c>
      <c r="X1415" s="47">
        <f>IF(GrossBasis="Wholesale",V1415,W1415)</f>
        <v/>
      </c>
      <c r="Y1415" s="47">
        <f>R1415*INDEX(FmtBlendedCogs,MATCH(F1415,FmtName,0))</f>
        <v/>
      </c>
      <c r="Z1415" s="47">
        <f>X1415-Y1415</f>
        <v/>
      </c>
    </row>
    <row r="1416">
      <c r="A1416" t="n">
        <v>37</v>
      </c>
      <c r="B1416" s="44">
        <f>FiscalStart+(A1416-1)*7</f>
        <v/>
      </c>
      <c r="C1416">
        <f>TEXT(B1416,"mmm yyyy")</f>
        <v/>
      </c>
      <c r="D1416">
        <f>"Q"&amp;(INT((A1416-1)/13)+1)</f>
        <v/>
      </c>
      <c r="E1416" t="inlineStr">
        <is>
          <t>Fitness</t>
        </is>
      </c>
      <c r="F1416">
        <f>IFERROR(INDEX(ChFormat,MATCH(E1416,ChName,0)),"")</f>
        <v/>
      </c>
      <c r="G1416" t="inlineStr">
        <is>
          <t>NB</t>
        </is>
      </c>
      <c r="H1416">
        <f>IF(A1416&lt;=NWeeks,1,0)</f>
        <v/>
      </c>
      <c r="I1416">
        <f>INDEX(ChLaunch,MATCH(E1416,ChName,0))</f>
        <v/>
      </c>
      <c r="J1416">
        <f>INDEX(ChWeeksFull,MATCH(E1416,ChName,0))</f>
        <v/>
      </c>
      <c r="K1416">
        <f>INDEX(ChRamp,MATCH(E1416,ChName,0))</f>
        <v/>
      </c>
      <c r="L1416" s="45">
        <f>MIN(1,MAX(0,(A1416-I1416+1)*RampSpeed/J1416))</f>
        <v/>
      </c>
      <c r="M1416" s="45">
        <f>IF(A1416&lt;I1416,0,IF(K1416="S-curve",L1416*L1416*(3-2*L1416),L1416))</f>
        <v/>
      </c>
      <c r="N1416" s="45">
        <f>1+(INDEX(SeasonIdx,A1416)-1)*SeasonAmp</f>
        <v/>
      </c>
      <c r="O1416" s="45">
        <f>IFERROR(INDEX(PSPct,MATCH(E1416&amp;"|"&amp;G1416,PSKey,0)),0)</f>
        <v/>
      </c>
      <c r="P1416" s="46">
        <f>INDEX(ChDoorVel,MATCH(E1416,ChName,0))*CalibScalar*(1+VelocityUplift)</f>
        <v/>
      </c>
      <c r="Q1416" s="46" t="n">
        <v>0</v>
      </c>
      <c r="R1416" s="46">
        <f>P1416*O1416*M1416*N1416*H1416</f>
        <v/>
      </c>
      <c r="S1416" s="46">
        <f>R1416*INDEX(FmtCansPerCase,MATCH(F1416,FmtName,0))</f>
        <v/>
      </c>
      <c r="T1416" s="46">
        <f>S1416/INDEX(FmtCansPerPack,MATCH(F1416,FmtName,0))</f>
        <v/>
      </c>
      <c r="U1416" s="47">
        <f>INDEX(ChBaseCP,MATCH(E1416,ChName,0))*(1+INDEX(ProvMod,MATCH(G1416,ProvCode,0)))*(1+PriceIndex)</f>
        <v/>
      </c>
      <c r="V1416" s="47">
        <f>R1416*U1416*INDEX(FmtBlendedPriceIdx,MATCH(F1416,FmtName,0))</f>
        <v/>
      </c>
      <c r="W1416" s="47">
        <f>T1416*INDEX(ProvSRP,MATCH(G1416,ProvCode,0))*(1+PriceIndex)</f>
        <v/>
      </c>
      <c r="X1416" s="47">
        <f>IF(GrossBasis="Wholesale",V1416,W1416)</f>
        <v/>
      </c>
      <c r="Y1416" s="47">
        <f>R1416*INDEX(FmtBlendedCogs,MATCH(F1416,FmtName,0))</f>
        <v/>
      </c>
      <c r="Z1416" s="47">
        <f>X1416-Y1416</f>
        <v/>
      </c>
    </row>
    <row r="1417">
      <c r="A1417" t="n">
        <v>38</v>
      </c>
      <c r="B1417" s="44">
        <f>FiscalStart+(A1417-1)*7</f>
        <v/>
      </c>
      <c r="C1417">
        <f>TEXT(B1417,"mmm yyyy")</f>
        <v/>
      </c>
      <c r="D1417">
        <f>"Q"&amp;(INT((A1417-1)/13)+1)</f>
        <v/>
      </c>
      <c r="E1417" t="inlineStr">
        <is>
          <t>Fitness</t>
        </is>
      </c>
      <c r="F1417">
        <f>IFERROR(INDEX(ChFormat,MATCH(E1417,ChName,0)),"")</f>
        <v/>
      </c>
      <c r="G1417" t="inlineStr">
        <is>
          <t>NB</t>
        </is>
      </c>
      <c r="H1417">
        <f>IF(A1417&lt;=NWeeks,1,0)</f>
        <v/>
      </c>
      <c r="I1417">
        <f>INDEX(ChLaunch,MATCH(E1417,ChName,0))</f>
        <v/>
      </c>
      <c r="J1417">
        <f>INDEX(ChWeeksFull,MATCH(E1417,ChName,0))</f>
        <v/>
      </c>
      <c r="K1417">
        <f>INDEX(ChRamp,MATCH(E1417,ChName,0))</f>
        <v/>
      </c>
      <c r="L1417" s="45">
        <f>MIN(1,MAX(0,(A1417-I1417+1)*RampSpeed/J1417))</f>
        <v/>
      </c>
      <c r="M1417" s="45">
        <f>IF(A1417&lt;I1417,0,IF(K1417="S-curve",L1417*L1417*(3-2*L1417),L1417))</f>
        <v/>
      </c>
      <c r="N1417" s="45">
        <f>1+(INDEX(SeasonIdx,A1417)-1)*SeasonAmp</f>
        <v/>
      </c>
      <c r="O1417" s="45">
        <f>IFERROR(INDEX(PSPct,MATCH(E1417&amp;"|"&amp;G1417,PSKey,0)),0)</f>
        <v/>
      </c>
      <c r="P1417" s="46">
        <f>INDEX(ChDoorVel,MATCH(E1417,ChName,0))*CalibScalar*(1+VelocityUplift)</f>
        <v/>
      </c>
      <c r="Q1417" s="46" t="n">
        <v>0</v>
      </c>
      <c r="R1417" s="46">
        <f>P1417*O1417*M1417*N1417*H1417</f>
        <v/>
      </c>
      <c r="S1417" s="46">
        <f>R1417*INDEX(FmtCansPerCase,MATCH(F1417,FmtName,0))</f>
        <v/>
      </c>
      <c r="T1417" s="46">
        <f>S1417/INDEX(FmtCansPerPack,MATCH(F1417,FmtName,0))</f>
        <v/>
      </c>
      <c r="U1417" s="47">
        <f>INDEX(ChBaseCP,MATCH(E1417,ChName,0))*(1+INDEX(ProvMod,MATCH(G1417,ProvCode,0)))*(1+PriceIndex)</f>
        <v/>
      </c>
      <c r="V1417" s="47">
        <f>R1417*U1417*INDEX(FmtBlendedPriceIdx,MATCH(F1417,FmtName,0))</f>
        <v/>
      </c>
      <c r="W1417" s="47">
        <f>T1417*INDEX(ProvSRP,MATCH(G1417,ProvCode,0))*(1+PriceIndex)</f>
        <v/>
      </c>
      <c r="X1417" s="47">
        <f>IF(GrossBasis="Wholesale",V1417,W1417)</f>
        <v/>
      </c>
      <c r="Y1417" s="47">
        <f>R1417*INDEX(FmtBlendedCogs,MATCH(F1417,FmtName,0))</f>
        <v/>
      </c>
      <c r="Z1417" s="47">
        <f>X1417-Y1417</f>
        <v/>
      </c>
    </row>
    <row r="1418">
      <c r="A1418" t="n">
        <v>39</v>
      </c>
      <c r="B1418" s="44">
        <f>FiscalStart+(A1418-1)*7</f>
        <v/>
      </c>
      <c r="C1418">
        <f>TEXT(B1418,"mmm yyyy")</f>
        <v/>
      </c>
      <c r="D1418">
        <f>"Q"&amp;(INT((A1418-1)/13)+1)</f>
        <v/>
      </c>
      <c r="E1418" t="inlineStr">
        <is>
          <t>Fitness</t>
        </is>
      </c>
      <c r="F1418">
        <f>IFERROR(INDEX(ChFormat,MATCH(E1418,ChName,0)),"")</f>
        <v/>
      </c>
      <c r="G1418" t="inlineStr">
        <is>
          <t>NB</t>
        </is>
      </c>
      <c r="H1418">
        <f>IF(A1418&lt;=NWeeks,1,0)</f>
        <v/>
      </c>
      <c r="I1418">
        <f>INDEX(ChLaunch,MATCH(E1418,ChName,0))</f>
        <v/>
      </c>
      <c r="J1418">
        <f>INDEX(ChWeeksFull,MATCH(E1418,ChName,0))</f>
        <v/>
      </c>
      <c r="K1418">
        <f>INDEX(ChRamp,MATCH(E1418,ChName,0))</f>
        <v/>
      </c>
      <c r="L1418" s="45">
        <f>MIN(1,MAX(0,(A1418-I1418+1)*RampSpeed/J1418))</f>
        <v/>
      </c>
      <c r="M1418" s="45">
        <f>IF(A1418&lt;I1418,0,IF(K1418="S-curve",L1418*L1418*(3-2*L1418),L1418))</f>
        <v/>
      </c>
      <c r="N1418" s="45">
        <f>1+(INDEX(SeasonIdx,A1418)-1)*SeasonAmp</f>
        <v/>
      </c>
      <c r="O1418" s="45">
        <f>IFERROR(INDEX(PSPct,MATCH(E1418&amp;"|"&amp;G1418,PSKey,0)),0)</f>
        <v/>
      </c>
      <c r="P1418" s="46">
        <f>INDEX(ChDoorVel,MATCH(E1418,ChName,0))*CalibScalar*(1+VelocityUplift)</f>
        <v/>
      </c>
      <c r="Q1418" s="46" t="n">
        <v>0</v>
      </c>
      <c r="R1418" s="46">
        <f>P1418*O1418*M1418*N1418*H1418</f>
        <v/>
      </c>
      <c r="S1418" s="46">
        <f>R1418*INDEX(FmtCansPerCase,MATCH(F1418,FmtName,0))</f>
        <v/>
      </c>
      <c r="T1418" s="46">
        <f>S1418/INDEX(FmtCansPerPack,MATCH(F1418,FmtName,0))</f>
        <v/>
      </c>
      <c r="U1418" s="47">
        <f>INDEX(ChBaseCP,MATCH(E1418,ChName,0))*(1+INDEX(ProvMod,MATCH(G1418,ProvCode,0)))*(1+PriceIndex)</f>
        <v/>
      </c>
      <c r="V1418" s="47">
        <f>R1418*U1418*INDEX(FmtBlendedPriceIdx,MATCH(F1418,FmtName,0))</f>
        <v/>
      </c>
      <c r="W1418" s="47">
        <f>T1418*INDEX(ProvSRP,MATCH(G1418,ProvCode,0))*(1+PriceIndex)</f>
        <v/>
      </c>
      <c r="X1418" s="47">
        <f>IF(GrossBasis="Wholesale",V1418,W1418)</f>
        <v/>
      </c>
      <c r="Y1418" s="47">
        <f>R1418*INDEX(FmtBlendedCogs,MATCH(F1418,FmtName,0))</f>
        <v/>
      </c>
      <c r="Z1418" s="47">
        <f>X1418-Y1418</f>
        <v/>
      </c>
    </row>
    <row r="1419">
      <c r="A1419" t="n">
        <v>40</v>
      </c>
      <c r="B1419" s="44">
        <f>FiscalStart+(A1419-1)*7</f>
        <v/>
      </c>
      <c r="C1419">
        <f>TEXT(B1419,"mmm yyyy")</f>
        <v/>
      </c>
      <c r="D1419">
        <f>"Q"&amp;(INT((A1419-1)/13)+1)</f>
        <v/>
      </c>
      <c r="E1419" t="inlineStr">
        <is>
          <t>Fitness</t>
        </is>
      </c>
      <c r="F1419">
        <f>IFERROR(INDEX(ChFormat,MATCH(E1419,ChName,0)),"")</f>
        <v/>
      </c>
      <c r="G1419" t="inlineStr">
        <is>
          <t>NB</t>
        </is>
      </c>
      <c r="H1419">
        <f>IF(A1419&lt;=NWeeks,1,0)</f>
        <v/>
      </c>
      <c r="I1419">
        <f>INDEX(ChLaunch,MATCH(E1419,ChName,0))</f>
        <v/>
      </c>
      <c r="J1419">
        <f>INDEX(ChWeeksFull,MATCH(E1419,ChName,0))</f>
        <v/>
      </c>
      <c r="K1419">
        <f>INDEX(ChRamp,MATCH(E1419,ChName,0))</f>
        <v/>
      </c>
      <c r="L1419" s="45">
        <f>MIN(1,MAX(0,(A1419-I1419+1)*RampSpeed/J1419))</f>
        <v/>
      </c>
      <c r="M1419" s="45">
        <f>IF(A1419&lt;I1419,0,IF(K1419="S-curve",L1419*L1419*(3-2*L1419),L1419))</f>
        <v/>
      </c>
      <c r="N1419" s="45">
        <f>1+(INDEX(SeasonIdx,A1419)-1)*SeasonAmp</f>
        <v/>
      </c>
      <c r="O1419" s="45">
        <f>IFERROR(INDEX(PSPct,MATCH(E1419&amp;"|"&amp;G1419,PSKey,0)),0)</f>
        <v/>
      </c>
      <c r="P1419" s="46">
        <f>INDEX(ChDoorVel,MATCH(E1419,ChName,0))*CalibScalar*(1+VelocityUplift)</f>
        <v/>
      </c>
      <c r="Q1419" s="46" t="n">
        <v>0</v>
      </c>
      <c r="R1419" s="46">
        <f>P1419*O1419*M1419*N1419*H1419</f>
        <v/>
      </c>
      <c r="S1419" s="46">
        <f>R1419*INDEX(FmtCansPerCase,MATCH(F1419,FmtName,0))</f>
        <v/>
      </c>
      <c r="T1419" s="46">
        <f>S1419/INDEX(FmtCansPerPack,MATCH(F1419,FmtName,0))</f>
        <v/>
      </c>
      <c r="U1419" s="47">
        <f>INDEX(ChBaseCP,MATCH(E1419,ChName,0))*(1+INDEX(ProvMod,MATCH(G1419,ProvCode,0)))*(1+PriceIndex)</f>
        <v/>
      </c>
      <c r="V1419" s="47">
        <f>R1419*U1419*INDEX(FmtBlendedPriceIdx,MATCH(F1419,FmtName,0))</f>
        <v/>
      </c>
      <c r="W1419" s="47">
        <f>T1419*INDEX(ProvSRP,MATCH(G1419,ProvCode,0))*(1+PriceIndex)</f>
        <v/>
      </c>
      <c r="X1419" s="47">
        <f>IF(GrossBasis="Wholesale",V1419,W1419)</f>
        <v/>
      </c>
      <c r="Y1419" s="47">
        <f>R1419*INDEX(FmtBlendedCogs,MATCH(F1419,FmtName,0))</f>
        <v/>
      </c>
      <c r="Z1419" s="47">
        <f>X1419-Y1419</f>
        <v/>
      </c>
    </row>
    <row r="1420">
      <c r="A1420" t="n">
        <v>41</v>
      </c>
      <c r="B1420" s="44">
        <f>FiscalStart+(A1420-1)*7</f>
        <v/>
      </c>
      <c r="C1420">
        <f>TEXT(B1420,"mmm yyyy")</f>
        <v/>
      </c>
      <c r="D1420">
        <f>"Q"&amp;(INT((A1420-1)/13)+1)</f>
        <v/>
      </c>
      <c r="E1420" t="inlineStr">
        <is>
          <t>Fitness</t>
        </is>
      </c>
      <c r="F1420">
        <f>IFERROR(INDEX(ChFormat,MATCH(E1420,ChName,0)),"")</f>
        <v/>
      </c>
      <c r="G1420" t="inlineStr">
        <is>
          <t>NB</t>
        </is>
      </c>
      <c r="H1420">
        <f>IF(A1420&lt;=NWeeks,1,0)</f>
        <v/>
      </c>
      <c r="I1420">
        <f>INDEX(ChLaunch,MATCH(E1420,ChName,0))</f>
        <v/>
      </c>
      <c r="J1420">
        <f>INDEX(ChWeeksFull,MATCH(E1420,ChName,0))</f>
        <v/>
      </c>
      <c r="K1420">
        <f>INDEX(ChRamp,MATCH(E1420,ChName,0))</f>
        <v/>
      </c>
      <c r="L1420" s="45">
        <f>MIN(1,MAX(0,(A1420-I1420+1)*RampSpeed/J1420))</f>
        <v/>
      </c>
      <c r="M1420" s="45">
        <f>IF(A1420&lt;I1420,0,IF(K1420="S-curve",L1420*L1420*(3-2*L1420),L1420))</f>
        <v/>
      </c>
      <c r="N1420" s="45">
        <f>1+(INDEX(SeasonIdx,A1420)-1)*SeasonAmp</f>
        <v/>
      </c>
      <c r="O1420" s="45">
        <f>IFERROR(INDEX(PSPct,MATCH(E1420&amp;"|"&amp;G1420,PSKey,0)),0)</f>
        <v/>
      </c>
      <c r="P1420" s="46">
        <f>INDEX(ChDoorVel,MATCH(E1420,ChName,0))*CalibScalar*(1+VelocityUplift)</f>
        <v/>
      </c>
      <c r="Q1420" s="46" t="n">
        <v>0</v>
      </c>
      <c r="R1420" s="46">
        <f>P1420*O1420*M1420*N1420*H1420</f>
        <v/>
      </c>
      <c r="S1420" s="46">
        <f>R1420*INDEX(FmtCansPerCase,MATCH(F1420,FmtName,0))</f>
        <v/>
      </c>
      <c r="T1420" s="46">
        <f>S1420/INDEX(FmtCansPerPack,MATCH(F1420,FmtName,0))</f>
        <v/>
      </c>
      <c r="U1420" s="47">
        <f>INDEX(ChBaseCP,MATCH(E1420,ChName,0))*(1+INDEX(ProvMod,MATCH(G1420,ProvCode,0)))*(1+PriceIndex)</f>
        <v/>
      </c>
      <c r="V1420" s="47">
        <f>R1420*U1420*INDEX(FmtBlendedPriceIdx,MATCH(F1420,FmtName,0))</f>
        <v/>
      </c>
      <c r="W1420" s="47">
        <f>T1420*INDEX(ProvSRP,MATCH(G1420,ProvCode,0))*(1+PriceIndex)</f>
        <v/>
      </c>
      <c r="X1420" s="47">
        <f>IF(GrossBasis="Wholesale",V1420,W1420)</f>
        <v/>
      </c>
      <c r="Y1420" s="47">
        <f>R1420*INDEX(FmtBlendedCogs,MATCH(F1420,FmtName,0))</f>
        <v/>
      </c>
      <c r="Z1420" s="47">
        <f>X1420-Y1420</f>
        <v/>
      </c>
    </row>
    <row r="1421">
      <c r="A1421" t="n">
        <v>42</v>
      </c>
      <c r="B1421" s="44">
        <f>FiscalStart+(A1421-1)*7</f>
        <v/>
      </c>
      <c r="C1421">
        <f>TEXT(B1421,"mmm yyyy")</f>
        <v/>
      </c>
      <c r="D1421">
        <f>"Q"&amp;(INT((A1421-1)/13)+1)</f>
        <v/>
      </c>
      <c r="E1421" t="inlineStr">
        <is>
          <t>Fitness</t>
        </is>
      </c>
      <c r="F1421">
        <f>IFERROR(INDEX(ChFormat,MATCH(E1421,ChName,0)),"")</f>
        <v/>
      </c>
      <c r="G1421" t="inlineStr">
        <is>
          <t>NB</t>
        </is>
      </c>
      <c r="H1421">
        <f>IF(A1421&lt;=NWeeks,1,0)</f>
        <v/>
      </c>
      <c r="I1421">
        <f>INDEX(ChLaunch,MATCH(E1421,ChName,0))</f>
        <v/>
      </c>
      <c r="J1421">
        <f>INDEX(ChWeeksFull,MATCH(E1421,ChName,0))</f>
        <v/>
      </c>
      <c r="K1421">
        <f>INDEX(ChRamp,MATCH(E1421,ChName,0))</f>
        <v/>
      </c>
      <c r="L1421" s="45">
        <f>MIN(1,MAX(0,(A1421-I1421+1)*RampSpeed/J1421))</f>
        <v/>
      </c>
      <c r="M1421" s="45">
        <f>IF(A1421&lt;I1421,0,IF(K1421="S-curve",L1421*L1421*(3-2*L1421),L1421))</f>
        <v/>
      </c>
      <c r="N1421" s="45">
        <f>1+(INDEX(SeasonIdx,A1421)-1)*SeasonAmp</f>
        <v/>
      </c>
      <c r="O1421" s="45">
        <f>IFERROR(INDEX(PSPct,MATCH(E1421&amp;"|"&amp;G1421,PSKey,0)),0)</f>
        <v/>
      </c>
      <c r="P1421" s="46">
        <f>INDEX(ChDoorVel,MATCH(E1421,ChName,0))*CalibScalar*(1+VelocityUplift)</f>
        <v/>
      </c>
      <c r="Q1421" s="46" t="n">
        <v>0</v>
      </c>
      <c r="R1421" s="46">
        <f>P1421*O1421*M1421*N1421*H1421</f>
        <v/>
      </c>
      <c r="S1421" s="46">
        <f>R1421*INDEX(FmtCansPerCase,MATCH(F1421,FmtName,0))</f>
        <v/>
      </c>
      <c r="T1421" s="46">
        <f>S1421/INDEX(FmtCansPerPack,MATCH(F1421,FmtName,0))</f>
        <v/>
      </c>
      <c r="U1421" s="47">
        <f>INDEX(ChBaseCP,MATCH(E1421,ChName,0))*(1+INDEX(ProvMod,MATCH(G1421,ProvCode,0)))*(1+PriceIndex)</f>
        <v/>
      </c>
      <c r="V1421" s="47">
        <f>R1421*U1421*INDEX(FmtBlendedPriceIdx,MATCH(F1421,FmtName,0))</f>
        <v/>
      </c>
      <c r="W1421" s="47">
        <f>T1421*INDEX(ProvSRP,MATCH(G1421,ProvCode,0))*(1+PriceIndex)</f>
        <v/>
      </c>
      <c r="X1421" s="47">
        <f>IF(GrossBasis="Wholesale",V1421,W1421)</f>
        <v/>
      </c>
      <c r="Y1421" s="47">
        <f>R1421*INDEX(FmtBlendedCogs,MATCH(F1421,FmtName,0))</f>
        <v/>
      </c>
      <c r="Z1421" s="47">
        <f>X1421-Y1421</f>
        <v/>
      </c>
    </row>
    <row r="1422">
      <c r="A1422" t="n">
        <v>43</v>
      </c>
      <c r="B1422" s="44">
        <f>FiscalStart+(A1422-1)*7</f>
        <v/>
      </c>
      <c r="C1422">
        <f>TEXT(B1422,"mmm yyyy")</f>
        <v/>
      </c>
      <c r="D1422">
        <f>"Q"&amp;(INT((A1422-1)/13)+1)</f>
        <v/>
      </c>
      <c r="E1422" t="inlineStr">
        <is>
          <t>Fitness</t>
        </is>
      </c>
      <c r="F1422">
        <f>IFERROR(INDEX(ChFormat,MATCH(E1422,ChName,0)),"")</f>
        <v/>
      </c>
      <c r="G1422" t="inlineStr">
        <is>
          <t>NB</t>
        </is>
      </c>
      <c r="H1422">
        <f>IF(A1422&lt;=NWeeks,1,0)</f>
        <v/>
      </c>
      <c r="I1422">
        <f>INDEX(ChLaunch,MATCH(E1422,ChName,0))</f>
        <v/>
      </c>
      <c r="J1422">
        <f>INDEX(ChWeeksFull,MATCH(E1422,ChName,0))</f>
        <v/>
      </c>
      <c r="K1422">
        <f>INDEX(ChRamp,MATCH(E1422,ChName,0))</f>
        <v/>
      </c>
      <c r="L1422" s="45">
        <f>MIN(1,MAX(0,(A1422-I1422+1)*RampSpeed/J1422))</f>
        <v/>
      </c>
      <c r="M1422" s="45">
        <f>IF(A1422&lt;I1422,0,IF(K1422="S-curve",L1422*L1422*(3-2*L1422),L1422))</f>
        <v/>
      </c>
      <c r="N1422" s="45">
        <f>1+(INDEX(SeasonIdx,A1422)-1)*SeasonAmp</f>
        <v/>
      </c>
      <c r="O1422" s="45">
        <f>IFERROR(INDEX(PSPct,MATCH(E1422&amp;"|"&amp;G1422,PSKey,0)),0)</f>
        <v/>
      </c>
      <c r="P1422" s="46">
        <f>INDEX(ChDoorVel,MATCH(E1422,ChName,0))*CalibScalar*(1+VelocityUplift)</f>
        <v/>
      </c>
      <c r="Q1422" s="46" t="n">
        <v>0</v>
      </c>
      <c r="R1422" s="46">
        <f>P1422*O1422*M1422*N1422*H1422</f>
        <v/>
      </c>
      <c r="S1422" s="46">
        <f>R1422*INDEX(FmtCansPerCase,MATCH(F1422,FmtName,0))</f>
        <v/>
      </c>
      <c r="T1422" s="46">
        <f>S1422/INDEX(FmtCansPerPack,MATCH(F1422,FmtName,0))</f>
        <v/>
      </c>
      <c r="U1422" s="47">
        <f>INDEX(ChBaseCP,MATCH(E1422,ChName,0))*(1+INDEX(ProvMod,MATCH(G1422,ProvCode,0)))*(1+PriceIndex)</f>
        <v/>
      </c>
      <c r="V1422" s="47">
        <f>R1422*U1422*INDEX(FmtBlendedPriceIdx,MATCH(F1422,FmtName,0))</f>
        <v/>
      </c>
      <c r="W1422" s="47">
        <f>T1422*INDEX(ProvSRP,MATCH(G1422,ProvCode,0))*(1+PriceIndex)</f>
        <v/>
      </c>
      <c r="X1422" s="47">
        <f>IF(GrossBasis="Wholesale",V1422,W1422)</f>
        <v/>
      </c>
      <c r="Y1422" s="47">
        <f>R1422*INDEX(FmtBlendedCogs,MATCH(F1422,FmtName,0))</f>
        <v/>
      </c>
      <c r="Z1422" s="47">
        <f>X1422-Y1422</f>
        <v/>
      </c>
    </row>
    <row r="1423">
      <c r="A1423" t="n">
        <v>44</v>
      </c>
      <c r="B1423" s="44">
        <f>FiscalStart+(A1423-1)*7</f>
        <v/>
      </c>
      <c r="C1423">
        <f>TEXT(B1423,"mmm yyyy")</f>
        <v/>
      </c>
      <c r="D1423">
        <f>"Q"&amp;(INT((A1423-1)/13)+1)</f>
        <v/>
      </c>
      <c r="E1423" t="inlineStr">
        <is>
          <t>Fitness</t>
        </is>
      </c>
      <c r="F1423">
        <f>IFERROR(INDEX(ChFormat,MATCH(E1423,ChName,0)),"")</f>
        <v/>
      </c>
      <c r="G1423" t="inlineStr">
        <is>
          <t>NB</t>
        </is>
      </c>
      <c r="H1423">
        <f>IF(A1423&lt;=NWeeks,1,0)</f>
        <v/>
      </c>
      <c r="I1423">
        <f>INDEX(ChLaunch,MATCH(E1423,ChName,0))</f>
        <v/>
      </c>
      <c r="J1423">
        <f>INDEX(ChWeeksFull,MATCH(E1423,ChName,0))</f>
        <v/>
      </c>
      <c r="K1423">
        <f>INDEX(ChRamp,MATCH(E1423,ChName,0))</f>
        <v/>
      </c>
      <c r="L1423" s="45">
        <f>MIN(1,MAX(0,(A1423-I1423+1)*RampSpeed/J1423))</f>
        <v/>
      </c>
      <c r="M1423" s="45">
        <f>IF(A1423&lt;I1423,0,IF(K1423="S-curve",L1423*L1423*(3-2*L1423),L1423))</f>
        <v/>
      </c>
      <c r="N1423" s="45">
        <f>1+(INDEX(SeasonIdx,A1423)-1)*SeasonAmp</f>
        <v/>
      </c>
      <c r="O1423" s="45">
        <f>IFERROR(INDEX(PSPct,MATCH(E1423&amp;"|"&amp;G1423,PSKey,0)),0)</f>
        <v/>
      </c>
      <c r="P1423" s="46">
        <f>INDEX(ChDoorVel,MATCH(E1423,ChName,0))*CalibScalar*(1+VelocityUplift)</f>
        <v/>
      </c>
      <c r="Q1423" s="46" t="n">
        <v>0</v>
      </c>
      <c r="R1423" s="46">
        <f>P1423*O1423*M1423*N1423*H1423</f>
        <v/>
      </c>
      <c r="S1423" s="46">
        <f>R1423*INDEX(FmtCansPerCase,MATCH(F1423,FmtName,0))</f>
        <v/>
      </c>
      <c r="T1423" s="46">
        <f>S1423/INDEX(FmtCansPerPack,MATCH(F1423,FmtName,0))</f>
        <v/>
      </c>
      <c r="U1423" s="47">
        <f>INDEX(ChBaseCP,MATCH(E1423,ChName,0))*(1+INDEX(ProvMod,MATCH(G1423,ProvCode,0)))*(1+PriceIndex)</f>
        <v/>
      </c>
      <c r="V1423" s="47">
        <f>R1423*U1423*INDEX(FmtBlendedPriceIdx,MATCH(F1423,FmtName,0))</f>
        <v/>
      </c>
      <c r="W1423" s="47">
        <f>T1423*INDEX(ProvSRP,MATCH(G1423,ProvCode,0))*(1+PriceIndex)</f>
        <v/>
      </c>
      <c r="X1423" s="47">
        <f>IF(GrossBasis="Wholesale",V1423,W1423)</f>
        <v/>
      </c>
      <c r="Y1423" s="47">
        <f>R1423*INDEX(FmtBlendedCogs,MATCH(F1423,FmtName,0))</f>
        <v/>
      </c>
      <c r="Z1423" s="47">
        <f>X1423-Y1423</f>
        <v/>
      </c>
    </row>
    <row r="1424">
      <c r="A1424" t="n">
        <v>45</v>
      </c>
      <c r="B1424" s="44">
        <f>FiscalStart+(A1424-1)*7</f>
        <v/>
      </c>
      <c r="C1424">
        <f>TEXT(B1424,"mmm yyyy")</f>
        <v/>
      </c>
      <c r="D1424">
        <f>"Q"&amp;(INT((A1424-1)/13)+1)</f>
        <v/>
      </c>
      <c r="E1424" t="inlineStr">
        <is>
          <t>Fitness</t>
        </is>
      </c>
      <c r="F1424">
        <f>IFERROR(INDEX(ChFormat,MATCH(E1424,ChName,0)),"")</f>
        <v/>
      </c>
      <c r="G1424" t="inlineStr">
        <is>
          <t>NB</t>
        </is>
      </c>
      <c r="H1424">
        <f>IF(A1424&lt;=NWeeks,1,0)</f>
        <v/>
      </c>
      <c r="I1424">
        <f>INDEX(ChLaunch,MATCH(E1424,ChName,0))</f>
        <v/>
      </c>
      <c r="J1424">
        <f>INDEX(ChWeeksFull,MATCH(E1424,ChName,0))</f>
        <v/>
      </c>
      <c r="K1424">
        <f>INDEX(ChRamp,MATCH(E1424,ChName,0))</f>
        <v/>
      </c>
      <c r="L1424" s="45">
        <f>MIN(1,MAX(0,(A1424-I1424+1)*RampSpeed/J1424))</f>
        <v/>
      </c>
      <c r="M1424" s="45">
        <f>IF(A1424&lt;I1424,0,IF(K1424="S-curve",L1424*L1424*(3-2*L1424),L1424))</f>
        <v/>
      </c>
      <c r="N1424" s="45">
        <f>1+(INDEX(SeasonIdx,A1424)-1)*SeasonAmp</f>
        <v/>
      </c>
      <c r="O1424" s="45">
        <f>IFERROR(INDEX(PSPct,MATCH(E1424&amp;"|"&amp;G1424,PSKey,0)),0)</f>
        <v/>
      </c>
      <c r="P1424" s="46">
        <f>INDEX(ChDoorVel,MATCH(E1424,ChName,0))*CalibScalar*(1+VelocityUplift)</f>
        <v/>
      </c>
      <c r="Q1424" s="46" t="n">
        <v>0</v>
      </c>
      <c r="R1424" s="46">
        <f>P1424*O1424*M1424*N1424*H1424</f>
        <v/>
      </c>
      <c r="S1424" s="46">
        <f>R1424*INDEX(FmtCansPerCase,MATCH(F1424,FmtName,0))</f>
        <v/>
      </c>
      <c r="T1424" s="46">
        <f>S1424/INDEX(FmtCansPerPack,MATCH(F1424,FmtName,0))</f>
        <v/>
      </c>
      <c r="U1424" s="47">
        <f>INDEX(ChBaseCP,MATCH(E1424,ChName,0))*(1+INDEX(ProvMod,MATCH(G1424,ProvCode,0)))*(1+PriceIndex)</f>
        <v/>
      </c>
      <c r="V1424" s="47">
        <f>R1424*U1424*INDEX(FmtBlendedPriceIdx,MATCH(F1424,FmtName,0))</f>
        <v/>
      </c>
      <c r="W1424" s="47">
        <f>T1424*INDEX(ProvSRP,MATCH(G1424,ProvCode,0))*(1+PriceIndex)</f>
        <v/>
      </c>
      <c r="X1424" s="47">
        <f>IF(GrossBasis="Wholesale",V1424,W1424)</f>
        <v/>
      </c>
      <c r="Y1424" s="47">
        <f>R1424*INDEX(FmtBlendedCogs,MATCH(F1424,FmtName,0))</f>
        <v/>
      </c>
      <c r="Z1424" s="47">
        <f>X1424-Y1424</f>
        <v/>
      </c>
    </row>
    <row r="1425">
      <c r="A1425" t="n">
        <v>46</v>
      </c>
      <c r="B1425" s="44">
        <f>FiscalStart+(A1425-1)*7</f>
        <v/>
      </c>
      <c r="C1425">
        <f>TEXT(B1425,"mmm yyyy")</f>
        <v/>
      </c>
      <c r="D1425">
        <f>"Q"&amp;(INT((A1425-1)/13)+1)</f>
        <v/>
      </c>
      <c r="E1425" t="inlineStr">
        <is>
          <t>Fitness</t>
        </is>
      </c>
      <c r="F1425">
        <f>IFERROR(INDEX(ChFormat,MATCH(E1425,ChName,0)),"")</f>
        <v/>
      </c>
      <c r="G1425" t="inlineStr">
        <is>
          <t>NB</t>
        </is>
      </c>
      <c r="H1425">
        <f>IF(A1425&lt;=NWeeks,1,0)</f>
        <v/>
      </c>
      <c r="I1425">
        <f>INDEX(ChLaunch,MATCH(E1425,ChName,0))</f>
        <v/>
      </c>
      <c r="J1425">
        <f>INDEX(ChWeeksFull,MATCH(E1425,ChName,0))</f>
        <v/>
      </c>
      <c r="K1425">
        <f>INDEX(ChRamp,MATCH(E1425,ChName,0))</f>
        <v/>
      </c>
      <c r="L1425" s="45">
        <f>MIN(1,MAX(0,(A1425-I1425+1)*RampSpeed/J1425))</f>
        <v/>
      </c>
      <c r="M1425" s="45">
        <f>IF(A1425&lt;I1425,0,IF(K1425="S-curve",L1425*L1425*(3-2*L1425),L1425))</f>
        <v/>
      </c>
      <c r="N1425" s="45">
        <f>1+(INDEX(SeasonIdx,A1425)-1)*SeasonAmp</f>
        <v/>
      </c>
      <c r="O1425" s="45">
        <f>IFERROR(INDEX(PSPct,MATCH(E1425&amp;"|"&amp;G1425,PSKey,0)),0)</f>
        <v/>
      </c>
      <c r="P1425" s="46">
        <f>INDEX(ChDoorVel,MATCH(E1425,ChName,0))*CalibScalar*(1+VelocityUplift)</f>
        <v/>
      </c>
      <c r="Q1425" s="46" t="n">
        <v>0</v>
      </c>
      <c r="R1425" s="46">
        <f>P1425*O1425*M1425*N1425*H1425</f>
        <v/>
      </c>
      <c r="S1425" s="46">
        <f>R1425*INDEX(FmtCansPerCase,MATCH(F1425,FmtName,0))</f>
        <v/>
      </c>
      <c r="T1425" s="46">
        <f>S1425/INDEX(FmtCansPerPack,MATCH(F1425,FmtName,0))</f>
        <v/>
      </c>
      <c r="U1425" s="47">
        <f>INDEX(ChBaseCP,MATCH(E1425,ChName,0))*(1+INDEX(ProvMod,MATCH(G1425,ProvCode,0)))*(1+PriceIndex)</f>
        <v/>
      </c>
      <c r="V1425" s="47">
        <f>R1425*U1425*INDEX(FmtBlendedPriceIdx,MATCH(F1425,FmtName,0))</f>
        <v/>
      </c>
      <c r="W1425" s="47">
        <f>T1425*INDEX(ProvSRP,MATCH(G1425,ProvCode,0))*(1+PriceIndex)</f>
        <v/>
      </c>
      <c r="X1425" s="47">
        <f>IF(GrossBasis="Wholesale",V1425,W1425)</f>
        <v/>
      </c>
      <c r="Y1425" s="47">
        <f>R1425*INDEX(FmtBlendedCogs,MATCH(F1425,FmtName,0))</f>
        <v/>
      </c>
      <c r="Z1425" s="47">
        <f>X1425-Y1425</f>
        <v/>
      </c>
    </row>
    <row r="1426">
      <c r="A1426" t="n">
        <v>47</v>
      </c>
      <c r="B1426" s="44">
        <f>FiscalStart+(A1426-1)*7</f>
        <v/>
      </c>
      <c r="C1426">
        <f>TEXT(B1426,"mmm yyyy")</f>
        <v/>
      </c>
      <c r="D1426">
        <f>"Q"&amp;(INT((A1426-1)/13)+1)</f>
        <v/>
      </c>
      <c r="E1426" t="inlineStr">
        <is>
          <t>Fitness</t>
        </is>
      </c>
      <c r="F1426">
        <f>IFERROR(INDEX(ChFormat,MATCH(E1426,ChName,0)),"")</f>
        <v/>
      </c>
      <c r="G1426" t="inlineStr">
        <is>
          <t>NB</t>
        </is>
      </c>
      <c r="H1426">
        <f>IF(A1426&lt;=NWeeks,1,0)</f>
        <v/>
      </c>
      <c r="I1426">
        <f>INDEX(ChLaunch,MATCH(E1426,ChName,0))</f>
        <v/>
      </c>
      <c r="J1426">
        <f>INDEX(ChWeeksFull,MATCH(E1426,ChName,0))</f>
        <v/>
      </c>
      <c r="K1426">
        <f>INDEX(ChRamp,MATCH(E1426,ChName,0))</f>
        <v/>
      </c>
      <c r="L1426" s="45">
        <f>MIN(1,MAX(0,(A1426-I1426+1)*RampSpeed/J1426))</f>
        <v/>
      </c>
      <c r="M1426" s="45">
        <f>IF(A1426&lt;I1426,0,IF(K1426="S-curve",L1426*L1426*(3-2*L1426),L1426))</f>
        <v/>
      </c>
      <c r="N1426" s="45">
        <f>1+(INDEX(SeasonIdx,A1426)-1)*SeasonAmp</f>
        <v/>
      </c>
      <c r="O1426" s="45">
        <f>IFERROR(INDEX(PSPct,MATCH(E1426&amp;"|"&amp;G1426,PSKey,0)),0)</f>
        <v/>
      </c>
      <c r="P1426" s="46">
        <f>INDEX(ChDoorVel,MATCH(E1426,ChName,0))*CalibScalar*(1+VelocityUplift)</f>
        <v/>
      </c>
      <c r="Q1426" s="46" t="n">
        <v>0</v>
      </c>
      <c r="R1426" s="46">
        <f>P1426*O1426*M1426*N1426*H1426</f>
        <v/>
      </c>
      <c r="S1426" s="46">
        <f>R1426*INDEX(FmtCansPerCase,MATCH(F1426,FmtName,0))</f>
        <v/>
      </c>
      <c r="T1426" s="46">
        <f>S1426/INDEX(FmtCansPerPack,MATCH(F1426,FmtName,0))</f>
        <v/>
      </c>
      <c r="U1426" s="47">
        <f>INDEX(ChBaseCP,MATCH(E1426,ChName,0))*(1+INDEX(ProvMod,MATCH(G1426,ProvCode,0)))*(1+PriceIndex)</f>
        <v/>
      </c>
      <c r="V1426" s="47">
        <f>R1426*U1426*INDEX(FmtBlendedPriceIdx,MATCH(F1426,FmtName,0))</f>
        <v/>
      </c>
      <c r="W1426" s="47">
        <f>T1426*INDEX(ProvSRP,MATCH(G1426,ProvCode,0))*(1+PriceIndex)</f>
        <v/>
      </c>
      <c r="X1426" s="47">
        <f>IF(GrossBasis="Wholesale",V1426,W1426)</f>
        <v/>
      </c>
      <c r="Y1426" s="47">
        <f>R1426*INDEX(FmtBlendedCogs,MATCH(F1426,FmtName,0))</f>
        <v/>
      </c>
      <c r="Z1426" s="47">
        <f>X1426-Y1426</f>
        <v/>
      </c>
    </row>
    <row r="1427">
      <c r="A1427" t="n">
        <v>48</v>
      </c>
      <c r="B1427" s="44">
        <f>FiscalStart+(A1427-1)*7</f>
        <v/>
      </c>
      <c r="C1427">
        <f>TEXT(B1427,"mmm yyyy")</f>
        <v/>
      </c>
      <c r="D1427">
        <f>"Q"&amp;(INT((A1427-1)/13)+1)</f>
        <v/>
      </c>
      <c r="E1427" t="inlineStr">
        <is>
          <t>Fitness</t>
        </is>
      </c>
      <c r="F1427">
        <f>IFERROR(INDEX(ChFormat,MATCH(E1427,ChName,0)),"")</f>
        <v/>
      </c>
      <c r="G1427" t="inlineStr">
        <is>
          <t>NB</t>
        </is>
      </c>
      <c r="H1427">
        <f>IF(A1427&lt;=NWeeks,1,0)</f>
        <v/>
      </c>
      <c r="I1427">
        <f>INDEX(ChLaunch,MATCH(E1427,ChName,0))</f>
        <v/>
      </c>
      <c r="J1427">
        <f>INDEX(ChWeeksFull,MATCH(E1427,ChName,0))</f>
        <v/>
      </c>
      <c r="K1427">
        <f>INDEX(ChRamp,MATCH(E1427,ChName,0))</f>
        <v/>
      </c>
      <c r="L1427" s="45">
        <f>MIN(1,MAX(0,(A1427-I1427+1)*RampSpeed/J1427))</f>
        <v/>
      </c>
      <c r="M1427" s="45">
        <f>IF(A1427&lt;I1427,0,IF(K1427="S-curve",L1427*L1427*(3-2*L1427),L1427))</f>
        <v/>
      </c>
      <c r="N1427" s="45">
        <f>1+(INDEX(SeasonIdx,A1427)-1)*SeasonAmp</f>
        <v/>
      </c>
      <c r="O1427" s="45">
        <f>IFERROR(INDEX(PSPct,MATCH(E1427&amp;"|"&amp;G1427,PSKey,0)),0)</f>
        <v/>
      </c>
      <c r="P1427" s="46">
        <f>INDEX(ChDoorVel,MATCH(E1427,ChName,0))*CalibScalar*(1+VelocityUplift)</f>
        <v/>
      </c>
      <c r="Q1427" s="46" t="n">
        <v>0</v>
      </c>
      <c r="R1427" s="46">
        <f>P1427*O1427*M1427*N1427*H1427</f>
        <v/>
      </c>
      <c r="S1427" s="46">
        <f>R1427*INDEX(FmtCansPerCase,MATCH(F1427,FmtName,0))</f>
        <v/>
      </c>
      <c r="T1427" s="46">
        <f>S1427/INDEX(FmtCansPerPack,MATCH(F1427,FmtName,0))</f>
        <v/>
      </c>
      <c r="U1427" s="47">
        <f>INDEX(ChBaseCP,MATCH(E1427,ChName,0))*(1+INDEX(ProvMod,MATCH(G1427,ProvCode,0)))*(1+PriceIndex)</f>
        <v/>
      </c>
      <c r="V1427" s="47">
        <f>R1427*U1427*INDEX(FmtBlendedPriceIdx,MATCH(F1427,FmtName,0))</f>
        <v/>
      </c>
      <c r="W1427" s="47">
        <f>T1427*INDEX(ProvSRP,MATCH(G1427,ProvCode,0))*(1+PriceIndex)</f>
        <v/>
      </c>
      <c r="X1427" s="47">
        <f>IF(GrossBasis="Wholesale",V1427,W1427)</f>
        <v/>
      </c>
      <c r="Y1427" s="47">
        <f>R1427*INDEX(FmtBlendedCogs,MATCH(F1427,FmtName,0))</f>
        <v/>
      </c>
      <c r="Z1427" s="47">
        <f>X1427-Y1427</f>
        <v/>
      </c>
    </row>
    <row r="1428">
      <c r="A1428" t="n">
        <v>49</v>
      </c>
      <c r="B1428" s="44">
        <f>FiscalStart+(A1428-1)*7</f>
        <v/>
      </c>
      <c r="C1428">
        <f>TEXT(B1428,"mmm yyyy")</f>
        <v/>
      </c>
      <c r="D1428">
        <f>"Q"&amp;(INT((A1428-1)/13)+1)</f>
        <v/>
      </c>
      <c r="E1428" t="inlineStr">
        <is>
          <t>Fitness</t>
        </is>
      </c>
      <c r="F1428">
        <f>IFERROR(INDEX(ChFormat,MATCH(E1428,ChName,0)),"")</f>
        <v/>
      </c>
      <c r="G1428" t="inlineStr">
        <is>
          <t>NB</t>
        </is>
      </c>
      <c r="H1428">
        <f>IF(A1428&lt;=NWeeks,1,0)</f>
        <v/>
      </c>
      <c r="I1428">
        <f>INDEX(ChLaunch,MATCH(E1428,ChName,0))</f>
        <v/>
      </c>
      <c r="J1428">
        <f>INDEX(ChWeeksFull,MATCH(E1428,ChName,0))</f>
        <v/>
      </c>
      <c r="K1428">
        <f>INDEX(ChRamp,MATCH(E1428,ChName,0))</f>
        <v/>
      </c>
      <c r="L1428" s="45">
        <f>MIN(1,MAX(0,(A1428-I1428+1)*RampSpeed/J1428))</f>
        <v/>
      </c>
      <c r="M1428" s="45">
        <f>IF(A1428&lt;I1428,0,IF(K1428="S-curve",L1428*L1428*(3-2*L1428),L1428))</f>
        <v/>
      </c>
      <c r="N1428" s="45">
        <f>1+(INDEX(SeasonIdx,A1428)-1)*SeasonAmp</f>
        <v/>
      </c>
      <c r="O1428" s="45">
        <f>IFERROR(INDEX(PSPct,MATCH(E1428&amp;"|"&amp;G1428,PSKey,0)),0)</f>
        <v/>
      </c>
      <c r="P1428" s="46">
        <f>INDEX(ChDoorVel,MATCH(E1428,ChName,0))*CalibScalar*(1+VelocityUplift)</f>
        <v/>
      </c>
      <c r="Q1428" s="46" t="n">
        <v>0</v>
      </c>
      <c r="R1428" s="46">
        <f>P1428*O1428*M1428*N1428*H1428</f>
        <v/>
      </c>
      <c r="S1428" s="46">
        <f>R1428*INDEX(FmtCansPerCase,MATCH(F1428,FmtName,0))</f>
        <v/>
      </c>
      <c r="T1428" s="46">
        <f>S1428/INDEX(FmtCansPerPack,MATCH(F1428,FmtName,0))</f>
        <v/>
      </c>
      <c r="U1428" s="47">
        <f>INDEX(ChBaseCP,MATCH(E1428,ChName,0))*(1+INDEX(ProvMod,MATCH(G1428,ProvCode,0)))*(1+PriceIndex)</f>
        <v/>
      </c>
      <c r="V1428" s="47">
        <f>R1428*U1428*INDEX(FmtBlendedPriceIdx,MATCH(F1428,FmtName,0))</f>
        <v/>
      </c>
      <c r="W1428" s="47">
        <f>T1428*INDEX(ProvSRP,MATCH(G1428,ProvCode,0))*(1+PriceIndex)</f>
        <v/>
      </c>
      <c r="X1428" s="47">
        <f>IF(GrossBasis="Wholesale",V1428,W1428)</f>
        <v/>
      </c>
      <c r="Y1428" s="47">
        <f>R1428*INDEX(FmtBlendedCogs,MATCH(F1428,FmtName,0))</f>
        <v/>
      </c>
      <c r="Z1428" s="47">
        <f>X1428-Y1428</f>
        <v/>
      </c>
    </row>
    <row r="1429">
      <c r="A1429" t="n">
        <v>50</v>
      </c>
      <c r="B1429" s="44">
        <f>FiscalStart+(A1429-1)*7</f>
        <v/>
      </c>
      <c r="C1429">
        <f>TEXT(B1429,"mmm yyyy")</f>
        <v/>
      </c>
      <c r="D1429">
        <f>"Q"&amp;(INT((A1429-1)/13)+1)</f>
        <v/>
      </c>
      <c r="E1429" t="inlineStr">
        <is>
          <t>Fitness</t>
        </is>
      </c>
      <c r="F1429">
        <f>IFERROR(INDEX(ChFormat,MATCH(E1429,ChName,0)),"")</f>
        <v/>
      </c>
      <c r="G1429" t="inlineStr">
        <is>
          <t>NB</t>
        </is>
      </c>
      <c r="H1429">
        <f>IF(A1429&lt;=NWeeks,1,0)</f>
        <v/>
      </c>
      <c r="I1429">
        <f>INDEX(ChLaunch,MATCH(E1429,ChName,0))</f>
        <v/>
      </c>
      <c r="J1429">
        <f>INDEX(ChWeeksFull,MATCH(E1429,ChName,0))</f>
        <v/>
      </c>
      <c r="K1429">
        <f>INDEX(ChRamp,MATCH(E1429,ChName,0))</f>
        <v/>
      </c>
      <c r="L1429" s="45">
        <f>MIN(1,MAX(0,(A1429-I1429+1)*RampSpeed/J1429))</f>
        <v/>
      </c>
      <c r="M1429" s="45">
        <f>IF(A1429&lt;I1429,0,IF(K1429="S-curve",L1429*L1429*(3-2*L1429),L1429))</f>
        <v/>
      </c>
      <c r="N1429" s="45">
        <f>1+(INDEX(SeasonIdx,A1429)-1)*SeasonAmp</f>
        <v/>
      </c>
      <c r="O1429" s="45">
        <f>IFERROR(INDEX(PSPct,MATCH(E1429&amp;"|"&amp;G1429,PSKey,0)),0)</f>
        <v/>
      </c>
      <c r="P1429" s="46">
        <f>INDEX(ChDoorVel,MATCH(E1429,ChName,0))*CalibScalar*(1+VelocityUplift)</f>
        <v/>
      </c>
      <c r="Q1429" s="46" t="n">
        <v>0</v>
      </c>
      <c r="R1429" s="46">
        <f>P1429*O1429*M1429*N1429*H1429</f>
        <v/>
      </c>
      <c r="S1429" s="46">
        <f>R1429*INDEX(FmtCansPerCase,MATCH(F1429,FmtName,0))</f>
        <v/>
      </c>
      <c r="T1429" s="46">
        <f>S1429/INDEX(FmtCansPerPack,MATCH(F1429,FmtName,0))</f>
        <v/>
      </c>
      <c r="U1429" s="47">
        <f>INDEX(ChBaseCP,MATCH(E1429,ChName,0))*(1+INDEX(ProvMod,MATCH(G1429,ProvCode,0)))*(1+PriceIndex)</f>
        <v/>
      </c>
      <c r="V1429" s="47">
        <f>R1429*U1429*INDEX(FmtBlendedPriceIdx,MATCH(F1429,FmtName,0))</f>
        <v/>
      </c>
      <c r="W1429" s="47">
        <f>T1429*INDEX(ProvSRP,MATCH(G1429,ProvCode,0))*(1+PriceIndex)</f>
        <v/>
      </c>
      <c r="X1429" s="47">
        <f>IF(GrossBasis="Wholesale",V1429,W1429)</f>
        <v/>
      </c>
      <c r="Y1429" s="47">
        <f>R1429*INDEX(FmtBlendedCogs,MATCH(F1429,FmtName,0))</f>
        <v/>
      </c>
      <c r="Z1429" s="47">
        <f>X1429-Y1429</f>
        <v/>
      </c>
    </row>
    <row r="1430">
      <c r="A1430" t="n">
        <v>51</v>
      </c>
      <c r="B1430" s="44">
        <f>FiscalStart+(A1430-1)*7</f>
        <v/>
      </c>
      <c r="C1430">
        <f>TEXT(B1430,"mmm yyyy")</f>
        <v/>
      </c>
      <c r="D1430">
        <f>"Q"&amp;(INT((A1430-1)/13)+1)</f>
        <v/>
      </c>
      <c r="E1430" t="inlineStr">
        <is>
          <t>Fitness</t>
        </is>
      </c>
      <c r="F1430">
        <f>IFERROR(INDEX(ChFormat,MATCH(E1430,ChName,0)),"")</f>
        <v/>
      </c>
      <c r="G1430" t="inlineStr">
        <is>
          <t>NB</t>
        </is>
      </c>
      <c r="H1430">
        <f>IF(A1430&lt;=NWeeks,1,0)</f>
        <v/>
      </c>
      <c r="I1430">
        <f>INDEX(ChLaunch,MATCH(E1430,ChName,0))</f>
        <v/>
      </c>
      <c r="J1430">
        <f>INDEX(ChWeeksFull,MATCH(E1430,ChName,0))</f>
        <v/>
      </c>
      <c r="K1430">
        <f>INDEX(ChRamp,MATCH(E1430,ChName,0))</f>
        <v/>
      </c>
      <c r="L1430" s="45">
        <f>MIN(1,MAX(0,(A1430-I1430+1)*RampSpeed/J1430))</f>
        <v/>
      </c>
      <c r="M1430" s="45">
        <f>IF(A1430&lt;I1430,0,IF(K1430="S-curve",L1430*L1430*(3-2*L1430),L1430))</f>
        <v/>
      </c>
      <c r="N1430" s="45">
        <f>1+(INDEX(SeasonIdx,A1430)-1)*SeasonAmp</f>
        <v/>
      </c>
      <c r="O1430" s="45">
        <f>IFERROR(INDEX(PSPct,MATCH(E1430&amp;"|"&amp;G1430,PSKey,0)),0)</f>
        <v/>
      </c>
      <c r="P1430" s="46">
        <f>INDEX(ChDoorVel,MATCH(E1430,ChName,0))*CalibScalar*(1+VelocityUplift)</f>
        <v/>
      </c>
      <c r="Q1430" s="46" t="n">
        <v>0</v>
      </c>
      <c r="R1430" s="46">
        <f>P1430*O1430*M1430*N1430*H1430</f>
        <v/>
      </c>
      <c r="S1430" s="46">
        <f>R1430*INDEX(FmtCansPerCase,MATCH(F1430,FmtName,0))</f>
        <v/>
      </c>
      <c r="T1430" s="46">
        <f>S1430/INDEX(FmtCansPerPack,MATCH(F1430,FmtName,0))</f>
        <v/>
      </c>
      <c r="U1430" s="47">
        <f>INDEX(ChBaseCP,MATCH(E1430,ChName,0))*(1+INDEX(ProvMod,MATCH(G1430,ProvCode,0)))*(1+PriceIndex)</f>
        <v/>
      </c>
      <c r="V1430" s="47">
        <f>R1430*U1430*INDEX(FmtBlendedPriceIdx,MATCH(F1430,FmtName,0))</f>
        <v/>
      </c>
      <c r="W1430" s="47">
        <f>T1430*INDEX(ProvSRP,MATCH(G1430,ProvCode,0))*(1+PriceIndex)</f>
        <v/>
      </c>
      <c r="X1430" s="47">
        <f>IF(GrossBasis="Wholesale",V1430,W1430)</f>
        <v/>
      </c>
      <c r="Y1430" s="47">
        <f>R1430*INDEX(FmtBlendedCogs,MATCH(F1430,FmtName,0))</f>
        <v/>
      </c>
      <c r="Z1430" s="47">
        <f>X1430-Y1430</f>
        <v/>
      </c>
    </row>
    <row r="1431">
      <c r="A1431" t="n">
        <v>52</v>
      </c>
      <c r="B1431" s="44">
        <f>FiscalStart+(A1431-1)*7</f>
        <v/>
      </c>
      <c r="C1431">
        <f>TEXT(B1431,"mmm yyyy")</f>
        <v/>
      </c>
      <c r="D1431">
        <f>"Q"&amp;(INT((A1431-1)/13)+1)</f>
        <v/>
      </c>
      <c r="E1431" t="inlineStr">
        <is>
          <t>Fitness</t>
        </is>
      </c>
      <c r="F1431">
        <f>IFERROR(INDEX(ChFormat,MATCH(E1431,ChName,0)),"")</f>
        <v/>
      </c>
      <c r="G1431" t="inlineStr">
        <is>
          <t>NB</t>
        </is>
      </c>
      <c r="H1431">
        <f>IF(A1431&lt;=NWeeks,1,0)</f>
        <v/>
      </c>
      <c r="I1431">
        <f>INDEX(ChLaunch,MATCH(E1431,ChName,0))</f>
        <v/>
      </c>
      <c r="J1431">
        <f>INDEX(ChWeeksFull,MATCH(E1431,ChName,0))</f>
        <v/>
      </c>
      <c r="K1431">
        <f>INDEX(ChRamp,MATCH(E1431,ChName,0))</f>
        <v/>
      </c>
      <c r="L1431" s="45">
        <f>MIN(1,MAX(0,(A1431-I1431+1)*RampSpeed/J1431))</f>
        <v/>
      </c>
      <c r="M1431" s="45">
        <f>IF(A1431&lt;I1431,0,IF(K1431="S-curve",L1431*L1431*(3-2*L1431),L1431))</f>
        <v/>
      </c>
      <c r="N1431" s="45">
        <f>1+(INDEX(SeasonIdx,A1431)-1)*SeasonAmp</f>
        <v/>
      </c>
      <c r="O1431" s="45">
        <f>IFERROR(INDEX(PSPct,MATCH(E1431&amp;"|"&amp;G1431,PSKey,0)),0)</f>
        <v/>
      </c>
      <c r="P1431" s="46">
        <f>INDEX(ChDoorVel,MATCH(E1431,ChName,0))*CalibScalar*(1+VelocityUplift)</f>
        <v/>
      </c>
      <c r="Q1431" s="46" t="n">
        <v>0</v>
      </c>
      <c r="R1431" s="46">
        <f>P1431*O1431*M1431*N1431*H1431</f>
        <v/>
      </c>
      <c r="S1431" s="46">
        <f>R1431*INDEX(FmtCansPerCase,MATCH(F1431,FmtName,0))</f>
        <v/>
      </c>
      <c r="T1431" s="46">
        <f>S1431/INDEX(FmtCansPerPack,MATCH(F1431,FmtName,0))</f>
        <v/>
      </c>
      <c r="U1431" s="47">
        <f>INDEX(ChBaseCP,MATCH(E1431,ChName,0))*(1+INDEX(ProvMod,MATCH(G1431,ProvCode,0)))*(1+PriceIndex)</f>
        <v/>
      </c>
      <c r="V1431" s="47">
        <f>R1431*U1431*INDEX(FmtBlendedPriceIdx,MATCH(F1431,FmtName,0))</f>
        <v/>
      </c>
      <c r="W1431" s="47">
        <f>T1431*INDEX(ProvSRP,MATCH(G1431,ProvCode,0))*(1+PriceIndex)</f>
        <v/>
      </c>
      <c r="X1431" s="47">
        <f>IF(GrossBasis="Wholesale",V1431,W1431)</f>
        <v/>
      </c>
      <c r="Y1431" s="47">
        <f>R1431*INDEX(FmtBlendedCogs,MATCH(F1431,FmtName,0))</f>
        <v/>
      </c>
      <c r="Z1431" s="47">
        <f>X1431-Y1431</f>
        <v/>
      </c>
    </row>
    <row r="1432">
      <c r="A1432" t="n">
        <v>53</v>
      </c>
      <c r="B1432" s="44">
        <f>FiscalStart+(A1432-1)*7</f>
        <v/>
      </c>
      <c r="C1432">
        <f>TEXT(B1432,"mmm yyyy")</f>
        <v/>
      </c>
      <c r="D1432">
        <f>"Q"&amp;(INT((A1432-1)/13)+1)</f>
        <v/>
      </c>
      <c r="E1432" t="inlineStr">
        <is>
          <t>Fitness</t>
        </is>
      </c>
      <c r="F1432">
        <f>IFERROR(INDEX(ChFormat,MATCH(E1432,ChName,0)),"")</f>
        <v/>
      </c>
      <c r="G1432" t="inlineStr">
        <is>
          <t>NB</t>
        </is>
      </c>
      <c r="H1432">
        <f>IF(A1432&lt;=NWeeks,1,0)</f>
        <v/>
      </c>
      <c r="I1432">
        <f>INDEX(ChLaunch,MATCH(E1432,ChName,0))</f>
        <v/>
      </c>
      <c r="J1432">
        <f>INDEX(ChWeeksFull,MATCH(E1432,ChName,0))</f>
        <v/>
      </c>
      <c r="K1432">
        <f>INDEX(ChRamp,MATCH(E1432,ChName,0))</f>
        <v/>
      </c>
      <c r="L1432" s="45">
        <f>MIN(1,MAX(0,(A1432-I1432+1)*RampSpeed/J1432))</f>
        <v/>
      </c>
      <c r="M1432" s="45">
        <f>IF(A1432&lt;I1432,0,IF(K1432="S-curve",L1432*L1432*(3-2*L1432),L1432))</f>
        <v/>
      </c>
      <c r="N1432" s="45">
        <f>1+(INDEX(SeasonIdx,A1432)-1)*SeasonAmp</f>
        <v/>
      </c>
      <c r="O1432" s="45">
        <f>IFERROR(INDEX(PSPct,MATCH(E1432&amp;"|"&amp;G1432,PSKey,0)),0)</f>
        <v/>
      </c>
      <c r="P1432" s="46">
        <f>INDEX(ChDoorVel,MATCH(E1432,ChName,0))*CalibScalar*(1+VelocityUplift)</f>
        <v/>
      </c>
      <c r="Q1432" s="46" t="n">
        <v>0</v>
      </c>
      <c r="R1432" s="46">
        <f>P1432*O1432*M1432*N1432*H1432</f>
        <v/>
      </c>
      <c r="S1432" s="46">
        <f>R1432*INDEX(FmtCansPerCase,MATCH(F1432,FmtName,0))</f>
        <v/>
      </c>
      <c r="T1432" s="46">
        <f>S1432/INDEX(FmtCansPerPack,MATCH(F1432,FmtName,0))</f>
        <v/>
      </c>
      <c r="U1432" s="47">
        <f>INDEX(ChBaseCP,MATCH(E1432,ChName,0))*(1+INDEX(ProvMod,MATCH(G1432,ProvCode,0)))*(1+PriceIndex)</f>
        <v/>
      </c>
      <c r="V1432" s="47">
        <f>R1432*U1432*INDEX(FmtBlendedPriceIdx,MATCH(F1432,FmtName,0))</f>
        <v/>
      </c>
      <c r="W1432" s="47">
        <f>T1432*INDEX(ProvSRP,MATCH(G1432,ProvCode,0))*(1+PriceIndex)</f>
        <v/>
      </c>
      <c r="X1432" s="47">
        <f>IF(GrossBasis="Wholesale",V1432,W1432)</f>
        <v/>
      </c>
      <c r="Y1432" s="47">
        <f>R1432*INDEX(FmtBlendedCogs,MATCH(F1432,FmtName,0))</f>
        <v/>
      </c>
      <c r="Z1432" s="47">
        <f>X1432-Y1432</f>
        <v/>
      </c>
    </row>
    <row r="1433">
      <c r="A1433" t="n">
        <v>1</v>
      </c>
      <c r="B1433" s="44">
        <f>FiscalStart+(A1433-1)*7</f>
        <v/>
      </c>
      <c r="C1433">
        <f>TEXT(B1433,"mmm yyyy")</f>
        <v/>
      </c>
      <c r="D1433">
        <f>"Q"&amp;(INT((A1433-1)/13)+1)</f>
        <v/>
      </c>
      <c r="E1433" t="inlineStr">
        <is>
          <t>Fitness</t>
        </is>
      </c>
      <c r="F1433">
        <f>IFERROR(INDEX(ChFormat,MATCH(E1433,ChName,0)),"")</f>
        <v/>
      </c>
      <c r="G1433" t="inlineStr">
        <is>
          <t>NS</t>
        </is>
      </c>
      <c r="H1433">
        <f>IF(A1433&lt;=NWeeks,1,0)</f>
        <v/>
      </c>
      <c r="I1433">
        <f>INDEX(ChLaunch,MATCH(E1433,ChName,0))</f>
        <v/>
      </c>
      <c r="J1433">
        <f>INDEX(ChWeeksFull,MATCH(E1433,ChName,0))</f>
        <v/>
      </c>
      <c r="K1433">
        <f>INDEX(ChRamp,MATCH(E1433,ChName,0))</f>
        <v/>
      </c>
      <c r="L1433" s="45">
        <f>MIN(1,MAX(0,(A1433-I1433+1)*RampSpeed/J1433))</f>
        <v/>
      </c>
      <c r="M1433" s="45">
        <f>IF(A1433&lt;I1433,0,IF(K1433="S-curve",L1433*L1433*(3-2*L1433),L1433))</f>
        <v/>
      </c>
      <c r="N1433" s="45">
        <f>1+(INDEX(SeasonIdx,A1433)-1)*SeasonAmp</f>
        <v/>
      </c>
      <c r="O1433" s="45">
        <f>IFERROR(INDEX(PSPct,MATCH(E1433&amp;"|"&amp;G1433,PSKey,0)),0)</f>
        <v/>
      </c>
      <c r="P1433" s="46">
        <f>INDEX(ChDoorVel,MATCH(E1433,ChName,0))*CalibScalar*(1+VelocityUplift)</f>
        <v/>
      </c>
      <c r="Q1433" s="46" t="n">
        <v>0</v>
      </c>
      <c r="R1433" s="46">
        <f>P1433*O1433*M1433*N1433*H1433</f>
        <v/>
      </c>
      <c r="S1433" s="46">
        <f>R1433*INDEX(FmtCansPerCase,MATCH(F1433,FmtName,0))</f>
        <v/>
      </c>
      <c r="T1433" s="46">
        <f>S1433/INDEX(FmtCansPerPack,MATCH(F1433,FmtName,0))</f>
        <v/>
      </c>
      <c r="U1433" s="47">
        <f>INDEX(ChBaseCP,MATCH(E1433,ChName,0))*(1+INDEX(ProvMod,MATCH(G1433,ProvCode,0)))*(1+PriceIndex)</f>
        <v/>
      </c>
      <c r="V1433" s="47">
        <f>R1433*U1433*INDEX(FmtBlendedPriceIdx,MATCH(F1433,FmtName,0))</f>
        <v/>
      </c>
      <c r="W1433" s="47">
        <f>T1433*INDEX(ProvSRP,MATCH(G1433,ProvCode,0))*(1+PriceIndex)</f>
        <v/>
      </c>
      <c r="X1433" s="47">
        <f>IF(GrossBasis="Wholesale",V1433,W1433)</f>
        <v/>
      </c>
      <c r="Y1433" s="47">
        <f>R1433*INDEX(FmtBlendedCogs,MATCH(F1433,FmtName,0))</f>
        <v/>
      </c>
      <c r="Z1433" s="47">
        <f>X1433-Y1433</f>
        <v/>
      </c>
    </row>
    <row r="1434">
      <c r="A1434" t="n">
        <v>2</v>
      </c>
      <c r="B1434" s="44">
        <f>FiscalStart+(A1434-1)*7</f>
        <v/>
      </c>
      <c r="C1434">
        <f>TEXT(B1434,"mmm yyyy")</f>
        <v/>
      </c>
      <c r="D1434">
        <f>"Q"&amp;(INT((A1434-1)/13)+1)</f>
        <v/>
      </c>
      <c r="E1434" t="inlineStr">
        <is>
          <t>Fitness</t>
        </is>
      </c>
      <c r="F1434">
        <f>IFERROR(INDEX(ChFormat,MATCH(E1434,ChName,0)),"")</f>
        <v/>
      </c>
      <c r="G1434" t="inlineStr">
        <is>
          <t>NS</t>
        </is>
      </c>
      <c r="H1434">
        <f>IF(A1434&lt;=NWeeks,1,0)</f>
        <v/>
      </c>
      <c r="I1434">
        <f>INDEX(ChLaunch,MATCH(E1434,ChName,0))</f>
        <v/>
      </c>
      <c r="J1434">
        <f>INDEX(ChWeeksFull,MATCH(E1434,ChName,0))</f>
        <v/>
      </c>
      <c r="K1434">
        <f>INDEX(ChRamp,MATCH(E1434,ChName,0))</f>
        <v/>
      </c>
      <c r="L1434" s="45">
        <f>MIN(1,MAX(0,(A1434-I1434+1)*RampSpeed/J1434))</f>
        <v/>
      </c>
      <c r="M1434" s="45">
        <f>IF(A1434&lt;I1434,0,IF(K1434="S-curve",L1434*L1434*(3-2*L1434),L1434))</f>
        <v/>
      </c>
      <c r="N1434" s="45">
        <f>1+(INDEX(SeasonIdx,A1434)-1)*SeasonAmp</f>
        <v/>
      </c>
      <c r="O1434" s="45">
        <f>IFERROR(INDEX(PSPct,MATCH(E1434&amp;"|"&amp;G1434,PSKey,0)),0)</f>
        <v/>
      </c>
      <c r="P1434" s="46">
        <f>INDEX(ChDoorVel,MATCH(E1434,ChName,0))*CalibScalar*(1+VelocityUplift)</f>
        <v/>
      </c>
      <c r="Q1434" s="46" t="n">
        <v>0</v>
      </c>
      <c r="R1434" s="46">
        <f>P1434*O1434*M1434*N1434*H1434</f>
        <v/>
      </c>
      <c r="S1434" s="46">
        <f>R1434*INDEX(FmtCansPerCase,MATCH(F1434,FmtName,0))</f>
        <v/>
      </c>
      <c r="T1434" s="46">
        <f>S1434/INDEX(FmtCansPerPack,MATCH(F1434,FmtName,0))</f>
        <v/>
      </c>
      <c r="U1434" s="47">
        <f>INDEX(ChBaseCP,MATCH(E1434,ChName,0))*(1+INDEX(ProvMod,MATCH(G1434,ProvCode,0)))*(1+PriceIndex)</f>
        <v/>
      </c>
      <c r="V1434" s="47">
        <f>R1434*U1434*INDEX(FmtBlendedPriceIdx,MATCH(F1434,FmtName,0))</f>
        <v/>
      </c>
      <c r="W1434" s="47">
        <f>T1434*INDEX(ProvSRP,MATCH(G1434,ProvCode,0))*(1+PriceIndex)</f>
        <v/>
      </c>
      <c r="X1434" s="47">
        <f>IF(GrossBasis="Wholesale",V1434,W1434)</f>
        <v/>
      </c>
      <c r="Y1434" s="47">
        <f>R1434*INDEX(FmtBlendedCogs,MATCH(F1434,FmtName,0))</f>
        <v/>
      </c>
      <c r="Z1434" s="47">
        <f>X1434-Y1434</f>
        <v/>
      </c>
    </row>
    <row r="1435">
      <c r="A1435" t="n">
        <v>3</v>
      </c>
      <c r="B1435" s="44">
        <f>FiscalStart+(A1435-1)*7</f>
        <v/>
      </c>
      <c r="C1435">
        <f>TEXT(B1435,"mmm yyyy")</f>
        <v/>
      </c>
      <c r="D1435">
        <f>"Q"&amp;(INT((A1435-1)/13)+1)</f>
        <v/>
      </c>
      <c r="E1435" t="inlineStr">
        <is>
          <t>Fitness</t>
        </is>
      </c>
      <c r="F1435">
        <f>IFERROR(INDEX(ChFormat,MATCH(E1435,ChName,0)),"")</f>
        <v/>
      </c>
      <c r="G1435" t="inlineStr">
        <is>
          <t>NS</t>
        </is>
      </c>
      <c r="H1435">
        <f>IF(A1435&lt;=NWeeks,1,0)</f>
        <v/>
      </c>
      <c r="I1435">
        <f>INDEX(ChLaunch,MATCH(E1435,ChName,0))</f>
        <v/>
      </c>
      <c r="J1435">
        <f>INDEX(ChWeeksFull,MATCH(E1435,ChName,0))</f>
        <v/>
      </c>
      <c r="K1435">
        <f>INDEX(ChRamp,MATCH(E1435,ChName,0))</f>
        <v/>
      </c>
      <c r="L1435" s="45">
        <f>MIN(1,MAX(0,(A1435-I1435+1)*RampSpeed/J1435))</f>
        <v/>
      </c>
      <c r="M1435" s="45">
        <f>IF(A1435&lt;I1435,0,IF(K1435="S-curve",L1435*L1435*(3-2*L1435),L1435))</f>
        <v/>
      </c>
      <c r="N1435" s="45">
        <f>1+(INDEX(SeasonIdx,A1435)-1)*SeasonAmp</f>
        <v/>
      </c>
      <c r="O1435" s="45">
        <f>IFERROR(INDEX(PSPct,MATCH(E1435&amp;"|"&amp;G1435,PSKey,0)),0)</f>
        <v/>
      </c>
      <c r="P1435" s="46">
        <f>INDEX(ChDoorVel,MATCH(E1435,ChName,0))*CalibScalar*(1+VelocityUplift)</f>
        <v/>
      </c>
      <c r="Q1435" s="46" t="n">
        <v>0</v>
      </c>
      <c r="R1435" s="46">
        <f>P1435*O1435*M1435*N1435*H1435</f>
        <v/>
      </c>
      <c r="S1435" s="46">
        <f>R1435*INDEX(FmtCansPerCase,MATCH(F1435,FmtName,0))</f>
        <v/>
      </c>
      <c r="T1435" s="46">
        <f>S1435/INDEX(FmtCansPerPack,MATCH(F1435,FmtName,0))</f>
        <v/>
      </c>
      <c r="U1435" s="47">
        <f>INDEX(ChBaseCP,MATCH(E1435,ChName,0))*(1+INDEX(ProvMod,MATCH(G1435,ProvCode,0)))*(1+PriceIndex)</f>
        <v/>
      </c>
      <c r="V1435" s="47">
        <f>R1435*U1435*INDEX(FmtBlendedPriceIdx,MATCH(F1435,FmtName,0))</f>
        <v/>
      </c>
      <c r="W1435" s="47">
        <f>T1435*INDEX(ProvSRP,MATCH(G1435,ProvCode,0))*(1+PriceIndex)</f>
        <v/>
      </c>
      <c r="X1435" s="47">
        <f>IF(GrossBasis="Wholesale",V1435,W1435)</f>
        <v/>
      </c>
      <c r="Y1435" s="47">
        <f>R1435*INDEX(FmtBlendedCogs,MATCH(F1435,FmtName,0))</f>
        <v/>
      </c>
      <c r="Z1435" s="47">
        <f>X1435-Y1435</f>
        <v/>
      </c>
    </row>
    <row r="1436">
      <c r="A1436" t="n">
        <v>4</v>
      </c>
      <c r="B1436" s="44">
        <f>FiscalStart+(A1436-1)*7</f>
        <v/>
      </c>
      <c r="C1436">
        <f>TEXT(B1436,"mmm yyyy")</f>
        <v/>
      </c>
      <c r="D1436">
        <f>"Q"&amp;(INT((A1436-1)/13)+1)</f>
        <v/>
      </c>
      <c r="E1436" t="inlineStr">
        <is>
          <t>Fitness</t>
        </is>
      </c>
      <c r="F1436">
        <f>IFERROR(INDEX(ChFormat,MATCH(E1436,ChName,0)),"")</f>
        <v/>
      </c>
      <c r="G1436" t="inlineStr">
        <is>
          <t>NS</t>
        </is>
      </c>
      <c r="H1436">
        <f>IF(A1436&lt;=NWeeks,1,0)</f>
        <v/>
      </c>
      <c r="I1436">
        <f>INDEX(ChLaunch,MATCH(E1436,ChName,0))</f>
        <v/>
      </c>
      <c r="J1436">
        <f>INDEX(ChWeeksFull,MATCH(E1436,ChName,0))</f>
        <v/>
      </c>
      <c r="K1436">
        <f>INDEX(ChRamp,MATCH(E1436,ChName,0))</f>
        <v/>
      </c>
      <c r="L1436" s="45">
        <f>MIN(1,MAX(0,(A1436-I1436+1)*RampSpeed/J1436))</f>
        <v/>
      </c>
      <c r="M1436" s="45">
        <f>IF(A1436&lt;I1436,0,IF(K1436="S-curve",L1436*L1436*(3-2*L1436),L1436))</f>
        <v/>
      </c>
      <c r="N1436" s="45">
        <f>1+(INDEX(SeasonIdx,A1436)-1)*SeasonAmp</f>
        <v/>
      </c>
      <c r="O1436" s="45">
        <f>IFERROR(INDEX(PSPct,MATCH(E1436&amp;"|"&amp;G1436,PSKey,0)),0)</f>
        <v/>
      </c>
      <c r="P1436" s="46">
        <f>INDEX(ChDoorVel,MATCH(E1436,ChName,0))*CalibScalar*(1+VelocityUplift)</f>
        <v/>
      </c>
      <c r="Q1436" s="46" t="n">
        <v>0</v>
      </c>
      <c r="R1436" s="46">
        <f>P1436*O1436*M1436*N1436*H1436</f>
        <v/>
      </c>
      <c r="S1436" s="46">
        <f>R1436*INDEX(FmtCansPerCase,MATCH(F1436,FmtName,0))</f>
        <v/>
      </c>
      <c r="T1436" s="46">
        <f>S1436/INDEX(FmtCansPerPack,MATCH(F1436,FmtName,0))</f>
        <v/>
      </c>
      <c r="U1436" s="47">
        <f>INDEX(ChBaseCP,MATCH(E1436,ChName,0))*(1+INDEX(ProvMod,MATCH(G1436,ProvCode,0)))*(1+PriceIndex)</f>
        <v/>
      </c>
      <c r="V1436" s="47">
        <f>R1436*U1436*INDEX(FmtBlendedPriceIdx,MATCH(F1436,FmtName,0))</f>
        <v/>
      </c>
      <c r="W1436" s="47">
        <f>T1436*INDEX(ProvSRP,MATCH(G1436,ProvCode,0))*(1+PriceIndex)</f>
        <v/>
      </c>
      <c r="X1436" s="47">
        <f>IF(GrossBasis="Wholesale",V1436,W1436)</f>
        <v/>
      </c>
      <c r="Y1436" s="47">
        <f>R1436*INDEX(FmtBlendedCogs,MATCH(F1436,FmtName,0))</f>
        <v/>
      </c>
      <c r="Z1436" s="47">
        <f>X1436-Y1436</f>
        <v/>
      </c>
    </row>
    <row r="1437">
      <c r="A1437" t="n">
        <v>5</v>
      </c>
      <c r="B1437" s="44">
        <f>FiscalStart+(A1437-1)*7</f>
        <v/>
      </c>
      <c r="C1437">
        <f>TEXT(B1437,"mmm yyyy")</f>
        <v/>
      </c>
      <c r="D1437">
        <f>"Q"&amp;(INT((A1437-1)/13)+1)</f>
        <v/>
      </c>
      <c r="E1437" t="inlineStr">
        <is>
          <t>Fitness</t>
        </is>
      </c>
      <c r="F1437">
        <f>IFERROR(INDEX(ChFormat,MATCH(E1437,ChName,0)),"")</f>
        <v/>
      </c>
      <c r="G1437" t="inlineStr">
        <is>
          <t>NS</t>
        </is>
      </c>
      <c r="H1437">
        <f>IF(A1437&lt;=NWeeks,1,0)</f>
        <v/>
      </c>
      <c r="I1437">
        <f>INDEX(ChLaunch,MATCH(E1437,ChName,0))</f>
        <v/>
      </c>
      <c r="J1437">
        <f>INDEX(ChWeeksFull,MATCH(E1437,ChName,0))</f>
        <v/>
      </c>
      <c r="K1437">
        <f>INDEX(ChRamp,MATCH(E1437,ChName,0))</f>
        <v/>
      </c>
      <c r="L1437" s="45">
        <f>MIN(1,MAX(0,(A1437-I1437+1)*RampSpeed/J1437))</f>
        <v/>
      </c>
      <c r="M1437" s="45">
        <f>IF(A1437&lt;I1437,0,IF(K1437="S-curve",L1437*L1437*(3-2*L1437),L1437))</f>
        <v/>
      </c>
      <c r="N1437" s="45">
        <f>1+(INDEX(SeasonIdx,A1437)-1)*SeasonAmp</f>
        <v/>
      </c>
      <c r="O1437" s="45">
        <f>IFERROR(INDEX(PSPct,MATCH(E1437&amp;"|"&amp;G1437,PSKey,0)),0)</f>
        <v/>
      </c>
      <c r="P1437" s="46">
        <f>INDEX(ChDoorVel,MATCH(E1437,ChName,0))*CalibScalar*(1+VelocityUplift)</f>
        <v/>
      </c>
      <c r="Q1437" s="46" t="n">
        <v>0</v>
      </c>
      <c r="R1437" s="46">
        <f>P1437*O1437*M1437*N1437*H1437</f>
        <v/>
      </c>
      <c r="S1437" s="46">
        <f>R1437*INDEX(FmtCansPerCase,MATCH(F1437,FmtName,0))</f>
        <v/>
      </c>
      <c r="T1437" s="46">
        <f>S1437/INDEX(FmtCansPerPack,MATCH(F1437,FmtName,0))</f>
        <v/>
      </c>
      <c r="U1437" s="47">
        <f>INDEX(ChBaseCP,MATCH(E1437,ChName,0))*(1+INDEX(ProvMod,MATCH(G1437,ProvCode,0)))*(1+PriceIndex)</f>
        <v/>
      </c>
      <c r="V1437" s="47">
        <f>R1437*U1437*INDEX(FmtBlendedPriceIdx,MATCH(F1437,FmtName,0))</f>
        <v/>
      </c>
      <c r="W1437" s="47">
        <f>T1437*INDEX(ProvSRP,MATCH(G1437,ProvCode,0))*(1+PriceIndex)</f>
        <v/>
      </c>
      <c r="X1437" s="47">
        <f>IF(GrossBasis="Wholesale",V1437,W1437)</f>
        <v/>
      </c>
      <c r="Y1437" s="47">
        <f>R1437*INDEX(FmtBlendedCogs,MATCH(F1437,FmtName,0))</f>
        <v/>
      </c>
      <c r="Z1437" s="47">
        <f>X1437-Y1437</f>
        <v/>
      </c>
    </row>
    <row r="1438">
      <c r="A1438" t="n">
        <v>6</v>
      </c>
      <c r="B1438" s="44">
        <f>FiscalStart+(A1438-1)*7</f>
        <v/>
      </c>
      <c r="C1438">
        <f>TEXT(B1438,"mmm yyyy")</f>
        <v/>
      </c>
      <c r="D1438">
        <f>"Q"&amp;(INT((A1438-1)/13)+1)</f>
        <v/>
      </c>
      <c r="E1438" t="inlineStr">
        <is>
          <t>Fitness</t>
        </is>
      </c>
      <c r="F1438">
        <f>IFERROR(INDEX(ChFormat,MATCH(E1438,ChName,0)),"")</f>
        <v/>
      </c>
      <c r="G1438" t="inlineStr">
        <is>
          <t>NS</t>
        </is>
      </c>
      <c r="H1438">
        <f>IF(A1438&lt;=NWeeks,1,0)</f>
        <v/>
      </c>
      <c r="I1438">
        <f>INDEX(ChLaunch,MATCH(E1438,ChName,0))</f>
        <v/>
      </c>
      <c r="J1438">
        <f>INDEX(ChWeeksFull,MATCH(E1438,ChName,0))</f>
        <v/>
      </c>
      <c r="K1438">
        <f>INDEX(ChRamp,MATCH(E1438,ChName,0))</f>
        <v/>
      </c>
      <c r="L1438" s="45">
        <f>MIN(1,MAX(0,(A1438-I1438+1)*RampSpeed/J1438))</f>
        <v/>
      </c>
      <c r="M1438" s="45">
        <f>IF(A1438&lt;I1438,0,IF(K1438="S-curve",L1438*L1438*(3-2*L1438),L1438))</f>
        <v/>
      </c>
      <c r="N1438" s="45">
        <f>1+(INDEX(SeasonIdx,A1438)-1)*SeasonAmp</f>
        <v/>
      </c>
      <c r="O1438" s="45">
        <f>IFERROR(INDEX(PSPct,MATCH(E1438&amp;"|"&amp;G1438,PSKey,0)),0)</f>
        <v/>
      </c>
      <c r="P1438" s="46">
        <f>INDEX(ChDoorVel,MATCH(E1438,ChName,0))*CalibScalar*(1+VelocityUplift)</f>
        <v/>
      </c>
      <c r="Q1438" s="46" t="n">
        <v>0</v>
      </c>
      <c r="R1438" s="46">
        <f>P1438*O1438*M1438*N1438*H1438</f>
        <v/>
      </c>
      <c r="S1438" s="46">
        <f>R1438*INDEX(FmtCansPerCase,MATCH(F1438,FmtName,0))</f>
        <v/>
      </c>
      <c r="T1438" s="46">
        <f>S1438/INDEX(FmtCansPerPack,MATCH(F1438,FmtName,0))</f>
        <v/>
      </c>
      <c r="U1438" s="47">
        <f>INDEX(ChBaseCP,MATCH(E1438,ChName,0))*(1+INDEX(ProvMod,MATCH(G1438,ProvCode,0)))*(1+PriceIndex)</f>
        <v/>
      </c>
      <c r="V1438" s="47">
        <f>R1438*U1438*INDEX(FmtBlendedPriceIdx,MATCH(F1438,FmtName,0))</f>
        <v/>
      </c>
      <c r="W1438" s="47">
        <f>T1438*INDEX(ProvSRP,MATCH(G1438,ProvCode,0))*(1+PriceIndex)</f>
        <v/>
      </c>
      <c r="X1438" s="47">
        <f>IF(GrossBasis="Wholesale",V1438,W1438)</f>
        <v/>
      </c>
      <c r="Y1438" s="47">
        <f>R1438*INDEX(FmtBlendedCogs,MATCH(F1438,FmtName,0))</f>
        <v/>
      </c>
      <c r="Z1438" s="47">
        <f>X1438-Y1438</f>
        <v/>
      </c>
    </row>
    <row r="1439">
      <c r="A1439" t="n">
        <v>7</v>
      </c>
      <c r="B1439" s="44">
        <f>FiscalStart+(A1439-1)*7</f>
        <v/>
      </c>
      <c r="C1439">
        <f>TEXT(B1439,"mmm yyyy")</f>
        <v/>
      </c>
      <c r="D1439">
        <f>"Q"&amp;(INT((A1439-1)/13)+1)</f>
        <v/>
      </c>
      <c r="E1439" t="inlineStr">
        <is>
          <t>Fitness</t>
        </is>
      </c>
      <c r="F1439">
        <f>IFERROR(INDEX(ChFormat,MATCH(E1439,ChName,0)),"")</f>
        <v/>
      </c>
      <c r="G1439" t="inlineStr">
        <is>
          <t>NS</t>
        </is>
      </c>
      <c r="H1439">
        <f>IF(A1439&lt;=NWeeks,1,0)</f>
        <v/>
      </c>
      <c r="I1439">
        <f>INDEX(ChLaunch,MATCH(E1439,ChName,0))</f>
        <v/>
      </c>
      <c r="J1439">
        <f>INDEX(ChWeeksFull,MATCH(E1439,ChName,0))</f>
        <v/>
      </c>
      <c r="K1439">
        <f>INDEX(ChRamp,MATCH(E1439,ChName,0))</f>
        <v/>
      </c>
      <c r="L1439" s="45">
        <f>MIN(1,MAX(0,(A1439-I1439+1)*RampSpeed/J1439))</f>
        <v/>
      </c>
      <c r="M1439" s="45">
        <f>IF(A1439&lt;I1439,0,IF(K1439="S-curve",L1439*L1439*(3-2*L1439),L1439))</f>
        <v/>
      </c>
      <c r="N1439" s="45">
        <f>1+(INDEX(SeasonIdx,A1439)-1)*SeasonAmp</f>
        <v/>
      </c>
      <c r="O1439" s="45">
        <f>IFERROR(INDEX(PSPct,MATCH(E1439&amp;"|"&amp;G1439,PSKey,0)),0)</f>
        <v/>
      </c>
      <c r="P1439" s="46">
        <f>INDEX(ChDoorVel,MATCH(E1439,ChName,0))*CalibScalar*(1+VelocityUplift)</f>
        <v/>
      </c>
      <c r="Q1439" s="46" t="n">
        <v>0</v>
      </c>
      <c r="R1439" s="46">
        <f>P1439*O1439*M1439*N1439*H1439</f>
        <v/>
      </c>
      <c r="S1439" s="46">
        <f>R1439*INDEX(FmtCansPerCase,MATCH(F1439,FmtName,0))</f>
        <v/>
      </c>
      <c r="T1439" s="46">
        <f>S1439/INDEX(FmtCansPerPack,MATCH(F1439,FmtName,0))</f>
        <v/>
      </c>
      <c r="U1439" s="47">
        <f>INDEX(ChBaseCP,MATCH(E1439,ChName,0))*(1+INDEX(ProvMod,MATCH(G1439,ProvCode,0)))*(1+PriceIndex)</f>
        <v/>
      </c>
      <c r="V1439" s="47">
        <f>R1439*U1439*INDEX(FmtBlendedPriceIdx,MATCH(F1439,FmtName,0))</f>
        <v/>
      </c>
      <c r="W1439" s="47">
        <f>T1439*INDEX(ProvSRP,MATCH(G1439,ProvCode,0))*(1+PriceIndex)</f>
        <v/>
      </c>
      <c r="X1439" s="47">
        <f>IF(GrossBasis="Wholesale",V1439,W1439)</f>
        <v/>
      </c>
      <c r="Y1439" s="47">
        <f>R1439*INDEX(FmtBlendedCogs,MATCH(F1439,FmtName,0))</f>
        <v/>
      </c>
      <c r="Z1439" s="47">
        <f>X1439-Y1439</f>
        <v/>
      </c>
    </row>
    <row r="1440">
      <c r="A1440" t="n">
        <v>8</v>
      </c>
      <c r="B1440" s="44">
        <f>FiscalStart+(A1440-1)*7</f>
        <v/>
      </c>
      <c r="C1440">
        <f>TEXT(B1440,"mmm yyyy")</f>
        <v/>
      </c>
      <c r="D1440">
        <f>"Q"&amp;(INT((A1440-1)/13)+1)</f>
        <v/>
      </c>
      <c r="E1440" t="inlineStr">
        <is>
          <t>Fitness</t>
        </is>
      </c>
      <c r="F1440">
        <f>IFERROR(INDEX(ChFormat,MATCH(E1440,ChName,0)),"")</f>
        <v/>
      </c>
      <c r="G1440" t="inlineStr">
        <is>
          <t>NS</t>
        </is>
      </c>
      <c r="H1440">
        <f>IF(A1440&lt;=NWeeks,1,0)</f>
        <v/>
      </c>
      <c r="I1440">
        <f>INDEX(ChLaunch,MATCH(E1440,ChName,0))</f>
        <v/>
      </c>
      <c r="J1440">
        <f>INDEX(ChWeeksFull,MATCH(E1440,ChName,0))</f>
        <v/>
      </c>
      <c r="K1440">
        <f>INDEX(ChRamp,MATCH(E1440,ChName,0))</f>
        <v/>
      </c>
      <c r="L1440" s="45">
        <f>MIN(1,MAX(0,(A1440-I1440+1)*RampSpeed/J1440))</f>
        <v/>
      </c>
      <c r="M1440" s="45">
        <f>IF(A1440&lt;I1440,0,IF(K1440="S-curve",L1440*L1440*(3-2*L1440),L1440))</f>
        <v/>
      </c>
      <c r="N1440" s="45">
        <f>1+(INDEX(SeasonIdx,A1440)-1)*SeasonAmp</f>
        <v/>
      </c>
      <c r="O1440" s="45">
        <f>IFERROR(INDEX(PSPct,MATCH(E1440&amp;"|"&amp;G1440,PSKey,0)),0)</f>
        <v/>
      </c>
      <c r="P1440" s="46">
        <f>INDEX(ChDoorVel,MATCH(E1440,ChName,0))*CalibScalar*(1+VelocityUplift)</f>
        <v/>
      </c>
      <c r="Q1440" s="46" t="n">
        <v>0</v>
      </c>
      <c r="R1440" s="46">
        <f>P1440*O1440*M1440*N1440*H1440</f>
        <v/>
      </c>
      <c r="S1440" s="46">
        <f>R1440*INDEX(FmtCansPerCase,MATCH(F1440,FmtName,0))</f>
        <v/>
      </c>
      <c r="T1440" s="46">
        <f>S1440/INDEX(FmtCansPerPack,MATCH(F1440,FmtName,0))</f>
        <v/>
      </c>
      <c r="U1440" s="47">
        <f>INDEX(ChBaseCP,MATCH(E1440,ChName,0))*(1+INDEX(ProvMod,MATCH(G1440,ProvCode,0)))*(1+PriceIndex)</f>
        <v/>
      </c>
      <c r="V1440" s="47">
        <f>R1440*U1440*INDEX(FmtBlendedPriceIdx,MATCH(F1440,FmtName,0))</f>
        <v/>
      </c>
      <c r="W1440" s="47">
        <f>T1440*INDEX(ProvSRP,MATCH(G1440,ProvCode,0))*(1+PriceIndex)</f>
        <v/>
      </c>
      <c r="X1440" s="47">
        <f>IF(GrossBasis="Wholesale",V1440,W1440)</f>
        <v/>
      </c>
      <c r="Y1440" s="47">
        <f>R1440*INDEX(FmtBlendedCogs,MATCH(F1440,FmtName,0))</f>
        <v/>
      </c>
      <c r="Z1440" s="47">
        <f>X1440-Y1440</f>
        <v/>
      </c>
    </row>
    <row r="1441">
      <c r="A1441" t="n">
        <v>9</v>
      </c>
      <c r="B1441" s="44">
        <f>FiscalStart+(A1441-1)*7</f>
        <v/>
      </c>
      <c r="C1441">
        <f>TEXT(B1441,"mmm yyyy")</f>
        <v/>
      </c>
      <c r="D1441">
        <f>"Q"&amp;(INT((A1441-1)/13)+1)</f>
        <v/>
      </c>
      <c r="E1441" t="inlineStr">
        <is>
          <t>Fitness</t>
        </is>
      </c>
      <c r="F1441">
        <f>IFERROR(INDEX(ChFormat,MATCH(E1441,ChName,0)),"")</f>
        <v/>
      </c>
      <c r="G1441" t="inlineStr">
        <is>
          <t>NS</t>
        </is>
      </c>
      <c r="H1441">
        <f>IF(A1441&lt;=NWeeks,1,0)</f>
        <v/>
      </c>
      <c r="I1441">
        <f>INDEX(ChLaunch,MATCH(E1441,ChName,0))</f>
        <v/>
      </c>
      <c r="J1441">
        <f>INDEX(ChWeeksFull,MATCH(E1441,ChName,0))</f>
        <v/>
      </c>
      <c r="K1441">
        <f>INDEX(ChRamp,MATCH(E1441,ChName,0))</f>
        <v/>
      </c>
      <c r="L1441" s="45">
        <f>MIN(1,MAX(0,(A1441-I1441+1)*RampSpeed/J1441))</f>
        <v/>
      </c>
      <c r="M1441" s="45">
        <f>IF(A1441&lt;I1441,0,IF(K1441="S-curve",L1441*L1441*(3-2*L1441),L1441))</f>
        <v/>
      </c>
      <c r="N1441" s="45">
        <f>1+(INDEX(SeasonIdx,A1441)-1)*SeasonAmp</f>
        <v/>
      </c>
      <c r="O1441" s="45">
        <f>IFERROR(INDEX(PSPct,MATCH(E1441&amp;"|"&amp;G1441,PSKey,0)),0)</f>
        <v/>
      </c>
      <c r="P1441" s="46">
        <f>INDEX(ChDoorVel,MATCH(E1441,ChName,0))*CalibScalar*(1+VelocityUplift)</f>
        <v/>
      </c>
      <c r="Q1441" s="46" t="n">
        <v>0</v>
      </c>
      <c r="R1441" s="46">
        <f>P1441*O1441*M1441*N1441*H1441</f>
        <v/>
      </c>
      <c r="S1441" s="46">
        <f>R1441*INDEX(FmtCansPerCase,MATCH(F1441,FmtName,0))</f>
        <v/>
      </c>
      <c r="T1441" s="46">
        <f>S1441/INDEX(FmtCansPerPack,MATCH(F1441,FmtName,0))</f>
        <v/>
      </c>
      <c r="U1441" s="47">
        <f>INDEX(ChBaseCP,MATCH(E1441,ChName,0))*(1+INDEX(ProvMod,MATCH(G1441,ProvCode,0)))*(1+PriceIndex)</f>
        <v/>
      </c>
      <c r="V1441" s="47">
        <f>R1441*U1441*INDEX(FmtBlendedPriceIdx,MATCH(F1441,FmtName,0))</f>
        <v/>
      </c>
      <c r="W1441" s="47">
        <f>T1441*INDEX(ProvSRP,MATCH(G1441,ProvCode,0))*(1+PriceIndex)</f>
        <v/>
      </c>
      <c r="X1441" s="47">
        <f>IF(GrossBasis="Wholesale",V1441,W1441)</f>
        <v/>
      </c>
      <c r="Y1441" s="47">
        <f>R1441*INDEX(FmtBlendedCogs,MATCH(F1441,FmtName,0))</f>
        <v/>
      </c>
      <c r="Z1441" s="47">
        <f>X1441-Y1441</f>
        <v/>
      </c>
    </row>
    <row r="1442">
      <c r="A1442" t="n">
        <v>10</v>
      </c>
      <c r="B1442" s="44">
        <f>FiscalStart+(A1442-1)*7</f>
        <v/>
      </c>
      <c r="C1442">
        <f>TEXT(B1442,"mmm yyyy")</f>
        <v/>
      </c>
      <c r="D1442">
        <f>"Q"&amp;(INT((A1442-1)/13)+1)</f>
        <v/>
      </c>
      <c r="E1442" t="inlineStr">
        <is>
          <t>Fitness</t>
        </is>
      </c>
      <c r="F1442">
        <f>IFERROR(INDEX(ChFormat,MATCH(E1442,ChName,0)),"")</f>
        <v/>
      </c>
      <c r="G1442" t="inlineStr">
        <is>
          <t>NS</t>
        </is>
      </c>
      <c r="H1442">
        <f>IF(A1442&lt;=NWeeks,1,0)</f>
        <v/>
      </c>
      <c r="I1442">
        <f>INDEX(ChLaunch,MATCH(E1442,ChName,0))</f>
        <v/>
      </c>
      <c r="J1442">
        <f>INDEX(ChWeeksFull,MATCH(E1442,ChName,0))</f>
        <v/>
      </c>
      <c r="K1442">
        <f>INDEX(ChRamp,MATCH(E1442,ChName,0))</f>
        <v/>
      </c>
      <c r="L1442" s="45">
        <f>MIN(1,MAX(0,(A1442-I1442+1)*RampSpeed/J1442))</f>
        <v/>
      </c>
      <c r="M1442" s="45">
        <f>IF(A1442&lt;I1442,0,IF(K1442="S-curve",L1442*L1442*(3-2*L1442),L1442))</f>
        <v/>
      </c>
      <c r="N1442" s="45">
        <f>1+(INDEX(SeasonIdx,A1442)-1)*SeasonAmp</f>
        <v/>
      </c>
      <c r="O1442" s="45">
        <f>IFERROR(INDEX(PSPct,MATCH(E1442&amp;"|"&amp;G1442,PSKey,0)),0)</f>
        <v/>
      </c>
      <c r="P1442" s="46">
        <f>INDEX(ChDoorVel,MATCH(E1442,ChName,0))*CalibScalar*(1+VelocityUplift)</f>
        <v/>
      </c>
      <c r="Q1442" s="46" t="n">
        <v>0</v>
      </c>
      <c r="R1442" s="46">
        <f>P1442*O1442*M1442*N1442*H1442</f>
        <v/>
      </c>
      <c r="S1442" s="46">
        <f>R1442*INDEX(FmtCansPerCase,MATCH(F1442,FmtName,0))</f>
        <v/>
      </c>
      <c r="T1442" s="46">
        <f>S1442/INDEX(FmtCansPerPack,MATCH(F1442,FmtName,0))</f>
        <v/>
      </c>
      <c r="U1442" s="47">
        <f>INDEX(ChBaseCP,MATCH(E1442,ChName,0))*(1+INDEX(ProvMod,MATCH(G1442,ProvCode,0)))*(1+PriceIndex)</f>
        <v/>
      </c>
      <c r="V1442" s="47">
        <f>R1442*U1442*INDEX(FmtBlendedPriceIdx,MATCH(F1442,FmtName,0))</f>
        <v/>
      </c>
      <c r="W1442" s="47">
        <f>T1442*INDEX(ProvSRP,MATCH(G1442,ProvCode,0))*(1+PriceIndex)</f>
        <v/>
      </c>
      <c r="X1442" s="47">
        <f>IF(GrossBasis="Wholesale",V1442,W1442)</f>
        <v/>
      </c>
      <c r="Y1442" s="47">
        <f>R1442*INDEX(FmtBlendedCogs,MATCH(F1442,FmtName,0))</f>
        <v/>
      </c>
      <c r="Z1442" s="47">
        <f>X1442-Y1442</f>
        <v/>
      </c>
    </row>
    <row r="1443">
      <c r="A1443" t="n">
        <v>11</v>
      </c>
      <c r="B1443" s="44">
        <f>FiscalStart+(A1443-1)*7</f>
        <v/>
      </c>
      <c r="C1443">
        <f>TEXT(B1443,"mmm yyyy")</f>
        <v/>
      </c>
      <c r="D1443">
        <f>"Q"&amp;(INT((A1443-1)/13)+1)</f>
        <v/>
      </c>
      <c r="E1443" t="inlineStr">
        <is>
          <t>Fitness</t>
        </is>
      </c>
      <c r="F1443">
        <f>IFERROR(INDEX(ChFormat,MATCH(E1443,ChName,0)),"")</f>
        <v/>
      </c>
      <c r="G1443" t="inlineStr">
        <is>
          <t>NS</t>
        </is>
      </c>
      <c r="H1443">
        <f>IF(A1443&lt;=NWeeks,1,0)</f>
        <v/>
      </c>
      <c r="I1443">
        <f>INDEX(ChLaunch,MATCH(E1443,ChName,0))</f>
        <v/>
      </c>
      <c r="J1443">
        <f>INDEX(ChWeeksFull,MATCH(E1443,ChName,0))</f>
        <v/>
      </c>
      <c r="K1443">
        <f>INDEX(ChRamp,MATCH(E1443,ChName,0))</f>
        <v/>
      </c>
      <c r="L1443" s="45">
        <f>MIN(1,MAX(0,(A1443-I1443+1)*RampSpeed/J1443))</f>
        <v/>
      </c>
      <c r="M1443" s="45">
        <f>IF(A1443&lt;I1443,0,IF(K1443="S-curve",L1443*L1443*(3-2*L1443),L1443))</f>
        <v/>
      </c>
      <c r="N1443" s="45">
        <f>1+(INDEX(SeasonIdx,A1443)-1)*SeasonAmp</f>
        <v/>
      </c>
      <c r="O1443" s="45">
        <f>IFERROR(INDEX(PSPct,MATCH(E1443&amp;"|"&amp;G1443,PSKey,0)),0)</f>
        <v/>
      </c>
      <c r="P1443" s="46">
        <f>INDEX(ChDoorVel,MATCH(E1443,ChName,0))*CalibScalar*(1+VelocityUplift)</f>
        <v/>
      </c>
      <c r="Q1443" s="46" t="n">
        <v>0</v>
      </c>
      <c r="R1443" s="46">
        <f>P1443*O1443*M1443*N1443*H1443</f>
        <v/>
      </c>
      <c r="S1443" s="46">
        <f>R1443*INDEX(FmtCansPerCase,MATCH(F1443,FmtName,0))</f>
        <v/>
      </c>
      <c r="T1443" s="46">
        <f>S1443/INDEX(FmtCansPerPack,MATCH(F1443,FmtName,0))</f>
        <v/>
      </c>
      <c r="U1443" s="47">
        <f>INDEX(ChBaseCP,MATCH(E1443,ChName,0))*(1+INDEX(ProvMod,MATCH(G1443,ProvCode,0)))*(1+PriceIndex)</f>
        <v/>
      </c>
      <c r="V1443" s="47">
        <f>R1443*U1443*INDEX(FmtBlendedPriceIdx,MATCH(F1443,FmtName,0))</f>
        <v/>
      </c>
      <c r="W1443" s="47">
        <f>T1443*INDEX(ProvSRP,MATCH(G1443,ProvCode,0))*(1+PriceIndex)</f>
        <v/>
      </c>
      <c r="X1443" s="47">
        <f>IF(GrossBasis="Wholesale",V1443,W1443)</f>
        <v/>
      </c>
      <c r="Y1443" s="47">
        <f>R1443*INDEX(FmtBlendedCogs,MATCH(F1443,FmtName,0))</f>
        <v/>
      </c>
      <c r="Z1443" s="47">
        <f>X1443-Y1443</f>
        <v/>
      </c>
    </row>
    <row r="1444">
      <c r="A1444" t="n">
        <v>12</v>
      </c>
      <c r="B1444" s="44">
        <f>FiscalStart+(A1444-1)*7</f>
        <v/>
      </c>
      <c r="C1444">
        <f>TEXT(B1444,"mmm yyyy")</f>
        <v/>
      </c>
      <c r="D1444">
        <f>"Q"&amp;(INT((A1444-1)/13)+1)</f>
        <v/>
      </c>
      <c r="E1444" t="inlineStr">
        <is>
          <t>Fitness</t>
        </is>
      </c>
      <c r="F1444">
        <f>IFERROR(INDEX(ChFormat,MATCH(E1444,ChName,0)),"")</f>
        <v/>
      </c>
      <c r="G1444" t="inlineStr">
        <is>
          <t>NS</t>
        </is>
      </c>
      <c r="H1444">
        <f>IF(A1444&lt;=NWeeks,1,0)</f>
        <v/>
      </c>
      <c r="I1444">
        <f>INDEX(ChLaunch,MATCH(E1444,ChName,0))</f>
        <v/>
      </c>
      <c r="J1444">
        <f>INDEX(ChWeeksFull,MATCH(E1444,ChName,0))</f>
        <v/>
      </c>
      <c r="K1444">
        <f>INDEX(ChRamp,MATCH(E1444,ChName,0))</f>
        <v/>
      </c>
      <c r="L1444" s="45">
        <f>MIN(1,MAX(0,(A1444-I1444+1)*RampSpeed/J1444))</f>
        <v/>
      </c>
      <c r="M1444" s="45">
        <f>IF(A1444&lt;I1444,0,IF(K1444="S-curve",L1444*L1444*(3-2*L1444),L1444))</f>
        <v/>
      </c>
      <c r="N1444" s="45">
        <f>1+(INDEX(SeasonIdx,A1444)-1)*SeasonAmp</f>
        <v/>
      </c>
      <c r="O1444" s="45">
        <f>IFERROR(INDEX(PSPct,MATCH(E1444&amp;"|"&amp;G1444,PSKey,0)),0)</f>
        <v/>
      </c>
      <c r="P1444" s="46">
        <f>INDEX(ChDoorVel,MATCH(E1444,ChName,0))*CalibScalar*(1+VelocityUplift)</f>
        <v/>
      </c>
      <c r="Q1444" s="46" t="n">
        <v>0</v>
      </c>
      <c r="R1444" s="46">
        <f>P1444*O1444*M1444*N1444*H1444</f>
        <v/>
      </c>
      <c r="S1444" s="46">
        <f>R1444*INDEX(FmtCansPerCase,MATCH(F1444,FmtName,0))</f>
        <v/>
      </c>
      <c r="T1444" s="46">
        <f>S1444/INDEX(FmtCansPerPack,MATCH(F1444,FmtName,0))</f>
        <v/>
      </c>
      <c r="U1444" s="47">
        <f>INDEX(ChBaseCP,MATCH(E1444,ChName,0))*(1+INDEX(ProvMod,MATCH(G1444,ProvCode,0)))*(1+PriceIndex)</f>
        <v/>
      </c>
      <c r="V1444" s="47">
        <f>R1444*U1444*INDEX(FmtBlendedPriceIdx,MATCH(F1444,FmtName,0))</f>
        <v/>
      </c>
      <c r="W1444" s="47">
        <f>T1444*INDEX(ProvSRP,MATCH(G1444,ProvCode,0))*(1+PriceIndex)</f>
        <v/>
      </c>
      <c r="X1444" s="47">
        <f>IF(GrossBasis="Wholesale",V1444,W1444)</f>
        <v/>
      </c>
      <c r="Y1444" s="47">
        <f>R1444*INDEX(FmtBlendedCogs,MATCH(F1444,FmtName,0))</f>
        <v/>
      </c>
      <c r="Z1444" s="47">
        <f>X1444-Y1444</f>
        <v/>
      </c>
    </row>
    <row r="1445">
      <c r="A1445" t="n">
        <v>13</v>
      </c>
      <c r="B1445" s="44">
        <f>FiscalStart+(A1445-1)*7</f>
        <v/>
      </c>
      <c r="C1445">
        <f>TEXT(B1445,"mmm yyyy")</f>
        <v/>
      </c>
      <c r="D1445">
        <f>"Q"&amp;(INT((A1445-1)/13)+1)</f>
        <v/>
      </c>
      <c r="E1445" t="inlineStr">
        <is>
          <t>Fitness</t>
        </is>
      </c>
      <c r="F1445">
        <f>IFERROR(INDEX(ChFormat,MATCH(E1445,ChName,0)),"")</f>
        <v/>
      </c>
      <c r="G1445" t="inlineStr">
        <is>
          <t>NS</t>
        </is>
      </c>
      <c r="H1445">
        <f>IF(A1445&lt;=NWeeks,1,0)</f>
        <v/>
      </c>
      <c r="I1445">
        <f>INDEX(ChLaunch,MATCH(E1445,ChName,0))</f>
        <v/>
      </c>
      <c r="J1445">
        <f>INDEX(ChWeeksFull,MATCH(E1445,ChName,0))</f>
        <v/>
      </c>
      <c r="K1445">
        <f>INDEX(ChRamp,MATCH(E1445,ChName,0))</f>
        <v/>
      </c>
      <c r="L1445" s="45">
        <f>MIN(1,MAX(0,(A1445-I1445+1)*RampSpeed/J1445))</f>
        <v/>
      </c>
      <c r="M1445" s="45">
        <f>IF(A1445&lt;I1445,0,IF(K1445="S-curve",L1445*L1445*(3-2*L1445),L1445))</f>
        <v/>
      </c>
      <c r="N1445" s="45">
        <f>1+(INDEX(SeasonIdx,A1445)-1)*SeasonAmp</f>
        <v/>
      </c>
      <c r="O1445" s="45">
        <f>IFERROR(INDEX(PSPct,MATCH(E1445&amp;"|"&amp;G1445,PSKey,0)),0)</f>
        <v/>
      </c>
      <c r="P1445" s="46">
        <f>INDEX(ChDoorVel,MATCH(E1445,ChName,0))*CalibScalar*(1+VelocityUplift)</f>
        <v/>
      </c>
      <c r="Q1445" s="46" t="n">
        <v>0</v>
      </c>
      <c r="R1445" s="46">
        <f>P1445*O1445*M1445*N1445*H1445</f>
        <v/>
      </c>
      <c r="S1445" s="46">
        <f>R1445*INDEX(FmtCansPerCase,MATCH(F1445,FmtName,0))</f>
        <v/>
      </c>
      <c r="T1445" s="46">
        <f>S1445/INDEX(FmtCansPerPack,MATCH(F1445,FmtName,0))</f>
        <v/>
      </c>
      <c r="U1445" s="47">
        <f>INDEX(ChBaseCP,MATCH(E1445,ChName,0))*(1+INDEX(ProvMod,MATCH(G1445,ProvCode,0)))*(1+PriceIndex)</f>
        <v/>
      </c>
      <c r="V1445" s="47">
        <f>R1445*U1445*INDEX(FmtBlendedPriceIdx,MATCH(F1445,FmtName,0))</f>
        <v/>
      </c>
      <c r="W1445" s="47">
        <f>T1445*INDEX(ProvSRP,MATCH(G1445,ProvCode,0))*(1+PriceIndex)</f>
        <v/>
      </c>
      <c r="X1445" s="47">
        <f>IF(GrossBasis="Wholesale",V1445,W1445)</f>
        <v/>
      </c>
      <c r="Y1445" s="47">
        <f>R1445*INDEX(FmtBlendedCogs,MATCH(F1445,FmtName,0))</f>
        <v/>
      </c>
      <c r="Z1445" s="47">
        <f>X1445-Y1445</f>
        <v/>
      </c>
    </row>
    <row r="1446">
      <c r="A1446" t="n">
        <v>14</v>
      </c>
      <c r="B1446" s="44">
        <f>FiscalStart+(A1446-1)*7</f>
        <v/>
      </c>
      <c r="C1446">
        <f>TEXT(B1446,"mmm yyyy")</f>
        <v/>
      </c>
      <c r="D1446">
        <f>"Q"&amp;(INT((A1446-1)/13)+1)</f>
        <v/>
      </c>
      <c r="E1446" t="inlineStr">
        <is>
          <t>Fitness</t>
        </is>
      </c>
      <c r="F1446">
        <f>IFERROR(INDEX(ChFormat,MATCH(E1446,ChName,0)),"")</f>
        <v/>
      </c>
      <c r="G1446" t="inlineStr">
        <is>
          <t>NS</t>
        </is>
      </c>
      <c r="H1446">
        <f>IF(A1446&lt;=NWeeks,1,0)</f>
        <v/>
      </c>
      <c r="I1446">
        <f>INDEX(ChLaunch,MATCH(E1446,ChName,0))</f>
        <v/>
      </c>
      <c r="J1446">
        <f>INDEX(ChWeeksFull,MATCH(E1446,ChName,0))</f>
        <v/>
      </c>
      <c r="K1446">
        <f>INDEX(ChRamp,MATCH(E1446,ChName,0))</f>
        <v/>
      </c>
      <c r="L1446" s="45">
        <f>MIN(1,MAX(0,(A1446-I1446+1)*RampSpeed/J1446))</f>
        <v/>
      </c>
      <c r="M1446" s="45">
        <f>IF(A1446&lt;I1446,0,IF(K1446="S-curve",L1446*L1446*(3-2*L1446),L1446))</f>
        <v/>
      </c>
      <c r="N1446" s="45">
        <f>1+(INDEX(SeasonIdx,A1446)-1)*SeasonAmp</f>
        <v/>
      </c>
      <c r="O1446" s="45">
        <f>IFERROR(INDEX(PSPct,MATCH(E1446&amp;"|"&amp;G1446,PSKey,0)),0)</f>
        <v/>
      </c>
      <c r="P1446" s="46">
        <f>INDEX(ChDoorVel,MATCH(E1446,ChName,0))*CalibScalar*(1+VelocityUplift)</f>
        <v/>
      </c>
      <c r="Q1446" s="46" t="n">
        <v>0</v>
      </c>
      <c r="R1446" s="46">
        <f>P1446*O1446*M1446*N1446*H1446</f>
        <v/>
      </c>
      <c r="S1446" s="46">
        <f>R1446*INDEX(FmtCansPerCase,MATCH(F1446,FmtName,0))</f>
        <v/>
      </c>
      <c r="T1446" s="46">
        <f>S1446/INDEX(FmtCansPerPack,MATCH(F1446,FmtName,0))</f>
        <v/>
      </c>
      <c r="U1446" s="47">
        <f>INDEX(ChBaseCP,MATCH(E1446,ChName,0))*(1+INDEX(ProvMod,MATCH(G1446,ProvCode,0)))*(1+PriceIndex)</f>
        <v/>
      </c>
      <c r="V1446" s="47">
        <f>R1446*U1446*INDEX(FmtBlendedPriceIdx,MATCH(F1446,FmtName,0))</f>
        <v/>
      </c>
      <c r="W1446" s="47">
        <f>T1446*INDEX(ProvSRP,MATCH(G1446,ProvCode,0))*(1+PriceIndex)</f>
        <v/>
      </c>
      <c r="X1446" s="47">
        <f>IF(GrossBasis="Wholesale",V1446,W1446)</f>
        <v/>
      </c>
      <c r="Y1446" s="47">
        <f>R1446*INDEX(FmtBlendedCogs,MATCH(F1446,FmtName,0))</f>
        <v/>
      </c>
      <c r="Z1446" s="47">
        <f>X1446-Y1446</f>
        <v/>
      </c>
    </row>
    <row r="1447">
      <c r="A1447" t="n">
        <v>15</v>
      </c>
      <c r="B1447" s="44">
        <f>FiscalStart+(A1447-1)*7</f>
        <v/>
      </c>
      <c r="C1447">
        <f>TEXT(B1447,"mmm yyyy")</f>
        <v/>
      </c>
      <c r="D1447">
        <f>"Q"&amp;(INT((A1447-1)/13)+1)</f>
        <v/>
      </c>
      <c r="E1447" t="inlineStr">
        <is>
          <t>Fitness</t>
        </is>
      </c>
      <c r="F1447">
        <f>IFERROR(INDEX(ChFormat,MATCH(E1447,ChName,0)),"")</f>
        <v/>
      </c>
      <c r="G1447" t="inlineStr">
        <is>
          <t>NS</t>
        </is>
      </c>
      <c r="H1447">
        <f>IF(A1447&lt;=NWeeks,1,0)</f>
        <v/>
      </c>
      <c r="I1447">
        <f>INDEX(ChLaunch,MATCH(E1447,ChName,0))</f>
        <v/>
      </c>
      <c r="J1447">
        <f>INDEX(ChWeeksFull,MATCH(E1447,ChName,0))</f>
        <v/>
      </c>
      <c r="K1447">
        <f>INDEX(ChRamp,MATCH(E1447,ChName,0))</f>
        <v/>
      </c>
      <c r="L1447" s="45">
        <f>MIN(1,MAX(0,(A1447-I1447+1)*RampSpeed/J1447))</f>
        <v/>
      </c>
      <c r="M1447" s="45">
        <f>IF(A1447&lt;I1447,0,IF(K1447="S-curve",L1447*L1447*(3-2*L1447),L1447))</f>
        <v/>
      </c>
      <c r="N1447" s="45">
        <f>1+(INDEX(SeasonIdx,A1447)-1)*SeasonAmp</f>
        <v/>
      </c>
      <c r="O1447" s="45">
        <f>IFERROR(INDEX(PSPct,MATCH(E1447&amp;"|"&amp;G1447,PSKey,0)),0)</f>
        <v/>
      </c>
      <c r="P1447" s="46">
        <f>INDEX(ChDoorVel,MATCH(E1447,ChName,0))*CalibScalar*(1+VelocityUplift)</f>
        <v/>
      </c>
      <c r="Q1447" s="46" t="n">
        <v>0</v>
      </c>
      <c r="R1447" s="46">
        <f>P1447*O1447*M1447*N1447*H1447</f>
        <v/>
      </c>
      <c r="S1447" s="46">
        <f>R1447*INDEX(FmtCansPerCase,MATCH(F1447,FmtName,0))</f>
        <v/>
      </c>
      <c r="T1447" s="46">
        <f>S1447/INDEX(FmtCansPerPack,MATCH(F1447,FmtName,0))</f>
        <v/>
      </c>
      <c r="U1447" s="47">
        <f>INDEX(ChBaseCP,MATCH(E1447,ChName,0))*(1+INDEX(ProvMod,MATCH(G1447,ProvCode,0)))*(1+PriceIndex)</f>
        <v/>
      </c>
      <c r="V1447" s="47">
        <f>R1447*U1447*INDEX(FmtBlendedPriceIdx,MATCH(F1447,FmtName,0))</f>
        <v/>
      </c>
      <c r="W1447" s="47">
        <f>T1447*INDEX(ProvSRP,MATCH(G1447,ProvCode,0))*(1+PriceIndex)</f>
        <v/>
      </c>
      <c r="X1447" s="47">
        <f>IF(GrossBasis="Wholesale",V1447,W1447)</f>
        <v/>
      </c>
      <c r="Y1447" s="47">
        <f>R1447*INDEX(FmtBlendedCogs,MATCH(F1447,FmtName,0))</f>
        <v/>
      </c>
      <c r="Z1447" s="47">
        <f>X1447-Y1447</f>
        <v/>
      </c>
    </row>
    <row r="1448">
      <c r="A1448" t="n">
        <v>16</v>
      </c>
      <c r="B1448" s="44">
        <f>FiscalStart+(A1448-1)*7</f>
        <v/>
      </c>
      <c r="C1448">
        <f>TEXT(B1448,"mmm yyyy")</f>
        <v/>
      </c>
      <c r="D1448">
        <f>"Q"&amp;(INT((A1448-1)/13)+1)</f>
        <v/>
      </c>
      <c r="E1448" t="inlineStr">
        <is>
          <t>Fitness</t>
        </is>
      </c>
      <c r="F1448">
        <f>IFERROR(INDEX(ChFormat,MATCH(E1448,ChName,0)),"")</f>
        <v/>
      </c>
      <c r="G1448" t="inlineStr">
        <is>
          <t>NS</t>
        </is>
      </c>
      <c r="H1448">
        <f>IF(A1448&lt;=NWeeks,1,0)</f>
        <v/>
      </c>
      <c r="I1448">
        <f>INDEX(ChLaunch,MATCH(E1448,ChName,0))</f>
        <v/>
      </c>
      <c r="J1448">
        <f>INDEX(ChWeeksFull,MATCH(E1448,ChName,0))</f>
        <v/>
      </c>
      <c r="K1448">
        <f>INDEX(ChRamp,MATCH(E1448,ChName,0))</f>
        <v/>
      </c>
      <c r="L1448" s="45">
        <f>MIN(1,MAX(0,(A1448-I1448+1)*RampSpeed/J1448))</f>
        <v/>
      </c>
      <c r="M1448" s="45">
        <f>IF(A1448&lt;I1448,0,IF(K1448="S-curve",L1448*L1448*(3-2*L1448),L1448))</f>
        <v/>
      </c>
      <c r="N1448" s="45">
        <f>1+(INDEX(SeasonIdx,A1448)-1)*SeasonAmp</f>
        <v/>
      </c>
      <c r="O1448" s="45">
        <f>IFERROR(INDEX(PSPct,MATCH(E1448&amp;"|"&amp;G1448,PSKey,0)),0)</f>
        <v/>
      </c>
      <c r="P1448" s="46">
        <f>INDEX(ChDoorVel,MATCH(E1448,ChName,0))*CalibScalar*(1+VelocityUplift)</f>
        <v/>
      </c>
      <c r="Q1448" s="46" t="n">
        <v>0</v>
      </c>
      <c r="R1448" s="46">
        <f>P1448*O1448*M1448*N1448*H1448</f>
        <v/>
      </c>
      <c r="S1448" s="46">
        <f>R1448*INDEX(FmtCansPerCase,MATCH(F1448,FmtName,0))</f>
        <v/>
      </c>
      <c r="T1448" s="46">
        <f>S1448/INDEX(FmtCansPerPack,MATCH(F1448,FmtName,0))</f>
        <v/>
      </c>
      <c r="U1448" s="47">
        <f>INDEX(ChBaseCP,MATCH(E1448,ChName,0))*(1+INDEX(ProvMod,MATCH(G1448,ProvCode,0)))*(1+PriceIndex)</f>
        <v/>
      </c>
      <c r="V1448" s="47">
        <f>R1448*U1448*INDEX(FmtBlendedPriceIdx,MATCH(F1448,FmtName,0))</f>
        <v/>
      </c>
      <c r="W1448" s="47">
        <f>T1448*INDEX(ProvSRP,MATCH(G1448,ProvCode,0))*(1+PriceIndex)</f>
        <v/>
      </c>
      <c r="X1448" s="47">
        <f>IF(GrossBasis="Wholesale",V1448,W1448)</f>
        <v/>
      </c>
      <c r="Y1448" s="47">
        <f>R1448*INDEX(FmtBlendedCogs,MATCH(F1448,FmtName,0))</f>
        <v/>
      </c>
      <c r="Z1448" s="47">
        <f>X1448-Y1448</f>
        <v/>
      </c>
    </row>
    <row r="1449">
      <c r="A1449" t="n">
        <v>17</v>
      </c>
      <c r="B1449" s="44">
        <f>FiscalStart+(A1449-1)*7</f>
        <v/>
      </c>
      <c r="C1449">
        <f>TEXT(B1449,"mmm yyyy")</f>
        <v/>
      </c>
      <c r="D1449">
        <f>"Q"&amp;(INT((A1449-1)/13)+1)</f>
        <v/>
      </c>
      <c r="E1449" t="inlineStr">
        <is>
          <t>Fitness</t>
        </is>
      </c>
      <c r="F1449">
        <f>IFERROR(INDEX(ChFormat,MATCH(E1449,ChName,0)),"")</f>
        <v/>
      </c>
      <c r="G1449" t="inlineStr">
        <is>
          <t>NS</t>
        </is>
      </c>
      <c r="H1449">
        <f>IF(A1449&lt;=NWeeks,1,0)</f>
        <v/>
      </c>
      <c r="I1449">
        <f>INDEX(ChLaunch,MATCH(E1449,ChName,0))</f>
        <v/>
      </c>
      <c r="J1449">
        <f>INDEX(ChWeeksFull,MATCH(E1449,ChName,0))</f>
        <v/>
      </c>
      <c r="K1449">
        <f>INDEX(ChRamp,MATCH(E1449,ChName,0))</f>
        <v/>
      </c>
      <c r="L1449" s="45">
        <f>MIN(1,MAX(0,(A1449-I1449+1)*RampSpeed/J1449))</f>
        <v/>
      </c>
      <c r="M1449" s="45">
        <f>IF(A1449&lt;I1449,0,IF(K1449="S-curve",L1449*L1449*(3-2*L1449),L1449))</f>
        <v/>
      </c>
      <c r="N1449" s="45">
        <f>1+(INDEX(SeasonIdx,A1449)-1)*SeasonAmp</f>
        <v/>
      </c>
      <c r="O1449" s="45">
        <f>IFERROR(INDEX(PSPct,MATCH(E1449&amp;"|"&amp;G1449,PSKey,0)),0)</f>
        <v/>
      </c>
      <c r="P1449" s="46">
        <f>INDEX(ChDoorVel,MATCH(E1449,ChName,0))*CalibScalar*(1+VelocityUplift)</f>
        <v/>
      </c>
      <c r="Q1449" s="46" t="n">
        <v>0</v>
      </c>
      <c r="R1449" s="46">
        <f>P1449*O1449*M1449*N1449*H1449</f>
        <v/>
      </c>
      <c r="S1449" s="46">
        <f>R1449*INDEX(FmtCansPerCase,MATCH(F1449,FmtName,0))</f>
        <v/>
      </c>
      <c r="T1449" s="46">
        <f>S1449/INDEX(FmtCansPerPack,MATCH(F1449,FmtName,0))</f>
        <v/>
      </c>
      <c r="U1449" s="47">
        <f>INDEX(ChBaseCP,MATCH(E1449,ChName,0))*(1+INDEX(ProvMod,MATCH(G1449,ProvCode,0)))*(1+PriceIndex)</f>
        <v/>
      </c>
      <c r="V1449" s="47">
        <f>R1449*U1449*INDEX(FmtBlendedPriceIdx,MATCH(F1449,FmtName,0))</f>
        <v/>
      </c>
      <c r="W1449" s="47">
        <f>T1449*INDEX(ProvSRP,MATCH(G1449,ProvCode,0))*(1+PriceIndex)</f>
        <v/>
      </c>
      <c r="X1449" s="47">
        <f>IF(GrossBasis="Wholesale",V1449,W1449)</f>
        <v/>
      </c>
      <c r="Y1449" s="47">
        <f>R1449*INDEX(FmtBlendedCogs,MATCH(F1449,FmtName,0))</f>
        <v/>
      </c>
      <c r="Z1449" s="47">
        <f>X1449-Y1449</f>
        <v/>
      </c>
    </row>
    <row r="1450">
      <c r="A1450" t="n">
        <v>18</v>
      </c>
      <c r="B1450" s="44">
        <f>FiscalStart+(A1450-1)*7</f>
        <v/>
      </c>
      <c r="C1450">
        <f>TEXT(B1450,"mmm yyyy")</f>
        <v/>
      </c>
      <c r="D1450">
        <f>"Q"&amp;(INT((A1450-1)/13)+1)</f>
        <v/>
      </c>
      <c r="E1450" t="inlineStr">
        <is>
          <t>Fitness</t>
        </is>
      </c>
      <c r="F1450">
        <f>IFERROR(INDEX(ChFormat,MATCH(E1450,ChName,0)),"")</f>
        <v/>
      </c>
      <c r="G1450" t="inlineStr">
        <is>
          <t>NS</t>
        </is>
      </c>
      <c r="H1450">
        <f>IF(A1450&lt;=NWeeks,1,0)</f>
        <v/>
      </c>
      <c r="I1450">
        <f>INDEX(ChLaunch,MATCH(E1450,ChName,0))</f>
        <v/>
      </c>
      <c r="J1450">
        <f>INDEX(ChWeeksFull,MATCH(E1450,ChName,0))</f>
        <v/>
      </c>
      <c r="K1450">
        <f>INDEX(ChRamp,MATCH(E1450,ChName,0))</f>
        <v/>
      </c>
      <c r="L1450" s="45">
        <f>MIN(1,MAX(0,(A1450-I1450+1)*RampSpeed/J1450))</f>
        <v/>
      </c>
      <c r="M1450" s="45">
        <f>IF(A1450&lt;I1450,0,IF(K1450="S-curve",L1450*L1450*(3-2*L1450),L1450))</f>
        <v/>
      </c>
      <c r="N1450" s="45">
        <f>1+(INDEX(SeasonIdx,A1450)-1)*SeasonAmp</f>
        <v/>
      </c>
      <c r="O1450" s="45">
        <f>IFERROR(INDEX(PSPct,MATCH(E1450&amp;"|"&amp;G1450,PSKey,0)),0)</f>
        <v/>
      </c>
      <c r="P1450" s="46">
        <f>INDEX(ChDoorVel,MATCH(E1450,ChName,0))*CalibScalar*(1+VelocityUplift)</f>
        <v/>
      </c>
      <c r="Q1450" s="46" t="n">
        <v>0</v>
      </c>
      <c r="R1450" s="46">
        <f>P1450*O1450*M1450*N1450*H1450</f>
        <v/>
      </c>
      <c r="S1450" s="46">
        <f>R1450*INDEX(FmtCansPerCase,MATCH(F1450,FmtName,0))</f>
        <v/>
      </c>
      <c r="T1450" s="46">
        <f>S1450/INDEX(FmtCansPerPack,MATCH(F1450,FmtName,0))</f>
        <v/>
      </c>
      <c r="U1450" s="47">
        <f>INDEX(ChBaseCP,MATCH(E1450,ChName,0))*(1+INDEX(ProvMod,MATCH(G1450,ProvCode,0)))*(1+PriceIndex)</f>
        <v/>
      </c>
      <c r="V1450" s="47">
        <f>R1450*U1450*INDEX(FmtBlendedPriceIdx,MATCH(F1450,FmtName,0))</f>
        <v/>
      </c>
      <c r="W1450" s="47">
        <f>T1450*INDEX(ProvSRP,MATCH(G1450,ProvCode,0))*(1+PriceIndex)</f>
        <v/>
      </c>
      <c r="X1450" s="47">
        <f>IF(GrossBasis="Wholesale",V1450,W1450)</f>
        <v/>
      </c>
      <c r="Y1450" s="47">
        <f>R1450*INDEX(FmtBlendedCogs,MATCH(F1450,FmtName,0))</f>
        <v/>
      </c>
      <c r="Z1450" s="47">
        <f>X1450-Y1450</f>
        <v/>
      </c>
    </row>
    <row r="1451">
      <c r="A1451" t="n">
        <v>19</v>
      </c>
      <c r="B1451" s="44">
        <f>FiscalStart+(A1451-1)*7</f>
        <v/>
      </c>
      <c r="C1451">
        <f>TEXT(B1451,"mmm yyyy")</f>
        <v/>
      </c>
      <c r="D1451">
        <f>"Q"&amp;(INT((A1451-1)/13)+1)</f>
        <v/>
      </c>
      <c r="E1451" t="inlineStr">
        <is>
          <t>Fitness</t>
        </is>
      </c>
      <c r="F1451">
        <f>IFERROR(INDEX(ChFormat,MATCH(E1451,ChName,0)),"")</f>
        <v/>
      </c>
      <c r="G1451" t="inlineStr">
        <is>
          <t>NS</t>
        </is>
      </c>
      <c r="H1451">
        <f>IF(A1451&lt;=NWeeks,1,0)</f>
        <v/>
      </c>
      <c r="I1451">
        <f>INDEX(ChLaunch,MATCH(E1451,ChName,0))</f>
        <v/>
      </c>
      <c r="J1451">
        <f>INDEX(ChWeeksFull,MATCH(E1451,ChName,0))</f>
        <v/>
      </c>
      <c r="K1451">
        <f>INDEX(ChRamp,MATCH(E1451,ChName,0))</f>
        <v/>
      </c>
      <c r="L1451" s="45">
        <f>MIN(1,MAX(0,(A1451-I1451+1)*RampSpeed/J1451))</f>
        <v/>
      </c>
      <c r="M1451" s="45">
        <f>IF(A1451&lt;I1451,0,IF(K1451="S-curve",L1451*L1451*(3-2*L1451),L1451))</f>
        <v/>
      </c>
      <c r="N1451" s="45">
        <f>1+(INDEX(SeasonIdx,A1451)-1)*SeasonAmp</f>
        <v/>
      </c>
      <c r="O1451" s="45">
        <f>IFERROR(INDEX(PSPct,MATCH(E1451&amp;"|"&amp;G1451,PSKey,0)),0)</f>
        <v/>
      </c>
      <c r="P1451" s="46">
        <f>INDEX(ChDoorVel,MATCH(E1451,ChName,0))*CalibScalar*(1+VelocityUplift)</f>
        <v/>
      </c>
      <c r="Q1451" s="46" t="n">
        <v>0</v>
      </c>
      <c r="R1451" s="46">
        <f>P1451*O1451*M1451*N1451*H1451</f>
        <v/>
      </c>
      <c r="S1451" s="46">
        <f>R1451*INDEX(FmtCansPerCase,MATCH(F1451,FmtName,0))</f>
        <v/>
      </c>
      <c r="T1451" s="46">
        <f>S1451/INDEX(FmtCansPerPack,MATCH(F1451,FmtName,0))</f>
        <v/>
      </c>
      <c r="U1451" s="47">
        <f>INDEX(ChBaseCP,MATCH(E1451,ChName,0))*(1+INDEX(ProvMod,MATCH(G1451,ProvCode,0)))*(1+PriceIndex)</f>
        <v/>
      </c>
      <c r="V1451" s="47">
        <f>R1451*U1451*INDEX(FmtBlendedPriceIdx,MATCH(F1451,FmtName,0))</f>
        <v/>
      </c>
      <c r="W1451" s="47">
        <f>T1451*INDEX(ProvSRP,MATCH(G1451,ProvCode,0))*(1+PriceIndex)</f>
        <v/>
      </c>
      <c r="X1451" s="47">
        <f>IF(GrossBasis="Wholesale",V1451,W1451)</f>
        <v/>
      </c>
      <c r="Y1451" s="47">
        <f>R1451*INDEX(FmtBlendedCogs,MATCH(F1451,FmtName,0))</f>
        <v/>
      </c>
      <c r="Z1451" s="47">
        <f>X1451-Y1451</f>
        <v/>
      </c>
    </row>
    <row r="1452">
      <c r="A1452" t="n">
        <v>20</v>
      </c>
      <c r="B1452" s="44">
        <f>FiscalStart+(A1452-1)*7</f>
        <v/>
      </c>
      <c r="C1452">
        <f>TEXT(B1452,"mmm yyyy")</f>
        <v/>
      </c>
      <c r="D1452">
        <f>"Q"&amp;(INT((A1452-1)/13)+1)</f>
        <v/>
      </c>
      <c r="E1452" t="inlineStr">
        <is>
          <t>Fitness</t>
        </is>
      </c>
      <c r="F1452">
        <f>IFERROR(INDEX(ChFormat,MATCH(E1452,ChName,0)),"")</f>
        <v/>
      </c>
      <c r="G1452" t="inlineStr">
        <is>
          <t>NS</t>
        </is>
      </c>
      <c r="H1452">
        <f>IF(A1452&lt;=NWeeks,1,0)</f>
        <v/>
      </c>
      <c r="I1452">
        <f>INDEX(ChLaunch,MATCH(E1452,ChName,0))</f>
        <v/>
      </c>
      <c r="J1452">
        <f>INDEX(ChWeeksFull,MATCH(E1452,ChName,0))</f>
        <v/>
      </c>
      <c r="K1452">
        <f>INDEX(ChRamp,MATCH(E1452,ChName,0))</f>
        <v/>
      </c>
      <c r="L1452" s="45">
        <f>MIN(1,MAX(0,(A1452-I1452+1)*RampSpeed/J1452))</f>
        <v/>
      </c>
      <c r="M1452" s="45">
        <f>IF(A1452&lt;I1452,0,IF(K1452="S-curve",L1452*L1452*(3-2*L1452),L1452))</f>
        <v/>
      </c>
      <c r="N1452" s="45">
        <f>1+(INDEX(SeasonIdx,A1452)-1)*SeasonAmp</f>
        <v/>
      </c>
      <c r="O1452" s="45">
        <f>IFERROR(INDEX(PSPct,MATCH(E1452&amp;"|"&amp;G1452,PSKey,0)),0)</f>
        <v/>
      </c>
      <c r="P1452" s="46">
        <f>INDEX(ChDoorVel,MATCH(E1452,ChName,0))*CalibScalar*(1+VelocityUplift)</f>
        <v/>
      </c>
      <c r="Q1452" s="46" t="n">
        <v>0</v>
      </c>
      <c r="R1452" s="46">
        <f>P1452*O1452*M1452*N1452*H1452</f>
        <v/>
      </c>
      <c r="S1452" s="46">
        <f>R1452*INDEX(FmtCansPerCase,MATCH(F1452,FmtName,0))</f>
        <v/>
      </c>
      <c r="T1452" s="46">
        <f>S1452/INDEX(FmtCansPerPack,MATCH(F1452,FmtName,0))</f>
        <v/>
      </c>
      <c r="U1452" s="47">
        <f>INDEX(ChBaseCP,MATCH(E1452,ChName,0))*(1+INDEX(ProvMod,MATCH(G1452,ProvCode,0)))*(1+PriceIndex)</f>
        <v/>
      </c>
      <c r="V1452" s="47">
        <f>R1452*U1452*INDEX(FmtBlendedPriceIdx,MATCH(F1452,FmtName,0))</f>
        <v/>
      </c>
      <c r="W1452" s="47">
        <f>T1452*INDEX(ProvSRP,MATCH(G1452,ProvCode,0))*(1+PriceIndex)</f>
        <v/>
      </c>
      <c r="X1452" s="47">
        <f>IF(GrossBasis="Wholesale",V1452,W1452)</f>
        <v/>
      </c>
      <c r="Y1452" s="47">
        <f>R1452*INDEX(FmtBlendedCogs,MATCH(F1452,FmtName,0))</f>
        <v/>
      </c>
      <c r="Z1452" s="47">
        <f>X1452-Y1452</f>
        <v/>
      </c>
    </row>
    <row r="1453">
      <c r="A1453" t="n">
        <v>21</v>
      </c>
      <c r="B1453" s="44">
        <f>FiscalStart+(A1453-1)*7</f>
        <v/>
      </c>
      <c r="C1453">
        <f>TEXT(B1453,"mmm yyyy")</f>
        <v/>
      </c>
      <c r="D1453">
        <f>"Q"&amp;(INT((A1453-1)/13)+1)</f>
        <v/>
      </c>
      <c r="E1453" t="inlineStr">
        <is>
          <t>Fitness</t>
        </is>
      </c>
      <c r="F1453">
        <f>IFERROR(INDEX(ChFormat,MATCH(E1453,ChName,0)),"")</f>
        <v/>
      </c>
      <c r="G1453" t="inlineStr">
        <is>
          <t>NS</t>
        </is>
      </c>
      <c r="H1453">
        <f>IF(A1453&lt;=NWeeks,1,0)</f>
        <v/>
      </c>
      <c r="I1453">
        <f>INDEX(ChLaunch,MATCH(E1453,ChName,0))</f>
        <v/>
      </c>
      <c r="J1453">
        <f>INDEX(ChWeeksFull,MATCH(E1453,ChName,0))</f>
        <v/>
      </c>
      <c r="K1453">
        <f>INDEX(ChRamp,MATCH(E1453,ChName,0))</f>
        <v/>
      </c>
      <c r="L1453" s="45">
        <f>MIN(1,MAX(0,(A1453-I1453+1)*RampSpeed/J1453))</f>
        <v/>
      </c>
      <c r="M1453" s="45">
        <f>IF(A1453&lt;I1453,0,IF(K1453="S-curve",L1453*L1453*(3-2*L1453),L1453))</f>
        <v/>
      </c>
      <c r="N1453" s="45">
        <f>1+(INDEX(SeasonIdx,A1453)-1)*SeasonAmp</f>
        <v/>
      </c>
      <c r="O1453" s="45">
        <f>IFERROR(INDEX(PSPct,MATCH(E1453&amp;"|"&amp;G1453,PSKey,0)),0)</f>
        <v/>
      </c>
      <c r="P1453" s="46">
        <f>INDEX(ChDoorVel,MATCH(E1453,ChName,0))*CalibScalar*(1+VelocityUplift)</f>
        <v/>
      </c>
      <c r="Q1453" s="46" t="n">
        <v>0</v>
      </c>
      <c r="R1453" s="46">
        <f>P1453*O1453*M1453*N1453*H1453</f>
        <v/>
      </c>
      <c r="S1453" s="46">
        <f>R1453*INDEX(FmtCansPerCase,MATCH(F1453,FmtName,0))</f>
        <v/>
      </c>
      <c r="T1453" s="46">
        <f>S1453/INDEX(FmtCansPerPack,MATCH(F1453,FmtName,0))</f>
        <v/>
      </c>
      <c r="U1453" s="47">
        <f>INDEX(ChBaseCP,MATCH(E1453,ChName,0))*(1+INDEX(ProvMod,MATCH(G1453,ProvCode,0)))*(1+PriceIndex)</f>
        <v/>
      </c>
      <c r="V1453" s="47">
        <f>R1453*U1453*INDEX(FmtBlendedPriceIdx,MATCH(F1453,FmtName,0))</f>
        <v/>
      </c>
      <c r="W1453" s="47">
        <f>T1453*INDEX(ProvSRP,MATCH(G1453,ProvCode,0))*(1+PriceIndex)</f>
        <v/>
      </c>
      <c r="X1453" s="47">
        <f>IF(GrossBasis="Wholesale",V1453,W1453)</f>
        <v/>
      </c>
      <c r="Y1453" s="47">
        <f>R1453*INDEX(FmtBlendedCogs,MATCH(F1453,FmtName,0))</f>
        <v/>
      </c>
      <c r="Z1453" s="47">
        <f>X1453-Y1453</f>
        <v/>
      </c>
    </row>
    <row r="1454">
      <c r="A1454" t="n">
        <v>22</v>
      </c>
      <c r="B1454" s="44">
        <f>FiscalStart+(A1454-1)*7</f>
        <v/>
      </c>
      <c r="C1454">
        <f>TEXT(B1454,"mmm yyyy")</f>
        <v/>
      </c>
      <c r="D1454">
        <f>"Q"&amp;(INT((A1454-1)/13)+1)</f>
        <v/>
      </c>
      <c r="E1454" t="inlineStr">
        <is>
          <t>Fitness</t>
        </is>
      </c>
      <c r="F1454">
        <f>IFERROR(INDEX(ChFormat,MATCH(E1454,ChName,0)),"")</f>
        <v/>
      </c>
      <c r="G1454" t="inlineStr">
        <is>
          <t>NS</t>
        </is>
      </c>
      <c r="H1454">
        <f>IF(A1454&lt;=NWeeks,1,0)</f>
        <v/>
      </c>
      <c r="I1454">
        <f>INDEX(ChLaunch,MATCH(E1454,ChName,0))</f>
        <v/>
      </c>
      <c r="J1454">
        <f>INDEX(ChWeeksFull,MATCH(E1454,ChName,0))</f>
        <v/>
      </c>
      <c r="K1454">
        <f>INDEX(ChRamp,MATCH(E1454,ChName,0))</f>
        <v/>
      </c>
      <c r="L1454" s="45">
        <f>MIN(1,MAX(0,(A1454-I1454+1)*RampSpeed/J1454))</f>
        <v/>
      </c>
      <c r="M1454" s="45">
        <f>IF(A1454&lt;I1454,0,IF(K1454="S-curve",L1454*L1454*(3-2*L1454),L1454))</f>
        <v/>
      </c>
      <c r="N1454" s="45">
        <f>1+(INDEX(SeasonIdx,A1454)-1)*SeasonAmp</f>
        <v/>
      </c>
      <c r="O1454" s="45">
        <f>IFERROR(INDEX(PSPct,MATCH(E1454&amp;"|"&amp;G1454,PSKey,0)),0)</f>
        <v/>
      </c>
      <c r="P1454" s="46">
        <f>INDEX(ChDoorVel,MATCH(E1454,ChName,0))*CalibScalar*(1+VelocityUplift)</f>
        <v/>
      </c>
      <c r="Q1454" s="46" t="n">
        <v>0</v>
      </c>
      <c r="R1454" s="46">
        <f>P1454*O1454*M1454*N1454*H1454</f>
        <v/>
      </c>
      <c r="S1454" s="46">
        <f>R1454*INDEX(FmtCansPerCase,MATCH(F1454,FmtName,0))</f>
        <v/>
      </c>
      <c r="T1454" s="46">
        <f>S1454/INDEX(FmtCansPerPack,MATCH(F1454,FmtName,0))</f>
        <v/>
      </c>
      <c r="U1454" s="47">
        <f>INDEX(ChBaseCP,MATCH(E1454,ChName,0))*(1+INDEX(ProvMod,MATCH(G1454,ProvCode,0)))*(1+PriceIndex)</f>
        <v/>
      </c>
      <c r="V1454" s="47">
        <f>R1454*U1454*INDEX(FmtBlendedPriceIdx,MATCH(F1454,FmtName,0))</f>
        <v/>
      </c>
      <c r="W1454" s="47">
        <f>T1454*INDEX(ProvSRP,MATCH(G1454,ProvCode,0))*(1+PriceIndex)</f>
        <v/>
      </c>
      <c r="X1454" s="47">
        <f>IF(GrossBasis="Wholesale",V1454,W1454)</f>
        <v/>
      </c>
      <c r="Y1454" s="47">
        <f>R1454*INDEX(FmtBlendedCogs,MATCH(F1454,FmtName,0))</f>
        <v/>
      </c>
      <c r="Z1454" s="47">
        <f>X1454-Y1454</f>
        <v/>
      </c>
    </row>
    <row r="1455">
      <c r="A1455" t="n">
        <v>23</v>
      </c>
      <c r="B1455" s="44">
        <f>FiscalStart+(A1455-1)*7</f>
        <v/>
      </c>
      <c r="C1455">
        <f>TEXT(B1455,"mmm yyyy")</f>
        <v/>
      </c>
      <c r="D1455">
        <f>"Q"&amp;(INT((A1455-1)/13)+1)</f>
        <v/>
      </c>
      <c r="E1455" t="inlineStr">
        <is>
          <t>Fitness</t>
        </is>
      </c>
      <c r="F1455">
        <f>IFERROR(INDEX(ChFormat,MATCH(E1455,ChName,0)),"")</f>
        <v/>
      </c>
      <c r="G1455" t="inlineStr">
        <is>
          <t>NS</t>
        </is>
      </c>
      <c r="H1455">
        <f>IF(A1455&lt;=NWeeks,1,0)</f>
        <v/>
      </c>
      <c r="I1455">
        <f>INDEX(ChLaunch,MATCH(E1455,ChName,0))</f>
        <v/>
      </c>
      <c r="J1455">
        <f>INDEX(ChWeeksFull,MATCH(E1455,ChName,0))</f>
        <v/>
      </c>
      <c r="K1455">
        <f>INDEX(ChRamp,MATCH(E1455,ChName,0))</f>
        <v/>
      </c>
      <c r="L1455" s="45">
        <f>MIN(1,MAX(0,(A1455-I1455+1)*RampSpeed/J1455))</f>
        <v/>
      </c>
      <c r="M1455" s="45">
        <f>IF(A1455&lt;I1455,0,IF(K1455="S-curve",L1455*L1455*(3-2*L1455),L1455))</f>
        <v/>
      </c>
      <c r="N1455" s="45">
        <f>1+(INDEX(SeasonIdx,A1455)-1)*SeasonAmp</f>
        <v/>
      </c>
      <c r="O1455" s="45">
        <f>IFERROR(INDEX(PSPct,MATCH(E1455&amp;"|"&amp;G1455,PSKey,0)),0)</f>
        <v/>
      </c>
      <c r="P1455" s="46">
        <f>INDEX(ChDoorVel,MATCH(E1455,ChName,0))*CalibScalar*(1+VelocityUplift)</f>
        <v/>
      </c>
      <c r="Q1455" s="46" t="n">
        <v>0</v>
      </c>
      <c r="R1455" s="46">
        <f>P1455*O1455*M1455*N1455*H1455</f>
        <v/>
      </c>
      <c r="S1455" s="46">
        <f>R1455*INDEX(FmtCansPerCase,MATCH(F1455,FmtName,0))</f>
        <v/>
      </c>
      <c r="T1455" s="46">
        <f>S1455/INDEX(FmtCansPerPack,MATCH(F1455,FmtName,0))</f>
        <v/>
      </c>
      <c r="U1455" s="47">
        <f>INDEX(ChBaseCP,MATCH(E1455,ChName,0))*(1+INDEX(ProvMod,MATCH(G1455,ProvCode,0)))*(1+PriceIndex)</f>
        <v/>
      </c>
      <c r="V1455" s="47">
        <f>R1455*U1455*INDEX(FmtBlendedPriceIdx,MATCH(F1455,FmtName,0))</f>
        <v/>
      </c>
      <c r="W1455" s="47">
        <f>T1455*INDEX(ProvSRP,MATCH(G1455,ProvCode,0))*(1+PriceIndex)</f>
        <v/>
      </c>
      <c r="X1455" s="47">
        <f>IF(GrossBasis="Wholesale",V1455,W1455)</f>
        <v/>
      </c>
      <c r="Y1455" s="47">
        <f>R1455*INDEX(FmtBlendedCogs,MATCH(F1455,FmtName,0))</f>
        <v/>
      </c>
      <c r="Z1455" s="47">
        <f>X1455-Y1455</f>
        <v/>
      </c>
    </row>
    <row r="1456">
      <c r="A1456" t="n">
        <v>24</v>
      </c>
      <c r="B1456" s="44">
        <f>FiscalStart+(A1456-1)*7</f>
        <v/>
      </c>
      <c r="C1456">
        <f>TEXT(B1456,"mmm yyyy")</f>
        <v/>
      </c>
      <c r="D1456">
        <f>"Q"&amp;(INT((A1456-1)/13)+1)</f>
        <v/>
      </c>
      <c r="E1456" t="inlineStr">
        <is>
          <t>Fitness</t>
        </is>
      </c>
      <c r="F1456">
        <f>IFERROR(INDEX(ChFormat,MATCH(E1456,ChName,0)),"")</f>
        <v/>
      </c>
      <c r="G1456" t="inlineStr">
        <is>
          <t>NS</t>
        </is>
      </c>
      <c r="H1456">
        <f>IF(A1456&lt;=NWeeks,1,0)</f>
        <v/>
      </c>
      <c r="I1456">
        <f>INDEX(ChLaunch,MATCH(E1456,ChName,0))</f>
        <v/>
      </c>
      <c r="J1456">
        <f>INDEX(ChWeeksFull,MATCH(E1456,ChName,0))</f>
        <v/>
      </c>
      <c r="K1456">
        <f>INDEX(ChRamp,MATCH(E1456,ChName,0))</f>
        <v/>
      </c>
      <c r="L1456" s="45">
        <f>MIN(1,MAX(0,(A1456-I1456+1)*RampSpeed/J1456))</f>
        <v/>
      </c>
      <c r="M1456" s="45">
        <f>IF(A1456&lt;I1456,0,IF(K1456="S-curve",L1456*L1456*(3-2*L1456),L1456))</f>
        <v/>
      </c>
      <c r="N1456" s="45">
        <f>1+(INDEX(SeasonIdx,A1456)-1)*SeasonAmp</f>
        <v/>
      </c>
      <c r="O1456" s="45">
        <f>IFERROR(INDEX(PSPct,MATCH(E1456&amp;"|"&amp;G1456,PSKey,0)),0)</f>
        <v/>
      </c>
      <c r="P1456" s="46">
        <f>INDEX(ChDoorVel,MATCH(E1456,ChName,0))*CalibScalar*(1+VelocityUplift)</f>
        <v/>
      </c>
      <c r="Q1456" s="46" t="n">
        <v>0</v>
      </c>
      <c r="R1456" s="46">
        <f>P1456*O1456*M1456*N1456*H1456</f>
        <v/>
      </c>
      <c r="S1456" s="46">
        <f>R1456*INDEX(FmtCansPerCase,MATCH(F1456,FmtName,0))</f>
        <v/>
      </c>
      <c r="T1456" s="46">
        <f>S1456/INDEX(FmtCansPerPack,MATCH(F1456,FmtName,0))</f>
        <v/>
      </c>
      <c r="U1456" s="47">
        <f>INDEX(ChBaseCP,MATCH(E1456,ChName,0))*(1+INDEX(ProvMod,MATCH(G1456,ProvCode,0)))*(1+PriceIndex)</f>
        <v/>
      </c>
      <c r="V1456" s="47">
        <f>R1456*U1456*INDEX(FmtBlendedPriceIdx,MATCH(F1456,FmtName,0))</f>
        <v/>
      </c>
      <c r="W1456" s="47">
        <f>T1456*INDEX(ProvSRP,MATCH(G1456,ProvCode,0))*(1+PriceIndex)</f>
        <v/>
      </c>
      <c r="X1456" s="47">
        <f>IF(GrossBasis="Wholesale",V1456,W1456)</f>
        <v/>
      </c>
      <c r="Y1456" s="47">
        <f>R1456*INDEX(FmtBlendedCogs,MATCH(F1456,FmtName,0))</f>
        <v/>
      </c>
      <c r="Z1456" s="47">
        <f>X1456-Y1456</f>
        <v/>
      </c>
    </row>
    <row r="1457">
      <c r="A1457" t="n">
        <v>25</v>
      </c>
      <c r="B1457" s="44">
        <f>FiscalStart+(A1457-1)*7</f>
        <v/>
      </c>
      <c r="C1457">
        <f>TEXT(B1457,"mmm yyyy")</f>
        <v/>
      </c>
      <c r="D1457">
        <f>"Q"&amp;(INT((A1457-1)/13)+1)</f>
        <v/>
      </c>
      <c r="E1457" t="inlineStr">
        <is>
          <t>Fitness</t>
        </is>
      </c>
      <c r="F1457">
        <f>IFERROR(INDEX(ChFormat,MATCH(E1457,ChName,0)),"")</f>
        <v/>
      </c>
      <c r="G1457" t="inlineStr">
        <is>
          <t>NS</t>
        </is>
      </c>
      <c r="H1457">
        <f>IF(A1457&lt;=NWeeks,1,0)</f>
        <v/>
      </c>
      <c r="I1457">
        <f>INDEX(ChLaunch,MATCH(E1457,ChName,0))</f>
        <v/>
      </c>
      <c r="J1457">
        <f>INDEX(ChWeeksFull,MATCH(E1457,ChName,0))</f>
        <v/>
      </c>
      <c r="K1457">
        <f>INDEX(ChRamp,MATCH(E1457,ChName,0))</f>
        <v/>
      </c>
      <c r="L1457" s="45">
        <f>MIN(1,MAX(0,(A1457-I1457+1)*RampSpeed/J1457))</f>
        <v/>
      </c>
      <c r="M1457" s="45">
        <f>IF(A1457&lt;I1457,0,IF(K1457="S-curve",L1457*L1457*(3-2*L1457),L1457))</f>
        <v/>
      </c>
      <c r="N1457" s="45">
        <f>1+(INDEX(SeasonIdx,A1457)-1)*SeasonAmp</f>
        <v/>
      </c>
      <c r="O1457" s="45">
        <f>IFERROR(INDEX(PSPct,MATCH(E1457&amp;"|"&amp;G1457,PSKey,0)),0)</f>
        <v/>
      </c>
      <c r="P1457" s="46">
        <f>INDEX(ChDoorVel,MATCH(E1457,ChName,0))*CalibScalar*(1+VelocityUplift)</f>
        <v/>
      </c>
      <c r="Q1457" s="46" t="n">
        <v>0</v>
      </c>
      <c r="R1457" s="46">
        <f>P1457*O1457*M1457*N1457*H1457</f>
        <v/>
      </c>
      <c r="S1457" s="46">
        <f>R1457*INDEX(FmtCansPerCase,MATCH(F1457,FmtName,0))</f>
        <v/>
      </c>
      <c r="T1457" s="46">
        <f>S1457/INDEX(FmtCansPerPack,MATCH(F1457,FmtName,0))</f>
        <v/>
      </c>
      <c r="U1457" s="47">
        <f>INDEX(ChBaseCP,MATCH(E1457,ChName,0))*(1+INDEX(ProvMod,MATCH(G1457,ProvCode,0)))*(1+PriceIndex)</f>
        <v/>
      </c>
      <c r="V1457" s="47">
        <f>R1457*U1457*INDEX(FmtBlendedPriceIdx,MATCH(F1457,FmtName,0))</f>
        <v/>
      </c>
      <c r="W1457" s="47">
        <f>T1457*INDEX(ProvSRP,MATCH(G1457,ProvCode,0))*(1+PriceIndex)</f>
        <v/>
      </c>
      <c r="X1457" s="47">
        <f>IF(GrossBasis="Wholesale",V1457,W1457)</f>
        <v/>
      </c>
      <c r="Y1457" s="47">
        <f>R1457*INDEX(FmtBlendedCogs,MATCH(F1457,FmtName,0))</f>
        <v/>
      </c>
      <c r="Z1457" s="47">
        <f>X1457-Y1457</f>
        <v/>
      </c>
    </row>
    <row r="1458">
      <c r="A1458" t="n">
        <v>26</v>
      </c>
      <c r="B1458" s="44">
        <f>FiscalStart+(A1458-1)*7</f>
        <v/>
      </c>
      <c r="C1458">
        <f>TEXT(B1458,"mmm yyyy")</f>
        <v/>
      </c>
      <c r="D1458">
        <f>"Q"&amp;(INT((A1458-1)/13)+1)</f>
        <v/>
      </c>
      <c r="E1458" t="inlineStr">
        <is>
          <t>Fitness</t>
        </is>
      </c>
      <c r="F1458">
        <f>IFERROR(INDEX(ChFormat,MATCH(E1458,ChName,0)),"")</f>
        <v/>
      </c>
      <c r="G1458" t="inlineStr">
        <is>
          <t>NS</t>
        </is>
      </c>
      <c r="H1458">
        <f>IF(A1458&lt;=NWeeks,1,0)</f>
        <v/>
      </c>
      <c r="I1458">
        <f>INDEX(ChLaunch,MATCH(E1458,ChName,0))</f>
        <v/>
      </c>
      <c r="J1458">
        <f>INDEX(ChWeeksFull,MATCH(E1458,ChName,0))</f>
        <v/>
      </c>
      <c r="K1458">
        <f>INDEX(ChRamp,MATCH(E1458,ChName,0))</f>
        <v/>
      </c>
      <c r="L1458" s="45">
        <f>MIN(1,MAX(0,(A1458-I1458+1)*RampSpeed/J1458))</f>
        <v/>
      </c>
      <c r="M1458" s="45">
        <f>IF(A1458&lt;I1458,0,IF(K1458="S-curve",L1458*L1458*(3-2*L1458),L1458))</f>
        <v/>
      </c>
      <c r="N1458" s="45">
        <f>1+(INDEX(SeasonIdx,A1458)-1)*SeasonAmp</f>
        <v/>
      </c>
      <c r="O1458" s="45">
        <f>IFERROR(INDEX(PSPct,MATCH(E1458&amp;"|"&amp;G1458,PSKey,0)),0)</f>
        <v/>
      </c>
      <c r="P1458" s="46">
        <f>INDEX(ChDoorVel,MATCH(E1458,ChName,0))*CalibScalar*(1+VelocityUplift)</f>
        <v/>
      </c>
      <c r="Q1458" s="46" t="n">
        <v>0</v>
      </c>
      <c r="R1458" s="46">
        <f>P1458*O1458*M1458*N1458*H1458</f>
        <v/>
      </c>
      <c r="S1458" s="46">
        <f>R1458*INDEX(FmtCansPerCase,MATCH(F1458,FmtName,0))</f>
        <v/>
      </c>
      <c r="T1458" s="46">
        <f>S1458/INDEX(FmtCansPerPack,MATCH(F1458,FmtName,0))</f>
        <v/>
      </c>
      <c r="U1458" s="47">
        <f>INDEX(ChBaseCP,MATCH(E1458,ChName,0))*(1+INDEX(ProvMod,MATCH(G1458,ProvCode,0)))*(1+PriceIndex)</f>
        <v/>
      </c>
      <c r="V1458" s="47">
        <f>R1458*U1458*INDEX(FmtBlendedPriceIdx,MATCH(F1458,FmtName,0))</f>
        <v/>
      </c>
      <c r="W1458" s="47">
        <f>T1458*INDEX(ProvSRP,MATCH(G1458,ProvCode,0))*(1+PriceIndex)</f>
        <v/>
      </c>
      <c r="X1458" s="47">
        <f>IF(GrossBasis="Wholesale",V1458,W1458)</f>
        <v/>
      </c>
      <c r="Y1458" s="47">
        <f>R1458*INDEX(FmtBlendedCogs,MATCH(F1458,FmtName,0))</f>
        <v/>
      </c>
      <c r="Z1458" s="47">
        <f>X1458-Y1458</f>
        <v/>
      </c>
    </row>
    <row r="1459">
      <c r="A1459" t="n">
        <v>27</v>
      </c>
      <c r="B1459" s="44">
        <f>FiscalStart+(A1459-1)*7</f>
        <v/>
      </c>
      <c r="C1459">
        <f>TEXT(B1459,"mmm yyyy")</f>
        <v/>
      </c>
      <c r="D1459">
        <f>"Q"&amp;(INT((A1459-1)/13)+1)</f>
        <v/>
      </c>
      <c r="E1459" t="inlineStr">
        <is>
          <t>Fitness</t>
        </is>
      </c>
      <c r="F1459">
        <f>IFERROR(INDEX(ChFormat,MATCH(E1459,ChName,0)),"")</f>
        <v/>
      </c>
      <c r="G1459" t="inlineStr">
        <is>
          <t>NS</t>
        </is>
      </c>
      <c r="H1459">
        <f>IF(A1459&lt;=NWeeks,1,0)</f>
        <v/>
      </c>
      <c r="I1459">
        <f>INDEX(ChLaunch,MATCH(E1459,ChName,0))</f>
        <v/>
      </c>
      <c r="J1459">
        <f>INDEX(ChWeeksFull,MATCH(E1459,ChName,0))</f>
        <v/>
      </c>
      <c r="K1459">
        <f>INDEX(ChRamp,MATCH(E1459,ChName,0))</f>
        <v/>
      </c>
      <c r="L1459" s="45">
        <f>MIN(1,MAX(0,(A1459-I1459+1)*RampSpeed/J1459))</f>
        <v/>
      </c>
      <c r="M1459" s="45">
        <f>IF(A1459&lt;I1459,0,IF(K1459="S-curve",L1459*L1459*(3-2*L1459),L1459))</f>
        <v/>
      </c>
      <c r="N1459" s="45">
        <f>1+(INDEX(SeasonIdx,A1459)-1)*SeasonAmp</f>
        <v/>
      </c>
      <c r="O1459" s="45">
        <f>IFERROR(INDEX(PSPct,MATCH(E1459&amp;"|"&amp;G1459,PSKey,0)),0)</f>
        <v/>
      </c>
      <c r="P1459" s="46">
        <f>INDEX(ChDoorVel,MATCH(E1459,ChName,0))*CalibScalar*(1+VelocityUplift)</f>
        <v/>
      </c>
      <c r="Q1459" s="46" t="n">
        <v>0</v>
      </c>
      <c r="R1459" s="46">
        <f>P1459*O1459*M1459*N1459*H1459</f>
        <v/>
      </c>
      <c r="S1459" s="46">
        <f>R1459*INDEX(FmtCansPerCase,MATCH(F1459,FmtName,0))</f>
        <v/>
      </c>
      <c r="T1459" s="46">
        <f>S1459/INDEX(FmtCansPerPack,MATCH(F1459,FmtName,0))</f>
        <v/>
      </c>
      <c r="U1459" s="47">
        <f>INDEX(ChBaseCP,MATCH(E1459,ChName,0))*(1+INDEX(ProvMod,MATCH(G1459,ProvCode,0)))*(1+PriceIndex)</f>
        <v/>
      </c>
      <c r="V1459" s="47">
        <f>R1459*U1459*INDEX(FmtBlendedPriceIdx,MATCH(F1459,FmtName,0))</f>
        <v/>
      </c>
      <c r="W1459" s="47">
        <f>T1459*INDEX(ProvSRP,MATCH(G1459,ProvCode,0))*(1+PriceIndex)</f>
        <v/>
      </c>
      <c r="X1459" s="47">
        <f>IF(GrossBasis="Wholesale",V1459,W1459)</f>
        <v/>
      </c>
      <c r="Y1459" s="47">
        <f>R1459*INDEX(FmtBlendedCogs,MATCH(F1459,FmtName,0))</f>
        <v/>
      </c>
      <c r="Z1459" s="47">
        <f>X1459-Y1459</f>
        <v/>
      </c>
    </row>
    <row r="1460">
      <c r="A1460" t="n">
        <v>28</v>
      </c>
      <c r="B1460" s="44">
        <f>FiscalStart+(A1460-1)*7</f>
        <v/>
      </c>
      <c r="C1460">
        <f>TEXT(B1460,"mmm yyyy")</f>
        <v/>
      </c>
      <c r="D1460">
        <f>"Q"&amp;(INT((A1460-1)/13)+1)</f>
        <v/>
      </c>
      <c r="E1460" t="inlineStr">
        <is>
          <t>Fitness</t>
        </is>
      </c>
      <c r="F1460">
        <f>IFERROR(INDEX(ChFormat,MATCH(E1460,ChName,0)),"")</f>
        <v/>
      </c>
      <c r="G1460" t="inlineStr">
        <is>
          <t>NS</t>
        </is>
      </c>
      <c r="H1460">
        <f>IF(A1460&lt;=NWeeks,1,0)</f>
        <v/>
      </c>
      <c r="I1460">
        <f>INDEX(ChLaunch,MATCH(E1460,ChName,0))</f>
        <v/>
      </c>
      <c r="J1460">
        <f>INDEX(ChWeeksFull,MATCH(E1460,ChName,0))</f>
        <v/>
      </c>
      <c r="K1460">
        <f>INDEX(ChRamp,MATCH(E1460,ChName,0))</f>
        <v/>
      </c>
      <c r="L1460" s="45">
        <f>MIN(1,MAX(0,(A1460-I1460+1)*RampSpeed/J1460))</f>
        <v/>
      </c>
      <c r="M1460" s="45">
        <f>IF(A1460&lt;I1460,0,IF(K1460="S-curve",L1460*L1460*(3-2*L1460),L1460))</f>
        <v/>
      </c>
      <c r="N1460" s="45">
        <f>1+(INDEX(SeasonIdx,A1460)-1)*SeasonAmp</f>
        <v/>
      </c>
      <c r="O1460" s="45">
        <f>IFERROR(INDEX(PSPct,MATCH(E1460&amp;"|"&amp;G1460,PSKey,0)),0)</f>
        <v/>
      </c>
      <c r="P1460" s="46">
        <f>INDEX(ChDoorVel,MATCH(E1460,ChName,0))*CalibScalar*(1+VelocityUplift)</f>
        <v/>
      </c>
      <c r="Q1460" s="46" t="n">
        <v>0</v>
      </c>
      <c r="R1460" s="46">
        <f>P1460*O1460*M1460*N1460*H1460</f>
        <v/>
      </c>
      <c r="S1460" s="46">
        <f>R1460*INDEX(FmtCansPerCase,MATCH(F1460,FmtName,0))</f>
        <v/>
      </c>
      <c r="T1460" s="46">
        <f>S1460/INDEX(FmtCansPerPack,MATCH(F1460,FmtName,0))</f>
        <v/>
      </c>
      <c r="U1460" s="47">
        <f>INDEX(ChBaseCP,MATCH(E1460,ChName,0))*(1+INDEX(ProvMod,MATCH(G1460,ProvCode,0)))*(1+PriceIndex)</f>
        <v/>
      </c>
      <c r="V1460" s="47">
        <f>R1460*U1460*INDEX(FmtBlendedPriceIdx,MATCH(F1460,FmtName,0))</f>
        <v/>
      </c>
      <c r="W1460" s="47">
        <f>T1460*INDEX(ProvSRP,MATCH(G1460,ProvCode,0))*(1+PriceIndex)</f>
        <v/>
      </c>
      <c r="X1460" s="47">
        <f>IF(GrossBasis="Wholesale",V1460,W1460)</f>
        <v/>
      </c>
      <c r="Y1460" s="47">
        <f>R1460*INDEX(FmtBlendedCogs,MATCH(F1460,FmtName,0))</f>
        <v/>
      </c>
      <c r="Z1460" s="47">
        <f>X1460-Y1460</f>
        <v/>
      </c>
    </row>
    <row r="1461">
      <c r="A1461" t="n">
        <v>29</v>
      </c>
      <c r="B1461" s="44">
        <f>FiscalStart+(A1461-1)*7</f>
        <v/>
      </c>
      <c r="C1461">
        <f>TEXT(B1461,"mmm yyyy")</f>
        <v/>
      </c>
      <c r="D1461">
        <f>"Q"&amp;(INT((A1461-1)/13)+1)</f>
        <v/>
      </c>
      <c r="E1461" t="inlineStr">
        <is>
          <t>Fitness</t>
        </is>
      </c>
      <c r="F1461">
        <f>IFERROR(INDEX(ChFormat,MATCH(E1461,ChName,0)),"")</f>
        <v/>
      </c>
      <c r="G1461" t="inlineStr">
        <is>
          <t>NS</t>
        </is>
      </c>
      <c r="H1461">
        <f>IF(A1461&lt;=NWeeks,1,0)</f>
        <v/>
      </c>
      <c r="I1461">
        <f>INDEX(ChLaunch,MATCH(E1461,ChName,0))</f>
        <v/>
      </c>
      <c r="J1461">
        <f>INDEX(ChWeeksFull,MATCH(E1461,ChName,0))</f>
        <v/>
      </c>
      <c r="K1461">
        <f>INDEX(ChRamp,MATCH(E1461,ChName,0))</f>
        <v/>
      </c>
      <c r="L1461" s="45">
        <f>MIN(1,MAX(0,(A1461-I1461+1)*RampSpeed/J1461))</f>
        <v/>
      </c>
      <c r="M1461" s="45">
        <f>IF(A1461&lt;I1461,0,IF(K1461="S-curve",L1461*L1461*(3-2*L1461),L1461))</f>
        <v/>
      </c>
      <c r="N1461" s="45">
        <f>1+(INDEX(SeasonIdx,A1461)-1)*SeasonAmp</f>
        <v/>
      </c>
      <c r="O1461" s="45">
        <f>IFERROR(INDEX(PSPct,MATCH(E1461&amp;"|"&amp;G1461,PSKey,0)),0)</f>
        <v/>
      </c>
      <c r="P1461" s="46">
        <f>INDEX(ChDoorVel,MATCH(E1461,ChName,0))*CalibScalar*(1+VelocityUplift)</f>
        <v/>
      </c>
      <c r="Q1461" s="46" t="n">
        <v>0</v>
      </c>
      <c r="R1461" s="46">
        <f>P1461*O1461*M1461*N1461*H1461</f>
        <v/>
      </c>
      <c r="S1461" s="46">
        <f>R1461*INDEX(FmtCansPerCase,MATCH(F1461,FmtName,0))</f>
        <v/>
      </c>
      <c r="T1461" s="46">
        <f>S1461/INDEX(FmtCansPerPack,MATCH(F1461,FmtName,0))</f>
        <v/>
      </c>
      <c r="U1461" s="47">
        <f>INDEX(ChBaseCP,MATCH(E1461,ChName,0))*(1+INDEX(ProvMod,MATCH(G1461,ProvCode,0)))*(1+PriceIndex)</f>
        <v/>
      </c>
      <c r="V1461" s="47">
        <f>R1461*U1461*INDEX(FmtBlendedPriceIdx,MATCH(F1461,FmtName,0))</f>
        <v/>
      </c>
      <c r="W1461" s="47">
        <f>T1461*INDEX(ProvSRP,MATCH(G1461,ProvCode,0))*(1+PriceIndex)</f>
        <v/>
      </c>
      <c r="X1461" s="47">
        <f>IF(GrossBasis="Wholesale",V1461,W1461)</f>
        <v/>
      </c>
      <c r="Y1461" s="47">
        <f>R1461*INDEX(FmtBlendedCogs,MATCH(F1461,FmtName,0))</f>
        <v/>
      </c>
      <c r="Z1461" s="47">
        <f>X1461-Y1461</f>
        <v/>
      </c>
    </row>
    <row r="1462">
      <c r="A1462" t="n">
        <v>30</v>
      </c>
      <c r="B1462" s="44">
        <f>FiscalStart+(A1462-1)*7</f>
        <v/>
      </c>
      <c r="C1462">
        <f>TEXT(B1462,"mmm yyyy")</f>
        <v/>
      </c>
      <c r="D1462">
        <f>"Q"&amp;(INT((A1462-1)/13)+1)</f>
        <v/>
      </c>
      <c r="E1462" t="inlineStr">
        <is>
          <t>Fitness</t>
        </is>
      </c>
      <c r="F1462">
        <f>IFERROR(INDEX(ChFormat,MATCH(E1462,ChName,0)),"")</f>
        <v/>
      </c>
      <c r="G1462" t="inlineStr">
        <is>
          <t>NS</t>
        </is>
      </c>
      <c r="H1462">
        <f>IF(A1462&lt;=NWeeks,1,0)</f>
        <v/>
      </c>
      <c r="I1462">
        <f>INDEX(ChLaunch,MATCH(E1462,ChName,0))</f>
        <v/>
      </c>
      <c r="J1462">
        <f>INDEX(ChWeeksFull,MATCH(E1462,ChName,0))</f>
        <v/>
      </c>
      <c r="K1462">
        <f>INDEX(ChRamp,MATCH(E1462,ChName,0))</f>
        <v/>
      </c>
      <c r="L1462" s="45">
        <f>MIN(1,MAX(0,(A1462-I1462+1)*RampSpeed/J1462))</f>
        <v/>
      </c>
      <c r="M1462" s="45">
        <f>IF(A1462&lt;I1462,0,IF(K1462="S-curve",L1462*L1462*(3-2*L1462),L1462))</f>
        <v/>
      </c>
      <c r="N1462" s="45">
        <f>1+(INDEX(SeasonIdx,A1462)-1)*SeasonAmp</f>
        <v/>
      </c>
      <c r="O1462" s="45">
        <f>IFERROR(INDEX(PSPct,MATCH(E1462&amp;"|"&amp;G1462,PSKey,0)),0)</f>
        <v/>
      </c>
      <c r="P1462" s="46">
        <f>INDEX(ChDoorVel,MATCH(E1462,ChName,0))*CalibScalar*(1+VelocityUplift)</f>
        <v/>
      </c>
      <c r="Q1462" s="46" t="n">
        <v>0</v>
      </c>
      <c r="R1462" s="46">
        <f>P1462*O1462*M1462*N1462*H1462</f>
        <v/>
      </c>
      <c r="S1462" s="46">
        <f>R1462*INDEX(FmtCansPerCase,MATCH(F1462,FmtName,0))</f>
        <v/>
      </c>
      <c r="T1462" s="46">
        <f>S1462/INDEX(FmtCansPerPack,MATCH(F1462,FmtName,0))</f>
        <v/>
      </c>
      <c r="U1462" s="47">
        <f>INDEX(ChBaseCP,MATCH(E1462,ChName,0))*(1+INDEX(ProvMod,MATCH(G1462,ProvCode,0)))*(1+PriceIndex)</f>
        <v/>
      </c>
      <c r="V1462" s="47">
        <f>R1462*U1462*INDEX(FmtBlendedPriceIdx,MATCH(F1462,FmtName,0))</f>
        <v/>
      </c>
      <c r="W1462" s="47">
        <f>T1462*INDEX(ProvSRP,MATCH(G1462,ProvCode,0))*(1+PriceIndex)</f>
        <v/>
      </c>
      <c r="X1462" s="47">
        <f>IF(GrossBasis="Wholesale",V1462,W1462)</f>
        <v/>
      </c>
      <c r="Y1462" s="47">
        <f>R1462*INDEX(FmtBlendedCogs,MATCH(F1462,FmtName,0))</f>
        <v/>
      </c>
      <c r="Z1462" s="47">
        <f>X1462-Y1462</f>
        <v/>
      </c>
    </row>
    <row r="1463">
      <c r="A1463" t="n">
        <v>31</v>
      </c>
      <c r="B1463" s="44">
        <f>FiscalStart+(A1463-1)*7</f>
        <v/>
      </c>
      <c r="C1463">
        <f>TEXT(B1463,"mmm yyyy")</f>
        <v/>
      </c>
      <c r="D1463">
        <f>"Q"&amp;(INT((A1463-1)/13)+1)</f>
        <v/>
      </c>
      <c r="E1463" t="inlineStr">
        <is>
          <t>Fitness</t>
        </is>
      </c>
      <c r="F1463">
        <f>IFERROR(INDEX(ChFormat,MATCH(E1463,ChName,0)),"")</f>
        <v/>
      </c>
      <c r="G1463" t="inlineStr">
        <is>
          <t>NS</t>
        </is>
      </c>
      <c r="H1463">
        <f>IF(A1463&lt;=NWeeks,1,0)</f>
        <v/>
      </c>
      <c r="I1463">
        <f>INDEX(ChLaunch,MATCH(E1463,ChName,0))</f>
        <v/>
      </c>
      <c r="J1463">
        <f>INDEX(ChWeeksFull,MATCH(E1463,ChName,0))</f>
        <v/>
      </c>
      <c r="K1463">
        <f>INDEX(ChRamp,MATCH(E1463,ChName,0))</f>
        <v/>
      </c>
      <c r="L1463" s="45">
        <f>MIN(1,MAX(0,(A1463-I1463+1)*RampSpeed/J1463))</f>
        <v/>
      </c>
      <c r="M1463" s="45">
        <f>IF(A1463&lt;I1463,0,IF(K1463="S-curve",L1463*L1463*(3-2*L1463),L1463))</f>
        <v/>
      </c>
      <c r="N1463" s="45">
        <f>1+(INDEX(SeasonIdx,A1463)-1)*SeasonAmp</f>
        <v/>
      </c>
      <c r="O1463" s="45">
        <f>IFERROR(INDEX(PSPct,MATCH(E1463&amp;"|"&amp;G1463,PSKey,0)),0)</f>
        <v/>
      </c>
      <c r="P1463" s="46">
        <f>INDEX(ChDoorVel,MATCH(E1463,ChName,0))*CalibScalar*(1+VelocityUplift)</f>
        <v/>
      </c>
      <c r="Q1463" s="46" t="n">
        <v>0</v>
      </c>
      <c r="R1463" s="46">
        <f>P1463*O1463*M1463*N1463*H1463</f>
        <v/>
      </c>
      <c r="S1463" s="46">
        <f>R1463*INDEX(FmtCansPerCase,MATCH(F1463,FmtName,0))</f>
        <v/>
      </c>
      <c r="T1463" s="46">
        <f>S1463/INDEX(FmtCansPerPack,MATCH(F1463,FmtName,0))</f>
        <v/>
      </c>
      <c r="U1463" s="47">
        <f>INDEX(ChBaseCP,MATCH(E1463,ChName,0))*(1+INDEX(ProvMod,MATCH(G1463,ProvCode,0)))*(1+PriceIndex)</f>
        <v/>
      </c>
      <c r="V1463" s="47">
        <f>R1463*U1463*INDEX(FmtBlendedPriceIdx,MATCH(F1463,FmtName,0))</f>
        <v/>
      </c>
      <c r="W1463" s="47">
        <f>T1463*INDEX(ProvSRP,MATCH(G1463,ProvCode,0))*(1+PriceIndex)</f>
        <v/>
      </c>
      <c r="X1463" s="47">
        <f>IF(GrossBasis="Wholesale",V1463,W1463)</f>
        <v/>
      </c>
      <c r="Y1463" s="47">
        <f>R1463*INDEX(FmtBlendedCogs,MATCH(F1463,FmtName,0))</f>
        <v/>
      </c>
      <c r="Z1463" s="47">
        <f>X1463-Y1463</f>
        <v/>
      </c>
    </row>
    <row r="1464">
      <c r="A1464" t="n">
        <v>32</v>
      </c>
      <c r="B1464" s="44">
        <f>FiscalStart+(A1464-1)*7</f>
        <v/>
      </c>
      <c r="C1464">
        <f>TEXT(B1464,"mmm yyyy")</f>
        <v/>
      </c>
      <c r="D1464">
        <f>"Q"&amp;(INT((A1464-1)/13)+1)</f>
        <v/>
      </c>
      <c r="E1464" t="inlineStr">
        <is>
          <t>Fitness</t>
        </is>
      </c>
      <c r="F1464">
        <f>IFERROR(INDEX(ChFormat,MATCH(E1464,ChName,0)),"")</f>
        <v/>
      </c>
      <c r="G1464" t="inlineStr">
        <is>
          <t>NS</t>
        </is>
      </c>
      <c r="H1464">
        <f>IF(A1464&lt;=NWeeks,1,0)</f>
        <v/>
      </c>
      <c r="I1464">
        <f>INDEX(ChLaunch,MATCH(E1464,ChName,0))</f>
        <v/>
      </c>
      <c r="J1464">
        <f>INDEX(ChWeeksFull,MATCH(E1464,ChName,0))</f>
        <v/>
      </c>
      <c r="K1464">
        <f>INDEX(ChRamp,MATCH(E1464,ChName,0))</f>
        <v/>
      </c>
      <c r="L1464" s="45">
        <f>MIN(1,MAX(0,(A1464-I1464+1)*RampSpeed/J1464))</f>
        <v/>
      </c>
      <c r="M1464" s="45">
        <f>IF(A1464&lt;I1464,0,IF(K1464="S-curve",L1464*L1464*(3-2*L1464),L1464))</f>
        <v/>
      </c>
      <c r="N1464" s="45">
        <f>1+(INDEX(SeasonIdx,A1464)-1)*SeasonAmp</f>
        <v/>
      </c>
      <c r="O1464" s="45">
        <f>IFERROR(INDEX(PSPct,MATCH(E1464&amp;"|"&amp;G1464,PSKey,0)),0)</f>
        <v/>
      </c>
      <c r="P1464" s="46">
        <f>INDEX(ChDoorVel,MATCH(E1464,ChName,0))*CalibScalar*(1+VelocityUplift)</f>
        <v/>
      </c>
      <c r="Q1464" s="46" t="n">
        <v>0</v>
      </c>
      <c r="R1464" s="46">
        <f>P1464*O1464*M1464*N1464*H1464</f>
        <v/>
      </c>
      <c r="S1464" s="46">
        <f>R1464*INDEX(FmtCansPerCase,MATCH(F1464,FmtName,0))</f>
        <v/>
      </c>
      <c r="T1464" s="46">
        <f>S1464/INDEX(FmtCansPerPack,MATCH(F1464,FmtName,0))</f>
        <v/>
      </c>
      <c r="U1464" s="47">
        <f>INDEX(ChBaseCP,MATCH(E1464,ChName,0))*(1+INDEX(ProvMod,MATCH(G1464,ProvCode,0)))*(1+PriceIndex)</f>
        <v/>
      </c>
      <c r="V1464" s="47">
        <f>R1464*U1464*INDEX(FmtBlendedPriceIdx,MATCH(F1464,FmtName,0))</f>
        <v/>
      </c>
      <c r="W1464" s="47">
        <f>T1464*INDEX(ProvSRP,MATCH(G1464,ProvCode,0))*(1+PriceIndex)</f>
        <v/>
      </c>
      <c r="X1464" s="47">
        <f>IF(GrossBasis="Wholesale",V1464,W1464)</f>
        <v/>
      </c>
      <c r="Y1464" s="47">
        <f>R1464*INDEX(FmtBlendedCogs,MATCH(F1464,FmtName,0))</f>
        <v/>
      </c>
      <c r="Z1464" s="47">
        <f>X1464-Y1464</f>
        <v/>
      </c>
    </row>
    <row r="1465">
      <c r="A1465" t="n">
        <v>33</v>
      </c>
      <c r="B1465" s="44">
        <f>FiscalStart+(A1465-1)*7</f>
        <v/>
      </c>
      <c r="C1465">
        <f>TEXT(B1465,"mmm yyyy")</f>
        <v/>
      </c>
      <c r="D1465">
        <f>"Q"&amp;(INT((A1465-1)/13)+1)</f>
        <v/>
      </c>
      <c r="E1465" t="inlineStr">
        <is>
          <t>Fitness</t>
        </is>
      </c>
      <c r="F1465">
        <f>IFERROR(INDEX(ChFormat,MATCH(E1465,ChName,0)),"")</f>
        <v/>
      </c>
      <c r="G1465" t="inlineStr">
        <is>
          <t>NS</t>
        </is>
      </c>
      <c r="H1465">
        <f>IF(A1465&lt;=NWeeks,1,0)</f>
        <v/>
      </c>
      <c r="I1465">
        <f>INDEX(ChLaunch,MATCH(E1465,ChName,0))</f>
        <v/>
      </c>
      <c r="J1465">
        <f>INDEX(ChWeeksFull,MATCH(E1465,ChName,0))</f>
        <v/>
      </c>
      <c r="K1465">
        <f>INDEX(ChRamp,MATCH(E1465,ChName,0))</f>
        <v/>
      </c>
      <c r="L1465" s="45">
        <f>MIN(1,MAX(0,(A1465-I1465+1)*RampSpeed/J1465))</f>
        <v/>
      </c>
      <c r="M1465" s="45">
        <f>IF(A1465&lt;I1465,0,IF(K1465="S-curve",L1465*L1465*(3-2*L1465),L1465))</f>
        <v/>
      </c>
      <c r="N1465" s="45">
        <f>1+(INDEX(SeasonIdx,A1465)-1)*SeasonAmp</f>
        <v/>
      </c>
      <c r="O1465" s="45">
        <f>IFERROR(INDEX(PSPct,MATCH(E1465&amp;"|"&amp;G1465,PSKey,0)),0)</f>
        <v/>
      </c>
      <c r="P1465" s="46">
        <f>INDEX(ChDoorVel,MATCH(E1465,ChName,0))*CalibScalar*(1+VelocityUplift)</f>
        <v/>
      </c>
      <c r="Q1465" s="46" t="n">
        <v>0</v>
      </c>
      <c r="R1465" s="46">
        <f>P1465*O1465*M1465*N1465*H1465</f>
        <v/>
      </c>
      <c r="S1465" s="46">
        <f>R1465*INDEX(FmtCansPerCase,MATCH(F1465,FmtName,0))</f>
        <v/>
      </c>
      <c r="T1465" s="46">
        <f>S1465/INDEX(FmtCansPerPack,MATCH(F1465,FmtName,0))</f>
        <v/>
      </c>
      <c r="U1465" s="47">
        <f>INDEX(ChBaseCP,MATCH(E1465,ChName,0))*(1+INDEX(ProvMod,MATCH(G1465,ProvCode,0)))*(1+PriceIndex)</f>
        <v/>
      </c>
      <c r="V1465" s="47">
        <f>R1465*U1465*INDEX(FmtBlendedPriceIdx,MATCH(F1465,FmtName,0))</f>
        <v/>
      </c>
      <c r="W1465" s="47">
        <f>T1465*INDEX(ProvSRP,MATCH(G1465,ProvCode,0))*(1+PriceIndex)</f>
        <v/>
      </c>
      <c r="X1465" s="47">
        <f>IF(GrossBasis="Wholesale",V1465,W1465)</f>
        <v/>
      </c>
      <c r="Y1465" s="47">
        <f>R1465*INDEX(FmtBlendedCogs,MATCH(F1465,FmtName,0))</f>
        <v/>
      </c>
      <c r="Z1465" s="47">
        <f>X1465-Y1465</f>
        <v/>
      </c>
    </row>
    <row r="1466">
      <c r="A1466" t="n">
        <v>34</v>
      </c>
      <c r="B1466" s="44">
        <f>FiscalStart+(A1466-1)*7</f>
        <v/>
      </c>
      <c r="C1466">
        <f>TEXT(B1466,"mmm yyyy")</f>
        <v/>
      </c>
      <c r="D1466">
        <f>"Q"&amp;(INT((A1466-1)/13)+1)</f>
        <v/>
      </c>
      <c r="E1466" t="inlineStr">
        <is>
          <t>Fitness</t>
        </is>
      </c>
      <c r="F1466">
        <f>IFERROR(INDEX(ChFormat,MATCH(E1466,ChName,0)),"")</f>
        <v/>
      </c>
      <c r="G1466" t="inlineStr">
        <is>
          <t>NS</t>
        </is>
      </c>
      <c r="H1466">
        <f>IF(A1466&lt;=NWeeks,1,0)</f>
        <v/>
      </c>
      <c r="I1466">
        <f>INDEX(ChLaunch,MATCH(E1466,ChName,0))</f>
        <v/>
      </c>
      <c r="J1466">
        <f>INDEX(ChWeeksFull,MATCH(E1466,ChName,0))</f>
        <v/>
      </c>
      <c r="K1466">
        <f>INDEX(ChRamp,MATCH(E1466,ChName,0))</f>
        <v/>
      </c>
      <c r="L1466" s="45">
        <f>MIN(1,MAX(0,(A1466-I1466+1)*RampSpeed/J1466))</f>
        <v/>
      </c>
      <c r="M1466" s="45">
        <f>IF(A1466&lt;I1466,0,IF(K1466="S-curve",L1466*L1466*(3-2*L1466),L1466))</f>
        <v/>
      </c>
      <c r="N1466" s="45">
        <f>1+(INDEX(SeasonIdx,A1466)-1)*SeasonAmp</f>
        <v/>
      </c>
      <c r="O1466" s="45">
        <f>IFERROR(INDEX(PSPct,MATCH(E1466&amp;"|"&amp;G1466,PSKey,0)),0)</f>
        <v/>
      </c>
      <c r="P1466" s="46">
        <f>INDEX(ChDoorVel,MATCH(E1466,ChName,0))*CalibScalar*(1+VelocityUplift)</f>
        <v/>
      </c>
      <c r="Q1466" s="46" t="n">
        <v>0</v>
      </c>
      <c r="R1466" s="46">
        <f>P1466*O1466*M1466*N1466*H1466</f>
        <v/>
      </c>
      <c r="S1466" s="46">
        <f>R1466*INDEX(FmtCansPerCase,MATCH(F1466,FmtName,0))</f>
        <v/>
      </c>
      <c r="T1466" s="46">
        <f>S1466/INDEX(FmtCansPerPack,MATCH(F1466,FmtName,0))</f>
        <v/>
      </c>
      <c r="U1466" s="47">
        <f>INDEX(ChBaseCP,MATCH(E1466,ChName,0))*(1+INDEX(ProvMod,MATCH(G1466,ProvCode,0)))*(1+PriceIndex)</f>
        <v/>
      </c>
      <c r="V1466" s="47">
        <f>R1466*U1466*INDEX(FmtBlendedPriceIdx,MATCH(F1466,FmtName,0))</f>
        <v/>
      </c>
      <c r="W1466" s="47">
        <f>T1466*INDEX(ProvSRP,MATCH(G1466,ProvCode,0))*(1+PriceIndex)</f>
        <v/>
      </c>
      <c r="X1466" s="47">
        <f>IF(GrossBasis="Wholesale",V1466,W1466)</f>
        <v/>
      </c>
      <c r="Y1466" s="47">
        <f>R1466*INDEX(FmtBlendedCogs,MATCH(F1466,FmtName,0))</f>
        <v/>
      </c>
      <c r="Z1466" s="47">
        <f>X1466-Y1466</f>
        <v/>
      </c>
    </row>
    <row r="1467">
      <c r="A1467" t="n">
        <v>35</v>
      </c>
      <c r="B1467" s="44">
        <f>FiscalStart+(A1467-1)*7</f>
        <v/>
      </c>
      <c r="C1467">
        <f>TEXT(B1467,"mmm yyyy")</f>
        <v/>
      </c>
      <c r="D1467">
        <f>"Q"&amp;(INT((A1467-1)/13)+1)</f>
        <v/>
      </c>
      <c r="E1467" t="inlineStr">
        <is>
          <t>Fitness</t>
        </is>
      </c>
      <c r="F1467">
        <f>IFERROR(INDEX(ChFormat,MATCH(E1467,ChName,0)),"")</f>
        <v/>
      </c>
      <c r="G1467" t="inlineStr">
        <is>
          <t>NS</t>
        </is>
      </c>
      <c r="H1467">
        <f>IF(A1467&lt;=NWeeks,1,0)</f>
        <v/>
      </c>
      <c r="I1467">
        <f>INDEX(ChLaunch,MATCH(E1467,ChName,0))</f>
        <v/>
      </c>
      <c r="J1467">
        <f>INDEX(ChWeeksFull,MATCH(E1467,ChName,0))</f>
        <v/>
      </c>
      <c r="K1467">
        <f>INDEX(ChRamp,MATCH(E1467,ChName,0))</f>
        <v/>
      </c>
      <c r="L1467" s="45">
        <f>MIN(1,MAX(0,(A1467-I1467+1)*RampSpeed/J1467))</f>
        <v/>
      </c>
      <c r="M1467" s="45">
        <f>IF(A1467&lt;I1467,0,IF(K1467="S-curve",L1467*L1467*(3-2*L1467),L1467))</f>
        <v/>
      </c>
      <c r="N1467" s="45">
        <f>1+(INDEX(SeasonIdx,A1467)-1)*SeasonAmp</f>
        <v/>
      </c>
      <c r="O1467" s="45">
        <f>IFERROR(INDEX(PSPct,MATCH(E1467&amp;"|"&amp;G1467,PSKey,0)),0)</f>
        <v/>
      </c>
      <c r="P1467" s="46">
        <f>INDEX(ChDoorVel,MATCH(E1467,ChName,0))*CalibScalar*(1+VelocityUplift)</f>
        <v/>
      </c>
      <c r="Q1467" s="46" t="n">
        <v>0</v>
      </c>
      <c r="R1467" s="46">
        <f>P1467*O1467*M1467*N1467*H1467</f>
        <v/>
      </c>
      <c r="S1467" s="46">
        <f>R1467*INDEX(FmtCansPerCase,MATCH(F1467,FmtName,0))</f>
        <v/>
      </c>
      <c r="T1467" s="46">
        <f>S1467/INDEX(FmtCansPerPack,MATCH(F1467,FmtName,0))</f>
        <v/>
      </c>
      <c r="U1467" s="47">
        <f>INDEX(ChBaseCP,MATCH(E1467,ChName,0))*(1+INDEX(ProvMod,MATCH(G1467,ProvCode,0)))*(1+PriceIndex)</f>
        <v/>
      </c>
      <c r="V1467" s="47">
        <f>R1467*U1467*INDEX(FmtBlendedPriceIdx,MATCH(F1467,FmtName,0))</f>
        <v/>
      </c>
      <c r="W1467" s="47">
        <f>T1467*INDEX(ProvSRP,MATCH(G1467,ProvCode,0))*(1+PriceIndex)</f>
        <v/>
      </c>
      <c r="X1467" s="47">
        <f>IF(GrossBasis="Wholesale",V1467,W1467)</f>
        <v/>
      </c>
      <c r="Y1467" s="47">
        <f>R1467*INDEX(FmtBlendedCogs,MATCH(F1467,FmtName,0))</f>
        <v/>
      </c>
      <c r="Z1467" s="47">
        <f>X1467-Y1467</f>
        <v/>
      </c>
    </row>
    <row r="1468">
      <c r="A1468" t="n">
        <v>36</v>
      </c>
      <c r="B1468" s="44">
        <f>FiscalStart+(A1468-1)*7</f>
        <v/>
      </c>
      <c r="C1468">
        <f>TEXT(B1468,"mmm yyyy")</f>
        <v/>
      </c>
      <c r="D1468">
        <f>"Q"&amp;(INT((A1468-1)/13)+1)</f>
        <v/>
      </c>
      <c r="E1468" t="inlineStr">
        <is>
          <t>Fitness</t>
        </is>
      </c>
      <c r="F1468">
        <f>IFERROR(INDEX(ChFormat,MATCH(E1468,ChName,0)),"")</f>
        <v/>
      </c>
      <c r="G1468" t="inlineStr">
        <is>
          <t>NS</t>
        </is>
      </c>
      <c r="H1468">
        <f>IF(A1468&lt;=NWeeks,1,0)</f>
        <v/>
      </c>
      <c r="I1468">
        <f>INDEX(ChLaunch,MATCH(E1468,ChName,0))</f>
        <v/>
      </c>
      <c r="J1468">
        <f>INDEX(ChWeeksFull,MATCH(E1468,ChName,0))</f>
        <v/>
      </c>
      <c r="K1468">
        <f>INDEX(ChRamp,MATCH(E1468,ChName,0))</f>
        <v/>
      </c>
      <c r="L1468" s="45">
        <f>MIN(1,MAX(0,(A1468-I1468+1)*RampSpeed/J1468))</f>
        <v/>
      </c>
      <c r="M1468" s="45">
        <f>IF(A1468&lt;I1468,0,IF(K1468="S-curve",L1468*L1468*(3-2*L1468),L1468))</f>
        <v/>
      </c>
      <c r="N1468" s="45">
        <f>1+(INDEX(SeasonIdx,A1468)-1)*SeasonAmp</f>
        <v/>
      </c>
      <c r="O1468" s="45">
        <f>IFERROR(INDEX(PSPct,MATCH(E1468&amp;"|"&amp;G1468,PSKey,0)),0)</f>
        <v/>
      </c>
      <c r="P1468" s="46">
        <f>INDEX(ChDoorVel,MATCH(E1468,ChName,0))*CalibScalar*(1+VelocityUplift)</f>
        <v/>
      </c>
      <c r="Q1468" s="46" t="n">
        <v>0</v>
      </c>
      <c r="R1468" s="46">
        <f>P1468*O1468*M1468*N1468*H1468</f>
        <v/>
      </c>
      <c r="S1468" s="46">
        <f>R1468*INDEX(FmtCansPerCase,MATCH(F1468,FmtName,0))</f>
        <v/>
      </c>
      <c r="T1468" s="46">
        <f>S1468/INDEX(FmtCansPerPack,MATCH(F1468,FmtName,0))</f>
        <v/>
      </c>
      <c r="U1468" s="47">
        <f>INDEX(ChBaseCP,MATCH(E1468,ChName,0))*(1+INDEX(ProvMod,MATCH(G1468,ProvCode,0)))*(1+PriceIndex)</f>
        <v/>
      </c>
      <c r="V1468" s="47">
        <f>R1468*U1468*INDEX(FmtBlendedPriceIdx,MATCH(F1468,FmtName,0))</f>
        <v/>
      </c>
      <c r="W1468" s="47">
        <f>T1468*INDEX(ProvSRP,MATCH(G1468,ProvCode,0))*(1+PriceIndex)</f>
        <v/>
      </c>
      <c r="X1468" s="47">
        <f>IF(GrossBasis="Wholesale",V1468,W1468)</f>
        <v/>
      </c>
      <c r="Y1468" s="47">
        <f>R1468*INDEX(FmtBlendedCogs,MATCH(F1468,FmtName,0))</f>
        <v/>
      </c>
      <c r="Z1468" s="47">
        <f>X1468-Y1468</f>
        <v/>
      </c>
    </row>
    <row r="1469">
      <c r="A1469" t="n">
        <v>37</v>
      </c>
      <c r="B1469" s="44">
        <f>FiscalStart+(A1469-1)*7</f>
        <v/>
      </c>
      <c r="C1469">
        <f>TEXT(B1469,"mmm yyyy")</f>
        <v/>
      </c>
      <c r="D1469">
        <f>"Q"&amp;(INT((A1469-1)/13)+1)</f>
        <v/>
      </c>
      <c r="E1469" t="inlineStr">
        <is>
          <t>Fitness</t>
        </is>
      </c>
      <c r="F1469">
        <f>IFERROR(INDEX(ChFormat,MATCH(E1469,ChName,0)),"")</f>
        <v/>
      </c>
      <c r="G1469" t="inlineStr">
        <is>
          <t>NS</t>
        </is>
      </c>
      <c r="H1469">
        <f>IF(A1469&lt;=NWeeks,1,0)</f>
        <v/>
      </c>
      <c r="I1469">
        <f>INDEX(ChLaunch,MATCH(E1469,ChName,0))</f>
        <v/>
      </c>
      <c r="J1469">
        <f>INDEX(ChWeeksFull,MATCH(E1469,ChName,0))</f>
        <v/>
      </c>
      <c r="K1469">
        <f>INDEX(ChRamp,MATCH(E1469,ChName,0))</f>
        <v/>
      </c>
      <c r="L1469" s="45">
        <f>MIN(1,MAX(0,(A1469-I1469+1)*RampSpeed/J1469))</f>
        <v/>
      </c>
      <c r="M1469" s="45">
        <f>IF(A1469&lt;I1469,0,IF(K1469="S-curve",L1469*L1469*(3-2*L1469),L1469))</f>
        <v/>
      </c>
      <c r="N1469" s="45">
        <f>1+(INDEX(SeasonIdx,A1469)-1)*SeasonAmp</f>
        <v/>
      </c>
      <c r="O1469" s="45">
        <f>IFERROR(INDEX(PSPct,MATCH(E1469&amp;"|"&amp;G1469,PSKey,0)),0)</f>
        <v/>
      </c>
      <c r="P1469" s="46">
        <f>INDEX(ChDoorVel,MATCH(E1469,ChName,0))*CalibScalar*(1+VelocityUplift)</f>
        <v/>
      </c>
      <c r="Q1469" s="46" t="n">
        <v>0</v>
      </c>
      <c r="R1469" s="46">
        <f>P1469*O1469*M1469*N1469*H1469</f>
        <v/>
      </c>
      <c r="S1469" s="46">
        <f>R1469*INDEX(FmtCansPerCase,MATCH(F1469,FmtName,0))</f>
        <v/>
      </c>
      <c r="T1469" s="46">
        <f>S1469/INDEX(FmtCansPerPack,MATCH(F1469,FmtName,0))</f>
        <v/>
      </c>
      <c r="U1469" s="47">
        <f>INDEX(ChBaseCP,MATCH(E1469,ChName,0))*(1+INDEX(ProvMod,MATCH(G1469,ProvCode,0)))*(1+PriceIndex)</f>
        <v/>
      </c>
      <c r="V1469" s="47">
        <f>R1469*U1469*INDEX(FmtBlendedPriceIdx,MATCH(F1469,FmtName,0))</f>
        <v/>
      </c>
      <c r="W1469" s="47">
        <f>T1469*INDEX(ProvSRP,MATCH(G1469,ProvCode,0))*(1+PriceIndex)</f>
        <v/>
      </c>
      <c r="X1469" s="47">
        <f>IF(GrossBasis="Wholesale",V1469,W1469)</f>
        <v/>
      </c>
      <c r="Y1469" s="47">
        <f>R1469*INDEX(FmtBlendedCogs,MATCH(F1469,FmtName,0))</f>
        <v/>
      </c>
      <c r="Z1469" s="47">
        <f>X1469-Y1469</f>
        <v/>
      </c>
    </row>
    <row r="1470">
      <c r="A1470" t="n">
        <v>38</v>
      </c>
      <c r="B1470" s="44">
        <f>FiscalStart+(A1470-1)*7</f>
        <v/>
      </c>
      <c r="C1470">
        <f>TEXT(B1470,"mmm yyyy")</f>
        <v/>
      </c>
      <c r="D1470">
        <f>"Q"&amp;(INT((A1470-1)/13)+1)</f>
        <v/>
      </c>
      <c r="E1470" t="inlineStr">
        <is>
          <t>Fitness</t>
        </is>
      </c>
      <c r="F1470">
        <f>IFERROR(INDEX(ChFormat,MATCH(E1470,ChName,0)),"")</f>
        <v/>
      </c>
      <c r="G1470" t="inlineStr">
        <is>
          <t>NS</t>
        </is>
      </c>
      <c r="H1470">
        <f>IF(A1470&lt;=NWeeks,1,0)</f>
        <v/>
      </c>
      <c r="I1470">
        <f>INDEX(ChLaunch,MATCH(E1470,ChName,0))</f>
        <v/>
      </c>
      <c r="J1470">
        <f>INDEX(ChWeeksFull,MATCH(E1470,ChName,0))</f>
        <v/>
      </c>
      <c r="K1470">
        <f>INDEX(ChRamp,MATCH(E1470,ChName,0))</f>
        <v/>
      </c>
      <c r="L1470" s="45">
        <f>MIN(1,MAX(0,(A1470-I1470+1)*RampSpeed/J1470))</f>
        <v/>
      </c>
      <c r="M1470" s="45">
        <f>IF(A1470&lt;I1470,0,IF(K1470="S-curve",L1470*L1470*(3-2*L1470),L1470))</f>
        <v/>
      </c>
      <c r="N1470" s="45">
        <f>1+(INDEX(SeasonIdx,A1470)-1)*SeasonAmp</f>
        <v/>
      </c>
      <c r="O1470" s="45">
        <f>IFERROR(INDEX(PSPct,MATCH(E1470&amp;"|"&amp;G1470,PSKey,0)),0)</f>
        <v/>
      </c>
      <c r="P1470" s="46">
        <f>INDEX(ChDoorVel,MATCH(E1470,ChName,0))*CalibScalar*(1+VelocityUplift)</f>
        <v/>
      </c>
      <c r="Q1470" s="46" t="n">
        <v>0</v>
      </c>
      <c r="R1470" s="46">
        <f>P1470*O1470*M1470*N1470*H1470</f>
        <v/>
      </c>
      <c r="S1470" s="46">
        <f>R1470*INDEX(FmtCansPerCase,MATCH(F1470,FmtName,0))</f>
        <v/>
      </c>
      <c r="T1470" s="46">
        <f>S1470/INDEX(FmtCansPerPack,MATCH(F1470,FmtName,0))</f>
        <v/>
      </c>
      <c r="U1470" s="47">
        <f>INDEX(ChBaseCP,MATCH(E1470,ChName,0))*(1+INDEX(ProvMod,MATCH(G1470,ProvCode,0)))*(1+PriceIndex)</f>
        <v/>
      </c>
      <c r="V1470" s="47">
        <f>R1470*U1470*INDEX(FmtBlendedPriceIdx,MATCH(F1470,FmtName,0))</f>
        <v/>
      </c>
      <c r="W1470" s="47">
        <f>T1470*INDEX(ProvSRP,MATCH(G1470,ProvCode,0))*(1+PriceIndex)</f>
        <v/>
      </c>
      <c r="X1470" s="47">
        <f>IF(GrossBasis="Wholesale",V1470,W1470)</f>
        <v/>
      </c>
      <c r="Y1470" s="47">
        <f>R1470*INDEX(FmtBlendedCogs,MATCH(F1470,FmtName,0))</f>
        <v/>
      </c>
      <c r="Z1470" s="47">
        <f>X1470-Y1470</f>
        <v/>
      </c>
    </row>
    <row r="1471">
      <c r="A1471" t="n">
        <v>39</v>
      </c>
      <c r="B1471" s="44">
        <f>FiscalStart+(A1471-1)*7</f>
        <v/>
      </c>
      <c r="C1471">
        <f>TEXT(B1471,"mmm yyyy")</f>
        <v/>
      </c>
      <c r="D1471">
        <f>"Q"&amp;(INT((A1471-1)/13)+1)</f>
        <v/>
      </c>
      <c r="E1471" t="inlineStr">
        <is>
          <t>Fitness</t>
        </is>
      </c>
      <c r="F1471">
        <f>IFERROR(INDEX(ChFormat,MATCH(E1471,ChName,0)),"")</f>
        <v/>
      </c>
      <c r="G1471" t="inlineStr">
        <is>
          <t>NS</t>
        </is>
      </c>
      <c r="H1471">
        <f>IF(A1471&lt;=NWeeks,1,0)</f>
        <v/>
      </c>
      <c r="I1471">
        <f>INDEX(ChLaunch,MATCH(E1471,ChName,0))</f>
        <v/>
      </c>
      <c r="J1471">
        <f>INDEX(ChWeeksFull,MATCH(E1471,ChName,0))</f>
        <v/>
      </c>
      <c r="K1471">
        <f>INDEX(ChRamp,MATCH(E1471,ChName,0))</f>
        <v/>
      </c>
      <c r="L1471" s="45">
        <f>MIN(1,MAX(0,(A1471-I1471+1)*RampSpeed/J1471))</f>
        <v/>
      </c>
      <c r="M1471" s="45">
        <f>IF(A1471&lt;I1471,0,IF(K1471="S-curve",L1471*L1471*(3-2*L1471),L1471))</f>
        <v/>
      </c>
      <c r="N1471" s="45">
        <f>1+(INDEX(SeasonIdx,A1471)-1)*SeasonAmp</f>
        <v/>
      </c>
      <c r="O1471" s="45">
        <f>IFERROR(INDEX(PSPct,MATCH(E1471&amp;"|"&amp;G1471,PSKey,0)),0)</f>
        <v/>
      </c>
      <c r="P1471" s="46">
        <f>INDEX(ChDoorVel,MATCH(E1471,ChName,0))*CalibScalar*(1+VelocityUplift)</f>
        <v/>
      </c>
      <c r="Q1471" s="46" t="n">
        <v>0</v>
      </c>
      <c r="R1471" s="46">
        <f>P1471*O1471*M1471*N1471*H1471</f>
        <v/>
      </c>
      <c r="S1471" s="46">
        <f>R1471*INDEX(FmtCansPerCase,MATCH(F1471,FmtName,0))</f>
        <v/>
      </c>
      <c r="T1471" s="46">
        <f>S1471/INDEX(FmtCansPerPack,MATCH(F1471,FmtName,0))</f>
        <v/>
      </c>
      <c r="U1471" s="47">
        <f>INDEX(ChBaseCP,MATCH(E1471,ChName,0))*(1+INDEX(ProvMod,MATCH(G1471,ProvCode,0)))*(1+PriceIndex)</f>
        <v/>
      </c>
      <c r="V1471" s="47">
        <f>R1471*U1471*INDEX(FmtBlendedPriceIdx,MATCH(F1471,FmtName,0))</f>
        <v/>
      </c>
      <c r="W1471" s="47">
        <f>T1471*INDEX(ProvSRP,MATCH(G1471,ProvCode,0))*(1+PriceIndex)</f>
        <v/>
      </c>
      <c r="X1471" s="47">
        <f>IF(GrossBasis="Wholesale",V1471,W1471)</f>
        <v/>
      </c>
      <c r="Y1471" s="47">
        <f>R1471*INDEX(FmtBlendedCogs,MATCH(F1471,FmtName,0))</f>
        <v/>
      </c>
      <c r="Z1471" s="47">
        <f>X1471-Y1471</f>
        <v/>
      </c>
    </row>
    <row r="1472">
      <c r="A1472" t="n">
        <v>40</v>
      </c>
      <c r="B1472" s="44">
        <f>FiscalStart+(A1472-1)*7</f>
        <v/>
      </c>
      <c r="C1472">
        <f>TEXT(B1472,"mmm yyyy")</f>
        <v/>
      </c>
      <c r="D1472">
        <f>"Q"&amp;(INT((A1472-1)/13)+1)</f>
        <v/>
      </c>
      <c r="E1472" t="inlineStr">
        <is>
          <t>Fitness</t>
        </is>
      </c>
      <c r="F1472">
        <f>IFERROR(INDEX(ChFormat,MATCH(E1472,ChName,0)),"")</f>
        <v/>
      </c>
      <c r="G1472" t="inlineStr">
        <is>
          <t>NS</t>
        </is>
      </c>
      <c r="H1472">
        <f>IF(A1472&lt;=NWeeks,1,0)</f>
        <v/>
      </c>
      <c r="I1472">
        <f>INDEX(ChLaunch,MATCH(E1472,ChName,0))</f>
        <v/>
      </c>
      <c r="J1472">
        <f>INDEX(ChWeeksFull,MATCH(E1472,ChName,0))</f>
        <v/>
      </c>
      <c r="K1472">
        <f>INDEX(ChRamp,MATCH(E1472,ChName,0))</f>
        <v/>
      </c>
      <c r="L1472" s="45">
        <f>MIN(1,MAX(0,(A1472-I1472+1)*RampSpeed/J1472))</f>
        <v/>
      </c>
      <c r="M1472" s="45">
        <f>IF(A1472&lt;I1472,0,IF(K1472="S-curve",L1472*L1472*(3-2*L1472),L1472))</f>
        <v/>
      </c>
      <c r="N1472" s="45">
        <f>1+(INDEX(SeasonIdx,A1472)-1)*SeasonAmp</f>
        <v/>
      </c>
      <c r="O1472" s="45">
        <f>IFERROR(INDEX(PSPct,MATCH(E1472&amp;"|"&amp;G1472,PSKey,0)),0)</f>
        <v/>
      </c>
      <c r="P1472" s="46">
        <f>INDEX(ChDoorVel,MATCH(E1472,ChName,0))*CalibScalar*(1+VelocityUplift)</f>
        <v/>
      </c>
      <c r="Q1472" s="46" t="n">
        <v>0</v>
      </c>
      <c r="R1472" s="46">
        <f>P1472*O1472*M1472*N1472*H1472</f>
        <v/>
      </c>
      <c r="S1472" s="46">
        <f>R1472*INDEX(FmtCansPerCase,MATCH(F1472,FmtName,0))</f>
        <v/>
      </c>
      <c r="T1472" s="46">
        <f>S1472/INDEX(FmtCansPerPack,MATCH(F1472,FmtName,0))</f>
        <v/>
      </c>
      <c r="U1472" s="47">
        <f>INDEX(ChBaseCP,MATCH(E1472,ChName,0))*(1+INDEX(ProvMod,MATCH(G1472,ProvCode,0)))*(1+PriceIndex)</f>
        <v/>
      </c>
      <c r="V1472" s="47">
        <f>R1472*U1472*INDEX(FmtBlendedPriceIdx,MATCH(F1472,FmtName,0))</f>
        <v/>
      </c>
      <c r="W1472" s="47">
        <f>T1472*INDEX(ProvSRP,MATCH(G1472,ProvCode,0))*(1+PriceIndex)</f>
        <v/>
      </c>
      <c r="X1472" s="47">
        <f>IF(GrossBasis="Wholesale",V1472,W1472)</f>
        <v/>
      </c>
      <c r="Y1472" s="47">
        <f>R1472*INDEX(FmtBlendedCogs,MATCH(F1472,FmtName,0))</f>
        <v/>
      </c>
      <c r="Z1472" s="47">
        <f>X1472-Y1472</f>
        <v/>
      </c>
    </row>
    <row r="1473">
      <c r="A1473" t="n">
        <v>41</v>
      </c>
      <c r="B1473" s="44">
        <f>FiscalStart+(A1473-1)*7</f>
        <v/>
      </c>
      <c r="C1473">
        <f>TEXT(B1473,"mmm yyyy")</f>
        <v/>
      </c>
      <c r="D1473">
        <f>"Q"&amp;(INT((A1473-1)/13)+1)</f>
        <v/>
      </c>
      <c r="E1473" t="inlineStr">
        <is>
          <t>Fitness</t>
        </is>
      </c>
      <c r="F1473">
        <f>IFERROR(INDEX(ChFormat,MATCH(E1473,ChName,0)),"")</f>
        <v/>
      </c>
      <c r="G1473" t="inlineStr">
        <is>
          <t>NS</t>
        </is>
      </c>
      <c r="H1473">
        <f>IF(A1473&lt;=NWeeks,1,0)</f>
        <v/>
      </c>
      <c r="I1473">
        <f>INDEX(ChLaunch,MATCH(E1473,ChName,0))</f>
        <v/>
      </c>
      <c r="J1473">
        <f>INDEX(ChWeeksFull,MATCH(E1473,ChName,0))</f>
        <v/>
      </c>
      <c r="K1473">
        <f>INDEX(ChRamp,MATCH(E1473,ChName,0))</f>
        <v/>
      </c>
      <c r="L1473" s="45">
        <f>MIN(1,MAX(0,(A1473-I1473+1)*RampSpeed/J1473))</f>
        <v/>
      </c>
      <c r="M1473" s="45">
        <f>IF(A1473&lt;I1473,0,IF(K1473="S-curve",L1473*L1473*(3-2*L1473),L1473))</f>
        <v/>
      </c>
      <c r="N1473" s="45">
        <f>1+(INDEX(SeasonIdx,A1473)-1)*SeasonAmp</f>
        <v/>
      </c>
      <c r="O1473" s="45">
        <f>IFERROR(INDEX(PSPct,MATCH(E1473&amp;"|"&amp;G1473,PSKey,0)),0)</f>
        <v/>
      </c>
      <c r="P1473" s="46">
        <f>INDEX(ChDoorVel,MATCH(E1473,ChName,0))*CalibScalar*(1+VelocityUplift)</f>
        <v/>
      </c>
      <c r="Q1473" s="46" t="n">
        <v>0</v>
      </c>
      <c r="R1473" s="46">
        <f>P1473*O1473*M1473*N1473*H1473</f>
        <v/>
      </c>
      <c r="S1473" s="46">
        <f>R1473*INDEX(FmtCansPerCase,MATCH(F1473,FmtName,0))</f>
        <v/>
      </c>
      <c r="T1473" s="46">
        <f>S1473/INDEX(FmtCansPerPack,MATCH(F1473,FmtName,0))</f>
        <v/>
      </c>
      <c r="U1473" s="47">
        <f>INDEX(ChBaseCP,MATCH(E1473,ChName,0))*(1+INDEX(ProvMod,MATCH(G1473,ProvCode,0)))*(1+PriceIndex)</f>
        <v/>
      </c>
      <c r="V1473" s="47">
        <f>R1473*U1473*INDEX(FmtBlendedPriceIdx,MATCH(F1473,FmtName,0))</f>
        <v/>
      </c>
      <c r="W1473" s="47">
        <f>T1473*INDEX(ProvSRP,MATCH(G1473,ProvCode,0))*(1+PriceIndex)</f>
        <v/>
      </c>
      <c r="X1473" s="47">
        <f>IF(GrossBasis="Wholesale",V1473,W1473)</f>
        <v/>
      </c>
      <c r="Y1473" s="47">
        <f>R1473*INDEX(FmtBlendedCogs,MATCH(F1473,FmtName,0))</f>
        <v/>
      </c>
      <c r="Z1473" s="47">
        <f>X1473-Y1473</f>
        <v/>
      </c>
    </row>
    <row r="1474">
      <c r="A1474" t="n">
        <v>42</v>
      </c>
      <c r="B1474" s="44">
        <f>FiscalStart+(A1474-1)*7</f>
        <v/>
      </c>
      <c r="C1474">
        <f>TEXT(B1474,"mmm yyyy")</f>
        <v/>
      </c>
      <c r="D1474">
        <f>"Q"&amp;(INT((A1474-1)/13)+1)</f>
        <v/>
      </c>
      <c r="E1474" t="inlineStr">
        <is>
          <t>Fitness</t>
        </is>
      </c>
      <c r="F1474">
        <f>IFERROR(INDEX(ChFormat,MATCH(E1474,ChName,0)),"")</f>
        <v/>
      </c>
      <c r="G1474" t="inlineStr">
        <is>
          <t>NS</t>
        </is>
      </c>
      <c r="H1474">
        <f>IF(A1474&lt;=NWeeks,1,0)</f>
        <v/>
      </c>
      <c r="I1474">
        <f>INDEX(ChLaunch,MATCH(E1474,ChName,0))</f>
        <v/>
      </c>
      <c r="J1474">
        <f>INDEX(ChWeeksFull,MATCH(E1474,ChName,0))</f>
        <v/>
      </c>
      <c r="K1474">
        <f>INDEX(ChRamp,MATCH(E1474,ChName,0))</f>
        <v/>
      </c>
      <c r="L1474" s="45">
        <f>MIN(1,MAX(0,(A1474-I1474+1)*RampSpeed/J1474))</f>
        <v/>
      </c>
      <c r="M1474" s="45">
        <f>IF(A1474&lt;I1474,0,IF(K1474="S-curve",L1474*L1474*(3-2*L1474),L1474))</f>
        <v/>
      </c>
      <c r="N1474" s="45">
        <f>1+(INDEX(SeasonIdx,A1474)-1)*SeasonAmp</f>
        <v/>
      </c>
      <c r="O1474" s="45">
        <f>IFERROR(INDEX(PSPct,MATCH(E1474&amp;"|"&amp;G1474,PSKey,0)),0)</f>
        <v/>
      </c>
      <c r="P1474" s="46">
        <f>INDEX(ChDoorVel,MATCH(E1474,ChName,0))*CalibScalar*(1+VelocityUplift)</f>
        <v/>
      </c>
      <c r="Q1474" s="46" t="n">
        <v>0</v>
      </c>
      <c r="R1474" s="46">
        <f>P1474*O1474*M1474*N1474*H1474</f>
        <v/>
      </c>
      <c r="S1474" s="46">
        <f>R1474*INDEX(FmtCansPerCase,MATCH(F1474,FmtName,0))</f>
        <v/>
      </c>
      <c r="T1474" s="46">
        <f>S1474/INDEX(FmtCansPerPack,MATCH(F1474,FmtName,0))</f>
        <v/>
      </c>
      <c r="U1474" s="47">
        <f>INDEX(ChBaseCP,MATCH(E1474,ChName,0))*(1+INDEX(ProvMod,MATCH(G1474,ProvCode,0)))*(1+PriceIndex)</f>
        <v/>
      </c>
      <c r="V1474" s="47">
        <f>R1474*U1474*INDEX(FmtBlendedPriceIdx,MATCH(F1474,FmtName,0))</f>
        <v/>
      </c>
      <c r="W1474" s="47">
        <f>T1474*INDEX(ProvSRP,MATCH(G1474,ProvCode,0))*(1+PriceIndex)</f>
        <v/>
      </c>
      <c r="X1474" s="47">
        <f>IF(GrossBasis="Wholesale",V1474,W1474)</f>
        <v/>
      </c>
      <c r="Y1474" s="47">
        <f>R1474*INDEX(FmtBlendedCogs,MATCH(F1474,FmtName,0))</f>
        <v/>
      </c>
      <c r="Z1474" s="47">
        <f>X1474-Y1474</f>
        <v/>
      </c>
    </row>
    <row r="1475">
      <c r="A1475" t="n">
        <v>43</v>
      </c>
      <c r="B1475" s="44">
        <f>FiscalStart+(A1475-1)*7</f>
        <v/>
      </c>
      <c r="C1475">
        <f>TEXT(B1475,"mmm yyyy")</f>
        <v/>
      </c>
      <c r="D1475">
        <f>"Q"&amp;(INT((A1475-1)/13)+1)</f>
        <v/>
      </c>
      <c r="E1475" t="inlineStr">
        <is>
          <t>Fitness</t>
        </is>
      </c>
      <c r="F1475">
        <f>IFERROR(INDEX(ChFormat,MATCH(E1475,ChName,0)),"")</f>
        <v/>
      </c>
      <c r="G1475" t="inlineStr">
        <is>
          <t>NS</t>
        </is>
      </c>
      <c r="H1475">
        <f>IF(A1475&lt;=NWeeks,1,0)</f>
        <v/>
      </c>
      <c r="I1475">
        <f>INDEX(ChLaunch,MATCH(E1475,ChName,0))</f>
        <v/>
      </c>
      <c r="J1475">
        <f>INDEX(ChWeeksFull,MATCH(E1475,ChName,0))</f>
        <v/>
      </c>
      <c r="K1475">
        <f>INDEX(ChRamp,MATCH(E1475,ChName,0))</f>
        <v/>
      </c>
      <c r="L1475" s="45">
        <f>MIN(1,MAX(0,(A1475-I1475+1)*RampSpeed/J1475))</f>
        <v/>
      </c>
      <c r="M1475" s="45">
        <f>IF(A1475&lt;I1475,0,IF(K1475="S-curve",L1475*L1475*(3-2*L1475),L1475))</f>
        <v/>
      </c>
      <c r="N1475" s="45">
        <f>1+(INDEX(SeasonIdx,A1475)-1)*SeasonAmp</f>
        <v/>
      </c>
      <c r="O1475" s="45">
        <f>IFERROR(INDEX(PSPct,MATCH(E1475&amp;"|"&amp;G1475,PSKey,0)),0)</f>
        <v/>
      </c>
      <c r="P1475" s="46">
        <f>INDEX(ChDoorVel,MATCH(E1475,ChName,0))*CalibScalar*(1+VelocityUplift)</f>
        <v/>
      </c>
      <c r="Q1475" s="46" t="n">
        <v>0</v>
      </c>
      <c r="R1475" s="46">
        <f>P1475*O1475*M1475*N1475*H1475</f>
        <v/>
      </c>
      <c r="S1475" s="46">
        <f>R1475*INDEX(FmtCansPerCase,MATCH(F1475,FmtName,0))</f>
        <v/>
      </c>
      <c r="T1475" s="46">
        <f>S1475/INDEX(FmtCansPerPack,MATCH(F1475,FmtName,0))</f>
        <v/>
      </c>
      <c r="U1475" s="47">
        <f>INDEX(ChBaseCP,MATCH(E1475,ChName,0))*(1+INDEX(ProvMod,MATCH(G1475,ProvCode,0)))*(1+PriceIndex)</f>
        <v/>
      </c>
      <c r="V1475" s="47">
        <f>R1475*U1475*INDEX(FmtBlendedPriceIdx,MATCH(F1475,FmtName,0))</f>
        <v/>
      </c>
      <c r="W1475" s="47">
        <f>T1475*INDEX(ProvSRP,MATCH(G1475,ProvCode,0))*(1+PriceIndex)</f>
        <v/>
      </c>
      <c r="X1475" s="47">
        <f>IF(GrossBasis="Wholesale",V1475,W1475)</f>
        <v/>
      </c>
      <c r="Y1475" s="47">
        <f>R1475*INDEX(FmtBlendedCogs,MATCH(F1475,FmtName,0))</f>
        <v/>
      </c>
      <c r="Z1475" s="47">
        <f>X1475-Y1475</f>
        <v/>
      </c>
    </row>
    <row r="1476">
      <c r="A1476" t="n">
        <v>44</v>
      </c>
      <c r="B1476" s="44">
        <f>FiscalStart+(A1476-1)*7</f>
        <v/>
      </c>
      <c r="C1476">
        <f>TEXT(B1476,"mmm yyyy")</f>
        <v/>
      </c>
      <c r="D1476">
        <f>"Q"&amp;(INT((A1476-1)/13)+1)</f>
        <v/>
      </c>
      <c r="E1476" t="inlineStr">
        <is>
          <t>Fitness</t>
        </is>
      </c>
      <c r="F1476">
        <f>IFERROR(INDEX(ChFormat,MATCH(E1476,ChName,0)),"")</f>
        <v/>
      </c>
      <c r="G1476" t="inlineStr">
        <is>
          <t>NS</t>
        </is>
      </c>
      <c r="H1476">
        <f>IF(A1476&lt;=NWeeks,1,0)</f>
        <v/>
      </c>
      <c r="I1476">
        <f>INDEX(ChLaunch,MATCH(E1476,ChName,0))</f>
        <v/>
      </c>
      <c r="J1476">
        <f>INDEX(ChWeeksFull,MATCH(E1476,ChName,0))</f>
        <v/>
      </c>
      <c r="K1476">
        <f>INDEX(ChRamp,MATCH(E1476,ChName,0))</f>
        <v/>
      </c>
      <c r="L1476" s="45">
        <f>MIN(1,MAX(0,(A1476-I1476+1)*RampSpeed/J1476))</f>
        <v/>
      </c>
      <c r="M1476" s="45">
        <f>IF(A1476&lt;I1476,0,IF(K1476="S-curve",L1476*L1476*(3-2*L1476),L1476))</f>
        <v/>
      </c>
      <c r="N1476" s="45">
        <f>1+(INDEX(SeasonIdx,A1476)-1)*SeasonAmp</f>
        <v/>
      </c>
      <c r="O1476" s="45">
        <f>IFERROR(INDEX(PSPct,MATCH(E1476&amp;"|"&amp;G1476,PSKey,0)),0)</f>
        <v/>
      </c>
      <c r="P1476" s="46">
        <f>INDEX(ChDoorVel,MATCH(E1476,ChName,0))*CalibScalar*(1+VelocityUplift)</f>
        <v/>
      </c>
      <c r="Q1476" s="46" t="n">
        <v>0</v>
      </c>
      <c r="R1476" s="46">
        <f>P1476*O1476*M1476*N1476*H1476</f>
        <v/>
      </c>
      <c r="S1476" s="46">
        <f>R1476*INDEX(FmtCansPerCase,MATCH(F1476,FmtName,0))</f>
        <v/>
      </c>
      <c r="T1476" s="46">
        <f>S1476/INDEX(FmtCansPerPack,MATCH(F1476,FmtName,0))</f>
        <v/>
      </c>
      <c r="U1476" s="47">
        <f>INDEX(ChBaseCP,MATCH(E1476,ChName,0))*(1+INDEX(ProvMod,MATCH(G1476,ProvCode,0)))*(1+PriceIndex)</f>
        <v/>
      </c>
      <c r="V1476" s="47">
        <f>R1476*U1476*INDEX(FmtBlendedPriceIdx,MATCH(F1476,FmtName,0))</f>
        <v/>
      </c>
      <c r="W1476" s="47">
        <f>T1476*INDEX(ProvSRP,MATCH(G1476,ProvCode,0))*(1+PriceIndex)</f>
        <v/>
      </c>
      <c r="X1476" s="47">
        <f>IF(GrossBasis="Wholesale",V1476,W1476)</f>
        <v/>
      </c>
      <c r="Y1476" s="47">
        <f>R1476*INDEX(FmtBlendedCogs,MATCH(F1476,FmtName,0))</f>
        <v/>
      </c>
      <c r="Z1476" s="47">
        <f>X1476-Y1476</f>
        <v/>
      </c>
    </row>
    <row r="1477">
      <c r="A1477" t="n">
        <v>45</v>
      </c>
      <c r="B1477" s="44">
        <f>FiscalStart+(A1477-1)*7</f>
        <v/>
      </c>
      <c r="C1477">
        <f>TEXT(B1477,"mmm yyyy")</f>
        <v/>
      </c>
      <c r="D1477">
        <f>"Q"&amp;(INT((A1477-1)/13)+1)</f>
        <v/>
      </c>
      <c r="E1477" t="inlineStr">
        <is>
          <t>Fitness</t>
        </is>
      </c>
      <c r="F1477">
        <f>IFERROR(INDEX(ChFormat,MATCH(E1477,ChName,0)),"")</f>
        <v/>
      </c>
      <c r="G1477" t="inlineStr">
        <is>
          <t>NS</t>
        </is>
      </c>
      <c r="H1477">
        <f>IF(A1477&lt;=NWeeks,1,0)</f>
        <v/>
      </c>
      <c r="I1477">
        <f>INDEX(ChLaunch,MATCH(E1477,ChName,0))</f>
        <v/>
      </c>
      <c r="J1477">
        <f>INDEX(ChWeeksFull,MATCH(E1477,ChName,0))</f>
        <v/>
      </c>
      <c r="K1477">
        <f>INDEX(ChRamp,MATCH(E1477,ChName,0))</f>
        <v/>
      </c>
      <c r="L1477" s="45">
        <f>MIN(1,MAX(0,(A1477-I1477+1)*RampSpeed/J1477))</f>
        <v/>
      </c>
      <c r="M1477" s="45">
        <f>IF(A1477&lt;I1477,0,IF(K1477="S-curve",L1477*L1477*(3-2*L1477),L1477))</f>
        <v/>
      </c>
      <c r="N1477" s="45">
        <f>1+(INDEX(SeasonIdx,A1477)-1)*SeasonAmp</f>
        <v/>
      </c>
      <c r="O1477" s="45">
        <f>IFERROR(INDEX(PSPct,MATCH(E1477&amp;"|"&amp;G1477,PSKey,0)),0)</f>
        <v/>
      </c>
      <c r="P1477" s="46">
        <f>INDEX(ChDoorVel,MATCH(E1477,ChName,0))*CalibScalar*(1+VelocityUplift)</f>
        <v/>
      </c>
      <c r="Q1477" s="46" t="n">
        <v>0</v>
      </c>
      <c r="R1477" s="46">
        <f>P1477*O1477*M1477*N1477*H1477</f>
        <v/>
      </c>
      <c r="S1477" s="46">
        <f>R1477*INDEX(FmtCansPerCase,MATCH(F1477,FmtName,0))</f>
        <v/>
      </c>
      <c r="T1477" s="46">
        <f>S1477/INDEX(FmtCansPerPack,MATCH(F1477,FmtName,0))</f>
        <v/>
      </c>
      <c r="U1477" s="47">
        <f>INDEX(ChBaseCP,MATCH(E1477,ChName,0))*(1+INDEX(ProvMod,MATCH(G1477,ProvCode,0)))*(1+PriceIndex)</f>
        <v/>
      </c>
      <c r="V1477" s="47">
        <f>R1477*U1477*INDEX(FmtBlendedPriceIdx,MATCH(F1477,FmtName,0))</f>
        <v/>
      </c>
      <c r="W1477" s="47">
        <f>T1477*INDEX(ProvSRP,MATCH(G1477,ProvCode,0))*(1+PriceIndex)</f>
        <v/>
      </c>
      <c r="X1477" s="47">
        <f>IF(GrossBasis="Wholesale",V1477,W1477)</f>
        <v/>
      </c>
      <c r="Y1477" s="47">
        <f>R1477*INDEX(FmtBlendedCogs,MATCH(F1477,FmtName,0))</f>
        <v/>
      </c>
      <c r="Z1477" s="47">
        <f>X1477-Y1477</f>
        <v/>
      </c>
    </row>
    <row r="1478">
      <c r="A1478" t="n">
        <v>46</v>
      </c>
      <c r="B1478" s="44">
        <f>FiscalStart+(A1478-1)*7</f>
        <v/>
      </c>
      <c r="C1478">
        <f>TEXT(B1478,"mmm yyyy")</f>
        <v/>
      </c>
      <c r="D1478">
        <f>"Q"&amp;(INT((A1478-1)/13)+1)</f>
        <v/>
      </c>
      <c r="E1478" t="inlineStr">
        <is>
          <t>Fitness</t>
        </is>
      </c>
      <c r="F1478">
        <f>IFERROR(INDEX(ChFormat,MATCH(E1478,ChName,0)),"")</f>
        <v/>
      </c>
      <c r="G1478" t="inlineStr">
        <is>
          <t>NS</t>
        </is>
      </c>
      <c r="H1478">
        <f>IF(A1478&lt;=NWeeks,1,0)</f>
        <v/>
      </c>
      <c r="I1478">
        <f>INDEX(ChLaunch,MATCH(E1478,ChName,0))</f>
        <v/>
      </c>
      <c r="J1478">
        <f>INDEX(ChWeeksFull,MATCH(E1478,ChName,0))</f>
        <v/>
      </c>
      <c r="K1478">
        <f>INDEX(ChRamp,MATCH(E1478,ChName,0))</f>
        <v/>
      </c>
      <c r="L1478" s="45">
        <f>MIN(1,MAX(0,(A1478-I1478+1)*RampSpeed/J1478))</f>
        <v/>
      </c>
      <c r="M1478" s="45">
        <f>IF(A1478&lt;I1478,0,IF(K1478="S-curve",L1478*L1478*(3-2*L1478),L1478))</f>
        <v/>
      </c>
      <c r="N1478" s="45">
        <f>1+(INDEX(SeasonIdx,A1478)-1)*SeasonAmp</f>
        <v/>
      </c>
      <c r="O1478" s="45">
        <f>IFERROR(INDEX(PSPct,MATCH(E1478&amp;"|"&amp;G1478,PSKey,0)),0)</f>
        <v/>
      </c>
      <c r="P1478" s="46">
        <f>INDEX(ChDoorVel,MATCH(E1478,ChName,0))*CalibScalar*(1+VelocityUplift)</f>
        <v/>
      </c>
      <c r="Q1478" s="46" t="n">
        <v>0</v>
      </c>
      <c r="R1478" s="46">
        <f>P1478*O1478*M1478*N1478*H1478</f>
        <v/>
      </c>
      <c r="S1478" s="46">
        <f>R1478*INDEX(FmtCansPerCase,MATCH(F1478,FmtName,0))</f>
        <v/>
      </c>
      <c r="T1478" s="46">
        <f>S1478/INDEX(FmtCansPerPack,MATCH(F1478,FmtName,0))</f>
        <v/>
      </c>
      <c r="U1478" s="47">
        <f>INDEX(ChBaseCP,MATCH(E1478,ChName,0))*(1+INDEX(ProvMod,MATCH(G1478,ProvCode,0)))*(1+PriceIndex)</f>
        <v/>
      </c>
      <c r="V1478" s="47">
        <f>R1478*U1478*INDEX(FmtBlendedPriceIdx,MATCH(F1478,FmtName,0))</f>
        <v/>
      </c>
      <c r="W1478" s="47">
        <f>T1478*INDEX(ProvSRP,MATCH(G1478,ProvCode,0))*(1+PriceIndex)</f>
        <v/>
      </c>
      <c r="X1478" s="47">
        <f>IF(GrossBasis="Wholesale",V1478,W1478)</f>
        <v/>
      </c>
      <c r="Y1478" s="47">
        <f>R1478*INDEX(FmtBlendedCogs,MATCH(F1478,FmtName,0))</f>
        <v/>
      </c>
      <c r="Z1478" s="47">
        <f>X1478-Y1478</f>
        <v/>
      </c>
    </row>
    <row r="1479">
      <c r="A1479" t="n">
        <v>47</v>
      </c>
      <c r="B1479" s="44">
        <f>FiscalStart+(A1479-1)*7</f>
        <v/>
      </c>
      <c r="C1479">
        <f>TEXT(B1479,"mmm yyyy")</f>
        <v/>
      </c>
      <c r="D1479">
        <f>"Q"&amp;(INT((A1479-1)/13)+1)</f>
        <v/>
      </c>
      <c r="E1479" t="inlineStr">
        <is>
          <t>Fitness</t>
        </is>
      </c>
      <c r="F1479">
        <f>IFERROR(INDEX(ChFormat,MATCH(E1479,ChName,0)),"")</f>
        <v/>
      </c>
      <c r="G1479" t="inlineStr">
        <is>
          <t>NS</t>
        </is>
      </c>
      <c r="H1479">
        <f>IF(A1479&lt;=NWeeks,1,0)</f>
        <v/>
      </c>
      <c r="I1479">
        <f>INDEX(ChLaunch,MATCH(E1479,ChName,0))</f>
        <v/>
      </c>
      <c r="J1479">
        <f>INDEX(ChWeeksFull,MATCH(E1479,ChName,0))</f>
        <v/>
      </c>
      <c r="K1479">
        <f>INDEX(ChRamp,MATCH(E1479,ChName,0))</f>
        <v/>
      </c>
      <c r="L1479" s="45">
        <f>MIN(1,MAX(0,(A1479-I1479+1)*RampSpeed/J1479))</f>
        <v/>
      </c>
      <c r="M1479" s="45">
        <f>IF(A1479&lt;I1479,0,IF(K1479="S-curve",L1479*L1479*(3-2*L1479),L1479))</f>
        <v/>
      </c>
      <c r="N1479" s="45">
        <f>1+(INDEX(SeasonIdx,A1479)-1)*SeasonAmp</f>
        <v/>
      </c>
      <c r="O1479" s="45">
        <f>IFERROR(INDEX(PSPct,MATCH(E1479&amp;"|"&amp;G1479,PSKey,0)),0)</f>
        <v/>
      </c>
      <c r="P1479" s="46">
        <f>INDEX(ChDoorVel,MATCH(E1479,ChName,0))*CalibScalar*(1+VelocityUplift)</f>
        <v/>
      </c>
      <c r="Q1479" s="46" t="n">
        <v>0</v>
      </c>
      <c r="R1479" s="46">
        <f>P1479*O1479*M1479*N1479*H1479</f>
        <v/>
      </c>
      <c r="S1479" s="46">
        <f>R1479*INDEX(FmtCansPerCase,MATCH(F1479,FmtName,0))</f>
        <v/>
      </c>
      <c r="T1479" s="46">
        <f>S1479/INDEX(FmtCansPerPack,MATCH(F1479,FmtName,0))</f>
        <v/>
      </c>
      <c r="U1479" s="47">
        <f>INDEX(ChBaseCP,MATCH(E1479,ChName,0))*(1+INDEX(ProvMod,MATCH(G1479,ProvCode,0)))*(1+PriceIndex)</f>
        <v/>
      </c>
      <c r="V1479" s="47">
        <f>R1479*U1479*INDEX(FmtBlendedPriceIdx,MATCH(F1479,FmtName,0))</f>
        <v/>
      </c>
      <c r="W1479" s="47">
        <f>T1479*INDEX(ProvSRP,MATCH(G1479,ProvCode,0))*(1+PriceIndex)</f>
        <v/>
      </c>
      <c r="X1479" s="47">
        <f>IF(GrossBasis="Wholesale",V1479,W1479)</f>
        <v/>
      </c>
      <c r="Y1479" s="47">
        <f>R1479*INDEX(FmtBlendedCogs,MATCH(F1479,FmtName,0))</f>
        <v/>
      </c>
      <c r="Z1479" s="47">
        <f>X1479-Y1479</f>
        <v/>
      </c>
    </row>
    <row r="1480">
      <c r="A1480" t="n">
        <v>48</v>
      </c>
      <c r="B1480" s="44">
        <f>FiscalStart+(A1480-1)*7</f>
        <v/>
      </c>
      <c r="C1480">
        <f>TEXT(B1480,"mmm yyyy")</f>
        <v/>
      </c>
      <c r="D1480">
        <f>"Q"&amp;(INT((A1480-1)/13)+1)</f>
        <v/>
      </c>
      <c r="E1480" t="inlineStr">
        <is>
          <t>Fitness</t>
        </is>
      </c>
      <c r="F1480">
        <f>IFERROR(INDEX(ChFormat,MATCH(E1480,ChName,0)),"")</f>
        <v/>
      </c>
      <c r="G1480" t="inlineStr">
        <is>
          <t>NS</t>
        </is>
      </c>
      <c r="H1480">
        <f>IF(A1480&lt;=NWeeks,1,0)</f>
        <v/>
      </c>
      <c r="I1480">
        <f>INDEX(ChLaunch,MATCH(E1480,ChName,0))</f>
        <v/>
      </c>
      <c r="J1480">
        <f>INDEX(ChWeeksFull,MATCH(E1480,ChName,0))</f>
        <v/>
      </c>
      <c r="K1480">
        <f>INDEX(ChRamp,MATCH(E1480,ChName,0))</f>
        <v/>
      </c>
      <c r="L1480" s="45">
        <f>MIN(1,MAX(0,(A1480-I1480+1)*RampSpeed/J1480))</f>
        <v/>
      </c>
      <c r="M1480" s="45">
        <f>IF(A1480&lt;I1480,0,IF(K1480="S-curve",L1480*L1480*(3-2*L1480),L1480))</f>
        <v/>
      </c>
      <c r="N1480" s="45">
        <f>1+(INDEX(SeasonIdx,A1480)-1)*SeasonAmp</f>
        <v/>
      </c>
      <c r="O1480" s="45">
        <f>IFERROR(INDEX(PSPct,MATCH(E1480&amp;"|"&amp;G1480,PSKey,0)),0)</f>
        <v/>
      </c>
      <c r="P1480" s="46">
        <f>INDEX(ChDoorVel,MATCH(E1480,ChName,0))*CalibScalar*(1+VelocityUplift)</f>
        <v/>
      </c>
      <c r="Q1480" s="46" t="n">
        <v>0</v>
      </c>
      <c r="R1480" s="46">
        <f>P1480*O1480*M1480*N1480*H1480</f>
        <v/>
      </c>
      <c r="S1480" s="46">
        <f>R1480*INDEX(FmtCansPerCase,MATCH(F1480,FmtName,0))</f>
        <v/>
      </c>
      <c r="T1480" s="46">
        <f>S1480/INDEX(FmtCansPerPack,MATCH(F1480,FmtName,0))</f>
        <v/>
      </c>
      <c r="U1480" s="47">
        <f>INDEX(ChBaseCP,MATCH(E1480,ChName,0))*(1+INDEX(ProvMod,MATCH(G1480,ProvCode,0)))*(1+PriceIndex)</f>
        <v/>
      </c>
      <c r="V1480" s="47">
        <f>R1480*U1480*INDEX(FmtBlendedPriceIdx,MATCH(F1480,FmtName,0))</f>
        <v/>
      </c>
      <c r="W1480" s="47">
        <f>T1480*INDEX(ProvSRP,MATCH(G1480,ProvCode,0))*(1+PriceIndex)</f>
        <v/>
      </c>
      <c r="X1480" s="47">
        <f>IF(GrossBasis="Wholesale",V1480,W1480)</f>
        <v/>
      </c>
      <c r="Y1480" s="47">
        <f>R1480*INDEX(FmtBlendedCogs,MATCH(F1480,FmtName,0))</f>
        <v/>
      </c>
      <c r="Z1480" s="47">
        <f>X1480-Y1480</f>
        <v/>
      </c>
    </row>
    <row r="1481">
      <c r="A1481" t="n">
        <v>49</v>
      </c>
      <c r="B1481" s="44">
        <f>FiscalStart+(A1481-1)*7</f>
        <v/>
      </c>
      <c r="C1481">
        <f>TEXT(B1481,"mmm yyyy")</f>
        <v/>
      </c>
      <c r="D1481">
        <f>"Q"&amp;(INT((A1481-1)/13)+1)</f>
        <v/>
      </c>
      <c r="E1481" t="inlineStr">
        <is>
          <t>Fitness</t>
        </is>
      </c>
      <c r="F1481">
        <f>IFERROR(INDEX(ChFormat,MATCH(E1481,ChName,0)),"")</f>
        <v/>
      </c>
      <c r="G1481" t="inlineStr">
        <is>
          <t>NS</t>
        </is>
      </c>
      <c r="H1481">
        <f>IF(A1481&lt;=NWeeks,1,0)</f>
        <v/>
      </c>
      <c r="I1481">
        <f>INDEX(ChLaunch,MATCH(E1481,ChName,0))</f>
        <v/>
      </c>
      <c r="J1481">
        <f>INDEX(ChWeeksFull,MATCH(E1481,ChName,0))</f>
        <v/>
      </c>
      <c r="K1481">
        <f>INDEX(ChRamp,MATCH(E1481,ChName,0))</f>
        <v/>
      </c>
      <c r="L1481" s="45">
        <f>MIN(1,MAX(0,(A1481-I1481+1)*RampSpeed/J1481))</f>
        <v/>
      </c>
      <c r="M1481" s="45">
        <f>IF(A1481&lt;I1481,0,IF(K1481="S-curve",L1481*L1481*(3-2*L1481),L1481))</f>
        <v/>
      </c>
      <c r="N1481" s="45">
        <f>1+(INDEX(SeasonIdx,A1481)-1)*SeasonAmp</f>
        <v/>
      </c>
      <c r="O1481" s="45">
        <f>IFERROR(INDEX(PSPct,MATCH(E1481&amp;"|"&amp;G1481,PSKey,0)),0)</f>
        <v/>
      </c>
      <c r="P1481" s="46">
        <f>INDEX(ChDoorVel,MATCH(E1481,ChName,0))*CalibScalar*(1+VelocityUplift)</f>
        <v/>
      </c>
      <c r="Q1481" s="46" t="n">
        <v>0</v>
      </c>
      <c r="R1481" s="46">
        <f>P1481*O1481*M1481*N1481*H1481</f>
        <v/>
      </c>
      <c r="S1481" s="46">
        <f>R1481*INDEX(FmtCansPerCase,MATCH(F1481,FmtName,0))</f>
        <v/>
      </c>
      <c r="T1481" s="46">
        <f>S1481/INDEX(FmtCansPerPack,MATCH(F1481,FmtName,0))</f>
        <v/>
      </c>
      <c r="U1481" s="47">
        <f>INDEX(ChBaseCP,MATCH(E1481,ChName,0))*(1+INDEX(ProvMod,MATCH(G1481,ProvCode,0)))*(1+PriceIndex)</f>
        <v/>
      </c>
      <c r="V1481" s="47">
        <f>R1481*U1481*INDEX(FmtBlendedPriceIdx,MATCH(F1481,FmtName,0))</f>
        <v/>
      </c>
      <c r="W1481" s="47">
        <f>T1481*INDEX(ProvSRP,MATCH(G1481,ProvCode,0))*(1+PriceIndex)</f>
        <v/>
      </c>
      <c r="X1481" s="47">
        <f>IF(GrossBasis="Wholesale",V1481,W1481)</f>
        <v/>
      </c>
      <c r="Y1481" s="47">
        <f>R1481*INDEX(FmtBlendedCogs,MATCH(F1481,FmtName,0))</f>
        <v/>
      </c>
      <c r="Z1481" s="47">
        <f>X1481-Y1481</f>
        <v/>
      </c>
    </row>
    <row r="1482">
      <c r="A1482" t="n">
        <v>50</v>
      </c>
      <c r="B1482" s="44">
        <f>FiscalStart+(A1482-1)*7</f>
        <v/>
      </c>
      <c r="C1482">
        <f>TEXT(B1482,"mmm yyyy")</f>
        <v/>
      </c>
      <c r="D1482">
        <f>"Q"&amp;(INT((A1482-1)/13)+1)</f>
        <v/>
      </c>
      <c r="E1482" t="inlineStr">
        <is>
          <t>Fitness</t>
        </is>
      </c>
      <c r="F1482">
        <f>IFERROR(INDEX(ChFormat,MATCH(E1482,ChName,0)),"")</f>
        <v/>
      </c>
      <c r="G1482" t="inlineStr">
        <is>
          <t>NS</t>
        </is>
      </c>
      <c r="H1482">
        <f>IF(A1482&lt;=NWeeks,1,0)</f>
        <v/>
      </c>
      <c r="I1482">
        <f>INDEX(ChLaunch,MATCH(E1482,ChName,0))</f>
        <v/>
      </c>
      <c r="J1482">
        <f>INDEX(ChWeeksFull,MATCH(E1482,ChName,0))</f>
        <v/>
      </c>
      <c r="K1482">
        <f>INDEX(ChRamp,MATCH(E1482,ChName,0))</f>
        <v/>
      </c>
      <c r="L1482" s="45">
        <f>MIN(1,MAX(0,(A1482-I1482+1)*RampSpeed/J1482))</f>
        <v/>
      </c>
      <c r="M1482" s="45">
        <f>IF(A1482&lt;I1482,0,IF(K1482="S-curve",L1482*L1482*(3-2*L1482),L1482))</f>
        <v/>
      </c>
      <c r="N1482" s="45">
        <f>1+(INDEX(SeasonIdx,A1482)-1)*SeasonAmp</f>
        <v/>
      </c>
      <c r="O1482" s="45">
        <f>IFERROR(INDEX(PSPct,MATCH(E1482&amp;"|"&amp;G1482,PSKey,0)),0)</f>
        <v/>
      </c>
      <c r="P1482" s="46">
        <f>INDEX(ChDoorVel,MATCH(E1482,ChName,0))*CalibScalar*(1+VelocityUplift)</f>
        <v/>
      </c>
      <c r="Q1482" s="46" t="n">
        <v>0</v>
      </c>
      <c r="R1482" s="46">
        <f>P1482*O1482*M1482*N1482*H1482</f>
        <v/>
      </c>
      <c r="S1482" s="46">
        <f>R1482*INDEX(FmtCansPerCase,MATCH(F1482,FmtName,0))</f>
        <v/>
      </c>
      <c r="T1482" s="46">
        <f>S1482/INDEX(FmtCansPerPack,MATCH(F1482,FmtName,0))</f>
        <v/>
      </c>
      <c r="U1482" s="47">
        <f>INDEX(ChBaseCP,MATCH(E1482,ChName,0))*(1+INDEX(ProvMod,MATCH(G1482,ProvCode,0)))*(1+PriceIndex)</f>
        <v/>
      </c>
      <c r="V1482" s="47">
        <f>R1482*U1482*INDEX(FmtBlendedPriceIdx,MATCH(F1482,FmtName,0))</f>
        <v/>
      </c>
      <c r="W1482" s="47">
        <f>T1482*INDEX(ProvSRP,MATCH(G1482,ProvCode,0))*(1+PriceIndex)</f>
        <v/>
      </c>
      <c r="X1482" s="47">
        <f>IF(GrossBasis="Wholesale",V1482,W1482)</f>
        <v/>
      </c>
      <c r="Y1482" s="47">
        <f>R1482*INDEX(FmtBlendedCogs,MATCH(F1482,FmtName,0))</f>
        <v/>
      </c>
      <c r="Z1482" s="47">
        <f>X1482-Y1482</f>
        <v/>
      </c>
    </row>
    <row r="1483">
      <c r="A1483" t="n">
        <v>51</v>
      </c>
      <c r="B1483" s="44">
        <f>FiscalStart+(A1483-1)*7</f>
        <v/>
      </c>
      <c r="C1483">
        <f>TEXT(B1483,"mmm yyyy")</f>
        <v/>
      </c>
      <c r="D1483">
        <f>"Q"&amp;(INT((A1483-1)/13)+1)</f>
        <v/>
      </c>
      <c r="E1483" t="inlineStr">
        <is>
          <t>Fitness</t>
        </is>
      </c>
      <c r="F1483">
        <f>IFERROR(INDEX(ChFormat,MATCH(E1483,ChName,0)),"")</f>
        <v/>
      </c>
      <c r="G1483" t="inlineStr">
        <is>
          <t>NS</t>
        </is>
      </c>
      <c r="H1483">
        <f>IF(A1483&lt;=NWeeks,1,0)</f>
        <v/>
      </c>
      <c r="I1483">
        <f>INDEX(ChLaunch,MATCH(E1483,ChName,0))</f>
        <v/>
      </c>
      <c r="J1483">
        <f>INDEX(ChWeeksFull,MATCH(E1483,ChName,0))</f>
        <v/>
      </c>
      <c r="K1483">
        <f>INDEX(ChRamp,MATCH(E1483,ChName,0))</f>
        <v/>
      </c>
      <c r="L1483" s="45">
        <f>MIN(1,MAX(0,(A1483-I1483+1)*RampSpeed/J1483))</f>
        <v/>
      </c>
      <c r="M1483" s="45">
        <f>IF(A1483&lt;I1483,0,IF(K1483="S-curve",L1483*L1483*(3-2*L1483),L1483))</f>
        <v/>
      </c>
      <c r="N1483" s="45">
        <f>1+(INDEX(SeasonIdx,A1483)-1)*SeasonAmp</f>
        <v/>
      </c>
      <c r="O1483" s="45">
        <f>IFERROR(INDEX(PSPct,MATCH(E1483&amp;"|"&amp;G1483,PSKey,0)),0)</f>
        <v/>
      </c>
      <c r="P1483" s="46">
        <f>INDEX(ChDoorVel,MATCH(E1483,ChName,0))*CalibScalar*(1+VelocityUplift)</f>
        <v/>
      </c>
      <c r="Q1483" s="46" t="n">
        <v>0</v>
      </c>
      <c r="R1483" s="46">
        <f>P1483*O1483*M1483*N1483*H1483</f>
        <v/>
      </c>
      <c r="S1483" s="46">
        <f>R1483*INDEX(FmtCansPerCase,MATCH(F1483,FmtName,0))</f>
        <v/>
      </c>
      <c r="T1483" s="46">
        <f>S1483/INDEX(FmtCansPerPack,MATCH(F1483,FmtName,0))</f>
        <v/>
      </c>
      <c r="U1483" s="47">
        <f>INDEX(ChBaseCP,MATCH(E1483,ChName,0))*(1+INDEX(ProvMod,MATCH(G1483,ProvCode,0)))*(1+PriceIndex)</f>
        <v/>
      </c>
      <c r="V1483" s="47">
        <f>R1483*U1483*INDEX(FmtBlendedPriceIdx,MATCH(F1483,FmtName,0))</f>
        <v/>
      </c>
      <c r="W1483" s="47">
        <f>T1483*INDEX(ProvSRP,MATCH(G1483,ProvCode,0))*(1+PriceIndex)</f>
        <v/>
      </c>
      <c r="X1483" s="47">
        <f>IF(GrossBasis="Wholesale",V1483,W1483)</f>
        <v/>
      </c>
      <c r="Y1483" s="47">
        <f>R1483*INDEX(FmtBlendedCogs,MATCH(F1483,FmtName,0))</f>
        <v/>
      </c>
      <c r="Z1483" s="47">
        <f>X1483-Y1483</f>
        <v/>
      </c>
    </row>
    <row r="1484">
      <c r="A1484" t="n">
        <v>52</v>
      </c>
      <c r="B1484" s="44">
        <f>FiscalStart+(A1484-1)*7</f>
        <v/>
      </c>
      <c r="C1484">
        <f>TEXT(B1484,"mmm yyyy")</f>
        <v/>
      </c>
      <c r="D1484">
        <f>"Q"&amp;(INT((A1484-1)/13)+1)</f>
        <v/>
      </c>
      <c r="E1484" t="inlineStr">
        <is>
          <t>Fitness</t>
        </is>
      </c>
      <c r="F1484">
        <f>IFERROR(INDEX(ChFormat,MATCH(E1484,ChName,0)),"")</f>
        <v/>
      </c>
      <c r="G1484" t="inlineStr">
        <is>
          <t>NS</t>
        </is>
      </c>
      <c r="H1484">
        <f>IF(A1484&lt;=NWeeks,1,0)</f>
        <v/>
      </c>
      <c r="I1484">
        <f>INDEX(ChLaunch,MATCH(E1484,ChName,0))</f>
        <v/>
      </c>
      <c r="J1484">
        <f>INDEX(ChWeeksFull,MATCH(E1484,ChName,0))</f>
        <v/>
      </c>
      <c r="K1484">
        <f>INDEX(ChRamp,MATCH(E1484,ChName,0))</f>
        <v/>
      </c>
      <c r="L1484" s="45">
        <f>MIN(1,MAX(0,(A1484-I1484+1)*RampSpeed/J1484))</f>
        <v/>
      </c>
      <c r="M1484" s="45">
        <f>IF(A1484&lt;I1484,0,IF(K1484="S-curve",L1484*L1484*(3-2*L1484),L1484))</f>
        <v/>
      </c>
      <c r="N1484" s="45">
        <f>1+(INDEX(SeasonIdx,A1484)-1)*SeasonAmp</f>
        <v/>
      </c>
      <c r="O1484" s="45">
        <f>IFERROR(INDEX(PSPct,MATCH(E1484&amp;"|"&amp;G1484,PSKey,0)),0)</f>
        <v/>
      </c>
      <c r="P1484" s="46">
        <f>INDEX(ChDoorVel,MATCH(E1484,ChName,0))*CalibScalar*(1+VelocityUplift)</f>
        <v/>
      </c>
      <c r="Q1484" s="46" t="n">
        <v>0</v>
      </c>
      <c r="R1484" s="46">
        <f>P1484*O1484*M1484*N1484*H1484</f>
        <v/>
      </c>
      <c r="S1484" s="46">
        <f>R1484*INDEX(FmtCansPerCase,MATCH(F1484,FmtName,0))</f>
        <v/>
      </c>
      <c r="T1484" s="46">
        <f>S1484/INDEX(FmtCansPerPack,MATCH(F1484,FmtName,0))</f>
        <v/>
      </c>
      <c r="U1484" s="47">
        <f>INDEX(ChBaseCP,MATCH(E1484,ChName,0))*(1+INDEX(ProvMod,MATCH(G1484,ProvCode,0)))*(1+PriceIndex)</f>
        <v/>
      </c>
      <c r="V1484" s="47">
        <f>R1484*U1484*INDEX(FmtBlendedPriceIdx,MATCH(F1484,FmtName,0))</f>
        <v/>
      </c>
      <c r="W1484" s="47">
        <f>T1484*INDEX(ProvSRP,MATCH(G1484,ProvCode,0))*(1+PriceIndex)</f>
        <v/>
      </c>
      <c r="X1484" s="47">
        <f>IF(GrossBasis="Wholesale",V1484,W1484)</f>
        <v/>
      </c>
      <c r="Y1484" s="47">
        <f>R1484*INDEX(FmtBlendedCogs,MATCH(F1484,FmtName,0))</f>
        <v/>
      </c>
      <c r="Z1484" s="47">
        <f>X1484-Y1484</f>
        <v/>
      </c>
    </row>
    <row r="1485">
      <c r="A1485" t="n">
        <v>53</v>
      </c>
      <c r="B1485" s="44">
        <f>FiscalStart+(A1485-1)*7</f>
        <v/>
      </c>
      <c r="C1485">
        <f>TEXT(B1485,"mmm yyyy")</f>
        <v/>
      </c>
      <c r="D1485">
        <f>"Q"&amp;(INT((A1485-1)/13)+1)</f>
        <v/>
      </c>
      <c r="E1485" t="inlineStr">
        <is>
          <t>Fitness</t>
        </is>
      </c>
      <c r="F1485">
        <f>IFERROR(INDEX(ChFormat,MATCH(E1485,ChName,0)),"")</f>
        <v/>
      </c>
      <c r="G1485" t="inlineStr">
        <is>
          <t>NS</t>
        </is>
      </c>
      <c r="H1485">
        <f>IF(A1485&lt;=NWeeks,1,0)</f>
        <v/>
      </c>
      <c r="I1485">
        <f>INDEX(ChLaunch,MATCH(E1485,ChName,0))</f>
        <v/>
      </c>
      <c r="J1485">
        <f>INDEX(ChWeeksFull,MATCH(E1485,ChName,0))</f>
        <v/>
      </c>
      <c r="K1485">
        <f>INDEX(ChRamp,MATCH(E1485,ChName,0))</f>
        <v/>
      </c>
      <c r="L1485" s="45">
        <f>MIN(1,MAX(0,(A1485-I1485+1)*RampSpeed/J1485))</f>
        <v/>
      </c>
      <c r="M1485" s="45">
        <f>IF(A1485&lt;I1485,0,IF(K1485="S-curve",L1485*L1485*(3-2*L1485),L1485))</f>
        <v/>
      </c>
      <c r="N1485" s="45">
        <f>1+(INDEX(SeasonIdx,A1485)-1)*SeasonAmp</f>
        <v/>
      </c>
      <c r="O1485" s="45">
        <f>IFERROR(INDEX(PSPct,MATCH(E1485&amp;"|"&amp;G1485,PSKey,0)),0)</f>
        <v/>
      </c>
      <c r="P1485" s="46">
        <f>INDEX(ChDoorVel,MATCH(E1485,ChName,0))*CalibScalar*(1+VelocityUplift)</f>
        <v/>
      </c>
      <c r="Q1485" s="46" t="n">
        <v>0</v>
      </c>
      <c r="R1485" s="46">
        <f>P1485*O1485*M1485*N1485*H1485</f>
        <v/>
      </c>
      <c r="S1485" s="46">
        <f>R1485*INDEX(FmtCansPerCase,MATCH(F1485,FmtName,0))</f>
        <v/>
      </c>
      <c r="T1485" s="46">
        <f>S1485/INDEX(FmtCansPerPack,MATCH(F1485,FmtName,0))</f>
        <v/>
      </c>
      <c r="U1485" s="47">
        <f>INDEX(ChBaseCP,MATCH(E1485,ChName,0))*(1+INDEX(ProvMod,MATCH(G1485,ProvCode,0)))*(1+PriceIndex)</f>
        <v/>
      </c>
      <c r="V1485" s="47">
        <f>R1485*U1485*INDEX(FmtBlendedPriceIdx,MATCH(F1485,FmtName,0))</f>
        <v/>
      </c>
      <c r="W1485" s="47">
        <f>T1485*INDEX(ProvSRP,MATCH(G1485,ProvCode,0))*(1+PriceIndex)</f>
        <v/>
      </c>
      <c r="X1485" s="47">
        <f>IF(GrossBasis="Wholesale",V1485,W1485)</f>
        <v/>
      </c>
      <c r="Y1485" s="47">
        <f>R1485*INDEX(FmtBlendedCogs,MATCH(F1485,FmtName,0))</f>
        <v/>
      </c>
      <c r="Z1485" s="47">
        <f>X1485-Y1485</f>
        <v/>
      </c>
    </row>
    <row r="1486">
      <c r="A1486" t="n">
        <v>1</v>
      </c>
      <c r="B1486" s="44">
        <f>FiscalStart+(A1486-1)*7</f>
        <v/>
      </c>
      <c r="C1486">
        <f>TEXT(B1486,"mmm yyyy")</f>
        <v/>
      </c>
      <c r="D1486">
        <f>"Q"&amp;(INT((A1486-1)/13)+1)</f>
        <v/>
      </c>
      <c r="E1486" t="inlineStr">
        <is>
          <t>Fitness</t>
        </is>
      </c>
      <c r="F1486">
        <f>IFERROR(INDEX(ChFormat,MATCH(E1486,ChName,0)),"")</f>
        <v/>
      </c>
      <c r="G1486" t="inlineStr">
        <is>
          <t>PE</t>
        </is>
      </c>
      <c r="H1486">
        <f>IF(A1486&lt;=NWeeks,1,0)</f>
        <v/>
      </c>
      <c r="I1486">
        <f>INDEX(ChLaunch,MATCH(E1486,ChName,0))</f>
        <v/>
      </c>
      <c r="J1486">
        <f>INDEX(ChWeeksFull,MATCH(E1486,ChName,0))</f>
        <v/>
      </c>
      <c r="K1486">
        <f>INDEX(ChRamp,MATCH(E1486,ChName,0))</f>
        <v/>
      </c>
      <c r="L1486" s="45">
        <f>MIN(1,MAX(0,(A1486-I1486+1)*RampSpeed/J1486))</f>
        <v/>
      </c>
      <c r="M1486" s="45">
        <f>IF(A1486&lt;I1486,0,IF(K1486="S-curve",L1486*L1486*(3-2*L1486),L1486))</f>
        <v/>
      </c>
      <c r="N1486" s="45">
        <f>1+(INDEX(SeasonIdx,A1486)-1)*SeasonAmp</f>
        <v/>
      </c>
      <c r="O1486" s="45">
        <f>IFERROR(INDEX(PSPct,MATCH(E1486&amp;"|"&amp;G1486,PSKey,0)),0)</f>
        <v/>
      </c>
      <c r="P1486" s="46">
        <f>INDEX(ChDoorVel,MATCH(E1486,ChName,0))*CalibScalar*(1+VelocityUplift)</f>
        <v/>
      </c>
      <c r="Q1486" s="46" t="n">
        <v>0</v>
      </c>
      <c r="R1486" s="46">
        <f>P1486*O1486*M1486*N1486*H1486</f>
        <v/>
      </c>
      <c r="S1486" s="46">
        <f>R1486*INDEX(FmtCansPerCase,MATCH(F1486,FmtName,0))</f>
        <v/>
      </c>
      <c r="T1486" s="46">
        <f>S1486/INDEX(FmtCansPerPack,MATCH(F1486,FmtName,0))</f>
        <v/>
      </c>
      <c r="U1486" s="47">
        <f>INDEX(ChBaseCP,MATCH(E1486,ChName,0))*(1+INDEX(ProvMod,MATCH(G1486,ProvCode,0)))*(1+PriceIndex)</f>
        <v/>
      </c>
      <c r="V1486" s="47">
        <f>R1486*U1486*INDEX(FmtBlendedPriceIdx,MATCH(F1486,FmtName,0))</f>
        <v/>
      </c>
      <c r="W1486" s="47">
        <f>T1486*INDEX(ProvSRP,MATCH(G1486,ProvCode,0))*(1+PriceIndex)</f>
        <v/>
      </c>
      <c r="X1486" s="47">
        <f>IF(GrossBasis="Wholesale",V1486,W1486)</f>
        <v/>
      </c>
      <c r="Y1486" s="47">
        <f>R1486*INDEX(FmtBlendedCogs,MATCH(F1486,FmtName,0))</f>
        <v/>
      </c>
      <c r="Z1486" s="47">
        <f>X1486-Y1486</f>
        <v/>
      </c>
    </row>
    <row r="1487">
      <c r="A1487" t="n">
        <v>2</v>
      </c>
      <c r="B1487" s="44">
        <f>FiscalStart+(A1487-1)*7</f>
        <v/>
      </c>
      <c r="C1487">
        <f>TEXT(B1487,"mmm yyyy")</f>
        <v/>
      </c>
      <c r="D1487">
        <f>"Q"&amp;(INT((A1487-1)/13)+1)</f>
        <v/>
      </c>
      <c r="E1487" t="inlineStr">
        <is>
          <t>Fitness</t>
        </is>
      </c>
      <c r="F1487">
        <f>IFERROR(INDEX(ChFormat,MATCH(E1487,ChName,0)),"")</f>
        <v/>
      </c>
      <c r="G1487" t="inlineStr">
        <is>
          <t>PE</t>
        </is>
      </c>
      <c r="H1487">
        <f>IF(A1487&lt;=NWeeks,1,0)</f>
        <v/>
      </c>
      <c r="I1487">
        <f>INDEX(ChLaunch,MATCH(E1487,ChName,0))</f>
        <v/>
      </c>
      <c r="J1487">
        <f>INDEX(ChWeeksFull,MATCH(E1487,ChName,0))</f>
        <v/>
      </c>
      <c r="K1487">
        <f>INDEX(ChRamp,MATCH(E1487,ChName,0))</f>
        <v/>
      </c>
      <c r="L1487" s="45">
        <f>MIN(1,MAX(0,(A1487-I1487+1)*RampSpeed/J1487))</f>
        <v/>
      </c>
      <c r="M1487" s="45">
        <f>IF(A1487&lt;I1487,0,IF(K1487="S-curve",L1487*L1487*(3-2*L1487),L1487))</f>
        <v/>
      </c>
      <c r="N1487" s="45">
        <f>1+(INDEX(SeasonIdx,A1487)-1)*SeasonAmp</f>
        <v/>
      </c>
      <c r="O1487" s="45">
        <f>IFERROR(INDEX(PSPct,MATCH(E1487&amp;"|"&amp;G1487,PSKey,0)),0)</f>
        <v/>
      </c>
      <c r="P1487" s="46">
        <f>INDEX(ChDoorVel,MATCH(E1487,ChName,0))*CalibScalar*(1+VelocityUplift)</f>
        <v/>
      </c>
      <c r="Q1487" s="46" t="n">
        <v>0</v>
      </c>
      <c r="R1487" s="46">
        <f>P1487*O1487*M1487*N1487*H1487</f>
        <v/>
      </c>
      <c r="S1487" s="46">
        <f>R1487*INDEX(FmtCansPerCase,MATCH(F1487,FmtName,0))</f>
        <v/>
      </c>
      <c r="T1487" s="46">
        <f>S1487/INDEX(FmtCansPerPack,MATCH(F1487,FmtName,0))</f>
        <v/>
      </c>
      <c r="U1487" s="47">
        <f>INDEX(ChBaseCP,MATCH(E1487,ChName,0))*(1+INDEX(ProvMod,MATCH(G1487,ProvCode,0)))*(1+PriceIndex)</f>
        <v/>
      </c>
      <c r="V1487" s="47">
        <f>R1487*U1487*INDEX(FmtBlendedPriceIdx,MATCH(F1487,FmtName,0))</f>
        <v/>
      </c>
      <c r="W1487" s="47">
        <f>T1487*INDEX(ProvSRP,MATCH(G1487,ProvCode,0))*(1+PriceIndex)</f>
        <v/>
      </c>
      <c r="X1487" s="47">
        <f>IF(GrossBasis="Wholesale",V1487,W1487)</f>
        <v/>
      </c>
      <c r="Y1487" s="47">
        <f>R1487*INDEX(FmtBlendedCogs,MATCH(F1487,FmtName,0))</f>
        <v/>
      </c>
      <c r="Z1487" s="47">
        <f>X1487-Y1487</f>
        <v/>
      </c>
    </row>
    <row r="1488">
      <c r="A1488" t="n">
        <v>3</v>
      </c>
      <c r="B1488" s="44">
        <f>FiscalStart+(A1488-1)*7</f>
        <v/>
      </c>
      <c r="C1488">
        <f>TEXT(B1488,"mmm yyyy")</f>
        <v/>
      </c>
      <c r="D1488">
        <f>"Q"&amp;(INT((A1488-1)/13)+1)</f>
        <v/>
      </c>
      <c r="E1488" t="inlineStr">
        <is>
          <t>Fitness</t>
        </is>
      </c>
      <c r="F1488">
        <f>IFERROR(INDEX(ChFormat,MATCH(E1488,ChName,0)),"")</f>
        <v/>
      </c>
      <c r="G1488" t="inlineStr">
        <is>
          <t>PE</t>
        </is>
      </c>
      <c r="H1488">
        <f>IF(A1488&lt;=NWeeks,1,0)</f>
        <v/>
      </c>
      <c r="I1488">
        <f>INDEX(ChLaunch,MATCH(E1488,ChName,0))</f>
        <v/>
      </c>
      <c r="J1488">
        <f>INDEX(ChWeeksFull,MATCH(E1488,ChName,0))</f>
        <v/>
      </c>
      <c r="K1488">
        <f>INDEX(ChRamp,MATCH(E1488,ChName,0))</f>
        <v/>
      </c>
      <c r="L1488" s="45">
        <f>MIN(1,MAX(0,(A1488-I1488+1)*RampSpeed/J1488))</f>
        <v/>
      </c>
      <c r="M1488" s="45">
        <f>IF(A1488&lt;I1488,0,IF(K1488="S-curve",L1488*L1488*(3-2*L1488),L1488))</f>
        <v/>
      </c>
      <c r="N1488" s="45">
        <f>1+(INDEX(SeasonIdx,A1488)-1)*SeasonAmp</f>
        <v/>
      </c>
      <c r="O1488" s="45">
        <f>IFERROR(INDEX(PSPct,MATCH(E1488&amp;"|"&amp;G1488,PSKey,0)),0)</f>
        <v/>
      </c>
      <c r="P1488" s="46">
        <f>INDEX(ChDoorVel,MATCH(E1488,ChName,0))*CalibScalar*(1+VelocityUplift)</f>
        <v/>
      </c>
      <c r="Q1488" s="46" t="n">
        <v>0</v>
      </c>
      <c r="R1488" s="46">
        <f>P1488*O1488*M1488*N1488*H1488</f>
        <v/>
      </c>
      <c r="S1488" s="46">
        <f>R1488*INDEX(FmtCansPerCase,MATCH(F1488,FmtName,0))</f>
        <v/>
      </c>
      <c r="T1488" s="46">
        <f>S1488/INDEX(FmtCansPerPack,MATCH(F1488,FmtName,0))</f>
        <v/>
      </c>
      <c r="U1488" s="47">
        <f>INDEX(ChBaseCP,MATCH(E1488,ChName,0))*(1+INDEX(ProvMod,MATCH(G1488,ProvCode,0)))*(1+PriceIndex)</f>
        <v/>
      </c>
      <c r="V1488" s="47">
        <f>R1488*U1488*INDEX(FmtBlendedPriceIdx,MATCH(F1488,FmtName,0))</f>
        <v/>
      </c>
      <c r="W1488" s="47">
        <f>T1488*INDEX(ProvSRP,MATCH(G1488,ProvCode,0))*(1+PriceIndex)</f>
        <v/>
      </c>
      <c r="X1488" s="47">
        <f>IF(GrossBasis="Wholesale",V1488,W1488)</f>
        <v/>
      </c>
      <c r="Y1488" s="47">
        <f>R1488*INDEX(FmtBlendedCogs,MATCH(F1488,FmtName,0))</f>
        <v/>
      </c>
      <c r="Z1488" s="47">
        <f>X1488-Y1488</f>
        <v/>
      </c>
    </row>
    <row r="1489">
      <c r="A1489" t="n">
        <v>4</v>
      </c>
      <c r="B1489" s="44">
        <f>FiscalStart+(A1489-1)*7</f>
        <v/>
      </c>
      <c r="C1489">
        <f>TEXT(B1489,"mmm yyyy")</f>
        <v/>
      </c>
      <c r="D1489">
        <f>"Q"&amp;(INT((A1489-1)/13)+1)</f>
        <v/>
      </c>
      <c r="E1489" t="inlineStr">
        <is>
          <t>Fitness</t>
        </is>
      </c>
      <c r="F1489">
        <f>IFERROR(INDEX(ChFormat,MATCH(E1489,ChName,0)),"")</f>
        <v/>
      </c>
      <c r="G1489" t="inlineStr">
        <is>
          <t>PE</t>
        </is>
      </c>
      <c r="H1489">
        <f>IF(A1489&lt;=NWeeks,1,0)</f>
        <v/>
      </c>
      <c r="I1489">
        <f>INDEX(ChLaunch,MATCH(E1489,ChName,0))</f>
        <v/>
      </c>
      <c r="J1489">
        <f>INDEX(ChWeeksFull,MATCH(E1489,ChName,0))</f>
        <v/>
      </c>
      <c r="K1489">
        <f>INDEX(ChRamp,MATCH(E1489,ChName,0))</f>
        <v/>
      </c>
      <c r="L1489" s="45">
        <f>MIN(1,MAX(0,(A1489-I1489+1)*RampSpeed/J1489))</f>
        <v/>
      </c>
      <c r="M1489" s="45">
        <f>IF(A1489&lt;I1489,0,IF(K1489="S-curve",L1489*L1489*(3-2*L1489),L1489))</f>
        <v/>
      </c>
      <c r="N1489" s="45">
        <f>1+(INDEX(SeasonIdx,A1489)-1)*SeasonAmp</f>
        <v/>
      </c>
      <c r="O1489" s="45">
        <f>IFERROR(INDEX(PSPct,MATCH(E1489&amp;"|"&amp;G1489,PSKey,0)),0)</f>
        <v/>
      </c>
      <c r="P1489" s="46">
        <f>INDEX(ChDoorVel,MATCH(E1489,ChName,0))*CalibScalar*(1+VelocityUplift)</f>
        <v/>
      </c>
      <c r="Q1489" s="46" t="n">
        <v>0</v>
      </c>
      <c r="R1489" s="46">
        <f>P1489*O1489*M1489*N1489*H1489</f>
        <v/>
      </c>
      <c r="S1489" s="46">
        <f>R1489*INDEX(FmtCansPerCase,MATCH(F1489,FmtName,0))</f>
        <v/>
      </c>
      <c r="T1489" s="46">
        <f>S1489/INDEX(FmtCansPerPack,MATCH(F1489,FmtName,0))</f>
        <v/>
      </c>
      <c r="U1489" s="47">
        <f>INDEX(ChBaseCP,MATCH(E1489,ChName,0))*(1+INDEX(ProvMod,MATCH(G1489,ProvCode,0)))*(1+PriceIndex)</f>
        <v/>
      </c>
      <c r="V1489" s="47">
        <f>R1489*U1489*INDEX(FmtBlendedPriceIdx,MATCH(F1489,FmtName,0))</f>
        <v/>
      </c>
      <c r="W1489" s="47">
        <f>T1489*INDEX(ProvSRP,MATCH(G1489,ProvCode,0))*(1+PriceIndex)</f>
        <v/>
      </c>
      <c r="X1489" s="47">
        <f>IF(GrossBasis="Wholesale",V1489,W1489)</f>
        <v/>
      </c>
      <c r="Y1489" s="47">
        <f>R1489*INDEX(FmtBlendedCogs,MATCH(F1489,FmtName,0))</f>
        <v/>
      </c>
      <c r="Z1489" s="47">
        <f>X1489-Y1489</f>
        <v/>
      </c>
    </row>
    <row r="1490">
      <c r="A1490" t="n">
        <v>5</v>
      </c>
      <c r="B1490" s="44">
        <f>FiscalStart+(A1490-1)*7</f>
        <v/>
      </c>
      <c r="C1490">
        <f>TEXT(B1490,"mmm yyyy")</f>
        <v/>
      </c>
      <c r="D1490">
        <f>"Q"&amp;(INT((A1490-1)/13)+1)</f>
        <v/>
      </c>
      <c r="E1490" t="inlineStr">
        <is>
          <t>Fitness</t>
        </is>
      </c>
      <c r="F1490">
        <f>IFERROR(INDEX(ChFormat,MATCH(E1490,ChName,0)),"")</f>
        <v/>
      </c>
      <c r="G1490" t="inlineStr">
        <is>
          <t>PE</t>
        </is>
      </c>
      <c r="H1490">
        <f>IF(A1490&lt;=NWeeks,1,0)</f>
        <v/>
      </c>
      <c r="I1490">
        <f>INDEX(ChLaunch,MATCH(E1490,ChName,0))</f>
        <v/>
      </c>
      <c r="J1490">
        <f>INDEX(ChWeeksFull,MATCH(E1490,ChName,0))</f>
        <v/>
      </c>
      <c r="K1490">
        <f>INDEX(ChRamp,MATCH(E1490,ChName,0))</f>
        <v/>
      </c>
      <c r="L1490" s="45">
        <f>MIN(1,MAX(0,(A1490-I1490+1)*RampSpeed/J1490))</f>
        <v/>
      </c>
      <c r="M1490" s="45">
        <f>IF(A1490&lt;I1490,0,IF(K1490="S-curve",L1490*L1490*(3-2*L1490),L1490))</f>
        <v/>
      </c>
      <c r="N1490" s="45">
        <f>1+(INDEX(SeasonIdx,A1490)-1)*SeasonAmp</f>
        <v/>
      </c>
      <c r="O1490" s="45">
        <f>IFERROR(INDEX(PSPct,MATCH(E1490&amp;"|"&amp;G1490,PSKey,0)),0)</f>
        <v/>
      </c>
      <c r="P1490" s="46">
        <f>INDEX(ChDoorVel,MATCH(E1490,ChName,0))*CalibScalar*(1+VelocityUplift)</f>
        <v/>
      </c>
      <c r="Q1490" s="46" t="n">
        <v>0</v>
      </c>
      <c r="R1490" s="46">
        <f>P1490*O1490*M1490*N1490*H1490</f>
        <v/>
      </c>
      <c r="S1490" s="46">
        <f>R1490*INDEX(FmtCansPerCase,MATCH(F1490,FmtName,0))</f>
        <v/>
      </c>
      <c r="T1490" s="46">
        <f>S1490/INDEX(FmtCansPerPack,MATCH(F1490,FmtName,0))</f>
        <v/>
      </c>
      <c r="U1490" s="47">
        <f>INDEX(ChBaseCP,MATCH(E1490,ChName,0))*(1+INDEX(ProvMod,MATCH(G1490,ProvCode,0)))*(1+PriceIndex)</f>
        <v/>
      </c>
      <c r="V1490" s="47">
        <f>R1490*U1490*INDEX(FmtBlendedPriceIdx,MATCH(F1490,FmtName,0))</f>
        <v/>
      </c>
      <c r="W1490" s="47">
        <f>T1490*INDEX(ProvSRP,MATCH(G1490,ProvCode,0))*(1+PriceIndex)</f>
        <v/>
      </c>
      <c r="X1490" s="47">
        <f>IF(GrossBasis="Wholesale",V1490,W1490)</f>
        <v/>
      </c>
      <c r="Y1490" s="47">
        <f>R1490*INDEX(FmtBlendedCogs,MATCH(F1490,FmtName,0))</f>
        <v/>
      </c>
      <c r="Z1490" s="47">
        <f>X1490-Y1490</f>
        <v/>
      </c>
    </row>
    <row r="1491">
      <c r="A1491" t="n">
        <v>6</v>
      </c>
      <c r="B1491" s="44">
        <f>FiscalStart+(A1491-1)*7</f>
        <v/>
      </c>
      <c r="C1491">
        <f>TEXT(B1491,"mmm yyyy")</f>
        <v/>
      </c>
      <c r="D1491">
        <f>"Q"&amp;(INT((A1491-1)/13)+1)</f>
        <v/>
      </c>
      <c r="E1491" t="inlineStr">
        <is>
          <t>Fitness</t>
        </is>
      </c>
      <c r="F1491">
        <f>IFERROR(INDEX(ChFormat,MATCH(E1491,ChName,0)),"")</f>
        <v/>
      </c>
      <c r="G1491" t="inlineStr">
        <is>
          <t>PE</t>
        </is>
      </c>
      <c r="H1491">
        <f>IF(A1491&lt;=NWeeks,1,0)</f>
        <v/>
      </c>
      <c r="I1491">
        <f>INDEX(ChLaunch,MATCH(E1491,ChName,0))</f>
        <v/>
      </c>
      <c r="J1491">
        <f>INDEX(ChWeeksFull,MATCH(E1491,ChName,0))</f>
        <v/>
      </c>
      <c r="K1491">
        <f>INDEX(ChRamp,MATCH(E1491,ChName,0))</f>
        <v/>
      </c>
      <c r="L1491" s="45">
        <f>MIN(1,MAX(0,(A1491-I1491+1)*RampSpeed/J1491))</f>
        <v/>
      </c>
      <c r="M1491" s="45">
        <f>IF(A1491&lt;I1491,0,IF(K1491="S-curve",L1491*L1491*(3-2*L1491),L1491))</f>
        <v/>
      </c>
      <c r="N1491" s="45">
        <f>1+(INDEX(SeasonIdx,A1491)-1)*SeasonAmp</f>
        <v/>
      </c>
      <c r="O1491" s="45">
        <f>IFERROR(INDEX(PSPct,MATCH(E1491&amp;"|"&amp;G1491,PSKey,0)),0)</f>
        <v/>
      </c>
      <c r="P1491" s="46">
        <f>INDEX(ChDoorVel,MATCH(E1491,ChName,0))*CalibScalar*(1+VelocityUplift)</f>
        <v/>
      </c>
      <c r="Q1491" s="46" t="n">
        <v>0</v>
      </c>
      <c r="R1491" s="46">
        <f>P1491*O1491*M1491*N1491*H1491</f>
        <v/>
      </c>
      <c r="S1491" s="46">
        <f>R1491*INDEX(FmtCansPerCase,MATCH(F1491,FmtName,0))</f>
        <v/>
      </c>
      <c r="T1491" s="46">
        <f>S1491/INDEX(FmtCansPerPack,MATCH(F1491,FmtName,0))</f>
        <v/>
      </c>
      <c r="U1491" s="47">
        <f>INDEX(ChBaseCP,MATCH(E1491,ChName,0))*(1+INDEX(ProvMod,MATCH(G1491,ProvCode,0)))*(1+PriceIndex)</f>
        <v/>
      </c>
      <c r="V1491" s="47">
        <f>R1491*U1491*INDEX(FmtBlendedPriceIdx,MATCH(F1491,FmtName,0))</f>
        <v/>
      </c>
      <c r="W1491" s="47">
        <f>T1491*INDEX(ProvSRP,MATCH(G1491,ProvCode,0))*(1+PriceIndex)</f>
        <v/>
      </c>
      <c r="X1491" s="47">
        <f>IF(GrossBasis="Wholesale",V1491,W1491)</f>
        <v/>
      </c>
      <c r="Y1491" s="47">
        <f>R1491*INDEX(FmtBlendedCogs,MATCH(F1491,FmtName,0))</f>
        <v/>
      </c>
      <c r="Z1491" s="47">
        <f>X1491-Y1491</f>
        <v/>
      </c>
    </row>
    <row r="1492">
      <c r="A1492" t="n">
        <v>7</v>
      </c>
      <c r="B1492" s="44">
        <f>FiscalStart+(A1492-1)*7</f>
        <v/>
      </c>
      <c r="C1492">
        <f>TEXT(B1492,"mmm yyyy")</f>
        <v/>
      </c>
      <c r="D1492">
        <f>"Q"&amp;(INT((A1492-1)/13)+1)</f>
        <v/>
      </c>
      <c r="E1492" t="inlineStr">
        <is>
          <t>Fitness</t>
        </is>
      </c>
      <c r="F1492">
        <f>IFERROR(INDEX(ChFormat,MATCH(E1492,ChName,0)),"")</f>
        <v/>
      </c>
      <c r="G1492" t="inlineStr">
        <is>
          <t>PE</t>
        </is>
      </c>
      <c r="H1492">
        <f>IF(A1492&lt;=NWeeks,1,0)</f>
        <v/>
      </c>
      <c r="I1492">
        <f>INDEX(ChLaunch,MATCH(E1492,ChName,0))</f>
        <v/>
      </c>
      <c r="J1492">
        <f>INDEX(ChWeeksFull,MATCH(E1492,ChName,0))</f>
        <v/>
      </c>
      <c r="K1492">
        <f>INDEX(ChRamp,MATCH(E1492,ChName,0))</f>
        <v/>
      </c>
      <c r="L1492" s="45">
        <f>MIN(1,MAX(0,(A1492-I1492+1)*RampSpeed/J1492))</f>
        <v/>
      </c>
      <c r="M1492" s="45">
        <f>IF(A1492&lt;I1492,0,IF(K1492="S-curve",L1492*L1492*(3-2*L1492),L1492))</f>
        <v/>
      </c>
      <c r="N1492" s="45">
        <f>1+(INDEX(SeasonIdx,A1492)-1)*SeasonAmp</f>
        <v/>
      </c>
      <c r="O1492" s="45">
        <f>IFERROR(INDEX(PSPct,MATCH(E1492&amp;"|"&amp;G1492,PSKey,0)),0)</f>
        <v/>
      </c>
      <c r="P1492" s="46">
        <f>INDEX(ChDoorVel,MATCH(E1492,ChName,0))*CalibScalar*(1+VelocityUplift)</f>
        <v/>
      </c>
      <c r="Q1492" s="46" t="n">
        <v>0</v>
      </c>
      <c r="R1492" s="46">
        <f>P1492*O1492*M1492*N1492*H1492</f>
        <v/>
      </c>
      <c r="S1492" s="46">
        <f>R1492*INDEX(FmtCansPerCase,MATCH(F1492,FmtName,0))</f>
        <v/>
      </c>
      <c r="T1492" s="46">
        <f>S1492/INDEX(FmtCansPerPack,MATCH(F1492,FmtName,0))</f>
        <v/>
      </c>
      <c r="U1492" s="47">
        <f>INDEX(ChBaseCP,MATCH(E1492,ChName,0))*(1+INDEX(ProvMod,MATCH(G1492,ProvCode,0)))*(1+PriceIndex)</f>
        <v/>
      </c>
      <c r="V1492" s="47">
        <f>R1492*U1492*INDEX(FmtBlendedPriceIdx,MATCH(F1492,FmtName,0))</f>
        <v/>
      </c>
      <c r="W1492" s="47">
        <f>T1492*INDEX(ProvSRP,MATCH(G1492,ProvCode,0))*(1+PriceIndex)</f>
        <v/>
      </c>
      <c r="X1492" s="47">
        <f>IF(GrossBasis="Wholesale",V1492,W1492)</f>
        <v/>
      </c>
      <c r="Y1492" s="47">
        <f>R1492*INDEX(FmtBlendedCogs,MATCH(F1492,FmtName,0))</f>
        <v/>
      </c>
      <c r="Z1492" s="47">
        <f>X1492-Y1492</f>
        <v/>
      </c>
    </row>
    <row r="1493">
      <c r="A1493" t="n">
        <v>8</v>
      </c>
      <c r="B1493" s="44">
        <f>FiscalStart+(A1493-1)*7</f>
        <v/>
      </c>
      <c r="C1493">
        <f>TEXT(B1493,"mmm yyyy")</f>
        <v/>
      </c>
      <c r="D1493">
        <f>"Q"&amp;(INT((A1493-1)/13)+1)</f>
        <v/>
      </c>
      <c r="E1493" t="inlineStr">
        <is>
          <t>Fitness</t>
        </is>
      </c>
      <c r="F1493">
        <f>IFERROR(INDEX(ChFormat,MATCH(E1493,ChName,0)),"")</f>
        <v/>
      </c>
      <c r="G1493" t="inlineStr">
        <is>
          <t>PE</t>
        </is>
      </c>
      <c r="H1493">
        <f>IF(A1493&lt;=NWeeks,1,0)</f>
        <v/>
      </c>
      <c r="I1493">
        <f>INDEX(ChLaunch,MATCH(E1493,ChName,0))</f>
        <v/>
      </c>
      <c r="J1493">
        <f>INDEX(ChWeeksFull,MATCH(E1493,ChName,0))</f>
        <v/>
      </c>
      <c r="K1493">
        <f>INDEX(ChRamp,MATCH(E1493,ChName,0))</f>
        <v/>
      </c>
      <c r="L1493" s="45">
        <f>MIN(1,MAX(0,(A1493-I1493+1)*RampSpeed/J1493))</f>
        <v/>
      </c>
      <c r="M1493" s="45">
        <f>IF(A1493&lt;I1493,0,IF(K1493="S-curve",L1493*L1493*(3-2*L1493),L1493))</f>
        <v/>
      </c>
      <c r="N1493" s="45">
        <f>1+(INDEX(SeasonIdx,A1493)-1)*SeasonAmp</f>
        <v/>
      </c>
      <c r="O1493" s="45">
        <f>IFERROR(INDEX(PSPct,MATCH(E1493&amp;"|"&amp;G1493,PSKey,0)),0)</f>
        <v/>
      </c>
      <c r="P1493" s="46">
        <f>INDEX(ChDoorVel,MATCH(E1493,ChName,0))*CalibScalar*(1+VelocityUplift)</f>
        <v/>
      </c>
      <c r="Q1493" s="46" t="n">
        <v>0</v>
      </c>
      <c r="R1493" s="46">
        <f>P1493*O1493*M1493*N1493*H1493</f>
        <v/>
      </c>
      <c r="S1493" s="46">
        <f>R1493*INDEX(FmtCansPerCase,MATCH(F1493,FmtName,0))</f>
        <v/>
      </c>
      <c r="T1493" s="46">
        <f>S1493/INDEX(FmtCansPerPack,MATCH(F1493,FmtName,0))</f>
        <v/>
      </c>
      <c r="U1493" s="47">
        <f>INDEX(ChBaseCP,MATCH(E1493,ChName,0))*(1+INDEX(ProvMod,MATCH(G1493,ProvCode,0)))*(1+PriceIndex)</f>
        <v/>
      </c>
      <c r="V1493" s="47">
        <f>R1493*U1493*INDEX(FmtBlendedPriceIdx,MATCH(F1493,FmtName,0))</f>
        <v/>
      </c>
      <c r="W1493" s="47">
        <f>T1493*INDEX(ProvSRP,MATCH(G1493,ProvCode,0))*(1+PriceIndex)</f>
        <v/>
      </c>
      <c r="X1493" s="47">
        <f>IF(GrossBasis="Wholesale",V1493,W1493)</f>
        <v/>
      </c>
      <c r="Y1493" s="47">
        <f>R1493*INDEX(FmtBlendedCogs,MATCH(F1493,FmtName,0))</f>
        <v/>
      </c>
      <c r="Z1493" s="47">
        <f>X1493-Y1493</f>
        <v/>
      </c>
    </row>
    <row r="1494">
      <c r="A1494" t="n">
        <v>9</v>
      </c>
      <c r="B1494" s="44">
        <f>FiscalStart+(A1494-1)*7</f>
        <v/>
      </c>
      <c r="C1494">
        <f>TEXT(B1494,"mmm yyyy")</f>
        <v/>
      </c>
      <c r="D1494">
        <f>"Q"&amp;(INT((A1494-1)/13)+1)</f>
        <v/>
      </c>
      <c r="E1494" t="inlineStr">
        <is>
          <t>Fitness</t>
        </is>
      </c>
      <c r="F1494">
        <f>IFERROR(INDEX(ChFormat,MATCH(E1494,ChName,0)),"")</f>
        <v/>
      </c>
      <c r="G1494" t="inlineStr">
        <is>
          <t>PE</t>
        </is>
      </c>
      <c r="H1494">
        <f>IF(A1494&lt;=NWeeks,1,0)</f>
        <v/>
      </c>
      <c r="I1494">
        <f>INDEX(ChLaunch,MATCH(E1494,ChName,0))</f>
        <v/>
      </c>
      <c r="J1494">
        <f>INDEX(ChWeeksFull,MATCH(E1494,ChName,0))</f>
        <v/>
      </c>
      <c r="K1494">
        <f>INDEX(ChRamp,MATCH(E1494,ChName,0))</f>
        <v/>
      </c>
      <c r="L1494" s="45">
        <f>MIN(1,MAX(0,(A1494-I1494+1)*RampSpeed/J1494))</f>
        <v/>
      </c>
      <c r="M1494" s="45">
        <f>IF(A1494&lt;I1494,0,IF(K1494="S-curve",L1494*L1494*(3-2*L1494),L1494))</f>
        <v/>
      </c>
      <c r="N1494" s="45">
        <f>1+(INDEX(SeasonIdx,A1494)-1)*SeasonAmp</f>
        <v/>
      </c>
      <c r="O1494" s="45">
        <f>IFERROR(INDEX(PSPct,MATCH(E1494&amp;"|"&amp;G1494,PSKey,0)),0)</f>
        <v/>
      </c>
      <c r="P1494" s="46">
        <f>INDEX(ChDoorVel,MATCH(E1494,ChName,0))*CalibScalar*(1+VelocityUplift)</f>
        <v/>
      </c>
      <c r="Q1494" s="46" t="n">
        <v>0</v>
      </c>
      <c r="R1494" s="46">
        <f>P1494*O1494*M1494*N1494*H1494</f>
        <v/>
      </c>
      <c r="S1494" s="46">
        <f>R1494*INDEX(FmtCansPerCase,MATCH(F1494,FmtName,0))</f>
        <v/>
      </c>
      <c r="T1494" s="46">
        <f>S1494/INDEX(FmtCansPerPack,MATCH(F1494,FmtName,0))</f>
        <v/>
      </c>
      <c r="U1494" s="47">
        <f>INDEX(ChBaseCP,MATCH(E1494,ChName,0))*(1+INDEX(ProvMod,MATCH(G1494,ProvCode,0)))*(1+PriceIndex)</f>
        <v/>
      </c>
      <c r="V1494" s="47">
        <f>R1494*U1494*INDEX(FmtBlendedPriceIdx,MATCH(F1494,FmtName,0))</f>
        <v/>
      </c>
      <c r="W1494" s="47">
        <f>T1494*INDEX(ProvSRP,MATCH(G1494,ProvCode,0))*(1+PriceIndex)</f>
        <v/>
      </c>
      <c r="X1494" s="47">
        <f>IF(GrossBasis="Wholesale",V1494,W1494)</f>
        <v/>
      </c>
      <c r="Y1494" s="47">
        <f>R1494*INDEX(FmtBlendedCogs,MATCH(F1494,FmtName,0))</f>
        <v/>
      </c>
      <c r="Z1494" s="47">
        <f>X1494-Y1494</f>
        <v/>
      </c>
    </row>
    <row r="1495">
      <c r="A1495" t="n">
        <v>10</v>
      </c>
      <c r="B1495" s="44">
        <f>FiscalStart+(A1495-1)*7</f>
        <v/>
      </c>
      <c r="C1495">
        <f>TEXT(B1495,"mmm yyyy")</f>
        <v/>
      </c>
      <c r="D1495">
        <f>"Q"&amp;(INT((A1495-1)/13)+1)</f>
        <v/>
      </c>
      <c r="E1495" t="inlineStr">
        <is>
          <t>Fitness</t>
        </is>
      </c>
      <c r="F1495">
        <f>IFERROR(INDEX(ChFormat,MATCH(E1495,ChName,0)),"")</f>
        <v/>
      </c>
      <c r="G1495" t="inlineStr">
        <is>
          <t>PE</t>
        </is>
      </c>
      <c r="H1495">
        <f>IF(A1495&lt;=NWeeks,1,0)</f>
        <v/>
      </c>
      <c r="I1495">
        <f>INDEX(ChLaunch,MATCH(E1495,ChName,0))</f>
        <v/>
      </c>
      <c r="J1495">
        <f>INDEX(ChWeeksFull,MATCH(E1495,ChName,0))</f>
        <v/>
      </c>
      <c r="K1495">
        <f>INDEX(ChRamp,MATCH(E1495,ChName,0))</f>
        <v/>
      </c>
      <c r="L1495" s="45">
        <f>MIN(1,MAX(0,(A1495-I1495+1)*RampSpeed/J1495))</f>
        <v/>
      </c>
      <c r="M1495" s="45">
        <f>IF(A1495&lt;I1495,0,IF(K1495="S-curve",L1495*L1495*(3-2*L1495),L1495))</f>
        <v/>
      </c>
      <c r="N1495" s="45">
        <f>1+(INDEX(SeasonIdx,A1495)-1)*SeasonAmp</f>
        <v/>
      </c>
      <c r="O1495" s="45">
        <f>IFERROR(INDEX(PSPct,MATCH(E1495&amp;"|"&amp;G1495,PSKey,0)),0)</f>
        <v/>
      </c>
      <c r="P1495" s="46">
        <f>INDEX(ChDoorVel,MATCH(E1495,ChName,0))*CalibScalar*(1+VelocityUplift)</f>
        <v/>
      </c>
      <c r="Q1495" s="46" t="n">
        <v>0</v>
      </c>
      <c r="R1495" s="46">
        <f>P1495*O1495*M1495*N1495*H1495</f>
        <v/>
      </c>
      <c r="S1495" s="46">
        <f>R1495*INDEX(FmtCansPerCase,MATCH(F1495,FmtName,0))</f>
        <v/>
      </c>
      <c r="T1495" s="46">
        <f>S1495/INDEX(FmtCansPerPack,MATCH(F1495,FmtName,0))</f>
        <v/>
      </c>
      <c r="U1495" s="47">
        <f>INDEX(ChBaseCP,MATCH(E1495,ChName,0))*(1+INDEX(ProvMod,MATCH(G1495,ProvCode,0)))*(1+PriceIndex)</f>
        <v/>
      </c>
      <c r="V1495" s="47">
        <f>R1495*U1495*INDEX(FmtBlendedPriceIdx,MATCH(F1495,FmtName,0))</f>
        <v/>
      </c>
      <c r="W1495" s="47">
        <f>T1495*INDEX(ProvSRP,MATCH(G1495,ProvCode,0))*(1+PriceIndex)</f>
        <v/>
      </c>
      <c r="X1495" s="47">
        <f>IF(GrossBasis="Wholesale",V1495,W1495)</f>
        <v/>
      </c>
      <c r="Y1495" s="47">
        <f>R1495*INDEX(FmtBlendedCogs,MATCH(F1495,FmtName,0))</f>
        <v/>
      </c>
      <c r="Z1495" s="47">
        <f>X1495-Y1495</f>
        <v/>
      </c>
    </row>
    <row r="1496">
      <c r="A1496" t="n">
        <v>11</v>
      </c>
      <c r="B1496" s="44">
        <f>FiscalStart+(A1496-1)*7</f>
        <v/>
      </c>
      <c r="C1496">
        <f>TEXT(B1496,"mmm yyyy")</f>
        <v/>
      </c>
      <c r="D1496">
        <f>"Q"&amp;(INT((A1496-1)/13)+1)</f>
        <v/>
      </c>
      <c r="E1496" t="inlineStr">
        <is>
          <t>Fitness</t>
        </is>
      </c>
      <c r="F1496">
        <f>IFERROR(INDEX(ChFormat,MATCH(E1496,ChName,0)),"")</f>
        <v/>
      </c>
      <c r="G1496" t="inlineStr">
        <is>
          <t>PE</t>
        </is>
      </c>
      <c r="H1496">
        <f>IF(A1496&lt;=NWeeks,1,0)</f>
        <v/>
      </c>
      <c r="I1496">
        <f>INDEX(ChLaunch,MATCH(E1496,ChName,0))</f>
        <v/>
      </c>
      <c r="J1496">
        <f>INDEX(ChWeeksFull,MATCH(E1496,ChName,0))</f>
        <v/>
      </c>
      <c r="K1496">
        <f>INDEX(ChRamp,MATCH(E1496,ChName,0))</f>
        <v/>
      </c>
      <c r="L1496" s="45">
        <f>MIN(1,MAX(0,(A1496-I1496+1)*RampSpeed/J1496))</f>
        <v/>
      </c>
      <c r="M1496" s="45">
        <f>IF(A1496&lt;I1496,0,IF(K1496="S-curve",L1496*L1496*(3-2*L1496),L1496))</f>
        <v/>
      </c>
      <c r="N1496" s="45">
        <f>1+(INDEX(SeasonIdx,A1496)-1)*SeasonAmp</f>
        <v/>
      </c>
      <c r="O1496" s="45">
        <f>IFERROR(INDEX(PSPct,MATCH(E1496&amp;"|"&amp;G1496,PSKey,0)),0)</f>
        <v/>
      </c>
      <c r="P1496" s="46">
        <f>INDEX(ChDoorVel,MATCH(E1496,ChName,0))*CalibScalar*(1+VelocityUplift)</f>
        <v/>
      </c>
      <c r="Q1496" s="46" t="n">
        <v>0</v>
      </c>
      <c r="R1496" s="46">
        <f>P1496*O1496*M1496*N1496*H1496</f>
        <v/>
      </c>
      <c r="S1496" s="46">
        <f>R1496*INDEX(FmtCansPerCase,MATCH(F1496,FmtName,0))</f>
        <v/>
      </c>
      <c r="T1496" s="46">
        <f>S1496/INDEX(FmtCansPerPack,MATCH(F1496,FmtName,0))</f>
        <v/>
      </c>
      <c r="U1496" s="47">
        <f>INDEX(ChBaseCP,MATCH(E1496,ChName,0))*(1+INDEX(ProvMod,MATCH(G1496,ProvCode,0)))*(1+PriceIndex)</f>
        <v/>
      </c>
      <c r="V1496" s="47">
        <f>R1496*U1496*INDEX(FmtBlendedPriceIdx,MATCH(F1496,FmtName,0))</f>
        <v/>
      </c>
      <c r="W1496" s="47">
        <f>T1496*INDEX(ProvSRP,MATCH(G1496,ProvCode,0))*(1+PriceIndex)</f>
        <v/>
      </c>
      <c r="X1496" s="47">
        <f>IF(GrossBasis="Wholesale",V1496,W1496)</f>
        <v/>
      </c>
      <c r="Y1496" s="47">
        <f>R1496*INDEX(FmtBlendedCogs,MATCH(F1496,FmtName,0))</f>
        <v/>
      </c>
      <c r="Z1496" s="47">
        <f>X1496-Y1496</f>
        <v/>
      </c>
    </row>
    <row r="1497">
      <c r="A1497" t="n">
        <v>12</v>
      </c>
      <c r="B1497" s="44">
        <f>FiscalStart+(A1497-1)*7</f>
        <v/>
      </c>
      <c r="C1497">
        <f>TEXT(B1497,"mmm yyyy")</f>
        <v/>
      </c>
      <c r="D1497">
        <f>"Q"&amp;(INT((A1497-1)/13)+1)</f>
        <v/>
      </c>
      <c r="E1497" t="inlineStr">
        <is>
          <t>Fitness</t>
        </is>
      </c>
      <c r="F1497">
        <f>IFERROR(INDEX(ChFormat,MATCH(E1497,ChName,0)),"")</f>
        <v/>
      </c>
      <c r="G1497" t="inlineStr">
        <is>
          <t>PE</t>
        </is>
      </c>
      <c r="H1497">
        <f>IF(A1497&lt;=NWeeks,1,0)</f>
        <v/>
      </c>
      <c r="I1497">
        <f>INDEX(ChLaunch,MATCH(E1497,ChName,0))</f>
        <v/>
      </c>
      <c r="J1497">
        <f>INDEX(ChWeeksFull,MATCH(E1497,ChName,0))</f>
        <v/>
      </c>
      <c r="K1497">
        <f>INDEX(ChRamp,MATCH(E1497,ChName,0))</f>
        <v/>
      </c>
      <c r="L1497" s="45">
        <f>MIN(1,MAX(0,(A1497-I1497+1)*RampSpeed/J1497))</f>
        <v/>
      </c>
      <c r="M1497" s="45">
        <f>IF(A1497&lt;I1497,0,IF(K1497="S-curve",L1497*L1497*(3-2*L1497),L1497))</f>
        <v/>
      </c>
      <c r="N1497" s="45">
        <f>1+(INDEX(SeasonIdx,A1497)-1)*SeasonAmp</f>
        <v/>
      </c>
      <c r="O1497" s="45">
        <f>IFERROR(INDEX(PSPct,MATCH(E1497&amp;"|"&amp;G1497,PSKey,0)),0)</f>
        <v/>
      </c>
      <c r="P1497" s="46">
        <f>INDEX(ChDoorVel,MATCH(E1497,ChName,0))*CalibScalar*(1+VelocityUplift)</f>
        <v/>
      </c>
      <c r="Q1497" s="46" t="n">
        <v>0</v>
      </c>
      <c r="R1497" s="46">
        <f>P1497*O1497*M1497*N1497*H1497</f>
        <v/>
      </c>
      <c r="S1497" s="46">
        <f>R1497*INDEX(FmtCansPerCase,MATCH(F1497,FmtName,0))</f>
        <v/>
      </c>
      <c r="T1497" s="46">
        <f>S1497/INDEX(FmtCansPerPack,MATCH(F1497,FmtName,0))</f>
        <v/>
      </c>
      <c r="U1497" s="47">
        <f>INDEX(ChBaseCP,MATCH(E1497,ChName,0))*(1+INDEX(ProvMod,MATCH(G1497,ProvCode,0)))*(1+PriceIndex)</f>
        <v/>
      </c>
      <c r="V1497" s="47">
        <f>R1497*U1497*INDEX(FmtBlendedPriceIdx,MATCH(F1497,FmtName,0))</f>
        <v/>
      </c>
      <c r="W1497" s="47">
        <f>T1497*INDEX(ProvSRP,MATCH(G1497,ProvCode,0))*(1+PriceIndex)</f>
        <v/>
      </c>
      <c r="X1497" s="47">
        <f>IF(GrossBasis="Wholesale",V1497,W1497)</f>
        <v/>
      </c>
      <c r="Y1497" s="47">
        <f>R1497*INDEX(FmtBlendedCogs,MATCH(F1497,FmtName,0))</f>
        <v/>
      </c>
      <c r="Z1497" s="47">
        <f>X1497-Y1497</f>
        <v/>
      </c>
    </row>
    <row r="1498">
      <c r="A1498" t="n">
        <v>13</v>
      </c>
      <c r="B1498" s="44">
        <f>FiscalStart+(A1498-1)*7</f>
        <v/>
      </c>
      <c r="C1498">
        <f>TEXT(B1498,"mmm yyyy")</f>
        <v/>
      </c>
      <c r="D1498">
        <f>"Q"&amp;(INT((A1498-1)/13)+1)</f>
        <v/>
      </c>
      <c r="E1498" t="inlineStr">
        <is>
          <t>Fitness</t>
        </is>
      </c>
      <c r="F1498">
        <f>IFERROR(INDEX(ChFormat,MATCH(E1498,ChName,0)),"")</f>
        <v/>
      </c>
      <c r="G1498" t="inlineStr">
        <is>
          <t>PE</t>
        </is>
      </c>
      <c r="H1498">
        <f>IF(A1498&lt;=NWeeks,1,0)</f>
        <v/>
      </c>
      <c r="I1498">
        <f>INDEX(ChLaunch,MATCH(E1498,ChName,0))</f>
        <v/>
      </c>
      <c r="J1498">
        <f>INDEX(ChWeeksFull,MATCH(E1498,ChName,0))</f>
        <v/>
      </c>
      <c r="K1498">
        <f>INDEX(ChRamp,MATCH(E1498,ChName,0))</f>
        <v/>
      </c>
      <c r="L1498" s="45">
        <f>MIN(1,MAX(0,(A1498-I1498+1)*RampSpeed/J1498))</f>
        <v/>
      </c>
      <c r="M1498" s="45">
        <f>IF(A1498&lt;I1498,0,IF(K1498="S-curve",L1498*L1498*(3-2*L1498),L1498))</f>
        <v/>
      </c>
      <c r="N1498" s="45">
        <f>1+(INDEX(SeasonIdx,A1498)-1)*SeasonAmp</f>
        <v/>
      </c>
      <c r="O1498" s="45">
        <f>IFERROR(INDEX(PSPct,MATCH(E1498&amp;"|"&amp;G1498,PSKey,0)),0)</f>
        <v/>
      </c>
      <c r="P1498" s="46">
        <f>INDEX(ChDoorVel,MATCH(E1498,ChName,0))*CalibScalar*(1+VelocityUplift)</f>
        <v/>
      </c>
      <c r="Q1498" s="46" t="n">
        <v>0</v>
      </c>
      <c r="R1498" s="46">
        <f>P1498*O1498*M1498*N1498*H1498</f>
        <v/>
      </c>
      <c r="S1498" s="46">
        <f>R1498*INDEX(FmtCansPerCase,MATCH(F1498,FmtName,0))</f>
        <v/>
      </c>
      <c r="T1498" s="46">
        <f>S1498/INDEX(FmtCansPerPack,MATCH(F1498,FmtName,0))</f>
        <v/>
      </c>
      <c r="U1498" s="47">
        <f>INDEX(ChBaseCP,MATCH(E1498,ChName,0))*(1+INDEX(ProvMod,MATCH(G1498,ProvCode,0)))*(1+PriceIndex)</f>
        <v/>
      </c>
      <c r="V1498" s="47">
        <f>R1498*U1498*INDEX(FmtBlendedPriceIdx,MATCH(F1498,FmtName,0))</f>
        <v/>
      </c>
      <c r="W1498" s="47">
        <f>T1498*INDEX(ProvSRP,MATCH(G1498,ProvCode,0))*(1+PriceIndex)</f>
        <v/>
      </c>
      <c r="X1498" s="47">
        <f>IF(GrossBasis="Wholesale",V1498,W1498)</f>
        <v/>
      </c>
      <c r="Y1498" s="47">
        <f>R1498*INDEX(FmtBlendedCogs,MATCH(F1498,FmtName,0))</f>
        <v/>
      </c>
      <c r="Z1498" s="47">
        <f>X1498-Y1498</f>
        <v/>
      </c>
    </row>
    <row r="1499">
      <c r="A1499" t="n">
        <v>14</v>
      </c>
      <c r="B1499" s="44">
        <f>FiscalStart+(A1499-1)*7</f>
        <v/>
      </c>
      <c r="C1499">
        <f>TEXT(B1499,"mmm yyyy")</f>
        <v/>
      </c>
      <c r="D1499">
        <f>"Q"&amp;(INT((A1499-1)/13)+1)</f>
        <v/>
      </c>
      <c r="E1499" t="inlineStr">
        <is>
          <t>Fitness</t>
        </is>
      </c>
      <c r="F1499">
        <f>IFERROR(INDEX(ChFormat,MATCH(E1499,ChName,0)),"")</f>
        <v/>
      </c>
      <c r="G1499" t="inlineStr">
        <is>
          <t>PE</t>
        </is>
      </c>
      <c r="H1499">
        <f>IF(A1499&lt;=NWeeks,1,0)</f>
        <v/>
      </c>
      <c r="I1499">
        <f>INDEX(ChLaunch,MATCH(E1499,ChName,0))</f>
        <v/>
      </c>
      <c r="J1499">
        <f>INDEX(ChWeeksFull,MATCH(E1499,ChName,0))</f>
        <v/>
      </c>
      <c r="K1499">
        <f>INDEX(ChRamp,MATCH(E1499,ChName,0))</f>
        <v/>
      </c>
      <c r="L1499" s="45">
        <f>MIN(1,MAX(0,(A1499-I1499+1)*RampSpeed/J1499))</f>
        <v/>
      </c>
      <c r="M1499" s="45">
        <f>IF(A1499&lt;I1499,0,IF(K1499="S-curve",L1499*L1499*(3-2*L1499),L1499))</f>
        <v/>
      </c>
      <c r="N1499" s="45">
        <f>1+(INDEX(SeasonIdx,A1499)-1)*SeasonAmp</f>
        <v/>
      </c>
      <c r="O1499" s="45">
        <f>IFERROR(INDEX(PSPct,MATCH(E1499&amp;"|"&amp;G1499,PSKey,0)),0)</f>
        <v/>
      </c>
      <c r="P1499" s="46">
        <f>INDEX(ChDoorVel,MATCH(E1499,ChName,0))*CalibScalar*(1+VelocityUplift)</f>
        <v/>
      </c>
      <c r="Q1499" s="46" t="n">
        <v>0</v>
      </c>
      <c r="R1499" s="46">
        <f>P1499*O1499*M1499*N1499*H1499</f>
        <v/>
      </c>
      <c r="S1499" s="46">
        <f>R1499*INDEX(FmtCansPerCase,MATCH(F1499,FmtName,0))</f>
        <v/>
      </c>
      <c r="T1499" s="46">
        <f>S1499/INDEX(FmtCansPerPack,MATCH(F1499,FmtName,0))</f>
        <v/>
      </c>
      <c r="U1499" s="47">
        <f>INDEX(ChBaseCP,MATCH(E1499,ChName,0))*(1+INDEX(ProvMod,MATCH(G1499,ProvCode,0)))*(1+PriceIndex)</f>
        <v/>
      </c>
      <c r="V1499" s="47">
        <f>R1499*U1499*INDEX(FmtBlendedPriceIdx,MATCH(F1499,FmtName,0))</f>
        <v/>
      </c>
      <c r="W1499" s="47">
        <f>T1499*INDEX(ProvSRP,MATCH(G1499,ProvCode,0))*(1+PriceIndex)</f>
        <v/>
      </c>
      <c r="X1499" s="47">
        <f>IF(GrossBasis="Wholesale",V1499,W1499)</f>
        <v/>
      </c>
      <c r="Y1499" s="47">
        <f>R1499*INDEX(FmtBlendedCogs,MATCH(F1499,FmtName,0))</f>
        <v/>
      </c>
      <c r="Z1499" s="47">
        <f>X1499-Y1499</f>
        <v/>
      </c>
    </row>
    <row r="1500">
      <c r="A1500" t="n">
        <v>15</v>
      </c>
      <c r="B1500" s="44">
        <f>FiscalStart+(A1500-1)*7</f>
        <v/>
      </c>
      <c r="C1500">
        <f>TEXT(B1500,"mmm yyyy")</f>
        <v/>
      </c>
      <c r="D1500">
        <f>"Q"&amp;(INT((A1500-1)/13)+1)</f>
        <v/>
      </c>
      <c r="E1500" t="inlineStr">
        <is>
          <t>Fitness</t>
        </is>
      </c>
      <c r="F1500">
        <f>IFERROR(INDEX(ChFormat,MATCH(E1500,ChName,0)),"")</f>
        <v/>
      </c>
      <c r="G1500" t="inlineStr">
        <is>
          <t>PE</t>
        </is>
      </c>
      <c r="H1500">
        <f>IF(A1500&lt;=NWeeks,1,0)</f>
        <v/>
      </c>
      <c r="I1500">
        <f>INDEX(ChLaunch,MATCH(E1500,ChName,0))</f>
        <v/>
      </c>
      <c r="J1500">
        <f>INDEX(ChWeeksFull,MATCH(E1500,ChName,0))</f>
        <v/>
      </c>
      <c r="K1500">
        <f>INDEX(ChRamp,MATCH(E1500,ChName,0))</f>
        <v/>
      </c>
      <c r="L1500" s="45">
        <f>MIN(1,MAX(0,(A1500-I1500+1)*RampSpeed/J1500))</f>
        <v/>
      </c>
      <c r="M1500" s="45">
        <f>IF(A1500&lt;I1500,0,IF(K1500="S-curve",L1500*L1500*(3-2*L1500),L1500))</f>
        <v/>
      </c>
      <c r="N1500" s="45">
        <f>1+(INDEX(SeasonIdx,A1500)-1)*SeasonAmp</f>
        <v/>
      </c>
      <c r="O1500" s="45">
        <f>IFERROR(INDEX(PSPct,MATCH(E1500&amp;"|"&amp;G1500,PSKey,0)),0)</f>
        <v/>
      </c>
      <c r="P1500" s="46">
        <f>INDEX(ChDoorVel,MATCH(E1500,ChName,0))*CalibScalar*(1+VelocityUplift)</f>
        <v/>
      </c>
      <c r="Q1500" s="46" t="n">
        <v>0</v>
      </c>
      <c r="R1500" s="46">
        <f>P1500*O1500*M1500*N1500*H1500</f>
        <v/>
      </c>
      <c r="S1500" s="46">
        <f>R1500*INDEX(FmtCansPerCase,MATCH(F1500,FmtName,0))</f>
        <v/>
      </c>
      <c r="T1500" s="46">
        <f>S1500/INDEX(FmtCansPerPack,MATCH(F1500,FmtName,0))</f>
        <v/>
      </c>
      <c r="U1500" s="47">
        <f>INDEX(ChBaseCP,MATCH(E1500,ChName,0))*(1+INDEX(ProvMod,MATCH(G1500,ProvCode,0)))*(1+PriceIndex)</f>
        <v/>
      </c>
      <c r="V1500" s="47">
        <f>R1500*U1500*INDEX(FmtBlendedPriceIdx,MATCH(F1500,FmtName,0))</f>
        <v/>
      </c>
      <c r="W1500" s="47">
        <f>T1500*INDEX(ProvSRP,MATCH(G1500,ProvCode,0))*(1+PriceIndex)</f>
        <v/>
      </c>
      <c r="X1500" s="47">
        <f>IF(GrossBasis="Wholesale",V1500,W1500)</f>
        <v/>
      </c>
      <c r="Y1500" s="47">
        <f>R1500*INDEX(FmtBlendedCogs,MATCH(F1500,FmtName,0))</f>
        <v/>
      </c>
      <c r="Z1500" s="47">
        <f>X1500-Y1500</f>
        <v/>
      </c>
    </row>
    <row r="1501">
      <c r="A1501" t="n">
        <v>16</v>
      </c>
      <c r="B1501" s="44">
        <f>FiscalStart+(A1501-1)*7</f>
        <v/>
      </c>
      <c r="C1501">
        <f>TEXT(B1501,"mmm yyyy")</f>
        <v/>
      </c>
      <c r="D1501">
        <f>"Q"&amp;(INT((A1501-1)/13)+1)</f>
        <v/>
      </c>
      <c r="E1501" t="inlineStr">
        <is>
          <t>Fitness</t>
        </is>
      </c>
      <c r="F1501">
        <f>IFERROR(INDEX(ChFormat,MATCH(E1501,ChName,0)),"")</f>
        <v/>
      </c>
      <c r="G1501" t="inlineStr">
        <is>
          <t>PE</t>
        </is>
      </c>
      <c r="H1501">
        <f>IF(A1501&lt;=NWeeks,1,0)</f>
        <v/>
      </c>
      <c r="I1501">
        <f>INDEX(ChLaunch,MATCH(E1501,ChName,0))</f>
        <v/>
      </c>
      <c r="J1501">
        <f>INDEX(ChWeeksFull,MATCH(E1501,ChName,0))</f>
        <v/>
      </c>
      <c r="K1501">
        <f>INDEX(ChRamp,MATCH(E1501,ChName,0))</f>
        <v/>
      </c>
      <c r="L1501" s="45">
        <f>MIN(1,MAX(0,(A1501-I1501+1)*RampSpeed/J1501))</f>
        <v/>
      </c>
      <c r="M1501" s="45">
        <f>IF(A1501&lt;I1501,0,IF(K1501="S-curve",L1501*L1501*(3-2*L1501),L1501))</f>
        <v/>
      </c>
      <c r="N1501" s="45">
        <f>1+(INDEX(SeasonIdx,A1501)-1)*SeasonAmp</f>
        <v/>
      </c>
      <c r="O1501" s="45">
        <f>IFERROR(INDEX(PSPct,MATCH(E1501&amp;"|"&amp;G1501,PSKey,0)),0)</f>
        <v/>
      </c>
      <c r="P1501" s="46">
        <f>INDEX(ChDoorVel,MATCH(E1501,ChName,0))*CalibScalar*(1+VelocityUplift)</f>
        <v/>
      </c>
      <c r="Q1501" s="46" t="n">
        <v>0</v>
      </c>
      <c r="R1501" s="46">
        <f>P1501*O1501*M1501*N1501*H1501</f>
        <v/>
      </c>
      <c r="S1501" s="46">
        <f>R1501*INDEX(FmtCansPerCase,MATCH(F1501,FmtName,0))</f>
        <v/>
      </c>
      <c r="T1501" s="46">
        <f>S1501/INDEX(FmtCansPerPack,MATCH(F1501,FmtName,0))</f>
        <v/>
      </c>
      <c r="U1501" s="47">
        <f>INDEX(ChBaseCP,MATCH(E1501,ChName,0))*(1+INDEX(ProvMod,MATCH(G1501,ProvCode,0)))*(1+PriceIndex)</f>
        <v/>
      </c>
      <c r="V1501" s="47">
        <f>R1501*U1501*INDEX(FmtBlendedPriceIdx,MATCH(F1501,FmtName,0))</f>
        <v/>
      </c>
      <c r="W1501" s="47">
        <f>T1501*INDEX(ProvSRP,MATCH(G1501,ProvCode,0))*(1+PriceIndex)</f>
        <v/>
      </c>
      <c r="X1501" s="47">
        <f>IF(GrossBasis="Wholesale",V1501,W1501)</f>
        <v/>
      </c>
      <c r="Y1501" s="47">
        <f>R1501*INDEX(FmtBlendedCogs,MATCH(F1501,FmtName,0))</f>
        <v/>
      </c>
      <c r="Z1501" s="47">
        <f>X1501-Y1501</f>
        <v/>
      </c>
    </row>
    <row r="1502">
      <c r="A1502" t="n">
        <v>17</v>
      </c>
      <c r="B1502" s="44">
        <f>FiscalStart+(A1502-1)*7</f>
        <v/>
      </c>
      <c r="C1502">
        <f>TEXT(B1502,"mmm yyyy")</f>
        <v/>
      </c>
      <c r="D1502">
        <f>"Q"&amp;(INT((A1502-1)/13)+1)</f>
        <v/>
      </c>
      <c r="E1502" t="inlineStr">
        <is>
          <t>Fitness</t>
        </is>
      </c>
      <c r="F1502">
        <f>IFERROR(INDEX(ChFormat,MATCH(E1502,ChName,0)),"")</f>
        <v/>
      </c>
      <c r="G1502" t="inlineStr">
        <is>
          <t>PE</t>
        </is>
      </c>
      <c r="H1502">
        <f>IF(A1502&lt;=NWeeks,1,0)</f>
        <v/>
      </c>
      <c r="I1502">
        <f>INDEX(ChLaunch,MATCH(E1502,ChName,0))</f>
        <v/>
      </c>
      <c r="J1502">
        <f>INDEX(ChWeeksFull,MATCH(E1502,ChName,0))</f>
        <v/>
      </c>
      <c r="K1502">
        <f>INDEX(ChRamp,MATCH(E1502,ChName,0))</f>
        <v/>
      </c>
      <c r="L1502" s="45">
        <f>MIN(1,MAX(0,(A1502-I1502+1)*RampSpeed/J1502))</f>
        <v/>
      </c>
      <c r="M1502" s="45">
        <f>IF(A1502&lt;I1502,0,IF(K1502="S-curve",L1502*L1502*(3-2*L1502),L1502))</f>
        <v/>
      </c>
      <c r="N1502" s="45">
        <f>1+(INDEX(SeasonIdx,A1502)-1)*SeasonAmp</f>
        <v/>
      </c>
      <c r="O1502" s="45">
        <f>IFERROR(INDEX(PSPct,MATCH(E1502&amp;"|"&amp;G1502,PSKey,0)),0)</f>
        <v/>
      </c>
      <c r="P1502" s="46">
        <f>INDEX(ChDoorVel,MATCH(E1502,ChName,0))*CalibScalar*(1+VelocityUplift)</f>
        <v/>
      </c>
      <c r="Q1502" s="46" t="n">
        <v>0</v>
      </c>
      <c r="R1502" s="46">
        <f>P1502*O1502*M1502*N1502*H1502</f>
        <v/>
      </c>
      <c r="S1502" s="46">
        <f>R1502*INDEX(FmtCansPerCase,MATCH(F1502,FmtName,0))</f>
        <v/>
      </c>
      <c r="T1502" s="46">
        <f>S1502/INDEX(FmtCansPerPack,MATCH(F1502,FmtName,0))</f>
        <v/>
      </c>
      <c r="U1502" s="47">
        <f>INDEX(ChBaseCP,MATCH(E1502,ChName,0))*(1+INDEX(ProvMod,MATCH(G1502,ProvCode,0)))*(1+PriceIndex)</f>
        <v/>
      </c>
      <c r="V1502" s="47">
        <f>R1502*U1502*INDEX(FmtBlendedPriceIdx,MATCH(F1502,FmtName,0))</f>
        <v/>
      </c>
      <c r="W1502" s="47">
        <f>T1502*INDEX(ProvSRP,MATCH(G1502,ProvCode,0))*(1+PriceIndex)</f>
        <v/>
      </c>
      <c r="X1502" s="47">
        <f>IF(GrossBasis="Wholesale",V1502,W1502)</f>
        <v/>
      </c>
      <c r="Y1502" s="47">
        <f>R1502*INDEX(FmtBlendedCogs,MATCH(F1502,FmtName,0))</f>
        <v/>
      </c>
      <c r="Z1502" s="47">
        <f>X1502-Y1502</f>
        <v/>
      </c>
    </row>
    <row r="1503">
      <c r="A1503" t="n">
        <v>18</v>
      </c>
      <c r="B1503" s="44">
        <f>FiscalStart+(A1503-1)*7</f>
        <v/>
      </c>
      <c r="C1503">
        <f>TEXT(B1503,"mmm yyyy")</f>
        <v/>
      </c>
      <c r="D1503">
        <f>"Q"&amp;(INT((A1503-1)/13)+1)</f>
        <v/>
      </c>
      <c r="E1503" t="inlineStr">
        <is>
          <t>Fitness</t>
        </is>
      </c>
      <c r="F1503">
        <f>IFERROR(INDEX(ChFormat,MATCH(E1503,ChName,0)),"")</f>
        <v/>
      </c>
      <c r="G1503" t="inlineStr">
        <is>
          <t>PE</t>
        </is>
      </c>
      <c r="H1503">
        <f>IF(A1503&lt;=NWeeks,1,0)</f>
        <v/>
      </c>
      <c r="I1503">
        <f>INDEX(ChLaunch,MATCH(E1503,ChName,0))</f>
        <v/>
      </c>
      <c r="J1503">
        <f>INDEX(ChWeeksFull,MATCH(E1503,ChName,0))</f>
        <v/>
      </c>
      <c r="K1503">
        <f>INDEX(ChRamp,MATCH(E1503,ChName,0))</f>
        <v/>
      </c>
      <c r="L1503" s="45">
        <f>MIN(1,MAX(0,(A1503-I1503+1)*RampSpeed/J1503))</f>
        <v/>
      </c>
      <c r="M1503" s="45">
        <f>IF(A1503&lt;I1503,0,IF(K1503="S-curve",L1503*L1503*(3-2*L1503),L1503))</f>
        <v/>
      </c>
      <c r="N1503" s="45">
        <f>1+(INDEX(SeasonIdx,A1503)-1)*SeasonAmp</f>
        <v/>
      </c>
      <c r="O1503" s="45">
        <f>IFERROR(INDEX(PSPct,MATCH(E1503&amp;"|"&amp;G1503,PSKey,0)),0)</f>
        <v/>
      </c>
      <c r="P1503" s="46">
        <f>INDEX(ChDoorVel,MATCH(E1503,ChName,0))*CalibScalar*(1+VelocityUplift)</f>
        <v/>
      </c>
      <c r="Q1503" s="46" t="n">
        <v>0</v>
      </c>
      <c r="R1503" s="46">
        <f>P1503*O1503*M1503*N1503*H1503</f>
        <v/>
      </c>
      <c r="S1503" s="46">
        <f>R1503*INDEX(FmtCansPerCase,MATCH(F1503,FmtName,0))</f>
        <v/>
      </c>
      <c r="T1503" s="46">
        <f>S1503/INDEX(FmtCansPerPack,MATCH(F1503,FmtName,0))</f>
        <v/>
      </c>
      <c r="U1503" s="47">
        <f>INDEX(ChBaseCP,MATCH(E1503,ChName,0))*(1+INDEX(ProvMod,MATCH(G1503,ProvCode,0)))*(1+PriceIndex)</f>
        <v/>
      </c>
      <c r="V1503" s="47">
        <f>R1503*U1503*INDEX(FmtBlendedPriceIdx,MATCH(F1503,FmtName,0))</f>
        <v/>
      </c>
      <c r="W1503" s="47">
        <f>T1503*INDEX(ProvSRP,MATCH(G1503,ProvCode,0))*(1+PriceIndex)</f>
        <v/>
      </c>
      <c r="X1503" s="47">
        <f>IF(GrossBasis="Wholesale",V1503,W1503)</f>
        <v/>
      </c>
      <c r="Y1503" s="47">
        <f>R1503*INDEX(FmtBlendedCogs,MATCH(F1503,FmtName,0))</f>
        <v/>
      </c>
      <c r="Z1503" s="47">
        <f>X1503-Y1503</f>
        <v/>
      </c>
    </row>
    <row r="1504">
      <c r="A1504" t="n">
        <v>19</v>
      </c>
      <c r="B1504" s="44">
        <f>FiscalStart+(A1504-1)*7</f>
        <v/>
      </c>
      <c r="C1504">
        <f>TEXT(B1504,"mmm yyyy")</f>
        <v/>
      </c>
      <c r="D1504">
        <f>"Q"&amp;(INT((A1504-1)/13)+1)</f>
        <v/>
      </c>
      <c r="E1504" t="inlineStr">
        <is>
          <t>Fitness</t>
        </is>
      </c>
      <c r="F1504">
        <f>IFERROR(INDEX(ChFormat,MATCH(E1504,ChName,0)),"")</f>
        <v/>
      </c>
      <c r="G1504" t="inlineStr">
        <is>
          <t>PE</t>
        </is>
      </c>
      <c r="H1504">
        <f>IF(A1504&lt;=NWeeks,1,0)</f>
        <v/>
      </c>
      <c r="I1504">
        <f>INDEX(ChLaunch,MATCH(E1504,ChName,0))</f>
        <v/>
      </c>
      <c r="J1504">
        <f>INDEX(ChWeeksFull,MATCH(E1504,ChName,0))</f>
        <v/>
      </c>
      <c r="K1504">
        <f>INDEX(ChRamp,MATCH(E1504,ChName,0))</f>
        <v/>
      </c>
      <c r="L1504" s="45">
        <f>MIN(1,MAX(0,(A1504-I1504+1)*RampSpeed/J1504))</f>
        <v/>
      </c>
      <c r="M1504" s="45">
        <f>IF(A1504&lt;I1504,0,IF(K1504="S-curve",L1504*L1504*(3-2*L1504),L1504))</f>
        <v/>
      </c>
      <c r="N1504" s="45">
        <f>1+(INDEX(SeasonIdx,A1504)-1)*SeasonAmp</f>
        <v/>
      </c>
      <c r="O1504" s="45">
        <f>IFERROR(INDEX(PSPct,MATCH(E1504&amp;"|"&amp;G1504,PSKey,0)),0)</f>
        <v/>
      </c>
      <c r="P1504" s="46">
        <f>INDEX(ChDoorVel,MATCH(E1504,ChName,0))*CalibScalar*(1+VelocityUplift)</f>
        <v/>
      </c>
      <c r="Q1504" s="46" t="n">
        <v>0</v>
      </c>
      <c r="R1504" s="46">
        <f>P1504*O1504*M1504*N1504*H1504</f>
        <v/>
      </c>
      <c r="S1504" s="46">
        <f>R1504*INDEX(FmtCansPerCase,MATCH(F1504,FmtName,0))</f>
        <v/>
      </c>
      <c r="T1504" s="46">
        <f>S1504/INDEX(FmtCansPerPack,MATCH(F1504,FmtName,0))</f>
        <v/>
      </c>
      <c r="U1504" s="47">
        <f>INDEX(ChBaseCP,MATCH(E1504,ChName,0))*(1+INDEX(ProvMod,MATCH(G1504,ProvCode,0)))*(1+PriceIndex)</f>
        <v/>
      </c>
      <c r="V1504" s="47">
        <f>R1504*U1504*INDEX(FmtBlendedPriceIdx,MATCH(F1504,FmtName,0))</f>
        <v/>
      </c>
      <c r="W1504" s="47">
        <f>T1504*INDEX(ProvSRP,MATCH(G1504,ProvCode,0))*(1+PriceIndex)</f>
        <v/>
      </c>
      <c r="X1504" s="47">
        <f>IF(GrossBasis="Wholesale",V1504,W1504)</f>
        <v/>
      </c>
      <c r="Y1504" s="47">
        <f>R1504*INDEX(FmtBlendedCogs,MATCH(F1504,FmtName,0))</f>
        <v/>
      </c>
      <c r="Z1504" s="47">
        <f>X1504-Y1504</f>
        <v/>
      </c>
    </row>
    <row r="1505">
      <c r="A1505" t="n">
        <v>20</v>
      </c>
      <c r="B1505" s="44">
        <f>FiscalStart+(A1505-1)*7</f>
        <v/>
      </c>
      <c r="C1505">
        <f>TEXT(B1505,"mmm yyyy")</f>
        <v/>
      </c>
      <c r="D1505">
        <f>"Q"&amp;(INT((A1505-1)/13)+1)</f>
        <v/>
      </c>
      <c r="E1505" t="inlineStr">
        <is>
          <t>Fitness</t>
        </is>
      </c>
      <c r="F1505">
        <f>IFERROR(INDEX(ChFormat,MATCH(E1505,ChName,0)),"")</f>
        <v/>
      </c>
      <c r="G1505" t="inlineStr">
        <is>
          <t>PE</t>
        </is>
      </c>
      <c r="H1505">
        <f>IF(A1505&lt;=NWeeks,1,0)</f>
        <v/>
      </c>
      <c r="I1505">
        <f>INDEX(ChLaunch,MATCH(E1505,ChName,0))</f>
        <v/>
      </c>
      <c r="J1505">
        <f>INDEX(ChWeeksFull,MATCH(E1505,ChName,0))</f>
        <v/>
      </c>
      <c r="K1505">
        <f>INDEX(ChRamp,MATCH(E1505,ChName,0))</f>
        <v/>
      </c>
      <c r="L1505" s="45">
        <f>MIN(1,MAX(0,(A1505-I1505+1)*RampSpeed/J1505))</f>
        <v/>
      </c>
      <c r="M1505" s="45">
        <f>IF(A1505&lt;I1505,0,IF(K1505="S-curve",L1505*L1505*(3-2*L1505),L1505))</f>
        <v/>
      </c>
      <c r="N1505" s="45">
        <f>1+(INDEX(SeasonIdx,A1505)-1)*SeasonAmp</f>
        <v/>
      </c>
      <c r="O1505" s="45">
        <f>IFERROR(INDEX(PSPct,MATCH(E1505&amp;"|"&amp;G1505,PSKey,0)),0)</f>
        <v/>
      </c>
      <c r="P1505" s="46">
        <f>INDEX(ChDoorVel,MATCH(E1505,ChName,0))*CalibScalar*(1+VelocityUplift)</f>
        <v/>
      </c>
      <c r="Q1505" s="46" t="n">
        <v>0</v>
      </c>
      <c r="R1505" s="46">
        <f>P1505*O1505*M1505*N1505*H1505</f>
        <v/>
      </c>
      <c r="S1505" s="46">
        <f>R1505*INDEX(FmtCansPerCase,MATCH(F1505,FmtName,0))</f>
        <v/>
      </c>
      <c r="T1505" s="46">
        <f>S1505/INDEX(FmtCansPerPack,MATCH(F1505,FmtName,0))</f>
        <v/>
      </c>
      <c r="U1505" s="47">
        <f>INDEX(ChBaseCP,MATCH(E1505,ChName,0))*(1+INDEX(ProvMod,MATCH(G1505,ProvCode,0)))*(1+PriceIndex)</f>
        <v/>
      </c>
      <c r="V1505" s="47">
        <f>R1505*U1505*INDEX(FmtBlendedPriceIdx,MATCH(F1505,FmtName,0))</f>
        <v/>
      </c>
      <c r="W1505" s="47">
        <f>T1505*INDEX(ProvSRP,MATCH(G1505,ProvCode,0))*(1+PriceIndex)</f>
        <v/>
      </c>
      <c r="X1505" s="47">
        <f>IF(GrossBasis="Wholesale",V1505,W1505)</f>
        <v/>
      </c>
      <c r="Y1505" s="47">
        <f>R1505*INDEX(FmtBlendedCogs,MATCH(F1505,FmtName,0))</f>
        <v/>
      </c>
      <c r="Z1505" s="47">
        <f>X1505-Y1505</f>
        <v/>
      </c>
    </row>
    <row r="1506">
      <c r="A1506" t="n">
        <v>21</v>
      </c>
      <c r="B1506" s="44">
        <f>FiscalStart+(A1506-1)*7</f>
        <v/>
      </c>
      <c r="C1506">
        <f>TEXT(B1506,"mmm yyyy")</f>
        <v/>
      </c>
      <c r="D1506">
        <f>"Q"&amp;(INT((A1506-1)/13)+1)</f>
        <v/>
      </c>
      <c r="E1506" t="inlineStr">
        <is>
          <t>Fitness</t>
        </is>
      </c>
      <c r="F1506">
        <f>IFERROR(INDEX(ChFormat,MATCH(E1506,ChName,0)),"")</f>
        <v/>
      </c>
      <c r="G1506" t="inlineStr">
        <is>
          <t>PE</t>
        </is>
      </c>
      <c r="H1506">
        <f>IF(A1506&lt;=NWeeks,1,0)</f>
        <v/>
      </c>
      <c r="I1506">
        <f>INDEX(ChLaunch,MATCH(E1506,ChName,0))</f>
        <v/>
      </c>
      <c r="J1506">
        <f>INDEX(ChWeeksFull,MATCH(E1506,ChName,0))</f>
        <v/>
      </c>
      <c r="K1506">
        <f>INDEX(ChRamp,MATCH(E1506,ChName,0))</f>
        <v/>
      </c>
      <c r="L1506" s="45">
        <f>MIN(1,MAX(0,(A1506-I1506+1)*RampSpeed/J1506))</f>
        <v/>
      </c>
      <c r="M1506" s="45">
        <f>IF(A1506&lt;I1506,0,IF(K1506="S-curve",L1506*L1506*(3-2*L1506),L1506))</f>
        <v/>
      </c>
      <c r="N1506" s="45">
        <f>1+(INDEX(SeasonIdx,A1506)-1)*SeasonAmp</f>
        <v/>
      </c>
      <c r="O1506" s="45">
        <f>IFERROR(INDEX(PSPct,MATCH(E1506&amp;"|"&amp;G1506,PSKey,0)),0)</f>
        <v/>
      </c>
      <c r="P1506" s="46">
        <f>INDEX(ChDoorVel,MATCH(E1506,ChName,0))*CalibScalar*(1+VelocityUplift)</f>
        <v/>
      </c>
      <c r="Q1506" s="46" t="n">
        <v>0</v>
      </c>
      <c r="R1506" s="46">
        <f>P1506*O1506*M1506*N1506*H1506</f>
        <v/>
      </c>
      <c r="S1506" s="46">
        <f>R1506*INDEX(FmtCansPerCase,MATCH(F1506,FmtName,0))</f>
        <v/>
      </c>
      <c r="T1506" s="46">
        <f>S1506/INDEX(FmtCansPerPack,MATCH(F1506,FmtName,0))</f>
        <v/>
      </c>
      <c r="U1506" s="47">
        <f>INDEX(ChBaseCP,MATCH(E1506,ChName,0))*(1+INDEX(ProvMod,MATCH(G1506,ProvCode,0)))*(1+PriceIndex)</f>
        <v/>
      </c>
      <c r="V1506" s="47">
        <f>R1506*U1506*INDEX(FmtBlendedPriceIdx,MATCH(F1506,FmtName,0))</f>
        <v/>
      </c>
      <c r="W1506" s="47">
        <f>T1506*INDEX(ProvSRP,MATCH(G1506,ProvCode,0))*(1+PriceIndex)</f>
        <v/>
      </c>
      <c r="X1506" s="47">
        <f>IF(GrossBasis="Wholesale",V1506,W1506)</f>
        <v/>
      </c>
      <c r="Y1506" s="47">
        <f>R1506*INDEX(FmtBlendedCogs,MATCH(F1506,FmtName,0))</f>
        <v/>
      </c>
      <c r="Z1506" s="47">
        <f>X1506-Y1506</f>
        <v/>
      </c>
    </row>
    <row r="1507">
      <c r="A1507" t="n">
        <v>22</v>
      </c>
      <c r="B1507" s="44">
        <f>FiscalStart+(A1507-1)*7</f>
        <v/>
      </c>
      <c r="C1507">
        <f>TEXT(B1507,"mmm yyyy")</f>
        <v/>
      </c>
      <c r="D1507">
        <f>"Q"&amp;(INT((A1507-1)/13)+1)</f>
        <v/>
      </c>
      <c r="E1507" t="inlineStr">
        <is>
          <t>Fitness</t>
        </is>
      </c>
      <c r="F1507">
        <f>IFERROR(INDEX(ChFormat,MATCH(E1507,ChName,0)),"")</f>
        <v/>
      </c>
      <c r="G1507" t="inlineStr">
        <is>
          <t>PE</t>
        </is>
      </c>
      <c r="H1507">
        <f>IF(A1507&lt;=NWeeks,1,0)</f>
        <v/>
      </c>
      <c r="I1507">
        <f>INDEX(ChLaunch,MATCH(E1507,ChName,0))</f>
        <v/>
      </c>
      <c r="J1507">
        <f>INDEX(ChWeeksFull,MATCH(E1507,ChName,0))</f>
        <v/>
      </c>
      <c r="K1507">
        <f>INDEX(ChRamp,MATCH(E1507,ChName,0))</f>
        <v/>
      </c>
      <c r="L1507" s="45">
        <f>MIN(1,MAX(0,(A1507-I1507+1)*RampSpeed/J1507))</f>
        <v/>
      </c>
      <c r="M1507" s="45">
        <f>IF(A1507&lt;I1507,0,IF(K1507="S-curve",L1507*L1507*(3-2*L1507),L1507))</f>
        <v/>
      </c>
      <c r="N1507" s="45">
        <f>1+(INDEX(SeasonIdx,A1507)-1)*SeasonAmp</f>
        <v/>
      </c>
      <c r="O1507" s="45">
        <f>IFERROR(INDEX(PSPct,MATCH(E1507&amp;"|"&amp;G1507,PSKey,0)),0)</f>
        <v/>
      </c>
      <c r="P1507" s="46">
        <f>INDEX(ChDoorVel,MATCH(E1507,ChName,0))*CalibScalar*(1+VelocityUplift)</f>
        <v/>
      </c>
      <c r="Q1507" s="46" t="n">
        <v>0</v>
      </c>
      <c r="R1507" s="46">
        <f>P1507*O1507*M1507*N1507*H1507</f>
        <v/>
      </c>
      <c r="S1507" s="46">
        <f>R1507*INDEX(FmtCansPerCase,MATCH(F1507,FmtName,0))</f>
        <v/>
      </c>
      <c r="T1507" s="46">
        <f>S1507/INDEX(FmtCansPerPack,MATCH(F1507,FmtName,0))</f>
        <v/>
      </c>
      <c r="U1507" s="47">
        <f>INDEX(ChBaseCP,MATCH(E1507,ChName,0))*(1+INDEX(ProvMod,MATCH(G1507,ProvCode,0)))*(1+PriceIndex)</f>
        <v/>
      </c>
      <c r="V1507" s="47">
        <f>R1507*U1507*INDEX(FmtBlendedPriceIdx,MATCH(F1507,FmtName,0))</f>
        <v/>
      </c>
      <c r="W1507" s="47">
        <f>T1507*INDEX(ProvSRP,MATCH(G1507,ProvCode,0))*(1+PriceIndex)</f>
        <v/>
      </c>
      <c r="X1507" s="47">
        <f>IF(GrossBasis="Wholesale",V1507,W1507)</f>
        <v/>
      </c>
      <c r="Y1507" s="47">
        <f>R1507*INDEX(FmtBlendedCogs,MATCH(F1507,FmtName,0))</f>
        <v/>
      </c>
      <c r="Z1507" s="47">
        <f>X1507-Y1507</f>
        <v/>
      </c>
    </row>
    <row r="1508">
      <c r="A1508" t="n">
        <v>23</v>
      </c>
      <c r="B1508" s="44">
        <f>FiscalStart+(A1508-1)*7</f>
        <v/>
      </c>
      <c r="C1508">
        <f>TEXT(B1508,"mmm yyyy")</f>
        <v/>
      </c>
      <c r="D1508">
        <f>"Q"&amp;(INT((A1508-1)/13)+1)</f>
        <v/>
      </c>
      <c r="E1508" t="inlineStr">
        <is>
          <t>Fitness</t>
        </is>
      </c>
      <c r="F1508">
        <f>IFERROR(INDEX(ChFormat,MATCH(E1508,ChName,0)),"")</f>
        <v/>
      </c>
      <c r="G1508" t="inlineStr">
        <is>
          <t>PE</t>
        </is>
      </c>
      <c r="H1508">
        <f>IF(A1508&lt;=NWeeks,1,0)</f>
        <v/>
      </c>
      <c r="I1508">
        <f>INDEX(ChLaunch,MATCH(E1508,ChName,0))</f>
        <v/>
      </c>
      <c r="J1508">
        <f>INDEX(ChWeeksFull,MATCH(E1508,ChName,0))</f>
        <v/>
      </c>
      <c r="K1508">
        <f>INDEX(ChRamp,MATCH(E1508,ChName,0))</f>
        <v/>
      </c>
      <c r="L1508" s="45">
        <f>MIN(1,MAX(0,(A1508-I1508+1)*RampSpeed/J1508))</f>
        <v/>
      </c>
      <c r="M1508" s="45">
        <f>IF(A1508&lt;I1508,0,IF(K1508="S-curve",L1508*L1508*(3-2*L1508),L1508))</f>
        <v/>
      </c>
      <c r="N1508" s="45">
        <f>1+(INDEX(SeasonIdx,A1508)-1)*SeasonAmp</f>
        <v/>
      </c>
      <c r="O1508" s="45">
        <f>IFERROR(INDEX(PSPct,MATCH(E1508&amp;"|"&amp;G1508,PSKey,0)),0)</f>
        <v/>
      </c>
      <c r="P1508" s="46">
        <f>INDEX(ChDoorVel,MATCH(E1508,ChName,0))*CalibScalar*(1+VelocityUplift)</f>
        <v/>
      </c>
      <c r="Q1508" s="46" t="n">
        <v>0</v>
      </c>
      <c r="R1508" s="46">
        <f>P1508*O1508*M1508*N1508*H1508</f>
        <v/>
      </c>
      <c r="S1508" s="46">
        <f>R1508*INDEX(FmtCansPerCase,MATCH(F1508,FmtName,0))</f>
        <v/>
      </c>
      <c r="T1508" s="46">
        <f>S1508/INDEX(FmtCansPerPack,MATCH(F1508,FmtName,0))</f>
        <v/>
      </c>
      <c r="U1508" s="47">
        <f>INDEX(ChBaseCP,MATCH(E1508,ChName,0))*(1+INDEX(ProvMod,MATCH(G1508,ProvCode,0)))*(1+PriceIndex)</f>
        <v/>
      </c>
      <c r="V1508" s="47">
        <f>R1508*U1508*INDEX(FmtBlendedPriceIdx,MATCH(F1508,FmtName,0))</f>
        <v/>
      </c>
      <c r="W1508" s="47">
        <f>T1508*INDEX(ProvSRP,MATCH(G1508,ProvCode,0))*(1+PriceIndex)</f>
        <v/>
      </c>
      <c r="X1508" s="47">
        <f>IF(GrossBasis="Wholesale",V1508,W1508)</f>
        <v/>
      </c>
      <c r="Y1508" s="47">
        <f>R1508*INDEX(FmtBlendedCogs,MATCH(F1508,FmtName,0))</f>
        <v/>
      </c>
      <c r="Z1508" s="47">
        <f>X1508-Y1508</f>
        <v/>
      </c>
    </row>
    <row r="1509">
      <c r="A1509" t="n">
        <v>24</v>
      </c>
      <c r="B1509" s="44">
        <f>FiscalStart+(A1509-1)*7</f>
        <v/>
      </c>
      <c r="C1509">
        <f>TEXT(B1509,"mmm yyyy")</f>
        <v/>
      </c>
      <c r="D1509">
        <f>"Q"&amp;(INT((A1509-1)/13)+1)</f>
        <v/>
      </c>
      <c r="E1509" t="inlineStr">
        <is>
          <t>Fitness</t>
        </is>
      </c>
      <c r="F1509">
        <f>IFERROR(INDEX(ChFormat,MATCH(E1509,ChName,0)),"")</f>
        <v/>
      </c>
      <c r="G1509" t="inlineStr">
        <is>
          <t>PE</t>
        </is>
      </c>
      <c r="H1509">
        <f>IF(A1509&lt;=NWeeks,1,0)</f>
        <v/>
      </c>
      <c r="I1509">
        <f>INDEX(ChLaunch,MATCH(E1509,ChName,0))</f>
        <v/>
      </c>
      <c r="J1509">
        <f>INDEX(ChWeeksFull,MATCH(E1509,ChName,0))</f>
        <v/>
      </c>
      <c r="K1509">
        <f>INDEX(ChRamp,MATCH(E1509,ChName,0))</f>
        <v/>
      </c>
      <c r="L1509" s="45">
        <f>MIN(1,MAX(0,(A1509-I1509+1)*RampSpeed/J1509))</f>
        <v/>
      </c>
      <c r="M1509" s="45">
        <f>IF(A1509&lt;I1509,0,IF(K1509="S-curve",L1509*L1509*(3-2*L1509),L1509))</f>
        <v/>
      </c>
      <c r="N1509" s="45">
        <f>1+(INDEX(SeasonIdx,A1509)-1)*SeasonAmp</f>
        <v/>
      </c>
      <c r="O1509" s="45">
        <f>IFERROR(INDEX(PSPct,MATCH(E1509&amp;"|"&amp;G1509,PSKey,0)),0)</f>
        <v/>
      </c>
      <c r="P1509" s="46">
        <f>INDEX(ChDoorVel,MATCH(E1509,ChName,0))*CalibScalar*(1+VelocityUplift)</f>
        <v/>
      </c>
      <c r="Q1509" s="46" t="n">
        <v>0</v>
      </c>
      <c r="R1509" s="46">
        <f>P1509*O1509*M1509*N1509*H1509</f>
        <v/>
      </c>
      <c r="S1509" s="46">
        <f>R1509*INDEX(FmtCansPerCase,MATCH(F1509,FmtName,0))</f>
        <v/>
      </c>
      <c r="T1509" s="46">
        <f>S1509/INDEX(FmtCansPerPack,MATCH(F1509,FmtName,0))</f>
        <v/>
      </c>
      <c r="U1509" s="47">
        <f>INDEX(ChBaseCP,MATCH(E1509,ChName,0))*(1+INDEX(ProvMod,MATCH(G1509,ProvCode,0)))*(1+PriceIndex)</f>
        <v/>
      </c>
      <c r="V1509" s="47">
        <f>R1509*U1509*INDEX(FmtBlendedPriceIdx,MATCH(F1509,FmtName,0))</f>
        <v/>
      </c>
      <c r="W1509" s="47">
        <f>T1509*INDEX(ProvSRP,MATCH(G1509,ProvCode,0))*(1+PriceIndex)</f>
        <v/>
      </c>
      <c r="X1509" s="47">
        <f>IF(GrossBasis="Wholesale",V1509,W1509)</f>
        <v/>
      </c>
      <c r="Y1509" s="47">
        <f>R1509*INDEX(FmtBlendedCogs,MATCH(F1509,FmtName,0))</f>
        <v/>
      </c>
      <c r="Z1509" s="47">
        <f>X1509-Y1509</f>
        <v/>
      </c>
    </row>
    <row r="1510">
      <c r="A1510" t="n">
        <v>25</v>
      </c>
      <c r="B1510" s="44">
        <f>FiscalStart+(A1510-1)*7</f>
        <v/>
      </c>
      <c r="C1510">
        <f>TEXT(B1510,"mmm yyyy")</f>
        <v/>
      </c>
      <c r="D1510">
        <f>"Q"&amp;(INT((A1510-1)/13)+1)</f>
        <v/>
      </c>
      <c r="E1510" t="inlineStr">
        <is>
          <t>Fitness</t>
        </is>
      </c>
      <c r="F1510">
        <f>IFERROR(INDEX(ChFormat,MATCH(E1510,ChName,0)),"")</f>
        <v/>
      </c>
      <c r="G1510" t="inlineStr">
        <is>
          <t>PE</t>
        </is>
      </c>
      <c r="H1510">
        <f>IF(A1510&lt;=NWeeks,1,0)</f>
        <v/>
      </c>
      <c r="I1510">
        <f>INDEX(ChLaunch,MATCH(E1510,ChName,0))</f>
        <v/>
      </c>
      <c r="J1510">
        <f>INDEX(ChWeeksFull,MATCH(E1510,ChName,0))</f>
        <v/>
      </c>
      <c r="K1510">
        <f>INDEX(ChRamp,MATCH(E1510,ChName,0))</f>
        <v/>
      </c>
      <c r="L1510" s="45">
        <f>MIN(1,MAX(0,(A1510-I1510+1)*RampSpeed/J1510))</f>
        <v/>
      </c>
      <c r="M1510" s="45">
        <f>IF(A1510&lt;I1510,0,IF(K1510="S-curve",L1510*L1510*(3-2*L1510),L1510))</f>
        <v/>
      </c>
      <c r="N1510" s="45">
        <f>1+(INDEX(SeasonIdx,A1510)-1)*SeasonAmp</f>
        <v/>
      </c>
      <c r="O1510" s="45">
        <f>IFERROR(INDEX(PSPct,MATCH(E1510&amp;"|"&amp;G1510,PSKey,0)),0)</f>
        <v/>
      </c>
      <c r="P1510" s="46">
        <f>INDEX(ChDoorVel,MATCH(E1510,ChName,0))*CalibScalar*(1+VelocityUplift)</f>
        <v/>
      </c>
      <c r="Q1510" s="46" t="n">
        <v>0</v>
      </c>
      <c r="R1510" s="46">
        <f>P1510*O1510*M1510*N1510*H1510</f>
        <v/>
      </c>
      <c r="S1510" s="46">
        <f>R1510*INDEX(FmtCansPerCase,MATCH(F1510,FmtName,0))</f>
        <v/>
      </c>
      <c r="T1510" s="46">
        <f>S1510/INDEX(FmtCansPerPack,MATCH(F1510,FmtName,0))</f>
        <v/>
      </c>
      <c r="U1510" s="47">
        <f>INDEX(ChBaseCP,MATCH(E1510,ChName,0))*(1+INDEX(ProvMod,MATCH(G1510,ProvCode,0)))*(1+PriceIndex)</f>
        <v/>
      </c>
      <c r="V1510" s="47">
        <f>R1510*U1510*INDEX(FmtBlendedPriceIdx,MATCH(F1510,FmtName,0))</f>
        <v/>
      </c>
      <c r="W1510" s="47">
        <f>T1510*INDEX(ProvSRP,MATCH(G1510,ProvCode,0))*(1+PriceIndex)</f>
        <v/>
      </c>
      <c r="X1510" s="47">
        <f>IF(GrossBasis="Wholesale",V1510,W1510)</f>
        <v/>
      </c>
      <c r="Y1510" s="47">
        <f>R1510*INDEX(FmtBlendedCogs,MATCH(F1510,FmtName,0))</f>
        <v/>
      </c>
      <c r="Z1510" s="47">
        <f>X1510-Y1510</f>
        <v/>
      </c>
    </row>
    <row r="1511">
      <c r="A1511" t="n">
        <v>26</v>
      </c>
      <c r="B1511" s="44">
        <f>FiscalStart+(A1511-1)*7</f>
        <v/>
      </c>
      <c r="C1511">
        <f>TEXT(B1511,"mmm yyyy")</f>
        <v/>
      </c>
      <c r="D1511">
        <f>"Q"&amp;(INT((A1511-1)/13)+1)</f>
        <v/>
      </c>
      <c r="E1511" t="inlineStr">
        <is>
          <t>Fitness</t>
        </is>
      </c>
      <c r="F1511">
        <f>IFERROR(INDEX(ChFormat,MATCH(E1511,ChName,0)),"")</f>
        <v/>
      </c>
      <c r="G1511" t="inlineStr">
        <is>
          <t>PE</t>
        </is>
      </c>
      <c r="H1511">
        <f>IF(A1511&lt;=NWeeks,1,0)</f>
        <v/>
      </c>
      <c r="I1511">
        <f>INDEX(ChLaunch,MATCH(E1511,ChName,0))</f>
        <v/>
      </c>
      <c r="J1511">
        <f>INDEX(ChWeeksFull,MATCH(E1511,ChName,0))</f>
        <v/>
      </c>
      <c r="K1511">
        <f>INDEX(ChRamp,MATCH(E1511,ChName,0))</f>
        <v/>
      </c>
      <c r="L1511" s="45">
        <f>MIN(1,MAX(0,(A1511-I1511+1)*RampSpeed/J1511))</f>
        <v/>
      </c>
      <c r="M1511" s="45">
        <f>IF(A1511&lt;I1511,0,IF(K1511="S-curve",L1511*L1511*(3-2*L1511),L1511))</f>
        <v/>
      </c>
      <c r="N1511" s="45">
        <f>1+(INDEX(SeasonIdx,A1511)-1)*SeasonAmp</f>
        <v/>
      </c>
      <c r="O1511" s="45">
        <f>IFERROR(INDEX(PSPct,MATCH(E1511&amp;"|"&amp;G1511,PSKey,0)),0)</f>
        <v/>
      </c>
      <c r="P1511" s="46">
        <f>INDEX(ChDoorVel,MATCH(E1511,ChName,0))*CalibScalar*(1+VelocityUplift)</f>
        <v/>
      </c>
      <c r="Q1511" s="46" t="n">
        <v>0</v>
      </c>
      <c r="R1511" s="46">
        <f>P1511*O1511*M1511*N1511*H1511</f>
        <v/>
      </c>
      <c r="S1511" s="46">
        <f>R1511*INDEX(FmtCansPerCase,MATCH(F1511,FmtName,0))</f>
        <v/>
      </c>
      <c r="T1511" s="46">
        <f>S1511/INDEX(FmtCansPerPack,MATCH(F1511,FmtName,0))</f>
        <v/>
      </c>
      <c r="U1511" s="47">
        <f>INDEX(ChBaseCP,MATCH(E1511,ChName,0))*(1+INDEX(ProvMod,MATCH(G1511,ProvCode,0)))*(1+PriceIndex)</f>
        <v/>
      </c>
      <c r="V1511" s="47">
        <f>R1511*U1511*INDEX(FmtBlendedPriceIdx,MATCH(F1511,FmtName,0))</f>
        <v/>
      </c>
      <c r="W1511" s="47">
        <f>T1511*INDEX(ProvSRP,MATCH(G1511,ProvCode,0))*(1+PriceIndex)</f>
        <v/>
      </c>
      <c r="X1511" s="47">
        <f>IF(GrossBasis="Wholesale",V1511,W1511)</f>
        <v/>
      </c>
      <c r="Y1511" s="47">
        <f>R1511*INDEX(FmtBlendedCogs,MATCH(F1511,FmtName,0))</f>
        <v/>
      </c>
      <c r="Z1511" s="47">
        <f>X1511-Y1511</f>
        <v/>
      </c>
    </row>
    <row r="1512">
      <c r="A1512" t="n">
        <v>27</v>
      </c>
      <c r="B1512" s="44">
        <f>FiscalStart+(A1512-1)*7</f>
        <v/>
      </c>
      <c r="C1512">
        <f>TEXT(B1512,"mmm yyyy")</f>
        <v/>
      </c>
      <c r="D1512">
        <f>"Q"&amp;(INT((A1512-1)/13)+1)</f>
        <v/>
      </c>
      <c r="E1512" t="inlineStr">
        <is>
          <t>Fitness</t>
        </is>
      </c>
      <c r="F1512">
        <f>IFERROR(INDEX(ChFormat,MATCH(E1512,ChName,0)),"")</f>
        <v/>
      </c>
      <c r="G1512" t="inlineStr">
        <is>
          <t>PE</t>
        </is>
      </c>
      <c r="H1512">
        <f>IF(A1512&lt;=NWeeks,1,0)</f>
        <v/>
      </c>
      <c r="I1512">
        <f>INDEX(ChLaunch,MATCH(E1512,ChName,0))</f>
        <v/>
      </c>
      <c r="J1512">
        <f>INDEX(ChWeeksFull,MATCH(E1512,ChName,0))</f>
        <v/>
      </c>
      <c r="K1512">
        <f>INDEX(ChRamp,MATCH(E1512,ChName,0))</f>
        <v/>
      </c>
      <c r="L1512" s="45">
        <f>MIN(1,MAX(0,(A1512-I1512+1)*RampSpeed/J1512))</f>
        <v/>
      </c>
      <c r="M1512" s="45">
        <f>IF(A1512&lt;I1512,0,IF(K1512="S-curve",L1512*L1512*(3-2*L1512),L1512))</f>
        <v/>
      </c>
      <c r="N1512" s="45">
        <f>1+(INDEX(SeasonIdx,A1512)-1)*SeasonAmp</f>
        <v/>
      </c>
      <c r="O1512" s="45">
        <f>IFERROR(INDEX(PSPct,MATCH(E1512&amp;"|"&amp;G1512,PSKey,0)),0)</f>
        <v/>
      </c>
      <c r="P1512" s="46">
        <f>INDEX(ChDoorVel,MATCH(E1512,ChName,0))*CalibScalar*(1+VelocityUplift)</f>
        <v/>
      </c>
      <c r="Q1512" s="46" t="n">
        <v>0</v>
      </c>
      <c r="R1512" s="46">
        <f>P1512*O1512*M1512*N1512*H1512</f>
        <v/>
      </c>
      <c r="S1512" s="46">
        <f>R1512*INDEX(FmtCansPerCase,MATCH(F1512,FmtName,0))</f>
        <v/>
      </c>
      <c r="T1512" s="46">
        <f>S1512/INDEX(FmtCansPerPack,MATCH(F1512,FmtName,0))</f>
        <v/>
      </c>
      <c r="U1512" s="47">
        <f>INDEX(ChBaseCP,MATCH(E1512,ChName,0))*(1+INDEX(ProvMod,MATCH(G1512,ProvCode,0)))*(1+PriceIndex)</f>
        <v/>
      </c>
      <c r="V1512" s="47">
        <f>R1512*U1512*INDEX(FmtBlendedPriceIdx,MATCH(F1512,FmtName,0))</f>
        <v/>
      </c>
      <c r="W1512" s="47">
        <f>T1512*INDEX(ProvSRP,MATCH(G1512,ProvCode,0))*(1+PriceIndex)</f>
        <v/>
      </c>
      <c r="X1512" s="47">
        <f>IF(GrossBasis="Wholesale",V1512,W1512)</f>
        <v/>
      </c>
      <c r="Y1512" s="47">
        <f>R1512*INDEX(FmtBlendedCogs,MATCH(F1512,FmtName,0))</f>
        <v/>
      </c>
      <c r="Z1512" s="47">
        <f>X1512-Y1512</f>
        <v/>
      </c>
    </row>
    <row r="1513">
      <c r="A1513" t="n">
        <v>28</v>
      </c>
      <c r="B1513" s="44">
        <f>FiscalStart+(A1513-1)*7</f>
        <v/>
      </c>
      <c r="C1513">
        <f>TEXT(B1513,"mmm yyyy")</f>
        <v/>
      </c>
      <c r="D1513">
        <f>"Q"&amp;(INT((A1513-1)/13)+1)</f>
        <v/>
      </c>
      <c r="E1513" t="inlineStr">
        <is>
          <t>Fitness</t>
        </is>
      </c>
      <c r="F1513">
        <f>IFERROR(INDEX(ChFormat,MATCH(E1513,ChName,0)),"")</f>
        <v/>
      </c>
      <c r="G1513" t="inlineStr">
        <is>
          <t>PE</t>
        </is>
      </c>
      <c r="H1513">
        <f>IF(A1513&lt;=NWeeks,1,0)</f>
        <v/>
      </c>
      <c r="I1513">
        <f>INDEX(ChLaunch,MATCH(E1513,ChName,0))</f>
        <v/>
      </c>
      <c r="J1513">
        <f>INDEX(ChWeeksFull,MATCH(E1513,ChName,0))</f>
        <v/>
      </c>
      <c r="K1513">
        <f>INDEX(ChRamp,MATCH(E1513,ChName,0))</f>
        <v/>
      </c>
      <c r="L1513" s="45">
        <f>MIN(1,MAX(0,(A1513-I1513+1)*RampSpeed/J1513))</f>
        <v/>
      </c>
      <c r="M1513" s="45">
        <f>IF(A1513&lt;I1513,0,IF(K1513="S-curve",L1513*L1513*(3-2*L1513),L1513))</f>
        <v/>
      </c>
      <c r="N1513" s="45">
        <f>1+(INDEX(SeasonIdx,A1513)-1)*SeasonAmp</f>
        <v/>
      </c>
      <c r="O1513" s="45">
        <f>IFERROR(INDEX(PSPct,MATCH(E1513&amp;"|"&amp;G1513,PSKey,0)),0)</f>
        <v/>
      </c>
      <c r="P1513" s="46">
        <f>INDEX(ChDoorVel,MATCH(E1513,ChName,0))*CalibScalar*(1+VelocityUplift)</f>
        <v/>
      </c>
      <c r="Q1513" s="46" t="n">
        <v>0</v>
      </c>
      <c r="R1513" s="46">
        <f>P1513*O1513*M1513*N1513*H1513</f>
        <v/>
      </c>
      <c r="S1513" s="46">
        <f>R1513*INDEX(FmtCansPerCase,MATCH(F1513,FmtName,0))</f>
        <v/>
      </c>
      <c r="T1513" s="46">
        <f>S1513/INDEX(FmtCansPerPack,MATCH(F1513,FmtName,0))</f>
        <v/>
      </c>
      <c r="U1513" s="47">
        <f>INDEX(ChBaseCP,MATCH(E1513,ChName,0))*(1+INDEX(ProvMod,MATCH(G1513,ProvCode,0)))*(1+PriceIndex)</f>
        <v/>
      </c>
      <c r="V1513" s="47">
        <f>R1513*U1513*INDEX(FmtBlendedPriceIdx,MATCH(F1513,FmtName,0))</f>
        <v/>
      </c>
      <c r="W1513" s="47">
        <f>T1513*INDEX(ProvSRP,MATCH(G1513,ProvCode,0))*(1+PriceIndex)</f>
        <v/>
      </c>
      <c r="X1513" s="47">
        <f>IF(GrossBasis="Wholesale",V1513,W1513)</f>
        <v/>
      </c>
      <c r="Y1513" s="47">
        <f>R1513*INDEX(FmtBlendedCogs,MATCH(F1513,FmtName,0))</f>
        <v/>
      </c>
      <c r="Z1513" s="47">
        <f>X1513-Y1513</f>
        <v/>
      </c>
    </row>
    <row r="1514">
      <c r="A1514" t="n">
        <v>29</v>
      </c>
      <c r="B1514" s="44">
        <f>FiscalStart+(A1514-1)*7</f>
        <v/>
      </c>
      <c r="C1514">
        <f>TEXT(B1514,"mmm yyyy")</f>
        <v/>
      </c>
      <c r="D1514">
        <f>"Q"&amp;(INT((A1514-1)/13)+1)</f>
        <v/>
      </c>
      <c r="E1514" t="inlineStr">
        <is>
          <t>Fitness</t>
        </is>
      </c>
      <c r="F1514">
        <f>IFERROR(INDEX(ChFormat,MATCH(E1514,ChName,0)),"")</f>
        <v/>
      </c>
      <c r="G1514" t="inlineStr">
        <is>
          <t>PE</t>
        </is>
      </c>
      <c r="H1514">
        <f>IF(A1514&lt;=NWeeks,1,0)</f>
        <v/>
      </c>
      <c r="I1514">
        <f>INDEX(ChLaunch,MATCH(E1514,ChName,0))</f>
        <v/>
      </c>
      <c r="J1514">
        <f>INDEX(ChWeeksFull,MATCH(E1514,ChName,0))</f>
        <v/>
      </c>
      <c r="K1514">
        <f>INDEX(ChRamp,MATCH(E1514,ChName,0))</f>
        <v/>
      </c>
      <c r="L1514" s="45">
        <f>MIN(1,MAX(0,(A1514-I1514+1)*RampSpeed/J1514))</f>
        <v/>
      </c>
      <c r="M1514" s="45">
        <f>IF(A1514&lt;I1514,0,IF(K1514="S-curve",L1514*L1514*(3-2*L1514),L1514))</f>
        <v/>
      </c>
      <c r="N1514" s="45">
        <f>1+(INDEX(SeasonIdx,A1514)-1)*SeasonAmp</f>
        <v/>
      </c>
      <c r="O1514" s="45">
        <f>IFERROR(INDEX(PSPct,MATCH(E1514&amp;"|"&amp;G1514,PSKey,0)),0)</f>
        <v/>
      </c>
      <c r="P1514" s="46">
        <f>INDEX(ChDoorVel,MATCH(E1514,ChName,0))*CalibScalar*(1+VelocityUplift)</f>
        <v/>
      </c>
      <c r="Q1514" s="46" t="n">
        <v>0</v>
      </c>
      <c r="R1514" s="46">
        <f>P1514*O1514*M1514*N1514*H1514</f>
        <v/>
      </c>
      <c r="S1514" s="46">
        <f>R1514*INDEX(FmtCansPerCase,MATCH(F1514,FmtName,0))</f>
        <v/>
      </c>
      <c r="T1514" s="46">
        <f>S1514/INDEX(FmtCansPerPack,MATCH(F1514,FmtName,0))</f>
        <v/>
      </c>
      <c r="U1514" s="47">
        <f>INDEX(ChBaseCP,MATCH(E1514,ChName,0))*(1+INDEX(ProvMod,MATCH(G1514,ProvCode,0)))*(1+PriceIndex)</f>
        <v/>
      </c>
      <c r="V1514" s="47">
        <f>R1514*U1514*INDEX(FmtBlendedPriceIdx,MATCH(F1514,FmtName,0))</f>
        <v/>
      </c>
      <c r="W1514" s="47">
        <f>T1514*INDEX(ProvSRP,MATCH(G1514,ProvCode,0))*(1+PriceIndex)</f>
        <v/>
      </c>
      <c r="X1514" s="47">
        <f>IF(GrossBasis="Wholesale",V1514,W1514)</f>
        <v/>
      </c>
      <c r="Y1514" s="47">
        <f>R1514*INDEX(FmtBlendedCogs,MATCH(F1514,FmtName,0))</f>
        <v/>
      </c>
      <c r="Z1514" s="47">
        <f>X1514-Y1514</f>
        <v/>
      </c>
    </row>
    <row r="1515">
      <c r="A1515" t="n">
        <v>30</v>
      </c>
      <c r="B1515" s="44">
        <f>FiscalStart+(A1515-1)*7</f>
        <v/>
      </c>
      <c r="C1515">
        <f>TEXT(B1515,"mmm yyyy")</f>
        <v/>
      </c>
      <c r="D1515">
        <f>"Q"&amp;(INT((A1515-1)/13)+1)</f>
        <v/>
      </c>
      <c r="E1515" t="inlineStr">
        <is>
          <t>Fitness</t>
        </is>
      </c>
      <c r="F1515">
        <f>IFERROR(INDEX(ChFormat,MATCH(E1515,ChName,0)),"")</f>
        <v/>
      </c>
      <c r="G1515" t="inlineStr">
        <is>
          <t>PE</t>
        </is>
      </c>
      <c r="H1515">
        <f>IF(A1515&lt;=NWeeks,1,0)</f>
        <v/>
      </c>
      <c r="I1515">
        <f>INDEX(ChLaunch,MATCH(E1515,ChName,0))</f>
        <v/>
      </c>
      <c r="J1515">
        <f>INDEX(ChWeeksFull,MATCH(E1515,ChName,0))</f>
        <v/>
      </c>
      <c r="K1515">
        <f>INDEX(ChRamp,MATCH(E1515,ChName,0))</f>
        <v/>
      </c>
      <c r="L1515" s="45">
        <f>MIN(1,MAX(0,(A1515-I1515+1)*RampSpeed/J1515))</f>
        <v/>
      </c>
      <c r="M1515" s="45">
        <f>IF(A1515&lt;I1515,0,IF(K1515="S-curve",L1515*L1515*(3-2*L1515),L1515))</f>
        <v/>
      </c>
      <c r="N1515" s="45">
        <f>1+(INDEX(SeasonIdx,A1515)-1)*SeasonAmp</f>
        <v/>
      </c>
      <c r="O1515" s="45">
        <f>IFERROR(INDEX(PSPct,MATCH(E1515&amp;"|"&amp;G1515,PSKey,0)),0)</f>
        <v/>
      </c>
      <c r="P1515" s="46">
        <f>INDEX(ChDoorVel,MATCH(E1515,ChName,0))*CalibScalar*(1+VelocityUplift)</f>
        <v/>
      </c>
      <c r="Q1515" s="46" t="n">
        <v>0</v>
      </c>
      <c r="R1515" s="46">
        <f>P1515*O1515*M1515*N1515*H1515</f>
        <v/>
      </c>
      <c r="S1515" s="46">
        <f>R1515*INDEX(FmtCansPerCase,MATCH(F1515,FmtName,0))</f>
        <v/>
      </c>
      <c r="T1515" s="46">
        <f>S1515/INDEX(FmtCansPerPack,MATCH(F1515,FmtName,0))</f>
        <v/>
      </c>
      <c r="U1515" s="47">
        <f>INDEX(ChBaseCP,MATCH(E1515,ChName,0))*(1+INDEX(ProvMod,MATCH(G1515,ProvCode,0)))*(1+PriceIndex)</f>
        <v/>
      </c>
      <c r="V1515" s="47">
        <f>R1515*U1515*INDEX(FmtBlendedPriceIdx,MATCH(F1515,FmtName,0))</f>
        <v/>
      </c>
      <c r="W1515" s="47">
        <f>T1515*INDEX(ProvSRP,MATCH(G1515,ProvCode,0))*(1+PriceIndex)</f>
        <v/>
      </c>
      <c r="X1515" s="47">
        <f>IF(GrossBasis="Wholesale",V1515,W1515)</f>
        <v/>
      </c>
      <c r="Y1515" s="47">
        <f>R1515*INDEX(FmtBlendedCogs,MATCH(F1515,FmtName,0))</f>
        <v/>
      </c>
      <c r="Z1515" s="47">
        <f>X1515-Y1515</f>
        <v/>
      </c>
    </row>
    <row r="1516">
      <c r="A1516" t="n">
        <v>31</v>
      </c>
      <c r="B1516" s="44">
        <f>FiscalStart+(A1516-1)*7</f>
        <v/>
      </c>
      <c r="C1516">
        <f>TEXT(B1516,"mmm yyyy")</f>
        <v/>
      </c>
      <c r="D1516">
        <f>"Q"&amp;(INT((A1516-1)/13)+1)</f>
        <v/>
      </c>
      <c r="E1516" t="inlineStr">
        <is>
          <t>Fitness</t>
        </is>
      </c>
      <c r="F1516">
        <f>IFERROR(INDEX(ChFormat,MATCH(E1516,ChName,0)),"")</f>
        <v/>
      </c>
      <c r="G1516" t="inlineStr">
        <is>
          <t>PE</t>
        </is>
      </c>
      <c r="H1516">
        <f>IF(A1516&lt;=NWeeks,1,0)</f>
        <v/>
      </c>
      <c r="I1516">
        <f>INDEX(ChLaunch,MATCH(E1516,ChName,0))</f>
        <v/>
      </c>
      <c r="J1516">
        <f>INDEX(ChWeeksFull,MATCH(E1516,ChName,0))</f>
        <v/>
      </c>
      <c r="K1516">
        <f>INDEX(ChRamp,MATCH(E1516,ChName,0))</f>
        <v/>
      </c>
      <c r="L1516" s="45">
        <f>MIN(1,MAX(0,(A1516-I1516+1)*RampSpeed/J1516))</f>
        <v/>
      </c>
      <c r="M1516" s="45">
        <f>IF(A1516&lt;I1516,0,IF(K1516="S-curve",L1516*L1516*(3-2*L1516),L1516))</f>
        <v/>
      </c>
      <c r="N1516" s="45">
        <f>1+(INDEX(SeasonIdx,A1516)-1)*SeasonAmp</f>
        <v/>
      </c>
      <c r="O1516" s="45">
        <f>IFERROR(INDEX(PSPct,MATCH(E1516&amp;"|"&amp;G1516,PSKey,0)),0)</f>
        <v/>
      </c>
      <c r="P1516" s="46">
        <f>INDEX(ChDoorVel,MATCH(E1516,ChName,0))*CalibScalar*(1+VelocityUplift)</f>
        <v/>
      </c>
      <c r="Q1516" s="46" t="n">
        <v>0</v>
      </c>
      <c r="R1516" s="46">
        <f>P1516*O1516*M1516*N1516*H1516</f>
        <v/>
      </c>
      <c r="S1516" s="46">
        <f>R1516*INDEX(FmtCansPerCase,MATCH(F1516,FmtName,0))</f>
        <v/>
      </c>
      <c r="T1516" s="46">
        <f>S1516/INDEX(FmtCansPerPack,MATCH(F1516,FmtName,0))</f>
        <v/>
      </c>
      <c r="U1516" s="47">
        <f>INDEX(ChBaseCP,MATCH(E1516,ChName,0))*(1+INDEX(ProvMod,MATCH(G1516,ProvCode,0)))*(1+PriceIndex)</f>
        <v/>
      </c>
      <c r="V1516" s="47">
        <f>R1516*U1516*INDEX(FmtBlendedPriceIdx,MATCH(F1516,FmtName,0))</f>
        <v/>
      </c>
      <c r="W1516" s="47">
        <f>T1516*INDEX(ProvSRP,MATCH(G1516,ProvCode,0))*(1+PriceIndex)</f>
        <v/>
      </c>
      <c r="X1516" s="47">
        <f>IF(GrossBasis="Wholesale",V1516,W1516)</f>
        <v/>
      </c>
      <c r="Y1516" s="47">
        <f>R1516*INDEX(FmtBlendedCogs,MATCH(F1516,FmtName,0))</f>
        <v/>
      </c>
      <c r="Z1516" s="47">
        <f>X1516-Y1516</f>
        <v/>
      </c>
    </row>
    <row r="1517">
      <c r="A1517" t="n">
        <v>32</v>
      </c>
      <c r="B1517" s="44">
        <f>FiscalStart+(A1517-1)*7</f>
        <v/>
      </c>
      <c r="C1517">
        <f>TEXT(B1517,"mmm yyyy")</f>
        <v/>
      </c>
      <c r="D1517">
        <f>"Q"&amp;(INT((A1517-1)/13)+1)</f>
        <v/>
      </c>
      <c r="E1517" t="inlineStr">
        <is>
          <t>Fitness</t>
        </is>
      </c>
      <c r="F1517">
        <f>IFERROR(INDEX(ChFormat,MATCH(E1517,ChName,0)),"")</f>
        <v/>
      </c>
      <c r="G1517" t="inlineStr">
        <is>
          <t>PE</t>
        </is>
      </c>
      <c r="H1517">
        <f>IF(A1517&lt;=NWeeks,1,0)</f>
        <v/>
      </c>
      <c r="I1517">
        <f>INDEX(ChLaunch,MATCH(E1517,ChName,0))</f>
        <v/>
      </c>
      <c r="J1517">
        <f>INDEX(ChWeeksFull,MATCH(E1517,ChName,0))</f>
        <v/>
      </c>
      <c r="K1517">
        <f>INDEX(ChRamp,MATCH(E1517,ChName,0))</f>
        <v/>
      </c>
      <c r="L1517" s="45">
        <f>MIN(1,MAX(0,(A1517-I1517+1)*RampSpeed/J1517))</f>
        <v/>
      </c>
      <c r="M1517" s="45">
        <f>IF(A1517&lt;I1517,0,IF(K1517="S-curve",L1517*L1517*(3-2*L1517),L1517))</f>
        <v/>
      </c>
      <c r="N1517" s="45">
        <f>1+(INDEX(SeasonIdx,A1517)-1)*SeasonAmp</f>
        <v/>
      </c>
      <c r="O1517" s="45">
        <f>IFERROR(INDEX(PSPct,MATCH(E1517&amp;"|"&amp;G1517,PSKey,0)),0)</f>
        <v/>
      </c>
      <c r="P1517" s="46">
        <f>INDEX(ChDoorVel,MATCH(E1517,ChName,0))*CalibScalar*(1+VelocityUplift)</f>
        <v/>
      </c>
      <c r="Q1517" s="46" t="n">
        <v>0</v>
      </c>
      <c r="R1517" s="46">
        <f>P1517*O1517*M1517*N1517*H1517</f>
        <v/>
      </c>
      <c r="S1517" s="46">
        <f>R1517*INDEX(FmtCansPerCase,MATCH(F1517,FmtName,0))</f>
        <v/>
      </c>
      <c r="T1517" s="46">
        <f>S1517/INDEX(FmtCansPerPack,MATCH(F1517,FmtName,0))</f>
        <v/>
      </c>
      <c r="U1517" s="47">
        <f>INDEX(ChBaseCP,MATCH(E1517,ChName,0))*(1+INDEX(ProvMod,MATCH(G1517,ProvCode,0)))*(1+PriceIndex)</f>
        <v/>
      </c>
      <c r="V1517" s="47">
        <f>R1517*U1517*INDEX(FmtBlendedPriceIdx,MATCH(F1517,FmtName,0))</f>
        <v/>
      </c>
      <c r="W1517" s="47">
        <f>T1517*INDEX(ProvSRP,MATCH(G1517,ProvCode,0))*(1+PriceIndex)</f>
        <v/>
      </c>
      <c r="X1517" s="47">
        <f>IF(GrossBasis="Wholesale",V1517,W1517)</f>
        <v/>
      </c>
      <c r="Y1517" s="47">
        <f>R1517*INDEX(FmtBlendedCogs,MATCH(F1517,FmtName,0))</f>
        <v/>
      </c>
      <c r="Z1517" s="47">
        <f>X1517-Y1517</f>
        <v/>
      </c>
    </row>
    <row r="1518">
      <c r="A1518" t="n">
        <v>33</v>
      </c>
      <c r="B1518" s="44">
        <f>FiscalStart+(A1518-1)*7</f>
        <v/>
      </c>
      <c r="C1518">
        <f>TEXT(B1518,"mmm yyyy")</f>
        <v/>
      </c>
      <c r="D1518">
        <f>"Q"&amp;(INT((A1518-1)/13)+1)</f>
        <v/>
      </c>
      <c r="E1518" t="inlineStr">
        <is>
          <t>Fitness</t>
        </is>
      </c>
      <c r="F1518">
        <f>IFERROR(INDEX(ChFormat,MATCH(E1518,ChName,0)),"")</f>
        <v/>
      </c>
      <c r="G1518" t="inlineStr">
        <is>
          <t>PE</t>
        </is>
      </c>
      <c r="H1518">
        <f>IF(A1518&lt;=NWeeks,1,0)</f>
        <v/>
      </c>
      <c r="I1518">
        <f>INDEX(ChLaunch,MATCH(E1518,ChName,0))</f>
        <v/>
      </c>
      <c r="J1518">
        <f>INDEX(ChWeeksFull,MATCH(E1518,ChName,0))</f>
        <v/>
      </c>
      <c r="K1518">
        <f>INDEX(ChRamp,MATCH(E1518,ChName,0))</f>
        <v/>
      </c>
      <c r="L1518" s="45">
        <f>MIN(1,MAX(0,(A1518-I1518+1)*RampSpeed/J1518))</f>
        <v/>
      </c>
      <c r="M1518" s="45">
        <f>IF(A1518&lt;I1518,0,IF(K1518="S-curve",L1518*L1518*(3-2*L1518),L1518))</f>
        <v/>
      </c>
      <c r="N1518" s="45">
        <f>1+(INDEX(SeasonIdx,A1518)-1)*SeasonAmp</f>
        <v/>
      </c>
      <c r="O1518" s="45">
        <f>IFERROR(INDEX(PSPct,MATCH(E1518&amp;"|"&amp;G1518,PSKey,0)),0)</f>
        <v/>
      </c>
      <c r="P1518" s="46">
        <f>INDEX(ChDoorVel,MATCH(E1518,ChName,0))*CalibScalar*(1+VelocityUplift)</f>
        <v/>
      </c>
      <c r="Q1518" s="46" t="n">
        <v>0</v>
      </c>
      <c r="R1518" s="46">
        <f>P1518*O1518*M1518*N1518*H1518</f>
        <v/>
      </c>
      <c r="S1518" s="46">
        <f>R1518*INDEX(FmtCansPerCase,MATCH(F1518,FmtName,0))</f>
        <v/>
      </c>
      <c r="T1518" s="46">
        <f>S1518/INDEX(FmtCansPerPack,MATCH(F1518,FmtName,0))</f>
        <v/>
      </c>
      <c r="U1518" s="47">
        <f>INDEX(ChBaseCP,MATCH(E1518,ChName,0))*(1+INDEX(ProvMod,MATCH(G1518,ProvCode,0)))*(1+PriceIndex)</f>
        <v/>
      </c>
      <c r="V1518" s="47">
        <f>R1518*U1518*INDEX(FmtBlendedPriceIdx,MATCH(F1518,FmtName,0))</f>
        <v/>
      </c>
      <c r="W1518" s="47">
        <f>T1518*INDEX(ProvSRP,MATCH(G1518,ProvCode,0))*(1+PriceIndex)</f>
        <v/>
      </c>
      <c r="X1518" s="47">
        <f>IF(GrossBasis="Wholesale",V1518,W1518)</f>
        <v/>
      </c>
      <c r="Y1518" s="47">
        <f>R1518*INDEX(FmtBlendedCogs,MATCH(F1518,FmtName,0))</f>
        <v/>
      </c>
      <c r="Z1518" s="47">
        <f>X1518-Y1518</f>
        <v/>
      </c>
    </row>
    <row r="1519">
      <c r="A1519" t="n">
        <v>34</v>
      </c>
      <c r="B1519" s="44">
        <f>FiscalStart+(A1519-1)*7</f>
        <v/>
      </c>
      <c r="C1519">
        <f>TEXT(B1519,"mmm yyyy")</f>
        <v/>
      </c>
      <c r="D1519">
        <f>"Q"&amp;(INT((A1519-1)/13)+1)</f>
        <v/>
      </c>
      <c r="E1519" t="inlineStr">
        <is>
          <t>Fitness</t>
        </is>
      </c>
      <c r="F1519">
        <f>IFERROR(INDEX(ChFormat,MATCH(E1519,ChName,0)),"")</f>
        <v/>
      </c>
      <c r="G1519" t="inlineStr">
        <is>
          <t>PE</t>
        </is>
      </c>
      <c r="H1519">
        <f>IF(A1519&lt;=NWeeks,1,0)</f>
        <v/>
      </c>
      <c r="I1519">
        <f>INDEX(ChLaunch,MATCH(E1519,ChName,0))</f>
        <v/>
      </c>
      <c r="J1519">
        <f>INDEX(ChWeeksFull,MATCH(E1519,ChName,0))</f>
        <v/>
      </c>
      <c r="K1519">
        <f>INDEX(ChRamp,MATCH(E1519,ChName,0))</f>
        <v/>
      </c>
      <c r="L1519" s="45">
        <f>MIN(1,MAX(0,(A1519-I1519+1)*RampSpeed/J1519))</f>
        <v/>
      </c>
      <c r="M1519" s="45">
        <f>IF(A1519&lt;I1519,0,IF(K1519="S-curve",L1519*L1519*(3-2*L1519),L1519))</f>
        <v/>
      </c>
      <c r="N1519" s="45">
        <f>1+(INDEX(SeasonIdx,A1519)-1)*SeasonAmp</f>
        <v/>
      </c>
      <c r="O1519" s="45">
        <f>IFERROR(INDEX(PSPct,MATCH(E1519&amp;"|"&amp;G1519,PSKey,0)),0)</f>
        <v/>
      </c>
      <c r="P1519" s="46">
        <f>INDEX(ChDoorVel,MATCH(E1519,ChName,0))*CalibScalar*(1+VelocityUplift)</f>
        <v/>
      </c>
      <c r="Q1519" s="46" t="n">
        <v>0</v>
      </c>
      <c r="R1519" s="46">
        <f>P1519*O1519*M1519*N1519*H1519</f>
        <v/>
      </c>
      <c r="S1519" s="46">
        <f>R1519*INDEX(FmtCansPerCase,MATCH(F1519,FmtName,0))</f>
        <v/>
      </c>
      <c r="T1519" s="46">
        <f>S1519/INDEX(FmtCansPerPack,MATCH(F1519,FmtName,0))</f>
        <v/>
      </c>
      <c r="U1519" s="47">
        <f>INDEX(ChBaseCP,MATCH(E1519,ChName,0))*(1+INDEX(ProvMod,MATCH(G1519,ProvCode,0)))*(1+PriceIndex)</f>
        <v/>
      </c>
      <c r="V1519" s="47">
        <f>R1519*U1519*INDEX(FmtBlendedPriceIdx,MATCH(F1519,FmtName,0))</f>
        <v/>
      </c>
      <c r="W1519" s="47">
        <f>T1519*INDEX(ProvSRP,MATCH(G1519,ProvCode,0))*(1+PriceIndex)</f>
        <v/>
      </c>
      <c r="X1519" s="47">
        <f>IF(GrossBasis="Wholesale",V1519,W1519)</f>
        <v/>
      </c>
      <c r="Y1519" s="47">
        <f>R1519*INDEX(FmtBlendedCogs,MATCH(F1519,FmtName,0))</f>
        <v/>
      </c>
      <c r="Z1519" s="47">
        <f>X1519-Y1519</f>
        <v/>
      </c>
    </row>
    <row r="1520">
      <c r="A1520" t="n">
        <v>35</v>
      </c>
      <c r="B1520" s="44">
        <f>FiscalStart+(A1520-1)*7</f>
        <v/>
      </c>
      <c r="C1520">
        <f>TEXT(B1520,"mmm yyyy")</f>
        <v/>
      </c>
      <c r="D1520">
        <f>"Q"&amp;(INT((A1520-1)/13)+1)</f>
        <v/>
      </c>
      <c r="E1520" t="inlineStr">
        <is>
          <t>Fitness</t>
        </is>
      </c>
      <c r="F1520">
        <f>IFERROR(INDEX(ChFormat,MATCH(E1520,ChName,0)),"")</f>
        <v/>
      </c>
      <c r="G1520" t="inlineStr">
        <is>
          <t>PE</t>
        </is>
      </c>
      <c r="H1520">
        <f>IF(A1520&lt;=NWeeks,1,0)</f>
        <v/>
      </c>
      <c r="I1520">
        <f>INDEX(ChLaunch,MATCH(E1520,ChName,0))</f>
        <v/>
      </c>
      <c r="J1520">
        <f>INDEX(ChWeeksFull,MATCH(E1520,ChName,0))</f>
        <v/>
      </c>
      <c r="K1520">
        <f>INDEX(ChRamp,MATCH(E1520,ChName,0))</f>
        <v/>
      </c>
      <c r="L1520" s="45">
        <f>MIN(1,MAX(0,(A1520-I1520+1)*RampSpeed/J1520))</f>
        <v/>
      </c>
      <c r="M1520" s="45">
        <f>IF(A1520&lt;I1520,0,IF(K1520="S-curve",L1520*L1520*(3-2*L1520),L1520))</f>
        <v/>
      </c>
      <c r="N1520" s="45">
        <f>1+(INDEX(SeasonIdx,A1520)-1)*SeasonAmp</f>
        <v/>
      </c>
      <c r="O1520" s="45">
        <f>IFERROR(INDEX(PSPct,MATCH(E1520&amp;"|"&amp;G1520,PSKey,0)),0)</f>
        <v/>
      </c>
      <c r="P1520" s="46">
        <f>INDEX(ChDoorVel,MATCH(E1520,ChName,0))*CalibScalar*(1+VelocityUplift)</f>
        <v/>
      </c>
      <c r="Q1520" s="46" t="n">
        <v>0</v>
      </c>
      <c r="R1520" s="46">
        <f>P1520*O1520*M1520*N1520*H1520</f>
        <v/>
      </c>
      <c r="S1520" s="46">
        <f>R1520*INDEX(FmtCansPerCase,MATCH(F1520,FmtName,0))</f>
        <v/>
      </c>
      <c r="T1520" s="46">
        <f>S1520/INDEX(FmtCansPerPack,MATCH(F1520,FmtName,0))</f>
        <v/>
      </c>
      <c r="U1520" s="47">
        <f>INDEX(ChBaseCP,MATCH(E1520,ChName,0))*(1+INDEX(ProvMod,MATCH(G1520,ProvCode,0)))*(1+PriceIndex)</f>
        <v/>
      </c>
      <c r="V1520" s="47">
        <f>R1520*U1520*INDEX(FmtBlendedPriceIdx,MATCH(F1520,FmtName,0))</f>
        <v/>
      </c>
      <c r="W1520" s="47">
        <f>T1520*INDEX(ProvSRP,MATCH(G1520,ProvCode,0))*(1+PriceIndex)</f>
        <v/>
      </c>
      <c r="X1520" s="47">
        <f>IF(GrossBasis="Wholesale",V1520,W1520)</f>
        <v/>
      </c>
      <c r="Y1520" s="47">
        <f>R1520*INDEX(FmtBlendedCogs,MATCH(F1520,FmtName,0))</f>
        <v/>
      </c>
      <c r="Z1520" s="47">
        <f>X1520-Y1520</f>
        <v/>
      </c>
    </row>
    <row r="1521">
      <c r="A1521" t="n">
        <v>36</v>
      </c>
      <c r="B1521" s="44">
        <f>FiscalStart+(A1521-1)*7</f>
        <v/>
      </c>
      <c r="C1521">
        <f>TEXT(B1521,"mmm yyyy")</f>
        <v/>
      </c>
      <c r="D1521">
        <f>"Q"&amp;(INT((A1521-1)/13)+1)</f>
        <v/>
      </c>
      <c r="E1521" t="inlineStr">
        <is>
          <t>Fitness</t>
        </is>
      </c>
      <c r="F1521">
        <f>IFERROR(INDEX(ChFormat,MATCH(E1521,ChName,0)),"")</f>
        <v/>
      </c>
      <c r="G1521" t="inlineStr">
        <is>
          <t>PE</t>
        </is>
      </c>
      <c r="H1521">
        <f>IF(A1521&lt;=NWeeks,1,0)</f>
        <v/>
      </c>
      <c r="I1521">
        <f>INDEX(ChLaunch,MATCH(E1521,ChName,0))</f>
        <v/>
      </c>
      <c r="J1521">
        <f>INDEX(ChWeeksFull,MATCH(E1521,ChName,0))</f>
        <v/>
      </c>
      <c r="K1521">
        <f>INDEX(ChRamp,MATCH(E1521,ChName,0))</f>
        <v/>
      </c>
      <c r="L1521" s="45">
        <f>MIN(1,MAX(0,(A1521-I1521+1)*RampSpeed/J1521))</f>
        <v/>
      </c>
      <c r="M1521" s="45">
        <f>IF(A1521&lt;I1521,0,IF(K1521="S-curve",L1521*L1521*(3-2*L1521),L1521))</f>
        <v/>
      </c>
      <c r="N1521" s="45">
        <f>1+(INDEX(SeasonIdx,A1521)-1)*SeasonAmp</f>
        <v/>
      </c>
      <c r="O1521" s="45">
        <f>IFERROR(INDEX(PSPct,MATCH(E1521&amp;"|"&amp;G1521,PSKey,0)),0)</f>
        <v/>
      </c>
      <c r="P1521" s="46">
        <f>INDEX(ChDoorVel,MATCH(E1521,ChName,0))*CalibScalar*(1+VelocityUplift)</f>
        <v/>
      </c>
      <c r="Q1521" s="46" t="n">
        <v>0</v>
      </c>
      <c r="R1521" s="46">
        <f>P1521*O1521*M1521*N1521*H1521</f>
        <v/>
      </c>
      <c r="S1521" s="46">
        <f>R1521*INDEX(FmtCansPerCase,MATCH(F1521,FmtName,0))</f>
        <v/>
      </c>
      <c r="T1521" s="46">
        <f>S1521/INDEX(FmtCansPerPack,MATCH(F1521,FmtName,0))</f>
        <v/>
      </c>
      <c r="U1521" s="47">
        <f>INDEX(ChBaseCP,MATCH(E1521,ChName,0))*(1+INDEX(ProvMod,MATCH(G1521,ProvCode,0)))*(1+PriceIndex)</f>
        <v/>
      </c>
      <c r="V1521" s="47">
        <f>R1521*U1521*INDEX(FmtBlendedPriceIdx,MATCH(F1521,FmtName,0))</f>
        <v/>
      </c>
      <c r="W1521" s="47">
        <f>T1521*INDEX(ProvSRP,MATCH(G1521,ProvCode,0))*(1+PriceIndex)</f>
        <v/>
      </c>
      <c r="X1521" s="47">
        <f>IF(GrossBasis="Wholesale",V1521,W1521)</f>
        <v/>
      </c>
      <c r="Y1521" s="47">
        <f>R1521*INDEX(FmtBlendedCogs,MATCH(F1521,FmtName,0))</f>
        <v/>
      </c>
      <c r="Z1521" s="47">
        <f>X1521-Y1521</f>
        <v/>
      </c>
    </row>
    <row r="1522">
      <c r="A1522" t="n">
        <v>37</v>
      </c>
      <c r="B1522" s="44">
        <f>FiscalStart+(A1522-1)*7</f>
        <v/>
      </c>
      <c r="C1522">
        <f>TEXT(B1522,"mmm yyyy")</f>
        <v/>
      </c>
      <c r="D1522">
        <f>"Q"&amp;(INT((A1522-1)/13)+1)</f>
        <v/>
      </c>
      <c r="E1522" t="inlineStr">
        <is>
          <t>Fitness</t>
        </is>
      </c>
      <c r="F1522">
        <f>IFERROR(INDEX(ChFormat,MATCH(E1522,ChName,0)),"")</f>
        <v/>
      </c>
      <c r="G1522" t="inlineStr">
        <is>
          <t>PE</t>
        </is>
      </c>
      <c r="H1522">
        <f>IF(A1522&lt;=NWeeks,1,0)</f>
        <v/>
      </c>
      <c r="I1522">
        <f>INDEX(ChLaunch,MATCH(E1522,ChName,0))</f>
        <v/>
      </c>
      <c r="J1522">
        <f>INDEX(ChWeeksFull,MATCH(E1522,ChName,0))</f>
        <v/>
      </c>
      <c r="K1522">
        <f>INDEX(ChRamp,MATCH(E1522,ChName,0))</f>
        <v/>
      </c>
      <c r="L1522" s="45">
        <f>MIN(1,MAX(0,(A1522-I1522+1)*RampSpeed/J1522))</f>
        <v/>
      </c>
      <c r="M1522" s="45">
        <f>IF(A1522&lt;I1522,0,IF(K1522="S-curve",L1522*L1522*(3-2*L1522),L1522))</f>
        <v/>
      </c>
      <c r="N1522" s="45">
        <f>1+(INDEX(SeasonIdx,A1522)-1)*SeasonAmp</f>
        <v/>
      </c>
      <c r="O1522" s="45">
        <f>IFERROR(INDEX(PSPct,MATCH(E1522&amp;"|"&amp;G1522,PSKey,0)),0)</f>
        <v/>
      </c>
      <c r="P1522" s="46">
        <f>INDEX(ChDoorVel,MATCH(E1522,ChName,0))*CalibScalar*(1+VelocityUplift)</f>
        <v/>
      </c>
      <c r="Q1522" s="46" t="n">
        <v>0</v>
      </c>
      <c r="R1522" s="46">
        <f>P1522*O1522*M1522*N1522*H1522</f>
        <v/>
      </c>
      <c r="S1522" s="46">
        <f>R1522*INDEX(FmtCansPerCase,MATCH(F1522,FmtName,0))</f>
        <v/>
      </c>
      <c r="T1522" s="46">
        <f>S1522/INDEX(FmtCansPerPack,MATCH(F1522,FmtName,0))</f>
        <v/>
      </c>
      <c r="U1522" s="47">
        <f>INDEX(ChBaseCP,MATCH(E1522,ChName,0))*(1+INDEX(ProvMod,MATCH(G1522,ProvCode,0)))*(1+PriceIndex)</f>
        <v/>
      </c>
      <c r="V1522" s="47">
        <f>R1522*U1522*INDEX(FmtBlendedPriceIdx,MATCH(F1522,FmtName,0))</f>
        <v/>
      </c>
      <c r="W1522" s="47">
        <f>T1522*INDEX(ProvSRP,MATCH(G1522,ProvCode,0))*(1+PriceIndex)</f>
        <v/>
      </c>
      <c r="X1522" s="47">
        <f>IF(GrossBasis="Wholesale",V1522,W1522)</f>
        <v/>
      </c>
      <c r="Y1522" s="47">
        <f>R1522*INDEX(FmtBlendedCogs,MATCH(F1522,FmtName,0))</f>
        <v/>
      </c>
      <c r="Z1522" s="47">
        <f>X1522-Y1522</f>
        <v/>
      </c>
    </row>
    <row r="1523">
      <c r="A1523" t="n">
        <v>38</v>
      </c>
      <c r="B1523" s="44">
        <f>FiscalStart+(A1523-1)*7</f>
        <v/>
      </c>
      <c r="C1523">
        <f>TEXT(B1523,"mmm yyyy")</f>
        <v/>
      </c>
      <c r="D1523">
        <f>"Q"&amp;(INT((A1523-1)/13)+1)</f>
        <v/>
      </c>
      <c r="E1523" t="inlineStr">
        <is>
          <t>Fitness</t>
        </is>
      </c>
      <c r="F1523">
        <f>IFERROR(INDEX(ChFormat,MATCH(E1523,ChName,0)),"")</f>
        <v/>
      </c>
      <c r="G1523" t="inlineStr">
        <is>
          <t>PE</t>
        </is>
      </c>
      <c r="H1523">
        <f>IF(A1523&lt;=NWeeks,1,0)</f>
        <v/>
      </c>
      <c r="I1523">
        <f>INDEX(ChLaunch,MATCH(E1523,ChName,0))</f>
        <v/>
      </c>
      <c r="J1523">
        <f>INDEX(ChWeeksFull,MATCH(E1523,ChName,0))</f>
        <v/>
      </c>
      <c r="K1523">
        <f>INDEX(ChRamp,MATCH(E1523,ChName,0))</f>
        <v/>
      </c>
      <c r="L1523" s="45">
        <f>MIN(1,MAX(0,(A1523-I1523+1)*RampSpeed/J1523))</f>
        <v/>
      </c>
      <c r="M1523" s="45">
        <f>IF(A1523&lt;I1523,0,IF(K1523="S-curve",L1523*L1523*(3-2*L1523),L1523))</f>
        <v/>
      </c>
      <c r="N1523" s="45">
        <f>1+(INDEX(SeasonIdx,A1523)-1)*SeasonAmp</f>
        <v/>
      </c>
      <c r="O1523" s="45">
        <f>IFERROR(INDEX(PSPct,MATCH(E1523&amp;"|"&amp;G1523,PSKey,0)),0)</f>
        <v/>
      </c>
      <c r="P1523" s="46">
        <f>INDEX(ChDoorVel,MATCH(E1523,ChName,0))*CalibScalar*(1+VelocityUplift)</f>
        <v/>
      </c>
      <c r="Q1523" s="46" t="n">
        <v>0</v>
      </c>
      <c r="R1523" s="46">
        <f>P1523*O1523*M1523*N1523*H1523</f>
        <v/>
      </c>
      <c r="S1523" s="46">
        <f>R1523*INDEX(FmtCansPerCase,MATCH(F1523,FmtName,0))</f>
        <v/>
      </c>
      <c r="T1523" s="46">
        <f>S1523/INDEX(FmtCansPerPack,MATCH(F1523,FmtName,0))</f>
        <v/>
      </c>
      <c r="U1523" s="47">
        <f>INDEX(ChBaseCP,MATCH(E1523,ChName,0))*(1+INDEX(ProvMod,MATCH(G1523,ProvCode,0)))*(1+PriceIndex)</f>
        <v/>
      </c>
      <c r="V1523" s="47">
        <f>R1523*U1523*INDEX(FmtBlendedPriceIdx,MATCH(F1523,FmtName,0))</f>
        <v/>
      </c>
      <c r="W1523" s="47">
        <f>T1523*INDEX(ProvSRP,MATCH(G1523,ProvCode,0))*(1+PriceIndex)</f>
        <v/>
      </c>
      <c r="X1523" s="47">
        <f>IF(GrossBasis="Wholesale",V1523,W1523)</f>
        <v/>
      </c>
      <c r="Y1523" s="47">
        <f>R1523*INDEX(FmtBlendedCogs,MATCH(F1523,FmtName,0))</f>
        <v/>
      </c>
      <c r="Z1523" s="47">
        <f>X1523-Y1523</f>
        <v/>
      </c>
    </row>
    <row r="1524">
      <c r="A1524" t="n">
        <v>39</v>
      </c>
      <c r="B1524" s="44">
        <f>FiscalStart+(A1524-1)*7</f>
        <v/>
      </c>
      <c r="C1524">
        <f>TEXT(B1524,"mmm yyyy")</f>
        <v/>
      </c>
      <c r="D1524">
        <f>"Q"&amp;(INT((A1524-1)/13)+1)</f>
        <v/>
      </c>
      <c r="E1524" t="inlineStr">
        <is>
          <t>Fitness</t>
        </is>
      </c>
      <c r="F1524">
        <f>IFERROR(INDEX(ChFormat,MATCH(E1524,ChName,0)),"")</f>
        <v/>
      </c>
      <c r="G1524" t="inlineStr">
        <is>
          <t>PE</t>
        </is>
      </c>
      <c r="H1524">
        <f>IF(A1524&lt;=NWeeks,1,0)</f>
        <v/>
      </c>
      <c r="I1524">
        <f>INDEX(ChLaunch,MATCH(E1524,ChName,0))</f>
        <v/>
      </c>
      <c r="J1524">
        <f>INDEX(ChWeeksFull,MATCH(E1524,ChName,0))</f>
        <v/>
      </c>
      <c r="K1524">
        <f>INDEX(ChRamp,MATCH(E1524,ChName,0))</f>
        <v/>
      </c>
      <c r="L1524" s="45">
        <f>MIN(1,MAX(0,(A1524-I1524+1)*RampSpeed/J1524))</f>
        <v/>
      </c>
      <c r="M1524" s="45">
        <f>IF(A1524&lt;I1524,0,IF(K1524="S-curve",L1524*L1524*(3-2*L1524),L1524))</f>
        <v/>
      </c>
      <c r="N1524" s="45">
        <f>1+(INDEX(SeasonIdx,A1524)-1)*SeasonAmp</f>
        <v/>
      </c>
      <c r="O1524" s="45">
        <f>IFERROR(INDEX(PSPct,MATCH(E1524&amp;"|"&amp;G1524,PSKey,0)),0)</f>
        <v/>
      </c>
      <c r="P1524" s="46">
        <f>INDEX(ChDoorVel,MATCH(E1524,ChName,0))*CalibScalar*(1+VelocityUplift)</f>
        <v/>
      </c>
      <c r="Q1524" s="46" t="n">
        <v>0</v>
      </c>
      <c r="R1524" s="46">
        <f>P1524*O1524*M1524*N1524*H1524</f>
        <v/>
      </c>
      <c r="S1524" s="46">
        <f>R1524*INDEX(FmtCansPerCase,MATCH(F1524,FmtName,0))</f>
        <v/>
      </c>
      <c r="T1524" s="46">
        <f>S1524/INDEX(FmtCansPerPack,MATCH(F1524,FmtName,0))</f>
        <v/>
      </c>
      <c r="U1524" s="47">
        <f>INDEX(ChBaseCP,MATCH(E1524,ChName,0))*(1+INDEX(ProvMod,MATCH(G1524,ProvCode,0)))*(1+PriceIndex)</f>
        <v/>
      </c>
      <c r="V1524" s="47">
        <f>R1524*U1524*INDEX(FmtBlendedPriceIdx,MATCH(F1524,FmtName,0))</f>
        <v/>
      </c>
      <c r="W1524" s="47">
        <f>T1524*INDEX(ProvSRP,MATCH(G1524,ProvCode,0))*(1+PriceIndex)</f>
        <v/>
      </c>
      <c r="X1524" s="47">
        <f>IF(GrossBasis="Wholesale",V1524,W1524)</f>
        <v/>
      </c>
      <c r="Y1524" s="47">
        <f>R1524*INDEX(FmtBlendedCogs,MATCH(F1524,FmtName,0))</f>
        <v/>
      </c>
      <c r="Z1524" s="47">
        <f>X1524-Y1524</f>
        <v/>
      </c>
    </row>
    <row r="1525">
      <c r="A1525" t="n">
        <v>40</v>
      </c>
      <c r="B1525" s="44">
        <f>FiscalStart+(A1525-1)*7</f>
        <v/>
      </c>
      <c r="C1525">
        <f>TEXT(B1525,"mmm yyyy")</f>
        <v/>
      </c>
      <c r="D1525">
        <f>"Q"&amp;(INT((A1525-1)/13)+1)</f>
        <v/>
      </c>
      <c r="E1525" t="inlineStr">
        <is>
          <t>Fitness</t>
        </is>
      </c>
      <c r="F1525">
        <f>IFERROR(INDEX(ChFormat,MATCH(E1525,ChName,0)),"")</f>
        <v/>
      </c>
      <c r="G1525" t="inlineStr">
        <is>
          <t>PE</t>
        </is>
      </c>
      <c r="H1525">
        <f>IF(A1525&lt;=NWeeks,1,0)</f>
        <v/>
      </c>
      <c r="I1525">
        <f>INDEX(ChLaunch,MATCH(E1525,ChName,0))</f>
        <v/>
      </c>
      <c r="J1525">
        <f>INDEX(ChWeeksFull,MATCH(E1525,ChName,0))</f>
        <v/>
      </c>
      <c r="K1525">
        <f>INDEX(ChRamp,MATCH(E1525,ChName,0))</f>
        <v/>
      </c>
      <c r="L1525" s="45">
        <f>MIN(1,MAX(0,(A1525-I1525+1)*RampSpeed/J1525))</f>
        <v/>
      </c>
      <c r="M1525" s="45">
        <f>IF(A1525&lt;I1525,0,IF(K1525="S-curve",L1525*L1525*(3-2*L1525),L1525))</f>
        <v/>
      </c>
      <c r="N1525" s="45">
        <f>1+(INDEX(SeasonIdx,A1525)-1)*SeasonAmp</f>
        <v/>
      </c>
      <c r="O1525" s="45">
        <f>IFERROR(INDEX(PSPct,MATCH(E1525&amp;"|"&amp;G1525,PSKey,0)),0)</f>
        <v/>
      </c>
      <c r="P1525" s="46">
        <f>INDEX(ChDoorVel,MATCH(E1525,ChName,0))*CalibScalar*(1+VelocityUplift)</f>
        <v/>
      </c>
      <c r="Q1525" s="46" t="n">
        <v>0</v>
      </c>
      <c r="R1525" s="46">
        <f>P1525*O1525*M1525*N1525*H1525</f>
        <v/>
      </c>
      <c r="S1525" s="46">
        <f>R1525*INDEX(FmtCansPerCase,MATCH(F1525,FmtName,0))</f>
        <v/>
      </c>
      <c r="T1525" s="46">
        <f>S1525/INDEX(FmtCansPerPack,MATCH(F1525,FmtName,0))</f>
        <v/>
      </c>
      <c r="U1525" s="47">
        <f>INDEX(ChBaseCP,MATCH(E1525,ChName,0))*(1+INDEX(ProvMod,MATCH(G1525,ProvCode,0)))*(1+PriceIndex)</f>
        <v/>
      </c>
      <c r="V1525" s="47">
        <f>R1525*U1525*INDEX(FmtBlendedPriceIdx,MATCH(F1525,FmtName,0))</f>
        <v/>
      </c>
      <c r="W1525" s="47">
        <f>T1525*INDEX(ProvSRP,MATCH(G1525,ProvCode,0))*(1+PriceIndex)</f>
        <v/>
      </c>
      <c r="X1525" s="47">
        <f>IF(GrossBasis="Wholesale",V1525,W1525)</f>
        <v/>
      </c>
      <c r="Y1525" s="47">
        <f>R1525*INDEX(FmtBlendedCogs,MATCH(F1525,FmtName,0))</f>
        <v/>
      </c>
      <c r="Z1525" s="47">
        <f>X1525-Y1525</f>
        <v/>
      </c>
    </row>
    <row r="1526">
      <c r="A1526" t="n">
        <v>41</v>
      </c>
      <c r="B1526" s="44">
        <f>FiscalStart+(A1526-1)*7</f>
        <v/>
      </c>
      <c r="C1526">
        <f>TEXT(B1526,"mmm yyyy")</f>
        <v/>
      </c>
      <c r="D1526">
        <f>"Q"&amp;(INT((A1526-1)/13)+1)</f>
        <v/>
      </c>
      <c r="E1526" t="inlineStr">
        <is>
          <t>Fitness</t>
        </is>
      </c>
      <c r="F1526">
        <f>IFERROR(INDEX(ChFormat,MATCH(E1526,ChName,0)),"")</f>
        <v/>
      </c>
      <c r="G1526" t="inlineStr">
        <is>
          <t>PE</t>
        </is>
      </c>
      <c r="H1526">
        <f>IF(A1526&lt;=NWeeks,1,0)</f>
        <v/>
      </c>
      <c r="I1526">
        <f>INDEX(ChLaunch,MATCH(E1526,ChName,0))</f>
        <v/>
      </c>
      <c r="J1526">
        <f>INDEX(ChWeeksFull,MATCH(E1526,ChName,0))</f>
        <v/>
      </c>
      <c r="K1526">
        <f>INDEX(ChRamp,MATCH(E1526,ChName,0))</f>
        <v/>
      </c>
      <c r="L1526" s="45">
        <f>MIN(1,MAX(0,(A1526-I1526+1)*RampSpeed/J1526))</f>
        <v/>
      </c>
      <c r="M1526" s="45">
        <f>IF(A1526&lt;I1526,0,IF(K1526="S-curve",L1526*L1526*(3-2*L1526),L1526))</f>
        <v/>
      </c>
      <c r="N1526" s="45">
        <f>1+(INDEX(SeasonIdx,A1526)-1)*SeasonAmp</f>
        <v/>
      </c>
      <c r="O1526" s="45">
        <f>IFERROR(INDEX(PSPct,MATCH(E1526&amp;"|"&amp;G1526,PSKey,0)),0)</f>
        <v/>
      </c>
      <c r="P1526" s="46">
        <f>INDEX(ChDoorVel,MATCH(E1526,ChName,0))*CalibScalar*(1+VelocityUplift)</f>
        <v/>
      </c>
      <c r="Q1526" s="46" t="n">
        <v>0</v>
      </c>
      <c r="R1526" s="46">
        <f>P1526*O1526*M1526*N1526*H1526</f>
        <v/>
      </c>
      <c r="S1526" s="46">
        <f>R1526*INDEX(FmtCansPerCase,MATCH(F1526,FmtName,0))</f>
        <v/>
      </c>
      <c r="T1526" s="46">
        <f>S1526/INDEX(FmtCansPerPack,MATCH(F1526,FmtName,0))</f>
        <v/>
      </c>
      <c r="U1526" s="47">
        <f>INDEX(ChBaseCP,MATCH(E1526,ChName,0))*(1+INDEX(ProvMod,MATCH(G1526,ProvCode,0)))*(1+PriceIndex)</f>
        <v/>
      </c>
      <c r="V1526" s="47">
        <f>R1526*U1526*INDEX(FmtBlendedPriceIdx,MATCH(F1526,FmtName,0))</f>
        <v/>
      </c>
      <c r="W1526" s="47">
        <f>T1526*INDEX(ProvSRP,MATCH(G1526,ProvCode,0))*(1+PriceIndex)</f>
        <v/>
      </c>
      <c r="X1526" s="47">
        <f>IF(GrossBasis="Wholesale",V1526,W1526)</f>
        <v/>
      </c>
      <c r="Y1526" s="47">
        <f>R1526*INDEX(FmtBlendedCogs,MATCH(F1526,FmtName,0))</f>
        <v/>
      </c>
      <c r="Z1526" s="47">
        <f>X1526-Y1526</f>
        <v/>
      </c>
    </row>
    <row r="1527">
      <c r="A1527" t="n">
        <v>42</v>
      </c>
      <c r="B1527" s="44">
        <f>FiscalStart+(A1527-1)*7</f>
        <v/>
      </c>
      <c r="C1527">
        <f>TEXT(B1527,"mmm yyyy")</f>
        <v/>
      </c>
      <c r="D1527">
        <f>"Q"&amp;(INT((A1527-1)/13)+1)</f>
        <v/>
      </c>
      <c r="E1527" t="inlineStr">
        <is>
          <t>Fitness</t>
        </is>
      </c>
      <c r="F1527">
        <f>IFERROR(INDEX(ChFormat,MATCH(E1527,ChName,0)),"")</f>
        <v/>
      </c>
      <c r="G1527" t="inlineStr">
        <is>
          <t>PE</t>
        </is>
      </c>
      <c r="H1527">
        <f>IF(A1527&lt;=NWeeks,1,0)</f>
        <v/>
      </c>
      <c r="I1527">
        <f>INDEX(ChLaunch,MATCH(E1527,ChName,0))</f>
        <v/>
      </c>
      <c r="J1527">
        <f>INDEX(ChWeeksFull,MATCH(E1527,ChName,0))</f>
        <v/>
      </c>
      <c r="K1527">
        <f>INDEX(ChRamp,MATCH(E1527,ChName,0))</f>
        <v/>
      </c>
      <c r="L1527" s="45">
        <f>MIN(1,MAX(0,(A1527-I1527+1)*RampSpeed/J1527))</f>
        <v/>
      </c>
      <c r="M1527" s="45">
        <f>IF(A1527&lt;I1527,0,IF(K1527="S-curve",L1527*L1527*(3-2*L1527),L1527))</f>
        <v/>
      </c>
      <c r="N1527" s="45">
        <f>1+(INDEX(SeasonIdx,A1527)-1)*SeasonAmp</f>
        <v/>
      </c>
      <c r="O1527" s="45">
        <f>IFERROR(INDEX(PSPct,MATCH(E1527&amp;"|"&amp;G1527,PSKey,0)),0)</f>
        <v/>
      </c>
      <c r="P1527" s="46">
        <f>INDEX(ChDoorVel,MATCH(E1527,ChName,0))*CalibScalar*(1+VelocityUplift)</f>
        <v/>
      </c>
      <c r="Q1527" s="46" t="n">
        <v>0</v>
      </c>
      <c r="R1527" s="46">
        <f>P1527*O1527*M1527*N1527*H1527</f>
        <v/>
      </c>
      <c r="S1527" s="46">
        <f>R1527*INDEX(FmtCansPerCase,MATCH(F1527,FmtName,0))</f>
        <v/>
      </c>
      <c r="T1527" s="46">
        <f>S1527/INDEX(FmtCansPerPack,MATCH(F1527,FmtName,0))</f>
        <v/>
      </c>
      <c r="U1527" s="47">
        <f>INDEX(ChBaseCP,MATCH(E1527,ChName,0))*(1+INDEX(ProvMod,MATCH(G1527,ProvCode,0)))*(1+PriceIndex)</f>
        <v/>
      </c>
      <c r="V1527" s="47">
        <f>R1527*U1527*INDEX(FmtBlendedPriceIdx,MATCH(F1527,FmtName,0))</f>
        <v/>
      </c>
      <c r="W1527" s="47">
        <f>T1527*INDEX(ProvSRP,MATCH(G1527,ProvCode,0))*(1+PriceIndex)</f>
        <v/>
      </c>
      <c r="X1527" s="47">
        <f>IF(GrossBasis="Wholesale",V1527,W1527)</f>
        <v/>
      </c>
      <c r="Y1527" s="47">
        <f>R1527*INDEX(FmtBlendedCogs,MATCH(F1527,FmtName,0))</f>
        <v/>
      </c>
      <c r="Z1527" s="47">
        <f>X1527-Y1527</f>
        <v/>
      </c>
    </row>
    <row r="1528">
      <c r="A1528" t="n">
        <v>43</v>
      </c>
      <c r="B1528" s="44">
        <f>FiscalStart+(A1528-1)*7</f>
        <v/>
      </c>
      <c r="C1528">
        <f>TEXT(B1528,"mmm yyyy")</f>
        <v/>
      </c>
      <c r="D1528">
        <f>"Q"&amp;(INT((A1528-1)/13)+1)</f>
        <v/>
      </c>
      <c r="E1528" t="inlineStr">
        <is>
          <t>Fitness</t>
        </is>
      </c>
      <c r="F1528">
        <f>IFERROR(INDEX(ChFormat,MATCH(E1528,ChName,0)),"")</f>
        <v/>
      </c>
      <c r="G1528" t="inlineStr">
        <is>
          <t>PE</t>
        </is>
      </c>
      <c r="H1528">
        <f>IF(A1528&lt;=NWeeks,1,0)</f>
        <v/>
      </c>
      <c r="I1528">
        <f>INDEX(ChLaunch,MATCH(E1528,ChName,0))</f>
        <v/>
      </c>
      <c r="J1528">
        <f>INDEX(ChWeeksFull,MATCH(E1528,ChName,0))</f>
        <v/>
      </c>
      <c r="K1528">
        <f>INDEX(ChRamp,MATCH(E1528,ChName,0))</f>
        <v/>
      </c>
      <c r="L1528" s="45">
        <f>MIN(1,MAX(0,(A1528-I1528+1)*RampSpeed/J1528))</f>
        <v/>
      </c>
      <c r="M1528" s="45">
        <f>IF(A1528&lt;I1528,0,IF(K1528="S-curve",L1528*L1528*(3-2*L1528),L1528))</f>
        <v/>
      </c>
      <c r="N1528" s="45">
        <f>1+(INDEX(SeasonIdx,A1528)-1)*SeasonAmp</f>
        <v/>
      </c>
      <c r="O1528" s="45">
        <f>IFERROR(INDEX(PSPct,MATCH(E1528&amp;"|"&amp;G1528,PSKey,0)),0)</f>
        <v/>
      </c>
      <c r="P1528" s="46">
        <f>INDEX(ChDoorVel,MATCH(E1528,ChName,0))*CalibScalar*(1+VelocityUplift)</f>
        <v/>
      </c>
      <c r="Q1528" s="46" t="n">
        <v>0</v>
      </c>
      <c r="R1528" s="46">
        <f>P1528*O1528*M1528*N1528*H1528</f>
        <v/>
      </c>
      <c r="S1528" s="46">
        <f>R1528*INDEX(FmtCansPerCase,MATCH(F1528,FmtName,0))</f>
        <v/>
      </c>
      <c r="T1528" s="46">
        <f>S1528/INDEX(FmtCansPerPack,MATCH(F1528,FmtName,0))</f>
        <v/>
      </c>
      <c r="U1528" s="47">
        <f>INDEX(ChBaseCP,MATCH(E1528,ChName,0))*(1+INDEX(ProvMod,MATCH(G1528,ProvCode,0)))*(1+PriceIndex)</f>
        <v/>
      </c>
      <c r="V1528" s="47">
        <f>R1528*U1528*INDEX(FmtBlendedPriceIdx,MATCH(F1528,FmtName,0))</f>
        <v/>
      </c>
      <c r="W1528" s="47">
        <f>T1528*INDEX(ProvSRP,MATCH(G1528,ProvCode,0))*(1+PriceIndex)</f>
        <v/>
      </c>
      <c r="X1528" s="47">
        <f>IF(GrossBasis="Wholesale",V1528,W1528)</f>
        <v/>
      </c>
      <c r="Y1528" s="47">
        <f>R1528*INDEX(FmtBlendedCogs,MATCH(F1528,FmtName,0))</f>
        <v/>
      </c>
      <c r="Z1528" s="47">
        <f>X1528-Y1528</f>
        <v/>
      </c>
    </row>
    <row r="1529">
      <c r="A1529" t="n">
        <v>44</v>
      </c>
      <c r="B1529" s="44">
        <f>FiscalStart+(A1529-1)*7</f>
        <v/>
      </c>
      <c r="C1529">
        <f>TEXT(B1529,"mmm yyyy")</f>
        <v/>
      </c>
      <c r="D1529">
        <f>"Q"&amp;(INT((A1529-1)/13)+1)</f>
        <v/>
      </c>
      <c r="E1529" t="inlineStr">
        <is>
          <t>Fitness</t>
        </is>
      </c>
      <c r="F1529">
        <f>IFERROR(INDEX(ChFormat,MATCH(E1529,ChName,0)),"")</f>
        <v/>
      </c>
      <c r="G1529" t="inlineStr">
        <is>
          <t>PE</t>
        </is>
      </c>
      <c r="H1529">
        <f>IF(A1529&lt;=NWeeks,1,0)</f>
        <v/>
      </c>
      <c r="I1529">
        <f>INDEX(ChLaunch,MATCH(E1529,ChName,0))</f>
        <v/>
      </c>
      <c r="J1529">
        <f>INDEX(ChWeeksFull,MATCH(E1529,ChName,0))</f>
        <v/>
      </c>
      <c r="K1529">
        <f>INDEX(ChRamp,MATCH(E1529,ChName,0))</f>
        <v/>
      </c>
      <c r="L1529" s="45">
        <f>MIN(1,MAX(0,(A1529-I1529+1)*RampSpeed/J1529))</f>
        <v/>
      </c>
      <c r="M1529" s="45">
        <f>IF(A1529&lt;I1529,0,IF(K1529="S-curve",L1529*L1529*(3-2*L1529),L1529))</f>
        <v/>
      </c>
      <c r="N1529" s="45">
        <f>1+(INDEX(SeasonIdx,A1529)-1)*SeasonAmp</f>
        <v/>
      </c>
      <c r="O1529" s="45">
        <f>IFERROR(INDEX(PSPct,MATCH(E1529&amp;"|"&amp;G1529,PSKey,0)),0)</f>
        <v/>
      </c>
      <c r="P1529" s="46">
        <f>INDEX(ChDoorVel,MATCH(E1529,ChName,0))*CalibScalar*(1+VelocityUplift)</f>
        <v/>
      </c>
      <c r="Q1529" s="46" t="n">
        <v>0</v>
      </c>
      <c r="R1529" s="46">
        <f>P1529*O1529*M1529*N1529*H1529</f>
        <v/>
      </c>
      <c r="S1529" s="46">
        <f>R1529*INDEX(FmtCansPerCase,MATCH(F1529,FmtName,0))</f>
        <v/>
      </c>
      <c r="T1529" s="46">
        <f>S1529/INDEX(FmtCansPerPack,MATCH(F1529,FmtName,0))</f>
        <v/>
      </c>
      <c r="U1529" s="47">
        <f>INDEX(ChBaseCP,MATCH(E1529,ChName,0))*(1+INDEX(ProvMod,MATCH(G1529,ProvCode,0)))*(1+PriceIndex)</f>
        <v/>
      </c>
      <c r="V1529" s="47">
        <f>R1529*U1529*INDEX(FmtBlendedPriceIdx,MATCH(F1529,FmtName,0))</f>
        <v/>
      </c>
      <c r="W1529" s="47">
        <f>T1529*INDEX(ProvSRP,MATCH(G1529,ProvCode,0))*(1+PriceIndex)</f>
        <v/>
      </c>
      <c r="X1529" s="47">
        <f>IF(GrossBasis="Wholesale",V1529,W1529)</f>
        <v/>
      </c>
      <c r="Y1529" s="47">
        <f>R1529*INDEX(FmtBlendedCogs,MATCH(F1529,FmtName,0))</f>
        <v/>
      </c>
      <c r="Z1529" s="47">
        <f>X1529-Y1529</f>
        <v/>
      </c>
    </row>
    <row r="1530">
      <c r="A1530" t="n">
        <v>45</v>
      </c>
      <c r="B1530" s="44">
        <f>FiscalStart+(A1530-1)*7</f>
        <v/>
      </c>
      <c r="C1530">
        <f>TEXT(B1530,"mmm yyyy")</f>
        <v/>
      </c>
      <c r="D1530">
        <f>"Q"&amp;(INT((A1530-1)/13)+1)</f>
        <v/>
      </c>
      <c r="E1530" t="inlineStr">
        <is>
          <t>Fitness</t>
        </is>
      </c>
      <c r="F1530">
        <f>IFERROR(INDEX(ChFormat,MATCH(E1530,ChName,0)),"")</f>
        <v/>
      </c>
      <c r="G1530" t="inlineStr">
        <is>
          <t>PE</t>
        </is>
      </c>
      <c r="H1530">
        <f>IF(A1530&lt;=NWeeks,1,0)</f>
        <v/>
      </c>
      <c r="I1530">
        <f>INDEX(ChLaunch,MATCH(E1530,ChName,0))</f>
        <v/>
      </c>
      <c r="J1530">
        <f>INDEX(ChWeeksFull,MATCH(E1530,ChName,0))</f>
        <v/>
      </c>
      <c r="K1530">
        <f>INDEX(ChRamp,MATCH(E1530,ChName,0))</f>
        <v/>
      </c>
      <c r="L1530" s="45">
        <f>MIN(1,MAX(0,(A1530-I1530+1)*RampSpeed/J1530))</f>
        <v/>
      </c>
      <c r="M1530" s="45">
        <f>IF(A1530&lt;I1530,0,IF(K1530="S-curve",L1530*L1530*(3-2*L1530),L1530))</f>
        <v/>
      </c>
      <c r="N1530" s="45">
        <f>1+(INDEX(SeasonIdx,A1530)-1)*SeasonAmp</f>
        <v/>
      </c>
      <c r="O1530" s="45">
        <f>IFERROR(INDEX(PSPct,MATCH(E1530&amp;"|"&amp;G1530,PSKey,0)),0)</f>
        <v/>
      </c>
      <c r="P1530" s="46">
        <f>INDEX(ChDoorVel,MATCH(E1530,ChName,0))*CalibScalar*(1+VelocityUplift)</f>
        <v/>
      </c>
      <c r="Q1530" s="46" t="n">
        <v>0</v>
      </c>
      <c r="R1530" s="46">
        <f>P1530*O1530*M1530*N1530*H1530</f>
        <v/>
      </c>
      <c r="S1530" s="46">
        <f>R1530*INDEX(FmtCansPerCase,MATCH(F1530,FmtName,0))</f>
        <v/>
      </c>
      <c r="T1530" s="46">
        <f>S1530/INDEX(FmtCansPerPack,MATCH(F1530,FmtName,0))</f>
        <v/>
      </c>
      <c r="U1530" s="47">
        <f>INDEX(ChBaseCP,MATCH(E1530,ChName,0))*(1+INDEX(ProvMod,MATCH(G1530,ProvCode,0)))*(1+PriceIndex)</f>
        <v/>
      </c>
      <c r="V1530" s="47">
        <f>R1530*U1530*INDEX(FmtBlendedPriceIdx,MATCH(F1530,FmtName,0))</f>
        <v/>
      </c>
      <c r="W1530" s="47">
        <f>T1530*INDEX(ProvSRP,MATCH(G1530,ProvCode,0))*(1+PriceIndex)</f>
        <v/>
      </c>
      <c r="X1530" s="47">
        <f>IF(GrossBasis="Wholesale",V1530,W1530)</f>
        <v/>
      </c>
      <c r="Y1530" s="47">
        <f>R1530*INDEX(FmtBlendedCogs,MATCH(F1530,FmtName,0))</f>
        <v/>
      </c>
      <c r="Z1530" s="47">
        <f>X1530-Y1530</f>
        <v/>
      </c>
    </row>
    <row r="1531">
      <c r="A1531" t="n">
        <v>46</v>
      </c>
      <c r="B1531" s="44">
        <f>FiscalStart+(A1531-1)*7</f>
        <v/>
      </c>
      <c r="C1531">
        <f>TEXT(B1531,"mmm yyyy")</f>
        <v/>
      </c>
      <c r="D1531">
        <f>"Q"&amp;(INT((A1531-1)/13)+1)</f>
        <v/>
      </c>
      <c r="E1531" t="inlineStr">
        <is>
          <t>Fitness</t>
        </is>
      </c>
      <c r="F1531">
        <f>IFERROR(INDEX(ChFormat,MATCH(E1531,ChName,0)),"")</f>
        <v/>
      </c>
      <c r="G1531" t="inlineStr">
        <is>
          <t>PE</t>
        </is>
      </c>
      <c r="H1531">
        <f>IF(A1531&lt;=NWeeks,1,0)</f>
        <v/>
      </c>
      <c r="I1531">
        <f>INDEX(ChLaunch,MATCH(E1531,ChName,0))</f>
        <v/>
      </c>
      <c r="J1531">
        <f>INDEX(ChWeeksFull,MATCH(E1531,ChName,0))</f>
        <v/>
      </c>
      <c r="K1531">
        <f>INDEX(ChRamp,MATCH(E1531,ChName,0))</f>
        <v/>
      </c>
      <c r="L1531" s="45">
        <f>MIN(1,MAX(0,(A1531-I1531+1)*RampSpeed/J1531))</f>
        <v/>
      </c>
      <c r="M1531" s="45">
        <f>IF(A1531&lt;I1531,0,IF(K1531="S-curve",L1531*L1531*(3-2*L1531),L1531))</f>
        <v/>
      </c>
      <c r="N1531" s="45">
        <f>1+(INDEX(SeasonIdx,A1531)-1)*SeasonAmp</f>
        <v/>
      </c>
      <c r="O1531" s="45">
        <f>IFERROR(INDEX(PSPct,MATCH(E1531&amp;"|"&amp;G1531,PSKey,0)),0)</f>
        <v/>
      </c>
      <c r="P1531" s="46">
        <f>INDEX(ChDoorVel,MATCH(E1531,ChName,0))*CalibScalar*(1+VelocityUplift)</f>
        <v/>
      </c>
      <c r="Q1531" s="46" t="n">
        <v>0</v>
      </c>
      <c r="R1531" s="46">
        <f>P1531*O1531*M1531*N1531*H1531</f>
        <v/>
      </c>
      <c r="S1531" s="46">
        <f>R1531*INDEX(FmtCansPerCase,MATCH(F1531,FmtName,0))</f>
        <v/>
      </c>
      <c r="T1531" s="46">
        <f>S1531/INDEX(FmtCansPerPack,MATCH(F1531,FmtName,0))</f>
        <v/>
      </c>
      <c r="U1531" s="47">
        <f>INDEX(ChBaseCP,MATCH(E1531,ChName,0))*(1+INDEX(ProvMod,MATCH(G1531,ProvCode,0)))*(1+PriceIndex)</f>
        <v/>
      </c>
      <c r="V1531" s="47">
        <f>R1531*U1531*INDEX(FmtBlendedPriceIdx,MATCH(F1531,FmtName,0))</f>
        <v/>
      </c>
      <c r="W1531" s="47">
        <f>T1531*INDEX(ProvSRP,MATCH(G1531,ProvCode,0))*(1+PriceIndex)</f>
        <v/>
      </c>
      <c r="X1531" s="47">
        <f>IF(GrossBasis="Wholesale",V1531,W1531)</f>
        <v/>
      </c>
      <c r="Y1531" s="47">
        <f>R1531*INDEX(FmtBlendedCogs,MATCH(F1531,FmtName,0))</f>
        <v/>
      </c>
      <c r="Z1531" s="47">
        <f>X1531-Y1531</f>
        <v/>
      </c>
    </row>
    <row r="1532">
      <c r="A1532" t="n">
        <v>47</v>
      </c>
      <c r="B1532" s="44">
        <f>FiscalStart+(A1532-1)*7</f>
        <v/>
      </c>
      <c r="C1532">
        <f>TEXT(B1532,"mmm yyyy")</f>
        <v/>
      </c>
      <c r="D1532">
        <f>"Q"&amp;(INT((A1532-1)/13)+1)</f>
        <v/>
      </c>
      <c r="E1532" t="inlineStr">
        <is>
          <t>Fitness</t>
        </is>
      </c>
      <c r="F1532">
        <f>IFERROR(INDEX(ChFormat,MATCH(E1532,ChName,0)),"")</f>
        <v/>
      </c>
      <c r="G1532" t="inlineStr">
        <is>
          <t>PE</t>
        </is>
      </c>
      <c r="H1532">
        <f>IF(A1532&lt;=NWeeks,1,0)</f>
        <v/>
      </c>
      <c r="I1532">
        <f>INDEX(ChLaunch,MATCH(E1532,ChName,0))</f>
        <v/>
      </c>
      <c r="J1532">
        <f>INDEX(ChWeeksFull,MATCH(E1532,ChName,0))</f>
        <v/>
      </c>
      <c r="K1532">
        <f>INDEX(ChRamp,MATCH(E1532,ChName,0))</f>
        <v/>
      </c>
      <c r="L1532" s="45">
        <f>MIN(1,MAX(0,(A1532-I1532+1)*RampSpeed/J1532))</f>
        <v/>
      </c>
      <c r="M1532" s="45">
        <f>IF(A1532&lt;I1532,0,IF(K1532="S-curve",L1532*L1532*(3-2*L1532),L1532))</f>
        <v/>
      </c>
      <c r="N1532" s="45">
        <f>1+(INDEX(SeasonIdx,A1532)-1)*SeasonAmp</f>
        <v/>
      </c>
      <c r="O1532" s="45">
        <f>IFERROR(INDEX(PSPct,MATCH(E1532&amp;"|"&amp;G1532,PSKey,0)),0)</f>
        <v/>
      </c>
      <c r="P1532" s="46">
        <f>INDEX(ChDoorVel,MATCH(E1532,ChName,0))*CalibScalar*(1+VelocityUplift)</f>
        <v/>
      </c>
      <c r="Q1532" s="46" t="n">
        <v>0</v>
      </c>
      <c r="R1532" s="46">
        <f>P1532*O1532*M1532*N1532*H1532</f>
        <v/>
      </c>
      <c r="S1532" s="46">
        <f>R1532*INDEX(FmtCansPerCase,MATCH(F1532,FmtName,0))</f>
        <v/>
      </c>
      <c r="T1532" s="46">
        <f>S1532/INDEX(FmtCansPerPack,MATCH(F1532,FmtName,0))</f>
        <v/>
      </c>
      <c r="U1532" s="47">
        <f>INDEX(ChBaseCP,MATCH(E1532,ChName,0))*(1+INDEX(ProvMod,MATCH(G1532,ProvCode,0)))*(1+PriceIndex)</f>
        <v/>
      </c>
      <c r="V1532" s="47">
        <f>R1532*U1532*INDEX(FmtBlendedPriceIdx,MATCH(F1532,FmtName,0))</f>
        <v/>
      </c>
      <c r="W1532" s="47">
        <f>T1532*INDEX(ProvSRP,MATCH(G1532,ProvCode,0))*(1+PriceIndex)</f>
        <v/>
      </c>
      <c r="X1532" s="47">
        <f>IF(GrossBasis="Wholesale",V1532,W1532)</f>
        <v/>
      </c>
      <c r="Y1532" s="47">
        <f>R1532*INDEX(FmtBlendedCogs,MATCH(F1532,FmtName,0))</f>
        <v/>
      </c>
      <c r="Z1532" s="47">
        <f>X1532-Y1532</f>
        <v/>
      </c>
    </row>
    <row r="1533">
      <c r="A1533" t="n">
        <v>48</v>
      </c>
      <c r="B1533" s="44">
        <f>FiscalStart+(A1533-1)*7</f>
        <v/>
      </c>
      <c r="C1533">
        <f>TEXT(B1533,"mmm yyyy")</f>
        <v/>
      </c>
      <c r="D1533">
        <f>"Q"&amp;(INT((A1533-1)/13)+1)</f>
        <v/>
      </c>
      <c r="E1533" t="inlineStr">
        <is>
          <t>Fitness</t>
        </is>
      </c>
      <c r="F1533">
        <f>IFERROR(INDEX(ChFormat,MATCH(E1533,ChName,0)),"")</f>
        <v/>
      </c>
      <c r="G1533" t="inlineStr">
        <is>
          <t>PE</t>
        </is>
      </c>
      <c r="H1533">
        <f>IF(A1533&lt;=NWeeks,1,0)</f>
        <v/>
      </c>
      <c r="I1533">
        <f>INDEX(ChLaunch,MATCH(E1533,ChName,0))</f>
        <v/>
      </c>
      <c r="J1533">
        <f>INDEX(ChWeeksFull,MATCH(E1533,ChName,0))</f>
        <v/>
      </c>
      <c r="K1533">
        <f>INDEX(ChRamp,MATCH(E1533,ChName,0))</f>
        <v/>
      </c>
      <c r="L1533" s="45">
        <f>MIN(1,MAX(0,(A1533-I1533+1)*RampSpeed/J1533))</f>
        <v/>
      </c>
      <c r="M1533" s="45">
        <f>IF(A1533&lt;I1533,0,IF(K1533="S-curve",L1533*L1533*(3-2*L1533),L1533))</f>
        <v/>
      </c>
      <c r="N1533" s="45">
        <f>1+(INDEX(SeasonIdx,A1533)-1)*SeasonAmp</f>
        <v/>
      </c>
      <c r="O1533" s="45">
        <f>IFERROR(INDEX(PSPct,MATCH(E1533&amp;"|"&amp;G1533,PSKey,0)),0)</f>
        <v/>
      </c>
      <c r="P1533" s="46">
        <f>INDEX(ChDoorVel,MATCH(E1533,ChName,0))*CalibScalar*(1+VelocityUplift)</f>
        <v/>
      </c>
      <c r="Q1533" s="46" t="n">
        <v>0</v>
      </c>
      <c r="R1533" s="46">
        <f>P1533*O1533*M1533*N1533*H1533</f>
        <v/>
      </c>
      <c r="S1533" s="46">
        <f>R1533*INDEX(FmtCansPerCase,MATCH(F1533,FmtName,0))</f>
        <v/>
      </c>
      <c r="T1533" s="46">
        <f>S1533/INDEX(FmtCansPerPack,MATCH(F1533,FmtName,0))</f>
        <v/>
      </c>
      <c r="U1533" s="47">
        <f>INDEX(ChBaseCP,MATCH(E1533,ChName,0))*(1+INDEX(ProvMod,MATCH(G1533,ProvCode,0)))*(1+PriceIndex)</f>
        <v/>
      </c>
      <c r="V1533" s="47">
        <f>R1533*U1533*INDEX(FmtBlendedPriceIdx,MATCH(F1533,FmtName,0))</f>
        <v/>
      </c>
      <c r="W1533" s="47">
        <f>T1533*INDEX(ProvSRP,MATCH(G1533,ProvCode,0))*(1+PriceIndex)</f>
        <v/>
      </c>
      <c r="X1533" s="47">
        <f>IF(GrossBasis="Wholesale",V1533,W1533)</f>
        <v/>
      </c>
      <c r="Y1533" s="47">
        <f>R1533*INDEX(FmtBlendedCogs,MATCH(F1533,FmtName,0))</f>
        <v/>
      </c>
      <c r="Z1533" s="47">
        <f>X1533-Y1533</f>
        <v/>
      </c>
    </row>
    <row r="1534">
      <c r="A1534" t="n">
        <v>49</v>
      </c>
      <c r="B1534" s="44">
        <f>FiscalStart+(A1534-1)*7</f>
        <v/>
      </c>
      <c r="C1534">
        <f>TEXT(B1534,"mmm yyyy")</f>
        <v/>
      </c>
      <c r="D1534">
        <f>"Q"&amp;(INT((A1534-1)/13)+1)</f>
        <v/>
      </c>
      <c r="E1534" t="inlineStr">
        <is>
          <t>Fitness</t>
        </is>
      </c>
      <c r="F1534">
        <f>IFERROR(INDEX(ChFormat,MATCH(E1534,ChName,0)),"")</f>
        <v/>
      </c>
      <c r="G1534" t="inlineStr">
        <is>
          <t>PE</t>
        </is>
      </c>
      <c r="H1534">
        <f>IF(A1534&lt;=NWeeks,1,0)</f>
        <v/>
      </c>
      <c r="I1534">
        <f>INDEX(ChLaunch,MATCH(E1534,ChName,0))</f>
        <v/>
      </c>
      <c r="J1534">
        <f>INDEX(ChWeeksFull,MATCH(E1534,ChName,0))</f>
        <v/>
      </c>
      <c r="K1534">
        <f>INDEX(ChRamp,MATCH(E1534,ChName,0))</f>
        <v/>
      </c>
      <c r="L1534" s="45">
        <f>MIN(1,MAX(0,(A1534-I1534+1)*RampSpeed/J1534))</f>
        <v/>
      </c>
      <c r="M1534" s="45">
        <f>IF(A1534&lt;I1534,0,IF(K1534="S-curve",L1534*L1534*(3-2*L1534),L1534))</f>
        <v/>
      </c>
      <c r="N1534" s="45">
        <f>1+(INDEX(SeasonIdx,A1534)-1)*SeasonAmp</f>
        <v/>
      </c>
      <c r="O1534" s="45">
        <f>IFERROR(INDEX(PSPct,MATCH(E1534&amp;"|"&amp;G1534,PSKey,0)),0)</f>
        <v/>
      </c>
      <c r="P1534" s="46">
        <f>INDEX(ChDoorVel,MATCH(E1534,ChName,0))*CalibScalar*(1+VelocityUplift)</f>
        <v/>
      </c>
      <c r="Q1534" s="46" t="n">
        <v>0</v>
      </c>
      <c r="R1534" s="46">
        <f>P1534*O1534*M1534*N1534*H1534</f>
        <v/>
      </c>
      <c r="S1534" s="46">
        <f>R1534*INDEX(FmtCansPerCase,MATCH(F1534,FmtName,0))</f>
        <v/>
      </c>
      <c r="T1534" s="46">
        <f>S1534/INDEX(FmtCansPerPack,MATCH(F1534,FmtName,0))</f>
        <v/>
      </c>
      <c r="U1534" s="47">
        <f>INDEX(ChBaseCP,MATCH(E1534,ChName,0))*(1+INDEX(ProvMod,MATCH(G1534,ProvCode,0)))*(1+PriceIndex)</f>
        <v/>
      </c>
      <c r="V1534" s="47">
        <f>R1534*U1534*INDEX(FmtBlendedPriceIdx,MATCH(F1534,FmtName,0))</f>
        <v/>
      </c>
      <c r="W1534" s="47">
        <f>T1534*INDEX(ProvSRP,MATCH(G1534,ProvCode,0))*(1+PriceIndex)</f>
        <v/>
      </c>
      <c r="X1534" s="47">
        <f>IF(GrossBasis="Wholesale",V1534,W1534)</f>
        <v/>
      </c>
      <c r="Y1534" s="47">
        <f>R1534*INDEX(FmtBlendedCogs,MATCH(F1534,FmtName,0))</f>
        <v/>
      </c>
      <c r="Z1534" s="47">
        <f>X1534-Y1534</f>
        <v/>
      </c>
    </row>
    <row r="1535">
      <c r="A1535" t="n">
        <v>50</v>
      </c>
      <c r="B1535" s="44">
        <f>FiscalStart+(A1535-1)*7</f>
        <v/>
      </c>
      <c r="C1535">
        <f>TEXT(B1535,"mmm yyyy")</f>
        <v/>
      </c>
      <c r="D1535">
        <f>"Q"&amp;(INT((A1535-1)/13)+1)</f>
        <v/>
      </c>
      <c r="E1535" t="inlineStr">
        <is>
          <t>Fitness</t>
        </is>
      </c>
      <c r="F1535">
        <f>IFERROR(INDEX(ChFormat,MATCH(E1535,ChName,0)),"")</f>
        <v/>
      </c>
      <c r="G1535" t="inlineStr">
        <is>
          <t>PE</t>
        </is>
      </c>
      <c r="H1535">
        <f>IF(A1535&lt;=NWeeks,1,0)</f>
        <v/>
      </c>
      <c r="I1535">
        <f>INDEX(ChLaunch,MATCH(E1535,ChName,0))</f>
        <v/>
      </c>
      <c r="J1535">
        <f>INDEX(ChWeeksFull,MATCH(E1535,ChName,0))</f>
        <v/>
      </c>
      <c r="K1535">
        <f>INDEX(ChRamp,MATCH(E1535,ChName,0))</f>
        <v/>
      </c>
      <c r="L1535" s="45">
        <f>MIN(1,MAX(0,(A1535-I1535+1)*RampSpeed/J1535))</f>
        <v/>
      </c>
      <c r="M1535" s="45">
        <f>IF(A1535&lt;I1535,0,IF(K1535="S-curve",L1535*L1535*(3-2*L1535),L1535))</f>
        <v/>
      </c>
      <c r="N1535" s="45">
        <f>1+(INDEX(SeasonIdx,A1535)-1)*SeasonAmp</f>
        <v/>
      </c>
      <c r="O1535" s="45">
        <f>IFERROR(INDEX(PSPct,MATCH(E1535&amp;"|"&amp;G1535,PSKey,0)),0)</f>
        <v/>
      </c>
      <c r="P1535" s="46">
        <f>INDEX(ChDoorVel,MATCH(E1535,ChName,0))*CalibScalar*(1+VelocityUplift)</f>
        <v/>
      </c>
      <c r="Q1535" s="46" t="n">
        <v>0</v>
      </c>
      <c r="R1535" s="46">
        <f>P1535*O1535*M1535*N1535*H1535</f>
        <v/>
      </c>
      <c r="S1535" s="46">
        <f>R1535*INDEX(FmtCansPerCase,MATCH(F1535,FmtName,0))</f>
        <v/>
      </c>
      <c r="T1535" s="46">
        <f>S1535/INDEX(FmtCansPerPack,MATCH(F1535,FmtName,0))</f>
        <v/>
      </c>
      <c r="U1535" s="47">
        <f>INDEX(ChBaseCP,MATCH(E1535,ChName,0))*(1+INDEX(ProvMod,MATCH(G1535,ProvCode,0)))*(1+PriceIndex)</f>
        <v/>
      </c>
      <c r="V1535" s="47">
        <f>R1535*U1535*INDEX(FmtBlendedPriceIdx,MATCH(F1535,FmtName,0))</f>
        <v/>
      </c>
      <c r="W1535" s="47">
        <f>T1535*INDEX(ProvSRP,MATCH(G1535,ProvCode,0))*(1+PriceIndex)</f>
        <v/>
      </c>
      <c r="X1535" s="47">
        <f>IF(GrossBasis="Wholesale",V1535,W1535)</f>
        <v/>
      </c>
      <c r="Y1535" s="47">
        <f>R1535*INDEX(FmtBlendedCogs,MATCH(F1535,FmtName,0))</f>
        <v/>
      </c>
      <c r="Z1535" s="47">
        <f>X1535-Y1535</f>
        <v/>
      </c>
    </row>
    <row r="1536">
      <c r="A1536" t="n">
        <v>51</v>
      </c>
      <c r="B1536" s="44">
        <f>FiscalStart+(A1536-1)*7</f>
        <v/>
      </c>
      <c r="C1536">
        <f>TEXT(B1536,"mmm yyyy")</f>
        <v/>
      </c>
      <c r="D1536">
        <f>"Q"&amp;(INT((A1536-1)/13)+1)</f>
        <v/>
      </c>
      <c r="E1536" t="inlineStr">
        <is>
          <t>Fitness</t>
        </is>
      </c>
      <c r="F1536">
        <f>IFERROR(INDEX(ChFormat,MATCH(E1536,ChName,0)),"")</f>
        <v/>
      </c>
      <c r="G1536" t="inlineStr">
        <is>
          <t>PE</t>
        </is>
      </c>
      <c r="H1536">
        <f>IF(A1536&lt;=NWeeks,1,0)</f>
        <v/>
      </c>
      <c r="I1536">
        <f>INDEX(ChLaunch,MATCH(E1536,ChName,0))</f>
        <v/>
      </c>
      <c r="J1536">
        <f>INDEX(ChWeeksFull,MATCH(E1536,ChName,0))</f>
        <v/>
      </c>
      <c r="K1536">
        <f>INDEX(ChRamp,MATCH(E1536,ChName,0))</f>
        <v/>
      </c>
      <c r="L1536" s="45">
        <f>MIN(1,MAX(0,(A1536-I1536+1)*RampSpeed/J1536))</f>
        <v/>
      </c>
      <c r="M1536" s="45">
        <f>IF(A1536&lt;I1536,0,IF(K1536="S-curve",L1536*L1536*(3-2*L1536),L1536))</f>
        <v/>
      </c>
      <c r="N1536" s="45">
        <f>1+(INDEX(SeasonIdx,A1536)-1)*SeasonAmp</f>
        <v/>
      </c>
      <c r="O1536" s="45">
        <f>IFERROR(INDEX(PSPct,MATCH(E1536&amp;"|"&amp;G1536,PSKey,0)),0)</f>
        <v/>
      </c>
      <c r="P1536" s="46">
        <f>INDEX(ChDoorVel,MATCH(E1536,ChName,0))*CalibScalar*(1+VelocityUplift)</f>
        <v/>
      </c>
      <c r="Q1536" s="46" t="n">
        <v>0</v>
      </c>
      <c r="R1536" s="46">
        <f>P1536*O1536*M1536*N1536*H1536</f>
        <v/>
      </c>
      <c r="S1536" s="46">
        <f>R1536*INDEX(FmtCansPerCase,MATCH(F1536,FmtName,0))</f>
        <v/>
      </c>
      <c r="T1536" s="46">
        <f>S1536/INDEX(FmtCansPerPack,MATCH(F1536,FmtName,0))</f>
        <v/>
      </c>
      <c r="U1536" s="47">
        <f>INDEX(ChBaseCP,MATCH(E1536,ChName,0))*(1+INDEX(ProvMod,MATCH(G1536,ProvCode,0)))*(1+PriceIndex)</f>
        <v/>
      </c>
      <c r="V1536" s="47">
        <f>R1536*U1536*INDEX(FmtBlendedPriceIdx,MATCH(F1536,FmtName,0))</f>
        <v/>
      </c>
      <c r="W1536" s="47">
        <f>T1536*INDEX(ProvSRP,MATCH(G1536,ProvCode,0))*(1+PriceIndex)</f>
        <v/>
      </c>
      <c r="X1536" s="47">
        <f>IF(GrossBasis="Wholesale",V1536,W1536)</f>
        <v/>
      </c>
      <c r="Y1536" s="47">
        <f>R1536*INDEX(FmtBlendedCogs,MATCH(F1536,FmtName,0))</f>
        <v/>
      </c>
      <c r="Z1536" s="47">
        <f>X1536-Y1536</f>
        <v/>
      </c>
    </row>
    <row r="1537">
      <c r="A1537" t="n">
        <v>52</v>
      </c>
      <c r="B1537" s="44">
        <f>FiscalStart+(A1537-1)*7</f>
        <v/>
      </c>
      <c r="C1537">
        <f>TEXT(B1537,"mmm yyyy")</f>
        <v/>
      </c>
      <c r="D1537">
        <f>"Q"&amp;(INT((A1537-1)/13)+1)</f>
        <v/>
      </c>
      <c r="E1537" t="inlineStr">
        <is>
          <t>Fitness</t>
        </is>
      </c>
      <c r="F1537">
        <f>IFERROR(INDEX(ChFormat,MATCH(E1537,ChName,0)),"")</f>
        <v/>
      </c>
      <c r="G1537" t="inlineStr">
        <is>
          <t>PE</t>
        </is>
      </c>
      <c r="H1537">
        <f>IF(A1537&lt;=NWeeks,1,0)</f>
        <v/>
      </c>
      <c r="I1537">
        <f>INDEX(ChLaunch,MATCH(E1537,ChName,0))</f>
        <v/>
      </c>
      <c r="J1537">
        <f>INDEX(ChWeeksFull,MATCH(E1537,ChName,0))</f>
        <v/>
      </c>
      <c r="K1537">
        <f>INDEX(ChRamp,MATCH(E1537,ChName,0))</f>
        <v/>
      </c>
      <c r="L1537" s="45">
        <f>MIN(1,MAX(0,(A1537-I1537+1)*RampSpeed/J1537))</f>
        <v/>
      </c>
      <c r="M1537" s="45">
        <f>IF(A1537&lt;I1537,0,IF(K1537="S-curve",L1537*L1537*(3-2*L1537),L1537))</f>
        <v/>
      </c>
      <c r="N1537" s="45">
        <f>1+(INDEX(SeasonIdx,A1537)-1)*SeasonAmp</f>
        <v/>
      </c>
      <c r="O1537" s="45">
        <f>IFERROR(INDEX(PSPct,MATCH(E1537&amp;"|"&amp;G1537,PSKey,0)),0)</f>
        <v/>
      </c>
      <c r="P1537" s="46">
        <f>INDEX(ChDoorVel,MATCH(E1537,ChName,0))*CalibScalar*(1+VelocityUplift)</f>
        <v/>
      </c>
      <c r="Q1537" s="46" t="n">
        <v>0</v>
      </c>
      <c r="R1537" s="46">
        <f>P1537*O1537*M1537*N1537*H1537</f>
        <v/>
      </c>
      <c r="S1537" s="46">
        <f>R1537*INDEX(FmtCansPerCase,MATCH(F1537,FmtName,0))</f>
        <v/>
      </c>
      <c r="T1537" s="46">
        <f>S1537/INDEX(FmtCansPerPack,MATCH(F1537,FmtName,0))</f>
        <v/>
      </c>
      <c r="U1537" s="47">
        <f>INDEX(ChBaseCP,MATCH(E1537,ChName,0))*(1+INDEX(ProvMod,MATCH(G1537,ProvCode,0)))*(1+PriceIndex)</f>
        <v/>
      </c>
      <c r="V1537" s="47">
        <f>R1537*U1537*INDEX(FmtBlendedPriceIdx,MATCH(F1537,FmtName,0))</f>
        <v/>
      </c>
      <c r="W1537" s="47">
        <f>T1537*INDEX(ProvSRP,MATCH(G1537,ProvCode,0))*(1+PriceIndex)</f>
        <v/>
      </c>
      <c r="X1537" s="47">
        <f>IF(GrossBasis="Wholesale",V1537,W1537)</f>
        <v/>
      </c>
      <c r="Y1537" s="47">
        <f>R1537*INDEX(FmtBlendedCogs,MATCH(F1537,FmtName,0))</f>
        <v/>
      </c>
      <c r="Z1537" s="47">
        <f>X1537-Y1537</f>
        <v/>
      </c>
    </row>
    <row r="1538">
      <c r="A1538" t="n">
        <v>53</v>
      </c>
      <c r="B1538" s="44">
        <f>FiscalStart+(A1538-1)*7</f>
        <v/>
      </c>
      <c r="C1538">
        <f>TEXT(B1538,"mmm yyyy")</f>
        <v/>
      </c>
      <c r="D1538">
        <f>"Q"&amp;(INT((A1538-1)/13)+1)</f>
        <v/>
      </c>
      <c r="E1538" t="inlineStr">
        <is>
          <t>Fitness</t>
        </is>
      </c>
      <c r="F1538">
        <f>IFERROR(INDEX(ChFormat,MATCH(E1538,ChName,0)),"")</f>
        <v/>
      </c>
      <c r="G1538" t="inlineStr">
        <is>
          <t>PE</t>
        </is>
      </c>
      <c r="H1538">
        <f>IF(A1538&lt;=NWeeks,1,0)</f>
        <v/>
      </c>
      <c r="I1538">
        <f>INDEX(ChLaunch,MATCH(E1538,ChName,0))</f>
        <v/>
      </c>
      <c r="J1538">
        <f>INDEX(ChWeeksFull,MATCH(E1538,ChName,0))</f>
        <v/>
      </c>
      <c r="K1538">
        <f>INDEX(ChRamp,MATCH(E1538,ChName,0))</f>
        <v/>
      </c>
      <c r="L1538" s="45">
        <f>MIN(1,MAX(0,(A1538-I1538+1)*RampSpeed/J1538))</f>
        <v/>
      </c>
      <c r="M1538" s="45">
        <f>IF(A1538&lt;I1538,0,IF(K1538="S-curve",L1538*L1538*(3-2*L1538),L1538))</f>
        <v/>
      </c>
      <c r="N1538" s="45">
        <f>1+(INDEX(SeasonIdx,A1538)-1)*SeasonAmp</f>
        <v/>
      </c>
      <c r="O1538" s="45">
        <f>IFERROR(INDEX(PSPct,MATCH(E1538&amp;"|"&amp;G1538,PSKey,0)),0)</f>
        <v/>
      </c>
      <c r="P1538" s="46">
        <f>INDEX(ChDoorVel,MATCH(E1538,ChName,0))*CalibScalar*(1+VelocityUplift)</f>
        <v/>
      </c>
      <c r="Q1538" s="46" t="n">
        <v>0</v>
      </c>
      <c r="R1538" s="46">
        <f>P1538*O1538*M1538*N1538*H1538</f>
        <v/>
      </c>
      <c r="S1538" s="46">
        <f>R1538*INDEX(FmtCansPerCase,MATCH(F1538,FmtName,0))</f>
        <v/>
      </c>
      <c r="T1538" s="46">
        <f>S1538/INDEX(FmtCansPerPack,MATCH(F1538,FmtName,0))</f>
        <v/>
      </c>
      <c r="U1538" s="47">
        <f>INDEX(ChBaseCP,MATCH(E1538,ChName,0))*(1+INDEX(ProvMod,MATCH(G1538,ProvCode,0)))*(1+PriceIndex)</f>
        <v/>
      </c>
      <c r="V1538" s="47">
        <f>R1538*U1538*INDEX(FmtBlendedPriceIdx,MATCH(F1538,FmtName,0))</f>
        <v/>
      </c>
      <c r="W1538" s="47">
        <f>T1538*INDEX(ProvSRP,MATCH(G1538,ProvCode,0))*(1+PriceIndex)</f>
        <v/>
      </c>
      <c r="X1538" s="47">
        <f>IF(GrossBasis="Wholesale",V1538,W1538)</f>
        <v/>
      </c>
      <c r="Y1538" s="47">
        <f>R1538*INDEX(FmtBlendedCogs,MATCH(F1538,FmtName,0))</f>
        <v/>
      </c>
      <c r="Z1538" s="47">
        <f>X1538-Y1538</f>
        <v/>
      </c>
    </row>
    <row r="1539">
      <c r="A1539" t="n">
        <v>1</v>
      </c>
      <c r="B1539" s="44">
        <f>FiscalStart+(A1539-1)*7</f>
        <v/>
      </c>
      <c r="C1539">
        <f>TEXT(B1539,"mmm yyyy")</f>
        <v/>
      </c>
      <c r="D1539">
        <f>"Q"&amp;(INT((A1539-1)/13)+1)</f>
        <v/>
      </c>
      <c r="E1539" t="inlineStr">
        <is>
          <t>Fitness</t>
        </is>
      </c>
      <c r="F1539">
        <f>IFERROR(INDEX(ChFormat,MATCH(E1539,ChName,0)),"")</f>
        <v/>
      </c>
      <c r="G1539" t="inlineStr">
        <is>
          <t>NL</t>
        </is>
      </c>
      <c r="H1539">
        <f>IF(A1539&lt;=NWeeks,1,0)</f>
        <v/>
      </c>
      <c r="I1539">
        <f>INDEX(ChLaunch,MATCH(E1539,ChName,0))</f>
        <v/>
      </c>
      <c r="J1539">
        <f>INDEX(ChWeeksFull,MATCH(E1539,ChName,0))</f>
        <v/>
      </c>
      <c r="K1539">
        <f>INDEX(ChRamp,MATCH(E1539,ChName,0))</f>
        <v/>
      </c>
      <c r="L1539" s="45">
        <f>MIN(1,MAX(0,(A1539-I1539+1)*RampSpeed/J1539))</f>
        <v/>
      </c>
      <c r="M1539" s="45">
        <f>IF(A1539&lt;I1539,0,IF(K1539="S-curve",L1539*L1539*(3-2*L1539),L1539))</f>
        <v/>
      </c>
      <c r="N1539" s="45">
        <f>1+(INDEX(SeasonIdx,A1539)-1)*SeasonAmp</f>
        <v/>
      </c>
      <c r="O1539" s="45">
        <f>IFERROR(INDEX(PSPct,MATCH(E1539&amp;"|"&amp;G1539,PSKey,0)),0)</f>
        <v/>
      </c>
      <c r="P1539" s="46">
        <f>INDEX(ChDoorVel,MATCH(E1539,ChName,0))*CalibScalar*(1+VelocityUplift)</f>
        <v/>
      </c>
      <c r="Q1539" s="46" t="n">
        <v>0</v>
      </c>
      <c r="R1539" s="46">
        <f>P1539*O1539*M1539*N1539*H1539</f>
        <v/>
      </c>
      <c r="S1539" s="46">
        <f>R1539*INDEX(FmtCansPerCase,MATCH(F1539,FmtName,0))</f>
        <v/>
      </c>
      <c r="T1539" s="46">
        <f>S1539/INDEX(FmtCansPerPack,MATCH(F1539,FmtName,0))</f>
        <v/>
      </c>
      <c r="U1539" s="47">
        <f>INDEX(ChBaseCP,MATCH(E1539,ChName,0))*(1+INDEX(ProvMod,MATCH(G1539,ProvCode,0)))*(1+PriceIndex)</f>
        <v/>
      </c>
      <c r="V1539" s="47">
        <f>R1539*U1539*INDEX(FmtBlendedPriceIdx,MATCH(F1539,FmtName,0))</f>
        <v/>
      </c>
      <c r="W1539" s="47">
        <f>T1539*INDEX(ProvSRP,MATCH(G1539,ProvCode,0))*(1+PriceIndex)</f>
        <v/>
      </c>
      <c r="X1539" s="47">
        <f>IF(GrossBasis="Wholesale",V1539,W1539)</f>
        <v/>
      </c>
      <c r="Y1539" s="47">
        <f>R1539*INDEX(FmtBlendedCogs,MATCH(F1539,FmtName,0))</f>
        <v/>
      </c>
      <c r="Z1539" s="47">
        <f>X1539-Y1539</f>
        <v/>
      </c>
    </row>
    <row r="1540">
      <c r="A1540" t="n">
        <v>2</v>
      </c>
      <c r="B1540" s="44">
        <f>FiscalStart+(A1540-1)*7</f>
        <v/>
      </c>
      <c r="C1540">
        <f>TEXT(B1540,"mmm yyyy")</f>
        <v/>
      </c>
      <c r="D1540">
        <f>"Q"&amp;(INT((A1540-1)/13)+1)</f>
        <v/>
      </c>
      <c r="E1540" t="inlineStr">
        <is>
          <t>Fitness</t>
        </is>
      </c>
      <c r="F1540">
        <f>IFERROR(INDEX(ChFormat,MATCH(E1540,ChName,0)),"")</f>
        <v/>
      </c>
      <c r="G1540" t="inlineStr">
        <is>
          <t>NL</t>
        </is>
      </c>
      <c r="H1540">
        <f>IF(A1540&lt;=NWeeks,1,0)</f>
        <v/>
      </c>
      <c r="I1540">
        <f>INDEX(ChLaunch,MATCH(E1540,ChName,0))</f>
        <v/>
      </c>
      <c r="J1540">
        <f>INDEX(ChWeeksFull,MATCH(E1540,ChName,0))</f>
        <v/>
      </c>
      <c r="K1540">
        <f>INDEX(ChRamp,MATCH(E1540,ChName,0))</f>
        <v/>
      </c>
      <c r="L1540" s="45">
        <f>MIN(1,MAX(0,(A1540-I1540+1)*RampSpeed/J1540))</f>
        <v/>
      </c>
      <c r="M1540" s="45">
        <f>IF(A1540&lt;I1540,0,IF(K1540="S-curve",L1540*L1540*(3-2*L1540),L1540))</f>
        <v/>
      </c>
      <c r="N1540" s="45">
        <f>1+(INDEX(SeasonIdx,A1540)-1)*SeasonAmp</f>
        <v/>
      </c>
      <c r="O1540" s="45">
        <f>IFERROR(INDEX(PSPct,MATCH(E1540&amp;"|"&amp;G1540,PSKey,0)),0)</f>
        <v/>
      </c>
      <c r="P1540" s="46">
        <f>INDEX(ChDoorVel,MATCH(E1540,ChName,0))*CalibScalar*(1+VelocityUplift)</f>
        <v/>
      </c>
      <c r="Q1540" s="46" t="n">
        <v>0</v>
      </c>
      <c r="R1540" s="46">
        <f>P1540*O1540*M1540*N1540*H1540</f>
        <v/>
      </c>
      <c r="S1540" s="46">
        <f>R1540*INDEX(FmtCansPerCase,MATCH(F1540,FmtName,0))</f>
        <v/>
      </c>
      <c r="T1540" s="46">
        <f>S1540/INDEX(FmtCansPerPack,MATCH(F1540,FmtName,0))</f>
        <v/>
      </c>
      <c r="U1540" s="47">
        <f>INDEX(ChBaseCP,MATCH(E1540,ChName,0))*(1+INDEX(ProvMod,MATCH(G1540,ProvCode,0)))*(1+PriceIndex)</f>
        <v/>
      </c>
      <c r="V1540" s="47">
        <f>R1540*U1540*INDEX(FmtBlendedPriceIdx,MATCH(F1540,FmtName,0))</f>
        <v/>
      </c>
      <c r="W1540" s="47">
        <f>T1540*INDEX(ProvSRP,MATCH(G1540,ProvCode,0))*(1+PriceIndex)</f>
        <v/>
      </c>
      <c r="X1540" s="47">
        <f>IF(GrossBasis="Wholesale",V1540,W1540)</f>
        <v/>
      </c>
      <c r="Y1540" s="47">
        <f>R1540*INDEX(FmtBlendedCogs,MATCH(F1540,FmtName,0))</f>
        <v/>
      </c>
      <c r="Z1540" s="47">
        <f>X1540-Y1540</f>
        <v/>
      </c>
    </row>
    <row r="1541">
      <c r="A1541" t="n">
        <v>3</v>
      </c>
      <c r="B1541" s="44">
        <f>FiscalStart+(A1541-1)*7</f>
        <v/>
      </c>
      <c r="C1541">
        <f>TEXT(B1541,"mmm yyyy")</f>
        <v/>
      </c>
      <c r="D1541">
        <f>"Q"&amp;(INT((A1541-1)/13)+1)</f>
        <v/>
      </c>
      <c r="E1541" t="inlineStr">
        <is>
          <t>Fitness</t>
        </is>
      </c>
      <c r="F1541">
        <f>IFERROR(INDEX(ChFormat,MATCH(E1541,ChName,0)),"")</f>
        <v/>
      </c>
      <c r="G1541" t="inlineStr">
        <is>
          <t>NL</t>
        </is>
      </c>
      <c r="H1541">
        <f>IF(A1541&lt;=NWeeks,1,0)</f>
        <v/>
      </c>
      <c r="I1541">
        <f>INDEX(ChLaunch,MATCH(E1541,ChName,0))</f>
        <v/>
      </c>
      <c r="J1541">
        <f>INDEX(ChWeeksFull,MATCH(E1541,ChName,0))</f>
        <v/>
      </c>
      <c r="K1541">
        <f>INDEX(ChRamp,MATCH(E1541,ChName,0))</f>
        <v/>
      </c>
      <c r="L1541" s="45">
        <f>MIN(1,MAX(0,(A1541-I1541+1)*RampSpeed/J1541))</f>
        <v/>
      </c>
      <c r="M1541" s="45">
        <f>IF(A1541&lt;I1541,0,IF(K1541="S-curve",L1541*L1541*(3-2*L1541),L1541))</f>
        <v/>
      </c>
      <c r="N1541" s="45">
        <f>1+(INDEX(SeasonIdx,A1541)-1)*SeasonAmp</f>
        <v/>
      </c>
      <c r="O1541" s="45">
        <f>IFERROR(INDEX(PSPct,MATCH(E1541&amp;"|"&amp;G1541,PSKey,0)),0)</f>
        <v/>
      </c>
      <c r="P1541" s="46">
        <f>INDEX(ChDoorVel,MATCH(E1541,ChName,0))*CalibScalar*(1+VelocityUplift)</f>
        <v/>
      </c>
      <c r="Q1541" s="46" t="n">
        <v>0</v>
      </c>
      <c r="R1541" s="46">
        <f>P1541*O1541*M1541*N1541*H1541</f>
        <v/>
      </c>
      <c r="S1541" s="46">
        <f>R1541*INDEX(FmtCansPerCase,MATCH(F1541,FmtName,0))</f>
        <v/>
      </c>
      <c r="T1541" s="46">
        <f>S1541/INDEX(FmtCansPerPack,MATCH(F1541,FmtName,0))</f>
        <v/>
      </c>
      <c r="U1541" s="47">
        <f>INDEX(ChBaseCP,MATCH(E1541,ChName,0))*(1+INDEX(ProvMod,MATCH(G1541,ProvCode,0)))*(1+PriceIndex)</f>
        <v/>
      </c>
      <c r="V1541" s="47">
        <f>R1541*U1541*INDEX(FmtBlendedPriceIdx,MATCH(F1541,FmtName,0))</f>
        <v/>
      </c>
      <c r="W1541" s="47">
        <f>T1541*INDEX(ProvSRP,MATCH(G1541,ProvCode,0))*(1+PriceIndex)</f>
        <v/>
      </c>
      <c r="X1541" s="47">
        <f>IF(GrossBasis="Wholesale",V1541,W1541)</f>
        <v/>
      </c>
      <c r="Y1541" s="47">
        <f>R1541*INDEX(FmtBlendedCogs,MATCH(F1541,FmtName,0))</f>
        <v/>
      </c>
      <c r="Z1541" s="47">
        <f>X1541-Y1541</f>
        <v/>
      </c>
    </row>
    <row r="1542">
      <c r="A1542" t="n">
        <v>4</v>
      </c>
      <c r="B1542" s="44">
        <f>FiscalStart+(A1542-1)*7</f>
        <v/>
      </c>
      <c r="C1542">
        <f>TEXT(B1542,"mmm yyyy")</f>
        <v/>
      </c>
      <c r="D1542">
        <f>"Q"&amp;(INT((A1542-1)/13)+1)</f>
        <v/>
      </c>
      <c r="E1542" t="inlineStr">
        <is>
          <t>Fitness</t>
        </is>
      </c>
      <c r="F1542">
        <f>IFERROR(INDEX(ChFormat,MATCH(E1542,ChName,0)),"")</f>
        <v/>
      </c>
      <c r="G1542" t="inlineStr">
        <is>
          <t>NL</t>
        </is>
      </c>
      <c r="H1542">
        <f>IF(A1542&lt;=NWeeks,1,0)</f>
        <v/>
      </c>
      <c r="I1542">
        <f>INDEX(ChLaunch,MATCH(E1542,ChName,0))</f>
        <v/>
      </c>
      <c r="J1542">
        <f>INDEX(ChWeeksFull,MATCH(E1542,ChName,0))</f>
        <v/>
      </c>
      <c r="K1542">
        <f>INDEX(ChRamp,MATCH(E1542,ChName,0))</f>
        <v/>
      </c>
      <c r="L1542" s="45">
        <f>MIN(1,MAX(0,(A1542-I1542+1)*RampSpeed/J1542))</f>
        <v/>
      </c>
      <c r="M1542" s="45">
        <f>IF(A1542&lt;I1542,0,IF(K1542="S-curve",L1542*L1542*(3-2*L1542),L1542))</f>
        <v/>
      </c>
      <c r="N1542" s="45">
        <f>1+(INDEX(SeasonIdx,A1542)-1)*SeasonAmp</f>
        <v/>
      </c>
      <c r="O1542" s="45">
        <f>IFERROR(INDEX(PSPct,MATCH(E1542&amp;"|"&amp;G1542,PSKey,0)),0)</f>
        <v/>
      </c>
      <c r="P1542" s="46">
        <f>INDEX(ChDoorVel,MATCH(E1542,ChName,0))*CalibScalar*(1+VelocityUplift)</f>
        <v/>
      </c>
      <c r="Q1542" s="46" t="n">
        <v>0</v>
      </c>
      <c r="R1542" s="46">
        <f>P1542*O1542*M1542*N1542*H1542</f>
        <v/>
      </c>
      <c r="S1542" s="46">
        <f>R1542*INDEX(FmtCansPerCase,MATCH(F1542,FmtName,0))</f>
        <v/>
      </c>
      <c r="T1542" s="46">
        <f>S1542/INDEX(FmtCansPerPack,MATCH(F1542,FmtName,0))</f>
        <v/>
      </c>
      <c r="U1542" s="47">
        <f>INDEX(ChBaseCP,MATCH(E1542,ChName,0))*(1+INDEX(ProvMod,MATCH(G1542,ProvCode,0)))*(1+PriceIndex)</f>
        <v/>
      </c>
      <c r="V1542" s="47">
        <f>R1542*U1542*INDEX(FmtBlendedPriceIdx,MATCH(F1542,FmtName,0))</f>
        <v/>
      </c>
      <c r="W1542" s="47">
        <f>T1542*INDEX(ProvSRP,MATCH(G1542,ProvCode,0))*(1+PriceIndex)</f>
        <v/>
      </c>
      <c r="X1542" s="47">
        <f>IF(GrossBasis="Wholesale",V1542,W1542)</f>
        <v/>
      </c>
      <c r="Y1542" s="47">
        <f>R1542*INDEX(FmtBlendedCogs,MATCH(F1542,FmtName,0))</f>
        <v/>
      </c>
      <c r="Z1542" s="47">
        <f>X1542-Y1542</f>
        <v/>
      </c>
    </row>
    <row r="1543">
      <c r="A1543" t="n">
        <v>5</v>
      </c>
      <c r="B1543" s="44">
        <f>FiscalStart+(A1543-1)*7</f>
        <v/>
      </c>
      <c r="C1543">
        <f>TEXT(B1543,"mmm yyyy")</f>
        <v/>
      </c>
      <c r="D1543">
        <f>"Q"&amp;(INT((A1543-1)/13)+1)</f>
        <v/>
      </c>
      <c r="E1543" t="inlineStr">
        <is>
          <t>Fitness</t>
        </is>
      </c>
      <c r="F1543">
        <f>IFERROR(INDEX(ChFormat,MATCH(E1543,ChName,0)),"")</f>
        <v/>
      </c>
      <c r="G1543" t="inlineStr">
        <is>
          <t>NL</t>
        </is>
      </c>
      <c r="H1543">
        <f>IF(A1543&lt;=NWeeks,1,0)</f>
        <v/>
      </c>
      <c r="I1543">
        <f>INDEX(ChLaunch,MATCH(E1543,ChName,0))</f>
        <v/>
      </c>
      <c r="J1543">
        <f>INDEX(ChWeeksFull,MATCH(E1543,ChName,0))</f>
        <v/>
      </c>
      <c r="K1543">
        <f>INDEX(ChRamp,MATCH(E1543,ChName,0))</f>
        <v/>
      </c>
      <c r="L1543" s="45">
        <f>MIN(1,MAX(0,(A1543-I1543+1)*RampSpeed/J1543))</f>
        <v/>
      </c>
      <c r="M1543" s="45">
        <f>IF(A1543&lt;I1543,0,IF(K1543="S-curve",L1543*L1543*(3-2*L1543),L1543))</f>
        <v/>
      </c>
      <c r="N1543" s="45">
        <f>1+(INDEX(SeasonIdx,A1543)-1)*SeasonAmp</f>
        <v/>
      </c>
      <c r="O1543" s="45">
        <f>IFERROR(INDEX(PSPct,MATCH(E1543&amp;"|"&amp;G1543,PSKey,0)),0)</f>
        <v/>
      </c>
      <c r="P1543" s="46">
        <f>INDEX(ChDoorVel,MATCH(E1543,ChName,0))*CalibScalar*(1+VelocityUplift)</f>
        <v/>
      </c>
      <c r="Q1543" s="46" t="n">
        <v>0</v>
      </c>
      <c r="R1543" s="46">
        <f>P1543*O1543*M1543*N1543*H1543</f>
        <v/>
      </c>
      <c r="S1543" s="46">
        <f>R1543*INDEX(FmtCansPerCase,MATCH(F1543,FmtName,0))</f>
        <v/>
      </c>
      <c r="T1543" s="46">
        <f>S1543/INDEX(FmtCansPerPack,MATCH(F1543,FmtName,0))</f>
        <v/>
      </c>
      <c r="U1543" s="47">
        <f>INDEX(ChBaseCP,MATCH(E1543,ChName,0))*(1+INDEX(ProvMod,MATCH(G1543,ProvCode,0)))*(1+PriceIndex)</f>
        <v/>
      </c>
      <c r="V1543" s="47">
        <f>R1543*U1543*INDEX(FmtBlendedPriceIdx,MATCH(F1543,FmtName,0))</f>
        <v/>
      </c>
      <c r="W1543" s="47">
        <f>T1543*INDEX(ProvSRP,MATCH(G1543,ProvCode,0))*(1+PriceIndex)</f>
        <v/>
      </c>
      <c r="X1543" s="47">
        <f>IF(GrossBasis="Wholesale",V1543,W1543)</f>
        <v/>
      </c>
      <c r="Y1543" s="47">
        <f>R1543*INDEX(FmtBlendedCogs,MATCH(F1543,FmtName,0))</f>
        <v/>
      </c>
      <c r="Z1543" s="47">
        <f>X1543-Y1543</f>
        <v/>
      </c>
    </row>
    <row r="1544">
      <c r="A1544" t="n">
        <v>6</v>
      </c>
      <c r="B1544" s="44">
        <f>FiscalStart+(A1544-1)*7</f>
        <v/>
      </c>
      <c r="C1544">
        <f>TEXT(B1544,"mmm yyyy")</f>
        <v/>
      </c>
      <c r="D1544">
        <f>"Q"&amp;(INT((A1544-1)/13)+1)</f>
        <v/>
      </c>
      <c r="E1544" t="inlineStr">
        <is>
          <t>Fitness</t>
        </is>
      </c>
      <c r="F1544">
        <f>IFERROR(INDEX(ChFormat,MATCH(E1544,ChName,0)),"")</f>
        <v/>
      </c>
      <c r="G1544" t="inlineStr">
        <is>
          <t>NL</t>
        </is>
      </c>
      <c r="H1544">
        <f>IF(A1544&lt;=NWeeks,1,0)</f>
        <v/>
      </c>
      <c r="I1544">
        <f>INDEX(ChLaunch,MATCH(E1544,ChName,0))</f>
        <v/>
      </c>
      <c r="J1544">
        <f>INDEX(ChWeeksFull,MATCH(E1544,ChName,0))</f>
        <v/>
      </c>
      <c r="K1544">
        <f>INDEX(ChRamp,MATCH(E1544,ChName,0))</f>
        <v/>
      </c>
      <c r="L1544" s="45">
        <f>MIN(1,MAX(0,(A1544-I1544+1)*RampSpeed/J1544))</f>
        <v/>
      </c>
      <c r="M1544" s="45">
        <f>IF(A1544&lt;I1544,0,IF(K1544="S-curve",L1544*L1544*(3-2*L1544),L1544))</f>
        <v/>
      </c>
      <c r="N1544" s="45">
        <f>1+(INDEX(SeasonIdx,A1544)-1)*SeasonAmp</f>
        <v/>
      </c>
      <c r="O1544" s="45">
        <f>IFERROR(INDEX(PSPct,MATCH(E1544&amp;"|"&amp;G1544,PSKey,0)),0)</f>
        <v/>
      </c>
      <c r="P1544" s="46">
        <f>INDEX(ChDoorVel,MATCH(E1544,ChName,0))*CalibScalar*(1+VelocityUplift)</f>
        <v/>
      </c>
      <c r="Q1544" s="46" t="n">
        <v>0</v>
      </c>
      <c r="R1544" s="46">
        <f>P1544*O1544*M1544*N1544*H1544</f>
        <v/>
      </c>
      <c r="S1544" s="46">
        <f>R1544*INDEX(FmtCansPerCase,MATCH(F1544,FmtName,0))</f>
        <v/>
      </c>
      <c r="T1544" s="46">
        <f>S1544/INDEX(FmtCansPerPack,MATCH(F1544,FmtName,0))</f>
        <v/>
      </c>
      <c r="U1544" s="47">
        <f>INDEX(ChBaseCP,MATCH(E1544,ChName,0))*(1+INDEX(ProvMod,MATCH(G1544,ProvCode,0)))*(1+PriceIndex)</f>
        <v/>
      </c>
      <c r="V1544" s="47">
        <f>R1544*U1544*INDEX(FmtBlendedPriceIdx,MATCH(F1544,FmtName,0))</f>
        <v/>
      </c>
      <c r="W1544" s="47">
        <f>T1544*INDEX(ProvSRP,MATCH(G1544,ProvCode,0))*(1+PriceIndex)</f>
        <v/>
      </c>
      <c r="X1544" s="47">
        <f>IF(GrossBasis="Wholesale",V1544,W1544)</f>
        <v/>
      </c>
      <c r="Y1544" s="47">
        <f>R1544*INDEX(FmtBlendedCogs,MATCH(F1544,FmtName,0))</f>
        <v/>
      </c>
      <c r="Z1544" s="47">
        <f>X1544-Y1544</f>
        <v/>
      </c>
    </row>
    <row r="1545">
      <c r="A1545" t="n">
        <v>7</v>
      </c>
      <c r="B1545" s="44">
        <f>FiscalStart+(A1545-1)*7</f>
        <v/>
      </c>
      <c r="C1545">
        <f>TEXT(B1545,"mmm yyyy")</f>
        <v/>
      </c>
      <c r="D1545">
        <f>"Q"&amp;(INT((A1545-1)/13)+1)</f>
        <v/>
      </c>
      <c r="E1545" t="inlineStr">
        <is>
          <t>Fitness</t>
        </is>
      </c>
      <c r="F1545">
        <f>IFERROR(INDEX(ChFormat,MATCH(E1545,ChName,0)),"")</f>
        <v/>
      </c>
      <c r="G1545" t="inlineStr">
        <is>
          <t>NL</t>
        </is>
      </c>
      <c r="H1545">
        <f>IF(A1545&lt;=NWeeks,1,0)</f>
        <v/>
      </c>
      <c r="I1545">
        <f>INDEX(ChLaunch,MATCH(E1545,ChName,0))</f>
        <v/>
      </c>
      <c r="J1545">
        <f>INDEX(ChWeeksFull,MATCH(E1545,ChName,0))</f>
        <v/>
      </c>
      <c r="K1545">
        <f>INDEX(ChRamp,MATCH(E1545,ChName,0))</f>
        <v/>
      </c>
      <c r="L1545" s="45">
        <f>MIN(1,MAX(0,(A1545-I1545+1)*RampSpeed/J1545))</f>
        <v/>
      </c>
      <c r="M1545" s="45">
        <f>IF(A1545&lt;I1545,0,IF(K1545="S-curve",L1545*L1545*(3-2*L1545),L1545))</f>
        <v/>
      </c>
      <c r="N1545" s="45">
        <f>1+(INDEX(SeasonIdx,A1545)-1)*SeasonAmp</f>
        <v/>
      </c>
      <c r="O1545" s="45">
        <f>IFERROR(INDEX(PSPct,MATCH(E1545&amp;"|"&amp;G1545,PSKey,0)),0)</f>
        <v/>
      </c>
      <c r="P1545" s="46">
        <f>INDEX(ChDoorVel,MATCH(E1545,ChName,0))*CalibScalar*(1+VelocityUplift)</f>
        <v/>
      </c>
      <c r="Q1545" s="46" t="n">
        <v>0</v>
      </c>
      <c r="R1545" s="46">
        <f>P1545*O1545*M1545*N1545*H1545</f>
        <v/>
      </c>
      <c r="S1545" s="46">
        <f>R1545*INDEX(FmtCansPerCase,MATCH(F1545,FmtName,0))</f>
        <v/>
      </c>
      <c r="T1545" s="46">
        <f>S1545/INDEX(FmtCansPerPack,MATCH(F1545,FmtName,0))</f>
        <v/>
      </c>
      <c r="U1545" s="47">
        <f>INDEX(ChBaseCP,MATCH(E1545,ChName,0))*(1+INDEX(ProvMod,MATCH(G1545,ProvCode,0)))*(1+PriceIndex)</f>
        <v/>
      </c>
      <c r="V1545" s="47">
        <f>R1545*U1545*INDEX(FmtBlendedPriceIdx,MATCH(F1545,FmtName,0))</f>
        <v/>
      </c>
      <c r="W1545" s="47">
        <f>T1545*INDEX(ProvSRP,MATCH(G1545,ProvCode,0))*(1+PriceIndex)</f>
        <v/>
      </c>
      <c r="X1545" s="47">
        <f>IF(GrossBasis="Wholesale",V1545,W1545)</f>
        <v/>
      </c>
      <c r="Y1545" s="47">
        <f>R1545*INDEX(FmtBlendedCogs,MATCH(F1545,FmtName,0))</f>
        <v/>
      </c>
      <c r="Z1545" s="47">
        <f>X1545-Y1545</f>
        <v/>
      </c>
    </row>
    <row r="1546">
      <c r="A1546" t="n">
        <v>8</v>
      </c>
      <c r="B1546" s="44">
        <f>FiscalStart+(A1546-1)*7</f>
        <v/>
      </c>
      <c r="C1546">
        <f>TEXT(B1546,"mmm yyyy")</f>
        <v/>
      </c>
      <c r="D1546">
        <f>"Q"&amp;(INT((A1546-1)/13)+1)</f>
        <v/>
      </c>
      <c r="E1546" t="inlineStr">
        <is>
          <t>Fitness</t>
        </is>
      </c>
      <c r="F1546">
        <f>IFERROR(INDEX(ChFormat,MATCH(E1546,ChName,0)),"")</f>
        <v/>
      </c>
      <c r="G1546" t="inlineStr">
        <is>
          <t>NL</t>
        </is>
      </c>
      <c r="H1546">
        <f>IF(A1546&lt;=NWeeks,1,0)</f>
        <v/>
      </c>
      <c r="I1546">
        <f>INDEX(ChLaunch,MATCH(E1546,ChName,0))</f>
        <v/>
      </c>
      <c r="J1546">
        <f>INDEX(ChWeeksFull,MATCH(E1546,ChName,0))</f>
        <v/>
      </c>
      <c r="K1546">
        <f>INDEX(ChRamp,MATCH(E1546,ChName,0))</f>
        <v/>
      </c>
      <c r="L1546" s="45">
        <f>MIN(1,MAX(0,(A1546-I1546+1)*RampSpeed/J1546))</f>
        <v/>
      </c>
      <c r="M1546" s="45">
        <f>IF(A1546&lt;I1546,0,IF(K1546="S-curve",L1546*L1546*(3-2*L1546),L1546))</f>
        <v/>
      </c>
      <c r="N1546" s="45">
        <f>1+(INDEX(SeasonIdx,A1546)-1)*SeasonAmp</f>
        <v/>
      </c>
      <c r="O1546" s="45">
        <f>IFERROR(INDEX(PSPct,MATCH(E1546&amp;"|"&amp;G1546,PSKey,0)),0)</f>
        <v/>
      </c>
      <c r="P1546" s="46">
        <f>INDEX(ChDoorVel,MATCH(E1546,ChName,0))*CalibScalar*(1+VelocityUplift)</f>
        <v/>
      </c>
      <c r="Q1546" s="46" t="n">
        <v>0</v>
      </c>
      <c r="R1546" s="46">
        <f>P1546*O1546*M1546*N1546*H1546</f>
        <v/>
      </c>
      <c r="S1546" s="46">
        <f>R1546*INDEX(FmtCansPerCase,MATCH(F1546,FmtName,0))</f>
        <v/>
      </c>
      <c r="T1546" s="46">
        <f>S1546/INDEX(FmtCansPerPack,MATCH(F1546,FmtName,0))</f>
        <v/>
      </c>
      <c r="U1546" s="47">
        <f>INDEX(ChBaseCP,MATCH(E1546,ChName,0))*(1+INDEX(ProvMod,MATCH(G1546,ProvCode,0)))*(1+PriceIndex)</f>
        <v/>
      </c>
      <c r="V1546" s="47">
        <f>R1546*U1546*INDEX(FmtBlendedPriceIdx,MATCH(F1546,FmtName,0))</f>
        <v/>
      </c>
      <c r="W1546" s="47">
        <f>T1546*INDEX(ProvSRP,MATCH(G1546,ProvCode,0))*(1+PriceIndex)</f>
        <v/>
      </c>
      <c r="X1546" s="47">
        <f>IF(GrossBasis="Wholesale",V1546,W1546)</f>
        <v/>
      </c>
      <c r="Y1546" s="47">
        <f>R1546*INDEX(FmtBlendedCogs,MATCH(F1546,FmtName,0))</f>
        <v/>
      </c>
      <c r="Z1546" s="47">
        <f>X1546-Y1546</f>
        <v/>
      </c>
    </row>
    <row r="1547">
      <c r="A1547" t="n">
        <v>9</v>
      </c>
      <c r="B1547" s="44">
        <f>FiscalStart+(A1547-1)*7</f>
        <v/>
      </c>
      <c r="C1547">
        <f>TEXT(B1547,"mmm yyyy")</f>
        <v/>
      </c>
      <c r="D1547">
        <f>"Q"&amp;(INT((A1547-1)/13)+1)</f>
        <v/>
      </c>
      <c r="E1547" t="inlineStr">
        <is>
          <t>Fitness</t>
        </is>
      </c>
      <c r="F1547">
        <f>IFERROR(INDEX(ChFormat,MATCH(E1547,ChName,0)),"")</f>
        <v/>
      </c>
      <c r="G1547" t="inlineStr">
        <is>
          <t>NL</t>
        </is>
      </c>
      <c r="H1547">
        <f>IF(A1547&lt;=NWeeks,1,0)</f>
        <v/>
      </c>
      <c r="I1547">
        <f>INDEX(ChLaunch,MATCH(E1547,ChName,0))</f>
        <v/>
      </c>
      <c r="J1547">
        <f>INDEX(ChWeeksFull,MATCH(E1547,ChName,0))</f>
        <v/>
      </c>
      <c r="K1547">
        <f>INDEX(ChRamp,MATCH(E1547,ChName,0))</f>
        <v/>
      </c>
      <c r="L1547" s="45">
        <f>MIN(1,MAX(0,(A1547-I1547+1)*RampSpeed/J1547))</f>
        <v/>
      </c>
      <c r="M1547" s="45">
        <f>IF(A1547&lt;I1547,0,IF(K1547="S-curve",L1547*L1547*(3-2*L1547),L1547))</f>
        <v/>
      </c>
      <c r="N1547" s="45">
        <f>1+(INDEX(SeasonIdx,A1547)-1)*SeasonAmp</f>
        <v/>
      </c>
      <c r="O1547" s="45">
        <f>IFERROR(INDEX(PSPct,MATCH(E1547&amp;"|"&amp;G1547,PSKey,0)),0)</f>
        <v/>
      </c>
      <c r="P1547" s="46">
        <f>INDEX(ChDoorVel,MATCH(E1547,ChName,0))*CalibScalar*(1+VelocityUplift)</f>
        <v/>
      </c>
      <c r="Q1547" s="46" t="n">
        <v>0</v>
      </c>
      <c r="R1547" s="46">
        <f>P1547*O1547*M1547*N1547*H1547</f>
        <v/>
      </c>
      <c r="S1547" s="46">
        <f>R1547*INDEX(FmtCansPerCase,MATCH(F1547,FmtName,0))</f>
        <v/>
      </c>
      <c r="T1547" s="46">
        <f>S1547/INDEX(FmtCansPerPack,MATCH(F1547,FmtName,0))</f>
        <v/>
      </c>
      <c r="U1547" s="47">
        <f>INDEX(ChBaseCP,MATCH(E1547,ChName,0))*(1+INDEX(ProvMod,MATCH(G1547,ProvCode,0)))*(1+PriceIndex)</f>
        <v/>
      </c>
      <c r="V1547" s="47">
        <f>R1547*U1547*INDEX(FmtBlendedPriceIdx,MATCH(F1547,FmtName,0))</f>
        <v/>
      </c>
      <c r="W1547" s="47">
        <f>T1547*INDEX(ProvSRP,MATCH(G1547,ProvCode,0))*(1+PriceIndex)</f>
        <v/>
      </c>
      <c r="X1547" s="47">
        <f>IF(GrossBasis="Wholesale",V1547,W1547)</f>
        <v/>
      </c>
      <c r="Y1547" s="47">
        <f>R1547*INDEX(FmtBlendedCogs,MATCH(F1547,FmtName,0))</f>
        <v/>
      </c>
      <c r="Z1547" s="47">
        <f>X1547-Y1547</f>
        <v/>
      </c>
    </row>
    <row r="1548">
      <c r="A1548" t="n">
        <v>10</v>
      </c>
      <c r="B1548" s="44">
        <f>FiscalStart+(A1548-1)*7</f>
        <v/>
      </c>
      <c r="C1548">
        <f>TEXT(B1548,"mmm yyyy")</f>
        <v/>
      </c>
      <c r="D1548">
        <f>"Q"&amp;(INT((A1548-1)/13)+1)</f>
        <v/>
      </c>
      <c r="E1548" t="inlineStr">
        <is>
          <t>Fitness</t>
        </is>
      </c>
      <c r="F1548">
        <f>IFERROR(INDEX(ChFormat,MATCH(E1548,ChName,0)),"")</f>
        <v/>
      </c>
      <c r="G1548" t="inlineStr">
        <is>
          <t>NL</t>
        </is>
      </c>
      <c r="H1548">
        <f>IF(A1548&lt;=NWeeks,1,0)</f>
        <v/>
      </c>
      <c r="I1548">
        <f>INDEX(ChLaunch,MATCH(E1548,ChName,0))</f>
        <v/>
      </c>
      <c r="J1548">
        <f>INDEX(ChWeeksFull,MATCH(E1548,ChName,0))</f>
        <v/>
      </c>
      <c r="K1548">
        <f>INDEX(ChRamp,MATCH(E1548,ChName,0))</f>
        <v/>
      </c>
      <c r="L1548" s="45">
        <f>MIN(1,MAX(0,(A1548-I1548+1)*RampSpeed/J1548))</f>
        <v/>
      </c>
      <c r="M1548" s="45">
        <f>IF(A1548&lt;I1548,0,IF(K1548="S-curve",L1548*L1548*(3-2*L1548),L1548))</f>
        <v/>
      </c>
      <c r="N1548" s="45">
        <f>1+(INDEX(SeasonIdx,A1548)-1)*SeasonAmp</f>
        <v/>
      </c>
      <c r="O1548" s="45">
        <f>IFERROR(INDEX(PSPct,MATCH(E1548&amp;"|"&amp;G1548,PSKey,0)),0)</f>
        <v/>
      </c>
      <c r="P1548" s="46">
        <f>INDEX(ChDoorVel,MATCH(E1548,ChName,0))*CalibScalar*(1+VelocityUplift)</f>
        <v/>
      </c>
      <c r="Q1548" s="46" t="n">
        <v>0</v>
      </c>
      <c r="R1548" s="46">
        <f>P1548*O1548*M1548*N1548*H1548</f>
        <v/>
      </c>
      <c r="S1548" s="46">
        <f>R1548*INDEX(FmtCansPerCase,MATCH(F1548,FmtName,0))</f>
        <v/>
      </c>
      <c r="T1548" s="46">
        <f>S1548/INDEX(FmtCansPerPack,MATCH(F1548,FmtName,0))</f>
        <v/>
      </c>
      <c r="U1548" s="47">
        <f>INDEX(ChBaseCP,MATCH(E1548,ChName,0))*(1+INDEX(ProvMod,MATCH(G1548,ProvCode,0)))*(1+PriceIndex)</f>
        <v/>
      </c>
      <c r="V1548" s="47">
        <f>R1548*U1548*INDEX(FmtBlendedPriceIdx,MATCH(F1548,FmtName,0))</f>
        <v/>
      </c>
      <c r="W1548" s="47">
        <f>T1548*INDEX(ProvSRP,MATCH(G1548,ProvCode,0))*(1+PriceIndex)</f>
        <v/>
      </c>
      <c r="X1548" s="47">
        <f>IF(GrossBasis="Wholesale",V1548,W1548)</f>
        <v/>
      </c>
      <c r="Y1548" s="47">
        <f>R1548*INDEX(FmtBlendedCogs,MATCH(F1548,FmtName,0))</f>
        <v/>
      </c>
      <c r="Z1548" s="47">
        <f>X1548-Y1548</f>
        <v/>
      </c>
    </row>
    <row r="1549">
      <c r="A1549" t="n">
        <v>11</v>
      </c>
      <c r="B1549" s="44">
        <f>FiscalStart+(A1549-1)*7</f>
        <v/>
      </c>
      <c r="C1549">
        <f>TEXT(B1549,"mmm yyyy")</f>
        <v/>
      </c>
      <c r="D1549">
        <f>"Q"&amp;(INT((A1549-1)/13)+1)</f>
        <v/>
      </c>
      <c r="E1549" t="inlineStr">
        <is>
          <t>Fitness</t>
        </is>
      </c>
      <c r="F1549">
        <f>IFERROR(INDEX(ChFormat,MATCH(E1549,ChName,0)),"")</f>
        <v/>
      </c>
      <c r="G1549" t="inlineStr">
        <is>
          <t>NL</t>
        </is>
      </c>
      <c r="H1549">
        <f>IF(A1549&lt;=NWeeks,1,0)</f>
        <v/>
      </c>
      <c r="I1549">
        <f>INDEX(ChLaunch,MATCH(E1549,ChName,0))</f>
        <v/>
      </c>
      <c r="J1549">
        <f>INDEX(ChWeeksFull,MATCH(E1549,ChName,0))</f>
        <v/>
      </c>
      <c r="K1549">
        <f>INDEX(ChRamp,MATCH(E1549,ChName,0))</f>
        <v/>
      </c>
      <c r="L1549" s="45">
        <f>MIN(1,MAX(0,(A1549-I1549+1)*RampSpeed/J1549))</f>
        <v/>
      </c>
      <c r="M1549" s="45">
        <f>IF(A1549&lt;I1549,0,IF(K1549="S-curve",L1549*L1549*(3-2*L1549),L1549))</f>
        <v/>
      </c>
      <c r="N1549" s="45">
        <f>1+(INDEX(SeasonIdx,A1549)-1)*SeasonAmp</f>
        <v/>
      </c>
      <c r="O1549" s="45">
        <f>IFERROR(INDEX(PSPct,MATCH(E1549&amp;"|"&amp;G1549,PSKey,0)),0)</f>
        <v/>
      </c>
      <c r="P1549" s="46">
        <f>INDEX(ChDoorVel,MATCH(E1549,ChName,0))*CalibScalar*(1+VelocityUplift)</f>
        <v/>
      </c>
      <c r="Q1549" s="46" t="n">
        <v>0</v>
      </c>
      <c r="R1549" s="46">
        <f>P1549*O1549*M1549*N1549*H1549</f>
        <v/>
      </c>
      <c r="S1549" s="46">
        <f>R1549*INDEX(FmtCansPerCase,MATCH(F1549,FmtName,0))</f>
        <v/>
      </c>
      <c r="T1549" s="46">
        <f>S1549/INDEX(FmtCansPerPack,MATCH(F1549,FmtName,0))</f>
        <v/>
      </c>
      <c r="U1549" s="47">
        <f>INDEX(ChBaseCP,MATCH(E1549,ChName,0))*(1+INDEX(ProvMod,MATCH(G1549,ProvCode,0)))*(1+PriceIndex)</f>
        <v/>
      </c>
      <c r="V1549" s="47">
        <f>R1549*U1549*INDEX(FmtBlendedPriceIdx,MATCH(F1549,FmtName,0))</f>
        <v/>
      </c>
      <c r="W1549" s="47">
        <f>T1549*INDEX(ProvSRP,MATCH(G1549,ProvCode,0))*(1+PriceIndex)</f>
        <v/>
      </c>
      <c r="X1549" s="47">
        <f>IF(GrossBasis="Wholesale",V1549,W1549)</f>
        <v/>
      </c>
      <c r="Y1549" s="47">
        <f>R1549*INDEX(FmtBlendedCogs,MATCH(F1549,FmtName,0))</f>
        <v/>
      </c>
      <c r="Z1549" s="47">
        <f>X1549-Y1549</f>
        <v/>
      </c>
    </row>
    <row r="1550">
      <c r="A1550" t="n">
        <v>12</v>
      </c>
      <c r="B1550" s="44">
        <f>FiscalStart+(A1550-1)*7</f>
        <v/>
      </c>
      <c r="C1550">
        <f>TEXT(B1550,"mmm yyyy")</f>
        <v/>
      </c>
      <c r="D1550">
        <f>"Q"&amp;(INT((A1550-1)/13)+1)</f>
        <v/>
      </c>
      <c r="E1550" t="inlineStr">
        <is>
          <t>Fitness</t>
        </is>
      </c>
      <c r="F1550">
        <f>IFERROR(INDEX(ChFormat,MATCH(E1550,ChName,0)),"")</f>
        <v/>
      </c>
      <c r="G1550" t="inlineStr">
        <is>
          <t>NL</t>
        </is>
      </c>
      <c r="H1550">
        <f>IF(A1550&lt;=NWeeks,1,0)</f>
        <v/>
      </c>
      <c r="I1550">
        <f>INDEX(ChLaunch,MATCH(E1550,ChName,0))</f>
        <v/>
      </c>
      <c r="J1550">
        <f>INDEX(ChWeeksFull,MATCH(E1550,ChName,0))</f>
        <v/>
      </c>
      <c r="K1550">
        <f>INDEX(ChRamp,MATCH(E1550,ChName,0))</f>
        <v/>
      </c>
      <c r="L1550" s="45">
        <f>MIN(1,MAX(0,(A1550-I1550+1)*RampSpeed/J1550))</f>
        <v/>
      </c>
      <c r="M1550" s="45">
        <f>IF(A1550&lt;I1550,0,IF(K1550="S-curve",L1550*L1550*(3-2*L1550),L1550))</f>
        <v/>
      </c>
      <c r="N1550" s="45">
        <f>1+(INDEX(SeasonIdx,A1550)-1)*SeasonAmp</f>
        <v/>
      </c>
      <c r="O1550" s="45">
        <f>IFERROR(INDEX(PSPct,MATCH(E1550&amp;"|"&amp;G1550,PSKey,0)),0)</f>
        <v/>
      </c>
      <c r="P1550" s="46">
        <f>INDEX(ChDoorVel,MATCH(E1550,ChName,0))*CalibScalar*(1+VelocityUplift)</f>
        <v/>
      </c>
      <c r="Q1550" s="46" t="n">
        <v>0</v>
      </c>
      <c r="R1550" s="46">
        <f>P1550*O1550*M1550*N1550*H1550</f>
        <v/>
      </c>
      <c r="S1550" s="46">
        <f>R1550*INDEX(FmtCansPerCase,MATCH(F1550,FmtName,0))</f>
        <v/>
      </c>
      <c r="T1550" s="46">
        <f>S1550/INDEX(FmtCansPerPack,MATCH(F1550,FmtName,0))</f>
        <v/>
      </c>
      <c r="U1550" s="47">
        <f>INDEX(ChBaseCP,MATCH(E1550,ChName,0))*(1+INDEX(ProvMod,MATCH(G1550,ProvCode,0)))*(1+PriceIndex)</f>
        <v/>
      </c>
      <c r="V1550" s="47">
        <f>R1550*U1550*INDEX(FmtBlendedPriceIdx,MATCH(F1550,FmtName,0))</f>
        <v/>
      </c>
      <c r="W1550" s="47">
        <f>T1550*INDEX(ProvSRP,MATCH(G1550,ProvCode,0))*(1+PriceIndex)</f>
        <v/>
      </c>
      <c r="X1550" s="47">
        <f>IF(GrossBasis="Wholesale",V1550,W1550)</f>
        <v/>
      </c>
      <c r="Y1550" s="47">
        <f>R1550*INDEX(FmtBlendedCogs,MATCH(F1550,FmtName,0))</f>
        <v/>
      </c>
      <c r="Z1550" s="47">
        <f>X1550-Y1550</f>
        <v/>
      </c>
    </row>
    <row r="1551">
      <c r="A1551" t="n">
        <v>13</v>
      </c>
      <c r="B1551" s="44">
        <f>FiscalStart+(A1551-1)*7</f>
        <v/>
      </c>
      <c r="C1551">
        <f>TEXT(B1551,"mmm yyyy")</f>
        <v/>
      </c>
      <c r="D1551">
        <f>"Q"&amp;(INT((A1551-1)/13)+1)</f>
        <v/>
      </c>
      <c r="E1551" t="inlineStr">
        <is>
          <t>Fitness</t>
        </is>
      </c>
      <c r="F1551">
        <f>IFERROR(INDEX(ChFormat,MATCH(E1551,ChName,0)),"")</f>
        <v/>
      </c>
      <c r="G1551" t="inlineStr">
        <is>
          <t>NL</t>
        </is>
      </c>
      <c r="H1551">
        <f>IF(A1551&lt;=NWeeks,1,0)</f>
        <v/>
      </c>
      <c r="I1551">
        <f>INDEX(ChLaunch,MATCH(E1551,ChName,0))</f>
        <v/>
      </c>
      <c r="J1551">
        <f>INDEX(ChWeeksFull,MATCH(E1551,ChName,0))</f>
        <v/>
      </c>
      <c r="K1551">
        <f>INDEX(ChRamp,MATCH(E1551,ChName,0))</f>
        <v/>
      </c>
      <c r="L1551" s="45">
        <f>MIN(1,MAX(0,(A1551-I1551+1)*RampSpeed/J1551))</f>
        <v/>
      </c>
      <c r="M1551" s="45">
        <f>IF(A1551&lt;I1551,0,IF(K1551="S-curve",L1551*L1551*(3-2*L1551),L1551))</f>
        <v/>
      </c>
      <c r="N1551" s="45">
        <f>1+(INDEX(SeasonIdx,A1551)-1)*SeasonAmp</f>
        <v/>
      </c>
      <c r="O1551" s="45">
        <f>IFERROR(INDEX(PSPct,MATCH(E1551&amp;"|"&amp;G1551,PSKey,0)),0)</f>
        <v/>
      </c>
      <c r="P1551" s="46">
        <f>INDEX(ChDoorVel,MATCH(E1551,ChName,0))*CalibScalar*(1+VelocityUplift)</f>
        <v/>
      </c>
      <c r="Q1551" s="46" t="n">
        <v>0</v>
      </c>
      <c r="R1551" s="46">
        <f>P1551*O1551*M1551*N1551*H1551</f>
        <v/>
      </c>
      <c r="S1551" s="46">
        <f>R1551*INDEX(FmtCansPerCase,MATCH(F1551,FmtName,0))</f>
        <v/>
      </c>
      <c r="T1551" s="46">
        <f>S1551/INDEX(FmtCansPerPack,MATCH(F1551,FmtName,0))</f>
        <v/>
      </c>
      <c r="U1551" s="47">
        <f>INDEX(ChBaseCP,MATCH(E1551,ChName,0))*(1+INDEX(ProvMod,MATCH(G1551,ProvCode,0)))*(1+PriceIndex)</f>
        <v/>
      </c>
      <c r="V1551" s="47">
        <f>R1551*U1551*INDEX(FmtBlendedPriceIdx,MATCH(F1551,FmtName,0))</f>
        <v/>
      </c>
      <c r="W1551" s="47">
        <f>T1551*INDEX(ProvSRP,MATCH(G1551,ProvCode,0))*(1+PriceIndex)</f>
        <v/>
      </c>
      <c r="X1551" s="47">
        <f>IF(GrossBasis="Wholesale",V1551,W1551)</f>
        <v/>
      </c>
      <c r="Y1551" s="47">
        <f>R1551*INDEX(FmtBlendedCogs,MATCH(F1551,FmtName,0))</f>
        <v/>
      </c>
      <c r="Z1551" s="47">
        <f>X1551-Y1551</f>
        <v/>
      </c>
    </row>
    <row r="1552">
      <c r="A1552" t="n">
        <v>14</v>
      </c>
      <c r="B1552" s="44">
        <f>FiscalStart+(A1552-1)*7</f>
        <v/>
      </c>
      <c r="C1552">
        <f>TEXT(B1552,"mmm yyyy")</f>
        <v/>
      </c>
      <c r="D1552">
        <f>"Q"&amp;(INT((A1552-1)/13)+1)</f>
        <v/>
      </c>
      <c r="E1552" t="inlineStr">
        <is>
          <t>Fitness</t>
        </is>
      </c>
      <c r="F1552">
        <f>IFERROR(INDEX(ChFormat,MATCH(E1552,ChName,0)),"")</f>
        <v/>
      </c>
      <c r="G1552" t="inlineStr">
        <is>
          <t>NL</t>
        </is>
      </c>
      <c r="H1552">
        <f>IF(A1552&lt;=NWeeks,1,0)</f>
        <v/>
      </c>
      <c r="I1552">
        <f>INDEX(ChLaunch,MATCH(E1552,ChName,0))</f>
        <v/>
      </c>
      <c r="J1552">
        <f>INDEX(ChWeeksFull,MATCH(E1552,ChName,0))</f>
        <v/>
      </c>
      <c r="K1552">
        <f>INDEX(ChRamp,MATCH(E1552,ChName,0))</f>
        <v/>
      </c>
      <c r="L1552" s="45">
        <f>MIN(1,MAX(0,(A1552-I1552+1)*RampSpeed/J1552))</f>
        <v/>
      </c>
      <c r="M1552" s="45">
        <f>IF(A1552&lt;I1552,0,IF(K1552="S-curve",L1552*L1552*(3-2*L1552),L1552))</f>
        <v/>
      </c>
      <c r="N1552" s="45">
        <f>1+(INDEX(SeasonIdx,A1552)-1)*SeasonAmp</f>
        <v/>
      </c>
      <c r="O1552" s="45">
        <f>IFERROR(INDEX(PSPct,MATCH(E1552&amp;"|"&amp;G1552,PSKey,0)),0)</f>
        <v/>
      </c>
      <c r="P1552" s="46">
        <f>INDEX(ChDoorVel,MATCH(E1552,ChName,0))*CalibScalar*(1+VelocityUplift)</f>
        <v/>
      </c>
      <c r="Q1552" s="46" t="n">
        <v>0</v>
      </c>
      <c r="R1552" s="46">
        <f>P1552*O1552*M1552*N1552*H1552</f>
        <v/>
      </c>
      <c r="S1552" s="46">
        <f>R1552*INDEX(FmtCansPerCase,MATCH(F1552,FmtName,0))</f>
        <v/>
      </c>
      <c r="T1552" s="46">
        <f>S1552/INDEX(FmtCansPerPack,MATCH(F1552,FmtName,0))</f>
        <v/>
      </c>
      <c r="U1552" s="47">
        <f>INDEX(ChBaseCP,MATCH(E1552,ChName,0))*(1+INDEX(ProvMod,MATCH(G1552,ProvCode,0)))*(1+PriceIndex)</f>
        <v/>
      </c>
      <c r="V1552" s="47">
        <f>R1552*U1552*INDEX(FmtBlendedPriceIdx,MATCH(F1552,FmtName,0))</f>
        <v/>
      </c>
      <c r="W1552" s="47">
        <f>T1552*INDEX(ProvSRP,MATCH(G1552,ProvCode,0))*(1+PriceIndex)</f>
        <v/>
      </c>
      <c r="X1552" s="47">
        <f>IF(GrossBasis="Wholesale",V1552,W1552)</f>
        <v/>
      </c>
      <c r="Y1552" s="47">
        <f>R1552*INDEX(FmtBlendedCogs,MATCH(F1552,FmtName,0))</f>
        <v/>
      </c>
      <c r="Z1552" s="47">
        <f>X1552-Y1552</f>
        <v/>
      </c>
    </row>
    <row r="1553">
      <c r="A1553" t="n">
        <v>15</v>
      </c>
      <c r="B1553" s="44">
        <f>FiscalStart+(A1553-1)*7</f>
        <v/>
      </c>
      <c r="C1553">
        <f>TEXT(B1553,"mmm yyyy")</f>
        <v/>
      </c>
      <c r="D1553">
        <f>"Q"&amp;(INT((A1553-1)/13)+1)</f>
        <v/>
      </c>
      <c r="E1553" t="inlineStr">
        <is>
          <t>Fitness</t>
        </is>
      </c>
      <c r="F1553">
        <f>IFERROR(INDEX(ChFormat,MATCH(E1553,ChName,0)),"")</f>
        <v/>
      </c>
      <c r="G1553" t="inlineStr">
        <is>
          <t>NL</t>
        </is>
      </c>
      <c r="H1553">
        <f>IF(A1553&lt;=NWeeks,1,0)</f>
        <v/>
      </c>
      <c r="I1553">
        <f>INDEX(ChLaunch,MATCH(E1553,ChName,0))</f>
        <v/>
      </c>
      <c r="J1553">
        <f>INDEX(ChWeeksFull,MATCH(E1553,ChName,0))</f>
        <v/>
      </c>
      <c r="K1553">
        <f>INDEX(ChRamp,MATCH(E1553,ChName,0))</f>
        <v/>
      </c>
      <c r="L1553" s="45">
        <f>MIN(1,MAX(0,(A1553-I1553+1)*RampSpeed/J1553))</f>
        <v/>
      </c>
      <c r="M1553" s="45">
        <f>IF(A1553&lt;I1553,0,IF(K1553="S-curve",L1553*L1553*(3-2*L1553),L1553))</f>
        <v/>
      </c>
      <c r="N1553" s="45">
        <f>1+(INDEX(SeasonIdx,A1553)-1)*SeasonAmp</f>
        <v/>
      </c>
      <c r="O1553" s="45">
        <f>IFERROR(INDEX(PSPct,MATCH(E1553&amp;"|"&amp;G1553,PSKey,0)),0)</f>
        <v/>
      </c>
      <c r="P1553" s="46">
        <f>INDEX(ChDoorVel,MATCH(E1553,ChName,0))*CalibScalar*(1+VelocityUplift)</f>
        <v/>
      </c>
      <c r="Q1553" s="46" t="n">
        <v>0</v>
      </c>
      <c r="R1553" s="46">
        <f>P1553*O1553*M1553*N1553*H1553</f>
        <v/>
      </c>
      <c r="S1553" s="46">
        <f>R1553*INDEX(FmtCansPerCase,MATCH(F1553,FmtName,0))</f>
        <v/>
      </c>
      <c r="T1553" s="46">
        <f>S1553/INDEX(FmtCansPerPack,MATCH(F1553,FmtName,0))</f>
        <v/>
      </c>
      <c r="U1553" s="47">
        <f>INDEX(ChBaseCP,MATCH(E1553,ChName,0))*(1+INDEX(ProvMod,MATCH(G1553,ProvCode,0)))*(1+PriceIndex)</f>
        <v/>
      </c>
      <c r="V1553" s="47">
        <f>R1553*U1553*INDEX(FmtBlendedPriceIdx,MATCH(F1553,FmtName,0))</f>
        <v/>
      </c>
      <c r="W1553" s="47">
        <f>T1553*INDEX(ProvSRP,MATCH(G1553,ProvCode,0))*(1+PriceIndex)</f>
        <v/>
      </c>
      <c r="X1553" s="47">
        <f>IF(GrossBasis="Wholesale",V1553,W1553)</f>
        <v/>
      </c>
      <c r="Y1553" s="47">
        <f>R1553*INDEX(FmtBlendedCogs,MATCH(F1553,FmtName,0))</f>
        <v/>
      </c>
      <c r="Z1553" s="47">
        <f>X1553-Y1553</f>
        <v/>
      </c>
    </row>
    <row r="1554">
      <c r="A1554" t="n">
        <v>16</v>
      </c>
      <c r="B1554" s="44">
        <f>FiscalStart+(A1554-1)*7</f>
        <v/>
      </c>
      <c r="C1554">
        <f>TEXT(B1554,"mmm yyyy")</f>
        <v/>
      </c>
      <c r="D1554">
        <f>"Q"&amp;(INT((A1554-1)/13)+1)</f>
        <v/>
      </c>
      <c r="E1554" t="inlineStr">
        <is>
          <t>Fitness</t>
        </is>
      </c>
      <c r="F1554">
        <f>IFERROR(INDEX(ChFormat,MATCH(E1554,ChName,0)),"")</f>
        <v/>
      </c>
      <c r="G1554" t="inlineStr">
        <is>
          <t>NL</t>
        </is>
      </c>
      <c r="H1554">
        <f>IF(A1554&lt;=NWeeks,1,0)</f>
        <v/>
      </c>
      <c r="I1554">
        <f>INDEX(ChLaunch,MATCH(E1554,ChName,0))</f>
        <v/>
      </c>
      <c r="J1554">
        <f>INDEX(ChWeeksFull,MATCH(E1554,ChName,0))</f>
        <v/>
      </c>
      <c r="K1554">
        <f>INDEX(ChRamp,MATCH(E1554,ChName,0))</f>
        <v/>
      </c>
      <c r="L1554" s="45">
        <f>MIN(1,MAX(0,(A1554-I1554+1)*RampSpeed/J1554))</f>
        <v/>
      </c>
      <c r="M1554" s="45">
        <f>IF(A1554&lt;I1554,0,IF(K1554="S-curve",L1554*L1554*(3-2*L1554),L1554))</f>
        <v/>
      </c>
      <c r="N1554" s="45">
        <f>1+(INDEX(SeasonIdx,A1554)-1)*SeasonAmp</f>
        <v/>
      </c>
      <c r="O1554" s="45">
        <f>IFERROR(INDEX(PSPct,MATCH(E1554&amp;"|"&amp;G1554,PSKey,0)),0)</f>
        <v/>
      </c>
      <c r="P1554" s="46">
        <f>INDEX(ChDoorVel,MATCH(E1554,ChName,0))*CalibScalar*(1+VelocityUplift)</f>
        <v/>
      </c>
      <c r="Q1554" s="46" t="n">
        <v>0</v>
      </c>
      <c r="R1554" s="46">
        <f>P1554*O1554*M1554*N1554*H1554</f>
        <v/>
      </c>
      <c r="S1554" s="46">
        <f>R1554*INDEX(FmtCansPerCase,MATCH(F1554,FmtName,0))</f>
        <v/>
      </c>
      <c r="T1554" s="46">
        <f>S1554/INDEX(FmtCansPerPack,MATCH(F1554,FmtName,0))</f>
        <v/>
      </c>
      <c r="U1554" s="47">
        <f>INDEX(ChBaseCP,MATCH(E1554,ChName,0))*(1+INDEX(ProvMod,MATCH(G1554,ProvCode,0)))*(1+PriceIndex)</f>
        <v/>
      </c>
      <c r="V1554" s="47">
        <f>R1554*U1554*INDEX(FmtBlendedPriceIdx,MATCH(F1554,FmtName,0))</f>
        <v/>
      </c>
      <c r="W1554" s="47">
        <f>T1554*INDEX(ProvSRP,MATCH(G1554,ProvCode,0))*(1+PriceIndex)</f>
        <v/>
      </c>
      <c r="X1554" s="47">
        <f>IF(GrossBasis="Wholesale",V1554,W1554)</f>
        <v/>
      </c>
      <c r="Y1554" s="47">
        <f>R1554*INDEX(FmtBlendedCogs,MATCH(F1554,FmtName,0))</f>
        <v/>
      </c>
      <c r="Z1554" s="47">
        <f>X1554-Y1554</f>
        <v/>
      </c>
    </row>
    <row r="1555">
      <c r="A1555" t="n">
        <v>17</v>
      </c>
      <c r="B1555" s="44">
        <f>FiscalStart+(A1555-1)*7</f>
        <v/>
      </c>
      <c r="C1555">
        <f>TEXT(B1555,"mmm yyyy")</f>
        <v/>
      </c>
      <c r="D1555">
        <f>"Q"&amp;(INT((A1555-1)/13)+1)</f>
        <v/>
      </c>
      <c r="E1555" t="inlineStr">
        <is>
          <t>Fitness</t>
        </is>
      </c>
      <c r="F1555">
        <f>IFERROR(INDEX(ChFormat,MATCH(E1555,ChName,0)),"")</f>
        <v/>
      </c>
      <c r="G1555" t="inlineStr">
        <is>
          <t>NL</t>
        </is>
      </c>
      <c r="H1555">
        <f>IF(A1555&lt;=NWeeks,1,0)</f>
        <v/>
      </c>
      <c r="I1555">
        <f>INDEX(ChLaunch,MATCH(E1555,ChName,0))</f>
        <v/>
      </c>
      <c r="J1555">
        <f>INDEX(ChWeeksFull,MATCH(E1555,ChName,0))</f>
        <v/>
      </c>
      <c r="K1555">
        <f>INDEX(ChRamp,MATCH(E1555,ChName,0))</f>
        <v/>
      </c>
      <c r="L1555" s="45">
        <f>MIN(1,MAX(0,(A1555-I1555+1)*RampSpeed/J1555))</f>
        <v/>
      </c>
      <c r="M1555" s="45">
        <f>IF(A1555&lt;I1555,0,IF(K1555="S-curve",L1555*L1555*(3-2*L1555),L1555))</f>
        <v/>
      </c>
      <c r="N1555" s="45">
        <f>1+(INDEX(SeasonIdx,A1555)-1)*SeasonAmp</f>
        <v/>
      </c>
      <c r="O1555" s="45">
        <f>IFERROR(INDEX(PSPct,MATCH(E1555&amp;"|"&amp;G1555,PSKey,0)),0)</f>
        <v/>
      </c>
      <c r="P1555" s="46">
        <f>INDEX(ChDoorVel,MATCH(E1555,ChName,0))*CalibScalar*(1+VelocityUplift)</f>
        <v/>
      </c>
      <c r="Q1555" s="46" t="n">
        <v>0</v>
      </c>
      <c r="R1555" s="46">
        <f>P1555*O1555*M1555*N1555*H1555</f>
        <v/>
      </c>
      <c r="S1555" s="46">
        <f>R1555*INDEX(FmtCansPerCase,MATCH(F1555,FmtName,0))</f>
        <v/>
      </c>
      <c r="T1555" s="46">
        <f>S1555/INDEX(FmtCansPerPack,MATCH(F1555,FmtName,0))</f>
        <v/>
      </c>
      <c r="U1555" s="47">
        <f>INDEX(ChBaseCP,MATCH(E1555,ChName,0))*(1+INDEX(ProvMod,MATCH(G1555,ProvCode,0)))*(1+PriceIndex)</f>
        <v/>
      </c>
      <c r="V1555" s="47">
        <f>R1555*U1555*INDEX(FmtBlendedPriceIdx,MATCH(F1555,FmtName,0))</f>
        <v/>
      </c>
      <c r="W1555" s="47">
        <f>T1555*INDEX(ProvSRP,MATCH(G1555,ProvCode,0))*(1+PriceIndex)</f>
        <v/>
      </c>
      <c r="X1555" s="47">
        <f>IF(GrossBasis="Wholesale",V1555,W1555)</f>
        <v/>
      </c>
      <c r="Y1555" s="47">
        <f>R1555*INDEX(FmtBlendedCogs,MATCH(F1555,FmtName,0))</f>
        <v/>
      </c>
      <c r="Z1555" s="47">
        <f>X1555-Y1555</f>
        <v/>
      </c>
    </row>
    <row r="1556">
      <c r="A1556" t="n">
        <v>18</v>
      </c>
      <c r="B1556" s="44">
        <f>FiscalStart+(A1556-1)*7</f>
        <v/>
      </c>
      <c r="C1556">
        <f>TEXT(B1556,"mmm yyyy")</f>
        <v/>
      </c>
      <c r="D1556">
        <f>"Q"&amp;(INT((A1556-1)/13)+1)</f>
        <v/>
      </c>
      <c r="E1556" t="inlineStr">
        <is>
          <t>Fitness</t>
        </is>
      </c>
      <c r="F1556">
        <f>IFERROR(INDEX(ChFormat,MATCH(E1556,ChName,0)),"")</f>
        <v/>
      </c>
      <c r="G1556" t="inlineStr">
        <is>
          <t>NL</t>
        </is>
      </c>
      <c r="H1556">
        <f>IF(A1556&lt;=NWeeks,1,0)</f>
        <v/>
      </c>
      <c r="I1556">
        <f>INDEX(ChLaunch,MATCH(E1556,ChName,0))</f>
        <v/>
      </c>
      <c r="J1556">
        <f>INDEX(ChWeeksFull,MATCH(E1556,ChName,0))</f>
        <v/>
      </c>
      <c r="K1556">
        <f>INDEX(ChRamp,MATCH(E1556,ChName,0))</f>
        <v/>
      </c>
      <c r="L1556" s="45">
        <f>MIN(1,MAX(0,(A1556-I1556+1)*RampSpeed/J1556))</f>
        <v/>
      </c>
      <c r="M1556" s="45">
        <f>IF(A1556&lt;I1556,0,IF(K1556="S-curve",L1556*L1556*(3-2*L1556),L1556))</f>
        <v/>
      </c>
      <c r="N1556" s="45">
        <f>1+(INDEX(SeasonIdx,A1556)-1)*SeasonAmp</f>
        <v/>
      </c>
      <c r="O1556" s="45">
        <f>IFERROR(INDEX(PSPct,MATCH(E1556&amp;"|"&amp;G1556,PSKey,0)),0)</f>
        <v/>
      </c>
      <c r="P1556" s="46">
        <f>INDEX(ChDoorVel,MATCH(E1556,ChName,0))*CalibScalar*(1+VelocityUplift)</f>
        <v/>
      </c>
      <c r="Q1556" s="46" t="n">
        <v>0</v>
      </c>
      <c r="R1556" s="46">
        <f>P1556*O1556*M1556*N1556*H1556</f>
        <v/>
      </c>
      <c r="S1556" s="46">
        <f>R1556*INDEX(FmtCansPerCase,MATCH(F1556,FmtName,0))</f>
        <v/>
      </c>
      <c r="T1556" s="46">
        <f>S1556/INDEX(FmtCansPerPack,MATCH(F1556,FmtName,0))</f>
        <v/>
      </c>
      <c r="U1556" s="47">
        <f>INDEX(ChBaseCP,MATCH(E1556,ChName,0))*(1+INDEX(ProvMod,MATCH(G1556,ProvCode,0)))*(1+PriceIndex)</f>
        <v/>
      </c>
      <c r="V1556" s="47">
        <f>R1556*U1556*INDEX(FmtBlendedPriceIdx,MATCH(F1556,FmtName,0))</f>
        <v/>
      </c>
      <c r="W1556" s="47">
        <f>T1556*INDEX(ProvSRP,MATCH(G1556,ProvCode,0))*(1+PriceIndex)</f>
        <v/>
      </c>
      <c r="X1556" s="47">
        <f>IF(GrossBasis="Wholesale",V1556,W1556)</f>
        <v/>
      </c>
      <c r="Y1556" s="47">
        <f>R1556*INDEX(FmtBlendedCogs,MATCH(F1556,FmtName,0))</f>
        <v/>
      </c>
      <c r="Z1556" s="47">
        <f>X1556-Y1556</f>
        <v/>
      </c>
    </row>
    <row r="1557">
      <c r="A1557" t="n">
        <v>19</v>
      </c>
      <c r="B1557" s="44">
        <f>FiscalStart+(A1557-1)*7</f>
        <v/>
      </c>
      <c r="C1557">
        <f>TEXT(B1557,"mmm yyyy")</f>
        <v/>
      </c>
      <c r="D1557">
        <f>"Q"&amp;(INT((A1557-1)/13)+1)</f>
        <v/>
      </c>
      <c r="E1557" t="inlineStr">
        <is>
          <t>Fitness</t>
        </is>
      </c>
      <c r="F1557">
        <f>IFERROR(INDEX(ChFormat,MATCH(E1557,ChName,0)),"")</f>
        <v/>
      </c>
      <c r="G1557" t="inlineStr">
        <is>
          <t>NL</t>
        </is>
      </c>
      <c r="H1557">
        <f>IF(A1557&lt;=NWeeks,1,0)</f>
        <v/>
      </c>
      <c r="I1557">
        <f>INDEX(ChLaunch,MATCH(E1557,ChName,0))</f>
        <v/>
      </c>
      <c r="J1557">
        <f>INDEX(ChWeeksFull,MATCH(E1557,ChName,0))</f>
        <v/>
      </c>
      <c r="K1557">
        <f>INDEX(ChRamp,MATCH(E1557,ChName,0))</f>
        <v/>
      </c>
      <c r="L1557" s="45">
        <f>MIN(1,MAX(0,(A1557-I1557+1)*RampSpeed/J1557))</f>
        <v/>
      </c>
      <c r="M1557" s="45">
        <f>IF(A1557&lt;I1557,0,IF(K1557="S-curve",L1557*L1557*(3-2*L1557),L1557))</f>
        <v/>
      </c>
      <c r="N1557" s="45">
        <f>1+(INDEX(SeasonIdx,A1557)-1)*SeasonAmp</f>
        <v/>
      </c>
      <c r="O1557" s="45">
        <f>IFERROR(INDEX(PSPct,MATCH(E1557&amp;"|"&amp;G1557,PSKey,0)),0)</f>
        <v/>
      </c>
      <c r="P1557" s="46">
        <f>INDEX(ChDoorVel,MATCH(E1557,ChName,0))*CalibScalar*(1+VelocityUplift)</f>
        <v/>
      </c>
      <c r="Q1557" s="46" t="n">
        <v>0</v>
      </c>
      <c r="R1557" s="46">
        <f>P1557*O1557*M1557*N1557*H1557</f>
        <v/>
      </c>
      <c r="S1557" s="46">
        <f>R1557*INDEX(FmtCansPerCase,MATCH(F1557,FmtName,0))</f>
        <v/>
      </c>
      <c r="T1557" s="46">
        <f>S1557/INDEX(FmtCansPerPack,MATCH(F1557,FmtName,0))</f>
        <v/>
      </c>
      <c r="U1557" s="47">
        <f>INDEX(ChBaseCP,MATCH(E1557,ChName,0))*(1+INDEX(ProvMod,MATCH(G1557,ProvCode,0)))*(1+PriceIndex)</f>
        <v/>
      </c>
      <c r="V1557" s="47">
        <f>R1557*U1557*INDEX(FmtBlendedPriceIdx,MATCH(F1557,FmtName,0))</f>
        <v/>
      </c>
      <c r="W1557" s="47">
        <f>T1557*INDEX(ProvSRP,MATCH(G1557,ProvCode,0))*(1+PriceIndex)</f>
        <v/>
      </c>
      <c r="X1557" s="47">
        <f>IF(GrossBasis="Wholesale",V1557,W1557)</f>
        <v/>
      </c>
      <c r="Y1557" s="47">
        <f>R1557*INDEX(FmtBlendedCogs,MATCH(F1557,FmtName,0))</f>
        <v/>
      </c>
      <c r="Z1557" s="47">
        <f>X1557-Y1557</f>
        <v/>
      </c>
    </row>
    <row r="1558">
      <c r="A1558" t="n">
        <v>20</v>
      </c>
      <c r="B1558" s="44">
        <f>FiscalStart+(A1558-1)*7</f>
        <v/>
      </c>
      <c r="C1558">
        <f>TEXT(B1558,"mmm yyyy")</f>
        <v/>
      </c>
      <c r="D1558">
        <f>"Q"&amp;(INT((A1558-1)/13)+1)</f>
        <v/>
      </c>
      <c r="E1558" t="inlineStr">
        <is>
          <t>Fitness</t>
        </is>
      </c>
      <c r="F1558">
        <f>IFERROR(INDEX(ChFormat,MATCH(E1558,ChName,0)),"")</f>
        <v/>
      </c>
      <c r="G1558" t="inlineStr">
        <is>
          <t>NL</t>
        </is>
      </c>
      <c r="H1558">
        <f>IF(A1558&lt;=NWeeks,1,0)</f>
        <v/>
      </c>
      <c r="I1558">
        <f>INDEX(ChLaunch,MATCH(E1558,ChName,0))</f>
        <v/>
      </c>
      <c r="J1558">
        <f>INDEX(ChWeeksFull,MATCH(E1558,ChName,0))</f>
        <v/>
      </c>
      <c r="K1558">
        <f>INDEX(ChRamp,MATCH(E1558,ChName,0))</f>
        <v/>
      </c>
      <c r="L1558" s="45">
        <f>MIN(1,MAX(0,(A1558-I1558+1)*RampSpeed/J1558))</f>
        <v/>
      </c>
      <c r="M1558" s="45">
        <f>IF(A1558&lt;I1558,0,IF(K1558="S-curve",L1558*L1558*(3-2*L1558),L1558))</f>
        <v/>
      </c>
      <c r="N1558" s="45">
        <f>1+(INDEX(SeasonIdx,A1558)-1)*SeasonAmp</f>
        <v/>
      </c>
      <c r="O1558" s="45">
        <f>IFERROR(INDEX(PSPct,MATCH(E1558&amp;"|"&amp;G1558,PSKey,0)),0)</f>
        <v/>
      </c>
      <c r="P1558" s="46">
        <f>INDEX(ChDoorVel,MATCH(E1558,ChName,0))*CalibScalar*(1+VelocityUplift)</f>
        <v/>
      </c>
      <c r="Q1558" s="46" t="n">
        <v>0</v>
      </c>
      <c r="R1558" s="46">
        <f>P1558*O1558*M1558*N1558*H1558</f>
        <v/>
      </c>
      <c r="S1558" s="46">
        <f>R1558*INDEX(FmtCansPerCase,MATCH(F1558,FmtName,0))</f>
        <v/>
      </c>
      <c r="T1558" s="46">
        <f>S1558/INDEX(FmtCansPerPack,MATCH(F1558,FmtName,0))</f>
        <v/>
      </c>
      <c r="U1558" s="47">
        <f>INDEX(ChBaseCP,MATCH(E1558,ChName,0))*(1+INDEX(ProvMod,MATCH(G1558,ProvCode,0)))*(1+PriceIndex)</f>
        <v/>
      </c>
      <c r="V1558" s="47">
        <f>R1558*U1558*INDEX(FmtBlendedPriceIdx,MATCH(F1558,FmtName,0))</f>
        <v/>
      </c>
      <c r="W1558" s="47">
        <f>T1558*INDEX(ProvSRP,MATCH(G1558,ProvCode,0))*(1+PriceIndex)</f>
        <v/>
      </c>
      <c r="X1558" s="47">
        <f>IF(GrossBasis="Wholesale",V1558,W1558)</f>
        <v/>
      </c>
      <c r="Y1558" s="47">
        <f>R1558*INDEX(FmtBlendedCogs,MATCH(F1558,FmtName,0))</f>
        <v/>
      </c>
      <c r="Z1558" s="47">
        <f>X1558-Y1558</f>
        <v/>
      </c>
    </row>
    <row r="1559">
      <c r="A1559" t="n">
        <v>21</v>
      </c>
      <c r="B1559" s="44">
        <f>FiscalStart+(A1559-1)*7</f>
        <v/>
      </c>
      <c r="C1559">
        <f>TEXT(B1559,"mmm yyyy")</f>
        <v/>
      </c>
      <c r="D1559">
        <f>"Q"&amp;(INT((A1559-1)/13)+1)</f>
        <v/>
      </c>
      <c r="E1559" t="inlineStr">
        <is>
          <t>Fitness</t>
        </is>
      </c>
      <c r="F1559">
        <f>IFERROR(INDEX(ChFormat,MATCH(E1559,ChName,0)),"")</f>
        <v/>
      </c>
      <c r="G1559" t="inlineStr">
        <is>
          <t>NL</t>
        </is>
      </c>
      <c r="H1559">
        <f>IF(A1559&lt;=NWeeks,1,0)</f>
        <v/>
      </c>
      <c r="I1559">
        <f>INDEX(ChLaunch,MATCH(E1559,ChName,0))</f>
        <v/>
      </c>
      <c r="J1559">
        <f>INDEX(ChWeeksFull,MATCH(E1559,ChName,0))</f>
        <v/>
      </c>
      <c r="K1559">
        <f>INDEX(ChRamp,MATCH(E1559,ChName,0))</f>
        <v/>
      </c>
      <c r="L1559" s="45">
        <f>MIN(1,MAX(0,(A1559-I1559+1)*RampSpeed/J1559))</f>
        <v/>
      </c>
      <c r="M1559" s="45">
        <f>IF(A1559&lt;I1559,0,IF(K1559="S-curve",L1559*L1559*(3-2*L1559),L1559))</f>
        <v/>
      </c>
      <c r="N1559" s="45">
        <f>1+(INDEX(SeasonIdx,A1559)-1)*SeasonAmp</f>
        <v/>
      </c>
      <c r="O1559" s="45">
        <f>IFERROR(INDEX(PSPct,MATCH(E1559&amp;"|"&amp;G1559,PSKey,0)),0)</f>
        <v/>
      </c>
      <c r="P1559" s="46">
        <f>INDEX(ChDoorVel,MATCH(E1559,ChName,0))*CalibScalar*(1+VelocityUplift)</f>
        <v/>
      </c>
      <c r="Q1559" s="46" t="n">
        <v>0</v>
      </c>
      <c r="R1559" s="46">
        <f>P1559*O1559*M1559*N1559*H1559</f>
        <v/>
      </c>
      <c r="S1559" s="46">
        <f>R1559*INDEX(FmtCansPerCase,MATCH(F1559,FmtName,0))</f>
        <v/>
      </c>
      <c r="T1559" s="46">
        <f>S1559/INDEX(FmtCansPerPack,MATCH(F1559,FmtName,0))</f>
        <v/>
      </c>
      <c r="U1559" s="47">
        <f>INDEX(ChBaseCP,MATCH(E1559,ChName,0))*(1+INDEX(ProvMod,MATCH(G1559,ProvCode,0)))*(1+PriceIndex)</f>
        <v/>
      </c>
      <c r="V1559" s="47">
        <f>R1559*U1559*INDEX(FmtBlendedPriceIdx,MATCH(F1559,FmtName,0))</f>
        <v/>
      </c>
      <c r="W1559" s="47">
        <f>T1559*INDEX(ProvSRP,MATCH(G1559,ProvCode,0))*(1+PriceIndex)</f>
        <v/>
      </c>
      <c r="X1559" s="47">
        <f>IF(GrossBasis="Wholesale",V1559,W1559)</f>
        <v/>
      </c>
      <c r="Y1559" s="47">
        <f>R1559*INDEX(FmtBlendedCogs,MATCH(F1559,FmtName,0))</f>
        <v/>
      </c>
      <c r="Z1559" s="47">
        <f>X1559-Y1559</f>
        <v/>
      </c>
    </row>
    <row r="1560">
      <c r="A1560" t="n">
        <v>22</v>
      </c>
      <c r="B1560" s="44">
        <f>FiscalStart+(A1560-1)*7</f>
        <v/>
      </c>
      <c r="C1560">
        <f>TEXT(B1560,"mmm yyyy")</f>
        <v/>
      </c>
      <c r="D1560">
        <f>"Q"&amp;(INT((A1560-1)/13)+1)</f>
        <v/>
      </c>
      <c r="E1560" t="inlineStr">
        <is>
          <t>Fitness</t>
        </is>
      </c>
      <c r="F1560">
        <f>IFERROR(INDEX(ChFormat,MATCH(E1560,ChName,0)),"")</f>
        <v/>
      </c>
      <c r="G1560" t="inlineStr">
        <is>
          <t>NL</t>
        </is>
      </c>
      <c r="H1560">
        <f>IF(A1560&lt;=NWeeks,1,0)</f>
        <v/>
      </c>
      <c r="I1560">
        <f>INDEX(ChLaunch,MATCH(E1560,ChName,0))</f>
        <v/>
      </c>
      <c r="J1560">
        <f>INDEX(ChWeeksFull,MATCH(E1560,ChName,0))</f>
        <v/>
      </c>
      <c r="K1560">
        <f>INDEX(ChRamp,MATCH(E1560,ChName,0))</f>
        <v/>
      </c>
      <c r="L1560" s="45">
        <f>MIN(1,MAX(0,(A1560-I1560+1)*RampSpeed/J1560))</f>
        <v/>
      </c>
      <c r="M1560" s="45">
        <f>IF(A1560&lt;I1560,0,IF(K1560="S-curve",L1560*L1560*(3-2*L1560),L1560))</f>
        <v/>
      </c>
      <c r="N1560" s="45">
        <f>1+(INDEX(SeasonIdx,A1560)-1)*SeasonAmp</f>
        <v/>
      </c>
      <c r="O1560" s="45">
        <f>IFERROR(INDEX(PSPct,MATCH(E1560&amp;"|"&amp;G1560,PSKey,0)),0)</f>
        <v/>
      </c>
      <c r="P1560" s="46">
        <f>INDEX(ChDoorVel,MATCH(E1560,ChName,0))*CalibScalar*(1+VelocityUplift)</f>
        <v/>
      </c>
      <c r="Q1560" s="46" t="n">
        <v>0</v>
      </c>
      <c r="R1560" s="46">
        <f>P1560*O1560*M1560*N1560*H1560</f>
        <v/>
      </c>
      <c r="S1560" s="46">
        <f>R1560*INDEX(FmtCansPerCase,MATCH(F1560,FmtName,0))</f>
        <v/>
      </c>
      <c r="T1560" s="46">
        <f>S1560/INDEX(FmtCansPerPack,MATCH(F1560,FmtName,0))</f>
        <v/>
      </c>
      <c r="U1560" s="47">
        <f>INDEX(ChBaseCP,MATCH(E1560,ChName,0))*(1+INDEX(ProvMod,MATCH(G1560,ProvCode,0)))*(1+PriceIndex)</f>
        <v/>
      </c>
      <c r="V1560" s="47">
        <f>R1560*U1560*INDEX(FmtBlendedPriceIdx,MATCH(F1560,FmtName,0))</f>
        <v/>
      </c>
      <c r="W1560" s="47">
        <f>T1560*INDEX(ProvSRP,MATCH(G1560,ProvCode,0))*(1+PriceIndex)</f>
        <v/>
      </c>
      <c r="X1560" s="47">
        <f>IF(GrossBasis="Wholesale",V1560,W1560)</f>
        <v/>
      </c>
      <c r="Y1560" s="47">
        <f>R1560*INDEX(FmtBlendedCogs,MATCH(F1560,FmtName,0))</f>
        <v/>
      </c>
      <c r="Z1560" s="47">
        <f>X1560-Y1560</f>
        <v/>
      </c>
    </row>
    <row r="1561">
      <c r="A1561" t="n">
        <v>23</v>
      </c>
      <c r="B1561" s="44">
        <f>FiscalStart+(A1561-1)*7</f>
        <v/>
      </c>
      <c r="C1561">
        <f>TEXT(B1561,"mmm yyyy")</f>
        <v/>
      </c>
      <c r="D1561">
        <f>"Q"&amp;(INT((A1561-1)/13)+1)</f>
        <v/>
      </c>
      <c r="E1561" t="inlineStr">
        <is>
          <t>Fitness</t>
        </is>
      </c>
      <c r="F1561">
        <f>IFERROR(INDEX(ChFormat,MATCH(E1561,ChName,0)),"")</f>
        <v/>
      </c>
      <c r="G1561" t="inlineStr">
        <is>
          <t>NL</t>
        </is>
      </c>
      <c r="H1561">
        <f>IF(A1561&lt;=NWeeks,1,0)</f>
        <v/>
      </c>
      <c r="I1561">
        <f>INDEX(ChLaunch,MATCH(E1561,ChName,0))</f>
        <v/>
      </c>
      <c r="J1561">
        <f>INDEX(ChWeeksFull,MATCH(E1561,ChName,0))</f>
        <v/>
      </c>
      <c r="K1561">
        <f>INDEX(ChRamp,MATCH(E1561,ChName,0))</f>
        <v/>
      </c>
      <c r="L1561" s="45">
        <f>MIN(1,MAX(0,(A1561-I1561+1)*RampSpeed/J1561))</f>
        <v/>
      </c>
      <c r="M1561" s="45">
        <f>IF(A1561&lt;I1561,0,IF(K1561="S-curve",L1561*L1561*(3-2*L1561),L1561))</f>
        <v/>
      </c>
      <c r="N1561" s="45">
        <f>1+(INDEX(SeasonIdx,A1561)-1)*SeasonAmp</f>
        <v/>
      </c>
      <c r="O1561" s="45">
        <f>IFERROR(INDEX(PSPct,MATCH(E1561&amp;"|"&amp;G1561,PSKey,0)),0)</f>
        <v/>
      </c>
      <c r="P1561" s="46">
        <f>INDEX(ChDoorVel,MATCH(E1561,ChName,0))*CalibScalar*(1+VelocityUplift)</f>
        <v/>
      </c>
      <c r="Q1561" s="46" t="n">
        <v>0</v>
      </c>
      <c r="R1561" s="46">
        <f>P1561*O1561*M1561*N1561*H1561</f>
        <v/>
      </c>
      <c r="S1561" s="46">
        <f>R1561*INDEX(FmtCansPerCase,MATCH(F1561,FmtName,0))</f>
        <v/>
      </c>
      <c r="T1561" s="46">
        <f>S1561/INDEX(FmtCansPerPack,MATCH(F1561,FmtName,0))</f>
        <v/>
      </c>
      <c r="U1561" s="47">
        <f>INDEX(ChBaseCP,MATCH(E1561,ChName,0))*(1+INDEX(ProvMod,MATCH(G1561,ProvCode,0)))*(1+PriceIndex)</f>
        <v/>
      </c>
      <c r="V1561" s="47">
        <f>R1561*U1561*INDEX(FmtBlendedPriceIdx,MATCH(F1561,FmtName,0))</f>
        <v/>
      </c>
      <c r="W1561" s="47">
        <f>T1561*INDEX(ProvSRP,MATCH(G1561,ProvCode,0))*(1+PriceIndex)</f>
        <v/>
      </c>
      <c r="X1561" s="47">
        <f>IF(GrossBasis="Wholesale",V1561,W1561)</f>
        <v/>
      </c>
      <c r="Y1561" s="47">
        <f>R1561*INDEX(FmtBlendedCogs,MATCH(F1561,FmtName,0))</f>
        <v/>
      </c>
      <c r="Z1561" s="47">
        <f>X1561-Y1561</f>
        <v/>
      </c>
    </row>
    <row r="1562">
      <c r="A1562" t="n">
        <v>24</v>
      </c>
      <c r="B1562" s="44">
        <f>FiscalStart+(A1562-1)*7</f>
        <v/>
      </c>
      <c r="C1562">
        <f>TEXT(B1562,"mmm yyyy")</f>
        <v/>
      </c>
      <c r="D1562">
        <f>"Q"&amp;(INT((A1562-1)/13)+1)</f>
        <v/>
      </c>
      <c r="E1562" t="inlineStr">
        <is>
          <t>Fitness</t>
        </is>
      </c>
      <c r="F1562">
        <f>IFERROR(INDEX(ChFormat,MATCH(E1562,ChName,0)),"")</f>
        <v/>
      </c>
      <c r="G1562" t="inlineStr">
        <is>
          <t>NL</t>
        </is>
      </c>
      <c r="H1562">
        <f>IF(A1562&lt;=NWeeks,1,0)</f>
        <v/>
      </c>
      <c r="I1562">
        <f>INDEX(ChLaunch,MATCH(E1562,ChName,0))</f>
        <v/>
      </c>
      <c r="J1562">
        <f>INDEX(ChWeeksFull,MATCH(E1562,ChName,0))</f>
        <v/>
      </c>
      <c r="K1562">
        <f>INDEX(ChRamp,MATCH(E1562,ChName,0))</f>
        <v/>
      </c>
      <c r="L1562" s="45">
        <f>MIN(1,MAX(0,(A1562-I1562+1)*RampSpeed/J1562))</f>
        <v/>
      </c>
      <c r="M1562" s="45">
        <f>IF(A1562&lt;I1562,0,IF(K1562="S-curve",L1562*L1562*(3-2*L1562),L1562))</f>
        <v/>
      </c>
      <c r="N1562" s="45">
        <f>1+(INDEX(SeasonIdx,A1562)-1)*SeasonAmp</f>
        <v/>
      </c>
      <c r="O1562" s="45">
        <f>IFERROR(INDEX(PSPct,MATCH(E1562&amp;"|"&amp;G1562,PSKey,0)),0)</f>
        <v/>
      </c>
      <c r="P1562" s="46">
        <f>INDEX(ChDoorVel,MATCH(E1562,ChName,0))*CalibScalar*(1+VelocityUplift)</f>
        <v/>
      </c>
      <c r="Q1562" s="46" t="n">
        <v>0</v>
      </c>
      <c r="R1562" s="46">
        <f>P1562*O1562*M1562*N1562*H1562</f>
        <v/>
      </c>
      <c r="S1562" s="46">
        <f>R1562*INDEX(FmtCansPerCase,MATCH(F1562,FmtName,0))</f>
        <v/>
      </c>
      <c r="T1562" s="46">
        <f>S1562/INDEX(FmtCansPerPack,MATCH(F1562,FmtName,0))</f>
        <v/>
      </c>
      <c r="U1562" s="47">
        <f>INDEX(ChBaseCP,MATCH(E1562,ChName,0))*(1+INDEX(ProvMod,MATCH(G1562,ProvCode,0)))*(1+PriceIndex)</f>
        <v/>
      </c>
      <c r="V1562" s="47">
        <f>R1562*U1562*INDEX(FmtBlendedPriceIdx,MATCH(F1562,FmtName,0))</f>
        <v/>
      </c>
      <c r="W1562" s="47">
        <f>T1562*INDEX(ProvSRP,MATCH(G1562,ProvCode,0))*(1+PriceIndex)</f>
        <v/>
      </c>
      <c r="X1562" s="47">
        <f>IF(GrossBasis="Wholesale",V1562,W1562)</f>
        <v/>
      </c>
      <c r="Y1562" s="47">
        <f>R1562*INDEX(FmtBlendedCogs,MATCH(F1562,FmtName,0))</f>
        <v/>
      </c>
      <c r="Z1562" s="47">
        <f>X1562-Y1562</f>
        <v/>
      </c>
    </row>
    <row r="1563">
      <c r="A1563" t="n">
        <v>25</v>
      </c>
      <c r="B1563" s="44">
        <f>FiscalStart+(A1563-1)*7</f>
        <v/>
      </c>
      <c r="C1563">
        <f>TEXT(B1563,"mmm yyyy")</f>
        <v/>
      </c>
      <c r="D1563">
        <f>"Q"&amp;(INT((A1563-1)/13)+1)</f>
        <v/>
      </c>
      <c r="E1563" t="inlineStr">
        <is>
          <t>Fitness</t>
        </is>
      </c>
      <c r="F1563">
        <f>IFERROR(INDEX(ChFormat,MATCH(E1563,ChName,0)),"")</f>
        <v/>
      </c>
      <c r="G1563" t="inlineStr">
        <is>
          <t>NL</t>
        </is>
      </c>
      <c r="H1563">
        <f>IF(A1563&lt;=NWeeks,1,0)</f>
        <v/>
      </c>
      <c r="I1563">
        <f>INDEX(ChLaunch,MATCH(E1563,ChName,0))</f>
        <v/>
      </c>
      <c r="J1563">
        <f>INDEX(ChWeeksFull,MATCH(E1563,ChName,0))</f>
        <v/>
      </c>
      <c r="K1563">
        <f>INDEX(ChRamp,MATCH(E1563,ChName,0))</f>
        <v/>
      </c>
      <c r="L1563" s="45">
        <f>MIN(1,MAX(0,(A1563-I1563+1)*RampSpeed/J1563))</f>
        <v/>
      </c>
      <c r="M1563" s="45">
        <f>IF(A1563&lt;I1563,0,IF(K1563="S-curve",L1563*L1563*(3-2*L1563),L1563))</f>
        <v/>
      </c>
      <c r="N1563" s="45">
        <f>1+(INDEX(SeasonIdx,A1563)-1)*SeasonAmp</f>
        <v/>
      </c>
      <c r="O1563" s="45">
        <f>IFERROR(INDEX(PSPct,MATCH(E1563&amp;"|"&amp;G1563,PSKey,0)),0)</f>
        <v/>
      </c>
      <c r="P1563" s="46">
        <f>INDEX(ChDoorVel,MATCH(E1563,ChName,0))*CalibScalar*(1+VelocityUplift)</f>
        <v/>
      </c>
      <c r="Q1563" s="46" t="n">
        <v>0</v>
      </c>
      <c r="R1563" s="46">
        <f>P1563*O1563*M1563*N1563*H1563</f>
        <v/>
      </c>
      <c r="S1563" s="46">
        <f>R1563*INDEX(FmtCansPerCase,MATCH(F1563,FmtName,0))</f>
        <v/>
      </c>
      <c r="T1563" s="46">
        <f>S1563/INDEX(FmtCansPerPack,MATCH(F1563,FmtName,0))</f>
        <v/>
      </c>
      <c r="U1563" s="47">
        <f>INDEX(ChBaseCP,MATCH(E1563,ChName,0))*(1+INDEX(ProvMod,MATCH(G1563,ProvCode,0)))*(1+PriceIndex)</f>
        <v/>
      </c>
      <c r="V1563" s="47">
        <f>R1563*U1563*INDEX(FmtBlendedPriceIdx,MATCH(F1563,FmtName,0))</f>
        <v/>
      </c>
      <c r="W1563" s="47">
        <f>T1563*INDEX(ProvSRP,MATCH(G1563,ProvCode,0))*(1+PriceIndex)</f>
        <v/>
      </c>
      <c r="X1563" s="47">
        <f>IF(GrossBasis="Wholesale",V1563,W1563)</f>
        <v/>
      </c>
      <c r="Y1563" s="47">
        <f>R1563*INDEX(FmtBlendedCogs,MATCH(F1563,FmtName,0))</f>
        <v/>
      </c>
      <c r="Z1563" s="47">
        <f>X1563-Y1563</f>
        <v/>
      </c>
    </row>
    <row r="1564">
      <c r="A1564" t="n">
        <v>26</v>
      </c>
      <c r="B1564" s="44">
        <f>FiscalStart+(A1564-1)*7</f>
        <v/>
      </c>
      <c r="C1564">
        <f>TEXT(B1564,"mmm yyyy")</f>
        <v/>
      </c>
      <c r="D1564">
        <f>"Q"&amp;(INT((A1564-1)/13)+1)</f>
        <v/>
      </c>
      <c r="E1564" t="inlineStr">
        <is>
          <t>Fitness</t>
        </is>
      </c>
      <c r="F1564">
        <f>IFERROR(INDEX(ChFormat,MATCH(E1564,ChName,0)),"")</f>
        <v/>
      </c>
      <c r="G1564" t="inlineStr">
        <is>
          <t>NL</t>
        </is>
      </c>
      <c r="H1564">
        <f>IF(A1564&lt;=NWeeks,1,0)</f>
        <v/>
      </c>
      <c r="I1564">
        <f>INDEX(ChLaunch,MATCH(E1564,ChName,0))</f>
        <v/>
      </c>
      <c r="J1564">
        <f>INDEX(ChWeeksFull,MATCH(E1564,ChName,0))</f>
        <v/>
      </c>
      <c r="K1564">
        <f>INDEX(ChRamp,MATCH(E1564,ChName,0))</f>
        <v/>
      </c>
      <c r="L1564" s="45">
        <f>MIN(1,MAX(0,(A1564-I1564+1)*RampSpeed/J1564))</f>
        <v/>
      </c>
      <c r="M1564" s="45">
        <f>IF(A1564&lt;I1564,0,IF(K1564="S-curve",L1564*L1564*(3-2*L1564),L1564))</f>
        <v/>
      </c>
      <c r="N1564" s="45">
        <f>1+(INDEX(SeasonIdx,A1564)-1)*SeasonAmp</f>
        <v/>
      </c>
      <c r="O1564" s="45">
        <f>IFERROR(INDEX(PSPct,MATCH(E1564&amp;"|"&amp;G1564,PSKey,0)),0)</f>
        <v/>
      </c>
      <c r="P1564" s="46">
        <f>INDEX(ChDoorVel,MATCH(E1564,ChName,0))*CalibScalar*(1+VelocityUplift)</f>
        <v/>
      </c>
      <c r="Q1564" s="46" t="n">
        <v>0</v>
      </c>
      <c r="R1564" s="46">
        <f>P1564*O1564*M1564*N1564*H1564</f>
        <v/>
      </c>
      <c r="S1564" s="46">
        <f>R1564*INDEX(FmtCansPerCase,MATCH(F1564,FmtName,0))</f>
        <v/>
      </c>
      <c r="T1564" s="46">
        <f>S1564/INDEX(FmtCansPerPack,MATCH(F1564,FmtName,0))</f>
        <v/>
      </c>
      <c r="U1564" s="47">
        <f>INDEX(ChBaseCP,MATCH(E1564,ChName,0))*(1+INDEX(ProvMod,MATCH(G1564,ProvCode,0)))*(1+PriceIndex)</f>
        <v/>
      </c>
      <c r="V1564" s="47">
        <f>R1564*U1564*INDEX(FmtBlendedPriceIdx,MATCH(F1564,FmtName,0))</f>
        <v/>
      </c>
      <c r="W1564" s="47">
        <f>T1564*INDEX(ProvSRP,MATCH(G1564,ProvCode,0))*(1+PriceIndex)</f>
        <v/>
      </c>
      <c r="X1564" s="47">
        <f>IF(GrossBasis="Wholesale",V1564,W1564)</f>
        <v/>
      </c>
      <c r="Y1564" s="47">
        <f>R1564*INDEX(FmtBlendedCogs,MATCH(F1564,FmtName,0))</f>
        <v/>
      </c>
      <c r="Z1564" s="47">
        <f>X1564-Y1564</f>
        <v/>
      </c>
    </row>
    <row r="1565">
      <c r="A1565" t="n">
        <v>27</v>
      </c>
      <c r="B1565" s="44">
        <f>FiscalStart+(A1565-1)*7</f>
        <v/>
      </c>
      <c r="C1565">
        <f>TEXT(B1565,"mmm yyyy")</f>
        <v/>
      </c>
      <c r="D1565">
        <f>"Q"&amp;(INT((A1565-1)/13)+1)</f>
        <v/>
      </c>
      <c r="E1565" t="inlineStr">
        <is>
          <t>Fitness</t>
        </is>
      </c>
      <c r="F1565">
        <f>IFERROR(INDEX(ChFormat,MATCH(E1565,ChName,0)),"")</f>
        <v/>
      </c>
      <c r="G1565" t="inlineStr">
        <is>
          <t>NL</t>
        </is>
      </c>
      <c r="H1565">
        <f>IF(A1565&lt;=NWeeks,1,0)</f>
        <v/>
      </c>
      <c r="I1565">
        <f>INDEX(ChLaunch,MATCH(E1565,ChName,0))</f>
        <v/>
      </c>
      <c r="J1565">
        <f>INDEX(ChWeeksFull,MATCH(E1565,ChName,0))</f>
        <v/>
      </c>
      <c r="K1565">
        <f>INDEX(ChRamp,MATCH(E1565,ChName,0))</f>
        <v/>
      </c>
      <c r="L1565" s="45">
        <f>MIN(1,MAX(0,(A1565-I1565+1)*RampSpeed/J1565))</f>
        <v/>
      </c>
      <c r="M1565" s="45">
        <f>IF(A1565&lt;I1565,0,IF(K1565="S-curve",L1565*L1565*(3-2*L1565),L1565))</f>
        <v/>
      </c>
      <c r="N1565" s="45">
        <f>1+(INDEX(SeasonIdx,A1565)-1)*SeasonAmp</f>
        <v/>
      </c>
      <c r="O1565" s="45">
        <f>IFERROR(INDEX(PSPct,MATCH(E1565&amp;"|"&amp;G1565,PSKey,0)),0)</f>
        <v/>
      </c>
      <c r="P1565" s="46">
        <f>INDEX(ChDoorVel,MATCH(E1565,ChName,0))*CalibScalar*(1+VelocityUplift)</f>
        <v/>
      </c>
      <c r="Q1565" s="46" t="n">
        <v>0</v>
      </c>
      <c r="R1565" s="46">
        <f>P1565*O1565*M1565*N1565*H1565</f>
        <v/>
      </c>
      <c r="S1565" s="46">
        <f>R1565*INDEX(FmtCansPerCase,MATCH(F1565,FmtName,0))</f>
        <v/>
      </c>
      <c r="T1565" s="46">
        <f>S1565/INDEX(FmtCansPerPack,MATCH(F1565,FmtName,0))</f>
        <v/>
      </c>
      <c r="U1565" s="47">
        <f>INDEX(ChBaseCP,MATCH(E1565,ChName,0))*(1+INDEX(ProvMod,MATCH(G1565,ProvCode,0)))*(1+PriceIndex)</f>
        <v/>
      </c>
      <c r="V1565" s="47">
        <f>R1565*U1565*INDEX(FmtBlendedPriceIdx,MATCH(F1565,FmtName,0))</f>
        <v/>
      </c>
      <c r="W1565" s="47">
        <f>T1565*INDEX(ProvSRP,MATCH(G1565,ProvCode,0))*(1+PriceIndex)</f>
        <v/>
      </c>
      <c r="X1565" s="47">
        <f>IF(GrossBasis="Wholesale",V1565,W1565)</f>
        <v/>
      </c>
      <c r="Y1565" s="47">
        <f>R1565*INDEX(FmtBlendedCogs,MATCH(F1565,FmtName,0))</f>
        <v/>
      </c>
      <c r="Z1565" s="47">
        <f>X1565-Y1565</f>
        <v/>
      </c>
    </row>
    <row r="1566">
      <c r="A1566" t="n">
        <v>28</v>
      </c>
      <c r="B1566" s="44">
        <f>FiscalStart+(A1566-1)*7</f>
        <v/>
      </c>
      <c r="C1566">
        <f>TEXT(B1566,"mmm yyyy")</f>
        <v/>
      </c>
      <c r="D1566">
        <f>"Q"&amp;(INT((A1566-1)/13)+1)</f>
        <v/>
      </c>
      <c r="E1566" t="inlineStr">
        <is>
          <t>Fitness</t>
        </is>
      </c>
      <c r="F1566">
        <f>IFERROR(INDEX(ChFormat,MATCH(E1566,ChName,0)),"")</f>
        <v/>
      </c>
      <c r="G1566" t="inlineStr">
        <is>
          <t>NL</t>
        </is>
      </c>
      <c r="H1566">
        <f>IF(A1566&lt;=NWeeks,1,0)</f>
        <v/>
      </c>
      <c r="I1566">
        <f>INDEX(ChLaunch,MATCH(E1566,ChName,0))</f>
        <v/>
      </c>
      <c r="J1566">
        <f>INDEX(ChWeeksFull,MATCH(E1566,ChName,0))</f>
        <v/>
      </c>
      <c r="K1566">
        <f>INDEX(ChRamp,MATCH(E1566,ChName,0))</f>
        <v/>
      </c>
      <c r="L1566" s="45">
        <f>MIN(1,MAX(0,(A1566-I1566+1)*RampSpeed/J1566))</f>
        <v/>
      </c>
      <c r="M1566" s="45">
        <f>IF(A1566&lt;I1566,0,IF(K1566="S-curve",L1566*L1566*(3-2*L1566),L1566))</f>
        <v/>
      </c>
      <c r="N1566" s="45">
        <f>1+(INDEX(SeasonIdx,A1566)-1)*SeasonAmp</f>
        <v/>
      </c>
      <c r="O1566" s="45">
        <f>IFERROR(INDEX(PSPct,MATCH(E1566&amp;"|"&amp;G1566,PSKey,0)),0)</f>
        <v/>
      </c>
      <c r="P1566" s="46">
        <f>INDEX(ChDoorVel,MATCH(E1566,ChName,0))*CalibScalar*(1+VelocityUplift)</f>
        <v/>
      </c>
      <c r="Q1566" s="46" t="n">
        <v>0</v>
      </c>
      <c r="R1566" s="46">
        <f>P1566*O1566*M1566*N1566*H1566</f>
        <v/>
      </c>
      <c r="S1566" s="46">
        <f>R1566*INDEX(FmtCansPerCase,MATCH(F1566,FmtName,0))</f>
        <v/>
      </c>
      <c r="T1566" s="46">
        <f>S1566/INDEX(FmtCansPerPack,MATCH(F1566,FmtName,0))</f>
        <v/>
      </c>
      <c r="U1566" s="47">
        <f>INDEX(ChBaseCP,MATCH(E1566,ChName,0))*(1+INDEX(ProvMod,MATCH(G1566,ProvCode,0)))*(1+PriceIndex)</f>
        <v/>
      </c>
      <c r="V1566" s="47">
        <f>R1566*U1566*INDEX(FmtBlendedPriceIdx,MATCH(F1566,FmtName,0))</f>
        <v/>
      </c>
      <c r="W1566" s="47">
        <f>T1566*INDEX(ProvSRP,MATCH(G1566,ProvCode,0))*(1+PriceIndex)</f>
        <v/>
      </c>
      <c r="X1566" s="47">
        <f>IF(GrossBasis="Wholesale",V1566,W1566)</f>
        <v/>
      </c>
      <c r="Y1566" s="47">
        <f>R1566*INDEX(FmtBlendedCogs,MATCH(F1566,FmtName,0))</f>
        <v/>
      </c>
      <c r="Z1566" s="47">
        <f>X1566-Y1566</f>
        <v/>
      </c>
    </row>
    <row r="1567">
      <c r="A1567" t="n">
        <v>29</v>
      </c>
      <c r="B1567" s="44">
        <f>FiscalStart+(A1567-1)*7</f>
        <v/>
      </c>
      <c r="C1567">
        <f>TEXT(B1567,"mmm yyyy")</f>
        <v/>
      </c>
      <c r="D1567">
        <f>"Q"&amp;(INT((A1567-1)/13)+1)</f>
        <v/>
      </c>
      <c r="E1567" t="inlineStr">
        <is>
          <t>Fitness</t>
        </is>
      </c>
      <c r="F1567">
        <f>IFERROR(INDEX(ChFormat,MATCH(E1567,ChName,0)),"")</f>
        <v/>
      </c>
      <c r="G1567" t="inlineStr">
        <is>
          <t>NL</t>
        </is>
      </c>
      <c r="H1567">
        <f>IF(A1567&lt;=NWeeks,1,0)</f>
        <v/>
      </c>
      <c r="I1567">
        <f>INDEX(ChLaunch,MATCH(E1567,ChName,0))</f>
        <v/>
      </c>
      <c r="J1567">
        <f>INDEX(ChWeeksFull,MATCH(E1567,ChName,0))</f>
        <v/>
      </c>
      <c r="K1567">
        <f>INDEX(ChRamp,MATCH(E1567,ChName,0))</f>
        <v/>
      </c>
      <c r="L1567" s="45">
        <f>MIN(1,MAX(0,(A1567-I1567+1)*RampSpeed/J1567))</f>
        <v/>
      </c>
      <c r="M1567" s="45">
        <f>IF(A1567&lt;I1567,0,IF(K1567="S-curve",L1567*L1567*(3-2*L1567),L1567))</f>
        <v/>
      </c>
      <c r="N1567" s="45">
        <f>1+(INDEX(SeasonIdx,A1567)-1)*SeasonAmp</f>
        <v/>
      </c>
      <c r="O1567" s="45">
        <f>IFERROR(INDEX(PSPct,MATCH(E1567&amp;"|"&amp;G1567,PSKey,0)),0)</f>
        <v/>
      </c>
      <c r="P1567" s="46">
        <f>INDEX(ChDoorVel,MATCH(E1567,ChName,0))*CalibScalar*(1+VelocityUplift)</f>
        <v/>
      </c>
      <c r="Q1567" s="46" t="n">
        <v>0</v>
      </c>
      <c r="R1567" s="46">
        <f>P1567*O1567*M1567*N1567*H1567</f>
        <v/>
      </c>
      <c r="S1567" s="46">
        <f>R1567*INDEX(FmtCansPerCase,MATCH(F1567,FmtName,0))</f>
        <v/>
      </c>
      <c r="T1567" s="46">
        <f>S1567/INDEX(FmtCansPerPack,MATCH(F1567,FmtName,0))</f>
        <v/>
      </c>
      <c r="U1567" s="47">
        <f>INDEX(ChBaseCP,MATCH(E1567,ChName,0))*(1+INDEX(ProvMod,MATCH(G1567,ProvCode,0)))*(1+PriceIndex)</f>
        <v/>
      </c>
      <c r="V1567" s="47">
        <f>R1567*U1567*INDEX(FmtBlendedPriceIdx,MATCH(F1567,FmtName,0))</f>
        <v/>
      </c>
      <c r="W1567" s="47">
        <f>T1567*INDEX(ProvSRP,MATCH(G1567,ProvCode,0))*(1+PriceIndex)</f>
        <v/>
      </c>
      <c r="X1567" s="47">
        <f>IF(GrossBasis="Wholesale",V1567,W1567)</f>
        <v/>
      </c>
      <c r="Y1567" s="47">
        <f>R1567*INDEX(FmtBlendedCogs,MATCH(F1567,FmtName,0))</f>
        <v/>
      </c>
      <c r="Z1567" s="47">
        <f>X1567-Y1567</f>
        <v/>
      </c>
    </row>
    <row r="1568">
      <c r="A1568" t="n">
        <v>30</v>
      </c>
      <c r="B1568" s="44">
        <f>FiscalStart+(A1568-1)*7</f>
        <v/>
      </c>
      <c r="C1568">
        <f>TEXT(B1568,"mmm yyyy")</f>
        <v/>
      </c>
      <c r="D1568">
        <f>"Q"&amp;(INT((A1568-1)/13)+1)</f>
        <v/>
      </c>
      <c r="E1568" t="inlineStr">
        <is>
          <t>Fitness</t>
        </is>
      </c>
      <c r="F1568">
        <f>IFERROR(INDEX(ChFormat,MATCH(E1568,ChName,0)),"")</f>
        <v/>
      </c>
      <c r="G1568" t="inlineStr">
        <is>
          <t>NL</t>
        </is>
      </c>
      <c r="H1568">
        <f>IF(A1568&lt;=NWeeks,1,0)</f>
        <v/>
      </c>
      <c r="I1568">
        <f>INDEX(ChLaunch,MATCH(E1568,ChName,0))</f>
        <v/>
      </c>
      <c r="J1568">
        <f>INDEX(ChWeeksFull,MATCH(E1568,ChName,0))</f>
        <v/>
      </c>
      <c r="K1568">
        <f>INDEX(ChRamp,MATCH(E1568,ChName,0))</f>
        <v/>
      </c>
      <c r="L1568" s="45">
        <f>MIN(1,MAX(0,(A1568-I1568+1)*RampSpeed/J1568))</f>
        <v/>
      </c>
      <c r="M1568" s="45">
        <f>IF(A1568&lt;I1568,0,IF(K1568="S-curve",L1568*L1568*(3-2*L1568),L1568))</f>
        <v/>
      </c>
      <c r="N1568" s="45">
        <f>1+(INDEX(SeasonIdx,A1568)-1)*SeasonAmp</f>
        <v/>
      </c>
      <c r="O1568" s="45">
        <f>IFERROR(INDEX(PSPct,MATCH(E1568&amp;"|"&amp;G1568,PSKey,0)),0)</f>
        <v/>
      </c>
      <c r="P1568" s="46">
        <f>INDEX(ChDoorVel,MATCH(E1568,ChName,0))*CalibScalar*(1+VelocityUplift)</f>
        <v/>
      </c>
      <c r="Q1568" s="46" t="n">
        <v>0</v>
      </c>
      <c r="R1568" s="46">
        <f>P1568*O1568*M1568*N1568*H1568</f>
        <v/>
      </c>
      <c r="S1568" s="46">
        <f>R1568*INDEX(FmtCansPerCase,MATCH(F1568,FmtName,0))</f>
        <v/>
      </c>
      <c r="T1568" s="46">
        <f>S1568/INDEX(FmtCansPerPack,MATCH(F1568,FmtName,0))</f>
        <v/>
      </c>
      <c r="U1568" s="47">
        <f>INDEX(ChBaseCP,MATCH(E1568,ChName,0))*(1+INDEX(ProvMod,MATCH(G1568,ProvCode,0)))*(1+PriceIndex)</f>
        <v/>
      </c>
      <c r="V1568" s="47">
        <f>R1568*U1568*INDEX(FmtBlendedPriceIdx,MATCH(F1568,FmtName,0))</f>
        <v/>
      </c>
      <c r="W1568" s="47">
        <f>T1568*INDEX(ProvSRP,MATCH(G1568,ProvCode,0))*(1+PriceIndex)</f>
        <v/>
      </c>
      <c r="X1568" s="47">
        <f>IF(GrossBasis="Wholesale",V1568,W1568)</f>
        <v/>
      </c>
      <c r="Y1568" s="47">
        <f>R1568*INDEX(FmtBlendedCogs,MATCH(F1568,FmtName,0))</f>
        <v/>
      </c>
      <c r="Z1568" s="47">
        <f>X1568-Y1568</f>
        <v/>
      </c>
    </row>
    <row r="1569">
      <c r="A1569" t="n">
        <v>31</v>
      </c>
      <c r="B1569" s="44">
        <f>FiscalStart+(A1569-1)*7</f>
        <v/>
      </c>
      <c r="C1569">
        <f>TEXT(B1569,"mmm yyyy")</f>
        <v/>
      </c>
      <c r="D1569">
        <f>"Q"&amp;(INT((A1569-1)/13)+1)</f>
        <v/>
      </c>
      <c r="E1569" t="inlineStr">
        <is>
          <t>Fitness</t>
        </is>
      </c>
      <c r="F1569">
        <f>IFERROR(INDEX(ChFormat,MATCH(E1569,ChName,0)),"")</f>
        <v/>
      </c>
      <c r="G1569" t="inlineStr">
        <is>
          <t>NL</t>
        </is>
      </c>
      <c r="H1569">
        <f>IF(A1569&lt;=NWeeks,1,0)</f>
        <v/>
      </c>
      <c r="I1569">
        <f>INDEX(ChLaunch,MATCH(E1569,ChName,0))</f>
        <v/>
      </c>
      <c r="J1569">
        <f>INDEX(ChWeeksFull,MATCH(E1569,ChName,0))</f>
        <v/>
      </c>
      <c r="K1569">
        <f>INDEX(ChRamp,MATCH(E1569,ChName,0))</f>
        <v/>
      </c>
      <c r="L1569" s="45">
        <f>MIN(1,MAX(0,(A1569-I1569+1)*RampSpeed/J1569))</f>
        <v/>
      </c>
      <c r="M1569" s="45">
        <f>IF(A1569&lt;I1569,0,IF(K1569="S-curve",L1569*L1569*(3-2*L1569),L1569))</f>
        <v/>
      </c>
      <c r="N1569" s="45">
        <f>1+(INDEX(SeasonIdx,A1569)-1)*SeasonAmp</f>
        <v/>
      </c>
      <c r="O1569" s="45">
        <f>IFERROR(INDEX(PSPct,MATCH(E1569&amp;"|"&amp;G1569,PSKey,0)),0)</f>
        <v/>
      </c>
      <c r="P1569" s="46">
        <f>INDEX(ChDoorVel,MATCH(E1569,ChName,0))*CalibScalar*(1+VelocityUplift)</f>
        <v/>
      </c>
      <c r="Q1569" s="46" t="n">
        <v>0</v>
      </c>
      <c r="R1569" s="46">
        <f>P1569*O1569*M1569*N1569*H1569</f>
        <v/>
      </c>
      <c r="S1569" s="46">
        <f>R1569*INDEX(FmtCansPerCase,MATCH(F1569,FmtName,0))</f>
        <v/>
      </c>
      <c r="T1569" s="46">
        <f>S1569/INDEX(FmtCansPerPack,MATCH(F1569,FmtName,0))</f>
        <v/>
      </c>
      <c r="U1569" s="47">
        <f>INDEX(ChBaseCP,MATCH(E1569,ChName,0))*(1+INDEX(ProvMod,MATCH(G1569,ProvCode,0)))*(1+PriceIndex)</f>
        <v/>
      </c>
      <c r="V1569" s="47">
        <f>R1569*U1569*INDEX(FmtBlendedPriceIdx,MATCH(F1569,FmtName,0))</f>
        <v/>
      </c>
      <c r="W1569" s="47">
        <f>T1569*INDEX(ProvSRP,MATCH(G1569,ProvCode,0))*(1+PriceIndex)</f>
        <v/>
      </c>
      <c r="X1569" s="47">
        <f>IF(GrossBasis="Wholesale",V1569,W1569)</f>
        <v/>
      </c>
      <c r="Y1569" s="47">
        <f>R1569*INDEX(FmtBlendedCogs,MATCH(F1569,FmtName,0))</f>
        <v/>
      </c>
      <c r="Z1569" s="47">
        <f>X1569-Y1569</f>
        <v/>
      </c>
    </row>
    <row r="1570">
      <c r="A1570" t="n">
        <v>32</v>
      </c>
      <c r="B1570" s="44">
        <f>FiscalStart+(A1570-1)*7</f>
        <v/>
      </c>
      <c r="C1570">
        <f>TEXT(B1570,"mmm yyyy")</f>
        <v/>
      </c>
      <c r="D1570">
        <f>"Q"&amp;(INT((A1570-1)/13)+1)</f>
        <v/>
      </c>
      <c r="E1570" t="inlineStr">
        <is>
          <t>Fitness</t>
        </is>
      </c>
      <c r="F1570">
        <f>IFERROR(INDEX(ChFormat,MATCH(E1570,ChName,0)),"")</f>
        <v/>
      </c>
      <c r="G1570" t="inlineStr">
        <is>
          <t>NL</t>
        </is>
      </c>
      <c r="H1570">
        <f>IF(A1570&lt;=NWeeks,1,0)</f>
        <v/>
      </c>
      <c r="I1570">
        <f>INDEX(ChLaunch,MATCH(E1570,ChName,0))</f>
        <v/>
      </c>
      <c r="J1570">
        <f>INDEX(ChWeeksFull,MATCH(E1570,ChName,0))</f>
        <v/>
      </c>
      <c r="K1570">
        <f>INDEX(ChRamp,MATCH(E1570,ChName,0))</f>
        <v/>
      </c>
      <c r="L1570" s="45">
        <f>MIN(1,MAX(0,(A1570-I1570+1)*RampSpeed/J1570))</f>
        <v/>
      </c>
      <c r="M1570" s="45">
        <f>IF(A1570&lt;I1570,0,IF(K1570="S-curve",L1570*L1570*(3-2*L1570),L1570))</f>
        <v/>
      </c>
      <c r="N1570" s="45">
        <f>1+(INDEX(SeasonIdx,A1570)-1)*SeasonAmp</f>
        <v/>
      </c>
      <c r="O1570" s="45">
        <f>IFERROR(INDEX(PSPct,MATCH(E1570&amp;"|"&amp;G1570,PSKey,0)),0)</f>
        <v/>
      </c>
      <c r="P1570" s="46">
        <f>INDEX(ChDoorVel,MATCH(E1570,ChName,0))*CalibScalar*(1+VelocityUplift)</f>
        <v/>
      </c>
      <c r="Q1570" s="46" t="n">
        <v>0</v>
      </c>
      <c r="R1570" s="46">
        <f>P1570*O1570*M1570*N1570*H1570</f>
        <v/>
      </c>
      <c r="S1570" s="46">
        <f>R1570*INDEX(FmtCansPerCase,MATCH(F1570,FmtName,0))</f>
        <v/>
      </c>
      <c r="T1570" s="46">
        <f>S1570/INDEX(FmtCansPerPack,MATCH(F1570,FmtName,0))</f>
        <v/>
      </c>
      <c r="U1570" s="47">
        <f>INDEX(ChBaseCP,MATCH(E1570,ChName,0))*(1+INDEX(ProvMod,MATCH(G1570,ProvCode,0)))*(1+PriceIndex)</f>
        <v/>
      </c>
      <c r="V1570" s="47">
        <f>R1570*U1570*INDEX(FmtBlendedPriceIdx,MATCH(F1570,FmtName,0))</f>
        <v/>
      </c>
      <c r="W1570" s="47">
        <f>T1570*INDEX(ProvSRP,MATCH(G1570,ProvCode,0))*(1+PriceIndex)</f>
        <v/>
      </c>
      <c r="X1570" s="47">
        <f>IF(GrossBasis="Wholesale",V1570,W1570)</f>
        <v/>
      </c>
      <c r="Y1570" s="47">
        <f>R1570*INDEX(FmtBlendedCogs,MATCH(F1570,FmtName,0))</f>
        <v/>
      </c>
      <c r="Z1570" s="47">
        <f>X1570-Y1570</f>
        <v/>
      </c>
    </row>
    <row r="1571">
      <c r="A1571" t="n">
        <v>33</v>
      </c>
      <c r="B1571" s="44">
        <f>FiscalStart+(A1571-1)*7</f>
        <v/>
      </c>
      <c r="C1571">
        <f>TEXT(B1571,"mmm yyyy")</f>
        <v/>
      </c>
      <c r="D1571">
        <f>"Q"&amp;(INT((A1571-1)/13)+1)</f>
        <v/>
      </c>
      <c r="E1571" t="inlineStr">
        <is>
          <t>Fitness</t>
        </is>
      </c>
      <c r="F1571">
        <f>IFERROR(INDEX(ChFormat,MATCH(E1571,ChName,0)),"")</f>
        <v/>
      </c>
      <c r="G1571" t="inlineStr">
        <is>
          <t>NL</t>
        </is>
      </c>
      <c r="H1571">
        <f>IF(A1571&lt;=NWeeks,1,0)</f>
        <v/>
      </c>
      <c r="I1571">
        <f>INDEX(ChLaunch,MATCH(E1571,ChName,0))</f>
        <v/>
      </c>
      <c r="J1571">
        <f>INDEX(ChWeeksFull,MATCH(E1571,ChName,0))</f>
        <v/>
      </c>
      <c r="K1571">
        <f>INDEX(ChRamp,MATCH(E1571,ChName,0))</f>
        <v/>
      </c>
      <c r="L1571" s="45">
        <f>MIN(1,MAX(0,(A1571-I1571+1)*RampSpeed/J1571))</f>
        <v/>
      </c>
      <c r="M1571" s="45">
        <f>IF(A1571&lt;I1571,0,IF(K1571="S-curve",L1571*L1571*(3-2*L1571),L1571))</f>
        <v/>
      </c>
      <c r="N1571" s="45">
        <f>1+(INDEX(SeasonIdx,A1571)-1)*SeasonAmp</f>
        <v/>
      </c>
      <c r="O1571" s="45">
        <f>IFERROR(INDEX(PSPct,MATCH(E1571&amp;"|"&amp;G1571,PSKey,0)),0)</f>
        <v/>
      </c>
      <c r="P1571" s="46">
        <f>INDEX(ChDoorVel,MATCH(E1571,ChName,0))*CalibScalar*(1+VelocityUplift)</f>
        <v/>
      </c>
      <c r="Q1571" s="46" t="n">
        <v>0</v>
      </c>
      <c r="R1571" s="46">
        <f>P1571*O1571*M1571*N1571*H1571</f>
        <v/>
      </c>
      <c r="S1571" s="46">
        <f>R1571*INDEX(FmtCansPerCase,MATCH(F1571,FmtName,0))</f>
        <v/>
      </c>
      <c r="T1571" s="46">
        <f>S1571/INDEX(FmtCansPerPack,MATCH(F1571,FmtName,0))</f>
        <v/>
      </c>
      <c r="U1571" s="47">
        <f>INDEX(ChBaseCP,MATCH(E1571,ChName,0))*(1+INDEX(ProvMod,MATCH(G1571,ProvCode,0)))*(1+PriceIndex)</f>
        <v/>
      </c>
      <c r="V1571" s="47">
        <f>R1571*U1571*INDEX(FmtBlendedPriceIdx,MATCH(F1571,FmtName,0))</f>
        <v/>
      </c>
      <c r="W1571" s="47">
        <f>T1571*INDEX(ProvSRP,MATCH(G1571,ProvCode,0))*(1+PriceIndex)</f>
        <v/>
      </c>
      <c r="X1571" s="47">
        <f>IF(GrossBasis="Wholesale",V1571,W1571)</f>
        <v/>
      </c>
      <c r="Y1571" s="47">
        <f>R1571*INDEX(FmtBlendedCogs,MATCH(F1571,FmtName,0))</f>
        <v/>
      </c>
      <c r="Z1571" s="47">
        <f>X1571-Y1571</f>
        <v/>
      </c>
    </row>
    <row r="1572">
      <c r="A1572" t="n">
        <v>34</v>
      </c>
      <c r="B1572" s="44">
        <f>FiscalStart+(A1572-1)*7</f>
        <v/>
      </c>
      <c r="C1572">
        <f>TEXT(B1572,"mmm yyyy")</f>
        <v/>
      </c>
      <c r="D1572">
        <f>"Q"&amp;(INT((A1572-1)/13)+1)</f>
        <v/>
      </c>
      <c r="E1572" t="inlineStr">
        <is>
          <t>Fitness</t>
        </is>
      </c>
      <c r="F1572">
        <f>IFERROR(INDEX(ChFormat,MATCH(E1572,ChName,0)),"")</f>
        <v/>
      </c>
      <c r="G1572" t="inlineStr">
        <is>
          <t>NL</t>
        </is>
      </c>
      <c r="H1572">
        <f>IF(A1572&lt;=NWeeks,1,0)</f>
        <v/>
      </c>
      <c r="I1572">
        <f>INDEX(ChLaunch,MATCH(E1572,ChName,0))</f>
        <v/>
      </c>
      <c r="J1572">
        <f>INDEX(ChWeeksFull,MATCH(E1572,ChName,0))</f>
        <v/>
      </c>
      <c r="K1572">
        <f>INDEX(ChRamp,MATCH(E1572,ChName,0))</f>
        <v/>
      </c>
      <c r="L1572" s="45">
        <f>MIN(1,MAX(0,(A1572-I1572+1)*RampSpeed/J1572))</f>
        <v/>
      </c>
      <c r="M1572" s="45">
        <f>IF(A1572&lt;I1572,0,IF(K1572="S-curve",L1572*L1572*(3-2*L1572),L1572))</f>
        <v/>
      </c>
      <c r="N1572" s="45">
        <f>1+(INDEX(SeasonIdx,A1572)-1)*SeasonAmp</f>
        <v/>
      </c>
      <c r="O1572" s="45">
        <f>IFERROR(INDEX(PSPct,MATCH(E1572&amp;"|"&amp;G1572,PSKey,0)),0)</f>
        <v/>
      </c>
      <c r="P1572" s="46">
        <f>INDEX(ChDoorVel,MATCH(E1572,ChName,0))*CalibScalar*(1+VelocityUplift)</f>
        <v/>
      </c>
      <c r="Q1572" s="46" t="n">
        <v>0</v>
      </c>
      <c r="R1572" s="46">
        <f>P1572*O1572*M1572*N1572*H1572</f>
        <v/>
      </c>
      <c r="S1572" s="46">
        <f>R1572*INDEX(FmtCansPerCase,MATCH(F1572,FmtName,0))</f>
        <v/>
      </c>
      <c r="T1572" s="46">
        <f>S1572/INDEX(FmtCansPerPack,MATCH(F1572,FmtName,0))</f>
        <v/>
      </c>
      <c r="U1572" s="47">
        <f>INDEX(ChBaseCP,MATCH(E1572,ChName,0))*(1+INDEX(ProvMod,MATCH(G1572,ProvCode,0)))*(1+PriceIndex)</f>
        <v/>
      </c>
      <c r="V1572" s="47">
        <f>R1572*U1572*INDEX(FmtBlendedPriceIdx,MATCH(F1572,FmtName,0))</f>
        <v/>
      </c>
      <c r="W1572" s="47">
        <f>T1572*INDEX(ProvSRP,MATCH(G1572,ProvCode,0))*(1+PriceIndex)</f>
        <v/>
      </c>
      <c r="X1572" s="47">
        <f>IF(GrossBasis="Wholesale",V1572,W1572)</f>
        <v/>
      </c>
      <c r="Y1572" s="47">
        <f>R1572*INDEX(FmtBlendedCogs,MATCH(F1572,FmtName,0))</f>
        <v/>
      </c>
      <c r="Z1572" s="47">
        <f>X1572-Y1572</f>
        <v/>
      </c>
    </row>
    <row r="1573">
      <c r="A1573" t="n">
        <v>35</v>
      </c>
      <c r="B1573" s="44">
        <f>FiscalStart+(A1573-1)*7</f>
        <v/>
      </c>
      <c r="C1573">
        <f>TEXT(B1573,"mmm yyyy")</f>
        <v/>
      </c>
      <c r="D1573">
        <f>"Q"&amp;(INT((A1573-1)/13)+1)</f>
        <v/>
      </c>
      <c r="E1573" t="inlineStr">
        <is>
          <t>Fitness</t>
        </is>
      </c>
      <c r="F1573">
        <f>IFERROR(INDEX(ChFormat,MATCH(E1573,ChName,0)),"")</f>
        <v/>
      </c>
      <c r="G1573" t="inlineStr">
        <is>
          <t>NL</t>
        </is>
      </c>
      <c r="H1573">
        <f>IF(A1573&lt;=NWeeks,1,0)</f>
        <v/>
      </c>
      <c r="I1573">
        <f>INDEX(ChLaunch,MATCH(E1573,ChName,0))</f>
        <v/>
      </c>
      <c r="J1573">
        <f>INDEX(ChWeeksFull,MATCH(E1573,ChName,0))</f>
        <v/>
      </c>
      <c r="K1573">
        <f>INDEX(ChRamp,MATCH(E1573,ChName,0))</f>
        <v/>
      </c>
      <c r="L1573" s="45">
        <f>MIN(1,MAX(0,(A1573-I1573+1)*RampSpeed/J1573))</f>
        <v/>
      </c>
      <c r="M1573" s="45">
        <f>IF(A1573&lt;I1573,0,IF(K1573="S-curve",L1573*L1573*(3-2*L1573),L1573))</f>
        <v/>
      </c>
      <c r="N1573" s="45">
        <f>1+(INDEX(SeasonIdx,A1573)-1)*SeasonAmp</f>
        <v/>
      </c>
      <c r="O1573" s="45">
        <f>IFERROR(INDEX(PSPct,MATCH(E1573&amp;"|"&amp;G1573,PSKey,0)),0)</f>
        <v/>
      </c>
      <c r="P1573" s="46">
        <f>INDEX(ChDoorVel,MATCH(E1573,ChName,0))*CalibScalar*(1+VelocityUplift)</f>
        <v/>
      </c>
      <c r="Q1573" s="46" t="n">
        <v>0</v>
      </c>
      <c r="R1573" s="46">
        <f>P1573*O1573*M1573*N1573*H1573</f>
        <v/>
      </c>
      <c r="S1573" s="46">
        <f>R1573*INDEX(FmtCansPerCase,MATCH(F1573,FmtName,0))</f>
        <v/>
      </c>
      <c r="T1573" s="46">
        <f>S1573/INDEX(FmtCansPerPack,MATCH(F1573,FmtName,0))</f>
        <v/>
      </c>
      <c r="U1573" s="47">
        <f>INDEX(ChBaseCP,MATCH(E1573,ChName,0))*(1+INDEX(ProvMod,MATCH(G1573,ProvCode,0)))*(1+PriceIndex)</f>
        <v/>
      </c>
      <c r="V1573" s="47">
        <f>R1573*U1573*INDEX(FmtBlendedPriceIdx,MATCH(F1573,FmtName,0))</f>
        <v/>
      </c>
      <c r="W1573" s="47">
        <f>T1573*INDEX(ProvSRP,MATCH(G1573,ProvCode,0))*(1+PriceIndex)</f>
        <v/>
      </c>
      <c r="X1573" s="47">
        <f>IF(GrossBasis="Wholesale",V1573,W1573)</f>
        <v/>
      </c>
      <c r="Y1573" s="47">
        <f>R1573*INDEX(FmtBlendedCogs,MATCH(F1573,FmtName,0))</f>
        <v/>
      </c>
      <c r="Z1573" s="47">
        <f>X1573-Y1573</f>
        <v/>
      </c>
    </row>
    <row r="1574">
      <c r="A1574" t="n">
        <v>36</v>
      </c>
      <c r="B1574" s="44">
        <f>FiscalStart+(A1574-1)*7</f>
        <v/>
      </c>
      <c r="C1574">
        <f>TEXT(B1574,"mmm yyyy")</f>
        <v/>
      </c>
      <c r="D1574">
        <f>"Q"&amp;(INT((A1574-1)/13)+1)</f>
        <v/>
      </c>
      <c r="E1574" t="inlineStr">
        <is>
          <t>Fitness</t>
        </is>
      </c>
      <c r="F1574">
        <f>IFERROR(INDEX(ChFormat,MATCH(E1574,ChName,0)),"")</f>
        <v/>
      </c>
      <c r="G1574" t="inlineStr">
        <is>
          <t>NL</t>
        </is>
      </c>
      <c r="H1574">
        <f>IF(A1574&lt;=NWeeks,1,0)</f>
        <v/>
      </c>
      <c r="I1574">
        <f>INDEX(ChLaunch,MATCH(E1574,ChName,0))</f>
        <v/>
      </c>
      <c r="J1574">
        <f>INDEX(ChWeeksFull,MATCH(E1574,ChName,0))</f>
        <v/>
      </c>
      <c r="K1574">
        <f>INDEX(ChRamp,MATCH(E1574,ChName,0))</f>
        <v/>
      </c>
      <c r="L1574" s="45">
        <f>MIN(1,MAX(0,(A1574-I1574+1)*RampSpeed/J1574))</f>
        <v/>
      </c>
      <c r="M1574" s="45">
        <f>IF(A1574&lt;I1574,0,IF(K1574="S-curve",L1574*L1574*(3-2*L1574),L1574))</f>
        <v/>
      </c>
      <c r="N1574" s="45">
        <f>1+(INDEX(SeasonIdx,A1574)-1)*SeasonAmp</f>
        <v/>
      </c>
      <c r="O1574" s="45">
        <f>IFERROR(INDEX(PSPct,MATCH(E1574&amp;"|"&amp;G1574,PSKey,0)),0)</f>
        <v/>
      </c>
      <c r="P1574" s="46">
        <f>INDEX(ChDoorVel,MATCH(E1574,ChName,0))*CalibScalar*(1+VelocityUplift)</f>
        <v/>
      </c>
      <c r="Q1574" s="46" t="n">
        <v>0</v>
      </c>
      <c r="R1574" s="46">
        <f>P1574*O1574*M1574*N1574*H1574</f>
        <v/>
      </c>
      <c r="S1574" s="46">
        <f>R1574*INDEX(FmtCansPerCase,MATCH(F1574,FmtName,0))</f>
        <v/>
      </c>
      <c r="T1574" s="46">
        <f>S1574/INDEX(FmtCansPerPack,MATCH(F1574,FmtName,0))</f>
        <v/>
      </c>
      <c r="U1574" s="47">
        <f>INDEX(ChBaseCP,MATCH(E1574,ChName,0))*(1+INDEX(ProvMod,MATCH(G1574,ProvCode,0)))*(1+PriceIndex)</f>
        <v/>
      </c>
      <c r="V1574" s="47">
        <f>R1574*U1574*INDEX(FmtBlendedPriceIdx,MATCH(F1574,FmtName,0))</f>
        <v/>
      </c>
      <c r="W1574" s="47">
        <f>T1574*INDEX(ProvSRP,MATCH(G1574,ProvCode,0))*(1+PriceIndex)</f>
        <v/>
      </c>
      <c r="X1574" s="47">
        <f>IF(GrossBasis="Wholesale",V1574,W1574)</f>
        <v/>
      </c>
      <c r="Y1574" s="47">
        <f>R1574*INDEX(FmtBlendedCogs,MATCH(F1574,FmtName,0))</f>
        <v/>
      </c>
      <c r="Z1574" s="47">
        <f>X1574-Y1574</f>
        <v/>
      </c>
    </row>
    <row r="1575">
      <c r="A1575" t="n">
        <v>37</v>
      </c>
      <c r="B1575" s="44">
        <f>FiscalStart+(A1575-1)*7</f>
        <v/>
      </c>
      <c r="C1575">
        <f>TEXT(B1575,"mmm yyyy")</f>
        <v/>
      </c>
      <c r="D1575">
        <f>"Q"&amp;(INT((A1575-1)/13)+1)</f>
        <v/>
      </c>
      <c r="E1575" t="inlineStr">
        <is>
          <t>Fitness</t>
        </is>
      </c>
      <c r="F1575">
        <f>IFERROR(INDEX(ChFormat,MATCH(E1575,ChName,0)),"")</f>
        <v/>
      </c>
      <c r="G1575" t="inlineStr">
        <is>
          <t>NL</t>
        </is>
      </c>
      <c r="H1575">
        <f>IF(A1575&lt;=NWeeks,1,0)</f>
        <v/>
      </c>
      <c r="I1575">
        <f>INDEX(ChLaunch,MATCH(E1575,ChName,0))</f>
        <v/>
      </c>
      <c r="J1575">
        <f>INDEX(ChWeeksFull,MATCH(E1575,ChName,0))</f>
        <v/>
      </c>
      <c r="K1575">
        <f>INDEX(ChRamp,MATCH(E1575,ChName,0))</f>
        <v/>
      </c>
      <c r="L1575" s="45">
        <f>MIN(1,MAX(0,(A1575-I1575+1)*RampSpeed/J1575))</f>
        <v/>
      </c>
      <c r="M1575" s="45">
        <f>IF(A1575&lt;I1575,0,IF(K1575="S-curve",L1575*L1575*(3-2*L1575),L1575))</f>
        <v/>
      </c>
      <c r="N1575" s="45">
        <f>1+(INDEX(SeasonIdx,A1575)-1)*SeasonAmp</f>
        <v/>
      </c>
      <c r="O1575" s="45">
        <f>IFERROR(INDEX(PSPct,MATCH(E1575&amp;"|"&amp;G1575,PSKey,0)),0)</f>
        <v/>
      </c>
      <c r="P1575" s="46">
        <f>INDEX(ChDoorVel,MATCH(E1575,ChName,0))*CalibScalar*(1+VelocityUplift)</f>
        <v/>
      </c>
      <c r="Q1575" s="46" t="n">
        <v>0</v>
      </c>
      <c r="R1575" s="46">
        <f>P1575*O1575*M1575*N1575*H1575</f>
        <v/>
      </c>
      <c r="S1575" s="46">
        <f>R1575*INDEX(FmtCansPerCase,MATCH(F1575,FmtName,0))</f>
        <v/>
      </c>
      <c r="T1575" s="46">
        <f>S1575/INDEX(FmtCansPerPack,MATCH(F1575,FmtName,0))</f>
        <v/>
      </c>
      <c r="U1575" s="47">
        <f>INDEX(ChBaseCP,MATCH(E1575,ChName,0))*(1+INDEX(ProvMod,MATCH(G1575,ProvCode,0)))*(1+PriceIndex)</f>
        <v/>
      </c>
      <c r="V1575" s="47">
        <f>R1575*U1575*INDEX(FmtBlendedPriceIdx,MATCH(F1575,FmtName,0))</f>
        <v/>
      </c>
      <c r="W1575" s="47">
        <f>T1575*INDEX(ProvSRP,MATCH(G1575,ProvCode,0))*(1+PriceIndex)</f>
        <v/>
      </c>
      <c r="X1575" s="47">
        <f>IF(GrossBasis="Wholesale",V1575,W1575)</f>
        <v/>
      </c>
      <c r="Y1575" s="47">
        <f>R1575*INDEX(FmtBlendedCogs,MATCH(F1575,FmtName,0))</f>
        <v/>
      </c>
      <c r="Z1575" s="47">
        <f>X1575-Y1575</f>
        <v/>
      </c>
    </row>
    <row r="1576">
      <c r="A1576" t="n">
        <v>38</v>
      </c>
      <c r="B1576" s="44">
        <f>FiscalStart+(A1576-1)*7</f>
        <v/>
      </c>
      <c r="C1576">
        <f>TEXT(B1576,"mmm yyyy")</f>
        <v/>
      </c>
      <c r="D1576">
        <f>"Q"&amp;(INT((A1576-1)/13)+1)</f>
        <v/>
      </c>
      <c r="E1576" t="inlineStr">
        <is>
          <t>Fitness</t>
        </is>
      </c>
      <c r="F1576">
        <f>IFERROR(INDEX(ChFormat,MATCH(E1576,ChName,0)),"")</f>
        <v/>
      </c>
      <c r="G1576" t="inlineStr">
        <is>
          <t>NL</t>
        </is>
      </c>
      <c r="H1576">
        <f>IF(A1576&lt;=NWeeks,1,0)</f>
        <v/>
      </c>
      <c r="I1576">
        <f>INDEX(ChLaunch,MATCH(E1576,ChName,0))</f>
        <v/>
      </c>
      <c r="J1576">
        <f>INDEX(ChWeeksFull,MATCH(E1576,ChName,0))</f>
        <v/>
      </c>
      <c r="K1576">
        <f>INDEX(ChRamp,MATCH(E1576,ChName,0))</f>
        <v/>
      </c>
      <c r="L1576" s="45">
        <f>MIN(1,MAX(0,(A1576-I1576+1)*RampSpeed/J1576))</f>
        <v/>
      </c>
      <c r="M1576" s="45">
        <f>IF(A1576&lt;I1576,0,IF(K1576="S-curve",L1576*L1576*(3-2*L1576),L1576))</f>
        <v/>
      </c>
      <c r="N1576" s="45">
        <f>1+(INDEX(SeasonIdx,A1576)-1)*SeasonAmp</f>
        <v/>
      </c>
      <c r="O1576" s="45">
        <f>IFERROR(INDEX(PSPct,MATCH(E1576&amp;"|"&amp;G1576,PSKey,0)),0)</f>
        <v/>
      </c>
      <c r="P1576" s="46">
        <f>INDEX(ChDoorVel,MATCH(E1576,ChName,0))*CalibScalar*(1+VelocityUplift)</f>
        <v/>
      </c>
      <c r="Q1576" s="46" t="n">
        <v>0</v>
      </c>
      <c r="R1576" s="46">
        <f>P1576*O1576*M1576*N1576*H1576</f>
        <v/>
      </c>
      <c r="S1576" s="46">
        <f>R1576*INDEX(FmtCansPerCase,MATCH(F1576,FmtName,0))</f>
        <v/>
      </c>
      <c r="T1576" s="46">
        <f>S1576/INDEX(FmtCansPerPack,MATCH(F1576,FmtName,0))</f>
        <v/>
      </c>
      <c r="U1576" s="47">
        <f>INDEX(ChBaseCP,MATCH(E1576,ChName,0))*(1+INDEX(ProvMod,MATCH(G1576,ProvCode,0)))*(1+PriceIndex)</f>
        <v/>
      </c>
      <c r="V1576" s="47">
        <f>R1576*U1576*INDEX(FmtBlendedPriceIdx,MATCH(F1576,FmtName,0))</f>
        <v/>
      </c>
      <c r="W1576" s="47">
        <f>T1576*INDEX(ProvSRP,MATCH(G1576,ProvCode,0))*(1+PriceIndex)</f>
        <v/>
      </c>
      <c r="X1576" s="47">
        <f>IF(GrossBasis="Wholesale",V1576,W1576)</f>
        <v/>
      </c>
      <c r="Y1576" s="47">
        <f>R1576*INDEX(FmtBlendedCogs,MATCH(F1576,FmtName,0))</f>
        <v/>
      </c>
      <c r="Z1576" s="47">
        <f>X1576-Y1576</f>
        <v/>
      </c>
    </row>
    <row r="1577">
      <c r="A1577" t="n">
        <v>39</v>
      </c>
      <c r="B1577" s="44">
        <f>FiscalStart+(A1577-1)*7</f>
        <v/>
      </c>
      <c r="C1577">
        <f>TEXT(B1577,"mmm yyyy")</f>
        <v/>
      </c>
      <c r="D1577">
        <f>"Q"&amp;(INT((A1577-1)/13)+1)</f>
        <v/>
      </c>
      <c r="E1577" t="inlineStr">
        <is>
          <t>Fitness</t>
        </is>
      </c>
      <c r="F1577">
        <f>IFERROR(INDEX(ChFormat,MATCH(E1577,ChName,0)),"")</f>
        <v/>
      </c>
      <c r="G1577" t="inlineStr">
        <is>
          <t>NL</t>
        </is>
      </c>
      <c r="H1577">
        <f>IF(A1577&lt;=NWeeks,1,0)</f>
        <v/>
      </c>
      <c r="I1577">
        <f>INDEX(ChLaunch,MATCH(E1577,ChName,0))</f>
        <v/>
      </c>
      <c r="J1577">
        <f>INDEX(ChWeeksFull,MATCH(E1577,ChName,0))</f>
        <v/>
      </c>
      <c r="K1577">
        <f>INDEX(ChRamp,MATCH(E1577,ChName,0))</f>
        <v/>
      </c>
      <c r="L1577" s="45">
        <f>MIN(1,MAX(0,(A1577-I1577+1)*RampSpeed/J1577))</f>
        <v/>
      </c>
      <c r="M1577" s="45">
        <f>IF(A1577&lt;I1577,0,IF(K1577="S-curve",L1577*L1577*(3-2*L1577),L1577))</f>
        <v/>
      </c>
      <c r="N1577" s="45">
        <f>1+(INDEX(SeasonIdx,A1577)-1)*SeasonAmp</f>
        <v/>
      </c>
      <c r="O1577" s="45">
        <f>IFERROR(INDEX(PSPct,MATCH(E1577&amp;"|"&amp;G1577,PSKey,0)),0)</f>
        <v/>
      </c>
      <c r="P1577" s="46">
        <f>INDEX(ChDoorVel,MATCH(E1577,ChName,0))*CalibScalar*(1+VelocityUplift)</f>
        <v/>
      </c>
      <c r="Q1577" s="46" t="n">
        <v>0</v>
      </c>
      <c r="R1577" s="46">
        <f>P1577*O1577*M1577*N1577*H1577</f>
        <v/>
      </c>
      <c r="S1577" s="46">
        <f>R1577*INDEX(FmtCansPerCase,MATCH(F1577,FmtName,0))</f>
        <v/>
      </c>
      <c r="T1577" s="46">
        <f>S1577/INDEX(FmtCansPerPack,MATCH(F1577,FmtName,0))</f>
        <v/>
      </c>
      <c r="U1577" s="47">
        <f>INDEX(ChBaseCP,MATCH(E1577,ChName,0))*(1+INDEX(ProvMod,MATCH(G1577,ProvCode,0)))*(1+PriceIndex)</f>
        <v/>
      </c>
      <c r="V1577" s="47">
        <f>R1577*U1577*INDEX(FmtBlendedPriceIdx,MATCH(F1577,FmtName,0))</f>
        <v/>
      </c>
      <c r="W1577" s="47">
        <f>T1577*INDEX(ProvSRP,MATCH(G1577,ProvCode,0))*(1+PriceIndex)</f>
        <v/>
      </c>
      <c r="X1577" s="47">
        <f>IF(GrossBasis="Wholesale",V1577,W1577)</f>
        <v/>
      </c>
      <c r="Y1577" s="47">
        <f>R1577*INDEX(FmtBlendedCogs,MATCH(F1577,FmtName,0))</f>
        <v/>
      </c>
      <c r="Z1577" s="47">
        <f>X1577-Y1577</f>
        <v/>
      </c>
    </row>
    <row r="1578">
      <c r="A1578" t="n">
        <v>40</v>
      </c>
      <c r="B1578" s="44">
        <f>FiscalStart+(A1578-1)*7</f>
        <v/>
      </c>
      <c r="C1578">
        <f>TEXT(B1578,"mmm yyyy")</f>
        <v/>
      </c>
      <c r="D1578">
        <f>"Q"&amp;(INT((A1578-1)/13)+1)</f>
        <v/>
      </c>
      <c r="E1578" t="inlineStr">
        <is>
          <t>Fitness</t>
        </is>
      </c>
      <c r="F1578">
        <f>IFERROR(INDEX(ChFormat,MATCH(E1578,ChName,0)),"")</f>
        <v/>
      </c>
      <c r="G1578" t="inlineStr">
        <is>
          <t>NL</t>
        </is>
      </c>
      <c r="H1578">
        <f>IF(A1578&lt;=NWeeks,1,0)</f>
        <v/>
      </c>
      <c r="I1578">
        <f>INDEX(ChLaunch,MATCH(E1578,ChName,0))</f>
        <v/>
      </c>
      <c r="J1578">
        <f>INDEX(ChWeeksFull,MATCH(E1578,ChName,0))</f>
        <v/>
      </c>
      <c r="K1578">
        <f>INDEX(ChRamp,MATCH(E1578,ChName,0))</f>
        <v/>
      </c>
      <c r="L1578" s="45">
        <f>MIN(1,MAX(0,(A1578-I1578+1)*RampSpeed/J1578))</f>
        <v/>
      </c>
      <c r="M1578" s="45">
        <f>IF(A1578&lt;I1578,0,IF(K1578="S-curve",L1578*L1578*(3-2*L1578),L1578))</f>
        <v/>
      </c>
      <c r="N1578" s="45">
        <f>1+(INDEX(SeasonIdx,A1578)-1)*SeasonAmp</f>
        <v/>
      </c>
      <c r="O1578" s="45">
        <f>IFERROR(INDEX(PSPct,MATCH(E1578&amp;"|"&amp;G1578,PSKey,0)),0)</f>
        <v/>
      </c>
      <c r="P1578" s="46">
        <f>INDEX(ChDoorVel,MATCH(E1578,ChName,0))*CalibScalar*(1+VelocityUplift)</f>
        <v/>
      </c>
      <c r="Q1578" s="46" t="n">
        <v>0</v>
      </c>
      <c r="R1578" s="46">
        <f>P1578*O1578*M1578*N1578*H1578</f>
        <v/>
      </c>
      <c r="S1578" s="46">
        <f>R1578*INDEX(FmtCansPerCase,MATCH(F1578,FmtName,0))</f>
        <v/>
      </c>
      <c r="T1578" s="46">
        <f>S1578/INDEX(FmtCansPerPack,MATCH(F1578,FmtName,0))</f>
        <v/>
      </c>
      <c r="U1578" s="47">
        <f>INDEX(ChBaseCP,MATCH(E1578,ChName,0))*(1+INDEX(ProvMod,MATCH(G1578,ProvCode,0)))*(1+PriceIndex)</f>
        <v/>
      </c>
      <c r="V1578" s="47">
        <f>R1578*U1578*INDEX(FmtBlendedPriceIdx,MATCH(F1578,FmtName,0))</f>
        <v/>
      </c>
      <c r="W1578" s="47">
        <f>T1578*INDEX(ProvSRP,MATCH(G1578,ProvCode,0))*(1+PriceIndex)</f>
        <v/>
      </c>
      <c r="X1578" s="47">
        <f>IF(GrossBasis="Wholesale",V1578,W1578)</f>
        <v/>
      </c>
      <c r="Y1578" s="47">
        <f>R1578*INDEX(FmtBlendedCogs,MATCH(F1578,FmtName,0))</f>
        <v/>
      </c>
      <c r="Z1578" s="47">
        <f>X1578-Y1578</f>
        <v/>
      </c>
    </row>
    <row r="1579">
      <c r="A1579" t="n">
        <v>41</v>
      </c>
      <c r="B1579" s="44">
        <f>FiscalStart+(A1579-1)*7</f>
        <v/>
      </c>
      <c r="C1579">
        <f>TEXT(B1579,"mmm yyyy")</f>
        <v/>
      </c>
      <c r="D1579">
        <f>"Q"&amp;(INT((A1579-1)/13)+1)</f>
        <v/>
      </c>
      <c r="E1579" t="inlineStr">
        <is>
          <t>Fitness</t>
        </is>
      </c>
      <c r="F1579">
        <f>IFERROR(INDEX(ChFormat,MATCH(E1579,ChName,0)),"")</f>
        <v/>
      </c>
      <c r="G1579" t="inlineStr">
        <is>
          <t>NL</t>
        </is>
      </c>
      <c r="H1579">
        <f>IF(A1579&lt;=NWeeks,1,0)</f>
        <v/>
      </c>
      <c r="I1579">
        <f>INDEX(ChLaunch,MATCH(E1579,ChName,0))</f>
        <v/>
      </c>
      <c r="J1579">
        <f>INDEX(ChWeeksFull,MATCH(E1579,ChName,0))</f>
        <v/>
      </c>
      <c r="K1579">
        <f>INDEX(ChRamp,MATCH(E1579,ChName,0))</f>
        <v/>
      </c>
      <c r="L1579" s="45">
        <f>MIN(1,MAX(0,(A1579-I1579+1)*RampSpeed/J1579))</f>
        <v/>
      </c>
      <c r="M1579" s="45">
        <f>IF(A1579&lt;I1579,0,IF(K1579="S-curve",L1579*L1579*(3-2*L1579),L1579))</f>
        <v/>
      </c>
      <c r="N1579" s="45">
        <f>1+(INDEX(SeasonIdx,A1579)-1)*SeasonAmp</f>
        <v/>
      </c>
      <c r="O1579" s="45">
        <f>IFERROR(INDEX(PSPct,MATCH(E1579&amp;"|"&amp;G1579,PSKey,0)),0)</f>
        <v/>
      </c>
      <c r="P1579" s="46">
        <f>INDEX(ChDoorVel,MATCH(E1579,ChName,0))*CalibScalar*(1+VelocityUplift)</f>
        <v/>
      </c>
      <c r="Q1579" s="46" t="n">
        <v>0</v>
      </c>
      <c r="R1579" s="46">
        <f>P1579*O1579*M1579*N1579*H1579</f>
        <v/>
      </c>
      <c r="S1579" s="46">
        <f>R1579*INDEX(FmtCansPerCase,MATCH(F1579,FmtName,0))</f>
        <v/>
      </c>
      <c r="T1579" s="46">
        <f>S1579/INDEX(FmtCansPerPack,MATCH(F1579,FmtName,0))</f>
        <v/>
      </c>
      <c r="U1579" s="47">
        <f>INDEX(ChBaseCP,MATCH(E1579,ChName,0))*(1+INDEX(ProvMod,MATCH(G1579,ProvCode,0)))*(1+PriceIndex)</f>
        <v/>
      </c>
      <c r="V1579" s="47">
        <f>R1579*U1579*INDEX(FmtBlendedPriceIdx,MATCH(F1579,FmtName,0))</f>
        <v/>
      </c>
      <c r="W1579" s="47">
        <f>T1579*INDEX(ProvSRP,MATCH(G1579,ProvCode,0))*(1+PriceIndex)</f>
        <v/>
      </c>
      <c r="X1579" s="47">
        <f>IF(GrossBasis="Wholesale",V1579,W1579)</f>
        <v/>
      </c>
      <c r="Y1579" s="47">
        <f>R1579*INDEX(FmtBlendedCogs,MATCH(F1579,FmtName,0))</f>
        <v/>
      </c>
      <c r="Z1579" s="47">
        <f>X1579-Y1579</f>
        <v/>
      </c>
    </row>
    <row r="1580">
      <c r="A1580" t="n">
        <v>42</v>
      </c>
      <c r="B1580" s="44">
        <f>FiscalStart+(A1580-1)*7</f>
        <v/>
      </c>
      <c r="C1580">
        <f>TEXT(B1580,"mmm yyyy")</f>
        <v/>
      </c>
      <c r="D1580">
        <f>"Q"&amp;(INT((A1580-1)/13)+1)</f>
        <v/>
      </c>
      <c r="E1580" t="inlineStr">
        <is>
          <t>Fitness</t>
        </is>
      </c>
      <c r="F1580">
        <f>IFERROR(INDEX(ChFormat,MATCH(E1580,ChName,0)),"")</f>
        <v/>
      </c>
      <c r="G1580" t="inlineStr">
        <is>
          <t>NL</t>
        </is>
      </c>
      <c r="H1580">
        <f>IF(A1580&lt;=NWeeks,1,0)</f>
        <v/>
      </c>
      <c r="I1580">
        <f>INDEX(ChLaunch,MATCH(E1580,ChName,0))</f>
        <v/>
      </c>
      <c r="J1580">
        <f>INDEX(ChWeeksFull,MATCH(E1580,ChName,0))</f>
        <v/>
      </c>
      <c r="K1580">
        <f>INDEX(ChRamp,MATCH(E1580,ChName,0))</f>
        <v/>
      </c>
      <c r="L1580" s="45">
        <f>MIN(1,MAX(0,(A1580-I1580+1)*RampSpeed/J1580))</f>
        <v/>
      </c>
      <c r="M1580" s="45">
        <f>IF(A1580&lt;I1580,0,IF(K1580="S-curve",L1580*L1580*(3-2*L1580),L1580))</f>
        <v/>
      </c>
      <c r="N1580" s="45">
        <f>1+(INDEX(SeasonIdx,A1580)-1)*SeasonAmp</f>
        <v/>
      </c>
      <c r="O1580" s="45">
        <f>IFERROR(INDEX(PSPct,MATCH(E1580&amp;"|"&amp;G1580,PSKey,0)),0)</f>
        <v/>
      </c>
      <c r="P1580" s="46">
        <f>INDEX(ChDoorVel,MATCH(E1580,ChName,0))*CalibScalar*(1+VelocityUplift)</f>
        <v/>
      </c>
      <c r="Q1580" s="46" t="n">
        <v>0</v>
      </c>
      <c r="R1580" s="46">
        <f>P1580*O1580*M1580*N1580*H1580</f>
        <v/>
      </c>
      <c r="S1580" s="46">
        <f>R1580*INDEX(FmtCansPerCase,MATCH(F1580,FmtName,0))</f>
        <v/>
      </c>
      <c r="T1580" s="46">
        <f>S1580/INDEX(FmtCansPerPack,MATCH(F1580,FmtName,0))</f>
        <v/>
      </c>
      <c r="U1580" s="47">
        <f>INDEX(ChBaseCP,MATCH(E1580,ChName,0))*(1+INDEX(ProvMod,MATCH(G1580,ProvCode,0)))*(1+PriceIndex)</f>
        <v/>
      </c>
      <c r="V1580" s="47">
        <f>R1580*U1580*INDEX(FmtBlendedPriceIdx,MATCH(F1580,FmtName,0))</f>
        <v/>
      </c>
      <c r="W1580" s="47">
        <f>T1580*INDEX(ProvSRP,MATCH(G1580,ProvCode,0))*(1+PriceIndex)</f>
        <v/>
      </c>
      <c r="X1580" s="47">
        <f>IF(GrossBasis="Wholesale",V1580,W1580)</f>
        <v/>
      </c>
      <c r="Y1580" s="47">
        <f>R1580*INDEX(FmtBlendedCogs,MATCH(F1580,FmtName,0))</f>
        <v/>
      </c>
      <c r="Z1580" s="47">
        <f>X1580-Y1580</f>
        <v/>
      </c>
    </row>
    <row r="1581">
      <c r="A1581" t="n">
        <v>43</v>
      </c>
      <c r="B1581" s="44">
        <f>FiscalStart+(A1581-1)*7</f>
        <v/>
      </c>
      <c r="C1581">
        <f>TEXT(B1581,"mmm yyyy")</f>
        <v/>
      </c>
      <c r="D1581">
        <f>"Q"&amp;(INT((A1581-1)/13)+1)</f>
        <v/>
      </c>
      <c r="E1581" t="inlineStr">
        <is>
          <t>Fitness</t>
        </is>
      </c>
      <c r="F1581">
        <f>IFERROR(INDEX(ChFormat,MATCH(E1581,ChName,0)),"")</f>
        <v/>
      </c>
      <c r="G1581" t="inlineStr">
        <is>
          <t>NL</t>
        </is>
      </c>
      <c r="H1581">
        <f>IF(A1581&lt;=NWeeks,1,0)</f>
        <v/>
      </c>
      <c r="I1581">
        <f>INDEX(ChLaunch,MATCH(E1581,ChName,0))</f>
        <v/>
      </c>
      <c r="J1581">
        <f>INDEX(ChWeeksFull,MATCH(E1581,ChName,0))</f>
        <v/>
      </c>
      <c r="K1581">
        <f>INDEX(ChRamp,MATCH(E1581,ChName,0))</f>
        <v/>
      </c>
      <c r="L1581" s="45">
        <f>MIN(1,MAX(0,(A1581-I1581+1)*RampSpeed/J1581))</f>
        <v/>
      </c>
      <c r="M1581" s="45">
        <f>IF(A1581&lt;I1581,0,IF(K1581="S-curve",L1581*L1581*(3-2*L1581),L1581))</f>
        <v/>
      </c>
      <c r="N1581" s="45">
        <f>1+(INDEX(SeasonIdx,A1581)-1)*SeasonAmp</f>
        <v/>
      </c>
      <c r="O1581" s="45">
        <f>IFERROR(INDEX(PSPct,MATCH(E1581&amp;"|"&amp;G1581,PSKey,0)),0)</f>
        <v/>
      </c>
      <c r="P1581" s="46">
        <f>INDEX(ChDoorVel,MATCH(E1581,ChName,0))*CalibScalar*(1+VelocityUplift)</f>
        <v/>
      </c>
      <c r="Q1581" s="46" t="n">
        <v>0</v>
      </c>
      <c r="R1581" s="46">
        <f>P1581*O1581*M1581*N1581*H1581</f>
        <v/>
      </c>
      <c r="S1581" s="46">
        <f>R1581*INDEX(FmtCansPerCase,MATCH(F1581,FmtName,0))</f>
        <v/>
      </c>
      <c r="T1581" s="46">
        <f>S1581/INDEX(FmtCansPerPack,MATCH(F1581,FmtName,0))</f>
        <v/>
      </c>
      <c r="U1581" s="47">
        <f>INDEX(ChBaseCP,MATCH(E1581,ChName,0))*(1+INDEX(ProvMod,MATCH(G1581,ProvCode,0)))*(1+PriceIndex)</f>
        <v/>
      </c>
      <c r="V1581" s="47">
        <f>R1581*U1581*INDEX(FmtBlendedPriceIdx,MATCH(F1581,FmtName,0))</f>
        <v/>
      </c>
      <c r="W1581" s="47">
        <f>T1581*INDEX(ProvSRP,MATCH(G1581,ProvCode,0))*(1+PriceIndex)</f>
        <v/>
      </c>
      <c r="X1581" s="47">
        <f>IF(GrossBasis="Wholesale",V1581,W1581)</f>
        <v/>
      </c>
      <c r="Y1581" s="47">
        <f>R1581*INDEX(FmtBlendedCogs,MATCH(F1581,FmtName,0))</f>
        <v/>
      </c>
      <c r="Z1581" s="47">
        <f>X1581-Y1581</f>
        <v/>
      </c>
    </row>
    <row r="1582">
      <c r="A1582" t="n">
        <v>44</v>
      </c>
      <c r="B1582" s="44">
        <f>FiscalStart+(A1582-1)*7</f>
        <v/>
      </c>
      <c r="C1582">
        <f>TEXT(B1582,"mmm yyyy")</f>
        <v/>
      </c>
      <c r="D1582">
        <f>"Q"&amp;(INT((A1582-1)/13)+1)</f>
        <v/>
      </c>
      <c r="E1582" t="inlineStr">
        <is>
          <t>Fitness</t>
        </is>
      </c>
      <c r="F1582">
        <f>IFERROR(INDEX(ChFormat,MATCH(E1582,ChName,0)),"")</f>
        <v/>
      </c>
      <c r="G1582" t="inlineStr">
        <is>
          <t>NL</t>
        </is>
      </c>
      <c r="H1582">
        <f>IF(A1582&lt;=NWeeks,1,0)</f>
        <v/>
      </c>
      <c r="I1582">
        <f>INDEX(ChLaunch,MATCH(E1582,ChName,0))</f>
        <v/>
      </c>
      <c r="J1582">
        <f>INDEX(ChWeeksFull,MATCH(E1582,ChName,0))</f>
        <v/>
      </c>
      <c r="K1582">
        <f>INDEX(ChRamp,MATCH(E1582,ChName,0))</f>
        <v/>
      </c>
      <c r="L1582" s="45">
        <f>MIN(1,MAX(0,(A1582-I1582+1)*RampSpeed/J1582))</f>
        <v/>
      </c>
      <c r="M1582" s="45">
        <f>IF(A1582&lt;I1582,0,IF(K1582="S-curve",L1582*L1582*(3-2*L1582),L1582))</f>
        <v/>
      </c>
      <c r="N1582" s="45">
        <f>1+(INDEX(SeasonIdx,A1582)-1)*SeasonAmp</f>
        <v/>
      </c>
      <c r="O1582" s="45">
        <f>IFERROR(INDEX(PSPct,MATCH(E1582&amp;"|"&amp;G1582,PSKey,0)),0)</f>
        <v/>
      </c>
      <c r="P1582" s="46">
        <f>INDEX(ChDoorVel,MATCH(E1582,ChName,0))*CalibScalar*(1+VelocityUplift)</f>
        <v/>
      </c>
      <c r="Q1582" s="46" t="n">
        <v>0</v>
      </c>
      <c r="R1582" s="46">
        <f>P1582*O1582*M1582*N1582*H1582</f>
        <v/>
      </c>
      <c r="S1582" s="46">
        <f>R1582*INDEX(FmtCansPerCase,MATCH(F1582,FmtName,0))</f>
        <v/>
      </c>
      <c r="T1582" s="46">
        <f>S1582/INDEX(FmtCansPerPack,MATCH(F1582,FmtName,0))</f>
        <v/>
      </c>
      <c r="U1582" s="47">
        <f>INDEX(ChBaseCP,MATCH(E1582,ChName,0))*(1+INDEX(ProvMod,MATCH(G1582,ProvCode,0)))*(1+PriceIndex)</f>
        <v/>
      </c>
      <c r="V1582" s="47">
        <f>R1582*U1582*INDEX(FmtBlendedPriceIdx,MATCH(F1582,FmtName,0))</f>
        <v/>
      </c>
      <c r="W1582" s="47">
        <f>T1582*INDEX(ProvSRP,MATCH(G1582,ProvCode,0))*(1+PriceIndex)</f>
        <v/>
      </c>
      <c r="X1582" s="47">
        <f>IF(GrossBasis="Wholesale",V1582,W1582)</f>
        <v/>
      </c>
      <c r="Y1582" s="47">
        <f>R1582*INDEX(FmtBlendedCogs,MATCH(F1582,FmtName,0))</f>
        <v/>
      </c>
      <c r="Z1582" s="47">
        <f>X1582-Y1582</f>
        <v/>
      </c>
    </row>
    <row r="1583">
      <c r="A1583" t="n">
        <v>45</v>
      </c>
      <c r="B1583" s="44">
        <f>FiscalStart+(A1583-1)*7</f>
        <v/>
      </c>
      <c r="C1583">
        <f>TEXT(B1583,"mmm yyyy")</f>
        <v/>
      </c>
      <c r="D1583">
        <f>"Q"&amp;(INT((A1583-1)/13)+1)</f>
        <v/>
      </c>
      <c r="E1583" t="inlineStr">
        <is>
          <t>Fitness</t>
        </is>
      </c>
      <c r="F1583">
        <f>IFERROR(INDEX(ChFormat,MATCH(E1583,ChName,0)),"")</f>
        <v/>
      </c>
      <c r="G1583" t="inlineStr">
        <is>
          <t>NL</t>
        </is>
      </c>
      <c r="H1583">
        <f>IF(A1583&lt;=NWeeks,1,0)</f>
        <v/>
      </c>
      <c r="I1583">
        <f>INDEX(ChLaunch,MATCH(E1583,ChName,0))</f>
        <v/>
      </c>
      <c r="J1583">
        <f>INDEX(ChWeeksFull,MATCH(E1583,ChName,0))</f>
        <v/>
      </c>
      <c r="K1583">
        <f>INDEX(ChRamp,MATCH(E1583,ChName,0))</f>
        <v/>
      </c>
      <c r="L1583" s="45">
        <f>MIN(1,MAX(0,(A1583-I1583+1)*RampSpeed/J1583))</f>
        <v/>
      </c>
      <c r="M1583" s="45">
        <f>IF(A1583&lt;I1583,0,IF(K1583="S-curve",L1583*L1583*(3-2*L1583),L1583))</f>
        <v/>
      </c>
      <c r="N1583" s="45">
        <f>1+(INDEX(SeasonIdx,A1583)-1)*SeasonAmp</f>
        <v/>
      </c>
      <c r="O1583" s="45">
        <f>IFERROR(INDEX(PSPct,MATCH(E1583&amp;"|"&amp;G1583,PSKey,0)),0)</f>
        <v/>
      </c>
      <c r="P1583" s="46">
        <f>INDEX(ChDoorVel,MATCH(E1583,ChName,0))*CalibScalar*(1+VelocityUplift)</f>
        <v/>
      </c>
      <c r="Q1583" s="46" t="n">
        <v>0</v>
      </c>
      <c r="R1583" s="46">
        <f>P1583*O1583*M1583*N1583*H1583</f>
        <v/>
      </c>
      <c r="S1583" s="46">
        <f>R1583*INDEX(FmtCansPerCase,MATCH(F1583,FmtName,0))</f>
        <v/>
      </c>
      <c r="T1583" s="46">
        <f>S1583/INDEX(FmtCansPerPack,MATCH(F1583,FmtName,0))</f>
        <v/>
      </c>
      <c r="U1583" s="47">
        <f>INDEX(ChBaseCP,MATCH(E1583,ChName,0))*(1+INDEX(ProvMod,MATCH(G1583,ProvCode,0)))*(1+PriceIndex)</f>
        <v/>
      </c>
      <c r="V1583" s="47">
        <f>R1583*U1583*INDEX(FmtBlendedPriceIdx,MATCH(F1583,FmtName,0))</f>
        <v/>
      </c>
      <c r="W1583" s="47">
        <f>T1583*INDEX(ProvSRP,MATCH(G1583,ProvCode,0))*(1+PriceIndex)</f>
        <v/>
      </c>
      <c r="X1583" s="47">
        <f>IF(GrossBasis="Wholesale",V1583,W1583)</f>
        <v/>
      </c>
      <c r="Y1583" s="47">
        <f>R1583*INDEX(FmtBlendedCogs,MATCH(F1583,FmtName,0))</f>
        <v/>
      </c>
      <c r="Z1583" s="47">
        <f>X1583-Y1583</f>
        <v/>
      </c>
    </row>
    <row r="1584">
      <c r="A1584" t="n">
        <v>46</v>
      </c>
      <c r="B1584" s="44">
        <f>FiscalStart+(A1584-1)*7</f>
        <v/>
      </c>
      <c r="C1584">
        <f>TEXT(B1584,"mmm yyyy")</f>
        <v/>
      </c>
      <c r="D1584">
        <f>"Q"&amp;(INT((A1584-1)/13)+1)</f>
        <v/>
      </c>
      <c r="E1584" t="inlineStr">
        <is>
          <t>Fitness</t>
        </is>
      </c>
      <c r="F1584">
        <f>IFERROR(INDEX(ChFormat,MATCH(E1584,ChName,0)),"")</f>
        <v/>
      </c>
      <c r="G1584" t="inlineStr">
        <is>
          <t>NL</t>
        </is>
      </c>
      <c r="H1584">
        <f>IF(A1584&lt;=NWeeks,1,0)</f>
        <v/>
      </c>
      <c r="I1584">
        <f>INDEX(ChLaunch,MATCH(E1584,ChName,0))</f>
        <v/>
      </c>
      <c r="J1584">
        <f>INDEX(ChWeeksFull,MATCH(E1584,ChName,0))</f>
        <v/>
      </c>
      <c r="K1584">
        <f>INDEX(ChRamp,MATCH(E1584,ChName,0))</f>
        <v/>
      </c>
      <c r="L1584" s="45">
        <f>MIN(1,MAX(0,(A1584-I1584+1)*RampSpeed/J1584))</f>
        <v/>
      </c>
      <c r="M1584" s="45">
        <f>IF(A1584&lt;I1584,0,IF(K1584="S-curve",L1584*L1584*(3-2*L1584),L1584))</f>
        <v/>
      </c>
      <c r="N1584" s="45">
        <f>1+(INDEX(SeasonIdx,A1584)-1)*SeasonAmp</f>
        <v/>
      </c>
      <c r="O1584" s="45">
        <f>IFERROR(INDEX(PSPct,MATCH(E1584&amp;"|"&amp;G1584,PSKey,0)),0)</f>
        <v/>
      </c>
      <c r="P1584" s="46">
        <f>INDEX(ChDoorVel,MATCH(E1584,ChName,0))*CalibScalar*(1+VelocityUplift)</f>
        <v/>
      </c>
      <c r="Q1584" s="46" t="n">
        <v>0</v>
      </c>
      <c r="R1584" s="46">
        <f>P1584*O1584*M1584*N1584*H1584</f>
        <v/>
      </c>
      <c r="S1584" s="46">
        <f>R1584*INDEX(FmtCansPerCase,MATCH(F1584,FmtName,0))</f>
        <v/>
      </c>
      <c r="T1584" s="46">
        <f>S1584/INDEX(FmtCansPerPack,MATCH(F1584,FmtName,0))</f>
        <v/>
      </c>
      <c r="U1584" s="47">
        <f>INDEX(ChBaseCP,MATCH(E1584,ChName,0))*(1+INDEX(ProvMod,MATCH(G1584,ProvCode,0)))*(1+PriceIndex)</f>
        <v/>
      </c>
      <c r="V1584" s="47">
        <f>R1584*U1584*INDEX(FmtBlendedPriceIdx,MATCH(F1584,FmtName,0))</f>
        <v/>
      </c>
      <c r="W1584" s="47">
        <f>T1584*INDEX(ProvSRP,MATCH(G1584,ProvCode,0))*(1+PriceIndex)</f>
        <v/>
      </c>
      <c r="X1584" s="47">
        <f>IF(GrossBasis="Wholesale",V1584,W1584)</f>
        <v/>
      </c>
      <c r="Y1584" s="47">
        <f>R1584*INDEX(FmtBlendedCogs,MATCH(F1584,FmtName,0))</f>
        <v/>
      </c>
      <c r="Z1584" s="47">
        <f>X1584-Y1584</f>
        <v/>
      </c>
    </row>
    <row r="1585">
      <c r="A1585" t="n">
        <v>47</v>
      </c>
      <c r="B1585" s="44">
        <f>FiscalStart+(A1585-1)*7</f>
        <v/>
      </c>
      <c r="C1585">
        <f>TEXT(B1585,"mmm yyyy")</f>
        <v/>
      </c>
      <c r="D1585">
        <f>"Q"&amp;(INT((A1585-1)/13)+1)</f>
        <v/>
      </c>
      <c r="E1585" t="inlineStr">
        <is>
          <t>Fitness</t>
        </is>
      </c>
      <c r="F1585">
        <f>IFERROR(INDEX(ChFormat,MATCH(E1585,ChName,0)),"")</f>
        <v/>
      </c>
      <c r="G1585" t="inlineStr">
        <is>
          <t>NL</t>
        </is>
      </c>
      <c r="H1585">
        <f>IF(A1585&lt;=NWeeks,1,0)</f>
        <v/>
      </c>
      <c r="I1585">
        <f>INDEX(ChLaunch,MATCH(E1585,ChName,0))</f>
        <v/>
      </c>
      <c r="J1585">
        <f>INDEX(ChWeeksFull,MATCH(E1585,ChName,0))</f>
        <v/>
      </c>
      <c r="K1585">
        <f>INDEX(ChRamp,MATCH(E1585,ChName,0))</f>
        <v/>
      </c>
      <c r="L1585" s="45">
        <f>MIN(1,MAX(0,(A1585-I1585+1)*RampSpeed/J1585))</f>
        <v/>
      </c>
      <c r="M1585" s="45">
        <f>IF(A1585&lt;I1585,0,IF(K1585="S-curve",L1585*L1585*(3-2*L1585),L1585))</f>
        <v/>
      </c>
      <c r="N1585" s="45">
        <f>1+(INDEX(SeasonIdx,A1585)-1)*SeasonAmp</f>
        <v/>
      </c>
      <c r="O1585" s="45">
        <f>IFERROR(INDEX(PSPct,MATCH(E1585&amp;"|"&amp;G1585,PSKey,0)),0)</f>
        <v/>
      </c>
      <c r="P1585" s="46">
        <f>INDEX(ChDoorVel,MATCH(E1585,ChName,0))*CalibScalar*(1+VelocityUplift)</f>
        <v/>
      </c>
      <c r="Q1585" s="46" t="n">
        <v>0</v>
      </c>
      <c r="R1585" s="46">
        <f>P1585*O1585*M1585*N1585*H1585</f>
        <v/>
      </c>
      <c r="S1585" s="46">
        <f>R1585*INDEX(FmtCansPerCase,MATCH(F1585,FmtName,0))</f>
        <v/>
      </c>
      <c r="T1585" s="46">
        <f>S1585/INDEX(FmtCansPerPack,MATCH(F1585,FmtName,0))</f>
        <v/>
      </c>
      <c r="U1585" s="47">
        <f>INDEX(ChBaseCP,MATCH(E1585,ChName,0))*(1+INDEX(ProvMod,MATCH(G1585,ProvCode,0)))*(1+PriceIndex)</f>
        <v/>
      </c>
      <c r="V1585" s="47">
        <f>R1585*U1585*INDEX(FmtBlendedPriceIdx,MATCH(F1585,FmtName,0))</f>
        <v/>
      </c>
      <c r="W1585" s="47">
        <f>T1585*INDEX(ProvSRP,MATCH(G1585,ProvCode,0))*(1+PriceIndex)</f>
        <v/>
      </c>
      <c r="X1585" s="47">
        <f>IF(GrossBasis="Wholesale",V1585,W1585)</f>
        <v/>
      </c>
      <c r="Y1585" s="47">
        <f>R1585*INDEX(FmtBlendedCogs,MATCH(F1585,FmtName,0))</f>
        <v/>
      </c>
      <c r="Z1585" s="47">
        <f>X1585-Y1585</f>
        <v/>
      </c>
    </row>
    <row r="1586">
      <c r="A1586" t="n">
        <v>48</v>
      </c>
      <c r="B1586" s="44">
        <f>FiscalStart+(A1586-1)*7</f>
        <v/>
      </c>
      <c r="C1586">
        <f>TEXT(B1586,"mmm yyyy")</f>
        <v/>
      </c>
      <c r="D1586">
        <f>"Q"&amp;(INT((A1586-1)/13)+1)</f>
        <v/>
      </c>
      <c r="E1586" t="inlineStr">
        <is>
          <t>Fitness</t>
        </is>
      </c>
      <c r="F1586">
        <f>IFERROR(INDEX(ChFormat,MATCH(E1586,ChName,0)),"")</f>
        <v/>
      </c>
      <c r="G1586" t="inlineStr">
        <is>
          <t>NL</t>
        </is>
      </c>
      <c r="H1586">
        <f>IF(A1586&lt;=NWeeks,1,0)</f>
        <v/>
      </c>
      <c r="I1586">
        <f>INDEX(ChLaunch,MATCH(E1586,ChName,0))</f>
        <v/>
      </c>
      <c r="J1586">
        <f>INDEX(ChWeeksFull,MATCH(E1586,ChName,0))</f>
        <v/>
      </c>
      <c r="K1586">
        <f>INDEX(ChRamp,MATCH(E1586,ChName,0))</f>
        <v/>
      </c>
      <c r="L1586" s="45">
        <f>MIN(1,MAX(0,(A1586-I1586+1)*RampSpeed/J1586))</f>
        <v/>
      </c>
      <c r="M1586" s="45">
        <f>IF(A1586&lt;I1586,0,IF(K1586="S-curve",L1586*L1586*(3-2*L1586),L1586))</f>
        <v/>
      </c>
      <c r="N1586" s="45">
        <f>1+(INDEX(SeasonIdx,A1586)-1)*SeasonAmp</f>
        <v/>
      </c>
      <c r="O1586" s="45">
        <f>IFERROR(INDEX(PSPct,MATCH(E1586&amp;"|"&amp;G1586,PSKey,0)),0)</f>
        <v/>
      </c>
      <c r="P1586" s="46">
        <f>INDEX(ChDoorVel,MATCH(E1586,ChName,0))*CalibScalar*(1+VelocityUplift)</f>
        <v/>
      </c>
      <c r="Q1586" s="46" t="n">
        <v>0</v>
      </c>
      <c r="R1586" s="46">
        <f>P1586*O1586*M1586*N1586*H1586</f>
        <v/>
      </c>
      <c r="S1586" s="46">
        <f>R1586*INDEX(FmtCansPerCase,MATCH(F1586,FmtName,0))</f>
        <v/>
      </c>
      <c r="T1586" s="46">
        <f>S1586/INDEX(FmtCansPerPack,MATCH(F1586,FmtName,0))</f>
        <v/>
      </c>
      <c r="U1586" s="47">
        <f>INDEX(ChBaseCP,MATCH(E1586,ChName,0))*(1+INDEX(ProvMod,MATCH(G1586,ProvCode,0)))*(1+PriceIndex)</f>
        <v/>
      </c>
      <c r="V1586" s="47">
        <f>R1586*U1586*INDEX(FmtBlendedPriceIdx,MATCH(F1586,FmtName,0))</f>
        <v/>
      </c>
      <c r="W1586" s="47">
        <f>T1586*INDEX(ProvSRP,MATCH(G1586,ProvCode,0))*(1+PriceIndex)</f>
        <v/>
      </c>
      <c r="X1586" s="47">
        <f>IF(GrossBasis="Wholesale",V1586,W1586)</f>
        <v/>
      </c>
      <c r="Y1586" s="47">
        <f>R1586*INDEX(FmtBlendedCogs,MATCH(F1586,FmtName,0))</f>
        <v/>
      </c>
      <c r="Z1586" s="47">
        <f>X1586-Y1586</f>
        <v/>
      </c>
    </row>
    <row r="1587">
      <c r="A1587" t="n">
        <v>49</v>
      </c>
      <c r="B1587" s="44">
        <f>FiscalStart+(A1587-1)*7</f>
        <v/>
      </c>
      <c r="C1587">
        <f>TEXT(B1587,"mmm yyyy")</f>
        <v/>
      </c>
      <c r="D1587">
        <f>"Q"&amp;(INT((A1587-1)/13)+1)</f>
        <v/>
      </c>
      <c r="E1587" t="inlineStr">
        <is>
          <t>Fitness</t>
        </is>
      </c>
      <c r="F1587">
        <f>IFERROR(INDEX(ChFormat,MATCH(E1587,ChName,0)),"")</f>
        <v/>
      </c>
      <c r="G1587" t="inlineStr">
        <is>
          <t>NL</t>
        </is>
      </c>
      <c r="H1587">
        <f>IF(A1587&lt;=NWeeks,1,0)</f>
        <v/>
      </c>
      <c r="I1587">
        <f>INDEX(ChLaunch,MATCH(E1587,ChName,0))</f>
        <v/>
      </c>
      <c r="J1587">
        <f>INDEX(ChWeeksFull,MATCH(E1587,ChName,0))</f>
        <v/>
      </c>
      <c r="K1587">
        <f>INDEX(ChRamp,MATCH(E1587,ChName,0))</f>
        <v/>
      </c>
      <c r="L1587" s="45">
        <f>MIN(1,MAX(0,(A1587-I1587+1)*RampSpeed/J1587))</f>
        <v/>
      </c>
      <c r="M1587" s="45">
        <f>IF(A1587&lt;I1587,0,IF(K1587="S-curve",L1587*L1587*(3-2*L1587),L1587))</f>
        <v/>
      </c>
      <c r="N1587" s="45">
        <f>1+(INDEX(SeasonIdx,A1587)-1)*SeasonAmp</f>
        <v/>
      </c>
      <c r="O1587" s="45">
        <f>IFERROR(INDEX(PSPct,MATCH(E1587&amp;"|"&amp;G1587,PSKey,0)),0)</f>
        <v/>
      </c>
      <c r="P1587" s="46">
        <f>INDEX(ChDoorVel,MATCH(E1587,ChName,0))*CalibScalar*(1+VelocityUplift)</f>
        <v/>
      </c>
      <c r="Q1587" s="46" t="n">
        <v>0</v>
      </c>
      <c r="R1587" s="46">
        <f>P1587*O1587*M1587*N1587*H1587</f>
        <v/>
      </c>
      <c r="S1587" s="46">
        <f>R1587*INDEX(FmtCansPerCase,MATCH(F1587,FmtName,0))</f>
        <v/>
      </c>
      <c r="T1587" s="46">
        <f>S1587/INDEX(FmtCansPerPack,MATCH(F1587,FmtName,0))</f>
        <v/>
      </c>
      <c r="U1587" s="47">
        <f>INDEX(ChBaseCP,MATCH(E1587,ChName,0))*(1+INDEX(ProvMod,MATCH(G1587,ProvCode,0)))*(1+PriceIndex)</f>
        <v/>
      </c>
      <c r="V1587" s="47">
        <f>R1587*U1587*INDEX(FmtBlendedPriceIdx,MATCH(F1587,FmtName,0))</f>
        <v/>
      </c>
      <c r="W1587" s="47">
        <f>T1587*INDEX(ProvSRP,MATCH(G1587,ProvCode,0))*(1+PriceIndex)</f>
        <v/>
      </c>
      <c r="X1587" s="47">
        <f>IF(GrossBasis="Wholesale",V1587,W1587)</f>
        <v/>
      </c>
      <c r="Y1587" s="47">
        <f>R1587*INDEX(FmtBlendedCogs,MATCH(F1587,FmtName,0))</f>
        <v/>
      </c>
      <c r="Z1587" s="47">
        <f>X1587-Y1587</f>
        <v/>
      </c>
    </row>
    <row r="1588">
      <c r="A1588" t="n">
        <v>50</v>
      </c>
      <c r="B1588" s="44">
        <f>FiscalStart+(A1588-1)*7</f>
        <v/>
      </c>
      <c r="C1588">
        <f>TEXT(B1588,"mmm yyyy")</f>
        <v/>
      </c>
      <c r="D1588">
        <f>"Q"&amp;(INT((A1588-1)/13)+1)</f>
        <v/>
      </c>
      <c r="E1588" t="inlineStr">
        <is>
          <t>Fitness</t>
        </is>
      </c>
      <c r="F1588">
        <f>IFERROR(INDEX(ChFormat,MATCH(E1588,ChName,0)),"")</f>
        <v/>
      </c>
      <c r="G1588" t="inlineStr">
        <is>
          <t>NL</t>
        </is>
      </c>
      <c r="H1588">
        <f>IF(A1588&lt;=NWeeks,1,0)</f>
        <v/>
      </c>
      <c r="I1588">
        <f>INDEX(ChLaunch,MATCH(E1588,ChName,0))</f>
        <v/>
      </c>
      <c r="J1588">
        <f>INDEX(ChWeeksFull,MATCH(E1588,ChName,0))</f>
        <v/>
      </c>
      <c r="K1588">
        <f>INDEX(ChRamp,MATCH(E1588,ChName,0))</f>
        <v/>
      </c>
      <c r="L1588" s="45">
        <f>MIN(1,MAX(0,(A1588-I1588+1)*RampSpeed/J1588))</f>
        <v/>
      </c>
      <c r="M1588" s="45">
        <f>IF(A1588&lt;I1588,0,IF(K1588="S-curve",L1588*L1588*(3-2*L1588),L1588))</f>
        <v/>
      </c>
      <c r="N1588" s="45">
        <f>1+(INDEX(SeasonIdx,A1588)-1)*SeasonAmp</f>
        <v/>
      </c>
      <c r="O1588" s="45">
        <f>IFERROR(INDEX(PSPct,MATCH(E1588&amp;"|"&amp;G1588,PSKey,0)),0)</f>
        <v/>
      </c>
      <c r="P1588" s="46">
        <f>INDEX(ChDoorVel,MATCH(E1588,ChName,0))*CalibScalar*(1+VelocityUplift)</f>
        <v/>
      </c>
      <c r="Q1588" s="46" t="n">
        <v>0</v>
      </c>
      <c r="R1588" s="46">
        <f>P1588*O1588*M1588*N1588*H1588</f>
        <v/>
      </c>
      <c r="S1588" s="46">
        <f>R1588*INDEX(FmtCansPerCase,MATCH(F1588,FmtName,0))</f>
        <v/>
      </c>
      <c r="T1588" s="46">
        <f>S1588/INDEX(FmtCansPerPack,MATCH(F1588,FmtName,0))</f>
        <v/>
      </c>
      <c r="U1588" s="47">
        <f>INDEX(ChBaseCP,MATCH(E1588,ChName,0))*(1+INDEX(ProvMod,MATCH(G1588,ProvCode,0)))*(1+PriceIndex)</f>
        <v/>
      </c>
      <c r="V1588" s="47">
        <f>R1588*U1588*INDEX(FmtBlendedPriceIdx,MATCH(F1588,FmtName,0))</f>
        <v/>
      </c>
      <c r="W1588" s="47">
        <f>T1588*INDEX(ProvSRP,MATCH(G1588,ProvCode,0))*(1+PriceIndex)</f>
        <v/>
      </c>
      <c r="X1588" s="47">
        <f>IF(GrossBasis="Wholesale",V1588,W1588)</f>
        <v/>
      </c>
      <c r="Y1588" s="47">
        <f>R1588*INDEX(FmtBlendedCogs,MATCH(F1588,FmtName,0))</f>
        <v/>
      </c>
      <c r="Z1588" s="47">
        <f>X1588-Y1588</f>
        <v/>
      </c>
    </row>
    <row r="1589">
      <c r="A1589" t="n">
        <v>51</v>
      </c>
      <c r="B1589" s="44">
        <f>FiscalStart+(A1589-1)*7</f>
        <v/>
      </c>
      <c r="C1589">
        <f>TEXT(B1589,"mmm yyyy")</f>
        <v/>
      </c>
      <c r="D1589">
        <f>"Q"&amp;(INT((A1589-1)/13)+1)</f>
        <v/>
      </c>
      <c r="E1589" t="inlineStr">
        <is>
          <t>Fitness</t>
        </is>
      </c>
      <c r="F1589">
        <f>IFERROR(INDEX(ChFormat,MATCH(E1589,ChName,0)),"")</f>
        <v/>
      </c>
      <c r="G1589" t="inlineStr">
        <is>
          <t>NL</t>
        </is>
      </c>
      <c r="H1589">
        <f>IF(A1589&lt;=NWeeks,1,0)</f>
        <v/>
      </c>
      <c r="I1589">
        <f>INDEX(ChLaunch,MATCH(E1589,ChName,0))</f>
        <v/>
      </c>
      <c r="J1589">
        <f>INDEX(ChWeeksFull,MATCH(E1589,ChName,0))</f>
        <v/>
      </c>
      <c r="K1589">
        <f>INDEX(ChRamp,MATCH(E1589,ChName,0))</f>
        <v/>
      </c>
      <c r="L1589" s="45">
        <f>MIN(1,MAX(0,(A1589-I1589+1)*RampSpeed/J1589))</f>
        <v/>
      </c>
      <c r="M1589" s="45">
        <f>IF(A1589&lt;I1589,0,IF(K1589="S-curve",L1589*L1589*(3-2*L1589),L1589))</f>
        <v/>
      </c>
      <c r="N1589" s="45">
        <f>1+(INDEX(SeasonIdx,A1589)-1)*SeasonAmp</f>
        <v/>
      </c>
      <c r="O1589" s="45">
        <f>IFERROR(INDEX(PSPct,MATCH(E1589&amp;"|"&amp;G1589,PSKey,0)),0)</f>
        <v/>
      </c>
      <c r="P1589" s="46">
        <f>INDEX(ChDoorVel,MATCH(E1589,ChName,0))*CalibScalar*(1+VelocityUplift)</f>
        <v/>
      </c>
      <c r="Q1589" s="46" t="n">
        <v>0</v>
      </c>
      <c r="R1589" s="46">
        <f>P1589*O1589*M1589*N1589*H1589</f>
        <v/>
      </c>
      <c r="S1589" s="46">
        <f>R1589*INDEX(FmtCansPerCase,MATCH(F1589,FmtName,0))</f>
        <v/>
      </c>
      <c r="T1589" s="46">
        <f>S1589/INDEX(FmtCansPerPack,MATCH(F1589,FmtName,0))</f>
        <v/>
      </c>
      <c r="U1589" s="47">
        <f>INDEX(ChBaseCP,MATCH(E1589,ChName,0))*(1+INDEX(ProvMod,MATCH(G1589,ProvCode,0)))*(1+PriceIndex)</f>
        <v/>
      </c>
      <c r="V1589" s="47">
        <f>R1589*U1589*INDEX(FmtBlendedPriceIdx,MATCH(F1589,FmtName,0))</f>
        <v/>
      </c>
      <c r="W1589" s="47">
        <f>T1589*INDEX(ProvSRP,MATCH(G1589,ProvCode,0))*(1+PriceIndex)</f>
        <v/>
      </c>
      <c r="X1589" s="47">
        <f>IF(GrossBasis="Wholesale",V1589,W1589)</f>
        <v/>
      </c>
      <c r="Y1589" s="47">
        <f>R1589*INDEX(FmtBlendedCogs,MATCH(F1589,FmtName,0))</f>
        <v/>
      </c>
      <c r="Z1589" s="47">
        <f>X1589-Y1589</f>
        <v/>
      </c>
    </row>
    <row r="1590">
      <c r="A1590" t="n">
        <v>52</v>
      </c>
      <c r="B1590" s="44">
        <f>FiscalStart+(A1590-1)*7</f>
        <v/>
      </c>
      <c r="C1590">
        <f>TEXT(B1590,"mmm yyyy")</f>
        <v/>
      </c>
      <c r="D1590">
        <f>"Q"&amp;(INT((A1590-1)/13)+1)</f>
        <v/>
      </c>
      <c r="E1590" t="inlineStr">
        <is>
          <t>Fitness</t>
        </is>
      </c>
      <c r="F1590">
        <f>IFERROR(INDEX(ChFormat,MATCH(E1590,ChName,0)),"")</f>
        <v/>
      </c>
      <c r="G1590" t="inlineStr">
        <is>
          <t>NL</t>
        </is>
      </c>
      <c r="H1590">
        <f>IF(A1590&lt;=NWeeks,1,0)</f>
        <v/>
      </c>
      <c r="I1590">
        <f>INDEX(ChLaunch,MATCH(E1590,ChName,0))</f>
        <v/>
      </c>
      <c r="J1590">
        <f>INDEX(ChWeeksFull,MATCH(E1590,ChName,0))</f>
        <v/>
      </c>
      <c r="K1590">
        <f>INDEX(ChRamp,MATCH(E1590,ChName,0))</f>
        <v/>
      </c>
      <c r="L1590" s="45">
        <f>MIN(1,MAX(0,(A1590-I1590+1)*RampSpeed/J1590))</f>
        <v/>
      </c>
      <c r="M1590" s="45">
        <f>IF(A1590&lt;I1590,0,IF(K1590="S-curve",L1590*L1590*(3-2*L1590),L1590))</f>
        <v/>
      </c>
      <c r="N1590" s="45">
        <f>1+(INDEX(SeasonIdx,A1590)-1)*SeasonAmp</f>
        <v/>
      </c>
      <c r="O1590" s="45">
        <f>IFERROR(INDEX(PSPct,MATCH(E1590&amp;"|"&amp;G1590,PSKey,0)),0)</f>
        <v/>
      </c>
      <c r="P1590" s="46">
        <f>INDEX(ChDoorVel,MATCH(E1590,ChName,0))*CalibScalar*(1+VelocityUplift)</f>
        <v/>
      </c>
      <c r="Q1590" s="46" t="n">
        <v>0</v>
      </c>
      <c r="R1590" s="46">
        <f>P1590*O1590*M1590*N1590*H1590</f>
        <v/>
      </c>
      <c r="S1590" s="46">
        <f>R1590*INDEX(FmtCansPerCase,MATCH(F1590,FmtName,0))</f>
        <v/>
      </c>
      <c r="T1590" s="46">
        <f>S1590/INDEX(FmtCansPerPack,MATCH(F1590,FmtName,0))</f>
        <v/>
      </c>
      <c r="U1590" s="47">
        <f>INDEX(ChBaseCP,MATCH(E1590,ChName,0))*(1+INDEX(ProvMod,MATCH(G1590,ProvCode,0)))*(1+PriceIndex)</f>
        <v/>
      </c>
      <c r="V1590" s="47">
        <f>R1590*U1590*INDEX(FmtBlendedPriceIdx,MATCH(F1590,FmtName,0))</f>
        <v/>
      </c>
      <c r="W1590" s="47">
        <f>T1590*INDEX(ProvSRP,MATCH(G1590,ProvCode,0))*(1+PriceIndex)</f>
        <v/>
      </c>
      <c r="X1590" s="47">
        <f>IF(GrossBasis="Wholesale",V1590,W1590)</f>
        <v/>
      </c>
      <c r="Y1590" s="47">
        <f>R1590*INDEX(FmtBlendedCogs,MATCH(F1590,FmtName,0))</f>
        <v/>
      </c>
      <c r="Z1590" s="47">
        <f>X1590-Y1590</f>
        <v/>
      </c>
    </row>
    <row r="1591">
      <c r="A1591" t="n">
        <v>53</v>
      </c>
      <c r="B1591" s="44">
        <f>FiscalStart+(A1591-1)*7</f>
        <v/>
      </c>
      <c r="C1591">
        <f>TEXT(B1591,"mmm yyyy")</f>
        <v/>
      </c>
      <c r="D1591">
        <f>"Q"&amp;(INT((A1591-1)/13)+1)</f>
        <v/>
      </c>
      <c r="E1591" t="inlineStr">
        <is>
          <t>Fitness</t>
        </is>
      </c>
      <c r="F1591">
        <f>IFERROR(INDEX(ChFormat,MATCH(E1591,ChName,0)),"")</f>
        <v/>
      </c>
      <c r="G1591" t="inlineStr">
        <is>
          <t>NL</t>
        </is>
      </c>
      <c r="H1591">
        <f>IF(A1591&lt;=NWeeks,1,0)</f>
        <v/>
      </c>
      <c r="I1591">
        <f>INDEX(ChLaunch,MATCH(E1591,ChName,0))</f>
        <v/>
      </c>
      <c r="J1591">
        <f>INDEX(ChWeeksFull,MATCH(E1591,ChName,0))</f>
        <v/>
      </c>
      <c r="K1591">
        <f>INDEX(ChRamp,MATCH(E1591,ChName,0))</f>
        <v/>
      </c>
      <c r="L1591" s="45">
        <f>MIN(1,MAX(0,(A1591-I1591+1)*RampSpeed/J1591))</f>
        <v/>
      </c>
      <c r="M1591" s="45">
        <f>IF(A1591&lt;I1591,0,IF(K1591="S-curve",L1591*L1591*(3-2*L1591),L1591))</f>
        <v/>
      </c>
      <c r="N1591" s="45">
        <f>1+(INDEX(SeasonIdx,A1591)-1)*SeasonAmp</f>
        <v/>
      </c>
      <c r="O1591" s="45">
        <f>IFERROR(INDEX(PSPct,MATCH(E1591&amp;"|"&amp;G1591,PSKey,0)),0)</f>
        <v/>
      </c>
      <c r="P1591" s="46">
        <f>INDEX(ChDoorVel,MATCH(E1591,ChName,0))*CalibScalar*(1+VelocityUplift)</f>
        <v/>
      </c>
      <c r="Q1591" s="46" t="n">
        <v>0</v>
      </c>
      <c r="R1591" s="46">
        <f>P1591*O1591*M1591*N1591*H1591</f>
        <v/>
      </c>
      <c r="S1591" s="46">
        <f>R1591*INDEX(FmtCansPerCase,MATCH(F1591,FmtName,0))</f>
        <v/>
      </c>
      <c r="T1591" s="46">
        <f>S1591/INDEX(FmtCansPerPack,MATCH(F1591,FmtName,0))</f>
        <v/>
      </c>
      <c r="U1591" s="47">
        <f>INDEX(ChBaseCP,MATCH(E1591,ChName,0))*(1+INDEX(ProvMod,MATCH(G1591,ProvCode,0)))*(1+PriceIndex)</f>
        <v/>
      </c>
      <c r="V1591" s="47">
        <f>R1591*U1591*INDEX(FmtBlendedPriceIdx,MATCH(F1591,FmtName,0))</f>
        <v/>
      </c>
      <c r="W1591" s="47">
        <f>T1591*INDEX(ProvSRP,MATCH(G1591,ProvCode,0))*(1+PriceIndex)</f>
        <v/>
      </c>
      <c r="X1591" s="47">
        <f>IF(GrossBasis="Wholesale",V1591,W1591)</f>
        <v/>
      </c>
      <c r="Y1591" s="47">
        <f>R1591*INDEX(FmtBlendedCogs,MATCH(F1591,FmtName,0))</f>
        <v/>
      </c>
      <c r="Z1591" s="47">
        <f>X1591-Y1591</f>
        <v/>
      </c>
    </row>
    <row r="1592">
      <c r="A1592" t="n">
        <v>1</v>
      </c>
      <c r="B1592" s="44">
        <f>FiscalStart+(A1592-1)*7</f>
        <v/>
      </c>
      <c r="C1592">
        <f>TEXT(B1592,"mmm yyyy")</f>
        <v/>
      </c>
      <c r="D1592">
        <f>"Q"&amp;(INT((A1592-1)/13)+1)</f>
        <v/>
      </c>
      <c r="E1592" t="inlineStr">
        <is>
          <t>Costco</t>
        </is>
      </c>
      <c r="F1592">
        <f>IFERROR(INDEX(ChFormat,MATCH(E1592,ChName,0)),"")</f>
        <v/>
      </c>
      <c r="G1592" t="inlineStr">
        <is>
          <t>BC</t>
        </is>
      </c>
      <c r="H1592">
        <f>IF(A1592&lt;=NWeeks,1,0)</f>
        <v/>
      </c>
      <c r="I1592">
        <f>INDEX(ChLaunch,MATCH(E1592,ChName,0))</f>
        <v/>
      </c>
      <c r="J1592">
        <f>INDEX(ChWeeksFull,MATCH(E1592,ChName,0))</f>
        <v/>
      </c>
      <c r="K1592">
        <f>INDEX(ChRamp,MATCH(E1592,ChName,0))</f>
        <v/>
      </c>
      <c r="L1592" s="45">
        <f>MIN(1,MAX(0,(A1592-I1592+1)*RampSpeed/J1592))</f>
        <v/>
      </c>
      <c r="M1592" s="45">
        <f>IF(A1592&lt;I1592,0,IF(K1592="S-curve",L1592*L1592*(3-2*L1592),L1592))</f>
        <v/>
      </c>
      <c r="N1592" s="45">
        <f>1+(INDEX(SeasonIdx,A1592)-1)*SeasonAmp</f>
        <v/>
      </c>
      <c r="O1592" s="45">
        <f>IFERROR(INDEX(PSPct,MATCH(E1592&amp;"|"&amp;G1592,PSKey,0)),0)</f>
        <v/>
      </c>
      <c r="P1592" s="46">
        <f>INDEX(ChDoorVel,MATCH(E1592,ChName,0))*CalibScalar*(1+VelocityUplift)</f>
        <v/>
      </c>
      <c r="Q1592" s="46" t="n">
        <v>0</v>
      </c>
      <c r="R1592" s="46">
        <f>P1592*O1592*M1592*N1592*H1592</f>
        <v/>
      </c>
      <c r="S1592" s="46">
        <f>R1592*INDEX(FmtCansPerCase,MATCH(F1592,FmtName,0))</f>
        <v/>
      </c>
      <c r="T1592" s="46">
        <f>S1592/INDEX(FmtCansPerPack,MATCH(F1592,FmtName,0))</f>
        <v/>
      </c>
      <c r="U1592" s="47">
        <f>INDEX(ChBaseCP,MATCH(E1592,ChName,0))*(1+INDEX(ProvMod,MATCH(G1592,ProvCode,0)))*(1+PriceIndex)</f>
        <v/>
      </c>
      <c r="V1592" s="47">
        <f>R1592*U1592*INDEX(FmtBlendedPriceIdx,MATCH(F1592,FmtName,0))</f>
        <v/>
      </c>
      <c r="W1592" s="47">
        <f>T1592*INDEX(ProvSRP,MATCH(G1592,ProvCode,0))*(1+PriceIndex)</f>
        <v/>
      </c>
      <c r="X1592" s="47">
        <f>IF(GrossBasis="Wholesale",V1592,W1592)</f>
        <v/>
      </c>
      <c r="Y1592" s="47">
        <f>R1592*INDEX(FmtBlendedCogs,MATCH(F1592,FmtName,0))</f>
        <v/>
      </c>
      <c r="Z1592" s="47">
        <f>X1592-Y1592</f>
        <v/>
      </c>
    </row>
    <row r="1593">
      <c r="A1593" t="n">
        <v>2</v>
      </c>
      <c r="B1593" s="44">
        <f>FiscalStart+(A1593-1)*7</f>
        <v/>
      </c>
      <c r="C1593">
        <f>TEXT(B1593,"mmm yyyy")</f>
        <v/>
      </c>
      <c r="D1593">
        <f>"Q"&amp;(INT((A1593-1)/13)+1)</f>
        <v/>
      </c>
      <c r="E1593" t="inlineStr">
        <is>
          <t>Costco</t>
        </is>
      </c>
      <c r="F1593">
        <f>IFERROR(INDEX(ChFormat,MATCH(E1593,ChName,0)),"")</f>
        <v/>
      </c>
      <c r="G1593" t="inlineStr">
        <is>
          <t>BC</t>
        </is>
      </c>
      <c r="H1593">
        <f>IF(A1593&lt;=NWeeks,1,0)</f>
        <v/>
      </c>
      <c r="I1593">
        <f>INDEX(ChLaunch,MATCH(E1593,ChName,0))</f>
        <v/>
      </c>
      <c r="J1593">
        <f>INDEX(ChWeeksFull,MATCH(E1593,ChName,0))</f>
        <v/>
      </c>
      <c r="K1593">
        <f>INDEX(ChRamp,MATCH(E1593,ChName,0))</f>
        <v/>
      </c>
      <c r="L1593" s="45">
        <f>MIN(1,MAX(0,(A1593-I1593+1)*RampSpeed/J1593))</f>
        <v/>
      </c>
      <c r="M1593" s="45">
        <f>IF(A1593&lt;I1593,0,IF(K1593="S-curve",L1593*L1593*(3-2*L1593),L1593))</f>
        <v/>
      </c>
      <c r="N1593" s="45">
        <f>1+(INDEX(SeasonIdx,A1593)-1)*SeasonAmp</f>
        <v/>
      </c>
      <c r="O1593" s="45">
        <f>IFERROR(INDEX(PSPct,MATCH(E1593&amp;"|"&amp;G1593,PSKey,0)),0)</f>
        <v/>
      </c>
      <c r="P1593" s="46">
        <f>INDEX(ChDoorVel,MATCH(E1593,ChName,0))*CalibScalar*(1+VelocityUplift)</f>
        <v/>
      </c>
      <c r="Q1593" s="46" t="n">
        <v>0</v>
      </c>
      <c r="R1593" s="46">
        <f>P1593*O1593*M1593*N1593*H1593</f>
        <v/>
      </c>
      <c r="S1593" s="46">
        <f>R1593*INDEX(FmtCansPerCase,MATCH(F1593,FmtName,0))</f>
        <v/>
      </c>
      <c r="T1593" s="46">
        <f>S1593/INDEX(FmtCansPerPack,MATCH(F1593,FmtName,0))</f>
        <v/>
      </c>
      <c r="U1593" s="47">
        <f>INDEX(ChBaseCP,MATCH(E1593,ChName,0))*(1+INDEX(ProvMod,MATCH(G1593,ProvCode,0)))*(1+PriceIndex)</f>
        <v/>
      </c>
      <c r="V1593" s="47">
        <f>R1593*U1593*INDEX(FmtBlendedPriceIdx,MATCH(F1593,FmtName,0))</f>
        <v/>
      </c>
      <c r="W1593" s="47">
        <f>T1593*INDEX(ProvSRP,MATCH(G1593,ProvCode,0))*(1+PriceIndex)</f>
        <v/>
      </c>
      <c r="X1593" s="47">
        <f>IF(GrossBasis="Wholesale",V1593,W1593)</f>
        <v/>
      </c>
      <c r="Y1593" s="47">
        <f>R1593*INDEX(FmtBlendedCogs,MATCH(F1593,FmtName,0))</f>
        <v/>
      </c>
      <c r="Z1593" s="47">
        <f>X1593-Y1593</f>
        <v/>
      </c>
    </row>
    <row r="1594">
      <c r="A1594" t="n">
        <v>3</v>
      </c>
      <c r="B1594" s="44">
        <f>FiscalStart+(A1594-1)*7</f>
        <v/>
      </c>
      <c r="C1594">
        <f>TEXT(B1594,"mmm yyyy")</f>
        <v/>
      </c>
      <c r="D1594">
        <f>"Q"&amp;(INT((A1594-1)/13)+1)</f>
        <v/>
      </c>
      <c r="E1594" t="inlineStr">
        <is>
          <t>Costco</t>
        </is>
      </c>
      <c r="F1594">
        <f>IFERROR(INDEX(ChFormat,MATCH(E1594,ChName,0)),"")</f>
        <v/>
      </c>
      <c r="G1594" t="inlineStr">
        <is>
          <t>BC</t>
        </is>
      </c>
      <c r="H1594">
        <f>IF(A1594&lt;=NWeeks,1,0)</f>
        <v/>
      </c>
      <c r="I1594">
        <f>INDEX(ChLaunch,MATCH(E1594,ChName,0))</f>
        <v/>
      </c>
      <c r="J1594">
        <f>INDEX(ChWeeksFull,MATCH(E1594,ChName,0))</f>
        <v/>
      </c>
      <c r="K1594">
        <f>INDEX(ChRamp,MATCH(E1594,ChName,0))</f>
        <v/>
      </c>
      <c r="L1594" s="45">
        <f>MIN(1,MAX(0,(A1594-I1594+1)*RampSpeed/J1594))</f>
        <v/>
      </c>
      <c r="M1594" s="45">
        <f>IF(A1594&lt;I1594,0,IF(K1594="S-curve",L1594*L1594*(3-2*L1594),L1594))</f>
        <v/>
      </c>
      <c r="N1594" s="45">
        <f>1+(INDEX(SeasonIdx,A1594)-1)*SeasonAmp</f>
        <v/>
      </c>
      <c r="O1594" s="45">
        <f>IFERROR(INDEX(PSPct,MATCH(E1594&amp;"|"&amp;G1594,PSKey,0)),0)</f>
        <v/>
      </c>
      <c r="P1594" s="46">
        <f>INDEX(ChDoorVel,MATCH(E1594,ChName,0))*CalibScalar*(1+VelocityUplift)</f>
        <v/>
      </c>
      <c r="Q1594" s="46" t="n">
        <v>0</v>
      </c>
      <c r="R1594" s="46">
        <f>P1594*O1594*M1594*N1594*H1594</f>
        <v/>
      </c>
      <c r="S1594" s="46">
        <f>R1594*INDEX(FmtCansPerCase,MATCH(F1594,FmtName,0))</f>
        <v/>
      </c>
      <c r="T1594" s="46">
        <f>S1594/INDEX(FmtCansPerPack,MATCH(F1594,FmtName,0))</f>
        <v/>
      </c>
      <c r="U1594" s="47">
        <f>INDEX(ChBaseCP,MATCH(E1594,ChName,0))*(1+INDEX(ProvMod,MATCH(G1594,ProvCode,0)))*(1+PriceIndex)</f>
        <v/>
      </c>
      <c r="V1594" s="47">
        <f>R1594*U1594*INDEX(FmtBlendedPriceIdx,MATCH(F1594,FmtName,0))</f>
        <v/>
      </c>
      <c r="W1594" s="47">
        <f>T1594*INDEX(ProvSRP,MATCH(G1594,ProvCode,0))*(1+PriceIndex)</f>
        <v/>
      </c>
      <c r="X1594" s="47">
        <f>IF(GrossBasis="Wholesale",V1594,W1594)</f>
        <v/>
      </c>
      <c r="Y1594" s="47">
        <f>R1594*INDEX(FmtBlendedCogs,MATCH(F1594,FmtName,0))</f>
        <v/>
      </c>
      <c r="Z1594" s="47">
        <f>X1594-Y1594</f>
        <v/>
      </c>
    </row>
    <row r="1595">
      <c r="A1595" t="n">
        <v>4</v>
      </c>
      <c r="B1595" s="44">
        <f>FiscalStart+(A1595-1)*7</f>
        <v/>
      </c>
      <c r="C1595">
        <f>TEXT(B1595,"mmm yyyy")</f>
        <v/>
      </c>
      <c r="D1595">
        <f>"Q"&amp;(INT((A1595-1)/13)+1)</f>
        <v/>
      </c>
      <c r="E1595" t="inlineStr">
        <is>
          <t>Costco</t>
        </is>
      </c>
      <c r="F1595">
        <f>IFERROR(INDEX(ChFormat,MATCH(E1595,ChName,0)),"")</f>
        <v/>
      </c>
      <c r="G1595" t="inlineStr">
        <is>
          <t>BC</t>
        </is>
      </c>
      <c r="H1595">
        <f>IF(A1595&lt;=NWeeks,1,0)</f>
        <v/>
      </c>
      <c r="I1595">
        <f>INDEX(ChLaunch,MATCH(E1595,ChName,0))</f>
        <v/>
      </c>
      <c r="J1595">
        <f>INDEX(ChWeeksFull,MATCH(E1595,ChName,0))</f>
        <v/>
      </c>
      <c r="K1595">
        <f>INDEX(ChRamp,MATCH(E1595,ChName,0))</f>
        <v/>
      </c>
      <c r="L1595" s="45">
        <f>MIN(1,MAX(0,(A1595-I1595+1)*RampSpeed/J1595))</f>
        <v/>
      </c>
      <c r="M1595" s="45">
        <f>IF(A1595&lt;I1595,0,IF(K1595="S-curve",L1595*L1595*(3-2*L1595),L1595))</f>
        <v/>
      </c>
      <c r="N1595" s="45">
        <f>1+(INDEX(SeasonIdx,A1595)-1)*SeasonAmp</f>
        <v/>
      </c>
      <c r="O1595" s="45">
        <f>IFERROR(INDEX(PSPct,MATCH(E1595&amp;"|"&amp;G1595,PSKey,0)),0)</f>
        <v/>
      </c>
      <c r="P1595" s="46">
        <f>INDEX(ChDoorVel,MATCH(E1595,ChName,0))*CalibScalar*(1+VelocityUplift)</f>
        <v/>
      </c>
      <c r="Q1595" s="46" t="n">
        <v>0</v>
      </c>
      <c r="R1595" s="46">
        <f>P1595*O1595*M1595*N1595*H1595</f>
        <v/>
      </c>
      <c r="S1595" s="46">
        <f>R1595*INDEX(FmtCansPerCase,MATCH(F1595,FmtName,0))</f>
        <v/>
      </c>
      <c r="T1595" s="46">
        <f>S1595/INDEX(FmtCansPerPack,MATCH(F1595,FmtName,0))</f>
        <v/>
      </c>
      <c r="U1595" s="47">
        <f>INDEX(ChBaseCP,MATCH(E1595,ChName,0))*(1+INDEX(ProvMod,MATCH(G1595,ProvCode,0)))*(1+PriceIndex)</f>
        <v/>
      </c>
      <c r="V1595" s="47">
        <f>R1595*U1595*INDEX(FmtBlendedPriceIdx,MATCH(F1595,FmtName,0))</f>
        <v/>
      </c>
      <c r="W1595" s="47">
        <f>T1595*INDEX(ProvSRP,MATCH(G1595,ProvCode,0))*(1+PriceIndex)</f>
        <v/>
      </c>
      <c r="X1595" s="47">
        <f>IF(GrossBasis="Wholesale",V1595,W1595)</f>
        <v/>
      </c>
      <c r="Y1595" s="47">
        <f>R1595*INDEX(FmtBlendedCogs,MATCH(F1595,FmtName,0))</f>
        <v/>
      </c>
      <c r="Z1595" s="47">
        <f>X1595-Y1595</f>
        <v/>
      </c>
    </row>
    <row r="1596">
      <c r="A1596" t="n">
        <v>5</v>
      </c>
      <c r="B1596" s="44">
        <f>FiscalStart+(A1596-1)*7</f>
        <v/>
      </c>
      <c r="C1596">
        <f>TEXT(B1596,"mmm yyyy")</f>
        <v/>
      </c>
      <c r="D1596">
        <f>"Q"&amp;(INT((A1596-1)/13)+1)</f>
        <v/>
      </c>
      <c r="E1596" t="inlineStr">
        <is>
          <t>Costco</t>
        </is>
      </c>
      <c r="F1596">
        <f>IFERROR(INDEX(ChFormat,MATCH(E1596,ChName,0)),"")</f>
        <v/>
      </c>
      <c r="G1596" t="inlineStr">
        <is>
          <t>BC</t>
        </is>
      </c>
      <c r="H1596">
        <f>IF(A1596&lt;=NWeeks,1,0)</f>
        <v/>
      </c>
      <c r="I1596">
        <f>INDEX(ChLaunch,MATCH(E1596,ChName,0))</f>
        <v/>
      </c>
      <c r="J1596">
        <f>INDEX(ChWeeksFull,MATCH(E1596,ChName,0))</f>
        <v/>
      </c>
      <c r="K1596">
        <f>INDEX(ChRamp,MATCH(E1596,ChName,0))</f>
        <v/>
      </c>
      <c r="L1596" s="45">
        <f>MIN(1,MAX(0,(A1596-I1596+1)*RampSpeed/J1596))</f>
        <v/>
      </c>
      <c r="M1596" s="45">
        <f>IF(A1596&lt;I1596,0,IF(K1596="S-curve",L1596*L1596*(3-2*L1596),L1596))</f>
        <v/>
      </c>
      <c r="N1596" s="45">
        <f>1+(INDEX(SeasonIdx,A1596)-1)*SeasonAmp</f>
        <v/>
      </c>
      <c r="O1596" s="45">
        <f>IFERROR(INDEX(PSPct,MATCH(E1596&amp;"|"&amp;G1596,PSKey,0)),0)</f>
        <v/>
      </c>
      <c r="P1596" s="46">
        <f>INDEX(ChDoorVel,MATCH(E1596,ChName,0))*CalibScalar*(1+VelocityUplift)</f>
        <v/>
      </c>
      <c r="Q1596" s="46" t="n">
        <v>0</v>
      </c>
      <c r="R1596" s="46">
        <f>P1596*O1596*M1596*N1596*H1596</f>
        <v/>
      </c>
      <c r="S1596" s="46">
        <f>R1596*INDEX(FmtCansPerCase,MATCH(F1596,FmtName,0))</f>
        <v/>
      </c>
      <c r="T1596" s="46">
        <f>S1596/INDEX(FmtCansPerPack,MATCH(F1596,FmtName,0))</f>
        <v/>
      </c>
      <c r="U1596" s="47">
        <f>INDEX(ChBaseCP,MATCH(E1596,ChName,0))*(1+INDEX(ProvMod,MATCH(G1596,ProvCode,0)))*(1+PriceIndex)</f>
        <v/>
      </c>
      <c r="V1596" s="47">
        <f>R1596*U1596*INDEX(FmtBlendedPriceIdx,MATCH(F1596,FmtName,0))</f>
        <v/>
      </c>
      <c r="W1596" s="47">
        <f>T1596*INDEX(ProvSRP,MATCH(G1596,ProvCode,0))*(1+PriceIndex)</f>
        <v/>
      </c>
      <c r="X1596" s="47">
        <f>IF(GrossBasis="Wholesale",V1596,W1596)</f>
        <v/>
      </c>
      <c r="Y1596" s="47">
        <f>R1596*INDEX(FmtBlendedCogs,MATCH(F1596,FmtName,0))</f>
        <v/>
      </c>
      <c r="Z1596" s="47">
        <f>X1596-Y1596</f>
        <v/>
      </c>
    </row>
    <row r="1597">
      <c r="A1597" t="n">
        <v>6</v>
      </c>
      <c r="B1597" s="44">
        <f>FiscalStart+(A1597-1)*7</f>
        <v/>
      </c>
      <c r="C1597">
        <f>TEXT(B1597,"mmm yyyy")</f>
        <v/>
      </c>
      <c r="D1597">
        <f>"Q"&amp;(INT((A1597-1)/13)+1)</f>
        <v/>
      </c>
      <c r="E1597" t="inlineStr">
        <is>
          <t>Costco</t>
        </is>
      </c>
      <c r="F1597">
        <f>IFERROR(INDEX(ChFormat,MATCH(E1597,ChName,0)),"")</f>
        <v/>
      </c>
      <c r="G1597" t="inlineStr">
        <is>
          <t>BC</t>
        </is>
      </c>
      <c r="H1597">
        <f>IF(A1597&lt;=NWeeks,1,0)</f>
        <v/>
      </c>
      <c r="I1597">
        <f>INDEX(ChLaunch,MATCH(E1597,ChName,0))</f>
        <v/>
      </c>
      <c r="J1597">
        <f>INDEX(ChWeeksFull,MATCH(E1597,ChName,0))</f>
        <v/>
      </c>
      <c r="K1597">
        <f>INDEX(ChRamp,MATCH(E1597,ChName,0))</f>
        <v/>
      </c>
      <c r="L1597" s="45">
        <f>MIN(1,MAX(0,(A1597-I1597+1)*RampSpeed/J1597))</f>
        <v/>
      </c>
      <c r="M1597" s="45">
        <f>IF(A1597&lt;I1597,0,IF(K1597="S-curve",L1597*L1597*(3-2*L1597),L1597))</f>
        <v/>
      </c>
      <c r="N1597" s="45">
        <f>1+(INDEX(SeasonIdx,A1597)-1)*SeasonAmp</f>
        <v/>
      </c>
      <c r="O1597" s="45">
        <f>IFERROR(INDEX(PSPct,MATCH(E1597&amp;"|"&amp;G1597,PSKey,0)),0)</f>
        <v/>
      </c>
      <c r="P1597" s="46">
        <f>INDEX(ChDoorVel,MATCH(E1597,ChName,0))*CalibScalar*(1+VelocityUplift)</f>
        <v/>
      </c>
      <c r="Q1597" s="46" t="n">
        <v>0</v>
      </c>
      <c r="R1597" s="46">
        <f>P1597*O1597*M1597*N1597*H1597</f>
        <v/>
      </c>
      <c r="S1597" s="46">
        <f>R1597*INDEX(FmtCansPerCase,MATCH(F1597,FmtName,0))</f>
        <v/>
      </c>
      <c r="T1597" s="46">
        <f>S1597/INDEX(FmtCansPerPack,MATCH(F1597,FmtName,0))</f>
        <v/>
      </c>
      <c r="U1597" s="47">
        <f>INDEX(ChBaseCP,MATCH(E1597,ChName,0))*(1+INDEX(ProvMod,MATCH(G1597,ProvCode,0)))*(1+PriceIndex)</f>
        <v/>
      </c>
      <c r="V1597" s="47">
        <f>R1597*U1597*INDEX(FmtBlendedPriceIdx,MATCH(F1597,FmtName,0))</f>
        <v/>
      </c>
      <c r="W1597" s="47">
        <f>T1597*INDEX(ProvSRP,MATCH(G1597,ProvCode,0))*(1+PriceIndex)</f>
        <v/>
      </c>
      <c r="X1597" s="47">
        <f>IF(GrossBasis="Wholesale",V1597,W1597)</f>
        <v/>
      </c>
      <c r="Y1597" s="47">
        <f>R1597*INDEX(FmtBlendedCogs,MATCH(F1597,FmtName,0))</f>
        <v/>
      </c>
      <c r="Z1597" s="47">
        <f>X1597-Y1597</f>
        <v/>
      </c>
    </row>
    <row r="1598">
      <c r="A1598" t="n">
        <v>7</v>
      </c>
      <c r="B1598" s="44">
        <f>FiscalStart+(A1598-1)*7</f>
        <v/>
      </c>
      <c r="C1598">
        <f>TEXT(B1598,"mmm yyyy")</f>
        <v/>
      </c>
      <c r="D1598">
        <f>"Q"&amp;(INT((A1598-1)/13)+1)</f>
        <v/>
      </c>
      <c r="E1598" t="inlineStr">
        <is>
          <t>Costco</t>
        </is>
      </c>
      <c r="F1598">
        <f>IFERROR(INDEX(ChFormat,MATCH(E1598,ChName,0)),"")</f>
        <v/>
      </c>
      <c r="G1598" t="inlineStr">
        <is>
          <t>BC</t>
        </is>
      </c>
      <c r="H1598">
        <f>IF(A1598&lt;=NWeeks,1,0)</f>
        <v/>
      </c>
      <c r="I1598">
        <f>INDEX(ChLaunch,MATCH(E1598,ChName,0))</f>
        <v/>
      </c>
      <c r="J1598">
        <f>INDEX(ChWeeksFull,MATCH(E1598,ChName,0))</f>
        <v/>
      </c>
      <c r="K1598">
        <f>INDEX(ChRamp,MATCH(E1598,ChName,0))</f>
        <v/>
      </c>
      <c r="L1598" s="45">
        <f>MIN(1,MAX(0,(A1598-I1598+1)*RampSpeed/J1598))</f>
        <v/>
      </c>
      <c r="M1598" s="45">
        <f>IF(A1598&lt;I1598,0,IF(K1598="S-curve",L1598*L1598*(3-2*L1598),L1598))</f>
        <v/>
      </c>
      <c r="N1598" s="45">
        <f>1+(INDEX(SeasonIdx,A1598)-1)*SeasonAmp</f>
        <v/>
      </c>
      <c r="O1598" s="45">
        <f>IFERROR(INDEX(PSPct,MATCH(E1598&amp;"|"&amp;G1598,PSKey,0)),0)</f>
        <v/>
      </c>
      <c r="P1598" s="46">
        <f>INDEX(ChDoorVel,MATCH(E1598,ChName,0))*CalibScalar*(1+VelocityUplift)</f>
        <v/>
      </c>
      <c r="Q1598" s="46" t="n">
        <v>0</v>
      </c>
      <c r="R1598" s="46">
        <f>P1598*O1598*M1598*N1598*H1598</f>
        <v/>
      </c>
      <c r="S1598" s="46">
        <f>R1598*INDEX(FmtCansPerCase,MATCH(F1598,FmtName,0))</f>
        <v/>
      </c>
      <c r="T1598" s="46">
        <f>S1598/INDEX(FmtCansPerPack,MATCH(F1598,FmtName,0))</f>
        <v/>
      </c>
      <c r="U1598" s="47">
        <f>INDEX(ChBaseCP,MATCH(E1598,ChName,0))*(1+INDEX(ProvMod,MATCH(G1598,ProvCode,0)))*(1+PriceIndex)</f>
        <v/>
      </c>
      <c r="V1598" s="47">
        <f>R1598*U1598*INDEX(FmtBlendedPriceIdx,MATCH(F1598,FmtName,0))</f>
        <v/>
      </c>
      <c r="W1598" s="47">
        <f>T1598*INDEX(ProvSRP,MATCH(G1598,ProvCode,0))*(1+PriceIndex)</f>
        <v/>
      </c>
      <c r="X1598" s="47">
        <f>IF(GrossBasis="Wholesale",V1598,W1598)</f>
        <v/>
      </c>
      <c r="Y1598" s="47">
        <f>R1598*INDEX(FmtBlendedCogs,MATCH(F1598,FmtName,0))</f>
        <v/>
      </c>
      <c r="Z1598" s="47">
        <f>X1598-Y1598</f>
        <v/>
      </c>
    </row>
    <row r="1599">
      <c r="A1599" t="n">
        <v>8</v>
      </c>
      <c r="B1599" s="44">
        <f>FiscalStart+(A1599-1)*7</f>
        <v/>
      </c>
      <c r="C1599">
        <f>TEXT(B1599,"mmm yyyy")</f>
        <v/>
      </c>
      <c r="D1599">
        <f>"Q"&amp;(INT((A1599-1)/13)+1)</f>
        <v/>
      </c>
      <c r="E1599" t="inlineStr">
        <is>
          <t>Costco</t>
        </is>
      </c>
      <c r="F1599">
        <f>IFERROR(INDEX(ChFormat,MATCH(E1599,ChName,0)),"")</f>
        <v/>
      </c>
      <c r="G1599" t="inlineStr">
        <is>
          <t>BC</t>
        </is>
      </c>
      <c r="H1599">
        <f>IF(A1599&lt;=NWeeks,1,0)</f>
        <v/>
      </c>
      <c r="I1599">
        <f>INDEX(ChLaunch,MATCH(E1599,ChName,0))</f>
        <v/>
      </c>
      <c r="J1599">
        <f>INDEX(ChWeeksFull,MATCH(E1599,ChName,0))</f>
        <v/>
      </c>
      <c r="K1599">
        <f>INDEX(ChRamp,MATCH(E1599,ChName,0))</f>
        <v/>
      </c>
      <c r="L1599" s="45">
        <f>MIN(1,MAX(0,(A1599-I1599+1)*RampSpeed/J1599))</f>
        <v/>
      </c>
      <c r="M1599" s="45">
        <f>IF(A1599&lt;I1599,0,IF(K1599="S-curve",L1599*L1599*(3-2*L1599),L1599))</f>
        <v/>
      </c>
      <c r="N1599" s="45">
        <f>1+(INDEX(SeasonIdx,A1599)-1)*SeasonAmp</f>
        <v/>
      </c>
      <c r="O1599" s="45">
        <f>IFERROR(INDEX(PSPct,MATCH(E1599&amp;"|"&amp;G1599,PSKey,0)),0)</f>
        <v/>
      </c>
      <c r="P1599" s="46">
        <f>INDEX(ChDoorVel,MATCH(E1599,ChName,0))*CalibScalar*(1+VelocityUplift)</f>
        <v/>
      </c>
      <c r="Q1599" s="46" t="n">
        <v>0</v>
      </c>
      <c r="R1599" s="46">
        <f>P1599*O1599*M1599*N1599*H1599</f>
        <v/>
      </c>
      <c r="S1599" s="46">
        <f>R1599*INDEX(FmtCansPerCase,MATCH(F1599,FmtName,0))</f>
        <v/>
      </c>
      <c r="T1599" s="46">
        <f>S1599/INDEX(FmtCansPerPack,MATCH(F1599,FmtName,0))</f>
        <v/>
      </c>
      <c r="U1599" s="47">
        <f>INDEX(ChBaseCP,MATCH(E1599,ChName,0))*(1+INDEX(ProvMod,MATCH(G1599,ProvCode,0)))*(1+PriceIndex)</f>
        <v/>
      </c>
      <c r="V1599" s="47">
        <f>R1599*U1599*INDEX(FmtBlendedPriceIdx,MATCH(F1599,FmtName,0))</f>
        <v/>
      </c>
      <c r="W1599" s="47">
        <f>T1599*INDEX(ProvSRP,MATCH(G1599,ProvCode,0))*(1+PriceIndex)</f>
        <v/>
      </c>
      <c r="X1599" s="47">
        <f>IF(GrossBasis="Wholesale",V1599,W1599)</f>
        <v/>
      </c>
      <c r="Y1599" s="47">
        <f>R1599*INDEX(FmtBlendedCogs,MATCH(F1599,FmtName,0))</f>
        <v/>
      </c>
      <c r="Z1599" s="47">
        <f>X1599-Y1599</f>
        <v/>
      </c>
    </row>
    <row r="1600">
      <c r="A1600" t="n">
        <v>9</v>
      </c>
      <c r="B1600" s="44">
        <f>FiscalStart+(A1600-1)*7</f>
        <v/>
      </c>
      <c r="C1600">
        <f>TEXT(B1600,"mmm yyyy")</f>
        <v/>
      </c>
      <c r="D1600">
        <f>"Q"&amp;(INT((A1600-1)/13)+1)</f>
        <v/>
      </c>
      <c r="E1600" t="inlineStr">
        <is>
          <t>Costco</t>
        </is>
      </c>
      <c r="F1600">
        <f>IFERROR(INDEX(ChFormat,MATCH(E1600,ChName,0)),"")</f>
        <v/>
      </c>
      <c r="G1600" t="inlineStr">
        <is>
          <t>BC</t>
        </is>
      </c>
      <c r="H1600">
        <f>IF(A1600&lt;=NWeeks,1,0)</f>
        <v/>
      </c>
      <c r="I1600">
        <f>INDEX(ChLaunch,MATCH(E1600,ChName,0))</f>
        <v/>
      </c>
      <c r="J1600">
        <f>INDEX(ChWeeksFull,MATCH(E1600,ChName,0))</f>
        <v/>
      </c>
      <c r="K1600">
        <f>INDEX(ChRamp,MATCH(E1600,ChName,0))</f>
        <v/>
      </c>
      <c r="L1600" s="45">
        <f>MIN(1,MAX(0,(A1600-I1600+1)*RampSpeed/J1600))</f>
        <v/>
      </c>
      <c r="M1600" s="45">
        <f>IF(A1600&lt;I1600,0,IF(K1600="S-curve",L1600*L1600*(3-2*L1600),L1600))</f>
        <v/>
      </c>
      <c r="N1600" s="45">
        <f>1+(INDEX(SeasonIdx,A1600)-1)*SeasonAmp</f>
        <v/>
      </c>
      <c r="O1600" s="45">
        <f>IFERROR(INDEX(PSPct,MATCH(E1600&amp;"|"&amp;G1600,PSKey,0)),0)</f>
        <v/>
      </c>
      <c r="P1600" s="46">
        <f>INDEX(ChDoorVel,MATCH(E1600,ChName,0))*CalibScalar*(1+VelocityUplift)</f>
        <v/>
      </c>
      <c r="Q1600" s="46" t="n">
        <v>0</v>
      </c>
      <c r="R1600" s="46">
        <f>P1600*O1600*M1600*N1600*H1600</f>
        <v/>
      </c>
      <c r="S1600" s="46">
        <f>R1600*INDEX(FmtCansPerCase,MATCH(F1600,FmtName,0))</f>
        <v/>
      </c>
      <c r="T1600" s="46">
        <f>S1600/INDEX(FmtCansPerPack,MATCH(F1600,FmtName,0))</f>
        <v/>
      </c>
      <c r="U1600" s="47">
        <f>INDEX(ChBaseCP,MATCH(E1600,ChName,0))*(1+INDEX(ProvMod,MATCH(G1600,ProvCode,0)))*(1+PriceIndex)</f>
        <v/>
      </c>
      <c r="V1600" s="47">
        <f>R1600*U1600*INDEX(FmtBlendedPriceIdx,MATCH(F1600,FmtName,0))</f>
        <v/>
      </c>
      <c r="W1600" s="47">
        <f>T1600*INDEX(ProvSRP,MATCH(G1600,ProvCode,0))*(1+PriceIndex)</f>
        <v/>
      </c>
      <c r="X1600" s="47">
        <f>IF(GrossBasis="Wholesale",V1600,W1600)</f>
        <v/>
      </c>
      <c r="Y1600" s="47">
        <f>R1600*INDEX(FmtBlendedCogs,MATCH(F1600,FmtName,0))</f>
        <v/>
      </c>
      <c r="Z1600" s="47">
        <f>X1600-Y1600</f>
        <v/>
      </c>
    </row>
    <row r="1601">
      <c r="A1601" t="n">
        <v>10</v>
      </c>
      <c r="B1601" s="44">
        <f>FiscalStart+(A1601-1)*7</f>
        <v/>
      </c>
      <c r="C1601">
        <f>TEXT(B1601,"mmm yyyy")</f>
        <v/>
      </c>
      <c r="D1601">
        <f>"Q"&amp;(INT((A1601-1)/13)+1)</f>
        <v/>
      </c>
      <c r="E1601" t="inlineStr">
        <is>
          <t>Costco</t>
        </is>
      </c>
      <c r="F1601">
        <f>IFERROR(INDEX(ChFormat,MATCH(E1601,ChName,0)),"")</f>
        <v/>
      </c>
      <c r="G1601" t="inlineStr">
        <is>
          <t>BC</t>
        </is>
      </c>
      <c r="H1601">
        <f>IF(A1601&lt;=NWeeks,1,0)</f>
        <v/>
      </c>
      <c r="I1601">
        <f>INDEX(ChLaunch,MATCH(E1601,ChName,0))</f>
        <v/>
      </c>
      <c r="J1601">
        <f>INDEX(ChWeeksFull,MATCH(E1601,ChName,0))</f>
        <v/>
      </c>
      <c r="K1601">
        <f>INDEX(ChRamp,MATCH(E1601,ChName,0))</f>
        <v/>
      </c>
      <c r="L1601" s="45">
        <f>MIN(1,MAX(0,(A1601-I1601+1)*RampSpeed/J1601))</f>
        <v/>
      </c>
      <c r="M1601" s="45">
        <f>IF(A1601&lt;I1601,0,IF(K1601="S-curve",L1601*L1601*(3-2*L1601),L1601))</f>
        <v/>
      </c>
      <c r="N1601" s="45">
        <f>1+(INDEX(SeasonIdx,A1601)-1)*SeasonAmp</f>
        <v/>
      </c>
      <c r="O1601" s="45">
        <f>IFERROR(INDEX(PSPct,MATCH(E1601&amp;"|"&amp;G1601,PSKey,0)),0)</f>
        <v/>
      </c>
      <c r="P1601" s="46">
        <f>INDEX(ChDoorVel,MATCH(E1601,ChName,0))*CalibScalar*(1+VelocityUplift)</f>
        <v/>
      </c>
      <c r="Q1601" s="46" t="n">
        <v>0</v>
      </c>
      <c r="R1601" s="46">
        <f>P1601*O1601*M1601*N1601*H1601</f>
        <v/>
      </c>
      <c r="S1601" s="46">
        <f>R1601*INDEX(FmtCansPerCase,MATCH(F1601,FmtName,0))</f>
        <v/>
      </c>
      <c r="T1601" s="46">
        <f>S1601/INDEX(FmtCansPerPack,MATCH(F1601,FmtName,0))</f>
        <v/>
      </c>
      <c r="U1601" s="47">
        <f>INDEX(ChBaseCP,MATCH(E1601,ChName,0))*(1+INDEX(ProvMod,MATCH(G1601,ProvCode,0)))*(1+PriceIndex)</f>
        <v/>
      </c>
      <c r="V1601" s="47">
        <f>R1601*U1601*INDEX(FmtBlendedPriceIdx,MATCH(F1601,FmtName,0))</f>
        <v/>
      </c>
      <c r="W1601" s="47">
        <f>T1601*INDEX(ProvSRP,MATCH(G1601,ProvCode,0))*(1+PriceIndex)</f>
        <v/>
      </c>
      <c r="X1601" s="47">
        <f>IF(GrossBasis="Wholesale",V1601,W1601)</f>
        <v/>
      </c>
      <c r="Y1601" s="47">
        <f>R1601*INDEX(FmtBlendedCogs,MATCH(F1601,FmtName,0))</f>
        <v/>
      </c>
      <c r="Z1601" s="47">
        <f>X1601-Y1601</f>
        <v/>
      </c>
    </row>
    <row r="1602">
      <c r="A1602" t="n">
        <v>11</v>
      </c>
      <c r="B1602" s="44">
        <f>FiscalStart+(A1602-1)*7</f>
        <v/>
      </c>
      <c r="C1602">
        <f>TEXT(B1602,"mmm yyyy")</f>
        <v/>
      </c>
      <c r="D1602">
        <f>"Q"&amp;(INT((A1602-1)/13)+1)</f>
        <v/>
      </c>
      <c r="E1602" t="inlineStr">
        <is>
          <t>Costco</t>
        </is>
      </c>
      <c r="F1602">
        <f>IFERROR(INDEX(ChFormat,MATCH(E1602,ChName,0)),"")</f>
        <v/>
      </c>
      <c r="G1602" t="inlineStr">
        <is>
          <t>BC</t>
        </is>
      </c>
      <c r="H1602">
        <f>IF(A1602&lt;=NWeeks,1,0)</f>
        <v/>
      </c>
      <c r="I1602">
        <f>INDEX(ChLaunch,MATCH(E1602,ChName,0))</f>
        <v/>
      </c>
      <c r="J1602">
        <f>INDEX(ChWeeksFull,MATCH(E1602,ChName,0))</f>
        <v/>
      </c>
      <c r="K1602">
        <f>INDEX(ChRamp,MATCH(E1602,ChName,0))</f>
        <v/>
      </c>
      <c r="L1602" s="45">
        <f>MIN(1,MAX(0,(A1602-I1602+1)*RampSpeed/J1602))</f>
        <v/>
      </c>
      <c r="M1602" s="45">
        <f>IF(A1602&lt;I1602,0,IF(K1602="S-curve",L1602*L1602*(3-2*L1602),L1602))</f>
        <v/>
      </c>
      <c r="N1602" s="45">
        <f>1+(INDEX(SeasonIdx,A1602)-1)*SeasonAmp</f>
        <v/>
      </c>
      <c r="O1602" s="45">
        <f>IFERROR(INDEX(PSPct,MATCH(E1602&amp;"|"&amp;G1602,PSKey,0)),0)</f>
        <v/>
      </c>
      <c r="P1602" s="46">
        <f>INDEX(ChDoorVel,MATCH(E1602,ChName,0))*CalibScalar*(1+VelocityUplift)</f>
        <v/>
      </c>
      <c r="Q1602" s="46" t="n">
        <v>0</v>
      </c>
      <c r="R1602" s="46">
        <f>P1602*O1602*M1602*N1602*H1602</f>
        <v/>
      </c>
      <c r="S1602" s="46">
        <f>R1602*INDEX(FmtCansPerCase,MATCH(F1602,FmtName,0))</f>
        <v/>
      </c>
      <c r="T1602" s="46">
        <f>S1602/INDEX(FmtCansPerPack,MATCH(F1602,FmtName,0))</f>
        <v/>
      </c>
      <c r="U1602" s="47">
        <f>INDEX(ChBaseCP,MATCH(E1602,ChName,0))*(1+INDEX(ProvMod,MATCH(G1602,ProvCode,0)))*(1+PriceIndex)</f>
        <v/>
      </c>
      <c r="V1602" s="47">
        <f>R1602*U1602*INDEX(FmtBlendedPriceIdx,MATCH(F1602,FmtName,0))</f>
        <v/>
      </c>
      <c r="W1602" s="47">
        <f>T1602*INDEX(ProvSRP,MATCH(G1602,ProvCode,0))*(1+PriceIndex)</f>
        <v/>
      </c>
      <c r="X1602" s="47">
        <f>IF(GrossBasis="Wholesale",V1602,W1602)</f>
        <v/>
      </c>
      <c r="Y1602" s="47">
        <f>R1602*INDEX(FmtBlendedCogs,MATCH(F1602,FmtName,0))</f>
        <v/>
      </c>
      <c r="Z1602" s="47">
        <f>X1602-Y1602</f>
        <v/>
      </c>
    </row>
    <row r="1603">
      <c r="A1603" t="n">
        <v>12</v>
      </c>
      <c r="B1603" s="44">
        <f>FiscalStart+(A1603-1)*7</f>
        <v/>
      </c>
      <c r="C1603">
        <f>TEXT(B1603,"mmm yyyy")</f>
        <v/>
      </c>
      <c r="D1603">
        <f>"Q"&amp;(INT((A1603-1)/13)+1)</f>
        <v/>
      </c>
      <c r="E1603" t="inlineStr">
        <is>
          <t>Costco</t>
        </is>
      </c>
      <c r="F1603">
        <f>IFERROR(INDEX(ChFormat,MATCH(E1603,ChName,0)),"")</f>
        <v/>
      </c>
      <c r="G1603" t="inlineStr">
        <is>
          <t>BC</t>
        </is>
      </c>
      <c r="H1603">
        <f>IF(A1603&lt;=NWeeks,1,0)</f>
        <v/>
      </c>
      <c r="I1603">
        <f>INDEX(ChLaunch,MATCH(E1603,ChName,0))</f>
        <v/>
      </c>
      <c r="J1603">
        <f>INDEX(ChWeeksFull,MATCH(E1603,ChName,0))</f>
        <v/>
      </c>
      <c r="K1603">
        <f>INDEX(ChRamp,MATCH(E1603,ChName,0))</f>
        <v/>
      </c>
      <c r="L1603" s="45">
        <f>MIN(1,MAX(0,(A1603-I1603+1)*RampSpeed/J1603))</f>
        <v/>
      </c>
      <c r="M1603" s="45">
        <f>IF(A1603&lt;I1603,0,IF(K1603="S-curve",L1603*L1603*(3-2*L1603),L1603))</f>
        <v/>
      </c>
      <c r="N1603" s="45">
        <f>1+(INDEX(SeasonIdx,A1603)-1)*SeasonAmp</f>
        <v/>
      </c>
      <c r="O1603" s="45">
        <f>IFERROR(INDEX(PSPct,MATCH(E1603&amp;"|"&amp;G1603,PSKey,0)),0)</f>
        <v/>
      </c>
      <c r="P1603" s="46">
        <f>INDEX(ChDoorVel,MATCH(E1603,ChName,0))*CalibScalar*(1+VelocityUplift)</f>
        <v/>
      </c>
      <c r="Q1603" s="46" t="n">
        <v>0</v>
      </c>
      <c r="R1603" s="46">
        <f>P1603*O1603*M1603*N1603*H1603</f>
        <v/>
      </c>
      <c r="S1603" s="46">
        <f>R1603*INDEX(FmtCansPerCase,MATCH(F1603,FmtName,0))</f>
        <v/>
      </c>
      <c r="T1603" s="46">
        <f>S1603/INDEX(FmtCansPerPack,MATCH(F1603,FmtName,0))</f>
        <v/>
      </c>
      <c r="U1603" s="47">
        <f>INDEX(ChBaseCP,MATCH(E1603,ChName,0))*(1+INDEX(ProvMod,MATCH(G1603,ProvCode,0)))*(1+PriceIndex)</f>
        <v/>
      </c>
      <c r="V1603" s="47">
        <f>R1603*U1603*INDEX(FmtBlendedPriceIdx,MATCH(F1603,FmtName,0))</f>
        <v/>
      </c>
      <c r="W1603" s="47">
        <f>T1603*INDEX(ProvSRP,MATCH(G1603,ProvCode,0))*(1+PriceIndex)</f>
        <v/>
      </c>
      <c r="X1603" s="47">
        <f>IF(GrossBasis="Wholesale",V1603,W1603)</f>
        <v/>
      </c>
      <c r="Y1603" s="47">
        <f>R1603*INDEX(FmtBlendedCogs,MATCH(F1603,FmtName,0))</f>
        <v/>
      </c>
      <c r="Z1603" s="47">
        <f>X1603-Y1603</f>
        <v/>
      </c>
    </row>
    <row r="1604">
      <c r="A1604" t="n">
        <v>13</v>
      </c>
      <c r="B1604" s="44">
        <f>FiscalStart+(A1604-1)*7</f>
        <v/>
      </c>
      <c r="C1604">
        <f>TEXT(B1604,"mmm yyyy")</f>
        <v/>
      </c>
      <c r="D1604">
        <f>"Q"&amp;(INT((A1604-1)/13)+1)</f>
        <v/>
      </c>
      <c r="E1604" t="inlineStr">
        <is>
          <t>Costco</t>
        </is>
      </c>
      <c r="F1604">
        <f>IFERROR(INDEX(ChFormat,MATCH(E1604,ChName,0)),"")</f>
        <v/>
      </c>
      <c r="G1604" t="inlineStr">
        <is>
          <t>BC</t>
        </is>
      </c>
      <c r="H1604">
        <f>IF(A1604&lt;=NWeeks,1,0)</f>
        <v/>
      </c>
      <c r="I1604">
        <f>INDEX(ChLaunch,MATCH(E1604,ChName,0))</f>
        <v/>
      </c>
      <c r="J1604">
        <f>INDEX(ChWeeksFull,MATCH(E1604,ChName,0))</f>
        <v/>
      </c>
      <c r="K1604">
        <f>INDEX(ChRamp,MATCH(E1604,ChName,0))</f>
        <v/>
      </c>
      <c r="L1604" s="45">
        <f>MIN(1,MAX(0,(A1604-I1604+1)*RampSpeed/J1604))</f>
        <v/>
      </c>
      <c r="M1604" s="45">
        <f>IF(A1604&lt;I1604,0,IF(K1604="S-curve",L1604*L1604*(3-2*L1604),L1604))</f>
        <v/>
      </c>
      <c r="N1604" s="45">
        <f>1+(INDEX(SeasonIdx,A1604)-1)*SeasonAmp</f>
        <v/>
      </c>
      <c r="O1604" s="45">
        <f>IFERROR(INDEX(PSPct,MATCH(E1604&amp;"|"&amp;G1604,PSKey,0)),0)</f>
        <v/>
      </c>
      <c r="P1604" s="46">
        <f>INDEX(ChDoorVel,MATCH(E1604,ChName,0))*CalibScalar*(1+VelocityUplift)</f>
        <v/>
      </c>
      <c r="Q1604" s="46" t="n">
        <v>0</v>
      </c>
      <c r="R1604" s="46">
        <f>P1604*O1604*M1604*N1604*H1604</f>
        <v/>
      </c>
      <c r="S1604" s="46">
        <f>R1604*INDEX(FmtCansPerCase,MATCH(F1604,FmtName,0))</f>
        <v/>
      </c>
      <c r="T1604" s="46">
        <f>S1604/INDEX(FmtCansPerPack,MATCH(F1604,FmtName,0))</f>
        <v/>
      </c>
      <c r="U1604" s="47">
        <f>INDEX(ChBaseCP,MATCH(E1604,ChName,0))*(1+INDEX(ProvMod,MATCH(G1604,ProvCode,0)))*(1+PriceIndex)</f>
        <v/>
      </c>
      <c r="V1604" s="47">
        <f>R1604*U1604*INDEX(FmtBlendedPriceIdx,MATCH(F1604,FmtName,0))</f>
        <v/>
      </c>
      <c r="W1604" s="47">
        <f>T1604*INDEX(ProvSRP,MATCH(G1604,ProvCode,0))*(1+PriceIndex)</f>
        <v/>
      </c>
      <c r="X1604" s="47">
        <f>IF(GrossBasis="Wholesale",V1604,W1604)</f>
        <v/>
      </c>
      <c r="Y1604" s="47">
        <f>R1604*INDEX(FmtBlendedCogs,MATCH(F1604,FmtName,0))</f>
        <v/>
      </c>
      <c r="Z1604" s="47">
        <f>X1604-Y1604</f>
        <v/>
      </c>
    </row>
    <row r="1605">
      <c r="A1605" t="n">
        <v>14</v>
      </c>
      <c r="B1605" s="44">
        <f>FiscalStart+(A1605-1)*7</f>
        <v/>
      </c>
      <c r="C1605">
        <f>TEXT(B1605,"mmm yyyy")</f>
        <v/>
      </c>
      <c r="D1605">
        <f>"Q"&amp;(INT((A1605-1)/13)+1)</f>
        <v/>
      </c>
      <c r="E1605" t="inlineStr">
        <is>
          <t>Costco</t>
        </is>
      </c>
      <c r="F1605">
        <f>IFERROR(INDEX(ChFormat,MATCH(E1605,ChName,0)),"")</f>
        <v/>
      </c>
      <c r="G1605" t="inlineStr">
        <is>
          <t>BC</t>
        </is>
      </c>
      <c r="H1605">
        <f>IF(A1605&lt;=NWeeks,1,0)</f>
        <v/>
      </c>
      <c r="I1605">
        <f>INDEX(ChLaunch,MATCH(E1605,ChName,0))</f>
        <v/>
      </c>
      <c r="J1605">
        <f>INDEX(ChWeeksFull,MATCH(E1605,ChName,0))</f>
        <v/>
      </c>
      <c r="K1605">
        <f>INDEX(ChRamp,MATCH(E1605,ChName,0))</f>
        <v/>
      </c>
      <c r="L1605" s="45">
        <f>MIN(1,MAX(0,(A1605-I1605+1)*RampSpeed/J1605))</f>
        <v/>
      </c>
      <c r="M1605" s="45">
        <f>IF(A1605&lt;I1605,0,IF(K1605="S-curve",L1605*L1605*(3-2*L1605),L1605))</f>
        <v/>
      </c>
      <c r="N1605" s="45">
        <f>1+(INDEX(SeasonIdx,A1605)-1)*SeasonAmp</f>
        <v/>
      </c>
      <c r="O1605" s="45">
        <f>IFERROR(INDEX(PSPct,MATCH(E1605&amp;"|"&amp;G1605,PSKey,0)),0)</f>
        <v/>
      </c>
      <c r="P1605" s="46">
        <f>INDEX(ChDoorVel,MATCH(E1605,ChName,0))*CalibScalar*(1+VelocityUplift)</f>
        <v/>
      </c>
      <c r="Q1605" s="46" t="n">
        <v>0</v>
      </c>
      <c r="R1605" s="46">
        <f>P1605*O1605*M1605*N1605*H1605</f>
        <v/>
      </c>
      <c r="S1605" s="46">
        <f>R1605*INDEX(FmtCansPerCase,MATCH(F1605,FmtName,0))</f>
        <v/>
      </c>
      <c r="T1605" s="46">
        <f>S1605/INDEX(FmtCansPerPack,MATCH(F1605,FmtName,0))</f>
        <v/>
      </c>
      <c r="U1605" s="47">
        <f>INDEX(ChBaseCP,MATCH(E1605,ChName,0))*(1+INDEX(ProvMod,MATCH(G1605,ProvCode,0)))*(1+PriceIndex)</f>
        <v/>
      </c>
      <c r="V1605" s="47">
        <f>R1605*U1605*INDEX(FmtBlendedPriceIdx,MATCH(F1605,FmtName,0))</f>
        <v/>
      </c>
      <c r="W1605" s="47">
        <f>T1605*INDEX(ProvSRP,MATCH(G1605,ProvCode,0))*(1+PriceIndex)</f>
        <v/>
      </c>
      <c r="X1605" s="47">
        <f>IF(GrossBasis="Wholesale",V1605,W1605)</f>
        <v/>
      </c>
      <c r="Y1605" s="47">
        <f>R1605*INDEX(FmtBlendedCogs,MATCH(F1605,FmtName,0))</f>
        <v/>
      </c>
      <c r="Z1605" s="47">
        <f>X1605-Y1605</f>
        <v/>
      </c>
    </row>
    <row r="1606">
      <c r="A1606" t="n">
        <v>15</v>
      </c>
      <c r="B1606" s="44">
        <f>FiscalStart+(A1606-1)*7</f>
        <v/>
      </c>
      <c r="C1606">
        <f>TEXT(B1606,"mmm yyyy")</f>
        <v/>
      </c>
      <c r="D1606">
        <f>"Q"&amp;(INT((A1606-1)/13)+1)</f>
        <v/>
      </c>
      <c r="E1606" t="inlineStr">
        <is>
          <t>Costco</t>
        </is>
      </c>
      <c r="F1606">
        <f>IFERROR(INDEX(ChFormat,MATCH(E1606,ChName,0)),"")</f>
        <v/>
      </c>
      <c r="G1606" t="inlineStr">
        <is>
          <t>BC</t>
        </is>
      </c>
      <c r="H1606">
        <f>IF(A1606&lt;=NWeeks,1,0)</f>
        <v/>
      </c>
      <c r="I1606">
        <f>INDEX(ChLaunch,MATCH(E1606,ChName,0))</f>
        <v/>
      </c>
      <c r="J1606">
        <f>INDEX(ChWeeksFull,MATCH(E1606,ChName,0))</f>
        <v/>
      </c>
      <c r="K1606">
        <f>INDEX(ChRamp,MATCH(E1606,ChName,0))</f>
        <v/>
      </c>
      <c r="L1606" s="45">
        <f>MIN(1,MAX(0,(A1606-I1606+1)*RampSpeed/J1606))</f>
        <v/>
      </c>
      <c r="M1606" s="45">
        <f>IF(A1606&lt;I1606,0,IF(K1606="S-curve",L1606*L1606*(3-2*L1606),L1606))</f>
        <v/>
      </c>
      <c r="N1606" s="45">
        <f>1+(INDEX(SeasonIdx,A1606)-1)*SeasonAmp</f>
        <v/>
      </c>
      <c r="O1606" s="45">
        <f>IFERROR(INDEX(PSPct,MATCH(E1606&amp;"|"&amp;G1606,PSKey,0)),0)</f>
        <v/>
      </c>
      <c r="P1606" s="46">
        <f>INDEX(ChDoorVel,MATCH(E1606,ChName,0))*CalibScalar*(1+VelocityUplift)</f>
        <v/>
      </c>
      <c r="Q1606" s="46" t="n">
        <v>0</v>
      </c>
      <c r="R1606" s="46">
        <f>P1606*O1606*M1606*N1606*H1606</f>
        <v/>
      </c>
      <c r="S1606" s="46">
        <f>R1606*INDEX(FmtCansPerCase,MATCH(F1606,FmtName,0))</f>
        <v/>
      </c>
      <c r="T1606" s="46">
        <f>S1606/INDEX(FmtCansPerPack,MATCH(F1606,FmtName,0))</f>
        <v/>
      </c>
      <c r="U1606" s="47">
        <f>INDEX(ChBaseCP,MATCH(E1606,ChName,0))*(1+INDEX(ProvMod,MATCH(G1606,ProvCode,0)))*(1+PriceIndex)</f>
        <v/>
      </c>
      <c r="V1606" s="47">
        <f>R1606*U1606*INDEX(FmtBlendedPriceIdx,MATCH(F1606,FmtName,0))</f>
        <v/>
      </c>
      <c r="W1606" s="47">
        <f>T1606*INDEX(ProvSRP,MATCH(G1606,ProvCode,0))*(1+PriceIndex)</f>
        <v/>
      </c>
      <c r="X1606" s="47">
        <f>IF(GrossBasis="Wholesale",V1606,W1606)</f>
        <v/>
      </c>
      <c r="Y1606" s="47">
        <f>R1606*INDEX(FmtBlendedCogs,MATCH(F1606,FmtName,0))</f>
        <v/>
      </c>
      <c r="Z1606" s="47">
        <f>X1606-Y1606</f>
        <v/>
      </c>
    </row>
    <row r="1607">
      <c r="A1607" t="n">
        <v>16</v>
      </c>
      <c r="B1607" s="44">
        <f>FiscalStart+(A1607-1)*7</f>
        <v/>
      </c>
      <c r="C1607">
        <f>TEXT(B1607,"mmm yyyy")</f>
        <v/>
      </c>
      <c r="D1607">
        <f>"Q"&amp;(INT((A1607-1)/13)+1)</f>
        <v/>
      </c>
      <c r="E1607" t="inlineStr">
        <is>
          <t>Costco</t>
        </is>
      </c>
      <c r="F1607">
        <f>IFERROR(INDEX(ChFormat,MATCH(E1607,ChName,0)),"")</f>
        <v/>
      </c>
      <c r="G1607" t="inlineStr">
        <is>
          <t>BC</t>
        </is>
      </c>
      <c r="H1607">
        <f>IF(A1607&lt;=NWeeks,1,0)</f>
        <v/>
      </c>
      <c r="I1607">
        <f>INDEX(ChLaunch,MATCH(E1607,ChName,0))</f>
        <v/>
      </c>
      <c r="J1607">
        <f>INDEX(ChWeeksFull,MATCH(E1607,ChName,0))</f>
        <v/>
      </c>
      <c r="K1607">
        <f>INDEX(ChRamp,MATCH(E1607,ChName,0))</f>
        <v/>
      </c>
      <c r="L1607" s="45">
        <f>MIN(1,MAX(0,(A1607-I1607+1)*RampSpeed/J1607))</f>
        <v/>
      </c>
      <c r="M1607" s="45">
        <f>IF(A1607&lt;I1607,0,IF(K1607="S-curve",L1607*L1607*(3-2*L1607),L1607))</f>
        <v/>
      </c>
      <c r="N1607" s="45">
        <f>1+(INDEX(SeasonIdx,A1607)-1)*SeasonAmp</f>
        <v/>
      </c>
      <c r="O1607" s="45">
        <f>IFERROR(INDEX(PSPct,MATCH(E1607&amp;"|"&amp;G1607,PSKey,0)),0)</f>
        <v/>
      </c>
      <c r="P1607" s="46">
        <f>INDEX(ChDoorVel,MATCH(E1607,ChName,0))*CalibScalar*(1+VelocityUplift)</f>
        <v/>
      </c>
      <c r="Q1607" s="46" t="n">
        <v>0</v>
      </c>
      <c r="R1607" s="46">
        <f>P1607*O1607*M1607*N1607*H1607</f>
        <v/>
      </c>
      <c r="S1607" s="46">
        <f>R1607*INDEX(FmtCansPerCase,MATCH(F1607,FmtName,0))</f>
        <v/>
      </c>
      <c r="T1607" s="46">
        <f>S1607/INDEX(FmtCansPerPack,MATCH(F1607,FmtName,0))</f>
        <v/>
      </c>
      <c r="U1607" s="47">
        <f>INDEX(ChBaseCP,MATCH(E1607,ChName,0))*(1+INDEX(ProvMod,MATCH(G1607,ProvCode,0)))*(1+PriceIndex)</f>
        <v/>
      </c>
      <c r="V1607" s="47">
        <f>R1607*U1607*INDEX(FmtBlendedPriceIdx,MATCH(F1607,FmtName,0))</f>
        <v/>
      </c>
      <c r="W1607" s="47">
        <f>T1607*INDEX(ProvSRP,MATCH(G1607,ProvCode,0))*(1+PriceIndex)</f>
        <v/>
      </c>
      <c r="X1607" s="47">
        <f>IF(GrossBasis="Wholesale",V1607,W1607)</f>
        <v/>
      </c>
      <c r="Y1607" s="47">
        <f>R1607*INDEX(FmtBlendedCogs,MATCH(F1607,FmtName,0))</f>
        <v/>
      </c>
      <c r="Z1607" s="47">
        <f>X1607-Y1607</f>
        <v/>
      </c>
    </row>
    <row r="1608">
      <c r="A1608" t="n">
        <v>17</v>
      </c>
      <c r="B1608" s="44">
        <f>FiscalStart+(A1608-1)*7</f>
        <v/>
      </c>
      <c r="C1608">
        <f>TEXT(B1608,"mmm yyyy")</f>
        <v/>
      </c>
      <c r="D1608">
        <f>"Q"&amp;(INT((A1608-1)/13)+1)</f>
        <v/>
      </c>
      <c r="E1608" t="inlineStr">
        <is>
          <t>Costco</t>
        </is>
      </c>
      <c r="F1608">
        <f>IFERROR(INDEX(ChFormat,MATCH(E1608,ChName,0)),"")</f>
        <v/>
      </c>
      <c r="G1608" t="inlineStr">
        <is>
          <t>BC</t>
        </is>
      </c>
      <c r="H1608">
        <f>IF(A1608&lt;=NWeeks,1,0)</f>
        <v/>
      </c>
      <c r="I1608">
        <f>INDEX(ChLaunch,MATCH(E1608,ChName,0))</f>
        <v/>
      </c>
      <c r="J1608">
        <f>INDEX(ChWeeksFull,MATCH(E1608,ChName,0))</f>
        <v/>
      </c>
      <c r="K1608">
        <f>INDEX(ChRamp,MATCH(E1608,ChName,0))</f>
        <v/>
      </c>
      <c r="L1608" s="45">
        <f>MIN(1,MAX(0,(A1608-I1608+1)*RampSpeed/J1608))</f>
        <v/>
      </c>
      <c r="M1608" s="45">
        <f>IF(A1608&lt;I1608,0,IF(K1608="S-curve",L1608*L1608*(3-2*L1608),L1608))</f>
        <v/>
      </c>
      <c r="N1608" s="45">
        <f>1+(INDEX(SeasonIdx,A1608)-1)*SeasonAmp</f>
        <v/>
      </c>
      <c r="O1608" s="45">
        <f>IFERROR(INDEX(PSPct,MATCH(E1608&amp;"|"&amp;G1608,PSKey,0)),0)</f>
        <v/>
      </c>
      <c r="P1608" s="46">
        <f>INDEX(ChDoorVel,MATCH(E1608,ChName,0))*CalibScalar*(1+VelocityUplift)</f>
        <v/>
      </c>
      <c r="Q1608" s="46" t="n">
        <v>0</v>
      </c>
      <c r="R1608" s="46">
        <f>P1608*O1608*M1608*N1608*H1608</f>
        <v/>
      </c>
      <c r="S1608" s="46">
        <f>R1608*INDEX(FmtCansPerCase,MATCH(F1608,FmtName,0))</f>
        <v/>
      </c>
      <c r="T1608" s="46">
        <f>S1608/INDEX(FmtCansPerPack,MATCH(F1608,FmtName,0))</f>
        <v/>
      </c>
      <c r="U1608" s="47">
        <f>INDEX(ChBaseCP,MATCH(E1608,ChName,0))*(1+INDEX(ProvMod,MATCH(G1608,ProvCode,0)))*(1+PriceIndex)</f>
        <v/>
      </c>
      <c r="V1608" s="47">
        <f>R1608*U1608*INDEX(FmtBlendedPriceIdx,MATCH(F1608,FmtName,0))</f>
        <v/>
      </c>
      <c r="W1608" s="47">
        <f>T1608*INDEX(ProvSRP,MATCH(G1608,ProvCode,0))*(1+PriceIndex)</f>
        <v/>
      </c>
      <c r="X1608" s="47">
        <f>IF(GrossBasis="Wholesale",V1608,W1608)</f>
        <v/>
      </c>
      <c r="Y1608" s="47">
        <f>R1608*INDEX(FmtBlendedCogs,MATCH(F1608,FmtName,0))</f>
        <v/>
      </c>
      <c r="Z1608" s="47">
        <f>X1608-Y1608</f>
        <v/>
      </c>
    </row>
    <row r="1609">
      <c r="A1609" t="n">
        <v>18</v>
      </c>
      <c r="B1609" s="44">
        <f>FiscalStart+(A1609-1)*7</f>
        <v/>
      </c>
      <c r="C1609">
        <f>TEXT(B1609,"mmm yyyy")</f>
        <v/>
      </c>
      <c r="D1609">
        <f>"Q"&amp;(INT((A1609-1)/13)+1)</f>
        <v/>
      </c>
      <c r="E1609" t="inlineStr">
        <is>
          <t>Costco</t>
        </is>
      </c>
      <c r="F1609">
        <f>IFERROR(INDEX(ChFormat,MATCH(E1609,ChName,0)),"")</f>
        <v/>
      </c>
      <c r="G1609" t="inlineStr">
        <is>
          <t>BC</t>
        </is>
      </c>
      <c r="H1609">
        <f>IF(A1609&lt;=NWeeks,1,0)</f>
        <v/>
      </c>
      <c r="I1609">
        <f>INDEX(ChLaunch,MATCH(E1609,ChName,0))</f>
        <v/>
      </c>
      <c r="J1609">
        <f>INDEX(ChWeeksFull,MATCH(E1609,ChName,0))</f>
        <v/>
      </c>
      <c r="K1609">
        <f>INDEX(ChRamp,MATCH(E1609,ChName,0))</f>
        <v/>
      </c>
      <c r="L1609" s="45">
        <f>MIN(1,MAX(0,(A1609-I1609+1)*RampSpeed/J1609))</f>
        <v/>
      </c>
      <c r="M1609" s="45">
        <f>IF(A1609&lt;I1609,0,IF(K1609="S-curve",L1609*L1609*(3-2*L1609),L1609))</f>
        <v/>
      </c>
      <c r="N1609" s="45">
        <f>1+(INDEX(SeasonIdx,A1609)-1)*SeasonAmp</f>
        <v/>
      </c>
      <c r="O1609" s="45">
        <f>IFERROR(INDEX(PSPct,MATCH(E1609&amp;"|"&amp;G1609,PSKey,0)),0)</f>
        <v/>
      </c>
      <c r="P1609" s="46">
        <f>INDEX(ChDoorVel,MATCH(E1609,ChName,0))*CalibScalar*(1+VelocityUplift)</f>
        <v/>
      </c>
      <c r="Q1609" s="46" t="n">
        <v>0</v>
      </c>
      <c r="R1609" s="46">
        <f>P1609*O1609*M1609*N1609*H1609</f>
        <v/>
      </c>
      <c r="S1609" s="46">
        <f>R1609*INDEX(FmtCansPerCase,MATCH(F1609,FmtName,0))</f>
        <v/>
      </c>
      <c r="T1609" s="46">
        <f>S1609/INDEX(FmtCansPerPack,MATCH(F1609,FmtName,0))</f>
        <v/>
      </c>
      <c r="U1609" s="47">
        <f>INDEX(ChBaseCP,MATCH(E1609,ChName,0))*(1+INDEX(ProvMod,MATCH(G1609,ProvCode,0)))*(1+PriceIndex)</f>
        <v/>
      </c>
      <c r="V1609" s="47">
        <f>R1609*U1609*INDEX(FmtBlendedPriceIdx,MATCH(F1609,FmtName,0))</f>
        <v/>
      </c>
      <c r="W1609" s="47">
        <f>T1609*INDEX(ProvSRP,MATCH(G1609,ProvCode,0))*(1+PriceIndex)</f>
        <v/>
      </c>
      <c r="X1609" s="47">
        <f>IF(GrossBasis="Wholesale",V1609,W1609)</f>
        <v/>
      </c>
      <c r="Y1609" s="47">
        <f>R1609*INDEX(FmtBlendedCogs,MATCH(F1609,FmtName,0))</f>
        <v/>
      </c>
      <c r="Z1609" s="47">
        <f>X1609-Y1609</f>
        <v/>
      </c>
    </row>
    <row r="1610">
      <c r="A1610" t="n">
        <v>19</v>
      </c>
      <c r="B1610" s="44">
        <f>FiscalStart+(A1610-1)*7</f>
        <v/>
      </c>
      <c r="C1610">
        <f>TEXT(B1610,"mmm yyyy")</f>
        <v/>
      </c>
      <c r="D1610">
        <f>"Q"&amp;(INT((A1610-1)/13)+1)</f>
        <v/>
      </c>
      <c r="E1610" t="inlineStr">
        <is>
          <t>Costco</t>
        </is>
      </c>
      <c r="F1610">
        <f>IFERROR(INDEX(ChFormat,MATCH(E1610,ChName,0)),"")</f>
        <v/>
      </c>
      <c r="G1610" t="inlineStr">
        <is>
          <t>BC</t>
        </is>
      </c>
      <c r="H1610">
        <f>IF(A1610&lt;=NWeeks,1,0)</f>
        <v/>
      </c>
      <c r="I1610">
        <f>INDEX(ChLaunch,MATCH(E1610,ChName,0))</f>
        <v/>
      </c>
      <c r="J1610">
        <f>INDEX(ChWeeksFull,MATCH(E1610,ChName,0))</f>
        <v/>
      </c>
      <c r="K1610">
        <f>INDEX(ChRamp,MATCH(E1610,ChName,0))</f>
        <v/>
      </c>
      <c r="L1610" s="45">
        <f>MIN(1,MAX(0,(A1610-I1610+1)*RampSpeed/J1610))</f>
        <v/>
      </c>
      <c r="M1610" s="45">
        <f>IF(A1610&lt;I1610,0,IF(K1610="S-curve",L1610*L1610*(3-2*L1610),L1610))</f>
        <v/>
      </c>
      <c r="N1610" s="45">
        <f>1+(INDEX(SeasonIdx,A1610)-1)*SeasonAmp</f>
        <v/>
      </c>
      <c r="O1610" s="45">
        <f>IFERROR(INDEX(PSPct,MATCH(E1610&amp;"|"&amp;G1610,PSKey,0)),0)</f>
        <v/>
      </c>
      <c r="P1610" s="46">
        <f>INDEX(ChDoorVel,MATCH(E1610,ChName,0))*CalibScalar*(1+VelocityUplift)</f>
        <v/>
      </c>
      <c r="Q1610" s="46" t="n">
        <v>0</v>
      </c>
      <c r="R1610" s="46">
        <f>P1610*O1610*M1610*N1610*H1610</f>
        <v/>
      </c>
      <c r="S1610" s="46">
        <f>R1610*INDEX(FmtCansPerCase,MATCH(F1610,FmtName,0))</f>
        <v/>
      </c>
      <c r="T1610" s="46">
        <f>S1610/INDEX(FmtCansPerPack,MATCH(F1610,FmtName,0))</f>
        <v/>
      </c>
      <c r="U1610" s="47">
        <f>INDEX(ChBaseCP,MATCH(E1610,ChName,0))*(1+INDEX(ProvMod,MATCH(G1610,ProvCode,0)))*(1+PriceIndex)</f>
        <v/>
      </c>
      <c r="V1610" s="47">
        <f>R1610*U1610*INDEX(FmtBlendedPriceIdx,MATCH(F1610,FmtName,0))</f>
        <v/>
      </c>
      <c r="W1610" s="47">
        <f>T1610*INDEX(ProvSRP,MATCH(G1610,ProvCode,0))*(1+PriceIndex)</f>
        <v/>
      </c>
      <c r="X1610" s="47">
        <f>IF(GrossBasis="Wholesale",V1610,W1610)</f>
        <v/>
      </c>
      <c r="Y1610" s="47">
        <f>R1610*INDEX(FmtBlendedCogs,MATCH(F1610,FmtName,0))</f>
        <v/>
      </c>
      <c r="Z1610" s="47">
        <f>X1610-Y1610</f>
        <v/>
      </c>
    </row>
    <row r="1611">
      <c r="A1611" t="n">
        <v>20</v>
      </c>
      <c r="B1611" s="44">
        <f>FiscalStart+(A1611-1)*7</f>
        <v/>
      </c>
      <c r="C1611">
        <f>TEXT(B1611,"mmm yyyy")</f>
        <v/>
      </c>
      <c r="D1611">
        <f>"Q"&amp;(INT((A1611-1)/13)+1)</f>
        <v/>
      </c>
      <c r="E1611" t="inlineStr">
        <is>
          <t>Costco</t>
        </is>
      </c>
      <c r="F1611">
        <f>IFERROR(INDEX(ChFormat,MATCH(E1611,ChName,0)),"")</f>
        <v/>
      </c>
      <c r="G1611" t="inlineStr">
        <is>
          <t>BC</t>
        </is>
      </c>
      <c r="H1611">
        <f>IF(A1611&lt;=NWeeks,1,0)</f>
        <v/>
      </c>
      <c r="I1611">
        <f>INDEX(ChLaunch,MATCH(E1611,ChName,0))</f>
        <v/>
      </c>
      <c r="J1611">
        <f>INDEX(ChWeeksFull,MATCH(E1611,ChName,0))</f>
        <v/>
      </c>
      <c r="K1611">
        <f>INDEX(ChRamp,MATCH(E1611,ChName,0))</f>
        <v/>
      </c>
      <c r="L1611" s="45">
        <f>MIN(1,MAX(0,(A1611-I1611+1)*RampSpeed/J1611))</f>
        <v/>
      </c>
      <c r="M1611" s="45">
        <f>IF(A1611&lt;I1611,0,IF(K1611="S-curve",L1611*L1611*(3-2*L1611),L1611))</f>
        <v/>
      </c>
      <c r="N1611" s="45">
        <f>1+(INDEX(SeasonIdx,A1611)-1)*SeasonAmp</f>
        <v/>
      </c>
      <c r="O1611" s="45">
        <f>IFERROR(INDEX(PSPct,MATCH(E1611&amp;"|"&amp;G1611,PSKey,0)),0)</f>
        <v/>
      </c>
      <c r="P1611" s="46">
        <f>INDEX(ChDoorVel,MATCH(E1611,ChName,0))*CalibScalar*(1+VelocityUplift)</f>
        <v/>
      </c>
      <c r="Q1611" s="46" t="n">
        <v>0</v>
      </c>
      <c r="R1611" s="46">
        <f>P1611*O1611*M1611*N1611*H1611</f>
        <v/>
      </c>
      <c r="S1611" s="46">
        <f>R1611*INDEX(FmtCansPerCase,MATCH(F1611,FmtName,0))</f>
        <v/>
      </c>
      <c r="T1611" s="46">
        <f>S1611/INDEX(FmtCansPerPack,MATCH(F1611,FmtName,0))</f>
        <v/>
      </c>
      <c r="U1611" s="47">
        <f>INDEX(ChBaseCP,MATCH(E1611,ChName,0))*(1+INDEX(ProvMod,MATCH(G1611,ProvCode,0)))*(1+PriceIndex)</f>
        <v/>
      </c>
      <c r="V1611" s="47">
        <f>R1611*U1611*INDEX(FmtBlendedPriceIdx,MATCH(F1611,FmtName,0))</f>
        <v/>
      </c>
      <c r="W1611" s="47">
        <f>T1611*INDEX(ProvSRP,MATCH(G1611,ProvCode,0))*(1+PriceIndex)</f>
        <v/>
      </c>
      <c r="X1611" s="47">
        <f>IF(GrossBasis="Wholesale",V1611,W1611)</f>
        <v/>
      </c>
      <c r="Y1611" s="47">
        <f>R1611*INDEX(FmtBlendedCogs,MATCH(F1611,FmtName,0))</f>
        <v/>
      </c>
      <c r="Z1611" s="47">
        <f>X1611-Y1611</f>
        <v/>
      </c>
    </row>
    <row r="1612">
      <c r="A1612" t="n">
        <v>21</v>
      </c>
      <c r="B1612" s="44">
        <f>FiscalStart+(A1612-1)*7</f>
        <v/>
      </c>
      <c r="C1612">
        <f>TEXT(B1612,"mmm yyyy")</f>
        <v/>
      </c>
      <c r="D1612">
        <f>"Q"&amp;(INT((A1612-1)/13)+1)</f>
        <v/>
      </c>
      <c r="E1612" t="inlineStr">
        <is>
          <t>Costco</t>
        </is>
      </c>
      <c r="F1612">
        <f>IFERROR(INDEX(ChFormat,MATCH(E1612,ChName,0)),"")</f>
        <v/>
      </c>
      <c r="G1612" t="inlineStr">
        <is>
          <t>BC</t>
        </is>
      </c>
      <c r="H1612">
        <f>IF(A1612&lt;=NWeeks,1,0)</f>
        <v/>
      </c>
      <c r="I1612">
        <f>INDEX(ChLaunch,MATCH(E1612,ChName,0))</f>
        <v/>
      </c>
      <c r="J1612">
        <f>INDEX(ChWeeksFull,MATCH(E1612,ChName,0))</f>
        <v/>
      </c>
      <c r="K1612">
        <f>INDEX(ChRamp,MATCH(E1612,ChName,0))</f>
        <v/>
      </c>
      <c r="L1612" s="45">
        <f>MIN(1,MAX(0,(A1612-I1612+1)*RampSpeed/J1612))</f>
        <v/>
      </c>
      <c r="M1612" s="45">
        <f>IF(A1612&lt;I1612,0,IF(K1612="S-curve",L1612*L1612*(3-2*L1612),L1612))</f>
        <v/>
      </c>
      <c r="N1612" s="45">
        <f>1+(INDEX(SeasonIdx,A1612)-1)*SeasonAmp</f>
        <v/>
      </c>
      <c r="O1612" s="45">
        <f>IFERROR(INDEX(PSPct,MATCH(E1612&amp;"|"&amp;G1612,PSKey,0)),0)</f>
        <v/>
      </c>
      <c r="P1612" s="46">
        <f>INDEX(ChDoorVel,MATCH(E1612,ChName,0))*CalibScalar*(1+VelocityUplift)</f>
        <v/>
      </c>
      <c r="Q1612" s="46" t="n">
        <v>0</v>
      </c>
      <c r="R1612" s="46">
        <f>P1612*O1612*M1612*N1612*H1612</f>
        <v/>
      </c>
      <c r="S1612" s="46">
        <f>R1612*INDEX(FmtCansPerCase,MATCH(F1612,FmtName,0))</f>
        <v/>
      </c>
      <c r="T1612" s="46">
        <f>S1612/INDEX(FmtCansPerPack,MATCH(F1612,FmtName,0))</f>
        <v/>
      </c>
      <c r="U1612" s="47">
        <f>INDEX(ChBaseCP,MATCH(E1612,ChName,0))*(1+INDEX(ProvMod,MATCH(G1612,ProvCode,0)))*(1+PriceIndex)</f>
        <v/>
      </c>
      <c r="V1612" s="47">
        <f>R1612*U1612*INDEX(FmtBlendedPriceIdx,MATCH(F1612,FmtName,0))</f>
        <v/>
      </c>
      <c r="W1612" s="47">
        <f>T1612*INDEX(ProvSRP,MATCH(G1612,ProvCode,0))*(1+PriceIndex)</f>
        <v/>
      </c>
      <c r="X1612" s="47">
        <f>IF(GrossBasis="Wholesale",V1612,W1612)</f>
        <v/>
      </c>
      <c r="Y1612" s="47">
        <f>R1612*INDEX(FmtBlendedCogs,MATCH(F1612,FmtName,0))</f>
        <v/>
      </c>
      <c r="Z1612" s="47">
        <f>X1612-Y1612</f>
        <v/>
      </c>
    </row>
    <row r="1613">
      <c r="A1613" t="n">
        <v>22</v>
      </c>
      <c r="B1613" s="44">
        <f>FiscalStart+(A1613-1)*7</f>
        <v/>
      </c>
      <c r="C1613">
        <f>TEXT(B1613,"mmm yyyy")</f>
        <v/>
      </c>
      <c r="D1613">
        <f>"Q"&amp;(INT((A1613-1)/13)+1)</f>
        <v/>
      </c>
      <c r="E1613" t="inlineStr">
        <is>
          <t>Costco</t>
        </is>
      </c>
      <c r="F1613">
        <f>IFERROR(INDEX(ChFormat,MATCH(E1613,ChName,0)),"")</f>
        <v/>
      </c>
      <c r="G1613" t="inlineStr">
        <is>
          <t>BC</t>
        </is>
      </c>
      <c r="H1613">
        <f>IF(A1613&lt;=NWeeks,1,0)</f>
        <v/>
      </c>
      <c r="I1613">
        <f>INDEX(ChLaunch,MATCH(E1613,ChName,0))</f>
        <v/>
      </c>
      <c r="J1613">
        <f>INDEX(ChWeeksFull,MATCH(E1613,ChName,0))</f>
        <v/>
      </c>
      <c r="K1613">
        <f>INDEX(ChRamp,MATCH(E1613,ChName,0))</f>
        <v/>
      </c>
      <c r="L1613" s="45">
        <f>MIN(1,MAX(0,(A1613-I1613+1)*RampSpeed/J1613))</f>
        <v/>
      </c>
      <c r="M1613" s="45">
        <f>IF(A1613&lt;I1613,0,IF(K1613="S-curve",L1613*L1613*(3-2*L1613),L1613))</f>
        <v/>
      </c>
      <c r="N1613" s="45">
        <f>1+(INDEX(SeasonIdx,A1613)-1)*SeasonAmp</f>
        <v/>
      </c>
      <c r="O1613" s="45">
        <f>IFERROR(INDEX(PSPct,MATCH(E1613&amp;"|"&amp;G1613,PSKey,0)),0)</f>
        <v/>
      </c>
      <c r="P1613" s="46">
        <f>INDEX(ChDoorVel,MATCH(E1613,ChName,0))*CalibScalar*(1+VelocityUplift)</f>
        <v/>
      </c>
      <c r="Q1613" s="46" t="n">
        <v>0</v>
      </c>
      <c r="R1613" s="46">
        <f>P1613*O1613*M1613*N1613*H1613</f>
        <v/>
      </c>
      <c r="S1613" s="46">
        <f>R1613*INDEX(FmtCansPerCase,MATCH(F1613,FmtName,0))</f>
        <v/>
      </c>
      <c r="T1613" s="46">
        <f>S1613/INDEX(FmtCansPerPack,MATCH(F1613,FmtName,0))</f>
        <v/>
      </c>
      <c r="U1613" s="47">
        <f>INDEX(ChBaseCP,MATCH(E1613,ChName,0))*(1+INDEX(ProvMod,MATCH(G1613,ProvCode,0)))*(1+PriceIndex)</f>
        <v/>
      </c>
      <c r="V1613" s="47">
        <f>R1613*U1613*INDEX(FmtBlendedPriceIdx,MATCH(F1613,FmtName,0))</f>
        <v/>
      </c>
      <c r="W1613" s="47">
        <f>T1613*INDEX(ProvSRP,MATCH(G1613,ProvCode,0))*(1+PriceIndex)</f>
        <v/>
      </c>
      <c r="X1613" s="47">
        <f>IF(GrossBasis="Wholesale",V1613,W1613)</f>
        <v/>
      </c>
      <c r="Y1613" s="47">
        <f>R1613*INDEX(FmtBlendedCogs,MATCH(F1613,FmtName,0))</f>
        <v/>
      </c>
      <c r="Z1613" s="47">
        <f>X1613-Y1613</f>
        <v/>
      </c>
    </row>
    <row r="1614">
      <c r="A1614" t="n">
        <v>23</v>
      </c>
      <c r="B1614" s="44">
        <f>FiscalStart+(A1614-1)*7</f>
        <v/>
      </c>
      <c r="C1614">
        <f>TEXT(B1614,"mmm yyyy")</f>
        <v/>
      </c>
      <c r="D1614">
        <f>"Q"&amp;(INT((A1614-1)/13)+1)</f>
        <v/>
      </c>
      <c r="E1614" t="inlineStr">
        <is>
          <t>Costco</t>
        </is>
      </c>
      <c r="F1614">
        <f>IFERROR(INDEX(ChFormat,MATCH(E1614,ChName,0)),"")</f>
        <v/>
      </c>
      <c r="G1614" t="inlineStr">
        <is>
          <t>BC</t>
        </is>
      </c>
      <c r="H1614">
        <f>IF(A1614&lt;=NWeeks,1,0)</f>
        <v/>
      </c>
      <c r="I1614">
        <f>INDEX(ChLaunch,MATCH(E1614,ChName,0))</f>
        <v/>
      </c>
      <c r="J1614">
        <f>INDEX(ChWeeksFull,MATCH(E1614,ChName,0))</f>
        <v/>
      </c>
      <c r="K1614">
        <f>INDEX(ChRamp,MATCH(E1614,ChName,0))</f>
        <v/>
      </c>
      <c r="L1614" s="45">
        <f>MIN(1,MAX(0,(A1614-I1614+1)*RampSpeed/J1614))</f>
        <v/>
      </c>
      <c r="M1614" s="45">
        <f>IF(A1614&lt;I1614,0,IF(K1614="S-curve",L1614*L1614*(3-2*L1614),L1614))</f>
        <v/>
      </c>
      <c r="N1614" s="45">
        <f>1+(INDEX(SeasonIdx,A1614)-1)*SeasonAmp</f>
        <v/>
      </c>
      <c r="O1614" s="45">
        <f>IFERROR(INDEX(PSPct,MATCH(E1614&amp;"|"&amp;G1614,PSKey,0)),0)</f>
        <v/>
      </c>
      <c r="P1614" s="46">
        <f>INDEX(ChDoorVel,MATCH(E1614,ChName,0))*CalibScalar*(1+VelocityUplift)</f>
        <v/>
      </c>
      <c r="Q1614" s="46" t="n">
        <v>0</v>
      </c>
      <c r="R1614" s="46">
        <f>P1614*O1614*M1614*N1614*H1614</f>
        <v/>
      </c>
      <c r="S1614" s="46">
        <f>R1614*INDEX(FmtCansPerCase,MATCH(F1614,FmtName,0))</f>
        <v/>
      </c>
      <c r="T1614" s="46">
        <f>S1614/INDEX(FmtCansPerPack,MATCH(F1614,FmtName,0))</f>
        <v/>
      </c>
      <c r="U1614" s="47">
        <f>INDEX(ChBaseCP,MATCH(E1614,ChName,0))*(1+INDEX(ProvMod,MATCH(G1614,ProvCode,0)))*(1+PriceIndex)</f>
        <v/>
      </c>
      <c r="V1614" s="47">
        <f>R1614*U1614*INDEX(FmtBlendedPriceIdx,MATCH(F1614,FmtName,0))</f>
        <v/>
      </c>
      <c r="W1614" s="47">
        <f>T1614*INDEX(ProvSRP,MATCH(G1614,ProvCode,0))*(1+PriceIndex)</f>
        <v/>
      </c>
      <c r="X1614" s="47">
        <f>IF(GrossBasis="Wholesale",V1614,W1614)</f>
        <v/>
      </c>
      <c r="Y1614" s="47">
        <f>R1614*INDEX(FmtBlendedCogs,MATCH(F1614,FmtName,0))</f>
        <v/>
      </c>
      <c r="Z1614" s="47">
        <f>X1614-Y1614</f>
        <v/>
      </c>
    </row>
    <row r="1615">
      <c r="A1615" t="n">
        <v>24</v>
      </c>
      <c r="B1615" s="44">
        <f>FiscalStart+(A1615-1)*7</f>
        <v/>
      </c>
      <c r="C1615">
        <f>TEXT(B1615,"mmm yyyy")</f>
        <v/>
      </c>
      <c r="D1615">
        <f>"Q"&amp;(INT((A1615-1)/13)+1)</f>
        <v/>
      </c>
      <c r="E1615" t="inlineStr">
        <is>
          <t>Costco</t>
        </is>
      </c>
      <c r="F1615">
        <f>IFERROR(INDEX(ChFormat,MATCH(E1615,ChName,0)),"")</f>
        <v/>
      </c>
      <c r="G1615" t="inlineStr">
        <is>
          <t>BC</t>
        </is>
      </c>
      <c r="H1615">
        <f>IF(A1615&lt;=NWeeks,1,0)</f>
        <v/>
      </c>
      <c r="I1615">
        <f>INDEX(ChLaunch,MATCH(E1615,ChName,0))</f>
        <v/>
      </c>
      <c r="J1615">
        <f>INDEX(ChWeeksFull,MATCH(E1615,ChName,0))</f>
        <v/>
      </c>
      <c r="K1615">
        <f>INDEX(ChRamp,MATCH(E1615,ChName,0))</f>
        <v/>
      </c>
      <c r="L1615" s="45">
        <f>MIN(1,MAX(0,(A1615-I1615+1)*RampSpeed/J1615))</f>
        <v/>
      </c>
      <c r="M1615" s="45">
        <f>IF(A1615&lt;I1615,0,IF(K1615="S-curve",L1615*L1615*(3-2*L1615),L1615))</f>
        <v/>
      </c>
      <c r="N1615" s="45">
        <f>1+(INDEX(SeasonIdx,A1615)-1)*SeasonAmp</f>
        <v/>
      </c>
      <c r="O1615" s="45">
        <f>IFERROR(INDEX(PSPct,MATCH(E1615&amp;"|"&amp;G1615,PSKey,0)),0)</f>
        <v/>
      </c>
      <c r="P1615" s="46">
        <f>INDEX(ChDoorVel,MATCH(E1615,ChName,0))*CalibScalar*(1+VelocityUplift)</f>
        <v/>
      </c>
      <c r="Q1615" s="46" t="n">
        <v>0</v>
      </c>
      <c r="R1615" s="46">
        <f>P1615*O1615*M1615*N1615*H1615</f>
        <v/>
      </c>
      <c r="S1615" s="46">
        <f>R1615*INDEX(FmtCansPerCase,MATCH(F1615,FmtName,0))</f>
        <v/>
      </c>
      <c r="T1615" s="46">
        <f>S1615/INDEX(FmtCansPerPack,MATCH(F1615,FmtName,0))</f>
        <v/>
      </c>
      <c r="U1615" s="47">
        <f>INDEX(ChBaseCP,MATCH(E1615,ChName,0))*(1+INDEX(ProvMod,MATCH(G1615,ProvCode,0)))*(1+PriceIndex)</f>
        <v/>
      </c>
      <c r="V1615" s="47">
        <f>R1615*U1615*INDEX(FmtBlendedPriceIdx,MATCH(F1615,FmtName,0))</f>
        <v/>
      </c>
      <c r="W1615" s="47">
        <f>T1615*INDEX(ProvSRP,MATCH(G1615,ProvCode,0))*(1+PriceIndex)</f>
        <v/>
      </c>
      <c r="X1615" s="47">
        <f>IF(GrossBasis="Wholesale",V1615,W1615)</f>
        <v/>
      </c>
      <c r="Y1615" s="47">
        <f>R1615*INDEX(FmtBlendedCogs,MATCH(F1615,FmtName,0))</f>
        <v/>
      </c>
      <c r="Z1615" s="47">
        <f>X1615-Y1615</f>
        <v/>
      </c>
    </row>
    <row r="1616">
      <c r="A1616" t="n">
        <v>25</v>
      </c>
      <c r="B1616" s="44">
        <f>FiscalStart+(A1616-1)*7</f>
        <v/>
      </c>
      <c r="C1616">
        <f>TEXT(B1616,"mmm yyyy")</f>
        <v/>
      </c>
      <c r="D1616">
        <f>"Q"&amp;(INT((A1616-1)/13)+1)</f>
        <v/>
      </c>
      <c r="E1616" t="inlineStr">
        <is>
          <t>Costco</t>
        </is>
      </c>
      <c r="F1616">
        <f>IFERROR(INDEX(ChFormat,MATCH(E1616,ChName,0)),"")</f>
        <v/>
      </c>
      <c r="G1616" t="inlineStr">
        <is>
          <t>BC</t>
        </is>
      </c>
      <c r="H1616">
        <f>IF(A1616&lt;=NWeeks,1,0)</f>
        <v/>
      </c>
      <c r="I1616">
        <f>INDEX(ChLaunch,MATCH(E1616,ChName,0))</f>
        <v/>
      </c>
      <c r="J1616">
        <f>INDEX(ChWeeksFull,MATCH(E1616,ChName,0))</f>
        <v/>
      </c>
      <c r="K1616">
        <f>INDEX(ChRamp,MATCH(E1616,ChName,0))</f>
        <v/>
      </c>
      <c r="L1616" s="45">
        <f>MIN(1,MAX(0,(A1616-I1616+1)*RampSpeed/J1616))</f>
        <v/>
      </c>
      <c r="M1616" s="45">
        <f>IF(A1616&lt;I1616,0,IF(K1616="S-curve",L1616*L1616*(3-2*L1616),L1616))</f>
        <v/>
      </c>
      <c r="N1616" s="45">
        <f>1+(INDEX(SeasonIdx,A1616)-1)*SeasonAmp</f>
        <v/>
      </c>
      <c r="O1616" s="45">
        <f>IFERROR(INDEX(PSPct,MATCH(E1616&amp;"|"&amp;G1616,PSKey,0)),0)</f>
        <v/>
      </c>
      <c r="P1616" s="46">
        <f>INDEX(ChDoorVel,MATCH(E1616,ChName,0))*CalibScalar*(1+VelocityUplift)</f>
        <v/>
      </c>
      <c r="Q1616" s="46" t="n">
        <v>0</v>
      </c>
      <c r="R1616" s="46">
        <f>P1616*O1616*M1616*N1616*H1616</f>
        <v/>
      </c>
      <c r="S1616" s="46">
        <f>R1616*INDEX(FmtCansPerCase,MATCH(F1616,FmtName,0))</f>
        <v/>
      </c>
      <c r="T1616" s="46">
        <f>S1616/INDEX(FmtCansPerPack,MATCH(F1616,FmtName,0))</f>
        <v/>
      </c>
      <c r="U1616" s="47">
        <f>INDEX(ChBaseCP,MATCH(E1616,ChName,0))*(1+INDEX(ProvMod,MATCH(G1616,ProvCode,0)))*(1+PriceIndex)</f>
        <v/>
      </c>
      <c r="V1616" s="47">
        <f>R1616*U1616*INDEX(FmtBlendedPriceIdx,MATCH(F1616,FmtName,0))</f>
        <v/>
      </c>
      <c r="W1616" s="47">
        <f>T1616*INDEX(ProvSRP,MATCH(G1616,ProvCode,0))*(1+PriceIndex)</f>
        <v/>
      </c>
      <c r="X1616" s="47">
        <f>IF(GrossBasis="Wholesale",V1616,W1616)</f>
        <v/>
      </c>
      <c r="Y1616" s="47">
        <f>R1616*INDEX(FmtBlendedCogs,MATCH(F1616,FmtName,0))</f>
        <v/>
      </c>
      <c r="Z1616" s="47">
        <f>X1616-Y1616</f>
        <v/>
      </c>
    </row>
    <row r="1617">
      <c r="A1617" t="n">
        <v>26</v>
      </c>
      <c r="B1617" s="44">
        <f>FiscalStart+(A1617-1)*7</f>
        <v/>
      </c>
      <c r="C1617">
        <f>TEXT(B1617,"mmm yyyy")</f>
        <v/>
      </c>
      <c r="D1617">
        <f>"Q"&amp;(INT((A1617-1)/13)+1)</f>
        <v/>
      </c>
      <c r="E1617" t="inlineStr">
        <is>
          <t>Costco</t>
        </is>
      </c>
      <c r="F1617">
        <f>IFERROR(INDEX(ChFormat,MATCH(E1617,ChName,0)),"")</f>
        <v/>
      </c>
      <c r="G1617" t="inlineStr">
        <is>
          <t>BC</t>
        </is>
      </c>
      <c r="H1617">
        <f>IF(A1617&lt;=NWeeks,1,0)</f>
        <v/>
      </c>
      <c r="I1617">
        <f>INDEX(ChLaunch,MATCH(E1617,ChName,0))</f>
        <v/>
      </c>
      <c r="J1617">
        <f>INDEX(ChWeeksFull,MATCH(E1617,ChName,0))</f>
        <v/>
      </c>
      <c r="K1617">
        <f>INDEX(ChRamp,MATCH(E1617,ChName,0))</f>
        <v/>
      </c>
      <c r="L1617" s="45">
        <f>MIN(1,MAX(0,(A1617-I1617+1)*RampSpeed/J1617))</f>
        <v/>
      </c>
      <c r="M1617" s="45">
        <f>IF(A1617&lt;I1617,0,IF(K1617="S-curve",L1617*L1617*(3-2*L1617),L1617))</f>
        <v/>
      </c>
      <c r="N1617" s="45">
        <f>1+(INDEX(SeasonIdx,A1617)-1)*SeasonAmp</f>
        <v/>
      </c>
      <c r="O1617" s="45">
        <f>IFERROR(INDEX(PSPct,MATCH(E1617&amp;"|"&amp;G1617,PSKey,0)),0)</f>
        <v/>
      </c>
      <c r="P1617" s="46">
        <f>INDEX(ChDoorVel,MATCH(E1617,ChName,0))*CalibScalar*(1+VelocityUplift)</f>
        <v/>
      </c>
      <c r="Q1617" s="46" t="n">
        <v>0</v>
      </c>
      <c r="R1617" s="46">
        <f>P1617*O1617*M1617*N1617*H1617</f>
        <v/>
      </c>
      <c r="S1617" s="46">
        <f>R1617*INDEX(FmtCansPerCase,MATCH(F1617,FmtName,0))</f>
        <v/>
      </c>
      <c r="T1617" s="46">
        <f>S1617/INDEX(FmtCansPerPack,MATCH(F1617,FmtName,0))</f>
        <v/>
      </c>
      <c r="U1617" s="47">
        <f>INDEX(ChBaseCP,MATCH(E1617,ChName,0))*(1+INDEX(ProvMod,MATCH(G1617,ProvCode,0)))*(1+PriceIndex)</f>
        <v/>
      </c>
      <c r="V1617" s="47">
        <f>R1617*U1617*INDEX(FmtBlendedPriceIdx,MATCH(F1617,FmtName,0))</f>
        <v/>
      </c>
      <c r="W1617" s="47">
        <f>T1617*INDEX(ProvSRP,MATCH(G1617,ProvCode,0))*(1+PriceIndex)</f>
        <v/>
      </c>
      <c r="X1617" s="47">
        <f>IF(GrossBasis="Wholesale",V1617,W1617)</f>
        <v/>
      </c>
      <c r="Y1617" s="47">
        <f>R1617*INDEX(FmtBlendedCogs,MATCH(F1617,FmtName,0))</f>
        <v/>
      </c>
      <c r="Z1617" s="47">
        <f>X1617-Y1617</f>
        <v/>
      </c>
    </row>
    <row r="1618">
      <c r="A1618" t="n">
        <v>27</v>
      </c>
      <c r="B1618" s="44">
        <f>FiscalStart+(A1618-1)*7</f>
        <v/>
      </c>
      <c r="C1618">
        <f>TEXT(B1618,"mmm yyyy")</f>
        <v/>
      </c>
      <c r="D1618">
        <f>"Q"&amp;(INT((A1618-1)/13)+1)</f>
        <v/>
      </c>
      <c r="E1618" t="inlineStr">
        <is>
          <t>Costco</t>
        </is>
      </c>
      <c r="F1618">
        <f>IFERROR(INDEX(ChFormat,MATCH(E1618,ChName,0)),"")</f>
        <v/>
      </c>
      <c r="G1618" t="inlineStr">
        <is>
          <t>BC</t>
        </is>
      </c>
      <c r="H1618">
        <f>IF(A1618&lt;=NWeeks,1,0)</f>
        <v/>
      </c>
      <c r="I1618">
        <f>INDEX(ChLaunch,MATCH(E1618,ChName,0))</f>
        <v/>
      </c>
      <c r="J1618">
        <f>INDEX(ChWeeksFull,MATCH(E1618,ChName,0))</f>
        <v/>
      </c>
      <c r="K1618">
        <f>INDEX(ChRamp,MATCH(E1618,ChName,0))</f>
        <v/>
      </c>
      <c r="L1618" s="45">
        <f>MIN(1,MAX(0,(A1618-I1618+1)*RampSpeed/J1618))</f>
        <v/>
      </c>
      <c r="M1618" s="45">
        <f>IF(A1618&lt;I1618,0,IF(K1618="S-curve",L1618*L1618*(3-2*L1618),L1618))</f>
        <v/>
      </c>
      <c r="N1618" s="45">
        <f>1+(INDEX(SeasonIdx,A1618)-1)*SeasonAmp</f>
        <v/>
      </c>
      <c r="O1618" s="45">
        <f>IFERROR(INDEX(PSPct,MATCH(E1618&amp;"|"&amp;G1618,PSKey,0)),0)</f>
        <v/>
      </c>
      <c r="P1618" s="46">
        <f>INDEX(ChDoorVel,MATCH(E1618,ChName,0))*CalibScalar*(1+VelocityUplift)</f>
        <v/>
      </c>
      <c r="Q1618" s="46" t="n">
        <v>0</v>
      </c>
      <c r="R1618" s="46">
        <f>P1618*O1618*M1618*N1618*H1618</f>
        <v/>
      </c>
      <c r="S1618" s="46">
        <f>R1618*INDEX(FmtCansPerCase,MATCH(F1618,FmtName,0))</f>
        <v/>
      </c>
      <c r="T1618" s="46">
        <f>S1618/INDEX(FmtCansPerPack,MATCH(F1618,FmtName,0))</f>
        <v/>
      </c>
      <c r="U1618" s="47">
        <f>INDEX(ChBaseCP,MATCH(E1618,ChName,0))*(1+INDEX(ProvMod,MATCH(G1618,ProvCode,0)))*(1+PriceIndex)</f>
        <v/>
      </c>
      <c r="V1618" s="47">
        <f>R1618*U1618*INDEX(FmtBlendedPriceIdx,MATCH(F1618,FmtName,0))</f>
        <v/>
      </c>
      <c r="W1618" s="47">
        <f>T1618*INDEX(ProvSRP,MATCH(G1618,ProvCode,0))*(1+PriceIndex)</f>
        <v/>
      </c>
      <c r="X1618" s="47">
        <f>IF(GrossBasis="Wholesale",V1618,W1618)</f>
        <v/>
      </c>
      <c r="Y1618" s="47">
        <f>R1618*INDEX(FmtBlendedCogs,MATCH(F1618,FmtName,0))</f>
        <v/>
      </c>
      <c r="Z1618" s="47">
        <f>X1618-Y1618</f>
        <v/>
      </c>
    </row>
    <row r="1619">
      <c r="A1619" t="n">
        <v>28</v>
      </c>
      <c r="B1619" s="44">
        <f>FiscalStart+(A1619-1)*7</f>
        <v/>
      </c>
      <c r="C1619">
        <f>TEXT(B1619,"mmm yyyy")</f>
        <v/>
      </c>
      <c r="D1619">
        <f>"Q"&amp;(INT((A1619-1)/13)+1)</f>
        <v/>
      </c>
      <c r="E1619" t="inlineStr">
        <is>
          <t>Costco</t>
        </is>
      </c>
      <c r="F1619">
        <f>IFERROR(INDEX(ChFormat,MATCH(E1619,ChName,0)),"")</f>
        <v/>
      </c>
      <c r="G1619" t="inlineStr">
        <is>
          <t>BC</t>
        </is>
      </c>
      <c r="H1619">
        <f>IF(A1619&lt;=NWeeks,1,0)</f>
        <v/>
      </c>
      <c r="I1619">
        <f>INDEX(ChLaunch,MATCH(E1619,ChName,0))</f>
        <v/>
      </c>
      <c r="J1619">
        <f>INDEX(ChWeeksFull,MATCH(E1619,ChName,0))</f>
        <v/>
      </c>
      <c r="K1619">
        <f>INDEX(ChRamp,MATCH(E1619,ChName,0))</f>
        <v/>
      </c>
      <c r="L1619" s="45">
        <f>MIN(1,MAX(0,(A1619-I1619+1)*RampSpeed/J1619))</f>
        <v/>
      </c>
      <c r="M1619" s="45">
        <f>IF(A1619&lt;I1619,0,IF(K1619="S-curve",L1619*L1619*(3-2*L1619),L1619))</f>
        <v/>
      </c>
      <c r="N1619" s="45">
        <f>1+(INDEX(SeasonIdx,A1619)-1)*SeasonAmp</f>
        <v/>
      </c>
      <c r="O1619" s="45">
        <f>IFERROR(INDEX(PSPct,MATCH(E1619&amp;"|"&amp;G1619,PSKey,0)),0)</f>
        <v/>
      </c>
      <c r="P1619" s="46">
        <f>INDEX(ChDoorVel,MATCH(E1619,ChName,0))*CalibScalar*(1+VelocityUplift)</f>
        <v/>
      </c>
      <c r="Q1619" s="46" t="n">
        <v>0</v>
      </c>
      <c r="R1619" s="46">
        <f>P1619*O1619*M1619*N1619*H1619</f>
        <v/>
      </c>
      <c r="S1619" s="46">
        <f>R1619*INDEX(FmtCansPerCase,MATCH(F1619,FmtName,0))</f>
        <v/>
      </c>
      <c r="T1619" s="46">
        <f>S1619/INDEX(FmtCansPerPack,MATCH(F1619,FmtName,0))</f>
        <v/>
      </c>
      <c r="U1619" s="47">
        <f>INDEX(ChBaseCP,MATCH(E1619,ChName,0))*(1+INDEX(ProvMod,MATCH(G1619,ProvCode,0)))*(1+PriceIndex)</f>
        <v/>
      </c>
      <c r="V1619" s="47">
        <f>R1619*U1619*INDEX(FmtBlendedPriceIdx,MATCH(F1619,FmtName,0))</f>
        <v/>
      </c>
      <c r="W1619" s="47">
        <f>T1619*INDEX(ProvSRP,MATCH(G1619,ProvCode,0))*(1+PriceIndex)</f>
        <v/>
      </c>
      <c r="X1619" s="47">
        <f>IF(GrossBasis="Wholesale",V1619,W1619)</f>
        <v/>
      </c>
      <c r="Y1619" s="47">
        <f>R1619*INDEX(FmtBlendedCogs,MATCH(F1619,FmtName,0))</f>
        <v/>
      </c>
      <c r="Z1619" s="47">
        <f>X1619-Y1619</f>
        <v/>
      </c>
    </row>
    <row r="1620">
      <c r="A1620" t="n">
        <v>29</v>
      </c>
      <c r="B1620" s="44">
        <f>FiscalStart+(A1620-1)*7</f>
        <v/>
      </c>
      <c r="C1620">
        <f>TEXT(B1620,"mmm yyyy")</f>
        <v/>
      </c>
      <c r="D1620">
        <f>"Q"&amp;(INT((A1620-1)/13)+1)</f>
        <v/>
      </c>
      <c r="E1620" t="inlineStr">
        <is>
          <t>Costco</t>
        </is>
      </c>
      <c r="F1620">
        <f>IFERROR(INDEX(ChFormat,MATCH(E1620,ChName,0)),"")</f>
        <v/>
      </c>
      <c r="G1620" t="inlineStr">
        <is>
          <t>BC</t>
        </is>
      </c>
      <c r="H1620">
        <f>IF(A1620&lt;=NWeeks,1,0)</f>
        <v/>
      </c>
      <c r="I1620">
        <f>INDEX(ChLaunch,MATCH(E1620,ChName,0))</f>
        <v/>
      </c>
      <c r="J1620">
        <f>INDEX(ChWeeksFull,MATCH(E1620,ChName,0))</f>
        <v/>
      </c>
      <c r="K1620">
        <f>INDEX(ChRamp,MATCH(E1620,ChName,0))</f>
        <v/>
      </c>
      <c r="L1620" s="45">
        <f>MIN(1,MAX(0,(A1620-I1620+1)*RampSpeed/J1620))</f>
        <v/>
      </c>
      <c r="M1620" s="45">
        <f>IF(A1620&lt;I1620,0,IF(K1620="S-curve",L1620*L1620*(3-2*L1620),L1620))</f>
        <v/>
      </c>
      <c r="N1620" s="45">
        <f>1+(INDEX(SeasonIdx,A1620)-1)*SeasonAmp</f>
        <v/>
      </c>
      <c r="O1620" s="45">
        <f>IFERROR(INDEX(PSPct,MATCH(E1620&amp;"|"&amp;G1620,PSKey,0)),0)</f>
        <v/>
      </c>
      <c r="P1620" s="46">
        <f>INDEX(ChDoorVel,MATCH(E1620,ChName,0))*CalibScalar*(1+VelocityUplift)</f>
        <v/>
      </c>
      <c r="Q1620" s="46" t="n">
        <v>0</v>
      </c>
      <c r="R1620" s="46">
        <f>P1620*O1620*M1620*N1620*H1620</f>
        <v/>
      </c>
      <c r="S1620" s="46">
        <f>R1620*INDEX(FmtCansPerCase,MATCH(F1620,FmtName,0))</f>
        <v/>
      </c>
      <c r="T1620" s="46">
        <f>S1620/INDEX(FmtCansPerPack,MATCH(F1620,FmtName,0))</f>
        <v/>
      </c>
      <c r="U1620" s="47">
        <f>INDEX(ChBaseCP,MATCH(E1620,ChName,0))*(1+INDEX(ProvMod,MATCH(G1620,ProvCode,0)))*(1+PriceIndex)</f>
        <v/>
      </c>
      <c r="V1620" s="47">
        <f>R1620*U1620*INDEX(FmtBlendedPriceIdx,MATCH(F1620,FmtName,0))</f>
        <v/>
      </c>
      <c r="W1620" s="47">
        <f>T1620*INDEX(ProvSRP,MATCH(G1620,ProvCode,0))*(1+PriceIndex)</f>
        <v/>
      </c>
      <c r="X1620" s="47">
        <f>IF(GrossBasis="Wholesale",V1620,W1620)</f>
        <v/>
      </c>
      <c r="Y1620" s="47">
        <f>R1620*INDEX(FmtBlendedCogs,MATCH(F1620,FmtName,0))</f>
        <v/>
      </c>
      <c r="Z1620" s="47">
        <f>X1620-Y1620</f>
        <v/>
      </c>
    </row>
    <row r="1621">
      <c r="A1621" t="n">
        <v>30</v>
      </c>
      <c r="B1621" s="44">
        <f>FiscalStart+(A1621-1)*7</f>
        <v/>
      </c>
      <c r="C1621">
        <f>TEXT(B1621,"mmm yyyy")</f>
        <v/>
      </c>
      <c r="D1621">
        <f>"Q"&amp;(INT((A1621-1)/13)+1)</f>
        <v/>
      </c>
      <c r="E1621" t="inlineStr">
        <is>
          <t>Costco</t>
        </is>
      </c>
      <c r="F1621">
        <f>IFERROR(INDEX(ChFormat,MATCH(E1621,ChName,0)),"")</f>
        <v/>
      </c>
      <c r="G1621" t="inlineStr">
        <is>
          <t>BC</t>
        </is>
      </c>
      <c r="H1621">
        <f>IF(A1621&lt;=NWeeks,1,0)</f>
        <v/>
      </c>
      <c r="I1621">
        <f>INDEX(ChLaunch,MATCH(E1621,ChName,0))</f>
        <v/>
      </c>
      <c r="J1621">
        <f>INDEX(ChWeeksFull,MATCH(E1621,ChName,0))</f>
        <v/>
      </c>
      <c r="K1621">
        <f>INDEX(ChRamp,MATCH(E1621,ChName,0))</f>
        <v/>
      </c>
      <c r="L1621" s="45">
        <f>MIN(1,MAX(0,(A1621-I1621+1)*RampSpeed/J1621))</f>
        <v/>
      </c>
      <c r="M1621" s="45">
        <f>IF(A1621&lt;I1621,0,IF(K1621="S-curve",L1621*L1621*(3-2*L1621),L1621))</f>
        <v/>
      </c>
      <c r="N1621" s="45">
        <f>1+(INDEX(SeasonIdx,A1621)-1)*SeasonAmp</f>
        <v/>
      </c>
      <c r="O1621" s="45">
        <f>IFERROR(INDEX(PSPct,MATCH(E1621&amp;"|"&amp;G1621,PSKey,0)),0)</f>
        <v/>
      </c>
      <c r="P1621" s="46">
        <f>INDEX(ChDoorVel,MATCH(E1621,ChName,0))*CalibScalar*(1+VelocityUplift)</f>
        <v/>
      </c>
      <c r="Q1621" s="46" t="n">
        <v>0</v>
      </c>
      <c r="R1621" s="46">
        <f>P1621*O1621*M1621*N1621*H1621</f>
        <v/>
      </c>
      <c r="S1621" s="46">
        <f>R1621*INDEX(FmtCansPerCase,MATCH(F1621,FmtName,0))</f>
        <v/>
      </c>
      <c r="T1621" s="46">
        <f>S1621/INDEX(FmtCansPerPack,MATCH(F1621,FmtName,0))</f>
        <v/>
      </c>
      <c r="U1621" s="47">
        <f>INDEX(ChBaseCP,MATCH(E1621,ChName,0))*(1+INDEX(ProvMod,MATCH(G1621,ProvCode,0)))*(1+PriceIndex)</f>
        <v/>
      </c>
      <c r="V1621" s="47">
        <f>R1621*U1621*INDEX(FmtBlendedPriceIdx,MATCH(F1621,FmtName,0))</f>
        <v/>
      </c>
      <c r="W1621" s="47">
        <f>T1621*INDEX(ProvSRP,MATCH(G1621,ProvCode,0))*(1+PriceIndex)</f>
        <v/>
      </c>
      <c r="X1621" s="47">
        <f>IF(GrossBasis="Wholesale",V1621,W1621)</f>
        <v/>
      </c>
      <c r="Y1621" s="47">
        <f>R1621*INDEX(FmtBlendedCogs,MATCH(F1621,FmtName,0))</f>
        <v/>
      </c>
      <c r="Z1621" s="47">
        <f>X1621-Y1621</f>
        <v/>
      </c>
    </row>
    <row r="1622">
      <c r="A1622" t="n">
        <v>31</v>
      </c>
      <c r="B1622" s="44">
        <f>FiscalStart+(A1622-1)*7</f>
        <v/>
      </c>
      <c r="C1622">
        <f>TEXT(B1622,"mmm yyyy")</f>
        <v/>
      </c>
      <c r="D1622">
        <f>"Q"&amp;(INT((A1622-1)/13)+1)</f>
        <v/>
      </c>
      <c r="E1622" t="inlineStr">
        <is>
          <t>Costco</t>
        </is>
      </c>
      <c r="F1622">
        <f>IFERROR(INDEX(ChFormat,MATCH(E1622,ChName,0)),"")</f>
        <v/>
      </c>
      <c r="G1622" t="inlineStr">
        <is>
          <t>BC</t>
        </is>
      </c>
      <c r="H1622">
        <f>IF(A1622&lt;=NWeeks,1,0)</f>
        <v/>
      </c>
      <c r="I1622">
        <f>INDEX(ChLaunch,MATCH(E1622,ChName,0))</f>
        <v/>
      </c>
      <c r="J1622">
        <f>INDEX(ChWeeksFull,MATCH(E1622,ChName,0))</f>
        <v/>
      </c>
      <c r="K1622">
        <f>INDEX(ChRamp,MATCH(E1622,ChName,0))</f>
        <v/>
      </c>
      <c r="L1622" s="45">
        <f>MIN(1,MAX(0,(A1622-I1622+1)*RampSpeed/J1622))</f>
        <v/>
      </c>
      <c r="M1622" s="45">
        <f>IF(A1622&lt;I1622,0,IF(K1622="S-curve",L1622*L1622*(3-2*L1622),L1622))</f>
        <v/>
      </c>
      <c r="N1622" s="45">
        <f>1+(INDEX(SeasonIdx,A1622)-1)*SeasonAmp</f>
        <v/>
      </c>
      <c r="O1622" s="45">
        <f>IFERROR(INDEX(PSPct,MATCH(E1622&amp;"|"&amp;G1622,PSKey,0)),0)</f>
        <v/>
      </c>
      <c r="P1622" s="46">
        <f>INDEX(ChDoorVel,MATCH(E1622,ChName,0))*CalibScalar*(1+VelocityUplift)</f>
        <v/>
      </c>
      <c r="Q1622" s="46" t="n">
        <v>0</v>
      </c>
      <c r="R1622" s="46">
        <f>P1622*O1622*M1622*N1622*H1622</f>
        <v/>
      </c>
      <c r="S1622" s="46">
        <f>R1622*INDEX(FmtCansPerCase,MATCH(F1622,FmtName,0))</f>
        <v/>
      </c>
      <c r="T1622" s="46">
        <f>S1622/INDEX(FmtCansPerPack,MATCH(F1622,FmtName,0))</f>
        <v/>
      </c>
      <c r="U1622" s="47">
        <f>INDEX(ChBaseCP,MATCH(E1622,ChName,0))*(1+INDEX(ProvMod,MATCH(G1622,ProvCode,0)))*(1+PriceIndex)</f>
        <v/>
      </c>
      <c r="V1622" s="47">
        <f>R1622*U1622*INDEX(FmtBlendedPriceIdx,MATCH(F1622,FmtName,0))</f>
        <v/>
      </c>
      <c r="W1622" s="47">
        <f>T1622*INDEX(ProvSRP,MATCH(G1622,ProvCode,0))*(1+PriceIndex)</f>
        <v/>
      </c>
      <c r="X1622" s="47">
        <f>IF(GrossBasis="Wholesale",V1622,W1622)</f>
        <v/>
      </c>
      <c r="Y1622" s="47">
        <f>R1622*INDEX(FmtBlendedCogs,MATCH(F1622,FmtName,0))</f>
        <v/>
      </c>
      <c r="Z1622" s="47">
        <f>X1622-Y1622</f>
        <v/>
      </c>
    </row>
    <row r="1623">
      <c r="A1623" t="n">
        <v>32</v>
      </c>
      <c r="B1623" s="44">
        <f>FiscalStart+(A1623-1)*7</f>
        <v/>
      </c>
      <c r="C1623">
        <f>TEXT(B1623,"mmm yyyy")</f>
        <v/>
      </c>
      <c r="D1623">
        <f>"Q"&amp;(INT((A1623-1)/13)+1)</f>
        <v/>
      </c>
      <c r="E1623" t="inlineStr">
        <is>
          <t>Costco</t>
        </is>
      </c>
      <c r="F1623">
        <f>IFERROR(INDEX(ChFormat,MATCH(E1623,ChName,0)),"")</f>
        <v/>
      </c>
      <c r="G1623" t="inlineStr">
        <is>
          <t>BC</t>
        </is>
      </c>
      <c r="H1623">
        <f>IF(A1623&lt;=NWeeks,1,0)</f>
        <v/>
      </c>
      <c r="I1623">
        <f>INDEX(ChLaunch,MATCH(E1623,ChName,0))</f>
        <v/>
      </c>
      <c r="J1623">
        <f>INDEX(ChWeeksFull,MATCH(E1623,ChName,0))</f>
        <v/>
      </c>
      <c r="K1623">
        <f>INDEX(ChRamp,MATCH(E1623,ChName,0))</f>
        <v/>
      </c>
      <c r="L1623" s="45">
        <f>MIN(1,MAX(0,(A1623-I1623+1)*RampSpeed/J1623))</f>
        <v/>
      </c>
      <c r="M1623" s="45">
        <f>IF(A1623&lt;I1623,0,IF(K1623="S-curve",L1623*L1623*(3-2*L1623),L1623))</f>
        <v/>
      </c>
      <c r="N1623" s="45">
        <f>1+(INDEX(SeasonIdx,A1623)-1)*SeasonAmp</f>
        <v/>
      </c>
      <c r="O1623" s="45">
        <f>IFERROR(INDEX(PSPct,MATCH(E1623&amp;"|"&amp;G1623,PSKey,0)),0)</f>
        <v/>
      </c>
      <c r="P1623" s="46">
        <f>INDEX(ChDoorVel,MATCH(E1623,ChName,0))*CalibScalar*(1+VelocityUplift)</f>
        <v/>
      </c>
      <c r="Q1623" s="46" t="n">
        <v>0</v>
      </c>
      <c r="R1623" s="46">
        <f>P1623*O1623*M1623*N1623*H1623</f>
        <v/>
      </c>
      <c r="S1623" s="46">
        <f>R1623*INDEX(FmtCansPerCase,MATCH(F1623,FmtName,0))</f>
        <v/>
      </c>
      <c r="T1623" s="46">
        <f>S1623/INDEX(FmtCansPerPack,MATCH(F1623,FmtName,0))</f>
        <v/>
      </c>
      <c r="U1623" s="47">
        <f>INDEX(ChBaseCP,MATCH(E1623,ChName,0))*(1+INDEX(ProvMod,MATCH(G1623,ProvCode,0)))*(1+PriceIndex)</f>
        <v/>
      </c>
      <c r="V1623" s="47">
        <f>R1623*U1623*INDEX(FmtBlendedPriceIdx,MATCH(F1623,FmtName,0))</f>
        <v/>
      </c>
      <c r="W1623" s="47">
        <f>T1623*INDEX(ProvSRP,MATCH(G1623,ProvCode,0))*(1+PriceIndex)</f>
        <v/>
      </c>
      <c r="X1623" s="47">
        <f>IF(GrossBasis="Wholesale",V1623,W1623)</f>
        <v/>
      </c>
      <c r="Y1623" s="47">
        <f>R1623*INDEX(FmtBlendedCogs,MATCH(F1623,FmtName,0))</f>
        <v/>
      </c>
      <c r="Z1623" s="47">
        <f>X1623-Y1623</f>
        <v/>
      </c>
    </row>
    <row r="1624">
      <c r="A1624" t="n">
        <v>33</v>
      </c>
      <c r="B1624" s="44">
        <f>FiscalStart+(A1624-1)*7</f>
        <v/>
      </c>
      <c r="C1624">
        <f>TEXT(B1624,"mmm yyyy")</f>
        <v/>
      </c>
      <c r="D1624">
        <f>"Q"&amp;(INT((A1624-1)/13)+1)</f>
        <v/>
      </c>
      <c r="E1624" t="inlineStr">
        <is>
          <t>Costco</t>
        </is>
      </c>
      <c r="F1624">
        <f>IFERROR(INDEX(ChFormat,MATCH(E1624,ChName,0)),"")</f>
        <v/>
      </c>
      <c r="G1624" t="inlineStr">
        <is>
          <t>BC</t>
        </is>
      </c>
      <c r="H1624">
        <f>IF(A1624&lt;=NWeeks,1,0)</f>
        <v/>
      </c>
      <c r="I1624">
        <f>INDEX(ChLaunch,MATCH(E1624,ChName,0))</f>
        <v/>
      </c>
      <c r="J1624">
        <f>INDEX(ChWeeksFull,MATCH(E1624,ChName,0))</f>
        <v/>
      </c>
      <c r="K1624">
        <f>INDEX(ChRamp,MATCH(E1624,ChName,0))</f>
        <v/>
      </c>
      <c r="L1624" s="45">
        <f>MIN(1,MAX(0,(A1624-I1624+1)*RampSpeed/J1624))</f>
        <v/>
      </c>
      <c r="M1624" s="45">
        <f>IF(A1624&lt;I1624,0,IF(K1624="S-curve",L1624*L1624*(3-2*L1624),L1624))</f>
        <v/>
      </c>
      <c r="N1624" s="45">
        <f>1+(INDEX(SeasonIdx,A1624)-1)*SeasonAmp</f>
        <v/>
      </c>
      <c r="O1624" s="45">
        <f>IFERROR(INDEX(PSPct,MATCH(E1624&amp;"|"&amp;G1624,PSKey,0)),0)</f>
        <v/>
      </c>
      <c r="P1624" s="46">
        <f>INDEX(ChDoorVel,MATCH(E1624,ChName,0))*CalibScalar*(1+VelocityUplift)</f>
        <v/>
      </c>
      <c r="Q1624" s="46" t="n">
        <v>0</v>
      </c>
      <c r="R1624" s="46">
        <f>P1624*O1624*M1624*N1624*H1624</f>
        <v/>
      </c>
      <c r="S1624" s="46">
        <f>R1624*INDEX(FmtCansPerCase,MATCH(F1624,FmtName,0))</f>
        <v/>
      </c>
      <c r="T1624" s="46">
        <f>S1624/INDEX(FmtCansPerPack,MATCH(F1624,FmtName,0))</f>
        <v/>
      </c>
      <c r="U1624" s="47">
        <f>INDEX(ChBaseCP,MATCH(E1624,ChName,0))*(1+INDEX(ProvMod,MATCH(G1624,ProvCode,0)))*(1+PriceIndex)</f>
        <v/>
      </c>
      <c r="V1624" s="47">
        <f>R1624*U1624*INDEX(FmtBlendedPriceIdx,MATCH(F1624,FmtName,0))</f>
        <v/>
      </c>
      <c r="W1624" s="47">
        <f>T1624*INDEX(ProvSRP,MATCH(G1624,ProvCode,0))*(1+PriceIndex)</f>
        <v/>
      </c>
      <c r="X1624" s="47">
        <f>IF(GrossBasis="Wholesale",V1624,W1624)</f>
        <v/>
      </c>
      <c r="Y1624" s="47">
        <f>R1624*INDEX(FmtBlendedCogs,MATCH(F1624,FmtName,0))</f>
        <v/>
      </c>
      <c r="Z1624" s="47">
        <f>X1624-Y1624</f>
        <v/>
      </c>
    </row>
    <row r="1625">
      <c r="A1625" t="n">
        <v>34</v>
      </c>
      <c r="B1625" s="44">
        <f>FiscalStart+(A1625-1)*7</f>
        <v/>
      </c>
      <c r="C1625">
        <f>TEXT(B1625,"mmm yyyy")</f>
        <v/>
      </c>
      <c r="D1625">
        <f>"Q"&amp;(INT((A1625-1)/13)+1)</f>
        <v/>
      </c>
      <c r="E1625" t="inlineStr">
        <is>
          <t>Costco</t>
        </is>
      </c>
      <c r="F1625">
        <f>IFERROR(INDEX(ChFormat,MATCH(E1625,ChName,0)),"")</f>
        <v/>
      </c>
      <c r="G1625" t="inlineStr">
        <is>
          <t>BC</t>
        </is>
      </c>
      <c r="H1625">
        <f>IF(A1625&lt;=NWeeks,1,0)</f>
        <v/>
      </c>
      <c r="I1625">
        <f>INDEX(ChLaunch,MATCH(E1625,ChName,0))</f>
        <v/>
      </c>
      <c r="J1625">
        <f>INDEX(ChWeeksFull,MATCH(E1625,ChName,0))</f>
        <v/>
      </c>
      <c r="K1625">
        <f>INDEX(ChRamp,MATCH(E1625,ChName,0))</f>
        <v/>
      </c>
      <c r="L1625" s="45">
        <f>MIN(1,MAX(0,(A1625-I1625+1)*RampSpeed/J1625))</f>
        <v/>
      </c>
      <c r="M1625" s="45">
        <f>IF(A1625&lt;I1625,0,IF(K1625="S-curve",L1625*L1625*(3-2*L1625),L1625))</f>
        <v/>
      </c>
      <c r="N1625" s="45">
        <f>1+(INDEX(SeasonIdx,A1625)-1)*SeasonAmp</f>
        <v/>
      </c>
      <c r="O1625" s="45">
        <f>IFERROR(INDEX(PSPct,MATCH(E1625&amp;"|"&amp;G1625,PSKey,0)),0)</f>
        <v/>
      </c>
      <c r="P1625" s="46">
        <f>INDEX(ChDoorVel,MATCH(E1625,ChName,0))*CalibScalar*(1+VelocityUplift)</f>
        <v/>
      </c>
      <c r="Q1625" s="46" t="n">
        <v>0</v>
      </c>
      <c r="R1625" s="46">
        <f>P1625*O1625*M1625*N1625*H1625</f>
        <v/>
      </c>
      <c r="S1625" s="46">
        <f>R1625*INDEX(FmtCansPerCase,MATCH(F1625,FmtName,0))</f>
        <v/>
      </c>
      <c r="T1625" s="46">
        <f>S1625/INDEX(FmtCansPerPack,MATCH(F1625,FmtName,0))</f>
        <v/>
      </c>
      <c r="U1625" s="47">
        <f>INDEX(ChBaseCP,MATCH(E1625,ChName,0))*(1+INDEX(ProvMod,MATCH(G1625,ProvCode,0)))*(1+PriceIndex)</f>
        <v/>
      </c>
      <c r="V1625" s="47">
        <f>R1625*U1625*INDEX(FmtBlendedPriceIdx,MATCH(F1625,FmtName,0))</f>
        <v/>
      </c>
      <c r="W1625" s="47">
        <f>T1625*INDEX(ProvSRP,MATCH(G1625,ProvCode,0))*(1+PriceIndex)</f>
        <v/>
      </c>
      <c r="X1625" s="47">
        <f>IF(GrossBasis="Wholesale",V1625,W1625)</f>
        <v/>
      </c>
      <c r="Y1625" s="47">
        <f>R1625*INDEX(FmtBlendedCogs,MATCH(F1625,FmtName,0))</f>
        <v/>
      </c>
      <c r="Z1625" s="47">
        <f>X1625-Y1625</f>
        <v/>
      </c>
    </row>
    <row r="1626">
      <c r="A1626" t="n">
        <v>35</v>
      </c>
      <c r="B1626" s="44">
        <f>FiscalStart+(A1626-1)*7</f>
        <v/>
      </c>
      <c r="C1626">
        <f>TEXT(B1626,"mmm yyyy")</f>
        <v/>
      </c>
      <c r="D1626">
        <f>"Q"&amp;(INT((A1626-1)/13)+1)</f>
        <v/>
      </c>
      <c r="E1626" t="inlineStr">
        <is>
          <t>Costco</t>
        </is>
      </c>
      <c r="F1626">
        <f>IFERROR(INDEX(ChFormat,MATCH(E1626,ChName,0)),"")</f>
        <v/>
      </c>
      <c r="G1626" t="inlineStr">
        <is>
          <t>BC</t>
        </is>
      </c>
      <c r="H1626">
        <f>IF(A1626&lt;=NWeeks,1,0)</f>
        <v/>
      </c>
      <c r="I1626">
        <f>INDEX(ChLaunch,MATCH(E1626,ChName,0))</f>
        <v/>
      </c>
      <c r="J1626">
        <f>INDEX(ChWeeksFull,MATCH(E1626,ChName,0))</f>
        <v/>
      </c>
      <c r="K1626">
        <f>INDEX(ChRamp,MATCH(E1626,ChName,0))</f>
        <v/>
      </c>
      <c r="L1626" s="45">
        <f>MIN(1,MAX(0,(A1626-I1626+1)*RampSpeed/J1626))</f>
        <v/>
      </c>
      <c r="M1626" s="45">
        <f>IF(A1626&lt;I1626,0,IF(K1626="S-curve",L1626*L1626*(3-2*L1626),L1626))</f>
        <v/>
      </c>
      <c r="N1626" s="45">
        <f>1+(INDEX(SeasonIdx,A1626)-1)*SeasonAmp</f>
        <v/>
      </c>
      <c r="O1626" s="45">
        <f>IFERROR(INDEX(PSPct,MATCH(E1626&amp;"|"&amp;G1626,PSKey,0)),0)</f>
        <v/>
      </c>
      <c r="P1626" s="46">
        <f>INDEX(ChDoorVel,MATCH(E1626,ChName,0))*CalibScalar*(1+VelocityUplift)</f>
        <v/>
      </c>
      <c r="Q1626" s="46" t="n">
        <v>0</v>
      </c>
      <c r="R1626" s="46">
        <f>P1626*O1626*M1626*N1626*H1626</f>
        <v/>
      </c>
      <c r="S1626" s="46">
        <f>R1626*INDEX(FmtCansPerCase,MATCH(F1626,FmtName,0))</f>
        <v/>
      </c>
      <c r="T1626" s="46">
        <f>S1626/INDEX(FmtCansPerPack,MATCH(F1626,FmtName,0))</f>
        <v/>
      </c>
      <c r="U1626" s="47">
        <f>INDEX(ChBaseCP,MATCH(E1626,ChName,0))*(1+INDEX(ProvMod,MATCH(G1626,ProvCode,0)))*(1+PriceIndex)</f>
        <v/>
      </c>
      <c r="V1626" s="47">
        <f>R1626*U1626*INDEX(FmtBlendedPriceIdx,MATCH(F1626,FmtName,0))</f>
        <v/>
      </c>
      <c r="W1626" s="47">
        <f>T1626*INDEX(ProvSRP,MATCH(G1626,ProvCode,0))*(1+PriceIndex)</f>
        <v/>
      </c>
      <c r="X1626" s="47">
        <f>IF(GrossBasis="Wholesale",V1626,W1626)</f>
        <v/>
      </c>
      <c r="Y1626" s="47">
        <f>R1626*INDEX(FmtBlendedCogs,MATCH(F1626,FmtName,0))</f>
        <v/>
      </c>
      <c r="Z1626" s="47">
        <f>X1626-Y1626</f>
        <v/>
      </c>
    </row>
    <row r="1627">
      <c r="A1627" t="n">
        <v>36</v>
      </c>
      <c r="B1627" s="44">
        <f>FiscalStart+(A1627-1)*7</f>
        <v/>
      </c>
      <c r="C1627">
        <f>TEXT(B1627,"mmm yyyy")</f>
        <v/>
      </c>
      <c r="D1627">
        <f>"Q"&amp;(INT((A1627-1)/13)+1)</f>
        <v/>
      </c>
      <c r="E1627" t="inlineStr">
        <is>
          <t>Costco</t>
        </is>
      </c>
      <c r="F1627">
        <f>IFERROR(INDEX(ChFormat,MATCH(E1627,ChName,0)),"")</f>
        <v/>
      </c>
      <c r="G1627" t="inlineStr">
        <is>
          <t>BC</t>
        </is>
      </c>
      <c r="H1627">
        <f>IF(A1627&lt;=NWeeks,1,0)</f>
        <v/>
      </c>
      <c r="I1627">
        <f>INDEX(ChLaunch,MATCH(E1627,ChName,0))</f>
        <v/>
      </c>
      <c r="J1627">
        <f>INDEX(ChWeeksFull,MATCH(E1627,ChName,0))</f>
        <v/>
      </c>
      <c r="K1627">
        <f>INDEX(ChRamp,MATCH(E1627,ChName,0))</f>
        <v/>
      </c>
      <c r="L1627" s="45">
        <f>MIN(1,MAX(0,(A1627-I1627+1)*RampSpeed/J1627))</f>
        <v/>
      </c>
      <c r="M1627" s="45">
        <f>IF(A1627&lt;I1627,0,IF(K1627="S-curve",L1627*L1627*(3-2*L1627),L1627))</f>
        <v/>
      </c>
      <c r="N1627" s="45">
        <f>1+(INDEX(SeasonIdx,A1627)-1)*SeasonAmp</f>
        <v/>
      </c>
      <c r="O1627" s="45">
        <f>IFERROR(INDEX(PSPct,MATCH(E1627&amp;"|"&amp;G1627,PSKey,0)),0)</f>
        <v/>
      </c>
      <c r="P1627" s="46">
        <f>INDEX(ChDoorVel,MATCH(E1627,ChName,0))*CalibScalar*(1+VelocityUplift)</f>
        <v/>
      </c>
      <c r="Q1627" s="46" t="n">
        <v>0</v>
      </c>
      <c r="R1627" s="46">
        <f>P1627*O1627*M1627*N1627*H1627</f>
        <v/>
      </c>
      <c r="S1627" s="46">
        <f>R1627*INDEX(FmtCansPerCase,MATCH(F1627,FmtName,0))</f>
        <v/>
      </c>
      <c r="T1627" s="46">
        <f>S1627/INDEX(FmtCansPerPack,MATCH(F1627,FmtName,0))</f>
        <v/>
      </c>
      <c r="U1627" s="47">
        <f>INDEX(ChBaseCP,MATCH(E1627,ChName,0))*(1+INDEX(ProvMod,MATCH(G1627,ProvCode,0)))*(1+PriceIndex)</f>
        <v/>
      </c>
      <c r="V1627" s="47">
        <f>R1627*U1627*INDEX(FmtBlendedPriceIdx,MATCH(F1627,FmtName,0))</f>
        <v/>
      </c>
      <c r="W1627" s="47">
        <f>T1627*INDEX(ProvSRP,MATCH(G1627,ProvCode,0))*(1+PriceIndex)</f>
        <v/>
      </c>
      <c r="X1627" s="47">
        <f>IF(GrossBasis="Wholesale",V1627,W1627)</f>
        <v/>
      </c>
      <c r="Y1627" s="47">
        <f>R1627*INDEX(FmtBlendedCogs,MATCH(F1627,FmtName,0))</f>
        <v/>
      </c>
      <c r="Z1627" s="47">
        <f>X1627-Y1627</f>
        <v/>
      </c>
    </row>
    <row r="1628">
      <c r="A1628" t="n">
        <v>37</v>
      </c>
      <c r="B1628" s="44">
        <f>FiscalStart+(A1628-1)*7</f>
        <v/>
      </c>
      <c r="C1628">
        <f>TEXT(B1628,"mmm yyyy")</f>
        <v/>
      </c>
      <c r="D1628">
        <f>"Q"&amp;(INT((A1628-1)/13)+1)</f>
        <v/>
      </c>
      <c r="E1628" t="inlineStr">
        <is>
          <t>Costco</t>
        </is>
      </c>
      <c r="F1628">
        <f>IFERROR(INDEX(ChFormat,MATCH(E1628,ChName,0)),"")</f>
        <v/>
      </c>
      <c r="G1628" t="inlineStr">
        <is>
          <t>BC</t>
        </is>
      </c>
      <c r="H1628">
        <f>IF(A1628&lt;=NWeeks,1,0)</f>
        <v/>
      </c>
      <c r="I1628">
        <f>INDEX(ChLaunch,MATCH(E1628,ChName,0))</f>
        <v/>
      </c>
      <c r="J1628">
        <f>INDEX(ChWeeksFull,MATCH(E1628,ChName,0))</f>
        <v/>
      </c>
      <c r="K1628">
        <f>INDEX(ChRamp,MATCH(E1628,ChName,0))</f>
        <v/>
      </c>
      <c r="L1628" s="45">
        <f>MIN(1,MAX(0,(A1628-I1628+1)*RampSpeed/J1628))</f>
        <v/>
      </c>
      <c r="M1628" s="45">
        <f>IF(A1628&lt;I1628,0,IF(K1628="S-curve",L1628*L1628*(3-2*L1628),L1628))</f>
        <v/>
      </c>
      <c r="N1628" s="45">
        <f>1+(INDEX(SeasonIdx,A1628)-1)*SeasonAmp</f>
        <v/>
      </c>
      <c r="O1628" s="45">
        <f>IFERROR(INDEX(PSPct,MATCH(E1628&amp;"|"&amp;G1628,PSKey,0)),0)</f>
        <v/>
      </c>
      <c r="P1628" s="46">
        <f>INDEX(ChDoorVel,MATCH(E1628,ChName,0))*CalibScalar*(1+VelocityUplift)</f>
        <v/>
      </c>
      <c r="Q1628" s="46" t="n">
        <v>0</v>
      </c>
      <c r="R1628" s="46">
        <f>P1628*O1628*M1628*N1628*H1628</f>
        <v/>
      </c>
      <c r="S1628" s="46">
        <f>R1628*INDEX(FmtCansPerCase,MATCH(F1628,FmtName,0))</f>
        <v/>
      </c>
      <c r="T1628" s="46">
        <f>S1628/INDEX(FmtCansPerPack,MATCH(F1628,FmtName,0))</f>
        <v/>
      </c>
      <c r="U1628" s="47">
        <f>INDEX(ChBaseCP,MATCH(E1628,ChName,0))*(1+INDEX(ProvMod,MATCH(G1628,ProvCode,0)))*(1+PriceIndex)</f>
        <v/>
      </c>
      <c r="V1628" s="47">
        <f>R1628*U1628*INDEX(FmtBlendedPriceIdx,MATCH(F1628,FmtName,0))</f>
        <v/>
      </c>
      <c r="W1628" s="47">
        <f>T1628*INDEX(ProvSRP,MATCH(G1628,ProvCode,0))*(1+PriceIndex)</f>
        <v/>
      </c>
      <c r="X1628" s="47">
        <f>IF(GrossBasis="Wholesale",V1628,W1628)</f>
        <v/>
      </c>
      <c r="Y1628" s="47">
        <f>R1628*INDEX(FmtBlendedCogs,MATCH(F1628,FmtName,0))</f>
        <v/>
      </c>
      <c r="Z1628" s="47">
        <f>X1628-Y1628</f>
        <v/>
      </c>
    </row>
    <row r="1629">
      <c r="A1629" t="n">
        <v>38</v>
      </c>
      <c r="B1629" s="44">
        <f>FiscalStart+(A1629-1)*7</f>
        <v/>
      </c>
      <c r="C1629">
        <f>TEXT(B1629,"mmm yyyy")</f>
        <v/>
      </c>
      <c r="D1629">
        <f>"Q"&amp;(INT((A1629-1)/13)+1)</f>
        <v/>
      </c>
      <c r="E1629" t="inlineStr">
        <is>
          <t>Costco</t>
        </is>
      </c>
      <c r="F1629">
        <f>IFERROR(INDEX(ChFormat,MATCH(E1629,ChName,0)),"")</f>
        <v/>
      </c>
      <c r="G1629" t="inlineStr">
        <is>
          <t>BC</t>
        </is>
      </c>
      <c r="H1629">
        <f>IF(A1629&lt;=NWeeks,1,0)</f>
        <v/>
      </c>
      <c r="I1629">
        <f>INDEX(ChLaunch,MATCH(E1629,ChName,0))</f>
        <v/>
      </c>
      <c r="J1629">
        <f>INDEX(ChWeeksFull,MATCH(E1629,ChName,0))</f>
        <v/>
      </c>
      <c r="K1629">
        <f>INDEX(ChRamp,MATCH(E1629,ChName,0))</f>
        <v/>
      </c>
      <c r="L1629" s="45">
        <f>MIN(1,MAX(0,(A1629-I1629+1)*RampSpeed/J1629))</f>
        <v/>
      </c>
      <c r="M1629" s="45">
        <f>IF(A1629&lt;I1629,0,IF(K1629="S-curve",L1629*L1629*(3-2*L1629),L1629))</f>
        <v/>
      </c>
      <c r="N1629" s="45">
        <f>1+(INDEX(SeasonIdx,A1629)-1)*SeasonAmp</f>
        <v/>
      </c>
      <c r="O1629" s="45">
        <f>IFERROR(INDEX(PSPct,MATCH(E1629&amp;"|"&amp;G1629,PSKey,0)),0)</f>
        <v/>
      </c>
      <c r="P1629" s="46">
        <f>INDEX(ChDoorVel,MATCH(E1629,ChName,0))*CalibScalar*(1+VelocityUplift)</f>
        <v/>
      </c>
      <c r="Q1629" s="46" t="n">
        <v>0</v>
      </c>
      <c r="R1629" s="46">
        <f>P1629*O1629*M1629*N1629*H1629</f>
        <v/>
      </c>
      <c r="S1629" s="46">
        <f>R1629*INDEX(FmtCansPerCase,MATCH(F1629,FmtName,0))</f>
        <v/>
      </c>
      <c r="T1629" s="46">
        <f>S1629/INDEX(FmtCansPerPack,MATCH(F1629,FmtName,0))</f>
        <v/>
      </c>
      <c r="U1629" s="47">
        <f>INDEX(ChBaseCP,MATCH(E1629,ChName,0))*(1+INDEX(ProvMod,MATCH(G1629,ProvCode,0)))*(1+PriceIndex)</f>
        <v/>
      </c>
      <c r="V1629" s="47">
        <f>R1629*U1629*INDEX(FmtBlendedPriceIdx,MATCH(F1629,FmtName,0))</f>
        <v/>
      </c>
      <c r="W1629" s="47">
        <f>T1629*INDEX(ProvSRP,MATCH(G1629,ProvCode,0))*(1+PriceIndex)</f>
        <v/>
      </c>
      <c r="X1629" s="47">
        <f>IF(GrossBasis="Wholesale",V1629,W1629)</f>
        <v/>
      </c>
      <c r="Y1629" s="47">
        <f>R1629*INDEX(FmtBlendedCogs,MATCH(F1629,FmtName,0))</f>
        <v/>
      </c>
      <c r="Z1629" s="47">
        <f>X1629-Y1629</f>
        <v/>
      </c>
    </row>
    <row r="1630">
      <c r="A1630" t="n">
        <v>39</v>
      </c>
      <c r="B1630" s="44">
        <f>FiscalStart+(A1630-1)*7</f>
        <v/>
      </c>
      <c r="C1630">
        <f>TEXT(B1630,"mmm yyyy")</f>
        <v/>
      </c>
      <c r="D1630">
        <f>"Q"&amp;(INT((A1630-1)/13)+1)</f>
        <v/>
      </c>
      <c r="E1630" t="inlineStr">
        <is>
          <t>Costco</t>
        </is>
      </c>
      <c r="F1630">
        <f>IFERROR(INDEX(ChFormat,MATCH(E1630,ChName,0)),"")</f>
        <v/>
      </c>
      <c r="G1630" t="inlineStr">
        <is>
          <t>BC</t>
        </is>
      </c>
      <c r="H1630">
        <f>IF(A1630&lt;=NWeeks,1,0)</f>
        <v/>
      </c>
      <c r="I1630">
        <f>INDEX(ChLaunch,MATCH(E1630,ChName,0))</f>
        <v/>
      </c>
      <c r="J1630">
        <f>INDEX(ChWeeksFull,MATCH(E1630,ChName,0))</f>
        <v/>
      </c>
      <c r="K1630">
        <f>INDEX(ChRamp,MATCH(E1630,ChName,0))</f>
        <v/>
      </c>
      <c r="L1630" s="45">
        <f>MIN(1,MAX(0,(A1630-I1630+1)*RampSpeed/J1630))</f>
        <v/>
      </c>
      <c r="M1630" s="45">
        <f>IF(A1630&lt;I1630,0,IF(K1630="S-curve",L1630*L1630*(3-2*L1630),L1630))</f>
        <v/>
      </c>
      <c r="N1630" s="45">
        <f>1+(INDEX(SeasonIdx,A1630)-1)*SeasonAmp</f>
        <v/>
      </c>
      <c r="O1630" s="45">
        <f>IFERROR(INDEX(PSPct,MATCH(E1630&amp;"|"&amp;G1630,PSKey,0)),0)</f>
        <v/>
      </c>
      <c r="P1630" s="46">
        <f>INDEX(ChDoorVel,MATCH(E1630,ChName,0))*CalibScalar*(1+VelocityUplift)</f>
        <v/>
      </c>
      <c r="Q1630" s="46" t="n">
        <v>0</v>
      </c>
      <c r="R1630" s="46">
        <f>P1630*O1630*M1630*N1630*H1630</f>
        <v/>
      </c>
      <c r="S1630" s="46">
        <f>R1630*INDEX(FmtCansPerCase,MATCH(F1630,FmtName,0))</f>
        <v/>
      </c>
      <c r="T1630" s="46">
        <f>S1630/INDEX(FmtCansPerPack,MATCH(F1630,FmtName,0))</f>
        <v/>
      </c>
      <c r="U1630" s="47">
        <f>INDEX(ChBaseCP,MATCH(E1630,ChName,0))*(1+INDEX(ProvMod,MATCH(G1630,ProvCode,0)))*(1+PriceIndex)</f>
        <v/>
      </c>
      <c r="V1630" s="47">
        <f>R1630*U1630*INDEX(FmtBlendedPriceIdx,MATCH(F1630,FmtName,0))</f>
        <v/>
      </c>
      <c r="W1630" s="47">
        <f>T1630*INDEX(ProvSRP,MATCH(G1630,ProvCode,0))*(1+PriceIndex)</f>
        <v/>
      </c>
      <c r="X1630" s="47">
        <f>IF(GrossBasis="Wholesale",V1630,W1630)</f>
        <v/>
      </c>
      <c r="Y1630" s="47">
        <f>R1630*INDEX(FmtBlendedCogs,MATCH(F1630,FmtName,0))</f>
        <v/>
      </c>
      <c r="Z1630" s="47">
        <f>X1630-Y1630</f>
        <v/>
      </c>
    </row>
    <row r="1631">
      <c r="A1631" t="n">
        <v>40</v>
      </c>
      <c r="B1631" s="44">
        <f>FiscalStart+(A1631-1)*7</f>
        <v/>
      </c>
      <c r="C1631">
        <f>TEXT(B1631,"mmm yyyy")</f>
        <v/>
      </c>
      <c r="D1631">
        <f>"Q"&amp;(INT((A1631-1)/13)+1)</f>
        <v/>
      </c>
      <c r="E1631" t="inlineStr">
        <is>
          <t>Costco</t>
        </is>
      </c>
      <c r="F1631">
        <f>IFERROR(INDEX(ChFormat,MATCH(E1631,ChName,0)),"")</f>
        <v/>
      </c>
      <c r="G1631" t="inlineStr">
        <is>
          <t>BC</t>
        </is>
      </c>
      <c r="H1631">
        <f>IF(A1631&lt;=NWeeks,1,0)</f>
        <v/>
      </c>
      <c r="I1631">
        <f>INDEX(ChLaunch,MATCH(E1631,ChName,0))</f>
        <v/>
      </c>
      <c r="J1631">
        <f>INDEX(ChWeeksFull,MATCH(E1631,ChName,0))</f>
        <v/>
      </c>
      <c r="K1631">
        <f>INDEX(ChRamp,MATCH(E1631,ChName,0))</f>
        <v/>
      </c>
      <c r="L1631" s="45">
        <f>MIN(1,MAX(0,(A1631-I1631+1)*RampSpeed/J1631))</f>
        <v/>
      </c>
      <c r="M1631" s="45">
        <f>IF(A1631&lt;I1631,0,IF(K1631="S-curve",L1631*L1631*(3-2*L1631),L1631))</f>
        <v/>
      </c>
      <c r="N1631" s="45">
        <f>1+(INDEX(SeasonIdx,A1631)-1)*SeasonAmp</f>
        <v/>
      </c>
      <c r="O1631" s="45">
        <f>IFERROR(INDEX(PSPct,MATCH(E1631&amp;"|"&amp;G1631,PSKey,0)),0)</f>
        <v/>
      </c>
      <c r="P1631" s="46">
        <f>INDEX(ChDoorVel,MATCH(E1631,ChName,0))*CalibScalar*(1+VelocityUplift)</f>
        <v/>
      </c>
      <c r="Q1631" s="46" t="n">
        <v>0</v>
      </c>
      <c r="R1631" s="46">
        <f>P1631*O1631*M1631*N1631*H1631</f>
        <v/>
      </c>
      <c r="S1631" s="46">
        <f>R1631*INDEX(FmtCansPerCase,MATCH(F1631,FmtName,0))</f>
        <v/>
      </c>
      <c r="T1631" s="46">
        <f>S1631/INDEX(FmtCansPerPack,MATCH(F1631,FmtName,0))</f>
        <v/>
      </c>
      <c r="U1631" s="47">
        <f>INDEX(ChBaseCP,MATCH(E1631,ChName,0))*(1+INDEX(ProvMod,MATCH(G1631,ProvCode,0)))*(1+PriceIndex)</f>
        <v/>
      </c>
      <c r="V1631" s="47">
        <f>R1631*U1631*INDEX(FmtBlendedPriceIdx,MATCH(F1631,FmtName,0))</f>
        <v/>
      </c>
      <c r="W1631" s="47">
        <f>T1631*INDEX(ProvSRP,MATCH(G1631,ProvCode,0))*(1+PriceIndex)</f>
        <v/>
      </c>
      <c r="X1631" s="47">
        <f>IF(GrossBasis="Wholesale",V1631,W1631)</f>
        <v/>
      </c>
      <c r="Y1631" s="47">
        <f>R1631*INDEX(FmtBlendedCogs,MATCH(F1631,FmtName,0))</f>
        <v/>
      </c>
      <c r="Z1631" s="47">
        <f>X1631-Y1631</f>
        <v/>
      </c>
    </row>
    <row r="1632">
      <c r="A1632" t="n">
        <v>41</v>
      </c>
      <c r="B1632" s="44">
        <f>FiscalStart+(A1632-1)*7</f>
        <v/>
      </c>
      <c r="C1632">
        <f>TEXT(B1632,"mmm yyyy")</f>
        <v/>
      </c>
      <c r="D1632">
        <f>"Q"&amp;(INT((A1632-1)/13)+1)</f>
        <v/>
      </c>
      <c r="E1632" t="inlineStr">
        <is>
          <t>Costco</t>
        </is>
      </c>
      <c r="F1632">
        <f>IFERROR(INDEX(ChFormat,MATCH(E1632,ChName,0)),"")</f>
        <v/>
      </c>
      <c r="G1632" t="inlineStr">
        <is>
          <t>BC</t>
        </is>
      </c>
      <c r="H1632">
        <f>IF(A1632&lt;=NWeeks,1,0)</f>
        <v/>
      </c>
      <c r="I1632">
        <f>INDEX(ChLaunch,MATCH(E1632,ChName,0))</f>
        <v/>
      </c>
      <c r="J1632">
        <f>INDEX(ChWeeksFull,MATCH(E1632,ChName,0))</f>
        <v/>
      </c>
      <c r="K1632">
        <f>INDEX(ChRamp,MATCH(E1632,ChName,0))</f>
        <v/>
      </c>
      <c r="L1632" s="45">
        <f>MIN(1,MAX(0,(A1632-I1632+1)*RampSpeed/J1632))</f>
        <v/>
      </c>
      <c r="M1632" s="45">
        <f>IF(A1632&lt;I1632,0,IF(K1632="S-curve",L1632*L1632*(3-2*L1632),L1632))</f>
        <v/>
      </c>
      <c r="N1632" s="45">
        <f>1+(INDEX(SeasonIdx,A1632)-1)*SeasonAmp</f>
        <v/>
      </c>
      <c r="O1632" s="45">
        <f>IFERROR(INDEX(PSPct,MATCH(E1632&amp;"|"&amp;G1632,PSKey,0)),0)</f>
        <v/>
      </c>
      <c r="P1632" s="46">
        <f>INDEX(ChDoorVel,MATCH(E1632,ChName,0))*CalibScalar*(1+VelocityUplift)</f>
        <v/>
      </c>
      <c r="Q1632" s="46" t="n">
        <v>0</v>
      </c>
      <c r="R1632" s="46">
        <f>P1632*O1632*M1632*N1632*H1632</f>
        <v/>
      </c>
      <c r="S1632" s="46">
        <f>R1632*INDEX(FmtCansPerCase,MATCH(F1632,FmtName,0))</f>
        <v/>
      </c>
      <c r="T1632" s="46">
        <f>S1632/INDEX(FmtCansPerPack,MATCH(F1632,FmtName,0))</f>
        <v/>
      </c>
      <c r="U1632" s="47">
        <f>INDEX(ChBaseCP,MATCH(E1632,ChName,0))*(1+INDEX(ProvMod,MATCH(G1632,ProvCode,0)))*(1+PriceIndex)</f>
        <v/>
      </c>
      <c r="V1632" s="47">
        <f>R1632*U1632*INDEX(FmtBlendedPriceIdx,MATCH(F1632,FmtName,0))</f>
        <v/>
      </c>
      <c r="W1632" s="47">
        <f>T1632*INDEX(ProvSRP,MATCH(G1632,ProvCode,0))*(1+PriceIndex)</f>
        <v/>
      </c>
      <c r="X1632" s="47">
        <f>IF(GrossBasis="Wholesale",V1632,W1632)</f>
        <v/>
      </c>
      <c r="Y1632" s="47">
        <f>R1632*INDEX(FmtBlendedCogs,MATCH(F1632,FmtName,0))</f>
        <v/>
      </c>
      <c r="Z1632" s="47">
        <f>X1632-Y1632</f>
        <v/>
      </c>
    </row>
    <row r="1633">
      <c r="A1633" t="n">
        <v>42</v>
      </c>
      <c r="B1633" s="44">
        <f>FiscalStart+(A1633-1)*7</f>
        <v/>
      </c>
      <c r="C1633">
        <f>TEXT(B1633,"mmm yyyy")</f>
        <v/>
      </c>
      <c r="D1633">
        <f>"Q"&amp;(INT((A1633-1)/13)+1)</f>
        <v/>
      </c>
      <c r="E1633" t="inlineStr">
        <is>
          <t>Costco</t>
        </is>
      </c>
      <c r="F1633">
        <f>IFERROR(INDEX(ChFormat,MATCH(E1633,ChName,0)),"")</f>
        <v/>
      </c>
      <c r="G1633" t="inlineStr">
        <is>
          <t>BC</t>
        </is>
      </c>
      <c r="H1633">
        <f>IF(A1633&lt;=NWeeks,1,0)</f>
        <v/>
      </c>
      <c r="I1633">
        <f>INDEX(ChLaunch,MATCH(E1633,ChName,0))</f>
        <v/>
      </c>
      <c r="J1633">
        <f>INDEX(ChWeeksFull,MATCH(E1633,ChName,0))</f>
        <v/>
      </c>
      <c r="K1633">
        <f>INDEX(ChRamp,MATCH(E1633,ChName,0))</f>
        <v/>
      </c>
      <c r="L1633" s="45">
        <f>MIN(1,MAX(0,(A1633-I1633+1)*RampSpeed/J1633))</f>
        <v/>
      </c>
      <c r="M1633" s="45">
        <f>IF(A1633&lt;I1633,0,IF(K1633="S-curve",L1633*L1633*(3-2*L1633),L1633))</f>
        <v/>
      </c>
      <c r="N1633" s="45">
        <f>1+(INDEX(SeasonIdx,A1633)-1)*SeasonAmp</f>
        <v/>
      </c>
      <c r="O1633" s="45">
        <f>IFERROR(INDEX(PSPct,MATCH(E1633&amp;"|"&amp;G1633,PSKey,0)),0)</f>
        <v/>
      </c>
      <c r="P1633" s="46">
        <f>INDEX(ChDoorVel,MATCH(E1633,ChName,0))*CalibScalar*(1+VelocityUplift)</f>
        <v/>
      </c>
      <c r="Q1633" s="46" t="n">
        <v>0</v>
      </c>
      <c r="R1633" s="46">
        <f>P1633*O1633*M1633*N1633*H1633</f>
        <v/>
      </c>
      <c r="S1633" s="46">
        <f>R1633*INDEX(FmtCansPerCase,MATCH(F1633,FmtName,0))</f>
        <v/>
      </c>
      <c r="T1633" s="46">
        <f>S1633/INDEX(FmtCansPerPack,MATCH(F1633,FmtName,0))</f>
        <v/>
      </c>
      <c r="U1633" s="47">
        <f>INDEX(ChBaseCP,MATCH(E1633,ChName,0))*(1+INDEX(ProvMod,MATCH(G1633,ProvCode,0)))*(1+PriceIndex)</f>
        <v/>
      </c>
      <c r="V1633" s="47">
        <f>R1633*U1633*INDEX(FmtBlendedPriceIdx,MATCH(F1633,FmtName,0))</f>
        <v/>
      </c>
      <c r="W1633" s="47">
        <f>T1633*INDEX(ProvSRP,MATCH(G1633,ProvCode,0))*(1+PriceIndex)</f>
        <v/>
      </c>
      <c r="X1633" s="47">
        <f>IF(GrossBasis="Wholesale",V1633,W1633)</f>
        <v/>
      </c>
      <c r="Y1633" s="47">
        <f>R1633*INDEX(FmtBlendedCogs,MATCH(F1633,FmtName,0))</f>
        <v/>
      </c>
      <c r="Z1633" s="47">
        <f>X1633-Y1633</f>
        <v/>
      </c>
    </row>
    <row r="1634">
      <c r="A1634" t="n">
        <v>43</v>
      </c>
      <c r="B1634" s="44">
        <f>FiscalStart+(A1634-1)*7</f>
        <v/>
      </c>
      <c r="C1634">
        <f>TEXT(B1634,"mmm yyyy")</f>
        <v/>
      </c>
      <c r="D1634">
        <f>"Q"&amp;(INT((A1634-1)/13)+1)</f>
        <v/>
      </c>
      <c r="E1634" t="inlineStr">
        <is>
          <t>Costco</t>
        </is>
      </c>
      <c r="F1634">
        <f>IFERROR(INDEX(ChFormat,MATCH(E1634,ChName,0)),"")</f>
        <v/>
      </c>
      <c r="G1634" t="inlineStr">
        <is>
          <t>BC</t>
        </is>
      </c>
      <c r="H1634">
        <f>IF(A1634&lt;=NWeeks,1,0)</f>
        <v/>
      </c>
      <c r="I1634">
        <f>INDEX(ChLaunch,MATCH(E1634,ChName,0))</f>
        <v/>
      </c>
      <c r="J1634">
        <f>INDEX(ChWeeksFull,MATCH(E1634,ChName,0))</f>
        <v/>
      </c>
      <c r="K1634">
        <f>INDEX(ChRamp,MATCH(E1634,ChName,0))</f>
        <v/>
      </c>
      <c r="L1634" s="45">
        <f>MIN(1,MAX(0,(A1634-I1634+1)*RampSpeed/J1634))</f>
        <v/>
      </c>
      <c r="M1634" s="45">
        <f>IF(A1634&lt;I1634,0,IF(K1634="S-curve",L1634*L1634*(3-2*L1634),L1634))</f>
        <v/>
      </c>
      <c r="N1634" s="45">
        <f>1+(INDEX(SeasonIdx,A1634)-1)*SeasonAmp</f>
        <v/>
      </c>
      <c r="O1634" s="45">
        <f>IFERROR(INDEX(PSPct,MATCH(E1634&amp;"|"&amp;G1634,PSKey,0)),0)</f>
        <v/>
      </c>
      <c r="P1634" s="46">
        <f>INDEX(ChDoorVel,MATCH(E1634,ChName,0))*CalibScalar*(1+VelocityUplift)</f>
        <v/>
      </c>
      <c r="Q1634" s="46" t="n">
        <v>0</v>
      </c>
      <c r="R1634" s="46">
        <f>P1634*O1634*M1634*N1634*H1634</f>
        <v/>
      </c>
      <c r="S1634" s="46">
        <f>R1634*INDEX(FmtCansPerCase,MATCH(F1634,FmtName,0))</f>
        <v/>
      </c>
      <c r="T1634" s="46">
        <f>S1634/INDEX(FmtCansPerPack,MATCH(F1634,FmtName,0))</f>
        <v/>
      </c>
      <c r="U1634" s="47">
        <f>INDEX(ChBaseCP,MATCH(E1634,ChName,0))*(1+INDEX(ProvMod,MATCH(G1634,ProvCode,0)))*(1+PriceIndex)</f>
        <v/>
      </c>
      <c r="V1634" s="47">
        <f>R1634*U1634*INDEX(FmtBlendedPriceIdx,MATCH(F1634,FmtName,0))</f>
        <v/>
      </c>
      <c r="W1634" s="47">
        <f>T1634*INDEX(ProvSRP,MATCH(G1634,ProvCode,0))*(1+PriceIndex)</f>
        <v/>
      </c>
      <c r="X1634" s="47">
        <f>IF(GrossBasis="Wholesale",V1634,W1634)</f>
        <v/>
      </c>
      <c r="Y1634" s="47">
        <f>R1634*INDEX(FmtBlendedCogs,MATCH(F1634,FmtName,0))</f>
        <v/>
      </c>
      <c r="Z1634" s="47">
        <f>X1634-Y1634</f>
        <v/>
      </c>
    </row>
    <row r="1635">
      <c r="A1635" t="n">
        <v>44</v>
      </c>
      <c r="B1635" s="44">
        <f>FiscalStart+(A1635-1)*7</f>
        <v/>
      </c>
      <c r="C1635">
        <f>TEXT(B1635,"mmm yyyy")</f>
        <v/>
      </c>
      <c r="D1635">
        <f>"Q"&amp;(INT((A1635-1)/13)+1)</f>
        <v/>
      </c>
      <c r="E1635" t="inlineStr">
        <is>
          <t>Costco</t>
        </is>
      </c>
      <c r="F1635">
        <f>IFERROR(INDEX(ChFormat,MATCH(E1635,ChName,0)),"")</f>
        <v/>
      </c>
      <c r="G1635" t="inlineStr">
        <is>
          <t>BC</t>
        </is>
      </c>
      <c r="H1635">
        <f>IF(A1635&lt;=NWeeks,1,0)</f>
        <v/>
      </c>
      <c r="I1635">
        <f>INDEX(ChLaunch,MATCH(E1635,ChName,0))</f>
        <v/>
      </c>
      <c r="J1635">
        <f>INDEX(ChWeeksFull,MATCH(E1635,ChName,0))</f>
        <v/>
      </c>
      <c r="K1635">
        <f>INDEX(ChRamp,MATCH(E1635,ChName,0))</f>
        <v/>
      </c>
      <c r="L1635" s="45">
        <f>MIN(1,MAX(0,(A1635-I1635+1)*RampSpeed/J1635))</f>
        <v/>
      </c>
      <c r="M1635" s="45">
        <f>IF(A1635&lt;I1635,0,IF(K1635="S-curve",L1635*L1635*(3-2*L1635),L1635))</f>
        <v/>
      </c>
      <c r="N1635" s="45">
        <f>1+(INDEX(SeasonIdx,A1635)-1)*SeasonAmp</f>
        <v/>
      </c>
      <c r="O1635" s="45">
        <f>IFERROR(INDEX(PSPct,MATCH(E1635&amp;"|"&amp;G1635,PSKey,0)),0)</f>
        <v/>
      </c>
      <c r="P1635" s="46">
        <f>INDEX(ChDoorVel,MATCH(E1635,ChName,0))*CalibScalar*(1+VelocityUplift)</f>
        <v/>
      </c>
      <c r="Q1635" s="46" t="n">
        <v>0</v>
      </c>
      <c r="R1635" s="46">
        <f>P1635*O1635*M1635*N1635*H1635</f>
        <v/>
      </c>
      <c r="S1635" s="46">
        <f>R1635*INDEX(FmtCansPerCase,MATCH(F1635,FmtName,0))</f>
        <v/>
      </c>
      <c r="T1635" s="46">
        <f>S1635/INDEX(FmtCansPerPack,MATCH(F1635,FmtName,0))</f>
        <v/>
      </c>
      <c r="U1635" s="47">
        <f>INDEX(ChBaseCP,MATCH(E1635,ChName,0))*(1+INDEX(ProvMod,MATCH(G1635,ProvCode,0)))*(1+PriceIndex)</f>
        <v/>
      </c>
      <c r="V1635" s="47">
        <f>R1635*U1635*INDEX(FmtBlendedPriceIdx,MATCH(F1635,FmtName,0))</f>
        <v/>
      </c>
      <c r="W1635" s="47">
        <f>T1635*INDEX(ProvSRP,MATCH(G1635,ProvCode,0))*(1+PriceIndex)</f>
        <v/>
      </c>
      <c r="X1635" s="47">
        <f>IF(GrossBasis="Wholesale",V1635,W1635)</f>
        <v/>
      </c>
      <c r="Y1635" s="47">
        <f>R1635*INDEX(FmtBlendedCogs,MATCH(F1635,FmtName,0))</f>
        <v/>
      </c>
      <c r="Z1635" s="47">
        <f>X1635-Y1635</f>
        <v/>
      </c>
    </row>
    <row r="1636">
      <c r="A1636" t="n">
        <v>45</v>
      </c>
      <c r="B1636" s="44">
        <f>FiscalStart+(A1636-1)*7</f>
        <v/>
      </c>
      <c r="C1636">
        <f>TEXT(B1636,"mmm yyyy")</f>
        <v/>
      </c>
      <c r="D1636">
        <f>"Q"&amp;(INT((A1636-1)/13)+1)</f>
        <v/>
      </c>
      <c r="E1636" t="inlineStr">
        <is>
          <t>Costco</t>
        </is>
      </c>
      <c r="F1636">
        <f>IFERROR(INDEX(ChFormat,MATCH(E1636,ChName,0)),"")</f>
        <v/>
      </c>
      <c r="G1636" t="inlineStr">
        <is>
          <t>BC</t>
        </is>
      </c>
      <c r="H1636">
        <f>IF(A1636&lt;=NWeeks,1,0)</f>
        <v/>
      </c>
      <c r="I1636">
        <f>INDEX(ChLaunch,MATCH(E1636,ChName,0))</f>
        <v/>
      </c>
      <c r="J1636">
        <f>INDEX(ChWeeksFull,MATCH(E1636,ChName,0))</f>
        <v/>
      </c>
      <c r="K1636">
        <f>INDEX(ChRamp,MATCH(E1636,ChName,0))</f>
        <v/>
      </c>
      <c r="L1636" s="45">
        <f>MIN(1,MAX(0,(A1636-I1636+1)*RampSpeed/J1636))</f>
        <v/>
      </c>
      <c r="M1636" s="45">
        <f>IF(A1636&lt;I1636,0,IF(K1636="S-curve",L1636*L1636*(3-2*L1636),L1636))</f>
        <v/>
      </c>
      <c r="N1636" s="45">
        <f>1+(INDEX(SeasonIdx,A1636)-1)*SeasonAmp</f>
        <v/>
      </c>
      <c r="O1636" s="45">
        <f>IFERROR(INDEX(PSPct,MATCH(E1636&amp;"|"&amp;G1636,PSKey,0)),0)</f>
        <v/>
      </c>
      <c r="P1636" s="46">
        <f>INDEX(ChDoorVel,MATCH(E1636,ChName,0))*CalibScalar*(1+VelocityUplift)</f>
        <v/>
      </c>
      <c r="Q1636" s="46" t="n">
        <v>0</v>
      </c>
      <c r="R1636" s="46">
        <f>P1636*O1636*M1636*N1636*H1636</f>
        <v/>
      </c>
      <c r="S1636" s="46">
        <f>R1636*INDEX(FmtCansPerCase,MATCH(F1636,FmtName,0))</f>
        <v/>
      </c>
      <c r="T1636" s="46">
        <f>S1636/INDEX(FmtCansPerPack,MATCH(F1636,FmtName,0))</f>
        <v/>
      </c>
      <c r="U1636" s="47">
        <f>INDEX(ChBaseCP,MATCH(E1636,ChName,0))*(1+INDEX(ProvMod,MATCH(G1636,ProvCode,0)))*(1+PriceIndex)</f>
        <v/>
      </c>
      <c r="V1636" s="47">
        <f>R1636*U1636*INDEX(FmtBlendedPriceIdx,MATCH(F1636,FmtName,0))</f>
        <v/>
      </c>
      <c r="W1636" s="47">
        <f>T1636*INDEX(ProvSRP,MATCH(G1636,ProvCode,0))*(1+PriceIndex)</f>
        <v/>
      </c>
      <c r="X1636" s="47">
        <f>IF(GrossBasis="Wholesale",V1636,W1636)</f>
        <v/>
      </c>
      <c r="Y1636" s="47">
        <f>R1636*INDEX(FmtBlendedCogs,MATCH(F1636,FmtName,0))</f>
        <v/>
      </c>
      <c r="Z1636" s="47">
        <f>X1636-Y1636</f>
        <v/>
      </c>
    </row>
    <row r="1637">
      <c r="A1637" t="n">
        <v>46</v>
      </c>
      <c r="B1637" s="44">
        <f>FiscalStart+(A1637-1)*7</f>
        <v/>
      </c>
      <c r="C1637">
        <f>TEXT(B1637,"mmm yyyy")</f>
        <v/>
      </c>
      <c r="D1637">
        <f>"Q"&amp;(INT((A1637-1)/13)+1)</f>
        <v/>
      </c>
      <c r="E1637" t="inlineStr">
        <is>
          <t>Costco</t>
        </is>
      </c>
      <c r="F1637">
        <f>IFERROR(INDEX(ChFormat,MATCH(E1637,ChName,0)),"")</f>
        <v/>
      </c>
      <c r="G1637" t="inlineStr">
        <is>
          <t>BC</t>
        </is>
      </c>
      <c r="H1637">
        <f>IF(A1637&lt;=NWeeks,1,0)</f>
        <v/>
      </c>
      <c r="I1637">
        <f>INDEX(ChLaunch,MATCH(E1637,ChName,0))</f>
        <v/>
      </c>
      <c r="J1637">
        <f>INDEX(ChWeeksFull,MATCH(E1637,ChName,0))</f>
        <v/>
      </c>
      <c r="K1637">
        <f>INDEX(ChRamp,MATCH(E1637,ChName,0))</f>
        <v/>
      </c>
      <c r="L1637" s="45">
        <f>MIN(1,MAX(0,(A1637-I1637+1)*RampSpeed/J1637))</f>
        <v/>
      </c>
      <c r="M1637" s="45">
        <f>IF(A1637&lt;I1637,0,IF(K1637="S-curve",L1637*L1637*(3-2*L1637),L1637))</f>
        <v/>
      </c>
      <c r="N1637" s="45">
        <f>1+(INDEX(SeasonIdx,A1637)-1)*SeasonAmp</f>
        <v/>
      </c>
      <c r="O1637" s="45">
        <f>IFERROR(INDEX(PSPct,MATCH(E1637&amp;"|"&amp;G1637,PSKey,0)),0)</f>
        <v/>
      </c>
      <c r="P1637" s="46">
        <f>INDEX(ChDoorVel,MATCH(E1637,ChName,0))*CalibScalar*(1+VelocityUplift)</f>
        <v/>
      </c>
      <c r="Q1637" s="46" t="n">
        <v>0</v>
      </c>
      <c r="R1637" s="46">
        <f>P1637*O1637*M1637*N1637*H1637</f>
        <v/>
      </c>
      <c r="S1637" s="46">
        <f>R1637*INDEX(FmtCansPerCase,MATCH(F1637,FmtName,0))</f>
        <v/>
      </c>
      <c r="T1637" s="46">
        <f>S1637/INDEX(FmtCansPerPack,MATCH(F1637,FmtName,0))</f>
        <v/>
      </c>
      <c r="U1637" s="47">
        <f>INDEX(ChBaseCP,MATCH(E1637,ChName,0))*(1+INDEX(ProvMod,MATCH(G1637,ProvCode,0)))*(1+PriceIndex)</f>
        <v/>
      </c>
      <c r="V1637" s="47">
        <f>R1637*U1637*INDEX(FmtBlendedPriceIdx,MATCH(F1637,FmtName,0))</f>
        <v/>
      </c>
      <c r="W1637" s="47">
        <f>T1637*INDEX(ProvSRP,MATCH(G1637,ProvCode,0))*(1+PriceIndex)</f>
        <v/>
      </c>
      <c r="X1637" s="47">
        <f>IF(GrossBasis="Wholesale",V1637,W1637)</f>
        <v/>
      </c>
      <c r="Y1637" s="47">
        <f>R1637*INDEX(FmtBlendedCogs,MATCH(F1637,FmtName,0))</f>
        <v/>
      </c>
      <c r="Z1637" s="47">
        <f>X1637-Y1637</f>
        <v/>
      </c>
    </row>
    <row r="1638">
      <c r="A1638" t="n">
        <v>47</v>
      </c>
      <c r="B1638" s="44">
        <f>FiscalStart+(A1638-1)*7</f>
        <v/>
      </c>
      <c r="C1638">
        <f>TEXT(B1638,"mmm yyyy")</f>
        <v/>
      </c>
      <c r="D1638">
        <f>"Q"&amp;(INT((A1638-1)/13)+1)</f>
        <v/>
      </c>
      <c r="E1638" t="inlineStr">
        <is>
          <t>Costco</t>
        </is>
      </c>
      <c r="F1638">
        <f>IFERROR(INDEX(ChFormat,MATCH(E1638,ChName,0)),"")</f>
        <v/>
      </c>
      <c r="G1638" t="inlineStr">
        <is>
          <t>BC</t>
        </is>
      </c>
      <c r="H1638">
        <f>IF(A1638&lt;=NWeeks,1,0)</f>
        <v/>
      </c>
      <c r="I1638">
        <f>INDEX(ChLaunch,MATCH(E1638,ChName,0))</f>
        <v/>
      </c>
      <c r="J1638">
        <f>INDEX(ChWeeksFull,MATCH(E1638,ChName,0))</f>
        <v/>
      </c>
      <c r="K1638">
        <f>INDEX(ChRamp,MATCH(E1638,ChName,0))</f>
        <v/>
      </c>
      <c r="L1638" s="45">
        <f>MIN(1,MAX(0,(A1638-I1638+1)*RampSpeed/J1638))</f>
        <v/>
      </c>
      <c r="M1638" s="45">
        <f>IF(A1638&lt;I1638,0,IF(K1638="S-curve",L1638*L1638*(3-2*L1638),L1638))</f>
        <v/>
      </c>
      <c r="N1638" s="45">
        <f>1+(INDEX(SeasonIdx,A1638)-1)*SeasonAmp</f>
        <v/>
      </c>
      <c r="O1638" s="45">
        <f>IFERROR(INDEX(PSPct,MATCH(E1638&amp;"|"&amp;G1638,PSKey,0)),0)</f>
        <v/>
      </c>
      <c r="P1638" s="46">
        <f>INDEX(ChDoorVel,MATCH(E1638,ChName,0))*CalibScalar*(1+VelocityUplift)</f>
        <v/>
      </c>
      <c r="Q1638" s="46" t="n">
        <v>0</v>
      </c>
      <c r="R1638" s="46">
        <f>P1638*O1638*M1638*N1638*H1638</f>
        <v/>
      </c>
      <c r="S1638" s="46">
        <f>R1638*INDEX(FmtCansPerCase,MATCH(F1638,FmtName,0))</f>
        <v/>
      </c>
      <c r="T1638" s="46">
        <f>S1638/INDEX(FmtCansPerPack,MATCH(F1638,FmtName,0))</f>
        <v/>
      </c>
      <c r="U1638" s="47">
        <f>INDEX(ChBaseCP,MATCH(E1638,ChName,0))*(1+INDEX(ProvMod,MATCH(G1638,ProvCode,0)))*(1+PriceIndex)</f>
        <v/>
      </c>
      <c r="V1638" s="47">
        <f>R1638*U1638*INDEX(FmtBlendedPriceIdx,MATCH(F1638,FmtName,0))</f>
        <v/>
      </c>
      <c r="W1638" s="47">
        <f>T1638*INDEX(ProvSRP,MATCH(G1638,ProvCode,0))*(1+PriceIndex)</f>
        <v/>
      </c>
      <c r="X1638" s="47">
        <f>IF(GrossBasis="Wholesale",V1638,W1638)</f>
        <v/>
      </c>
      <c r="Y1638" s="47">
        <f>R1638*INDEX(FmtBlendedCogs,MATCH(F1638,FmtName,0))</f>
        <v/>
      </c>
      <c r="Z1638" s="47">
        <f>X1638-Y1638</f>
        <v/>
      </c>
    </row>
    <row r="1639">
      <c r="A1639" t="n">
        <v>48</v>
      </c>
      <c r="B1639" s="44">
        <f>FiscalStart+(A1639-1)*7</f>
        <v/>
      </c>
      <c r="C1639">
        <f>TEXT(B1639,"mmm yyyy")</f>
        <v/>
      </c>
      <c r="D1639">
        <f>"Q"&amp;(INT((A1639-1)/13)+1)</f>
        <v/>
      </c>
      <c r="E1639" t="inlineStr">
        <is>
          <t>Costco</t>
        </is>
      </c>
      <c r="F1639">
        <f>IFERROR(INDEX(ChFormat,MATCH(E1639,ChName,0)),"")</f>
        <v/>
      </c>
      <c r="G1639" t="inlineStr">
        <is>
          <t>BC</t>
        </is>
      </c>
      <c r="H1639">
        <f>IF(A1639&lt;=NWeeks,1,0)</f>
        <v/>
      </c>
      <c r="I1639">
        <f>INDEX(ChLaunch,MATCH(E1639,ChName,0))</f>
        <v/>
      </c>
      <c r="J1639">
        <f>INDEX(ChWeeksFull,MATCH(E1639,ChName,0))</f>
        <v/>
      </c>
      <c r="K1639">
        <f>INDEX(ChRamp,MATCH(E1639,ChName,0))</f>
        <v/>
      </c>
      <c r="L1639" s="45">
        <f>MIN(1,MAX(0,(A1639-I1639+1)*RampSpeed/J1639))</f>
        <v/>
      </c>
      <c r="M1639" s="45">
        <f>IF(A1639&lt;I1639,0,IF(K1639="S-curve",L1639*L1639*(3-2*L1639),L1639))</f>
        <v/>
      </c>
      <c r="N1639" s="45">
        <f>1+(INDEX(SeasonIdx,A1639)-1)*SeasonAmp</f>
        <v/>
      </c>
      <c r="O1639" s="45">
        <f>IFERROR(INDEX(PSPct,MATCH(E1639&amp;"|"&amp;G1639,PSKey,0)),0)</f>
        <v/>
      </c>
      <c r="P1639" s="46">
        <f>INDEX(ChDoorVel,MATCH(E1639,ChName,0))*CalibScalar*(1+VelocityUplift)</f>
        <v/>
      </c>
      <c r="Q1639" s="46" t="n">
        <v>0</v>
      </c>
      <c r="R1639" s="46">
        <f>P1639*O1639*M1639*N1639*H1639</f>
        <v/>
      </c>
      <c r="S1639" s="46">
        <f>R1639*INDEX(FmtCansPerCase,MATCH(F1639,FmtName,0))</f>
        <v/>
      </c>
      <c r="T1639" s="46">
        <f>S1639/INDEX(FmtCansPerPack,MATCH(F1639,FmtName,0))</f>
        <v/>
      </c>
      <c r="U1639" s="47">
        <f>INDEX(ChBaseCP,MATCH(E1639,ChName,0))*(1+INDEX(ProvMod,MATCH(G1639,ProvCode,0)))*(1+PriceIndex)</f>
        <v/>
      </c>
      <c r="V1639" s="47">
        <f>R1639*U1639*INDEX(FmtBlendedPriceIdx,MATCH(F1639,FmtName,0))</f>
        <v/>
      </c>
      <c r="W1639" s="47">
        <f>T1639*INDEX(ProvSRP,MATCH(G1639,ProvCode,0))*(1+PriceIndex)</f>
        <v/>
      </c>
      <c r="X1639" s="47">
        <f>IF(GrossBasis="Wholesale",V1639,W1639)</f>
        <v/>
      </c>
      <c r="Y1639" s="47">
        <f>R1639*INDEX(FmtBlendedCogs,MATCH(F1639,FmtName,0))</f>
        <v/>
      </c>
      <c r="Z1639" s="47">
        <f>X1639-Y1639</f>
        <v/>
      </c>
    </row>
    <row r="1640">
      <c r="A1640" t="n">
        <v>49</v>
      </c>
      <c r="B1640" s="44">
        <f>FiscalStart+(A1640-1)*7</f>
        <v/>
      </c>
      <c r="C1640">
        <f>TEXT(B1640,"mmm yyyy")</f>
        <v/>
      </c>
      <c r="D1640">
        <f>"Q"&amp;(INT((A1640-1)/13)+1)</f>
        <v/>
      </c>
      <c r="E1640" t="inlineStr">
        <is>
          <t>Costco</t>
        </is>
      </c>
      <c r="F1640">
        <f>IFERROR(INDEX(ChFormat,MATCH(E1640,ChName,0)),"")</f>
        <v/>
      </c>
      <c r="G1640" t="inlineStr">
        <is>
          <t>BC</t>
        </is>
      </c>
      <c r="H1640">
        <f>IF(A1640&lt;=NWeeks,1,0)</f>
        <v/>
      </c>
      <c r="I1640">
        <f>INDEX(ChLaunch,MATCH(E1640,ChName,0))</f>
        <v/>
      </c>
      <c r="J1640">
        <f>INDEX(ChWeeksFull,MATCH(E1640,ChName,0))</f>
        <v/>
      </c>
      <c r="K1640">
        <f>INDEX(ChRamp,MATCH(E1640,ChName,0))</f>
        <v/>
      </c>
      <c r="L1640" s="45">
        <f>MIN(1,MAX(0,(A1640-I1640+1)*RampSpeed/J1640))</f>
        <v/>
      </c>
      <c r="M1640" s="45">
        <f>IF(A1640&lt;I1640,0,IF(K1640="S-curve",L1640*L1640*(3-2*L1640),L1640))</f>
        <v/>
      </c>
      <c r="N1640" s="45">
        <f>1+(INDEX(SeasonIdx,A1640)-1)*SeasonAmp</f>
        <v/>
      </c>
      <c r="O1640" s="45">
        <f>IFERROR(INDEX(PSPct,MATCH(E1640&amp;"|"&amp;G1640,PSKey,0)),0)</f>
        <v/>
      </c>
      <c r="P1640" s="46">
        <f>INDEX(ChDoorVel,MATCH(E1640,ChName,0))*CalibScalar*(1+VelocityUplift)</f>
        <v/>
      </c>
      <c r="Q1640" s="46" t="n">
        <v>0</v>
      </c>
      <c r="R1640" s="46">
        <f>P1640*O1640*M1640*N1640*H1640</f>
        <v/>
      </c>
      <c r="S1640" s="46">
        <f>R1640*INDEX(FmtCansPerCase,MATCH(F1640,FmtName,0))</f>
        <v/>
      </c>
      <c r="T1640" s="46">
        <f>S1640/INDEX(FmtCansPerPack,MATCH(F1640,FmtName,0))</f>
        <v/>
      </c>
      <c r="U1640" s="47">
        <f>INDEX(ChBaseCP,MATCH(E1640,ChName,0))*(1+INDEX(ProvMod,MATCH(G1640,ProvCode,0)))*(1+PriceIndex)</f>
        <v/>
      </c>
      <c r="V1640" s="47">
        <f>R1640*U1640*INDEX(FmtBlendedPriceIdx,MATCH(F1640,FmtName,0))</f>
        <v/>
      </c>
      <c r="W1640" s="47">
        <f>T1640*INDEX(ProvSRP,MATCH(G1640,ProvCode,0))*(1+PriceIndex)</f>
        <v/>
      </c>
      <c r="X1640" s="47">
        <f>IF(GrossBasis="Wholesale",V1640,W1640)</f>
        <v/>
      </c>
      <c r="Y1640" s="47">
        <f>R1640*INDEX(FmtBlendedCogs,MATCH(F1640,FmtName,0))</f>
        <v/>
      </c>
      <c r="Z1640" s="47">
        <f>X1640-Y1640</f>
        <v/>
      </c>
    </row>
    <row r="1641">
      <c r="A1641" t="n">
        <v>50</v>
      </c>
      <c r="B1641" s="44">
        <f>FiscalStart+(A1641-1)*7</f>
        <v/>
      </c>
      <c r="C1641">
        <f>TEXT(B1641,"mmm yyyy")</f>
        <v/>
      </c>
      <c r="D1641">
        <f>"Q"&amp;(INT((A1641-1)/13)+1)</f>
        <v/>
      </c>
      <c r="E1641" t="inlineStr">
        <is>
          <t>Costco</t>
        </is>
      </c>
      <c r="F1641">
        <f>IFERROR(INDEX(ChFormat,MATCH(E1641,ChName,0)),"")</f>
        <v/>
      </c>
      <c r="G1641" t="inlineStr">
        <is>
          <t>BC</t>
        </is>
      </c>
      <c r="H1641">
        <f>IF(A1641&lt;=NWeeks,1,0)</f>
        <v/>
      </c>
      <c r="I1641">
        <f>INDEX(ChLaunch,MATCH(E1641,ChName,0))</f>
        <v/>
      </c>
      <c r="J1641">
        <f>INDEX(ChWeeksFull,MATCH(E1641,ChName,0))</f>
        <v/>
      </c>
      <c r="K1641">
        <f>INDEX(ChRamp,MATCH(E1641,ChName,0))</f>
        <v/>
      </c>
      <c r="L1641" s="45">
        <f>MIN(1,MAX(0,(A1641-I1641+1)*RampSpeed/J1641))</f>
        <v/>
      </c>
      <c r="M1641" s="45">
        <f>IF(A1641&lt;I1641,0,IF(K1641="S-curve",L1641*L1641*(3-2*L1641),L1641))</f>
        <v/>
      </c>
      <c r="N1641" s="45">
        <f>1+(INDEX(SeasonIdx,A1641)-1)*SeasonAmp</f>
        <v/>
      </c>
      <c r="O1641" s="45">
        <f>IFERROR(INDEX(PSPct,MATCH(E1641&amp;"|"&amp;G1641,PSKey,0)),0)</f>
        <v/>
      </c>
      <c r="P1641" s="46">
        <f>INDEX(ChDoorVel,MATCH(E1641,ChName,0))*CalibScalar*(1+VelocityUplift)</f>
        <v/>
      </c>
      <c r="Q1641" s="46" t="n">
        <v>0</v>
      </c>
      <c r="R1641" s="46">
        <f>P1641*O1641*M1641*N1641*H1641</f>
        <v/>
      </c>
      <c r="S1641" s="46">
        <f>R1641*INDEX(FmtCansPerCase,MATCH(F1641,FmtName,0))</f>
        <v/>
      </c>
      <c r="T1641" s="46">
        <f>S1641/INDEX(FmtCansPerPack,MATCH(F1641,FmtName,0))</f>
        <v/>
      </c>
      <c r="U1641" s="47">
        <f>INDEX(ChBaseCP,MATCH(E1641,ChName,0))*(1+INDEX(ProvMod,MATCH(G1641,ProvCode,0)))*(1+PriceIndex)</f>
        <v/>
      </c>
      <c r="V1641" s="47">
        <f>R1641*U1641*INDEX(FmtBlendedPriceIdx,MATCH(F1641,FmtName,0))</f>
        <v/>
      </c>
      <c r="W1641" s="47">
        <f>T1641*INDEX(ProvSRP,MATCH(G1641,ProvCode,0))*(1+PriceIndex)</f>
        <v/>
      </c>
      <c r="X1641" s="47">
        <f>IF(GrossBasis="Wholesale",V1641,W1641)</f>
        <v/>
      </c>
      <c r="Y1641" s="47">
        <f>R1641*INDEX(FmtBlendedCogs,MATCH(F1641,FmtName,0))</f>
        <v/>
      </c>
      <c r="Z1641" s="47">
        <f>X1641-Y1641</f>
        <v/>
      </c>
    </row>
    <row r="1642">
      <c r="A1642" t="n">
        <v>51</v>
      </c>
      <c r="B1642" s="44">
        <f>FiscalStart+(A1642-1)*7</f>
        <v/>
      </c>
      <c r="C1642">
        <f>TEXT(B1642,"mmm yyyy")</f>
        <v/>
      </c>
      <c r="D1642">
        <f>"Q"&amp;(INT((A1642-1)/13)+1)</f>
        <v/>
      </c>
      <c r="E1642" t="inlineStr">
        <is>
          <t>Costco</t>
        </is>
      </c>
      <c r="F1642">
        <f>IFERROR(INDEX(ChFormat,MATCH(E1642,ChName,0)),"")</f>
        <v/>
      </c>
      <c r="G1642" t="inlineStr">
        <is>
          <t>BC</t>
        </is>
      </c>
      <c r="H1642">
        <f>IF(A1642&lt;=NWeeks,1,0)</f>
        <v/>
      </c>
      <c r="I1642">
        <f>INDEX(ChLaunch,MATCH(E1642,ChName,0))</f>
        <v/>
      </c>
      <c r="J1642">
        <f>INDEX(ChWeeksFull,MATCH(E1642,ChName,0))</f>
        <v/>
      </c>
      <c r="K1642">
        <f>INDEX(ChRamp,MATCH(E1642,ChName,0))</f>
        <v/>
      </c>
      <c r="L1642" s="45">
        <f>MIN(1,MAX(0,(A1642-I1642+1)*RampSpeed/J1642))</f>
        <v/>
      </c>
      <c r="M1642" s="45">
        <f>IF(A1642&lt;I1642,0,IF(K1642="S-curve",L1642*L1642*(3-2*L1642),L1642))</f>
        <v/>
      </c>
      <c r="N1642" s="45">
        <f>1+(INDEX(SeasonIdx,A1642)-1)*SeasonAmp</f>
        <v/>
      </c>
      <c r="O1642" s="45">
        <f>IFERROR(INDEX(PSPct,MATCH(E1642&amp;"|"&amp;G1642,PSKey,0)),0)</f>
        <v/>
      </c>
      <c r="P1642" s="46">
        <f>INDEX(ChDoorVel,MATCH(E1642,ChName,0))*CalibScalar*(1+VelocityUplift)</f>
        <v/>
      </c>
      <c r="Q1642" s="46" t="n">
        <v>0</v>
      </c>
      <c r="R1642" s="46">
        <f>P1642*O1642*M1642*N1642*H1642</f>
        <v/>
      </c>
      <c r="S1642" s="46">
        <f>R1642*INDEX(FmtCansPerCase,MATCH(F1642,FmtName,0))</f>
        <v/>
      </c>
      <c r="T1642" s="46">
        <f>S1642/INDEX(FmtCansPerPack,MATCH(F1642,FmtName,0))</f>
        <v/>
      </c>
      <c r="U1642" s="47">
        <f>INDEX(ChBaseCP,MATCH(E1642,ChName,0))*(1+INDEX(ProvMod,MATCH(G1642,ProvCode,0)))*(1+PriceIndex)</f>
        <v/>
      </c>
      <c r="V1642" s="47">
        <f>R1642*U1642*INDEX(FmtBlendedPriceIdx,MATCH(F1642,FmtName,0))</f>
        <v/>
      </c>
      <c r="W1642" s="47">
        <f>T1642*INDEX(ProvSRP,MATCH(G1642,ProvCode,0))*(1+PriceIndex)</f>
        <v/>
      </c>
      <c r="X1642" s="47">
        <f>IF(GrossBasis="Wholesale",V1642,W1642)</f>
        <v/>
      </c>
      <c r="Y1642" s="47">
        <f>R1642*INDEX(FmtBlendedCogs,MATCH(F1642,FmtName,0))</f>
        <v/>
      </c>
      <c r="Z1642" s="47">
        <f>X1642-Y1642</f>
        <v/>
      </c>
    </row>
    <row r="1643">
      <c r="A1643" t="n">
        <v>52</v>
      </c>
      <c r="B1643" s="44">
        <f>FiscalStart+(A1643-1)*7</f>
        <v/>
      </c>
      <c r="C1643">
        <f>TEXT(B1643,"mmm yyyy")</f>
        <v/>
      </c>
      <c r="D1643">
        <f>"Q"&amp;(INT((A1643-1)/13)+1)</f>
        <v/>
      </c>
      <c r="E1643" t="inlineStr">
        <is>
          <t>Costco</t>
        </is>
      </c>
      <c r="F1643">
        <f>IFERROR(INDEX(ChFormat,MATCH(E1643,ChName,0)),"")</f>
        <v/>
      </c>
      <c r="G1643" t="inlineStr">
        <is>
          <t>BC</t>
        </is>
      </c>
      <c r="H1643">
        <f>IF(A1643&lt;=NWeeks,1,0)</f>
        <v/>
      </c>
      <c r="I1643">
        <f>INDEX(ChLaunch,MATCH(E1643,ChName,0))</f>
        <v/>
      </c>
      <c r="J1643">
        <f>INDEX(ChWeeksFull,MATCH(E1643,ChName,0))</f>
        <v/>
      </c>
      <c r="K1643">
        <f>INDEX(ChRamp,MATCH(E1643,ChName,0))</f>
        <v/>
      </c>
      <c r="L1643" s="45">
        <f>MIN(1,MAX(0,(A1643-I1643+1)*RampSpeed/J1643))</f>
        <v/>
      </c>
      <c r="M1643" s="45">
        <f>IF(A1643&lt;I1643,0,IF(K1643="S-curve",L1643*L1643*(3-2*L1643),L1643))</f>
        <v/>
      </c>
      <c r="N1643" s="45">
        <f>1+(INDEX(SeasonIdx,A1643)-1)*SeasonAmp</f>
        <v/>
      </c>
      <c r="O1643" s="45">
        <f>IFERROR(INDEX(PSPct,MATCH(E1643&amp;"|"&amp;G1643,PSKey,0)),0)</f>
        <v/>
      </c>
      <c r="P1643" s="46">
        <f>INDEX(ChDoorVel,MATCH(E1643,ChName,0))*CalibScalar*(1+VelocityUplift)</f>
        <v/>
      </c>
      <c r="Q1643" s="46" t="n">
        <v>0</v>
      </c>
      <c r="R1643" s="46">
        <f>P1643*O1643*M1643*N1643*H1643</f>
        <v/>
      </c>
      <c r="S1643" s="46">
        <f>R1643*INDEX(FmtCansPerCase,MATCH(F1643,FmtName,0))</f>
        <v/>
      </c>
      <c r="T1643" s="46">
        <f>S1643/INDEX(FmtCansPerPack,MATCH(F1643,FmtName,0))</f>
        <v/>
      </c>
      <c r="U1643" s="47">
        <f>INDEX(ChBaseCP,MATCH(E1643,ChName,0))*(1+INDEX(ProvMod,MATCH(G1643,ProvCode,0)))*(1+PriceIndex)</f>
        <v/>
      </c>
      <c r="V1643" s="47">
        <f>R1643*U1643*INDEX(FmtBlendedPriceIdx,MATCH(F1643,FmtName,0))</f>
        <v/>
      </c>
      <c r="W1643" s="47">
        <f>T1643*INDEX(ProvSRP,MATCH(G1643,ProvCode,0))*(1+PriceIndex)</f>
        <v/>
      </c>
      <c r="X1643" s="47">
        <f>IF(GrossBasis="Wholesale",V1643,W1643)</f>
        <v/>
      </c>
      <c r="Y1643" s="47">
        <f>R1643*INDEX(FmtBlendedCogs,MATCH(F1643,FmtName,0))</f>
        <v/>
      </c>
      <c r="Z1643" s="47">
        <f>X1643-Y1643</f>
        <v/>
      </c>
    </row>
    <row r="1644">
      <c r="A1644" t="n">
        <v>53</v>
      </c>
      <c r="B1644" s="44">
        <f>FiscalStart+(A1644-1)*7</f>
        <v/>
      </c>
      <c r="C1644">
        <f>TEXT(B1644,"mmm yyyy")</f>
        <v/>
      </c>
      <c r="D1644">
        <f>"Q"&amp;(INT((A1644-1)/13)+1)</f>
        <v/>
      </c>
      <c r="E1644" t="inlineStr">
        <is>
          <t>Costco</t>
        </is>
      </c>
      <c r="F1644">
        <f>IFERROR(INDEX(ChFormat,MATCH(E1644,ChName,0)),"")</f>
        <v/>
      </c>
      <c r="G1644" t="inlineStr">
        <is>
          <t>BC</t>
        </is>
      </c>
      <c r="H1644">
        <f>IF(A1644&lt;=NWeeks,1,0)</f>
        <v/>
      </c>
      <c r="I1644">
        <f>INDEX(ChLaunch,MATCH(E1644,ChName,0))</f>
        <v/>
      </c>
      <c r="J1644">
        <f>INDEX(ChWeeksFull,MATCH(E1644,ChName,0))</f>
        <v/>
      </c>
      <c r="K1644">
        <f>INDEX(ChRamp,MATCH(E1644,ChName,0))</f>
        <v/>
      </c>
      <c r="L1644" s="45">
        <f>MIN(1,MAX(0,(A1644-I1644+1)*RampSpeed/J1644))</f>
        <v/>
      </c>
      <c r="M1644" s="45">
        <f>IF(A1644&lt;I1644,0,IF(K1644="S-curve",L1644*L1644*(3-2*L1644),L1644))</f>
        <v/>
      </c>
      <c r="N1644" s="45">
        <f>1+(INDEX(SeasonIdx,A1644)-1)*SeasonAmp</f>
        <v/>
      </c>
      <c r="O1644" s="45">
        <f>IFERROR(INDEX(PSPct,MATCH(E1644&amp;"|"&amp;G1644,PSKey,0)),0)</f>
        <v/>
      </c>
      <c r="P1644" s="46">
        <f>INDEX(ChDoorVel,MATCH(E1644,ChName,0))*CalibScalar*(1+VelocityUplift)</f>
        <v/>
      </c>
      <c r="Q1644" s="46" t="n">
        <v>0</v>
      </c>
      <c r="R1644" s="46">
        <f>P1644*O1644*M1644*N1644*H1644</f>
        <v/>
      </c>
      <c r="S1644" s="46">
        <f>R1644*INDEX(FmtCansPerCase,MATCH(F1644,FmtName,0))</f>
        <v/>
      </c>
      <c r="T1644" s="46">
        <f>S1644/INDEX(FmtCansPerPack,MATCH(F1644,FmtName,0))</f>
        <v/>
      </c>
      <c r="U1644" s="47">
        <f>INDEX(ChBaseCP,MATCH(E1644,ChName,0))*(1+INDEX(ProvMod,MATCH(G1644,ProvCode,0)))*(1+PriceIndex)</f>
        <v/>
      </c>
      <c r="V1644" s="47">
        <f>R1644*U1644*INDEX(FmtBlendedPriceIdx,MATCH(F1644,FmtName,0))</f>
        <v/>
      </c>
      <c r="W1644" s="47">
        <f>T1644*INDEX(ProvSRP,MATCH(G1644,ProvCode,0))*(1+PriceIndex)</f>
        <v/>
      </c>
      <c r="X1644" s="47">
        <f>IF(GrossBasis="Wholesale",V1644,W1644)</f>
        <v/>
      </c>
      <c r="Y1644" s="47">
        <f>R1644*INDEX(FmtBlendedCogs,MATCH(F1644,FmtName,0))</f>
        <v/>
      </c>
      <c r="Z1644" s="47">
        <f>X1644-Y1644</f>
        <v/>
      </c>
    </row>
    <row r="1645">
      <c r="A1645" t="n">
        <v>1</v>
      </c>
      <c r="B1645" s="44">
        <f>FiscalStart+(A1645-1)*7</f>
        <v/>
      </c>
      <c r="C1645">
        <f>TEXT(B1645,"mmm yyyy")</f>
        <v/>
      </c>
      <c r="D1645">
        <f>"Q"&amp;(INT((A1645-1)/13)+1)</f>
        <v/>
      </c>
      <c r="E1645" t="inlineStr">
        <is>
          <t>Costco</t>
        </is>
      </c>
      <c r="F1645">
        <f>IFERROR(INDEX(ChFormat,MATCH(E1645,ChName,0)),"")</f>
        <v/>
      </c>
      <c r="G1645" t="inlineStr">
        <is>
          <t>AB</t>
        </is>
      </c>
      <c r="H1645">
        <f>IF(A1645&lt;=NWeeks,1,0)</f>
        <v/>
      </c>
      <c r="I1645">
        <f>INDEX(ChLaunch,MATCH(E1645,ChName,0))</f>
        <v/>
      </c>
      <c r="J1645">
        <f>INDEX(ChWeeksFull,MATCH(E1645,ChName,0))</f>
        <v/>
      </c>
      <c r="K1645">
        <f>INDEX(ChRamp,MATCH(E1645,ChName,0))</f>
        <v/>
      </c>
      <c r="L1645" s="45">
        <f>MIN(1,MAX(0,(A1645-I1645+1)*RampSpeed/J1645))</f>
        <v/>
      </c>
      <c r="M1645" s="45">
        <f>IF(A1645&lt;I1645,0,IF(K1645="S-curve",L1645*L1645*(3-2*L1645),L1645))</f>
        <v/>
      </c>
      <c r="N1645" s="45">
        <f>1+(INDEX(SeasonIdx,A1645)-1)*SeasonAmp</f>
        <v/>
      </c>
      <c r="O1645" s="45">
        <f>IFERROR(INDEX(PSPct,MATCH(E1645&amp;"|"&amp;G1645,PSKey,0)),0)</f>
        <v/>
      </c>
      <c r="P1645" s="46">
        <f>INDEX(ChDoorVel,MATCH(E1645,ChName,0))*CalibScalar*(1+VelocityUplift)</f>
        <v/>
      </c>
      <c r="Q1645" s="46" t="n">
        <v>0</v>
      </c>
      <c r="R1645" s="46">
        <f>P1645*O1645*M1645*N1645*H1645</f>
        <v/>
      </c>
      <c r="S1645" s="46">
        <f>R1645*INDEX(FmtCansPerCase,MATCH(F1645,FmtName,0))</f>
        <v/>
      </c>
      <c r="T1645" s="46">
        <f>S1645/INDEX(FmtCansPerPack,MATCH(F1645,FmtName,0))</f>
        <v/>
      </c>
      <c r="U1645" s="47">
        <f>INDEX(ChBaseCP,MATCH(E1645,ChName,0))*(1+INDEX(ProvMod,MATCH(G1645,ProvCode,0)))*(1+PriceIndex)</f>
        <v/>
      </c>
      <c r="V1645" s="47">
        <f>R1645*U1645*INDEX(FmtBlendedPriceIdx,MATCH(F1645,FmtName,0))</f>
        <v/>
      </c>
      <c r="W1645" s="47">
        <f>T1645*INDEX(ProvSRP,MATCH(G1645,ProvCode,0))*(1+PriceIndex)</f>
        <v/>
      </c>
      <c r="X1645" s="47">
        <f>IF(GrossBasis="Wholesale",V1645,W1645)</f>
        <v/>
      </c>
      <c r="Y1645" s="47">
        <f>R1645*INDEX(FmtBlendedCogs,MATCH(F1645,FmtName,0))</f>
        <v/>
      </c>
      <c r="Z1645" s="47">
        <f>X1645-Y1645</f>
        <v/>
      </c>
    </row>
    <row r="1646">
      <c r="A1646" t="n">
        <v>2</v>
      </c>
      <c r="B1646" s="44">
        <f>FiscalStart+(A1646-1)*7</f>
        <v/>
      </c>
      <c r="C1646">
        <f>TEXT(B1646,"mmm yyyy")</f>
        <v/>
      </c>
      <c r="D1646">
        <f>"Q"&amp;(INT((A1646-1)/13)+1)</f>
        <v/>
      </c>
      <c r="E1646" t="inlineStr">
        <is>
          <t>Costco</t>
        </is>
      </c>
      <c r="F1646">
        <f>IFERROR(INDEX(ChFormat,MATCH(E1646,ChName,0)),"")</f>
        <v/>
      </c>
      <c r="G1646" t="inlineStr">
        <is>
          <t>AB</t>
        </is>
      </c>
      <c r="H1646">
        <f>IF(A1646&lt;=NWeeks,1,0)</f>
        <v/>
      </c>
      <c r="I1646">
        <f>INDEX(ChLaunch,MATCH(E1646,ChName,0))</f>
        <v/>
      </c>
      <c r="J1646">
        <f>INDEX(ChWeeksFull,MATCH(E1646,ChName,0))</f>
        <v/>
      </c>
      <c r="K1646">
        <f>INDEX(ChRamp,MATCH(E1646,ChName,0))</f>
        <v/>
      </c>
      <c r="L1646" s="45">
        <f>MIN(1,MAX(0,(A1646-I1646+1)*RampSpeed/J1646))</f>
        <v/>
      </c>
      <c r="M1646" s="45">
        <f>IF(A1646&lt;I1646,0,IF(K1646="S-curve",L1646*L1646*(3-2*L1646),L1646))</f>
        <v/>
      </c>
      <c r="N1646" s="45">
        <f>1+(INDEX(SeasonIdx,A1646)-1)*SeasonAmp</f>
        <v/>
      </c>
      <c r="O1646" s="45">
        <f>IFERROR(INDEX(PSPct,MATCH(E1646&amp;"|"&amp;G1646,PSKey,0)),0)</f>
        <v/>
      </c>
      <c r="P1646" s="46">
        <f>INDEX(ChDoorVel,MATCH(E1646,ChName,0))*CalibScalar*(1+VelocityUplift)</f>
        <v/>
      </c>
      <c r="Q1646" s="46" t="n">
        <v>0</v>
      </c>
      <c r="R1646" s="46">
        <f>P1646*O1646*M1646*N1646*H1646</f>
        <v/>
      </c>
      <c r="S1646" s="46">
        <f>R1646*INDEX(FmtCansPerCase,MATCH(F1646,FmtName,0))</f>
        <v/>
      </c>
      <c r="T1646" s="46">
        <f>S1646/INDEX(FmtCansPerPack,MATCH(F1646,FmtName,0))</f>
        <v/>
      </c>
      <c r="U1646" s="47">
        <f>INDEX(ChBaseCP,MATCH(E1646,ChName,0))*(1+INDEX(ProvMod,MATCH(G1646,ProvCode,0)))*(1+PriceIndex)</f>
        <v/>
      </c>
      <c r="V1646" s="47">
        <f>R1646*U1646*INDEX(FmtBlendedPriceIdx,MATCH(F1646,FmtName,0))</f>
        <v/>
      </c>
      <c r="W1646" s="47">
        <f>T1646*INDEX(ProvSRP,MATCH(G1646,ProvCode,0))*(1+PriceIndex)</f>
        <v/>
      </c>
      <c r="X1646" s="47">
        <f>IF(GrossBasis="Wholesale",V1646,W1646)</f>
        <v/>
      </c>
      <c r="Y1646" s="47">
        <f>R1646*INDEX(FmtBlendedCogs,MATCH(F1646,FmtName,0))</f>
        <v/>
      </c>
      <c r="Z1646" s="47">
        <f>X1646-Y1646</f>
        <v/>
      </c>
    </row>
    <row r="1647">
      <c r="A1647" t="n">
        <v>3</v>
      </c>
      <c r="B1647" s="44">
        <f>FiscalStart+(A1647-1)*7</f>
        <v/>
      </c>
      <c r="C1647">
        <f>TEXT(B1647,"mmm yyyy")</f>
        <v/>
      </c>
      <c r="D1647">
        <f>"Q"&amp;(INT((A1647-1)/13)+1)</f>
        <v/>
      </c>
      <c r="E1647" t="inlineStr">
        <is>
          <t>Costco</t>
        </is>
      </c>
      <c r="F1647">
        <f>IFERROR(INDEX(ChFormat,MATCH(E1647,ChName,0)),"")</f>
        <v/>
      </c>
      <c r="G1647" t="inlineStr">
        <is>
          <t>AB</t>
        </is>
      </c>
      <c r="H1647">
        <f>IF(A1647&lt;=NWeeks,1,0)</f>
        <v/>
      </c>
      <c r="I1647">
        <f>INDEX(ChLaunch,MATCH(E1647,ChName,0))</f>
        <v/>
      </c>
      <c r="J1647">
        <f>INDEX(ChWeeksFull,MATCH(E1647,ChName,0))</f>
        <v/>
      </c>
      <c r="K1647">
        <f>INDEX(ChRamp,MATCH(E1647,ChName,0))</f>
        <v/>
      </c>
      <c r="L1647" s="45">
        <f>MIN(1,MAX(0,(A1647-I1647+1)*RampSpeed/J1647))</f>
        <v/>
      </c>
      <c r="M1647" s="45">
        <f>IF(A1647&lt;I1647,0,IF(K1647="S-curve",L1647*L1647*(3-2*L1647),L1647))</f>
        <v/>
      </c>
      <c r="N1647" s="45">
        <f>1+(INDEX(SeasonIdx,A1647)-1)*SeasonAmp</f>
        <v/>
      </c>
      <c r="O1647" s="45">
        <f>IFERROR(INDEX(PSPct,MATCH(E1647&amp;"|"&amp;G1647,PSKey,0)),0)</f>
        <v/>
      </c>
      <c r="P1647" s="46">
        <f>INDEX(ChDoorVel,MATCH(E1647,ChName,0))*CalibScalar*(1+VelocityUplift)</f>
        <v/>
      </c>
      <c r="Q1647" s="46" t="n">
        <v>0</v>
      </c>
      <c r="R1647" s="46">
        <f>P1647*O1647*M1647*N1647*H1647</f>
        <v/>
      </c>
      <c r="S1647" s="46">
        <f>R1647*INDEX(FmtCansPerCase,MATCH(F1647,FmtName,0))</f>
        <v/>
      </c>
      <c r="T1647" s="46">
        <f>S1647/INDEX(FmtCansPerPack,MATCH(F1647,FmtName,0))</f>
        <v/>
      </c>
      <c r="U1647" s="47">
        <f>INDEX(ChBaseCP,MATCH(E1647,ChName,0))*(1+INDEX(ProvMod,MATCH(G1647,ProvCode,0)))*(1+PriceIndex)</f>
        <v/>
      </c>
      <c r="V1647" s="47">
        <f>R1647*U1647*INDEX(FmtBlendedPriceIdx,MATCH(F1647,FmtName,0))</f>
        <v/>
      </c>
      <c r="W1647" s="47">
        <f>T1647*INDEX(ProvSRP,MATCH(G1647,ProvCode,0))*(1+PriceIndex)</f>
        <v/>
      </c>
      <c r="X1647" s="47">
        <f>IF(GrossBasis="Wholesale",V1647,W1647)</f>
        <v/>
      </c>
      <c r="Y1647" s="47">
        <f>R1647*INDEX(FmtBlendedCogs,MATCH(F1647,FmtName,0))</f>
        <v/>
      </c>
      <c r="Z1647" s="47">
        <f>X1647-Y1647</f>
        <v/>
      </c>
    </row>
    <row r="1648">
      <c r="A1648" t="n">
        <v>4</v>
      </c>
      <c r="B1648" s="44">
        <f>FiscalStart+(A1648-1)*7</f>
        <v/>
      </c>
      <c r="C1648">
        <f>TEXT(B1648,"mmm yyyy")</f>
        <v/>
      </c>
      <c r="D1648">
        <f>"Q"&amp;(INT((A1648-1)/13)+1)</f>
        <v/>
      </c>
      <c r="E1648" t="inlineStr">
        <is>
          <t>Costco</t>
        </is>
      </c>
      <c r="F1648">
        <f>IFERROR(INDEX(ChFormat,MATCH(E1648,ChName,0)),"")</f>
        <v/>
      </c>
      <c r="G1648" t="inlineStr">
        <is>
          <t>AB</t>
        </is>
      </c>
      <c r="H1648">
        <f>IF(A1648&lt;=NWeeks,1,0)</f>
        <v/>
      </c>
      <c r="I1648">
        <f>INDEX(ChLaunch,MATCH(E1648,ChName,0))</f>
        <v/>
      </c>
      <c r="J1648">
        <f>INDEX(ChWeeksFull,MATCH(E1648,ChName,0))</f>
        <v/>
      </c>
      <c r="K1648">
        <f>INDEX(ChRamp,MATCH(E1648,ChName,0))</f>
        <v/>
      </c>
      <c r="L1648" s="45">
        <f>MIN(1,MAX(0,(A1648-I1648+1)*RampSpeed/J1648))</f>
        <v/>
      </c>
      <c r="M1648" s="45">
        <f>IF(A1648&lt;I1648,0,IF(K1648="S-curve",L1648*L1648*(3-2*L1648),L1648))</f>
        <v/>
      </c>
      <c r="N1648" s="45">
        <f>1+(INDEX(SeasonIdx,A1648)-1)*SeasonAmp</f>
        <v/>
      </c>
      <c r="O1648" s="45">
        <f>IFERROR(INDEX(PSPct,MATCH(E1648&amp;"|"&amp;G1648,PSKey,0)),0)</f>
        <v/>
      </c>
      <c r="P1648" s="46">
        <f>INDEX(ChDoorVel,MATCH(E1648,ChName,0))*CalibScalar*(1+VelocityUplift)</f>
        <v/>
      </c>
      <c r="Q1648" s="46" t="n">
        <v>0</v>
      </c>
      <c r="R1648" s="46">
        <f>P1648*O1648*M1648*N1648*H1648</f>
        <v/>
      </c>
      <c r="S1648" s="46">
        <f>R1648*INDEX(FmtCansPerCase,MATCH(F1648,FmtName,0))</f>
        <v/>
      </c>
      <c r="T1648" s="46">
        <f>S1648/INDEX(FmtCansPerPack,MATCH(F1648,FmtName,0))</f>
        <v/>
      </c>
      <c r="U1648" s="47">
        <f>INDEX(ChBaseCP,MATCH(E1648,ChName,0))*(1+INDEX(ProvMod,MATCH(G1648,ProvCode,0)))*(1+PriceIndex)</f>
        <v/>
      </c>
      <c r="V1648" s="47">
        <f>R1648*U1648*INDEX(FmtBlendedPriceIdx,MATCH(F1648,FmtName,0))</f>
        <v/>
      </c>
      <c r="W1648" s="47">
        <f>T1648*INDEX(ProvSRP,MATCH(G1648,ProvCode,0))*(1+PriceIndex)</f>
        <v/>
      </c>
      <c r="X1648" s="47">
        <f>IF(GrossBasis="Wholesale",V1648,W1648)</f>
        <v/>
      </c>
      <c r="Y1648" s="47">
        <f>R1648*INDEX(FmtBlendedCogs,MATCH(F1648,FmtName,0))</f>
        <v/>
      </c>
      <c r="Z1648" s="47">
        <f>X1648-Y1648</f>
        <v/>
      </c>
    </row>
    <row r="1649">
      <c r="A1649" t="n">
        <v>5</v>
      </c>
      <c r="B1649" s="44">
        <f>FiscalStart+(A1649-1)*7</f>
        <v/>
      </c>
      <c r="C1649">
        <f>TEXT(B1649,"mmm yyyy")</f>
        <v/>
      </c>
      <c r="D1649">
        <f>"Q"&amp;(INT((A1649-1)/13)+1)</f>
        <v/>
      </c>
      <c r="E1649" t="inlineStr">
        <is>
          <t>Costco</t>
        </is>
      </c>
      <c r="F1649">
        <f>IFERROR(INDEX(ChFormat,MATCH(E1649,ChName,0)),"")</f>
        <v/>
      </c>
      <c r="G1649" t="inlineStr">
        <is>
          <t>AB</t>
        </is>
      </c>
      <c r="H1649">
        <f>IF(A1649&lt;=NWeeks,1,0)</f>
        <v/>
      </c>
      <c r="I1649">
        <f>INDEX(ChLaunch,MATCH(E1649,ChName,0))</f>
        <v/>
      </c>
      <c r="J1649">
        <f>INDEX(ChWeeksFull,MATCH(E1649,ChName,0))</f>
        <v/>
      </c>
      <c r="K1649">
        <f>INDEX(ChRamp,MATCH(E1649,ChName,0))</f>
        <v/>
      </c>
      <c r="L1649" s="45">
        <f>MIN(1,MAX(0,(A1649-I1649+1)*RampSpeed/J1649))</f>
        <v/>
      </c>
      <c r="M1649" s="45">
        <f>IF(A1649&lt;I1649,0,IF(K1649="S-curve",L1649*L1649*(3-2*L1649),L1649))</f>
        <v/>
      </c>
      <c r="N1649" s="45">
        <f>1+(INDEX(SeasonIdx,A1649)-1)*SeasonAmp</f>
        <v/>
      </c>
      <c r="O1649" s="45">
        <f>IFERROR(INDEX(PSPct,MATCH(E1649&amp;"|"&amp;G1649,PSKey,0)),0)</f>
        <v/>
      </c>
      <c r="P1649" s="46">
        <f>INDEX(ChDoorVel,MATCH(E1649,ChName,0))*CalibScalar*(1+VelocityUplift)</f>
        <v/>
      </c>
      <c r="Q1649" s="46" t="n">
        <v>0</v>
      </c>
      <c r="R1649" s="46">
        <f>P1649*O1649*M1649*N1649*H1649</f>
        <v/>
      </c>
      <c r="S1649" s="46">
        <f>R1649*INDEX(FmtCansPerCase,MATCH(F1649,FmtName,0))</f>
        <v/>
      </c>
      <c r="T1649" s="46">
        <f>S1649/INDEX(FmtCansPerPack,MATCH(F1649,FmtName,0))</f>
        <v/>
      </c>
      <c r="U1649" s="47">
        <f>INDEX(ChBaseCP,MATCH(E1649,ChName,0))*(1+INDEX(ProvMod,MATCH(G1649,ProvCode,0)))*(1+PriceIndex)</f>
        <v/>
      </c>
      <c r="V1649" s="47">
        <f>R1649*U1649*INDEX(FmtBlendedPriceIdx,MATCH(F1649,FmtName,0))</f>
        <v/>
      </c>
      <c r="W1649" s="47">
        <f>T1649*INDEX(ProvSRP,MATCH(G1649,ProvCode,0))*(1+PriceIndex)</f>
        <v/>
      </c>
      <c r="X1649" s="47">
        <f>IF(GrossBasis="Wholesale",V1649,W1649)</f>
        <v/>
      </c>
      <c r="Y1649" s="47">
        <f>R1649*INDEX(FmtBlendedCogs,MATCH(F1649,FmtName,0))</f>
        <v/>
      </c>
      <c r="Z1649" s="47">
        <f>X1649-Y1649</f>
        <v/>
      </c>
    </row>
    <row r="1650">
      <c r="A1650" t="n">
        <v>6</v>
      </c>
      <c r="B1650" s="44">
        <f>FiscalStart+(A1650-1)*7</f>
        <v/>
      </c>
      <c r="C1650">
        <f>TEXT(B1650,"mmm yyyy")</f>
        <v/>
      </c>
      <c r="D1650">
        <f>"Q"&amp;(INT((A1650-1)/13)+1)</f>
        <v/>
      </c>
      <c r="E1650" t="inlineStr">
        <is>
          <t>Costco</t>
        </is>
      </c>
      <c r="F1650">
        <f>IFERROR(INDEX(ChFormat,MATCH(E1650,ChName,0)),"")</f>
        <v/>
      </c>
      <c r="G1650" t="inlineStr">
        <is>
          <t>AB</t>
        </is>
      </c>
      <c r="H1650">
        <f>IF(A1650&lt;=NWeeks,1,0)</f>
        <v/>
      </c>
      <c r="I1650">
        <f>INDEX(ChLaunch,MATCH(E1650,ChName,0))</f>
        <v/>
      </c>
      <c r="J1650">
        <f>INDEX(ChWeeksFull,MATCH(E1650,ChName,0))</f>
        <v/>
      </c>
      <c r="K1650">
        <f>INDEX(ChRamp,MATCH(E1650,ChName,0))</f>
        <v/>
      </c>
      <c r="L1650" s="45">
        <f>MIN(1,MAX(0,(A1650-I1650+1)*RampSpeed/J1650))</f>
        <v/>
      </c>
      <c r="M1650" s="45">
        <f>IF(A1650&lt;I1650,0,IF(K1650="S-curve",L1650*L1650*(3-2*L1650),L1650))</f>
        <v/>
      </c>
      <c r="N1650" s="45">
        <f>1+(INDEX(SeasonIdx,A1650)-1)*SeasonAmp</f>
        <v/>
      </c>
      <c r="O1650" s="45">
        <f>IFERROR(INDEX(PSPct,MATCH(E1650&amp;"|"&amp;G1650,PSKey,0)),0)</f>
        <v/>
      </c>
      <c r="P1650" s="46">
        <f>INDEX(ChDoorVel,MATCH(E1650,ChName,0))*CalibScalar*(1+VelocityUplift)</f>
        <v/>
      </c>
      <c r="Q1650" s="46" t="n">
        <v>0</v>
      </c>
      <c r="R1650" s="46">
        <f>P1650*O1650*M1650*N1650*H1650</f>
        <v/>
      </c>
      <c r="S1650" s="46">
        <f>R1650*INDEX(FmtCansPerCase,MATCH(F1650,FmtName,0))</f>
        <v/>
      </c>
      <c r="T1650" s="46">
        <f>S1650/INDEX(FmtCansPerPack,MATCH(F1650,FmtName,0))</f>
        <v/>
      </c>
      <c r="U1650" s="47">
        <f>INDEX(ChBaseCP,MATCH(E1650,ChName,0))*(1+INDEX(ProvMod,MATCH(G1650,ProvCode,0)))*(1+PriceIndex)</f>
        <v/>
      </c>
      <c r="V1650" s="47">
        <f>R1650*U1650*INDEX(FmtBlendedPriceIdx,MATCH(F1650,FmtName,0))</f>
        <v/>
      </c>
      <c r="W1650" s="47">
        <f>T1650*INDEX(ProvSRP,MATCH(G1650,ProvCode,0))*(1+PriceIndex)</f>
        <v/>
      </c>
      <c r="X1650" s="47">
        <f>IF(GrossBasis="Wholesale",V1650,W1650)</f>
        <v/>
      </c>
      <c r="Y1650" s="47">
        <f>R1650*INDEX(FmtBlendedCogs,MATCH(F1650,FmtName,0))</f>
        <v/>
      </c>
      <c r="Z1650" s="47">
        <f>X1650-Y1650</f>
        <v/>
      </c>
    </row>
    <row r="1651">
      <c r="A1651" t="n">
        <v>7</v>
      </c>
      <c r="B1651" s="44">
        <f>FiscalStart+(A1651-1)*7</f>
        <v/>
      </c>
      <c r="C1651">
        <f>TEXT(B1651,"mmm yyyy")</f>
        <v/>
      </c>
      <c r="D1651">
        <f>"Q"&amp;(INT((A1651-1)/13)+1)</f>
        <v/>
      </c>
      <c r="E1651" t="inlineStr">
        <is>
          <t>Costco</t>
        </is>
      </c>
      <c r="F1651">
        <f>IFERROR(INDEX(ChFormat,MATCH(E1651,ChName,0)),"")</f>
        <v/>
      </c>
      <c r="G1651" t="inlineStr">
        <is>
          <t>AB</t>
        </is>
      </c>
      <c r="H1651">
        <f>IF(A1651&lt;=NWeeks,1,0)</f>
        <v/>
      </c>
      <c r="I1651">
        <f>INDEX(ChLaunch,MATCH(E1651,ChName,0))</f>
        <v/>
      </c>
      <c r="J1651">
        <f>INDEX(ChWeeksFull,MATCH(E1651,ChName,0))</f>
        <v/>
      </c>
      <c r="K1651">
        <f>INDEX(ChRamp,MATCH(E1651,ChName,0))</f>
        <v/>
      </c>
      <c r="L1651" s="45">
        <f>MIN(1,MAX(0,(A1651-I1651+1)*RampSpeed/J1651))</f>
        <v/>
      </c>
      <c r="M1651" s="45">
        <f>IF(A1651&lt;I1651,0,IF(K1651="S-curve",L1651*L1651*(3-2*L1651),L1651))</f>
        <v/>
      </c>
      <c r="N1651" s="45">
        <f>1+(INDEX(SeasonIdx,A1651)-1)*SeasonAmp</f>
        <v/>
      </c>
      <c r="O1651" s="45">
        <f>IFERROR(INDEX(PSPct,MATCH(E1651&amp;"|"&amp;G1651,PSKey,0)),0)</f>
        <v/>
      </c>
      <c r="P1651" s="46">
        <f>INDEX(ChDoorVel,MATCH(E1651,ChName,0))*CalibScalar*(1+VelocityUplift)</f>
        <v/>
      </c>
      <c r="Q1651" s="46" t="n">
        <v>0</v>
      </c>
      <c r="R1651" s="46">
        <f>P1651*O1651*M1651*N1651*H1651</f>
        <v/>
      </c>
      <c r="S1651" s="46">
        <f>R1651*INDEX(FmtCansPerCase,MATCH(F1651,FmtName,0))</f>
        <v/>
      </c>
      <c r="T1651" s="46">
        <f>S1651/INDEX(FmtCansPerPack,MATCH(F1651,FmtName,0))</f>
        <v/>
      </c>
      <c r="U1651" s="47">
        <f>INDEX(ChBaseCP,MATCH(E1651,ChName,0))*(1+INDEX(ProvMod,MATCH(G1651,ProvCode,0)))*(1+PriceIndex)</f>
        <v/>
      </c>
      <c r="V1651" s="47">
        <f>R1651*U1651*INDEX(FmtBlendedPriceIdx,MATCH(F1651,FmtName,0))</f>
        <v/>
      </c>
      <c r="W1651" s="47">
        <f>T1651*INDEX(ProvSRP,MATCH(G1651,ProvCode,0))*(1+PriceIndex)</f>
        <v/>
      </c>
      <c r="X1651" s="47">
        <f>IF(GrossBasis="Wholesale",V1651,W1651)</f>
        <v/>
      </c>
      <c r="Y1651" s="47">
        <f>R1651*INDEX(FmtBlendedCogs,MATCH(F1651,FmtName,0))</f>
        <v/>
      </c>
      <c r="Z1651" s="47">
        <f>X1651-Y1651</f>
        <v/>
      </c>
    </row>
    <row r="1652">
      <c r="A1652" t="n">
        <v>8</v>
      </c>
      <c r="B1652" s="44">
        <f>FiscalStart+(A1652-1)*7</f>
        <v/>
      </c>
      <c r="C1652">
        <f>TEXT(B1652,"mmm yyyy")</f>
        <v/>
      </c>
      <c r="D1652">
        <f>"Q"&amp;(INT((A1652-1)/13)+1)</f>
        <v/>
      </c>
      <c r="E1652" t="inlineStr">
        <is>
          <t>Costco</t>
        </is>
      </c>
      <c r="F1652">
        <f>IFERROR(INDEX(ChFormat,MATCH(E1652,ChName,0)),"")</f>
        <v/>
      </c>
      <c r="G1652" t="inlineStr">
        <is>
          <t>AB</t>
        </is>
      </c>
      <c r="H1652">
        <f>IF(A1652&lt;=NWeeks,1,0)</f>
        <v/>
      </c>
      <c r="I1652">
        <f>INDEX(ChLaunch,MATCH(E1652,ChName,0))</f>
        <v/>
      </c>
      <c r="J1652">
        <f>INDEX(ChWeeksFull,MATCH(E1652,ChName,0))</f>
        <v/>
      </c>
      <c r="K1652">
        <f>INDEX(ChRamp,MATCH(E1652,ChName,0))</f>
        <v/>
      </c>
      <c r="L1652" s="45">
        <f>MIN(1,MAX(0,(A1652-I1652+1)*RampSpeed/J1652))</f>
        <v/>
      </c>
      <c r="M1652" s="45">
        <f>IF(A1652&lt;I1652,0,IF(K1652="S-curve",L1652*L1652*(3-2*L1652),L1652))</f>
        <v/>
      </c>
      <c r="N1652" s="45">
        <f>1+(INDEX(SeasonIdx,A1652)-1)*SeasonAmp</f>
        <v/>
      </c>
      <c r="O1652" s="45">
        <f>IFERROR(INDEX(PSPct,MATCH(E1652&amp;"|"&amp;G1652,PSKey,0)),0)</f>
        <v/>
      </c>
      <c r="P1652" s="46">
        <f>INDEX(ChDoorVel,MATCH(E1652,ChName,0))*CalibScalar*(1+VelocityUplift)</f>
        <v/>
      </c>
      <c r="Q1652" s="46" t="n">
        <v>0</v>
      </c>
      <c r="R1652" s="46">
        <f>P1652*O1652*M1652*N1652*H1652</f>
        <v/>
      </c>
      <c r="S1652" s="46">
        <f>R1652*INDEX(FmtCansPerCase,MATCH(F1652,FmtName,0))</f>
        <v/>
      </c>
      <c r="T1652" s="46">
        <f>S1652/INDEX(FmtCansPerPack,MATCH(F1652,FmtName,0))</f>
        <v/>
      </c>
      <c r="U1652" s="47">
        <f>INDEX(ChBaseCP,MATCH(E1652,ChName,0))*(1+INDEX(ProvMod,MATCH(G1652,ProvCode,0)))*(1+PriceIndex)</f>
        <v/>
      </c>
      <c r="V1652" s="47">
        <f>R1652*U1652*INDEX(FmtBlendedPriceIdx,MATCH(F1652,FmtName,0))</f>
        <v/>
      </c>
      <c r="W1652" s="47">
        <f>T1652*INDEX(ProvSRP,MATCH(G1652,ProvCode,0))*(1+PriceIndex)</f>
        <v/>
      </c>
      <c r="X1652" s="47">
        <f>IF(GrossBasis="Wholesale",V1652,W1652)</f>
        <v/>
      </c>
      <c r="Y1652" s="47">
        <f>R1652*INDEX(FmtBlendedCogs,MATCH(F1652,FmtName,0))</f>
        <v/>
      </c>
      <c r="Z1652" s="47">
        <f>X1652-Y1652</f>
        <v/>
      </c>
    </row>
    <row r="1653">
      <c r="A1653" t="n">
        <v>9</v>
      </c>
      <c r="B1653" s="44">
        <f>FiscalStart+(A1653-1)*7</f>
        <v/>
      </c>
      <c r="C1653">
        <f>TEXT(B1653,"mmm yyyy")</f>
        <v/>
      </c>
      <c r="D1653">
        <f>"Q"&amp;(INT((A1653-1)/13)+1)</f>
        <v/>
      </c>
      <c r="E1653" t="inlineStr">
        <is>
          <t>Costco</t>
        </is>
      </c>
      <c r="F1653">
        <f>IFERROR(INDEX(ChFormat,MATCH(E1653,ChName,0)),"")</f>
        <v/>
      </c>
      <c r="G1653" t="inlineStr">
        <is>
          <t>AB</t>
        </is>
      </c>
      <c r="H1653">
        <f>IF(A1653&lt;=NWeeks,1,0)</f>
        <v/>
      </c>
      <c r="I1653">
        <f>INDEX(ChLaunch,MATCH(E1653,ChName,0))</f>
        <v/>
      </c>
      <c r="J1653">
        <f>INDEX(ChWeeksFull,MATCH(E1653,ChName,0))</f>
        <v/>
      </c>
      <c r="K1653">
        <f>INDEX(ChRamp,MATCH(E1653,ChName,0))</f>
        <v/>
      </c>
      <c r="L1653" s="45">
        <f>MIN(1,MAX(0,(A1653-I1653+1)*RampSpeed/J1653))</f>
        <v/>
      </c>
      <c r="M1653" s="45">
        <f>IF(A1653&lt;I1653,0,IF(K1653="S-curve",L1653*L1653*(3-2*L1653),L1653))</f>
        <v/>
      </c>
      <c r="N1653" s="45">
        <f>1+(INDEX(SeasonIdx,A1653)-1)*SeasonAmp</f>
        <v/>
      </c>
      <c r="O1653" s="45">
        <f>IFERROR(INDEX(PSPct,MATCH(E1653&amp;"|"&amp;G1653,PSKey,0)),0)</f>
        <v/>
      </c>
      <c r="P1653" s="46">
        <f>INDEX(ChDoorVel,MATCH(E1653,ChName,0))*CalibScalar*(1+VelocityUplift)</f>
        <v/>
      </c>
      <c r="Q1653" s="46" t="n">
        <v>0</v>
      </c>
      <c r="R1653" s="46">
        <f>P1653*O1653*M1653*N1653*H1653</f>
        <v/>
      </c>
      <c r="S1653" s="46">
        <f>R1653*INDEX(FmtCansPerCase,MATCH(F1653,FmtName,0))</f>
        <v/>
      </c>
      <c r="T1653" s="46">
        <f>S1653/INDEX(FmtCansPerPack,MATCH(F1653,FmtName,0))</f>
        <v/>
      </c>
      <c r="U1653" s="47">
        <f>INDEX(ChBaseCP,MATCH(E1653,ChName,0))*(1+INDEX(ProvMod,MATCH(G1653,ProvCode,0)))*(1+PriceIndex)</f>
        <v/>
      </c>
      <c r="V1653" s="47">
        <f>R1653*U1653*INDEX(FmtBlendedPriceIdx,MATCH(F1653,FmtName,0))</f>
        <v/>
      </c>
      <c r="W1653" s="47">
        <f>T1653*INDEX(ProvSRP,MATCH(G1653,ProvCode,0))*(1+PriceIndex)</f>
        <v/>
      </c>
      <c r="X1653" s="47">
        <f>IF(GrossBasis="Wholesale",V1653,W1653)</f>
        <v/>
      </c>
      <c r="Y1653" s="47">
        <f>R1653*INDEX(FmtBlendedCogs,MATCH(F1653,FmtName,0))</f>
        <v/>
      </c>
      <c r="Z1653" s="47">
        <f>X1653-Y1653</f>
        <v/>
      </c>
    </row>
    <row r="1654">
      <c r="A1654" t="n">
        <v>10</v>
      </c>
      <c r="B1654" s="44">
        <f>FiscalStart+(A1654-1)*7</f>
        <v/>
      </c>
      <c r="C1654">
        <f>TEXT(B1654,"mmm yyyy")</f>
        <v/>
      </c>
      <c r="D1654">
        <f>"Q"&amp;(INT((A1654-1)/13)+1)</f>
        <v/>
      </c>
      <c r="E1654" t="inlineStr">
        <is>
          <t>Costco</t>
        </is>
      </c>
      <c r="F1654">
        <f>IFERROR(INDEX(ChFormat,MATCH(E1654,ChName,0)),"")</f>
        <v/>
      </c>
      <c r="G1654" t="inlineStr">
        <is>
          <t>AB</t>
        </is>
      </c>
      <c r="H1654">
        <f>IF(A1654&lt;=NWeeks,1,0)</f>
        <v/>
      </c>
      <c r="I1654">
        <f>INDEX(ChLaunch,MATCH(E1654,ChName,0))</f>
        <v/>
      </c>
      <c r="J1654">
        <f>INDEX(ChWeeksFull,MATCH(E1654,ChName,0))</f>
        <v/>
      </c>
      <c r="K1654">
        <f>INDEX(ChRamp,MATCH(E1654,ChName,0))</f>
        <v/>
      </c>
      <c r="L1654" s="45">
        <f>MIN(1,MAX(0,(A1654-I1654+1)*RampSpeed/J1654))</f>
        <v/>
      </c>
      <c r="M1654" s="45">
        <f>IF(A1654&lt;I1654,0,IF(K1654="S-curve",L1654*L1654*(3-2*L1654),L1654))</f>
        <v/>
      </c>
      <c r="N1654" s="45">
        <f>1+(INDEX(SeasonIdx,A1654)-1)*SeasonAmp</f>
        <v/>
      </c>
      <c r="O1654" s="45">
        <f>IFERROR(INDEX(PSPct,MATCH(E1654&amp;"|"&amp;G1654,PSKey,0)),0)</f>
        <v/>
      </c>
      <c r="P1654" s="46">
        <f>INDEX(ChDoorVel,MATCH(E1654,ChName,0))*CalibScalar*(1+VelocityUplift)</f>
        <v/>
      </c>
      <c r="Q1654" s="46" t="n">
        <v>0</v>
      </c>
      <c r="R1654" s="46">
        <f>P1654*O1654*M1654*N1654*H1654</f>
        <v/>
      </c>
      <c r="S1654" s="46">
        <f>R1654*INDEX(FmtCansPerCase,MATCH(F1654,FmtName,0))</f>
        <v/>
      </c>
      <c r="T1654" s="46">
        <f>S1654/INDEX(FmtCansPerPack,MATCH(F1654,FmtName,0))</f>
        <v/>
      </c>
      <c r="U1654" s="47">
        <f>INDEX(ChBaseCP,MATCH(E1654,ChName,0))*(1+INDEX(ProvMod,MATCH(G1654,ProvCode,0)))*(1+PriceIndex)</f>
        <v/>
      </c>
      <c r="V1654" s="47">
        <f>R1654*U1654*INDEX(FmtBlendedPriceIdx,MATCH(F1654,FmtName,0))</f>
        <v/>
      </c>
      <c r="W1654" s="47">
        <f>T1654*INDEX(ProvSRP,MATCH(G1654,ProvCode,0))*(1+PriceIndex)</f>
        <v/>
      </c>
      <c r="X1654" s="47">
        <f>IF(GrossBasis="Wholesale",V1654,W1654)</f>
        <v/>
      </c>
      <c r="Y1654" s="47">
        <f>R1654*INDEX(FmtBlendedCogs,MATCH(F1654,FmtName,0))</f>
        <v/>
      </c>
      <c r="Z1654" s="47">
        <f>X1654-Y1654</f>
        <v/>
      </c>
    </row>
    <row r="1655">
      <c r="A1655" t="n">
        <v>11</v>
      </c>
      <c r="B1655" s="44">
        <f>FiscalStart+(A1655-1)*7</f>
        <v/>
      </c>
      <c r="C1655">
        <f>TEXT(B1655,"mmm yyyy")</f>
        <v/>
      </c>
      <c r="D1655">
        <f>"Q"&amp;(INT((A1655-1)/13)+1)</f>
        <v/>
      </c>
      <c r="E1655" t="inlineStr">
        <is>
          <t>Costco</t>
        </is>
      </c>
      <c r="F1655">
        <f>IFERROR(INDEX(ChFormat,MATCH(E1655,ChName,0)),"")</f>
        <v/>
      </c>
      <c r="G1655" t="inlineStr">
        <is>
          <t>AB</t>
        </is>
      </c>
      <c r="H1655">
        <f>IF(A1655&lt;=NWeeks,1,0)</f>
        <v/>
      </c>
      <c r="I1655">
        <f>INDEX(ChLaunch,MATCH(E1655,ChName,0))</f>
        <v/>
      </c>
      <c r="J1655">
        <f>INDEX(ChWeeksFull,MATCH(E1655,ChName,0))</f>
        <v/>
      </c>
      <c r="K1655">
        <f>INDEX(ChRamp,MATCH(E1655,ChName,0))</f>
        <v/>
      </c>
      <c r="L1655" s="45">
        <f>MIN(1,MAX(0,(A1655-I1655+1)*RampSpeed/J1655))</f>
        <v/>
      </c>
      <c r="M1655" s="45">
        <f>IF(A1655&lt;I1655,0,IF(K1655="S-curve",L1655*L1655*(3-2*L1655),L1655))</f>
        <v/>
      </c>
      <c r="N1655" s="45">
        <f>1+(INDEX(SeasonIdx,A1655)-1)*SeasonAmp</f>
        <v/>
      </c>
      <c r="O1655" s="45">
        <f>IFERROR(INDEX(PSPct,MATCH(E1655&amp;"|"&amp;G1655,PSKey,0)),0)</f>
        <v/>
      </c>
      <c r="P1655" s="46">
        <f>INDEX(ChDoorVel,MATCH(E1655,ChName,0))*CalibScalar*(1+VelocityUplift)</f>
        <v/>
      </c>
      <c r="Q1655" s="46" t="n">
        <v>0</v>
      </c>
      <c r="R1655" s="46">
        <f>P1655*O1655*M1655*N1655*H1655</f>
        <v/>
      </c>
      <c r="S1655" s="46">
        <f>R1655*INDEX(FmtCansPerCase,MATCH(F1655,FmtName,0))</f>
        <v/>
      </c>
      <c r="T1655" s="46">
        <f>S1655/INDEX(FmtCansPerPack,MATCH(F1655,FmtName,0))</f>
        <v/>
      </c>
      <c r="U1655" s="47">
        <f>INDEX(ChBaseCP,MATCH(E1655,ChName,0))*(1+INDEX(ProvMod,MATCH(G1655,ProvCode,0)))*(1+PriceIndex)</f>
        <v/>
      </c>
      <c r="V1655" s="47">
        <f>R1655*U1655*INDEX(FmtBlendedPriceIdx,MATCH(F1655,FmtName,0))</f>
        <v/>
      </c>
      <c r="W1655" s="47">
        <f>T1655*INDEX(ProvSRP,MATCH(G1655,ProvCode,0))*(1+PriceIndex)</f>
        <v/>
      </c>
      <c r="X1655" s="47">
        <f>IF(GrossBasis="Wholesale",V1655,W1655)</f>
        <v/>
      </c>
      <c r="Y1655" s="47">
        <f>R1655*INDEX(FmtBlendedCogs,MATCH(F1655,FmtName,0))</f>
        <v/>
      </c>
      <c r="Z1655" s="47">
        <f>X1655-Y1655</f>
        <v/>
      </c>
    </row>
    <row r="1656">
      <c r="A1656" t="n">
        <v>12</v>
      </c>
      <c r="B1656" s="44">
        <f>FiscalStart+(A1656-1)*7</f>
        <v/>
      </c>
      <c r="C1656">
        <f>TEXT(B1656,"mmm yyyy")</f>
        <v/>
      </c>
      <c r="D1656">
        <f>"Q"&amp;(INT((A1656-1)/13)+1)</f>
        <v/>
      </c>
      <c r="E1656" t="inlineStr">
        <is>
          <t>Costco</t>
        </is>
      </c>
      <c r="F1656">
        <f>IFERROR(INDEX(ChFormat,MATCH(E1656,ChName,0)),"")</f>
        <v/>
      </c>
      <c r="G1656" t="inlineStr">
        <is>
          <t>AB</t>
        </is>
      </c>
      <c r="H1656">
        <f>IF(A1656&lt;=NWeeks,1,0)</f>
        <v/>
      </c>
      <c r="I1656">
        <f>INDEX(ChLaunch,MATCH(E1656,ChName,0))</f>
        <v/>
      </c>
      <c r="J1656">
        <f>INDEX(ChWeeksFull,MATCH(E1656,ChName,0))</f>
        <v/>
      </c>
      <c r="K1656">
        <f>INDEX(ChRamp,MATCH(E1656,ChName,0))</f>
        <v/>
      </c>
      <c r="L1656" s="45">
        <f>MIN(1,MAX(0,(A1656-I1656+1)*RampSpeed/J1656))</f>
        <v/>
      </c>
      <c r="M1656" s="45">
        <f>IF(A1656&lt;I1656,0,IF(K1656="S-curve",L1656*L1656*(3-2*L1656),L1656))</f>
        <v/>
      </c>
      <c r="N1656" s="45">
        <f>1+(INDEX(SeasonIdx,A1656)-1)*SeasonAmp</f>
        <v/>
      </c>
      <c r="O1656" s="45">
        <f>IFERROR(INDEX(PSPct,MATCH(E1656&amp;"|"&amp;G1656,PSKey,0)),0)</f>
        <v/>
      </c>
      <c r="P1656" s="46">
        <f>INDEX(ChDoorVel,MATCH(E1656,ChName,0))*CalibScalar*(1+VelocityUplift)</f>
        <v/>
      </c>
      <c r="Q1656" s="46" t="n">
        <v>0</v>
      </c>
      <c r="R1656" s="46">
        <f>P1656*O1656*M1656*N1656*H1656</f>
        <v/>
      </c>
      <c r="S1656" s="46">
        <f>R1656*INDEX(FmtCansPerCase,MATCH(F1656,FmtName,0))</f>
        <v/>
      </c>
      <c r="T1656" s="46">
        <f>S1656/INDEX(FmtCansPerPack,MATCH(F1656,FmtName,0))</f>
        <v/>
      </c>
      <c r="U1656" s="47">
        <f>INDEX(ChBaseCP,MATCH(E1656,ChName,0))*(1+INDEX(ProvMod,MATCH(G1656,ProvCode,0)))*(1+PriceIndex)</f>
        <v/>
      </c>
      <c r="V1656" s="47">
        <f>R1656*U1656*INDEX(FmtBlendedPriceIdx,MATCH(F1656,FmtName,0))</f>
        <v/>
      </c>
      <c r="W1656" s="47">
        <f>T1656*INDEX(ProvSRP,MATCH(G1656,ProvCode,0))*(1+PriceIndex)</f>
        <v/>
      </c>
      <c r="X1656" s="47">
        <f>IF(GrossBasis="Wholesale",V1656,W1656)</f>
        <v/>
      </c>
      <c r="Y1656" s="47">
        <f>R1656*INDEX(FmtBlendedCogs,MATCH(F1656,FmtName,0))</f>
        <v/>
      </c>
      <c r="Z1656" s="47">
        <f>X1656-Y1656</f>
        <v/>
      </c>
    </row>
    <row r="1657">
      <c r="A1657" t="n">
        <v>13</v>
      </c>
      <c r="B1657" s="44">
        <f>FiscalStart+(A1657-1)*7</f>
        <v/>
      </c>
      <c r="C1657">
        <f>TEXT(B1657,"mmm yyyy")</f>
        <v/>
      </c>
      <c r="D1657">
        <f>"Q"&amp;(INT((A1657-1)/13)+1)</f>
        <v/>
      </c>
      <c r="E1657" t="inlineStr">
        <is>
          <t>Costco</t>
        </is>
      </c>
      <c r="F1657">
        <f>IFERROR(INDEX(ChFormat,MATCH(E1657,ChName,0)),"")</f>
        <v/>
      </c>
      <c r="G1657" t="inlineStr">
        <is>
          <t>AB</t>
        </is>
      </c>
      <c r="H1657">
        <f>IF(A1657&lt;=NWeeks,1,0)</f>
        <v/>
      </c>
      <c r="I1657">
        <f>INDEX(ChLaunch,MATCH(E1657,ChName,0))</f>
        <v/>
      </c>
      <c r="J1657">
        <f>INDEX(ChWeeksFull,MATCH(E1657,ChName,0))</f>
        <v/>
      </c>
      <c r="K1657">
        <f>INDEX(ChRamp,MATCH(E1657,ChName,0))</f>
        <v/>
      </c>
      <c r="L1657" s="45">
        <f>MIN(1,MAX(0,(A1657-I1657+1)*RampSpeed/J1657))</f>
        <v/>
      </c>
      <c r="M1657" s="45">
        <f>IF(A1657&lt;I1657,0,IF(K1657="S-curve",L1657*L1657*(3-2*L1657),L1657))</f>
        <v/>
      </c>
      <c r="N1657" s="45">
        <f>1+(INDEX(SeasonIdx,A1657)-1)*SeasonAmp</f>
        <v/>
      </c>
      <c r="O1657" s="45">
        <f>IFERROR(INDEX(PSPct,MATCH(E1657&amp;"|"&amp;G1657,PSKey,0)),0)</f>
        <v/>
      </c>
      <c r="P1657" s="46">
        <f>INDEX(ChDoorVel,MATCH(E1657,ChName,0))*CalibScalar*(1+VelocityUplift)</f>
        <v/>
      </c>
      <c r="Q1657" s="46" t="n">
        <v>0</v>
      </c>
      <c r="R1657" s="46">
        <f>P1657*O1657*M1657*N1657*H1657</f>
        <v/>
      </c>
      <c r="S1657" s="46">
        <f>R1657*INDEX(FmtCansPerCase,MATCH(F1657,FmtName,0))</f>
        <v/>
      </c>
      <c r="T1657" s="46">
        <f>S1657/INDEX(FmtCansPerPack,MATCH(F1657,FmtName,0))</f>
        <v/>
      </c>
      <c r="U1657" s="47">
        <f>INDEX(ChBaseCP,MATCH(E1657,ChName,0))*(1+INDEX(ProvMod,MATCH(G1657,ProvCode,0)))*(1+PriceIndex)</f>
        <v/>
      </c>
      <c r="V1657" s="47">
        <f>R1657*U1657*INDEX(FmtBlendedPriceIdx,MATCH(F1657,FmtName,0))</f>
        <v/>
      </c>
      <c r="W1657" s="47">
        <f>T1657*INDEX(ProvSRP,MATCH(G1657,ProvCode,0))*(1+PriceIndex)</f>
        <v/>
      </c>
      <c r="X1657" s="47">
        <f>IF(GrossBasis="Wholesale",V1657,W1657)</f>
        <v/>
      </c>
      <c r="Y1657" s="47">
        <f>R1657*INDEX(FmtBlendedCogs,MATCH(F1657,FmtName,0))</f>
        <v/>
      </c>
      <c r="Z1657" s="47">
        <f>X1657-Y1657</f>
        <v/>
      </c>
    </row>
    <row r="1658">
      <c r="A1658" t="n">
        <v>14</v>
      </c>
      <c r="B1658" s="44">
        <f>FiscalStart+(A1658-1)*7</f>
        <v/>
      </c>
      <c r="C1658">
        <f>TEXT(B1658,"mmm yyyy")</f>
        <v/>
      </c>
      <c r="D1658">
        <f>"Q"&amp;(INT((A1658-1)/13)+1)</f>
        <v/>
      </c>
      <c r="E1658" t="inlineStr">
        <is>
          <t>Costco</t>
        </is>
      </c>
      <c r="F1658">
        <f>IFERROR(INDEX(ChFormat,MATCH(E1658,ChName,0)),"")</f>
        <v/>
      </c>
      <c r="G1658" t="inlineStr">
        <is>
          <t>AB</t>
        </is>
      </c>
      <c r="H1658">
        <f>IF(A1658&lt;=NWeeks,1,0)</f>
        <v/>
      </c>
      <c r="I1658">
        <f>INDEX(ChLaunch,MATCH(E1658,ChName,0))</f>
        <v/>
      </c>
      <c r="J1658">
        <f>INDEX(ChWeeksFull,MATCH(E1658,ChName,0))</f>
        <v/>
      </c>
      <c r="K1658">
        <f>INDEX(ChRamp,MATCH(E1658,ChName,0))</f>
        <v/>
      </c>
      <c r="L1658" s="45">
        <f>MIN(1,MAX(0,(A1658-I1658+1)*RampSpeed/J1658))</f>
        <v/>
      </c>
      <c r="M1658" s="45">
        <f>IF(A1658&lt;I1658,0,IF(K1658="S-curve",L1658*L1658*(3-2*L1658),L1658))</f>
        <v/>
      </c>
      <c r="N1658" s="45">
        <f>1+(INDEX(SeasonIdx,A1658)-1)*SeasonAmp</f>
        <v/>
      </c>
      <c r="O1658" s="45">
        <f>IFERROR(INDEX(PSPct,MATCH(E1658&amp;"|"&amp;G1658,PSKey,0)),0)</f>
        <v/>
      </c>
      <c r="P1658" s="46">
        <f>INDEX(ChDoorVel,MATCH(E1658,ChName,0))*CalibScalar*(1+VelocityUplift)</f>
        <v/>
      </c>
      <c r="Q1658" s="46" t="n">
        <v>0</v>
      </c>
      <c r="R1658" s="46">
        <f>P1658*O1658*M1658*N1658*H1658</f>
        <v/>
      </c>
      <c r="S1658" s="46">
        <f>R1658*INDEX(FmtCansPerCase,MATCH(F1658,FmtName,0))</f>
        <v/>
      </c>
      <c r="T1658" s="46">
        <f>S1658/INDEX(FmtCansPerPack,MATCH(F1658,FmtName,0))</f>
        <v/>
      </c>
      <c r="U1658" s="47">
        <f>INDEX(ChBaseCP,MATCH(E1658,ChName,0))*(1+INDEX(ProvMod,MATCH(G1658,ProvCode,0)))*(1+PriceIndex)</f>
        <v/>
      </c>
      <c r="V1658" s="47">
        <f>R1658*U1658*INDEX(FmtBlendedPriceIdx,MATCH(F1658,FmtName,0))</f>
        <v/>
      </c>
      <c r="W1658" s="47">
        <f>T1658*INDEX(ProvSRP,MATCH(G1658,ProvCode,0))*(1+PriceIndex)</f>
        <v/>
      </c>
      <c r="X1658" s="47">
        <f>IF(GrossBasis="Wholesale",V1658,W1658)</f>
        <v/>
      </c>
      <c r="Y1658" s="47">
        <f>R1658*INDEX(FmtBlendedCogs,MATCH(F1658,FmtName,0))</f>
        <v/>
      </c>
      <c r="Z1658" s="47">
        <f>X1658-Y1658</f>
        <v/>
      </c>
    </row>
    <row r="1659">
      <c r="A1659" t="n">
        <v>15</v>
      </c>
      <c r="B1659" s="44">
        <f>FiscalStart+(A1659-1)*7</f>
        <v/>
      </c>
      <c r="C1659">
        <f>TEXT(B1659,"mmm yyyy")</f>
        <v/>
      </c>
      <c r="D1659">
        <f>"Q"&amp;(INT((A1659-1)/13)+1)</f>
        <v/>
      </c>
      <c r="E1659" t="inlineStr">
        <is>
          <t>Costco</t>
        </is>
      </c>
      <c r="F1659">
        <f>IFERROR(INDEX(ChFormat,MATCH(E1659,ChName,0)),"")</f>
        <v/>
      </c>
      <c r="G1659" t="inlineStr">
        <is>
          <t>AB</t>
        </is>
      </c>
      <c r="H1659">
        <f>IF(A1659&lt;=NWeeks,1,0)</f>
        <v/>
      </c>
      <c r="I1659">
        <f>INDEX(ChLaunch,MATCH(E1659,ChName,0))</f>
        <v/>
      </c>
      <c r="J1659">
        <f>INDEX(ChWeeksFull,MATCH(E1659,ChName,0))</f>
        <v/>
      </c>
      <c r="K1659">
        <f>INDEX(ChRamp,MATCH(E1659,ChName,0))</f>
        <v/>
      </c>
      <c r="L1659" s="45">
        <f>MIN(1,MAX(0,(A1659-I1659+1)*RampSpeed/J1659))</f>
        <v/>
      </c>
      <c r="M1659" s="45">
        <f>IF(A1659&lt;I1659,0,IF(K1659="S-curve",L1659*L1659*(3-2*L1659),L1659))</f>
        <v/>
      </c>
      <c r="N1659" s="45">
        <f>1+(INDEX(SeasonIdx,A1659)-1)*SeasonAmp</f>
        <v/>
      </c>
      <c r="O1659" s="45">
        <f>IFERROR(INDEX(PSPct,MATCH(E1659&amp;"|"&amp;G1659,PSKey,0)),0)</f>
        <v/>
      </c>
      <c r="P1659" s="46">
        <f>INDEX(ChDoorVel,MATCH(E1659,ChName,0))*CalibScalar*(1+VelocityUplift)</f>
        <v/>
      </c>
      <c r="Q1659" s="46" t="n">
        <v>0</v>
      </c>
      <c r="R1659" s="46">
        <f>P1659*O1659*M1659*N1659*H1659</f>
        <v/>
      </c>
      <c r="S1659" s="46">
        <f>R1659*INDEX(FmtCansPerCase,MATCH(F1659,FmtName,0))</f>
        <v/>
      </c>
      <c r="T1659" s="46">
        <f>S1659/INDEX(FmtCansPerPack,MATCH(F1659,FmtName,0))</f>
        <v/>
      </c>
      <c r="U1659" s="47">
        <f>INDEX(ChBaseCP,MATCH(E1659,ChName,0))*(1+INDEX(ProvMod,MATCH(G1659,ProvCode,0)))*(1+PriceIndex)</f>
        <v/>
      </c>
      <c r="V1659" s="47">
        <f>R1659*U1659*INDEX(FmtBlendedPriceIdx,MATCH(F1659,FmtName,0))</f>
        <v/>
      </c>
      <c r="W1659" s="47">
        <f>T1659*INDEX(ProvSRP,MATCH(G1659,ProvCode,0))*(1+PriceIndex)</f>
        <v/>
      </c>
      <c r="X1659" s="47">
        <f>IF(GrossBasis="Wholesale",V1659,W1659)</f>
        <v/>
      </c>
      <c r="Y1659" s="47">
        <f>R1659*INDEX(FmtBlendedCogs,MATCH(F1659,FmtName,0))</f>
        <v/>
      </c>
      <c r="Z1659" s="47">
        <f>X1659-Y1659</f>
        <v/>
      </c>
    </row>
    <row r="1660">
      <c r="A1660" t="n">
        <v>16</v>
      </c>
      <c r="B1660" s="44">
        <f>FiscalStart+(A1660-1)*7</f>
        <v/>
      </c>
      <c r="C1660">
        <f>TEXT(B1660,"mmm yyyy")</f>
        <v/>
      </c>
      <c r="D1660">
        <f>"Q"&amp;(INT((A1660-1)/13)+1)</f>
        <v/>
      </c>
      <c r="E1660" t="inlineStr">
        <is>
          <t>Costco</t>
        </is>
      </c>
      <c r="F1660">
        <f>IFERROR(INDEX(ChFormat,MATCH(E1660,ChName,0)),"")</f>
        <v/>
      </c>
      <c r="G1660" t="inlineStr">
        <is>
          <t>AB</t>
        </is>
      </c>
      <c r="H1660">
        <f>IF(A1660&lt;=NWeeks,1,0)</f>
        <v/>
      </c>
      <c r="I1660">
        <f>INDEX(ChLaunch,MATCH(E1660,ChName,0))</f>
        <v/>
      </c>
      <c r="J1660">
        <f>INDEX(ChWeeksFull,MATCH(E1660,ChName,0))</f>
        <v/>
      </c>
      <c r="K1660">
        <f>INDEX(ChRamp,MATCH(E1660,ChName,0))</f>
        <v/>
      </c>
      <c r="L1660" s="45">
        <f>MIN(1,MAX(0,(A1660-I1660+1)*RampSpeed/J1660))</f>
        <v/>
      </c>
      <c r="M1660" s="45">
        <f>IF(A1660&lt;I1660,0,IF(K1660="S-curve",L1660*L1660*(3-2*L1660),L1660))</f>
        <v/>
      </c>
      <c r="N1660" s="45">
        <f>1+(INDEX(SeasonIdx,A1660)-1)*SeasonAmp</f>
        <v/>
      </c>
      <c r="O1660" s="45">
        <f>IFERROR(INDEX(PSPct,MATCH(E1660&amp;"|"&amp;G1660,PSKey,0)),0)</f>
        <v/>
      </c>
      <c r="P1660" s="46">
        <f>INDEX(ChDoorVel,MATCH(E1660,ChName,0))*CalibScalar*(1+VelocityUplift)</f>
        <v/>
      </c>
      <c r="Q1660" s="46" t="n">
        <v>0</v>
      </c>
      <c r="R1660" s="46">
        <f>P1660*O1660*M1660*N1660*H1660</f>
        <v/>
      </c>
      <c r="S1660" s="46">
        <f>R1660*INDEX(FmtCansPerCase,MATCH(F1660,FmtName,0))</f>
        <v/>
      </c>
      <c r="T1660" s="46">
        <f>S1660/INDEX(FmtCansPerPack,MATCH(F1660,FmtName,0))</f>
        <v/>
      </c>
      <c r="U1660" s="47">
        <f>INDEX(ChBaseCP,MATCH(E1660,ChName,0))*(1+INDEX(ProvMod,MATCH(G1660,ProvCode,0)))*(1+PriceIndex)</f>
        <v/>
      </c>
      <c r="V1660" s="47">
        <f>R1660*U1660*INDEX(FmtBlendedPriceIdx,MATCH(F1660,FmtName,0))</f>
        <v/>
      </c>
      <c r="W1660" s="47">
        <f>T1660*INDEX(ProvSRP,MATCH(G1660,ProvCode,0))*(1+PriceIndex)</f>
        <v/>
      </c>
      <c r="X1660" s="47">
        <f>IF(GrossBasis="Wholesale",V1660,W1660)</f>
        <v/>
      </c>
      <c r="Y1660" s="47">
        <f>R1660*INDEX(FmtBlendedCogs,MATCH(F1660,FmtName,0))</f>
        <v/>
      </c>
      <c r="Z1660" s="47">
        <f>X1660-Y1660</f>
        <v/>
      </c>
    </row>
    <row r="1661">
      <c r="A1661" t="n">
        <v>17</v>
      </c>
      <c r="B1661" s="44">
        <f>FiscalStart+(A1661-1)*7</f>
        <v/>
      </c>
      <c r="C1661">
        <f>TEXT(B1661,"mmm yyyy")</f>
        <v/>
      </c>
      <c r="D1661">
        <f>"Q"&amp;(INT((A1661-1)/13)+1)</f>
        <v/>
      </c>
      <c r="E1661" t="inlineStr">
        <is>
          <t>Costco</t>
        </is>
      </c>
      <c r="F1661">
        <f>IFERROR(INDEX(ChFormat,MATCH(E1661,ChName,0)),"")</f>
        <v/>
      </c>
      <c r="G1661" t="inlineStr">
        <is>
          <t>AB</t>
        </is>
      </c>
      <c r="H1661">
        <f>IF(A1661&lt;=NWeeks,1,0)</f>
        <v/>
      </c>
      <c r="I1661">
        <f>INDEX(ChLaunch,MATCH(E1661,ChName,0))</f>
        <v/>
      </c>
      <c r="J1661">
        <f>INDEX(ChWeeksFull,MATCH(E1661,ChName,0))</f>
        <v/>
      </c>
      <c r="K1661">
        <f>INDEX(ChRamp,MATCH(E1661,ChName,0))</f>
        <v/>
      </c>
      <c r="L1661" s="45">
        <f>MIN(1,MAX(0,(A1661-I1661+1)*RampSpeed/J1661))</f>
        <v/>
      </c>
      <c r="M1661" s="45">
        <f>IF(A1661&lt;I1661,0,IF(K1661="S-curve",L1661*L1661*(3-2*L1661),L1661))</f>
        <v/>
      </c>
      <c r="N1661" s="45">
        <f>1+(INDEX(SeasonIdx,A1661)-1)*SeasonAmp</f>
        <v/>
      </c>
      <c r="O1661" s="45">
        <f>IFERROR(INDEX(PSPct,MATCH(E1661&amp;"|"&amp;G1661,PSKey,0)),0)</f>
        <v/>
      </c>
      <c r="P1661" s="46">
        <f>INDEX(ChDoorVel,MATCH(E1661,ChName,0))*CalibScalar*(1+VelocityUplift)</f>
        <v/>
      </c>
      <c r="Q1661" s="46" t="n">
        <v>0</v>
      </c>
      <c r="R1661" s="46">
        <f>P1661*O1661*M1661*N1661*H1661</f>
        <v/>
      </c>
      <c r="S1661" s="46">
        <f>R1661*INDEX(FmtCansPerCase,MATCH(F1661,FmtName,0))</f>
        <v/>
      </c>
      <c r="T1661" s="46">
        <f>S1661/INDEX(FmtCansPerPack,MATCH(F1661,FmtName,0))</f>
        <v/>
      </c>
      <c r="U1661" s="47">
        <f>INDEX(ChBaseCP,MATCH(E1661,ChName,0))*(1+INDEX(ProvMod,MATCH(G1661,ProvCode,0)))*(1+PriceIndex)</f>
        <v/>
      </c>
      <c r="V1661" s="47">
        <f>R1661*U1661*INDEX(FmtBlendedPriceIdx,MATCH(F1661,FmtName,0))</f>
        <v/>
      </c>
      <c r="W1661" s="47">
        <f>T1661*INDEX(ProvSRP,MATCH(G1661,ProvCode,0))*(1+PriceIndex)</f>
        <v/>
      </c>
      <c r="X1661" s="47">
        <f>IF(GrossBasis="Wholesale",V1661,W1661)</f>
        <v/>
      </c>
      <c r="Y1661" s="47">
        <f>R1661*INDEX(FmtBlendedCogs,MATCH(F1661,FmtName,0))</f>
        <v/>
      </c>
      <c r="Z1661" s="47">
        <f>X1661-Y1661</f>
        <v/>
      </c>
    </row>
    <row r="1662">
      <c r="A1662" t="n">
        <v>18</v>
      </c>
      <c r="B1662" s="44">
        <f>FiscalStart+(A1662-1)*7</f>
        <v/>
      </c>
      <c r="C1662">
        <f>TEXT(B1662,"mmm yyyy")</f>
        <v/>
      </c>
      <c r="D1662">
        <f>"Q"&amp;(INT((A1662-1)/13)+1)</f>
        <v/>
      </c>
      <c r="E1662" t="inlineStr">
        <is>
          <t>Costco</t>
        </is>
      </c>
      <c r="F1662">
        <f>IFERROR(INDEX(ChFormat,MATCH(E1662,ChName,0)),"")</f>
        <v/>
      </c>
      <c r="G1662" t="inlineStr">
        <is>
          <t>AB</t>
        </is>
      </c>
      <c r="H1662">
        <f>IF(A1662&lt;=NWeeks,1,0)</f>
        <v/>
      </c>
      <c r="I1662">
        <f>INDEX(ChLaunch,MATCH(E1662,ChName,0))</f>
        <v/>
      </c>
      <c r="J1662">
        <f>INDEX(ChWeeksFull,MATCH(E1662,ChName,0))</f>
        <v/>
      </c>
      <c r="K1662">
        <f>INDEX(ChRamp,MATCH(E1662,ChName,0))</f>
        <v/>
      </c>
      <c r="L1662" s="45">
        <f>MIN(1,MAX(0,(A1662-I1662+1)*RampSpeed/J1662))</f>
        <v/>
      </c>
      <c r="M1662" s="45">
        <f>IF(A1662&lt;I1662,0,IF(K1662="S-curve",L1662*L1662*(3-2*L1662),L1662))</f>
        <v/>
      </c>
      <c r="N1662" s="45">
        <f>1+(INDEX(SeasonIdx,A1662)-1)*SeasonAmp</f>
        <v/>
      </c>
      <c r="O1662" s="45">
        <f>IFERROR(INDEX(PSPct,MATCH(E1662&amp;"|"&amp;G1662,PSKey,0)),0)</f>
        <v/>
      </c>
      <c r="P1662" s="46">
        <f>INDEX(ChDoorVel,MATCH(E1662,ChName,0))*CalibScalar*(1+VelocityUplift)</f>
        <v/>
      </c>
      <c r="Q1662" s="46" t="n">
        <v>0</v>
      </c>
      <c r="R1662" s="46">
        <f>P1662*O1662*M1662*N1662*H1662</f>
        <v/>
      </c>
      <c r="S1662" s="46">
        <f>R1662*INDEX(FmtCansPerCase,MATCH(F1662,FmtName,0))</f>
        <v/>
      </c>
      <c r="T1662" s="46">
        <f>S1662/INDEX(FmtCansPerPack,MATCH(F1662,FmtName,0))</f>
        <v/>
      </c>
      <c r="U1662" s="47">
        <f>INDEX(ChBaseCP,MATCH(E1662,ChName,0))*(1+INDEX(ProvMod,MATCH(G1662,ProvCode,0)))*(1+PriceIndex)</f>
        <v/>
      </c>
      <c r="V1662" s="47">
        <f>R1662*U1662*INDEX(FmtBlendedPriceIdx,MATCH(F1662,FmtName,0))</f>
        <v/>
      </c>
      <c r="W1662" s="47">
        <f>T1662*INDEX(ProvSRP,MATCH(G1662,ProvCode,0))*(1+PriceIndex)</f>
        <v/>
      </c>
      <c r="X1662" s="47">
        <f>IF(GrossBasis="Wholesale",V1662,W1662)</f>
        <v/>
      </c>
      <c r="Y1662" s="47">
        <f>R1662*INDEX(FmtBlendedCogs,MATCH(F1662,FmtName,0))</f>
        <v/>
      </c>
      <c r="Z1662" s="47">
        <f>X1662-Y1662</f>
        <v/>
      </c>
    </row>
    <row r="1663">
      <c r="A1663" t="n">
        <v>19</v>
      </c>
      <c r="B1663" s="44">
        <f>FiscalStart+(A1663-1)*7</f>
        <v/>
      </c>
      <c r="C1663">
        <f>TEXT(B1663,"mmm yyyy")</f>
        <v/>
      </c>
      <c r="D1663">
        <f>"Q"&amp;(INT((A1663-1)/13)+1)</f>
        <v/>
      </c>
      <c r="E1663" t="inlineStr">
        <is>
          <t>Costco</t>
        </is>
      </c>
      <c r="F1663">
        <f>IFERROR(INDEX(ChFormat,MATCH(E1663,ChName,0)),"")</f>
        <v/>
      </c>
      <c r="G1663" t="inlineStr">
        <is>
          <t>AB</t>
        </is>
      </c>
      <c r="H1663">
        <f>IF(A1663&lt;=NWeeks,1,0)</f>
        <v/>
      </c>
      <c r="I1663">
        <f>INDEX(ChLaunch,MATCH(E1663,ChName,0))</f>
        <v/>
      </c>
      <c r="J1663">
        <f>INDEX(ChWeeksFull,MATCH(E1663,ChName,0))</f>
        <v/>
      </c>
      <c r="K1663">
        <f>INDEX(ChRamp,MATCH(E1663,ChName,0))</f>
        <v/>
      </c>
      <c r="L1663" s="45">
        <f>MIN(1,MAX(0,(A1663-I1663+1)*RampSpeed/J1663))</f>
        <v/>
      </c>
      <c r="M1663" s="45">
        <f>IF(A1663&lt;I1663,0,IF(K1663="S-curve",L1663*L1663*(3-2*L1663),L1663))</f>
        <v/>
      </c>
      <c r="N1663" s="45">
        <f>1+(INDEX(SeasonIdx,A1663)-1)*SeasonAmp</f>
        <v/>
      </c>
      <c r="O1663" s="45">
        <f>IFERROR(INDEX(PSPct,MATCH(E1663&amp;"|"&amp;G1663,PSKey,0)),0)</f>
        <v/>
      </c>
      <c r="P1663" s="46">
        <f>INDEX(ChDoorVel,MATCH(E1663,ChName,0))*CalibScalar*(1+VelocityUplift)</f>
        <v/>
      </c>
      <c r="Q1663" s="46" t="n">
        <v>0</v>
      </c>
      <c r="R1663" s="46">
        <f>P1663*O1663*M1663*N1663*H1663</f>
        <v/>
      </c>
      <c r="S1663" s="46">
        <f>R1663*INDEX(FmtCansPerCase,MATCH(F1663,FmtName,0))</f>
        <v/>
      </c>
      <c r="T1663" s="46">
        <f>S1663/INDEX(FmtCansPerPack,MATCH(F1663,FmtName,0))</f>
        <v/>
      </c>
      <c r="U1663" s="47">
        <f>INDEX(ChBaseCP,MATCH(E1663,ChName,0))*(1+INDEX(ProvMod,MATCH(G1663,ProvCode,0)))*(1+PriceIndex)</f>
        <v/>
      </c>
      <c r="V1663" s="47">
        <f>R1663*U1663*INDEX(FmtBlendedPriceIdx,MATCH(F1663,FmtName,0))</f>
        <v/>
      </c>
      <c r="W1663" s="47">
        <f>T1663*INDEX(ProvSRP,MATCH(G1663,ProvCode,0))*(1+PriceIndex)</f>
        <v/>
      </c>
      <c r="X1663" s="47">
        <f>IF(GrossBasis="Wholesale",V1663,W1663)</f>
        <v/>
      </c>
      <c r="Y1663" s="47">
        <f>R1663*INDEX(FmtBlendedCogs,MATCH(F1663,FmtName,0))</f>
        <v/>
      </c>
      <c r="Z1663" s="47">
        <f>X1663-Y1663</f>
        <v/>
      </c>
    </row>
    <row r="1664">
      <c r="A1664" t="n">
        <v>20</v>
      </c>
      <c r="B1664" s="44">
        <f>FiscalStart+(A1664-1)*7</f>
        <v/>
      </c>
      <c r="C1664">
        <f>TEXT(B1664,"mmm yyyy")</f>
        <v/>
      </c>
      <c r="D1664">
        <f>"Q"&amp;(INT((A1664-1)/13)+1)</f>
        <v/>
      </c>
      <c r="E1664" t="inlineStr">
        <is>
          <t>Costco</t>
        </is>
      </c>
      <c r="F1664">
        <f>IFERROR(INDEX(ChFormat,MATCH(E1664,ChName,0)),"")</f>
        <v/>
      </c>
      <c r="G1664" t="inlineStr">
        <is>
          <t>AB</t>
        </is>
      </c>
      <c r="H1664">
        <f>IF(A1664&lt;=NWeeks,1,0)</f>
        <v/>
      </c>
      <c r="I1664">
        <f>INDEX(ChLaunch,MATCH(E1664,ChName,0))</f>
        <v/>
      </c>
      <c r="J1664">
        <f>INDEX(ChWeeksFull,MATCH(E1664,ChName,0))</f>
        <v/>
      </c>
      <c r="K1664">
        <f>INDEX(ChRamp,MATCH(E1664,ChName,0))</f>
        <v/>
      </c>
      <c r="L1664" s="45">
        <f>MIN(1,MAX(0,(A1664-I1664+1)*RampSpeed/J1664))</f>
        <v/>
      </c>
      <c r="M1664" s="45">
        <f>IF(A1664&lt;I1664,0,IF(K1664="S-curve",L1664*L1664*(3-2*L1664),L1664))</f>
        <v/>
      </c>
      <c r="N1664" s="45">
        <f>1+(INDEX(SeasonIdx,A1664)-1)*SeasonAmp</f>
        <v/>
      </c>
      <c r="O1664" s="45">
        <f>IFERROR(INDEX(PSPct,MATCH(E1664&amp;"|"&amp;G1664,PSKey,0)),0)</f>
        <v/>
      </c>
      <c r="P1664" s="46">
        <f>INDEX(ChDoorVel,MATCH(E1664,ChName,0))*CalibScalar*(1+VelocityUplift)</f>
        <v/>
      </c>
      <c r="Q1664" s="46" t="n">
        <v>0</v>
      </c>
      <c r="R1664" s="46">
        <f>P1664*O1664*M1664*N1664*H1664</f>
        <v/>
      </c>
      <c r="S1664" s="46">
        <f>R1664*INDEX(FmtCansPerCase,MATCH(F1664,FmtName,0))</f>
        <v/>
      </c>
      <c r="T1664" s="46">
        <f>S1664/INDEX(FmtCansPerPack,MATCH(F1664,FmtName,0))</f>
        <v/>
      </c>
      <c r="U1664" s="47">
        <f>INDEX(ChBaseCP,MATCH(E1664,ChName,0))*(1+INDEX(ProvMod,MATCH(G1664,ProvCode,0)))*(1+PriceIndex)</f>
        <v/>
      </c>
      <c r="V1664" s="47">
        <f>R1664*U1664*INDEX(FmtBlendedPriceIdx,MATCH(F1664,FmtName,0))</f>
        <v/>
      </c>
      <c r="W1664" s="47">
        <f>T1664*INDEX(ProvSRP,MATCH(G1664,ProvCode,0))*(1+PriceIndex)</f>
        <v/>
      </c>
      <c r="X1664" s="47">
        <f>IF(GrossBasis="Wholesale",V1664,W1664)</f>
        <v/>
      </c>
      <c r="Y1664" s="47">
        <f>R1664*INDEX(FmtBlendedCogs,MATCH(F1664,FmtName,0))</f>
        <v/>
      </c>
      <c r="Z1664" s="47">
        <f>X1664-Y1664</f>
        <v/>
      </c>
    </row>
    <row r="1665">
      <c r="A1665" t="n">
        <v>21</v>
      </c>
      <c r="B1665" s="44">
        <f>FiscalStart+(A1665-1)*7</f>
        <v/>
      </c>
      <c r="C1665">
        <f>TEXT(B1665,"mmm yyyy")</f>
        <v/>
      </c>
      <c r="D1665">
        <f>"Q"&amp;(INT((A1665-1)/13)+1)</f>
        <v/>
      </c>
      <c r="E1665" t="inlineStr">
        <is>
          <t>Costco</t>
        </is>
      </c>
      <c r="F1665">
        <f>IFERROR(INDEX(ChFormat,MATCH(E1665,ChName,0)),"")</f>
        <v/>
      </c>
      <c r="G1665" t="inlineStr">
        <is>
          <t>AB</t>
        </is>
      </c>
      <c r="H1665">
        <f>IF(A1665&lt;=NWeeks,1,0)</f>
        <v/>
      </c>
      <c r="I1665">
        <f>INDEX(ChLaunch,MATCH(E1665,ChName,0))</f>
        <v/>
      </c>
      <c r="J1665">
        <f>INDEX(ChWeeksFull,MATCH(E1665,ChName,0))</f>
        <v/>
      </c>
      <c r="K1665">
        <f>INDEX(ChRamp,MATCH(E1665,ChName,0))</f>
        <v/>
      </c>
      <c r="L1665" s="45">
        <f>MIN(1,MAX(0,(A1665-I1665+1)*RampSpeed/J1665))</f>
        <v/>
      </c>
      <c r="M1665" s="45">
        <f>IF(A1665&lt;I1665,0,IF(K1665="S-curve",L1665*L1665*(3-2*L1665),L1665))</f>
        <v/>
      </c>
      <c r="N1665" s="45">
        <f>1+(INDEX(SeasonIdx,A1665)-1)*SeasonAmp</f>
        <v/>
      </c>
      <c r="O1665" s="45">
        <f>IFERROR(INDEX(PSPct,MATCH(E1665&amp;"|"&amp;G1665,PSKey,0)),0)</f>
        <v/>
      </c>
      <c r="P1665" s="46">
        <f>INDEX(ChDoorVel,MATCH(E1665,ChName,0))*CalibScalar*(1+VelocityUplift)</f>
        <v/>
      </c>
      <c r="Q1665" s="46" t="n">
        <v>0</v>
      </c>
      <c r="R1665" s="46">
        <f>P1665*O1665*M1665*N1665*H1665</f>
        <v/>
      </c>
      <c r="S1665" s="46">
        <f>R1665*INDEX(FmtCansPerCase,MATCH(F1665,FmtName,0))</f>
        <v/>
      </c>
      <c r="T1665" s="46">
        <f>S1665/INDEX(FmtCansPerPack,MATCH(F1665,FmtName,0))</f>
        <v/>
      </c>
      <c r="U1665" s="47">
        <f>INDEX(ChBaseCP,MATCH(E1665,ChName,0))*(1+INDEX(ProvMod,MATCH(G1665,ProvCode,0)))*(1+PriceIndex)</f>
        <v/>
      </c>
      <c r="V1665" s="47">
        <f>R1665*U1665*INDEX(FmtBlendedPriceIdx,MATCH(F1665,FmtName,0))</f>
        <v/>
      </c>
      <c r="W1665" s="47">
        <f>T1665*INDEX(ProvSRP,MATCH(G1665,ProvCode,0))*(1+PriceIndex)</f>
        <v/>
      </c>
      <c r="X1665" s="47">
        <f>IF(GrossBasis="Wholesale",V1665,W1665)</f>
        <v/>
      </c>
      <c r="Y1665" s="47">
        <f>R1665*INDEX(FmtBlendedCogs,MATCH(F1665,FmtName,0))</f>
        <v/>
      </c>
      <c r="Z1665" s="47">
        <f>X1665-Y1665</f>
        <v/>
      </c>
    </row>
    <row r="1666">
      <c r="A1666" t="n">
        <v>22</v>
      </c>
      <c r="B1666" s="44">
        <f>FiscalStart+(A1666-1)*7</f>
        <v/>
      </c>
      <c r="C1666">
        <f>TEXT(B1666,"mmm yyyy")</f>
        <v/>
      </c>
      <c r="D1666">
        <f>"Q"&amp;(INT((A1666-1)/13)+1)</f>
        <v/>
      </c>
      <c r="E1666" t="inlineStr">
        <is>
          <t>Costco</t>
        </is>
      </c>
      <c r="F1666">
        <f>IFERROR(INDEX(ChFormat,MATCH(E1666,ChName,0)),"")</f>
        <v/>
      </c>
      <c r="G1666" t="inlineStr">
        <is>
          <t>AB</t>
        </is>
      </c>
      <c r="H1666">
        <f>IF(A1666&lt;=NWeeks,1,0)</f>
        <v/>
      </c>
      <c r="I1666">
        <f>INDEX(ChLaunch,MATCH(E1666,ChName,0))</f>
        <v/>
      </c>
      <c r="J1666">
        <f>INDEX(ChWeeksFull,MATCH(E1666,ChName,0))</f>
        <v/>
      </c>
      <c r="K1666">
        <f>INDEX(ChRamp,MATCH(E1666,ChName,0))</f>
        <v/>
      </c>
      <c r="L1666" s="45">
        <f>MIN(1,MAX(0,(A1666-I1666+1)*RampSpeed/J1666))</f>
        <v/>
      </c>
      <c r="M1666" s="45">
        <f>IF(A1666&lt;I1666,0,IF(K1666="S-curve",L1666*L1666*(3-2*L1666),L1666))</f>
        <v/>
      </c>
      <c r="N1666" s="45">
        <f>1+(INDEX(SeasonIdx,A1666)-1)*SeasonAmp</f>
        <v/>
      </c>
      <c r="O1666" s="45">
        <f>IFERROR(INDEX(PSPct,MATCH(E1666&amp;"|"&amp;G1666,PSKey,0)),0)</f>
        <v/>
      </c>
      <c r="P1666" s="46">
        <f>INDEX(ChDoorVel,MATCH(E1666,ChName,0))*CalibScalar*(1+VelocityUplift)</f>
        <v/>
      </c>
      <c r="Q1666" s="46" t="n">
        <v>0</v>
      </c>
      <c r="R1666" s="46">
        <f>P1666*O1666*M1666*N1666*H1666</f>
        <v/>
      </c>
      <c r="S1666" s="46">
        <f>R1666*INDEX(FmtCansPerCase,MATCH(F1666,FmtName,0))</f>
        <v/>
      </c>
      <c r="T1666" s="46">
        <f>S1666/INDEX(FmtCansPerPack,MATCH(F1666,FmtName,0))</f>
        <v/>
      </c>
      <c r="U1666" s="47">
        <f>INDEX(ChBaseCP,MATCH(E1666,ChName,0))*(1+INDEX(ProvMod,MATCH(G1666,ProvCode,0)))*(1+PriceIndex)</f>
        <v/>
      </c>
      <c r="V1666" s="47">
        <f>R1666*U1666*INDEX(FmtBlendedPriceIdx,MATCH(F1666,FmtName,0))</f>
        <v/>
      </c>
      <c r="W1666" s="47">
        <f>T1666*INDEX(ProvSRP,MATCH(G1666,ProvCode,0))*(1+PriceIndex)</f>
        <v/>
      </c>
      <c r="X1666" s="47">
        <f>IF(GrossBasis="Wholesale",V1666,W1666)</f>
        <v/>
      </c>
      <c r="Y1666" s="47">
        <f>R1666*INDEX(FmtBlendedCogs,MATCH(F1666,FmtName,0))</f>
        <v/>
      </c>
      <c r="Z1666" s="47">
        <f>X1666-Y1666</f>
        <v/>
      </c>
    </row>
    <row r="1667">
      <c r="A1667" t="n">
        <v>23</v>
      </c>
      <c r="B1667" s="44">
        <f>FiscalStart+(A1667-1)*7</f>
        <v/>
      </c>
      <c r="C1667">
        <f>TEXT(B1667,"mmm yyyy")</f>
        <v/>
      </c>
      <c r="D1667">
        <f>"Q"&amp;(INT((A1667-1)/13)+1)</f>
        <v/>
      </c>
      <c r="E1667" t="inlineStr">
        <is>
          <t>Costco</t>
        </is>
      </c>
      <c r="F1667">
        <f>IFERROR(INDEX(ChFormat,MATCH(E1667,ChName,0)),"")</f>
        <v/>
      </c>
      <c r="G1667" t="inlineStr">
        <is>
          <t>AB</t>
        </is>
      </c>
      <c r="H1667">
        <f>IF(A1667&lt;=NWeeks,1,0)</f>
        <v/>
      </c>
      <c r="I1667">
        <f>INDEX(ChLaunch,MATCH(E1667,ChName,0))</f>
        <v/>
      </c>
      <c r="J1667">
        <f>INDEX(ChWeeksFull,MATCH(E1667,ChName,0))</f>
        <v/>
      </c>
      <c r="K1667">
        <f>INDEX(ChRamp,MATCH(E1667,ChName,0))</f>
        <v/>
      </c>
      <c r="L1667" s="45">
        <f>MIN(1,MAX(0,(A1667-I1667+1)*RampSpeed/J1667))</f>
        <v/>
      </c>
      <c r="M1667" s="45">
        <f>IF(A1667&lt;I1667,0,IF(K1667="S-curve",L1667*L1667*(3-2*L1667),L1667))</f>
        <v/>
      </c>
      <c r="N1667" s="45">
        <f>1+(INDEX(SeasonIdx,A1667)-1)*SeasonAmp</f>
        <v/>
      </c>
      <c r="O1667" s="45">
        <f>IFERROR(INDEX(PSPct,MATCH(E1667&amp;"|"&amp;G1667,PSKey,0)),0)</f>
        <v/>
      </c>
      <c r="P1667" s="46">
        <f>INDEX(ChDoorVel,MATCH(E1667,ChName,0))*CalibScalar*(1+VelocityUplift)</f>
        <v/>
      </c>
      <c r="Q1667" s="46" t="n">
        <v>0</v>
      </c>
      <c r="R1667" s="46">
        <f>P1667*O1667*M1667*N1667*H1667</f>
        <v/>
      </c>
      <c r="S1667" s="46">
        <f>R1667*INDEX(FmtCansPerCase,MATCH(F1667,FmtName,0))</f>
        <v/>
      </c>
      <c r="T1667" s="46">
        <f>S1667/INDEX(FmtCansPerPack,MATCH(F1667,FmtName,0))</f>
        <v/>
      </c>
      <c r="U1667" s="47">
        <f>INDEX(ChBaseCP,MATCH(E1667,ChName,0))*(1+INDEX(ProvMod,MATCH(G1667,ProvCode,0)))*(1+PriceIndex)</f>
        <v/>
      </c>
      <c r="V1667" s="47">
        <f>R1667*U1667*INDEX(FmtBlendedPriceIdx,MATCH(F1667,FmtName,0))</f>
        <v/>
      </c>
      <c r="W1667" s="47">
        <f>T1667*INDEX(ProvSRP,MATCH(G1667,ProvCode,0))*(1+PriceIndex)</f>
        <v/>
      </c>
      <c r="X1667" s="47">
        <f>IF(GrossBasis="Wholesale",V1667,W1667)</f>
        <v/>
      </c>
      <c r="Y1667" s="47">
        <f>R1667*INDEX(FmtBlendedCogs,MATCH(F1667,FmtName,0))</f>
        <v/>
      </c>
      <c r="Z1667" s="47">
        <f>X1667-Y1667</f>
        <v/>
      </c>
    </row>
    <row r="1668">
      <c r="A1668" t="n">
        <v>24</v>
      </c>
      <c r="B1668" s="44">
        <f>FiscalStart+(A1668-1)*7</f>
        <v/>
      </c>
      <c r="C1668">
        <f>TEXT(B1668,"mmm yyyy")</f>
        <v/>
      </c>
      <c r="D1668">
        <f>"Q"&amp;(INT((A1668-1)/13)+1)</f>
        <v/>
      </c>
      <c r="E1668" t="inlineStr">
        <is>
          <t>Costco</t>
        </is>
      </c>
      <c r="F1668">
        <f>IFERROR(INDEX(ChFormat,MATCH(E1668,ChName,0)),"")</f>
        <v/>
      </c>
      <c r="G1668" t="inlineStr">
        <is>
          <t>AB</t>
        </is>
      </c>
      <c r="H1668">
        <f>IF(A1668&lt;=NWeeks,1,0)</f>
        <v/>
      </c>
      <c r="I1668">
        <f>INDEX(ChLaunch,MATCH(E1668,ChName,0))</f>
        <v/>
      </c>
      <c r="J1668">
        <f>INDEX(ChWeeksFull,MATCH(E1668,ChName,0))</f>
        <v/>
      </c>
      <c r="K1668">
        <f>INDEX(ChRamp,MATCH(E1668,ChName,0))</f>
        <v/>
      </c>
      <c r="L1668" s="45">
        <f>MIN(1,MAX(0,(A1668-I1668+1)*RampSpeed/J1668))</f>
        <v/>
      </c>
      <c r="M1668" s="45">
        <f>IF(A1668&lt;I1668,0,IF(K1668="S-curve",L1668*L1668*(3-2*L1668),L1668))</f>
        <v/>
      </c>
      <c r="N1668" s="45">
        <f>1+(INDEX(SeasonIdx,A1668)-1)*SeasonAmp</f>
        <v/>
      </c>
      <c r="O1668" s="45">
        <f>IFERROR(INDEX(PSPct,MATCH(E1668&amp;"|"&amp;G1668,PSKey,0)),0)</f>
        <v/>
      </c>
      <c r="P1668" s="46">
        <f>INDEX(ChDoorVel,MATCH(E1668,ChName,0))*CalibScalar*(1+VelocityUplift)</f>
        <v/>
      </c>
      <c r="Q1668" s="46" t="n">
        <v>0</v>
      </c>
      <c r="R1668" s="46">
        <f>P1668*O1668*M1668*N1668*H1668</f>
        <v/>
      </c>
      <c r="S1668" s="46">
        <f>R1668*INDEX(FmtCansPerCase,MATCH(F1668,FmtName,0))</f>
        <v/>
      </c>
      <c r="T1668" s="46">
        <f>S1668/INDEX(FmtCansPerPack,MATCH(F1668,FmtName,0))</f>
        <v/>
      </c>
      <c r="U1668" s="47">
        <f>INDEX(ChBaseCP,MATCH(E1668,ChName,0))*(1+INDEX(ProvMod,MATCH(G1668,ProvCode,0)))*(1+PriceIndex)</f>
        <v/>
      </c>
      <c r="V1668" s="47">
        <f>R1668*U1668*INDEX(FmtBlendedPriceIdx,MATCH(F1668,FmtName,0))</f>
        <v/>
      </c>
      <c r="W1668" s="47">
        <f>T1668*INDEX(ProvSRP,MATCH(G1668,ProvCode,0))*(1+PriceIndex)</f>
        <v/>
      </c>
      <c r="X1668" s="47">
        <f>IF(GrossBasis="Wholesale",V1668,W1668)</f>
        <v/>
      </c>
      <c r="Y1668" s="47">
        <f>R1668*INDEX(FmtBlendedCogs,MATCH(F1668,FmtName,0))</f>
        <v/>
      </c>
      <c r="Z1668" s="47">
        <f>X1668-Y1668</f>
        <v/>
      </c>
    </row>
    <row r="1669">
      <c r="A1669" t="n">
        <v>25</v>
      </c>
      <c r="B1669" s="44">
        <f>FiscalStart+(A1669-1)*7</f>
        <v/>
      </c>
      <c r="C1669">
        <f>TEXT(B1669,"mmm yyyy")</f>
        <v/>
      </c>
      <c r="D1669">
        <f>"Q"&amp;(INT((A1669-1)/13)+1)</f>
        <v/>
      </c>
      <c r="E1669" t="inlineStr">
        <is>
          <t>Costco</t>
        </is>
      </c>
      <c r="F1669">
        <f>IFERROR(INDEX(ChFormat,MATCH(E1669,ChName,0)),"")</f>
        <v/>
      </c>
      <c r="G1669" t="inlineStr">
        <is>
          <t>AB</t>
        </is>
      </c>
      <c r="H1669">
        <f>IF(A1669&lt;=NWeeks,1,0)</f>
        <v/>
      </c>
      <c r="I1669">
        <f>INDEX(ChLaunch,MATCH(E1669,ChName,0))</f>
        <v/>
      </c>
      <c r="J1669">
        <f>INDEX(ChWeeksFull,MATCH(E1669,ChName,0))</f>
        <v/>
      </c>
      <c r="K1669">
        <f>INDEX(ChRamp,MATCH(E1669,ChName,0))</f>
        <v/>
      </c>
      <c r="L1669" s="45">
        <f>MIN(1,MAX(0,(A1669-I1669+1)*RampSpeed/J1669))</f>
        <v/>
      </c>
      <c r="M1669" s="45">
        <f>IF(A1669&lt;I1669,0,IF(K1669="S-curve",L1669*L1669*(3-2*L1669),L1669))</f>
        <v/>
      </c>
      <c r="N1669" s="45">
        <f>1+(INDEX(SeasonIdx,A1669)-1)*SeasonAmp</f>
        <v/>
      </c>
      <c r="O1669" s="45">
        <f>IFERROR(INDEX(PSPct,MATCH(E1669&amp;"|"&amp;G1669,PSKey,0)),0)</f>
        <v/>
      </c>
      <c r="P1669" s="46">
        <f>INDEX(ChDoorVel,MATCH(E1669,ChName,0))*CalibScalar*(1+VelocityUplift)</f>
        <v/>
      </c>
      <c r="Q1669" s="46" t="n">
        <v>0</v>
      </c>
      <c r="R1669" s="46">
        <f>P1669*O1669*M1669*N1669*H1669</f>
        <v/>
      </c>
      <c r="S1669" s="46">
        <f>R1669*INDEX(FmtCansPerCase,MATCH(F1669,FmtName,0))</f>
        <v/>
      </c>
      <c r="T1669" s="46">
        <f>S1669/INDEX(FmtCansPerPack,MATCH(F1669,FmtName,0))</f>
        <v/>
      </c>
      <c r="U1669" s="47">
        <f>INDEX(ChBaseCP,MATCH(E1669,ChName,0))*(1+INDEX(ProvMod,MATCH(G1669,ProvCode,0)))*(1+PriceIndex)</f>
        <v/>
      </c>
      <c r="V1669" s="47">
        <f>R1669*U1669*INDEX(FmtBlendedPriceIdx,MATCH(F1669,FmtName,0))</f>
        <v/>
      </c>
      <c r="W1669" s="47">
        <f>T1669*INDEX(ProvSRP,MATCH(G1669,ProvCode,0))*(1+PriceIndex)</f>
        <v/>
      </c>
      <c r="X1669" s="47">
        <f>IF(GrossBasis="Wholesale",V1669,W1669)</f>
        <v/>
      </c>
      <c r="Y1669" s="47">
        <f>R1669*INDEX(FmtBlendedCogs,MATCH(F1669,FmtName,0))</f>
        <v/>
      </c>
      <c r="Z1669" s="47">
        <f>X1669-Y1669</f>
        <v/>
      </c>
    </row>
    <row r="1670">
      <c r="A1670" t="n">
        <v>26</v>
      </c>
      <c r="B1670" s="44">
        <f>FiscalStart+(A1670-1)*7</f>
        <v/>
      </c>
      <c r="C1670">
        <f>TEXT(B1670,"mmm yyyy")</f>
        <v/>
      </c>
      <c r="D1670">
        <f>"Q"&amp;(INT((A1670-1)/13)+1)</f>
        <v/>
      </c>
      <c r="E1670" t="inlineStr">
        <is>
          <t>Costco</t>
        </is>
      </c>
      <c r="F1670">
        <f>IFERROR(INDEX(ChFormat,MATCH(E1670,ChName,0)),"")</f>
        <v/>
      </c>
      <c r="G1670" t="inlineStr">
        <is>
          <t>AB</t>
        </is>
      </c>
      <c r="H1670">
        <f>IF(A1670&lt;=NWeeks,1,0)</f>
        <v/>
      </c>
      <c r="I1670">
        <f>INDEX(ChLaunch,MATCH(E1670,ChName,0))</f>
        <v/>
      </c>
      <c r="J1670">
        <f>INDEX(ChWeeksFull,MATCH(E1670,ChName,0))</f>
        <v/>
      </c>
      <c r="K1670">
        <f>INDEX(ChRamp,MATCH(E1670,ChName,0))</f>
        <v/>
      </c>
      <c r="L1670" s="45">
        <f>MIN(1,MAX(0,(A1670-I1670+1)*RampSpeed/J1670))</f>
        <v/>
      </c>
      <c r="M1670" s="45">
        <f>IF(A1670&lt;I1670,0,IF(K1670="S-curve",L1670*L1670*(3-2*L1670),L1670))</f>
        <v/>
      </c>
      <c r="N1670" s="45">
        <f>1+(INDEX(SeasonIdx,A1670)-1)*SeasonAmp</f>
        <v/>
      </c>
      <c r="O1670" s="45">
        <f>IFERROR(INDEX(PSPct,MATCH(E1670&amp;"|"&amp;G1670,PSKey,0)),0)</f>
        <v/>
      </c>
      <c r="P1670" s="46">
        <f>INDEX(ChDoorVel,MATCH(E1670,ChName,0))*CalibScalar*(1+VelocityUplift)</f>
        <v/>
      </c>
      <c r="Q1670" s="46" t="n">
        <v>0</v>
      </c>
      <c r="R1670" s="46">
        <f>P1670*O1670*M1670*N1670*H1670</f>
        <v/>
      </c>
      <c r="S1670" s="46">
        <f>R1670*INDEX(FmtCansPerCase,MATCH(F1670,FmtName,0))</f>
        <v/>
      </c>
      <c r="T1670" s="46">
        <f>S1670/INDEX(FmtCansPerPack,MATCH(F1670,FmtName,0))</f>
        <v/>
      </c>
      <c r="U1670" s="47">
        <f>INDEX(ChBaseCP,MATCH(E1670,ChName,0))*(1+INDEX(ProvMod,MATCH(G1670,ProvCode,0)))*(1+PriceIndex)</f>
        <v/>
      </c>
      <c r="V1670" s="47">
        <f>R1670*U1670*INDEX(FmtBlendedPriceIdx,MATCH(F1670,FmtName,0))</f>
        <v/>
      </c>
      <c r="W1670" s="47">
        <f>T1670*INDEX(ProvSRP,MATCH(G1670,ProvCode,0))*(1+PriceIndex)</f>
        <v/>
      </c>
      <c r="X1670" s="47">
        <f>IF(GrossBasis="Wholesale",V1670,W1670)</f>
        <v/>
      </c>
      <c r="Y1670" s="47">
        <f>R1670*INDEX(FmtBlendedCogs,MATCH(F1670,FmtName,0))</f>
        <v/>
      </c>
      <c r="Z1670" s="47">
        <f>X1670-Y1670</f>
        <v/>
      </c>
    </row>
    <row r="1671">
      <c r="A1671" t="n">
        <v>27</v>
      </c>
      <c r="B1671" s="44">
        <f>FiscalStart+(A1671-1)*7</f>
        <v/>
      </c>
      <c r="C1671">
        <f>TEXT(B1671,"mmm yyyy")</f>
        <v/>
      </c>
      <c r="D1671">
        <f>"Q"&amp;(INT((A1671-1)/13)+1)</f>
        <v/>
      </c>
      <c r="E1671" t="inlineStr">
        <is>
          <t>Costco</t>
        </is>
      </c>
      <c r="F1671">
        <f>IFERROR(INDEX(ChFormat,MATCH(E1671,ChName,0)),"")</f>
        <v/>
      </c>
      <c r="G1671" t="inlineStr">
        <is>
          <t>AB</t>
        </is>
      </c>
      <c r="H1671">
        <f>IF(A1671&lt;=NWeeks,1,0)</f>
        <v/>
      </c>
      <c r="I1671">
        <f>INDEX(ChLaunch,MATCH(E1671,ChName,0))</f>
        <v/>
      </c>
      <c r="J1671">
        <f>INDEX(ChWeeksFull,MATCH(E1671,ChName,0))</f>
        <v/>
      </c>
      <c r="K1671">
        <f>INDEX(ChRamp,MATCH(E1671,ChName,0))</f>
        <v/>
      </c>
      <c r="L1671" s="45">
        <f>MIN(1,MAX(0,(A1671-I1671+1)*RampSpeed/J1671))</f>
        <v/>
      </c>
      <c r="M1671" s="45">
        <f>IF(A1671&lt;I1671,0,IF(K1671="S-curve",L1671*L1671*(3-2*L1671),L1671))</f>
        <v/>
      </c>
      <c r="N1671" s="45">
        <f>1+(INDEX(SeasonIdx,A1671)-1)*SeasonAmp</f>
        <v/>
      </c>
      <c r="O1671" s="45">
        <f>IFERROR(INDEX(PSPct,MATCH(E1671&amp;"|"&amp;G1671,PSKey,0)),0)</f>
        <v/>
      </c>
      <c r="P1671" s="46">
        <f>INDEX(ChDoorVel,MATCH(E1671,ChName,0))*CalibScalar*(1+VelocityUplift)</f>
        <v/>
      </c>
      <c r="Q1671" s="46" t="n">
        <v>0</v>
      </c>
      <c r="R1671" s="46">
        <f>P1671*O1671*M1671*N1671*H1671</f>
        <v/>
      </c>
      <c r="S1671" s="46">
        <f>R1671*INDEX(FmtCansPerCase,MATCH(F1671,FmtName,0))</f>
        <v/>
      </c>
      <c r="T1671" s="46">
        <f>S1671/INDEX(FmtCansPerPack,MATCH(F1671,FmtName,0))</f>
        <v/>
      </c>
      <c r="U1671" s="47">
        <f>INDEX(ChBaseCP,MATCH(E1671,ChName,0))*(1+INDEX(ProvMod,MATCH(G1671,ProvCode,0)))*(1+PriceIndex)</f>
        <v/>
      </c>
      <c r="V1671" s="47">
        <f>R1671*U1671*INDEX(FmtBlendedPriceIdx,MATCH(F1671,FmtName,0))</f>
        <v/>
      </c>
      <c r="W1671" s="47">
        <f>T1671*INDEX(ProvSRP,MATCH(G1671,ProvCode,0))*(1+PriceIndex)</f>
        <v/>
      </c>
      <c r="X1671" s="47">
        <f>IF(GrossBasis="Wholesale",V1671,W1671)</f>
        <v/>
      </c>
      <c r="Y1671" s="47">
        <f>R1671*INDEX(FmtBlendedCogs,MATCH(F1671,FmtName,0))</f>
        <v/>
      </c>
      <c r="Z1671" s="47">
        <f>X1671-Y1671</f>
        <v/>
      </c>
    </row>
    <row r="1672">
      <c r="A1672" t="n">
        <v>28</v>
      </c>
      <c r="B1672" s="44">
        <f>FiscalStart+(A1672-1)*7</f>
        <v/>
      </c>
      <c r="C1672">
        <f>TEXT(B1672,"mmm yyyy")</f>
        <v/>
      </c>
      <c r="D1672">
        <f>"Q"&amp;(INT((A1672-1)/13)+1)</f>
        <v/>
      </c>
      <c r="E1672" t="inlineStr">
        <is>
          <t>Costco</t>
        </is>
      </c>
      <c r="F1672">
        <f>IFERROR(INDEX(ChFormat,MATCH(E1672,ChName,0)),"")</f>
        <v/>
      </c>
      <c r="G1672" t="inlineStr">
        <is>
          <t>AB</t>
        </is>
      </c>
      <c r="H1672">
        <f>IF(A1672&lt;=NWeeks,1,0)</f>
        <v/>
      </c>
      <c r="I1672">
        <f>INDEX(ChLaunch,MATCH(E1672,ChName,0))</f>
        <v/>
      </c>
      <c r="J1672">
        <f>INDEX(ChWeeksFull,MATCH(E1672,ChName,0))</f>
        <v/>
      </c>
      <c r="K1672">
        <f>INDEX(ChRamp,MATCH(E1672,ChName,0))</f>
        <v/>
      </c>
      <c r="L1672" s="45">
        <f>MIN(1,MAX(0,(A1672-I1672+1)*RampSpeed/J1672))</f>
        <v/>
      </c>
      <c r="M1672" s="45">
        <f>IF(A1672&lt;I1672,0,IF(K1672="S-curve",L1672*L1672*(3-2*L1672),L1672))</f>
        <v/>
      </c>
      <c r="N1672" s="45">
        <f>1+(INDEX(SeasonIdx,A1672)-1)*SeasonAmp</f>
        <v/>
      </c>
      <c r="O1672" s="45">
        <f>IFERROR(INDEX(PSPct,MATCH(E1672&amp;"|"&amp;G1672,PSKey,0)),0)</f>
        <v/>
      </c>
      <c r="P1672" s="46">
        <f>INDEX(ChDoorVel,MATCH(E1672,ChName,0))*CalibScalar*(1+VelocityUplift)</f>
        <v/>
      </c>
      <c r="Q1672" s="46" t="n">
        <v>0</v>
      </c>
      <c r="R1672" s="46">
        <f>P1672*O1672*M1672*N1672*H1672</f>
        <v/>
      </c>
      <c r="S1672" s="46">
        <f>R1672*INDEX(FmtCansPerCase,MATCH(F1672,FmtName,0))</f>
        <v/>
      </c>
      <c r="T1672" s="46">
        <f>S1672/INDEX(FmtCansPerPack,MATCH(F1672,FmtName,0))</f>
        <v/>
      </c>
      <c r="U1672" s="47">
        <f>INDEX(ChBaseCP,MATCH(E1672,ChName,0))*(1+INDEX(ProvMod,MATCH(G1672,ProvCode,0)))*(1+PriceIndex)</f>
        <v/>
      </c>
      <c r="V1672" s="47">
        <f>R1672*U1672*INDEX(FmtBlendedPriceIdx,MATCH(F1672,FmtName,0))</f>
        <v/>
      </c>
      <c r="W1672" s="47">
        <f>T1672*INDEX(ProvSRP,MATCH(G1672,ProvCode,0))*(1+PriceIndex)</f>
        <v/>
      </c>
      <c r="X1672" s="47">
        <f>IF(GrossBasis="Wholesale",V1672,W1672)</f>
        <v/>
      </c>
      <c r="Y1672" s="47">
        <f>R1672*INDEX(FmtBlendedCogs,MATCH(F1672,FmtName,0))</f>
        <v/>
      </c>
      <c r="Z1672" s="47">
        <f>X1672-Y1672</f>
        <v/>
      </c>
    </row>
    <row r="1673">
      <c r="A1673" t="n">
        <v>29</v>
      </c>
      <c r="B1673" s="44">
        <f>FiscalStart+(A1673-1)*7</f>
        <v/>
      </c>
      <c r="C1673">
        <f>TEXT(B1673,"mmm yyyy")</f>
        <v/>
      </c>
      <c r="D1673">
        <f>"Q"&amp;(INT((A1673-1)/13)+1)</f>
        <v/>
      </c>
      <c r="E1673" t="inlineStr">
        <is>
          <t>Costco</t>
        </is>
      </c>
      <c r="F1673">
        <f>IFERROR(INDEX(ChFormat,MATCH(E1673,ChName,0)),"")</f>
        <v/>
      </c>
      <c r="G1673" t="inlineStr">
        <is>
          <t>AB</t>
        </is>
      </c>
      <c r="H1673">
        <f>IF(A1673&lt;=NWeeks,1,0)</f>
        <v/>
      </c>
      <c r="I1673">
        <f>INDEX(ChLaunch,MATCH(E1673,ChName,0))</f>
        <v/>
      </c>
      <c r="J1673">
        <f>INDEX(ChWeeksFull,MATCH(E1673,ChName,0))</f>
        <v/>
      </c>
      <c r="K1673">
        <f>INDEX(ChRamp,MATCH(E1673,ChName,0))</f>
        <v/>
      </c>
      <c r="L1673" s="45">
        <f>MIN(1,MAX(0,(A1673-I1673+1)*RampSpeed/J1673))</f>
        <v/>
      </c>
      <c r="M1673" s="45">
        <f>IF(A1673&lt;I1673,0,IF(K1673="S-curve",L1673*L1673*(3-2*L1673),L1673))</f>
        <v/>
      </c>
      <c r="N1673" s="45">
        <f>1+(INDEX(SeasonIdx,A1673)-1)*SeasonAmp</f>
        <v/>
      </c>
      <c r="O1673" s="45">
        <f>IFERROR(INDEX(PSPct,MATCH(E1673&amp;"|"&amp;G1673,PSKey,0)),0)</f>
        <v/>
      </c>
      <c r="P1673" s="46">
        <f>INDEX(ChDoorVel,MATCH(E1673,ChName,0))*CalibScalar*(1+VelocityUplift)</f>
        <v/>
      </c>
      <c r="Q1673" s="46" t="n">
        <v>0</v>
      </c>
      <c r="R1673" s="46">
        <f>P1673*O1673*M1673*N1673*H1673</f>
        <v/>
      </c>
      <c r="S1673" s="46">
        <f>R1673*INDEX(FmtCansPerCase,MATCH(F1673,FmtName,0))</f>
        <v/>
      </c>
      <c r="T1673" s="46">
        <f>S1673/INDEX(FmtCansPerPack,MATCH(F1673,FmtName,0))</f>
        <v/>
      </c>
      <c r="U1673" s="47">
        <f>INDEX(ChBaseCP,MATCH(E1673,ChName,0))*(1+INDEX(ProvMod,MATCH(G1673,ProvCode,0)))*(1+PriceIndex)</f>
        <v/>
      </c>
      <c r="V1673" s="47">
        <f>R1673*U1673*INDEX(FmtBlendedPriceIdx,MATCH(F1673,FmtName,0))</f>
        <v/>
      </c>
      <c r="W1673" s="47">
        <f>T1673*INDEX(ProvSRP,MATCH(G1673,ProvCode,0))*(1+PriceIndex)</f>
        <v/>
      </c>
      <c r="X1673" s="47">
        <f>IF(GrossBasis="Wholesale",V1673,W1673)</f>
        <v/>
      </c>
      <c r="Y1673" s="47">
        <f>R1673*INDEX(FmtBlendedCogs,MATCH(F1673,FmtName,0))</f>
        <v/>
      </c>
      <c r="Z1673" s="47">
        <f>X1673-Y1673</f>
        <v/>
      </c>
    </row>
    <row r="1674">
      <c r="A1674" t="n">
        <v>30</v>
      </c>
      <c r="B1674" s="44">
        <f>FiscalStart+(A1674-1)*7</f>
        <v/>
      </c>
      <c r="C1674">
        <f>TEXT(B1674,"mmm yyyy")</f>
        <v/>
      </c>
      <c r="D1674">
        <f>"Q"&amp;(INT((A1674-1)/13)+1)</f>
        <v/>
      </c>
      <c r="E1674" t="inlineStr">
        <is>
          <t>Costco</t>
        </is>
      </c>
      <c r="F1674">
        <f>IFERROR(INDEX(ChFormat,MATCH(E1674,ChName,0)),"")</f>
        <v/>
      </c>
      <c r="G1674" t="inlineStr">
        <is>
          <t>AB</t>
        </is>
      </c>
      <c r="H1674">
        <f>IF(A1674&lt;=NWeeks,1,0)</f>
        <v/>
      </c>
      <c r="I1674">
        <f>INDEX(ChLaunch,MATCH(E1674,ChName,0))</f>
        <v/>
      </c>
      <c r="J1674">
        <f>INDEX(ChWeeksFull,MATCH(E1674,ChName,0))</f>
        <v/>
      </c>
      <c r="K1674">
        <f>INDEX(ChRamp,MATCH(E1674,ChName,0))</f>
        <v/>
      </c>
      <c r="L1674" s="45">
        <f>MIN(1,MAX(0,(A1674-I1674+1)*RampSpeed/J1674))</f>
        <v/>
      </c>
      <c r="M1674" s="45">
        <f>IF(A1674&lt;I1674,0,IF(K1674="S-curve",L1674*L1674*(3-2*L1674),L1674))</f>
        <v/>
      </c>
      <c r="N1674" s="45">
        <f>1+(INDEX(SeasonIdx,A1674)-1)*SeasonAmp</f>
        <v/>
      </c>
      <c r="O1674" s="45">
        <f>IFERROR(INDEX(PSPct,MATCH(E1674&amp;"|"&amp;G1674,PSKey,0)),0)</f>
        <v/>
      </c>
      <c r="P1674" s="46">
        <f>INDEX(ChDoorVel,MATCH(E1674,ChName,0))*CalibScalar*(1+VelocityUplift)</f>
        <v/>
      </c>
      <c r="Q1674" s="46" t="n">
        <v>0</v>
      </c>
      <c r="R1674" s="46">
        <f>P1674*O1674*M1674*N1674*H1674</f>
        <v/>
      </c>
      <c r="S1674" s="46">
        <f>R1674*INDEX(FmtCansPerCase,MATCH(F1674,FmtName,0))</f>
        <v/>
      </c>
      <c r="T1674" s="46">
        <f>S1674/INDEX(FmtCansPerPack,MATCH(F1674,FmtName,0))</f>
        <v/>
      </c>
      <c r="U1674" s="47">
        <f>INDEX(ChBaseCP,MATCH(E1674,ChName,0))*(1+INDEX(ProvMod,MATCH(G1674,ProvCode,0)))*(1+PriceIndex)</f>
        <v/>
      </c>
      <c r="V1674" s="47">
        <f>R1674*U1674*INDEX(FmtBlendedPriceIdx,MATCH(F1674,FmtName,0))</f>
        <v/>
      </c>
      <c r="W1674" s="47">
        <f>T1674*INDEX(ProvSRP,MATCH(G1674,ProvCode,0))*(1+PriceIndex)</f>
        <v/>
      </c>
      <c r="X1674" s="47">
        <f>IF(GrossBasis="Wholesale",V1674,W1674)</f>
        <v/>
      </c>
      <c r="Y1674" s="47">
        <f>R1674*INDEX(FmtBlendedCogs,MATCH(F1674,FmtName,0))</f>
        <v/>
      </c>
      <c r="Z1674" s="47">
        <f>X1674-Y1674</f>
        <v/>
      </c>
    </row>
    <row r="1675">
      <c r="A1675" t="n">
        <v>31</v>
      </c>
      <c r="B1675" s="44">
        <f>FiscalStart+(A1675-1)*7</f>
        <v/>
      </c>
      <c r="C1675">
        <f>TEXT(B1675,"mmm yyyy")</f>
        <v/>
      </c>
      <c r="D1675">
        <f>"Q"&amp;(INT((A1675-1)/13)+1)</f>
        <v/>
      </c>
      <c r="E1675" t="inlineStr">
        <is>
          <t>Costco</t>
        </is>
      </c>
      <c r="F1675">
        <f>IFERROR(INDEX(ChFormat,MATCH(E1675,ChName,0)),"")</f>
        <v/>
      </c>
      <c r="G1675" t="inlineStr">
        <is>
          <t>AB</t>
        </is>
      </c>
      <c r="H1675">
        <f>IF(A1675&lt;=NWeeks,1,0)</f>
        <v/>
      </c>
      <c r="I1675">
        <f>INDEX(ChLaunch,MATCH(E1675,ChName,0))</f>
        <v/>
      </c>
      <c r="J1675">
        <f>INDEX(ChWeeksFull,MATCH(E1675,ChName,0))</f>
        <v/>
      </c>
      <c r="K1675">
        <f>INDEX(ChRamp,MATCH(E1675,ChName,0))</f>
        <v/>
      </c>
      <c r="L1675" s="45">
        <f>MIN(1,MAX(0,(A1675-I1675+1)*RampSpeed/J1675))</f>
        <v/>
      </c>
      <c r="M1675" s="45">
        <f>IF(A1675&lt;I1675,0,IF(K1675="S-curve",L1675*L1675*(3-2*L1675),L1675))</f>
        <v/>
      </c>
      <c r="N1675" s="45">
        <f>1+(INDEX(SeasonIdx,A1675)-1)*SeasonAmp</f>
        <v/>
      </c>
      <c r="O1675" s="45">
        <f>IFERROR(INDEX(PSPct,MATCH(E1675&amp;"|"&amp;G1675,PSKey,0)),0)</f>
        <v/>
      </c>
      <c r="P1675" s="46">
        <f>INDEX(ChDoorVel,MATCH(E1675,ChName,0))*CalibScalar*(1+VelocityUplift)</f>
        <v/>
      </c>
      <c r="Q1675" s="46" t="n">
        <v>0</v>
      </c>
      <c r="R1675" s="46">
        <f>P1675*O1675*M1675*N1675*H1675</f>
        <v/>
      </c>
      <c r="S1675" s="46">
        <f>R1675*INDEX(FmtCansPerCase,MATCH(F1675,FmtName,0))</f>
        <v/>
      </c>
      <c r="T1675" s="46">
        <f>S1675/INDEX(FmtCansPerPack,MATCH(F1675,FmtName,0))</f>
        <v/>
      </c>
      <c r="U1675" s="47">
        <f>INDEX(ChBaseCP,MATCH(E1675,ChName,0))*(1+INDEX(ProvMod,MATCH(G1675,ProvCode,0)))*(1+PriceIndex)</f>
        <v/>
      </c>
      <c r="V1675" s="47">
        <f>R1675*U1675*INDEX(FmtBlendedPriceIdx,MATCH(F1675,FmtName,0))</f>
        <v/>
      </c>
      <c r="W1675" s="47">
        <f>T1675*INDEX(ProvSRP,MATCH(G1675,ProvCode,0))*(1+PriceIndex)</f>
        <v/>
      </c>
      <c r="X1675" s="47">
        <f>IF(GrossBasis="Wholesale",V1675,W1675)</f>
        <v/>
      </c>
      <c r="Y1675" s="47">
        <f>R1675*INDEX(FmtBlendedCogs,MATCH(F1675,FmtName,0))</f>
        <v/>
      </c>
      <c r="Z1675" s="47">
        <f>X1675-Y1675</f>
        <v/>
      </c>
    </row>
    <row r="1676">
      <c r="A1676" t="n">
        <v>32</v>
      </c>
      <c r="B1676" s="44">
        <f>FiscalStart+(A1676-1)*7</f>
        <v/>
      </c>
      <c r="C1676">
        <f>TEXT(B1676,"mmm yyyy")</f>
        <v/>
      </c>
      <c r="D1676">
        <f>"Q"&amp;(INT((A1676-1)/13)+1)</f>
        <v/>
      </c>
      <c r="E1676" t="inlineStr">
        <is>
          <t>Costco</t>
        </is>
      </c>
      <c r="F1676">
        <f>IFERROR(INDEX(ChFormat,MATCH(E1676,ChName,0)),"")</f>
        <v/>
      </c>
      <c r="G1676" t="inlineStr">
        <is>
          <t>AB</t>
        </is>
      </c>
      <c r="H1676">
        <f>IF(A1676&lt;=NWeeks,1,0)</f>
        <v/>
      </c>
      <c r="I1676">
        <f>INDEX(ChLaunch,MATCH(E1676,ChName,0))</f>
        <v/>
      </c>
      <c r="J1676">
        <f>INDEX(ChWeeksFull,MATCH(E1676,ChName,0))</f>
        <v/>
      </c>
      <c r="K1676">
        <f>INDEX(ChRamp,MATCH(E1676,ChName,0))</f>
        <v/>
      </c>
      <c r="L1676" s="45">
        <f>MIN(1,MAX(0,(A1676-I1676+1)*RampSpeed/J1676))</f>
        <v/>
      </c>
      <c r="M1676" s="45">
        <f>IF(A1676&lt;I1676,0,IF(K1676="S-curve",L1676*L1676*(3-2*L1676),L1676))</f>
        <v/>
      </c>
      <c r="N1676" s="45">
        <f>1+(INDEX(SeasonIdx,A1676)-1)*SeasonAmp</f>
        <v/>
      </c>
      <c r="O1676" s="45">
        <f>IFERROR(INDEX(PSPct,MATCH(E1676&amp;"|"&amp;G1676,PSKey,0)),0)</f>
        <v/>
      </c>
      <c r="P1676" s="46">
        <f>INDEX(ChDoorVel,MATCH(E1676,ChName,0))*CalibScalar*(1+VelocityUplift)</f>
        <v/>
      </c>
      <c r="Q1676" s="46" t="n">
        <v>0</v>
      </c>
      <c r="R1676" s="46">
        <f>P1676*O1676*M1676*N1676*H1676</f>
        <v/>
      </c>
      <c r="S1676" s="46">
        <f>R1676*INDEX(FmtCansPerCase,MATCH(F1676,FmtName,0))</f>
        <v/>
      </c>
      <c r="T1676" s="46">
        <f>S1676/INDEX(FmtCansPerPack,MATCH(F1676,FmtName,0))</f>
        <v/>
      </c>
      <c r="U1676" s="47">
        <f>INDEX(ChBaseCP,MATCH(E1676,ChName,0))*(1+INDEX(ProvMod,MATCH(G1676,ProvCode,0)))*(1+PriceIndex)</f>
        <v/>
      </c>
      <c r="V1676" s="47">
        <f>R1676*U1676*INDEX(FmtBlendedPriceIdx,MATCH(F1676,FmtName,0))</f>
        <v/>
      </c>
      <c r="W1676" s="47">
        <f>T1676*INDEX(ProvSRP,MATCH(G1676,ProvCode,0))*(1+PriceIndex)</f>
        <v/>
      </c>
      <c r="X1676" s="47">
        <f>IF(GrossBasis="Wholesale",V1676,W1676)</f>
        <v/>
      </c>
      <c r="Y1676" s="47">
        <f>R1676*INDEX(FmtBlendedCogs,MATCH(F1676,FmtName,0))</f>
        <v/>
      </c>
      <c r="Z1676" s="47">
        <f>X1676-Y1676</f>
        <v/>
      </c>
    </row>
    <row r="1677">
      <c r="A1677" t="n">
        <v>33</v>
      </c>
      <c r="B1677" s="44">
        <f>FiscalStart+(A1677-1)*7</f>
        <v/>
      </c>
      <c r="C1677">
        <f>TEXT(B1677,"mmm yyyy")</f>
        <v/>
      </c>
      <c r="D1677">
        <f>"Q"&amp;(INT((A1677-1)/13)+1)</f>
        <v/>
      </c>
      <c r="E1677" t="inlineStr">
        <is>
          <t>Costco</t>
        </is>
      </c>
      <c r="F1677">
        <f>IFERROR(INDEX(ChFormat,MATCH(E1677,ChName,0)),"")</f>
        <v/>
      </c>
      <c r="G1677" t="inlineStr">
        <is>
          <t>AB</t>
        </is>
      </c>
      <c r="H1677">
        <f>IF(A1677&lt;=NWeeks,1,0)</f>
        <v/>
      </c>
      <c r="I1677">
        <f>INDEX(ChLaunch,MATCH(E1677,ChName,0))</f>
        <v/>
      </c>
      <c r="J1677">
        <f>INDEX(ChWeeksFull,MATCH(E1677,ChName,0))</f>
        <v/>
      </c>
      <c r="K1677">
        <f>INDEX(ChRamp,MATCH(E1677,ChName,0))</f>
        <v/>
      </c>
      <c r="L1677" s="45">
        <f>MIN(1,MAX(0,(A1677-I1677+1)*RampSpeed/J1677))</f>
        <v/>
      </c>
      <c r="M1677" s="45">
        <f>IF(A1677&lt;I1677,0,IF(K1677="S-curve",L1677*L1677*(3-2*L1677),L1677))</f>
        <v/>
      </c>
      <c r="N1677" s="45">
        <f>1+(INDEX(SeasonIdx,A1677)-1)*SeasonAmp</f>
        <v/>
      </c>
      <c r="O1677" s="45">
        <f>IFERROR(INDEX(PSPct,MATCH(E1677&amp;"|"&amp;G1677,PSKey,0)),0)</f>
        <v/>
      </c>
      <c r="P1677" s="46">
        <f>INDEX(ChDoorVel,MATCH(E1677,ChName,0))*CalibScalar*(1+VelocityUplift)</f>
        <v/>
      </c>
      <c r="Q1677" s="46" t="n">
        <v>0</v>
      </c>
      <c r="R1677" s="46">
        <f>P1677*O1677*M1677*N1677*H1677</f>
        <v/>
      </c>
      <c r="S1677" s="46">
        <f>R1677*INDEX(FmtCansPerCase,MATCH(F1677,FmtName,0))</f>
        <v/>
      </c>
      <c r="T1677" s="46">
        <f>S1677/INDEX(FmtCansPerPack,MATCH(F1677,FmtName,0))</f>
        <v/>
      </c>
      <c r="U1677" s="47">
        <f>INDEX(ChBaseCP,MATCH(E1677,ChName,0))*(1+INDEX(ProvMod,MATCH(G1677,ProvCode,0)))*(1+PriceIndex)</f>
        <v/>
      </c>
      <c r="V1677" s="47">
        <f>R1677*U1677*INDEX(FmtBlendedPriceIdx,MATCH(F1677,FmtName,0))</f>
        <v/>
      </c>
      <c r="W1677" s="47">
        <f>T1677*INDEX(ProvSRP,MATCH(G1677,ProvCode,0))*(1+PriceIndex)</f>
        <v/>
      </c>
      <c r="X1677" s="47">
        <f>IF(GrossBasis="Wholesale",V1677,W1677)</f>
        <v/>
      </c>
      <c r="Y1677" s="47">
        <f>R1677*INDEX(FmtBlendedCogs,MATCH(F1677,FmtName,0))</f>
        <v/>
      </c>
      <c r="Z1677" s="47">
        <f>X1677-Y1677</f>
        <v/>
      </c>
    </row>
    <row r="1678">
      <c r="A1678" t="n">
        <v>34</v>
      </c>
      <c r="B1678" s="44">
        <f>FiscalStart+(A1678-1)*7</f>
        <v/>
      </c>
      <c r="C1678">
        <f>TEXT(B1678,"mmm yyyy")</f>
        <v/>
      </c>
      <c r="D1678">
        <f>"Q"&amp;(INT((A1678-1)/13)+1)</f>
        <v/>
      </c>
      <c r="E1678" t="inlineStr">
        <is>
          <t>Costco</t>
        </is>
      </c>
      <c r="F1678">
        <f>IFERROR(INDEX(ChFormat,MATCH(E1678,ChName,0)),"")</f>
        <v/>
      </c>
      <c r="G1678" t="inlineStr">
        <is>
          <t>AB</t>
        </is>
      </c>
      <c r="H1678">
        <f>IF(A1678&lt;=NWeeks,1,0)</f>
        <v/>
      </c>
      <c r="I1678">
        <f>INDEX(ChLaunch,MATCH(E1678,ChName,0))</f>
        <v/>
      </c>
      <c r="J1678">
        <f>INDEX(ChWeeksFull,MATCH(E1678,ChName,0))</f>
        <v/>
      </c>
      <c r="K1678">
        <f>INDEX(ChRamp,MATCH(E1678,ChName,0))</f>
        <v/>
      </c>
      <c r="L1678" s="45">
        <f>MIN(1,MAX(0,(A1678-I1678+1)*RampSpeed/J1678))</f>
        <v/>
      </c>
      <c r="M1678" s="45">
        <f>IF(A1678&lt;I1678,0,IF(K1678="S-curve",L1678*L1678*(3-2*L1678),L1678))</f>
        <v/>
      </c>
      <c r="N1678" s="45">
        <f>1+(INDEX(SeasonIdx,A1678)-1)*SeasonAmp</f>
        <v/>
      </c>
      <c r="O1678" s="45">
        <f>IFERROR(INDEX(PSPct,MATCH(E1678&amp;"|"&amp;G1678,PSKey,0)),0)</f>
        <v/>
      </c>
      <c r="P1678" s="46">
        <f>INDEX(ChDoorVel,MATCH(E1678,ChName,0))*CalibScalar*(1+VelocityUplift)</f>
        <v/>
      </c>
      <c r="Q1678" s="46" t="n">
        <v>0</v>
      </c>
      <c r="R1678" s="46">
        <f>P1678*O1678*M1678*N1678*H1678</f>
        <v/>
      </c>
      <c r="S1678" s="46">
        <f>R1678*INDEX(FmtCansPerCase,MATCH(F1678,FmtName,0))</f>
        <v/>
      </c>
      <c r="T1678" s="46">
        <f>S1678/INDEX(FmtCansPerPack,MATCH(F1678,FmtName,0))</f>
        <v/>
      </c>
      <c r="U1678" s="47">
        <f>INDEX(ChBaseCP,MATCH(E1678,ChName,0))*(1+INDEX(ProvMod,MATCH(G1678,ProvCode,0)))*(1+PriceIndex)</f>
        <v/>
      </c>
      <c r="V1678" s="47">
        <f>R1678*U1678*INDEX(FmtBlendedPriceIdx,MATCH(F1678,FmtName,0))</f>
        <v/>
      </c>
      <c r="W1678" s="47">
        <f>T1678*INDEX(ProvSRP,MATCH(G1678,ProvCode,0))*(1+PriceIndex)</f>
        <v/>
      </c>
      <c r="X1678" s="47">
        <f>IF(GrossBasis="Wholesale",V1678,W1678)</f>
        <v/>
      </c>
      <c r="Y1678" s="47">
        <f>R1678*INDEX(FmtBlendedCogs,MATCH(F1678,FmtName,0))</f>
        <v/>
      </c>
      <c r="Z1678" s="47">
        <f>X1678-Y1678</f>
        <v/>
      </c>
    </row>
    <row r="1679">
      <c r="A1679" t="n">
        <v>35</v>
      </c>
      <c r="B1679" s="44">
        <f>FiscalStart+(A1679-1)*7</f>
        <v/>
      </c>
      <c r="C1679">
        <f>TEXT(B1679,"mmm yyyy")</f>
        <v/>
      </c>
      <c r="D1679">
        <f>"Q"&amp;(INT((A1679-1)/13)+1)</f>
        <v/>
      </c>
      <c r="E1679" t="inlineStr">
        <is>
          <t>Costco</t>
        </is>
      </c>
      <c r="F1679">
        <f>IFERROR(INDEX(ChFormat,MATCH(E1679,ChName,0)),"")</f>
        <v/>
      </c>
      <c r="G1679" t="inlineStr">
        <is>
          <t>AB</t>
        </is>
      </c>
      <c r="H1679">
        <f>IF(A1679&lt;=NWeeks,1,0)</f>
        <v/>
      </c>
      <c r="I1679">
        <f>INDEX(ChLaunch,MATCH(E1679,ChName,0))</f>
        <v/>
      </c>
      <c r="J1679">
        <f>INDEX(ChWeeksFull,MATCH(E1679,ChName,0))</f>
        <v/>
      </c>
      <c r="K1679">
        <f>INDEX(ChRamp,MATCH(E1679,ChName,0))</f>
        <v/>
      </c>
      <c r="L1679" s="45">
        <f>MIN(1,MAX(0,(A1679-I1679+1)*RampSpeed/J1679))</f>
        <v/>
      </c>
      <c r="M1679" s="45">
        <f>IF(A1679&lt;I1679,0,IF(K1679="S-curve",L1679*L1679*(3-2*L1679),L1679))</f>
        <v/>
      </c>
      <c r="N1679" s="45">
        <f>1+(INDEX(SeasonIdx,A1679)-1)*SeasonAmp</f>
        <v/>
      </c>
      <c r="O1679" s="45">
        <f>IFERROR(INDEX(PSPct,MATCH(E1679&amp;"|"&amp;G1679,PSKey,0)),0)</f>
        <v/>
      </c>
      <c r="P1679" s="46">
        <f>INDEX(ChDoorVel,MATCH(E1679,ChName,0))*CalibScalar*(1+VelocityUplift)</f>
        <v/>
      </c>
      <c r="Q1679" s="46" t="n">
        <v>0</v>
      </c>
      <c r="R1679" s="46">
        <f>P1679*O1679*M1679*N1679*H1679</f>
        <v/>
      </c>
      <c r="S1679" s="46">
        <f>R1679*INDEX(FmtCansPerCase,MATCH(F1679,FmtName,0))</f>
        <v/>
      </c>
      <c r="T1679" s="46">
        <f>S1679/INDEX(FmtCansPerPack,MATCH(F1679,FmtName,0))</f>
        <v/>
      </c>
      <c r="U1679" s="47">
        <f>INDEX(ChBaseCP,MATCH(E1679,ChName,0))*(1+INDEX(ProvMod,MATCH(G1679,ProvCode,0)))*(1+PriceIndex)</f>
        <v/>
      </c>
      <c r="V1679" s="47">
        <f>R1679*U1679*INDEX(FmtBlendedPriceIdx,MATCH(F1679,FmtName,0))</f>
        <v/>
      </c>
      <c r="W1679" s="47">
        <f>T1679*INDEX(ProvSRP,MATCH(G1679,ProvCode,0))*(1+PriceIndex)</f>
        <v/>
      </c>
      <c r="X1679" s="47">
        <f>IF(GrossBasis="Wholesale",V1679,W1679)</f>
        <v/>
      </c>
      <c r="Y1679" s="47">
        <f>R1679*INDEX(FmtBlendedCogs,MATCH(F1679,FmtName,0))</f>
        <v/>
      </c>
      <c r="Z1679" s="47">
        <f>X1679-Y1679</f>
        <v/>
      </c>
    </row>
    <row r="1680">
      <c r="A1680" t="n">
        <v>36</v>
      </c>
      <c r="B1680" s="44">
        <f>FiscalStart+(A1680-1)*7</f>
        <v/>
      </c>
      <c r="C1680">
        <f>TEXT(B1680,"mmm yyyy")</f>
        <v/>
      </c>
      <c r="D1680">
        <f>"Q"&amp;(INT((A1680-1)/13)+1)</f>
        <v/>
      </c>
      <c r="E1680" t="inlineStr">
        <is>
          <t>Costco</t>
        </is>
      </c>
      <c r="F1680">
        <f>IFERROR(INDEX(ChFormat,MATCH(E1680,ChName,0)),"")</f>
        <v/>
      </c>
      <c r="G1680" t="inlineStr">
        <is>
          <t>AB</t>
        </is>
      </c>
      <c r="H1680">
        <f>IF(A1680&lt;=NWeeks,1,0)</f>
        <v/>
      </c>
      <c r="I1680">
        <f>INDEX(ChLaunch,MATCH(E1680,ChName,0))</f>
        <v/>
      </c>
      <c r="J1680">
        <f>INDEX(ChWeeksFull,MATCH(E1680,ChName,0))</f>
        <v/>
      </c>
      <c r="K1680">
        <f>INDEX(ChRamp,MATCH(E1680,ChName,0))</f>
        <v/>
      </c>
      <c r="L1680" s="45">
        <f>MIN(1,MAX(0,(A1680-I1680+1)*RampSpeed/J1680))</f>
        <v/>
      </c>
      <c r="M1680" s="45">
        <f>IF(A1680&lt;I1680,0,IF(K1680="S-curve",L1680*L1680*(3-2*L1680),L1680))</f>
        <v/>
      </c>
      <c r="N1680" s="45">
        <f>1+(INDEX(SeasonIdx,A1680)-1)*SeasonAmp</f>
        <v/>
      </c>
      <c r="O1680" s="45">
        <f>IFERROR(INDEX(PSPct,MATCH(E1680&amp;"|"&amp;G1680,PSKey,0)),0)</f>
        <v/>
      </c>
      <c r="P1680" s="46">
        <f>INDEX(ChDoorVel,MATCH(E1680,ChName,0))*CalibScalar*(1+VelocityUplift)</f>
        <v/>
      </c>
      <c r="Q1680" s="46" t="n">
        <v>0</v>
      </c>
      <c r="R1680" s="46">
        <f>P1680*O1680*M1680*N1680*H1680</f>
        <v/>
      </c>
      <c r="S1680" s="46">
        <f>R1680*INDEX(FmtCansPerCase,MATCH(F1680,FmtName,0))</f>
        <v/>
      </c>
      <c r="T1680" s="46">
        <f>S1680/INDEX(FmtCansPerPack,MATCH(F1680,FmtName,0))</f>
        <v/>
      </c>
      <c r="U1680" s="47">
        <f>INDEX(ChBaseCP,MATCH(E1680,ChName,0))*(1+INDEX(ProvMod,MATCH(G1680,ProvCode,0)))*(1+PriceIndex)</f>
        <v/>
      </c>
      <c r="V1680" s="47">
        <f>R1680*U1680*INDEX(FmtBlendedPriceIdx,MATCH(F1680,FmtName,0))</f>
        <v/>
      </c>
      <c r="W1680" s="47">
        <f>T1680*INDEX(ProvSRP,MATCH(G1680,ProvCode,0))*(1+PriceIndex)</f>
        <v/>
      </c>
      <c r="X1680" s="47">
        <f>IF(GrossBasis="Wholesale",V1680,W1680)</f>
        <v/>
      </c>
      <c r="Y1680" s="47">
        <f>R1680*INDEX(FmtBlendedCogs,MATCH(F1680,FmtName,0))</f>
        <v/>
      </c>
      <c r="Z1680" s="47">
        <f>X1680-Y1680</f>
        <v/>
      </c>
    </row>
    <row r="1681">
      <c r="A1681" t="n">
        <v>37</v>
      </c>
      <c r="B1681" s="44">
        <f>FiscalStart+(A1681-1)*7</f>
        <v/>
      </c>
      <c r="C1681">
        <f>TEXT(B1681,"mmm yyyy")</f>
        <v/>
      </c>
      <c r="D1681">
        <f>"Q"&amp;(INT((A1681-1)/13)+1)</f>
        <v/>
      </c>
      <c r="E1681" t="inlineStr">
        <is>
          <t>Costco</t>
        </is>
      </c>
      <c r="F1681">
        <f>IFERROR(INDEX(ChFormat,MATCH(E1681,ChName,0)),"")</f>
        <v/>
      </c>
      <c r="G1681" t="inlineStr">
        <is>
          <t>AB</t>
        </is>
      </c>
      <c r="H1681">
        <f>IF(A1681&lt;=NWeeks,1,0)</f>
        <v/>
      </c>
      <c r="I1681">
        <f>INDEX(ChLaunch,MATCH(E1681,ChName,0))</f>
        <v/>
      </c>
      <c r="J1681">
        <f>INDEX(ChWeeksFull,MATCH(E1681,ChName,0))</f>
        <v/>
      </c>
      <c r="K1681">
        <f>INDEX(ChRamp,MATCH(E1681,ChName,0))</f>
        <v/>
      </c>
      <c r="L1681" s="45">
        <f>MIN(1,MAX(0,(A1681-I1681+1)*RampSpeed/J1681))</f>
        <v/>
      </c>
      <c r="M1681" s="45">
        <f>IF(A1681&lt;I1681,0,IF(K1681="S-curve",L1681*L1681*(3-2*L1681),L1681))</f>
        <v/>
      </c>
      <c r="N1681" s="45">
        <f>1+(INDEX(SeasonIdx,A1681)-1)*SeasonAmp</f>
        <v/>
      </c>
      <c r="O1681" s="45">
        <f>IFERROR(INDEX(PSPct,MATCH(E1681&amp;"|"&amp;G1681,PSKey,0)),0)</f>
        <v/>
      </c>
      <c r="P1681" s="46">
        <f>INDEX(ChDoorVel,MATCH(E1681,ChName,0))*CalibScalar*(1+VelocityUplift)</f>
        <v/>
      </c>
      <c r="Q1681" s="46" t="n">
        <v>0</v>
      </c>
      <c r="R1681" s="46">
        <f>P1681*O1681*M1681*N1681*H1681</f>
        <v/>
      </c>
      <c r="S1681" s="46">
        <f>R1681*INDEX(FmtCansPerCase,MATCH(F1681,FmtName,0))</f>
        <v/>
      </c>
      <c r="T1681" s="46">
        <f>S1681/INDEX(FmtCansPerPack,MATCH(F1681,FmtName,0))</f>
        <v/>
      </c>
      <c r="U1681" s="47">
        <f>INDEX(ChBaseCP,MATCH(E1681,ChName,0))*(1+INDEX(ProvMod,MATCH(G1681,ProvCode,0)))*(1+PriceIndex)</f>
        <v/>
      </c>
      <c r="V1681" s="47">
        <f>R1681*U1681*INDEX(FmtBlendedPriceIdx,MATCH(F1681,FmtName,0))</f>
        <v/>
      </c>
      <c r="W1681" s="47">
        <f>T1681*INDEX(ProvSRP,MATCH(G1681,ProvCode,0))*(1+PriceIndex)</f>
        <v/>
      </c>
      <c r="X1681" s="47">
        <f>IF(GrossBasis="Wholesale",V1681,W1681)</f>
        <v/>
      </c>
      <c r="Y1681" s="47">
        <f>R1681*INDEX(FmtBlendedCogs,MATCH(F1681,FmtName,0))</f>
        <v/>
      </c>
      <c r="Z1681" s="47">
        <f>X1681-Y1681</f>
        <v/>
      </c>
    </row>
    <row r="1682">
      <c r="A1682" t="n">
        <v>38</v>
      </c>
      <c r="B1682" s="44">
        <f>FiscalStart+(A1682-1)*7</f>
        <v/>
      </c>
      <c r="C1682">
        <f>TEXT(B1682,"mmm yyyy")</f>
        <v/>
      </c>
      <c r="D1682">
        <f>"Q"&amp;(INT((A1682-1)/13)+1)</f>
        <v/>
      </c>
      <c r="E1682" t="inlineStr">
        <is>
          <t>Costco</t>
        </is>
      </c>
      <c r="F1682">
        <f>IFERROR(INDEX(ChFormat,MATCH(E1682,ChName,0)),"")</f>
        <v/>
      </c>
      <c r="G1682" t="inlineStr">
        <is>
          <t>AB</t>
        </is>
      </c>
      <c r="H1682">
        <f>IF(A1682&lt;=NWeeks,1,0)</f>
        <v/>
      </c>
      <c r="I1682">
        <f>INDEX(ChLaunch,MATCH(E1682,ChName,0))</f>
        <v/>
      </c>
      <c r="J1682">
        <f>INDEX(ChWeeksFull,MATCH(E1682,ChName,0))</f>
        <v/>
      </c>
      <c r="K1682">
        <f>INDEX(ChRamp,MATCH(E1682,ChName,0))</f>
        <v/>
      </c>
      <c r="L1682" s="45">
        <f>MIN(1,MAX(0,(A1682-I1682+1)*RampSpeed/J1682))</f>
        <v/>
      </c>
      <c r="M1682" s="45">
        <f>IF(A1682&lt;I1682,0,IF(K1682="S-curve",L1682*L1682*(3-2*L1682),L1682))</f>
        <v/>
      </c>
      <c r="N1682" s="45">
        <f>1+(INDEX(SeasonIdx,A1682)-1)*SeasonAmp</f>
        <v/>
      </c>
      <c r="O1682" s="45">
        <f>IFERROR(INDEX(PSPct,MATCH(E1682&amp;"|"&amp;G1682,PSKey,0)),0)</f>
        <v/>
      </c>
      <c r="P1682" s="46">
        <f>INDEX(ChDoorVel,MATCH(E1682,ChName,0))*CalibScalar*(1+VelocityUplift)</f>
        <v/>
      </c>
      <c r="Q1682" s="46" t="n">
        <v>0</v>
      </c>
      <c r="R1682" s="46">
        <f>P1682*O1682*M1682*N1682*H1682</f>
        <v/>
      </c>
      <c r="S1682" s="46">
        <f>R1682*INDEX(FmtCansPerCase,MATCH(F1682,FmtName,0))</f>
        <v/>
      </c>
      <c r="T1682" s="46">
        <f>S1682/INDEX(FmtCansPerPack,MATCH(F1682,FmtName,0))</f>
        <v/>
      </c>
      <c r="U1682" s="47">
        <f>INDEX(ChBaseCP,MATCH(E1682,ChName,0))*(1+INDEX(ProvMod,MATCH(G1682,ProvCode,0)))*(1+PriceIndex)</f>
        <v/>
      </c>
      <c r="V1682" s="47">
        <f>R1682*U1682*INDEX(FmtBlendedPriceIdx,MATCH(F1682,FmtName,0))</f>
        <v/>
      </c>
      <c r="W1682" s="47">
        <f>T1682*INDEX(ProvSRP,MATCH(G1682,ProvCode,0))*(1+PriceIndex)</f>
        <v/>
      </c>
      <c r="X1682" s="47">
        <f>IF(GrossBasis="Wholesale",V1682,W1682)</f>
        <v/>
      </c>
      <c r="Y1682" s="47">
        <f>R1682*INDEX(FmtBlendedCogs,MATCH(F1682,FmtName,0))</f>
        <v/>
      </c>
      <c r="Z1682" s="47">
        <f>X1682-Y1682</f>
        <v/>
      </c>
    </row>
    <row r="1683">
      <c r="A1683" t="n">
        <v>39</v>
      </c>
      <c r="B1683" s="44">
        <f>FiscalStart+(A1683-1)*7</f>
        <v/>
      </c>
      <c r="C1683">
        <f>TEXT(B1683,"mmm yyyy")</f>
        <v/>
      </c>
      <c r="D1683">
        <f>"Q"&amp;(INT((A1683-1)/13)+1)</f>
        <v/>
      </c>
      <c r="E1683" t="inlineStr">
        <is>
          <t>Costco</t>
        </is>
      </c>
      <c r="F1683">
        <f>IFERROR(INDEX(ChFormat,MATCH(E1683,ChName,0)),"")</f>
        <v/>
      </c>
      <c r="G1683" t="inlineStr">
        <is>
          <t>AB</t>
        </is>
      </c>
      <c r="H1683">
        <f>IF(A1683&lt;=NWeeks,1,0)</f>
        <v/>
      </c>
      <c r="I1683">
        <f>INDEX(ChLaunch,MATCH(E1683,ChName,0))</f>
        <v/>
      </c>
      <c r="J1683">
        <f>INDEX(ChWeeksFull,MATCH(E1683,ChName,0))</f>
        <v/>
      </c>
      <c r="K1683">
        <f>INDEX(ChRamp,MATCH(E1683,ChName,0))</f>
        <v/>
      </c>
      <c r="L1683" s="45">
        <f>MIN(1,MAX(0,(A1683-I1683+1)*RampSpeed/J1683))</f>
        <v/>
      </c>
      <c r="M1683" s="45">
        <f>IF(A1683&lt;I1683,0,IF(K1683="S-curve",L1683*L1683*(3-2*L1683),L1683))</f>
        <v/>
      </c>
      <c r="N1683" s="45">
        <f>1+(INDEX(SeasonIdx,A1683)-1)*SeasonAmp</f>
        <v/>
      </c>
      <c r="O1683" s="45">
        <f>IFERROR(INDEX(PSPct,MATCH(E1683&amp;"|"&amp;G1683,PSKey,0)),0)</f>
        <v/>
      </c>
      <c r="P1683" s="46">
        <f>INDEX(ChDoorVel,MATCH(E1683,ChName,0))*CalibScalar*(1+VelocityUplift)</f>
        <v/>
      </c>
      <c r="Q1683" s="46" t="n">
        <v>0</v>
      </c>
      <c r="R1683" s="46">
        <f>P1683*O1683*M1683*N1683*H1683</f>
        <v/>
      </c>
      <c r="S1683" s="46">
        <f>R1683*INDEX(FmtCansPerCase,MATCH(F1683,FmtName,0))</f>
        <v/>
      </c>
      <c r="T1683" s="46">
        <f>S1683/INDEX(FmtCansPerPack,MATCH(F1683,FmtName,0))</f>
        <v/>
      </c>
      <c r="U1683" s="47">
        <f>INDEX(ChBaseCP,MATCH(E1683,ChName,0))*(1+INDEX(ProvMod,MATCH(G1683,ProvCode,0)))*(1+PriceIndex)</f>
        <v/>
      </c>
      <c r="V1683" s="47">
        <f>R1683*U1683*INDEX(FmtBlendedPriceIdx,MATCH(F1683,FmtName,0))</f>
        <v/>
      </c>
      <c r="W1683" s="47">
        <f>T1683*INDEX(ProvSRP,MATCH(G1683,ProvCode,0))*(1+PriceIndex)</f>
        <v/>
      </c>
      <c r="X1683" s="47">
        <f>IF(GrossBasis="Wholesale",V1683,W1683)</f>
        <v/>
      </c>
      <c r="Y1683" s="47">
        <f>R1683*INDEX(FmtBlendedCogs,MATCH(F1683,FmtName,0))</f>
        <v/>
      </c>
      <c r="Z1683" s="47">
        <f>X1683-Y1683</f>
        <v/>
      </c>
    </row>
    <row r="1684">
      <c r="A1684" t="n">
        <v>40</v>
      </c>
      <c r="B1684" s="44">
        <f>FiscalStart+(A1684-1)*7</f>
        <v/>
      </c>
      <c r="C1684">
        <f>TEXT(B1684,"mmm yyyy")</f>
        <v/>
      </c>
      <c r="D1684">
        <f>"Q"&amp;(INT((A1684-1)/13)+1)</f>
        <v/>
      </c>
      <c r="E1684" t="inlineStr">
        <is>
          <t>Costco</t>
        </is>
      </c>
      <c r="F1684">
        <f>IFERROR(INDEX(ChFormat,MATCH(E1684,ChName,0)),"")</f>
        <v/>
      </c>
      <c r="G1684" t="inlineStr">
        <is>
          <t>AB</t>
        </is>
      </c>
      <c r="H1684">
        <f>IF(A1684&lt;=NWeeks,1,0)</f>
        <v/>
      </c>
      <c r="I1684">
        <f>INDEX(ChLaunch,MATCH(E1684,ChName,0))</f>
        <v/>
      </c>
      <c r="J1684">
        <f>INDEX(ChWeeksFull,MATCH(E1684,ChName,0))</f>
        <v/>
      </c>
      <c r="K1684">
        <f>INDEX(ChRamp,MATCH(E1684,ChName,0))</f>
        <v/>
      </c>
      <c r="L1684" s="45">
        <f>MIN(1,MAX(0,(A1684-I1684+1)*RampSpeed/J1684))</f>
        <v/>
      </c>
      <c r="M1684" s="45">
        <f>IF(A1684&lt;I1684,0,IF(K1684="S-curve",L1684*L1684*(3-2*L1684),L1684))</f>
        <v/>
      </c>
      <c r="N1684" s="45">
        <f>1+(INDEX(SeasonIdx,A1684)-1)*SeasonAmp</f>
        <v/>
      </c>
      <c r="O1684" s="45">
        <f>IFERROR(INDEX(PSPct,MATCH(E1684&amp;"|"&amp;G1684,PSKey,0)),0)</f>
        <v/>
      </c>
      <c r="P1684" s="46">
        <f>INDEX(ChDoorVel,MATCH(E1684,ChName,0))*CalibScalar*(1+VelocityUplift)</f>
        <v/>
      </c>
      <c r="Q1684" s="46" t="n">
        <v>0</v>
      </c>
      <c r="R1684" s="46">
        <f>P1684*O1684*M1684*N1684*H1684</f>
        <v/>
      </c>
      <c r="S1684" s="46">
        <f>R1684*INDEX(FmtCansPerCase,MATCH(F1684,FmtName,0))</f>
        <v/>
      </c>
      <c r="T1684" s="46">
        <f>S1684/INDEX(FmtCansPerPack,MATCH(F1684,FmtName,0))</f>
        <v/>
      </c>
      <c r="U1684" s="47">
        <f>INDEX(ChBaseCP,MATCH(E1684,ChName,0))*(1+INDEX(ProvMod,MATCH(G1684,ProvCode,0)))*(1+PriceIndex)</f>
        <v/>
      </c>
      <c r="V1684" s="47">
        <f>R1684*U1684*INDEX(FmtBlendedPriceIdx,MATCH(F1684,FmtName,0))</f>
        <v/>
      </c>
      <c r="W1684" s="47">
        <f>T1684*INDEX(ProvSRP,MATCH(G1684,ProvCode,0))*(1+PriceIndex)</f>
        <v/>
      </c>
      <c r="X1684" s="47">
        <f>IF(GrossBasis="Wholesale",V1684,W1684)</f>
        <v/>
      </c>
      <c r="Y1684" s="47">
        <f>R1684*INDEX(FmtBlendedCogs,MATCH(F1684,FmtName,0))</f>
        <v/>
      </c>
      <c r="Z1684" s="47">
        <f>X1684-Y1684</f>
        <v/>
      </c>
    </row>
    <row r="1685">
      <c r="A1685" t="n">
        <v>41</v>
      </c>
      <c r="B1685" s="44">
        <f>FiscalStart+(A1685-1)*7</f>
        <v/>
      </c>
      <c r="C1685">
        <f>TEXT(B1685,"mmm yyyy")</f>
        <v/>
      </c>
      <c r="D1685">
        <f>"Q"&amp;(INT((A1685-1)/13)+1)</f>
        <v/>
      </c>
      <c r="E1685" t="inlineStr">
        <is>
          <t>Costco</t>
        </is>
      </c>
      <c r="F1685">
        <f>IFERROR(INDEX(ChFormat,MATCH(E1685,ChName,0)),"")</f>
        <v/>
      </c>
      <c r="G1685" t="inlineStr">
        <is>
          <t>AB</t>
        </is>
      </c>
      <c r="H1685">
        <f>IF(A1685&lt;=NWeeks,1,0)</f>
        <v/>
      </c>
      <c r="I1685">
        <f>INDEX(ChLaunch,MATCH(E1685,ChName,0))</f>
        <v/>
      </c>
      <c r="J1685">
        <f>INDEX(ChWeeksFull,MATCH(E1685,ChName,0))</f>
        <v/>
      </c>
      <c r="K1685">
        <f>INDEX(ChRamp,MATCH(E1685,ChName,0))</f>
        <v/>
      </c>
      <c r="L1685" s="45">
        <f>MIN(1,MAX(0,(A1685-I1685+1)*RampSpeed/J1685))</f>
        <v/>
      </c>
      <c r="M1685" s="45">
        <f>IF(A1685&lt;I1685,0,IF(K1685="S-curve",L1685*L1685*(3-2*L1685),L1685))</f>
        <v/>
      </c>
      <c r="N1685" s="45">
        <f>1+(INDEX(SeasonIdx,A1685)-1)*SeasonAmp</f>
        <v/>
      </c>
      <c r="O1685" s="45">
        <f>IFERROR(INDEX(PSPct,MATCH(E1685&amp;"|"&amp;G1685,PSKey,0)),0)</f>
        <v/>
      </c>
      <c r="P1685" s="46">
        <f>INDEX(ChDoorVel,MATCH(E1685,ChName,0))*CalibScalar*(1+VelocityUplift)</f>
        <v/>
      </c>
      <c r="Q1685" s="46" t="n">
        <v>0</v>
      </c>
      <c r="R1685" s="46">
        <f>P1685*O1685*M1685*N1685*H1685</f>
        <v/>
      </c>
      <c r="S1685" s="46">
        <f>R1685*INDEX(FmtCansPerCase,MATCH(F1685,FmtName,0))</f>
        <v/>
      </c>
      <c r="T1685" s="46">
        <f>S1685/INDEX(FmtCansPerPack,MATCH(F1685,FmtName,0))</f>
        <v/>
      </c>
      <c r="U1685" s="47">
        <f>INDEX(ChBaseCP,MATCH(E1685,ChName,0))*(1+INDEX(ProvMod,MATCH(G1685,ProvCode,0)))*(1+PriceIndex)</f>
        <v/>
      </c>
      <c r="V1685" s="47">
        <f>R1685*U1685*INDEX(FmtBlendedPriceIdx,MATCH(F1685,FmtName,0))</f>
        <v/>
      </c>
      <c r="W1685" s="47">
        <f>T1685*INDEX(ProvSRP,MATCH(G1685,ProvCode,0))*(1+PriceIndex)</f>
        <v/>
      </c>
      <c r="X1685" s="47">
        <f>IF(GrossBasis="Wholesale",V1685,W1685)</f>
        <v/>
      </c>
      <c r="Y1685" s="47">
        <f>R1685*INDEX(FmtBlendedCogs,MATCH(F1685,FmtName,0))</f>
        <v/>
      </c>
      <c r="Z1685" s="47">
        <f>X1685-Y1685</f>
        <v/>
      </c>
    </row>
    <row r="1686">
      <c r="A1686" t="n">
        <v>42</v>
      </c>
      <c r="B1686" s="44">
        <f>FiscalStart+(A1686-1)*7</f>
        <v/>
      </c>
      <c r="C1686">
        <f>TEXT(B1686,"mmm yyyy")</f>
        <v/>
      </c>
      <c r="D1686">
        <f>"Q"&amp;(INT((A1686-1)/13)+1)</f>
        <v/>
      </c>
      <c r="E1686" t="inlineStr">
        <is>
          <t>Costco</t>
        </is>
      </c>
      <c r="F1686">
        <f>IFERROR(INDEX(ChFormat,MATCH(E1686,ChName,0)),"")</f>
        <v/>
      </c>
      <c r="G1686" t="inlineStr">
        <is>
          <t>AB</t>
        </is>
      </c>
      <c r="H1686">
        <f>IF(A1686&lt;=NWeeks,1,0)</f>
        <v/>
      </c>
      <c r="I1686">
        <f>INDEX(ChLaunch,MATCH(E1686,ChName,0))</f>
        <v/>
      </c>
      <c r="J1686">
        <f>INDEX(ChWeeksFull,MATCH(E1686,ChName,0))</f>
        <v/>
      </c>
      <c r="K1686">
        <f>INDEX(ChRamp,MATCH(E1686,ChName,0))</f>
        <v/>
      </c>
      <c r="L1686" s="45">
        <f>MIN(1,MAX(0,(A1686-I1686+1)*RampSpeed/J1686))</f>
        <v/>
      </c>
      <c r="M1686" s="45">
        <f>IF(A1686&lt;I1686,0,IF(K1686="S-curve",L1686*L1686*(3-2*L1686),L1686))</f>
        <v/>
      </c>
      <c r="N1686" s="45">
        <f>1+(INDEX(SeasonIdx,A1686)-1)*SeasonAmp</f>
        <v/>
      </c>
      <c r="O1686" s="45">
        <f>IFERROR(INDEX(PSPct,MATCH(E1686&amp;"|"&amp;G1686,PSKey,0)),0)</f>
        <v/>
      </c>
      <c r="P1686" s="46">
        <f>INDEX(ChDoorVel,MATCH(E1686,ChName,0))*CalibScalar*(1+VelocityUplift)</f>
        <v/>
      </c>
      <c r="Q1686" s="46" t="n">
        <v>0</v>
      </c>
      <c r="R1686" s="46">
        <f>P1686*O1686*M1686*N1686*H1686</f>
        <v/>
      </c>
      <c r="S1686" s="46">
        <f>R1686*INDEX(FmtCansPerCase,MATCH(F1686,FmtName,0))</f>
        <v/>
      </c>
      <c r="T1686" s="46">
        <f>S1686/INDEX(FmtCansPerPack,MATCH(F1686,FmtName,0))</f>
        <v/>
      </c>
      <c r="U1686" s="47">
        <f>INDEX(ChBaseCP,MATCH(E1686,ChName,0))*(1+INDEX(ProvMod,MATCH(G1686,ProvCode,0)))*(1+PriceIndex)</f>
        <v/>
      </c>
      <c r="V1686" s="47">
        <f>R1686*U1686*INDEX(FmtBlendedPriceIdx,MATCH(F1686,FmtName,0))</f>
        <v/>
      </c>
      <c r="W1686" s="47">
        <f>T1686*INDEX(ProvSRP,MATCH(G1686,ProvCode,0))*(1+PriceIndex)</f>
        <v/>
      </c>
      <c r="X1686" s="47">
        <f>IF(GrossBasis="Wholesale",V1686,W1686)</f>
        <v/>
      </c>
      <c r="Y1686" s="47">
        <f>R1686*INDEX(FmtBlendedCogs,MATCH(F1686,FmtName,0))</f>
        <v/>
      </c>
      <c r="Z1686" s="47">
        <f>X1686-Y1686</f>
        <v/>
      </c>
    </row>
    <row r="1687">
      <c r="A1687" t="n">
        <v>43</v>
      </c>
      <c r="B1687" s="44">
        <f>FiscalStart+(A1687-1)*7</f>
        <v/>
      </c>
      <c r="C1687">
        <f>TEXT(B1687,"mmm yyyy")</f>
        <v/>
      </c>
      <c r="D1687">
        <f>"Q"&amp;(INT((A1687-1)/13)+1)</f>
        <v/>
      </c>
      <c r="E1687" t="inlineStr">
        <is>
          <t>Costco</t>
        </is>
      </c>
      <c r="F1687">
        <f>IFERROR(INDEX(ChFormat,MATCH(E1687,ChName,0)),"")</f>
        <v/>
      </c>
      <c r="G1687" t="inlineStr">
        <is>
          <t>AB</t>
        </is>
      </c>
      <c r="H1687">
        <f>IF(A1687&lt;=NWeeks,1,0)</f>
        <v/>
      </c>
      <c r="I1687">
        <f>INDEX(ChLaunch,MATCH(E1687,ChName,0))</f>
        <v/>
      </c>
      <c r="J1687">
        <f>INDEX(ChWeeksFull,MATCH(E1687,ChName,0))</f>
        <v/>
      </c>
      <c r="K1687">
        <f>INDEX(ChRamp,MATCH(E1687,ChName,0))</f>
        <v/>
      </c>
      <c r="L1687" s="45">
        <f>MIN(1,MAX(0,(A1687-I1687+1)*RampSpeed/J1687))</f>
        <v/>
      </c>
      <c r="M1687" s="45">
        <f>IF(A1687&lt;I1687,0,IF(K1687="S-curve",L1687*L1687*(3-2*L1687),L1687))</f>
        <v/>
      </c>
      <c r="N1687" s="45">
        <f>1+(INDEX(SeasonIdx,A1687)-1)*SeasonAmp</f>
        <v/>
      </c>
      <c r="O1687" s="45">
        <f>IFERROR(INDEX(PSPct,MATCH(E1687&amp;"|"&amp;G1687,PSKey,0)),0)</f>
        <v/>
      </c>
      <c r="P1687" s="46">
        <f>INDEX(ChDoorVel,MATCH(E1687,ChName,0))*CalibScalar*(1+VelocityUplift)</f>
        <v/>
      </c>
      <c r="Q1687" s="46" t="n">
        <v>0</v>
      </c>
      <c r="R1687" s="46">
        <f>P1687*O1687*M1687*N1687*H1687</f>
        <v/>
      </c>
      <c r="S1687" s="46">
        <f>R1687*INDEX(FmtCansPerCase,MATCH(F1687,FmtName,0))</f>
        <v/>
      </c>
      <c r="T1687" s="46">
        <f>S1687/INDEX(FmtCansPerPack,MATCH(F1687,FmtName,0))</f>
        <v/>
      </c>
      <c r="U1687" s="47">
        <f>INDEX(ChBaseCP,MATCH(E1687,ChName,0))*(1+INDEX(ProvMod,MATCH(G1687,ProvCode,0)))*(1+PriceIndex)</f>
        <v/>
      </c>
      <c r="V1687" s="47">
        <f>R1687*U1687*INDEX(FmtBlendedPriceIdx,MATCH(F1687,FmtName,0))</f>
        <v/>
      </c>
      <c r="W1687" s="47">
        <f>T1687*INDEX(ProvSRP,MATCH(G1687,ProvCode,0))*(1+PriceIndex)</f>
        <v/>
      </c>
      <c r="X1687" s="47">
        <f>IF(GrossBasis="Wholesale",V1687,W1687)</f>
        <v/>
      </c>
      <c r="Y1687" s="47">
        <f>R1687*INDEX(FmtBlendedCogs,MATCH(F1687,FmtName,0))</f>
        <v/>
      </c>
      <c r="Z1687" s="47">
        <f>X1687-Y1687</f>
        <v/>
      </c>
    </row>
    <row r="1688">
      <c r="A1688" t="n">
        <v>44</v>
      </c>
      <c r="B1688" s="44">
        <f>FiscalStart+(A1688-1)*7</f>
        <v/>
      </c>
      <c r="C1688">
        <f>TEXT(B1688,"mmm yyyy")</f>
        <v/>
      </c>
      <c r="D1688">
        <f>"Q"&amp;(INT((A1688-1)/13)+1)</f>
        <v/>
      </c>
      <c r="E1688" t="inlineStr">
        <is>
          <t>Costco</t>
        </is>
      </c>
      <c r="F1688">
        <f>IFERROR(INDEX(ChFormat,MATCH(E1688,ChName,0)),"")</f>
        <v/>
      </c>
      <c r="G1688" t="inlineStr">
        <is>
          <t>AB</t>
        </is>
      </c>
      <c r="H1688">
        <f>IF(A1688&lt;=NWeeks,1,0)</f>
        <v/>
      </c>
      <c r="I1688">
        <f>INDEX(ChLaunch,MATCH(E1688,ChName,0))</f>
        <v/>
      </c>
      <c r="J1688">
        <f>INDEX(ChWeeksFull,MATCH(E1688,ChName,0))</f>
        <v/>
      </c>
      <c r="K1688">
        <f>INDEX(ChRamp,MATCH(E1688,ChName,0))</f>
        <v/>
      </c>
      <c r="L1688" s="45">
        <f>MIN(1,MAX(0,(A1688-I1688+1)*RampSpeed/J1688))</f>
        <v/>
      </c>
      <c r="M1688" s="45">
        <f>IF(A1688&lt;I1688,0,IF(K1688="S-curve",L1688*L1688*(3-2*L1688),L1688))</f>
        <v/>
      </c>
      <c r="N1688" s="45">
        <f>1+(INDEX(SeasonIdx,A1688)-1)*SeasonAmp</f>
        <v/>
      </c>
      <c r="O1688" s="45">
        <f>IFERROR(INDEX(PSPct,MATCH(E1688&amp;"|"&amp;G1688,PSKey,0)),0)</f>
        <v/>
      </c>
      <c r="P1688" s="46">
        <f>INDEX(ChDoorVel,MATCH(E1688,ChName,0))*CalibScalar*(1+VelocityUplift)</f>
        <v/>
      </c>
      <c r="Q1688" s="46" t="n">
        <v>0</v>
      </c>
      <c r="R1688" s="46">
        <f>P1688*O1688*M1688*N1688*H1688</f>
        <v/>
      </c>
      <c r="S1688" s="46">
        <f>R1688*INDEX(FmtCansPerCase,MATCH(F1688,FmtName,0))</f>
        <v/>
      </c>
      <c r="T1688" s="46">
        <f>S1688/INDEX(FmtCansPerPack,MATCH(F1688,FmtName,0))</f>
        <v/>
      </c>
      <c r="U1688" s="47">
        <f>INDEX(ChBaseCP,MATCH(E1688,ChName,0))*(1+INDEX(ProvMod,MATCH(G1688,ProvCode,0)))*(1+PriceIndex)</f>
        <v/>
      </c>
      <c r="V1688" s="47">
        <f>R1688*U1688*INDEX(FmtBlendedPriceIdx,MATCH(F1688,FmtName,0))</f>
        <v/>
      </c>
      <c r="W1688" s="47">
        <f>T1688*INDEX(ProvSRP,MATCH(G1688,ProvCode,0))*(1+PriceIndex)</f>
        <v/>
      </c>
      <c r="X1688" s="47">
        <f>IF(GrossBasis="Wholesale",V1688,W1688)</f>
        <v/>
      </c>
      <c r="Y1688" s="47">
        <f>R1688*INDEX(FmtBlendedCogs,MATCH(F1688,FmtName,0))</f>
        <v/>
      </c>
      <c r="Z1688" s="47">
        <f>X1688-Y1688</f>
        <v/>
      </c>
    </row>
    <row r="1689">
      <c r="A1689" t="n">
        <v>45</v>
      </c>
      <c r="B1689" s="44">
        <f>FiscalStart+(A1689-1)*7</f>
        <v/>
      </c>
      <c r="C1689">
        <f>TEXT(B1689,"mmm yyyy")</f>
        <v/>
      </c>
      <c r="D1689">
        <f>"Q"&amp;(INT((A1689-1)/13)+1)</f>
        <v/>
      </c>
      <c r="E1689" t="inlineStr">
        <is>
          <t>Costco</t>
        </is>
      </c>
      <c r="F1689">
        <f>IFERROR(INDEX(ChFormat,MATCH(E1689,ChName,0)),"")</f>
        <v/>
      </c>
      <c r="G1689" t="inlineStr">
        <is>
          <t>AB</t>
        </is>
      </c>
      <c r="H1689">
        <f>IF(A1689&lt;=NWeeks,1,0)</f>
        <v/>
      </c>
      <c r="I1689">
        <f>INDEX(ChLaunch,MATCH(E1689,ChName,0))</f>
        <v/>
      </c>
      <c r="J1689">
        <f>INDEX(ChWeeksFull,MATCH(E1689,ChName,0))</f>
        <v/>
      </c>
      <c r="K1689">
        <f>INDEX(ChRamp,MATCH(E1689,ChName,0))</f>
        <v/>
      </c>
      <c r="L1689" s="45">
        <f>MIN(1,MAX(0,(A1689-I1689+1)*RampSpeed/J1689))</f>
        <v/>
      </c>
      <c r="M1689" s="45">
        <f>IF(A1689&lt;I1689,0,IF(K1689="S-curve",L1689*L1689*(3-2*L1689),L1689))</f>
        <v/>
      </c>
      <c r="N1689" s="45">
        <f>1+(INDEX(SeasonIdx,A1689)-1)*SeasonAmp</f>
        <v/>
      </c>
      <c r="O1689" s="45">
        <f>IFERROR(INDEX(PSPct,MATCH(E1689&amp;"|"&amp;G1689,PSKey,0)),0)</f>
        <v/>
      </c>
      <c r="P1689" s="46">
        <f>INDEX(ChDoorVel,MATCH(E1689,ChName,0))*CalibScalar*(1+VelocityUplift)</f>
        <v/>
      </c>
      <c r="Q1689" s="46" t="n">
        <v>0</v>
      </c>
      <c r="R1689" s="46">
        <f>P1689*O1689*M1689*N1689*H1689</f>
        <v/>
      </c>
      <c r="S1689" s="46">
        <f>R1689*INDEX(FmtCansPerCase,MATCH(F1689,FmtName,0))</f>
        <v/>
      </c>
      <c r="T1689" s="46">
        <f>S1689/INDEX(FmtCansPerPack,MATCH(F1689,FmtName,0))</f>
        <v/>
      </c>
      <c r="U1689" s="47">
        <f>INDEX(ChBaseCP,MATCH(E1689,ChName,0))*(1+INDEX(ProvMod,MATCH(G1689,ProvCode,0)))*(1+PriceIndex)</f>
        <v/>
      </c>
      <c r="V1689" s="47">
        <f>R1689*U1689*INDEX(FmtBlendedPriceIdx,MATCH(F1689,FmtName,0))</f>
        <v/>
      </c>
      <c r="W1689" s="47">
        <f>T1689*INDEX(ProvSRP,MATCH(G1689,ProvCode,0))*(1+PriceIndex)</f>
        <v/>
      </c>
      <c r="X1689" s="47">
        <f>IF(GrossBasis="Wholesale",V1689,W1689)</f>
        <v/>
      </c>
      <c r="Y1689" s="47">
        <f>R1689*INDEX(FmtBlendedCogs,MATCH(F1689,FmtName,0))</f>
        <v/>
      </c>
      <c r="Z1689" s="47">
        <f>X1689-Y1689</f>
        <v/>
      </c>
    </row>
    <row r="1690">
      <c r="A1690" t="n">
        <v>46</v>
      </c>
      <c r="B1690" s="44">
        <f>FiscalStart+(A1690-1)*7</f>
        <v/>
      </c>
      <c r="C1690">
        <f>TEXT(B1690,"mmm yyyy")</f>
        <v/>
      </c>
      <c r="D1690">
        <f>"Q"&amp;(INT((A1690-1)/13)+1)</f>
        <v/>
      </c>
      <c r="E1690" t="inlineStr">
        <is>
          <t>Costco</t>
        </is>
      </c>
      <c r="F1690">
        <f>IFERROR(INDEX(ChFormat,MATCH(E1690,ChName,0)),"")</f>
        <v/>
      </c>
      <c r="G1690" t="inlineStr">
        <is>
          <t>AB</t>
        </is>
      </c>
      <c r="H1690">
        <f>IF(A1690&lt;=NWeeks,1,0)</f>
        <v/>
      </c>
      <c r="I1690">
        <f>INDEX(ChLaunch,MATCH(E1690,ChName,0))</f>
        <v/>
      </c>
      <c r="J1690">
        <f>INDEX(ChWeeksFull,MATCH(E1690,ChName,0))</f>
        <v/>
      </c>
      <c r="K1690">
        <f>INDEX(ChRamp,MATCH(E1690,ChName,0))</f>
        <v/>
      </c>
      <c r="L1690" s="45">
        <f>MIN(1,MAX(0,(A1690-I1690+1)*RampSpeed/J1690))</f>
        <v/>
      </c>
      <c r="M1690" s="45">
        <f>IF(A1690&lt;I1690,0,IF(K1690="S-curve",L1690*L1690*(3-2*L1690),L1690))</f>
        <v/>
      </c>
      <c r="N1690" s="45">
        <f>1+(INDEX(SeasonIdx,A1690)-1)*SeasonAmp</f>
        <v/>
      </c>
      <c r="O1690" s="45">
        <f>IFERROR(INDEX(PSPct,MATCH(E1690&amp;"|"&amp;G1690,PSKey,0)),0)</f>
        <v/>
      </c>
      <c r="P1690" s="46">
        <f>INDEX(ChDoorVel,MATCH(E1690,ChName,0))*CalibScalar*(1+VelocityUplift)</f>
        <v/>
      </c>
      <c r="Q1690" s="46" t="n">
        <v>0</v>
      </c>
      <c r="R1690" s="46">
        <f>P1690*O1690*M1690*N1690*H1690</f>
        <v/>
      </c>
      <c r="S1690" s="46">
        <f>R1690*INDEX(FmtCansPerCase,MATCH(F1690,FmtName,0))</f>
        <v/>
      </c>
      <c r="T1690" s="46">
        <f>S1690/INDEX(FmtCansPerPack,MATCH(F1690,FmtName,0))</f>
        <v/>
      </c>
      <c r="U1690" s="47">
        <f>INDEX(ChBaseCP,MATCH(E1690,ChName,0))*(1+INDEX(ProvMod,MATCH(G1690,ProvCode,0)))*(1+PriceIndex)</f>
        <v/>
      </c>
      <c r="V1690" s="47">
        <f>R1690*U1690*INDEX(FmtBlendedPriceIdx,MATCH(F1690,FmtName,0))</f>
        <v/>
      </c>
      <c r="W1690" s="47">
        <f>T1690*INDEX(ProvSRP,MATCH(G1690,ProvCode,0))*(1+PriceIndex)</f>
        <v/>
      </c>
      <c r="X1690" s="47">
        <f>IF(GrossBasis="Wholesale",V1690,W1690)</f>
        <v/>
      </c>
      <c r="Y1690" s="47">
        <f>R1690*INDEX(FmtBlendedCogs,MATCH(F1690,FmtName,0))</f>
        <v/>
      </c>
      <c r="Z1690" s="47">
        <f>X1690-Y1690</f>
        <v/>
      </c>
    </row>
    <row r="1691">
      <c r="A1691" t="n">
        <v>47</v>
      </c>
      <c r="B1691" s="44">
        <f>FiscalStart+(A1691-1)*7</f>
        <v/>
      </c>
      <c r="C1691">
        <f>TEXT(B1691,"mmm yyyy")</f>
        <v/>
      </c>
      <c r="D1691">
        <f>"Q"&amp;(INT((A1691-1)/13)+1)</f>
        <v/>
      </c>
      <c r="E1691" t="inlineStr">
        <is>
          <t>Costco</t>
        </is>
      </c>
      <c r="F1691">
        <f>IFERROR(INDEX(ChFormat,MATCH(E1691,ChName,0)),"")</f>
        <v/>
      </c>
      <c r="G1691" t="inlineStr">
        <is>
          <t>AB</t>
        </is>
      </c>
      <c r="H1691">
        <f>IF(A1691&lt;=NWeeks,1,0)</f>
        <v/>
      </c>
      <c r="I1691">
        <f>INDEX(ChLaunch,MATCH(E1691,ChName,0))</f>
        <v/>
      </c>
      <c r="J1691">
        <f>INDEX(ChWeeksFull,MATCH(E1691,ChName,0))</f>
        <v/>
      </c>
      <c r="K1691">
        <f>INDEX(ChRamp,MATCH(E1691,ChName,0))</f>
        <v/>
      </c>
      <c r="L1691" s="45">
        <f>MIN(1,MAX(0,(A1691-I1691+1)*RampSpeed/J1691))</f>
        <v/>
      </c>
      <c r="M1691" s="45">
        <f>IF(A1691&lt;I1691,0,IF(K1691="S-curve",L1691*L1691*(3-2*L1691),L1691))</f>
        <v/>
      </c>
      <c r="N1691" s="45">
        <f>1+(INDEX(SeasonIdx,A1691)-1)*SeasonAmp</f>
        <v/>
      </c>
      <c r="O1691" s="45">
        <f>IFERROR(INDEX(PSPct,MATCH(E1691&amp;"|"&amp;G1691,PSKey,0)),0)</f>
        <v/>
      </c>
      <c r="P1691" s="46">
        <f>INDEX(ChDoorVel,MATCH(E1691,ChName,0))*CalibScalar*(1+VelocityUplift)</f>
        <v/>
      </c>
      <c r="Q1691" s="46" t="n">
        <v>0</v>
      </c>
      <c r="R1691" s="46">
        <f>P1691*O1691*M1691*N1691*H1691</f>
        <v/>
      </c>
      <c r="S1691" s="46">
        <f>R1691*INDEX(FmtCansPerCase,MATCH(F1691,FmtName,0))</f>
        <v/>
      </c>
      <c r="T1691" s="46">
        <f>S1691/INDEX(FmtCansPerPack,MATCH(F1691,FmtName,0))</f>
        <v/>
      </c>
      <c r="U1691" s="47">
        <f>INDEX(ChBaseCP,MATCH(E1691,ChName,0))*(1+INDEX(ProvMod,MATCH(G1691,ProvCode,0)))*(1+PriceIndex)</f>
        <v/>
      </c>
      <c r="V1691" s="47">
        <f>R1691*U1691*INDEX(FmtBlendedPriceIdx,MATCH(F1691,FmtName,0))</f>
        <v/>
      </c>
      <c r="W1691" s="47">
        <f>T1691*INDEX(ProvSRP,MATCH(G1691,ProvCode,0))*(1+PriceIndex)</f>
        <v/>
      </c>
      <c r="X1691" s="47">
        <f>IF(GrossBasis="Wholesale",V1691,W1691)</f>
        <v/>
      </c>
      <c r="Y1691" s="47">
        <f>R1691*INDEX(FmtBlendedCogs,MATCH(F1691,FmtName,0))</f>
        <v/>
      </c>
      <c r="Z1691" s="47">
        <f>X1691-Y1691</f>
        <v/>
      </c>
    </row>
    <row r="1692">
      <c r="A1692" t="n">
        <v>48</v>
      </c>
      <c r="B1692" s="44">
        <f>FiscalStart+(A1692-1)*7</f>
        <v/>
      </c>
      <c r="C1692">
        <f>TEXT(B1692,"mmm yyyy")</f>
        <v/>
      </c>
      <c r="D1692">
        <f>"Q"&amp;(INT((A1692-1)/13)+1)</f>
        <v/>
      </c>
      <c r="E1692" t="inlineStr">
        <is>
          <t>Costco</t>
        </is>
      </c>
      <c r="F1692">
        <f>IFERROR(INDEX(ChFormat,MATCH(E1692,ChName,0)),"")</f>
        <v/>
      </c>
      <c r="G1692" t="inlineStr">
        <is>
          <t>AB</t>
        </is>
      </c>
      <c r="H1692">
        <f>IF(A1692&lt;=NWeeks,1,0)</f>
        <v/>
      </c>
      <c r="I1692">
        <f>INDEX(ChLaunch,MATCH(E1692,ChName,0))</f>
        <v/>
      </c>
      <c r="J1692">
        <f>INDEX(ChWeeksFull,MATCH(E1692,ChName,0))</f>
        <v/>
      </c>
      <c r="K1692">
        <f>INDEX(ChRamp,MATCH(E1692,ChName,0))</f>
        <v/>
      </c>
      <c r="L1692" s="45">
        <f>MIN(1,MAX(0,(A1692-I1692+1)*RampSpeed/J1692))</f>
        <v/>
      </c>
      <c r="M1692" s="45">
        <f>IF(A1692&lt;I1692,0,IF(K1692="S-curve",L1692*L1692*(3-2*L1692),L1692))</f>
        <v/>
      </c>
      <c r="N1692" s="45">
        <f>1+(INDEX(SeasonIdx,A1692)-1)*SeasonAmp</f>
        <v/>
      </c>
      <c r="O1692" s="45">
        <f>IFERROR(INDEX(PSPct,MATCH(E1692&amp;"|"&amp;G1692,PSKey,0)),0)</f>
        <v/>
      </c>
      <c r="P1692" s="46">
        <f>INDEX(ChDoorVel,MATCH(E1692,ChName,0))*CalibScalar*(1+VelocityUplift)</f>
        <v/>
      </c>
      <c r="Q1692" s="46" t="n">
        <v>0</v>
      </c>
      <c r="R1692" s="46">
        <f>P1692*O1692*M1692*N1692*H1692</f>
        <v/>
      </c>
      <c r="S1692" s="46">
        <f>R1692*INDEX(FmtCansPerCase,MATCH(F1692,FmtName,0))</f>
        <v/>
      </c>
      <c r="T1692" s="46">
        <f>S1692/INDEX(FmtCansPerPack,MATCH(F1692,FmtName,0))</f>
        <v/>
      </c>
      <c r="U1692" s="47">
        <f>INDEX(ChBaseCP,MATCH(E1692,ChName,0))*(1+INDEX(ProvMod,MATCH(G1692,ProvCode,0)))*(1+PriceIndex)</f>
        <v/>
      </c>
      <c r="V1692" s="47">
        <f>R1692*U1692*INDEX(FmtBlendedPriceIdx,MATCH(F1692,FmtName,0))</f>
        <v/>
      </c>
      <c r="W1692" s="47">
        <f>T1692*INDEX(ProvSRP,MATCH(G1692,ProvCode,0))*(1+PriceIndex)</f>
        <v/>
      </c>
      <c r="X1692" s="47">
        <f>IF(GrossBasis="Wholesale",V1692,W1692)</f>
        <v/>
      </c>
      <c r="Y1692" s="47">
        <f>R1692*INDEX(FmtBlendedCogs,MATCH(F1692,FmtName,0))</f>
        <v/>
      </c>
      <c r="Z1692" s="47">
        <f>X1692-Y1692</f>
        <v/>
      </c>
    </row>
    <row r="1693">
      <c r="A1693" t="n">
        <v>49</v>
      </c>
      <c r="B1693" s="44">
        <f>FiscalStart+(A1693-1)*7</f>
        <v/>
      </c>
      <c r="C1693">
        <f>TEXT(B1693,"mmm yyyy")</f>
        <v/>
      </c>
      <c r="D1693">
        <f>"Q"&amp;(INT((A1693-1)/13)+1)</f>
        <v/>
      </c>
      <c r="E1693" t="inlineStr">
        <is>
          <t>Costco</t>
        </is>
      </c>
      <c r="F1693">
        <f>IFERROR(INDEX(ChFormat,MATCH(E1693,ChName,0)),"")</f>
        <v/>
      </c>
      <c r="G1693" t="inlineStr">
        <is>
          <t>AB</t>
        </is>
      </c>
      <c r="H1693">
        <f>IF(A1693&lt;=NWeeks,1,0)</f>
        <v/>
      </c>
      <c r="I1693">
        <f>INDEX(ChLaunch,MATCH(E1693,ChName,0))</f>
        <v/>
      </c>
      <c r="J1693">
        <f>INDEX(ChWeeksFull,MATCH(E1693,ChName,0))</f>
        <v/>
      </c>
      <c r="K1693">
        <f>INDEX(ChRamp,MATCH(E1693,ChName,0))</f>
        <v/>
      </c>
      <c r="L1693" s="45">
        <f>MIN(1,MAX(0,(A1693-I1693+1)*RampSpeed/J1693))</f>
        <v/>
      </c>
      <c r="M1693" s="45">
        <f>IF(A1693&lt;I1693,0,IF(K1693="S-curve",L1693*L1693*(3-2*L1693),L1693))</f>
        <v/>
      </c>
      <c r="N1693" s="45">
        <f>1+(INDEX(SeasonIdx,A1693)-1)*SeasonAmp</f>
        <v/>
      </c>
      <c r="O1693" s="45">
        <f>IFERROR(INDEX(PSPct,MATCH(E1693&amp;"|"&amp;G1693,PSKey,0)),0)</f>
        <v/>
      </c>
      <c r="P1693" s="46">
        <f>INDEX(ChDoorVel,MATCH(E1693,ChName,0))*CalibScalar*(1+VelocityUplift)</f>
        <v/>
      </c>
      <c r="Q1693" s="46" t="n">
        <v>0</v>
      </c>
      <c r="R1693" s="46">
        <f>P1693*O1693*M1693*N1693*H1693</f>
        <v/>
      </c>
      <c r="S1693" s="46">
        <f>R1693*INDEX(FmtCansPerCase,MATCH(F1693,FmtName,0))</f>
        <v/>
      </c>
      <c r="T1693" s="46">
        <f>S1693/INDEX(FmtCansPerPack,MATCH(F1693,FmtName,0))</f>
        <v/>
      </c>
      <c r="U1693" s="47">
        <f>INDEX(ChBaseCP,MATCH(E1693,ChName,0))*(1+INDEX(ProvMod,MATCH(G1693,ProvCode,0)))*(1+PriceIndex)</f>
        <v/>
      </c>
      <c r="V1693" s="47">
        <f>R1693*U1693*INDEX(FmtBlendedPriceIdx,MATCH(F1693,FmtName,0))</f>
        <v/>
      </c>
      <c r="W1693" s="47">
        <f>T1693*INDEX(ProvSRP,MATCH(G1693,ProvCode,0))*(1+PriceIndex)</f>
        <v/>
      </c>
      <c r="X1693" s="47">
        <f>IF(GrossBasis="Wholesale",V1693,W1693)</f>
        <v/>
      </c>
      <c r="Y1693" s="47">
        <f>R1693*INDEX(FmtBlendedCogs,MATCH(F1693,FmtName,0))</f>
        <v/>
      </c>
      <c r="Z1693" s="47">
        <f>X1693-Y1693</f>
        <v/>
      </c>
    </row>
    <row r="1694">
      <c r="A1694" t="n">
        <v>50</v>
      </c>
      <c r="B1694" s="44">
        <f>FiscalStart+(A1694-1)*7</f>
        <v/>
      </c>
      <c r="C1694">
        <f>TEXT(B1694,"mmm yyyy")</f>
        <v/>
      </c>
      <c r="D1694">
        <f>"Q"&amp;(INT((A1694-1)/13)+1)</f>
        <v/>
      </c>
      <c r="E1694" t="inlineStr">
        <is>
          <t>Costco</t>
        </is>
      </c>
      <c r="F1694">
        <f>IFERROR(INDEX(ChFormat,MATCH(E1694,ChName,0)),"")</f>
        <v/>
      </c>
      <c r="G1694" t="inlineStr">
        <is>
          <t>AB</t>
        </is>
      </c>
      <c r="H1694">
        <f>IF(A1694&lt;=NWeeks,1,0)</f>
        <v/>
      </c>
      <c r="I1694">
        <f>INDEX(ChLaunch,MATCH(E1694,ChName,0))</f>
        <v/>
      </c>
      <c r="J1694">
        <f>INDEX(ChWeeksFull,MATCH(E1694,ChName,0))</f>
        <v/>
      </c>
      <c r="K1694">
        <f>INDEX(ChRamp,MATCH(E1694,ChName,0))</f>
        <v/>
      </c>
      <c r="L1694" s="45">
        <f>MIN(1,MAX(0,(A1694-I1694+1)*RampSpeed/J1694))</f>
        <v/>
      </c>
      <c r="M1694" s="45">
        <f>IF(A1694&lt;I1694,0,IF(K1694="S-curve",L1694*L1694*(3-2*L1694),L1694))</f>
        <v/>
      </c>
      <c r="N1694" s="45">
        <f>1+(INDEX(SeasonIdx,A1694)-1)*SeasonAmp</f>
        <v/>
      </c>
      <c r="O1694" s="45">
        <f>IFERROR(INDEX(PSPct,MATCH(E1694&amp;"|"&amp;G1694,PSKey,0)),0)</f>
        <v/>
      </c>
      <c r="P1694" s="46">
        <f>INDEX(ChDoorVel,MATCH(E1694,ChName,0))*CalibScalar*(1+VelocityUplift)</f>
        <v/>
      </c>
      <c r="Q1694" s="46" t="n">
        <v>0</v>
      </c>
      <c r="R1694" s="46">
        <f>P1694*O1694*M1694*N1694*H1694</f>
        <v/>
      </c>
      <c r="S1694" s="46">
        <f>R1694*INDEX(FmtCansPerCase,MATCH(F1694,FmtName,0))</f>
        <v/>
      </c>
      <c r="T1694" s="46">
        <f>S1694/INDEX(FmtCansPerPack,MATCH(F1694,FmtName,0))</f>
        <v/>
      </c>
      <c r="U1694" s="47">
        <f>INDEX(ChBaseCP,MATCH(E1694,ChName,0))*(1+INDEX(ProvMod,MATCH(G1694,ProvCode,0)))*(1+PriceIndex)</f>
        <v/>
      </c>
      <c r="V1694" s="47">
        <f>R1694*U1694*INDEX(FmtBlendedPriceIdx,MATCH(F1694,FmtName,0))</f>
        <v/>
      </c>
      <c r="W1694" s="47">
        <f>T1694*INDEX(ProvSRP,MATCH(G1694,ProvCode,0))*(1+PriceIndex)</f>
        <v/>
      </c>
      <c r="X1694" s="47">
        <f>IF(GrossBasis="Wholesale",V1694,W1694)</f>
        <v/>
      </c>
      <c r="Y1694" s="47">
        <f>R1694*INDEX(FmtBlendedCogs,MATCH(F1694,FmtName,0))</f>
        <v/>
      </c>
      <c r="Z1694" s="47">
        <f>X1694-Y1694</f>
        <v/>
      </c>
    </row>
    <row r="1695">
      <c r="A1695" t="n">
        <v>51</v>
      </c>
      <c r="B1695" s="44">
        <f>FiscalStart+(A1695-1)*7</f>
        <v/>
      </c>
      <c r="C1695">
        <f>TEXT(B1695,"mmm yyyy")</f>
        <v/>
      </c>
      <c r="D1695">
        <f>"Q"&amp;(INT((A1695-1)/13)+1)</f>
        <v/>
      </c>
      <c r="E1695" t="inlineStr">
        <is>
          <t>Costco</t>
        </is>
      </c>
      <c r="F1695">
        <f>IFERROR(INDEX(ChFormat,MATCH(E1695,ChName,0)),"")</f>
        <v/>
      </c>
      <c r="G1695" t="inlineStr">
        <is>
          <t>AB</t>
        </is>
      </c>
      <c r="H1695">
        <f>IF(A1695&lt;=NWeeks,1,0)</f>
        <v/>
      </c>
      <c r="I1695">
        <f>INDEX(ChLaunch,MATCH(E1695,ChName,0))</f>
        <v/>
      </c>
      <c r="J1695">
        <f>INDEX(ChWeeksFull,MATCH(E1695,ChName,0))</f>
        <v/>
      </c>
      <c r="K1695">
        <f>INDEX(ChRamp,MATCH(E1695,ChName,0))</f>
        <v/>
      </c>
      <c r="L1695" s="45">
        <f>MIN(1,MAX(0,(A1695-I1695+1)*RampSpeed/J1695))</f>
        <v/>
      </c>
      <c r="M1695" s="45">
        <f>IF(A1695&lt;I1695,0,IF(K1695="S-curve",L1695*L1695*(3-2*L1695),L1695))</f>
        <v/>
      </c>
      <c r="N1695" s="45">
        <f>1+(INDEX(SeasonIdx,A1695)-1)*SeasonAmp</f>
        <v/>
      </c>
      <c r="O1695" s="45">
        <f>IFERROR(INDEX(PSPct,MATCH(E1695&amp;"|"&amp;G1695,PSKey,0)),0)</f>
        <v/>
      </c>
      <c r="P1695" s="46">
        <f>INDEX(ChDoorVel,MATCH(E1695,ChName,0))*CalibScalar*(1+VelocityUplift)</f>
        <v/>
      </c>
      <c r="Q1695" s="46" t="n">
        <v>0</v>
      </c>
      <c r="R1695" s="46">
        <f>P1695*O1695*M1695*N1695*H1695</f>
        <v/>
      </c>
      <c r="S1695" s="46">
        <f>R1695*INDEX(FmtCansPerCase,MATCH(F1695,FmtName,0))</f>
        <v/>
      </c>
      <c r="T1695" s="46">
        <f>S1695/INDEX(FmtCansPerPack,MATCH(F1695,FmtName,0))</f>
        <v/>
      </c>
      <c r="U1695" s="47">
        <f>INDEX(ChBaseCP,MATCH(E1695,ChName,0))*(1+INDEX(ProvMod,MATCH(G1695,ProvCode,0)))*(1+PriceIndex)</f>
        <v/>
      </c>
      <c r="V1695" s="47">
        <f>R1695*U1695*INDEX(FmtBlendedPriceIdx,MATCH(F1695,FmtName,0))</f>
        <v/>
      </c>
      <c r="W1695" s="47">
        <f>T1695*INDEX(ProvSRP,MATCH(G1695,ProvCode,0))*(1+PriceIndex)</f>
        <v/>
      </c>
      <c r="X1695" s="47">
        <f>IF(GrossBasis="Wholesale",V1695,W1695)</f>
        <v/>
      </c>
      <c r="Y1695" s="47">
        <f>R1695*INDEX(FmtBlendedCogs,MATCH(F1695,FmtName,0))</f>
        <v/>
      </c>
      <c r="Z1695" s="47">
        <f>X1695-Y1695</f>
        <v/>
      </c>
    </row>
    <row r="1696">
      <c r="A1696" t="n">
        <v>52</v>
      </c>
      <c r="B1696" s="44">
        <f>FiscalStart+(A1696-1)*7</f>
        <v/>
      </c>
      <c r="C1696">
        <f>TEXT(B1696,"mmm yyyy")</f>
        <v/>
      </c>
      <c r="D1696">
        <f>"Q"&amp;(INT((A1696-1)/13)+1)</f>
        <v/>
      </c>
      <c r="E1696" t="inlineStr">
        <is>
          <t>Costco</t>
        </is>
      </c>
      <c r="F1696">
        <f>IFERROR(INDEX(ChFormat,MATCH(E1696,ChName,0)),"")</f>
        <v/>
      </c>
      <c r="G1696" t="inlineStr">
        <is>
          <t>AB</t>
        </is>
      </c>
      <c r="H1696">
        <f>IF(A1696&lt;=NWeeks,1,0)</f>
        <v/>
      </c>
      <c r="I1696">
        <f>INDEX(ChLaunch,MATCH(E1696,ChName,0))</f>
        <v/>
      </c>
      <c r="J1696">
        <f>INDEX(ChWeeksFull,MATCH(E1696,ChName,0))</f>
        <v/>
      </c>
      <c r="K1696">
        <f>INDEX(ChRamp,MATCH(E1696,ChName,0))</f>
        <v/>
      </c>
      <c r="L1696" s="45">
        <f>MIN(1,MAX(0,(A1696-I1696+1)*RampSpeed/J1696))</f>
        <v/>
      </c>
      <c r="M1696" s="45">
        <f>IF(A1696&lt;I1696,0,IF(K1696="S-curve",L1696*L1696*(3-2*L1696),L1696))</f>
        <v/>
      </c>
      <c r="N1696" s="45">
        <f>1+(INDEX(SeasonIdx,A1696)-1)*SeasonAmp</f>
        <v/>
      </c>
      <c r="O1696" s="45">
        <f>IFERROR(INDEX(PSPct,MATCH(E1696&amp;"|"&amp;G1696,PSKey,0)),0)</f>
        <v/>
      </c>
      <c r="P1696" s="46">
        <f>INDEX(ChDoorVel,MATCH(E1696,ChName,0))*CalibScalar*(1+VelocityUplift)</f>
        <v/>
      </c>
      <c r="Q1696" s="46" t="n">
        <v>0</v>
      </c>
      <c r="R1696" s="46">
        <f>P1696*O1696*M1696*N1696*H1696</f>
        <v/>
      </c>
      <c r="S1696" s="46">
        <f>R1696*INDEX(FmtCansPerCase,MATCH(F1696,FmtName,0))</f>
        <v/>
      </c>
      <c r="T1696" s="46">
        <f>S1696/INDEX(FmtCansPerPack,MATCH(F1696,FmtName,0))</f>
        <v/>
      </c>
      <c r="U1696" s="47">
        <f>INDEX(ChBaseCP,MATCH(E1696,ChName,0))*(1+INDEX(ProvMod,MATCH(G1696,ProvCode,0)))*(1+PriceIndex)</f>
        <v/>
      </c>
      <c r="V1696" s="47">
        <f>R1696*U1696*INDEX(FmtBlendedPriceIdx,MATCH(F1696,FmtName,0))</f>
        <v/>
      </c>
      <c r="W1696" s="47">
        <f>T1696*INDEX(ProvSRP,MATCH(G1696,ProvCode,0))*(1+PriceIndex)</f>
        <v/>
      </c>
      <c r="X1696" s="47">
        <f>IF(GrossBasis="Wholesale",V1696,W1696)</f>
        <v/>
      </c>
      <c r="Y1696" s="47">
        <f>R1696*INDEX(FmtBlendedCogs,MATCH(F1696,FmtName,0))</f>
        <v/>
      </c>
      <c r="Z1696" s="47">
        <f>X1696-Y1696</f>
        <v/>
      </c>
    </row>
    <row r="1697">
      <c r="A1697" t="n">
        <v>53</v>
      </c>
      <c r="B1697" s="44">
        <f>FiscalStart+(A1697-1)*7</f>
        <v/>
      </c>
      <c r="C1697">
        <f>TEXT(B1697,"mmm yyyy")</f>
        <v/>
      </c>
      <c r="D1697">
        <f>"Q"&amp;(INT((A1697-1)/13)+1)</f>
        <v/>
      </c>
      <c r="E1697" t="inlineStr">
        <is>
          <t>Costco</t>
        </is>
      </c>
      <c r="F1697">
        <f>IFERROR(INDEX(ChFormat,MATCH(E1697,ChName,0)),"")</f>
        <v/>
      </c>
      <c r="G1697" t="inlineStr">
        <is>
          <t>AB</t>
        </is>
      </c>
      <c r="H1697">
        <f>IF(A1697&lt;=NWeeks,1,0)</f>
        <v/>
      </c>
      <c r="I1697">
        <f>INDEX(ChLaunch,MATCH(E1697,ChName,0))</f>
        <v/>
      </c>
      <c r="J1697">
        <f>INDEX(ChWeeksFull,MATCH(E1697,ChName,0))</f>
        <v/>
      </c>
      <c r="K1697">
        <f>INDEX(ChRamp,MATCH(E1697,ChName,0))</f>
        <v/>
      </c>
      <c r="L1697" s="45">
        <f>MIN(1,MAX(0,(A1697-I1697+1)*RampSpeed/J1697))</f>
        <v/>
      </c>
      <c r="M1697" s="45">
        <f>IF(A1697&lt;I1697,0,IF(K1697="S-curve",L1697*L1697*(3-2*L1697),L1697))</f>
        <v/>
      </c>
      <c r="N1697" s="45">
        <f>1+(INDEX(SeasonIdx,A1697)-1)*SeasonAmp</f>
        <v/>
      </c>
      <c r="O1697" s="45">
        <f>IFERROR(INDEX(PSPct,MATCH(E1697&amp;"|"&amp;G1697,PSKey,0)),0)</f>
        <v/>
      </c>
      <c r="P1697" s="46">
        <f>INDEX(ChDoorVel,MATCH(E1697,ChName,0))*CalibScalar*(1+VelocityUplift)</f>
        <v/>
      </c>
      <c r="Q1697" s="46" t="n">
        <v>0</v>
      </c>
      <c r="R1697" s="46">
        <f>P1697*O1697*M1697*N1697*H1697</f>
        <v/>
      </c>
      <c r="S1697" s="46">
        <f>R1697*INDEX(FmtCansPerCase,MATCH(F1697,FmtName,0))</f>
        <v/>
      </c>
      <c r="T1697" s="46">
        <f>S1697/INDEX(FmtCansPerPack,MATCH(F1697,FmtName,0))</f>
        <v/>
      </c>
      <c r="U1697" s="47">
        <f>INDEX(ChBaseCP,MATCH(E1697,ChName,0))*(1+INDEX(ProvMod,MATCH(G1697,ProvCode,0)))*(1+PriceIndex)</f>
        <v/>
      </c>
      <c r="V1697" s="47">
        <f>R1697*U1697*INDEX(FmtBlendedPriceIdx,MATCH(F1697,FmtName,0))</f>
        <v/>
      </c>
      <c r="W1697" s="47">
        <f>T1697*INDEX(ProvSRP,MATCH(G1697,ProvCode,0))*(1+PriceIndex)</f>
        <v/>
      </c>
      <c r="X1697" s="47">
        <f>IF(GrossBasis="Wholesale",V1697,W1697)</f>
        <v/>
      </c>
      <c r="Y1697" s="47">
        <f>R1697*INDEX(FmtBlendedCogs,MATCH(F1697,FmtName,0))</f>
        <v/>
      </c>
      <c r="Z1697" s="47">
        <f>X1697-Y1697</f>
        <v/>
      </c>
    </row>
    <row r="1698">
      <c r="A1698" t="n">
        <v>1</v>
      </c>
      <c r="B1698" s="44">
        <f>FiscalStart+(A1698-1)*7</f>
        <v/>
      </c>
      <c r="C1698">
        <f>TEXT(B1698,"mmm yyyy")</f>
        <v/>
      </c>
      <c r="D1698">
        <f>"Q"&amp;(INT((A1698-1)/13)+1)</f>
        <v/>
      </c>
      <c r="E1698" t="inlineStr">
        <is>
          <t>Costco</t>
        </is>
      </c>
      <c r="F1698">
        <f>IFERROR(INDEX(ChFormat,MATCH(E1698,ChName,0)),"")</f>
        <v/>
      </c>
      <c r="G1698" t="inlineStr">
        <is>
          <t>SK</t>
        </is>
      </c>
      <c r="H1698">
        <f>IF(A1698&lt;=NWeeks,1,0)</f>
        <v/>
      </c>
      <c r="I1698">
        <f>INDEX(ChLaunch,MATCH(E1698,ChName,0))</f>
        <v/>
      </c>
      <c r="J1698">
        <f>INDEX(ChWeeksFull,MATCH(E1698,ChName,0))</f>
        <v/>
      </c>
      <c r="K1698">
        <f>INDEX(ChRamp,MATCH(E1698,ChName,0))</f>
        <v/>
      </c>
      <c r="L1698" s="45">
        <f>MIN(1,MAX(0,(A1698-I1698+1)*RampSpeed/J1698))</f>
        <v/>
      </c>
      <c r="M1698" s="45">
        <f>IF(A1698&lt;I1698,0,IF(K1698="S-curve",L1698*L1698*(3-2*L1698),L1698))</f>
        <v/>
      </c>
      <c r="N1698" s="45">
        <f>1+(INDEX(SeasonIdx,A1698)-1)*SeasonAmp</f>
        <v/>
      </c>
      <c r="O1698" s="45">
        <f>IFERROR(INDEX(PSPct,MATCH(E1698&amp;"|"&amp;G1698,PSKey,0)),0)</f>
        <v/>
      </c>
      <c r="P1698" s="46">
        <f>INDEX(ChDoorVel,MATCH(E1698,ChName,0))*CalibScalar*(1+VelocityUplift)</f>
        <v/>
      </c>
      <c r="Q1698" s="46" t="n">
        <v>0</v>
      </c>
      <c r="R1698" s="46">
        <f>P1698*O1698*M1698*N1698*H1698</f>
        <v/>
      </c>
      <c r="S1698" s="46">
        <f>R1698*INDEX(FmtCansPerCase,MATCH(F1698,FmtName,0))</f>
        <v/>
      </c>
      <c r="T1698" s="46">
        <f>S1698/INDEX(FmtCansPerPack,MATCH(F1698,FmtName,0))</f>
        <v/>
      </c>
      <c r="U1698" s="47">
        <f>INDEX(ChBaseCP,MATCH(E1698,ChName,0))*(1+INDEX(ProvMod,MATCH(G1698,ProvCode,0)))*(1+PriceIndex)</f>
        <v/>
      </c>
      <c r="V1698" s="47">
        <f>R1698*U1698*INDEX(FmtBlendedPriceIdx,MATCH(F1698,FmtName,0))</f>
        <v/>
      </c>
      <c r="W1698" s="47">
        <f>T1698*INDEX(ProvSRP,MATCH(G1698,ProvCode,0))*(1+PriceIndex)</f>
        <v/>
      </c>
      <c r="X1698" s="47">
        <f>IF(GrossBasis="Wholesale",V1698,W1698)</f>
        <v/>
      </c>
      <c r="Y1698" s="47">
        <f>R1698*INDEX(FmtBlendedCogs,MATCH(F1698,FmtName,0))</f>
        <v/>
      </c>
      <c r="Z1698" s="47">
        <f>X1698-Y1698</f>
        <v/>
      </c>
    </row>
    <row r="1699">
      <c r="A1699" t="n">
        <v>2</v>
      </c>
      <c r="B1699" s="44">
        <f>FiscalStart+(A1699-1)*7</f>
        <v/>
      </c>
      <c r="C1699">
        <f>TEXT(B1699,"mmm yyyy")</f>
        <v/>
      </c>
      <c r="D1699">
        <f>"Q"&amp;(INT((A1699-1)/13)+1)</f>
        <v/>
      </c>
      <c r="E1699" t="inlineStr">
        <is>
          <t>Costco</t>
        </is>
      </c>
      <c r="F1699">
        <f>IFERROR(INDEX(ChFormat,MATCH(E1699,ChName,0)),"")</f>
        <v/>
      </c>
      <c r="G1699" t="inlineStr">
        <is>
          <t>SK</t>
        </is>
      </c>
      <c r="H1699">
        <f>IF(A1699&lt;=NWeeks,1,0)</f>
        <v/>
      </c>
      <c r="I1699">
        <f>INDEX(ChLaunch,MATCH(E1699,ChName,0))</f>
        <v/>
      </c>
      <c r="J1699">
        <f>INDEX(ChWeeksFull,MATCH(E1699,ChName,0))</f>
        <v/>
      </c>
      <c r="K1699">
        <f>INDEX(ChRamp,MATCH(E1699,ChName,0))</f>
        <v/>
      </c>
      <c r="L1699" s="45">
        <f>MIN(1,MAX(0,(A1699-I1699+1)*RampSpeed/J1699))</f>
        <v/>
      </c>
      <c r="M1699" s="45">
        <f>IF(A1699&lt;I1699,0,IF(K1699="S-curve",L1699*L1699*(3-2*L1699),L1699))</f>
        <v/>
      </c>
      <c r="N1699" s="45">
        <f>1+(INDEX(SeasonIdx,A1699)-1)*SeasonAmp</f>
        <v/>
      </c>
      <c r="O1699" s="45">
        <f>IFERROR(INDEX(PSPct,MATCH(E1699&amp;"|"&amp;G1699,PSKey,0)),0)</f>
        <v/>
      </c>
      <c r="P1699" s="46">
        <f>INDEX(ChDoorVel,MATCH(E1699,ChName,0))*CalibScalar*(1+VelocityUplift)</f>
        <v/>
      </c>
      <c r="Q1699" s="46" t="n">
        <v>0</v>
      </c>
      <c r="R1699" s="46">
        <f>P1699*O1699*M1699*N1699*H1699</f>
        <v/>
      </c>
      <c r="S1699" s="46">
        <f>R1699*INDEX(FmtCansPerCase,MATCH(F1699,FmtName,0))</f>
        <v/>
      </c>
      <c r="T1699" s="46">
        <f>S1699/INDEX(FmtCansPerPack,MATCH(F1699,FmtName,0))</f>
        <v/>
      </c>
      <c r="U1699" s="47">
        <f>INDEX(ChBaseCP,MATCH(E1699,ChName,0))*(1+INDEX(ProvMod,MATCH(G1699,ProvCode,0)))*(1+PriceIndex)</f>
        <v/>
      </c>
      <c r="V1699" s="47">
        <f>R1699*U1699*INDEX(FmtBlendedPriceIdx,MATCH(F1699,FmtName,0))</f>
        <v/>
      </c>
      <c r="W1699" s="47">
        <f>T1699*INDEX(ProvSRP,MATCH(G1699,ProvCode,0))*(1+PriceIndex)</f>
        <v/>
      </c>
      <c r="X1699" s="47">
        <f>IF(GrossBasis="Wholesale",V1699,W1699)</f>
        <v/>
      </c>
      <c r="Y1699" s="47">
        <f>R1699*INDEX(FmtBlendedCogs,MATCH(F1699,FmtName,0))</f>
        <v/>
      </c>
      <c r="Z1699" s="47">
        <f>X1699-Y1699</f>
        <v/>
      </c>
    </row>
    <row r="1700">
      <c r="A1700" t="n">
        <v>3</v>
      </c>
      <c r="B1700" s="44">
        <f>FiscalStart+(A1700-1)*7</f>
        <v/>
      </c>
      <c r="C1700">
        <f>TEXT(B1700,"mmm yyyy")</f>
        <v/>
      </c>
      <c r="D1700">
        <f>"Q"&amp;(INT((A1700-1)/13)+1)</f>
        <v/>
      </c>
      <c r="E1700" t="inlineStr">
        <is>
          <t>Costco</t>
        </is>
      </c>
      <c r="F1700">
        <f>IFERROR(INDEX(ChFormat,MATCH(E1700,ChName,0)),"")</f>
        <v/>
      </c>
      <c r="G1700" t="inlineStr">
        <is>
          <t>SK</t>
        </is>
      </c>
      <c r="H1700">
        <f>IF(A1700&lt;=NWeeks,1,0)</f>
        <v/>
      </c>
      <c r="I1700">
        <f>INDEX(ChLaunch,MATCH(E1700,ChName,0))</f>
        <v/>
      </c>
      <c r="J1700">
        <f>INDEX(ChWeeksFull,MATCH(E1700,ChName,0))</f>
        <v/>
      </c>
      <c r="K1700">
        <f>INDEX(ChRamp,MATCH(E1700,ChName,0))</f>
        <v/>
      </c>
      <c r="L1700" s="45">
        <f>MIN(1,MAX(0,(A1700-I1700+1)*RampSpeed/J1700))</f>
        <v/>
      </c>
      <c r="M1700" s="45">
        <f>IF(A1700&lt;I1700,0,IF(K1700="S-curve",L1700*L1700*(3-2*L1700),L1700))</f>
        <v/>
      </c>
      <c r="N1700" s="45">
        <f>1+(INDEX(SeasonIdx,A1700)-1)*SeasonAmp</f>
        <v/>
      </c>
      <c r="O1700" s="45">
        <f>IFERROR(INDEX(PSPct,MATCH(E1700&amp;"|"&amp;G1700,PSKey,0)),0)</f>
        <v/>
      </c>
      <c r="P1700" s="46">
        <f>INDEX(ChDoorVel,MATCH(E1700,ChName,0))*CalibScalar*(1+VelocityUplift)</f>
        <v/>
      </c>
      <c r="Q1700" s="46" t="n">
        <v>0</v>
      </c>
      <c r="R1700" s="46">
        <f>P1700*O1700*M1700*N1700*H1700</f>
        <v/>
      </c>
      <c r="S1700" s="46">
        <f>R1700*INDEX(FmtCansPerCase,MATCH(F1700,FmtName,0))</f>
        <v/>
      </c>
      <c r="T1700" s="46">
        <f>S1700/INDEX(FmtCansPerPack,MATCH(F1700,FmtName,0))</f>
        <v/>
      </c>
      <c r="U1700" s="47">
        <f>INDEX(ChBaseCP,MATCH(E1700,ChName,0))*(1+INDEX(ProvMod,MATCH(G1700,ProvCode,0)))*(1+PriceIndex)</f>
        <v/>
      </c>
      <c r="V1700" s="47">
        <f>R1700*U1700*INDEX(FmtBlendedPriceIdx,MATCH(F1700,FmtName,0))</f>
        <v/>
      </c>
      <c r="W1700" s="47">
        <f>T1700*INDEX(ProvSRP,MATCH(G1700,ProvCode,0))*(1+PriceIndex)</f>
        <v/>
      </c>
      <c r="X1700" s="47">
        <f>IF(GrossBasis="Wholesale",V1700,W1700)</f>
        <v/>
      </c>
      <c r="Y1700" s="47">
        <f>R1700*INDEX(FmtBlendedCogs,MATCH(F1700,FmtName,0))</f>
        <v/>
      </c>
      <c r="Z1700" s="47">
        <f>X1700-Y1700</f>
        <v/>
      </c>
    </row>
    <row r="1701">
      <c r="A1701" t="n">
        <v>4</v>
      </c>
      <c r="B1701" s="44">
        <f>FiscalStart+(A1701-1)*7</f>
        <v/>
      </c>
      <c r="C1701">
        <f>TEXT(B1701,"mmm yyyy")</f>
        <v/>
      </c>
      <c r="D1701">
        <f>"Q"&amp;(INT((A1701-1)/13)+1)</f>
        <v/>
      </c>
      <c r="E1701" t="inlineStr">
        <is>
          <t>Costco</t>
        </is>
      </c>
      <c r="F1701">
        <f>IFERROR(INDEX(ChFormat,MATCH(E1701,ChName,0)),"")</f>
        <v/>
      </c>
      <c r="G1701" t="inlineStr">
        <is>
          <t>SK</t>
        </is>
      </c>
      <c r="H1701">
        <f>IF(A1701&lt;=NWeeks,1,0)</f>
        <v/>
      </c>
      <c r="I1701">
        <f>INDEX(ChLaunch,MATCH(E1701,ChName,0))</f>
        <v/>
      </c>
      <c r="J1701">
        <f>INDEX(ChWeeksFull,MATCH(E1701,ChName,0))</f>
        <v/>
      </c>
      <c r="K1701">
        <f>INDEX(ChRamp,MATCH(E1701,ChName,0))</f>
        <v/>
      </c>
      <c r="L1701" s="45">
        <f>MIN(1,MAX(0,(A1701-I1701+1)*RampSpeed/J1701))</f>
        <v/>
      </c>
      <c r="M1701" s="45">
        <f>IF(A1701&lt;I1701,0,IF(K1701="S-curve",L1701*L1701*(3-2*L1701),L1701))</f>
        <v/>
      </c>
      <c r="N1701" s="45">
        <f>1+(INDEX(SeasonIdx,A1701)-1)*SeasonAmp</f>
        <v/>
      </c>
      <c r="O1701" s="45">
        <f>IFERROR(INDEX(PSPct,MATCH(E1701&amp;"|"&amp;G1701,PSKey,0)),0)</f>
        <v/>
      </c>
      <c r="P1701" s="46">
        <f>INDEX(ChDoorVel,MATCH(E1701,ChName,0))*CalibScalar*(1+VelocityUplift)</f>
        <v/>
      </c>
      <c r="Q1701" s="46" t="n">
        <v>0</v>
      </c>
      <c r="R1701" s="46">
        <f>P1701*O1701*M1701*N1701*H1701</f>
        <v/>
      </c>
      <c r="S1701" s="46">
        <f>R1701*INDEX(FmtCansPerCase,MATCH(F1701,FmtName,0))</f>
        <v/>
      </c>
      <c r="T1701" s="46">
        <f>S1701/INDEX(FmtCansPerPack,MATCH(F1701,FmtName,0))</f>
        <v/>
      </c>
      <c r="U1701" s="47">
        <f>INDEX(ChBaseCP,MATCH(E1701,ChName,0))*(1+INDEX(ProvMod,MATCH(G1701,ProvCode,0)))*(1+PriceIndex)</f>
        <v/>
      </c>
      <c r="V1701" s="47">
        <f>R1701*U1701*INDEX(FmtBlendedPriceIdx,MATCH(F1701,FmtName,0))</f>
        <v/>
      </c>
      <c r="W1701" s="47">
        <f>T1701*INDEX(ProvSRP,MATCH(G1701,ProvCode,0))*(1+PriceIndex)</f>
        <v/>
      </c>
      <c r="X1701" s="47">
        <f>IF(GrossBasis="Wholesale",V1701,W1701)</f>
        <v/>
      </c>
      <c r="Y1701" s="47">
        <f>R1701*INDEX(FmtBlendedCogs,MATCH(F1701,FmtName,0))</f>
        <v/>
      </c>
      <c r="Z1701" s="47">
        <f>X1701-Y1701</f>
        <v/>
      </c>
    </row>
    <row r="1702">
      <c r="A1702" t="n">
        <v>5</v>
      </c>
      <c r="B1702" s="44">
        <f>FiscalStart+(A1702-1)*7</f>
        <v/>
      </c>
      <c r="C1702">
        <f>TEXT(B1702,"mmm yyyy")</f>
        <v/>
      </c>
      <c r="D1702">
        <f>"Q"&amp;(INT((A1702-1)/13)+1)</f>
        <v/>
      </c>
      <c r="E1702" t="inlineStr">
        <is>
          <t>Costco</t>
        </is>
      </c>
      <c r="F1702">
        <f>IFERROR(INDEX(ChFormat,MATCH(E1702,ChName,0)),"")</f>
        <v/>
      </c>
      <c r="G1702" t="inlineStr">
        <is>
          <t>SK</t>
        </is>
      </c>
      <c r="H1702">
        <f>IF(A1702&lt;=NWeeks,1,0)</f>
        <v/>
      </c>
      <c r="I1702">
        <f>INDEX(ChLaunch,MATCH(E1702,ChName,0))</f>
        <v/>
      </c>
      <c r="J1702">
        <f>INDEX(ChWeeksFull,MATCH(E1702,ChName,0))</f>
        <v/>
      </c>
      <c r="K1702">
        <f>INDEX(ChRamp,MATCH(E1702,ChName,0))</f>
        <v/>
      </c>
      <c r="L1702" s="45">
        <f>MIN(1,MAX(0,(A1702-I1702+1)*RampSpeed/J1702))</f>
        <v/>
      </c>
      <c r="M1702" s="45">
        <f>IF(A1702&lt;I1702,0,IF(K1702="S-curve",L1702*L1702*(3-2*L1702),L1702))</f>
        <v/>
      </c>
      <c r="N1702" s="45">
        <f>1+(INDEX(SeasonIdx,A1702)-1)*SeasonAmp</f>
        <v/>
      </c>
      <c r="O1702" s="45">
        <f>IFERROR(INDEX(PSPct,MATCH(E1702&amp;"|"&amp;G1702,PSKey,0)),0)</f>
        <v/>
      </c>
      <c r="P1702" s="46">
        <f>INDEX(ChDoorVel,MATCH(E1702,ChName,0))*CalibScalar*(1+VelocityUplift)</f>
        <v/>
      </c>
      <c r="Q1702" s="46" t="n">
        <v>0</v>
      </c>
      <c r="R1702" s="46">
        <f>P1702*O1702*M1702*N1702*H1702</f>
        <v/>
      </c>
      <c r="S1702" s="46">
        <f>R1702*INDEX(FmtCansPerCase,MATCH(F1702,FmtName,0))</f>
        <v/>
      </c>
      <c r="T1702" s="46">
        <f>S1702/INDEX(FmtCansPerPack,MATCH(F1702,FmtName,0))</f>
        <v/>
      </c>
      <c r="U1702" s="47">
        <f>INDEX(ChBaseCP,MATCH(E1702,ChName,0))*(1+INDEX(ProvMod,MATCH(G1702,ProvCode,0)))*(1+PriceIndex)</f>
        <v/>
      </c>
      <c r="V1702" s="47">
        <f>R1702*U1702*INDEX(FmtBlendedPriceIdx,MATCH(F1702,FmtName,0))</f>
        <v/>
      </c>
      <c r="W1702" s="47">
        <f>T1702*INDEX(ProvSRP,MATCH(G1702,ProvCode,0))*(1+PriceIndex)</f>
        <v/>
      </c>
      <c r="X1702" s="47">
        <f>IF(GrossBasis="Wholesale",V1702,W1702)</f>
        <v/>
      </c>
      <c r="Y1702" s="47">
        <f>R1702*INDEX(FmtBlendedCogs,MATCH(F1702,FmtName,0))</f>
        <v/>
      </c>
      <c r="Z1702" s="47">
        <f>X1702-Y1702</f>
        <v/>
      </c>
    </row>
    <row r="1703">
      <c r="A1703" t="n">
        <v>6</v>
      </c>
      <c r="B1703" s="44">
        <f>FiscalStart+(A1703-1)*7</f>
        <v/>
      </c>
      <c r="C1703">
        <f>TEXT(B1703,"mmm yyyy")</f>
        <v/>
      </c>
      <c r="D1703">
        <f>"Q"&amp;(INT((A1703-1)/13)+1)</f>
        <v/>
      </c>
      <c r="E1703" t="inlineStr">
        <is>
          <t>Costco</t>
        </is>
      </c>
      <c r="F1703">
        <f>IFERROR(INDEX(ChFormat,MATCH(E1703,ChName,0)),"")</f>
        <v/>
      </c>
      <c r="G1703" t="inlineStr">
        <is>
          <t>SK</t>
        </is>
      </c>
      <c r="H1703">
        <f>IF(A1703&lt;=NWeeks,1,0)</f>
        <v/>
      </c>
      <c r="I1703">
        <f>INDEX(ChLaunch,MATCH(E1703,ChName,0))</f>
        <v/>
      </c>
      <c r="J1703">
        <f>INDEX(ChWeeksFull,MATCH(E1703,ChName,0))</f>
        <v/>
      </c>
      <c r="K1703">
        <f>INDEX(ChRamp,MATCH(E1703,ChName,0))</f>
        <v/>
      </c>
      <c r="L1703" s="45">
        <f>MIN(1,MAX(0,(A1703-I1703+1)*RampSpeed/J1703))</f>
        <v/>
      </c>
      <c r="M1703" s="45">
        <f>IF(A1703&lt;I1703,0,IF(K1703="S-curve",L1703*L1703*(3-2*L1703),L1703))</f>
        <v/>
      </c>
      <c r="N1703" s="45">
        <f>1+(INDEX(SeasonIdx,A1703)-1)*SeasonAmp</f>
        <v/>
      </c>
      <c r="O1703" s="45">
        <f>IFERROR(INDEX(PSPct,MATCH(E1703&amp;"|"&amp;G1703,PSKey,0)),0)</f>
        <v/>
      </c>
      <c r="P1703" s="46">
        <f>INDEX(ChDoorVel,MATCH(E1703,ChName,0))*CalibScalar*(1+VelocityUplift)</f>
        <v/>
      </c>
      <c r="Q1703" s="46" t="n">
        <v>0</v>
      </c>
      <c r="R1703" s="46">
        <f>P1703*O1703*M1703*N1703*H1703</f>
        <v/>
      </c>
      <c r="S1703" s="46">
        <f>R1703*INDEX(FmtCansPerCase,MATCH(F1703,FmtName,0))</f>
        <v/>
      </c>
      <c r="T1703" s="46">
        <f>S1703/INDEX(FmtCansPerPack,MATCH(F1703,FmtName,0))</f>
        <v/>
      </c>
      <c r="U1703" s="47">
        <f>INDEX(ChBaseCP,MATCH(E1703,ChName,0))*(1+INDEX(ProvMod,MATCH(G1703,ProvCode,0)))*(1+PriceIndex)</f>
        <v/>
      </c>
      <c r="V1703" s="47">
        <f>R1703*U1703*INDEX(FmtBlendedPriceIdx,MATCH(F1703,FmtName,0))</f>
        <v/>
      </c>
      <c r="W1703" s="47">
        <f>T1703*INDEX(ProvSRP,MATCH(G1703,ProvCode,0))*(1+PriceIndex)</f>
        <v/>
      </c>
      <c r="X1703" s="47">
        <f>IF(GrossBasis="Wholesale",V1703,W1703)</f>
        <v/>
      </c>
      <c r="Y1703" s="47">
        <f>R1703*INDEX(FmtBlendedCogs,MATCH(F1703,FmtName,0))</f>
        <v/>
      </c>
      <c r="Z1703" s="47">
        <f>X1703-Y1703</f>
        <v/>
      </c>
    </row>
    <row r="1704">
      <c r="A1704" t="n">
        <v>7</v>
      </c>
      <c r="B1704" s="44">
        <f>FiscalStart+(A1704-1)*7</f>
        <v/>
      </c>
      <c r="C1704">
        <f>TEXT(B1704,"mmm yyyy")</f>
        <v/>
      </c>
      <c r="D1704">
        <f>"Q"&amp;(INT((A1704-1)/13)+1)</f>
        <v/>
      </c>
      <c r="E1704" t="inlineStr">
        <is>
          <t>Costco</t>
        </is>
      </c>
      <c r="F1704">
        <f>IFERROR(INDEX(ChFormat,MATCH(E1704,ChName,0)),"")</f>
        <v/>
      </c>
      <c r="G1704" t="inlineStr">
        <is>
          <t>SK</t>
        </is>
      </c>
      <c r="H1704">
        <f>IF(A1704&lt;=NWeeks,1,0)</f>
        <v/>
      </c>
      <c r="I1704">
        <f>INDEX(ChLaunch,MATCH(E1704,ChName,0))</f>
        <v/>
      </c>
      <c r="J1704">
        <f>INDEX(ChWeeksFull,MATCH(E1704,ChName,0))</f>
        <v/>
      </c>
      <c r="K1704">
        <f>INDEX(ChRamp,MATCH(E1704,ChName,0))</f>
        <v/>
      </c>
      <c r="L1704" s="45">
        <f>MIN(1,MAX(0,(A1704-I1704+1)*RampSpeed/J1704))</f>
        <v/>
      </c>
      <c r="M1704" s="45">
        <f>IF(A1704&lt;I1704,0,IF(K1704="S-curve",L1704*L1704*(3-2*L1704),L1704))</f>
        <v/>
      </c>
      <c r="N1704" s="45">
        <f>1+(INDEX(SeasonIdx,A1704)-1)*SeasonAmp</f>
        <v/>
      </c>
      <c r="O1704" s="45">
        <f>IFERROR(INDEX(PSPct,MATCH(E1704&amp;"|"&amp;G1704,PSKey,0)),0)</f>
        <v/>
      </c>
      <c r="P1704" s="46">
        <f>INDEX(ChDoorVel,MATCH(E1704,ChName,0))*CalibScalar*(1+VelocityUplift)</f>
        <v/>
      </c>
      <c r="Q1704" s="46" t="n">
        <v>0</v>
      </c>
      <c r="R1704" s="46">
        <f>P1704*O1704*M1704*N1704*H1704</f>
        <v/>
      </c>
      <c r="S1704" s="46">
        <f>R1704*INDEX(FmtCansPerCase,MATCH(F1704,FmtName,0))</f>
        <v/>
      </c>
      <c r="T1704" s="46">
        <f>S1704/INDEX(FmtCansPerPack,MATCH(F1704,FmtName,0))</f>
        <v/>
      </c>
      <c r="U1704" s="47">
        <f>INDEX(ChBaseCP,MATCH(E1704,ChName,0))*(1+INDEX(ProvMod,MATCH(G1704,ProvCode,0)))*(1+PriceIndex)</f>
        <v/>
      </c>
      <c r="V1704" s="47">
        <f>R1704*U1704*INDEX(FmtBlendedPriceIdx,MATCH(F1704,FmtName,0))</f>
        <v/>
      </c>
      <c r="W1704" s="47">
        <f>T1704*INDEX(ProvSRP,MATCH(G1704,ProvCode,0))*(1+PriceIndex)</f>
        <v/>
      </c>
      <c r="X1704" s="47">
        <f>IF(GrossBasis="Wholesale",V1704,W1704)</f>
        <v/>
      </c>
      <c r="Y1704" s="47">
        <f>R1704*INDEX(FmtBlendedCogs,MATCH(F1704,FmtName,0))</f>
        <v/>
      </c>
      <c r="Z1704" s="47">
        <f>X1704-Y1704</f>
        <v/>
      </c>
    </row>
    <row r="1705">
      <c r="A1705" t="n">
        <v>8</v>
      </c>
      <c r="B1705" s="44">
        <f>FiscalStart+(A1705-1)*7</f>
        <v/>
      </c>
      <c r="C1705">
        <f>TEXT(B1705,"mmm yyyy")</f>
        <v/>
      </c>
      <c r="D1705">
        <f>"Q"&amp;(INT((A1705-1)/13)+1)</f>
        <v/>
      </c>
      <c r="E1705" t="inlineStr">
        <is>
          <t>Costco</t>
        </is>
      </c>
      <c r="F1705">
        <f>IFERROR(INDEX(ChFormat,MATCH(E1705,ChName,0)),"")</f>
        <v/>
      </c>
      <c r="G1705" t="inlineStr">
        <is>
          <t>SK</t>
        </is>
      </c>
      <c r="H1705">
        <f>IF(A1705&lt;=NWeeks,1,0)</f>
        <v/>
      </c>
      <c r="I1705">
        <f>INDEX(ChLaunch,MATCH(E1705,ChName,0))</f>
        <v/>
      </c>
      <c r="J1705">
        <f>INDEX(ChWeeksFull,MATCH(E1705,ChName,0))</f>
        <v/>
      </c>
      <c r="K1705">
        <f>INDEX(ChRamp,MATCH(E1705,ChName,0))</f>
        <v/>
      </c>
      <c r="L1705" s="45">
        <f>MIN(1,MAX(0,(A1705-I1705+1)*RampSpeed/J1705))</f>
        <v/>
      </c>
      <c r="M1705" s="45">
        <f>IF(A1705&lt;I1705,0,IF(K1705="S-curve",L1705*L1705*(3-2*L1705),L1705))</f>
        <v/>
      </c>
      <c r="N1705" s="45">
        <f>1+(INDEX(SeasonIdx,A1705)-1)*SeasonAmp</f>
        <v/>
      </c>
      <c r="O1705" s="45">
        <f>IFERROR(INDEX(PSPct,MATCH(E1705&amp;"|"&amp;G1705,PSKey,0)),0)</f>
        <v/>
      </c>
      <c r="P1705" s="46">
        <f>INDEX(ChDoorVel,MATCH(E1705,ChName,0))*CalibScalar*(1+VelocityUplift)</f>
        <v/>
      </c>
      <c r="Q1705" s="46" t="n">
        <v>0</v>
      </c>
      <c r="R1705" s="46">
        <f>P1705*O1705*M1705*N1705*H1705</f>
        <v/>
      </c>
      <c r="S1705" s="46">
        <f>R1705*INDEX(FmtCansPerCase,MATCH(F1705,FmtName,0))</f>
        <v/>
      </c>
      <c r="T1705" s="46">
        <f>S1705/INDEX(FmtCansPerPack,MATCH(F1705,FmtName,0))</f>
        <v/>
      </c>
      <c r="U1705" s="47">
        <f>INDEX(ChBaseCP,MATCH(E1705,ChName,0))*(1+INDEX(ProvMod,MATCH(G1705,ProvCode,0)))*(1+PriceIndex)</f>
        <v/>
      </c>
      <c r="V1705" s="47">
        <f>R1705*U1705*INDEX(FmtBlendedPriceIdx,MATCH(F1705,FmtName,0))</f>
        <v/>
      </c>
      <c r="W1705" s="47">
        <f>T1705*INDEX(ProvSRP,MATCH(G1705,ProvCode,0))*(1+PriceIndex)</f>
        <v/>
      </c>
      <c r="X1705" s="47">
        <f>IF(GrossBasis="Wholesale",V1705,W1705)</f>
        <v/>
      </c>
      <c r="Y1705" s="47">
        <f>R1705*INDEX(FmtBlendedCogs,MATCH(F1705,FmtName,0))</f>
        <v/>
      </c>
      <c r="Z1705" s="47">
        <f>X1705-Y1705</f>
        <v/>
      </c>
    </row>
    <row r="1706">
      <c r="A1706" t="n">
        <v>9</v>
      </c>
      <c r="B1706" s="44">
        <f>FiscalStart+(A1706-1)*7</f>
        <v/>
      </c>
      <c r="C1706">
        <f>TEXT(B1706,"mmm yyyy")</f>
        <v/>
      </c>
      <c r="D1706">
        <f>"Q"&amp;(INT((A1706-1)/13)+1)</f>
        <v/>
      </c>
      <c r="E1706" t="inlineStr">
        <is>
          <t>Costco</t>
        </is>
      </c>
      <c r="F1706">
        <f>IFERROR(INDEX(ChFormat,MATCH(E1706,ChName,0)),"")</f>
        <v/>
      </c>
      <c r="G1706" t="inlineStr">
        <is>
          <t>SK</t>
        </is>
      </c>
      <c r="H1706">
        <f>IF(A1706&lt;=NWeeks,1,0)</f>
        <v/>
      </c>
      <c r="I1706">
        <f>INDEX(ChLaunch,MATCH(E1706,ChName,0))</f>
        <v/>
      </c>
      <c r="J1706">
        <f>INDEX(ChWeeksFull,MATCH(E1706,ChName,0))</f>
        <v/>
      </c>
      <c r="K1706">
        <f>INDEX(ChRamp,MATCH(E1706,ChName,0))</f>
        <v/>
      </c>
      <c r="L1706" s="45">
        <f>MIN(1,MAX(0,(A1706-I1706+1)*RampSpeed/J1706))</f>
        <v/>
      </c>
      <c r="M1706" s="45">
        <f>IF(A1706&lt;I1706,0,IF(K1706="S-curve",L1706*L1706*(3-2*L1706),L1706))</f>
        <v/>
      </c>
      <c r="N1706" s="45">
        <f>1+(INDEX(SeasonIdx,A1706)-1)*SeasonAmp</f>
        <v/>
      </c>
      <c r="O1706" s="45">
        <f>IFERROR(INDEX(PSPct,MATCH(E1706&amp;"|"&amp;G1706,PSKey,0)),0)</f>
        <v/>
      </c>
      <c r="P1706" s="46">
        <f>INDEX(ChDoorVel,MATCH(E1706,ChName,0))*CalibScalar*(1+VelocityUplift)</f>
        <v/>
      </c>
      <c r="Q1706" s="46" t="n">
        <v>0</v>
      </c>
      <c r="R1706" s="46">
        <f>P1706*O1706*M1706*N1706*H1706</f>
        <v/>
      </c>
      <c r="S1706" s="46">
        <f>R1706*INDEX(FmtCansPerCase,MATCH(F1706,FmtName,0))</f>
        <v/>
      </c>
      <c r="T1706" s="46">
        <f>S1706/INDEX(FmtCansPerPack,MATCH(F1706,FmtName,0))</f>
        <v/>
      </c>
      <c r="U1706" s="47">
        <f>INDEX(ChBaseCP,MATCH(E1706,ChName,0))*(1+INDEX(ProvMod,MATCH(G1706,ProvCode,0)))*(1+PriceIndex)</f>
        <v/>
      </c>
      <c r="V1706" s="47">
        <f>R1706*U1706*INDEX(FmtBlendedPriceIdx,MATCH(F1706,FmtName,0))</f>
        <v/>
      </c>
      <c r="W1706" s="47">
        <f>T1706*INDEX(ProvSRP,MATCH(G1706,ProvCode,0))*(1+PriceIndex)</f>
        <v/>
      </c>
      <c r="X1706" s="47">
        <f>IF(GrossBasis="Wholesale",V1706,W1706)</f>
        <v/>
      </c>
      <c r="Y1706" s="47">
        <f>R1706*INDEX(FmtBlendedCogs,MATCH(F1706,FmtName,0))</f>
        <v/>
      </c>
      <c r="Z1706" s="47">
        <f>X1706-Y1706</f>
        <v/>
      </c>
    </row>
    <row r="1707">
      <c r="A1707" t="n">
        <v>10</v>
      </c>
      <c r="B1707" s="44">
        <f>FiscalStart+(A1707-1)*7</f>
        <v/>
      </c>
      <c r="C1707">
        <f>TEXT(B1707,"mmm yyyy")</f>
        <v/>
      </c>
      <c r="D1707">
        <f>"Q"&amp;(INT((A1707-1)/13)+1)</f>
        <v/>
      </c>
      <c r="E1707" t="inlineStr">
        <is>
          <t>Costco</t>
        </is>
      </c>
      <c r="F1707">
        <f>IFERROR(INDEX(ChFormat,MATCH(E1707,ChName,0)),"")</f>
        <v/>
      </c>
      <c r="G1707" t="inlineStr">
        <is>
          <t>SK</t>
        </is>
      </c>
      <c r="H1707">
        <f>IF(A1707&lt;=NWeeks,1,0)</f>
        <v/>
      </c>
      <c r="I1707">
        <f>INDEX(ChLaunch,MATCH(E1707,ChName,0))</f>
        <v/>
      </c>
      <c r="J1707">
        <f>INDEX(ChWeeksFull,MATCH(E1707,ChName,0))</f>
        <v/>
      </c>
      <c r="K1707">
        <f>INDEX(ChRamp,MATCH(E1707,ChName,0))</f>
        <v/>
      </c>
      <c r="L1707" s="45">
        <f>MIN(1,MAX(0,(A1707-I1707+1)*RampSpeed/J1707))</f>
        <v/>
      </c>
      <c r="M1707" s="45">
        <f>IF(A1707&lt;I1707,0,IF(K1707="S-curve",L1707*L1707*(3-2*L1707),L1707))</f>
        <v/>
      </c>
      <c r="N1707" s="45">
        <f>1+(INDEX(SeasonIdx,A1707)-1)*SeasonAmp</f>
        <v/>
      </c>
      <c r="O1707" s="45">
        <f>IFERROR(INDEX(PSPct,MATCH(E1707&amp;"|"&amp;G1707,PSKey,0)),0)</f>
        <v/>
      </c>
      <c r="P1707" s="46">
        <f>INDEX(ChDoorVel,MATCH(E1707,ChName,0))*CalibScalar*(1+VelocityUplift)</f>
        <v/>
      </c>
      <c r="Q1707" s="46" t="n">
        <v>0</v>
      </c>
      <c r="R1707" s="46">
        <f>P1707*O1707*M1707*N1707*H1707</f>
        <v/>
      </c>
      <c r="S1707" s="46">
        <f>R1707*INDEX(FmtCansPerCase,MATCH(F1707,FmtName,0))</f>
        <v/>
      </c>
      <c r="T1707" s="46">
        <f>S1707/INDEX(FmtCansPerPack,MATCH(F1707,FmtName,0))</f>
        <v/>
      </c>
      <c r="U1707" s="47">
        <f>INDEX(ChBaseCP,MATCH(E1707,ChName,0))*(1+INDEX(ProvMod,MATCH(G1707,ProvCode,0)))*(1+PriceIndex)</f>
        <v/>
      </c>
      <c r="V1707" s="47">
        <f>R1707*U1707*INDEX(FmtBlendedPriceIdx,MATCH(F1707,FmtName,0))</f>
        <v/>
      </c>
      <c r="W1707" s="47">
        <f>T1707*INDEX(ProvSRP,MATCH(G1707,ProvCode,0))*(1+PriceIndex)</f>
        <v/>
      </c>
      <c r="X1707" s="47">
        <f>IF(GrossBasis="Wholesale",V1707,W1707)</f>
        <v/>
      </c>
      <c r="Y1707" s="47">
        <f>R1707*INDEX(FmtBlendedCogs,MATCH(F1707,FmtName,0))</f>
        <v/>
      </c>
      <c r="Z1707" s="47">
        <f>X1707-Y1707</f>
        <v/>
      </c>
    </row>
    <row r="1708">
      <c r="A1708" t="n">
        <v>11</v>
      </c>
      <c r="B1708" s="44">
        <f>FiscalStart+(A1708-1)*7</f>
        <v/>
      </c>
      <c r="C1708">
        <f>TEXT(B1708,"mmm yyyy")</f>
        <v/>
      </c>
      <c r="D1708">
        <f>"Q"&amp;(INT((A1708-1)/13)+1)</f>
        <v/>
      </c>
      <c r="E1708" t="inlineStr">
        <is>
          <t>Costco</t>
        </is>
      </c>
      <c r="F1708">
        <f>IFERROR(INDEX(ChFormat,MATCH(E1708,ChName,0)),"")</f>
        <v/>
      </c>
      <c r="G1708" t="inlineStr">
        <is>
          <t>SK</t>
        </is>
      </c>
      <c r="H1708">
        <f>IF(A1708&lt;=NWeeks,1,0)</f>
        <v/>
      </c>
      <c r="I1708">
        <f>INDEX(ChLaunch,MATCH(E1708,ChName,0))</f>
        <v/>
      </c>
      <c r="J1708">
        <f>INDEX(ChWeeksFull,MATCH(E1708,ChName,0))</f>
        <v/>
      </c>
      <c r="K1708">
        <f>INDEX(ChRamp,MATCH(E1708,ChName,0))</f>
        <v/>
      </c>
      <c r="L1708" s="45">
        <f>MIN(1,MAX(0,(A1708-I1708+1)*RampSpeed/J1708))</f>
        <v/>
      </c>
      <c r="M1708" s="45">
        <f>IF(A1708&lt;I1708,0,IF(K1708="S-curve",L1708*L1708*(3-2*L1708),L1708))</f>
        <v/>
      </c>
      <c r="N1708" s="45">
        <f>1+(INDEX(SeasonIdx,A1708)-1)*SeasonAmp</f>
        <v/>
      </c>
      <c r="O1708" s="45">
        <f>IFERROR(INDEX(PSPct,MATCH(E1708&amp;"|"&amp;G1708,PSKey,0)),0)</f>
        <v/>
      </c>
      <c r="P1708" s="46">
        <f>INDEX(ChDoorVel,MATCH(E1708,ChName,0))*CalibScalar*(1+VelocityUplift)</f>
        <v/>
      </c>
      <c r="Q1708" s="46" t="n">
        <v>0</v>
      </c>
      <c r="R1708" s="46">
        <f>P1708*O1708*M1708*N1708*H1708</f>
        <v/>
      </c>
      <c r="S1708" s="46">
        <f>R1708*INDEX(FmtCansPerCase,MATCH(F1708,FmtName,0))</f>
        <v/>
      </c>
      <c r="T1708" s="46">
        <f>S1708/INDEX(FmtCansPerPack,MATCH(F1708,FmtName,0))</f>
        <v/>
      </c>
      <c r="U1708" s="47">
        <f>INDEX(ChBaseCP,MATCH(E1708,ChName,0))*(1+INDEX(ProvMod,MATCH(G1708,ProvCode,0)))*(1+PriceIndex)</f>
        <v/>
      </c>
      <c r="V1708" s="47">
        <f>R1708*U1708*INDEX(FmtBlendedPriceIdx,MATCH(F1708,FmtName,0))</f>
        <v/>
      </c>
      <c r="W1708" s="47">
        <f>T1708*INDEX(ProvSRP,MATCH(G1708,ProvCode,0))*(1+PriceIndex)</f>
        <v/>
      </c>
      <c r="X1708" s="47">
        <f>IF(GrossBasis="Wholesale",V1708,W1708)</f>
        <v/>
      </c>
      <c r="Y1708" s="47">
        <f>R1708*INDEX(FmtBlendedCogs,MATCH(F1708,FmtName,0))</f>
        <v/>
      </c>
      <c r="Z1708" s="47">
        <f>X1708-Y1708</f>
        <v/>
      </c>
    </row>
    <row r="1709">
      <c r="A1709" t="n">
        <v>12</v>
      </c>
      <c r="B1709" s="44">
        <f>FiscalStart+(A1709-1)*7</f>
        <v/>
      </c>
      <c r="C1709">
        <f>TEXT(B1709,"mmm yyyy")</f>
        <v/>
      </c>
      <c r="D1709">
        <f>"Q"&amp;(INT((A1709-1)/13)+1)</f>
        <v/>
      </c>
      <c r="E1709" t="inlineStr">
        <is>
          <t>Costco</t>
        </is>
      </c>
      <c r="F1709">
        <f>IFERROR(INDEX(ChFormat,MATCH(E1709,ChName,0)),"")</f>
        <v/>
      </c>
      <c r="G1709" t="inlineStr">
        <is>
          <t>SK</t>
        </is>
      </c>
      <c r="H1709">
        <f>IF(A1709&lt;=NWeeks,1,0)</f>
        <v/>
      </c>
      <c r="I1709">
        <f>INDEX(ChLaunch,MATCH(E1709,ChName,0))</f>
        <v/>
      </c>
      <c r="J1709">
        <f>INDEX(ChWeeksFull,MATCH(E1709,ChName,0))</f>
        <v/>
      </c>
      <c r="K1709">
        <f>INDEX(ChRamp,MATCH(E1709,ChName,0))</f>
        <v/>
      </c>
      <c r="L1709" s="45">
        <f>MIN(1,MAX(0,(A1709-I1709+1)*RampSpeed/J1709))</f>
        <v/>
      </c>
      <c r="M1709" s="45">
        <f>IF(A1709&lt;I1709,0,IF(K1709="S-curve",L1709*L1709*(3-2*L1709),L1709))</f>
        <v/>
      </c>
      <c r="N1709" s="45">
        <f>1+(INDEX(SeasonIdx,A1709)-1)*SeasonAmp</f>
        <v/>
      </c>
      <c r="O1709" s="45">
        <f>IFERROR(INDEX(PSPct,MATCH(E1709&amp;"|"&amp;G1709,PSKey,0)),0)</f>
        <v/>
      </c>
      <c r="P1709" s="46">
        <f>INDEX(ChDoorVel,MATCH(E1709,ChName,0))*CalibScalar*(1+VelocityUplift)</f>
        <v/>
      </c>
      <c r="Q1709" s="46" t="n">
        <v>0</v>
      </c>
      <c r="R1709" s="46">
        <f>P1709*O1709*M1709*N1709*H1709</f>
        <v/>
      </c>
      <c r="S1709" s="46">
        <f>R1709*INDEX(FmtCansPerCase,MATCH(F1709,FmtName,0))</f>
        <v/>
      </c>
      <c r="T1709" s="46">
        <f>S1709/INDEX(FmtCansPerPack,MATCH(F1709,FmtName,0))</f>
        <v/>
      </c>
      <c r="U1709" s="47">
        <f>INDEX(ChBaseCP,MATCH(E1709,ChName,0))*(1+INDEX(ProvMod,MATCH(G1709,ProvCode,0)))*(1+PriceIndex)</f>
        <v/>
      </c>
      <c r="V1709" s="47">
        <f>R1709*U1709*INDEX(FmtBlendedPriceIdx,MATCH(F1709,FmtName,0))</f>
        <v/>
      </c>
      <c r="W1709" s="47">
        <f>T1709*INDEX(ProvSRP,MATCH(G1709,ProvCode,0))*(1+PriceIndex)</f>
        <v/>
      </c>
      <c r="X1709" s="47">
        <f>IF(GrossBasis="Wholesale",V1709,W1709)</f>
        <v/>
      </c>
      <c r="Y1709" s="47">
        <f>R1709*INDEX(FmtBlendedCogs,MATCH(F1709,FmtName,0))</f>
        <v/>
      </c>
      <c r="Z1709" s="47">
        <f>X1709-Y1709</f>
        <v/>
      </c>
    </row>
    <row r="1710">
      <c r="A1710" t="n">
        <v>13</v>
      </c>
      <c r="B1710" s="44">
        <f>FiscalStart+(A1710-1)*7</f>
        <v/>
      </c>
      <c r="C1710">
        <f>TEXT(B1710,"mmm yyyy")</f>
        <v/>
      </c>
      <c r="D1710">
        <f>"Q"&amp;(INT((A1710-1)/13)+1)</f>
        <v/>
      </c>
      <c r="E1710" t="inlineStr">
        <is>
          <t>Costco</t>
        </is>
      </c>
      <c r="F1710">
        <f>IFERROR(INDEX(ChFormat,MATCH(E1710,ChName,0)),"")</f>
        <v/>
      </c>
      <c r="G1710" t="inlineStr">
        <is>
          <t>SK</t>
        </is>
      </c>
      <c r="H1710">
        <f>IF(A1710&lt;=NWeeks,1,0)</f>
        <v/>
      </c>
      <c r="I1710">
        <f>INDEX(ChLaunch,MATCH(E1710,ChName,0))</f>
        <v/>
      </c>
      <c r="J1710">
        <f>INDEX(ChWeeksFull,MATCH(E1710,ChName,0))</f>
        <v/>
      </c>
      <c r="K1710">
        <f>INDEX(ChRamp,MATCH(E1710,ChName,0))</f>
        <v/>
      </c>
      <c r="L1710" s="45">
        <f>MIN(1,MAX(0,(A1710-I1710+1)*RampSpeed/J1710))</f>
        <v/>
      </c>
      <c r="M1710" s="45">
        <f>IF(A1710&lt;I1710,0,IF(K1710="S-curve",L1710*L1710*(3-2*L1710),L1710))</f>
        <v/>
      </c>
      <c r="N1710" s="45">
        <f>1+(INDEX(SeasonIdx,A1710)-1)*SeasonAmp</f>
        <v/>
      </c>
      <c r="O1710" s="45">
        <f>IFERROR(INDEX(PSPct,MATCH(E1710&amp;"|"&amp;G1710,PSKey,0)),0)</f>
        <v/>
      </c>
      <c r="P1710" s="46">
        <f>INDEX(ChDoorVel,MATCH(E1710,ChName,0))*CalibScalar*(1+VelocityUplift)</f>
        <v/>
      </c>
      <c r="Q1710" s="46" t="n">
        <v>0</v>
      </c>
      <c r="R1710" s="46">
        <f>P1710*O1710*M1710*N1710*H1710</f>
        <v/>
      </c>
      <c r="S1710" s="46">
        <f>R1710*INDEX(FmtCansPerCase,MATCH(F1710,FmtName,0))</f>
        <v/>
      </c>
      <c r="T1710" s="46">
        <f>S1710/INDEX(FmtCansPerPack,MATCH(F1710,FmtName,0))</f>
        <v/>
      </c>
      <c r="U1710" s="47">
        <f>INDEX(ChBaseCP,MATCH(E1710,ChName,0))*(1+INDEX(ProvMod,MATCH(G1710,ProvCode,0)))*(1+PriceIndex)</f>
        <v/>
      </c>
      <c r="V1710" s="47">
        <f>R1710*U1710*INDEX(FmtBlendedPriceIdx,MATCH(F1710,FmtName,0))</f>
        <v/>
      </c>
      <c r="W1710" s="47">
        <f>T1710*INDEX(ProvSRP,MATCH(G1710,ProvCode,0))*(1+PriceIndex)</f>
        <v/>
      </c>
      <c r="X1710" s="47">
        <f>IF(GrossBasis="Wholesale",V1710,W1710)</f>
        <v/>
      </c>
      <c r="Y1710" s="47">
        <f>R1710*INDEX(FmtBlendedCogs,MATCH(F1710,FmtName,0))</f>
        <v/>
      </c>
      <c r="Z1710" s="47">
        <f>X1710-Y1710</f>
        <v/>
      </c>
    </row>
    <row r="1711">
      <c r="A1711" t="n">
        <v>14</v>
      </c>
      <c r="B1711" s="44">
        <f>FiscalStart+(A1711-1)*7</f>
        <v/>
      </c>
      <c r="C1711">
        <f>TEXT(B1711,"mmm yyyy")</f>
        <v/>
      </c>
      <c r="D1711">
        <f>"Q"&amp;(INT((A1711-1)/13)+1)</f>
        <v/>
      </c>
      <c r="E1711" t="inlineStr">
        <is>
          <t>Costco</t>
        </is>
      </c>
      <c r="F1711">
        <f>IFERROR(INDEX(ChFormat,MATCH(E1711,ChName,0)),"")</f>
        <v/>
      </c>
      <c r="G1711" t="inlineStr">
        <is>
          <t>SK</t>
        </is>
      </c>
      <c r="H1711">
        <f>IF(A1711&lt;=NWeeks,1,0)</f>
        <v/>
      </c>
      <c r="I1711">
        <f>INDEX(ChLaunch,MATCH(E1711,ChName,0))</f>
        <v/>
      </c>
      <c r="J1711">
        <f>INDEX(ChWeeksFull,MATCH(E1711,ChName,0))</f>
        <v/>
      </c>
      <c r="K1711">
        <f>INDEX(ChRamp,MATCH(E1711,ChName,0))</f>
        <v/>
      </c>
      <c r="L1711" s="45">
        <f>MIN(1,MAX(0,(A1711-I1711+1)*RampSpeed/J1711))</f>
        <v/>
      </c>
      <c r="M1711" s="45">
        <f>IF(A1711&lt;I1711,0,IF(K1711="S-curve",L1711*L1711*(3-2*L1711),L1711))</f>
        <v/>
      </c>
      <c r="N1711" s="45">
        <f>1+(INDEX(SeasonIdx,A1711)-1)*SeasonAmp</f>
        <v/>
      </c>
      <c r="O1711" s="45">
        <f>IFERROR(INDEX(PSPct,MATCH(E1711&amp;"|"&amp;G1711,PSKey,0)),0)</f>
        <v/>
      </c>
      <c r="P1711" s="46">
        <f>INDEX(ChDoorVel,MATCH(E1711,ChName,0))*CalibScalar*(1+VelocityUplift)</f>
        <v/>
      </c>
      <c r="Q1711" s="46" t="n">
        <v>0</v>
      </c>
      <c r="R1711" s="46">
        <f>P1711*O1711*M1711*N1711*H1711</f>
        <v/>
      </c>
      <c r="S1711" s="46">
        <f>R1711*INDEX(FmtCansPerCase,MATCH(F1711,FmtName,0))</f>
        <v/>
      </c>
      <c r="T1711" s="46">
        <f>S1711/INDEX(FmtCansPerPack,MATCH(F1711,FmtName,0))</f>
        <v/>
      </c>
      <c r="U1711" s="47">
        <f>INDEX(ChBaseCP,MATCH(E1711,ChName,0))*(1+INDEX(ProvMod,MATCH(G1711,ProvCode,0)))*(1+PriceIndex)</f>
        <v/>
      </c>
      <c r="V1711" s="47">
        <f>R1711*U1711*INDEX(FmtBlendedPriceIdx,MATCH(F1711,FmtName,0))</f>
        <v/>
      </c>
      <c r="W1711" s="47">
        <f>T1711*INDEX(ProvSRP,MATCH(G1711,ProvCode,0))*(1+PriceIndex)</f>
        <v/>
      </c>
      <c r="X1711" s="47">
        <f>IF(GrossBasis="Wholesale",V1711,W1711)</f>
        <v/>
      </c>
      <c r="Y1711" s="47">
        <f>R1711*INDEX(FmtBlendedCogs,MATCH(F1711,FmtName,0))</f>
        <v/>
      </c>
      <c r="Z1711" s="47">
        <f>X1711-Y1711</f>
        <v/>
      </c>
    </row>
    <row r="1712">
      <c r="A1712" t="n">
        <v>15</v>
      </c>
      <c r="B1712" s="44">
        <f>FiscalStart+(A1712-1)*7</f>
        <v/>
      </c>
      <c r="C1712">
        <f>TEXT(B1712,"mmm yyyy")</f>
        <v/>
      </c>
      <c r="D1712">
        <f>"Q"&amp;(INT((A1712-1)/13)+1)</f>
        <v/>
      </c>
      <c r="E1712" t="inlineStr">
        <is>
          <t>Costco</t>
        </is>
      </c>
      <c r="F1712">
        <f>IFERROR(INDEX(ChFormat,MATCH(E1712,ChName,0)),"")</f>
        <v/>
      </c>
      <c r="G1712" t="inlineStr">
        <is>
          <t>SK</t>
        </is>
      </c>
      <c r="H1712">
        <f>IF(A1712&lt;=NWeeks,1,0)</f>
        <v/>
      </c>
      <c r="I1712">
        <f>INDEX(ChLaunch,MATCH(E1712,ChName,0))</f>
        <v/>
      </c>
      <c r="J1712">
        <f>INDEX(ChWeeksFull,MATCH(E1712,ChName,0))</f>
        <v/>
      </c>
      <c r="K1712">
        <f>INDEX(ChRamp,MATCH(E1712,ChName,0))</f>
        <v/>
      </c>
      <c r="L1712" s="45">
        <f>MIN(1,MAX(0,(A1712-I1712+1)*RampSpeed/J1712))</f>
        <v/>
      </c>
      <c r="M1712" s="45">
        <f>IF(A1712&lt;I1712,0,IF(K1712="S-curve",L1712*L1712*(3-2*L1712),L1712))</f>
        <v/>
      </c>
      <c r="N1712" s="45">
        <f>1+(INDEX(SeasonIdx,A1712)-1)*SeasonAmp</f>
        <v/>
      </c>
      <c r="O1712" s="45">
        <f>IFERROR(INDEX(PSPct,MATCH(E1712&amp;"|"&amp;G1712,PSKey,0)),0)</f>
        <v/>
      </c>
      <c r="P1712" s="46">
        <f>INDEX(ChDoorVel,MATCH(E1712,ChName,0))*CalibScalar*(1+VelocityUplift)</f>
        <v/>
      </c>
      <c r="Q1712" s="46" t="n">
        <v>0</v>
      </c>
      <c r="R1712" s="46">
        <f>P1712*O1712*M1712*N1712*H1712</f>
        <v/>
      </c>
      <c r="S1712" s="46">
        <f>R1712*INDEX(FmtCansPerCase,MATCH(F1712,FmtName,0))</f>
        <v/>
      </c>
      <c r="T1712" s="46">
        <f>S1712/INDEX(FmtCansPerPack,MATCH(F1712,FmtName,0))</f>
        <v/>
      </c>
      <c r="U1712" s="47">
        <f>INDEX(ChBaseCP,MATCH(E1712,ChName,0))*(1+INDEX(ProvMod,MATCH(G1712,ProvCode,0)))*(1+PriceIndex)</f>
        <v/>
      </c>
      <c r="V1712" s="47">
        <f>R1712*U1712*INDEX(FmtBlendedPriceIdx,MATCH(F1712,FmtName,0))</f>
        <v/>
      </c>
      <c r="W1712" s="47">
        <f>T1712*INDEX(ProvSRP,MATCH(G1712,ProvCode,0))*(1+PriceIndex)</f>
        <v/>
      </c>
      <c r="X1712" s="47">
        <f>IF(GrossBasis="Wholesale",V1712,W1712)</f>
        <v/>
      </c>
      <c r="Y1712" s="47">
        <f>R1712*INDEX(FmtBlendedCogs,MATCH(F1712,FmtName,0))</f>
        <v/>
      </c>
      <c r="Z1712" s="47">
        <f>X1712-Y1712</f>
        <v/>
      </c>
    </row>
    <row r="1713">
      <c r="A1713" t="n">
        <v>16</v>
      </c>
      <c r="B1713" s="44">
        <f>FiscalStart+(A1713-1)*7</f>
        <v/>
      </c>
      <c r="C1713">
        <f>TEXT(B1713,"mmm yyyy")</f>
        <v/>
      </c>
      <c r="D1713">
        <f>"Q"&amp;(INT((A1713-1)/13)+1)</f>
        <v/>
      </c>
      <c r="E1713" t="inlineStr">
        <is>
          <t>Costco</t>
        </is>
      </c>
      <c r="F1713">
        <f>IFERROR(INDEX(ChFormat,MATCH(E1713,ChName,0)),"")</f>
        <v/>
      </c>
      <c r="G1713" t="inlineStr">
        <is>
          <t>SK</t>
        </is>
      </c>
      <c r="H1713">
        <f>IF(A1713&lt;=NWeeks,1,0)</f>
        <v/>
      </c>
      <c r="I1713">
        <f>INDEX(ChLaunch,MATCH(E1713,ChName,0))</f>
        <v/>
      </c>
      <c r="J1713">
        <f>INDEX(ChWeeksFull,MATCH(E1713,ChName,0))</f>
        <v/>
      </c>
      <c r="K1713">
        <f>INDEX(ChRamp,MATCH(E1713,ChName,0))</f>
        <v/>
      </c>
      <c r="L1713" s="45">
        <f>MIN(1,MAX(0,(A1713-I1713+1)*RampSpeed/J1713))</f>
        <v/>
      </c>
      <c r="M1713" s="45">
        <f>IF(A1713&lt;I1713,0,IF(K1713="S-curve",L1713*L1713*(3-2*L1713),L1713))</f>
        <v/>
      </c>
      <c r="N1713" s="45">
        <f>1+(INDEX(SeasonIdx,A1713)-1)*SeasonAmp</f>
        <v/>
      </c>
      <c r="O1713" s="45">
        <f>IFERROR(INDEX(PSPct,MATCH(E1713&amp;"|"&amp;G1713,PSKey,0)),0)</f>
        <v/>
      </c>
      <c r="P1713" s="46">
        <f>INDEX(ChDoorVel,MATCH(E1713,ChName,0))*CalibScalar*(1+VelocityUplift)</f>
        <v/>
      </c>
      <c r="Q1713" s="46" t="n">
        <v>0</v>
      </c>
      <c r="R1713" s="46">
        <f>P1713*O1713*M1713*N1713*H1713</f>
        <v/>
      </c>
      <c r="S1713" s="46">
        <f>R1713*INDEX(FmtCansPerCase,MATCH(F1713,FmtName,0))</f>
        <v/>
      </c>
      <c r="T1713" s="46">
        <f>S1713/INDEX(FmtCansPerPack,MATCH(F1713,FmtName,0))</f>
        <v/>
      </c>
      <c r="U1713" s="47">
        <f>INDEX(ChBaseCP,MATCH(E1713,ChName,0))*(1+INDEX(ProvMod,MATCH(G1713,ProvCode,0)))*(1+PriceIndex)</f>
        <v/>
      </c>
      <c r="V1713" s="47">
        <f>R1713*U1713*INDEX(FmtBlendedPriceIdx,MATCH(F1713,FmtName,0))</f>
        <v/>
      </c>
      <c r="W1713" s="47">
        <f>T1713*INDEX(ProvSRP,MATCH(G1713,ProvCode,0))*(1+PriceIndex)</f>
        <v/>
      </c>
      <c r="X1713" s="47">
        <f>IF(GrossBasis="Wholesale",V1713,W1713)</f>
        <v/>
      </c>
      <c r="Y1713" s="47">
        <f>R1713*INDEX(FmtBlendedCogs,MATCH(F1713,FmtName,0))</f>
        <v/>
      </c>
      <c r="Z1713" s="47">
        <f>X1713-Y1713</f>
        <v/>
      </c>
    </row>
    <row r="1714">
      <c r="A1714" t="n">
        <v>17</v>
      </c>
      <c r="B1714" s="44">
        <f>FiscalStart+(A1714-1)*7</f>
        <v/>
      </c>
      <c r="C1714">
        <f>TEXT(B1714,"mmm yyyy")</f>
        <v/>
      </c>
      <c r="D1714">
        <f>"Q"&amp;(INT((A1714-1)/13)+1)</f>
        <v/>
      </c>
      <c r="E1714" t="inlineStr">
        <is>
          <t>Costco</t>
        </is>
      </c>
      <c r="F1714">
        <f>IFERROR(INDEX(ChFormat,MATCH(E1714,ChName,0)),"")</f>
        <v/>
      </c>
      <c r="G1714" t="inlineStr">
        <is>
          <t>SK</t>
        </is>
      </c>
      <c r="H1714">
        <f>IF(A1714&lt;=NWeeks,1,0)</f>
        <v/>
      </c>
      <c r="I1714">
        <f>INDEX(ChLaunch,MATCH(E1714,ChName,0))</f>
        <v/>
      </c>
      <c r="J1714">
        <f>INDEX(ChWeeksFull,MATCH(E1714,ChName,0))</f>
        <v/>
      </c>
      <c r="K1714">
        <f>INDEX(ChRamp,MATCH(E1714,ChName,0))</f>
        <v/>
      </c>
      <c r="L1714" s="45">
        <f>MIN(1,MAX(0,(A1714-I1714+1)*RampSpeed/J1714))</f>
        <v/>
      </c>
      <c r="M1714" s="45">
        <f>IF(A1714&lt;I1714,0,IF(K1714="S-curve",L1714*L1714*(3-2*L1714),L1714))</f>
        <v/>
      </c>
      <c r="N1714" s="45">
        <f>1+(INDEX(SeasonIdx,A1714)-1)*SeasonAmp</f>
        <v/>
      </c>
      <c r="O1714" s="45">
        <f>IFERROR(INDEX(PSPct,MATCH(E1714&amp;"|"&amp;G1714,PSKey,0)),0)</f>
        <v/>
      </c>
      <c r="P1714" s="46">
        <f>INDEX(ChDoorVel,MATCH(E1714,ChName,0))*CalibScalar*(1+VelocityUplift)</f>
        <v/>
      </c>
      <c r="Q1714" s="46" t="n">
        <v>0</v>
      </c>
      <c r="R1714" s="46">
        <f>P1714*O1714*M1714*N1714*H1714</f>
        <v/>
      </c>
      <c r="S1714" s="46">
        <f>R1714*INDEX(FmtCansPerCase,MATCH(F1714,FmtName,0))</f>
        <v/>
      </c>
      <c r="T1714" s="46">
        <f>S1714/INDEX(FmtCansPerPack,MATCH(F1714,FmtName,0))</f>
        <v/>
      </c>
      <c r="U1714" s="47">
        <f>INDEX(ChBaseCP,MATCH(E1714,ChName,0))*(1+INDEX(ProvMod,MATCH(G1714,ProvCode,0)))*(1+PriceIndex)</f>
        <v/>
      </c>
      <c r="V1714" s="47">
        <f>R1714*U1714*INDEX(FmtBlendedPriceIdx,MATCH(F1714,FmtName,0))</f>
        <v/>
      </c>
      <c r="W1714" s="47">
        <f>T1714*INDEX(ProvSRP,MATCH(G1714,ProvCode,0))*(1+PriceIndex)</f>
        <v/>
      </c>
      <c r="X1714" s="47">
        <f>IF(GrossBasis="Wholesale",V1714,W1714)</f>
        <v/>
      </c>
      <c r="Y1714" s="47">
        <f>R1714*INDEX(FmtBlendedCogs,MATCH(F1714,FmtName,0))</f>
        <v/>
      </c>
      <c r="Z1714" s="47">
        <f>X1714-Y1714</f>
        <v/>
      </c>
    </row>
    <row r="1715">
      <c r="A1715" t="n">
        <v>18</v>
      </c>
      <c r="B1715" s="44">
        <f>FiscalStart+(A1715-1)*7</f>
        <v/>
      </c>
      <c r="C1715">
        <f>TEXT(B1715,"mmm yyyy")</f>
        <v/>
      </c>
      <c r="D1715">
        <f>"Q"&amp;(INT((A1715-1)/13)+1)</f>
        <v/>
      </c>
      <c r="E1715" t="inlineStr">
        <is>
          <t>Costco</t>
        </is>
      </c>
      <c r="F1715">
        <f>IFERROR(INDEX(ChFormat,MATCH(E1715,ChName,0)),"")</f>
        <v/>
      </c>
      <c r="G1715" t="inlineStr">
        <is>
          <t>SK</t>
        </is>
      </c>
      <c r="H1715">
        <f>IF(A1715&lt;=NWeeks,1,0)</f>
        <v/>
      </c>
      <c r="I1715">
        <f>INDEX(ChLaunch,MATCH(E1715,ChName,0))</f>
        <v/>
      </c>
      <c r="J1715">
        <f>INDEX(ChWeeksFull,MATCH(E1715,ChName,0))</f>
        <v/>
      </c>
      <c r="K1715">
        <f>INDEX(ChRamp,MATCH(E1715,ChName,0))</f>
        <v/>
      </c>
      <c r="L1715" s="45">
        <f>MIN(1,MAX(0,(A1715-I1715+1)*RampSpeed/J1715))</f>
        <v/>
      </c>
      <c r="M1715" s="45">
        <f>IF(A1715&lt;I1715,0,IF(K1715="S-curve",L1715*L1715*(3-2*L1715),L1715))</f>
        <v/>
      </c>
      <c r="N1715" s="45">
        <f>1+(INDEX(SeasonIdx,A1715)-1)*SeasonAmp</f>
        <v/>
      </c>
      <c r="O1715" s="45">
        <f>IFERROR(INDEX(PSPct,MATCH(E1715&amp;"|"&amp;G1715,PSKey,0)),0)</f>
        <v/>
      </c>
      <c r="P1715" s="46">
        <f>INDEX(ChDoorVel,MATCH(E1715,ChName,0))*CalibScalar*(1+VelocityUplift)</f>
        <v/>
      </c>
      <c r="Q1715" s="46" t="n">
        <v>0</v>
      </c>
      <c r="R1715" s="46">
        <f>P1715*O1715*M1715*N1715*H1715</f>
        <v/>
      </c>
      <c r="S1715" s="46">
        <f>R1715*INDEX(FmtCansPerCase,MATCH(F1715,FmtName,0))</f>
        <v/>
      </c>
      <c r="T1715" s="46">
        <f>S1715/INDEX(FmtCansPerPack,MATCH(F1715,FmtName,0))</f>
        <v/>
      </c>
      <c r="U1715" s="47">
        <f>INDEX(ChBaseCP,MATCH(E1715,ChName,0))*(1+INDEX(ProvMod,MATCH(G1715,ProvCode,0)))*(1+PriceIndex)</f>
        <v/>
      </c>
      <c r="V1715" s="47">
        <f>R1715*U1715*INDEX(FmtBlendedPriceIdx,MATCH(F1715,FmtName,0))</f>
        <v/>
      </c>
      <c r="W1715" s="47">
        <f>T1715*INDEX(ProvSRP,MATCH(G1715,ProvCode,0))*(1+PriceIndex)</f>
        <v/>
      </c>
      <c r="X1715" s="47">
        <f>IF(GrossBasis="Wholesale",V1715,W1715)</f>
        <v/>
      </c>
      <c r="Y1715" s="47">
        <f>R1715*INDEX(FmtBlendedCogs,MATCH(F1715,FmtName,0))</f>
        <v/>
      </c>
      <c r="Z1715" s="47">
        <f>X1715-Y1715</f>
        <v/>
      </c>
    </row>
    <row r="1716">
      <c r="A1716" t="n">
        <v>19</v>
      </c>
      <c r="B1716" s="44">
        <f>FiscalStart+(A1716-1)*7</f>
        <v/>
      </c>
      <c r="C1716">
        <f>TEXT(B1716,"mmm yyyy")</f>
        <v/>
      </c>
      <c r="D1716">
        <f>"Q"&amp;(INT((A1716-1)/13)+1)</f>
        <v/>
      </c>
      <c r="E1716" t="inlineStr">
        <is>
          <t>Costco</t>
        </is>
      </c>
      <c r="F1716">
        <f>IFERROR(INDEX(ChFormat,MATCH(E1716,ChName,0)),"")</f>
        <v/>
      </c>
      <c r="G1716" t="inlineStr">
        <is>
          <t>SK</t>
        </is>
      </c>
      <c r="H1716">
        <f>IF(A1716&lt;=NWeeks,1,0)</f>
        <v/>
      </c>
      <c r="I1716">
        <f>INDEX(ChLaunch,MATCH(E1716,ChName,0))</f>
        <v/>
      </c>
      <c r="J1716">
        <f>INDEX(ChWeeksFull,MATCH(E1716,ChName,0))</f>
        <v/>
      </c>
      <c r="K1716">
        <f>INDEX(ChRamp,MATCH(E1716,ChName,0))</f>
        <v/>
      </c>
      <c r="L1716" s="45">
        <f>MIN(1,MAX(0,(A1716-I1716+1)*RampSpeed/J1716))</f>
        <v/>
      </c>
      <c r="M1716" s="45">
        <f>IF(A1716&lt;I1716,0,IF(K1716="S-curve",L1716*L1716*(3-2*L1716),L1716))</f>
        <v/>
      </c>
      <c r="N1716" s="45">
        <f>1+(INDEX(SeasonIdx,A1716)-1)*SeasonAmp</f>
        <v/>
      </c>
      <c r="O1716" s="45">
        <f>IFERROR(INDEX(PSPct,MATCH(E1716&amp;"|"&amp;G1716,PSKey,0)),0)</f>
        <v/>
      </c>
      <c r="P1716" s="46">
        <f>INDEX(ChDoorVel,MATCH(E1716,ChName,0))*CalibScalar*(1+VelocityUplift)</f>
        <v/>
      </c>
      <c r="Q1716" s="46" t="n">
        <v>0</v>
      </c>
      <c r="R1716" s="46">
        <f>P1716*O1716*M1716*N1716*H1716</f>
        <v/>
      </c>
      <c r="S1716" s="46">
        <f>R1716*INDEX(FmtCansPerCase,MATCH(F1716,FmtName,0))</f>
        <v/>
      </c>
      <c r="T1716" s="46">
        <f>S1716/INDEX(FmtCansPerPack,MATCH(F1716,FmtName,0))</f>
        <v/>
      </c>
      <c r="U1716" s="47">
        <f>INDEX(ChBaseCP,MATCH(E1716,ChName,0))*(1+INDEX(ProvMod,MATCH(G1716,ProvCode,0)))*(1+PriceIndex)</f>
        <v/>
      </c>
      <c r="V1716" s="47">
        <f>R1716*U1716*INDEX(FmtBlendedPriceIdx,MATCH(F1716,FmtName,0))</f>
        <v/>
      </c>
      <c r="W1716" s="47">
        <f>T1716*INDEX(ProvSRP,MATCH(G1716,ProvCode,0))*(1+PriceIndex)</f>
        <v/>
      </c>
      <c r="X1716" s="47">
        <f>IF(GrossBasis="Wholesale",V1716,W1716)</f>
        <v/>
      </c>
      <c r="Y1716" s="47">
        <f>R1716*INDEX(FmtBlendedCogs,MATCH(F1716,FmtName,0))</f>
        <v/>
      </c>
      <c r="Z1716" s="47">
        <f>X1716-Y1716</f>
        <v/>
      </c>
    </row>
    <row r="1717">
      <c r="A1717" t="n">
        <v>20</v>
      </c>
      <c r="B1717" s="44">
        <f>FiscalStart+(A1717-1)*7</f>
        <v/>
      </c>
      <c r="C1717">
        <f>TEXT(B1717,"mmm yyyy")</f>
        <v/>
      </c>
      <c r="D1717">
        <f>"Q"&amp;(INT((A1717-1)/13)+1)</f>
        <v/>
      </c>
      <c r="E1717" t="inlineStr">
        <is>
          <t>Costco</t>
        </is>
      </c>
      <c r="F1717">
        <f>IFERROR(INDEX(ChFormat,MATCH(E1717,ChName,0)),"")</f>
        <v/>
      </c>
      <c r="G1717" t="inlineStr">
        <is>
          <t>SK</t>
        </is>
      </c>
      <c r="H1717">
        <f>IF(A1717&lt;=NWeeks,1,0)</f>
        <v/>
      </c>
      <c r="I1717">
        <f>INDEX(ChLaunch,MATCH(E1717,ChName,0))</f>
        <v/>
      </c>
      <c r="J1717">
        <f>INDEX(ChWeeksFull,MATCH(E1717,ChName,0))</f>
        <v/>
      </c>
      <c r="K1717">
        <f>INDEX(ChRamp,MATCH(E1717,ChName,0))</f>
        <v/>
      </c>
      <c r="L1717" s="45">
        <f>MIN(1,MAX(0,(A1717-I1717+1)*RampSpeed/J1717))</f>
        <v/>
      </c>
      <c r="M1717" s="45">
        <f>IF(A1717&lt;I1717,0,IF(K1717="S-curve",L1717*L1717*(3-2*L1717),L1717))</f>
        <v/>
      </c>
      <c r="N1717" s="45">
        <f>1+(INDEX(SeasonIdx,A1717)-1)*SeasonAmp</f>
        <v/>
      </c>
      <c r="O1717" s="45">
        <f>IFERROR(INDEX(PSPct,MATCH(E1717&amp;"|"&amp;G1717,PSKey,0)),0)</f>
        <v/>
      </c>
      <c r="P1717" s="46">
        <f>INDEX(ChDoorVel,MATCH(E1717,ChName,0))*CalibScalar*(1+VelocityUplift)</f>
        <v/>
      </c>
      <c r="Q1717" s="46" t="n">
        <v>0</v>
      </c>
      <c r="R1717" s="46">
        <f>P1717*O1717*M1717*N1717*H1717</f>
        <v/>
      </c>
      <c r="S1717" s="46">
        <f>R1717*INDEX(FmtCansPerCase,MATCH(F1717,FmtName,0))</f>
        <v/>
      </c>
      <c r="T1717" s="46">
        <f>S1717/INDEX(FmtCansPerPack,MATCH(F1717,FmtName,0))</f>
        <v/>
      </c>
      <c r="U1717" s="47">
        <f>INDEX(ChBaseCP,MATCH(E1717,ChName,0))*(1+INDEX(ProvMod,MATCH(G1717,ProvCode,0)))*(1+PriceIndex)</f>
        <v/>
      </c>
      <c r="V1717" s="47">
        <f>R1717*U1717*INDEX(FmtBlendedPriceIdx,MATCH(F1717,FmtName,0))</f>
        <v/>
      </c>
      <c r="W1717" s="47">
        <f>T1717*INDEX(ProvSRP,MATCH(G1717,ProvCode,0))*(1+PriceIndex)</f>
        <v/>
      </c>
      <c r="X1717" s="47">
        <f>IF(GrossBasis="Wholesale",V1717,W1717)</f>
        <v/>
      </c>
      <c r="Y1717" s="47">
        <f>R1717*INDEX(FmtBlendedCogs,MATCH(F1717,FmtName,0))</f>
        <v/>
      </c>
      <c r="Z1717" s="47">
        <f>X1717-Y1717</f>
        <v/>
      </c>
    </row>
    <row r="1718">
      <c r="A1718" t="n">
        <v>21</v>
      </c>
      <c r="B1718" s="44">
        <f>FiscalStart+(A1718-1)*7</f>
        <v/>
      </c>
      <c r="C1718">
        <f>TEXT(B1718,"mmm yyyy")</f>
        <v/>
      </c>
      <c r="D1718">
        <f>"Q"&amp;(INT((A1718-1)/13)+1)</f>
        <v/>
      </c>
      <c r="E1718" t="inlineStr">
        <is>
          <t>Costco</t>
        </is>
      </c>
      <c r="F1718">
        <f>IFERROR(INDEX(ChFormat,MATCH(E1718,ChName,0)),"")</f>
        <v/>
      </c>
      <c r="G1718" t="inlineStr">
        <is>
          <t>SK</t>
        </is>
      </c>
      <c r="H1718">
        <f>IF(A1718&lt;=NWeeks,1,0)</f>
        <v/>
      </c>
      <c r="I1718">
        <f>INDEX(ChLaunch,MATCH(E1718,ChName,0))</f>
        <v/>
      </c>
      <c r="J1718">
        <f>INDEX(ChWeeksFull,MATCH(E1718,ChName,0))</f>
        <v/>
      </c>
      <c r="K1718">
        <f>INDEX(ChRamp,MATCH(E1718,ChName,0))</f>
        <v/>
      </c>
      <c r="L1718" s="45">
        <f>MIN(1,MAX(0,(A1718-I1718+1)*RampSpeed/J1718))</f>
        <v/>
      </c>
      <c r="M1718" s="45">
        <f>IF(A1718&lt;I1718,0,IF(K1718="S-curve",L1718*L1718*(3-2*L1718),L1718))</f>
        <v/>
      </c>
      <c r="N1718" s="45">
        <f>1+(INDEX(SeasonIdx,A1718)-1)*SeasonAmp</f>
        <v/>
      </c>
      <c r="O1718" s="45">
        <f>IFERROR(INDEX(PSPct,MATCH(E1718&amp;"|"&amp;G1718,PSKey,0)),0)</f>
        <v/>
      </c>
      <c r="P1718" s="46">
        <f>INDEX(ChDoorVel,MATCH(E1718,ChName,0))*CalibScalar*(1+VelocityUplift)</f>
        <v/>
      </c>
      <c r="Q1718" s="46" t="n">
        <v>0</v>
      </c>
      <c r="R1718" s="46">
        <f>P1718*O1718*M1718*N1718*H1718</f>
        <v/>
      </c>
      <c r="S1718" s="46">
        <f>R1718*INDEX(FmtCansPerCase,MATCH(F1718,FmtName,0))</f>
        <v/>
      </c>
      <c r="T1718" s="46">
        <f>S1718/INDEX(FmtCansPerPack,MATCH(F1718,FmtName,0))</f>
        <v/>
      </c>
      <c r="U1718" s="47">
        <f>INDEX(ChBaseCP,MATCH(E1718,ChName,0))*(1+INDEX(ProvMod,MATCH(G1718,ProvCode,0)))*(1+PriceIndex)</f>
        <v/>
      </c>
      <c r="V1718" s="47">
        <f>R1718*U1718*INDEX(FmtBlendedPriceIdx,MATCH(F1718,FmtName,0))</f>
        <v/>
      </c>
      <c r="W1718" s="47">
        <f>T1718*INDEX(ProvSRP,MATCH(G1718,ProvCode,0))*(1+PriceIndex)</f>
        <v/>
      </c>
      <c r="X1718" s="47">
        <f>IF(GrossBasis="Wholesale",V1718,W1718)</f>
        <v/>
      </c>
      <c r="Y1718" s="47">
        <f>R1718*INDEX(FmtBlendedCogs,MATCH(F1718,FmtName,0))</f>
        <v/>
      </c>
      <c r="Z1718" s="47">
        <f>X1718-Y1718</f>
        <v/>
      </c>
    </row>
    <row r="1719">
      <c r="A1719" t="n">
        <v>22</v>
      </c>
      <c r="B1719" s="44">
        <f>FiscalStart+(A1719-1)*7</f>
        <v/>
      </c>
      <c r="C1719">
        <f>TEXT(B1719,"mmm yyyy")</f>
        <v/>
      </c>
      <c r="D1719">
        <f>"Q"&amp;(INT((A1719-1)/13)+1)</f>
        <v/>
      </c>
      <c r="E1719" t="inlineStr">
        <is>
          <t>Costco</t>
        </is>
      </c>
      <c r="F1719">
        <f>IFERROR(INDEX(ChFormat,MATCH(E1719,ChName,0)),"")</f>
        <v/>
      </c>
      <c r="G1719" t="inlineStr">
        <is>
          <t>SK</t>
        </is>
      </c>
      <c r="H1719">
        <f>IF(A1719&lt;=NWeeks,1,0)</f>
        <v/>
      </c>
      <c r="I1719">
        <f>INDEX(ChLaunch,MATCH(E1719,ChName,0))</f>
        <v/>
      </c>
      <c r="J1719">
        <f>INDEX(ChWeeksFull,MATCH(E1719,ChName,0))</f>
        <v/>
      </c>
      <c r="K1719">
        <f>INDEX(ChRamp,MATCH(E1719,ChName,0))</f>
        <v/>
      </c>
      <c r="L1719" s="45">
        <f>MIN(1,MAX(0,(A1719-I1719+1)*RampSpeed/J1719))</f>
        <v/>
      </c>
      <c r="M1719" s="45">
        <f>IF(A1719&lt;I1719,0,IF(K1719="S-curve",L1719*L1719*(3-2*L1719),L1719))</f>
        <v/>
      </c>
      <c r="N1719" s="45">
        <f>1+(INDEX(SeasonIdx,A1719)-1)*SeasonAmp</f>
        <v/>
      </c>
      <c r="O1719" s="45">
        <f>IFERROR(INDEX(PSPct,MATCH(E1719&amp;"|"&amp;G1719,PSKey,0)),0)</f>
        <v/>
      </c>
      <c r="P1719" s="46">
        <f>INDEX(ChDoorVel,MATCH(E1719,ChName,0))*CalibScalar*(1+VelocityUplift)</f>
        <v/>
      </c>
      <c r="Q1719" s="46" t="n">
        <v>0</v>
      </c>
      <c r="R1719" s="46">
        <f>P1719*O1719*M1719*N1719*H1719</f>
        <v/>
      </c>
      <c r="S1719" s="46">
        <f>R1719*INDEX(FmtCansPerCase,MATCH(F1719,FmtName,0))</f>
        <v/>
      </c>
      <c r="T1719" s="46">
        <f>S1719/INDEX(FmtCansPerPack,MATCH(F1719,FmtName,0))</f>
        <v/>
      </c>
      <c r="U1719" s="47">
        <f>INDEX(ChBaseCP,MATCH(E1719,ChName,0))*(1+INDEX(ProvMod,MATCH(G1719,ProvCode,0)))*(1+PriceIndex)</f>
        <v/>
      </c>
      <c r="V1719" s="47">
        <f>R1719*U1719*INDEX(FmtBlendedPriceIdx,MATCH(F1719,FmtName,0))</f>
        <v/>
      </c>
      <c r="W1719" s="47">
        <f>T1719*INDEX(ProvSRP,MATCH(G1719,ProvCode,0))*(1+PriceIndex)</f>
        <v/>
      </c>
      <c r="X1719" s="47">
        <f>IF(GrossBasis="Wholesale",V1719,W1719)</f>
        <v/>
      </c>
      <c r="Y1719" s="47">
        <f>R1719*INDEX(FmtBlendedCogs,MATCH(F1719,FmtName,0))</f>
        <v/>
      </c>
      <c r="Z1719" s="47">
        <f>X1719-Y1719</f>
        <v/>
      </c>
    </row>
    <row r="1720">
      <c r="A1720" t="n">
        <v>23</v>
      </c>
      <c r="B1720" s="44">
        <f>FiscalStart+(A1720-1)*7</f>
        <v/>
      </c>
      <c r="C1720">
        <f>TEXT(B1720,"mmm yyyy")</f>
        <v/>
      </c>
      <c r="D1720">
        <f>"Q"&amp;(INT((A1720-1)/13)+1)</f>
        <v/>
      </c>
      <c r="E1720" t="inlineStr">
        <is>
          <t>Costco</t>
        </is>
      </c>
      <c r="F1720">
        <f>IFERROR(INDEX(ChFormat,MATCH(E1720,ChName,0)),"")</f>
        <v/>
      </c>
      <c r="G1720" t="inlineStr">
        <is>
          <t>SK</t>
        </is>
      </c>
      <c r="H1720">
        <f>IF(A1720&lt;=NWeeks,1,0)</f>
        <v/>
      </c>
      <c r="I1720">
        <f>INDEX(ChLaunch,MATCH(E1720,ChName,0))</f>
        <v/>
      </c>
      <c r="J1720">
        <f>INDEX(ChWeeksFull,MATCH(E1720,ChName,0))</f>
        <v/>
      </c>
      <c r="K1720">
        <f>INDEX(ChRamp,MATCH(E1720,ChName,0))</f>
        <v/>
      </c>
      <c r="L1720" s="45">
        <f>MIN(1,MAX(0,(A1720-I1720+1)*RampSpeed/J1720))</f>
        <v/>
      </c>
      <c r="M1720" s="45">
        <f>IF(A1720&lt;I1720,0,IF(K1720="S-curve",L1720*L1720*(3-2*L1720),L1720))</f>
        <v/>
      </c>
      <c r="N1720" s="45">
        <f>1+(INDEX(SeasonIdx,A1720)-1)*SeasonAmp</f>
        <v/>
      </c>
      <c r="O1720" s="45">
        <f>IFERROR(INDEX(PSPct,MATCH(E1720&amp;"|"&amp;G1720,PSKey,0)),0)</f>
        <v/>
      </c>
      <c r="P1720" s="46">
        <f>INDEX(ChDoorVel,MATCH(E1720,ChName,0))*CalibScalar*(1+VelocityUplift)</f>
        <v/>
      </c>
      <c r="Q1720" s="46" t="n">
        <v>0</v>
      </c>
      <c r="R1720" s="46">
        <f>P1720*O1720*M1720*N1720*H1720</f>
        <v/>
      </c>
      <c r="S1720" s="46">
        <f>R1720*INDEX(FmtCansPerCase,MATCH(F1720,FmtName,0))</f>
        <v/>
      </c>
      <c r="T1720" s="46">
        <f>S1720/INDEX(FmtCansPerPack,MATCH(F1720,FmtName,0))</f>
        <v/>
      </c>
      <c r="U1720" s="47">
        <f>INDEX(ChBaseCP,MATCH(E1720,ChName,0))*(1+INDEX(ProvMod,MATCH(G1720,ProvCode,0)))*(1+PriceIndex)</f>
        <v/>
      </c>
      <c r="V1720" s="47">
        <f>R1720*U1720*INDEX(FmtBlendedPriceIdx,MATCH(F1720,FmtName,0))</f>
        <v/>
      </c>
      <c r="W1720" s="47">
        <f>T1720*INDEX(ProvSRP,MATCH(G1720,ProvCode,0))*(1+PriceIndex)</f>
        <v/>
      </c>
      <c r="X1720" s="47">
        <f>IF(GrossBasis="Wholesale",V1720,W1720)</f>
        <v/>
      </c>
      <c r="Y1720" s="47">
        <f>R1720*INDEX(FmtBlendedCogs,MATCH(F1720,FmtName,0))</f>
        <v/>
      </c>
      <c r="Z1720" s="47">
        <f>X1720-Y1720</f>
        <v/>
      </c>
    </row>
    <row r="1721">
      <c r="A1721" t="n">
        <v>24</v>
      </c>
      <c r="B1721" s="44">
        <f>FiscalStart+(A1721-1)*7</f>
        <v/>
      </c>
      <c r="C1721">
        <f>TEXT(B1721,"mmm yyyy")</f>
        <v/>
      </c>
      <c r="D1721">
        <f>"Q"&amp;(INT((A1721-1)/13)+1)</f>
        <v/>
      </c>
      <c r="E1721" t="inlineStr">
        <is>
          <t>Costco</t>
        </is>
      </c>
      <c r="F1721">
        <f>IFERROR(INDEX(ChFormat,MATCH(E1721,ChName,0)),"")</f>
        <v/>
      </c>
      <c r="G1721" t="inlineStr">
        <is>
          <t>SK</t>
        </is>
      </c>
      <c r="H1721">
        <f>IF(A1721&lt;=NWeeks,1,0)</f>
        <v/>
      </c>
      <c r="I1721">
        <f>INDEX(ChLaunch,MATCH(E1721,ChName,0))</f>
        <v/>
      </c>
      <c r="J1721">
        <f>INDEX(ChWeeksFull,MATCH(E1721,ChName,0))</f>
        <v/>
      </c>
      <c r="K1721">
        <f>INDEX(ChRamp,MATCH(E1721,ChName,0))</f>
        <v/>
      </c>
      <c r="L1721" s="45">
        <f>MIN(1,MAX(0,(A1721-I1721+1)*RampSpeed/J1721))</f>
        <v/>
      </c>
      <c r="M1721" s="45">
        <f>IF(A1721&lt;I1721,0,IF(K1721="S-curve",L1721*L1721*(3-2*L1721),L1721))</f>
        <v/>
      </c>
      <c r="N1721" s="45">
        <f>1+(INDEX(SeasonIdx,A1721)-1)*SeasonAmp</f>
        <v/>
      </c>
      <c r="O1721" s="45">
        <f>IFERROR(INDEX(PSPct,MATCH(E1721&amp;"|"&amp;G1721,PSKey,0)),0)</f>
        <v/>
      </c>
      <c r="P1721" s="46">
        <f>INDEX(ChDoorVel,MATCH(E1721,ChName,0))*CalibScalar*(1+VelocityUplift)</f>
        <v/>
      </c>
      <c r="Q1721" s="46" t="n">
        <v>0</v>
      </c>
      <c r="R1721" s="46">
        <f>P1721*O1721*M1721*N1721*H1721</f>
        <v/>
      </c>
      <c r="S1721" s="46">
        <f>R1721*INDEX(FmtCansPerCase,MATCH(F1721,FmtName,0))</f>
        <v/>
      </c>
      <c r="T1721" s="46">
        <f>S1721/INDEX(FmtCansPerPack,MATCH(F1721,FmtName,0))</f>
        <v/>
      </c>
      <c r="U1721" s="47">
        <f>INDEX(ChBaseCP,MATCH(E1721,ChName,0))*(1+INDEX(ProvMod,MATCH(G1721,ProvCode,0)))*(1+PriceIndex)</f>
        <v/>
      </c>
      <c r="V1721" s="47">
        <f>R1721*U1721*INDEX(FmtBlendedPriceIdx,MATCH(F1721,FmtName,0))</f>
        <v/>
      </c>
      <c r="W1721" s="47">
        <f>T1721*INDEX(ProvSRP,MATCH(G1721,ProvCode,0))*(1+PriceIndex)</f>
        <v/>
      </c>
      <c r="X1721" s="47">
        <f>IF(GrossBasis="Wholesale",V1721,W1721)</f>
        <v/>
      </c>
      <c r="Y1721" s="47">
        <f>R1721*INDEX(FmtBlendedCogs,MATCH(F1721,FmtName,0))</f>
        <v/>
      </c>
      <c r="Z1721" s="47">
        <f>X1721-Y1721</f>
        <v/>
      </c>
    </row>
    <row r="1722">
      <c r="A1722" t="n">
        <v>25</v>
      </c>
      <c r="B1722" s="44">
        <f>FiscalStart+(A1722-1)*7</f>
        <v/>
      </c>
      <c r="C1722">
        <f>TEXT(B1722,"mmm yyyy")</f>
        <v/>
      </c>
      <c r="D1722">
        <f>"Q"&amp;(INT((A1722-1)/13)+1)</f>
        <v/>
      </c>
      <c r="E1722" t="inlineStr">
        <is>
          <t>Costco</t>
        </is>
      </c>
      <c r="F1722">
        <f>IFERROR(INDEX(ChFormat,MATCH(E1722,ChName,0)),"")</f>
        <v/>
      </c>
      <c r="G1722" t="inlineStr">
        <is>
          <t>SK</t>
        </is>
      </c>
      <c r="H1722">
        <f>IF(A1722&lt;=NWeeks,1,0)</f>
        <v/>
      </c>
      <c r="I1722">
        <f>INDEX(ChLaunch,MATCH(E1722,ChName,0))</f>
        <v/>
      </c>
      <c r="J1722">
        <f>INDEX(ChWeeksFull,MATCH(E1722,ChName,0))</f>
        <v/>
      </c>
      <c r="K1722">
        <f>INDEX(ChRamp,MATCH(E1722,ChName,0))</f>
        <v/>
      </c>
      <c r="L1722" s="45">
        <f>MIN(1,MAX(0,(A1722-I1722+1)*RampSpeed/J1722))</f>
        <v/>
      </c>
      <c r="M1722" s="45">
        <f>IF(A1722&lt;I1722,0,IF(K1722="S-curve",L1722*L1722*(3-2*L1722),L1722))</f>
        <v/>
      </c>
      <c r="N1722" s="45">
        <f>1+(INDEX(SeasonIdx,A1722)-1)*SeasonAmp</f>
        <v/>
      </c>
      <c r="O1722" s="45">
        <f>IFERROR(INDEX(PSPct,MATCH(E1722&amp;"|"&amp;G1722,PSKey,0)),0)</f>
        <v/>
      </c>
      <c r="P1722" s="46">
        <f>INDEX(ChDoorVel,MATCH(E1722,ChName,0))*CalibScalar*(1+VelocityUplift)</f>
        <v/>
      </c>
      <c r="Q1722" s="46" t="n">
        <v>0</v>
      </c>
      <c r="R1722" s="46">
        <f>P1722*O1722*M1722*N1722*H1722</f>
        <v/>
      </c>
      <c r="S1722" s="46">
        <f>R1722*INDEX(FmtCansPerCase,MATCH(F1722,FmtName,0))</f>
        <v/>
      </c>
      <c r="T1722" s="46">
        <f>S1722/INDEX(FmtCansPerPack,MATCH(F1722,FmtName,0))</f>
        <v/>
      </c>
      <c r="U1722" s="47">
        <f>INDEX(ChBaseCP,MATCH(E1722,ChName,0))*(1+INDEX(ProvMod,MATCH(G1722,ProvCode,0)))*(1+PriceIndex)</f>
        <v/>
      </c>
      <c r="V1722" s="47">
        <f>R1722*U1722*INDEX(FmtBlendedPriceIdx,MATCH(F1722,FmtName,0))</f>
        <v/>
      </c>
      <c r="W1722" s="47">
        <f>T1722*INDEX(ProvSRP,MATCH(G1722,ProvCode,0))*(1+PriceIndex)</f>
        <v/>
      </c>
      <c r="X1722" s="47">
        <f>IF(GrossBasis="Wholesale",V1722,W1722)</f>
        <v/>
      </c>
      <c r="Y1722" s="47">
        <f>R1722*INDEX(FmtBlendedCogs,MATCH(F1722,FmtName,0))</f>
        <v/>
      </c>
      <c r="Z1722" s="47">
        <f>X1722-Y1722</f>
        <v/>
      </c>
    </row>
    <row r="1723">
      <c r="A1723" t="n">
        <v>26</v>
      </c>
      <c r="B1723" s="44">
        <f>FiscalStart+(A1723-1)*7</f>
        <v/>
      </c>
      <c r="C1723">
        <f>TEXT(B1723,"mmm yyyy")</f>
        <v/>
      </c>
      <c r="D1723">
        <f>"Q"&amp;(INT((A1723-1)/13)+1)</f>
        <v/>
      </c>
      <c r="E1723" t="inlineStr">
        <is>
          <t>Costco</t>
        </is>
      </c>
      <c r="F1723">
        <f>IFERROR(INDEX(ChFormat,MATCH(E1723,ChName,0)),"")</f>
        <v/>
      </c>
      <c r="G1723" t="inlineStr">
        <is>
          <t>SK</t>
        </is>
      </c>
      <c r="H1723">
        <f>IF(A1723&lt;=NWeeks,1,0)</f>
        <v/>
      </c>
      <c r="I1723">
        <f>INDEX(ChLaunch,MATCH(E1723,ChName,0))</f>
        <v/>
      </c>
      <c r="J1723">
        <f>INDEX(ChWeeksFull,MATCH(E1723,ChName,0))</f>
        <v/>
      </c>
      <c r="K1723">
        <f>INDEX(ChRamp,MATCH(E1723,ChName,0))</f>
        <v/>
      </c>
      <c r="L1723" s="45">
        <f>MIN(1,MAX(0,(A1723-I1723+1)*RampSpeed/J1723))</f>
        <v/>
      </c>
      <c r="M1723" s="45">
        <f>IF(A1723&lt;I1723,0,IF(K1723="S-curve",L1723*L1723*(3-2*L1723),L1723))</f>
        <v/>
      </c>
      <c r="N1723" s="45">
        <f>1+(INDEX(SeasonIdx,A1723)-1)*SeasonAmp</f>
        <v/>
      </c>
      <c r="O1723" s="45">
        <f>IFERROR(INDEX(PSPct,MATCH(E1723&amp;"|"&amp;G1723,PSKey,0)),0)</f>
        <v/>
      </c>
      <c r="P1723" s="46">
        <f>INDEX(ChDoorVel,MATCH(E1723,ChName,0))*CalibScalar*(1+VelocityUplift)</f>
        <v/>
      </c>
      <c r="Q1723" s="46" t="n">
        <v>0</v>
      </c>
      <c r="R1723" s="46">
        <f>P1723*O1723*M1723*N1723*H1723</f>
        <v/>
      </c>
      <c r="S1723" s="46">
        <f>R1723*INDEX(FmtCansPerCase,MATCH(F1723,FmtName,0))</f>
        <v/>
      </c>
      <c r="T1723" s="46">
        <f>S1723/INDEX(FmtCansPerPack,MATCH(F1723,FmtName,0))</f>
        <v/>
      </c>
      <c r="U1723" s="47">
        <f>INDEX(ChBaseCP,MATCH(E1723,ChName,0))*(1+INDEX(ProvMod,MATCH(G1723,ProvCode,0)))*(1+PriceIndex)</f>
        <v/>
      </c>
      <c r="V1723" s="47">
        <f>R1723*U1723*INDEX(FmtBlendedPriceIdx,MATCH(F1723,FmtName,0))</f>
        <v/>
      </c>
      <c r="W1723" s="47">
        <f>T1723*INDEX(ProvSRP,MATCH(G1723,ProvCode,0))*(1+PriceIndex)</f>
        <v/>
      </c>
      <c r="X1723" s="47">
        <f>IF(GrossBasis="Wholesale",V1723,W1723)</f>
        <v/>
      </c>
      <c r="Y1723" s="47">
        <f>R1723*INDEX(FmtBlendedCogs,MATCH(F1723,FmtName,0))</f>
        <v/>
      </c>
      <c r="Z1723" s="47">
        <f>X1723-Y1723</f>
        <v/>
      </c>
    </row>
    <row r="1724">
      <c r="A1724" t="n">
        <v>27</v>
      </c>
      <c r="B1724" s="44">
        <f>FiscalStart+(A1724-1)*7</f>
        <v/>
      </c>
      <c r="C1724">
        <f>TEXT(B1724,"mmm yyyy")</f>
        <v/>
      </c>
      <c r="D1724">
        <f>"Q"&amp;(INT((A1724-1)/13)+1)</f>
        <v/>
      </c>
      <c r="E1724" t="inlineStr">
        <is>
          <t>Costco</t>
        </is>
      </c>
      <c r="F1724">
        <f>IFERROR(INDEX(ChFormat,MATCH(E1724,ChName,0)),"")</f>
        <v/>
      </c>
      <c r="G1724" t="inlineStr">
        <is>
          <t>SK</t>
        </is>
      </c>
      <c r="H1724">
        <f>IF(A1724&lt;=NWeeks,1,0)</f>
        <v/>
      </c>
      <c r="I1724">
        <f>INDEX(ChLaunch,MATCH(E1724,ChName,0))</f>
        <v/>
      </c>
      <c r="J1724">
        <f>INDEX(ChWeeksFull,MATCH(E1724,ChName,0))</f>
        <v/>
      </c>
      <c r="K1724">
        <f>INDEX(ChRamp,MATCH(E1724,ChName,0))</f>
        <v/>
      </c>
      <c r="L1724" s="45">
        <f>MIN(1,MAX(0,(A1724-I1724+1)*RampSpeed/J1724))</f>
        <v/>
      </c>
      <c r="M1724" s="45">
        <f>IF(A1724&lt;I1724,0,IF(K1724="S-curve",L1724*L1724*(3-2*L1724),L1724))</f>
        <v/>
      </c>
      <c r="N1724" s="45">
        <f>1+(INDEX(SeasonIdx,A1724)-1)*SeasonAmp</f>
        <v/>
      </c>
      <c r="O1724" s="45">
        <f>IFERROR(INDEX(PSPct,MATCH(E1724&amp;"|"&amp;G1724,PSKey,0)),0)</f>
        <v/>
      </c>
      <c r="P1724" s="46">
        <f>INDEX(ChDoorVel,MATCH(E1724,ChName,0))*CalibScalar*(1+VelocityUplift)</f>
        <v/>
      </c>
      <c r="Q1724" s="46" t="n">
        <v>0</v>
      </c>
      <c r="R1724" s="46">
        <f>P1724*O1724*M1724*N1724*H1724</f>
        <v/>
      </c>
      <c r="S1724" s="46">
        <f>R1724*INDEX(FmtCansPerCase,MATCH(F1724,FmtName,0))</f>
        <v/>
      </c>
      <c r="T1724" s="46">
        <f>S1724/INDEX(FmtCansPerPack,MATCH(F1724,FmtName,0))</f>
        <v/>
      </c>
      <c r="U1724" s="47">
        <f>INDEX(ChBaseCP,MATCH(E1724,ChName,0))*(1+INDEX(ProvMod,MATCH(G1724,ProvCode,0)))*(1+PriceIndex)</f>
        <v/>
      </c>
      <c r="V1724" s="47">
        <f>R1724*U1724*INDEX(FmtBlendedPriceIdx,MATCH(F1724,FmtName,0))</f>
        <v/>
      </c>
      <c r="W1724" s="47">
        <f>T1724*INDEX(ProvSRP,MATCH(G1724,ProvCode,0))*(1+PriceIndex)</f>
        <v/>
      </c>
      <c r="X1724" s="47">
        <f>IF(GrossBasis="Wholesale",V1724,W1724)</f>
        <v/>
      </c>
      <c r="Y1724" s="47">
        <f>R1724*INDEX(FmtBlendedCogs,MATCH(F1724,FmtName,0))</f>
        <v/>
      </c>
      <c r="Z1724" s="47">
        <f>X1724-Y1724</f>
        <v/>
      </c>
    </row>
    <row r="1725">
      <c r="A1725" t="n">
        <v>28</v>
      </c>
      <c r="B1725" s="44">
        <f>FiscalStart+(A1725-1)*7</f>
        <v/>
      </c>
      <c r="C1725">
        <f>TEXT(B1725,"mmm yyyy")</f>
        <v/>
      </c>
      <c r="D1725">
        <f>"Q"&amp;(INT((A1725-1)/13)+1)</f>
        <v/>
      </c>
      <c r="E1725" t="inlineStr">
        <is>
          <t>Costco</t>
        </is>
      </c>
      <c r="F1725">
        <f>IFERROR(INDEX(ChFormat,MATCH(E1725,ChName,0)),"")</f>
        <v/>
      </c>
      <c r="G1725" t="inlineStr">
        <is>
          <t>SK</t>
        </is>
      </c>
      <c r="H1725">
        <f>IF(A1725&lt;=NWeeks,1,0)</f>
        <v/>
      </c>
      <c r="I1725">
        <f>INDEX(ChLaunch,MATCH(E1725,ChName,0))</f>
        <v/>
      </c>
      <c r="J1725">
        <f>INDEX(ChWeeksFull,MATCH(E1725,ChName,0))</f>
        <v/>
      </c>
      <c r="K1725">
        <f>INDEX(ChRamp,MATCH(E1725,ChName,0))</f>
        <v/>
      </c>
      <c r="L1725" s="45">
        <f>MIN(1,MAX(0,(A1725-I1725+1)*RampSpeed/J1725))</f>
        <v/>
      </c>
      <c r="M1725" s="45">
        <f>IF(A1725&lt;I1725,0,IF(K1725="S-curve",L1725*L1725*(3-2*L1725),L1725))</f>
        <v/>
      </c>
      <c r="N1725" s="45">
        <f>1+(INDEX(SeasonIdx,A1725)-1)*SeasonAmp</f>
        <v/>
      </c>
      <c r="O1725" s="45">
        <f>IFERROR(INDEX(PSPct,MATCH(E1725&amp;"|"&amp;G1725,PSKey,0)),0)</f>
        <v/>
      </c>
      <c r="P1725" s="46">
        <f>INDEX(ChDoorVel,MATCH(E1725,ChName,0))*CalibScalar*(1+VelocityUplift)</f>
        <v/>
      </c>
      <c r="Q1725" s="46" t="n">
        <v>0</v>
      </c>
      <c r="R1725" s="46">
        <f>P1725*O1725*M1725*N1725*H1725</f>
        <v/>
      </c>
      <c r="S1725" s="46">
        <f>R1725*INDEX(FmtCansPerCase,MATCH(F1725,FmtName,0))</f>
        <v/>
      </c>
      <c r="T1725" s="46">
        <f>S1725/INDEX(FmtCansPerPack,MATCH(F1725,FmtName,0))</f>
        <v/>
      </c>
      <c r="U1725" s="47">
        <f>INDEX(ChBaseCP,MATCH(E1725,ChName,0))*(1+INDEX(ProvMod,MATCH(G1725,ProvCode,0)))*(1+PriceIndex)</f>
        <v/>
      </c>
      <c r="V1725" s="47">
        <f>R1725*U1725*INDEX(FmtBlendedPriceIdx,MATCH(F1725,FmtName,0))</f>
        <v/>
      </c>
      <c r="W1725" s="47">
        <f>T1725*INDEX(ProvSRP,MATCH(G1725,ProvCode,0))*(1+PriceIndex)</f>
        <v/>
      </c>
      <c r="X1725" s="47">
        <f>IF(GrossBasis="Wholesale",V1725,W1725)</f>
        <v/>
      </c>
      <c r="Y1725" s="47">
        <f>R1725*INDEX(FmtBlendedCogs,MATCH(F1725,FmtName,0))</f>
        <v/>
      </c>
      <c r="Z1725" s="47">
        <f>X1725-Y1725</f>
        <v/>
      </c>
    </row>
    <row r="1726">
      <c r="A1726" t="n">
        <v>29</v>
      </c>
      <c r="B1726" s="44">
        <f>FiscalStart+(A1726-1)*7</f>
        <v/>
      </c>
      <c r="C1726">
        <f>TEXT(B1726,"mmm yyyy")</f>
        <v/>
      </c>
      <c r="D1726">
        <f>"Q"&amp;(INT((A1726-1)/13)+1)</f>
        <v/>
      </c>
      <c r="E1726" t="inlineStr">
        <is>
          <t>Costco</t>
        </is>
      </c>
      <c r="F1726">
        <f>IFERROR(INDEX(ChFormat,MATCH(E1726,ChName,0)),"")</f>
        <v/>
      </c>
      <c r="G1726" t="inlineStr">
        <is>
          <t>SK</t>
        </is>
      </c>
      <c r="H1726">
        <f>IF(A1726&lt;=NWeeks,1,0)</f>
        <v/>
      </c>
      <c r="I1726">
        <f>INDEX(ChLaunch,MATCH(E1726,ChName,0))</f>
        <v/>
      </c>
      <c r="J1726">
        <f>INDEX(ChWeeksFull,MATCH(E1726,ChName,0))</f>
        <v/>
      </c>
      <c r="K1726">
        <f>INDEX(ChRamp,MATCH(E1726,ChName,0))</f>
        <v/>
      </c>
      <c r="L1726" s="45">
        <f>MIN(1,MAX(0,(A1726-I1726+1)*RampSpeed/J1726))</f>
        <v/>
      </c>
      <c r="M1726" s="45">
        <f>IF(A1726&lt;I1726,0,IF(K1726="S-curve",L1726*L1726*(3-2*L1726),L1726))</f>
        <v/>
      </c>
      <c r="N1726" s="45">
        <f>1+(INDEX(SeasonIdx,A1726)-1)*SeasonAmp</f>
        <v/>
      </c>
      <c r="O1726" s="45">
        <f>IFERROR(INDEX(PSPct,MATCH(E1726&amp;"|"&amp;G1726,PSKey,0)),0)</f>
        <v/>
      </c>
      <c r="P1726" s="46">
        <f>INDEX(ChDoorVel,MATCH(E1726,ChName,0))*CalibScalar*(1+VelocityUplift)</f>
        <v/>
      </c>
      <c r="Q1726" s="46" t="n">
        <v>0</v>
      </c>
      <c r="R1726" s="46">
        <f>P1726*O1726*M1726*N1726*H1726</f>
        <v/>
      </c>
      <c r="S1726" s="46">
        <f>R1726*INDEX(FmtCansPerCase,MATCH(F1726,FmtName,0))</f>
        <v/>
      </c>
      <c r="T1726" s="46">
        <f>S1726/INDEX(FmtCansPerPack,MATCH(F1726,FmtName,0))</f>
        <v/>
      </c>
      <c r="U1726" s="47">
        <f>INDEX(ChBaseCP,MATCH(E1726,ChName,0))*(1+INDEX(ProvMod,MATCH(G1726,ProvCode,0)))*(1+PriceIndex)</f>
        <v/>
      </c>
      <c r="V1726" s="47">
        <f>R1726*U1726*INDEX(FmtBlendedPriceIdx,MATCH(F1726,FmtName,0))</f>
        <v/>
      </c>
      <c r="W1726" s="47">
        <f>T1726*INDEX(ProvSRP,MATCH(G1726,ProvCode,0))*(1+PriceIndex)</f>
        <v/>
      </c>
      <c r="X1726" s="47">
        <f>IF(GrossBasis="Wholesale",V1726,W1726)</f>
        <v/>
      </c>
      <c r="Y1726" s="47">
        <f>R1726*INDEX(FmtBlendedCogs,MATCH(F1726,FmtName,0))</f>
        <v/>
      </c>
      <c r="Z1726" s="47">
        <f>X1726-Y1726</f>
        <v/>
      </c>
    </row>
    <row r="1727">
      <c r="A1727" t="n">
        <v>30</v>
      </c>
      <c r="B1727" s="44">
        <f>FiscalStart+(A1727-1)*7</f>
        <v/>
      </c>
      <c r="C1727">
        <f>TEXT(B1727,"mmm yyyy")</f>
        <v/>
      </c>
      <c r="D1727">
        <f>"Q"&amp;(INT((A1727-1)/13)+1)</f>
        <v/>
      </c>
      <c r="E1727" t="inlineStr">
        <is>
          <t>Costco</t>
        </is>
      </c>
      <c r="F1727">
        <f>IFERROR(INDEX(ChFormat,MATCH(E1727,ChName,0)),"")</f>
        <v/>
      </c>
      <c r="G1727" t="inlineStr">
        <is>
          <t>SK</t>
        </is>
      </c>
      <c r="H1727">
        <f>IF(A1727&lt;=NWeeks,1,0)</f>
        <v/>
      </c>
      <c r="I1727">
        <f>INDEX(ChLaunch,MATCH(E1727,ChName,0))</f>
        <v/>
      </c>
      <c r="J1727">
        <f>INDEX(ChWeeksFull,MATCH(E1727,ChName,0))</f>
        <v/>
      </c>
      <c r="K1727">
        <f>INDEX(ChRamp,MATCH(E1727,ChName,0))</f>
        <v/>
      </c>
      <c r="L1727" s="45">
        <f>MIN(1,MAX(0,(A1727-I1727+1)*RampSpeed/J1727))</f>
        <v/>
      </c>
      <c r="M1727" s="45">
        <f>IF(A1727&lt;I1727,0,IF(K1727="S-curve",L1727*L1727*(3-2*L1727),L1727))</f>
        <v/>
      </c>
      <c r="N1727" s="45">
        <f>1+(INDEX(SeasonIdx,A1727)-1)*SeasonAmp</f>
        <v/>
      </c>
      <c r="O1727" s="45">
        <f>IFERROR(INDEX(PSPct,MATCH(E1727&amp;"|"&amp;G1727,PSKey,0)),0)</f>
        <v/>
      </c>
      <c r="P1727" s="46">
        <f>INDEX(ChDoorVel,MATCH(E1727,ChName,0))*CalibScalar*(1+VelocityUplift)</f>
        <v/>
      </c>
      <c r="Q1727" s="46" t="n">
        <v>0</v>
      </c>
      <c r="R1727" s="46">
        <f>P1727*O1727*M1727*N1727*H1727</f>
        <v/>
      </c>
      <c r="S1727" s="46">
        <f>R1727*INDEX(FmtCansPerCase,MATCH(F1727,FmtName,0))</f>
        <v/>
      </c>
      <c r="T1727" s="46">
        <f>S1727/INDEX(FmtCansPerPack,MATCH(F1727,FmtName,0))</f>
        <v/>
      </c>
      <c r="U1727" s="47">
        <f>INDEX(ChBaseCP,MATCH(E1727,ChName,0))*(1+INDEX(ProvMod,MATCH(G1727,ProvCode,0)))*(1+PriceIndex)</f>
        <v/>
      </c>
      <c r="V1727" s="47">
        <f>R1727*U1727*INDEX(FmtBlendedPriceIdx,MATCH(F1727,FmtName,0))</f>
        <v/>
      </c>
      <c r="W1727" s="47">
        <f>T1727*INDEX(ProvSRP,MATCH(G1727,ProvCode,0))*(1+PriceIndex)</f>
        <v/>
      </c>
      <c r="X1727" s="47">
        <f>IF(GrossBasis="Wholesale",V1727,W1727)</f>
        <v/>
      </c>
      <c r="Y1727" s="47">
        <f>R1727*INDEX(FmtBlendedCogs,MATCH(F1727,FmtName,0))</f>
        <v/>
      </c>
      <c r="Z1727" s="47">
        <f>X1727-Y1727</f>
        <v/>
      </c>
    </row>
    <row r="1728">
      <c r="A1728" t="n">
        <v>31</v>
      </c>
      <c r="B1728" s="44">
        <f>FiscalStart+(A1728-1)*7</f>
        <v/>
      </c>
      <c r="C1728">
        <f>TEXT(B1728,"mmm yyyy")</f>
        <v/>
      </c>
      <c r="D1728">
        <f>"Q"&amp;(INT((A1728-1)/13)+1)</f>
        <v/>
      </c>
      <c r="E1728" t="inlineStr">
        <is>
          <t>Costco</t>
        </is>
      </c>
      <c r="F1728">
        <f>IFERROR(INDEX(ChFormat,MATCH(E1728,ChName,0)),"")</f>
        <v/>
      </c>
      <c r="G1728" t="inlineStr">
        <is>
          <t>SK</t>
        </is>
      </c>
      <c r="H1728">
        <f>IF(A1728&lt;=NWeeks,1,0)</f>
        <v/>
      </c>
      <c r="I1728">
        <f>INDEX(ChLaunch,MATCH(E1728,ChName,0))</f>
        <v/>
      </c>
      <c r="J1728">
        <f>INDEX(ChWeeksFull,MATCH(E1728,ChName,0))</f>
        <v/>
      </c>
      <c r="K1728">
        <f>INDEX(ChRamp,MATCH(E1728,ChName,0))</f>
        <v/>
      </c>
      <c r="L1728" s="45">
        <f>MIN(1,MAX(0,(A1728-I1728+1)*RampSpeed/J1728))</f>
        <v/>
      </c>
      <c r="M1728" s="45">
        <f>IF(A1728&lt;I1728,0,IF(K1728="S-curve",L1728*L1728*(3-2*L1728),L1728))</f>
        <v/>
      </c>
      <c r="N1728" s="45">
        <f>1+(INDEX(SeasonIdx,A1728)-1)*SeasonAmp</f>
        <v/>
      </c>
      <c r="O1728" s="45">
        <f>IFERROR(INDEX(PSPct,MATCH(E1728&amp;"|"&amp;G1728,PSKey,0)),0)</f>
        <v/>
      </c>
      <c r="P1728" s="46">
        <f>INDEX(ChDoorVel,MATCH(E1728,ChName,0))*CalibScalar*(1+VelocityUplift)</f>
        <v/>
      </c>
      <c r="Q1728" s="46" t="n">
        <v>0</v>
      </c>
      <c r="R1728" s="46">
        <f>P1728*O1728*M1728*N1728*H1728</f>
        <v/>
      </c>
      <c r="S1728" s="46">
        <f>R1728*INDEX(FmtCansPerCase,MATCH(F1728,FmtName,0))</f>
        <v/>
      </c>
      <c r="T1728" s="46">
        <f>S1728/INDEX(FmtCansPerPack,MATCH(F1728,FmtName,0))</f>
        <v/>
      </c>
      <c r="U1728" s="47">
        <f>INDEX(ChBaseCP,MATCH(E1728,ChName,0))*(1+INDEX(ProvMod,MATCH(G1728,ProvCode,0)))*(1+PriceIndex)</f>
        <v/>
      </c>
      <c r="V1728" s="47">
        <f>R1728*U1728*INDEX(FmtBlendedPriceIdx,MATCH(F1728,FmtName,0))</f>
        <v/>
      </c>
      <c r="W1728" s="47">
        <f>T1728*INDEX(ProvSRP,MATCH(G1728,ProvCode,0))*(1+PriceIndex)</f>
        <v/>
      </c>
      <c r="X1728" s="47">
        <f>IF(GrossBasis="Wholesale",V1728,W1728)</f>
        <v/>
      </c>
      <c r="Y1728" s="47">
        <f>R1728*INDEX(FmtBlendedCogs,MATCH(F1728,FmtName,0))</f>
        <v/>
      </c>
      <c r="Z1728" s="47">
        <f>X1728-Y1728</f>
        <v/>
      </c>
    </row>
    <row r="1729">
      <c r="A1729" t="n">
        <v>32</v>
      </c>
      <c r="B1729" s="44">
        <f>FiscalStart+(A1729-1)*7</f>
        <v/>
      </c>
      <c r="C1729">
        <f>TEXT(B1729,"mmm yyyy")</f>
        <v/>
      </c>
      <c r="D1729">
        <f>"Q"&amp;(INT((A1729-1)/13)+1)</f>
        <v/>
      </c>
      <c r="E1729" t="inlineStr">
        <is>
          <t>Costco</t>
        </is>
      </c>
      <c r="F1729">
        <f>IFERROR(INDEX(ChFormat,MATCH(E1729,ChName,0)),"")</f>
        <v/>
      </c>
      <c r="G1729" t="inlineStr">
        <is>
          <t>SK</t>
        </is>
      </c>
      <c r="H1729">
        <f>IF(A1729&lt;=NWeeks,1,0)</f>
        <v/>
      </c>
      <c r="I1729">
        <f>INDEX(ChLaunch,MATCH(E1729,ChName,0))</f>
        <v/>
      </c>
      <c r="J1729">
        <f>INDEX(ChWeeksFull,MATCH(E1729,ChName,0))</f>
        <v/>
      </c>
      <c r="K1729">
        <f>INDEX(ChRamp,MATCH(E1729,ChName,0))</f>
        <v/>
      </c>
      <c r="L1729" s="45">
        <f>MIN(1,MAX(0,(A1729-I1729+1)*RampSpeed/J1729))</f>
        <v/>
      </c>
      <c r="M1729" s="45">
        <f>IF(A1729&lt;I1729,0,IF(K1729="S-curve",L1729*L1729*(3-2*L1729),L1729))</f>
        <v/>
      </c>
      <c r="N1729" s="45">
        <f>1+(INDEX(SeasonIdx,A1729)-1)*SeasonAmp</f>
        <v/>
      </c>
      <c r="O1729" s="45">
        <f>IFERROR(INDEX(PSPct,MATCH(E1729&amp;"|"&amp;G1729,PSKey,0)),0)</f>
        <v/>
      </c>
      <c r="P1729" s="46">
        <f>INDEX(ChDoorVel,MATCH(E1729,ChName,0))*CalibScalar*(1+VelocityUplift)</f>
        <v/>
      </c>
      <c r="Q1729" s="46" t="n">
        <v>0</v>
      </c>
      <c r="R1729" s="46">
        <f>P1729*O1729*M1729*N1729*H1729</f>
        <v/>
      </c>
      <c r="S1729" s="46">
        <f>R1729*INDEX(FmtCansPerCase,MATCH(F1729,FmtName,0))</f>
        <v/>
      </c>
      <c r="T1729" s="46">
        <f>S1729/INDEX(FmtCansPerPack,MATCH(F1729,FmtName,0))</f>
        <v/>
      </c>
      <c r="U1729" s="47">
        <f>INDEX(ChBaseCP,MATCH(E1729,ChName,0))*(1+INDEX(ProvMod,MATCH(G1729,ProvCode,0)))*(1+PriceIndex)</f>
        <v/>
      </c>
      <c r="V1729" s="47">
        <f>R1729*U1729*INDEX(FmtBlendedPriceIdx,MATCH(F1729,FmtName,0))</f>
        <v/>
      </c>
      <c r="W1729" s="47">
        <f>T1729*INDEX(ProvSRP,MATCH(G1729,ProvCode,0))*(1+PriceIndex)</f>
        <v/>
      </c>
      <c r="X1729" s="47">
        <f>IF(GrossBasis="Wholesale",V1729,W1729)</f>
        <v/>
      </c>
      <c r="Y1729" s="47">
        <f>R1729*INDEX(FmtBlendedCogs,MATCH(F1729,FmtName,0))</f>
        <v/>
      </c>
      <c r="Z1729" s="47">
        <f>X1729-Y1729</f>
        <v/>
      </c>
    </row>
    <row r="1730">
      <c r="A1730" t="n">
        <v>33</v>
      </c>
      <c r="B1730" s="44">
        <f>FiscalStart+(A1730-1)*7</f>
        <v/>
      </c>
      <c r="C1730">
        <f>TEXT(B1730,"mmm yyyy")</f>
        <v/>
      </c>
      <c r="D1730">
        <f>"Q"&amp;(INT((A1730-1)/13)+1)</f>
        <v/>
      </c>
      <c r="E1730" t="inlineStr">
        <is>
          <t>Costco</t>
        </is>
      </c>
      <c r="F1730">
        <f>IFERROR(INDEX(ChFormat,MATCH(E1730,ChName,0)),"")</f>
        <v/>
      </c>
      <c r="G1730" t="inlineStr">
        <is>
          <t>SK</t>
        </is>
      </c>
      <c r="H1730">
        <f>IF(A1730&lt;=NWeeks,1,0)</f>
        <v/>
      </c>
      <c r="I1730">
        <f>INDEX(ChLaunch,MATCH(E1730,ChName,0))</f>
        <v/>
      </c>
      <c r="J1730">
        <f>INDEX(ChWeeksFull,MATCH(E1730,ChName,0))</f>
        <v/>
      </c>
      <c r="K1730">
        <f>INDEX(ChRamp,MATCH(E1730,ChName,0))</f>
        <v/>
      </c>
      <c r="L1730" s="45">
        <f>MIN(1,MAX(0,(A1730-I1730+1)*RampSpeed/J1730))</f>
        <v/>
      </c>
      <c r="M1730" s="45">
        <f>IF(A1730&lt;I1730,0,IF(K1730="S-curve",L1730*L1730*(3-2*L1730),L1730))</f>
        <v/>
      </c>
      <c r="N1730" s="45">
        <f>1+(INDEX(SeasonIdx,A1730)-1)*SeasonAmp</f>
        <v/>
      </c>
      <c r="O1730" s="45">
        <f>IFERROR(INDEX(PSPct,MATCH(E1730&amp;"|"&amp;G1730,PSKey,0)),0)</f>
        <v/>
      </c>
      <c r="P1730" s="46">
        <f>INDEX(ChDoorVel,MATCH(E1730,ChName,0))*CalibScalar*(1+VelocityUplift)</f>
        <v/>
      </c>
      <c r="Q1730" s="46" t="n">
        <v>0</v>
      </c>
      <c r="R1730" s="46">
        <f>P1730*O1730*M1730*N1730*H1730</f>
        <v/>
      </c>
      <c r="S1730" s="46">
        <f>R1730*INDEX(FmtCansPerCase,MATCH(F1730,FmtName,0))</f>
        <v/>
      </c>
      <c r="T1730" s="46">
        <f>S1730/INDEX(FmtCansPerPack,MATCH(F1730,FmtName,0))</f>
        <v/>
      </c>
      <c r="U1730" s="47">
        <f>INDEX(ChBaseCP,MATCH(E1730,ChName,0))*(1+INDEX(ProvMod,MATCH(G1730,ProvCode,0)))*(1+PriceIndex)</f>
        <v/>
      </c>
      <c r="V1730" s="47">
        <f>R1730*U1730*INDEX(FmtBlendedPriceIdx,MATCH(F1730,FmtName,0))</f>
        <v/>
      </c>
      <c r="W1730" s="47">
        <f>T1730*INDEX(ProvSRP,MATCH(G1730,ProvCode,0))*(1+PriceIndex)</f>
        <v/>
      </c>
      <c r="X1730" s="47">
        <f>IF(GrossBasis="Wholesale",V1730,W1730)</f>
        <v/>
      </c>
      <c r="Y1730" s="47">
        <f>R1730*INDEX(FmtBlendedCogs,MATCH(F1730,FmtName,0))</f>
        <v/>
      </c>
      <c r="Z1730" s="47">
        <f>X1730-Y1730</f>
        <v/>
      </c>
    </row>
    <row r="1731">
      <c r="A1731" t="n">
        <v>34</v>
      </c>
      <c r="B1731" s="44">
        <f>FiscalStart+(A1731-1)*7</f>
        <v/>
      </c>
      <c r="C1731">
        <f>TEXT(B1731,"mmm yyyy")</f>
        <v/>
      </c>
      <c r="D1731">
        <f>"Q"&amp;(INT((A1731-1)/13)+1)</f>
        <v/>
      </c>
      <c r="E1731" t="inlineStr">
        <is>
          <t>Costco</t>
        </is>
      </c>
      <c r="F1731">
        <f>IFERROR(INDEX(ChFormat,MATCH(E1731,ChName,0)),"")</f>
        <v/>
      </c>
      <c r="G1731" t="inlineStr">
        <is>
          <t>SK</t>
        </is>
      </c>
      <c r="H1731">
        <f>IF(A1731&lt;=NWeeks,1,0)</f>
        <v/>
      </c>
      <c r="I1731">
        <f>INDEX(ChLaunch,MATCH(E1731,ChName,0))</f>
        <v/>
      </c>
      <c r="J1731">
        <f>INDEX(ChWeeksFull,MATCH(E1731,ChName,0))</f>
        <v/>
      </c>
      <c r="K1731">
        <f>INDEX(ChRamp,MATCH(E1731,ChName,0))</f>
        <v/>
      </c>
      <c r="L1731" s="45">
        <f>MIN(1,MAX(0,(A1731-I1731+1)*RampSpeed/J1731))</f>
        <v/>
      </c>
      <c r="M1731" s="45">
        <f>IF(A1731&lt;I1731,0,IF(K1731="S-curve",L1731*L1731*(3-2*L1731),L1731))</f>
        <v/>
      </c>
      <c r="N1731" s="45">
        <f>1+(INDEX(SeasonIdx,A1731)-1)*SeasonAmp</f>
        <v/>
      </c>
      <c r="O1731" s="45">
        <f>IFERROR(INDEX(PSPct,MATCH(E1731&amp;"|"&amp;G1731,PSKey,0)),0)</f>
        <v/>
      </c>
      <c r="P1731" s="46">
        <f>INDEX(ChDoorVel,MATCH(E1731,ChName,0))*CalibScalar*(1+VelocityUplift)</f>
        <v/>
      </c>
      <c r="Q1731" s="46" t="n">
        <v>0</v>
      </c>
      <c r="R1731" s="46">
        <f>P1731*O1731*M1731*N1731*H1731</f>
        <v/>
      </c>
      <c r="S1731" s="46">
        <f>R1731*INDEX(FmtCansPerCase,MATCH(F1731,FmtName,0))</f>
        <v/>
      </c>
      <c r="T1731" s="46">
        <f>S1731/INDEX(FmtCansPerPack,MATCH(F1731,FmtName,0))</f>
        <v/>
      </c>
      <c r="U1731" s="47">
        <f>INDEX(ChBaseCP,MATCH(E1731,ChName,0))*(1+INDEX(ProvMod,MATCH(G1731,ProvCode,0)))*(1+PriceIndex)</f>
        <v/>
      </c>
      <c r="V1731" s="47">
        <f>R1731*U1731*INDEX(FmtBlendedPriceIdx,MATCH(F1731,FmtName,0))</f>
        <v/>
      </c>
      <c r="W1731" s="47">
        <f>T1731*INDEX(ProvSRP,MATCH(G1731,ProvCode,0))*(1+PriceIndex)</f>
        <v/>
      </c>
      <c r="X1731" s="47">
        <f>IF(GrossBasis="Wholesale",V1731,W1731)</f>
        <v/>
      </c>
      <c r="Y1731" s="47">
        <f>R1731*INDEX(FmtBlendedCogs,MATCH(F1731,FmtName,0))</f>
        <v/>
      </c>
      <c r="Z1731" s="47">
        <f>X1731-Y1731</f>
        <v/>
      </c>
    </row>
    <row r="1732">
      <c r="A1732" t="n">
        <v>35</v>
      </c>
      <c r="B1732" s="44">
        <f>FiscalStart+(A1732-1)*7</f>
        <v/>
      </c>
      <c r="C1732">
        <f>TEXT(B1732,"mmm yyyy")</f>
        <v/>
      </c>
      <c r="D1732">
        <f>"Q"&amp;(INT((A1732-1)/13)+1)</f>
        <v/>
      </c>
      <c r="E1732" t="inlineStr">
        <is>
          <t>Costco</t>
        </is>
      </c>
      <c r="F1732">
        <f>IFERROR(INDEX(ChFormat,MATCH(E1732,ChName,0)),"")</f>
        <v/>
      </c>
      <c r="G1732" t="inlineStr">
        <is>
          <t>SK</t>
        </is>
      </c>
      <c r="H1732">
        <f>IF(A1732&lt;=NWeeks,1,0)</f>
        <v/>
      </c>
      <c r="I1732">
        <f>INDEX(ChLaunch,MATCH(E1732,ChName,0))</f>
        <v/>
      </c>
      <c r="J1732">
        <f>INDEX(ChWeeksFull,MATCH(E1732,ChName,0))</f>
        <v/>
      </c>
      <c r="K1732">
        <f>INDEX(ChRamp,MATCH(E1732,ChName,0))</f>
        <v/>
      </c>
      <c r="L1732" s="45">
        <f>MIN(1,MAX(0,(A1732-I1732+1)*RampSpeed/J1732))</f>
        <v/>
      </c>
      <c r="M1732" s="45">
        <f>IF(A1732&lt;I1732,0,IF(K1732="S-curve",L1732*L1732*(3-2*L1732),L1732))</f>
        <v/>
      </c>
      <c r="N1732" s="45">
        <f>1+(INDEX(SeasonIdx,A1732)-1)*SeasonAmp</f>
        <v/>
      </c>
      <c r="O1732" s="45">
        <f>IFERROR(INDEX(PSPct,MATCH(E1732&amp;"|"&amp;G1732,PSKey,0)),0)</f>
        <v/>
      </c>
      <c r="P1732" s="46">
        <f>INDEX(ChDoorVel,MATCH(E1732,ChName,0))*CalibScalar*(1+VelocityUplift)</f>
        <v/>
      </c>
      <c r="Q1732" s="46" t="n">
        <v>0</v>
      </c>
      <c r="R1732" s="46">
        <f>P1732*O1732*M1732*N1732*H1732</f>
        <v/>
      </c>
      <c r="S1732" s="46">
        <f>R1732*INDEX(FmtCansPerCase,MATCH(F1732,FmtName,0))</f>
        <v/>
      </c>
      <c r="T1732" s="46">
        <f>S1732/INDEX(FmtCansPerPack,MATCH(F1732,FmtName,0))</f>
        <v/>
      </c>
      <c r="U1732" s="47">
        <f>INDEX(ChBaseCP,MATCH(E1732,ChName,0))*(1+INDEX(ProvMod,MATCH(G1732,ProvCode,0)))*(1+PriceIndex)</f>
        <v/>
      </c>
      <c r="V1732" s="47">
        <f>R1732*U1732*INDEX(FmtBlendedPriceIdx,MATCH(F1732,FmtName,0))</f>
        <v/>
      </c>
      <c r="W1732" s="47">
        <f>T1732*INDEX(ProvSRP,MATCH(G1732,ProvCode,0))*(1+PriceIndex)</f>
        <v/>
      </c>
      <c r="X1732" s="47">
        <f>IF(GrossBasis="Wholesale",V1732,W1732)</f>
        <v/>
      </c>
      <c r="Y1732" s="47">
        <f>R1732*INDEX(FmtBlendedCogs,MATCH(F1732,FmtName,0))</f>
        <v/>
      </c>
      <c r="Z1732" s="47">
        <f>X1732-Y1732</f>
        <v/>
      </c>
    </row>
    <row r="1733">
      <c r="A1733" t="n">
        <v>36</v>
      </c>
      <c r="B1733" s="44">
        <f>FiscalStart+(A1733-1)*7</f>
        <v/>
      </c>
      <c r="C1733">
        <f>TEXT(B1733,"mmm yyyy")</f>
        <v/>
      </c>
      <c r="D1733">
        <f>"Q"&amp;(INT((A1733-1)/13)+1)</f>
        <v/>
      </c>
      <c r="E1733" t="inlineStr">
        <is>
          <t>Costco</t>
        </is>
      </c>
      <c r="F1733">
        <f>IFERROR(INDEX(ChFormat,MATCH(E1733,ChName,0)),"")</f>
        <v/>
      </c>
      <c r="G1733" t="inlineStr">
        <is>
          <t>SK</t>
        </is>
      </c>
      <c r="H1733">
        <f>IF(A1733&lt;=NWeeks,1,0)</f>
        <v/>
      </c>
      <c r="I1733">
        <f>INDEX(ChLaunch,MATCH(E1733,ChName,0))</f>
        <v/>
      </c>
      <c r="J1733">
        <f>INDEX(ChWeeksFull,MATCH(E1733,ChName,0))</f>
        <v/>
      </c>
      <c r="K1733">
        <f>INDEX(ChRamp,MATCH(E1733,ChName,0))</f>
        <v/>
      </c>
      <c r="L1733" s="45">
        <f>MIN(1,MAX(0,(A1733-I1733+1)*RampSpeed/J1733))</f>
        <v/>
      </c>
      <c r="M1733" s="45">
        <f>IF(A1733&lt;I1733,0,IF(K1733="S-curve",L1733*L1733*(3-2*L1733),L1733))</f>
        <v/>
      </c>
      <c r="N1733" s="45">
        <f>1+(INDEX(SeasonIdx,A1733)-1)*SeasonAmp</f>
        <v/>
      </c>
      <c r="O1733" s="45">
        <f>IFERROR(INDEX(PSPct,MATCH(E1733&amp;"|"&amp;G1733,PSKey,0)),0)</f>
        <v/>
      </c>
      <c r="P1733" s="46">
        <f>INDEX(ChDoorVel,MATCH(E1733,ChName,0))*CalibScalar*(1+VelocityUplift)</f>
        <v/>
      </c>
      <c r="Q1733" s="46" t="n">
        <v>0</v>
      </c>
      <c r="R1733" s="46">
        <f>P1733*O1733*M1733*N1733*H1733</f>
        <v/>
      </c>
      <c r="S1733" s="46">
        <f>R1733*INDEX(FmtCansPerCase,MATCH(F1733,FmtName,0))</f>
        <v/>
      </c>
      <c r="T1733" s="46">
        <f>S1733/INDEX(FmtCansPerPack,MATCH(F1733,FmtName,0))</f>
        <v/>
      </c>
      <c r="U1733" s="47">
        <f>INDEX(ChBaseCP,MATCH(E1733,ChName,0))*(1+INDEX(ProvMod,MATCH(G1733,ProvCode,0)))*(1+PriceIndex)</f>
        <v/>
      </c>
      <c r="V1733" s="47">
        <f>R1733*U1733*INDEX(FmtBlendedPriceIdx,MATCH(F1733,FmtName,0))</f>
        <v/>
      </c>
      <c r="W1733" s="47">
        <f>T1733*INDEX(ProvSRP,MATCH(G1733,ProvCode,0))*(1+PriceIndex)</f>
        <v/>
      </c>
      <c r="X1733" s="47">
        <f>IF(GrossBasis="Wholesale",V1733,W1733)</f>
        <v/>
      </c>
      <c r="Y1733" s="47">
        <f>R1733*INDEX(FmtBlendedCogs,MATCH(F1733,FmtName,0))</f>
        <v/>
      </c>
      <c r="Z1733" s="47">
        <f>X1733-Y1733</f>
        <v/>
      </c>
    </row>
    <row r="1734">
      <c r="A1734" t="n">
        <v>37</v>
      </c>
      <c r="B1734" s="44">
        <f>FiscalStart+(A1734-1)*7</f>
        <v/>
      </c>
      <c r="C1734">
        <f>TEXT(B1734,"mmm yyyy")</f>
        <v/>
      </c>
      <c r="D1734">
        <f>"Q"&amp;(INT((A1734-1)/13)+1)</f>
        <v/>
      </c>
      <c r="E1734" t="inlineStr">
        <is>
          <t>Costco</t>
        </is>
      </c>
      <c r="F1734">
        <f>IFERROR(INDEX(ChFormat,MATCH(E1734,ChName,0)),"")</f>
        <v/>
      </c>
      <c r="G1734" t="inlineStr">
        <is>
          <t>SK</t>
        </is>
      </c>
      <c r="H1734">
        <f>IF(A1734&lt;=NWeeks,1,0)</f>
        <v/>
      </c>
      <c r="I1734">
        <f>INDEX(ChLaunch,MATCH(E1734,ChName,0))</f>
        <v/>
      </c>
      <c r="J1734">
        <f>INDEX(ChWeeksFull,MATCH(E1734,ChName,0))</f>
        <v/>
      </c>
      <c r="K1734">
        <f>INDEX(ChRamp,MATCH(E1734,ChName,0))</f>
        <v/>
      </c>
      <c r="L1734" s="45">
        <f>MIN(1,MAX(0,(A1734-I1734+1)*RampSpeed/J1734))</f>
        <v/>
      </c>
      <c r="M1734" s="45">
        <f>IF(A1734&lt;I1734,0,IF(K1734="S-curve",L1734*L1734*(3-2*L1734),L1734))</f>
        <v/>
      </c>
      <c r="N1734" s="45">
        <f>1+(INDEX(SeasonIdx,A1734)-1)*SeasonAmp</f>
        <v/>
      </c>
      <c r="O1734" s="45">
        <f>IFERROR(INDEX(PSPct,MATCH(E1734&amp;"|"&amp;G1734,PSKey,0)),0)</f>
        <v/>
      </c>
      <c r="P1734" s="46">
        <f>INDEX(ChDoorVel,MATCH(E1734,ChName,0))*CalibScalar*(1+VelocityUplift)</f>
        <v/>
      </c>
      <c r="Q1734" s="46" t="n">
        <v>0</v>
      </c>
      <c r="R1734" s="46">
        <f>P1734*O1734*M1734*N1734*H1734</f>
        <v/>
      </c>
      <c r="S1734" s="46">
        <f>R1734*INDEX(FmtCansPerCase,MATCH(F1734,FmtName,0))</f>
        <v/>
      </c>
      <c r="T1734" s="46">
        <f>S1734/INDEX(FmtCansPerPack,MATCH(F1734,FmtName,0))</f>
        <v/>
      </c>
      <c r="U1734" s="47">
        <f>INDEX(ChBaseCP,MATCH(E1734,ChName,0))*(1+INDEX(ProvMod,MATCH(G1734,ProvCode,0)))*(1+PriceIndex)</f>
        <v/>
      </c>
      <c r="V1734" s="47">
        <f>R1734*U1734*INDEX(FmtBlendedPriceIdx,MATCH(F1734,FmtName,0))</f>
        <v/>
      </c>
      <c r="W1734" s="47">
        <f>T1734*INDEX(ProvSRP,MATCH(G1734,ProvCode,0))*(1+PriceIndex)</f>
        <v/>
      </c>
      <c r="X1734" s="47">
        <f>IF(GrossBasis="Wholesale",V1734,W1734)</f>
        <v/>
      </c>
      <c r="Y1734" s="47">
        <f>R1734*INDEX(FmtBlendedCogs,MATCH(F1734,FmtName,0))</f>
        <v/>
      </c>
      <c r="Z1734" s="47">
        <f>X1734-Y1734</f>
        <v/>
      </c>
    </row>
    <row r="1735">
      <c r="A1735" t="n">
        <v>38</v>
      </c>
      <c r="B1735" s="44">
        <f>FiscalStart+(A1735-1)*7</f>
        <v/>
      </c>
      <c r="C1735">
        <f>TEXT(B1735,"mmm yyyy")</f>
        <v/>
      </c>
      <c r="D1735">
        <f>"Q"&amp;(INT((A1735-1)/13)+1)</f>
        <v/>
      </c>
      <c r="E1735" t="inlineStr">
        <is>
          <t>Costco</t>
        </is>
      </c>
      <c r="F1735">
        <f>IFERROR(INDEX(ChFormat,MATCH(E1735,ChName,0)),"")</f>
        <v/>
      </c>
      <c r="G1735" t="inlineStr">
        <is>
          <t>SK</t>
        </is>
      </c>
      <c r="H1735">
        <f>IF(A1735&lt;=NWeeks,1,0)</f>
        <v/>
      </c>
      <c r="I1735">
        <f>INDEX(ChLaunch,MATCH(E1735,ChName,0))</f>
        <v/>
      </c>
      <c r="J1735">
        <f>INDEX(ChWeeksFull,MATCH(E1735,ChName,0))</f>
        <v/>
      </c>
      <c r="K1735">
        <f>INDEX(ChRamp,MATCH(E1735,ChName,0))</f>
        <v/>
      </c>
      <c r="L1735" s="45">
        <f>MIN(1,MAX(0,(A1735-I1735+1)*RampSpeed/J1735))</f>
        <v/>
      </c>
      <c r="M1735" s="45">
        <f>IF(A1735&lt;I1735,0,IF(K1735="S-curve",L1735*L1735*(3-2*L1735),L1735))</f>
        <v/>
      </c>
      <c r="N1735" s="45">
        <f>1+(INDEX(SeasonIdx,A1735)-1)*SeasonAmp</f>
        <v/>
      </c>
      <c r="O1735" s="45">
        <f>IFERROR(INDEX(PSPct,MATCH(E1735&amp;"|"&amp;G1735,PSKey,0)),0)</f>
        <v/>
      </c>
      <c r="P1735" s="46">
        <f>INDEX(ChDoorVel,MATCH(E1735,ChName,0))*CalibScalar*(1+VelocityUplift)</f>
        <v/>
      </c>
      <c r="Q1735" s="46" t="n">
        <v>0</v>
      </c>
      <c r="R1735" s="46">
        <f>P1735*O1735*M1735*N1735*H1735</f>
        <v/>
      </c>
      <c r="S1735" s="46">
        <f>R1735*INDEX(FmtCansPerCase,MATCH(F1735,FmtName,0))</f>
        <v/>
      </c>
      <c r="T1735" s="46">
        <f>S1735/INDEX(FmtCansPerPack,MATCH(F1735,FmtName,0))</f>
        <v/>
      </c>
      <c r="U1735" s="47">
        <f>INDEX(ChBaseCP,MATCH(E1735,ChName,0))*(1+INDEX(ProvMod,MATCH(G1735,ProvCode,0)))*(1+PriceIndex)</f>
        <v/>
      </c>
      <c r="V1735" s="47">
        <f>R1735*U1735*INDEX(FmtBlendedPriceIdx,MATCH(F1735,FmtName,0))</f>
        <v/>
      </c>
      <c r="W1735" s="47">
        <f>T1735*INDEX(ProvSRP,MATCH(G1735,ProvCode,0))*(1+PriceIndex)</f>
        <v/>
      </c>
      <c r="X1735" s="47">
        <f>IF(GrossBasis="Wholesale",V1735,W1735)</f>
        <v/>
      </c>
      <c r="Y1735" s="47">
        <f>R1735*INDEX(FmtBlendedCogs,MATCH(F1735,FmtName,0))</f>
        <v/>
      </c>
      <c r="Z1735" s="47">
        <f>X1735-Y1735</f>
        <v/>
      </c>
    </row>
    <row r="1736">
      <c r="A1736" t="n">
        <v>39</v>
      </c>
      <c r="B1736" s="44">
        <f>FiscalStart+(A1736-1)*7</f>
        <v/>
      </c>
      <c r="C1736">
        <f>TEXT(B1736,"mmm yyyy")</f>
        <v/>
      </c>
      <c r="D1736">
        <f>"Q"&amp;(INT((A1736-1)/13)+1)</f>
        <v/>
      </c>
      <c r="E1736" t="inlineStr">
        <is>
          <t>Costco</t>
        </is>
      </c>
      <c r="F1736">
        <f>IFERROR(INDEX(ChFormat,MATCH(E1736,ChName,0)),"")</f>
        <v/>
      </c>
      <c r="G1736" t="inlineStr">
        <is>
          <t>SK</t>
        </is>
      </c>
      <c r="H1736">
        <f>IF(A1736&lt;=NWeeks,1,0)</f>
        <v/>
      </c>
      <c r="I1736">
        <f>INDEX(ChLaunch,MATCH(E1736,ChName,0))</f>
        <v/>
      </c>
      <c r="J1736">
        <f>INDEX(ChWeeksFull,MATCH(E1736,ChName,0))</f>
        <v/>
      </c>
      <c r="K1736">
        <f>INDEX(ChRamp,MATCH(E1736,ChName,0))</f>
        <v/>
      </c>
      <c r="L1736" s="45">
        <f>MIN(1,MAX(0,(A1736-I1736+1)*RampSpeed/J1736))</f>
        <v/>
      </c>
      <c r="M1736" s="45">
        <f>IF(A1736&lt;I1736,0,IF(K1736="S-curve",L1736*L1736*(3-2*L1736),L1736))</f>
        <v/>
      </c>
      <c r="N1736" s="45">
        <f>1+(INDEX(SeasonIdx,A1736)-1)*SeasonAmp</f>
        <v/>
      </c>
      <c r="O1736" s="45">
        <f>IFERROR(INDEX(PSPct,MATCH(E1736&amp;"|"&amp;G1736,PSKey,0)),0)</f>
        <v/>
      </c>
      <c r="P1736" s="46">
        <f>INDEX(ChDoorVel,MATCH(E1736,ChName,0))*CalibScalar*(1+VelocityUplift)</f>
        <v/>
      </c>
      <c r="Q1736" s="46" t="n">
        <v>0</v>
      </c>
      <c r="R1736" s="46">
        <f>P1736*O1736*M1736*N1736*H1736</f>
        <v/>
      </c>
      <c r="S1736" s="46">
        <f>R1736*INDEX(FmtCansPerCase,MATCH(F1736,FmtName,0))</f>
        <v/>
      </c>
      <c r="T1736" s="46">
        <f>S1736/INDEX(FmtCansPerPack,MATCH(F1736,FmtName,0))</f>
        <v/>
      </c>
      <c r="U1736" s="47">
        <f>INDEX(ChBaseCP,MATCH(E1736,ChName,0))*(1+INDEX(ProvMod,MATCH(G1736,ProvCode,0)))*(1+PriceIndex)</f>
        <v/>
      </c>
      <c r="V1736" s="47">
        <f>R1736*U1736*INDEX(FmtBlendedPriceIdx,MATCH(F1736,FmtName,0))</f>
        <v/>
      </c>
      <c r="W1736" s="47">
        <f>T1736*INDEX(ProvSRP,MATCH(G1736,ProvCode,0))*(1+PriceIndex)</f>
        <v/>
      </c>
      <c r="X1736" s="47">
        <f>IF(GrossBasis="Wholesale",V1736,W1736)</f>
        <v/>
      </c>
      <c r="Y1736" s="47">
        <f>R1736*INDEX(FmtBlendedCogs,MATCH(F1736,FmtName,0))</f>
        <v/>
      </c>
      <c r="Z1736" s="47">
        <f>X1736-Y1736</f>
        <v/>
      </c>
    </row>
    <row r="1737">
      <c r="A1737" t="n">
        <v>40</v>
      </c>
      <c r="B1737" s="44">
        <f>FiscalStart+(A1737-1)*7</f>
        <v/>
      </c>
      <c r="C1737">
        <f>TEXT(B1737,"mmm yyyy")</f>
        <v/>
      </c>
      <c r="D1737">
        <f>"Q"&amp;(INT((A1737-1)/13)+1)</f>
        <v/>
      </c>
      <c r="E1737" t="inlineStr">
        <is>
          <t>Costco</t>
        </is>
      </c>
      <c r="F1737">
        <f>IFERROR(INDEX(ChFormat,MATCH(E1737,ChName,0)),"")</f>
        <v/>
      </c>
      <c r="G1737" t="inlineStr">
        <is>
          <t>SK</t>
        </is>
      </c>
      <c r="H1737">
        <f>IF(A1737&lt;=NWeeks,1,0)</f>
        <v/>
      </c>
      <c r="I1737">
        <f>INDEX(ChLaunch,MATCH(E1737,ChName,0))</f>
        <v/>
      </c>
      <c r="J1737">
        <f>INDEX(ChWeeksFull,MATCH(E1737,ChName,0))</f>
        <v/>
      </c>
      <c r="K1737">
        <f>INDEX(ChRamp,MATCH(E1737,ChName,0))</f>
        <v/>
      </c>
      <c r="L1737" s="45">
        <f>MIN(1,MAX(0,(A1737-I1737+1)*RampSpeed/J1737))</f>
        <v/>
      </c>
      <c r="M1737" s="45">
        <f>IF(A1737&lt;I1737,0,IF(K1737="S-curve",L1737*L1737*(3-2*L1737),L1737))</f>
        <v/>
      </c>
      <c r="N1737" s="45">
        <f>1+(INDEX(SeasonIdx,A1737)-1)*SeasonAmp</f>
        <v/>
      </c>
      <c r="O1737" s="45">
        <f>IFERROR(INDEX(PSPct,MATCH(E1737&amp;"|"&amp;G1737,PSKey,0)),0)</f>
        <v/>
      </c>
      <c r="P1737" s="46">
        <f>INDEX(ChDoorVel,MATCH(E1737,ChName,0))*CalibScalar*(1+VelocityUplift)</f>
        <v/>
      </c>
      <c r="Q1737" s="46" t="n">
        <v>0</v>
      </c>
      <c r="R1737" s="46">
        <f>P1737*O1737*M1737*N1737*H1737</f>
        <v/>
      </c>
      <c r="S1737" s="46">
        <f>R1737*INDEX(FmtCansPerCase,MATCH(F1737,FmtName,0))</f>
        <v/>
      </c>
      <c r="T1737" s="46">
        <f>S1737/INDEX(FmtCansPerPack,MATCH(F1737,FmtName,0))</f>
        <v/>
      </c>
      <c r="U1737" s="47">
        <f>INDEX(ChBaseCP,MATCH(E1737,ChName,0))*(1+INDEX(ProvMod,MATCH(G1737,ProvCode,0)))*(1+PriceIndex)</f>
        <v/>
      </c>
      <c r="V1737" s="47">
        <f>R1737*U1737*INDEX(FmtBlendedPriceIdx,MATCH(F1737,FmtName,0))</f>
        <v/>
      </c>
      <c r="W1737" s="47">
        <f>T1737*INDEX(ProvSRP,MATCH(G1737,ProvCode,0))*(1+PriceIndex)</f>
        <v/>
      </c>
      <c r="X1737" s="47">
        <f>IF(GrossBasis="Wholesale",V1737,W1737)</f>
        <v/>
      </c>
      <c r="Y1737" s="47">
        <f>R1737*INDEX(FmtBlendedCogs,MATCH(F1737,FmtName,0))</f>
        <v/>
      </c>
      <c r="Z1737" s="47">
        <f>X1737-Y1737</f>
        <v/>
      </c>
    </row>
    <row r="1738">
      <c r="A1738" t="n">
        <v>41</v>
      </c>
      <c r="B1738" s="44">
        <f>FiscalStart+(A1738-1)*7</f>
        <v/>
      </c>
      <c r="C1738">
        <f>TEXT(B1738,"mmm yyyy")</f>
        <v/>
      </c>
      <c r="D1738">
        <f>"Q"&amp;(INT((A1738-1)/13)+1)</f>
        <v/>
      </c>
      <c r="E1738" t="inlineStr">
        <is>
          <t>Costco</t>
        </is>
      </c>
      <c r="F1738">
        <f>IFERROR(INDEX(ChFormat,MATCH(E1738,ChName,0)),"")</f>
        <v/>
      </c>
      <c r="G1738" t="inlineStr">
        <is>
          <t>SK</t>
        </is>
      </c>
      <c r="H1738">
        <f>IF(A1738&lt;=NWeeks,1,0)</f>
        <v/>
      </c>
      <c r="I1738">
        <f>INDEX(ChLaunch,MATCH(E1738,ChName,0))</f>
        <v/>
      </c>
      <c r="J1738">
        <f>INDEX(ChWeeksFull,MATCH(E1738,ChName,0))</f>
        <v/>
      </c>
      <c r="K1738">
        <f>INDEX(ChRamp,MATCH(E1738,ChName,0))</f>
        <v/>
      </c>
      <c r="L1738" s="45">
        <f>MIN(1,MAX(0,(A1738-I1738+1)*RampSpeed/J1738))</f>
        <v/>
      </c>
      <c r="M1738" s="45">
        <f>IF(A1738&lt;I1738,0,IF(K1738="S-curve",L1738*L1738*(3-2*L1738),L1738))</f>
        <v/>
      </c>
      <c r="N1738" s="45">
        <f>1+(INDEX(SeasonIdx,A1738)-1)*SeasonAmp</f>
        <v/>
      </c>
      <c r="O1738" s="45">
        <f>IFERROR(INDEX(PSPct,MATCH(E1738&amp;"|"&amp;G1738,PSKey,0)),0)</f>
        <v/>
      </c>
      <c r="P1738" s="46">
        <f>INDEX(ChDoorVel,MATCH(E1738,ChName,0))*CalibScalar*(1+VelocityUplift)</f>
        <v/>
      </c>
      <c r="Q1738" s="46" t="n">
        <v>0</v>
      </c>
      <c r="R1738" s="46">
        <f>P1738*O1738*M1738*N1738*H1738</f>
        <v/>
      </c>
      <c r="S1738" s="46">
        <f>R1738*INDEX(FmtCansPerCase,MATCH(F1738,FmtName,0))</f>
        <v/>
      </c>
      <c r="T1738" s="46">
        <f>S1738/INDEX(FmtCansPerPack,MATCH(F1738,FmtName,0))</f>
        <v/>
      </c>
      <c r="U1738" s="47">
        <f>INDEX(ChBaseCP,MATCH(E1738,ChName,0))*(1+INDEX(ProvMod,MATCH(G1738,ProvCode,0)))*(1+PriceIndex)</f>
        <v/>
      </c>
      <c r="V1738" s="47">
        <f>R1738*U1738*INDEX(FmtBlendedPriceIdx,MATCH(F1738,FmtName,0))</f>
        <v/>
      </c>
      <c r="W1738" s="47">
        <f>T1738*INDEX(ProvSRP,MATCH(G1738,ProvCode,0))*(1+PriceIndex)</f>
        <v/>
      </c>
      <c r="X1738" s="47">
        <f>IF(GrossBasis="Wholesale",V1738,W1738)</f>
        <v/>
      </c>
      <c r="Y1738" s="47">
        <f>R1738*INDEX(FmtBlendedCogs,MATCH(F1738,FmtName,0))</f>
        <v/>
      </c>
      <c r="Z1738" s="47">
        <f>X1738-Y1738</f>
        <v/>
      </c>
    </row>
    <row r="1739">
      <c r="A1739" t="n">
        <v>42</v>
      </c>
      <c r="B1739" s="44">
        <f>FiscalStart+(A1739-1)*7</f>
        <v/>
      </c>
      <c r="C1739">
        <f>TEXT(B1739,"mmm yyyy")</f>
        <v/>
      </c>
      <c r="D1739">
        <f>"Q"&amp;(INT((A1739-1)/13)+1)</f>
        <v/>
      </c>
      <c r="E1739" t="inlineStr">
        <is>
          <t>Costco</t>
        </is>
      </c>
      <c r="F1739">
        <f>IFERROR(INDEX(ChFormat,MATCH(E1739,ChName,0)),"")</f>
        <v/>
      </c>
      <c r="G1739" t="inlineStr">
        <is>
          <t>SK</t>
        </is>
      </c>
      <c r="H1739">
        <f>IF(A1739&lt;=NWeeks,1,0)</f>
        <v/>
      </c>
      <c r="I1739">
        <f>INDEX(ChLaunch,MATCH(E1739,ChName,0))</f>
        <v/>
      </c>
      <c r="J1739">
        <f>INDEX(ChWeeksFull,MATCH(E1739,ChName,0))</f>
        <v/>
      </c>
      <c r="K1739">
        <f>INDEX(ChRamp,MATCH(E1739,ChName,0))</f>
        <v/>
      </c>
      <c r="L1739" s="45">
        <f>MIN(1,MAX(0,(A1739-I1739+1)*RampSpeed/J1739))</f>
        <v/>
      </c>
      <c r="M1739" s="45">
        <f>IF(A1739&lt;I1739,0,IF(K1739="S-curve",L1739*L1739*(3-2*L1739),L1739))</f>
        <v/>
      </c>
      <c r="N1739" s="45">
        <f>1+(INDEX(SeasonIdx,A1739)-1)*SeasonAmp</f>
        <v/>
      </c>
      <c r="O1739" s="45">
        <f>IFERROR(INDEX(PSPct,MATCH(E1739&amp;"|"&amp;G1739,PSKey,0)),0)</f>
        <v/>
      </c>
      <c r="P1739" s="46">
        <f>INDEX(ChDoorVel,MATCH(E1739,ChName,0))*CalibScalar*(1+VelocityUplift)</f>
        <v/>
      </c>
      <c r="Q1739" s="46" t="n">
        <v>0</v>
      </c>
      <c r="R1739" s="46">
        <f>P1739*O1739*M1739*N1739*H1739</f>
        <v/>
      </c>
      <c r="S1739" s="46">
        <f>R1739*INDEX(FmtCansPerCase,MATCH(F1739,FmtName,0))</f>
        <v/>
      </c>
      <c r="T1739" s="46">
        <f>S1739/INDEX(FmtCansPerPack,MATCH(F1739,FmtName,0))</f>
        <v/>
      </c>
      <c r="U1739" s="47">
        <f>INDEX(ChBaseCP,MATCH(E1739,ChName,0))*(1+INDEX(ProvMod,MATCH(G1739,ProvCode,0)))*(1+PriceIndex)</f>
        <v/>
      </c>
      <c r="V1739" s="47">
        <f>R1739*U1739*INDEX(FmtBlendedPriceIdx,MATCH(F1739,FmtName,0))</f>
        <v/>
      </c>
      <c r="W1739" s="47">
        <f>T1739*INDEX(ProvSRP,MATCH(G1739,ProvCode,0))*(1+PriceIndex)</f>
        <v/>
      </c>
      <c r="X1739" s="47">
        <f>IF(GrossBasis="Wholesale",V1739,W1739)</f>
        <v/>
      </c>
      <c r="Y1739" s="47">
        <f>R1739*INDEX(FmtBlendedCogs,MATCH(F1739,FmtName,0))</f>
        <v/>
      </c>
      <c r="Z1739" s="47">
        <f>X1739-Y1739</f>
        <v/>
      </c>
    </row>
    <row r="1740">
      <c r="A1740" t="n">
        <v>43</v>
      </c>
      <c r="B1740" s="44">
        <f>FiscalStart+(A1740-1)*7</f>
        <v/>
      </c>
      <c r="C1740">
        <f>TEXT(B1740,"mmm yyyy")</f>
        <v/>
      </c>
      <c r="D1740">
        <f>"Q"&amp;(INT((A1740-1)/13)+1)</f>
        <v/>
      </c>
      <c r="E1740" t="inlineStr">
        <is>
          <t>Costco</t>
        </is>
      </c>
      <c r="F1740">
        <f>IFERROR(INDEX(ChFormat,MATCH(E1740,ChName,0)),"")</f>
        <v/>
      </c>
      <c r="G1740" t="inlineStr">
        <is>
          <t>SK</t>
        </is>
      </c>
      <c r="H1740">
        <f>IF(A1740&lt;=NWeeks,1,0)</f>
        <v/>
      </c>
      <c r="I1740">
        <f>INDEX(ChLaunch,MATCH(E1740,ChName,0))</f>
        <v/>
      </c>
      <c r="J1740">
        <f>INDEX(ChWeeksFull,MATCH(E1740,ChName,0))</f>
        <v/>
      </c>
      <c r="K1740">
        <f>INDEX(ChRamp,MATCH(E1740,ChName,0))</f>
        <v/>
      </c>
      <c r="L1740" s="45">
        <f>MIN(1,MAX(0,(A1740-I1740+1)*RampSpeed/J1740))</f>
        <v/>
      </c>
      <c r="M1740" s="45">
        <f>IF(A1740&lt;I1740,0,IF(K1740="S-curve",L1740*L1740*(3-2*L1740),L1740))</f>
        <v/>
      </c>
      <c r="N1740" s="45">
        <f>1+(INDEX(SeasonIdx,A1740)-1)*SeasonAmp</f>
        <v/>
      </c>
      <c r="O1740" s="45">
        <f>IFERROR(INDEX(PSPct,MATCH(E1740&amp;"|"&amp;G1740,PSKey,0)),0)</f>
        <v/>
      </c>
      <c r="P1740" s="46">
        <f>INDEX(ChDoorVel,MATCH(E1740,ChName,0))*CalibScalar*(1+VelocityUplift)</f>
        <v/>
      </c>
      <c r="Q1740" s="46" t="n">
        <v>0</v>
      </c>
      <c r="R1740" s="46">
        <f>P1740*O1740*M1740*N1740*H1740</f>
        <v/>
      </c>
      <c r="S1740" s="46">
        <f>R1740*INDEX(FmtCansPerCase,MATCH(F1740,FmtName,0))</f>
        <v/>
      </c>
      <c r="T1740" s="46">
        <f>S1740/INDEX(FmtCansPerPack,MATCH(F1740,FmtName,0))</f>
        <v/>
      </c>
      <c r="U1740" s="47">
        <f>INDEX(ChBaseCP,MATCH(E1740,ChName,0))*(1+INDEX(ProvMod,MATCH(G1740,ProvCode,0)))*(1+PriceIndex)</f>
        <v/>
      </c>
      <c r="V1740" s="47">
        <f>R1740*U1740*INDEX(FmtBlendedPriceIdx,MATCH(F1740,FmtName,0))</f>
        <v/>
      </c>
      <c r="W1740" s="47">
        <f>T1740*INDEX(ProvSRP,MATCH(G1740,ProvCode,0))*(1+PriceIndex)</f>
        <v/>
      </c>
      <c r="X1740" s="47">
        <f>IF(GrossBasis="Wholesale",V1740,W1740)</f>
        <v/>
      </c>
      <c r="Y1740" s="47">
        <f>R1740*INDEX(FmtBlendedCogs,MATCH(F1740,FmtName,0))</f>
        <v/>
      </c>
      <c r="Z1740" s="47">
        <f>X1740-Y1740</f>
        <v/>
      </c>
    </row>
    <row r="1741">
      <c r="A1741" t="n">
        <v>44</v>
      </c>
      <c r="B1741" s="44">
        <f>FiscalStart+(A1741-1)*7</f>
        <v/>
      </c>
      <c r="C1741">
        <f>TEXT(B1741,"mmm yyyy")</f>
        <v/>
      </c>
      <c r="D1741">
        <f>"Q"&amp;(INT((A1741-1)/13)+1)</f>
        <v/>
      </c>
      <c r="E1741" t="inlineStr">
        <is>
          <t>Costco</t>
        </is>
      </c>
      <c r="F1741">
        <f>IFERROR(INDEX(ChFormat,MATCH(E1741,ChName,0)),"")</f>
        <v/>
      </c>
      <c r="G1741" t="inlineStr">
        <is>
          <t>SK</t>
        </is>
      </c>
      <c r="H1741">
        <f>IF(A1741&lt;=NWeeks,1,0)</f>
        <v/>
      </c>
      <c r="I1741">
        <f>INDEX(ChLaunch,MATCH(E1741,ChName,0))</f>
        <v/>
      </c>
      <c r="J1741">
        <f>INDEX(ChWeeksFull,MATCH(E1741,ChName,0))</f>
        <v/>
      </c>
      <c r="K1741">
        <f>INDEX(ChRamp,MATCH(E1741,ChName,0))</f>
        <v/>
      </c>
      <c r="L1741" s="45">
        <f>MIN(1,MAX(0,(A1741-I1741+1)*RampSpeed/J1741))</f>
        <v/>
      </c>
      <c r="M1741" s="45">
        <f>IF(A1741&lt;I1741,0,IF(K1741="S-curve",L1741*L1741*(3-2*L1741),L1741))</f>
        <v/>
      </c>
      <c r="N1741" s="45">
        <f>1+(INDEX(SeasonIdx,A1741)-1)*SeasonAmp</f>
        <v/>
      </c>
      <c r="O1741" s="45">
        <f>IFERROR(INDEX(PSPct,MATCH(E1741&amp;"|"&amp;G1741,PSKey,0)),0)</f>
        <v/>
      </c>
      <c r="P1741" s="46">
        <f>INDEX(ChDoorVel,MATCH(E1741,ChName,0))*CalibScalar*(1+VelocityUplift)</f>
        <v/>
      </c>
      <c r="Q1741" s="46" t="n">
        <v>0</v>
      </c>
      <c r="R1741" s="46">
        <f>P1741*O1741*M1741*N1741*H1741</f>
        <v/>
      </c>
      <c r="S1741" s="46">
        <f>R1741*INDEX(FmtCansPerCase,MATCH(F1741,FmtName,0))</f>
        <v/>
      </c>
      <c r="T1741" s="46">
        <f>S1741/INDEX(FmtCansPerPack,MATCH(F1741,FmtName,0))</f>
        <v/>
      </c>
      <c r="U1741" s="47">
        <f>INDEX(ChBaseCP,MATCH(E1741,ChName,0))*(1+INDEX(ProvMod,MATCH(G1741,ProvCode,0)))*(1+PriceIndex)</f>
        <v/>
      </c>
      <c r="V1741" s="47">
        <f>R1741*U1741*INDEX(FmtBlendedPriceIdx,MATCH(F1741,FmtName,0))</f>
        <v/>
      </c>
      <c r="W1741" s="47">
        <f>T1741*INDEX(ProvSRP,MATCH(G1741,ProvCode,0))*(1+PriceIndex)</f>
        <v/>
      </c>
      <c r="X1741" s="47">
        <f>IF(GrossBasis="Wholesale",V1741,W1741)</f>
        <v/>
      </c>
      <c r="Y1741" s="47">
        <f>R1741*INDEX(FmtBlendedCogs,MATCH(F1741,FmtName,0))</f>
        <v/>
      </c>
      <c r="Z1741" s="47">
        <f>X1741-Y1741</f>
        <v/>
      </c>
    </row>
    <row r="1742">
      <c r="A1742" t="n">
        <v>45</v>
      </c>
      <c r="B1742" s="44">
        <f>FiscalStart+(A1742-1)*7</f>
        <v/>
      </c>
      <c r="C1742">
        <f>TEXT(B1742,"mmm yyyy")</f>
        <v/>
      </c>
      <c r="D1742">
        <f>"Q"&amp;(INT((A1742-1)/13)+1)</f>
        <v/>
      </c>
      <c r="E1742" t="inlineStr">
        <is>
          <t>Costco</t>
        </is>
      </c>
      <c r="F1742">
        <f>IFERROR(INDEX(ChFormat,MATCH(E1742,ChName,0)),"")</f>
        <v/>
      </c>
      <c r="G1742" t="inlineStr">
        <is>
          <t>SK</t>
        </is>
      </c>
      <c r="H1742">
        <f>IF(A1742&lt;=NWeeks,1,0)</f>
        <v/>
      </c>
      <c r="I1742">
        <f>INDEX(ChLaunch,MATCH(E1742,ChName,0))</f>
        <v/>
      </c>
      <c r="J1742">
        <f>INDEX(ChWeeksFull,MATCH(E1742,ChName,0))</f>
        <v/>
      </c>
      <c r="K1742">
        <f>INDEX(ChRamp,MATCH(E1742,ChName,0))</f>
        <v/>
      </c>
      <c r="L1742" s="45">
        <f>MIN(1,MAX(0,(A1742-I1742+1)*RampSpeed/J1742))</f>
        <v/>
      </c>
      <c r="M1742" s="45">
        <f>IF(A1742&lt;I1742,0,IF(K1742="S-curve",L1742*L1742*(3-2*L1742),L1742))</f>
        <v/>
      </c>
      <c r="N1742" s="45">
        <f>1+(INDEX(SeasonIdx,A1742)-1)*SeasonAmp</f>
        <v/>
      </c>
      <c r="O1742" s="45">
        <f>IFERROR(INDEX(PSPct,MATCH(E1742&amp;"|"&amp;G1742,PSKey,0)),0)</f>
        <v/>
      </c>
      <c r="P1742" s="46">
        <f>INDEX(ChDoorVel,MATCH(E1742,ChName,0))*CalibScalar*(1+VelocityUplift)</f>
        <v/>
      </c>
      <c r="Q1742" s="46" t="n">
        <v>0</v>
      </c>
      <c r="R1742" s="46">
        <f>P1742*O1742*M1742*N1742*H1742</f>
        <v/>
      </c>
      <c r="S1742" s="46">
        <f>R1742*INDEX(FmtCansPerCase,MATCH(F1742,FmtName,0))</f>
        <v/>
      </c>
      <c r="T1742" s="46">
        <f>S1742/INDEX(FmtCansPerPack,MATCH(F1742,FmtName,0))</f>
        <v/>
      </c>
      <c r="U1742" s="47">
        <f>INDEX(ChBaseCP,MATCH(E1742,ChName,0))*(1+INDEX(ProvMod,MATCH(G1742,ProvCode,0)))*(1+PriceIndex)</f>
        <v/>
      </c>
      <c r="V1742" s="47">
        <f>R1742*U1742*INDEX(FmtBlendedPriceIdx,MATCH(F1742,FmtName,0))</f>
        <v/>
      </c>
      <c r="W1742" s="47">
        <f>T1742*INDEX(ProvSRP,MATCH(G1742,ProvCode,0))*(1+PriceIndex)</f>
        <v/>
      </c>
      <c r="X1742" s="47">
        <f>IF(GrossBasis="Wholesale",V1742,W1742)</f>
        <v/>
      </c>
      <c r="Y1742" s="47">
        <f>R1742*INDEX(FmtBlendedCogs,MATCH(F1742,FmtName,0))</f>
        <v/>
      </c>
      <c r="Z1742" s="47">
        <f>X1742-Y1742</f>
        <v/>
      </c>
    </row>
    <row r="1743">
      <c r="A1743" t="n">
        <v>46</v>
      </c>
      <c r="B1743" s="44">
        <f>FiscalStart+(A1743-1)*7</f>
        <v/>
      </c>
      <c r="C1743">
        <f>TEXT(B1743,"mmm yyyy")</f>
        <v/>
      </c>
      <c r="D1743">
        <f>"Q"&amp;(INT((A1743-1)/13)+1)</f>
        <v/>
      </c>
      <c r="E1743" t="inlineStr">
        <is>
          <t>Costco</t>
        </is>
      </c>
      <c r="F1743">
        <f>IFERROR(INDEX(ChFormat,MATCH(E1743,ChName,0)),"")</f>
        <v/>
      </c>
      <c r="G1743" t="inlineStr">
        <is>
          <t>SK</t>
        </is>
      </c>
      <c r="H1743">
        <f>IF(A1743&lt;=NWeeks,1,0)</f>
        <v/>
      </c>
      <c r="I1743">
        <f>INDEX(ChLaunch,MATCH(E1743,ChName,0))</f>
        <v/>
      </c>
      <c r="J1743">
        <f>INDEX(ChWeeksFull,MATCH(E1743,ChName,0))</f>
        <v/>
      </c>
      <c r="K1743">
        <f>INDEX(ChRamp,MATCH(E1743,ChName,0))</f>
        <v/>
      </c>
      <c r="L1743" s="45">
        <f>MIN(1,MAX(0,(A1743-I1743+1)*RampSpeed/J1743))</f>
        <v/>
      </c>
      <c r="M1743" s="45">
        <f>IF(A1743&lt;I1743,0,IF(K1743="S-curve",L1743*L1743*(3-2*L1743),L1743))</f>
        <v/>
      </c>
      <c r="N1743" s="45">
        <f>1+(INDEX(SeasonIdx,A1743)-1)*SeasonAmp</f>
        <v/>
      </c>
      <c r="O1743" s="45">
        <f>IFERROR(INDEX(PSPct,MATCH(E1743&amp;"|"&amp;G1743,PSKey,0)),0)</f>
        <v/>
      </c>
      <c r="P1743" s="46">
        <f>INDEX(ChDoorVel,MATCH(E1743,ChName,0))*CalibScalar*(1+VelocityUplift)</f>
        <v/>
      </c>
      <c r="Q1743" s="46" t="n">
        <v>0</v>
      </c>
      <c r="R1743" s="46">
        <f>P1743*O1743*M1743*N1743*H1743</f>
        <v/>
      </c>
      <c r="S1743" s="46">
        <f>R1743*INDEX(FmtCansPerCase,MATCH(F1743,FmtName,0))</f>
        <v/>
      </c>
      <c r="T1743" s="46">
        <f>S1743/INDEX(FmtCansPerPack,MATCH(F1743,FmtName,0))</f>
        <v/>
      </c>
      <c r="U1743" s="47">
        <f>INDEX(ChBaseCP,MATCH(E1743,ChName,0))*(1+INDEX(ProvMod,MATCH(G1743,ProvCode,0)))*(1+PriceIndex)</f>
        <v/>
      </c>
      <c r="V1743" s="47">
        <f>R1743*U1743*INDEX(FmtBlendedPriceIdx,MATCH(F1743,FmtName,0))</f>
        <v/>
      </c>
      <c r="W1743" s="47">
        <f>T1743*INDEX(ProvSRP,MATCH(G1743,ProvCode,0))*(1+PriceIndex)</f>
        <v/>
      </c>
      <c r="X1743" s="47">
        <f>IF(GrossBasis="Wholesale",V1743,W1743)</f>
        <v/>
      </c>
      <c r="Y1743" s="47">
        <f>R1743*INDEX(FmtBlendedCogs,MATCH(F1743,FmtName,0))</f>
        <v/>
      </c>
      <c r="Z1743" s="47">
        <f>X1743-Y1743</f>
        <v/>
      </c>
    </row>
    <row r="1744">
      <c r="A1744" t="n">
        <v>47</v>
      </c>
      <c r="B1744" s="44">
        <f>FiscalStart+(A1744-1)*7</f>
        <v/>
      </c>
      <c r="C1744">
        <f>TEXT(B1744,"mmm yyyy")</f>
        <v/>
      </c>
      <c r="D1744">
        <f>"Q"&amp;(INT((A1744-1)/13)+1)</f>
        <v/>
      </c>
      <c r="E1744" t="inlineStr">
        <is>
          <t>Costco</t>
        </is>
      </c>
      <c r="F1744">
        <f>IFERROR(INDEX(ChFormat,MATCH(E1744,ChName,0)),"")</f>
        <v/>
      </c>
      <c r="G1744" t="inlineStr">
        <is>
          <t>SK</t>
        </is>
      </c>
      <c r="H1744">
        <f>IF(A1744&lt;=NWeeks,1,0)</f>
        <v/>
      </c>
      <c r="I1744">
        <f>INDEX(ChLaunch,MATCH(E1744,ChName,0))</f>
        <v/>
      </c>
      <c r="J1744">
        <f>INDEX(ChWeeksFull,MATCH(E1744,ChName,0))</f>
        <v/>
      </c>
      <c r="K1744">
        <f>INDEX(ChRamp,MATCH(E1744,ChName,0))</f>
        <v/>
      </c>
      <c r="L1744" s="45">
        <f>MIN(1,MAX(0,(A1744-I1744+1)*RampSpeed/J1744))</f>
        <v/>
      </c>
      <c r="M1744" s="45">
        <f>IF(A1744&lt;I1744,0,IF(K1744="S-curve",L1744*L1744*(3-2*L1744),L1744))</f>
        <v/>
      </c>
      <c r="N1744" s="45">
        <f>1+(INDEX(SeasonIdx,A1744)-1)*SeasonAmp</f>
        <v/>
      </c>
      <c r="O1744" s="45">
        <f>IFERROR(INDEX(PSPct,MATCH(E1744&amp;"|"&amp;G1744,PSKey,0)),0)</f>
        <v/>
      </c>
      <c r="P1744" s="46">
        <f>INDEX(ChDoorVel,MATCH(E1744,ChName,0))*CalibScalar*(1+VelocityUplift)</f>
        <v/>
      </c>
      <c r="Q1744" s="46" t="n">
        <v>0</v>
      </c>
      <c r="R1744" s="46">
        <f>P1744*O1744*M1744*N1744*H1744</f>
        <v/>
      </c>
      <c r="S1744" s="46">
        <f>R1744*INDEX(FmtCansPerCase,MATCH(F1744,FmtName,0))</f>
        <v/>
      </c>
      <c r="T1744" s="46">
        <f>S1744/INDEX(FmtCansPerPack,MATCH(F1744,FmtName,0))</f>
        <v/>
      </c>
      <c r="U1744" s="47">
        <f>INDEX(ChBaseCP,MATCH(E1744,ChName,0))*(1+INDEX(ProvMod,MATCH(G1744,ProvCode,0)))*(1+PriceIndex)</f>
        <v/>
      </c>
      <c r="V1744" s="47">
        <f>R1744*U1744*INDEX(FmtBlendedPriceIdx,MATCH(F1744,FmtName,0))</f>
        <v/>
      </c>
      <c r="W1744" s="47">
        <f>T1744*INDEX(ProvSRP,MATCH(G1744,ProvCode,0))*(1+PriceIndex)</f>
        <v/>
      </c>
      <c r="X1744" s="47">
        <f>IF(GrossBasis="Wholesale",V1744,W1744)</f>
        <v/>
      </c>
      <c r="Y1744" s="47">
        <f>R1744*INDEX(FmtBlendedCogs,MATCH(F1744,FmtName,0))</f>
        <v/>
      </c>
      <c r="Z1744" s="47">
        <f>X1744-Y1744</f>
        <v/>
      </c>
    </row>
    <row r="1745">
      <c r="A1745" t="n">
        <v>48</v>
      </c>
      <c r="B1745" s="44">
        <f>FiscalStart+(A1745-1)*7</f>
        <v/>
      </c>
      <c r="C1745">
        <f>TEXT(B1745,"mmm yyyy")</f>
        <v/>
      </c>
      <c r="D1745">
        <f>"Q"&amp;(INT((A1745-1)/13)+1)</f>
        <v/>
      </c>
      <c r="E1745" t="inlineStr">
        <is>
          <t>Costco</t>
        </is>
      </c>
      <c r="F1745">
        <f>IFERROR(INDEX(ChFormat,MATCH(E1745,ChName,0)),"")</f>
        <v/>
      </c>
      <c r="G1745" t="inlineStr">
        <is>
          <t>SK</t>
        </is>
      </c>
      <c r="H1745">
        <f>IF(A1745&lt;=NWeeks,1,0)</f>
        <v/>
      </c>
      <c r="I1745">
        <f>INDEX(ChLaunch,MATCH(E1745,ChName,0))</f>
        <v/>
      </c>
      <c r="J1745">
        <f>INDEX(ChWeeksFull,MATCH(E1745,ChName,0))</f>
        <v/>
      </c>
      <c r="K1745">
        <f>INDEX(ChRamp,MATCH(E1745,ChName,0))</f>
        <v/>
      </c>
      <c r="L1745" s="45">
        <f>MIN(1,MAX(0,(A1745-I1745+1)*RampSpeed/J1745))</f>
        <v/>
      </c>
      <c r="M1745" s="45">
        <f>IF(A1745&lt;I1745,0,IF(K1745="S-curve",L1745*L1745*(3-2*L1745),L1745))</f>
        <v/>
      </c>
      <c r="N1745" s="45">
        <f>1+(INDEX(SeasonIdx,A1745)-1)*SeasonAmp</f>
        <v/>
      </c>
      <c r="O1745" s="45">
        <f>IFERROR(INDEX(PSPct,MATCH(E1745&amp;"|"&amp;G1745,PSKey,0)),0)</f>
        <v/>
      </c>
      <c r="P1745" s="46">
        <f>INDEX(ChDoorVel,MATCH(E1745,ChName,0))*CalibScalar*(1+VelocityUplift)</f>
        <v/>
      </c>
      <c r="Q1745" s="46" t="n">
        <v>0</v>
      </c>
      <c r="R1745" s="46">
        <f>P1745*O1745*M1745*N1745*H1745</f>
        <v/>
      </c>
      <c r="S1745" s="46">
        <f>R1745*INDEX(FmtCansPerCase,MATCH(F1745,FmtName,0))</f>
        <v/>
      </c>
      <c r="T1745" s="46">
        <f>S1745/INDEX(FmtCansPerPack,MATCH(F1745,FmtName,0))</f>
        <v/>
      </c>
      <c r="U1745" s="47">
        <f>INDEX(ChBaseCP,MATCH(E1745,ChName,0))*(1+INDEX(ProvMod,MATCH(G1745,ProvCode,0)))*(1+PriceIndex)</f>
        <v/>
      </c>
      <c r="V1745" s="47">
        <f>R1745*U1745*INDEX(FmtBlendedPriceIdx,MATCH(F1745,FmtName,0))</f>
        <v/>
      </c>
      <c r="W1745" s="47">
        <f>T1745*INDEX(ProvSRP,MATCH(G1745,ProvCode,0))*(1+PriceIndex)</f>
        <v/>
      </c>
      <c r="X1745" s="47">
        <f>IF(GrossBasis="Wholesale",V1745,W1745)</f>
        <v/>
      </c>
      <c r="Y1745" s="47">
        <f>R1745*INDEX(FmtBlendedCogs,MATCH(F1745,FmtName,0))</f>
        <v/>
      </c>
      <c r="Z1745" s="47">
        <f>X1745-Y1745</f>
        <v/>
      </c>
    </row>
    <row r="1746">
      <c r="A1746" t="n">
        <v>49</v>
      </c>
      <c r="B1746" s="44">
        <f>FiscalStart+(A1746-1)*7</f>
        <v/>
      </c>
      <c r="C1746">
        <f>TEXT(B1746,"mmm yyyy")</f>
        <v/>
      </c>
      <c r="D1746">
        <f>"Q"&amp;(INT((A1746-1)/13)+1)</f>
        <v/>
      </c>
      <c r="E1746" t="inlineStr">
        <is>
          <t>Costco</t>
        </is>
      </c>
      <c r="F1746">
        <f>IFERROR(INDEX(ChFormat,MATCH(E1746,ChName,0)),"")</f>
        <v/>
      </c>
      <c r="G1746" t="inlineStr">
        <is>
          <t>SK</t>
        </is>
      </c>
      <c r="H1746">
        <f>IF(A1746&lt;=NWeeks,1,0)</f>
        <v/>
      </c>
      <c r="I1746">
        <f>INDEX(ChLaunch,MATCH(E1746,ChName,0))</f>
        <v/>
      </c>
      <c r="J1746">
        <f>INDEX(ChWeeksFull,MATCH(E1746,ChName,0))</f>
        <v/>
      </c>
      <c r="K1746">
        <f>INDEX(ChRamp,MATCH(E1746,ChName,0))</f>
        <v/>
      </c>
      <c r="L1746" s="45">
        <f>MIN(1,MAX(0,(A1746-I1746+1)*RampSpeed/J1746))</f>
        <v/>
      </c>
      <c r="M1746" s="45">
        <f>IF(A1746&lt;I1746,0,IF(K1746="S-curve",L1746*L1746*(3-2*L1746),L1746))</f>
        <v/>
      </c>
      <c r="N1746" s="45">
        <f>1+(INDEX(SeasonIdx,A1746)-1)*SeasonAmp</f>
        <v/>
      </c>
      <c r="O1746" s="45">
        <f>IFERROR(INDEX(PSPct,MATCH(E1746&amp;"|"&amp;G1746,PSKey,0)),0)</f>
        <v/>
      </c>
      <c r="P1746" s="46">
        <f>INDEX(ChDoorVel,MATCH(E1746,ChName,0))*CalibScalar*(1+VelocityUplift)</f>
        <v/>
      </c>
      <c r="Q1746" s="46" t="n">
        <v>0</v>
      </c>
      <c r="R1746" s="46">
        <f>P1746*O1746*M1746*N1746*H1746</f>
        <v/>
      </c>
      <c r="S1746" s="46">
        <f>R1746*INDEX(FmtCansPerCase,MATCH(F1746,FmtName,0))</f>
        <v/>
      </c>
      <c r="T1746" s="46">
        <f>S1746/INDEX(FmtCansPerPack,MATCH(F1746,FmtName,0))</f>
        <v/>
      </c>
      <c r="U1746" s="47">
        <f>INDEX(ChBaseCP,MATCH(E1746,ChName,0))*(1+INDEX(ProvMod,MATCH(G1746,ProvCode,0)))*(1+PriceIndex)</f>
        <v/>
      </c>
      <c r="V1746" s="47">
        <f>R1746*U1746*INDEX(FmtBlendedPriceIdx,MATCH(F1746,FmtName,0))</f>
        <v/>
      </c>
      <c r="W1746" s="47">
        <f>T1746*INDEX(ProvSRP,MATCH(G1746,ProvCode,0))*(1+PriceIndex)</f>
        <v/>
      </c>
      <c r="X1746" s="47">
        <f>IF(GrossBasis="Wholesale",V1746,W1746)</f>
        <v/>
      </c>
      <c r="Y1746" s="47">
        <f>R1746*INDEX(FmtBlendedCogs,MATCH(F1746,FmtName,0))</f>
        <v/>
      </c>
      <c r="Z1746" s="47">
        <f>X1746-Y1746</f>
        <v/>
      </c>
    </row>
    <row r="1747">
      <c r="A1747" t="n">
        <v>50</v>
      </c>
      <c r="B1747" s="44">
        <f>FiscalStart+(A1747-1)*7</f>
        <v/>
      </c>
      <c r="C1747">
        <f>TEXT(B1747,"mmm yyyy")</f>
        <v/>
      </c>
      <c r="D1747">
        <f>"Q"&amp;(INT((A1747-1)/13)+1)</f>
        <v/>
      </c>
      <c r="E1747" t="inlineStr">
        <is>
          <t>Costco</t>
        </is>
      </c>
      <c r="F1747">
        <f>IFERROR(INDEX(ChFormat,MATCH(E1747,ChName,0)),"")</f>
        <v/>
      </c>
      <c r="G1747" t="inlineStr">
        <is>
          <t>SK</t>
        </is>
      </c>
      <c r="H1747">
        <f>IF(A1747&lt;=NWeeks,1,0)</f>
        <v/>
      </c>
      <c r="I1747">
        <f>INDEX(ChLaunch,MATCH(E1747,ChName,0))</f>
        <v/>
      </c>
      <c r="J1747">
        <f>INDEX(ChWeeksFull,MATCH(E1747,ChName,0))</f>
        <v/>
      </c>
      <c r="K1747">
        <f>INDEX(ChRamp,MATCH(E1747,ChName,0))</f>
        <v/>
      </c>
      <c r="L1747" s="45">
        <f>MIN(1,MAX(0,(A1747-I1747+1)*RampSpeed/J1747))</f>
        <v/>
      </c>
      <c r="M1747" s="45">
        <f>IF(A1747&lt;I1747,0,IF(K1747="S-curve",L1747*L1747*(3-2*L1747),L1747))</f>
        <v/>
      </c>
      <c r="N1747" s="45">
        <f>1+(INDEX(SeasonIdx,A1747)-1)*SeasonAmp</f>
        <v/>
      </c>
      <c r="O1747" s="45">
        <f>IFERROR(INDEX(PSPct,MATCH(E1747&amp;"|"&amp;G1747,PSKey,0)),0)</f>
        <v/>
      </c>
      <c r="P1747" s="46">
        <f>INDEX(ChDoorVel,MATCH(E1747,ChName,0))*CalibScalar*(1+VelocityUplift)</f>
        <v/>
      </c>
      <c r="Q1747" s="46" t="n">
        <v>0</v>
      </c>
      <c r="R1747" s="46">
        <f>P1747*O1747*M1747*N1747*H1747</f>
        <v/>
      </c>
      <c r="S1747" s="46">
        <f>R1747*INDEX(FmtCansPerCase,MATCH(F1747,FmtName,0))</f>
        <v/>
      </c>
      <c r="T1747" s="46">
        <f>S1747/INDEX(FmtCansPerPack,MATCH(F1747,FmtName,0))</f>
        <v/>
      </c>
      <c r="U1747" s="47">
        <f>INDEX(ChBaseCP,MATCH(E1747,ChName,0))*(1+INDEX(ProvMod,MATCH(G1747,ProvCode,0)))*(1+PriceIndex)</f>
        <v/>
      </c>
      <c r="V1747" s="47">
        <f>R1747*U1747*INDEX(FmtBlendedPriceIdx,MATCH(F1747,FmtName,0))</f>
        <v/>
      </c>
      <c r="W1747" s="47">
        <f>T1747*INDEX(ProvSRP,MATCH(G1747,ProvCode,0))*(1+PriceIndex)</f>
        <v/>
      </c>
      <c r="X1747" s="47">
        <f>IF(GrossBasis="Wholesale",V1747,W1747)</f>
        <v/>
      </c>
      <c r="Y1747" s="47">
        <f>R1747*INDEX(FmtBlendedCogs,MATCH(F1747,FmtName,0))</f>
        <v/>
      </c>
      <c r="Z1747" s="47">
        <f>X1747-Y1747</f>
        <v/>
      </c>
    </row>
    <row r="1748">
      <c r="A1748" t="n">
        <v>51</v>
      </c>
      <c r="B1748" s="44">
        <f>FiscalStart+(A1748-1)*7</f>
        <v/>
      </c>
      <c r="C1748">
        <f>TEXT(B1748,"mmm yyyy")</f>
        <v/>
      </c>
      <c r="D1748">
        <f>"Q"&amp;(INT((A1748-1)/13)+1)</f>
        <v/>
      </c>
      <c r="E1748" t="inlineStr">
        <is>
          <t>Costco</t>
        </is>
      </c>
      <c r="F1748">
        <f>IFERROR(INDEX(ChFormat,MATCH(E1748,ChName,0)),"")</f>
        <v/>
      </c>
      <c r="G1748" t="inlineStr">
        <is>
          <t>SK</t>
        </is>
      </c>
      <c r="H1748">
        <f>IF(A1748&lt;=NWeeks,1,0)</f>
        <v/>
      </c>
      <c r="I1748">
        <f>INDEX(ChLaunch,MATCH(E1748,ChName,0))</f>
        <v/>
      </c>
      <c r="J1748">
        <f>INDEX(ChWeeksFull,MATCH(E1748,ChName,0))</f>
        <v/>
      </c>
      <c r="K1748">
        <f>INDEX(ChRamp,MATCH(E1748,ChName,0))</f>
        <v/>
      </c>
      <c r="L1748" s="45">
        <f>MIN(1,MAX(0,(A1748-I1748+1)*RampSpeed/J1748))</f>
        <v/>
      </c>
      <c r="M1748" s="45">
        <f>IF(A1748&lt;I1748,0,IF(K1748="S-curve",L1748*L1748*(3-2*L1748),L1748))</f>
        <v/>
      </c>
      <c r="N1748" s="45">
        <f>1+(INDEX(SeasonIdx,A1748)-1)*SeasonAmp</f>
        <v/>
      </c>
      <c r="O1748" s="45">
        <f>IFERROR(INDEX(PSPct,MATCH(E1748&amp;"|"&amp;G1748,PSKey,0)),0)</f>
        <v/>
      </c>
      <c r="P1748" s="46">
        <f>INDEX(ChDoorVel,MATCH(E1748,ChName,0))*CalibScalar*(1+VelocityUplift)</f>
        <v/>
      </c>
      <c r="Q1748" s="46" t="n">
        <v>0</v>
      </c>
      <c r="R1748" s="46">
        <f>P1748*O1748*M1748*N1748*H1748</f>
        <v/>
      </c>
      <c r="S1748" s="46">
        <f>R1748*INDEX(FmtCansPerCase,MATCH(F1748,FmtName,0))</f>
        <v/>
      </c>
      <c r="T1748" s="46">
        <f>S1748/INDEX(FmtCansPerPack,MATCH(F1748,FmtName,0))</f>
        <v/>
      </c>
      <c r="U1748" s="47">
        <f>INDEX(ChBaseCP,MATCH(E1748,ChName,0))*(1+INDEX(ProvMod,MATCH(G1748,ProvCode,0)))*(1+PriceIndex)</f>
        <v/>
      </c>
      <c r="V1748" s="47">
        <f>R1748*U1748*INDEX(FmtBlendedPriceIdx,MATCH(F1748,FmtName,0))</f>
        <v/>
      </c>
      <c r="W1748" s="47">
        <f>T1748*INDEX(ProvSRP,MATCH(G1748,ProvCode,0))*(1+PriceIndex)</f>
        <v/>
      </c>
      <c r="X1748" s="47">
        <f>IF(GrossBasis="Wholesale",V1748,W1748)</f>
        <v/>
      </c>
      <c r="Y1748" s="47">
        <f>R1748*INDEX(FmtBlendedCogs,MATCH(F1748,FmtName,0))</f>
        <v/>
      </c>
      <c r="Z1748" s="47">
        <f>X1748-Y1748</f>
        <v/>
      </c>
    </row>
    <row r="1749">
      <c r="A1749" t="n">
        <v>52</v>
      </c>
      <c r="B1749" s="44">
        <f>FiscalStart+(A1749-1)*7</f>
        <v/>
      </c>
      <c r="C1749">
        <f>TEXT(B1749,"mmm yyyy")</f>
        <v/>
      </c>
      <c r="D1749">
        <f>"Q"&amp;(INT((A1749-1)/13)+1)</f>
        <v/>
      </c>
      <c r="E1749" t="inlineStr">
        <is>
          <t>Costco</t>
        </is>
      </c>
      <c r="F1749">
        <f>IFERROR(INDEX(ChFormat,MATCH(E1749,ChName,0)),"")</f>
        <v/>
      </c>
      <c r="G1749" t="inlineStr">
        <is>
          <t>SK</t>
        </is>
      </c>
      <c r="H1749">
        <f>IF(A1749&lt;=NWeeks,1,0)</f>
        <v/>
      </c>
      <c r="I1749">
        <f>INDEX(ChLaunch,MATCH(E1749,ChName,0))</f>
        <v/>
      </c>
      <c r="J1749">
        <f>INDEX(ChWeeksFull,MATCH(E1749,ChName,0))</f>
        <v/>
      </c>
      <c r="K1749">
        <f>INDEX(ChRamp,MATCH(E1749,ChName,0))</f>
        <v/>
      </c>
      <c r="L1749" s="45">
        <f>MIN(1,MAX(0,(A1749-I1749+1)*RampSpeed/J1749))</f>
        <v/>
      </c>
      <c r="M1749" s="45">
        <f>IF(A1749&lt;I1749,0,IF(K1749="S-curve",L1749*L1749*(3-2*L1749),L1749))</f>
        <v/>
      </c>
      <c r="N1749" s="45">
        <f>1+(INDEX(SeasonIdx,A1749)-1)*SeasonAmp</f>
        <v/>
      </c>
      <c r="O1749" s="45">
        <f>IFERROR(INDEX(PSPct,MATCH(E1749&amp;"|"&amp;G1749,PSKey,0)),0)</f>
        <v/>
      </c>
      <c r="P1749" s="46">
        <f>INDEX(ChDoorVel,MATCH(E1749,ChName,0))*CalibScalar*(1+VelocityUplift)</f>
        <v/>
      </c>
      <c r="Q1749" s="46" t="n">
        <v>0</v>
      </c>
      <c r="R1749" s="46">
        <f>P1749*O1749*M1749*N1749*H1749</f>
        <v/>
      </c>
      <c r="S1749" s="46">
        <f>R1749*INDEX(FmtCansPerCase,MATCH(F1749,FmtName,0))</f>
        <v/>
      </c>
      <c r="T1749" s="46">
        <f>S1749/INDEX(FmtCansPerPack,MATCH(F1749,FmtName,0))</f>
        <v/>
      </c>
      <c r="U1749" s="47">
        <f>INDEX(ChBaseCP,MATCH(E1749,ChName,0))*(1+INDEX(ProvMod,MATCH(G1749,ProvCode,0)))*(1+PriceIndex)</f>
        <v/>
      </c>
      <c r="V1749" s="47">
        <f>R1749*U1749*INDEX(FmtBlendedPriceIdx,MATCH(F1749,FmtName,0))</f>
        <v/>
      </c>
      <c r="W1749" s="47">
        <f>T1749*INDEX(ProvSRP,MATCH(G1749,ProvCode,0))*(1+PriceIndex)</f>
        <v/>
      </c>
      <c r="X1749" s="47">
        <f>IF(GrossBasis="Wholesale",V1749,W1749)</f>
        <v/>
      </c>
      <c r="Y1749" s="47">
        <f>R1749*INDEX(FmtBlendedCogs,MATCH(F1749,FmtName,0))</f>
        <v/>
      </c>
      <c r="Z1749" s="47">
        <f>X1749-Y1749</f>
        <v/>
      </c>
    </row>
    <row r="1750">
      <c r="A1750" t="n">
        <v>53</v>
      </c>
      <c r="B1750" s="44">
        <f>FiscalStart+(A1750-1)*7</f>
        <v/>
      </c>
      <c r="C1750">
        <f>TEXT(B1750,"mmm yyyy")</f>
        <v/>
      </c>
      <c r="D1750">
        <f>"Q"&amp;(INT((A1750-1)/13)+1)</f>
        <v/>
      </c>
      <c r="E1750" t="inlineStr">
        <is>
          <t>Costco</t>
        </is>
      </c>
      <c r="F1750">
        <f>IFERROR(INDEX(ChFormat,MATCH(E1750,ChName,0)),"")</f>
        <v/>
      </c>
      <c r="G1750" t="inlineStr">
        <is>
          <t>SK</t>
        </is>
      </c>
      <c r="H1750">
        <f>IF(A1750&lt;=NWeeks,1,0)</f>
        <v/>
      </c>
      <c r="I1750">
        <f>INDEX(ChLaunch,MATCH(E1750,ChName,0))</f>
        <v/>
      </c>
      <c r="J1750">
        <f>INDEX(ChWeeksFull,MATCH(E1750,ChName,0))</f>
        <v/>
      </c>
      <c r="K1750">
        <f>INDEX(ChRamp,MATCH(E1750,ChName,0))</f>
        <v/>
      </c>
      <c r="L1750" s="45">
        <f>MIN(1,MAX(0,(A1750-I1750+1)*RampSpeed/J1750))</f>
        <v/>
      </c>
      <c r="M1750" s="45">
        <f>IF(A1750&lt;I1750,0,IF(K1750="S-curve",L1750*L1750*(3-2*L1750),L1750))</f>
        <v/>
      </c>
      <c r="N1750" s="45">
        <f>1+(INDEX(SeasonIdx,A1750)-1)*SeasonAmp</f>
        <v/>
      </c>
      <c r="O1750" s="45">
        <f>IFERROR(INDEX(PSPct,MATCH(E1750&amp;"|"&amp;G1750,PSKey,0)),0)</f>
        <v/>
      </c>
      <c r="P1750" s="46">
        <f>INDEX(ChDoorVel,MATCH(E1750,ChName,0))*CalibScalar*(1+VelocityUplift)</f>
        <v/>
      </c>
      <c r="Q1750" s="46" t="n">
        <v>0</v>
      </c>
      <c r="R1750" s="46">
        <f>P1750*O1750*M1750*N1750*H1750</f>
        <v/>
      </c>
      <c r="S1750" s="46">
        <f>R1750*INDEX(FmtCansPerCase,MATCH(F1750,FmtName,0))</f>
        <v/>
      </c>
      <c r="T1750" s="46">
        <f>S1750/INDEX(FmtCansPerPack,MATCH(F1750,FmtName,0))</f>
        <v/>
      </c>
      <c r="U1750" s="47">
        <f>INDEX(ChBaseCP,MATCH(E1750,ChName,0))*(1+INDEX(ProvMod,MATCH(G1750,ProvCode,0)))*(1+PriceIndex)</f>
        <v/>
      </c>
      <c r="V1750" s="47">
        <f>R1750*U1750*INDEX(FmtBlendedPriceIdx,MATCH(F1750,FmtName,0))</f>
        <v/>
      </c>
      <c r="W1750" s="47">
        <f>T1750*INDEX(ProvSRP,MATCH(G1750,ProvCode,0))*(1+PriceIndex)</f>
        <v/>
      </c>
      <c r="X1750" s="47">
        <f>IF(GrossBasis="Wholesale",V1750,W1750)</f>
        <v/>
      </c>
      <c r="Y1750" s="47">
        <f>R1750*INDEX(FmtBlendedCogs,MATCH(F1750,FmtName,0))</f>
        <v/>
      </c>
      <c r="Z1750" s="47">
        <f>X1750-Y1750</f>
        <v/>
      </c>
    </row>
    <row r="1751">
      <c r="A1751" t="n">
        <v>1</v>
      </c>
      <c r="B1751" s="44">
        <f>FiscalStart+(A1751-1)*7</f>
        <v/>
      </c>
      <c r="C1751">
        <f>TEXT(B1751,"mmm yyyy")</f>
        <v/>
      </c>
      <c r="D1751">
        <f>"Q"&amp;(INT((A1751-1)/13)+1)</f>
        <v/>
      </c>
      <c r="E1751" t="inlineStr">
        <is>
          <t>Costco</t>
        </is>
      </c>
      <c r="F1751">
        <f>IFERROR(INDEX(ChFormat,MATCH(E1751,ChName,0)),"")</f>
        <v/>
      </c>
      <c r="G1751" t="inlineStr">
        <is>
          <t>MB</t>
        </is>
      </c>
      <c r="H1751">
        <f>IF(A1751&lt;=NWeeks,1,0)</f>
        <v/>
      </c>
      <c r="I1751">
        <f>INDEX(ChLaunch,MATCH(E1751,ChName,0))</f>
        <v/>
      </c>
      <c r="J1751">
        <f>INDEX(ChWeeksFull,MATCH(E1751,ChName,0))</f>
        <v/>
      </c>
      <c r="K1751">
        <f>INDEX(ChRamp,MATCH(E1751,ChName,0))</f>
        <v/>
      </c>
      <c r="L1751" s="45">
        <f>MIN(1,MAX(0,(A1751-I1751+1)*RampSpeed/J1751))</f>
        <v/>
      </c>
      <c r="M1751" s="45">
        <f>IF(A1751&lt;I1751,0,IF(K1751="S-curve",L1751*L1751*(3-2*L1751),L1751))</f>
        <v/>
      </c>
      <c r="N1751" s="45">
        <f>1+(INDEX(SeasonIdx,A1751)-1)*SeasonAmp</f>
        <v/>
      </c>
      <c r="O1751" s="45">
        <f>IFERROR(INDEX(PSPct,MATCH(E1751&amp;"|"&amp;G1751,PSKey,0)),0)</f>
        <v/>
      </c>
      <c r="P1751" s="46">
        <f>INDEX(ChDoorVel,MATCH(E1751,ChName,0))*CalibScalar*(1+VelocityUplift)</f>
        <v/>
      </c>
      <c r="Q1751" s="46" t="n">
        <v>0</v>
      </c>
      <c r="R1751" s="46">
        <f>P1751*O1751*M1751*N1751*H1751</f>
        <v/>
      </c>
      <c r="S1751" s="46">
        <f>R1751*INDEX(FmtCansPerCase,MATCH(F1751,FmtName,0))</f>
        <v/>
      </c>
      <c r="T1751" s="46">
        <f>S1751/INDEX(FmtCansPerPack,MATCH(F1751,FmtName,0))</f>
        <v/>
      </c>
      <c r="U1751" s="47">
        <f>INDEX(ChBaseCP,MATCH(E1751,ChName,0))*(1+INDEX(ProvMod,MATCH(G1751,ProvCode,0)))*(1+PriceIndex)</f>
        <v/>
      </c>
      <c r="V1751" s="47">
        <f>R1751*U1751*INDEX(FmtBlendedPriceIdx,MATCH(F1751,FmtName,0))</f>
        <v/>
      </c>
      <c r="W1751" s="47">
        <f>T1751*INDEX(ProvSRP,MATCH(G1751,ProvCode,0))*(1+PriceIndex)</f>
        <v/>
      </c>
      <c r="X1751" s="47">
        <f>IF(GrossBasis="Wholesale",V1751,W1751)</f>
        <v/>
      </c>
      <c r="Y1751" s="47">
        <f>R1751*INDEX(FmtBlendedCogs,MATCH(F1751,FmtName,0))</f>
        <v/>
      </c>
      <c r="Z1751" s="47">
        <f>X1751-Y1751</f>
        <v/>
      </c>
    </row>
    <row r="1752">
      <c r="A1752" t="n">
        <v>2</v>
      </c>
      <c r="B1752" s="44">
        <f>FiscalStart+(A1752-1)*7</f>
        <v/>
      </c>
      <c r="C1752">
        <f>TEXT(B1752,"mmm yyyy")</f>
        <v/>
      </c>
      <c r="D1752">
        <f>"Q"&amp;(INT((A1752-1)/13)+1)</f>
        <v/>
      </c>
      <c r="E1752" t="inlineStr">
        <is>
          <t>Costco</t>
        </is>
      </c>
      <c r="F1752">
        <f>IFERROR(INDEX(ChFormat,MATCH(E1752,ChName,0)),"")</f>
        <v/>
      </c>
      <c r="G1752" t="inlineStr">
        <is>
          <t>MB</t>
        </is>
      </c>
      <c r="H1752">
        <f>IF(A1752&lt;=NWeeks,1,0)</f>
        <v/>
      </c>
      <c r="I1752">
        <f>INDEX(ChLaunch,MATCH(E1752,ChName,0))</f>
        <v/>
      </c>
      <c r="J1752">
        <f>INDEX(ChWeeksFull,MATCH(E1752,ChName,0))</f>
        <v/>
      </c>
      <c r="K1752">
        <f>INDEX(ChRamp,MATCH(E1752,ChName,0))</f>
        <v/>
      </c>
      <c r="L1752" s="45">
        <f>MIN(1,MAX(0,(A1752-I1752+1)*RampSpeed/J1752))</f>
        <v/>
      </c>
      <c r="M1752" s="45">
        <f>IF(A1752&lt;I1752,0,IF(K1752="S-curve",L1752*L1752*(3-2*L1752),L1752))</f>
        <v/>
      </c>
      <c r="N1752" s="45">
        <f>1+(INDEX(SeasonIdx,A1752)-1)*SeasonAmp</f>
        <v/>
      </c>
      <c r="O1752" s="45">
        <f>IFERROR(INDEX(PSPct,MATCH(E1752&amp;"|"&amp;G1752,PSKey,0)),0)</f>
        <v/>
      </c>
      <c r="P1752" s="46">
        <f>INDEX(ChDoorVel,MATCH(E1752,ChName,0))*CalibScalar*(1+VelocityUplift)</f>
        <v/>
      </c>
      <c r="Q1752" s="46" t="n">
        <v>0</v>
      </c>
      <c r="R1752" s="46">
        <f>P1752*O1752*M1752*N1752*H1752</f>
        <v/>
      </c>
      <c r="S1752" s="46">
        <f>R1752*INDEX(FmtCansPerCase,MATCH(F1752,FmtName,0))</f>
        <v/>
      </c>
      <c r="T1752" s="46">
        <f>S1752/INDEX(FmtCansPerPack,MATCH(F1752,FmtName,0))</f>
        <v/>
      </c>
      <c r="U1752" s="47">
        <f>INDEX(ChBaseCP,MATCH(E1752,ChName,0))*(1+INDEX(ProvMod,MATCH(G1752,ProvCode,0)))*(1+PriceIndex)</f>
        <v/>
      </c>
      <c r="V1752" s="47">
        <f>R1752*U1752*INDEX(FmtBlendedPriceIdx,MATCH(F1752,FmtName,0))</f>
        <v/>
      </c>
      <c r="W1752" s="47">
        <f>T1752*INDEX(ProvSRP,MATCH(G1752,ProvCode,0))*(1+PriceIndex)</f>
        <v/>
      </c>
      <c r="X1752" s="47">
        <f>IF(GrossBasis="Wholesale",V1752,W1752)</f>
        <v/>
      </c>
      <c r="Y1752" s="47">
        <f>R1752*INDEX(FmtBlendedCogs,MATCH(F1752,FmtName,0))</f>
        <v/>
      </c>
      <c r="Z1752" s="47">
        <f>X1752-Y1752</f>
        <v/>
      </c>
    </row>
    <row r="1753">
      <c r="A1753" t="n">
        <v>3</v>
      </c>
      <c r="B1753" s="44">
        <f>FiscalStart+(A1753-1)*7</f>
        <v/>
      </c>
      <c r="C1753">
        <f>TEXT(B1753,"mmm yyyy")</f>
        <v/>
      </c>
      <c r="D1753">
        <f>"Q"&amp;(INT((A1753-1)/13)+1)</f>
        <v/>
      </c>
      <c r="E1753" t="inlineStr">
        <is>
          <t>Costco</t>
        </is>
      </c>
      <c r="F1753">
        <f>IFERROR(INDEX(ChFormat,MATCH(E1753,ChName,0)),"")</f>
        <v/>
      </c>
      <c r="G1753" t="inlineStr">
        <is>
          <t>MB</t>
        </is>
      </c>
      <c r="H1753">
        <f>IF(A1753&lt;=NWeeks,1,0)</f>
        <v/>
      </c>
      <c r="I1753">
        <f>INDEX(ChLaunch,MATCH(E1753,ChName,0))</f>
        <v/>
      </c>
      <c r="J1753">
        <f>INDEX(ChWeeksFull,MATCH(E1753,ChName,0))</f>
        <v/>
      </c>
      <c r="K1753">
        <f>INDEX(ChRamp,MATCH(E1753,ChName,0))</f>
        <v/>
      </c>
      <c r="L1753" s="45">
        <f>MIN(1,MAX(0,(A1753-I1753+1)*RampSpeed/J1753))</f>
        <v/>
      </c>
      <c r="M1753" s="45">
        <f>IF(A1753&lt;I1753,0,IF(K1753="S-curve",L1753*L1753*(3-2*L1753),L1753))</f>
        <v/>
      </c>
      <c r="N1753" s="45">
        <f>1+(INDEX(SeasonIdx,A1753)-1)*SeasonAmp</f>
        <v/>
      </c>
      <c r="O1753" s="45">
        <f>IFERROR(INDEX(PSPct,MATCH(E1753&amp;"|"&amp;G1753,PSKey,0)),0)</f>
        <v/>
      </c>
      <c r="P1753" s="46">
        <f>INDEX(ChDoorVel,MATCH(E1753,ChName,0))*CalibScalar*(1+VelocityUplift)</f>
        <v/>
      </c>
      <c r="Q1753" s="46" t="n">
        <v>0</v>
      </c>
      <c r="R1753" s="46">
        <f>P1753*O1753*M1753*N1753*H1753</f>
        <v/>
      </c>
      <c r="S1753" s="46">
        <f>R1753*INDEX(FmtCansPerCase,MATCH(F1753,FmtName,0))</f>
        <v/>
      </c>
      <c r="T1753" s="46">
        <f>S1753/INDEX(FmtCansPerPack,MATCH(F1753,FmtName,0))</f>
        <v/>
      </c>
      <c r="U1753" s="47">
        <f>INDEX(ChBaseCP,MATCH(E1753,ChName,0))*(1+INDEX(ProvMod,MATCH(G1753,ProvCode,0)))*(1+PriceIndex)</f>
        <v/>
      </c>
      <c r="V1753" s="47">
        <f>R1753*U1753*INDEX(FmtBlendedPriceIdx,MATCH(F1753,FmtName,0))</f>
        <v/>
      </c>
      <c r="W1753" s="47">
        <f>T1753*INDEX(ProvSRP,MATCH(G1753,ProvCode,0))*(1+PriceIndex)</f>
        <v/>
      </c>
      <c r="X1753" s="47">
        <f>IF(GrossBasis="Wholesale",V1753,W1753)</f>
        <v/>
      </c>
      <c r="Y1753" s="47">
        <f>R1753*INDEX(FmtBlendedCogs,MATCH(F1753,FmtName,0))</f>
        <v/>
      </c>
      <c r="Z1753" s="47">
        <f>X1753-Y1753</f>
        <v/>
      </c>
    </row>
    <row r="1754">
      <c r="A1754" t="n">
        <v>4</v>
      </c>
      <c r="B1754" s="44">
        <f>FiscalStart+(A1754-1)*7</f>
        <v/>
      </c>
      <c r="C1754">
        <f>TEXT(B1754,"mmm yyyy")</f>
        <v/>
      </c>
      <c r="D1754">
        <f>"Q"&amp;(INT((A1754-1)/13)+1)</f>
        <v/>
      </c>
      <c r="E1754" t="inlineStr">
        <is>
          <t>Costco</t>
        </is>
      </c>
      <c r="F1754">
        <f>IFERROR(INDEX(ChFormat,MATCH(E1754,ChName,0)),"")</f>
        <v/>
      </c>
      <c r="G1754" t="inlineStr">
        <is>
          <t>MB</t>
        </is>
      </c>
      <c r="H1754">
        <f>IF(A1754&lt;=NWeeks,1,0)</f>
        <v/>
      </c>
      <c r="I1754">
        <f>INDEX(ChLaunch,MATCH(E1754,ChName,0))</f>
        <v/>
      </c>
      <c r="J1754">
        <f>INDEX(ChWeeksFull,MATCH(E1754,ChName,0))</f>
        <v/>
      </c>
      <c r="K1754">
        <f>INDEX(ChRamp,MATCH(E1754,ChName,0))</f>
        <v/>
      </c>
      <c r="L1754" s="45">
        <f>MIN(1,MAX(0,(A1754-I1754+1)*RampSpeed/J1754))</f>
        <v/>
      </c>
      <c r="M1754" s="45">
        <f>IF(A1754&lt;I1754,0,IF(K1754="S-curve",L1754*L1754*(3-2*L1754),L1754))</f>
        <v/>
      </c>
      <c r="N1754" s="45">
        <f>1+(INDEX(SeasonIdx,A1754)-1)*SeasonAmp</f>
        <v/>
      </c>
      <c r="O1754" s="45">
        <f>IFERROR(INDEX(PSPct,MATCH(E1754&amp;"|"&amp;G1754,PSKey,0)),0)</f>
        <v/>
      </c>
      <c r="P1754" s="46">
        <f>INDEX(ChDoorVel,MATCH(E1754,ChName,0))*CalibScalar*(1+VelocityUplift)</f>
        <v/>
      </c>
      <c r="Q1754" s="46" t="n">
        <v>0</v>
      </c>
      <c r="R1754" s="46">
        <f>P1754*O1754*M1754*N1754*H1754</f>
        <v/>
      </c>
      <c r="S1754" s="46">
        <f>R1754*INDEX(FmtCansPerCase,MATCH(F1754,FmtName,0))</f>
        <v/>
      </c>
      <c r="T1754" s="46">
        <f>S1754/INDEX(FmtCansPerPack,MATCH(F1754,FmtName,0))</f>
        <v/>
      </c>
      <c r="U1754" s="47">
        <f>INDEX(ChBaseCP,MATCH(E1754,ChName,0))*(1+INDEX(ProvMod,MATCH(G1754,ProvCode,0)))*(1+PriceIndex)</f>
        <v/>
      </c>
      <c r="V1754" s="47">
        <f>R1754*U1754*INDEX(FmtBlendedPriceIdx,MATCH(F1754,FmtName,0))</f>
        <v/>
      </c>
      <c r="W1754" s="47">
        <f>T1754*INDEX(ProvSRP,MATCH(G1754,ProvCode,0))*(1+PriceIndex)</f>
        <v/>
      </c>
      <c r="X1754" s="47">
        <f>IF(GrossBasis="Wholesale",V1754,W1754)</f>
        <v/>
      </c>
      <c r="Y1754" s="47">
        <f>R1754*INDEX(FmtBlendedCogs,MATCH(F1754,FmtName,0))</f>
        <v/>
      </c>
      <c r="Z1754" s="47">
        <f>X1754-Y1754</f>
        <v/>
      </c>
    </row>
    <row r="1755">
      <c r="A1755" t="n">
        <v>5</v>
      </c>
      <c r="B1755" s="44">
        <f>FiscalStart+(A1755-1)*7</f>
        <v/>
      </c>
      <c r="C1755">
        <f>TEXT(B1755,"mmm yyyy")</f>
        <v/>
      </c>
      <c r="D1755">
        <f>"Q"&amp;(INT((A1755-1)/13)+1)</f>
        <v/>
      </c>
      <c r="E1755" t="inlineStr">
        <is>
          <t>Costco</t>
        </is>
      </c>
      <c r="F1755">
        <f>IFERROR(INDEX(ChFormat,MATCH(E1755,ChName,0)),"")</f>
        <v/>
      </c>
      <c r="G1755" t="inlineStr">
        <is>
          <t>MB</t>
        </is>
      </c>
      <c r="H1755">
        <f>IF(A1755&lt;=NWeeks,1,0)</f>
        <v/>
      </c>
      <c r="I1755">
        <f>INDEX(ChLaunch,MATCH(E1755,ChName,0))</f>
        <v/>
      </c>
      <c r="J1755">
        <f>INDEX(ChWeeksFull,MATCH(E1755,ChName,0))</f>
        <v/>
      </c>
      <c r="K1755">
        <f>INDEX(ChRamp,MATCH(E1755,ChName,0))</f>
        <v/>
      </c>
      <c r="L1755" s="45">
        <f>MIN(1,MAX(0,(A1755-I1755+1)*RampSpeed/J1755))</f>
        <v/>
      </c>
      <c r="M1755" s="45">
        <f>IF(A1755&lt;I1755,0,IF(K1755="S-curve",L1755*L1755*(3-2*L1755),L1755))</f>
        <v/>
      </c>
      <c r="N1755" s="45">
        <f>1+(INDEX(SeasonIdx,A1755)-1)*SeasonAmp</f>
        <v/>
      </c>
      <c r="O1755" s="45">
        <f>IFERROR(INDEX(PSPct,MATCH(E1755&amp;"|"&amp;G1755,PSKey,0)),0)</f>
        <v/>
      </c>
      <c r="P1755" s="46">
        <f>INDEX(ChDoorVel,MATCH(E1755,ChName,0))*CalibScalar*(1+VelocityUplift)</f>
        <v/>
      </c>
      <c r="Q1755" s="46" t="n">
        <v>0</v>
      </c>
      <c r="R1755" s="46">
        <f>P1755*O1755*M1755*N1755*H1755</f>
        <v/>
      </c>
      <c r="S1755" s="46">
        <f>R1755*INDEX(FmtCansPerCase,MATCH(F1755,FmtName,0))</f>
        <v/>
      </c>
      <c r="T1755" s="46">
        <f>S1755/INDEX(FmtCansPerPack,MATCH(F1755,FmtName,0))</f>
        <v/>
      </c>
      <c r="U1755" s="47">
        <f>INDEX(ChBaseCP,MATCH(E1755,ChName,0))*(1+INDEX(ProvMod,MATCH(G1755,ProvCode,0)))*(1+PriceIndex)</f>
        <v/>
      </c>
      <c r="V1755" s="47">
        <f>R1755*U1755*INDEX(FmtBlendedPriceIdx,MATCH(F1755,FmtName,0))</f>
        <v/>
      </c>
      <c r="W1755" s="47">
        <f>T1755*INDEX(ProvSRP,MATCH(G1755,ProvCode,0))*(1+PriceIndex)</f>
        <v/>
      </c>
      <c r="X1755" s="47">
        <f>IF(GrossBasis="Wholesale",V1755,W1755)</f>
        <v/>
      </c>
      <c r="Y1755" s="47">
        <f>R1755*INDEX(FmtBlendedCogs,MATCH(F1755,FmtName,0))</f>
        <v/>
      </c>
      <c r="Z1755" s="47">
        <f>X1755-Y1755</f>
        <v/>
      </c>
    </row>
    <row r="1756">
      <c r="A1756" t="n">
        <v>6</v>
      </c>
      <c r="B1756" s="44">
        <f>FiscalStart+(A1756-1)*7</f>
        <v/>
      </c>
      <c r="C1756">
        <f>TEXT(B1756,"mmm yyyy")</f>
        <v/>
      </c>
      <c r="D1756">
        <f>"Q"&amp;(INT((A1756-1)/13)+1)</f>
        <v/>
      </c>
      <c r="E1756" t="inlineStr">
        <is>
          <t>Costco</t>
        </is>
      </c>
      <c r="F1756">
        <f>IFERROR(INDEX(ChFormat,MATCH(E1756,ChName,0)),"")</f>
        <v/>
      </c>
      <c r="G1756" t="inlineStr">
        <is>
          <t>MB</t>
        </is>
      </c>
      <c r="H1756">
        <f>IF(A1756&lt;=NWeeks,1,0)</f>
        <v/>
      </c>
      <c r="I1756">
        <f>INDEX(ChLaunch,MATCH(E1756,ChName,0))</f>
        <v/>
      </c>
      <c r="J1756">
        <f>INDEX(ChWeeksFull,MATCH(E1756,ChName,0))</f>
        <v/>
      </c>
      <c r="K1756">
        <f>INDEX(ChRamp,MATCH(E1756,ChName,0))</f>
        <v/>
      </c>
      <c r="L1756" s="45">
        <f>MIN(1,MAX(0,(A1756-I1756+1)*RampSpeed/J1756))</f>
        <v/>
      </c>
      <c r="M1756" s="45">
        <f>IF(A1756&lt;I1756,0,IF(K1756="S-curve",L1756*L1756*(3-2*L1756),L1756))</f>
        <v/>
      </c>
      <c r="N1756" s="45">
        <f>1+(INDEX(SeasonIdx,A1756)-1)*SeasonAmp</f>
        <v/>
      </c>
      <c r="O1756" s="45">
        <f>IFERROR(INDEX(PSPct,MATCH(E1756&amp;"|"&amp;G1756,PSKey,0)),0)</f>
        <v/>
      </c>
      <c r="P1756" s="46">
        <f>INDEX(ChDoorVel,MATCH(E1756,ChName,0))*CalibScalar*(1+VelocityUplift)</f>
        <v/>
      </c>
      <c r="Q1756" s="46" t="n">
        <v>0</v>
      </c>
      <c r="R1756" s="46">
        <f>P1756*O1756*M1756*N1756*H1756</f>
        <v/>
      </c>
      <c r="S1756" s="46">
        <f>R1756*INDEX(FmtCansPerCase,MATCH(F1756,FmtName,0))</f>
        <v/>
      </c>
      <c r="T1756" s="46">
        <f>S1756/INDEX(FmtCansPerPack,MATCH(F1756,FmtName,0))</f>
        <v/>
      </c>
      <c r="U1756" s="47">
        <f>INDEX(ChBaseCP,MATCH(E1756,ChName,0))*(1+INDEX(ProvMod,MATCH(G1756,ProvCode,0)))*(1+PriceIndex)</f>
        <v/>
      </c>
      <c r="V1756" s="47">
        <f>R1756*U1756*INDEX(FmtBlendedPriceIdx,MATCH(F1756,FmtName,0))</f>
        <v/>
      </c>
      <c r="W1756" s="47">
        <f>T1756*INDEX(ProvSRP,MATCH(G1756,ProvCode,0))*(1+PriceIndex)</f>
        <v/>
      </c>
      <c r="X1756" s="47">
        <f>IF(GrossBasis="Wholesale",V1756,W1756)</f>
        <v/>
      </c>
      <c r="Y1756" s="47">
        <f>R1756*INDEX(FmtBlendedCogs,MATCH(F1756,FmtName,0))</f>
        <v/>
      </c>
      <c r="Z1756" s="47">
        <f>X1756-Y1756</f>
        <v/>
      </c>
    </row>
    <row r="1757">
      <c r="A1757" t="n">
        <v>7</v>
      </c>
      <c r="B1757" s="44">
        <f>FiscalStart+(A1757-1)*7</f>
        <v/>
      </c>
      <c r="C1757">
        <f>TEXT(B1757,"mmm yyyy")</f>
        <v/>
      </c>
      <c r="D1757">
        <f>"Q"&amp;(INT((A1757-1)/13)+1)</f>
        <v/>
      </c>
      <c r="E1757" t="inlineStr">
        <is>
          <t>Costco</t>
        </is>
      </c>
      <c r="F1757">
        <f>IFERROR(INDEX(ChFormat,MATCH(E1757,ChName,0)),"")</f>
        <v/>
      </c>
      <c r="G1757" t="inlineStr">
        <is>
          <t>MB</t>
        </is>
      </c>
      <c r="H1757">
        <f>IF(A1757&lt;=NWeeks,1,0)</f>
        <v/>
      </c>
      <c r="I1757">
        <f>INDEX(ChLaunch,MATCH(E1757,ChName,0))</f>
        <v/>
      </c>
      <c r="J1757">
        <f>INDEX(ChWeeksFull,MATCH(E1757,ChName,0))</f>
        <v/>
      </c>
      <c r="K1757">
        <f>INDEX(ChRamp,MATCH(E1757,ChName,0))</f>
        <v/>
      </c>
      <c r="L1757" s="45">
        <f>MIN(1,MAX(0,(A1757-I1757+1)*RampSpeed/J1757))</f>
        <v/>
      </c>
      <c r="M1757" s="45">
        <f>IF(A1757&lt;I1757,0,IF(K1757="S-curve",L1757*L1757*(3-2*L1757),L1757))</f>
        <v/>
      </c>
      <c r="N1757" s="45">
        <f>1+(INDEX(SeasonIdx,A1757)-1)*SeasonAmp</f>
        <v/>
      </c>
      <c r="O1757" s="45">
        <f>IFERROR(INDEX(PSPct,MATCH(E1757&amp;"|"&amp;G1757,PSKey,0)),0)</f>
        <v/>
      </c>
      <c r="P1757" s="46">
        <f>INDEX(ChDoorVel,MATCH(E1757,ChName,0))*CalibScalar*(1+VelocityUplift)</f>
        <v/>
      </c>
      <c r="Q1757" s="46" t="n">
        <v>0</v>
      </c>
      <c r="R1757" s="46">
        <f>P1757*O1757*M1757*N1757*H1757</f>
        <v/>
      </c>
      <c r="S1757" s="46">
        <f>R1757*INDEX(FmtCansPerCase,MATCH(F1757,FmtName,0))</f>
        <v/>
      </c>
      <c r="T1757" s="46">
        <f>S1757/INDEX(FmtCansPerPack,MATCH(F1757,FmtName,0))</f>
        <v/>
      </c>
      <c r="U1757" s="47">
        <f>INDEX(ChBaseCP,MATCH(E1757,ChName,0))*(1+INDEX(ProvMod,MATCH(G1757,ProvCode,0)))*(1+PriceIndex)</f>
        <v/>
      </c>
      <c r="V1757" s="47">
        <f>R1757*U1757*INDEX(FmtBlendedPriceIdx,MATCH(F1757,FmtName,0))</f>
        <v/>
      </c>
      <c r="W1757" s="47">
        <f>T1757*INDEX(ProvSRP,MATCH(G1757,ProvCode,0))*(1+PriceIndex)</f>
        <v/>
      </c>
      <c r="X1757" s="47">
        <f>IF(GrossBasis="Wholesale",V1757,W1757)</f>
        <v/>
      </c>
      <c r="Y1757" s="47">
        <f>R1757*INDEX(FmtBlendedCogs,MATCH(F1757,FmtName,0))</f>
        <v/>
      </c>
      <c r="Z1757" s="47">
        <f>X1757-Y1757</f>
        <v/>
      </c>
    </row>
    <row r="1758">
      <c r="A1758" t="n">
        <v>8</v>
      </c>
      <c r="B1758" s="44">
        <f>FiscalStart+(A1758-1)*7</f>
        <v/>
      </c>
      <c r="C1758">
        <f>TEXT(B1758,"mmm yyyy")</f>
        <v/>
      </c>
      <c r="D1758">
        <f>"Q"&amp;(INT((A1758-1)/13)+1)</f>
        <v/>
      </c>
      <c r="E1758" t="inlineStr">
        <is>
          <t>Costco</t>
        </is>
      </c>
      <c r="F1758">
        <f>IFERROR(INDEX(ChFormat,MATCH(E1758,ChName,0)),"")</f>
        <v/>
      </c>
      <c r="G1758" t="inlineStr">
        <is>
          <t>MB</t>
        </is>
      </c>
      <c r="H1758">
        <f>IF(A1758&lt;=NWeeks,1,0)</f>
        <v/>
      </c>
      <c r="I1758">
        <f>INDEX(ChLaunch,MATCH(E1758,ChName,0))</f>
        <v/>
      </c>
      <c r="J1758">
        <f>INDEX(ChWeeksFull,MATCH(E1758,ChName,0))</f>
        <v/>
      </c>
      <c r="K1758">
        <f>INDEX(ChRamp,MATCH(E1758,ChName,0))</f>
        <v/>
      </c>
      <c r="L1758" s="45">
        <f>MIN(1,MAX(0,(A1758-I1758+1)*RampSpeed/J1758))</f>
        <v/>
      </c>
      <c r="M1758" s="45">
        <f>IF(A1758&lt;I1758,0,IF(K1758="S-curve",L1758*L1758*(3-2*L1758),L1758))</f>
        <v/>
      </c>
      <c r="N1758" s="45">
        <f>1+(INDEX(SeasonIdx,A1758)-1)*SeasonAmp</f>
        <v/>
      </c>
      <c r="O1758" s="45">
        <f>IFERROR(INDEX(PSPct,MATCH(E1758&amp;"|"&amp;G1758,PSKey,0)),0)</f>
        <v/>
      </c>
      <c r="P1758" s="46">
        <f>INDEX(ChDoorVel,MATCH(E1758,ChName,0))*CalibScalar*(1+VelocityUplift)</f>
        <v/>
      </c>
      <c r="Q1758" s="46" t="n">
        <v>0</v>
      </c>
      <c r="R1758" s="46">
        <f>P1758*O1758*M1758*N1758*H1758</f>
        <v/>
      </c>
      <c r="S1758" s="46">
        <f>R1758*INDEX(FmtCansPerCase,MATCH(F1758,FmtName,0))</f>
        <v/>
      </c>
      <c r="T1758" s="46">
        <f>S1758/INDEX(FmtCansPerPack,MATCH(F1758,FmtName,0))</f>
        <v/>
      </c>
      <c r="U1758" s="47">
        <f>INDEX(ChBaseCP,MATCH(E1758,ChName,0))*(1+INDEX(ProvMod,MATCH(G1758,ProvCode,0)))*(1+PriceIndex)</f>
        <v/>
      </c>
      <c r="V1758" s="47">
        <f>R1758*U1758*INDEX(FmtBlendedPriceIdx,MATCH(F1758,FmtName,0))</f>
        <v/>
      </c>
      <c r="W1758" s="47">
        <f>T1758*INDEX(ProvSRP,MATCH(G1758,ProvCode,0))*(1+PriceIndex)</f>
        <v/>
      </c>
      <c r="X1758" s="47">
        <f>IF(GrossBasis="Wholesale",V1758,W1758)</f>
        <v/>
      </c>
      <c r="Y1758" s="47">
        <f>R1758*INDEX(FmtBlendedCogs,MATCH(F1758,FmtName,0))</f>
        <v/>
      </c>
      <c r="Z1758" s="47">
        <f>X1758-Y1758</f>
        <v/>
      </c>
    </row>
    <row r="1759">
      <c r="A1759" t="n">
        <v>9</v>
      </c>
      <c r="B1759" s="44">
        <f>FiscalStart+(A1759-1)*7</f>
        <v/>
      </c>
      <c r="C1759">
        <f>TEXT(B1759,"mmm yyyy")</f>
        <v/>
      </c>
      <c r="D1759">
        <f>"Q"&amp;(INT((A1759-1)/13)+1)</f>
        <v/>
      </c>
      <c r="E1759" t="inlineStr">
        <is>
          <t>Costco</t>
        </is>
      </c>
      <c r="F1759">
        <f>IFERROR(INDEX(ChFormat,MATCH(E1759,ChName,0)),"")</f>
        <v/>
      </c>
      <c r="G1759" t="inlineStr">
        <is>
          <t>MB</t>
        </is>
      </c>
      <c r="H1759">
        <f>IF(A1759&lt;=NWeeks,1,0)</f>
        <v/>
      </c>
      <c r="I1759">
        <f>INDEX(ChLaunch,MATCH(E1759,ChName,0))</f>
        <v/>
      </c>
      <c r="J1759">
        <f>INDEX(ChWeeksFull,MATCH(E1759,ChName,0))</f>
        <v/>
      </c>
      <c r="K1759">
        <f>INDEX(ChRamp,MATCH(E1759,ChName,0))</f>
        <v/>
      </c>
      <c r="L1759" s="45">
        <f>MIN(1,MAX(0,(A1759-I1759+1)*RampSpeed/J1759))</f>
        <v/>
      </c>
      <c r="M1759" s="45">
        <f>IF(A1759&lt;I1759,0,IF(K1759="S-curve",L1759*L1759*(3-2*L1759),L1759))</f>
        <v/>
      </c>
      <c r="N1759" s="45">
        <f>1+(INDEX(SeasonIdx,A1759)-1)*SeasonAmp</f>
        <v/>
      </c>
      <c r="O1759" s="45">
        <f>IFERROR(INDEX(PSPct,MATCH(E1759&amp;"|"&amp;G1759,PSKey,0)),0)</f>
        <v/>
      </c>
      <c r="P1759" s="46">
        <f>INDEX(ChDoorVel,MATCH(E1759,ChName,0))*CalibScalar*(1+VelocityUplift)</f>
        <v/>
      </c>
      <c r="Q1759" s="46" t="n">
        <v>0</v>
      </c>
      <c r="R1759" s="46">
        <f>P1759*O1759*M1759*N1759*H1759</f>
        <v/>
      </c>
      <c r="S1759" s="46">
        <f>R1759*INDEX(FmtCansPerCase,MATCH(F1759,FmtName,0))</f>
        <v/>
      </c>
      <c r="T1759" s="46">
        <f>S1759/INDEX(FmtCansPerPack,MATCH(F1759,FmtName,0))</f>
        <v/>
      </c>
      <c r="U1759" s="47">
        <f>INDEX(ChBaseCP,MATCH(E1759,ChName,0))*(1+INDEX(ProvMod,MATCH(G1759,ProvCode,0)))*(1+PriceIndex)</f>
        <v/>
      </c>
      <c r="V1759" s="47">
        <f>R1759*U1759*INDEX(FmtBlendedPriceIdx,MATCH(F1759,FmtName,0))</f>
        <v/>
      </c>
      <c r="W1759" s="47">
        <f>T1759*INDEX(ProvSRP,MATCH(G1759,ProvCode,0))*(1+PriceIndex)</f>
        <v/>
      </c>
      <c r="X1759" s="47">
        <f>IF(GrossBasis="Wholesale",V1759,W1759)</f>
        <v/>
      </c>
      <c r="Y1759" s="47">
        <f>R1759*INDEX(FmtBlendedCogs,MATCH(F1759,FmtName,0))</f>
        <v/>
      </c>
      <c r="Z1759" s="47">
        <f>X1759-Y1759</f>
        <v/>
      </c>
    </row>
    <row r="1760">
      <c r="A1760" t="n">
        <v>10</v>
      </c>
      <c r="B1760" s="44">
        <f>FiscalStart+(A1760-1)*7</f>
        <v/>
      </c>
      <c r="C1760">
        <f>TEXT(B1760,"mmm yyyy")</f>
        <v/>
      </c>
      <c r="D1760">
        <f>"Q"&amp;(INT((A1760-1)/13)+1)</f>
        <v/>
      </c>
      <c r="E1760" t="inlineStr">
        <is>
          <t>Costco</t>
        </is>
      </c>
      <c r="F1760">
        <f>IFERROR(INDEX(ChFormat,MATCH(E1760,ChName,0)),"")</f>
        <v/>
      </c>
      <c r="G1760" t="inlineStr">
        <is>
          <t>MB</t>
        </is>
      </c>
      <c r="H1760">
        <f>IF(A1760&lt;=NWeeks,1,0)</f>
        <v/>
      </c>
      <c r="I1760">
        <f>INDEX(ChLaunch,MATCH(E1760,ChName,0))</f>
        <v/>
      </c>
      <c r="J1760">
        <f>INDEX(ChWeeksFull,MATCH(E1760,ChName,0))</f>
        <v/>
      </c>
      <c r="K1760">
        <f>INDEX(ChRamp,MATCH(E1760,ChName,0))</f>
        <v/>
      </c>
      <c r="L1760" s="45">
        <f>MIN(1,MAX(0,(A1760-I1760+1)*RampSpeed/J1760))</f>
        <v/>
      </c>
      <c r="M1760" s="45">
        <f>IF(A1760&lt;I1760,0,IF(K1760="S-curve",L1760*L1760*(3-2*L1760),L1760))</f>
        <v/>
      </c>
      <c r="N1760" s="45">
        <f>1+(INDEX(SeasonIdx,A1760)-1)*SeasonAmp</f>
        <v/>
      </c>
      <c r="O1760" s="45">
        <f>IFERROR(INDEX(PSPct,MATCH(E1760&amp;"|"&amp;G1760,PSKey,0)),0)</f>
        <v/>
      </c>
      <c r="P1760" s="46">
        <f>INDEX(ChDoorVel,MATCH(E1760,ChName,0))*CalibScalar*(1+VelocityUplift)</f>
        <v/>
      </c>
      <c r="Q1760" s="46" t="n">
        <v>0</v>
      </c>
      <c r="R1760" s="46">
        <f>P1760*O1760*M1760*N1760*H1760</f>
        <v/>
      </c>
      <c r="S1760" s="46">
        <f>R1760*INDEX(FmtCansPerCase,MATCH(F1760,FmtName,0))</f>
        <v/>
      </c>
      <c r="T1760" s="46">
        <f>S1760/INDEX(FmtCansPerPack,MATCH(F1760,FmtName,0))</f>
        <v/>
      </c>
      <c r="U1760" s="47">
        <f>INDEX(ChBaseCP,MATCH(E1760,ChName,0))*(1+INDEX(ProvMod,MATCH(G1760,ProvCode,0)))*(1+PriceIndex)</f>
        <v/>
      </c>
      <c r="V1760" s="47">
        <f>R1760*U1760*INDEX(FmtBlendedPriceIdx,MATCH(F1760,FmtName,0))</f>
        <v/>
      </c>
      <c r="W1760" s="47">
        <f>T1760*INDEX(ProvSRP,MATCH(G1760,ProvCode,0))*(1+PriceIndex)</f>
        <v/>
      </c>
      <c r="X1760" s="47">
        <f>IF(GrossBasis="Wholesale",V1760,W1760)</f>
        <v/>
      </c>
      <c r="Y1760" s="47">
        <f>R1760*INDEX(FmtBlendedCogs,MATCH(F1760,FmtName,0))</f>
        <v/>
      </c>
      <c r="Z1760" s="47">
        <f>X1760-Y1760</f>
        <v/>
      </c>
    </row>
    <row r="1761">
      <c r="A1761" t="n">
        <v>11</v>
      </c>
      <c r="B1761" s="44">
        <f>FiscalStart+(A1761-1)*7</f>
        <v/>
      </c>
      <c r="C1761">
        <f>TEXT(B1761,"mmm yyyy")</f>
        <v/>
      </c>
      <c r="D1761">
        <f>"Q"&amp;(INT((A1761-1)/13)+1)</f>
        <v/>
      </c>
      <c r="E1761" t="inlineStr">
        <is>
          <t>Costco</t>
        </is>
      </c>
      <c r="F1761">
        <f>IFERROR(INDEX(ChFormat,MATCH(E1761,ChName,0)),"")</f>
        <v/>
      </c>
      <c r="G1761" t="inlineStr">
        <is>
          <t>MB</t>
        </is>
      </c>
      <c r="H1761">
        <f>IF(A1761&lt;=NWeeks,1,0)</f>
        <v/>
      </c>
      <c r="I1761">
        <f>INDEX(ChLaunch,MATCH(E1761,ChName,0))</f>
        <v/>
      </c>
      <c r="J1761">
        <f>INDEX(ChWeeksFull,MATCH(E1761,ChName,0))</f>
        <v/>
      </c>
      <c r="K1761">
        <f>INDEX(ChRamp,MATCH(E1761,ChName,0))</f>
        <v/>
      </c>
      <c r="L1761" s="45">
        <f>MIN(1,MAX(0,(A1761-I1761+1)*RampSpeed/J1761))</f>
        <v/>
      </c>
      <c r="M1761" s="45">
        <f>IF(A1761&lt;I1761,0,IF(K1761="S-curve",L1761*L1761*(3-2*L1761),L1761))</f>
        <v/>
      </c>
      <c r="N1761" s="45">
        <f>1+(INDEX(SeasonIdx,A1761)-1)*SeasonAmp</f>
        <v/>
      </c>
      <c r="O1761" s="45">
        <f>IFERROR(INDEX(PSPct,MATCH(E1761&amp;"|"&amp;G1761,PSKey,0)),0)</f>
        <v/>
      </c>
      <c r="P1761" s="46">
        <f>INDEX(ChDoorVel,MATCH(E1761,ChName,0))*CalibScalar*(1+VelocityUplift)</f>
        <v/>
      </c>
      <c r="Q1761" s="46" t="n">
        <v>0</v>
      </c>
      <c r="R1761" s="46">
        <f>P1761*O1761*M1761*N1761*H1761</f>
        <v/>
      </c>
      <c r="S1761" s="46">
        <f>R1761*INDEX(FmtCansPerCase,MATCH(F1761,FmtName,0))</f>
        <v/>
      </c>
      <c r="T1761" s="46">
        <f>S1761/INDEX(FmtCansPerPack,MATCH(F1761,FmtName,0))</f>
        <v/>
      </c>
      <c r="U1761" s="47">
        <f>INDEX(ChBaseCP,MATCH(E1761,ChName,0))*(1+INDEX(ProvMod,MATCH(G1761,ProvCode,0)))*(1+PriceIndex)</f>
        <v/>
      </c>
      <c r="V1761" s="47">
        <f>R1761*U1761*INDEX(FmtBlendedPriceIdx,MATCH(F1761,FmtName,0))</f>
        <v/>
      </c>
      <c r="W1761" s="47">
        <f>T1761*INDEX(ProvSRP,MATCH(G1761,ProvCode,0))*(1+PriceIndex)</f>
        <v/>
      </c>
      <c r="X1761" s="47">
        <f>IF(GrossBasis="Wholesale",V1761,W1761)</f>
        <v/>
      </c>
      <c r="Y1761" s="47">
        <f>R1761*INDEX(FmtBlendedCogs,MATCH(F1761,FmtName,0))</f>
        <v/>
      </c>
      <c r="Z1761" s="47">
        <f>X1761-Y1761</f>
        <v/>
      </c>
    </row>
    <row r="1762">
      <c r="A1762" t="n">
        <v>12</v>
      </c>
      <c r="B1762" s="44">
        <f>FiscalStart+(A1762-1)*7</f>
        <v/>
      </c>
      <c r="C1762">
        <f>TEXT(B1762,"mmm yyyy")</f>
        <v/>
      </c>
      <c r="D1762">
        <f>"Q"&amp;(INT((A1762-1)/13)+1)</f>
        <v/>
      </c>
      <c r="E1762" t="inlineStr">
        <is>
          <t>Costco</t>
        </is>
      </c>
      <c r="F1762">
        <f>IFERROR(INDEX(ChFormat,MATCH(E1762,ChName,0)),"")</f>
        <v/>
      </c>
      <c r="G1762" t="inlineStr">
        <is>
          <t>MB</t>
        </is>
      </c>
      <c r="H1762">
        <f>IF(A1762&lt;=NWeeks,1,0)</f>
        <v/>
      </c>
      <c r="I1762">
        <f>INDEX(ChLaunch,MATCH(E1762,ChName,0))</f>
        <v/>
      </c>
      <c r="J1762">
        <f>INDEX(ChWeeksFull,MATCH(E1762,ChName,0))</f>
        <v/>
      </c>
      <c r="K1762">
        <f>INDEX(ChRamp,MATCH(E1762,ChName,0))</f>
        <v/>
      </c>
      <c r="L1762" s="45">
        <f>MIN(1,MAX(0,(A1762-I1762+1)*RampSpeed/J1762))</f>
        <v/>
      </c>
      <c r="M1762" s="45">
        <f>IF(A1762&lt;I1762,0,IF(K1762="S-curve",L1762*L1762*(3-2*L1762),L1762))</f>
        <v/>
      </c>
      <c r="N1762" s="45">
        <f>1+(INDEX(SeasonIdx,A1762)-1)*SeasonAmp</f>
        <v/>
      </c>
      <c r="O1762" s="45">
        <f>IFERROR(INDEX(PSPct,MATCH(E1762&amp;"|"&amp;G1762,PSKey,0)),0)</f>
        <v/>
      </c>
      <c r="P1762" s="46">
        <f>INDEX(ChDoorVel,MATCH(E1762,ChName,0))*CalibScalar*(1+VelocityUplift)</f>
        <v/>
      </c>
      <c r="Q1762" s="46" t="n">
        <v>0</v>
      </c>
      <c r="R1762" s="46">
        <f>P1762*O1762*M1762*N1762*H1762</f>
        <v/>
      </c>
      <c r="S1762" s="46">
        <f>R1762*INDEX(FmtCansPerCase,MATCH(F1762,FmtName,0))</f>
        <v/>
      </c>
      <c r="T1762" s="46">
        <f>S1762/INDEX(FmtCansPerPack,MATCH(F1762,FmtName,0))</f>
        <v/>
      </c>
      <c r="U1762" s="47">
        <f>INDEX(ChBaseCP,MATCH(E1762,ChName,0))*(1+INDEX(ProvMod,MATCH(G1762,ProvCode,0)))*(1+PriceIndex)</f>
        <v/>
      </c>
      <c r="V1762" s="47">
        <f>R1762*U1762*INDEX(FmtBlendedPriceIdx,MATCH(F1762,FmtName,0))</f>
        <v/>
      </c>
      <c r="W1762" s="47">
        <f>T1762*INDEX(ProvSRP,MATCH(G1762,ProvCode,0))*(1+PriceIndex)</f>
        <v/>
      </c>
      <c r="X1762" s="47">
        <f>IF(GrossBasis="Wholesale",V1762,W1762)</f>
        <v/>
      </c>
      <c r="Y1762" s="47">
        <f>R1762*INDEX(FmtBlendedCogs,MATCH(F1762,FmtName,0))</f>
        <v/>
      </c>
      <c r="Z1762" s="47">
        <f>X1762-Y1762</f>
        <v/>
      </c>
    </row>
    <row r="1763">
      <c r="A1763" t="n">
        <v>13</v>
      </c>
      <c r="B1763" s="44">
        <f>FiscalStart+(A1763-1)*7</f>
        <v/>
      </c>
      <c r="C1763">
        <f>TEXT(B1763,"mmm yyyy")</f>
        <v/>
      </c>
      <c r="D1763">
        <f>"Q"&amp;(INT((A1763-1)/13)+1)</f>
        <v/>
      </c>
      <c r="E1763" t="inlineStr">
        <is>
          <t>Costco</t>
        </is>
      </c>
      <c r="F1763">
        <f>IFERROR(INDEX(ChFormat,MATCH(E1763,ChName,0)),"")</f>
        <v/>
      </c>
      <c r="G1763" t="inlineStr">
        <is>
          <t>MB</t>
        </is>
      </c>
      <c r="H1763">
        <f>IF(A1763&lt;=NWeeks,1,0)</f>
        <v/>
      </c>
      <c r="I1763">
        <f>INDEX(ChLaunch,MATCH(E1763,ChName,0))</f>
        <v/>
      </c>
      <c r="J1763">
        <f>INDEX(ChWeeksFull,MATCH(E1763,ChName,0))</f>
        <v/>
      </c>
      <c r="K1763">
        <f>INDEX(ChRamp,MATCH(E1763,ChName,0))</f>
        <v/>
      </c>
      <c r="L1763" s="45">
        <f>MIN(1,MAX(0,(A1763-I1763+1)*RampSpeed/J1763))</f>
        <v/>
      </c>
      <c r="M1763" s="45">
        <f>IF(A1763&lt;I1763,0,IF(K1763="S-curve",L1763*L1763*(3-2*L1763),L1763))</f>
        <v/>
      </c>
      <c r="N1763" s="45">
        <f>1+(INDEX(SeasonIdx,A1763)-1)*SeasonAmp</f>
        <v/>
      </c>
      <c r="O1763" s="45">
        <f>IFERROR(INDEX(PSPct,MATCH(E1763&amp;"|"&amp;G1763,PSKey,0)),0)</f>
        <v/>
      </c>
      <c r="P1763" s="46">
        <f>INDEX(ChDoorVel,MATCH(E1763,ChName,0))*CalibScalar*(1+VelocityUplift)</f>
        <v/>
      </c>
      <c r="Q1763" s="46" t="n">
        <v>0</v>
      </c>
      <c r="R1763" s="46">
        <f>P1763*O1763*M1763*N1763*H1763</f>
        <v/>
      </c>
      <c r="S1763" s="46">
        <f>R1763*INDEX(FmtCansPerCase,MATCH(F1763,FmtName,0))</f>
        <v/>
      </c>
      <c r="T1763" s="46">
        <f>S1763/INDEX(FmtCansPerPack,MATCH(F1763,FmtName,0))</f>
        <v/>
      </c>
      <c r="U1763" s="47">
        <f>INDEX(ChBaseCP,MATCH(E1763,ChName,0))*(1+INDEX(ProvMod,MATCH(G1763,ProvCode,0)))*(1+PriceIndex)</f>
        <v/>
      </c>
      <c r="V1763" s="47">
        <f>R1763*U1763*INDEX(FmtBlendedPriceIdx,MATCH(F1763,FmtName,0))</f>
        <v/>
      </c>
      <c r="W1763" s="47">
        <f>T1763*INDEX(ProvSRP,MATCH(G1763,ProvCode,0))*(1+PriceIndex)</f>
        <v/>
      </c>
      <c r="X1763" s="47">
        <f>IF(GrossBasis="Wholesale",V1763,W1763)</f>
        <v/>
      </c>
      <c r="Y1763" s="47">
        <f>R1763*INDEX(FmtBlendedCogs,MATCH(F1763,FmtName,0))</f>
        <v/>
      </c>
      <c r="Z1763" s="47">
        <f>X1763-Y1763</f>
        <v/>
      </c>
    </row>
    <row r="1764">
      <c r="A1764" t="n">
        <v>14</v>
      </c>
      <c r="B1764" s="44">
        <f>FiscalStart+(A1764-1)*7</f>
        <v/>
      </c>
      <c r="C1764">
        <f>TEXT(B1764,"mmm yyyy")</f>
        <v/>
      </c>
      <c r="D1764">
        <f>"Q"&amp;(INT((A1764-1)/13)+1)</f>
        <v/>
      </c>
      <c r="E1764" t="inlineStr">
        <is>
          <t>Costco</t>
        </is>
      </c>
      <c r="F1764">
        <f>IFERROR(INDEX(ChFormat,MATCH(E1764,ChName,0)),"")</f>
        <v/>
      </c>
      <c r="G1764" t="inlineStr">
        <is>
          <t>MB</t>
        </is>
      </c>
      <c r="H1764">
        <f>IF(A1764&lt;=NWeeks,1,0)</f>
        <v/>
      </c>
      <c r="I1764">
        <f>INDEX(ChLaunch,MATCH(E1764,ChName,0))</f>
        <v/>
      </c>
      <c r="J1764">
        <f>INDEX(ChWeeksFull,MATCH(E1764,ChName,0))</f>
        <v/>
      </c>
      <c r="K1764">
        <f>INDEX(ChRamp,MATCH(E1764,ChName,0))</f>
        <v/>
      </c>
      <c r="L1764" s="45">
        <f>MIN(1,MAX(0,(A1764-I1764+1)*RampSpeed/J1764))</f>
        <v/>
      </c>
      <c r="M1764" s="45">
        <f>IF(A1764&lt;I1764,0,IF(K1764="S-curve",L1764*L1764*(3-2*L1764),L1764))</f>
        <v/>
      </c>
      <c r="N1764" s="45">
        <f>1+(INDEX(SeasonIdx,A1764)-1)*SeasonAmp</f>
        <v/>
      </c>
      <c r="O1764" s="45">
        <f>IFERROR(INDEX(PSPct,MATCH(E1764&amp;"|"&amp;G1764,PSKey,0)),0)</f>
        <v/>
      </c>
      <c r="P1764" s="46">
        <f>INDEX(ChDoorVel,MATCH(E1764,ChName,0))*CalibScalar*(1+VelocityUplift)</f>
        <v/>
      </c>
      <c r="Q1764" s="46" t="n">
        <v>0</v>
      </c>
      <c r="R1764" s="46">
        <f>P1764*O1764*M1764*N1764*H1764</f>
        <v/>
      </c>
      <c r="S1764" s="46">
        <f>R1764*INDEX(FmtCansPerCase,MATCH(F1764,FmtName,0))</f>
        <v/>
      </c>
      <c r="T1764" s="46">
        <f>S1764/INDEX(FmtCansPerPack,MATCH(F1764,FmtName,0))</f>
        <v/>
      </c>
      <c r="U1764" s="47">
        <f>INDEX(ChBaseCP,MATCH(E1764,ChName,0))*(1+INDEX(ProvMod,MATCH(G1764,ProvCode,0)))*(1+PriceIndex)</f>
        <v/>
      </c>
      <c r="V1764" s="47">
        <f>R1764*U1764*INDEX(FmtBlendedPriceIdx,MATCH(F1764,FmtName,0))</f>
        <v/>
      </c>
      <c r="W1764" s="47">
        <f>T1764*INDEX(ProvSRP,MATCH(G1764,ProvCode,0))*(1+PriceIndex)</f>
        <v/>
      </c>
      <c r="X1764" s="47">
        <f>IF(GrossBasis="Wholesale",V1764,W1764)</f>
        <v/>
      </c>
      <c r="Y1764" s="47">
        <f>R1764*INDEX(FmtBlendedCogs,MATCH(F1764,FmtName,0))</f>
        <v/>
      </c>
      <c r="Z1764" s="47">
        <f>X1764-Y1764</f>
        <v/>
      </c>
    </row>
    <row r="1765">
      <c r="A1765" t="n">
        <v>15</v>
      </c>
      <c r="B1765" s="44">
        <f>FiscalStart+(A1765-1)*7</f>
        <v/>
      </c>
      <c r="C1765">
        <f>TEXT(B1765,"mmm yyyy")</f>
        <v/>
      </c>
      <c r="D1765">
        <f>"Q"&amp;(INT((A1765-1)/13)+1)</f>
        <v/>
      </c>
      <c r="E1765" t="inlineStr">
        <is>
          <t>Costco</t>
        </is>
      </c>
      <c r="F1765">
        <f>IFERROR(INDEX(ChFormat,MATCH(E1765,ChName,0)),"")</f>
        <v/>
      </c>
      <c r="G1765" t="inlineStr">
        <is>
          <t>MB</t>
        </is>
      </c>
      <c r="H1765">
        <f>IF(A1765&lt;=NWeeks,1,0)</f>
        <v/>
      </c>
      <c r="I1765">
        <f>INDEX(ChLaunch,MATCH(E1765,ChName,0))</f>
        <v/>
      </c>
      <c r="J1765">
        <f>INDEX(ChWeeksFull,MATCH(E1765,ChName,0))</f>
        <v/>
      </c>
      <c r="K1765">
        <f>INDEX(ChRamp,MATCH(E1765,ChName,0))</f>
        <v/>
      </c>
      <c r="L1765" s="45">
        <f>MIN(1,MAX(0,(A1765-I1765+1)*RampSpeed/J1765))</f>
        <v/>
      </c>
      <c r="M1765" s="45">
        <f>IF(A1765&lt;I1765,0,IF(K1765="S-curve",L1765*L1765*(3-2*L1765),L1765))</f>
        <v/>
      </c>
      <c r="N1765" s="45">
        <f>1+(INDEX(SeasonIdx,A1765)-1)*SeasonAmp</f>
        <v/>
      </c>
      <c r="O1765" s="45">
        <f>IFERROR(INDEX(PSPct,MATCH(E1765&amp;"|"&amp;G1765,PSKey,0)),0)</f>
        <v/>
      </c>
      <c r="P1765" s="46">
        <f>INDEX(ChDoorVel,MATCH(E1765,ChName,0))*CalibScalar*(1+VelocityUplift)</f>
        <v/>
      </c>
      <c r="Q1765" s="46" t="n">
        <v>0</v>
      </c>
      <c r="R1765" s="46">
        <f>P1765*O1765*M1765*N1765*H1765</f>
        <v/>
      </c>
      <c r="S1765" s="46">
        <f>R1765*INDEX(FmtCansPerCase,MATCH(F1765,FmtName,0))</f>
        <v/>
      </c>
      <c r="T1765" s="46">
        <f>S1765/INDEX(FmtCansPerPack,MATCH(F1765,FmtName,0))</f>
        <v/>
      </c>
      <c r="U1765" s="47">
        <f>INDEX(ChBaseCP,MATCH(E1765,ChName,0))*(1+INDEX(ProvMod,MATCH(G1765,ProvCode,0)))*(1+PriceIndex)</f>
        <v/>
      </c>
      <c r="V1765" s="47">
        <f>R1765*U1765*INDEX(FmtBlendedPriceIdx,MATCH(F1765,FmtName,0))</f>
        <v/>
      </c>
      <c r="W1765" s="47">
        <f>T1765*INDEX(ProvSRP,MATCH(G1765,ProvCode,0))*(1+PriceIndex)</f>
        <v/>
      </c>
      <c r="X1765" s="47">
        <f>IF(GrossBasis="Wholesale",V1765,W1765)</f>
        <v/>
      </c>
      <c r="Y1765" s="47">
        <f>R1765*INDEX(FmtBlendedCogs,MATCH(F1765,FmtName,0))</f>
        <v/>
      </c>
      <c r="Z1765" s="47">
        <f>X1765-Y1765</f>
        <v/>
      </c>
    </row>
    <row r="1766">
      <c r="A1766" t="n">
        <v>16</v>
      </c>
      <c r="B1766" s="44">
        <f>FiscalStart+(A1766-1)*7</f>
        <v/>
      </c>
      <c r="C1766">
        <f>TEXT(B1766,"mmm yyyy")</f>
        <v/>
      </c>
      <c r="D1766">
        <f>"Q"&amp;(INT((A1766-1)/13)+1)</f>
        <v/>
      </c>
      <c r="E1766" t="inlineStr">
        <is>
          <t>Costco</t>
        </is>
      </c>
      <c r="F1766">
        <f>IFERROR(INDEX(ChFormat,MATCH(E1766,ChName,0)),"")</f>
        <v/>
      </c>
      <c r="G1766" t="inlineStr">
        <is>
          <t>MB</t>
        </is>
      </c>
      <c r="H1766">
        <f>IF(A1766&lt;=NWeeks,1,0)</f>
        <v/>
      </c>
      <c r="I1766">
        <f>INDEX(ChLaunch,MATCH(E1766,ChName,0))</f>
        <v/>
      </c>
      <c r="J1766">
        <f>INDEX(ChWeeksFull,MATCH(E1766,ChName,0))</f>
        <v/>
      </c>
      <c r="K1766">
        <f>INDEX(ChRamp,MATCH(E1766,ChName,0))</f>
        <v/>
      </c>
      <c r="L1766" s="45">
        <f>MIN(1,MAX(0,(A1766-I1766+1)*RampSpeed/J1766))</f>
        <v/>
      </c>
      <c r="M1766" s="45">
        <f>IF(A1766&lt;I1766,0,IF(K1766="S-curve",L1766*L1766*(3-2*L1766),L1766))</f>
        <v/>
      </c>
      <c r="N1766" s="45">
        <f>1+(INDEX(SeasonIdx,A1766)-1)*SeasonAmp</f>
        <v/>
      </c>
      <c r="O1766" s="45">
        <f>IFERROR(INDEX(PSPct,MATCH(E1766&amp;"|"&amp;G1766,PSKey,0)),0)</f>
        <v/>
      </c>
      <c r="P1766" s="46">
        <f>INDEX(ChDoorVel,MATCH(E1766,ChName,0))*CalibScalar*(1+VelocityUplift)</f>
        <v/>
      </c>
      <c r="Q1766" s="46" t="n">
        <v>0</v>
      </c>
      <c r="R1766" s="46">
        <f>P1766*O1766*M1766*N1766*H1766</f>
        <v/>
      </c>
      <c r="S1766" s="46">
        <f>R1766*INDEX(FmtCansPerCase,MATCH(F1766,FmtName,0))</f>
        <v/>
      </c>
      <c r="T1766" s="46">
        <f>S1766/INDEX(FmtCansPerPack,MATCH(F1766,FmtName,0))</f>
        <v/>
      </c>
      <c r="U1766" s="47">
        <f>INDEX(ChBaseCP,MATCH(E1766,ChName,0))*(1+INDEX(ProvMod,MATCH(G1766,ProvCode,0)))*(1+PriceIndex)</f>
        <v/>
      </c>
      <c r="V1766" s="47">
        <f>R1766*U1766*INDEX(FmtBlendedPriceIdx,MATCH(F1766,FmtName,0))</f>
        <v/>
      </c>
      <c r="W1766" s="47">
        <f>T1766*INDEX(ProvSRP,MATCH(G1766,ProvCode,0))*(1+PriceIndex)</f>
        <v/>
      </c>
      <c r="X1766" s="47">
        <f>IF(GrossBasis="Wholesale",V1766,W1766)</f>
        <v/>
      </c>
      <c r="Y1766" s="47">
        <f>R1766*INDEX(FmtBlendedCogs,MATCH(F1766,FmtName,0))</f>
        <v/>
      </c>
      <c r="Z1766" s="47">
        <f>X1766-Y1766</f>
        <v/>
      </c>
    </row>
    <row r="1767">
      <c r="A1767" t="n">
        <v>17</v>
      </c>
      <c r="B1767" s="44">
        <f>FiscalStart+(A1767-1)*7</f>
        <v/>
      </c>
      <c r="C1767">
        <f>TEXT(B1767,"mmm yyyy")</f>
        <v/>
      </c>
      <c r="D1767">
        <f>"Q"&amp;(INT((A1767-1)/13)+1)</f>
        <v/>
      </c>
      <c r="E1767" t="inlineStr">
        <is>
          <t>Costco</t>
        </is>
      </c>
      <c r="F1767">
        <f>IFERROR(INDEX(ChFormat,MATCH(E1767,ChName,0)),"")</f>
        <v/>
      </c>
      <c r="G1767" t="inlineStr">
        <is>
          <t>MB</t>
        </is>
      </c>
      <c r="H1767">
        <f>IF(A1767&lt;=NWeeks,1,0)</f>
        <v/>
      </c>
      <c r="I1767">
        <f>INDEX(ChLaunch,MATCH(E1767,ChName,0))</f>
        <v/>
      </c>
      <c r="J1767">
        <f>INDEX(ChWeeksFull,MATCH(E1767,ChName,0))</f>
        <v/>
      </c>
      <c r="K1767">
        <f>INDEX(ChRamp,MATCH(E1767,ChName,0))</f>
        <v/>
      </c>
      <c r="L1767" s="45">
        <f>MIN(1,MAX(0,(A1767-I1767+1)*RampSpeed/J1767))</f>
        <v/>
      </c>
      <c r="M1767" s="45">
        <f>IF(A1767&lt;I1767,0,IF(K1767="S-curve",L1767*L1767*(3-2*L1767),L1767))</f>
        <v/>
      </c>
      <c r="N1767" s="45">
        <f>1+(INDEX(SeasonIdx,A1767)-1)*SeasonAmp</f>
        <v/>
      </c>
      <c r="O1767" s="45">
        <f>IFERROR(INDEX(PSPct,MATCH(E1767&amp;"|"&amp;G1767,PSKey,0)),0)</f>
        <v/>
      </c>
      <c r="P1767" s="46">
        <f>INDEX(ChDoorVel,MATCH(E1767,ChName,0))*CalibScalar*(1+VelocityUplift)</f>
        <v/>
      </c>
      <c r="Q1767" s="46" t="n">
        <v>0</v>
      </c>
      <c r="R1767" s="46">
        <f>P1767*O1767*M1767*N1767*H1767</f>
        <v/>
      </c>
      <c r="S1767" s="46">
        <f>R1767*INDEX(FmtCansPerCase,MATCH(F1767,FmtName,0))</f>
        <v/>
      </c>
      <c r="T1767" s="46">
        <f>S1767/INDEX(FmtCansPerPack,MATCH(F1767,FmtName,0))</f>
        <v/>
      </c>
      <c r="U1767" s="47">
        <f>INDEX(ChBaseCP,MATCH(E1767,ChName,0))*(1+INDEX(ProvMod,MATCH(G1767,ProvCode,0)))*(1+PriceIndex)</f>
        <v/>
      </c>
      <c r="V1767" s="47">
        <f>R1767*U1767*INDEX(FmtBlendedPriceIdx,MATCH(F1767,FmtName,0))</f>
        <v/>
      </c>
      <c r="W1767" s="47">
        <f>T1767*INDEX(ProvSRP,MATCH(G1767,ProvCode,0))*(1+PriceIndex)</f>
        <v/>
      </c>
      <c r="X1767" s="47">
        <f>IF(GrossBasis="Wholesale",V1767,W1767)</f>
        <v/>
      </c>
      <c r="Y1767" s="47">
        <f>R1767*INDEX(FmtBlendedCogs,MATCH(F1767,FmtName,0))</f>
        <v/>
      </c>
      <c r="Z1767" s="47">
        <f>X1767-Y1767</f>
        <v/>
      </c>
    </row>
    <row r="1768">
      <c r="A1768" t="n">
        <v>18</v>
      </c>
      <c r="B1768" s="44">
        <f>FiscalStart+(A1768-1)*7</f>
        <v/>
      </c>
      <c r="C1768">
        <f>TEXT(B1768,"mmm yyyy")</f>
        <v/>
      </c>
      <c r="D1768">
        <f>"Q"&amp;(INT((A1768-1)/13)+1)</f>
        <v/>
      </c>
      <c r="E1768" t="inlineStr">
        <is>
          <t>Costco</t>
        </is>
      </c>
      <c r="F1768">
        <f>IFERROR(INDEX(ChFormat,MATCH(E1768,ChName,0)),"")</f>
        <v/>
      </c>
      <c r="G1768" t="inlineStr">
        <is>
          <t>MB</t>
        </is>
      </c>
      <c r="H1768">
        <f>IF(A1768&lt;=NWeeks,1,0)</f>
        <v/>
      </c>
      <c r="I1768">
        <f>INDEX(ChLaunch,MATCH(E1768,ChName,0))</f>
        <v/>
      </c>
      <c r="J1768">
        <f>INDEX(ChWeeksFull,MATCH(E1768,ChName,0))</f>
        <v/>
      </c>
      <c r="K1768">
        <f>INDEX(ChRamp,MATCH(E1768,ChName,0))</f>
        <v/>
      </c>
      <c r="L1768" s="45">
        <f>MIN(1,MAX(0,(A1768-I1768+1)*RampSpeed/J1768))</f>
        <v/>
      </c>
      <c r="M1768" s="45">
        <f>IF(A1768&lt;I1768,0,IF(K1768="S-curve",L1768*L1768*(3-2*L1768),L1768))</f>
        <v/>
      </c>
      <c r="N1768" s="45">
        <f>1+(INDEX(SeasonIdx,A1768)-1)*SeasonAmp</f>
        <v/>
      </c>
      <c r="O1768" s="45">
        <f>IFERROR(INDEX(PSPct,MATCH(E1768&amp;"|"&amp;G1768,PSKey,0)),0)</f>
        <v/>
      </c>
      <c r="P1768" s="46">
        <f>INDEX(ChDoorVel,MATCH(E1768,ChName,0))*CalibScalar*(1+VelocityUplift)</f>
        <v/>
      </c>
      <c r="Q1768" s="46" t="n">
        <v>0</v>
      </c>
      <c r="R1768" s="46">
        <f>P1768*O1768*M1768*N1768*H1768</f>
        <v/>
      </c>
      <c r="S1768" s="46">
        <f>R1768*INDEX(FmtCansPerCase,MATCH(F1768,FmtName,0))</f>
        <v/>
      </c>
      <c r="T1768" s="46">
        <f>S1768/INDEX(FmtCansPerPack,MATCH(F1768,FmtName,0))</f>
        <v/>
      </c>
      <c r="U1768" s="47">
        <f>INDEX(ChBaseCP,MATCH(E1768,ChName,0))*(1+INDEX(ProvMod,MATCH(G1768,ProvCode,0)))*(1+PriceIndex)</f>
        <v/>
      </c>
      <c r="V1768" s="47">
        <f>R1768*U1768*INDEX(FmtBlendedPriceIdx,MATCH(F1768,FmtName,0))</f>
        <v/>
      </c>
      <c r="W1768" s="47">
        <f>T1768*INDEX(ProvSRP,MATCH(G1768,ProvCode,0))*(1+PriceIndex)</f>
        <v/>
      </c>
      <c r="X1768" s="47">
        <f>IF(GrossBasis="Wholesale",V1768,W1768)</f>
        <v/>
      </c>
      <c r="Y1768" s="47">
        <f>R1768*INDEX(FmtBlendedCogs,MATCH(F1768,FmtName,0))</f>
        <v/>
      </c>
      <c r="Z1768" s="47">
        <f>X1768-Y1768</f>
        <v/>
      </c>
    </row>
    <row r="1769">
      <c r="A1769" t="n">
        <v>19</v>
      </c>
      <c r="B1769" s="44">
        <f>FiscalStart+(A1769-1)*7</f>
        <v/>
      </c>
      <c r="C1769">
        <f>TEXT(B1769,"mmm yyyy")</f>
        <v/>
      </c>
      <c r="D1769">
        <f>"Q"&amp;(INT((A1769-1)/13)+1)</f>
        <v/>
      </c>
      <c r="E1769" t="inlineStr">
        <is>
          <t>Costco</t>
        </is>
      </c>
      <c r="F1769">
        <f>IFERROR(INDEX(ChFormat,MATCH(E1769,ChName,0)),"")</f>
        <v/>
      </c>
      <c r="G1769" t="inlineStr">
        <is>
          <t>MB</t>
        </is>
      </c>
      <c r="H1769">
        <f>IF(A1769&lt;=NWeeks,1,0)</f>
        <v/>
      </c>
      <c r="I1769">
        <f>INDEX(ChLaunch,MATCH(E1769,ChName,0))</f>
        <v/>
      </c>
      <c r="J1769">
        <f>INDEX(ChWeeksFull,MATCH(E1769,ChName,0))</f>
        <v/>
      </c>
      <c r="K1769">
        <f>INDEX(ChRamp,MATCH(E1769,ChName,0))</f>
        <v/>
      </c>
      <c r="L1769" s="45">
        <f>MIN(1,MAX(0,(A1769-I1769+1)*RampSpeed/J1769))</f>
        <v/>
      </c>
      <c r="M1769" s="45">
        <f>IF(A1769&lt;I1769,0,IF(K1769="S-curve",L1769*L1769*(3-2*L1769),L1769))</f>
        <v/>
      </c>
      <c r="N1769" s="45">
        <f>1+(INDEX(SeasonIdx,A1769)-1)*SeasonAmp</f>
        <v/>
      </c>
      <c r="O1769" s="45">
        <f>IFERROR(INDEX(PSPct,MATCH(E1769&amp;"|"&amp;G1769,PSKey,0)),0)</f>
        <v/>
      </c>
      <c r="P1769" s="46">
        <f>INDEX(ChDoorVel,MATCH(E1769,ChName,0))*CalibScalar*(1+VelocityUplift)</f>
        <v/>
      </c>
      <c r="Q1769" s="46" t="n">
        <v>0</v>
      </c>
      <c r="R1769" s="46">
        <f>P1769*O1769*M1769*N1769*H1769</f>
        <v/>
      </c>
      <c r="S1769" s="46">
        <f>R1769*INDEX(FmtCansPerCase,MATCH(F1769,FmtName,0))</f>
        <v/>
      </c>
      <c r="T1769" s="46">
        <f>S1769/INDEX(FmtCansPerPack,MATCH(F1769,FmtName,0))</f>
        <v/>
      </c>
      <c r="U1769" s="47">
        <f>INDEX(ChBaseCP,MATCH(E1769,ChName,0))*(1+INDEX(ProvMod,MATCH(G1769,ProvCode,0)))*(1+PriceIndex)</f>
        <v/>
      </c>
      <c r="V1769" s="47">
        <f>R1769*U1769*INDEX(FmtBlendedPriceIdx,MATCH(F1769,FmtName,0))</f>
        <v/>
      </c>
      <c r="W1769" s="47">
        <f>T1769*INDEX(ProvSRP,MATCH(G1769,ProvCode,0))*(1+PriceIndex)</f>
        <v/>
      </c>
      <c r="X1769" s="47">
        <f>IF(GrossBasis="Wholesale",V1769,W1769)</f>
        <v/>
      </c>
      <c r="Y1769" s="47">
        <f>R1769*INDEX(FmtBlendedCogs,MATCH(F1769,FmtName,0))</f>
        <v/>
      </c>
      <c r="Z1769" s="47">
        <f>X1769-Y1769</f>
        <v/>
      </c>
    </row>
    <row r="1770">
      <c r="A1770" t="n">
        <v>20</v>
      </c>
      <c r="B1770" s="44">
        <f>FiscalStart+(A1770-1)*7</f>
        <v/>
      </c>
      <c r="C1770">
        <f>TEXT(B1770,"mmm yyyy")</f>
        <v/>
      </c>
      <c r="D1770">
        <f>"Q"&amp;(INT((A1770-1)/13)+1)</f>
        <v/>
      </c>
      <c r="E1770" t="inlineStr">
        <is>
          <t>Costco</t>
        </is>
      </c>
      <c r="F1770">
        <f>IFERROR(INDEX(ChFormat,MATCH(E1770,ChName,0)),"")</f>
        <v/>
      </c>
      <c r="G1770" t="inlineStr">
        <is>
          <t>MB</t>
        </is>
      </c>
      <c r="H1770">
        <f>IF(A1770&lt;=NWeeks,1,0)</f>
        <v/>
      </c>
      <c r="I1770">
        <f>INDEX(ChLaunch,MATCH(E1770,ChName,0))</f>
        <v/>
      </c>
      <c r="J1770">
        <f>INDEX(ChWeeksFull,MATCH(E1770,ChName,0))</f>
        <v/>
      </c>
      <c r="K1770">
        <f>INDEX(ChRamp,MATCH(E1770,ChName,0))</f>
        <v/>
      </c>
      <c r="L1770" s="45">
        <f>MIN(1,MAX(0,(A1770-I1770+1)*RampSpeed/J1770))</f>
        <v/>
      </c>
      <c r="M1770" s="45">
        <f>IF(A1770&lt;I1770,0,IF(K1770="S-curve",L1770*L1770*(3-2*L1770),L1770))</f>
        <v/>
      </c>
      <c r="N1770" s="45">
        <f>1+(INDEX(SeasonIdx,A1770)-1)*SeasonAmp</f>
        <v/>
      </c>
      <c r="O1770" s="45">
        <f>IFERROR(INDEX(PSPct,MATCH(E1770&amp;"|"&amp;G1770,PSKey,0)),0)</f>
        <v/>
      </c>
      <c r="P1770" s="46">
        <f>INDEX(ChDoorVel,MATCH(E1770,ChName,0))*CalibScalar*(1+VelocityUplift)</f>
        <v/>
      </c>
      <c r="Q1770" s="46" t="n">
        <v>0</v>
      </c>
      <c r="R1770" s="46">
        <f>P1770*O1770*M1770*N1770*H1770</f>
        <v/>
      </c>
      <c r="S1770" s="46">
        <f>R1770*INDEX(FmtCansPerCase,MATCH(F1770,FmtName,0))</f>
        <v/>
      </c>
      <c r="T1770" s="46">
        <f>S1770/INDEX(FmtCansPerPack,MATCH(F1770,FmtName,0))</f>
        <v/>
      </c>
      <c r="U1770" s="47">
        <f>INDEX(ChBaseCP,MATCH(E1770,ChName,0))*(1+INDEX(ProvMod,MATCH(G1770,ProvCode,0)))*(1+PriceIndex)</f>
        <v/>
      </c>
      <c r="V1770" s="47">
        <f>R1770*U1770*INDEX(FmtBlendedPriceIdx,MATCH(F1770,FmtName,0))</f>
        <v/>
      </c>
      <c r="W1770" s="47">
        <f>T1770*INDEX(ProvSRP,MATCH(G1770,ProvCode,0))*(1+PriceIndex)</f>
        <v/>
      </c>
      <c r="X1770" s="47">
        <f>IF(GrossBasis="Wholesale",V1770,W1770)</f>
        <v/>
      </c>
      <c r="Y1770" s="47">
        <f>R1770*INDEX(FmtBlendedCogs,MATCH(F1770,FmtName,0))</f>
        <v/>
      </c>
      <c r="Z1770" s="47">
        <f>X1770-Y1770</f>
        <v/>
      </c>
    </row>
    <row r="1771">
      <c r="A1771" t="n">
        <v>21</v>
      </c>
      <c r="B1771" s="44">
        <f>FiscalStart+(A1771-1)*7</f>
        <v/>
      </c>
      <c r="C1771">
        <f>TEXT(B1771,"mmm yyyy")</f>
        <v/>
      </c>
      <c r="D1771">
        <f>"Q"&amp;(INT((A1771-1)/13)+1)</f>
        <v/>
      </c>
      <c r="E1771" t="inlineStr">
        <is>
          <t>Costco</t>
        </is>
      </c>
      <c r="F1771">
        <f>IFERROR(INDEX(ChFormat,MATCH(E1771,ChName,0)),"")</f>
        <v/>
      </c>
      <c r="G1771" t="inlineStr">
        <is>
          <t>MB</t>
        </is>
      </c>
      <c r="H1771">
        <f>IF(A1771&lt;=NWeeks,1,0)</f>
        <v/>
      </c>
      <c r="I1771">
        <f>INDEX(ChLaunch,MATCH(E1771,ChName,0))</f>
        <v/>
      </c>
      <c r="J1771">
        <f>INDEX(ChWeeksFull,MATCH(E1771,ChName,0))</f>
        <v/>
      </c>
      <c r="K1771">
        <f>INDEX(ChRamp,MATCH(E1771,ChName,0))</f>
        <v/>
      </c>
      <c r="L1771" s="45">
        <f>MIN(1,MAX(0,(A1771-I1771+1)*RampSpeed/J1771))</f>
        <v/>
      </c>
      <c r="M1771" s="45">
        <f>IF(A1771&lt;I1771,0,IF(K1771="S-curve",L1771*L1771*(3-2*L1771),L1771))</f>
        <v/>
      </c>
      <c r="N1771" s="45">
        <f>1+(INDEX(SeasonIdx,A1771)-1)*SeasonAmp</f>
        <v/>
      </c>
      <c r="O1771" s="45">
        <f>IFERROR(INDEX(PSPct,MATCH(E1771&amp;"|"&amp;G1771,PSKey,0)),0)</f>
        <v/>
      </c>
      <c r="P1771" s="46">
        <f>INDEX(ChDoorVel,MATCH(E1771,ChName,0))*CalibScalar*(1+VelocityUplift)</f>
        <v/>
      </c>
      <c r="Q1771" s="46" t="n">
        <v>0</v>
      </c>
      <c r="R1771" s="46">
        <f>P1771*O1771*M1771*N1771*H1771</f>
        <v/>
      </c>
      <c r="S1771" s="46">
        <f>R1771*INDEX(FmtCansPerCase,MATCH(F1771,FmtName,0))</f>
        <v/>
      </c>
      <c r="T1771" s="46">
        <f>S1771/INDEX(FmtCansPerPack,MATCH(F1771,FmtName,0))</f>
        <v/>
      </c>
      <c r="U1771" s="47">
        <f>INDEX(ChBaseCP,MATCH(E1771,ChName,0))*(1+INDEX(ProvMod,MATCH(G1771,ProvCode,0)))*(1+PriceIndex)</f>
        <v/>
      </c>
      <c r="V1771" s="47">
        <f>R1771*U1771*INDEX(FmtBlendedPriceIdx,MATCH(F1771,FmtName,0))</f>
        <v/>
      </c>
      <c r="W1771" s="47">
        <f>T1771*INDEX(ProvSRP,MATCH(G1771,ProvCode,0))*(1+PriceIndex)</f>
        <v/>
      </c>
      <c r="X1771" s="47">
        <f>IF(GrossBasis="Wholesale",V1771,W1771)</f>
        <v/>
      </c>
      <c r="Y1771" s="47">
        <f>R1771*INDEX(FmtBlendedCogs,MATCH(F1771,FmtName,0))</f>
        <v/>
      </c>
      <c r="Z1771" s="47">
        <f>X1771-Y1771</f>
        <v/>
      </c>
    </row>
    <row r="1772">
      <c r="A1772" t="n">
        <v>22</v>
      </c>
      <c r="B1772" s="44">
        <f>FiscalStart+(A1772-1)*7</f>
        <v/>
      </c>
      <c r="C1772">
        <f>TEXT(B1772,"mmm yyyy")</f>
        <v/>
      </c>
      <c r="D1772">
        <f>"Q"&amp;(INT((A1772-1)/13)+1)</f>
        <v/>
      </c>
      <c r="E1772" t="inlineStr">
        <is>
          <t>Costco</t>
        </is>
      </c>
      <c r="F1772">
        <f>IFERROR(INDEX(ChFormat,MATCH(E1772,ChName,0)),"")</f>
        <v/>
      </c>
      <c r="G1772" t="inlineStr">
        <is>
          <t>MB</t>
        </is>
      </c>
      <c r="H1772">
        <f>IF(A1772&lt;=NWeeks,1,0)</f>
        <v/>
      </c>
      <c r="I1772">
        <f>INDEX(ChLaunch,MATCH(E1772,ChName,0))</f>
        <v/>
      </c>
      <c r="J1772">
        <f>INDEX(ChWeeksFull,MATCH(E1772,ChName,0))</f>
        <v/>
      </c>
      <c r="K1772">
        <f>INDEX(ChRamp,MATCH(E1772,ChName,0))</f>
        <v/>
      </c>
      <c r="L1772" s="45">
        <f>MIN(1,MAX(0,(A1772-I1772+1)*RampSpeed/J1772))</f>
        <v/>
      </c>
      <c r="M1772" s="45">
        <f>IF(A1772&lt;I1772,0,IF(K1772="S-curve",L1772*L1772*(3-2*L1772),L1772))</f>
        <v/>
      </c>
      <c r="N1772" s="45">
        <f>1+(INDEX(SeasonIdx,A1772)-1)*SeasonAmp</f>
        <v/>
      </c>
      <c r="O1772" s="45">
        <f>IFERROR(INDEX(PSPct,MATCH(E1772&amp;"|"&amp;G1772,PSKey,0)),0)</f>
        <v/>
      </c>
      <c r="P1772" s="46">
        <f>INDEX(ChDoorVel,MATCH(E1772,ChName,0))*CalibScalar*(1+VelocityUplift)</f>
        <v/>
      </c>
      <c r="Q1772" s="46" t="n">
        <v>0</v>
      </c>
      <c r="R1772" s="46">
        <f>P1772*O1772*M1772*N1772*H1772</f>
        <v/>
      </c>
      <c r="S1772" s="46">
        <f>R1772*INDEX(FmtCansPerCase,MATCH(F1772,FmtName,0))</f>
        <v/>
      </c>
      <c r="T1772" s="46">
        <f>S1772/INDEX(FmtCansPerPack,MATCH(F1772,FmtName,0))</f>
        <v/>
      </c>
      <c r="U1772" s="47">
        <f>INDEX(ChBaseCP,MATCH(E1772,ChName,0))*(1+INDEX(ProvMod,MATCH(G1772,ProvCode,0)))*(1+PriceIndex)</f>
        <v/>
      </c>
      <c r="V1772" s="47">
        <f>R1772*U1772*INDEX(FmtBlendedPriceIdx,MATCH(F1772,FmtName,0))</f>
        <v/>
      </c>
      <c r="W1772" s="47">
        <f>T1772*INDEX(ProvSRP,MATCH(G1772,ProvCode,0))*(1+PriceIndex)</f>
        <v/>
      </c>
      <c r="X1772" s="47">
        <f>IF(GrossBasis="Wholesale",V1772,W1772)</f>
        <v/>
      </c>
      <c r="Y1772" s="47">
        <f>R1772*INDEX(FmtBlendedCogs,MATCH(F1772,FmtName,0))</f>
        <v/>
      </c>
      <c r="Z1772" s="47">
        <f>X1772-Y1772</f>
        <v/>
      </c>
    </row>
    <row r="1773">
      <c r="A1773" t="n">
        <v>23</v>
      </c>
      <c r="B1773" s="44">
        <f>FiscalStart+(A1773-1)*7</f>
        <v/>
      </c>
      <c r="C1773">
        <f>TEXT(B1773,"mmm yyyy")</f>
        <v/>
      </c>
      <c r="D1773">
        <f>"Q"&amp;(INT((A1773-1)/13)+1)</f>
        <v/>
      </c>
      <c r="E1773" t="inlineStr">
        <is>
          <t>Costco</t>
        </is>
      </c>
      <c r="F1773">
        <f>IFERROR(INDEX(ChFormat,MATCH(E1773,ChName,0)),"")</f>
        <v/>
      </c>
      <c r="G1773" t="inlineStr">
        <is>
          <t>MB</t>
        </is>
      </c>
      <c r="H1773">
        <f>IF(A1773&lt;=NWeeks,1,0)</f>
        <v/>
      </c>
      <c r="I1773">
        <f>INDEX(ChLaunch,MATCH(E1773,ChName,0))</f>
        <v/>
      </c>
      <c r="J1773">
        <f>INDEX(ChWeeksFull,MATCH(E1773,ChName,0))</f>
        <v/>
      </c>
      <c r="K1773">
        <f>INDEX(ChRamp,MATCH(E1773,ChName,0))</f>
        <v/>
      </c>
      <c r="L1773" s="45">
        <f>MIN(1,MAX(0,(A1773-I1773+1)*RampSpeed/J1773))</f>
        <v/>
      </c>
      <c r="M1773" s="45">
        <f>IF(A1773&lt;I1773,0,IF(K1773="S-curve",L1773*L1773*(3-2*L1773),L1773))</f>
        <v/>
      </c>
      <c r="N1773" s="45">
        <f>1+(INDEX(SeasonIdx,A1773)-1)*SeasonAmp</f>
        <v/>
      </c>
      <c r="O1773" s="45">
        <f>IFERROR(INDEX(PSPct,MATCH(E1773&amp;"|"&amp;G1773,PSKey,0)),0)</f>
        <v/>
      </c>
      <c r="P1773" s="46">
        <f>INDEX(ChDoorVel,MATCH(E1773,ChName,0))*CalibScalar*(1+VelocityUplift)</f>
        <v/>
      </c>
      <c r="Q1773" s="46" t="n">
        <v>0</v>
      </c>
      <c r="R1773" s="46">
        <f>P1773*O1773*M1773*N1773*H1773</f>
        <v/>
      </c>
      <c r="S1773" s="46">
        <f>R1773*INDEX(FmtCansPerCase,MATCH(F1773,FmtName,0))</f>
        <v/>
      </c>
      <c r="T1773" s="46">
        <f>S1773/INDEX(FmtCansPerPack,MATCH(F1773,FmtName,0))</f>
        <v/>
      </c>
      <c r="U1773" s="47">
        <f>INDEX(ChBaseCP,MATCH(E1773,ChName,0))*(1+INDEX(ProvMod,MATCH(G1773,ProvCode,0)))*(1+PriceIndex)</f>
        <v/>
      </c>
      <c r="V1773" s="47">
        <f>R1773*U1773*INDEX(FmtBlendedPriceIdx,MATCH(F1773,FmtName,0))</f>
        <v/>
      </c>
      <c r="W1773" s="47">
        <f>T1773*INDEX(ProvSRP,MATCH(G1773,ProvCode,0))*(1+PriceIndex)</f>
        <v/>
      </c>
      <c r="X1773" s="47">
        <f>IF(GrossBasis="Wholesale",V1773,W1773)</f>
        <v/>
      </c>
      <c r="Y1773" s="47">
        <f>R1773*INDEX(FmtBlendedCogs,MATCH(F1773,FmtName,0))</f>
        <v/>
      </c>
      <c r="Z1773" s="47">
        <f>X1773-Y1773</f>
        <v/>
      </c>
    </row>
    <row r="1774">
      <c r="A1774" t="n">
        <v>24</v>
      </c>
      <c r="B1774" s="44">
        <f>FiscalStart+(A1774-1)*7</f>
        <v/>
      </c>
      <c r="C1774">
        <f>TEXT(B1774,"mmm yyyy")</f>
        <v/>
      </c>
      <c r="D1774">
        <f>"Q"&amp;(INT((A1774-1)/13)+1)</f>
        <v/>
      </c>
      <c r="E1774" t="inlineStr">
        <is>
          <t>Costco</t>
        </is>
      </c>
      <c r="F1774">
        <f>IFERROR(INDEX(ChFormat,MATCH(E1774,ChName,0)),"")</f>
        <v/>
      </c>
      <c r="G1774" t="inlineStr">
        <is>
          <t>MB</t>
        </is>
      </c>
      <c r="H1774">
        <f>IF(A1774&lt;=NWeeks,1,0)</f>
        <v/>
      </c>
      <c r="I1774">
        <f>INDEX(ChLaunch,MATCH(E1774,ChName,0))</f>
        <v/>
      </c>
      <c r="J1774">
        <f>INDEX(ChWeeksFull,MATCH(E1774,ChName,0))</f>
        <v/>
      </c>
      <c r="K1774">
        <f>INDEX(ChRamp,MATCH(E1774,ChName,0))</f>
        <v/>
      </c>
      <c r="L1774" s="45">
        <f>MIN(1,MAX(0,(A1774-I1774+1)*RampSpeed/J1774))</f>
        <v/>
      </c>
      <c r="M1774" s="45">
        <f>IF(A1774&lt;I1774,0,IF(K1774="S-curve",L1774*L1774*(3-2*L1774),L1774))</f>
        <v/>
      </c>
      <c r="N1774" s="45">
        <f>1+(INDEX(SeasonIdx,A1774)-1)*SeasonAmp</f>
        <v/>
      </c>
      <c r="O1774" s="45">
        <f>IFERROR(INDEX(PSPct,MATCH(E1774&amp;"|"&amp;G1774,PSKey,0)),0)</f>
        <v/>
      </c>
      <c r="P1774" s="46">
        <f>INDEX(ChDoorVel,MATCH(E1774,ChName,0))*CalibScalar*(1+VelocityUplift)</f>
        <v/>
      </c>
      <c r="Q1774" s="46" t="n">
        <v>0</v>
      </c>
      <c r="R1774" s="46">
        <f>P1774*O1774*M1774*N1774*H1774</f>
        <v/>
      </c>
      <c r="S1774" s="46">
        <f>R1774*INDEX(FmtCansPerCase,MATCH(F1774,FmtName,0))</f>
        <v/>
      </c>
      <c r="T1774" s="46">
        <f>S1774/INDEX(FmtCansPerPack,MATCH(F1774,FmtName,0))</f>
        <v/>
      </c>
      <c r="U1774" s="47">
        <f>INDEX(ChBaseCP,MATCH(E1774,ChName,0))*(1+INDEX(ProvMod,MATCH(G1774,ProvCode,0)))*(1+PriceIndex)</f>
        <v/>
      </c>
      <c r="V1774" s="47">
        <f>R1774*U1774*INDEX(FmtBlendedPriceIdx,MATCH(F1774,FmtName,0))</f>
        <v/>
      </c>
      <c r="W1774" s="47">
        <f>T1774*INDEX(ProvSRP,MATCH(G1774,ProvCode,0))*(1+PriceIndex)</f>
        <v/>
      </c>
      <c r="X1774" s="47">
        <f>IF(GrossBasis="Wholesale",V1774,W1774)</f>
        <v/>
      </c>
      <c r="Y1774" s="47">
        <f>R1774*INDEX(FmtBlendedCogs,MATCH(F1774,FmtName,0))</f>
        <v/>
      </c>
      <c r="Z1774" s="47">
        <f>X1774-Y1774</f>
        <v/>
      </c>
    </row>
    <row r="1775">
      <c r="A1775" t="n">
        <v>25</v>
      </c>
      <c r="B1775" s="44">
        <f>FiscalStart+(A1775-1)*7</f>
        <v/>
      </c>
      <c r="C1775">
        <f>TEXT(B1775,"mmm yyyy")</f>
        <v/>
      </c>
      <c r="D1775">
        <f>"Q"&amp;(INT((A1775-1)/13)+1)</f>
        <v/>
      </c>
      <c r="E1775" t="inlineStr">
        <is>
          <t>Costco</t>
        </is>
      </c>
      <c r="F1775">
        <f>IFERROR(INDEX(ChFormat,MATCH(E1775,ChName,0)),"")</f>
        <v/>
      </c>
      <c r="G1775" t="inlineStr">
        <is>
          <t>MB</t>
        </is>
      </c>
      <c r="H1775">
        <f>IF(A1775&lt;=NWeeks,1,0)</f>
        <v/>
      </c>
      <c r="I1775">
        <f>INDEX(ChLaunch,MATCH(E1775,ChName,0))</f>
        <v/>
      </c>
      <c r="J1775">
        <f>INDEX(ChWeeksFull,MATCH(E1775,ChName,0))</f>
        <v/>
      </c>
      <c r="K1775">
        <f>INDEX(ChRamp,MATCH(E1775,ChName,0))</f>
        <v/>
      </c>
      <c r="L1775" s="45">
        <f>MIN(1,MAX(0,(A1775-I1775+1)*RampSpeed/J1775))</f>
        <v/>
      </c>
      <c r="M1775" s="45">
        <f>IF(A1775&lt;I1775,0,IF(K1775="S-curve",L1775*L1775*(3-2*L1775),L1775))</f>
        <v/>
      </c>
      <c r="N1775" s="45">
        <f>1+(INDEX(SeasonIdx,A1775)-1)*SeasonAmp</f>
        <v/>
      </c>
      <c r="O1775" s="45">
        <f>IFERROR(INDEX(PSPct,MATCH(E1775&amp;"|"&amp;G1775,PSKey,0)),0)</f>
        <v/>
      </c>
      <c r="P1775" s="46">
        <f>INDEX(ChDoorVel,MATCH(E1775,ChName,0))*CalibScalar*(1+VelocityUplift)</f>
        <v/>
      </c>
      <c r="Q1775" s="46" t="n">
        <v>0</v>
      </c>
      <c r="R1775" s="46">
        <f>P1775*O1775*M1775*N1775*H1775</f>
        <v/>
      </c>
      <c r="S1775" s="46">
        <f>R1775*INDEX(FmtCansPerCase,MATCH(F1775,FmtName,0))</f>
        <v/>
      </c>
      <c r="T1775" s="46">
        <f>S1775/INDEX(FmtCansPerPack,MATCH(F1775,FmtName,0))</f>
        <v/>
      </c>
      <c r="U1775" s="47">
        <f>INDEX(ChBaseCP,MATCH(E1775,ChName,0))*(1+INDEX(ProvMod,MATCH(G1775,ProvCode,0)))*(1+PriceIndex)</f>
        <v/>
      </c>
      <c r="V1775" s="47">
        <f>R1775*U1775*INDEX(FmtBlendedPriceIdx,MATCH(F1775,FmtName,0))</f>
        <v/>
      </c>
      <c r="W1775" s="47">
        <f>T1775*INDEX(ProvSRP,MATCH(G1775,ProvCode,0))*(1+PriceIndex)</f>
        <v/>
      </c>
      <c r="X1775" s="47">
        <f>IF(GrossBasis="Wholesale",V1775,W1775)</f>
        <v/>
      </c>
      <c r="Y1775" s="47">
        <f>R1775*INDEX(FmtBlendedCogs,MATCH(F1775,FmtName,0))</f>
        <v/>
      </c>
      <c r="Z1775" s="47">
        <f>X1775-Y1775</f>
        <v/>
      </c>
    </row>
    <row r="1776">
      <c r="A1776" t="n">
        <v>26</v>
      </c>
      <c r="B1776" s="44">
        <f>FiscalStart+(A1776-1)*7</f>
        <v/>
      </c>
      <c r="C1776">
        <f>TEXT(B1776,"mmm yyyy")</f>
        <v/>
      </c>
      <c r="D1776">
        <f>"Q"&amp;(INT((A1776-1)/13)+1)</f>
        <v/>
      </c>
      <c r="E1776" t="inlineStr">
        <is>
          <t>Costco</t>
        </is>
      </c>
      <c r="F1776">
        <f>IFERROR(INDEX(ChFormat,MATCH(E1776,ChName,0)),"")</f>
        <v/>
      </c>
      <c r="G1776" t="inlineStr">
        <is>
          <t>MB</t>
        </is>
      </c>
      <c r="H1776">
        <f>IF(A1776&lt;=NWeeks,1,0)</f>
        <v/>
      </c>
      <c r="I1776">
        <f>INDEX(ChLaunch,MATCH(E1776,ChName,0))</f>
        <v/>
      </c>
      <c r="J1776">
        <f>INDEX(ChWeeksFull,MATCH(E1776,ChName,0))</f>
        <v/>
      </c>
      <c r="K1776">
        <f>INDEX(ChRamp,MATCH(E1776,ChName,0))</f>
        <v/>
      </c>
      <c r="L1776" s="45">
        <f>MIN(1,MAX(0,(A1776-I1776+1)*RampSpeed/J1776))</f>
        <v/>
      </c>
      <c r="M1776" s="45">
        <f>IF(A1776&lt;I1776,0,IF(K1776="S-curve",L1776*L1776*(3-2*L1776),L1776))</f>
        <v/>
      </c>
      <c r="N1776" s="45">
        <f>1+(INDEX(SeasonIdx,A1776)-1)*SeasonAmp</f>
        <v/>
      </c>
      <c r="O1776" s="45">
        <f>IFERROR(INDEX(PSPct,MATCH(E1776&amp;"|"&amp;G1776,PSKey,0)),0)</f>
        <v/>
      </c>
      <c r="P1776" s="46">
        <f>INDEX(ChDoorVel,MATCH(E1776,ChName,0))*CalibScalar*(1+VelocityUplift)</f>
        <v/>
      </c>
      <c r="Q1776" s="46" t="n">
        <v>0</v>
      </c>
      <c r="R1776" s="46">
        <f>P1776*O1776*M1776*N1776*H1776</f>
        <v/>
      </c>
      <c r="S1776" s="46">
        <f>R1776*INDEX(FmtCansPerCase,MATCH(F1776,FmtName,0))</f>
        <v/>
      </c>
      <c r="T1776" s="46">
        <f>S1776/INDEX(FmtCansPerPack,MATCH(F1776,FmtName,0))</f>
        <v/>
      </c>
      <c r="U1776" s="47">
        <f>INDEX(ChBaseCP,MATCH(E1776,ChName,0))*(1+INDEX(ProvMod,MATCH(G1776,ProvCode,0)))*(1+PriceIndex)</f>
        <v/>
      </c>
      <c r="V1776" s="47">
        <f>R1776*U1776*INDEX(FmtBlendedPriceIdx,MATCH(F1776,FmtName,0))</f>
        <v/>
      </c>
      <c r="W1776" s="47">
        <f>T1776*INDEX(ProvSRP,MATCH(G1776,ProvCode,0))*(1+PriceIndex)</f>
        <v/>
      </c>
      <c r="X1776" s="47">
        <f>IF(GrossBasis="Wholesale",V1776,W1776)</f>
        <v/>
      </c>
      <c r="Y1776" s="47">
        <f>R1776*INDEX(FmtBlendedCogs,MATCH(F1776,FmtName,0))</f>
        <v/>
      </c>
      <c r="Z1776" s="47">
        <f>X1776-Y1776</f>
        <v/>
      </c>
    </row>
    <row r="1777">
      <c r="A1777" t="n">
        <v>27</v>
      </c>
      <c r="B1777" s="44">
        <f>FiscalStart+(A1777-1)*7</f>
        <v/>
      </c>
      <c r="C1777">
        <f>TEXT(B1777,"mmm yyyy")</f>
        <v/>
      </c>
      <c r="D1777">
        <f>"Q"&amp;(INT((A1777-1)/13)+1)</f>
        <v/>
      </c>
      <c r="E1777" t="inlineStr">
        <is>
          <t>Costco</t>
        </is>
      </c>
      <c r="F1777">
        <f>IFERROR(INDEX(ChFormat,MATCH(E1777,ChName,0)),"")</f>
        <v/>
      </c>
      <c r="G1777" t="inlineStr">
        <is>
          <t>MB</t>
        </is>
      </c>
      <c r="H1777">
        <f>IF(A1777&lt;=NWeeks,1,0)</f>
        <v/>
      </c>
      <c r="I1777">
        <f>INDEX(ChLaunch,MATCH(E1777,ChName,0))</f>
        <v/>
      </c>
      <c r="J1777">
        <f>INDEX(ChWeeksFull,MATCH(E1777,ChName,0))</f>
        <v/>
      </c>
      <c r="K1777">
        <f>INDEX(ChRamp,MATCH(E1777,ChName,0))</f>
        <v/>
      </c>
      <c r="L1777" s="45">
        <f>MIN(1,MAX(0,(A1777-I1777+1)*RampSpeed/J1777))</f>
        <v/>
      </c>
      <c r="M1777" s="45">
        <f>IF(A1777&lt;I1777,0,IF(K1777="S-curve",L1777*L1777*(3-2*L1777),L1777))</f>
        <v/>
      </c>
      <c r="N1777" s="45">
        <f>1+(INDEX(SeasonIdx,A1777)-1)*SeasonAmp</f>
        <v/>
      </c>
      <c r="O1777" s="45">
        <f>IFERROR(INDEX(PSPct,MATCH(E1777&amp;"|"&amp;G1777,PSKey,0)),0)</f>
        <v/>
      </c>
      <c r="P1777" s="46">
        <f>INDEX(ChDoorVel,MATCH(E1777,ChName,0))*CalibScalar*(1+VelocityUplift)</f>
        <v/>
      </c>
      <c r="Q1777" s="46" t="n">
        <v>0</v>
      </c>
      <c r="R1777" s="46">
        <f>P1777*O1777*M1777*N1777*H1777</f>
        <v/>
      </c>
      <c r="S1777" s="46">
        <f>R1777*INDEX(FmtCansPerCase,MATCH(F1777,FmtName,0))</f>
        <v/>
      </c>
      <c r="T1777" s="46">
        <f>S1777/INDEX(FmtCansPerPack,MATCH(F1777,FmtName,0))</f>
        <v/>
      </c>
      <c r="U1777" s="47">
        <f>INDEX(ChBaseCP,MATCH(E1777,ChName,0))*(1+INDEX(ProvMod,MATCH(G1777,ProvCode,0)))*(1+PriceIndex)</f>
        <v/>
      </c>
      <c r="V1777" s="47">
        <f>R1777*U1777*INDEX(FmtBlendedPriceIdx,MATCH(F1777,FmtName,0))</f>
        <v/>
      </c>
      <c r="W1777" s="47">
        <f>T1777*INDEX(ProvSRP,MATCH(G1777,ProvCode,0))*(1+PriceIndex)</f>
        <v/>
      </c>
      <c r="X1777" s="47">
        <f>IF(GrossBasis="Wholesale",V1777,W1777)</f>
        <v/>
      </c>
      <c r="Y1777" s="47">
        <f>R1777*INDEX(FmtBlendedCogs,MATCH(F1777,FmtName,0))</f>
        <v/>
      </c>
      <c r="Z1777" s="47">
        <f>X1777-Y1777</f>
        <v/>
      </c>
    </row>
    <row r="1778">
      <c r="A1778" t="n">
        <v>28</v>
      </c>
      <c r="B1778" s="44">
        <f>FiscalStart+(A1778-1)*7</f>
        <v/>
      </c>
      <c r="C1778">
        <f>TEXT(B1778,"mmm yyyy")</f>
        <v/>
      </c>
      <c r="D1778">
        <f>"Q"&amp;(INT((A1778-1)/13)+1)</f>
        <v/>
      </c>
      <c r="E1778" t="inlineStr">
        <is>
          <t>Costco</t>
        </is>
      </c>
      <c r="F1778">
        <f>IFERROR(INDEX(ChFormat,MATCH(E1778,ChName,0)),"")</f>
        <v/>
      </c>
      <c r="G1778" t="inlineStr">
        <is>
          <t>MB</t>
        </is>
      </c>
      <c r="H1778">
        <f>IF(A1778&lt;=NWeeks,1,0)</f>
        <v/>
      </c>
      <c r="I1778">
        <f>INDEX(ChLaunch,MATCH(E1778,ChName,0))</f>
        <v/>
      </c>
      <c r="J1778">
        <f>INDEX(ChWeeksFull,MATCH(E1778,ChName,0))</f>
        <v/>
      </c>
      <c r="K1778">
        <f>INDEX(ChRamp,MATCH(E1778,ChName,0))</f>
        <v/>
      </c>
      <c r="L1778" s="45">
        <f>MIN(1,MAX(0,(A1778-I1778+1)*RampSpeed/J1778))</f>
        <v/>
      </c>
      <c r="M1778" s="45">
        <f>IF(A1778&lt;I1778,0,IF(K1778="S-curve",L1778*L1778*(3-2*L1778),L1778))</f>
        <v/>
      </c>
      <c r="N1778" s="45">
        <f>1+(INDEX(SeasonIdx,A1778)-1)*SeasonAmp</f>
        <v/>
      </c>
      <c r="O1778" s="45">
        <f>IFERROR(INDEX(PSPct,MATCH(E1778&amp;"|"&amp;G1778,PSKey,0)),0)</f>
        <v/>
      </c>
      <c r="P1778" s="46">
        <f>INDEX(ChDoorVel,MATCH(E1778,ChName,0))*CalibScalar*(1+VelocityUplift)</f>
        <v/>
      </c>
      <c r="Q1778" s="46" t="n">
        <v>0</v>
      </c>
      <c r="R1778" s="46">
        <f>P1778*O1778*M1778*N1778*H1778</f>
        <v/>
      </c>
      <c r="S1778" s="46">
        <f>R1778*INDEX(FmtCansPerCase,MATCH(F1778,FmtName,0))</f>
        <v/>
      </c>
      <c r="T1778" s="46">
        <f>S1778/INDEX(FmtCansPerPack,MATCH(F1778,FmtName,0))</f>
        <v/>
      </c>
      <c r="U1778" s="47">
        <f>INDEX(ChBaseCP,MATCH(E1778,ChName,0))*(1+INDEX(ProvMod,MATCH(G1778,ProvCode,0)))*(1+PriceIndex)</f>
        <v/>
      </c>
      <c r="V1778" s="47">
        <f>R1778*U1778*INDEX(FmtBlendedPriceIdx,MATCH(F1778,FmtName,0))</f>
        <v/>
      </c>
      <c r="W1778" s="47">
        <f>T1778*INDEX(ProvSRP,MATCH(G1778,ProvCode,0))*(1+PriceIndex)</f>
        <v/>
      </c>
      <c r="X1778" s="47">
        <f>IF(GrossBasis="Wholesale",V1778,W1778)</f>
        <v/>
      </c>
      <c r="Y1778" s="47">
        <f>R1778*INDEX(FmtBlendedCogs,MATCH(F1778,FmtName,0))</f>
        <v/>
      </c>
      <c r="Z1778" s="47">
        <f>X1778-Y1778</f>
        <v/>
      </c>
    </row>
    <row r="1779">
      <c r="A1779" t="n">
        <v>29</v>
      </c>
      <c r="B1779" s="44">
        <f>FiscalStart+(A1779-1)*7</f>
        <v/>
      </c>
      <c r="C1779">
        <f>TEXT(B1779,"mmm yyyy")</f>
        <v/>
      </c>
      <c r="D1779">
        <f>"Q"&amp;(INT((A1779-1)/13)+1)</f>
        <v/>
      </c>
      <c r="E1779" t="inlineStr">
        <is>
          <t>Costco</t>
        </is>
      </c>
      <c r="F1779">
        <f>IFERROR(INDEX(ChFormat,MATCH(E1779,ChName,0)),"")</f>
        <v/>
      </c>
      <c r="G1779" t="inlineStr">
        <is>
          <t>MB</t>
        </is>
      </c>
      <c r="H1779">
        <f>IF(A1779&lt;=NWeeks,1,0)</f>
        <v/>
      </c>
      <c r="I1779">
        <f>INDEX(ChLaunch,MATCH(E1779,ChName,0))</f>
        <v/>
      </c>
      <c r="J1779">
        <f>INDEX(ChWeeksFull,MATCH(E1779,ChName,0))</f>
        <v/>
      </c>
      <c r="K1779">
        <f>INDEX(ChRamp,MATCH(E1779,ChName,0))</f>
        <v/>
      </c>
      <c r="L1779" s="45">
        <f>MIN(1,MAX(0,(A1779-I1779+1)*RampSpeed/J1779))</f>
        <v/>
      </c>
      <c r="M1779" s="45">
        <f>IF(A1779&lt;I1779,0,IF(K1779="S-curve",L1779*L1779*(3-2*L1779),L1779))</f>
        <v/>
      </c>
      <c r="N1779" s="45">
        <f>1+(INDEX(SeasonIdx,A1779)-1)*SeasonAmp</f>
        <v/>
      </c>
      <c r="O1779" s="45">
        <f>IFERROR(INDEX(PSPct,MATCH(E1779&amp;"|"&amp;G1779,PSKey,0)),0)</f>
        <v/>
      </c>
      <c r="P1779" s="46">
        <f>INDEX(ChDoorVel,MATCH(E1779,ChName,0))*CalibScalar*(1+VelocityUplift)</f>
        <v/>
      </c>
      <c r="Q1779" s="46" t="n">
        <v>0</v>
      </c>
      <c r="R1779" s="46">
        <f>P1779*O1779*M1779*N1779*H1779</f>
        <v/>
      </c>
      <c r="S1779" s="46">
        <f>R1779*INDEX(FmtCansPerCase,MATCH(F1779,FmtName,0))</f>
        <v/>
      </c>
      <c r="T1779" s="46">
        <f>S1779/INDEX(FmtCansPerPack,MATCH(F1779,FmtName,0))</f>
        <v/>
      </c>
      <c r="U1779" s="47">
        <f>INDEX(ChBaseCP,MATCH(E1779,ChName,0))*(1+INDEX(ProvMod,MATCH(G1779,ProvCode,0)))*(1+PriceIndex)</f>
        <v/>
      </c>
      <c r="V1779" s="47">
        <f>R1779*U1779*INDEX(FmtBlendedPriceIdx,MATCH(F1779,FmtName,0))</f>
        <v/>
      </c>
      <c r="W1779" s="47">
        <f>T1779*INDEX(ProvSRP,MATCH(G1779,ProvCode,0))*(1+PriceIndex)</f>
        <v/>
      </c>
      <c r="X1779" s="47">
        <f>IF(GrossBasis="Wholesale",V1779,W1779)</f>
        <v/>
      </c>
      <c r="Y1779" s="47">
        <f>R1779*INDEX(FmtBlendedCogs,MATCH(F1779,FmtName,0))</f>
        <v/>
      </c>
      <c r="Z1779" s="47">
        <f>X1779-Y1779</f>
        <v/>
      </c>
    </row>
    <row r="1780">
      <c r="A1780" t="n">
        <v>30</v>
      </c>
      <c r="B1780" s="44">
        <f>FiscalStart+(A1780-1)*7</f>
        <v/>
      </c>
      <c r="C1780">
        <f>TEXT(B1780,"mmm yyyy")</f>
        <v/>
      </c>
      <c r="D1780">
        <f>"Q"&amp;(INT((A1780-1)/13)+1)</f>
        <v/>
      </c>
      <c r="E1780" t="inlineStr">
        <is>
          <t>Costco</t>
        </is>
      </c>
      <c r="F1780">
        <f>IFERROR(INDEX(ChFormat,MATCH(E1780,ChName,0)),"")</f>
        <v/>
      </c>
      <c r="G1780" t="inlineStr">
        <is>
          <t>MB</t>
        </is>
      </c>
      <c r="H1780">
        <f>IF(A1780&lt;=NWeeks,1,0)</f>
        <v/>
      </c>
      <c r="I1780">
        <f>INDEX(ChLaunch,MATCH(E1780,ChName,0))</f>
        <v/>
      </c>
      <c r="J1780">
        <f>INDEX(ChWeeksFull,MATCH(E1780,ChName,0))</f>
        <v/>
      </c>
      <c r="K1780">
        <f>INDEX(ChRamp,MATCH(E1780,ChName,0))</f>
        <v/>
      </c>
      <c r="L1780" s="45">
        <f>MIN(1,MAX(0,(A1780-I1780+1)*RampSpeed/J1780))</f>
        <v/>
      </c>
      <c r="M1780" s="45">
        <f>IF(A1780&lt;I1780,0,IF(K1780="S-curve",L1780*L1780*(3-2*L1780),L1780))</f>
        <v/>
      </c>
      <c r="N1780" s="45">
        <f>1+(INDEX(SeasonIdx,A1780)-1)*SeasonAmp</f>
        <v/>
      </c>
      <c r="O1780" s="45">
        <f>IFERROR(INDEX(PSPct,MATCH(E1780&amp;"|"&amp;G1780,PSKey,0)),0)</f>
        <v/>
      </c>
      <c r="P1780" s="46">
        <f>INDEX(ChDoorVel,MATCH(E1780,ChName,0))*CalibScalar*(1+VelocityUplift)</f>
        <v/>
      </c>
      <c r="Q1780" s="46" t="n">
        <v>0</v>
      </c>
      <c r="R1780" s="46">
        <f>P1780*O1780*M1780*N1780*H1780</f>
        <v/>
      </c>
      <c r="S1780" s="46">
        <f>R1780*INDEX(FmtCansPerCase,MATCH(F1780,FmtName,0))</f>
        <v/>
      </c>
      <c r="T1780" s="46">
        <f>S1780/INDEX(FmtCansPerPack,MATCH(F1780,FmtName,0))</f>
        <v/>
      </c>
      <c r="U1780" s="47">
        <f>INDEX(ChBaseCP,MATCH(E1780,ChName,0))*(1+INDEX(ProvMod,MATCH(G1780,ProvCode,0)))*(1+PriceIndex)</f>
        <v/>
      </c>
      <c r="V1780" s="47">
        <f>R1780*U1780*INDEX(FmtBlendedPriceIdx,MATCH(F1780,FmtName,0))</f>
        <v/>
      </c>
      <c r="W1780" s="47">
        <f>T1780*INDEX(ProvSRP,MATCH(G1780,ProvCode,0))*(1+PriceIndex)</f>
        <v/>
      </c>
      <c r="X1780" s="47">
        <f>IF(GrossBasis="Wholesale",V1780,W1780)</f>
        <v/>
      </c>
      <c r="Y1780" s="47">
        <f>R1780*INDEX(FmtBlendedCogs,MATCH(F1780,FmtName,0))</f>
        <v/>
      </c>
      <c r="Z1780" s="47">
        <f>X1780-Y1780</f>
        <v/>
      </c>
    </row>
    <row r="1781">
      <c r="A1781" t="n">
        <v>31</v>
      </c>
      <c r="B1781" s="44">
        <f>FiscalStart+(A1781-1)*7</f>
        <v/>
      </c>
      <c r="C1781">
        <f>TEXT(B1781,"mmm yyyy")</f>
        <v/>
      </c>
      <c r="D1781">
        <f>"Q"&amp;(INT((A1781-1)/13)+1)</f>
        <v/>
      </c>
      <c r="E1781" t="inlineStr">
        <is>
          <t>Costco</t>
        </is>
      </c>
      <c r="F1781">
        <f>IFERROR(INDEX(ChFormat,MATCH(E1781,ChName,0)),"")</f>
        <v/>
      </c>
      <c r="G1781" t="inlineStr">
        <is>
          <t>MB</t>
        </is>
      </c>
      <c r="H1781">
        <f>IF(A1781&lt;=NWeeks,1,0)</f>
        <v/>
      </c>
      <c r="I1781">
        <f>INDEX(ChLaunch,MATCH(E1781,ChName,0))</f>
        <v/>
      </c>
      <c r="J1781">
        <f>INDEX(ChWeeksFull,MATCH(E1781,ChName,0))</f>
        <v/>
      </c>
      <c r="K1781">
        <f>INDEX(ChRamp,MATCH(E1781,ChName,0))</f>
        <v/>
      </c>
      <c r="L1781" s="45">
        <f>MIN(1,MAX(0,(A1781-I1781+1)*RampSpeed/J1781))</f>
        <v/>
      </c>
      <c r="M1781" s="45">
        <f>IF(A1781&lt;I1781,0,IF(K1781="S-curve",L1781*L1781*(3-2*L1781),L1781))</f>
        <v/>
      </c>
      <c r="N1781" s="45">
        <f>1+(INDEX(SeasonIdx,A1781)-1)*SeasonAmp</f>
        <v/>
      </c>
      <c r="O1781" s="45">
        <f>IFERROR(INDEX(PSPct,MATCH(E1781&amp;"|"&amp;G1781,PSKey,0)),0)</f>
        <v/>
      </c>
      <c r="P1781" s="46">
        <f>INDEX(ChDoorVel,MATCH(E1781,ChName,0))*CalibScalar*(1+VelocityUplift)</f>
        <v/>
      </c>
      <c r="Q1781" s="46" t="n">
        <v>0</v>
      </c>
      <c r="R1781" s="46">
        <f>P1781*O1781*M1781*N1781*H1781</f>
        <v/>
      </c>
      <c r="S1781" s="46">
        <f>R1781*INDEX(FmtCansPerCase,MATCH(F1781,FmtName,0))</f>
        <v/>
      </c>
      <c r="T1781" s="46">
        <f>S1781/INDEX(FmtCansPerPack,MATCH(F1781,FmtName,0))</f>
        <v/>
      </c>
      <c r="U1781" s="47">
        <f>INDEX(ChBaseCP,MATCH(E1781,ChName,0))*(1+INDEX(ProvMod,MATCH(G1781,ProvCode,0)))*(1+PriceIndex)</f>
        <v/>
      </c>
      <c r="V1781" s="47">
        <f>R1781*U1781*INDEX(FmtBlendedPriceIdx,MATCH(F1781,FmtName,0))</f>
        <v/>
      </c>
      <c r="W1781" s="47">
        <f>T1781*INDEX(ProvSRP,MATCH(G1781,ProvCode,0))*(1+PriceIndex)</f>
        <v/>
      </c>
      <c r="X1781" s="47">
        <f>IF(GrossBasis="Wholesale",V1781,W1781)</f>
        <v/>
      </c>
      <c r="Y1781" s="47">
        <f>R1781*INDEX(FmtBlendedCogs,MATCH(F1781,FmtName,0))</f>
        <v/>
      </c>
      <c r="Z1781" s="47">
        <f>X1781-Y1781</f>
        <v/>
      </c>
    </row>
    <row r="1782">
      <c r="A1782" t="n">
        <v>32</v>
      </c>
      <c r="B1782" s="44">
        <f>FiscalStart+(A1782-1)*7</f>
        <v/>
      </c>
      <c r="C1782">
        <f>TEXT(B1782,"mmm yyyy")</f>
        <v/>
      </c>
      <c r="D1782">
        <f>"Q"&amp;(INT((A1782-1)/13)+1)</f>
        <v/>
      </c>
      <c r="E1782" t="inlineStr">
        <is>
          <t>Costco</t>
        </is>
      </c>
      <c r="F1782">
        <f>IFERROR(INDEX(ChFormat,MATCH(E1782,ChName,0)),"")</f>
        <v/>
      </c>
      <c r="G1782" t="inlineStr">
        <is>
          <t>MB</t>
        </is>
      </c>
      <c r="H1782">
        <f>IF(A1782&lt;=NWeeks,1,0)</f>
        <v/>
      </c>
      <c r="I1782">
        <f>INDEX(ChLaunch,MATCH(E1782,ChName,0))</f>
        <v/>
      </c>
      <c r="J1782">
        <f>INDEX(ChWeeksFull,MATCH(E1782,ChName,0))</f>
        <v/>
      </c>
      <c r="K1782">
        <f>INDEX(ChRamp,MATCH(E1782,ChName,0))</f>
        <v/>
      </c>
      <c r="L1782" s="45">
        <f>MIN(1,MAX(0,(A1782-I1782+1)*RampSpeed/J1782))</f>
        <v/>
      </c>
      <c r="M1782" s="45">
        <f>IF(A1782&lt;I1782,0,IF(K1782="S-curve",L1782*L1782*(3-2*L1782),L1782))</f>
        <v/>
      </c>
      <c r="N1782" s="45">
        <f>1+(INDEX(SeasonIdx,A1782)-1)*SeasonAmp</f>
        <v/>
      </c>
      <c r="O1782" s="45">
        <f>IFERROR(INDEX(PSPct,MATCH(E1782&amp;"|"&amp;G1782,PSKey,0)),0)</f>
        <v/>
      </c>
      <c r="P1782" s="46">
        <f>INDEX(ChDoorVel,MATCH(E1782,ChName,0))*CalibScalar*(1+VelocityUplift)</f>
        <v/>
      </c>
      <c r="Q1782" s="46" t="n">
        <v>0</v>
      </c>
      <c r="R1782" s="46">
        <f>P1782*O1782*M1782*N1782*H1782</f>
        <v/>
      </c>
      <c r="S1782" s="46">
        <f>R1782*INDEX(FmtCansPerCase,MATCH(F1782,FmtName,0))</f>
        <v/>
      </c>
      <c r="T1782" s="46">
        <f>S1782/INDEX(FmtCansPerPack,MATCH(F1782,FmtName,0))</f>
        <v/>
      </c>
      <c r="U1782" s="47">
        <f>INDEX(ChBaseCP,MATCH(E1782,ChName,0))*(1+INDEX(ProvMod,MATCH(G1782,ProvCode,0)))*(1+PriceIndex)</f>
        <v/>
      </c>
      <c r="V1782" s="47">
        <f>R1782*U1782*INDEX(FmtBlendedPriceIdx,MATCH(F1782,FmtName,0))</f>
        <v/>
      </c>
      <c r="W1782" s="47">
        <f>T1782*INDEX(ProvSRP,MATCH(G1782,ProvCode,0))*(1+PriceIndex)</f>
        <v/>
      </c>
      <c r="X1782" s="47">
        <f>IF(GrossBasis="Wholesale",V1782,W1782)</f>
        <v/>
      </c>
      <c r="Y1782" s="47">
        <f>R1782*INDEX(FmtBlendedCogs,MATCH(F1782,FmtName,0))</f>
        <v/>
      </c>
      <c r="Z1782" s="47">
        <f>X1782-Y1782</f>
        <v/>
      </c>
    </row>
    <row r="1783">
      <c r="A1783" t="n">
        <v>33</v>
      </c>
      <c r="B1783" s="44">
        <f>FiscalStart+(A1783-1)*7</f>
        <v/>
      </c>
      <c r="C1783">
        <f>TEXT(B1783,"mmm yyyy")</f>
        <v/>
      </c>
      <c r="D1783">
        <f>"Q"&amp;(INT((A1783-1)/13)+1)</f>
        <v/>
      </c>
      <c r="E1783" t="inlineStr">
        <is>
          <t>Costco</t>
        </is>
      </c>
      <c r="F1783">
        <f>IFERROR(INDEX(ChFormat,MATCH(E1783,ChName,0)),"")</f>
        <v/>
      </c>
      <c r="G1783" t="inlineStr">
        <is>
          <t>MB</t>
        </is>
      </c>
      <c r="H1783">
        <f>IF(A1783&lt;=NWeeks,1,0)</f>
        <v/>
      </c>
      <c r="I1783">
        <f>INDEX(ChLaunch,MATCH(E1783,ChName,0))</f>
        <v/>
      </c>
      <c r="J1783">
        <f>INDEX(ChWeeksFull,MATCH(E1783,ChName,0))</f>
        <v/>
      </c>
      <c r="K1783">
        <f>INDEX(ChRamp,MATCH(E1783,ChName,0))</f>
        <v/>
      </c>
      <c r="L1783" s="45">
        <f>MIN(1,MAX(0,(A1783-I1783+1)*RampSpeed/J1783))</f>
        <v/>
      </c>
      <c r="M1783" s="45">
        <f>IF(A1783&lt;I1783,0,IF(K1783="S-curve",L1783*L1783*(3-2*L1783),L1783))</f>
        <v/>
      </c>
      <c r="N1783" s="45">
        <f>1+(INDEX(SeasonIdx,A1783)-1)*SeasonAmp</f>
        <v/>
      </c>
      <c r="O1783" s="45">
        <f>IFERROR(INDEX(PSPct,MATCH(E1783&amp;"|"&amp;G1783,PSKey,0)),0)</f>
        <v/>
      </c>
      <c r="P1783" s="46">
        <f>INDEX(ChDoorVel,MATCH(E1783,ChName,0))*CalibScalar*(1+VelocityUplift)</f>
        <v/>
      </c>
      <c r="Q1783" s="46" t="n">
        <v>0</v>
      </c>
      <c r="R1783" s="46">
        <f>P1783*O1783*M1783*N1783*H1783</f>
        <v/>
      </c>
      <c r="S1783" s="46">
        <f>R1783*INDEX(FmtCansPerCase,MATCH(F1783,FmtName,0))</f>
        <v/>
      </c>
      <c r="T1783" s="46">
        <f>S1783/INDEX(FmtCansPerPack,MATCH(F1783,FmtName,0))</f>
        <v/>
      </c>
      <c r="U1783" s="47">
        <f>INDEX(ChBaseCP,MATCH(E1783,ChName,0))*(1+INDEX(ProvMod,MATCH(G1783,ProvCode,0)))*(1+PriceIndex)</f>
        <v/>
      </c>
      <c r="V1783" s="47">
        <f>R1783*U1783*INDEX(FmtBlendedPriceIdx,MATCH(F1783,FmtName,0))</f>
        <v/>
      </c>
      <c r="W1783" s="47">
        <f>T1783*INDEX(ProvSRP,MATCH(G1783,ProvCode,0))*(1+PriceIndex)</f>
        <v/>
      </c>
      <c r="X1783" s="47">
        <f>IF(GrossBasis="Wholesale",V1783,W1783)</f>
        <v/>
      </c>
      <c r="Y1783" s="47">
        <f>R1783*INDEX(FmtBlendedCogs,MATCH(F1783,FmtName,0))</f>
        <v/>
      </c>
      <c r="Z1783" s="47">
        <f>X1783-Y1783</f>
        <v/>
      </c>
    </row>
    <row r="1784">
      <c r="A1784" t="n">
        <v>34</v>
      </c>
      <c r="B1784" s="44">
        <f>FiscalStart+(A1784-1)*7</f>
        <v/>
      </c>
      <c r="C1784">
        <f>TEXT(B1784,"mmm yyyy")</f>
        <v/>
      </c>
      <c r="D1784">
        <f>"Q"&amp;(INT((A1784-1)/13)+1)</f>
        <v/>
      </c>
      <c r="E1784" t="inlineStr">
        <is>
          <t>Costco</t>
        </is>
      </c>
      <c r="F1784">
        <f>IFERROR(INDEX(ChFormat,MATCH(E1784,ChName,0)),"")</f>
        <v/>
      </c>
      <c r="G1784" t="inlineStr">
        <is>
          <t>MB</t>
        </is>
      </c>
      <c r="H1784">
        <f>IF(A1784&lt;=NWeeks,1,0)</f>
        <v/>
      </c>
      <c r="I1784">
        <f>INDEX(ChLaunch,MATCH(E1784,ChName,0))</f>
        <v/>
      </c>
      <c r="J1784">
        <f>INDEX(ChWeeksFull,MATCH(E1784,ChName,0))</f>
        <v/>
      </c>
      <c r="K1784">
        <f>INDEX(ChRamp,MATCH(E1784,ChName,0))</f>
        <v/>
      </c>
      <c r="L1784" s="45">
        <f>MIN(1,MAX(0,(A1784-I1784+1)*RampSpeed/J1784))</f>
        <v/>
      </c>
      <c r="M1784" s="45">
        <f>IF(A1784&lt;I1784,0,IF(K1784="S-curve",L1784*L1784*(3-2*L1784),L1784))</f>
        <v/>
      </c>
      <c r="N1784" s="45">
        <f>1+(INDEX(SeasonIdx,A1784)-1)*SeasonAmp</f>
        <v/>
      </c>
      <c r="O1784" s="45">
        <f>IFERROR(INDEX(PSPct,MATCH(E1784&amp;"|"&amp;G1784,PSKey,0)),0)</f>
        <v/>
      </c>
      <c r="P1784" s="46">
        <f>INDEX(ChDoorVel,MATCH(E1784,ChName,0))*CalibScalar*(1+VelocityUplift)</f>
        <v/>
      </c>
      <c r="Q1784" s="46" t="n">
        <v>0</v>
      </c>
      <c r="R1784" s="46">
        <f>P1784*O1784*M1784*N1784*H1784</f>
        <v/>
      </c>
      <c r="S1784" s="46">
        <f>R1784*INDEX(FmtCansPerCase,MATCH(F1784,FmtName,0))</f>
        <v/>
      </c>
      <c r="T1784" s="46">
        <f>S1784/INDEX(FmtCansPerPack,MATCH(F1784,FmtName,0))</f>
        <v/>
      </c>
      <c r="U1784" s="47">
        <f>INDEX(ChBaseCP,MATCH(E1784,ChName,0))*(1+INDEX(ProvMod,MATCH(G1784,ProvCode,0)))*(1+PriceIndex)</f>
        <v/>
      </c>
      <c r="V1784" s="47">
        <f>R1784*U1784*INDEX(FmtBlendedPriceIdx,MATCH(F1784,FmtName,0))</f>
        <v/>
      </c>
      <c r="W1784" s="47">
        <f>T1784*INDEX(ProvSRP,MATCH(G1784,ProvCode,0))*(1+PriceIndex)</f>
        <v/>
      </c>
      <c r="X1784" s="47">
        <f>IF(GrossBasis="Wholesale",V1784,W1784)</f>
        <v/>
      </c>
      <c r="Y1784" s="47">
        <f>R1784*INDEX(FmtBlendedCogs,MATCH(F1784,FmtName,0))</f>
        <v/>
      </c>
      <c r="Z1784" s="47">
        <f>X1784-Y1784</f>
        <v/>
      </c>
    </row>
    <row r="1785">
      <c r="A1785" t="n">
        <v>35</v>
      </c>
      <c r="B1785" s="44">
        <f>FiscalStart+(A1785-1)*7</f>
        <v/>
      </c>
      <c r="C1785">
        <f>TEXT(B1785,"mmm yyyy")</f>
        <v/>
      </c>
      <c r="D1785">
        <f>"Q"&amp;(INT((A1785-1)/13)+1)</f>
        <v/>
      </c>
      <c r="E1785" t="inlineStr">
        <is>
          <t>Costco</t>
        </is>
      </c>
      <c r="F1785">
        <f>IFERROR(INDEX(ChFormat,MATCH(E1785,ChName,0)),"")</f>
        <v/>
      </c>
      <c r="G1785" t="inlineStr">
        <is>
          <t>MB</t>
        </is>
      </c>
      <c r="H1785">
        <f>IF(A1785&lt;=NWeeks,1,0)</f>
        <v/>
      </c>
      <c r="I1785">
        <f>INDEX(ChLaunch,MATCH(E1785,ChName,0))</f>
        <v/>
      </c>
      <c r="J1785">
        <f>INDEX(ChWeeksFull,MATCH(E1785,ChName,0))</f>
        <v/>
      </c>
      <c r="K1785">
        <f>INDEX(ChRamp,MATCH(E1785,ChName,0))</f>
        <v/>
      </c>
      <c r="L1785" s="45">
        <f>MIN(1,MAX(0,(A1785-I1785+1)*RampSpeed/J1785))</f>
        <v/>
      </c>
      <c r="M1785" s="45">
        <f>IF(A1785&lt;I1785,0,IF(K1785="S-curve",L1785*L1785*(3-2*L1785),L1785))</f>
        <v/>
      </c>
      <c r="N1785" s="45">
        <f>1+(INDEX(SeasonIdx,A1785)-1)*SeasonAmp</f>
        <v/>
      </c>
      <c r="O1785" s="45">
        <f>IFERROR(INDEX(PSPct,MATCH(E1785&amp;"|"&amp;G1785,PSKey,0)),0)</f>
        <v/>
      </c>
      <c r="P1785" s="46">
        <f>INDEX(ChDoorVel,MATCH(E1785,ChName,0))*CalibScalar*(1+VelocityUplift)</f>
        <v/>
      </c>
      <c r="Q1785" s="46" t="n">
        <v>0</v>
      </c>
      <c r="R1785" s="46">
        <f>P1785*O1785*M1785*N1785*H1785</f>
        <v/>
      </c>
      <c r="S1785" s="46">
        <f>R1785*INDEX(FmtCansPerCase,MATCH(F1785,FmtName,0))</f>
        <v/>
      </c>
      <c r="T1785" s="46">
        <f>S1785/INDEX(FmtCansPerPack,MATCH(F1785,FmtName,0))</f>
        <v/>
      </c>
      <c r="U1785" s="47">
        <f>INDEX(ChBaseCP,MATCH(E1785,ChName,0))*(1+INDEX(ProvMod,MATCH(G1785,ProvCode,0)))*(1+PriceIndex)</f>
        <v/>
      </c>
      <c r="V1785" s="47">
        <f>R1785*U1785*INDEX(FmtBlendedPriceIdx,MATCH(F1785,FmtName,0))</f>
        <v/>
      </c>
      <c r="W1785" s="47">
        <f>T1785*INDEX(ProvSRP,MATCH(G1785,ProvCode,0))*(1+PriceIndex)</f>
        <v/>
      </c>
      <c r="X1785" s="47">
        <f>IF(GrossBasis="Wholesale",V1785,W1785)</f>
        <v/>
      </c>
      <c r="Y1785" s="47">
        <f>R1785*INDEX(FmtBlendedCogs,MATCH(F1785,FmtName,0))</f>
        <v/>
      </c>
      <c r="Z1785" s="47">
        <f>X1785-Y1785</f>
        <v/>
      </c>
    </row>
    <row r="1786">
      <c r="A1786" t="n">
        <v>36</v>
      </c>
      <c r="B1786" s="44">
        <f>FiscalStart+(A1786-1)*7</f>
        <v/>
      </c>
      <c r="C1786">
        <f>TEXT(B1786,"mmm yyyy")</f>
        <v/>
      </c>
      <c r="D1786">
        <f>"Q"&amp;(INT((A1786-1)/13)+1)</f>
        <v/>
      </c>
      <c r="E1786" t="inlineStr">
        <is>
          <t>Costco</t>
        </is>
      </c>
      <c r="F1786">
        <f>IFERROR(INDEX(ChFormat,MATCH(E1786,ChName,0)),"")</f>
        <v/>
      </c>
      <c r="G1786" t="inlineStr">
        <is>
          <t>MB</t>
        </is>
      </c>
      <c r="H1786">
        <f>IF(A1786&lt;=NWeeks,1,0)</f>
        <v/>
      </c>
      <c r="I1786">
        <f>INDEX(ChLaunch,MATCH(E1786,ChName,0))</f>
        <v/>
      </c>
      <c r="J1786">
        <f>INDEX(ChWeeksFull,MATCH(E1786,ChName,0))</f>
        <v/>
      </c>
      <c r="K1786">
        <f>INDEX(ChRamp,MATCH(E1786,ChName,0))</f>
        <v/>
      </c>
      <c r="L1786" s="45">
        <f>MIN(1,MAX(0,(A1786-I1786+1)*RampSpeed/J1786))</f>
        <v/>
      </c>
      <c r="M1786" s="45">
        <f>IF(A1786&lt;I1786,0,IF(K1786="S-curve",L1786*L1786*(3-2*L1786),L1786))</f>
        <v/>
      </c>
      <c r="N1786" s="45">
        <f>1+(INDEX(SeasonIdx,A1786)-1)*SeasonAmp</f>
        <v/>
      </c>
      <c r="O1786" s="45">
        <f>IFERROR(INDEX(PSPct,MATCH(E1786&amp;"|"&amp;G1786,PSKey,0)),0)</f>
        <v/>
      </c>
      <c r="P1786" s="46">
        <f>INDEX(ChDoorVel,MATCH(E1786,ChName,0))*CalibScalar*(1+VelocityUplift)</f>
        <v/>
      </c>
      <c r="Q1786" s="46" t="n">
        <v>0</v>
      </c>
      <c r="R1786" s="46">
        <f>P1786*O1786*M1786*N1786*H1786</f>
        <v/>
      </c>
      <c r="S1786" s="46">
        <f>R1786*INDEX(FmtCansPerCase,MATCH(F1786,FmtName,0))</f>
        <v/>
      </c>
      <c r="T1786" s="46">
        <f>S1786/INDEX(FmtCansPerPack,MATCH(F1786,FmtName,0))</f>
        <v/>
      </c>
      <c r="U1786" s="47">
        <f>INDEX(ChBaseCP,MATCH(E1786,ChName,0))*(1+INDEX(ProvMod,MATCH(G1786,ProvCode,0)))*(1+PriceIndex)</f>
        <v/>
      </c>
      <c r="V1786" s="47">
        <f>R1786*U1786*INDEX(FmtBlendedPriceIdx,MATCH(F1786,FmtName,0))</f>
        <v/>
      </c>
      <c r="W1786" s="47">
        <f>T1786*INDEX(ProvSRP,MATCH(G1786,ProvCode,0))*(1+PriceIndex)</f>
        <v/>
      </c>
      <c r="X1786" s="47">
        <f>IF(GrossBasis="Wholesale",V1786,W1786)</f>
        <v/>
      </c>
      <c r="Y1786" s="47">
        <f>R1786*INDEX(FmtBlendedCogs,MATCH(F1786,FmtName,0))</f>
        <v/>
      </c>
      <c r="Z1786" s="47">
        <f>X1786-Y1786</f>
        <v/>
      </c>
    </row>
    <row r="1787">
      <c r="A1787" t="n">
        <v>37</v>
      </c>
      <c r="B1787" s="44">
        <f>FiscalStart+(A1787-1)*7</f>
        <v/>
      </c>
      <c r="C1787">
        <f>TEXT(B1787,"mmm yyyy")</f>
        <v/>
      </c>
      <c r="D1787">
        <f>"Q"&amp;(INT((A1787-1)/13)+1)</f>
        <v/>
      </c>
      <c r="E1787" t="inlineStr">
        <is>
          <t>Costco</t>
        </is>
      </c>
      <c r="F1787">
        <f>IFERROR(INDEX(ChFormat,MATCH(E1787,ChName,0)),"")</f>
        <v/>
      </c>
      <c r="G1787" t="inlineStr">
        <is>
          <t>MB</t>
        </is>
      </c>
      <c r="H1787">
        <f>IF(A1787&lt;=NWeeks,1,0)</f>
        <v/>
      </c>
      <c r="I1787">
        <f>INDEX(ChLaunch,MATCH(E1787,ChName,0))</f>
        <v/>
      </c>
      <c r="J1787">
        <f>INDEX(ChWeeksFull,MATCH(E1787,ChName,0))</f>
        <v/>
      </c>
      <c r="K1787">
        <f>INDEX(ChRamp,MATCH(E1787,ChName,0))</f>
        <v/>
      </c>
      <c r="L1787" s="45">
        <f>MIN(1,MAX(0,(A1787-I1787+1)*RampSpeed/J1787))</f>
        <v/>
      </c>
      <c r="M1787" s="45">
        <f>IF(A1787&lt;I1787,0,IF(K1787="S-curve",L1787*L1787*(3-2*L1787),L1787))</f>
        <v/>
      </c>
      <c r="N1787" s="45">
        <f>1+(INDEX(SeasonIdx,A1787)-1)*SeasonAmp</f>
        <v/>
      </c>
      <c r="O1787" s="45">
        <f>IFERROR(INDEX(PSPct,MATCH(E1787&amp;"|"&amp;G1787,PSKey,0)),0)</f>
        <v/>
      </c>
      <c r="P1787" s="46">
        <f>INDEX(ChDoorVel,MATCH(E1787,ChName,0))*CalibScalar*(1+VelocityUplift)</f>
        <v/>
      </c>
      <c r="Q1787" s="46" t="n">
        <v>0</v>
      </c>
      <c r="R1787" s="46">
        <f>P1787*O1787*M1787*N1787*H1787</f>
        <v/>
      </c>
      <c r="S1787" s="46">
        <f>R1787*INDEX(FmtCansPerCase,MATCH(F1787,FmtName,0))</f>
        <v/>
      </c>
      <c r="T1787" s="46">
        <f>S1787/INDEX(FmtCansPerPack,MATCH(F1787,FmtName,0))</f>
        <v/>
      </c>
      <c r="U1787" s="47">
        <f>INDEX(ChBaseCP,MATCH(E1787,ChName,0))*(1+INDEX(ProvMod,MATCH(G1787,ProvCode,0)))*(1+PriceIndex)</f>
        <v/>
      </c>
      <c r="V1787" s="47">
        <f>R1787*U1787*INDEX(FmtBlendedPriceIdx,MATCH(F1787,FmtName,0))</f>
        <v/>
      </c>
      <c r="W1787" s="47">
        <f>T1787*INDEX(ProvSRP,MATCH(G1787,ProvCode,0))*(1+PriceIndex)</f>
        <v/>
      </c>
      <c r="X1787" s="47">
        <f>IF(GrossBasis="Wholesale",V1787,W1787)</f>
        <v/>
      </c>
      <c r="Y1787" s="47">
        <f>R1787*INDEX(FmtBlendedCogs,MATCH(F1787,FmtName,0))</f>
        <v/>
      </c>
      <c r="Z1787" s="47">
        <f>X1787-Y1787</f>
        <v/>
      </c>
    </row>
    <row r="1788">
      <c r="A1788" t="n">
        <v>38</v>
      </c>
      <c r="B1788" s="44">
        <f>FiscalStart+(A1788-1)*7</f>
        <v/>
      </c>
      <c r="C1788">
        <f>TEXT(B1788,"mmm yyyy")</f>
        <v/>
      </c>
      <c r="D1788">
        <f>"Q"&amp;(INT((A1788-1)/13)+1)</f>
        <v/>
      </c>
      <c r="E1788" t="inlineStr">
        <is>
          <t>Costco</t>
        </is>
      </c>
      <c r="F1788">
        <f>IFERROR(INDEX(ChFormat,MATCH(E1788,ChName,0)),"")</f>
        <v/>
      </c>
      <c r="G1788" t="inlineStr">
        <is>
          <t>MB</t>
        </is>
      </c>
      <c r="H1788">
        <f>IF(A1788&lt;=NWeeks,1,0)</f>
        <v/>
      </c>
      <c r="I1788">
        <f>INDEX(ChLaunch,MATCH(E1788,ChName,0))</f>
        <v/>
      </c>
      <c r="J1788">
        <f>INDEX(ChWeeksFull,MATCH(E1788,ChName,0))</f>
        <v/>
      </c>
      <c r="K1788">
        <f>INDEX(ChRamp,MATCH(E1788,ChName,0))</f>
        <v/>
      </c>
      <c r="L1788" s="45">
        <f>MIN(1,MAX(0,(A1788-I1788+1)*RampSpeed/J1788))</f>
        <v/>
      </c>
      <c r="M1788" s="45">
        <f>IF(A1788&lt;I1788,0,IF(K1788="S-curve",L1788*L1788*(3-2*L1788),L1788))</f>
        <v/>
      </c>
      <c r="N1788" s="45">
        <f>1+(INDEX(SeasonIdx,A1788)-1)*SeasonAmp</f>
        <v/>
      </c>
      <c r="O1788" s="45">
        <f>IFERROR(INDEX(PSPct,MATCH(E1788&amp;"|"&amp;G1788,PSKey,0)),0)</f>
        <v/>
      </c>
      <c r="P1788" s="46">
        <f>INDEX(ChDoorVel,MATCH(E1788,ChName,0))*CalibScalar*(1+VelocityUplift)</f>
        <v/>
      </c>
      <c r="Q1788" s="46" t="n">
        <v>0</v>
      </c>
      <c r="R1788" s="46">
        <f>P1788*O1788*M1788*N1788*H1788</f>
        <v/>
      </c>
      <c r="S1788" s="46">
        <f>R1788*INDEX(FmtCansPerCase,MATCH(F1788,FmtName,0))</f>
        <v/>
      </c>
      <c r="T1788" s="46">
        <f>S1788/INDEX(FmtCansPerPack,MATCH(F1788,FmtName,0))</f>
        <v/>
      </c>
      <c r="U1788" s="47">
        <f>INDEX(ChBaseCP,MATCH(E1788,ChName,0))*(1+INDEX(ProvMod,MATCH(G1788,ProvCode,0)))*(1+PriceIndex)</f>
        <v/>
      </c>
      <c r="V1788" s="47">
        <f>R1788*U1788*INDEX(FmtBlendedPriceIdx,MATCH(F1788,FmtName,0))</f>
        <v/>
      </c>
      <c r="W1788" s="47">
        <f>T1788*INDEX(ProvSRP,MATCH(G1788,ProvCode,0))*(1+PriceIndex)</f>
        <v/>
      </c>
      <c r="X1788" s="47">
        <f>IF(GrossBasis="Wholesale",V1788,W1788)</f>
        <v/>
      </c>
      <c r="Y1788" s="47">
        <f>R1788*INDEX(FmtBlendedCogs,MATCH(F1788,FmtName,0))</f>
        <v/>
      </c>
      <c r="Z1788" s="47">
        <f>X1788-Y1788</f>
        <v/>
      </c>
    </row>
    <row r="1789">
      <c r="A1789" t="n">
        <v>39</v>
      </c>
      <c r="B1789" s="44">
        <f>FiscalStart+(A1789-1)*7</f>
        <v/>
      </c>
      <c r="C1789">
        <f>TEXT(B1789,"mmm yyyy")</f>
        <v/>
      </c>
      <c r="D1789">
        <f>"Q"&amp;(INT((A1789-1)/13)+1)</f>
        <v/>
      </c>
      <c r="E1789" t="inlineStr">
        <is>
          <t>Costco</t>
        </is>
      </c>
      <c r="F1789">
        <f>IFERROR(INDEX(ChFormat,MATCH(E1789,ChName,0)),"")</f>
        <v/>
      </c>
      <c r="G1789" t="inlineStr">
        <is>
          <t>MB</t>
        </is>
      </c>
      <c r="H1789">
        <f>IF(A1789&lt;=NWeeks,1,0)</f>
        <v/>
      </c>
      <c r="I1789">
        <f>INDEX(ChLaunch,MATCH(E1789,ChName,0))</f>
        <v/>
      </c>
      <c r="J1789">
        <f>INDEX(ChWeeksFull,MATCH(E1789,ChName,0))</f>
        <v/>
      </c>
      <c r="K1789">
        <f>INDEX(ChRamp,MATCH(E1789,ChName,0))</f>
        <v/>
      </c>
      <c r="L1789" s="45">
        <f>MIN(1,MAX(0,(A1789-I1789+1)*RampSpeed/J1789))</f>
        <v/>
      </c>
      <c r="M1789" s="45">
        <f>IF(A1789&lt;I1789,0,IF(K1789="S-curve",L1789*L1789*(3-2*L1789),L1789))</f>
        <v/>
      </c>
      <c r="N1789" s="45">
        <f>1+(INDEX(SeasonIdx,A1789)-1)*SeasonAmp</f>
        <v/>
      </c>
      <c r="O1789" s="45">
        <f>IFERROR(INDEX(PSPct,MATCH(E1789&amp;"|"&amp;G1789,PSKey,0)),0)</f>
        <v/>
      </c>
      <c r="P1789" s="46">
        <f>INDEX(ChDoorVel,MATCH(E1789,ChName,0))*CalibScalar*(1+VelocityUplift)</f>
        <v/>
      </c>
      <c r="Q1789" s="46" t="n">
        <v>0</v>
      </c>
      <c r="R1789" s="46">
        <f>P1789*O1789*M1789*N1789*H1789</f>
        <v/>
      </c>
      <c r="S1789" s="46">
        <f>R1789*INDEX(FmtCansPerCase,MATCH(F1789,FmtName,0))</f>
        <v/>
      </c>
      <c r="T1789" s="46">
        <f>S1789/INDEX(FmtCansPerPack,MATCH(F1789,FmtName,0))</f>
        <v/>
      </c>
      <c r="U1789" s="47">
        <f>INDEX(ChBaseCP,MATCH(E1789,ChName,0))*(1+INDEX(ProvMod,MATCH(G1789,ProvCode,0)))*(1+PriceIndex)</f>
        <v/>
      </c>
      <c r="V1789" s="47">
        <f>R1789*U1789*INDEX(FmtBlendedPriceIdx,MATCH(F1789,FmtName,0))</f>
        <v/>
      </c>
      <c r="W1789" s="47">
        <f>T1789*INDEX(ProvSRP,MATCH(G1789,ProvCode,0))*(1+PriceIndex)</f>
        <v/>
      </c>
      <c r="X1789" s="47">
        <f>IF(GrossBasis="Wholesale",V1789,W1789)</f>
        <v/>
      </c>
      <c r="Y1789" s="47">
        <f>R1789*INDEX(FmtBlendedCogs,MATCH(F1789,FmtName,0))</f>
        <v/>
      </c>
      <c r="Z1789" s="47">
        <f>X1789-Y1789</f>
        <v/>
      </c>
    </row>
    <row r="1790">
      <c r="A1790" t="n">
        <v>40</v>
      </c>
      <c r="B1790" s="44">
        <f>FiscalStart+(A1790-1)*7</f>
        <v/>
      </c>
      <c r="C1790">
        <f>TEXT(B1790,"mmm yyyy")</f>
        <v/>
      </c>
      <c r="D1790">
        <f>"Q"&amp;(INT((A1790-1)/13)+1)</f>
        <v/>
      </c>
      <c r="E1790" t="inlineStr">
        <is>
          <t>Costco</t>
        </is>
      </c>
      <c r="F1790">
        <f>IFERROR(INDEX(ChFormat,MATCH(E1790,ChName,0)),"")</f>
        <v/>
      </c>
      <c r="G1790" t="inlineStr">
        <is>
          <t>MB</t>
        </is>
      </c>
      <c r="H1790">
        <f>IF(A1790&lt;=NWeeks,1,0)</f>
        <v/>
      </c>
      <c r="I1790">
        <f>INDEX(ChLaunch,MATCH(E1790,ChName,0))</f>
        <v/>
      </c>
      <c r="J1790">
        <f>INDEX(ChWeeksFull,MATCH(E1790,ChName,0))</f>
        <v/>
      </c>
      <c r="K1790">
        <f>INDEX(ChRamp,MATCH(E1790,ChName,0))</f>
        <v/>
      </c>
      <c r="L1790" s="45">
        <f>MIN(1,MAX(0,(A1790-I1790+1)*RampSpeed/J1790))</f>
        <v/>
      </c>
      <c r="M1790" s="45">
        <f>IF(A1790&lt;I1790,0,IF(K1790="S-curve",L1790*L1790*(3-2*L1790),L1790))</f>
        <v/>
      </c>
      <c r="N1790" s="45">
        <f>1+(INDEX(SeasonIdx,A1790)-1)*SeasonAmp</f>
        <v/>
      </c>
      <c r="O1790" s="45">
        <f>IFERROR(INDEX(PSPct,MATCH(E1790&amp;"|"&amp;G1790,PSKey,0)),0)</f>
        <v/>
      </c>
      <c r="P1790" s="46">
        <f>INDEX(ChDoorVel,MATCH(E1790,ChName,0))*CalibScalar*(1+VelocityUplift)</f>
        <v/>
      </c>
      <c r="Q1790" s="46" t="n">
        <v>0</v>
      </c>
      <c r="R1790" s="46">
        <f>P1790*O1790*M1790*N1790*H1790</f>
        <v/>
      </c>
      <c r="S1790" s="46">
        <f>R1790*INDEX(FmtCansPerCase,MATCH(F1790,FmtName,0))</f>
        <v/>
      </c>
      <c r="T1790" s="46">
        <f>S1790/INDEX(FmtCansPerPack,MATCH(F1790,FmtName,0))</f>
        <v/>
      </c>
      <c r="U1790" s="47">
        <f>INDEX(ChBaseCP,MATCH(E1790,ChName,0))*(1+INDEX(ProvMod,MATCH(G1790,ProvCode,0)))*(1+PriceIndex)</f>
        <v/>
      </c>
      <c r="V1790" s="47">
        <f>R1790*U1790*INDEX(FmtBlendedPriceIdx,MATCH(F1790,FmtName,0))</f>
        <v/>
      </c>
      <c r="W1790" s="47">
        <f>T1790*INDEX(ProvSRP,MATCH(G1790,ProvCode,0))*(1+PriceIndex)</f>
        <v/>
      </c>
      <c r="X1790" s="47">
        <f>IF(GrossBasis="Wholesale",V1790,W1790)</f>
        <v/>
      </c>
      <c r="Y1790" s="47">
        <f>R1790*INDEX(FmtBlendedCogs,MATCH(F1790,FmtName,0))</f>
        <v/>
      </c>
      <c r="Z1790" s="47">
        <f>X1790-Y1790</f>
        <v/>
      </c>
    </row>
    <row r="1791">
      <c r="A1791" t="n">
        <v>41</v>
      </c>
      <c r="B1791" s="44">
        <f>FiscalStart+(A1791-1)*7</f>
        <v/>
      </c>
      <c r="C1791">
        <f>TEXT(B1791,"mmm yyyy")</f>
        <v/>
      </c>
      <c r="D1791">
        <f>"Q"&amp;(INT((A1791-1)/13)+1)</f>
        <v/>
      </c>
      <c r="E1791" t="inlineStr">
        <is>
          <t>Costco</t>
        </is>
      </c>
      <c r="F1791">
        <f>IFERROR(INDEX(ChFormat,MATCH(E1791,ChName,0)),"")</f>
        <v/>
      </c>
      <c r="G1791" t="inlineStr">
        <is>
          <t>MB</t>
        </is>
      </c>
      <c r="H1791">
        <f>IF(A1791&lt;=NWeeks,1,0)</f>
        <v/>
      </c>
      <c r="I1791">
        <f>INDEX(ChLaunch,MATCH(E1791,ChName,0))</f>
        <v/>
      </c>
      <c r="J1791">
        <f>INDEX(ChWeeksFull,MATCH(E1791,ChName,0))</f>
        <v/>
      </c>
      <c r="K1791">
        <f>INDEX(ChRamp,MATCH(E1791,ChName,0))</f>
        <v/>
      </c>
      <c r="L1791" s="45">
        <f>MIN(1,MAX(0,(A1791-I1791+1)*RampSpeed/J1791))</f>
        <v/>
      </c>
      <c r="M1791" s="45">
        <f>IF(A1791&lt;I1791,0,IF(K1791="S-curve",L1791*L1791*(3-2*L1791),L1791))</f>
        <v/>
      </c>
      <c r="N1791" s="45">
        <f>1+(INDEX(SeasonIdx,A1791)-1)*SeasonAmp</f>
        <v/>
      </c>
      <c r="O1791" s="45">
        <f>IFERROR(INDEX(PSPct,MATCH(E1791&amp;"|"&amp;G1791,PSKey,0)),0)</f>
        <v/>
      </c>
      <c r="P1791" s="46">
        <f>INDEX(ChDoorVel,MATCH(E1791,ChName,0))*CalibScalar*(1+VelocityUplift)</f>
        <v/>
      </c>
      <c r="Q1791" s="46" t="n">
        <v>0</v>
      </c>
      <c r="R1791" s="46">
        <f>P1791*O1791*M1791*N1791*H1791</f>
        <v/>
      </c>
      <c r="S1791" s="46">
        <f>R1791*INDEX(FmtCansPerCase,MATCH(F1791,FmtName,0))</f>
        <v/>
      </c>
      <c r="T1791" s="46">
        <f>S1791/INDEX(FmtCansPerPack,MATCH(F1791,FmtName,0))</f>
        <v/>
      </c>
      <c r="U1791" s="47">
        <f>INDEX(ChBaseCP,MATCH(E1791,ChName,0))*(1+INDEX(ProvMod,MATCH(G1791,ProvCode,0)))*(1+PriceIndex)</f>
        <v/>
      </c>
      <c r="V1791" s="47">
        <f>R1791*U1791*INDEX(FmtBlendedPriceIdx,MATCH(F1791,FmtName,0))</f>
        <v/>
      </c>
      <c r="W1791" s="47">
        <f>T1791*INDEX(ProvSRP,MATCH(G1791,ProvCode,0))*(1+PriceIndex)</f>
        <v/>
      </c>
      <c r="X1791" s="47">
        <f>IF(GrossBasis="Wholesale",V1791,W1791)</f>
        <v/>
      </c>
      <c r="Y1791" s="47">
        <f>R1791*INDEX(FmtBlendedCogs,MATCH(F1791,FmtName,0))</f>
        <v/>
      </c>
      <c r="Z1791" s="47">
        <f>X1791-Y1791</f>
        <v/>
      </c>
    </row>
    <row r="1792">
      <c r="A1792" t="n">
        <v>42</v>
      </c>
      <c r="B1792" s="44">
        <f>FiscalStart+(A1792-1)*7</f>
        <v/>
      </c>
      <c r="C1792">
        <f>TEXT(B1792,"mmm yyyy")</f>
        <v/>
      </c>
      <c r="D1792">
        <f>"Q"&amp;(INT((A1792-1)/13)+1)</f>
        <v/>
      </c>
      <c r="E1792" t="inlineStr">
        <is>
          <t>Costco</t>
        </is>
      </c>
      <c r="F1792">
        <f>IFERROR(INDEX(ChFormat,MATCH(E1792,ChName,0)),"")</f>
        <v/>
      </c>
      <c r="G1792" t="inlineStr">
        <is>
          <t>MB</t>
        </is>
      </c>
      <c r="H1792">
        <f>IF(A1792&lt;=NWeeks,1,0)</f>
        <v/>
      </c>
      <c r="I1792">
        <f>INDEX(ChLaunch,MATCH(E1792,ChName,0))</f>
        <v/>
      </c>
      <c r="J1792">
        <f>INDEX(ChWeeksFull,MATCH(E1792,ChName,0))</f>
        <v/>
      </c>
      <c r="K1792">
        <f>INDEX(ChRamp,MATCH(E1792,ChName,0))</f>
        <v/>
      </c>
      <c r="L1792" s="45">
        <f>MIN(1,MAX(0,(A1792-I1792+1)*RampSpeed/J1792))</f>
        <v/>
      </c>
      <c r="M1792" s="45">
        <f>IF(A1792&lt;I1792,0,IF(K1792="S-curve",L1792*L1792*(3-2*L1792),L1792))</f>
        <v/>
      </c>
      <c r="N1792" s="45">
        <f>1+(INDEX(SeasonIdx,A1792)-1)*SeasonAmp</f>
        <v/>
      </c>
      <c r="O1792" s="45">
        <f>IFERROR(INDEX(PSPct,MATCH(E1792&amp;"|"&amp;G1792,PSKey,0)),0)</f>
        <v/>
      </c>
      <c r="P1792" s="46">
        <f>INDEX(ChDoorVel,MATCH(E1792,ChName,0))*CalibScalar*(1+VelocityUplift)</f>
        <v/>
      </c>
      <c r="Q1792" s="46" t="n">
        <v>0</v>
      </c>
      <c r="R1792" s="46">
        <f>P1792*O1792*M1792*N1792*H1792</f>
        <v/>
      </c>
      <c r="S1792" s="46">
        <f>R1792*INDEX(FmtCansPerCase,MATCH(F1792,FmtName,0))</f>
        <v/>
      </c>
      <c r="T1792" s="46">
        <f>S1792/INDEX(FmtCansPerPack,MATCH(F1792,FmtName,0))</f>
        <v/>
      </c>
      <c r="U1792" s="47">
        <f>INDEX(ChBaseCP,MATCH(E1792,ChName,0))*(1+INDEX(ProvMod,MATCH(G1792,ProvCode,0)))*(1+PriceIndex)</f>
        <v/>
      </c>
      <c r="V1792" s="47">
        <f>R1792*U1792*INDEX(FmtBlendedPriceIdx,MATCH(F1792,FmtName,0))</f>
        <v/>
      </c>
      <c r="W1792" s="47">
        <f>T1792*INDEX(ProvSRP,MATCH(G1792,ProvCode,0))*(1+PriceIndex)</f>
        <v/>
      </c>
      <c r="X1792" s="47">
        <f>IF(GrossBasis="Wholesale",V1792,W1792)</f>
        <v/>
      </c>
      <c r="Y1792" s="47">
        <f>R1792*INDEX(FmtBlendedCogs,MATCH(F1792,FmtName,0))</f>
        <v/>
      </c>
      <c r="Z1792" s="47">
        <f>X1792-Y1792</f>
        <v/>
      </c>
    </row>
    <row r="1793">
      <c r="A1793" t="n">
        <v>43</v>
      </c>
      <c r="B1793" s="44">
        <f>FiscalStart+(A1793-1)*7</f>
        <v/>
      </c>
      <c r="C1793">
        <f>TEXT(B1793,"mmm yyyy")</f>
        <v/>
      </c>
      <c r="D1793">
        <f>"Q"&amp;(INT((A1793-1)/13)+1)</f>
        <v/>
      </c>
      <c r="E1793" t="inlineStr">
        <is>
          <t>Costco</t>
        </is>
      </c>
      <c r="F1793">
        <f>IFERROR(INDEX(ChFormat,MATCH(E1793,ChName,0)),"")</f>
        <v/>
      </c>
      <c r="G1793" t="inlineStr">
        <is>
          <t>MB</t>
        </is>
      </c>
      <c r="H1793">
        <f>IF(A1793&lt;=NWeeks,1,0)</f>
        <v/>
      </c>
      <c r="I1793">
        <f>INDEX(ChLaunch,MATCH(E1793,ChName,0))</f>
        <v/>
      </c>
      <c r="J1793">
        <f>INDEX(ChWeeksFull,MATCH(E1793,ChName,0))</f>
        <v/>
      </c>
      <c r="K1793">
        <f>INDEX(ChRamp,MATCH(E1793,ChName,0))</f>
        <v/>
      </c>
      <c r="L1793" s="45">
        <f>MIN(1,MAX(0,(A1793-I1793+1)*RampSpeed/J1793))</f>
        <v/>
      </c>
      <c r="M1793" s="45">
        <f>IF(A1793&lt;I1793,0,IF(K1793="S-curve",L1793*L1793*(3-2*L1793),L1793))</f>
        <v/>
      </c>
      <c r="N1793" s="45">
        <f>1+(INDEX(SeasonIdx,A1793)-1)*SeasonAmp</f>
        <v/>
      </c>
      <c r="O1793" s="45">
        <f>IFERROR(INDEX(PSPct,MATCH(E1793&amp;"|"&amp;G1793,PSKey,0)),0)</f>
        <v/>
      </c>
      <c r="P1793" s="46">
        <f>INDEX(ChDoorVel,MATCH(E1793,ChName,0))*CalibScalar*(1+VelocityUplift)</f>
        <v/>
      </c>
      <c r="Q1793" s="46" t="n">
        <v>0</v>
      </c>
      <c r="R1793" s="46">
        <f>P1793*O1793*M1793*N1793*H1793</f>
        <v/>
      </c>
      <c r="S1793" s="46">
        <f>R1793*INDEX(FmtCansPerCase,MATCH(F1793,FmtName,0))</f>
        <v/>
      </c>
      <c r="T1793" s="46">
        <f>S1793/INDEX(FmtCansPerPack,MATCH(F1793,FmtName,0))</f>
        <v/>
      </c>
      <c r="U1793" s="47">
        <f>INDEX(ChBaseCP,MATCH(E1793,ChName,0))*(1+INDEX(ProvMod,MATCH(G1793,ProvCode,0)))*(1+PriceIndex)</f>
        <v/>
      </c>
      <c r="V1793" s="47">
        <f>R1793*U1793*INDEX(FmtBlendedPriceIdx,MATCH(F1793,FmtName,0))</f>
        <v/>
      </c>
      <c r="W1793" s="47">
        <f>T1793*INDEX(ProvSRP,MATCH(G1793,ProvCode,0))*(1+PriceIndex)</f>
        <v/>
      </c>
      <c r="X1793" s="47">
        <f>IF(GrossBasis="Wholesale",V1793,W1793)</f>
        <v/>
      </c>
      <c r="Y1793" s="47">
        <f>R1793*INDEX(FmtBlendedCogs,MATCH(F1793,FmtName,0))</f>
        <v/>
      </c>
      <c r="Z1793" s="47">
        <f>X1793-Y1793</f>
        <v/>
      </c>
    </row>
    <row r="1794">
      <c r="A1794" t="n">
        <v>44</v>
      </c>
      <c r="B1794" s="44">
        <f>FiscalStart+(A1794-1)*7</f>
        <v/>
      </c>
      <c r="C1794">
        <f>TEXT(B1794,"mmm yyyy")</f>
        <v/>
      </c>
      <c r="D1794">
        <f>"Q"&amp;(INT((A1794-1)/13)+1)</f>
        <v/>
      </c>
      <c r="E1794" t="inlineStr">
        <is>
          <t>Costco</t>
        </is>
      </c>
      <c r="F1794">
        <f>IFERROR(INDEX(ChFormat,MATCH(E1794,ChName,0)),"")</f>
        <v/>
      </c>
      <c r="G1794" t="inlineStr">
        <is>
          <t>MB</t>
        </is>
      </c>
      <c r="H1794">
        <f>IF(A1794&lt;=NWeeks,1,0)</f>
        <v/>
      </c>
      <c r="I1794">
        <f>INDEX(ChLaunch,MATCH(E1794,ChName,0))</f>
        <v/>
      </c>
      <c r="J1794">
        <f>INDEX(ChWeeksFull,MATCH(E1794,ChName,0))</f>
        <v/>
      </c>
      <c r="K1794">
        <f>INDEX(ChRamp,MATCH(E1794,ChName,0))</f>
        <v/>
      </c>
      <c r="L1794" s="45">
        <f>MIN(1,MAX(0,(A1794-I1794+1)*RampSpeed/J1794))</f>
        <v/>
      </c>
      <c r="M1794" s="45">
        <f>IF(A1794&lt;I1794,0,IF(K1794="S-curve",L1794*L1794*(3-2*L1794),L1794))</f>
        <v/>
      </c>
      <c r="N1794" s="45">
        <f>1+(INDEX(SeasonIdx,A1794)-1)*SeasonAmp</f>
        <v/>
      </c>
      <c r="O1794" s="45">
        <f>IFERROR(INDEX(PSPct,MATCH(E1794&amp;"|"&amp;G1794,PSKey,0)),0)</f>
        <v/>
      </c>
      <c r="P1794" s="46">
        <f>INDEX(ChDoorVel,MATCH(E1794,ChName,0))*CalibScalar*(1+VelocityUplift)</f>
        <v/>
      </c>
      <c r="Q1794" s="46" t="n">
        <v>0</v>
      </c>
      <c r="R1794" s="46">
        <f>P1794*O1794*M1794*N1794*H1794</f>
        <v/>
      </c>
      <c r="S1794" s="46">
        <f>R1794*INDEX(FmtCansPerCase,MATCH(F1794,FmtName,0))</f>
        <v/>
      </c>
      <c r="T1794" s="46">
        <f>S1794/INDEX(FmtCansPerPack,MATCH(F1794,FmtName,0))</f>
        <v/>
      </c>
      <c r="U1794" s="47">
        <f>INDEX(ChBaseCP,MATCH(E1794,ChName,0))*(1+INDEX(ProvMod,MATCH(G1794,ProvCode,0)))*(1+PriceIndex)</f>
        <v/>
      </c>
      <c r="V1794" s="47">
        <f>R1794*U1794*INDEX(FmtBlendedPriceIdx,MATCH(F1794,FmtName,0))</f>
        <v/>
      </c>
      <c r="W1794" s="47">
        <f>T1794*INDEX(ProvSRP,MATCH(G1794,ProvCode,0))*(1+PriceIndex)</f>
        <v/>
      </c>
      <c r="X1794" s="47">
        <f>IF(GrossBasis="Wholesale",V1794,W1794)</f>
        <v/>
      </c>
      <c r="Y1794" s="47">
        <f>R1794*INDEX(FmtBlendedCogs,MATCH(F1794,FmtName,0))</f>
        <v/>
      </c>
      <c r="Z1794" s="47">
        <f>X1794-Y1794</f>
        <v/>
      </c>
    </row>
    <row r="1795">
      <c r="A1795" t="n">
        <v>45</v>
      </c>
      <c r="B1795" s="44">
        <f>FiscalStart+(A1795-1)*7</f>
        <v/>
      </c>
      <c r="C1795">
        <f>TEXT(B1795,"mmm yyyy")</f>
        <v/>
      </c>
      <c r="D1795">
        <f>"Q"&amp;(INT((A1795-1)/13)+1)</f>
        <v/>
      </c>
      <c r="E1795" t="inlineStr">
        <is>
          <t>Costco</t>
        </is>
      </c>
      <c r="F1795">
        <f>IFERROR(INDEX(ChFormat,MATCH(E1795,ChName,0)),"")</f>
        <v/>
      </c>
      <c r="G1795" t="inlineStr">
        <is>
          <t>MB</t>
        </is>
      </c>
      <c r="H1795">
        <f>IF(A1795&lt;=NWeeks,1,0)</f>
        <v/>
      </c>
      <c r="I1795">
        <f>INDEX(ChLaunch,MATCH(E1795,ChName,0))</f>
        <v/>
      </c>
      <c r="J1795">
        <f>INDEX(ChWeeksFull,MATCH(E1795,ChName,0))</f>
        <v/>
      </c>
      <c r="K1795">
        <f>INDEX(ChRamp,MATCH(E1795,ChName,0))</f>
        <v/>
      </c>
      <c r="L1795" s="45">
        <f>MIN(1,MAX(0,(A1795-I1795+1)*RampSpeed/J1795))</f>
        <v/>
      </c>
      <c r="M1795" s="45">
        <f>IF(A1795&lt;I1795,0,IF(K1795="S-curve",L1795*L1795*(3-2*L1795),L1795))</f>
        <v/>
      </c>
      <c r="N1795" s="45">
        <f>1+(INDEX(SeasonIdx,A1795)-1)*SeasonAmp</f>
        <v/>
      </c>
      <c r="O1795" s="45">
        <f>IFERROR(INDEX(PSPct,MATCH(E1795&amp;"|"&amp;G1795,PSKey,0)),0)</f>
        <v/>
      </c>
      <c r="P1795" s="46">
        <f>INDEX(ChDoorVel,MATCH(E1795,ChName,0))*CalibScalar*(1+VelocityUplift)</f>
        <v/>
      </c>
      <c r="Q1795" s="46" t="n">
        <v>0</v>
      </c>
      <c r="R1795" s="46">
        <f>P1795*O1795*M1795*N1795*H1795</f>
        <v/>
      </c>
      <c r="S1795" s="46">
        <f>R1795*INDEX(FmtCansPerCase,MATCH(F1795,FmtName,0))</f>
        <v/>
      </c>
      <c r="T1795" s="46">
        <f>S1795/INDEX(FmtCansPerPack,MATCH(F1795,FmtName,0))</f>
        <v/>
      </c>
      <c r="U1795" s="47">
        <f>INDEX(ChBaseCP,MATCH(E1795,ChName,0))*(1+INDEX(ProvMod,MATCH(G1795,ProvCode,0)))*(1+PriceIndex)</f>
        <v/>
      </c>
      <c r="V1795" s="47">
        <f>R1795*U1795*INDEX(FmtBlendedPriceIdx,MATCH(F1795,FmtName,0))</f>
        <v/>
      </c>
      <c r="W1795" s="47">
        <f>T1795*INDEX(ProvSRP,MATCH(G1795,ProvCode,0))*(1+PriceIndex)</f>
        <v/>
      </c>
      <c r="X1795" s="47">
        <f>IF(GrossBasis="Wholesale",V1795,W1795)</f>
        <v/>
      </c>
      <c r="Y1795" s="47">
        <f>R1795*INDEX(FmtBlendedCogs,MATCH(F1795,FmtName,0))</f>
        <v/>
      </c>
      <c r="Z1795" s="47">
        <f>X1795-Y1795</f>
        <v/>
      </c>
    </row>
    <row r="1796">
      <c r="A1796" t="n">
        <v>46</v>
      </c>
      <c r="B1796" s="44">
        <f>FiscalStart+(A1796-1)*7</f>
        <v/>
      </c>
      <c r="C1796">
        <f>TEXT(B1796,"mmm yyyy")</f>
        <v/>
      </c>
      <c r="D1796">
        <f>"Q"&amp;(INT((A1796-1)/13)+1)</f>
        <v/>
      </c>
      <c r="E1796" t="inlineStr">
        <is>
          <t>Costco</t>
        </is>
      </c>
      <c r="F1796">
        <f>IFERROR(INDEX(ChFormat,MATCH(E1796,ChName,0)),"")</f>
        <v/>
      </c>
      <c r="G1796" t="inlineStr">
        <is>
          <t>MB</t>
        </is>
      </c>
      <c r="H1796">
        <f>IF(A1796&lt;=NWeeks,1,0)</f>
        <v/>
      </c>
      <c r="I1796">
        <f>INDEX(ChLaunch,MATCH(E1796,ChName,0))</f>
        <v/>
      </c>
      <c r="J1796">
        <f>INDEX(ChWeeksFull,MATCH(E1796,ChName,0))</f>
        <v/>
      </c>
      <c r="K1796">
        <f>INDEX(ChRamp,MATCH(E1796,ChName,0))</f>
        <v/>
      </c>
      <c r="L1796" s="45">
        <f>MIN(1,MAX(0,(A1796-I1796+1)*RampSpeed/J1796))</f>
        <v/>
      </c>
      <c r="M1796" s="45">
        <f>IF(A1796&lt;I1796,0,IF(K1796="S-curve",L1796*L1796*(3-2*L1796),L1796))</f>
        <v/>
      </c>
      <c r="N1796" s="45">
        <f>1+(INDEX(SeasonIdx,A1796)-1)*SeasonAmp</f>
        <v/>
      </c>
      <c r="O1796" s="45">
        <f>IFERROR(INDEX(PSPct,MATCH(E1796&amp;"|"&amp;G1796,PSKey,0)),0)</f>
        <v/>
      </c>
      <c r="P1796" s="46">
        <f>INDEX(ChDoorVel,MATCH(E1796,ChName,0))*CalibScalar*(1+VelocityUplift)</f>
        <v/>
      </c>
      <c r="Q1796" s="46" t="n">
        <v>0</v>
      </c>
      <c r="R1796" s="46">
        <f>P1796*O1796*M1796*N1796*H1796</f>
        <v/>
      </c>
      <c r="S1796" s="46">
        <f>R1796*INDEX(FmtCansPerCase,MATCH(F1796,FmtName,0))</f>
        <v/>
      </c>
      <c r="T1796" s="46">
        <f>S1796/INDEX(FmtCansPerPack,MATCH(F1796,FmtName,0))</f>
        <v/>
      </c>
      <c r="U1796" s="47">
        <f>INDEX(ChBaseCP,MATCH(E1796,ChName,0))*(1+INDEX(ProvMod,MATCH(G1796,ProvCode,0)))*(1+PriceIndex)</f>
        <v/>
      </c>
      <c r="V1796" s="47">
        <f>R1796*U1796*INDEX(FmtBlendedPriceIdx,MATCH(F1796,FmtName,0))</f>
        <v/>
      </c>
      <c r="W1796" s="47">
        <f>T1796*INDEX(ProvSRP,MATCH(G1796,ProvCode,0))*(1+PriceIndex)</f>
        <v/>
      </c>
      <c r="X1796" s="47">
        <f>IF(GrossBasis="Wholesale",V1796,W1796)</f>
        <v/>
      </c>
      <c r="Y1796" s="47">
        <f>R1796*INDEX(FmtBlendedCogs,MATCH(F1796,FmtName,0))</f>
        <v/>
      </c>
      <c r="Z1796" s="47">
        <f>X1796-Y1796</f>
        <v/>
      </c>
    </row>
    <row r="1797">
      <c r="A1797" t="n">
        <v>47</v>
      </c>
      <c r="B1797" s="44">
        <f>FiscalStart+(A1797-1)*7</f>
        <v/>
      </c>
      <c r="C1797">
        <f>TEXT(B1797,"mmm yyyy")</f>
        <v/>
      </c>
      <c r="D1797">
        <f>"Q"&amp;(INT((A1797-1)/13)+1)</f>
        <v/>
      </c>
      <c r="E1797" t="inlineStr">
        <is>
          <t>Costco</t>
        </is>
      </c>
      <c r="F1797">
        <f>IFERROR(INDEX(ChFormat,MATCH(E1797,ChName,0)),"")</f>
        <v/>
      </c>
      <c r="G1797" t="inlineStr">
        <is>
          <t>MB</t>
        </is>
      </c>
      <c r="H1797">
        <f>IF(A1797&lt;=NWeeks,1,0)</f>
        <v/>
      </c>
      <c r="I1797">
        <f>INDEX(ChLaunch,MATCH(E1797,ChName,0))</f>
        <v/>
      </c>
      <c r="J1797">
        <f>INDEX(ChWeeksFull,MATCH(E1797,ChName,0))</f>
        <v/>
      </c>
      <c r="K1797">
        <f>INDEX(ChRamp,MATCH(E1797,ChName,0))</f>
        <v/>
      </c>
      <c r="L1797" s="45">
        <f>MIN(1,MAX(0,(A1797-I1797+1)*RampSpeed/J1797))</f>
        <v/>
      </c>
      <c r="M1797" s="45">
        <f>IF(A1797&lt;I1797,0,IF(K1797="S-curve",L1797*L1797*(3-2*L1797),L1797))</f>
        <v/>
      </c>
      <c r="N1797" s="45">
        <f>1+(INDEX(SeasonIdx,A1797)-1)*SeasonAmp</f>
        <v/>
      </c>
      <c r="O1797" s="45">
        <f>IFERROR(INDEX(PSPct,MATCH(E1797&amp;"|"&amp;G1797,PSKey,0)),0)</f>
        <v/>
      </c>
      <c r="P1797" s="46">
        <f>INDEX(ChDoorVel,MATCH(E1797,ChName,0))*CalibScalar*(1+VelocityUplift)</f>
        <v/>
      </c>
      <c r="Q1797" s="46" t="n">
        <v>0</v>
      </c>
      <c r="R1797" s="46">
        <f>P1797*O1797*M1797*N1797*H1797</f>
        <v/>
      </c>
      <c r="S1797" s="46">
        <f>R1797*INDEX(FmtCansPerCase,MATCH(F1797,FmtName,0))</f>
        <v/>
      </c>
      <c r="T1797" s="46">
        <f>S1797/INDEX(FmtCansPerPack,MATCH(F1797,FmtName,0))</f>
        <v/>
      </c>
      <c r="U1797" s="47">
        <f>INDEX(ChBaseCP,MATCH(E1797,ChName,0))*(1+INDEX(ProvMod,MATCH(G1797,ProvCode,0)))*(1+PriceIndex)</f>
        <v/>
      </c>
      <c r="V1797" s="47">
        <f>R1797*U1797*INDEX(FmtBlendedPriceIdx,MATCH(F1797,FmtName,0))</f>
        <v/>
      </c>
      <c r="W1797" s="47">
        <f>T1797*INDEX(ProvSRP,MATCH(G1797,ProvCode,0))*(1+PriceIndex)</f>
        <v/>
      </c>
      <c r="X1797" s="47">
        <f>IF(GrossBasis="Wholesale",V1797,W1797)</f>
        <v/>
      </c>
      <c r="Y1797" s="47">
        <f>R1797*INDEX(FmtBlendedCogs,MATCH(F1797,FmtName,0))</f>
        <v/>
      </c>
      <c r="Z1797" s="47">
        <f>X1797-Y1797</f>
        <v/>
      </c>
    </row>
    <row r="1798">
      <c r="A1798" t="n">
        <v>48</v>
      </c>
      <c r="B1798" s="44">
        <f>FiscalStart+(A1798-1)*7</f>
        <v/>
      </c>
      <c r="C1798">
        <f>TEXT(B1798,"mmm yyyy")</f>
        <v/>
      </c>
      <c r="D1798">
        <f>"Q"&amp;(INT((A1798-1)/13)+1)</f>
        <v/>
      </c>
      <c r="E1798" t="inlineStr">
        <is>
          <t>Costco</t>
        </is>
      </c>
      <c r="F1798">
        <f>IFERROR(INDEX(ChFormat,MATCH(E1798,ChName,0)),"")</f>
        <v/>
      </c>
      <c r="G1798" t="inlineStr">
        <is>
          <t>MB</t>
        </is>
      </c>
      <c r="H1798">
        <f>IF(A1798&lt;=NWeeks,1,0)</f>
        <v/>
      </c>
      <c r="I1798">
        <f>INDEX(ChLaunch,MATCH(E1798,ChName,0))</f>
        <v/>
      </c>
      <c r="J1798">
        <f>INDEX(ChWeeksFull,MATCH(E1798,ChName,0))</f>
        <v/>
      </c>
      <c r="K1798">
        <f>INDEX(ChRamp,MATCH(E1798,ChName,0))</f>
        <v/>
      </c>
      <c r="L1798" s="45">
        <f>MIN(1,MAX(0,(A1798-I1798+1)*RampSpeed/J1798))</f>
        <v/>
      </c>
      <c r="M1798" s="45">
        <f>IF(A1798&lt;I1798,0,IF(K1798="S-curve",L1798*L1798*(3-2*L1798),L1798))</f>
        <v/>
      </c>
      <c r="N1798" s="45">
        <f>1+(INDEX(SeasonIdx,A1798)-1)*SeasonAmp</f>
        <v/>
      </c>
      <c r="O1798" s="45">
        <f>IFERROR(INDEX(PSPct,MATCH(E1798&amp;"|"&amp;G1798,PSKey,0)),0)</f>
        <v/>
      </c>
      <c r="P1798" s="46">
        <f>INDEX(ChDoorVel,MATCH(E1798,ChName,0))*CalibScalar*(1+VelocityUplift)</f>
        <v/>
      </c>
      <c r="Q1798" s="46" t="n">
        <v>0</v>
      </c>
      <c r="R1798" s="46">
        <f>P1798*O1798*M1798*N1798*H1798</f>
        <v/>
      </c>
      <c r="S1798" s="46">
        <f>R1798*INDEX(FmtCansPerCase,MATCH(F1798,FmtName,0))</f>
        <v/>
      </c>
      <c r="T1798" s="46">
        <f>S1798/INDEX(FmtCansPerPack,MATCH(F1798,FmtName,0))</f>
        <v/>
      </c>
      <c r="U1798" s="47">
        <f>INDEX(ChBaseCP,MATCH(E1798,ChName,0))*(1+INDEX(ProvMod,MATCH(G1798,ProvCode,0)))*(1+PriceIndex)</f>
        <v/>
      </c>
      <c r="V1798" s="47">
        <f>R1798*U1798*INDEX(FmtBlendedPriceIdx,MATCH(F1798,FmtName,0))</f>
        <v/>
      </c>
      <c r="W1798" s="47">
        <f>T1798*INDEX(ProvSRP,MATCH(G1798,ProvCode,0))*(1+PriceIndex)</f>
        <v/>
      </c>
      <c r="X1798" s="47">
        <f>IF(GrossBasis="Wholesale",V1798,W1798)</f>
        <v/>
      </c>
      <c r="Y1798" s="47">
        <f>R1798*INDEX(FmtBlendedCogs,MATCH(F1798,FmtName,0))</f>
        <v/>
      </c>
      <c r="Z1798" s="47">
        <f>X1798-Y1798</f>
        <v/>
      </c>
    </row>
    <row r="1799">
      <c r="A1799" t="n">
        <v>49</v>
      </c>
      <c r="B1799" s="44">
        <f>FiscalStart+(A1799-1)*7</f>
        <v/>
      </c>
      <c r="C1799">
        <f>TEXT(B1799,"mmm yyyy")</f>
        <v/>
      </c>
      <c r="D1799">
        <f>"Q"&amp;(INT((A1799-1)/13)+1)</f>
        <v/>
      </c>
      <c r="E1799" t="inlineStr">
        <is>
          <t>Costco</t>
        </is>
      </c>
      <c r="F1799">
        <f>IFERROR(INDEX(ChFormat,MATCH(E1799,ChName,0)),"")</f>
        <v/>
      </c>
      <c r="G1799" t="inlineStr">
        <is>
          <t>MB</t>
        </is>
      </c>
      <c r="H1799">
        <f>IF(A1799&lt;=NWeeks,1,0)</f>
        <v/>
      </c>
      <c r="I1799">
        <f>INDEX(ChLaunch,MATCH(E1799,ChName,0))</f>
        <v/>
      </c>
      <c r="J1799">
        <f>INDEX(ChWeeksFull,MATCH(E1799,ChName,0))</f>
        <v/>
      </c>
      <c r="K1799">
        <f>INDEX(ChRamp,MATCH(E1799,ChName,0))</f>
        <v/>
      </c>
      <c r="L1799" s="45">
        <f>MIN(1,MAX(0,(A1799-I1799+1)*RampSpeed/J1799))</f>
        <v/>
      </c>
      <c r="M1799" s="45">
        <f>IF(A1799&lt;I1799,0,IF(K1799="S-curve",L1799*L1799*(3-2*L1799),L1799))</f>
        <v/>
      </c>
      <c r="N1799" s="45">
        <f>1+(INDEX(SeasonIdx,A1799)-1)*SeasonAmp</f>
        <v/>
      </c>
      <c r="O1799" s="45">
        <f>IFERROR(INDEX(PSPct,MATCH(E1799&amp;"|"&amp;G1799,PSKey,0)),0)</f>
        <v/>
      </c>
      <c r="P1799" s="46">
        <f>INDEX(ChDoorVel,MATCH(E1799,ChName,0))*CalibScalar*(1+VelocityUplift)</f>
        <v/>
      </c>
      <c r="Q1799" s="46" t="n">
        <v>0</v>
      </c>
      <c r="R1799" s="46">
        <f>P1799*O1799*M1799*N1799*H1799</f>
        <v/>
      </c>
      <c r="S1799" s="46">
        <f>R1799*INDEX(FmtCansPerCase,MATCH(F1799,FmtName,0))</f>
        <v/>
      </c>
      <c r="T1799" s="46">
        <f>S1799/INDEX(FmtCansPerPack,MATCH(F1799,FmtName,0))</f>
        <v/>
      </c>
      <c r="U1799" s="47">
        <f>INDEX(ChBaseCP,MATCH(E1799,ChName,0))*(1+INDEX(ProvMod,MATCH(G1799,ProvCode,0)))*(1+PriceIndex)</f>
        <v/>
      </c>
      <c r="V1799" s="47">
        <f>R1799*U1799*INDEX(FmtBlendedPriceIdx,MATCH(F1799,FmtName,0))</f>
        <v/>
      </c>
      <c r="W1799" s="47">
        <f>T1799*INDEX(ProvSRP,MATCH(G1799,ProvCode,0))*(1+PriceIndex)</f>
        <v/>
      </c>
      <c r="X1799" s="47">
        <f>IF(GrossBasis="Wholesale",V1799,W1799)</f>
        <v/>
      </c>
      <c r="Y1799" s="47">
        <f>R1799*INDEX(FmtBlendedCogs,MATCH(F1799,FmtName,0))</f>
        <v/>
      </c>
      <c r="Z1799" s="47">
        <f>X1799-Y1799</f>
        <v/>
      </c>
    </row>
    <row r="1800">
      <c r="A1800" t="n">
        <v>50</v>
      </c>
      <c r="B1800" s="44">
        <f>FiscalStart+(A1800-1)*7</f>
        <v/>
      </c>
      <c r="C1800">
        <f>TEXT(B1800,"mmm yyyy")</f>
        <v/>
      </c>
      <c r="D1800">
        <f>"Q"&amp;(INT((A1800-1)/13)+1)</f>
        <v/>
      </c>
      <c r="E1800" t="inlineStr">
        <is>
          <t>Costco</t>
        </is>
      </c>
      <c r="F1800">
        <f>IFERROR(INDEX(ChFormat,MATCH(E1800,ChName,0)),"")</f>
        <v/>
      </c>
      <c r="G1800" t="inlineStr">
        <is>
          <t>MB</t>
        </is>
      </c>
      <c r="H1800">
        <f>IF(A1800&lt;=NWeeks,1,0)</f>
        <v/>
      </c>
      <c r="I1800">
        <f>INDEX(ChLaunch,MATCH(E1800,ChName,0))</f>
        <v/>
      </c>
      <c r="J1800">
        <f>INDEX(ChWeeksFull,MATCH(E1800,ChName,0))</f>
        <v/>
      </c>
      <c r="K1800">
        <f>INDEX(ChRamp,MATCH(E1800,ChName,0))</f>
        <v/>
      </c>
      <c r="L1800" s="45">
        <f>MIN(1,MAX(0,(A1800-I1800+1)*RampSpeed/J1800))</f>
        <v/>
      </c>
      <c r="M1800" s="45">
        <f>IF(A1800&lt;I1800,0,IF(K1800="S-curve",L1800*L1800*(3-2*L1800),L1800))</f>
        <v/>
      </c>
      <c r="N1800" s="45">
        <f>1+(INDEX(SeasonIdx,A1800)-1)*SeasonAmp</f>
        <v/>
      </c>
      <c r="O1800" s="45">
        <f>IFERROR(INDEX(PSPct,MATCH(E1800&amp;"|"&amp;G1800,PSKey,0)),0)</f>
        <v/>
      </c>
      <c r="P1800" s="46">
        <f>INDEX(ChDoorVel,MATCH(E1800,ChName,0))*CalibScalar*(1+VelocityUplift)</f>
        <v/>
      </c>
      <c r="Q1800" s="46" t="n">
        <v>0</v>
      </c>
      <c r="R1800" s="46">
        <f>P1800*O1800*M1800*N1800*H1800</f>
        <v/>
      </c>
      <c r="S1800" s="46">
        <f>R1800*INDEX(FmtCansPerCase,MATCH(F1800,FmtName,0))</f>
        <v/>
      </c>
      <c r="T1800" s="46">
        <f>S1800/INDEX(FmtCansPerPack,MATCH(F1800,FmtName,0))</f>
        <v/>
      </c>
      <c r="U1800" s="47">
        <f>INDEX(ChBaseCP,MATCH(E1800,ChName,0))*(1+INDEX(ProvMod,MATCH(G1800,ProvCode,0)))*(1+PriceIndex)</f>
        <v/>
      </c>
      <c r="V1800" s="47">
        <f>R1800*U1800*INDEX(FmtBlendedPriceIdx,MATCH(F1800,FmtName,0))</f>
        <v/>
      </c>
      <c r="W1800" s="47">
        <f>T1800*INDEX(ProvSRP,MATCH(G1800,ProvCode,0))*(1+PriceIndex)</f>
        <v/>
      </c>
      <c r="X1800" s="47">
        <f>IF(GrossBasis="Wholesale",V1800,W1800)</f>
        <v/>
      </c>
      <c r="Y1800" s="47">
        <f>R1800*INDEX(FmtBlendedCogs,MATCH(F1800,FmtName,0))</f>
        <v/>
      </c>
      <c r="Z1800" s="47">
        <f>X1800-Y1800</f>
        <v/>
      </c>
    </row>
    <row r="1801">
      <c r="A1801" t="n">
        <v>51</v>
      </c>
      <c r="B1801" s="44">
        <f>FiscalStart+(A1801-1)*7</f>
        <v/>
      </c>
      <c r="C1801">
        <f>TEXT(B1801,"mmm yyyy")</f>
        <v/>
      </c>
      <c r="D1801">
        <f>"Q"&amp;(INT((A1801-1)/13)+1)</f>
        <v/>
      </c>
      <c r="E1801" t="inlineStr">
        <is>
          <t>Costco</t>
        </is>
      </c>
      <c r="F1801">
        <f>IFERROR(INDEX(ChFormat,MATCH(E1801,ChName,0)),"")</f>
        <v/>
      </c>
      <c r="G1801" t="inlineStr">
        <is>
          <t>MB</t>
        </is>
      </c>
      <c r="H1801">
        <f>IF(A1801&lt;=NWeeks,1,0)</f>
        <v/>
      </c>
      <c r="I1801">
        <f>INDEX(ChLaunch,MATCH(E1801,ChName,0))</f>
        <v/>
      </c>
      <c r="J1801">
        <f>INDEX(ChWeeksFull,MATCH(E1801,ChName,0))</f>
        <v/>
      </c>
      <c r="K1801">
        <f>INDEX(ChRamp,MATCH(E1801,ChName,0))</f>
        <v/>
      </c>
      <c r="L1801" s="45">
        <f>MIN(1,MAX(0,(A1801-I1801+1)*RampSpeed/J1801))</f>
        <v/>
      </c>
      <c r="M1801" s="45">
        <f>IF(A1801&lt;I1801,0,IF(K1801="S-curve",L1801*L1801*(3-2*L1801),L1801))</f>
        <v/>
      </c>
      <c r="N1801" s="45">
        <f>1+(INDEX(SeasonIdx,A1801)-1)*SeasonAmp</f>
        <v/>
      </c>
      <c r="O1801" s="45">
        <f>IFERROR(INDEX(PSPct,MATCH(E1801&amp;"|"&amp;G1801,PSKey,0)),0)</f>
        <v/>
      </c>
      <c r="P1801" s="46">
        <f>INDEX(ChDoorVel,MATCH(E1801,ChName,0))*CalibScalar*(1+VelocityUplift)</f>
        <v/>
      </c>
      <c r="Q1801" s="46" t="n">
        <v>0</v>
      </c>
      <c r="R1801" s="46">
        <f>P1801*O1801*M1801*N1801*H1801</f>
        <v/>
      </c>
      <c r="S1801" s="46">
        <f>R1801*INDEX(FmtCansPerCase,MATCH(F1801,FmtName,0))</f>
        <v/>
      </c>
      <c r="T1801" s="46">
        <f>S1801/INDEX(FmtCansPerPack,MATCH(F1801,FmtName,0))</f>
        <v/>
      </c>
      <c r="U1801" s="47">
        <f>INDEX(ChBaseCP,MATCH(E1801,ChName,0))*(1+INDEX(ProvMod,MATCH(G1801,ProvCode,0)))*(1+PriceIndex)</f>
        <v/>
      </c>
      <c r="V1801" s="47">
        <f>R1801*U1801*INDEX(FmtBlendedPriceIdx,MATCH(F1801,FmtName,0))</f>
        <v/>
      </c>
      <c r="W1801" s="47">
        <f>T1801*INDEX(ProvSRP,MATCH(G1801,ProvCode,0))*(1+PriceIndex)</f>
        <v/>
      </c>
      <c r="X1801" s="47">
        <f>IF(GrossBasis="Wholesale",V1801,W1801)</f>
        <v/>
      </c>
      <c r="Y1801" s="47">
        <f>R1801*INDEX(FmtBlendedCogs,MATCH(F1801,FmtName,0))</f>
        <v/>
      </c>
      <c r="Z1801" s="47">
        <f>X1801-Y1801</f>
        <v/>
      </c>
    </row>
    <row r="1802">
      <c r="A1802" t="n">
        <v>52</v>
      </c>
      <c r="B1802" s="44">
        <f>FiscalStart+(A1802-1)*7</f>
        <v/>
      </c>
      <c r="C1802">
        <f>TEXT(B1802,"mmm yyyy")</f>
        <v/>
      </c>
      <c r="D1802">
        <f>"Q"&amp;(INT((A1802-1)/13)+1)</f>
        <v/>
      </c>
      <c r="E1802" t="inlineStr">
        <is>
          <t>Costco</t>
        </is>
      </c>
      <c r="F1802">
        <f>IFERROR(INDEX(ChFormat,MATCH(E1802,ChName,0)),"")</f>
        <v/>
      </c>
      <c r="G1802" t="inlineStr">
        <is>
          <t>MB</t>
        </is>
      </c>
      <c r="H1802">
        <f>IF(A1802&lt;=NWeeks,1,0)</f>
        <v/>
      </c>
      <c r="I1802">
        <f>INDEX(ChLaunch,MATCH(E1802,ChName,0))</f>
        <v/>
      </c>
      <c r="J1802">
        <f>INDEX(ChWeeksFull,MATCH(E1802,ChName,0))</f>
        <v/>
      </c>
      <c r="K1802">
        <f>INDEX(ChRamp,MATCH(E1802,ChName,0))</f>
        <v/>
      </c>
      <c r="L1802" s="45">
        <f>MIN(1,MAX(0,(A1802-I1802+1)*RampSpeed/J1802))</f>
        <v/>
      </c>
      <c r="M1802" s="45">
        <f>IF(A1802&lt;I1802,0,IF(K1802="S-curve",L1802*L1802*(3-2*L1802),L1802))</f>
        <v/>
      </c>
      <c r="N1802" s="45">
        <f>1+(INDEX(SeasonIdx,A1802)-1)*SeasonAmp</f>
        <v/>
      </c>
      <c r="O1802" s="45">
        <f>IFERROR(INDEX(PSPct,MATCH(E1802&amp;"|"&amp;G1802,PSKey,0)),0)</f>
        <v/>
      </c>
      <c r="P1802" s="46">
        <f>INDEX(ChDoorVel,MATCH(E1802,ChName,0))*CalibScalar*(1+VelocityUplift)</f>
        <v/>
      </c>
      <c r="Q1802" s="46" t="n">
        <v>0</v>
      </c>
      <c r="R1802" s="46">
        <f>P1802*O1802*M1802*N1802*H1802</f>
        <v/>
      </c>
      <c r="S1802" s="46">
        <f>R1802*INDEX(FmtCansPerCase,MATCH(F1802,FmtName,0))</f>
        <v/>
      </c>
      <c r="T1802" s="46">
        <f>S1802/INDEX(FmtCansPerPack,MATCH(F1802,FmtName,0))</f>
        <v/>
      </c>
      <c r="U1802" s="47">
        <f>INDEX(ChBaseCP,MATCH(E1802,ChName,0))*(1+INDEX(ProvMod,MATCH(G1802,ProvCode,0)))*(1+PriceIndex)</f>
        <v/>
      </c>
      <c r="V1802" s="47">
        <f>R1802*U1802*INDEX(FmtBlendedPriceIdx,MATCH(F1802,FmtName,0))</f>
        <v/>
      </c>
      <c r="W1802" s="47">
        <f>T1802*INDEX(ProvSRP,MATCH(G1802,ProvCode,0))*(1+PriceIndex)</f>
        <v/>
      </c>
      <c r="X1802" s="47">
        <f>IF(GrossBasis="Wholesale",V1802,W1802)</f>
        <v/>
      </c>
      <c r="Y1802" s="47">
        <f>R1802*INDEX(FmtBlendedCogs,MATCH(F1802,FmtName,0))</f>
        <v/>
      </c>
      <c r="Z1802" s="47">
        <f>X1802-Y1802</f>
        <v/>
      </c>
    </row>
    <row r="1803">
      <c r="A1803" t="n">
        <v>53</v>
      </c>
      <c r="B1803" s="44">
        <f>FiscalStart+(A1803-1)*7</f>
        <v/>
      </c>
      <c r="C1803">
        <f>TEXT(B1803,"mmm yyyy")</f>
        <v/>
      </c>
      <c r="D1803">
        <f>"Q"&amp;(INT((A1803-1)/13)+1)</f>
        <v/>
      </c>
      <c r="E1803" t="inlineStr">
        <is>
          <t>Costco</t>
        </is>
      </c>
      <c r="F1803">
        <f>IFERROR(INDEX(ChFormat,MATCH(E1803,ChName,0)),"")</f>
        <v/>
      </c>
      <c r="G1803" t="inlineStr">
        <is>
          <t>MB</t>
        </is>
      </c>
      <c r="H1803">
        <f>IF(A1803&lt;=NWeeks,1,0)</f>
        <v/>
      </c>
      <c r="I1803">
        <f>INDEX(ChLaunch,MATCH(E1803,ChName,0))</f>
        <v/>
      </c>
      <c r="J1803">
        <f>INDEX(ChWeeksFull,MATCH(E1803,ChName,0))</f>
        <v/>
      </c>
      <c r="K1803">
        <f>INDEX(ChRamp,MATCH(E1803,ChName,0))</f>
        <v/>
      </c>
      <c r="L1803" s="45">
        <f>MIN(1,MAX(0,(A1803-I1803+1)*RampSpeed/J1803))</f>
        <v/>
      </c>
      <c r="M1803" s="45">
        <f>IF(A1803&lt;I1803,0,IF(K1803="S-curve",L1803*L1803*(3-2*L1803),L1803))</f>
        <v/>
      </c>
      <c r="N1803" s="45">
        <f>1+(INDEX(SeasonIdx,A1803)-1)*SeasonAmp</f>
        <v/>
      </c>
      <c r="O1803" s="45">
        <f>IFERROR(INDEX(PSPct,MATCH(E1803&amp;"|"&amp;G1803,PSKey,0)),0)</f>
        <v/>
      </c>
      <c r="P1803" s="46">
        <f>INDEX(ChDoorVel,MATCH(E1803,ChName,0))*CalibScalar*(1+VelocityUplift)</f>
        <v/>
      </c>
      <c r="Q1803" s="46" t="n">
        <v>0</v>
      </c>
      <c r="R1803" s="46">
        <f>P1803*O1803*M1803*N1803*H1803</f>
        <v/>
      </c>
      <c r="S1803" s="46">
        <f>R1803*INDEX(FmtCansPerCase,MATCH(F1803,FmtName,0))</f>
        <v/>
      </c>
      <c r="T1803" s="46">
        <f>S1803/INDEX(FmtCansPerPack,MATCH(F1803,FmtName,0))</f>
        <v/>
      </c>
      <c r="U1803" s="47">
        <f>INDEX(ChBaseCP,MATCH(E1803,ChName,0))*(1+INDEX(ProvMod,MATCH(G1803,ProvCode,0)))*(1+PriceIndex)</f>
        <v/>
      </c>
      <c r="V1803" s="47">
        <f>R1803*U1803*INDEX(FmtBlendedPriceIdx,MATCH(F1803,FmtName,0))</f>
        <v/>
      </c>
      <c r="W1803" s="47">
        <f>T1803*INDEX(ProvSRP,MATCH(G1803,ProvCode,0))*(1+PriceIndex)</f>
        <v/>
      </c>
      <c r="X1803" s="47">
        <f>IF(GrossBasis="Wholesale",V1803,W1803)</f>
        <v/>
      </c>
      <c r="Y1803" s="47">
        <f>R1803*INDEX(FmtBlendedCogs,MATCH(F1803,FmtName,0))</f>
        <v/>
      </c>
      <c r="Z1803" s="47">
        <f>X1803-Y1803</f>
        <v/>
      </c>
    </row>
    <row r="1804">
      <c r="A1804" t="n">
        <v>1</v>
      </c>
      <c r="B1804" s="44">
        <f>FiscalStart+(A1804-1)*7</f>
        <v/>
      </c>
      <c r="C1804">
        <f>TEXT(B1804,"mmm yyyy")</f>
        <v/>
      </c>
      <c r="D1804">
        <f>"Q"&amp;(INT((A1804-1)/13)+1)</f>
        <v/>
      </c>
      <c r="E1804" t="inlineStr">
        <is>
          <t>Costco</t>
        </is>
      </c>
      <c r="F1804">
        <f>IFERROR(INDEX(ChFormat,MATCH(E1804,ChName,0)),"")</f>
        <v/>
      </c>
      <c r="G1804" t="inlineStr">
        <is>
          <t>ON</t>
        </is>
      </c>
      <c r="H1804">
        <f>IF(A1804&lt;=NWeeks,1,0)</f>
        <v/>
      </c>
      <c r="I1804">
        <f>INDEX(ChLaunch,MATCH(E1804,ChName,0))</f>
        <v/>
      </c>
      <c r="J1804">
        <f>INDEX(ChWeeksFull,MATCH(E1804,ChName,0))</f>
        <v/>
      </c>
      <c r="K1804">
        <f>INDEX(ChRamp,MATCH(E1804,ChName,0))</f>
        <v/>
      </c>
      <c r="L1804" s="45">
        <f>MIN(1,MAX(0,(A1804-I1804+1)*RampSpeed/J1804))</f>
        <v/>
      </c>
      <c r="M1804" s="45">
        <f>IF(A1804&lt;I1804,0,IF(K1804="S-curve",L1804*L1804*(3-2*L1804),L1804))</f>
        <v/>
      </c>
      <c r="N1804" s="45">
        <f>1+(INDEX(SeasonIdx,A1804)-1)*SeasonAmp</f>
        <v/>
      </c>
      <c r="O1804" s="45">
        <f>IFERROR(INDEX(PSPct,MATCH(E1804&amp;"|"&amp;G1804,PSKey,0)),0)</f>
        <v/>
      </c>
      <c r="P1804" s="46">
        <f>INDEX(ChDoorVel,MATCH(E1804,ChName,0))*CalibScalar*(1+VelocityUplift)</f>
        <v/>
      </c>
      <c r="Q1804" s="46" t="n">
        <v>0</v>
      </c>
      <c r="R1804" s="46">
        <f>P1804*O1804*M1804*N1804*H1804</f>
        <v/>
      </c>
      <c r="S1804" s="46">
        <f>R1804*INDEX(FmtCansPerCase,MATCH(F1804,FmtName,0))</f>
        <v/>
      </c>
      <c r="T1804" s="46">
        <f>S1804/INDEX(FmtCansPerPack,MATCH(F1804,FmtName,0))</f>
        <v/>
      </c>
      <c r="U1804" s="47">
        <f>INDEX(ChBaseCP,MATCH(E1804,ChName,0))*(1+INDEX(ProvMod,MATCH(G1804,ProvCode,0)))*(1+PriceIndex)</f>
        <v/>
      </c>
      <c r="V1804" s="47">
        <f>R1804*U1804*INDEX(FmtBlendedPriceIdx,MATCH(F1804,FmtName,0))</f>
        <v/>
      </c>
      <c r="W1804" s="47">
        <f>T1804*INDEX(ProvSRP,MATCH(G1804,ProvCode,0))*(1+PriceIndex)</f>
        <v/>
      </c>
      <c r="X1804" s="47">
        <f>IF(GrossBasis="Wholesale",V1804,W1804)</f>
        <v/>
      </c>
      <c r="Y1804" s="47">
        <f>R1804*INDEX(FmtBlendedCogs,MATCH(F1804,FmtName,0))</f>
        <v/>
      </c>
      <c r="Z1804" s="47">
        <f>X1804-Y1804</f>
        <v/>
      </c>
    </row>
    <row r="1805">
      <c r="A1805" t="n">
        <v>2</v>
      </c>
      <c r="B1805" s="44">
        <f>FiscalStart+(A1805-1)*7</f>
        <v/>
      </c>
      <c r="C1805">
        <f>TEXT(B1805,"mmm yyyy")</f>
        <v/>
      </c>
      <c r="D1805">
        <f>"Q"&amp;(INT((A1805-1)/13)+1)</f>
        <v/>
      </c>
      <c r="E1805" t="inlineStr">
        <is>
          <t>Costco</t>
        </is>
      </c>
      <c r="F1805">
        <f>IFERROR(INDEX(ChFormat,MATCH(E1805,ChName,0)),"")</f>
        <v/>
      </c>
      <c r="G1805" t="inlineStr">
        <is>
          <t>ON</t>
        </is>
      </c>
      <c r="H1805">
        <f>IF(A1805&lt;=NWeeks,1,0)</f>
        <v/>
      </c>
      <c r="I1805">
        <f>INDEX(ChLaunch,MATCH(E1805,ChName,0))</f>
        <v/>
      </c>
      <c r="J1805">
        <f>INDEX(ChWeeksFull,MATCH(E1805,ChName,0))</f>
        <v/>
      </c>
      <c r="K1805">
        <f>INDEX(ChRamp,MATCH(E1805,ChName,0))</f>
        <v/>
      </c>
      <c r="L1805" s="45">
        <f>MIN(1,MAX(0,(A1805-I1805+1)*RampSpeed/J1805))</f>
        <v/>
      </c>
      <c r="M1805" s="45">
        <f>IF(A1805&lt;I1805,0,IF(K1805="S-curve",L1805*L1805*(3-2*L1805),L1805))</f>
        <v/>
      </c>
      <c r="N1805" s="45">
        <f>1+(INDEX(SeasonIdx,A1805)-1)*SeasonAmp</f>
        <v/>
      </c>
      <c r="O1805" s="45">
        <f>IFERROR(INDEX(PSPct,MATCH(E1805&amp;"|"&amp;G1805,PSKey,0)),0)</f>
        <v/>
      </c>
      <c r="P1805" s="46">
        <f>INDEX(ChDoorVel,MATCH(E1805,ChName,0))*CalibScalar*(1+VelocityUplift)</f>
        <v/>
      </c>
      <c r="Q1805" s="46" t="n">
        <v>0</v>
      </c>
      <c r="R1805" s="46">
        <f>P1805*O1805*M1805*N1805*H1805</f>
        <v/>
      </c>
      <c r="S1805" s="46">
        <f>R1805*INDEX(FmtCansPerCase,MATCH(F1805,FmtName,0))</f>
        <v/>
      </c>
      <c r="T1805" s="46">
        <f>S1805/INDEX(FmtCansPerPack,MATCH(F1805,FmtName,0))</f>
        <v/>
      </c>
      <c r="U1805" s="47">
        <f>INDEX(ChBaseCP,MATCH(E1805,ChName,0))*(1+INDEX(ProvMod,MATCH(G1805,ProvCode,0)))*(1+PriceIndex)</f>
        <v/>
      </c>
      <c r="V1805" s="47">
        <f>R1805*U1805*INDEX(FmtBlendedPriceIdx,MATCH(F1805,FmtName,0))</f>
        <v/>
      </c>
      <c r="W1805" s="47">
        <f>T1805*INDEX(ProvSRP,MATCH(G1805,ProvCode,0))*(1+PriceIndex)</f>
        <v/>
      </c>
      <c r="X1805" s="47">
        <f>IF(GrossBasis="Wholesale",V1805,W1805)</f>
        <v/>
      </c>
      <c r="Y1805" s="47">
        <f>R1805*INDEX(FmtBlendedCogs,MATCH(F1805,FmtName,0))</f>
        <v/>
      </c>
      <c r="Z1805" s="47">
        <f>X1805-Y1805</f>
        <v/>
      </c>
    </row>
    <row r="1806">
      <c r="A1806" t="n">
        <v>3</v>
      </c>
      <c r="B1806" s="44">
        <f>FiscalStart+(A1806-1)*7</f>
        <v/>
      </c>
      <c r="C1806">
        <f>TEXT(B1806,"mmm yyyy")</f>
        <v/>
      </c>
      <c r="D1806">
        <f>"Q"&amp;(INT((A1806-1)/13)+1)</f>
        <v/>
      </c>
      <c r="E1806" t="inlineStr">
        <is>
          <t>Costco</t>
        </is>
      </c>
      <c r="F1806">
        <f>IFERROR(INDEX(ChFormat,MATCH(E1806,ChName,0)),"")</f>
        <v/>
      </c>
      <c r="G1806" t="inlineStr">
        <is>
          <t>ON</t>
        </is>
      </c>
      <c r="H1806">
        <f>IF(A1806&lt;=NWeeks,1,0)</f>
        <v/>
      </c>
      <c r="I1806">
        <f>INDEX(ChLaunch,MATCH(E1806,ChName,0))</f>
        <v/>
      </c>
      <c r="J1806">
        <f>INDEX(ChWeeksFull,MATCH(E1806,ChName,0))</f>
        <v/>
      </c>
      <c r="K1806">
        <f>INDEX(ChRamp,MATCH(E1806,ChName,0))</f>
        <v/>
      </c>
      <c r="L1806" s="45">
        <f>MIN(1,MAX(0,(A1806-I1806+1)*RampSpeed/J1806))</f>
        <v/>
      </c>
      <c r="M1806" s="45">
        <f>IF(A1806&lt;I1806,0,IF(K1806="S-curve",L1806*L1806*(3-2*L1806),L1806))</f>
        <v/>
      </c>
      <c r="N1806" s="45">
        <f>1+(INDEX(SeasonIdx,A1806)-1)*SeasonAmp</f>
        <v/>
      </c>
      <c r="O1806" s="45">
        <f>IFERROR(INDEX(PSPct,MATCH(E1806&amp;"|"&amp;G1806,PSKey,0)),0)</f>
        <v/>
      </c>
      <c r="P1806" s="46">
        <f>INDEX(ChDoorVel,MATCH(E1806,ChName,0))*CalibScalar*(1+VelocityUplift)</f>
        <v/>
      </c>
      <c r="Q1806" s="46" t="n">
        <v>0</v>
      </c>
      <c r="R1806" s="46">
        <f>P1806*O1806*M1806*N1806*H1806</f>
        <v/>
      </c>
      <c r="S1806" s="46">
        <f>R1806*INDEX(FmtCansPerCase,MATCH(F1806,FmtName,0))</f>
        <v/>
      </c>
      <c r="T1806" s="46">
        <f>S1806/INDEX(FmtCansPerPack,MATCH(F1806,FmtName,0))</f>
        <v/>
      </c>
      <c r="U1806" s="47">
        <f>INDEX(ChBaseCP,MATCH(E1806,ChName,0))*(1+INDEX(ProvMod,MATCH(G1806,ProvCode,0)))*(1+PriceIndex)</f>
        <v/>
      </c>
      <c r="V1806" s="47">
        <f>R1806*U1806*INDEX(FmtBlendedPriceIdx,MATCH(F1806,FmtName,0))</f>
        <v/>
      </c>
      <c r="W1806" s="47">
        <f>T1806*INDEX(ProvSRP,MATCH(G1806,ProvCode,0))*(1+PriceIndex)</f>
        <v/>
      </c>
      <c r="X1806" s="47">
        <f>IF(GrossBasis="Wholesale",V1806,W1806)</f>
        <v/>
      </c>
      <c r="Y1806" s="47">
        <f>R1806*INDEX(FmtBlendedCogs,MATCH(F1806,FmtName,0))</f>
        <v/>
      </c>
      <c r="Z1806" s="47">
        <f>X1806-Y1806</f>
        <v/>
      </c>
    </row>
    <row r="1807">
      <c r="A1807" t="n">
        <v>4</v>
      </c>
      <c r="B1807" s="44">
        <f>FiscalStart+(A1807-1)*7</f>
        <v/>
      </c>
      <c r="C1807">
        <f>TEXT(B1807,"mmm yyyy")</f>
        <v/>
      </c>
      <c r="D1807">
        <f>"Q"&amp;(INT((A1807-1)/13)+1)</f>
        <v/>
      </c>
      <c r="E1807" t="inlineStr">
        <is>
          <t>Costco</t>
        </is>
      </c>
      <c r="F1807">
        <f>IFERROR(INDEX(ChFormat,MATCH(E1807,ChName,0)),"")</f>
        <v/>
      </c>
      <c r="G1807" t="inlineStr">
        <is>
          <t>ON</t>
        </is>
      </c>
      <c r="H1807">
        <f>IF(A1807&lt;=NWeeks,1,0)</f>
        <v/>
      </c>
      <c r="I1807">
        <f>INDEX(ChLaunch,MATCH(E1807,ChName,0))</f>
        <v/>
      </c>
      <c r="J1807">
        <f>INDEX(ChWeeksFull,MATCH(E1807,ChName,0))</f>
        <v/>
      </c>
      <c r="K1807">
        <f>INDEX(ChRamp,MATCH(E1807,ChName,0))</f>
        <v/>
      </c>
      <c r="L1807" s="45">
        <f>MIN(1,MAX(0,(A1807-I1807+1)*RampSpeed/J1807))</f>
        <v/>
      </c>
      <c r="M1807" s="45">
        <f>IF(A1807&lt;I1807,0,IF(K1807="S-curve",L1807*L1807*(3-2*L1807),L1807))</f>
        <v/>
      </c>
      <c r="N1807" s="45">
        <f>1+(INDEX(SeasonIdx,A1807)-1)*SeasonAmp</f>
        <v/>
      </c>
      <c r="O1807" s="45">
        <f>IFERROR(INDEX(PSPct,MATCH(E1807&amp;"|"&amp;G1807,PSKey,0)),0)</f>
        <v/>
      </c>
      <c r="P1807" s="46">
        <f>INDEX(ChDoorVel,MATCH(E1807,ChName,0))*CalibScalar*(1+VelocityUplift)</f>
        <v/>
      </c>
      <c r="Q1807" s="46" t="n">
        <v>0</v>
      </c>
      <c r="R1807" s="46">
        <f>P1807*O1807*M1807*N1807*H1807</f>
        <v/>
      </c>
      <c r="S1807" s="46">
        <f>R1807*INDEX(FmtCansPerCase,MATCH(F1807,FmtName,0))</f>
        <v/>
      </c>
      <c r="T1807" s="46">
        <f>S1807/INDEX(FmtCansPerPack,MATCH(F1807,FmtName,0))</f>
        <v/>
      </c>
      <c r="U1807" s="47">
        <f>INDEX(ChBaseCP,MATCH(E1807,ChName,0))*(1+INDEX(ProvMod,MATCH(G1807,ProvCode,0)))*(1+PriceIndex)</f>
        <v/>
      </c>
      <c r="V1807" s="47">
        <f>R1807*U1807*INDEX(FmtBlendedPriceIdx,MATCH(F1807,FmtName,0))</f>
        <v/>
      </c>
      <c r="W1807" s="47">
        <f>T1807*INDEX(ProvSRP,MATCH(G1807,ProvCode,0))*(1+PriceIndex)</f>
        <v/>
      </c>
      <c r="X1807" s="47">
        <f>IF(GrossBasis="Wholesale",V1807,W1807)</f>
        <v/>
      </c>
      <c r="Y1807" s="47">
        <f>R1807*INDEX(FmtBlendedCogs,MATCH(F1807,FmtName,0))</f>
        <v/>
      </c>
      <c r="Z1807" s="47">
        <f>X1807-Y1807</f>
        <v/>
      </c>
    </row>
    <row r="1808">
      <c r="A1808" t="n">
        <v>5</v>
      </c>
      <c r="B1808" s="44">
        <f>FiscalStart+(A1808-1)*7</f>
        <v/>
      </c>
      <c r="C1808">
        <f>TEXT(B1808,"mmm yyyy")</f>
        <v/>
      </c>
      <c r="D1808">
        <f>"Q"&amp;(INT((A1808-1)/13)+1)</f>
        <v/>
      </c>
      <c r="E1808" t="inlineStr">
        <is>
          <t>Costco</t>
        </is>
      </c>
      <c r="F1808">
        <f>IFERROR(INDEX(ChFormat,MATCH(E1808,ChName,0)),"")</f>
        <v/>
      </c>
      <c r="G1808" t="inlineStr">
        <is>
          <t>ON</t>
        </is>
      </c>
      <c r="H1808">
        <f>IF(A1808&lt;=NWeeks,1,0)</f>
        <v/>
      </c>
      <c r="I1808">
        <f>INDEX(ChLaunch,MATCH(E1808,ChName,0))</f>
        <v/>
      </c>
      <c r="J1808">
        <f>INDEX(ChWeeksFull,MATCH(E1808,ChName,0))</f>
        <v/>
      </c>
      <c r="K1808">
        <f>INDEX(ChRamp,MATCH(E1808,ChName,0))</f>
        <v/>
      </c>
      <c r="L1808" s="45">
        <f>MIN(1,MAX(0,(A1808-I1808+1)*RampSpeed/J1808))</f>
        <v/>
      </c>
      <c r="M1808" s="45">
        <f>IF(A1808&lt;I1808,0,IF(K1808="S-curve",L1808*L1808*(3-2*L1808),L1808))</f>
        <v/>
      </c>
      <c r="N1808" s="45">
        <f>1+(INDEX(SeasonIdx,A1808)-1)*SeasonAmp</f>
        <v/>
      </c>
      <c r="O1808" s="45">
        <f>IFERROR(INDEX(PSPct,MATCH(E1808&amp;"|"&amp;G1808,PSKey,0)),0)</f>
        <v/>
      </c>
      <c r="P1808" s="46">
        <f>INDEX(ChDoorVel,MATCH(E1808,ChName,0))*CalibScalar*(1+VelocityUplift)</f>
        <v/>
      </c>
      <c r="Q1808" s="46" t="n">
        <v>0</v>
      </c>
      <c r="R1808" s="46">
        <f>P1808*O1808*M1808*N1808*H1808</f>
        <v/>
      </c>
      <c r="S1808" s="46">
        <f>R1808*INDEX(FmtCansPerCase,MATCH(F1808,FmtName,0))</f>
        <v/>
      </c>
      <c r="T1808" s="46">
        <f>S1808/INDEX(FmtCansPerPack,MATCH(F1808,FmtName,0))</f>
        <v/>
      </c>
      <c r="U1808" s="47">
        <f>INDEX(ChBaseCP,MATCH(E1808,ChName,0))*(1+INDEX(ProvMod,MATCH(G1808,ProvCode,0)))*(1+PriceIndex)</f>
        <v/>
      </c>
      <c r="V1808" s="47">
        <f>R1808*U1808*INDEX(FmtBlendedPriceIdx,MATCH(F1808,FmtName,0))</f>
        <v/>
      </c>
      <c r="W1808" s="47">
        <f>T1808*INDEX(ProvSRP,MATCH(G1808,ProvCode,0))*(1+PriceIndex)</f>
        <v/>
      </c>
      <c r="X1808" s="47">
        <f>IF(GrossBasis="Wholesale",V1808,W1808)</f>
        <v/>
      </c>
      <c r="Y1808" s="47">
        <f>R1808*INDEX(FmtBlendedCogs,MATCH(F1808,FmtName,0))</f>
        <v/>
      </c>
      <c r="Z1808" s="47">
        <f>X1808-Y1808</f>
        <v/>
      </c>
    </row>
    <row r="1809">
      <c r="A1809" t="n">
        <v>6</v>
      </c>
      <c r="B1809" s="44">
        <f>FiscalStart+(A1809-1)*7</f>
        <v/>
      </c>
      <c r="C1809">
        <f>TEXT(B1809,"mmm yyyy")</f>
        <v/>
      </c>
      <c r="D1809">
        <f>"Q"&amp;(INT((A1809-1)/13)+1)</f>
        <v/>
      </c>
      <c r="E1809" t="inlineStr">
        <is>
          <t>Costco</t>
        </is>
      </c>
      <c r="F1809">
        <f>IFERROR(INDEX(ChFormat,MATCH(E1809,ChName,0)),"")</f>
        <v/>
      </c>
      <c r="G1809" t="inlineStr">
        <is>
          <t>ON</t>
        </is>
      </c>
      <c r="H1809">
        <f>IF(A1809&lt;=NWeeks,1,0)</f>
        <v/>
      </c>
      <c r="I1809">
        <f>INDEX(ChLaunch,MATCH(E1809,ChName,0))</f>
        <v/>
      </c>
      <c r="J1809">
        <f>INDEX(ChWeeksFull,MATCH(E1809,ChName,0))</f>
        <v/>
      </c>
      <c r="K1809">
        <f>INDEX(ChRamp,MATCH(E1809,ChName,0))</f>
        <v/>
      </c>
      <c r="L1809" s="45">
        <f>MIN(1,MAX(0,(A1809-I1809+1)*RampSpeed/J1809))</f>
        <v/>
      </c>
      <c r="M1809" s="45">
        <f>IF(A1809&lt;I1809,0,IF(K1809="S-curve",L1809*L1809*(3-2*L1809),L1809))</f>
        <v/>
      </c>
      <c r="N1809" s="45">
        <f>1+(INDEX(SeasonIdx,A1809)-1)*SeasonAmp</f>
        <v/>
      </c>
      <c r="O1809" s="45">
        <f>IFERROR(INDEX(PSPct,MATCH(E1809&amp;"|"&amp;G1809,PSKey,0)),0)</f>
        <v/>
      </c>
      <c r="P1809" s="46">
        <f>INDEX(ChDoorVel,MATCH(E1809,ChName,0))*CalibScalar*(1+VelocityUplift)</f>
        <v/>
      </c>
      <c r="Q1809" s="46" t="n">
        <v>0</v>
      </c>
      <c r="R1809" s="46">
        <f>P1809*O1809*M1809*N1809*H1809</f>
        <v/>
      </c>
      <c r="S1809" s="46">
        <f>R1809*INDEX(FmtCansPerCase,MATCH(F1809,FmtName,0))</f>
        <v/>
      </c>
      <c r="T1809" s="46">
        <f>S1809/INDEX(FmtCansPerPack,MATCH(F1809,FmtName,0))</f>
        <v/>
      </c>
      <c r="U1809" s="47">
        <f>INDEX(ChBaseCP,MATCH(E1809,ChName,0))*(1+INDEX(ProvMod,MATCH(G1809,ProvCode,0)))*(1+PriceIndex)</f>
        <v/>
      </c>
      <c r="V1809" s="47">
        <f>R1809*U1809*INDEX(FmtBlendedPriceIdx,MATCH(F1809,FmtName,0))</f>
        <v/>
      </c>
      <c r="W1809" s="47">
        <f>T1809*INDEX(ProvSRP,MATCH(G1809,ProvCode,0))*(1+PriceIndex)</f>
        <v/>
      </c>
      <c r="X1809" s="47">
        <f>IF(GrossBasis="Wholesale",V1809,W1809)</f>
        <v/>
      </c>
      <c r="Y1809" s="47">
        <f>R1809*INDEX(FmtBlendedCogs,MATCH(F1809,FmtName,0))</f>
        <v/>
      </c>
      <c r="Z1809" s="47">
        <f>X1809-Y1809</f>
        <v/>
      </c>
    </row>
    <row r="1810">
      <c r="A1810" t="n">
        <v>7</v>
      </c>
      <c r="B1810" s="44">
        <f>FiscalStart+(A1810-1)*7</f>
        <v/>
      </c>
      <c r="C1810">
        <f>TEXT(B1810,"mmm yyyy")</f>
        <v/>
      </c>
      <c r="D1810">
        <f>"Q"&amp;(INT((A1810-1)/13)+1)</f>
        <v/>
      </c>
      <c r="E1810" t="inlineStr">
        <is>
          <t>Costco</t>
        </is>
      </c>
      <c r="F1810">
        <f>IFERROR(INDEX(ChFormat,MATCH(E1810,ChName,0)),"")</f>
        <v/>
      </c>
      <c r="G1810" t="inlineStr">
        <is>
          <t>ON</t>
        </is>
      </c>
      <c r="H1810">
        <f>IF(A1810&lt;=NWeeks,1,0)</f>
        <v/>
      </c>
      <c r="I1810">
        <f>INDEX(ChLaunch,MATCH(E1810,ChName,0))</f>
        <v/>
      </c>
      <c r="J1810">
        <f>INDEX(ChWeeksFull,MATCH(E1810,ChName,0))</f>
        <v/>
      </c>
      <c r="K1810">
        <f>INDEX(ChRamp,MATCH(E1810,ChName,0))</f>
        <v/>
      </c>
      <c r="L1810" s="45">
        <f>MIN(1,MAX(0,(A1810-I1810+1)*RampSpeed/J1810))</f>
        <v/>
      </c>
      <c r="M1810" s="45">
        <f>IF(A1810&lt;I1810,0,IF(K1810="S-curve",L1810*L1810*(3-2*L1810),L1810))</f>
        <v/>
      </c>
      <c r="N1810" s="45">
        <f>1+(INDEX(SeasonIdx,A1810)-1)*SeasonAmp</f>
        <v/>
      </c>
      <c r="O1810" s="45">
        <f>IFERROR(INDEX(PSPct,MATCH(E1810&amp;"|"&amp;G1810,PSKey,0)),0)</f>
        <v/>
      </c>
      <c r="P1810" s="46">
        <f>INDEX(ChDoorVel,MATCH(E1810,ChName,0))*CalibScalar*(1+VelocityUplift)</f>
        <v/>
      </c>
      <c r="Q1810" s="46" t="n">
        <v>0</v>
      </c>
      <c r="R1810" s="46">
        <f>P1810*O1810*M1810*N1810*H1810</f>
        <v/>
      </c>
      <c r="S1810" s="46">
        <f>R1810*INDEX(FmtCansPerCase,MATCH(F1810,FmtName,0))</f>
        <v/>
      </c>
      <c r="T1810" s="46">
        <f>S1810/INDEX(FmtCansPerPack,MATCH(F1810,FmtName,0))</f>
        <v/>
      </c>
      <c r="U1810" s="47">
        <f>INDEX(ChBaseCP,MATCH(E1810,ChName,0))*(1+INDEX(ProvMod,MATCH(G1810,ProvCode,0)))*(1+PriceIndex)</f>
        <v/>
      </c>
      <c r="V1810" s="47">
        <f>R1810*U1810*INDEX(FmtBlendedPriceIdx,MATCH(F1810,FmtName,0))</f>
        <v/>
      </c>
      <c r="W1810" s="47">
        <f>T1810*INDEX(ProvSRP,MATCH(G1810,ProvCode,0))*(1+PriceIndex)</f>
        <v/>
      </c>
      <c r="X1810" s="47">
        <f>IF(GrossBasis="Wholesale",V1810,W1810)</f>
        <v/>
      </c>
      <c r="Y1810" s="47">
        <f>R1810*INDEX(FmtBlendedCogs,MATCH(F1810,FmtName,0))</f>
        <v/>
      </c>
      <c r="Z1810" s="47">
        <f>X1810-Y1810</f>
        <v/>
      </c>
    </row>
    <row r="1811">
      <c r="A1811" t="n">
        <v>8</v>
      </c>
      <c r="B1811" s="44">
        <f>FiscalStart+(A1811-1)*7</f>
        <v/>
      </c>
      <c r="C1811">
        <f>TEXT(B1811,"mmm yyyy")</f>
        <v/>
      </c>
      <c r="D1811">
        <f>"Q"&amp;(INT((A1811-1)/13)+1)</f>
        <v/>
      </c>
      <c r="E1811" t="inlineStr">
        <is>
          <t>Costco</t>
        </is>
      </c>
      <c r="F1811">
        <f>IFERROR(INDEX(ChFormat,MATCH(E1811,ChName,0)),"")</f>
        <v/>
      </c>
      <c r="G1811" t="inlineStr">
        <is>
          <t>ON</t>
        </is>
      </c>
      <c r="H1811">
        <f>IF(A1811&lt;=NWeeks,1,0)</f>
        <v/>
      </c>
      <c r="I1811">
        <f>INDEX(ChLaunch,MATCH(E1811,ChName,0))</f>
        <v/>
      </c>
      <c r="J1811">
        <f>INDEX(ChWeeksFull,MATCH(E1811,ChName,0))</f>
        <v/>
      </c>
      <c r="K1811">
        <f>INDEX(ChRamp,MATCH(E1811,ChName,0))</f>
        <v/>
      </c>
      <c r="L1811" s="45">
        <f>MIN(1,MAX(0,(A1811-I1811+1)*RampSpeed/J1811))</f>
        <v/>
      </c>
      <c r="M1811" s="45">
        <f>IF(A1811&lt;I1811,0,IF(K1811="S-curve",L1811*L1811*(3-2*L1811),L1811))</f>
        <v/>
      </c>
      <c r="N1811" s="45">
        <f>1+(INDEX(SeasonIdx,A1811)-1)*SeasonAmp</f>
        <v/>
      </c>
      <c r="O1811" s="45">
        <f>IFERROR(INDEX(PSPct,MATCH(E1811&amp;"|"&amp;G1811,PSKey,0)),0)</f>
        <v/>
      </c>
      <c r="P1811" s="46">
        <f>INDEX(ChDoorVel,MATCH(E1811,ChName,0))*CalibScalar*(1+VelocityUplift)</f>
        <v/>
      </c>
      <c r="Q1811" s="46" t="n">
        <v>0</v>
      </c>
      <c r="R1811" s="46">
        <f>P1811*O1811*M1811*N1811*H1811</f>
        <v/>
      </c>
      <c r="S1811" s="46">
        <f>R1811*INDEX(FmtCansPerCase,MATCH(F1811,FmtName,0))</f>
        <v/>
      </c>
      <c r="T1811" s="46">
        <f>S1811/INDEX(FmtCansPerPack,MATCH(F1811,FmtName,0))</f>
        <v/>
      </c>
      <c r="U1811" s="47">
        <f>INDEX(ChBaseCP,MATCH(E1811,ChName,0))*(1+INDEX(ProvMod,MATCH(G1811,ProvCode,0)))*(1+PriceIndex)</f>
        <v/>
      </c>
      <c r="V1811" s="47">
        <f>R1811*U1811*INDEX(FmtBlendedPriceIdx,MATCH(F1811,FmtName,0))</f>
        <v/>
      </c>
      <c r="W1811" s="47">
        <f>T1811*INDEX(ProvSRP,MATCH(G1811,ProvCode,0))*(1+PriceIndex)</f>
        <v/>
      </c>
      <c r="X1811" s="47">
        <f>IF(GrossBasis="Wholesale",V1811,W1811)</f>
        <v/>
      </c>
      <c r="Y1811" s="47">
        <f>R1811*INDEX(FmtBlendedCogs,MATCH(F1811,FmtName,0))</f>
        <v/>
      </c>
      <c r="Z1811" s="47">
        <f>X1811-Y1811</f>
        <v/>
      </c>
    </row>
    <row r="1812">
      <c r="A1812" t="n">
        <v>9</v>
      </c>
      <c r="B1812" s="44">
        <f>FiscalStart+(A1812-1)*7</f>
        <v/>
      </c>
      <c r="C1812">
        <f>TEXT(B1812,"mmm yyyy")</f>
        <v/>
      </c>
      <c r="D1812">
        <f>"Q"&amp;(INT((A1812-1)/13)+1)</f>
        <v/>
      </c>
      <c r="E1812" t="inlineStr">
        <is>
          <t>Costco</t>
        </is>
      </c>
      <c r="F1812">
        <f>IFERROR(INDEX(ChFormat,MATCH(E1812,ChName,0)),"")</f>
        <v/>
      </c>
      <c r="G1812" t="inlineStr">
        <is>
          <t>ON</t>
        </is>
      </c>
      <c r="H1812">
        <f>IF(A1812&lt;=NWeeks,1,0)</f>
        <v/>
      </c>
      <c r="I1812">
        <f>INDEX(ChLaunch,MATCH(E1812,ChName,0))</f>
        <v/>
      </c>
      <c r="J1812">
        <f>INDEX(ChWeeksFull,MATCH(E1812,ChName,0))</f>
        <v/>
      </c>
      <c r="K1812">
        <f>INDEX(ChRamp,MATCH(E1812,ChName,0))</f>
        <v/>
      </c>
      <c r="L1812" s="45">
        <f>MIN(1,MAX(0,(A1812-I1812+1)*RampSpeed/J1812))</f>
        <v/>
      </c>
      <c r="M1812" s="45">
        <f>IF(A1812&lt;I1812,0,IF(K1812="S-curve",L1812*L1812*(3-2*L1812),L1812))</f>
        <v/>
      </c>
      <c r="N1812" s="45">
        <f>1+(INDEX(SeasonIdx,A1812)-1)*SeasonAmp</f>
        <v/>
      </c>
      <c r="O1812" s="45">
        <f>IFERROR(INDEX(PSPct,MATCH(E1812&amp;"|"&amp;G1812,PSKey,0)),0)</f>
        <v/>
      </c>
      <c r="P1812" s="46">
        <f>INDEX(ChDoorVel,MATCH(E1812,ChName,0))*CalibScalar*(1+VelocityUplift)</f>
        <v/>
      </c>
      <c r="Q1812" s="46" t="n">
        <v>0</v>
      </c>
      <c r="R1812" s="46">
        <f>P1812*O1812*M1812*N1812*H1812</f>
        <v/>
      </c>
      <c r="S1812" s="46">
        <f>R1812*INDEX(FmtCansPerCase,MATCH(F1812,FmtName,0))</f>
        <v/>
      </c>
      <c r="T1812" s="46">
        <f>S1812/INDEX(FmtCansPerPack,MATCH(F1812,FmtName,0))</f>
        <v/>
      </c>
      <c r="U1812" s="47">
        <f>INDEX(ChBaseCP,MATCH(E1812,ChName,0))*(1+INDEX(ProvMod,MATCH(G1812,ProvCode,0)))*(1+PriceIndex)</f>
        <v/>
      </c>
      <c r="V1812" s="47">
        <f>R1812*U1812*INDEX(FmtBlendedPriceIdx,MATCH(F1812,FmtName,0))</f>
        <v/>
      </c>
      <c r="W1812" s="47">
        <f>T1812*INDEX(ProvSRP,MATCH(G1812,ProvCode,0))*(1+PriceIndex)</f>
        <v/>
      </c>
      <c r="X1812" s="47">
        <f>IF(GrossBasis="Wholesale",V1812,W1812)</f>
        <v/>
      </c>
      <c r="Y1812" s="47">
        <f>R1812*INDEX(FmtBlendedCogs,MATCH(F1812,FmtName,0))</f>
        <v/>
      </c>
      <c r="Z1812" s="47">
        <f>X1812-Y1812</f>
        <v/>
      </c>
    </row>
    <row r="1813">
      <c r="A1813" t="n">
        <v>10</v>
      </c>
      <c r="B1813" s="44">
        <f>FiscalStart+(A1813-1)*7</f>
        <v/>
      </c>
      <c r="C1813">
        <f>TEXT(B1813,"mmm yyyy")</f>
        <v/>
      </c>
      <c r="D1813">
        <f>"Q"&amp;(INT((A1813-1)/13)+1)</f>
        <v/>
      </c>
      <c r="E1813" t="inlineStr">
        <is>
          <t>Costco</t>
        </is>
      </c>
      <c r="F1813">
        <f>IFERROR(INDEX(ChFormat,MATCH(E1813,ChName,0)),"")</f>
        <v/>
      </c>
      <c r="G1813" t="inlineStr">
        <is>
          <t>ON</t>
        </is>
      </c>
      <c r="H1813">
        <f>IF(A1813&lt;=NWeeks,1,0)</f>
        <v/>
      </c>
      <c r="I1813">
        <f>INDEX(ChLaunch,MATCH(E1813,ChName,0))</f>
        <v/>
      </c>
      <c r="J1813">
        <f>INDEX(ChWeeksFull,MATCH(E1813,ChName,0))</f>
        <v/>
      </c>
      <c r="K1813">
        <f>INDEX(ChRamp,MATCH(E1813,ChName,0))</f>
        <v/>
      </c>
      <c r="L1813" s="45">
        <f>MIN(1,MAX(0,(A1813-I1813+1)*RampSpeed/J1813))</f>
        <v/>
      </c>
      <c r="M1813" s="45">
        <f>IF(A1813&lt;I1813,0,IF(K1813="S-curve",L1813*L1813*(3-2*L1813),L1813))</f>
        <v/>
      </c>
      <c r="N1813" s="45">
        <f>1+(INDEX(SeasonIdx,A1813)-1)*SeasonAmp</f>
        <v/>
      </c>
      <c r="O1813" s="45">
        <f>IFERROR(INDEX(PSPct,MATCH(E1813&amp;"|"&amp;G1813,PSKey,0)),0)</f>
        <v/>
      </c>
      <c r="P1813" s="46">
        <f>INDEX(ChDoorVel,MATCH(E1813,ChName,0))*CalibScalar*(1+VelocityUplift)</f>
        <v/>
      </c>
      <c r="Q1813" s="46" t="n">
        <v>0</v>
      </c>
      <c r="R1813" s="46">
        <f>P1813*O1813*M1813*N1813*H1813</f>
        <v/>
      </c>
      <c r="S1813" s="46">
        <f>R1813*INDEX(FmtCansPerCase,MATCH(F1813,FmtName,0))</f>
        <v/>
      </c>
      <c r="T1813" s="46">
        <f>S1813/INDEX(FmtCansPerPack,MATCH(F1813,FmtName,0))</f>
        <v/>
      </c>
      <c r="U1813" s="47">
        <f>INDEX(ChBaseCP,MATCH(E1813,ChName,0))*(1+INDEX(ProvMod,MATCH(G1813,ProvCode,0)))*(1+PriceIndex)</f>
        <v/>
      </c>
      <c r="V1813" s="47">
        <f>R1813*U1813*INDEX(FmtBlendedPriceIdx,MATCH(F1813,FmtName,0))</f>
        <v/>
      </c>
      <c r="W1813" s="47">
        <f>T1813*INDEX(ProvSRP,MATCH(G1813,ProvCode,0))*(1+PriceIndex)</f>
        <v/>
      </c>
      <c r="X1813" s="47">
        <f>IF(GrossBasis="Wholesale",V1813,W1813)</f>
        <v/>
      </c>
      <c r="Y1813" s="47">
        <f>R1813*INDEX(FmtBlendedCogs,MATCH(F1813,FmtName,0))</f>
        <v/>
      </c>
      <c r="Z1813" s="47">
        <f>X1813-Y1813</f>
        <v/>
      </c>
    </row>
    <row r="1814">
      <c r="A1814" t="n">
        <v>11</v>
      </c>
      <c r="B1814" s="44">
        <f>FiscalStart+(A1814-1)*7</f>
        <v/>
      </c>
      <c r="C1814">
        <f>TEXT(B1814,"mmm yyyy")</f>
        <v/>
      </c>
      <c r="D1814">
        <f>"Q"&amp;(INT((A1814-1)/13)+1)</f>
        <v/>
      </c>
      <c r="E1814" t="inlineStr">
        <is>
          <t>Costco</t>
        </is>
      </c>
      <c r="F1814">
        <f>IFERROR(INDEX(ChFormat,MATCH(E1814,ChName,0)),"")</f>
        <v/>
      </c>
      <c r="G1814" t="inlineStr">
        <is>
          <t>ON</t>
        </is>
      </c>
      <c r="H1814">
        <f>IF(A1814&lt;=NWeeks,1,0)</f>
        <v/>
      </c>
      <c r="I1814">
        <f>INDEX(ChLaunch,MATCH(E1814,ChName,0))</f>
        <v/>
      </c>
      <c r="J1814">
        <f>INDEX(ChWeeksFull,MATCH(E1814,ChName,0))</f>
        <v/>
      </c>
      <c r="K1814">
        <f>INDEX(ChRamp,MATCH(E1814,ChName,0))</f>
        <v/>
      </c>
      <c r="L1814" s="45">
        <f>MIN(1,MAX(0,(A1814-I1814+1)*RampSpeed/J1814))</f>
        <v/>
      </c>
      <c r="M1814" s="45">
        <f>IF(A1814&lt;I1814,0,IF(K1814="S-curve",L1814*L1814*(3-2*L1814),L1814))</f>
        <v/>
      </c>
      <c r="N1814" s="45">
        <f>1+(INDEX(SeasonIdx,A1814)-1)*SeasonAmp</f>
        <v/>
      </c>
      <c r="O1814" s="45">
        <f>IFERROR(INDEX(PSPct,MATCH(E1814&amp;"|"&amp;G1814,PSKey,0)),0)</f>
        <v/>
      </c>
      <c r="P1814" s="46">
        <f>INDEX(ChDoorVel,MATCH(E1814,ChName,0))*CalibScalar*(1+VelocityUplift)</f>
        <v/>
      </c>
      <c r="Q1814" s="46" t="n">
        <v>0</v>
      </c>
      <c r="R1814" s="46">
        <f>P1814*O1814*M1814*N1814*H1814</f>
        <v/>
      </c>
      <c r="S1814" s="46">
        <f>R1814*INDEX(FmtCansPerCase,MATCH(F1814,FmtName,0))</f>
        <v/>
      </c>
      <c r="T1814" s="46">
        <f>S1814/INDEX(FmtCansPerPack,MATCH(F1814,FmtName,0))</f>
        <v/>
      </c>
      <c r="U1814" s="47">
        <f>INDEX(ChBaseCP,MATCH(E1814,ChName,0))*(1+INDEX(ProvMod,MATCH(G1814,ProvCode,0)))*(1+PriceIndex)</f>
        <v/>
      </c>
      <c r="V1814" s="47">
        <f>R1814*U1814*INDEX(FmtBlendedPriceIdx,MATCH(F1814,FmtName,0))</f>
        <v/>
      </c>
      <c r="W1814" s="47">
        <f>T1814*INDEX(ProvSRP,MATCH(G1814,ProvCode,0))*(1+PriceIndex)</f>
        <v/>
      </c>
      <c r="X1814" s="47">
        <f>IF(GrossBasis="Wholesale",V1814,W1814)</f>
        <v/>
      </c>
      <c r="Y1814" s="47">
        <f>R1814*INDEX(FmtBlendedCogs,MATCH(F1814,FmtName,0))</f>
        <v/>
      </c>
      <c r="Z1814" s="47">
        <f>X1814-Y1814</f>
        <v/>
      </c>
    </row>
    <row r="1815">
      <c r="A1815" t="n">
        <v>12</v>
      </c>
      <c r="B1815" s="44">
        <f>FiscalStart+(A1815-1)*7</f>
        <v/>
      </c>
      <c r="C1815">
        <f>TEXT(B1815,"mmm yyyy")</f>
        <v/>
      </c>
      <c r="D1815">
        <f>"Q"&amp;(INT((A1815-1)/13)+1)</f>
        <v/>
      </c>
      <c r="E1815" t="inlineStr">
        <is>
          <t>Costco</t>
        </is>
      </c>
      <c r="F1815">
        <f>IFERROR(INDEX(ChFormat,MATCH(E1815,ChName,0)),"")</f>
        <v/>
      </c>
      <c r="G1815" t="inlineStr">
        <is>
          <t>ON</t>
        </is>
      </c>
      <c r="H1815">
        <f>IF(A1815&lt;=NWeeks,1,0)</f>
        <v/>
      </c>
      <c r="I1815">
        <f>INDEX(ChLaunch,MATCH(E1815,ChName,0))</f>
        <v/>
      </c>
      <c r="J1815">
        <f>INDEX(ChWeeksFull,MATCH(E1815,ChName,0))</f>
        <v/>
      </c>
      <c r="K1815">
        <f>INDEX(ChRamp,MATCH(E1815,ChName,0))</f>
        <v/>
      </c>
      <c r="L1815" s="45">
        <f>MIN(1,MAX(0,(A1815-I1815+1)*RampSpeed/J1815))</f>
        <v/>
      </c>
      <c r="M1815" s="45">
        <f>IF(A1815&lt;I1815,0,IF(K1815="S-curve",L1815*L1815*(3-2*L1815),L1815))</f>
        <v/>
      </c>
      <c r="N1815" s="45">
        <f>1+(INDEX(SeasonIdx,A1815)-1)*SeasonAmp</f>
        <v/>
      </c>
      <c r="O1815" s="45">
        <f>IFERROR(INDEX(PSPct,MATCH(E1815&amp;"|"&amp;G1815,PSKey,0)),0)</f>
        <v/>
      </c>
      <c r="P1815" s="46">
        <f>INDEX(ChDoorVel,MATCH(E1815,ChName,0))*CalibScalar*(1+VelocityUplift)</f>
        <v/>
      </c>
      <c r="Q1815" s="46" t="n">
        <v>0</v>
      </c>
      <c r="R1815" s="46">
        <f>P1815*O1815*M1815*N1815*H1815</f>
        <v/>
      </c>
      <c r="S1815" s="46">
        <f>R1815*INDEX(FmtCansPerCase,MATCH(F1815,FmtName,0))</f>
        <v/>
      </c>
      <c r="T1815" s="46">
        <f>S1815/INDEX(FmtCansPerPack,MATCH(F1815,FmtName,0))</f>
        <v/>
      </c>
      <c r="U1815" s="47">
        <f>INDEX(ChBaseCP,MATCH(E1815,ChName,0))*(1+INDEX(ProvMod,MATCH(G1815,ProvCode,0)))*(1+PriceIndex)</f>
        <v/>
      </c>
      <c r="V1815" s="47">
        <f>R1815*U1815*INDEX(FmtBlendedPriceIdx,MATCH(F1815,FmtName,0))</f>
        <v/>
      </c>
      <c r="W1815" s="47">
        <f>T1815*INDEX(ProvSRP,MATCH(G1815,ProvCode,0))*(1+PriceIndex)</f>
        <v/>
      </c>
      <c r="X1815" s="47">
        <f>IF(GrossBasis="Wholesale",V1815,W1815)</f>
        <v/>
      </c>
      <c r="Y1815" s="47">
        <f>R1815*INDEX(FmtBlendedCogs,MATCH(F1815,FmtName,0))</f>
        <v/>
      </c>
      <c r="Z1815" s="47">
        <f>X1815-Y1815</f>
        <v/>
      </c>
    </row>
    <row r="1816">
      <c r="A1816" t="n">
        <v>13</v>
      </c>
      <c r="B1816" s="44">
        <f>FiscalStart+(A1816-1)*7</f>
        <v/>
      </c>
      <c r="C1816">
        <f>TEXT(B1816,"mmm yyyy")</f>
        <v/>
      </c>
      <c r="D1816">
        <f>"Q"&amp;(INT((A1816-1)/13)+1)</f>
        <v/>
      </c>
      <c r="E1816" t="inlineStr">
        <is>
          <t>Costco</t>
        </is>
      </c>
      <c r="F1816">
        <f>IFERROR(INDEX(ChFormat,MATCH(E1816,ChName,0)),"")</f>
        <v/>
      </c>
      <c r="G1816" t="inlineStr">
        <is>
          <t>ON</t>
        </is>
      </c>
      <c r="H1816">
        <f>IF(A1816&lt;=NWeeks,1,0)</f>
        <v/>
      </c>
      <c r="I1816">
        <f>INDEX(ChLaunch,MATCH(E1816,ChName,0))</f>
        <v/>
      </c>
      <c r="J1816">
        <f>INDEX(ChWeeksFull,MATCH(E1816,ChName,0))</f>
        <v/>
      </c>
      <c r="K1816">
        <f>INDEX(ChRamp,MATCH(E1816,ChName,0))</f>
        <v/>
      </c>
      <c r="L1816" s="45">
        <f>MIN(1,MAX(0,(A1816-I1816+1)*RampSpeed/J1816))</f>
        <v/>
      </c>
      <c r="M1816" s="45">
        <f>IF(A1816&lt;I1816,0,IF(K1816="S-curve",L1816*L1816*(3-2*L1816),L1816))</f>
        <v/>
      </c>
      <c r="N1816" s="45">
        <f>1+(INDEX(SeasonIdx,A1816)-1)*SeasonAmp</f>
        <v/>
      </c>
      <c r="O1816" s="45">
        <f>IFERROR(INDEX(PSPct,MATCH(E1816&amp;"|"&amp;G1816,PSKey,0)),0)</f>
        <v/>
      </c>
      <c r="P1816" s="46">
        <f>INDEX(ChDoorVel,MATCH(E1816,ChName,0))*CalibScalar*(1+VelocityUplift)</f>
        <v/>
      </c>
      <c r="Q1816" s="46" t="n">
        <v>0</v>
      </c>
      <c r="R1816" s="46">
        <f>P1816*O1816*M1816*N1816*H1816</f>
        <v/>
      </c>
      <c r="S1816" s="46">
        <f>R1816*INDEX(FmtCansPerCase,MATCH(F1816,FmtName,0))</f>
        <v/>
      </c>
      <c r="T1816" s="46">
        <f>S1816/INDEX(FmtCansPerPack,MATCH(F1816,FmtName,0))</f>
        <v/>
      </c>
      <c r="U1816" s="47">
        <f>INDEX(ChBaseCP,MATCH(E1816,ChName,0))*(1+INDEX(ProvMod,MATCH(G1816,ProvCode,0)))*(1+PriceIndex)</f>
        <v/>
      </c>
      <c r="V1816" s="47">
        <f>R1816*U1816*INDEX(FmtBlendedPriceIdx,MATCH(F1816,FmtName,0))</f>
        <v/>
      </c>
      <c r="W1816" s="47">
        <f>T1816*INDEX(ProvSRP,MATCH(G1816,ProvCode,0))*(1+PriceIndex)</f>
        <v/>
      </c>
      <c r="X1816" s="47">
        <f>IF(GrossBasis="Wholesale",V1816,W1816)</f>
        <v/>
      </c>
      <c r="Y1816" s="47">
        <f>R1816*INDEX(FmtBlendedCogs,MATCH(F1816,FmtName,0))</f>
        <v/>
      </c>
      <c r="Z1816" s="47">
        <f>X1816-Y1816</f>
        <v/>
      </c>
    </row>
    <row r="1817">
      <c r="A1817" t="n">
        <v>14</v>
      </c>
      <c r="B1817" s="44">
        <f>FiscalStart+(A1817-1)*7</f>
        <v/>
      </c>
      <c r="C1817">
        <f>TEXT(B1817,"mmm yyyy")</f>
        <v/>
      </c>
      <c r="D1817">
        <f>"Q"&amp;(INT((A1817-1)/13)+1)</f>
        <v/>
      </c>
      <c r="E1817" t="inlineStr">
        <is>
          <t>Costco</t>
        </is>
      </c>
      <c r="F1817">
        <f>IFERROR(INDEX(ChFormat,MATCH(E1817,ChName,0)),"")</f>
        <v/>
      </c>
      <c r="G1817" t="inlineStr">
        <is>
          <t>ON</t>
        </is>
      </c>
      <c r="H1817">
        <f>IF(A1817&lt;=NWeeks,1,0)</f>
        <v/>
      </c>
      <c r="I1817">
        <f>INDEX(ChLaunch,MATCH(E1817,ChName,0))</f>
        <v/>
      </c>
      <c r="J1817">
        <f>INDEX(ChWeeksFull,MATCH(E1817,ChName,0))</f>
        <v/>
      </c>
      <c r="K1817">
        <f>INDEX(ChRamp,MATCH(E1817,ChName,0))</f>
        <v/>
      </c>
      <c r="L1817" s="45">
        <f>MIN(1,MAX(0,(A1817-I1817+1)*RampSpeed/J1817))</f>
        <v/>
      </c>
      <c r="M1817" s="45">
        <f>IF(A1817&lt;I1817,0,IF(K1817="S-curve",L1817*L1817*(3-2*L1817),L1817))</f>
        <v/>
      </c>
      <c r="N1817" s="45">
        <f>1+(INDEX(SeasonIdx,A1817)-1)*SeasonAmp</f>
        <v/>
      </c>
      <c r="O1817" s="45">
        <f>IFERROR(INDEX(PSPct,MATCH(E1817&amp;"|"&amp;G1817,PSKey,0)),0)</f>
        <v/>
      </c>
      <c r="P1817" s="46">
        <f>INDEX(ChDoorVel,MATCH(E1817,ChName,0))*CalibScalar*(1+VelocityUplift)</f>
        <v/>
      </c>
      <c r="Q1817" s="46" t="n">
        <v>0</v>
      </c>
      <c r="R1817" s="46">
        <f>P1817*O1817*M1817*N1817*H1817</f>
        <v/>
      </c>
      <c r="S1817" s="46">
        <f>R1817*INDEX(FmtCansPerCase,MATCH(F1817,FmtName,0))</f>
        <v/>
      </c>
      <c r="T1817" s="46">
        <f>S1817/INDEX(FmtCansPerPack,MATCH(F1817,FmtName,0))</f>
        <v/>
      </c>
      <c r="U1817" s="47">
        <f>INDEX(ChBaseCP,MATCH(E1817,ChName,0))*(1+INDEX(ProvMod,MATCH(G1817,ProvCode,0)))*(1+PriceIndex)</f>
        <v/>
      </c>
      <c r="V1817" s="47">
        <f>R1817*U1817*INDEX(FmtBlendedPriceIdx,MATCH(F1817,FmtName,0))</f>
        <v/>
      </c>
      <c r="W1817" s="47">
        <f>T1817*INDEX(ProvSRP,MATCH(G1817,ProvCode,0))*(1+PriceIndex)</f>
        <v/>
      </c>
      <c r="X1817" s="47">
        <f>IF(GrossBasis="Wholesale",V1817,W1817)</f>
        <v/>
      </c>
      <c r="Y1817" s="47">
        <f>R1817*INDEX(FmtBlendedCogs,MATCH(F1817,FmtName,0))</f>
        <v/>
      </c>
      <c r="Z1817" s="47">
        <f>X1817-Y1817</f>
        <v/>
      </c>
    </row>
    <row r="1818">
      <c r="A1818" t="n">
        <v>15</v>
      </c>
      <c r="B1818" s="44">
        <f>FiscalStart+(A1818-1)*7</f>
        <v/>
      </c>
      <c r="C1818">
        <f>TEXT(B1818,"mmm yyyy")</f>
        <v/>
      </c>
      <c r="D1818">
        <f>"Q"&amp;(INT((A1818-1)/13)+1)</f>
        <v/>
      </c>
      <c r="E1818" t="inlineStr">
        <is>
          <t>Costco</t>
        </is>
      </c>
      <c r="F1818">
        <f>IFERROR(INDEX(ChFormat,MATCH(E1818,ChName,0)),"")</f>
        <v/>
      </c>
      <c r="G1818" t="inlineStr">
        <is>
          <t>ON</t>
        </is>
      </c>
      <c r="H1818">
        <f>IF(A1818&lt;=NWeeks,1,0)</f>
        <v/>
      </c>
      <c r="I1818">
        <f>INDEX(ChLaunch,MATCH(E1818,ChName,0))</f>
        <v/>
      </c>
      <c r="J1818">
        <f>INDEX(ChWeeksFull,MATCH(E1818,ChName,0))</f>
        <v/>
      </c>
      <c r="K1818">
        <f>INDEX(ChRamp,MATCH(E1818,ChName,0))</f>
        <v/>
      </c>
      <c r="L1818" s="45">
        <f>MIN(1,MAX(0,(A1818-I1818+1)*RampSpeed/J1818))</f>
        <v/>
      </c>
      <c r="M1818" s="45">
        <f>IF(A1818&lt;I1818,0,IF(K1818="S-curve",L1818*L1818*(3-2*L1818),L1818))</f>
        <v/>
      </c>
      <c r="N1818" s="45">
        <f>1+(INDEX(SeasonIdx,A1818)-1)*SeasonAmp</f>
        <v/>
      </c>
      <c r="O1818" s="45">
        <f>IFERROR(INDEX(PSPct,MATCH(E1818&amp;"|"&amp;G1818,PSKey,0)),0)</f>
        <v/>
      </c>
      <c r="P1818" s="46">
        <f>INDEX(ChDoorVel,MATCH(E1818,ChName,0))*CalibScalar*(1+VelocityUplift)</f>
        <v/>
      </c>
      <c r="Q1818" s="46" t="n">
        <v>0</v>
      </c>
      <c r="R1818" s="46">
        <f>P1818*O1818*M1818*N1818*H1818</f>
        <v/>
      </c>
      <c r="S1818" s="46">
        <f>R1818*INDEX(FmtCansPerCase,MATCH(F1818,FmtName,0))</f>
        <v/>
      </c>
      <c r="T1818" s="46">
        <f>S1818/INDEX(FmtCansPerPack,MATCH(F1818,FmtName,0))</f>
        <v/>
      </c>
      <c r="U1818" s="47">
        <f>INDEX(ChBaseCP,MATCH(E1818,ChName,0))*(1+INDEX(ProvMod,MATCH(G1818,ProvCode,0)))*(1+PriceIndex)</f>
        <v/>
      </c>
      <c r="V1818" s="47">
        <f>R1818*U1818*INDEX(FmtBlendedPriceIdx,MATCH(F1818,FmtName,0))</f>
        <v/>
      </c>
      <c r="W1818" s="47">
        <f>T1818*INDEX(ProvSRP,MATCH(G1818,ProvCode,0))*(1+PriceIndex)</f>
        <v/>
      </c>
      <c r="X1818" s="47">
        <f>IF(GrossBasis="Wholesale",V1818,W1818)</f>
        <v/>
      </c>
      <c r="Y1818" s="47">
        <f>R1818*INDEX(FmtBlendedCogs,MATCH(F1818,FmtName,0))</f>
        <v/>
      </c>
      <c r="Z1818" s="47">
        <f>X1818-Y1818</f>
        <v/>
      </c>
    </row>
    <row r="1819">
      <c r="A1819" t="n">
        <v>16</v>
      </c>
      <c r="B1819" s="44">
        <f>FiscalStart+(A1819-1)*7</f>
        <v/>
      </c>
      <c r="C1819">
        <f>TEXT(B1819,"mmm yyyy")</f>
        <v/>
      </c>
      <c r="D1819">
        <f>"Q"&amp;(INT((A1819-1)/13)+1)</f>
        <v/>
      </c>
      <c r="E1819" t="inlineStr">
        <is>
          <t>Costco</t>
        </is>
      </c>
      <c r="F1819">
        <f>IFERROR(INDEX(ChFormat,MATCH(E1819,ChName,0)),"")</f>
        <v/>
      </c>
      <c r="G1819" t="inlineStr">
        <is>
          <t>ON</t>
        </is>
      </c>
      <c r="H1819">
        <f>IF(A1819&lt;=NWeeks,1,0)</f>
        <v/>
      </c>
      <c r="I1819">
        <f>INDEX(ChLaunch,MATCH(E1819,ChName,0))</f>
        <v/>
      </c>
      <c r="J1819">
        <f>INDEX(ChWeeksFull,MATCH(E1819,ChName,0))</f>
        <v/>
      </c>
      <c r="K1819">
        <f>INDEX(ChRamp,MATCH(E1819,ChName,0))</f>
        <v/>
      </c>
      <c r="L1819" s="45">
        <f>MIN(1,MAX(0,(A1819-I1819+1)*RampSpeed/J1819))</f>
        <v/>
      </c>
      <c r="M1819" s="45">
        <f>IF(A1819&lt;I1819,0,IF(K1819="S-curve",L1819*L1819*(3-2*L1819),L1819))</f>
        <v/>
      </c>
      <c r="N1819" s="45">
        <f>1+(INDEX(SeasonIdx,A1819)-1)*SeasonAmp</f>
        <v/>
      </c>
      <c r="O1819" s="45">
        <f>IFERROR(INDEX(PSPct,MATCH(E1819&amp;"|"&amp;G1819,PSKey,0)),0)</f>
        <v/>
      </c>
      <c r="P1819" s="46">
        <f>INDEX(ChDoorVel,MATCH(E1819,ChName,0))*CalibScalar*(1+VelocityUplift)</f>
        <v/>
      </c>
      <c r="Q1819" s="46" t="n">
        <v>0</v>
      </c>
      <c r="R1819" s="46">
        <f>P1819*O1819*M1819*N1819*H1819</f>
        <v/>
      </c>
      <c r="S1819" s="46">
        <f>R1819*INDEX(FmtCansPerCase,MATCH(F1819,FmtName,0))</f>
        <v/>
      </c>
      <c r="T1819" s="46">
        <f>S1819/INDEX(FmtCansPerPack,MATCH(F1819,FmtName,0))</f>
        <v/>
      </c>
      <c r="U1819" s="47">
        <f>INDEX(ChBaseCP,MATCH(E1819,ChName,0))*(1+INDEX(ProvMod,MATCH(G1819,ProvCode,0)))*(1+PriceIndex)</f>
        <v/>
      </c>
      <c r="V1819" s="47">
        <f>R1819*U1819*INDEX(FmtBlendedPriceIdx,MATCH(F1819,FmtName,0))</f>
        <v/>
      </c>
      <c r="W1819" s="47">
        <f>T1819*INDEX(ProvSRP,MATCH(G1819,ProvCode,0))*(1+PriceIndex)</f>
        <v/>
      </c>
      <c r="X1819" s="47">
        <f>IF(GrossBasis="Wholesale",V1819,W1819)</f>
        <v/>
      </c>
      <c r="Y1819" s="47">
        <f>R1819*INDEX(FmtBlendedCogs,MATCH(F1819,FmtName,0))</f>
        <v/>
      </c>
      <c r="Z1819" s="47">
        <f>X1819-Y1819</f>
        <v/>
      </c>
    </row>
    <row r="1820">
      <c r="A1820" t="n">
        <v>17</v>
      </c>
      <c r="B1820" s="44">
        <f>FiscalStart+(A1820-1)*7</f>
        <v/>
      </c>
      <c r="C1820">
        <f>TEXT(B1820,"mmm yyyy")</f>
        <v/>
      </c>
      <c r="D1820">
        <f>"Q"&amp;(INT((A1820-1)/13)+1)</f>
        <v/>
      </c>
      <c r="E1820" t="inlineStr">
        <is>
          <t>Costco</t>
        </is>
      </c>
      <c r="F1820">
        <f>IFERROR(INDEX(ChFormat,MATCH(E1820,ChName,0)),"")</f>
        <v/>
      </c>
      <c r="G1820" t="inlineStr">
        <is>
          <t>ON</t>
        </is>
      </c>
      <c r="H1820">
        <f>IF(A1820&lt;=NWeeks,1,0)</f>
        <v/>
      </c>
      <c r="I1820">
        <f>INDEX(ChLaunch,MATCH(E1820,ChName,0))</f>
        <v/>
      </c>
      <c r="J1820">
        <f>INDEX(ChWeeksFull,MATCH(E1820,ChName,0))</f>
        <v/>
      </c>
      <c r="K1820">
        <f>INDEX(ChRamp,MATCH(E1820,ChName,0))</f>
        <v/>
      </c>
      <c r="L1820" s="45">
        <f>MIN(1,MAX(0,(A1820-I1820+1)*RampSpeed/J1820))</f>
        <v/>
      </c>
      <c r="M1820" s="45">
        <f>IF(A1820&lt;I1820,0,IF(K1820="S-curve",L1820*L1820*(3-2*L1820),L1820))</f>
        <v/>
      </c>
      <c r="N1820" s="45">
        <f>1+(INDEX(SeasonIdx,A1820)-1)*SeasonAmp</f>
        <v/>
      </c>
      <c r="O1820" s="45">
        <f>IFERROR(INDEX(PSPct,MATCH(E1820&amp;"|"&amp;G1820,PSKey,0)),0)</f>
        <v/>
      </c>
      <c r="P1820" s="46">
        <f>INDEX(ChDoorVel,MATCH(E1820,ChName,0))*CalibScalar*(1+VelocityUplift)</f>
        <v/>
      </c>
      <c r="Q1820" s="46" t="n">
        <v>0</v>
      </c>
      <c r="R1820" s="46">
        <f>P1820*O1820*M1820*N1820*H1820</f>
        <v/>
      </c>
      <c r="S1820" s="46">
        <f>R1820*INDEX(FmtCansPerCase,MATCH(F1820,FmtName,0))</f>
        <v/>
      </c>
      <c r="T1820" s="46">
        <f>S1820/INDEX(FmtCansPerPack,MATCH(F1820,FmtName,0))</f>
        <v/>
      </c>
      <c r="U1820" s="47">
        <f>INDEX(ChBaseCP,MATCH(E1820,ChName,0))*(1+INDEX(ProvMod,MATCH(G1820,ProvCode,0)))*(1+PriceIndex)</f>
        <v/>
      </c>
      <c r="V1820" s="47">
        <f>R1820*U1820*INDEX(FmtBlendedPriceIdx,MATCH(F1820,FmtName,0))</f>
        <v/>
      </c>
      <c r="W1820" s="47">
        <f>T1820*INDEX(ProvSRP,MATCH(G1820,ProvCode,0))*(1+PriceIndex)</f>
        <v/>
      </c>
      <c r="X1820" s="47">
        <f>IF(GrossBasis="Wholesale",V1820,W1820)</f>
        <v/>
      </c>
      <c r="Y1820" s="47">
        <f>R1820*INDEX(FmtBlendedCogs,MATCH(F1820,FmtName,0))</f>
        <v/>
      </c>
      <c r="Z1820" s="47">
        <f>X1820-Y1820</f>
        <v/>
      </c>
    </row>
    <row r="1821">
      <c r="A1821" t="n">
        <v>18</v>
      </c>
      <c r="B1821" s="44">
        <f>FiscalStart+(A1821-1)*7</f>
        <v/>
      </c>
      <c r="C1821">
        <f>TEXT(B1821,"mmm yyyy")</f>
        <v/>
      </c>
      <c r="D1821">
        <f>"Q"&amp;(INT((A1821-1)/13)+1)</f>
        <v/>
      </c>
      <c r="E1821" t="inlineStr">
        <is>
          <t>Costco</t>
        </is>
      </c>
      <c r="F1821">
        <f>IFERROR(INDEX(ChFormat,MATCH(E1821,ChName,0)),"")</f>
        <v/>
      </c>
      <c r="G1821" t="inlineStr">
        <is>
          <t>ON</t>
        </is>
      </c>
      <c r="H1821">
        <f>IF(A1821&lt;=NWeeks,1,0)</f>
        <v/>
      </c>
      <c r="I1821">
        <f>INDEX(ChLaunch,MATCH(E1821,ChName,0))</f>
        <v/>
      </c>
      <c r="J1821">
        <f>INDEX(ChWeeksFull,MATCH(E1821,ChName,0))</f>
        <v/>
      </c>
      <c r="K1821">
        <f>INDEX(ChRamp,MATCH(E1821,ChName,0))</f>
        <v/>
      </c>
      <c r="L1821" s="45">
        <f>MIN(1,MAX(0,(A1821-I1821+1)*RampSpeed/J1821))</f>
        <v/>
      </c>
      <c r="M1821" s="45">
        <f>IF(A1821&lt;I1821,0,IF(K1821="S-curve",L1821*L1821*(3-2*L1821),L1821))</f>
        <v/>
      </c>
      <c r="N1821" s="45">
        <f>1+(INDEX(SeasonIdx,A1821)-1)*SeasonAmp</f>
        <v/>
      </c>
      <c r="O1821" s="45">
        <f>IFERROR(INDEX(PSPct,MATCH(E1821&amp;"|"&amp;G1821,PSKey,0)),0)</f>
        <v/>
      </c>
      <c r="P1821" s="46">
        <f>INDEX(ChDoorVel,MATCH(E1821,ChName,0))*CalibScalar*(1+VelocityUplift)</f>
        <v/>
      </c>
      <c r="Q1821" s="46" t="n">
        <v>0</v>
      </c>
      <c r="R1821" s="46">
        <f>P1821*O1821*M1821*N1821*H1821</f>
        <v/>
      </c>
      <c r="S1821" s="46">
        <f>R1821*INDEX(FmtCansPerCase,MATCH(F1821,FmtName,0))</f>
        <v/>
      </c>
      <c r="T1821" s="46">
        <f>S1821/INDEX(FmtCansPerPack,MATCH(F1821,FmtName,0))</f>
        <v/>
      </c>
      <c r="U1821" s="47">
        <f>INDEX(ChBaseCP,MATCH(E1821,ChName,0))*(1+INDEX(ProvMod,MATCH(G1821,ProvCode,0)))*(1+PriceIndex)</f>
        <v/>
      </c>
      <c r="V1821" s="47">
        <f>R1821*U1821*INDEX(FmtBlendedPriceIdx,MATCH(F1821,FmtName,0))</f>
        <v/>
      </c>
      <c r="W1821" s="47">
        <f>T1821*INDEX(ProvSRP,MATCH(G1821,ProvCode,0))*(1+PriceIndex)</f>
        <v/>
      </c>
      <c r="X1821" s="47">
        <f>IF(GrossBasis="Wholesale",V1821,W1821)</f>
        <v/>
      </c>
      <c r="Y1821" s="47">
        <f>R1821*INDEX(FmtBlendedCogs,MATCH(F1821,FmtName,0))</f>
        <v/>
      </c>
      <c r="Z1821" s="47">
        <f>X1821-Y1821</f>
        <v/>
      </c>
    </row>
    <row r="1822">
      <c r="A1822" t="n">
        <v>19</v>
      </c>
      <c r="B1822" s="44">
        <f>FiscalStart+(A1822-1)*7</f>
        <v/>
      </c>
      <c r="C1822">
        <f>TEXT(B1822,"mmm yyyy")</f>
        <v/>
      </c>
      <c r="D1822">
        <f>"Q"&amp;(INT((A1822-1)/13)+1)</f>
        <v/>
      </c>
      <c r="E1822" t="inlineStr">
        <is>
          <t>Costco</t>
        </is>
      </c>
      <c r="F1822">
        <f>IFERROR(INDEX(ChFormat,MATCH(E1822,ChName,0)),"")</f>
        <v/>
      </c>
      <c r="G1822" t="inlineStr">
        <is>
          <t>ON</t>
        </is>
      </c>
      <c r="H1822">
        <f>IF(A1822&lt;=NWeeks,1,0)</f>
        <v/>
      </c>
      <c r="I1822">
        <f>INDEX(ChLaunch,MATCH(E1822,ChName,0))</f>
        <v/>
      </c>
      <c r="J1822">
        <f>INDEX(ChWeeksFull,MATCH(E1822,ChName,0))</f>
        <v/>
      </c>
      <c r="K1822">
        <f>INDEX(ChRamp,MATCH(E1822,ChName,0))</f>
        <v/>
      </c>
      <c r="L1822" s="45">
        <f>MIN(1,MAX(0,(A1822-I1822+1)*RampSpeed/J1822))</f>
        <v/>
      </c>
      <c r="M1822" s="45">
        <f>IF(A1822&lt;I1822,0,IF(K1822="S-curve",L1822*L1822*(3-2*L1822),L1822))</f>
        <v/>
      </c>
      <c r="N1822" s="45">
        <f>1+(INDEX(SeasonIdx,A1822)-1)*SeasonAmp</f>
        <v/>
      </c>
      <c r="O1822" s="45">
        <f>IFERROR(INDEX(PSPct,MATCH(E1822&amp;"|"&amp;G1822,PSKey,0)),0)</f>
        <v/>
      </c>
      <c r="P1822" s="46">
        <f>INDEX(ChDoorVel,MATCH(E1822,ChName,0))*CalibScalar*(1+VelocityUplift)</f>
        <v/>
      </c>
      <c r="Q1822" s="46" t="n">
        <v>0</v>
      </c>
      <c r="R1822" s="46">
        <f>P1822*O1822*M1822*N1822*H1822</f>
        <v/>
      </c>
      <c r="S1822" s="46">
        <f>R1822*INDEX(FmtCansPerCase,MATCH(F1822,FmtName,0))</f>
        <v/>
      </c>
      <c r="T1822" s="46">
        <f>S1822/INDEX(FmtCansPerPack,MATCH(F1822,FmtName,0))</f>
        <v/>
      </c>
      <c r="U1822" s="47">
        <f>INDEX(ChBaseCP,MATCH(E1822,ChName,0))*(1+INDEX(ProvMod,MATCH(G1822,ProvCode,0)))*(1+PriceIndex)</f>
        <v/>
      </c>
      <c r="V1822" s="47">
        <f>R1822*U1822*INDEX(FmtBlendedPriceIdx,MATCH(F1822,FmtName,0))</f>
        <v/>
      </c>
      <c r="W1822" s="47">
        <f>T1822*INDEX(ProvSRP,MATCH(G1822,ProvCode,0))*(1+PriceIndex)</f>
        <v/>
      </c>
      <c r="X1822" s="47">
        <f>IF(GrossBasis="Wholesale",V1822,W1822)</f>
        <v/>
      </c>
      <c r="Y1822" s="47">
        <f>R1822*INDEX(FmtBlendedCogs,MATCH(F1822,FmtName,0))</f>
        <v/>
      </c>
      <c r="Z1822" s="47">
        <f>X1822-Y1822</f>
        <v/>
      </c>
    </row>
    <row r="1823">
      <c r="A1823" t="n">
        <v>20</v>
      </c>
      <c r="B1823" s="44">
        <f>FiscalStart+(A1823-1)*7</f>
        <v/>
      </c>
      <c r="C1823">
        <f>TEXT(B1823,"mmm yyyy")</f>
        <v/>
      </c>
      <c r="D1823">
        <f>"Q"&amp;(INT((A1823-1)/13)+1)</f>
        <v/>
      </c>
      <c r="E1823" t="inlineStr">
        <is>
          <t>Costco</t>
        </is>
      </c>
      <c r="F1823">
        <f>IFERROR(INDEX(ChFormat,MATCH(E1823,ChName,0)),"")</f>
        <v/>
      </c>
      <c r="G1823" t="inlineStr">
        <is>
          <t>ON</t>
        </is>
      </c>
      <c r="H1823">
        <f>IF(A1823&lt;=NWeeks,1,0)</f>
        <v/>
      </c>
      <c r="I1823">
        <f>INDEX(ChLaunch,MATCH(E1823,ChName,0))</f>
        <v/>
      </c>
      <c r="J1823">
        <f>INDEX(ChWeeksFull,MATCH(E1823,ChName,0))</f>
        <v/>
      </c>
      <c r="K1823">
        <f>INDEX(ChRamp,MATCH(E1823,ChName,0))</f>
        <v/>
      </c>
      <c r="L1823" s="45">
        <f>MIN(1,MAX(0,(A1823-I1823+1)*RampSpeed/J1823))</f>
        <v/>
      </c>
      <c r="M1823" s="45">
        <f>IF(A1823&lt;I1823,0,IF(K1823="S-curve",L1823*L1823*(3-2*L1823),L1823))</f>
        <v/>
      </c>
      <c r="N1823" s="45">
        <f>1+(INDEX(SeasonIdx,A1823)-1)*SeasonAmp</f>
        <v/>
      </c>
      <c r="O1823" s="45">
        <f>IFERROR(INDEX(PSPct,MATCH(E1823&amp;"|"&amp;G1823,PSKey,0)),0)</f>
        <v/>
      </c>
      <c r="P1823" s="46">
        <f>INDEX(ChDoorVel,MATCH(E1823,ChName,0))*CalibScalar*(1+VelocityUplift)</f>
        <v/>
      </c>
      <c r="Q1823" s="46" t="n">
        <v>0</v>
      </c>
      <c r="R1823" s="46">
        <f>P1823*O1823*M1823*N1823*H1823</f>
        <v/>
      </c>
      <c r="S1823" s="46">
        <f>R1823*INDEX(FmtCansPerCase,MATCH(F1823,FmtName,0))</f>
        <v/>
      </c>
      <c r="T1823" s="46">
        <f>S1823/INDEX(FmtCansPerPack,MATCH(F1823,FmtName,0))</f>
        <v/>
      </c>
      <c r="U1823" s="47">
        <f>INDEX(ChBaseCP,MATCH(E1823,ChName,0))*(1+INDEX(ProvMod,MATCH(G1823,ProvCode,0)))*(1+PriceIndex)</f>
        <v/>
      </c>
      <c r="V1823" s="47">
        <f>R1823*U1823*INDEX(FmtBlendedPriceIdx,MATCH(F1823,FmtName,0))</f>
        <v/>
      </c>
      <c r="W1823" s="47">
        <f>T1823*INDEX(ProvSRP,MATCH(G1823,ProvCode,0))*(1+PriceIndex)</f>
        <v/>
      </c>
      <c r="X1823" s="47">
        <f>IF(GrossBasis="Wholesale",V1823,W1823)</f>
        <v/>
      </c>
      <c r="Y1823" s="47">
        <f>R1823*INDEX(FmtBlendedCogs,MATCH(F1823,FmtName,0))</f>
        <v/>
      </c>
      <c r="Z1823" s="47">
        <f>X1823-Y1823</f>
        <v/>
      </c>
    </row>
    <row r="1824">
      <c r="A1824" t="n">
        <v>21</v>
      </c>
      <c r="B1824" s="44">
        <f>FiscalStart+(A1824-1)*7</f>
        <v/>
      </c>
      <c r="C1824">
        <f>TEXT(B1824,"mmm yyyy")</f>
        <v/>
      </c>
      <c r="D1824">
        <f>"Q"&amp;(INT((A1824-1)/13)+1)</f>
        <v/>
      </c>
      <c r="E1824" t="inlineStr">
        <is>
          <t>Costco</t>
        </is>
      </c>
      <c r="F1824">
        <f>IFERROR(INDEX(ChFormat,MATCH(E1824,ChName,0)),"")</f>
        <v/>
      </c>
      <c r="G1824" t="inlineStr">
        <is>
          <t>ON</t>
        </is>
      </c>
      <c r="H1824">
        <f>IF(A1824&lt;=NWeeks,1,0)</f>
        <v/>
      </c>
      <c r="I1824">
        <f>INDEX(ChLaunch,MATCH(E1824,ChName,0))</f>
        <v/>
      </c>
      <c r="J1824">
        <f>INDEX(ChWeeksFull,MATCH(E1824,ChName,0))</f>
        <v/>
      </c>
      <c r="K1824">
        <f>INDEX(ChRamp,MATCH(E1824,ChName,0))</f>
        <v/>
      </c>
      <c r="L1824" s="45">
        <f>MIN(1,MAX(0,(A1824-I1824+1)*RampSpeed/J1824))</f>
        <v/>
      </c>
      <c r="M1824" s="45">
        <f>IF(A1824&lt;I1824,0,IF(K1824="S-curve",L1824*L1824*(3-2*L1824),L1824))</f>
        <v/>
      </c>
      <c r="N1824" s="45">
        <f>1+(INDEX(SeasonIdx,A1824)-1)*SeasonAmp</f>
        <v/>
      </c>
      <c r="O1824" s="45">
        <f>IFERROR(INDEX(PSPct,MATCH(E1824&amp;"|"&amp;G1824,PSKey,0)),0)</f>
        <v/>
      </c>
      <c r="P1824" s="46">
        <f>INDEX(ChDoorVel,MATCH(E1824,ChName,0))*CalibScalar*(1+VelocityUplift)</f>
        <v/>
      </c>
      <c r="Q1824" s="46" t="n">
        <v>0</v>
      </c>
      <c r="R1824" s="46">
        <f>P1824*O1824*M1824*N1824*H1824</f>
        <v/>
      </c>
      <c r="S1824" s="46">
        <f>R1824*INDEX(FmtCansPerCase,MATCH(F1824,FmtName,0))</f>
        <v/>
      </c>
      <c r="T1824" s="46">
        <f>S1824/INDEX(FmtCansPerPack,MATCH(F1824,FmtName,0))</f>
        <v/>
      </c>
      <c r="U1824" s="47">
        <f>INDEX(ChBaseCP,MATCH(E1824,ChName,0))*(1+INDEX(ProvMod,MATCH(G1824,ProvCode,0)))*(1+PriceIndex)</f>
        <v/>
      </c>
      <c r="V1824" s="47">
        <f>R1824*U1824*INDEX(FmtBlendedPriceIdx,MATCH(F1824,FmtName,0))</f>
        <v/>
      </c>
      <c r="W1824" s="47">
        <f>T1824*INDEX(ProvSRP,MATCH(G1824,ProvCode,0))*(1+PriceIndex)</f>
        <v/>
      </c>
      <c r="X1824" s="47">
        <f>IF(GrossBasis="Wholesale",V1824,W1824)</f>
        <v/>
      </c>
      <c r="Y1824" s="47">
        <f>R1824*INDEX(FmtBlendedCogs,MATCH(F1824,FmtName,0))</f>
        <v/>
      </c>
      <c r="Z1824" s="47">
        <f>X1824-Y1824</f>
        <v/>
      </c>
    </row>
    <row r="1825">
      <c r="A1825" t="n">
        <v>22</v>
      </c>
      <c r="B1825" s="44">
        <f>FiscalStart+(A1825-1)*7</f>
        <v/>
      </c>
      <c r="C1825">
        <f>TEXT(B1825,"mmm yyyy")</f>
        <v/>
      </c>
      <c r="D1825">
        <f>"Q"&amp;(INT((A1825-1)/13)+1)</f>
        <v/>
      </c>
      <c r="E1825" t="inlineStr">
        <is>
          <t>Costco</t>
        </is>
      </c>
      <c r="F1825">
        <f>IFERROR(INDEX(ChFormat,MATCH(E1825,ChName,0)),"")</f>
        <v/>
      </c>
      <c r="G1825" t="inlineStr">
        <is>
          <t>ON</t>
        </is>
      </c>
      <c r="H1825">
        <f>IF(A1825&lt;=NWeeks,1,0)</f>
        <v/>
      </c>
      <c r="I1825">
        <f>INDEX(ChLaunch,MATCH(E1825,ChName,0))</f>
        <v/>
      </c>
      <c r="J1825">
        <f>INDEX(ChWeeksFull,MATCH(E1825,ChName,0))</f>
        <v/>
      </c>
      <c r="K1825">
        <f>INDEX(ChRamp,MATCH(E1825,ChName,0))</f>
        <v/>
      </c>
      <c r="L1825" s="45">
        <f>MIN(1,MAX(0,(A1825-I1825+1)*RampSpeed/J1825))</f>
        <v/>
      </c>
      <c r="M1825" s="45">
        <f>IF(A1825&lt;I1825,0,IF(K1825="S-curve",L1825*L1825*(3-2*L1825),L1825))</f>
        <v/>
      </c>
      <c r="N1825" s="45">
        <f>1+(INDEX(SeasonIdx,A1825)-1)*SeasonAmp</f>
        <v/>
      </c>
      <c r="O1825" s="45">
        <f>IFERROR(INDEX(PSPct,MATCH(E1825&amp;"|"&amp;G1825,PSKey,0)),0)</f>
        <v/>
      </c>
      <c r="P1825" s="46">
        <f>INDEX(ChDoorVel,MATCH(E1825,ChName,0))*CalibScalar*(1+VelocityUplift)</f>
        <v/>
      </c>
      <c r="Q1825" s="46" t="n">
        <v>0</v>
      </c>
      <c r="R1825" s="46">
        <f>P1825*O1825*M1825*N1825*H1825</f>
        <v/>
      </c>
      <c r="S1825" s="46">
        <f>R1825*INDEX(FmtCansPerCase,MATCH(F1825,FmtName,0))</f>
        <v/>
      </c>
      <c r="T1825" s="46">
        <f>S1825/INDEX(FmtCansPerPack,MATCH(F1825,FmtName,0))</f>
        <v/>
      </c>
      <c r="U1825" s="47">
        <f>INDEX(ChBaseCP,MATCH(E1825,ChName,0))*(1+INDEX(ProvMod,MATCH(G1825,ProvCode,0)))*(1+PriceIndex)</f>
        <v/>
      </c>
      <c r="V1825" s="47">
        <f>R1825*U1825*INDEX(FmtBlendedPriceIdx,MATCH(F1825,FmtName,0))</f>
        <v/>
      </c>
      <c r="W1825" s="47">
        <f>T1825*INDEX(ProvSRP,MATCH(G1825,ProvCode,0))*(1+PriceIndex)</f>
        <v/>
      </c>
      <c r="X1825" s="47">
        <f>IF(GrossBasis="Wholesale",V1825,W1825)</f>
        <v/>
      </c>
      <c r="Y1825" s="47">
        <f>R1825*INDEX(FmtBlendedCogs,MATCH(F1825,FmtName,0))</f>
        <v/>
      </c>
      <c r="Z1825" s="47">
        <f>X1825-Y1825</f>
        <v/>
      </c>
    </row>
    <row r="1826">
      <c r="A1826" t="n">
        <v>23</v>
      </c>
      <c r="B1826" s="44">
        <f>FiscalStart+(A1826-1)*7</f>
        <v/>
      </c>
      <c r="C1826">
        <f>TEXT(B1826,"mmm yyyy")</f>
        <v/>
      </c>
      <c r="D1826">
        <f>"Q"&amp;(INT((A1826-1)/13)+1)</f>
        <v/>
      </c>
      <c r="E1826" t="inlineStr">
        <is>
          <t>Costco</t>
        </is>
      </c>
      <c r="F1826">
        <f>IFERROR(INDEX(ChFormat,MATCH(E1826,ChName,0)),"")</f>
        <v/>
      </c>
      <c r="G1826" t="inlineStr">
        <is>
          <t>ON</t>
        </is>
      </c>
      <c r="H1826">
        <f>IF(A1826&lt;=NWeeks,1,0)</f>
        <v/>
      </c>
      <c r="I1826">
        <f>INDEX(ChLaunch,MATCH(E1826,ChName,0))</f>
        <v/>
      </c>
      <c r="J1826">
        <f>INDEX(ChWeeksFull,MATCH(E1826,ChName,0))</f>
        <v/>
      </c>
      <c r="K1826">
        <f>INDEX(ChRamp,MATCH(E1826,ChName,0))</f>
        <v/>
      </c>
      <c r="L1826" s="45">
        <f>MIN(1,MAX(0,(A1826-I1826+1)*RampSpeed/J1826))</f>
        <v/>
      </c>
      <c r="M1826" s="45">
        <f>IF(A1826&lt;I1826,0,IF(K1826="S-curve",L1826*L1826*(3-2*L1826),L1826))</f>
        <v/>
      </c>
      <c r="N1826" s="45">
        <f>1+(INDEX(SeasonIdx,A1826)-1)*SeasonAmp</f>
        <v/>
      </c>
      <c r="O1826" s="45">
        <f>IFERROR(INDEX(PSPct,MATCH(E1826&amp;"|"&amp;G1826,PSKey,0)),0)</f>
        <v/>
      </c>
      <c r="P1826" s="46">
        <f>INDEX(ChDoorVel,MATCH(E1826,ChName,0))*CalibScalar*(1+VelocityUplift)</f>
        <v/>
      </c>
      <c r="Q1826" s="46" t="n">
        <v>0</v>
      </c>
      <c r="R1826" s="46">
        <f>P1826*O1826*M1826*N1826*H1826</f>
        <v/>
      </c>
      <c r="S1826" s="46">
        <f>R1826*INDEX(FmtCansPerCase,MATCH(F1826,FmtName,0))</f>
        <v/>
      </c>
      <c r="T1826" s="46">
        <f>S1826/INDEX(FmtCansPerPack,MATCH(F1826,FmtName,0))</f>
        <v/>
      </c>
      <c r="U1826" s="47">
        <f>INDEX(ChBaseCP,MATCH(E1826,ChName,0))*(1+INDEX(ProvMod,MATCH(G1826,ProvCode,0)))*(1+PriceIndex)</f>
        <v/>
      </c>
      <c r="V1826" s="47">
        <f>R1826*U1826*INDEX(FmtBlendedPriceIdx,MATCH(F1826,FmtName,0))</f>
        <v/>
      </c>
      <c r="W1826" s="47">
        <f>T1826*INDEX(ProvSRP,MATCH(G1826,ProvCode,0))*(1+PriceIndex)</f>
        <v/>
      </c>
      <c r="X1826" s="47">
        <f>IF(GrossBasis="Wholesale",V1826,W1826)</f>
        <v/>
      </c>
      <c r="Y1826" s="47">
        <f>R1826*INDEX(FmtBlendedCogs,MATCH(F1826,FmtName,0))</f>
        <v/>
      </c>
      <c r="Z1826" s="47">
        <f>X1826-Y1826</f>
        <v/>
      </c>
    </row>
    <row r="1827">
      <c r="A1827" t="n">
        <v>24</v>
      </c>
      <c r="B1827" s="44">
        <f>FiscalStart+(A1827-1)*7</f>
        <v/>
      </c>
      <c r="C1827">
        <f>TEXT(B1827,"mmm yyyy")</f>
        <v/>
      </c>
      <c r="D1827">
        <f>"Q"&amp;(INT((A1827-1)/13)+1)</f>
        <v/>
      </c>
      <c r="E1827" t="inlineStr">
        <is>
          <t>Costco</t>
        </is>
      </c>
      <c r="F1827">
        <f>IFERROR(INDEX(ChFormat,MATCH(E1827,ChName,0)),"")</f>
        <v/>
      </c>
      <c r="G1827" t="inlineStr">
        <is>
          <t>ON</t>
        </is>
      </c>
      <c r="H1827">
        <f>IF(A1827&lt;=NWeeks,1,0)</f>
        <v/>
      </c>
      <c r="I1827">
        <f>INDEX(ChLaunch,MATCH(E1827,ChName,0))</f>
        <v/>
      </c>
      <c r="J1827">
        <f>INDEX(ChWeeksFull,MATCH(E1827,ChName,0))</f>
        <v/>
      </c>
      <c r="K1827">
        <f>INDEX(ChRamp,MATCH(E1827,ChName,0))</f>
        <v/>
      </c>
      <c r="L1827" s="45">
        <f>MIN(1,MAX(0,(A1827-I1827+1)*RampSpeed/J1827))</f>
        <v/>
      </c>
      <c r="M1827" s="45">
        <f>IF(A1827&lt;I1827,0,IF(K1827="S-curve",L1827*L1827*(3-2*L1827),L1827))</f>
        <v/>
      </c>
      <c r="N1827" s="45">
        <f>1+(INDEX(SeasonIdx,A1827)-1)*SeasonAmp</f>
        <v/>
      </c>
      <c r="O1827" s="45">
        <f>IFERROR(INDEX(PSPct,MATCH(E1827&amp;"|"&amp;G1827,PSKey,0)),0)</f>
        <v/>
      </c>
      <c r="P1827" s="46">
        <f>INDEX(ChDoorVel,MATCH(E1827,ChName,0))*CalibScalar*(1+VelocityUplift)</f>
        <v/>
      </c>
      <c r="Q1827" s="46" t="n">
        <v>0</v>
      </c>
      <c r="R1827" s="46">
        <f>P1827*O1827*M1827*N1827*H1827</f>
        <v/>
      </c>
      <c r="S1827" s="46">
        <f>R1827*INDEX(FmtCansPerCase,MATCH(F1827,FmtName,0))</f>
        <v/>
      </c>
      <c r="T1827" s="46">
        <f>S1827/INDEX(FmtCansPerPack,MATCH(F1827,FmtName,0))</f>
        <v/>
      </c>
      <c r="U1827" s="47">
        <f>INDEX(ChBaseCP,MATCH(E1827,ChName,0))*(1+INDEX(ProvMod,MATCH(G1827,ProvCode,0)))*(1+PriceIndex)</f>
        <v/>
      </c>
      <c r="V1827" s="47">
        <f>R1827*U1827*INDEX(FmtBlendedPriceIdx,MATCH(F1827,FmtName,0))</f>
        <v/>
      </c>
      <c r="W1827" s="47">
        <f>T1827*INDEX(ProvSRP,MATCH(G1827,ProvCode,0))*(1+PriceIndex)</f>
        <v/>
      </c>
      <c r="X1827" s="47">
        <f>IF(GrossBasis="Wholesale",V1827,W1827)</f>
        <v/>
      </c>
      <c r="Y1827" s="47">
        <f>R1827*INDEX(FmtBlendedCogs,MATCH(F1827,FmtName,0))</f>
        <v/>
      </c>
      <c r="Z1827" s="47">
        <f>X1827-Y1827</f>
        <v/>
      </c>
    </row>
    <row r="1828">
      <c r="A1828" t="n">
        <v>25</v>
      </c>
      <c r="B1828" s="44">
        <f>FiscalStart+(A1828-1)*7</f>
        <v/>
      </c>
      <c r="C1828">
        <f>TEXT(B1828,"mmm yyyy")</f>
        <v/>
      </c>
      <c r="D1828">
        <f>"Q"&amp;(INT((A1828-1)/13)+1)</f>
        <v/>
      </c>
      <c r="E1828" t="inlineStr">
        <is>
          <t>Costco</t>
        </is>
      </c>
      <c r="F1828">
        <f>IFERROR(INDEX(ChFormat,MATCH(E1828,ChName,0)),"")</f>
        <v/>
      </c>
      <c r="G1828" t="inlineStr">
        <is>
          <t>ON</t>
        </is>
      </c>
      <c r="H1828">
        <f>IF(A1828&lt;=NWeeks,1,0)</f>
        <v/>
      </c>
      <c r="I1828">
        <f>INDEX(ChLaunch,MATCH(E1828,ChName,0))</f>
        <v/>
      </c>
      <c r="J1828">
        <f>INDEX(ChWeeksFull,MATCH(E1828,ChName,0))</f>
        <v/>
      </c>
      <c r="K1828">
        <f>INDEX(ChRamp,MATCH(E1828,ChName,0))</f>
        <v/>
      </c>
      <c r="L1828" s="45">
        <f>MIN(1,MAX(0,(A1828-I1828+1)*RampSpeed/J1828))</f>
        <v/>
      </c>
      <c r="M1828" s="45">
        <f>IF(A1828&lt;I1828,0,IF(K1828="S-curve",L1828*L1828*(3-2*L1828),L1828))</f>
        <v/>
      </c>
      <c r="N1828" s="45">
        <f>1+(INDEX(SeasonIdx,A1828)-1)*SeasonAmp</f>
        <v/>
      </c>
      <c r="O1828" s="45">
        <f>IFERROR(INDEX(PSPct,MATCH(E1828&amp;"|"&amp;G1828,PSKey,0)),0)</f>
        <v/>
      </c>
      <c r="P1828" s="46">
        <f>INDEX(ChDoorVel,MATCH(E1828,ChName,0))*CalibScalar*(1+VelocityUplift)</f>
        <v/>
      </c>
      <c r="Q1828" s="46" t="n">
        <v>0</v>
      </c>
      <c r="R1828" s="46">
        <f>P1828*O1828*M1828*N1828*H1828</f>
        <v/>
      </c>
      <c r="S1828" s="46">
        <f>R1828*INDEX(FmtCansPerCase,MATCH(F1828,FmtName,0))</f>
        <v/>
      </c>
      <c r="T1828" s="46">
        <f>S1828/INDEX(FmtCansPerPack,MATCH(F1828,FmtName,0))</f>
        <v/>
      </c>
      <c r="U1828" s="47">
        <f>INDEX(ChBaseCP,MATCH(E1828,ChName,0))*(1+INDEX(ProvMod,MATCH(G1828,ProvCode,0)))*(1+PriceIndex)</f>
        <v/>
      </c>
      <c r="V1828" s="47">
        <f>R1828*U1828*INDEX(FmtBlendedPriceIdx,MATCH(F1828,FmtName,0))</f>
        <v/>
      </c>
      <c r="W1828" s="47">
        <f>T1828*INDEX(ProvSRP,MATCH(G1828,ProvCode,0))*(1+PriceIndex)</f>
        <v/>
      </c>
      <c r="X1828" s="47">
        <f>IF(GrossBasis="Wholesale",V1828,W1828)</f>
        <v/>
      </c>
      <c r="Y1828" s="47">
        <f>R1828*INDEX(FmtBlendedCogs,MATCH(F1828,FmtName,0))</f>
        <v/>
      </c>
      <c r="Z1828" s="47">
        <f>X1828-Y1828</f>
        <v/>
      </c>
    </row>
    <row r="1829">
      <c r="A1829" t="n">
        <v>26</v>
      </c>
      <c r="B1829" s="44">
        <f>FiscalStart+(A1829-1)*7</f>
        <v/>
      </c>
      <c r="C1829">
        <f>TEXT(B1829,"mmm yyyy")</f>
        <v/>
      </c>
      <c r="D1829">
        <f>"Q"&amp;(INT((A1829-1)/13)+1)</f>
        <v/>
      </c>
      <c r="E1829" t="inlineStr">
        <is>
          <t>Costco</t>
        </is>
      </c>
      <c r="F1829">
        <f>IFERROR(INDEX(ChFormat,MATCH(E1829,ChName,0)),"")</f>
        <v/>
      </c>
      <c r="G1829" t="inlineStr">
        <is>
          <t>ON</t>
        </is>
      </c>
      <c r="H1829">
        <f>IF(A1829&lt;=NWeeks,1,0)</f>
        <v/>
      </c>
      <c r="I1829">
        <f>INDEX(ChLaunch,MATCH(E1829,ChName,0))</f>
        <v/>
      </c>
      <c r="J1829">
        <f>INDEX(ChWeeksFull,MATCH(E1829,ChName,0))</f>
        <v/>
      </c>
      <c r="K1829">
        <f>INDEX(ChRamp,MATCH(E1829,ChName,0))</f>
        <v/>
      </c>
      <c r="L1829" s="45">
        <f>MIN(1,MAX(0,(A1829-I1829+1)*RampSpeed/J1829))</f>
        <v/>
      </c>
      <c r="M1829" s="45">
        <f>IF(A1829&lt;I1829,0,IF(K1829="S-curve",L1829*L1829*(3-2*L1829),L1829))</f>
        <v/>
      </c>
      <c r="N1829" s="45">
        <f>1+(INDEX(SeasonIdx,A1829)-1)*SeasonAmp</f>
        <v/>
      </c>
      <c r="O1829" s="45">
        <f>IFERROR(INDEX(PSPct,MATCH(E1829&amp;"|"&amp;G1829,PSKey,0)),0)</f>
        <v/>
      </c>
      <c r="P1829" s="46">
        <f>INDEX(ChDoorVel,MATCH(E1829,ChName,0))*CalibScalar*(1+VelocityUplift)</f>
        <v/>
      </c>
      <c r="Q1829" s="46" t="n">
        <v>0</v>
      </c>
      <c r="R1829" s="46">
        <f>P1829*O1829*M1829*N1829*H1829</f>
        <v/>
      </c>
      <c r="S1829" s="46">
        <f>R1829*INDEX(FmtCansPerCase,MATCH(F1829,FmtName,0))</f>
        <v/>
      </c>
      <c r="T1829" s="46">
        <f>S1829/INDEX(FmtCansPerPack,MATCH(F1829,FmtName,0))</f>
        <v/>
      </c>
      <c r="U1829" s="47">
        <f>INDEX(ChBaseCP,MATCH(E1829,ChName,0))*(1+INDEX(ProvMod,MATCH(G1829,ProvCode,0)))*(1+PriceIndex)</f>
        <v/>
      </c>
      <c r="V1829" s="47">
        <f>R1829*U1829*INDEX(FmtBlendedPriceIdx,MATCH(F1829,FmtName,0))</f>
        <v/>
      </c>
      <c r="W1829" s="47">
        <f>T1829*INDEX(ProvSRP,MATCH(G1829,ProvCode,0))*(1+PriceIndex)</f>
        <v/>
      </c>
      <c r="X1829" s="47">
        <f>IF(GrossBasis="Wholesale",V1829,W1829)</f>
        <v/>
      </c>
      <c r="Y1829" s="47">
        <f>R1829*INDEX(FmtBlendedCogs,MATCH(F1829,FmtName,0))</f>
        <v/>
      </c>
      <c r="Z1829" s="47">
        <f>X1829-Y1829</f>
        <v/>
      </c>
    </row>
    <row r="1830">
      <c r="A1830" t="n">
        <v>27</v>
      </c>
      <c r="B1830" s="44">
        <f>FiscalStart+(A1830-1)*7</f>
        <v/>
      </c>
      <c r="C1830">
        <f>TEXT(B1830,"mmm yyyy")</f>
        <v/>
      </c>
      <c r="D1830">
        <f>"Q"&amp;(INT((A1830-1)/13)+1)</f>
        <v/>
      </c>
      <c r="E1830" t="inlineStr">
        <is>
          <t>Costco</t>
        </is>
      </c>
      <c r="F1830">
        <f>IFERROR(INDEX(ChFormat,MATCH(E1830,ChName,0)),"")</f>
        <v/>
      </c>
      <c r="G1830" t="inlineStr">
        <is>
          <t>ON</t>
        </is>
      </c>
      <c r="H1830">
        <f>IF(A1830&lt;=NWeeks,1,0)</f>
        <v/>
      </c>
      <c r="I1830">
        <f>INDEX(ChLaunch,MATCH(E1830,ChName,0))</f>
        <v/>
      </c>
      <c r="J1830">
        <f>INDEX(ChWeeksFull,MATCH(E1830,ChName,0))</f>
        <v/>
      </c>
      <c r="K1830">
        <f>INDEX(ChRamp,MATCH(E1830,ChName,0))</f>
        <v/>
      </c>
      <c r="L1830" s="45">
        <f>MIN(1,MAX(0,(A1830-I1830+1)*RampSpeed/J1830))</f>
        <v/>
      </c>
      <c r="M1830" s="45">
        <f>IF(A1830&lt;I1830,0,IF(K1830="S-curve",L1830*L1830*(3-2*L1830),L1830))</f>
        <v/>
      </c>
      <c r="N1830" s="45">
        <f>1+(INDEX(SeasonIdx,A1830)-1)*SeasonAmp</f>
        <v/>
      </c>
      <c r="O1830" s="45">
        <f>IFERROR(INDEX(PSPct,MATCH(E1830&amp;"|"&amp;G1830,PSKey,0)),0)</f>
        <v/>
      </c>
      <c r="P1830" s="46">
        <f>INDEX(ChDoorVel,MATCH(E1830,ChName,0))*CalibScalar*(1+VelocityUplift)</f>
        <v/>
      </c>
      <c r="Q1830" s="46" t="n">
        <v>0</v>
      </c>
      <c r="R1830" s="46">
        <f>P1830*O1830*M1830*N1830*H1830</f>
        <v/>
      </c>
      <c r="S1830" s="46">
        <f>R1830*INDEX(FmtCansPerCase,MATCH(F1830,FmtName,0))</f>
        <v/>
      </c>
      <c r="T1830" s="46">
        <f>S1830/INDEX(FmtCansPerPack,MATCH(F1830,FmtName,0))</f>
        <v/>
      </c>
      <c r="U1830" s="47">
        <f>INDEX(ChBaseCP,MATCH(E1830,ChName,0))*(1+INDEX(ProvMod,MATCH(G1830,ProvCode,0)))*(1+PriceIndex)</f>
        <v/>
      </c>
      <c r="V1830" s="47">
        <f>R1830*U1830*INDEX(FmtBlendedPriceIdx,MATCH(F1830,FmtName,0))</f>
        <v/>
      </c>
      <c r="W1830" s="47">
        <f>T1830*INDEX(ProvSRP,MATCH(G1830,ProvCode,0))*(1+PriceIndex)</f>
        <v/>
      </c>
      <c r="X1830" s="47">
        <f>IF(GrossBasis="Wholesale",V1830,W1830)</f>
        <v/>
      </c>
      <c r="Y1830" s="47">
        <f>R1830*INDEX(FmtBlendedCogs,MATCH(F1830,FmtName,0))</f>
        <v/>
      </c>
      <c r="Z1830" s="47">
        <f>X1830-Y1830</f>
        <v/>
      </c>
    </row>
    <row r="1831">
      <c r="A1831" t="n">
        <v>28</v>
      </c>
      <c r="B1831" s="44">
        <f>FiscalStart+(A1831-1)*7</f>
        <v/>
      </c>
      <c r="C1831">
        <f>TEXT(B1831,"mmm yyyy")</f>
        <v/>
      </c>
      <c r="D1831">
        <f>"Q"&amp;(INT((A1831-1)/13)+1)</f>
        <v/>
      </c>
      <c r="E1831" t="inlineStr">
        <is>
          <t>Costco</t>
        </is>
      </c>
      <c r="F1831">
        <f>IFERROR(INDEX(ChFormat,MATCH(E1831,ChName,0)),"")</f>
        <v/>
      </c>
      <c r="G1831" t="inlineStr">
        <is>
          <t>ON</t>
        </is>
      </c>
      <c r="H1831">
        <f>IF(A1831&lt;=NWeeks,1,0)</f>
        <v/>
      </c>
      <c r="I1831">
        <f>INDEX(ChLaunch,MATCH(E1831,ChName,0))</f>
        <v/>
      </c>
      <c r="J1831">
        <f>INDEX(ChWeeksFull,MATCH(E1831,ChName,0))</f>
        <v/>
      </c>
      <c r="K1831">
        <f>INDEX(ChRamp,MATCH(E1831,ChName,0))</f>
        <v/>
      </c>
      <c r="L1831" s="45">
        <f>MIN(1,MAX(0,(A1831-I1831+1)*RampSpeed/J1831))</f>
        <v/>
      </c>
      <c r="M1831" s="45">
        <f>IF(A1831&lt;I1831,0,IF(K1831="S-curve",L1831*L1831*(3-2*L1831),L1831))</f>
        <v/>
      </c>
      <c r="N1831" s="45">
        <f>1+(INDEX(SeasonIdx,A1831)-1)*SeasonAmp</f>
        <v/>
      </c>
      <c r="O1831" s="45">
        <f>IFERROR(INDEX(PSPct,MATCH(E1831&amp;"|"&amp;G1831,PSKey,0)),0)</f>
        <v/>
      </c>
      <c r="P1831" s="46">
        <f>INDEX(ChDoorVel,MATCH(E1831,ChName,0))*CalibScalar*(1+VelocityUplift)</f>
        <v/>
      </c>
      <c r="Q1831" s="46" t="n">
        <v>0</v>
      </c>
      <c r="R1831" s="46">
        <f>P1831*O1831*M1831*N1831*H1831</f>
        <v/>
      </c>
      <c r="S1831" s="46">
        <f>R1831*INDEX(FmtCansPerCase,MATCH(F1831,FmtName,0))</f>
        <v/>
      </c>
      <c r="T1831" s="46">
        <f>S1831/INDEX(FmtCansPerPack,MATCH(F1831,FmtName,0))</f>
        <v/>
      </c>
      <c r="U1831" s="47">
        <f>INDEX(ChBaseCP,MATCH(E1831,ChName,0))*(1+INDEX(ProvMod,MATCH(G1831,ProvCode,0)))*(1+PriceIndex)</f>
        <v/>
      </c>
      <c r="V1831" s="47">
        <f>R1831*U1831*INDEX(FmtBlendedPriceIdx,MATCH(F1831,FmtName,0))</f>
        <v/>
      </c>
      <c r="W1831" s="47">
        <f>T1831*INDEX(ProvSRP,MATCH(G1831,ProvCode,0))*(1+PriceIndex)</f>
        <v/>
      </c>
      <c r="X1831" s="47">
        <f>IF(GrossBasis="Wholesale",V1831,W1831)</f>
        <v/>
      </c>
      <c r="Y1831" s="47">
        <f>R1831*INDEX(FmtBlendedCogs,MATCH(F1831,FmtName,0))</f>
        <v/>
      </c>
      <c r="Z1831" s="47">
        <f>X1831-Y1831</f>
        <v/>
      </c>
    </row>
    <row r="1832">
      <c r="A1832" t="n">
        <v>29</v>
      </c>
      <c r="B1832" s="44">
        <f>FiscalStart+(A1832-1)*7</f>
        <v/>
      </c>
      <c r="C1832">
        <f>TEXT(B1832,"mmm yyyy")</f>
        <v/>
      </c>
      <c r="D1832">
        <f>"Q"&amp;(INT((A1832-1)/13)+1)</f>
        <v/>
      </c>
      <c r="E1832" t="inlineStr">
        <is>
          <t>Costco</t>
        </is>
      </c>
      <c r="F1832">
        <f>IFERROR(INDEX(ChFormat,MATCH(E1832,ChName,0)),"")</f>
        <v/>
      </c>
      <c r="G1832" t="inlineStr">
        <is>
          <t>ON</t>
        </is>
      </c>
      <c r="H1832">
        <f>IF(A1832&lt;=NWeeks,1,0)</f>
        <v/>
      </c>
      <c r="I1832">
        <f>INDEX(ChLaunch,MATCH(E1832,ChName,0))</f>
        <v/>
      </c>
      <c r="J1832">
        <f>INDEX(ChWeeksFull,MATCH(E1832,ChName,0))</f>
        <v/>
      </c>
      <c r="K1832">
        <f>INDEX(ChRamp,MATCH(E1832,ChName,0))</f>
        <v/>
      </c>
      <c r="L1832" s="45">
        <f>MIN(1,MAX(0,(A1832-I1832+1)*RampSpeed/J1832))</f>
        <v/>
      </c>
      <c r="M1832" s="45">
        <f>IF(A1832&lt;I1832,0,IF(K1832="S-curve",L1832*L1832*(3-2*L1832),L1832))</f>
        <v/>
      </c>
      <c r="N1832" s="45">
        <f>1+(INDEX(SeasonIdx,A1832)-1)*SeasonAmp</f>
        <v/>
      </c>
      <c r="O1832" s="45">
        <f>IFERROR(INDEX(PSPct,MATCH(E1832&amp;"|"&amp;G1832,PSKey,0)),0)</f>
        <v/>
      </c>
      <c r="P1832" s="46">
        <f>INDEX(ChDoorVel,MATCH(E1832,ChName,0))*CalibScalar*(1+VelocityUplift)</f>
        <v/>
      </c>
      <c r="Q1832" s="46" t="n">
        <v>0</v>
      </c>
      <c r="R1832" s="46">
        <f>P1832*O1832*M1832*N1832*H1832</f>
        <v/>
      </c>
      <c r="S1832" s="46">
        <f>R1832*INDEX(FmtCansPerCase,MATCH(F1832,FmtName,0))</f>
        <v/>
      </c>
      <c r="T1832" s="46">
        <f>S1832/INDEX(FmtCansPerPack,MATCH(F1832,FmtName,0))</f>
        <v/>
      </c>
      <c r="U1832" s="47">
        <f>INDEX(ChBaseCP,MATCH(E1832,ChName,0))*(1+INDEX(ProvMod,MATCH(G1832,ProvCode,0)))*(1+PriceIndex)</f>
        <v/>
      </c>
      <c r="V1832" s="47">
        <f>R1832*U1832*INDEX(FmtBlendedPriceIdx,MATCH(F1832,FmtName,0))</f>
        <v/>
      </c>
      <c r="W1832" s="47">
        <f>T1832*INDEX(ProvSRP,MATCH(G1832,ProvCode,0))*(1+PriceIndex)</f>
        <v/>
      </c>
      <c r="X1832" s="47">
        <f>IF(GrossBasis="Wholesale",V1832,W1832)</f>
        <v/>
      </c>
      <c r="Y1832" s="47">
        <f>R1832*INDEX(FmtBlendedCogs,MATCH(F1832,FmtName,0))</f>
        <v/>
      </c>
      <c r="Z1832" s="47">
        <f>X1832-Y1832</f>
        <v/>
      </c>
    </row>
    <row r="1833">
      <c r="A1833" t="n">
        <v>30</v>
      </c>
      <c r="B1833" s="44">
        <f>FiscalStart+(A1833-1)*7</f>
        <v/>
      </c>
      <c r="C1833">
        <f>TEXT(B1833,"mmm yyyy")</f>
        <v/>
      </c>
      <c r="D1833">
        <f>"Q"&amp;(INT((A1833-1)/13)+1)</f>
        <v/>
      </c>
      <c r="E1833" t="inlineStr">
        <is>
          <t>Costco</t>
        </is>
      </c>
      <c r="F1833">
        <f>IFERROR(INDEX(ChFormat,MATCH(E1833,ChName,0)),"")</f>
        <v/>
      </c>
      <c r="G1833" t="inlineStr">
        <is>
          <t>ON</t>
        </is>
      </c>
      <c r="H1833">
        <f>IF(A1833&lt;=NWeeks,1,0)</f>
        <v/>
      </c>
      <c r="I1833">
        <f>INDEX(ChLaunch,MATCH(E1833,ChName,0))</f>
        <v/>
      </c>
      <c r="J1833">
        <f>INDEX(ChWeeksFull,MATCH(E1833,ChName,0))</f>
        <v/>
      </c>
      <c r="K1833">
        <f>INDEX(ChRamp,MATCH(E1833,ChName,0))</f>
        <v/>
      </c>
      <c r="L1833" s="45">
        <f>MIN(1,MAX(0,(A1833-I1833+1)*RampSpeed/J1833))</f>
        <v/>
      </c>
      <c r="M1833" s="45">
        <f>IF(A1833&lt;I1833,0,IF(K1833="S-curve",L1833*L1833*(3-2*L1833),L1833))</f>
        <v/>
      </c>
      <c r="N1833" s="45">
        <f>1+(INDEX(SeasonIdx,A1833)-1)*SeasonAmp</f>
        <v/>
      </c>
      <c r="O1833" s="45">
        <f>IFERROR(INDEX(PSPct,MATCH(E1833&amp;"|"&amp;G1833,PSKey,0)),0)</f>
        <v/>
      </c>
      <c r="P1833" s="46">
        <f>INDEX(ChDoorVel,MATCH(E1833,ChName,0))*CalibScalar*(1+VelocityUplift)</f>
        <v/>
      </c>
      <c r="Q1833" s="46" t="n">
        <v>0</v>
      </c>
      <c r="R1833" s="46">
        <f>P1833*O1833*M1833*N1833*H1833</f>
        <v/>
      </c>
      <c r="S1833" s="46">
        <f>R1833*INDEX(FmtCansPerCase,MATCH(F1833,FmtName,0))</f>
        <v/>
      </c>
      <c r="T1833" s="46">
        <f>S1833/INDEX(FmtCansPerPack,MATCH(F1833,FmtName,0))</f>
        <v/>
      </c>
      <c r="U1833" s="47">
        <f>INDEX(ChBaseCP,MATCH(E1833,ChName,0))*(1+INDEX(ProvMod,MATCH(G1833,ProvCode,0)))*(1+PriceIndex)</f>
        <v/>
      </c>
      <c r="V1833" s="47">
        <f>R1833*U1833*INDEX(FmtBlendedPriceIdx,MATCH(F1833,FmtName,0))</f>
        <v/>
      </c>
      <c r="W1833" s="47">
        <f>T1833*INDEX(ProvSRP,MATCH(G1833,ProvCode,0))*(1+PriceIndex)</f>
        <v/>
      </c>
      <c r="X1833" s="47">
        <f>IF(GrossBasis="Wholesale",V1833,W1833)</f>
        <v/>
      </c>
      <c r="Y1833" s="47">
        <f>R1833*INDEX(FmtBlendedCogs,MATCH(F1833,FmtName,0))</f>
        <v/>
      </c>
      <c r="Z1833" s="47">
        <f>X1833-Y1833</f>
        <v/>
      </c>
    </row>
    <row r="1834">
      <c r="A1834" t="n">
        <v>31</v>
      </c>
      <c r="B1834" s="44">
        <f>FiscalStart+(A1834-1)*7</f>
        <v/>
      </c>
      <c r="C1834">
        <f>TEXT(B1834,"mmm yyyy")</f>
        <v/>
      </c>
      <c r="D1834">
        <f>"Q"&amp;(INT((A1834-1)/13)+1)</f>
        <v/>
      </c>
      <c r="E1834" t="inlineStr">
        <is>
          <t>Costco</t>
        </is>
      </c>
      <c r="F1834">
        <f>IFERROR(INDEX(ChFormat,MATCH(E1834,ChName,0)),"")</f>
        <v/>
      </c>
      <c r="G1834" t="inlineStr">
        <is>
          <t>ON</t>
        </is>
      </c>
      <c r="H1834">
        <f>IF(A1834&lt;=NWeeks,1,0)</f>
        <v/>
      </c>
      <c r="I1834">
        <f>INDEX(ChLaunch,MATCH(E1834,ChName,0))</f>
        <v/>
      </c>
      <c r="J1834">
        <f>INDEX(ChWeeksFull,MATCH(E1834,ChName,0))</f>
        <v/>
      </c>
      <c r="K1834">
        <f>INDEX(ChRamp,MATCH(E1834,ChName,0))</f>
        <v/>
      </c>
      <c r="L1834" s="45">
        <f>MIN(1,MAX(0,(A1834-I1834+1)*RampSpeed/J1834))</f>
        <v/>
      </c>
      <c r="M1834" s="45">
        <f>IF(A1834&lt;I1834,0,IF(K1834="S-curve",L1834*L1834*(3-2*L1834),L1834))</f>
        <v/>
      </c>
      <c r="N1834" s="45">
        <f>1+(INDEX(SeasonIdx,A1834)-1)*SeasonAmp</f>
        <v/>
      </c>
      <c r="O1834" s="45">
        <f>IFERROR(INDEX(PSPct,MATCH(E1834&amp;"|"&amp;G1834,PSKey,0)),0)</f>
        <v/>
      </c>
      <c r="P1834" s="46">
        <f>INDEX(ChDoorVel,MATCH(E1834,ChName,0))*CalibScalar*(1+VelocityUplift)</f>
        <v/>
      </c>
      <c r="Q1834" s="46" t="n">
        <v>0</v>
      </c>
      <c r="R1834" s="46">
        <f>P1834*O1834*M1834*N1834*H1834</f>
        <v/>
      </c>
      <c r="S1834" s="46">
        <f>R1834*INDEX(FmtCansPerCase,MATCH(F1834,FmtName,0))</f>
        <v/>
      </c>
      <c r="T1834" s="46">
        <f>S1834/INDEX(FmtCansPerPack,MATCH(F1834,FmtName,0))</f>
        <v/>
      </c>
      <c r="U1834" s="47">
        <f>INDEX(ChBaseCP,MATCH(E1834,ChName,0))*(1+INDEX(ProvMod,MATCH(G1834,ProvCode,0)))*(1+PriceIndex)</f>
        <v/>
      </c>
      <c r="V1834" s="47">
        <f>R1834*U1834*INDEX(FmtBlendedPriceIdx,MATCH(F1834,FmtName,0))</f>
        <v/>
      </c>
      <c r="W1834" s="47">
        <f>T1834*INDEX(ProvSRP,MATCH(G1834,ProvCode,0))*(1+PriceIndex)</f>
        <v/>
      </c>
      <c r="X1834" s="47">
        <f>IF(GrossBasis="Wholesale",V1834,W1834)</f>
        <v/>
      </c>
      <c r="Y1834" s="47">
        <f>R1834*INDEX(FmtBlendedCogs,MATCH(F1834,FmtName,0))</f>
        <v/>
      </c>
      <c r="Z1834" s="47">
        <f>X1834-Y1834</f>
        <v/>
      </c>
    </row>
    <row r="1835">
      <c r="A1835" t="n">
        <v>32</v>
      </c>
      <c r="B1835" s="44">
        <f>FiscalStart+(A1835-1)*7</f>
        <v/>
      </c>
      <c r="C1835">
        <f>TEXT(B1835,"mmm yyyy")</f>
        <v/>
      </c>
      <c r="D1835">
        <f>"Q"&amp;(INT((A1835-1)/13)+1)</f>
        <v/>
      </c>
      <c r="E1835" t="inlineStr">
        <is>
          <t>Costco</t>
        </is>
      </c>
      <c r="F1835">
        <f>IFERROR(INDEX(ChFormat,MATCH(E1835,ChName,0)),"")</f>
        <v/>
      </c>
      <c r="G1835" t="inlineStr">
        <is>
          <t>ON</t>
        </is>
      </c>
      <c r="H1835">
        <f>IF(A1835&lt;=NWeeks,1,0)</f>
        <v/>
      </c>
      <c r="I1835">
        <f>INDEX(ChLaunch,MATCH(E1835,ChName,0))</f>
        <v/>
      </c>
      <c r="J1835">
        <f>INDEX(ChWeeksFull,MATCH(E1835,ChName,0))</f>
        <v/>
      </c>
      <c r="K1835">
        <f>INDEX(ChRamp,MATCH(E1835,ChName,0))</f>
        <v/>
      </c>
      <c r="L1835" s="45">
        <f>MIN(1,MAX(0,(A1835-I1835+1)*RampSpeed/J1835))</f>
        <v/>
      </c>
      <c r="M1835" s="45">
        <f>IF(A1835&lt;I1835,0,IF(K1835="S-curve",L1835*L1835*(3-2*L1835),L1835))</f>
        <v/>
      </c>
      <c r="N1835" s="45">
        <f>1+(INDEX(SeasonIdx,A1835)-1)*SeasonAmp</f>
        <v/>
      </c>
      <c r="O1835" s="45">
        <f>IFERROR(INDEX(PSPct,MATCH(E1835&amp;"|"&amp;G1835,PSKey,0)),0)</f>
        <v/>
      </c>
      <c r="P1835" s="46">
        <f>INDEX(ChDoorVel,MATCH(E1835,ChName,0))*CalibScalar*(1+VelocityUplift)</f>
        <v/>
      </c>
      <c r="Q1835" s="46" t="n">
        <v>0</v>
      </c>
      <c r="R1835" s="46">
        <f>P1835*O1835*M1835*N1835*H1835</f>
        <v/>
      </c>
      <c r="S1835" s="46">
        <f>R1835*INDEX(FmtCansPerCase,MATCH(F1835,FmtName,0))</f>
        <v/>
      </c>
      <c r="T1835" s="46">
        <f>S1835/INDEX(FmtCansPerPack,MATCH(F1835,FmtName,0))</f>
        <v/>
      </c>
      <c r="U1835" s="47">
        <f>INDEX(ChBaseCP,MATCH(E1835,ChName,0))*(1+INDEX(ProvMod,MATCH(G1835,ProvCode,0)))*(1+PriceIndex)</f>
        <v/>
      </c>
      <c r="V1835" s="47">
        <f>R1835*U1835*INDEX(FmtBlendedPriceIdx,MATCH(F1835,FmtName,0))</f>
        <v/>
      </c>
      <c r="W1835" s="47">
        <f>T1835*INDEX(ProvSRP,MATCH(G1835,ProvCode,0))*(1+PriceIndex)</f>
        <v/>
      </c>
      <c r="X1835" s="47">
        <f>IF(GrossBasis="Wholesale",V1835,W1835)</f>
        <v/>
      </c>
      <c r="Y1835" s="47">
        <f>R1835*INDEX(FmtBlendedCogs,MATCH(F1835,FmtName,0))</f>
        <v/>
      </c>
      <c r="Z1835" s="47">
        <f>X1835-Y1835</f>
        <v/>
      </c>
    </row>
    <row r="1836">
      <c r="A1836" t="n">
        <v>33</v>
      </c>
      <c r="B1836" s="44">
        <f>FiscalStart+(A1836-1)*7</f>
        <v/>
      </c>
      <c r="C1836">
        <f>TEXT(B1836,"mmm yyyy")</f>
        <v/>
      </c>
      <c r="D1836">
        <f>"Q"&amp;(INT((A1836-1)/13)+1)</f>
        <v/>
      </c>
      <c r="E1836" t="inlineStr">
        <is>
          <t>Costco</t>
        </is>
      </c>
      <c r="F1836">
        <f>IFERROR(INDEX(ChFormat,MATCH(E1836,ChName,0)),"")</f>
        <v/>
      </c>
      <c r="G1836" t="inlineStr">
        <is>
          <t>ON</t>
        </is>
      </c>
      <c r="H1836">
        <f>IF(A1836&lt;=NWeeks,1,0)</f>
        <v/>
      </c>
      <c r="I1836">
        <f>INDEX(ChLaunch,MATCH(E1836,ChName,0))</f>
        <v/>
      </c>
      <c r="J1836">
        <f>INDEX(ChWeeksFull,MATCH(E1836,ChName,0))</f>
        <v/>
      </c>
      <c r="K1836">
        <f>INDEX(ChRamp,MATCH(E1836,ChName,0))</f>
        <v/>
      </c>
      <c r="L1836" s="45">
        <f>MIN(1,MAX(0,(A1836-I1836+1)*RampSpeed/J1836))</f>
        <v/>
      </c>
      <c r="M1836" s="45">
        <f>IF(A1836&lt;I1836,0,IF(K1836="S-curve",L1836*L1836*(3-2*L1836),L1836))</f>
        <v/>
      </c>
      <c r="N1836" s="45">
        <f>1+(INDEX(SeasonIdx,A1836)-1)*SeasonAmp</f>
        <v/>
      </c>
      <c r="O1836" s="45">
        <f>IFERROR(INDEX(PSPct,MATCH(E1836&amp;"|"&amp;G1836,PSKey,0)),0)</f>
        <v/>
      </c>
      <c r="P1836" s="46">
        <f>INDEX(ChDoorVel,MATCH(E1836,ChName,0))*CalibScalar*(1+VelocityUplift)</f>
        <v/>
      </c>
      <c r="Q1836" s="46" t="n">
        <v>0</v>
      </c>
      <c r="R1836" s="46">
        <f>P1836*O1836*M1836*N1836*H1836</f>
        <v/>
      </c>
      <c r="S1836" s="46">
        <f>R1836*INDEX(FmtCansPerCase,MATCH(F1836,FmtName,0))</f>
        <v/>
      </c>
      <c r="T1836" s="46">
        <f>S1836/INDEX(FmtCansPerPack,MATCH(F1836,FmtName,0))</f>
        <v/>
      </c>
      <c r="U1836" s="47">
        <f>INDEX(ChBaseCP,MATCH(E1836,ChName,0))*(1+INDEX(ProvMod,MATCH(G1836,ProvCode,0)))*(1+PriceIndex)</f>
        <v/>
      </c>
      <c r="V1836" s="47">
        <f>R1836*U1836*INDEX(FmtBlendedPriceIdx,MATCH(F1836,FmtName,0))</f>
        <v/>
      </c>
      <c r="W1836" s="47">
        <f>T1836*INDEX(ProvSRP,MATCH(G1836,ProvCode,0))*(1+PriceIndex)</f>
        <v/>
      </c>
      <c r="X1836" s="47">
        <f>IF(GrossBasis="Wholesale",V1836,W1836)</f>
        <v/>
      </c>
      <c r="Y1836" s="47">
        <f>R1836*INDEX(FmtBlendedCogs,MATCH(F1836,FmtName,0))</f>
        <v/>
      </c>
      <c r="Z1836" s="47">
        <f>X1836-Y1836</f>
        <v/>
      </c>
    </row>
    <row r="1837">
      <c r="A1837" t="n">
        <v>34</v>
      </c>
      <c r="B1837" s="44">
        <f>FiscalStart+(A1837-1)*7</f>
        <v/>
      </c>
      <c r="C1837">
        <f>TEXT(B1837,"mmm yyyy")</f>
        <v/>
      </c>
      <c r="D1837">
        <f>"Q"&amp;(INT((A1837-1)/13)+1)</f>
        <v/>
      </c>
      <c r="E1837" t="inlineStr">
        <is>
          <t>Costco</t>
        </is>
      </c>
      <c r="F1837">
        <f>IFERROR(INDEX(ChFormat,MATCH(E1837,ChName,0)),"")</f>
        <v/>
      </c>
      <c r="G1837" t="inlineStr">
        <is>
          <t>ON</t>
        </is>
      </c>
      <c r="H1837">
        <f>IF(A1837&lt;=NWeeks,1,0)</f>
        <v/>
      </c>
      <c r="I1837">
        <f>INDEX(ChLaunch,MATCH(E1837,ChName,0))</f>
        <v/>
      </c>
      <c r="J1837">
        <f>INDEX(ChWeeksFull,MATCH(E1837,ChName,0))</f>
        <v/>
      </c>
      <c r="K1837">
        <f>INDEX(ChRamp,MATCH(E1837,ChName,0))</f>
        <v/>
      </c>
      <c r="L1837" s="45">
        <f>MIN(1,MAX(0,(A1837-I1837+1)*RampSpeed/J1837))</f>
        <v/>
      </c>
      <c r="M1837" s="45">
        <f>IF(A1837&lt;I1837,0,IF(K1837="S-curve",L1837*L1837*(3-2*L1837),L1837))</f>
        <v/>
      </c>
      <c r="N1837" s="45">
        <f>1+(INDEX(SeasonIdx,A1837)-1)*SeasonAmp</f>
        <v/>
      </c>
      <c r="O1837" s="45">
        <f>IFERROR(INDEX(PSPct,MATCH(E1837&amp;"|"&amp;G1837,PSKey,0)),0)</f>
        <v/>
      </c>
      <c r="P1837" s="46">
        <f>INDEX(ChDoorVel,MATCH(E1837,ChName,0))*CalibScalar*(1+VelocityUplift)</f>
        <v/>
      </c>
      <c r="Q1837" s="46" t="n">
        <v>0</v>
      </c>
      <c r="R1837" s="46">
        <f>P1837*O1837*M1837*N1837*H1837</f>
        <v/>
      </c>
      <c r="S1837" s="46">
        <f>R1837*INDEX(FmtCansPerCase,MATCH(F1837,FmtName,0))</f>
        <v/>
      </c>
      <c r="T1837" s="46">
        <f>S1837/INDEX(FmtCansPerPack,MATCH(F1837,FmtName,0))</f>
        <v/>
      </c>
      <c r="U1837" s="47">
        <f>INDEX(ChBaseCP,MATCH(E1837,ChName,0))*(1+INDEX(ProvMod,MATCH(G1837,ProvCode,0)))*(1+PriceIndex)</f>
        <v/>
      </c>
      <c r="V1837" s="47">
        <f>R1837*U1837*INDEX(FmtBlendedPriceIdx,MATCH(F1837,FmtName,0))</f>
        <v/>
      </c>
      <c r="W1837" s="47">
        <f>T1837*INDEX(ProvSRP,MATCH(G1837,ProvCode,0))*(1+PriceIndex)</f>
        <v/>
      </c>
      <c r="X1837" s="47">
        <f>IF(GrossBasis="Wholesale",V1837,W1837)</f>
        <v/>
      </c>
      <c r="Y1837" s="47">
        <f>R1837*INDEX(FmtBlendedCogs,MATCH(F1837,FmtName,0))</f>
        <v/>
      </c>
      <c r="Z1837" s="47">
        <f>X1837-Y1837</f>
        <v/>
      </c>
    </row>
    <row r="1838">
      <c r="A1838" t="n">
        <v>35</v>
      </c>
      <c r="B1838" s="44">
        <f>FiscalStart+(A1838-1)*7</f>
        <v/>
      </c>
      <c r="C1838">
        <f>TEXT(B1838,"mmm yyyy")</f>
        <v/>
      </c>
      <c r="D1838">
        <f>"Q"&amp;(INT((A1838-1)/13)+1)</f>
        <v/>
      </c>
      <c r="E1838" t="inlineStr">
        <is>
          <t>Costco</t>
        </is>
      </c>
      <c r="F1838">
        <f>IFERROR(INDEX(ChFormat,MATCH(E1838,ChName,0)),"")</f>
        <v/>
      </c>
      <c r="G1838" t="inlineStr">
        <is>
          <t>ON</t>
        </is>
      </c>
      <c r="H1838">
        <f>IF(A1838&lt;=NWeeks,1,0)</f>
        <v/>
      </c>
      <c r="I1838">
        <f>INDEX(ChLaunch,MATCH(E1838,ChName,0))</f>
        <v/>
      </c>
      <c r="J1838">
        <f>INDEX(ChWeeksFull,MATCH(E1838,ChName,0))</f>
        <v/>
      </c>
      <c r="K1838">
        <f>INDEX(ChRamp,MATCH(E1838,ChName,0))</f>
        <v/>
      </c>
      <c r="L1838" s="45">
        <f>MIN(1,MAX(0,(A1838-I1838+1)*RampSpeed/J1838))</f>
        <v/>
      </c>
      <c r="M1838" s="45">
        <f>IF(A1838&lt;I1838,0,IF(K1838="S-curve",L1838*L1838*(3-2*L1838),L1838))</f>
        <v/>
      </c>
      <c r="N1838" s="45">
        <f>1+(INDEX(SeasonIdx,A1838)-1)*SeasonAmp</f>
        <v/>
      </c>
      <c r="O1838" s="45">
        <f>IFERROR(INDEX(PSPct,MATCH(E1838&amp;"|"&amp;G1838,PSKey,0)),0)</f>
        <v/>
      </c>
      <c r="P1838" s="46">
        <f>INDEX(ChDoorVel,MATCH(E1838,ChName,0))*CalibScalar*(1+VelocityUplift)</f>
        <v/>
      </c>
      <c r="Q1838" s="46" t="n">
        <v>0</v>
      </c>
      <c r="R1838" s="46">
        <f>P1838*O1838*M1838*N1838*H1838</f>
        <v/>
      </c>
      <c r="S1838" s="46">
        <f>R1838*INDEX(FmtCansPerCase,MATCH(F1838,FmtName,0))</f>
        <v/>
      </c>
      <c r="T1838" s="46">
        <f>S1838/INDEX(FmtCansPerPack,MATCH(F1838,FmtName,0))</f>
        <v/>
      </c>
      <c r="U1838" s="47">
        <f>INDEX(ChBaseCP,MATCH(E1838,ChName,0))*(1+INDEX(ProvMod,MATCH(G1838,ProvCode,0)))*(1+PriceIndex)</f>
        <v/>
      </c>
      <c r="V1838" s="47">
        <f>R1838*U1838*INDEX(FmtBlendedPriceIdx,MATCH(F1838,FmtName,0))</f>
        <v/>
      </c>
      <c r="W1838" s="47">
        <f>T1838*INDEX(ProvSRP,MATCH(G1838,ProvCode,0))*(1+PriceIndex)</f>
        <v/>
      </c>
      <c r="X1838" s="47">
        <f>IF(GrossBasis="Wholesale",V1838,W1838)</f>
        <v/>
      </c>
      <c r="Y1838" s="47">
        <f>R1838*INDEX(FmtBlendedCogs,MATCH(F1838,FmtName,0))</f>
        <v/>
      </c>
      <c r="Z1838" s="47">
        <f>X1838-Y1838</f>
        <v/>
      </c>
    </row>
    <row r="1839">
      <c r="A1839" t="n">
        <v>36</v>
      </c>
      <c r="B1839" s="44">
        <f>FiscalStart+(A1839-1)*7</f>
        <v/>
      </c>
      <c r="C1839">
        <f>TEXT(B1839,"mmm yyyy")</f>
        <v/>
      </c>
      <c r="D1839">
        <f>"Q"&amp;(INT((A1839-1)/13)+1)</f>
        <v/>
      </c>
      <c r="E1839" t="inlineStr">
        <is>
          <t>Costco</t>
        </is>
      </c>
      <c r="F1839">
        <f>IFERROR(INDEX(ChFormat,MATCH(E1839,ChName,0)),"")</f>
        <v/>
      </c>
      <c r="G1839" t="inlineStr">
        <is>
          <t>ON</t>
        </is>
      </c>
      <c r="H1839">
        <f>IF(A1839&lt;=NWeeks,1,0)</f>
        <v/>
      </c>
      <c r="I1839">
        <f>INDEX(ChLaunch,MATCH(E1839,ChName,0))</f>
        <v/>
      </c>
      <c r="J1839">
        <f>INDEX(ChWeeksFull,MATCH(E1839,ChName,0))</f>
        <v/>
      </c>
      <c r="K1839">
        <f>INDEX(ChRamp,MATCH(E1839,ChName,0))</f>
        <v/>
      </c>
      <c r="L1839" s="45">
        <f>MIN(1,MAX(0,(A1839-I1839+1)*RampSpeed/J1839))</f>
        <v/>
      </c>
      <c r="M1839" s="45">
        <f>IF(A1839&lt;I1839,0,IF(K1839="S-curve",L1839*L1839*(3-2*L1839),L1839))</f>
        <v/>
      </c>
      <c r="N1839" s="45">
        <f>1+(INDEX(SeasonIdx,A1839)-1)*SeasonAmp</f>
        <v/>
      </c>
      <c r="O1839" s="45">
        <f>IFERROR(INDEX(PSPct,MATCH(E1839&amp;"|"&amp;G1839,PSKey,0)),0)</f>
        <v/>
      </c>
      <c r="P1839" s="46">
        <f>INDEX(ChDoorVel,MATCH(E1839,ChName,0))*CalibScalar*(1+VelocityUplift)</f>
        <v/>
      </c>
      <c r="Q1839" s="46" t="n">
        <v>0</v>
      </c>
      <c r="R1839" s="46">
        <f>P1839*O1839*M1839*N1839*H1839</f>
        <v/>
      </c>
      <c r="S1839" s="46">
        <f>R1839*INDEX(FmtCansPerCase,MATCH(F1839,FmtName,0))</f>
        <v/>
      </c>
      <c r="T1839" s="46">
        <f>S1839/INDEX(FmtCansPerPack,MATCH(F1839,FmtName,0))</f>
        <v/>
      </c>
      <c r="U1839" s="47">
        <f>INDEX(ChBaseCP,MATCH(E1839,ChName,0))*(1+INDEX(ProvMod,MATCH(G1839,ProvCode,0)))*(1+PriceIndex)</f>
        <v/>
      </c>
      <c r="V1839" s="47">
        <f>R1839*U1839*INDEX(FmtBlendedPriceIdx,MATCH(F1839,FmtName,0))</f>
        <v/>
      </c>
      <c r="W1839" s="47">
        <f>T1839*INDEX(ProvSRP,MATCH(G1839,ProvCode,0))*(1+PriceIndex)</f>
        <v/>
      </c>
      <c r="X1839" s="47">
        <f>IF(GrossBasis="Wholesale",V1839,W1839)</f>
        <v/>
      </c>
      <c r="Y1839" s="47">
        <f>R1839*INDEX(FmtBlendedCogs,MATCH(F1839,FmtName,0))</f>
        <v/>
      </c>
      <c r="Z1839" s="47">
        <f>X1839-Y1839</f>
        <v/>
      </c>
    </row>
    <row r="1840">
      <c r="A1840" t="n">
        <v>37</v>
      </c>
      <c r="B1840" s="44">
        <f>FiscalStart+(A1840-1)*7</f>
        <v/>
      </c>
      <c r="C1840">
        <f>TEXT(B1840,"mmm yyyy")</f>
        <v/>
      </c>
      <c r="D1840">
        <f>"Q"&amp;(INT((A1840-1)/13)+1)</f>
        <v/>
      </c>
      <c r="E1840" t="inlineStr">
        <is>
          <t>Costco</t>
        </is>
      </c>
      <c r="F1840">
        <f>IFERROR(INDEX(ChFormat,MATCH(E1840,ChName,0)),"")</f>
        <v/>
      </c>
      <c r="G1840" t="inlineStr">
        <is>
          <t>ON</t>
        </is>
      </c>
      <c r="H1840">
        <f>IF(A1840&lt;=NWeeks,1,0)</f>
        <v/>
      </c>
      <c r="I1840">
        <f>INDEX(ChLaunch,MATCH(E1840,ChName,0))</f>
        <v/>
      </c>
      <c r="J1840">
        <f>INDEX(ChWeeksFull,MATCH(E1840,ChName,0))</f>
        <v/>
      </c>
      <c r="K1840">
        <f>INDEX(ChRamp,MATCH(E1840,ChName,0))</f>
        <v/>
      </c>
      <c r="L1840" s="45">
        <f>MIN(1,MAX(0,(A1840-I1840+1)*RampSpeed/J1840))</f>
        <v/>
      </c>
      <c r="M1840" s="45">
        <f>IF(A1840&lt;I1840,0,IF(K1840="S-curve",L1840*L1840*(3-2*L1840),L1840))</f>
        <v/>
      </c>
      <c r="N1840" s="45">
        <f>1+(INDEX(SeasonIdx,A1840)-1)*SeasonAmp</f>
        <v/>
      </c>
      <c r="O1840" s="45">
        <f>IFERROR(INDEX(PSPct,MATCH(E1840&amp;"|"&amp;G1840,PSKey,0)),0)</f>
        <v/>
      </c>
      <c r="P1840" s="46">
        <f>INDEX(ChDoorVel,MATCH(E1840,ChName,0))*CalibScalar*(1+VelocityUplift)</f>
        <v/>
      </c>
      <c r="Q1840" s="46" t="n">
        <v>0</v>
      </c>
      <c r="R1840" s="46">
        <f>P1840*O1840*M1840*N1840*H1840</f>
        <v/>
      </c>
      <c r="S1840" s="46">
        <f>R1840*INDEX(FmtCansPerCase,MATCH(F1840,FmtName,0))</f>
        <v/>
      </c>
      <c r="T1840" s="46">
        <f>S1840/INDEX(FmtCansPerPack,MATCH(F1840,FmtName,0))</f>
        <v/>
      </c>
      <c r="U1840" s="47">
        <f>INDEX(ChBaseCP,MATCH(E1840,ChName,0))*(1+INDEX(ProvMod,MATCH(G1840,ProvCode,0)))*(1+PriceIndex)</f>
        <v/>
      </c>
      <c r="V1840" s="47">
        <f>R1840*U1840*INDEX(FmtBlendedPriceIdx,MATCH(F1840,FmtName,0))</f>
        <v/>
      </c>
      <c r="W1840" s="47">
        <f>T1840*INDEX(ProvSRP,MATCH(G1840,ProvCode,0))*(1+PriceIndex)</f>
        <v/>
      </c>
      <c r="X1840" s="47">
        <f>IF(GrossBasis="Wholesale",V1840,W1840)</f>
        <v/>
      </c>
      <c r="Y1840" s="47">
        <f>R1840*INDEX(FmtBlendedCogs,MATCH(F1840,FmtName,0))</f>
        <v/>
      </c>
      <c r="Z1840" s="47">
        <f>X1840-Y1840</f>
        <v/>
      </c>
    </row>
    <row r="1841">
      <c r="A1841" t="n">
        <v>38</v>
      </c>
      <c r="B1841" s="44">
        <f>FiscalStart+(A1841-1)*7</f>
        <v/>
      </c>
      <c r="C1841">
        <f>TEXT(B1841,"mmm yyyy")</f>
        <v/>
      </c>
      <c r="D1841">
        <f>"Q"&amp;(INT((A1841-1)/13)+1)</f>
        <v/>
      </c>
      <c r="E1841" t="inlineStr">
        <is>
          <t>Costco</t>
        </is>
      </c>
      <c r="F1841">
        <f>IFERROR(INDEX(ChFormat,MATCH(E1841,ChName,0)),"")</f>
        <v/>
      </c>
      <c r="G1841" t="inlineStr">
        <is>
          <t>ON</t>
        </is>
      </c>
      <c r="H1841">
        <f>IF(A1841&lt;=NWeeks,1,0)</f>
        <v/>
      </c>
      <c r="I1841">
        <f>INDEX(ChLaunch,MATCH(E1841,ChName,0))</f>
        <v/>
      </c>
      <c r="J1841">
        <f>INDEX(ChWeeksFull,MATCH(E1841,ChName,0))</f>
        <v/>
      </c>
      <c r="K1841">
        <f>INDEX(ChRamp,MATCH(E1841,ChName,0))</f>
        <v/>
      </c>
      <c r="L1841" s="45">
        <f>MIN(1,MAX(0,(A1841-I1841+1)*RampSpeed/J1841))</f>
        <v/>
      </c>
      <c r="M1841" s="45">
        <f>IF(A1841&lt;I1841,0,IF(K1841="S-curve",L1841*L1841*(3-2*L1841),L1841))</f>
        <v/>
      </c>
      <c r="N1841" s="45">
        <f>1+(INDEX(SeasonIdx,A1841)-1)*SeasonAmp</f>
        <v/>
      </c>
      <c r="O1841" s="45">
        <f>IFERROR(INDEX(PSPct,MATCH(E1841&amp;"|"&amp;G1841,PSKey,0)),0)</f>
        <v/>
      </c>
      <c r="P1841" s="46">
        <f>INDEX(ChDoorVel,MATCH(E1841,ChName,0))*CalibScalar*(1+VelocityUplift)</f>
        <v/>
      </c>
      <c r="Q1841" s="46" t="n">
        <v>0</v>
      </c>
      <c r="R1841" s="46">
        <f>P1841*O1841*M1841*N1841*H1841</f>
        <v/>
      </c>
      <c r="S1841" s="46">
        <f>R1841*INDEX(FmtCansPerCase,MATCH(F1841,FmtName,0))</f>
        <v/>
      </c>
      <c r="T1841" s="46">
        <f>S1841/INDEX(FmtCansPerPack,MATCH(F1841,FmtName,0))</f>
        <v/>
      </c>
      <c r="U1841" s="47">
        <f>INDEX(ChBaseCP,MATCH(E1841,ChName,0))*(1+INDEX(ProvMod,MATCH(G1841,ProvCode,0)))*(1+PriceIndex)</f>
        <v/>
      </c>
      <c r="V1841" s="47">
        <f>R1841*U1841*INDEX(FmtBlendedPriceIdx,MATCH(F1841,FmtName,0))</f>
        <v/>
      </c>
      <c r="W1841" s="47">
        <f>T1841*INDEX(ProvSRP,MATCH(G1841,ProvCode,0))*(1+PriceIndex)</f>
        <v/>
      </c>
      <c r="X1841" s="47">
        <f>IF(GrossBasis="Wholesale",V1841,W1841)</f>
        <v/>
      </c>
      <c r="Y1841" s="47">
        <f>R1841*INDEX(FmtBlendedCogs,MATCH(F1841,FmtName,0))</f>
        <v/>
      </c>
      <c r="Z1841" s="47">
        <f>X1841-Y1841</f>
        <v/>
      </c>
    </row>
    <row r="1842">
      <c r="A1842" t="n">
        <v>39</v>
      </c>
      <c r="B1842" s="44">
        <f>FiscalStart+(A1842-1)*7</f>
        <v/>
      </c>
      <c r="C1842">
        <f>TEXT(B1842,"mmm yyyy")</f>
        <v/>
      </c>
      <c r="D1842">
        <f>"Q"&amp;(INT((A1842-1)/13)+1)</f>
        <v/>
      </c>
      <c r="E1842" t="inlineStr">
        <is>
          <t>Costco</t>
        </is>
      </c>
      <c r="F1842">
        <f>IFERROR(INDEX(ChFormat,MATCH(E1842,ChName,0)),"")</f>
        <v/>
      </c>
      <c r="G1842" t="inlineStr">
        <is>
          <t>ON</t>
        </is>
      </c>
      <c r="H1842">
        <f>IF(A1842&lt;=NWeeks,1,0)</f>
        <v/>
      </c>
      <c r="I1842">
        <f>INDEX(ChLaunch,MATCH(E1842,ChName,0))</f>
        <v/>
      </c>
      <c r="J1842">
        <f>INDEX(ChWeeksFull,MATCH(E1842,ChName,0))</f>
        <v/>
      </c>
      <c r="K1842">
        <f>INDEX(ChRamp,MATCH(E1842,ChName,0))</f>
        <v/>
      </c>
      <c r="L1842" s="45">
        <f>MIN(1,MAX(0,(A1842-I1842+1)*RampSpeed/J1842))</f>
        <v/>
      </c>
      <c r="M1842" s="45">
        <f>IF(A1842&lt;I1842,0,IF(K1842="S-curve",L1842*L1842*(3-2*L1842),L1842))</f>
        <v/>
      </c>
      <c r="N1842" s="45">
        <f>1+(INDEX(SeasonIdx,A1842)-1)*SeasonAmp</f>
        <v/>
      </c>
      <c r="O1842" s="45">
        <f>IFERROR(INDEX(PSPct,MATCH(E1842&amp;"|"&amp;G1842,PSKey,0)),0)</f>
        <v/>
      </c>
      <c r="P1842" s="46">
        <f>INDEX(ChDoorVel,MATCH(E1842,ChName,0))*CalibScalar*(1+VelocityUplift)</f>
        <v/>
      </c>
      <c r="Q1842" s="46" t="n">
        <v>0</v>
      </c>
      <c r="R1842" s="46">
        <f>P1842*O1842*M1842*N1842*H1842</f>
        <v/>
      </c>
      <c r="S1842" s="46">
        <f>R1842*INDEX(FmtCansPerCase,MATCH(F1842,FmtName,0))</f>
        <v/>
      </c>
      <c r="T1842" s="46">
        <f>S1842/INDEX(FmtCansPerPack,MATCH(F1842,FmtName,0))</f>
        <v/>
      </c>
      <c r="U1842" s="47">
        <f>INDEX(ChBaseCP,MATCH(E1842,ChName,0))*(1+INDEX(ProvMod,MATCH(G1842,ProvCode,0)))*(1+PriceIndex)</f>
        <v/>
      </c>
      <c r="V1842" s="47">
        <f>R1842*U1842*INDEX(FmtBlendedPriceIdx,MATCH(F1842,FmtName,0))</f>
        <v/>
      </c>
      <c r="W1842" s="47">
        <f>T1842*INDEX(ProvSRP,MATCH(G1842,ProvCode,0))*(1+PriceIndex)</f>
        <v/>
      </c>
      <c r="X1842" s="47">
        <f>IF(GrossBasis="Wholesale",V1842,W1842)</f>
        <v/>
      </c>
      <c r="Y1842" s="47">
        <f>R1842*INDEX(FmtBlendedCogs,MATCH(F1842,FmtName,0))</f>
        <v/>
      </c>
      <c r="Z1842" s="47">
        <f>X1842-Y1842</f>
        <v/>
      </c>
    </row>
    <row r="1843">
      <c r="A1843" t="n">
        <v>40</v>
      </c>
      <c r="B1843" s="44">
        <f>FiscalStart+(A1843-1)*7</f>
        <v/>
      </c>
      <c r="C1843">
        <f>TEXT(B1843,"mmm yyyy")</f>
        <v/>
      </c>
      <c r="D1843">
        <f>"Q"&amp;(INT((A1843-1)/13)+1)</f>
        <v/>
      </c>
      <c r="E1843" t="inlineStr">
        <is>
          <t>Costco</t>
        </is>
      </c>
      <c r="F1843">
        <f>IFERROR(INDEX(ChFormat,MATCH(E1843,ChName,0)),"")</f>
        <v/>
      </c>
      <c r="G1843" t="inlineStr">
        <is>
          <t>ON</t>
        </is>
      </c>
      <c r="H1843">
        <f>IF(A1843&lt;=NWeeks,1,0)</f>
        <v/>
      </c>
      <c r="I1843">
        <f>INDEX(ChLaunch,MATCH(E1843,ChName,0))</f>
        <v/>
      </c>
      <c r="J1843">
        <f>INDEX(ChWeeksFull,MATCH(E1843,ChName,0))</f>
        <v/>
      </c>
      <c r="K1843">
        <f>INDEX(ChRamp,MATCH(E1843,ChName,0))</f>
        <v/>
      </c>
      <c r="L1843" s="45">
        <f>MIN(1,MAX(0,(A1843-I1843+1)*RampSpeed/J1843))</f>
        <v/>
      </c>
      <c r="M1843" s="45">
        <f>IF(A1843&lt;I1843,0,IF(K1843="S-curve",L1843*L1843*(3-2*L1843),L1843))</f>
        <v/>
      </c>
      <c r="N1843" s="45">
        <f>1+(INDEX(SeasonIdx,A1843)-1)*SeasonAmp</f>
        <v/>
      </c>
      <c r="O1843" s="45">
        <f>IFERROR(INDEX(PSPct,MATCH(E1843&amp;"|"&amp;G1843,PSKey,0)),0)</f>
        <v/>
      </c>
      <c r="P1843" s="46">
        <f>INDEX(ChDoorVel,MATCH(E1843,ChName,0))*CalibScalar*(1+VelocityUplift)</f>
        <v/>
      </c>
      <c r="Q1843" s="46" t="n">
        <v>0</v>
      </c>
      <c r="R1843" s="46">
        <f>P1843*O1843*M1843*N1843*H1843</f>
        <v/>
      </c>
      <c r="S1843" s="46">
        <f>R1843*INDEX(FmtCansPerCase,MATCH(F1843,FmtName,0))</f>
        <v/>
      </c>
      <c r="T1843" s="46">
        <f>S1843/INDEX(FmtCansPerPack,MATCH(F1843,FmtName,0))</f>
        <v/>
      </c>
      <c r="U1843" s="47">
        <f>INDEX(ChBaseCP,MATCH(E1843,ChName,0))*(1+INDEX(ProvMod,MATCH(G1843,ProvCode,0)))*(1+PriceIndex)</f>
        <v/>
      </c>
      <c r="V1843" s="47">
        <f>R1843*U1843*INDEX(FmtBlendedPriceIdx,MATCH(F1843,FmtName,0))</f>
        <v/>
      </c>
      <c r="W1843" s="47">
        <f>T1843*INDEX(ProvSRP,MATCH(G1843,ProvCode,0))*(1+PriceIndex)</f>
        <v/>
      </c>
      <c r="X1843" s="47">
        <f>IF(GrossBasis="Wholesale",V1843,W1843)</f>
        <v/>
      </c>
      <c r="Y1843" s="47">
        <f>R1843*INDEX(FmtBlendedCogs,MATCH(F1843,FmtName,0))</f>
        <v/>
      </c>
      <c r="Z1843" s="47">
        <f>X1843-Y1843</f>
        <v/>
      </c>
    </row>
    <row r="1844">
      <c r="A1844" t="n">
        <v>41</v>
      </c>
      <c r="B1844" s="44">
        <f>FiscalStart+(A1844-1)*7</f>
        <v/>
      </c>
      <c r="C1844">
        <f>TEXT(B1844,"mmm yyyy")</f>
        <v/>
      </c>
      <c r="D1844">
        <f>"Q"&amp;(INT((A1844-1)/13)+1)</f>
        <v/>
      </c>
      <c r="E1844" t="inlineStr">
        <is>
          <t>Costco</t>
        </is>
      </c>
      <c r="F1844">
        <f>IFERROR(INDEX(ChFormat,MATCH(E1844,ChName,0)),"")</f>
        <v/>
      </c>
      <c r="G1844" t="inlineStr">
        <is>
          <t>ON</t>
        </is>
      </c>
      <c r="H1844">
        <f>IF(A1844&lt;=NWeeks,1,0)</f>
        <v/>
      </c>
      <c r="I1844">
        <f>INDEX(ChLaunch,MATCH(E1844,ChName,0))</f>
        <v/>
      </c>
      <c r="J1844">
        <f>INDEX(ChWeeksFull,MATCH(E1844,ChName,0))</f>
        <v/>
      </c>
      <c r="K1844">
        <f>INDEX(ChRamp,MATCH(E1844,ChName,0))</f>
        <v/>
      </c>
      <c r="L1844" s="45">
        <f>MIN(1,MAX(0,(A1844-I1844+1)*RampSpeed/J1844))</f>
        <v/>
      </c>
      <c r="M1844" s="45">
        <f>IF(A1844&lt;I1844,0,IF(K1844="S-curve",L1844*L1844*(3-2*L1844),L1844))</f>
        <v/>
      </c>
      <c r="N1844" s="45">
        <f>1+(INDEX(SeasonIdx,A1844)-1)*SeasonAmp</f>
        <v/>
      </c>
      <c r="O1844" s="45">
        <f>IFERROR(INDEX(PSPct,MATCH(E1844&amp;"|"&amp;G1844,PSKey,0)),0)</f>
        <v/>
      </c>
      <c r="P1844" s="46">
        <f>INDEX(ChDoorVel,MATCH(E1844,ChName,0))*CalibScalar*(1+VelocityUplift)</f>
        <v/>
      </c>
      <c r="Q1844" s="46" t="n">
        <v>0</v>
      </c>
      <c r="R1844" s="46">
        <f>P1844*O1844*M1844*N1844*H1844</f>
        <v/>
      </c>
      <c r="S1844" s="46">
        <f>R1844*INDEX(FmtCansPerCase,MATCH(F1844,FmtName,0))</f>
        <v/>
      </c>
      <c r="T1844" s="46">
        <f>S1844/INDEX(FmtCansPerPack,MATCH(F1844,FmtName,0))</f>
        <v/>
      </c>
      <c r="U1844" s="47">
        <f>INDEX(ChBaseCP,MATCH(E1844,ChName,0))*(1+INDEX(ProvMod,MATCH(G1844,ProvCode,0)))*(1+PriceIndex)</f>
        <v/>
      </c>
      <c r="V1844" s="47">
        <f>R1844*U1844*INDEX(FmtBlendedPriceIdx,MATCH(F1844,FmtName,0))</f>
        <v/>
      </c>
      <c r="W1844" s="47">
        <f>T1844*INDEX(ProvSRP,MATCH(G1844,ProvCode,0))*(1+PriceIndex)</f>
        <v/>
      </c>
      <c r="X1844" s="47">
        <f>IF(GrossBasis="Wholesale",V1844,W1844)</f>
        <v/>
      </c>
      <c r="Y1844" s="47">
        <f>R1844*INDEX(FmtBlendedCogs,MATCH(F1844,FmtName,0))</f>
        <v/>
      </c>
      <c r="Z1844" s="47">
        <f>X1844-Y1844</f>
        <v/>
      </c>
    </row>
    <row r="1845">
      <c r="A1845" t="n">
        <v>42</v>
      </c>
      <c r="B1845" s="44">
        <f>FiscalStart+(A1845-1)*7</f>
        <v/>
      </c>
      <c r="C1845">
        <f>TEXT(B1845,"mmm yyyy")</f>
        <v/>
      </c>
      <c r="D1845">
        <f>"Q"&amp;(INT((A1845-1)/13)+1)</f>
        <v/>
      </c>
      <c r="E1845" t="inlineStr">
        <is>
          <t>Costco</t>
        </is>
      </c>
      <c r="F1845">
        <f>IFERROR(INDEX(ChFormat,MATCH(E1845,ChName,0)),"")</f>
        <v/>
      </c>
      <c r="G1845" t="inlineStr">
        <is>
          <t>ON</t>
        </is>
      </c>
      <c r="H1845">
        <f>IF(A1845&lt;=NWeeks,1,0)</f>
        <v/>
      </c>
      <c r="I1845">
        <f>INDEX(ChLaunch,MATCH(E1845,ChName,0))</f>
        <v/>
      </c>
      <c r="J1845">
        <f>INDEX(ChWeeksFull,MATCH(E1845,ChName,0))</f>
        <v/>
      </c>
      <c r="K1845">
        <f>INDEX(ChRamp,MATCH(E1845,ChName,0))</f>
        <v/>
      </c>
      <c r="L1845" s="45">
        <f>MIN(1,MAX(0,(A1845-I1845+1)*RampSpeed/J1845))</f>
        <v/>
      </c>
      <c r="M1845" s="45">
        <f>IF(A1845&lt;I1845,0,IF(K1845="S-curve",L1845*L1845*(3-2*L1845),L1845))</f>
        <v/>
      </c>
      <c r="N1845" s="45">
        <f>1+(INDEX(SeasonIdx,A1845)-1)*SeasonAmp</f>
        <v/>
      </c>
      <c r="O1845" s="45">
        <f>IFERROR(INDEX(PSPct,MATCH(E1845&amp;"|"&amp;G1845,PSKey,0)),0)</f>
        <v/>
      </c>
      <c r="P1845" s="46">
        <f>INDEX(ChDoorVel,MATCH(E1845,ChName,0))*CalibScalar*(1+VelocityUplift)</f>
        <v/>
      </c>
      <c r="Q1845" s="46" t="n">
        <v>0</v>
      </c>
      <c r="R1845" s="46">
        <f>P1845*O1845*M1845*N1845*H1845</f>
        <v/>
      </c>
      <c r="S1845" s="46">
        <f>R1845*INDEX(FmtCansPerCase,MATCH(F1845,FmtName,0))</f>
        <v/>
      </c>
      <c r="T1845" s="46">
        <f>S1845/INDEX(FmtCansPerPack,MATCH(F1845,FmtName,0))</f>
        <v/>
      </c>
      <c r="U1845" s="47">
        <f>INDEX(ChBaseCP,MATCH(E1845,ChName,0))*(1+INDEX(ProvMod,MATCH(G1845,ProvCode,0)))*(1+PriceIndex)</f>
        <v/>
      </c>
      <c r="V1845" s="47">
        <f>R1845*U1845*INDEX(FmtBlendedPriceIdx,MATCH(F1845,FmtName,0))</f>
        <v/>
      </c>
      <c r="W1845" s="47">
        <f>T1845*INDEX(ProvSRP,MATCH(G1845,ProvCode,0))*(1+PriceIndex)</f>
        <v/>
      </c>
      <c r="X1845" s="47">
        <f>IF(GrossBasis="Wholesale",V1845,W1845)</f>
        <v/>
      </c>
      <c r="Y1845" s="47">
        <f>R1845*INDEX(FmtBlendedCogs,MATCH(F1845,FmtName,0))</f>
        <v/>
      </c>
      <c r="Z1845" s="47">
        <f>X1845-Y1845</f>
        <v/>
      </c>
    </row>
    <row r="1846">
      <c r="A1846" t="n">
        <v>43</v>
      </c>
      <c r="B1846" s="44">
        <f>FiscalStart+(A1846-1)*7</f>
        <v/>
      </c>
      <c r="C1846">
        <f>TEXT(B1846,"mmm yyyy")</f>
        <v/>
      </c>
      <c r="D1846">
        <f>"Q"&amp;(INT((A1846-1)/13)+1)</f>
        <v/>
      </c>
      <c r="E1846" t="inlineStr">
        <is>
          <t>Costco</t>
        </is>
      </c>
      <c r="F1846">
        <f>IFERROR(INDEX(ChFormat,MATCH(E1846,ChName,0)),"")</f>
        <v/>
      </c>
      <c r="G1846" t="inlineStr">
        <is>
          <t>ON</t>
        </is>
      </c>
      <c r="H1846">
        <f>IF(A1846&lt;=NWeeks,1,0)</f>
        <v/>
      </c>
      <c r="I1846">
        <f>INDEX(ChLaunch,MATCH(E1846,ChName,0))</f>
        <v/>
      </c>
      <c r="J1846">
        <f>INDEX(ChWeeksFull,MATCH(E1846,ChName,0))</f>
        <v/>
      </c>
      <c r="K1846">
        <f>INDEX(ChRamp,MATCH(E1846,ChName,0))</f>
        <v/>
      </c>
      <c r="L1846" s="45">
        <f>MIN(1,MAX(0,(A1846-I1846+1)*RampSpeed/J1846))</f>
        <v/>
      </c>
      <c r="M1846" s="45">
        <f>IF(A1846&lt;I1846,0,IF(K1846="S-curve",L1846*L1846*(3-2*L1846),L1846))</f>
        <v/>
      </c>
      <c r="N1846" s="45">
        <f>1+(INDEX(SeasonIdx,A1846)-1)*SeasonAmp</f>
        <v/>
      </c>
      <c r="O1846" s="45">
        <f>IFERROR(INDEX(PSPct,MATCH(E1846&amp;"|"&amp;G1846,PSKey,0)),0)</f>
        <v/>
      </c>
      <c r="P1846" s="46">
        <f>INDEX(ChDoorVel,MATCH(E1846,ChName,0))*CalibScalar*(1+VelocityUplift)</f>
        <v/>
      </c>
      <c r="Q1846" s="46" t="n">
        <v>0</v>
      </c>
      <c r="R1846" s="46">
        <f>P1846*O1846*M1846*N1846*H1846</f>
        <v/>
      </c>
      <c r="S1846" s="46">
        <f>R1846*INDEX(FmtCansPerCase,MATCH(F1846,FmtName,0))</f>
        <v/>
      </c>
      <c r="T1846" s="46">
        <f>S1846/INDEX(FmtCansPerPack,MATCH(F1846,FmtName,0))</f>
        <v/>
      </c>
      <c r="U1846" s="47">
        <f>INDEX(ChBaseCP,MATCH(E1846,ChName,0))*(1+INDEX(ProvMod,MATCH(G1846,ProvCode,0)))*(1+PriceIndex)</f>
        <v/>
      </c>
      <c r="V1846" s="47">
        <f>R1846*U1846*INDEX(FmtBlendedPriceIdx,MATCH(F1846,FmtName,0))</f>
        <v/>
      </c>
      <c r="W1846" s="47">
        <f>T1846*INDEX(ProvSRP,MATCH(G1846,ProvCode,0))*(1+PriceIndex)</f>
        <v/>
      </c>
      <c r="X1846" s="47">
        <f>IF(GrossBasis="Wholesale",V1846,W1846)</f>
        <v/>
      </c>
      <c r="Y1846" s="47">
        <f>R1846*INDEX(FmtBlendedCogs,MATCH(F1846,FmtName,0))</f>
        <v/>
      </c>
      <c r="Z1846" s="47">
        <f>X1846-Y1846</f>
        <v/>
      </c>
    </row>
    <row r="1847">
      <c r="A1847" t="n">
        <v>44</v>
      </c>
      <c r="B1847" s="44">
        <f>FiscalStart+(A1847-1)*7</f>
        <v/>
      </c>
      <c r="C1847">
        <f>TEXT(B1847,"mmm yyyy")</f>
        <v/>
      </c>
      <c r="D1847">
        <f>"Q"&amp;(INT((A1847-1)/13)+1)</f>
        <v/>
      </c>
      <c r="E1847" t="inlineStr">
        <is>
          <t>Costco</t>
        </is>
      </c>
      <c r="F1847">
        <f>IFERROR(INDEX(ChFormat,MATCH(E1847,ChName,0)),"")</f>
        <v/>
      </c>
      <c r="G1847" t="inlineStr">
        <is>
          <t>ON</t>
        </is>
      </c>
      <c r="H1847">
        <f>IF(A1847&lt;=NWeeks,1,0)</f>
        <v/>
      </c>
      <c r="I1847">
        <f>INDEX(ChLaunch,MATCH(E1847,ChName,0))</f>
        <v/>
      </c>
      <c r="J1847">
        <f>INDEX(ChWeeksFull,MATCH(E1847,ChName,0))</f>
        <v/>
      </c>
      <c r="K1847">
        <f>INDEX(ChRamp,MATCH(E1847,ChName,0))</f>
        <v/>
      </c>
      <c r="L1847" s="45">
        <f>MIN(1,MAX(0,(A1847-I1847+1)*RampSpeed/J1847))</f>
        <v/>
      </c>
      <c r="M1847" s="45">
        <f>IF(A1847&lt;I1847,0,IF(K1847="S-curve",L1847*L1847*(3-2*L1847),L1847))</f>
        <v/>
      </c>
      <c r="N1847" s="45">
        <f>1+(INDEX(SeasonIdx,A1847)-1)*SeasonAmp</f>
        <v/>
      </c>
      <c r="O1847" s="45">
        <f>IFERROR(INDEX(PSPct,MATCH(E1847&amp;"|"&amp;G1847,PSKey,0)),0)</f>
        <v/>
      </c>
      <c r="P1847" s="46">
        <f>INDEX(ChDoorVel,MATCH(E1847,ChName,0))*CalibScalar*(1+VelocityUplift)</f>
        <v/>
      </c>
      <c r="Q1847" s="46" t="n">
        <v>0</v>
      </c>
      <c r="R1847" s="46">
        <f>P1847*O1847*M1847*N1847*H1847</f>
        <v/>
      </c>
      <c r="S1847" s="46">
        <f>R1847*INDEX(FmtCansPerCase,MATCH(F1847,FmtName,0))</f>
        <v/>
      </c>
      <c r="T1847" s="46">
        <f>S1847/INDEX(FmtCansPerPack,MATCH(F1847,FmtName,0))</f>
        <v/>
      </c>
      <c r="U1847" s="47">
        <f>INDEX(ChBaseCP,MATCH(E1847,ChName,0))*(1+INDEX(ProvMod,MATCH(G1847,ProvCode,0)))*(1+PriceIndex)</f>
        <v/>
      </c>
      <c r="V1847" s="47">
        <f>R1847*U1847*INDEX(FmtBlendedPriceIdx,MATCH(F1847,FmtName,0))</f>
        <v/>
      </c>
      <c r="W1847" s="47">
        <f>T1847*INDEX(ProvSRP,MATCH(G1847,ProvCode,0))*(1+PriceIndex)</f>
        <v/>
      </c>
      <c r="X1847" s="47">
        <f>IF(GrossBasis="Wholesale",V1847,W1847)</f>
        <v/>
      </c>
      <c r="Y1847" s="47">
        <f>R1847*INDEX(FmtBlendedCogs,MATCH(F1847,FmtName,0))</f>
        <v/>
      </c>
      <c r="Z1847" s="47">
        <f>X1847-Y1847</f>
        <v/>
      </c>
    </row>
    <row r="1848">
      <c r="A1848" t="n">
        <v>45</v>
      </c>
      <c r="B1848" s="44">
        <f>FiscalStart+(A1848-1)*7</f>
        <v/>
      </c>
      <c r="C1848">
        <f>TEXT(B1848,"mmm yyyy")</f>
        <v/>
      </c>
      <c r="D1848">
        <f>"Q"&amp;(INT((A1848-1)/13)+1)</f>
        <v/>
      </c>
      <c r="E1848" t="inlineStr">
        <is>
          <t>Costco</t>
        </is>
      </c>
      <c r="F1848">
        <f>IFERROR(INDEX(ChFormat,MATCH(E1848,ChName,0)),"")</f>
        <v/>
      </c>
      <c r="G1848" t="inlineStr">
        <is>
          <t>ON</t>
        </is>
      </c>
      <c r="H1848">
        <f>IF(A1848&lt;=NWeeks,1,0)</f>
        <v/>
      </c>
      <c r="I1848">
        <f>INDEX(ChLaunch,MATCH(E1848,ChName,0))</f>
        <v/>
      </c>
      <c r="J1848">
        <f>INDEX(ChWeeksFull,MATCH(E1848,ChName,0))</f>
        <v/>
      </c>
      <c r="K1848">
        <f>INDEX(ChRamp,MATCH(E1848,ChName,0))</f>
        <v/>
      </c>
      <c r="L1848" s="45">
        <f>MIN(1,MAX(0,(A1848-I1848+1)*RampSpeed/J1848))</f>
        <v/>
      </c>
      <c r="M1848" s="45">
        <f>IF(A1848&lt;I1848,0,IF(K1848="S-curve",L1848*L1848*(3-2*L1848),L1848))</f>
        <v/>
      </c>
      <c r="N1848" s="45">
        <f>1+(INDEX(SeasonIdx,A1848)-1)*SeasonAmp</f>
        <v/>
      </c>
      <c r="O1848" s="45">
        <f>IFERROR(INDEX(PSPct,MATCH(E1848&amp;"|"&amp;G1848,PSKey,0)),0)</f>
        <v/>
      </c>
      <c r="P1848" s="46">
        <f>INDEX(ChDoorVel,MATCH(E1848,ChName,0))*CalibScalar*(1+VelocityUplift)</f>
        <v/>
      </c>
      <c r="Q1848" s="46" t="n">
        <v>0</v>
      </c>
      <c r="R1848" s="46">
        <f>P1848*O1848*M1848*N1848*H1848</f>
        <v/>
      </c>
      <c r="S1848" s="46">
        <f>R1848*INDEX(FmtCansPerCase,MATCH(F1848,FmtName,0))</f>
        <v/>
      </c>
      <c r="T1848" s="46">
        <f>S1848/INDEX(FmtCansPerPack,MATCH(F1848,FmtName,0))</f>
        <v/>
      </c>
      <c r="U1848" s="47">
        <f>INDEX(ChBaseCP,MATCH(E1848,ChName,0))*(1+INDEX(ProvMod,MATCH(G1848,ProvCode,0)))*(1+PriceIndex)</f>
        <v/>
      </c>
      <c r="V1848" s="47">
        <f>R1848*U1848*INDEX(FmtBlendedPriceIdx,MATCH(F1848,FmtName,0))</f>
        <v/>
      </c>
      <c r="W1848" s="47">
        <f>T1848*INDEX(ProvSRP,MATCH(G1848,ProvCode,0))*(1+PriceIndex)</f>
        <v/>
      </c>
      <c r="X1848" s="47">
        <f>IF(GrossBasis="Wholesale",V1848,W1848)</f>
        <v/>
      </c>
      <c r="Y1848" s="47">
        <f>R1848*INDEX(FmtBlendedCogs,MATCH(F1848,FmtName,0))</f>
        <v/>
      </c>
      <c r="Z1848" s="47">
        <f>X1848-Y1848</f>
        <v/>
      </c>
    </row>
    <row r="1849">
      <c r="A1849" t="n">
        <v>46</v>
      </c>
      <c r="B1849" s="44">
        <f>FiscalStart+(A1849-1)*7</f>
        <v/>
      </c>
      <c r="C1849">
        <f>TEXT(B1849,"mmm yyyy")</f>
        <v/>
      </c>
      <c r="D1849">
        <f>"Q"&amp;(INT((A1849-1)/13)+1)</f>
        <v/>
      </c>
      <c r="E1849" t="inlineStr">
        <is>
          <t>Costco</t>
        </is>
      </c>
      <c r="F1849">
        <f>IFERROR(INDEX(ChFormat,MATCH(E1849,ChName,0)),"")</f>
        <v/>
      </c>
      <c r="G1849" t="inlineStr">
        <is>
          <t>ON</t>
        </is>
      </c>
      <c r="H1849">
        <f>IF(A1849&lt;=NWeeks,1,0)</f>
        <v/>
      </c>
      <c r="I1849">
        <f>INDEX(ChLaunch,MATCH(E1849,ChName,0))</f>
        <v/>
      </c>
      <c r="J1849">
        <f>INDEX(ChWeeksFull,MATCH(E1849,ChName,0))</f>
        <v/>
      </c>
      <c r="K1849">
        <f>INDEX(ChRamp,MATCH(E1849,ChName,0))</f>
        <v/>
      </c>
      <c r="L1849" s="45">
        <f>MIN(1,MAX(0,(A1849-I1849+1)*RampSpeed/J1849))</f>
        <v/>
      </c>
      <c r="M1849" s="45">
        <f>IF(A1849&lt;I1849,0,IF(K1849="S-curve",L1849*L1849*(3-2*L1849),L1849))</f>
        <v/>
      </c>
      <c r="N1849" s="45">
        <f>1+(INDEX(SeasonIdx,A1849)-1)*SeasonAmp</f>
        <v/>
      </c>
      <c r="O1849" s="45">
        <f>IFERROR(INDEX(PSPct,MATCH(E1849&amp;"|"&amp;G1849,PSKey,0)),0)</f>
        <v/>
      </c>
      <c r="P1849" s="46">
        <f>INDEX(ChDoorVel,MATCH(E1849,ChName,0))*CalibScalar*(1+VelocityUplift)</f>
        <v/>
      </c>
      <c r="Q1849" s="46" t="n">
        <v>0</v>
      </c>
      <c r="R1849" s="46">
        <f>P1849*O1849*M1849*N1849*H1849</f>
        <v/>
      </c>
      <c r="S1849" s="46">
        <f>R1849*INDEX(FmtCansPerCase,MATCH(F1849,FmtName,0))</f>
        <v/>
      </c>
      <c r="T1849" s="46">
        <f>S1849/INDEX(FmtCansPerPack,MATCH(F1849,FmtName,0))</f>
        <v/>
      </c>
      <c r="U1849" s="47">
        <f>INDEX(ChBaseCP,MATCH(E1849,ChName,0))*(1+INDEX(ProvMod,MATCH(G1849,ProvCode,0)))*(1+PriceIndex)</f>
        <v/>
      </c>
      <c r="V1849" s="47">
        <f>R1849*U1849*INDEX(FmtBlendedPriceIdx,MATCH(F1849,FmtName,0))</f>
        <v/>
      </c>
      <c r="W1849" s="47">
        <f>T1849*INDEX(ProvSRP,MATCH(G1849,ProvCode,0))*(1+PriceIndex)</f>
        <v/>
      </c>
      <c r="X1849" s="47">
        <f>IF(GrossBasis="Wholesale",V1849,W1849)</f>
        <v/>
      </c>
      <c r="Y1849" s="47">
        <f>R1849*INDEX(FmtBlendedCogs,MATCH(F1849,FmtName,0))</f>
        <v/>
      </c>
      <c r="Z1849" s="47">
        <f>X1849-Y1849</f>
        <v/>
      </c>
    </row>
    <row r="1850">
      <c r="A1850" t="n">
        <v>47</v>
      </c>
      <c r="B1850" s="44">
        <f>FiscalStart+(A1850-1)*7</f>
        <v/>
      </c>
      <c r="C1850">
        <f>TEXT(B1850,"mmm yyyy")</f>
        <v/>
      </c>
      <c r="D1850">
        <f>"Q"&amp;(INT((A1850-1)/13)+1)</f>
        <v/>
      </c>
      <c r="E1850" t="inlineStr">
        <is>
          <t>Costco</t>
        </is>
      </c>
      <c r="F1850">
        <f>IFERROR(INDEX(ChFormat,MATCH(E1850,ChName,0)),"")</f>
        <v/>
      </c>
      <c r="G1850" t="inlineStr">
        <is>
          <t>ON</t>
        </is>
      </c>
      <c r="H1850">
        <f>IF(A1850&lt;=NWeeks,1,0)</f>
        <v/>
      </c>
      <c r="I1850">
        <f>INDEX(ChLaunch,MATCH(E1850,ChName,0))</f>
        <v/>
      </c>
      <c r="J1850">
        <f>INDEX(ChWeeksFull,MATCH(E1850,ChName,0))</f>
        <v/>
      </c>
      <c r="K1850">
        <f>INDEX(ChRamp,MATCH(E1850,ChName,0))</f>
        <v/>
      </c>
      <c r="L1850" s="45">
        <f>MIN(1,MAX(0,(A1850-I1850+1)*RampSpeed/J1850))</f>
        <v/>
      </c>
      <c r="M1850" s="45">
        <f>IF(A1850&lt;I1850,0,IF(K1850="S-curve",L1850*L1850*(3-2*L1850),L1850))</f>
        <v/>
      </c>
      <c r="N1850" s="45">
        <f>1+(INDEX(SeasonIdx,A1850)-1)*SeasonAmp</f>
        <v/>
      </c>
      <c r="O1850" s="45">
        <f>IFERROR(INDEX(PSPct,MATCH(E1850&amp;"|"&amp;G1850,PSKey,0)),0)</f>
        <v/>
      </c>
      <c r="P1850" s="46">
        <f>INDEX(ChDoorVel,MATCH(E1850,ChName,0))*CalibScalar*(1+VelocityUplift)</f>
        <v/>
      </c>
      <c r="Q1850" s="46" t="n">
        <v>0</v>
      </c>
      <c r="R1850" s="46">
        <f>P1850*O1850*M1850*N1850*H1850</f>
        <v/>
      </c>
      <c r="S1850" s="46">
        <f>R1850*INDEX(FmtCansPerCase,MATCH(F1850,FmtName,0))</f>
        <v/>
      </c>
      <c r="T1850" s="46">
        <f>S1850/INDEX(FmtCansPerPack,MATCH(F1850,FmtName,0))</f>
        <v/>
      </c>
      <c r="U1850" s="47">
        <f>INDEX(ChBaseCP,MATCH(E1850,ChName,0))*(1+INDEX(ProvMod,MATCH(G1850,ProvCode,0)))*(1+PriceIndex)</f>
        <v/>
      </c>
      <c r="V1850" s="47">
        <f>R1850*U1850*INDEX(FmtBlendedPriceIdx,MATCH(F1850,FmtName,0))</f>
        <v/>
      </c>
      <c r="W1850" s="47">
        <f>T1850*INDEX(ProvSRP,MATCH(G1850,ProvCode,0))*(1+PriceIndex)</f>
        <v/>
      </c>
      <c r="X1850" s="47">
        <f>IF(GrossBasis="Wholesale",V1850,W1850)</f>
        <v/>
      </c>
      <c r="Y1850" s="47">
        <f>R1850*INDEX(FmtBlendedCogs,MATCH(F1850,FmtName,0))</f>
        <v/>
      </c>
      <c r="Z1850" s="47">
        <f>X1850-Y1850</f>
        <v/>
      </c>
    </row>
    <row r="1851">
      <c r="A1851" t="n">
        <v>48</v>
      </c>
      <c r="B1851" s="44">
        <f>FiscalStart+(A1851-1)*7</f>
        <v/>
      </c>
      <c r="C1851">
        <f>TEXT(B1851,"mmm yyyy")</f>
        <v/>
      </c>
      <c r="D1851">
        <f>"Q"&amp;(INT((A1851-1)/13)+1)</f>
        <v/>
      </c>
      <c r="E1851" t="inlineStr">
        <is>
          <t>Costco</t>
        </is>
      </c>
      <c r="F1851">
        <f>IFERROR(INDEX(ChFormat,MATCH(E1851,ChName,0)),"")</f>
        <v/>
      </c>
      <c r="G1851" t="inlineStr">
        <is>
          <t>ON</t>
        </is>
      </c>
      <c r="H1851">
        <f>IF(A1851&lt;=NWeeks,1,0)</f>
        <v/>
      </c>
      <c r="I1851">
        <f>INDEX(ChLaunch,MATCH(E1851,ChName,0))</f>
        <v/>
      </c>
      <c r="J1851">
        <f>INDEX(ChWeeksFull,MATCH(E1851,ChName,0))</f>
        <v/>
      </c>
      <c r="K1851">
        <f>INDEX(ChRamp,MATCH(E1851,ChName,0))</f>
        <v/>
      </c>
      <c r="L1851" s="45">
        <f>MIN(1,MAX(0,(A1851-I1851+1)*RampSpeed/J1851))</f>
        <v/>
      </c>
      <c r="M1851" s="45">
        <f>IF(A1851&lt;I1851,0,IF(K1851="S-curve",L1851*L1851*(3-2*L1851),L1851))</f>
        <v/>
      </c>
      <c r="N1851" s="45">
        <f>1+(INDEX(SeasonIdx,A1851)-1)*SeasonAmp</f>
        <v/>
      </c>
      <c r="O1851" s="45">
        <f>IFERROR(INDEX(PSPct,MATCH(E1851&amp;"|"&amp;G1851,PSKey,0)),0)</f>
        <v/>
      </c>
      <c r="P1851" s="46">
        <f>INDEX(ChDoorVel,MATCH(E1851,ChName,0))*CalibScalar*(1+VelocityUplift)</f>
        <v/>
      </c>
      <c r="Q1851" s="46" t="n">
        <v>0</v>
      </c>
      <c r="R1851" s="46">
        <f>P1851*O1851*M1851*N1851*H1851</f>
        <v/>
      </c>
      <c r="S1851" s="46">
        <f>R1851*INDEX(FmtCansPerCase,MATCH(F1851,FmtName,0))</f>
        <v/>
      </c>
      <c r="T1851" s="46">
        <f>S1851/INDEX(FmtCansPerPack,MATCH(F1851,FmtName,0))</f>
        <v/>
      </c>
      <c r="U1851" s="47">
        <f>INDEX(ChBaseCP,MATCH(E1851,ChName,0))*(1+INDEX(ProvMod,MATCH(G1851,ProvCode,0)))*(1+PriceIndex)</f>
        <v/>
      </c>
      <c r="V1851" s="47">
        <f>R1851*U1851*INDEX(FmtBlendedPriceIdx,MATCH(F1851,FmtName,0))</f>
        <v/>
      </c>
      <c r="W1851" s="47">
        <f>T1851*INDEX(ProvSRP,MATCH(G1851,ProvCode,0))*(1+PriceIndex)</f>
        <v/>
      </c>
      <c r="X1851" s="47">
        <f>IF(GrossBasis="Wholesale",V1851,W1851)</f>
        <v/>
      </c>
      <c r="Y1851" s="47">
        <f>R1851*INDEX(FmtBlendedCogs,MATCH(F1851,FmtName,0))</f>
        <v/>
      </c>
      <c r="Z1851" s="47">
        <f>X1851-Y1851</f>
        <v/>
      </c>
    </row>
    <row r="1852">
      <c r="A1852" t="n">
        <v>49</v>
      </c>
      <c r="B1852" s="44">
        <f>FiscalStart+(A1852-1)*7</f>
        <v/>
      </c>
      <c r="C1852">
        <f>TEXT(B1852,"mmm yyyy")</f>
        <v/>
      </c>
      <c r="D1852">
        <f>"Q"&amp;(INT((A1852-1)/13)+1)</f>
        <v/>
      </c>
      <c r="E1852" t="inlineStr">
        <is>
          <t>Costco</t>
        </is>
      </c>
      <c r="F1852">
        <f>IFERROR(INDEX(ChFormat,MATCH(E1852,ChName,0)),"")</f>
        <v/>
      </c>
      <c r="G1852" t="inlineStr">
        <is>
          <t>ON</t>
        </is>
      </c>
      <c r="H1852">
        <f>IF(A1852&lt;=NWeeks,1,0)</f>
        <v/>
      </c>
      <c r="I1852">
        <f>INDEX(ChLaunch,MATCH(E1852,ChName,0))</f>
        <v/>
      </c>
      <c r="J1852">
        <f>INDEX(ChWeeksFull,MATCH(E1852,ChName,0))</f>
        <v/>
      </c>
      <c r="K1852">
        <f>INDEX(ChRamp,MATCH(E1852,ChName,0))</f>
        <v/>
      </c>
      <c r="L1852" s="45">
        <f>MIN(1,MAX(0,(A1852-I1852+1)*RampSpeed/J1852))</f>
        <v/>
      </c>
      <c r="M1852" s="45">
        <f>IF(A1852&lt;I1852,0,IF(K1852="S-curve",L1852*L1852*(3-2*L1852),L1852))</f>
        <v/>
      </c>
      <c r="N1852" s="45">
        <f>1+(INDEX(SeasonIdx,A1852)-1)*SeasonAmp</f>
        <v/>
      </c>
      <c r="O1852" s="45">
        <f>IFERROR(INDEX(PSPct,MATCH(E1852&amp;"|"&amp;G1852,PSKey,0)),0)</f>
        <v/>
      </c>
      <c r="P1852" s="46">
        <f>INDEX(ChDoorVel,MATCH(E1852,ChName,0))*CalibScalar*(1+VelocityUplift)</f>
        <v/>
      </c>
      <c r="Q1852" s="46" t="n">
        <v>0</v>
      </c>
      <c r="R1852" s="46">
        <f>P1852*O1852*M1852*N1852*H1852</f>
        <v/>
      </c>
      <c r="S1852" s="46">
        <f>R1852*INDEX(FmtCansPerCase,MATCH(F1852,FmtName,0))</f>
        <v/>
      </c>
      <c r="T1852" s="46">
        <f>S1852/INDEX(FmtCansPerPack,MATCH(F1852,FmtName,0))</f>
        <v/>
      </c>
      <c r="U1852" s="47">
        <f>INDEX(ChBaseCP,MATCH(E1852,ChName,0))*(1+INDEX(ProvMod,MATCH(G1852,ProvCode,0)))*(1+PriceIndex)</f>
        <v/>
      </c>
      <c r="V1852" s="47">
        <f>R1852*U1852*INDEX(FmtBlendedPriceIdx,MATCH(F1852,FmtName,0))</f>
        <v/>
      </c>
      <c r="W1852" s="47">
        <f>T1852*INDEX(ProvSRP,MATCH(G1852,ProvCode,0))*(1+PriceIndex)</f>
        <v/>
      </c>
      <c r="X1852" s="47">
        <f>IF(GrossBasis="Wholesale",V1852,W1852)</f>
        <v/>
      </c>
      <c r="Y1852" s="47">
        <f>R1852*INDEX(FmtBlendedCogs,MATCH(F1852,FmtName,0))</f>
        <v/>
      </c>
      <c r="Z1852" s="47">
        <f>X1852-Y1852</f>
        <v/>
      </c>
    </row>
    <row r="1853">
      <c r="A1853" t="n">
        <v>50</v>
      </c>
      <c r="B1853" s="44">
        <f>FiscalStart+(A1853-1)*7</f>
        <v/>
      </c>
      <c r="C1853">
        <f>TEXT(B1853,"mmm yyyy")</f>
        <v/>
      </c>
      <c r="D1853">
        <f>"Q"&amp;(INT((A1853-1)/13)+1)</f>
        <v/>
      </c>
      <c r="E1853" t="inlineStr">
        <is>
          <t>Costco</t>
        </is>
      </c>
      <c r="F1853">
        <f>IFERROR(INDEX(ChFormat,MATCH(E1853,ChName,0)),"")</f>
        <v/>
      </c>
      <c r="G1853" t="inlineStr">
        <is>
          <t>ON</t>
        </is>
      </c>
      <c r="H1853">
        <f>IF(A1853&lt;=NWeeks,1,0)</f>
        <v/>
      </c>
      <c r="I1853">
        <f>INDEX(ChLaunch,MATCH(E1853,ChName,0))</f>
        <v/>
      </c>
      <c r="J1853">
        <f>INDEX(ChWeeksFull,MATCH(E1853,ChName,0))</f>
        <v/>
      </c>
      <c r="K1853">
        <f>INDEX(ChRamp,MATCH(E1853,ChName,0))</f>
        <v/>
      </c>
      <c r="L1853" s="45">
        <f>MIN(1,MAX(0,(A1853-I1853+1)*RampSpeed/J1853))</f>
        <v/>
      </c>
      <c r="M1853" s="45">
        <f>IF(A1853&lt;I1853,0,IF(K1853="S-curve",L1853*L1853*(3-2*L1853),L1853))</f>
        <v/>
      </c>
      <c r="N1853" s="45">
        <f>1+(INDEX(SeasonIdx,A1853)-1)*SeasonAmp</f>
        <v/>
      </c>
      <c r="O1853" s="45">
        <f>IFERROR(INDEX(PSPct,MATCH(E1853&amp;"|"&amp;G1853,PSKey,0)),0)</f>
        <v/>
      </c>
      <c r="P1853" s="46">
        <f>INDEX(ChDoorVel,MATCH(E1853,ChName,0))*CalibScalar*(1+VelocityUplift)</f>
        <v/>
      </c>
      <c r="Q1853" s="46" t="n">
        <v>0</v>
      </c>
      <c r="R1853" s="46">
        <f>P1853*O1853*M1853*N1853*H1853</f>
        <v/>
      </c>
      <c r="S1853" s="46">
        <f>R1853*INDEX(FmtCansPerCase,MATCH(F1853,FmtName,0))</f>
        <v/>
      </c>
      <c r="T1853" s="46">
        <f>S1853/INDEX(FmtCansPerPack,MATCH(F1853,FmtName,0))</f>
        <v/>
      </c>
      <c r="U1853" s="47">
        <f>INDEX(ChBaseCP,MATCH(E1853,ChName,0))*(1+INDEX(ProvMod,MATCH(G1853,ProvCode,0)))*(1+PriceIndex)</f>
        <v/>
      </c>
      <c r="V1853" s="47">
        <f>R1853*U1853*INDEX(FmtBlendedPriceIdx,MATCH(F1853,FmtName,0))</f>
        <v/>
      </c>
      <c r="W1853" s="47">
        <f>T1853*INDEX(ProvSRP,MATCH(G1853,ProvCode,0))*(1+PriceIndex)</f>
        <v/>
      </c>
      <c r="X1853" s="47">
        <f>IF(GrossBasis="Wholesale",V1853,W1853)</f>
        <v/>
      </c>
      <c r="Y1853" s="47">
        <f>R1853*INDEX(FmtBlendedCogs,MATCH(F1853,FmtName,0))</f>
        <v/>
      </c>
      <c r="Z1853" s="47">
        <f>X1853-Y1853</f>
        <v/>
      </c>
    </row>
    <row r="1854">
      <c r="A1854" t="n">
        <v>51</v>
      </c>
      <c r="B1854" s="44">
        <f>FiscalStart+(A1854-1)*7</f>
        <v/>
      </c>
      <c r="C1854">
        <f>TEXT(B1854,"mmm yyyy")</f>
        <v/>
      </c>
      <c r="D1854">
        <f>"Q"&amp;(INT((A1854-1)/13)+1)</f>
        <v/>
      </c>
      <c r="E1854" t="inlineStr">
        <is>
          <t>Costco</t>
        </is>
      </c>
      <c r="F1854">
        <f>IFERROR(INDEX(ChFormat,MATCH(E1854,ChName,0)),"")</f>
        <v/>
      </c>
      <c r="G1854" t="inlineStr">
        <is>
          <t>ON</t>
        </is>
      </c>
      <c r="H1854">
        <f>IF(A1854&lt;=NWeeks,1,0)</f>
        <v/>
      </c>
      <c r="I1854">
        <f>INDEX(ChLaunch,MATCH(E1854,ChName,0))</f>
        <v/>
      </c>
      <c r="J1854">
        <f>INDEX(ChWeeksFull,MATCH(E1854,ChName,0))</f>
        <v/>
      </c>
      <c r="K1854">
        <f>INDEX(ChRamp,MATCH(E1854,ChName,0))</f>
        <v/>
      </c>
      <c r="L1854" s="45">
        <f>MIN(1,MAX(0,(A1854-I1854+1)*RampSpeed/J1854))</f>
        <v/>
      </c>
      <c r="M1854" s="45">
        <f>IF(A1854&lt;I1854,0,IF(K1854="S-curve",L1854*L1854*(3-2*L1854),L1854))</f>
        <v/>
      </c>
      <c r="N1854" s="45">
        <f>1+(INDEX(SeasonIdx,A1854)-1)*SeasonAmp</f>
        <v/>
      </c>
      <c r="O1854" s="45">
        <f>IFERROR(INDEX(PSPct,MATCH(E1854&amp;"|"&amp;G1854,PSKey,0)),0)</f>
        <v/>
      </c>
      <c r="P1854" s="46">
        <f>INDEX(ChDoorVel,MATCH(E1854,ChName,0))*CalibScalar*(1+VelocityUplift)</f>
        <v/>
      </c>
      <c r="Q1854" s="46" t="n">
        <v>0</v>
      </c>
      <c r="R1854" s="46">
        <f>P1854*O1854*M1854*N1854*H1854</f>
        <v/>
      </c>
      <c r="S1854" s="46">
        <f>R1854*INDEX(FmtCansPerCase,MATCH(F1854,FmtName,0))</f>
        <v/>
      </c>
      <c r="T1854" s="46">
        <f>S1854/INDEX(FmtCansPerPack,MATCH(F1854,FmtName,0))</f>
        <v/>
      </c>
      <c r="U1854" s="47">
        <f>INDEX(ChBaseCP,MATCH(E1854,ChName,0))*(1+INDEX(ProvMod,MATCH(G1854,ProvCode,0)))*(1+PriceIndex)</f>
        <v/>
      </c>
      <c r="V1854" s="47">
        <f>R1854*U1854*INDEX(FmtBlendedPriceIdx,MATCH(F1854,FmtName,0))</f>
        <v/>
      </c>
      <c r="W1854" s="47">
        <f>T1854*INDEX(ProvSRP,MATCH(G1854,ProvCode,0))*(1+PriceIndex)</f>
        <v/>
      </c>
      <c r="X1854" s="47">
        <f>IF(GrossBasis="Wholesale",V1854,W1854)</f>
        <v/>
      </c>
      <c r="Y1854" s="47">
        <f>R1854*INDEX(FmtBlendedCogs,MATCH(F1854,FmtName,0))</f>
        <v/>
      </c>
      <c r="Z1854" s="47">
        <f>X1854-Y1854</f>
        <v/>
      </c>
    </row>
    <row r="1855">
      <c r="A1855" t="n">
        <v>52</v>
      </c>
      <c r="B1855" s="44">
        <f>FiscalStart+(A1855-1)*7</f>
        <v/>
      </c>
      <c r="C1855">
        <f>TEXT(B1855,"mmm yyyy")</f>
        <v/>
      </c>
      <c r="D1855">
        <f>"Q"&amp;(INT((A1855-1)/13)+1)</f>
        <v/>
      </c>
      <c r="E1855" t="inlineStr">
        <is>
          <t>Costco</t>
        </is>
      </c>
      <c r="F1855">
        <f>IFERROR(INDEX(ChFormat,MATCH(E1855,ChName,0)),"")</f>
        <v/>
      </c>
      <c r="G1855" t="inlineStr">
        <is>
          <t>ON</t>
        </is>
      </c>
      <c r="H1855">
        <f>IF(A1855&lt;=NWeeks,1,0)</f>
        <v/>
      </c>
      <c r="I1855">
        <f>INDEX(ChLaunch,MATCH(E1855,ChName,0))</f>
        <v/>
      </c>
      <c r="J1855">
        <f>INDEX(ChWeeksFull,MATCH(E1855,ChName,0))</f>
        <v/>
      </c>
      <c r="K1855">
        <f>INDEX(ChRamp,MATCH(E1855,ChName,0))</f>
        <v/>
      </c>
      <c r="L1855" s="45">
        <f>MIN(1,MAX(0,(A1855-I1855+1)*RampSpeed/J1855))</f>
        <v/>
      </c>
      <c r="M1855" s="45">
        <f>IF(A1855&lt;I1855,0,IF(K1855="S-curve",L1855*L1855*(3-2*L1855),L1855))</f>
        <v/>
      </c>
      <c r="N1855" s="45">
        <f>1+(INDEX(SeasonIdx,A1855)-1)*SeasonAmp</f>
        <v/>
      </c>
      <c r="O1855" s="45">
        <f>IFERROR(INDEX(PSPct,MATCH(E1855&amp;"|"&amp;G1855,PSKey,0)),0)</f>
        <v/>
      </c>
      <c r="P1855" s="46">
        <f>INDEX(ChDoorVel,MATCH(E1855,ChName,0))*CalibScalar*(1+VelocityUplift)</f>
        <v/>
      </c>
      <c r="Q1855" s="46" t="n">
        <v>0</v>
      </c>
      <c r="R1855" s="46">
        <f>P1855*O1855*M1855*N1855*H1855</f>
        <v/>
      </c>
      <c r="S1855" s="46">
        <f>R1855*INDEX(FmtCansPerCase,MATCH(F1855,FmtName,0))</f>
        <v/>
      </c>
      <c r="T1855" s="46">
        <f>S1855/INDEX(FmtCansPerPack,MATCH(F1855,FmtName,0))</f>
        <v/>
      </c>
      <c r="U1855" s="47">
        <f>INDEX(ChBaseCP,MATCH(E1855,ChName,0))*(1+INDEX(ProvMod,MATCH(G1855,ProvCode,0)))*(1+PriceIndex)</f>
        <v/>
      </c>
      <c r="V1855" s="47">
        <f>R1855*U1855*INDEX(FmtBlendedPriceIdx,MATCH(F1855,FmtName,0))</f>
        <v/>
      </c>
      <c r="W1855" s="47">
        <f>T1855*INDEX(ProvSRP,MATCH(G1855,ProvCode,0))*(1+PriceIndex)</f>
        <v/>
      </c>
      <c r="X1855" s="47">
        <f>IF(GrossBasis="Wholesale",V1855,W1855)</f>
        <v/>
      </c>
      <c r="Y1855" s="47">
        <f>R1855*INDEX(FmtBlendedCogs,MATCH(F1855,FmtName,0))</f>
        <v/>
      </c>
      <c r="Z1855" s="47">
        <f>X1855-Y1855</f>
        <v/>
      </c>
    </row>
    <row r="1856">
      <c r="A1856" t="n">
        <v>53</v>
      </c>
      <c r="B1856" s="44">
        <f>FiscalStart+(A1856-1)*7</f>
        <v/>
      </c>
      <c r="C1856">
        <f>TEXT(B1856,"mmm yyyy")</f>
        <v/>
      </c>
      <c r="D1856">
        <f>"Q"&amp;(INT((A1856-1)/13)+1)</f>
        <v/>
      </c>
      <c r="E1856" t="inlineStr">
        <is>
          <t>Costco</t>
        </is>
      </c>
      <c r="F1856">
        <f>IFERROR(INDEX(ChFormat,MATCH(E1856,ChName,0)),"")</f>
        <v/>
      </c>
      <c r="G1856" t="inlineStr">
        <is>
          <t>ON</t>
        </is>
      </c>
      <c r="H1856">
        <f>IF(A1856&lt;=NWeeks,1,0)</f>
        <v/>
      </c>
      <c r="I1856">
        <f>INDEX(ChLaunch,MATCH(E1856,ChName,0))</f>
        <v/>
      </c>
      <c r="J1856">
        <f>INDEX(ChWeeksFull,MATCH(E1856,ChName,0))</f>
        <v/>
      </c>
      <c r="K1856">
        <f>INDEX(ChRamp,MATCH(E1856,ChName,0))</f>
        <v/>
      </c>
      <c r="L1856" s="45">
        <f>MIN(1,MAX(0,(A1856-I1856+1)*RampSpeed/J1856))</f>
        <v/>
      </c>
      <c r="M1856" s="45">
        <f>IF(A1856&lt;I1856,0,IF(K1856="S-curve",L1856*L1856*(3-2*L1856),L1856))</f>
        <v/>
      </c>
      <c r="N1856" s="45">
        <f>1+(INDEX(SeasonIdx,A1856)-1)*SeasonAmp</f>
        <v/>
      </c>
      <c r="O1856" s="45">
        <f>IFERROR(INDEX(PSPct,MATCH(E1856&amp;"|"&amp;G1856,PSKey,0)),0)</f>
        <v/>
      </c>
      <c r="P1856" s="46">
        <f>INDEX(ChDoorVel,MATCH(E1856,ChName,0))*CalibScalar*(1+VelocityUplift)</f>
        <v/>
      </c>
      <c r="Q1856" s="46" t="n">
        <v>0</v>
      </c>
      <c r="R1856" s="46">
        <f>P1856*O1856*M1856*N1856*H1856</f>
        <v/>
      </c>
      <c r="S1856" s="46">
        <f>R1856*INDEX(FmtCansPerCase,MATCH(F1856,FmtName,0))</f>
        <v/>
      </c>
      <c r="T1856" s="46">
        <f>S1856/INDEX(FmtCansPerPack,MATCH(F1856,FmtName,0))</f>
        <v/>
      </c>
      <c r="U1856" s="47">
        <f>INDEX(ChBaseCP,MATCH(E1856,ChName,0))*(1+INDEX(ProvMod,MATCH(G1856,ProvCode,0)))*(1+PriceIndex)</f>
        <v/>
      </c>
      <c r="V1856" s="47">
        <f>R1856*U1856*INDEX(FmtBlendedPriceIdx,MATCH(F1856,FmtName,0))</f>
        <v/>
      </c>
      <c r="W1856" s="47">
        <f>T1856*INDEX(ProvSRP,MATCH(G1856,ProvCode,0))*(1+PriceIndex)</f>
        <v/>
      </c>
      <c r="X1856" s="47">
        <f>IF(GrossBasis="Wholesale",V1856,W1856)</f>
        <v/>
      </c>
      <c r="Y1856" s="47">
        <f>R1856*INDEX(FmtBlendedCogs,MATCH(F1856,FmtName,0))</f>
        <v/>
      </c>
      <c r="Z1856" s="47">
        <f>X1856-Y1856</f>
        <v/>
      </c>
    </row>
    <row r="1857">
      <c r="A1857" t="n">
        <v>1</v>
      </c>
      <c r="B1857" s="44">
        <f>FiscalStart+(A1857-1)*7</f>
        <v/>
      </c>
      <c r="C1857">
        <f>TEXT(B1857,"mmm yyyy")</f>
        <v/>
      </c>
      <c r="D1857">
        <f>"Q"&amp;(INT((A1857-1)/13)+1)</f>
        <v/>
      </c>
      <c r="E1857" t="inlineStr">
        <is>
          <t>Costco</t>
        </is>
      </c>
      <c r="F1857">
        <f>IFERROR(INDEX(ChFormat,MATCH(E1857,ChName,0)),"")</f>
        <v/>
      </c>
      <c r="G1857" t="inlineStr">
        <is>
          <t>QC</t>
        </is>
      </c>
      <c r="H1857">
        <f>IF(A1857&lt;=NWeeks,1,0)</f>
        <v/>
      </c>
      <c r="I1857">
        <f>INDEX(ChLaunch,MATCH(E1857,ChName,0))</f>
        <v/>
      </c>
      <c r="J1857">
        <f>INDEX(ChWeeksFull,MATCH(E1857,ChName,0))</f>
        <v/>
      </c>
      <c r="K1857">
        <f>INDEX(ChRamp,MATCH(E1857,ChName,0))</f>
        <v/>
      </c>
      <c r="L1857" s="45">
        <f>MIN(1,MAX(0,(A1857-I1857+1)*RampSpeed/J1857))</f>
        <v/>
      </c>
      <c r="M1857" s="45">
        <f>IF(A1857&lt;I1857,0,IF(K1857="S-curve",L1857*L1857*(3-2*L1857),L1857))</f>
        <v/>
      </c>
      <c r="N1857" s="45">
        <f>1+(INDEX(SeasonIdx,A1857)-1)*SeasonAmp</f>
        <v/>
      </c>
      <c r="O1857" s="45">
        <f>IFERROR(INDEX(PSPct,MATCH(E1857&amp;"|"&amp;G1857,PSKey,0)),0)</f>
        <v/>
      </c>
      <c r="P1857" s="46">
        <f>INDEX(ChDoorVel,MATCH(E1857,ChName,0))*CalibScalar*(1+VelocityUplift)</f>
        <v/>
      </c>
      <c r="Q1857" s="46" t="n">
        <v>0</v>
      </c>
      <c r="R1857" s="46">
        <f>P1857*O1857*M1857*N1857*H1857</f>
        <v/>
      </c>
      <c r="S1857" s="46">
        <f>R1857*INDEX(FmtCansPerCase,MATCH(F1857,FmtName,0))</f>
        <v/>
      </c>
      <c r="T1857" s="46">
        <f>S1857/INDEX(FmtCansPerPack,MATCH(F1857,FmtName,0))</f>
        <v/>
      </c>
      <c r="U1857" s="47">
        <f>INDEX(ChBaseCP,MATCH(E1857,ChName,0))*(1+INDEX(ProvMod,MATCH(G1857,ProvCode,0)))*(1+PriceIndex)</f>
        <v/>
      </c>
      <c r="V1857" s="47">
        <f>R1857*U1857*INDEX(FmtBlendedPriceIdx,MATCH(F1857,FmtName,0))</f>
        <v/>
      </c>
      <c r="W1857" s="47">
        <f>T1857*INDEX(ProvSRP,MATCH(G1857,ProvCode,0))*(1+PriceIndex)</f>
        <v/>
      </c>
      <c r="X1857" s="47">
        <f>IF(GrossBasis="Wholesale",V1857,W1857)</f>
        <v/>
      </c>
      <c r="Y1857" s="47">
        <f>R1857*INDEX(FmtBlendedCogs,MATCH(F1857,FmtName,0))</f>
        <v/>
      </c>
      <c r="Z1857" s="47">
        <f>X1857-Y1857</f>
        <v/>
      </c>
    </row>
    <row r="1858">
      <c r="A1858" t="n">
        <v>2</v>
      </c>
      <c r="B1858" s="44">
        <f>FiscalStart+(A1858-1)*7</f>
        <v/>
      </c>
      <c r="C1858">
        <f>TEXT(B1858,"mmm yyyy")</f>
        <v/>
      </c>
      <c r="D1858">
        <f>"Q"&amp;(INT((A1858-1)/13)+1)</f>
        <v/>
      </c>
      <c r="E1858" t="inlineStr">
        <is>
          <t>Costco</t>
        </is>
      </c>
      <c r="F1858">
        <f>IFERROR(INDEX(ChFormat,MATCH(E1858,ChName,0)),"")</f>
        <v/>
      </c>
      <c r="G1858" t="inlineStr">
        <is>
          <t>QC</t>
        </is>
      </c>
      <c r="H1858">
        <f>IF(A1858&lt;=NWeeks,1,0)</f>
        <v/>
      </c>
      <c r="I1858">
        <f>INDEX(ChLaunch,MATCH(E1858,ChName,0))</f>
        <v/>
      </c>
      <c r="J1858">
        <f>INDEX(ChWeeksFull,MATCH(E1858,ChName,0))</f>
        <v/>
      </c>
      <c r="K1858">
        <f>INDEX(ChRamp,MATCH(E1858,ChName,0))</f>
        <v/>
      </c>
      <c r="L1858" s="45">
        <f>MIN(1,MAX(0,(A1858-I1858+1)*RampSpeed/J1858))</f>
        <v/>
      </c>
      <c r="M1858" s="45">
        <f>IF(A1858&lt;I1858,0,IF(K1858="S-curve",L1858*L1858*(3-2*L1858),L1858))</f>
        <v/>
      </c>
      <c r="N1858" s="45">
        <f>1+(INDEX(SeasonIdx,A1858)-1)*SeasonAmp</f>
        <v/>
      </c>
      <c r="O1858" s="45">
        <f>IFERROR(INDEX(PSPct,MATCH(E1858&amp;"|"&amp;G1858,PSKey,0)),0)</f>
        <v/>
      </c>
      <c r="P1858" s="46">
        <f>INDEX(ChDoorVel,MATCH(E1858,ChName,0))*CalibScalar*(1+VelocityUplift)</f>
        <v/>
      </c>
      <c r="Q1858" s="46" t="n">
        <v>0</v>
      </c>
      <c r="R1858" s="46">
        <f>P1858*O1858*M1858*N1858*H1858</f>
        <v/>
      </c>
      <c r="S1858" s="46">
        <f>R1858*INDEX(FmtCansPerCase,MATCH(F1858,FmtName,0))</f>
        <v/>
      </c>
      <c r="T1858" s="46">
        <f>S1858/INDEX(FmtCansPerPack,MATCH(F1858,FmtName,0))</f>
        <v/>
      </c>
      <c r="U1858" s="47">
        <f>INDEX(ChBaseCP,MATCH(E1858,ChName,0))*(1+INDEX(ProvMod,MATCH(G1858,ProvCode,0)))*(1+PriceIndex)</f>
        <v/>
      </c>
      <c r="V1858" s="47">
        <f>R1858*U1858*INDEX(FmtBlendedPriceIdx,MATCH(F1858,FmtName,0))</f>
        <v/>
      </c>
      <c r="W1858" s="47">
        <f>T1858*INDEX(ProvSRP,MATCH(G1858,ProvCode,0))*(1+PriceIndex)</f>
        <v/>
      </c>
      <c r="X1858" s="47">
        <f>IF(GrossBasis="Wholesale",V1858,W1858)</f>
        <v/>
      </c>
      <c r="Y1858" s="47">
        <f>R1858*INDEX(FmtBlendedCogs,MATCH(F1858,FmtName,0))</f>
        <v/>
      </c>
      <c r="Z1858" s="47">
        <f>X1858-Y1858</f>
        <v/>
      </c>
    </row>
    <row r="1859">
      <c r="A1859" t="n">
        <v>3</v>
      </c>
      <c r="B1859" s="44">
        <f>FiscalStart+(A1859-1)*7</f>
        <v/>
      </c>
      <c r="C1859">
        <f>TEXT(B1859,"mmm yyyy")</f>
        <v/>
      </c>
      <c r="D1859">
        <f>"Q"&amp;(INT((A1859-1)/13)+1)</f>
        <v/>
      </c>
      <c r="E1859" t="inlineStr">
        <is>
          <t>Costco</t>
        </is>
      </c>
      <c r="F1859">
        <f>IFERROR(INDEX(ChFormat,MATCH(E1859,ChName,0)),"")</f>
        <v/>
      </c>
      <c r="G1859" t="inlineStr">
        <is>
          <t>QC</t>
        </is>
      </c>
      <c r="H1859">
        <f>IF(A1859&lt;=NWeeks,1,0)</f>
        <v/>
      </c>
      <c r="I1859">
        <f>INDEX(ChLaunch,MATCH(E1859,ChName,0))</f>
        <v/>
      </c>
      <c r="J1859">
        <f>INDEX(ChWeeksFull,MATCH(E1859,ChName,0))</f>
        <v/>
      </c>
      <c r="K1859">
        <f>INDEX(ChRamp,MATCH(E1859,ChName,0))</f>
        <v/>
      </c>
      <c r="L1859" s="45">
        <f>MIN(1,MAX(0,(A1859-I1859+1)*RampSpeed/J1859))</f>
        <v/>
      </c>
      <c r="M1859" s="45">
        <f>IF(A1859&lt;I1859,0,IF(K1859="S-curve",L1859*L1859*(3-2*L1859),L1859))</f>
        <v/>
      </c>
      <c r="N1859" s="45">
        <f>1+(INDEX(SeasonIdx,A1859)-1)*SeasonAmp</f>
        <v/>
      </c>
      <c r="O1859" s="45">
        <f>IFERROR(INDEX(PSPct,MATCH(E1859&amp;"|"&amp;G1859,PSKey,0)),0)</f>
        <v/>
      </c>
      <c r="P1859" s="46">
        <f>INDEX(ChDoorVel,MATCH(E1859,ChName,0))*CalibScalar*(1+VelocityUplift)</f>
        <v/>
      </c>
      <c r="Q1859" s="46" t="n">
        <v>0</v>
      </c>
      <c r="R1859" s="46">
        <f>P1859*O1859*M1859*N1859*H1859</f>
        <v/>
      </c>
      <c r="S1859" s="46">
        <f>R1859*INDEX(FmtCansPerCase,MATCH(F1859,FmtName,0))</f>
        <v/>
      </c>
      <c r="T1859" s="46">
        <f>S1859/INDEX(FmtCansPerPack,MATCH(F1859,FmtName,0))</f>
        <v/>
      </c>
      <c r="U1859" s="47">
        <f>INDEX(ChBaseCP,MATCH(E1859,ChName,0))*(1+INDEX(ProvMod,MATCH(G1859,ProvCode,0)))*(1+PriceIndex)</f>
        <v/>
      </c>
      <c r="V1859" s="47">
        <f>R1859*U1859*INDEX(FmtBlendedPriceIdx,MATCH(F1859,FmtName,0))</f>
        <v/>
      </c>
      <c r="W1859" s="47">
        <f>T1859*INDEX(ProvSRP,MATCH(G1859,ProvCode,0))*(1+PriceIndex)</f>
        <v/>
      </c>
      <c r="X1859" s="47">
        <f>IF(GrossBasis="Wholesale",V1859,W1859)</f>
        <v/>
      </c>
      <c r="Y1859" s="47">
        <f>R1859*INDEX(FmtBlendedCogs,MATCH(F1859,FmtName,0))</f>
        <v/>
      </c>
      <c r="Z1859" s="47">
        <f>X1859-Y1859</f>
        <v/>
      </c>
    </row>
    <row r="1860">
      <c r="A1860" t="n">
        <v>4</v>
      </c>
      <c r="B1860" s="44">
        <f>FiscalStart+(A1860-1)*7</f>
        <v/>
      </c>
      <c r="C1860">
        <f>TEXT(B1860,"mmm yyyy")</f>
        <v/>
      </c>
      <c r="D1860">
        <f>"Q"&amp;(INT((A1860-1)/13)+1)</f>
        <v/>
      </c>
      <c r="E1860" t="inlineStr">
        <is>
          <t>Costco</t>
        </is>
      </c>
      <c r="F1860">
        <f>IFERROR(INDEX(ChFormat,MATCH(E1860,ChName,0)),"")</f>
        <v/>
      </c>
      <c r="G1860" t="inlineStr">
        <is>
          <t>QC</t>
        </is>
      </c>
      <c r="H1860">
        <f>IF(A1860&lt;=NWeeks,1,0)</f>
        <v/>
      </c>
      <c r="I1860">
        <f>INDEX(ChLaunch,MATCH(E1860,ChName,0))</f>
        <v/>
      </c>
      <c r="J1860">
        <f>INDEX(ChWeeksFull,MATCH(E1860,ChName,0))</f>
        <v/>
      </c>
      <c r="K1860">
        <f>INDEX(ChRamp,MATCH(E1860,ChName,0))</f>
        <v/>
      </c>
      <c r="L1860" s="45">
        <f>MIN(1,MAX(0,(A1860-I1860+1)*RampSpeed/J1860))</f>
        <v/>
      </c>
      <c r="M1860" s="45">
        <f>IF(A1860&lt;I1860,0,IF(K1860="S-curve",L1860*L1860*(3-2*L1860),L1860))</f>
        <v/>
      </c>
      <c r="N1860" s="45">
        <f>1+(INDEX(SeasonIdx,A1860)-1)*SeasonAmp</f>
        <v/>
      </c>
      <c r="O1860" s="45">
        <f>IFERROR(INDEX(PSPct,MATCH(E1860&amp;"|"&amp;G1860,PSKey,0)),0)</f>
        <v/>
      </c>
      <c r="P1860" s="46">
        <f>INDEX(ChDoorVel,MATCH(E1860,ChName,0))*CalibScalar*(1+VelocityUplift)</f>
        <v/>
      </c>
      <c r="Q1860" s="46" t="n">
        <v>0</v>
      </c>
      <c r="R1860" s="46">
        <f>P1860*O1860*M1860*N1860*H1860</f>
        <v/>
      </c>
      <c r="S1860" s="46">
        <f>R1860*INDEX(FmtCansPerCase,MATCH(F1860,FmtName,0))</f>
        <v/>
      </c>
      <c r="T1860" s="46">
        <f>S1860/INDEX(FmtCansPerPack,MATCH(F1860,FmtName,0))</f>
        <v/>
      </c>
      <c r="U1860" s="47">
        <f>INDEX(ChBaseCP,MATCH(E1860,ChName,0))*(1+INDEX(ProvMod,MATCH(G1860,ProvCode,0)))*(1+PriceIndex)</f>
        <v/>
      </c>
      <c r="V1860" s="47">
        <f>R1860*U1860*INDEX(FmtBlendedPriceIdx,MATCH(F1860,FmtName,0))</f>
        <v/>
      </c>
      <c r="W1860" s="47">
        <f>T1860*INDEX(ProvSRP,MATCH(G1860,ProvCode,0))*(1+PriceIndex)</f>
        <v/>
      </c>
      <c r="X1860" s="47">
        <f>IF(GrossBasis="Wholesale",V1860,W1860)</f>
        <v/>
      </c>
      <c r="Y1860" s="47">
        <f>R1860*INDEX(FmtBlendedCogs,MATCH(F1860,FmtName,0))</f>
        <v/>
      </c>
      <c r="Z1860" s="47">
        <f>X1860-Y1860</f>
        <v/>
      </c>
    </row>
    <row r="1861">
      <c r="A1861" t="n">
        <v>5</v>
      </c>
      <c r="B1861" s="44">
        <f>FiscalStart+(A1861-1)*7</f>
        <v/>
      </c>
      <c r="C1861">
        <f>TEXT(B1861,"mmm yyyy")</f>
        <v/>
      </c>
      <c r="D1861">
        <f>"Q"&amp;(INT((A1861-1)/13)+1)</f>
        <v/>
      </c>
      <c r="E1861" t="inlineStr">
        <is>
          <t>Costco</t>
        </is>
      </c>
      <c r="F1861">
        <f>IFERROR(INDEX(ChFormat,MATCH(E1861,ChName,0)),"")</f>
        <v/>
      </c>
      <c r="G1861" t="inlineStr">
        <is>
          <t>QC</t>
        </is>
      </c>
      <c r="H1861">
        <f>IF(A1861&lt;=NWeeks,1,0)</f>
        <v/>
      </c>
      <c r="I1861">
        <f>INDEX(ChLaunch,MATCH(E1861,ChName,0))</f>
        <v/>
      </c>
      <c r="J1861">
        <f>INDEX(ChWeeksFull,MATCH(E1861,ChName,0))</f>
        <v/>
      </c>
      <c r="K1861">
        <f>INDEX(ChRamp,MATCH(E1861,ChName,0))</f>
        <v/>
      </c>
      <c r="L1861" s="45">
        <f>MIN(1,MAX(0,(A1861-I1861+1)*RampSpeed/J1861))</f>
        <v/>
      </c>
      <c r="M1861" s="45">
        <f>IF(A1861&lt;I1861,0,IF(K1861="S-curve",L1861*L1861*(3-2*L1861),L1861))</f>
        <v/>
      </c>
      <c r="N1861" s="45">
        <f>1+(INDEX(SeasonIdx,A1861)-1)*SeasonAmp</f>
        <v/>
      </c>
      <c r="O1861" s="45">
        <f>IFERROR(INDEX(PSPct,MATCH(E1861&amp;"|"&amp;G1861,PSKey,0)),0)</f>
        <v/>
      </c>
      <c r="P1861" s="46">
        <f>INDEX(ChDoorVel,MATCH(E1861,ChName,0))*CalibScalar*(1+VelocityUplift)</f>
        <v/>
      </c>
      <c r="Q1861" s="46" t="n">
        <v>0</v>
      </c>
      <c r="R1861" s="46">
        <f>P1861*O1861*M1861*N1861*H1861</f>
        <v/>
      </c>
      <c r="S1861" s="46">
        <f>R1861*INDEX(FmtCansPerCase,MATCH(F1861,FmtName,0))</f>
        <v/>
      </c>
      <c r="T1861" s="46">
        <f>S1861/INDEX(FmtCansPerPack,MATCH(F1861,FmtName,0))</f>
        <v/>
      </c>
      <c r="U1861" s="47">
        <f>INDEX(ChBaseCP,MATCH(E1861,ChName,0))*(1+INDEX(ProvMod,MATCH(G1861,ProvCode,0)))*(1+PriceIndex)</f>
        <v/>
      </c>
      <c r="V1861" s="47">
        <f>R1861*U1861*INDEX(FmtBlendedPriceIdx,MATCH(F1861,FmtName,0))</f>
        <v/>
      </c>
      <c r="W1861" s="47">
        <f>T1861*INDEX(ProvSRP,MATCH(G1861,ProvCode,0))*(1+PriceIndex)</f>
        <v/>
      </c>
      <c r="X1861" s="47">
        <f>IF(GrossBasis="Wholesale",V1861,W1861)</f>
        <v/>
      </c>
      <c r="Y1861" s="47">
        <f>R1861*INDEX(FmtBlendedCogs,MATCH(F1861,FmtName,0))</f>
        <v/>
      </c>
      <c r="Z1861" s="47">
        <f>X1861-Y1861</f>
        <v/>
      </c>
    </row>
    <row r="1862">
      <c r="A1862" t="n">
        <v>6</v>
      </c>
      <c r="B1862" s="44">
        <f>FiscalStart+(A1862-1)*7</f>
        <v/>
      </c>
      <c r="C1862">
        <f>TEXT(B1862,"mmm yyyy")</f>
        <v/>
      </c>
      <c r="D1862">
        <f>"Q"&amp;(INT((A1862-1)/13)+1)</f>
        <v/>
      </c>
      <c r="E1862" t="inlineStr">
        <is>
          <t>Costco</t>
        </is>
      </c>
      <c r="F1862">
        <f>IFERROR(INDEX(ChFormat,MATCH(E1862,ChName,0)),"")</f>
        <v/>
      </c>
      <c r="G1862" t="inlineStr">
        <is>
          <t>QC</t>
        </is>
      </c>
      <c r="H1862">
        <f>IF(A1862&lt;=NWeeks,1,0)</f>
        <v/>
      </c>
      <c r="I1862">
        <f>INDEX(ChLaunch,MATCH(E1862,ChName,0))</f>
        <v/>
      </c>
      <c r="J1862">
        <f>INDEX(ChWeeksFull,MATCH(E1862,ChName,0))</f>
        <v/>
      </c>
      <c r="K1862">
        <f>INDEX(ChRamp,MATCH(E1862,ChName,0))</f>
        <v/>
      </c>
      <c r="L1862" s="45">
        <f>MIN(1,MAX(0,(A1862-I1862+1)*RampSpeed/J1862))</f>
        <v/>
      </c>
      <c r="M1862" s="45">
        <f>IF(A1862&lt;I1862,0,IF(K1862="S-curve",L1862*L1862*(3-2*L1862),L1862))</f>
        <v/>
      </c>
      <c r="N1862" s="45">
        <f>1+(INDEX(SeasonIdx,A1862)-1)*SeasonAmp</f>
        <v/>
      </c>
      <c r="O1862" s="45">
        <f>IFERROR(INDEX(PSPct,MATCH(E1862&amp;"|"&amp;G1862,PSKey,0)),0)</f>
        <v/>
      </c>
      <c r="P1862" s="46">
        <f>INDEX(ChDoorVel,MATCH(E1862,ChName,0))*CalibScalar*(1+VelocityUplift)</f>
        <v/>
      </c>
      <c r="Q1862" s="46" t="n">
        <v>0</v>
      </c>
      <c r="R1862" s="46">
        <f>P1862*O1862*M1862*N1862*H1862</f>
        <v/>
      </c>
      <c r="S1862" s="46">
        <f>R1862*INDEX(FmtCansPerCase,MATCH(F1862,FmtName,0))</f>
        <v/>
      </c>
      <c r="T1862" s="46">
        <f>S1862/INDEX(FmtCansPerPack,MATCH(F1862,FmtName,0))</f>
        <v/>
      </c>
      <c r="U1862" s="47">
        <f>INDEX(ChBaseCP,MATCH(E1862,ChName,0))*(1+INDEX(ProvMod,MATCH(G1862,ProvCode,0)))*(1+PriceIndex)</f>
        <v/>
      </c>
      <c r="V1862" s="47">
        <f>R1862*U1862*INDEX(FmtBlendedPriceIdx,MATCH(F1862,FmtName,0))</f>
        <v/>
      </c>
      <c r="W1862" s="47">
        <f>T1862*INDEX(ProvSRP,MATCH(G1862,ProvCode,0))*(1+PriceIndex)</f>
        <v/>
      </c>
      <c r="X1862" s="47">
        <f>IF(GrossBasis="Wholesale",V1862,W1862)</f>
        <v/>
      </c>
      <c r="Y1862" s="47">
        <f>R1862*INDEX(FmtBlendedCogs,MATCH(F1862,FmtName,0))</f>
        <v/>
      </c>
      <c r="Z1862" s="47">
        <f>X1862-Y1862</f>
        <v/>
      </c>
    </row>
    <row r="1863">
      <c r="A1863" t="n">
        <v>7</v>
      </c>
      <c r="B1863" s="44">
        <f>FiscalStart+(A1863-1)*7</f>
        <v/>
      </c>
      <c r="C1863">
        <f>TEXT(B1863,"mmm yyyy")</f>
        <v/>
      </c>
      <c r="D1863">
        <f>"Q"&amp;(INT((A1863-1)/13)+1)</f>
        <v/>
      </c>
      <c r="E1863" t="inlineStr">
        <is>
          <t>Costco</t>
        </is>
      </c>
      <c r="F1863">
        <f>IFERROR(INDEX(ChFormat,MATCH(E1863,ChName,0)),"")</f>
        <v/>
      </c>
      <c r="G1863" t="inlineStr">
        <is>
          <t>QC</t>
        </is>
      </c>
      <c r="H1863">
        <f>IF(A1863&lt;=NWeeks,1,0)</f>
        <v/>
      </c>
      <c r="I1863">
        <f>INDEX(ChLaunch,MATCH(E1863,ChName,0))</f>
        <v/>
      </c>
      <c r="J1863">
        <f>INDEX(ChWeeksFull,MATCH(E1863,ChName,0))</f>
        <v/>
      </c>
      <c r="K1863">
        <f>INDEX(ChRamp,MATCH(E1863,ChName,0))</f>
        <v/>
      </c>
      <c r="L1863" s="45">
        <f>MIN(1,MAX(0,(A1863-I1863+1)*RampSpeed/J1863))</f>
        <v/>
      </c>
      <c r="M1863" s="45">
        <f>IF(A1863&lt;I1863,0,IF(K1863="S-curve",L1863*L1863*(3-2*L1863),L1863))</f>
        <v/>
      </c>
      <c r="N1863" s="45">
        <f>1+(INDEX(SeasonIdx,A1863)-1)*SeasonAmp</f>
        <v/>
      </c>
      <c r="O1863" s="45">
        <f>IFERROR(INDEX(PSPct,MATCH(E1863&amp;"|"&amp;G1863,PSKey,0)),0)</f>
        <v/>
      </c>
      <c r="P1863" s="46">
        <f>INDEX(ChDoorVel,MATCH(E1863,ChName,0))*CalibScalar*(1+VelocityUplift)</f>
        <v/>
      </c>
      <c r="Q1863" s="46" t="n">
        <v>0</v>
      </c>
      <c r="R1863" s="46">
        <f>P1863*O1863*M1863*N1863*H1863</f>
        <v/>
      </c>
      <c r="S1863" s="46">
        <f>R1863*INDEX(FmtCansPerCase,MATCH(F1863,FmtName,0))</f>
        <v/>
      </c>
      <c r="T1863" s="46">
        <f>S1863/INDEX(FmtCansPerPack,MATCH(F1863,FmtName,0))</f>
        <v/>
      </c>
      <c r="U1863" s="47">
        <f>INDEX(ChBaseCP,MATCH(E1863,ChName,0))*(1+INDEX(ProvMod,MATCH(G1863,ProvCode,0)))*(1+PriceIndex)</f>
        <v/>
      </c>
      <c r="V1863" s="47">
        <f>R1863*U1863*INDEX(FmtBlendedPriceIdx,MATCH(F1863,FmtName,0))</f>
        <v/>
      </c>
      <c r="W1863" s="47">
        <f>T1863*INDEX(ProvSRP,MATCH(G1863,ProvCode,0))*(1+PriceIndex)</f>
        <v/>
      </c>
      <c r="X1863" s="47">
        <f>IF(GrossBasis="Wholesale",V1863,W1863)</f>
        <v/>
      </c>
      <c r="Y1863" s="47">
        <f>R1863*INDEX(FmtBlendedCogs,MATCH(F1863,FmtName,0))</f>
        <v/>
      </c>
      <c r="Z1863" s="47">
        <f>X1863-Y1863</f>
        <v/>
      </c>
    </row>
    <row r="1864">
      <c r="A1864" t="n">
        <v>8</v>
      </c>
      <c r="B1864" s="44">
        <f>FiscalStart+(A1864-1)*7</f>
        <v/>
      </c>
      <c r="C1864">
        <f>TEXT(B1864,"mmm yyyy")</f>
        <v/>
      </c>
      <c r="D1864">
        <f>"Q"&amp;(INT((A1864-1)/13)+1)</f>
        <v/>
      </c>
      <c r="E1864" t="inlineStr">
        <is>
          <t>Costco</t>
        </is>
      </c>
      <c r="F1864">
        <f>IFERROR(INDEX(ChFormat,MATCH(E1864,ChName,0)),"")</f>
        <v/>
      </c>
      <c r="G1864" t="inlineStr">
        <is>
          <t>QC</t>
        </is>
      </c>
      <c r="H1864">
        <f>IF(A1864&lt;=NWeeks,1,0)</f>
        <v/>
      </c>
      <c r="I1864">
        <f>INDEX(ChLaunch,MATCH(E1864,ChName,0))</f>
        <v/>
      </c>
      <c r="J1864">
        <f>INDEX(ChWeeksFull,MATCH(E1864,ChName,0))</f>
        <v/>
      </c>
      <c r="K1864">
        <f>INDEX(ChRamp,MATCH(E1864,ChName,0))</f>
        <v/>
      </c>
      <c r="L1864" s="45">
        <f>MIN(1,MAX(0,(A1864-I1864+1)*RampSpeed/J1864))</f>
        <v/>
      </c>
      <c r="M1864" s="45">
        <f>IF(A1864&lt;I1864,0,IF(K1864="S-curve",L1864*L1864*(3-2*L1864),L1864))</f>
        <v/>
      </c>
      <c r="N1864" s="45">
        <f>1+(INDEX(SeasonIdx,A1864)-1)*SeasonAmp</f>
        <v/>
      </c>
      <c r="O1864" s="45">
        <f>IFERROR(INDEX(PSPct,MATCH(E1864&amp;"|"&amp;G1864,PSKey,0)),0)</f>
        <v/>
      </c>
      <c r="P1864" s="46">
        <f>INDEX(ChDoorVel,MATCH(E1864,ChName,0))*CalibScalar*(1+VelocityUplift)</f>
        <v/>
      </c>
      <c r="Q1864" s="46" t="n">
        <v>0</v>
      </c>
      <c r="R1864" s="46">
        <f>P1864*O1864*M1864*N1864*H1864</f>
        <v/>
      </c>
      <c r="S1864" s="46">
        <f>R1864*INDEX(FmtCansPerCase,MATCH(F1864,FmtName,0))</f>
        <v/>
      </c>
      <c r="T1864" s="46">
        <f>S1864/INDEX(FmtCansPerPack,MATCH(F1864,FmtName,0))</f>
        <v/>
      </c>
      <c r="U1864" s="47">
        <f>INDEX(ChBaseCP,MATCH(E1864,ChName,0))*(1+INDEX(ProvMod,MATCH(G1864,ProvCode,0)))*(1+PriceIndex)</f>
        <v/>
      </c>
      <c r="V1864" s="47">
        <f>R1864*U1864*INDEX(FmtBlendedPriceIdx,MATCH(F1864,FmtName,0))</f>
        <v/>
      </c>
      <c r="W1864" s="47">
        <f>T1864*INDEX(ProvSRP,MATCH(G1864,ProvCode,0))*(1+PriceIndex)</f>
        <v/>
      </c>
      <c r="X1864" s="47">
        <f>IF(GrossBasis="Wholesale",V1864,W1864)</f>
        <v/>
      </c>
      <c r="Y1864" s="47">
        <f>R1864*INDEX(FmtBlendedCogs,MATCH(F1864,FmtName,0))</f>
        <v/>
      </c>
      <c r="Z1864" s="47">
        <f>X1864-Y1864</f>
        <v/>
      </c>
    </row>
    <row r="1865">
      <c r="A1865" t="n">
        <v>9</v>
      </c>
      <c r="B1865" s="44">
        <f>FiscalStart+(A1865-1)*7</f>
        <v/>
      </c>
      <c r="C1865">
        <f>TEXT(B1865,"mmm yyyy")</f>
        <v/>
      </c>
      <c r="D1865">
        <f>"Q"&amp;(INT((A1865-1)/13)+1)</f>
        <v/>
      </c>
      <c r="E1865" t="inlineStr">
        <is>
          <t>Costco</t>
        </is>
      </c>
      <c r="F1865">
        <f>IFERROR(INDEX(ChFormat,MATCH(E1865,ChName,0)),"")</f>
        <v/>
      </c>
      <c r="G1865" t="inlineStr">
        <is>
          <t>QC</t>
        </is>
      </c>
      <c r="H1865">
        <f>IF(A1865&lt;=NWeeks,1,0)</f>
        <v/>
      </c>
      <c r="I1865">
        <f>INDEX(ChLaunch,MATCH(E1865,ChName,0))</f>
        <v/>
      </c>
      <c r="J1865">
        <f>INDEX(ChWeeksFull,MATCH(E1865,ChName,0))</f>
        <v/>
      </c>
      <c r="K1865">
        <f>INDEX(ChRamp,MATCH(E1865,ChName,0))</f>
        <v/>
      </c>
      <c r="L1865" s="45">
        <f>MIN(1,MAX(0,(A1865-I1865+1)*RampSpeed/J1865))</f>
        <v/>
      </c>
      <c r="M1865" s="45">
        <f>IF(A1865&lt;I1865,0,IF(K1865="S-curve",L1865*L1865*(3-2*L1865),L1865))</f>
        <v/>
      </c>
      <c r="N1865" s="45">
        <f>1+(INDEX(SeasonIdx,A1865)-1)*SeasonAmp</f>
        <v/>
      </c>
      <c r="O1865" s="45">
        <f>IFERROR(INDEX(PSPct,MATCH(E1865&amp;"|"&amp;G1865,PSKey,0)),0)</f>
        <v/>
      </c>
      <c r="P1865" s="46">
        <f>INDEX(ChDoorVel,MATCH(E1865,ChName,0))*CalibScalar*(1+VelocityUplift)</f>
        <v/>
      </c>
      <c r="Q1865" s="46" t="n">
        <v>0</v>
      </c>
      <c r="R1865" s="46">
        <f>P1865*O1865*M1865*N1865*H1865</f>
        <v/>
      </c>
      <c r="S1865" s="46">
        <f>R1865*INDEX(FmtCansPerCase,MATCH(F1865,FmtName,0))</f>
        <v/>
      </c>
      <c r="T1865" s="46">
        <f>S1865/INDEX(FmtCansPerPack,MATCH(F1865,FmtName,0))</f>
        <v/>
      </c>
      <c r="U1865" s="47">
        <f>INDEX(ChBaseCP,MATCH(E1865,ChName,0))*(1+INDEX(ProvMod,MATCH(G1865,ProvCode,0)))*(1+PriceIndex)</f>
        <v/>
      </c>
      <c r="V1865" s="47">
        <f>R1865*U1865*INDEX(FmtBlendedPriceIdx,MATCH(F1865,FmtName,0))</f>
        <v/>
      </c>
      <c r="W1865" s="47">
        <f>T1865*INDEX(ProvSRP,MATCH(G1865,ProvCode,0))*(1+PriceIndex)</f>
        <v/>
      </c>
      <c r="X1865" s="47">
        <f>IF(GrossBasis="Wholesale",V1865,W1865)</f>
        <v/>
      </c>
      <c r="Y1865" s="47">
        <f>R1865*INDEX(FmtBlendedCogs,MATCH(F1865,FmtName,0))</f>
        <v/>
      </c>
      <c r="Z1865" s="47">
        <f>X1865-Y1865</f>
        <v/>
      </c>
    </row>
    <row r="1866">
      <c r="A1866" t="n">
        <v>10</v>
      </c>
      <c r="B1866" s="44">
        <f>FiscalStart+(A1866-1)*7</f>
        <v/>
      </c>
      <c r="C1866">
        <f>TEXT(B1866,"mmm yyyy")</f>
        <v/>
      </c>
      <c r="D1866">
        <f>"Q"&amp;(INT((A1866-1)/13)+1)</f>
        <v/>
      </c>
      <c r="E1866" t="inlineStr">
        <is>
          <t>Costco</t>
        </is>
      </c>
      <c r="F1866">
        <f>IFERROR(INDEX(ChFormat,MATCH(E1866,ChName,0)),"")</f>
        <v/>
      </c>
      <c r="G1866" t="inlineStr">
        <is>
          <t>QC</t>
        </is>
      </c>
      <c r="H1866">
        <f>IF(A1866&lt;=NWeeks,1,0)</f>
        <v/>
      </c>
      <c r="I1866">
        <f>INDEX(ChLaunch,MATCH(E1866,ChName,0))</f>
        <v/>
      </c>
      <c r="J1866">
        <f>INDEX(ChWeeksFull,MATCH(E1866,ChName,0))</f>
        <v/>
      </c>
      <c r="K1866">
        <f>INDEX(ChRamp,MATCH(E1866,ChName,0))</f>
        <v/>
      </c>
      <c r="L1866" s="45">
        <f>MIN(1,MAX(0,(A1866-I1866+1)*RampSpeed/J1866))</f>
        <v/>
      </c>
      <c r="M1866" s="45">
        <f>IF(A1866&lt;I1866,0,IF(K1866="S-curve",L1866*L1866*(3-2*L1866),L1866))</f>
        <v/>
      </c>
      <c r="N1866" s="45">
        <f>1+(INDEX(SeasonIdx,A1866)-1)*SeasonAmp</f>
        <v/>
      </c>
      <c r="O1866" s="45">
        <f>IFERROR(INDEX(PSPct,MATCH(E1866&amp;"|"&amp;G1866,PSKey,0)),0)</f>
        <v/>
      </c>
      <c r="P1866" s="46">
        <f>INDEX(ChDoorVel,MATCH(E1866,ChName,0))*CalibScalar*(1+VelocityUplift)</f>
        <v/>
      </c>
      <c r="Q1866" s="46" t="n">
        <v>0</v>
      </c>
      <c r="R1866" s="46">
        <f>P1866*O1866*M1866*N1866*H1866</f>
        <v/>
      </c>
      <c r="S1866" s="46">
        <f>R1866*INDEX(FmtCansPerCase,MATCH(F1866,FmtName,0))</f>
        <v/>
      </c>
      <c r="T1866" s="46">
        <f>S1866/INDEX(FmtCansPerPack,MATCH(F1866,FmtName,0))</f>
        <v/>
      </c>
      <c r="U1866" s="47">
        <f>INDEX(ChBaseCP,MATCH(E1866,ChName,0))*(1+INDEX(ProvMod,MATCH(G1866,ProvCode,0)))*(1+PriceIndex)</f>
        <v/>
      </c>
      <c r="V1866" s="47">
        <f>R1866*U1866*INDEX(FmtBlendedPriceIdx,MATCH(F1866,FmtName,0))</f>
        <v/>
      </c>
      <c r="W1866" s="47">
        <f>T1866*INDEX(ProvSRP,MATCH(G1866,ProvCode,0))*(1+PriceIndex)</f>
        <v/>
      </c>
      <c r="X1866" s="47">
        <f>IF(GrossBasis="Wholesale",V1866,W1866)</f>
        <v/>
      </c>
      <c r="Y1866" s="47">
        <f>R1866*INDEX(FmtBlendedCogs,MATCH(F1866,FmtName,0))</f>
        <v/>
      </c>
      <c r="Z1866" s="47">
        <f>X1866-Y1866</f>
        <v/>
      </c>
    </row>
    <row r="1867">
      <c r="A1867" t="n">
        <v>11</v>
      </c>
      <c r="B1867" s="44">
        <f>FiscalStart+(A1867-1)*7</f>
        <v/>
      </c>
      <c r="C1867">
        <f>TEXT(B1867,"mmm yyyy")</f>
        <v/>
      </c>
      <c r="D1867">
        <f>"Q"&amp;(INT((A1867-1)/13)+1)</f>
        <v/>
      </c>
      <c r="E1867" t="inlineStr">
        <is>
          <t>Costco</t>
        </is>
      </c>
      <c r="F1867">
        <f>IFERROR(INDEX(ChFormat,MATCH(E1867,ChName,0)),"")</f>
        <v/>
      </c>
      <c r="G1867" t="inlineStr">
        <is>
          <t>QC</t>
        </is>
      </c>
      <c r="H1867">
        <f>IF(A1867&lt;=NWeeks,1,0)</f>
        <v/>
      </c>
      <c r="I1867">
        <f>INDEX(ChLaunch,MATCH(E1867,ChName,0))</f>
        <v/>
      </c>
      <c r="J1867">
        <f>INDEX(ChWeeksFull,MATCH(E1867,ChName,0))</f>
        <v/>
      </c>
      <c r="K1867">
        <f>INDEX(ChRamp,MATCH(E1867,ChName,0))</f>
        <v/>
      </c>
      <c r="L1867" s="45">
        <f>MIN(1,MAX(0,(A1867-I1867+1)*RampSpeed/J1867))</f>
        <v/>
      </c>
      <c r="M1867" s="45">
        <f>IF(A1867&lt;I1867,0,IF(K1867="S-curve",L1867*L1867*(3-2*L1867),L1867))</f>
        <v/>
      </c>
      <c r="N1867" s="45">
        <f>1+(INDEX(SeasonIdx,A1867)-1)*SeasonAmp</f>
        <v/>
      </c>
      <c r="O1867" s="45">
        <f>IFERROR(INDEX(PSPct,MATCH(E1867&amp;"|"&amp;G1867,PSKey,0)),0)</f>
        <v/>
      </c>
      <c r="P1867" s="46">
        <f>INDEX(ChDoorVel,MATCH(E1867,ChName,0))*CalibScalar*(1+VelocityUplift)</f>
        <v/>
      </c>
      <c r="Q1867" s="46" t="n">
        <v>0</v>
      </c>
      <c r="R1867" s="46">
        <f>P1867*O1867*M1867*N1867*H1867</f>
        <v/>
      </c>
      <c r="S1867" s="46">
        <f>R1867*INDEX(FmtCansPerCase,MATCH(F1867,FmtName,0))</f>
        <v/>
      </c>
      <c r="T1867" s="46">
        <f>S1867/INDEX(FmtCansPerPack,MATCH(F1867,FmtName,0))</f>
        <v/>
      </c>
      <c r="U1867" s="47">
        <f>INDEX(ChBaseCP,MATCH(E1867,ChName,0))*(1+INDEX(ProvMod,MATCH(G1867,ProvCode,0)))*(1+PriceIndex)</f>
        <v/>
      </c>
      <c r="V1867" s="47">
        <f>R1867*U1867*INDEX(FmtBlendedPriceIdx,MATCH(F1867,FmtName,0))</f>
        <v/>
      </c>
      <c r="W1867" s="47">
        <f>T1867*INDEX(ProvSRP,MATCH(G1867,ProvCode,0))*(1+PriceIndex)</f>
        <v/>
      </c>
      <c r="X1867" s="47">
        <f>IF(GrossBasis="Wholesale",V1867,W1867)</f>
        <v/>
      </c>
      <c r="Y1867" s="47">
        <f>R1867*INDEX(FmtBlendedCogs,MATCH(F1867,FmtName,0))</f>
        <v/>
      </c>
      <c r="Z1867" s="47">
        <f>X1867-Y1867</f>
        <v/>
      </c>
    </row>
    <row r="1868">
      <c r="A1868" t="n">
        <v>12</v>
      </c>
      <c r="B1868" s="44">
        <f>FiscalStart+(A1868-1)*7</f>
        <v/>
      </c>
      <c r="C1868">
        <f>TEXT(B1868,"mmm yyyy")</f>
        <v/>
      </c>
      <c r="D1868">
        <f>"Q"&amp;(INT((A1868-1)/13)+1)</f>
        <v/>
      </c>
      <c r="E1868" t="inlineStr">
        <is>
          <t>Costco</t>
        </is>
      </c>
      <c r="F1868">
        <f>IFERROR(INDEX(ChFormat,MATCH(E1868,ChName,0)),"")</f>
        <v/>
      </c>
      <c r="G1868" t="inlineStr">
        <is>
          <t>QC</t>
        </is>
      </c>
      <c r="H1868">
        <f>IF(A1868&lt;=NWeeks,1,0)</f>
        <v/>
      </c>
      <c r="I1868">
        <f>INDEX(ChLaunch,MATCH(E1868,ChName,0))</f>
        <v/>
      </c>
      <c r="J1868">
        <f>INDEX(ChWeeksFull,MATCH(E1868,ChName,0))</f>
        <v/>
      </c>
      <c r="K1868">
        <f>INDEX(ChRamp,MATCH(E1868,ChName,0))</f>
        <v/>
      </c>
      <c r="L1868" s="45">
        <f>MIN(1,MAX(0,(A1868-I1868+1)*RampSpeed/J1868))</f>
        <v/>
      </c>
      <c r="M1868" s="45">
        <f>IF(A1868&lt;I1868,0,IF(K1868="S-curve",L1868*L1868*(3-2*L1868),L1868))</f>
        <v/>
      </c>
      <c r="N1868" s="45">
        <f>1+(INDEX(SeasonIdx,A1868)-1)*SeasonAmp</f>
        <v/>
      </c>
      <c r="O1868" s="45">
        <f>IFERROR(INDEX(PSPct,MATCH(E1868&amp;"|"&amp;G1868,PSKey,0)),0)</f>
        <v/>
      </c>
      <c r="P1868" s="46">
        <f>INDEX(ChDoorVel,MATCH(E1868,ChName,0))*CalibScalar*(1+VelocityUplift)</f>
        <v/>
      </c>
      <c r="Q1868" s="46" t="n">
        <v>0</v>
      </c>
      <c r="R1868" s="46">
        <f>P1868*O1868*M1868*N1868*H1868</f>
        <v/>
      </c>
      <c r="S1868" s="46">
        <f>R1868*INDEX(FmtCansPerCase,MATCH(F1868,FmtName,0))</f>
        <v/>
      </c>
      <c r="T1868" s="46">
        <f>S1868/INDEX(FmtCansPerPack,MATCH(F1868,FmtName,0))</f>
        <v/>
      </c>
      <c r="U1868" s="47">
        <f>INDEX(ChBaseCP,MATCH(E1868,ChName,0))*(1+INDEX(ProvMod,MATCH(G1868,ProvCode,0)))*(1+PriceIndex)</f>
        <v/>
      </c>
      <c r="V1868" s="47">
        <f>R1868*U1868*INDEX(FmtBlendedPriceIdx,MATCH(F1868,FmtName,0))</f>
        <v/>
      </c>
      <c r="W1868" s="47">
        <f>T1868*INDEX(ProvSRP,MATCH(G1868,ProvCode,0))*(1+PriceIndex)</f>
        <v/>
      </c>
      <c r="X1868" s="47">
        <f>IF(GrossBasis="Wholesale",V1868,W1868)</f>
        <v/>
      </c>
      <c r="Y1868" s="47">
        <f>R1868*INDEX(FmtBlendedCogs,MATCH(F1868,FmtName,0))</f>
        <v/>
      </c>
      <c r="Z1868" s="47">
        <f>X1868-Y1868</f>
        <v/>
      </c>
    </row>
    <row r="1869">
      <c r="A1869" t="n">
        <v>13</v>
      </c>
      <c r="B1869" s="44">
        <f>FiscalStart+(A1869-1)*7</f>
        <v/>
      </c>
      <c r="C1869">
        <f>TEXT(B1869,"mmm yyyy")</f>
        <v/>
      </c>
      <c r="D1869">
        <f>"Q"&amp;(INT((A1869-1)/13)+1)</f>
        <v/>
      </c>
      <c r="E1869" t="inlineStr">
        <is>
          <t>Costco</t>
        </is>
      </c>
      <c r="F1869">
        <f>IFERROR(INDEX(ChFormat,MATCH(E1869,ChName,0)),"")</f>
        <v/>
      </c>
      <c r="G1869" t="inlineStr">
        <is>
          <t>QC</t>
        </is>
      </c>
      <c r="H1869">
        <f>IF(A1869&lt;=NWeeks,1,0)</f>
        <v/>
      </c>
      <c r="I1869">
        <f>INDEX(ChLaunch,MATCH(E1869,ChName,0))</f>
        <v/>
      </c>
      <c r="J1869">
        <f>INDEX(ChWeeksFull,MATCH(E1869,ChName,0))</f>
        <v/>
      </c>
      <c r="K1869">
        <f>INDEX(ChRamp,MATCH(E1869,ChName,0))</f>
        <v/>
      </c>
      <c r="L1869" s="45">
        <f>MIN(1,MAX(0,(A1869-I1869+1)*RampSpeed/J1869))</f>
        <v/>
      </c>
      <c r="M1869" s="45">
        <f>IF(A1869&lt;I1869,0,IF(K1869="S-curve",L1869*L1869*(3-2*L1869),L1869))</f>
        <v/>
      </c>
      <c r="N1869" s="45">
        <f>1+(INDEX(SeasonIdx,A1869)-1)*SeasonAmp</f>
        <v/>
      </c>
      <c r="O1869" s="45">
        <f>IFERROR(INDEX(PSPct,MATCH(E1869&amp;"|"&amp;G1869,PSKey,0)),0)</f>
        <v/>
      </c>
      <c r="P1869" s="46">
        <f>INDEX(ChDoorVel,MATCH(E1869,ChName,0))*CalibScalar*(1+VelocityUplift)</f>
        <v/>
      </c>
      <c r="Q1869" s="46" t="n">
        <v>0</v>
      </c>
      <c r="R1869" s="46">
        <f>P1869*O1869*M1869*N1869*H1869</f>
        <v/>
      </c>
      <c r="S1869" s="46">
        <f>R1869*INDEX(FmtCansPerCase,MATCH(F1869,FmtName,0))</f>
        <v/>
      </c>
      <c r="T1869" s="46">
        <f>S1869/INDEX(FmtCansPerPack,MATCH(F1869,FmtName,0))</f>
        <v/>
      </c>
      <c r="U1869" s="47">
        <f>INDEX(ChBaseCP,MATCH(E1869,ChName,0))*(1+INDEX(ProvMod,MATCH(G1869,ProvCode,0)))*(1+PriceIndex)</f>
        <v/>
      </c>
      <c r="V1869" s="47">
        <f>R1869*U1869*INDEX(FmtBlendedPriceIdx,MATCH(F1869,FmtName,0))</f>
        <v/>
      </c>
      <c r="W1869" s="47">
        <f>T1869*INDEX(ProvSRP,MATCH(G1869,ProvCode,0))*(1+PriceIndex)</f>
        <v/>
      </c>
      <c r="X1869" s="47">
        <f>IF(GrossBasis="Wholesale",V1869,W1869)</f>
        <v/>
      </c>
      <c r="Y1869" s="47">
        <f>R1869*INDEX(FmtBlendedCogs,MATCH(F1869,FmtName,0))</f>
        <v/>
      </c>
      <c r="Z1869" s="47">
        <f>X1869-Y1869</f>
        <v/>
      </c>
    </row>
    <row r="1870">
      <c r="A1870" t="n">
        <v>14</v>
      </c>
      <c r="B1870" s="44">
        <f>FiscalStart+(A1870-1)*7</f>
        <v/>
      </c>
      <c r="C1870">
        <f>TEXT(B1870,"mmm yyyy")</f>
        <v/>
      </c>
      <c r="D1870">
        <f>"Q"&amp;(INT((A1870-1)/13)+1)</f>
        <v/>
      </c>
      <c r="E1870" t="inlineStr">
        <is>
          <t>Costco</t>
        </is>
      </c>
      <c r="F1870">
        <f>IFERROR(INDEX(ChFormat,MATCH(E1870,ChName,0)),"")</f>
        <v/>
      </c>
      <c r="G1870" t="inlineStr">
        <is>
          <t>QC</t>
        </is>
      </c>
      <c r="H1870">
        <f>IF(A1870&lt;=NWeeks,1,0)</f>
        <v/>
      </c>
      <c r="I1870">
        <f>INDEX(ChLaunch,MATCH(E1870,ChName,0))</f>
        <v/>
      </c>
      <c r="J1870">
        <f>INDEX(ChWeeksFull,MATCH(E1870,ChName,0))</f>
        <v/>
      </c>
      <c r="K1870">
        <f>INDEX(ChRamp,MATCH(E1870,ChName,0))</f>
        <v/>
      </c>
      <c r="L1870" s="45">
        <f>MIN(1,MAX(0,(A1870-I1870+1)*RampSpeed/J1870))</f>
        <v/>
      </c>
      <c r="M1870" s="45">
        <f>IF(A1870&lt;I1870,0,IF(K1870="S-curve",L1870*L1870*(3-2*L1870),L1870))</f>
        <v/>
      </c>
      <c r="N1870" s="45">
        <f>1+(INDEX(SeasonIdx,A1870)-1)*SeasonAmp</f>
        <v/>
      </c>
      <c r="O1870" s="45">
        <f>IFERROR(INDEX(PSPct,MATCH(E1870&amp;"|"&amp;G1870,PSKey,0)),0)</f>
        <v/>
      </c>
      <c r="P1870" s="46">
        <f>INDEX(ChDoorVel,MATCH(E1870,ChName,0))*CalibScalar*(1+VelocityUplift)</f>
        <v/>
      </c>
      <c r="Q1870" s="46" t="n">
        <v>0</v>
      </c>
      <c r="R1870" s="46">
        <f>P1870*O1870*M1870*N1870*H1870</f>
        <v/>
      </c>
      <c r="S1870" s="46">
        <f>R1870*INDEX(FmtCansPerCase,MATCH(F1870,FmtName,0))</f>
        <v/>
      </c>
      <c r="T1870" s="46">
        <f>S1870/INDEX(FmtCansPerPack,MATCH(F1870,FmtName,0))</f>
        <v/>
      </c>
      <c r="U1870" s="47">
        <f>INDEX(ChBaseCP,MATCH(E1870,ChName,0))*(1+INDEX(ProvMod,MATCH(G1870,ProvCode,0)))*(1+PriceIndex)</f>
        <v/>
      </c>
      <c r="V1870" s="47">
        <f>R1870*U1870*INDEX(FmtBlendedPriceIdx,MATCH(F1870,FmtName,0))</f>
        <v/>
      </c>
      <c r="W1870" s="47">
        <f>T1870*INDEX(ProvSRP,MATCH(G1870,ProvCode,0))*(1+PriceIndex)</f>
        <v/>
      </c>
      <c r="X1870" s="47">
        <f>IF(GrossBasis="Wholesale",V1870,W1870)</f>
        <v/>
      </c>
      <c r="Y1870" s="47">
        <f>R1870*INDEX(FmtBlendedCogs,MATCH(F1870,FmtName,0))</f>
        <v/>
      </c>
      <c r="Z1870" s="47">
        <f>X1870-Y1870</f>
        <v/>
      </c>
    </row>
    <row r="1871">
      <c r="A1871" t="n">
        <v>15</v>
      </c>
      <c r="B1871" s="44">
        <f>FiscalStart+(A1871-1)*7</f>
        <v/>
      </c>
      <c r="C1871">
        <f>TEXT(B1871,"mmm yyyy")</f>
        <v/>
      </c>
      <c r="D1871">
        <f>"Q"&amp;(INT((A1871-1)/13)+1)</f>
        <v/>
      </c>
      <c r="E1871" t="inlineStr">
        <is>
          <t>Costco</t>
        </is>
      </c>
      <c r="F1871">
        <f>IFERROR(INDEX(ChFormat,MATCH(E1871,ChName,0)),"")</f>
        <v/>
      </c>
      <c r="G1871" t="inlineStr">
        <is>
          <t>QC</t>
        </is>
      </c>
      <c r="H1871">
        <f>IF(A1871&lt;=NWeeks,1,0)</f>
        <v/>
      </c>
      <c r="I1871">
        <f>INDEX(ChLaunch,MATCH(E1871,ChName,0))</f>
        <v/>
      </c>
      <c r="J1871">
        <f>INDEX(ChWeeksFull,MATCH(E1871,ChName,0))</f>
        <v/>
      </c>
      <c r="K1871">
        <f>INDEX(ChRamp,MATCH(E1871,ChName,0))</f>
        <v/>
      </c>
      <c r="L1871" s="45">
        <f>MIN(1,MAX(0,(A1871-I1871+1)*RampSpeed/J1871))</f>
        <v/>
      </c>
      <c r="M1871" s="45">
        <f>IF(A1871&lt;I1871,0,IF(K1871="S-curve",L1871*L1871*(3-2*L1871),L1871))</f>
        <v/>
      </c>
      <c r="N1871" s="45">
        <f>1+(INDEX(SeasonIdx,A1871)-1)*SeasonAmp</f>
        <v/>
      </c>
      <c r="O1871" s="45">
        <f>IFERROR(INDEX(PSPct,MATCH(E1871&amp;"|"&amp;G1871,PSKey,0)),0)</f>
        <v/>
      </c>
      <c r="P1871" s="46">
        <f>INDEX(ChDoorVel,MATCH(E1871,ChName,0))*CalibScalar*(1+VelocityUplift)</f>
        <v/>
      </c>
      <c r="Q1871" s="46" t="n">
        <v>0</v>
      </c>
      <c r="R1871" s="46">
        <f>P1871*O1871*M1871*N1871*H1871</f>
        <v/>
      </c>
      <c r="S1871" s="46">
        <f>R1871*INDEX(FmtCansPerCase,MATCH(F1871,FmtName,0))</f>
        <v/>
      </c>
      <c r="T1871" s="46">
        <f>S1871/INDEX(FmtCansPerPack,MATCH(F1871,FmtName,0))</f>
        <v/>
      </c>
      <c r="U1871" s="47">
        <f>INDEX(ChBaseCP,MATCH(E1871,ChName,0))*(1+INDEX(ProvMod,MATCH(G1871,ProvCode,0)))*(1+PriceIndex)</f>
        <v/>
      </c>
      <c r="V1871" s="47">
        <f>R1871*U1871*INDEX(FmtBlendedPriceIdx,MATCH(F1871,FmtName,0))</f>
        <v/>
      </c>
      <c r="W1871" s="47">
        <f>T1871*INDEX(ProvSRP,MATCH(G1871,ProvCode,0))*(1+PriceIndex)</f>
        <v/>
      </c>
      <c r="X1871" s="47">
        <f>IF(GrossBasis="Wholesale",V1871,W1871)</f>
        <v/>
      </c>
      <c r="Y1871" s="47">
        <f>R1871*INDEX(FmtBlendedCogs,MATCH(F1871,FmtName,0))</f>
        <v/>
      </c>
      <c r="Z1871" s="47">
        <f>X1871-Y1871</f>
        <v/>
      </c>
    </row>
    <row r="1872">
      <c r="A1872" t="n">
        <v>16</v>
      </c>
      <c r="B1872" s="44">
        <f>FiscalStart+(A1872-1)*7</f>
        <v/>
      </c>
      <c r="C1872">
        <f>TEXT(B1872,"mmm yyyy")</f>
        <v/>
      </c>
      <c r="D1872">
        <f>"Q"&amp;(INT((A1872-1)/13)+1)</f>
        <v/>
      </c>
      <c r="E1872" t="inlineStr">
        <is>
          <t>Costco</t>
        </is>
      </c>
      <c r="F1872">
        <f>IFERROR(INDEX(ChFormat,MATCH(E1872,ChName,0)),"")</f>
        <v/>
      </c>
      <c r="G1872" t="inlineStr">
        <is>
          <t>QC</t>
        </is>
      </c>
      <c r="H1872">
        <f>IF(A1872&lt;=NWeeks,1,0)</f>
        <v/>
      </c>
      <c r="I1872">
        <f>INDEX(ChLaunch,MATCH(E1872,ChName,0))</f>
        <v/>
      </c>
      <c r="J1872">
        <f>INDEX(ChWeeksFull,MATCH(E1872,ChName,0))</f>
        <v/>
      </c>
      <c r="K1872">
        <f>INDEX(ChRamp,MATCH(E1872,ChName,0))</f>
        <v/>
      </c>
      <c r="L1872" s="45">
        <f>MIN(1,MAX(0,(A1872-I1872+1)*RampSpeed/J1872))</f>
        <v/>
      </c>
      <c r="M1872" s="45">
        <f>IF(A1872&lt;I1872,0,IF(K1872="S-curve",L1872*L1872*(3-2*L1872),L1872))</f>
        <v/>
      </c>
      <c r="N1872" s="45">
        <f>1+(INDEX(SeasonIdx,A1872)-1)*SeasonAmp</f>
        <v/>
      </c>
      <c r="O1872" s="45">
        <f>IFERROR(INDEX(PSPct,MATCH(E1872&amp;"|"&amp;G1872,PSKey,0)),0)</f>
        <v/>
      </c>
      <c r="P1872" s="46">
        <f>INDEX(ChDoorVel,MATCH(E1872,ChName,0))*CalibScalar*(1+VelocityUplift)</f>
        <v/>
      </c>
      <c r="Q1872" s="46" t="n">
        <v>0</v>
      </c>
      <c r="R1872" s="46">
        <f>P1872*O1872*M1872*N1872*H1872</f>
        <v/>
      </c>
      <c r="S1872" s="46">
        <f>R1872*INDEX(FmtCansPerCase,MATCH(F1872,FmtName,0))</f>
        <v/>
      </c>
      <c r="T1872" s="46">
        <f>S1872/INDEX(FmtCansPerPack,MATCH(F1872,FmtName,0))</f>
        <v/>
      </c>
      <c r="U1872" s="47">
        <f>INDEX(ChBaseCP,MATCH(E1872,ChName,0))*(1+INDEX(ProvMod,MATCH(G1872,ProvCode,0)))*(1+PriceIndex)</f>
        <v/>
      </c>
      <c r="V1872" s="47">
        <f>R1872*U1872*INDEX(FmtBlendedPriceIdx,MATCH(F1872,FmtName,0))</f>
        <v/>
      </c>
      <c r="W1872" s="47">
        <f>T1872*INDEX(ProvSRP,MATCH(G1872,ProvCode,0))*(1+PriceIndex)</f>
        <v/>
      </c>
      <c r="X1872" s="47">
        <f>IF(GrossBasis="Wholesale",V1872,W1872)</f>
        <v/>
      </c>
      <c r="Y1872" s="47">
        <f>R1872*INDEX(FmtBlendedCogs,MATCH(F1872,FmtName,0))</f>
        <v/>
      </c>
      <c r="Z1872" s="47">
        <f>X1872-Y1872</f>
        <v/>
      </c>
    </row>
    <row r="1873">
      <c r="A1873" t="n">
        <v>17</v>
      </c>
      <c r="B1873" s="44">
        <f>FiscalStart+(A1873-1)*7</f>
        <v/>
      </c>
      <c r="C1873">
        <f>TEXT(B1873,"mmm yyyy")</f>
        <v/>
      </c>
      <c r="D1873">
        <f>"Q"&amp;(INT((A1873-1)/13)+1)</f>
        <v/>
      </c>
      <c r="E1873" t="inlineStr">
        <is>
          <t>Costco</t>
        </is>
      </c>
      <c r="F1873">
        <f>IFERROR(INDEX(ChFormat,MATCH(E1873,ChName,0)),"")</f>
        <v/>
      </c>
      <c r="G1873" t="inlineStr">
        <is>
          <t>QC</t>
        </is>
      </c>
      <c r="H1873">
        <f>IF(A1873&lt;=NWeeks,1,0)</f>
        <v/>
      </c>
      <c r="I1873">
        <f>INDEX(ChLaunch,MATCH(E1873,ChName,0))</f>
        <v/>
      </c>
      <c r="J1873">
        <f>INDEX(ChWeeksFull,MATCH(E1873,ChName,0))</f>
        <v/>
      </c>
      <c r="K1873">
        <f>INDEX(ChRamp,MATCH(E1873,ChName,0))</f>
        <v/>
      </c>
      <c r="L1873" s="45">
        <f>MIN(1,MAX(0,(A1873-I1873+1)*RampSpeed/J1873))</f>
        <v/>
      </c>
      <c r="M1873" s="45">
        <f>IF(A1873&lt;I1873,0,IF(K1873="S-curve",L1873*L1873*(3-2*L1873),L1873))</f>
        <v/>
      </c>
      <c r="N1873" s="45">
        <f>1+(INDEX(SeasonIdx,A1873)-1)*SeasonAmp</f>
        <v/>
      </c>
      <c r="O1873" s="45">
        <f>IFERROR(INDEX(PSPct,MATCH(E1873&amp;"|"&amp;G1873,PSKey,0)),0)</f>
        <v/>
      </c>
      <c r="P1873" s="46">
        <f>INDEX(ChDoorVel,MATCH(E1873,ChName,0))*CalibScalar*(1+VelocityUplift)</f>
        <v/>
      </c>
      <c r="Q1873" s="46" t="n">
        <v>0</v>
      </c>
      <c r="R1873" s="46">
        <f>P1873*O1873*M1873*N1873*H1873</f>
        <v/>
      </c>
      <c r="S1873" s="46">
        <f>R1873*INDEX(FmtCansPerCase,MATCH(F1873,FmtName,0))</f>
        <v/>
      </c>
      <c r="T1873" s="46">
        <f>S1873/INDEX(FmtCansPerPack,MATCH(F1873,FmtName,0))</f>
        <v/>
      </c>
      <c r="U1873" s="47">
        <f>INDEX(ChBaseCP,MATCH(E1873,ChName,0))*(1+INDEX(ProvMod,MATCH(G1873,ProvCode,0)))*(1+PriceIndex)</f>
        <v/>
      </c>
      <c r="V1873" s="47">
        <f>R1873*U1873*INDEX(FmtBlendedPriceIdx,MATCH(F1873,FmtName,0))</f>
        <v/>
      </c>
      <c r="W1873" s="47">
        <f>T1873*INDEX(ProvSRP,MATCH(G1873,ProvCode,0))*(1+PriceIndex)</f>
        <v/>
      </c>
      <c r="X1873" s="47">
        <f>IF(GrossBasis="Wholesale",V1873,W1873)</f>
        <v/>
      </c>
      <c r="Y1873" s="47">
        <f>R1873*INDEX(FmtBlendedCogs,MATCH(F1873,FmtName,0))</f>
        <v/>
      </c>
      <c r="Z1873" s="47">
        <f>X1873-Y1873</f>
        <v/>
      </c>
    </row>
    <row r="1874">
      <c r="A1874" t="n">
        <v>18</v>
      </c>
      <c r="B1874" s="44">
        <f>FiscalStart+(A1874-1)*7</f>
        <v/>
      </c>
      <c r="C1874">
        <f>TEXT(B1874,"mmm yyyy")</f>
        <v/>
      </c>
      <c r="D1874">
        <f>"Q"&amp;(INT((A1874-1)/13)+1)</f>
        <v/>
      </c>
      <c r="E1874" t="inlineStr">
        <is>
          <t>Costco</t>
        </is>
      </c>
      <c r="F1874">
        <f>IFERROR(INDEX(ChFormat,MATCH(E1874,ChName,0)),"")</f>
        <v/>
      </c>
      <c r="G1874" t="inlineStr">
        <is>
          <t>QC</t>
        </is>
      </c>
      <c r="H1874">
        <f>IF(A1874&lt;=NWeeks,1,0)</f>
        <v/>
      </c>
      <c r="I1874">
        <f>INDEX(ChLaunch,MATCH(E1874,ChName,0))</f>
        <v/>
      </c>
      <c r="J1874">
        <f>INDEX(ChWeeksFull,MATCH(E1874,ChName,0))</f>
        <v/>
      </c>
      <c r="K1874">
        <f>INDEX(ChRamp,MATCH(E1874,ChName,0))</f>
        <v/>
      </c>
      <c r="L1874" s="45">
        <f>MIN(1,MAX(0,(A1874-I1874+1)*RampSpeed/J1874))</f>
        <v/>
      </c>
      <c r="M1874" s="45">
        <f>IF(A1874&lt;I1874,0,IF(K1874="S-curve",L1874*L1874*(3-2*L1874),L1874))</f>
        <v/>
      </c>
      <c r="N1874" s="45">
        <f>1+(INDEX(SeasonIdx,A1874)-1)*SeasonAmp</f>
        <v/>
      </c>
      <c r="O1874" s="45">
        <f>IFERROR(INDEX(PSPct,MATCH(E1874&amp;"|"&amp;G1874,PSKey,0)),0)</f>
        <v/>
      </c>
      <c r="P1874" s="46">
        <f>INDEX(ChDoorVel,MATCH(E1874,ChName,0))*CalibScalar*(1+VelocityUplift)</f>
        <v/>
      </c>
      <c r="Q1874" s="46" t="n">
        <v>0</v>
      </c>
      <c r="R1874" s="46">
        <f>P1874*O1874*M1874*N1874*H1874</f>
        <v/>
      </c>
      <c r="S1874" s="46">
        <f>R1874*INDEX(FmtCansPerCase,MATCH(F1874,FmtName,0))</f>
        <v/>
      </c>
      <c r="T1874" s="46">
        <f>S1874/INDEX(FmtCansPerPack,MATCH(F1874,FmtName,0))</f>
        <v/>
      </c>
      <c r="U1874" s="47">
        <f>INDEX(ChBaseCP,MATCH(E1874,ChName,0))*(1+INDEX(ProvMod,MATCH(G1874,ProvCode,0)))*(1+PriceIndex)</f>
        <v/>
      </c>
      <c r="V1874" s="47">
        <f>R1874*U1874*INDEX(FmtBlendedPriceIdx,MATCH(F1874,FmtName,0))</f>
        <v/>
      </c>
      <c r="W1874" s="47">
        <f>T1874*INDEX(ProvSRP,MATCH(G1874,ProvCode,0))*(1+PriceIndex)</f>
        <v/>
      </c>
      <c r="X1874" s="47">
        <f>IF(GrossBasis="Wholesale",V1874,W1874)</f>
        <v/>
      </c>
      <c r="Y1874" s="47">
        <f>R1874*INDEX(FmtBlendedCogs,MATCH(F1874,FmtName,0))</f>
        <v/>
      </c>
      <c r="Z1874" s="47">
        <f>X1874-Y1874</f>
        <v/>
      </c>
    </row>
    <row r="1875">
      <c r="A1875" t="n">
        <v>19</v>
      </c>
      <c r="B1875" s="44">
        <f>FiscalStart+(A1875-1)*7</f>
        <v/>
      </c>
      <c r="C1875">
        <f>TEXT(B1875,"mmm yyyy")</f>
        <v/>
      </c>
      <c r="D1875">
        <f>"Q"&amp;(INT((A1875-1)/13)+1)</f>
        <v/>
      </c>
      <c r="E1875" t="inlineStr">
        <is>
          <t>Costco</t>
        </is>
      </c>
      <c r="F1875">
        <f>IFERROR(INDEX(ChFormat,MATCH(E1875,ChName,0)),"")</f>
        <v/>
      </c>
      <c r="G1875" t="inlineStr">
        <is>
          <t>QC</t>
        </is>
      </c>
      <c r="H1875">
        <f>IF(A1875&lt;=NWeeks,1,0)</f>
        <v/>
      </c>
      <c r="I1875">
        <f>INDEX(ChLaunch,MATCH(E1875,ChName,0))</f>
        <v/>
      </c>
      <c r="J1875">
        <f>INDEX(ChWeeksFull,MATCH(E1875,ChName,0))</f>
        <v/>
      </c>
      <c r="K1875">
        <f>INDEX(ChRamp,MATCH(E1875,ChName,0))</f>
        <v/>
      </c>
      <c r="L1875" s="45">
        <f>MIN(1,MAX(0,(A1875-I1875+1)*RampSpeed/J1875))</f>
        <v/>
      </c>
      <c r="M1875" s="45">
        <f>IF(A1875&lt;I1875,0,IF(K1875="S-curve",L1875*L1875*(3-2*L1875),L1875))</f>
        <v/>
      </c>
      <c r="N1875" s="45">
        <f>1+(INDEX(SeasonIdx,A1875)-1)*SeasonAmp</f>
        <v/>
      </c>
      <c r="O1875" s="45">
        <f>IFERROR(INDEX(PSPct,MATCH(E1875&amp;"|"&amp;G1875,PSKey,0)),0)</f>
        <v/>
      </c>
      <c r="P1875" s="46">
        <f>INDEX(ChDoorVel,MATCH(E1875,ChName,0))*CalibScalar*(1+VelocityUplift)</f>
        <v/>
      </c>
      <c r="Q1875" s="46" t="n">
        <v>0</v>
      </c>
      <c r="R1875" s="46">
        <f>P1875*O1875*M1875*N1875*H1875</f>
        <v/>
      </c>
      <c r="S1875" s="46">
        <f>R1875*INDEX(FmtCansPerCase,MATCH(F1875,FmtName,0))</f>
        <v/>
      </c>
      <c r="T1875" s="46">
        <f>S1875/INDEX(FmtCansPerPack,MATCH(F1875,FmtName,0))</f>
        <v/>
      </c>
      <c r="U1875" s="47">
        <f>INDEX(ChBaseCP,MATCH(E1875,ChName,0))*(1+INDEX(ProvMod,MATCH(G1875,ProvCode,0)))*(1+PriceIndex)</f>
        <v/>
      </c>
      <c r="V1875" s="47">
        <f>R1875*U1875*INDEX(FmtBlendedPriceIdx,MATCH(F1875,FmtName,0))</f>
        <v/>
      </c>
      <c r="W1875" s="47">
        <f>T1875*INDEX(ProvSRP,MATCH(G1875,ProvCode,0))*(1+PriceIndex)</f>
        <v/>
      </c>
      <c r="X1875" s="47">
        <f>IF(GrossBasis="Wholesale",V1875,W1875)</f>
        <v/>
      </c>
      <c r="Y1875" s="47">
        <f>R1875*INDEX(FmtBlendedCogs,MATCH(F1875,FmtName,0))</f>
        <v/>
      </c>
      <c r="Z1875" s="47">
        <f>X1875-Y1875</f>
        <v/>
      </c>
    </row>
    <row r="1876">
      <c r="A1876" t="n">
        <v>20</v>
      </c>
      <c r="B1876" s="44">
        <f>FiscalStart+(A1876-1)*7</f>
        <v/>
      </c>
      <c r="C1876">
        <f>TEXT(B1876,"mmm yyyy")</f>
        <v/>
      </c>
      <c r="D1876">
        <f>"Q"&amp;(INT((A1876-1)/13)+1)</f>
        <v/>
      </c>
      <c r="E1876" t="inlineStr">
        <is>
          <t>Costco</t>
        </is>
      </c>
      <c r="F1876">
        <f>IFERROR(INDEX(ChFormat,MATCH(E1876,ChName,0)),"")</f>
        <v/>
      </c>
      <c r="G1876" t="inlineStr">
        <is>
          <t>QC</t>
        </is>
      </c>
      <c r="H1876">
        <f>IF(A1876&lt;=NWeeks,1,0)</f>
        <v/>
      </c>
      <c r="I1876">
        <f>INDEX(ChLaunch,MATCH(E1876,ChName,0))</f>
        <v/>
      </c>
      <c r="J1876">
        <f>INDEX(ChWeeksFull,MATCH(E1876,ChName,0))</f>
        <v/>
      </c>
      <c r="K1876">
        <f>INDEX(ChRamp,MATCH(E1876,ChName,0))</f>
        <v/>
      </c>
      <c r="L1876" s="45">
        <f>MIN(1,MAX(0,(A1876-I1876+1)*RampSpeed/J1876))</f>
        <v/>
      </c>
      <c r="M1876" s="45">
        <f>IF(A1876&lt;I1876,0,IF(K1876="S-curve",L1876*L1876*(3-2*L1876),L1876))</f>
        <v/>
      </c>
      <c r="N1876" s="45">
        <f>1+(INDEX(SeasonIdx,A1876)-1)*SeasonAmp</f>
        <v/>
      </c>
      <c r="O1876" s="45">
        <f>IFERROR(INDEX(PSPct,MATCH(E1876&amp;"|"&amp;G1876,PSKey,0)),0)</f>
        <v/>
      </c>
      <c r="P1876" s="46">
        <f>INDEX(ChDoorVel,MATCH(E1876,ChName,0))*CalibScalar*(1+VelocityUplift)</f>
        <v/>
      </c>
      <c r="Q1876" s="46" t="n">
        <v>0</v>
      </c>
      <c r="R1876" s="46">
        <f>P1876*O1876*M1876*N1876*H1876</f>
        <v/>
      </c>
      <c r="S1876" s="46">
        <f>R1876*INDEX(FmtCansPerCase,MATCH(F1876,FmtName,0))</f>
        <v/>
      </c>
      <c r="T1876" s="46">
        <f>S1876/INDEX(FmtCansPerPack,MATCH(F1876,FmtName,0))</f>
        <v/>
      </c>
      <c r="U1876" s="47">
        <f>INDEX(ChBaseCP,MATCH(E1876,ChName,0))*(1+INDEX(ProvMod,MATCH(G1876,ProvCode,0)))*(1+PriceIndex)</f>
        <v/>
      </c>
      <c r="V1876" s="47">
        <f>R1876*U1876*INDEX(FmtBlendedPriceIdx,MATCH(F1876,FmtName,0))</f>
        <v/>
      </c>
      <c r="W1876" s="47">
        <f>T1876*INDEX(ProvSRP,MATCH(G1876,ProvCode,0))*(1+PriceIndex)</f>
        <v/>
      </c>
      <c r="X1876" s="47">
        <f>IF(GrossBasis="Wholesale",V1876,W1876)</f>
        <v/>
      </c>
      <c r="Y1876" s="47">
        <f>R1876*INDEX(FmtBlendedCogs,MATCH(F1876,FmtName,0))</f>
        <v/>
      </c>
      <c r="Z1876" s="47">
        <f>X1876-Y1876</f>
        <v/>
      </c>
    </row>
    <row r="1877">
      <c r="A1877" t="n">
        <v>21</v>
      </c>
      <c r="B1877" s="44">
        <f>FiscalStart+(A1877-1)*7</f>
        <v/>
      </c>
      <c r="C1877">
        <f>TEXT(B1877,"mmm yyyy")</f>
        <v/>
      </c>
      <c r="D1877">
        <f>"Q"&amp;(INT((A1877-1)/13)+1)</f>
        <v/>
      </c>
      <c r="E1877" t="inlineStr">
        <is>
          <t>Costco</t>
        </is>
      </c>
      <c r="F1877">
        <f>IFERROR(INDEX(ChFormat,MATCH(E1877,ChName,0)),"")</f>
        <v/>
      </c>
      <c r="G1877" t="inlineStr">
        <is>
          <t>QC</t>
        </is>
      </c>
      <c r="H1877">
        <f>IF(A1877&lt;=NWeeks,1,0)</f>
        <v/>
      </c>
      <c r="I1877">
        <f>INDEX(ChLaunch,MATCH(E1877,ChName,0))</f>
        <v/>
      </c>
      <c r="J1877">
        <f>INDEX(ChWeeksFull,MATCH(E1877,ChName,0))</f>
        <v/>
      </c>
      <c r="K1877">
        <f>INDEX(ChRamp,MATCH(E1877,ChName,0))</f>
        <v/>
      </c>
      <c r="L1877" s="45">
        <f>MIN(1,MAX(0,(A1877-I1877+1)*RampSpeed/J1877))</f>
        <v/>
      </c>
      <c r="M1877" s="45">
        <f>IF(A1877&lt;I1877,0,IF(K1877="S-curve",L1877*L1877*(3-2*L1877),L1877))</f>
        <v/>
      </c>
      <c r="N1877" s="45">
        <f>1+(INDEX(SeasonIdx,A1877)-1)*SeasonAmp</f>
        <v/>
      </c>
      <c r="O1877" s="45">
        <f>IFERROR(INDEX(PSPct,MATCH(E1877&amp;"|"&amp;G1877,PSKey,0)),0)</f>
        <v/>
      </c>
      <c r="P1877" s="46">
        <f>INDEX(ChDoorVel,MATCH(E1877,ChName,0))*CalibScalar*(1+VelocityUplift)</f>
        <v/>
      </c>
      <c r="Q1877" s="46" t="n">
        <v>0</v>
      </c>
      <c r="R1877" s="46">
        <f>P1877*O1877*M1877*N1877*H1877</f>
        <v/>
      </c>
      <c r="S1877" s="46">
        <f>R1877*INDEX(FmtCansPerCase,MATCH(F1877,FmtName,0))</f>
        <v/>
      </c>
      <c r="T1877" s="46">
        <f>S1877/INDEX(FmtCansPerPack,MATCH(F1877,FmtName,0))</f>
        <v/>
      </c>
      <c r="U1877" s="47">
        <f>INDEX(ChBaseCP,MATCH(E1877,ChName,0))*(1+INDEX(ProvMod,MATCH(G1877,ProvCode,0)))*(1+PriceIndex)</f>
        <v/>
      </c>
      <c r="V1877" s="47">
        <f>R1877*U1877*INDEX(FmtBlendedPriceIdx,MATCH(F1877,FmtName,0))</f>
        <v/>
      </c>
      <c r="W1877" s="47">
        <f>T1877*INDEX(ProvSRP,MATCH(G1877,ProvCode,0))*(1+PriceIndex)</f>
        <v/>
      </c>
      <c r="X1877" s="47">
        <f>IF(GrossBasis="Wholesale",V1877,W1877)</f>
        <v/>
      </c>
      <c r="Y1877" s="47">
        <f>R1877*INDEX(FmtBlendedCogs,MATCH(F1877,FmtName,0))</f>
        <v/>
      </c>
      <c r="Z1877" s="47">
        <f>X1877-Y1877</f>
        <v/>
      </c>
    </row>
    <row r="1878">
      <c r="A1878" t="n">
        <v>22</v>
      </c>
      <c r="B1878" s="44">
        <f>FiscalStart+(A1878-1)*7</f>
        <v/>
      </c>
      <c r="C1878">
        <f>TEXT(B1878,"mmm yyyy")</f>
        <v/>
      </c>
      <c r="D1878">
        <f>"Q"&amp;(INT((A1878-1)/13)+1)</f>
        <v/>
      </c>
      <c r="E1878" t="inlineStr">
        <is>
          <t>Costco</t>
        </is>
      </c>
      <c r="F1878">
        <f>IFERROR(INDEX(ChFormat,MATCH(E1878,ChName,0)),"")</f>
        <v/>
      </c>
      <c r="G1878" t="inlineStr">
        <is>
          <t>QC</t>
        </is>
      </c>
      <c r="H1878">
        <f>IF(A1878&lt;=NWeeks,1,0)</f>
        <v/>
      </c>
      <c r="I1878">
        <f>INDEX(ChLaunch,MATCH(E1878,ChName,0))</f>
        <v/>
      </c>
      <c r="J1878">
        <f>INDEX(ChWeeksFull,MATCH(E1878,ChName,0))</f>
        <v/>
      </c>
      <c r="K1878">
        <f>INDEX(ChRamp,MATCH(E1878,ChName,0))</f>
        <v/>
      </c>
      <c r="L1878" s="45">
        <f>MIN(1,MAX(0,(A1878-I1878+1)*RampSpeed/J1878))</f>
        <v/>
      </c>
      <c r="M1878" s="45">
        <f>IF(A1878&lt;I1878,0,IF(K1878="S-curve",L1878*L1878*(3-2*L1878),L1878))</f>
        <v/>
      </c>
      <c r="N1878" s="45">
        <f>1+(INDEX(SeasonIdx,A1878)-1)*SeasonAmp</f>
        <v/>
      </c>
      <c r="O1878" s="45">
        <f>IFERROR(INDEX(PSPct,MATCH(E1878&amp;"|"&amp;G1878,PSKey,0)),0)</f>
        <v/>
      </c>
      <c r="P1878" s="46">
        <f>INDEX(ChDoorVel,MATCH(E1878,ChName,0))*CalibScalar*(1+VelocityUplift)</f>
        <v/>
      </c>
      <c r="Q1878" s="46" t="n">
        <v>0</v>
      </c>
      <c r="R1878" s="46">
        <f>P1878*O1878*M1878*N1878*H1878</f>
        <v/>
      </c>
      <c r="S1878" s="46">
        <f>R1878*INDEX(FmtCansPerCase,MATCH(F1878,FmtName,0))</f>
        <v/>
      </c>
      <c r="T1878" s="46">
        <f>S1878/INDEX(FmtCansPerPack,MATCH(F1878,FmtName,0))</f>
        <v/>
      </c>
      <c r="U1878" s="47">
        <f>INDEX(ChBaseCP,MATCH(E1878,ChName,0))*(1+INDEX(ProvMod,MATCH(G1878,ProvCode,0)))*(1+PriceIndex)</f>
        <v/>
      </c>
      <c r="V1878" s="47">
        <f>R1878*U1878*INDEX(FmtBlendedPriceIdx,MATCH(F1878,FmtName,0))</f>
        <v/>
      </c>
      <c r="W1878" s="47">
        <f>T1878*INDEX(ProvSRP,MATCH(G1878,ProvCode,0))*(1+PriceIndex)</f>
        <v/>
      </c>
      <c r="X1878" s="47">
        <f>IF(GrossBasis="Wholesale",V1878,W1878)</f>
        <v/>
      </c>
      <c r="Y1878" s="47">
        <f>R1878*INDEX(FmtBlendedCogs,MATCH(F1878,FmtName,0))</f>
        <v/>
      </c>
      <c r="Z1878" s="47">
        <f>X1878-Y1878</f>
        <v/>
      </c>
    </row>
    <row r="1879">
      <c r="A1879" t="n">
        <v>23</v>
      </c>
      <c r="B1879" s="44">
        <f>FiscalStart+(A1879-1)*7</f>
        <v/>
      </c>
      <c r="C1879">
        <f>TEXT(B1879,"mmm yyyy")</f>
        <v/>
      </c>
      <c r="D1879">
        <f>"Q"&amp;(INT((A1879-1)/13)+1)</f>
        <v/>
      </c>
      <c r="E1879" t="inlineStr">
        <is>
          <t>Costco</t>
        </is>
      </c>
      <c r="F1879">
        <f>IFERROR(INDEX(ChFormat,MATCH(E1879,ChName,0)),"")</f>
        <v/>
      </c>
      <c r="G1879" t="inlineStr">
        <is>
          <t>QC</t>
        </is>
      </c>
      <c r="H1879">
        <f>IF(A1879&lt;=NWeeks,1,0)</f>
        <v/>
      </c>
      <c r="I1879">
        <f>INDEX(ChLaunch,MATCH(E1879,ChName,0))</f>
        <v/>
      </c>
      <c r="J1879">
        <f>INDEX(ChWeeksFull,MATCH(E1879,ChName,0))</f>
        <v/>
      </c>
      <c r="K1879">
        <f>INDEX(ChRamp,MATCH(E1879,ChName,0))</f>
        <v/>
      </c>
      <c r="L1879" s="45">
        <f>MIN(1,MAX(0,(A1879-I1879+1)*RampSpeed/J1879))</f>
        <v/>
      </c>
      <c r="M1879" s="45">
        <f>IF(A1879&lt;I1879,0,IF(K1879="S-curve",L1879*L1879*(3-2*L1879),L1879))</f>
        <v/>
      </c>
      <c r="N1879" s="45">
        <f>1+(INDEX(SeasonIdx,A1879)-1)*SeasonAmp</f>
        <v/>
      </c>
      <c r="O1879" s="45">
        <f>IFERROR(INDEX(PSPct,MATCH(E1879&amp;"|"&amp;G1879,PSKey,0)),0)</f>
        <v/>
      </c>
      <c r="P1879" s="46">
        <f>INDEX(ChDoorVel,MATCH(E1879,ChName,0))*CalibScalar*(1+VelocityUplift)</f>
        <v/>
      </c>
      <c r="Q1879" s="46" t="n">
        <v>0</v>
      </c>
      <c r="R1879" s="46">
        <f>P1879*O1879*M1879*N1879*H1879</f>
        <v/>
      </c>
      <c r="S1879" s="46">
        <f>R1879*INDEX(FmtCansPerCase,MATCH(F1879,FmtName,0))</f>
        <v/>
      </c>
      <c r="T1879" s="46">
        <f>S1879/INDEX(FmtCansPerPack,MATCH(F1879,FmtName,0))</f>
        <v/>
      </c>
      <c r="U1879" s="47">
        <f>INDEX(ChBaseCP,MATCH(E1879,ChName,0))*(1+INDEX(ProvMod,MATCH(G1879,ProvCode,0)))*(1+PriceIndex)</f>
        <v/>
      </c>
      <c r="V1879" s="47">
        <f>R1879*U1879*INDEX(FmtBlendedPriceIdx,MATCH(F1879,FmtName,0))</f>
        <v/>
      </c>
      <c r="W1879" s="47">
        <f>T1879*INDEX(ProvSRP,MATCH(G1879,ProvCode,0))*(1+PriceIndex)</f>
        <v/>
      </c>
      <c r="X1879" s="47">
        <f>IF(GrossBasis="Wholesale",V1879,W1879)</f>
        <v/>
      </c>
      <c r="Y1879" s="47">
        <f>R1879*INDEX(FmtBlendedCogs,MATCH(F1879,FmtName,0))</f>
        <v/>
      </c>
      <c r="Z1879" s="47">
        <f>X1879-Y1879</f>
        <v/>
      </c>
    </row>
    <row r="1880">
      <c r="A1880" t="n">
        <v>24</v>
      </c>
      <c r="B1880" s="44">
        <f>FiscalStart+(A1880-1)*7</f>
        <v/>
      </c>
      <c r="C1880">
        <f>TEXT(B1880,"mmm yyyy")</f>
        <v/>
      </c>
      <c r="D1880">
        <f>"Q"&amp;(INT((A1880-1)/13)+1)</f>
        <v/>
      </c>
      <c r="E1880" t="inlineStr">
        <is>
          <t>Costco</t>
        </is>
      </c>
      <c r="F1880">
        <f>IFERROR(INDEX(ChFormat,MATCH(E1880,ChName,0)),"")</f>
        <v/>
      </c>
      <c r="G1880" t="inlineStr">
        <is>
          <t>QC</t>
        </is>
      </c>
      <c r="H1880">
        <f>IF(A1880&lt;=NWeeks,1,0)</f>
        <v/>
      </c>
      <c r="I1880">
        <f>INDEX(ChLaunch,MATCH(E1880,ChName,0))</f>
        <v/>
      </c>
      <c r="J1880">
        <f>INDEX(ChWeeksFull,MATCH(E1880,ChName,0))</f>
        <v/>
      </c>
      <c r="K1880">
        <f>INDEX(ChRamp,MATCH(E1880,ChName,0))</f>
        <v/>
      </c>
      <c r="L1880" s="45">
        <f>MIN(1,MAX(0,(A1880-I1880+1)*RampSpeed/J1880))</f>
        <v/>
      </c>
      <c r="M1880" s="45">
        <f>IF(A1880&lt;I1880,0,IF(K1880="S-curve",L1880*L1880*(3-2*L1880),L1880))</f>
        <v/>
      </c>
      <c r="N1880" s="45">
        <f>1+(INDEX(SeasonIdx,A1880)-1)*SeasonAmp</f>
        <v/>
      </c>
      <c r="O1880" s="45">
        <f>IFERROR(INDEX(PSPct,MATCH(E1880&amp;"|"&amp;G1880,PSKey,0)),0)</f>
        <v/>
      </c>
      <c r="P1880" s="46">
        <f>INDEX(ChDoorVel,MATCH(E1880,ChName,0))*CalibScalar*(1+VelocityUplift)</f>
        <v/>
      </c>
      <c r="Q1880" s="46" t="n">
        <v>0</v>
      </c>
      <c r="R1880" s="46">
        <f>P1880*O1880*M1880*N1880*H1880</f>
        <v/>
      </c>
      <c r="S1880" s="46">
        <f>R1880*INDEX(FmtCansPerCase,MATCH(F1880,FmtName,0))</f>
        <v/>
      </c>
      <c r="T1880" s="46">
        <f>S1880/INDEX(FmtCansPerPack,MATCH(F1880,FmtName,0))</f>
        <v/>
      </c>
      <c r="U1880" s="47">
        <f>INDEX(ChBaseCP,MATCH(E1880,ChName,0))*(1+INDEX(ProvMod,MATCH(G1880,ProvCode,0)))*(1+PriceIndex)</f>
        <v/>
      </c>
      <c r="V1880" s="47">
        <f>R1880*U1880*INDEX(FmtBlendedPriceIdx,MATCH(F1880,FmtName,0))</f>
        <v/>
      </c>
      <c r="W1880" s="47">
        <f>T1880*INDEX(ProvSRP,MATCH(G1880,ProvCode,0))*(1+PriceIndex)</f>
        <v/>
      </c>
      <c r="X1880" s="47">
        <f>IF(GrossBasis="Wholesale",V1880,W1880)</f>
        <v/>
      </c>
      <c r="Y1880" s="47">
        <f>R1880*INDEX(FmtBlendedCogs,MATCH(F1880,FmtName,0))</f>
        <v/>
      </c>
      <c r="Z1880" s="47">
        <f>X1880-Y1880</f>
        <v/>
      </c>
    </row>
    <row r="1881">
      <c r="A1881" t="n">
        <v>25</v>
      </c>
      <c r="B1881" s="44">
        <f>FiscalStart+(A1881-1)*7</f>
        <v/>
      </c>
      <c r="C1881">
        <f>TEXT(B1881,"mmm yyyy")</f>
        <v/>
      </c>
      <c r="D1881">
        <f>"Q"&amp;(INT((A1881-1)/13)+1)</f>
        <v/>
      </c>
      <c r="E1881" t="inlineStr">
        <is>
          <t>Costco</t>
        </is>
      </c>
      <c r="F1881">
        <f>IFERROR(INDEX(ChFormat,MATCH(E1881,ChName,0)),"")</f>
        <v/>
      </c>
      <c r="G1881" t="inlineStr">
        <is>
          <t>QC</t>
        </is>
      </c>
      <c r="H1881">
        <f>IF(A1881&lt;=NWeeks,1,0)</f>
        <v/>
      </c>
      <c r="I1881">
        <f>INDEX(ChLaunch,MATCH(E1881,ChName,0))</f>
        <v/>
      </c>
      <c r="J1881">
        <f>INDEX(ChWeeksFull,MATCH(E1881,ChName,0))</f>
        <v/>
      </c>
      <c r="K1881">
        <f>INDEX(ChRamp,MATCH(E1881,ChName,0))</f>
        <v/>
      </c>
      <c r="L1881" s="45">
        <f>MIN(1,MAX(0,(A1881-I1881+1)*RampSpeed/J1881))</f>
        <v/>
      </c>
      <c r="M1881" s="45">
        <f>IF(A1881&lt;I1881,0,IF(K1881="S-curve",L1881*L1881*(3-2*L1881),L1881))</f>
        <v/>
      </c>
      <c r="N1881" s="45">
        <f>1+(INDEX(SeasonIdx,A1881)-1)*SeasonAmp</f>
        <v/>
      </c>
      <c r="O1881" s="45">
        <f>IFERROR(INDEX(PSPct,MATCH(E1881&amp;"|"&amp;G1881,PSKey,0)),0)</f>
        <v/>
      </c>
      <c r="P1881" s="46">
        <f>INDEX(ChDoorVel,MATCH(E1881,ChName,0))*CalibScalar*(1+VelocityUplift)</f>
        <v/>
      </c>
      <c r="Q1881" s="46" t="n">
        <v>0</v>
      </c>
      <c r="R1881" s="46">
        <f>P1881*O1881*M1881*N1881*H1881</f>
        <v/>
      </c>
      <c r="S1881" s="46">
        <f>R1881*INDEX(FmtCansPerCase,MATCH(F1881,FmtName,0))</f>
        <v/>
      </c>
      <c r="T1881" s="46">
        <f>S1881/INDEX(FmtCansPerPack,MATCH(F1881,FmtName,0))</f>
        <v/>
      </c>
      <c r="U1881" s="47">
        <f>INDEX(ChBaseCP,MATCH(E1881,ChName,0))*(1+INDEX(ProvMod,MATCH(G1881,ProvCode,0)))*(1+PriceIndex)</f>
        <v/>
      </c>
      <c r="V1881" s="47">
        <f>R1881*U1881*INDEX(FmtBlendedPriceIdx,MATCH(F1881,FmtName,0))</f>
        <v/>
      </c>
      <c r="W1881" s="47">
        <f>T1881*INDEX(ProvSRP,MATCH(G1881,ProvCode,0))*(1+PriceIndex)</f>
        <v/>
      </c>
      <c r="X1881" s="47">
        <f>IF(GrossBasis="Wholesale",V1881,W1881)</f>
        <v/>
      </c>
      <c r="Y1881" s="47">
        <f>R1881*INDEX(FmtBlendedCogs,MATCH(F1881,FmtName,0))</f>
        <v/>
      </c>
      <c r="Z1881" s="47">
        <f>X1881-Y1881</f>
        <v/>
      </c>
    </row>
    <row r="1882">
      <c r="A1882" t="n">
        <v>26</v>
      </c>
      <c r="B1882" s="44">
        <f>FiscalStart+(A1882-1)*7</f>
        <v/>
      </c>
      <c r="C1882">
        <f>TEXT(B1882,"mmm yyyy")</f>
        <v/>
      </c>
      <c r="D1882">
        <f>"Q"&amp;(INT((A1882-1)/13)+1)</f>
        <v/>
      </c>
      <c r="E1882" t="inlineStr">
        <is>
          <t>Costco</t>
        </is>
      </c>
      <c r="F1882">
        <f>IFERROR(INDEX(ChFormat,MATCH(E1882,ChName,0)),"")</f>
        <v/>
      </c>
      <c r="G1882" t="inlineStr">
        <is>
          <t>QC</t>
        </is>
      </c>
      <c r="H1882">
        <f>IF(A1882&lt;=NWeeks,1,0)</f>
        <v/>
      </c>
      <c r="I1882">
        <f>INDEX(ChLaunch,MATCH(E1882,ChName,0))</f>
        <v/>
      </c>
      <c r="J1882">
        <f>INDEX(ChWeeksFull,MATCH(E1882,ChName,0))</f>
        <v/>
      </c>
      <c r="K1882">
        <f>INDEX(ChRamp,MATCH(E1882,ChName,0))</f>
        <v/>
      </c>
      <c r="L1882" s="45">
        <f>MIN(1,MAX(0,(A1882-I1882+1)*RampSpeed/J1882))</f>
        <v/>
      </c>
      <c r="M1882" s="45">
        <f>IF(A1882&lt;I1882,0,IF(K1882="S-curve",L1882*L1882*(3-2*L1882),L1882))</f>
        <v/>
      </c>
      <c r="N1882" s="45">
        <f>1+(INDEX(SeasonIdx,A1882)-1)*SeasonAmp</f>
        <v/>
      </c>
      <c r="O1882" s="45">
        <f>IFERROR(INDEX(PSPct,MATCH(E1882&amp;"|"&amp;G1882,PSKey,0)),0)</f>
        <v/>
      </c>
      <c r="P1882" s="46">
        <f>INDEX(ChDoorVel,MATCH(E1882,ChName,0))*CalibScalar*(1+VelocityUplift)</f>
        <v/>
      </c>
      <c r="Q1882" s="46" t="n">
        <v>0</v>
      </c>
      <c r="R1882" s="46">
        <f>P1882*O1882*M1882*N1882*H1882</f>
        <v/>
      </c>
      <c r="S1882" s="46">
        <f>R1882*INDEX(FmtCansPerCase,MATCH(F1882,FmtName,0))</f>
        <v/>
      </c>
      <c r="T1882" s="46">
        <f>S1882/INDEX(FmtCansPerPack,MATCH(F1882,FmtName,0))</f>
        <v/>
      </c>
      <c r="U1882" s="47">
        <f>INDEX(ChBaseCP,MATCH(E1882,ChName,0))*(1+INDEX(ProvMod,MATCH(G1882,ProvCode,0)))*(1+PriceIndex)</f>
        <v/>
      </c>
      <c r="V1882" s="47">
        <f>R1882*U1882*INDEX(FmtBlendedPriceIdx,MATCH(F1882,FmtName,0))</f>
        <v/>
      </c>
      <c r="W1882" s="47">
        <f>T1882*INDEX(ProvSRP,MATCH(G1882,ProvCode,0))*(1+PriceIndex)</f>
        <v/>
      </c>
      <c r="X1882" s="47">
        <f>IF(GrossBasis="Wholesale",V1882,W1882)</f>
        <v/>
      </c>
      <c r="Y1882" s="47">
        <f>R1882*INDEX(FmtBlendedCogs,MATCH(F1882,FmtName,0))</f>
        <v/>
      </c>
      <c r="Z1882" s="47">
        <f>X1882-Y1882</f>
        <v/>
      </c>
    </row>
    <row r="1883">
      <c r="A1883" t="n">
        <v>27</v>
      </c>
      <c r="B1883" s="44">
        <f>FiscalStart+(A1883-1)*7</f>
        <v/>
      </c>
      <c r="C1883">
        <f>TEXT(B1883,"mmm yyyy")</f>
        <v/>
      </c>
      <c r="D1883">
        <f>"Q"&amp;(INT((A1883-1)/13)+1)</f>
        <v/>
      </c>
      <c r="E1883" t="inlineStr">
        <is>
          <t>Costco</t>
        </is>
      </c>
      <c r="F1883">
        <f>IFERROR(INDEX(ChFormat,MATCH(E1883,ChName,0)),"")</f>
        <v/>
      </c>
      <c r="G1883" t="inlineStr">
        <is>
          <t>QC</t>
        </is>
      </c>
      <c r="H1883">
        <f>IF(A1883&lt;=NWeeks,1,0)</f>
        <v/>
      </c>
      <c r="I1883">
        <f>INDEX(ChLaunch,MATCH(E1883,ChName,0))</f>
        <v/>
      </c>
      <c r="J1883">
        <f>INDEX(ChWeeksFull,MATCH(E1883,ChName,0))</f>
        <v/>
      </c>
      <c r="K1883">
        <f>INDEX(ChRamp,MATCH(E1883,ChName,0))</f>
        <v/>
      </c>
      <c r="L1883" s="45">
        <f>MIN(1,MAX(0,(A1883-I1883+1)*RampSpeed/J1883))</f>
        <v/>
      </c>
      <c r="M1883" s="45">
        <f>IF(A1883&lt;I1883,0,IF(K1883="S-curve",L1883*L1883*(3-2*L1883),L1883))</f>
        <v/>
      </c>
      <c r="N1883" s="45">
        <f>1+(INDEX(SeasonIdx,A1883)-1)*SeasonAmp</f>
        <v/>
      </c>
      <c r="O1883" s="45">
        <f>IFERROR(INDEX(PSPct,MATCH(E1883&amp;"|"&amp;G1883,PSKey,0)),0)</f>
        <v/>
      </c>
      <c r="P1883" s="46">
        <f>INDEX(ChDoorVel,MATCH(E1883,ChName,0))*CalibScalar*(1+VelocityUplift)</f>
        <v/>
      </c>
      <c r="Q1883" s="46" t="n">
        <v>0</v>
      </c>
      <c r="R1883" s="46">
        <f>P1883*O1883*M1883*N1883*H1883</f>
        <v/>
      </c>
      <c r="S1883" s="46">
        <f>R1883*INDEX(FmtCansPerCase,MATCH(F1883,FmtName,0))</f>
        <v/>
      </c>
      <c r="T1883" s="46">
        <f>S1883/INDEX(FmtCansPerPack,MATCH(F1883,FmtName,0))</f>
        <v/>
      </c>
      <c r="U1883" s="47">
        <f>INDEX(ChBaseCP,MATCH(E1883,ChName,0))*(1+INDEX(ProvMod,MATCH(G1883,ProvCode,0)))*(1+PriceIndex)</f>
        <v/>
      </c>
      <c r="V1883" s="47">
        <f>R1883*U1883*INDEX(FmtBlendedPriceIdx,MATCH(F1883,FmtName,0))</f>
        <v/>
      </c>
      <c r="W1883" s="47">
        <f>T1883*INDEX(ProvSRP,MATCH(G1883,ProvCode,0))*(1+PriceIndex)</f>
        <v/>
      </c>
      <c r="X1883" s="47">
        <f>IF(GrossBasis="Wholesale",V1883,W1883)</f>
        <v/>
      </c>
      <c r="Y1883" s="47">
        <f>R1883*INDEX(FmtBlendedCogs,MATCH(F1883,FmtName,0))</f>
        <v/>
      </c>
      <c r="Z1883" s="47">
        <f>X1883-Y1883</f>
        <v/>
      </c>
    </row>
    <row r="1884">
      <c r="A1884" t="n">
        <v>28</v>
      </c>
      <c r="B1884" s="44">
        <f>FiscalStart+(A1884-1)*7</f>
        <v/>
      </c>
      <c r="C1884">
        <f>TEXT(B1884,"mmm yyyy")</f>
        <v/>
      </c>
      <c r="D1884">
        <f>"Q"&amp;(INT((A1884-1)/13)+1)</f>
        <v/>
      </c>
      <c r="E1884" t="inlineStr">
        <is>
          <t>Costco</t>
        </is>
      </c>
      <c r="F1884">
        <f>IFERROR(INDEX(ChFormat,MATCH(E1884,ChName,0)),"")</f>
        <v/>
      </c>
      <c r="G1884" t="inlineStr">
        <is>
          <t>QC</t>
        </is>
      </c>
      <c r="H1884">
        <f>IF(A1884&lt;=NWeeks,1,0)</f>
        <v/>
      </c>
      <c r="I1884">
        <f>INDEX(ChLaunch,MATCH(E1884,ChName,0))</f>
        <v/>
      </c>
      <c r="J1884">
        <f>INDEX(ChWeeksFull,MATCH(E1884,ChName,0))</f>
        <v/>
      </c>
      <c r="K1884">
        <f>INDEX(ChRamp,MATCH(E1884,ChName,0))</f>
        <v/>
      </c>
      <c r="L1884" s="45">
        <f>MIN(1,MAX(0,(A1884-I1884+1)*RampSpeed/J1884))</f>
        <v/>
      </c>
      <c r="M1884" s="45">
        <f>IF(A1884&lt;I1884,0,IF(K1884="S-curve",L1884*L1884*(3-2*L1884),L1884))</f>
        <v/>
      </c>
      <c r="N1884" s="45">
        <f>1+(INDEX(SeasonIdx,A1884)-1)*SeasonAmp</f>
        <v/>
      </c>
      <c r="O1884" s="45">
        <f>IFERROR(INDEX(PSPct,MATCH(E1884&amp;"|"&amp;G1884,PSKey,0)),0)</f>
        <v/>
      </c>
      <c r="P1884" s="46">
        <f>INDEX(ChDoorVel,MATCH(E1884,ChName,0))*CalibScalar*(1+VelocityUplift)</f>
        <v/>
      </c>
      <c r="Q1884" s="46" t="n">
        <v>0</v>
      </c>
      <c r="R1884" s="46">
        <f>P1884*O1884*M1884*N1884*H1884</f>
        <v/>
      </c>
      <c r="S1884" s="46">
        <f>R1884*INDEX(FmtCansPerCase,MATCH(F1884,FmtName,0))</f>
        <v/>
      </c>
      <c r="T1884" s="46">
        <f>S1884/INDEX(FmtCansPerPack,MATCH(F1884,FmtName,0))</f>
        <v/>
      </c>
      <c r="U1884" s="47">
        <f>INDEX(ChBaseCP,MATCH(E1884,ChName,0))*(1+INDEX(ProvMod,MATCH(G1884,ProvCode,0)))*(1+PriceIndex)</f>
        <v/>
      </c>
      <c r="V1884" s="47">
        <f>R1884*U1884*INDEX(FmtBlendedPriceIdx,MATCH(F1884,FmtName,0))</f>
        <v/>
      </c>
      <c r="W1884" s="47">
        <f>T1884*INDEX(ProvSRP,MATCH(G1884,ProvCode,0))*(1+PriceIndex)</f>
        <v/>
      </c>
      <c r="X1884" s="47">
        <f>IF(GrossBasis="Wholesale",V1884,W1884)</f>
        <v/>
      </c>
      <c r="Y1884" s="47">
        <f>R1884*INDEX(FmtBlendedCogs,MATCH(F1884,FmtName,0))</f>
        <v/>
      </c>
      <c r="Z1884" s="47">
        <f>X1884-Y1884</f>
        <v/>
      </c>
    </row>
    <row r="1885">
      <c r="A1885" t="n">
        <v>29</v>
      </c>
      <c r="B1885" s="44">
        <f>FiscalStart+(A1885-1)*7</f>
        <v/>
      </c>
      <c r="C1885">
        <f>TEXT(B1885,"mmm yyyy")</f>
        <v/>
      </c>
      <c r="D1885">
        <f>"Q"&amp;(INT((A1885-1)/13)+1)</f>
        <v/>
      </c>
      <c r="E1885" t="inlineStr">
        <is>
          <t>Costco</t>
        </is>
      </c>
      <c r="F1885">
        <f>IFERROR(INDEX(ChFormat,MATCH(E1885,ChName,0)),"")</f>
        <v/>
      </c>
      <c r="G1885" t="inlineStr">
        <is>
          <t>QC</t>
        </is>
      </c>
      <c r="H1885">
        <f>IF(A1885&lt;=NWeeks,1,0)</f>
        <v/>
      </c>
      <c r="I1885">
        <f>INDEX(ChLaunch,MATCH(E1885,ChName,0))</f>
        <v/>
      </c>
      <c r="J1885">
        <f>INDEX(ChWeeksFull,MATCH(E1885,ChName,0))</f>
        <v/>
      </c>
      <c r="K1885">
        <f>INDEX(ChRamp,MATCH(E1885,ChName,0))</f>
        <v/>
      </c>
      <c r="L1885" s="45">
        <f>MIN(1,MAX(0,(A1885-I1885+1)*RampSpeed/J1885))</f>
        <v/>
      </c>
      <c r="M1885" s="45">
        <f>IF(A1885&lt;I1885,0,IF(K1885="S-curve",L1885*L1885*(3-2*L1885),L1885))</f>
        <v/>
      </c>
      <c r="N1885" s="45">
        <f>1+(INDEX(SeasonIdx,A1885)-1)*SeasonAmp</f>
        <v/>
      </c>
      <c r="O1885" s="45">
        <f>IFERROR(INDEX(PSPct,MATCH(E1885&amp;"|"&amp;G1885,PSKey,0)),0)</f>
        <v/>
      </c>
      <c r="P1885" s="46">
        <f>INDEX(ChDoorVel,MATCH(E1885,ChName,0))*CalibScalar*(1+VelocityUplift)</f>
        <v/>
      </c>
      <c r="Q1885" s="46" t="n">
        <v>0</v>
      </c>
      <c r="R1885" s="46">
        <f>P1885*O1885*M1885*N1885*H1885</f>
        <v/>
      </c>
      <c r="S1885" s="46">
        <f>R1885*INDEX(FmtCansPerCase,MATCH(F1885,FmtName,0))</f>
        <v/>
      </c>
      <c r="T1885" s="46">
        <f>S1885/INDEX(FmtCansPerPack,MATCH(F1885,FmtName,0))</f>
        <v/>
      </c>
      <c r="U1885" s="47">
        <f>INDEX(ChBaseCP,MATCH(E1885,ChName,0))*(1+INDEX(ProvMod,MATCH(G1885,ProvCode,0)))*(1+PriceIndex)</f>
        <v/>
      </c>
      <c r="V1885" s="47">
        <f>R1885*U1885*INDEX(FmtBlendedPriceIdx,MATCH(F1885,FmtName,0))</f>
        <v/>
      </c>
      <c r="W1885" s="47">
        <f>T1885*INDEX(ProvSRP,MATCH(G1885,ProvCode,0))*(1+PriceIndex)</f>
        <v/>
      </c>
      <c r="X1885" s="47">
        <f>IF(GrossBasis="Wholesale",V1885,W1885)</f>
        <v/>
      </c>
      <c r="Y1885" s="47">
        <f>R1885*INDEX(FmtBlendedCogs,MATCH(F1885,FmtName,0))</f>
        <v/>
      </c>
      <c r="Z1885" s="47">
        <f>X1885-Y1885</f>
        <v/>
      </c>
    </row>
    <row r="1886">
      <c r="A1886" t="n">
        <v>30</v>
      </c>
      <c r="B1886" s="44">
        <f>FiscalStart+(A1886-1)*7</f>
        <v/>
      </c>
      <c r="C1886">
        <f>TEXT(B1886,"mmm yyyy")</f>
        <v/>
      </c>
      <c r="D1886">
        <f>"Q"&amp;(INT((A1886-1)/13)+1)</f>
        <v/>
      </c>
      <c r="E1886" t="inlineStr">
        <is>
          <t>Costco</t>
        </is>
      </c>
      <c r="F1886">
        <f>IFERROR(INDEX(ChFormat,MATCH(E1886,ChName,0)),"")</f>
        <v/>
      </c>
      <c r="G1886" t="inlineStr">
        <is>
          <t>QC</t>
        </is>
      </c>
      <c r="H1886">
        <f>IF(A1886&lt;=NWeeks,1,0)</f>
        <v/>
      </c>
      <c r="I1886">
        <f>INDEX(ChLaunch,MATCH(E1886,ChName,0))</f>
        <v/>
      </c>
      <c r="J1886">
        <f>INDEX(ChWeeksFull,MATCH(E1886,ChName,0))</f>
        <v/>
      </c>
      <c r="K1886">
        <f>INDEX(ChRamp,MATCH(E1886,ChName,0))</f>
        <v/>
      </c>
      <c r="L1886" s="45">
        <f>MIN(1,MAX(0,(A1886-I1886+1)*RampSpeed/J1886))</f>
        <v/>
      </c>
      <c r="M1886" s="45">
        <f>IF(A1886&lt;I1886,0,IF(K1886="S-curve",L1886*L1886*(3-2*L1886),L1886))</f>
        <v/>
      </c>
      <c r="N1886" s="45">
        <f>1+(INDEX(SeasonIdx,A1886)-1)*SeasonAmp</f>
        <v/>
      </c>
      <c r="O1886" s="45">
        <f>IFERROR(INDEX(PSPct,MATCH(E1886&amp;"|"&amp;G1886,PSKey,0)),0)</f>
        <v/>
      </c>
      <c r="P1886" s="46">
        <f>INDEX(ChDoorVel,MATCH(E1886,ChName,0))*CalibScalar*(1+VelocityUplift)</f>
        <v/>
      </c>
      <c r="Q1886" s="46" t="n">
        <v>0</v>
      </c>
      <c r="R1886" s="46">
        <f>P1886*O1886*M1886*N1886*H1886</f>
        <v/>
      </c>
      <c r="S1886" s="46">
        <f>R1886*INDEX(FmtCansPerCase,MATCH(F1886,FmtName,0))</f>
        <v/>
      </c>
      <c r="T1886" s="46">
        <f>S1886/INDEX(FmtCansPerPack,MATCH(F1886,FmtName,0))</f>
        <v/>
      </c>
      <c r="U1886" s="47">
        <f>INDEX(ChBaseCP,MATCH(E1886,ChName,0))*(1+INDEX(ProvMod,MATCH(G1886,ProvCode,0)))*(1+PriceIndex)</f>
        <v/>
      </c>
      <c r="V1886" s="47">
        <f>R1886*U1886*INDEX(FmtBlendedPriceIdx,MATCH(F1886,FmtName,0))</f>
        <v/>
      </c>
      <c r="W1886" s="47">
        <f>T1886*INDEX(ProvSRP,MATCH(G1886,ProvCode,0))*(1+PriceIndex)</f>
        <v/>
      </c>
      <c r="X1886" s="47">
        <f>IF(GrossBasis="Wholesale",V1886,W1886)</f>
        <v/>
      </c>
      <c r="Y1886" s="47">
        <f>R1886*INDEX(FmtBlendedCogs,MATCH(F1886,FmtName,0))</f>
        <v/>
      </c>
      <c r="Z1886" s="47">
        <f>X1886-Y1886</f>
        <v/>
      </c>
    </row>
    <row r="1887">
      <c r="A1887" t="n">
        <v>31</v>
      </c>
      <c r="B1887" s="44">
        <f>FiscalStart+(A1887-1)*7</f>
        <v/>
      </c>
      <c r="C1887">
        <f>TEXT(B1887,"mmm yyyy")</f>
        <v/>
      </c>
      <c r="D1887">
        <f>"Q"&amp;(INT((A1887-1)/13)+1)</f>
        <v/>
      </c>
      <c r="E1887" t="inlineStr">
        <is>
          <t>Costco</t>
        </is>
      </c>
      <c r="F1887">
        <f>IFERROR(INDEX(ChFormat,MATCH(E1887,ChName,0)),"")</f>
        <v/>
      </c>
      <c r="G1887" t="inlineStr">
        <is>
          <t>QC</t>
        </is>
      </c>
      <c r="H1887">
        <f>IF(A1887&lt;=NWeeks,1,0)</f>
        <v/>
      </c>
      <c r="I1887">
        <f>INDEX(ChLaunch,MATCH(E1887,ChName,0))</f>
        <v/>
      </c>
      <c r="J1887">
        <f>INDEX(ChWeeksFull,MATCH(E1887,ChName,0))</f>
        <v/>
      </c>
      <c r="K1887">
        <f>INDEX(ChRamp,MATCH(E1887,ChName,0))</f>
        <v/>
      </c>
      <c r="L1887" s="45">
        <f>MIN(1,MAX(0,(A1887-I1887+1)*RampSpeed/J1887))</f>
        <v/>
      </c>
      <c r="M1887" s="45">
        <f>IF(A1887&lt;I1887,0,IF(K1887="S-curve",L1887*L1887*(3-2*L1887),L1887))</f>
        <v/>
      </c>
      <c r="N1887" s="45">
        <f>1+(INDEX(SeasonIdx,A1887)-1)*SeasonAmp</f>
        <v/>
      </c>
      <c r="O1887" s="45">
        <f>IFERROR(INDEX(PSPct,MATCH(E1887&amp;"|"&amp;G1887,PSKey,0)),0)</f>
        <v/>
      </c>
      <c r="P1887" s="46">
        <f>INDEX(ChDoorVel,MATCH(E1887,ChName,0))*CalibScalar*(1+VelocityUplift)</f>
        <v/>
      </c>
      <c r="Q1887" s="46" t="n">
        <v>0</v>
      </c>
      <c r="R1887" s="46">
        <f>P1887*O1887*M1887*N1887*H1887</f>
        <v/>
      </c>
      <c r="S1887" s="46">
        <f>R1887*INDEX(FmtCansPerCase,MATCH(F1887,FmtName,0))</f>
        <v/>
      </c>
      <c r="T1887" s="46">
        <f>S1887/INDEX(FmtCansPerPack,MATCH(F1887,FmtName,0))</f>
        <v/>
      </c>
      <c r="U1887" s="47">
        <f>INDEX(ChBaseCP,MATCH(E1887,ChName,0))*(1+INDEX(ProvMod,MATCH(G1887,ProvCode,0)))*(1+PriceIndex)</f>
        <v/>
      </c>
      <c r="V1887" s="47">
        <f>R1887*U1887*INDEX(FmtBlendedPriceIdx,MATCH(F1887,FmtName,0))</f>
        <v/>
      </c>
      <c r="W1887" s="47">
        <f>T1887*INDEX(ProvSRP,MATCH(G1887,ProvCode,0))*(1+PriceIndex)</f>
        <v/>
      </c>
      <c r="X1887" s="47">
        <f>IF(GrossBasis="Wholesale",V1887,W1887)</f>
        <v/>
      </c>
      <c r="Y1887" s="47">
        <f>R1887*INDEX(FmtBlendedCogs,MATCH(F1887,FmtName,0))</f>
        <v/>
      </c>
      <c r="Z1887" s="47">
        <f>X1887-Y1887</f>
        <v/>
      </c>
    </row>
    <row r="1888">
      <c r="A1888" t="n">
        <v>32</v>
      </c>
      <c r="B1888" s="44">
        <f>FiscalStart+(A1888-1)*7</f>
        <v/>
      </c>
      <c r="C1888">
        <f>TEXT(B1888,"mmm yyyy")</f>
        <v/>
      </c>
      <c r="D1888">
        <f>"Q"&amp;(INT((A1888-1)/13)+1)</f>
        <v/>
      </c>
      <c r="E1888" t="inlineStr">
        <is>
          <t>Costco</t>
        </is>
      </c>
      <c r="F1888">
        <f>IFERROR(INDEX(ChFormat,MATCH(E1888,ChName,0)),"")</f>
        <v/>
      </c>
      <c r="G1888" t="inlineStr">
        <is>
          <t>QC</t>
        </is>
      </c>
      <c r="H1888">
        <f>IF(A1888&lt;=NWeeks,1,0)</f>
        <v/>
      </c>
      <c r="I1888">
        <f>INDEX(ChLaunch,MATCH(E1888,ChName,0))</f>
        <v/>
      </c>
      <c r="J1888">
        <f>INDEX(ChWeeksFull,MATCH(E1888,ChName,0))</f>
        <v/>
      </c>
      <c r="K1888">
        <f>INDEX(ChRamp,MATCH(E1888,ChName,0))</f>
        <v/>
      </c>
      <c r="L1888" s="45">
        <f>MIN(1,MAX(0,(A1888-I1888+1)*RampSpeed/J1888))</f>
        <v/>
      </c>
      <c r="M1888" s="45">
        <f>IF(A1888&lt;I1888,0,IF(K1888="S-curve",L1888*L1888*(3-2*L1888),L1888))</f>
        <v/>
      </c>
      <c r="N1888" s="45">
        <f>1+(INDEX(SeasonIdx,A1888)-1)*SeasonAmp</f>
        <v/>
      </c>
      <c r="O1888" s="45">
        <f>IFERROR(INDEX(PSPct,MATCH(E1888&amp;"|"&amp;G1888,PSKey,0)),0)</f>
        <v/>
      </c>
      <c r="P1888" s="46">
        <f>INDEX(ChDoorVel,MATCH(E1888,ChName,0))*CalibScalar*(1+VelocityUplift)</f>
        <v/>
      </c>
      <c r="Q1888" s="46" t="n">
        <v>0</v>
      </c>
      <c r="R1888" s="46">
        <f>P1888*O1888*M1888*N1888*H1888</f>
        <v/>
      </c>
      <c r="S1888" s="46">
        <f>R1888*INDEX(FmtCansPerCase,MATCH(F1888,FmtName,0))</f>
        <v/>
      </c>
      <c r="T1888" s="46">
        <f>S1888/INDEX(FmtCansPerPack,MATCH(F1888,FmtName,0))</f>
        <v/>
      </c>
      <c r="U1888" s="47">
        <f>INDEX(ChBaseCP,MATCH(E1888,ChName,0))*(1+INDEX(ProvMod,MATCH(G1888,ProvCode,0)))*(1+PriceIndex)</f>
        <v/>
      </c>
      <c r="V1888" s="47">
        <f>R1888*U1888*INDEX(FmtBlendedPriceIdx,MATCH(F1888,FmtName,0))</f>
        <v/>
      </c>
      <c r="W1888" s="47">
        <f>T1888*INDEX(ProvSRP,MATCH(G1888,ProvCode,0))*(1+PriceIndex)</f>
        <v/>
      </c>
      <c r="X1888" s="47">
        <f>IF(GrossBasis="Wholesale",V1888,W1888)</f>
        <v/>
      </c>
      <c r="Y1888" s="47">
        <f>R1888*INDEX(FmtBlendedCogs,MATCH(F1888,FmtName,0))</f>
        <v/>
      </c>
      <c r="Z1888" s="47">
        <f>X1888-Y1888</f>
        <v/>
      </c>
    </row>
    <row r="1889">
      <c r="A1889" t="n">
        <v>33</v>
      </c>
      <c r="B1889" s="44">
        <f>FiscalStart+(A1889-1)*7</f>
        <v/>
      </c>
      <c r="C1889">
        <f>TEXT(B1889,"mmm yyyy")</f>
        <v/>
      </c>
      <c r="D1889">
        <f>"Q"&amp;(INT((A1889-1)/13)+1)</f>
        <v/>
      </c>
      <c r="E1889" t="inlineStr">
        <is>
          <t>Costco</t>
        </is>
      </c>
      <c r="F1889">
        <f>IFERROR(INDEX(ChFormat,MATCH(E1889,ChName,0)),"")</f>
        <v/>
      </c>
      <c r="G1889" t="inlineStr">
        <is>
          <t>QC</t>
        </is>
      </c>
      <c r="H1889">
        <f>IF(A1889&lt;=NWeeks,1,0)</f>
        <v/>
      </c>
      <c r="I1889">
        <f>INDEX(ChLaunch,MATCH(E1889,ChName,0))</f>
        <v/>
      </c>
      <c r="J1889">
        <f>INDEX(ChWeeksFull,MATCH(E1889,ChName,0))</f>
        <v/>
      </c>
      <c r="K1889">
        <f>INDEX(ChRamp,MATCH(E1889,ChName,0))</f>
        <v/>
      </c>
      <c r="L1889" s="45">
        <f>MIN(1,MAX(0,(A1889-I1889+1)*RampSpeed/J1889))</f>
        <v/>
      </c>
      <c r="M1889" s="45">
        <f>IF(A1889&lt;I1889,0,IF(K1889="S-curve",L1889*L1889*(3-2*L1889),L1889))</f>
        <v/>
      </c>
      <c r="N1889" s="45">
        <f>1+(INDEX(SeasonIdx,A1889)-1)*SeasonAmp</f>
        <v/>
      </c>
      <c r="O1889" s="45">
        <f>IFERROR(INDEX(PSPct,MATCH(E1889&amp;"|"&amp;G1889,PSKey,0)),0)</f>
        <v/>
      </c>
      <c r="P1889" s="46">
        <f>INDEX(ChDoorVel,MATCH(E1889,ChName,0))*CalibScalar*(1+VelocityUplift)</f>
        <v/>
      </c>
      <c r="Q1889" s="46" t="n">
        <v>0</v>
      </c>
      <c r="R1889" s="46">
        <f>P1889*O1889*M1889*N1889*H1889</f>
        <v/>
      </c>
      <c r="S1889" s="46">
        <f>R1889*INDEX(FmtCansPerCase,MATCH(F1889,FmtName,0))</f>
        <v/>
      </c>
      <c r="T1889" s="46">
        <f>S1889/INDEX(FmtCansPerPack,MATCH(F1889,FmtName,0))</f>
        <v/>
      </c>
      <c r="U1889" s="47">
        <f>INDEX(ChBaseCP,MATCH(E1889,ChName,0))*(1+INDEX(ProvMod,MATCH(G1889,ProvCode,0)))*(1+PriceIndex)</f>
        <v/>
      </c>
      <c r="V1889" s="47">
        <f>R1889*U1889*INDEX(FmtBlendedPriceIdx,MATCH(F1889,FmtName,0))</f>
        <v/>
      </c>
      <c r="W1889" s="47">
        <f>T1889*INDEX(ProvSRP,MATCH(G1889,ProvCode,0))*(1+PriceIndex)</f>
        <v/>
      </c>
      <c r="X1889" s="47">
        <f>IF(GrossBasis="Wholesale",V1889,W1889)</f>
        <v/>
      </c>
      <c r="Y1889" s="47">
        <f>R1889*INDEX(FmtBlendedCogs,MATCH(F1889,FmtName,0))</f>
        <v/>
      </c>
      <c r="Z1889" s="47">
        <f>X1889-Y1889</f>
        <v/>
      </c>
    </row>
    <row r="1890">
      <c r="A1890" t="n">
        <v>34</v>
      </c>
      <c r="B1890" s="44">
        <f>FiscalStart+(A1890-1)*7</f>
        <v/>
      </c>
      <c r="C1890">
        <f>TEXT(B1890,"mmm yyyy")</f>
        <v/>
      </c>
      <c r="D1890">
        <f>"Q"&amp;(INT((A1890-1)/13)+1)</f>
        <v/>
      </c>
      <c r="E1890" t="inlineStr">
        <is>
          <t>Costco</t>
        </is>
      </c>
      <c r="F1890">
        <f>IFERROR(INDEX(ChFormat,MATCH(E1890,ChName,0)),"")</f>
        <v/>
      </c>
      <c r="G1890" t="inlineStr">
        <is>
          <t>QC</t>
        </is>
      </c>
      <c r="H1890">
        <f>IF(A1890&lt;=NWeeks,1,0)</f>
        <v/>
      </c>
      <c r="I1890">
        <f>INDEX(ChLaunch,MATCH(E1890,ChName,0))</f>
        <v/>
      </c>
      <c r="J1890">
        <f>INDEX(ChWeeksFull,MATCH(E1890,ChName,0))</f>
        <v/>
      </c>
      <c r="K1890">
        <f>INDEX(ChRamp,MATCH(E1890,ChName,0))</f>
        <v/>
      </c>
      <c r="L1890" s="45">
        <f>MIN(1,MAX(0,(A1890-I1890+1)*RampSpeed/J1890))</f>
        <v/>
      </c>
      <c r="M1890" s="45">
        <f>IF(A1890&lt;I1890,0,IF(K1890="S-curve",L1890*L1890*(3-2*L1890),L1890))</f>
        <v/>
      </c>
      <c r="N1890" s="45">
        <f>1+(INDEX(SeasonIdx,A1890)-1)*SeasonAmp</f>
        <v/>
      </c>
      <c r="O1890" s="45">
        <f>IFERROR(INDEX(PSPct,MATCH(E1890&amp;"|"&amp;G1890,PSKey,0)),0)</f>
        <v/>
      </c>
      <c r="P1890" s="46">
        <f>INDEX(ChDoorVel,MATCH(E1890,ChName,0))*CalibScalar*(1+VelocityUplift)</f>
        <v/>
      </c>
      <c r="Q1890" s="46" t="n">
        <v>0</v>
      </c>
      <c r="R1890" s="46">
        <f>P1890*O1890*M1890*N1890*H1890</f>
        <v/>
      </c>
      <c r="S1890" s="46">
        <f>R1890*INDEX(FmtCansPerCase,MATCH(F1890,FmtName,0))</f>
        <v/>
      </c>
      <c r="T1890" s="46">
        <f>S1890/INDEX(FmtCansPerPack,MATCH(F1890,FmtName,0))</f>
        <v/>
      </c>
      <c r="U1890" s="47">
        <f>INDEX(ChBaseCP,MATCH(E1890,ChName,0))*(1+INDEX(ProvMod,MATCH(G1890,ProvCode,0)))*(1+PriceIndex)</f>
        <v/>
      </c>
      <c r="V1890" s="47">
        <f>R1890*U1890*INDEX(FmtBlendedPriceIdx,MATCH(F1890,FmtName,0))</f>
        <v/>
      </c>
      <c r="W1890" s="47">
        <f>T1890*INDEX(ProvSRP,MATCH(G1890,ProvCode,0))*(1+PriceIndex)</f>
        <v/>
      </c>
      <c r="X1890" s="47">
        <f>IF(GrossBasis="Wholesale",V1890,W1890)</f>
        <v/>
      </c>
      <c r="Y1890" s="47">
        <f>R1890*INDEX(FmtBlendedCogs,MATCH(F1890,FmtName,0))</f>
        <v/>
      </c>
      <c r="Z1890" s="47">
        <f>X1890-Y1890</f>
        <v/>
      </c>
    </row>
    <row r="1891">
      <c r="A1891" t="n">
        <v>35</v>
      </c>
      <c r="B1891" s="44">
        <f>FiscalStart+(A1891-1)*7</f>
        <v/>
      </c>
      <c r="C1891">
        <f>TEXT(B1891,"mmm yyyy")</f>
        <v/>
      </c>
      <c r="D1891">
        <f>"Q"&amp;(INT((A1891-1)/13)+1)</f>
        <v/>
      </c>
      <c r="E1891" t="inlineStr">
        <is>
          <t>Costco</t>
        </is>
      </c>
      <c r="F1891">
        <f>IFERROR(INDEX(ChFormat,MATCH(E1891,ChName,0)),"")</f>
        <v/>
      </c>
      <c r="G1891" t="inlineStr">
        <is>
          <t>QC</t>
        </is>
      </c>
      <c r="H1891">
        <f>IF(A1891&lt;=NWeeks,1,0)</f>
        <v/>
      </c>
      <c r="I1891">
        <f>INDEX(ChLaunch,MATCH(E1891,ChName,0))</f>
        <v/>
      </c>
      <c r="J1891">
        <f>INDEX(ChWeeksFull,MATCH(E1891,ChName,0))</f>
        <v/>
      </c>
      <c r="K1891">
        <f>INDEX(ChRamp,MATCH(E1891,ChName,0))</f>
        <v/>
      </c>
      <c r="L1891" s="45">
        <f>MIN(1,MAX(0,(A1891-I1891+1)*RampSpeed/J1891))</f>
        <v/>
      </c>
      <c r="M1891" s="45">
        <f>IF(A1891&lt;I1891,0,IF(K1891="S-curve",L1891*L1891*(3-2*L1891),L1891))</f>
        <v/>
      </c>
      <c r="N1891" s="45">
        <f>1+(INDEX(SeasonIdx,A1891)-1)*SeasonAmp</f>
        <v/>
      </c>
      <c r="O1891" s="45">
        <f>IFERROR(INDEX(PSPct,MATCH(E1891&amp;"|"&amp;G1891,PSKey,0)),0)</f>
        <v/>
      </c>
      <c r="P1891" s="46">
        <f>INDEX(ChDoorVel,MATCH(E1891,ChName,0))*CalibScalar*(1+VelocityUplift)</f>
        <v/>
      </c>
      <c r="Q1891" s="46" t="n">
        <v>0</v>
      </c>
      <c r="R1891" s="46">
        <f>P1891*O1891*M1891*N1891*H1891</f>
        <v/>
      </c>
      <c r="S1891" s="46">
        <f>R1891*INDEX(FmtCansPerCase,MATCH(F1891,FmtName,0))</f>
        <v/>
      </c>
      <c r="T1891" s="46">
        <f>S1891/INDEX(FmtCansPerPack,MATCH(F1891,FmtName,0))</f>
        <v/>
      </c>
      <c r="U1891" s="47">
        <f>INDEX(ChBaseCP,MATCH(E1891,ChName,0))*(1+INDEX(ProvMod,MATCH(G1891,ProvCode,0)))*(1+PriceIndex)</f>
        <v/>
      </c>
      <c r="V1891" s="47">
        <f>R1891*U1891*INDEX(FmtBlendedPriceIdx,MATCH(F1891,FmtName,0))</f>
        <v/>
      </c>
      <c r="W1891" s="47">
        <f>T1891*INDEX(ProvSRP,MATCH(G1891,ProvCode,0))*(1+PriceIndex)</f>
        <v/>
      </c>
      <c r="X1891" s="47">
        <f>IF(GrossBasis="Wholesale",V1891,W1891)</f>
        <v/>
      </c>
      <c r="Y1891" s="47">
        <f>R1891*INDEX(FmtBlendedCogs,MATCH(F1891,FmtName,0))</f>
        <v/>
      </c>
      <c r="Z1891" s="47">
        <f>X1891-Y1891</f>
        <v/>
      </c>
    </row>
    <row r="1892">
      <c r="A1892" t="n">
        <v>36</v>
      </c>
      <c r="B1892" s="44">
        <f>FiscalStart+(A1892-1)*7</f>
        <v/>
      </c>
      <c r="C1892">
        <f>TEXT(B1892,"mmm yyyy")</f>
        <v/>
      </c>
      <c r="D1892">
        <f>"Q"&amp;(INT((A1892-1)/13)+1)</f>
        <v/>
      </c>
      <c r="E1892" t="inlineStr">
        <is>
          <t>Costco</t>
        </is>
      </c>
      <c r="F1892">
        <f>IFERROR(INDEX(ChFormat,MATCH(E1892,ChName,0)),"")</f>
        <v/>
      </c>
      <c r="G1892" t="inlineStr">
        <is>
          <t>QC</t>
        </is>
      </c>
      <c r="H1892">
        <f>IF(A1892&lt;=NWeeks,1,0)</f>
        <v/>
      </c>
      <c r="I1892">
        <f>INDEX(ChLaunch,MATCH(E1892,ChName,0))</f>
        <v/>
      </c>
      <c r="J1892">
        <f>INDEX(ChWeeksFull,MATCH(E1892,ChName,0))</f>
        <v/>
      </c>
      <c r="K1892">
        <f>INDEX(ChRamp,MATCH(E1892,ChName,0))</f>
        <v/>
      </c>
      <c r="L1892" s="45">
        <f>MIN(1,MAX(0,(A1892-I1892+1)*RampSpeed/J1892))</f>
        <v/>
      </c>
      <c r="M1892" s="45">
        <f>IF(A1892&lt;I1892,0,IF(K1892="S-curve",L1892*L1892*(3-2*L1892),L1892))</f>
        <v/>
      </c>
      <c r="N1892" s="45">
        <f>1+(INDEX(SeasonIdx,A1892)-1)*SeasonAmp</f>
        <v/>
      </c>
      <c r="O1892" s="45">
        <f>IFERROR(INDEX(PSPct,MATCH(E1892&amp;"|"&amp;G1892,PSKey,0)),0)</f>
        <v/>
      </c>
      <c r="P1892" s="46">
        <f>INDEX(ChDoorVel,MATCH(E1892,ChName,0))*CalibScalar*(1+VelocityUplift)</f>
        <v/>
      </c>
      <c r="Q1892" s="46" t="n">
        <v>0</v>
      </c>
      <c r="R1892" s="46">
        <f>P1892*O1892*M1892*N1892*H1892</f>
        <v/>
      </c>
      <c r="S1892" s="46">
        <f>R1892*INDEX(FmtCansPerCase,MATCH(F1892,FmtName,0))</f>
        <v/>
      </c>
      <c r="T1892" s="46">
        <f>S1892/INDEX(FmtCansPerPack,MATCH(F1892,FmtName,0))</f>
        <v/>
      </c>
      <c r="U1892" s="47">
        <f>INDEX(ChBaseCP,MATCH(E1892,ChName,0))*(1+INDEX(ProvMod,MATCH(G1892,ProvCode,0)))*(1+PriceIndex)</f>
        <v/>
      </c>
      <c r="V1892" s="47">
        <f>R1892*U1892*INDEX(FmtBlendedPriceIdx,MATCH(F1892,FmtName,0))</f>
        <v/>
      </c>
      <c r="W1892" s="47">
        <f>T1892*INDEX(ProvSRP,MATCH(G1892,ProvCode,0))*(1+PriceIndex)</f>
        <v/>
      </c>
      <c r="X1892" s="47">
        <f>IF(GrossBasis="Wholesale",V1892,W1892)</f>
        <v/>
      </c>
      <c r="Y1892" s="47">
        <f>R1892*INDEX(FmtBlendedCogs,MATCH(F1892,FmtName,0))</f>
        <v/>
      </c>
      <c r="Z1892" s="47">
        <f>X1892-Y1892</f>
        <v/>
      </c>
    </row>
    <row r="1893">
      <c r="A1893" t="n">
        <v>37</v>
      </c>
      <c r="B1893" s="44">
        <f>FiscalStart+(A1893-1)*7</f>
        <v/>
      </c>
      <c r="C1893">
        <f>TEXT(B1893,"mmm yyyy")</f>
        <v/>
      </c>
      <c r="D1893">
        <f>"Q"&amp;(INT((A1893-1)/13)+1)</f>
        <v/>
      </c>
      <c r="E1893" t="inlineStr">
        <is>
          <t>Costco</t>
        </is>
      </c>
      <c r="F1893">
        <f>IFERROR(INDEX(ChFormat,MATCH(E1893,ChName,0)),"")</f>
        <v/>
      </c>
      <c r="G1893" t="inlineStr">
        <is>
          <t>QC</t>
        </is>
      </c>
      <c r="H1893">
        <f>IF(A1893&lt;=NWeeks,1,0)</f>
        <v/>
      </c>
      <c r="I1893">
        <f>INDEX(ChLaunch,MATCH(E1893,ChName,0))</f>
        <v/>
      </c>
      <c r="J1893">
        <f>INDEX(ChWeeksFull,MATCH(E1893,ChName,0))</f>
        <v/>
      </c>
      <c r="K1893">
        <f>INDEX(ChRamp,MATCH(E1893,ChName,0))</f>
        <v/>
      </c>
      <c r="L1893" s="45">
        <f>MIN(1,MAX(0,(A1893-I1893+1)*RampSpeed/J1893))</f>
        <v/>
      </c>
      <c r="M1893" s="45">
        <f>IF(A1893&lt;I1893,0,IF(K1893="S-curve",L1893*L1893*(3-2*L1893),L1893))</f>
        <v/>
      </c>
      <c r="N1893" s="45">
        <f>1+(INDEX(SeasonIdx,A1893)-1)*SeasonAmp</f>
        <v/>
      </c>
      <c r="O1893" s="45">
        <f>IFERROR(INDEX(PSPct,MATCH(E1893&amp;"|"&amp;G1893,PSKey,0)),0)</f>
        <v/>
      </c>
      <c r="P1893" s="46">
        <f>INDEX(ChDoorVel,MATCH(E1893,ChName,0))*CalibScalar*(1+VelocityUplift)</f>
        <v/>
      </c>
      <c r="Q1893" s="46" t="n">
        <v>0</v>
      </c>
      <c r="R1893" s="46">
        <f>P1893*O1893*M1893*N1893*H1893</f>
        <v/>
      </c>
      <c r="S1893" s="46">
        <f>R1893*INDEX(FmtCansPerCase,MATCH(F1893,FmtName,0))</f>
        <v/>
      </c>
      <c r="T1893" s="46">
        <f>S1893/INDEX(FmtCansPerPack,MATCH(F1893,FmtName,0))</f>
        <v/>
      </c>
      <c r="U1893" s="47">
        <f>INDEX(ChBaseCP,MATCH(E1893,ChName,0))*(1+INDEX(ProvMod,MATCH(G1893,ProvCode,0)))*(1+PriceIndex)</f>
        <v/>
      </c>
      <c r="V1893" s="47">
        <f>R1893*U1893*INDEX(FmtBlendedPriceIdx,MATCH(F1893,FmtName,0))</f>
        <v/>
      </c>
      <c r="W1893" s="47">
        <f>T1893*INDEX(ProvSRP,MATCH(G1893,ProvCode,0))*(1+PriceIndex)</f>
        <v/>
      </c>
      <c r="X1893" s="47">
        <f>IF(GrossBasis="Wholesale",V1893,W1893)</f>
        <v/>
      </c>
      <c r="Y1893" s="47">
        <f>R1893*INDEX(FmtBlendedCogs,MATCH(F1893,FmtName,0))</f>
        <v/>
      </c>
      <c r="Z1893" s="47">
        <f>X1893-Y1893</f>
        <v/>
      </c>
    </row>
    <row r="1894">
      <c r="A1894" t="n">
        <v>38</v>
      </c>
      <c r="B1894" s="44">
        <f>FiscalStart+(A1894-1)*7</f>
        <v/>
      </c>
      <c r="C1894">
        <f>TEXT(B1894,"mmm yyyy")</f>
        <v/>
      </c>
      <c r="D1894">
        <f>"Q"&amp;(INT((A1894-1)/13)+1)</f>
        <v/>
      </c>
      <c r="E1894" t="inlineStr">
        <is>
          <t>Costco</t>
        </is>
      </c>
      <c r="F1894">
        <f>IFERROR(INDEX(ChFormat,MATCH(E1894,ChName,0)),"")</f>
        <v/>
      </c>
      <c r="G1894" t="inlineStr">
        <is>
          <t>QC</t>
        </is>
      </c>
      <c r="H1894">
        <f>IF(A1894&lt;=NWeeks,1,0)</f>
        <v/>
      </c>
      <c r="I1894">
        <f>INDEX(ChLaunch,MATCH(E1894,ChName,0))</f>
        <v/>
      </c>
      <c r="J1894">
        <f>INDEX(ChWeeksFull,MATCH(E1894,ChName,0))</f>
        <v/>
      </c>
      <c r="K1894">
        <f>INDEX(ChRamp,MATCH(E1894,ChName,0))</f>
        <v/>
      </c>
      <c r="L1894" s="45">
        <f>MIN(1,MAX(0,(A1894-I1894+1)*RampSpeed/J1894))</f>
        <v/>
      </c>
      <c r="M1894" s="45">
        <f>IF(A1894&lt;I1894,0,IF(K1894="S-curve",L1894*L1894*(3-2*L1894),L1894))</f>
        <v/>
      </c>
      <c r="N1894" s="45">
        <f>1+(INDEX(SeasonIdx,A1894)-1)*SeasonAmp</f>
        <v/>
      </c>
      <c r="O1894" s="45">
        <f>IFERROR(INDEX(PSPct,MATCH(E1894&amp;"|"&amp;G1894,PSKey,0)),0)</f>
        <v/>
      </c>
      <c r="P1894" s="46">
        <f>INDEX(ChDoorVel,MATCH(E1894,ChName,0))*CalibScalar*(1+VelocityUplift)</f>
        <v/>
      </c>
      <c r="Q1894" s="46" t="n">
        <v>0</v>
      </c>
      <c r="R1894" s="46">
        <f>P1894*O1894*M1894*N1894*H1894</f>
        <v/>
      </c>
      <c r="S1894" s="46">
        <f>R1894*INDEX(FmtCansPerCase,MATCH(F1894,FmtName,0))</f>
        <v/>
      </c>
      <c r="T1894" s="46">
        <f>S1894/INDEX(FmtCansPerPack,MATCH(F1894,FmtName,0))</f>
        <v/>
      </c>
      <c r="U1894" s="47">
        <f>INDEX(ChBaseCP,MATCH(E1894,ChName,0))*(1+INDEX(ProvMod,MATCH(G1894,ProvCode,0)))*(1+PriceIndex)</f>
        <v/>
      </c>
      <c r="V1894" s="47">
        <f>R1894*U1894*INDEX(FmtBlendedPriceIdx,MATCH(F1894,FmtName,0))</f>
        <v/>
      </c>
      <c r="W1894" s="47">
        <f>T1894*INDEX(ProvSRP,MATCH(G1894,ProvCode,0))*(1+PriceIndex)</f>
        <v/>
      </c>
      <c r="X1894" s="47">
        <f>IF(GrossBasis="Wholesale",V1894,W1894)</f>
        <v/>
      </c>
      <c r="Y1894" s="47">
        <f>R1894*INDEX(FmtBlendedCogs,MATCH(F1894,FmtName,0))</f>
        <v/>
      </c>
      <c r="Z1894" s="47">
        <f>X1894-Y1894</f>
        <v/>
      </c>
    </row>
    <row r="1895">
      <c r="A1895" t="n">
        <v>39</v>
      </c>
      <c r="B1895" s="44">
        <f>FiscalStart+(A1895-1)*7</f>
        <v/>
      </c>
      <c r="C1895">
        <f>TEXT(B1895,"mmm yyyy")</f>
        <v/>
      </c>
      <c r="D1895">
        <f>"Q"&amp;(INT((A1895-1)/13)+1)</f>
        <v/>
      </c>
      <c r="E1895" t="inlineStr">
        <is>
          <t>Costco</t>
        </is>
      </c>
      <c r="F1895">
        <f>IFERROR(INDEX(ChFormat,MATCH(E1895,ChName,0)),"")</f>
        <v/>
      </c>
      <c r="G1895" t="inlineStr">
        <is>
          <t>QC</t>
        </is>
      </c>
      <c r="H1895">
        <f>IF(A1895&lt;=NWeeks,1,0)</f>
        <v/>
      </c>
      <c r="I1895">
        <f>INDEX(ChLaunch,MATCH(E1895,ChName,0))</f>
        <v/>
      </c>
      <c r="J1895">
        <f>INDEX(ChWeeksFull,MATCH(E1895,ChName,0))</f>
        <v/>
      </c>
      <c r="K1895">
        <f>INDEX(ChRamp,MATCH(E1895,ChName,0))</f>
        <v/>
      </c>
      <c r="L1895" s="45">
        <f>MIN(1,MAX(0,(A1895-I1895+1)*RampSpeed/J1895))</f>
        <v/>
      </c>
      <c r="M1895" s="45">
        <f>IF(A1895&lt;I1895,0,IF(K1895="S-curve",L1895*L1895*(3-2*L1895),L1895))</f>
        <v/>
      </c>
      <c r="N1895" s="45">
        <f>1+(INDEX(SeasonIdx,A1895)-1)*SeasonAmp</f>
        <v/>
      </c>
      <c r="O1895" s="45">
        <f>IFERROR(INDEX(PSPct,MATCH(E1895&amp;"|"&amp;G1895,PSKey,0)),0)</f>
        <v/>
      </c>
      <c r="P1895" s="46">
        <f>INDEX(ChDoorVel,MATCH(E1895,ChName,0))*CalibScalar*(1+VelocityUplift)</f>
        <v/>
      </c>
      <c r="Q1895" s="46" t="n">
        <v>0</v>
      </c>
      <c r="R1895" s="46">
        <f>P1895*O1895*M1895*N1895*H1895</f>
        <v/>
      </c>
      <c r="S1895" s="46">
        <f>R1895*INDEX(FmtCansPerCase,MATCH(F1895,FmtName,0))</f>
        <v/>
      </c>
      <c r="T1895" s="46">
        <f>S1895/INDEX(FmtCansPerPack,MATCH(F1895,FmtName,0))</f>
        <v/>
      </c>
      <c r="U1895" s="47">
        <f>INDEX(ChBaseCP,MATCH(E1895,ChName,0))*(1+INDEX(ProvMod,MATCH(G1895,ProvCode,0)))*(1+PriceIndex)</f>
        <v/>
      </c>
      <c r="V1895" s="47">
        <f>R1895*U1895*INDEX(FmtBlendedPriceIdx,MATCH(F1895,FmtName,0))</f>
        <v/>
      </c>
      <c r="W1895" s="47">
        <f>T1895*INDEX(ProvSRP,MATCH(G1895,ProvCode,0))*(1+PriceIndex)</f>
        <v/>
      </c>
      <c r="X1895" s="47">
        <f>IF(GrossBasis="Wholesale",V1895,W1895)</f>
        <v/>
      </c>
      <c r="Y1895" s="47">
        <f>R1895*INDEX(FmtBlendedCogs,MATCH(F1895,FmtName,0))</f>
        <v/>
      </c>
      <c r="Z1895" s="47">
        <f>X1895-Y1895</f>
        <v/>
      </c>
    </row>
    <row r="1896">
      <c r="A1896" t="n">
        <v>40</v>
      </c>
      <c r="B1896" s="44">
        <f>FiscalStart+(A1896-1)*7</f>
        <v/>
      </c>
      <c r="C1896">
        <f>TEXT(B1896,"mmm yyyy")</f>
        <v/>
      </c>
      <c r="D1896">
        <f>"Q"&amp;(INT((A1896-1)/13)+1)</f>
        <v/>
      </c>
      <c r="E1896" t="inlineStr">
        <is>
          <t>Costco</t>
        </is>
      </c>
      <c r="F1896">
        <f>IFERROR(INDEX(ChFormat,MATCH(E1896,ChName,0)),"")</f>
        <v/>
      </c>
      <c r="G1896" t="inlineStr">
        <is>
          <t>QC</t>
        </is>
      </c>
      <c r="H1896">
        <f>IF(A1896&lt;=NWeeks,1,0)</f>
        <v/>
      </c>
      <c r="I1896">
        <f>INDEX(ChLaunch,MATCH(E1896,ChName,0))</f>
        <v/>
      </c>
      <c r="J1896">
        <f>INDEX(ChWeeksFull,MATCH(E1896,ChName,0))</f>
        <v/>
      </c>
      <c r="K1896">
        <f>INDEX(ChRamp,MATCH(E1896,ChName,0))</f>
        <v/>
      </c>
      <c r="L1896" s="45">
        <f>MIN(1,MAX(0,(A1896-I1896+1)*RampSpeed/J1896))</f>
        <v/>
      </c>
      <c r="M1896" s="45">
        <f>IF(A1896&lt;I1896,0,IF(K1896="S-curve",L1896*L1896*(3-2*L1896),L1896))</f>
        <v/>
      </c>
      <c r="N1896" s="45">
        <f>1+(INDEX(SeasonIdx,A1896)-1)*SeasonAmp</f>
        <v/>
      </c>
      <c r="O1896" s="45">
        <f>IFERROR(INDEX(PSPct,MATCH(E1896&amp;"|"&amp;G1896,PSKey,0)),0)</f>
        <v/>
      </c>
      <c r="P1896" s="46">
        <f>INDEX(ChDoorVel,MATCH(E1896,ChName,0))*CalibScalar*(1+VelocityUplift)</f>
        <v/>
      </c>
      <c r="Q1896" s="46" t="n">
        <v>0</v>
      </c>
      <c r="R1896" s="46">
        <f>P1896*O1896*M1896*N1896*H1896</f>
        <v/>
      </c>
      <c r="S1896" s="46">
        <f>R1896*INDEX(FmtCansPerCase,MATCH(F1896,FmtName,0))</f>
        <v/>
      </c>
      <c r="T1896" s="46">
        <f>S1896/INDEX(FmtCansPerPack,MATCH(F1896,FmtName,0))</f>
        <v/>
      </c>
      <c r="U1896" s="47">
        <f>INDEX(ChBaseCP,MATCH(E1896,ChName,0))*(1+INDEX(ProvMod,MATCH(G1896,ProvCode,0)))*(1+PriceIndex)</f>
        <v/>
      </c>
      <c r="V1896" s="47">
        <f>R1896*U1896*INDEX(FmtBlendedPriceIdx,MATCH(F1896,FmtName,0))</f>
        <v/>
      </c>
      <c r="W1896" s="47">
        <f>T1896*INDEX(ProvSRP,MATCH(G1896,ProvCode,0))*(1+PriceIndex)</f>
        <v/>
      </c>
      <c r="X1896" s="47">
        <f>IF(GrossBasis="Wholesale",V1896,W1896)</f>
        <v/>
      </c>
      <c r="Y1896" s="47">
        <f>R1896*INDEX(FmtBlendedCogs,MATCH(F1896,FmtName,0))</f>
        <v/>
      </c>
      <c r="Z1896" s="47">
        <f>X1896-Y1896</f>
        <v/>
      </c>
    </row>
    <row r="1897">
      <c r="A1897" t="n">
        <v>41</v>
      </c>
      <c r="B1897" s="44">
        <f>FiscalStart+(A1897-1)*7</f>
        <v/>
      </c>
      <c r="C1897">
        <f>TEXT(B1897,"mmm yyyy")</f>
        <v/>
      </c>
      <c r="D1897">
        <f>"Q"&amp;(INT((A1897-1)/13)+1)</f>
        <v/>
      </c>
      <c r="E1897" t="inlineStr">
        <is>
          <t>Costco</t>
        </is>
      </c>
      <c r="F1897">
        <f>IFERROR(INDEX(ChFormat,MATCH(E1897,ChName,0)),"")</f>
        <v/>
      </c>
      <c r="G1897" t="inlineStr">
        <is>
          <t>QC</t>
        </is>
      </c>
      <c r="H1897">
        <f>IF(A1897&lt;=NWeeks,1,0)</f>
        <v/>
      </c>
      <c r="I1897">
        <f>INDEX(ChLaunch,MATCH(E1897,ChName,0))</f>
        <v/>
      </c>
      <c r="J1897">
        <f>INDEX(ChWeeksFull,MATCH(E1897,ChName,0))</f>
        <v/>
      </c>
      <c r="K1897">
        <f>INDEX(ChRamp,MATCH(E1897,ChName,0))</f>
        <v/>
      </c>
      <c r="L1897" s="45">
        <f>MIN(1,MAX(0,(A1897-I1897+1)*RampSpeed/J1897))</f>
        <v/>
      </c>
      <c r="M1897" s="45">
        <f>IF(A1897&lt;I1897,0,IF(K1897="S-curve",L1897*L1897*(3-2*L1897),L1897))</f>
        <v/>
      </c>
      <c r="N1897" s="45">
        <f>1+(INDEX(SeasonIdx,A1897)-1)*SeasonAmp</f>
        <v/>
      </c>
      <c r="O1897" s="45">
        <f>IFERROR(INDEX(PSPct,MATCH(E1897&amp;"|"&amp;G1897,PSKey,0)),0)</f>
        <v/>
      </c>
      <c r="P1897" s="46">
        <f>INDEX(ChDoorVel,MATCH(E1897,ChName,0))*CalibScalar*(1+VelocityUplift)</f>
        <v/>
      </c>
      <c r="Q1897" s="46" t="n">
        <v>0</v>
      </c>
      <c r="R1897" s="46">
        <f>P1897*O1897*M1897*N1897*H1897</f>
        <v/>
      </c>
      <c r="S1897" s="46">
        <f>R1897*INDEX(FmtCansPerCase,MATCH(F1897,FmtName,0))</f>
        <v/>
      </c>
      <c r="T1897" s="46">
        <f>S1897/INDEX(FmtCansPerPack,MATCH(F1897,FmtName,0))</f>
        <v/>
      </c>
      <c r="U1897" s="47">
        <f>INDEX(ChBaseCP,MATCH(E1897,ChName,0))*(1+INDEX(ProvMod,MATCH(G1897,ProvCode,0)))*(1+PriceIndex)</f>
        <v/>
      </c>
      <c r="V1897" s="47">
        <f>R1897*U1897*INDEX(FmtBlendedPriceIdx,MATCH(F1897,FmtName,0))</f>
        <v/>
      </c>
      <c r="W1897" s="47">
        <f>T1897*INDEX(ProvSRP,MATCH(G1897,ProvCode,0))*(1+PriceIndex)</f>
        <v/>
      </c>
      <c r="X1897" s="47">
        <f>IF(GrossBasis="Wholesale",V1897,W1897)</f>
        <v/>
      </c>
      <c r="Y1897" s="47">
        <f>R1897*INDEX(FmtBlendedCogs,MATCH(F1897,FmtName,0))</f>
        <v/>
      </c>
      <c r="Z1897" s="47">
        <f>X1897-Y1897</f>
        <v/>
      </c>
    </row>
    <row r="1898">
      <c r="A1898" t="n">
        <v>42</v>
      </c>
      <c r="B1898" s="44">
        <f>FiscalStart+(A1898-1)*7</f>
        <v/>
      </c>
      <c r="C1898">
        <f>TEXT(B1898,"mmm yyyy")</f>
        <v/>
      </c>
      <c r="D1898">
        <f>"Q"&amp;(INT((A1898-1)/13)+1)</f>
        <v/>
      </c>
      <c r="E1898" t="inlineStr">
        <is>
          <t>Costco</t>
        </is>
      </c>
      <c r="F1898">
        <f>IFERROR(INDEX(ChFormat,MATCH(E1898,ChName,0)),"")</f>
        <v/>
      </c>
      <c r="G1898" t="inlineStr">
        <is>
          <t>QC</t>
        </is>
      </c>
      <c r="H1898">
        <f>IF(A1898&lt;=NWeeks,1,0)</f>
        <v/>
      </c>
      <c r="I1898">
        <f>INDEX(ChLaunch,MATCH(E1898,ChName,0))</f>
        <v/>
      </c>
      <c r="J1898">
        <f>INDEX(ChWeeksFull,MATCH(E1898,ChName,0))</f>
        <v/>
      </c>
      <c r="K1898">
        <f>INDEX(ChRamp,MATCH(E1898,ChName,0))</f>
        <v/>
      </c>
      <c r="L1898" s="45">
        <f>MIN(1,MAX(0,(A1898-I1898+1)*RampSpeed/J1898))</f>
        <v/>
      </c>
      <c r="M1898" s="45">
        <f>IF(A1898&lt;I1898,0,IF(K1898="S-curve",L1898*L1898*(3-2*L1898),L1898))</f>
        <v/>
      </c>
      <c r="N1898" s="45">
        <f>1+(INDEX(SeasonIdx,A1898)-1)*SeasonAmp</f>
        <v/>
      </c>
      <c r="O1898" s="45">
        <f>IFERROR(INDEX(PSPct,MATCH(E1898&amp;"|"&amp;G1898,PSKey,0)),0)</f>
        <v/>
      </c>
      <c r="P1898" s="46">
        <f>INDEX(ChDoorVel,MATCH(E1898,ChName,0))*CalibScalar*(1+VelocityUplift)</f>
        <v/>
      </c>
      <c r="Q1898" s="46" t="n">
        <v>0</v>
      </c>
      <c r="R1898" s="46">
        <f>P1898*O1898*M1898*N1898*H1898</f>
        <v/>
      </c>
      <c r="S1898" s="46">
        <f>R1898*INDEX(FmtCansPerCase,MATCH(F1898,FmtName,0))</f>
        <v/>
      </c>
      <c r="T1898" s="46">
        <f>S1898/INDEX(FmtCansPerPack,MATCH(F1898,FmtName,0))</f>
        <v/>
      </c>
      <c r="U1898" s="47">
        <f>INDEX(ChBaseCP,MATCH(E1898,ChName,0))*(1+INDEX(ProvMod,MATCH(G1898,ProvCode,0)))*(1+PriceIndex)</f>
        <v/>
      </c>
      <c r="V1898" s="47">
        <f>R1898*U1898*INDEX(FmtBlendedPriceIdx,MATCH(F1898,FmtName,0))</f>
        <v/>
      </c>
      <c r="W1898" s="47">
        <f>T1898*INDEX(ProvSRP,MATCH(G1898,ProvCode,0))*(1+PriceIndex)</f>
        <v/>
      </c>
      <c r="X1898" s="47">
        <f>IF(GrossBasis="Wholesale",V1898,W1898)</f>
        <v/>
      </c>
      <c r="Y1898" s="47">
        <f>R1898*INDEX(FmtBlendedCogs,MATCH(F1898,FmtName,0))</f>
        <v/>
      </c>
      <c r="Z1898" s="47">
        <f>X1898-Y1898</f>
        <v/>
      </c>
    </row>
    <row r="1899">
      <c r="A1899" t="n">
        <v>43</v>
      </c>
      <c r="B1899" s="44">
        <f>FiscalStart+(A1899-1)*7</f>
        <v/>
      </c>
      <c r="C1899">
        <f>TEXT(B1899,"mmm yyyy")</f>
        <v/>
      </c>
      <c r="D1899">
        <f>"Q"&amp;(INT((A1899-1)/13)+1)</f>
        <v/>
      </c>
      <c r="E1899" t="inlineStr">
        <is>
          <t>Costco</t>
        </is>
      </c>
      <c r="F1899">
        <f>IFERROR(INDEX(ChFormat,MATCH(E1899,ChName,0)),"")</f>
        <v/>
      </c>
      <c r="G1899" t="inlineStr">
        <is>
          <t>QC</t>
        </is>
      </c>
      <c r="H1899">
        <f>IF(A1899&lt;=NWeeks,1,0)</f>
        <v/>
      </c>
      <c r="I1899">
        <f>INDEX(ChLaunch,MATCH(E1899,ChName,0))</f>
        <v/>
      </c>
      <c r="J1899">
        <f>INDEX(ChWeeksFull,MATCH(E1899,ChName,0))</f>
        <v/>
      </c>
      <c r="K1899">
        <f>INDEX(ChRamp,MATCH(E1899,ChName,0))</f>
        <v/>
      </c>
      <c r="L1899" s="45">
        <f>MIN(1,MAX(0,(A1899-I1899+1)*RampSpeed/J1899))</f>
        <v/>
      </c>
      <c r="M1899" s="45">
        <f>IF(A1899&lt;I1899,0,IF(K1899="S-curve",L1899*L1899*(3-2*L1899),L1899))</f>
        <v/>
      </c>
      <c r="N1899" s="45">
        <f>1+(INDEX(SeasonIdx,A1899)-1)*SeasonAmp</f>
        <v/>
      </c>
      <c r="O1899" s="45">
        <f>IFERROR(INDEX(PSPct,MATCH(E1899&amp;"|"&amp;G1899,PSKey,0)),0)</f>
        <v/>
      </c>
      <c r="P1899" s="46">
        <f>INDEX(ChDoorVel,MATCH(E1899,ChName,0))*CalibScalar*(1+VelocityUplift)</f>
        <v/>
      </c>
      <c r="Q1899" s="46" t="n">
        <v>0</v>
      </c>
      <c r="R1899" s="46">
        <f>P1899*O1899*M1899*N1899*H1899</f>
        <v/>
      </c>
      <c r="S1899" s="46">
        <f>R1899*INDEX(FmtCansPerCase,MATCH(F1899,FmtName,0))</f>
        <v/>
      </c>
      <c r="T1899" s="46">
        <f>S1899/INDEX(FmtCansPerPack,MATCH(F1899,FmtName,0))</f>
        <v/>
      </c>
      <c r="U1899" s="47">
        <f>INDEX(ChBaseCP,MATCH(E1899,ChName,0))*(1+INDEX(ProvMod,MATCH(G1899,ProvCode,0)))*(1+PriceIndex)</f>
        <v/>
      </c>
      <c r="V1899" s="47">
        <f>R1899*U1899*INDEX(FmtBlendedPriceIdx,MATCH(F1899,FmtName,0))</f>
        <v/>
      </c>
      <c r="W1899" s="47">
        <f>T1899*INDEX(ProvSRP,MATCH(G1899,ProvCode,0))*(1+PriceIndex)</f>
        <v/>
      </c>
      <c r="X1899" s="47">
        <f>IF(GrossBasis="Wholesale",V1899,W1899)</f>
        <v/>
      </c>
      <c r="Y1899" s="47">
        <f>R1899*INDEX(FmtBlendedCogs,MATCH(F1899,FmtName,0))</f>
        <v/>
      </c>
      <c r="Z1899" s="47">
        <f>X1899-Y1899</f>
        <v/>
      </c>
    </row>
    <row r="1900">
      <c r="A1900" t="n">
        <v>44</v>
      </c>
      <c r="B1900" s="44">
        <f>FiscalStart+(A1900-1)*7</f>
        <v/>
      </c>
      <c r="C1900">
        <f>TEXT(B1900,"mmm yyyy")</f>
        <v/>
      </c>
      <c r="D1900">
        <f>"Q"&amp;(INT((A1900-1)/13)+1)</f>
        <v/>
      </c>
      <c r="E1900" t="inlineStr">
        <is>
          <t>Costco</t>
        </is>
      </c>
      <c r="F1900">
        <f>IFERROR(INDEX(ChFormat,MATCH(E1900,ChName,0)),"")</f>
        <v/>
      </c>
      <c r="G1900" t="inlineStr">
        <is>
          <t>QC</t>
        </is>
      </c>
      <c r="H1900">
        <f>IF(A1900&lt;=NWeeks,1,0)</f>
        <v/>
      </c>
      <c r="I1900">
        <f>INDEX(ChLaunch,MATCH(E1900,ChName,0))</f>
        <v/>
      </c>
      <c r="J1900">
        <f>INDEX(ChWeeksFull,MATCH(E1900,ChName,0))</f>
        <v/>
      </c>
      <c r="K1900">
        <f>INDEX(ChRamp,MATCH(E1900,ChName,0))</f>
        <v/>
      </c>
      <c r="L1900" s="45">
        <f>MIN(1,MAX(0,(A1900-I1900+1)*RampSpeed/J1900))</f>
        <v/>
      </c>
      <c r="M1900" s="45">
        <f>IF(A1900&lt;I1900,0,IF(K1900="S-curve",L1900*L1900*(3-2*L1900),L1900))</f>
        <v/>
      </c>
      <c r="N1900" s="45">
        <f>1+(INDEX(SeasonIdx,A1900)-1)*SeasonAmp</f>
        <v/>
      </c>
      <c r="O1900" s="45">
        <f>IFERROR(INDEX(PSPct,MATCH(E1900&amp;"|"&amp;G1900,PSKey,0)),0)</f>
        <v/>
      </c>
      <c r="P1900" s="46">
        <f>INDEX(ChDoorVel,MATCH(E1900,ChName,0))*CalibScalar*(1+VelocityUplift)</f>
        <v/>
      </c>
      <c r="Q1900" s="46" t="n">
        <v>0</v>
      </c>
      <c r="R1900" s="46">
        <f>P1900*O1900*M1900*N1900*H1900</f>
        <v/>
      </c>
      <c r="S1900" s="46">
        <f>R1900*INDEX(FmtCansPerCase,MATCH(F1900,FmtName,0))</f>
        <v/>
      </c>
      <c r="T1900" s="46">
        <f>S1900/INDEX(FmtCansPerPack,MATCH(F1900,FmtName,0))</f>
        <v/>
      </c>
      <c r="U1900" s="47">
        <f>INDEX(ChBaseCP,MATCH(E1900,ChName,0))*(1+INDEX(ProvMod,MATCH(G1900,ProvCode,0)))*(1+PriceIndex)</f>
        <v/>
      </c>
      <c r="V1900" s="47">
        <f>R1900*U1900*INDEX(FmtBlendedPriceIdx,MATCH(F1900,FmtName,0))</f>
        <v/>
      </c>
      <c r="W1900" s="47">
        <f>T1900*INDEX(ProvSRP,MATCH(G1900,ProvCode,0))*(1+PriceIndex)</f>
        <v/>
      </c>
      <c r="X1900" s="47">
        <f>IF(GrossBasis="Wholesale",V1900,W1900)</f>
        <v/>
      </c>
      <c r="Y1900" s="47">
        <f>R1900*INDEX(FmtBlendedCogs,MATCH(F1900,FmtName,0))</f>
        <v/>
      </c>
      <c r="Z1900" s="47">
        <f>X1900-Y1900</f>
        <v/>
      </c>
    </row>
    <row r="1901">
      <c r="A1901" t="n">
        <v>45</v>
      </c>
      <c r="B1901" s="44">
        <f>FiscalStart+(A1901-1)*7</f>
        <v/>
      </c>
      <c r="C1901">
        <f>TEXT(B1901,"mmm yyyy")</f>
        <v/>
      </c>
      <c r="D1901">
        <f>"Q"&amp;(INT((A1901-1)/13)+1)</f>
        <v/>
      </c>
      <c r="E1901" t="inlineStr">
        <is>
          <t>Costco</t>
        </is>
      </c>
      <c r="F1901">
        <f>IFERROR(INDEX(ChFormat,MATCH(E1901,ChName,0)),"")</f>
        <v/>
      </c>
      <c r="G1901" t="inlineStr">
        <is>
          <t>QC</t>
        </is>
      </c>
      <c r="H1901">
        <f>IF(A1901&lt;=NWeeks,1,0)</f>
        <v/>
      </c>
      <c r="I1901">
        <f>INDEX(ChLaunch,MATCH(E1901,ChName,0))</f>
        <v/>
      </c>
      <c r="J1901">
        <f>INDEX(ChWeeksFull,MATCH(E1901,ChName,0))</f>
        <v/>
      </c>
      <c r="K1901">
        <f>INDEX(ChRamp,MATCH(E1901,ChName,0))</f>
        <v/>
      </c>
      <c r="L1901" s="45">
        <f>MIN(1,MAX(0,(A1901-I1901+1)*RampSpeed/J1901))</f>
        <v/>
      </c>
      <c r="M1901" s="45">
        <f>IF(A1901&lt;I1901,0,IF(K1901="S-curve",L1901*L1901*(3-2*L1901),L1901))</f>
        <v/>
      </c>
      <c r="N1901" s="45">
        <f>1+(INDEX(SeasonIdx,A1901)-1)*SeasonAmp</f>
        <v/>
      </c>
      <c r="O1901" s="45">
        <f>IFERROR(INDEX(PSPct,MATCH(E1901&amp;"|"&amp;G1901,PSKey,0)),0)</f>
        <v/>
      </c>
      <c r="P1901" s="46">
        <f>INDEX(ChDoorVel,MATCH(E1901,ChName,0))*CalibScalar*(1+VelocityUplift)</f>
        <v/>
      </c>
      <c r="Q1901" s="46" t="n">
        <v>0</v>
      </c>
      <c r="R1901" s="46">
        <f>P1901*O1901*M1901*N1901*H1901</f>
        <v/>
      </c>
      <c r="S1901" s="46">
        <f>R1901*INDEX(FmtCansPerCase,MATCH(F1901,FmtName,0))</f>
        <v/>
      </c>
      <c r="T1901" s="46">
        <f>S1901/INDEX(FmtCansPerPack,MATCH(F1901,FmtName,0))</f>
        <v/>
      </c>
      <c r="U1901" s="47">
        <f>INDEX(ChBaseCP,MATCH(E1901,ChName,0))*(1+INDEX(ProvMod,MATCH(G1901,ProvCode,0)))*(1+PriceIndex)</f>
        <v/>
      </c>
      <c r="V1901" s="47">
        <f>R1901*U1901*INDEX(FmtBlendedPriceIdx,MATCH(F1901,FmtName,0))</f>
        <v/>
      </c>
      <c r="W1901" s="47">
        <f>T1901*INDEX(ProvSRP,MATCH(G1901,ProvCode,0))*(1+PriceIndex)</f>
        <v/>
      </c>
      <c r="X1901" s="47">
        <f>IF(GrossBasis="Wholesale",V1901,W1901)</f>
        <v/>
      </c>
      <c r="Y1901" s="47">
        <f>R1901*INDEX(FmtBlendedCogs,MATCH(F1901,FmtName,0))</f>
        <v/>
      </c>
      <c r="Z1901" s="47">
        <f>X1901-Y1901</f>
        <v/>
      </c>
    </row>
    <row r="1902">
      <c r="A1902" t="n">
        <v>46</v>
      </c>
      <c r="B1902" s="44">
        <f>FiscalStart+(A1902-1)*7</f>
        <v/>
      </c>
      <c r="C1902">
        <f>TEXT(B1902,"mmm yyyy")</f>
        <v/>
      </c>
      <c r="D1902">
        <f>"Q"&amp;(INT((A1902-1)/13)+1)</f>
        <v/>
      </c>
      <c r="E1902" t="inlineStr">
        <is>
          <t>Costco</t>
        </is>
      </c>
      <c r="F1902">
        <f>IFERROR(INDEX(ChFormat,MATCH(E1902,ChName,0)),"")</f>
        <v/>
      </c>
      <c r="G1902" t="inlineStr">
        <is>
          <t>QC</t>
        </is>
      </c>
      <c r="H1902">
        <f>IF(A1902&lt;=NWeeks,1,0)</f>
        <v/>
      </c>
      <c r="I1902">
        <f>INDEX(ChLaunch,MATCH(E1902,ChName,0))</f>
        <v/>
      </c>
      <c r="J1902">
        <f>INDEX(ChWeeksFull,MATCH(E1902,ChName,0))</f>
        <v/>
      </c>
      <c r="K1902">
        <f>INDEX(ChRamp,MATCH(E1902,ChName,0))</f>
        <v/>
      </c>
      <c r="L1902" s="45">
        <f>MIN(1,MAX(0,(A1902-I1902+1)*RampSpeed/J1902))</f>
        <v/>
      </c>
      <c r="M1902" s="45">
        <f>IF(A1902&lt;I1902,0,IF(K1902="S-curve",L1902*L1902*(3-2*L1902),L1902))</f>
        <v/>
      </c>
      <c r="N1902" s="45">
        <f>1+(INDEX(SeasonIdx,A1902)-1)*SeasonAmp</f>
        <v/>
      </c>
      <c r="O1902" s="45">
        <f>IFERROR(INDEX(PSPct,MATCH(E1902&amp;"|"&amp;G1902,PSKey,0)),0)</f>
        <v/>
      </c>
      <c r="P1902" s="46">
        <f>INDEX(ChDoorVel,MATCH(E1902,ChName,0))*CalibScalar*(1+VelocityUplift)</f>
        <v/>
      </c>
      <c r="Q1902" s="46" t="n">
        <v>0</v>
      </c>
      <c r="R1902" s="46">
        <f>P1902*O1902*M1902*N1902*H1902</f>
        <v/>
      </c>
      <c r="S1902" s="46">
        <f>R1902*INDEX(FmtCansPerCase,MATCH(F1902,FmtName,0))</f>
        <v/>
      </c>
      <c r="T1902" s="46">
        <f>S1902/INDEX(FmtCansPerPack,MATCH(F1902,FmtName,0))</f>
        <v/>
      </c>
      <c r="U1902" s="47">
        <f>INDEX(ChBaseCP,MATCH(E1902,ChName,0))*(1+INDEX(ProvMod,MATCH(G1902,ProvCode,0)))*(1+PriceIndex)</f>
        <v/>
      </c>
      <c r="V1902" s="47">
        <f>R1902*U1902*INDEX(FmtBlendedPriceIdx,MATCH(F1902,FmtName,0))</f>
        <v/>
      </c>
      <c r="W1902" s="47">
        <f>T1902*INDEX(ProvSRP,MATCH(G1902,ProvCode,0))*(1+PriceIndex)</f>
        <v/>
      </c>
      <c r="X1902" s="47">
        <f>IF(GrossBasis="Wholesale",V1902,W1902)</f>
        <v/>
      </c>
      <c r="Y1902" s="47">
        <f>R1902*INDEX(FmtBlendedCogs,MATCH(F1902,FmtName,0))</f>
        <v/>
      </c>
      <c r="Z1902" s="47">
        <f>X1902-Y1902</f>
        <v/>
      </c>
    </row>
    <row r="1903">
      <c r="A1903" t="n">
        <v>47</v>
      </c>
      <c r="B1903" s="44">
        <f>FiscalStart+(A1903-1)*7</f>
        <v/>
      </c>
      <c r="C1903">
        <f>TEXT(B1903,"mmm yyyy")</f>
        <v/>
      </c>
      <c r="D1903">
        <f>"Q"&amp;(INT((A1903-1)/13)+1)</f>
        <v/>
      </c>
      <c r="E1903" t="inlineStr">
        <is>
          <t>Costco</t>
        </is>
      </c>
      <c r="F1903">
        <f>IFERROR(INDEX(ChFormat,MATCH(E1903,ChName,0)),"")</f>
        <v/>
      </c>
      <c r="G1903" t="inlineStr">
        <is>
          <t>QC</t>
        </is>
      </c>
      <c r="H1903">
        <f>IF(A1903&lt;=NWeeks,1,0)</f>
        <v/>
      </c>
      <c r="I1903">
        <f>INDEX(ChLaunch,MATCH(E1903,ChName,0))</f>
        <v/>
      </c>
      <c r="J1903">
        <f>INDEX(ChWeeksFull,MATCH(E1903,ChName,0))</f>
        <v/>
      </c>
      <c r="K1903">
        <f>INDEX(ChRamp,MATCH(E1903,ChName,0))</f>
        <v/>
      </c>
      <c r="L1903" s="45">
        <f>MIN(1,MAX(0,(A1903-I1903+1)*RampSpeed/J1903))</f>
        <v/>
      </c>
      <c r="M1903" s="45">
        <f>IF(A1903&lt;I1903,0,IF(K1903="S-curve",L1903*L1903*(3-2*L1903),L1903))</f>
        <v/>
      </c>
      <c r="N1903" s="45">
        <f>1+(INDEX(SeasonIdx,A1903)-1)*SeasonAmp</f>
        <v/>
      </c>
      <c r="O1903" s="45">
        <f>IFERROR(INDEX(PSPct,MATCH(E1903&amp;"|"&amp;G1903,PSKey,0)),0)</f>
        <v/>
      </c>
      <c r="P1903" s="46">
        <f>INDEX(ChDoorVel,MATCH(E1903,ChName,0))*CalibScalar*(1+VelocityUplift)</f>
        <v/>
      </c>
      <c r="Q1903" s="46" t="n">
        <v>0</v>
      </c>
      <c r="R1903" s="46">
        <f>P1903*O1903*M1903*N1903*H1903</f>
        <v/>
      </c>
      <c r="S1903" s="46">
        <f>R1903*INDEX(FmtCansPerCase,MATCH(F1903,FmtName,0))</f>
        <v/>
      </c>
      <c r="T1903" s="46">
        <f>S1903/INDEX(FmtCansPerPack,MATCH(F1903,FmtName,0))</f>
        <v/>
      </c>
      <c r="U1903" s="47">
        <f>INDEX(ChBaseCP,MATCH(E1903,ChName,0))*(1+INDEX(ProvMod,MATCH(G1903,ProvCode,0)))*(1+PriceIndex)</f>
        <v/>
      </c>
      <c r="V1903" s="47">
        <f>R1903*U1903*INDEX(FmtBlendedPriceIdx,MATCH(F1903,FmtName,0))</f>
        <v/>
      </c>
      <c r="W1903" s="47">
        <f>T1903*INDEX(ProvSRP,MATCH(G1903,ProvCode,0))*(1+PriceIndex)</f>
        <v/>
      </c>
      <c r="X1903" s="47">
        <f>IF(GrossBasis="Wholesale",V1903,W1903)</f>
        <v/>
      </c>
      <c r="Y1903" s="47">
        <f>R1903*INDEX(FmtBlendedCogs,MATCH(F1903,FmtName,0))</f>
        <v/>
      </c>
      <c r="Z1903" s="47">
        <f>X1903-Y1903</f>
        <v/>
      </c>
    </row>
    <row r="1904">
      <c r="A1904" t="n">
        <v>48</v>
      </c>
      <c r="B1904" s="44">
        <f>FiscalStart+(A1904-1)*7</f>
        <v/>
      </c>
      <c r="C1904">
        <f>TEXT(B1904,"mmm yyyy")</f>
        <v/>
      </c>
      <c r="D1904">
        <f>"Q"&amp;(INT((A1904-1)/13)+1)</f>
        <v/>
      </c>
      <c r="E1904" t="inlineStr">
        <is>
          <t>Costco</t>
        </is>
      </c>
      <c r="F1904">
        <f>IFERROR(INDEX(ChFormat,MATCH(E1904,ChName,0)),"")</f>
        <v/>
      </c>
      <c r="G1904" t="inlineStr">
        <is>
          <t>QC</t>
        </is>
      </c>
      <c r="H1904">
        <f>IF(A1904&lt;=NWeeks,1,0)</f>
        <v/>
      </c>
      <c r="I1904">
        <f>INDEX(ChLaunch,MATCH(E1904,ChName,0))</f>
        <v/>
      </c>
      <c r="J1904">
        <f>INDEX(ChWeeksFull,MATCH(E1904,ChName,0))</f>
        <v/>
      </c>
      <c r="K1904">
        <f>INDEX(ChRamp,MATCH(E1904,ChName,0))</f>
        <v/>
      </c>
      <c r="L1904" s="45">
        <f>MIN(1,MAX(0,(A1904-I1904+1)*RampSpeed/J1904))</f>
        <v/>
      </c>
      <c r="M1904" s="45">
        <f>IF(A1904&lt;I1904,0,IF(K1904="S-curve",L1904*L1904*(3-2*L1904),L1904))</f>
        <v/>
      </c>
      <c r="N1904" s="45">
        <f>1+(INDEX(SeasonIdx,A1904)-1)*SeasonAmp</f>
        <v/>
      </c>
      <c r="O1904" s="45">
        <f>IFERROR(INDEX(PSPct,MATCH(E1904&amp;"|"&amp;G1904,PSKey,0)),0)</f>
        <v/>
      </c>
      <c r="P1904" s="46">
        <f>INDEX(ChDoorVel,MATCH(E1904,ChName,0))*CalibScalar*(1+VelocityUplift)</f>
        <v/>
      </c>
      <c r="Q1904" s="46" t="n">
        <v>0</v>
      </c>
      <c r="R1904" s="46">
        <f>P1904*O1904*M1904*N1904*H1904</f>
        <v/>
      </c>
      <c r="S1904" s="46">
        <f>R1904*INDEX(FmtCansPerCase,MATCH(F1904,FmtName,0))</f>
        <v/>
      </c>
      <c r="T1904" s="46">
        <f>S1904/INDEX(FmtCansPerPack,MATCH(F1904,FmtName,0))</f>
        <v/>
      </c>
      <c r="U1904" s="47">
        <f>INDEX(ChBaseCP,MATCH(E1904,ChName,0))*(1+INDEX(ProvMod,MATCH(G1904,ProvCode,0)))*(1+PriceIndex)</f>
        <v/>
      </c>
      <c r="V1904" s="47">
        <f>R1904*U1904*INDEX(FmtBlendedPriceIdx,MATCH(F1904,FmtName,0))</f>
        <v/>
      </c>
      <c r="W1904" s="47">
        <f>T1904*INDEX(ProvSRP,MATCH(G1904,ProvCode,0))*(1+PriceIndex)</f>
        <v/>
      </c>
      <c r="X1904" s="47">
        <f>IF(GrossBasis="Wholesale",V1904,W1904)</f>
        <v/>
      </c>
      <c r="Y1904" s="47">
        <f>R1904*INDEX(FmtBlendedCogs,MATCH(F1904,FmtName,0))</f>
        <v/>
      </c>
      <c r="Z1904" s="47">
        <f>X1904-Y1904</f>
        <v/>
      </c>
    </row>
    <row r="1905">
      <c r="A1905" t="n">
        <v>49</v>
      </c>
      <c r="B1905" s="44">
        <f>FiscalStart+(A1905-1)*7</f>
        <v/>
      </c>
      <c r="C1905">
        <f>TEXT(B1905,"mmm yyyy")</f>
        <v/>
      </c>
      <c r="D1905">
        <f>"Q"&amp;(INT((A1905-1)/13)+1)</f>
        <v/>
      </c>
      <c r="E1905" t="inlineStr">
        <is>
          <t>Costco</t>
        </is>
      </c>
      <c r="F1905">
        <f>IFERROR(INDEX(ChFormat,MATCH(E1905,ChName,0)),"")</f>
        <v/>
      </c>
      <c r="G1905" t="inlineStr">
        <is>
          <t>QC</t>
        </is>
      </c>
      <c r="H1905">
        <f>IF(A1905&lt;=NWeeks,1,0)</f>
        <v/>
      </c>
      <c r="I1905">
        <f>INDEX(ChLaunch,MATCH(E1905,ChName,0))</f>
        <v/>
      </c>
      <c r="J1905">
        <f>INDEX(ChWeeksFull,MATCH(E1905,ChName,0))</f>
        <v/>
      </c>
      <c r="K1905">
        <f>INDEX(ChRamp,MATCH(E1905,ChName,0))</f>
        <v/>
      </c>
      <c r="L1905" s="45">
        <f>MIN(1,MAX(0,(A1905-I1905+1)*RampSpeed/J1905))</f>
        <v/>
      </c>
      <c r="M1905" s="45">
        <f>IF(A1905&lt;I1905,0,IF(K1905="S-curve",L1905*L1905*(3-2*L1905),L1905))</f>
        <v/>
      </c>
      <c r="N1905" s="45">
        <f>1+(INDEX(SeasonIdx,A1905)-1)*SeasonAmp</f>
        <v/>
      </c>
      <c r="O1905" s="45">
        <f>IFERROR(INDEX(PSPct,MATCH(E1905&amp;"|"&amp;G1905,PSKey,0)),0)</f>
        <v/>
      </c>
      <c r="P1905" s="46">
        <f>INDEX(ChDoorVel,MATCH(E1905,ChName,0))*CalibScalar*(1+VelocityUplift)</f>
        <v/>
      </c>
      <c r="Q1905" s="46" t="n">
        <v>0</v>
      </c>
      <c r="R1905" s="46">
        <f>P1905*O1905*M1905*N1905*H1905</f>
        <v/>
      </c>
      <c r="S1905" s="46">
        <f>R1905*INDEX(FmtCansPerCase,MATCH(F1905,FmtName,0))</f>
        <v/>
      </c>
      <c r="T1905" s="46">
        <f>S1905/INDEX(FmtCansPerPack,MATCH(F1905,FmtName,0))</f>
        <v/>
      </c>
      <c r="U1905" s="47">
        <f>INDEX(ChBaseCP,MATCH(E1905,ChName,0))*(1+INDEX(ProvMod,MATCH(G1905,ProvCode,0)))*(1+PriceIndex)</f>
        <v/>
      </c>
      <c r="V1905" s="47">
        <f>R1905*U1905*INDEX(FmtBlendedPriceIdx,MATCH(F1905,FmtName,0))</f>
        <v/>
      </c>
      <c r="W1905" s="47">
        <f>T1905*INDEX(ProvSRP,MATCH(G1905,ProvCode,0))*(1+PriceIndex)</f>
        <v/>
      </c>
      <c r="X1905" s="47">
        <f>IF(GrossBasis="Wholesale",V1905,W1905)</f>
        <v/>
      </c>
      <c r="Y1905" s="47">
        <f>R1905*INDEX(FmtBlendedCogs,MATCH(F1905,FmtName,0))</f>
        <v/>
      </c>
      <c r="Z1905" s="47">
        <f>X1905-Y1905</f>
        <v/>
      </c>
    </row>
    <row r="1906">
      <c r="A1906" t="n">
        <v>50</v>
      </c>
      <c r="B1906" s="44">
        <f>FiscalStart+(A1906-1)*7</f>
        <v/>
      </c>
      <c r="C1906">
        <f>TEXT(B1906,"mmm yyyy")</f>
        <v/>
      </c>
      <c r="D1906">
        <f>"Q"&amp;(INT((A1906-1)/13)+1)</f>
        <v/>
      </c>
      <c r="E1906" t="inlineStr">
        <is>
          <t>Costco</t>
        </is>
      </c>
      <c r="F1906">
        <f>IFERROR(INDEX(ChFormat,MATCH(E1906,ChName,0)),"")</f>
        <v/>
      </c>
      <c r="G1906" t="inlineStr">
        <is>
          <t>QC</t>
        </is>
      </c>
      <c r="H1906">
        <f>IF(A1906&lt;=NWeeks,1,0)</f>
        <v/>
      </c>
      <c r="I1906">
        <f>INDEX(ChLaunch,MATCH(E1906,ChName,0))</f>
        <v/>
      </c>
      <c r="J1906">
        <f>INDEX(ChWeeksFull,MATCH(E1906,ChName,0))</f>
        <v/>
      </c>
      <c r="K1906">
        <f>INDEX(ChRamp,MATCH(E1906,ChName,0))</f>
        <v/>
      </c>
      <c r="L1906" s="45">
        <f>MIN(1,MAX(0,(A1906-I1906+1)*RampSpeed/J1906))</f>
        <v/>
      </c>
      <c r="M1906" s="45">
        <f>IF(A1906&lt;I1906,0,IF(K1906="S-curve",L1906*L1906*(3-2*L1906),L1906))</f>
        <v/>
      </c>
      <c r="N1906" s="45">
        <f>1+(INDEX(SeasonIdx,A1906)-1)*SeasonAmp</f>
        <v/>
      </c>
      <c r="O1906" s="45">
        <f>IFERROR(INDEX(PSPct,MATCH(E1906&amp;"|"&amp;G1906,PSKey,0)),0)</f>
        <v/>
      </c>
      <c r="P1906" s="46">
        <f>INDEX(ChDoorVel,MATCH(E1906,ChName,0))*CalibScalar*(1+VelocityUplift)</f>
        <v/>
      </c>
      <c r="Q1906" s="46" t="n">
        <v>0</v>
      </c>
      <c r="R1906" s="46">
        <f>P1906*O1906*M1906*N1906*H1906</f>
        <v/>
      </c>
      <c r="S1906" s="46">
        <f>R1906*INDEX(FmtCansPerCase,MATCH(F1906,FmtName,0))</f>
        <v/>
      </c>
      <c r="T1906" s="46">
        <f>S1906/INDEX(FmtCansPerPack,MATCH(F1906,FmtName,0))</f>
        <v/>
      </c>
      <c r="U1906" s="47">
        <f>INDEX(ChBaseCP,MATCH(E1906,ChName,0))*(1+INDEX(ProvMod,MATCH(G1906,ProvCode,0)))*(1+PriceIndex)</f>
        <v/>
      </c>
      <c r="V1906" s="47">
        <f>R1906*U1906*INDEX(FmtBlendedPriceIdx,MATCH(F1906,FmtName,0))</f>
        <v/>
      </c>
      <c r="W1906" s="47">
        <f>T1906*INDEX(ProvSRP,MATCH(G1906,ProvCode,0))*(1+PriceIndex)</f>
        <v/>
      </c>
      <c r="X1906" s="47">
        <f>IF(GrossBasis="Wholesale",V1906,W1906)</f>
        <v/>
      </c>
      <c r="Y1906" s="47">
        <f>R1906*INDEX(FmtBlendedCogs,MATCH(F1906,FmtName,0))</f>
        <v/>
      </c>
      <c r="Z1906" s="47">
        <f>X1906-Y1906</f>
        <v/>
      </c>
    </row>
    <row r="1907">
      <c r="A1907" t="n">
        <v>51</v>
      </c>
      <c r="B1907" s="44">
        <f>FiscalStart+(A1907-1)*7</f>
        <v/>
      </c>
      <c r="C1907">
        <f>TEXT(B1907,"mmm yyyy")</f>
        <v/>
      </c>
      <c r="D1907">
        <f>"Q"&amp;(INT((A1907-1)/13)+1)</f>
        <v/>
      </c>
      <c r="E1907" t="inlineStr">
        <is>
          <t>Costco</t>
        </is>
      </c>
      <c r="F1907">
        <f>IFERROR(INDEX(ChFormat,MATCH(E1907,ChName,0)),"")</f>
        <v/>
      </c>
      <c r="G1907" t="inlineStr">
        <is>
          <t>QC</t>
        </is>
      </c>
      <c r="H1907">
        <f>IF(A1907&lt;=NWeeks,1,0)</f>
        <v/>
      </c>
      <c r="I1907">
        <f>INDEX(ChLaunch,MATCH(E1907,ChName,0))</f>
        <v/>
      </c>
      <c r="J1907">
        <f>INDEX(ChWeeksFull,MATCH(E1907,ChName,0))</f>
        <v/>
      </c>
      <c r="K1907">
        <f>INDEX(ChRamp,MATCH(E1907,ChName,0))</f>
        <v/>
      </c>
      <c r="L1907" s="45">
        <f>MIN(1,MAX(0,(A1907-I1907+1)*RampSpeed/J1907))</f>
        <v/>
      </c>
      <c r="M1907" s="45">
        <f>IF(A1907&lt;I1907,0,IF(K1907="S-curve",L1907*L1907*(3-2*L1907),L1907))</f>
        <v/>
      </c>
      <c r="N1907" s="45">
        <f>1+(INDEX(SeasonIdx,A1907)-1)*SeasonAmp</f>
        <v/>
      </c>
      <c r="O1907" s="45">
        <f>IFERROR(INDEX(PSPct,MATCH(E1907&amp;"|"&amp;G1907,PSKey,0)),0)</f>
        <v/>
      </c>
      <c r="P1907" s="46">
        <f>INDEX(ChDoorVel,MATCH(E1907,ChName,0))*CalibScalar*(1+VelocityUplift)</f>
        <v/>
      </c>
      <c r="Q1907" s="46" t="n">
        <v>0</v>
      </c>
      <c r="R1907" s="46">
        <f>P1907*O1907*M1907*N1907*H1907</f>
        <v/>
      </c>
      <c r="S1907" s="46">
        <f>R1907*INDEX(FmtCansPerCase,MATCH(F1907,FmtName,0))</f>
        <v/>
      </c>
      <c r="T1907" s="46">
        <f>S1907/INDEX(FmtCansPerPack,MATCH(F1907,FmtName,0))</f>
        <v/>
      </c>
      <c r="U1907" s="47">
        <f>INDEX(ChBaseCP,MATCH(E1907,ChName,0))*(1+INDEX(ProvMod,MATCH(G1907,ProvCode,0)))*(1+PriceIndex)</f>
        <v/>
      </c>
      <c r="V1907" s="47">
        <f>R1907*U1907*INDEX(FmtBlendedPriceIdx,MATCH(F1907,FmtName,0))</f>
        <v/>
      </c>
      <c r="W1907" s="47">
        <f>T1907*INDEX(ProvSRP,MATCH(G1907,ProvCode,0))*(1+PriceIndex)</f>
        <v/>
      </c>
      <c r="X1907" s="47">
        <f>IF(GrossBasis="Wholesale",V1907,W1907)</f>
        <v/>
      </c>
      <c r="Y1907" s="47">
        <f>R1907*INDEX(FmtBlendedCogs,MATCH(F1907,FmtName,0))</f>
        <v/>
      </c>
      <c r="Z1907" s="47">
        <f>X1907-Y1907</f>
        <v/>
      </c>
    </row>
    <row r="1908">
      <c r="A1908" t="n">
        <v>52</v>
      </c>
      <c r="B1908" s="44">
        <f>FiscalStart+(A1908-1)*7</f>
        <v/>
      </c>
      <c r="C1908">
        <f>TEXT(B1908,"mmm yyyy")</f>
        <v/>
      </c>
      <c r="D1908">
        <f>"Q"&amp;(INT((A1908-1)/13)+1)</f>
        <v/>
      </c>
      <c r="E1908" t="inlineStr">
        <is>
          <t>Costco</t>
        </is>
      </c>
      <c r="F1908">
        <f>IFERROR(INDEX(ChFormat,MATCH(E1908,ChName,0)),"")</f>
        <v/>
      </c>
      <c r="G1908" t="inlineStr">
        <is>
          <t>QC</t>
        </is>
      </c>
      <c r="H1908">
        <f>IF(A1908&lt;=NWeeks,1,0)</f>
        <v/>
      </c>
      <c r="I1908">
        <f>INDEX(ChLaunch,MATCH(E1908,ChName,0))</f>
        <v/>
      </c>
      <c r="J1908">
        <f>INDEX(ChWeeksFull,MATCH(E1908,ChName,0))</f>
        <v/>
      </c>
      <c r="K1908">
        <f>INDEX(ChRamp,MATCH(E1908,ChName,0))</f>
        <v/>
      </c>
      <c r="L1908" s="45">
        <f>MIN(1,MAX(0,(A1908-I1908+1)*RampSpeed/J1908))</f>
        <v/>
      </c>
      <c r="M1908" s="45">
        <f>IF(A1908&lt;I1908,0,IF(K1908="S-curve",L1908*L1908*(3-2*L1908),L1908))</f>
        <v/>
      </c>
      <c r="N1908" s="45">
        <f>1+(INDEX(SeasonIdx,A1908)-1)*SeasonAmp</f>
        <v/>
      </c>
      <c r="O1908" s="45">
        <f>IFERROR(INDEX(PSPct,MATCH(E1908&amp;"|"&amp;G1908,PSKey,0)),0)</f>
        <v/>
      </c>
      <c r="P1908" s="46">
        <f>INDEX(ChDoorVel,MATCH(E1908,ChName,0))*CalibScalar*(1+VelocityUplift)</f>
        <v/>
      </c>
      <c r="Q1908" s="46" t="n">
        <v>0</v>
      </c>
      <c r="R1908" s="46">
        <f>P1908*O1908*M1908*N1908*H1908</f>
        <v/>
      </c>
      <c r="S1908" s="46">
        <f>R1908*INDEX(FmtCansPerCase,MATCH(F1908,FmtName,0))</f>
        <v/>
      </c>
      <c r="T1908" s="46">
        <f>S1908/INDEX(FmtCansPerPack,MATCH(F1908,FmtName,0))</f>
        <v/>
      </c>
      <c r="U1908" s="47">
        <f>INDEX(ChBaseCP,MATCH(E1908,ChName,0))*(1+INDEX(ProvMod,MATCH(G1908,ProvCode,0)))*(1+PriceIndex)</f>
        <v/>
      </c>
      <c r="V1908" s="47">
        <f>R1908*U1908*INDEX(FmtBlendedPriceIdx,MATCH(F1908,FmtName,0))</f>
        <v/>
      </c>
      <c r="W1908" s="47">
        <f>T1908*INDEX(ProvSRP,MATCH(G1908,ProvCode,0))*(1+PriceIndex)</f>
        <v/>
      </c>
      <c r="X1908" s="47">
        <f>IF(GrossBasis="Wholesale",V1908,W1908)</f>
        <v/>
      </c>
      <c r="Y1908" s="47">
        <f>R1908*INDEX(FmtBlendedCogs,MATCH(F1908,FmtName,0))</f>
        <v/>
      </c>
      <c r="Z1908" s="47">
        <f>X1908-Y1908</f>
        <v/>
      </c>
    </row>
    <row r="1909">
      <c r="A1909" t="n">
        <v>53</v>
      </c>
      <c r="B1909" s="44">
        <f>FiscalStart+(A1909-1)*7</f>
        <v/>
      </c>
      <c r="C1909">
        <f>TEXT(B1909,"mmm yyyy")</f>
        <v/>
      </c>
      <c r="D1909">
        <f>"Q"&amp;(INT((A1909-1)/13)+1)</f>
        <v/>
      </c>
      <c r="E1909" t="inlineStr">
        <is>
          <t>Costco</t>
        </is>
      </c>
      <c r="F1909">
        <f>IFERROR(INDEX(ChFormat,MATCH(E1909,ChName,0)),"")</f>
        <v/>
      </c>
      <c r="G1909" t="inlineStr">
        <is>
          <t>QC</t>
        </is>
      </c>
      <c r="H1909">
        <f>IF(A1909&lt;=NWeeks,1,0)</f>
        <v/>
      </c>
      <c r="I1909">
        <f>INDEX(ChLaunch,MATCH(E1909,ChName,0))</f>
        <v/>
      </c>
      <c r="J1909">
        <f>INDEX(ChWeeksFull,MATCH(E1909,ChName,0))</f>
        <v/>
      </c>
      <c r="K1909">
        <f>INDEX(ChRamp,MATCH(E1909,ChName,0))</f>
        <v/>
      </c>
      <c r="L1909" s="45">
        <f>MIN(1,MAX(0,(A1909-I1909+1)*RampSpeed/J1909))</f>
        <v/>
      </c>
      <c r="M1909" s="45">
        <f>IF(A1909&lt;I1909,0,IF(K1909="S-curve",L1909*L1909*(3-2*L1909),L1909))</f>
        <v/>
      </c>
      <c r="N1909" s="45">
        <f>1+(INDEX(SeasonIdx,A1909)-1)*SeasonAmp</f>
        <v/>
      </c>
      <c r="O1909" s="45">
        <f>IFERROR(INDEX(PSPct,MATCH(E1909&amp;"|"&amp;G1909,PSKey,0)),0)</f>
        <v/>
      </c>
      <c r="P1909" s="46">
        <f>INDEX(ChDoorVel,MATCH(E1909,ChName,0))*CalibScalar*(1+VelocityUplift)</f>
        <v/>
      </c>
      <c r="Q1909" s="46" t="n">
        <v>0</v>
      </c>
      <c r="R1909" s="46">
        <f>P1909*O1909*M1909*N1909*H1909</f>
        <v/>
      </c>
      <c r="S1909" s="46">
        <f>R1909*INDEX(FmtCansPerCase,MATCH(F1909,FmtName,0))</f>
        <v/>
      </c>
      <c r="T1909" s="46">
        <f>S1909/INDEX(FmtCansPerPack,MATCH(F1909,FmtName,0))</f>
        <v/>
      </c>
      <c r="U1909" s="47">
        <f>INDEX(ChBaseCP,MATCH(E1909,ChName,0))*(1+INDEX(ProvMod,MATCH(G1909,ProvCode,0)))*(1+PriceIndex)</f>
        <v/>
      </c>
      <c r="V1909" s="47">
        <f>R1909*U1909*INDEX(FmtBlendedPriceIdx,MATCH(F1909,FmtName,0))</f>
        <v/>
      </c>
      <c r="W1909" s="47">
        <f>T1909*INDEX(ProvSRP,MATCH(G1909,ProvCode,0))*(1+PriceIndex)</f>
        <v/>
      </c>
      <c r="X1909" s="47">
        <f>IF(GrossBasis="Wholesale",V1909,W1909)</f>
        <v/>
      </c>
      <c r="Y1909" s="47">
        <f>R1909*INDEX(FmtBlendedCogs,MATCH(F1909,FmtName,0))</f>
        <v/>
      </c>
      <c r="Z1909" s="47">
        <f>X1909-Y1909</f>
        <v/>
      </c>
    </row>
    <row r="1910">
      <c r="A1910" t="n">
        <v>1</v>
      </c>
      <c r="B1910" s="44">
        <f>FiscalStart+(A1910-1)*7</f>
        <v/>
      </c>
      <c r="C1910">
        <f>TEXT(B1910,"mmm yyyy")</f>
        <v/>
      </c>
      <c r="D1910">
        <f>"Q"&amp;(INT((A1910-1)/13)+1)</f>
        <v/>
      </c>
      <c r="E1910" t="inlineStr">
        <is>
          <t>Costco</t>
        </is>
      </c>
      <c r="F1910">
        <f>IFERROR(INDEX(ChFormat,MATCH(E1910,ChName,0)),"")</f>
        <v/>
      </c>
      <c r="G1910" t="inlineStr">
        <is>
          <t>NB</t>
        </is>
      </c>
      <c r="H1910">
        <f>IF(A1910&lt;=NWeeks,1,0)</f>
        <v/>
      </c>
      <c r="I1910">
        <f>INDEX(ChLaunch,MATCH(E1910,ChName,0))</f>
        <v/>
      </c>
      <c r="J1910">
        <f>INDEX(ChWeeksFull,MATCH(E1910,ChName,0))</f>
        <v/>
      </c>
      <c r="K1910">
        <f>INDEX(ChRamp,MATCH(E1910,ChName,0))</f>
        <v/>
      </c>
      <c r="L1910" s="45">
        <f>MIN(1,MAX(0,(A1910-I1910+1)*RampSpeed/J1910))</f>
        <v/>
      </c>
      <c r="M1910" s="45">
        <f>IF(A1910&lt;I1910,0,IF(K1910="S-curve",L1910*L1910*(3-2*L1910),L1910))</f>
        <v/>
      </c>
      <c r="N1910" s="45">
        <f>1+(INDEX(SeasonIdx,A1910)-1)*SeasonAmp</f>
        <v/>
      </c>
      <c r="O1910" s="45">
        <f>IFERROR(INDEX(PSPct,MATCH(E1910&amp;"|"&amp;G1910,PSKey,0)),0)</f>
        <v/>
      </c>
      <c r="P1910" s="46">
        <f>INDEX(ChDoorVel,MATCH(E1910,ChName,0))*CalibScalar*(1+VelocityUplift)</f>
        <v/>
      </c>
      <c r="Q1910" s="46" t="n">
        <v>0</v>
      </c>
      <c r="R1910" s="46">
        <f>P1910*O1910*M1910*N1910*H1910</f>
        <v/>
      </c>
      <c r="S1910" s="46">
        <f>R1910*INDEX(FmtCansPerCase,MATCH(F1910,FmtName,0))</f>
        <v/>
      </c>
      <c r="T1910" s="46">
        <f>S1910/INDEX(FmtCansPerPack,MATCH(F1910,FmtName,0))</f>
        <v/>
      </c>
      <c r="U1910" s="47">
        <f>INDEX(ChBaseCP,MATCH(E1910,ChName,0))*(1+INDEX(ProvMod,MATCH(G1910,ProvCode,0)))*(1+PriceIndex)</f>
        <v/>
      </c>
      <c r="V1910" s="47">
        <f>R1910*U1910*INDEX(FmtBlendedPriceIdx,MATCH(F1910,FmtName,0))</f>
        <v/>
      </c>
      <c r="W1910" s="47">
        <f>T1910*INDEX(ProvSRP,MATCH(G1910,ProvCode,0))*(1+PriceIndex)</f>
        <v/>
      </c>
      <c r="X1910" s="47">
        <f>IF(GrossBasis="Wholesale",V1910,W1910)</f>
        <v/>
      </c>
      <c r="Y1910" s="47">
        <f>R1910*INDEX(FmtBlendedCogs,MATCH(F1910,FmtName,0))</f>
        <v/>
      </c>
      <c r="Z1910" s="47">
        <f>X1910-Y1910</f>
        <v/>
      </c>
    </row>
    <row r="1911">
      <c r="A1911" t="n">
        <v>2</v>
      </c>
      <c r="B1911" s="44">
        <f>FiscalStart+(A1911-1)*7</f>
        <v/>
      </c>
      <c r="C1911">
        <f>TEXT(B1911,"mmm yyyy")</f>
        <v/>
      </c>
      <c r="D1911">
        <f>"Q"&amp;(INT((A1911-1)/13)+1)</f>
        <v/>
      </c>
      <c r="E1911" t="inlineStr">
        <is>
          <t>Costco</t>
        </is>
      </c>
      <c r="F1911">
        <f>IFERROR(INDEX(ChFormat,MATCH(E1911,ChName,0)),"")</f>
        <v/>
      </c>
      <c r="G1911" t="inlineStr">
        <is>
          <t>NB</t>
        </is>
      </c>
      <c r="H1911">
        <f>IF(A1911&lt;=NWeeks,1,0)</f>
        <v/>
      </c>
      <c r="I1911">
        <f>INDEX(ChLaunch,MATCH(E1911,ChName,0))</f>
        <v/>
      </c>
      <c r="J1911">
        <f>INDEX(ChWeeksFull,MATCH(E1911,ChName,0))</f>
        <v/>
      </c>
      <c r="K1911">
        <f>INDEX(ChRamp,MATCH(E1911,ChName,0))</f>
        <v/>
      </c>
      <c r="L1911" s="45">
        <f>MIN(1,MAX(0,(A1911-I1911+1)*RampSpeed/J1911))</f>
        <v/>
      </c>
      <c r="M1911" s="45">
        <f>IF(A1911&lt;I1911,0,IF(K1911="S-curve",L1911*L1911*(3-2*L1911),L1911))</f>
        <v/>
      </c>
      <c r="N1911" s="45">
        <f>1+(INDEX(SeasonIdx,A1911)-1)*SeasonAmp</f>
        <v/>
      </c>
      <c r="O1911" s="45">
        <f>IFERROR(INDEX(PSPct,MATCH(E1911&amp;"|"&amp;G1911,PSKey,0)),0)</f>
        <v/>
      </c>
      <c r="P1911" s="46">
        <f>INDEX(ChDoorVel,MATCH(E1911,ChName,0))*CalibScalar*(1+VelocityUplift)</f>
        <v/>
      </c>
      <c r="Q1911" s="46" t="n">
        <v>0</v>
      </c>
      <c r="R1911" s="46">
        <f>P1911*O1911*M1911*N1911*H1911</f>
        <v/>
      </c>
      <c r="S1911" s="46">
        <f>R1911*INDEX(FmtCansPerCase,MATCH(F1911,FmtName,0))</f>
        <v/>
      </c>
      <c r="T1911" s="46">
        <f>S1911/INDEX(FmtCansPerPack,MATCH(F1911,FmtName,0))</f>
        <v/>
      </c>
      <c r="U1911" s="47">
        <f>INDEX(ChBaseCP,MATCH(E1911,ChName,0))*(1+INDEX(ProvMod,MATCH(G1911,ProvCode,0)))*(1+PriceIndex)</f>
        <v/>
      </c>
      <c r="V1911" s="47">
        <f>R1911*U1911*INDEX(FmtBlendedPriceIdx,MATCH(F1911,FmtName,0))</f>
        <v/>
      </c>
      <c r="W1911" s="47">
        <f>T1911*INDEX(ProvSRP,MATCH(G1911,ProvCode,0))*(1+PriceIndex)</f>
        <v/>
      </c>
      <c r="X1911" s="47">
        <f>IF(GrossBasis="Wholesale",V1911,W1911)</f>
        <v/>
      </c>
      <c r="Y1911" s="47">
        <f>R1911*INDEX(FmtBlendedCogs,MATCH(F1911,FmtName,0))</f>
        <v/>
      </c>
      <c r="Z1911" s="47">
        <f>X1911-Y1911</f>
        <v/>
      </c>
    </row>
    <row r="1912">
      <c r="A1912" t="n">
        <v>3</v>
      </c>
      <c r="B1912" s="44">
        <f>FiscalStart+(A1912-1)*7</f>
        <v/>
      </c>
      <c r="C1912">
        <f>TEXT(B1912,"mmm yyyy")</f>
        <v/>
      </c>
      <c r="D1912">
        <f>"Q"&amp;(INT((A1912-1)/13)+1)</f>
        <v/>
      </c>
      <c r="E1912" t="inlineStr">
        <is>
          <t>Costco</t>
        </is>
      </c>
      <c r="F1912">
        <f>IFERROR(INDEX(ChFormat,MATCH(E1912,ChName,0)),"")</f>
        <v/>
      </c>
      <c r="G1912" t="inlineStr">
        <is>
          <t>NB</t>
        </is>
      </c>
      <c r="H1912">
        <f>IF(A1912&lt;=NWeeks,1,0)</f>
        <v/>
      </c>
      <c r="I1912">
        <f>INDEX(ChLaunch,MATCH(E1912,ChName,0))</f>
        <v/>
      </c>
      <c r="J1912">
        <f>INDEX(ChWeeksFull,MATCH(E1912,ChName,0))</f>
        <v/>
      </c>
      <c r="K1912">
        <f>INDEX(ChRamp,MATCH(E1912,ChName,0))</f>
        <v/>
      </c>
      <c r="L1912" s="45">
        <f>MIN(1,MAX(0,(A1912-I1912+1)*RampSpeed/J1912))</f>
        <v/>
      </c>
      <c r="M1912" s="45">
        <f>IF(A1912&lt;I1912,0,IF(K1912="S-curve",L1912*L1912*(3-2*L1912),L1912))</f>
        <v/>
      </c>
      <c r="N1912" s="45">
        <f>1+(INDEX(SeasonIdx,A1912)-1)*SeasonAmp</f>
        <v/>
      </c>
      <c r="O1912" s="45">
        <f>IFERROR(INDEX(PSPct,MATCH(E1912&amp;"|"&amp;G1912,PSKey,0)),0)</f>
        <v/>
      </c>
      <c r="P1912" s="46">
        <f>INDEX(ChDoorVel,MATCH(E1912,ChName,0))*CalibScalar*(1+VelocityUplift)</f>
        <v/>
      </c>
      <c r="Q1912" s="46" t="n">
        <v>0</v>
      </c>
      <c r="R1912" s="46">
        <f>P1912*O1912*M1912*N1912*H1912</f>
        <v/>
      </c>
      <c r="S1912" s="46">
        <f>R1912*INDEX(FmtCansPerCase,MATCH(F1912,FmtName,0))</f>
        <v/>
      </c>
      <c r="T1912" s="46">
        <f>S1912/INDEX(FmtCansPerPack,MATCH(F1912,FmtName,0))</f>
        <v/>
      </c>
      <c r="U1912" s="47">
        <f>INDEX(ChBaseCP,MATCH(E1912,ChName,0))*(1+INDEX(ProvMod,MATCH(G1912,ProvCode,0)))*(1+PriceIndex)</f>
        <v/>
      </c>
      <c r="V1912" s="47">
        <f>R1912*U1912*INDEX(FmtBlendedPriceIdx,MATCH(F1912,FmtName,0))</f>
        <v/>
      </c>
      <c r="W1912" s="47">
        <f>T1912*INDEX(ProvSRP,MATCH(G1912,ProvCode,0))*(1+PriceIndex)</f>
        <v/>
      </c>
      <c r="X1912" s="47">
        <f>IF(GrossBasis="Wholesale",V1912,W1912)</f>
        <v/>
      </c>
      <c r="Y1912" s="47">
        <f>R1912*INDEX(FmtBlendedCogs,MATCH(F1912,FmtName,0))</f>
        <v/>
      </c>
      <c r="Z1912" s="47">
        <f>X1912-Y1912</f>
        <v/>
      </c>
    </row>
    <row r="1913">
      <c r="A1913" t="n">
        <v>4</v>
      </c>
      <c r="B1913" s="44">
        <f>FiscalStart+(A1913-1)*7</f>
        <v/>
      </c>
      <c r="C1913">
        <f>TEXT(B1913,"mmm yyyy")</f>
        <v/>
      </c>
      <c r="D1913">
        <f>"Q"&amp;(INT((A1913-1)/13)+1)</f>
        <v/>
      </c>
      <c r="E1913" t="inlineStr">
        <is>
          <t>Costco</t>
        </is>
      </c>
      <c r="F1913">
        <f>IFERROR(INDEX(ChFormat,MATCH(E1913,ChName,0)),"")</f>
        <v/>
      </c>
      <c r="G1913" t="inlineStr">
        <is>
          <t>NB</t>
        </is>
      </c>
      <c r="H1913">
        <f>IF(A1913&lt;=NWeeks,1,0)</f>
        <v/>
      </c>
      <c r="I1913">
        <f>INDEX(ChLaunch,MATCH(E1913,ChName,0))</f>
        <v/>
      </c>
      <c r="J1913">
        <f>INDEX(ChWeeksFull,MATCH(E1913,ChName,0))</f>
        <v/>
      </c>
      <c r="K1913">
        <f>INDEX(ChRamp,MATCH(E1913,ChName,0))</f>
        <v/>
      </c>
      <c r="L1913" s="45">
        <f>MIN(1,MAX(0,(A1913-I1913+1)*RampSpeed/J1913))</f>
        <v/>
      </c>
      <c r="M1913" s="45">
        <f>IF(A1913&lt;I1913,0,IF(K1913="S-curve",L1913*L1913*(3-2*L1913),L1913))</f>
        <v/>
      </c>
      <c r="N1913" s="45">
        <f>1+(INDEX(SeasonIdx,A1913)-1)*SeasonAmp</f>
        <v/>
      </c>
      <c r="O1913" s="45">
        <f>IFERROR(INDEX(PSPct,MATCH(E1913&amp;"|"&amp;G1913,PSKey,0)),0)</f>
        <v/>
      </c>
      <c r="P1913" s="46">
        <f>INDEX(ChDoorVel,MATCH(E1913,ChName,0))*CalibScalar*(1+VelocityUplift)</f>
        <v/>
      </c>
      <c r="Q1913" s="46" t="n">
        <v>0</v>
      </c>
      <c r="R1913" s="46">
        <f>P1913*O1913*M1913*N1913*H1913</f>
        <v/>
      </c>
      <c r="S1913" s="46">
        <f>R1913*INDEX(FmtCansPerCase,MATCH(F1913,FmtName,0))</f>
        <v/>
      </c>
      <c r="T1913" s="46">
        <f>S1913/INDEX(FmtCansPerPack,MATCH(F1913,FmtName,0))</f>
        <v/>
      </c>
      <c r="U1913" s="47">
        <f>INDEX(ChBaseCP,MATCH(E1913,ChName,0))*(1+INDEX(ProvMod,MATCH(G1913,ProvCode,0)))*(1+PriceIndex)</f>
        <v/>
      </c>
      <c r="V1913" s="47">
        <f>R1913*U1913*INDEX(FmtBlendedPriceIdx,MATCH(F1913,FmtName,0))</f>
        <v/>
      </c>
      <c r="W1913" s="47">
        <f>T1913*INDEX(ProvSRP,MATCH(G1913,ProvCode,0))*(1+PriceIndex)</f>
        <v/>
      </c>
      <c r="X1913" s="47">
        <f>IF(GrossBasis="Wholesale",V1913,W1913)</f>
        <v/>
      </c>
      <c r="Y1913" s="47">
        <f>R1913*INDEX(FmtBlendedCogs,MATCH(F1913,FmtName,0))</f>
        <v/>
      </c>
      <c r="Z1913" s="47">
        <f>X1913-Y1913</f>
        <v/>
      </c>
    </row>
    <row r="1914">
      <c r="A1914" t="n">
        <v>5</v>
      </c>
      <c r="B1914" s="44">
        <f>FiscalStart+(A1914-1)*7</f>
        <v/>
      </c>
      <c r="C1914">
        <f>TEXT(B1914,"mmm yyyy")</f>
        <v/>
      </c>
      <c r="D1914">
        <f>"Q"&amp;(INT((A1914-1)/13)+1)</f>
        <v/>
      </c>
      <c r="E1914" t="inlineStr">
        <is>
          <t>Costco</t>
        </is>
      </c>
      <c r="F1914">
        <f>IFERROR(INDEX(ChFormat,MATCH(E1914,ChName,0)),"")</f>
        <v/>
      </c>
      <c r="G1914" t="inlineStr">
        <is>
          <t>NB</t>
        </is>
      </c>
      <c r="H1914">
        <f>IF(A1914&lt;=NWeeks,1,0)</f>
        <v/>
      </c>
      <c r="I1914">
        <f>INDEX(ChLaunch,MATCH(E1914,ChName,0))</f>
        <v/>
      </c>
      <c r="J1914">
        <f>INDEX(ChWeeksFull,MATCH(E1914,ChName,0))</f>
        <v/>
      </c>
      <c r="K1914">
        <f>INDEX(ChRamp,MATCH(E1914,ChName,0))</f>
        <v/>
      </c>
      <c r="L1914" s="45">
        <f>MIN(1,MAX(0,(A1914-I1914+1)*RampSpeed/J1914))</f>
        <v/>
      </c>
      <c r="M1914" s="45">
        <f>IF(A1914&lt;I1914,0,IF(K1914="S-curve",L1914*L1914*(3-2*L1914),L1914))</f>
        <v/>
      </c>
      <c r="N1914" s="45">
        <f>1+(INDEX(SeasonIdx,A1914)-1)*SeasonAmp</f>
        <v/>
      </c>
      <c r="O1914" s="45">
        <f>IFERROR(INDEX(PSPct,MATCH(E1914&amp;"|"&amp;G1914,PSKey,0)),0)</f>
        <v/>
      </c>
      <c r="P1914" s="46">
        <f>INDEX(ChDoorVel,MATCH(E1914,ChName,0))*CalibScalar*(1+VelocityUplift)</f>
        <v/>
      </c>
      <c r="Q1914" s="46" t="n">
        <v>0</v>
      </c>
      <c r="R1914" s="46">
        <f>P1914*O1914*M1914*N1914*H1914</f>
        <v/>
      </c>
      <c r="S1914" s="46">
        <f>R1914*INDEX(FmtCansPerCase,MATCH(F1914,FmtName,0))</f>
        <v/>
      </c>
      <c r="T1914" s="46">
        <f>S1914/INDEX(FmtCansPerPack,MATCH(F1914,FmtName,0))</f>
        <v/>
      </c>
      <c r="U1914" s="47">
        <f>INDEX(ChBaseCP,MATCH(E1914,ChName,0))*(1+INDEX(ProvMod,MATCH(G1914,ProvCode,0)))*(1+PriceIndex)</f>
        <v/>
      </c>
      <c r="V1914" s="47">
        <f>R1914*U1914*INDEX(FmtBlendedPriceIdx,MATCH(F1914,FmtName,0))</f>
        <v/>
      </c>
      <c r="W1914" s="47">
        <f>T1914*INDEX(ProvSRP,MATCH(G1914,ProvCode,0))*(1+PriceIndex)</f>
        <v/>
      </c>
      <c r="X1914" s="47">
        <f>IF(GrossBasis="Wholesale",V1914,W1914)</f>
        <v/>
      </c>
      <c r="Y1914" s="47">
        <f>R1914*INDEX(FmtBlendedCogs,MATCH(F1914,FmtName,0))</f>
        <v/>
      </c>
      <c r="Z1914" s="47">
        <f>X1914-Y1914</f>
        <v/>
      </c>
    </row>
    <row r="1915">
      <c r="A1915" t="n">
        <v>6</v>
      </c>
      <c r="B1915" s="44">
        <f>FiscalStart+(A1915-1)*7</f>
        <v/>
      </c>
      <c r="C1915">
        <f>TEXT(B1915,"mmm yyyy")</f>
        <v/>
      </c>
      <c r="D1915">
        <f>"Q"&amp;(INT((A1915-1)/13)+1)</f>
        <v/>
      </c>
      <c r="E1915" t="inlineStr">
        <is>
          <t>Costco</t>
        </is>
      </c>
      <c r="F1915">
        <f>IFERROR(INDEX(ChFormat,MATCH(E1915,ChName,0)),"")</f>
        <v/>
      </c>
      <c r="G1915" t="inlineStr">
        <is>
          <t>NB</t>
        </is>
      </c>
      <c r="H1915">
        <f>IF(A1915&lt;=NWeeks,1,0)</f>
        <v/>
      </c>
      <c r="I1915">
        <f>INDEX(ChLaunch,MATCH(E1915,ChName,0))</f>
        <v/>
      </c>
      <c r="J1915">
        <f>INDEX(ChWeeksFull,MATCH(E1915,ChName,0))</f>
        <v/>
      </c>
      <c r="K1915">
        <f>INDEX(ChRamp,MATCH(E1915,ChName,0))</f>
        <v/>
      </c>
      <c r="L1915" s="45">
        <f>MIN(1,MAX(0,(A1915-I1915+1)*RampSpeed/J1915))</f>
        <v/>
      </c>
      <c r="M1915" s="45">
        <f>IF(A1915&lt;I1915,0,IF(K1915="S-curve",L1915*L1915*(3-2*L1915),L1915))</f>
        <v/>
      </c>
      <c r="N1915" s="45">
        <f>1+(INDEX(SeasonIdx,A1915)-1)*SeasonAmp</f>
        <v/>
      </c>
      <c r="O1915" s="45">
        <f>IFERROR(INDEX(PSPct,MATCH(E1915&amp;"|"&amp;G1915,PSKey,0)),0)</f>
        <v/>
      </c>
      <c r="P1915" s="46">
        <f>INDEX(ChDoorVel,MATCH(E1915,ChName,0))*CalibScalar*(1+VelocityUplift)</f>
        <v/>
      </c>
      <c r="Q1915" s="46" t="n">
        <v>0</v>
      </c>
      <c r="R1915" s="46">
        <f>P1915*O1915*M1915*N1915*H1915</f>
        <v/>
      </c>
      <c r="S1915" s="46">
        <f>R1915*INDEX(FmtCansPerCase,MATCH(F1915,FmtName,0))</f>
        <v/>
      </c>
      <c r="T1915" s="46">
        <f>S1915/INDEX(FmtCansPerPack,MATCH(F1915,FmtName,0))</f>
        <v/>
      </c>
      <c r="U1915" s="47">
        <f>INDEX(ChBaseCP,MATCH(E1915,ChName,0))*(1+INDEX(ProvMod,MATCH(G1915,ProvCode,0)))*(1+PriceIndex)</f>
        <v/>
      </c>
      <c r="V1915" s="47">
        <f>R1915*U1915*INDEX(FmtBlendedPriceIdx,MATCH(F1915,FmtName,0))</f>
        <v/>
      </c>
      <c r="W1915" s="47">
        <f>T1915*INDEX(ProvSRP,MATCH(G1915,ProvCode,0))*(1+PriceIndex)</f>
        <v/>
      </c>
      <c r="X1915" s="47">
        <f>IF(GrossBasis="Wholesale",V1915,W1915)</f>
        <v/>
      </c>
      <c r="Y1915" s="47">
        <f>R1915*INDEX(FmtBlendedCogs,MATCH(F1915,FmtName,0))</f>
        <v/>
      </c>
      <c r="Z1915" s="47">
        <f>X1915-Y1915</f>
        <v/>
      </c>
    </row>
    <row r="1916">
      <c r="A1916" t="n">
        <v>7</v>
      </c>
      <c r="B1916" s="44">
        <f>FiscalStart+(A1916-1)*7</f>
        <v/>
      </c>
      <c r="C1916">
        <f>TEXT(B1916,"mmm yyyy")</f>
        <v/>
      </c>
      <c r="D1916">
        <f>"Q"&amp;(INT((A1916-1)/13)+1)</f>
        <v/>
      </c>
      <c r="E1916" t="inlineStr">
        <is>
          <t>Costco</t>
        </is>
      </c>
      <c r="F1916">
        <f>IFERROR(INDEX(ChFormat,MATCH(E1916,ChName,0)),"")</f>
        <v/>
      </c>
      <c r="G1916" t="inlineStr">
        <is>
          <t>NB</t>
        </is>
      </c>
      <c r="H1916">
        <f>IF(A1916&lt;=NWeeks,1,0)</f>
        <v/>
      </c>
      <c r="I1916">
        <f>INDEX(ChLaunch,MATCH(E1916,ChName,0))</f>
        <v/>
      </c>
      <c r="J1916">
        <f>INDEX(ChWeeksFull,MATCH(E1916,ChName,0))</f>
        <v/>
      </c>
      <c r="K1916">
        <f>INDEX(ChRamp,MATCH(E1916,ChName,0))</f>
        <v/>
      </c>
      <c r="L1916" s="45">
        <f>MIN(1,MAX(0,(A1916-I1916+1)*RampSpeed/J1916))</f>
        <v/>
      </c>
      <c r="M1916" s="45">
        <f>IF(A1916&lt;I1916,0,IF(K1916="S-curve",L1916*L1916*(3-2*L1916),L1916))</f>
        <v/>
      </c>
      <c r="N1916" s="45">
        <f>1+(INDEX(SeasonIdx,A1916)-1)*SeasonAmp</f>
        <v/>
      </c>
      <c r="O1916" s="45">
        <f>IFERROR(INDEX(PSPct,MATCH(E1916&amp;"|"&amp;G1916,PSKey,0)),0)</f>
        <v/>
      </c>
      <c r="P1916" s="46">
        <f>INDEX(ChDoorVel,MATCH(E1916,ChName,0))*CalibScalar*(1+VelocityUplift)</f>
        <v/>
      </c>
      <c r="Q1916" s="46" t="n">
        <v>0</v>
      </c>
      <c r="R1916" s="46">
        <f>P1916*O1916*M1916*N1916*H1916</f>
        <v/>
      </c>
      <c r="S1916" s="46">
        <f>R1916*INDEX(FmtCansPerCase,MATCH(F1916,FmtName,0))</f>
        <v/>
      </c>
      <c r="T1916" s="46">
        <f>S1916/INDEX(FmtCansPerPack,MATCH(F1916,FmtName,0))</f>
        <v/>
      </c>
      <c r="U1916" s="47">
        <f>INDEX(ChBaseCP,MATCH(E1916,ChName,0))*(1+INDEX(ProvMod,MATCH(G1916,ProvCode,0)))*(1+PriceIndex)</f>
        <v/>
      </c>
      <c r="V1916" s="47">
        <f>R1916*U1916*INDEX(FmtBlendedPriceIdx,MATCH(F1916,FmtName,0))</f>
        <v/>
      </c>
      <c r="W1916" s="47">
        <f>T1916*INDEX(ProvSRP,MATCH(G1916,ProvCode,0))*(1+PriceIndex)</f>
        <v/>
      </c>
      <c r="X1916" s="47">
        <f>IF(GrossBasis="Wholesale",V1916,W1916)</f>
        <v/>
      </c>
      <c r="Y1916" s="47">
        <f>R1916*INDEX(FmtBlendedCogs,MATCH(F1916,FmtName,0))</f>
        <v/>
      </c>
      <c r="Z1916" s="47">
        <f>X1916-Y1916</f>
        <v/>
      </c>
    </row>
    <row r="1917">
      <c r="A1917" t="n">
        <v>8</v>
      </c>
      <c r="B1917" s="44">
        <f>FiscalStart+(A1917-1)*7</f>
        <v/>
      </c>
      <c r="C1917">
        <f>TEXT(B1917,"mmm yyyy")</f>
        <v/>
      </c>
      <c r="D1917">
        <f>"Q"&amp;(INT((A1917-1)/13)+1)</f>
        <v/>
      </c>
      <c r="E1917" t="inlineStr">
        <is>
          <t>Costco</t>
        </is>
      </c>
      <c r="F1917">
        <f>IFERROR(INDEX(ChFormat,MATCH(E1917,ChName,0)),"")</f>
        <v/>
      </c>
      <c r="G1917" t="inlineStr">
        <is>
          <t>NB</t>
        </is>
      </c>
      <c r="H1917">
        <f>IF(A1917&lt;=NWeeks,1,0)</f>
        <v/>
      </c>
      <c r="I1917">
        <f>INDEX(ChLaunch,MATCH(E1917,ChName,0))</f>
        <v/>
      </c>
      <c r="J1917">
        <f>INDEX(ChWeeksFull,MATCH(E1917,ChName,0))</f>
        <v/>
      </c>
      <c r="K1917">
        <f>INDEX(ChRamp,MATCH(E1917,ChName,0))</f>
        <v/>
      </c>
      <c r="L1917" s="45">
        <f>MIN(1,MAX(0,(A1917-I1917+1)*RampSpeed/J1917))</f>
        <v/>
      </c>
      <c r="M1917" s="45">
        <f>IF(A1917&lt;I1917,0,IF(K1917="S-curve",L1917*L1917*(3-2*L1917),L1917))</f>
        <v/>
      </c>
      <c r="N1917" s="45">
        <f>1+(INDEX(SeasonIdx,A1917)-1)*SeasonAmp</f>
        <v/>
      </c>
      <c r="O1917" s="45">
        <f>IFERROR(INDEX(PSPct,MATCH(E1917&amp;"|"&amp;G1917,PSKey,0)),0)</f>
        <v/>
      </c>
      <c r="P1917" s="46">
        <f>INDEX(ChDoorVel,MATCH(E1917,ChName,0))*CalibScalar*(1+VelocityUplift)</f>
        <v/>
      </c>
      <c r="Q1917" s="46" t="n">
        <v>0</v>
      </c>
      <c r="R1917" s="46">
        <f>P1917*O1917*M1917*N1917*H1917</f>
        <v/>
      </c>
      <c r="S1917" s="46">
        <f>R1917*INDEX(FmtCansPerCase,MATCH(F1917,FmtName,0))</f>
        <v/>
      </c>
      <c r="T1917" s="46">
        <f>S1917/INDEX(FmtCansPerPack,MATCH(F1917,FmtName,0))</f>
        <v/>
      </c>
      <c r="U1917" s="47">
        <f>INDEX(ChBaseCP,MATCH(E1917,ChName,0))*(1+INDEX(ProvMod,MATCH(G1917,ProvCode,0)))*(1+PriceIndex)</f>
        <v/>
      </c>
      <c r="V1917" s="47">
        <f>R1917*U1917*INDEX(FmtBlendedPriceIdx,MATCH(F1917,FmtName,0))</f>
        <v/>
      </c>
      <c r="W1917" s="47">
        <f>T1917*INDEX(ProvSRP,MATCH(G1917,ProvCode,0))*(1+PriceIndex)</f>
        <v/>
      </c>
      <c r="X1917" s="47">
        <f>IF(GrossBasis="Wholesale",V1917,W1917)</f>
        <v/>
      </c>
      <c r="Y1917" s="47">
        <f>R1917*INDEX(FmtBlendedCogs,MATCH(F1917,FmtName,0))</f>
        <v/>
      </c>
      <c r="Z1917" s="47">
        <f>X1917-Y1917</f>
        <v/>
      </c>
    </row>
    <row r="1918">
      <c r="A1918" t="n">
        <v>9</v>
      </c>
      <c r="B1918" s="44">
        <f>FiscalStart+(A1918-1)*7</f>
        <v/>
      </c>
      <c r="C1918">
        <f>TEXT(B1918,"mmm yyyy")</f>
        <v/>
      </c>
      <c r="D1918">
        <f>"Q"&amp;(INT((A1918-1)/13)+1)</f>
        <v/>
      </c>
      <c r="E1918" t="inlineStr">
        <is>
          <t>Costco</t>
        </is>
      </c>
      <c r="F1918">
        <f>IFERROR(INDEX(ChFormat,MATCH(E1918,ChName,0)),"")</f>
        <v/>
      </c>
      <c r="G1918" t="inlineStr">
        <is>
          <t>NB</t>
        </is>
      </c>
      <c r="H1918">
        <f>IF(A1918&lt;=NWeeks,1,0)</f>
        <v/>
      </c>
      <c r="I1918">
        <f>INDEX(ChLaunch,MATCH(E1918,ChName,0))</f>
        <v/>
      </c>
      <c r="J1918">
        <f>INDEX(ChWeeksFull,MATCH(E1918,ChName,0))</f>
        <v/>
      </c>
      <c r="K1918">
        <f>INDEX(ChRamp,MATCH(E1918,ChName,0))</f>
        <v/>
      </c>
      <c r="L1918" s="45">
        <f>MIN(1,MAX(0,(A1918-I1918+1)*RampSpeed/J1918))</f>
        <v/>
      </c>
      <c r="M1918" s="45">
        <f>IF(A1918&lt;I1918,0,IF(K1918="S-curve",L1918*L1918*(3-2*L1918),L1918))</f>
        <v/>
      </c>
      <c r="N1918" s="45">
        <f>1+(INDEX(SeasonIdx,A1918)-1)*SeasonAmp</f>
        <v/>
      </c>
      <c r="O1918" s="45">
        <f>IFERROR(INDEX(PSPct,MATCH(E1918&amp;"|"&amp;G1918,PSKey,0)),0)</f>
        <v/>
      </c>
      <c r="P1918" s="46">
        <f>INDEX(ChDoorVel,MATCH(E1918,ChName,0))*CalibScalar*(1+VelocityUplift)</f>
        <v/>
      </c>
      <c r="Q1918" s="46" t="n">
        <v>0</v>
      </c>
      <c r="R1918" s="46">
        <f>P1918*O1918*M1918*N1918*H1918</f>
        <v/>
      </c>
      <c r="S1918" s="46">
        <f>R1918*INDEX(FmtCansPerCase,MATCH(F1918,FmtName,0))</f>
        <v/>
      </c>
      <c r="T1918" s="46">
        <f>S1918/INDEX(FmtCansPerPack,MATCH(F1918,FmtName,0))</f>
        <v/>
      </c>
      <c r="U1918" s="47">
        <f>INDEX(ChBaseCP,MATCH(E1918,ChName,0))*(1+INDEX(ProvMod,MATCH(G1918,ProvCode,0)))*(1+PriceIndex)</f>
        <v/>
      </c>
      <c r="V1918" s="47">
        <f>R1918*U1918*INDEX(FmtBlendedPriceIdx,MATCH(F1918,FmtName,0))</f>
        <v/>
      </c>
      <c r="W1918" s="47">
        <f>T1918*INDEX(ProvSRP,MATCH(G1918,ProvCode,0))*(1+PriceIndex)</f>
        <v/>
      </c>
      <c r="X1918" s="47">
        <f>IF(GrossBasis="Wholesale",V1918,W1918)</f>
        <v/>
      </c>
      <c r="Y1918" s="47">
        <f>R1918*INDEX(FmtBlendedCogs,MATCH(F1918,FmtName,0))</f>
        <v/>
      </c>
      <c r="Z1918" s="47">
        <f>X1918-Y1918</f>
        <v/>
      </c>
    </row>
    <row r="1919">
      <c r="A1919" t="n">
        <v>10</v>
      </c>
      <c r="B1919" s="44">
        <f>FiscalStart+(A1919-1)*7</f>
        <v/>
      </c>
      <c r="C1919">
        <f>TEXT(B1919,"mmm yyyy")</f>
        <v/>
      </c>
      <c r="D1919">
        <f>"Q"&amp;(INT((A1919-1)/13)+1)</f>
        <v/>
      </c>
      <c r="E1919" t="inlineStr">
        <is>
          <t>Costco</t>
        </is>
      </c>
      <c r="F1919">
        <f>IFERROR(INDEX(ChFormat,MATCH(E1919,ChName,0)),"")</f>
        <v/>
      </c>
      <c r="G1919" t="inlineStr">
        <is>
          <t>NB</t>
        </is>
      </c>
      <c r="H1919">
        <f>IF(A1919&lt;=NWeeks,1,0)</f>
        <v/>
      </c>
      <c r="I1919">
        <f>INDEX(ChLaunch,MATCH(E1919,ChName,0))</f>
        <v/>
      </c>
      <c r="J1919">
        <f>INDEX(ChWeeksFull,MATCH(E1919,ChName,0))</f>
        <v/>
      </c>
      <c r="K1919">
        <f>INDEX(ChRamp,MATCH(E1919,ChName,0))</f>
        <v/>
      </c>
      <c r="L1919" s="45">
        <f>MIN(1,MAX(0,(A1919-I1919+1)*RampSpeed/J1919))</f>
        <v/>
      </c>
      <c r="M1919" s="45">
        <f>IF(A1919&lt;I1919,0,IF(K1919="S-curve",L1919*L1919*(3-2*L1919),L1919))</f>
        <v/>
      </c>
      <c r="N1919" s="45">
        <f>1+(INDEX(SeasonIdx,A1919)-1)*SeasonAmp</f>
        <v/>
      </c>
      <c r="O1919" s="45">
        <f>IFERROR(INDEX(PSPct,MATCH(E1919&amp;"|"&amp;G1919,PSKey,0)),0)</f>
        <v/>
      </c>
      <c r="P1919" s="46">
        <f>INDEX(ChDoorVel,MATCH(E1919,ChName,0))*CalibScalar*(1+VelocityUplift)</f>
        <v/>
      </c>
      <c r="Q1919" s="46" t="n">
        <v>0</v>
      </c>
      <c r="R1919" s="46">
        <f>P1919*O1919*M1919*N1919*H1919</f>
        <v/>
      </c>
      <c r="S1919" s="46">
        <f>R1919*INDEX(FmtCansPerCase,MATCH(F1919,FmtName,0))</f>
        <v/>
      </c>
      <c r="T1919" s="46">
        <f>S1919/INDEX(FmtCansPerPack,MATCH(F1919,FmtName,0))</f>
        <v/>
      </c>
      <c r="U1919" s="47">
        <f>INDEX(ChBaseCP,MATCH(E1919,ChName,0))*(1+INDEX(ProvMod,MATCH(G1919,ProvCode,0)))*(1+PriceIndex)</f>
        <v/>
      </c>
      <c r="V1919" s="47">
        <f>R1919*U1919*INDEX(FmtBlendedPriceIdx,MATCH(F1919,FmtName,0))</f>
        <v/>
      </c>
      <c r="W1919" s="47">
        <f>T1919*INDEX(ProvSRP,MATCH(G1919,ProvCode,0))*(1+PriceIndex)</f>
        <v/>
      </c>
      <c r="X1919" s="47">
        <f>IF(GrossBasis="Wholesale",V1919,W1919)</f>
        <v/>
      </c>
      <c r="Y1919" s="47">
        <f>R1919*INDEX(FmtBlendedCogs,MATCH(F1919,FmtName,0))</f>
        <v/>
      </c>
      <c r="Z1919" s="47">
        <f>X1919-Y1919</f>
        <v/>
      </c>
    </row>
    <row r="1920">
      <c r="A1920" t="n">
        <v>11</v>
      </c>
      <c r="B1920" s="44">
        <f>FiscalStart+(A1920-1)*7</f>
        <v/>
      </c>
      <c r="C1920">
        <f>TEXT(B1920,"mmm yyyy")</f>
        <v/>
      </c>
      <c r="D1920">
        <f>"Q"&amp;(INT((A1920-1)/13)+1)</f>
        <v/>
      </c>
      <c r="E1920" t="inlineStr">
        <is>
          <t>Costco</t>
        </is>
      </c>
      <c r="F1920">
        <f>IFERROR(INDEX(ChFormat,MATCH(E1920,ChName,0)),"")</f>
        <v/>
      </c>
      <c r="G1920" t="inlineStr">
        <is>
          <t>NB</t>
        </is>
      </c>
      <c r="H1920">
        <f>IF(A1920&lt;=NWeeks,1,0)</f>
        <v/>
      </c>
      <c r="I1920">
        <f>INDEX(ChLaunch,MATCH(E1920,ChName,0))</f>
        <v/>
      </c>
      <c r="J1920">
        <f>INDEX(ChWeeksFull,MATCH(E1920,ChName,0))</f>
        <v/>
      </c>
      <c r="K1920">
        <f>INDEX(ChRamp,MATCH(E1920,ChName,0))</f>
        <v/>
      </c>
      <c r="L1920" s="45">
        <f>MIN(1,MAX(0,(A1920-I1920+1)*RampSpeed/J1920))</f>
        <v/>
      </c>
      <c r="M1920" s="45">
        <f>IF(A1920&lt;I1920,0,IF(K1920="S-curve",L1920*L1920*(3-2*L1920),L1920))</f>
        <v/>
      </c>
      <c r="N1920" s="45">
        <f>1+(INDEX(SeasonIdx,A1920)-1)*SeasonAmp</f>
        <v/>
      </c>
      <c r="O1920" s="45">
        <f>IFERROR(INDEX(PSPct,MATCH(E1920&amp;"|"&amp;G1920,PSKey,0)),0)</f>
        <v/>
      </c>
      <c r="P1920" s="46">
        <f>INDEX(ChDoorVel,MATCH(E1920,ChName,0))*CalibScalar*(1+VelocityUplift)</f>
        <v/>
      </c>
      <c r="Q1920" s="46" t="n">
        <v>0</v>
      </c>
      <c r="R1920" s="46">
        <f>P1920*O1920*M1920*N1920*H1920</f>
        <v/>
      </c>
      <c r="S1920" s="46">
        <f>R1920*INDEX(FmtCansPerCase,MATCH(F1920,FmtName,0))</f>
        <v/>
      </c>
      <c r="T1920" s="46">
        <f>S1920/INDEX(FmtCansPerPack,MATCH(F1920,FmtName,0))</f>
        <v/>
      </c>
      <c r="U1920" s="47">
        <f>INDEX(ChBaseCP,MATCH(E1920,ChName,0))*(1+INDEX(ProvMod,MATCH(G1920,ProvCode,0)))*(1+PriceIndex)</f>
        <v/>
      </c>
      <c r="V1920" s="47">
        <f>R1920*U1920*INDEX(FmtBlendedPriceIdx,MATCH(F1920,FmtName,0))</f>
        <v/>
      </c>
      <c r="W1920" s="47">
        <f>T1920*INDEX(ProvSRP,MATCH(G1920,ProvCode,0))*(1+PriceIndex)</f>
        <v/>
      </c>
      <c r="X1920" s="47">
        <f>IF(GrossBasis="Wholesale",V1920,W1920)</f>
        <v/>
      </c>
      <c r="Y1920" s="47">
        <f>R1920*INDEX(FmtBlendedCogs,MATCH(F1920,FmtName,0))</f>
        <v/>
      </c>
      <c r="Z1920" s="47">
        <f>X1920-Y1920</f>
        <v/>
      </c>
    </row>
    <row r="1921">
      <c r="A1921" t="n">
        <v>12</v>
      </c>
      <c r="B1921" s="44">
        <f>FiscalStart+(A1921-1)*7</f>
        <v/>
      </c>
      <c r="C1921">
        <f>TEXT(B1921,"mmm yyyy")</f>
        <v/>
      </c>
      <c r="D1921">
        <f>"Q"&amp;(INT((A1921-1)/13)+1)</f>
        <v/>
      </c>
      <c r="E1921" t="inlineStr">
        <is>
          <t>Costco</t>
        </is>
      </c>
      <c r="F1921">
        <f>IFERROR(INDEX(ChFormat,MATCH(E1921,ChName,0)),"")</f>
        <v/>
      </c>
      <c r="G1921" t="inlineStr">
        <is>
          <t>NB</t>
        </is>
      </c>
      <c r="H1921">
        <f>IF(A1921&lt;=NWeeks,1,0)</f>
        <v/>
      </c>
      <c r="I1921">
        <f>INDEX(ChLaunch,MATCH(E1921,ChName,0))</f>
        <v/>
      </c>
      <c r="J1921">
        <f>INDEX(ChWeeksFull,MATCH(E1921,ChName,0))</f>
        <v/>
      </c>
      <c r="K1921">
        <f>INDEX(ChRamp,MATCH(E1921,ChName,0))</f>
        <v/>
      </c>
      <c r="L1921" s="45">
        <f>MIN(1,MAX(0,(A1921-I1921+1)*RampSpeed/J1921))</f>
        <v/>
      </c>
      <c r="M1921" s="45">
        <f>IF(A1921&lt;I1921,0,IF(K1921="S-curve",L1921*L1921*(3-2*L1921),L1921))</f>
        <v/>
      </c>
      <c r="N1921" s="45">
        <f>1+(INDEX(SeasonIdx,A1921)-1)*SeasonAmp</f>
        <v/>
      </c>
      <c r="O1921" s="45">
        <f>IFERROR(INDEX(PSPct,MATCH(E1921&amp;"|"&amp;G1921,PSKey,0)),0)</f>
        <v/>
      </c>
      <c r="P1921" s="46">
        <f>INDEX(ChDoorVel,MATCH(E1921,ChName,0))*CalibScalar*(1+VelocityUplift)</f>
        <v/>
      </c>
      <c r="Q1921" s="46" t="n">
        <v>0</v>
      </c>
      <c r="R1921" s="46">
        <f>P1921*O1921*M1921*N1921*H1921</f>
        <v/>
      </c>
      <c r="S1921" s="46">
        <f>R1921*INDEX(FmtCansPerCase,MATCH(F1921,FmtName,0))</f>
        <v/>
      </c>
      <c r="T1921" s="46">
        <f>S1921/INDEX(FmtCansPerPack,MATCH(F1921,FmtName,0))</f>
        <v/>
      </c>
      <c r="U1921" s="47">
        <f>INDEX(ChBaseCP,MATCH(E1921,ChName,0))*(1+INDEX(ProvMod,MATCH(G1921,ProvCode,0)))*(1+PriceIndex)</f>
        <v/>
      </c>
      <c r="V1921" s="47">
        <f>R1921*U1921*INDEX(FmtBlendedPriceIdx,MATCH(F1921,FmtName,0))</f>
        <v/>
      </c>
      <c r="W1921" s="47">
        <f>T1921*INDEX(ProvSRP,MATCH(G1921,ProvCode,0))*(1+PriceIndex)</f>
        <v/>
      </c>
      <c r="X1921" s="47">
        <f>IF(GrossBasis="Wholesale",V1921,W1921)</f>
        <v/>
      </c>
      <c r="Y1921" s="47">
        <f>R1921*INDEX(FmtBlendedCogs,MATCH(F1921,FmtName,0))</f>
        <v/>
      </c>
      <c r="Z1921" s="47">
        <f>X1921-Y1921</f>
        <v/>
      </c>
    </row>
    <row r="1922">
      <c r="A1922" t="n">
        <v>13</v>
      </c>
      <c r="B1922" s="44">
        <f>FiscalStart+(A1922-1)*7</f>
        <v/>
      </c>
      <c r="C1922">
        <f>TEXT(B1922,"mmm yyyy")</f>
        <v/>
      </c>
      <c r="D1922">
        <f>"Q"&amp;(INT((A1922-1)/13)+1)</f>
        <v/>
      </c>
      <c r="E1922" t="inlineStr">
        <is>
          <t>Costco</t>
        </is>
      </c>
      <c r="F1922">
        <f>IFERROR(INDEX(ChFormat,MATCH(E1922,ChName,0)),"")</f>
        <v/>
      </c>
      <c r="G1922" t="inlineStr">
        <is>
          <t>NB</t>
        </is>
      </c>
      <c r="H1922">
        <f>IF(A1922&lt;=NWeeks,1,0)</f>
        <v/>
      </c>
      <c r="I1922">
        <f>INDEX(ChLaunch,MATCH(E1922,ChName,0))</f>
        <v/>
      </c>
      <c r="J1922">
        <f>INDEX(ChWeeksFull,MATCH(E1922,ChName,0))</f>
        <v/>
      </c>
      <c r="K1922">
        <f>INDEX(ChRamp,MATCH(E1922,ChName,0))</f>
        <v/>
      </c>
      <c r="L1922" s="45">
        <f>MIN(1,MAX(0,(A1922-I1922+1)*RampSpeed/J1922))</f>
        <v/>
      </c>
      <c r="M1922" s="45">
        <f>IF(A1922&lt;I1922,0,IF(K1922="S-curve",L1922*L1922*(3-2*L1922),L1922))</f>
        <v/>
      </c>
      <c r="N1922" s="45">
        <f>1+(INDEX(SeasonIdx,A1922)-1)*SeasonAmp</f>
        <v/>
      </c>
      <c r="O1922" s="45">
        <f>IFERROR(INDEX(PSPct,MATCH(E1922&amp;"|"&amp;G1922,PSKey,0)),0)</f>
        <v/>
      </c>
      <c r="P1922" s="46">
        <f>INDEX(ChDoorVel,MATCH(E1922,ChName,0))*CalibScalar*(1+VelocityUplift)</f>
        <v/>
      </c>
      <c r="Q1922" s="46" t="n">
        <v>0</v>
      </c>
      <c r="R1922" s="46">
        <f>P1922*O1922*M1922*N1922*H1922</f>
        <v/>
      </c>
      <c r="S1922" s="46">
        <f>R1922*INDEX(FmtCansPerCase,MATCH(F1922,FmtName,0))</f>
        <v/>
      </c>
      <c r="T1922" s="46">
        <f>S1922/INDEX(FmtCansPerPack,MATCH(F1922,FmtName,0))</f>
        <v/>
      </c>
      <c r="U1922" s="47">
        <f>INDEX(ChBaseCP,MATCH(E1922,ChName,0))*(1+INDEX(ProvMod,MATCH(G1922,ProvCode,0)))*(1+PriceIndex)</f>
        <v/>
      </c>
      <c r="V1922" s="47">
        <f>R1922*U1922*INDEX(FmtBlendedPriceIdx,MATCH(F1922,FmtName,0))</f>
        <v/>
      </c>
      <c r="W1922" s="47">
        <f>T1922*INDEX(ProvSRP,MATCH(G1922,ProvCode,0))*(1+PriceIndex)</f>
        <v/>
      </c>
      <c r="X1922" s="47">
        <f>IF(GrossBasis="Wholesale",V1922,W1922)</f>
        <v/>
      </c>
      <c r="Y1922" s="47">
        <f>R1922*INDEX(FmtBlendedCogs,MATCH(F1922,FmtName,0))</f>
        <v/>
      </c>
      <c r="Z1922" s="47">
        <f>X1922-Y1922</f>
        <v/>
      </c>
    </row>
    <row r="1923">
      <c r="A1923" t="n">
        <v>14</v>
      </c>
      <c r="B1923" s="44">
        <f>FiscalStart+(A1923-1)*7</f>
        <v/>
      </c>
      <c r="C1923">
        <f>TEXT(B1923,"mmm yyyy")</f>
        <v/>
      </c>
      <c r="D1923">
        <f>"Q"&amp;(INT((A1923-1)/13)+1)</f>
        <v/>
      </c>
      <c r="E1923" t="inlineStr">
        <is>
          <t>Costco</t>
        </is>
      </c>
      <c r="F1923">
        <f>IFERROR(INDEX(ChFormat,MATCH(E1923,ChName,0)),"")</f>
        <v/>
      </c>
      <c r="G1923" t="inlineStr">
        <is>
          <t>NB</t>
        </is>
      </c>
      <c r="H1923">
        <f>IF(A1923&lt;=NWeeks,1,0)</f>
        <v/>
      </c>
      <c r="I1923">
        <f>INDEX(ChLaunch,MATCH(E1923,ChName,0))</f>
        <v/>
      </c>
      <c r="J1923">
        <f>INDEX(ChWeeksFull,MATCH(E1923,ChName,0))</f>
        <v/>
      </c>
      <c r="K1923">
        <f>INDEX(ChRamp,MATCH(E1923,ChName,0))</f>
        <v/>
      </c>
      <c r="L1923" s="45">
        <f>MIN(1,MAX(0,(A1923-I1923+1)*RampSpeed/J1923))</f>
        <v/>
      </c>
      <c r="M1923" s="45">
        <f>IF(A1923&lt;I1923,0,IF(K1923="S-curve",L1923*L1923*(3-2*L1923),L1923))</f>
        <v/>
      </c>
      <c r="N1923" s="45">
        <f>1+(INDEX(SeasonIdx,A1923)-1)*SeasonAmp</f>
        <v/>
      </c>
      <c r="O1923" s="45">
        <f>IFERROR(INDEX(PSPct,MATCH(E1923&amp;"|"&amp;G1923,PSKey,0)),0)</f>
        <v/>
      </c>
      <c r="P1923" s="46">
        <f>INDEX(ChDoorVel,MATCH(E1923,ChName,0))*CalibScalar*(1+VelocityUplift)</f>
        <v/>
      </c>
      <c r="Q1923" s="46" t="n">
        <v>0</v>
      </c>
      <c r="R1923" s="46">
        <f>P1923*O1923*M1923*N1923*H1923</f>
        <v/>
      </c>
      <c r="S1923" s="46">
        <f>R1923*INDEX(FmtCansPerCase,MATCH(F1923,FmtName,0))</f>
        <v/>
      </c>
      <c r="T1923" s="46">
        <f>S1923/INDEX(FmtCansPerPack,MATCH(F1923,FmtName,0))</f>
        <v/>
      </c>
      <c r="U1923" s="47">
        <f>INDEX(ChBaseCP,MATCH(E1923,ChName,0))*(1+INDEX(ProvMod,MATCH(G1923,ProvCode,0)))*(1+PriceIndex)</f>
        <v/>
      </c>
      <c r="V1923" s="47">
        <f>R1923*U1923*INDEX(FmtBlendedPriceIdx,MATCH(F1923,FmtName,0))</f>
        <v/>
      </c>
      <c r="W1923" s="47">
        <f>T1923*INDEX(ProvSRP,MATCH(G1923,ProvCode,0))*(1+PriceIndex)</f>
        <v/>
      </c>
      <c r="X1923" s="47">
        <f>IF(GrossBasis="Wholesale",V1923,W1923)</f>
        <v/>
      </c>
      <c r="Y1923" s="47">
        <f>R1923*INDEX(FmtBlendedCogs,MATCH(F1923,FmtName,0))</f>
        <v/>
      </c>
      <c r="Z1923" s="47">
        <f>X1923-Y1923</f>
        <v/>
      </c>
    </row>
    <row r="1924">
      <c r="A1924" t="n">
        <v>15</v>
      </c>
      <c r="B1924" s="44">
        <f>FiscalStart+(A1924-1)*7</f>
        <v/>
      </c>
      <c r="C1924">
        <f>TEXT(B1924,"mmm yyyy")</f>
        <v/>
      </c>
      <c r="D1924">
        <f>"Q"&amp;(INT((A1924-1)/13)+1)</f>
        <v/>
      </c>
      <c r="E1924" t="inlineStr">
        <is>
          <t>Costco</t>
        </is>
      </c>
      <c r="F1924">
        <f>IFERROR(INDEX(ChFormat,MATCH(E1924,ChName,0)),"")</f>
        <v/>
      </c>
      <c r="G1924" t="inlineStr">
        <is>
          <t>NB</t>
        </is>
      </c>
      <c r="H1924">
        <f>IF(A1924&lt;=NWeeks,1,0)</f>
        <v/>
      </c>
      <c r="I1924">
        <f>INDEX(ChLaunch,MATCH(E1924,ChName,0))</f>
        <v/>
      </c>
      <c r="J1924">
        <f>INDEX(ChWeeksFull,MATCH(E1924,ChName,0))</f>
        <v/>
      </c>
      <c r="K1924">
        <f>INDEX(ChRamp,MATCH(E1924,ChName,0))</f>
        <v/>
      </c>
      <c r="L1924" s="45">
        <f>MIN(1,MAX(0,(A1924-I1924+1)*RampSpeed/J1924))</f>
        <v/>
      </c>
      <c r="M1924" s="45">
        <f>IF(A1924&lt;I1924,0,IF(K1924="S-curve",L1924*L1924*(3-2*L1924),L1924))</f>
        <v/>
      </c>
      <c r="N1924" s="45">
        <f>1+(INDEX(SeasonIdx,A1924)-1)*SeasonAmp</f>
        <v/>
      </c>
      <c r="O1924" s="45">
        <f>IFERROR(INDEX(PSPct,MATCH(E1924&amp;"|"&amp;G1924,PSKey,0)),0)</f>
        <v/>
      </c>
      <c r="P1924" s="46">
        <f>INDEX(ChDoorVel,MATCH(E1924,ChName,0))*CalibScalar*(1+VelocityUplift)</f>
        <v/>
      </c>
      <c r="Q1924" s="46" t="n">
        <v>0</v>
      </c>
      <c r="R1924" s="46">
        <f>P1924*O1924*M1924*N1924*H1924</f>
        <v/>
      </c>
      <c r="S1924" s="46">
        <f>R1924*INDEX(FmtCansPerCase,MATCH(F1924,FmtName,0))</f>
        <v/>
      </c>
      <c r="T1924" s="46">
        <f>S1924/INDEX(FmtCansPerPack,MATCH(F1924,FmtName,0))</f>
        <v/>
      </c>
      <c r="U1924" s="47">
        <f>INDEX(ChBaseCP,MATCH(E1924,ChName,0))*(1+INDEX(ProvMod,MATCH(G1924,ProvCode,0)))*(1+PriceIndex)</f>
        <v/>
      </c>
      <c r="V1924" s="47">
        <f>R1924*U1924*INDEX(FmtBlendedPriceIdx,MATCH(F1924,FmtName,0))</f>
        <v/>
      </c>
      <c r="W1924" s="47">
        <f>T1924*INDEX(ProvSRP,MATCH(G1924,ProvCode,0))*(1+PriceIndex)</f>
        <v/>
      </c>
      <c r="X1924" s="47">
        <f>IF(GrossBasis="Wholesale",V1924,W1924)</f>
        <v/>
      </c>
      <c r="Y1924" s="47">
        <f>R1924*INDEX(FmtBlendedCogs,MATCH(F1924,FmtName,0))</f>
        <v/>
      </c>
      <c r="Z1924" s="47">
        <f>X1924-Y1924</f>
        <v/>
      </c>
    </row>
    <row r="1925">
      <c r="A1925" t="n">
        <v>16</v>
      </c>
      <c r="B1925" s="44">
        <f>FiscalStart+(A1925-1)*7</f>
        <v/>
      </c>
      <c r="C1925">
        <f>TEXT(B1925,"mmm yyyy")</f>
        <v/>
      </c>
      <c r="D1925">
        <f>"Q"&amp;(INT((A1925-1)/13)+1)</f>
        <v/>
      </c>
      <c r="E1925" t="inlineStr">
        <is>
          <t>Costco</t>
        </is>
      </c>
      <c r="F1925">
        <f>IFERROR(INDEX(ChFormat,MATCH(E1925,ChName,0)),"")</f>
        <v/>
      </c>
      <c r="G1925" t="inlineStr">
        <is>
          <t>NB</t>
        </is>
      </c>
      <c r="H1925">
        <f>IF(A1925&lt;=NWeeks,1,0)</f>
        <v/>
      </c>
      <c r="I1925">
        <f>INDEX(ChLaunch,MATCH(E1925,ChName,0))</f>
        <v/>
      </c>
      <c r="J1925">
        <f>INDEX(ChWeeksFull,MATCH(E1925,ChName,0))</f>
        <v/>
      </c>
      <c r="K1925">
        <f>INDEX(ChRamp,MATCH(E1925,ChName,0))</f>
        <v/>
      </c>
      <c r="L1925" s="45">
        <f>MIN(1,MAX(0,(A1925-I1925+1)*RampSpeed/J1925))</f>
        <v/>
      </c>
      <c r="M1925" s="45">
        <f>IF(A1925&lt;I1925,0,IF(K1925="S-curve",L1925*L1925*(3-2*L1925),L1925))</f>
        <v/>
      </c>
      <c r="N1925" s="45">
        <f>1+(INDEX(SeasonIdx,A1925)-1)*SeasonAmp</f>
        <v/>
      </c>
      <c r="O1925" s="45">
        <f>IFERROR(INDEX(PSPct,MATCH(E1925&amp;"|"&amp;G1925,PSKey,0)),0)</f>
        <v/>
      </c>
      <c r="P1925" s="46">
        <f>INDEX(ChDoorVel,MATCH(E1925,ChName,0))*CalibScalar*(1+VelocityUplift)</f>
        <v/>
      </c>
      <c r="Q1925" s="46" t="n">
        <v>0</v>
      </c>
      <c r="R1925" s="46">
        <f>P1925*O1925*M1925*N1925*H1925</f>
        <v/>
      </c>
      <c r="S1925" s="46">
        <f>R1925*INDEX(FmtCansPerCase,MATCH(F1925,FmtName,0))</f>
        <v/>
      </c>
      <c r="T1925" s="46">
        <f>S1925/INDEX(FmtCansPerPack,MATCH(F1925,FmtName,0))</f>
        <v/>
      </c>
      <c r="U1925" s="47">
        <f>INDEX(ChBaseCP,MATCH(E1925,ChName,0))*(1+INDEX(ProvMod,MATCH(G1925,ProvCode,0)))*(1+PriceIndex)</f>
        <v/>
      </c>
      <c r="V1925" s="47">
        <f>R1925*U1925*INDEX(FmtBlendedPriceIdx,MATCH(F1925,FmtName,0))</f>
        <v/>
      </c>
      <c r="W1925" s="47">
        <f>T1925*INDEX(ProvSRP,MATCH(G1925,ProvCode,0))*(1+PriceIndex)</f>
        <v/>
      </c>
      <c r="X1925" s="47">
        <f>IF(GrossBasis="Wholesale",V1925,W1925)</f>
        <v/>
      </c>
      <c r="Y1925" s="47">
        <f>R1925*INDEX(FmtBlendedCogs,MATCH(F1925,FmtName,0))</f>
        <v/>
      </c>
      <c r="Z1925" s="47">
        <f>X1925-Y1925</f>
        <v/>
      </c>
    </row>
    <row r="1926">
      <c r="A1926" t="n">
        <v>17</v>
      </c>
      <c r="B1926" s="44">
        <f>FiscalStart+(A1926-1)*7</f>
        <v/>
      </c>
      <c r="C1926">
        <f>TEXT(B1926,"mmm yyyy")</f>
        <v/>
      </c>
      <c r="D1926">
        <f>"Q"&amp;(INT((A1926-1)/13)+1)</f>
        <v/>
      </c>
      <c r="E1926" t="inlineStr">
        <is>
          <t>Costco</t>
        </is>
      </c>
      <c r="F1926">
        <f>IFERROR(INDEX(ChFormat,MATCH(E1926,ChName,0)),"")</f>
        <v/>
      </c>
      <c r="G1926" t="inlineStr">
        <is>
          <t>NB</t>
        </is>
      </c>
      <c r="H1926">
        <f>IF(A1926&lt;=NWeeks,1,0)</f>
        <v/>
      </c>
      <c r="I1926">
        <f>INDEX(ChLaunch,MATCH(E1926,ChName,0))</f>
        <v/>
      </c>
      <c r="J1926">
        <f>INDEX(ChWeeksFull,MATCH(E1926,ChName,0))</f>
        <v/>
      </c>
      <c r="K1926">
        <f>INDEX(ChRamp,MATCH(E1926,ChName,0))</f>
        <v/>
      </c>
      <c r="L1926" s="45">
        <f>MIN(1,MAX(0,(A1926-I1926+1)*RampSpeed/J1926))</f>
        <v/>
      </c>
      <c r="M1926" s="45">
        <f>IF(A1926&lt;I1926,0,IF(K1926="S-curve",L1926*L1926*(3-2*L1926),L1926))</f>
        <v/>
      </c>
      <c r="N1926" s="45">
        <f>1+(INDEX(SeasonIdx,A1926)-1)*SeasonAmp</f>
        <v/>
      </c>
      <c r="O1926" s="45">
        <f>IFERROR(INDEX(PSPct,MATCH(E1926&amp;"|"&amp;G1926,PSKey,0)),0)</f>
        <v/>
      </c>
      <c r="P1926" s="46">
        <f>INDEX(ChDoorVel,MATCH(E1926,ChName,0))*CalibScalar*(1+VelocityUplift)</f>
        <v/>
      </c>
      <c r="Q1926" s="46" t="n">
        <v>0</v>
      </c>
      <c r="R1926" s="46">
        <f>P1926*O1926*M1926*N1926*H1926</f>
        <v/>
      </c>
      <c r="S1926" s="46">
        <f>R1926*INDEX(FmtCansPerCase,MATCH(F1926,FmtName,0))</f>
        <v/>
      </c>
      <c r="T1926" s="46">
        <f>S1926/INDEX(FmtCansPerPack,MATCH(F1926,FmtName,0))</f>
        <v/>
      </c>
      <c r="U1926" s="47">
        <f>INDEX(ChBaseCP,MATCH(E1926,ChName,0))*(1+INDEX(ProvMod,MATCH(G1926,ProvCode,0)))*(1+PriceIndex)</f>
        <v/>
      </c>
      <c r="V1926" s="47">
        <f>R1926*U1926*INDEX(FmtBlendedPriceIdx,MATCH(F1926,FmtName,0))</f>
        <v/>
      </c>
      <c r="W1926" s="47">
        <f>T1926*INDEX(ProvSRP,MATCH(G1926,ProvCode,0))*(1+PriceIndex)</f>
        <v/>
      </c>
      <c r="X1926" s="47">
        <f>IF(GrossBasis="Wholesale",V1926,W1926)</f>
        <v/>
      </c>
      <c r="Y1926" s="47">
        <f>R1926*INDEX(FmtBlendedCogs,MATCH(F1926,FmtName,0))</f>
        <v/>
      </c>
      <c r="Z1926" s="47">
        <f>X1926-Y1926</f>
        <v/>
      </c>
    </row>
    <row r="1927">
      <c r="A1927" t="n">
        <v>18</v>
      </c>
      <c r="B1927" s="44">
        <f>FiscalStart+(A1927-1)*7</f>
        <v/>
      </c>
      <c r="C1927">
        <f>TEXT(B1927,"mmm yyyy")</f>
        <v/>
      </c>
      <c r="D1927">
        <f>"Q"&amp;(INT((A1927-1)/13)+1)</f>
        <v/>
      </c>
      <c r="E1927" t="inlineStr">
        <is>
          <t>Costco</t>
        </is>
      </c>
      <c r="F1927">
        <f>IFERROR(INDEX(ChFormat,MATCH(E1927,ChName,0)),"")</f>
        <v/>
      </c>
      <c r="G1927" t="inlineStr">
        <is>
          <t>NB</t>
        </is>
      </c>
      <c r="H1927">
        <f>IF(A1927&lt;=NWeeks,1,0)</f>
        <v/>
      </c>
      <c r="I1927">
        <f>INDEX(ChLaunch,MATCH(E1927,ChName,0))</f>
        <v/>
      </c>
      <c r="J1927">
        <f>INDEX(ChWeeksFull,MATCH(E1927,ChName,0))</f>
        <v/>
      </c>
      <c r="K1927">
        <f>INDEX(ChRamp,MATCH(E1927,ChName,0))</f>
        <v/>
      </c>
      <c r="L1927" s="45">
        <f>MIN(1,MAX(0,(A1927-I1927+1)*RampSpeed/J1927))</f>
        <v/>
      </c>
      <c r="M1927" s="45">
        <f>IF(A1927&lt;I1927,0,IF(K1927="S-curve",L1927*L1927*(3-2*L1927),L1927))</f>
        <v/>
      </c>
      <c r="N1927" s="45">
        <f>1+(INDEX(SeasonIdx,A1927)-1)*SeasonAmp</f>
        <v/>
      </c>
      <c r="O1927" s="45">
        <f>IFERROR(INDEX(PSPct,MATCH(E1927&amp;"|"&amp;G1927,PSKey,0)),0)</f>
        <v/>
      </c>
      <c r="P1927" s="46">
        <f>INDEX(ChDoorVel,MATCH(E1927,ChName,0))*CalibScalar*(1+VelocityUplift)</f>
        <v/>
      </c>
      <c r="Q1927" s="46" t="n">
        <v>0</v>
      </c>
      <c r="R1927" s="46">
        <f>P1927*O1927*M1927*N1927*H1927</f>
        <v/>
      </c>
      <c r="S1927" s="46">
        <f>R1927*INDEX(FmtCansPerCase,MATCH(F1927,FmtName,0))</f>
        <v/>
      </c>
      <c r="T1927" s="46">
        <f>S1927/INDEX(FmtCansPerPack,MATCH(F1927,FmtName,0))</f>
        <v/>
      </c>
      <c r="U1927" s="47">
        <f>INDEX(ChBaseCP,MATCH(E1927,ChName,0))*(1+INDEX(ProvMod,MATCH(G1927,ProvCode,0)))*(1+PriceIndex)</f>
        <v/>
      </c>
      <c r="V1927" s="47">
        <f>R1927*U1927*INDEX(FmtBlendedPriceIdx,MATCH(F1927,FmtName,0))</f>
        <v/>
      </c>
      <c r="W1927" s="47">
        <f>T1927*INDEX(ProvSRP,MATCH(G1927,ProvCode,0))*(1+PriceIndex)</f>
        <v/>
      </c>
      <c r="X1927" s="47">
        <f>IF(GrossBasis="Wholesale",V1927,W1927)</f>
        <v/>
      </c>
      <c r="Y1927" s="47">
        <f>R1927*INDEX(FmtBlendedCogs,MATCH(F1927,FmtName,0))</f>
        <v/>
      </c>
      <c r="Z1927" s="47">
        <f>X1927-Y1927</f>
        <v/>
      </c>
    </row>
    <row r="1928">
      <c r="A1928" t="n">
        <v>19</v>
      </c>
      <c r="B1928" s="44">
        <f>FiscalStart+(A1928-1)*7</f>
        <v/>
      </c>
      <c r="C1928">
        <f>TEXT(B1928,"mmm yyyy")</f>
        <v/>
      </c>
      <c r="D1928">
        <f>"Q"&amp;(INT((A1928-1)/13)+1)</f>
        <v/>
      </c>
      <c r="E1928" t="inlineStr">
        <is>
          <t>Costco</t>
        </is>
      </c>
      <c r="F1928">
        <f>IFERROR(INDEX(ChFormat,MATCH(E1928,ChName,0)),"")</f>
        <v/>
      </c>
      <c r="G1928" t="inlineStr">
        <is>
          <t>NB</t>
        </is>
      </c>
      <c r="H1928">
        <f>IF(A1928&lt;=NWeeks,1,0)</f>
        <v/>
      </c>
      <c r="I1928">
        <f>INDEX(ChLaunch,MATCH(E1928,ChName,0))</f>
        <v/>
      </c>
      <c r="J1928">
        <f>INDEX(ChWeeksFull,MATCH(E1928,ChName,0))</f>
        <v/>
      </c>
      <c r="K1928">
        <f>INDEX(ChRamp,MATCH(E1928,ChName,0))</f>
        <v/>
      </c>
      <c r="L1928" s="45">
        <f>MIN(1,MAX(0,(A1928-I1928+1)*RampSpeed/J1928))</f>
        <v/>
      </c>
      <c r="M1928" s="45">
        <f>IF(A1928&lt;I1928,0,IF(K1928="S-curve",L1928*L1928*(3-2*L1928),L1928))</f>
        <v/>
      </c>
      <c r="N1928" s="45">
        <f>1+(INDEX(SeasonIdx,A1928)-1)*SeasonAmp</f>
        <v/>
      </c>
      <c r="O1928" s="45">
        <f>IFERROR(INDEX(PSPct,MATCH(E1928&amp;"|"&amp;G1928,PSKey,0)),0)</f>
        <v/>
      </c>
      <c r="P1928" s="46">
        <f>INDEX(ChDoorVel,MATCH(E1928,ChName,0))*CalibScalar*(1+VelocityUplift)</f>
        <v/>
      </c>
      <c r="Q1928" s="46" t="n">
        <v>0</v>
      </c>
      <c r="R1928" s="46">
        <f>P1928*O1928*M1928*N1928*H1928</f>
        <v/>
      </c>
      <c r="S1928" s="46">
        <f>R1928*INDEX(FmtCansPerCase,MATCH(F1928,FmtName,0))</f>
        <v/>
      </c>
      <c r="T1928" s="46">
        <f>S1928/INDEX(FmtCansPerPack,MATCH(F1928,FmtName,0))</f>
        <v/>
      </c>
      <c r="U1928" s="47">
        <f>INDEX(ChBaseCP,MATCH(E1928,ChName,0))*(1+INDEX(ProvMod,MATCH(G1928,ProvCode,0)))*(1+PriceIndex)</f>
        <v/>
      </c>
      <c r="V1928" s="47">
        <f>R1928*U1928*INDEX(FmtBlendedPriceIdx,MATCH(F1928,FmtName,0))</f>
        <v/>
      </c>
      <c r="W1928" s="47">
        <f>T1928*INDEX(ProvSRP,MATCH(G1928,ProvCode,0))*(1+PriceIndex)</f>
        <v/>
      </c>
      <c r="X1928" s="47">
        <f>IF(GrossBasis="Wholesale",V1928,W1928)</f>
        <v/>
      </c>
      <c r="Y1928" s="47">
        <f>R1928*INDEX(FmtBlendedCogs,MATCH(F1928,FmtName,0))</f>
        <v/>
      </c>
      <c r="Z1928" s="47">
        <f>X1928-Y1928</f>
        <v/>
      </c>
    </row>
    <row r="1929">
      <c r="A1929" t="n">
        <v>20</v>
      </c>
      <c r="B1929" s="44">
        <f>FiscalStart+(A1929-1)*7</f>
        <v/>
      </c>
      <c r="C1929">
        <f>TEXT(B1929,"mmm yyyy")</f>
        <v/>
      </c>
      <c r="D1929">
        <f>"Q"&amp;(INT((A1929-1)/13)+1)</f>
        <v/>
      </c>
      <c r="E1929" t="inlineStr">
        <is>
          <t>Costco</t>
        </is>
      </c>
      <c r="F1929">
        <f>IFERROR(INDEX(ChFormat,MATCH(E1929,ChName,0)),"")</f>
        <v/>
      </c>
      <c r="G1929" t="inlineStr">
        <is>
          <t>NB</t>
        </is>
      </c>
      <c r="H1929">
        <f>IF(A1929&lt;=NWeeks,1,0)</f>
        <v/>
      </c>
      <c r="I1929">
        <f>INDEX(ChLaunch,MATCH(E1929,ChName,0))</f>
        <v/>
      </c>
      <c r="J1929">
        <f>INDEX(ChWeeksFull,MATCH(E1929,ChName,0))</f>
        <v/>
      </c>
      <c r="K1929">
        <f>INDEX(ChRamp,MATCH(E1929,ChName,0))</f>
        <v/>
      </c>
      <c r="L1929" s="45">
        <f>MIN(1,MAX(0,(A1929-I1929+1)*RampSpeed/J1929))</f>
        <v/>
      </c>
      <c r="M1929" s="45">
        <f>IF(A1929&lt;I1929,0,IF(K1929="S-curve",L1929*L1929*(3-2*L1929),L1929))</f>
        <v/>
      </c>
      <c r="N1929" s="45">
        <f>1+(INDEX(SeasonIdx,A1929)-1)*SeasonAmp</f>
        <v/>
      </c>
      <c r="O1929" s="45">
        <f>IFERROR(INDEX(PSPct,MATCH(E1929&amp;"|"&amp;G1929,PSKey,0)),0)</f>
        <v/>
      </c>
      <c r="P1929" s="46">
        <f>INDEX(ChDoorVel,MATCH(E1929,ChName,0))*CalibScalar*(1+VelocityUplift)</f>
        <v/>
      </c>
      <c r="Q1929" s="46" t="n">
        <v>0</v>
      </c>
      <c r="R1929" s="46">
        <f>P1929*O1929*M1929*N1929*H1929</f>
        <v/>
      </c>
      <c r="S1929" s="46">
        <f>R1929*INDEX(FmtCansPerCase,MATCH(F1929,FmtName,0))</f>
        <v/>
      </c>
      <c r="T1929" s="46">
        <f>S1929/INDEX(FmtCansPerPack,MATCH(F1929,FmtName,0))</f>
        <v/>
      </c>
      <c r="U1929" s="47">
        <f>INDEX(ChBaseCP,MATCH(E1929,ChName,0))*(1+INDEX(ProvMod,MATCH(G1929,ProvCode,0)))*(1+PriceIndex)</f>
        <v/>
      </c>
      <c r="V1929" s="47">
        <f>R1929*U1929*INDEX(FmtBlendedPriceIdx,MATCH(F1929,FmtName,0))</f>
        <v/>
      </c>
      <c r="W1929" s="47">
        <f>T1929*INDEX(ProvSRP,MATCH(G1929,ProvCode,0))*(1+PriceIndex)</f>
        <v/>
      </c>
      <c r="X1929" s="47">
        <f>IF(GrossBasis="Wholesale",V1929,W1929)</f>
        <v/>
      </c>
      <c r="Y1929" s="47">
        <f>R1929*INDEX(FmtBlendedCogs,MATCH(F1929,FmtName,0))</f>
        <v/>
      </c>
      <c r="Z1929" s="47">
        <f>X1929-Y1929</f>
        <v/>
      </c>
    </row>
    <row r="1930">
      <c r="A1930" t="n">
        <v>21</v>
      </c>
      <c r="B1930" s="44">
        <f>FiscalStart+(A1930-1)*7</f>
        <v/>
      </c>
      <c r="C1930">
        <f>TEXT(B1930,"mmm yyyy")</f>
        <v/>
      </c>
      <c r="D1930">
        <f>"Q"&amp;(INT((A1930-1)/13)+1)</f>
        <v/>
      </c>
      <c r="E1930" t="inlineStr">
        <is>
          <t>Costco</t>
        </is>
      </c>
      <c r="F1930">
        <f>IFERROR(INDEX(ChFormat,MATCH(E1930,ChName,0)),"")</f>
        <v/>
      </c>
      <c r="G1930" t="inlineStr">
        <is>
          <t>NB</t>
        </is>
      </c>
      <c r="H1930">
        <f>IF(A1930&lt;=NWeeks,1,0)</f>
        <v/>
      </c>
      <c r="I1930">
        <f>INDEX(ChLaunch,MATCH(E1930,ChName,0))</f>
        <v/>
      </c>
      <c r="J1930">
        <f>INDEX(ChWeeksFull,MATCH(E1930,ChName,0))</f>
        <v/>
      </c>
      <c r="K1930">
        <f>INDEX(ChRamp,MATCH(E1930,ChName,0))</f>
        <v/>
      </c>
      <c r="L1930" s="45">
        <f>MIN(1,MAX(0,(A1930-I1930+1)*RampSpeed/J1930))</f>
        <v/>
      </c>
      <c r="M1930" s="45">
        <f>IF(A1930&lt;I1930,0,IF(K1930="S-curve",L1930*L1930*(3-2*L1930),L1930))</f>
        <v/>
      </c>
      <c r="N1930" s="45">
        <f>1+(INDEX(SeasonIdx,A1930)-1)*SeasonAmp</f>
        <v/>
      </c>
      <c r="O1930" s="45">
        <f>IFERROR(INDEX(PSPct,MATCH(E1930&amp;"|"&amp;G1930,PSKey,0)),0)</f>
        <v/>
      </c>
      <c r="P1930" s="46">
        <f>INDEX(ChDoorVel,MATCH(E1930,ChName,0))*CalibScalar*(1+VelocityUplift)</f>
        <v/>
      </c>
      <c r="Q1930" s="46" t="n">
        <v>0</v>
      </c>
      <c r="R1930" s="46">
        <f>P1930*O1930*M1930*N1930*H1930</f>
        <v/>
      </c>
      <c r="S1930" s="46">
        <f>R1930*INDEX(FmtCansPerCase,MATCH(F1930,FmtName,0))</f>
        <v/>
      </c>
      <c r="T1930" s="46">
        <f>S1930/INDEX(FmtCansPerPack,MATCH(F1930,FmtName,0))</f>
        <v/>
      </c>
      <c r="U1930" s="47">
        <f>INDEX(ChBaseCP,MATCH(E1930,ChName,0))*(1+INDEX(ProvMod,MATCH(G1930,ProvCode,0)))*(1+PriceIndex)</f>
        <v/>
      </c>
      <c r="V1930" s="47">
        <f>R1930*U1930*INDEX(FmtBlendedPriceIdx,MATCH(F1930,FmtName,0))</f>
        <v/>
      </c>
      <c r="W1930" s="47">
        <f>T1930*INDEX(ProvSRP,MATCH(G1930,ProvCode,0))*(1+PriceIndex)</f>
        <v/>
      </c>
      <c r="X1930" s="47">
        <f>IF(GrossBasis="Wholesale",V1930,W1930)</f>
        <v/>
      </c>
      <c r="Y1930" s="47">
        <f>R1930*INDEX(FmtBlendedCogs,MATCH(F1930,FmtName,0))</f>
        <v/>
      </c>
      <c r="Z1930" s="47">
        <f>X1930-Y1930</f>
        <v/>
      </c>
    </row>
    <row r="1931">
      <c r="A1931" t="n">
        <v>22</v>
      </c>
      <c r="B1931" s="44">
        <f>FiscalStart+(A1931-1)*7</f>
        <v/>
      </c>
      <c r="C1931">
        <f>TEXT(B1931,"mmm yyyy")</f>
        <v/>
      </c>
      <c r="D1931">
        <f>"Q"&amp;(INT((A1931-1)/13)+1)</f>
        <v/>
      </c>
      <c r="E1931" t="inlineStr">
        <is>
          <t>Costco</t>
        </is>
      </c>
      <c r="F1931">
        <f>IFERROR(INDEX(ChFormat,MATCH(E1931,ChName,0)),"")</f>
        <v/>
      </c>
      <c r="G1931" t="inlineStr">
        <is>
          <t>NB</t>
        </is>
      </c>
      <c r="H1931">
        <f>IF(A1931&lt;=NWeeks,1,0)</f>
        <v/>
      </c>
      <c r="I1931">
        <f>INDEX(ChLaunch,MATCH(E1931,ChName,0))</f>
        <v/>
      </c>
      <c r="J1931">
        <f>INDEX(ChWeeksFull,MATCH(E1931,ChName,0))</f>
        <v/>
      </c>
      <c r="K1931">
        <f>INDEX(ChRamp,MATCH(E1931,ChName,0))</f>
        <v/>
      </c>
      <c r="L1931" s="45">
        <f>MIN(1,MAX(0,(A1931-I1931+1)*RampSpeed/J1931))</f>
        <v/>
      </c>
      <c r="M1931" s="45">
        <f>IF(A1931&lt;I1931,0,IF(K1931="S-curve",L1931*L1931*(3-2*L1931),L1931))</f>
        <v/>
      </c>
      <c r="N1931" s="45">
        <f>1+(INDEX(SeasonIdx,A1931)-1)*SeasonAmp</f>
        <v/>
      </c>
      <c r="O1931" s="45">
        <f>IFERROR(INDEX(PSPct,MATCH(E1931&amp;"|"&amp;G1931,PSKey,0)),0)</f>
        <v/>
      </c>
      <c r="P1931" s="46">
        <f>INDEX(ChDoorVel,MATCH(E1931,ChName,0))*CalibScalar*(1+VelocityUplift)</f>
        <v/>
      </c>
      <c r="Q1931" s="46" t="n">
        <v>0</v>
      </c>
      <c r="R1931" s="46">
        <f>P1931*O1931*M1931*N1931*H1931</f>
        <v/>
      </c>
      <c r="S1931" s="46">
        <f>R1931*INDEX(FmtCansPerCase,MATCH(F1931,FmtName,0))</f>
        <v/>
      </c>
      <c r="T1931" s="46">
        <f>S1931/INDEX(FmtCansPerPack,MATCH(F1931,FmtName,0))</f>
        <v/>
      </c>
      <c r="U1931" s="47">
        <f>INDEX(ChBaseCP,MATCH(E1931,ChName,0))*(1+INDEX(ProvMod,MATCH(G1931,ProvCode,0)))*(1+PriceIndex)</f>
        <v/>
      </c>
      <c r="V1931" s="47">
        <f>R1931*U1931*INDEX(FmtBlendedPriceIdx,MATCH(F1931,FmtName,0))</f>
        <v/>
      </c>
      <c r="W1931" s="47">
        <f>T1931*INDEX(ProvSRP,MATCH(G1931,ProvCode,0))*(1+PriceIndex)</f>
        <v/>
      </c>
      <c r="X1931" s="47">
        <f>IF(GrossBasis="Wholesale",V1931,W1931)</f>
        <v/>
      </c>
      <c r="Y1931" s="47">
        <f>R1931*INDEX(FmtBlendedCogs,MATCH(F1931,FmtName,0))</f>
        <v/>
      </c>
      <c r="Z1931" s="47">
        <f>X1931-Y1931</f>
        <v/>
      </c>
    </row>
    <row r="1932">
      <c r="A1932" t="n">
        <v>23</v>
      </c>
      <c r="B1932" s="44">
        <f>FiscalStart+(A1932-1)*7</f>
        <v/>
      </c>
      <c r="C1932">
        <f>TEXT(B1932,"mmm yyyy")</f>
        <v/>
      </c>
      <c r="D1932">
        <f>"Q"&amp;(INT((A1932-1)/13)+1)</f>
        <v/>
      </c>
      <c r="E1932" t="inlineStr">
        <is>
          <t>Costco</t>
        </is>
      </c>
      <c r="F1932">
        <f>IFERROR(INDEX(ChFormat,MATCH(E1932,ChName,0)),"")</f>
        <v/>
      </c>
      <c r="G1932" t="inlineStr">
        <is>
          <t>NB</t>
        </is>
      </c>
      <c r="H1932">
        <f>IF(A1932&lt;=NWeeks,1,0)</f>
        <v/>
      </c>
      <c r="I1932">
        <f>INDEX(ChLaunch,MATCH(E1932,ChName,0))</f>
        <v/>
      </c>
      <c r="J1932">
        <f>INDEX(ChWeeksFull,MATCH(E1932,ChName,0))</f>
        <v/>
      </c>
      <c r="K1932">
        <f>INDEX(ChRamp,MATCH(E1932,ChName,0))</f>
        <v/>
      </c>
      <c r="L1932" s="45">
        <f>MIN(1,MAX(0,(A1932-I1932+1)*RampSpeed/J1932))</f>
        <v/>
      </c>
      <c r="M1932" s="45">
        <f>IF(A1932&lt;I1932,0,IF(K1932="S-curve",L1932*L1932*(3-2*L1932),L1932))</f>
        <v/>
      </c>
      <c r="N1932" s="45">
        <f>1+(INDEX(SeasonIdx,A1932)-1)*SeasonAmp</f>
        <v/>
      </c>
      <c r="O1932" s="45">
        <f>IFERROR(INDEX(PSPct,MATCH(E1932&amp;"|"&amp;G1932,PSKey,0)),0)</f>
        <v/>
      </c>
      <c r="P1932" s="46">
        <f>INDEX(ChDoorVel,MATCH(E1932,ChName,0))*CalibScalar*(1+VelocityUplift)</f>
        <v/>
      </c>
      <c r="Q1932" s="46" t="n">
        <v>0</v>
      </c>
      <c r="R1932" s="46">
        <f>P1932*O1932*M1932*N1932*H1932</f>
        <v/>
      </c>
      <c r="S1932" s="46">
        <f>R1932*INDEX(FmtCansPerCase,MATCH(F1932,FmtName,0))</f>
        <v/>
      </c>
      <c r="T1932" s="46">
        <f>S1932/INDEX(FmtCansPerPack,MATCH(F1932,FmtName,0))</f>
        <v/>
      </c>
      <c r="U1932" s="47">
        <f>INDEX(ChBaseCP,MATCH(E1932,ChName,0))*(1+INDEX(ProvMod,MATCH(G1932,ProvCode,0)))*(1+PriceIndex)</f>
        <v/>
      </c>
      <c r="V1932" s="47">
        <f>R1932*U1932*INDEX(FmtBlendedPriceIdx,MATCH(F1932,FmtName,0))</f>
        <v/>
      </c>
      <c r="W1932" s="47">
        <f>T1932*INDEX(ProvSRP,MATCH(G1932,ProvCode,0))*(1+PriceIndex)</f>
        <v/>
      </c>
      <c r="X1932" s="47">
        <f>IF(GrossBasis="Wholesale",V1932,W1932)</f>
        <v/>
      </c>
      <c r="Y1932" s="47">
        <f>R1932*INDEX(FmtBlendedCogs,MATCH(F1932,FmtName,0))</f>
        <v/>
      </c>
      <c r="Z1932" s="47">
        <f>X1932-Y1932</f>
        <v/>
      </c>
    </row>
    <row r="1933">
      <c r="A1933" t="n">
        <v>24</v>
      </c>
      <c r="B1933" s="44">
        <f>FiscalStart+(A1933-1)*7</f>
        <v/>
      </c>
      <c r="C1933">
        <f>TEXT(B1933,"mmm yyyy")</f>
        <v/>
      </c>
      <c r="D1933">
        <f>"Q"&amp;(INT((A1933-1)/13)+1)</f>
        <v/>
      </c>
      <c r="E1933" t="inlineStr">
        <is>
          <t>Costco</t>
        </is>
      </c>
      <c r="F1933">
        <f>IFERROR(INDEX(ChFormat,MATCH(E1933,ChName,0)),"")</f>
        <v/>
      </c>
      <c r="G1933" t="inlineStr">
        <is>
          <t>NB</t>
        </is>
      </c>
      <c r="H1933">
        <f>IF(A1933&lt;=NWeeks,1,0)</f>
        <v/>
      </c>
      <c r="I1933">
        <f>INDEX(ChLaunch,MATCH(E1933,ChName,0))</f>
        <v/>
      </c>
      <c r="J1933">
        <f>INDEX(ChWeeksFull,MATCH(E1933,ChName,0))</f>
        <v/>
      </c>
      <c r="K1933">
        <f>INDEX(ChRamp,MATCH(E1933,ChName,0))</f>
        <v/>
      </c>
      <c r="L1933" s="45">
        <f>MIN(1,MAX(0,(A1933-I1933+1)*RampSpeed/J1933))</f>
        <v/>
      </c>
      <c r="M1933" s="45">
        <f>IF(A1933&lt;I1933,0,IF(K1933="S-curve",L1933*L1933*(3-2*L1933),L1933))</f>
        <v/>
      </c>
      <c r="N1933" s="45">
        <f>1+(INDEX(SeasonIdx,A1933)-1)*SeasonAmp</f>
        <v/>
      </c>
      <c r="O1933" s="45">
        <f>IFERROR(INDEX(PSPct,MATCH(E1933&amp;"|"&amp;G1933,PSKey,0)),0)</f>
        <v/>
      </c>
      <c r="P1933" s="46">
        <f>INDEX(ChDoorVel,MATCH(E1933,ChName,0))*CalibScalar*(1+VelocityUplift)</f>
        <v/>
      </c>
      <c r="Q1933" s="46" t="n">
        <v>0</v>
      </c>
      <c r="R1933" s="46">
        <f>P1933*O1933*M1933*N1933*H1933</f>
        <v/>
      </c>
      <c r="S1933" s="46">
        <f>R1933*INDEX(FmtCansPerCase,MATCH(F1933,FmtName,0))</f>
        <v/>
      </c>
      <c r="T1933" s="46">
        <f>S1933/INDEX(FmtCansPerPack,MATCH(F1933,FmtName,0))</f>
        <v/>
      </c>
      <c r="U1933" s="47">
        <f>INDEX(ChBaseCP,MATCH(E1933,ChName,0))*(1+INDEX(ProvMod,MATCH(G1933,ProvCode,0)))*(1+PriceIndex)</f>
        <v/>
      </c>
      <c r="V1933" s="47">
        <f>R1933*U1933*INDEX(FmtBlendedPriceIdx,MATCH(F1933,FmtName,0))</f>
        <v/>
      </c>
      <c r="W1933" s="47">
        <f>T1933*INDEX(ProvSRP,MATCH(G1933,ProvCode,0))*(1+PriceIndex)</f>
        <v/>
      </c>
      <c r="X1933" s="47">
        <f>IF(GrossBasis="Wholesale",V1933,W1933)</f>
        <v/>
      </c>
      <c r="Y1933" s="47">
        <f>R1933*INDEX(FmtBlendedCogs,MATCH(F1933,FmtName,0))</f>
        <v/>
      </c>
      <c r="Z1933" s="47">
        <f>X1933-Y1933</f>
        <v/>
      </c>
    </row>
    <row r="1934">
      <c r="A1934" t="n">
        <v>25</v>
      </c>
      <c r="B1934" s="44">
        <f>FiscalStart+(A1934-1)*7</f>
        <v/>
      </c>
      <c r="C1934">
        <f>TEXT(B1934,"mmm yyyy")</f>
        <v/>
      </c>
      <c r="D1934">
        <f>"Q"&amp;(INT((A1934-1)/13)+1)</f>
        <v/>
      </c>
      <c r="E1934" t="inlineStr">
        <is>
          <t>Costco</t>
        </is>
      </c>
      <c r="F1934">
        <f>IFERROR(INDEX(ChFormat,MATCH(E1934,ChName,0)),"")</f>
        <v/>
      </c>
      <c r="G1934" t="inlineStr">
        <is>
          <t>NB</t>
        </is>
      </c>
      <c r="H1934">
        <f>IF(A1934&lt;=NWeeks,1,0)</f>
        <v/>
      </c>
      <c r="I1934">
        <f>INDEX(ChLaunch,MATCH(E1934,ChName,0))</f>
        <v/>
      </c>
      <c r="J1934">
        <f>INDEX(ChWeeksFull,MATCH(E1934,ChName,0))</f>
        <v/>
      </c>
      <c r="K1934">
        <f>INDEX(ChRamp,MATCH(E1934,ChName,0))</f>
        <v/>
      </c>
      <c r="L1934" s="45">
        <f>MIN(1,MAX(0,(A1934-I1934+1)*RampSpeed/J1934))</f>
        <v/>
      </c>
      <c r="M1934" s="45">
        <f>IF(A1934&lt;I1934,0,IF(K1934="S-curve",L1934*L1934*(3-2*L1934),L1934))</f>
        <v/>
      </c>
      <c r="N1934" s="45">
        <f>1+(INDEX(SeasonIdx,A1934)-1)*SeasonAmp</f>
        <v/>
      </c>
      <c r="O1934" s="45">
        <f>IFERROR(INDEX(PSPct,MATCH(E1934&amp;"|"&amp;G1934,PSKey,0)),0)</f>
        <v/>
      </c>
      <c r="P1934" s="46">
        <f>INDEX(ChDoorVel,MATCH(E1934,ChName,0))*CalibScalar*(1+VelocityUplift)</f>
        <v/>
      </c>
      <c r="Q1934" s="46" t="n">
        <v>0</v>
      </c>
      <c r="R1934" s="46">
        <f>P1934*O1934*M1934*N1934*H1934</f>
        <v/>
      </c>
      <c r="S1934" s="46">
        <f>R1934*INDEX(FmtCansPerCase,MATCH(F1934,FmtName,0))</f>
        <v/>
      </c>
      <c r="T1934" s="46">
        <f>S1934/INDEX(FmtCansPerPack,MATCH(F1934,FmtName,0))</f>
        <v/>
      </c>
      <c r="U1934" s="47">
        <f>INDEX(ChBaseCP,MATCH(E1934,ChName,0))*(1+INDEX(ProvMod,MATCH(G1934,ProvCode,0)))*(1+PriceIndex)</f>
        <v/>
      </c>
      <c r="V1934" s="47">
        <f>R1934*U1934*INDEX(FmtBlendedPriceIdx,MATCH(F1934,FmtName,0))</f>
        <v/>
      </c>
      <c r="W1934" s="47">
        <f>T1934*INDEX(ProvSRP,MATCH(G1934,ProvCode,0))*(1+PriceIndex)</f>
        <v/>
      </c>
      <c r="X1934" s="47">
        <f>IF(GrossBasis="Wholesale",V1934,W1934)</f>
        <v/>
      </c>
      <c r="Y1934" s="47">
        <f>R1934*INDEX(FmtBlendedCogs,MATCH(F1934,FmtName,0))</f>
        <v/>
      </c>
      <c r="Z1934" s="47">
        <f>X1934-Y1934</f>
        <v/>
      </c>
    </row>
    <row r="1935">
      <c r="A1935" t="n">
        <v>26</v>
      </c>
      <c r="B1935" s="44">
        <f>FiscalStart+(A1935-1)*7</f>
        <v/>
      </c>
      <c r="C1935">
        <f>TEXT(B1935,"mmm yyyy")</f>
        <v/>
      </c>
      <c r="D1935">
        <f>"Q"&amp;(INT((A1935-1)/13)+1)</f>
        <v/>
      </c>
      <c r="E1935" t="inlineStr">
        <is>
          <t>Costco</t>
        </is>
      </c>
      <c r="F1935">
        <f>IFERROR(INDEX(ChFormat,MATCH(E1935,ChName,0)),"")</f>
        <v/>
      </c>
      <c r="G1935" t="inlineStr">
        <is>
          <t>NB</t>
        </is>
      </c>
      <c r="H1935">
        <f>IF(A1935&lt;=NWeeks,1,0)</f>
        <v/>
      </c>
      <c r="I1935">
        <f>INDEX(ChLaunch,MATCH(E1935,ChName,0))</f>
        <v/>
      </c>
      <c r="J1935">
        <f>INDEX(ChWeeksFull,MATCH(E1935,ChName,0))</f>
        <v/>
      </c>
      <c r="K1935">
        <f>INDEX(ChRamp,MATCH(E1935,ChName,0))</f>
        <v/>
      </c>
      <c r="L1935" s="45">
        <f>MIN(1,MAX(0,(A1935-I1935+1)*RampSpeed/J1935))</f>
        <v/>
      </c>
      <c r="M1935" s="45">
        <f>IF(A1935&lt;I1935,0,IF(K1935="S-curve",L1935*L1935*(3-2*L1935),L1935))</f>
        <v/>
      </c>
      <c r="N1935" s="45">
        <f>1+(INDEX(SeasonIdx,A1935)-1)*SeasonAmp</f>
        <v/>
      </c>
      <c r="O1935" s="45">
        <f>IFERROR(INDEX(PSPct,MATCH(E1935&amp;"|"&amp;G1935,PSKey,0)),0)</f>
        <v/>
      </c>
      <c r="P1935" s="46">
        <f>INDEX(ChDoorVel,MATCH(E1935,ChName,0))*CalibScalar*(1+VelocityUplift)</f>
        <v/>
      </c>
      <c r="Q1935" s="46" t="n">
        <v>0</v>
      </c>
      <c r="R1935" s="46">
        <f>P1935*O1935*M1935*N1935*H1935</f>
        <v/>
      </c>
      <c r="S1935" s="46">
        <f>R1935*INDEX(FmtCansPerCase,MATCH(F1935,FmtName,0))</f>
        <v/>
      </c>
      <c r="T1935" s="46">
        <f>S1935/INDEX(FmtCansPerPack,MATCH(F1935,FmtName,0))</f>
        <v/>
      </c>
      <c r="U1935" s="47">
        <f>INDEX(ChBaseCP,MATCH(E1935,ChName,0))*(1+INDEX(ProvMod,MATCH(G1935,ProvCode,0)))*(1+PriceIndex)</f>
        <v/>
      </c>
      <c r="V1935" s="47">
        <f>R1935*U1935*INDEX(FmtBlendedPriceIdx,MATCH(F1935,FmtName,0))</f>
        <v/>
      </c>
      <c r="W1935" s="47">
        <f>T1935*INDEX(ProvSRP,MATCH(G1935,ProvCode,0))*(1+PriceIndex)</f>
        <v/>
      </c>
      <c r="X1935" s="47">
        <f>IF(GrossBasis="Wholesale",V1935,W1935)</f>
        <v/>
      </c>
      <c r="Y1935" s="47">
        <f>R1935*INDEX(FmtBlendedCogs,MATCH(F1935,FmtName,0))</f>
        <v/>
      </c>
      <c r="Z1935" s="47">
        <f>X1935-Y1935</f>
        <v/>
      </c>
    </row>
    <row r="1936">
      <c r="A1936" t="n">
        <v>27</v>
      </c>
      <c r="B1936" s="44">
        <f>FiscalStart+(A1936-1)*7</f>
        <v/>
      </c>
      <c r="C1936">
        <f>TEXT(B1936,"mmm yyyy")</f>
        <v/>
      </c>
      <c r="D1936">
        <f>"Q"&amp;(INT((A1936-1)/13)+1)</f>
        <v/>
      </c>
      <c r="E1936" t="inlineStr">
        <is>
          <t>Costco</t>
        </is>
      </c>
      <c r="F1936">
        <f>IFERROR(INDEX(ChFormat,MATCH(E1936,ChName,0)),"")</f>
        <v/>
      </c>
      <c r="G1936" t="inlineStr">
        <is>
          <t>NB</t>
        </is>
      </c>
      <c r="H1936">
        <f>IF(A1936&lt;=NWeeks,1,0)</f>
        <v/>
      </c>
      <c r="I1936">
        <f>INDEX(ChLaunch,MATCH(E1936,ChName,0))</f>
        <v/>
      </c>
      <c r="J1936">
        <f>INDEX(ChWeeksFull,MATCH(E1936,ChName,0))</f>
        <v/>
      </c>
      <c r="K1936">
        <f>INDEX(ChRamp,MATCH(E1936,ChName,0))</f>
        <v/>
      </c>
      <c r="L1936" s="45">
        <f>MIN(1,MAX(0,(A1936-I1936+1)*RampSpeed/J1936))</f>
        <v/>
      </c>
      <c r="M1936" s="45">
        <f>IF(A1936&lt;I1936,0,IF(K1936="S-curve",L1936*L1936*(3-2*L1936),L1936))</f>
        <v/>
      </c>
      <c r="N1936" s="45">
        <f>1+(INDEX(SeasonIdx,A1936)-1)*SeasonAmp</f>
        <v/>
      </c>
      <c r="O1936" s="45">
        <f>IFERROR(INDEX(PSPct,MATCH(E1936&amp;"|"&amp;G1936,PSKey,0)),0)</f>
        <v/>
      </c>
      <c r="P1936" s="46">
        <f>INDEX(ChDoorVel,MATCH(E1936,ChName,0))*CalibScalar*(1+VelocityUplift)</f>
        <v/>
      </c>
      <c r="Q1936" s="46" t="n">
        <v>0</v>
      </c>
      <c r="R1936" s="46">
        <f>P1936*O1936*M1936*N1936*H1936</f>
        <v/>
      </c>
      <c r="S1936" s="46">
        <f>R1936*INDEX(FmtCansPerCase,MATCH(F1936,FmtName,0))</f>
        <v/>
      </c>
      <c r="T1936" s="46">
        <f>S1936/INDEX(FmtCansPerPack,MATCH(F1936,FmtName,0))</f>
        <v/>
      </c>
      <c r="U1936" s="47">
        <f>INDEX(ChBaseCP,MATCH(E1936,ChName,0))*(1+INDEX(ProvMod,MATCH(G1936,ProvCode,0)))*(1+PriceIndex)</f>
        <v/>
      </c>
      <c r="V1936" s="47">
        <f>R1936*U1936*INDEX(FmtBlendedPriceIdx,MATCH(F1936,FmtName,0))</f>
        <v/>
      </c>
      <c r="W1936" s="47">
        <f>T1936*INDEX(ProvSRP,MATCH(G1936,ProvCode,0))*(1+PriceIndex)</f>
        <v/>
      </c>
      <c r="X1936" s="47">
        <f>IF(GrossBasis="Wholesale",V1936,W1936)</f>
        <v/>
      </c>
      <c r="Y1936" s="47">
        <f>R1936*INDEX(FmtBlendedCogs,MATCH(F1936,FmtName,0))</f>
        <v/>
      </c>
      <c r="Z1936" s="47">
        <f>X1936-Y1936</f>
        <v/>
      </c>
    </row>
    <row r="1937">
      <c r="A1937" t="n">
        <v>28</v>
      </c>
      <c r="B1937" s="44">
        <f>FiscalStart+(A1937-1)*7</f>
        <v/>
      </c>
      <c r="C1937">
        <f>TEXT(B1937,"mmm yyyy")</f>
        <v/>
      </c>
      <c r="D1937">
        <f>"Q"&amp;(INT((A1937-1)/13)+1)</f>
        <v/>
      </c>
      <c r="E1937" t="inlineStr">
        <is>
          <t>Costco</t>
        </is>
      </c>
      <c r="F1937">
        <f>IFERROR(INDEX(ChFormat,MATCH(E1937,ChName,0)),"")</f>
        <v/>
      </c>
      <c r="G1937" t="inlineStr">
        <is>
          <t>NB</t>
        </is>
      </c>
      <c r="H1937">
        <f>IF(A1937&lt;=NWeeks,1,0)</f>
        <v/>
      </c>
      <c r="I1937">
        <f>INDEX(ChLaunch,MATCH(E1937,ChName,0))</f>
        <v/>
      </c>
      <c r="J1937">
        <f>INDEX(ChWeeksFull,MATCH(E1937,ChName,0))</f>
        <v/>
      </c>
      <c r="K1937">
        <f>INDEX(ChRamp,MATCH(E1937,ChName,0))</f>
        <v/>
      </c>
      <c r="L1937" s="45">
        <f>MIN(1,MAX(0,(A1937-I1937+1)*RampSpeed/J1937))</f>
        <v/>
      </c>
      <c r="M1937" s="45">
        <f>IF(A1937&lt;I1937,0,IF(K1937="S-curve",L1937*L1937*(3-2*L1937),L1937))</f>
        <v/>
      </c>
      <c r="N1937" s="45">
        <f>1+(INDEX(SeasonIdx,A1937)-1)*SeasonAmp</f>
        <v/>
      </c>
      <c r="O1937" s="45">
        <f>IFERROR(INDEX(PSPct,MATCH(E1937&amp;"|"&amp;G1937,PSKey,0)),0)</f>
        <v/>
      </c>
      <c r="P1937" s="46">
        <f>INDEX(ChDoorVel,MATCH(E1937,ChName,0))*CalibScalar*(1+VelocityUplift)</f>
        <v/>
      </c>
      <c r="Q1937" s="46" t="n">
        <v>0</v>
      </c>
      <c r="R1937" s="46">
        <f>P1937*O1937*M1937*N1937*H1937</f>
        <v/>
      </c>
      <c r="S1937" s="46">
        <f>R1937*INDEX(FmtCansPerCase,MATCH(F1937,FmtName,0))</f>
        <v/>
      </c>
      <c r="T1937" s="46">
        <f>S1937/INDEX(FmtCansPerPack,MATCH(F1937,FmtName,0))</f>
        <v/>
      </c>
      <c r="U1937" s="47">
        <f>INDEX(ChBaseCP,MATCH(E1937,ChName,0))*(1+INDEX(ProvMod,MATCH(G1937,ProvCode,0)))*(1+PriceIndex)</f>
        <v/>
      </c>
      <c r="V1937" s="47">
        <f>R1937*U1937*INDEX(FmtBlendedPriceIdx,MATCH(F1937,FmtName,0))</f>
        <v/>
      </c>
      <c r="W1937" s="47">
        <f>T1937*INDEX(ProvSRP,MATCH(G1937,ProvCode,0))*(1+PriceIndex)</f>
        <v/>
      </c>
      <c r="X1937" s="47">
        <f>IF(GrossBasis="Wholesale",V1937,W1937)</f>
        <v/>
      </c>
      <c r="Y1937" s="47">
        <f>R1937*INDEX(FmtBlendedCogs,MATCH(F1937,FmtName,0))</f>
        <v/>
      </c>
      <c r="Z1937" s="47">
        <f>X1937-Y1937</f>
        <v/>
      </c>
    </row>
    <row r="1938">
      <c r="A1938" t="n">
        <v>29</v>
      </c>
      <c r="B1938" s="44">
        <f>FiscalStart+(A1938-1)*7</f>
        <v/>
      </c>
      <c r="C1938">
        <f>TEXT(B1938,"mmm yyyy")</f>
        <v/>
      </c>
      <c r="D1938">
        <f>"Q"&amp;(INT((A1938-1)/13)+1)</f>
        <v/>
      </c>
      <c r="E1938" t="inlineStr">
        <is>
          <t>Costco</t>
        </is>
      </c>
      <c r="F1938">
        <f>IFERROR(INDEX(ChFormat,MATCH(E1938,ChName,0)),"")</f>
        <v/>
      </c>
      <c r="G1938" t="inlineStr">
        <is>
          <t>NB</t>
        </is>
      </c>
      <c r="H1938">
        <f>IF(A1938&lt;=NWeeks,1,0)</f>
        <v/>
      </c>
      <c r="I1938">
        <f>INDEX(ChLaunch,MATCH(E1938,ChName,0))</f>
        <v/>
      </c>
      <c r="J1938">
        <f>INDEX(ChWeeksFull,MATCH(E1938,ChName,0))</f>
        <v/>
      </c>
      <c r="K1938">
        <f>INDEX(ChRamp,MATCH(E1938,ChName,0))</f>
        <v/>
      </c>
      <c r="L1938" s="45">
        <f>MIN(1,MAX(0,(A1938-I1938+1)*RampSpeed/J1938))</f>
        <v/>
      </c>
      <c r="M1938" s="45">
        <f>IF(A1938&lt;I1938,0,IF(K1938="S-curve",L1938*L1938*(3-2*L1938),L1938))</f>
        <v/>
      </c>
      <c r="N1938" s="45">
        <f>1+(INDEX(SeasonIdx,A1938)-1)*SeasonAmp</f>
        <v/>
      </c>
      <c r="O1938" s="45">
        <f>IFERROR(INDEX(PSPct,MATCH(E1938&amp;"|"&amp;G1938,PSKey,0)),0)</f>
        <v/>
      </c>
      <c r="P1938" s="46">
        <f>INDEX(ChDoorVel,MATCH(E1938,ChName,0))*CalibScalar*(1+VelocityUplift)</f>
        <v/>
      </c>
      <c r="Q1938" s="46" t="n">
        <v>0</v>
      </c>
      <c r="R1938" s="46">
        <f>P1938*O1938*M1938*N1938*H1938</f>
        <v/>
      </c>
      <c r="S1938" s="46">
        <f>R1938*INDEX(FmtCansPerCase,MATCH(F1938,FmtName,0))</f>
        <v/>
      </c>
      <c r="T1938" s="46">
        <f>S1938/INDEX(FmtCansPerPack,MATCH(F1938,FmtName,0))</f>
        <v/>
      </c>
      <c r="U1938" s="47">
        <f>INDEX(ChBaseCP,MATCH(E1938,ChName,0))*(1+INDEX(ProvMod,MATCH(G1938,ProvCode,0)))*(1+PriceIndex)</f>
        <v/>
      </c>
      <c r="V1938" s="47">
        <f>R1938*U1938*INDEX(FmtBlendedPriceIdx,MATCH(F1938,FmtName,0))</f>
        <v/>
      </c>
      <c r="W1938" s="47">
        <f>T1938*INDEX(ProvSRP,MATCH(G1938,ProvCode,0))*(1+PriceIndex)</f>
        <v/>
      </c>
      <c r="X1938" s="47">
        <f>IF(GrossBasis="Wholesale",V1938,W1938)</f>
        <v/>
      </c>
      <c r="Y1938" s="47">
        <f>R1938*INDEX(FmtBlendedCogs,MATCH(F1938,FmtName,0))</f>
        <v/>
      </c>
      <c r="Z1938" s="47">
        <f>X1938-Y1938</f>
        <v/>
      </c>
    </row>
    <row r="1939">
      <c r="A1939" t="n">
        <v>30</v>
      </c>
      <c r="B1939" s="44">
        <f>FiscalStart+(A1939-1)*7</f>
        <v/>
      </c>
      <c r="C1939">
        <f>TEXT(B1939,"mmm yyyy")</f>
        <v/>
      </c>
      <c r="D1939">
        <f>"Q"&amp;(INT((A1939-1)/13)+1)</f>
        <v/>
      </c>
      <c r="E1939" t="inlineStr">
        <is>
          <t>Costco</t>
        </is>
      </c>
      <c r="F1939">
        <f>IFERROR(INDEX(ChFormat,MATCH(E1939,ChName,0)),"")</f>
        <v/>
      </c>
      <c r="G1939" t="inlineStr">
        <is>
          <t>NB</t>
        </is>
      </c>
      <c r="H1939">
        <f>IF(A1939&lt;=NWeeks,1,0)</f>
        <v/>
      </c>
      <c r="I1939">
        <f>INDEX(ChLaunch,MATCH(E1939,ChName,0))</f>
        <v/>
      </c>
      <c r="J1939">
        <f>INDEX(ChWeeksFull,MATCH(E1939,ChName,0))</f>
        <v/>
      </c>
      <c r="K1939">
        <f>INDEX(ChRamp,MATCH(E1939,ChName,0))</f>
        <v/>
      </c>
      <c r="L1939" s="45">
        <f>MIN(1,MAX(0,(A1939-I1939+1)*RampSpeed/J1939))</f>
        <v/>
      </c>
      <c r="M1939" s="45">
        <f>IF(A1939&lt;I1939,0,IF(K1939="S-curve",L1939*L1939*(3-2*L1939),L1939))</f>
        <v/>
      </c>
      <c r="N1939" s="45">
        <f>1+(INDEX(SeasonIdx,A1939)-1)*SeasonAmp</f>
        <v/>
      </c>
      <c r="O1939" s="45">
        <f>IFERROR(INDEX(PSPct,MATCH(E1939&amp;"|"&amp;G1939,PSKey,0)),0)</f>
        <v/>
      </c>
      <c r="P1939" s="46">
        <f>INDEX(ChDoorVel,MATCH(E1939,ChName,0))*CalibScalar*(1+VelocityUplift)</f>
        <v/>
      </c>
      <c r="Q1939" s="46" t="n">
        <v>0</v>
      </c>
      <c r="R1939" s="46">
        <f>P1939*O1939*M1939*N1939*H1939</f>
        <v/>
      </c>
      <c r="S1939" s="46">
        <f>R1939*INDEX(FmtCansPerCase,MATCH(F1939,FmtName,0))</f>
        <v/>
      </c>
      <c r="T1939" s="46">
        <f>S1939/INDEX(FmtCansPerPack,MATCH(F1939,FmtName,0))</f>
        <v/>
      </c>
      <c r="U1939" s="47">
        <f>INDEX(ChBaseCP,MATCH(E1939,ChName,0))*(1+INDEX(ProvMod,MATCH(G1939,ProvCode,0)))*(1+PriceIndex)</f>
        <v/>
      </c>
      <c r="V1939" s="47">
        <f>R1939*U1939*INDEX(FmtBlendedPriceIdx,MATCH(F1939,FmtName,0))</f>
        <v/>
      </c>
      <c r="W1939" s="47">
        <f>T1939*INDEX(ProvSRP,MATCH(G1939,ProvCode,0))*(1+PriceIndex)</f>
        <v/>
      </c>
      <c r="X1939" s="47">
        <f>IF(GrossBasis="Wholesale",V1939,W1939)</f>
        <v/>
      </c>
      <c r="Y1939" s="47">
        <f>R1939*INDEX(FmtBlendedCogs,MATCH(F1939,FmtName,0))</f>
        <v/>
      </c>
      <c r="Z1939" s="47">
        <f>X1939-Y1939</f>
        <v/>
      </c>
    </row>
    <row r="1940">
      <c r="A1940" t="n">
        <v>31</v>
      </c>
      <c r="B1940" s="44">
        <f>FiscalStart+(A1940-1)*7</f>
        <v/>
      </c>
      <c r="C1940">
        <f>TEXT(B1940,"mmm yyyy")</f>
        <v/>
      </c>
      <c r="D1940">
        <f>"Q"&amp;(INT((A1940-1)/13)+1)</f>
        <v/>
      </c>
      <c r="E1940" t="inlineStr">
        <is>
          <t>Costco</t>
        </is>
      </c>
      <c r="F1940">
        <f>IFERROR(INDEX(ChFormat,MATCH(E1940,ChName,0)),"")</f>
        <v/>
      </c>
      <c r="G1940" t="inlineStr">
        <is>
          <t>NB</t>
        </is>
      </c>
      <c r="H1940">
        <f>IF(A1940&lt;=NWeeks,1,0)</f>
        <v/>
      </c>
      <c r="I1940">
        <f>INDEX(ChLaunch,MATCH(E1940,ChName,0))</f>
        <v/>
      </c>
      <c r="J1940">
        <f>INDEX(ChWeeksFull,MATCH(E1940,ChName,0))</f>
        <v/>
      </c>
      <c r="K1940">
        <f>INDEX(ChRamp,MATCH(E1940,ChName,0))</f>
        <v/>
      </c>
      <c r="L1940" s="45">
        <f>MIN(1,MAX(0,(A1940-I1940+1)*RampSpeed/J1940))</f>
        <v/>
      </c>
      <c r="M1940" s="45">
        <f>IF(A1940&lt;I1940,0,IF(K1940="S-curve",L1940*L1940*(3-2*L1940),L1940))</f>
        <v/>
      </c>
      <c r="N1940" s="45">
        <f>1+(INDEX(SeasonIdx,A1940)-1)*SeasonAmp</f>
        <v/>
      </c>
      <c r="O1940" s="45">
        <f>IFERROR(INDEX(PSPct,MATCH(E1940&amp;"|"&amp;G1940,PSKey,0)),0)</f>
        <v/>
      </c>
      <c r="P1940" s="46">
        <f>INDEX(ChDoorVel,MATCH(E1940,ChName,0))*CalibScalar*(1+VelocityUplift)</f>
        <v/>
      </c>
      <c r="Q1940" s="46" t="n">
        <v>0</v>
      </c>
      <c r="R1940" s="46">
        <f>P1940*O1940*M1940*N1940*H1940</f>
        <v/>
      </c>
      <c r="S1940" s="46">
        <f>R1940*INDEX(FmtCansPerCase,MATCH(F1940,FmtName,0))</f>
        <v/>
      </c>
      <c r="T1940" s="46">
        <f>S1940/INDEX(FmtCansPerPack,MATCH(F1940,FmtName,0))</f>
        <v/>
      </c>
      <c r="U1940" s="47">
        <f>INDEX(ChBaseCP,MATCH(E1940,ChName,0))*(1+INDEX(ProvMod,MATCH(G1940,ProvCode,0)))*(1+PriceIndex)</f>
        <v/>
      </c>
      <c r="V1940" s="47">
        <f>R1940*U1940*INDEX(FmtBlendedPriceIdx,MATCH(F1940,FmtName,0))</f>
        <v/>
      </c>
      <c r="W1940" s="47">
        <f>T1940*INDEX(ProvSRP,MATCH(G1940,ProvCode,0))*(1+PriceIndex)</f>
        <v/>
      </c>
      <c r="X1940" s="47">
        <f>IF(GrossBasis="Wholesale",V1940,W1940)</f>
        <v/>
      </c>
      <c r="Y1940" s="47">
        <f>R1940*INDEX(FmtBlendedCogs,MATCH(F1940,FmtName,0))</f>
        <v/>
      </c>
      <c r="Z1940" s="47">
        <f>X1940-Y1940</f>
        <v/>
      </c>
    </row>
    <row r="1941">
      <c r="A1941" t="n">
        <v>32</v>
      </c>
      <c r="B1941" s="44">
        <f>FiscalStart+(A1941-1)*7</f>
        <v/>
      </c>
      <c r="C1941">
        <f>TEXT(B1941,"mmm yyyy")</f>
        <v/>
      </c>
      <c r="D1941">
        <f>"Q"&amp;(INT((A1941-1)/13)+1)</f>
        <v/>
      </c>
      <c r="E1941" t="inlineStr">
        <is>
          <t>Costco</t>
        </is>
      </c>
      <c r="F1941">
        <f>IFERROR(INDEX(ChFormat,MATCH(E1941,ChName,0)),"")</f>
        <v/>
      </c>
      <c r="G1941" t="inlineStr">
        <is>
          <t>NB</t>
        </is>
      </c>
      <c r="H1941">
        <f>IF(A1941&lt;=NWeeks,1,0)</f>
        <v/>
      </c>
      <c r="I1941">
        <f>INDEX(ChLaunch,MATCH(E1941,ChName,0))</f>
        <v/>
      </c>
      <c r="J1941">
        <f>INDEX(ChWeeksFull,MATCH(E1941,ChName,0))</f>
        <v/>
      </c>
      <c r="K1941">
        <f>INDEX(ChRamp,MATCH(E1941,ChName,0))</f>
        <v/>
      </c>
      <c r="L1941" s="45">
        <f>MIN(1,MAX(0,(A1941-I1941+1)*RampSpeed/J1941))</f>
        <v/>
      </c>
      <c r="M1941" s="45">
        <f>IF(A1941&lt;I1941,0,IF(K1941="S-curve",L1941*L1941*(3-2*L1941),L1941))</f>
        <v/>
      </c>
      <c r="N1941" s="45">
        <f>1+(INDEX(SeasonIdx,A1941)-1)*SeasonAmp</f>
        <v/>
      </c>
      <c r="O1941" s="45">
        <f>IFERROR(INDEX(PSPct,MATCH(E1941&amp;"|"&amp;G1941,PSKey,0)),0)</f>
        <v/>
      </c>
      <c r="P1941" s="46">
        <f>INDEX(ChDoorVel,MATCH(E1941,ChName,0))*CalibScalar*(1+VelocityUplift)</f>
        <v/>
      </c>
      <c r="Q1941" s="46" t="n">
        <v>0</v>
      </c>
      <c r="R1941" s="46">
        <f>P1941*O1941*M1941*N1941*H1941</f>
        <v/>
      </c>
      <c r="S1941" s="46">
        <f>R1941*INDEX(FmtCansPerCase,MATCH(F1941,FmtName,0))</f>
        <v/>
      </c>
      <c r="T1941" s="46">
        <f>S1941/INDEX(FmtCansPerPack,MATCH(F1941,FmtName,0))</f>
        <v/>
      </c>
      <c r="U1941" s="47">
        <f>INDEX(ChBaseCP,MATCH(E1941,ChName,0))*(1+INDEX(ProvMod,MATCH(G1941,ProvCode,0)))*(1+PriceIndex)</f>
        <v/>
      </c>
      <c r="V1941" s="47">
        <f>R1941*U1941*INDEX(FmtBlendedPriceIdx,MATCH(F1941,FmtName,0))</f>
        <v/>
      </c>
      <c r="W1941" s="47">
        <f>T1941*INDEX(ProvSRP,MATCH(G1941,ProvCode,0))*(1+PriceIndex)</f>
        <v/>
      </c>
      <c r="X1941" s="47">
        <f>IF(GrossBasis="Wholesale",V1941,W1941)</f>
        <v/>
      </c>
      <c r="Y1941" s="47">
        <f>R1941*INDEX(FmtBlendedCogs,MATCH(F1941,FmtName,0))</f>
        <v/>
      </c>
      <c r="Z1941" s="47">
        <f>X1941-Y1941</f>
        <v/>
      </c>
    </row>
    <row r="1942">
      <c r="A1942" t="n">
        <v>33</v>
      </c>
      <c r="B1942" s="44">
        <f>FiscalStart+(A1942-1)*7</f>
        <v/>
      </c>
      <c r="C1942">
        <f>TEXT(B1942,"mmm yyyy")</f>
        <v/>
      </c>
      <c r="D1942">
        <f>"Q"&amp;(INT((A1942-1)/13)+1)</f>
        <v/>
      </c>
      <c r="E1942" t="inlineStr">
        <is>
          <t>Costco</t>
        </is>
      </c>
      <c r="F1942">
        <f>IFERROR(INDEX(ChFormat,MATCH(E1942,ChName,0)),"")</f>
        <v/>
      </c>
      <c r="G1942" t="inlineStr">
        <is>
          <t>NB</t>
        </is>
      </c>
      <c r="H1942">
        <f>IF(A1942&lt;=NWeeks,1,0)</f>
        <v/>
      </c>
      <c r="I1942">
        <f>INDEX(ChLaunch,MATCH(E1942,ChName,0))</f>
        <v/>
      </c>
      <c r="J1942">
        <f>INDEX(ChWeeksFull,MATCH(E1942,ChName,0))</f>
        <v/>
      </c>
      <c r="K1942">
        <f>INDEX(ChRamp,MATCH(E1942,ChName,0))</f>
        <v/>
      </c>
      <c r="L1942" s="45">
        <f>MIN(1,MAX(0,(A1942-I1942+1)*RampSpeed/J1942))</f>
        <v/>
      </c>
      <c r="M1942" s="45">
        <f>IF(A1942&lt;I1942,0,IF(K1942="S-curve",L1942*L1942*(3-2*L1942),L1942))</f>
        <v/>
      </c>
      <c r="N1942" s="45">
        <f>1+(INDEX(SeasonIdx,A1942)-1)*SeasonAmp</f>
        <v/>
      </c>
      <c r="O1942" s="45">
        <f>IFERROR(INDEX(PSPct,MATCH(E1942&amp;"|"&amp;G1942,PSKey,0)),0)</f>
        <v/>
      </c>
      <c r="P1942" s="46">
        <f>INDEX(ChDoorVel,MATCH(E1942,ChName,0))*CalibScalar*(1+VelocityUplift)</f>
        <v/>
      </c>
      <c r="Q1942" s="46" t="n">
        <v>0</v>
      </c>
      <c r="R1942" s="46">
        <f>P1942*O1942*M1942*N1942*H1942</f>
        <v/>
      </c>
      <c r="S1942" s="46">
        <f>R1942*INDEX(FmtCansPerCase,MATCH(F1942,FmtName,0))</f>
        <v/>
      </c>
      <c r="T1942" s="46">
        <f>S1942/INDEX(FmtCansPerPack,MATCH(F1942,FmtName,0))</f>
        <v/>
      </c>
      <c r="U1942" s="47">
        <f>INDEX(ChBaseCP,MATCH(E1942,ChName,0))*(1+INDEX(ProvMod,MATCH(G1942,ProvCode,0)))*(1+PriceIndex)</f>
        <v/>
      </c>
      <c r="V1942" s="47">
        <f>R1942*U1942*INDEX(FmtBlendedPriceIdx,MATCH(F1942,FmtName,0))</f>
        <v/>
      </c>
      <c r="W1942" s="47">
        <f>T1942*INDEX(ProvSRP,MATCH(G1942,ProvCode,0))*(1+PriceIndex)</f>
        <v/>
      </c>
      <c r="X1942" s="47">
        <f>IF(GrossBasis="Wholesale",V1942,W1942)</f>
        <v/>
      </c>
      <c r="Y1942" s="47">
        <f>R1942*INDEX(FmtBlendedCogs,MATCH(F1942,FmtName,0))</f>
        <v/>
      </c>
      <c r="Z1942" s="47">
        <f>X1942-Y1942</f>
        <v/>
      </c>
    </row>
    <row r="1943">
      <c r="A1943" t="n">
        <v>34</v>
      </c>
      <c r="B1943" s="44">
        <f>FiscalStart+(A1943-1)*7</f>
        <v/>
      </c>
      <c r="C1943">
        <f>TEXT(B1943,"mmm yyyy")</f>
        <v/>
      </c>
      <c r="D1943">
        <f>"Q"&amp;(INT((A1943-1)/13)+1)</f>
        <v/>
      </c>
      <c r="E1943" t="inlineStr">
        <is>
          <t>Costco</t>
        </is>
      </c>
      <c r="F1943">
        <f>IFERROR(INDEX(ChFormat,MATCH(E1943,ChName,0)),"")</f>
        <v/>
      </c>
      <c r="G1943" t="inlineStr">
        <is>
          <t>NB</t>
        </is>
      </c>
      <c r="H1943">
        <f>IF(A1943&lt;=NWeeks,1,0)</f>
        <v/>
      </c>
      <c r="I1943">
        <f>INDEX(ChLaunch,MATCH(E1943,ChName,0))</f>
        <v/>
      </c>
      <c r="J1943">
        <f>INDEX(ChWeeksFull,MATCH(E1943,ChName,0))</f>
        <v/>
      </c>
      <c r="K1943">
        <f>INDEX(ChRamp,MATCH(E1943,ChName,0))</f>
        <v/>
      </c>
      <c r="L1943" s="45">
        <f>MIN(1,MAX(0,(A1943-I1943+1)*RampSpeed/J1943))</f>
        <v/>
      </c>
      <c r="M1943" s="45">
        <f>IF(A1943&lt;I1943,0,IF(K1943="S-curve",L1943*L1943*(3-2*L1943),L1943))</f>
        <v/>
      </c>
      <c r="N1943" s="45">
        <f>1+(INDEX(SeasonIdx,A1943)-1)*SeasonAmp</f>
        <v/>
      </c>
      <c r="O1943" s="45">
        <f>IFERROR(INDEX(PSPct,MATCH(E1943&amp;"|"&amp;G1943,PSKey,0)),0)</f>
        <v/>
      </c>
      <c r="P1943" s="46">
        <f>INDEX(ChDoorVel,MATCH(E1943,ChName,0))*CalibScalar*(1+VelocityUplift)</f>
        <v/>
      </c>
      <c r="Q1943" s="46" t="n">
        <v>0</v>
      </c>
      <c r="R1943" s="46">
        <f>P1943*O1943*M1943*N1943*H1943</f>
        <v/>
      </c>
      <c r="S1943" s="46">
        <f>R1943*INDEX(FmtCansPerCase,MATCH(F1943,FmtName,0))</f>
        <v/>
      </c>
      <c r="T1943" s="46">
        <f>S1943/INDEX(FmtCansPerPack,MATCH(F1943,FmtName,0))</f>
        <v/>
      </c>
      <c r="U1943" s="47">
        <f>INDEX(ChBaseCP,MATCH(E1943,ChName,0))*(1+INDEX(ProvMod,MATCH(G1943,ProvCode,0)))*(1+PriceIndex)</f>
        <v/>
      </c>
      <c r="V1943" s="47">
        <f>R1943*U1943*INDEX(FmtBlendedPriceIdx,MATCH(F1943,FmtName,0))</f>
        <v/>
      </c>
      <c r="W1943" s="47">
        <f>T1943*INDEX(ProvSRP,MATCH(G1943,ProvCode,0))*(1+PriceIndex)</f>
        <v/>
      </c>
      <c r="X1943" s="47">
        <f>IF(GrossBasis="Wholesale",V1943,W1943)</f>
        <v/>
      </c>
      <c r="Y1943" s="47">
        <f>R1943*INDEX(FmtBlendedCogs,MATCH(F1943,FmtName,0))</f>
        <v/>
      </c>
      <c r="Z1943" s="47">
        <f>X1943-Y1943</f>
        <v/>
      </c>
    </row>
    <row r="1944">
      <c r="A1944" t="n">
        <v>35</v>
      </c>
      <c r="B1944" s="44">
        <f>FiscalStart+(A1944-1)*7</f>
        <v/>
      </c>
      <c r="C1944">
        <f>TEXT(B1944,"mmm yyyy")</f>
        <v/>
      </c>
      <c r="D1944">
        <f>"Q"&amp;(INT((A1944-1)/13)+1)</f>
        <v/>
      </c>
      <c r="E1944" t="inlineStr">
        <is>
          <t>Costco</t>
        </is>
      </c>
      <c r="F1944">
        <f>IFERROR(INDEX(ChFormat,MATCH(E1944,ChName,0)),"")</f>
        <v/>
      </c>
      <c r="G1944" t="inlineStr">
        <is>
          <t>NB</t>
        </is>
      </c>
      <c r="H1944">
        <f>IF(A1944&lt;=NWeeks,1,0)</f>
        <v/>
      </c>
      <c r="I1944">
        <f>INDEX(ChLaunch,MATCH(E1944,ChName,0))</f>
        <v/>
      </c>
      <c r="J1944">
        <f>INDEX(ChWeeksFull,MATCH(E1944,ChName,0))</f>
        <v/>
      </c>
      <c r="K1944">
        <f>INDEX(ChRamp,MATCH(E1944,ChName,0))</f>
        <v/>
      </c>
      <c r="L1944" s="45">
        <f>MIN(1,MAX(0,(A1944-I1944+1)*RampSpeed/J1944))</f>
        <v/>
      </c>
      <c r="M1944" s="45">
        <f>IF(A1944&lt;I1944,0,IF(K1944="S-curve",L1944*L1944*(3-2*L1944),L1944))</f>
        <v/>
      </c>
      <c r="N1944" s="45">
        <f>1+(INDEX(SeasonIdx,A1944)-1)*SeasonAmp</f>
        <v/>
      </c>
      <c r="O1944" s="45">
        <f>IFERROR(INDEX(PSPct,MATCH(E1944&amp;"|"&amp;G1944,PSKey,0)),0)</f>
        <v/>
      </c>
      <c r="P1944" s="46">
        <f>INDEX(ChDoorVel,MATCH(E1944,ChName,0))*CalibScalar*(1+VelocityUplift)</f>
        <v/>
      </c>
      <c r="Q1944" s="46" t="n">
        <v>0</v>
      </c>
      <c r="R1944" s="46">
        <f>P1944*O1944*M1944*N1944*H1944</f>
        <v/>
      </c>
      <c r="S1944" s="46">
        <f>R1944*INDEX(FmtCansPerCase,MATCH(F1944,FmtName,0))</f>
        <v/>
      </c>
      <c r="T1944" s="46">
        <f>S1944/INDEX(FmtCansPerPack,MATCH(F1944,FmtName,0))</f>
        <v/>
      </c>
      <c r="U1944" s="47">
        <f>INDEX(ChBaseCP,MATCH(E1944,ChName,0))*(1+INDEX(ProvMod,MATCH(G1944,ProvCode,0)))*(1+PriceIndex)</f>
        <v/>
      </c>
      <c r="V1944" s="47">
        <f>R1944*U1944*INDEX(FmtBlendedPriceIdx,MATCH(F1944,FmtName,0))</f>
        <v/>
      </c>
      <c r="W1944" s="47">
        <f>T1944*INDEX(ProvSRP,MATCH(G1944,ProvCode,0))*(1+PriceIndex)</f>
        <v/>
      </c>
      <c r="X1944" s="47">
        <f>IF(GrossBasis="Wholesale",V1944,W1944)</f>
        <v/>
      </c>
      <c r="Y1944" s="47">
        <f>R1944*INDEX(FmtBlendedCogs,MATCH(F1944,FmtName,0))</f>
        <v/>
      </c>
      <c r="Z1944" s="47">
        <f>X1944-Y1944</f>
        <v/>
      </c>
    </row>
    <row r="1945">
      <c r="A1945" t="n">
        <v>36</v>
      </c>
      <c r="B1945" s="44">
        <f>FiscalStart+(A1945-1)*7</f>
        <v/>
      </c>
      <c r="C1945">
        <f>TEXT(B1945,"mmm yyyy")</f>
        <v/>
      </c>
      <c r="D1945">
        <f>"Q"&amp;(INT((A1945-1)/13)+1)</f>
        <v/>
      </c>
      <c r="E1945" t="inlineStr">
        <is>
          <t>Costco</t>
        </is>
      </c>
      <c r="F1945">
        <f>IFERROR(INDEX(ChFormat,MATCH(E1945,ChName,0)),"")</f>
        <v/>
      </c>
      <c r="G1945" t="inlineStr">
        <is>
          <t>NB</t>
        </is>
      </c>
      <c r="H1945">
        <f>IF(A1945&lt;=NWeeks,1,0)</f>
        <v/>
      </c>
      <c r="I1945">
        <f>INDEX(ChLaunch,MATCH(E1945,ChName,0))</f>
        <v/>
      </c>
      <c r="J1945">
        <f>INDEX(ChWeeksFull,MATCH(E1945,ChName,0))</f>
        <v/>
      </c>
      <c r="K1945">
        <f>INDEX(ChRamp,MATCH(E1945,ChName,0))</f>
        <v/>
      </c>
      <c r="L1945" s="45">
        <f>MIN(1,MAX(0,(A1945-I1945+1)*RampSpeed/J1945))</f>
        <v/>
      </c>
      <c r="M1945" s="45">
        <f>IF(A1945&lt;I1945,0,IF(K1945="S-curve",L1945*L1945*(3-2*L1945),L1945))</f>
        <v/>
      </c>
      <c r="N1945" s="45">
        <f>1+(INDEX(SeasonIdx,A1945)-1)*SeasonAmp</f>
        <v/>
      </c>
      <c r="O1945" s="45">
        <f>IFERROR(INDEX(PSPct,MATCH(E1945&amp;"|"&amp;G1945,PSKey,0)),0)</f>
        <v/>
      </c>
      <c r="P1945" s="46">
        <f>INDEX(ChDoorVel,MATCH(E1945,ChName,0))*CalibScalar*(1+VelocityUplift)</f>
        <v/>
      </c>
      <c r="Q1945" s="46" t="n">
        <v>0</v>
      </c>
      <c r="R1945" s="46">
        <f>P1945*O1945*M1945*N1945*H1945</f>
        <v/>
      </c>
      <c r="S1945" s="46">
        <f>R1945*INDEX(FmtCansPerCase,MATCH(F1945,FmtName,0))</f>
        <v/>
      </c>
      <c r="T1945" s="46">
        <f>S1945/INDEX(FmtCansPerPack,MATCH(F1945,FmtName,0))</f>
        <v/>
      </c>
      <c r="U1945" s="47">
        <f>INDEX(ChBaseCP,MATCH(E1945,ChName,0))*(1+INDEX(ProvMod,MATCH(G1945,ProvCode,0)))*(1+PriceIndex)</f>
        <v/>
      </c>
      <c r="V1945" s="47">
        <f>R1945*U1945*INDEX(FmtBlendedPriceIdx,MATCH(F1945,FmtName,0))</f>
        <v/>
      </c>
      <c r="W1945" s="47">
        <f>T1945*INDEX(ProvSRP,MATCH(G1945,ProvCode,0))*(1+PriceIndex)</f>
        <v/>
      </c>
      <c r="X1945" s="47">
        <f>IF(GrossBasis="Wholesale",V1945,W1945)</f>
        <v/>
      </c>
      <c r="Y1945" s="47">
        <f>R1945*INDEX(FmtBlendedCogs,MATCH(F1945,FmtName,0))</f>
        <v/>
      </c>
      <c r="Z1945" s="47">
        <f>X1945-Y1945</f>
        <v/>
      </c>
    </row>
    <row r="1946">
      <c r="A1946" t="n">
        <v>37</v>
      </c>
      <c r="B1946" s="44">
        <f>FiscalStart+(A1946-1)*7</f>
        <v/>
      </c>
      <c r="C1946">
        <f>TEXT(B1946,"mmm yyyy")</f>
        <v/>
      </c>
      <c r="D1946">
        <f>"Q"&amp;(INT((A1946-1)/13)+1)</f>
        <v/>
      </c>
      <c r="E1946" t="inlineStr">
        <is>
          <t>Costco</t>
        </is>
      </c>
      <c r="F1946">
        <f>IFERROR(INDEX(ChFormat,MATCH(E1946,ChName,0)),"")</f>
        <v/>
      </c>
      <c r="G1946" t="inlineStr">
        <is>
          <t>NB</t>
        </is>
      </c>
      <c r="H1946">
        <f>IF(A1946&lt;=NWeeks,1,0)</f>
        <v/>
      </c>
      <c r="I1946">
        <f>INDEX(ChLaunch,MATCH(E1946,ChName,0))</f>
        <v/>
      </c>
      <c r="J1946">
        <f>INDEX(ChWeeksFull,MATCH(E1946,ChName,0))</f>
        <v/>
      </c>
      <c r="K1946">
        <f>INDEX(ChRamp,MATCH(E1946,ChName,0))</f>
        <v/>
      </c>
      <c r="L1946" s="45">
        <f>MIN(1,MAX(0,(A1946-I1946+1)*RampSpeed/J1946))</f>
        <v/>
      </c>
      <c r="M1946" s="45">
        <f>IF(A1946&lt;I1946,0,IF(K1946="S-curve",L1946*L1946*(3-2*L1946),L1946))</f>
        <v/>
      </c>
      <c r="N1946" s="45">
        <f>1+(INDEX(SeasonIdx,A1946)-1)*SeasonAmp</f>
        <v/>
      </c>
      <c r="O1946" s="45">
        <f>IFERROR(INDEX(PSPct,MATCH(E1946&amp;"|"&amp;G1946,PSKey,0)),0)</f>
        <v/>
      </c>
      <c r="P1946" s="46">
        <f>INDEX(ChDoorVel,MATCH(E1946,ChName,0))*CalibScalar*(1+VelocityUplift)</f>
        <v/>
      </c>
      <c r="Q1946" s="46" t="n">
        <v>0</v>
      </c>
      <c r="R1946" s="46">
        <f>P1946*O1946*M1946*N1946*H1946</f>
        <v/>
      </c>
      <c r="S1946" s="46">
        <f>R1946*INDEX(FmtCansPerCase,MATCH(F1946,FmtName,0))</f>
        <v/>
      </c>
      <c r="T1946" s="46">
        <f>S1946/INDEX(FmtCansPerPack,MATCH(F1946,FmtName,0))</f>
        <v/>
      </c>
      <c r="U1946" s="47">
        <f>INDEX(ChBaseCP,MATCH(E1946,ChName,0))*(1+INDEX(ProvMod,MATCH(G1946,ProvCode,0)))*(1+PriceIndex)</f>
        <v/>
      </c>
      <c r="V1946" s="47">
        <f>R1946*U1946*INDEX(FmtBlendedPriceIdx,MATCH(F1946,FmtName,0))</f>
        <v/>
      </c>
      <c r="W1946" s="47">
        <f>T1946*INDEX(ProvSRP,MATCH(G1946,ProvCode,0))*(1+PriceIndex)</f>
        <v/>
      </c>
      <c r="X1946" s="47">
        <f>IF(GrossBasis="Wholesale",V1946,W1946)</f>
        <v/>
      </c>
      <c r="Y1946" s="47">
        <f>R1946*INDEX(FmtBlendedCogs,MATCH(F1946,FmtName,0))</f>
        <v/>
      </c>
      <c r="Z1946" s="47">
        <f>X1946-Y1946</f>
        <v/>
      </c>
    </row>
    <row r="1947">
      <c r="A1947" t="n">
        <v>38</v>
      </c>
      <c r="B1947" s="44">
        <f>FiscalStart+(A1947-1)*7</f>
        <v/>
      </c>
      <c r="C1947">
        <f>TEXT(B1947,"mmm yyyy")</f>
        <v/>
      </c>
      <c r="D1947">
        <f>"Q"&amp;(INT((A1947-1)/13)+1)</f>
        <v/>
      </c>
      <c r="E1947" t="inlineStr">
        <is>
          <t>Costco</t>
        </is>
      </c>
      <c r="F1947">
        <f>IFERROR(INDEX(ChFormat,MATCH(E1947,ChName,0)),"")</f>
        <v/>
      </c>
      <c r="G1947" t="inlineStr">
        <is>
          <t>NB</t>
        </is>
      </c>
      <c r="H1947">
        <f>IF(A1947&lt;=NWeeks,1,0)</f>
        <v/>
      </c>
      <c r="I1947">
        <f>INDEX(ChLaunch,MATCH(E1947,ChName,0))</f>
        <v/>
      </c>
      <c r="J1947">
        <f>INDEX(ChWeeksFull,MATCH(E1947,ChName,0))</f>
        <v/>
      </c>
      <c r="K1947">
        <f>INDEX(ChRamp,MATCH(E1947,ChName,0))</f>
        <v/>
      </c>
      <c r="L1947" s="45">
        <f>MIN(1,MAX(0,(A1947-I1947+1)*RampSpeed/J1947))</f>
        <v/>
      </c>
      <c r="M1947" s="45">
        <f>IF(A1947&lt;I1947,0,IF(K1947="S-curve",L1947*L1947*(3-2*L1947),L1947))</f>
        <v/>
      </c>
      <c r="N1947" s="45">
        <f>1+(INDEX(SeasonIdx,A1947)-1)*SeasonAmp</f>
        <v/>
      </c>
      <c r="O1947" s="45">
        <f>IFERROR(INDEX(PSPct,MATCH(E1947&amp;"|"&amp;G1947,PSKey,0)),0)</f>
        <v/>
      </c>
      <c r="P1947" s="46">
        <f>INDEX(ChDoorVel,MATCH(E1947,ChName,0))*CalibScalar*(1+VelocityUplift)</f>
        <v/>
      </c>
      <c r="Q1947" s="46" t="n">
        <v>0</v>
      </c>
      <c r="R1947" s="46">
        <f>P1947*O1947*M1947*N1947*H1947</f>
        <v/>
      </c>
      <c r="S1947" s="46">
        <f>R1947*INDEX(FmtCansPerCase,MATCH(F1947,FmtName,0))</f>
        <v/>
      </c>
      <c r="T1947" s="46">
        <f>S1947/INDEX(FmtCansPerPack,MATCH(F1947,FmtName,0))</f>
        <v/>
      </c>
      <c r="U1947" s="47">
        <f>INDEX(ChBaseCP,MATCH(E1947,ChName,0))*(1+INDEX(ProvMod,MATCH(G1947,ProvCode,0)))*(1+PriceIndex)</f>
        <v/>
      </c>
      <c r="V1947" s="47">
        <f>R1947*U1947*INDEX(FmtBlendedPriceIdx,MATCH(F1947,FmtName,0))</f>
        <v/>
      </c>
      <c r="W1947" s="47">
        <f>T1947*INDEX(ProvSRP,MATCH(G1947,ProvCode,0))*(1+PriceIndex)</f>
        <v/>
      </c>
      <c r="X1947" s="47">
        <f>IF(GrossBasis="Wholesale",V1947,W1947)</f>
        <v/>
      </c>
      <c r="Y1947" s="47">
        <f>R1947*INDEX(FmtBlendedCogs,MATCH(F1947,FmtName,0))</f>
        <v/>
      </c>
      <c r="Z1947" s="47">
        <f>X1947-Y1947</f>
        <v/>
      </c>
    </row>
    <row r="1948">
      <c r="A1948" t="n">
        <v>39</v>
      </c>
      <c r="B1948" s="44">
        <f>FiscalStart+(A1948-1)*7</f>
        <v/>
      </c>
      <c r="C1948">
        <f>TEXT(B1948,"mmm yyyy")</f>
        <v/>
      </c>
      <c r="D1948">
        <f>"Q"&amp;(INT((A1948-1)/13)+1)</f>
        <v/>
      </c>
      <c r="E1948" t="inlineStr">
        <is>
          <t>Costco</t>
        </is>
      </c>
      <c r="F1948">
        <f>IFERROR(INDEX(ChFormat,MATCH(E1948,ChName,0)),"")</f>
        <v/>
      </c>
      <c r="G1948" t="inlineStr">
        <is>
          <t>NB</t>
        </is>
      </c>
      <c r="H1948">
        <f>IF(A1948&lt;=NWeeks,1,0)</f>
        <v/>
      </c>
      <c r="I1948">
        <f>INDEX(ChLaunch,MATCH(E1948,ChName,0))</f>
        <v/>
      </c>
      <c r="J1948">
        <f>INDEX(ChWeeksFull,MATCH(E1948,ChName,0))</f>
        <v/>
      </c>
      <c r="K1948">
        <f>INDEX(ChRamp,MATCH(E1948,ChName,0))</f>
        <v/>
      </c>
      <c r="L1948" s="45">
        <f>MIN(1,MAX(0,(A1948-I1948+1)*RampSpeed/J1948))</f>
        <v/>
      </c>
      <c r="M1948" s="45">
        <f>IF(A1948&lt;I1948,0,IF(K1948="S-curve",L1948*L1948*(3-2*L1948),L1948))</f>
        <v/>
      </c>
      <c r="N1948" s="45">
        <f>1+(INDEX(SeasonIdx,A1948)-1)*SeasonAmp</f>
        <v/>
      </c>
      <c r="O1948" s="45">
        <f>IFERROR(INDEX(PSPct,MATCH(E1948&amp;"|"&amp;G1948,PSKey,0)),0)</f>
        <v/>
      </c>
      <c r="P1948" s="46">
        <f>INDEX(ChDoorVel,MATCH(E1948,ChName,0))*CalibScalar*(1+VelocityUplift)</f>
        <v/>
      </c>
      <c r="Q1948" s="46" t="n">
        <v>0</v>
      </c>
      <c r="R1948" s="46">
        <f>P1948*O1948*M1948*N1948*H1948</f>
        <v/>
      </c>
      <c r="S1948" s="46">
        <f>R1948*INDEX(FmtCansPerCase,MATCH(F1948,FmtName,0))</f>
        <v/>
      </c>
      <c r="T1948" s="46">
        <f>S1948/INDEX(FmtCansPerPack,MATCH(F1948,FmtName,0))</f>
        <v/>
      </c>
      <c r="U1948" s="47">
        <f>INDEX(ChBaseCP,MATCH(E1948,ChName,0))*(1+INDEX(ProvMod,MATCH(G1948,ProvCode,0)))*(1+PriceIndex)</f>
        <v/>
      </c>
      <c r="V1948" s="47">
        <f>R1948*U1948*INDEX(FmtBlendedPriceIdx,MATCH(F1948,FmtName,0))</f>
        <v/>
      </c>
      <c r="W1948" s="47">
        <f>T1948*INDEX(ProvSRP,MATCH(G1948,ProvCode,0))*(1+PriceIndex)</f>
        <v/>
      </c>
      <c r="X1948" s="47">
        <f>IF(GrossBasis="Wholesale",V1948,W1948)</f>
        <v/>
      </c>
      <c r="Y1948" s="47">
        <f>R1948*INDEX(FmtBlendedCogs,MATCH(F1948,FmtName,0))</f>
        <v/>
      </c>
      <c r="Z1948" s="47">
        <f>X1948-Y1948</f>
        <v/>
      </c>
    </row>
    <row r="1949">
      <c r="A1949" t="n">
        <v>40</v>
      </c>
      <c r="B1949" s="44">
        <f>FiscalStart+(A1949-1)*7</f>
        <v/>
      </c>
      <c r="C1949">
        <f>TEXT(B1949,"mmm yyyy")</f>
        <v/>
      </c>
      <c r="D1949">
        <f>"Q"&amp;(INT((A1949-1)/13)+1)</f>
        <v/>
      </c>
      <c r="E1949" t="inlineStr">
        <is>
          <t>Costco</t>
        </is>
      </c>
      <c r="F1949">
        <f>IFERROR(INDEX(ChFormat,MATCH(E1949,ChName,0)),"")</f>
        <v/>
      </c>
      <c r="G1949" t="inlineStr">
        <is>
          <t>NB</t>
        </is>
      </c>
      <c r="H1949">
        <f>IF(A1949&lt;=NWeeks,1,0)</f>
        <v/>
      </c>
      <c r="I1949">
        <f>INDEX(ChLaunch,MATCH(E1949,ChName,0))</f>
        <v/>
      </c>
      <c r="J1949">
        <f>INDEX(ChWeeksFull,MATCH(E1949,ChName,0))</f>
        <v/>
      </c>
      <c r="K1949">
        <f>INDEX(ChRamp,MATCH(E1949,ChName,0))</f>
        <v/>
      </c>
      <c r="L1949" s="45">
        <f>MIN(1,MAX(0,(A1949-I1949+1)*RampSpeed/J1949))</f>
        <v/>
      </c>
      <c r="M1949" s="45">
        <f>IF(A1949&lt;I1949,0,IF(K1949="S-curve",L1949*L1949*(3-2*L1949),L1949))</f>
        <v/>
      </c>
      <c r="N1949" s="45">
        <f>1+(INDEX(SeasonIdx,A1949)-1)*SeasonAmp</f>
        <v/>
      </c>
      <c r="O1949" s="45">
        <f>IFERROR(INDEX(PSPct,MATCH(E1949&amp;"|"&amp;G1949,PSKey,0)),0)</f>
        <v/>
      </c>
      <c r="P1949" s="46">
        <f>INDEX(ChDoorVel,MATCH(E1949,ChName,0))*CalibScalar*(1+VelocityUplift)</f>
        <v/>
      </c>
      <c r="Q1949" s="46" t="n">
        <v>0</v>
      </c>
      <c r="R1949" s="46">
        <f>P1949*O1949*M1949*N1949*H1949</f>
        <v/>
      </c>
      <c r="S1949" s="46">
        <f>R1949*INDEX(FmtCansPerCase,MATCH(F1949,FmtName,0))</f>
        <v/>
      </c>
      <c r="T1949" s="46">
        <f>S1949/INDEX(FmtCansPerPack,MATCH(F1949,FmtName,0))</f>
        <v/>
      </c>
      <c r="U1949" s="47">
        <f>INDEX(ChBaseCP,MATCH(E1949,ChName,0))*(1+INDEX(ProvMod,MATCH(G1949,ProvCode,0)))*(1+PriceIndex)</f>
        <v/>
      </c>
      <c r="V1949" s="47">
        <f>R1949*U1949*INDEX(FmtBlendedPriceIdx,MATCH(F1949,FmtName,0))</f>
        <v/>
      </c>
      <c r="W1949" s="47">
        <f>T1949*INDEX(ProvSRP,MATCH(G1949,ProvCode,0))*(1+PriceIndex)</f>
        <v/>
      </c>
      <c r="X1949" s="47">
        <f>IF(GrossBasis="Wholesale",V1949,W1949)</f>
        <v/>
      </c>
      <c r="Y1949" s="47">
        <f>R1949*INDEX(FmtBlendedCogs,MATCH(F1949,FmtName,0))</f>
        <v/>
      </c>
      <c r="Z1949" s="47">
        <f>X1949-Y1949</f>
        <v/>
      </c>
    </row>
    <row r="1950">
      <c r="A1950" t="n">
        <v>41</v>
      </c>
      <c r="B1950" s="44">
        <f>FiscalStart+(A1950-1)*7</f>
        <v/>
      </c>
      <c r="C1950">
        <f>TEXT(B1950,"mmm yyyy")</f>
        <v/>
      </c>
      <c r="D1950">
        <f>"Q"&amp;(INT((A1950-1)/13)+1)</f>
        <v/>
      </c>
      <c r="E1950" t="inlineStr">
        <is>
          <t>Costco</t>
        </is>
      </c>
      <c r="F1950">
        <f>IFERROR(INDEX(ChFormat,MATCH(E1950,ChName,0)),"")</f>
        <v/>
      </c>
      <c r="G1950" t="inlineStr">
        <is>
          <t>NB</t>
        </is>
      </c>
      <c r="H1950">
        <f>IF(A1950&lt;=NWeeks,1,0)</f>
        <v/>
      </c>
      <c r="I1950">
        <f>INDEX(ChLaunch,MATCH(E1950,ChName,0))</f>
        <v/>
      </c>
      <c r="J1950">
        <f>INDEX(ChWeeksFull,MATCH(E1950,ChName,0))</f>
        <v/>
      </c>
      <c r="K1950">
        <f>INDEX(ChRamp,MATCH(E1950,ChName,0))</f>
        <v/>
      </c>
      <c r="L1950" s="45">
        <f>MIN(1,MAX(0,(A1950-I1950+1)*RampSpeed/J1950))</f>
        <v/>
      </c>
      <c r="M1950" s="45">
        <f>IF(A1950&lt;I1950,0,IF(K1950="S-curve",L1950*L1950*(3-2*L1950),L1950))</f>
        <v/>
      </c>
      <c r="N1950" s="45">
        <f>1+(INDEX(SeasonIdx,A1950)-1)*SeasonAmp</f>
        <v/>
      </c>
      <c r="O1950" s="45">
        <f>IFERROR(INDEX(PSPct,MATCH(E1950&amp;"|"&amp;G1950,PSKey,0)),0)</f>
        <v/>
      </c>
      <c r="P1950" s="46">
        <f>INDEX(ChDoorVel,MATCH(E1950,ChName,0))*CalibScalar*(1+VelocityUplift)</f>
        <v/>
      </c>
      <c r="Q1950" s="46" t="n">
        <v>0</v>
      </c>
      <c r="R1950" s="46">
        <f>P1950*O1950*M1950*N1950*H1950</f>
        <v/>
      </c>
      <c r="S1950" s="46">
        <f>R1950*INDEX(FmtCansPerCase,MATCH(F1950,FmtName,0))</f>
        <v/>
      </c>
      <c r="T1950" s="46">
        <f>S1950/INDEX(FmtCansPerPack,MATCH(F1950,FmtName,0))</f>
        <v/>
      </c>
      <c r="U1950" s="47">
        <f>INDEX(ChBaseCP,MATCH(E1950,ChName,0))*(1+INDEX(ProvMod,MATCH(G1950,ProvCode,0)))*(1+PriceIndex)</f>
        <v/>
      </c>
      <c r="V1950" s="47">
        <f>R1950*U1950*INDEX(FmtBlendedPriceIdx,MATCH(F1950,FmtName,0))</f>
        <v/>
      </c>
      <c r="W1950" s="47">
        <f>T1950*INDEX(ProvSRP,MATCH(G1950,ProvCode,0))*(1+PriceIndex)</f>
        <v/>
      </c>
      <c r="X1950" s="47">
        <f>IF(GrossBasis="Wholesale",V1950,W1950)</f>
        <v/>
      </c>
      <c r="Y1950" s="47">
        <f>R1950*INDEX(FmtBlendedCogs,MATCH(F1950,FmtName,0))</f>
        <v/>
      </c>
      <c r="Z1950" s="47">
        <f>X1950-Y1950</f>
        <v/>
      </c>
    </row>
    <row r="1951">
      <c r="A1951" t="n">
        <v>42</v>
      </c>
      <c r="B1951" s="44">
        <f>FiscalStart+(A1951-1)*7</f>
        <v/>
      </c>
      <c r="C1951">
        <f>TEXT(B1951,"mmm yyyy")</f>
        <v/>
      </c>
      <c r="D1951">
        <f>"Q"&amp;(INT((A1951-1)/13)+1)</f>
        <v/>
      </c>
      <c r="E1951" t="inlineStr">
        <is>
          <t>Costco</t>
        </is>
      </c>
      <c r="F1951">
        <f>IFERROR(INDEX(ChFormat,MATCH(E1951,ChName,0)),"")</f>
        <v/>
      </c>
      <c r="G1951" t="inlineStr">
        <is>
          <t>NB</t>
        </is>
      </c>
      <c r="H1951">
        <f>IF(A1951&lt;=NWeeks,1,0)</f>
        <v/>
      </c>
      <c r="I1951">
        <f>INDEX(ChLaunch,MATCH(E1951,ChName,0))</f>
        <v/>
      </c>
      <c r="J1951">
        <f>INDEX(ChWeeksFull,MATCH(E1951,ChName,0))</f>
        <v/>
      </c>
      <c r="K1951">
        <f>INDEX(ChRamp,MATCH(E1951,ChName,0))</f>
        <v/>
      </c>
      <c r="L1951" s="45">
        <f>MIN(1,MAX(0,(A1951-I1951+1)*RampSpeed/J1951))</f>
        <v/>
      </c>
      <c r="M1951" s="45">
        <f>IF(A1951&lt;I1951,0,IF(K1951="S-curve",L1951*L1951*(3-2*L1951),L1951))</f>
        <v/>
      </c>
      <c r="N1951" s="45">
        <f>1+(INDEX(SeasonIdx,A1951)-1)*SeasonAmp</f>
        <v/>
      </c>
      <c r="O1951" s="45">
        <f>IFERROR(INDEX(PSPct,MATCH(E1951&amp;"|"&amp;G1951,PSKey,0)),0)</f>
        <v/>
      </c>
      <c r="P1951" s="46">
        <f>INDEX(ChDoorVel,MATCH(E1951,ChName,0))*CalibScalar*(1+VelocityUplift)</f>
        <v/>
      </c>
      <c r="Q1951" s="46" t="n">
        <v>0</v>
      </c>
      <c r="R1951" s="46">
        <f>P1951*O1951*M1951*N1951*H1951</f>
        <v/>
      </c>
      <c r="S1951" s="46">
        <f>R1951*INDEX(FmtCansPerCase,MATCH(F1951,FmtName,0))</f>
        <v/>
      </c>
      <c r="T1951" s="46">
        <f>S1951/INDEX(FmtCansPerPack,MATCH(F1951,FmtName,0))</f>
        <v/>
      </c>
      <c r="U1951" s="47">
        <f>INDEX(ChBaseCP,MATCH(E1951,ChName,0))*(1+INDEX(ProvMod,MATCH(G1951,ProvCode,0)))*(1+PriceIndex)</f>
        <v/>
      </c>
      <c r="V1951" s="47">
        <f>R1951*U1951*INDEX(FmtBlendedPriceIdx,MATCH(F1951,FmtName,0))</f>
        <v/>
      </c>
      <c r="W1951" s="47">
        <f>T1951*INDEX(ProvSRP,MATCH(G1951,ProvCode,0))*(1+PriceIndex)</f>
        <v/>
      </c>
      <c r="X1951" s="47">
        <f>IF(GrossBasis="Wholesale",V1951,W1951)</f>
        <v/>
      </c>
      <c r="Y1951" s="47">
        <f>R1951*INDEX(FmtBlendedCogs,MATCH(F1951,FmtName,0))</f>
        <v/>
      </c>
      <c r="Z1951" s="47">
        <f>X1951-Y1951</f>
        <v/>
      </c>
    </row>
    <row r="1952">
      <c r="A1952" t="n">
        <v>43</v>
      </c>
      <c r="B1952" s="44">
        <f>FiscalStart+(A1952-1)*7</f>
        <v/>
      </c>
      <c r="C1952">
        <f>TEXT(B1952,"mmm yyyy")</f>
        <v/>
      </c>
      <c r="D1952">
        <f>"Q"&amp;(INT((A1952-1)/13)+1)</f>
        <v/>
      </c>
      <c r="E1952" t="inlineStr">
        <is>
          <t>Costco</t>
        </is>
      </c>
      <c r="F1952">
        <f>IFERROR(INDEX(ChFormat,MATCH(E1952,ChName,0)),"")</f>
        <v/>
      </c>
      <c r="G1952" t="inlineStr">
        <is>
          <t>NB</t>
        </is>
      </c>
      <c r="H1952">
        <f>IF(A1952&lt;=NWeeks,1,0)</f>
        <v/>
      </c>
      <c r="I1952">
        <f>INDEX(ChLaunch,MATCH(E1952,ChName,0))</f>
        <v/>
      </c>
      <c r="J1952">
        <f>INDEX(ChWeeksFull,MATCH(E1952,ChName,0))</f>
        <v/>
      </c>
      <c r="K1952">
        <f>INDEX(ChRamp,MATCH(E1952,ChName,0))</f>
        <v/>
      </c>
      <c r="L1952" s="45">
        <f>MIN(1,MAX(0,(A1952-I1952+1)*RampSpeed/J1952))</f>
        <v/>
      </c>
      <c r="M1952" s="45">
        <f>IF(A1952&lt;I1952,0,IF(K1952="S-curve",L1952*L1952*(3-2*L1952),L1952))</f>
        <v/>
      </c>
      <c r="N1952" s="45">
        <f>1+(INDEX(SeasonIdx,A1952)-1)*SeasonAmp</f>
        <v/>
      </c>
      <c r="O1952" s="45">
        <f>IFERROR(INDEX(PSPct,MATCH(E1952&amp;"|"&amp;G1952,PSKey,0)),0)</f>
        <v/>
      </c>
      <c r="P1952" s="46">
        <f>INDEX(ChDoorVel,MATCH(E1952,ChName,0))*CalibScalar*(1+VelocityUplift)</f>
        <v/>
      </c>
      <c r="Q1952" s="46" t="n">
        <v>0</v>
      </c>
      <c r="R1952" s="46">
        <f>P1952*O1952*M1952*N1952*H1952</f>
        <v/>
      </c>
      <c r="S1952" s="46">
        <f>R1952*INDEX(FmtCansPerCase,MATCH(F1952,FmtName,0))</f>
        <v/>
      </c>
      <c r="T1952" s="46">
        <f>S1952/INDEX(FmtCansPerPack,MATCH(F1952,FmtName,0))</f>
        <v/>
      </c>
      <c r="U1952" s="47">
        <f>INDEX(ChBaseCP,MATCH(E1952,ChName,0))*(1+INDEX(ProvMod,MATCH(G1952,ProvCode,0)))*(1+PriceIndex)</f>
        <v/>
      </c>
      <c r="V1952" s="47">
        <f>R1952*U1952*INDEX(FmtBlendedPriceIdx,MATCH(F1952,FmtName,0))</f>
        <v/>
      </c>
      <c r="W1952" s="47">
        <f>T1952*INDEX(ProvSRP,MATCH(G1952,ProvCode,0))*(1+PriceIndex)</f>
        <v/>
      </c>
      <c r="X1952" s="47">
        <f>IF(GrossBasis="Wholesale",V1952,W1952)</f>
        <v/>
      </c>
      <c r="Y1952" s="47">
        <f>R1952*INDEX(FmtBlendedCogs,MATCH(F1952,FmtName,0))</f>
        <v/>
      </c>
      <c r="Z1952" s="47">
        <f>X1952-Y1952</f>
        <v/>
      </c>
    </row>
    <row r="1953">
      <c r="A1953" t="n">
        <v>44</v>
      </c>
      <c r="B1953" s="44">
        <f>FiscalStart+(A1953-1)*7</f>
        <v/>
      </c>
      <c r="C1953">
        <f>TEXT(B1953,"mmm yyyy")</f>
        <v/>
      </c>
      <c r="D1953">
        <f>"Q"&amp;(INT((A1953-1)/13)+1)</f>
        <v/>
      </c>
      <c r="E1953" t="inlineStr">
        <is>
          <t>Costco</t>
        </is>
      </c>
      <c r="F1953">
        <f>IFERROR(INDEX(ChFormat,MATCH(E1953,ChName,0)),"")</f>
        <v/>
      </c>
      <c r="G1953" t="inlineStr">
        <is>
          <t>NB</t>
        </is>
      </c>
      <c r="H1953">
        <f>IF(A1953&lt;=NWeeks,1,0)</f>
        <v/>
      </c>
      <c r="I1953">
        <f>INDEX(ChLaunch,MATCH(E1953,ChName,0))</f>
        <v/>
      </c>
      <c r="J1953">
        <f>INDEX(ChWeeksFull,MATCH(E1953,ChName,0))</f>
        <v/>
      </c>
      <c r="K1953">
        <f>INDEX(ChRamp,MATCH(E1953,ChName,0))</f>
        <v/>
      </c>
      <c r="L1953" s="45">
        <f>MIN(1,MAX(0,(A1953-I1953+1)*RampSpeed/J1953))</f>
        <v/>
      </c>
      <c r="M1953" s="45">
        <f>IF(A1953&lt;I1953,0,IF(K1953="S-curve",L1953*L1953*(3-2*L1953),L1953))</f>
        <v/>
      </c>
      <c r="N1953" s="45">
        <f>1+(INDEX(SeasonIdx,A1953)-1)*SeasonAmp</f>
        <v/>
      </c>
      <c r="O1953" s="45">
        <f>IFERROR(INDEX(PSPct,MATCH(E1953&amp;"|"&amp;G1953,PSKey,0)),0)</f>
        <v/>
      </c>
      <c r="P1953" s="46">
        <f>INDEX(ChDoorVel,MATCH(E1953,ChName,0))*CalibScalar*(1+VelocityUplift)</f>
        <v/>
      </c>
      <c r="Q1953" s="46" t="n">
        <v>0</v>
      </c>
      <c r="R1953" s="46">
        <f>P1953*O1953*M1953*N1953*H1953</f>
        <v/>
      </c>
      <c r="S1953" s="46">
        <f>R1953*INDEX(FmtCansPerCase,MATCH(F1953,FmtName,0))</f>
        <v/>
      </c>
      <c r="T1953" s="46">
        <f>S1953/INDEX(FmtCansPerPack,MATCH(F1953,FmtName,0))</f>
        <v/>
      </c>
      <c r="U1953" s="47">
        <f>INDEX(ChBaseCP,MATCH(E1953,ChName,0))*(1+INDEX(ProvMod,MATCH(G1953,ProvCode,0)))*(1+PriceIndex)</f>
        <v/>
      </c>
      <c r="V1953" s="47">
        <f>R1953*U1953*INDEX(FmtBlendedPriceIdx,MATCH(F1953,FmtName,0))</f>
        <v/>
      </c>
      <c r="W1953" s="47">
        <f>T1953*INDEX(ProvSRP,MATCH(G1953,ProvCode,0))*(1+PriceIndex)</f>
        <v/>
      </c>
      <c r="X1953" s="47">
        <f>IF(GrossBasis="Wholesale",V1953,W1953)</f>
        <v/>
      </c>
      <c r="Y1953" s="47">
        <f>R1953*INDEX(FmtBlendedCogs,MATCH(F1953,FmtName,0))</f>
        <v/>
      </c>
      <c r="Z1953" s="47">
        <f>X1953-Y1953</f>
        <v/>
      </c>
    </row>
    <row r="1954">
      <c r="A1954" t="n">
        <v>45</v>
      </c>
      <c r="B1954" s="44">
        <f>FiscalStart+(A1954-1)*7</f>
        <v/>
      </c>
      <c r="C1954">
        <f>TEXT(B1954,"mmm yyyy")</f>
        <v/>
      </c>
      <c r="D1954">
        <f>"Q"&amp;(INT((A1954-1)/13)+1)</f>
        <v/>
      </c>
      <c r="E1954" t="inlineStr">
        <is>
          <t>Costco</t>
        </is>
      </c>
      <c r="F1954">
        <f>IFERROR(INDEX(ChFormat,MATCH(E1954,ChName,0)),"")</f>
        <v/>
      </c>
      <c r="G1954" t="inlineStr">
        <is>
          <t>NB</t>
        </is>
      </c>
      <c r="H1954">
        <f>IF(A1954&lt;=NWeeks,1,0)</f>
        <v/>
      </c>
      <c r="I1954">
        <f>INDEX(ChLaunch,MATCH(E1954,ChName,0))</f>
        <v/>
      </c>
      <c r="J1954">
        <f>INDEX(ChWeeksFull,MATCH(E1954,ChName,0))</f>
        <v/>
      </c>
      <c r="K1954">
        <f>INDEX(ChRamp,MATCH(E1954,ChName,0))</f>
        <v/>
      </c>
      <c r="L1954" s="45">
        <f>MIN(1,MAX(0,(A1954-I1954+1)*RampSpeed/J1954))</f>
        <v/>
      </c>
      <c r="M1954" s="45">
        <f>IF(A1954&lt;I1954,0,IF(K1954="S-curve",L1954*L1954*(3-2*L1954),L1954))</f>
        <v/>
      </c>
      <c r="N1954" s="45">
        <f>1+(INDEX(SeasonIdx,A1954)-1)*SeasonAmp</f>
        <v/>
      </c>
      <c r="O1954" s="45">
        <f>IFERROR(INDEX(PSPct,MATCH(E1954&amp;"|"&amp;G1954,PSKey,0)),0)</f>
        <v/>
      </c>
      <c r="P1954" s="46">
        <f>INDEX(ChDoorVel,MATCH(E1954,ChName,0))*CalibScalar*(1+VelocityUplift)</f>
        <v/>
      </c>
      <c r="Q1954" s="46" t="n">
        <v>0</v>
      </c>
      <c r="R1954" s="46">
        <f>P1954*O1954*M1954*N1954*H1954</f>
        <v/>
      </c>
      <c r="S1954" s="46">
        <f>R1954*INDEX(FmtCansPerCase,MATCH(F1954,FmtName,0))</f>
        <v/>
      </c>
      <c r="T1954" s="46">
        <f>S1954/INDEX(FmtCansPerPack,MATCH(F1954,FmtName,0))</f>
        <v/>
      </c>
      <c r="U1954" s="47">
        <f>INDEX(ChBaseCP,MATCH(E1954,ChName,0))*(1+INDEX(ProvMod,MATCH(G1954,ProvCode,0)))*(1+PriceIndex)</f>
        <v/>
      </c>
      <c r="V1954" s="47">
        <f>R1954*U1954*INDEX(FmtBlendedPriceIdx,MATCH(F1954,FmtName,0))</f>
        <v/>
      </c>
      <c r="W1954" s="47">
        <f>T1954*INDEX(ProvSRP,MATCH(G1954,ProvCode,0))*(1+PriceIndex)</f>
        <v/>
      </c>
      <c r="X1954" s="47">
        <f>IF(GrossBasis="Wholesale",V1954,W1954)</f>
        <v/>
      </c>
      <c r="Y1954" s="47">
        <f>R1954*INDEX(FmtBlendedCogs,MATCH(F1954,FmtName,0))</f>
        <v/>
      </c>
      <c r="Z1954" s="47">
        <f>X1954-Y1954</f>
        <v/>
      </c>
    </row>
    <row r="1955">
      <c r="A1955" t="n">
        <v>46</v>
      </c>
      <c r="B1955" s="44">
        <f>FiscalStart+(A1955-1)*7</f>
        <v/>
      </c>
      <c r="C1955">
        <f>TEXT(B1955,"mmm yyyy")</f>
        <v/>
      </c>
      <c r="D1955">
        <f>"Q"&amp;(INT((A1955-1)/13)+1)</f>
        <v/>
      </c>
      <c r="E1955" t="inlineStr">
        <is>
          <t>Costco</t>
        </is>
      </c>
      <c r="F1955">
        <f>IFERROR(INDEX(ChFormat,MATCH(E1955,ChName,0)),"")</f>
        <v/>
      </c>
      <c r="G1955" t="inlineStr">
        <is>
          <t>NB</t>
        </is>
      </c>
      <c r="H1955">
        <f>IF(A1955&lt;=NWeeks,1,0)</f>
        <v/>
      </c>
      <c r="I1955">
        <f>INDEX(ChLaunch,MATCH(E1955,ChName,0))</f>
        <v/>
      </c>
      <c r="J1955">
        <f>INDEX(ChWeeksFull,MATCH(E1955,ChName,0))</f>
        <v/>
      </c>
      <c r="K1955">
        <f>INDEX(ChRamp,MATCH(E1955,ChName,0))</f>
        <v/>
      </c>
      <c r="L1955" s="45">
        <f>MIN(1,MAX(0,(A1955-I1955+1)*RampSpeed/J1955))</f>
        <v/>
      </c>
      <c r="M1955" s="45">
        <f>IF(A1955&lt;I1955,0,IF(K1955="S-curve",L1955*L1955*(3-2*L1955),L1955))</f>
        <v/>
      </c>
      <c r="N1955" s="45">
        <f>1+(INDEX(SeasonIdx,A1955)-1)*SeasonAmp</f>
        <v/>
      </c>
      <c r="O1955" s="45">
        <f>IFERROR(INDEX(PSPct,MATCH(E1955&amp;"|"&amp;G1955,PSKey,0)),0)</f>
        <v/>
      </c>
      <c r="P1955" s="46">
        <f>INDEX(ChDoorVel,MATCH(E1955,ChName,0))*CalibScalar*(1+VelocityUplift)</f>
        <v/>
      </c>
      <c r="Q1955" s="46" t="n">
        <v>0</v>
      </c>
      <c r="R1955" s="46">
        <f>P1955*O1955*M1955*N1955*H1955</f>
        <v/>
      </c>
      <c r="S1955" s="46">
        <f>R1955*INDEX(FmtCansPerCase,MATCH(F1955,FmtName,0))</f>
        <v/>
      </c>
      <c r="T1955" s="46">
        <f>S1955/INDEX(FmtCansPerPack,MATCH(F1955,FmtName,0))</f>
        <v/>
      </c>
      <c r="U1955" s="47">
        <f>INDEX(ChBaseCP,MATCH(E1955,ChName,0))*(1+INDEX(ProvMod,MATCH(G1955,ProvCode,0)))*(1+PriceIndex)</f>
        <v/>
      </c>
      <c r="V1955" s="47">
        <f>R1955*U1955*INDEX(FmtBlendedPriceIdx,MATCH(F1955,FmtName,0))</f>
        <v/>
      </c>
      <c r="W1955" s="47">
        <f>T1955*INDEX(ProvSRP,MATCH(G1955,ProvCode,0))*(1+PriceIndex)</f>
        <v/>
      </c>
      <c r="X1955" s="47">
        <f>IF(GrossBasis="Wholesale",V1955,W1955)</f>
        <v/>
      </c>
      <c r="Y1955" s="47">
        <f>R1955*INDEX(FmtBlendedCogs,MATCH(F1955,FmtName,0))</f>
        <v/>
      </c>
      <c r="Z1955" s="47">
        <f>X1955-Y1955</f>
        <v/>
      </c>
    </row>
    <row r="1956">
      <c r="A1956" t="n">
        <v>47</v>
      </c>
      <c r="B1956" s="44">
        <f>FiscalStart+(A1956-1)*7</f>
        <v/>
      </c>
      <c r="C1956">
        <f>TEXT(B1956,"mmm yyyy")</f>
        <v/>
      </c>
      <c r="D1956">
        <f>"Q"&amp;(INT((A1956-1)/13)+1)</f>
        <v/>
      </c>
      <c r="E1956" t="inlineStr">
        <is>
          <t>Costco</t>
        </is>
      </c>
      <c r="F1956">
        <f>IFERROR(INDEX(ChFormat,MATCH(E1956,ChName,0)),"")</f>
        <v/>
      </c>
      <c r="G1956" t="inlineStr">
        <is>
          <t>NB</t>
        </is>
      </c>
      <c r="H1956">
        <f>IF(A1956&lt;=NWeeks,1,0)</f>
        <v/>
      </c>
      <c r="I1956">
        <f>INDEX(ChLaunch,MATCH(E1956,ChName,0))</f>
        <v/>
      </c>
      <c r="J1956">
        <f>INDEX(ChWeeksFull,MATCH(E1956,ChName,0))</f>
        <v/>
      </c>
      <c r="K1956">
        <f>INDEX(ChRamp,MATCH(E1956,ChName,0))</f>
        <v/>
      </c>
      <c r="L1956" s="45">
        <f>MIN(1,MAX(0,(A1956-I1956+1)*RampSpeed/J1956))</f>
        <v/>
      </c>
      <c r="M1956" s="45">
        <f>IF(A1956&lt;I1956,0,IF(K1956="S-curve",L1956*L1956*(3-2*L1956),L1956))</f>
        <v/>
      </c>
      <c r="N1956" s="45">
        <f>1+(INDEX(SeasonIdx,A1956)-1)*SeasonAmp</f>
        <v/>
      </c>
      <c r="O1956" s="45">
        <f>IFERROR(INDEX(PSPct,MATCH(E1956&amp;"|"&amp;G1956,PSKey,0)),0)</f>
        <v/>
      </c>
      <c r="P1956" s="46">
        <f>INDEX(ChDoorVel,MATCH(E1956,ChName,0))*CalibScalar*(1+VelocityUplift)</f>
        <v/>
      </c>
      <c r="Q1956" s="46" t="n">
        <v>0</v>
      </c>
      <c r="R1956" s="46">
        <f>P1956*O1956*M1956*N1956*H1956</f>
        <v/>
      </c>
      <c r="S1956" s="46">
        <f>R1956*INDEX(FmtCansPerCase,MATCH(F1956,FmtName,0))</f>
        <v/>
      </c>
      <c r="T1956" s="46">
        <f>S1956/INDEX(FmtCansPerPack,MATCH(F1956,FmtName,0))</f>
        <v/>
      </c>
      <c r="U1956" s="47">
        <f>INDEX(ChBaseCP,MATCH(E1956,ChName,0))*(1+INDEX(ProvMod,MATCH(G1956,ProvCode,0)))*(1+PriceIndex)</f>
        <v/>
      </c>
      <c r="V1956" s="47">
        <f>R1956*U1956*INDEX(FmtBlendedPriceIdx,MATCH(F1956,FmtName,0))</f>
        <v/>
      </c>
      <c r="W1956" s="47">
        <f>T1956*INDEX(ProvSRP,MATCH(G1956,ProvCode,0))*(1+PriceIndex)</f>
        <v/>
      </c>
      <c r="X1956" s="47">
        <f>IF(GrossBasis="Wholesale",V1956,W1956)</f>
        <v/>
      </c>
      <c r="Y1956" s="47">
        <f>R1956*INDEX(FmtBlendedCogs,MATCH(F1956,FmtName,0))</f>
        <v/>
      </c>
      <c r="Z1956" s="47">
        <f>X1956-Y1956</f>
        <v/>
      </c>
    </row>
    <row r="1957">
      <c r="A1957" t="n">
        <v>48</v>
      </c>
      <c r="B1957" s="44">
        <f>FiscalStart+(A1957-1)*7</f>
        <v/>
      </c>
      <c r="C1957">
        <f>TEXT(B1957,"mmm yyyy")</f>
        <v/>
      </c>
      <c r="D1957">
        <f>"Q"&amp;(INT((A1957-1)/13)+1)</f>
        <v/>
      </c>
      <c r="E1957" t="inlineStr">
        <is>
          <t>Costco</t>
        </is>
      </c>
      <c r="F1957">
        <f>IFERROR(INDEX(ChFormat,MATCH(E1957,ChName,0)),"")</f>
        <v/>
      </c>
      <c r="G1957" t="inlineStr">
        <is>
          <t>NB</t>
        </is>
      </c>
      <c r="H1957">
        <f>IF(A1957&lt;=NWeeks,1,0)</f>
        <v/>
      </c>
      <c r="I1957">
        <f>INDEX(ChLaunch,MATCH(E1957,ChName,0))</f>
        <v/>
      </c>
      <c r="J1957">
        <f>INDEX(ChWeeksFull,MATCH(E1957,ChName,0))</f>
        <v/>
      </c>
      <c r="K1957">
        <f>INDEX(ChRamp,MATCH(E1957,ChName,0))</f>
        <v/>
      </c>
      <c r="L1957" s="45">
        <f>MIN(1,MAX(0,(A1957-I1957+1)*RampSpeed/J1957))</f>
        <v/>
      </c>
      <c r="M1957" s="45">
        <f>IF(A1957&lt;I1957,0,IF(K1957="S-curve",L1957*L1957*(3-2*L1957),L1957))</f>
        <v/>
      </c>
      <c r="N1957" s="45">
        <f>1+(INDEX(SeasonIdx,A1957)-1)*SeasonAmp</f>
        <v/>
      </c>
      <c r="O1957" s="45">
        <f>IFERROR(INDEX(PSPct,MATCH(E1957&amp;"|"&amp;G1957,PSKey,0)),0)</f>
        <v/>
      </c>
      <c r="P1957" s="46">
        <f>INDEX(ChDoorVel,MATCH(E1957,ChName,0))*CalibScalar*(1+VelocityUplift)</f>
        <v/>
      </c>
      <c r="Q1957" s="46" t="n">
        <v>0</v>
      </c>
      <c r="R1957" s="46">
        <f>P1957*O1957*M1957*N1957*H1957</f>
        <v/>
      </c>
      <c r="S1957" s="46">
        <f>R1957*INDEX(FmtCansPerCase,MATCH(F1957,FmtName,0))</f>
        <v/>
      </c>
      <c r="T1957" s="46">
        <f>S1957/INDEX(FmtCansPerPack,MATCH(F1957,FmtName,0))</f>
        <v/>
      </c>
      <c r="U1957" s="47">
        <f>INDEX(ChBaseCP,MATCH(E1957,ChName,0))*(1+INDEX(ProvMod,MATCH(G1957,ProvCode,0)))*(1+PriceIndex)</f>
        <v/>
      </c>
      <c r="V1957" s="47">
        <f>R1957*U1957*INDEX(FmtBlendedPriceIdx,MATCH(F1957,FmtName,0))</f>
        <v/>
      </c>
      <c r="W1957" s="47">
        <f>T1957*INDEX(ProvSRP,MATCH(G1957,ProvCode,0))*(1+PriceIndex)</f>
        <v/>
      </c>
      <c r="X1957" s="47">
        <f>IF(GrossBasis="Wholesale",V1957,W1957)</f>
        <v/>
      </c>
      <c r="Y1957" s="47">
        <f>R1957*INDEX(FmtBlendedCogs,MATCH(F1957,FmtName,0))</f>
        <v/>
      </c>
      <c r="Z1957" s="47">
        <f>X1957-Y1957</f>
        <v/>
      </c>
    </row>
    <row r="1958">
      <c r="A1958" t="n">
        <v>49</v>
      </c>
      <c r="B1958" s="44">
        <f>FiscalStart+(A1958-1)*7</f>
        <v/>
      </c>
      <c r="C1958">
        <f>TEXT(B1958,"mmm yyyy")</f>
        <v/>
      </c>
      <c r="D1958">
        <f>"Q"&amp;(INT((A1958-1)/13)+1)</f>
        <v/>
      </c>
      <c r="E1958" t="inlineStr">
        <is>
          <t>Costco</t>
        </is>
      </c>
      <c r="F1958">
        <f>IFERROR(INDEX(ChFormat,MATCH(E1958,ChName,0)),"")</f>
        <v/>
      </c>
      <c r="G1958" t="inlineStr">
        <is>
          <t>NB</t>
        </is>
      </c>
      <c r="H1958">
        <f>IF(A1958&lt;=NWeeks,1,0)</f>
        <v/>
      </c>
      <c r="I1958">
        <f>INDEX(ChLaunch,MATCH(E1958,ChName,0))</f>
        <v/>
      </c>
      <c r="J1958">
        <f>INDEX(ChWeeksFull,MATCH(E1958,ChName,0))</f>
        <v/>
      </c>
      <c r="K1958">
        <f>INDEX(ChRamp,MATCH(E1958,ChName,0))</f>
        <v/>
      </c>
      <c r="L1958" s="45">
        <f>MIN(1,MAX(0,(A1958-I1958+1)*RampSpeed/J1958))</f>
        <v/>
      </c>
      <c r="M1958" s="45">
        <f>IF(A1958&lt;I1958,0,IF(K1958="S-curve",L1958*L1958*(3-2*L1958),L1958))</f>
        <v/>
      </c>
      <c r="N1958" s="45">
        <f>1+(INDEX(SeasonIdx,A1958)-1)*SeasonAmp</f>
        <v/>
      </c>
      <c r="O1958" s="45">
        <f>IFERROR(INDEX(PSPct,MATCH(E1958&amp;"|"&amp;G1958,PSKey,0)),0)</f>
        <v/>
      </c>
      <c r="P1958" s="46">
        <f>INDEX(ChDoorVel,MATCH(E1958,ChName,0))*CalibScalar*(1+VelocityUplift)</f>
        <v/>
      </c>
      <c r="Q1958" s="46" t="n">
        <v>0</v>
      </c>
      <c r="R1958" s="46">
        <f>P1958*O1958*M1958*N1958*H1958</f>
        <v/>
      </c>
      <c r="S1958" s="46">
        <f>R1958*INDEX(FmtCansPerCase,MATCH(F1958,FmtName,0))</f>
        <v/>
      </c>
      <c r="T1958" s="46">
        <f>S1958/INDEX(FmtCansPerPack,MATCH(F1958,FmtName,0))</f>
        <v/>
      </c>
      <c r="U1958" s="47">
        <f>INDEX(ChBaseCP,MATCH(E1958,ChName,0))*(1+INDEX(ProvMod,MATCH(G1958,ProvCode,0)))*(1+PriceIndex)</f>
        <v/>
      </c>
      <c r="V1958" s="47">
        <f>R1958*U1958*INDEX(FmtBlendedPriceIdx,MATCH(F1958,FmtName,0))</f>
        <v/>
      </c>
      <c r="W1958" s="47">
        <f>T1958*INDEX(ProvSRP,MATCH(G1958,ProvCode,0))*(1+PriceIndex)</f>
        <v/>
      </c>
      <c r="X1958" s="47">
        <f>IF(GrossBasis="Wholesale",V1958,W1958)</f>
        <v/>
      </c>
      <c r="Y1958" s="47">
        <f>R1958*INDEX(FmtBlendedCogs,MATCH(F1958,FmtName,0))</f>
        <v/>
      </c>
      <c r="Z1958" s="47">
        <f>X1958-Y1958</f>
        <v/>
      </c>
    </row>
    <row r="1959">
      <c r="A1959" t="n">
        <v>50</v>
      </c>
      <c r="B1959" s="44">
        <f>FiscalStart+(A1959-1)*7</f>
        <v/>
      </c>
      <c r="C1959">
        <f>TEXT(B1959,"mmm yyyy")</f>
        <v/>
      </c>
      <c r="D1959">
        <f>"Q"&amp;(INT((A1959-1)/13)+1)</f>
        <v/>
      </c>
      <c r="E1959" t="inlineStr">
        <is>
          <t>Costco</t>
        </is>
      </c>
      <c r="F1959">
        <f>IFERROR(INDEX(ChFormat,MATCH(E1959,ChName,0)),"")</f>
        <v/>
      </c>
      <c r="G1959" t="inlineStr">
        <is>
          <t>NB</t>
        </is>
      </c>
      <c r="H1959">
        <f>IF(A1959&lt;=NWeeks,1,0)</f>
        <v/>
      </c>
      <c r="I1959">
        <f>INDEX(ChLaunch,MATCH(E1959,ChName,0))</f>
        <v/>
      </c>
      <c r="J1959">
        <f>INDEX(ChWeeksFull,MATCH(E1959,ChName,0))</f>
        <v/>
      </c>
      <c r="K1959">
        <f>INDEX(ChRamp,MATCH(E1959,ChName,0))</f>
        <v/>
      </c>
      <c r="L1959" s="45">
        <f>MIN(1,MAX(0,(A1959-I1959+1)*RampSpeed/J1959))</f>
        <v/>
      </c>
      <c r="M1959" s="45">
        <f>IF(A1959&lt;I1959,0,IF(K1959="S-curve",L1959*L1959*(3-2*L1959),L1959))</f>
        <v/>
      </c>
      <c r="N1959" s="45">
        <f>1+(INDEX(SeasonIdx,A1959)-1)*SeasonAmp</f>
        <v/>
      </c>
      <c r="O1959" s="45">
        <f>IFERROR(INDEX(PSPct,MATCH(E1959&amp;"|"&amp;G1959,PSKey,0)),0)</f>
        <v/>
      </c>
      <c r="P1959" s="46">
        <f>INDEX(ChDoorVel,MATCH(E1959,ChName,0))*CalibScalar*(1+VelocityUplift)</f>
        <v/>
      </c>
      <c r="Q1959" s="46" t="n">
        <v>0</v>
      </c>
      <c r="R1959" s="46">
        <f>P1959*O1959*M1959*N1959*H1959</f>
        <v/>
      </c>
      <c r="S1959" s="46">
        <f>R1959*INDEX(FmtCansPerCase,MATCH(F1959,FmtName,0))</f>
        <v/>
      </c>
      <c r="T1959" s="46">
        <f>S1959/INDEX(FmtCansPerPack,MATCH(F1959,FmtName,0))</f>
        <v/>
      </c>
      <c r="U1959" s="47">
        <f>INDEX(ChBaseCP,MATCH(E1959,ChName,0))*(1+INDEX(ProvMod,MATCH(G1959,ProvCode,0)))*(1+PriceIndex)</f>
        <v/>
      </c>
      <c r="V1959" s="47">
        <f>R1959*U1959*INDEX(FmtBlendedPriceIdx,MATCH(F1959,FmtName,0))</f>
        <v/>
      </c>
      <c r="W1959" s="47">
        <f>T1959*INDEX(ProvSRP,MATCH(G1959,ProvCode,0))*(1+PriceIndex)</f>
        <v/>
      </c>
      <c r="X1959" s="47">
        <f>IF(GrossBasis="Wholesale",V1959,W1959)</f>
        <v/>
      </c>
      <c r="Y1959" s="47">
        <f>R1959*INDEX(FmtBlendedCogs,MATCH(F1959,FmtName,0))</f>
        <v/>
      </c>
      <c r="Z1959" s="47">
        <f>X1959-Y1959</f>
        <v/>
      </c>
    </row>
    <row r="1960">
      <c r="A1960" t="n">
        <v>51</v>
      </c>
      <c r="B1960" s="44">
        <f>FiscalStart+(A1960-1)*7</f>
        <v/>
      </c>
      <c r="C1960">
        <f>TEXT(B1960,"mmm yyyy")</f>
        <v/>
      </c>
      <c r="D1960">
        <f>"Q"&amp;(INT((A1960-1)/13)+1)</f>
        <v/>
      </c>
      <c r="E1960" t="inlineStr">
        <is>
          <t>Costco</t>
        </is>
      </c>
      <c r="F1960">
        <f>IFERROR(INDEX(ChFormat,MATCH(E1960,ChName,0)),"")</f>
        <v/>
      </c>
      <c r="G1960" t="inlineStr">
        <is>
          <t>NB</t>
        </is>
      </c>
      <c r="H1960">
        <f>IF(A1960&lt;=NWeeks,1,0)</f>
        <v/>
      </c>
      <c r="I1960">
        <f>INDEX(ChLaunch,MATCH(E1960,ChName,0))</f>
        <v/>
      </c>
      <c r="J1960">
        <f>INDEX(ChWeeksFull,MATCH(E1960,ChName,0))</f>
        <v/>
      </c>
      <c r="K1960">
        <f>INDEX(ChRamp,MATCH(E1960,ChName,0))</f>
        <v/>
      </c>
      <c r="L1960" s="45">
        <f>MIN(1,MAX(0,(A1960-I1960+1)*RampSpeed/J1960))</f>
        <v/>
      </c>
      <c r="M1960" s="45">
        <f>IF(A1960&lt;I1960,0,IF(K1960="S-curve",L1960*L1960*(3-2*L1960),L1960))</f>
        <v/>
      </c>
      <c r="N1960" s="45">
        <f>1+(INDEX(SeasonIdx,A1960)-1)*SeasonAmp</f>
        <v/>
      </c>
      <c r="O1960" s="45">
        <f>IFERROR(INDEX(PSPct,MATCH(E1960&amp;"|"&amp;G1960,PSKey,0)),0)</f>
        <v/>
      </c>
      <c r="P1960" s="46">
        <f>INDEX(ChDoorVel,MATCH(E1960,ChName,0))*CalibScalar*(1+VelocityUplift)</f>
        <v/>
      </c>
      <c r="Q1960" s="46" t="n">
        <v>0</v>
      </c>
      <c r="R1960" s="46">
        <f>P1960*O1960*M1960*N1960*H1960</f>
        <v/>
      </c>
      <c r="S1960" s="46">
        <f>R1960*INDEX(FmtCansPerCase,MATCH(F1960,FmtName,0))</f>
        <v/>
      </c>
      <c r="T1960" s="46">
        <f>S1960/INDEX(FmtCansPerPack,MATCH(F1960,FmtName,0))</f>
        <v/>
      </c>
      <c r="U1960" s="47">
        <f>INDEX(ChBaseCP,MATCH(E1960,ChName,0))*(1+INDEX(ProvMod,MATCH(G1960,ProvCode,0)))*(1+PriceIndex)</f>
        <v/>
      </c>
      <c r="V1960" s="47">
        <f>R1960*U1960*INDEX(FmtBlendedPriceIdx,MATCH(F1960,FmtName,0))</f>
        <v/>
      </c>
      <c r="W1960" s="47">
        <f>T1960*INDEX(ProvSRP,MATCH(G1960,ProvCode,0))*(1+PriceIndex)</f>
        <v/>
      </c>
      <c r="X1960" s="47">
        <f>IF(GrossBasis="Wholesale",V1960,W1960)</f>
        <v/>
      </c>
      <c r="Y1960" s="47">
        <f>R1960*INDEX(FmtBlendedCogs,MATCH(F1960,FmtName,0))</f>
        <v/>
      </c>
      <c r="Z1960" s="47">
        <f>X1960-Y1960</f>
        <v/>
      </c>
    </row>
    <row r="1961">
      <c r="A1961" t="n">
        <v>52</v>
      </c>
      <c r="B1961" s="44">
        <f>FiscalStart+(A1961-1)*7</f>
        <v/>
      </c>
      <c r="C1961">
        <f>TEXT(B1961,"mmm yyyy")</f>
        <v/>
      </c>
      <c r="D1961">
        <f>"Q"&amp;(INT((A1961-1)/13)+1)</f>
        <v/>
      </c>
      <c r="E1961" t="inlineStr">
        <is>
          <t>Costco</t>
        </is>
      </c>
      <c r="F1961">
        <f>IFERROR(INDEX(ChFormat,MATCH(E1961,ChName,0)),"")</f>
        <v/>
      </c>
      <c r="G1961" t="inlineStr">
        <is>
          <t>NB</t>
        </is>
      </c>
      <c r="H1961">
        <f>IF(A1961&lt;=NWeeks,1,0)</f>
        <v/>
      </c>
      <c r="I1961">
        <f>INDEX(ChLaunch,MATCH(E1961,ChName,0))</f>
        <v/>
      </c>
      <c r="J1961">
        <f>INDEX(ChWeeksFull,MATCH(E1961,ChName,0))</f>
        <v/>
      </c>
      <c r="K1961">
        <f>INDEX(ChRamp,MATCH(E1961,ChName,0))</f>
        <v/>
      </c>
      <c r="L1961" s="45">
        <f>MIN(1,MAX(0,(A1961-I1961+1)*RampSpeed/J1961))</f>
        <v/>
      </c>
      <c r="M1961" s="45">
        <f>IF(A1961&lt;I1961,0,IF(K1961="S-curve",L1961*L1961*(3-2*L1961),L1961))</f>
        <v/>
      </c>
      <c r="N1961" s="45">
        <f>1+(INDEX(SeasonIdx,A1961)-1)*SeasonAmp</f>
        <v/>
      </c>
      <c r="O1961" s="45">
        <f>IFERROR(INDEX(PSPct,MATCH(E1961&amp;"|"&amp;G1961,PSKey,0)),0)</f>
        <v/>
      </c>
      <c r="P1961" s="46">
        <f>INDEX(ChDoorVel,MATCH(E1961,ChName,0))*CalibScalar*(1+VelocityUplift)</f>
        <v/>
      </c>
      <c r="Q1961" s="46" t="n">
        <v>0</v>
      </c>
      <c r="R1961" s="46">
        <f>P1961*O1961*M1961*N1961*H1961</f>
        <v/>
      </c>
      <c r="S1961" s="46">
        <f>R1961*INDEX(FmtCansPerCase,MATCH(F1961,FmtName,0))</f>
        <v/>
      </c>
      <c r="T1961" s="46">
        <f>S1961/INDEX(FmtCansPerPack,MATCH(F1961,FmtName,0))</f>
        <v/>
      </c>
      <c r="U1961" s="47">
        <f>INDEX(ChBaseCP,MATCH(E1961,ChName,0))*(1+INDEX(ProvMod,MATCH(G1961,ProvCode,0)))*(1+PriceIndex)</f>
        <v/>
      </c>
      <c r="V1961" s="47">
        <f>R1961*U1961*INDEX(FmtBlendedPriceIdx,MATCH(F1961,FmtName,0))</f>
        <v/>
      </c>
      <c r="W1961" s="47">
        <f>T1961*INDEX(ProvSRP,MATCH(G1961,ProvCode,0))*(1+PriceIndex)</f>
        <v/>
      </c>
      <c r="X1961" s="47">
        <f>IF(GrossBasis="Wholesale",V1961,W1961)</f>
        <v/>
      </c>
      <c r="Y1961" s="47">
        <f>R1961*INDEX(FmtBlendedCogs,MATCH(F1961,FmtName,0))</f>
        <v/>
      </c>
      <c r="Z1961" s="47">
        <f>X1961-Y1961</f>
        <v/>
      </c>
    </row>
    <row r="1962">
      <c r="A1962" t="n">
        <v>53</v>
      </c>
      <c r="B1962" s="44">
        <f>FiscalStart+(A1962-1)*7</f>
        <v/>
      </c>
      <c r="C1962">
        <f>TEXT(B1962,"mmm yyyy")</f>
        <v/>
      </c>
      <c r="D1962">
        <f>"Q"&amp;(INT((A1962-1)/13)+1)</f>
        <v/>
      </c>
      <c r="E1962" t="inlineStr">
        <is>
          <t>Costco</t>
        </is>
      </c>
      <c r="F1962">
        <f>IFERROR(INDEX(ChFormat,MATCH(E1962,ChName,0)),"")</f>
        <v/>
      </c>
      <c r="G1962" t="inlineStr">
        <is>
          <t>NB</t>
        </is>
      </c>
      <c r="H1962">
        <f>IF(A1962&lt;=NWeeks,1,0)</f>
        <v/>
      </c>
      <c r="I1962">
        <f>INDEX(ChLaunch,MATCH(E1962,ChName,0))</f>
        <v/>
      </c>
      <c r="J1962">
        <f>INDEX(ChWeeksFull,MATCH(E1962,ChName,0))</f>
        <v/>
      </c>
      <c r="K1962">
        <f>INDEX(ChRamp,MATCH(E1962,ChName,0))</f>
        <v/>
      </c>
      <c r="L1962" s="45">
        <f>MIN(1,MAX(0,(A1962-I1962+1)*RampSpeed/J1962))</f>
        <v/>
      </c>
      <c r="M1962" s="45">
        <f>IF(A1962&lt;I1962,0,IF(K1962="S-curve",L1962*L1962*(3-2*L1962),L1962))</f>
        <v/>
      </c>
      <c r="N1962" s="45">
        <f>1+(INDEX(SeasonIdx,A1962)-1)*SeasonAmp</f>
        <v/>
      </c>
      <c r="O1962" s="45">
        <f>IFERROR(INDEX(PSPct,MATCH(E1962&amp;"|"&amp;G1962,PSKey,0)),0)</f>
        <v/>
      </c>
      <c r="P1962" s="46">
        <f>INDEX(ChDoorVel,MATCH(E1962,ChName,0))*CalibScalar*(1+VelocityUplift)</f>
        <v/>
      </c>
      <c r="Q1962" s="46" t="n">
        <v>0</v>
      </c>
      <c r="R1962" s="46">
        <f>P1962*O1962*M1962*N1962*H1962</f>
        <v/>
      </c>
      <c r="S1962" s="46">
        <f>R1962*INDEX(FmtCansPerCase,MATCH(F1962,FmtName,0))</f>
        <v/>
      </c>
      <c r="T1962" s="46">
        <f>S1962/INDEX(FmtCansPerPack,MATCH(F1962,FmtName,0))</f>
        <v/>
      </c>
      <c r="U1962" s="47">
        <f>INDEX(ChBaseCP,MATCH(E1962,ChName,0))*(1+INDEX(ProvMod,MATCH(G1962,ProvCode,0)))*(1+PriceIndex)</f>
        <v/>
      </c>
      <c r="V1962" s="47">
        <f>R1962*U1962*INDEX(FmtBlendedPriceIdx,MATCH(F1962,FmtName,0))</f>
        <v/>
      </c>
      <c r="W1962" s="47">
        <f>T1962*INDEX(ProvSRP,MATCH(G1962,ProvCode,0))*(1+PriceIndex)</f>
        <v/>
      </c>
      <c r="X1962" s="47">
        <f>IF(GrossBasis="Wholesale",V1962,W1962)</f>
        <v/>
      </c>
      <c r="Y1962" s="47">
        <f>R1962*INDEX(FmtBlendedCogs,MATCH(F1962,FmtName,0))</f>
        <v/>
      </c>
      <c r="Z1962" s="47">
        <f>X1962-Y1962</f>
        <v/>
      </c>
    </row>
    <row r="1963">
      <c r="A1963" t="n">
        <v>1</v>
      </c>
      <c r="B1963" s="44">
        <f>FiscalStart+(A1963-1)*7</f>
        <v/>
      </c>
      <c r="C1963">
        <f>TEXT(B1963,"mmm yyyy")</f>
        <v/>
      </c>
      <c r="D1963">
        <f>"Q"&amp;(INT((A1963-1)/13)+1)</f>
        <v/>
      </c>
      <c r="E1963" t="inlineStr">
        <is>
          <t>Costco</t>
        </is>
      </c>
      <c r="F1963">
        <f>IFERROR(INDEX(ChFormat,MATCH(E1963,ChName,0)),"")</f>
        <v/>
      </c>
      <c r="G1963" t="inlineStr">
        <is>
          <t>NS</t>
        </is>
      </c>
      <c r="H1963">
        <f>IF(A1963&lt;=NWeeks,1,0)</f>
        <v/>
      </c>
      <c r="I1963">
        <f>INDEX(ChLaunch,MATCH(E1963,ChName,0))</f>
        <v/>
      </c>
      <c r="J1963">
        <f>INDEX(ChWeeksFull,MATCH(E1963,ChName,0))</f>
        <v/>
      </c>
      <c r="K1963">
        <f>INDEX(ChRamp,MATCH(E1963,ChName,0))</f>
        <v/>
      </c>
      <c r="L1963" s="45">
        <f>MIN(1,MAX(0,(A1963-I1963+1)*RampSpeed/J1963))</f>
        <v/>
      </c>
      <c r="M1963" s="45">
        <f>IF(A1963&lt;I1963,0,IF(K1963="S-curve",L1963*L1963*(3-2*L1963),L1963))</f>
        <v/>
      </c>
      <c r="N1963" s="45">
        <f>1+(INDEX(SeasonIdx,A1963)-1)*SeasonAmp</f>
        <v/>
      </c>
      <c r="O1963" s="45">
        <f>IFERROR(INDEX(PSPct,MATCH(E1963&amp;"|"&amp;G1963,PSKey,0)),0)</f>
        <v/>
      </c>
      <c r="P1963" s="46">
        <f>INDEX(ChDoorVel,MATCH(E1963,ChName,0))*CalibScalar*(1+VelocityUplift)</f>
        <v/>
      </c>
      <c r="Q1963" s="46" t="n">
        <v>0</v>
      </c>
      <c r="R1963" s="46">
        <f>P1963*O1963*M1963*N1963*H1963</f>
        <v/>
      </c>
      <c r="S1963" s="46">
        <f>R1963*INDEX(FmtCansPerCase,MATCH(F1963,FmtName,0))</f>
        <v/>
      </c>
      <c r="T1963" s="46">
        <f>S1963/INDEX(FmtCansPerPack,MATCH(F1963,FmtName,0))</f>
        <v/>
      </c>
      <c r="U1963" s="47">
        <f>INDEX(ChBaseCP,MATCH(E1963,ChName,0))*(1+INDEX(ProvMod,MATCH(G1963,ProvCode,0)))*(1+PriceIndex)</f>
        <v/>
      </c>
      <c r="V1963" s="47">
        <f>R1963*U1963*INDEX(FmtBlendedPriceIdx,MATCH(F1963,FmtName,0))</f>
        <v/>
      </c>
      <c r="W1963" s="47">
        <f>T1963*INDEX(ProvSRP,MATCH(G1963,ProvCode,0))*(1+PriceIndex)</f>
        <v/>
      </c>
      <c r="X1963" s="47">
        <f>IF(GrossBasis="Wholesale",V1963,W1963)</f>
        <v/>
      </c>
      <c r="Y1963" s="47">
        <f>R1963*INDEX(FmtBlendedCogs,MATCH(F1963,FmtName,0))</f>
        <v/>
      </c>
      <c r="Z1963" s="47">
        <f>X1963-Y1963</f>
        <v/>
      </c>
    </row>
    <row r="1964">
      <c r="A1964" t="n">
        <v>2</v>
      </c>
      <c r="B1964" s="44">
        <f>FiscalStart+(A1964-1)*7</f>
        <v/>
      </c>
      <c r="C1964">
        <f>TEXT(B1964,"mmm yyyy")</f>
        <v/>
      </c>
      <c r="D1964">
        <f>"Q"&amp;(INT((A1964-1)/13)+1)</f>
        <v/>
      </c>
      <c r="E1964" t="inlineStr">
        <is>
          <t>Costco</t>
        </is>
      </c>
      <c r="F1964">
        <f>IFERROR(INDEX(ChFormat,MATCH(E1964,ChName,0)),"")</f>
        <v/>
      </c>
      <c r="G1964" t="inlineStr">
        <is>
          <t>NS</t>
        </is>
      </c>
      <c r="H1964">
        <f>IF(A1964&lt;=NWeeks,1,0)</f>
        <v/>
      </c>
      <c r="I1964">
        <f>INDEX(ChLaunch,MATCH(E1964,ChName,0))</f>
        <v/>
      </c>
      <c r="J1964">
        <f>INDEX(ChWeeksFull,MATCH(E1964,ChName,0))</f>
        <v/>
      </c>
      <c r="K1964">
        <f>INDEX(ChRamp,MATCH(E1964,ChName,0))</f>
        <v/>
      </c>
      <c r="L1964" s="45">
        <f>MIN(1,MAX(0,(A1964-I1964+1)*RampSpeed/J1964))</f>
        <v/>
      </c>
      <c r="M1964" s="45">
        <f>IF(A1964&lt;I1964,0,IF(K1964="S-curve",L1964*L1964*(3-2*L1964),L1964))</f>
        <v/>
      </c>
      <c r="N1964" s="45">
        <f>1+(INDEX(SeasonIdx,A1964)-1)*SeasonAmp</f>
        <v/>
      </c>
      <c r="O1964" s="45">
        <f>IFERROR(INDEX(PSPct,MATCH(E1964&amp;"|"&amp;G1964,PSKey,0)),0)</f>
        <v/>
      </c>
      <c r="P1964" s="46">
        <f>INDEX(ChDoorVel,MATCH(E1964,ChName,0))*CalibScalar*(1+VelocityUplift)</f>
        <v/>
      </c>
      <c r="Q1964" s="46" t="n">
        <v>0</v>
      </c>
      <c r="R1964" s="46">
        <f>P1964*O1964*M1964*N1964*H1964</f>
        <v/>
      </c>
      <c r="S1964" s="46">
        <f>R1964*INDEX(FmtCansPerCase,MATCH(F1964,FmtName,0))</f>
        <v/>
      </c>
      <c r="T1964" s="46">
        <f>S1964/INDEX(FmtCansPerPack,MATCH(F1964,FmtName,0))</f>
        <v/>
      </c>
      <c r="U1964" s="47">
        <f>INDEX(ChBaseCP,MATCH(E1964,ChName,0))*(1+INDEX(ProvMod,MATCH(G1964,ProvCode,0)))*(1+PriceIndex)</f>
        <v/>
      </c>
      <c r="V1964" s="47">
        <f>R1964*U1964*INDEX(FmtBlendedPriceIdx,MATCH(F1964,FmtName,0))</f>
        <v/>
      </c>
      <c r="W1964" s="47">
        <f>T1964*INDEX(ProvSRP,MATCH(G1964,ProvCode,0))*(1+PriceIndex)</f>
        <v/>
      </c>
      <c r="X1964" s="47">
        <f>IF(GrossBasis="Wholesale",V1964,W1964)</f>
        <v/>
      </c>
      <c r="Y1964" s="47">
        <f>R1964*INDEX(FmtBlendedCogs,MATCH(F1964,FmtName,0))</f>
        <v/>
      </c>
      <c r="Z1964" s="47">
        <f>X1964-Y1964</f>
        <v/>
      </c>
    </row>
    <row r="1965">
      <c r="A1965" t="n">
        <v>3</v>
      </c>
      <c r="B1965" s="44">
        <f>FiscalStart+(A1965-1)*7</f>
        <v/>
      </c>
      <c r="C1965">
        <f>TEXT(B1965,"mmm yyyy")</f>
        <v/>
      </c>
      <c r="D1965">
        <f>"Q"&amp;(INT((A1965-1)/13)+1)</f>
        <v/>
      </c>
      <c r="E1965" t="inlineStr">
        <is>
          <t>Costco</t>
        </is>
      </c>
      <c r="F1965">
        <f>IFERROR(INDEX(ChFormat,MATCH(E1965,ChName,0)),"")</f>
        <v/>
      </c>
      <c r="G1965" t="inlineStr">
        <is>
          <t>NS</t>
        </is>
      </c>
      <c r="H1965">
        <f>IF(A1965&lt;=NWeeks,1,0)</f>
        <v/>
      </c>
      <c r="I1965">
        <f>INDEX(ChLaunch,MATCH(E1965,ChName,0))</f>
        <v/>
      </c>
      <c r="J1965">
        <f>INDEX(ChWeeksFull,MATCH(E1965,ChName,0))</f>
        <v/>
      </c>
      <c r="K1965">
        <f>INDEX(ChRamp,MATCH(E1965,ChName,0))</f>
        <v/>
      </c>
      <c r="L1965" s="45">
        <f>MIN(1,MAX(0,(A1965-I1965+1)*RampSpeed/J1965))</f>
        <v/>
      </c>
      <c r="M1965" s="45">
        <f>IF(A1965&lt;I1965,0,IF(K1965="S-curve",L1965*L1965*(3-2*L1965),L1965))</f>
        <v/>
      </c>
      <c r="N1965" s="45">
        <f>1+(INDEX(SeasonIdx,A1965)-1)*SeasonAmp</f>
        <v/>
      </c>
      <c r="O1965" s="45">
        <f>IFERROR(INDEX(PSPct,MATCH(E1965&amp;"|"&amp;G1965,PSKey,0)),0)</f>
        <v/>
      </c>
      <c r="P1965" s="46">
        <f>INDEX(ChDoorVel,MATCH(E1965,ChName,0))*CalibScalar*(1+VelocityUplift)</f>
        <v/>
      </c>
      <c r="Q1965" s="46" t="n">
        <v>0</v>
      </c>
      <c r="R1965" s="46">
        <f>P1965*O1965*M1965*N1965*H1965</f>
        <v/>
      </c>
      <c r="S1965" s="46">
        <f>R1965*INDEX(FmtCansPerCase,MATCH(F1965,FmtName,0))</f>
        <v/>
      </c>
      <c r="T1965" s="46">
        <f>S1965/INDEX(FmtCansPerPack,MATCH(F1965,FmtName,0))</f>
        <v/>
      </c>
      <c r="U1965" s="47">
        <f>INDEX(ChBaseCP,MATCH(E1965,ChName,0))*(1+INDEX(ProvMod,MATCH(G1965,ProvCode,0)))*(1+PriceIndex)</f>
        <v/>
      </c>
      <c r="V1965" s="47">
        <f>R1965*U1965*INDEX(FmtBlendedPriceIdx,MATCH(F1965,FmtName,0))</f>
        <v/>
      </c>
      <c r="W1965" s="47">
        <f>T1965*INDEX(ProvSRP,MATCH(G1965,ProvCode,0))*(1+PriceIndex)</f>
        <v/>
      </c>
      <c r="X1965" s="47">
        <f>IF(GrossBasis="Wholesale",V1965,W1965)</f>
        <v/>
      </c>
      <c r="Y1965" s="47">
        <f>R1965*INDEX(FmtBlendedCogs,MATCH(F1965,FmtName,0))</f>
        <v/>
      </c>
      <c r="Z1965" s="47">
        <f>X1965-Y1965</f>
        <v/>
      </c>
    </row>
    <row r="1966">
      <c r="A1966" t="n">
        <v>4</v>
      </c>
      <c r="B1966" s="44">
        <f>FiscalStart+(A1966-1)*7</f>
        <v/>
      </c>
      <c r="C1966">
        <f>TEXT(B1966,"mmm yyyy")</f>
        <v/>
      </c>
      <c r="D1966">
        <f>"Q"&amp;(INT((A1966-1)/13)+1)</f>
        <v/>
      </c>
      <c r="E1966" t="inlineStr">
        <is>
          <t>Costco</t>
        </is>
      </c>
      <c r="F1966">
        <f>IFERROR(INDEX(ChFormat,MATCH(E1966,ChName,0)),"")</f>
        <v/>
      </c>
      <c r="G1966" t="inlineStr">
        <is>
          <t>NS</t>
        </is>
      </c>
      <c r="H1966">
        <f>IF(A1966&lt;=NWeeks,1,0)</f>
        <v/>
      </c>
      <c r="I1966">
        <f>INDEX(ChLaunch,MATCH(E1966,ChName,0))</f>
        <v/>
      </c>
      <c r="J1966">
        <f>INDEX(ChWeeksFull,MATCH(E1966,ChName,0))</f>
        <v/>
      </c>
      <c r="K1966">
        <f>INDEX(ChRamp,MATCH(E1966,ChName,0))</f>
        <v/>
      </c>
      <c r="L1966" s="45">
        <f>MIN(1,MAX(0,(A1966-I1966+1)*RampSpeed/J1966))</f>
        <v/>
      </c>
      <c r="M1966" s="45">
        <f>IF(A1966&lt;I1966,0,IF(K1966="S-curve",L1966*L1966*(3-2*L1966),L1966))</f>
        <v/>
      </c>
      <c r="N1966" s="45">
        <f>1+(INDEX(SeasonIdx,A1966)-1)*SeasonAmp</f>
        <v/>
      </c>
      <c r="O1966" s="45">
        <f>IFERROR(INDEX(PSPct,MATCH(E1966&amp;"|"&amp;G1966,PSKey,0)),0)</f>
        <v/>
      </c>
      <c r="P1966" s="46">
        <f>INDEX(ChDoorVel,MATCH(E1966,ChName,0))*CalibScalar*(1+VelocityUplift)</f>
        <v/>
      </c>
      <c r="Q1966" s="46" t="n">
        <v>0</v>
      </c>
      <c r="R1966" s="46">
        <f>P1966*O1966*M1966*N1966*H1966</f>
        <v/>
      </c>
      <c r="S1966" s="46">
        <f>R1966*INDEX(FmtCansPerCase,MATCH(F1966,FmtName,0))</f>
        <v/>
      </c>
      <c r="T1966" s="46">
        <f>S1966/INDEX(FmtCansPerPack,MATCH(F1966,FmtName,0))</f>
        <v/>
      </c>
      <c r="U1966" s="47">
        <f>INDEX(ChBaseCP,MATCH(E1966,ChName,0))*(1+INDEX(ProvMod,MATCH(G1966,ProvCode,0)))*(1+PriceIndex)</f>
        <v/>
      </c>
      <c r="V1966" s="47">
        <f>R1966*U1966*INDEX(FmtBlendedPriceIdx,MATCH(F1966,FmtName,0))</f>
        <v/>
      </c>
      <c r="W1966" s="47">
        <f>T1966*INDEX(ProvSRP,MATCH(G1966,ProvCode,0))*(1+PriceIndex)</f>
        <v/>
      </c>
      <c r="X1966" s="47">
        <f>IF(GrossBasis="Wholesale",V1966,W1966)</f>
        <v/>
      </c>
      <c r="Y1966" s="47">
        <f>R1966*INDEX(FmtBlendedCogs,MATCH(F1966,FmtName,0))</f>
        <v/>
      </c>
      <c r="Z1966" s="47">
        <f>X1966-Y1966</f>
        <v/>
      </c>
    </row>
    <row r="1967">
      <c r="A1967" t="n">
        <v>5</v>
      </c>
      <c r="B1967" s="44">
        <f>FiscalStart+(A1967-1)*7</f>
        <v/>
      </c>
      <c r="C1967">
        <f>TEXT(B1967,"mmm yyyy")</f>
        <v/>
      </c>
      <c r="D1967">
        <f>"Q"&amp;(INT((A1967-1)/13)+1)</f>
        <v/>
      </c>
      <c r="E1967" t="inlineStr">
        <is>
          <t>Costco</t>
        </is>
      </c>
      <c r="F1967">
        <f>IFERROR(INDEX(ChFormat,MATCH(E1967,ChName,0)),"")</f>
        <v/>
      </c>
      <c r="G1967" t="inlineStr">
        <is>
          <t>NS</t>
        </is>
      </c>
      <c r="H1967">
        <f>IF(A1967&lt;=NWeeks,1,0)</f>
        <v/>
      </c>
      <c r="I1967">
        <f>INDEX(ChLaunch,MATCH(E1967,ChName,0))</f>
        <v/>
      </c>
      <c r="J1967">
        <f>INDEX(ChWeeksFull,MATCH(E1967,ChName,0))</f>
        <v/>
      </c>
      <c r="K1967">
        <f>INDEX(ChRamp,MATCH(E1967,ChName,0))</f>
        <v/>
      </c>
      <c r="L1967" s="45">
        <f>MIN(1,MAX(0,(A1967-I1967+1)*RampSpeed/J1967))</f>
        <v/>
      </c>
      <c r="M1967" s="45">
        <f>IF(A1967&lt;I1967,0,IF(K1967="S-curve",L1967*L1967*(3-2*L1967),L1967))</f>
        <v/>
      </c>
      <c r="N1967" s="45">
        <f>1+(INDEX(SeasonIdx,A1967)-1)*SeasonAmp</f>
        <v/>
      </c>
      <c r="O1967" s="45">
        <f>IFERROR(INDEX(PSPct,MATCH(E1967&amp;"|"&amp;G1967,PSKey,0)),0)</f>
        <v/>
      </c>
      <c r="P1967" s="46">
        <f>INDEX(ChDoorVel,MATCH(E1967,ChName,0))*CalibScalar*(1+VelocityUplift)</f>
        <v/>
      </c>
      <c r="Q1967" s="46" t="n">
        <v>0</v>
      </c>
      <c r="R1967" s="46">
        <f>P1967*O1967*M1967*N1967*H1967</f>
        <v/>
      </c>
      <c r="S1967" s="46">
        <f>R1967*INDEX(FmtCansPerCase,MATCH(F1967,FmtName,0))</f>
        <v/>
      </c>
      <c r="T1967" s="46">
        <f>S1967/INDEX(FmtCansPerPack,MATCH(F1967,FmtName,0))</f>
        <v/>
      </c>
      <c r="U1967" s="47">
        <f>INDEX(ChBaseCP,MATCH(E1967,ChName,0))*(1+INDEX(ProvMod,MATCH(G1967,ProvCode,0)))*(1+PriceIndex)</f>
        <v/>
      </c>
      <c r="V1967" s="47">
        <f>R1967*U1967*INDEX(FmtBlendedPriceIdx,MATCH(F1967,FmtName,0))</f>
        <v/>
      </c>
      <c r="W1967" s="47">
        <f>T1967*INDEX(ProvSRP,MATCH(G1967,ProvCode,0))*(1+PriceIndex)</f>
        <v/>
      </c>
      <c r="X1967" s="47">
        <f>IF(GrossBasis="Wholesale",V1967,W1967)</f>
        <v/>
      </c>
      <c r="Y1967" s="47">
        <f>R1967*INDEX(FmtBlendedCogs,MATCH(F1967,FmtName,0))</f>
        <v/>
      </c>
      <c r="Z1967" s="47">
        <f>X1967-Y1967</f>
        <v/>
      </c>
    </row>
    <row r="1968">
      <c r="A1968" t="n">
        <v>6</v>
      </c>
      <c r="B1968" s="44">
        <f>FiscalStart+(A1968-1)*7</f>
        <v/>
      </c>
      <c r="C1968">
        <f>TEXT(B1968,"mmm yyyy")</f>
        <v/>
      </c>
      <c r="D1968">
        <f>"Q"&amp;(INT((A1968-1)/13)+1)</f>
        <v/>
      </c>
      <c r="E1968" t="inlineStr">
        <is>
          <t>Costco</t>
        </is>
      </c>
      <c r="F1968">
        <f>IFERROR(INDEX(ChFormat,MATCH(E1968,ChName,0)),"")</f>
        <v/>
      </c>
      <c r="G1968" t="inlineStr">
        <is>
          <t>NS</t>
        </is>
      </c>
      <c r="H1968">
        <f>IF(A1968&lt;=NWeeks,1,0)</f>
        <v/>
      </c>
      <c r="I1968">
        <f>INDEX(ChLaunch,MATCH(E1968,ChName,0))</f>
        <v/>
      </c>
      <c r="J1968">
        <f>INDEX(ChWeeksFull,MATCH(E1968,ChName,0))</f>
        <v/>
      </c>
      <c r="K1968">
        <f>INDEX(ChRamp,MATCH(E1968,ChName,0))</f>
        <v/>
      </c>
      <c r="L1968" s="45">
        <f>MIN(1,MAX(0,(A1968-I1968+1)*RampSpeed/J1968))</f>
        <v/>
      </c>
      <c r="M1968" s="45">
        <f>IF(A1968&lt;I1968,0,IF(K1968="S-curve",L1968*L1968*(3-2*L1968),L1968))</f>
        <v/>
      </c>
      <c r="N1968" s="45">
        <f>1+(INDEX(SeasonIdx,A1968)-1)*SeasonAmp</f>
        <v/>
      </c>
      <c r="O1968" s="45">
        <f>IFERROR(INDEX(PSPct,MATCH(E1968&amp;"|"&amp;G1968,PSKey,0)),0)</f>
        <v/>
      </c>
      <c r="P1968" s="46">
        <f>INDEX(ChDoorVel,MATCH(E1968,ChName,0))*CalibScalar*(1+VelocityUplift)</f>
        <v/>
      </c>
      <c r="Q1968" s="46" t="n">
        <v>0</v>
      </c>
      <c r="R1968" s="46">
        <f>P1968*O1968*M1968*N1968*H1968</f>
        <v/>
      </c>
      <c r="S1968" s="46">
        <f>R1968*INDEX(FmtCansPerCase,MATCH(F1968,FmtName,0))</f>
        <v/>
      </c>
      <c r="T1968" s="46">
        <f>S1968/INDEX(FmtCansPerPack,MATCH(F1968,FmtName,0))</f>
        <v/>
      </c>
      <c r="U1968" s="47">
        <f>INDEX(ChBaseCP,MATCH(E1968,ChName,0))*(1+INDEX(ProvMod,MATCH(G1968,ProvCode,0)))*(1+PriceIndex)</f>
        <v/>
      </c>
      <c r="V1968" s="47">
        <f>R1968*U1968*INDEX(FmtBlendedPriceIdx,MATCH(F1968,FmtName,0))</f>
        <v/>
      </c>
      <c r="W1968" s="47">
        <f>T1968*INDEX(ProvSRP,MATCH(G1968,ProvCode,0))*(1+PriceIndex)</f>
        <v/>
      </c>
      <c r="X1968" s="47">
        <f>IF(GrossBasis="Wholesale",V1968,W1968)</f>
        <v/>
      </c>
      <c r="Y1968" s="47">
        <f>R1968*INDEX(FmtBlendedCogs,MATCH(F1968,FmtName,0))</f>
        <v/>
      </c>
      <c r="Z1968" s="47">
        <f>X1968-Y1968</f>
        <v/>
      </c>
    </row>
    <row r="1969">
      <c r="A1969" t="n">
        <v>7</v>
      </c>
      <c r="B1969" s="44">
        <f>FiscalStart+(A1969-1)*7</f>
        <v/>
      </c>
      <c r="C1969">
        <f>TEXT(B1969,"mmm yyyy")</f>
        <v/>
      </c>
      <c r="D1969">
        <f>"Q"&amp;(INT((A1969-1)/13)+1)</f>
        <v/>
      </c>
      <c r="E1969" t="inlineStr">
        <is>
          <t>Costco</t>
        </is>
      </c>
      <c r="F1969">
        <f>IFERROR(INDEX(ChFormat,MATCH(E1969,ChName,0)),"")</f>
        <v/>
      </c>
      <c r="G1969" t="inlineStr">
        <is>
          <t>NS</t>
        </is>
      </c>
      <c r="H1969">
        <f>IF(A1969&lt;=NWeeks,1,0)</f>
        <v/>
      </c>
      <c r="I1969">
        <f>INDEX(ChLaunch,MATCH(E1969,ChName,0))</f>
        <v/>
      </c>
      <c r="J1969">
        <f>INDEX(ChWeeksFull,MATCH(E1969,ChName,0))</f>
        <v/>
      </c>
      <c r="K1969">
        <f>INDEX(ChRamp,MATCH(E1969,ChName,0))</f>
        <v/>
      </c>
      <c r="L1969" s="45">
        <f>MIN(1,MAX(0,(A1969-I1969+1)*RampSpeed/J1969))</f>
        <v/>
      </c>
      <c r="M1969" s="45">
        <f>IF(A1969&lt;I1969,0,IF(K1969="S-curve",L1969*L1969*(3-2*L1969),L1969))</f>
        <v/>
      </c>
      <c r="N1969" s="45">
        <f>1+(INDEX(SeasonIdx,A1969)-1)*SeasonAmp</f>
        <v/>
      </c>
      <c r="O1969" s="45">
        <f>IFERROR(INDEX(PSPct,MATCH(E1969&amp;"|"&amp;G1969,PSKey,0)),0)</f>
        <v/>
      </c>
      <c r="P1969" s="46">
        <f>INDEX(ChDoorVel,MATCH(E1969,ChName,0))*CalibScalar*(1+VelocityUplift)</f>
        <v/>
      </c>
      <c r="Q1969" s="46" t="n">
        <v>0</v>
      </c>
      <c r="R1969" s="46">
        <f>P1969*O1969*M1969*N1969*H1969</f>
        <v/>
      </c>
      <c r="S1969" s="46">
        <f>R1969*INDEX(FmtCansPerCase,MATCH(F1969,FmtName,0))</f>
        <v/>
      </c>
      <c r="T1969" s="46">
        <f>S1969/INDEX(FmtCansPerPack,MATCH(F1969,FmtName,0))</f>
        <v/>
      </c>
      <c r="U1969" s="47">
        <f>INDEX(ChBaseCP,MATCH(E1969,ChName,0))*(1+INDEX(ProvMod,MATCH(G1969,ProvCode,0)))*(1+PriceIndex)</f>
        <v/>
      </c>
      <c r="V1969" s="47">
        <f>R1969*U1969*INDEX(FmtBlendedPriceIdx,MATCH(F1969,FmtName,0))</f>
        <v/>
      </c>
      <c r="W1969" s="47">
        <f>T1969*INDEX(ProvSRP,MATCH(G1969,ProvCode,0))*(1+PriceIndex)</f>
        <v/>
      </c>
      <c r="X1969" s="47">
        <f>IF(GrossBasis="Wholesale",V1969,W1969)</f>
        <v/>
      </c>
      <c r="Y1969" s="47">
        <f>R1969*INDEX(FmtBlendedCogs,MATCH(F1969,FmtName,0))</f>
        <v/>
      </c>
      <c r="Z1969" s="47">
        <f>X1969-Y1969</f>
        <v/>
      </c>
    </row>
    <row r="1970">
      <c r="A1970" t="n">
        <v>8</v>
      </c>
      <c r="B1970" s="44">
        <f>FiscalStart+(A1970-1)*7</f>
        <v/>
      </c>
      <c r="C1970">
        <f>TEXT(B1970,"mmm yyyy")</f>
        <v/>
      </c>
      <c r="D1970">
        <f>"Q"&amp;(INT((A1970-1)/13)+1)</f>
        <v/>
      </c>
      <c r="E1970" t="inlineStr">
        <is>
          <t>Costco</t>
        </is>
      </c>
      <c r="F1970">
        <f>IFERROR(INDEX(ChFormat,MATCH(E1970,ChName,0)),"")</f>
        <v/>
      </c>
      <c r="G1970" t="inlineStr">
        <is>
          <t>NS</t>
        </is>
      </c>
      <c r="H1970">
        <f>IF(A1970&lt;=NWeeks,1,0)</f>
        <v/>
      </c>
      <c r="I1970">
        <f>INDEX(ChLaunch,MATCH(E1970,ChName,0))</f>
        <v/>
      </c>
      <c r="J1970">
        <f>INDEX(ChWeeksFull,MATCH(E1970,ChName,0))</f>
        <v/>
      </c>
      <c r="K1970">
        <f>INDEX(ChRamp,MATCH(E1970,ChName,0))</f>
        <v/>
      </c>
      <c r="L1970" s="45">
        <f>MIN(1,MAX(0,(A1970-I1970+1)*RampSpeed/J1970))</f>
        <v/>
      </c>
      <c r="M1970" s="45">
        <f>IF(A1970&lt;I1970,0,IF(K1970="S-curve",L1970*L1970*(3-2*L1970),L1970))</f>
        <v/>
      </c>
      <c r="N1970" s="45">
        <f>1+(INDEX(SeasonIdx,A1970)-1)*SeasonAmp</f>
        <v/>
      </c>
      <c r="O1970" s="45">
        <f>IFERROR(INDEX(PSPct,MATCH(E1970&amp;"|"&amp;G1970,PSKey,0)),0)</f>
        <v/>
      </c>
      <c r="P1970" s="46">
        <f>INDEX(ChDoorVel,MATCH(E1970,ChName,0))*CalibScalar*(1+VelocityUplift)</f>
        <v/>
      </c>
      <c r="Q1970" s="46" t="n">
        <v>0</v>
      </c>
      <c r="R1970" s="46">
        <f>P1970*O1970*M1970*N1970*H1970</f>
        <v/>
      </c>
      <c r="S1970" s="46">
        <f>R1970*INDEX(FmtCansPerCase,MATCH(F1970,FmtName,0))</f>
        <v/>
      </c>
      <c r="T1970" s="46">
        <f>S1970/INDEX(FmtCansPerPack,MATCH(F1970,FmtName,0))</f>
        <v/>
      </c>
      <c r="U1970" s="47">
        <f>INDEX(ChBaseCP,MATCH(E1970,ChName,0))*(1+INDEX(ProvMod,MATCH(G1970,ProvCode,0)))*(1+PriceIndex)</f>
        <v/>
      </c>
      <c r="V1970" s="47">
        <f>R1970*U1970*INDEX(FmtBlendedPriceIdx,MATCH(F1970,FmtName,0))</f>
        <v/>
      </c>
      <c r="W1970" s="47">
        <f>T1970*INDEX(ProvSRP,MATCH(G1970,ProvCode,0))*(1+PriceIndex)</f>
        <v/>
      </c>
      <c r="X1970" s="47">
        <f>IF(GrossBasis="Wholesale",V1970,W1970)</f>
        <v/>
      </c>
      <c r="Y1970" s="47">
        <f>R1970*INDEX(FmtBlendedCogs,MATCH(F1970,FmtName,0))</f>
        <v/>
      </c>
      <c r="Z1970" s="47">
        <f>X1970-Y1970</f>
        <v/>
      </c>
    </row>
    <row r="1971">
      <c r="A1971" t="n">
        <v>9</v>
      </c>
      <c r="B1971" s="44">
        <f>FiscalStart+(A1971-1)*7</f>
        <v/>
      </c>
      <c r="C1971">
        <f>TEXT(B1971,"mmm yyyy")</f>
        <v/>
      </c>
      <c r="D1971">
        <f>"Q"&amp;(INT((A1971-1)/13)+1)</f>
        <v/>
      </c>
      <c r="E1971" t="inlineStr">
        <is>
          <t>Costco</t>
        </is>
      </c>
      <c r="F1971">
        <f>IFERROR(INDEX(ChFormat,MATCH(E1971,ChName,0)),"")</f>
        <v/>
      </c>
      <c r="G1971" t="inlineStr">
        <is>
          <t>NS</t>
        </is>
      </c>
      <c r="H1971">
        <f>IF(A1971&lt;=NWeeks,1,0)</f>
        <v/>
      </c>
      <c r="I1971">
        <f>INDEX(ChLaunch,MATCH(E1971,ChName,0))</f>
        <v/>
      </c>
      <c r="J1971">
        <f>INDEX(ChWeeksFull,MATCH(E1971,ChName,0))</f>
        <v/>
      </c>
      <c r="K1971">
        <f>INDEX(ChRamp,MATCH(E1971,ChName,0))</f>
        <v/>
      </c>
      <c r="L1971" s="45">
        <f>MIN(1,MAX(0,(A1971-I1971+1)*RampSpeed/J1971))</f>
        <v/>
      </c>
      <c r="M1971" s="45">
        <f>IF(A1971&lt;I1971,0,IF(K1971="S-curve",L1971*L1971*(3-2*L1971),L1971))</f>
        <v/>
      </c>
      <c r="N1971" s="45">
        <f>1+(INDEX(SeasonIdx,A1971)-1)*SeasonAmp</f>
        <v/>
      </c>
      <c r="O1971" s="45">
        <f>IFERROR(INDEX(PSPct,MATCH(E1971&amp;"|"&amp;G1971,PSKey,0)),0)</f>
        <v/>
      </c>
      <c r="P1971" s="46">
        <f>INDEX(ChDoorVel,MATCH(E1971,ChName,0))*CalibScalar*(1+VelocityUplift)</f>
        <v/>
      </c>
      <c r="Q1971" s="46" t="n">
        <v>0</v>
      </c>
      <c r="R1971" s="46">
        <f>P1971*O1971*M1971*N1971*H1971</f>
        <v/>
      </c>
      <c r="S1971" s="46">
        <f>R1971*INDEX(FmtCansPerCase,MATCH(F1971,FmtName,0))</f>
        <v/>
      </c>
      <c r="T1971" s="46">
        <f>S1971/INDEX(FmtCansPerPack,MATCH(F1971,FmtName,0))</f>
        <v/>
      </c>
      <c r="U1971" s="47">
        <f>INDEX(ChBaseCP,MATCH(E1971,ChName,0))*(1+INDEX(ProvMod,MATCH(G1971,ProvCode,0)))*(1+PriceIndex)</f>
        <v/>
      </c>
      <c r="V1971" s="47">
        <f>R1971*U1971*INDEX(FmtBlendedPriceIdx,MATCH(F1971,FmtName,0))</f>
        <v/>
      </c>
      <c r="W1971" s="47">
        <f>T1971*INDEX(ProvSRP,MATCH(G1971,ProvCode,0))*(1+PriceIndex)</f>
        <v/>
      </c>
      <c r="X1971" s="47">
        <f>IF(GrossBasis="Wholesale",V1971,W1971)</f>
        <v/>
      </c>
      <c r="Y1971" s="47">
        <f>R1971*INDEX(FmtBlendedCogs,MATCH(F1971,FmtName,0))</f>
        <v/>
      </c>
      <c r="Z1971" s="47">
        <f>X1971-Y1971</f>
        <v/>
      </c>
    </row>
    <row r="1972">
      <c r="A1972" t="n">
        <v>10</v>
      </c>
      <c r="B1972" s="44">
        <f>FiscalStart+(A1972-1)*7</f>
        <v/>
      </c>
      <c r="C1972">
        <f>TEXT(B1972,"mmm yyyy")</f>
        <v/>
      </c>
      <c r="D1972">
        <f>"Q"&amp;(INT((A1972-1)/13)+1)</f>
        <v/>
      </c>
      <c r="E1972" t="inlineStr">
        <is>
          <t>Costco</t>
        </is>
      </c>
      <c r="F1972">
        <f>IFERROR(INDEX(ChFormat,MATCH(E1972,ChName,0)),"")</f>
        <v/>
      </c>
      <c r="G1972" t="inlineStr">
        <is>
          <t>NS</t>
        </is>
      </c>
      <c r="H1972">
        <f>IF(A1972&lt;=NWeeks,1,0)</f>
        <v/>
      </c>
      <c r="I1972">
        <f>INDEX(ChLaunch,MATCH(E1972,ChName,0))</f>
        <v/>
      </c>
      <c r="J1972">
        <f>INDEX(ChWeeksFull,MATCH(E1972,ChName,0))</f>
        <v/>
      </c>
      <c r="K1972">
        <f>INDEX(ChRamp,MATCH(E1972,ChName,0))</f>
        <v/>
      </c>
      <c r="L1972" s="45">
        <f>MIN(1,MAX(0,(A1972-I1972+1)*RampSpeed/J1972))</f>
        <v/>
      </c>
      <c r="M1972" s="45">
        <f>IF(A1972&lt;I1972,0,IF(K1972="S-curve",L1972*L1972*(3-2*L1972),L1972))</f>
        <v/>
      </c>
      <c r="N1972" s="45">
        <f>1+(INDEX(SeasonIdx,A1972)-1)*SeasonAmp</f>
        <v/>
      </c>
      <c r="O1972" s="45">
        <f>IFERROR(INDEX(PSPct,MATCH(E1972&amp;"|"&amp;G1972,PSKey,0)),0)</f>
        <v/>
      </c>
      <c r="P1972" s="46">
        <f>INDEX(ChDoorVel,MATCH(E1972,ChName,0))*CalibScalar*(1+VelocityUplift)</f>
        <v/>
      </c>
      <c r="Q1972" s="46" t="n">
        <v>0</v>
      </c>
      <c r="R1972" s="46">
        <f>P1972*O1972*M1972*N1972*H1972</f>
        <v/>
      </c>
      <c r="S1972" s="46">
        <f>R1972*INDEX(FmtCansPerCase,MATCH(F1972,FmtName,0))</f>
        <v/>
      </c>
      <c r="T1972" s="46">
        <f>S1972/INDEX(FmtCansPerPack,MATCH(F1972,FmtName,0))</f>
        <v/>
      </c>
      <c r="U1972" s="47">
        <f>INDEX(ChBaseCP,MATCH(E1972,ChName,0))*(1+INDEX(ProvMod,MATCH(G1972,ProvCode,0)))*(1+PriceIndex)</f>
        <v/>
      </c>
      <c r="V1972" s="47">
        <f>R1972*U1972*INDEX(FmtBlendedPriceIdx,MATCH(F1972,FmtName,0))</f>
        <v/>
      </c>
      <c r="W1972" s="47">
        <f>T1972*INDEX(ProvSRP,MATCH(G1972,ProvCode,0))*(1+PriceIndex)</f>
        <v/>
      </c>
      <c r="X1972" s="47">
        <f>IF(GrossBasis="Wholesale",V1972,W1972)</f>
        <v/>
      </c>
      <c r="Y1972" s="47">
        <f>R1972*INDEX(FmtBlendedCogs,MATCH(F1972,FmtName,0))</f>
        <v/>
      </c>
      <c r="Z1972" s="47">
        <f>X1972-Y1972</f>
        <v/>
      </c>
    </row>
    <row r="1973">
      <c r="A1973" t="n">
        <v>11</v>
      </c>
      <c r="B1973" s="44">
        <f>FiscalStart+(A1973-1)*7</f>
        <v/>
      </c>
      <c r="C1973">
        <f>TEXT(B1973,"mmm yyyy")</f>
        <v/>
      </c>
      <c r="D1973">
        <f>"Q"&amp;(INT((A1973-1)/13)+1)</f>
        <v/>
      </c>
      <c r="E1973" t="inlineStr">
        <is>
          <t>Costco</t>
        </is>
      </c>
      <c r="F1973">
        <f>IFERROR(INDEX(ChFormat,MATCH(E1973,ChName,0)),"")</f>
        <v/>
      </c>
      <c r="G1973" t="inlineStr">
        <is>
          <t>NS</t>
        </is>
      </c>
      <c r="H1973">
        <f>IF(A1973&lt;=NWeeks,1,0)</f>
        <v/>
      </c>
      <c r="I1973">
        <f>INDEX(ChLaunch,MATCH(E1973,ChName,0))</f>
        <v/>
      </c>
      <c r="J1973">
        <f>INDEX(ChWeeksFull,MATCH(E1973,ChName,0))</f>
        <v/>
      </c>
      <c r="K1973">
        <f>INDEX(ChRamp,MATCH(E1973,ChName,0))</f>
        <v/>
      </c>
      <c r="L1973" s="45">
        <f>MIN(1,MAX(0,(A1973-I1973+1)*RampSpeed/J1973))</f>
        <v/>
      </c>
      <c r="M1973" s="45">
        <f>IF(A1973&lt;I1973,0,IF(K1973="S-curve",L1973*L1973*(3-2*L1973),L1973))</f>
        <v/>
      </c>
      <c r="N1973" s="45">
        <f>1+(INDEX(SeasonIdx,A1973)-1)*SeasonAmp</f>
        <v/>
      </c>
      <c r="O1973" s="45">
        <f>IFERROR(INDEX(PSPct,MATCH(E1973&amp;"|"&amp;G1973,PSKey,0)),0)</f>
        <v/>
      </c>
      <c r="P1973" s="46">
        <f>INDEX(ChDoorVel,MATCH(E1973,ChName,0))*CalibScalar*(1+VelocityUplift)</f>
        <v/>
      </c>
      <c r="Q1973" s="46" t="n">
        <v>0</v>
      </c>
      <c r="R1973" s="46">
        <f>P1973*O1973*M1973*N1973*H1973</f>
        <v/>
      </c>
      <c r="S1973" s="46">
        <f>R1973*INDEX(FmtCansPerCase,MATCH(F1973,FmtName,0))</f>
        <v/>
      </c>
      <c r="T1973" s="46">
        <f>S1973/INDEX(FmtCansPerPack,MATCH(F1973,FmtName,0))</f>
        <v/>
      </c>
      <c r="U1973" s="47">
        <f>INDEX(ChBaseCP,MATCH(E1973,ChName,0))*(1+INDEX(ProvMod,MATCH(G1973,ProvCode,0)))*(1+PriceIndex)</f>
        <v/>
      </c>
      <c r="V1973" s="47">
        <f>R1973*U1973*INDEX(FmtBlendedPriceIdx,MATCH(F1973,FmtName,0))</f>
        <v/>
      </c>
      <c r="W1973" s="47">
        <f>T1973*INDEX(ProvSRP,MATCH(G1973,ProvCode,0))*(1+PriceIndex)</f>
        <v/>
      </c>
      <c r="X1973" s="47">
        <f>IF(GrossBasis="Wholesale",V1973,W1973)</f>
        <v/>
      </c>
      <c r="Y1973" s="47">
        <f>R1973*INDEX(FmtBlendedCogs,MATCH(F1973,FmtName,0))</f>
        <v/>
      </c>
      <c r="Z1973" s="47">
        <f>X1973-Y1973</f>
        <v/>
      </c>
    </row>
    <row r="1974">
      <c r="A1974" t="n">
        <v>12</v>
      </c>
      <c r="B1974" s="44">
        <f>FiscalStart+(A1974-1)*7</f>
        <v/>
      </c>
      <c r="C1974">
        <f>TEXT(B1974,"mmm yyyy")</f>
        <v/>
      </c>
      <c r="D1974">
        <f>"Q"&amp;(INT((A1974-1)/13)+1)</f>
        <v/>
      </c>
      <c r="E1974" t="inlineStr">
        <is>
          <t>Costco</t>
        </is>
      </c>
      <c r="F1974">
        <f>IFERROR(INDEX(ChFormat,MATCH(E1974,ChName,0)),"")</f>
        <v/>
      </c>
      <c r="G1974" t="inlineStr">
        <is>
          <t>NS</t>
        </is>
      </c>
      <c r="H1974">
        <f>IF(A1974&lt;=NWeeks,1,0)</f>
        <v/>
      </c>
      <c r="I1974">
        <f>INDEX(ChLaunch,MATCH(E1974,ChName,0))</f>
        <v/>
      </c>
      <c r="J1974">
        <f>INDEX(ChWeeksFull,MATCH(E1974,ChName,0))</f>
        <v/>
      </c>
      <c r="K1974">
        <f>INDEX(ChRamp,MATCH(E1974,ChName,0))</f>
        <v/>
      </c>
      <c r="L1974" s="45">
        <f>MIN(1,MAX(0,(A1974-I1974+1)*RampSpeed/J1974))</f>
        <v/>
      </c>
      <c r="M1974" s="45">
        <f>IF(A1974&lt;I1974,0,IF(K1974="S-curve",L1974*L1974*(3-2*L1974),L1974))</f>
        <v/>
      </c>
      <c r="N1974" s="45">
        <f>1+(INDEX(SeasonIdx,A1974)-1)*SeasonAmp</f>
        <v/>
      </c>
      <c r="O1974" s="45">
        <f>IFERROR(INDEX(PSPct,MATCH(E1974&amp;"|"&amp;G1974,PSKey,0)),0)</f>
        <v/>
      </c>
      <c r="P1974" s="46">
        <f>INDEX(ChDoorVel,MATCH(E1974,ChName,0))*CalibScalar*(1+VelocityUplift)</f>
        <v/>
      </c>
      <c r="Q1974" s="46" t="n">
        <v>0</v>
      </c>
      <c r="R1974" s="46">
        <f>P1974*O1974*M1974*N1974*H1974</f>
        <v/>
      </c>
      <c r="S1974" s="46">
        <f>R1974*INDEX(FmtCansPerCase,MATCH(F1974,FmtName,0))</f>
        <v/>
      </c>
      <c r="T1974" s="46">
        <f>S1974/INDEX(FmtCansPerPack,MATCH(F1974,FmtName,0))</f>
        <v/>
      </c>
      <c r="U1974" s="47">
        <f>INDEX(ChBaseCP,MATCH(E1974,ChName,0))*(1+INDEX(ProvMod,MATCH(G1974,ProvCode,0)))*(1+PriceIndex)</f>
        <v/>
      </c>
      <c r="V1974" s="47">
        <f>R1974*U1974*INDEX(FmtBlendedPriceIdx,MATCH(F1974,FmtName,0))</f>
        <v/>
      </c>
      <c r="W1974" s="47">
        <f>T1974*INDEX(ProvSRP,MATCH(G1974,ProvCode,0))*(1+PriceIndex)</f>
        <v/>
      </c>
      <c r="X1974" s="47">
        <f>IF(GrossBasis="Wholesale",V1974,W1974)</f>
        <v/>
      </c>
      <c r="Y1974" s="47">
        <f>R1974*INDEX(FmtBlendedCogs,MATCH(F1974,FmtName,0))</f>
        <v/>
      </c>
      <c r="Z1974" s="47">
        <f>X1974-Y1974</f>
        <v/>
      </c>
    </row>
    <row r="1975">
      <c r="A1975" t="n">
        <v>13</v>
      </c>
      <c r="B1975" s="44">
        <f>FiscalStart+(A1975-1)*7</f>
        <v/>
      </c>
      <c r="C1975">
        <f>TEXT(B1975,"mmm yyyy")</f>
        <v/>
      </c>
      <c r="D1975">
        <f>"Q"&amp;(INT((A1975-1)/13)+1)</f>
        <v/>
      </c>
      <c r="E1975" t="inlineStr">
        <is>
          <t>Costco</t>
        </is>
      </c>
      <c r="F1975">
        <f>IFERROR(INDEX(ChFormat,MATCH(E1975,ChName,0)),"")</f>
        <v/>
      </c>
      <c r="G1975" t="inlineStr">
        <is>
          <t>NS</t>
        </is>
      </c>
      <c r="H1975">
        <f>IF(A1975&lt;=NWeeks,1,0)</f>
        <v/>
      </c>
      <c r="I1975">
        <f>INDEX(ChLaunch,MATCH(E1975,ChName,0))</f>
        <v/>
      </c>
      <c r="J1975">
        <f>INDEX(ChWeeksFull,MATCH(E1975,ChName,0))</f>
        <v/>
      </c>
      <c r="K1975">
        <f>INDEX(ChRamp,MATCH(E1975,ChName,0))</f>
        <v/>
      </c>
      <c r="L1975" s="45">
        <f>MIN(1,MAX(0,(A1975-I1975+1)*RampSpeed/J1975))</f>
        <v/>
      </c>
      <c r="M1975" s="45">
        <f>IF(A1975&lt;I1975,0,IF(K1975="S-curve",L1975*L1975*(3-2*L1975),L1975))</f>
        <v/>
      </c>
      <c r="N1975" s="45">
        <f>1+(INDEX(SeasonIdx,A1975)-1)*SeasonAmp</f>
        <v/>
      </c>
      <c r="O1975" s="45">
        <f>IFERROR(INDEX(PSPct,MATCH(E1975&amp;"|"&amp;G1975,PSKey,0)),0)</f>
        <v/>
      </c>
      <c r="P1975" s="46">
        <f>INDEX(ChDoorVel,MATCH(E1975,ChName,0))*CalibScalar*(1+VelocityUplift)</f>
        <v/>
      </c>
      <c r="Q1975" s="46" t="n">
        <v>0</v>
      </c>
      <c r="R1975" s="46">
        <f>P1975*O1975*M1975*N1975*H1975</f>
        <v/>
      </c>
      <c r="S1975" s="46">
        <f>R1975*INDEX(FmtCansPerCase,MATCH(F1975,FmtName,0))</f>
        <v/>
      </c>
      <c r="T1975" s="46">
        <f>S1975/INDEX(FmtCansPerPack,MATCH(F1975,FmtName,0))</f>
        <v/>
      </c>
      <c r="U1975" s="47">
        <f>INDEX(ChBaseCP,MATCH(E1975,ChName,0))*(1+INDEX(ProvMod,MATCH(G1975,ProvCode,0)))*(1+PriceIndex)</f>
        <v/>
      </c>
      <c r="V1975" s="47">
        <f>R1975*U1975*INDEX(FmtBlendedPriceIdx,MATCH(F1975,FmtName,0))</f>
        <v/>
      </c>
      <c r="W1975" s="47">
        <f>T1975*INDEX(ProvSRP,MATCH(G1975,ProvCode,0))*(1+PriceIndex)</f>
        <v/>
      </c>
      <c r="X1975" s="47">
        <f>IF(GrossBasis="Wholesale",V1975,W1975)</f>
        <v/>
      </c>
      <c r="Y1975" s="47">
        <f>R1975*INDEX(FmtBlendedCogs,MATCH(F1975,FmtName,0))</f>
        <v/>
      </c>
      <c r="Z1975" s="47">
        <f>X1975-Y1975</f>
        <v/>
      </c>
    </row>
    <row r="1976">
      <c r="A1976" t="n">
        <v>14</v>
      </c>
      <c r="B1976" s="44">
        <f>FiscalStart+(A1976-1)*7</f>
        <v/>
      </c>
      <c r="C1976">
        <f>TEXT(B1976,"mmm yyyy")</f>
        <v/>
      </c>
      <c r="D1976">
        <f>"Q"&amp;(INT((A1976-1)/13)+1)</f>
        <v/>
      </c>
      <c r="E1976" t="inlineStr">
        <is>
          <t>Costco</t>
        </is>
      </c>
      <c r="F1976">
        <f>IFERROR(INDEX(ChFormat,MATCH(E1976,ChName,0)),"")</f>
        <v/>
      </c>
      <c r="G1976" t="inlineStr">
        <is>
          <t>NS</t>
        </is>
      </c>
      <c r="H1976">
        <f>IF(A1976&lt;=NWeeks,1,0)</f>
        <v/>
      </c>
      <c r="I1976">
        <f>INDEX(ChLaunch,MATCH(E1976,ChName,0))</f>
        <v/>
      </c>
      <c r="J1976">
        <f>INDEX(ChWeeksFull,MATCH(E1976,ChName,0))</f>
        <v/>
      </c>
      <c r="K1976">
        <f>INDEX(ChRamp,MATCH(E1976,ChName,0))</f>
        <v/>
      </c>
      <c r="L1976" s="45">
        <f>MIN(1,MAX(0,(A1976-I1976+1)*RampSpeed/J1976))</f>
        <v/>
      </c>
      <c r="M1976" s="45">
        <f>IF(A1976&lt;I1976,0,IF(K1976="S-curve",L1976*L1976*(3-2*L1976),L1976))</f>
        <v/>
      </c>
      <c r="N1976" s="45">
        <f>1+(INDEX(SeasonIdx,A1976)-1)*SeasonAmp</f>
        <v/>
      </c>
      <c r="O1976" s="45">
        <f>IFERROR(INDEX(PSPct,MATCH(E1976&amp;"|"&amp;G1976,PSKey,0)),0)</f>
        <v/>
      </c>
      <c r="P1976" s="46">
        <f>INDEX(ChDoorVel,MATCH(E1976,ChName,0))*CalibScalar*(1+VelocityUplift)</f>
        <v/>
      </c>
      <c r="Q1976" s="46" t="n">
        <v>0</v>
      </c>
      <c r="R1976" s="46">
        <f>P1976*O1976*M1976*N1976*H1976</f>
        <v/>
      </c>
      <c r="S1976" s="46">
        <f>R1976*INDEX(FmtCansPerCase,MATCH(F1976,FmtName,0))</f>
        <v/>
      </c>
      <c r="T1976" s="46">
        <f>S1976/INDEX(FmtCansPerPack,MATCH(F1976,FmtName,0))</f>
        <v/>
      </c>
      <c r="U1976" s="47">
        <f>INDEX(ChBaseCP,MATCH(E1976,ChName,0))*(1+INDEX(ProvMod,MATCH(G1976,ProvCode,0)))*(1+PriceIndex)</f>
        <v/>
      </c>
      <c r="V1976" s="47">
        <f>R1976*U1976*INDEX(FmtBlendedPriceIdx,MATCH(F1976,FmtName,0))</f>
        <v/>
      </c>
      <c r="W1976" s="47">
        <f>T1976*INDEX(ProvSRP,MATCH(G1976,ProvCode,0))*(1+PriceIndex)</f>
        <v/>
      </c>
      <c r="X1976" s="47">
        <f>IF(GrossBasis="Wholesale",V1976,W1976)</f>
        <v/>
      </c>
      <c r="Y1976" s="47">
        <f>R1976*INDEX(FmtBlendedCogs,MATCH(F1976,FmtName,0))</f>
        <v/>
      </c>
      <c r="Z1976" s="47">
        <f>X1976-Y1976</f>
        <v/>
      </c>
    </row>
    <row r="1977">
      <c r="A1977" t="n">
        <v>15</v>
      </c>
      <c r="B1977" s="44">
        <f>FiscalStart+(A1977-1)*7</f>
        <v/>
      </c>
      <c r="C1977">
        <f>TEXT(B1977,"mmm yyyy")</f>
        <v/>
      </c>
      <c r="D1977">
        <f>"Q"&amp;(INT((A1977-1)/13)+1)</f>
        <v/>
      </c>
      <c r="E1977" t="inlineStr">
        <is>
          <t>Costco</t>
        </is>
      </c>
      <c r="F1977">
        <f>IFERROR(INDEX(ChFormat,MATCH(E1977,ChName,0)),"")</f>
        <v/>
      </c>
      <c r="G1977" t="inlineStr">
        <is>
          <t>NS</t>
        </is>
      </c>
      <c r="H1977">
        <f>IF(A1977&lt;=NWeeks,1,0)</f>
        <v/>
      </c>
      <c r="I1977">
        <f>INDEX(ChLaunch,MATCH(E1977,ChName,0))</f>
        <v/>
      </c>
      <c r="J1977">
        <f>INDEX(ChWeeksFull,MATCH(E1977,ChName,0))</f>
        <v/>
      </c>
      <c r="K1977">
        <f>INDEX(ChRamp,MATCH(E1977,ChName,0))</f>
        <v/>
      </c>
      <c r="L1977" s="45">
        <f>MIN(1,MAX(0,(A1977-I1977+1)*RampSpeed/J1977))</f>
        <v/>
      </c>
      <c r="M1977" s="45">
        <f>IF(A1977&lt;I1977,0,IF(K1977="S-curve",L1977*L1977*(3-2*L1977),L1977))</f>
        <v/>
      </c>
      <c r="N1977" s="45">
        <f>1+(INDEX(SeasonIdx,A1977)-1)*SeasonAmp</f>
        <v/>
      </c>
      <c r="O1977" s="45">
        <f>IFERROR(INDEX(PSPct,MATCH(E1977&amp;"|"&amp;G1977,PSKey,0)),0)</f>
        <v/>
      </c>
      <c r="P1977" s="46">
        <f>INDEX(ChDoorVel,MATCH(E1977,ChName,0))*CalibScalar*(1+VelocityUplift)</f>
        <v/>
      </c>
      <c r="Q1977" s="46" t="n">
        <v>0</v>
      </c>
      <c r="R1977" s="46">
        <f>P1977*O1977*M1977*N1977*H1977</f>
        <v/>
      </c>
      <c r="S1977" s="46">
        <f>R1977*INDEX(FmtCansPerCase,MATCH(F1977,FmtName,0))</f>
        <v/>
      </c>
      <c r="T1977" s="46">
        <f>S1977/INDEX(FmtCansPerPack,MATCH(F1977,FmtName,0))</f>
        <v/>
      </c>
      <c r="U1977" s="47">
        <f>INDEX(ChBaseCP,MATCH(E1977,ChName,0))*(1+INDEX(ProvMod,MATCH(G1977,ProvCode,0)))*(1+PriceIndex)</f>
        <v/>
      </c>
      <c r="V1977" s="47">
        <f>R1977*U1977*INDEX(FmtBlendedPriceIdx,MATCH(F1977,FmtName,0))</f>
        <v/>
      </c>
      <c r="W1977" s="47">
        <f>T1977*INDEX(ProvSRP,MATCH(G1977,ProvCode,0))*(1+PriceIndex)</f>
        <v/>
      </c>
      <c r="X1977" s="47">
        <f>IF(GrossBasis="Wholesale",V1977,W1977)</f>
        <v/>
      </c>
      <c r="Y1977" s="47">
        <f>R1977*INDEX(FmtBlendedCogs,MATCH(F1977,FmtName,0))</f>
        <v/>
      </c>
      <c r="Z1977" s="47">
        <f>X1977-Y1977</f>
        <v/>
      </c>
    </row>
    <row r="1978">
      <c r="A1978" t="n">
        <v>16</v>
      </c>
      <c r="B1978" s="44">
        <f>FiscalStart+(A1978-1)*7</f>
        <v/>
      </c>
      <c r="C1978">
        <f>TEXT(B1978,"mmm yyyy")</f>
        <v/>
      </c>
      <c r="D1978">
        <f>"Q"&amp;(INT((A1978-1)/13)+1)</f>
        <v/>
      </c>
      <c r="E1978" t="inlineStr">
        <is>
          <t>Costco</t>
        </is>
      </c>
      <c r="F1978">
        <f>IFERROR(INDEX(ChFormat,MATCH(E1978,ChName,0)),"")</f>
        <v/>
      </c>
      <c r="G1978" t="inlineStr">
        <is>
          <t>NS</t>
        </is>
      </c>
      <c r="H1978">
        <f>IF(A1978&lt;=NWeeks,1,0)</f>
        <v/>
      </c>
      <c r="I1978">
        <f>INDEX(ChLaunch,MATCH(E1978,ChName,0))</f>
        <v/>
      </c>
      <c r="J1978">
        <f>INDEX(ChWeeksFull,MATCH(E1978,ChName,0))</f>
        <v/>
      </c>
      <c r="K1978">
        <f>INDEX(ChRamp,MATCH(E1978,ChName,0))</f>
        <v/>
      </c>
      <c r="L1978" s="45">
        <f>MIN(1,MAX(0,(A1978-I1978+1)*RampSpeed/J1978))</f>
        <v/>
      </c>
      <c r="M1978" s="45">
        <f>IF(A1978&lt;I1978,0,IF(K1978="S-curve",L1978*L1978*(3-2*L1978),L1978))</f>
        <v/>
      </c>
      <c r="N1978" s="45">
        <f>1+(INDEX(SeasonIdx,A1978)-1)*SeasonAmp</f>
        <v/>
      </c>
      <c r="O1978" s="45">
        <f>IFERROR(INDEX(PSPct,MATCH(E1978&amp;"|"&amp;G1978,PSKey,0)),0)</f>
        <v/>
      </c>
      <c r="P1978" s="46">
        <f>INDEX(ChDoorVel,MATCH(E1978,ChName,0))*CalibScalar*(1+VelocityUplift)</f>
        <v/>
      </c>
      <c r="Q1978" s="46" t="n">
        <v>0</v>
      </c>
      <c r="R1978" s="46">
        <f>P1978*O1978*M1978*N1978*H1978</f>
        <v/>
      </c>
      <c r="S1978" s="46">
        <f>R1978*INDEX(FmtCansPerCase,MATCH(F1978,FmtName,0))</f>
        <v/>
      </c>
      <c r="T1978" s="46">
        <f>S1978/INDEX(FmtCansPerPack,MATCH(F1978,FmtName,0))</f>
        <v/>
      </c>
      <c r="U1978" s="47">
        <f>INDEX(ChBaseCP,MATCH(E1978,ChName,0))*(1+INDEX(ProvMod,MATCH(G1978,ProvCode,0)))*(1+PriceIndex)</f>
        <v/>
      </c>
      <c r="V1978" s="47">
        <f>R1978*U1978*INDEX(FmtBlendedPriceIdx,MATCH(F1978,FmtName,0))</f>
        <v/>
      </c>
      <c r="W1978" s="47">
        <f>T1978*INDEX(ProvSRP,MATCH(G1978,ProvCode,0))*(1+PriceIndex)</f>
        <v/>
      </c>
      <c r="X1978" s="47">
        <f>IF(GrossBasis="Wholesale",V1978,W1978)</f>
        <v/>
      </c>
      <c r="Y1978" s="47">
        <f>R1978*INDEX(FmtBlendedCogs,MATCH(F1978,FmtName,0))</f>
        <v/>
      </c>
      <c r="Z1978" s="47">
        <f>X1978-Y1978</f>
        <v/>
      </c>
    </row>
    <row r="1979">
      <c r="A1979" t="n">
        <v>17</v>
      </c>
      <c r="B1979" s="44">
        <f>FiscalStart+(A1979-1)*7</f>
        <v/>
      </c>
      <c r="C1979">
        <f>TEXT(B1979,"mmm yyyy")</f>
        <v/>
      </c>
      <c r="D1979">
        <f>"Q"&amp;(INT((A1979-1)/13)+1)</f>
        <v/>
      </c>
      <c r="E1979" t="inlineStr">
        <is>
          <t>Costco</t>
        </is>
      </c>
      <c r="F1979">
        <f>IFERROR(INDEX(ChFormat,MATCH(E1979,ChName,0)),"")</f>
        <v/>
      </c>
      <c r="G1979" t="inlineStr">
        <is>
          <t>NS</t>
        </is>
      </c>
      <c r="H1979">
        <f>IF(A1979&lt;=NWeeks,1,0)</f>
        <v/>
      </c>
      <c r="I1979">
        <f>INDEX(ChLaunch,MATCH(E1979,ChName,0))</f>
        <v/>
      </c>
      <c r="J1979">
        <f>INDEX(ChWeeksFull,MATCH(E1979,ChName,0))</f>
        <v/>
      </c>
      <c r="K1979">
        <f>INDEX(ChRamp,MATCH(E1979,ChName,0))</f>
        <v/>
      </c>
      <c r="L1979" s="45">
        <f>MIN(1,MAX(0,(A1979-I1979+1)*RampSpeed/J1979))</f>
        <v/>
      </c>
      <c r="M1979" s="45">
        <f>IF(A1979&lt;I1979,0,IF(K1979="S-curve",L1979*L1979*(3-2*L1979),L1979))</f>
        <v/>
      </c>
      <c r="N1979" s="45">
        <f>1+(INDEX(SeasonIdx,A1979)-1)*SeasonAmp</f>
        <v/>
      </c>
      <c r="O1979" s="45">
        <f>IFERROR(INDEX(PSPct,MATCH(E1979&amp;"|"&amp;G1979,PSKey,0)),0)</f>
        <v/>
      </c>
      <c r="P1979" s="46">
        <f>INDEX(ChDoorVel,MATCH(E1979,ChName,0))*CalibScalar*(1+VelocityUplift)</f>
        <v/>
      </c>
      <c r="Q1979" s="46" t="n">
        <v>0</v>
      </c>
      <c r="R1979" s="46">
        <f>P1979*O1979*M1979*N1979*H1979</f>
        <v/>
      </c>
      <c r="S1979" s="46">
        <f>R1979*INDEX(FmtCansPerCase,MATCH(F1979,FmtName,0))</f>
        <v/>
      </c>
      <c r="T1979" s="46">
        <f>S1979/INDEX(FmtCansPerPack,MATCH(F1979,FmtName,0))</f>
        <v/>
      </c>
      <c r="U1979" s="47">
        <f>INDEX(ChBaseCP,MATCH(E1979,ChName,0))*(1+INDEX(ProvMod,MATCH(G1979,ProvCode,0)))*(1+PriceIndex)</f>
        <v/>
      </c>
      <c r="V1979" s="47">
        <f>R1979*U1979*INDEX(FmtBlendedPriceIdx,MATCH(F1979,FmtName,0))</f>
        <v/>
      </c>
      <c r="W1979" s="47">
        <f>T1979*INDEX(ProvSRP,MATCH(G1979,ProvCode,0))*(1+PriceIndex)</f>
        <v/>
      </c>
      <c r="X1979" s="47">
        <f>IF(GrossBasis="Wholesale",V1979,W1979)</f>
        <v/>
      </c>
      <c r="Y1979" s="47">
        <f>R1979*INDEX(FmtBlendedCogs,MATCH(F1979,FmtName,0))</f>
        <v/>
      </c>
      <c r="Z1979" s="47">
        <f>X1979-Y1979</f>
        <v/>
      </c>
    </row>
    <row r="1980">
      <c r="A1980" t="n">
        <v>18</v>
      </c>
      <c r="B1980" s="44">
        <f>FiscalStart+(A1980-1)*7</f>
        <v/>
      </c>
      <c r="C1980">
        <f>TEXT(B1980,"mmm yyyy")</f>
        <v/>
      </c>
      <c r="D1980">
        <f>"Q"&amp;(INT((A1980-1)/13)+1)</f>
        <v/>
      </c>
      <c r="E1980" t="inlineStr">
        <is>
          <t>Costco</t>
        </is>
      </c>
      <c r="F1980">
        <f>IFERROR(INDEX(ChFormat,MATCH(E1980,ChName,0)),"")</f>
        <v/>
      </c>
      <c r="G1980" t="inlineStr">
        <is>
          <t>NS</t>
        </is>
      </c>
      <c r="H1980">
        <f>IF(A1980&lt;=NWeeks,1,0)</f>
        <v/>
      </c>
      <c r="I1980">
        <f>INDEX(ChLaunch,MATCH(E1980,ChName,0))</f>
        <v/>
      </c>
      <c r="J1980">
        <f>INDEX(ChWeeksFull,MATCH(E1980,ChName,0))</f>
        <v/>
      </c>
      <c r="K1980">
        <f>INDEX(ChRamp,MATCH(E1980,ChName,0))</f>
        <v/>
      </c>
      <c r="L1980" s="45">
        <f>MIN(1,MAX(0,(A1980-I1980+1)*RampSpeed/J1980))</f>
        <v/>
      </c>
      <c r="M1980" s="45">
        <f>IF(A1980&lt;I1980,0,IF(K1980="S-curve",L1980*L1980*(3-2*L1980),L1980))</f>
        <v/>
      </c>
      <c r="N1980" s="45">
        <f>1+(INDEX(SeasonIdx,A1980)-1)*SeasonAmp</f>
        <v/>
      </c>
      <c r="O1980" s="45">
        <f>IFERROR(INDEX(PSPct,MATCH(E1980&amp;"|"&amp;G1980,PSKey,0)),0)</f>
        <v/>
      </c>
      <c r="P1980" s="46">
        <f>INDEX(ChDoorVel,MATCH(E1980,ChName,0))*CalibScalar*(1+VelocityUplift)</f>
        <v/>
      </c>
      <c r="Q1980" s="46" t="n">
        <v>0</v>
      </c>
      <c r="R1980" s="46">
        <f>P1980*O1980*M1980*N1980*H1980</f>
        <v/>
      </c>
      <c r="S1980" s="46">
        <f>R1980*INDEX(FmtCansPerCase,MATCH(F1980,FmtName,0))</f>
        <v/>
      </c>
      <c r="T1980" s="46">
        <f>S1980/INDEX(FmtCansPerPack,MATCH(F1980,FmtName,0))</f>
        <v/>
      </c>
      <c r="U1980" s="47">
        <f>INDEX(ChBaseCP,MATCH(E1980,ChName,0))*(1+INDEX(ProvMod,MATCH(G1980,ProvCode,0)))*(1+PriceIndex)</f>
        <v/>
      </c>
      <c r="V1980" s="47">
        <f>R1980*U1980*INDEX(FmtBlendedPriceIdx,MATCH(F1980,FmtName,0))</f>
        <v/>
      </c>
      <c r="W1980" s="47">
        <f>T1980*INDEX(ProvSRP,MATCH(G1980,ProvCode,0))*(1+PriceIndex)</f>
        <v/>
      </c>
      <c r="X1980" s="47">
        <f>IF(GrossBasis="Wholesale",V1980,W1980)</f>
        <v/>
      </c>
      <c r="Y1980" s="47">
        <f>R1980*INDEX(FmtBlendedCogs,MATCH(F1980,FmtName,0))</f>
        <v/>
      </c>
      <c r="Z1980" s="47">
        <f>X1980-Y1980</f>
        <v/>
      </c>
    </row>
    <row r="1981">
      <c r="A1981" t="n">
        <v>19</v>
      </c>
      <c r="B1981" s="44">
        <f>FiscalStart+(A1981-1)*7</f>
        <v/>
      </c>
      <c r="C1981">
        <f>TEXT(B1981,"mmm yyyy")</f>
        <v/>
      </c>
      <c r="D1981">
        <f>"Q"&amp;(INT((A1981-1)/13)+1)</f>
        <v/>
      </c>
      <c r="E1981" t="inlineStr">
        <is>
          <t>Costco</t>
        </is>
      </c>
      <c r="F1981">
        <f>IFERROR(INDEX(ChFormat,MATCH(E1981,ChName,0)),"")</f>
        <v/>
      </c>
      <c r="G1981" t="inlineStr">
        <is>
          <t>NS</t>
        </is>
      </c>
      <c r="H1981">
        <f>IF(A1981&lt;=NWeeks,1,0)</f>
        <v/>
      </c>
      <c r="I1981">
        <f>INDEX(ChLaunch,MATCH(E1981,ChName,0))</f>
        <v/>
      </c>
      <c r="J1981">
        <f>INDEX(ChWeeksFull,MATCH(E1981,ChName,0))</f>
        <v/>
      </c>
      <c r="K1981">
        <f>INDEX(ChRamp,MATCH(E1981,ChName,0))</f>
        <v/>
      </c>
      <c r="L1981" s="45">
        <f>MIN(1,MAX(0,(A1981-I1981+1)*RampSpeed/J1981))</f>
        <v/>
      </c>
      <c r="M1981" s="45">
        <f>IF(A1981&lt;I1981,0,IF(K1981="S-curve",L1981*L1981*(3-2*L1981),L1981))</f>
        <v/>
      </c>
      <c r="N1981" s="45">
        <f>1+(INDEX(SeasonIdx,A1981)-1)*SeasonAmp</f>
        <v/>
      </c>
      <c r="O1981" s="45">
        <f>IFERROR(INDEX(PSPct,MATCH(E1981&amp;"|"&amp;G1981,PSKey,0)),0)</f>
        <v/>
      </c>
      <c r="P1981" s="46">
        <f>INDEX(ChDoorVel,MATCH(E1981,ChName,0))*CalibScalar*(1+VelocityUplift)</f>
        <v/>
      </c>
      <c r="Q1981" s="46" t="n">
        <v>0</v>
      </c>
      <c r="R1981" s="46">
        <f>P1981*O1981*M1981*N1981*H1981</f>
        <v/>
      </c>
      <c r="S1981" s="46">
        <f>R1981*INDEX(FmtCansPerCase,MATCH(F1981,FmtName,0))</f>
        <v/>
      </c>
      <c r="T1981" s="46">
        <f>S1981/INDEX(FmtCansPerPack,MATCH(F1981,FmtName,0))</f>
        <v/>
      </c>
      <c r="U1981" s="47">
        <f>INDEX(ChBaseCP,MATCH(E1981,ChName,0))*(1+INDEX(ProvMod,MATCH(G1981,ProvCode,0)))*(1+PriceIndex)</f>
        <v/>
      </c>
      <c r="V1981" s="47">
        <f>R1981*U1981*INDEX(FmtBlendedPriceIdx,MATCH(F1981,FmtName,0))</f>
        <v/>
      </c>
      <c r="W1981" s="47">
        <f>T1981*INDEX(ProvSRP,MATCH(G1981,ProvCode,0))*(1+PriceIndex)</f>
        <v/>
      </c>
      <c r="X1981" s="47">
        <f>IF(GrossBasis="Wholesale",V1981,W1981)</f>
        <v/>
      </c>
      <c r="Y1981" s="47">
        <f>R1981*INDEX(FmtBlendedCogs,MATCH(F1981,FmtName,0))</f>
        <v/>
      </c>
      <c r="Z1981" s="47">
        <f>X1981-Y1981</f>
        <v/>
      </c>
    </row>
    <row r="1982">
      <c r="A1982" t="n">
        <v>20</v>
      </c>
      <c r="B1982" s="44">
        <f>FiscalStart+(A1982-1)*7</f>
        <v/>
      </c>
      <c r="C1982">
        <f>TEXT(B1982,"mmm yyyy")</f>
        <v/>
      </c>
      <c r="D1982">
        <f>"Q"&amp;(INT((A1982-1)/13)+1)</f>
        <v/>
      </c>
      <c r="E1982" t="inlineStr">
        <is>
          <t>Costco</t>
        </is>
      </c>
      <c r="F1982">
        <f>IFERROR(INDEX(ChFormat,MATCH(E1982,ChName,0)),"")</f>
        <v/>
      </c>
      <c r="G1982" t="inlineStr">
        <is>
          <t>NS</t>
        </is>
      </c>
      <c r="H1982">
        <f>IF(A1982&lt;=NWeeks,1,0)</f>
        <v/>
      </c>
      <c r="I1982">
        <f>INDEX(ChLaunch,MATCH(E1982,ChName,0))</f>
        <v/>
      </c>
      <c r="J1982">
        <f>INDEX(ChWeeksFull,MATCH(E1982,ChName,0))</f>
        <v/>
      </c>
      <c r="K1982">
        <f>INDEX(ChRamp,MATCH(E1982,ChName,0))</f>
        <v/>
      </c>
      <c r="L1982" s="45">
        <f>MIN(1,MAX(0,(A1982-I1982+1)*RampSpeed/J1982))</f>
        <v/>
      </c>
      <c r="M1982" s="45">
        <f>IF(A1982&lt;I1982,0,IF(K1982="S-curve",L1982*L1982*(3-2*L1982),L1982))</f>
        <v/>
      </c>
      <c r="N1982" s="45">
        <f>1+(INDEX(SeasonIdx,A1982)-1)*SeasonAmp</f>
        <v/>
      </c>
      <c r="O1982" s="45">
        <f>IFERROR(INDEX(PSPct,MATCH(E1982&amp;"|"&amp;G1982,PSKey,0)),0)</f>
        <v/>
      </c>
      <c r="P1982" s="46">
        <f>INDEX(ChDoorVel,MATCH(E1982,ChName,0))*CalibScalar*(1+VelocityUplift)</f>
        <v/>
      </c>
      <c r="Q1982" s="46" t="n">
        <v>0</v>
      </c>
      <c r="R1982" s="46">
        <f>P1982*O1982*M1982*N1982*H1982</f>
        <v/>
      </c>
      <c r="S1982" s="46">
        <f>R1982*INDEX(FmtCansPerCase,MATCH(F1982,FmtName,0))</f>
        <v/>
      </c>
      <c r="T1982" s="46">
        <f>S1982/INDEX(FmtCansPerPack,MATCH(F1982,FmtName,0))</f>
        <v/>
      </c>
      <c r="U1982" s="47">
        <f>INDEX(ChBaseCP,MATCH(E1982,ChName,0))*(1+INDEX(ProvMod,MATCH(G1982,ProvCode,0)))*(1+PriceIndex)</f>
        <v/>
      </c>
      <c r="V1982" s="47">
        <f>R1982*U1982*INDEX(FmtBlendedPriceIdx,MATCH(F1982,FmtName,0))</f>
        <v/>
      </c>
      <c r="W1982" s="47">
        <f>T1982*INDEX(ProvSRP,MATCH(G1982,ProvCode,0))*(1+PriceIndex)</f>
        <v/>
      </c>
      <c r="X1982" s="47">
        <f>IF(GrossBasis="Wholesale",V1982,W1982)</f>
        <v/>
      </c>
      <c r="Y1982" s="47">
        <f>R1982*INDEX(FmtBlendedCogs,MATCH(F1982,FmtName,0))</f>
        <v/>
      </c>
      <c r="Z1982" s="47">
        <f>X1982-Y1982</f>
        <v/>
      </c>
    </row>
    <row r="1983">
      <c r="A1983" t="n">
        <v>21</v>
      </c>
      <c r="B1983" s="44">
        <f>FiscalStart+(A1983-1)*7</f>
        <v/>
      </c>
      <c r="C1983">
        <f>TEXT(B1983,"mmm yyyy")</f>
        <v/>
      </c>
      <c r="D1983">
        <f>"Q"&amp;(INT((A1983-1)/13)+1)</f>
        <v/>
      </c>
      <c r="E1983" t="inlineStr">
        <is>
          <t>Costco</t>
        </is>
      </c>
      <c r="F1983">
        <f>IFERROR(INDEX(ChFormat,MATCH(E1983,ChName,0)),"")</f>
        <v/>
      </c>
      <c r="G1983" t="inlineStr">
        <is>
          <t>NS</t>
        </is>
      </c>
      <c r="H1983">
        <f>IF(A1983&lt;=NWeeks,1,0)</f>
        <v/>
      </c>
      <c r="I1983">
        <f>INDEX(ChLaunch,MATCH(E1983,ChName,0))</f>
        <v/>
      </c>
      <c r="J1983">
        <f>INDEX(ChWeeksFull,MATCH(E1983,ChName,0))</f>
        <v/>
      </c>
      <c r="K1983">
        <f>INDEX(ChRamp,MATCH(E1983,ChName,0))</f>
        <v/>
      </c>
      <c r="L1983" s="45">
        <f>MIN(1,MAX(0,(A1983-I1983+1)*RampSpeed/J1983))</f>
        <v/>
      </c>
      <c r="M1983" s="45">
        <f>IF(A1983&lt;I1983,0,IF(K1983="S-curve",L1983*L1983*(3-2*L1983),L1983))</f>
        <v/>
      </c>
      <c r="N1983" s="45">
        <f>1+(INDEX(SeasonIdx,A1983)-1)*SeasonAmp</f>
        <v/>
      </c>
      <c r="O1983" s="45">
        <f>IFERROR(INDEX(PSPct,MATCH(E1983&amp;"|"&amp;G1983,PSKey,0)),0)</f>
        <v/>
      </c>
      <c r="P1983" s="46">
        <f>INDEX(ChDoorVel,MATCH(E1983,ChName,0))*CalibScalar*(1+VelocityUplift)</f>
        <v/>
      </c>
      <c r="Q1983" s="46" t="n">
        <v>0</v>
      </c>
      <c r="R1983" s="46">
        <f>P1983*O1983*M1983*N1983*H1983</f>
        <v/>
      </c>
      <c r="S1983" s="46">
        <f>R1983*INDEX(FmtCansPerCase,MATCH(F1983,FmtName,0))</f>
        <v/>
      </c>
      <c r="T1983" s="46">
        <f>S1983/INDEX(FmtCansPerPack,MATCH(F1983,FmtName,0))</f>
        <v/>
      </c>
      <c r="U1983" s="47">
        <f>INDEX(ChBaseCP,MATCH(E1983,ChName,0))*(1+INDEX(ProvMod,MATCH(G1983,ProvCode,0)))*(1+PriceIndex)</f>
        <v/>
      </c>
      <c r="V1983" s="47">
        <f>R1983*U1983*INDEX(FmtBlendedPriceIdx,MATCH(F1983,FmtName,0))</f>
        <v/>
      </c>
      <c r="W1983" s="47">
        <f>T1983*INDEX(ProvSRP,MATCH(G1983,ProvCode,0))*(1+PriceIndex)</f>
        <v/>
      </c>
      <c r="X1983" s="47">
        <f>IF(GrossBasis="Wholesale",V1983,W1983)</f>
        <v/>
      </c>
      <c r="Y1983" s="47">
        <f>R1983*INDEX(FmtBlendedCogs,MATCH(F1983,FmtName,0))</f>
        <v/>
      </c>
      <c r="Z1983" s="47">
        <f>X1983-Y1983</f>
        <v/>
      </c>
    </row>
    <row r="1984">
      <c r="A1984" t="n">
        <v>22</v>
      </c>
      <c r="B1984" s="44">
        <f>FiscalStart+(A1984-1)*7</f>
        <v/>
      </c>
      <c r="C1984">
        <f>TEXT(B1984,"mmm yyyy")</f>
        <v/>
      </c>
      <c r="D1984">
        <f>"Q"&amp;(INT((A1984-1)/13)+1)</f>
        <v/>
      </c>
      <c r="E1984" t="inlineStr">
        <is>
          <t>Costco</t>
        </is>
      </c>
      <c r="F1984">
        <f>IFERROR(INDEX(ChFormat,MATCH(E1984,ChName,0)),"")</f>
        <v/>
      </c>
      <c r="G1984" t="inlineStr">
        <is>
          <t>NS</t>
        </is>
      </c>
      <c r="H1984">
        <f>IF(A1984&lt;=NWeeks,1,0)</f>
        <v/>
      </c>
      <c r="I1984">
        <f>INDEX(ChLaunch,MATCH(E1984,ChName,0))</f>
        <v/>
      </c>
      <c r="J1984">
        <f>INDEX(ChWeeksFull,MATCH(E1984,ChName,0))</f>
        <v/>
      </c>
      <c r="K1984">
        <f>INDEX(ChRamp,MATCH(E1984,ChName,0))</f>
        <v/>
      </c>
      <c r="L1984" s="45">
        <f>MIN(1,MAX(0,(A1984-I1984+1)*RampSpeed/J1984))</f>
        <v/>
      </c>
      <c r="M1984" s="45">
        <f>IF(A1984&lt;I1984,0,IF(K1984="S-curve",L1984*L1984*(3-2*L1984),L1984))</f>
        <v/>
      </c>
      <c r="N1984" s="45">
        <f>1+(INDEX(SeasonIdx,A1984)-1)*SeasonAmp</f>
        <v/>
      </c>
      <c r="O1984" s="45">
        <f>IFERROR(INDEX(PSPct,MATCH(E1984&amp;"|"&amp;G1984,PSKey,0)),0)</f>
        <v/>
      </c>
      <c r="P1984" s="46">
        <f>INDEX(ChDoorVel,MATCH(E1984,ChName,0))*CalibScalar*(1+VelocityUplift)</f>
        <v/>
      </c>
      <c r="Q1984" s="46" t="n">
        <v>0</v>
      </c>
      <c r="R1984" s="46">
        <f>P1984*O1984*M1984*N1984*H1984</f>
        <v/>
      </c>
      <c r="S1984" s="46">
        <f>R1984*INDEX(FmtCansPerCase,MATCH(F1984,FmtName,0))</f>
        <v/>
      </c>
      <c r="T1984" s="46">
        <f>S1984/INDEX(FmtCansPerPack,MATCH(F1984,FmtName,0))</f>
        <v/>
      </c>
      <c r="U1984" s="47">
        <f>INDEX(ChBaseCP,MATCH(E1984,ChName,0))*(1+INDEX(ProvMod,MATCH(G1984,ProvCode,0)))*(1+PriceIndex)</f>
        <v/>
      </c>
      <c r="V1984" s="47">
        <f>R1984*U1984*INDEX(FmtBlendedPriceIdx,MATCH(F1984,FmtName,0))</f>
        <v/>
      </c>
      <c r="W1984" s="47">
        <f>T1984*INDEX(ProvSRP,MATCH(G1984,ProvCode,0))*(1+PriceIndex)</f>
        <v/>
      </c>
      <c r="X1984" s="47">
        <f>IF(GrossBasis="Wholesale",V1984,W1984)</f>
        <v/>
      </c>
      <c r="Y1984" s="47">
        <f>R1984*INDEX(FmtBlendedCogs,MATCH(F1984,FmtName,0))</f>
        <v/>
      </c>
      <c r="Z1984" s="47">
        <f>X1984-Y1984</f>
        <v/>
      </c>
    </row>
    <row r="1985">
      <c r="A1985" t="n">
        <v>23</v>
      </c>
      <c r="B1985" s="44">
        <f>FiscalStart+(A1985-1)*7</f>
        <v/>
      </c>
      <c r="C1985">
        <f>TEXT(B1985,"mmm yyyy")</f>
        <v/>
      </c>
      <c r="D1985">
        <f>"Q"&amp;(INT((A1985-1)/13)+1)</f>
        <v/>
      </c>
      <c r="E1985" t="inlineStr">
        <is>
          <t>Costco</t>
        </is>
      </c>
      <c r="F1985">
        <f>IFERROR(INDEX(ChFormat,MATCH(E1985,ChName,0)),"")</f>
        <v/>
      </c>
      <c r="G1985" t="inlineStr">
        <is>
          <t>NS</t>
        </is>
      </c>
      <c r="H1985">
        <f>IF(A1985&lt;=NWeeks,1,0)</f>
        <v/>
      </c>
      <c r="I1985">
        <f>INDEX(ChLaunch,MATCH(E1985,ChName,0))</f>
        <v/>
      </c>
      <c r="J1985">
        <f>INDEX(ChWeeksFull,MATCH(E1985,ChName,0))</f>
        <v/>
      </c>
      <c r="K1985">
        <f>INDEX(ChRamp,MATCH(E1985,ChName,0))</f>
        <v/>
      </c>
      <c r="L1985" s="45">
        <f>MIN(1,MAX(0,(A1985-I1985+1)*RampSpeed/J1985))</f>
        <v/>
      </c>
      <c r="M1985" s="45">
        <f>IF(A1985&lt;I1985,0,IF(K1985="S-curve",L1985*L1985*(3-2*L1985),L1985))</f>
        <v/>
      </c>
      <c r="N1985" s="45">
        <f>1+(INDEX(SeasonIdx,A1985)-1)*SeasonAmp</f>
        <v/>
      </c>
      <c r="O1985" s="45">
        <f>IFERROR(INDEX(PSPct,MATCH(E1985&amp;"|"&amp;G1985,PSKey,0)),0)</f>
        <v/>
      </c>
      <c r="P1985" s="46">
        <f>INDEX(ChDoorVel,MATCH(E1985,ChName,0))*CalibScalar*(1+VelocityUplift)</f>
        <v/>
      </c>
      <c r="Q1985" s="46" t="n">
        <v>0</v>
      </c>
      <c r="R1985" s="46">
        <f>P1985*O1985*M1985*N1985*H1985</f>
        <v/>
      </c>
      <c r="S1985" s="46">
        <f>R1985*INDEX(FmtCansPerCase,MATCH(F1985,FmtName,0))</f>
        <v/>
      </c>
      <c r="T1985" s="46">
        <f>S1985/INDEX(FmtCansPerPack,MATCH(F1985,FmtName,0))</f>
        <v/>
      </c>
      <c r="U1985" s="47">
        <f>INDEX(ChBaseCP,MATCH(E1985,ChName,0))*(1+INDEX(ProvMod,MATCH(G1985,ProvCode,0)))*(1+PriceIndex)</f>
        <v/>
      </c>
      <c r="V1985" s="47">
        <f>R1985*U1985*INDEX(FmtBlendedPriceIdx,MATCH(F1985,FmtName,0))</f>
        <v/>
      </c>
      <c r="W1985" s="47">
        <f>T1985*INDEX(ProvSRP,MATCH(G1985,ProvCode,0))*(1+PriceIndex)</f>
        <v/>
      </c>
      <c r="X1985" s="47">
        <f>IF(GrossBasis="Wholesale",V1985,W1985)</f>
        <v/>
      </c>
      <c r="Y1985" s="47">
        <f>R1985*INDEX(FmtBlendedCogs,MATCH(F1985,FmtName,0))</f>
        <v/>
      </c>
      <c r="Z1985" s="47">
        <f>X1985-Y1985</f>
        <v/>
      </c>
    </row>
    <row r="1986">
      <c r="A1986" t="n">
        <v>24</v>
      </c>
      <c r="B1986" s="44">
        <f>FiscalStart+(A1986-1)*7</f>
        <v/>
      </c>
      <c r="C1986">
        <f>TEXT(B1986,"mmm yyyy")</f>
        <v/>
      </c>
      <c r="D1986">
        <f>"Q"&amp;(INT((A1986-1)/13)+1)</f>
        <v/>
      </c>
      <c r="E1986" t="inlineStr">
        <is>
          <t>Costco</t>
        </is>
      </c>
      <c r="F1986">
        <f>IFERROR(INDEX(ChFormat,MATCH(E1986,ChName,0)),"")</f>
        <v/>
      </c>
      <c r="G1986" t="inlineStr">
        <is>
          <t>NS</t>
        </is>
      </c>
      <c r="H1986">
        <f>IF(A1986&lt;=NWeeks,1,0)</f>
        <v/>
      </c>
      <c r="I1986">
        <f>INDEX(ChLaunch,MATCH(E1986,ChName,0))</f>
        <v/>
      </c>
      <c r="J1986">
        <f>INDEX(ChWeeksFull,MATCH(E1986,ChName,0))</f>
        <v/>
      </c>
      <c r="K1986">
        <f>INDEX(ChRamp,MATCH(E1986,ChName,0))</f>
        <v/>
      </c>
      <c r="L1986" s="45">
        <f>MIN(1,MAX(0,(A1986-I1986+1)*RampSpeed/J1986))</f>
        <v/>
      </c>
      <c r="M1986" s="45">
        <f>IF(A1986&lt;I1986,0,IF(K1986="S-curve",L1986*L1986*(3-2*L1986),L1986))</f>
        <v/>
      </c>
      <c r="N1986" s="45">
        <f>1+(INDEX(SeasonIdx,A1986)-1)*SeasonAmp</f>
        <v/>
      </c>
      <c r="O1986" s="45">
        <f>IFERROR(INDEX(PSPct,MATCH(E1986&amp;"|"&amp;G1986,PSKey,0)),0)</f>
        <v/>
      </c>
      <c r="P1986" s="46">
        <f>INDEX(ChDoorVel,MATCH(E1986,ChName,0))*CalibScalar*(1+VelocityUplift)</f>
        <v/>
      </c>
      <c r="Q1986" s="46" t="n">
        <v>0</v>
      </c>
      <c r="R1986" s="46">
        <f>P1986*O1986*M1986*N1986*H1986</f>
        <v/>
      </c>
      <c r="S1986" s="46">
        <f>R1986*INDEX(FmtCansPerCase,MATCH(F1986,FmtName,0))</f>
        <v/>
      </c>
      <c r="T1986" s="46">
        <f>S1986/INDEX(FmtCansPerPack,MATCH(F1986,FmtName,0))</f>
        <v/>
      </c>
      <c r="U1986" s="47">
        <f>INDEX(ChBaseCP,MATCH(E1986,ChName,0))*(1+INDEX(ProvMod,MATCH(G1986,ProvCode,0)))*(1+PriceIndex)</f>
        <v/>
      </c>
      <c r="V1986" s="47">
        <f>R1986*U1986*INDEX(FmtBlendedPriceIdx,MATCH(F1986,FmtName,0))</f>
        <v/>
      </c>
      <c r="W1986" s="47">
        <f>T1986*INDEX(ProvSRP,MATCH(G1986,ProvCode,0))*(1+PriceIndex)</f>
        <v/>
      </c>
      <c r="X1986" s="47">
        <f>IF(GrossBasis="Wholesale",V1986,W1986)</f>
        <v/>
      </c>
      <c r="Y1986" s="47">
        <f>R1986*INDEX(FmtBlendedCogs,MATCH(F1986,FmtName,0))</f>
        <v/>
      </c>
      <c r="Z1986" s="47">
        <f>X1986-Y1986</f>
        <v/>
      </c>
    </row>
    <row r="1987">
      <c r="A1987" t="n">
        <v>25</v>
      </c>
      <c r="B1987" s="44">
        <f>FiscalStart+(A1987-1)*7</f>
        <v/>
      </c>
      <c r="C1987">
        <f>TEXT(B1987,"mmm yyyy")</f>
        <v/>
      </c>
      <c r="D1987">
        <f>"Q"&amp;(INT((A1987-1)/13)+1)</f>
        <v/>
      </c>
      <c r="E1987" t="inlineStr">
        <is>
          <t>Costco</t>
        </is>
      </c>
      <c r="F1987">
        <f>IFERROR(INDEX(ChFormat,MATCH(E1987,ChName,0)),"")</f>
        <v/>
      </c>
      <c r="G1987" t="inlineStr">
        <is>
          <t>NS</t>
        </is>
      </c>
      <c r="H1987">
        <f>IF(A1987&lt;=NWeeks,1,0)</f>
        <v/>
      </c>
      <c r="I1987">
        <f>INDEX(ChLaunch,MATCH(E1987,ChName,0))</f>
        <v/>
      </c>
      <c r="J1987">
        <f>INDEX(ChWeeksFull,MATCH(E1987,ChName,0))</f>
        <v/>
      </c>
      <c r="K1987">
        <f>INDEX(ChRamp,MATCH(E1987,ChName,0))</f>
        <v/>
      </c>
      <c r="L1987" s="45">
        <f>MIN(1,MAX(0,(A1987-I1987+1)*RampSpeed/J1987))</f>
        <v/>
      </c>
      <c r="M1987" s="45">
        <f>IF(A1987&lt;I1987,0,IF(K1987="S-curve",L1987*L1987*(3-2*L1987),L1987))</f>
        <v/>
      </c>
      <c r="N1987" s="45">
        <f>1+(INDEX(SeasonIdx,A1987)-1)*SeasonAmp</f>
        <v/>
      </c>
      <c r="O1987" s="45">
        <f>IFERROR(INDEX(PSPct,MATCH(E1987&amp;"|"&amp;G1987,PSKey,0)),0)</f>
        <v/>
      </c>
      <c r="P1987" s="46">
        <f>INDEX(ChDoorVel,MATCH(E1987,ChName,0))*CalibScalar*(1+VelocityUplift)</f>
        <v/>
      </c>
      <c r="Q1987" s="46" t="n">
        <v>0</v>
      </c>
      <c r="R1987" s="46">
        <f>P1987*O1987*M1987*N1987*H1987</f>
        <v/>
      </c>
      <c r="S1987" s="46">
        <f>R1987*INDEX(FmtCansPerCase,MATCH(F1987,FmtName,0))</f>
        <v/>
      </c>
      <c r="T1987" s="46">
        <f>S1987/INDEX(FmtCansPerPack,MATCH(F1987,FmtName,0))</f>
        <v/>
      </c>
      <c r="U1987" s="47">
        <f>INDEX(ChBaseCP,MATCH(E1987,ChName,0))*(1+INDEX(ProvMod,MATCH(G1987,ProvCode,0)))*(1+PriceIndex)</f>
        <v/>
      </c>
      <c r="V1987" s="47">
        <f>R1987*U1987*INDEX(FmtBlendedPriceIdx,MATCH(F1987,FmtName,0))</f>
        <v/>
      </c>
      <c r="W1987" s="47">
        <f>T1987*INDEX(ProvSRP,MATCH(G1987,ProvCode,0))*(1+PriceIndex)</f>
        <v/>
      </c>
      <c r="X1987" s="47">
        <f>IF(GrossBasis="Wholesale",V1987,W1987)</f>
        <v/>
      </c>
      <c r="Y1987" s="47">
        <f>R1987*INDEX(FmtBlendedCogs,MATCH(F1987,FmtName,0))</f>
        <v/>
      </c>
      <c r="Z1987" s="47">
        <f>X1987-Y1987</f>
        <v/>
      </c>
    </row>
    <row r="1988">
      <c r="A1988" t="n">
        <v>26</v>
      </c>
      <c r="B1988" s="44">
        <f>FiscalStart+(A1988-1)*7</f>
        <v/>
      </c>
      <c r="C1988">
        <f>TEXT(B1988,"mmm yyyy")</f>
        <v/>
      </c>
      <c r="D1988">
        <f>"Q"&amp;(INT((A1988-1)/13)+1)</f>
        <v/>
      </c>
      <c r="E1988" t="inlineStr">
        <is>
          <t>Costco</t>
        </is>
      </c>
      <c r="F1988">
        <f>IFERROR(INDEX(ChFormat,MATCH(E1988,ChName,0)),"")</f>
        <v/>
      </c>
      <c r="G1988" t="inlineStr">
        <is>
          <t>NS</t>
        </is>
      </c>
      <c r="H1988">
        <f>IF(A1988&lt;=NWeeks,1,0)</f>
        <v/>
      </c>
      <c r="I1988">
        <f>INDEX(ChLaunch,MATCH(E1988,ChName,0))</f>
        <v/>
      </c>
      <c r="J1988">
        <f>INDEX(ChWeeksFull,MATCH(E1988,ChName,0))</f>
        <v/>
      </c>
      <c r="K1988">
        <f>INDEX(ChRamp,MATCH(E1988,ChName,0))</f>
        <v/>
      </c>
      <c r="L1988" s="45">
        <f>MIN(1,MAX(0,(A1988-I1988+1)*RampSpeed/J1988))</f>
        <v/>
      </c>
      <c r="M1988" s="45">
        <f>IF(A1988&lt;I1988,0,IF(K1988="S-curve",L1988*L1988*(3-2*L1988),L1988))</f>
        <v/>
      </c>
      <c r="N1988" s="45">
        <f>1+(INDEX(SeasonIdx,A1988)-1)*SeasonAmp</f>
        <v/>
      </c>
      <c r="O1988" s="45">
        <f>IFERROR(INDEX(PSPct,MATCH(E1988&amp;"|"&amp;G1988,PSKey,0)),0)</f>
        <v/>
      </c>
      <c r="P1988" s="46">
        <f>INDEX(ChDoorVel,MATCH(E1988,ChName,0))*CalibScalar*(1+VelocityUplift)</f>
        <v/>
      </c>
      <c r="Q1988" s="46" t="n">
        <v>0</v>
      </c>
      <c r="R1988" s="46">
        <f>P1988*O1988*M1988*N1988*H1988</f>
        <v/>
      </c>
      <c r="S1988" s="46">
        <f>R1988*INDEX(FmtCansPerCase,MATCH(F1988,FmtName,0))</f>
        <v/>
      </c>
      <c r="T1988" s="46">
        <f>S1988/INDEX(FmtCansPerPack,MATCH(F1988,FmtName,0))</f>
        <v/>
      </c>
      <c r="U1988" s="47">
        <f>INDEX(ChBaseCP,MATCH(E1988,ChName,0))*(1+INDEX(ProvMod,MATCH(G1988,ProvCode,0)))*(1+PriceIndex)</f>
        <v/>
      </c>
      <c r="V1988" s="47">
        <f>R1988*U1988*INDEX(FmtBlendedPriceIdx,MATCH(F1988,FmtName,0))</f>
        <v/>
      </c>
      <c r="W1988" s="47">
        <f>T1988*INDEX(ProvSRP,MATCH(G1988,ProvCode,0))*(1+PriceIndex)</f>
        <v/>
      </c>
      <c r="X1988" s="47">
        <f>IF(GrossBasis="Wholesale",V1988,W1988)</f>
        <v/>
      </c>
      <c r="Y1988" s="47">
        <f>R1988*INDEX(FmtBlendedCogs,MATCH(F1988,FmtName,0))</f>
        <v/>
      </c>
      <c r="Z1988" s="47">
        <f>X1988-Y1988</f>
        <v/>
      </c>
    </row>
    <row r="1989">
      <c r="A1989" t="n">
        <v>27</v>
      </c>
      <c r="B1989" s="44">
        <f>FiscalStart+(A1989-1)*7</f>
        <v/>
      </c>
      <c r="C1989">
        <f>TEXT(B1989,"mmm yyyy")</f>
        <v/>
      </c>
      <c r="D1989">
        <f>"Q"&amp;(INT((A1989-1)/13)+1)</f>
        <v/>
      </c>
      <c r="E1989" t="inlineStr">
        <is>
          <t>Costco</t>
        </is>
      </c>
      <c r="F1989">
        <f>IFERROR(INDEX(ChFormat,MATCH(E1989,ChName,0)),"")</f>
        <v/>
      </c>
      <c r="G1989" t="inlineStr">
        <is>
          <t>NS</t>
        </is>
      </c>
      <c r="H1989">
        <f>IF(A1989&lt;=NWeeks,1,0)</f>
        <v/>
      </c>
      <c r="I1989">
        <f>INDEX(ChLaunch,MATCH(E1989,ChName,0))</f>
        <v/>
      </c>
      <c r="J1989">
        <f>INDEX(ChWeeksFull,MATCH(E1989,ChName,0))</f>
        <v/>
      </c>
      <c r="K1989">
        <f>INDEX(ChRamp,MATCH(E1989,ChName,0))</f>
        <v/>
      </c>
      <c r="L1989" s="45">
        <f>MIN(1,MAX(0,(A1989-I1989+1)*RampSpeed/J1989))</f>
        <v/>
      </c>
      <c r="M1989" s="45">
        <f>IF(A1989&lt;I1989,0,IF(K1989="S-curve",L1989*L1989*(3-2*L1989),L1989))</f>
        <v/>
      </c>
      <c r="N1989" s="45">
        <f>1+(INDEX(SeasonIdx,A1989)-1)*SeasonAmp</f>
        <v/>
      </c>
      <c r="O1989" s="45">
        <f>IFERROR(INDEX(PSPct,MATCH(E1989&amp;"|"&amp;G1989,PSKey,0)),0)</f>
        <v/>
      </c>
      <c r="P1989" s="46">
        <f>INDEX(ChDoorVel,MATCH(E1989,ChName,0))*CalibScalar*(1+VelocityUplift)</f>
        <v/>
      </c>
      <c r="Q1989" s="46" t="n">
        <v>0</v>
      </c>
      <c r="R1989" s="46">
        <f>P1989*O1989*M1989*N1989*H1989</f>
        <v/>
      </c>
      <c r="S1989" s="46">
        <f>R1989*INDEX(FmtCansPerCase,MATCH(F1989,FmtName,0))</f>
        <v/>
      </c>
      <c r="T1989" s="46">
        <f>S1989/INDEX(FmtCansPerPack,MATCH(F1989,FmtName,0))</f>
        <v/>
      </c>
      <c r="U1989" s="47">
        <f>INDEX(ChBaseCP,MATCH(E1989,ChName,0))*(1+INDEX(ProvMod,MATCH(G1989,ProvCode,0)))*(1+PriceIndex)</f>
        <v/>
      </c>
      <c r="V1989" s="47">
        <f>R1989*U1989*INDEX(FmtBlendedPriceIdx,MATCH(F1989,FmtName,0))</f>
        <v/>
      </c>
      <c r="W1989" s="47">
        <f>T1989*INDEX(ProvSRP,MATCH(G1989,ProvCode,0))*(1+PriceIndex)</f>
        <v/>
      </c>
      <c r="X1989" s="47">
        <f>IF(GrossBasis="Wholesale",V1989,W1989)</f>
        <v/>
      </c>
      <c r="Y1989" s="47">
        <f>R1989*INDEX(FmtBlendedCogs,MATCH(F1989,FmtName,0))</f>
        <v/>
      </c>
      <c r="Z1989" s="47">
        <f>X1989-Y1989</f>
        <v/>
      </c>
    </row>
    <row r="1990">
      <c r="A1990" t="n">
        <v>28</v>
      </c>
      <c r="B1990" s="44">
        <f>FiscalStart+(A1990-1)*7</f>
        <v/>
      </c>
      <c r="C1990">
        <f>TEXT(B1990,"mmm yyyy")</f>
        <v/>
      </c>
      <c r="D1990">
        <f>"Q"&amp;(INT((A1990-1)/13)+1)</f>
        <v/>
      </c>
      <c r="E1990" t="inlineStr">
        <is>
          <t>Costco</t>
        </is>
      </c>
      <c r="F1990">
        <f>IFERROR(INDEX(ChFormat,MATCH(E1990,ChName,0)),"")</f>
        <v/>
      </c>
      <c r="G1990" t="inlineStr">
        <is>
          <t>NS</t>
        </is>
      </c>
      <c r="H1990">
        <f>IF(A1990&lt;=NWeeks,1,0)</f>
        <v/>
      </c>
      <c r="I1990">
        <f>INDEX(ChLaunch,MATCH(E1990,ChName,0))</f>
        <v/>
      </c>
      <c r="J1990">
        <f>INDEX(ChWeeksFull,MATCH(E1990,ChName,0))</f>
        <v/>
      </c>
      <c r="K1990">
        <f>INDEX(ChRamp,MATCH(E1990,ChName,0))</f>
        <v/>
      </c>
      <c r="L1990" s="45">
        <f>MIN(1,MAX(0,(A1990-I1990+1)*RampSpeed/J1990))</f>
        <v/>
      </c>
      <c r="M1990" s="45">
        <f>IF(A1990&lt;I1990,0,IF(K1990="S-curve",L1990*L1990*(3-2*L1990),L1990))</f>
        <v/>
      </c>
      <c r="N1990" s="45">
        <f>1+(INDEX(SeasonIdx,A1990)-1)*SeasonAmp</f>
        <v/>
      </c>
      <c r="O1990" s="45">
        <f>IFERROR(INDEX(PSPct,MATCH(E1990&amp;"|"&amp;G1990,PSKey,0)),0)</f>
        <v/>
      </c>
      <c r="P1990" s="46">
        <f>INDEX(ChDoorVel,MATCH(E1990,ChName,0))*CalibScalar*(1+VelocityUplift)</f>
        <v/>
      </c>
      <c r="Q1990" s="46" t="n">
        <v>0</v>
      </c>
      <c r="R1990" s="46">
        <f>P1990*O1990*M1990*N1990*H1990</f>
        <v/>
      </c>
      <c r="S1990" s="46">
        <f>R1990*INDEX(FmtCansPerCase,MATCH(F1990,FmtName,0))</f>
        <v/>
      </c>
      <c r="T1990" s="46">
        <f>S1990/INDEX(FmtCansPerPack,MATCH(F1990,FmtName,0))</f>
        <v/>
      </c>
      <c r="U1990" s="47">
        <f>INDEX(ChBaseCP,MATCH(E1990,ChName,0))*(1+INDEX(ProvMod,MATCH(G1990,ProvCode,0)))*(1+PriceIndex)</f>
        <v/>
      </c>
      <c r="V1990" s="47">
        <f>R1990*U1990*INDEX(FmtBlendedPriceIdx,MATCH(F1990,FmtName,0))</f>
        <v/>
      </c>
      <c r="W1990" s="47">
        <f>T1990*INDEX(ProvSRP,MATCH(G1990,ProvCode,0))*(1+PriceIndex)</f>
        <v/>
      </c>
      <c r="X1990" s="47">
        <f>IF(GrossBasis="Wholesale",V1990,W1990)</f>
        <v/>
      </c>
      <c r="Y1990" s="47">
        <f>R1990*INDEX(FmtBlendedCogs,MATCH(F1990,FmtName,0))</f>
        <v/>
      </c>
      <c r="Z1990" s="47">
        <f>X1990-Y1990</f>
        <v/>
      </c>
    </row>
    <row r="1991">
      <c r="A1991" t="n">
        <v>29</v>
      </c>
      <c r="B1991" s="44">
        <f>FiscalStart+(A1991-1)*7</f>
        <v/>
      </c>
      <c r="C1991">
        <f>TEXT(B1991,"mmm yyyy")</f>
        <v/>
      </c>
      <c r="D1991">
        <f>"Q"&amp;(INT((A1991-1)/13)+1)</f>
        <v/>
      </c>
      <c r="E1991" t="inlineStr">
        <is>
          <t>Costco</t>
        </is>
      </c>
      <c r="F1991">
        <f>IFERROR(INDEX(ChFormat,MATCH(E1991,ChName,0)),"")</f>
        <v/>
      </c>
      <c r="G1991" t="inlineStr">
        <is>
          <t>NS</t>
        </is>
      </c>
      <c r="H1991">
        <f>IF(A1991&lt;=NWeeks,1,0)</f>
        <v/>
      </c>
      <c r="I1991">
        <f>INDEX(ChLaunch,MATCH(E1991,ChName,0))</f>
        <v/>
      </c>
      <c r="J1991">
        <f>INDEX(ChWeeksFull,MATCH(E1991,ChName,0))</f>
        <v/>
      </c>
      <c r="K1991">
        <f>INDEX(ChRamp,MATCH(E1991,ChName,0))</f>
        <v/>
      </c>
      <c r="L1991" s="45">
        <f>MIN(1,MAX(0,(A1991-I1991+1)*RampSpeed/J1991))</f>
        <v/>
      </c>
      <c r="M1991" s="45">
        <f>IF(A1991&lt;I1991,0,IF(K1991="S-curve",L1991*L1991*(3-2*L1991),L1991))</f>
        <v/>
      </c>
      <c r="N1991" s="45">
        <f>1+(INDEX(SeasonIdx,A1991)-1)*SeasonAmp</f>
        <v/>
      </c>
      <c r="O1991" s="45">
        <f>IFERROR(INDEX(PSPct,MATCH(E1991&amp;"|"&amp;G1991,PSKey,0)),0)</f>
        <v/>
      </c>
      <c r="P1991" s="46">
        <f>INDEX(ChDoorVel,MATCH(E1991,ChName,0))*CalibScalar*(1+VelocityUplift)</f>
        <v/>
      </c>
      <c r="Q1991" s="46" t="n">
        <v>0</v>
      </c>
      <c r="R1991" s="46">
        <f>P1991*O1991*M1991*N1991*H1991</f>
        <v/>
      </c>
      <c r="S1991" s="46">
        <f>R1991*INDEX(FmtCansPerCase,MATCH(F1991,FmtName,0))</f>
        <v/>
      </c>
      <c r="T1991" s="46">
        <f>S1991/INDEX(FmtCansPerPack,MATCH(F1991,FmtName,0))</f>
        <v/>
      </c>
      <c r="U1991" s="47">
        <f>INDEX(ChBaseCP,MATCH(E1991,ChName,0))*(1+INDEX(ProvMod,MATCH(G1991,ProvCode,0)))*(1+PriceIndex)</f>
        <v/>
      </c>
      <c r="V1991" s="47">
        <f>R1991*U1991*INDEX(FmtBlendedPriceIdx,MATCH(F1991,FmtName,0))</f>
        <v/>
      </c>
      <c r="W1991" s="47">
        <f>T1991*INDEX(ProvSRP,MATCH(G1991,ProvCode,0))*(1+PriceIndex)</f>
        <v/>
      </c>
      <c r="X1991" s="47">
        <f>IF(GrossBasis="Wholesale",V1991,W1991)</f>
        <v/>
      </c>
      <c r="Y1991" s="47">
        <f>R1991*INDEX(FmtBlendedCogs,MATCH(F1991,FmtName,0))</f>
        <v/>
      </c>
      <c r="Z1991" s="47">
        <f>X1991-Y1991</f>
        <v/>
      </c>
    </row>
    <row r="1992">
      <c r="A1992" t="n">
        <v>30</v>
      </c>
      <c r="B1992" s="44">
        <f>FiscalStart+(A1992-1)*7</f>
        <v/>
      </c>
      <c r="C1992">
        <f>TEXT(B1992,"mmm yyyy")</f>
        <v/>
      </c>
      <c r="D1992">
        <f>"Q"&amp;(INT((A1992-1)/13)+1)</f>
        <v/>
      </c>
      <c r="E1992" t="inlineStr">
        <is>
          <t>Costco</t>
        </is>
      </c>
      <c r="F1992">
        <f>IFERROR(INDEX(ChFormat,MATCH(E1992,ChName,0)),"")</f>
        <v/>
      </c>
      <c r="G1992" t="inlineStr">
        <is>
          <t>NS</t>
        </is>
      </c>
      <c r="H1992">
        <f>IF(A1992&lt;=NWeeks,1,0)</f>
        <v/>
      </c>
      <c r="I1992">
        <f>INDEX(ChLaunch,MATCH(E1992,ChName,0))</f>
        <v/>
      </c>
      <c r="J1992">
        <f>INDEX(ChWeeksFull,MATCH(E1992,ChName,0))</f>
        <v/>
      </c>
      <c r="K1992">
        <f>INDEX(ChRamp,MATCH(E1992,ChName,0))</f>
        <v/>
      </c>
      <c r="L1992" s="45">
        <f>MIN(1,MAX(0,(A1992-I1992+1)*RampSpeed/J1992))</f>
        <v/>
      </c>
      <c r="M1992" s="45">
        <f>IF(A1992&lt;I1992,0,IF(K1992="S-curve",L1992*L1992*(3-2*L1992),L1992))</f>
        <v/>
      </c>
      <c r="N1992" s="45">
        <f>1+(INDEX(SeasonIdx,A1992)-1)*SeasonAmp</f>
        <v/>
      </c>
      <c r="O1992" s="45">
        <f>IFERROR(INDEX(PSPct,MATCH(E1992&amp;"|"&amp;G1992,PSKey,0)),0)</f>
        <v/>
      </c>
      <c r="P1992" s="46">
        <f>INDEX(ChDoorVel,MATCH(E1992,ChName,0))*CalibScalar*(1+VelocityUplift)</f>
        <v/>
      </c>
      <c r="Q1992" s="46" t="n">
        <v>0</v>
      </c>
      <c r="R1992" s="46">
        <f>P1992*O1992*M1992*N1992*H1992</f>
        <v/>
      </c>
      <c r="S1992" s="46">
        <f>R1992*INDEX(FmtCansPerCase,MATCH(F1992,FmtName,0))</f>
        <v/>
      </c>
      <c r="T1992" s="46">
        <f>S1992/INDEX(FmtCansPerPack,MATCH(F1992,FmtName,0))</f>
        <v/>
      </c>
      <c r="U1992" s="47">
        <f>INDEX(ChBaseCP,MATCH(E1992,ChName,0))*(1+INDEX(ProvMod,MATCH(G1992,ProvCode,0)))*(1+PriceIndex)</f>
        <v/>
      </c>
      <c r="V1992" s="47">
        <f>R1992*U1992*INDEX(FmtBlendedPriceIdx,MATCH(F1992,FmtName,0))</f>
        <v/>
      </c>
      <c r="W1992" s="47">
        <f>T1992*INDEX(ProvSRP,MATCH(G1992,ProvCode,0))*(1+PriceIndex)</f>
        <v/>
      </c>
      <c r="X1992" s="47">
        <f>IF(GrossBasis="Wholesale",V1992,W1992)</f>
        <v/>
      </c>
      <c r="Y1992" s="47">
        <f>R1992*INDEX(FmtBlendedCogs,MATCH(F1992,FmtName,0))</f>
        <v/>
      </c>
      <c r="Z1992" s="47">
        <f>X1992-Y1992</f>
        <v/>
      </c>
    </row>
    <row r="1993">
      <c r="A1993" t="n">
        <v>31</v>
      </c>
      <c r="B1993" s="44">
        <f>FiscalStart+(A1993-1)*7</f>
        <v/>
      </c>
      <c r="C1993">
        <f>TEXT(B1993,"mmm yyyy")</f>
        <v/>
      </c>
      <c r="D1993">
        <f>"Q"&amp;(INT((A1993-1)/13)+1)</f>
        <v/>
      </c>
      <c r="E1993" t="inlineStr">
        <is>
          <t>Costco</t>
        </is>
      </c>
      <c r="F1993">
        <f>IFERROR(INDEX(ChFormat,MATCH(E1993,ChName,0)),"")</f>
        <v/>
      </c>
      <c r="G1993" t="inlineStr">
        <is>
          <t>NS</t>
        </is>
      </c>
      <c r="H1993">
        <f>IF(A1993&lt;=NWeeks,1,0)</f>
        <v/>
      </c>
      <c r="I1993">
        <f>INDEX(ChLaunch,MATCH(E1993,ChName,0))</f>
        <v/>
      </c>
      <c r="J1993">
        <f>INDEX(ChWeeksFull,MATCH(E1993,ChName,0))</f>
        <v/>
      </c>
      <c r="K1993">
        <f>INDEX(ChRamp,MATCH(E1993,ChName,0))</f>
        <v/>
      </c>
      <c r="L1993" s="45">
        <f>MIN(1,MAX(0,(A1993-I1993+1)*RampSpeed/J1993))</f>
        <v/>
      </c>
      <c r="M1993" s="45">
        <f>IF(A1993&lt;I1993,0,IF(K1993="S-curve",L1993*L1993*(3-2*L1993),L1993))</f>
        <v/>
      </c>
      <c r="N1993" s="45">
        <f>1+(INDEX(SeasonIdx,A1993)-1)*SeasonAmp</f>
        <v/>
      </c>
      <c r="O1993" s="45">
        <f>IFERROR(INDEX(PSPct,MATCH(E1993&amp;"|"&amp;G1993,PSKey,0)),0)</f>
        <v/>
      </c>
      <c r="P1993" s="46">
        <f>INDEX(ChDoorVel,MATCH(E1993,ChName,0))*CalibScalar*(1+VelocityUplift)</f>
        <v/>
      </c>
      <c r="Q1993" s="46" t="n">
        <v>0</v>
      </c>
      <c r="R1993" s="46">
        <f>P1993*O1993*M1993*N1993*H1993</f>
        <v/>
      </c>
      <c r="S1993" s="46">
        <f>R1993*INDEX(FmtCansPerCase,MATCH(F1993,FmtName,0))</f>
        <v/>
      </c>
      <c r="T1993" s="46">
        <f>S1993/INDEX(FmtCansPerPack,MATCH(F1993,FmtName,0))</f>
        <v/>
      </c>
      <c r="U1993" s="47">
        <f>INDEX(ChBaseCP,MATCH(E1993,ChName,0))*(1+INDEX(ProvMod,MATCH(G1993,ProvCode,0)))*(1+PriceIndex)</f>
        <v/>
      </c>
      <c r="V1993" s="47">
        <f>R1993*U1993*INDEX(FmtBlendedPriceIdx,MATCH(F1993,FmtName,0))</f>
        <v/>
      </c>
      <c r="W1993" s="47">
        <f>T1993*INDEX(ProvSRP,MATCH(G1993,ProvCode,0))*(1+PriceIndex)</f>
        <v/>
      </c>
      <c r="X1993" s="47">
        <f>IF(GrossBasis="Wholesale",V1993,W1993)</f>
        <v/>
      </c>
      <c r="Y1993" s="47">
        <f>R1993*INDEX(FmtBlendedCogs,MATCH(F1993,FmtName,0))</f>
        <v/>
      </c>
      <c r="Z1993" s="47">
        <f>X1993-Y1993</f>
        <v/>
      </c>
    </row>
    <row r="1994">
      <c r="A1994" t="n">
        <v>32</v>
      </c>
      <c r="B1994" s="44">
        <f>FiscalStart+(A1994-1)*7</f>
        <v/>
      </c>
      <c r="C1994">
        <f>TEXT(B1994,"mmm yyyy")</f>
        <v/>
      </c>
      <c r="D1994">
        <f>"Q"&amp;(INT((A1994-1)/13)+1)</f>
        <v/>
      </c>
      <c r="E1994" t="inlineStr">
        <is>
          <t>Costco</t>
        </is>
      </c>
      <c r="F1994">
        <f>IFERROR(INDEX(ChFormat,MATCH(E1994,ChName,0)),"")</f>
        <v/>
      </c>
      <c r="G1994" t="inlineStr">
        <is>
          <t>NS</t>
        </is>
      </c>
      <c r="H1994">
        <f>IF(A1994&lt;=NWeeks,1,0)</f>
        <v/>
      </c>
      <c r="I1994">
        <f>INDEX(ChLaunch,MATCH(E1994,ChName,0))</f>
        <v/>
      </c>
      <c r="J1994">
        <f>INDEX(ChWeeksFull,MATCH(E1994,ChName,0))</f>
        <v/>
      </c>
      <c r="K1994">
        <f>INDEX(ChRamp,MATCH(E1994,ChName,0))</f>
        <v/>
      </c>
      <c r="L1994" s="45">
        <f>MIN(1,MAX(0,(A1994-I1994+1)*RampSpeed/J1994))</f>
        <v/>
      </c>
      <c r="M1994" s="45">
        <f>IF(A1994&lt;I1994,0,IF(K1994="S-curve",L1994*L1994*(3-2*L1994),L1994))</f>
        <v/>
      </c>
      <c r="N1994" s="45">
        <f>1+(INDEX(SeasonIdx,A1994)-1)*SeasonAmp</f>
        <v/>
      </c>
      <c r="O1994" s="45">
        <f>IFERROR(INDEX(PSPct,MATCH(E1994&amp;"|"&amp;G1994,PSKey,0)),0)</f>
        <v/>
      </c>
      <c r="P1994" s="46">
        <f>INDEX(ChDoorVel,MATCH(E1994,ChName,0))*CalibScalar*(1+VelocityUplift)</f>
        <v/>
      </c>
      <c r="Q1994" s="46" t="n">
        <v>0</v>
      </c>
      <c r="R1994" s="46">
        <f>P1994*O1994*M1994*N1994*H1994</f>
        <v/>
      </c>
      <c r="S1994" s="46">
        <f>R1994*INDEX(FmtCansPerCase,MATCH(F1994,FmtName,0))</f>
        <v/>
      </c>
      <c r="T1994" s="46">
        <f>S1994/INDEX(FmtCansPerPack,MATCH(F1994,FmtName,0))</f>
        <v/>
      </c>
      <c r="U1994" s="47">
        <f>INDEX(ChBaseCP,MATCH(E1994,ChName,0))*(1+INDEX(ProvMod,MATCH(G1994,ProvCode,0)))*(1+PriceIndex)</f>
        <v/>
      </c>
      <c r="V1994" s="47">
        <f>R1994*U1994*INDEX(FmtBlendedPriceIdx,MATCH(F1994,FmtName,0))</f>
        <v/>
      </c>
      <c r="W1994" s="47">
        <f>T1994*INDEX(ProvSRP,MATCH(G1994,ProvCode,0))*(1+PriceIndex)</f>
        <v/>
      </c>
      <c r="X1994" s="47">
        <f>IF(GrossBasis="Wholesale",V1994,W1994)</f>
        <v/>
      </c>
      <c r="Y1994" s="47">
        <f>R1994*INDEX(FmtBlendedCogs,MATCH(F1994,FmtName,0))</f>
        <v/>
      </c>
      <c r="Z1994" s="47">
        <f>X1994-Y1994</f>
        <v/>
      </c>
    </row>
    <row r="1995">
      <c r="A1995" t="n">
        <v>33</v>
      </c>
      <c r="B1995" s="44">
        <f>FiscalStart+(A1995-1)*7</f>
        <v/>
      </c>
      <c r="C1995">
        <f>TEXT(B1995,"mmm yyyy")</f>
        <v/>
      </c>
      <c r="D1995">
        <f>"Q"&amp;(INT((A1995-1)/13)+1)</f>
        <v/>
      </c>
      <c r="E1995" t="inlineStr">
        <is>
          <t>Costco</t>
        </is>
      </c>
      <c r="F1995">
        <f>IFERROR(INDEX(ChFormat,MATCH(E1995,ChName,0)),"")</f>
        <v/>
      </c>
      <c r="G1995" t="inlineStr">
        <is>
          <t>NS</t>
        </is>
      </c>
      <c r="H1995">
        <f>IF(A1995&lt;=NWeeks,1,0)</f>
        <v/>
      </c>
      <c r="I1995">
        <f>INDEX(ChLaunch,MATCH(E1995,ChName,0))</f>
        <v/>
      </c>
      <c r="J1995">
        <f>INDEX(ChWeeksFull,MATCH(E1995,ChName,0))</f>
        <v/>
      </c>
      <c r="K1995">
        <f>INDEX(ChRamp,MATCH(E1995,ChName,0))</f>
        <v/>
      </c>
      <c r="L1995" s="45">
        <f>MIN(1,MAX(0,(A1995-I1995+1)*RampSpeed/J1995))</f>
        <v/>
      </c>
      <c r="M1995" s="45">
        <f>IF(A1995&lt;I1995,0,IF(K1995="S-curve",L1995*L1995*(3-2*L1995),L1995))</f>
        <v/>
      </c>
      <c r="N1995" s="45">
        <f>1+(INDEX(SeasonIdx,A1995)-1)*SeasonAmp</f>
        <v/>
      </c>
      <c r="O1995" s="45">
        <f>IFERROR(INDEX(PSPct,MATCH(E1995&amp;"|"&amp;G1995,PSKey,0)),0)</f>
        <v/>
      </c>
      <c r="P1995" s="46">
        <f>INDEX(ChDoorVel,MATCH(E1995,ChName,0))*CalibScalar*(1+VelocityUplift)</f>
        <v/>
      </c>
      <c r="Q1995" s="46" t="n">
        <v>0</v>
      </c>
      <c r="R1995" s="46">
        <f>P1995*O1995*M1995*N1995*H1995</f>
        <v/>
      </c>
      <c r="S1995" s="46">
        <f>R1995*INDEX(FmtCansPerCase,MATCH(F1995,FmtName,0))</f>
        <v/>
      </c>
      <c r="T1995" s="46">
        <f>S1995/INDEX(FmtCansPerPack,MATCH(F1995,FmtName,0))</f>
        <v/>
      </c>
      <c r="U1995" s="47">
        <f>INDEX(ChBaseCP,MATCH(E1995,ChName,0))*(1+INDEX(ProvMod,MATCH(G1995,ProvCode,0)))*(1+PriceIndex)</f>
        <v/>
      </c>
      <c r="V1995" s="47">
        <f>R1995*U1995*INDEX(FmtBlendedPriceIdx,MATCH(F1995,FmtName,0))</f>
        <v/>
      </c>
      <c r="W1995" s="47">
        <f>T1995*INDEX(ProvSRP,MATCH(G1995,ProvCode,0))*(1+PriceIndex)</f>
        <v/>
      </c>
      <c r="X1995" s="47">
        <f>IF(GrossBasis="Wholesale",V1995,W1995)</f>
        <v/>
      </c>
      <c r="Y1995" s="47">
        <f>R1995*INDEX(FmtBlendedCogs,MATCH(F1995,FmtName,0))</f>
        <v/>
      </c>
      <c r="Z1995" s="47">
        <f>X1995-Y1995</f>
        <v/>
      </c>
    </row>
    <row r="1996">
      <c r="A1996" t="n">
        <v>34</v>
      </c>
      <c r="B1996" s="44">
        <f>FiscalStart+(A1996-1)*7</f>
        <v/>
      </c>
      <c r="C1996">
        <f>TEXT(B1996,"mmm yyyy")</f>
        <v/>
      </c>
      <c r="D1996">
        <f>"Q"&amp;(INT((A1996-1)/13)+1)</f>
        <v/>
      </c>
      <c r="E1996" t="inlineStr">
        <is>
          <t>Costco</t>
        </is>
      </c>
      <c r="F1996">
        <f>IFERROR(INDEX(ChFormat,MATCH(E1996,ChName,0)),"")</f>
        <v/>
      </c>
      <c r="G1996" t="inlineStr">
        <is>
          <t>NS</t>
        </is>
      </c>
      <c r="H1996">
        <f>IF(A1996&lt;=NWeeks,1,0)</f>
        <v/>
      </c>
      <c r="I1996">
        <f>INDEX(ChLaunch,MATCH(E1996,ChName,0))</f>
        <v/>
      </c>
      <c r="J1996">
        <f>INDEX(ChWeeksFull,MATCH(E1996,ChName,0))</f>
        <v/>
      </c>
      <c r="K1996">
        <f>INDEX(ChRamp,MATCH(E1996,ChName,0))</f>
        <v/>
      </c>
      <c r="L1996" s="45">
        <f>MIN(1,MAX(0,(A1996-I1996+1)*RampSpeed/J1996))</f>
        <v/>
      </c>
      <c r="M1996" s="45">
        <f>IF(A1996&lt;I1996,0,IF(K1996="S-curve",L1996*L1996*(3-2*L1996),L1996))</f>
        <v/>
      </c>
      <c r="N1996" s="45">
        <f>1+(INDEX(SeasonIdx,A1996)-1)*SeasonAmp</f>
        <v/>
      </c>
      <c r="O1996" s="45">
        <f>IFERROR(INDEX(PSPct,MATCH(E1996&amp;"|"&amp;G1996,PSKey,0)),0)</f>
        <v/>
      </c>
      <c r="P1996" s="46">
        <f>INDEX(ChDoorVel,MATCH(E1996,ChName,0))*CalibScalar*(1+VelocityUplift)</f>
        <v/>
      </c>
      <c r="Q1996" s="46" t="n">
        <v>0</v>
      </c>
      <c r="R1996" s="46">
        <f>P1996*O1996*M1996*N1996*H1996</f>
        <v/>
      </c>
      <c r="S1996" s="46">
        <f>R1996*INDEX(FmtCansPerCase,MATCH(F1996,FmtName,0))</f>
        <v/>
      </c>
      <c r="T1996" s="46">
        <f>S1996/INDEX(FmtCansPerPack,MATCH(F1996,FmtName,0))</f>
        <v/>
      </c>
      <c r="U1996" s="47">
        <f>INDEX(ChBaseCP,MATCH(E1996,ChName,0))*(1+INDEX(ProvMod,MATCH(G1996,ProvCode,0)))*(1+PriceIndex)</f>
        <v/>
      </c>
      <c r="V1996" s="47">
        <f>R1996*U1996*INDEX(FmtBlendedPriceIdx,MATCH(F1996,FmtName,0))</f>
        <v/>
      </c>
      <c r="W1996" s="47">
        <f>T1996*INDEX(ProvSRP,MATCH(G1996,ProvCode,0))*(1+PriceIndex)</f>
        <v/>
      </c>
      <c r="X1996" s="47">
        <f>IF(GrossBasis="Wholesale",V1996,W1996)</f>
        <v/>
      </c>
      <c r="Y1996" s="47">
        <f>R1996*INDEX(FmtBlendedCogs,MATCH(F1996,FmtName,0))</f>
        <v/>
      </c>
      <c r="Z1996" s="47">
        <f>X1996-Y1996</f>
        <v/>
      </c>
    </row>
    <row r="1997">
      <c r="A1997" t="n">
        <v>35</v>
      </c>
      <c r="B1997" s="44">
        <f>FiscalStart+(A1997-1)*7</f>
        <v/>
      </c>
      <c r="C1997">
        <f>TEXT(B1997,"mmm yyyy")</f>
        <v/>
      </c>
      <c r="D1997">
        <f>"Q"&amp;(INT((A1997-1)/13)+1)</f>
        <v/>
      </c>
      <c r="E1997" t="inlineStr">
        <is>
          <t>Costco</t>
        </is>
      </c>
      <c r="F1997">
        <f>IFERROR(INDEX(ChFormat,MATCH(E1997,ChName,0)),"")</f>
        <v/>
      </c>
      <c r="G1997" t="inlineStr">
        <is>
          <t>NS</t>
        </is>
      </c>
      <c r="H1997">
        <f>IF(A1997&lt;=NWeeks,1,0)</f>
        <v/>
      </c>
      <c r="I1997">
        <f>INDEX(ChLaunch,MATCH(E1997,ChName,0))</f>
        <v/>
      </c>
      <c r="J1997">
        <f>INDEX(ChWeeksFull,MATCH(E1997,ChName,0))</f>
        <v/>
      </c>
      <c r="K1997">
        <f>INDEX(ChRamp,MATCH(E1997,ChName,0))</f>
        <v/>
      </c>
      <c r="L1997" s="45">
        <f>MIN(1,MAX(0,(A1997-I1997+1)*RampSpeed/J1997))</f>
        <v/>
      </c>
      <c r="M1997" s="45">
        <f>IF(A1997&lt;I1997,0,IF(K1997="S-curve",L1997*L1997*(3-2*L1997),L1997))</f>
        <v/>
      </c>
      <c r="N1997" s="45">
        <f>1+(INDEX(SeasonIdx,A1997)-1)*SeasonAmp</f>
        <v/>
      </c>
      <c r="O1997" s="45">
        <f>IFERROR(INDEX(PSPct,MATCH(E1997&amp;"|"&amp;G1997,PSKey,0)),0)</f>
        <v/>
      </c>
      <c r="P1997" s="46">
        <f>INDEX(ChDoorVel,MATCH(E1997,ChName,0))*CalibScalar*(1+VelocityUplift)</f>
        <v/>
      </c>
      <c r="Q1997" s="46" t="n">
        <v>0</v>
      </c>
      <c r="R1997" s="46">
        <f>P1997*O1997*M1997*N1997*H1997</f>
        <v/>
      </c>
      <c r="S1997" s="46">
        <f>R1997*INDEX(FmtCansPerCase,MATCH(F1997,FmtName,0))</f>
        <v/>
      </c>
      <c r="T1997" s="46">
        <f>S1997/INDEX(FmtCansPerPack,MATCH(F1997,FmtName,0))</f>
        <v/>
      </c>
      <c r="U1997" s="47">
        <f>INDEX(ChBaseCP,MATCH(E1997,ChName,0))*(1+INDEX(ProvMod,MATCH(G1997,ProvCode,0)))*(1+PriceIndex)</f>
        <v/>
      </c>
      <c r="V1997" s="47">
        <f>R1997*U1997*INDEX(FmtBlendedPriceIdx,MATCH(F1997,FmtName,0))</f>
        <v/>
      </c>
      <c r="W1997" s="47">
        <f>T1997*INDEX(ProvSRP,MATCH(G1997,ProvCode,0))*(1+PriceIndex)</f>
        <v/>
      </c>
      <c r="X1997" s="47">
        <f>IF(GrossBasis="Wholesale",V1997,W1997)</f>
        <v/>
      </c>
      <c r="Y1997" s="47">
        <f>R1997*INDEX(FmtBlendedCogs,MATCH(F1997,FmtName,0))</f>
        <v/>
      </c>
      <c r="Z1997" s="47">
        <f>X1997-Y1997</f>
        <v/>
      </c>
    </row>
    <row r="1998">
      <c r="A1998" t="n">
        <v>36</v>
      </c>
      <c r="B1998" s="44">
        <f>FiscalStart+(A1998-1)*7</f>
        <v/>
      </c>
      <c r="C1998">
        <f>TEXT(B1998,"mmm yyyy")</f>
        <v/>
      </c>
      <c r="D1998">
        <f>"Q"&amp;(INT((A1998-1)/13)+1)</f>
        <v/>
      </c>
      <c r="E1998" t="inlineStr">
        <is>
          <t>Costco</t>
        </is>
      </c>
      <c r="F1998">
        <f>IFERROR(INDEX(ChFormat,MATCH(E1998,ChName,0)),"")</f>
        <v/>
      </c>
      <c r="G1998" t="inlineStr">
        <is>
          <t>NS</t>
        </is>
      </c>
      <c r="H1998">
        <f>IF(A1998&lt;=NWeeks,1,0)</f>
        <v/>
      </c>
      <c r="I1998">
        <f>INDEX(ChLaunch,MATCH(E1998,ChName,0))</f>
        <v/>
      </c>
      <c r="J1998">
        <f>INDEX(ChWeeksFull,MATCH(E1998,ChName,0))</f>
        <v/>
      </c>
      <c r="K1998">
        <f>INDEX(ChRamp,MATCH(E1998,ChName,0))</f>
        <v/>
      </c>
      <c r="L1998" s="45">
        <f>MIN(1,MAX(0,(A1998-I1998+1)*RampSpeed/J1998))</f>
        <v/>
      </c>
      <c r="M1998" s="45">
        <f>IF(A1998&lt;I1998,0,IF(K1998="S-curve",L1998*L1998*(3-2*L1998),L1998))</f>
        <v/>
      </c>
      <c r="N1998" s="45">
        <f>1+(INDEX(SeasonIdx,A1998)-1)*SeasonAmp</f>
        <v/>
      </c>
      <c r="O1998" s="45">
        <f>IFERROR(INDEX(PSPct,MATCH(E1998&amp;"|"&amp;G1998,PSKey,0)),0)</f>
        <v/>
      </c>
      <c r="P1998" s="46">
        <f>INDEX(ChDoorVel,MATCH(E1998,ChName,0))*CalibScalar*(1+VelocityUplift)</f>
        <v/>
      </c>
      <c r="Q1998" s="46" t="n">
        <v>0</v>
      </c>
      <c r="R1998" s="46">
        <f>P1998*O1998*M1998*N1998*H1998</f>
        <v/>
      </c>
      <c r="S1998" s="46">
        <f>R1998*INDEX(FmtCansPerCase,MATCH(F1998,FmtName,0))</f>
        <v/>
      </c>
      <c r="T1998" s="46">
        <f>S1998/INDEX(FmtCansPerPack,MATCH(F1998,FmtName,0))</f>
        <v/>
      </c>
      <c r="U1998" s="47">
        <f>INDEX(ChBaseCP,MATCH(E1998,ChName,0))*(1+INDEX(ProvMod,MATCH(G1998,ProvCode,0)))*(1+PriceIndex)</f>
        <v/>
      </c>
      <c r="V1998" s="47">
        <f>R1998*U1998*INDEX(FmtBlendedPriceIdx,MATCH(F1998,FmtName,0))</f>
        <v/>
      </c>
      <c r="W1998" s="47">
        <f>T1998*INDEX(ProvSRP,MATCH(G1998,ProvCode,0))*(1+PriceIndex)</f>
        <v/>
      </c>
      <c r="X1998" s="47">
        <f>IF(GrossBasis="Wholesale",V1998,W1998)</f>
        <v/>
      </c>
      <c r="Y1998" s="47">
        <f>R1998*INDEX(FmtBlendedCogs,MATCH(F1998,FmtName,0))</f>
        <v/>
      </c>
      <c r="Z1998" s="47">
        <f>X1998-Y1998</f>
        <v/>
      </c>
    </row>
    <row r="1999">
      <c r="A1999" t="n">
        <v>37</v>
      </c>
      <c r="B1999" s="44">
        <f>FiscalStart+(A1999-1)*7</f>
        <v/>
      </c>
      <c r="C1999">
        <f>TEXT(B1999,"mmm yyyy")</f>
        <v/>
      </c>
      <c r="D1999">
        <f>"Q"&amp;(INT((A1999-1)/13)+1)</f>
        <v/>
      </c>
      <c r="E1999" t="inlineStr">
        <is>
          <t>Costco</t>
        </is>
      </c>
      <c r="F1999">
        <f>IFERROR(INDEX(ChFormat,MATCH(E1999,ChName,0)),"")</f>
        <v/>
      </c>
      <c r="G1999" t="inlineStr">
        <is>
          <t>NS</t>
        </is>
      </c>
      <c r="H1999">
        <f>IF(A1999&lt;=NWeeks,1,0)</f>
        <v/>
      </c>
      <c r="I1999">
        <f>INDEX(ChLaunch,MATCH(E1999,ChName,0))</f>
        <v/>
      </c>
      <c r="J1999">
        <f>INDEX(ChWeeksFull,MATCH(E1999,ChName,0))</f>
        <v/>
      </c>
      <c r="K1999">
        <f>INDEX(ChRamp,MATCH(E1999,ChName,0))</f>
        <v/>
      </c>
      <c r="L1999" s="45">
        <f>MIN(1,MAX(0,(A1999-I1999+1)*RampSpeed/J1999))</f>
        <v/>
      </c>
      <c r="M1999" s="45">
        <f>IF(A1999&lt;I1999,0,IF(K1999="S-curve",L1999*L1999*(3-2*L1999),L1999))</f>
        <v/>
      </c>
      <c r="N1999" s="45">
        <f>1+(INDEX(SeasonIdx,A1999)-1)*SeasonAmp</f>
        <v/>
      </c>
      <c r="O1999" s="45">
        <f>IFERROR(INDEX(PSPct,MATCH(E1999&amp;"|"&amp;G1999,PSKey,0)),0)</f>
        <v/>
      </c>
      <c r="P1999" s="46">
        <f>INDEX(ChDoorVel,MATCH(E1999,ChName,0))*CalibScalar*(1+VelocityUplift)</f>
        <v/>
      </c>
      <c r="Q1999" s="46" t="n">
        <v>0</v>
      </c>
      <c r="R1999" s="46">
        <f>P1999*O1999*M1999*N1999*H1999</f>
        <v/>
      </c>
      <c r="S1999" s="46">
        <f>R1999*INDEX(FmtCansPerCase,MATCH(F1999,FmtName,0))</f>
        <v/>
      </c>
      <c r="T1999" s="46">
        <f>S1999/INDEX(FmtCansPerPack,MATCH(F1999,FmtName,0))</f>
        <v/>
      </c>
      <c r="U1999" s="47">
        <f>INDEX(ChBaseCP,MATCH(E1999,ChName,0))*(1+INDEX(ProvMod,MATCH(G1999,ProvCode,0)))*(1+PriceIndex)</f>
        <v/>
      </c>
      <c r="V1999" s="47">
        <f>R1999*U1999*INDEX(FmtBlendedPriceIdx,MATCH(F1999,FmtName,0))</f>
        <v/>
      </c>
      <c r="W1999" s="47">
        <f>T1999*INDEX(ProvSRP,MATCH(G1999,ProvCode,0))*(1+PriceIndex)</f>
        <v/>
      </c>
      <c r="X1999" s="47">
        <f>IF(GrossBasis="Wholesale",V1999,W1999)</f>
        <v/>
      </c>
      <c r="Y1999" s="47">
        <f>R1999*INDEX(FmtBlendedCogs,MATCH(F1999,FmtName,0))</f>
        <v/>
      </c>
      <c r="Z1999" s="47">
        <f>X1999-Y1999</f>
        <v/>
      </c>
    </row>
    <row r="2000">
      <c r="A2000" t="n">
        <v>38</v>
      </c>
      <c r="B2000" s="44">
        <f>FiscalStart+(A2000-1)*7</f>
        <v/>
      </c>
      <c r="C2000">
        <f>TEXT(B2000,"mmm yyyy")</f>
        <v/>
      </c>
      <c r="D2000">
        <f>"Q"&amp;(INT((A2000-1)/13)+1)</f>
        <v/>
      </c>
      <c r="E2000" t="inlineStr">
        <is>
          <t>Costco</t>
        </is>
      </c>
      <c r="F2000">
        <f>IFERROR(INDEX(ChFormat,MATCH(E2000,ChName,0)),"")</f>
        <v/>
      </c>
      <c r="G2000" t="inlineStr">
        <is>
          <t>NS</t>
        </is>
      </c>
      <c r="H2000">
        <f>IF(A2000&lt;=NWeeks,1,0)</f>
        <v/>
      </c>
      <c r="I2000">
        <f>INDEX(ChLaunch,MATCH(E2000,ChName,0))</f>
        <v/>
      </c>
      <c r="J2000">
        <f>INDEX(ChWeeksFull,MATCH(E2000,ChName,0))</f>
        <v/>
      </c>
      <c r="K2000">
        <f>INDEX(ChRamp,MATCH(E2000,ChName,0))</f>
        <v/>
      </c>
      <c r="L2000" s="45">
        <f>MIN(1,MAX(0,(A2000-I2000+1)*RampSpeed/J2000))</f>
        <v/>
      </c>
      <c r="M2000" s="45">
        <f>IF(A2000&lt;I2000,0,IF(K2000="S-curve",L2000*L2000*(3-2*L2000),L2000))</f>
        <v/>
      </c>
      <c r="N2000" s="45">
        <f>1+(INDEX(SeasonIdx,A2000)-1)*SeasonAmp</f>
        <v/>
      </c>
      <c r="O2000" s="45">
        <f>IFERROR(INDEX(PSPct,MATCH(E2000&amp;"|"&amp;G2000,PSKey,0)),0)</f>
        <v/>
      </c>
      <c r="P2000" s="46">
        <f>INDEX(ChDoorVel,MATCH(E2000,ChName,0))*CalibScalar*(1+VelocityUplift)</f>
        <v/>
      </c>
      <c r="Q2000" s="46" t="n">
        <v>0</v>
      </c>
      <c r="R2000" s="46">
        <f>P2000*O2000*M2000*N2000*H2000</f>
        <v/>
      </c>
      <c r="S2000" s="46">
        <f>R2000*INDEX(FmtCansPerCase,MATCH(F2000,FmtName,0))</f>
        <v/>
      </c>
      <c r="T2000" s="46">
        <f>S2000/INDEX(FmtCansPerPack,MATCH(F2000,FmtName,0))</f>
        <v/>
      </c>
      <c r="U2000" s="47">
        <f>INDEX(ChBaseCP,MATCH(E2000,ChName,0))*(1+INDEX(ProvMod,MATCH(G2000,ProvCode,0)))*(1+PriceIndex)</f>
        <v/>
      </c>
      <c r="V2000" s="47">
        <f>R2000*U2000*INDEX(FmtBlendedPriceIdx,MATCH(F2000,FmtName,0))</f>
        <v/>
      </c>
      <c r="W2000" s="47">
        <f>T2000*INDEX(ProvSRP,MATCH(G2000,ProvCode,0))*(1+PriceIndex)</f>
        <v/>
      </c>
      <c r="X2000" s="47">
        <f>IF(GrossBasis="Wholesale",V2000,W2000)</f>
        <v/>
      </c>
      <c r="Y2000" s="47">
        <f>R2000*INDEX(FmtBlendedCogs,MATCH(F2000,FmtName,0))</f>
        <v/>
      </c>
      <c r="Z2000" s="47">
        <f>X2000-Y2000</f>
        <v/>
      </c>
    </row>
    <row r="2001">
      <c r="A2001" t="n">
        <v>39</v>
      </c>
      <c r="B2001" s="44">
        <f>FiscalStart+(A2001-1)*7</f>
        <v/>
      </c>
      <c r="C2001">
        <f>TEXT(B2001,"mmm yyyy")</f>
        <v/>
      </c>
      <c r="D2001">
        <f>"Q"&amp;(INT((A2001-1)/13)+1)</f>
        <v/>
      </c>
      <c r="E2001" t="inlineStr">
        <is>
          <t>Costco</t>
        </is>
      </c>
      <c r="F2001">
        <f>IFERROR(INDEX(ChFormat,MATCH(E2001,ChName,0)),"")</f>
        <v/>
      </c>
      <c r="G2001" t="inlineStr">
        <is>
          <t>NS</t>
        </is>
      </c>
      <c r="H2001">
        <f>IF(A2001&lt;=NWeeks,1,0)</f>
        <v/>
      </c>
      <c r="I2001">
        <f>INDEX(ChLaunch,MATCH(E2001,ChName,0))</f>
        <v/>
      </c>
      <c r="J2001">
        <f>INDEX(ChWeeksFull,MATCH(E2001,ChName,0))</f>
        <v/>
      </c>
      <c r="K2001">
        <f>INDEX(ChRamp,MATCH(E2001,ChName,0))</f>
        <v/>
      </c>
      <c r="L2001" s="45">
        <f>MIN(1,MAX(0,(A2001-I2001+1)*RampSpeed/J2001))</f>
        <v/>
      </c>
      <c r="M2001" s="45">
        <f>IF(A2001&lt;I2001,0,IF(K2001="S-curve",L2001*L2001*(3-2*L2001),L2001))</f>
        <v/>
      </c>
      <c r="N2001" s="45">
        <f>1+(INDEX(SeasonIdx,A2001)-1)*SeasonAmp</f>
        <v/>
      </c>
      <c r="O2001" s="45">
        <f>IFERROR(INDEX(PSPct,MATCH(E2001&amp;"|"&amp;G2001,PSKey,0)),0)</f>
        <v/>
      </c>
      <c r="P2001" s="46">
        <f>INDEX(ChDoorVel,MATCH(E2001,ChName,0))*CalibScalar*(1+VelocityUplift)</f>
        <v/>
      </c>
      <c r="Q2001" s="46" t="n">
        <v>0</v>
      </c>
      <c r="R2001" s="46">
        <f>P2001*O2001*M2001*N2001*H2001</f>
        <v/>
      </c>
      <c r="S2001" s="46">
        <f>R2001*INDEX(FmtCansPerCase,MATCH(F2001,FmtName,0))</f>
        <v/>
      </c>
      <c r="T2001" s="46">
        <f>S2001/INDEX(FmtCansPerPack,MATCH(F2001,FmtName,0))</f>
        <v/>
      </c>
      <c r="U2001" s="47">
        <f>INDEX(ChBaseCP,MATCH(E2001,ChName,0))*(1+INDEX(ProvMod,MATCH(G2001,ProvCode,0)))*(1+PriceIndex)</f>
        <v/>
      </c>
      <c r="V2001" s="47">
        <f>R2001*U2001*INDEX(FmtBlendedPriceIdx,MATCH(F2001,FmtName,0))</f>
        <v/>
      </c>
      <c r="W2001" s="47">
        <f>T2001*INDEX(ProvSRP,MATCH(G2001,ProvCode,0))*(1+PriceIndex)</f>
        <v/>
      </c>
      <c r="X2001" s="47">
        <f>IF(GrossBasis="Wholesale",V2001,W2001)</f>
        <v/>
      </c>
      <c r="Y2001" s="47">
        <f>R2001*INDEX(FmtBlendedCogs,MATCH(F2001,FmtName,0))</f>
        <v/>
      </c>
      <c r="Z2001" s="47">
        <f>X2001-Y2001</f>
        <v/>
      </c>
    </row>
    <row r="2002">
      <c r="A2002" t="n">
        <v>40</v>
      </c>
      <c r="B2002" s="44">
        <f>FiscalStart+(A2002-1)*7</f>
        <v/>
      </c>
      <c r="C2002">
        <f>TEXT(B2002,"mmm yyyy")</f>
        <v/>
      </c>
      <c r="D2002">
        <f>"Q"&amp;(INT((A2002-1)/13)+1)</f>
        <v/>
      </c>
      <c r="E2002" t="inlineStr">
        <is>
          <t>Costco</t>
        </is>
      </c>
      <c r="F2002">
        <f>IFERROR(INDEX(ChFormat,MATCH(E2002,ChName,0)),"")</f>
        <v/>
      </c>
      <c r="G2002" t="inlineStr">
        <is>
          <t>NS</t>
        </is>
      </c>
      <c r="H2002">
        <f>IF(A2002&lt;=NWeeks,1,0)</f>
        <v/>
      </c>
      <c r="I2002">
        <f>INDEX(ChLaunch,MATCH(E2002,ChName,0))</f>
        <v/>
      </c>
      <c r="J2002">
        <f>INDEX(ChWeeksFull,MATCH(E2002,ChName,0))</f>
        <v/>
      </c>
      <c r="K2002">
        <f>INDEX(ChRamp,MATCH(E2002,ChName,0))</f>
        <v/>
      </c>
      <c r="L2002" s="45">
        <f>MIN(1,MAX(0,(A2002-I2002+1)*RampSpeed/J2002))</f>
        <v/>
      </c>
      <c r="M2002" s="45">
        <f>IF(A2002&lt;I2002,0,IF(K2002="S-curve",L2002*L2002*(3-2*L2002),L2002))</f>
        <v/>
      </c>
      <c r="N2002" s="45">
        <f>1+(INDEX(SeasonIdx,A2002)-1)*SeasonAmp</f>
        <v/>
      </c>
      <c r="O2002" s="45">
        <f>IFERROR(INDEX(PSPct,MATCH(E2002&amp;"|"&amp;G2002,PSKey,0)),0)</f>
        <v/>
      </c>
      <c r="P2002" s="46">
        <f>INDEX(ChDoorVel,MATCH(E2002,ChName,0))*CalibScalar*(1+VelocityUplift)</f>
        <v/>
      </c>
      <c r="Q2002" s="46" t="n">
        <v>0</v>
      </c>
      <c r="R2002" s="46">
        <f>P2002*O2002*M2002*N2002*H2002</f>
        <v/>
      </c>
      <c r="S2002" s="46">
        <f>R2002*INDEX(FmtCansPerCase,MATCH(F2002,FmtName,0))</f>
        <v/>
      </c>
      <c r="T2002" s="46">
        <f>S2002/INDEX(FmtCansPerPack,MATCH(F2002,FmtName,0))</f>
        <v/>
      </c>
      <c r="U2002" s="47">
        <f>INDEX(ChBaseCP,MATCH(E2002,ChName,0))*(1+INDEX(ProvMod,MATCH(G2002,ProvCode,0)))*(1+PriceIndex)</f>
        <v/>
      </c>
      <c r="V2002" s="47">
        <f>R2002*U2002*INDEX(FmtBlendedPriceIdx,MATCH(F2002,FmtName,0))</f>
        <v/>
      </c>
      <c r="W2002" s="47">
        <f>T2002*INDEX(ProvSRP,MATCH(G2002,ProvCode,0))*(1+PriceIndex)</f>
        <v/>
      </c>
      <c r="X2002" s="47">
        <f>IF(GrossBasis="Wholesale",V2002,W2002)</f>
        <v/>
      </c>
      <c r="Y2002" s="47">
        <f>R2002*INDEX(FmtBlendedCogs,MATCH(F2002,FmtName,0))</f>
        <v/>
      </c>
      <c r="Z2002" s="47">
        <f>X2002-Y2002</f>
        <v/>
      </c>
    </row>
    <row r="2003">
      <c r="A2003" t="n">
        <v>41</v>
      </c>
      <c r="B2003" s="44">
        <f>FiscalStart+(A2003-1)*7</f>
        <v/>
      </c>
      <c r="C2003">
        <f>TEXT(B2003,"mmm yyyy")</f>
        <v/>
      </c>
      <c r="D2003">
        <f>"Q"&amp;(INT((A2003-1)/13)+1)</f>
        <v/>
      </c>
      <c r="E2003" t="inlineStr">
        <is>
          <t>Costco</t>
        </is>
      </c>
      <c r="F2003">
        <f>IFERROR(INDEX(ChFormat,MATCH(E2003,ChName,0)),"")</f>
        <v/>
      </c>
      <c r="G2003" t="inlineStr">
        <is>
          <t>NS</t>
        </is>
      </c>
      <c r="H2003">
        <f>IF(A2003&lt;=NWeeks,1,0)</f>
        <v/>
      </c>
      <c r="I2003">
        <f>INDEX(ChLaunch,MATCH(E2003,ChName,0))</f>
        <v/>
      </c>
      <c r="J2003">
        <f>INDEX(ChWeeksFull,MATCH(E2003,ChName,0))</f>
        <v/>
      </c>
      <c r="K2003">
        <f>INDEX(ChRamp,MATCH(E2003,ChName,0))</f>
        <v/>
      </c>
      <c r="L2003" s="45">
        <f>MIN(1,MAX(0,(A2003-I2003+1)*RampSpeed/J2003))</f>
        <v/>
      </c>
      <c r="M2003" s="45">
        <f>IF(A2003&lt;I2003,0,IF(K2003="S-curve",L2003*L2003*(3-2*L2003),L2003))</f>
        <v/>
      </c>
      <c r="N2003" s="45">
        <f>1+(INDEX(SeasonIdx,A2003)-1)*SeasonAmp</f>
        <v/>
      </c>
      <c r="O2003" s="45">
        <f>IFERROR(INDEX(PSPct,MATCH(E2003&amp;"|"&amp;G2003,PSKey,0)),0)</f>
        <v/>
      </c>
      <c r="P2003" s="46">
        <f>INDEX(ChDoorVel,MATCH(E2003,ChName,0))*CalibScalar*(1+VelocityUplift)</f>
        <v/>
      </c>
      <c r="Q2003" s="46" t="n">
        <v>0</v>
      </c>
      <c r="R2003" s="46">
        <f>P2003*O2003*M2003*N2003*H2003</f>
        <v/>
      </c>
      <c r="S2003" s="46">
        <f>R2003*INDEX(FmtCansPerCase,MATCH(F2003,FmtName,0))</f>
        <v/>
      </c>
      <c r="T2003" s="46">
        <f>S2003/INDEX(FmtCansPerPack,MATCH(F2003,FmtName,0))</f>
        <v/>
      </c>
      <c r="U2003" s="47">
        <f>INDEX(ChBaseCP,MATCH(E2003,ChName,0))*(1+INDEX(ProvMod,MATCH(G2003,ProvCode,0)))*(1+PriceIndex)</f>
        <v/>
      </c>
      <c r="V2003" s="47">
        <f>R2003*U2003*INDEX(FmtBlendedPriceIdx,MATCH(F2003,FmtName,0))</f>
        <v/>
      </c>
      <c r="W2003" s="47">
        <f>T2003*INDEX(ProvSRP,MATCH(G2003,ProvCode,0))*(1+PriceIndex)</f>
        <v/>
      </c>
      <c r="X2003" s="47">
        <f>IF(GrossBasis="Wholesale",V2003,W2003)</f>
        <v/>
      </c>
      <c r="Y2003" s="47">
        <f>R2003*INDEX(FmtBlendedCogs,MATCH(F2003,FmtName,0))</f>
        <v/>
      </c>
      <c r="Z2003" s="47">
        <f>X2003-Y2003</f>
        <v/>
      </c>
    </row>
    <row r="2004">
      <c r="A2004" t="n">
        <v>42</v>
      </c>
      <c r="B2004" s="44">
        <f>FiscalStart+(A2004-1)*7</f>
        <v/>
      </c>
      <c r="C2004">
        <f>TEXT(B2004,"mmm yyyy")</f>
        <v/>
      </c>
      <c r="D2004">
        <f>"Q"&amp;(INT((A2004-1)/13)+1)</f>
        <v/>
      </c>
      <c r="E2004" t="inlineStr">
        <is>
          <t>Costco</t>
        </is>
      </c>
      <c r="F2004">
        <f>IFERROR(INDEX(ChFormat,MATCH(E2004,ChName,0)),"")</f>
        <v/>
      </c>
      <c r="G2004" t="inlineStr">
        <is>
          <t>NS</t>
        </is>
      </c>
      <c r="H2004">
        <f>IF(A2004&lt;=NWeeks,1,0)</f>
        <v/>
      </c>
      <c r="I2004">
        <f>INDEX(ChLaunch,MATCH(E2004,ChName,0))</f>
        <v/>
      </c>
      <c r="J2004">
        <f>INDEX(ChWeeksFull,MATCH(E2004,ChName,0))</f>
        <v/>
      </c>
      <c r="K2004">
        <f>INDEX(ChRamp,MATCH(E2004,ChName,0))</f>
        <v/>
      </c>
      <c r="L2004" s="45">
        <f>MIN(1,MAX(0,(A2004-I2004+1)*RampSpeed/J2004))</f>
        <v/>
      </c>
      <c r="M2004" s="45">
        <f>IF(A2004&lt;I2004,0,IF(K2004="S-curve",L2004*L2004*(3-2*L2004),L2004))</f>
        <v/>
      </c>
      <c r="N2004" s="45">
        <f>1+(INDEX(SeasonIdx,A2004)-1)*SeasonAmp</f>
        <v/>
      </c>
      <c r="O2004" s="45">
        <f>IFERROR(INDEX(PSPct,MATCH(E2004&amp;"|"&amp;G2004,PSKey,0)),0)</f>
        <v/>
      </c>
      <c r="P2004" s="46">
        <f>INDEX(ChDoorVel,MATCH(E2004,ChName,0))*CalibScalar*(1+VelocityUplift)</f>
        <v/>
      </c>
      <c r="Q2004" s="46" t="n">
        <v>0</v>
      </c>
      <c r="R2004" s="46">
        <f>P2004*O2004*M2004*N2004*H2004</f>
        <v/>
      </c>
      <c r="S2004" s="46">
        <f>R2004*INDEX(FmtCansPerCase,MATCH(F2004,FmtName,0))</f>
        <v/>
      </c>
      <c r="T2004" s="46">
        <f>S2004/INDEX(FmtCansPerPack,MATCH(F2004,FmtName,0))</f>
        <v/>
      </c>
      <c r="U2004" s="47">
        <f>INDEX(ChBaseCP,MATCH(E2004,ChName,0))*(1+INDEX(ProvMod,MATCH(G2004,ProvCode,0)))*(1+PriceIndex)</f>
        <v/>
      </c>
      <c r="V2004" s="47">
        <f>R2004*U2004*INDEX(FmtBlendedPriceIdx,MATCH(F2004,FmtName,0))</f>
        <v/>
      </c>
      <c r="W2004" s="47">
        <f>T2004*INDEX(ProvSRP,MATCH(G2004,ProvCode,0))*(1+PriceIndex)</f>
        <v/>
      </c>
      <c r="X2004" s="47">
        <f>IF(GrossBasis="Wholesale",V2004,W2004)</f>
        <v/>
      </c>
      <c r="Y2004" s="47">
        <f>R2004*INDEX(FmtBlendedCogs,MATCH(F2004,FmtName,0))</f>
        <v/>
      </c>
      <c r="Z2004" s="47">
        <f>X2004-Y2004</f>
        <v/>
      </c>
    </row>
    <row r="2005">
      <c r="A2005" t="n">
        <v>43</v>
      </c>
      <c r="B2005" s="44">
        <f>FiscalStart+(A2005-1)*7</f>
        <v/>
      </c>
      <c r="C2005">
        <f>TEXT(B2005,"mmm yyyy")</f>
        <v/>
      </c>
      <c r="D2005">
        <f>"Q"&amp;(INT((A2005-1)/13)+1)</f>
        <v/>
      </c>
      <c r="E2005" t="inlineStr">
        <is>
          <t>Costco</t>
        </is>
      </c>
      <c r="F2005">
        <f>IFERROR(INDEX(ChFormat,MATCH(E2005,ChName,0)),"")</f>
        <v/>
      </c>
      <c r="G2005" t="inlineStr">
        <is>
          <t>NS</t>
        </is>
      </c>
      <c r="H2005">
        <f>IF(A2005&lt;=NWeeks,1,0)</f>
        <v/>
      </c>
      <c r="I2005">
        <f>INDEX(ChLaunch,MATCH(E2005,ChName,0))</f>
        <v/>
      </c>
      <c r="J2005">
        <f>INDEX(ChWeeksFull,MATCH(E2005,ChName,0))</f>
        <v/>
      </c>
      <c r="K2005">
        <f>INDEX(ChRamp,MATCH(E2005,ChName,0))</f>
        <v/>
      </c>
      <c r="L2005" s="45">
        <f>MIN(1,MAX(0,(A2005-I2005+1)*RampSpeed/J2005))</f>
        <v/>
      </c>
      <c r="M2005" s="45">
        <f>IF(A2005&lt;I2005,0,IF(K2005="S-curve",L2005*L2005*(3-2*L2005),L2005))</f>
        <v/>
      </c>
      <c r="N2005" s="45">
        <f>1+(INDEX(SeasonIdx,A2005)-1)*SeasonAmp</f>
        <v/>
      </c>
      <c r="O2005" s="45">
        <f>IFERROR(INDEX(PSPct,MATCH(E2005&amp;"|"&amp;G2005,PSKey,0)),0)</f>
        <v/>
      </c>
      <c r="P2005" s="46">
        <f>INDEX(ChDoorVel,MATCH(E2005,ChName,0))*CalibScalar*(1+VelocityUplift)</f>
        <v/>
      </c>
      <c r="Q2005" s="46" t="n">
        <v>0</v>
      </c>
      <c r="R2005" s="46">
        <f>P2005*O2005*M2005*N2005*H2005</f>
        <v/>
      </c>
      <c r="S2005" s="46">
        <f>R2005*INDEX(FmtCansPerCase,MATCH(F2005,FmtName,0))</f>
        <v/>
      </c>
      <c r="T2005" s="46">
        <f>S2005/INDEX(FmtCansPerPack,MATCH(F2005,FmtName,0))</f>
        <v/>
      </c>
      <c r="U2005" s="47">
        <f>INDEX(ChBaseCP,MATCH(E2005,ChName,0))*(1+INDEX(ProvMod,MATCH(G2005,ProvCode,0)))*(1+PriceIndex)</f>
        <v/>
      </c>
      <c r="V2005" s="47">
        <f>R2005*U2005*INDEX(FmtBlendedPriceIdx,MATCH(F2005,FmtName,0))</f>
        <v/>
      </c>
      <c r="W2005" s="47">
        <f>T2005*INDEX(ProvSRP,MATCH(G2005,ProvCode,0))*(1+PriceIndex)</f>
        <v/>
      </c>
      <c r="X2005" s="47">
        <f>IF(GrossBasis="Wholesale",V2005,W2005)</f>
        <v/>
      </c>
      <c r="Y2005" s="47">
        <f>R2005*INDEX(FmtBlendedCogs,MATCH(F2005,FmtName,0))</f>
        <v/>
      </c>
      <c r="Z2005" s="47">
        <f>X2005-Y2005</f>
        <v/>
      </c>
    </row>
    <row r="2006">
      <c r="A2006" t="n">
        <v>44</v>
      </c>
      <c r="B2006" s="44">
        <f>FiscalStart+(A2006-1)*7</f>
        <v/>
      </c>
      <c r="C2006">
        <f>TEXT(B2006,"mmm yyyy")</f>
        <v/>
      </c>
      <c r="D2006">
        <f>"Q"&amp;(INT((A2006-1)/13)+1)</f>
        <v/>
      </c>
      <c r="E2006" t="inlineStr">
        <is>
          <t>Costco</t>
        </is>
      </c>
      <c r="F2006">
        <f>IFERROR(INDEX(ChFormat,MATCH(E2006,ChName,0)),"")</f>
        <v/>
      </c>
      <c r="G2006" t="inlineStr">
        <is>
          <t>NS</t>
        </is>
      </c>
      <c r="H2006">
        <f>IF(A2006&lt;=NWeeks,1,0)</f>
        <v/>
      </c>
      <c r="I2006">
        <f>INDEX(ChLaunch,MATCH(E2006,ChName,0))</f>
        <v/>
      </c>
      <c r="J2006">
        <f>INDEX(ChWeeksFull,MATCH(E2006,ChName,0))</f>
        <v/>
      </c>
      <c r="K2006">
        <f>INDEX(ChRamp,MATCH(E2006,ChName,0))</f>
        <v/>
      </c>
      <c r="L2006" s="45">
        <f>MIN(1,MAX(0,(A2006-I2006+1)*RampSpeed/J2006))</f>
        <v/>
      </c>
      <c r="M2006" s="45">
        <f>IF(A2006&lt;I2006,0,IF(K2006="S-curve",L2006*L2006*(3-2*L2006),L2006))</f>
        <v/>
      </c>
      <c r="N2006" s="45">
        <f>1+(INDEX(SeasonIdx,A2006)-1)*SeasonAmp</f>
        <v/>
      </c>
      <c r="O2006" s="45">
        <f>IFERROR(INDEX(PSPct,MATCH(E2006&amp;"|"&amp;G2006,PSKey,0)),0)</f>
        <v/>
      </c>
      <c r="P2006" s="46">
        <f>INDEX(ChDoorVel,MATCH(E2006,ChName,0))*CalibScalar*(1+VelocityUplift)</f>
        <v/>
      </c>
      <c r="Q2006" s="46" t="n">
        <v>0</v>
      </c>
      <c r="R2006" s="46">
        <f>P2006*O2006*M2006*N2006*H2006</f>
        <v/>
      </c>
      <c r="S2006" s="46">
        <f>R2006*INDEX(FmtCansPerCase,MATCH(F2006,FmtName,0))</f>
        <v/>
      </c>
      <c r="T2006" s="46">
        <f>S2006/INDEX(FmtCansPerPack,MATCH(F2006,FmtName,0))</f>
        <v/>
      </c>
      <c r="U2006" s="47">
        <f>INDEX(ChBaseCP,MATCH(E2006,ChName,0))*(1+INDEX(ProvMod,MATCH(G2006,ProvCode,0)))*(1+PriceIndex)</f>
        <v/>
      </c>
      <c r="V2006" s="47">
        <f>R2006*U2006*INDEX(FmtBlendedPriceIdx,MATCH(F2006,FmtName,0))</f>
        <v/>
      </c>
      <c r="W2006" s="47">
        <f>T2006*INDEX(ProvSRP,MATCH(G2006,ProvCode,0))*(1+PriceIndex)</f>
        <v/>
      </c>
      <c r="X2006" s="47">
        <f>IF(GrossBasis="Wholesale",V2006,W2006)</f>
        <v/>
      </c>
      <c r="Y2006" s="47">
        <f>R2006*INDEX(FmtBlendedCogs,MATCH(F2006,FmtName,0))</f>
        <v/>
      </c>
      <c r="Z2006" s="47">
        <f>X2006-Y2006</f>
        <v/>
      </c>
    </row>
    <row r="2007">
      <c r="A2007" t="n">
        <v>45</v>
      </c>
      <c r="B2007" s="44">
        <f>FiscalStart+(A2007-1)*7</f>
        <v/>
      </c>
      <c r="C2007">
        <f>TEXT(B2007,"mmm yyyy")</f>
        <v/>
      </c>
      <c r="D2007">
        <f>"Q"&amp;(INT((A2007-1)/13)+1)</f>
        <v/>
      </c>
      <c r="E2007" t="inlineStr">
        <is>
          <t>Costco</t>
        </is>
      </c>
      <c r="F2007">
        <f>IFERROR(INDEX(ChFormat,MATCH(E2007,ChName,0)),"")</f>
        <v/>
      </c>
      <c r="G2007" t="inlineStr">
        <is>
          <t>NS</t>
        </is>
      </c>
      <c r="H2007">
        <f>IF(A2007&lt;=NWeeks,1,0)</f>
        <v/>
      </c>
      <c r="I2007">
        <f>INDEX(ChLaunch,MATCH(E2007,ChName,0))</f>
        <v/>
      </c>
      <c r="J2007">
        <f>INDEX(ChWeeksFull,MATCH(E2007,ChName,0))</f>
        <v/>
      </c>
      <c r="K2007">
        <f>INDEX(ChRamp,MATCH(E2007,ChName,0))</f>
        <v/>
      </c>
      <c r="L2007" s="45">
        <f>MIN(1,MAX(0,(A2007-I2007+1)*RampSpeed/J2007))</f>
        <v/>
      </c>
      <c r="M2007" s="45">
        <f>IF(A2007&lt;I2007,0,IF(K2007="S-curve",L2007*L2007*(3-2*L2007),L2007))</f>
        <v/>
      </c>
      <c r="N2007" s="45">
        <f>1+(INDEX(SeasonIdx,A2007)-1)*SeasonAmp</f>
        <v/>
      </c>
      <c r="O2007" s="45">
        <f>IFERROR(INDEX(PSPct,MATCH(E2007&amp;"|"&amp;G2007,PSKey,0)),0)</f>
        <v/>
      </c>
      <c r="P2007" s="46">
        <f>INDEX(ChDoorVel,MATCH(E2007,ChName,0))*CalibScalar*(1+VelocityUplift)</f>
        <v/>
      </c>
      <c r="Q2007" s="46" t="n">
        <v>0</v>
      </c>
      <c r="R2007" s="46">
        <f>P2007*O2007*M2007*N2007*H2007</f>
        <v/>
      </c>
      <c r="S2007" s="46">
        <f>R2007*INDEX(FmtCansPerCase,MATCH(F2007,FmtName,0))</f>
        <v/>
      </c>
      <c r="T2007" s="46">
        <f>S2007/INDEX(FmtCansPerPack,MATCH(F2007,FmtName,0))</f>
        <v/>
      </c>
      <c r="U2007" s="47">
        <f>INDEX(ChBaseCP,MATCH(E2007,ChName,0))*(1+INDEX(ProvMod,MATCH(G2007,ProvCode,0)))*(1+PriceIndex)</f>
        <v/>
      </c>
      <c r="V2007" s="47">
        <f>R2007*U2007*INDEX(FmtBlendedPriceIdx,MATCH(F2007,FmtName,0))</f>
        <v/>
      </c>
      <c r="W2007" s="47">
        <f>T2007*INDEX(ProvSRP,MATCH(G2007,ProvCode,0))*(1+PriceIndex)</f>
        <v/>
      </c>
      <c r="X2007" s="47">
        <f>IF(GrossBasis="Wholesale",V2007,W2007)</f>
        <v/>
      </c>
      <c r="Y2007" s="47">
        <f>R2007*INDEX(FmtBlendedCogs,MATCH(F2007,FmtName,0))</f>
        <v/>
      </c>
      <c r="Z2007" s="47">
        <f>X2007-Y2007</f>
        <v/>
      </c>
    </row>
    <row r="2008">
      <c r="A2008" t="n">
        <v>46</v>
      </c>
      <c r="B2008" s="44">
        <f>FiscalStart+(A2008-1)*7</f>
        <v/>
      </c>
      <c r="C2008">
        <f>TEXT(B2008,"mmm yyyy")</f>
        <v/>
      </c>
      <c r="D2008">
        <f>"Q"&amp;(INT((A2008-1)/13)+1)</f>
        <v/>
      </c>
      <c r="E2008" t="inlineStr">
        <is>
          <t>Costco</t>
        </is>
      </c>
      <c r="F2008">
        <f>IFERROR(INDEX(ChFormat,MATCH(E2008,ChName,0)),"")</f>
        <v/>
      </c>
      <c r="G2008" t="inlineStr">
        <is>
          <t>NS</t>
        </is>
      </c>
      <c r="H2008">
        <f>IF(A2008&lt;=NWeeks,1,0)</f>
        <v/>
      </c>
      <c r="I2008">
        <f>INDEX(ChLaunch,MATCH(E2008,ChName,0))</f>
        <v/>
      </c>
      <c r="J2008">
        <f>INDEX(ChWeeksFull,MATCH(E2008,ChName,0))</f>
        <v/>
      </c>
      <c r="K2008">
        <f>INDEX(ChRamp,MATCH(E2008,ChName,0))</f>
        <v/>
      </c>
      <c r="L2008" s="45">
        <f>MIN(1,MAX(0,(A2008-I2008+1)*RampSpeed/J2008))</f>
        <v/>
      </c>
      <c r="M2008" s="45">
        <f>IF(A2008&lt;I2008,0,IF(K2008="S-curve",L2008*L2008*(3-2*L2008),L2008))</f>
        <v/>
      </c>
      <c r="N2008" s="45">
        <f>1+(INDEX(SeasonIdx,A2008)-1)*SeasonAmp</f>
        <v/>
      </c>
      <c r="O2008" s="45">
        <f>IFERROR(INDEX(PSPct,MATCH(E2008&amp;"|"&amp;G2008,PSKey,0)),0)</f>
        <v/>
      </c>
      <c r="P2008" s="46">
        <f>INDEX(ChDoorVel,MATCH(E2008,ChName,0))*CalibScalar*(1+VelocityUplift)</f>
        <v/>
      </c>
      <c r="Q2008" s="46" t="n">
        <v>0</v>
      </c>
      <c r="R2008" s="46">
        <f>P2008*O2008*M2008*N2008*H2008</f>
        <v/>
      </c>
      <c r="S2008" s="46">
        <f>R2008*INDEX(FmtCansPerCase,MATCH(F2008,FmtName,0))</f>
        <v/>
      </c>
      <c r="T2008" s="46">
        <f>S2008/INDEX(FmtCansPerPack,MATCH(F2008,FmtName,0))</f>
        <v/>
      </c>
      <c r="U2008" s="47">
        <f>INDEX(ChBaseCP,MATCH(E2008,ChName,0))*(1+INDEX(ProvMod,MATCH(G2008,ProvCode,0)))*(1+PriceIndex)</f>
        <v/>
      </c>
      <c r="V2008" s="47">
        <f>R2008*U2008*INDEX(FmtBlendedPriceIdx,MATCH(F2008,FmtName,0))</f>
        <v/>
      </c>
      <c r="W2008" s="47">
        <f>T2008*INDEX(ProvSRP,MATCH(G2008,ProvCode,0))*(1+PriceIndex)</f>
        <v/>
      </c>
      <c r="X2008" s="47">
        <f>IF(GrossBasis="Wholesale",V2008,W2008)</f>
        <v/>
      </c>
      <c r="Y2008" s="47">
        <f>R2008*INDEX(FmtBlendedCogs,MATCH(F2008,FmtName,0))</f>
        <v/>
      </c>
      <c r="Z2008" s="47">
        <f>X2008-Y2008</f>
        <v/>
      </c>
    </row>
    <row r="2009">
      <c r="A2009" t="n">
        <v>47</v>
      </c>
      <c r="B2009" s="44">
        <f>FiscalStart+(A2009-1)*7</f>
        <v/>
      </c>
      <c r="C2009">
        <f>TEXT(B2009,"mmm yyyy")</f>
        <v/>
      </c>
      <c r="D2009">
        <f>"Q"&amp;(INT((A2009-1)/13)+1)</f>
        <v/>
      </c>
      <c r="E2009" t="inlineStr">
        <is>
          <t>Costco</t>
        </is>
      </c>
      <c r="F2009">
        <f>IFERROR(INDEX(ChFormat,MATCH(E2009,ChName,0)),"")</f>
        <v/>
      </c>
      <c r="G2009" t="inlineStr">
        <is>
          <t>NS</t>
        </is>
      </c>
      <c r="H2009">
        <f>IF(A2009&lt;=NWeeks,1,0)</f>
        <v/>
      </c>
      <c r="I2009">
        <f>INDEX(ChLaunch,MATCH(E2009,ChName,0))</f>
        <v/>
      </c>
      <c r="J2009">
        <f>INDEX(ChWeeksFull,MATCH(E2009,ChName,0))</f>
        <v/>
      </c>
      <c r="K2009">
        <f>INDEX(ChRamp,MATCH(E2009,ChName,0))</f>
        <v/>
      </c>
      <c r="L2009" s="45">
        <f>MIN(1,MAX(0,(A2009-I2009+1)*RampSpeed/J2009))</f>
        <v/>
      </c>
      <c r="M2009" s="45">
        <f>IF(A2009&lt;I2009,0,IF(K2009="S-curve",L2009*L2009*(3-2*L2009),L2009))</f>
        <v/>
      </c>
      <c r="N2009" s="45">
        <f>1+(INDEX(SeasonIdx,A2009)-1)*SeasonAmp</f>
        <v/>
      </c>
      <c r="O2009" s="45">
        <f>IFERROR(INDEX(PSPct,MATCH(E2009&amp;"|"&amp;G2009,PSKey,0)),0)</f>
        <v/>
      </c>
      <c r="P2009" s="46">
        <f>INDEX(ChDoorVel,MATCH(E2009,ChName,0))*CalibScalar*(1+VelocityUplift)</f>
        <v/>
      </c>
      <c r="Q2009" s="46" t="n">
        <v>0</v>
      </c>
      <c r="R2009" s="46">
        <f>P2009*O2009*M2009*N2009*H2009</f>
        <v/>
      </c>
      <c r="S2009" s="46">
        <f>R2009*INDEX(FmtCansPerCase,MATCH(F2009,FmtName,0))</f>
        <v/>
      </c>
      <c r="T2009" s="46">
        <f>S2009/INDEX(FmtCansPerPack,MATCH(F2009,FmtName,0))</f>
        <v/>
      </c>
      <c r="U2009" s="47">
        <f>INDEX(ChBaseCP,MATCH(E2009,ChName,0))*(1+INDEX(ProvMod,MATCH(G2009,ProvCode,0)))*(1+PriceIndex)</f>
        <v/>
      </c>
      <c r="V2009" s="47">
        <f>R2009*U2009*INDEX(FmtBlendedPriceIdx,MATCH(F2009,FmtName,0))</f>
        <v/>
      </c>
      <c r="W2009" s="47">
        <f>T2009*INDEX(ProvSRP,MATCH(G2009,ProvCode,0))*(1+PriceIndex)</f>
        <v/>
      </c>
      <c r="X2009" s="47">
        <f>IF(GrossBasis="Wholesale",V2009,W2009)</f>
        <v/>
      </c>
      <c r="Y2009" s="47">
        <f>R2009*INDEX(FmtBlendedCogs,MATCH(F2009,FmtName,0))</f>
        <v/>
      </c>
      <c r="Z2009" s="47">
        <f>X2009-Y2009</f>
        <v/>
      </c>
    </row>
    <row r="2010">
      <c r="A2010" t="n">
        <v>48</v>
      </c>
      <c r="B2010" s="44">
        <f>FiscalStart+(A2010-1)*7</f>
        <v/>
      </c>
      <c r="C2010">
        <f>TEXT(B2010,"mmm yyyy")</f>
        <v/>
      </c>
      <c r="D2010">
        <f>"Q"&amp;(INT((A2010-1)/13)+1)</f>
        <v/>
      </c>
      <c r="E2010" t="inlineStr">
        <is>
          <t>Costco</t>
        </is>
      </c>
      <c r="F2010">
        <f>IFERROR(INDEX(ChFormat,MATCH(E2010,ChName,0)),"")</f>
        <v/>
      </c>
      <c r="G2010" t="inlineStr">
        <is>
          <t>NS</t>
        </is>
      </c>
      <c r="H2010">
        <f>IF(A2010&lt;=NWeeks,1,0)</f>
        <v/>
      </c>
      <c r="I2010">
        <f>INDEX(ChLaunch,MATCH(E2010,ChName,0))</f>
        <v/>
      </c>
      <c r="J2010">
        <f>INDEX(ChWeeksFull,MATCH(E2010,ChName,0))</f>
        <v/>
      </c>
      <c r="K2010">
        <f>INDEX(ChRamp,MATCH(E2010,ChName,0))</f>
        <v/>
      </c>
      <c r="L2010" s="45">
        <f>MIN(1,MAX(0,(A2010-I2010+1)*RampSpeed/J2010))</f>
        <v/>
      </c>
      <c r="M2010" s="45">
        <f>IF(A2010&lt;I2010,0,IF(K2010="S-curve",L2010*L2010*(3-2*L2010),L2010))</f>
        <v/>
      </c>
      <c r="N2010" s="45">
        <f>1+(INDEX(SeasonIdx,A2010)-1)*SeasonAmp</f>
        <v/>
      </c>
      <c r="O2010" s="45">
        <f>IFERROR(INDEX(PSPct,MATCH(E2010&amp;"|"&amp;G2010,PSKey,0)),0)</f>
        <v/>
      </c>
      <c r="P2010" s="46">
        <f>INDEX(ChDoorVel,MATCH(E2010,ChName,0))*CalibScalar*(1+VelocityUplift)</f>
        <v/>
      </c>
      <c r="Q2010" s="46" t="n">
        <v>0</v>
      </c>
      <c r="R2010" s="46">
        <f>P2010*O2010*M2010*N2010*H2010</f>
        <v/>
      </c>
      <c r="S2010" s="46">
        <f>R2010*INDEX(FmtCansPerCase,MATCH(F2010,FmtName,0))</f>
        <v/>
      </c>
      <c r="T2010" s="46">
        <f>S2010/INDEX(FmtCansPerPack,MATCH(F2010,FmtName,0))</f>
        <v/>
      </c>
      <c r="U2010" s="47">
        <f>INDEX(ChBaseCP,MATCH(E2010,ChName,0))*(1+INDEX(ProvMod,MATCH(G2010,ProvCode,0)))*(1+PriceIndex)</f>
        <v/>
      </c>
      <c r="V2010" s="47">
        <f>R2010*U2010*INDEX(FmtBlendedPriceIdx,MATCH(F2010,FmtName,0))</f>
        <v/>
      </c>
      <c r="W2010" s="47">
        <f>T2010*INDEX(ProvSRP,MATCH(G2010,ProvCode,0))*(1+PriceIndex)</f>
        <v/>
      </c>
      <c r="X2010" s="47">
        <f>IF(GrossBasis="Wholesale",V2010,W2010)</f>
        <v/>
      </c>
      <c r="Y2010" s="47">
        <f>R2010*INDEX(FmtBlendedCogs,MATCH(F2010,FmtName,0))</f>
        <v/>
      </c>
      <c r="Z2010" s="47">
        <f>X2010-Y2010</f>
        <v/>
      </c>
    </row>
    <row r="2011">
      <c r="A2011" t="n">
        <v>49</v>
      </c>
      <c r="B2011" s="44">
        <f>FiscalStart+(A2011-1)*7</f>
        <v/>
      </c>
      <c r="C2011">
        <f>TEXT(B2011,"mmm yyyy")</f>
        <v/>
      </c>
      <c r="D2011">
        <f>"Q"&amp;(INT((A2011-1)/13)+1)</f>
        <v/>
      </c>
      <c r="E2011" t="inlineStr">
        <is>
          <t>Costco</t>
        </is>
      </c>
      <c r="F2011">
        <f>IFERROR(INDEX(ChFormat,MATCH(E2011,ChName,0)),"")</f>
        <v/>
      </c>
      <c r="G2011" t="inlineStr">
        <is>
          <t>NS</t>
        </is>
      </c>
      <c r="H2011">
        <f>IF(A2011&lt;=NWeeks,1,0)</f>
        <v/>
      </c>
      <c r="I2011">
        <f>INDEX(ChLaunch,MATCH(E2011,ChName,0))</f>
        <v/>
      </c>
      <c r="J2011">
        <f>INDEX(ChWeeksFull,MATCH(E2011,ChName,0))</f>
        <v/>
      </c>
      <c r="K2011">
        <f>INDEX(ChRamp,MATCH(E2011,ChName,0))</f>
        <v/>
      </c>
      <c r="L2011" s="45">
        <f>MIN(1,MAX(0,(A2011-I2011+1)*RampSpeed/J2011))</f>
        <v/>
      </c>
      <c r="M2011" s="45">
        <f>IF(A2011&lt;I2011,0,IF(K2011="S-curve",L2011*L2011*(3-2*L2011),L2011))</f>
        <v/>
      </c>
      <c r="N2011" s="45">
        <f>1+(INDEX(SeasonIdx,A2011)-1)*SeasonAmp</f>
        <v/>
      </c>
      <c r="O2011" s="45">
        <f>IFERROR(INDEX(PSPct,MATCH(E2011&amp;"|"&amp;G2011,PSKey,0)),0)</f>
        <v/>
      </c>
      <c r="P2011" s="46">
        <f>INDEX(ChDoorVel,MATCH(E2011,ChName,0))*CalibScalar*(1+VelocityUplift)</f>
        <v/>
      </c>
      <c r="Q2011" s="46" t="n">
        <v>0</v>
      </c>
      <c r="R2011" s="46">
        <f>P2011*O2011*M2011*N2011*H2011</f>
        <v/>
      </c>
      <c r="S2011" s="46">
        <f>R2011*INDEX(FmtCansPerCase,MATCH(F2011,FmtName,0))</f>
        <v/>
      </c>
      <c r="T2011" s="46">
        <f>S2011/INDEX(FmtCansPerPack,MATCH(F2011,FmtName,0))</f>
        <v/>
      </c>
      <c r="U2011" s="47">
        <f>INDEX(ChBaseCP,MATCH(E2011,ChName,0))*(1+INDEX(ProvMod,MATCH(G2011,ProvCode,0)))*(1+PriceIndex)</f>
        <v/>
      </c>
      <c r="V2011" s="47">
        <f>R2011*U2011*INDEX(FmtBlendedPriceIdx,MATCH(F2011,FmtName,0))</f>
        <v/>
      </c>
      <c r="W2011" s="47">
        <f>T2011*INDEX(ProvSRP,MATCH(G2011,ProvCode,0))*(1+PriceIndex)</f>
        <v/>
      </c>
      <c r="X2011" s="47">
        <f>IF(GrossBasis="Wholesale",V2011,W2011)</f>
        <v/>
      </c>
      <c r="Y2011" s="47">
        <f>R2011*INDEX(FmtBlendedCogs,MATCH(F2011,FmtName,0))</f>
        <v/>
      </c>
      <c r="Z2011" s="47">
        <f>X2011-Y2011</f>
        <v/>
      </c>
    </row>
    <row r="2012">
      <c r="A2012" t="n">
        <v>50</v>
      </c>
      <c r="B2012" s="44">
        <f>FiscalStart+(A2012-1)*7</f>
        <v/>
      </c>
      <c r="C2012">
        <f>TEXT(B2012,"mmm yyyy")</f>
        <v/>
      </c>
      <c r="D2012">
        <f>"Q"&amp;(INT((A2012-1)/13)+1)</f>
        <v/>
      </c>
      <c r="E2012" t="inlineStr">
        <is>
          <t>Costco</t>
        </is>
      </c>
      <c r="F2012">
        <f>IFERROR(INDEX(ChFormat,MATCH(E2012,ChName,0)),"")</f>
        <v/>
      </c>
      <c r="G2012" t="inlineStr">
        <is>
          <t>NS</t>
        </is>
      </c>
      <c r="H2012">
        <f>IF(A2012&lt;=NWeeks,1,0)</f>
        <v/>
      </c>
      <c r="I2012">
        <f>INDEX(ChLaunch,MATCH(E2012,ChName,0))</f>
        <v/>
      </c>
      <c r="J2012">
        <f>INDEX(ChWeeksFull,MATCH(E2012,ChName,0))</f>
        <v/>
      </c>
      <c r="K2012">
        <f>INDEX(ChRamp,MATCH(E2012,ChName,0))</f>
        <v/>
      </c>
      <c r="L2012" s="45">
        <f>MIN(1,MAX(0,(A2012-I2012+1)*RampSpeed/J2012))</f>
        <v/>
      </c>
      <c r="M2012" s="45">
        <f>IF(A2012&lt;I2012,0,IF(K2012="S-curve",L2012*L2012*(3-2*L2012),L2012))</f>
        <v/>
      </c>
      <c r="N2012" s="45">
        <f>1+(INDEX(SeasonIdx,A2012)-1)*SeasonAmp</f>
        <v/>
      </c>
      <c r="O2012" s="45">
        <f>IFERROR(INDEX(PSPct,MATCH(E2012&amp;"|"&amp;G2012,PSKey,0)),0)</f>
        <v/>
      </c>
      <c r="P2012" s="46">
        <f>INDEX(ChDoorVel,MATCH(E2012,ChName,0))*CalibScalar*(1+VelocityUplift)</f>
        <v/>
      </c>
      <c r="Q2012" s="46" t="n">
        <v>0</v>
      </c>
      <c r="R2012" s="46">
        <f>P2012*O2012*M2012*N2012*H2012</f>
        <v/>
      </c>
      <c r="S2012" s="46">
        <f>R2012*INDEX(FmtCansPerCase,MATCH(F2012,FmtName,0))</f>
        <v/>
      </c>
      <c r="T2012" s="46">
        <f>S2012/INDEX(FmtCansPerPack,MATCH(F2012,FmtName,0))</f>
        <v/>
      </c>
      <c r="U2012" s="47">
        <f>INDEX(ChBaseCP,MATCH(E2012,ChName,0))*(1+INDEX(ProvMod,MATCH(G2012,ProvCode,0)))*(1+PriceIndex)</f>
        <v/>
      </c>
      <c r="V2012" s="47">
        <f>R2012*U2012*INDEX(FmtBlendedPriceIdx,MATCH(F2012,FmtName,0))</f>
        <v/>
      </c>
      <c r="W2012" s="47">
        <f>T2012*INDEX(ProvSRP,MATCH(G2012,ProvCode,0))*(1+PriceIndex)</f>
        <v/>
      </c>
      <c r="X2012" s="47">
        <f>IF(GrossBasis="Wholesale",V2012,W2012)</f>
        <v/>
      </c>
      <c r="Y2012" s="47">
        <f>R2012*INDEX(FmtBlendedCogs,MATCH(F2012,FmtName,0))</f>
        <v/>
      </c>
      <c r="Z2012" s="47">
        <f>X2012-Y2012</f>
        <v/>
      </c>
    </row>
    <row r="2013">
      <c r="A2013" t="n">
        <v>51</v>
      </c>
      <c r="B2013" s="44">
        <f>FiscalStart+(A2013-1)*7</f>
        <v/>
      </c>
      <c r="C2013">
        <f>TEXT(B2013,"mmm yyyy")</f>
        <v/>
      </c>
      <c r="D2013">
        <f>"Q"&amp;(INT((A2013-1)/13)+1)</f>
        <v/>
      </c>
      <c r="E2013" t="inlineStr">
        <is>
          <t>Costco</t>
        </is>
      </c>
      <c r="F2013">
        <f>IFERROR(INDEX(ChFormat,MATCH(E2013,ChName,0)),"")</f>
        <v/>
      </c>
      <c r="G2013" t="inlineStr">
        <is>
          <t>NS</t>
        </is>
      </c>
      <c r="H2013">
        <f>IF(A2013&lt;=NWeeks,1,0)</f>
        <v/>
      </c>
      <c r="I2013">
        <f>INDEX(ChLaunch,MATCH(E2013,ChName,0))</f>
        <v/>
      </c>
      <c r="J2013">
        <f>INDEX(ChWeeksFull,MATCH(E2013,ChName,0))</f>
        <v/>
      </c>
      <c r="K2013">
        <f>INDEX(ChRamp,MATCH(E2013,ChName,0))</f>
        <v/>
      </c>
      <c r="L2013" s="45">
        <f>MIN(1,MAX(0,(A2013-I2013+1)*RampSpeed/J2013))</f>
        <v/>
      </c>
      <c r="M2013" s="45">
        <f>IF(A2013&lt;I2013,0,IF(K2013="S-curve",L2013*L2013*(3-2*L2013),L2013))</f>
        <v/>
      </c>
      <c r="N2013" s="45">
        <f>1+(INDEX(SeasonIdx,A2013)-1)*SeasonAmp</f>
        <v/>
      </c>
      <c r="O2013" s="45">
        <f>IFERROR(INDEX(PSPct,MATCH(E2013&amp;"|"&amp;G2013,PSKey,0)),0)</f>
        <v/>
      </c>
      <c r="P2013" s="46">
        <f>INDEX(ChDoorVel,MATCH(E2013,ChName,0))*CalibScalar*(1+VelocityUplift)</f>
        <v/>
      </c>
      <c r="Q2013" s="46" t="n">
        <v>0</v>
      </c>
      <c r="R2013" s="46">
        <f>P2013*O2013*M2013*N2013*H2013</f>
        <v/>
      </c>
      <c r="S2013" s="46">
        <f>R2013*INDEX(FmtCansPerCase,MATCH(F2013,FmtName,0))</f>
        <v/>
      </c>
      <c r="T2013" s="46">
        <f>S2013/INDEX(FmtCansPerPack,MATCH(F2013,FmtName,0))</f>
        <v/>
      </c>
      <c r="U2013" s="47">
        <f>INDEX(ChBaseCP,MATCH(E2013,ChName,0))*(1+INDEX(ProvMod,MATCH(G2013,ProvCode,0)))*(1+PriceIndex)</f>
        <v/>
      </c>
      <c r="V2013" s="47">
        <f>R2013*U2013*INDEX(FmtBlendedPriceIdx,MATCH(F2013,FmtName,0))</f>
        <v/>
      </c>
      <c r="W2013" s="47">
        <f>T2013*INDEX(ProvSRP,MATCH(G2013,ProvCode,0))*(1+PriceIndex)</f>
        <v/>
      </c>
      <c r="X2013" s="47">
        <f>IF(GrossBasis="Wholesale",V2013,W2013)</f>
        <v/>
      </c>
      <c r="Y2013" s="47">
        <f>R2013*INDEX(FmtBlendedCogs,MATCH(F2013,FmtName,0))</f>
        <v/>
      </c>
      <c r="Z2013" s="47">
        <f>X2013-Y2013</f>
        <v/>
      </c>
    </row>
    <row r="2014">
      <c r="A2014" t="n">
        <v>52</v>
      </c>
      <c r="B2014" s="44">
        <f>FiscalStart+(A2014-1)*7</f>
        <v/>
      </c>
      <c r="C2014">
        <f>TEXT(B2014,"mmm yyyy")</f>
        <v/>
      </c>
      <c r="D2014">
        <f>"Q"&amp;(INT((A2014-1)/13)+1)</f>
        <v/>
      </c>
      <c r="E2014" t="inlineStr">
        <is>
          <t>Costco</t>
        </is>
      </c>
      <c r="F2014">
        <f>IFERROR(INDEX(ChFormat,MATCH(E2014,ChName,0)),"")</f>
        <v/>
      </c>
      <c r="G2014" t="inlineStr">
        <is>
          <t>NS</t>
        </is>
      </c>
      <c r="H2014">
        <f>IF(A2014&lt;=NWeeks,1,0)</f>
        <v/>
      </c>
      <c r="I2014">
        <f>INDEX(ChLaunch,MATCH(E2014,ChName,0))</f>
        <v/>
      </c>
      <c r="J2014">
        <f>INDEX(ChWeeksFull,MATCH(E2014,ChName,0))</f>
        <v/>
      </c>
      <c r="K2014">
        <f>INDEX(ChRamp,MATCH(E2014,ChName,0))</f>
        <v/>
      </c>
      <c r="L2014" s="45">
        <f>MIN(1,MAX(0,(A2014-I2014+1)*RampSpeed/J2014))</f>
        <v/>
      </c>
      <c r="M2014" s="45">
        <f>IF(A2014&lt;I2014,0,IF(K2014="S-curve",L2014*L2014*(3-2*L2014),L2014))</f>
        <v/>
      </c>
      <c r="N2014" s="45">
        <f>1+(INDEX(SeasonIdx,A2014)-1)*SeasonAmp</f>
        <v/>
      </c>
      <c r="O2014" s="45">
        <f>IFERROR(INDEX(PSPct,MATCH(E2014&amp;"|"&amp;G2014,PSKey,0)),0)</f>
        <v/>
      </c>
      <c r="P2014" s="46">
        <f>INDEX(ChDoorVel,MATCH(E2014,ChName,0))*CalibScalar*(1+VelocityUplift)</f>
        <v/>
      </c>
      <c r="Q2014" s="46" t="n">
        <v>0</v>
      </c>
      <c r="R2014" s="46">
        <f>P2014*O2014*M2014*N2014*H2014</f>
        <v/>
      </c>
      <c r="S2014" s="46">
        <f>R2014*INDEX(FmtCansPerCase,MATCH(F2014,FmtName,0))</f>
        <v/>
      </c>
      <c r="T2014" s="46">
        <f>S2014/INDEX(FmtCansPerPack,MATCH(F2014,FmtName,0))</f>
        <v/>
      </c>
      <c r="U2014" s="47">
        <f>INDEX(ChBaseCP,MATCH(E2014,ChName,0))*(1+INDEX(ProvMod,MATCH(G2014,ProvCode,0)))*(1+PriceIndex)</f>
        <v/>
      </c>
      <c r="V2014" s="47">
        <f>R2014*U2014*INDEX(FmtBlendedPriceIdx,MATCH(F2014,FmtName,0))</f>
        <v/>
      </c>
      <c r="W2014" s="47">
        <f>T2014*INDEX(ProvSRP,MATCH(G2014,ProvCode,0))*(1+PriceIndex)</f>
        <v/>
      </c>
      <c r="X2014" s="47">
        <f>IF(GrossBasis="Wholesale",V2014,W2014)</f>
        <v/>
      </c>
      <c r="Y2014" s="47">
        <f>R2014*INDEX(FmtBlendedCogs,MATCH(F2014,FmtName,0))</f>
        <v/>
      </c>
      <c r="Z2014" s="47">
        <f>X2014-Y2014</f>
        <v/>
      </c>
    </row>
    <row r="2015">
      <c r="A2015" t="n">
        <v>53</v>
      </c>
      <c r="B2015" s="44">
        <f>FiscalStart+(A2015-1)*7</f>
        <v/>
      </c>
      <c r="C2015">
        <f>TEXT(B2015,"mmm yyyy")</f>
        <v/>
      </c>
      <c r="D2015">
        <f>"Q"&amp;(INT((A2015-1)/13)+1)</f>
        <v/>
      </c>
      <c r="E2015" t="inlineStr">
        <is>
          <t>Costco</t>
        </is>
      </c>
      <c r="F2015">
        <f>IFERROR(INDEX(ChFormat,MATCH(E2015,ChName,0)),"")</f>
        <v/>
      </c>
      <c r="G2015" t="inlineStr">
        <is>
          <t>NS</t>
        </is>
      </c>
      <c r="H2015">
        <f>IF(A2015&lt;=NWeeks,1,0)</f>
        <v/>
      </c>
      <c r="I2015">
        <f>INDEX(ChLaunch,MATCH(E2015,ChName,0))</f>
        <v/>
      </c>
      <c r="J2015">
        <f>INDEX(ChWeeksFull,MATCH(E2015,ChName,0))</f>
        <v/>
      </c>
      <c r="K2015">
        <f>INDEX(ChRamp,MATCH(E2015,ChName,0))</f>
        <v/>
      </c>
      <c r="L2015" s="45">
        <f>MIN(1,MAX(0,(A2015-I2015+1)*RampSpeed/J2015))</f>
        <v/>
      </c>
      <c r="M2015" s="45">
        <f>IF(A2015&lt;I2015,0,IF(K2015="S-curve",L2015*L2015*(3-2*L2015),L2015))</f>
        <v/>
      </c>
      <c r="N2015" s="45">
        <f>1+(INDEX(SeasonIdx,A2015)-1)*SeasonAmp</f>
        <v/>
      </c>
      <c r="O2015" s="45">
        <f>IFERROR(INDEX(PSPct,MATCH(E2015&amp;"|"&amp;G2015,PSKey,0)),0)</f>
        <v/>
      </c>
      <c r="P2015" s="46">
        <f>INDEX(ChDoorVel,MATCH(E2015,ChName,0))*CalibScalar*(1+VelocityUplift)</f>
        <v/>
      </c>
      <c r="Q2015" s="46" t="n">
        <v>0</v>
      </c>
      <c r="R2015" s="46">
        <f>P2015*O2015*M2015*N2015*H2015</f>
        <v/>
      </c>
      <c r="S2015" s="46">
        <f>R2015*INDEX(FmtCansPerCase,MATCH(F2015,FmtName,0))</f>
        <v/>
      </c>
      <c r="T2015" s="46">
        <f>S2015/INDEX(FmtCansPerPack,MATCH(F2015,FmtName,0))</f>
        <v/>
      </c>
      <c r="U2015" s="47">
        <f>INDEX(ChBaseCP,MATCH(E2015,ChName,0))*(1+INDEX(ProvMod,MATCH(G2015,ProvCode,0)))*(1+PriceIndex)</f>
        <v/>
      </c>
      <c r="V2015" s="47">
        <f>R2015*U2015*INDEX(FmtBlendedPriceIdx,MATCH(F2015,FmtName,0))</f>
        <v/>
      </c>
      <c r="W2015" s="47">
        <f>T2015*INDEX(ProvSRP,MATCH(G2015,ProvCode,0))*(1+PriceIndex)</f>
        <v/>
      </c>
      <c r="X2015" s="47">
        <f>IF(GrossBasis="Wholesale",V2015,W2015)</f>
        <v/>
      </c>
      <c r="Y2015" s="47">
        <f>R2015*INDEX(FmtBlendedCogs,MATCH(F2015,FmtName,0))</f>
        <v/>
      </c>
      <c r="Z2015" s="47">
        <f>X2015-Y2015</f>
        <v/>
      </c>
    </row>
    <row r="2016">
      <c r="A2016" t="n">
        <v>1</v>
      </c>
      <c r="B2016" s="44">
        <f>FiscalStart+(A2016-1)*7</f>
        <v/>
      </c>
      <c r="C2016">
        <f>TEXT(B2016,"mmm yyyy")</f>
        <v/>
      </c>
      <c r="D2016">
        <f>"Q"&amp;(INT((A2016-1)/13)+1)</f>
        <v/>
      </c>
      <c r="E2016" t="inlineStr">
        <is>
          <t>Costco</t>
        </is>
      </c>
      <c r="F2016">
        <f>IFERROR(INDEX(ChFormat,MATCH(E2016,ChName,0)),"")</f>
        <v/>
      </c>
      <c r="G2016" t="inlineStr">
        <is>
          <t>PE</t>
        </is>
      </c>
      <c r="H2016">
        <f>IF(A2016&lt;=NWeeks,1,0)</f>
        <v/>
      </c>
      <c r="I2016">
        <f>INDEX(ChLaunch,MATCH(E2016,ChName,0))</f>
        <v/>
      </c>
      <c r="J2016">
        <f>INDEX(ChWeeksFull,MATCH(E2016,ChName,0))</f>
        <v/>
      </c>
      <c r="K2016">
        <f>INDEX(ChRamp,MATCH(E2016,ChName,0))</f>
        <v/>
      </c>
      <c r="L2016" s="45">
        <f>MIN(1,MAX(0,(A2016-I2016+1)*RampSpeed/J2016))</f>
        <v/>
      </c>
      <c r="M2016" s="45">
        <f>IF(A2016&lt;I2016,0,IF(K2016="S-curve",L2016*L2016*(3-2*L2016),L2016))</f>
        <v/>
      </c>
      <c r="N2016" s="45">
        <f>1+(INDEX(SeasonIdx,A2016)-1)*SeasonAmp</f>
        <v/>
      </c>
      <c r="O2016" s="45">
        <f>IFERROR(INDEX(PSPct,MATCH(E2016&amp;"|"&amp;G2016,PSKey,0)),0)</f>
        <v/>
      </c>
      <c r="P2016" s="46">
        <f>INDEX(ChDoorVel,MATCH(E2016,ChName,0))*CalibScalar*(1+VelocityUplift)</f>
        <v/>
      </c>
      <c r="Q2016" s="46" t="n">
        <v>0</v>
      </c>
      <c r="R2016" s="46">
        <f>P2016*O2016*M2016*N2016*H2016</f>
        <v/>
      </c>
      <c r="S2016" s="46">
        <f>R2016*INDEX(FmtCansPerCase,MATCH(F2016,FmtName,0))</f>
        <v/>
      </c>
      <c r="T2016" s="46">
        <f>S2016/INDEX(FmtCansPerPack,MATCH(F2016,FmtName,0))</f>
        <v/>
      </c>
      <c r="U2016" s="47">
        <f>INDEX(ChBaseCP,MATCH(E2016,ChName,0))*(1+INDEX(ProvMod,MATCH(G2016,ProvCode,0)))*(1+PriceIndex)</f>
        <v/>
      </c>
      <c r="V2016" s="47">
        <f>R2016*U2016*INDEX(FmtBlendedPriceIdx,MATCH(F2016,FmtName,0))</f>
        <v/>
      </c>
      <c r="W2016" s="47">
        <f>T2016*INDEX(ProvSRP,MATCH(G2016,ProvCode,0))*(1+PriceIndex)</f>
        <v/>
      </c>
      <c r="X2016" s="47">
        <f>IF(GrossBasis="Wholesale",V2016,W2016)</f>
        <v/>
      </c>
      <c r="Y2016" s="47">
        <f>R2016*INDEX(FmtBlendedCogs,MATCH(F2016,FmtName,0))</f>
        <v/>
      </c>
      <c r="Z2016" s="47">
        <f>X2016-Y2016</f>
        <v/>
      </c>
    </row>
    <row r="2017">
      <c r="A2017" t="n">
        <v>2</v>
      </c>
      <c r="B2017" s="44">
        <f>FiscalStart+(A2017-1)*7</f>
        <v/>
      </c>
      <c r="C2017">
        <f>TEXT(B2017,"mmm yyyy")</f>
        <v/>
      </c>
      <c r="D2017">
        <f>"Q"&amp;(INT((A2017-1)/13)+1)</f>
        <v/>
      </c>
      <c r="E2017" t="inlineStr">
        <is>
          <t>Costco</t>
        </is>
      </c>
      <c r="F2017">
        <f>IFERROR(INDEX(ChFormat,MATCH(E2017,ChName,0)),"")</f>
        <v/>
      </c>
      <c r="G2017" t="inlineStr">
        <is>
          <t>PE</t>
        </is>
      </c>
      <c r="H2017">
        <f>IF(A2017&lt;=NWeeks,1,0)</f>
        <v/>
      </c>
      <c r="I2017">
        <f>INDEX(ChLaunch,MATCH(E2017,ChName,0))</f>
        <v/>
      </c>
      <c r="J2017">
        <f>INDEX(ChWeeksFull,MATCH(E2017,ChName,0))</f>
        <v/>
      </c>
      <c r="K2017">
        <f>INDEX(ChRamp,MATCH(E2017,ChName,0))</f>
        <v/>
      </c>
      <c r="L2017" s="45">
        <f>MIN(1,MAX(0,(A2017-I2017+1)*RampSpeed/J2017))</f>
        <v/>
      </c>
      <c r="M2017" s="45">
        <f>IF(A2017&lt;I2017,0,IF(K2017="S-curve",L2017*L2017*(3-2*L2017),L2017))</f>
        <v/>
      </c>
      <c r="N2017" s="45">
        <f>1+(INDEX(SeasonIdx,A2017)-1)*SeasonAmp</f>
        <v/>
      </c>
      <c r="O2017" s="45">
        <f>IFERROR(INDEX(PSPct,MATCH(E2017&amp;"|"&amp;G2017,PSKey,0)),0)</f>
        <v/>
      </c>
      <c r="P2017" s="46">
        <f>INDEX(ChDoorVel,MATCH(E2017,ChName,0))*CalibScalar*(1+VelocityUplift)</f>
        <v/>
      </c>
      <c r="Q2017" s="46" t="n">
        <v>0</v>
      </c>
      <c r="R2017" s="46">
        <f>P2017*O2017*M2017*N2017*H2017</f>
        <v/>
      </c>
      <c r="S2017" s="46">
        <f>R2017*INDEX(FmtCansPerCase,MATCH(F2017,FmtName,0))</f>
        <v/>
      </c>
      <c r="T2017" s="46">
        <f>S2017/INDEX(FmtCansPerPack,MATCH(F2017,FmtName,0))</f>
        <v/>
      </c>
      <c r="U2017" s="47">
        <f>INDEX(ChBaseCP,MATCH(E2017,ChName,0))*(1+INDEX(ProvMod,MATCH(G2017,ProvCode,0)))*(1+PriceIndex)</f>
        <v/>
      </c>
      <c r="V2017" s="47">
        <f>R2017*U2017*INDEX(FmtBlendedPriceIdx,MATCH(F2017,FmtName,0))</f>
        <v/>
      </c>
      <c r="W2017" s="47">
        <f>T2017*INDEX(ProvSRP,MATCH(G2017,ProvCode,0))*(1+PriceIndex)</f>
        <v/>
      </c>
      <c r="X2017" s="47">
        <f>IF(GrossBasis="Wholesale",V2017,W2017)</f>
        <v/>
      </c>
      <c r="Y2017" s="47">
        <f>R2017*INDEX(FmtBlendedCogs,MATCH(F2017,FmtName,0))</f>
        <v/>
      </c>
      <c r="Z2017" s="47">
        <f>X2017-Y2017</f>
        <v/>
      </c>
    </row>
    <row r="2018">
      <c r="A2018" t="n">
        <v>3</v>
      </c>
      <c r="B2018" s="44">
        <f>FiscalStart+(A2018-1)*7</f>
        <v/>
      </c>
      <c r="C2018">
        <f>TEXT(B2018,"mmm yyyy")</f>
        <v/>
      </c>
      <c r="D2018">
        <f>"Q"&amp;(INT((A2018-1)/13)+1)</f>
        <v/>
      </c>
      <c r="E2018" t="inlineStr">
        <is>
          <t>Costco</t>
        </is>
      </c>
      <c r="F2018">
        <f>IFERROR(INDEX(ChFormat,MATCH(E2018,ChName,0)),"")</f>
        <v/>
      </c>
      <c r="G2018" t="inlineStr">
        <is>
          <t>PE</t>
        </is>
      </c>
      <c r="H2018">
        <f>IF(A2018&lt;=NWeeks,1,0)</f>
        <v/>
      </c>
      <c r="I2018">
        <f>INDEX(ChLaunch,MATCH(E2018,ChName,0))</f>
        <v/>
      </c>
      <c r="J2018">
        <f>INDEX(ChWeeksFull,MATCH(E2018,ChName,0))</f>
        <v/>
      </c>
      <c r="K2018">
        <f>INDEX(ChRamp,MATCH(E2018,ChName,0))</f>
        <v/>
      </c>
      <c r="L2018" s="45">
        <f>MIN(1,MAX(0,(A2018-I2018+1)*RampSpeed/J2018))</f>
        <v/>
      </c>
      <c r="M2018" s="45">
        <f>IF(A2018&lt;I2018,0,IF(K2018="S-curve",L2018*L2018*(3-2*L2018),L2018))</f>
        <v/>
      </c>
      <c r="N2018" s="45">
        <f>1+(INDEX(SeasonIdx,A2018)-1)*SeasonAmp</f>
        <v/>
      </c>
      <c r="O2018" s="45">
        <f>IFERROR(INDEX(PSPct,MATCH(E2018&amp;"|"&amp;G2018,PSKey,0)),0)</f>
        <v/>
      </c>
      <c r="P2018" s="46">
        <f>INDEX(ChDoorVel,MATCH(E2018,ChName,0))*CalibScalar*(1+VelocityUplift)</f>
        <v/>
      </c>
      <c r="Q2018" s="46" t="n">
        <v>0</v>
      </c>
      <c r="R2018" s="46">
        <f>P2018*O2018*M2018*N2018*H2018</f>
        <v/>
      </c>
      <c r="S2018" s="46">
        <f>R2018*INDEX(FmtCansPerCase,MATCH(F2018,FmtName,0))</f>
        <v/>
      </c>
      <c r="T2018" s="46">
        <f>S2018/INDEX(FmtCansPerPack,MATCH(F2018,FmtName,0))</f>
        <v/>
      </c>
      <c r="U2018" s="47">
        <f>INDEX(ChBaseCP,MATCH(E2018,ChName,0))*(1+INDEX(ProvMod,MATCH(G2018,ProvCode,0)))*(1+PriceIndex)</f>
        <v/>
      </c>
      <c r="V2018" s="47">
        <f>R2018*U2018*INDEX(FmtBlendedPriceIdx,MATCH(F2018,FmtName,0))</f>
        <v/>
      </c>
      <c r="W2018" s="47">
        <f>T2018*INDEX(ProvSRP,MATCH(G2018,ProvCode,0))*(1+PriceIndex)</f>
        <v/>
      </c>
      <c r="X2018" s="47">
        <f>IF(GrossBasis="Wholesale",V2018,W2018)</f>
        <v/>
      </c>
      <c r="Y2018" s="47">
        <f>R2018*INDEX(FmtBlendedCogs,MATCH(F2018,FmtName,0))</f>
        <v/>
      </c>
      <c r="Z2018" s="47">
        <f>X2018-Y2018</f>
        <v/>
      </c>
    </row>
    <row r="2019">
      <c r="A2019" t="n">
        <v>4</v>
      </c>
      <c r="B2019" s="44">
        <f>FiscalStart+(A2019-1)*7</f>
        <v/>
      </c>
      <c r="C2019">
        <f>TEXT(B2019,"mmm yyyy")</f>
        <v/>
      </c>
      <c r="D2019">
        <f>"Q"&amp;(INT((A2019-1)/13)+1)</f>
        <v/>
      </c>
      <c r="E2019" t="inlineStr">
        <is>
          <t>Costco</t>
        </is>
      </c>
      <c r="F2019">
        <f>IFERROR(INDEX(ChFormat,MATCH(E2019,ChName,0)),"")</f>
        <v/>
      </c>
      <c r="G2019" t="inlineStr">
        <is>
          <t>PE</t>
        </is>
      </c>
      <c r="H2019">
        <f>IF(A2019&lt;=NWeeks,1,0)</f>
        <v/>
      </c>
      <c r="I2019">
        <f>INDEX(ChLaunch,MATCH(E2019,ChName,0))</f>
        <v/>
      </c>
      <c r="J2019">
        <f>INDEX(ChWeeksFull,MATCH(E2019,ChName,0))</f>
        <v/>
      </c>
      <c r="K2019">
        <f>INDEX(ChRamp,MATCH(E2019,ChName,0))</f>
        <v/>
      </c>
      <c r="L2019" s="45">
        <f>MIN(1,MAX(0,(A2019-I2019+1)*RampSpeed/J2019))</f>
        <v/>
      </c>
      <c r="M2019" s="45">
        <f>IF(A2019&lt;I2019,0,IF(K2019="S-curve",L2019*L2019*(3-2*L2019),L2019))</f>
        <v/>
      </c>
      <c r="N2019" s="45">
        <f>1+(INDEX(SeasonIdx,A2019)-1)*SeasonAmp</f>
        <v/>
      </c>
      <c r="O2019" s="45">
        <f>IFERROR(INDEX(PSPct,MATCH(E2019&amp;"|"&amp;G2019,PSKey,0)),0)</f>
        <v/>
      </c>
      <c r="P2019" s="46">
        <f>INDEX(ChDoorVel,MATCH(E2019,ChName,0))*CalibScalar*(1+VelocityUplift)</f>
        <v/>
      </c>
      <c r="Q2019" s="46" t="n">
        <v>0</v>
      </c>
      <c r="R2019" s="46">
        <f>P2019*O2019*M2019*N2019*H2019</f>
        <v/>
      </c>
      <c r="S2019" s="46">
        <f>R2019*INDEX(FmtCansPerCase,MATCH(F2019,FmtName,0))</f>
        <v/>
      </c>
      <c r="T2019" s="46">
        <f>S2019/INDEX(FmtCansPerPack,MATCH(F2019,FmtName,0))</f>
        <v/>
      </c>
      <c r="U2019" s="47">
        <f>INDEX(ChBaseCP,MATCH(E2019,ChName,0))*(1+INDEX(ProvMod,MATCH(G2019,ProvCode,0)))*(1+PriceIndex)</f>
        <v/>
      </c>
      <c r="V2019" s="47">
        <f>R2019*U2019*INDEX(FmtBlendedPriceIdx,MATCH(F2019,FmtName,0))</f>
        <v/>
      </c>
      <c r="W2019" s="47">
        <f>T2019*INDEX(ProvSRP,MATCH(G2019,ProvCode,0))*(1+PriceIndex)</f>
        <v/>
      </c>
      <c r="X2019" s="47">
        <f>IF(GrossBasis="Wholesale",V2019,W2019)</f>
        <v/>
      </c>
      <c r="Y2019" s="47">
        <f>R2019*INDEX(FmtBlendedCogs,MATCH(F2019,FmtName,0))</f>
        <v/>
      </c>
      <c r="Z2019" s="47">
        <f>X2019-Y2019</f>
        <v/>
      </c>
    </row>
    <row r="2020">
      <c r="A2020" t="n">
        <v>5</v>
      </c>
      <c r="B2020" s="44">
        <f>FiscalStart+(A2020-1)*7</f>
        <v/>
      </c>
      <c r="C2020">
        <f>TEXT(B2020,"mmm yyyy")</f>
        <v/>
      </c>
      <c r="D2020">
        <f>"Q"&amp;(INT((A2020-1)/13)+1)</f>
        <v/>
      </c>
      <c r="E2020" t="inlineStr">
        <is>
          <t>Costco</t>
        </is>
      </c>
      <c r="F2020">
        <f>IFERROR(INDEX(ChFormat,MATCH(E2020,ChName,0)),"")</f>
        <v/>
      </c>
      <c r="G2020" t="inlineStr">
        <is>
          <t>PE</t>
        </is>
      </c>
      <c r="H2020">
        <f>IF(A2020&lt;=NWeeks,1,0)</f>
        <v/>
      </c>
      <c r="I2020">
        <f>INDEX(ChLaunch,MATCH(E2020,ChName,0))</f>
        <v/>
      </c>
      <c r="J2020">
        <f>INDEX(ChWeeksFull,MATCH(E2020,ChName,0))</f>
        <v/>
      </c>
      <c r="K2020">
        <f>INDEX(ChRamp,MATCH(E2020,ChName,0))</f>
        <v/>
      </c>
      <c r="L2020" s="45">
        <f>MIN(1,MAX(0,(A2020-I2020+1)*RampSpeed/J2020))</f>
        <v/>
      </c>
      <c r="M2020" s="45">
        <f>IF(A2020&lt;I2020,0,IF(K2020="S-curve",L2020*L2020*(3-2*L2020),L2020))</f>
        <v/>
      </c>
      <c r="N2020" s="45">
        <f>1+(INDEX(SeasonIdx,A2020)-1)*SeasonAmp</f>
        <v/>
      </c>
      <c r="O2020" s="45">
        <f>IFERROR(INDEX(PSPct,MATCH(E2020&amp;"|"&amp;G2020,PSKey,0)),0)</f>
        <v/>
      </c>
      <c r="P2020" s="46">
        <f>INDEX(ChDoorVel,MATCH(E2020,ChName,0))*CalibScalar*(1+VelocityUplift)</f>
        <v/>
      </c>
      <c r="Q2020" s="46" t="n">
        <v>0</v>
      </c>
      <c r="R2020" s="46">
        <f>P2020*O2020*M2020*N2020*H2020</f>
        <v/>
      </c>
      <c r="S2020" s="46">
        <f>R2020*INDEX(FmtCansPerCase,MATCH(F2020,FmtName,0))</f>
        <v/>
      </c>
      <c r="T2020" s="46">
        <f>S2020/INDEX(FmtCansPerPack,MATCH(F2020,FmtName,0))</f>
        <v/>
      </c>
      <c r="U2020" s="47">
        <f>INDEX(ChBaseCP,MATCH(E2020,ChName,0))*(1+INDEX(ProvMod,MATCH(G2020,ProvCode,0)))*(1+PriceIndex)</f>
        <v/>
      </c>
      <c r="V2020" s="47">
        <f>R2020*U2020*INDEX(FmtBlendedPriceIdx,MATCH(F2020,FmtName,0))</f>
        <v/>
      </c>
      <c r="W2020" s="47">
        <f>T2020*INDEX(ProvSRP,MATCH(G2020,ProvCode,0))*(1+PriceIndex)</f>
        <v/>
      </c>
      <c r="X2020" s="47">
        <f>IF(GrossBasis="Wholesale",V2020,W2020)</f>
        <v/>
      </c>
      <c r="Y2020" s="47">
        <f>R2020*INDEX(FmtBlendedCogs,MATCH(F2020,FmtName,0))</f>
        <v/>
      </c>
      <c r="Z2020" s="47">
        <f>X2020-Y2020</f>
        <v/>
      </c>
    </row>
    <row r="2021">
      <c r="A2021" t="n">
        <v>6</v>
      </c>
      <c r="B2021" s="44">
        <f>FiscalStart+(A2021-1)*7</f>
        <v/>
      </c>
      <c r="C2021">
        <f>TEXT(B2021,"mmm yyyy")</f>
        <v/>
      </c>
      <c r="D2021">
        <f>"Q"&amp;(INT((A2021-1)/13)+1)</f>
        <v/>
      </c>
      <c r="E2021" t="inlineStr">
        <is>
          <t>Costco</t>
        </is>
      </c>
      <c r="F2021">
        <f>IFERROR(INDEX(ChFormat,MATCH(E2021,ChName,0)),"")</f>
        <v/>
      </c>
      <c r="G2021" t="inlineStr">
        <is>
          <t>PE</t>
        </is>
      </c>
      <c r="H2021">
        <f>IF(A2021&lt;=NWeeks,1,0)</f>
        <v/>
      </c>
      <c r="I2021">
        <f>INDEX(ChLaunch,MATCH(E2021,ChName,0))</f>
        <v/>
      </c>
      <c r="J2021">
        <f>INDEX(ChWeeksFull,MATCH(E2021,ChName,0))</f>
        <v/>
      </c>
      <c r="K2021">
        <f>INDEX(ChRamp,MATCH(E2021,ChName,0))</f>
        <v/>
      </c>
      <c r="L2021" s="45">
        <f>MIN(1,MAX(0,(A2021-I2021+1)*RampSpeed/J2021))</f>
        <v/>
      </c>
      <c r="M2021" s="45">
        <f>IF(A2021&lt;I2021,0,IF(K2021="S-curve",L2021*L2021*(3-2*L2021),L2021))</f>
        <v/>
      </c>
      <c r="N2021" s="45">
        <f>1+(INDEX(SeasonIdx,A2021)-1)*SeasonAmp</f>
        <v/>
      </c>
      <c r="O2021" s="45">
        <f>IFERROR(INDEX(PSPct,MATCH(E2021&amp;"|"&amp;G2021,PSKey,0)),0)</f>
        <v/>
      </c>
      <c r="P2021" s="46">
        <f>INDEX(ChDoorVel,MATCH(E2021,ChName,0))*CalibScalar*(1+VelocityUplift)</f>
        <v/>
      </c>
      <c r="Q2021" s="46" t="n">
        <v>0</v>
      </c>
      <c r="R2021" s="46">
        <f>P2021*O2021*M2021*N2021*H2021</f>
        <v/>
      </c>
      <c r="S2021" s="46">
        <f>R2021*INDEX(FmtCansPerCase,MATCH(F2021,FmtName,0))</f>
        <v/>
      </c>
      <c r="T2021" s="46">
        <f>S2021/INDEX(FmtCansPerPack,MATCH(F2021,FmtName,0))</f>
        <v/>
      </c>
      <c r="U2021" s="47">
        <f>INDEX(ChBaseCP,MATCH(E2021,ChName,0))*(1+INDEX(ProvMod,MATCH(G2021,ProvCode,0)))*(1+PriceIndex)</f>
        <v/>
      </c>
      <c r="V2021" s="47">
        <f>R2021*U2021*INDEX(FmtBlendedPriceIdx,MATCH(F2021,FmtName,0))</f>
        <v/>
      </c>
      <c r="W2021" s="47">
        <f>T2021*INDEX(ProvSRP,MATCH(G2021,ProvCode,0))*(1+PriceIndex)</f>
        <v/>
      </c>
      <c r="X2021" s="47">
        <f>IF(GrossBasis="Wholesale",V2021,W2021)</f>
        <v/>
      </c>
      <c r="Y2021" s="47">
        <f>R2021*INDEX(FmtBlendedCogs,MATCH(F2021,FmtName,0))</f>
        <v/>
      </c>
      <c r="Z2021" s="47">
        <f>X2021-Y2021</f>
        <v/>
      </c>
    </row>
    <row r="2022">
      <c r="A2022" t="n">
        <v>7</v>
      </c>
      <c r="B2022" s="44">
        <f>FiscalStart+(A2022-1)*7</f>
        <v/>
      </c>
      <c r="C2022">
        <f>TEXT(B2022,"mmm yyyy")</f>
        <v/>
      </c>
      <c r="D2022">
        <f>"Q"&amp;(INT((A2022-1)/13)+1)</f>
        <v/>
      </c>
      <c r="E2022" t="inlineStr">
        <is>
          <t>Costco</t>
        </is>
      </c>
      <c r="F2022">
        <f>IFERROR(INDEX(ChFormat,MATCH(E2022,ChName,0)),"")</f>
        <v/>
      </c>
      <c r="G2022" t="inlineStr">
        <is>
          <t>PE</t>
        </is>
      </c>
      <c r="H2022">
        <f>IF(A2022&lt;=NWeeks,1,0)</f>
        <v/>
      </c>
      <c r="I2022">
        <f>INDEX(ChLaunch,MATCH(E2022,ChName,0))</f>
        <v/>
      </c>
      <c r="J2022">
        <f>INDEX(ChWeeksFull,MATCH(E2022,ChName,0))</f>
        <v/>
      </c>
      <c r="K2022">
        <f>INDEX(ChRamp,MATCH(E2022,ChName,0))</f>
        <v/>
      </c>
      <c r="L2022" s="45">
        <f>MIN(1,MAX(0,(A2022-I2022+1)*RampSpeed/J2022))</f>
        <v/>
      </c>
      <c r="M2022" s="45">
        <f>IF(A2022&lt;I2022,0,IF(K2022="S-curve",L2022*L2022*(3-2*L2022),L2022))</f>
        <v/>
      </c>
      <c r="N2022" s="45">
        <f>1+(INDEX(SeasonIdx,A2022)-1)*SeasonAmp</f>
        <v/>
      </c>
      <c r="O2022" s="45">
        <f>IFERROR(INDEX(PSPct,MATCH(E2022&amp;"|"&amp;G2022,PSKey,0)),0)</f>
        <v/>
      </c>
      <c r="P2022" s="46">
        <f>INDEX(ChDoorVel,MATCH(E2022,ChName,0))*CalibScalar*(1+VelocityUplift)</f>
        <v/>
      </c>
      <c r="Q2022" s="46" t="n">
        <v>0</v>
      </c>
      <c r="R2022" s="46">
        <f>P2022*O2022*M2022*N2022*H2022</f>
        <v/>
      </c>
      <c r="S2022" s="46">
        <f>R2022*INDEX(FmtCansPerCase,MATCH(F2022,FmtName,0))</f>
        <v/>
      </c>
      <c r="T2022" s="46">
        <f>S2022/INDEX(FmtCansPerPack,MATCH(F2022,FmtName,0))</f>
        <v/>
      </c>
      <c r="U2022" s="47">
        <f>INDEX(ChBaseCP,MATCH(E2022,ChName,0))*(1+INDEX(ProvMod,MATCH(G2022,ProvCode,0)))*(1+PriceIndex)</f>
        <v/>
      </c>
      <c r="V2022" s="47">
        <f>R2022*U2022*INDEX(FmtBlendedPriceIdx,MATCH(F2022,FmtName,0))</f>
        <v/>
      </c>
      <c r="W2022" s="47">
        <f>T2022*INDEX(ProvSRP,MATCH(G2022,ProvCode,0))*(1+PriceIndex)</f>
        <v/>
      </c>
      <c r="X2022" s="47">
        <f>IF(GrossBasis="Wholesale",V2022,W2022)</f>
        <v/>
      </c>
      <c r="Y2022" s="47">
        <f>R2022*INDEX(FmtBlendedCogs,MATCH(F2022,FmtName,0))</f>
        <v/>
      </c>
      <c r="Z2022" s="47">
        <f>X2022-Y2022</f>
        <v/>
      </c>
    </row>
    <row r="2023">
      <c r="A2023" t="n">
        <v>8</v>
      </c>
      <c r="B2023" s="44">
        <f>FiscalStart+(A2023-1)*7</f>
        <v/>
      </c>
      <c r="C2023">
        <f>TEXT(B2023,"mmm yyyy")</f>
        <v/>
      </c>
      <c r="D2023">
        <f>"Q"&amp;(INT((A2023-1)/13)+1)</f>
        <v/>
      </c>
      <c r="E2023" t="inlineStr">
        <is>
          <t>Costco</t>
        </is>
      </c>
      <c r="F2023">
        <f>IFERROR(INDEX(ChFormat,MATCH(E2023,ChName,0)),"")</f>
        <v/>
      </c>
      <c r="G2023" t="inlineStr">
        <is>
          <t>PE</t>
        </is>
      </c>
      <c r="H2023">
        <f>IF(A2023&lt;=NWeeks,1,0)</f>
        <v/>
      </c>
      <c r="I2023">
        <f>INDEX(ChLaunch,MATCH(E2023,ChName,0))</f>
        <v/>
      </c>
      <c r="J2023">
        <f>INDEX(ChWeeksFull,MATCH(E2023,ChName,0))</f>
        <v/>
      </c>
      <c r="K2023">
        <f>INDEX(ChRamp,MATCH(E2023,ChName,0))</f>
        <v/>
      </c>
      <c r="L2023" s="45">
        <f>MIN(1,MAX(0,(A2023-I2023+1)*RampSpeed/J2023))</f>
        <v/>
      </c>
      <c r="M2023" s="45">
        <f>IF(A2023&lt;I2023,0,IF(K2023="S-curve",L2023*L2023*(3-2*L2023),L2023))</f>
        <v/>
      </c>
      <c r="N2023" s="45">
        <f>1+(INDEX(SeasonIdx,A2023)-1)*SeasonAmp</f>
        <v/>
      </c>
      <c r="O2023" s="45">
        <f>IFERROR(INDEX(PSPct,MATCH(E2023&amp;"|"&amp;G2023,PSKey,0)),0)</f>
        <v/>
      </c>
      <c r="P2023" s="46">
        <f>INDEX(ChDoorVel,MATCH(E2023,ChName,0))*CalibScalar*(1+VelocityUplift)</f>
        <v/>
      </c>
      <c r="Q2023" s="46" t="n">
        <v>0</v>
      </c>
      <c r="R2023" s="46">
        <f>P2023*O2023*M2023*N2023*H2023</f>
        <v/>
      </c>
      <c r="S2023" s="46">
        <f>R2023*INDEX(FmtCansPerCase,MATCH(F2023,FmtName,0))</f>
        <v/>
      </c>
      <c r="T2023" s="46">
        <f>S2023/INDEX(FmtCansPerPack,MATCH(F2023,FmtName,0))</f>
        <v/>
      </c>
      <c r="U2023" s="47">
        <f>INDEX(ChBaseCP,MATCH(E2023,ChName,0))*(1+INDEX(ProvMod,MATCH(G2023,ProvCode,0)))*(1+PriceIndex)</f>
        <v/>
      </c>
      <c r="V2023" s="47">
        <f>R2023*U2023*INDEX(FmtBlendedPriceIdx,MATCH(F2023,FmtName,0))</f>
        <v/>
      </c>
      <c r="W2023" s="47">
        <f>T2023*INDEX(ProvSRP,MATCH(G2023,ProvCode,0))*(1+PriceIndex)</f>
        <v/>
      </c>
      <c r="X2023" s="47">
        <f>IF(GrossBasis="Wholesale",V2023,W2023)</f>
        <v/>
      </c>
      <c r="Y2023" s="47">
        <f>R2023*INDEX(FmtBlendedCogs,MATCH(F2023,FmtName,0))</f>
        <v/>
      </c>
      <c r="Z2023" s="47">
        <f>X2023-Y2023</f>
        <v/>
      </c>
    </row>
    <row r="2024">
      <c r="A2024" t="n">
        <v>9</v>
      </c>
      <c r="B2024" s="44">
        <f>FiscalStart+(A2024-1)*7</f>
        <v/>
      </c>
      <c r="C2024">
        <f>TEXT(B2024,"mmm yyyy")</f>
        <v/>
      </c>
      <c r="D2024">
        <f>"Q"&amp;(INT((A2024-1)/13)+1)</f>
        <v/>
      </c>
      <c r="E2024" t="inlineStr">
        <is>
          <t>Costco</t>
        </is>
      </c>
      <c r="F2024">
        <f>IFERROR(INDEX(ChFormat,MATCH(E2024,ChName,0)),"")</f>
        <v/>
      </c>
      <c r="G2024" t="inlineStr">
        <is>
          <t>PE</t>
        </is>
      </c>
      <c r="H2024">
        <f>IF(A2024&lt;=NWeeks,1,0)</f>
        <v/>
      </c>
      <c r="I2024">
        <f>INDEX(ChLaunch,MATCH(E2024,ChName,0))</f>
        <v/>
      </c>
      <c r="J2024">
        <f>INDEX(ChWeeksFull,MATCH(E2024,ChName,0))</f>
        <v/>
      </c>
      <c r="K2024">
        <f>INDEX(ChRamp,MATCH(E2024,ChName,0))</f>
        <v/>
      </c>
      <c r="L2024" s="45">
        <f>MIN(1,MAX(0,(A2024-I2024+1)*RampSpeed/J2024))</f>
        <v/>
      </c>
      <c r="M2024" s="45">
        <f>IF(A2024&lt;I2024,0,IF(K2024="S-curve",L2024*L2024*(3-2*L2024),L2024))</f>
        <v/>
      </c>
      <c r="N2024" s="45">
        <f>1+(INDEX(SeasonIdx,A2024)-1)*SeasonAmp</f>
        <v/>
      </c>
      <c r="O2024" s="45">
        <f>IFERROR(INDEX(PSPct,MATCH(E2024&amp;"|"&amp;G2024,PSKey,0)),0)</f>
        <v/>
      </c>
      <c r="P2024" s="46">
        <f>INDEX(ChDoorVel,MATCH(E2024,ChName,0))*CalibScalar*(1+VelocityUplift)</f>
        <v/>
      </c>
      <c r="Q2024" s="46" t="n">
        <v>0</v>
      </c>
      <c r="R2024" s="46">
        <f>P2024*O2024*M2024*N2024*H2024</f>
        <v/>
      </c>
      <c r="S2024" s="46">
        <f>R2024*INDEX(FmtCansPerCase,MATCH(F2024,FmtName,0))</f>
        <v/>
      </c>
      <c r="T2024" s="46">
        <f>S2024/INDEX(FmtCansPerPack,MATCH(F2024,FmtName,0))</f>
        <v/>
      </c>
      <c r="U2024" s="47">
        <f>INDEX(ChBaseCP,MATCH(E2024,ChName,0))*(1+INDEX(ProvMod,MATCH(G2024,ProvCode,0)))*(1+PriceIndex)</f>
        <v/>
      </c>
      <c r="V2024" s="47">
        <f>R2024*U2024*INDEX(FmtBlendedPriceIdx,MATCH(F2024,FmtName,0))</f>
        <v/>
      </c>
      <c r="W2024" s="47">
        <f>T2024*INDEX(ProvSRP,MATCH(G2024,ProvCode,0))*(1+PriceIndex)</f>
        <v/>
      </c>
      <c r="X2024" s="47">
        <f>IF(GrossBasis="Wholesale",V2024,W2024)</f>
        <v/>
      </c>
      <c r="Y2024" s="47">
        <f>R2024*INDEX(FmtBlendedCogs,MATCH(F2024,FmtName,0))</f>
        <v/>
      </c>
      <c r="Z2024" s="47">
        <f>X2024-Y2024</f>
        <v/>
      </c>
    </row>
    <row r="2025">
      <c r="A2025" t="n">
        <v>10</v>
      </c>
      <c r="B2025" s="44">
        <f>FiscalStart+(A2025-1)*7</f>
        <v/>
      </c>
      <c r="C2025">
        <f>TEXT(B2025,"mmm yyyy")</f>
        <v/>
      </c>
      <c r="D2025">
        <f>"Q"&amp;(INT((A2025-1)/13)+1)</f>
        <v/>
      </c>
      <c r="E2025" t="inlineStr">
        <is>
          <t>Costco</t>
        </is>
      </c>
      <c r="F2025">
        <f>IFERROR(INDEX(ChFormat,MATCH(E2025,ChName,0)),"")</f>
        <v/>
      </c>
      <c r="G2025" t="inlineStr">
        <is>
          <t>PE</t>
        </is>
      </c>
      <c r="H2025">
        <f>IF(A2025&lt;=NWeeks,1,0)</f>
        <v/>
      </c>
      <c r="I2025">
        <f>INDEX(ChLaunch,MATCH(E2025,ChName,0))</f>
        <v/>
      </c>
      <c r="J2025">
        <f>INDEX(ChWeeksFull,MATCH(E2025,ChName,0))</f>
        <v/>
      </c>
      <c r="K2025">
        <f>INDEX(ChRamp,MATCH(E2025,ChName,0))</f>
        <v/>
      </c>
      <c r="L2025" s="45">
        <f>MIN(1,MAX(0,(A2025-I2025+1)*RampSpeed/J2025))</f>
        <v/>
      </c>
      <c r="M2025" s="45">
        <f>IF(A2025&lt;I2025,0,IF(K2025="S-curve",L2025*L2025*(3-2*L2025),L2025))</f>
        <v/>
      </c>
      <c r="N2025" s="45">
        <f>1+(INDEX(SeasonIdx,A2025)-1)*SeasonAmp</f>
        <v/>
      </c>
      <c r="O2025" s="45">
        <f>IFERROR(INDEX(PSPct,MATCH(E2025&amp;"|"&amp;G2025,PSKey,0)),0)</f>
        <v/>
      </c>
      <c r="P2025" s="46">
        <f>INDEX(ChDoorVel,MATCH(E2025,ChName,0))*CalibScalar*(1+VelocityUplift)</f>
        <v/>
      </c>
      <c r="Q2025" s="46" t="n">
        <v>0</v>
      </c>
      <c r="R2025" s="46">
        <f>P2025*O2025*M2025*N2025*H2025</f>
        <v/>
      </c>
      <c r="S2025" s="46">
        <f>R2025*INDEX(FmtCansPerCase,MATCH(F2025,FmtName,0))</f>
        <v/>
      </c>
      <c r="T2025" s="46">
        <f>S2025/INDEX(FmtCansPerPack,MATCH(F2025,FmtName,0))</f>
        <v/>
      </c>
      <c r="U2025" s="47">
        <f>INDEX(ChBaseCP,MATCH(E2025,ChName,0))*(1+INDEX(ProvMod,MATCH(G2025,ProvCode,0)))*(1+PriceIndex)</f>
        <v/>
      </c>
      <c r="V2025" s="47">
        <f>R2025*U2025*INDEX(FmtBlendedPriceIdx,MATCH(F2025,FmtName,0))</f>
        <v/>
      </c>
      <c r="W2025" s="47">
        <f>T2025*INDEX(ProvSRP,MATCH(G2025,ProvCode,0))*(1+PriceIndex)</f>
        <v/>
      </c>
      <c r="X2025" s="47">
        <f>IF(GrossBasis="Wholesale",V2025,W2025)</f>
        <v/>
      </c>
      <c r="Y2025" s="47">
        <f>R2025*INDEX(FmtBlendedCogs,MATCH(F2025,FmtName,0))</f>
        <v/>
      </c>
      <c r="Z2025" s="47">
        <f>X2025-Y2025</f>
        <v/>
      </c>
    </row>
    <row r="2026">
      <c r="A2026" t="n">
        <v>11</v>
      </c>
      <c r="B2026" s="44">
        <f>FiscalStart+(A2026-1)*7</f>
        <v/>
      </c>
      <c r="C2026">
        <f>TEXT(B2026,"mmm yyyy")</f>
        <v/>
      </c>
      <c r="D2026">
        <f>"Q"&amp;(INT((A2026-1)/13)+1)</f>
        <v/>
      </c>
      <c r="E2026" t="inlineStr">
        <is>
          <t>Costco</t>
        </is>
      </c>
      <c r="F2026">
        <f>IFERROR(INDEX(ChFormat,MATCH(E2026,ChName,0)),"")</f>
        <v/>
      </c>
      <c r="G2026" t="inlineStr">
        <is>
          <t>PE</t>
        </is>
      </c>
      <c r="H2026">
        <f>IF(A2026&lt;=NWeeks,1,0)</f>
        <v/>
      </c>
      <c r="I2026">
        <f>INDEX(ChLaunch,MATCH(E2026,ChName,0))</f>
        <v/>
      </c>
      <c r="J2026">
        <f>INDEX(ChWeeksFull,MATCH(E2026,ChName,0))</f>
        <v/>
      </c>
      <c r="K2026">
        <f>INDEX(ChRamp,MATCH(E2026,ChName,0))</f>
        <v/>
      </c>
      <c r="L2026" s="45">
        <f>MIN(1,MAX(0,(A2026-I2026+1)*RampSpeed/J2026))</f>
        <v/>
      </c>
      <c r="M2026" s="45">
        <f>IF(A2026&lt;I2026,0,IF(K2026="S-curve",L2026*L2026*(3-2*L2026),L2026))</f>
        <v/>
      </c>
      <c r="N2026" s="45">
        <f>1+(INDEX(SeasonIdx,A2026)-1)*SeasonAmp</f>
        <v/>
      </c>
      <c r="O2026" s="45">
        <f>IFERROR(INDEX(PSPct,MATCH(E2026&amp;"|"&amp;G2026,PSKey,0)),0)</f>
        <v/>
      </c>
      <c r="P2026" s="46">
        <f>INDEX(ChDoorVel,MATCH(E2026,ChName,0))*CalibScalar*(1+VelocityUplift)</f>
        <v/>
      </c>
      <c r="Q2026" s="46" t="n">
        <v>0</v>
      </c>
      <c r="R2026" s="46">
        <f>P2026*O2026*M2026*N2026*H2026</f>
        <v/>
      </c>
      <c r="S2026" s="46">
        <f>R2026*INDEX(FmtCansPerCase,MATCH(F2026,FmtName,0))</f>
        <v/>
      </c>
      <c r="T2026" s="46">
        <f>S2026/INDEX(FmtCansPerPack,MATCH(F2026,FmtName,0))</f>
        <v/>
      </c>
      <c r="U2026" s="47">
        <f>INDEX(ChBaseCP,MATCH(E2026,ChName,0))*(1+INDEX(ProvMod,MATCH(G2026,ProvCode,0)))*(1+PriceIndex)</f>
        <v/>
      </c>
      <c r="V2026" s="47">
        <f>R2026*U2026*INDEX(FmtBlendedPriceIdx,MATCH(F2026,FmtName,0))</f>
        <v/>
      </c>
      <c r="W2026" s="47">
        <f>T2026*INDEX(ProvSRP,MATCH(G2026,ProvCode,0))*(1+PriceIndex)</f>
        <v/>
      </c>
      <c r="X2026" s="47">
        <f>IF(GrossBasis="Wholesale",V2026,W2026)</f>
        <v/>
      </c>
      <c r="Y2026" s="47">
        <f>R2026*INDEX(FmtBlendedCogs,MATCH(F2026,FmtName,0))</f>
        <v/>
      </c>
      <c r="Z2026" s="47">
        <f>X2026-Y2026</f>
        <v/>
      </c>
    </row>
    <row r="2027">
      <c r="A2027" t="n">
        <v>12</v>
      </c>
      <c r="B2027" s="44">
        <f>FiscalStart+(A2027-1)*7</f>
        <v/>
      </c>
      <c r="C2027">
        <f>TEXT(B2027,"mmm yyyy")</f>
        <v/>
      </c>
      <c r="D2027">
        <f>"Q"&amp;(INT((A2027-1)/13)+1)</f>
        <v/>
      </c>
      <c r="E2027" t="inlineStr">
        <is>
          <t>Costco</t>
        </is>
      </c>
      <c r="F2027">
        <f>IFERROR(INDEX(ChFormat,MATCH(E2027,ChName,0)),"")</f>
        <v/>
      </c>
      <c r="G2027" t="inlineStr">
        <is>
          <t>PE</t>
        </is>
      </c>
      <c r="H2027">
        <f>IF(A2027&lt;=NWeeks,1,0)</f>
        <v/>
      </c>
      <c r="I2027">
        <f>INDEX(ChLaunch,MATCH(E2027,ChName,0))</f>
        <v/>
      </c>
      <c r="J2027">
        <f>INDEX(ChWeeksFull,MATCH(E2027,ChName,0))</f>
        <v/>
      </c>
      <c r="K2027">
        <f>INDEX(ChRamp,MATCH(E2027,ChName,0))</f>
        <v/>
      </c>
      <c r="L2027" s="45">
        <f>MIN(1,MAX(0,(A2027-I2027+1)*RampSpeed/J2027))</f>
        <v/>
      </c>
      <c r="M2027" s="45">
        <f>IF(A2027&lt;I2027,0,IF(K2027="S-curve",L2027*L2027*(3-2*L2027),L2027))</f>
        <v/>
      </c>
      <c r="N2027" s="45">
        <f>1+(INDEX(SeasonIdx,A2027)-1)*SeasonAmp</f>
        <v/>
      </c>
      <c r="O2027" s="45">
        <f>IFERROR(INDEX(PSPct,MATCH(E2027&amp;"|"&amp;G2027,PSKey,0)),0)</f>
        <v/>
      </c>
      <c r="P2027" s="46">
        <f>INDEX(ChDoorVel,MATCH(E2027,ChName,0))*CalibScalar*(1+VelocityUplift)</f>
        <v/>
      </c>
      <c r="Q2027" s="46" t="n">
        <v>0</v>
      </c>
      <c r="R2027" s="46">
        <f>P2027*O2027*M2027*N2027*H2027</f>
        <v/>
      </c>
      <c r="S2027" s="46">
        <f>R2027*INDEX(FmtCansPerCase,MATCH(F2027,FmtName,0))</f>
        <v/>
      </c>
      <c r="T2027" s="46">
        <f>S2027/INDEX(FmtCansPerPack,MATCH(F2027,FmtName,0))</f>
        <v/>
      </c>
      <c r="U2027" s="47">
        <f>INDEX(ChBaseCP,MATCH(E2027,ChName,0))*(1+INDEX(ProvMod,MATCH(G2027,ProvCode,0)))*(1+PriceIndex)</f>
        <v/>
      </c>
      <c r="V2027" s="47">
        <f>R2027*U2027*INDEX(FmtBlendedPriceIdx,MATCH(F2027,FmtName,0))</f>
        <v/>
      </c>
      <c r="W2027" s="47">
        <f>T2027*INDEX(ProvSRP,MATCH(G2027,ProvCode,0))*(1+PriceIndex)</f>
        <v/>
      </c>
      <c r="X2027" s="47">
        <f>IF(GrossBasis="Wholesale",V2027,W2027)</f>
        <v/>
      </c>
      <c r="Y2027" s="47">
        <f>R2027*INDEX(FmtBlendedCogs,MATCH(F2027,FmtName,0))</f>
        <v/>
      </c>
      <c r="Z2027" s="47">
        <f>X2027-Y2027</f>
        <v/>
      </c>
    </row>
    <row r="2028">
      <c r="A2028" t="n">
        <v>13</v>
      </c>
      <c r="B2028" s="44">
        <f>FiscalStart+(A2028-1)*7</f>
        <v/>
      </c>
      <c r="C2028">
        <f>TEXT(B2028,"mmm yyyy")</f>
        <v/>
      </c>
      <c r="D2028">
        <f>"Q"&amp;(INT((A2028-1)/13)+1)</f>
        <v/>
      </c>
      <c r="E2028" t="inlineStr">
        <is>
          <t>Costco</t>
        </is>
      </c>
      <c r="F2028">
        <f>IFERROR(INDEX(ChFormat,MATCH(E2028,ChName,0)),"")</f>
        <v/>
      </c>
      <c r="G2028" t="inlineStr">
        <is>
          <t>PE</t>
        </is>
      </c>
      <c r="H2028">
        <f>IF(A2028&lt;=NWeeks,1,0)</f>
        <v/>
      </c>
      <c r="I2028">
        <f>INDEX(ChLaunch,MATCH(E2028,ChName,0))</f>
        <v/>
      </c>
      <c r="J2028">
        <f>INDEX(ChWeeksFull,MATCH(E2028,ChName,0))</f>
        <v/>
      </c>
      <c r="K2028">
        <f>INDEX(ChRamp,MATCH(E2028,ChName,0))</f>
        <v/>
      </c>
      <c r="L2028" s="45">
        <f>MIN(1,MAX(0,(A2028-I2028+1)*RampSpeed/J2028))</f>
        <v/>
      </c>
      <c r="M2028" s="45">
        <f>IF(A2028&lt;I2028,0,IF(K2028="S-curve",L2028*L2028*(3-2*L2028),L2028))</f>
        <v/>
      </c>
      <c r="N2028" s="45">
        <f>1+(INDEX(SeasonIdx,A2028)-1)*SeasonAmp</f>
        <v/>
      </c>
      <c r="O2028" s="45">
        <f>IFERROR(INDEX(PSPct,MATCH(E2028&amp;"|"&amp;G2028,PSKey,0)),0)</f>
        <v/>
      </c>
      <c r="P2028" s="46">
        <f>INDEX(ChDoorVel,MATCH(E2028,ChName,0))*CalibScalar*(1+VelocityUplift)</f>
        <v/>
      </c>
      <c r="Q2028" s="46" t="n">
        <v>0</v>
      </c>
      <c r="R2028" s="46">
        <f>P2028*O2028*M2028*N2028*H2028</f>
        <v/>
      </c>
      <c r="S2028" s="46">
        <f>R2028*INDEX(FmtCansPerCase,MATCH(F2028,FmtName,0))</f>
        <v/>
      </c>
      <c r="T2028" s="46">
        <f>S2028/INDEX(FmtCansPerPack,MATCH(F2028,FmtName,0))</f>
        <v/>
      </c>
      <c r="U2028" s="47">
        <f>INDEX(ChBaseCP,MATCH(E2028,ChName,0))*(1+INDEX(ProvMod,MATCH(G2028,ProvCode,0)))*(1+PriceIndex)</f>
        <v/>
      </c>
      <c r="V2028" s="47">
        <f>R2028*U2028*INDEX(FmtBlendedPriceIdx,MATCH(F2028,FmtName,0))</f>
        <v/>
      </c>
      <c r="W2028" s="47">
        <f>T2028*INDEX(ProvSRP,MATCH(G2028,ProvCode,0))*(1+PriceIndex)</f>
        <v/>
      </c>
      <c r="X2028" s="47">
        <f>IF(GrossBasis="Wholesale",V2028,W2028)</f>
        <v/>
      </c>
      <c r="Y2028" s="47">
        <f>R2028*INDEX(FmtBlendedCogs,MATCH(F2028,FmtName,0))</f>
        <v/>
      </c>
      <c r="Z2028" s="47">
        <f>X2028-Y2028</f>
        <v/>
      </c>
    </row>
    <row r="2029">
      <c r="A2029" t="n">
        <v>14</v>
      </c>
      <c r="B2029" s="44">
        <f>FiscalStart+(A2029-1)*7</f>
        <v/>
      </c>
      <c r="C2029">
        <f>TEXT(B2029,"mmm yyyy")</f>
        <v/>
      </c>
      <c r="D2029">
        <f>"Q"&amp;(INT((A2029-1)/13)+1)</f>
        <v/>
      </c>
      <c r="E2029" t="inlineStr">
        <is>
          <t>Costco</t>
        </is>
      </c>
      <c r="F2029">
        <f>IFERROR(INDEX(ChFormat,MATCH(E2029,ChName,0)),"")</f>
        <v/>
      </c>
      <c r="G2029" t="inlineStr">
        <is>
          <t>PE</t>
        </is>
      </c>
      <c r="H2029">
        <f>IF(A2029&lt;=NWeeks,1,0)</f>
        <v/>
      </c>
      <c r="I2029">
        <f>INDEX(ChLaunch,MATCH(E2029,ChName,0))</f>
        <v/>
      </c>
      <c r="J2029">
        <f>INDEX(ChWeeksFull,MATCH(E2029,ChName,0))</f>
        <v/>
      </c>
      <c r="K2029">
        <f>INDEX(ChRamp,MATCH(E2029,ChName,0))</f>
        <v/>
      </c>
      <c r="L2029" s="45">
        <f>MIN(1,MAX(0,(A2029-I2029+1)*RampSpeed/J2029))</f>
        <v/>
      </c>
      <c r="M2029" s="45">
        <f>IF(A2029&lt;I2029,0,IF(K2029="S-curve",L2029*L2029*(3-2*L2029),L2029))</f>
        <v/>
      </c>
      <c r="N2029" s="45">
        <f>1+(INDEX(SeasonIdx,A2029)-1)*SeasonAmp</f>
        <v/>
      </c>
      <c r="O2029" s="45">
        <f>IFERROR(INDEX(PSPct,MATCH(E2029&amp;"|"&amp;G2029,PSKey,0)),0)</f>
        <v/>
      </c>
      <c r="P2029" s="46">
        <f>INDEX(ChDoorVel,MATCH(E2029,ChName,0))*CalibScalar*(1+VelocityUplift)</f>
        <v/>
      </c>
      <c r="Q2029" s="46" t="n">
        <v>0</v>
      </c>
      <c r="R2029" s="46">
        <f>P2029*O2029*M2029*N2029*H2029</f>
        <v/>
      </c>
      <c r="S2029" s="46">
        <f>R2029*INDEX(FmtCansPerCase,MATCH(F2029,FmtName,0))</f>
        <v/>
      </c>
      <c r="T2029" s="46">
        <f>S2029/INDEX(FmtCansPerPack,MATCH(F2029,FmtName,0))</f>
        <v/>
      </c>
      <c r="U2029" s="47">
        <f>INDEX(ChBaseCP,MATCH(E2029,ChName,0))*(1+INDEX(ProvMod,MATCH(G2029,ProvCode,0)))*(1+PriceIndex)</f>
        <v/>
      </c>
      <c r="V2029" s="47">
        <f>R2029*U2029*INDEX(FmtBlendedPriceIdx,MATCH(F2029,FmtName,0))</f>
        <v/>
      </c>
      <c r="W2029" s="47">
        <f>T2029*INDEX(ProvSRP,MATCH(G2029,ProvCode,0))*(1+PriceIndex)</f>
        <v/>
      </c>
      <c r="X2029" s="47">
        <f>IF(GrossBasis="Wholesale",V2029,W2029)</f>
        <v/>
      </c>
      <c r="Y2029" s="47">
        <f>R2029*INDEX(FmtBlendedCogs,MATCH(F2029,FmtName,0))</f>
        <v/>
      </c>
      <c r="Z2029" s="47">
        <f>X2029-Y2029</f>
        <v/>
      </c>
    </row>
    <row r="2030">
      <c r="A2030" t="n">
        <v>15</v>
      </c>
      <c r="B2030" s="44">
        <f>FiscalStart+(A2030-1)*7</f>
        <v/>
      </c>
      <c r="C2030">
        <f>TEXT(B2030,"mmm yyyy")</f>
        <v/>
      </c>
      <c r="D2030">
        <f>"Q"&amp;(INT((A2030-1)/13)+1)</f>
        <v/>
      </c>
      <c r="E2030" t="inlineStr">
        <is>
          <t>Costco</t>
        </is>
      </c>
      <c r="F2030">
        <f>IFERROR(INDEX(ChFormat,MATCH(E2030,ChName,0)),"")</f>
        <v/>
      </c>
      <c r="G2030" t="inlineStr">
        <is>
          <t>PE</t>
        </is>
      </c>
      <c r="H2030">
        <f>IF(A2030&lt;=NWeeks,1,0)</f>
        <v/>
      </c>
      <c r="I2030">
        <f>INDEX(ChLaunch,MATCH(E2030,ChName,0))</f>
        <v/>
      </c>
      <c r="J2030">
        <f>INDEX(ChWeeksFull,MATCH(E2030,ChName,0))</f>
        <v/>
      </c>
      <c r="K2030">
        <f>INDEX(ChRamp,MATCH(E2030,ChName,0))</f>
        <v/>
      </c>
      <c r="L2030" s="45">
        <f>MIN(1,MAX(0,(A2030-I2030+1)*RampSpeed/J2030))</f>
        <v/>
      </c>
      <c r="M2030" s="45">
        <f>IF(A2030&lt;I2030,0,IF(K2030="S-curve",L2030*L2030*(3-2*L2030),L2030))</f>
        <v/>
      </c>
      <c r="N2030" s="45">
        <f>1+(INDEX(SeasonIdx,A2030)-1)*SeasonAmp</f>
        <v/>
      </c>
      <c r="O2030" s="45">
        <f>IFERROR(INDEX(PSPct,MATCH(E2030&amp;"|"&amp;G2030,PSKey,0)),0)</f>
        <v/>
      </c>
      <c r="P2030" s="46">
        <f>INDEX(ChDoorVel,MATCH(E2030,ChName,0))*CalibScalar*(1+VelocityUplift)</f>
        <v/>
      </c>
      <c r="Q2030" s="46" t="n">
        <v>0</v>
      </c>
      <c r="R2030" s="46">
        <f>P2030*O2030*M2030*N2030*H2030</f>
        <v/>
      </c>
      <c r="S2030" s="46">
        <f>R2030*INDEX(FmtCansPerCase,MATCH(F2030,FmtName,0))</f>
        <v/>
      </c>
      <c r="T2030" s="46">
        <f>S2030/INDEX(FmtCansPerPack,MATCH(F2030,FmtName,0))</f>
        <v/>
      </c>
      <c r="U2030" s="47">
        <f>INDEX(ChBaseCP,MATCH(E2030,ChName,0))*(1+INDEX(ProvMod,MATCH(G2030,ProvCode,0)))*(1+PriceIndex)</f>
        <v/>
      </c>
      <c r="V2030" s="47">
        <f>R2030*U2030*INDEX(FmtBlendedPriceIdx,MATCH(F2030,FmtName,0))</f>
        <v/>
      </c>
      <c r="W2030" s="47">
        <f>T2030*INDEX(ProvSRP,MATCH(G2030,ProvCode,0))*(1+PriceIndex)</f>
        <v/>
      </c>
      <c r="X2030" s="47">
        <f>IF(GrossBasis="Wholesale",V2030,W2030)</f>
        <v/>
      </c>
      <c r="Y2030" s="47">
        <f>R2030*INDEX(FmtBlendedCogs,MATCH(F2030,FmtName,0))</f>
        <v/>
      </c>
      <c r="Z2030" s="47">
        <f>X2030-Y2030</f>
        <v/>
      </c>
    </row>
    <row r="2031">
      <c r="A2031" t="n">
        <v>16</v>
      </c>
      <c r="B2031" s="44">
        <f>FiscalStart+(A2031-1)*7</f>
        <v/>
      </c>
      <c r="C2031">
        <f>TEXT(B2031,"mmm yyyy")</f>
        <v/>
      </c>
      <c r="D2031">
        <f>"Q"&amp;(INT((A2031-1)/13)+1)</f>
        <v/>
      </c>
      <c r="E2031" t="inlineStr">
        <is>
          <t>Costco</t>
        </is>
      </c>
      <c r="F2031">
        <f>IFERROR(INDEX(ChFormat,MATCH(E2031,ChName,0)),"")</f>
        <v/>
      </c>
      <c r="G2031" t="inlineStr">
        <is>
          <t>PE</t>
        </is>
      </c>
      <c r="H2031">
        <f>IF(A2031&lt;=NWeeks,1,0)</f>
        <v/>
      </c>
      <c r="I2031">
        <f>INDEX(ChLaunch,MATCH(E2031,ChName,0))</f>
        <v/>
      </c>
      <c r="J2031">
        <f>INDEX(ChWeeksFull,MATCH(E2031,ChName,0))</f>
        <v/>
      </c>
      <c r="K2031">
        <f>INDEX(ChRamp,MATCH(E2031,ChName,0))</f>
        <v/>
      </c>
      <c r="L2031" s="45">
        <f>MIN(1,MAX(0,(A2031-I2031+1)*RampSpeed/J2031))</f>
        <v/>
      </c>
      <c r="M2031" s="45">
        <f>IF(A2031&lt;I2031,0,IF(K2031="S-curve",L2031*L2031*(3-2*L2031),L2031))</f>
        <v/>
      </c>
      <c r="N2031" s="45">
        <f>1+(INDEX(SeasonIdx,A2031)-1)*SeasonAmp</f>
        <v/>
      </c>
      <c r="O2031" s="45">
        <f>IFERROR(INDEX(PSPct,MATCH(E2031&amp;"|"&amp;G2031,PSKey,0)),0)</f>
        <v/>
      </c>
      <c r="P2031" s="46">
        <f>INDEX(ChDoorVel,MATCH(E2031,ChName,0))*CalibScalar*(1+VelocityUplift)</f>
        <v/>
      </c>
      <c r="Q2031" s="46" t="n">
        <v>0</v>
      </c>
      <c r="R2031" s="46">
        <f>P2031*O2031*M2031*N2031*H2031</f>
        <v/>
      </c>
      <c r="S2031" s="46">
        <f>R2031*INDEX(FmtCansPerCase,MATCH(F2031,FmtName,0))</f>
        <v/>
      </c>
      <c r="T2031" s="46">
        <f>S2031/INDEX(FmtCansPerPack,MATCH(F2031,FmtName,0))</f>
        <v/>
      </c>
      <c r="U2031" s="47">
        <f>INDEX(ChBaseCP,MATCH(E2031,ChName,0))*(1+INDEX(ProvMod,MATCH(G2031,ProvCode,0)))*(1+PriceIndex)</f>
        <v/>
      </c>
      <c r="V2031" s="47">
        <f>R2031*U2031*INDEX(FmtBlendedPriceIdx,MATCH(F2031,FmtName,0))</f>
        <v/>
      </c>
      <c r="W2031" s="47">
        <f>T2031*INDEX(ProvSRP,MATCH(G2031,ProvCode,0))*(1+PriceIndex)</f>
        <v/>
      </c>
      <c r="X2031" s="47">
        <f>IF(GrossBasis="Wholesale",V2031,W2031)</f>
        <v/>
      </c>
      <c r="Y2031" s="47">
        <f>R2031*INDEX(FmtBlendedCogs,MATCH(F2031,FmtName,0))</f>
        <v/>
      </c>
      <c r="Z2031" s="47">
        <f>X2031-Y2031</f>
        <v/>
      </c>
    </row>
    <row r="2032">
      <c r="A2032" t="n">
        <v>17</v>
      </c>
      <c r="B2032" s="44">
        <f>FiscalStart+(A2032-1)*7</f>
        <v/>
      </c>
      <c r="C2032">
        <f>TEXT(B2032,"mmm yyyy")</f>
        <v/>
      </c>
      <c r="D2032">
        <f>"Q"&amp;(INT((A2032-1)/13)+1)</f>
        <v/>
      </c>
      <c r="E2032" t="inlineStr">
        <is>
          <t>Costco</t>
        </is>
      </c>
      <c r="F2032">
        <f>IFERROR(INDEX(ChFormat,MATCH(E2032,ChName,0)),"")</f>
        <v/>
      </c>
      <c r="G2032" t="inlineStr">
        <is>
          <t>PE</t>
        </is>
      </c>
      <c r="H2032">
        <f>IF(A2032&lt;=NWeeks,1,0)</f>
        <v/>
      </c>
      <c r="I2032">
        <f>INDEX(ChLaunch,MATCH(E2032,ChName,0))</f>
        <v/>
      </c>
      <c r="J2032">
        <f>INDEX(ChWeeksFull,MATCH(E2032,ChName,0))</f>
        <v/>
      </c>
      <c r="K2032">
        <f>INDEX(ChRamp,MATCH(E2032,ChName,0))</f>
        <v/>
      </c>
      <c r="L2032" s="45">
        <f>MIN(1,MAX(0,(A2032-I2032+1)*RampSpeed/J2032))</f>
        <v/>
      </c>
      <c r="M2032" s="45">
        <f>IF(A2032&lt;I2032,0,IF(K2032="S-curve",L2032*L2032*(3-2*L2032),L2032))</f>
        <v/>
      </c>
      <c r="N2032" s="45">
        <f>1+(INDEX(SeasonIdx,A2032)-1)*SeasonAmp</f>
        <v/>
      </c>
      <c r="O2032" s="45">
        <f>IFERROR(INDEX(PSPct,MATCH(E2032&amp;"|"&amp;G2032,PSKey,0)),0)</f>
        <v/>
      </c>
      <c r="P2032" s="46">
        <f>INDEX(ChDoorVel,MATCH(E2032,ChName,0))*CalibScalar*(1+VelocityUplift)</f>
        <v/>
      </c>
      <c r="Q2032" s="46" t="n">
        <v>0</v>
      </c>
      <c r="R2032" s="46">
        <f>P2032*O2032*M2032*N2032*H2032</f>
        <v/>
      </c>
      <c r="S2032" s="46">
        <f>R2032*INDEX(FmtCansPerCase,MATCH(F2032,FmtName,0))</f>
        <v/>
      </c>
      <c r="T2032" s="46">
        <f>S2032/INDEX(FmtCansPerPack,MATCH(F2032,FmtName,0))</f>
        <v/>
      </c>
      <c r="U2032" s="47">
        <f>INDEX(ChBaseCP,MATCH(E2032,ChName,0))*(1+INDEX(ProvMod,MATCH(G2032,ProvCode,0)))*(1+PriceIndex)</f>
        <v/>
      </c>
      <c r="V2032" s="47">
        <f>R2032*U2032*INDEX(FmtBlendedPriceIdx,MATCH(F2032,FmtName,0))</f>
        <v/>
      </c>
      <c r="W2032" s="47">
        <f>T2032*INDEX(ProvSRP,MATCH(G2032,ProvCode,0))*(1+PriceIndex)</f>
        <v/>
      </c>
      <c r="X2032" s="47">
        <f>IF(GrossBasis="Wholesale",V2032,W2032)</f>
        <v/>
      </c>
      <c r="Y2032" s="47">
        <f>R2032*INDEX(FmtBlendedCogs,MATCH(F2032,FmtName,0))</f>
        <v/>
      </c>
      <c r="Z2032" s="47">
        <f>X2032-Y2032</f>
        <v/>
      </c>
    </row>
    <row r="2033">
      <c r="A2033" t="n">
        <v>18</v>
      </c>
      <c r="B2033" s="44">
        <f>FiscalStart+(A2033-1)*7</f>
        <v/>
      </c>
      <c r="C2033">
        <f>TEXT(B2033,"mmm yyyy")</f>
        <v/>
      </c>
      <c r="D2033">
        <f>"Q"&amp;(INT((A2033-1)/13)+1)</f>
        <v/>
      </c>
      <c r="E2033" t="inlineStr">
        <is>
          <t>Costco</t>
        </is>
      </c>
      <c r="F2033">
        <f>IFERROR(INDEX(ChFormat,MATCH(E2033,ChName,0)),"")</f>
        <v/>
      </c>
      <c r="G2033" t="inlineStr">
        <is>
          <t>PE</t>
        </is>
      </c>
      <c r="H2033">
        <f>IF(A2033&lt;=NWeeks,1,0)</f>
        <v/>
      </c>
      <c r="I2033">
        <f>INDEX(ChLaunch,MATCH(E2033,ChName,0))</f>
        <v/>
      </c>
      <c r="J2033">
        <f>INDEX(ChWeeksFull,MATCH(E2033,ChName,0))</f>
        <v/>
      </c>
      <c r="K2033">
        <f>INDEX(ChRamp,MATCH(E2033,ChName,0))</f>
        <v/>
      </c>
      <c r="L2033" s="45">
        <f>MIN(1,MAX(0,(A2033-I2033+1)*RampSpeed/J2033))</f>
        <v/>
      </c>
      <c r="M2033" s="45">
        <f>IF(A2033&lt;I2033,0,IF(K2033="S-curve",L2033*L2033*(3-2*L2033),L2033))</f>
        <v/>
      </c>
      <c r="N2033" s="45">
        <f>1+(INDEX(SeasonIdx,A2033)-1)*SeasonAmp</f>
        <v/>
      </c>
      <c r="O2033" s="45">
        <f>IFERROR(INDEX(PSPct,MATCH(E2033&amp;"|"&amp;G2033,PSKey,0)),0)</f>
        <v/>
      </c>
      <c r="P2033" s="46">
        <f>INDEX(ChDoorVel,MATCH(E2033,ChName,0))*CalibScalar*(1+VelocityUplift)</f>
        <v/>
      </c>
      <c r="Q2033" s="46" t="n">
        <v>0</v>
      </c>
      <c r="R2033" s="46">
        <f>P2033*O2033*M2033*N2033*H2033</f>
        <v/>
      </c>
      <c r="S2033" s="46">
        <f>R2033*INDEX(FmtCansPerCase,MATCH(F2033,FmtName,0))</f>
        <v/>
      </c>
      <c r="T2033" s="46">
        <f>S2033/INDEX(FmtCansPerPack,MATCH(F2033,FmtName,0))</f>
        <v/>
      </c>
      <c r="U2033" s="47">
        <f>INDEX(ChBaseCP,MATCH(E2033,ChName,0))*(1+INDEX(ProvMod,MATCH(G2033,ProvCode,0)))*(1+PriceIndex)</f>
        <v/>
      </c>
      <c r="V2033" s="47">
        <f>R2033*U2033*INDEX(FmtBlendedPriceIdx,MATCH(F2033,FmtName,0))</f>
        <v/>
      </c>
      <c r="W2033" s="47">
        <f>T2033*INDEX(ProvSRP,MATCH(G2033,ProvCode,0))*(1+PriceIndex)</f>
        <v/>
      </c>
      <c r="X2033" s="47">
        <f>IF(GrossBasis="Wholesale",V2033,W2033)</f>
        <v/>
      </c>
      <c r="Y2033" s="47">
        <f>R2033*INDEX(FmtBlendedCogs,MATCH(F2033,FmtName,0))</f>
        <v/>
      </c>
      <c r="Z2033" s="47">
        <f>X2033-Y2033</f>
        <v/>
      </c>
    </row>
    <row r="2034">
      <c r="A2034" t="n">
        <v>19</v>
      </c>
      <c r="B2034" s="44">
        <f>FiscalStart+(A2034-1)*7</f>
        <v/>
      </c>
      <c r="C2034">
        <f>TEXT(B2034,"mmm yyyy")</f>
        <v/>
      </c>
      <c r="D2034">
        <f>"Q"&amp;(INT((A2034-1)/13)+1)</f>
        <v/>
      </c>
      <c r="E2034" t="inlineStr">
        <is>
          <t>Costco</t>
        </is>
      </c>
      <c r="F2034">
        <f>IFERROR(INDEX(ChFormat,MATCH(E2034,ChName,0)),"")</f>
        <v/>
      </c>
      <c r="G2034" t="inlineStr">
        <is>
          <t>PE</t>
        </is>
      </c>
      <c r="H2034">
        <f>IF(A2034&lt;=NWeeks,1,0)</f>
        <v/>
      </c>
      <c r="I2034">
        <f>INDEX(ChLaunch,MATCH(E2034,ChName,0))</f>
        <v/>
      </c>
      <c r="J2034">
        <f>INDEX(ChWeeksFull,MATCH(E2034,ChName,0))</f>
        <v/>
      </c>
      <c r="K2034">
        <f>INDEX(ChRamp,MATCH(E2034,ChName,0))</f>
        <v/>
      </c>
      <c r="L2034" s="45">
        <f>MIN(1,MAX(0,(A2034-I2034+1)*RampSpeed/J2034))</f>
        <v/>
      </c>
      <c r="M2034" s="45">
        <f>IF(A2034&lt;I2034,0,IF(K2034="S-curve",L2034*L2034*(3-2*L2034),L2034))</f>
        <v/>
      </c>
      <c r="N2034" s="45">
        <f>1+(INDEX(SeasonIdx,A2034)-1)*SeasonAmp</f>
        <v/>
      </c>
      <c r="O2034" s="45">
        <f>IFERROR(INDEX(PSPct,MATCH(E2034&amp;"|"&amp;G2034,PSKey,0)),0)</f>
        <v/>
      </c>
      <c r="P2034" s="46">
        <f>INDEX(ChDoorVel,MATCH(E2034,ChName,0))*CalibScalar*(1+VelocityUplift)</f>
        <v/>
      </c>
      <c r="Q2034" s="46" t="n">
        <v>0</v>
      </c>
      <c r="R2034" s="46">
        <f>P2034*O2034*M2034*N2034*H2034</f>
        <v/>
      </c>
      <c r="S2034" s="46">
        <f>R2034*INDEX(FmtCansPerCase,MATCH(F2034,FmtName,0))</f>
        <v/>
      </c>
      <c r="T2034" s="46">
        <f>S2034/INDEX(FmtCansPerPack,MATCH(F2034,FmtName,0))</f>
        <v/>
      </c>
      <c r="U2034" s="47">
        <f>INDEX(ChBaseCP,MATCH(E2034,ChName,0))*(1+INDEX(ProvMod,MATCH(G2034,ProvCode,0)))*(1+PriceIndex)</f>
        <v/>
      </c>
      <c r="V2034" s="47">
        <f>R2034*U2034*INDEX(FmtBlendedPriceIdx,MATCH(F2034,FmtName,0))</f>
        <v/>
      </c>
      <c r="W2034" s="47">
        <f>T2034*INDEX(ProvSRP,MATCH(G2034,ProvCode,0))*(1+PriceIndex)</f>
        <v/>
      </c>
      <c r="X2034" s="47">
        <f>IF(GrossBasis="Wholesale",V2034,W2034)</f>
        <v/>
      </c>
      <c r="Y2034" s="47">
        <f>R2034*INDEX(FmtBlendedCogs,MATCH(F2034,FmtName,0))</f>
        <v/>
      </c>
      <c r="Z2034" s="47">
        <f>X2034-Y2034</f>
        <v/>
      </c>
    </row>
    <row r="2035">
      <c r="A2035" t="n">
        <v>20</v>
      </c>
      <c r="B2035" s="44">
        <f>FiscalStart+(A2035-1)*7</f>
        <v/>
      </c>
      <c r="C2035">
        <f>TEXT(B2035,"mmm yyyy")</f>
        <v/>
      </c>
      <c r="D2035">
        <f>"Q"&amp;(INT((A2035-1)/13)+1)</f>
        <v/>
      </c>
      <c r="E2035" t="inlineStr">
        <is>
          <t>Costco</t>
        </is>
      </c>
      <c r="F2035">
        <f>IFERROR(INDEX(ChFormat,MATCH(E2035,ChName,0)),"")</f>
        <v/>
      </c>
      <c r="G2035" t="inlineStr">
        <is>
          <t>PE</t>
        </is>
      </c>
      <c r="H2035">
        <f>IF(A2035&lt;=NWeeks,1,0)</f>
        <v/>
      </c>
      <c r="I2035">
        <f>INDEX(ChLaunch,MATCH(E2035,ChName,0))</f>
        <v/>
      </c>
      <c r="J2035">
        <f>INDEX(ChWeeksFull,MATCH(E2035,ChName,0))</f>
        <v/>
      </c>
      <c r="K2035">
        <f>INDEX(ChRamp,MATCH(E2035,ChName,0))</f>
        <v/>
      </c>
      <c r="L2035" s="45">
        <f>MIN(1,MAX(0,(A2035-I2035+1)*RampSpeed/J2035))</f>
        <v/>
      </c>
      <c r="M2035" s="45">
        <f>IF(A2035&lt;I2035,0,IF(K2035="S-curve",L2035*L2035*(3-2*L2035),L2035))</f>
        <v/>
      </c>
      <c r="N2035" s="45">
        <f>1+(INDEX(SeasonIdx,A2035)-1)*SeasonAmp</f>
        <v/>
      </c>
      <c r="O2035" s="45">
        <f>IFERROR(INDEX(PSPct,MATCH(E2035&amp;"|"&amp;G2035,PSKey,0)),0)</f>
        <v/>
      </c>
      <c r="P2035" s="46">
        <f>INDEX(ChDoorVel,MATCH(E2035,ChName,0))*CalibScalar*(1+VelocityUplift)</f>
        <v/>
      </c>
      <c r="Q2035" s="46" t="n">
        <v>0</v>
      </c>
      <c r="R2035" s="46">
        <f>P2035*O2035*M2035*N2035*H2035</f>
        <v/>
      </c>
      <c r="S2035" s="46">
        <f>R2035*INDEX(FmtCansPerCase,MATCH(F2035,FmtName,0))</f>
        <v/>
      </c>
      <c r="T2035" s="46">
        <f>S2035/INDEX(FmtCansPerPack,MATCH(F2035,FmtName,0))</f>
        <v/>
      </c>
      <c r="U2035" s="47">
        <f>INDEX(ChBaseCP,MATCH(E2035,ChName,0))*(1+INDEX(ProvMod,MATCH(G2035,ProvCode,0)))*(1+PriceIndex)</f>
        <v/>
      </c>
      <c r="V2035" s="47">
        <f>R2035*U2035*INDEX(FmtBlendedPriceIdx,MATCH(F2035,FmtName,0))</f>
        <v/>
      </c>
      <c r="W2035" s="47">
        <f>T2035*INDEX(ProvSRP,MATCH(G2035,ProvCode,0))*(1+PriceIndex)</f>
        <v/>
      </c>
      <c r="X2035" s="47">
        <f>IF(GrossBasis="Wholesale",V2035,W2035)</f>
        <v/>
      </c>
      <c r="Y2035" s="47">
        <f>R2035*INDEX(FmtBlendedCogs,MATCH(F2035,FmtName,0))</f>
        <v/>
      </c>
      <c r="Z2035" s="47">
        <f>X2035-Y2035</f>
        <v/>
      </c>
    </row>
    <row r="2036">
      <c r="A2036" t="n">
        <v>21</v>
      </c>
      <c r="B2036" s="44">
        <f>FiscalStart+(A2036-1)*7</f>
        <v/>
      </c>
      <c r="C2036">
        <f>TEXT(B2036,"mmm yyyy")</f>
        <v/>
      </c>
      <c r="D2036">
        <f>"Q"&amp;(INT((A2036-1)/13)+1)</f>
        <v/>
      </c>
      <c r="E2036" t="inlineStr">
        <is>
          <t>Costco</t>
        </is>
      </c>
      <c r="F2036">
        <f>IFERROR(INDEX(ChFormat,MATCH(E2036,ChName,0)),"")</f>
        <v/>
      </c>
      <c r="G2036" t="inlineStr">
        <is>
          <t>PE</t>
        </is>
      </c>
      <c r="H2036">
        <f>IF(A2036&lt;=NWeeks,1,0)</f>
        <v/>
      </c>
      <c r="I2036">
        <f>INDEX(ChLaunch,MATCH(E2036,ChName,0))</f>
        <v/>
      </c>
      <c r="J2036">
        <f>INDEX(ChWeeksFull,MATCH(E2036,ChName,0))</f>
        <v/>
      </c>
      <c r="K2036">
        <f>INDEX(ChRamp,MATCH(E2036,ChName,0))</f>
        <v/>
      </c>
      <c r="L2036" s="45">
        <f>MIN(1,MAX(0,(A2036-I2036+1)*RampSpeed/J2036))</f>
        <v/>
      </c>
      <c r="M2036" s="45">
        <f>IF(A2036&lt;I2036,0,IF(K2036="S-curve",L2036*L2036*(3-2*L2036),L2036))</f>
        <v/>
      </c>
      <c r="N2036" s="45">
        <f>1+(INDEX(SeasonIdx,A2036)-1)*SeasonAmp</f>
        <v/>
      </c>
      <c r="O2036" s="45">
        <f>IFERROR(INDEX(PSPct,MATCH(E2036&amp;"|"&amp;G2036,PSKey,0)),0)</f>
        <v/>
      </c>
      <c r="P2036" s="46">
        <f>INDEX(ChDoorVel,MATCH(E2036,ChName,0))*CalibScalar*(1+VelocityUplift)</f>
        <v/>
      </c>
      <c r="Q2036" s="46" t="n">
        <v>0</v>
      </c>
      <c r="R2036" s="46">
        <f>P2036*O2036*M2036*N2036*H2036</f>
        <v/>
      </c>
      <c r="S2036" s="46">
        <f>R2036*INDEX(FmtCansPerCase,MATCH(F2036,FmtName,0))</f>
        <v/>
      </c>
      <c r="T2036" s="46">
        <f>S2036/INDEX(FmtCansPerPack,MATCH(F2036,FmtName,0))</f>
        <v/>
      </c>
      <c r="U2036" s="47">
        <f>INDEX(ChBaseCP,MATCH(E2036,ChName,0))*(1+INDEX(ProvMod,MATCH(G2036,ProvCode,0)))*(1+PriceIndex)</f>
        <v/>
      </c>
      <c r="V2036" s="47">
        <f>R2036*U2036*INDEX(FmtBlendedPriceIdx,MATCH(F2036,FmtName,0))</f>
        <v/>
      </c>
      <c r="W2036" s="47">
        <f>T2036*INDEX(ProvSRP,MATCH(G2036,ProvCode,0))*(1+PriceIndex)</f>
        <v/>
      </c>
      <c r="X2036" s="47">
        <f>IF(GrossBasis="Wholesale",V2036,W2036)</f>
        <v/>
      </c>
      <c r="Y2036" s="47">
        <f>R2036*INDEX(FmtBlendedCogs,MATCH(F2036,FmtName,0))</f>
        <v/>
      </c>
      <c r="Z2036" s="47">
        <f>X2036-Y2036</f>
        <v/>
      </c>
    </row>
    <row r="2037">
      <c r="A2037" t="n">
        <v>22</v>
      </c>
      <c r="B2037" s="44">
        <f>FiscalStart+(A2037-1)*7</f>
        <v/>
      </c>
      <c r="C2037">
        <f>TEXT(B2037,"mmm yyyy")</f>
        <v/>
      </c>
      <c r="D2037">
        <f>"Q"&amp;(INT((A2037-1)/13)+1)</f>
        <v/>
      </c>
      <c r="E2037" t="inlineStr">
        <is>
          <t>Costco</t>
        </is>
      </c>
      <c r="F2037">
        <f>IFERROR(INDEX(ChFormat,MATCH(E2037,ChName,0)),"")</f>
        <v/>
      </c>
      <c r="G2037" t="inlineStr">
        <is>
          <t>PE</t>
        </is>
      </c>
      <c r="H2037">
        <f>IF(A2037&lt;=NWeeks,1,0)</f>
        <v/>
      </c>
      <c r="I2037">
        <f>INDEX(ChLaunch,MATCH(E2037,ChName,0))</f>
        <v/>
      </c>
      <c r="J2037">
        <f>INDEX(ChWeeksFull,MATCH(E2037,ChName,0))</f>
        <v/>
      </c>
      <c r="K2037">
        <f>INDEX(ChRamp,MATCH(E2037,ChName,0))</f>
        <v/>
      </c>
      <c r="L2037" s="45">
        <f>MIN(1,MAX(0,(A2037-I2037+1)*RampSpeed/J2037))</f>
        <v/>
      </c>
      <c r="M2037" s="45">
        <f>IF(A2037&lt;I2037,0,IF(K2037="S-curve",L2037*L2037*(3-2*L2037),L2037))</f>
        <v/>
      </c>
      <c r="N2037" s="45">
        <f>1+(INDEX(SeasonIdx,A2037)-1)*SeasonAmp</f>
        <v/>
      </c>
      <c r="O2037" s="45">
        <f>IFERROR(INDEX(PSPct,MATCH(E2037&amp;"|"&amp;G2037,PSKey,0)),0)</f>
        <v/>
      </c>
      <c r="P2037" s="46">
        <f>INDEX(ChDoorVel,MATCH(E2037,ChName,0))*CalibScalar*(1+VelocityUplift)</f>
        <v/>
      </c>
      <c r="Q2037" s="46" t="n">
        <v>0</v>
      </c>
      <c r="R2037" s="46">
        <f>P2037*O2037*M2037*N2037*H2037</f>
        <v/>
      </c>
      <c r="S2037" s="46">
        <f>R2037*INDEX(FmtCansPerCase,MATCH(F2037,FmtName,0))</f>
        <v/>
      </c>
      <c r="T2037" s="46">
        <f>S2037/INDEX(FmtCansPerPack,MATCH(F2037,FmtName,0))</f>
        <v/>
      </c>
      <c r="U2037" s="47">
        <f>INDEX(ChBaseCP,MATCH(E2037,ChName,0))*(1+INDEX(ProvMod,MATCH(G2037,ProvCode,0)))*(1+PriceIndex)</f>
        <v/>
      </c>
      <c r="V2037" s="47">
        <f>R2037*U2037*INDEX(FmtBlendedPriceIdx,MATCH(F2037,FmtName,0))</f>
        <v/>
      </c>
      <c r="W2037" s="47">
        <f>T2037*INDEX(ProvSRP,MATCH(G2037,ProvCode,0))*(1+PriceIndex)</f>
        <v/>
      </c>
      <c r="X2037" s="47">
        <f>IF(GrossBasis="Wholesale",V2037,W2037)</f>
        <v/>
      </c>
      <c r="Y2037" s="47">
        <f>R2037*INDEX(FmtBlendedCogs,MATCH(F2037,FmtName,0))</f>
        <v/>
      </c>
      <c r="Z2037" s="47">
        <f>X2037-Y2037</f>
        <v/>
      </c>
    </row>
    <row r="2038">
      <c r="A2038" t="n">
        <v>23</v>
      </c>
      <c r="B2038" s="44">
        <f>FiscalStart+(A2038-1)*7</f>
        <v/>
      </c>
      <c r="C2038">
        <f>TEXT(B2038,"mmm yyyy")</f>
        <v/>
      </c>
      <c r="D2038">
        <f>"Q"&amp;(INT((A2038-1)/13)+1)</f>
        <v/>
      </c>
      <c r="E2038" t="inlineStr">
        <is>
          <t>Costco</t>
        </is>
      </c>
      <c r="F2038">
        <f>IFERROR(INDEX(ChFormat,MATCH(E2038,ChName,0)),"")</f>
        <v/>
      </c>
      <c r="G2038" t="inlineStr">
        <is>
          <t>PE</t>
        </is>
      </c>
      <c r="H2038">
        <f>IF(A2038&lt;=NWeeks,1,0)</f>
        <v/>
      </c>
      <c r="I2038">
        <f>INDEX(ChLaunch,MATCH(E2038,ChName,0))</f>
        <v/>
      </c>
      <c r="J2038">
        <f>INDEX(ChWeeksFull,MATCH(E2038,ChName,0))</f>
        <v/>
      </c>
      <c r="K2038">
        <f>INDEX(ChRamp,MATCH(E2038,ChName,0))</f>
        <v/>
      </c>
      <c r="L2038" s="45">
        <f>MIN(1,MAX(0,(A2038-I2038+1)*RampSpeed/J2038))</f>
        <v/>
      </c>
      <c r="M2038" s="45">
        <f>IF(A2038&lt;I2038,0,IF(K2038="S-curve",L2038*L2038*(3-2*L2038),L2038))</f>
        <v/>
      </c>
      <c r="N2038" s="45">
        <f>1+(INDEX(SeasonIdx,A2038)-1)*SeasonAmp</f>
        <v/>
      </c>
      <c r="O2038" s="45">
        <f>IFERROR(INDEX(PSPct,MATCH(E2038&amp;"|"&amp;G2038,PSKey,0)),0)</f>
        <v/>
      </c>
      <c r="P2038" s="46">
        <f>INDEX(ChDoorVel,MATCH(E2038,ChName,0))*CalibScalar*(1+VelocityUplift)</f>
        <v/>
      </c>
      <c r="Q2038" s="46" t="n">
        <v>0</v>
      </c>
      <c r="R2038" s="46">
        <f>P2038*O2038*M2038*N2038*H2038</f>
        <v/>
      </c>
      <c r="S2038" s="46">
        <f>R2038*INDEX(FmtCansPerCase,MATCH(F2038,FmtName,0))</f>
        <v/>
      </c>
      <c r="T2038" s="46">
        <f>S2038/INDEX(FmtCansPerPack,MATCH(F2038,FmtName,0))</f>
        <v/>
      </c>
      <c r="U2038" s="47">
        <f>INDEX(ChBaseCP,MATCH(E2038,ChName,0))*(1+INDEX(ProvMod,MATCH(G2038,ProvCode,0)))*(1+PriceIndex)</f>
        <v/>
      </c>
      <c r="V2038" s="47">
        <f>R2038*U2038*INDEX(FmtBlendedPriceIdx,MATCH(F2038,FmtName,0))</f>
        <v/>
      </c>
      <c r="W2038" s="47">
        <f>T2038*INDEX(ProvSRP,MATCH(G2038,ProvCode,0))*(1+PriceIndex)</f>
        <v/>
      </c>
      <c r="X2038" s="47">
        <f>IF(GrossBasis="Wholesale",V2038,W2038)</f>
        <v/>
      </c>
      <c r="Y2038" s="47">
        <f>R2038*INDEX(FmtBlendedCogs,MATCH(F2038,FmtName,0))</f>
        <v/>
      </c>
      <c r="Z2038" s="47">
        <f>X2038-Y2038</f>
        <v/>
      </c>
    </row>
    <row r="2039">
      <c r="A2039" t="n">
        <v>24</v>
      </c>
      <c r="B2039" s="44">
        <f>FiscalStart+(A2039-1)*7</f>
        <v/>
      </c>
      <c r="C2039">
        <f>TEXT(B2039,"mmm yyyy")</f>
        <v/>
      </c>
      <c r="D2039">
        <f>"Q"&amp;(INT((A2039-1)/13)+1)</f>
        <v/>
      </c>
      <c r="E2039" t="inlineStr">
        <is>
          <t>Costco</t>
        </is>
      </c>
      <c r="F2039">
        <f>IFERROR(INDEX(ChFormat,MATCH(E2039,ChName,0)),"")</f>
        <v/>
      </c>
      <c r="G2039" t="inlineStr">
        <is>
          <t>PE</t>
        </is>
      </c>
      <c r="H2039">
        <f>IF(A2039&lt;=NWeeks,1,0)</f>
        <v/>
      </c>
      <c r="I2039">
        <f>INDEX(ChLaunch,MATCH(E2039,ChName,0))</f>
        <v/>
      </c>
      <c r="J2039">
        <f>INDEX(ChWeeksFull,MATCH(E2039,ChName,0))</f>
        <v/>
      </c>
      <c r="K2039">
        <f>INDEX(ChRamp,MATCH(E2039,ChName,0))</f>
        <v/>
      </c>
      <c r="L2039" s="45">
        <f>MIN(1,MAX(0,(A2039-I2039+1)*RampSpeed/J2039))</f>
        <v/>
      </c>
      <c r="M2039" s="45">
        <f>IF(A2039&lt;I2039,0,IF(K2039="S-curve",L2039*L2039*(3-2*L2039),L2039))</f>
        <v/>
      </c>
      <c r="N2039" s="45">
        <f>1+(INDEX(SeasonIdx,A2039)-1)*SeasonAmp</f>
        <v/>
      </c>
      <c r="O2039" s="45">
        <f>IFERROR(INDEX(PSPct,MATCH(E2039&amp;"|"&amp;G2039,PSKey,0)),0)</f>
        <v/>
      </c>
      <c r="P2039" s="46">
        <f>INDEX(ChDoorVel,MATCH(E2039,ChName,0))*CalibScalar*(1+VelocityUplift)</f>
        <v/>
      </c>
      <c r="Q2039" s="46" t="n">
        <v>0</v>
      </c>
      <c r="R2039" s="46">
        <f>P2039*O2039*M2039*N2039*H2039</f>
        <v/>
      </c>
      <c r="S2039" s="46">
        <f>R2039*INDEX(FmtCansPerCase,MATCH(F2039,FmtName,0))</f>
        <v/>
      </c>
      <c r="T2039" s="46">
        <f>S2039/INDEX(FmtCansPerPack,MATCH(F2039,FmtName,0))</f>
        <v/>
      </c>
      <c r="U2039" s="47">
        <f>INDEX(ChBaseCP,MATCH(E2039,ChName,0))*(1+INDEX(ProvMod,MATCH(G2039,ProvCode,0)))*(1+PriceIndex)</f>
        <v/>
      </c>
      <c r="V2039" s="47">
        <f>R2039*U2039*INDEX(FmtBlendedPriceIdx,MATCH(F2039,FmtName,0))</f>
        <v/>
      </c>
      <c r="W2039" s="47">
        <f>T2039*INDEX(ProvSRP,MATCH(G2039,ProvCode,0))*(1+PriceIndex)</f>
        <v/>
      </c>
      <c r="X2039" s="47">
        <f>IF(GrossBasis="Wholesale",V2039,W2039)</f>
        <v/>
      </c>
      <c r="Y2039" s="47">
        <f>R2039*INDEX(FmtBlendedCogs,MATCH(F2039,FmtName,0))</f>
        <v/>
      </c>
      <c r="Z2039" s="47">
        <f>X2039-Y2039</f>
        <v/>
      </c>
    </row>
    <row r="2040">
      <c r="A2040" t="n">
        <v>25</v>
      </c>
      <c r="B2040" s="44">
        <f>FiscalStart+(A2040-1)*7</f>
        <v/>
      </c>
      <c r="C2040">
        <f>TEXT(B2040,"mmm yyyy")</f>
        <v/>
      </c>
      <c r="D2040">
        <f>"Q"&amp;(INT((A2040-1)/13)+1)</f>
        <v/>
      </c>
      <c r="E2040" t="inlineStr">
        <is>
          <t>Costco</t>
        </is>
      </c>
      <c r="F2040">
        <f>IFERROR(INDEX(ChFormat,MATCH(E2040,ChName,0)),"")</f>
        <v/>
      </c>
      <c r="G2040" t="inlineStr">
        <is>
          <t>PE</t>
        </is>
      </c>
      <c r="H2040">
        <f>IF(A2040&lt;=NWeeks,1,0)</f>
        <v/>
      </c>
      <c r="I2040">
        <f>INDEX(ChLaunch,MATCH(E2040,ChName,0))</f>
        <v/>
      </c>
      <c r="J2040">
        <f>INDEX(ChWeeksFull,MATCH(E2040,ChName,0))</f>
        <v/>
      </c>
      <c r="K2040">
        <f>INDEX(ChRamp,MATCH(E2040,ChName,0))</f>
        <v/>
      </c>
      <c r="L2040" s="45">
        <f>MIN(1,MAX(0,(A2040-I2040+1)*RampSpeed/J2040))</f>
        <v/>
      </c>
      <c r="M2040" s="45">
        <f>IF(A2040&lt;I2040,0,IF(K2040="S-curve",L2040*L2040*(3-2*L2040),L2040))</f>
        <v/>
      </c>
      <c r="N2040" s="45">
        <f>1+(INDEX(SeasonIdx,A2040)-1)*SeasonAmp</f>
        <v/>
      </c>
      <c r="O2040" s="45">
        <f>IFERROR(INDEX(PSPct,MATCH(E2040&amp;"|"&amp;G2040,PSKey,0)),0)</f>
        <v/>
      </c>
      <c r="P2040" s="46">
        <f>INDEX(ChDoorVel,MATCH(E2040,ChName,0))*CalibScalar*(1+VelocityUplift)</f>
        <v/>
      </c>
      <c r="Q2040" s="46" t="n">
        <v>0</v>
      </c>
      <c r="R2040" s="46">
        <f>P2040*O2040*M2040*N2040*H2040</f>
        <v/>
      </c>
      <c r="S2040" s="46">
        <f>R2040*INDEX(FmtCansPerCase,MATCH(F2040,FmtName,0))</f>
        <v/>
      </c>
      <c r="T2040" s="46">
        <f>S2040/INDEX(FmtCansPerPack,MATCH(F2040,FmtName,0))</f>
        <v/>
      </c>
      <c r="U2040" s="47">
        <f>INDEX(ChBaseCP,MATCH(E2040,ChName,0))*(1+INDEX(ProvMod,MATCH(G2040,ProvCode,0)))*(1+PriceIndex)</f>
        <v/>
      </c>
      <c r="V2040" s="47">
        <f>R2040*U2040*INDEX(FmtBlendedPriceIdx,MATCH(F2040,FmtName,0))</f>
        <v/>
      </c>
      <c r="W2040" s="47">
        <f>T2040*INDEX(ProvSRP,MATCH(G2040,ProvCode,0))*(1+PriceIndex)</f>
        <v/>
      </c>
      <c r="X2040" s="47">
        <f>IF(GrossBasis="Wholesale",V2040,W2040)</f>
        <v/>
      </c>
      <c r="Y2040" s="47">
        <f>R2040*INDEX(FmtBlendedCogs,MATCH(F2040,FmtName,0))</f>
        <v/>
      </c>
      <c r="Z2040" s="47">
        <f>X2040-Y2040</f>
        <v/>
      </c>
    </row>
    <row r="2041">
      <c r="A2041" t="n">
        <v>26</v>
      </c>
      <c r="B2041" s="44">
        <f>FiscalStart+(A2041-1)*7</f>
        <v/>
      </c>
      <c r="C2041">
        <f>TEXT(B2041,"mmm yyyy")</f>
        <v/>
      </c>
      <c r="D2041">
        <f>"Q"&amp;(INT((A2041-1)/13)+1)</f>
        <v/>
      </c>
      <c r="E2041" t="inlineStr">
        <is>
          <t>Costco</t>
        </is>
      </c>
      <c r="F2041">
        <f>IFERROR(INDEX(ChFormat,MATCH(E2041,ChName,0)),"")</f>
        <v/>
      </c>
      <c r="G2041" t="inlineStr">
        <is>
          <t>PE</t>
        </is>
      </c>
      <c r="H2041">
        <f>IF(A2041&lt;=NWeeks,1,0)</f>
        <v/>
      </c>
      <c r="I2041">
        <f>INDEX(ChLaunch,MATCH(E2041,ChName,0))</f>
        <v/>
      </c>
      <c r="J2041">
        <f>INDEX(ChWeeksFull,MATCH(E2041,ChName,0))</f>
        <v/>
      </c>
      <c r="K2041">
        <f>INDEX(ChRamp,MATCH(E2041,ChName,0))</f>
        <v/>
      </c>
      <c r="L2041" s="45">
        <f>MIN(1,MAX(0,(A2041-I2041+1)*RampSpeed/J2041))</f>
        <v/>
      </c>
      <c r="M2041" s="45">
        <f>IF(A2041&lt;I2041,0,IF(K2041="S-curve",L2041*L2041*(3-2*L2041),L2041))</f>
        <v/>
      </c>
      <c r="N2041" s="45">
        <f>1+(INDEX(SeasonIdx,A2041)-1)*SeasonAmp</f>
        <v/>
      </c>
      <c r="O2041" s="45">
        <f>IFERROR(INDEX(PSPct,MATCH(E2041&amp;"|"&amp;G2041,PSKey,0)),0)</f>
        <v/>
      </c>
      <c r="P2041" s="46">
        <f>INDEX(ChDoorVel,MATCH(E2041,ChName,0))*CalibScalar*(1+VelocityUplift)</f>
        <v/>
      </c>
      <c r="Q2041" s="46" t="n">
        <v>0</v>
      </c>
      <c r="R2041" s="46">
        <f>P2041*O2041*M2041*N2041*H2041</f>
        <v/>
      </c>
      <c r="S2041" s="46">
        <f>R2041*INDEX(FmtCansPerCase,MATCH(F2041,FmtName,0))</f>
        <v/>
      </c>
      <c r="T2041" s="46">
        <f>S2041/INDEX(FmtCansPerPack,MATCH(F2041,FmtName,0))</f>
        <v/>
      </c>
      <c r="U2041" s="47">
        <f>INDEX(ChBaseCP,MATCH(E2041,ChName,0))*(1+INDEX(ProvMod,MATCH(G2041,ProvCode,0)))*(1+PriceIndex)</f>
        <v/>
      </c>
      <c r="V2041" s="47">
        <f>R2041*U2041*INDEX(FmtBlendedPriceIdx,MATCH(F2041,FmtName,0))</f>
        <v/>
      </c>
      <c r="W2041" s="47">
        <f>T2041*INDEX(ProvSRP,MATCH(G2041,ProvCode,0))*(1+PriceIndex)</f>
        <v/>
      </c>
      <c r="X2041" s="47">
        <f>IF(GrossBasis="Wholesale",V2041,W2041)</f>
        <v/>
      </c>
      <c r="Y2041" s="47">
        <f>R2041*INDEX(FmtBlendedCogs,MATCH(F2041,FmtName,0))</f>
        <v/>
      </c>
      <c r="Z2041" s="47">
        <f>X2041-Y2041</f>
        <v/>
      </c>
    </row>
    <row r="2042">
      <c r="A2042" t="n">
        <v>27</v>
      </c>
      <c r="B2042" s="44">
        <f>FiscalStart+(A2042-1)*7</f>
        <v/>
      </c>
      <c r="C2042">
        <f>TEXT(B2042,"mmm yyyy")</f>
        <v/>
      </c>
      <c r="D2042">
        <f>"Q"&amp;(INT((A2042-1)/13)+1)</f>
        <v/>
      </c>
      <c r="E2042" t="inlineStr">
        <is>
          <t>Costco</t>
        </is>
      </c>
      <c r="F2042">
        <f>IFERROR(INDEX(ChFormat,MATCH(E2042,ChName,0)),"")</f>
        <v/>
      </c>
      <c r="G2042" t="inlineStr">
        <is>
          <t>PE</t>
        </is>
      </c>
      <c r="H2042">
        <f>IF(A2042&lt;=NWeeks,1,0)</f>
        <v/>
      </c>
      <c r="I2042">
        <f>INDEX(ChLaunch,MATCH(E2042,ChName,0))</f>
        <v/>
      </c>
      <c r="J2042">
        <f>INDEX(ChWeeksFull,MATCH(E2042,ChName,0))</f>
        <v/>
      </c>
      <c r="K2042">
        <f>INDEX(ChRamp,MATCH(E2042,ChName,0))</f>
        <v/>
      </c>
      <c r="L2042" s="45">
        <f>MIN(1,MAX(0,(A2042-I2042+1)*RampSpeed/J2042))</f>
        <v/>
      </c>
      <c r="M2042" s="45">
        <f>IF(A2042&lt;I2042,0,IF(K2042="S-curve",L2042*L2042*(3-2*L2042),L2042))</f>
        <v/>
      </c>
      <c r="N2042" s="45">
        <f>1+(INDEX(SeasonIdx,A2042)-1)*SeasonAmp</f>
        <v/>
      </c>
      <c r="O2042" s="45">
        <f>IFERROR(INDEX(PSPct,MATCH(E2042&amp;"|"&amp;G2042,PSKey,0)),0)</f>
        <v/>
      </c>
      <c r="P2042" s="46">
        <f>INDEX(ChDoorVel,MATCH(E2042,ChName,0))*CalibScalar*(1+VelocityUplift)</f>
        <v/>
      </c>
      <c r="Q2042" s="46" t="n">
        <v>0</v>
      </c>
      <c r="R2042" s="46">
        <f>P2042*O2042*M2042*N2042*H2042</f>
        <v/>
      </c>
      <c r="S2042" s="46">
        <f>R2042*INDEX(FmtCansPerCase,MATCH(F2042,FmtName,0))</f>
        <v/>
      </c>
      <c r="T2042" s="46">
        <f>S2042/INDEX(FmtCansPerPack,MATCH(F2042,FmtName,0))</f>
        <v/>
      </c>
      <c r="U2042" s="47">
        <f>INDEX(ChBaseCP,MATCH(E2042,ChName,0))*(1+INDEX(ProvMod,MATCH(G2042,ProvCode,0)))*(1+PriceIndex)</f>
        <v/>
      </c>
      <c r="V2042" s="47">
        <f>R2042*U2042*INDEX(FmtBlendedPriceIdx,MATCH(F2042,FmtName,0))</f>
        <v/>
      </c>
      <c r="W2042" s="47">
        <f>T2042*INDEX(ProvSRP,MATCH(G2042,ProvCode,0))*(1+PriceIndex)</f>
        <v/>
      </c>
      <c r="X2042" s="47">
        <f>IF(GrossBasis="Wholesale",V2042,W2042)</f>
        <v/>
      </c>
      <c r="Y2042" s="47">
        <f>R2042*INDEX(FmtBlendedCogs,MATCH(F2042,FmtName,0))</f>
        <v/>
      </c>
      <c r="Z2042" s="47">
        <f>X2042-Y2042</f>
        <v/>
      </c>
    </row>
    <row r="2043">
      <c r="A2043" t="n">
        <v>28</v>
      </c>
      <c r="B2043" s="44">
        <f>FiscalStart+(A2043-1)*7</f>
        <v/>
      </c>
      <c r="C2043">
        <f>TEXT(B2043,"mmm yyyy")</f>
        <v/>
      </c>
      <c r="D2043">
        <f>"Q"&amp;(INT((A2043-1)/13)+1)</f>
        <v/>
      </c>
      <c r="E2043" t="inlineStr">
        <is>
          <t>Costco</t>
        </is>
      </c>
      <c r="F2043">
        <f>IFERROR(INDEX(ChFormat,MATCH(E2043,ChName,0)),"")</f>
        <v/>
      </c>
      <c r="G2043" t="inlineStr">
        <is>
          <t>PE</t>
        </is>
      </c>
      <c r="H2043">
        <f>IF(A2043&lt;=NWeeks,1,0)</f>
        <v/>
      </c>
      <c r="I2043">
        <f>INDEX(ChLaunch,MATCH(E2043,ChName,0))</f>
        <v/>
      </c>
      <c r="J2043">
        <f>INDEX(ChWeeksFull,MATCH(E2043,ChName,0))</f>
        <v/>
      </c>
      <c r="K2043">
        <f>INDEX(ChRamp,MATCH(E2043,ChName,0))</f>
        <v/>
      </c>
      <c r="L2043" s="45">
        <f>MIN(1,MAX(0,(A2043-I2043+1)*RampSpeed/J2043))</f>
        <v/>
      </c>
      <c r="M2043" s="45">
        <f>IF(A2043&lt;I2043,0,IF(K2043="S-curve",L2043*L2043*(3-2*L2043),L2043))</f>
        <v/>
      </c>
      <c r="N2043" s="45">
        <f>1+(INDEX(SeasonIdx,A2043)-1)*SeasonAmp</f>
        <v/>
      </c>
      <c r="O2043" s="45">
        <f>IFERROR(INDEX(PSPct,MATCH(E2043&amp;"|"&amp;G2043,PSKey,0)),0)</f>
        <v/>
      </c>
      <c r="P2043" s="46">
        <f>INDEX(ChDoorVel,MATCH(E2043,ChName,0))*CalibScalar*(1+VelocityUplift)</f>
        <v/>
      </c>
      <c r="Q2043" s="46" t="n">
        <v>0</v>
      </c>
      <c r="R2043" s="46">
        <f>P2043*O2043*M2043*N2043*H2043</f>
        <v/>
      </c>
      <c r="S2043" s="46">
        <f>R2043*INDEX(FmtCansPerCase,MATCH(F2043,FmtName,0))</f>
        <v/>
      </c>
      <c r="T2043" s="46">
        <f>S2043/INDEX(FmtCansPerPack,MATCH(F2043,FmtName,0))</f>
        <v/>
      </c>
      <c r="U2043" s="47">
        <f>INDEX(ChBaseCP,MATCH(E2043,ChName,0))*(1+INDEX(ProvMod,MATCH(G2043,ProvCode,0)))*(1+PriceIndex)</f>
        <v/>
      </c>
      <c r="V2043" s="47">
        <f>R2043*U2043*INDEX(FmtBlendedPriceIdx,MATCH(F2043,FmtName,0))</f>
        <v/>
      </c>
      <c r="W2043" s="47">
        <f>T2043*INDEX(ProvSRP,MATCH(G2043,ProvCode,0))*(1+PriceIndex)</f>
        <v/>
      </c>
      <c r="X2043" s="47">
        <f>IF(GrossBasis="Wholesale",V2043,W2043)</f>
        <v/>
      </c>
      <c r="Y2043" s="47">
        <f>R2043*INDEX(FmtBlendedCogs,MATCH(F2043,FmtName,0))</f>
        <v/>
      </c>
      <c r="Z2043" s="47">
        <f>X2043-Y2043</f>
        <v/>
      </c>
    </row>
    <row r="2044">
      <c r="A2044" t="n">
        <v>29</v>
      </c>
      <c r="B2044" s="44">
        <f>FiscalStart+(A2044-1)*7</f>
        <v/>
      </c>
      <c r="C2044">
        <f>TEXT(B2044,"mmm yyyy")</f>
        <v/>
      </c>
      <c r="D2044">
        <f>"Q"&amp;(INT((A2044-1)/13)+1)</f>
        <v/>
      </c>
      <c r="E2044" t="inlineStr">
        <is>
          <t>Costco</t>
        </is>
      </c>
      <c r="F2044">
        <f>IFERROR(INDEX(ChFormat,MATCH(E2044,ChName,0)),"")</f>
        <v/>
      </c>
      <c r="G2044" t="inlineStr">
        <is>
          <t>PE</t>
        </is>
      </c>
      <c r="H2044">
        <f>IF(A2044&lt;=NWeeks,1,0)</f>
        <v/>
      </c>
      <c r="I2044">
        <f>INDEX(ChLaunch,MATCH(E2044,ChName,0))</f>
        <v/>
      </c>
      <c r="J2044">
        <f>INDEX(ChWeeksFull,MATCH(E2044,ChName,0))</f>
        <v/>
      </c>
      <c r="K2044">
        <f>INDEX(ChRamp,MATCH(E2044,ChName,0))</f>
        <v/>
      </c>
      <c r="L2044" s="45">
        <f>MIN(1,MAX(0,(A2044-I2044+1)*RampSpeed/J2044))</f>
        <v/>
      </c>
      <c r="M2044" s="45">
        <f>IF(A2044&lt;I2044,0,IF(K2044="S-curve",L2044*L2044*(3-2*L2044),L2044))</f>
        <v/>
      </c>
      <c r="N2044" s="45">
        <f>1+(INDEX(SeasonIdx,A2044)-1)*SeasonAmp</f>
        <v/>
      </c>
      <c r="O2044" s="45">
        <f>IFERROR(INDEX(PSPct,MATCH(E2044&amp;"|"&amp;G2044,PSKey,0)),0)</f>
        <v/>
      </c>
      <c r="P2044" s="46">
        <f>INDEX(ChDoorVel,MATCH(E2044,ChName,0))*CalibScalar*(1+VelocityUplift)</f>
        <v/>
      </c>
      <c r="Q2044" s="46" t="n">
        <v>0</v>
      </c>
      <c r="R2044" s="46">
        <f>P2044*O2044*M2044*N2044*H2044</f>
        <v/>
      </c>
      <c r="S2044" s="46">
        <f>R2044*INDEX(FmtCansPerCase,MATCH(F2044,FmtName,0))</f>
        <v/>
      </c>
      <c r="T2044" s="46">
        <f>S2044/INDEX(FmtCansPerPack,MATCH(F2044,FmtName,0))</f>
        <v/>
      </c>
      <c r="U2044" s="47">
        <f>INDEX(ChBaseCP,MATCH(E2044,ChName,0))*(1+INDEX(ProvMod,MATCH(G2044,ProvCode,0)))*(1+PriceIndex)</f>
        <v/>
      </c>
      <c r="V2044" s="47">
        <f>R2044*U2044*INDEX(FmtBlendedPriceIdx,MATCH(F2044,FmtName,0))</f>
        <v/>
      </c>
      <c r="W2044" s="47">
        <f>T2044*INDEX(ProvSRP,MATCH(G2044,ProvCode,0))*(1+PriceIndex)</f>
        <v/>
      </c>
      <c r="X2044" s="47">
        <f>IF(GrossBasis="Wholesale",V2044,W2044)</f>
        <v/>
      </c>
      <c r="Y2044" s="47">
        <f>R2044*INDEX(FmtBlendedCogs,MATCH(F2044,FmtName,0))</f>
        <v/>
      </c>
      <c r="Z2044" s="47">
        <f>X2044-Y2044</f>
        <v/>
      </c>
    </row>
    <row r="2045">
      <c r="A2045" t="n">
        <v>30</v>
      </c>
      <c r="B2045" s="44">
        <f>FiscalStart+(A2045-1)*7</f>
        <v/>
      </c>
      <c r="C2045">
        <f>TEXT(B2045,"mmm yyyy")</f>
        <v/>
      </c>
      <c r="D2045">
        <f>"Q"&amp;(INT((A2045-1)/13)+1)</f>
        <v/>
      </c>
      <c r="E2045" t="inlineStr">
        <is>
          <t>Costco</t>
        </is>
      </c>
      <c r="F2045">
        <f>IFERROR(INDEX(ChFormat,MATCH(E2045,ChName,0)),"")</f>
        <v/>
      </c>
      <c r="G2045" t="inlineStr">
        <is>
          <t>PE</t>
        </is>
      </c>
      <c r="H2045">
        <f>IF(A2045&lt;=NWeeks,1,0)</f>
        <v/>
      </c>
      <c r="I2045">
        <f>INDEX(ChLaunch,MATCH(E2045,ChName,0))</f>
        <v/>
      </c>
      <c r="J2045">
        <f>INDEX(ChWeeksFull,MATCH(E2045,ChName,0))</f>
        <v/>
      </c>
      <c r="K2045">
        <f>INDEX(ChRamp,MATCH(E2045,ChName,0))</f>
        <v/>
      </c>
      <c r="L2045" s="45">
        <f>MIN(1,MAX(0,(A2045-I2045+1)*RampSpeed/J2045))</f>
        <v/>
      </c>
      <c r="M2045" s="45">
        <f>IF(A2045&lt;I2045,0,IF(K2045="S-curve",L2045*L2045*(3-2*L2045),L2045))</f>
        <v/>
      </c>
      <c r="N2045" s="45">
        <f>1+(INDEX(SeasonIdx,A2045)-1)*SeasonAmp</f>
        <v/>
      </c>
      <c r="O2045" s="45">
        <f>IFERROR(INDEX(PSPct,MATCH(E2045&amp;"|"&amp;G2045,PSKey,0)),0)</f>
        <v/>
      </c>
      <c r="P2045" s="46">
        <f>INDEX(ChDoorVel,MATCH(E2045,ChName,0))*CalibScalar*(1+VelocityUplift)</f>
        <v/>
      </c>
      <c r="Q2045" s="46" t="n">
        <v>0</v>
      </c>
      <c r="R2045" s="46">
        <f>P2045*O2045*M2045*N2045*H2045</f>
        <v/>
      </c>
      <c r="S2045" s="46">
        <f>R2045*INDEX(FmtCansPerCase,MATCH(F2045,FmtName,0))</f>
        <v/>
      </c>
      <c r="T2045" s="46">
        <f>S2045/INDEX(FmtCansPerPack,MATCH(F2045,FmtName,0))</f>
        <v/>
      </c>
      <c r="U2045" s="47">
        <f>INDEX(ChBaseCP,MATCH(E2045,ChName,0))*(1+INDEX(ProvMod,MATCH(G2045,ProvCode,0)))*(1+PriceIndex)</f>
        <v/>
      </c>
      <c r="V2045" s="47">
        <f>R2045*U2045*INDEX(FmtBlendedPriceIdx,MATCH(F2045,FmtName,0))</f>
        <v/>
      </c>
      <c r="W2045" s="47">
        <f>T2045*INDEX(ProvSRP,MATCH(G2045,ProvCode,0))*(1+PriceIndex)</f>
        <v/>
      </c>
      <c r="X2045" s="47">
        <f>IF(GrossBasis="Wholesale",V2045,W2045)</f>
        <v/>
      </c>
      <c r="Y2045" s="47">
        <f>R2045*INDEX(FmtBlendedCogs,MATCH(F2045,FmtName,0))</f>
        <v/>
      </c>
      <c r="Z2045" s="47">
        <f>X2045-Y2045</f>
        <v/>
      </c>
    </row>
    <row r="2046">
      <c r="A2046" t="n">
        <v>31</v>
      </c>
      <c r="B2046" s="44">
        <f>FiscalStart+(A2046-1)*7</f>
        <v/>
      </c>
      <c r="C2046">
        <f>TEXT(B2046,"mmm yyyy")</f>
        <v/>
      </c>
      <c r="D2046">
        <f>"Q"&amp;(INT((A2046-1)/13)+1)</f>
        <v/>
      </c>
      <c r="E2046" t="inlineStr">
        <is>
          <t>Costco</t>
        </is>
      </c>
      <c r="F2046">
        <f>IFERROR(INDEX(ChFormat,MATCH(E2046,ChName,0)),"")</f>
        <v/>
      </c>
      <c r="G2046" t="inlineStr">
        <is>
          <t>PE</t>
        </is>
      </c>
      <c r="H2046">
        <f>IF(A2046&lt;=NWeeks,1,0)</f>
        <v/>
      </c>
      <c r="I2046">
        <f>INDEX(ChLaunch,MATCH(E2046,ChName,0))</f>
        <v/>
      </c>
      <c r="J2046">
        <f>INDEX(ChWeeksFull,MATCH(E2046,ChName,0))</f>
        <v/>
      </c>
      <c r="K2046">
        <f>INDEX(ChRamp,MATCH(E2046,ChName,0))</f>
        <v/>
      </c>
      <c r="L2046" s="45">
        <f>MIN(1,MAX(0,(A2046-I2046+1)*RampSpeed/J2046))</f>
        <v/>
      </c>
      <c r="M2046" s="45">
        <f>IF(A2046&lt;I2046,0,IF(K2046="S-curve",L2046*L2046*(3-2*L2046),L2046))</f>
        <v/>
      </c>
      <c r="N2046" s="45">
        <f>1+(INDEX(SeasonIdx,A2046)-1)*SeasonAmp</f>
        <v/>
      </c>
      <c r="O2046" s="45">
        <f>IFERROR(INDEX(PSPct,MATCH(E2046&amp;"|"&amp;G2046,PSKey,0)),0)</f>
        <v/>
      </c>
      <c r="P2046" s="46">
        <f>INDEX(ChDoorVel,MATCH(E2046,ChName,0))*CalibScalar*(1+VelocityUplift)</f>
        <v/>
      </c>
      <c r="Q2046" s="46" t="n">
        <v>0</v>
      </c>
      <c r="R2046" s="46">
        <f>P2046*O2046*M2046*N2046*H2046</f>
        <v/>
      </c>
      <c r="S2046" s="46">
        <f>R2046*INDEX(FmtCansPerCase,MATCH(F2046,FmtName,0))</f>
        <v/>
      </c>
      <c r="T2046" s="46">
        <f>S2046/INDEX(FmtCansPerPack,MATCH(F2046,FmtName,0))</f>
        <v/>
      </c>
      <c r="U2046" s="47">
        <f>INDEX(ChBaseCP,MATCH(E2046,ChName,0))*(1+INDEX(ProvMod,MATCH(G2046,ProvCode,0)))*(1+PriceIndex)</f>
        <v/>
      </c>
      <c r="V2046" s="47">
        <f>R2046*U2046*INDEX(FmtBlendedPriceIdx,MATCH(F2046,FmtName,0))</f>
        <v/>
      </c>
      <c r="W2046" s="47">
        <f>T2046*INDEX(ProvSRP,MATCH(G2046,ProvCode,0))*(1+PriceIndex)</f>
        <v/>
      </c>
      <c r="X2046" s="47">
        <f>IF(GrossBasis="Wholesale",V2046,W2046)</f>
        <v/>
      </c>
      <c r="Y2046" s="47">
        <f>R2046*INDEX(FmtBlendedCogs,MATCH(F2046,FmtName,0))</f>
        <v/>
      </c>
      <c r="Z2046" s="47">
        <f>X2046-Y2046</f>
        <v/>
      </c>
    </row>
    <row r="2047">
      <c r="A2047" t="n">
        <v>32</v>
      </c>
      <c r="B2047" s="44">
        <f>FiscalStart+(A2047-1)*7</f>
        <v/>
      </c>
      <c r="C2047">
        <f>TEXT(B2047,"mmm yyyy")</f>
        <v/>
      </c>
      <c r="D2047">
        <f>"Q"&amp;(INT((A2047-1)/13)+1)</f>
        <v/>
      </c>
      <c r="E2047" t="inlineStr">
        <is>
          <t>Costco</t>
        </is>
      </c>
      <c r="F2047">
        <f>IFERROR(INDEX(ChFormat,MATCH(E2047,ChName,0)),"")</f>
        <v/>
      </c>
      <c r="G2047" t="inlineStr">
        <is>
          <t>PE</t>
        </is>
      </c>
      <c r="H2047">
        <f>IF(A2047&lt;=NWeeks,1,0)</f>
        <v/>
      </c>
      <c r="I2047">
        <f>INDEX(ChLaunch,MATCH(E2047,ChName,0))</f>
        <v/>
      </c>
      <c r="J2047">
        <f>INDEX(ChWeeksFull,MATCH(E2047,ChName,0))</f>
        <v/>
      </c>
      <c r="K2047">
        <f>INDEX(ChRamp,MATCH(E2047,ChName,0))</f>
        <v/>
      </c>
      <c r="L2047" s="45">
        <f>MIN(1,MAX(0,(A2047-I2047+1)*RampSpeed/J2047))</f>
        <v/>
      </c>
      <c r="M2047" s="45">
        <f>IF(A2047&lt;I2047,0,IF(K2047="S-curve",L2047*L2047*(3-2*L2047),L2047))</f>
        <v/>
      </c>
      <c r="N2047" s="45">
        <f>1+(INDEX(SeasonIdx,A2047)-1)*SeasonAmp</f>
        <v/>
      </c>
      <c r="O2047" s="45">
        <f>IFERROR(INDEX(PSPct,MATCH(E2047&amp;"|"&amp;G2047,PSKey,0)),0)</f>
        <v/>
      </c>
      <c r="P2047" s="46">
        <f>INDEX(ChDoorVel,MATCH(E2047,ChName,0))*CalibScalar*(1+VelocityUplift)</f>
        <v/>
      </c>
      <c r="Q2047" s="46" t="n">
        <v>0</v>
      </c>
      <c r="R2047" s="46">
        <f>P2047*O2047*M2047*N2047*H2047</f>
        <v/>
      </c>
      <c r="S2047" s="46">
        <f>R2047*INDEX(FmtCansPerCase,MATCH(F2047,FmtName,0))</f>
        <v/>
      </c>
      <c r="T2047" s="46">
        <f>S2047/INDEX(FmtCansPerPack,MATCH(F2047,FmtName,0))</f>
        <v/>
      </c>
      <c r="U2047" s="47">
        <f>INDEX(ChBaseCP,MATCH(E2047,ChName,0))*(1+INDEX(ProvMod,MATCH(G2047,ProvCode,0)))*(1+PriceIndex)</f>
        <v/>
      </c>
      <c r="V2047" s="47">
        <f>R2047*U2047*INDEX(FmtBlendedPriceIdx,MATCH(F2047,FmtName,0))</f>
        <v/>
      </c>
      <c r="W2047" s="47">
        <f>T2047*INDEX(ProvSRP,MATCH(G2047,ProvCode,0))*(1+PriceIndex)</f>
        <v/>
      </c>
      <c r="X2047" s="47">
        <f>IF(GrossBasis="Wholesale",V2047,W2047)</f>
        <v/>
      </c>
      <c r="Y2047" s="47">
        <f>R2047*INDEX(FmtBlendedCogs,MATCH(F2047,FmtName,0))</f>
        <v/>
      </c>
      <c r="Z2047" s="47">
        <f>X2047-Y2047</f>
        <v/>
      </c>
    </row>
    <row r="2048">
      <c r="A2048" t="n">
        <v>33</v>
      </c>
      <c r="B2048" s="44">
        <f>FiscalStart+(A2048-1)*7</f>
        <v/>
      </c>
      <c r="C2048">
        <f>TEXT(B2048,"mmm yyyy")</f>
        <v/>
      </c>
      <c r="D2048">
        <f>"Q"&amp;(INT((A2048-1)/13)+1)</f>
        <v/>
      </c>
      <c r="E2048" t="inlineStr">
        <is>
          <t>Costco</t>
        </is>
      </c>
      <c r="F2048">
        <f>IFERROR(INDEX(ChFormat,MATCH(E2048,ChName,0)),"")</f>
        <v/>
      </c>
      <c r="G2048" t="inlineStr">
        <is>
          <t>PE</t>
        </is>
      </c>
      <c r="H2048">
        <f>IF(A2048&lt;=NWeeks,1,0)</f>
        <v/>
      </c>
      <c r="I2048">
        <f>INDEX(ChLaunch,MATCH(E2048,ChName,0))</f>
        <v/>
      </c>
      <c r="J2048">
        <f>INDEX(ChWeeksFull,MATCH(E2048,ChName,0))</f>
        <v/>
      </c>
      <c r="K2048">
        <f>INDEX(ChRamp,MATCH(E2048,ChName,0))</f>
        <v/>
      </c>
      <c r="L2048" s="45">
        <f>MIN(1,MAX(0,(A2048-I2048+1)*RampSpeed/J2048))</f>
        <v/>
      </c>
      <c r="M2048" s="45">
        <f>IF(A2048&lt;I2048,0,IF(K2048="S-curve",L2048*L2048*(3-2*L2048),L2048))</f>
        <v/>
      </c>
      <c r="N2048" s="45">
        <f>1+(INDEX(SeasonIdx,A2048)-1)*SeasonAmp</f>
        <v/>
      </c>
      <c r="O2048" s="45">
        <f>IFERROR(INDEX(PSPct,MATCH(E2048&amp;"|"&amp;G2048,PSKey,0)),0)</f>
        <v/>
      </c>
      <c r="P2048" s="46">
        <f>INDEX(ChDoorVel,MATCH(E2048,ChName,0))*CalibScalar*(1+VelocityUplift)</f>
        <v/>
      </c>
      <c r="Q2048" s="46" t="n">
        <v>0</v>
      </c>
      <c r="R2048" s="46">
        <f>P2048*O2048*M2048*N2048*H2048</f>
        <v/>
      </c>
      <c r="S2048" s="46">
        <f>R2048*INDEX(FmtCansPerCase,MATCH(F2048,FmtName,0))</f>
        <v/>
      </c>
      <c r="T2048" s="46">
        <f>S2048/INDEX(FmtCansPerPack,MATCH(F2048,FmtName,0))</f>
        <v/>
      </c>
      <c r="U2048" s="47">
        <f>INDEX(ChBaseCP,MATCH(E2048,ChName,0))*(1+INDEX(ProvMod,MATCH(G2048,ProvCode,0)))*(1+PriceIndex)</f>
        <v/>
      </c>
      <c r="V2048" s="47">
        <f>R2048*U2048*INDEX(FmtBlendedPriceIdx,MATCH(F2048,FmtName,0))</f>
        <v/>
      </c>
      <c r="W2048" s="47">
        <f>T2048*INDEX(ProvSRP,MATCH(G2048,ProvCode,0))*(1+PriceIndex)</f>
        <v/>
      </c>
      <c r="X2048" s="47">
        <f>IF(GrossBasis="Wholesale",V2048,W2048)</f>
        <v/>
      </c>
      <c r="Y2048" s="47">
        <f>R2048*INDEX(FmtBlendedCogs,MATCH(F2048,FmtName,0))</f>
        <v/>
      </c>
      <c r="Z2048" s="47">
        <f>X2048-Y2048</f>
        <v/>
      </c>
    </row>
    <row r="2049">
      <c r="A2049" t="n">
        <v>34</v>
      </c>
      <c r="B2049" s="44">
        <f>FiscalStart+(A2049-1)*7</f>
        <v/>
      </c>
      <c r="C2049">
        <f>TEXT(B2049,"mmm yyyy")</f>
        <v/>
      </c>
      <c r="D2049">
        <f>"Q"&amp;(INT((A2049-1)/13)+1)</f>
        <v/>
      </c>
      <c r="E2049" t="inlineStr">
        <is>
          <t>Costco</t>
        </is>
      </c>
      <c r="F2049">
        <f>IFERROR(INDEX(ChFormat,MATCH(E2049,ChName,0)),"")</f>
        <v/>
      </c>
      <c r="G2049" t="inlineStr">
        <is>
          <t>PE</t>
        </is>
      </c>
      <c r="H2049">
        <f>IF(A2049&lt;=NWeeks,1,0)</f>
        <v/>
      </c>
      <c r="I2049">
        <f>INDEX(ChLaunch,MATCH(E2049,ChName,0))</f>
        <v/>
      </c>
      <c r="J2049">
        <f>INDEX(ChWeeksFull,MATCH(E2049,ChName,0))</f>
        <v/>
      </c>
      <c r="K2049">
        <f>INDEX(ChRamp,MATCH(E2049,ChName,0))</f>
        <v/>
      </c>
      <c r="L2049" s="45">
        <f>MIN(1,MAX(0,(A2049-I2049+1)*RampSpeed/J2049))</f>
        <v/>
      </c>
      <c r="M2049" s="45">
        <f>IF(A2049&lt;I2049,0,IF(K2049="S-curve",L2049*L2049*(3-2*L2049),L2049))</f>
        <v/>
      </c>
      <c r="N2049" s="45">
        <f>1+(INDEX(SeasonIdx,A2049)-1)*SeasonAmp</f>
        <v/>
      </c>
      <c r="O2049" s="45">
        <f>IFERROR(INDEX(PSPct,MATCH(E2049&amp;"|"&amp;G2049,PSKey,0)),0)</f>
        <v/>
      </c>
      <c r="P2049" s="46">
        <f>INDEX(ChDoorVel,MATCH(E2049,ChName,0))*CalibScalar*(1+VelocityUplift)</f>
        <v/>
      </c>
      <c r="Q2049" s="46" t="n">
        <v>0</v>
      </c>
      <c r="R2049" s="46">
        <f>P2049*O2049*M2049*N2049*H2049</f>
        <v/>
      </c>
      <c r="S2049" s="46">
        <f>R2049*INDEX(FmtCansPerCase,MATCH(F2049,FmtName,0))</f>
        <v/>
      </c>
      <c r="T2049" s="46">
        <f>S2049/INDEX(FmtCansPerPack,MATCH(F2049,FmtName,0))</f>
        <v/>
      </c>
      <c r="U2049" s="47">
        <f>INDEX(ChBaseCP,MATCH(E2049,ChName,0))*(1+INDEX(ProvMod,MATCH(G2049,ProvCode,0)))*(1+PriceIndex)</f>
        <v/>
      </c>
      <c r="V2049" s="47">
        <f>R2049*U2049*INDEX(FmtBlendedPriceIdx,MATCH(F2049,FmtName,0))</f>
        <v/>
      </c>
      <c r="W2049" s="47">
        <f>T2049*INDEX(ProvSRP,MATCH(G2049,ProvCode,0))*(1+PriceIndex)</f>
        <v/>
      </c>
      <c r="X2049" s="47">
        <f>IF(GrossBasis="Wholesale",V2049,W2049)</f>
        <v/>
      </c>
      <c r="Y2049" s="47">
        <f>R2049*INDEX(FmtBlendedCogs,MATCH(F2049,FmtName,0))</f>
        <v/>
      </c>
      <c r="Z2049" s="47">
        <f>X2049-Y2049</f>
        <v/>
      </c>
    </row>
    <row r="2050">
      <c r="A2050" t="n">
        <v>35</v>
      </c>
      <c r="B2050" s="44">
        <f>FiscalStart+(A2050-1)*7</f>
        <v/>
      </c>
      <c r="C2050">
        <f>TEXT(B2050,"mmm yyyy")</f>
        <v/>
      </c>
      <c r="D2050">
        <f>"Q"&amp;(INT((A2050-1)/13)+1)</f>
        <v/>
      </c>
      <c r="E2050" t="inlineStr">
        <is>
          <t>Costco</t>
        </is>
      </c>
      <c r="F2050">
        <f>IFERROR(INDEX(ChFormat,MATCH(E2050,ChName,0)),"")</f>
        <v/>
      </c>
      <c r="G2050" t="inlineStr">
        <is>
          <t>PE</t>
        </is>
      </c>
      <c r="H2050">
        <f>IF(A2050&lt;=NWeeks,1,0)</f>
        <v/>
      </c>
      <c r="I2050">
        <f>INDEX(ChLaunch,MATCH(E2050,ChName,0))</f>
        <v/>
      </c>
      <c r="J2050">
        <f>INDEX(ChWeeksFull,MATCH(E2050,ChName,0))</f>
        <v/>
      </c>
      <c r="K2050">
        <f>INDEX(ChRamp,MATCH(E2050,ChName,0))</f>
        <v/>
      </c>
      <c r="L2050" s="45">
        <f>MIN(1,MAX(0,(A2050-I2050+1)*RampSpeed/J2050))</f>
        <v/>
      </c>
      <c r="M2050" s="45">
        <f>IF(A2050&lt;I2050,0,IF(K2050="S-curve",L2050*L2050*(3-2*L2050),L2050))</f>
        <v/>
      </c>
      <c r="N2050" s="45">
        <f>1+(INDEX(SeasonIdx,A2050)-1)*SeasonAmp</f>
        <v/>
      </c>
      <c r="O2050" s="45">
        <f>IFERROR(INDEX(PSPct,MATCH(E2050&amp;"|"&amp;G2050,PSKey,0)),0)</f>
        <v/>
      </c>
      <c r="P2050" s="46">
        <f>INDEX(ChDoorVel,MATCH(E2050,ChName,0))*CalibScalar*(1+VelocityUplift)</f>
        <v/>
      </c>
      <c r="Q2050" s="46" t="n">
        <v>0</v>
      </c>
      <c r="R2050" s="46">
        <f>P2050*O2050*M2050*N2050*H2050</f>
        <v/>
      </c>
      <c r="S2050" s="46">
        <f>R2050*INDEX(FmtCansPerCase,MATCH(F2050,FmtName,0))</f>
        <v/>
      </c>
      <c r="T2050" s="46">
        <f>S2050/INDEX(FmtCansPerPack,MATCH(F2050,FmtName,0))</f>
        <v/>
      </c>
      <c r="U2050" s="47">
        <f>INDEX(ChBaseCP,MATCH(E2050,ChName,0))*(1+INDEX(ProvMod,MATCH(G2050,ProvCode,0)))*(1+PriceIndex)</f>
        <v/>
      </c>
      <c r="V2050" s="47">
        <f>R2050*U2050*INDEX(FmtBlendedPriceIdx,MATCH(F2050,FmtName,0))</f>
        <v/>
      </c>
      <c r="W2050" s="47">
        <f>T2050*INDEX(ProvSRP,MATCH(G2050,ProvCode,0))*(1+PriceIndex)</f>
        <v/>
      </c>
      <c r="X2050" s="47">
        <f>IF(GrossBasis="Wholesale",V2050,W2050)</f>
        <v/>
      </c>
      <c r="Y2050" s="47">
        <f>R2050*INDEX(FmtBlendedCogs,MATCH(F2050,FmtName,0))</f>
        <v/>
      </c>
      <c r="Z2050" s="47">
        <f>X2050-Y2050</f>
        <v/>
      </c>
    </row>
    <row r="2051">
      <c r="A2051" t="n">
        <v>36</v>
      </c>
      <c r="B2051" s="44">
        <f>FiscalStart+(A2051-1)*7</f>
        <v/>
      </c>
      <c r="C2051">
        <f>TEXT(B2051,"mmm yyyy")</f>
        <v/>
      </c>
      <c r="D2051">
        <f>"Q"&amp;(INT((A2051-1)/13)+1)</f>
        <v/>
      </c>
      <c r="E2051" t="inlineStr">
        <is>
          <t>Costco</t>
        </is>
      </c>
      <c r="F2051">
        <f>IFERROR(INDEX(ChFormat,MATCH(E2051,ChName,0)),"")</f>
        <v/>
      </c>
      <c r="G2051" t="inlineStr">
        <is>
          <t>PE</t>
        </is>
      </c>
      <c r="H2051">
        <f>IF(A2051&lt;=NWeeks,1,0)</f>
        <v/>
      </c>
      <c r="I2051">
        <f>INDEX(ChLaunch,MATCH(E2051,ChName,0))</f>
        <v/>
      </c>
      <c r="J2051">
        <f>INDEX(ChWeeksFull,MATCH(E2051,ChName,0))</f>
        <v/>
      </c>
      <c r="K2051">
        <f>INDEX(ChRamp,MATCH(E2051,ChName,0))</f>
        <v/>
      </c>
      <c r="L2051" s="45">
        <f>MIN(1,MAX(0,(A2051-I2051+1)*RampSpeed/J2051))</f>
        <v/>
      </c>
      <c r="M2051" s="45">
        <f>IF(A2051&lt;I2051,0,IF(K2051="S-curve",L2051*L2051*(3-2*L2051),L2051))</f>
        <v/>
      </c>
      <c r="N2051" s="45">
        <f>1+(INDEX(SeasonIdx,A2051)-1)*SeasonAmp</f>
        <v/>
      </c>
      <c r="O2051" s="45">
        <f>IFERROR(INDEX(PSPct,MATCH(E2051&amp;"|"&amp;G2051,PSKey,0)),0)</f>
        <v/>
      </c>
      <c r="P2051" s="46">
        <f>INDEX(ChDoorVel,MATCH(E2051,ChName,0))*CalibScalar*(1+VelocityUplift)</f>
        <v/>
      </c>
      <c r="Q2051" s="46" t="n">
        <v>0</v>
      </c>
      <c r="R2051" s="46">
        <f>P2051*O2051*M2051*N2051*H2051</f>
        <v/>
      </c>
      <c r="S2051" s="46">
        <f>R2051*INDEX(FmtCansPerCase,MATCH(F2051,FmtName,0))</f>
        <v/>
      </c>
      <c r="T2051" s="46">
        <f>S2051/INDEX(FmtCansPerPack,MATCH(F2051,FmtName,0))</f>
        <v/>
      </c>
      <c r="U2051" s="47">
        <f>INDEX(ChBaseCP,MATCH(E2051,ChName,0))*(1+INDEX(ProvMod,MATCH(G2051,ProvCode,0)))*(1+PriceIndex)</f>
        <v/>
      </c>
      <c r="V2051" s="47">
        <f>R2051*U2051*INDEX(FmtBlendedPriceIdx,MATCH(F2051,FmtName,0))</f>
        <v/>
      </c>
      <c r="W2051" s="47">
        <f>T2051*INDEX(ProvSRP,MATCH(G2051,ProvCode,0))*(1+PriceIndex)</f>
        <v/>
      </c>
      <c r="X2051" s="47">
        <f>IF(GrossBasis="Wholesale",V2051,W2051)</f>
        <v/>
      </c>
      <c r="Y2051" s="47">
        <f>R2051*INDEX(FmtBlendedCogs,MATCH(F2051,FmtName,0))</f>
        <v/>
      </c>
      <c r="Z2051" s="47">
        <f>X2051-Y2051</f>
        <v/>
      </c>
    </row>
    <row r="2052">
      <c r="A2052" t="n">
        <v>37</v>
      </c>
      <c r="B2052" s="44">
        <f>FiscalStart+(A2052-1)*7</f>
        <v/>
      </c>
      <c r="C2052">
        <f>TEXT(B2052,"mmm yyyy")</f>
        <v/>
      </c>
      <c r="D2052">
        <f>"Q"&amp;(INT((A2052-1)/13)+1)</f>
        <v/>
      </c>
      <c r="E2052" t="inlineStr">
        <is>
          <t>Costco</t>
        </is>
      </c>
      <c r="F2052">
        <f>IFERROR(INDEX(ChFormat,MATCH(E2052,ChName,0)),"")</f>
        <v/>
      </c>
      <c r="G2052" t="inlineStr">
        <is>
          <t>PE</t>
        </is>
      </c>
      <c r="H2052">
        <f>IF(A2052&lt;=NWeeks,1,0)</f>
        <v/>
      </c>
      <c r="I2052">
        <f>INDEX(ChLaunch,MATCH(E2052,ChName,0))</f>
        <v/>
      </c>
      <c r="J2052">
        <f>INDEX(ChWeeksFull,MATCH(E2052,ChName,0))</f>
        <v/>
      </c>
      <c r="K2052">
        <f>INDEX(ChRamp,MATCH(E2052,ChName,0))</f>
        <v/>
      </c>
      <c r="L2052" s="45">
        <f>MIN(1,MAX(0,(A2052-I2052+1)*RampSpeed/J2052))</f>
        <v/>
      </c>
      <c r="M2052" s="45">
        <f>IF(A2052&lt;I2052,0,IF(K2052="S-curve",L2052*L2052*(3-2*L2052),L2052))</f>
        <v/>
      </c>
      <c r="N2052" s="45">
        <f>1+(INDEX(SeasonIdx,A2052)-1)*SeasonAmp</f>
        <v/>
      </c>
      <c r="O2052" s="45">
        <f>IFERROR(INDEX(PSPct,MATCH(E2052&amp;"|"&amp;G2052,PSKey,0)),0)</f>
        <v/>
      </c>
      <c r="P2052" s="46">
        <f>INDEX(ChDoorVel,MATCH(E2052,ChName,0))*CalibScalar*(1+VelocityUplift)</f>
        <v/>
      </c>
      <c r="Q2052" s="46" t="n">
        <v>0</v>
      </c>
      <c r="R2052" s="46">
        <f>P2052*O2052*M2052*N2052*H2052</f>
        <v/>
      </c>
      <c r="S2052" s="46">
        <f>R2052*INDEX(FmtCansPerCase,MATCH(F2052,FmtName,0))</f>
        <v/>
      </c>
      <c r="T2052" s="46">
        <f>S2052/INDEX(FmtCansPerPack,MATCH(F2052,FmtName,0))</f>
        <v/>
      </c>
      <c r="U2052" s="47">
        <f>INDEX(ChBaseCP,MATCH(E2052,ChName,0))*(1+INDEX(ProvMod,MATCH(G2052,ProvCode,0)))*(1+PriceIndex)</f>
        <v/>
      </c>
      <c r="V2052" s="47">
        <f>R2052*U2052*INDEX(FmtBlendedPriceIdx,MATCH(F2052,FmtName,0))</f>
        <v/>
      </c>
      <c r="W2052" s="47">
        <f>T2052*INDEX(ProvSRP,MATCH(G2052,ProvCode,0))*(1+PriceIndex)</f>
        <v/>
      </c>
      <c r="X2052" s="47">
        <f>IF(GrossBasis="Wholesale",V2052,W2052)</f>
        <v/>
      </c>
      <c r="Y2052" s="47">
        <f>R2052*INDEX(FmtBlendedCogs,MATCH(F2052,FmtName,0))</f>
        <v/>
      </c>
      <c r="Z2052" s="47">
        <f>X2052-Y2052</f>
        <v/>
      </c>
    </row>
    <row r="2053">
      <c r="A2053" t="n">
        <v>38</v>
      </c>
      <c r="B2053" s="44">
        <f>FiscalStart+(A2053-1)*7</f>
        <v/>
      </c>
      <c r="C2053">
        <f>TEXT(B2053,"mmm yyyy")</f>
        <v/>
      </c>
      <c r="D2053">
        <f>"Q"&amp;(INT((A2053-1)/13)+1)</f>
        <v/>
      </c>
      <c r="E2053" t="inlineStr">
        <is>
          <t>Costco</t>
        </is>
      </c>
      <c r="F2053">
        <f>IFERROR(INDEX(ChFormat,MATCH(E2053,ChName,0)),"")</f>
        <v/>
      </c>
      <c r="G2053" t="inlineStr">
        <is>
          <t>PE</t>
        </is>
      </c>
      <c r="H2053">
        <f>IF(A2053&lt;=NWeeks,1,0)</f>
        <v/>
      </c>
      <c r="I2053">
        <f>INDEX(ChLaunch,MATCH(E2053,ChName,0))</f>
        <v/>
      </c>
      <c r="J2053">
        <f>INDEX(ChWeeksFull,MATCH(E2053,ChName,0))</f>
        <v/>
      </c>
      <c r="K2053">
        <f>INDEX(ChRamp,MATCH(E2053,ChName,0))</f>
        <v/>
      </c>
      <c r="L2053" s="45">
        <f>MIN(1,MAX(0,(A2053-I2053+1)*RampSpeed/J2053))</f>
        <v/>
      </c>
      <c r="M2053" s="45">
        <f>IF(A2053&lt;I2053,0,IF(K2053="S-curve",L2053*L2053*(3-2*L2053),L2053))</f>
        <v/>
      </c>
      <c r="N2053" s="45">
        <f>1+(INDEX(SeasonIdx,A2053)-1)*SeasonAmp</f>
        <v/>
      </c>
      <c r="O2053" s="45">
        <f>IFERROR(INDEX(PSPct,MATCH(E2053&amp;"|"&amp;G2053,PSKey,0)),0)</f>
        <v/>
      </c>
      <c r="P2053" s="46">
        <f>INDEX(ChDoorVel,MATCH(E2053,ChName,0))*CalibScalar*(1+VelocityUplift)</f>
        <v/>
      </c>
      <c r="Q2053" s="46" t="n">
        <v>0</v>
      </c>
      <c r="R2053" s="46">
        <f>P2053*O2053*M2053*N2053*H2053</f>
        <v/>
      </c>
      <c r="S2053" s="46">
        <f>R2053*INDEX(FmtCansPerCase,MATCH(F2053,FmtName,0))</f>
        <v/>
      </c>
      <c r="T2053" s="46">
        <f>S2053/INDEX(FmtCansPerPack,MATCH(F2053,FmtName,0))</f>
        <v/>
      </c>
      <c r="U2053" s="47">
        <f>INDEX(ChBaseCP,MATCH(E2053,ChName,0))*(1+INDEX(ProvMod,MATCH(G2053,ProvCode,0)))*(1+PriceIndex)</f>
        <v/>
      </c>
      <c r="V2053" s="47">
        <f>R2053*U2053*INDEX(FmtBlendedPriceIdx,MATCH(F2053,FmtName,0))</f>
        <v/>
      </c>
      <c r="W2053" s="47">
        <f>T2053*INDEX(ProvSRP,MATCH(G2053,ProvCode,0))*(1+PriceIndex)</f>
        <v/>
      </c>
      <c r="X2053" s="47">
        <f>IF(GrossBasis="Wholesale",V2053,W2053)</f>
        <v/>
      </c>
      <c r="Y2053" s="47">
        <f>R2053*INDEX(FmtBlendedCogs,MATCH(F2053,FmtName,0))</f>
        <v/>
      </c>
      <c r="Z2053" s="47">
        <f>X2053-Y2053</f>
        <v/>
      </c>
    </row>
    <row r="2054">
      <c r="A2054" t="n">
        <v>39</v>
      </c>
      <c r="B2054" s="44">
        <f>FiscalStart+(A2054-1)*7</f>
        <v/>
      </c>
      <c r="C2054">
        <f>TEXT(B2054,"mmm yyyy")</f>
        <v/>
      </c>
      <c r="D2054">
        <f>"Q"&amp;(INT((A2054-1)/13)+1)</f>
        <v/>
      </c>
      <c r="E2054" t="inlineStr">
        <is>
          <t>Costco</t>
        </is>
      </c>
      <c r="F2054">
        <f>IFERROR(INDEX(ChFormat,MATCH(E2054,ChName,0)),"")</f>
        <v/>
      </c>
      <c r="G2054" t="inlineStr">
        <is>
          <t>PE</t>
        </is>
      </c>
      <c r="H2054">
        <f>IF(A2054&lt;=NWeeks,1,0)</f>
        <v/>
      </c>
      <c r="I2054">
        <f>INDEX(ChLaunch,MATCH(E2054,ChName,0))</f>
        <v/>
      </c>
      <c r="J2054">
        <f>INDEX(ChWeeksFull,MATCH(E2054,ChName,0))</f>
        <v/>
      </c>
      <c r="K2054">
        <f>INDEX(ChRamp,MATCH(E2054,ChName,0))</f>
        <v/>
      </c>
      <c r="L2054" s="45">
        <f>MIN(1,MAX(0,(A2054-I2054+1)*RampSpeed/J2054))</f>
        <v/>
      </c>
      <c r="M2054" s="45">
        <f>IF(A2054&lt;I2054,0,IF(K2054="S-curve",L2054*L2054*(3-2*L2054),L2054))</f>
        <v/>
      </c>
      <c r="N2054" s="45">
        <f>1+(INDEX(SeasonIdx,A2054)-1)*SeasonAmp</f>
        <v/>
      </c>
      <c r="O2054" s="45">
        <f>IFERROR(INDEX(PSPct,MATCH(E2054&amp;"|"&amp;G2054,PSKey,0)),0)</f>
        <v/>
      </c>
      <c r="P2054" s="46">
        <f>INDEX(ChDoorVel,MATCH(E2054,ChName,0))*CalibScalar*(1+VelocityUplift)</f>
        <v/>
      </c>
      <c r="Q2054" s="46" t="n">
        <v>0</v>
      </c>
      <c r="R2054" s="46">
        <f>P2054*O2054*M2054*N2054*H2054</f>
        <v/>
      </c>
      <c r="S2054" s="46">
        <f>R2054*INDEX(FmtCansPerCase,MATCH(F2054,FmtName,0))</f>
        <v/>
      </c>
      <c r="T2054" s="46">
        <f>S2054/INDEX(FmtCansPerPack,MATCH(F2054,FmtName,0))</f>
        <v/>
      </c>
      <c r="U2054" s="47">
        <f>INDEX(ChBaseCP,MATCH(E2054,ChName,0))*(1+INDEX(ProvMod,MATCH(G2054,ProvCode,0)))*(1+PriceIndex)</f>
        <v/>
      </c>
      <c r="V2054" s="47">
        <f>R2054*U2054*INDEX(FmtBlendedPriceIdx,MATCH(F2054,FmtName,0))</f>
        <v/>
      </c>
      <c r="W2054" s="47">
        <f>T2054*INDEX(ProvSRP,MATCH(G2054,ProvCode,0))*(1+PriceIndex)</f>
        <v/>
      </c>
      <c r="X2054" s="47">
        <f>IF(GrossBasis="Wholesale",V2054,W2054)</f>
        <v/>
      </c>
      <c r="Y2054" s="47">
        <f>R2054*INDEX(FmtBlendedCogs,MATCH(F2054,FmtName,0))</f>
        <v/>
      </c>
      <c r="Z2054" s="47">
        <f>X2054-Y2054</f>
        <v/>
      </c>
    </row>
    <row r="2055">
      <c r="A2055" t="n">
        <v>40</v>
      </c>
      <c r="B2055" s="44">
        <f>FiscalStart+(A2055-1)*7</f>
        <v/>
      </c>
      <c r="C2055">
        <f>TEXT(B2055,"mmm yyyy")</f>
        <v/>
      </c>
      <c r="D2055">
        <f>"Q"&amp;(INT((A2055-1)/13)+1)</f>
        <v/>
      </c>
      <c r="E2055" t="inlineStr">
        <is>
          <t>Costco</t>
        </is>
      </c>
      <c r="F2055">
        <f>IFERROR(INDEX(ChFormat,MATCH(E2055,ChName,0)),"")</f>
        <v/>
      </c>
      <c r="G2055" t="inlineStr">
        <is>
          <t>PE</t>
        </is>
      </c>
      <c r="H2055">
        <f>IF(A2055&lt;=NWeeks,1,0)</f>
        <v/>
      </c>
      <c r="I2055">
        <f>INDEX(ChLaunch,MATCH(E2055,ChName,0))</f>
        <v/>
      </c>
      <c r="J2055">
        <f>INDEX(ChWeeksFull,MATCH(E2055,ChName,0))</f>
        <v/>
      </c>
      <c r="K2055">
        <f>INDEX(ChRamp,MATCH(E2055,ChName,0))</f>
        <v/>
      </c>
      <c r="L2055" s="45">
        <f>MIN(1,MAX(0,(A2055-I2055+1)*RampSpeed/J2055))</f>
        <v/>
      </c>
      <c r="M2055" s="45">
        <f>IF(A2055&lt;I2055,0,IF(K2055="S-curve",L2055*L2055*(3-2*L2055),L2055))</f>
        <v/>
      </c>
      <c r="N2055" s="45">
        <f>1+(INDEX(SeasonIdx,A2055)-1)*SeasonAmp</f>
        <v/>
      </c>
      <c r="O2055" s="45">
        <f>IFERROR(INDEX(PSPct,MATCH(E2055&amp;"|"&amp;G2055,PSKey,0)),0)</f>
        <v/>
      </c>
      <c r="P2055" s="46">
        <f>INDEX(ChDoorVel,MATCH(E2055,ChName,0))*CalibScalar*(1+VelocityUplift)</f>
        <v/>
      </c>
      <c r="Q2055" s="46" t="n">
        <v>0</v>
      </c>
      <c r="R2055" s="46">
        <f>P2055*O2055*M2055*N2055*H2055</f>
        <v/>
      </c>
      <c r="S2055" s="46">
        <f>R2055*INDEX(FmtCansPerCase,MATCH(F2055,FmtName,0))</f>
        <v/>
      </c>
      <c r="T2055" s="46">
        <f>S2055/INDEX(FmtCansPerPack,MATCH(F2055,FmtName,0))</f>
        <v/>
      </c>
      <c r="U2055" s="47">
        <f>INDEX(ChBaseCP,MATCH(E2055,ChName,0))*(1+INDEX(ProvMod,MATCH(G2055,ProvCode,0)))*(1+PriceIndex)</f>
        <v/>
      </c>
      <c r="V2055" s="47">
        <f>R2055*U2055*INDEX(FmtBlendedPriceIdx,MATCH(F2055,FmtName,0))</f>
        <v/>
      </c>
      <c r="W2055" s="47">
        <f>T2055*INDEX(ProvSRP,MATCH(G2055,ProvCode,0))*(1+PriceIndex)</f>
        <v/>
      </c>
      <c r="X2055" s="47">
        <f>IF(GrossBasis="Wholesale",V2055,W2055)</f>
        <v/>
      </c>
      <c r="Y2055" s="47">
        <f>R2055*INDEX(FmtBlendedCogs,MATCH(F2055,FmtName,0))</f>
        <v/>
      </c>
      <c r="Z2055" s="47">
        <f>X2055-Y2055</f>
        <v/>
      </c>
    </row>
    <row r="2056">
      <c r="A2056" t="n">
        <v>41</v>
      </c>
      <c r="B2056" s="44">
        <f>FiscalStart+(A2056-1)*7</f>
        <v/>
      </c>
      <c r="C2056">
        <f>TEXT(B2056,"mmm yyyy")</f>
        <v/>
      </c>
      <c r="D2056">
        <f>"Q"&amp;(INT((A2056-1)/13)+1)</f>
        <v/>
      </c>
      <c r="E2056" t="inlineStr">
        <is>
          <t>Costco</t>
        </is>
      </c>
      <c r="F2056">
        <f>IFERROR(INDEX(ChFormat,MATCH(E2056,ChName,0)),"")</f>
        <v/>
      </c>
      <c r="G2056" t="inlineStr">
        <is>
          <t>PE</t>
        </is>
      </c>
      <c r="H2056">
        <f>IF(A2056&lt;=NWeeks,1,0)</f>
        <v/>
      </c>
      <c r="I2056">
        <f>INDEX(ChLaunch,MATCH(E2056,ChName,0))</f>
        <v/>
      </c>
      <c r="J2056">
        <f>INDEX(ChWeeksFull,MATCH(E2056,ChName,0))</f>
        <v/>
      </c>
      <c r="K2056">
        <f>INDEX(ChRamp,MATCH(E2056,ChName,0))</f>
        <v/>
      </c>
      <c r="L2056" s="45">
        <f>MIN(1,MAX(0,(A2056-I2056+1)*RampSpeed/J2056))</f>
        <v/>
      </c>
      <c r="M2056" s="45">
        <f>IF(A2056&lt;I2056,0,IF(K2056="S-curve",L2056*L2056*(3-2*L2056),L2056))</f>
        <v/>
      </c>
      <c r="N2056" s="45">
        <f>1+(INDEX(SeasonIdx,A2056)-1)*SeasonAmp</f>
        <v/>
      </c>
      <c r="O2056" s="45">
        <f>IFERROR(INDEX(PSPct,MATCH(E2056&amp;"|"&amp;G2056,PSKey,0)),0)</f>
        <v/>
      </c>
      <c r="P2056" s="46">
        <f>INDEX(ChDoorVel,MATCH(E2056,ChName,0))*CalibScalar*(1+VelocityUplift)</f>
        <v/>
      </c>
      <c r="Q2056" s="46" t="n">
        <v>0</v>
      </c>
      <c r="R2056" s="46">
        <f>P2056*O2056*M2056*N2056*H2056</f>
        <v/>
      </c>
      <c r="S2056" s="46">
        <f>R2056*INDEX(FmtCansPerCase,MATCH(F2056,FmtName,0))</f>
        <v/>
      </c>
      <c r="T2056" s="46">
        <f>S2056/INDEX(FmtCansPerPack,MATCH(F2056,FmtName,0))</f>
        <v/>
      </c>
      <c r="U2056" s="47">
        <f>INDEX(ChBaseCP,MATCH(E2056,ChName,0))*(1+INDEX(ProvMod,MATCH(G2056,ProvCode,0)))*(1+PriceIndex)</f>
        <v/>
      </c>
      <c r="V2056" s="47">
        <f>R2056*U2056*INDEX(FmtBlendedPriceIdx,MATCH(F2056,FmtName,0))</f>
        <v/>
      </c>
      <c r="W2056" s="47">
        <f>T2056*INDEX(ProvSRP,MATCH(G2056,ProvCode,0))*(1+PriceIndex)</f>
        <v/>
      </c>
      <c r="X2056" s="47">
        <f>IF(GrossBasis="Wholesale",V2056,W2056)</f>
        <v/>
      </c>
      <c r="Y2056" s="47">
        <f>R2056*INDEX(FmtBlendedCogs,MATCH(F2056,FmtName,0))</f>
        <v/>
      </c>
      <c r="Z2056" s="47">
        <f>X2056-Y2056</f>
        <v/>
      </c>
    </row>
    <row r="2057">
      <c r="A2057" t="n">
        <v>42</v>
      </c>
      <c r="B2057" s="44">
        <f>FiscalStart+(A2057-1)*7</f>
        <v/>
      </c>
      <c r="C2057">
        <f>TEXT(B2057,"mmm yyyy")</f>
        <v/>
      </c>
      <c r="D2057">
        <f>"Q"&amp;(INT((A2057-1)/13)+1)</f>
        <v/>
      </c>
      <c r="E2057" t="inlineStr">
        <is>
          <t>Costco</t>
        </is>
      </c>
      <c r="F2057">
        <f>IFERROR(INDEX(ChFormat,MATCH(E2057,ChName,0)),"")</f>
        <v/>
      </c>
      <c r="G2057" t="inlineStr">
        <is>
          <t>PE</t>
        </is>
      </c>
      <c r="H2057">
        <f>IF(A2057&lt;=NWeeks,1,0)</f>
        <v/>
      </c>
      <c r="I2057">
        <f>INDEX(ChLaunch,MATCH(E2057,ChName,0))</f>
        <v/>
      </c>
      <c r="J2057">
        <f>INDEX(ChWeeksFull,MATCH(E2057,ChName,0))</f>
        <v/>
      </c>
      <c r="K2057">
        <f>INDEX(ChRamp,MATCH(E2057,ChName,0))</f>
        <v/>
      </c>
      <c r="L2057" s="45">
        <f>MIN(1,MAX(0,(A2057-I2057+1)*RampSpeed/J2057))</f>
        <v/>
      </c>
      <c r="M2057" s="45">
        <f>IF(A2057&lt;I2057,0,IF(K2057="S-curve",L2057*L2057*(3-2*L2057),L2057))</f>
        <v/>
      </c>
      <c r="N2057" s="45">
        <f>1+(INDEX(SeasonIdx,A2057)-1)*SeasonAmp</f>
        <v/>
      </c>
      <c r="O2057" s="45">
        <f>IFERROR(INDEX(PSPct,MATCH(E2057&amp;"|"&amp;G2057,PSKey,0)),0)</f>
        <v/>
      </c>
      <c r="P2057" s="46">
        <f>INDEX(ChDoorVel,MATCH(E2057,ChName,0))*CalibScalar*(1+VelocityUplift)</f>
        <v/>
      </c>
      <c r="Q2057" s="46" t="n">
        <v>0</v>
      </c>
      <c r="R2057" s="46">
        <f>P2057*O2057*M2057*N2057*H2057</f>
        <v/>
      </c>
      <c r="S2057" s="46">
        <f>R2057*INDEX(FmtCansPerCase,MATCH(F2057,FmtName,0))</f>
        <v/>
      </c>
      <c r="T2057" s="46">
        <f>S2057/INDEX(FmtCansPerPack,MATCH(F2057,FmtName,0))</f>
        <v/>
      </c>
      <c r="U2057" s="47">
        <f>INDEX(ChBaseCP,MATCH(E2057,ChName,0))*(1+INDEX(ProvMod,MATCH(G2057,ProvCode,0)))*(1+PriceIndex)</f>
        <v/>
      </c>
      <c r="V2057" s="47">
        <f>R2057*U2057*INDEX(FmtBlendedPriceIdx,MATCH(F2057,FmtName,0))</f>
        <v/>
      </c>
      <c r="W2057" s="47">
        <f>T2057*INDEX(ProvSRP,MATCH(G2057,ProvCode,0))*(1+PriceIndex)</f>
        <v/>
      </c>
      <c r="X2057" s="47">
        <f>IF(GrossBasis="Wholesale",V2057,W2057)</f>
        <v/>
      </c>
      <c r="Y2057" s="47">
        <f>R2057*INDEX(FmtBlendedCogs,MATCH(F2057,FmtName,0))</f>
        <v/>
      </c>
      <c r="Z2057" s="47">
        <f>X2057-Y2057</f>
        <v/>
      </c>
    </row>
    <row r="2058">
      <c r="A2058" t="n">
        <v>43</v>
      </c>
      <c r="B2058" s="44">
        <f>FiscalStart+(A2058-1)*7</f>
        <v/>
      </c>
      <c r="C2058">
        <f>TEXT(B2058,"mmm yyyy")</f>
        <v/>
      </c>
      <c r="D2058">
        <f>"Q"&amp;(INT((A2058-1)/13)+1)</f>
        <v/>
      </c>
      <c r="E2058" t="inlineStr">
        <is>
          <t>Costco</t>
        </is>
      </c>
      <c r="F2058">
        <f>IFERROR(INDEX(ChFormat,MATCH(E2058,ChName,0)),"")</f>
        <v/>
      </c>
      <c r="G2058" t="inlineStr">
        <is>
          <t>PE</t>
        </is>
      </c>
      <c r="H2058">
        <f>IF(A2058&lt;=NWeeks,1,0)</f>
        <v/>
      </c>
      <c r="I2058">
        <f>INDEX(ChLaunch,MATCH(E2058,ChName,0))</f>
        <v/>
      </c>
      <c r="J2058">
        <f>INDEX(ChWeeksFull,MATCH(E2058,ChName,0))</f>
        <v/>
      </c>
      <c r="K2058">
        <f>INDEX(ChRamp,MATCH(E2058,ChName,0))</f>
        <v/>
      </c>
      <c r="L2058" s="45">
        <f>MIN(1,MAX(0,(A2058-I2058+1)*RampSpeed/J2058))</f>
        <v/>
      </c>
      <c r="M2058" s="45">
        <f>IF(A2058&lt;I2058,0,IF(K2058="S-curve",L2058*L2058*(3-2*L2058),L2058))</f>
        <v/>
      </c>
      <c r="N2058" s="45">
        <f>1+(INDEX(SeasonIdx,A2058)-1)*SeasonAmp</f>
        <v/>
      </c>
      <c r="O2058" s="45">
        <f>IFERROR(INDEX(PSPct,MATCH(E2058&amp;"|"&amp;G2058,PSKey,0)),0)</f>
        <v/>
      </c>
      <c r="P2058" s="46">
        <f>INDEX(ChDoorVel,MATCH(E2058,ChName,0))*CalibScalar*(1+VelocityUplift)</f>
        <v/>
      </c>
      <c r="Q2058" s="46" t="n">
        <v>0</v>
      </c>
      <c r="R2058" s="46">
        <f>P2058*O2058*M2058*N2058*H2058</f>
        <v/>
      </c>
      <c r="S2058" s="46">
        <f>R2058*INDEX(FmtCansPerCase,MATCH(F2058,FmtName,0))</f>
        <v/>
      </c>
      <c r="T2058" s="46">
        <f>S2058/INDEX(FmtCansPerPack,MATCH(F2058,FmtName,0))</f>
        <v/>
      </c>
      <c r="U2058" s="47">
        <f>INDEX(ChBaseCP,MATCH(E2058,ChName,0))*(1+INDEX(ProvMod,MATCH(G2058,ProvCode,0)))*(1+PriceIndex)</f>
        <v/>
      </c>
      <c r="V2058" s="47">
        <f>R2058*U2058*INDEX(FmtBlendedPriceIdx,MATCH(F2058,FmtName,0))</f>
        <v/>
      </c>
      <c r="W2058" s="47">
        <f>T2058*INDEX(ProvSRP,MATCH(G2058,ProvCode,0))*(1+PriceIndex)</f>
        <v/>
      </c>
      <c r="X2058" s="47">
        <f>IF(GrossBasis="Wholesale",V2058,W2058)</f>
        <v/>
      </c>
      <c r="Y2058" s="47">
        <f>R2058*INDEX(FmtBlendedCogs,MATCH(F2058,FmtName,0))</f>
        <v/>
      </c>
      <c r="Z2058" s="47">
        <f>X2058-Y2058</f>
        <v/>
      </c>
    </row>
    <row r="2059">
      <c r="A2059" t="n">
        <v>44</v>
      </c>
      <c r="B2059" s="44">
        <f>FiscalStart+(A2059-1)*7</f>
        <v/>
      </c>
      <c r="C2059">
        <f>TEXT(B2059,"mmm yyyy")</f>
        <v/>
      </c>
      <c r="D2059">
        <f>"Q"&amp;(INT((A2059-1)/13)+1)</f>
        <v/>
      </c>
      <c r="E2059" t="inlineStr">
        <is>
          <t>Costco</t>
        </is>
      </c>
      <c r="F2059">
        <f>IFERROR(INDEX(ChFormat,MATCH(E2059,ChName,0)),"")</f>
        <v/>
      </c>
      <c r="G2059" t="inlineStr">
        <is>
          <t>PE</t>
        </is>
      </c>
      <c r="H2059">
        <f>IF(A2059&lt;=NWeeks,1,0)</f>
        <v/>
      </c>
      <c r="I2059">
        <f>INDEX(ChLaunch,MATCH(E2059,ChName,0))</f>
        <v/>
      </c>
      <c r="J2059">
        <f>INDEX(ChWeeksFull,MATCH(E2059,ChName,0))</f>
        <v/>
      </c>
      <c r="K2059">
        <f>INDEX(ChRamp,MATCH(E2059,ChName,0))</f>
        <v/>
      </c>
      <c r="L2059" s="45">
        <f>MIN(1,MAX(0,(A2059-I2059+1)*RampSpeed/J2059))</f>
        <v/>
      </c>
      <c r="M2059" s="45">
        <f>IF(A2059&lt;I2059,0,IF(K2059="S-curve",L2059*L2059*(3-2*L2059),L2059))</f>
        <v/>
      </c>
      <c r="N2059" s="45">
        <f>1+(INDEX(SeasonIdx,A2059)-1)*SeasonAmp</f>
        <v/>
      </c>
      <c r="O2059" s="45">
        <f>IFERROR(INDEX(PSPct,MATCH(E2059&amp;"|"&amp;G2059,PSKey,0)),0)</f>
        <v/>
      </c>
      <c r="P2059" s="46">
        <f>INDEX(ChDoorVel,MATCH(E2059,ChName,0))*CalibScalar*(1+VelocityUplift)</f>
        <v/>
      </c>
      <c r="Q2059" s="46" t="n">
        <v>0</v>
      </c>
      <c r="R2059" s="46">
        <f>P2059*O2059*M2059*N2059*H2059</f>
        <v/>
      </c>
      <c r="S2059" s="46">
        <f>R2059*INDEX(FmtCansPerCase,MATCH(F2059,FmtName,0))</f>
        <v/>
      </c>
      <c r="T2059" s="46">
        <f>S2059/INDEX(FmtCansPerPack,MATCH(F2059,FmtName,0))</f>
        <v/>
      </c>
      <c r="U2059" s="47">
        <f>INDEX(ChBaseCP,MATCH(E2059,ChName,0))*(1+INDEX(ProvMod,MATCH(G2059,ProvCode,0)))*(1+PriceIndex)</f>
        <v/>
      </c>
      <c r="V2059" s="47">
        <f>R2059*U2059*INDEX(FmtBlendedPriceIdx,MATCH(F2059,FmtName,0))</f>
        <v/>
      </c>
      <c r="W2059" s="47">
        <f>T2059*INDEX(ProvSRP,MATCH(G2059,ProvCode,0))*(1+PriceIndex)</f>
        <v/>
      </c>
      <c r="X2059" s="47">
        <f>IF(GrossBasis="Wholesale",V2059,W2059)</f>
        <v/>
      </c>
      <c r="Y2059" s="47">
        <f>R2059*INDEX(FmtBlendedCogs,MATCH(F2059,FmtName,0))</f>
        <v/>
      </c>
      <c r="Z2059" s="47">
        <f>X2059-Y2059</f>
        <v/>
      </c>
    </row>
    <row r="2060">
      <c r="A2060" t="n">
        <v>45</v>
      </c>
      <c r="B2060" s="44">
        <f>FiscalStart+(A2060-1)*7</f>
        <v/>
      </c>
      <c r="C2060">
        <f>TEXT(B2060,"mmm yyyy")</f>
        <v/>
      </c>
      <c r="D2060">
        <f>"Q"&amp;(INT((A2060-1)/13)+1)</f>
        <v/>
      </c>
      <c r="E2060" t="inlineStr">
        <is>
          <t>Costco</t>
        </is>
      </c>
      <c r="F2060">
        <f>IFERROR(INDEX(ChFormat,MATCH(E2060,ChName,0)),"")</f>
        <v/>
      </c>
      <c r="G2060" t="inlineStr">
        <is>
          <t>PE</t>
        </is>
      </c>
      <c r="H2060">
        <f>IF(A2060&lt;=NWeeks,1,0)</f>
        <v/>
      </c>
      <c r="I2060">
        <f>INDEX(ChLaunch,MATCH(E2060,ChName,0))</f>
        <v/>
      </c>
      <c r="J2060">
        <f>INDEX(ChWeeksFull,MATCH(E2060,ChName,0))</f>
        <v/>
      </c>
      <c r="K2060">
        <f>INDEX(ChRamp,MATCH(E2060,ChName,0))</f>
        <v/>
      </c>
      <c r="L2060" s="45">
        <f>MIN(1,MAX(0,(A2060-I2060+1)*RampSpeed/J2060))</f>
        <v/>
      </c>
      <c r="M2060" s="45">
        <f>IF(A2060&lt;I2060,0,IF(K2060="S-curve",L2060*L2060*(3-2*L2060),L2060))</f>
        <v/>
      </c>
      <c r="N2060" s="45">
        <f>1+(INDEX(SeasonIdx,A2060)-1)*SeasonAmp</f>
        <v/>
      </c>
      <c r="O2060" s="45">
        <f>IFERROR(INDEX(PSPct,MATCH(E2060&amp;"|"&amp;G2060,PSKey,0)),0)</f>
        <v/>
      </c>
      <c r="P2060" s="46">
        <f>INDEX(ChDoorVel,MATCH(E2060,ChName,0))*CalibScalar*(1+VelocityUplift)</f>
        <v/>
      </c>
      <c r="Q2060" s="46" t="n">
        <v>0</v>
      </c>
      <c r="R2060" s="46">
        <f>P2060*O2060*M2060*N2060*H2060</f>
        <v/>
      </c>
      <c r="S2060" s="46">
        <f>R2060*INDEX(FmtCansPerCase,MATCH(F2060,FmtName,0))</f>
        <v/>
      </c>
      <c r="T2060" s="46">
        <f>S2060/INDEX(FmtCansPerPack,MATCH(F2060,FmtName,0))</f>
        <v/>
      </c>
      <c r="U2060" s="47">
        <f>INDEX(ChBaseCP,MATCH(E2060,ChName,0))*(1+INDEX(ProvMod,MATCH(G2060,ProvCode,0)))*(1+PriceIndex)</f>
        <v/>
      </c>
      <c r="V2060" s="47">
        <f>R2060*U2060*INDEX(FmtBlendedPriceIdx,MATCH(F2060,FmtName,0))</f>
        <v/>
      </c>
      <c r="W2060" s="47">
        <f>T2060*INDEX(ProvSRP,MATCH(G2060,ProvCode,0))*(1+PriceIndex)</f>
        <v/>
      </c>
      <c r="X2060" s="47">
        <f>IF(GrossBasis="Wholesale",V2060,W2060)</f>
        <v/>
      </c>
      <c r="Y2060" s="47">
        <f>R2060*INDEX(FmtBlendedCogs,MATCH(F2060,FmtName,0))</f>
        <v/>
      </c>
      <c r="Z2060" s="47">
        <f>X2060-Y2060</f>
        <v/>
      </c>
    </row>
    <row r="2061">
      <c r="A2061" t="n">
        <v>46</v>
      </c>
      <c r="B2061" s="44">
        <f>FiscalStart+(A2061-1)*7</f>
        <v/>
      </c>
      <c r="C2061">
        <f>TEXT(B2061,"mmm yyyy")</f>
        <v/>
      </c>
      <c r="D2061">
        <f>"Q"&amp;(INT((A2061-1)/13)+1)</f>
        <v/>
      </c>
      <c r="E2061" t="inlineStr">
        <is>
          <t>Costco</t>
        </is>
      </c>
      <c r="F2061">
        <f>IFERROR(INDEX(ChFormat,MATCH(E2061,ChName,0)),"")</f>
        <v/>
      </c>
      <c r="G2061" t="inlineStr">
        <is>
          <t>PE</t>
        </is>
      </c>
      <c r="H2061">
        <f>IF(A2061&lt;=NWeeks,1,0)</f>
        <v/>
      </c>
      <c r="I2061">
        <f>INDEX(ChLaunch,MATCH(E2061,ChName,0))</f>
        <v/>
      </c>
      <c r="J2061">
        <f>INDEX(ChWeeksFull,MATCH(E2061,ChName,0))</f>
        <v/>
      </c>
      <c r="K2061">
        <f>INDEX(ChRamp,MATCH(E2061,ChName,0))</f>
        <v/>
      </c>
      <c r="L2061" s="45">
        <f>MIN(1,MAX(0,(A2061-I2061+1)*RampSpeed/J2061))</f>
        <v/>
      </c>
      <c r="M2061" s="45">
        <f>IF(A2061&lt;I2061,0,IF(K2061="S-curve",L2061*L2061*(3-2*L2061),L2061))</f>
        <v/>
      </c>
      <c r="N2061" s="45">
        <f>1+(INDEX(SeasonIdx,A2061)-1)*SeasonAmp</f>
        <v/>
      </c>
      <c r="O2061" s="45">
        <f>IFERROR(INDEX(PSPct,MATCH(E2061&amp;"|"&amp;G2061,PSKey,0)),0)</f>
        <v/>
      </c>
      <c r="P2061" s="46">
        <f>INDEX(ChDoorVel,MATCH(E2061,ChName,0))*CalibScalar*(1+VelocityUplift)</f>
        <v/>
      </c>
      <c r="Q2061" s="46" t="n">
        <v>0</v>
      </c>
      <c r="R2061" s="46">
        <f>P2061*O2061*M2061*N2061*H2061</f>
        <v/>
      </c>
      <c r="S2061" s="46">
        <f>R2061*INDEX(FmtCansPerCase,MATCH(F2061,FmtName,0))</f>
        <v/>
      </c>
      <c r="T2061" s="46">
        <f>S2061/INDEX(FmtCansPerPack,MATCH(F2061,FmtName,0))</f>
        <v/>
      </c>
      <c r="U2061" s="47">
        <f>INDEX(ChBaseCP,MATCH(E2061,ChName,0))*(1+INDEX(ProvMod,MATCH(G2061,ProvCode,0)))*(1+PriceIndex)</f>
        <v/>
      </c>
      <c r="V2061" s="47">
        <f>R2061*U2061*INDEX(FmtBlendedPriceIdx,MATCH(F2061,FmtName,0))</f>
        <v/>
      </c>
      <c r="W2061" s="47">
        <f>T2061*INDEX(ProvSRP,MATCH(G2061,ProvCode,0))*(1+PriceIndex)</f>
        <v/>
      </c>
      <c r="X2061" s="47">
        <f>IF(GrossBasis="Wholesale",V2061,W2061)</f>
        <v/>
      </c>
      <c r="Y2061" s="47">
        <f>R2061*INDEX(FmtBlendedCogs,MATCH(F2061,FmtName,0))</f>
        <v/>
      </c>
      <c r="Z2061" s="47">
        <f>X2061-Y2061</f>
        <v/>
      </c>
    </row>
    <row r="2062">
      <c r="A2062" t="n">
        <v>47</v>
      </c>
      <c r="B2062" s="44">
        <f>FiscalStart+(A2062-1)*7</f>
        <v/>
      </c>
      <c r="C2062">
        <f>TEXT(B2062,"mmm yyyy")</f>
        <v/>
      </c>
      <c r="D2062">
        <f>"Q"&amp;(INT((A2062-1)/13)+1)</f>
        <v/>
      </c>
      <c r="E2062" t="inlineStr">
        <is>
          <t>Costco</t>
        </is>
      </c>
      <c r="F2062">
        <f>IFERROR(INDEX(ChFormat,MATCH(E2062,ChName,0)),"")</f>
        <v/>
      </c>
      <c r="G2062" t="inlineStr">
        <is>
          <t>PE</t>
        </is>
      </c>
      <c r="H2062">
        <f>IF(A2062&lt;=NWeeks,1,0)</f>
        <v/>
      </c>
      <c r="I2062">
        <f>INDEX(ChLaunch,MATCH(E2062,ChName,0))</f>
        <v/>
      </c>
      <c r="J2062">
        <f>INDEX(ChWeeksFull,MATCH(E2062,ChName,0))</f>
        <v/>
      </c>
      <c r="K2062">
        <f>INDEX(ChRamp,MATCH(E2062,ChName,0))</f>
        <v/>
      </c>
      <c r="L2062" s="45">
        <f>MIN(1,MAX(0,(A2062-I2062+1)*RampSpeed/J2062))</f>
        <v/>
      </c>
      <c r="M2062" s="45">
        <f>IF(A2062&lt;I2062,0,IF(K2062="S-curve",L2062*L2062*(3-2*L2062),L2062))</f>
        <v/>
      </c>
      <c r="N2062" s="45">
        <f>1+(INDEX(SeasonIdx,A2062)-1)*SeasonAmp</f>
        <v/>
      </c>
      <c r="O2062" s="45">
        <f>IFERROR(INDEX(PSPct,MATCH(E2062&amp;"|"&amp;G2062,PSKey,0)),0)</f>
        <v/>
      </c>
      <c r="P2062" s="46">
        <f>INDEX(ChDoorVel,MATCH(E2062,ChName,0))*CalibScalar*(1+VelocityUplift)</f>
        <v/>
      </c>
      <c r="Q2062" s="46" t="n">
        <v>0</v>
      </c>
      <c r="R2062" s="46">
        <f>P2062*O2062*M2062*N2062*H2062</f>
        <v/>
      </c>
      <c r="S2062" s="46">
        <f>R2062*INDEX(FmtCansPerCase,MATCH(F2062,FmtName,0))</f>
        <v/>
      </c>
      <c r="T2062" s="46">
        <f>S2062/INDEX(FmtCansPerPack,MATCH(F2062,FmtName,0))</f>
        <v/>
      </c>
      <c r="U2062" s="47">
        <f>INDEX(ChBaseCP,MATCH(E2062,ChName,0))*(1+INDEX(ProvMod,MATCH(G2062,ProvCode,0)))*(1+PriceIndex)</f>
        <v/>
      </c>
      <c r="V2062" s="47">
        <f>R2062*U2062*INDEX(FmtBlendedPriceIdx,MATCH(F2062,FmtName,0))</f>
        <v/>
      </c>
      <c r="W2062" s="47">
        <f>T2062*INDEX(ProvSRP,MATCH(G2062,ProvCode,0))*(1+PriceIndex)</f>
        <v/>
      </c>
      <c r="X2062" s="47">
        <f>IF(GrossBasis="Wholesale",V2062,W2062)</f>
        <v/>
      </c>
      <c r="Y2062" s="47">
        <f>R2062*INDEX(FmtBlendedCogs,MATCH(F2062,FmtName,0))</f>
        <v/>
      </c>
      <c r="Z2062" s="47">
        <f>X2062-Y2062</f>
        <v/>
      </c>
    </row>
    <row r="2063">
      <c r="A2063" t="n">
        <v>48</v>
      </c>
      <c r="B2063" s="44">
        <f>FiscalStart+(A2063-1)*7</f>
        <v/>
      </c>
      <c r="C2063">
        <f>TEXT(B2063,"mmm yyyy")</f>
        <v/>
      </c>
      <c r="D2063">
        <f>"Q"&amp;(INT((A2063-1)/13)+1)</f>
        <v/>
      </c>
      <c r="E2063" t="inlineStr">
        <is>
          <t>Costco</t>
        </is>
      </c>
      <c r="F2063">
        <f>IFERROR(INDEX(ChFormat,MATCH(E2063,ChName,0)),"")</f>
        <v/>
      </c>
      <c r="G2063" t="inlineStr">
        <is>
          <t>PE</t>
        </is>
      </c>
      <c r="H2063">
        <f>IF(A2063&lt;=NWeeks,1,0)</f>
        <v/>
      </c>
      <c r="I2063">
        <f>INDEX(ChLaunch,MATCH(E2063,ChName,0))</f>
        <v/>
      </c>
      <c r="J2063">
        <f>INDEX(ChWeeksFull,MATCH(E2063,ChName,0))</f>
        <v/>
      </c>
      <c r="K2063">
        <f>INDEX(ChRamp,MATCH(E2063,ChName,0))</f>
        <v/>
      </c>
      <c r="L2063" s="45">
        <f>MIN(1,MAX(0,(A2063-I2063+1)*RampSpeed/J2063))</f>
        <v/>
      </c>
      <c r="M2063" s="45">
        <f>IF(A2063&lt;I2063,0,IF(K2063="S-curve",L2063*L2063*(3-2*L2063),L2063))</f>
        <v/>
      </c>
      <c r="N2063" s="45">
        <f>1+(INDEX(SeasonIdx,A2063)-1)*SeasonAmp</f>
        <v/>
      </c>
      <c r="O2063" s="45">
        <f>IFERROR(INDEX(PSPct,MATCH(E2063&amp;"|"&amp;G2063,PSKey,0)),0)</f>
        <v/>
      </c>
      <c r="P2063" s="46">
        <f>INDEX(ChDoorVel,MATCH(E2063,ChName,0))*CalibScalar*(1+VelocityUplift)</f>
        <v/>
      </c>
      <c r="Q2063" s="46" t="n">
        <v>0</v>
      </c>
      <c r="R2063" s="46">
        <f>P2063*O2063*M2063*N2063*H2063</f>
        <v/>
      </c>
      <c r="S2063" s="46">
        <f>R2063*INDEX(FmtCansPerCase,MATCH(F2063,FmtName,0))</f>
        <v/>
      </c>
      <c r="T2063" s="46">
        <f>S2063/INDEX(FmtCansPerPack,MATCH(F2063,FmtName,0))</f>
        <v/>
      </c>
      <c r="U2063" s="47">
        <f>INDEX(ChBaseCP,MATCH(E2063,ChName,0))*(1+INDEX(ProvMod,MATCH(G2063,ProvCode,0)))*(1+PriceIndex)</f>
        <v/>
      </c>
      <c r="V2063" s="47">
        <f>R2063*U2063*INDEX(FmtBlendedPriceIdx,MATCH(F2063,FmtName,0))</f>
        <v/>
      </c>
      <c r="W2063" s="47">
        <f>T2063*INDEX(ProvSRP,MATCH(G2063,ProvCode,0))*(1+PriceIndex)</f>
        <v/>
      </c>
      <c r="X2063" s="47">
        <f>IF(GrossBasis="Wholesale",V2063,W2063)</f>
        <v/>
      </c>
      <c r="Y2063" s="47">
        <f>R2063*INDEX(FmtBlendedCogs,MATCH(F2063,FmtName,0))</f>
        <v/>
      </c>
      <c r="Z2063" s="47">
        <f>X2063-Y2063</f>
        <v/>
      </c>
    </row>
    <row r="2064">
      <c r="A2064" t="n">
        <v>49</v>
      </c>
      <c r="B2064" s="44">
        <f>FiscalStart+(A2064-1)*7</f>
        <v/>
      </c>
      <c r="C2064">
        <f>TEXT(B2064,"mmm yyyy")</f>
        <v/>
      </c>
      <c r="D2064">
        <f>"Q"&amp;(INT((A2064-1)/13)+1)</f>
        <v/>
      </c>
      <c r="E2064" t="inlineStr">
        <is>
          <t>Costco</t>
        </is>
      </c>
      <c r="F2064">
        <f>IFERROR(INDEX(ChFormat,MATCH(E2064,ChName,0)),"")</f>
        <v/>
      </c>
      <c r="G2064" t="inlineStr">
        <is>
          <t>PE</t>
        </is>
      </c>
      <c r="H2064">
        <f>IF(A2064&lt;=NWeeks,1,0)</f>
        <v/>
      </c>
      <c r="I2064">
        <f>INDEX(ChLaunch,MATCH(E2064,ChName,0))</f>
        <v/>
      </c>
      <c r="J2064">
        <f>INDEX(ChWeeksFull,MATCH(E2064,ChName,0))</f>
        <v/>
      </c>
      <c r="K2064">
        <f>INDEX(ChRamp,MATCH(E2064,ChName,0))</f>
        <v/>
      </c>
      <c r="L2064" s="45">
        <f>MIN(1,MAX(0,(A2064-I2064+1)*RampSpeed/J2064))</f>
        <v/>
      </c>
      <c r="M2064" s="45">
        <f>IF(A2064&lt;I2064,0,IF(K2064="S-curve",L2064*L2064*(3-2*L2064),L2064))</f>
        <v/>
      </c>
      <c r="N2064" s="45">
        <f>1+(INDEX(SeasonIdx,A2064)-1)*SeasonAmp</f>
        <v/>
      </c>
      <c r="O2064" s="45">
        <f>IFERROR(INDEX(PSPct,MATCH(E2064&amp;"|"&amp;G2064,PSKey,0)),0)</f>
        <v/>
      </c>
      <c r="P2064" s="46">
        <f>INDEX(ChDoorVel,MATCH(E2064,ChName,0))*CalibScalar*(1+VelocityUplift)</f>
        <v/>
      </c>
      <c r="Q2064" s="46" t="n">
        <v>0</v>
      </c>
      <c r="R2064" s="46">
        <f>P2064*O2064*M2064*N2064*H2064</f>
        <v/>
      </c>
      <c r="S2064" s="46">
        <f>R2064*INDEX(FmtCansPerCase,MATCH(F2064,FmtName,0))</f>
        <v/>
      </c>
      <c r="T2064" s="46">
        <f>S2064/INDEX(FmtCansPerPack,MATCH(F2064,FmtName,0))</f>
        <v/>
      </c>
      <c r="U2064" s="47">
        <f>INDEX(ChBaseCP,MATCH(E2064,ChName,0))*(1+INDEX(ProvMod,MATCH(G2064,ProvCode,0)))*(1+PriceIndex)</f>
        <v/>
      </c>
      <c r="V2064" s="47">
        <f>R2064*U2064*INDEX(FmtBlendedPriceIdx,MATCH(F2064,FmtName,0))</f>
        <v/>
      </c>
      <c r="W2064" s="47">
        <f>T2064*INDEX(ProvSRP,MATCH(G2064,ProvCode,0))*(1+PriceIndex)</f>
        <v/>
      </c>
      <c r="X2064" s="47">
        <f>IF(GrossBasis="Wholesale",V2064,W2064)</f>
        <v/>
      </c>
      <c r="Y2064" s="47">
        <f>R2064*INDEX(FmtBlendedCogs,MATCH(F2064,FmtName,0))</f>
        <v/>
      </c>
      <c r="Z2064" s="47">
        <f>X2064-Y2064</f>
        <v/>
      </c>
    </row>
    <row r="2065">
      <c r="A2065" t="n">
        <v>50</v>
      </c>
      <c r="B2065" s="44">
        <f>FiscalStart+(A2065-1)*7</f>
        <v/>
      </c>
      <c r="C2065">
        <f>TEXT(B2065,"mmm yyyy")</f>
        <v/>
      </c>
      <c r="D2065">
        <f>"Q"&amp;(INT((A2065-1)/13)+1)</f>
        <v/>
      </c>
      <c r="E2065" t="inlineStr">
        <is>
          <t>Costco</t>
        </is>
      </c>
      <c r="F2065">
        <f>IFERROR(INDEX(ChFormat,MATCH(E2065,ChName,0)),"")</f>
        <v/>
      </c>
      <c r="G2065" t="inlineStr">
        <is>
          <t>PE</t>
        </is>
      </c>
      <c r="H2065">
        <f>IF(A2065&lt;=NWeeks,1,0)</f>
        <v/>
      </c>
      <c r="I2065">
        <f>INDEX(ChLaunch,MATCH(E2065,ChName,0))</f>
        <v/>
      </c>
      <c r="J2065">
        <f>INDEX(ChWeeksFull,MATCH(E2065,ChName,0))</f>
        <v/>
      </c>
      <c r="K2065">
        <f>INDEX(ChRamp,MATCH(E2065,ChName,0))</f>
        <v/>
      </c>
      <c r="L2065" s="45">
        <f>MIN(1,MAX(0,(A2065-I2065+1)*RampSpeed/J2065))</f>
        <v/>
      </c>
      <c r="M2065" s="45">
        <f>IF(A2065&lt;I2065,0,IF(K2065="S-curve",L2065*L2065*(3-2*L2065),L2065))</f>
        <v/>
      </c>
      <c r="N2065" s="45">
        <f>1+(INDEX(SeasonIdx,A2065)-1)*SeasonAmp</f>
        <v/>
      </c>
      <c r="O2065" s="45">
        <f>IFERROR(INDEX(PSPct,MATCH(E2065&amp;"|"&amp;G2065,PSKey,0)),0)</f>
        <v/>
      </c>
      <c r="P2065" s="46">
        <f>INDEX(ChDoorVel,MATCH(E2065,ChName,0))*CalibScalar*(1+VelocityUplift)</f>
        <v/>
      </c>
      <c r="Q2065" s="46" t="n">
        <v>0</v>
      </c>
      <c r="R2065" s="46">
        <f>P2065*O2065*M2065*N2065*H2065</f>
        <v/>
      </c>
      <c r="S2065" s="46">
        <f>R2065*INDEX(FmtCansPerCase,MATCH(F2065,FmtName,0))</f>
        <v/>
      </c>
      <c r="T2065" s="46">
        <f>S2065/INDEX(FmtCansPerPack,MATCH(F2065,FmtName,0))</f>
        <v/>
      </c>
      <c r="U2065" s="47">
        <f>INDEX(ChBaseCP,MATCH(E2065,ChName,0))*(1+INDEX(ProvMod,MATCH(G2065,ProvCode,0)))*(1+PriceIndex)</f>
        <v/>
      </c>
      <c r="V2065" s="47">
        <f>R2065*U2065*INDEX(FmtBlendedPriceIdx,MATCH(F2065,FmtName,0))</f>
        <v/>
      </c>
      <c r="W2065" s="47">
        <f>T2065*INDEX(ProvSRP,MATCH(G2065,ProvCode,0))*(1+PriceIndex)</f>
        <v/>
      </c>
      <c r="X2065" s="47">
        <f>IF(GrossBasis="Wholesale",V2065,W2065)</f>
        <v/>
      </c>
      <c r="Y2065" s="47">
        <f>R2065*INDEX(FmtBlendedCogs,MATCH(F2065,FmtName,0))</f>
        <v/>
      </c>
      <c r="Z2065" s="47">
        <f>X2065-Y2065</f>
        <v/>
      </c>
    </row>
    <row r="2066">
      <c r="A2066" t="n">
        <v>51</v>
      </c>
      <c r="B2066" s="44">
        <f>FiscalStart+(A2066-1)*7</f>
        <v/>
      </c>
      <c r="C2066">
        <f>TEXT(B2066,"mmm yyyy")</f>
        <v/>
      </c>
      <c r="D2066">
        <f>"Q"&amp;(INT((A2066-1)/13)+1)</f>
        <v/>
      </c>
      <c r="E2066" t="inlineStr">
        <is>
          <t>Costco</t>
        </is>
      </c>
      <c r="F2066">
        <f>IFERROR(INDEX(ChFormat,MATCH(E2066,ChName,0)),"")</f>
        <v/>
      </c>
      <c r="G2066" t="inlineStr">
        <is>
          <t>PE</t>
        </is>
      </c>
      <c r="H2066">
        <f>IF(A2066&lt;=NWeeks,1,0)</f>
        <v/>
      </c>
      <c r="I2066">
        <f>INDEX(ChLaunch,MATCH(E2066,ChName,0))</f>
        <v/>
      </c>
      <c r="J2066">
        <f>INDEX(ChWeeksFull,MATCH(E2066,ChName,0))</f>
        <v/>
      </c>
      <c r="K2066">
        <f>INDEX(ChRamp,MATCH(E2066,ChName,0))</f>
        <v/>
      </c>
      <c r="L2066" s="45">
        <f>MIN(1,MAX(0,(A2066-I2066+1)*RampSpeed/J2066))</f>
        <v/>
      </c>
      <c r="M2066" s="45">
        <f>IF(A2066&lt;I2066,0,IF(K2066="S-curve",L2066*L2066*(3-2*L2066),L2066))</f>
        <v/>
      </c>
      <c r="N2066" s="45">
        <f>1+(INDEX(SeasonIdx,A2066)-1)*SeasonAmp</f>
        <v/>
      </c>
      <c r="O2066" s="45">
        <f>IFERROR(INDEX(PSPct,MATCH(E2066&amp;"|"&amp;G2066,PSKey,0)),0)</f>
        <v/>
      </c>
      <c r="P2066" s="46">
        <f>INDEX(ChDoorVel,MATCH(E2066,ChName,0))*CalibScalar*(1+VelocityUplift)</f>
        <v/>
      </c>
      <c r="Q2066" s="46" t="n">
        <v>0</v>
      </c>
      <c r="R2066" s="46">
        <f>P2066*O2066*M2066*N2066*H2066</f>
        <v/>
      </c>
      <c r="S2066" s="46">
        <f>R2066*INDEX(FmtCansPerCase,MATCH(F2066,FmtName,0))</f>
        <v/>
      </c>
      <c r="T2066" s="46">
        <f>S2066/INDEX(FmtCansPerPack,MATCH(F2066,FmtName,0))</f>
        <v/>
      </c>
      <c r="U2066" s="47">
        <f>INDEX(ChBaseCP,MATCH(E2066,ChName,0))*(1+INDEX(ProvMod,MATCH(G2066,ProvCode,0)))*(1+PriceIndex)</f>
        <v/>
      </c>
      <c r="V2066" s="47">
        <f>R2066*U2066*INDEX(FmtBlendedPriceIdx,MATCH(F2066,FmtName,0))</f>
        <v/>
      </c>
      <c r="W2066" s="47">
        <f>T2066*INDEX(ProvSRP,MATCH(G2066,ProvCode,0))*(1+PriceIndex)</f>
        <v/>
      </c>
      <c r="X2066" s="47">
        <f>IF(GrossBasis="Wholesale",V2066,W2066)</f>
        <v/>
      </c>
      <c r="Y2066" s="47">
        <f>R2066*INDEX(FmtBlendedCogs,MATCH(F2066,FmtName,0))</f>
        <v/>
      </c>
      <c r="Z2066" s="47">
        <f>X2066-Y2066</f>
        <v/>
      </c>
    </row>
    <row r="2067">
      <c r="A2067" t="n">
        <v>52</v>
      </c>
      <c r="B2067" s="44">
        <f>FiscalStart+(A2067-1)*7</f>
        <v/>
      </c>
      <c r="C2067">
        <f>TEXT(B2067,"mmm yyyy")</f>
        <v/>
      </c>
      <c r="D2067">
        <f>"Q"&amp;(INT((A2067-1)/13)+1)</f>
        <v/>
      </c>
      <c r="E2067" t="inlineStr">
        <is>
          <t>Costco</t>
        </is>
      </c>
      <c r="F2067">
        <f>IFERROR(INDEX(ChFormat,MATCH(E2067,ChName,0)),"")</f>
        <v/>
      </c>
      <c r="G2067" t="inlineStr">
        <is>
          <t>PE</t>
        </is>
      </c>
      <c r="H2067">
        <f>IF(A2067&lt;=NWeeks,1,0)</f>
        <v/>
      </c>
      <c r="I2067">
        <f>INDEX(ChLaunch,MATCH(E2067,ChName,0))</f>
        <v/>
      </c>
      <c r="J2067">
        <f>INDEX(ChWeeksFull,MATCH(E2067,ChName,0))</f>
        <v/>
      </c>
      <c r="K2067">
        <f>INDEX(ChRamp,MATCH(E2067,ChName,0))</f>
        <v/>
      </c>
      <c r="L2067" s="45">
        <f>MIN(1,MAX(0,(A2067-I2067+1)*RampSpeed/J2067))</f>
        <v/>
      </c>
      <c r="M2067" s="45">
        <f>IF(A2067&lt;I2067,0,IF(K2067="S-curve",L2067*L2067*(3-2*L2067),L2067))</f>
        <v/>
      </c>
      <c r="N2067" s="45">
        <f>1+(INDEX(SeasonIdx,A2067)-1)*SeasonAmp</f>
        <v/>
      </c>
      <c r="O2067" s="45">
        <f>IFERROR(INDEX(PSPct,MATCH(E2067&amp;"|"&amp;G2067,PSKey,0)),0)</f>
        <v/>
      </c>
      <c r="P2067" s="46">
        <f>INDEX(ChDoorVel,MATCH(E2067,ChName,0))*CalibScalar*(1+VelocityUplift)</f>
        <v/>
      </c>
      <c r="Q2067" s="46" t="n">
        <v>0</v>
      </c>
      <c r="R2067" s="46">
        <f>P2067*O2067*M2067*N2067*H2067</f>
        <v/>
      </c>
      <c r="S2067" s="46">
        <f>R2067*INDEX(FmtCansPerCase,MATCH(F2067,FmtName,0))</f>
        <v/>
      </c>
      <c r="T2067" s="46">
        <f>S2067/INDEX(FmtCansPerPack,MATCH(F2067,FmtName,0))</f>
        <v/>
      </c>
      <c r="U2067" s="47">
        <f>INDEX(ChBaseCP,MATCH(E2067,ChName,0))*(1+INDEX(ProvMod,MATCH(G2067,ProvCode,0)))*(1+PriceIndex)</f>
        <v/>
      </c>
      <c r="V2067" s="47">
        <f>R2067*U2067*INDEX(FmtBlendedPriceIdx,MATCH(F2067,FmtName,0))</f>
        <v/>
      </c>
      <c r="W2067" s="47">
        <f>T2067*INDEX(ProvSRP,MATCH(G2067,ProvCode,0))*(1+PriceIndex)</f>
        <v/>
      </c>
      <c r="X2067" s="47">
        <f>IF(GrossBasis="Wholesale",V2067,W2067)</f>
        <v/>
      </c>
      <c r="Y2067" s="47">
        <f>R2067*INDEX(FmtBlendedCogs,MATCH(F2067,FmtName,0))</f>
        <v/>
      </c>
      <c r="Z2067" s="47">
        <f>X2067-Y2067</f>
        <v/>
      </c>
    </row>
    <row r="2068">
      <c r="A2068" t="n">
        <v>53</v>
      </c>
      <c r="B2068" s="44">
        <f>FiscalStart+(A2068-1)*7</f>
        <v/>
      </c>
      <c r="C2068">
        <f>TEXT(B2068,"mmm yyyy")</f>
        <v/>
      </c>
      <c r="D2068">
        <f>"Q"&amp;(INT((A2068-1)/13)+1)</f>
        <v/>
      </c>
      <c r="E2068" t="inlineStr">
        <is>
          <t>Costco</t>
        </is>
      </c>
      <c r="F2068">
        <f>IFERROR(INDEX(ChFormat,MATCH(E2068,ChName,0)),"")</f>
        <v/>
      </c>
      <c r="G2068" t="inlineStr">
        <is>
          <t>PE</t>
        </is>
      </c>
      <c r="H2068">
        <f>IF(A2068&lt;=NWeeks,1,0)</f>
        <v/>
      </c>
      <c r="I2068">
        <f>INDEX(ChLaunch,MATCH(E2068,ChName,0))</f>
        <v/>
      </c>
      <c r="J2068">
        <f>INDEX(ChWeeksFull,MATCH(E2068,ChName,0))</f>
        <v/>
      </c>
      <c r="K2068">
        <f>INDEX(ChRamp,MATCH(E2068,ChName,0))</f>
        <v/>
      </c>
      <c r="L2068" s="45">
        <f>MIN(1,MAX(0,(A2068-I2068+1)*RampSpeed/J2068))</f>
        <v/>
      </c>
      <c r="M2068" s="45">
        <f>IF(A2068&lt;I2068,0,IF(K2068="S-curve",L2068*L2068*(3-2*L2068),L2068))</f>
        <v/>
      </c>
      <c r="N2068" s="45">
        <f>1+(INDEX(SeasonIdx,A2068)-1)*SeasonAmp</f>
        <v/>
      </c>
      <c r="O2068" s="45">
        <f>IFERROR(INDEX(PSPct,MATCH(E2068&amp;"|"&amp;G2068,PSKey,0)),0)</f>
        <v/>
      </c>
      <c r="P2068" s="46">
        <f>INDEX(ChDoorVel,MATCH(E2068,ChName,0))*CalibScalar*(1+VelocityUplift)</f>
        <v/>
      </c>
      <c r="Q2068" s="46" t="n">
        <v>0</v>
      </c>
      <c r="R2068" s="46">
        <f>P2068*O2068*M2068*N2068*H2068</f>
        <v/>
      </c>
      <c r="S2068" s="46">
        <f>R2068*INDEX(FmtCansPerCase,MATCH(F2068,FmtName,0))</f>
        <v/>
      </c>
      <c r="T2068" s="46">
        <f>S2068/INDEX(FmtCansPerPack,MATCH(F2068,FmtName,0))</f>
        <v/>
      </c>
      <c r="U2068" s="47">
        <f>INDEX(ChBaseCP,MATCH(E2068,ChName,0))*(1+INDEX(ProvMod,MATCH(G2068,ProvCode,0)))*(1+PriceIndex)</f>
        <v/>
      </c>
      <c r="V2068" s="47">
        <f>R2068*U2068*INDEX(FmtBlendedPriceIdx,MATCH(F2068,FmtName,0))</f>
        <v/>
      </c>
      <c r="W2068" s="47">
        <f>T2068*INDEX(ProvSRP,MATCH(G2068,ProvCode,0))*(1+PriceIndex)</f>
        <v/>
      </c>
      <c r="X2068" s="47">
        <f>IF(GrossBasis="Wholesale",V2068,W2068)</f>
        <v/>
      </c>
      <c r="Y2068" s="47">
        <f>R2068*INDEX(FmtBlendedCogs,MATCH(F2068,FmtName,0))</f>
        <v/>
      </c>
      <c r="Z2068" s="47">
        <f>X2068-Y2068</f>
        <v/>
      </c>
    </row>
    <row r="2069">
      <c r="A2069" t="n">
        <v>1</v>
      </c>
      <c r="B2069" s="44">
        <f>FiscalStart+(A2069-1)*7</f>
        <v/>
      </c>
      <c r="C2069">
        <f>TEXT(B2069,"mmm yyyy")</f>
        <v/>
      </c>
      <c r="D2069">
        <f>"Q"&amp;(INT((A2069-1)/13)+1)</f>
        <v/>
      </c>
      <c r="E2069" t="inlineStr">
        <is>
          <t>Costco</t>
        </is>
      </c>
      <c r="F2069">
        <f>IFERROR(INDEX(ChFormat,MATCH(E2069,ChName,0)),"")</f>
        <v/>
      </c>
      <c r="G2069" t="inlineStr">
        <is>
          <t>NL</t>
        </is>
      </c>
      <c r="H2069">
        <f>IF(A2069&lt;=NWeeks,1,0)</f>
        <v/>
      </c>
      <c r="I2069">
        <f>INDEX(ChLaunch,MATCH(E2069,ChName,0))</f>
        <v/>
      </c>
      <c r="J2069">
        <f>INDEX(ChWeeksFull,MATCH(E2069,ChName,0))</f>
        <v/>
      </c>
      <c r="K2069">
        <f>INDEX(ChRamp,MATCH(E2069,ChName,0))</f>
        <v/>
      </c>
      <c r="L2069" s="45">
        <f>MIN(1,MAX(0,(A2069-I2069+1)*RampSpeed/J2069))</f>
        <v/>
      </c>
      <c r="M2069" s="45">
        <f>IF(A2069&lt;I2069,0,IF(K2069="S-curve",L2069*L2069*(3-2*L2069),L2069))</f>
        <v/>
      </c>
      <c r="N2069" s="45">
        <f>1+(INDEX(SeasonIdx,A2069)-1)*SeasonAmp</f>
        <v/>
      </c>
      <c r="O2069" s="45">
        <f>IFERROR(INDEX(PSPct,MATCH(E2069&amp;"|"&amp;G2069,PSKey,0)),0)</f>
        <v/>
      </c>
      <c r="P2069" s="46">
        <f>INDEX(ChDoorVel,MATCH(E2069,ChName,0))*CalibScalar*(1+VelocityUplift)</f>
        <v/>
      </c>
      <c r="Q2069" s="46" t="n">
        <v>0</v>
      </c>
      <c r="R2069" s="46">
        <f>P2069*O2069*M2069*N2069*H2069</f>
        <v/>
      </c>
      <c r="S2069" s="46">
        <f>R2069*INDEX(FmtCansPerCase,MATCH(F2069,FmtName,0))</f>
        <v/>
      </c>
      <c r="T2069" s="46">
        <f>S2069/INDEX(FmtCansPerPack,MATCH(F2069,FmtName,0))</f>
        <v/>
      </c>
      <c r="U2069" s="47">
        <f>INDEX(ChBaseCP,MATCH(E2069,ChName,0))*(1+INDEX(ProvMod,MATCH(G2069,ProvCode,0)))*(1+PriceIndex)</f>
        <v/>
      </c>
      <c r="V2069" s="47">
        <f>R2069*U2069*INDEX(FmtBlendedPriceIdx,MATCH(F2069,FmtName,0))</f>
        <v/>
      </c>
      <c r="W2069" s="47">
        <f>T2069*INDEX(ProvSRP,MATCH(G2069,ProvCode,0))*(1+PriceIndex)</f>
        <v/>
      </c>
      <c r="X2069" s="47">
        <f>IF(GrossBasis="Wholesale",V2069,W2069)</f>
        <v/>
      </c>
      <c r="Y2069" s="47">
        <f>R2069*INDEX(FmtBlendedCogs,MATCH(F2069,FmtName,0))</f>
        <v/>
      </c>
      <c r="Z2069" s="47">
        <f>X2069-Y2069</f>
        <v/>
      </c>
    </row>
    <row r="2070">
      <c r="A2070" t="n">
        <v>2</v>
      </c>
      <c r="B2070" s="44">
        <f>FiscalStart+(A2070-1)*7</f>
        <v/>
      </c>
      <c r="C2070">
        <f>TEXT(B2070,"mmm yyyy")</f>
        <v/>
      </c>
      <c r="D2070">
        <f>"Q"&amp;(INT((A2070-1)/13)+1)</f>
        <v/>
      </c>
      <c r="E2070" t="inlineStr">
        <is>
          <t>Costco</t>
        </is>
      </c>
      <c r="F2070">
        <f>IFERROR(INDEX(ChFormat,MATCH(E2070,ChName,0)),"")</f>
        <v/>
      </c>
      <c r="G2070" t="inlineStr">
        <is>
          <t>NL</t>
        </is>
      </c>
      <c r="H2070">
        <f>IF(A2070&lt;=NWeeks,1,0)</f>
        <v/>
      </c>
      <c r="I2070">
        <f>INDEX(ChLaunch,MATCH(E2070,ChName,0))</f>
        <v/>
      </c>
      <c r="J2070">
        <f>INDEX(ChWeeksFull,MATCH(E2070,ChName,0))</f>
        <v/>
      </c>
      <c r="K2070">
        <f>INDEX(ChRamp,MATCH(E2070,ChName,0))</f>
        <v/>
      </c>
      <c r="L2070" s="45">
        <f>MIN(1,MAX(0,(A2070-I2070+1)*RampSpeed/J2070))</f>
        <v/>
      </c>
      <c r="M2070" s="45">
        <f>IF(A2070&lt;I2070,0,IF(K2070="S-curve",L2070*L2070*(3-2*L2070),L2070))</f>
        <v/>
      </c>
      <c r="N2070" s="45">
        <f>1+(INDEX(SeasonIdx,A2070)-1)*SeasonAmp</f>
        <v/>
      </c>
      <c r="O2070" s="45">
        <f>IFERROR(INDEX(PSPct,MATCH(E2070&amp;"|"&amp;G2070,PSKey,0)),0)</f>
        <v/>
      </c>
      <c r="P2070" s="46">
        <f>INDEX(ChDoorVel,MATCH(E2070,ChName,0))*CalibScalar*(1+VelocityUplift)</f>
        <v/>
      </c>
      <c r="Q2070" s="46" t="n">
        <v>0</v>
      </c>
      <c r="R2070" s="46">
        <f>P2070*O2070*M2070*N2070*H2070</f>
        <v/>
      </c>
      <c r="S2070" s="46">
        <f>R2070*INDEX(FmtCansPerCase,MATCH(F2070,FmtName,0))</f>
        <v/>
      </c>
      <c r="T2070" s="46">
        <f>S2070/INDEX(FmtCansPerPack,MATCH(F2070,FmtName,0))</f>
        <v/>
      </c>
      <c r="U2070" s="47">
        <f>INDEX(ChBaseCP,MATCH(E2070,ChName,0))*(1+INDEX(ProvMod,MATCH(G2070,ProvCode,0)))*(1+PriceIndex)</f>
        <v/>
      </c>
      <c r="V2070" s="47">
        <f>R2070*U2070*INDEX(FmtBlendedPriceIdx,MATCH(F2070,FmtName,0))</f>
        <v/>
      </c>
      <c r="W2070" s="47">
        <f>T2070*INDEX(ProvSRP,MATCH(G2070,ProvCode,0))*(1+PriceIndex)</f>
        <v/>
      </c>
      <c r="X2070" s="47">
        <f>IF(GrossBasis="Wholesale",V2070,W2070)</f>
        <v/>
      </c>
      <c r="Y2070" s="47">
        <f>R2070*INDEX(FmtBlendedCogs,MATCH(F2070,FmtName,0))</f>
        <v/>
      </c>
      <c r="Z2070" s="47">
        <f>X2070-Y2070</f>
        <v/>
      </c>
    </row>
    <row r="2071">
      <c r="A2071" t="n">
        <v>3</v>
      </c>
      <c r="B2071" s="44">
        <f>FiscalStart+(A2071-1)*7</f>
        <v/>
      </c>
      <c r="C2071">
        <f>TEXT(B2071,"mmm yyyy")</f>
        <v/>
      </c>
      <c r="D2071">
        <f>"Q"&amp;(INT((A2071-1)/13)+1)</f>
        <v/>
      </c>
      <c r="E2071" t="inlineStr">
        <is>
          <t>Costco</t>
        </is>
      </c>
      <c r="F2071">
        <f>IFERROR(INDEX(ChFormat,MATCH(E2071,ChName,0)),"")</f>
        <v/>
      </c>
      <c r="G2071" t="inlineStr">
        <is>
          <t>NL</t>
        </is>
      </c>
      <c r="H2071">
        <f>IF(A2071&lt;=NWeeks,1,0)</f>
        <v/>
      </c>
      <c r="I2071">
        <f>INDEX(ChLaunch,MATCH(E2071,ChName,0))</f>
        <v/>
      </c>
      <c r="J2071">
        <f>INDEX(ChWeeksFull,MATCH(E2071,ChName,0))</f>
        <v/>
      </c>
      <c r="K2071">
        <f>INDEX(ChRamp,MATCH(E2071,ChName,0))</f>
        <v/>
      </c>
      <c r="L2071" s="45">
        <f>MIN(1,MAX(0,(A2071-I2071+1)*RampSpeed/J2071))</f>
        <v/>
      </c>
      <c r="M2071" s="45">
        <f>IF(A2071&lt;I2071,0,IF(K2071="S-curve",L2071*L2071*(3-2*L2071),L2071))</f>
        <v/>
      </c>
      <c r="N2071" s="45">
        <f>1+(INDEX(SeasonIdx,A2071)-1)*SeasonAmp</f>
        <v/>
      </c>
      <c r="O2071" s="45">
        <f>IFERROR(INDEX(PSPct,MATCH(E2071&amp;"|"&amp;G2071,PSKey,0)),0)</f>
        <v/>
      </c>
      <c r="P2071" s="46">
        <f>INDEX(ChDoorVel,MATCH(E2071,ChName,0))*CalibScalar*(1+VelocityUplift)</f>
        <v/>
      </c>
      <c r="Q2071" s="46" t="n">
        <v>0</v>
      </c>
      <c r="R2071" s="46">
        <f>P2071*O2071*M2071*N2071*H2071</f>
        <v/>
      </c>
      <c r="S2071" s="46">
        <f>R2071*INDEX(FmtCansPerCase,MATCH(F2071,FmtName,0))</f>
        <v/>
      </c>
      <c r="T2071" s="46">
        <f>S2071/INDEX(FmtCansPerPack,MATCH(F2071,FmtName,0))</f>
        <v/>
      </c>
      <c r="U2071" s="47">
        <f>INDEX(ChBaseCP,MATCH(E2071,ChName,0))*(1+INDEX(ProvMod,MATCH(G2071,ProvCode,0)))*(1+PriceIndex)</f>
        <v/>
      </c>
      <c r="V2071" s="47">
        <f>R2071*U2071*INDEX(FmtBlendedPriceIdx,MATCH(F2071,FmtName,0))</f>
        <v/>
      </c>
      <c r="W2071" s="47">
        <f>T2071*INDEX(ProvSRP,MATCH(G2071,ProvCode,0))*(1+PriceIndex)</f>
        <v/>
      </c>
      <c r="X2071" s="47">
        <f>IF(GrossBasis="Wholesale",V2071,W2071)</f>
        <v/>
      </c>
      <c r="Y2071" s="47">
        <f>R2071*INDEX(FmtBlendedCogs,MATCH(F2071,FmtName,0))</f>
        <v/>
      </c>
      <c r="Z2071" s="47">
        <f>X2071-Y2071</f>
        <v/>
      </c>
    </row>
    <row r="2072">
      <c r="A2072" t="n">
        <v>4</v>
      </c>
      <c r="B2072" s="44">
        <f>FiscalStart+(A2072-1)*7</f>
        <v/>
      </c>
      <c r="C2072">
        <f>TEXT(B2072,"mmm yyyy")</f>
        <v/>
      </c>
      <c r="D2072">
        <f>"Q"&amp;(INT((A2072-1)/13)+1)</f>
        <v/>
      </c>
      <c r="E2072" t="inlineStr">
        <is>
          <t>Costco</t>
        </is>
      </c>
      <c r="F2072">
        <f>IFERROR(INDEX(ChFormat,MATCH(E2072,ChName,0)),"")</f>
        <v/>
      </c>
      <c r="G2072" t="inlineStr">
        <is>
          <t>NL</t>
        </is>
      </c>
      <c r="H2072">
        <f>IF(A2072&lt;=NWeeks,1,0)</f>
        <v/>
      </c>
      <c r="I2072">
        <f>INDEX(ChLaunch,MATCH(E2072,ChName,0))</f>
        <v/>
      </c>
      <c r="J2072">
        <f>INDEX(ChWeeksFull,MATCH(E2072,ChName,0))</f>
        <v/>
      </c>
      <c r="K2072">
        <f>INDEX(ChRamp,MATCH(E2072,ChName,0))</f>
        <v/>
      </c>
      <c r="L2072" s="45">
        <f>MIN(1,MAX(0,(A2072-I2072+1)*RampSpeed/J2072))</f>
        <v/>
      </c>
      <c r="M2072" s="45">
        <f>IF(A2072&lt;I2072,0,IF(K2072="S-curve",L2072*L2072*(3-2*L2072),L2072))</f>
        <v/>
      </c>
      <c r="N2072" s="45">
        <f>1+(INDEX(SeasonIdx,A2072)-1)*SeasonAmp</f>
        <v/>
      </c>
      <c r="O2072" s="45">
        <f>IFERROR(INDEX(PSPct,MATCH(E2072&amp;"|"&amp;G2072,PSKey,0)),0)</f>
        <v/>
      </c>
      <c r="P2072" s="46">
        <f>INDEX(ChDoorVel,MATCH(E2072,ChName,0))*CalibScalar*(1+VelocityUplift)</f>
        <v/>
      </c>
      <c r="Q2072" s="46" t="n">
        <v>0</v>
      </c>
      <c r="R2072" s="46">
        <f>P2072*O2072*M2072*N2072*H2072</f>
        <v/>
      </c>
      <c r="S2072" s="46">
        <f>R2072*INDEX(FmtCansPerCase,MATCH(F2072,FmtName,0))</f>
        <v/>
      </c>
      <c r="T2072" s="46">
        <f>S2072/INDEX(FmtCansPerPack,MATCH(F2072,FmtName,0))</f>
        <v/>
      </c>
      <c r="U2072" s="47">
        <f>INDEX(ChBaseCP,MATCH(E2072,ChName,0))*(1+INDEX(ProvMod,MATCH(G2072,ProvCode,0)))*(1+PriceIndex)</f>
        <v/>
      </c>
      <c r="V2072" s="47">
        <f>R2072*U2072*INDEX(FmtBlendedPriceIdx,MATCH(F2072,FmtName,0))</f>
        <v/>
      </c>
      <c r="W2072" s="47">
        <f>T2072*INDEX(ProvSRP,MATCH(G2072,ProvCode,0))*(1+PriceIndex)</f>
        <v/>
      </c>
      <c r="X2072" s="47">
        <f>IF(GrossBasis="Wholesale",V2072,W2072)</f>
        <v/>
      </c>
      <c r="Y2072" s="47">
        <f>R2072*INDEX(FmtBlendedCogs,MATCH(F2072,FmtName,0))</f>
        <v/>
      </c>
      <c r="Z2072" s="47">
        <f>X2072-Y2072</f>
        <v/>
      </c>
    </row>
    <row r="2073">
      <c r="A2073" t="n">
        <v>5</v>
      </c>
      <c r="B2073" s="44">
        <f>FiscalStart+(A2073-1)*7</f>
        <v/>
      </c>
      <c r="C2073">
        <f>TEXT(B2073,"mmm yyyy")</f>
        <v/>
      </c>
      <c r="D2073">
        <f>"Q"&amp;(INT((A2073-1)/13)+1)</f>
        <v/>
      </c>
      <c r="E2073" t="inlineStr">
        <is>
          <t>Costco</t>
        </is>
      </c>
      <c r="F2073">
        <f>IFERROR(INDEX(ChFormat,MATCH(E2073,ChName,0)),"")</f>
        <v/>
      </c>
      <c r="G2073" t="inlineStr">
        <is>
          <t>NL</t>
        </is>
      </c>
      <c r="H2073">
        <f>IF(A2073&lt;=NWeeks,1,0)</f>
        <v/>
      </c>
      <c r="I2073">
        <f>INDEX(ChLaunch,MATCH(E2073,ChName,0))</f>
        <v/>
      </c>
      <c r="J2073">
        <f>INDEX(ChWeeksFull,MATCH(E2073,ChName,0))</f>
        <v/>
      </c>
      <c r="K2073">
        <f>INDEX(ChRamp,MATCH(E2073,ChName,0))</f>
        <v/>
      </c>
      <c r="L2073" s="45">
        <f>MIN(1,MAX(0,(A2073-I2073+1)*RampSpeed/J2073))</f>
        <v/>
      </c>
      <c r="M2073" s="45">
        <f>IF(A2073&lt;I2073,0,IF(K2073="S-curve",L2073*L2073*(3-2*L2073),L2073))</f>
        <v/>
      </c>
      <c r="N2073" s="45">
        <f>1+(INDEX(SeasonIdx,A2073)-1)*SeasonAmp</f>
        <v/>
      </c>
      <c r="O2073" s="45">
        <f>IFERROR(INDEX(PSPct,MATCH(E2073&amp;"|"&amp;G2073,PSKey,0)),0)</f>
        <v/>
      </c>
      <c r="P2073" s="46">
        <f>INDEX(ChDoorVel,MATCH(E2073,ChName,0))*CalibScalar*(1+VelocityUplift)</f>
        <v/>
      </c>
      <c r="Q2073" s="46" t="n">
        <v>0</v>
      </c>
      <c r="R2073" s="46">
        <f>P2073*O2073*M2073*N2073*H2073</f>
        <v/>
      </c>
      <c r="S2073" s="46">
        <f>R2073*INDEX(FmtCansPerCase,MATCH(F2073,FmtName,0))</f>
        <v/>
      </c>
      <c r="T2073" s="46">
        <f>S2073/INDEX(FmtCansPerPack,MATCH(F2073,FmtName,0))</f>
        <v/>
      </c>
      <c r="U2073" s="47">
        <f>INDEX(ChBaseCP,MATCH(E2073,ChName,0))*(1+INDEX(ProvMod,MATCH(G2073,ProvCode,0)))*(1+PriceIndex)</f>
        <v/>
      </c>
      <c r="V2073" s="47">
        <f>R2073*U2073*INDEX(FmtBlendedPriceIdx,MATCH(F2073,FmtName,0))</f>
        <v/>
      </c>
      <c r="W2073" s="47">
        <f>T2073*INDEX(ProvSRP,MATCH(G2073,ProvCode,0))*(1+PriceIndex)</f>
        <v/>
      </c>
      <c r="X2073" s="47">
        <f>IF(GrossBasis="Wholesale",V2073,W2073)</f>
        <v/>
      </c>
      <c r="Y2073" s="47">
        <f>R2073*INDEX(FmtBlendedCogs,MATCH(F2073,FmtName,0))</f>
        <v/>
      </c>
      <c r="Z2073" s="47">
        <f>X2073-Y2073</f>
        <v/>
      </c>
    </row>
    <row r="2074">
      <c r="A2074" t="n">
        <v>6</v>
      </c>
      <c r="B2074" s="44">
        <f>FiscalStart+(A2074-1)*7</f>
        <v/>
      </c>
      <c r="C2074">
        <f>TEXT(B2074,"mmm yyyy")</f>
        <v/>
      </c>
      <c r="D2074">
        <f>"Q"&amp;(INT((A2074-1)/13)+1)</f>
        <v/>
      </c>
      <c r="E2074" t="inlineStr">
        <is>
          <t>Costco</t>
        </is>
      </c>
      <c r="F2074">
        <f>IFERROR(INDEX(ChFormat,MATCH(E2074,ChName,0)),"")</f>
        <v/>
      </c>
      <c r="G2074" t="inlineStr">
        <is>
          <t>NL</t>
        </is>
      </c>
      <c r="H2074">
        <f>IF(A2074&lt;=NWeeks,1,0)</f>
        <v/>
      </c>
      <c r="I2074">
        <f>INDEX(ChLaunch,MATCH(E2074,ChName,0))</f>
        <v/>
      </c>
      <c r="J2074">
        <f>INDEX(ChWeeksFull,MATCH(E2074,ChName,0))</f>
        <v/>
      </c>
      <c r="K2074">
        <f>INDEX(ChRamp,MATCH(E2074,ChName,0))</f>
        <v/>
      </c>
      <c r="L2074" s="45">
        <f>MIN(1,MAX(0,(A2074-I2074+1)*RampSpeed/J2074))</f>
        <v/>
      </c>
      <c r="M2074" s="45">
        <f>IF(A2074&lt;I2074,0,IF(K2074="S-curve",L2074*L2074*(3-2*L2074),L2074))</f>
        <v/>
      </c>
      <c r="N2074" s="45">
        <f>1+(INDEX(SeasonIdx,A2074)-1)*SeasonAmp</f>
        <v/>
      </c>
      <c r="O2074" s="45">
        <f>IFERROR(INDEX(PSPct,MATCH(E2074&amp;"|"&amp;G2074,PSKey,0)),0)</f>
        <v/>
      </c>
      <c r="P2074" s="46">
        <f>INDEX(ChDoorVel,MATCH(E2074,ChName,0))*CalibScalar*(1+VelocityUplift)</f>
        <v/>
      </c>
      <c r="Q2074" s="46" t="n">
        <v>0</v>
      </c>
      <c r="R2074" s="46">
        <f>P2074*O2074*M2074*N2074*H2074</f>
        <v/>
      </c>
      <c r="S2074" s="46">
        <f>R2074*INDEX(FmtCansPerCase,MATCH(F2074,FmtName,0))</f>
        <v/>
      </c>
      <c r="T2074" s="46">
        <f>S2074/INDEX(FmtCansPerPack,MATCH(F2074,FmtName,0))</f>
        <v/>
      </c>
      <c r="U2074" s="47">
        <f>INDEX(ChBaseCP,MATCH(E2074,ChName,0))*(1+INDEX(ProvMod,MATCH(G2074,ProvCode,0)))*(1+PriceIndex)</f>
        <v/>
      </c>
      <c r="V2074" s="47">
        <f>R2074*U2074*INDEX(FmtBlendedPriceIdx,MATCH(F2074,FmtName,0))</f>
        <v/>
      </c>
      <c r="W2074" s="47">
        <f>T2074*INDEX(ProvSRP,MATCH(G2074,ProvCode,0))*(1+PriceIndex)</f>
        <v/>
      </c>
      <c r="X2074" s="47">
        <f>IF(GrossBasis="Wholesale",V2074,W2074)</f>
        <v/>
      </c>
      <c r="Y2074" s="47">
        <f>R2074*INDEX(FmtBlendedCogs,MATCH(F2074,FmtName,0))</f>
        <v/>
      </c>
      <c r="Z2074" s="47">
        <f>X2074-Y2074</f>
        <v/>
      </c>
    </row>
    <row r="2075">
      <c r="A2075" t="n">
        <v>7</v>
      </c>
      <c r="B2075" s="44">
        <f>FiscalStart+(A2075-1)*7</f>
        <v/>
      </c>
      <c r="C2075">
        <f>TEXT(B2075,"mmm yyyy")</f>
        <v/>
      </c>
      <c r="D2075">
        <f>"Q"&amp;(INT((A2075-1)/13)+1)</f>
        <v/>
      </c>
      <c r="E2075" t="inlineStr">
        <is>
          <t>Costco</t>
        </is>
      </c>
      <c r="F2075">
        <f>IFERROR(INDEX(ChFormat,MATCH(E2075,ChName,0)),"")</f>
        <v/>
      </c>
      <c r="G2075" t="inlineStr">
        <is>
          <t>NL</t>
        </is>
      </c>
      <c r="H2075">
        <f>IF(A2075&lt;=NWeeks,1,0)</f>
        <v/>
      </c>
      <c r="I2075">
        <f>INDEX(ChLaunch,MATCH(E2075,ChName,0))</f>
        <v/>
      </c>
      <c r="J2075">
        <f>INDEX(ChWeeksFull,MATCH(E2075,ChName,0))</f>
        <v/>
      </c>
      <c r="K2075">
        <f>INDEX(ChRamp,MATCH(E2075,ChName,0))</f>
        <v/>
      </c>
      <c r="L2075" s="45">
        <f>MIN(1,MAX(0,(A2075-I2075+1)*RampSpeed/J2075))</f>
        <v/>
      </c>
      <c r="M2075" s="45">
        <f>IF(A2075&lt;I2075,0,IF(K2075="S-curve",L2075*L2075*(3-2*L2075),L2075))</f>
        <v/>
      </c>
      <c r="N2075" s="45">
        <f>1+(INDEX(SeasonIdx,A2075)-1)*SeasonAmp</f>
        <v/>
      </c>
      <c r="O2075" s="45">
        <f>IFERROR(INDEX(PSPct,MATCH(E2075&amp;"|"&amp;G2075,PSKey,0)),0)</f>
        <v/>
      </c>
      <c r="P2075" s="46">
        <f>INDEX(ChDoorVel,MATCH(E2075,ChName,0))*CalibScalar*(1+VelocityUplift)</f>
        <v/>
      </c>
      <c r="Q2075" s="46" t="n">
        <v>0</v>
      </c>
      <c r="R2075" s="46">
        <f>P2075*O2075*M2075*N2075*H2075</f>
        <v/>
      </c>
      <c r="S2075" s="46">
        <f>R2075*INDEX(FmtCansPerCase,MATCH(F2075,FmtName,0))</f>
        <v/>
      </c>
      <c r="T2075" s="46">
        <f>S2075/INDEX(FmtCansPerPack,MATCH(F2075,FmtName,0))</f>
        <v/>
      </c>
      <c r="U2075" s="47">
        <f>INDEX(ChBaseCP,MATCH(E2075,ChName,0))*(1+INDEX(ProvMod,MATCH(G2075,ProvCode,0)))*(1+PriceIndex)</f>
        <v/>
      </c>
      <c r="V2075" s="47">
        <f>R2075*U2075*INDEX(FmtBlendedPriceIdx,MATCH(F2075,FmtName,0))</f>
        <v/>
      </c>
      <c r="W2075" s="47">
        <f>T2075*INDEX(ProvSRP,MATCH(G2075,ProvCode,0))*(1+PriceIndex)</f>
        <v/>
      </c>
      <c r="X2075" s="47">
        <f>IF(GrossBasis="Wholesale",V2075,W2075)</f>
        <v/>
      </c>
      <c r="Y2075" s="47">
        <f>R2075*INDEX(FmtBlendedCogs,MATCH(F2075,FmtName,0))</f>
        <v/>
      </c>
      <c r="Z2075" s="47">
        <f>X2075-Y2075</f>
        <v/>
      </c>
    </row>
    <row r="2076">
      <c r="A2076" t="n">
        <v>8</v>
      </c>
      <c r="B2076" s="44">
        <f>FiscalStart+(A2076-1)*7</f>
        <v/>
      </c>
      <c r="C2076">
        <f>TEXT(B2076,"mmm yyyy")</f>
        <v/>
      </c>
      <c r="D2076">
        <f>"Q"&amp;(INT((A2076-1)/13)+1)</f>
        <v/>
      </c>
      <c r="E2076" t="inlineStr">
        <is>
          <t>Costco</t>
        </is>
      </c>
      <c r="F2076">
        <f>IFERROR(INDEX(ChFormat,MATCH(E2076,ChName,0)),"")</f>
        <v/>
      </c>
      <c r="G2076" t="inlineStr">
        <is>
          <t>NL</t>
        </is>
      </c>
      <c r="H2076">
        <f>IF(A2076&lt;=NWeeks,1,0)</f>
        <v/>
      </c>
      <c r="I2076">
        <f>INDEX(ChLaunch,MATCH(E2076,ChName,0))</f>
        <v/>
      </c>
      <c r="J2076">
        <f>INDEX(ChWeeksFull,MATCH(E2076,ChName,0))</f>
        <v/>
      </c>
      <c r="K2076">
        <f>INDEX(ChRamp,MATCH(E2076,ChName,0))</f>
        <v/>
      </c>
      <c r="L2076" s="45">
        <f>MIN(1,MAX(0,(A2076-I2076+1)*RampSpeed/J2076))</f>
        <v/>
      </c>
      <c r="M2076" s="45">
        <f>IF(A2076&lt;I2076,0,IF(K2076="S-curve",L2076*L2076*(3-2*L2076),L2076))</f>
        <v/>
      </c>
      <c r="N2076" s="45">
        <f>1+(INDEX(SeasonIdx,A2076)-1)*SeasonAmp</f>
        <v/>
      </c>
      <c r="O2076" s="45">
        <f>IFERROR(INDEX(PSPct,MATCH(E2076&amp;"|"&amp;G2076,PSKey,0)),0)</f>
        <v/>
      </c>
      <c r="P2076" s="46">
        <f>INDEX(ChDoorVel,MATCH(E2076,ChName,0))*CalibScalar*(1+VelocityUplift)</f>
        <v/>
      </c>
      <c r="Q2076" s="46" t="n">
        <v>0</v>
      </c>
      <c r="R2076" s="46">
        <f>P2076*O2076*M2076*N2076*H2076</f>
        <v/>
      </c>
      <c r="S2076" s="46">
        <f>R2076*INDEX(FmtCansPerCase,MATCH(F2076,FmtName,0))</f>
        <v/>
      </c>
      <c r="T2076" s="46">
        <f>S2076/INDEX(FmtCansPerPack,MATCH(F2076,FmtName,0))</f>
        <v/>
      </c>
      <c r="U2076" s="47">
        <f>INDEX(ChBaseCP,MATCH(E2076,ChName,0))*(1+INDEX(ProvMod,MATCH(G2076,ProvCode,0)))*(1+PriceIndex)</f>
        <v/>
      </c>
      <c r="V2076" s="47">
        <f>R2076*U2076*INDEX(FmtBlendedPriceIdx,MATCH(F2076,FmtName,0))</f>
        <v/>
      </c>
      <c r="W2076" s="47">
        <f>T2076*INDEX(ProvSRP,MATCH(G2076,ProvCode,0))*(1+PriceIndex)</f>
        <v/>
      </c>
      <c r="X2076" s="47">
        <f>IF(GrossBasis="Wholesale",V2076,W2076)</f>
        <v/>
      </c>
      <c r="Y2076" s="47">
        <f>R2076*INDEX(FmtBlendedCogs,MATCH(F2076,FmtName,0))</f>
        <v/>
      </c>
      <c r="Z2076" s="47">
        <f>X2076-Y2076</f>
        <v/>
      </c>
    </row>
    <row r="2077">
      <c r="A2077" t="n">
        <v>9</v>
      </c>
      <c r="B2077" s="44">
        <f>FiscalStart+(A2077-1)*7</f>
        <v/>
      </c>
      <c r="C2077">
        <f>TEXT(B2077,"mmm yyyy")</f>
        <v/>
      </c>
      <c r="D2077">
        <f>"Q"&amp;(INT((A2077-1)/13)+1)</f>
        <v/>
      </c>
      <c r="E2077" t="inlineStr">
        <is>
          <t>Costco</t>
        </is>
      </c>
      <c r="F2077">
        <f>IFERROR(INDEX(ChFormat,MATCH(E2077,ChName,0)),"")</f>
        <v/>
      </c>
      <c r="G2077" t="inlineStr">
        <is>
          <t>NL</t>
        </is>
      </c>
      <c r="H2077">
        <f>IF(A2077&lt;=NWeeks,1,0)</f>
        <v/>
      </c>
      <c r="I2077">
        <f>INDEX(ChLaunch,MATCH(E2077,ChName,0))</f>
        <v/>
      </c>
      <c r="J2077">
        <f>INDEX(ChWeeksFull,MATCH(E2077,ChName,0))</f>
        <v/>
      </c>
      <c r="K2077">
        <f>INDEX(ChRamp,MATCH(E2077,ChName,0))</f>
        <v/>
      </c>
      <c r="L2077" s="45">
        <f>MIN(1,MAX(0,(A2077-I2077+1)*RampSpeed/J2077))</f>
        <v/>
      </c>
      <c r="M2077" s="45">
        <f>IF(A2077&lt;I2077,0,IF(K2077="S-curve",L2077*L2077*(3-2*L2077),L2077))</f>
        <v/>
      </c>
      <c r="N2077" s="45">
        <f>1+(INDEX(SeasonIdx,A2077)-1)*SeasonAmp</f>
        <v/>
      </c>
      <c r="O2077" s="45">
        <f>IFERROR(INDEX(PSPct,MATCH(E2077&amp;"|"&amp;G2077,PSKey,0)),0)</f>
        <v/>
      </c>
      <c r="P2077" s="46">
        <f>INDEX(ChDoorVel,MATCH(E2077,ChName,0))*CalibScalar*(1+VelocityUplift)</f>
        <v/>
      </c>
      <c r="Q2077" s="46" t="n">
        <v>0</v>
      </c>
      <c r="R2077" s="46">
        <f>P2077*O2077*M2077*N2077*H2077</f>
        <v/>
      </c>
      <c r="S2077" s="46">
        <f>R2077*INDEX(FmtCansPerCase,MATCH(F2077,FmtName,0))</f>
        <v/>
      </c>
      <c r="T2077" s="46">
        <f>S2077/INDEX(FmtCansPerPack,MATCH(F2077,FmtName,0))</f>
        <v/>
      </c>
      <c r="U2077" s="47">
        <f>INDEX(ChBaseCP,MATCH(E2077,ChName,0))*(1+INDEX(ProvMod,MATCH(G2077,ProvCode,0)))*(1+PriceIndex)</f>
        <v/>
      </c>
      <c r="V2077" s="47">
        <f>R2077*U2077*INDEX(FmtBlendedPriceIdx,MATCH(F2077,FmtName,0))</f>
        <v/>
      </c>
      <c r="W2077" s="47">
        <f>T2077*INDEX(ProvSRP,MATCH(G2077,ProvCode,0))*(1+PriceIndex)</f>
        <v/>
      </c>
      <c r="X2077" s="47">
        <f>IF(GrossBasis="Wholesale",V2077,W2077)</f>
        <v/>
      </c>
      <c r="Y2077" s="47">
        <f>R2077*INDEX(FmtBlendedCogs,MATCH(F2077,FmtName,0))</f>
        <v/>
      </c>
      <c r="Z2077" s="47">
        <f>X2077-Y2077</f>
        <v/>
      </c>
    </row>
    <row r="2078">
      <c r="A2078" t="n">
        <v>10</v>
      </c>
      <c r="B2078" s="44">
        <f>FiscalStart+(A2078-1)*7</f>
        <v/>
      </c>
      <c r="C2078">
        <f>TEXT(B2078,"mmm yyyy")</f>
        <v/>
      </c>
      <c r="D2078">
        <f>"Q"&amp;(INT((A2078-1)/13)+1)</f>
        <v/>
      </c>
      <c r="E2078" t="inlineStr">
        <is>
          <t>Costco</t>
        </is>
      </c>
      <c r="F2078">
        <f>IFERROR(INDEX(ChFormat,MATCH(E2078,ChName,0)),"")</f>
        <v/>
      </c>
      <c r="G2078" t="inlineStr">
        <is>
          <t>NL</t>
        </is>
      </c>
      <c r="H2078">
        <f>IF(A2078&lt;=NWeeks,1,0)</f>
        <v/>
      </c>
      <c r="I2078">
        <f>INDEX(ChLaunch,MATCH(E2078,ChName,0))</f>
        <v/>
      </c>
      <c r="J2078">
        <f>INDEX(ChWeeksFull,MATCH(E2078,ChName,0))</f>
        <v/>
      </c>
      <c r="K2078">
        <f>INDEX(ChRamp,MATCH(E2078,ChName,0))</f>
        <v/>
      </c>
      <c r="L2078" s="45">
        <f>MIN(1,MAX(0,(A2078-I2078+1)*RampSpeed/J2078))</f>
        <v/>
      </c>
      <c r="M2078" s="45">
        <f>IF(A2078&lt;I2078,0,IF(K2078="S-curve",L2078*L2078*(3-2*L2078),L2078))</f>
        <v/>
      </c>
      <c r="N2078" s="45">
        <f>1+(INDEX(SeasonIdx,A2078)-1)*SeasonAmp</f>
        <v/>
      </c>
      <c r="O2078" s="45">
        <f>IFERROR(INDEX(PSPct,MATCH(E2078&amp;"|"&amp;G2078,PSKey,0)),0)</f>
        <v/>
      </c>
      <c r="P2078" s="46">
        <f>INDEX(ChDoorVel,MATCH(E2078,ChName,0))*CalibScalar*(1+VelocityUplift)</f>
        <v/>
      </c>
      <c r="Q2078" s="46" t="n">
        <v>0</v>
      </c>
      <c r="R2078" s="46">
        <f>P2078*O2078*M2078*N2078*H2078</f>
        <v/>
      </c>
      <c r="S2078" s="46">
        <f>R2078*INDEX(FmtCansPerCase,MATCH(F2078,FmtName,0))</f>
        <v/>
      </c>
      <c r="T2078" s="46">
        <f>S2078/INDEX(FmtCansPerPack,MATCH(F2078,FmtName,0))</f>
        <v/>
      </c>
      <c r="U2078" s="47">
        <f>INDEX(ChBaseCP,MATCH(E2078,ChName,0))*(1+INDEX(ProvMod,MATCH(G2078,ProvCode,0)))*(1+PriceIndex)</f>
        <v/>
      </c>
      <c r="V2078" s="47">
        <f>R2078*U2078*INDEX(FmtBlendedPriceIdx,MATCH(F2078,FmtName,0))</f>
        <v/>
      </c>
      <c r="W2078" s="47">
        <f>T2078*INDEX(ProvSRP,MATCH(G2078,ProvCode,0))*(1+PriceIndex)</f>
        <v/>
      </c>
      <c r="X2078" s="47">
        <f>IF(GrossBasis="Wholesale",V2078,W2078)</f>
        <v/>
      </c>
      <c r="Y2078" s="47">
        <f>R2078*INDEX(FmtBlendedCogs,MATCH(F2078,FmtName,0))</f>
        <v/>
      </c>
      <c r="Z2078" s="47">
        <f>X2078-Y2078</f>
        <v/>
      </c>
    </row>
    <row r="2079">
      <c r="A2079" t="n">
        <v>11</v>
      </c>
      <c r="B2079" s="44">
        <f>FiscalStart+(A2079-1)*7</f>
        <v/>
      </c>
      <c r="C2079">
        <f>TEXT(B2079,"mmm yyyy")</f>
        <v/>
      </c>
      <c r="D2079">
        <f>"Q"&amp;(INT((A2079-1)/13)+1)</f>
        <v/>
      </c>
      <c r="E2079" t="inlineStr">
        <is>
          <t>Costco</t>
        </is>
      </c>
      <c r="F2079">
        <f>IFERROR(INDEX(ChFormat,MATCH(E2079,ChName,0)),"")</f>
        <v/>
      </c>
      <c r="G2079" t="inlineStr">
        <is>
          <t>NL</t>
        </is>
      </c>
      <c r="H2079">
        <f>IF(A2079&lt;=NWeeks,1,0)</f>
        <v/>
      </c>
      <c r="I2079">
        <f>INDEX(ChLaunch,MATCH(E2079,ChName,0))</f>
        <v/>
      </c>
      <c r="J2079">
        <f>INDEX(ChWeeksFull,MATCH(E2079,ChName,0))</f>
        <v/>
      </c>
      <c r="K2079">
        <f>INDEX(ChRamp,MATCH(E2079,ChName,0))</f>
        <v/>
      </c>
      <c r="L2079" s="45">
        <f>MIN(1,MAX(0,(A2079-I2079+1)*RampSpeed/J2079))</f>
        <v/>
      </c>
      <c r="M2079" s="45">
        <f>IF(A2079&lt;I2079,0,IF(K2079="S-curve",L2079*L2079*(3-2*L2079),L2079))</f>
        <v/>
      </c>
      <c r="N2079" s="45">
        <f>1+(INDEX(SeasonIdx,A2079)-1)*SeasonAmp</f>
        <v/>
      </c>
      <c r="O2079" s="45">
        <f>IFERROR(INDEX(PSPct,MATCH(E2079&amp;"|"&amp;G2079,PSKey,0)),0)</f>
        <v/>
      </c>
      <c r="P2079" s="46">
        <f>INDEX(ChDoorVel,MATCH(E2079,ChName,0))*CalibScalar*(1+VelocityUplift)</f>
        <v/>
      </c>
      <c r="Q2079" s="46" t="n">
        <v>0</v>
      </c>
      <c r="R2079" s="46">
        <f>P2079*O2079*M2079*N2079*H2079</f>
        <v/>
      </c>
      <c r="S2079" s="46">
        <f>R2079*INDEX(FmtCansPerCase,MATCH(F2079,FmtName,0))</f>
        <v/>
      </c>
      <c r="T2079" s="46">
        <f>S2079/INDEX(FmtCansPerPack,MATCH(F2079,FmtName,0))</f>
        <v/>
      </c>
      <c r="U2079" s="47">
        <f>INDEX(ChBaseCP,MATCH(E2079,ChName,0))*(1+INDEX(ProvMod,MATCH(G2079,ProvCode,0)))*(1+PriceIndex)</f>
        <v/>
      </c>
      <c r="V2079" s="47">
        <f>R2079*U2079*INDEX(FmtBlendedPriceIdx,MATCH(F2079,FmtName,0))</f>
        <v/>
      </c>
      <c r="W2079" s="47">
        <f>T2079*INDEX(ProvSRP,MATCH(G2079,ProvCode,0))*(1+PriceIndex)</f>
        <v/>
      </c>
      <c r="X2079" s="47">
        <f>IF(GrossBasis="Wholesale",V2079,W2079)</f>
        <v/>
      </c>
      <c r="Y2079" s="47">
        <f>R2079*INDEX(FmtBlendedCogs,MATCH(F2079,FmtName,0))</f>
        <v/>
      </c>
      <c r="Z2079" s="47">
        <f>X2079-Y2079</f>
        <v/>
      </c>
    </row>
    <row r="2080">
      <c r="A2080" t="n">
        <v>12</v>
      </c>
      <c r="B2080" s="44">
        <f>FiscalStart+(A2080-1)*7</f>
        <v/>
      </c>
      <c r="C2080">
        <f>TEXT(B2080,"mmm yyyy")</f>
        <v/>
      </c>
      <c r="D2080">
        <f>"Q"&amp;(INT((A2080-1)/13)+1)</f>
        <v/>
      </c>
      <c r="E2080" t="inlineStr">
        <is>
          <t>Costco</t>
        </is>
      </c>
      <c r="F2080">
        <f>IFERROR(INDEX(ChFormat,MATCH(E2080,ChName,0)),"")</f>
        <v/>
      </c>
      <c r="G2080" t="inlineStr">
        <is>
          <t>NL</t>
        </is>
      </c>
      <c r="H2080">
        <f>IF(A2080&lt;=NWeeks,1,0)</f>
        <v/>
      </c>
      <c r="I2080">
        <f>INDEX(ChLaunch,MATCH(E2080,ChName,0))</f>
        <v/>
      </c>
      <c r="J2080">
        <f>INDEX(ChWeeksFull,MATCH(E2080,ChName,0))</f>
        <v/>
      </c>
      <c r="K2080">
        <f>INDEX(ChRamp,MATCH(E2080,ChName,0))</f>
        <v/>
      </c>
      <c r="L2080" s="45">
        <f>MIN(1,MAX(0,(A2080-I2080+1)*RampSpeed/J2080))</f>
        <v/>
      </c>
      <c r="M2080" s="45">
        <f>IF(A2080&lt;I2080,0,IF(K2080="S-curve",L2080*L2080*(3-2*L2080),L2080))</f>
        <v/>
      </c>
      <c r="N2080" s="45">
        <f>1+(INDEX(SeasonIdx,A2080)-1)*SeasonAmp</f>
        <v/>
      </c>
      <c r="O2080" s="45">
        <f>IFERROR(INDEX(PSPct,MATCH(E2080&amp;"|"&amp;G2080,PSKey,0)),0)</f>
        <v/>
      </c>
      <c r="P2080" s="46">
        <f>INDEX(ChDoorVel,MATCH(E2080,ChName,0))*CalibScalar*(1+VelocityUplift)</f>
        <v/>
      </c>
      <c r="Q2080" s="46" t="n">
        <v>0</v>
      </c>
      <c r="R2080" s="46">
        <f>P2080*O2080*M2080*N2080*H2080</f>
        <v/>
      </c>
      <c r="S2080" s="46">
        <f>R2080*INDEX(FmtCansPerCase,MATCH(F2080,FmtName,0))</f>
        <v/>
      </c>
      <c r="T2080" s="46">
        <f>S2080/INDEX(FmtCansPerPack,MATCH(F2080,FmtName,0))</f>
        <v/>
      </c>
      <c r="U2080" s="47">
        <f>INDEX(ChBaseCP,MATCH(E2080,ChName,0))*(1+INDEX(ProvMod,MATCH(G2080,ProvCode,0)))*(1+PriceIndex)</f>
        <v/>
      </c>
      <c r="V2080" s="47">
        <f>R2080*U2080*INDEX(FmtBlendedPriceIdx,MATCH(F2080,FmtName,0))</f>
        <v/>
      </c>
      <c r="W2080" s="47">
        <f>T2080*INDEX(ProvSRP,MATCH(G2080,ProvCode,0))*(1+PriceIndex)</f>
        <v/>
      </c>
      <c r="X2080" s="47">
        <f>IF(GrossBasis="Wholesale",V2080,W2080)</f>
        <v/>
      </c>
      <c r="Y2080" s="47">
        <f>R2080*INDEX(FmtBlendedCogs,MATCH(F2080,FmtName,0))</f>
        <v/>
      </c>
      <c r="Z2080" s="47">
        <f>X2080-Y2080</f>
        <v/>
      </c>
    </row>
    <row r="2081">
      <c r="A2081" t="n">
        <v>13</v>
      </c>
      <c r="B2081" s="44">
        <f>FiscalStart+(A2081-1)*7</f>
        <v/>
      </c>
      <c r="C2081">
        <f>TEXT(B2081,"mmm yyyy")</f>
        <v/>
      </c>
      <c r="D2081">
        <f>"Q"&amp;(INT((A2081-1)/13)+1)</f>
        <v/>
      </c>
      <c r="E2081" t="inlineStr">
        <is>
          <t>Costco</t>
        </is>
      </c>
      <c r="F2081">
        <f>IFERROR(INDEX(ChFormat,MATCH(E2081,ChName,0)),"")</f>
        <v/>
      </c>
      <c r="G2081" t="inlineStr">
        <is>
          <t>NL</t>
        </is>
      </c>
      <c r="H2081">
        <f>IF(A2081&lt;=NWeeks,1,0)</f>
        <v/>
      </c>
      <c r="I2081">
        <f>INDEX(ChLaunch,MATCH(E2081,ChName,0))</f>
        <v/>
      </c>
      <c r="J2081">
        <f>INDEX(ChWeeksFull,MATCH(E2081,ChName,0))</f>
        <v/>
      </c>
      <c r="K2081">
        <f>INDEX(ChRamp,MATCH(E2081,ChName,0))</f>
        <v/>
      </c>
      <c r="L2081" s="45">
        <f>MIN(1,MAX(0,(A2081-I2081+1)*RampSpeed/J2081))</f>
        <v/>
      </c>
      <c r="M2081" s="45">
        <f>IF(A2081&lt;I2081,0,IF(K2081="S-curve",L2081*L2081*(3-2*L2081),L2081))</f>
        <v/>
      </c>
      <c r="N2081" s="45">
        <f>1+(INDEX(SeasonIdx,A2081)-1)*SeasonAmp</f>
        <v/>
      </c>
      <c r="O2081" s="45">
        <f>IFERROR(INDEX(PSPct,MATCH(E2081&amp;"|"&amp;G2081,PSKey,0)),0)</f>
        <v/>
      </c>
      <c r="P2081" s="46">
        <f>INDEX(ChDoorVel,MATCH(E2081,ChName,0))*CalibScalar*(1+VelocityUplift)</f>
        <v/>
      </c>
      <c r="Q2081" s="46" t="n">
        <v>0</v>
      </c>
      <c r="R2081" s="46">
        <f>P2081*O2081*M2081*N2081*H2081</f>
        <v/>
      </c>
      <c r="S2081" s="46">
        <f>R2081*INDEX(FmtCansPerCase,MATCH(F2081,FmtName,0))</f>
        <v/>
      </c>
      <c r="T2081" s="46">
        <f>S2081/INDEX(FmtCansPerPack,MATCH(F2081,FmtName,0))</f>
        <v/>
      </c>
      <c r="U2081" s="47">
        <f>INDEX(ChBaseCP,MATCH(E2081,ChName,0))*(1+INDEX(ProvMod,MATCH(G2081,ProvCode,0)))*(1+PriceIndex)</f>
        <v/>
      </c>
      <c r="V2081" s="47">
        <f>R2081*U2081*INDEX(FmtBlendedPriceIdx,MATCH(F2081,FmtName,0))</f>
        <v/>
      </c>
      <c r="W2081" s="47">
        <f>T2081*INDEX(ProvSRP,MATCH(G2081,ProvCode,0))*(1+PriceIndex)</f>
        <v/>
      </c>
      <c r="X2081" s="47">
        <f>IF(GrossBasis="Wholesale",V2081,W2081)</f>
        <v/>
      </c>
      <c r="Y2081" s="47">
        <f>R2081*INDEX(FmtBlendedCogs,MATCH(F2081,FmtName,0))</f>
        <v/>
      </c>
      <c r="Z2081" s="47">
        <f>X2081-Y2081</f>
        <v/>
      </c>
    </row>
    <row r="2082">
      <c r="A2082" t="n">
        <v>14</v>
      </c>
      <c r="B2082" s="44">
        <f>FiscalStart+(A2082-1)*7</f>
        <v/>
      </c>
      <c r="C2082">
        <f>TEXT(B2082,"mmm yyyy")</f>
        <v/>
      </c>
      <c r="D2082">
        <f>"Q"&amp;(INT((A2082-1)/13)+1)</f>
        <v/>
      </c>
      <c r="E2082" t="inlineStr">
        <is>
          <t>Costco</t>
        </is>
      </c>
      <c r="F2082">
        <f>IFERROR(INDEX(ChFormat,MATCH(E2082,ChName,0)),"")</f>
        <v/>
      </c>
      <c r="G2082" t="inlineStr">
        <is>
          <t>NL</t>
        </is>
      </c>
      <c r="H2082">
        <f>IF(A2082&lt;=NWeeks,1,0)</f>
        <v/>
      </c>
      <c r="I2082">
        <f>INDEX(ChLaunch,MATCH(E2082,ChName,0))</f>
        <v/>
      </c>
      <c r="J2082">
        <f>INDEX(ChWeeksFull,MATCH(E2082,ChName,0))</f>
        <v/>
      </c>
      <c r="K2082">
        <f>INDEX(ChRamp,MATCH(E2082,ChName,0))</f>
        <v/>
      </c>
      <c r="L2082" s="45">
        <f>MIN(1,MAX(0,(A2082-I2082+1)*RampSpeed/J2082))</f>
        <v/>
      </c>
      <c r="M2082" s="45">
        <f>IF(A2082&lt;I2082,0,IF(K2082="S-curve",L2082*L2082*(3-2*L2082),L2082))</f>
        <v/>
      </c>
      <c r="N2082" s="45">
        <f>1+(INDEX(SeasonIdx,A2082)-1)*SeasonAmp</f>
        <v/>
      </c>
      <c r="O2082" s="45">
        <f>IFERROR(INDEX(PSPct,MATCH(E2082&amp;"|"&amp;G2082,PSKey,0)),0)</f>
        <v/>
      </c>
      <c r="P2082" s="46">
        <f>INDEX(ChDoorVel,MATCH(E2082,ChName,0))*CalibScalar*(1+VelocityUplift)</f>
        <v/>
      </c>
      <c r="Q2082" s="46" t="n">
        <v>0</v>
      </c>
      <c r="R2082" s="46">
        <f>P2082*O2082*M2082*N2082*H2082</f>
        <v/>
      </c>
      <c r="S2082" s="46">
        <f>R2082*INDEX(FmtCansPerCase,MATCH(F2082,FmtName,0))</f>
        <v/>
      </c>
      <c r="T2082" s="46">
        <f>S2082/INDEX(FmtCansPerPack,MATCH(F2082,FmtName,0))</f>
        <v/>
      </c>
      <c r="U2082" s="47">
        <f>INDEX(ChBaseCP,MATCH(E2082,ChName,0))*(1+INDEX(ProvMod,MATCH(G2082,ProvCode,0)))*(1+PriceIndex)</f>
        <v/>
      </c>
      <c r="V2082" s="47">
        <f>R2082*U2082*INDEX(FmtBlendedPriceIdx,MATCH(F2082,FmtName,0))</f>
        <v/>
      </c>
      <c r="W2082" s="47">
        <f>T2082*INDEX(ProvSRP,MATCH(G2082,ProvCode,0))*(1+PriceIndex)</f>
        <v/>
      </c>
      <c r="X2082" s="47">
        <f>IF(GrossBasis="Wholesale",V2082,W2082)</f>
        <v/>
      </c>
      <c r="Y2082" s="47">
        <f>R2082*INDEX(FmtBlendedCogs,MATCH(F2082,FmtName,0))</f>
        <v/>
      </c>
      <c r="Z2082" s="47">
        <f>X2082-Y2082</f>
        <v/>
      </c>
    </row>
    <row r="2083">
      <c r="A2083" t="n">
        <v>15</v>
      </c>
      <c r="B2083" s="44">
        <f>FiscalStart+(A2083-1)*7</f>
        <v/>
      </c>
      <c r="C2083">
        <f>TEXT(B2083,"mmm yyyy")</f>
        <v/>
      </c>
      <c r="D2083">
        <f>"Q"&amp;(INT((A2083-1)/13)+1)</f>
        <v/>
      </c>
      <c r="E2083" t="inlineStr">
        <is>
          <t>Costco</t>
        </is>
      </c>
      <c r="F2083">
        <f>IFERROR(INDEX(ChFormat,MATCH(E2083,ChName,0)),"")</f>
        <v/>
      </c>
      <c r="G2083" t="inlineStr">
        <is>
          <t>NL</t>
        </is>
      </c>
      <c r="H2083">
        <f>IF(A2083&lt;=NWeeks,1,0)</f>
        <v/>
      </c>
      <c r="I2083">
        <f>INDEX(ChLaunch,MATCH(E2083,ChName,0))</f>
        <v/>
      </c>
      <c r="J2083">
        <f>INDEX(ChWeeksFull,MATCH(E2083,ChName,0))</f>
        <v/>
      </c>
      <c r="K2083">
        <f>INDEX(ChRamp,MATCH(E2083,ChName,0))</f>
        <v/>
      </c>
      <c r="L2083" s="45">
        <f>MIN(1,MAX(0,(A2083-I2083+1)*RampSpeed/J2083))</f>
        <v/>
      </c>
      <c r="M2083" s="45">
        <f>IF(A2083&lt;I2083,0,IF(K2083="S-curve",L2083*L2083*(3-2*L2083),L2083))</f>
        <v/>
      </c>
      <c r="N2083" s="45">
        <f>1+(INDEX(SeasonIdx,A2083)-1)*SeasonAmp</f>
        <v/>
      </c>
      <c r="O2083" s="45">
        <f>IFERROR(INDEX(PSPct,MATCH(E2083&amp;"|"&amp;G2083,PSKey,0)),0)</f>
        <v/>
      </c>
      <c r="P2083" s="46">
        <f>INDEX(ChDoorVel,MATCH(E2083,ChName,0))*CalibScalar*(1+VelocityUplift)</f>
        <v/>
      </c>
      <c r="Q2083" s="46" t="n">
        <v>0</v>
      </c>
      <c r="R2083" s="46">
        <f>P2083*O2083*M2083*N2083*H2083</f>
        <v/>
      </c>
      <c r="S2083" s="46">
        <f>R2083*INDEX(FmtCansPerCase,MATCH(F2083,FmtName,0))</f>
        <v/>
      </c>
      <c r="T2083" s="46">
        <f>S2083/INDEX(FmtCansPerPack,MATCH(F2083,FmtName,0))</f>
        <v/>
      </c>
      <c r="U2083" s="47">
        <f>INDEX(ChBaseCP,MATCH(E2083,ChName,0))*(1+INDEX(ProvMod,MATCH(G2083,ProvCode,0)))*(1+PriceIndex)</f>
        <v/>
      </c>
      <c r="V2083" s="47">
        <f>R2083*U2083*INDEX(FmtBlendedPriceIdx,MATCH(F2083,FmtName,0))</f>
        <v/>
      </c>
      <c r="W2083" s="47">
        <f>T2083*INDEX(ProvSRP,MATCH(G2083,ProvCode,0))*(1+PriceIndex)</f>
        <v/>
      </c>
      <c r="X2083" s="47">
        <f>IF(GrossBasis="Wholesale",V2083,W2083)</f>
        <v/>
      </c>
      <c r="Y2083" s="47">
        <f>R2083*INDEX(FmtBlendedCogs,MATCH(F2083,FmtName,0))</f>
        <v/>
      </c>
      <c r="Z2083" s="47">
        <f>X2083-Y2083</f>
        <v/>
      </c>
    </row>
    <row r="2084">
      <c r="A2084" t="n">
        <v>16</v>
      </c>
      <c r="B2084" s="44">
        <f>FiscalStart+(A2084-1)*7</f>
        <v/>
      </c>
      <c r="C2084">
        <f>TEXT(B2084,"mmm yyyy")</f>
        <v/>
      </c>
      <c r="D2084">
        <f>"Q"&amp;(INT((A2084-1)/13)+1)</f>
        <v/>
      </c>
      <c r="E2084" t="inlineStr">
        <is>
          <t>Costco</t>
        </is>
      </c>
      <c r="F2084">
        <f>IFERROR(INDEX(ChFormat,MATCH(E2084,ChName,0)),"")</f>
        <v/>
      </c>
      <c r="G2084" t="inlineStr">
        <is>
          <t>NL</t>
        </is>
      </c>
      <c r="H2084">
        <f>IF(A2084&lt;=NWeeks,1,0)</f>
        <v/>
      </c>
      <c r="I2084">
        <f>INDEX(ChLaunch,MATCH(E2084,ChName,0))</f>
        <v/>
      </c>
      <c r="J2084">
        <f>INDEX(ChWeeksFull,MATCH(E2084,ChName,0))</f>
        <v/>
      </c>
      <c r="K2084">
        <f>INDEX(ChRamp,MATCH(E2084,ChName,0))</f>
        <v/>
      </c>
      <c r="L2084" s="45">
        <f>MIN(1,MAX(0,(A2084-I2084+1)*RampSpeed/J2084))</f>
        <v/>
      </c>
      <c r="M2084" s="45">
        <f>IF(A2084&lt;I2084,0,IF(K2084="S-curve",L2084*L2084*(3-2*L2084),L2084))</f>
        <v/>
      </c>
      <c r="N2084" s="45">
        <f>1+(INDEX(SeasonIdx,A2084)-1)*SeasonAmp</f>
        <v/>
      </c>
      <c r="O2084" s="45">
        <f>IFERROR(INDEX(PSPct,MATCH(E2084&amp;"|"&amp;G2084,PSKey,0)),0)</f>
        <v/>
      </c>
      <c r="P2084" s="46">
        <f>INDEX(ChDoorVel,MATCH(E2084,ChName,0))*CalibScalar*(1+VelocityUplift)</f>
        <v/>
      </c>
      <c r="Q2084" s="46" t="n">
        <v>0</v>
      </c>
      <c r="R2084" s="46">
        <f>P2084*O2084*M2084*N2084*H2084</f>
        <v/>
      </c>
      <c r="S2084" s="46">
        <f>R2084*INDEX(FmtCansPerCase,MATCH(F2084,FmtName,0))</f>
        <v/>
      </c>
      <c r="T2084" s="46">
        <f>S2084/INDEX(FmtCansPerPack,MATCH(F2084,FmtName,0))</f>
        <v/>
      </c>
      <c r="U2084" s="47">
        <f>INDEX(ChBaseCP,MATCH(E2084,ChName,0))*(1+INDEX(ProvMod,MATCH(G2084,ProvCode,0)))*(1+PriceIndex)</f>
        <v/>
      </c>
      <c r="V2084" s="47">
        <f>R2084*U2084*INDEX(FmtBlendedPriceIdx,MATCH(F2084,FmtName,0))</f>
        <v/>
      </c>
      <c r="W2084" s="47">
        <f>T2084*INDEX(ProvSRP,MATCH(G2084,ProvCode,0))*(1+PriceIndex)</f>
        <v/>
      </c>
      <c r="X2084" s="47">
        <f>IF(GrossBasis="Wholesale",V2084,W2084)</f>
        <v/>
      </c>
      <c r="Y2084" s="47">
        <f>R2084*INDEX(FmtBlendedCogs,MATCH(F2084,FmtName,0))</f>
        <v/>
      </c>
      <c r="Z2084" s="47">
        <f>X2084-Y2084</f>
        <v/>
      </c>
    </row>
    <row r="2085">
      <c r="A2085" t="n">
        <v>17</v>
      </c>
      <c r="B2085" s="44">
        <f>FiscalStart+(A2085-1)*7</f>
        <v/>
      </c>
      <c r="C2085">
        <f>TEXT(B2085,"mmm yyyy")</f>
        <v/>
      </c>
      <c r="D2085">
        <f>"Q"&amp;(INT((A2085-1)/13)+1)</f>
        <v/>
      </c>
      <c r="E2085" t="inlineStr">
        <is>
          <t>Costco</t>
        </is>
      </c>
      <c r="F2085">
        <f>IFERROR(INDEX(ChFormat,MATCH(E2085,ChName,0)),"")</f>
        <v/>
      </c>
      <c r="G2085" t="inlineStr">
        <is>
          <t>NL</t>
        </is>
      </c>
      <c r="H2085">
        <f>IF(A2085&lt;=NWeeks,1,0)</f>
        <v/>
      </c>
      <c r="I2085">
        <f>INDEX(ChLaunch,MATCH(E2085,ChName,0))</f>
        <v/>
      </c>
      <c r="J2085">
        <f>INDEX(ChWeeksFull,MATCH(E2085,ChName,0))</f>
        <v/>
      </c>
      <c r="K2085">
        <f>INDEX(ChRamp,MATCH(E2085,ChName,0))</f>
        <v/>
      </c>
      <c r="L2085" s="45">
        <f>MIN(1,MAX(0,(A2085-I2085+1)*RampSpeed/J2085))</f>
        <v/>
      </c>
      <c r="M2085" s="45">
        <f>IF(A2085&lt;I2085,0,IF(K2085="S-curve",L2085*L2085*(3-2*L2085),L2085))</f>
        <v/>
      </c>
      <c r="N2085" s="45">
        <f>1+(INDEX(SeasonIdx,A2085)-1)*SeasonAmp</f>
        <v/>
      </c>
      <c r="O2085" s="45">
        <f>IFERROR(INDEX(PSPct,MATCH(E2085&amp;"|"&amp;G2085,PSKey,0)),0)</f>
        <v/>
      </c>
      <c r="P2085" s="46">
        <f>INDEX(ChDoorVel,MATCH(E2085,ChName,0))*CalibScalar*(1+VelocityUplift)</f>
        <v/>
      </c>
      <c r="Q2085" s="46" t="n">
        <v>0</v>
      </c>
      <c r="R2085" s="46">
        <f>P2085*O2085*M2085*N2085*H2085</f>
        <v/>
      </c>
      <c r="S2085" s="46">
        <f>R2085*INDEX(FmtCansPerCase,MATCH(F2085,FmtName,0))</f>
        <v/>
      </c>
      <c r="T2085" s="46">
        <f>S2085/INDEX(FmtCansPerPack,MATCH(F2085,FmtName,0))</f>
        <v/>
      </c>
      <c r="U2085" s="47">
        <f>INDEX(ChBaseCP,MATCH(E2085,ChName,0))*(1+INDEX(ProvMod,MATCH(G2085,ProvCode,0)))*(1+PriceIndex)</f>
        <v/>
      </c>
      <c r="V2085" s="47">
        <f>R2085*U2085*INDEX(FmtBlendedPriceIdx,MATCH(F2085,FmtName,0))</f>
        <v/>
      </c>
      <c r="W2085" s="47">
        <f>T2085*INDEX(ProvSRP,MATCH(G2085,ProvCode,0))*(1+PriceIndex)</f>
        <v/>
      </c>
      <c r="X2085" s="47">
        <f>IF(GrossBasis="Wholesale",V2085,W2085)</f>
        <v/>
      </c>
      <c r="Y2085" s="47">
        <f>R2085*INDEX(FmtBlendedCogs,MATCH(F2085,FmtName,0))</f>
        <v/>
      </c>
      <c r="Z2085" s="47">
        <f>X2085-Y2085</f>
        <v/>
      </c>
    </row>
    <row r="2086">
      <c r="A2086" t="n">
        <v>18</v>
      </c>
      <c r="B2086" s="44">
        <f>FiscalStart+(A2086-1)*7</f>
        <v/>
      </c>
      <c r="C2086">
        <f>TEXT(B2086,"mmm yyyy")</f>
        <v/>
      </c>
      <c r="D2086">
        <f>"Q"&amp;(INT((A2086-1)/13)+1)</f>
        <v/>
      </c>
      <c r="E2086" t="inlineStr">
        <is>
          <t>Costco</t>
        </is>
      </c>
      <c r="F2086">
        <f>IFERROR(INDEX(ChFormat,MATCH(E2086,ChName,0)),"")</f>
        <v/>
      </c>
      <c r="G2086" t="inlineStr">
        <is>
          <t>NL</t>
        </is>
      </c>
      <c r="H2086">
        <f>IF(A2086&lt;=NWeeks,1,0)</f>
        <v/>
      </c>
      <c r="I2086">
        <f>INDEX(ChLaunch,MATCH(E2086,ChName,0))</f>
        <v/>
      </c>
      <c r="J2086">
        <f>INDEX(ChWeeksFull,MATCH(E2086,ChName,0))</f>
        <v/>
      </c>
      <c r="K2086">
        <f>INDEX(ChRamp,MATCH(E2086,ChName,0))</f>
        <v/>
      </c>
      <c r="L2086" s="45">
        <f>MIN(1,MAX(0,(A2086-I2086+1)*RampSpeed/J2086))</f>
        <v/>
      </c>
      <c r="M2086" s="45">
        <f>IF(A2086&lt;I2086,0,IF(K2086="S-curve",L2086*L2086*(3-2*L2086),L2086))</f>
        <v/>
      </c>
      <c r="N2086" s="45">
        <f>1+(INDEX(SeasonIdx,A2086)-1)*SeasonAmp</f>
        <v/>
      </c>
      <c r="O2086" s="45">
        <f>IFERROR(INDEX(PSPct,MATCH(E2086&amp;"|"&amp;G2086,PSKey,0)),0)</f>
        <v/>
      </c>
      <c r="P2086" s="46">
        <f>INDEX(ChDoorVel,MATCH(E2086,ChName,0))*CalibScalar*(1+VelocityUplift)</f>
        <v/>
      </c>
      <c r="Q2086" s="46" t="n">
        <v>0</v>
      </c>
      <c r="R2086" s="46">
        <f>P2086*O2086*M2086*N2086*H2086</f>
        <v/>
      </c>
      <c r="S2086" s="46">
        <f>R2086*INDEX(FmtCansPerCase,MATCH(F2086,FmtName,0))</f>
        <v/>
      </c>
      <c r="T2086" s="46">
        <f>S2086/INDEX(FmtCansPerPack,MATCH(F2086,FmtName,0))</f>
        <v/>
      </c>
      <c r="U2086" s="47">
        <f>INDEX(ChBaseCP,MATCH(E2086,ChName,0))*(1+INDEX(ProvMod,MATCH(G2086,ProvCode,0)))*(1+PriceIndex)</f>
        <v/>
      </c>
      <c r="V2086" s="47">
        <f>R2086*U2086*INDEX(FmtBlendedPriceIdx,MATCH(F2086,FmtName,0))</f>
        <v/>
      </c>
      <c r="W2086" s="47">
        <f>T2086*INDEX(ProvSRP,MATCH(G2086,ProvCode,0))*(1+PriceIndex)</f>
        <v/>
      </c>
      <c r="X2086" s="47">
        <f>IF(GrossBasis="Wholesale",V2086,W2086)</f>
        <v/>
      </c>
      <c r="Y2086" s="47">
        <f>R2086*INDEX(FmtBlendedCogs,MATCH(F2086,FmtName,0))</f>
        <v/>
      </c>
      <c r="Z2086" s="47">
        <f>X2086-Y2086</f>
        <v/>
      </c>
    </row>
    <row r="2087">
      <c r="A2087" t="n">
        <v>19</v>
      </c>
      <c r="B2087" s="44">
        <f>FiscalStart+(A2087-1)*7</f>
        <v/>
      </c>
      <c r="C2087">
        <f>TEXT(B2087,"mmm yyyy")</f>
        <v/>
      </c>
      <c r="D2087">
        <f>"Q"&amp;(INT((A2087-1)/13)+1)</f>
        <v/>
      </c>
      <c r="E2087" t="inlineStr">
        <is>
          <t>Costco</t>
        </is>
      </c>
      <c r="F2087">
        <f>IFERROR(INDEX(ChFormat,MATCH(E2087,ChName,0)),"")</f>
        <v/>
      </c>
      <c r="G2087" t="inlineStr">
        <is>
          <t>NL</t>
        </is>
      </c>
      <c r="H2087">
        <f>IF(A2087&lt;=NWeeks,1,0)</f>
        <v/>
      </c>
      <c r="I2087">
        <f>INDEX(ChLaunch,MATCH(E2087,ChName,0))</f>
        <v/>
      </c>
      <c r="J2087">
        <f>INDEX(ChWeeksFull,MATCH(E2087,ChName,0))</f>
        <v/>
      </c>
      <c r="K2087">
        <f>INDEX(ChRamp,MATCH(E2087,ChName,0))</f>
        <v/>
      </c>
      <c r="L2087" s="45">
        <f>MIN(1,MAX(0,(A2087-I2087+1)*RampSpeed/J2087))</f>
        <v/>
      </c>
      <c r="M2087" s="45">
        <f>IF(A2087&lt;I2087,0,IF(K2087="S-curve",L2087*L2087*(3-2*L2087),L2087))</f>
        <v/>
      </c>
      <c r="N2087" s="45">
        <f>1+(INDEX(SeasonIdx,A2087)-1)*SeasonAmp</f>
        <v/>
      </c>
      <c r="O2087" s="45">
        <f>IFERROR(INDEX(PSPct,MATCH(E2087&amp;"|"&amp;G2087,PSKey,0)),0)</f>
        <v/>
      </c>
      <c r="P2087" s="46">
        <f>INDEX(ChDoorVel,MATCH(E2087,ChName,0))*CalibScalar*(1+VelocityUplift)</f>
        <v/>
      </c>
      <c r="Q2087" s="46" t="n">
        <v>0</v>
      </c>
      <c r="R2087" s="46">
        <f>P2087*O2087*M2087*N2087*H2087</f>
        <v/>
      </c>
      <c r="S2087" s="46">
        <f>R2087*INDEX(FmtCansPerCase,MATCH(F2087,FmtName,0))</f>
        <v/>
      </c>
      <c r="T2087" s="46">
        <f>S2087/INDEX(FmtCansPerPack,MATCH(F2087,FmtName,0))</f>
        <v/>
      </c>
      <c r="U2087" s="47">
        <f>INDEX(ChBaseCP,MATCH(E2087,ChName,0))*(1+INDEX(ProvMod,MATCH(G2087,ProvCode,0)))*(1+PriceIndex)</f>
        <v/>
      </c>
      <c r="V2087" s="47">
        <f>R2087*U2087*INDEX(FmtBlendedPriceIdx,MATCH(F2087,FmtName,0))</f>
        <v/>
      </c>
      <c r="W2087" s="47">
        <f>T2087*INDEX(ProvSRP,MATCH(G2087,ProvCode,0))*(1+PriceIndex)</f>
        <v/>
      </c>
      <c r="X2087" s="47">
        <f>IF(GrossBasis="Wholesale",V2087,W2087)</f>
        <v/>
      </c>
      <c r="Y2087" s="47">
        <f>R2087*INDEX(FmtBlendedCogs,MATCH(F2087,FmtName,0))</f>
        <v/>
      </c>
      <c r="Z2087" s="47">
        <f>X2087-Y2087</f>
        <v/>
      </c>
    </row>
    <row r="2088">
      <c r="A2088" t="n">
        <v>20</v>
      </c>
      <c r="B2088" s="44">
        <f>FiscalStart+(A2088-1)*7</f>
        <v/>
      </c>
      <c r="C2088">
        <f>TEXT(B2088,"mmm yyyy")</f>
        <v/>
      </c>
      <c r="D2088">
        <f>"Q"&amp;(INT((A2088-1)/13)+1)</f>
        <v/>
      </c>
      <c r="E2088" t="inlineStr">
        <is>
          <t>Costco</t>
        </is>
      </c>
      <c r="F2088">
        <f>IFERROR(INDEX(ChFormat,MATCH(E2088,ChName,0)),"")</f>
        <v/>
      </c>
      <c r="G2088" t="inlineStr">
        <is>
          <t>NL</t>
        </is>
      </c>
      <c r="H2088">
        <f>IF(A2088&lt;=NWeeks,1,0)</f>
        <v/>
      </c>
      <c r="I2088">
        <f>INDEX(ChLaunch,MATCH(E2088,ChName,0))</f>
        <v/>
      </c>
      <c r="J2088">
        <f>INDEX(ChWeeksFull,MATCH(E2088,ChName,0))</f>
        <v/>
      </c>
      <c r="K2088">
        <f>INDEX(ChRamp,MATCH(E2088,ChName,0))</f>
        <v/>
      </c>
      <c r="L2088" s="45">
        <f>MIN(1,MAX(0,(A2088-I2088+1)*RampSpeed/J2088))</f>
        <v/>
      </c>
      <c r="M2088" s="45">
        <f>IF(A2088&lt;I2088,0,IF(K2088="S-curve",L2088*L2088*(3-2*L2088),L2088))</f>
        <v/>
      </c>
      <c r="N2088" s="45">
        <f>1+(INDEX(SeasonIdx,A2088)-1)*SeasonAmp</f>
        <v/>
      </c>
      <c r="O2088" s="45">
        <f>IFERROR(INDEX(PSPct,MATCH(E2088&amp;"|"&amp;G2088,PSKey,0)),0)</f>
        <v/>
      </c>
      <c r="P2088" s="46">
        <f>INDEX(ChDoorVel,MATCH(E2088,ChName,0))*CalibScalar*(1+VelocityUplift)</f>
        <v/>
      </c>
      <c r="Q2088" s="46" t="n">
        <v>0</v>
      </c>
      <c r="R2088" s="46">
        <f>P2088*O2088*M2088*N2088*H2088</f>
        <v/>
      </c>
      <c r="S2088" s="46">
        <f>R2088*INDEX(FmtCansPerCase,MATCH(F2088,FmtName,0))</f>
        <v/>
      </c>
      <c r="T2088" s="46">
        <f>S2088/INDEX(FmtCansPerPack,MATCH(F2088,FmtName,0))</f>
        <v/>
      </c>
      <c r="U2088" s="47">
        <f>INDEX(ChBaseCP,MATCH(E2088,ChName,0))*(1+INDEX(ProvMod,MATCH(G2088,ProvCode,0)))*(1+PriceIndex)</f>
        <v/>
      </c>
      <c r="V2088" s="47">
        <f>R2088*U2088*INDEX(FmtBlendedPriceIdx,MATCH(F2088,FmtName,0))</f>
        <v/>
      </c>
      <c r="W2088" s="47">
        <f>T2088*INDEX(ProvSRP,MATCH(G2088,ProvCode,0))*(1+PriceIndex)</f>
        <v/>
      </c>
      <c r="X2088" s="47">
        <f>IF(GrossBasis="Wholesale",V2088,W2088)</f>
        <v/>
      </c>
      <c r="Y2088" s="47">
        <f>R2088*INDEX(FmtBlendedCogs,MATCH(F2088,FmtName,0))</f>
        <v/>
      </c>
      <c r="Z2088" s="47">
        <f>X2088-Y2088</f>
        <v/>
      </c>
    </row>
    <row r="2089">
      <c r="A2089" t="n">
        <v>21</v>
      </c>
      <c r="B2089" s="44">
        <f>FiscalStart+(A2089-1)*7</f>
        <v/>
      </c>
      <c r="C2089">
        <f>TEXT(B2089,"mmm yyyy")</f>
        <v/>
      </c>
      <c r="D2089">
        <f>"Q"&amp;(INT((A2089-1)/13)+1)</f>
        <v/>
      </c>
      <c r="E2089" t="inlineStr">
        <is>
          <t>Costco</t>
        </is>
      </c>
      <c r="F2089">
        <f>IFERROR(INDEX(ChFormat,MATCH(E2089,ChName,0)),"")</f>
        <v/>
      </c>
      <c r="G2089" t="inlineStr">
        <is>
          <t>NL</t>
        </is>
      </c>
      <c r="H2089">
        <f>IF(A2089&lt;=NWeeks,1,0)</f>
        <v/>
      </c>
      <c r="I2089">
        <f>INDEX(ChLaunch,MATCH(E2089,ChName,0))</f>
        <v/>
      </c>
      <c r="J2089">
        <f>INDEX(ChWeeksFull,MATCH(E2089,ChName,0))</f>
        <v/>
      </c>
      <c r="K2089">
        <f>INDEX(ChRamp,MATCH(E2089,ChName,0))</f>
        <v/>
      </c>
      <c r="L2089" s="45">
        <f>MIN(1,MAX(0,(A2089-I2089+1)*RampSpeed/J2089))</f>
        <v/>
      </c>
      <c r="M2089" s="45">
        <f>IF(A2089&lt;I2089,0,IF(K2089="S-curve",L2089*L2089*(3-2*L2089),L2089))</f>
        <v/>
      </c>
      <c r="N2089" s="45">
        <f>1+(INDEX(SeasonIdx,A2089)-1)*SeasonAmp</f>
        <v/>
      </c>
      <c r="O2089" s="45">
        <f>IFERROR(INDEX(PSPct,MATCH(E2089&amp;"|"&amp;G2089,PSKey,0)),0)</f>
        <v/>
      </c>
      <c r="P2089" s="46">
        <f>INDEX(ChDoorVel,MATCH(E2089,ChName,0))*CalibScalar*(1+VelocityUplift)</f>
        <v/>
      </c>
      <c r="Q2089" s="46" t="n">
        <v>0</v>
      </c>
      <c r="R2089" s="46">
        <f>P2089*O2089*M2089*N2089*H2089</f>
        <v/>
      </c>
      <c r="S2089" s="46">
        <f>R2089*INDEX(FmtCansPerCase,MATCH(F2089,FmtName,0))</f>
        <v/>
      </c>
      <c r="T2089" s="46">
        <f>S2089/INDEX(FmtCansPerPack,MATCH(F2089,FmtName,0))</f>
        <v/>
      </c>
      <c r="U2089" s="47">
        <f>INDEX(ChBaseCP,MATCH(E2089,ChName,0))*(1+INDEX(ProvMod,MATCH(G2089,ProvCode,0)))*(1+PriceIndex)</f>
        <v/>
      </c>
      <c r="V2089" s="47">
        <f>R2089*U2089*INDEX(FmtBlendedPriceIdx,MATCH(F2089,FmtName,0))</f>
        <v/>
      </c>
      <c r="W2089" s="47">
        <f>T2089*INDEX(ProvSRP,MATCH(G2089,ProvCode,0))*(1+PriceIndex)</f>
        <v/>
      </c>
      <c r="X2089" s="47">
        <f>IF(GrossBasis="Wholesale",V2089,W2089)</f>
        <v/>
      </c>
      <c r="Y2089" s="47">
        <f>R2089*INDEX(FmtBlendedCogs,MATCH(F2089,FmtName,0))</f>
        <v/>
      </c>
      <c r="Z2089" s="47">
        <f>X2089-Y2089</f>
        <v/>
      </c>
    </row>
    <row r="2090">
      <c r="A2090" t="n">
        <v>22</v>
      </c>
      <c r="B2090" s="44">
        <f>FiscalStart+(A2090-1)*7</f>
        <v/>
      </c>
      <c r="C2090">
        <f>TEXT(B2090,"mmm yyyy")</f>
        <v/>
      </c>
      <c r="D2090">
        <f>"Q"&amp;(INT((A2090-1)/13)+1)</f>
        <v/>
      </c>
      <c r="E2090" t="inlineStr">
        <is>
          <t>Costco</t>
        </is>
      </c>
      <c r="F2090">
        <f>IFERROR(INDEX(ChFormat,MATCH(E2090,ChName,0)),"")</f>
        <v/>
      </c>
      <c r="G2090" t="inlineStr">
        <is>
          <t>NL</t>
        </is>
      </c>
      <c r="H2090">
        <f>IF(A2090&lt;=NWeeks,1,0)</f>
        <v/>
      </c>
      <c r="I2090">
        <f>INDEX(ChLaunch,MATCH(E2090,ChName,0))</f>
        <v/>
      </c>
      <c r="J2090">
        <f>INDEX(ChWeeksFull,MATCH(E2090,ChName,0))</f>
        <v/>
      </c>
      <c r="K2090">
        <f>INDEX(ChRamp,MATCH(E2090,ChName,0))</f>
        <v/>
      </c>
      <c r="L2090" s="45">
        <f>MIN(1,MAX(0,(A2090-I2090+1)*RampSpeed/J2090))</f>
        <v/>
      </c>
      <c r="M2090" s="45">
        <f>IF(A2090&lt;I2090,0,IF(K2090="S-curve",L2090*L2090*(3-2*L2090),L2090))</f>
        <v/>
      </c>
      <c r="N2090" s="45">
        <f>1+(INDEX(SeasonIdx,A2090)-1)*SeasonAmp</f>
        <v/>
      </c>
      <c r="O2090" s="45">
        <f>IFERROR(INDEX(PSPct,MATCH(E2090&amp;"|"&amp;G2090,PSKey,0)),0)</f>
        <v/>
      </c>
      <c r="P2090" s="46">
        <f>INDEX(ChDoorVel,MATCH(E2090,ChName,0))*CalibScalar*(1+VelocityUplift)</f>
        <v/>
      </c>
      <c r="Q2090" s="46" t="n">
        <v>0</v>
      </c>
      <c r="R2090" s="46">
        <f>P2090*O2090*M2090*N2090*H2090</f>
        <v/>
      </c>
      <c r="S2090" s="46">
        <f>R2090*INDEX(FmtCansPerCase,MATCH(F2090,FmtName,0))</f>
        <v/>
      </c>
      <c r="T2090" s="46">
        <f>S2090/INDEX(FmtCansPerPack,MATCH(F2090,FmtName,0))</f>
        <v/>
      </c>
      <c r="U2090" s="47">
        <f>INDEX(ChBaseCP,MATCH(E2090,ChName,0))*(1+INDEX(ProvMod,MATCH(G2090,ProvCode,0)))*(1+PriceIndex)</f>
        <v/>
      </c>
      <c r="V2090" s="47">
        <f>R2090*U2090*INDEX(FmtBlendedPriceIdx,MATCH(F2090,FmtName,0))</f>
        <v/>
      </c>
      <c r="W2090" s="47">
        <f>T2090*INDEX(ProvSRP,MATCH(G2090,ProvCode,0))*(1+PriceIndex)</f>
        <v/>
      </c>
      <c r="X2090" s="47">
        <f>IF(GrossBasis="Wholesale",V2090,W2090)</f>
        <v/>
      </c>
      <c r="Y2090" s="47">
        <f>R2090*INDEX(FmtBlendedCogs,MATCH(F2090,FmtName,0))</f>
        <v/>
      </c>
      <c r="Z2090" s="47">
        <f>X2090-Y2090</f>
        <v/>
      </c>
    </row>
    <row r="2091">
      <c r="A2091" t="n">
        <v>23</v>
      </c>
      <c r="B2091" s="44">
        <f>FiscalStart+(A2091-1)*7</f>
        <v/>
      </c>
      <c r="C2091">
        <f>TEXT(B2091,"mmm yyyy")</f>
        <v/>
      </c>
      <c r="D2091">
        <f>"Q"&amp;(INT((A2091-1)/13)+1)</f>
        <v/>
      </c>
      <c r="E2091" t="inlineStr">
        <is>
          <t>Costco</t>
        </is>
      </c>
      <c r="F2091">
        <f>IFERROR(INDEX(ChFormat,MATCH(E2091,ChName,0)),"")</f>
        <v/>
      </c>
      <c r="G2091" t="inlineStr">
        <is>
          <t>NL</t>
        </is>
      </c>
      <c r="H2091">
        <f>IF(A2091&lt;=NWeeks,1,0)</f>
        <v/>
      </c>
      <c r="I2091">
        <f>INDEX(ChLaunch,MATCH(E2091,ChName,0))</f>
        <v/>
      </c>
      <c r="J2091">
        <f>INDEX(ChWeeksFull,MATCH(E2091,ChName,0))</f>
        <v/>
      </c>
      <c r="K2091">
        <f>INDEX(ChRamp,MATCH(E2091,ChName,0))</f>
        <v/>
      </c>
      <c r="L2091" s="45">
        <f>MIN(1,MAX(0,(A2091-I2091+1)*RampSpeed/J2091))</f>
        <v/>
      </c>
      <c r="M2091" s="45">
        <f>IF(A2091&lt;I2091,0,IF(K2091="S-curve",L2091*L2091*(3-2*L2091),L2091))</f>
        <v/>
      </c>
      <c r="N2091" s="45">
        <f>1+(INDEX(SeasonIdx,A2091)-1)*SeasonAmp</f>
        <v/>
      </c>
      <c r="O2091" s="45">
        <f>IFERROR(INDEX(PSPct,MATCH(E2091&amp;"|"&amp;G2091,PSKey,0)),0)</f>
        <v/>
      </c>
      <c r="P2091" s="46">
        <f>INDEX(ChDoorVel,MATCH(E2091,ChName,0))*CalibScalar*(1+VelocityUplift)</f>
        <v/>
      </c>
      <c r="Q2091" s="46" t="n">
        <v>0</v>
      </c>
      <c r="R2091" s="46">
        <f>P2091*O2091*M2091*N2091*H2091</f>
        <v/>
      </c>
      <c r="S2091" s="46">
        <f>R2091*INDEX(FmtCansPerCase,MATCH(F2091,FmtName,0))</f>
        <v/>
      </c>
      <c r="T2091" s="46">
        <f>S2091/INDEX(FmtCansPerPack,MATCH(F2091,FmtName,0))</f>
        <v/>
      </c>
      <c r="U2091" s="47">
        <f>INDEX(ChBaseCP,MATCH(E2091,ChName,0))*(1+INDEX(ProvMod,MATCH(G2091,ProvCode,0)))*(1+PriceIndex)</f>
        <v/>
      </c>
      <c r="V2091" s="47">
        <f>R2091*U2091*INDEX(FmtBlendedPriceIdx,MATCH(F2091,FmtName,0))</f>
        <v/>
      </c>
      <c r="W2091" s="47">
        <f>T2091*INDEX(ProvSRP,MATCH(G2091,ProvCode,0))*(1+PriceIndex)</f>
        <v/>
      </c>
      <c r="X2091" s="47">
        <f>IF(GrossBasis="Wholesale",V2091,W2091)</f>
        <v/>
      </c>
      <c r="Y2091" s="47">
        <f>R2091*INDEX(FmtBlendedCogs,MATCH(F2091,FmtName,0))</f>
        <v/>
      </c>
      <c r="Z2091" s="47">
        <f>X2091-Y2091</f>
        <v/>
      </c>
    </row>
    <row r="2092">
      <c r="A2092" t="n">
        <v>24</v>
      </c>
      <c r="B2092" s="44">
        <f>FiscalStart+(A2092-1)*7</f>
        <v/>
      </c>
      <c r="C2092">
        <f>TEXT(B2092,"mmm yyyy")</f>
        <v/>
      </c>
      <c r="D2092">
        <f>"Q"&amp;(INT((A2092-1)/13)+1)</f>
        <v/>
      </c>
      <c r="E2092" t="inlineStr">
        <is>
          <t>Costco</t>
        </is>
      </c>
      <c r="F2092">
        <f>IFERROR(INDEX(ChFormat,MATCH(E2092,ChName,0)),"")</f>
        <v/>
      </c>
      <c r="G2092" t="inlineStr">
        <is>
          <t>NL</t>
        </is>
      </c>
      <c r="H2092">
        <f>IF(A2092&lt;=NWeeks,1,0)</f>
        <v/>
      </c>
      <c r="I2092">
        <f>INDEX(ChLaunch,MATCH(E2092,ChName,0))</f>
        <v/>
      </c>
      <c r="J2092">
        <f>INDEX(ChWeeksFull,MATCH(E2092,ChName,0))</f>
        <v/>
      </c>
      <c r="K2092">
        <f>INDEX(ChRamp,MATCH(E2092,ChName,0))</f>
        <v/>
      </c>
      <c r="L2092" s="45">
        <f>MIN(1,MAX(0,(A2092-I2092+1)*RampSpeed/J2092))</f>
        <v/>
      </c>
      <c r="M2092" s="45">
        <f>IF(A2092&lt;I2092,0,IF(K2092="S-curve",L2092*L2092*(3-2*L2092),L2092))</f>
        <v/>
      </c>
      <c r="N2092" s="45">
        <f>1+(INDEX(SeasonIdx,A2092)-1)*SeasonAmp</f>
        <v/>
      </c>
      <c r="O2092" s="45">
        <f>IFERROR(INDEX(PSPct,MATCH(E2092&amp;"|"&amp;G2092,PSKey,0)),0)</f>
        <v/>
      </c>
      <c r="P2092" s="46">
        <f>INDEX(ChDoorVel,MATCH(E2092,ChName,0))*CalibScalar*(1+VelocityUplift)</f>
        <v/>
      </c>
      <c r="Q2092" s="46" t="n">
        <v>0</v>
      </c>
      <c r="R2092" s="46">
        <f>P2092*O2092*M2092*N2092*H2092</f>
        <v/>
      </c>
      <c r="S2092" s="46">
        <f>R2092*INDEX(FmtCansPerCase,MATCH(F2092,FmtName,0))</f>
        <v/>
      </c>
      <c r="T2092" s="46">
        <f>S2092/INDEX(FmtCansPerPack,MATCH(F2092,FmtName,0))</f>
        <v/>
      </c>
      <c r="U2092" s="47">
        <f>INDEX(ChBaseCP,MATCH(E2092,ChName,0))*(1+INDEX(ProvMod,MATCH(G2092,ProvCode,0)))*(1+PriceIndex)</f>
        <v/>
      </c>
      <c r="V2092" s="47">
        <f>R2092*U2092*INDEX(FmtBlendedPriceIdx,MATCH(F2092,FmtName,0))</f>
        <v/>
      </c>
      <c r="W2092" s="47">
        <f>T2092*INDEX(ProvSRP,MATCH(G2092,ProvCode,0))*(1+PriceIndex)</f>
        <v/>
      </c>
      <c r="X2092" s="47">
        <f>IF(GrossBasis="Wholesale",V2092,W2092)</f>
        <v/>
      </c>
      <c r="Y2092" s="47">
        <f>R2092*INDEX(FmtBlendedCogs,MATCH(F2092,FmtName,0))</f>
        <v/>
      </c>
      <c r="Z2092" s="47">
        <f>X2092-Y2092</f>
        <v/>
      </c>
    </row>
    <row r="2093">
      <c r="A2093" t="n">
        <v>25</v>
      </c>
      <c r="B2093" s="44">
        <f>FiscalStart+(A2093-1)*7</f>
        <v/>
      </c>
      <c r="C2093">
        <f>TEXT(B2093,"mmm yyyy")</f>
        <v/>
      </c>
      <c r="D2093">
        <f>"Q"&amp;(INT((A2093-1)/13)+1)</f>
        <v/>
      </c>
      <c r="E2093" t="inlineStr">
        <is>
          <t>Costco</t>
        </is>
      </c>
      <c r="F2093">
        <f>IFERROR(INDEX(ChFormat,MATCH(E2093,ChName,0)),"")</f>
        <v/>
      </c>
      <c r="G2093" t="inlineStr">
        <is>
          <t>NL</t>
        </is>
      </c>
      <c r="H2093">
        <f>IF(A2093&lt;=NWeeks,1,0)</f>
        <v/>
      </c>
      <c r="I2093">
        <f>INDEX(ChLaunch,MATCH(E2093,ChName,0))</f>
        <v/>
      </c>
      <c r="J2093">
        <f>INDEX(ChWeeksFull,MATCH(E2093,ChName,0))</f>
        <v/>
      </c>
      <c r="K2093">
        <f>INDEX(ChRamp,MATCH(E2093,ChName,0))</f>
        <v/>
      </c>
      <c r="L2093" s="45">
        <f>MIN(1,MAX(0,(A2093-I2093+1)*RampSpeed/J2093))</f>
        <v/>
      </c>
      <c r="M2093" s="45">
        <f>IF(A2093&lt;I2093,0,IF(K2093="S-curve",L2093*L2093*(3-2*L2093),L2093))</f>
        <v/>
      </c>
      <c r="N2093" s="45">
        <f>1+(INDEX(SeasonIdx,A2093)-1)*SeasonAmp</f>
        <v/>
      </c>
      <c r="O2093" s="45">
        <f>IFERROR(INDEX(PSPct,MATCH(E2093&amp;"|"&amp;G2093,PSKey,0)),0)</f>
        <v/>
      </c>
      <c r="P2093" s="46">
        <f>INDEX(ChDoorVel,MATCH(E2093,ChName,0))*CalibScalar*(1+VelocityUplift)</f>
        <v/>
      </c>
      <c r="Q2093" s="46" t="n">
        <v>0</v>
      </c>
      <c r="R2093" s="46">
        <f>P2093*O2093*M2093*N2093*H2093</f>
        <v/>
      </c>
      <c r="S2093" s="46">
        <f>R2093*INDEX(FmtCansPerCase,MATCH(F2093,FmtName,0))</f>
        <v/>
      </c>
      <c r="T2093" s="46">
        <f>S2093/INDEX(FmtCansPerPack,MATCH(F2093,FmtName,0))</f>
        <v/>
      </c>
      <c r="U2093" s="47">
        <f>INDEX(ChBaseCP,MATCH(E2093,ChName,0))*(1+INDEX(ProvMod,MATCH(G2093,ProvCode,0)))*(1+PriceIndex)</f>
        <v/>
      </c>
      <c r="V2093" s="47">
        <f>R2093*U2093*INDEX(FmtBlendedPriceIdx,MATCH(F2093,FmtName,0))</f>
        <v/>
      </c>
      <c r="W2093" s="47">
        <f>T2093*INDEX(ProvSRP,MATCH(G2093,ProvCode,0))*(1+PriceIndex)</f>
        <v/>
      </c>
      <c r="X2093" s="47">
        <f>IF(GrossBasis="Wholesale",V2093,W2093)</f>
        <v/>
      </c>
      <c r="Y2093" s="47">
        <f>R2093*INDEX(FmtBlendedCogs,MATCH(F2093,FmtName,0))</f>
        <v/>
      </c>
      <c r="Z2093" s="47">
        <f>X2093-Y2093</f>
        <v/>
      </c>
    </row>
    <row r="2094">
      <c r="A2094" t="n">
        <v>26</v>
      </c>
      <c r="B2094" s="44">
        <f>FiscalStart+(A2094-1)*7</f>
        <v/>
      </c>
      <c r="C2094">
        <f>TEXT(B2094,"mmm yyyy")</f>
        <v/>
      </c>
      <c r="D2094">
        <f>"Q"&amp;(INT((A2094-1)/13)+1)</f>
        <v/>
      </c>
      <c r="E2094" t="inlineStr">
        <is>
          <t>Costco</t>
        </is>
      </c>
      <c r="F2094">
        <f>IFERROR(INDEX(ChFormat,MATCH(E2094,ChName,0)),"")</f>
        <v/>
      </c>
      <c r="G2094" t="inlineStr">
        <is>
          <t>NL</t>
        </is>
      </c>
      <c r="H2094">
        <f>IF(A2094&lt;=NWeeks,1,0)</f>
        <v/>
      </c>
      <c r="I2094">
        <f>INDEX(ChLaunch,MATCH(E2094,ChName,0))</f>
        <v/>
      </c>
      <c r="J2094">
        <f>INDEX(ChWeeksFull,MATCH(E2094,ChName,0))</f>
        <v/>
      </c>
      <c r="K2094">
        <f>INDEX(ChRamp,MATCH(E2094,ChName,0))</f>
        <v/>
      </c>
      <c r="L2094" s="45">
        <f>MIN(1,MAX(0,(A2094-I2094+1)*RampSpeed/J2094))</f>
        <v/>
      </c>
      <c r="M2094" s="45">
        <f>IF(A2094&lt;I2094,0,IF(K2094="S-curve",L2094*L2094*(3-2*L2094),L2094))</f>
        <v/>
      </c>
      <c r="N2094" s="45">
        <f>1+(INDEX(SeasonIdx,A2094)-1)*SeasonAmp</f>
        <v/>
      </c>
      <c r="O2094" s="45">
        <f>IFERROR(INDEX(PSPct,MATCH(E2094&amp;"|"&amp;G2094,PSKey,0)),0)</f>
        <v/>
      </c>
      <c r="P2094" s="46">
        <f>INDEX(ChDoorVel,MATCH(E2094,ChName,0))*CalibScalar*(1+VelocityUplift)</f>
        <v/>
      </c>
      <c r="Q2094" s="46" t="n">
        <v>0</v>
      </c>
      <c r="R2094" s="46">
        <f>P2094*O2094*M2094*N2094*H2094</f>
        <v/>
      </c>
      <c r="S2094" s="46">
        <f>R2094*INDEX(FmtCansPerCase,MATCH(F2094,FmtName,0))</f>
        <v/>
      </c>
      <c r="T2094" s="46">
        <f>S2094/INDEX(FmtCansPerPack,MATCH(F2094,FmtName,0))</f>
        <v/>
      </c>
      <c r="U2094" s="47">
        <f>INDEX(ChBaseCP,MATCH(E2094,ChName,0))*(1+INDEX(ProvMod,MATCH(G2094,ProvCode,0)))*(1+PriceIndex)</f>
        <v/>
      </c>
      <c r="V2094" s="47">
        <f>R2094*U2094*INDEX(FmtBlendedPriceIdx,MATCH(F2094,FmtName,0))</f>
        <v/>
      </c>
      <c r="W2094" s="47">
        <f>T2094*INDEX(ProvSRP,MATCH(G2094,ProvCode,0))*(1+PriceIndex)</f>
        <v/>
      </c>
      <c r="X2094" s="47">
        <f>IF(GrossBasis="Wholesale",V2094,W2094)</f>
        <v/>
      </c>
      <c r="Y2094" s="47">
        <f>R2094*INDEX(FmtBlendedCogs,MATCH(F2094,FmtName,0))</f>
        <v/>
      </c>
      <c r="Z2094" s="47">
        <f>X2094-Y2094</f>
        <v/>
      </c>
    </row>
    <row r="2095">
      <c r="A2095" t="n">
        <v>27</v>
      </c>
      <c r="B2095" s="44">
        <f>FiscalStart+(A2095-1)*7</f>
        <v/>
      </c>
      <c r="C2095">
        <f>TEXT(B2095,"mmm yyyy")</f>
        <v/>
      </c>
      <c r="D2095">
        <f>"Q"&amp;(INT((A2095-1)/13)+1)</f>
        <v/>
      </c>
      <c r="E2095" t="inlineStr">
        <is>
          <t>Costco</t>
        </is>
      </c>
      <c r="F2095">
        <f>IFERROR(INDEX(ChFormat,MATCH(E2095,ChName,0)),"")</f>
        <v/>
      </c>
      <c r="G2095" t="inlineStr">
        <is>
          <t>NL</t>
        </is>
      </c>
      <c r="H2095">
        <f>IF(A2095&lt;=NWeeks,1,0)</f>
        <v/>
      </c>
      <c r="I2095">
        <f>INDEX(ChLaunch,MATCH(E2095,ChName,0))</f>
        <v/>
      </c>
      <c r="J2095">
        <f>INDEX(ChWeeksFull,MATCH(E2095,ChName,0))</f>
        <v/>
      </c>
      <c r="K2095">
        <f>INDEX(ChRamp,MATCH(E2095,ChName,0))</f>
        <v/>
      </c>
      <c r="L2095" s="45">
        <f>MIN(1,MAX(0,(A2095-I2095+1)*RampSpeed/J2095))</f>
        <v/>
      </c>
      <c r="M2095" s="45">
        <f>IF(A2095&lt;I2095,0,IF(K2095="S-curve",L2095*L2095*(3-2*L2095),L2095))</f>
        <v/>
      </c>
      <c r="N2095" s="45">
        <f>1+(INDEX(SeasonIdx,A2095)-1)*SeasonAmp</f>
        <v/>
      </c>
      <c r="O2095" s="45">
        <f>IFERROR(INDEX(PSPct,MATCH(E2095&amp;"|"&amp;G2095,PSKey,0)),0)</f>
        <v/>
      </c>
      <c r="P2095" s="46">
        <f>INDEX(ChDoorVel,MATCH(E2095,ChName,0))*CalibScalar*(1+VelocityUplift)</f>
        <v/>
      </c>
      <c r="Q2095" s="46" t="n">
        <v>0</v>
      </c>
      <c r="R2095" s="46">
        <f>P2095*O2095*M2095*N2095*H2095</f>
        <v/>
      </c>
      <c r="S2095" s="46">
        <f>R2095*INDEX(FmtCansPerCase,MATCH(F2095,FmtName,0))</f>
        <v/>
      </c>
      <c r="T2095" s="46">
        <f>S2095/INDEX(FmtCansPerPack,MATCH(F2095,FmtName,0))</f>
        <v/>
      </c>
      <c r="U2095" s="47">
        <f>INDEX(ChBaseCP,MATCH(E2095,ChName,0))*(1+INDEX(ProvMod,MATCH(G2095,ProvCode,0)))*(1+PriceIndex)</f>
        <v/>
      </c>
      <c r="V2095" s="47">
        <f>R2095*U2095*INDEX(FmtBlendedPriceIdx,MATCH(F2095,FmtName,0))</f>
        <v/>
      </c>
      <c r="W2095" s="47">
        <f>T2095*INDEX(ProvSRP,MATCH(G2095,ProvCode,0))*(1+PriceIndex)</f>
        <v/>
      </c>
      <c r="X2095" s="47">
        <f>IF(GrossBasis="Wholesale",V2095,W2095)</f>
        <v/>
      </c>
      <c r="Y2095" s="47">
        <f>R2095*INDEX(FmtBlendedCogs,MATCH(F2095,FmtName,0))</f>
        <v/>
      </c>
      <c r="Z2095" s="47">
        <f>X2095-Y2095</f>
        <v/>
      </c>
    </row>
    <row r="2096">
      <c r="A2096" t="n">
        <v>28</v>
      </c>
      <c r="B2096" s="44">
        <f>FiscalStart+(A2096-1)*7</f>
        <v/>
      </c>
      <c r="C2096">
        <f>TEXT(B2096,"mmm yyyy")</f>
        <v/>
      </c>
      <c r="D2096">
        <f>"Q"&amp;(INT((A2096-1)/13)+1)</f>
        <v/>
      </c>
      <c r="E2096" t="inlineStr">
        <is>
          <t>Costco</t>
        </is>
      </c>
      <c r="F2096">
        <f>IFERROR(INDEX(ChFormat,MATCH(E2096,ChName,0)),"")</f>
        <v/>
      </c>
      <c r="G2096" t="inlineStr">
        <is>
          <t>NL</t>
        </is>
      </c>
      <c r="H2096">
        <f>IF(A2096&lt;=NWeeks,1,0)</f>
        <v/>
      </c>
      <c r="I2096">
        <f>INDEX(ChLaunch,MATCH(E2096,ChName,0))</f>
        <v/>
      </c>
      <c r="J2096">
        <f>INDEX(ChWeeksFull,MATCH(E2096,ChName,0))</f>
        <v/>
      </c>
      <c r="K2096">
        <f>INDEX(ChRamp,MATCH(E2096,ChName,0))</f>
        <v/>
      </c>
      <c r="L2096" s="45">
        <f>MIN(1,MAX(0,(A2096-I2096+1)*RampSpeed/J2096))</f>
        <v/>
      </c>
      <c r="M2096" s="45">
        <f>IF(A2096&lt;I2096,0,IF(K2096="S-curve",L2096*L2096*(3-2*L2096),L2096))</f>
        <v/>
      </c>
      <c r="N2096" s="45">
        <f>1+(INDEX(SeasonIdx,A2096)-1)*SeasonAmp</f>
        <v/>
      </c>
      <c r="O2096" s="45">
        <f>IFERROR(INDEX(PSPct,MATCH(E2096&amp;"|"&amp;G2096,PSKey,0)),0)</f>
        <v/>
      </c>
      <c r="P2096" s="46">
        <f>INDEX(ChDoorVel,MATCH(E2096,ChName,0))*CalibScalar*(1+VelocityUplift)</f>
        <v/>
      </c>
      <c r="Q2096" s="46" t="n">
        <v>0</v>
      </c>
      <c r="R2096" s="46">
        <f>P2096*O2096*M2096*N2096*H2096</f>
        <v/>
      </c>
      <c r="S2096" s="46">
        <f>R2096*INDEX(FmtCansPerCase,MATCH(F2096,FmtName,0))</f>
        <v/>
      </c>
      <c r="T2096" s="46">
        <f>S2096/INDEX(FmtCansPerPack,MATCH(F2096,FmtName,0))</f>
        <v/>
      </c>
      <c r="U2096" s="47">
        <f>INDEX(ChBaseCP,MATCH(E2096,ChName,0))*(1+INDEX(ProvMod,MATCH(G2096,ProvCode,0)))*(1+PriceIndex)</f>
        <v/>
      </c>
      <c r="V2096" s="47">
        <f>R2096*U2096*INDEX(FmtBlendedPriceIdx,MATCH(F2096,FmtName,0))</f>
        <v/>
      </c>
      <c r="W2096" s="47">
        <f>T2096*INDEX(ProvSRP,MATCH(G2096,ProvCode,0))*(1+PriceIndex)</f>
        <v/>
      </c>
      <c r="X2096" s="47">
        <f>IF(GrossBasis="Wholesale",V2096,W2096)</f>
        <v/>
      </c>
      <c r="Y2096" s="47">
        <f>R2096*INDEX(FmtBlendedCogs,MATCH(F2096,FmtName,0))</f>
        <v/>
      </c>
      <c r="Z2096" s="47">
        <f>X2096-Y2096</f>
        <v/>
      </c>
    </row>
    <row r="2097">
      <c r="A2097" t="n">
        <v>29</v>
      </c>
      <c r="B2097" s="44">
        <f>FiscalStart+(A2097-1)*7</f>
        <v/>
      </c>
      <c r="C2097">
        <f>TEXT(B2097,"mmm yyyy")</f>
        <v/>
      </c>
      <c r="D2097">
        <f>"Q"&amp;(INT((A2097-1)/13)+1)</f>
        <v/>
      </c>
      <c r="E2097" t="inlineStr">
        <is>
          <t>Costco</t>
        </is>
      </c>
      <c r="F2097">
        <f>IFERROR(INDEX(ChFormat,MATCH(E2097,ChName,0)),"")</f>
        <v/>
      </c>
      <c r="G2097" t="inlineStr">
        <is>
          <t>NL</t>
        </is>
      </c>
      <c r="H2097">
        <f>IF(A2097&lt;=NWeeks,1,0)</f>
        <v/>
      </c>
      <c r="I2097">
        <f>INDEX(ChLaunch,MATCH(E2097,ChName,0))</f>
        <v/>
      </c>
      <c r="J2097">
        <f>INDEX(ChWeeksFull,MATCH(E2097,ChName,0))</f>
        <v/>
      </c>
      <c r="K2097">
        <f>INDEX(ChRamp,MATCH(E2097,ChName,0))</f>
        <v/>
      </c>
      <c r="L2097" s="45">
        <f>MIN(1,MAX(0,(A2097-I2097+1)*RampSpeed/J2097))</f>
        <v/>
      </c>
      <c r="M2097" s="45">
        <f>IF(A2097&lt;I2097,0,IF(K2097="S-curve",L2097*L2097*(3-2*L2097),L2097))</f>
        <v/>
      </c>
      <c r="N2097" s="45">
        <f>1+(INDEX(SeasonIdx,A2097)-1)*SeasonAmp</f>
        <v/>
      </c>
      <c r="O2097" s="45">
        <f>IFERROR(INDEX(PSPct,MATCH(E2097&amp;"|"&amp;G2097,PSKey,0)),0)</f>
        <v/>
      </c>
      <c r="P2097" s="46">
        <f>INDEX(ChDoorVel,MATCH(E2097,ChName,0))*CalibScalar*(1+VelocityUplift)</f>
        <v/>
      </c>
      <c r="Q2097" s="46" t="n">
        <v>0</v>
      </c>
      <c r="R2097" s="46">
        <f>P2097*O2097*M2097*N2097*H2097</f>
        <v/>
      </c>
      <c r="S2097" s="46">
        <f>R2097*INDEX(FmtCansPerCase,MATCH(F2097,FmtName,0))</f>
        <v/>
      </c>
      <c r="T2097" s="46">
        <f>S2097/INDEX(FmtCansPerPack,MATCH(F2097,FmtName,0))</f>
        <v/>
      </c>
      <c r="U2097" s="47">
        <f>INDEX(ChBaseCP,MATCH(E2097,ChName,0))*(1+INDEX(ProvMod,MATCH(G2097,ProvCode,0)))*(1+PriceIndex)</f>
        <v/>
      </c>
      <c r="V2097" s="47">
        <f>R2097*U2097*INDEX(FmtBlendedPriceIdx,MATCH(F2097,FmtName,0))</f>
        <v/>
      </c>
      <c r="W2097" s="47">
        <f>T2097*INDEX(ProvSRP,MATCH(G2097,ProvCode,0))*(1+PriceIndex)</f>
        <v/>
      </c>
      <c r="X2097" s="47">
        <f>IF(GrossBasis="Wholesale",V2097,W2097)</f>
        <v/>
      </c>
      <c r="Y2097" s="47">
        <f>R2097*INDEX(FmtBlendedCogs,MATCH(F2097,FmtName,0))</f>
        <v/>
      </c>
      <c r="Z2097" s="47">
        <f>X2097-Y2097</f>
        <v/>
      </c>
    </row>
    <row r="2098">
      <c r="A2098" t="n">
        <v>30</v>
      </c>
      <c r="B2098" s="44">
        <f>FiscalStart+(A2098-1)*7</f>
        <v/>
      </c>
      <c r="C2098">
        <f>TEXT(B2098,"mmm yyyy")</f>
        <v/>
      </c>
      <c r="D2098">
        <f>"Q"&amp;(INT((A2098-1)/13)+1)</f>
        <v/>
      </c>
      <c r="E2098" t="inlineStr">
        <is>
          <t>Costco</t>
        </is>
      </c>
      <c r="F2098">
        <f>IFERROR(INDEX(ChFormat,MATCH(E2098,ChName,0)),"")</f>
        <v/>
      </c>
      <c r="G2098" t="inlineStr">
        <is>
          <t>NL</t>
        </is>
      </c>
      <c r="H2098">
        <f>IF(A2098&lt;=NWeeks,1,0)</f>
        <v/>
      </c>
      <c r="I2098">
        <f>INDEX(ChLaunch,MATCH(E2098,ChName,0))</f>
        <v/>
      </c>
      <c r="J2098">
        <f>INDEX(ChWeeksFull,MATCH(E2098,ChName,0))</f>
        <v/>
      </c>
      <c r="K2098">
        <f>INDEX(ChRamp,MATCH(E2098,ChName,0))</f>
        <v/>
      </c>
      <c r="L2098" s="45">
        <f>MIN(1,MAX(0,(A2098-I2098+1)*RampSpeed/J2098))</f>
        <v/>
      </c>
      <c r="M2098" s="45">
        <f>IF(A2098&lt;I2098,0,IF(K2098="S-curve",L2098*L2098*(3-2*L2098),L2098))</f>
        <v/>
      </c>
      <c r="N2098" s="45">
        <f>1+(INDEX(SeasonIdx,A2098)-1)*SeasonAmp</f>
        <v/>
      </c>
      <c r="O2098" s="45">
        <f>IFERROR(INDEX(PSPct,MATCH(E2098&amp;"|"&amp;G2098,PSKey,0)),0)</f>
        <v/>
      </c>
      <c r="P2098" s="46">
        <f>INDEX(ChDoorVel,MATCH(E2098,ChName,0))*CalibScalar*(1+VelocityUplift)</f>
        <v/>
      </c>
      <c r="Q2098" s="46" t="n">
        <v>0</v>
      </c>
      <c r="R2098" s="46">
        <f>P2098*O2098*M2098*N2098*H2098</f>
        <v/>
      </c>
      <c r="S2098" s="46">
        <f>R2098*INDEX(FmtCansPerCase,MATCH(F2098,FmtName,0))</f>
        <v/>
      </c>
      <c r="T2098" s="46">
        <f>S2098/INDEX(FmtCansPerPack,MATCH(F2098,FmtName,0))</f>
        <v/>
      </c>
      <c r="U2098" s="47">
        <f>INDEX(ChBaseCP,MATCH(E2098,ChName,0))*(1+INDEX(ProvMod,MATCH(G2098,ProvCode,0)))*(1+PriceIndex)</f>
        <v/>
      </c>
      <c r="V2098" s="47">
        <f>R2098*U2098*INDEX(FmtBlendedPriceIdx,MATCH(F2098,FmtName,0))</f>
        <v/>
      </c>
      <c r="W2098" s="47">
        <f>T2098*INDEX(ProvSRP,MATCH(G2098,ProvCode,0))*(1+PriceIndex)</f>
        <v/>
      </c>
      <c r="X2098" s="47">
        <f>IF(GrossBasis="Wholesale",V2098,W2098)</f>
        <v/>
      </c>
      <c r="Y2098" s="47">
        <f>R2098*INDEX(FmtBlendedCogs,MATCH(F2098,FmtName,0))</f>
        <v/>
      </c>
      <c r="Z2098" s="47">
        <f>X2098-Y2098</f>
        <v/>
      </c>
    </row>
    <row r="2099">
      <c r="A2099" t="n">
        <v>31</v>
      </c>
      <c r="B2099" s="44">
        <f>FiscalStart+(A2099-1)*7</f>
        <v/>
      </c>
      <c r="C2099">
        <f>TEXT(B2099,"mmm yyyy")</f>
        <v/>
      </c>
      <c r="D2099">
        <f>"Q"&amp;(INT((A2099-1)/13)+1)</f>
        <v/>
      </c>
      <c r="E2099" t="inlineStr">
        <is>
          <t>Costco</t>
        </is>
      </c>
      <c r="F2099">
        <f>IFERROR(INDEX(ChFormat,MATCH(E2099,ChName,0)),"")</f>
        <v/>
      </c>
      <c r="G2099" t="inlineStr">
        <is>
          <t>NL</t>
        </is>
      </c>
      <c r="H2099">
        <f>IF(A2099&lt;=NWeeks,1,0)</f>
        <v/>
      </c>
      <c r="I2099">
        <f>INDEX(ChLaunch,MATCH(E2099,ChName,0))</f>
        <v/>
      </c>
      <c r="J2099">
        <f>INDEX(ChWeeksFull,MATCH(E2099,ChName,0))</f>
        <v/>
      </c>
      <c r="K2099">
        <f>INDEX(ChRamp,MATCH(E2099,ChName,0))</f>
        <v/>
      </c>
      <c r="L2099" s="45">
        <f>MIN(1,MAX(0,(A2099-I2099+1)*RampSpeed/J2099))</f>
        <v/>
      </c>
      <c r="M2099" s="45">
        <f>IF(A2099&lt;I2099,0,IF(K2099="S-curve",L2099*L2099*(3-2*L2099),L2099))</f>
        <v/>
      </c>
      <c r="N2099" s="45">
        <f>1+(INDEX(SeasonIdx,A2099)-1)*SeasonAmp</f>
        <v/>
      </c>
      <c r="O2099" s="45">
        <f>IFERROR(INDEX(PSPct,MATCH(E2099&amp;"|"&amp;G2099,PSKey,0)),0)</f>
        <v/>
      </c>
      <c r="P2099" s="46">
        <f>INDEX(ChDoorVel,MATCH(E2099,ChName,0))*CalibScalar*(1+VelocityUplift)</f>
        <v/>
      </c>
      <c r="Q2099" s="46" t="n">
        <v>0</v>
      </c>
      <c r="R2099" s="46">
        <f>P2099*O2099*M2099*N2099*H2099</f>
        <v/>
      </c>
      <c r="S2099" s="46">
        <f>R2099*INDEX(FmtCansPerCase,MATCH(F2099,FmtName,0))</f>
        <v/>
      </c>
      <c r="T2099" s="46">
        <f>S2099/INDEX(FmtCansPerPack,MATCH(F2099,FmtName,0))</f>
        <v/>
      </c>
      <c r="U2099" s="47">
        <f>INDEX(ChBaseCP,MATCH(E2099,ChName,0))*(1+INDEX(ProvMod,MATCH(G2099,ProvCode,0)))*(1+PriceIndex)</f>
        <v/>
      </c>
      <c r="V2099" s="47">
        <f>R2099*U2099*INDEX(FmtBlendedPriceIdx,MATCH(F2099,FmtName,0))</f>
        <v/>
      </c>
      <c r="W2099" s="47">
        <f>T2099*INDEX(ProvSRP,MATCH(G2099,ProvCode,0))*(1+PriceIndex)</f>
        <v/>
      </c>
      <c r="X2099" s="47">
        <f>IF(GrossBasis="Wholesale",V2099,W2099)</f>
        <v/>
      </c>
      <c r="Y2099" s="47">
        <f>R2099*INDEX(FmtBlendedCogs,MATCH(F2099,FmtName,0))</f>
        <v/>
      </c>
      <c r="Z2099" s="47">
        <f>X2099-Y2099</f>
        <v/>
      </c>
    </row>
    <row r="2100">
      <c r="A2100" t="n">
        <v>32</v>
      </c>
      <c r="B2100" s="44">
        <f>FiscalStart+(A2100-1)*7</f>
        <v/>
      </c>
      <c r="C2100">
        <f>TEXT(B2100,"mmm yyyy")</f>
        <v/>
      </c>
      <c r="D2100">
        <f>"Q"&amp;(INT((A2100-1)/13)+1)</f>
        <v/>
      </c>
      <c r="E2100" t="inlineStr">
        <is>
          <t>Costco</t>
        </is>
      </c>
      <c r="F2100">
        <f>IFERROR(INDEX(ChFormat,MATCH(E2100,ChName,0)),"")</f>
        <v/>
      </c>
      <c r="G2100" t="inlineStr">
        <is>
          <t>NL</t>
        </is>
      </c>
      <c r="H2100">
        <f>IF(A2100&lt;=NWeeks,1,0)</f>
        <v/>
      </c>
      <c r="I2100">
        <f>INDEX(ChLaunch,MATCH(E2100,ChName,0))</f>
        <v/>
      </c>
      <c r="J2100">
        <f>INDEX(ChWeeksFull,MATCH(E2100,ChName,0))</f>
        <v/>
      </c>
      <c r="K2100">
        <f>INDEX(ChRamp,MATCH(E2100,ChName,0))</f>
        <v/>
      </c>
      <c r="L2100" s="45">
        <f>MIN(1,MAX(0,(A2100-I2100+1)*RampSpeed/J2100))</f>
        <v/>
      </c>
      <c r="M2100" s="45">
        <f>IF(A2100&lt;I2100,0,IF(K2100="S-curve",L2100*L2100*(3-2*L2100),L2100))</f>
        <v/>
      </c>
      <c r="N2100" s="45">
        <f>1+(INDEX(SeasonIdx,A2100)-1)*SeasonAmp</f>
        <v/>
      </c>
      <c r="O2100" s="45">
        <f>IFERROR(INDEX(PSPct,MATCH(E2100&amp;"|"&amp;G2100,PSKey,0)),0)</f>
        <v/>
      </c>
      <c r="P2100" s="46">
        <f>INDEX(ChDoorVel,MATCH(E2100,ChName,0))*CalibScalar*(1+VelocityUplift)</f>
        <v/>
      </c>
      <c r="Q2100" s="46" t="n">
        <v>0</v>
      </c>
      <c r="R2100" s="46">
        <f>P2100*O2100*M2100*N2100*H2100</f>
        <v/>
      </c>
      <c r="S2100" s="46">
        <f>R2100*INDEX(FmtCansPerCase,MATCH(F2100,FmtName,0))</f>
        <v/>
      </c>
      <c r="T2100" s="46">
        <f>S2100/INDEX(FmtCansPerPack,MATCH(F2100,FmtName,0))</f>
        <v/>
      </c>
      <c r="U2100" s="47">
        <f>INDEX(ChBaseCP,MATCH(E2100,ChName,0))*(1+INDEX(ProvMod,MATCH(G2100,ProvCode,0)))*(1+PriceIndex)</f>
        <v/>
      </c>
      <c r="V2100" s="47">
        <f>R2100*U2100*INDEX(FmtBlendedPriceIdx,MATCH(F2100,FmtName,0))</f>
        <v/>
      </c>
      <c r="W2100" s="47">
        <f>T2100*INDEX(ProvSRP,MATCH(G2100,ProvCode,0))*(1+PriceIndex)</f>
        <v/>
      </c>
      <c r="X2100" s="47">
        <f>IF(GrossBasis="Wholesale",V2100,W2100)</f>
        <v/>
      </c>
      <c r="Y2100" s="47">
        <f>R2100*INDEX(FmtBlendedCogs,MATCH(F2100,FmtName,0))</f>
        <v/>
      </c>
      <c r="Z2100" s="47">
        <f>X2100-Y2100</f>
        <v/>
      </c>
    </row>
    <row r="2101">
      <c r="A2101" t="n">
        <v>33</v>
      </c>
      <c r="B2101" s="44">
        <f>FiscalStart+(A2101-1)*7</f>
        <v/>
      </c>
      <c r="C2101">
        <f>TEXT(B2101,"mmm yyyy")</f>
        <v/>
      </c>
      <c r="D2101">
        <f>"Q"&amp;(INT((A2101-1)/13)+1)</f>
        <v/>
      </c>
      <c r="E2101" t="inlineStr">
        <is>
          <t>Costco</t>
        </is>
      </c>
      <c r="F2101">
        <f>IFERROR(INDEX(ChFormat,MATCH(E2101,ChName,0)),"")</f>
        <v/>
      </c>
      <c r="G2101" t="inlineStr">
        <is>
          <t>NL</t>
        </is>
      </c>
      <c r="H2101">
        <f>IF(A2101&lt;=NWeeks,1,0)</f>
        <v/>
      </c>
      <c r="I2101">
        <f>INDEX(ChLaunch,MATCH(E2101,ChName,0))</f>
        <v/>
      </c>
      <c r="J2101">
        <f>INDEX(ChWeeksFull,MATCH(E2101,ChName,0))</f>
        <v/>
      </c>
      <c r="K2101">
        <f>INDEX(ChRamp,MATCH(E2101,ChName,0))</f>
        <v/>
      </c>
      <c r="L2101" s="45">
        <f>MIN(1,MAX(0,(A2101-I2101+1)*RampSpeed/J2101))</f>
        <v/>
      </c>
      <c r="M2101" s="45">
        <f>IF(A2101&lt;I2101,0,IF(K2101="S-curve",L2101*L2101*(3-2*L2101),L2101))</f>
        <v/>
      </c>
      <c r="N2101" s="45">
        <f>1+(INDEX(SeasonIdx,A2101)-1)*SeasonAmp</f>
        <v/>
      </c>
      <c r="O2101" s="45">
        <f>IFERROR(INDEX(PSPct,MATCH(E2101&amp;"|"&amp;G2101,PSKey,0)),0)</f>
        <v/>
      </c>
      <c r="P2101" s="46">
        <f>INDEX(ChDoorVel,MATCH(E2101,ChName,0))*CalibScalar*(1+VelocityUplift)</f>
        <v/>
      </c>
      <c r="Q2101" s="46" t="n">
        <v>0</v>
      </c>
      <c r="R2101" s="46">
        <f>P2101*O2101*M2101*N2101*H2101</f>
        <v/>
      </c>
      <c r="S2101" s="46">
        <f>R2101*INDEX(FmtCansPerCase,MATCH(F2101,FmtName,0))</f>
        <v/>
      </c>
      <c r="T2101" s="46">
        <f>S2101/INDEX(FmtCansPerPack,MATCH(F2101,FmtName,0))</f>
        <v/>
      </c>
      <c r="U2101" s="47">
        <f>INDEX(ChBaseCP,MATCH(E2101,ChName,0))*(1+INDEX(ProvMod,MATCH(G2101,ProvCode,0)))*(1+PriceIndex)</f>
        <v/>
      </c>
      <c r="V2101" s="47">
        <f>R2101*U2101*INDEX(FmtBlendedPriceIdx,MATCH(F2101,FmtName,0))</f>
        <v/>
      </c>
      <c r="W2101" s="47">
        <f>T2101*INDEX(ProvSRP,MATCH(G2101,ProvCode,0))*(1+PriceIndex)</f>
        <v/>
      </c>
      <c r="X2101" s="47">
        <f>IF(GrossBasis="Wholesale",V2101,W2101)</f>
        <v/>
      </c>
      <c r="Y2101" s="47">
        <f>R2101*INDEX(FmtBlendedCogs,MATCH(F2101,FmtName,0))</f>
        <v/>
      </c>
      <c r="Z2101" s="47">
        <f>X2101-Y2101</f>
        <v/>
      </c>
    </row>
    <row r="2102">
      <c r="A2102" t="n">
        <v>34</v>
      </c>
      <c r="B2102" s="44">
        <f>FiscalStart+(A2102-1)*7</f>
        <v/>
      </c>
      <c r="C2102">
        <f>TEXT(B2102,"mmm yyyy")</f>
        <v/>
      </c>
      <c r="D2102">
        <f>"Q"&amp;(INT((A2102-1)/13)+1)</f>
        <v/>
      </c>
      <c r="E2102" t="inlineStr">
        <is>
          <t>Costco</t>
        </is>
      </c>
      <c r="F2102">
        <f>IFERROR(INDEX(ChFormat,MATCH(E2102,ChName,0)),"")</f>
        <v/>
      </c>
      <c r="G2102" t="inlineStr">
        <is>
          <t>NL</t>
        </is>
      </c>
      <c r="H2102">
        <f>IF(A2102&lt;=NWeeks,1,0)</f>
        <v/>
      </c>
      <c r="I2102">
        <f>INDEX(ChLaunch,MATCH(E2102,ChName,0))</f>
        <v/>
      </c>
      <c r="J2102">
        <f>INDEX(ChWeeksFull,MATCH(E2102,ChName,0))</f>
        <v/>
      </c>
      <c r="K2102">
        <f>INDEX(ChRamp,MATCH(E2102,ChName,0))</f>
        <v/>
      </c>
      <c r="L2102" s="45">
        <f>MIN(1,MAX(0,(A2102-I2102+1)*RampSpeed/J2102))</f>
        <v/>
      </c>
      <c r="M2102" s="45">
        <f>IF(A2102&lt;I2102,0,IF(K2102="S-curve",L2102*L2102*(3-2*L2102),L2102))</f>
        <v/>
      </c>
      <c r="N2102" s="45">
        <f>1+(INDEX(SeasonIdx,A2102)-1)*SeasonAmp</f>
        <v/>
      </c>
      <c r="O2102" s="45">
        <f>IFERROR(INDEX(PSPct,MATCH(E2102&amp;"|"&amp;G2102,PSKey,0)),0)</f>
        <v/>
      </c>
      <c r="P2102" s="46">
        <f>INDEX(ChDoorVel,MATCH(E2102,ChName,0))*CalibScalar*(1+VelocityUplift)</f>
        <v/>
      </c>
      <c r="Q2102" s="46" t="n">
        <v>0</v>
      </c>
      <c r="R2102" s="46">
        <f>P2102*O2102*M2102*N2102*H2102</f>
        <v/>
      </c>
      <c r="S2102" s="46">
        <f>R2102*INDEX(FmtCansPerCase,MATCH(F2102,FmtName,0))</f>
        <v/>
      </c>
      <c r="T2102" s="46">
        <f>S2102/INDEX(FmtCansPerPack,MATCH(F2102,FmtName,0))</f>
        <v/>
      </c>
      <c r="U2102" s="47">
        <f>INDEX(ChBaseCP,MATCH(E2102,ChName,0))*(1+INDEX(ProvMod,MATCH(G2102,ProvCode,0)))*(1+PriceIndex)</f>
        <v/>
      </c>
      <c r="V2102" s="47">
        <f>R2102*U2102*INDEX(FmtBlendedPriceIdx,MATCH(F2102,FmtName,0))</f>
        <v/>
      </c>
      <c r="W2102" s="47">
        <f>T2102*INDEX(ProvSRP,MATCH(G2102,ProvCode,0))*(1+PriceIndex)</f>
        <v/>
      </c>
      <c r="X2102" s="47">
        <f>IF(GrossBasis="Wholesale",V2102,W2102)</f>
        <v/>
      </c>
      <c r="Y2102" s="47">
        <f>R2102*INDEX(FmtBlendedCogs,MATCH(F2102,FmtName,0))</f>
        <v/>
      </c>
      <c r="Z2102" s="47">
        <f>X2102-Y2102</f>
        <v/>
      </c>
    </row>
    <row r="2103">
      <c r="A2103" t="n">
        <v>35</v>
      </c>
      <c r="B2103" s="44">
        <f>FiscalStart+(A2103-1)*7</f>
        <v/>
      </c>
      <c r="C2103">
        <f>TEXT(B2103,"mmm yyyy")</f>
        <v/>
      </c>
      <c r="D2103">
        <f>"Q"&amp;(INT((A2103-1)/13)+1)</f>
        <v/>
      </c>
      <c r="E2103" t="inlineStr">
        <is>
          <t>Costco</t>
        </is>
      </c>
      <c r="F2103">
        <f>IFERROR(INDEX(ChFormat,MATCH(E2103,ChName,0)),"")</f>
        <v/>
      </c>
      <c r="G2103" t="inlineStr">
        <is>
          <t>NL</t>
        </is>
      </c>
      <c r="H2103">
        <f>IF(A2103&lt;=NWeeks,1,0)</f>
        <v/>
      </c>
      <c r="I2103">
        <f>INDEX(ChLaunch,MATCH(E2103,ChName,0))</f>
        <v/>
      </c>
      <c r="J2103">
        <f>INDEX(ChWeeksFull,MATCH(E2103,ChName,0))</f>
        <v/>
      </c>
      <c r="K2103">
        <f>INDEX(ChRamp,MATCH(E2103,ChName,0))</f>
        <v/>
      </c>
      <c r="L2103" s="45">
        <f>MIN(1,MAX(0,(A2103-I2103+1)*RampSpeed/J2103))</f>
        <v/>
      </c>
      <c r="M2103" s="45">
        <f>IF(A2103&lt;I2103,0,IF(K2103="S-curve",L2103*L2103*(3-2*L2103),L2103))</f>
        <v/>
      </c>
      <c r="N2103" s="45">
        <f>1+(INDEX(SeasonIdx,A2103)-1)*SeasonAmp</f>
        <v/>
      </c>
      <c r="O2103" s="45">
        <f>IFERROR(INDEX(PSPct,MATCH(E2103&amp;"|"&amp;G2103,PSKey,0)),0)</f>
        <v/>
      </c>
      <c r="P2103" s="46">
        <f>INDEX(ChDoorVel,MATCH(E2103,ChName,0))*CalibScalar*(1+VelocityUplift)</f>
        <v/>
      </c>
      <c r="Q2103" s="46" t="n">
        <v>0</v>
      </c>
      <c r="R2103" s="46">
        <f>P2103*O2103*M2103*N2103*H2103</f>
        <v/>
      </c>
      <c r="S2103" s="46">
        <f>R2103*INDEX(FmtCansPerCase,MATCH(F2103,FmtName,0))</f>
        <v/>
      </c>
      <c r="T2103" s="46">
        <f>S2103/INDEX(FmtCansPerPack,MATCH(F2103,FmtName,0))</f>
        <v/>
      </c>
      <c r="U2103" s="47">
        <f>INDEX(ChBaseCP,MATCH(E2103,ChName,0))*(1+INDEX(ProvMod,MATCH(G2103,ProvCode,0)))*(1+PriceIndex)</f>
        <v/>
      </c>
      <c r="V2103" s="47">
        <f>R2103*U2103*INDEX(FmtBlendedPriceIdx,MATCH(F2103,FmtName,0))</f>
        <v/>
      </c>
      <c r="W2103" s="47">
        <f>T2103*INDEX(ProvSRP,MATCH(G2103,ProvCode,0))*(1+PriceIndex)</f>
        <v/>
      </c>
      <c r="X2103" s="47">
        <f>IF(GrossBasis="Wholesale",V2103,W2103)</f>
        <v/>
      </c>
      <c r="Y2103" s="47">
        <f>R2103*INDEX(FmtBlendedCogs,MATCH(F2103,FmtName,0))</f>
        <v/>
      </c>
      <c r="Z2103" s="47">
        <f>X2103-Y2103</f>
        <v/>
      </c>
    </row>
    <row r="2104">
      <c r="A2104" t="n">
        <v>36</v>
      </c>
      <c r="B2104" s="44">
        <f>FiscalStart+(A2104-1)*7</f>
        <v/>
      </c>
      <c r="C2104">
        <f>TEXT(B2104,"mmm yyyy")</f>
        <v/>
      </c>
      <c r="D2104">
        <f>"Q"&amp;(INT((A2104-1)/13)+1)</f>
        <v/>
      </c>
      <c r="E2104" t="inlineStr">
        <is>
          <t>Costco</t>
        </is>
      </c>
      <c r="F2104">
        <f>IFERROR(INDEX(ChFormat,MATCH(E2104,ChName,0)),"")</f>
        <v/>
      </c>
      <c r="G2104" t="inlineStr">
        <is>
          <t>NL</t>
        </is>
      </c>
      <c r="H2104">
        <f>IF(A2104&lt;=NWeeks,1,0)</f>
        <v/>
      </c>
      <c r="I2104">
        <f>INDEX(ChLaunch,MATCH(E2104,ChName,0))</f>
        <v/>
      </c>
      <c r="J2104">
        <f>INDEX(ChWeeksFull,MATCH(E2104,ChName,0))</f>
        <v/>
      </c>
      <c r="K2104">
        <f>INDEX(ChRamp,MATCH(E2104,ChName,0))</f>
        <v/>
      </c>
      <c r="L2104" s="45">
        <f>MIN(1,MAX(0,(A2104-I2104+1)*RampSpeed/J2104))</f>
        <v/>
      </c>
      <c r="M2104" s="45">
        <f>IF(A2104&lt;I2104,0,IF(K2104="S-curve",L2104*L2104*(3-2*L2104),L2104))</f>
        <v/>
      </c>
      <c r="N2104" s="45">
        <f>1+(INDEX(SeasonIdx,A2104)-1)*SeasonAmp</f>
        <v/>
      </c>
      <c r="O2104" s="45">
        <f>IFERROR(INDEX(PSPct,MATCH(E2104&amp;"|"&amp;G2104,PSKey,0)),0)</f>
        <v/>
      </c>
      <c r="P2104" s="46">
        <f>INDEX(ChDoorVel,MATCH(E2104,ChName,0))*CalibScalar*(1+VelocityUplift)</f>
        <v/>
      </c>
      <c r="Q2104" s="46" t="n">
        <v>0</v>
      </c>
      <c r="R2104" s="46">
        <f>P2104*O2104*M2104*N2104*H2104</f>
        <v/>
      </c>
      <c r="S2104" s="46">
        <f>R2104*INDEX(FmtCansPerCase,MATCH(F2104,FmtName,0))</f>
        <v/>
      </c>
      <c r="T2104" s="46">
        <f>S2104/INDEX(FmtCansPerPack,MATCH(F2104,FmtName,0))</f>
        <v/>
      </c>
      <c r="U2104" s="47">
        <f>INDEX(ChBaseCP,MATCH(E2104,ChName,0))*(1+INDEX(ProvMod,MATCH(G2104,ProvCode,0)))*(1+PriceIndex)</f>
        <v/>
      </c>
      <c r="V2104" s="47">
        <f>R2104*U2104*INDEX(FmtBlendedPriceIdx,MATCH(F2104,FmtName,0))</f>
        <v/>
      </c>
      <c r="W2104" s="47">
        <f>T2104*INDEX(ProvSRP,MATCH(G2104,ProvCode,0))*(1+PriceIndex)</f>
        <v/>
      </c>
      <c r="X2104" s="47">
        <f>IF(GrossBasis="Wholesale",V2104,W2104)</f>
        <v/>
      </c>
      <c r="Y2104" s="47">
        <f>R2104*INDEX(FmtBlendedCogs,MATCH(F2104,FmtName,0))</f>
        <v/>
      </c>
      <c r="Z2104" s="47">
        <f>X2104-Y2104</f>
        <v/>
      </c>
    </row>
    <row r="2105">
      <c r="A2105" t="n">
        <v>37</v>
      </c>
      <c r="B2105" s="44">
        <f>FiscalStart+(A2105-1)*7</f>
        <v/>
      </c>
      <c r="C2105">
        <f>TEXT(B2105,"mmm yyyy")</f>
        <v/>
      </c>
      <c r="D2105">
        <f>"Q"&amp;(INT((A2105-1)/13)+1)</f>
        <v/>
      </c>
      <c r="E2105" t="inlineStr">
        <is>
          <t>Costco</t>
        </is>
      </c>
      <c r="F2105">
        <f>IFERROR(INDEX(ChFormat,MATCH(E2105,ChName,0)),"")</f>
        <v/>
      </c>
      <c r="G2105" t="inlineStr">
        <is>
          <t>NL</t>
        </is>
      </c>
      <c r="H2105">
        <f>IF(A2105&lt;=NWeeks,1,0)</f>
        <v/>
      </c>
      <c r="I2105">
        <f>INDEX(ChLaunch,MATCH(E2105,ChName,0))</f>
        <v/>
      </c>
      <c r="J2105">
        <f>INDEX(ChWeeksFull,MATCH(E2105,ChName,0))</f>
        <v/>
      </c>
      <c r="K2105">
        <f>INDEX(ChRamp,MATCH(E2105,ChName,0))</f>
        <v/>
      </c>
      <c r="L2105" s="45">
        <f>MIN(1,MAX(0,(A2105-I2105+1)*RampSpeed/J2105))</f>
        <v/>
      </c>
      <c r="M2105" s="45">
        <f>IF(A2105&lt;I2105,0,IF(K2105="S-curve",L2105*L2105*(3-2*L2105),L2105))</f>
        <v/>
      </c>
      <c r="N2105" s="45">
        <f>1+(INDEX(SeasonIdx,A2105)-1)*SeasonAmp</f>
        <v/>
      </c>
      <c r="O2105" s="45">
        <f>IFERROR(INDEX(PSPct,MATCH(E2105&amp;"|"&amp;G2105,PSKey,0)),0)</f>
        <v/>
      </c>
      <c r="P2105" s="46">
        <f>INDEX(ChDoorVel,MATCH(E2105,ChName,0))*CalibScalar*(1+VelocityUplift)</f>
        <v/>
      </c>
      <c r="Q2105" s="46" t="n">
        <v>0</v>
      </c>
      <c r="R2105" s="46">
        <f>P2105*O2105*M2105*N2105*H2105</f>
        <v/>
      </c>
      <c r="S2105" s="46">
        <f>R2105*INDEX(FmtCansPerCase,MATCH(F2105,FmtName,0))</f>
        <v/>
      </c>
      <c r="T2105" s="46">
        <f>S2105/INDEX(FmtCansPerPack,MATCH(F2105,FmtName,0))</f>
        <v/>
      </c>
      <c r="U2105" s="47">
        <f>INDEX(ChBaseCP,MATCH(E2105,ChName,0))*(1+INDEX(ProvMod,MATCH(G2105,ProvCode,0)))*(1+PriceIndex)</f>
        <v/>
      </c>
      <c r="V2105" s="47">
        <f>R2105*U2105*INDEX(FmtBlendedPriceIdx,MATCH(F2105,FmtName,0))</f>
        <v/>
      </c>
      <c r="W2105" s="47">
        <f>T2105*INDEX(ProvSRP,MATCH(G2105,ProvCode,0))*(1+PriceIndex)</f>
        <v/>
      </c>
      <c r="X2105" s="47">
        <f>IF(GrossBasis="Wholesale",V2105,W2105)</f>
        <v/>
      </c>
      <c r="Y2105" s="47">
        <f>R2105*INDEX(FmtBlendedCogs,MATCH(F2105,FmtName,0))</f>
        <v/>
      </c>
      <c r="Z2105" s="47">
        <f>X2105-Y2105</f>
        <v/>
      </c>
    </row>
    <row r="2106">
      <c r="A2106" t="n">
        <v>38</v>
      </c>
      <c r="B2106" s="44">
        <f>FiscalStart+(A2106-1)*7</f>
        <v/>
      </c>
      <c r="C2106">
        <f>TEXT(B2106,"mmm yyyy")</f>
        <v/>
      </c>
      <c r="D2106">
        <f>"Q"&amp;(INT((A2106-1)/13)+1)</f>
        <v/>
      </c>
      <c r="E2106" t="inlineStr">
        <is>
          <t>Costco</t>
        </is>
      </c>
      <c r="F2106">
        <f>IFERROR(INDEX(ChFormat,MATCH(E2106,ChName,0)),"")</f>
        <v/>
      </c>
      <c r="G2106" t="inlineStr">
        <is>
          <t>NL</t>
        </is>
      </c>
      <c r="H2106">
        <f>IF(A2106&lt;=NWeeks,1,0)</f>
        <v/>
      </c>
      <c r="I2106">
        <f>INDEX(ChLaunch,MATCH(E2106,ChName,0))</f>
        <v/>
      </c>
      <c r="J2106">
        <f>INDEX(ChWeeksFull,MATCH(E2106,ChName,0))</f>
        <v/>
      </c>
      <c r="K2106">
        <f>INDEX(ChRamp,MATCH(E2106,ChName,0))</f>
        <v/>
      </c>
      <c r="L2106" s="45">
        <f>MIN(1,MAX(0,(A2106-I2106+1)*RampSpeed/J2106))</f>
        <v/>
      </c>
      <c r="M2106" s="45">
        <f>IF(A2106&lt;I2106,0,IF(K2106="S-curve",L2106*L2106*(3-2*L2106),L2106))</f>
        <v/>
      </c>
      <c r="N2106" s="45">
        <f>1+(INDEX(SeasonIdx,A2106)-1)*SeasonAmp</f>
        <v/>
      </c>
      <c r="O2106" s="45">
        <f>IFERROR(INDEX(PSPct,MATCH(E2106&amp;"|"&amp;G2106,PSKey,0)),0)</f>
        <v/>
      </c>
      <c r="P2106" s="46">
        <f>INDEX(ChDoorVel,MATCH(E2106,ChName,0))*CalibScalar*(1+VelocityUplift)</f>
        <v/>
      </c>
      <c r="Q2106" s="46" t="n">
        <v>0</v>
      </c>
      <c r="R2106" s="46">
        <f>P2106*O2106*M2106*N2106*H2106</f>
        <v/>
      </c>
      <c r="S2106" s="46">
        <f>R2106*INDEX(FmtCansPerCase,MATCH(F2106,FmtName,0))</f>
        <v/>
      </c>
      <c r="T2106" s="46">
        <f>S2106/INDEX(FmtCansPerPack,MATCH(F2106,FmtName,0))</f>
        <v/>
      </c>
      <c r="U2106" s="47">
        <f>INDEX(ChBaseCP,MATCH(E2106,ChName,0))*(1+INDEX(ProvMod,MATCH(G2106,ProvCode,0)))*(1+PriceIndex)</f>
        <v/>
      </c>
      <c r="V2106" s="47">
        <f>R2106*U2106*INDEX(FmtBlendedPriceIdx,MATCH(F2106,FmtName,0))</f>
        <v/>
      </c>
      <c r="W2106" s="47">
        <f>T2106*INDEX(ProvSRP,MATCH(G2106,ProvCode,0))*(1+PriceIndex)</f>
        <v/>
      </c>
      <c r="X2106" s="47">
        <f>IF(GrossBasis="Wholesale",V2106,W2106)</f>
        <v/>
      </c>
      <c r="Y2106" s="47">
        <f>R2106*INDEX(FmtBlendedCogs,MATCH(F2106,FmtName,0))</f>
        <v/>
      </c>
      <c r="Z2106" s="47">
        <f>X2106-Y2106</f>
        <v/>
      </c>
    </row>
    <row r="2107">
      <c r="A2107" t="n">
        <v>39</v>
      </c>
      <c r="B2107" s="44">
        <f>FiscalStart+(A2107-1)*7</f>
        <v/>
      </c>
      <c r="C2107">
        <f>TEXT(B2107,"mmm yyyy")</f>
        <v/>
      </c>
      <c r="D2107">
        <f>"Q"&amp;(INT((A2107-1)/13)+1)</f>
        <v/>
      </c>
      <c r="E2107" t="inlineStr">
        <is>
          <t>Costco</t>
        </is>
      </c>
      <c r="F2107">
        <f>IFERROR(INDEX(ChFormat,MATCH(E2107,ChName,0)),"")</f>
        <v/>
      </c>
      <c r="G2107" t="inlineStr">
        <is>
          <t>NL</t>
        </is>
      </c>
      <c r="H2107">
        <f>IF(A2107&lt;=NWeeks,1,0)</f>
        <v/>
      </c>
      <c r="I2107">
        <f>INDEX(ChLaunch,MATCH(E2107,ChName,0))</f>
        <v/>
      </c>
      <c r="J2107">
        <f>INDEX(ChWeeksFull,MATCH(E2107,ChName,0))</f>
        <v/>
      </c>
      <c r="K2107">
        <f>INDEX(ChRamp,MATCH(E2107,ChName,0))</f>
        <v/>
      </c>
      <c r="L2107" s="45">
        <f>MIN(1,MAX(0,(A2107-I2107+1)*RampSpeed/J2107))</f>
        <v/>
      </c>
      <c r="M2107" s="45">
        <f>IF(A2107&lt;I2107,0,IF(K2107="S-curve",L2107*L2107*(3-2*L2107),L2107))</f>
        <v/>
      </c>
      <c r="N2107" s="45">
        <f>1+(INDEX(SeasonIdx,A2107)-1)*SeasonAmp</f>
        <v/>
      </c>
      <c r="O2107" s="45">
        <f>IFERROR(INDEX(PSPct,MATCH(E2107&amp;"|"&amp;G2107,PSKey,0)),0)</f>
        <v/>
      </c>
      <c r="P2107" s="46">
        <f>INDEX(ChDoorVel,MATCH(E2107,ChName,0))*CalibScalar*(1+VelocityUplift)</f>
        <v/>
      </c>
      <c r="Q2107" s="46" t="n">
        <v>0</v>
      </c>
      <c r="R2107" s="46">
        <f>P2107*O2107*M2107*N2107*H2107</f>
        <v/>
      </c>
      <c r="S2107" s="46">
        <f>R2107*INDEX(FmtCansPerCase,MATCH(F2107,FmtName,0))</f>
        <v/>
      </c>
      <c r="T2107" s="46">
        <f>S2107/INDEX(FmtCansPerPack,MATCH(F2107,FmtName,0))</f>
        <v/>
      </c>
      <c r="U2107" s="47">
        <f>INDEX(ChBaseCP,MATCH(E2107,ChName,0))*(1+INDEX(ProvMod,MATCH(G2107,ProvCode,0)))*(1+PriceIndex)</f>
        <v/>
      </c>
      <c r="V2107" s="47">
        <f>R2107*U2107*INDEX(FmtBlendedPriceIdx,MATCH(F2107,FmtName,0))</f>
        <v/>
      </c>
      <c r="W2107" s="47">
        <f>T2107*INDEX(ProvSRP,MATCH(G2107,ProvCode,0))*(1+PriceIndex)</f>
        <v/>
      </c>
      <c r="X2107" s="47">
        <f>IF(GrossBasis="Wholesale",V2107,W2107)</f>
        <v/>
      </c>
      <c r="Y2107" s="47">
        <f>R2107*INDEX(FmtBlendedCogs,MATCH(F2107,FmtName,0))</f>
        <v/>
      </c>
      <c r="Z2107" s="47">
        <f>X2107-Y2107</f>
        <v/>
      </c>
    </row>
    <row r="2108">
      <c r="A2108" t="n">
        <v>40</v>
      </c>
      <c r="B2108" s="44">
        <f>FiscalStart+(A2108-1)*7</f>
        <v/>
      </c>
      <c r="C2108">
        <f>TEXT(B2108,"mmm yyyy")</f>
        <v/>
      </c>
      <c r="D2108">
        <f>"Q"&amp;(INT((A2108-1)/13)+1)</f>
        <v/>
      </c>
      <c r="E2108" t="inlineStr">
        <is>
          <t>Costco</t>
        </is>
      </c>
      <c r="F2108">
        <f>IFERROR(INDEX(ChFormat,MATCH(E2108,ChName,0)),"")</f>
        <v/>
      </c>
      <c r="G2108" t="inlineStr">
        <is>
          <t>NL</t>
        </is>
      </c>
      <c r="H2108">
        <f>IF(A2108&lt;=NWeeks,1,0)</f>
        <v/>
      </c>
      <c r="I2108">
        <f>INDEX(ChLaunch,MATCH(E2108,ChName,0))</f>
        <v/>
      </c>
      <c r="J2108">
        <f>INDEX(ChWeeksFull,MATCH(E2108,ChName,0))</f>
        <v/>
      </c>
      <c r="K2108">
        <f>INDEX(ChRamp,MATCH(E2108,ChName,0))</f>
        <v/>
      </c>
      <c r="L2108" s="45">
        <f>MIN(1,MAX(0,(A2108-I2108+1)*RampSpeed/J2108))</f>
        <v/>
      </c>
      <c r="M2108" s="45">
        <f>IF(A2108&lt;I2108,0,IF(K2108="S-curve",L2108*L2108*(3-2*L2108),L2108))</f>
        <v/>
      </c>
      <c r="N2108" s="45">
        <f>1+(INDEX(SeasonIdx,A2108)-1)*SeasonAmp</f>
        <v/>
      </c>
      <c r="O2108" s="45">
        <f>IFERROR(INDEX(PSPct,MATCH(E2108&amp;"|"&amp;G2108,PSKey,0)),0)</f>
        <v/>
      </c>
      <c r="P2108" s="46">
        <f>INDEX(ChDoorVel,MATCH(E2108,ChName,0))*CalibScalar*(1+VelocityUplift)</f>
        <v/>
      </c>
      <c r="Q2108" s="46" t="n">
        <v>0</v>
      </c>
      <c r="R2108" s="46">
        <f>P2108*O2108*M2108*N2108*H2108</f>
        <v/>
      </c>
      <c r="S2108" s="46">
        <f>R2108*INDEX(FmtCansPerCase,MATCH(F2108,FmtName,0))</f>
        <v/>
      </c>
      <c r="T2108" s="46">
        <f>S2108/INDEX(FmtCansPerPack,MATCH(F2108,FmtName,0))</f>
        <v/>
      </c>
      <c r="U2108" s="47">
        <f>INDEX(ChBaseCP,MATCH(E2108,ChName,0))*(1+INDEX(ProvMod,MATCH(G2108,ProvCode,0)))*(1+PriceIndex)</f>
        <v/>
      </c>
      <c r="V2108" s="47">
        <f>R2108*U2108*INDEX(FmtBlendedPriceIdx,MATCH(F2108,FmtName,0))</f>
        <v/>
      </c>
      <c r="W2108" s="47">
        <f>T2108*INDEX(ProvSRP,MATCH(G2108,ProvCode,0))*(1+PriceIndex)</f>
        <v/>
      </c>
      <c r="X2108" s="47">
        <f>IF(GrossBasis="Wholesale",V2108,W2108)</f>
        <v/>
      </c>
      <c r="Y2108" s="47">
        <f>R2108*INDEX(FmtBlendedCogs,MATCH(F2108,FmtName,0))</f>
        <v/>
      </c>
      <c r="Z2108" s="47">
        <f>X2108-Y2108</f>
        <v/>
      </c>
    </row>
    <row r="2109">
      <c r="A2109" t="n">
        <v>41</v>
      </c>
      <c r="B2109" s="44">
        <f>FiscalStart+(A2109-1)*7</f>
        <v/>
      </c>
      <c r="C2109">
        <f>TEXT(B2109,"mmm yyyy")</f>
        <v/>
      </c>
      <c r="D2109">
        <f>"Q"&amp;(INT((A2109-1)/13)+1)</f>
        <v/>
      </c>
      <c r="E2109" t="inlineStr">
        <is>
          <t>Costco</t>
        </is>
      </c>
      <c r="F2109">
        <f>IFERROR(INDEX(ChFormat,MATCH(E2109,ChName,0)),"")</f>
        <v/>
      </c>
      <c r="G2109" t="inlineStr">
        <is>
          <t>NL</t>
        </is>
      </c>
      <c r="H2109">
        <f>IF(A2109&lt;=NWeeks,1,0)</f>
        <v/>
      </c>
      <c r="I2109">
        <f>INDEX(ChLaunch,MATCH(E2109,ChName,0))</f>
        <v/>
      </c>
      <c r="J2109">
        <f>INDEX(ChWeeksFull,MATCH(E2109,ChName,0))</f>
        <v/>
      </c>
      <c r="K2109">
        <f>INDEX(ChRamp,MATCH(E2109,ChName,0))</f>
        <v/>
      </c>
      <c r="L2109" s="45">
        <f>MIN(1,MAX(0,(A2109-I2109+1)*RampSpeed/J2109))</f>
        <v/>
      </c>
      <c r="M2109" s="45">
        <f>IF(A2109&lt;I2109,0,IF(K2109="S-curve",L2109*L2109*(3-2*L2109),L2109))</f>
        <v/>
      </c>
      <c r="N2109" s="45">
        <f>1+(INDEX(SeasonIdx,A2109)-1)*SeasonAmp</f>
        <v/>
      </c>
      <c r="O2109" s="45">
        <f>IFERROR(INDEX(PSPct,MATCH(E2109&amp;"|"&amp;G2109,PSKey,0)),0)</f>
        <v/>
      </c>
      <c r="P2109" s="46">
        <f>INDEX(ChDoorVel,MATCH(E2109,ChName,0))*CalibScalar*(1+VelocityUplift)</f>
        <v/>
      </c>
      <c r="Q2109" s="46" t="n">
        <v>0</v>
      </c>
      <c r="R2109" s="46">
        <f>P2109*O2109*M2109*N2109*H2109</f>
        <v/>
      </c>
      <c r="S2109" s="46">
        <f>R2109*INDEX(FmtCansPerCase,MATCH(F2109,FmtName,0))</f>
        <v/>
      </c>
      <c r="T2109" s="46">
        <f>S2109/INDEX(FmtCansPerPack,MATCH(F2109,FmtName,0))</f>
        <v/>
      </c>
      <c r="U2109" s="47">
        <f>INDEX(ChBaseCP,MATCH(E2109,ChName,0))*(1+INDEX(ProvMod,MATCH(G2109,ProvCode,0)))*(1+PriceIndex)</f>
        <v/>
      </c>
      <c r="V2109" s="47">
        <f>R2109*U2109*INDEX(FmtBlendedPriceIdx,MATCH(F2109,FmtName,0))</f>
        <v/>
      </c>
      <c r="W2109" s="47">
        <f>T2109*INDEX(ProvSRP,MATCH(G2109,ProvCode,0))*(1+PriceIndex)</f>
        <v/>
      </c>
      <c r="X2109" s="47">
        <f>IF(GrossBasis="Wholesale",V2109,W2109)</f>
        <v/>
      </c>
      <c r="Y2109" s="47">
        <f>R2109*INDEX(FmtBlendedCogs,MATCH(F2109,FmtName,0))</f>
        <v/>
      </c>
      <c r="Z2109" s="47">
        <f>X2109-Y2109</f>
        <v/>
      </c>
    </row>
    <row r="2110">
      <c r="A2110" t="n">
        <v>42</v>
      </c>
      <c r="B2110" s="44">
        <f>FiscalStart+(A2110-1)*7</f>
        <v/>
      </c>
      <c r="C2110">
        <f>TEXT(B2110,"mmm yyyy")</f>
        <v/>
      </c>
      <c r="D2110">
        <f>"Q"&amp;(INT((A2110-1)/13)+1)</f>
        <v/>
      </c>
      <c r="E2110" t="inlineStr">
        <is>
          <t>Costco</t>
        </is>
      </c>
      <c r="F2110">
        <f>IFERROR(INDEX(ChFormat,MATCH(E2110,ChName,0)),"")</f>
        <v/>
      </c>
      <c r="G2110" t="inlineStr">
        <is>
          <t>NL</t>
        </is>
      </c>
      <c r="H2110">
        <f>IF(A2110&lt;=NWeeks,1,0)</f>
        <v/>
      </c>
      <c r="I2110">
        <f>INDEX(ChLaunch,MATCH(E2110,ChName,0))</f>
        <v/>
      </c>
      <c r="J2110">
        <f>INDEX(ChWeeksFull,MATCH(E2110,ChName,0))</f>
        <v/>
      </c>
      <c r="K2110">
        <f>INDEX(ChRamp,MATCH(E2110,ChName,0))</f>
        <v/>
      </c>
      <c r="L2110" s="45">
        <f>MIN(1,MAX(0,(A2110-I2110+1)*RampSpeed/J2110))</f>
        <v/>
      </c>
      <c r="M2110" s="45">
        <f>IF(A2110&lt;I2110,0,IF(K2110="S-curve",L2110*L2110*(3-2*L2110),L2110))</f>
        <v/>
      </c>
      <c r="N2110" s="45">
        <f>1+(INDEX(SeasonIdx,A2110)-1)*SeasonAmp</f>
        <v/>
      </c>
      <c r="O2110" s="45">
        <f>IFERROR(INDEX(PSPct,MATCH(E2110&amp;"|"&amp;G2110,PSKey,0)),0)</f>
        <v/>
      </c>
      <c r="P2110" s="46">
        <f>INDEX(ChDoorVel,MATCH(E2110,ChName,0))*CalibScalar*(1+VelocityUplift)</f>
        <v/>
      </c>
      <c r="Q2110" s="46" t="n">
        <v>0</v>
      </c>
      <c r="R2110" s="46">
        <f>P2110*O2110*M2110*N2110*H2110</f>
        <v/>
      </c>
      <c r="S2110" s="46">
        <f>R2110*INDEX(FmtCansPerCase,MATCH(F2110,FmtName,0))</f>
        <v/>
      </c>
      <c r="T2110" s="46">
        <f>S2110/INDEX(FmtCansPerPack,MATCH(F2110,FmtName,0))</f>
        <v/>
      </c>
      <c r="U2110" s="47">
        <f>INDEX(ChBaseCP,MATCH(E2110,ChName,0))*(1+INDEX(ProvMod,MATCH(G2110,ProvCode,0)))*(1+PriceIndex)</f>
        <v/>
      </c>
      <c r="V2110" s="47">
        <f>R2110*U2110*INDEX(FmtBlendedPriceIdx,MATCH(F2110,FmtName,0))</f>
        <v/>
      </c>
      <c r="W2110" s="47">
        <f>T2110*INDEX(ProvSRP,MATCH(G2110,ProvCode,0))*(1+PriceIndex)</f>
        <v/>
      </c>
      <c r="X2110" s="47">
        <f>IF(GrossBasis="Wholesale",V2110,W2110)</f>
        <v/>
      </c>
      <c r="Y2110" s="47">
        <f>R2110*INDEX(FmtBlendedCogs,MATCH(F2110,FmtName,0))</f>
        <v/>
      </c>
      <c r="Z2110" s="47">
        <f>X2110-Y2110</f>
        <v/>
      </c>
    </row>
    <row r="2111">
      <c r="A2111" t="n">
        <v>43</v>
      </c>
      <c r="B2111" s="44">
        <f>FiscalStart+(A2111-1)*7</f>
        <v/>
      </c>
      <c r="C2111">
        <f>TEXT(B2111,"mmm yyyy")</f>
        <v/>
      </c>
      <c r="D2111">
        <f>"Q"&amp;(INT((A2111-1)/13)+1)</f>
        <v/>
      </c>
      <c r="E2111" t="inlineStr">
        <is>
          <t>Costco</t>
        </is>
      </c>
      <c r="F2111">
        <f>IFERROR(INDEX(ChFormat,MATCH(E2111,ChName,0)),"")</f>
        <v/>
      </c>
      <c r="G2111" t="inlineStr">
        <is>
          <t>NL</t>
        </is>
      </c>
      <c r="H2111">
        <f>IF(A2111&lt;=NWeeks,1,0)</f>
        <v/>
      </c>
      <c r="I2111">
        <f>INDEX(ChLaunch,MATCH(E2111,ChName,0))</f>
        <v/>
      </c>
      <c r="J2111">
        <f>INDEX(ChWeeksFull,MATCH(E2111,ChName,0))</f>
        <v/>
      </c>
      <c r="K2111">
        <f>INDEX(ChRamp,MATCH(E2111,ChName,0))</f>
        <v/>
      </c>
      <c r="L2111" s="45">
        <f>MIN(1,MAX(0,(A2111-I2111+1)*RampSpeed/J2111))</f>
        <v/>
      </c>
      <c r="M2111" s="45">
        <f>IF(A2111&lt;I2111,0,IF(K2111="S-curve",L2111*L2111*(3-2*L2111),L2111))</f>
        <v/>
      </c>
      <c r="N2111" s="45">
        <f>1+(INDEX(SeasonIdx,A2111)-1)*SeasonAmp</f>
        <v/>
      </c>
      <c r="O2111" s="45">
        <f>IFERROR(INDEX(PSPct,MATCH(E2111&amp;"|"&amp;G2111,PSKey,0)),0)</f>
        <v/>
      </c>
      <c r="P2111" s="46">
        <f>INDEX(ChDoorVel,MATCH(E2111,ChName,0))*CalibScalar*(1+VelocityUplift)</f>
        <v/>
      </c>
      <c r="Q2111" s="46" t="n">
        <v>0</v>
      </c>
      <c r="R2111" s="46">
        <f>P2111*O2111*M2111*N2111*H2111</f>
        <v/>
      </c>
      <c r="S2111" s="46">
        <f>R2111*INDEX(FmtCansPerCase,MATCH(F2111,FmtName,0))</f>
        <v/>
      </c>
      <c r="T2111" s="46">
        <f>S2111/INDEX(FmtCansPerPack,MATCH(F2111,FmtName,0))</f>
        <v/>
      </c>
      <c r="U2111" s="47">
        <f>INDEX(ChBaseCP,MATCH(E2111,ChName,0))*(1+INDEX(ProvMod,MATCH(G2111,ProvCode,0)))*(1+PriceIndex)</f>
        <v/>
      </c>
      <c r="V2111" s="47">
        <f>R2111*U2111*INDEX(FmtBlendedPriceIdx,MATCH(F2111,FmtName,0))</f>
        <v/>
      </c>
      <c r="W2111" s="47">
        <f>T2111*INDEX(ProvSRP,MATCH(G2111,ProvCode,0))*(1+PriceIndex)</f>
        <v/>
      </c>
      <c r="X2111" s="47">
        <f>IF(GrossBasis="Wholesale",V2111,W2111)</f>
        <v/>
      </c>
      <c r="Y2111" s="47">
        <f>R2111*INDEX(FmtBlendedCogs,MATCH(F2111,FmtName,0))</f>
        <v/>
      </c>
      <c r="Z2111" s="47">
        <f>X2111-Y2111</f>
        <v/>
      </c>
    </row>
    <row r="2112">
      <c r="A2112" t="n">
        <v>44</v>
      </c>
      <c r="B2112" s="44">
        <f>FiscalStart+(A2112-1)*7</f>
        <v/>
      </c>
      <c r="C2112">
        <f>TEXT(B2112,"mmm yyyy")</f>
        <v/>
      </c>
      <c r="D2112">
        <f>"Q"&amp;(INT((A2112-1)/13)+1)</f>
        <v/>
      </c>
      <c r="E2112" t="inlineStr">
        <is>
          <t>Costco</t>
        </is>
      </c>
      <c r="F2112">
        <f>IFERROR(INDEX(ChFormat,MATCH(E2112,ChName,0)),"")</f>
        <v/>
      </c>
      <c r="G2112" t="inlineStr">
        <is>
          <t>NL</t>
        </is>
      </c>
      <c r="H2112">
        <f>IF(A2112&lt;=NWeeks,1,0)</f>
        <v/>
      </c>
      <c r="I2112">
        <f>INDEX(ChLaunch,MATCH(E2112,ChName,0))</f>
        <v/>
      </c>
      <c r="J2112">
        <f>INDEX(ChWeeksFull,MATCH(E2112,ChName,0))</f>
        <v/>
      </c>
      <c r="K2112">
        <f>INDEX(ChRamp,MATCH(E2112,ChName,0))</f>
        <v/>
      </c>
      <c r="L2112" s="45">
        <f>MIN(1,MAX(0,(A2112-I2112+1)*RampSpeed/J2112))</f>
        <v/>
      </c>
      <c r="M2112" s="45">
        <f>IF(A2112&lt;I2112,0,IF(K2112="S-curve",L2112*L2112*(3-2*L2112),L2112))</f>
        <v/>
      </c>
      <c r="N2112" s="45">
        <f>1+(INDEX(SeasonIdx,A2112)-1)*SeasonAmp</f>
        <v/>
      </c>
      <c r="O2112" s="45">
        <f>IFERROR(INDEX(PSPct,MATCH(E2112&amp;"|"&amp;G2112,PSKey,0)),0)</f>
        <v/>
      </c>
      <c r="P2112" s="46">
        <f>INDEX(ChDoorVel,MATCH(E2112,ChName,0))*CalibScalar*(1+VelocityUplift)</f>
        <v/>
      </c>
      <c r="Q2112" s="46" t="n">
        <v>0</v>
      </c>
      <c r="R2112" s="46">
        <f>P2112*O2112*M2112*N2112*H2112</f>
        <v/>
      </c>
      <c r="S2112" s="46">
        <f>R2112*INDEX(FmtCansPerCase,MATCH(F2112,FmtName,0))</f>
        <v/>
      </c>
      <c r="T2112" s="46">
        <f>S2112/INDEX(FmtCansPerPack,MATCH(F2112,FmtName,0))</f>
        <v/>
      </c>
      <c r="U2112" s="47">
        <f>INDEX(ChBaseCP,MATCH(E2112,ChName,0))*(1+INDEX(ProvMod,MATCH(G2112,ProvCode,0)))*(1+PriceIndex)</f>
        <v/>
      </c>
      <c r="V2112" s="47">
        <f>R2112*U2112*INDEX(FmtBlendedPriceIdx,MATCH(F2112,FmtName,0))</f>
        <v/>
      </c>
      <c r="W2112" s="47">
        <f>T2112*INDEX(ProvSRP,MATCH(G2112,ProvCode,0))*(1+PriceIndex)</f>
        <v/>
      </c>
      <c r="X2112" s="47">
        <f>IF(GrossBasis="Wholesale",V2112,W2112)</f>
        <v/>
      </c>
      <c r="Y2112" s="47">
        <f>R2112*INDEX(FmtBlendedCogs,MATCH(F2112,FmtName,0))</f>
        <v/>
      </c>
      <c r="Z2112" s="47">
        <f>X2112-Y2112</f>
        <v/>
      </c>
    </row>
    <row r="2113">
      <c r="A2113" t="n">
        <v>45</v>
      </c>
      <c r="B2113" s="44">
        <f>FiscalStart+(A2113-1)*7</f>
        <v/>
      </c>
      <c r="C2113">
        <f>TEXT(B2113,"mmm yyyy")</f>
        <v/>
      </c>
      <c r="D2113">
        <f>"Q"&amp;(INT((A2113-1)/13)+1)</f>
        <v/>
      </c>
      <c r="E2113" t="inlineStr">
        <is>
          <t>Costco</t>
        </is>
      </c>
      <c r="F2113">
        <f>IFERROR(INDEX(ChFormat,MATCH(E2113,ChName,0)),"")</f>
        <v/>
      </c>
      <c r="G2113" t="inlineStr">
        <is>
          <t>NL</t>
        </is>
      </c>
      <c r="H2113">
        <f>IF(A2113&lt;=NWeeks,1,0)</f>
        <v/>
      </c>
      <c r="I2113">
        <f>INDEX(ChLaunch,MATCH(E2113,ChName,0))</f>
        <v/>
      </c>
      <c r="J2113">
        <f>INDEX(ChWeeksFull,MATCH(E2113,ChName,0))</f>
        <v/>
      </c>
      <c r="K2113">
        <f>INDEX(ChRamp,MATCH(E2113,ChName,0))</f>
        <v/>
      </c>
      <c r="L2113" s="45">
        <f>MIN(1,MAX(0,(A2113-I2113+1)*RampSpeed/J2113))</f>
        <v/>
      </c>
      <c r="M2113" s="45">
        <f>IF(A2113&lt;I2113,0,IF(K2113="S-curve",L2113*L2113*(3-2*L2113),L2113))</f>
        <v/>
      </c>
      <c r="N2113" s="45">
        <f>1+(INDEX(SeasonIdx,A2113)-1)*SeasonAmp</f>
        <v/>
      </c>
      <c r="O2113" s="45">
        <f>IFERROR(INDEX(PSPct,MATCH(E2113&amp;"|"&amp;G2113,PSKey,0)),0)</f>
        <v/>
      </c>
      <c r="P2113" s="46">
        <f>INDEX(ChDoorVel,MATCH(E2113,ChName,0))*CalibScalar*(1+VelocityUplift)</f>
        <v/>
      </c>
      <c r="Q2113" s="46" t="n">
        <v>0</v>
      </c>
      <c r="R2113" s="46">
        <f>P2113*O2113*M2113*N2113*H2113</f>
        <v/>
      </c>
      <c r="S2113" s="46">
        <f>R2113*INDEX(FmtCansPerCase,MATCH(F2113,FmtName,0))</f>
        <v/>
      </c>
      <c r="T2113" s="46">
        <f>S2113/INDEX(FmtCansPerPack,MATCH(F2113,FmtName,0))</f>
        <v/>
      </c>
      <c r="U2113" s="47">
        <f>INDEX(ChBaseCP,MATCH(E2113,ChName,0))*(1+INDEX(ProvMod,MATCH(G2113,ProvCode,0)))*(1+PriceIndex)</f>
        <v/>
      </c>
      <c r="V2113" s="47">
        <f>R2113*U2113*INDEX(FmtBlendedPriceIdx,MATCH(F2113,FmtName,0))</f>
        <v/>
      </c>
      <c r="W2113" s="47">
        <f>T2113*INDEX(ProvSRP,MATCH(G2113,ProvCode,0))*(1+PriceIndex)</f>
        <v/>
      </c>
      <c r="X2113" s="47">
        <f>IF(GrossBasis="Wholesale",V2113,W2113)</f>
        <v/>
      </c>
      <c r="Y2113" s="47">
        <f>R2113*INDEX(FmtBlendedCogs,MATCH(F2113,FmtName,0))</f>
        <v/>
      </c>
      <c r="Z2113" s="47">
        <f>X2113-Y2113</f>
        <v/>
      </c>
    </row>
    <row r="2114">
      <c r="A2114" t="n">
        <v>46</v>
      </c>
      <c r="B2114" s="44">
        <f>FiscalStart+(A2114-1)*7</f>
        <v/>
      </c>
      <c r="C2114">
        <f>TEXT(B2114,"mmm yyyy")</f>
        <v/>
      </c>
      <c r="D2114">
        <f>"Q"&amp;(INT((A2114-1)/13)+1)</f>
        <v/>
      </c>
      <c r="E2114" t="inlineStr">
        <is>
          <t>Costco</t>
        </is>
      </c>
      <c r="F2114">
        <f>IFERROR(INDEX(ChFormat,MATCH(E2114,ChName,0)),"")</f>
        <v/>
      </c>
      <c r="G2114" t="inlineStr">
        <is>
          <t>NL</t>
        </is>
      </c>
      <c r="H2114">
        <f>IF(A2114&lt;=NWeeks,1,0)</f>
        <v/>
      </c>
      <c r="I2114">
        <f>INDEX(ChLaunch,MATCH(E2114,ChName,0))</f>
        <v/>
      </c>
      <c r="J2114">
        <f>INDEX(ChWeeksFull,MATCH(E2114,ChName,0))</f>
        <v/>
      </c>
      <c r="K2114">
        <f>INDEX(ChRamp,MATCH(E2114,ChName,0))</f>
        <v/>
      </c>
      <c r="L2114" s="45">
        <f>MIN(1,MAX(0,(A2114-I2114+1)*RampSpeed/J2114))</f>
        <v/>
      </c>
      <c r="M2114" s="45">
        <f>IF(A2114&lt;I2114,0,IF(K2114="S-curve",L2114*L2114*(3-2*L2114),L2114))</f>
        <v/>
      </c>
      <c r="N2114" s="45">
        <f>1+(INDEX(SeasonIdx,A2114)-1)*SeasonAmp</f>
        <v/>
      </c>
      <c r="O2114" s="45">
        <f>IFERROR(INDEX(PSPct,MATCH(E2114&amp;"|"&amp;G2114,PSKey,0)),0)</f>
        <v/>
      </c>
      <c r="P2114" s="46">
        <f>INDEX(ChDoorVel,MATCH(E2114,ChName,0))*CalibScalar*(1+VelocityUplift)</f>
        <v/>
      </c>
      <c r="Q2114" s="46" t="n">
        <v>0</v>
      </c>
      <c r="R2114" s="46">
        <f>P2114*O2114*M2114*N2114*H2114</f>
        <v/>
      </c>
      <c r="S2114" s="46">
        <f>R2114*INDEX(FmtCansPerCase,MATCH(F2114,FmtName,0))</f>
        <v/>
      </c>
      <c r="T2114" s="46">
        <f>S2114/INDEX(FmtCansPerPack,MATCH(F2114,FmtName,0))</f>
        <v/>
      </c>
      <c r="U2114" s="47">
        <f>INDEX(ChBaseCP,MATCH(E2114,ChName,0))*(1+INDEX(ProvMod,MATCH(G2114,ProvCode,0)))*(1+PriceIndex)</f>
        <v/>
      </c>
      <c r="V2114" s="47">
        <f>R2114*U2114*INDEX(FmtBlendedPriceIdx,MATCH(F2114,FmtName,0))</f>
        <v/>
      </c>
      <c r="W2114" s="47">
        <f>T2114*INDEX(ProvSRP,MATCH(G2114,ProvCode,0))*(1+PriceIndex)</f>
        <v/>
      </c>
      <c r="X2114" s="47">
        <f>IF(GrossBasis="Wholesale",V2114,W2114)</f>
        <v/>
      </c>
      <c r="Y2114" s="47">
        <f>R2114*INDEX(FmtBlendedCogs,MATCH(F2114,FmtName,0))</f>
        <v/>
      </c>
      <c r="Z2114" s="47">
        <f>X2114-Y2114</f>
        <v/>
      </c>
    </row>
    <row r="2115">
      <c r="A2115" t="n">
        <v>47</v>
      </c>
      <c r="B2115" s="44">
        <f>FiscalStart+(A2115-1)*7</f>
        <v/>
      </c>
      <c r="C2115">
        <f>TEXT(B2115,"mmm yyyy")</f>
        <v/>
      </c>
      <c r="D2115">
        <f>"Q"&amp;(INT((A2115-1)/13)+1)</f>
        <v/>
      </c>
      <c r="E2115" t="inlineStr">
        <is>
          <t>Costco</t>
        </is>
      </c>
      <c r="F2115">
        <f>IFERROR(INDEX(ChFormat,MATCH(E2115,ChName,0)),"")</f>
        <v/>
      </c>
      <c r="G2115" t="inlineStr">
        <is>
          <t>NL</t>
        </is>
      </c>
      <c r="H2115">
        <f>IF(A2115&lt;=NWeeks,1,0)</f>
        <v/>
      </c>
      <c r="I2115">
        <f>INDEX(ChLaunch,MATCH(E2115,ChName,0))</f>
        <v/>
      </c>
      <c r="J2115">
        <f>INDEX(ChWeeksFull,MATCH(E2115,ChName,0))</f>
        <v/>
      </c>
      <c r="K2115">
        <f>INDEX(ChRamp,MATCH(E2115,ChName,0))</f>
        <v/>
      </c>
      <c r="L2115" s="45">
        <f>MIN(1,MAX(0,(A2115-I2115+1)*RampSpeed/J2115))</f>
        <v/>
      </c>
      <c r="M2115" s="45">
        <f>IF(A2115&lt;I2115,0,IF(K2115="S-curve",L2115*L2115*(3-2*L2115),L2115))</f>
        <v/>
      </c>
      <c r="N2115" s="45">
        <f>1+(INDEX(SeasonIdx,A2115)-1)*SeasonAmp</f>
        <v/>
      </c>
      <c r="O2115" s="45">
        <f>IFERROR(INDEX(PSPct,MATCH(E2115&amp;"|"&amp;G2115,PSKey,0)),0)</f>
        <v/>
      </c>
      <c r="P2115" s="46">
        <f>INDEX(ChDoorVel,MATCH(E2115,ChName,0))*CalibScalar*(1+VelocityUplift)</f>
        <v/>
      </c>
      <c r="Q2115" s="46" t="n">
        <v>0</v>
      </c>
      <c r="R2115" s="46">
        <f>P2115*O2115*M2115*N2115*H2115</f>
        <v/>
      </c>
      <c r="S2115" s="46">
        <f>R2115*INDEX(FmtCansPerCase,MATCH(F2115,FmtName,0))</f>
        <v/>
      </c>
      <c r="T2115" s="46">
        <f>S2115/INDEX(FmtCansPerPack,MATCH(F2115,FmtName,0))</f>
        <v/>
      </c>
      <c r="U2115" s="47">
        <f>INDEX(ChBaseCP,MATCH(E2115,ChName,0))*(1+INDEX(ProvMod,MATCH(G2115,ProvCode,0)))*(1+PriceIndex)</f>
        <v/>
      </c>
      <c r="V2115" s="47">
        <f>R2115*U2115*INDEX(FmtBlendedPriceIdx,MATCH(F2115,FmtName,0))</f>
        <v/>
      </c>
      <c r="W2115" s="47">
        <f>T2115*INDEX(ProvSRP,MATCH(G2115,ProvCode,0))*(1+PriceIndex)</f>
        <v/>
      </c>
      <c r="X2115" s="47">
        <f>IF(GrossBasis="Wholesale",V2115,W2115)</f>
        <v/>
      </c>
      <c r="Y2115" s="47">
        <f>R2115*INDEX(FmtBlendedCogs,MATCH(F2115,FmtName,0))</f>
        <v/>
      </c>
      <c r="Z2115" s="47">
        <f>X2115-Y2115</f>
        <v/>
      </c>
    </row>
    <row r="2116">
      <c r="A2116" t="n">
        <v>48</v>
      </c>
      <c r="B2116" s="44">
        <f>FiscalStart+(A2116-1)*7</f>
        <v/>
      </c>
      <c r="C2116">
        <f>TEXT(B2116,"mmm yyyy")</f>
        <v/>
      </c>
      <c r="D2116">
        <f>"Q"&amp;(INT((A2116-1)/13)+1)</f>
        <v/>
      </c>
      <c r="E2116" t="inlineStr">
        <is>
          <t>Costco</t>
        </is>
      </c>
      <c r="F2116">
        <f>IFERROR(INDEX(ChFormat,MATCH(E2116,ChName,0)),"")</f>
        <v/>
      </c>
      <c r="G2116" t="inlineStr">
        <is>
          <t>NL</t>
        </is>
      </c>
      <c r="H2116">
        <f>IF(A2116&lt;=NWeeks,1,0)</f>
        <v/>
      </c>
      <c r="I2116">
        <f>INDEX(ChLaunch,MATCH(E2116,ChName,0))</f>
        <v/>
      </c>
      <c r="J2116">
        <f>INDEX(ChWeeksFull,MATCH(E2116,ChName,0))</f>
        <v/>
      </c>
      <c r="K2116">
        <f>INDEX(ChRamp,MATCH(E2116,ChName,0))</f>
        <v/>
      </c>
      <c r="L2116" s="45">
        <f>MIN(1,MAX(0,(A2116-I2116+1)*RampSpeed/J2116))</f>
        <v/>
      </c>
      <c r="M2116" s="45">
        <f>IF(A2116&lt;I2116,0,IF(K2116="S-curve",L2116*L2116*(3-2*L2116),L2116))</f>
        <v/>
      </c>
      <c r="N2116" s="45">
        <f>1+(INDEX(SeasonIdx,A2116)-1)*SeasonAmp</f>
        <v/>
      </c>
      <c r="O2116" s="45">
        <f>IFERROR(INDEX(PSPct,MATCH(E2116&amp;"|"&amp;G2116,PSKey,0)),0)</f>
        <v/>
      </c>
      <c r="P2116" s="46">
        <f>INDEX(ChDoorVel,MATCH(E2116,ChName,0))*CalibScalar*(1+VelocityUplift)</f>
        <v/>
      </c>
      <c r="Q2116" s="46" t="n">
        <v>0</v>
      </c>
      <c r="R2116" s="46">
        <f>P2116*O2116*M2116*N2116*H2116</f>
        <v/>
      </c>
      <c r="S2116" s="46">
        <f>R2116*INDEX(FmtCansPerCase,MATCH(F2116,FmtName,0))</f>
        <v/>
      </c>
      <c r="T2116" s="46">
        <f>S2116/INDEX(FmtCansPerPack,MATCH(F2116,FmtName,0))</f>
        <v/>
      </c>
      <c r="U2116" s="47">
        <f>INDEX(ChBaseCP,MATCH(E2116,ChName,0))*(1+INDEX(ProvMod,MATCH(G2116,ProvCode,0)))*(1+PriceIndex)</f>
        <v/>
      </c>
      <c r="V2116" s="47">
        <f>R2116*U2116*INDEX(FmtBlendedPriceIdx,MATCH(F2116,FmtName,0))</f>
        <v/>
      </c>
      <c r="W2116" s="47">
        <f>T2116*INDEX(ProvSRP,MATCH(G2116,ProvCode,0))*(1+PriceIndex)</f>
        <v/>
      </c>
      <c r="X2116" s="47">
        <f>IF(GrossBasis="Wholesale",V2116,W2116)</f>
        <v/>
      </c>
      <c r="Y2116" s="47">
        <f>R2116*INDEX(FmtBlendedCogs,MATCH(F2116,FmtName,0))</f>
        <v/>
      </c>
      <c r="Z2116" s="47">
        <f>X2116-Y2116</f>
        <v/>
      </c>
    </row>
    <row r="2117">
      <c r="A2117" t="n">
        <v>49</v>
      </c>
      <c r="B2117" s="44">
        <f>FiscalStart+(A2117-1)*7</f>
        <v/>
      </c>
      <c r="C2117">
        <f>TEXT(B2117,"mmm yyyy")</f>
        <v/>
      </c>
      <c r="D2117">
        <f>"Q"&amp;(INT((A2117-1)/13)+1)</f>
        <v/>
      </c>
      <c r="E2117" t="inlineStr">
        <is>
          <t>Costco</t>
        </is>
      </c>
      <c r="F2117">
        <f>IFERROR(INDEX(ChFormat,MATCH(E2117,ChName,0)),"")</f>
        <v/>
      </c>
      <c r="G2117" t="inlineStr">
        <is>
          <t>NL</t>
        </is>
      </c>
      <c r="H2117">
        <f>IF(A2117&lt;=NWeeks,1,0)</f>
        <v/>
      </c>
      <c r="I2117">
        <f>INDEX(ChLaunch,MATCH(E2117,ChName,0))</f>
        <v/>
      </c>
      <c r="J2117">
        <f>INDEX(ChWeeksFull,MATCH(E2117,ChName,0))</f>
        <v/>
      </c>
      <c r="K2117">
        <f>INDEX(ChRamp,MATCH(E2117,ChName,0))</f>
        <v/>
      </c>
      <c r="L2117" s="45">
        <f>MIN(1,MAX(0,(A2117-I2117+1)*RampSpeed/J2117))</f>
        <v/>
      </c>
      <c r="M2117" s="45">
        <f>IF(A2117&lt;I2117,0,IF(K2117="S-curve",L2117*L2117*(3-2*L2117),L2117))</f>
        <v/>
      </c>
      <c r="N2117" s="45">
        <f>1+(INDEX(SeasonIdx,A2117)-1)*SeasonAmp</f>
        <v/>
      </c>
      <c r="O2117" s="45">
        <f>IFERROR(INDEX(PSPct,MATCH(E2117&amp;"|"&amp;G2117,PSKey,0)),0)</f>
        <v/>
      </c>
      <c r="P2117" s="46">
        <f>INDEX(ChDoorVel,MATCH(E2117,ChName,0))*CalibScalar*(1+VelocityUplift)</f>
        <v/>
      </c>
      <c r="Q2117" s="46" t="n">
        <v>0</v>
      </c>
      <c r="R2117" s="46">
        <f>P2117*O2117*M2117*N2117*H2117</f>
        <v/>
      </c>
      <c r="S2117" s="46">
        <f>R2117*INDEX(FmtCansPerCase,MATCH(F2117,FmtName,0))</f>
        <v/>
      </c>
      <c r="T2117" s="46">
        <f>S2117/INDEX(FmtCansPerPack,MATCH(F2117,FmtName,0))</f>
        <v/>
      </c>
      <c r="U2117" s="47">
        <f>INDEX(ChBaseCP,MATCH(E2117,ChName,0))*(1+INDEX(ProvMod,MATCH(G2117,ProvCode,0)))*(1+PriceIndex)</f>
        <v/>
      </c>
      <c r="V2117" s="47">
        <f>R2117*U2117*INDEX(FmtBlendedPriceIdx,MATCH(F2117,FmtName,0))</f>
        <v/>
      </c>
      <c r="W2117" s="47">
        <f>T2117*INDEX(ProvSRP,MATCH(G2117,ProvCode,0))*(1+PriceIndex)</f>
        <v/>
      </c>
      <c r="X2117" s="47">
        <f>IF(GrossBasis="Wholesale",V2117,W2117)</f>
        <v/>
      </c>
      <c r="Y2117" s="47">
        <f>R2117*INDEX(FmtBlendedCogs,MATCH(F2117,FmtName,0))</f>
        <v/>
      </c>
      <c r="Z2117" s="47">
        <f>X2117-Y2117</f>
        <v/>
      </c>
    </row>
    <row r="2118">
      <c r="A2118" t="n">
        <v>50</v>
      </c>
      <c r="B2118" s="44">
        <f>FiscalStart+(A2118-1)*7</f>
        <v/>
      </c>
      <c r="C2118">
        <f>TEXT(B2118,"mmm yyyy")</f>
        <v/>
      </c>
      <c r="D2118">
        <f>"Q"&amp;(INT((A2118-1)/13)+1)</f>
        <v/>
      </c>
      <c r="E2118" t="inlineStr">
        <is>
          <t>Costco</t>
        </is>
      </c>
      <c r="F2118">
        <f>IFERROR(INDEX(ChFormat,MATCH(E2118,ChName,0)),"")</f>
        <v/>
      </c>
      <c r="G2118" t="inlineStr">
        <is>
          <t>NL</t>
        </is>
      </c>
      <c r="H2118">
        <f>IF(A2118&lt;=NWeeks,1,0)</f>
        <v/>
      </c>
      <c r="I2118">
        <f>INDEX(ChLaunch,MATCH(E2118,ChName,0))</f>
        <v/>
      </c>
      <c r="J2118">
        <f>INDEX(ChWeeksFull,MATCH(E2118,ChName,0))</f>
        <v/>
      </c>
      <c r="K2118">
        <f>INDEX(ChRamp,MATCH(E2118,ChName,0))</f>
        <v/>
      </c>
      <c r="L2118" s="45">
        <f>MIN(1,MAX(0,(A2118-I2118+1)*RampSpeed/J2118))</f>
        <v/>
      </c>
      <c r="M2118" s="45">
        <f>IF(A2118&lt;I2118,0,IF(K2118="S-curve",L2118*L2118*(3-2*L2118),L2118))</f>
        <v/>
      </c>
      <c r="N2118" s="45">
        <f>1+(INDEX(SeasonIdx,A2118)-1)*SeasonAmp</f>
        <v/>
      </c>
      <c r="O2118" s="45">
        <f>IFERROR(INDEX(PSPct,MATCH(E2118&amp;"|"&amp;G2118,PSKey,0)),0)</f>
        <v/>
      </c>
      <c r="P2118" s="46">
        <f>INDEX(ChDoorVel,MATCH(E2118,ChName,0))*CalibScalar*(1+VelocityUplift)</f>
        <v/>
      </c>
      <c r="Q2118" s="46" t="n">
        <v>0</v>
      </c>
      <c r="R2118" s="46">
        <f>P2118*O2118*M2118*N2118*H2118</f>
        <v/>
      </c>
      <c r="S2118" s="46">
        <f>R2118*INDEX(FmtCansPerCase,MATCH(F2118,FmtName,0))</f>
        <v/>
      </c>
      <c r="T2118" s="46">
        <f>S2118/INDEX(FmtCansPerPack,MATCH(F2118,FmtName,0))</f>
        <v/>
      </c>
      <c r="U2118" s="47">
        <f>INDEX(ChBaseCP,MATCH(E2118,ChName,0))*(1+INDEX(ProvMod,MATCH(G2118,ProvCode,0)))*(1+PriceIndex)</f>
        <v/>
      </c>
      <c r="V2118" s="47">
        <f>R2118*U2118*INDEX(FmtBlendedPriceIdx,MATCH(F2118,FmtName,0))</f>
        <v/>
      </c>
      <c r="W2118" s="47">
        <f>T2118*INDEX(ProvSRP,MATCH(G2118,ProvCode,0))*(1+PriceIndex)</f>
        <v/>
      </c>
      <c r="X2118" s="47">
        <f>IF(GrossBasis="Wholesale",V2118,W2118)</f>
        <v/>
      </c>
      <c r="Y2118" s="47">
        <f>R2118*INDEX(FmtBlendedCogs,MATCH(F2118,FmtName,0))</f>
        <v/>
      </c>
      <c r="Z2118" s="47">
        <f>X2118-Y2118</f>
        <v/>
      </c>
    </row>
    <row r="2119">
      <c r="A2119" t="n">
        <v>51</v>
      </c>
      <c r="B2119" s="44">
        <f>FiscalStart+(A2119-1)*7</f>
        <v/>
      </c>
      <c r="C2119">
        <f>TEXT(B2119,"mmm yyyy")</f>
        <v/>
      </c>
      <c r="D2119">
        <f>"Q"&amp;(INT((A2119-1)/13)+1)</f>
        <v/>
      </c>
      <c r="E2119" t="inlineStr">
        <is>
          <t>Costco</t>
        </is>
      </c>
      <c r="F2119">
        <f>IFERROR(INDEX(ChFormat,MATCH(E2119,ChName,0)),"")</f>
        <v/>
      </c>
      <c r="G2119" t="inlineStr">
        <is>
          <t>NL</t>
        </is>
      </c>
      <c r="H2119">
        <f>IF(A2119&lt;=NWeeks,1,0)</f>
        <v/>
      </c>
      <c r="I2119">
        <f>INDEX(ChLaunch,MATCH(E2119,ChName,0))</f>
        <v/>
      </c>
      <c r="J2119">
        <f>INDEX(ChWeeksFull,MATCH(E2119,ChName,0))</f>
        <v/>
      </c>
      <c r="K2119">
        <f>INDEX(ChRamp,MATCH(E2119,ChName,0))</f>
        <v/>
      </c>
      <c r="L2119" s="45">
        <f>MIN(1,MAX(0,(A2119-I2119+1)*RampSpeed/J2119))</f>
        <v/>
      </c>
      <c r="M2119" s="45">
        <f>IF(A2119&lt;I2119,0,IF(K2119="S-curve",L2119*L2119*(3-2*L2119),L2119))</f>
        <v/>
      </c>
      <c r="N2119" s="45">
        <f>1+(INDEX(SeasonIdx,A2119)-1)*SeasonAmp</f>
        <v/>
      </c>
      <c r="O2119" s="45">
        <f>IFERROR(INDEX(PSPct,MATCH(E2119&amp;"|"&amp;G2119,PSKey,0)),0)</f>
        <v/>
      </c>
      <c r="P2119" s="46">
        <f>INDEX(ChDoorVel,MATCH(E2119,ChName,0))*CalibScalar*(1+VelocityUplift)</f>
        <v/>
      </c>
      <c r="Q2119" s="46" t="n">
        <v>0</v>
      </c>
      <c r="R2119" s="46">
        <f>P2119*O2119*M2119*N2119*H2119</f>
        <v/>
      </c>
      <c r="S2119" s="46">
        <f>R2119*INDEX(FmtCansPerCase,MATCH(F2119,FmtName,0))</f>
        <v/>
      </c>
      <c r="T2119" s="46">
        <f>S2119/INDEX(FmtCansPerPack,MATCH(F2119,FmtName,0))</f>
        <v/>
      </c>
      <c r="U2119" s="47">
        <f>INDEX(ChBaseCP,MATCH(E2119,ChName,0))*(1+INDEX(ProvMod,MATCH(G2119,ProvCode,0)))*(1+PriceIndex)</f>
        <v/>
      </c>
      <c r="V2119" s="47">
        <f>R2119*U2119*INDEX(FmtBlendedPriceIdx,MATCH(F2119,FmtName,0))</f>
        <v/>
      </c>
      <c r="W2119" s="47">
        <f>T2119*INDEX(ProvSRP,MATCH(G2119,ProvCode,0))*(1+PriceIndex)</f>
        <v/>
      </c>
      <c r="X2119" s="47">
        <f>IF(GrossBasis="Wholesale",V2119,W2119)</f>
        <v/>
      </c>
      <c r="Y2119" s="47">
        <f>R2119*INDEX(FmtBlendedCogs,MATCH(F2119,FmtName,0))</f>
        <v/>
      </c>
      <c r="Z2119" s="47">
        <f>X2119-Y2119</f>
        <v/>
      </c>
    </row>
    <row r="2120">
      <c r="A2120" t="n">
        <v>52</v>
      </c>
      <c r="B2120" s="44">
        <f>FiscalStart+(A2120-1)*7</f>
        <v/>
      </c>
      <c r="C2120">
        <f>TEXT(B2120,"mmm yyyy")</f>
        <v/>
      </c>
      <c r="D2120">
        <f>"Q"&amp;(INT((A2120-1)/13)+1)</f>
        <v/>
      </c>
      <c r="E2120" t="inlineStr">
        <is>
          <t>Costco</t>
        </is>
      </c>
      <c r="F2120">
        <f>IFERROR(INDEX(ChFormat,MATCH(E2120,ChName,0)),"")</f>
        <v/>
      </c>
      <c r="G2120" t="inlineStr">
        <is>
          <t>NL</t>
        </is>
      </c>
      <c r="H2120">
        <f>IF(A2120&lt;=NWeeks,1,0)</f>
        <v/>
      </c>
      <c r="I2120">
        <f>INDEX(ChLaunch,MATCH(E2120,ChName,0))</f>
        <v/>
      </c>
      <c r="J2120">
        <f>INDEX(ChWeeksFull,MATCH(E2120,ChName,0))</f>
        <v/>
      </c>
      <c r="K2120">
        <f>INDEX(ChRamp,MATCH(E2120,ChName,0))</f>
        <v/>
      </c>
      <c r="L2120" s="45">
        <f>MIN(1,MAX(0,(A2120-I2120+1)*RampSpeed/J2120))</f>
        <v/>
      </c>
      <c r="M2120" s="45">
        <f>IF(A2120&lt;I2120,0,IF(K2120="S-curve",L2120*L2120*(3-2*L2120),L2120))</f>
        <v/>
      </c>
      <c r="N2120" s="45">
        <f>1+(INDEX(SeasonIdx,A2120)-1)*SeasonAmp</f>
        <v/>
      </c>
      <c r="O2120" s="45">
        <f>IFERROR(INDEX(PSPct,MATCH(E2120&amp;"|"&amp;G2120,PSKey,0)),0)</f>
        <v/>
      </c>
      <c r="P2120" s="46">
        <f>INDEX(ChDoorVel,MATCH(E2120,ChName,0))*CalibScalar*(1+VelocityUplift)</f>
        <v/>
      </c>
      <c r="Q2120" s="46" t="n">
        <v>0</v>
      </c>
      <c r="R2120" s="46">
        <f>P2120*O2120*M2120*N2120*H2120</f>
        <v/>
      </c>
      <c r="S2120" s="46">
        <f>R2120*INDEX(FmtCansPerCase,MATCH(F2120,FmtName,0))</f>
        <v/>
      </c>
      <c r="T2120" s="46">
        <f>S2120/INDEX(FmtCansPerPack,MATCH(F2120,FmtName,0))</f>
        <v/>
      </c>
      <c r="U2120" s="47">
        <f>INDEX(ChBaseCP,MATCH(E2120,ChName,0))*(1+INDEX(ProvMod,MATCH(G2120,ProvCode,0)))*(1+PriceIndex)</f>
        <v/>
      </c>
      <c r="V2120" s="47">
        <f>R2120*U2120*INDEX(FmtBlendedPriceIdx,MATCH(F2120,FmtName,0))</f>
        <v/>
      </c>
      <c r="W2120" s="47">
        <f>T2120*INDEX(ProvSRP,MATCH(G2120,ProvCode,0))*(1+PriceIndex)</f>
        <v/>
      </c>
      <c r="X2120" s="47">
        <f>IF(GrossBasis="Wholesale",V2120,W2120)</f>
        <v/>
      </c>
      <c r="Y2120" s="47">
        <f>R2120*INDEX(FmtBlendedCogs,MATCH(F2120,FmtName,0))</f>
        <v/>
      </c>
      <c r="Z2120" s="47">
        <f>X2120-Y2120</f>
        <v/>
      </c>
    </row>
    <row r="2121">
      <c r="A2121" t="n">
        <v>53</v>
      </c>
      <c r="B2121" s="44">
        <f>FiscalStart+(A2121-1)*7</f>
        <v/>
      </c>
      <c r="C2121">
        <f>TEXT(B2121,"mmm yyyy")</f>
        <v/>
      </c>
      <c r="D2121">
        <f>"Q"&amp;(INT((A2121-1)/13)+1)</f>
        <v/>
      </c>
      <c r="E2121" t="inlineStr">
        <is>
          <t>Costco</t>
        </is>
      </c>
      <c r="F2121">
        <f>IFERROR(INDEX(ChFormat,MATCH(E2121,ChName,0)),"")</f>
        <v/>
      </c>
      <c r="G2121" t="inlineStr">
        <is>
          <t>NL</t>
        </is>
      </c>
      <c r="H2121">
        <f>IF(A2121&lt;=NWeeks,1,0)</f>
        <v/>
      </c>
      <c r="I2121">
        <f>INDEX(ChLaunch,MATCH(E2121,ChName,0))</f>
        <v/>
      </c>
      <c r="J2121">
        <f>INDEX(ChWeeksFull,MATCH(E2121,ChName,0))</f>
        <v/>
      </c>
      <c r="K2121">
        <f>INDEX(ChRamp,MATCH(E2121,ChName,0))</f>
        <v/>
      </c>
      <c r="L2121" s="45">
        <f>MIN(1,MAX(0,(A2121-I2121+1)*RampSpeed/J2121))</f>
        <v/>
      </c>
      <c r="M2121" s="45">
        <f>IF(A2121&lt;I2121,0,IF(K2121="S-curve",L2121*L2121*(3-2*L2121),L2121))</f>
        <v/>
      </c>
      <c r="N2121" s="45">
        <f>1+(INDEX(SeasonIdx,A2121)-1)*SeasonAmp</f>
        <v/>
      </c>
      <c r="O2121" s="45">
        <f>IFERROR(INDEX(PSPct,MATCH(E2121&amp;"|"&amp;G2121,PSKey,0)),0)</f>
        <v/>
      </c>
      <c r="P2121" s="46">
        <f>INDEX(ChDoorVel,MATCH(E2121,ChName,0))*CalibScalar*(1+VelocityUplift)</f>
        <v/>
      </c>
      <c r="Q2121" s="46" t="n">
        <v>0</v>
      </c>
      <c r="R2121" s="46">
        <f>P2121*O2121*M2121*N2121*H2121</f>
        <v/>
      </c>
      <c r="S2121" s="46">
        <f>R2121*INDEX(FmtCansPerCase,MATCH(F2121,FmtName,0))</f>
        <v/>
      </c>
      <c r="T2121" s="46">
        <f>S2121/INDEX(FmtCansPerPack,MATCH(F2121,FmtName,0))</f>
        <v/>
      </c>
      <c r="U2121" s="47">
        <f>INDEX(ChBaseCP,MATCH(E2121,ChName,0))*(1+INDEX(ProvMod,MATCH(G2121,ProvCode,0)))*(1+PriceIndex)</f>
        <v/>
      </c>
      <c r="V2121" s="47">
        <f>R2121*U2121*INDEX(FmtBlendedPriceIdx,MATCH(F2121,FmtName,0))</f>
        <v/>
      </c>
      <c r="W2121" s="47">
        <f>T2121*INDEX(ProvSRP,MATCH(G2121,ProvCode,0))*(1+PriceIndex)</f>
        <v/>
      </c>
      <c r="X2121" s="47">
        <f>IF(GrossBasis="Wholesale",V2121,W2121)</f>
        <v/>
      </c>
      <c r="Y2121" s="47">
        <f>R2121*INDEX(FmtBlendedCogs,MATCH(F2121,FmtName,0))</f>
        <v/>
      </c>
      <c r="Z2121" s="47">
        <f>X2121-Y2121</f>
        <v/>
      </c>
    </row>
    <row r="2122">
      <c r="A2122" t="n">
        <v>1</v>
      </c>
      <c r="B2122" s="44">
        <f>FiscalStart+(A2122-1)*7</f>
        <v/>
      </c>
      <c r="C2122">
        <f>TEXT(B2122,"mmm yyyy")</f>
        <v/>
      </c>
      <c r="D2122">
        <f>"Q"&amp;(INT((A2122-1)/13)+1)</f>
        <v/>
      </c>
      <c r="E2122" t="inlineStr">
        <is>
          <t>FDM</t>
        </is>
      </c>
      <c r="F2122">
        <f>IFERROR(INDEX(ChFormat,MATCH(E2122,ChName,0)),"")</f>
        <v/>
      </c>
      <c r="G2122" t="inlineStr">
        <is>
          <t>BC</t>
        </is>
      </c>
      <c r="H2122">
        <f>IF(A2122&lt;=NWeeks,1,0)</f>
        <v/>
      </c>
      <c r="I2122">
        <f>INDEX(ChLaunch,MATCH(E2122,ChName,0))</f>
        <v/>
      </c>
      <c r="J2122">
        <f>INDEX(ChWeeksFull,MATCH(E2122,ChName,0))</f>
        <v/>
      </c>
      <c r="K2122">
        <f>INDEX(ChRamp,MATCH(E2122,ChName,0))</f>
        <v/>
      </c>
      <c r="L2122" s="45">
        <f>MIN(1,MAX(0,(A2122-I2122+1)*RampSpeed/J2122))</f>
        <v/>
      </c>
      <c r="M2122" s="45">
        <f>IF(A2122&lt;I2122,0,IF(K2122="S-curve",L2122*L2122*(3-2*L2122),L2122))</f>
        <v/>
      </c>
      <c r="N2122" s="45">
        <f>1+(INDEX(SeasonIdx,A2122)-1)*SeasonAmp</f>
        <v/>
      </c>
      <c r="O2122" s="45">
        <f>IFERROR(INDEX(PSPct,MATCH(E2122&amp;"|"&amp;G2122,PSKey,0)),0)</f>
        <v/>
      </c>
      <c r="P2122" s="46">
        <f>INDEX(ChDoorVel,MATCH(E2122,ChName,0))*CalibScalar*(1+VelocityUplift)</f>
        <v/>
      </c>
      <c r="Q2122" s="46" t="n">
        <v>0</v>
      </c>
      <c r="R2122" s="46">
        <f>P2122*O2122*M2122*N2122*H2122</f>
        <v/>
      </c>
      <c r="S2122" s="46">
        <f>R2122*INDEX(FmtCansPerCase,MATCH(F2122,FmtName,0))</f>
        <v/>
      </c>
      <c r="T2122" s="46">
        <f>S2122/INDEX(FmtCansPerPack,MATCH(F2122,FmtName,0))</f>
        <v/>
      </c>
      <c r="U2122" s="47">
        <f>INDEX(ChBaseCP,MATCH(E2122,ChName,0))*(1+INDEX(ProvMod,MATCH(G2122,ProvCode,0)))*(1+PriceIndex)</f>
        <v/>
      </c>
      <c r="V2122" s="47">
        <f>R2122*U2122*INDEX(FmtBlendedPriceIdx,MATCH(F2122,FmtName,0))</f>
        <v/>
      </c>
      <c r="W2122" s="47">
        <f>T2122*INDEX(ProvSRP,MATCH(G2122,ProvCode,0))*(1+PriceIndex)</f>
        <v/>
      </c>
      <c r="X2122" s="47">
        <f>IF(GrossBasis="Wholesale",V2122,W2122)</f>
        <v/>
      </c>
      <c r="Y2122" s="47">
        <f>R2122*INDEX(FmtBlendedCogs,MATCH(F2122,FmtName,0))</f>
        <v/>
      </c>
      <c r="Z2122" s="47">
        <f>X2122-Y2122</f>
        <v/>
      </c>
    </row>
    <row r="2123">
      <c r="A2123" t="n">
        <v>2</v>
      </c>
      <c r="B2123" s="44">
        <f>FiscalStart+(A2123-1)*7</f>
        <v/>
      </c>
      <c r="C2123">
        <f>TEXT(B2123,"mmm yyyy")</f>
        <v/>
      </c>
      <c r="D2123">
        <f>"Q"&amp;(INT((A2123-1)/13)+1)</f>
        <v/>
      </c>
      <c r="E2123" t="inlineStr">
        <is>
          <t>FDM</t>
        </is>
      </c>
      <c r="F2123">
        <f>IFERROR(INDEX(ChFormat,MATCH(E2123,ChName,0)),"")</f>
        <v/>
      </c>
      <c r="G2123" t="inlineStr">
        <is>
          <t>BC</t>
        </is>
      </c>
      <c r="H2123">
        <f>IF(A2123&lt;=NWeeks,1,0)</f>
        <v/>
      </c>
      <c r="I2123">
        <f>INDEX(ChLaunch,MATCH(E2123,ChName,0))</f>
        <v/>
      </c>
      <c r="J2123">
        <f>INDEX(ChWeeksFull,MATCH(E2123,ChName,0))</f>
        <v/>
      </c>
      <c r="K2123">
        <f>INDEX(ChRamp,MATCH(E2123,ChName,0))</f>
        <v/>
      </c>
      <c r="L2123" s="45">
        <f>MIN(1,MAX(0,(A2123-I2123+1)*RampSpeed/J2123))</f>
        <v/>
      </c>
      <c r="M2123" s="45">
        <f>IF(A2123&lt;I2123,0,IF(K2123="S-curve",L2123*L2123*(3-2*L2123),L2123))</f>
        <v/>
      </c>
      <c r="N2123" s="45">
        <f>1+(INDEX(SeasonIdx,A2123)-1)*SeasonAmp</f>
        <v/>
      </c>
      <c r="O2123" s="45">
        <f>IFERROR(INDEX(PSPct,MATCH(E2123&amp;"|"&amp;G2123,PSKey,0)),0)</f>
        <v/>
      </c>
      <c r="P2123" s="46">
        <f>INDEX(ChDoorVel,MATCH(E2123,ChName,0))*CalibScalar*(1+VelocityUplift)</f>
        <v/>
      </c>
      <c r="Q2123" s="46" t="n">
        <v>0</v>
      </c>
      <c r="R2123" s="46">
        <f>P2123*O2123*M2123*N2123*H2123</f>
        <v/>
      </c>
      <c r="S2123" s="46">
        <f>R2123*INDEX(FmtCansPerCase,MATCH(F2123,FmtName,0))</f>
        <v/>
      </c>
      <c r="T2123" s="46">
        <f>S2123/INDEX(FmtCansPerPack,MATCH(F2123,FmtName,0))</f>
        <v/>
      </c>
      <c r="U2123" s="47">
        <f>INDEX(ChBaseCP,MATCH(E2123,ChName,0))*(1+INDEX(ProvMod,MATCH(G2123,ProvCode,0)))*(1+PriceIndex)</f>
        <v/>
      </c>
      <c r="V2123" s="47">
        <f>R2123*U2123*INDEX(FmtBlendedPriceIdx,MATCH(F2123,FmtName,0))</f>
        <v/>
      </c>
      <c r="W2123" s="47">
        <f>T2123*INDEX(ProvSRP,MATCH(G2123,ProvCode,0))*(1+PriceIndex)</f>
        <v/>
      </c>
      <c r="X2123" s="47">
        <f>IF(GrossBasis="Wholesale",V2123,W2123)</f>
        <v/>
      </c>
      <c r="Y2123" s="47">
        <f>R2123*INDEX(FmtBlendedCogs,MATCH(F2123,FmtName,0))</f>
        <v/>
      </c>
      <c r="Z2123" s="47">
        <f>X2123-Y2123</f>
        <v/>
      </c>
    </row>
    <row r="2124">
      <c r="A2124" t="n">
        <v>3</v>
      </c>
      <c r="B2124" s="44">
        <f>FiscalStart+(A2124-1)*7</f>
        <v/>
      </c>
      <c r="C2124">
        <f>TEXT(B2124,"mmm yyyy")</f>
        <v/>
      </c>
      <c r="D2124">
        <f>"Q"&amp;(INT((A2124-1)/13)+1)</f>
        <v/>
      </c>
      <c r="E2124" t="inlineStr">
        <is>
          <t>FDM</t>
        </is>
      </c>
      <c r="F2124">
        <f>IFERROR(INDEX(ChFormat,MATCH(E2124,ChName,0)),"")</f>
        <v/>
      </c>
      <c r="G2124" t="inlineStr">
        <is>
          <t>BC</t>
        </is>
      </c>
      <c r="H2124">
        <f>IF(A2124&lt;=NWeeks,1,0)</f>
        <v/>
      </c>
      <c r="I2124">
        <f>INDEX(ChLaunch,MATCH(E2124,ChName,0))</f>
        <v/>
      </c>
      <c r="J2124">
        <f>INDEX(ChWeeksFull,MATCH(E2124,ChName,0))</f>
        <v/>
      </c>
      <c r="K2124">
        <f>INDEX(ChRamp,MATCH(E2124,ChName,0))</f>
        <v/>
      </c>
      <c r="L2124" s="45">
        <f>MIN(1,MAX(0,(A2124-I2124+1)*RampSpeed/J2124))</f>
        <v/>
      </c>
      <c r="M2124" s="45">
        <f>IF(A2124&lt;I2124,0,IF(K2124="S-curve",L2124*L2124*(3-2*L2124),L2124))</f>
        <v/>
      </c>
      <c r="N2124" s="45">
        <f>1+(INDEX(SeasonIdx,A2124)-1)*SeasonAmp</f>
        <v/>
      </c>
      <c r="O2124" s="45">
        <f>IFERROR(INDEX(PSPct,MATCH(E2124&amp;"|"&amp;G2124,PSKey,0)),0)</f>
        <v/>
      </c>
      <c r="P2124" s="46">
        <f>INDEX(ChDoorVel,MATCH(E2124,ChName,0))*CalibScalar*(1+VelocityUplift)</f>
        <v/>
      </c>
      <c r="Q2124" s="46" t="n">
        <v>0</v>
      </c>
      <c r="R2124" s="46">
        <f>P2124*O2124*M2124*N2124*H2124</f>
        <v/>
      </c>
      <c r="S2124" s="46">
        <f>R2124*INDEX(FmtCansPerCase,MATCH(F2124,FmtName,0))</f>
        <v/>
      </c>
      <c r="T2124" s="46">
        <f>S2124/INDEX(FmtCansPerPack,MATCH(F2124,FmtName,0))</f>
        <v/>
      </c>
      <c r="U2124" s="47">
        <f>INDEX(ChBaseCP,MATCH(E2124,ChName,0))*(1+INDEX(ProvMod,MATCH(G2124,ProvCode,0)))*(1+PriceIndex)</f>
        <v/>
      </c>
      <c r="V2124" s="47">
        <f>R2124*U2124*INDEX(FmtBlendedPriceIdx,MATCH(F2124,FmtName,0))</f>
        <v/>
      </c>
      <c r="W2124" s="47">
        <f>T2124*INDEX(ProvSRP,MATCH(G2124,ProvCode,0))*(1+PriceIndex)</f>
        <v/>
      </c>
      <c r="X2124" s="47">
        <f>IF(GrossBasis="Wholesale",V2124,W2124)</f>
        <v/>
      </c>
      <c r="Y2124" s="47">
        <f>R2124*INDEX(FmtBlendedCogs,MATCH(F2124,FmtName,0))</f>
        <v/>
      </c>
      <c r="Z2124" s="47">
        <f>X2124-Y2124</f>
        <v/>
      </c>
    </row>
    <row r="2125">
      <c r="A2125" t="n">
        <v>4</v>
      </c>
      <c r="B2125" s="44">
        <f>FiscalStart+(A2125-1)*7</f>
        <v/>
      </c>
      <c r="C2125">
        <f>TEXT(B2125,"mmm yyyy")</f>
        <v/>
      </c>
      <c r="D2125">
        <f>"Q"&amp;(INT((A2125-1)/13)+1)</f>
        <v/>
      </c>
      <c r="E2125" t="inlineStr">
        <is>
          <t>FDM</t>
        </is>
      </c>
      <c r="F2125">
        <f>IFERROR(INDEX(ChFormat,MATCH(E2125,ChName,0)),"")</f>
        <v/>
      </c>
      <c r="G2125" t="inlineStr">
        <is>
          <t>BC</t>
        </is>
      </c>
      <c r="H2125">
        <f>IF(A2125&lt;=NWeeks,1,0)</f>
        <v/>
      </c>
      <c r="I2125">
        <f>INDEX(ChLaunch,MATCH(E2125,ChName,0))</f>
        <v/>
      </c>
      <c r="J2125">
        <f>INDEX(ChWeeksFull,MATCH(E2125,ChName,0))</f>
        <v/>
      </c>
      <c r="K2125">
        <f>INDEX(ChRamp,MATCH(E2125,ChName,0))</f>
        <v/>
      </c>
      <c r="L2125" s="45">
        <f>MIN(1,MAX(0,(A2125-I2125+1)*RampSpeed/J2125))</f>
        <v/>
      </c>
      <c r="M2125" s="45">
        <f>IF(A2125&lt;I2125,0,IF(K2125="S-curve",L2125*L2125*(3-2*L2125),L2125))</f>
        <v/>
      </c>
      <c r="N2125" s="45">
        <f>1+(INDEX(SeasonIdx,A2125)-1)*SeasonAmp</f>
        <v/>
      </c>
      <c r="O2125" s="45">
        <f>IFERROR(INDEX(PSPct,MATCH(E2125&amp;"|"&amp;G2125,PSKey,0)),0)</f>
        <v/>
      </c>
      <c r="P2125" s="46">
        <f>INDEX(ChDoorVel,MATCH(E2125,ChName,0))*CalibScalar*(1+VelocityUplift)</f>
        <v/>
      </c>
      <c r="Q2125" s="46" t="n">
        <v>0</v>
      </c>
      <c r="R2125" s="46">
        <f>P2125*O2125*M2125*N2125*H2125</f>
        <v/>
      </c>
      <c r="S2125" s="46">
        <f>R2125*INDEX(FmtCansPerCase,MATCH(F2125,FmtName,0))</f>
        <v/>
      </c>
      <c r="T2125" s="46">
        <f>S2125/INDEX(FmtCansPerPack,MATCH(F2125,FmtName,0))</f>
        <v/>
      </c>
      <c r="U2125" s="47">
        <f>INDEX(ChBaseCP,MATCH(E2125,ChName,0))*(1+INDEX(ProvMod,MATCH(G2125,ProvCode,0)))*(1+PriceIndex)</f>
        <v/>
      </c>
      <c r="V2125" s="47">
        <f>R2125*U2125*INDEX(FmtBlendedPriceIdx,MATCH(F2125,FmtName,0))</f>
        <v/>
      </c>
      <c r="W2125" s="47">
        <f>T2125*INDEX(ProvSRP,MATCH(G2125,ProvCode,0))*(1+PriceIndex)</f>
        <v/>
      </c>
      <c r="X2125" s="47">
        <f>IF(GrossBasis="Wholesale",V2125,W2125)</f>
        <v/>
      </c>
      <c r="Y2125" s="47">
        <f>R2125*INDEX(FmtBlendedCogs,MATCH(F2125,FmtName,0))</f>
        <v/>
      </c>
      <c r="Z2125" s="47">
        <f>X2125-Y2125</f>
        <v/>
      </c>
    </row>
    <row r="2126">
      <c r="A2126" t="n">
        <v>5</v>
      </c>
      <c r="B2126" s="44">
        <f>FiscalStart+(A2126-1)*7</f>
        <v/>
      </c>
      <c r="C2126">
        <f>TEXT(B2126,"mmm yyyy")</f>
        <v/>
      </c>
      <c r="D2126">
        <f>"Q"&amp;(INT((A2126-1)/13)+1)</f>
        <v/>
      </c>
      <c r="E2126" t="inlineStr">
        <is>
          <t>FDM</t>
        </is>
      </c>
      <c r="F2126">
        <f>IFERROR(INDEX(ChFormat,MATCH(E2126,ChName,0)),"")</f>
        <v/>
      </c>
      <c r="G2126" t="inlineStr">
        <is>
          <t>BC</t>
        </is>
      </c>
      <c r="H2126">
        <f>IF(A2126&lt;=NWeeks,1,0)</f>
        <v/>
      </c>
      <c r="I2126">
        <f>INDEX(ChLaunch,MATCH(E2126,ChName,0))</f>
        <v/>
      </c>
      <c r="J2126">
        <f>INDEX(ChWeeksFull,MATCH(E2126,ChName,0))</f>
        <v/>
      </c>
      <c r="K2126">
        <f>INDEX(ChRamp,MATCH(E2126,ChName,0))</f>
        <v/>
      </c>
      <c r="L2126" s="45">
        <f>MIN(1,MAX(0,(A2126-I2126+1)*RampSpeed/J2126))</f>
        <v/>
      </c>
      <c r="M2126" s="45">
        <f>IF(A2126&lt;I2126,0,IF(K2126="S-curve",L2126*L2126*(3-2*L2126),L2126))</f>
        <v/>
      </c>
      <c r="N2126" s="45">
        <f>1+(INDEX(SeasonIdx,A2126)-1)*SeasonAmp</f>
        <v/>
      </c>
      <c r="O2126" s="45">
        <f>IFERROR(INDEX(PSPct,MATCH(E2126&amp;"|"&amp;G2126,PSKey,0)),0)</f>
        <v/>
      </c>
      <c r="P2126" s="46">
        <f>INDEX(ChDoorVel,MATCH(E2126,ChName,0))*CalibScalar*(1+VelocityUplift)</f>
        <v/>
      </c>
      <c r="Q2126" s="46" t="n">
        <v>0</v>
      </c>
      <c r="R2126" s="46">
        <f>P2126*O2126*M2126*N2126*H2126</f>
        <v/>
      </c>
      <c r="S2126" s="46">
        <f>R2126*INDEX(FmtCansPerCase,MATCH(F2126,FmtName,0))</f>
        <v/>
      </c>
      <c r="T2126" s="46">
        <f>S2126/INDEX(FmtCansPerPack,MATCH(F2126,FmtName,0))</f>
        <v/>
      </c>
      <c r="U2126" s="47">
        <f>INDEX(ChBaseCP,MATCH(E2126,ChName,0))*(1+INDEX(ProvMod,MATCH(G2126,ProvCode,0)))*(1+PriceIndex)</f>
        <v/>
      </c>
      <c r="V2126" s="47">
        <f>R2126*U2126*INDEX(FmtBlendedPriceIdx,MATCH(F2126,FmtName,0))</f>
        <v/>
      </c>
      <c r="W2126" s="47">
        <f>T2126*INDEX(ProvSRP,MATCH(G2126,ProvCode,0))*(1+PriceIndex)</f>
        <v/>
      </c>
      <c r="X2126" s="47">
        <f>IF(GrossBasis="Wholesale",V2126,W2126)</f>
        <v/>
      </c>
      <c r="Y2126" s="47">
        <f>R2126*INDEX(FmtBlendedCogs,MATCH(F2126,FmtName,0))</f>
        <v/>
      </c>
      <c r="Z2126" s="47">
        <f>X2126-Y2126</f>
        <v/>
      </c>
    </row>
    <row r="2127">
      <c r="A2127" t="n">
        <v>6</v>
      </c>
      <c r="B2127" s="44">
        <f>FiscalStart+(A2127-1)*7</f>
        <v/>
      </c>
      <c r="C2127">
        <f>TEXT(B2127,"mmm yyyy")</f>
        <v/>
      </c>
      <c r="D2127">
        <f>"Q"&amp;(INT((A2127-1)/13)+1)</f>
        <v/>
      </c>
      <c r="E2127" t="inlineStr">
        <is>
          <t>FDM</t>
        </is>
      </c>
      <c r="F2127">
        <f>IFERROR(INDEX(ChFormat,MATCH(E2127,ChName,0)),"")</f>
        <v/>
      </c>
      <c r="G2127" t="inlineStr">
        <is>
          <t>BC</t>
        </is>
      </c>
      <c r="H2127">
        <f>IF(A2127&lt;=NWeeks,1,0)</f>
        <v/>
      </c>
      <c r="I2127">
        <f>INDEX(ChLaunch,MATCH(E2127,ChName,0))</f>
        <v/>
      </c>
      <c r="J2127">
        <f>INDEX(ChWeeksFull,MATCH(E2127,ChName,0))</f>
        <v/>
      </c>
      <c r="K2127">
        <f>INDEX(ChRamp,MATCH(E2127,ChName,0))</f>
        <v/>
      </c>
      <c r="L2127" s="45">
        <f>MIN(1,MAX(0,(A2127-I2127+1)*RampSpeed/J2127))</f>
        <v/>
      </c>
      <c r="M2127" s="45">
        <f>IF(A2127&lt;I2127,0,IF(K2127="S-curve",L2127*L2127*(3-2*L2127),L2127))</f>
        <v/>
      </c>
      <c r="N2127" s="45">
        <f>1+(INDEX(SeasonIdx,A2127)-1)*SeasonAmp</f>
        <v/>
      </c>
      <c r="O2127" s="45">
        <f>IFERROR(INDEX(PSPct,MATCH(E2127&amp;"|"&amp;G2127,PSKey,0)),0)</f>
        <v/>
      </c>
      <c r="P2127" s="46">
        <f>INDEX(ChDoorVel,MATCH(E2127,ChName,0))*CalibScalar*(1+VelocityUplift)</f>
        <v/>
      </c>
      <c r="Q2127" s="46" t="n">
        <v>0</v>
      </c>
      <c r="R2127" s="46">
        <f>P2127*O2127*M2127*N2127*H2127</f>
        <v/>
      </c>
      <c r="S2127" s="46">
        <f>R2127*INDEX(FmtCansPerCase,MATCH(F2127,FmtName,0))</f>
        <v/>
      </c>
      <c r="T2127" s="46">
        <f>S2127/INDEX(FmtCansPerPack,MATCH(F2127,FmtName,0))</f>
        <v/>
      </c>
      <c r="U2127" s="47">
        <f>INDEX(ChBaseCP,MATCH(E2127,ChName,0))*(1+INDEX(ProvMod,MATCH(G2127,ProvCode,0)))*(1+PriceIndex)</f>
        <v/>
      </c>
      <c r="V2127" s="47">
        <f>R2127*U2127*INDEX(FmtBlendedPriceIdx,MATCH(F2127,FmtName,0))</f>
        <v/>
      </c>
      <c r="W2127" s="47">
        <f>T2127*INDEX(ProvSRP,MATCH(G2127,ProvCode,0))*(1+PriceIndex)</f>
        <v/>
      </c>
      <c r="X2127" s="47">
        <f>IF(GrossBasis="Wholesale",V2127,W2127)</f>
        <v/>
      </c>
      <c r="Y2127" s="47">
        <f>R2127*INDEX(FmtBlendedCogs,MATCH(F2127,FmtName,0))</f>
        <v/>
      </c>
      <c r="Z2127" s="47">
        <f>X2127-Y2127</f>
        <v/>
      </c>
    </row>
    <row r="2128">
      <c r="A2128" t="n">
        <v>7</v>
      </c>
      <c r="B2128" s="44">
        <f>FiscalStart+(A2128-1)*7</f>
        <v/>
      </c>
      <c r="C2128">
        <f>TEXT(B2128,"mmm yyyy")</f>
        <v/>
      </c>
      <c r="D2128">
        <f>"Q"&amp;(INT((A2128-1)/13)+1)</f>
        <v/>
      </c>
      <c r="E2128" t="inlineStr">
        <is>
          <t>FDM</t>
        </is>
      </c>
      <c r="F2128">
        <f>IFERROR(INDEX(ChFormat,MATCH(E2128,ChName,0)),"")</f>
        <v/>
      </c>
      <c r="G2128" t="inlineStr">
        <is>
          <t>BC</t>
        </is>
      </c>
      <c r="H2128">
        <f>IF(A2128&lt;=NWeeks,1,0)</f>
        <v/>
      </c>
      <c r="I2128">
        <f>INDEX(ChLaunch,MATCH(E2128,ChName,0))</f>
        <v/>
      </c>
      <c r="J2128">
        <f>INDEX(ChWeeksFull,MATCH(E2128,ChName,0))</f>
        <v/>
      </c>
      <c r="K2128">
        <f>INDEX(ChRamp,MATCH(E2128,ChName,0))</f>
        <v/>
      </c>
      <c r="L2128" s="45">
        <f>MIN(1,MAX(0,(A2128-I2128+1)*RampSpeed/J2128))</f>
        <v/>
      </c>
      <c r="M2128" s="45">
        <f>IF(A2128&lt;I2128,0,IF(K2128="S-curve",L2128*L2128*(3-2*L2128),L2128))</f>
        <v/>
      </c>
      <c r="N2128" s="45">
        <f>1+(INDEX(SeasonIdx,A2128)-1)*SeasonAmp</f>
        <v/>
      </c>
      <c r="O2128" s="45">
        <f>IFERROR(INDEX(PSPct,MATCH(E2128&amp;"|"&amp;G2128,PSKey,0)),0)</f>
        <v/>
      </c>
      <c r="P2128" s="46">
        <f>INDEX(ChDoorVel,MATCH(E2128,ChName,0))*CalibScalar*(1+VelocityUplift)</f>
        <v/>
      </c>
      <c r="Q2128" s="46" t="n">
        <v>0</v>
      </c>
      <c r="R2128" s="46">
        <f>P2128*O2128*M2128*N2128*H2128</f>
        <v/>
      </c>
      <c r="S2128" s="46">
        <f>R2128*INDEX(FmtCansPerCase,MATCH(F2128,FmtName,0))</f>
        <v/>
      </c>
      <c r="T2128" s="46">
        <f>S2128/INDEX(FmtCansPerPack,MATCH(F2128,FmtName,0))</f>
        <v/>
      </c>
      <c r="U2128" s="47">
        <f>INDEX(ChBaseCP,MATCH(E2128,ChName,0))*(1+INDEX(ProvMod,MATCH(G2128,ProvCode,0)))*(1+PriceIndex)</f>
        <v/>
      </c>
      <c r="V2128" s="47">
        <f>R2128*U2128*INDEX(FmtBlendedPriceIdx,MATCH(F2128,FmtName,0))</f>
        <v/>
      </c>
      <c r="W2128" s="47">
        <f>T2128*INDEX(ProvSRP,MATCH(G2128,ProvCode,0))*(1+PriceIndex)</f>
        <v/>
      </c>
      <c r="X2128" s="47">
        <f>IF(GrossBasis="Wholesale",V2128,W2128)</f>
        <v/>
      </c>
      <c r="Y2128" s="47">
        <f>R2128*INDEX(FmtBlendedCogs,MATCH(F2128,FmtName,0))</f>
        <v/>
      </c>
      <c r="Z2128" s="47">
        <f>X2128-Y2128</f>
        <v/>
      </c>
    </row>
    <row r="2129">
      <c r="A2129" t="n">
        <v>8</v>
      </c>
      <c r="B2129" s="44">
        <f>FiscalStart+(A2129-1)*7</f>
        <v/>
      </c>
      <c r="C2129">
        <f>TEXT(B2129,"mmm yyyy")</f>
        <v/>
      </c>
      <c r="D2129">
        <f>"Q"&amp;(INT((A2129-1)/13)+1)</f>
        <v/>
      </c>
      <c r="E2129" t="inlineStr">
        <is>
          <t>FDM</t>
        </is>
      </c>
      <c r="F2129">
        <f>IFERROR(INDEX(ChFormat,MATCH(E2129,ChName,0)),"")</f>
        <v/>
      </c>
      <c r="G2129" t="inlineStr">
        <is>
          <t>BC</t>
        </is>
      </c>
      <c r="H2129">
        <f>IF(A2129&lt;=NWeeks,1,0)</f>
        <v/>
      </c>
      <c r="I2129">
        <f>INDEX(ChLaunch,MATCH(E2129,ChName,0))</f>
        <v/>
      </c>
      <c r="J2129">
        <f>INDEX(ChWeeksFull,MATCH(E2129,ChName,0))</f>
        <v/>
      </c>
      <c r="K2129">
        <f>INDEX(ChRamp,MATCH(E2129,ChName,0))</f>
        <v/>
      </c>
      <c r="L2129" s="45">
        <f>MIN(1,MAX(0,(A2129-I2129+1)*RampSpeed/J2129))</f>
        <v/>
      </c>
      <c r="M2129" s="45">
        <f>IF(A2129&lt;I2129,0,IF(K2129="S-curve",L2129*L2129*(3-2*L2129),L2129))</f>
        <v/>
      </c>
      <c r="N2129" s="45">
        <f>1+(INDEX(SeasonIdx,A2129)-1)*SeasonAmp</f>
        <v/>
      </c>
      <c r="O2129" s="45">
        <f>IFERROR(INDEX(PSPct,MATCH(E2129&amp;"|"&amp;G2129,PSKey,0)),0)</f>
        <v/>
      </c>
      <c r="P2129" s="46">
        <f>INDEX(ChDoorVel,MATCH(E2129,ChName,0))*CalibScalar*(1+VelocityUplift)</f>
        <v/>
      </c>
      <c r="Q2129" s="46" t="n">
        <v>0</v>
      </c>
      <c r="R2129" s="46">
        <f>P2129*O2129*M2129*N2129*H2129</f>
        <v/>
      </c>
      <c r="S2129" s="46">
        <f>R2129*INDEX(FmtCansPerCase,MATCH(F2129,FmtName,0))</f>
        <v/>
      </c>
      <c r="T2129" s="46">
        <f>S2129/INDEX(FmtCansPerPack,MATCH(F2129,FmtName,0))</f>
        <v/>
      </c>
      <c r="U2129" s="47">
        <f>INDEX(ChBaseCP,MATCH(E2129,ChName,0))*(1+INDEX(ProvMod,MATCH(G2129,ProvCode,0)))*(1+PriceIndex)</f>
        <v/>
      </c>
      <c r="V2129" s="47">
        <f>R2129*U2129*INDEX(FmtBlendedPriceIdx,MATCH(F2129,FmtName,0))</f>
        <v/>
      </c>
      <c r="W2129" s="47">
        <f>T2129*INDEX(ProvSRP,MATCH(G2129,ProvCode,0))*(1+PriceIndex)</f>
        <v/>
      </c>
      <c r="X2129" s="47">
        <f>IF(GrossBasis="Wholesale",V2129,W2129)</f>
        <v/>
      </c>
      <c r="Y2129" s="47">
        <f>R2129*INDEX(FmtBlendedCogs,MATCH(F2129,FmtName,0))</f>
        <v/>
      </c>
      <c r="Z2129" s="47">
        <f>X2129-Y2129</f>
        <v/>
      </c>
    </row>
    <row r="2130">
      <c r="A2130" t="n">
        <v>9</v>
      </c>
      <c r="B2130" s="44">
        <f>FiscalStart+(A2130-1)*7</f>
        <v/>
      </c>
      <c r="C2130">
        <f>TEXT(B2130,"mmm yyyy")</f>
        <v/>
      </c>
      <c r="D2130">
        <f>"Q"&amp;(INT((A2130-1)/13)+1)</f>
        <v/>
      </c>
      <c r="E2130" t="inlineStr">
        <is>
          <t>FDM</t>
        </is>
      </c>
      <c r="F2130">
        <f>IFERROR(INDEX(ChFormat,MATCH(E2130,ChName,0)),"")</f>
        <v/>
      </c>
      <c r="G2130" t="inlineStr">
        <is>
          <t>BC</t>
        </is>
      </c>
      <c r="H2130">
        <f>IF(A2130&lt;=NWeeks,1,0)</f>
        <v/>
      </c>
      <c r="I2130">
        <f>INDEX(ChLaunch,MATCH(E2130,ChName,0))</f>
        <v/>
      </c>
      <c r="J2130">
        <f>INDEX(ChWeeksFull,MATCH(E2130,ChName,0))</f>
        <v/>
      </c>
      <c r="K2130">
        <f>INDEX(ChRamp,MATCH(E2130,ChName,0))</f>
        <v/>
      </c>
      <c r="L2130" s="45">
        <f>MIN(1,MAX(0,(A2130-I2130+1)*RampSpeed/J2130))</f>
        <v/>
      </c>
      <c r="M2130" s="45">
        <f>IF(A2130&lt;I2130,0,IF(K2130="S-curve",L2130*L2130*(3-2*L2130),L2130))</f>
        <v/>
      </c>
      <c r="N2130" s="45">
        <f>1+(INDEX(SeasonIdx,A2130)-1)*SeasonAmp</f>
        <v/>
      </c>
      <c r="O2130" s="45">
        <f>IFERROR(INDEX(PSPct,MATCH(E2130&amp;"|"&amp;G2130,PSKey,0)),0)</f>
        <v/>
      </c>
      <c r="P2130" s="46">
        <f>INDEX(ChDoorVel,MATCH(E2130,ChName,0))*CalibScalar*(1+VelocityUplift)</f>
        <v/>
      </c>
      <c r="Q2130" s="46" t="n">
        <v>0</v>
      </c>
      <c r="R2130" s="46">
        <f>P2130*O2130*M2130*N2130*H2130</f>
        <v/>
      </c>
      <c r="S2130" s="46">
        <f>R2130*INDEX(FmtCansPerCase,MATCH(F2130,FmtName,0))</f>
        <v/>
      </c>
      <c r="T2130" s="46">
        <f>S2130/INDEX(FmtCansPerPack,MATCH(F2130,FmtName,0))</f>
        <v/>
      </c>
      <c r="U2130" s="47">
        <f>INDEX(ChBaseCP,MATCH(E2130,ChName,0))*(1+INDEX(ProvMod,MATCH(G2130,ProvCode,0)))*(1+PriceIndex)</f>
        <v/>
      </c>
      <c r="V2130" s="47">
        <f>R2130*U2130*INDEX(FmtBlendedPriceIdx,MATCH(F2130,FmtName,0))</f>
        <v/>
      </c>
      <c r="W2130" s="47">
        <f>T2130*INDEX(ProvSRP,MATCH(G2130,ProvCode,0))*(1+PriceIndex)</f>
        <v/>
      </c>
      <c r="X2130" s="47">
        <f>IF(GrossBasis="Wholesale",V2130,W2130)</f>
        <v/>
      </c>
      <c r="Y2130" s="47">
        <f>R2130*INDEX(FmtBlendedCogs,MATCH(F2130,FmtName,0))</f>
        <v/>
      </c>
      <c r="Z2130" s="47">
        <f>X2130-Y2130</f>
        <v/>
      </c>
    </row>
    <row r="2131">
      <c r="A2131" t="n">
        <v>10</v>
      </c>
      <c r="B2131" s="44">
        <f>FiscalStart+(A2131-1)*7</f>
        <v/>
      </c>
      <c r="C2131">
        <f>TEXT(B2131,"mmm yyyy")</f>
        <v/>
      </c>
      <c r="D2131">
        <f>"Q"&amp;(INT((A2131-1)/13)+1)</f>
        <v/>
      </c>
      <c r="E2131" t="inlineStr">
        <is>
          <t>FDM</t>
        </is>
      </c>
      <c r="F2131">
        <f>IFERROR(INDEX(ChFormat,MATCH(E2131,ChName,0)),"")</f>
        <v/>
      </c>
      <c r="G2131" t="inlineStr">
        <is>
          <t>BC</t>
        </is>
      </c>
      <c r="H2131">
        <f>IF(A2131&lt;=NWeeks,1,0)</f>
        <v/>
      </c>
      <c r="I2131">
        <f>INDEX(ChLaunch,MATCH(E2131,ChName,0))</f>
        <v/>
      </c>
      <c r="J2131">
        <f>INDEX(ChWeeksFull,MATCH(E2131,ChName,0))</f>
        <v/>
      </c>
      <c r="K2131">
        <f>INDEX(ChRamp,MATCH(E2131,ChName,0))</f>
        <v/>
      </c>
      <c r="L2131" s="45">
        <f>MIN(1,MAX(0,(A2131-I2131+1)*RampSpeed/J2131))</f>
        <v/>
      </c>
      <c r="M2131" s="45">
        <f>IF(A2131&lt;I2131,0,IF(K2131="S-curve",L2131*L2131*(3-2*L2131),L2131))</f>
        <v/>
      </c>
      <c r="N2131" s="45">
        <f>1+(INDEX(SeasonIdx,A2131)-1)*SeasonAmp</f>
        <v/>
      </c>
      <c r="O2131" s="45">
        <f>IFERROR(INDEX(PSPct,MATCH(E2131&amp;"|"&amp;G2131,PSKey,0)),0)</f>
        <v/>
      </c>
      <c r="P2131" s="46">
        <f>INDEX(ChDoorVel,MATCH(E2131,ChName,0))*CalibScalar*(1+VelocityUplift)</f>
        <v/>
      </c>
      <c r="Q2131" s="46" t="n">
        <v>0</v>
      </c>
      <c r="R2131" s="46">
        <f>P2131*O2131*M2131*N2131*H2131</f>
        <v/>
      </c>
      <c r="S2131" s="46">
        <f>R2131*INDEX(FmtCansPerCase,MATCH(F2131,FmtName,0))</f>
        <v/>
      </c>
      <c r="T2131" s="46">
        <f>S2131/INDEX(FmtCansPerPack,MATCH(F2131,FmtName,0))</f>
        <v/>
      </c>
      <c r="U2131" s="47">
        <f>INDEX(ChBaseCP,MATCH(E2131,ChName,0))*(1+INDEX(ProvMod,MATCH(G2131,ProvCode,0)))*(1+PriceIndex)</f>
        <v/>
      </c>
      <c r="V2131" s="47">
        <f>R2131*U2131*INDEX(FmtBlendedPriceIdx,MATCH(F2131,FmtName,0))</f>
        <v/>
      </c>
      <c r="W2131" s="47">
        <f>T2131*INDEX(ProvSRP,MATCH(G2131,ProvCode,0))*(1+PriceIndex)</f>
        <v/>
      </c>
      <c r="X2131" s="47">
        <f>IF(GrossBasis="Wholesale",V2131,W2131)</f>
        <v/>
      </c>
      <c r="Y2131" s="47">
        <f>R2131*INDEX(FmtBlendedCogs,MATCH(F2131,FmtName,0))</f>
        <v/>
      </c>
      <c r="Z2131" s="47">
        <f>X2131-Y2131</f>
        <v/>
      </c>
    </row>
    <row r="2132">
      <c r="A2132" t="n">
        <v>11</v>
      </c>
      <c r="B2132" s="44">
        <f>FiscalStart+(A2132-1)*7</f>
        <v/>
      </c>
      <c r="C2132">
        <f>TEXT(B2132,"mmm yyyy")</f>
        <v/>
      </c>
      <c r="D2132">
        <f>"Q"&amp;(INT((A2132-1)/13)+1)</f>
        <v/>
      </c>
      <c r="E2132" t="inlineStr">
        <is>
          <t>FDM</t>
        </is>
      </c>
      <c r="F2132">
        <f>IFERROR(INDEX(ChFormat,MATCH(E2132,ChName,0)),"")</f>
        <v/>
      </c>
      <c r="G2132" t="inlineStr">
        <is>
          <t>BC</t>
        </is>
      </c>
      <c r="H2132">
        <f>IF(A2132&lt;=NWeeks,1,0)</f>
        <v/>
      </c>
      <c r="I2132">
        <f>INDEX(ChLaunch,MATCH(E2132,ChName,0))</f>
        <v/>
      </c>
      <c r="J2132">
        <f>INDEX(ChWeeksFull,MATCH(E2132,ChName,0))</f>
        <v/>
      </c>
      <c r="K2132">
        <f>INDEX(ChRamp,MATCH(E2132,ChName,0))</f>
        <v/>
      </c>
      <c r="L2132" s="45">
        <f>MIN(1,MAX(0,(A2132-I2132+1)*RampSpeed/J2132))</f>
        <v/>
      </c>
      <c r="M2132" s="45">
        <f>IF(A2132&lt;I2132,0,IF(K2132="S-curve",L2132*L2132*(3-2*L2132),L2132))</f>
        <v/>
      </c>
      <c r="N2132" s="45">
        <f>1+(INDEX(SeasonIdx,A2132)-1)*SeasonAmp</f>
        <v/>
      </c>
      <c r="O2132" s="45">
        <f>IFERROR(INDEX(PSPct,MATCH(E2132&amp;"|"&amp;G2132,PSKey,0)),0)</f>
        <v/>
      </c>
      <c r="P2132" s="46">
        <f>INDEX(ChDoorVel,MATCH(E2132,ChName,0))*CalibScalar*(1+VelocityUplift)</f>
        <v/>
      </c>
      <c r="Q2132" s="46" t="n">
        <v>0</v>
      </c>
      <c r="R2132" s="46">
        <f>P2132*O2132*M2132*N2132*H2132</f>
        <v/>
      </c>
      <c r="S2132" s="46">
        <f>R2132*INDEX(FmtCansPerCase,MATCH(F2132,FmtName,0))</f>
        <v/>
      </c>
      <c r="T2132" s="46">
        <f>S2132/INDEX(FmtCansPerPack,MATCH(F2132,FmtName,0))</f>
        <v/>
      </c>
      <c r="U2132" s="47">
        <f>INDEX(ChBaseCP,MATCH(E2132,ChName,0))*(1+INDEX(ProvMod,MATCH(G2132,ProvCode,0)))*(1+PriceIndex)</f>
        <v/>
      </c>
      <c r="V2132" s="47">
        <f>R2132*U2132*INDEX(FmtBlendedPriceIdx,MATCH(F2132,FmtName,0))</f>
        <v/>
      </c>
      <c r="W2132" s="47">
        <f>T2132*INDEX(ProvSRP,MATCH(G2132,ProvCode,0))*(1+PriceIndex)</f>
        <v/>
      </c>
      <c r="X2132" s="47">
        <f>IF(GrossBasis="Wholesale",V2132,W2132)</f>
        <v/>
      </c>
      <c r="Y2132" s="47">
        <f>R2132*INDEX(FmtBlendedCogs,MATCH(F2132,FmtName,0))</f>
        <v/>
      </c>
      <c r="Z2132" s="47">
        <f>X2132-Y2132</f>
        <v/>
      </c>
    </row>
    <row r="2133">
      <c r="A2133" t="n">
        <v>12</v>
      </c>
      <c r="B2133" s="44">
        <f>FiscalStart+(A2133-1)*7</f>
        <v/>
      </c>
      <c r="C2133">
        <f>TEXT(B2133,"mmm yyyy")</f>
        <v/>
      </c>
      <c r="D2133">
        <f>"Q"&amp;(INT((A2133-1)/13)+1)</f>
        <v/>
      </c>
      <c r="E2133" t="inlineStr">
        <is>
          <t>FDM</t>
        </is>
      </c>
      <c r="F2133">
        <f>IFERROR(INDEX(ChFormat,MATCH(E2133,ChName,0)),"")</f>
        <v/>
      </c>
      <c r="G2133" t="inlineStr">
        <is>
          <t>BC</t>
        </is>
      </c>
      <c r="H2133">
        <f>IF(A2133&lt;=NWeeks,1,0)</f>
        <v/>
      </c>
      <c r="I2133">
        <f>INDEX(ChLaunch,MATCH(E2133,ChName,0))</f>
        <v/>
      </c>
      <c r="J2133">
        <f>INDEX(ChWeeksFull,MATCH(E2133,ChName,0))</f>
        <v/>
      </c>
      <c r="K2133">
        <f>INDEX(ChRamp,MATCH(E2133,ChName,0))</f>
        <v/>
      </c>
      <c r="L2133" s="45">
        <f>MIN(1,MAX(0,(A2133-I2133+1)*RampSpeed/J2133))</f>
        <v/>
      </c>
      <c r="M2133" s="45">
        <f>IF(A2133&lt;I2133,0,IF(K2133="S-curve",L2133*L2133*(3-2*L2133),L2133))</f>
        <v/>
      </c>
      <c r="N2133" s="45">
        <f>1+(INDEX(SeasonIdx,A2133)-1)*SeasonAmp</f>
        <v/>
      </c>
      <c r="O2133" s="45">
        <f>IFERROR(INDEX(PSPct,MATCH(E2133&amp;"|"&amp;G2133,PSKey,0)),0)</f>
        <v/>
      </c>
      <c r="P2133" s="46">
        <f>INDEX(ChDoorVel,MATCH(E2133,ChName,0))*CalibScalar*(1+VelocityUplift)</f>
        <v/>
      </c>
      <c r="Q2133" s="46" t="n">
        <v>0</v>
      </c>
      <c r="R2133" s="46">
        <f>P2133*O2133*M2133*N2133*H2133</f>
        <v/>
      </c>
      <c r="S2133" s="46">
        <f>R2133*INDEX(FmtCansPerCase,MATCH(F2133,FmtName,0))</f>
        <v/>
      </c>
      <c r="T2133" s="46">
        <f>S2133/INDEX(FmtCansPerPack,MATCH(F2133,FmtName,0))</f>
        <v/>
      </c>
      <c r="U2133" s="47">
        <f>INDEX(ChBaseCP,MATCH(E2133,ChName,0))*(1+INDEX(ProvMod,MATCH(G2133,ProvCode,0)))*(1+PriceIndex)</f>
        <v/>
      </c>
      <c r="V2133" s="47">
        <f>R2133*U2133*INDEX(FmtBlendedPriceIdx,MATCH(F2133,FmtName,0))</f>
        <v/>
      </c>
      <c r="W2133" s="47">
        <f>T2133*INDEX(ProvSRP,MATCH(G2133,ProvCode,0))*(1+PriceIndex)</f>
        <v/>
      </c>
      <c r="X2133" s="47">
        <f>IF(GrossBasis="Wholesale",V2133,W2133)</f>
        <v/>
      </c>
      <c r="Y2133" s="47">
        <f>R2133*INDEX(FmtBlendedCogs,MATCH(F2133,FmtName,0))</f>
        <v/>
      </c>
      <c r="Z2133" s="47">
        <f>X2133-Y2133</f>
        <v/>
      </c>
    </row>
    <row r="2134">
      <c r="A2134" t="n">
        <v>13</v>
      </c>
      <c r="B2134" s="44">
        <f>FiscalStart+(A2134-1)*7</f>
        <v/>
      </c>
      <c r="C2134">
        <f>TEXT(B2134,"mmm yyyy")</f>
        <v/>
      </c>
      <c r="D2134">
        <f>"Q"&amp;(INT((A2134-1)/13)+1)</f>
        <v/>
      </c>
      <c r="E2134" t="inlineStr">
        <is>
          <t>FDM</t>
        </is>
      </c>
      <c r="F2134">
        <f>IFERROR(INDEX(ChFormat,MATCH(E2134,ChName,0)),"")</f>
        <v/>
      </c>
      <c r="G2134" t="inlineStr">
        <is>
          <t>BC</t>
        </is>
      </c>
      <c r="H2134">
        <f>IF(A2134&lt;=NWeeks,1,0)</f>
        <v/>
      </c>
      <c r="I2134">
        <f>INDEX(ChLaunch,MATCH(E2134,ChName,0))</f>
        <v/>
      </c>
      <c r="J2134">
        <f>INDEX(ChWeeksFull,MATCH(E2134,ChName,0))</f>
        <v/>
      </c>
      <c r="K2134">
        <f>INDEX(ChRamp,MATCH(E2134,ChName,0))</f>
        <v/>
      </c>
      <c r="L2134" s="45">
        <f>MIN(1,MAX(0,(A2134-I2134+1)*RampSpeed/J2134))</f>
        <v/>
      </c>
      <c r="M2134" s="45">
        <f>IF(A2134&lt;I2134,0,IF(K2134="S-curve",L2134*L2134*(3-2*L2134),L2134))</f>
        <v/>
      </c>
      <c r="N2134" s="45">
        <f>1+(INDEX(SeasonIdx,A2134)-1)*SeasonAmp</f>
        <v/>
      </c>
      <c r="O2134" s="45">
        <f>IFERROR(INDEX(PSPct,MATCH(E2134&amp;"|"&amp;G2134,PSKey,0)),0)</f>
        <v/>
      </c>
      <c r="P2134" s="46">
        <f>INDEX(ChDoorVel,MATCH(E2134,ChName,0))*CalibScalar*(1+VelocityUplift)</f>
        <v/>
      </c>
      <c r="Q2134" s="46" t="n">
        <v>0</v>
      </c>
      <c r="R2134" s="46">
        <f>P2134*O2134*M2134*N2134*H2134</f>
        <v/>
      </c>
      <c r="S2134" s="46">
        <f>R2134*INDEX(FmtCansPerCase,MATCH(F2134,FmtName,0))</f>
        <v/>
      </c>
      <c r="T2134" s="46">
        <f>S2134/INDEX(FmtCansPerPack,MATCH(F2134,FmtName,0))</f>
        <v/>
      </c>
      <c r="U2134" s="47">
        <f>INDEX(ChBaseCP,MATCH(E2134,ChName,0))*(1+INDEX(ProvMod,MATCH(G2134,ProvCode,0)))*(1+PriceIndex)</f>
        <v/>
      </c>
      <c r="V2134" s="47">
        <f>R2134*U2134*INDEX(FmtBlendedPriceIdx,MATCH(F2134,FmtName,0))</f>
        <v/>
      </c>
      <c r="W2134" s="47">
        <f>T2134*INDEX(ProvSRP,MATCH(G2134,ProvCode,0))*(1+PriceIndex)</f>
        <v/>
      </c>
      <c r="X2134" s="47">
        <f>IF(GrossBasis="Wholesale",V2134,W2134)</f>
        <v/>
      </c>
      <c r="Y2134" s="47">
        <f>R2134*INDEX(FmtBlendedCogs,MATCH(F2134,FmtName,0))</f>
        <v/>
      </c>
      <c r="Z2134" s="47">
        <f>X2134-Y2134</f>
        <v/>
      </c>
    </row>
    <row r="2135">
      <c r="A2135" t="n">
        <v>14</v>
      </c>
      <c r="B2135" s="44">
        <f>FiscalStart+(A2135-1)*7</f>
        <v/>
      </c>
      <c r="C2135">
        <f>TEXT(B2135,"mmm yyyy")</f>
        <v/>
      </c>
      <c r="D2135">
        <f>"Q"&amp;(INT((A2135-1)/13)+1)</f>
        <v/>
      </c>
      <c r="E2135" t="inlineStr">
        <is>
          <t>FDM</t>
        </is>
      </c>
      <c r="F2135">
        <f>IFERROR(INDEX(ChFormat,MATCH(E2135,ChName,0)),"")</f>
        <v/>
      </c>
      <c r="G2135" t="inlineStr">
        <is>
          <t>BC</t>
        </is>
      </c>
      <c r="H2135">
        <f>IF(A2135&lt;=NWeeks,1,0)</f>
        <v/>
      </c>
      <c r="I2135">
        <f>INDEX(ChLaunch,MATCH(E2135,ChName,0))</f>
        <v/>
      </c>
      <c r="J2135">
        <f>INDEX(ChWeeksFull,MATCH(E2135,ChName,0))</f>
        <v/>
      </c>
      <c r="K2135">
        <f>INDEX(ChRamp,MATCH(E2135,ChName,0))</f>
        <v/>
      </c>
      <c r="L2135" s="45">
        <f>MIN(1,MAX(0,(A2135-I2135+1)*RampSpeed/J2135))</f>
        <v/>
      </c>
      <c r="M2135" s="45">
        <f>IF(A2135&lt;I2135,0,IF(K2135="S-curve",L2135*L2135*(3-2*L2135),L2135))</f>
        <v/>
      </c>
      <c r="N2135" s="45">
        <f>1+(INDEX(SeasonIdx,A2135)-1)*SeasonAmp</f>
        <v/>
      </c>
      <c r="O2135" s="45">
        <f>IFERROR(INDEX(PSPct,MATCH(E2135&amp;"|"&amp;G2135,PSKey,0)),0)</f>
        <v/>
      </c>
      <c r="P2135" s="46">
        <f>INDEX(ChDoorVel,MATCH(E2135,ChName,0))*CalibScalar*(1+VelocityUplift)</f>
        <v/>
      </c>
      <c r="Q2135" s="46" t="n">
        <v>0</v>
      </c>
      <c r="R2135" s="46">
        <f>P2135*O2135*M2135*N2135*H2135</f>
        <v/>
      </c>
      <c r="S2135" s="46">
        <f>R2135*INDEX(FmtCansPerCase,MATCH(F2135,FmtName,0))</f>
        <v/>
      </c>
      <c r="T2135" s="46">
        <f>S2135/INDEX(FmtCansPerPack,MATCH(F2135,FmtName,0))</f>
        <v/>
      </c>
      <c r="U2135" s="47">
        <f>INDEX(ChBaseCP,MATCH(E2135,ChName,0))*(1+INDEX(ProvMod,MATCH(G2135,ProvCode,0)))*(1+PriceIndex)</f>
        <v/>
      </c>
      <c r="V2135" s="47">
        <f>R2135*U2135*INDEX(FmtBlendedPriceIdx,MATCH(F2135,FmtName,0))</f>
        <v/>
      </c>
      <c r="W2135" s="47">
        <f>T2135*INDEX(ProvSRP,MATCH(G2135,ProvCode,0))*(1+PriceIndex)</f>
        <v/>
      </c>
      <c r="X2135" s="47">
        <f>IF(GrossBasis="Wholesale",V2135,W2135)</f>
        <v/>
      </c>
      <c r="Y2135" s="47">
        <f>R2135*INDEX(FmtBlendedCogs,MATCH(F2135,FmtName,0))</f>
        <v/>
      </c>
      <c r="Z2135" s="47">
        <f>X2135-Y2135</f>
        <v/>
      </c>
    </row>
    <row r="2136">
      <c r="A2136" t="n">
        <v>15</v>
      </c>
      <c r="B2136" s="44">
        <f>FiscalStart+(A2136-1)*7</f>
        <v/>
      </c>
      <c r="C2136">
        <f>TEXT(B2136,"mmm yyyy")</f>
        <v/>
      </c>
      <c r="D2136">
        <f>"Q"&amp;(INT((A2136-1)/13)+1)</f>
        <v/>
      </c>
      <c r="E2136" t="inlineStr">
        <is>
          <t>FDM</t>
        </is>
      </c>
      <c r="F2136">
        <f>IFERROR(INDEX(ChFormat,MATCH(E2136,ChName,0)),"")</f>
        <v/>
      </c>
      <c r="G2136" t="inlineStr">
        <is>
          <t>BC</t>
        </is>
      </c>
      <c r="H2136">
        <f>IF(A2136&lt;=NWeeks,1,0)</f>
        <v/>
      </c>
      <c r="I2136">
        <f>INDEX(ChLaunch,MATCH(E2136,ChName,0))</f>
        <v/>
      </c>
      <c r="J2136">
        <f>INDEX(ChWeeksFull,MATCH(E2136,ChName,0))</f>
        <v/>
      </c>
      <c r="K2136">
        <f>INDEX(ChRamp,MATCH(E2136,ChName,0))</f>
        <v/>
      </c>
      <c r="L2136" s="45">
        <f>MIN(1,MAX(0,(A2136-I2136+1)*RampSpeed/J2136))</f>
        <v/>
      </c>
      <c r="M2136" s="45">
        <f>IF(A2136&lt;I2136,0,IF(K2136="S-curve",L2136*L2136*(3-2*L2136),L2136))</f>
        <v/>
      </c>
      <c r="N2136" s="45">
        <f>1+(INDEX(SeasonIdx,A2136)-1)*SeasonAmp</f>
        <v/>
      </c>
      <c r="O2136" s="45">
        <f>IFERROR(INDEX(PSPct,MATCH(E2136&amp;"|"&amp;G2136,PSKey,0)),0)</f>
        <v/>
      </c>
      <c r="P2136" s="46">
        <f>INDEX(ChDoorVel,MATCH(E2136,ChName,0))*CalibScalar*(1+VelocityUplift)</f>
        <v/>
      </c>
      <c r="Q2136" s="46" t="n">
        <v>0</v>
      </c>
      <c r="R2136" s="46">
        <f>P2136*O2136*M2136*N2136*H2136</f>
        <v/>
      </c>
      <c r="S2136" s="46">
        <f>R2136*INDEX(FmtCansPerCase,MATCH(F2136,FmtName,0))</f>
        <v/>
      </c>
      <c r="T2136" s="46">
        <f>S2136/INDEX(FmtCansPerPack,MATCH(F2136,FmtName,0))</f>
        <v/>
      </c>
      <c r="U2136" s="47">
        <f>INDEX(ChBaseCP,MATCH(E2136,ChName,0))*(1+INDEX(ProvMod,MATCH(G2136,ProvCode,0)))*(1+PriceIndex)</f>
        <v/>
      </c>
      <c r="V2136" s="47">
        <f>R2136*U2136*INDEX(FmtBlendedPriceIdx,MATCH(F2136,FmtName,0))</f>
        <v/>
      </c>
      <c r="W2136" s="47">
        <f>T2136*INDEX(ProvSRP,MATCH(G2136,ProvCode,0))*(1+PriceIndex)</f>
        <v/>
      </c>
      <c r="X2136" s="47">
        <f>IF(GrossBasis="Wholesale",V2136,W2136)</f>
        <v/>
      </c>
      <c r="Y2136" s="47">
        <f>R2136*INDEX(FmtBlendedCogs,MATCH(F2136,FmtName,0))</f>
        <v/>
      </c>
      <c r="Z2136" s="47">
        <f>X2136-Y2136</f>
        <v/>
      </c>
    </row>
    <row r="2137">
      <c r="A2137" t="n">
        <v>16</v>
      </c>
      <c r="B2137" s="44">
        <f>FiscalStart+(A2137-1)*7</f>
        <v/>
      </c>
      <c r="C2137">
        <f>TEXT(B2137,"mmm yyyy")</f>
        <v/>
      </c>
      <c r="D2137">
        <f>"Q"&amp;(INT((A2137-1)/13)+1)</f>
        <v/>
      </c>
      <c r="E2137" t="inlineStr">
        <is>
          <t>FDM</t>
        </is>
      </c>
      <c r="F2137">
        <f>IFERROR(INDEX(ChFormat,MATCH(E2137,ChName,0)),"")</f>
        <v/>
      </c>
      <c r="G2137" t="inlineStr">
        <is>
          <t>BC</t>
        </is>
      </c>
      <c r="H2137">
        <f>IF(A2137&lt;=NWeeks,1,0)</f>
        <v/>
      </c>
      <c r="I2137">
        <f>INDEX(ChLaunch,MATCH(E2137,ChName,0))</f>
        <v/>
      </c>
      <c r="J2137">
        <f>INDEX(ChWeeksFull,MATCH(E2137,ChName,0))</f>
        <v/>
      </c>
      <c r="K2137">
        <f>INDEX(ChRamp,MATCH(E2137,ChName,0))</f>
        <v/>
      </c>
      <c r="L2137" s="45">
        <f>MIN(1,MAX(0,(A2137-I2137+1)*RampSpeed/J2137))</f>
        <v/>
      </c>
      <c r="M2137" s="45">
        <f>IF(A2137&lt;I2137,0,IF(K2137="S-curve",L2137*L2137*(3-2*L2137),L2137))</f>
        <v/>
      </c>
      <c r="N2137" s="45">
        <f>1+(INDEX(SeasonIdx,A2137)-1)*SeasonAmp</f>
        <v/>
      </c>
      <c r="O2137" s="45">
        <f>IFERROR(INDEX(PSPct,MATCH(E2137&amp;"|"&amp;G2137,PSKey,0)),0)</f>
        <v/>
      </c>
      <c r="P2137" s="46">
        <f>INDEX(ChDoorVel,MATCH(E2137,ChName,0))*CalibScalar*(1+VelocityUplift)</f>
        <v/>
      </c>
      <c r="Q2137" s="46" t="n">
        <v>0</v>
      </c>
      <c r="R2137" s="46">
        <f>P2137*O2137*M2137*N2137*H2137</f>
        <v/>
      </c>
      <c r="S2137" s="46">
        <f>R2137*INDEX(FmtCansPerCase,MATCH(F2137,FmtName,0))</f>
        <v/>
      </c>
      <c r="T2137" s="46">
        <f>S2137/INDEX(FmtCansPerPack,MATCH(F2137,FmtName,0))</f>
        <v/>
      </c>
      <c r="U2137" s="47">
        <f>INDEX(ChBaseCP,MATCH(E2137,ChName,0))*(1+INDEX(ProvMod,MATCH(G2137,ProvCode,0)))*(1+PriceIndex)</f>
        <v/>
      </c>
      <c r="V2137" s="47">
        <f>R2137*U2137*INDEX(FmtBlendedPriceIdx,MATCH(F2137,FmtName,0))</f>
        <v/>
      </c>
      <c r="W2137" s="47">
        <f>T2137*INDEX(ProvSRP,MATCH(G2137,ProvCode,0))*(1+PriceIndex)</f>
        <v/>
      </c>
      <c r="X2137" s="47">
        <f>IF(GrossBasis="Wholesale",V2137,W2137)</f>
        <v/>
      </c>
      <c r="Y2137" s="47">
        <f>R2137*INDEX(FmtBlendedCogs,MATCH(F2137,FmtName,0))</f>
        <v/>
      </c>
      <c r="Z2137" s="47">
        <f>X2137-Y2137</f>
        <v/>
      </c>
    </row>
    <row r="2138">
      <c r="A2138" t="n">
        <v>17</v>
      </c>
      <c r="B2138" s="44">
        <f>FiscalStart+(A2138-1)*7</f>
        <v/>
      </c>
      <c r="C2138">
        <f>TEXT(B2138,"mmm yyyy")</f>
        <v/>
      </c>
      <c r="D2138">
        <f>"Q"&amp;(INT((A2138-1)/13)+1)</f>
        <v/>
      </c>
      <c r="E2138" t="inlineStr">
        <is>
          <t>FDM</t>
        </is>
      </c>
      <c r="F2138">
        <f>IFERROR(INDEX(ChFormat,MATCH(E2138,ChName,0)),"")</f>
        <v/>
      </c>
      <c r="G2138" t="inlineStr">
        <is>
          <t>BC</t>
        </is>
      </c>
      <c r="H2138">
        <f>IF(A2138&lt;=NWeeks,1,0)</f>
        <v/>
      </c>
      <c r="I2138">
        <f>INDEX(ChLaunch,MATCH(E2138,ChName,0))</f>
        <v/>
      </c>
      <c r="J2138">
        <f>INDEX(ChWeeksFull,MATCH(E2138,ChName,0))</f>
        <v/>
      </c>
      <c r="K2138">
        <f>INDEX(ChRamp,MATCH(E2138,ChName,0))</f>
        <v/>
      </c>
      <c r="L2138" s="45">
        <f>MIN(1,MAX(0,(A2138-I2138+1)*RampSpeed/J2138))</f>
        <v/>
      </c>
      <c r="M2138" s="45">
        <f>IF(A2138&lt;I2138,0,IF(K2138="S-curve",L2138*L2138*(3-2*L2138),L2138))</f>
        <v/>
      </c>
      <c r="N2138" s="45">
        <f>1+(INDEX(SeasonIdx,A2138)-1)*SeasonAmp</f>
        <v/>
      </c>
      <c r="O2138" s="45">
        <f>IFERROR(INDEX(PSPct,MATCH(E2138&amp;"|"&amp;G2138,PSKey,0)),0)</f>
        <v/>
      </c>
      <c r="P2138" s="46">
        <f>INDEX(ChDoorVel,MATCH(E2138,ChName,0))*CalibScalar*(1+VelocityUplift)</f>
        <v/>
      </c>
      <c r="Q2138" s="46" t="n">
        <v>0</v>
      </c>
      <c r="R2138" s="46">
        <f>P2138*O2138*M2138*N2138*H2138</f>
        <v/>
      </c>
      <c r="S2138" s="46">
        <f>R2138*INDEX(FmtCansPerCase,MATCH(F2138,FmtName,0))</f>
        <v/>
      </c>
      <c r="T2138" s="46">
        <f>S2138/INDEX(FmtCansPerPack,MATCH(F2138,FmtName,0))</f>
        <v/>
      </c>
      <c r="U2138" s="47">
        <f>INDEX(ChBaseCP,MATCH(E2138,ChName,0))*(1+INDEX(ProvMod,MATCH(G2138,ProvCode,0)))*(1+PriceIndex)</f>
        <v/>
      </c>
      <c r="V2138" s="47">
        <f>R2138*U2138*INDEX(FmtBlendedPriceIdx,MATCH(F2138,FmtName,0))</f>
        <v/>
      </c>
      <c r="W2138" s="47">
        <f>T2138*INDEX(ProvSRP,MATCH(G2138,ProvCode,0))*(1+PriceIndex)</f>
        <v/>
      </c>
      <c r="X2138" s="47">
        <f>IF(GrossBasis="Wholesale",V2138,W2138)</f>
        <v/>
      </c>
      <c r="Y2138" s="47">
        <f>R2138*INDEX(FmtBlendedCogs,MATCH(F2138,FmtName,0))</f>
        <v/>
      </c>
      <c r="Z2138" s="47">
        <f>X2138-Y2138</f>
        <v/>
      </c>
    </row>
    <row r="2139">
      <c r="A2139" t="n">
        <v>18</v>
      </c>
      <c r="B2139" s="44">
        <f>FiscalStart+(A2139-1)*7</f>
        <v/>
      </c>
      <c r="C2139">
        <f>TEXT(B2139,"mmm yyyy")</f>
        <v/>
      </c>
      <c r="D2139">
        <f>"Q"&amp;(INT((A2139-1)/13)+1)</f>
        <v/>
      </c>
      <c r="E2139" t="inlineStr">
        <is>
          <t>FDM</t>
        </is>
      </c>
      <c r="F2139">
        <f>IFERROR(INDEX(ChFormat,MATCH(E2139,ChName,0)),"")</f>
        <v/>
      </c>
      <c r="G2139" t="inlineStr">
        <is>
          <t>BC</t>
        </is>
      </c>
      <c r="H2139">
        <f>IF(A2139&lt;=NWeeks,1,0)</f>
        <v/>
      </c>
      <c r="I2139">
        <f>INDEX(ChLaunch,MATCH(E2139,ChName,0))</f>
        <v/>
      </c>
      <c r="J2139">
        <f>INDEX(ChWeeksFull,MATCH(E2139,ChName,0))</f>
        <v/>
      </c>
      <c r="K2139">
        <f>INDEX(ChRamp,MATCH(E2139,ChName,0))</f>
        <v/>
      </c>
      <c r="L2139" s="45">
        <f>MIN(1,MAX(0,(A2139-I2139+1)*RampSpeed/J2139))</f>
        <v/>
      </c>
      <c r="M2139" s="45">
        <f>IF(A2139&lt;I2139,0,IF(K2139="S-curve",L2139*L2139*(3-2*L2139),L2139))</f>
        <v/>
      </c>
      <c r="N2139" s="45">
        <f>1+(INDEX(SeasonIdx,A2139)-1)*SeasonAmp</f>
        <v/>
      </c>
      <c r="O2139" s="45">
        <f>IFERROR(INDEX(PSPct,MATCH(E2139&amp;"|"&amp;G2139,PSKey,0)),0)</f>
        <v/>
      </c>
      <c r="P2139" s="46">
        <f>INDEX(ChDoorVel,MATCH(E2139,ChName,0))*CalibScalar*(1+VelocityUplift)</f>
        <v/>
      </c>
      <c r="Q2139" s="46" t="n">
        <v>0</v>
      </c>
      <c r="R2139" s="46">
        <f>P2139*O2139*M2139*N2139*H2139</f>
        <v/>
      </c>
      <c r="S2139" s="46">
        <f>R2139*INDEX(FmtCansPerCase,MATCH(F2139,FmtName,0))</f>
        <v/>
      </c>
      <c r="T2139" s="46">
        <f>S2139/INDEX(FmtCansPerPack,MATCH(F2139,FmtName,0))</f>
        <v/>
      </c>
      <c r="U2139" s="47">
        <f>INDEX(ChBaseCP,MATCH(E2139,ChName,0))*(1+INDEX(ProvMod,MATCH(G2139,ProvCode,0)))*(1+PriceIndex)</f>
        <v/>
      </c>
      <c r="V2139" s="47">
        <f>R2139*U2139*INDEX(FmtBlendedPriceIdx,MATCH(F2139,FmtName,0))</f>
        <v/>
      </c>
      <c r="W2139" s="47">
        <f>T2139*INDEX(ProvSRP,MATCH(G2139,ProvCode,0))*(1+PriceIndex)</f>
        <v/>
      </c>
      <c r="X2139" s="47">
        <f>IF(GrossBasis="Wholesale",V2139,W2139)</f>
        <v/>
      </c>
      <c r="Y2139" s="47">
        <f>R2139*INDEX(FmtBlendedCogs,MATCH(F2139,FmtName,0))</f>
        <v/>
      </c>
      <c r="Z2139" s="47">
        <f>X2139-Y2139</f>
        <v/>
      </c>
    </row>
    <row r="2140">
      <c r="A2140" t="n">
        <v>19</v>
      </c>
      <c r="B2140" s="44">
        <f>FiscalStart+(A2140-1)*7</f>
        <v/>
      </c>
      <c r="C2140">
        <f>TEXT(B2140,"mmm yyyy")</f>
        <v/>
      </c>
      <c r="D2140">
        <f>"Q"&amp;(INT((A2140-1)/13)+1)</f>
        <v/>
      </c>
      <c r="E2140" t="inlineStr">
        <is>
          <t>FDM</t>
        </is>
      </c>
      <c r="F2140">
        <f>IFERROR(INDEX(ChFormat,MATCH(E2140,ChName,0)),"")</f>
        <v/>
      </c>
      <c r="G2140" t="inlineStr">
        <is>
          <t>BC</t>
        </is>
      </c>
      <c r="H2140">
        <f>IF(A2140&lt;=NWeeks,1,0)</f>
        <v/>
      </c>
      <c r="I2140">
        <f>INDEX(ChLaunch,MATCH(E2140,ChName,0))</f>
        <v/>
      </c>
      <c r="J2140">
        <f>INDEX(ChWeeksFull,MATCH(E2140,ChName,0))</f>
        <v/>
      </c>
      <c r="K2140">
        <f>INDEX(ChRamp,MATCH(E2140,ChName,0))</f>
        <v/>
      </c>
      <c r="L2140" s="45">
        <f>MIN(1,MAX(0,(A2140-I2140+1)*RampSpeed/J2140))</f>
        <v/>
      </c>
      <c r="M2140" s="45">
        <f>IF(A2140&lt;I2140,0,IF(K2140="S-curve",L2140*L2140*(3-2*L2140),L2140))</f>
        <v/>
      </c>
      <c r="N2140" s="45">
        <f>1+(INDEX(SeasonIdx,A2140)-1)*SeasonAmp</f>
        <v/>
      </c>
      <c r="O2140" s="45">
        <f>IFERROR(INDEX(PSPct,MATCH(E2140&amp;"|"&amp;G2140,PSKey,0)),0)</f>
        <v/>
      </c>
      <c r="P2140" s="46">
        <f>INDEX(ChDoorVel,MATCH(E2140,ChName,0))*CalibScalar*(1+VelocityUplift)</f>
        <v/>
      </c>
      <c r="Q2140" s="46" t="n">
        <v>0</v>
      </c>
      <c r="R2140" s="46">
        <f>P2140*O2140*M2140*N2140*H2140</f>
        <v/>
      </c>
      <c r="S2140" s="46">
        <f>R2140*INDEX(FmtCansPerCase,MATCH(F2140,FmtName,0))</f>
        <v/>
      </c>
      <c r="T2140" s="46">
        <f>S2140/INDEX(FmtCansPerPack,MATCH(F2140,FmtName,0))</f>
        <v/>
      </c>
      <c r="U2140" s="47">
        <f>INDEX(ChBaseCP,MATCH(E2140,ChName,0))*(1+INDEX(ProvMod,MATCH(G2140,ProvCode,0)))*(1+PriceIndex)</f>
        <v/>
      </c>
      <c r="V2140" s="47">
        <f>R2140*U2140*INDEX(FmtBlendedPriceIdx,MATCH(F2140,FmtName,0))</f>
        <v/>
      </c>
      <c r="W2140" s="47">
        <f>T2140*INDEX(ProvSRP,MATCH(G2140,ProvCode,0))*(1+PriceIndex)</f>
        <v/>
      </c>
      <c r="X2140" s="47">
        <f>IF(GrossBasis="Wholesale",V2140,W2140)</f>
        <v/>
      </c>
      <c r="Y2140" s="47">
        <f>R2140*INDEX(FmtBlendedCogs,MATCH(F2140,FmtName,0))</f>
        <v/>
      </c>
      <c r="Z2140" s="47">
        <f>X2140-Y2140</f>
        <v/>
      </c>
    </row>
    <row r="2141">
      <c r="A2141" t="n">
        <v>20</v>
      </c>
      <c r="B2141" s="44">
        <f>FiscalStart+(A2141-1)*7</f>
        <v/>
      </c>
      <c r="C2141">
        <f>TEXT(B2141,"mmm yyyy")</f>
        <v/>
      </c>
      <c r="D2141">
        <f>"Q"&amp;(INT((A2141-1)/13)+1)</f>
        <v/>
      </c>
      <c r="E2141" t="inlineStr">
        <is>
          <t>FDM</t>
        </is>
      </c>
      <c r="F2141">
        <f>IFERROR(INDEX(ChFormat,MATCH(E2141,ChName,0)),"")</f>
        <v/>
      </c>
      <c r="G2141" t="inlineStr">
        <is>
          <t>BC</t>
        </is>
      </c>
      <c r="H2141">
        <f>IF(A2141&lt;=NWeeks,1,0)</f>
        <v/>
      </c>
      <c r="I2141">
        <f>INDEX(ChLaunch,MATCH(E2141,ChName,0))</f>
        <v/>
      </c>
      <c r="J2141">
        <f>INDEX(ChWeeksFull,MATCH(E2141,ChName,0))</f>
        <v/>
      </c>
      <c r="K2141">
        <f>INDEX(ChRamp,MATCH(E2141,ChName,0))</f>
        <v/>
      </c>
      <c r="L2141" s="45">
        <f>MIN(1,MAX(0,(A2141-I2141+1)*RampSpeed/J2141))</f>
        <v/>
      </c>
      <c r="M2141" s="45">
        <f>IF(A2141&lt;I2141,0,IF(K2141="S-curve",L2141*L2141*(3-2*L2141),L2141))</f>
        <v/>
      </c>
      <c r="N2141" s="45">
        <f>1+(INDEX(SeasonIdx,A2141)-1)*SeasonAmp</f>
        <v/>
      </c>
      <c r="O2141" s="45">
        <f>IFERROR(INDEX(PSPct,MATCH(E2141&amp;"|"&amp;G2141,PSKey,0)),0)</f>
        <v/>
      </c>
      <c r="P2141" s="46">
        <f>INDEX(ChDoorVel,MATCH(E2141,ChName,0))*CalibScalar*(1+VelocityUplift)</f>
        <v/>
      </c>
      <c r="Q2141" s="46" t="n">
        <v>0</v>
      </c>
      <c r="R2141" s="46">
        <f>P2141*O2141*M2141*N2141*H2141</f>
        <v/>
      </c>
      <c r="S2141" s="46">
        <f>R2141*INDEX(FmtCansPerCase,MATCH(F2141,FmtName,0))</f>
        <v/>
      </c>
      <c r="T2141" s="46">
        <f>S2141/INDEX(FmtCansPerPack,MATCH(F2141,FmtName,0))</f>
        <v/>
      </c>
      <c r="U2141" s="47">
        <f>INDEX(ChBaseCP,MATCH(E2141,ChName,0))*(1+INDEX(ProvMod,MATCH(G2141,ProvCode,0)))*(1+PriceIndex)</f>
        <v/>
      </c>
      <c r="V2141" s="47">
        <f>R2141*U2141*INDEX(FmtBlendedPriceIdx,MATCH(F2141,FmtName,0))</f>
        <v/>
      </c>
      <c r="W2141" s="47">
        <f>T2141*INDEX(ProvSRP,MATCH(G2141,ProvCode,0))*(1+PriceIndex)</f>
        <v/>
      </c>
      <c r="X2141" s="47">
        <f>IF(GrossBasis="Wholesale",V2141,W2141)</f>
        <v/>
      </c>
      <c r="Y2141" s="47">
        <f>R2141*INDEX(FmtBlendedCogs,MATCH(F2141,FmtName,0))</f>
        <v/>
      </c>
      <c r="Z2141" s="47">
        <f>X2141-Y2141</f>
        <v/>
      </c>
    </row>
    <row r="2142">
      <c r="A2142" t="n">
        <v>21</v>
      </c>
      <c r="B2142" s="44">
        <f>FiscalStart+(A2142-1)*7</f>
        <v/>
      </c>
      <c r="C2142">
        <f>TEXT(B2142,"mmm yyyy")</f>
        <v/>
      </c>
      <c r="D2142">
        <f>"Q"&amp;(INT((A2142-1)/13)+1)</f>
        <v/>
      </c>
      <c r="E2142" t="inlineStr">
        <is>
          <t>FDM</t>
        </is>
      </c>
      <c r="F2142">
        <f>IFERROR(INDEX(ChFormat,MATCH(E2142,ChName,0)),"")</f>
        <v/>
      </c>
      <c r="G2142" t="inlineStr">
        <is>
          <t>BC</t>
        </is>
      </c>
      <c r="H2142">
        <f>IF(A2142&lt;=NWeeks,1,0)</f>
        <v/>
      </c>
      <c r="I2142">
        <f>INDEX(ChLaunch,MATCH(E2142,ChName,0))</f>
        <v/>
      </c>
      <c r="J2142">
        <f>INDEX(ChWeeksFull,MATCH(E2142,ChName,0))</f>
        <v/>
      </c>
      <c r="K2142">
        <f>INDEX(ChRamp,MATCH(E2142,ChName,0))</f>
        <v/>
      </c>
      <c r="L2142" s="45">
        <f>MIN(1,MAX(0,(A2142-I2142+1)*RampSpeed/J2142))</f>
        <v/>
      </c>
      <c r="M2142" s="45">
        <f>IF(A2142&lt;I2142,0,IF(K2142="S-curve",L2142*L2142*(3-2*L2142),L2142))</f>
        <v/>
      </c>
      <c r="N2142" s="45">
        <f>1+(INDEX(SeasonIdx,A2142)-1)*SeasonAmp</f>
        <v/>
      </c>
      <c r="O2142" s="45">
        <f>IFERROR(INDEX(PSPct,MATCH(E2142&amp;"|"&amp;G2142,PSKey,0)),0)</f>
        <v/>
      </c>
      <c r="P2142" s="46">
        <f>INDEX(ChDoorVel,MATCH(E2142,ChName,0))*CalibScalar*(1+VelocityUplift)</f>
        <v/>
      </c>
      <c r="Q2142" s="46" t="n">
        <v>0</v>
      </c>
      <c r="R2142" s="46">
        <f>P2142*O2142*M2142*N2142*H2142</f>
        <v/>
      </c>
      <c r="S2142" s="46">
        <f>R2142*INDEX(FmtCansPerCase,MATCH(F2142,FmtName,0))</f>
        <v/>
      </c>
      <c r="T2142" s="46">
        <f>S2142/INDEX(FmtCansPerPack,MATCH(F2142,FmtName,0))</f>
        <v/>
      </c>
      <c r="U2142" s="47">
        <f>INDEX(ChBaseCP,MATCH(E2142,ChName,0))*(1+INDEX(ProvMod,MATCH(G2142,ProvCode,0)))*(1+PriceIndex)</f>
        <v/>
      </c>
      <c r="V2142" s="47">
        <f>R2142*U2142*INDEX(FmtBlendedPriceIdx,MATCH(F2142,FmtName,0))</f>
        <v/>
      </c>
      <c r="W2142" s="47">
        <f>T2142*INDEX(ProvSRP,MATCH(G2142,ProvCode,0))*(1+PriceIndex)</f>
        <v/>
      </c>
      <c r="X2142" s="47">
        <f>IF(GrossBasis="Wholesale",V2142,W2142)</f>
        <v/>
      </c>
      <c r="Y2142" s="47">
        <f>R2142*INDEX(FmtBlendedCogs,MATCH(F2142,FmtName,0))</f>
        <v/>
      </c>
      <c r="Z2142" s="47">
        <f>X2142-Y2142</f>
        <v/>
      </c>
    </row>
    <row r="2143">
      <c r="A2143" t="n">
        <v>22</v>
      </c>
      <c r="B2143" s="44">
        <f>FiscalStart+(A2143-1)*7</f>
        <v/>
      </c>
      <c r="C2143">
        <f>TEXT(B2143,"mmm yyyy")</f>
        <v/>
      </c>
      <c r="D2143">
        <f>"Q"&amp;(INT((A2143-1)/13)+1)</f>
        <v/>
      </c>
      <c r="E2143" t="inlineStr">
        <is>
          <t>FDM</t>
        </is>
      </c>
      <c r="F2143">
        <f>IFERROR(INDEX(ChFormat,MATCH(E2143,ChName,0)),"")</f>
        <v/>
      </c>
      <c r="G2143" t="inlineStr">
        <is>
          <t>BC</t>
        </is>
      </c>
      <c r="H2143">
        <f>IF(A2143&lt;=NWeeks,1,0)</f>
        <v/>
      </c>
      <c r="I2143">
        <f>INDEX(ChLaunch,MATCH(E2143,ChName,0))</f>
        <v/>
      </c>
      <c r="J2143">
        <f>INDEX(ChWeeksFull,MATCH(E2143,ChName,0))</f>
        <v/>
      </c>
      <c r="K2143">
        <f>INDEX(ChRamp,MATCH(E2143,ChName,0))</f>
        <v/>
      </c>
      <c r="L2143" s="45">
        <f>MIN(1,MAX(0,(A2143-I2143+1)*RampSpeed/J2143))</f>
        <v/>
      </c>
      <c r="M2143" s="45">
        <f>IF(A2143&lt;I2143,0,IF(K2143="S-curve",L2143*L2143*(3-2*L2143),L2143))</f>
        <v/>
      </c>
      <c r="N2143" s="45">
        <f>1+(INDEX(SeasonIdx,A2143)-1)*SeasonAmp</f>
        <v/>
      </c>
      <c r="O2143" s="45">
        <f>IFERROR(INDEX(PSPct,MATCH(E2143&amp;"|"&amp;G2143,PSKey,0)),0)</f>
        <v/>
      </c>
      <c r="P2143" s="46">
        <f>INDEX(ChDoorVel,MATCH(E2143,ChName,0))*CalibScalar*(1+VelocityUplift)</f>
        <v/>
      </c>
      <c r="Q2143" s="46" t="n">
        <v>0</v>
      </c>
      <c r="R2143" s="46">
        <f>P2143*O2143*M2143*N2143*H2143</f>
        <v/>
      </c>
      <c r="S2143" s="46">
        <f>R2143*INDEX(FmtCansPerCase,MATCH(F2143,FmtName,0))</f>
        <v/>
      </c>
      <c r="T2143" s="46">
        <f>S2143/INDEX(FmtCansPerPack,MATCH(F2143,FmtName,0))</f>
        <v/>
      </c>
      <c r="U2143" s="47">
        <f>INDEX(ChBaseCP,MATCH(E2143,ChName,0))*(1+INDEX(ProvMod,MATCH(G2143,ProvCode,0)))*(1+PriceIndex)</f>
        <v/>
      </c>
      <c r="V2143" s="47">
        <f>R2143*U2143*INDEX(FmtBlendedPriceIdx,MATCH(F2143,FmtName,0))</f>
        <v/>
      </c>
      <c r="W2143" s="47">
        <f>T2143*INDEX(ProvSRP,MATCH(G2143,ProvCode,0))*(1+PriceIndex)</f>
        <v/>
      </c>
      <c r="X2143" s="47">
        <f>IF(GrossBasis="Wholesale",V2143,W2143)</f>
        <v/>
      </c>
      <c r="Y2143" s="47">
        <f>R2143*INDEX(FmtBlendedCogs,MATCH(F2143,FmtName,0))</f>
        <v/>
      </c>
      <c r="Z2143" s="47">
        <f>X2143-Y2143</f>
        <v/>
      </c>
    </row>
    <row r="2144">
      <c r="A2144" t="n">
        <v>23</v>
      </c>
      <c r="B2144" s="44">
        <f>FiscalStart+(A2144-1)*7</f>
        <v/>
      </c>
      <c r="C2144">
        <f>TEXT(B2144,"mmm yyyy")</f>
        <v/>
      </c>
      <c r="D2144">
        <f>"Q"&amp;(INT((A2144-1)/13)+1)</f>
        <v/>
      </c>
      <c r="E2144" t="inlineStr">
        <is>
          <t>FDM</t>
        </is>
      </c>
      <c r="F2144">
        <f>IFERROR(INDEX(ChFormat,MATCH(E2144,ChName,0)),"")</f>
        <v/>
      </c>
      <c r="G2144" t="inlineStr">
        <is>
          <t>BC</t>
        </is>
      </c>
      <c r="H2144">
        <f>IF(A2144&lt;=NWeeks,1,0)</f>
        <v/>
      </c>
      <c r="I2144">
        <f>INDEX(ChLaunch,MATCH(E2144,ChName,0))</f>
        <v/>
      </c>
      <c r="J2144">
        <f>INDEX(ChWeeksFull,MATCH(E2144,ChName,0))</f>
        <v/>
      </c>
      <c r="K2144">
        <f>INDEX(ChRamp,MATCH(E2144,ChName,0))</f>
        <v/>
      </c>
      <c r="L2144" s="45">
        <f>MIN(1,MAX(0,(A2144-I2144+1)*RampSpeed/J2144))</f>
        <v/>
      </c>
      <c r="M2144" s="45">
        <f>IF(A2144&lt;I2144,0,IF(K2144="S-curve",L2144*L2144*(3-2*L2144),L2144))</f>
        <v/>
      </c>
      <c r="N2144" s="45">
        <f>1+(INDEX(SeasonIdx,A2144)-1)*SeasonAmp</f>
        <v/>
      </c>
      <c r="O2144" s="45">
        <f>IFERROR(INDEX(PSPct,MATCH(E2144&amp;"|"&amp;G2144,PSKey,0)),0)</f>
        <v/>
      </c>
      <c r="P2144" s="46">
        <f>INDEX(ChDoorVel,MATCH(E2144,ChName,0))*CalibScalar*(1+VelocityUplift)</f>
        <v/>
      </c>
      <c r="Q2144" s="46" t="n">
        <v>0</v>
      </c>
      <c r="R2144" s="46">
        <f>P2144*O2144*M2144*N2144*H2144</f>
        <v/>
      </c>
      <c r="S2144" s="46">
        <f>R2144*INDEX(FmtCansPerCase,MATCH(F2144,FmtName,0))</f>
        <v/>
      </c>
      <c r="T2144" s="46">
        <f>S2144/INDEX(FmtCansPerPack,MATCH(F2144,FmtName,0))</f>
        <v/>
      </c>
      <c r="U2144" s="47">
        <f>INDEX(ChBaseCP,MATCH(E2144,ChName,0))*(1+INDEX(ProvMod,MATCH(G2144,ProvCode,0)))*(1+PriceIndex)</f>
        <v/>
      </c>
      <c r="V2144" s="47">
        <f>R2144*U2144*INDEX(FmtBlendedPriceIdx,MATCH(F2144,FmtName,0))</f>
        <v/>
      </c>
      <c r="W2144" s="47">
        <f>T2144*INDEX(ProvSRP,MATCH(G2144,ProvCode,0))*(1+PriceIndex)</f>
        <v/>
      </c>
      <c r="X2144" s="47">
        <f>IF(GrossBasis="Wholesale",V2144,W2144)</f>
        <v/>
      </c>
      <c r="Y2144" s="47">
        <f>R2144*INDEX(FmtBlendedCogs,MATCH(F2144,FmtName,0))</f>
        <v/>
      </c>
      <c r="Z2144" s="47">
        <f>X2144-Y2144</f>
        <v/>
      </c>
    </row>
    <row r="2145">
      <c r="A2145" t="n">
        <v>24</v>
      </c>
      <c r="B2145" s="44">
        <f>FiscalStart+(A2145-1)*7</f>
        <v/>
      </c>
      <c r="C2145">
        <f>TEXT(B2145,"mmm yyyy")</f>
        <v/>
      </c>
      <c r="D2145">
        <f>"Q"&amp;(INT((A2145-1)/13)+1)</f>
        <v/>
      </c>
      <c r="E2145" t="inlineStr">
        <is>
          <t>FDM</t>
        </is>
      </c>
      <c r="F2145">
        <f>IFERROR(INDEX(ChFormat,MATCH(E2145,ChName,0)),"")</f>
        <v/>
      </c>
      <c r="G2145" t="inlineStr">
        <is>
          <t>BC</t>
        </is>
      </c>
      <c r="H2145">
        <f>IF(A2145&lt;=NWeeks,1,0)</f>
        <v/>
      </c>
      <c r="I2145">
        <f>INDEX(ChLaunch,MATCH(E2145,ChName,0))</f>
        <v/>
      </c>
      <c r="J2145">
        <f>INDEX(ChWeeksFull,MATCH(E2145,ChName,0))</f>
        <v/>
      </c>
      <c r="K2145">
        <f>INDEX(ChRamp,MATCH(E2145,ChName,0))</f>
        <v/>
      </c>
      <c r="L2145" s="45">
        <f>MIN(1,MAX(0,(A2145-I2145+1)*RampSpeed/J2145))</f>
        <v/>
      </c>
      <c r="M2145" s="45">
        <f>IF(A2145&lt;I2145,0,IF(K2145="S-curve",L2145*L2145*(3-2*L2145),L2145))</f>
        <v/>
      </c>
      <c r="N2145" s="45">
        <f>1+(INDEX(SeasonIdx,A2145)-1)*SeasonAmp</f>
        <v/>
      </c>
      <c r="O2145" s="45">
        <f>IFERROR(INDEX(PSPct,MATCH(E2145&amp;"|"&amp;G2145,PSKey,0)),0)</f>
        <v/>
      </c>
      <c r="P2145" s="46">
        <f>INDEX(ChDoorVel,MATCH(E2145,ChName,0))*CalibScalar*(1+VelocityUplift)</f>
        <v/>
      </c>
      <c r="Q2145" s="46" t="n">
        <v>0</v>
      </c>
      <c r="R2145" s="46">
        <f>P2145*O2145*M2145*N2145*H2145</f>
        <v/>
      </c>
      <c r="S2145" s="46">
        <f>R2145*INDEX(FmtCansPerCase,MATCH(F2145,FmtName,0))</f>
        <v/>
      </c>
      <c r="T2145" s="46">
        <f>S2145/INDEX(FmtCansPerPack,MATCH(F2145,FmtName,0))</f>
        <v/>
      </c>
      <c r="U2145" s="47">
        <f>INDEX(ChBaseCP,MATCH(E2145,ChName,0))*(1+INDEX(ProvMod,MATCH(G2145,ProvCode,0)))*(1+PriceIndex)</f>
        <v/>
      </c>
      <c r="V2145" s="47">
        <f>R2145*U2145*INDEX(FmtBlendedPriceIdx,MATCH(F2145,FmtName,0))</f>
        <v/>
      </c>
      <c r="W2145" s="47">
        <f>T2145*INDEX(ProvSRP,MATCH(G2145,ProvCode,0))*(1+PriceIndex)</f>
        <v/>
      </c>
      <c r="X2145" s="47">
        <f>IF(GrossBasis="Wholesale",V2145,W2145)</f>
        <v/>
      </c>
      <c r="Y2145" s="47">
        <f>R2145*INDEX(FmtBlendedCogs,MATCH(F2145,FmtName,0))</f>
        <v/>
      </c>
      <c r="Z2145" s="47">
        <f>X2145-Y2145</f>
        <v/>
      </c>
    </row>
    <row r="2146">
      <c r="A2146" t="n">
        <v>25</v>
      </c>
      <c r="B2146" s="44">
        <f>FiscalStart+(A2146-1)*7</f>
        <v/>
      </c>
      <c r="C2146">
        <f>TEXT(B2146,"mmm yyyy")</f>
        <v/>
      </c>
      <c r="D2146">
        <f>"Q"&amp;(INT((A2146-1)/13)+1)</f>
        <v/>
      </c>
      <c r="E2146" t="inlineStr">
        <is>
          <t>FDM</t>
        </is>
      </c>
      <c r="F2146">
        <f>IFERROR(INDEX(ChFormat,MATCH(E2146,ChName,0)),"")</f>
        <v/>
      </c>
      <c r="G2146" t="inlineStr">
        <is>
          <t>BC</t>
        </is>
      </c>
      <c r="H2146">
        <f>IF(A2146&lt;=NWeeks,1,0)</f>
        <v/>
      </c>
      <c r="I2146">
        <f>INDEX(ChLaunch,MATCH(E2146,ChName,0))</f>
        <v/>
      </c>
      <c r="J2146">
        <f>INDEX(ChWeeksFull,MATCH(E2146,ChName,0))</f>
        <v/>
      </c>
      <c r="K2146">
        <f>INDEX(ChRamp,MATCH(E2146,ChName,0))</f>
        <v/>
      </c>
      <c r="L2146" s="45">
        <f>MIN(1,MAX(0,(A2146-I2146+1)*RampSpeed/J2146))</f>
        <v/>
      </c>
      <c r="M2146" s="45">
        <f>IF(A2146&lt;I2146,0,IF(K2146="S-curve",L2146*L2146*(3-2*L2146),L2146))</f>
        <v/>
      </c>
      <c r="N2146" s="45">
        <f>1+(INDEX(SeasonIdx,A2146)-1)*SeasonAmp</f>
        <v/>
      </c>
      <c r="O2146" s="45">
        <f>IFERROR(INDEX(PSPct,MATCH(E2146&amp;"|"&amp;G2146,PSKey,0)),0)</f>
        <v/>
      </c>
      <c r="P2146" s="46">
        <f>INDEX(ChDoorVel,MATCH(E2146,ChName,0))*CalibScalar*(1+VelocityUplift)</f>
        <v/>
      </c>
      <c r="Q2146" s="46" t="n">
        <v>0</v>
      </c>
      <c r="R2146" s="46">
        <f>P2146*O2146*M2146*N2146*H2146</f>
        <v/>
      </c>
      <c r="S2146" s="46">
        <f>R2146*INDEX(FmtCansPerCase,MATCH(F2146,FmtName,0))</f>
        <v/>
      </c>
      <c r="T2146" s="46">
        <f>S2146/INDEX(FmtCansPerPack,MATCH(F2146,FmtName,0))</f>
        <v/>
      </c>
      <c r="U2146" s="47">
        <f>INDEX(ChBaseCP,MATCH(E2146,ChName,0))*(1+INDEX(ProvMod,MATCH(G2146,ProvCode,0)))*(1+PriceIndex)</f>
        <v/>
      </c>
      <c r="V2146" s="47">
        <f>R2146*U2146*INDEX(FmtBlendedPriceIdx,MATCH(F2146,FmtName,0))</f>
        <v/>
      </c>
      <c r="W2146" s="47">
        <f>T2146*INDEX(ProvSRP,MATCH(G2146,ProvCode,0))*(1+PriceIndex)</f>
        <v/>
      </c>
      <c r="X2146" s="47">
        <f>IF(GrossBasis="Wholesale",V2146,W2146)</f>
        <v/>
      </c>
      <c r="Y2146" s="47">
        <f>R2146*INDEX(FmtBlendedCogs,MATCH(F2146,FmtName,0))</f>
        <v/>
      </c>
      <c r="Z2146" s="47">
        <f>X2146-Y2146</f>
        <v/>
      </c>
    </row>
    <row r="2147">
      <c r="A2147" t="n">
        <v>26</v>
      </c>
      <c r="B2147" s="44">
        <f>FiscalStart+(A2147-1)*7</f>
        <v/>
      </c>
      <c r="C2147">
        <f>TEXT(B2147,"mmm yyyy")</f>
        <v/>
      </c>
      <c r="D2147">
        <f>"Q"&amp;(INT((A2147-1)/13)+1)</f>
        <v/>
      </c>
      <c r="E2147" t="inlineStr">
        <is>
          <t>FDM</t>
        </is>
      </c>
      <c r="F2147">
        <f>IFERROR(INDEX(ChFormat,MATCH(E2147,ChName,0)),"")</f>
        <v/>
      </c>
      <c r="G2147" t="inlineStr">
        <is>
          <t>BC</t>
        </is>
      </c>
      <c r="H2147">
        <f>IF(A2147&lt;=NWeeks,1,0)</f>
        <v/>
      </c>
      <c r="I2147">
        <f>INDEX(ChLaunch,MATCH(E2147,ChName,0))</f>
        <v/>
      </c>
      <c r="J2147">
        <f>INDEX(ChWeeksFull,MATCH(E2147,ChName,0))</f>
        <v/>
      </c>
      <c r="K2147">
        <f>INDEX(ChRamp,MATCH(E2147,ChName,0))</f>
        <v/>
      </c>
      <c r="L2147" s="45">
        <f>MIN(1,MAX(0,(A2147-I2147+1)*RampSpeed/J2147))</f>
        <v/>
      </c>
      <c r="M2147" s="45">
        <f>IF(A2147&lt;I2147,0,IF(K2147="S-curve",L2147*L2147*(3-2*L2147),L2147))</f>
        <v/>
      </c>
      <c r="N2147" s="45">
        <f>1+(INDEX(SeasonIdx,A2147)-1)*SeasonAmp</f>
        <v/>
      </c>
      <c r="O2147" s="45">
        <f>IFERROR(INDEX(PSPct,MATCH(E2147&amp;"|"&amp;G2147,PSKey,0)),0)</f>
        <v/>
      </c>
      <c r="P2147" s="46">
        <f>INDEX(ChDoorVel,MATCH(E2147,ChName,0))*CalibScalar*(1+VelocityUplift)</f>
        <v/>
      </c>
      <c r="Q2147" s="46" t="n">
        <v>0</v>
      </c>
      <c r="R2147" s="46">
        <f>P2147*O2147*M2147*N2147*H2147</f>
        <v/>
      </c>
      <c r="S2147" s="46">
        <f>R2147*INDEX(FmtCansPerCase,MATCH(F2147,FmtName,0))</f>
        <v/>
      </c>
      <c r="T2147" s="46">
        <f>S2147/INDEX(FmtCansPerPack,MATCH(F2147,FmtName,0))</f>
        <v/>
      </c>
      <c r="U2147" s="47">
        <f>INDEX(ChBaseCP,MATCH(E2147,ChName,0))*(1+INDEX(ProvMod,MATCH(G2147,ProvCode,0)))*(1+PriceIndex)</f>
        <v/>
      </c>
      <c r="V2147" s="47">
        <f>R2147*U2147*INDEX(FmtBlendedPriceIdx,MATCH(F2147,FmtName,0))</f>
        <v/>
      </c>
      <c r="W2147" s="47">
        <f>T2147*INDEX(ProvSRP,MATCH(G2147,ProvCode,0))*(1+PriceIndex)</f>
        <v/>
      </c>
      <c r="X2147" s="47">
        <f>IF(GrossBasis="Wholesale",V2147,W2147)</f>
        <v/>
      </c>
      <c r="Y2147" s="47">
        <f>R2147*INDEX(FmtBlendedCogs,MATCH(F2147,FmtName,0))</f>
        <v/>
      </c>
      <c r="Z2147" s="47">
        <f>X2147-Y2147</f>
        <v/>
      </c>
    </row>
    <row r="2148">
      <c r="A2148" t="n">
        <v>27</v>
      </c>
      <c r="B2148" s="44">
        <f>FiscalStart+(A2148-1)*7</f>
        <v/>
      </c>
      <c r="C2148">
        <f>TEXT(B2148,"mmm yyyy")</f>
        <v/>
      </c>
      <c r="D2148">
        <f>"Q"&amp;(INT((A2148-1)/13)+1)</f>
        <v/>
      </c>
      <c r="E2148" t="inlineStr">
        <is>
          <t>FDM</t>
        </is>
      </c>
      <c r="F2148">
        <f>IFERROR(INDEX(ChFormat,MATCH(E2148,ChName,0)),"")</f>
        <v/>
      </c>
      <c r="G2148" t="inlineStr">
        <is>
          <t>BC</t>
        </is>
      </c>
      <c r="H2148">
        <f>IF(A2148&lt;=NWeeks,1,0)</f>
        <v/>
      </c>
      <c r="I2148">
        <f>INDEX(ChLaunch,MATCH(E2148,ChName,0))</f>
        <v/>
      </c>
      <c r="J2148">
        <f>INDEX(ChWeeksFull,MATCH(E2148,ChName,0))</f>
        <v/>
      </c>
      <c r="K2148">
        <f>INDEX(ChRamp,MATCH(E2148,ChName,0))</f>
        <v/>
      </c>
      <c r="L2148" s="45">
        <f>MIN(1,MAX(0,(A2148-I2148+1)*RampSpeed/J2148))</f>
        <v/>
      </c>
      <c r="M2148" s="45">
        <f>IF(A2148&lt;I2148,0,IF(K2148="S-curve",L2148*L2148*(3-2*L2148),L2148))</f>
        <v/>
      </c>
      <c r="N2148" s="45">
        <f>1+(INDEX(SeasonIdx,A2148)-1)*SeasonAmp</f>
        <v/>
      </c>
      <c r="O2148" s="45">
        <f>IFERROR(INDEX(PSPct,MATCH(E2148&amp;"|"&amp;G2148,PSKey,0)),0)</f>
        <v/>
      </c>
      <c r="P2148" s="46">
        <f>INDEX(ChDoorVel,MATCH(E2148,ChName,0))*CalibScalar*(1+VelocityUplift)</f>
        <v/>
      </c>
      <c r="Q2148" s="46" t="n">
        <v>0</v>
      </c>
      <c r="R2148" s="46">
        <f>P2148*O2148*M2148*N2148*H2148</f>
        <v/>
      </c>
      <c r="S2148" s="46">
        <f>R2148*INDEX(FmtCansPerCase,MATCH(F2148,FmtName,0))</f>
        <v/>
      </c>
      <c r="T2148" s="46">
        <f>S2148/INDEX(FmtCansPerPack,MATCH(F2148,FmtName,0))</f>
        <v/>
      </c>
      <c r="U2148" s="47">
        <f>INDEX(ChBaseCP,MATCH(E2148,ChName,0))*(1+INDEX(ProvMod,MATCH(G2148,ProvCode,0)))*(1+PriceIndex)</f>
        <v/>
      </c>
      <c r="V2148" s="47">
        <f>R2148*U2148*INDEX(FmtBlendedPriceIdx,MATCH(F2148,FmtName,0))</f>
        <v/>
      </c>
      <c r="W2148" s="47">
        <f>T2148*INDEX(ProvSRP,MATCH(G2148,ProvCode,0))*(1+PriceIndex)</f>
        <v/>
      </c>
      <c r="X2148" s="47">
        <f>IF(GrossBasis="Wholesale",V2148,W2148)</f>
        <v/>
      </c>
      <c r="Y2148" s="47">
        <f>R2148*INDEX(FmtBlendedCogs,MATCH(F2148,FmtName,0))</f>
        <v/>
      </c>
      <c r="Z2148" s="47">
        <f>X2148-Y2148</f>
        <v/>
      </c>
    </row>
    <row r="2149">
      <c r="A2149" t="n">
        <v>28</v>
      </c>
      <c r="B2149" s="44">
        <f>FiscalStart+(A2149-1)*7</f>
        <v/>
      </c>
      <c r="C2149">
        <f>TEXT(B2149,"mmm yyyy")</f>
        <v/>
      </c>
      <c r="D2149">
        <f>"Q"&amp;(INT((A2149-1)/13)+1)</f>
        <v/>
      </c>
      <c r="E2149" t="inlineStr">
        <is>
          <t>FDM</t>
        </is>
      </c>
      <c r="F2149">
        <f>IFERROR(INDEX(ChFormat,MATCH(E2149,ChName,0)),"")</f>
        <v/>
      </c>
      <c r="G2149" t="inlineStr">
        <is>
          <t>BC</t>
        </is>
      </c>
      <c r="H2149">
        <f>IF(A2149&lt;=NWeeks,1,0)</f>
        <v/>
      </c>
      <c r="I2149">
        <f>INDEX(ChLaunch,MATCH(E2149,ChName,0))</f>
        <v/>
      </c>
      <c r="J2149">
        <f>INDEX(ChWeeksFull,MATCH(E2149,ChName,0))</f>
        <v/>
      </c>
      <c r="K2149">
        <f>INDEX(ChRamp,MATCH(E2149,ChName,0))</f>
        <v/>
      </c>
      <c r="L2149" s="45">
        <f>MIN(1,MAX(0,(A2149-I2149+1)*RampSpeed/J2149))</f>
        <v/>
      </c>
      <c r="M2149" s="45">
        <f>IF(A2149&lt;I2149,0,IF(K2149="S-curve",L2149*L2149*(3-2*L2149),L2149))</f>
        <v/>
      </c>
      <c r="N2149" s="45">
        <f>1+(INDEX(SeasonIdx,A2149)-1)*SeasonAmp</f>
        <v/>
      </c>
      <c r="O2149" s="45">
        <f>IFERROR(INDEX(PSPct,MATCH(E2149&amp;"|"&amp;G2149,PSKey,0)),0)</f>
        <v/>
      </c>
      <c r="P2149" s="46">
        <f>INDEX(ChDoorVel,MATCH(E2149,ChName,0))*CalibScalar*(1+VelocityUplift)</f>
        <v/>
      </c>
      <c r="Q2149" s="46" t="n">
        <v>0</v>
      </c>
      <c r="R2149" s="46">
        <f>P2149*O2149*M2149*N2149*H2149</f>
        <v/>
      </c>
      <c r="S2149" s="46">
        <f>R2149*INDEX(FmtCansPerCase,MATCH(F2149,FmtName,0))</f>
        <v/>
      </c>
      <c r="T2149" s="46">
        <f>S2149/INDEX(FmtCansPerPack,MATCH(F2149,FmtName,0))</f>
        <v/>
      </c>
      <c r="U2149" s="47">
        <f>INDEX(ChBaseCP,MATCH(E2149,ChName,0))*(1+INDEX(ProvMod,MATCH(G2149,ProvCode,0)))*(1+PriceIndex)</f>
        <v/>
      </c>
      <c r="V2149" s="47">
        <f>R2149*U2149*INDEX(FmtBlendedPriceIdx,MATCH(F2149,FmtName,0))</f>
        <v/>
      </c>
      <c r="W2149" s="47">
        <f>T2149*INDEX(ProvSRP,MATCH(G2149,ProvCode,0))*(1+PriceIndex)</f>
        <v/>
      </c>
      <c r="X2149" s="47">
        <f>IF(GrossBasis="Wholesale",V2149,W2149)</f>
        <v/>
      </c>
      <c r="Y2149" s="47">
        <f>R2149*INDEX(FmtBlendedCogs,MATCH(F2149,FmtName,0))</f>
        <v/>
      </c>
      <c r="Z2149" s="47">
        <f>X2149-Y2149</f>
        <v/>
      </c>
    </row>
    <row r="2150">
      <c r="A2150" t="n">
        <v>29</v>
      </c>
      <c r="B2150" s="44">
        <f>FiscalStart+(A2150-1)*7</f>
        <v/>
      </c>
      <c r="C2150">
        <f>TEXT(B2150,"mmm yyyy")</f>
        <v/>
      </c>
      <c r="D2150">
        <f>"Q"&amp;(INT((A2150-1)/13)+1)</f>
        <v/>
      </c>
      <c r="E2150" t="inlineStr">
        <is>
          <t>FDM</t>
        </is>
      </c>
      <c r="F2150">
        <f>IFERROR(INDEX(ChFormat,MATCH(E2150,ChName,0)),"")</f>
        <v/>
      </c>
      <c r="G2150" t="inlineStr">
        <is>
          <t>BC</t>
        </is>
      </c>
      <c r="H2150">
        <f>IF(A2150&lt;=NWeeks,1,0)</f>
        <v/>
      </c>
      <c r="I2150">
        <f>INDEX(ChLaunch,MATCH(E2150,ChName,0))</f>
        <v/>
      </c>
      <c r="J2150">
        <f>INDEX(ChWeeksFull,MATCH(E2150,ChName,0))</f>
        <v/>
      </c>
      <c r="K2150">
        <f>INDEX(ChRamp,MATCH(E2150,ChName,0))</f>
        <v/>
      </c>
      <c r="L2150" s="45">
        <f>MIN(1,MAX(0,(A2150-I2150+1)*RampSpeed/J2150))</f>
        <v/>
      </c>
      <c r="M2150" s="45">
        <f>IF(A2150&lt;I2150,0,IF(K2150="S-curve",L2150*L2150*(3-2*L2150),L2150))</f>
        <v/>
      </c>
      <c r="N2150" s="45">
        <f>1+(INDEX(SeasonIdx,A2150)-1)*SeasonAmp</f>
        <v/>
      </c>
      <c r="O2150" s="45">
        <f>IFERROR(INDEX(PSPct,MATCH(E2150&amp;"|"&amp;G2150,PSKey,0)),0)</f>
        <v/>
      </c>
      <c r="P2150" s="46">
        <f>INDEX(ChDoorVel,MATCH(E2150,ChName,0))*CalibScalar*(1+VelocityUplift)</f>
        <v/>
      </c>
      <c r="Q2150" s="46" t="n">
        <v>0</v>
      </c>
      <c r="R2150" s="46">
        <f>P2150*O2150*M2150*N2150*H2150</f>
        <v/>
      </c>
      <c r="S2150" s="46">
        <f>R2150*INDEX(FmtCansPerCase,MATCH(F2150,FmtName,0))</f>
        <v/>
      </c>
      <c r="T2150" s="46">
        <f>S2150/INDEX(FmtCansPerPack,MATCH(F2150,FmtName,0))</f>
        <v/>
      </c>
      <c r="U2150" s="47">
        <f>INDEX(ChBaseCP,MATCH(E2150,ChName,0))*(1+INDEX(ProvMod,MATCH(G2150,ProvCode,0)))*(1+PriceIndex)</f>
        <v/>
      </c>
      <c r="V2150" s="47">
        <f>R2150*U2150*INDEX(FmtBlendedPriceIdx,MATCH(F2150,FmtName,0))</f>
        <v/>
      </c>
      <c r="W2150" s="47">
        <f>T2150*INDEX(ProvSRP,MATCH(G2150,ProvCode,0))*(1+PriceIndex)</f>
        <v/>
      </c>
      <c r="X2150" s="47">
        <f>IF(GrossBasis="Wholesale",V2150,W2150)</f>
        <v/>
      </c>
      <c r="Y2150" s="47">
        <f>R2150*INDEX(FmtBlendedCogs,MATCH(F2150,FmtName,0))</f>
        <v/>
      </c>
      <c r="Z2150" s="47">
        <f>X2150-Y2150</f>
        <v/>
      </c>
    </row>
    <row r="2151">
      <c r="A2151" t="n">
        <v>30</v>
      </c>
      <c r="B2151" s="44">
        <f>FiscalStart+(A2151-1)*7</f>
        <v/>
      </c>
      <c r="C2151">
        <f>TEXT(B2151,"mmm yyyy")</f>
        <v/>
      </c>
      <c r="D2151">
        <f>"Q"&amp;(INT((A2151-1)/13)+1)</f>
        <v/>
      </c>
      <c r="E2151" t="inlineStr">
        <is>
          <t>FDM</t>
        </is>
      </c>
      <c r="F2151">
        <f>IFERROR(INDEX(ChFormat,MATCH(E2151,ChName,0)),"")</f>
        <v/>
      </c>
      <c r="G2151" t="inlineStr">
        <is>
          <t>BC</t>
        </is>
      </c>
      <c r="H2151">
        <f>IF(A2151&lt;=NWeeks,1,0)</f>
        <v/>
      </c>
      <c r="I2151">
        <f>INDEX(ChLaunch,MATCH(E2151,ChName,0))</f>
        <v/>
      </c>
      <c r="J2151">
        <f>INDEX(ChWeeksFull,MATCH(E2151,ChName,0))</f>
        <v/>
      </c>
      <c r="K2151">
        <f>INDEX(ChRamp,MATCH(E2151,ChName,0))</f>
        <v/>
      </c>
      <c r="L2151" s="45">
        <f>MIN(1,MAX(0,(A2151-I2151+1)*RampSpeed/J2151))</f>
        <v/>
      </c>
      <c r="M2151" s="45">
        <f>IF(A2151&lt;I2151,0,IF(K2151="S-curve",L2151*L2151*(3-2*L2151),L2151))</f>
        <v/>
      </c>
      <c r="N2151" s="45">
        <f>1+(INDEX(SeasonIdx,A2151)-1)*SeasonAmp</f>
        <v/>
      </c>
      <c r="O2151" s="45">
        <f>IFERROR(INDEX(PSPct,MATCH(E2151&amp;"|"&amp;G2151,PSKey,0)),0)</f>
        <v/>
      </c>
      <c r="P2151" s="46">
        <f>INDEX(ChDoorVel,MATCH(E2151,ChName,0))*CalibScalar*(1+VelocityUplift)</f>
        <v/>
      </c>
      <c r="Q2151" s="46" t="n">
        <v>0</v>
      </c>
      <c r="R2151" s="46">
        <f>P2151*O2151*M2151*N2151*H2151</f>
        <v/>
      </c>
      <c r="S2151" s="46">
        <f>R2151*INDEX(FmtCansPerCase,MATCH(F2151,FmtName,0))</f>
        <v/>
      </c>
      <c r="T2151" s="46">
        <f>S2151/INDEX(FmtCansPerPack,MATCH(F2151,FmtName,0))</f>
        <v/>
      </c>
      <c r="U2151" s="47">
        <f>INDEX(ChBaseCP,MATCH(E2151,ChName,0))*(1+INDEX(ProvMod,MATCH(G2151,ProvCode,0)))*(1+PriceIndex)</f>
        <v/>
      </c>
      <c r="V2151" s="47">
        <f>R2151*U2151*INDEX(FmtBlendedPriceIdx,MATCH(F2151,FmtName,0))</f>
        <v/>
      </c>
      <c r="W2151" s="47">
        <f>T2151*INDEX(ProvSRP,MATCH(G2151,ProvCode,0))*(1+PriceIndex)</f>
        <v/>
      </c>
      <c r="X2151" s="47">
        <f>IF(GrossBasis="Wholesale",V2151,W2151)</f>
        <v/>
      </c>
      <c r="Y2151" s="47">
        <f>R2151*INDEX(FmtBlendedCogs,MATCH(F2151,FmtName,0))</f>
        <v/>
      </c>
      <c r="Z2151" s="47">
        <f>X2151-Y2151</f>
        <v/>
      </c>
    </row>
    <row r="2152">
      <c r="A2152" t="n">
        <v>31</v>
      </c>
      <c r="B2152" s="44">
        <f>FiscalStart+(A2152-1)*7</f>
        <v/>
      </c>
      <c r="C2152">
        <f>TEXT(B2152,"mmm yyyy")</f>
        <v/>
      </c>
      <c r="D2152">
        <f>"Q"&amp;(INT((A2152-1)/13)+1)</f>
        <v/>
      </c>
      <c r="E2152" t="inlineStr">
        <is>
          <t>FDM</t>
        </is>
      </c>
      <c r="F2152">
        <f>IFERROR(INDEX(ChFormat,MATCH(E2152,ChName,0)),"")</f>
        <v/>
      </c>
      <c r="G2152" t="inlineStr">
        <is>
          <t>BC</t>
        </is>
      </c>
      <c r="H2152">
        <f>IF(A2152&lt;=NWeeks,1,0)</f>
        <v/>
      </c>
      <c r="I2152">
        <f>INDEX(ChLaunch,MATCH(E2152,ChName,0))</f>
        <v/>
      </c>
      <c r="J2152">
        <f>INDEX(ChWeeksFull,MATCH(E2152,ChName,0))</f>
        <v/>
      </c>
      <c r="K2152">
        <f>INDEX(ChRamp,MATCH(E2152,ChName,0))</f>
        <v/>
      </c>
      <c r="L2152" s="45">
        <f>MIN(1,MAX(0,(A2152-I2152+1)*RampSpeed/J2152))</f>
        <v/>
      </c>
      <c r="M2152" s="45">
        <f>IF(A2152&lt;I2152,0,IF(K2152="S-curve",L2152*L2152*(3-2*L2152),L2152))</f>
        <v/>
      </c>
      <c r="N2152" s="45">
        <f>1+(INDEX(SeasonIdx,A2152)-1)*SeasonAmp</f>
        <v/>
      </c>
      <c r="O2152" s="45">
        <f>IFERROR(INDEX(PSPct,MATCH(E2152&amp;"|"&amp;G2152,PSKey,0)),0)</f>
        <v/>
      </c>
      <c r="P2152" s="46">
        <f>INDEX(ChDoorVel,MATCH(E2152,ChName,0))*CalibScalar*(1+VelocityUplift)</f>
        <v/>
      </c>
      <c r="Q2152" s="46" t="n">
        <v>0</v>
      </c>
      <c r="R2152" s="46">
        <f>P2152*O2152*M2152*N2152*H2152</f>
        <v/>
      </c>
      <c r="S2152" s="46">
        <f>R2152*INDEX(FmtCansPerCase,MATCH(F2152,FmtName,0))</f>
        <v/>
      </c>
      <c r="T2152" s="46">
        <f>S2152/INDEX(FmtCansPerPack,MATCH(F2152,FmtName,0))</f>
        <v/>
      </c>
      <c r="U2152" s="47">
        <f>INDEX(ChBaseCP,MATCH(E2152,ChName,0))*(1+INDEX(ProvMod,MATCH(G2152,ProvCode,0)))*(1+PriceIndex)</f>
        <v/>
      </c>
      <c r="V2152" s="47">
        <f>R2152*U2152*INDEX(FmtBlendedPriceIdx,MATCH(F2152,FmtName,0))</f>
        <v/>
      </c>
      <c r="W2152" s="47">
        <f>T2152*INDEX(ProvSRP,MATCH(G2152,ProvCode,0))*(1+PriceIndex)</f>
        <v/>
      </c>
      <c r="X2152" s="47">
        <f>IF(GrossBasis="Wholesale",V2152,W2152)</f>
        <v/>
      </c>
      <c r="Y2152" s="47">
        <f>R2152*INDEX(FmtBlendedCogs,MATCH(F2152,FmtName,0))</f>
        <v/>
      </c>
      <c r="Z2152" s="47">
        <f>X2152-Y2152</f>
        <v/>
      </c>
    </row>
    <row r="2153">
      <c r="A2153" t="n">
        <v>32</v>
      </c>
      <c r="B2153" s="44">
        <f>FiscalStart+(A2153-1)*7</f>
        <v/>
      </c>
      <c r="C2153">
        <f>TEXT(B2153,"mmm yyyy")</f>
        <v/>
      </c>
      <c r="D2153">
        <f>"Q"&amp;(INT((A2153-1)/13)+1)</f>
        <v/>
      </c>
      <c r="E2153" t="inlineStr">
        <is>
          <t>FDM</t>
        </is>
      </c>
      <c r="F2153">
        <f>IFERROR(INDEX(ChFormat,MATCH(E2153,ChName,0)),"")</f>
        <v/>
      </c>
      <c r="G2153" t="inlineStr">
        <is>
          <t>BC</t>
        </is>
      </c>
      <c r="H2153">
        <f>IF(A2153&lt;=NWeeks,1,0)</f>
        <v/>
      </c>
      <c r="I2153">
        <f>INDEX(ChLaunch,MATCH(E2153,ChName,0))</f>
        <v/>
      </c>
      <c r="J2153">
        <f>INDEX(ChWeeksFull,MATCH(E2153,ChName,0))</f>
        <v/>
      </c>
      <c r="K2153">
        <f>INDEX(ChRamp,MATCH(E2153,ChName,0))</f>
        <v/>
      </c>
      <c r="L2153" s="45">
        <f>MIN(1,MAX(0,(A2153-I2153+1)*RampSpeed/J2153))</f>
        <v/>
      </c>
      <c r="M2153" s="45">
        <f>IF(A2153&lt;I2153,0,IF(K2153="S-curve",L2153*L2153*(3-2*L2153),L2153))</f>
        <v/>
      </c>
      <c r="N2153" s="45">
        <f>1+(INDEX(SeasonIdx,A2153)-1)*SeasonAmp</f>
        <v/>
      </c>
      <c r="O2153" s="45">
        <f>IFERROR(INDEX(PSPct,MATCH(E2153&amp;"|"&amp;G2153,PSKey,0)),0)</f>
        <v/>
      </c>
      <c r="P2153" s="46">
        <f>INDEX(ChDoorVel,MATCH(E2153,ChName,0))*CalibScalar*(1+VelocityUplift)</f>
        <v/>
      </c>
      <c r="Q2153" s="46" t="n">
        <v>0</v>
      </c>
      <c r="R2153" s="46">
        <f>P2153*O2153*M2153*N2153*H2153</f>
        <v/>
      </c>
      <c r="S2153" s="46">
        <f>R2153*INDEX(FmtCansPerCase,MATCH(F2153,FmtName,0))</f>
        <v/>
      </c>
      <c r="T2153" s="46">
        <f>S2153/INDEX(FmtCansPerPack,MATCH(F2153,FmtName,0))</f>
        <v/>
      </c>
      <c r="U2153" s="47">
        <f>INDEX(ChBaseCP,MATCH(E2153,ChName,0))*(1+INDEX(ProvMod,MATCH(G2153,ProvCode,0)))*(1+PriceIndex)</f>
        <v/>
      </c>
      <c r="V2153" s="47">
        <f>R2153*U2153*INDEX(FmtBlendedPriceIdx,MATCH(F2153,FmtName,0))</f>
        <v/>
      </c>
      <c r="W2153" s="47">
        <f>T2153*INDEX(ProvSRP,MATCH(G2153,ProvCode,0))*(1+PriceIndex)</f>
        <v/>
      </c>
      <c r="X2153" s="47">
        <f>IF(GrossBasis="Wholesale",V2153,W2153)</f>
        <v/>
      </c>
      <c r="Y2153" s="47">
        <f>R2153*INDEX(FmtBlendedCogs,MATCH(F2153,FmtName,0))</f>
        <v/>
      </c>
      <c r="Z2153" s="47">
        <f>X2153-Y2153</f>
        <v/>
      </c>
    </row>
    <row r="2154">
      <c r="A2154" t="n">
        <v>33</v>
      </c>
      <c r="B2154" s="44">
        <f>FiscalStart+(A2154-1)*7</f>
        <v/>
      </c>
      <c r="C2154">
        <f>TEXT(B2154,"mmm yyyy")</f>
        <v/>
      </c>
      <c r="D2154">
        <f>"Q"&amp;(INT((A2154-1)/13)+1)</f>
        <v/>
      </c>
      <c r="E2154" t="inlineStr">
        <is>
          <t>FDM</t>
        </is>
      </c>
      <c r="F2154">
        <f>IFERROR(INDEX(ChFormat,MATCH(E2154,ChName,0)),"")</f>
        <v/>
      </c>
      <c r="G2154" t="inlineStr">
        <is>
          <t>BC</t>
        </is>
      </c>
      <c r="H2154">
        <f>IF(A2154&lt;=NWeeks,1,0)</f>
        <v/>
      </c>
      <c r="I2154">
        <f>INDEX(ChLaunch,MATCH(E2154,ChName,0))</f>
        <v/>
      </c>
      <c r="J2154">
        <f>INDEX(ChWeeksFull,MATCH(E2154,ChName,0))</f>
        <v/>
      </c>
      <c r="K2154">
        <f>INDEX(ChRamp,MATCH(E2154,ChName,0))</f>
        <v/>
      </c>
      <c r="L2154" s="45">
        <f>MIN(1,MAX(0,(A2154-I2154+1)*RampSpeed/J2154))</f>
        <v/>
      </c>
      <c r="M2154" s="45">
        <f>IF(A2154&lt;I2154,0,IF(K2154="S-curve",L2154*L2154*(3-2*L2154),L2154))</f>
        <v/>
      </c>
      <c r="N2154" s="45">
        <f>1+(INDEX(SeasonIdx,A2154)-1)*SeasonAmp</f>
        <v/>
      </c>
      <c r="O2154" s="45">
        <f>IFERROR(INDEX(PSPct,MATCH(E2154&amp;"|"&amp;G2154,PSKey,0)),0)</f>
        <v/>
      </c>
      <c r="P2154" s="46">
        <f>INDEX(ChDoorVel,MATCH(E2154,ChName,0))*CalibScalar*(1+VelocityUplift)</f>
        <v/>
      </c>
      <c r="Q2154" s="46" t="n">
        <v>0</v>
      </c>
      <c r="R2154" s="46">
        <f>P2154*O2154*M2154*N2154*H2154</f>
        <v/>
      </c>
      <c r="S2154" s="46">
        <f>R2154*INDEX(FmtCansPerCase,MATCH(F2154,FmtName,0))</f>
        <v/>
      </c>
      <c r="T2154" s="46">
        <f>S2154/INDEX(FmtCansPerPack,MATCH(F2154,FmtName,0))</f>
        <v/>
      </c>
      <c r="U2154" s="47">
        <f>INDEX(ChBaseCP,MATCH(E2154,ChName,0))*(1+INDEX(ProvMod,MATCH(G2154,ProvCode,0)))*(1+PriceIndex)</f>
        <v/>
      </c>
      <c r="V2154" s="47">
        <f>R2154*U2154*INDEX(FmtBlendedPriceIdx,MATCH(F2154,FmtName,0))</f>
        <v/>
      </c>
      <c r="W2154" s="47">
        <f>T2154*INDEX(ProvSRP,MATCH(G2154,ProvCode,0))*(1+PriceIndex)</f>
        <v/>
      </c>
      <c r="X2154" s="47">
        <f>IF(GrossBasis="Wholesale",V2154,W2154)</f>
        <v/>
      </c>
      <c r="Y2154" s="47">
        <f>R2154*INDEX(FmtBlendedCogs,MATCH(F2154,FmtName,0))</f>
        <v/>
      </c>
      <c r="Z2154" s="47">
        <f>X2154-Y2154</f>
        <v/>
      </c>
    </row>
    <row r="2155">
      <c r="A2155" t="n">
        <v>34</v>
      </c>
      <c r="B2155" s="44">
        <f>FiscalStart+(A2155-1)*7</f>
        <v/>
      </c>
      <c r="C2155">
        <f>TEXT(B2155,"mmm yyyy")</f>
        <v/>
      </c>
      <c r="D2155">
        <f>"Q"&amp;(INT((A2155-1)/13)+1)</f>
        <v/>
      </c>
      <c r="E2155" t="inlineStr">
        <is>
          <t>FDM</t>
        </is>
      </c>
      <c r="F2155">
        <f>IFERROR(INDEX(ChFormat,MATCH(E2155,ChName,0)),"")</f>
        <v/>
      </c>
      <c r="G2155" t="inlineStr">
        <is>
          <t>BC</t>
        </is>
      </c>
      <c r="H2155">
        <f>IF(A2155&lt;=NWeeks,1,0)</f>
        <v/>
      </c>
      <c r="I2155">
        <f>INDEX(ChLaunch,MATCH(E2155,ChName,0))</f>
        <v/>
      </c>
      <c r="J2155">
        <f>INDEX(ChWeeksFull,MATCH(E2155,ChName,0))</f>
        <v/>
      </c>
      <c r="K2155">
        <f>INDEX(ChRamp,MATCH(E2155,ChName,0))</f>
        <v/>
      </c>
      <c r="L2155" s="45">
        <f>MIN(1,MAX(0,(A2155-I2155+1)*RampSpeed/J2155))</f>
        <v/>
      </c>
      <c r="M2155" s="45">
        <f>IF(A2155&lt;I2155,0,IF(K2155="S-curve",L2155*L2155*(3-2*L2155),L2155))</f>
        <v/>
      </c>
      <c r="N2155" s="45">
        <f>1+(INDEX(SeasonIdx,A2155)-1)*SeasonAmp</f>
        <v/>
      </c>
      <c r="O2155" s="45">
        <f>IFERROR(INDEX(PSPct,MATCH(E2155&amp;"|"&amp;G2155,PSKey,0)),0)</f>
        <v/>
      </c>
      <c r="P2155" s="46">
        <f>INDEX(ChDoorVel,MATCH(E2155,ChName,0))*CalibScalar*(1+VelocityUplift)</f>
        <v/>
      </c>
      <c r="Q2155" s="46" t="n">
        <v>0</v>
      </c>
      <c r="R2155" s="46">
        <f>P2155*O2155*M2155*N2155*H2155</f>
        <v/>
      </c>
      <c r="S2155" s="46">
        <f>R2155*INDEX(FmtCansPerCase,MATCH(F2155,FmtName,0))</f>
        <v/>
      </c>
      <c r="T2155" s="46">
        <f>S2155/INDEX(FmtCansPerPack,MATCH(F2155,FmtName,0))</f>
        <v/>
      </c>
      <c r="U2155" s="47">
        <f>INDEX(ChBaseCP,MATCH(E2155,ChName,0))*(1+INDEX(ProvMod,MATCH(G2155,ProvCode,0)))*(1+PriceIndex)</f>
        <v/>
      </c>
      <c r="V2155" s="47">
        <f>R2155*U2155*INDEX(FmtBlendedPriceIdx,MATCH(F2155,FmtName,0))</f>
        <v/>
      </c>
      <c r="W2155" s="47">
        <f>T2155*INDEX(ProvSRP,MATCH(G2155,ProvCode,0))*(1+PriceIndex)</f>
        <v/>
      </c>
      <c r="X2155" s="47">
        <f>IF(GrossBasis="Wholesale",V2155,W2155)</f>
        <v/>
      </c>
      <c r="Y2155" s="47">
        <f>R2155*INDEX(FmtBlendedCogs,MATCH(F2155,FmtName,0))</f>
        <v/>
      </c>
      <c r="Z2155" s="47">
        <f>X2155-Y2155</f>
        <v/>
      </c>
    </row>
    <row r="2156">
      <c r="A2156" t="n">
        <v>35</v>
      </c>
      <c r="B2156" s="44">
        <f>FiscalStart+(A2156-1)*7</f>
        <v/>
      </c>
      <c r="C2156">
        <f>TEXT(B2156,"mmm yyyy")</f>
        <v/>
      </c>
      <c r="D2156">
        <f>"Q"&amp;(INT((A2156-1)/13)+1)</f>
        <v/>
      </c>
      <c r="E2156" t="inlineStr">
        <is>
          <t>FDM</t>
        </is>
      </c>
      <c r="F2156">
        <f>IFERROR(INDEX(ChFormat,MATCH(E2156,ChName,0)),"")</f>
        <v/>
      </c>
      <c r="G2156" t="inlineStr">
        <is>
          <t>BC</t>
        </is>
      </c>
      <c r="H2156">
        <f>IF(A2156&lt;=NWeeks,1,0)</f>
        <v/>
      </c>
      <c r="I2156">
        <f>INDEX(ChLaunch,MATCH(E2156,ChName,0))</f>
        <v/>
      </c>
      <c r="J2156">
        <f>INDEX(ChWeeksFull,MATCH(E2156,ChName,0))</f>
        <v/>
      </c>
      <c r="K2156">
        <f>INDEX(ChRamp,MATCH(E2156,ChName,0))</f>
        <v/>
      </c>
      <c r="L2156" s="45">
        <f>MIN(1,MAX(0,(A2156-I2156+1)*RampSpeed/J2156))</f>
        <v/>
      </c>
      <c r="M2156" s="45">
        <f>IF(A2156&lt;I2156,0,IF(K2156="S-curve",L2156*L2156*(3-2*L2156),L2156))</f>
        <v/>
      </c>
      <c r="N2156" s="45">
        <f>1+(INDEX(SeasonIdx,A2156)-1)*SeasonAmp</f>
        <v/>
      </c>
      <c r="O2156" s="45">
        <f>IFERROR(INDEX(PSPct,MATCH(E2156&amp;"|"&amp;G2156,PSKey,0)),0)</f>
        <v/>
      </c>
      <c r="P2156" s="46">
        <f>INDEX(ChDoorVel,MATCH(E2156,ChName,0))*CalibScalar*(1+VelocityUplift)</f>
        <v/>
      </c>
      <c r="Q2156" s="46" t="n">
        <v>0</v>
      </c>
      <c r="R2156" s="46">
        <f>P2156*O2156*M2156*N2156*H2156</f>
        <v/>
      </c>
      <c r="S2156" s="46">
        <f>R2156*INDEX(FmtCansPerCase,MATCH(F2156,FmtName,0))</f>
        <v/>
      </c>
      <c r="T2156" s="46">
        <f>S2156/INDEX(FmtCansPerPack,MATCH(F2156,FmtName,0))</f>
        <v/>
      </c>
      <c r="U2156" s="47">
        <f>INDEX(ChBaseCP,MATCH(E2156,ChName,0))*(1+INDEX(ProvMod,MATCH(G2156,ProvCode,0)))*(1+PriceIndex)</f>
        <v/>
      </c>
      <c r="V2156" s="47">
        <f>R2156*U2156*INDEX(FmtBlendedPriceIdx,MATCH(F2156,FmtName,0))</f>
        <v/>
      </c>
      <c r="W2156" s="47">
        <f>T2156*INDEX(ProvSRP,MATCH(G2156,ProvCode,0))*(1+PriceIndex)</f>
        <v/>
      </c>
      <c r="X2156" s="47">
        <f>IF(GrossBasis="Wholesale",V2156,W2156)</f>
        <v/>
      </c>
      <c r="Y2156" s="47">
        <f>R2156*INDEX(FmtBlendedCogs,MATCH(F2156,FmtName,0))</f>
        <v/>
      </c>
      <c r="Z2156" s="47">
        <f>X2156-Y2156</f>
        <v/>
      </c>
    </row>
    <row r="2157">
      <c r="A2157" t="n">
        <v>36</v>
      </c>
      <c r="B2157" s="44">
        <f>FiscalStart+(A2157-1)*7</f>
        <v/>
      </c>
      <c r="C2157">
        <f>TEXT(B2157,"mmm yyyy")</f>
        <v/>
      </c>
      <c r="D2157">
        <f>"Q"&amp;(INT((A2157-1)/13)+1)</f>
        <v/>
      </c>
      <c r="E2157" t="inlineStr">
        <is>
          <t>FDM</t>
        </is>
      </c>
      <c r="F2157">
        <f>IFERROR(INDEX(ChFormat,MATCH(E2157,ChName,0)),"")</f>
        <v/>
      </c>
      <c r="G2157" t="inlineStr">
        <is>
          <t>BC</t>
        </is>
      </c>
      <c r="H2157">
        <f>IF(A2157&lt;=NWeeks,1,0)</f>
        <v/>
      </c>
      <c r="I2157">
        <f>INDEX(ChLaunch,MATCH(E2157,ChName,0))</f>
        <v/>
      </c>
      <c r="J2157">
        <f>INDEX(ChWeeksFull,MATCH(E2157,ChName,0))</f>
        <v/>
      </c>
      <c r="K2157">
        <f>INDEX(ChRamp,MATCH(E2157,ChName,0))</f>
        <v/>
      </c>
      <c r="L2157" s="45">
        <f>MIN(1,MAX(0,(A2157-I2157+1)*RampSpeed/J2157))</f>
        <v/>
      </c>
      <c r="M2157" s="45">
        <f>IF(A2157&lt;I2157,0,IF(K2157="S-curve",L2157*L2157*(3-2*L2157),L2157))</f>
        <v/>
      </c>
      <c r="N2157" s="45">
        <f>1+(INDEX(SeasonIdx,A2157)-1)*SeasonAmp</f>
        <v/>
      </c>
      <c r="O2157" s="45">
        <f>IFERROR(INDEX(PSPct,MATCH(E2157&amp;"|"&amp;G2157,PSKey,0)),0)</f>
        <v/>
      </c>
      <c r="P2157" s="46">
        <f>INDEX(ChDoorVel,MATCH(E2157,ChName,0))*CalibScalar*(1+VelocityUplift)</f>
        <v/>
      </c>
      <c r="Q2157" s="46" t="n">
        <v>0</v>
      </c>
      <c r="R2157" s="46">
        <f>P2157*O2157*M2157*N2157*H2157</f>
        <v/>
      </c>
      <c r="S2157" s="46">
        <f>R2157*INDEX(FmtCansPerCase,MATCH(F2157,FmtName,0))</f>
        <v/>
      </c>
      <c r="T2157" s="46">
        <f>S2157/INDEX(FmtCansPerPack,MATCH(F2157,FmtName,0))</f>
        <v/>
      </c>
      <c r="U2157" s="47">
        <f>INDEX(ChBaseCP,MATCH(E2157,ChName,0))*(1+INDEX(ProvMod,MATCH(G2157,ProvCode,0)))*(1+PriceIndex)</f>
        <v/>
      </c>
      <c r="V2157" s="47">
        <f>R2157*U2157*INDEX(FmtBlendedPriceIdx,MATCH(F2157,FmtName,0))</f>
        <v/>
      </c>
      <c r="W2157" s="47">
        <f>T2157*INDEX(ProvSRP,MATCH(G2157,ProvCode,0))*(1+PriceIndex)</f>
        <v/>
      </c>
      <c r="X2157" s="47">
        <f>IF(GrossBasis="Wholesale",V2157,W2157)</f>
        <v/>
      </c>
      <c r="Y2157" s="47">
        <f>R2157*INDEX(FmtBlendedCogs,MATCH(F2157,FmtName,0))</f>
        <v/>
      </c>
      <c r="Z2157" s="47">
        <f>X2157-Y2157</f>
        <v/>
      </c>
    </row>
    <row r="2158">
      <c r="A2158" t="n">
        <v>37</v>
      </c>
      <c r="B2158" s="44">
        <f>FiscalStart+(A2158-1)*7</f>
        <v/>
      </c>
      <c r="C2158">
        <f>TEXT(B2158,"mmm yyyy")</f>
        <v/>
      </c>
      <c r="D2158">
        <f>"Q"&amp;(INT((A2158-1)/13)+1)</f>
        <v/>
      </c>
      <c r="E2158" t="inlineStr">
        <is>
          <t>FDM</t>
        </is>
      </c>
      <c r="F2158">
        <f>IFERROR(INDEX(ChFormat,MATCH(E2158,ChName,0)),"")</f>
        <v/>
      </c>
      <c r="G2158" t="inlineStr">
        <is>
          <t>BC</t>
        </is>
      </c>
      <c r="H2158">
        <f>IF(A2158&lt;=NWeeks,1,0)</f>
        <v/>
      </c>
      <c r="I2158">
        <f>INDEX(ChLaunch,MATCH(E2158,ChName,0))</f>
        <v/>
      </c>
      <c r="J2158">
        <f>INDEX(ChWeeksFull,MATCH(E2158,ChName,0))</f>
        <v/>
      </c>
      <c r="K2158">
        <f>INDEX(ChRamp,MATCH(E2158,ChName,0))</f>
        <v/>
      </c>
      <c r="L2158" s="45">
        <f>MIN(1,MAX(0,(A2158-I2158+1)*RampSpeed/J2158))</f>
        <v/>
      </c>
      <c r="M2158" s="45">
        <f>IF(A2158&lt;I2158,0,IF(K2158="S-curve",L2158*L2158*(3-2*L2158),L2158))</f>
        <v/>
      </c>
      <c r="N2158" s="45">
        <f>1+(INDEX(SeasonIdx,A2158)-1)*SeasonAmp</f>
        <v/>
      </c>
      <c r="O2158" s="45">
        <f>IFERROR(INDEX(PSPct,MATCH(E2158&amp;"|"&amp;G2158,PSKey,0)),0)</f>
        <v/>
      </c>
      <c r="P2158" s="46">
        <f>INDEX(ChDoorVel,MATCH(E2158,ChName,0))*CalibScalar*(1+VelocityUplift)</f>
        <v/>
      </c>
      <c r="Q2158" s="46" t="n">
        <v>0</v>
      </c>
      <c r="R2158" s="46">
        <f>P2158*O2158*M2158*N2158*H2158</f>
        <v/>
      </c>
      <c r="S2158" s="46">
        <f>R2158*INDEX(FmtCansPerCase,MATCH(F2158,FmtName,0))</f>
        <v/>
      </c>
      <c r="T2158" s="46">
        <f>S2158/INDEX(FmtCansPerPack,MATCH(F2158,FmtName,0))</f>
        <v/>
      </c>
      <c r="U2158" s="47">
        <f>INDEX(ChBaseCP,MATCH(E2158,ChName,0))*(1+INDEX(ProvMod,MATCH(G2158,ProvCode,0)))*(1+PriceIndex)</f>
        <v/>
      </c>
      <c r="V2158" s="47">
        <f>R2158*U2158*INDEX(FmtBlendedPriceIdx,MATCH(F2158,FmtName,0))</f>
        <v/>
      </c>
      <c r="W2158" s="47">
        <f>T2158*INDEX(ProvSRP,MATCH(G2158,ProvCode,0))*(1+PriceIndex)</f>
        <v/>
      </c>
      <c r="X2158" s="47">
        <f>IF(GrossBasis="Wholesale",V2158,W2158)</f>
        <v/>
      </c>
      <c r="Y2158" s="47">
        <f>R2158*INDEX(FmtBlendedCogs,MATCH(F2158,FmtName,0))</f>
        <v/>
      </c>
      <c r="Z2158" s="47">
        <f>X2158-Y2158</f>
        <v/>
      </c>
    </row>
    <row r="2159">
      <c r="A2159" t="n">
        <v>38</v>
      </c>
      <c r="B2159" s="44">
        <f>FiscalStart+(A2159-1)*7</f>
        <v/>
      </c>
      <c r="C2159">
        <f>TEXT(B2159,"mmm yyyy")</f>
        <v/>
      </c>
      <c r="D2159">
        <f>"Q"&amp;(INT((A2159-1)/13)+1)</f>
        <v/>
      </c>
      <c r="E2159" t="inlineStr">
        <is>
          <t>FDM</t>
        </is>
      </c>
      <c r="F2159">
        <f>IFERROR(INDEX(ChFormat,MATCH(E2159,ChName,0)),"")</f>
        <v/>
      </c>
      <c r="G2159" t="inlineStr">
        <is>
          <t>BC</t>
        </is>
      </c>
      <c r="H2159">
        <f>IF(A2159&lt;=NWeeks,1,0)</f>
        <v/>
      </c>
      <c r="I2159">
        <f>INDEX(ChLaunch,MATCH(E2159,ChName,0))</f>
        <v/>
      </c>
      <c r="J2159">
        <f>INDEX(ChWeeksFull,MATCH(E2159,ChName,0))</f>
        <v/>
      </c>
      <c r="K2159">
        <f>INDEX(ChRamp,MATCH(E2159,ChName,0))</f>
        <v/>
      </c>
      <c r="L2159" s="45">
        <f>MIN(1,MAX(0,(A2159-I2159+1)*RampSpeed/J2159))</f>
        <v/>
      </c>
      <c r="M2159" s="45">
        <f>IF(A2159&lt;I2159,0,IF(K2159="S-curve",L2159*L2159*(3-2*L2159),L2159))</f>
        <v/>
      </c>
      <c r="N2159" s="45">
        <f>1+(INDEX(SeasonIdx,A2159)-1)*SeasonAmp</f>
        <v/>
      </c>
      <c r="O2159" s="45">
        <f>IFERROR(INDEX(PSPct,MATCH(E2159&amp;"|"&amp;G2159,PSKey,0)),0)</f>
        <v/>
      </c>
      <c r="P2159" s="46">
        <f>INDEX(ChDoorVel,MATCH(E2159,ChName,0))*CalibScalar*(1+VelocityUplift)</f>
        <v/>
      </c>
      <c r="Q2159" s="46" t="n">
        <v>0</v>
      </c>
      <c r="R2159" s="46">
        <f>P2159*O2159*M2159*N2159*H2159</f>
        <v/>
      </c>
      <c r="S2159" s="46">
        <f>R2159*INDEX(FmtCansPerCase,MATCH(F2159,FmtName,0))</f>
        <v/>
      </c>
      <c r="T2159" s="46">
        <f>S2159/INDEX(FmtCansPerPack,MATCH(F2159,FmtName,0))</f>
        <v/>
      </c>
      <c r="U2159" s="47">
        <f>INDEX(ChBaseCP,MATCH(E2159,ChName,0))*(1+INDEX(ProvMod,MATCH(G2159,ProvCode,0)))*(1+PriceIndex)</f>
        <v/>
      </c>
      <c r="V2159" s="47">
        <f>R2159*U2159*INDEX(FmtBlendedPriceIdx,MATCH(F2159,FmtName,0))</f>
        <v/>
      </c>
      <c r="W2159" s="47">
        <f>T2159*INDEX(ProvSRP,MATCH(G2159,ProvCode,0))*(1+PriceIndex)</f>
        <v/>
      </c>
      <c r="X2159" s="47">
        <f>IF(GrossBasis="Wholesale",V2159,W2159)</f>
        <v/>
      </c>
      <c r="Y2159" s="47">
        <f>R2159*INDEX(FmtBlendedCogs,MATCH(F2159,FmtName,0))</f>
        <v/>
      </c>
      <c r="Z2159" s="47">
        <f>X2159-Y2159</f>
        <v/>
      </c>
    </row>
    <row r="2160">
      <c r="A2160" t="n">
        <v>39</v>
      </c>
      <c r="B2160" s="44">
        <f>FiscalStart+(A2160-1)*7</f>
        <v/>
      </c>
      <c r="C2160">
        <f>TEXT(B2160,"mmm yyyy")</f>
        <v/>
      </c>
      <c r="D2160">
        <f>"Q"&amp;(INT((A2160-1)/13)+1)</f>
        <v/>
      </c>
      <c r="E2160" t="inlineStr">
        <is>
          <t>FDM</t>
        </is>
      </c>
      <c r="F2160">
        <f>IFERROR(INDEX(ChFormat,MATCH(E2160,ChName,0)),"")</f>
        <v/>
      </c>
      <c r="G2160" t="inlineStr">
        <is>
          <t>BC</t>
        </is>
      </c>
      <c r="H2160">
        <f>IF(A2160&lt;=NWeeks,1,0)</f>
        <v/>
      </c>
      <c r="I2160">
        <f>INDEX(ChLaunch,MATCH(E2160,ChName,0))</f>
        <v/>
      </c>
      <c r="J2160">
        <f>INDEX(ChWeeksFull,MATCH(E2160,ChName,0))</f>
        <v/>
      </c>
      <c r="K2160">
        <f>INDEX(ChRamp,MATCH(E2160,ChName,0))</f>
        <v/>
      </c>
      <c r="L2160" s="45">
        <f>MIN(1,MAX(0,(A2160-I2160+1)*RampSpeed/J2160))</f>
        <v/>
      </c>
      <c r="M2160" s="45">
        <f>IF(A2160&lt;I2160,0,IF(K2160="S-curve",L2160*L2160*(3-2*L2160),L2160))</f>
        <v/>
      </c>
      <c r="N2160" s="45">
        <f>1+(INDEX(SeasonIdx,A2160)-1)*SeasonAmp</f>
        <v/>
      </c>
      <c r="O2160" s="45">
        <f>IFERROR(INDEX(PSPct,MATCH(E2160&amp;"|"&amp;G2160,PSKey,0)),0)</f>
        <v/>
      </c>
      <c r="P2160" s="46">
        <f>INDEX(ChDoorVel,MATCH(E2160,ChName,0))*CalibScalar*(1+VelocityUplift)</f>
        <v/>
      </c>
      <c r="Q2160" s="46" t="n">
        <v>0</v>
      </c>
      <c r="R2160" s="46">
        <f>P2160*O2160*M2160*N2160*H2160</f>
        <v/>
      </c>
      <c r="S2160" s="46">
        <f>R2160*INDEX(FmtCansPerCase,MATCH(F2160,FmtName,0))</f>
        <v/>
      </c>
      <c r="T2160" s="46">
        <f>S2160/INDEX(FmtCansPerPack,MATCH(F2160,FmtName,0))</f>
        <v/>
      </c>
      <c r="U2160" s="47">
        <f>INDEX(ChBaseCP,MATCH(E2160,ChName,0))*(1+INDEX(ProvMod,MATCH(G2160,ProvCode,0)))*(1+PriceIndex)</f>
        <v/>
      </c>
      <c r="V2160" s="47">
        <f>R2160*U2160*INDEX(FmtBlendedPriceIdx,MATCH(F2160,FmtName,0))</f>
        <v/>
      </c>
      <c r="W2160" s="47">
        <f>T2160*INDEX(ProvSRP,MATCH(G2160,ProvCode,0))*(1+PriceIndex)</f>
        <v/>
      </c>
      <c r="X2160" s="47">
        <f>IF(GrossBasis="Wholesale",V2160,W2160)</f>
        <v/>
      </c>
      <c r="Y2160" s="47">
        <f>R2160*INDEX(FmtBlendedCogs,MATCH(F2160,FmtName,0))</f>
        <v/>
      </c>
      <c r="Z2160" s="47">
        <f>X2160-Y2160</f>
        <v/>
      </c>
    </row>
    <row r="2161">
      <c r="A2161" t="n">
        <v>40</v>
      </c>
      <c r="B2161" s="44">
        <f>FiscalStart+(A2161-1)*7</f>
        <v/>
      </c>
      <c r="C2161">
        <f>TEXT(B2161,"mmm yyyy")</f>
        <v/>
      </c>
      <c r="D2161">
        <f>"Q"&amp;(INT((A2161-1)/13)+1)</f>
        <v/>
      </c>
      <c r="E2161" t="inlineStr">
        <is>
          <t>FDM</t>
        </is>
      </c>
      <c r="F2161">
        <f>IFERROR(INDEX(ChFormat,MATCH(E2161,ChName,0)),"")</f>
        <v/>
      </c>
      <c r="G2161" t="inlineStr">
        <is>
          <t>BC</t>
        </is>
      </c>
      <c r="H2161">
        <f>IF(A2161&lt;=NWeeks,1,0)</f>
        <v/>
      </c>
      <c r="I2161">
        <f>INDEX(ChLaunch,MATCH(E2161,ChName,0))</f>
        <v/>
      </c>
      <c r="J2161">
        <f>INDEX(ChWeeksFull,MATCH(E2161,ChName,0))</f>
        <v/>
      </c>
      <c r="K2161">
        <f>INDEX(ChRamp,MATCH(E2161,ChName,0))</f>
        <v/>
      </c>
      <c r="L2161" s="45">
        <f>MIN(1,MAX(0,(A2161-I2161+1)*RampSpeed/J2161))</f>
        <v/>
      </c>
      <c r="M2161" s="45">
        <f>IF(A2161&lt;I2161,0,IF(K2161="S-curve",L2161*L2161*(3-2*L2161),L2161))</f>
        <v/>
      </c>
      <c r="N2161" s="45">
        <f>1+(INDEX(SeasonIdx,A2161)-1)*SeasonAmp</f>
        <v/>
      </c>
      <c r="O2161" s="45">
        <f>IFERROR(INDEX(PSPct,MATCH(E2161&amp;"|"&amp;G2161,PSKey,0)),0)</f>
        <v/>
      </c>
      <c r="P2161" s="46">
        <f>INDEX(ChDoorVel,MATCH(E2161,ChName,0))*CalibScalar*(1+VelocityUplift)</f>
        <v/>
      </c>
      <c r="Q2161" s="46" t="n">
        <v>0</v>
      </c>
      <c r="R2161" s="46">
        <f>P2161*O2161*M2161*N2161*H2161</f>
        <v/>
      </c>
      <c r="S2161" s="46">
        <f>R2161*INDEX(FmtCansPerCase,MATCH(F2161,FmtName,0))</f>
        <v/>
      </c>
      <c r="T2161" s="46">
        <f>S2161/INDEX(FmtCansPerPack,MATCH(F2161,FmtName,0))</f>
        <v/>
      </c>
      <c r="U2161" s="47">
        <f>INDEX(ChBaseCP,MATCH(E2161,ChName,0))*(1+INDEX(ProvMod,MATCH(G2161,ProvCode,0)))*(1+PriceIndex)</f>
        <v/>
      </c>
      <c r="V2161" s="47">
        <f>R2161*U2161*INDEX(FmtBlendedPriceIdx,MATCH(F2161,FmtName,0))</f>
        <v/>
      </c>
      <c r="W2161" s="47">
        <f>T2161*INDEX(ProvSRP,MATCH(G2161,ProvCode,0))*(1+PriceIndex)</f>
        <v/>
      </c>
      <c r="X2161" s="47">
        <f>IF(GrossBasis="Wholesale",V2161,W2161)</f>
        <v/>
      </c>
      <c r="Y2161" s="47">
        <f>R2161*INDEX(FmtBlendedCogs,MATCH(F2161,FmtName,0))</f>
        <v/>
      </c>
      <c r="Z2161" s="47">
        <f>X2161-Y2161</f>
        <v/>
      </c>
    </row>
    <row r="2162">
      <c r="A2162" t="n">
        <v>41</v>
      </c>
      <c r="B2162" s="44">
        <f>FiscalStart+(A2162-1)*7</f>
        <v/>
      </c>
      <c r="C2162">
        <f>TEXT(B2162,"mmm yyyy")</f>
        <v/>
      </c>
      <c r="D2162">
        <f>"Q"&amp;(INT((A2162-1)/13)+1)</f>
        <v/>
      </c>
      <c r="E2162" t="inlineStr">
        <is>
          <t>FDM</t>
        </is>
      </c>
      <c r="F2162">
        <f>IFERROR(INDEX(ChFormat,MATCH(E2162,ChName,0)),"")</f>
        <v/>
      </c>
      <c r="G2162" t="inlineStr">
        <is>
          <t>BC</t>
        </is>
      </c>
      <c r="H2162">
        <f>IF(A2162&lt;=NWeeks,1,0)</f>
        <v/>
      </c>
      <c r="I2162">
        <f>INDEX(ChLaunch,MATCH(E2162,ChName,0))</f>
        <v/>
      </c>
      <c r="J2162">
        <f>INDEX(ChWeeksFull,MATCH(E2162,ChName,0))</f>
        <v/>
      </c>
      <c r="K2162">
        <f>INDEX(ChRamp,MATCH(E2162,ChName,0))</f>
        <v/>
      </c>
      <c r="L2162" s="45">
        <f>MIN(1,MAX(0,(A2162-I2162+1)*RampSpeed/J2162))</f>
        <v/>
      </c>
      <c r="M2162" s="45">
        <f>IF(A2162&lt;I2162,0,IF(K2162="S-curve",L2162*L2162*(3-2*L2162),L2162))</f>
        <v/>
      </c>
      <c r="N2162" s="45">
        <f>1+(INDEX(SeasonIdx,A2162)-1)*SeasonAmp</f>
        <v/>
      </c>
      <c r="O2162" s="45">
        <f>IFERROR(INDEX(PSPct,MATCH(E2162&amp;"|"&amp;G2162,PSKey,0)),0)</f>
        <v/>
      </c>
      <c r="P2162" s="46">
        <f>INDEX(ChDoorVel,MATCH(E2162,ChName,0))*CalibScalar*(1+VelocityUplift)</f>
        <v/>
      </c>
      <c r="Q2162" s="46" t="n">
        <v>0</v>
      </c>
      <c r="R2162" s="46">
        <f>P2162*O2162*M2162*N2162*H2162</f>
        <v/>
      </c>
      <c r="S2162" s="46">
        <f>R2162*INDEX(FmtCansPerCase,MATCH(F2162,FmtName,0))</f>
        <v/>
      </c>
      <c r="T2162" s="46">
        <f>S2162/INDEX(FmtCansPerPack,MATCH(F2162,FmtName,0))</f>
        <v/>
      </c>
      <c r="U2162" s="47">
        <f>INDEX(ChBaseCP,MATCH(E2162,ChName,0))*(1+INDEX(ProvMod,MATCH(G2162,ProvCode,0)))*(1+PriceIndex)</f>
        <v/>
      </c>
      <c r="V2162" s="47">
        <f>R2162*U2162*INDEX(FmtBlendedPriceIdx,MATCH(F2162,FmtName,0))</f>
        <v/>
      </c>
      <c r="W2162" s="47">
        <f>T2162*INDEX(ProvSRP,MATCH(G2162,ProvCode,0))*(1+PriceIndex)</f>
        <v/>
      </c>
      <c r="X2162" s="47">
        <f>IF(GrossBasis="Wholesale",V2162,W2162)</f>
        <v/>
      </c>
      <c r="Y2162" s="47">
        <f>R2162*INDEX(FmtBlendedCogs,MATCH(F2162,FmtName,0))</f>
        <v/>
      </c>
      <c r="Z2162" s="47">
        <f>X2162-Y2162</f>
        <v/>
      </c>
    </row>
    <row r="2163">
      <c r="A2163" t="n">
        <v>42</v>
      </c>
      <c r="B2163" s="44">
        <f>FiscalStart+(A2163-1)*7</f>
        <v/>
      </c>
      <c r="C2163">
        <f>TEXT(B2163,"mmm yyyy")</f>
        <v/>
      </c>
      <c r="D2163">
        <f>"Q"&amp;(INT((A2163-1)/13)+1)</f>
        <v/>
      </c>
      <c r="E2163" t="inlineStr">
        <is>
          <t>FDM</t>
        </is>
      </c>
      <c r="F2163">
        <f>IFERROR(INDEX(ChFormat,MATCH(E2163,ChName,0)),"")</f>
        <v/>
      </c>
      <c r="G2163" t="inlineStr">
        <is>
          <t>BC</t>
        </is>
      </c>
      <c r="H2163">
        <f>IF(A2163&lt;=NWeeks,1,0)</f>
        <v/>
      </c>
      <c r="I2163">
        <f>INDEX(ChLaunch,MATCH(E2163,ChName,0))</f>
        <v/>
      </c>
      <c r="J2163">
        <f>INDEX(ChWeeksFull,MATCH(E2163,ChName,0))</f>
        <v/>
      </c>
      <c r="K2163">
        <f>INDEX(ChRamp,MATCH(E2163,ChName,0))</f>
        <v/>
      </c>
      <c r="L2163" s="45">
        <f>MIN(1,MAX(0,(A2163-I2163+1)*RampSpeed/J2163))</f>
        <v/>
      </c>
      <c r="M2163" s="45">
        <f>IF(A2163&lt;I2163,0,IF(K2163="S-curve",L2163*L2163*(3-2*L2163),L2163))</f>
        <v/>
      </c>
      <c r="N2163" s="45">
        <f>1+(INDEX(SeasonIdx,A2163)-1)*SeasonAmp</f>
        <v/>
      </c>
      <c r="O2163" s="45">
        <f>IFERROR(INDEX(PSPct,MATCH(E2163&amp;"|"&amp;G2163,PSKey,0)),0)</f>
        <v/>
      </c>
      <c r="P2163" s="46">
        <f>INDEX(ChDoorVel,MATCH(E2163,ChName,0))*CalibScalar*(1+VelocityUplift)</f>
        <v/>
      </c>
      <c r="Q2163" s="46" t="n">
        <v>0</v>
      </c>
      <c r="R2163" s="46">
        <f>P2163*O2163*M2163*N2163*H2163</f>
        <v/>
      </c>
      <c r="S2163" s="46">
        <f>R2163*INDEX(FmtCansPerCase,MATCH(F2163,FmtName,0))</f>
        <v/>
      </c>
      <c r="T2163" s="46">
        <f>S2163/INDEX(FmtCansPerPack,MATCH(F2163,FmtName,0))</f>
        <v/>
      </c>
      <c r="U2163" s="47">
        <f>INDEX(ChBaseCP,MATCH(E2163,ChName,0))*(1+INDEX(ProvMod,MATCH(G2163,ProvCode,0)))*(1+PriceIndex)</f>
        <v/>
      </c>
      <c r="V2163" s="47">
        <f>R2163*U2163*INDEX(FmtBlendedPriceIdx,MATCH(F2163,FmtName,0))</f>
        <v/>
      </c>
      <c r="W2163" s="47">
        <f>T2163*INDEX(ProvSRP,MATCH(G2163,ProvCode,0))*(1+PriceIndex)</f>
        <v/>
      </c>
      <c r="X2163" s="47">
        <f>IF(GrossBasis="Wholesale",V2163,W2163)</f>
        <v/>
      </c>
      <c r="Y2163" s="47">
        <f>R2163*INDEX(FmtBlendedCogs,MATCH(F2163,FmtName,0))</f>
        <v/>
      </c>
      <c r="Z2163" s="47">
        <f>X2163-Y2163</f>
        <v/>
      </c>
    </row>
    <row r="2164">
      <c r="A2164" t="n">
        <v>43</v>
      </c>
      <c r="B2164" s="44">
        <f>FiscalStart+(A2164-1)*7</f>
        <v/>
      </c>
      <c r="C2164">
        <f>TEXT(B2164,"mmm yyyy")</f>
        <v/>
      </c>
      <c r="D2164">
        <f>"Q"&amp;(INT((A2164-1)/13)+1)</f>
        <v/>
      </c>
      <c r="E2164" t="inlineStr">
        <is>
          <t>FDM</t>
        </is>
      </c>
      <c r="F2164">
        <f>IFERROR(INDEX(ChFormat,MATCH(E2164,ChName,0)),"")</f>
        <v/>
      </c>
      <c r="G2164" t="inlineStr">
        <is>
          <t>BC</t>
        </is>
      </c>
      <c r="H2164">
        <f>IF(A2164&lt;=NWeeks,1,0)</f>
        <v/>
      </c>
      <c r="I2164">
        <f>INDEX(ChLaunch,MATCH(E2164,ChName,0))</f>
        <v/>
      </c>
      <c r="J2164">
        <f>INDEX(ChWeeksFull,MATCH(E2164,ChName,0))</f>
        <v/>
      </c>
      <c r="K2164">
        <f>INDEX(ChRamp,MATCH(E2164,ChName,0))</f>
        <v/>
      </c>
      <c r="L2164" s="45">
        <f>MIN(1,MAX(0,(A2164-I2164+1)*RampSpeed/J2164))</f>
        <v/>
      </c>
      <c r="M2164" s="45">
        <f>IF(A2164&lt;I2164,0,IF(K2164="S-curve",L2164*L2164*(3-2*L2164),L2164))</f>
        <v/>
      </c>
      <c r="N2164" s="45">
        <f>1+(INDEX(SeasonIdx,A2164)-1)*SeasonAmp</f>
        <v/>
      </c>
      <c r="O2164" s="45">
        <f>IFERROR(INDEX(PSPct,MATCH(E2164&amp;"|"&amp;G2164,PSKey,0)),0)</f>
        <v/>
      </c>
      <c r="P2164" s="46">
        <f>INDEX(ChDoorVel,MATCH(E2164,ChName,0))*CalibScalar*(1+VelocityUplift)</f>
        <v/>
      </c>
      <c r="Q2164" s="46" t="n">
        <v>0</v>
      </c>
      <c r="R2164" s="46">
        <f>P2164*O2164*M2164*N2164*H2164</f>
        <v/>
      </c>
      <c r="S2164" s="46">
        <f>R2164*INDEX(FmtCansPerCase,MATCH(F2164,FmtName,0))</f>
        <v/>
      </c>
      <c r="T2164" s="46">
        <f>S2164/INDEX(FmtCansPerPack,MATCH(F2164,FmtName,0))</f>
        <v/>
      </c>
      <c r="U2164" s="47">
        <f>INDEX(ChBaseCP,MATCH(E2164,ChName,0))*(1+INDEX(ProvMod,MATCH(G2164,ProvCode,0)))*(1+PriceIndex)</f>
        <v/>
      </c>
      <c r="V2164" s="47">
        <f>R2164*U2164*INDEX(FmtBlendedPriceIdx,MATCH(F2164,FmtName,0))</f>
        <v/>
      </c>
      <c r="W2164" s="47">
        <f>T2164*INDEX(ProvSRP,MATCH(G2164,ProvCode,0))*(1+PriceIndex)</f>
        <v/>
      </c>
      <c r="X2164" s="47">
        <f>IF(GrossBasis="Wholesale",V2164,W2164)</f>
        <v/>
      </c>
      <c r="Y2164" s="47">
        <f>R2164*INDEX(FmtBlendedCogs,MATCH(F2164,FmtName,0))</f>
        <v/>
      </c>
      <c r="Z2164" s="47">
        <f>X2164-Y2164</f>
        <v/>
      </c>
    </row>
    <row r="2165">
      <c r="A2165" t="n">
        <v>44</v>
      </c>
      <c r="B2165" s="44">
        <f>FiscalStart+(A2165-1)*7</f>
        <v/>
      </c>
      <c r="C2165">
        <f>TEXT(B2165,"mmm yyyy")</f>
        <v/>
      </c>
      <c r="D2165">
        <f>"Q"&amp;(INT((A2165-1)/13)+1)</f>
        <v/>
      </c>
      <c r="E2165" t="inlineStr">
        <is>
          <t>FDM</t>
        </is>
      </c>
      <c r="F2165">
        <f>IFERROR(INDEX(ChFormat,MATCH(E2165,ChName,0)),"")</f>
        <v/>
      </c>
      <c r="G2165" t="inlineStr">
        <is>
          <t>BC</t>
        </is>
      </c>
      <c r="H2165">
        <f>IF(A2165&lt;=NWeeks,1,0)</f>
        <v/>
      </c>
      <c r="I2165">
        <f>INDEX(ChLaunch,MATCH(E2165,ChName,0))</f>
        <v/>
      </c>
      <c r="J2165">
        <f>INDEX(ChWeeksFull,MATCH(E2165,ChName,0))</f>
        <v/>
      </c>
      <c r="K2165">
        <f>INDEX(ChRamp,MATCH(E2165,ChName,0))</f>
        <v/>
      </c>
      <c r="L2165" s="45">
        <f>MIN(1,MAX(0,(A2165-I2165+1)*RampSpeed/J2165))</f>
        <v/>
      </c>
      <c r="M2165" s="45">
        <f>IF(A2165&lt;I2165,0,IF(K2165="S-curve",L2165*L2165*(3-2*L2165),L2165))</f>
        <v/>
      </c>
      <c r="N2165" s="45">
        <f>1+(INDEX(SeasonIdx,A2165)-1)*SeasonAmp</f>
        <v/>
      </c>
      <c r="O2165" s="45">
        <f>IFERROR(INDEX(PSPct,MATCH(E2165&amp;"|"&amp;G2165,PSKey,0)),0)</f>
        <v/>
      </c>
      <c r="P2165" s="46">
        <f>INDEX(ChDoorVel,MATCH(E2165,ChName,0))*CalibScalar*(1+VelocityUplift)</f>
        <v/>
      </c>
      <c r="Q2165" s="46" t="n">
        <v>0</v>
      </c>
      <c r="R2165" s="46">
        <f>P2165*O2165*M2165*N2165*H2165</f>
        <v/>
      </c>
      <c r="S2165" s="46">
        <f>R2165*INDEX(FmtCansPerCase,MATCH(F2165,FmtName,0))</f>
        <v/>
      </c>
      <c r="T2165" s="46">
        <f>S2165/INDEX(FmtCansPerPack,MATCH(F2165,FmtName,0))</f>
        <v/>
      </c>
      <c r="U2165" s="47">
        <f>INDEX(ChBaseCP,MATCH(E2165,ChName,0))*(1+INDEX(ProvMod,MATCH(G2165,ProvCode,0)))*(1+PriceIndex)</f>
        <v/>
      </c>
      <c r="V2165" s="47">
        <f>R2165*U2165*INDEX(FmtBlendedPriceIdx,MATCH(F2165,FmtName,0))</f>
        <v/>
      </c>
      <c r="W2165" s="47">
        <f>T2165*INDEX(ProvSRP,MATCH(G2165,ProvCode,0))*(1+PriceIndex)</f>
        <v/>
      </c>
      <c r="X2165" s="47">
        <f>IF(GrossBasis="Wholesale",V2165,W2165)</f>
        <v/>
      </c>
      <c r="Y2165" s="47">
        <f>R2165*INDEX(FmtBlendedCogs,MATCH(F2165,FmtName,0))</f>
        <v/>
      </c>
      <c r="Z2165" s="47">
        <f>X2165-Y2165</f>
        <v/>
      </c>
    </row>
    <row r="2166">
      <c r="A2166" t="n">
        <v>45</v>
      </c>
      <c r="B2166" s="44">
        <f>FiscalStart+(A2166-1)*7</f>
        <v/>
      </c>
      <c r="C2166">
        <f>TEXT(B2166,"mmm yyyy")</f>
        <v/>
      </c>
      <c r="D2166">
        <f>"Q"&amp;(INT((A2166-1)/13)+1)</f>
        <v/>
      </c>
      <c r="E2166" t="inlineStr">
        <is>
          <t>FDM</t>
        </is>
      </c>
      <c r="F2166">
        <f>IFERROR(INDEX(ChFormat,MATCH(E2166,ChName,0)),"")</f>
        <v/>
      </c>
      <c r="G2166" t="inlineStr">
        <is>
          <t>BC</t>
        </is>
      </c>
      <c r="H2166">
        <f>IF(A2166&lt;=NWeeks,1,0)</f>
        <v/>
      </c>
      <c r="I2166">
        <f>INDEX(ChLaunch,MATCH(E2166,ChName,0))</f>
        <v/>
      </c>
      <c r="J2166">
        <f>INDEX(ChWeeksFull,MATCH(E2166,ChName,0))</f>
        <v/>
      </c>
      <c r="K2166">
        <f>INDEX(ChRamp,MATCH(E2166,ChName,0))</f>
        <v/>
      </c>
      <c r="L2166" s="45">
        <f>MIN(1,MAX(0,(A2166-I2166+1)*RampSpeed/J2166))</f>
        <v/>
      </c>
      <c r="M2166" s="45">
        <f>IF(A2166&lt;I2166,0,IF(K2166="S-curve",L2166*L2166*(3-2*L2166),L2166))</f>
        <v/>
      </c>
      <c r="N2166" s="45">
        <f>1+(INDEX(SeasonIdx,A2166)-1)*SeasonAmp</f>
        <v/>
      </c>
      <c r="O2166" s="45">
        <f>IFERROR(INDEX(PSPct,MATCH(E2166&amp;"|"&amp;G2166,PSKey,0)),0)</f>
        <v/>
      </c>
      <c r="P2166" s="46">
        <f>INDEX(ChDoorVel,MATCH(E2166,ChName,0))*CalibScalar*(1+VelocityUplift)</f>
        <v/>
      </c>
      <c r="Q2166" s="46" t="n">
        <v>0</v>
      </c>
      <c r="R2166" s="46">
        <f>P2166*O2166*M2166*N2166*H2166</f>
        <v/>
      </c>
      <c r="S2166" s="46">
        <f>R2166*INDEX(FmtCansPerCase,MATCH(F2166,FmtName,0))</f>
        <v/>
      </c>
      <c r="T2166" s="46">
        <f>S2166/INDEX(FmtCansPerPack,MATCH(F2166,FmtName,0))</f>
        <v/>
      </c>
      <c r="U2166" s="47">
        <f>INDEX(ChBaseCP,MATCH(E2166,ChName,0))*(1+INDEX(ProvMod,MATCH(G2166,ProvCode,0)))*(1+PriceIndex)</f>
        <v/>
      </c>
      <c r="V2166" s="47">
        <f>R2166*U2166*INDEX(FmtBlendedPriceIdx,MATCH(F2166,FmtName,0))</f>
        <v/>
      </c>
      <c r="W2166" s="47">
        <f>T2166*INDEX(ProvSRP,MATCH(G2166,ProvCode,0))*(1+PriceIndex)</f>
        <v/>
      </c>
      <c r="X2166" s="47">
        <f>IF(GrossBasis="Wholesale",V2166,W2166)</f>
        <v/>
      </c>
      <c r="Y2166" s="47">
        <f>R2166*INDEX(FmtBlendedCogs,MATCH(F2166,FmtName,0))</f>
        <v/>
      </c>
      <c r="Z2166" s="47">
        <f>X2166-Y2166</f>
        <v/>
      </c>
    </row>
    <row r="2167">
      <c r="A2167" t="n">
        <v>46</v>
      </c>
      <c r="B2167" s="44">
        <f>FiscalStart+(A2167-1)*7</f>
        <v/>
      </c>
      <c r="C2167">
        <f>TEXT(B2167,"mmm yyyy")</f>
        <v/>
      </c>
      <c r="D2167">
        <f>"Q"&amp;(INT((A2167-1)/13)+1)</f>
        <v/>
      </c>
      <c r="E2167" t="inlineStr">
        <is>
          <t>FDM</t>
        </is>
      </c>
      <c r="F2167">
        <f>IFERROR(INDEX(ChFormat,MATCH(E2167,ChName,0)),"")</f>
        <v/>
      </c>
      <c r="G2167" t="inlineStr">
        <is>
          <t>BC</t>
        </is>
      </c>
      <c r="H2167">
        <f>IF(A2167&lt;=NWeeks,1,0)</f>
        <v/>
      </c>
      <c r="I2167">
        <f>INDEX(ChLaunch,MATCH(E2167,ChName,0))</f>
        <v/>
      </c>
      <c r="J2167">
        <f>INDEX(ChWeeksFull,MATCH(E2167,ChName,0))</f>
        <v/>
      </c>
      <c r="K2167">
        <f>INDEX(ChRamp,MATCH(E2167,ChName,0))</f>
        <v/>
      </c>
      <c r="L2167" s="45">
        <f>MIN(1,MAX(0,(A2167-I2167+1)*RampSpeed/J2167))</f>
        <v/>
      </c>
      <c r="M2167" s="45">
        <f>IF(A2167&lt;I2167,0,IF(K2167="S-curve",L2167*L2167*(3-2*L2167),L2167))</f>
        <v/>
      </c>
      <c r="N2167" s="45">
        <f>1+(INDEX(SeasonIdx,A2167)-1)*SeasonAmp</f>
        <v/>
      </c>
      <c r="O2167" s="45">
        <f>IFERROR(INDEX(PSPct,MATCH(E2167&amp;"|"&amp;G2167,PSKey,0)),0)</f>
        <v/>
      </c>
      <c r="P2167" s="46">
        <f>INDEX(ChDoorVel,MATCH(E2167,ChName,0))*CalibScalar*(1+VelocityUplift)</f>
        <v/>
      </c>
      <c r="Q2167" s="46" t="n">
        <v>0</v>
      </c>
      <c r="R2167" s="46">
        <f>P2167*O2167*M2167*N2167*H2167</f>
        <v/>
      </c>
      <c r="S2167" s="46">
        <f>R2167*INDEX(FmtCansPerCase,MATCH(F2167,FmtName,0))</f>
        <v/>
      </c>
      <c r="T2167" s="46">
        <f>S2167/INDEX(FmtCansPerPack,MATCH(F2167,FmtName,0))</f>
        <v/>
      </c>
      <c r="U2167" s="47">
        <f>INDEX(ChBaseCP,MATCH(E2167,ChName,0))*(1+INDEX(ProvMod,MATCH(G2167,ProvCode,0)))*(1+PriceIndex)</f>
        <v/>
      </c>
      <c r="V2167" s="47">
        <f>R2167*U2167*INDEX(FmtBlendedPriceIdx,MATCH(F2167,FmtName,0))</f>
        <v/>
      </c>
      <c r="W2167" s="47">
        <f>T2167*INDEX(ProvSRP,MATCH(G2167,ProvCode,0))*(1+PriceIndex)</f>
        <v/>
      </c>
      <c r="X2167" s="47">
        <f>IF(GrossBasis="Wholesale",V2167,W2167)</f>
        <v/>
      </c>
      <c r="Y2167" s="47">
        <f>R2167*INDEX(FmtBlendedCogs,MATCH(F2167,FmtName,0))</f>
        <v/>
      </c>
      <c r="Z2167" s="47">
        <f>X2167-Y2167</f>
        <v/>
      </c>
    </row>
    <row r="2168">
      <c r="A2168" t="n">
        <v>47</v>
      </c>
      <c r="B2168" s="44">
        <f>FiscalStart+(A2168-1)*7</f>
        <v/>
      </c>
      <c r="C2168">
        <f>TEXT(B2168,"mmm yyyy")</f>
        <v/>
      </c>
      <c r="D2168">
        <f>"Q"&amp;(INT((A2168-1)/13)+1)</f>
        <v/>
      </c>
      <c r="E2168" t="inlineStr">
        <is>
          <t>FDM</t>
        </is>
      </c>
      <c r="F2168">
        <f>IFERROR(INDEX(ChFormat,MATCH(E2168,ChName,0)),"")</f>
        <v/>
      </c>
      <c r="G2168" t="inlineStr">
        <is>
          <t>BC</t>
        </is>
      </c>
      <c r="H2168">
        <f>IF(A2168&lt;=NWeeks,1,0)</f>
        <v/>
      </c>
      <c r="I2168">
        <f>INDEX(ChLaunch,MATCH(E2168,ChName,0))</f>
        <v/>
      </c>
      <c r="J2168">
        <f>INDEX(ChWeeksFull,MATCH(E2168,ChName,0))</f>
        <v/>
      </c>
      <c r="K2168">
        <f>INDEX(ChRamp,MATCH(E2168,ChName,0))</f>
        <v/>
      </c>
      <c r="L2168" s="45">
        <f>MIN(1,MAX(0,(A2168-I2168+1)*RampSpeed/J2168))</f>
        <v/>
      </c>
      <c r="M2168" s="45">
        <f>IF(A2168&lt;I2168,0,IF(K2168="S-curve",L2168*L2168*(3-2*L2168),L2168))</f>
        <v/>
      </c>
      <c r="N2168" s="45">
        <f>1+(INDEX(SeasonIdx,A2168)-1)*SeasonAmp</f>
        <v/>
      </c>
      <c r="O2168" s="45">
        <f>IFERROR(INDEX(PSPct,MATCH(E2168&amp;"|"&amp;G2168,PSKey,0)),0)</f>
        <v/>
      </c>
      <c r="P2168" s="46">
        <f>INDEX(ChDoorVel,MATCH(E2168,ChName,0))*CalibScalar*(1+VelocityUplift)</f>
        <v/>
      </c>
      <c r="Q2168" s="46" t="n">
        <v>0</v>
      </c>
      <c r="R2168" s="46">
        <f>P2168*O2168*M2168*N2168*H2168</f>
        <v/>
      </c>
      <c r="S2168" s="46">
        <f>R2168*INDEX(FmtCansPerCase,MATCH(F2168,FmtName,0))</f>
        <v/>
      </c>
      <c r="T2168" s="46">
        <f>S2168/INDEX(FmtCansPerPack,MATCH(F2168,FmtName,0))</f>
        <v/>
      </c>
      <c r="U2168" s="47">
        <f>INDEX(ChBaseCP,MATCH(E2168,ChName,0))*(1+INDEX(ProvMod,MATCH(G2168,ProvCode,0)))*(1+PriceIndex)</f>
        <v/>
      </c>
      <c r="V2168" s="47">
        <f>R2168*U2168*INDEX(FmtBlendedPriceIdx,MATCH(F2168,FmtName,0))</f>
        <v/>
      </c>
      <c r="W2168" s="47">
        <f>T2168*INDEX(ProvSRP,MATCH(G2168,ProvCode,0))*(1+PriceIndex)</f>
        <v/>
      </c>
      <c r="X2168" s="47">
        <f>IF(GrossBasis="Wholesale",V2168,W2168)</f>
        <v/>
      </c>
      <c r="Y2168" s="47">
        <f>R2168*INDEX(FmtBlendedCogs,MATCH(F2168,FmtName,0))</f>
        <v/>
      </c>
      <c r="Z2168" s="47">
        <f>X2168-Y2168</f>
        <v/>
      </c>
    </row>
    <row r="2169">
      <c r="A2169" t="n">
        <v>48</v>
      </c>
      <c r="B2169" s="44">
        <f>FiscalStart+(A2169-1)*7</f>
        <v/>
      </c>
      <c r="C2169">
        <f>TEXT(B2169,"mmm yyyy")</f>
        <v/>
      </c>
      <c r="D2169">
        <f>"Q"&amp;(INT((A2169-1)/13)+1)</f>
        <v/>
      </c>
      <c r="E2169" t="inlineStr">
        <is>
          <t>FDM</t>
        </is>
      </c>
      <c r="F2169">
        <f>IFERROR(INDEX(ChFormat,MATCH(E2169,ChName,0)),"")</f>
        <v/>
      </c>
      <c r="G2169" t="inlineStr">
        <is>
          <t>BC</t>
        </is>
      </c>
      <c r="H2169">
        <f>IF(A2169&lt;=NWeeks,1,0)</f>
        <v/>
      </c>
      <c r="I2169">
        <f>INDEX(ChLaunch,MATCH(E2169,ChName,0))</f>
        <v/>
      </c>
      <c r="J2169">
        <f>INDEX(ChWeeksFull,MATCH(E2169,ChName,0))</f>
        <v/>
      </c>
      <c r="K2169">
        <f>INDEX(ChRamp,MATCH(E2169,ChName,0))</f>
        <v/>
      </c>
      <c r="L2169" s="45">
        <f>MIN(1,MAX(0,(A2169-I2169+1)*RampSpeed/J2169))</f>
        <v/>
      </c>
      <c r="M2169" s="45">
        <f>IF(A2169&lt;I2169,0,IF(K2169="S-curve",L2169*L2169*(3-2*L2169),L2169))</f>
        <v/>
      </c>
      <c r="N2169" s="45">
        <f>1+(INDEX(SeasonIdx,A2169)-1)*SeasonAmp</f>
        <v/>
      </c>
      <c r="O2169" s="45">
        <f>IFERROR(INDEX(PSPct,MATCH(E2169&amp;"|"&amp;G2169,PSKey,0)),0)</f>
        <v/>
      </c>
      <c r="P2169" s="46">
        <f>INDEX(ChDoorVel,MATCH(E2169,ChName,0))*CalibScalar*(1+VelocityUplift)</f>
        <v/>
      </c>
      <c r="Q2169" s="46" t="n">
        <v>0</v>
      </c>
      <c r="R2169" s="46">
        <f>P2169*O2169*M2169*N2169*H2169</f>
        <v/>
      </c>
      <c r="S2169" s="46">
        <f>R2169*INDEX(FmtCansPerCase,MATCH(F2169,FmtName,0))</f>
        <v/>
      </c>
      <c r="T2169" s="46">
        <f>S2169/INDEX(FmtCansPerPack,MATCH(F2169,FmtName,0))</f>
        <v/>
      </c>
      <c r="U2169" s="47">
        <f>INDEX(ChBaseCP,MATCH(E2169,ChName,0))*(1+INDEX(ProvMod,MATCH(G2169,ProvCode,0)))*(1+PriceIndex)</f>
        <v/>
      </c>
      <c r="V2169" s="47">
        <f>R2169*U2169*INDEX(FmtBlendedPriceIdx,MATCH(F2169,FmtName,0))</f>
        <v/>
      </c>
      <c r="W2169" s="47">
        <f>T2169*INDEX(ProvSRP,MATCH(G2169,ProvCode,0))*(1+PriceIndex)</f>
        <v/>
      </c>
      <c r="X2169" s="47">
        <f>IF(GrossBasis="Wholesale",V2169,W2169)</f>
        <v/>
      </c>
      <c r="Y2169" s="47">
        <f>R2169*INDEX(FmtBlendedCogs,MATCH(F2169,FmtName,0))</f>
        <v/>
      </c>
      <c r="Z2169" s="47">
        <f>X2169-Y2169</f>
        <v/>
      </c>
    </row>
    <row r="2170">
      <c r="A2170" t="n">
        <v>49</v>
      </c>
      <c r="B2170" s="44">
        <f>FiscalStart+(A2170-1)*7</f>
        <v/>
      </c>
      <c r="C2170">
        <f>TEXT(B2170,"mmm yyyy")</f>
        <v/>
      </c>
      <c r="D2170">
        <f>"Q"&amp;(INT((A2170-1)/13)+1)</f>
        <v/>
      </c>
      <c r="E2170" t="inlineStr">
        <is>
          <t>FDM</t>
        </is>
      </c>
      <c r="F2170">
        <f>IFERROR(INDEX(ChFormat,MATCH(E2170,ChName,0)),"")</f>
        <v/>
      </c>
      <c r="G2170" t="inlineStr">
        <is>
          <t>BC</t>
        </is>
      </c>
      <c r="H2170">
        <f>IF(A2170&lt;=NWeeks,1,0)</f>
        <v/>
      </c>
      <c r="I2170">
        <f>INDEX(ChLaunch,MATCH(E2170,ChName,0))</f>
        <v/>
      </c>
      <c r="J2170">
        <f>INDEX(ChWeeksFull,MATCH(E2170,ChName,0))</f>
        <v/>
      </c>
      <c r="K2170">
        <f>INDEX(ChRamp,MATCH(E2170,ChName,0))</f>
        <v/>
      </c>
      <c r="L2170" s="45">
        <f>MIN(1,MAX(0,(A2170-I2170+1)*RampSpeed/J2170))</f>
        <v/>
      </c>
      <c r="M2170" s="45">
        <f>IF(A2170&lt;I2170,0,IF(K2170="S-curve",L2170*L2170*(3-2*L2170),L2170))</f>
        <v/>
      </c>
      <c r="N2170" s="45">
        <f>1+(INDEX(SeasonIdx,A2170)-1)*SeasonAmp</f>
        <v/>
      </c>
      <c r="O2170" s="45">
        <f>IFERROR(INDEX(PSPct,MATCH(E2170&amp;"|"&amp;G2170,PSKey,0)),0)</f>
        <v/>
      </c>
      <c r="P2170" s="46">
        <f>INDEX(ChDoorVel,MATCH(E2170,ChName,0))*CalibScalar*(1+VelocityUplift)</f>
        <v/>
      </c>
      <c r="Q2170" s="46" t="n">
        <v>0</v>
      </c>
      <c r="R2170" s="46">
        <f>P2170*O2170*M2170*N2170*H2170</f>
        <v/>
      </c>
      <c r="S2170" s="46">
        <f>R2170*INDEX(FmtCansPerCase,MATCH(F2170,FmtName,0))</f>
        <v/>
      </c>
      <c r="T2170" s="46">
        <f>S2170/INDEX(FmtCansPerPack,MATCH(F2170,FmtName,0))</f>
        <v/>
      </c>
      <c r="U2170" s="47">
        <f>INDEX(ChBaseCP,MATCH(E2170,ChName,0))*(1+INDEX(ProvMod,MATCH(G2170,ProvCode,0)))*(1+PriceIndex)</f>
        <v/>
      </c>
      <c r="V2170" s="47">
        <f>R2170*U2170*INDEX(FmtBlendedPriceIdx,MATCH(F2170,FmtName,0))</f>
        <v/>
      </c>
      <c r="W2170" s="47">
        <f>T2170*INDEX(ProvSRP,MATCH(G2170,ProvCode,0))*(1+PriceIndex)</f>
        <v/>
      </c>
      <c r="X2170" s="47">
        <f>IF(GrossBasis="Wholesale",V2170,W2170)</f>
        <v/>
      </c>
      <c r="Y2170" s="47">
        <f>R2170*INDEX(FmtBlendedCogs,MATCH(F2170,FmtName,0))</f>
        <v/>
      </c>
      <c r="Z2170" s="47">
        <f>X2170-Y2170</f>
        <v/>
      </c>
    </row>
    <row r="2171">
      <c r="A2171" t="n">
        <v>50</v>
      </c>
      <c r="B2171" s="44">
        <f>FiscalStart+(A2171-1)*7</f>
        <v/>
      </c>
      <c r="C2171">
        <f>TEXT(B2171,"mmm yyyy")</f>
        <v/>
      </c>
      <c r="D2171">
        <f>"Q"&amp;(INT((A2171-1)/13)+1)</f>
        <v/>
      </c>
      <c r="E2171" t="inlineStr">
        <is>
          <t>FDM</t>
        </is>
      </c>
      <c r="F2171">
        <f>IFERROR(INDEX(ChFormat,MATCH(E2171,ChName,0)),"")</f>
        <v/>
      </c>
      <c r="G2171" t="inlineStr">
        <is>
          <t>BC</t>
        </is>
      </c>
      <c r="H2171">
        <f>IF(A2171&lt;=NWeeks,1,0)</f>
        <v/>
      </c>
      <c r="I2171">
        <f>INDEX(ChLaunch,MATCH(E2171,ChName,0))</f>
        <v/>
      </c>
      <c r="J2171">
        <f>INDEX(ChWeeksFull,MATCH(E2171,ChName,0))</f>
        <v/>
      </c>
      <c r="K2171">
        <f>INDEX(ChRamp,MATCH(E2171,ChName,0))</f>
        <v/>
      </c>
      <c r="L2171" s="45">
        <f>MIN(1,MAX(0,(A2171-I2171+1)*RampSpeed/J2171))</f>
        <v/>
      </c>
      <c r="M2171" s="45">
        <f>IF(A2171&lt;I2171,0,IF(K2171="S-curve",L2171*L2171*(3-2*L2171),L2171))</f>
        <v/>
      </c>
      <c r="N2171" s="45">
        <f>1+(INDEX(SeasonIdx,A2171)-1)*SeasonAmp</f>
        <v/>
      </c>
      <c r="O2171" s="45">
        <f>IFERROR(INDEX(PSPct,MATCH(E2171&amp;"|"&amp;G2171,PSKey,0)),0)</f>
        <v/>
      </c>
      <c r="P2171" s="46">
        <f>INDEX(ChDoorVel,MATCH(E2171,ChName,0))*CalibScalar*(1+VelocityUplift)</f>
        <v/>
      </c>
      <c r="Q2171" s="46" t="n">
        <v>0</v>
      </c>
      <c r="R2171" s="46">
        <f>P2171*O2171*M2171*N2171*H2171</f>
        <v/>
      </c>
      <c r="S2171" s="46">
        <f>R2171*INDEX(FmtCansPerCase,MATCH(F2171,FmtName,0))</f>
        <v/>
      </c>
      <c r="T2171" s="46">
        <f>S2171/INDEX(FmtCansPerPack,MATCH(F2171,FmtName,0))</f>
        <v/>
      </c>
      <c r="U2171" s="47">
        <f>INDEX(ChBaseCP,MATCH(E2171,ChName,0))*(1+INDEX(ProvMod,MATCH(G2171,ProvCode,0)))*(1+PriceIndex)</f>
        <v/>
      </c>
      <c r="V2171" s="47">
        <f>R2171*U2171*INDEX(FmtBlendedPriceIdx,MATCH(F2171,FmtName,0))</f>
        <v/>
      </c>
      <c r="W2171" s="47">
        <f>T2171*INDEX(ProvSRP,MATCH(G2171,ProvCode,0))*(1+PriceIndex)</f>
        <v/>
      </c>
      <c r="X2171" s="47">
        <f>IF(GrossBasis="Wholesale",V2171,W2171)</f>
        <v/>
      </c>
      <c r="Y2171" s="47">
        <f>R2171*INDEX(FmtBlendedCogs,MATCH(F2171,FmtName,0))</f>
        <v/>
      </c>
      <c r="Z2171" s="47">
        <f>X2171-Y2171</f>
        <v/>
      </c>
    </row>
    <row r="2172">
      <c r="A2172" t="n">
        <v>51</v>
      </c>
      <c r="B2172" s="44">
        <f>FiscalStart+(A2172-1)*7</f>
        <v/>
      </c>
      <c r="C2172">
        <f>TEXT(B2172,"mmm yyyy")</f>
        <v/>
      </c>
      <c r="D2172">
        <f>"Q"&amp;(INT((A2172-1)/13)+1)</f>
        <v/>
      </c>
      <c r="E2172" t="inlineStr">
        <is>
          <t>FDM</t>
        </is>
      </c>
      <c r="F2172">
        <f>IFERROR(INDEX(ChFormat,MATCH(E2172,ChName,0)),"")</f>
        <v/>
      </c>
      <c r="G2172" t="inlineStr">
        <is>
          <t>BC</t>
        </is>
      </c>
      <c r="H2172">
        <f>IF(A2172&lt;=NWeeks,1,0)</f>
        <v/>
      </c>
      <c r="I2172">
        <f>INDEX(ChLaunch,MATCH(E2172,ChName,0))</f>
        <v/>
      </c>
      <c r="J2172">
        <f>INDEX(ChWeeksFull,MATCH(E2172,ChName,0))</f>
        <v/>
      </c>
      <c r="K2172">
        <f>INDEX(ChRamp,MATCH(E2172,ChName,0))</f>
        <v/>
      </c>
      <c r="L2172" s="45">
        <f>MIN(1,MAX(0,(A2172-I2172+1)*RampSpeed/J2172))</f>
        <v/>
      </c>
      <c r="M2172" s="45">
        <f>IF(A2172&lt;I2172,0,IF(K2172="S-curve",L2172*L2172*(3-2*L2172),L2172))</f>
        <v/>
      </c>
      <c r="N2172" s="45">
        <f>1+(INDEX(SeasonIdx,A2172)-1)*SeasonAmp</f>
        <v/>
      </c>
      <c r="O2172" s="45">
        <f>IFERROR(INDEX(PSPct,MATCH(E2172&amp;"|"&amp;G2172,PSKey,0)),0)</f>
        <v/>
      </c>
      <c r="P2172" s="46">
        <f>INDEX(ChDoorVel,MATCH(E2172,ChName,0))*CalibScalar*(1+VelocityUplift)</f>
        <v/>
      </c>
      <c r="Q2172" s="46" t="n">
        <v>0</v>
      </c>
      <c r="R2172" s="46">
        <f>P2172*O2172*M2172*N2172*H2172</f>
        <v/>
      </c>
      <c r="S2172" s="46">
        <f>R2172*INDEX(FmtCansPerCase,MATCH(F2172,FmtName,0))</f>
        <v/>
      </c>
      <c r="T2172" s="46">
        <f>S2172/INDEX(FmtCansPerPack,MATCH(F2172,FmtName,0))</f>
        <v/>
      </c>
      <c r="U2172" s="47">
        <f>INDEX(ChBaseCP,MATCH(E2172,ChName,0))*(1+INDEX(ProvMod,MATCH(G2172,ProvCode,0)))*(1+PriceIndex)</f>
        <v/>
      </c>
      <c r="V2172" s="47">
        <f>R2172*U2172*INDEX(FmtBlendedPriceIdx,MATCH(F2172,FmtName,0))</f>
        <v/>
      </c>
      <c r="W2172" s="47">
        <f>T2172*INDEX(ProvSRP,MATCH(G2172,ProvCode,0))*(1+PriceIndex)</f>
        <v/>
      </c>
      <c r="X2172" s="47">
        <f>IF(GrossBasis="Wholesale",V2172,W2172)</f>
        <v/>
      </c>
      <c r="Y2172" s="47">
        <f>R2172*INDEX(FmtBlendedCogs,MATCH(F2172,FmtName,0))</f>
        <v/>
      </c>
      <c r="Z2172" s="47">
        <f>X2172-Y2172</f>
        <v/>
      </c>
    </row>
    <row r="2173">
      <c r="A2173" t="n">
        <v>52</v>
      </c>
      <c r="B2173" s="44">
        <f>FiscalStart+(A2173-1)*7</f>
        <v/>
      </c>
      <c r="C2173">
        <f>TEXT(B2173,"mmm yyyy")</f>
        <v/>
      </c>
      <c r="D2173">
        <f>"Q"&amp;(INT((A2173-1)/13)+1)</f>
        <v/>
      </c>
      <c r="E2173" t="inlineStr">
        <is>
          <t>FDM</t>
        </is>
      </c>
      <c r="F2173">
        <f>IFERROR(INDEX(ChFormat,MATCH(E2173,ChName,0)),"")</f>
        <v/>
      </c>
      <c r="G2173" t="inlineStr">
        <is>
          <t>BC</t>
        </is>
      </c>
      <c r="H2173">
        <f>IF(A2173&lt;=NWeeks,1,0)</f>
        <v/>
      </c>
      <c r="I2173">
        <f>INDEX(ChLaunch,MATCH(E2173,ChName,0))</f>
        <v/>
      </c>
      <c r="J2173">
        <f>INDEX(ChWeeksFull,MATCH(E2173,ChName,0))</f>
        <v/>
      </c>
      <c r="K2173">
        <f>INDEX(ChRamp,MATCH(E2173,ChName,0))</f>
        <v/>
      </c>
      <c r="L2173" s="45">
        <f>MIN(1,MAX(0,(A2173-I2173+1)*RampSpeed/J2173))</f>
        <v/>
      </c>
      <c r="M2173" s="45">
        <f>IF(A2173&lt;I2173,0,IF(K2173="S-curve",L2173*L2173*(3-2*L2173),L2173))</f>
        <v/>
      </c>
      <c r="N2173" s="45">
        <f>1+(INDEX(SeasonIdx,A2173)-1)*SeasonAmp</f>
        <v/>
      </c>
      <c r="O2173" s="45">
        <f>IFERROR(INDEX(PSPct,MATCH(E2173&amp;"|"&amp;G2173,PSKey,0)),0)</f>
        <v/>
      </c>
      <c r="P2173" s="46">
        <f>INDEX(ChDoorVel,MATCH(E2173,ChName,0))*CalibScalar*(1+VelocityUplift)</f>
        <v/>
      </c>
      <c r="Q2173" s="46" t="n">
        <v>0</v>
      </c>
      <c r="R2173" s="46">
        <f>P2173*O2173*M2173*N2173*H2173</f>
        <v/>
      </c>
      <c r="S2173" s="46">
        <f>R2173*INDEX(FmtCansPerCase,MATCH(F2173,FmtName,0))</f>
        <v/>
      </c>
      <c r="T2173" s="46">
        <f>S2173/INDEX(FmtCansPerPack,MATCH(F2173,FmtName,0))</f>
        <v/>
      </c>
      <c r="U2173" s="47">
        <f>INDEX(ChBaseCP,MATCH(E2173,ChName,0))*(1+INDEX(ProvMod,MATCH(G2173,ProvCode,0)))*(1+PriceIndex)</f>
        <v/>
      </c>
      <c r="V2173" s="47">
        <f>R2173*U2173*INDEX(FmtBlendedPriceIdx,MATCH(F2173,FmtName,0))</f>
        <v/>
      </c>
      <c r="W2173" s="47">
        <f>T2173*INDEX(ProvSRP,MATCH(G2173,ProvCode,0))*(1+PriceIndex)</f>
        <v/>
      </c>
      <c r="X2173" s="47">
        <f>IF(GrossBasis="Wholesale",V2173,W2173)</f>
        <v/>
      </c>
      <c r="Y2173" s="47">
        <f>R2173*INDEX(FmtBlendedCogs,MATCH(F2173,FmtName,0))</f>
        <v/>
      </c>
      <c r="Z2173" s="47">
        <f>X2173-Y2173</f>
        <v/>
      </c>
    </row>
    <row r="2174">
      <c r="A2174" t="n">
        <v>53</v>
      </c>
      <c r="B2174" s="44">
        <f>FiscalStart+(A2174-1)*7</f>
        <v/>
      </c>
      <c r="C2174">
        <f>TEXT(B2174,"mmm yyyy")</f>
        <v/>
      </c>
      <c r="D2174">
        <f>"Q"&amp;(INT((A2174-1)/13)+1)</f>
        <v/>
      </c>
      <c r="E2174" t="inlineStr">
        <is>
          <t>FDM</t>
        </is>
      </c>
      <c r="F2174">
        <f>IFERROR(INDEX(ChFormat,MATCH(E2174,ChName,0)),"")</f>
        <v/>
      </c>
      <c r="G2174" t="inlineStr">
        <is>
          <t>BC</t>
        </is>
      </c>
      <c r="H2174">
        <f>IF(A2174&lt;=NWeeks,1,0)</f>
        <v/>
      </c>
      <c r="I2174">
        <f>INDEX(ChLaunch,MATCH(E2174,ChName,0))</f>
        <v/>
      </c>
      <c r="J2174">
        <f>INDEX(ChWeeksFull,MATCH(E2174,ChName,0))</f>
        <v/>
      </c>
      <c r="K2174">
        <f>INDEX(ChRamp,MATCH(E2174,ChName,0))</f>
        <v/>
      </c>
      <c r="L2174" s="45">
        <f>MIN(1,MAX(0,(A2174-I2174+1)*RampSpeed/J2174))</f>
        <v/>
      </c>
      <c r="M2174" s="45">
        <f>IF(A2174&lt;I2174,0,IF(K2174="S-curve",L2174*L2174*(3-2*L2174),L2174))</f>
        <v/>
      </c>
      <c r="N2174" s="45">
        <f>1+(INDEX(SeasonIdx,A2174)-1)*SeasonAmp</f>
        <v/>
      </c>
      <c r="O2174" s="45">
        <f>IFERROR(INDEX(PSPct,MATCH(E2174&amp;"|"&amp;G2174,PSKey,0)),0)</f>
        <v/>
      </c>
      <c r="P2174" s="46">
        <f>INDEX(ChDoorVel,MATCH(E2174,ChName,0))*CalibScalar*(1+VelocityUplift)</f>
        <v/>
      </c>
      <c r="Q2174" s="46" t="n">
        <v>0</v>
      </c>
      <c r="R2174" s="46">
        <f>P2174*O2174*M2174*N2174*H2174</f>
        <v/>
      </c>
      <c r="S2174" s="46">
        <f>R2174*INDEX(FmtCansPerCase,MATCH(F2174,FmtName,0))</f>
        <v/>
      </c>
      <c r="T2174" s="46">
        <f>S2174/INDEX(FmtCansPerPack,MATCH(F2174,FmtName,0))</f>
        <v/>
      </c>
      <c r="U2174" s="47">
        <f>INDEX(ChBaseCP,MATCH(E2174,ChName,0))*(1+INDEX(ProvMod,MATCH(G2174,ProvCode,0)))*(1+PriceIndex)</f>
        <v/>
      </c>
      <c r="V2174" s="47">
        <f>R2174*U2174*INDEX(FmtBlendedPriceIdx,MATCH(F2174,FmtName,0))</f>
        <v/>
      </c>
      <c r="W2174" s="47">
        <f>T2174*INDEX(ProvSRP,MATCH(G2174,ProvCode,0))*(1+PriceIndex)</f>
        <v/>
      </c>
      <c r="X2174" s="47">
        <f>IF(GrossBasis="Wholesale",V2174,W2174)</f>
        <v/>
      </c>
      <c r="Y2174" s="47">
        <f>R2174*INDEX(FmtBlendedCogs,MATCH(F2174,FmtName,0))</f>
        <v/>
      </c>
      <c r="Z2174" s="47">
        <f>X2174-Y2174</f>
        <v/>
      </c>
    </row>
    <row r="2175">
      <c r="A2175" t="n">
        <v>1</v>
      </c>
      <c r="B2175" s="44">
        <f>FiscalStart+(A2175-1)*7</f>
        <v/>
      </c>
      <c r="C2175">
        <f>TEXT(B2175,"mmm yyyy")</f>
        <v/>
      </c>
      <c r="D2175">
        <f>"Q"&amp;(INT((A2175-1)/13)+1)</f>
        <v/>
      </c>
      <c r="E2175" t="inlineStr">
        <is>
          <t>FDM</t>
        </is>
      </c>
      <c r="F2175">
        <f>IFERROR(INDEX(ChFormat,MATCH(E2175,ChName,0)),"")</f>
        <v/>
      </c>
      <c r="G2175" t="inlineStr">
        <is>
          <t>AB</t>
        </is>
      </c>
      <c r="H2175">
        <f>IF(A2175&lt;=NWeeks,1,0)</f>
        <v/>
      </c>
      <c r="I2175">
        <f>INDEX(ChLaunch,MATCH(E2175,ChName,0))</f>
        <v/>
      </c>
      <c r="J2175">
        <f>INDEX(ChWeeksFull,MATCH(E2175,ChName,0))</f>
        <v/>
      </c>
      <c r="K2175">
        <f>INDEX(ChRamp,MATCH(E2175,ChName,0))</f>
        <v/>
      </c>
      <c r="L2175" s="45">
        <f>MIN(1,MAX(0,(A2175-I2175+1)*RampSpeed/J2175))</f>
        <v/>
      </c>
      <c r="M2175" s="45">
        <f>IF(A2175&lt;I2175,0,IF(K2175="S-curve",L2175*L2175*(3-2*L2175),L2175))</f>
        <v/>
      </c>
      <c r="N2175" s="45">
        <f>1+(INDEX(SeasonIdx,A2175)-1)*SeasonAmp</f>
        <v/>
      </c>
      <c r="O2175" s="45">
        <f>IFERROR(INDEX(PSPct,MATCH(E2175&amp;"|"&amp;G2175,PSKey,0)),0)</f>
        <v/>
      </c>
      <c r="P2175" s="46">
        <f>INDEX(ChDoorVel,MATCH(E2175,ChName,0))*CalibScalar*(1+VelocityUplift)</f>
        <v/>
      </c>
      <c r="Q2175" s="46" t="n">
        <v>0</v>
      </c>
      <c r="R2175" s="46">
        <f>P2175*O2175*M2175*N2175*H2175</f>
        <v/>
      </c>
      <c r="S2175" s="46">
        <f>R2175*INDEX(FmtCansPerCase,MATCH(F2175,FmtName,0))</f>
        <v/>
      </c>
      <c r="T2175" s="46">
        <f>S2175/INDEX(FmtCansPerPack,MATCH(F2175,FmtName,0))</f>
        <v/>
      </c>
      <c r="U2175" s="47">
        <f>INDEX(ChBaseCP,MATCH(E2175,ChName,0))*(1+INDEX(ProvMod,MATCH(G2175,ProvCode,0)))*(1+PriceIndex)</f>
        <v/>
      </c>
      <c r="V2175" s="47">
        <f>R2175*U2175*INDEX(FmtBlendedPriceIdx,MATCH(F2175,FmtName,0))</f>
        <v/>
      </c>
      <c r="W2175" s="47">
        <f>T2175*INDEX(ProvSRP,MATCH(G2175,ProvCode,0))*(1+PriceIndex)</f>
        <v/>
      </c>
      <c r="X2175" s="47">
        <f>IF(GrossBasis="Wholesale",V2175,W2175)</f>
        <v/>
      </c>
      <c r="Y2175" s="47">
        <f>R2175*INDEX(FmtBlendedCogs,MATCH(F2175,FmtName,0))</f>
        <v/>
      </c>
      <c r="Z2175" s="47">
        <f>X2175-Y2175</f>
        <v/>
      </c>
    </row>
    <row r="2176">
      <c r="A2176" t="n">
        <v>2</v>
      </c>
      <c r="B2176" s="44">
        <f>FiscalStart+(A2176-1)*7</f>
        <v/>
      </c>
      <c r="C2176">
        <f>TEXT(B2176,"mmm yyyy")</f>
        <v/>
      </c>
      <c r="D2176">
        <f>"Q"&amp;(INT((A2176-1)/13)+1)</f>
        <v/>
      </c>
      <c r="E2176" t="inlineStr">
        <is>
          <t>FDM</t>
        </is>
      </c>
      <c r="F2176">
        <f>IFERROR(INDEX(ChFormat,MATCH(E2176,ChName,0)),"")</f>
        <v/>
      </c>
      <c r="G2176" t="inlineStr">
        <is>
          <t>AB</t>
        </is>
      </c>
      <c r="H2176">
        <f>IF(A2176&lt;=NWeeks,1,0)</f>
        <v/>
      </c>
      <c r="I2176">
        <f>INDEX(ChLaunch,MATCH(E2176,ChName,0))</f>
        <v/>
      </c>
      <c r="J2176">
        <f>INDEX(ChWeeksFull,MATCH(E2176,ChName,0))</f>
        <v/>
      </c>
      <c r="K2176">
        <f>INDEX(ChRamp,MATCH(E2176,ChName,0))</f>
        <v/>
      </c>
      <c r="L2176" s="45">
        <f>MIN(1,MAX(0,(A2176-I2176+1)*RampSpeed/J2176))</f>
        <v/>
      </c>
      <c r="M2176" s="45">
        <f>IF(A2176&lt;I2176,0,IF(K2176="S-curve",L2176*L2176*(3-2*L2176),L2176))</f>
        <v/>
      </c>
      <c r="N2176" s="45">
        <f>1+(INDEX(SeasonIdx,A2176)-1)*SeasonAmp</f>
        <v/>
      </c>
      <c r="O2176" s="45">
        <f>IFERROR(INDEX(PSPct,MATCH(E2176&amp;"|"&amp;G2176,PSKey,0)),0)</f>
        <v/>
      </c>
      <c r="P2176" s="46">
        <f>INDEX(ChDoorVel,MATCH(E2176,ChName,0))*CalibScalar*(1+VelocityUplift)</f>
        <v/>
      </c>
      <c r="Q2176" s="46" t="n">
        <v>0</v>
      </c>
      <c r="R2176" s="46">
        <f>P2176*O2176*M2176*N2176*H2176</f>
        <v/>
      </c>
      <c r="S2176" s="46">
        <f>R2176*INDEX(FmtCansPerCase,MATCH(F2176,FmtName,0))</f>
        <v/>
      </c>
      <c r="T2176" s="46">
        <f>S2176/INDEX(FmtCansPerPack,MATCH(F2176,FmtName,0))</f>
        <v/>
      </c>
      <c r="U2176" s="47">
        <f>INDEX(ChBaseCP,MATCH(E2176,ChName,0))*(1+INDEX(ProvMod,MATCH(G2176,ProvCode,0)))*(1+PriceIndex)</f>
        <v/>
      </c>
      <c r="V2176" s="47">
        <f>R2176*U2176*INDEX(FmtBlendedPriceIdx,MATCH(F2176,FmtName,0))</f>
        <v/>
      </c>
      <c r="W2176" s="47">
        <f>T2176*INDEX(ProvSRP,MATCH(G2176,ProvCode,0))*(1+PriceIndex)</f>
        <v/>
      </c>
      <c r="X2176" s="47">
        <f>IF(GrossBasis="Wholesale",V2176,W2176)</f>
        <v/>
      </c>
      <c r="Y2176" s="47">
        <f>R2176*INDEX(FmtBlendedCogs,MATCH(F2176,FmtName,0))</f>
        <v/>
      </c>
      <c r="Z2176" s="47">
        <f>X2176-Y2176</f>
        <v/>
      </c>
    </row>
    <row r="2177">
      <c r="A2177" t="n">
        <v>3</v>
      </c>
      <c r="B2177" s="44">
        <f>FiscalStart+(A2177-1)*7</f>
        <v/>
      </c>
      <c r="C2177">
        <f>TEXT(B2177,"mmm yyyy")</f>
        <v/>
      </c>
      <c r="D2177">
        <f>"Q"&amp;(INT((A2177-1)/13)+1)</f>
        <v/>
      </c>
      <c r="E2177" t="inlineStr">
        <is>
          <t>FDM</t>
        </is>
      </c>
      <c r="F2177">
        <f>IFERROR(INDEX(ChFormat,MATCH(E2177,ChName,0)),"")</f>
        <v/>
      </c>
      <c r="G2177" t="inlineStr">
        <is>
          <t>AB</t>
        </is>
      </c>
      <c r="H2177">
        <f>IF(A2177&lt;=NWeeks,1,0)</f>
        <v/>
      </c>
      <c r="I2177">
        <f>INDEX(ChLaunch,MATCH(E2177,ChName,0))</f>
        <v/>
      </c>
      <c r="J2177">
        <f>INDEX(ChWeeksFull,MATCH(E2177,ChName,0))</f>
        <v/>
      </c>
      <c r="K2177">
        <f>INDEX(ChRamp,MATCH(E2177,ChName,0))</f>
        <v/>
      </c>
      <c r="L2177" s="45">
        <f>MIN(1,MAX(0,(A2177-I2177+1)*RampSpeed/J2177))</f>
        <v/>
      </c>
      <c r="M2177" s="45">
        <f>IF(A2177&lt;I2177,0,IF(K2177="S-curve",L2177*L2177*(3-2*L2177),L2177))</f>
        <v/>
      </c>
      <c r="N2177" s="45">
        <f>1+(INDEX(SeasonIdx,A2177)-1)*SeasonAmp</f>
        <v/>
      </c>
      <c r="O2177" s="45">
        <f>IFERROR(INDEX(PSPct,MATCH(E2177&amp;"|"&amp;G2177,PSKey,0)),0)</f>
        <v/>
      </c>
      <c r="P2177" s="46">
        <f>INDEX(ChDoorVel,MATCH(E2177,ChName,0))*CalibScalar*(1+VelocityUplift)</f>
        <v/>
      </c>
      <c r="Q2177" s="46" t="n">
        <v>0</v>
      </c>
      <c r="R2177" s="46">
        <f>P2177*O2177*M2177*N2177*H2177</f>
        <v/>
      </c>
      <c r="S2177" s="46">
        <f>R2177*INDEX(FmtCansPerCase,MATCH(F2177,FmtName,0))</f>
        <v/>
      </c>
      <c r="T2177" s="46">
        <f>S2177/INDEX(FmtCansPerPack,MATCH(F2177,FmtName,0))</f>
        <v/>
      </c>
      <c r="U2177" s="47">
        <f>INDEX(ChBaseCP,MATCH(E2177,ChName,0))*(1+INDEX(ProvMod,MATCH(G2177,ProvCode,0)))*(1+PriceIndex)</f>
        <v/>
      </c>
      <c r="V2177" s="47">
        <f>R2177*U2177*INDEX(FmtBlendedPriceIdx,MATCH(F2177,FmtName,0))</f>
        <v/>
      </c>
      <c r="W2177" s="47">
        <f>T2177*INDEX(ProvSRP,MATCH(G2177,ProvCode,0))*(1+PriceIndex)</f>
        <v/>
      </c>
      <c r="X2177" s="47">
        <f>IF(GrossBasis="Wholesale",V2177,W2177)</f>
        <v/>
      </c>
      <c r="Y2177" s="47">
        <f>R2177*INDEX(FmtBlendedCogs,MATCH(F2177,FmtName,0))</f>
        <v/>
      </c>
      <c r="Z2177" s="47">
        <f>X2177-Y2177</f>
        <v/>
      </c>
    </row>
    <row r="2178">
      <c r="A2178" t="n">
        <v>4</v>
      </c>
      <c r="B2178" s="44">
        <f>FiscalStart+(A2178-1)*7</f>
        <v/>
      </c>
      <c r="C2178">
        <f>TEXT(B2178,"mmm yyyy")</f>
        <v/>
      </c>
      <c r="D2178">
        <f>"Q"&amp;(INT((A2178-1)/13)+1)</f>
        <v/>
      </c>
      <c r="E2178" t="inlineStr">
        <is>
          <t>FDM</t>
        </is>
      </c>
      <c r="F2178">
        <f>IFERROR(INDEX(ChFormat,MATCH(E2178,ChName,0)),"")</f>
        <v/>
      </c>
      <c r="G2178" t="inlineStr">
        <is>
          <t>AB</t>
        </is>
      </c>
      <c r="H2178">
        <f>IF(A2178&lt;=NWeeks,1,0)</f>
        <v/>
      </c>
      <c r="I2178">
        <f>INDEX(ChLaunch,MATCH(E2178,ChName,0))</f>
        <v/>
      </c>
      <c r="J2178">
        <f>INDEX(ChWeeksFull,MATCH(E2178,ChName,0))</f>
        <v/>
      </c>
      <c r="K2178">
        <f>INDEX(ChRamp,MATCH(E2178,ChName,0))</f>
        <v/>
      </c>
      <c r="L2178" s="45">
        <f>MIN(1,MAX(0,(A2178-I2178+1)*RampSpeed/J2178))</f>
        <v/>
      </c>
      <c r="M2178" s="45">
        <f>IF(A2178&lt;I2178,0,IF(K2178="S-curve",L2178*L2178*(3-2*L2178),L2178))</f>
        <v/>
      </c>
      <c r="N2178" s="45">
        <f>1+(INDEX(SeasonIdx,A2178)-1)*SeasonAmp</f>
        <v/>
      </c>
      <c r="O2178" s="45">
        <f>IFERROR(INDEX(PSPct,MATCH(E2178&amp;"|"&amp;G2178,PSKey,0)),0)</f>
        <v/>
      </c>
      <c r="P2178" s="46">
        <f>INDEX(ChDoorVel,MATCH(E2178,ChName,0))*CalibScalar*(1+VelocityUplift)</f>
        <v/>
      </c>
      <c r="Q2178" s="46" t="n">
        <v>0</v>
      </c>
      <c r="R2178" s="46">
        <f>P2178*O2178*M2178*N2178*H2178</f>
        <v/>
      </c>
      <c r="S2178" s="46">
        <f>R2178*INDEX(FmtCansPerCase,MATCH(F2178,FmtName,0))</f>
        <v/>
      </c>
      <c r="T2178" s="46">
        <f>S2178/INDEX(FmtCansPerPack,MATCH(F2178,FmtName,0))</f>
        <v/>
      </c>
      <c r="U2178" s="47">
        <f>INDEX(ChBaseCP,MATCH(E2178,ChName,0))*(1+INDEX(ProvMod,MATCH(G2178,ProvCode,0)))*(1+PriceIndex)</f>
        <v/>
      </c>
      <c r="V2178" s="47">
        <f>R2178*U2178*INDEX(FmtBlendedPriceIdx,MATCH(F2178,FmtName,0))</f>
        <v/>
      </c>
      <c r="W2178" s="47">
        <f>T2178*INDEX(ProvSRP,MATCH(G2178,ProvCode,0))*(1+PriceIndex)</f>
        <v/>
      </c>
      <c r="X2178" s="47">
        <f>IF(GrossBasis="Wholesale",V2178,W2178)</f>
        <v/>
      </c>
      <c r="Y2178" s="47">
        <f>R2178*INDEX(FmtBlendedCogs,MATCH(F2178,FmtName,0))</f>
        <v/>
      </c>
      <c r="Z2178" s="47">
        <f>X2178-Y2178</f>
        <v/>
      </c>
    </row>
    <row r="2179">
      <c r="A2179" t="n">
        <v>5</v>
      </c>
      <c r="B2179" s="44">
        <f>FiscalStart+(A2179-1)*7</f>
        <v/>
      </c>
      <c r="C2179">
        <f>TEXT(B2179,"mmm yyyy")</f>
        <v/>
      </c>
      <c r="D2179">
        <f>"Q"&amp;(INT((A2179-1)/13)+1)</f>
        <v/>
      </c>
      <c r="E2179" t="inlineStr">
        <is>
          <t>FDM</t>
        </is>
      </c>
      <c r="F2179">
        <f>IFERROR(INDEX(ChFormat,MATCH(E2179,ChName,0)),"")</f>
        <v/>
      </c>
      <c r="G2179" t="inlineStr">
        <is>
          <t>AB</t>
        </is>
      </c>
      <c r="H2179">
        <f>IF(A2179&lt;=NWeeks,1,0)</f>
        <v/>
      </c>
      <c r="I2179">
        <f>INDEX(ChLaunch,MATCH(E2179,ChName,0))</f>
        <v/>
      </c>
      <c r="J2179">
        <f>INDEX(ChWeeksFull,MATCH(E2179,ChName,0))</f>
        <v/>
      </c>
      <c r="K2179">
        <f>INDEX(ChRamp,MATCH(E2179,ChName,0))</f>
        <v/>
      </c>
      <c r="L2179" s="45">
        <f>MIN(1,MAX(0,(A2179-I2179+1)*RampSpeed/J2179))</f>
        <v/>
      </c>
      <c r="M2179" s="45">
        <f>IF(A2179&lt;I2179,0,IF(K2179="S-curve",L2179*L2179*(3-2*L2179),L2179))</f>
        <v/>
      </c>
      <c r="N2179" s="45">
        <f>1+(INDEX(SeasonIdx,A2179)-1)*SeasonAmp</f>
        <v/>
      </c>
      <c r="O2179" s="45">
        <f>IFERROR(INDEX(PSPct,MATCH(E2179&amp;"|"&amp;G2179,PSKey,0)),0)</f>
        <v/>
      </c>
      <c r="P2179" s="46">
        <f>INDEX(ChDoorVel,MATCH(E2179,ChName,0))*CalibScalar*(1+VelocityUplift)</f>
        <v/>
      </c>
      <c r="Q2179" s="46" t="n">
        <v>0</v>
      </c>
      <c r="R2179" s="46">
        <f>P2179*O2179*M2179*N2179*H2179</f>
        <v/>
      </c>
      <c r="S2179" s="46">
        <f>R2179*INDEX(FmtCansPerCase,MATCH(F2179,FmtName,0))</f>
        <v/>
      </c>
      <c r="T2179" s="46">
        <f>S2179/INDEX(FmtCansPerPack,MATCH(F2179,FmtName,0))</f>
        <v/>
      </c>
      <c r="U2179" s="47">
        <f>INDEX(ChBaseCP,MATCH(E2179,ChName,0))*(1+INDEX(ProvMod,MATCH(G2179,ProvCode,0)))*(1+PriceIndex)</f>
        <v/>
      </c>
      <c r="V2179" s="47">
        <f>R2179*U2179*INDEX(FmtBlendedPriceIdx,MATCH(F2179,FmtName,0))</f>
        <v/>
      </c>
      <c r="W2179" s="47">
        <f>T2179*INDEX(ProvSRP,MATCH(G2179,ProvCode,0))*(1+PriceIndex)</f>
        <v/>
      </c>
      <c r="X2179" s="47">
        <f>IF(GrossBasis="Wholesale",V2179,W2179)</f>
        <v/>
      </c>
      <c r="Y2179" s="47">
        <f>R2179*INDEX(FmtBlendedCogs,MATCH(F2179,FmtName,0))</f>
        <v/>
      </c>
      <c r="Z2179" s="47">
        <f>X2179-Y2179</f>
        <v/>
      </c>
    </row>
    <row r="2180">
      <c r="A2180" t="n">
        <v>6</v>
      </c>
      <c r="B2180" s="44">
        <f>FiscalStart+(A2180-1)*7</f>
        <v/>
      </c>
      <c r="C2180">
        <f>TEXT(B2180,"mmm yyyy")</f>
        <v/>
      </c>
      <c r="D2180">
        <f>"Q"&amp;(INT((A2180-1)/13)+1)</f>
        <v/>
      </c>
      <c r="E2180" t="inlineStr">
        <is>
          <t>FDM</t>
        </is>
      </c>
      <c r="F2180">
        <f>IFERROR(INDEX(ChFormat,MATCH(E2180,ChName,0)),"")</f>
        <v/>
      </c>
      <c r="G2180" t="inlineStr">
        <is>
          <t>AB</t>
        </is>
      </c>
      <c r="H2180">
        <f>IF(A2180&lt;=NWeeks,1,0)</f>
        <v/>
      </c>
      <c r="I2180">
        <f>INDEX(ChLaunch,MATCH(E2180,ChName,0))</f>
        <v/>
      </c>
      <c r="J2180">
        <f>INDEX(ChWeeksFull,MATCH(E2180,ChName,0))</f>
        <v/>
      </c>
      <c r="K2180">
        <f>INDEX(ChRamp,MATCH(E2180,ChName,0))</f>
        <v/>
      </c>
      <c r="L2180" s="45">
        <f>MIN(1,MAX(0,(A2180-I2180+1)*RampSpeed/J2180))</f>
        <v/>
      </c>
      <c r="M2180" s="45">
        <f>IF(A2180&lt;I2180,0,IF(K2180="S-curve",L2180*L2180*(3-2*L2180),L2180))</f>
        <v/>
      </c>
      <c r="N2180" s="45">
        <f>1+(INDEX(SeasonIdx,A2180)-1)*SeasonAmp</f>
        <v/>
      </c>
      <c r="O2180" s="45">
        <f>IFERROR(INDEX(PSPct,MATCH(E2180&amp;"|"&amp;G2180,PSKey,0)),0)</f>
        <v/>
      </c>
      <c r="P2180" s="46">
        <f>INDEX(ChDoorVel,MATCH(E2180,ChName,0))*CalibScalar*(1+VelocityUplift)</f>
        <v/>
      </c>
      <c r="Q2180" s="46" t="n">
        <v>0</v>
      </c>
      <c r="R2180" s="46">
        <f>P2180*O2180*M2180*N2180*H2180</f>
        <v/>
      </c>
      <c r="S2180" s="46">
        <f>R2180*INDEX(FmtCansPerCase,MATCH(F2180,FmtName,0))</f>
        <v/>
      </c>
      <c r="T2180" s="46">
        <f>S2180/INDEX(FmtCansPerPack,MATCH(F2180,FmtName,0))</f>
        <v/>
      </c>
      <c r="U2180" s="47">
        <f>INDEX(ChBaseCP,MATCH(E2180,ChName,0))*(1+INDEX(ProvMod,MATCH(G2180,ProvCode,0)))*(1+PriceIndex)</f>
        <v/>
      </c>
      <c r="V2180" s="47">
        <f>R2180*U2180*INDEX(FmtBlendedPriceIdx,MATCH(F2180,FmtName,0))</f>
        <v/>
      </c>
      <c r="W2180" s="47">
        <f>T2180*INDEX(ProvSRP,MATCH(G2180,ProvCode,0))*(1+PriceIndex)</f>
        <v/>
      </c>
      <c r="X2180" s="47">
        <f>IF(GrossBasis="Wholesale",V2180,W2180)</f>
        <v/>
      </c>
      <c r="Y2180" s="47">
        <f>R2180*INDEX(FmtBlendedCogs,MATCH(F2180,FmtName,0))</f>
        <v/>
      </c>
      <c r="Z2180" s="47">
        <f>X2180-Y2180</f>
        <v/>
      </c>
    </row>
    <row r="2181">
      <c r="A2181" t="n">
        <v>7</v>
      </c>
      <c r="B2181" s="44">
        <f>FiscalStart+(A2181-1)*7</f>
        <v/>
      </c>
      <c r="C2181">
        <f>TEXT(B2181,"mmm yyyy")</f>
        <v/>
      </c>
      <c r="D2181">
        <f>"Q"&amp;(INT((A2181-1)/13)+1)</f>
        <v/>
      </c>
      <c r="E2181" t="inlineStr">
        <is>
          <t>FDM</t>
        </is>
      </c>
      <c r="F2181">
        <f>IFERROR(INDEX(ChFormat,MATCH(E2181,ChName,0)),"")</f>
        <v/>
      </c>
      <c r="G2181" t="inlineStr">
        <is>
          <t>AB</t>
        </is>
      </c>
      <c r="H2181">
        <f>IF(A2181&lt;=NWeeks,1,0)</f>
        <v/>
      </c>
      <c r="I2181">
        <f>INDEX(ChLaunch,MATCH(E2181,ChName,0))</f>
        <v/>
      </c>
      <c r="J2181">
        <f>INDEX(ChWeeksFull,MATCH(E2181,ChName,0))</f>
        <v/>
      </c>
      <c r="K2181">
        <f>INDEX(ChRamp,MATCH(E2181,ChName,0))</f>
        <v/>
      </c>
      <c r="L2181" s="45">
        <f>MIN(1,MAX(0,(A2181-I2181+1)*RampSpeed/J2181))</f>
        <v/>
      </c>
      <c r="M2181" s="45">
        <f>IF(A2181&lt;I2181,0,IF(K2181="S-curve",L2181*L2181*(3-2*L2181),L2181))</f>
        <v/>
      </c>
      <c r="N2181" s="45">
        <f>1+(INDEX(SeasonIdx,A2181)-1)*SeasonAmp</f>
        <v/>
      </c>
      <c r="O2181" s="45">
        <f>IFERROR(INDEX(PSPct,MATCH(E2181&amp;"|"&amp;G2181,PSKey,0)),0)</f>
        <v/>
      </c>
      <c r="P2181" s="46">
        <f>INDEX(ChDoorVel,MATCH(E2181,ChName,0))*CalibScalar*(1+VelocityUplift)</f>
        <v/>
      </c>
      <c r="Q2181" s="46" t="n">
        <v>0</v>
      </c>
      <c r="R2181" s="46">
        <f>P2181*O2181*M2181*N2181*H2181</f>
        <v/>
      </c>
      <c r="S2181" s="46">
        <f>R2181*INDEX(FmtCansPerCase,MATCH(F2181,FmtName,0))</f>
        <v/>
      </c>
      <c r="T2181" s="46">
        <f>S2181/INDEX(FmtCansPerPack,MATCH(F2181,FmtName,0))</f>
        <v/>
      </c>
      <c r="U2181" s="47">
        <f>INDEX(ChBaseCP,MATCH(E2181,ChName,0))*(1+INDEX(ProvMod,MATCH(G2181,ProvCode,0)))*(1+PriceIndex)</f>
        <v/>
      </c>
      <c r="V2181" s="47">
        <f>R2181*U2181*INDEX(FmtBlendedPriceIdx,MATCH(F2181,FmtName,0))</f>
        <v/>
      </c>
      <c r="W2181" s="47">
        <f>T2181*INDEX(ProvSRP,MATCH(G2181,ProvCode,0))*(1+PriceIndex)</f>
        <v/>
      </c>
      <c r="X2181" s="47">
        <f>IF(GrossBasis="Wholesale",V2181,W2181)</f>
        <v/>
      </c>
      <c r="Y2181" s="47">
        <f>R2181*INDEX(FmtBlendedCogs,MATCH(F2181,FmtName,0))</f>
        <v/>
      </c>
      <c r="Z2181" s="47">
        <f>X2181-Y2181</f>
        <v/>
      </c>
    </row>
    <row r="2182">
      <c r="A2182" t="n">
        <v>8</v>
      </c>
      <c r="B2182" s="44">
        <f>FiscalStart+(A2182-1)*7</f>
        <v/>
      </c>
      <c r="C2182">
        <f>TEXT(B2182,"mmm yyyy")</f>
        <v/>
      </c>
      <c r="D2182">
        <f>"Q"&amp;(INT((A2182-1)/13)+1)</f>
        <v/>
      </c>
      <c r="E2182" t="inlineStr">
        <is>
          <t>FDM</t>
        </is>
      </c>
      <c r="F2182">
        <f>IFERROR(INDEX(ChFormat,MATCH(E2182,ChName,0)),"")</f>
        <v/>
      </c>
      <c r="G2182" t="inlineStr">
        <is>
          <t>AB</t>
        </is>
      </c>
      <c r="H2182">
        <f>IF(A2182&lt;=NWeeks,1,0)</f>
        <v/>
      </c>
      <c r="I2182">
        <f>INDEX(ChLaunch,MATCH(E2182,ChName,0))</f>
        <v/>
      </c>
      <c r="J2182">
        <f>INDEX(ChWeeksFull,MATCH(E2182,ChName,0))</f>
        <v/>
      </c>
      <c r="K2182">
        <f>INDEX(ChRamp,MATCH(E2182,ChName,0))</f>
        <v/>
      </c>
      <c r="L2182" s="45">
        <f>MIN(1,MAX(0,(A2182-I2182+1)*RampSpeed/J2182))</f>
        <v/>
      </c>
      <c r="M2182" s="45">
        <f>IF(A2182&lt;I2182,0,IF(K2182="S-curve",L2182*L2182*(3-2*L2182),L2182))</f>
        <v/>
      </c>
      <c r="N2182" s="45">
        <f>1+(INDEX(SeasonIdx,A2182)-1)*SeasonAmp</f>
        <v/>
      </c>
      <c r="O2182" s="45">
        <f>IFERROR(INDEX(PSPct,MATCH(E2182&amp;"|"&amp;G2182,PSKey,0)),0)</f>
        <v/>
      </c>
      <c r="P2182" s="46">
        <f>INDEX(ChDoorVel,MATCH(E2182,ChName,0))*CalibScalar*(1+VelocityUplift)</f>
        <v/>
      </c>
      <c r="Q2182" s="46" t="n">
        <v>0</v>
      </c>
      <c r="R2182" s="46">
        <f>P2182*O2182*M2182*N2182*H2182</f>
        <v/>
      </c>
      <c r="S2182" s="46">
        <f>R2182*INDEX(FmtCansPerCase,MATCH(F2182,FmtName,0))</f>
        <v/>
      </c>
      <c r="T2182" s="46">
        <f>S2182/INDEX(FmtCansPerPack,MATCH(F2182,FmtName,0))</f>
        <v/>
      </c>
      <c r="U2182" s="47">
        <f>INDEX(ChBaseCP,MATCH(E2182,ChName,0))*(1+INDEX(ProvMod,MATCH(G2182,ProvCode,0)))*(1+PriceIndex)</f>
        <v/>
      </c>
      <c r="V2182" s="47">
        <f>R2182*U2182*INDEX(FmtBlendedPriceIdx,MATCH(F2182,FmtName,0))</f>
        <v/>
      </c>
      <c r="W2182" s="47">
        <f>T2182*INDEX(ProvSRP,MATCH(G2182,ProvCode,0))*(1+PriceIndex)</f>
        <v/>
      </c>
      <c r="X2182" s="47">
        <f>IF(GrossBasis="Wholesale",V2182,W2182)</f>
        <v/>
      </c>
      <c r="Y2182" s="47">
        <f>R2182*INDEX(FmtBlendedCogs,MATCH(F2182,FmtName,0))</f>
        <v/>
      </c>
      <c r="Z2182" s="47">
        <f>X2182-Y2182</f>
        <v/>
      </c>
    </row>
    <row r="2183">
      <c r="A2183" t="n">
        <v>9</v>
      </c>
      <c r="B2183" s="44">
        <f>FiscalStart+(A2183-1)*7</f>
        <v/>
      </c>
      <c r="C2183">
        <f>TEXT(B2183,"mmm yyyy")</f>
        <v/>
      </c>
      <c r="D2183">
        <f>"Q"&amp;(INT((A2183-1)/13)+1)</f>
        <v/>
      </c>
      <c r="E2183" t="inlineStr">
        <is>
          <t>FDM</t>
        </is>
      </c>
      <c r="F2183">
        <f>IFERROR(INDEX(ChFormat,MATCH(E2183,ChName,0)),"")</f>
        <v/>
      </c>
      <c r="G2183" t="inlineStr">
        <is>
          <t>AB</t>
        </is>
      </c>
      <c r="H2183">
        <f>IF(A2183&lt;=NWeeks,1,0)</f>
        <v/>
      </c>
      <c r="I2183">
        <f>INDEX(ChLaunch,MATCH(E2183,ChName,0))</f>
        <v/>
      </c>
      <c r="J2183">
        <f>INDEX(ChWeeksFull,MATCH(E2183,ChName,0))</f>
        <v/>
      </c>
      <c r="K2183">
        <f>INDEX(ChRamp,MATCH(E2183,ChName,0))</f>
        <v/>
      </c>
      <c r="L2183" s="45">
        <f>MIN(1,MAX(0,(A2183-I2183+1)*RampSpeed/J2183))</f>
        <v/>
      </c>
      <c r="M2183" s="45">
        <f>IF(A2183&lt;I2183,0,IF(K2183="S-curve",L2183*L2183*(3-2*L2183),L2183))</f>
        <v/>
      </c>
      <c r="N2183" s="45">
        <f>1+(INDEX(SeasonIdx,A2183)-1)*SeasonAmp</f>
        <v/>
      </c>
      <c r="O2183" s="45">
        <f>IFERROR(INDEX(PSPct,MATCH(E2183&amp;"|"&amp;G2183,PSKey,0)),0)</f>
        <v/>
      </c>
      <c r="P2183" s="46">
        <f>INDEX(ChDoorVel,MATCH(E2183,ChName,0))*CalibScalar*(1+VelocityUplift)</f>
        <v/>
      </c>
      <c r="Q2183" s="46" t="n">
        <v>0</v>
      </c>
      <c r="R2183" s="46">
        <f>P2183*O2183*M2183*N2183*H2183</f>
        <v/>
      </c>
      <c r="S2183" s="46">
        <f>R2183*INDEX(FmtCansPerCase,MATCH(F2183,FmtName,0))</f>
        <v/>
      </c>
      <c r="T2183" s="46">
        <f>S2183/INDEX(FmtCansPerPack,MATCH(F2183,FmtName,0))</f>
        <v/>
      </c>
      <c r="U2183" s="47">
        <f>INDEX(ChBaseCP,MATCH(E2183,ChName,0))*(1+INDEX(ProvMod,MATCH(G2183,ProvCode,0)))*(1+PriceIndex)</f>
        <v/>
      </c>
      <c r="V2183" s="47">
        <f>R2183*U2183*INDEX(FmtBlendedPriceIdx,MATCH(F2183,FmtName,0))</f>
        <v/>
      </c>
      <c r="W2183" s="47">
        <f>T2183*INDEX(ProvSRP,MATCH(G2183,ProvCode,0))*(1+PriceIndex)</f>
        <v/>
      </c>
      <c r="X2183" s="47">
        <f>IF(GrossBasis="Wholesale",V2183,W2183)</f>
        <v/>
      </c>
      <c r="Y2183" s="47">
        <f>R2183*INDEX(FmtBlendedCogs,MATCH(F2183,FmtName,0))</f>
        <v/>
      </c>
      <c r="Z2183" s="47">
        <f>X2183-Y2183</f>
        <v/>
      </c>
    </row>
    <row r="2184">
      <c r="A2184" t="n">
        <v>10</v>
      </c>
      <c r="B2184" s="44">
        <f>FiscalStart+(A2184-1)*7</f>
        <v/>
      </c>
      <c r="C2184">
        <f>TEXT(B2184,"mmm yyyy")</f>
        <v/>
      </c>
      <c r="D2184">
        <f>"Q"&amp;(INT((A2184-1)/13)+1)</f>
        <v/>
      </c>
      <c r="E2184" t="inlineStr">
        <is>
          <t>FDM</t>
        </is>
      </c>
      <c r="F2184">
        <f>IFERROR(INDEX(ChFormat,MATCH(E2184,ChName,0)),"")</f>
        <v/>
      </c>
      <c r="G2184" t="inlineStr">
        <is>
          <t>AB</t>
        </is>
      </c>
      <c r="H2184">
        <f>IF(A2184&lt;=NWeeks,1,0)</f>
        <v/>
      </c>
      <c r="I2184">
        <f>INDEX(ChLaunch,MATCH(E2184,ChName,0))</f>
        <v/>
      </c>
      <c r="J2184">
        <f>INDEX(ChWeeksFull,MATCH(E2184,ChName,0))</f>
        <v/>
      </c>
      <c r="K2184">
        <f>INDEX(ChRamp,MATCH(E2184,ChName,0))</f>
        <v/>
      </c>
      <c r="L2184" s="45">
        <f>MIN(1,MAX(0,(A2184-I2184+1)*RampSpeed/J2184))</f>
        <v/>
      </c>
      <c r="M2184" s="45">
        <f>IF(A2184&lt;I2184,0,IF(K2184="S-curve",L2184*L2184*(3-2*L2184),L2184))</f>
        <v/>
      </c>
      <c r="N2184" s="45">
        <f>1+(INDEX(SeasonIdx,A2184)-1)*SeasonAmp</f>
        <v/>
      </c>
      <c r="O2184" s="45">
        <f>IFERROR(INDEX(PSPct,MATCH(E2184&amp;"|"&amp;G2184,PSKey,0)),0)</f>
        <v/>
      </c>
      <c r="P2184" s="46">
        <f>INDEX(ChDoorVel,MATCH(E2184,ChName,0))*CalibScalar*(1+VelocityUplift)</f>
        <v/>
      </c>
      <c r="Q2184" s="46" t="n">
        <v>0</v>
      </c>
      <c r="R2184" s="46">
        <f>P2184*O2184*M2184*N2184*H2184</f>
        <v/>
      </c>
      <c r="S2184" s="46">
        <f>R2184*INDEX(FmtCansPerCase,MATCH(F2184,FmtName,0))</f>
        <v/>
      </c>
      <c r="T2184" s="46">
        <f>S2184/INDEX(FmtCansPerPack,MATCH(F2184,FmtName,0))</f>
        <v/>
      </c>
      <c r="U2184" s="47">
        <f>INDEX(ChBaseCP,MATCH(E2184,ChName,0))*(1+INDEX(ProvMod,MATCH(G2184,ProvCode,0)))*(1+PriceIndex)</f>
        <v/>
      </c>
      <c r="V2184" s="47">
        <f>R2184*U2184*INDEX(FmtBlendedPriceIdx,MATCH(F2184,FmtName,0))</f>
        <v/>
      </c>
      <c r="W2184" s="47">
        <f>T2184*INDEX(ProvSRP,MATCH(G2184,ProvCode,0))*(1+PriceIndex)</f>
        <v/>
      </c>
      <c r="X2184" s="47">
        <f>IF(GrossBasis="Wholesale",V2184,W2184)</f>
        <v/>
      </c>
      <c r="Y2184" s="47">
        <f>R2184*INDEX(FmtBlendedCogs,MATCH(F2184,FmtName,0))</f>
        <v/>
      </c>
      <c r="Z2184" s="47">
        <f>X2184-Y2184</f>
        <v/>
      </c>
    </row>
    <row r="2185">
      <c r="A2185" t="n">
        <v>11</v>
      </c>
      <c r="B2185" s="44">
        <f>FiscalStart+(A2185-1)*7</f>
        <v/>
      </c>
      <c r="C2185">
        <f>TEXT(B2185,"mmm yyyy")</f>
        <v/>
      </c>
      <c r="D2185">
        <f>"Q"&amp;(INT((A2185-1)/13)+1)</f>
        <v/>
      </c>
      <c r="E2185" t="inlineStr">
        <is>
          <t>FDM</t>
        </is>
      </c>
      <c r="F2185">
        <f>IFERROR(INDEX(ChFormat,MATCH(E2185,ChName,0)),"")</f>
        <v/>
      </c>
      <c r="G2185" t="inlineStr">
        <is>
          <t>AB</t>
        </is>
      </c>
      <c r="H2185">
        <f>IF(A2185&lt;=NWeeks,1,0)</f>
        <v/>
      </c>
      <c r="I2185">
        <f>INDEX(ChLaunch,MATCH(E2185,ChName,0))</f>
        <v/>
      </c>
      <c r="J2185">
        <f>INDEX(ChWeeksFull,MATCH(E2185,ChName,0))</f>
        <v/>
      </c>
      <c r="K2185">
        <f>INDEX(ChRamp,MATCH(E2185,ChName,0))</f>
        <v/>
      </c>
      <c r="L2185" s="45">
        <f>MIN(1,MAX(0,(A2185-I2185+1)*RampSpeed/J2185))</f>
        <v/>
      </c>
      <c r="M2185" s="45">
        <f>IF(A2185&lt;I2185,0,IF(K2185="S-curve",L2185*L2185*(3-2*L2185),L2185))</f>
        <v/>
      </c>
      <c r="N2185" s="45">
        <f>1+(INDEX(SeasonIdx,A2185)-1)*SeasonAmp</f>
        <v/>
      </c>
      <c r="O2185" s="45">
        <f>IFERROR(INDEX(PSPct,MATCH(E2185&amp;"|"&amp;G2185,PSKey,0)),0)</f>
        <v/>
      </c>
      <c r="P2185" s="46">
        <f>INDEX(ChDoorVel,MATCH(E2185,ChName,0))*CalibScalar*(1+VelocityUplift)</f>
        <v/>
      </c>
      <c r="Q2185" s="46" t="n">
        <v>0</v>
      </c>
      <c r="R2185" s="46">
        <f>P2185*O2185*M2185*N2185*H2185</f>
        <v/>
      </c>
      <c r="S2185" s="46">
        <f>R2185*INDEX(FmtCansPerCase,MATCH(F2185,FmtName,0))</f>
        <v/>
      </c>
      <c r="T2185" s="46">
        <f>S2185/INDEX(FmtCansPerPack,MATCH(F2185,FmtName,0))</f>
        <v/>
      </c>
      <c r="U2185" s="47">
        <f>INDEX(ChBaseCP,MATCH(E2185,ChName,0))*(1+INDEX(ProvMod,MATCH(G2185,ProvCode,0)))*(1+PriceIndex)</f>
        <v/>
      </c>
      <c r="V2185" s="47">
        <f>R2185*U2185*INDEX(FmtBlendedPriceIdx,MATCH(F2185,FmtName,0))</f>
        <v/>
      </c>
      <c r="W2185" s="47">
        <f>T2185*INDEX(ProvSRP,MATCH(G2185,ProvCode,0))*(1+PriceIndex)</f>
        <v/>
      </c>
      <c r="X2185" s="47">
        <f>IF(GrossBasis="Wholesale",V2185,W2185)</f>
        <v/>
      </c>
      <c r="Y2185" s="47">
        <f>R2185*INDEX(FmtBlendedCogs,MATCH(F2185,FmtName,0))</f>
        <v/>
      </c>
      <c r="Z2185" s="47">
        <f>X2185-Y2185</f>
        <v/>
      </c>
    </row>
    <row r="2186">
      <c r="A2186" t="n">
        <v>12</v>
      </c>
      <c r="B2186" s="44">
        <f>FiscalStart+(A2186-1)*7</f>
        <v/>
      </c>
      <c r="C2186">
        <f>TEXT(B2186,"mmm yyyy")</f>
        <v/>
      </c>
      <c r="D2186">
        <f>"Q"&amp;(INT((A2186-1)/13)+1)</f>
        <v/>
      </c>
      <c r="E2186" t="inlineStr">
        <is>
          <t>FDM</t>
        </is>
      </c>
      <c r="F2186">
        <f>IFERROR(INDEX(ChFormat,MATCH(E2186,ChName,0)),"")</f>
        <v/>
      </c>
      <c r="G2186" t="inlineStr">
        <is>
          <t>AB</t>
        </is>
      </c>
      <c r="H2186">
        <f>IF(A2186&lt;=NWeeks,1,0)</f>
        <v/>
      </c>
      <c r="I2186">
        <f>INDEX(ChLaunch,MATCH(E2186,ChName,0))</f>
        <v/>
      </c>
      <c r="J2186">
        <f>INDEX(ChWeeksFull,MATCH(E2186,ChName,0))</f>
        <v/>
      </c>
      <c r="K2186">
        <f>INDEX(ChRamp,MATCH(E2186,ChName,0))</f>
        <v/>
      </c>
      <c r="L2186" s="45">
        <f>MIN(1,MAX(0,(A2186-I2186+1)*RampSpeed/J2186))</f>
        <v/>
      </c>
      <c r="M2186" s="45">
        <f>IF(A2186&lt;I2186,0,IF(K2186="S-curve",L2186*L2186*(3-2*L2186),L2186))</f>
        <v/>
      </c>
      <c r="N2186" s="45">
        <f>1+(INDEX(SeasonIdx,A2186)-1)*SeasonAmp</f>
        <v/>
      </c>
      <c r="O2186" s="45">
        <f>IFERROR(INDEX(PSPct,MATCH(E2186&amp;"|"&amp;G2186,PSKey,0)),0)</f>
        <v/>
      </c>
      <c r="P2186" s="46">
        <f>INDEX(ChDoorVel,MATCH(E2186,ChName,0))*CalibScalar*(1+VelocityUplift)</f>
        <v/>
      </c>
      <c r="Q2186" s="46" t="n">
        <v>0</v>
      </c>
      <c r="R2186" s="46">
        <f>P2186*O2186*M2186*N2186*H2186</f>
        <v/>
      </c>
      <c r="S2186" s="46">
        <f>R2186*INDEX(FmtCansPerCase,MATCH(F2186,FmtName,0))</f>
        <v/>
      </c>
      <c r="T2186" s="46">
        <f>S2186/INDEX(FmtCansPerPack,MATCH(F2186,FmtName,0))</f>
        <v/>
      </c>
      <c r="U2186" s="47">
        <f>INDEX(ChBaseCP,MATCH(E2186,ChName,0))*(1+INDEX(ProvMod,MATCH(G2186,ProvCode,0)))*(1+PriceIndex)</f>
        <v/>
      </c>
      <c r="V2186" s="47">
        <f>R2186*U2186*INDEX(FmtBlendedPriceIdx,MATCH(F2186,FmtName,0))</f>
        <v/>
      </c>
      <c r="W2186" s="47">
        <f>T2186*INDEX(ProvSRP,MATCH(G2186,ProvCode,0))*(1+PriceIndex)</f>
        <v/>
      </c>
      <c r="X2186" s="47">
        <f>IF(GrossBasis="Wholesale",V2186,W2186)</f>
        <v/>
      </c>
      <c r="Y2186" s="47">
        <f>R2186*INDEX(FmtBlendedCogs,MATCH(F2186,FmtName,0))</f>
        <v/>
      </c>
      <c r="Z2186" s="47">
        <f>X2186-Y2186</f>
        <v/>
      </c>
    </row>
    <row r="2187">
      <c r="A2187" t="n">
        <v>13</v>
      </c>
      <c r="B2187" s="44">
        <f>FiscalStart+(A2187-1)*7</f>
        <v/>
      </c>
      <c r="C2187">
        <f>TEXT(B2187,"mmm yyyy")</f>
        <v/>
      </c>
      <c r="D2187">
        <f>"Q"&amp;(INT((A2187-1)/13)+1)</f>
        <v/>
      </c>
      <c r="E2187" t="inlineStr">
        <is>
          <t>FDM</t>
        </is>
      </c>
      <c r="F2187">
        <f>IFERROR(INDEX(ChFormat,MATCH(E2187,ChName,0)),"")</f>
        <v/>
      </c>
      <c r="G2187" t="inlineStr">
        <is>
          <t>AB</t>
        </is>
      </c>
      <c r="H2187">
        <f>IF(A2187&lt;=NWeeks,1,0)</f>
        <v/>
      </c>
      <c r="I2187">
        <f>INDEX(ChLaunch,MATCH(E2187,ChName,0))</f>
        <v/>
      </c>
      <c r="J2187">
        <f>INDEX(ChWeeksFull,MATCH(E2187,ChName,0))</f>
        <v/>
      </c>
      <c r="K2187">
        <f>INDEX(ChRamp,MATCH(E2187,ChName,0))</f>
        <v/>
      </c>
      <c r="L2187" s="45">
        <f>MIN(1,MAX(0,(A2187-I2187+1)*RampSpeed/J2187))</f>
        <v/>
      </c>
      <c r="M2187" s="45">
        <f>IF(A2187&lt;I2187,0,IF(K2187="S-curve",L2187*L2187*(3-2*L2187),L2187))</f>
        <v/>
      </c>
      <c r="N2187" s="45">
        <f>1+(INDEX(SeasonIdx,A2187)-1)*SeasonAmp</f>
        <v/>
      </c>
      <c r="O2187" s="45">
        <f>IFERROR(INDEX(PSPct,MATCH(E2187&amp;"|"&amp;G2187,PSKey,0)),0)</f>
        <v/>
      </c>
      <c r="P2187" s="46">
        <f>INDEX(ChDoorVel,MATCH(E2187,ChName,0))*CalibScalar*(1+VelocityUplift)</f>
        <v/>
      </c>
      <c r="Q2187" s="46" t="n">
        <v>0</v>
      </c>
      <c r="R2187" s="46">
        <f>P2187*O2187*M2187*N2187*H2187</f>
        <v/>
      </c>
      <c r="S2187" s="46">
        <f>R2187*INDEX(FmtCansPerCase,MATCH(F2187,FmtName,0))</f>
        <v/>
      </c>
      <c r="T2187" s="46">
        <f>S2187/INDEX(FmtCansPerPack,MATCH(F2187,FmtName,0))</f>
        <v/>
      </c>
      <c r="U2187" s="47">
        <f>INDEX(ChBaseCP,MATCH(E2187,ChName,0))*(1+INDEX(ProvMod,MATCH(G2187,ProvCode,0)))*(1+PriceIndex)</f>
        <v/>
      </c>
      <c r="V2187" s="47">
        <f>R2187*U2187*INDEX(FmtBlendedPriceIdx,MATCH(F2187,FmtName,0))</f>
        <v/>
      </c>
      <c r="W2187" s="47">
        <f>T2187*INDEX(ProvSRP,MATCH(G2187,ProvCode,0))*(1+PriceIndex)</f>
        <v/>
      </c>
      <c r="X2187" s="47">
        <f>IF(GrossBasis="Wholesale",V2187,W2187)</f>
        <v/>
      </c>
      <c r="Y2187" s="47">
        <f>R2187*INDEX(FmtBlendedCogs,MATCH(F2187,FmtName,0))</f>
        <v/>
      </c>
      <c r="Z2187" s="47">
        <f>X2187-Y2187</f>
        <v/>
      </c>
    </row>
    <row r="2188">
      <c r="A2188" t="n">
        <v>14</v>
      </c>
      <c r="B2188" s="44">
        <f>FiscalStart+(A2188-1)*7</f>
        <v/>
      </c>
      <c r="C2188">
        <f>TEXT(B2188,"mmm yyyy")</f>
        <v/>
      </c>
      <c r="D2188">
        <f>"Q"&amp;(INT((A2188-1)/13)+1)</f>
        <v/>
      </c>
      <c r="E2188" t="inlineStr">
        <is>
          <t>FDM</t>
        </is>
      </c>
      <c r="F2188">
        <f>IFERROR(INDEX(ChFormat,MATCH(E2188,ChName,0)),"")</f>
        <v/>
      </c>
      <c r="G2188" t="inlineStr">
        <is>
          <t>AB</t>
        </is>
      </c>
      <c r="H2188">
        <f>IF(A2188&lt;=NWeeks,1,0)</f>
        <v/>
      </c>
      <c r="I2188">
        <f>INDEX(ChLaunch,MATCH(E2188,ChName,0))</f>
        <v/>
      </c>
      <c r="J2188">
        <f>INDEX(ChWeeksFull,MATCH(E2188,ChName,0))</f>
        <v/>
      </c>
      <c r="K2188">
        <f>INDEX(ChRamp,MATCH(E2188,ChName,0))</f>
        <v/>
      </c>
      <c r="L2188" s="45">
        <f>MIN(1,MAX(0,(A2188-I2188+1)*RampSpeed/J2188))</f>
        <v/>
      </c>
      <c r="M2188" s="45">
        <f>IF(A2188&lt;I2188,0,IF(K2188="S-curve",L2188*L2188*(3-2*L2188),L2188))</f>
        <v/>
      </c>
      <c r="N2188" s="45">
        <f>1+(INDEX(SeasonIdx,A2188)-1)*SeasonAmp</f>
        <v/>
      </c>
      <c r="O2188" s="45">
        <f>IFERROR(INDEX(PSPct,MATCH(E2188&amp;"|"&amp;G2188,PSKey,0)),0)</f>
        <v/>
      </c>
      <c r="P2188" s="46">
        <f>INDEX(ChDoorVel,MATCH(E2188,ChName,0))*CalibScalar*(1+VelocityUplift)</f>
        <v/>
      </c>
      <c r="Q2188" s="46" t="n">
        <v>0</v>
      </c>
      <c r="R2188" s="46">
        <f>P2188*O2188*M2188*N2188*H2188</f>
        <v/>
      </c>
      <c r="S2188" s="46">
        <f>R2188*INDEX(FmtCansPerCase,MATCH(F2188,FmtName,0))</f>
        <v/>
      </c>
      <c r="T2188" s="46">
        <f>S2188/INDEX(FmtCansPerPack,MATCH(F2188,FmtName,0))</f>
        <v/>
      </c>
      <c r="U2188" s="47">
        <f>INDEX(ChBaseCP,MATCH(E2188,ChName,0))*(1+INDEX(ProvMod,MATCH(G2188,ProvCode,0)))*(1+PriceIndex)</f>
        <v/>
      </c>
      <c r="V2188" s="47">
        <f>R2188*U2188*INDEX(FmtBlendedPriceIdx,MATCH(F2188,FmtName,0))</f>
        <v/>
      </c>
      <c r="W2188" s="47">
        <f>T2188*INDEX(ProvSRP,MATCH(G2188,ProvCode,0))*(1+PriceIndex)</f>
        <v/>
      </c>
      <c r="X2188" s="47">
        <f>IF(GrossBasis="Wholesale",V2188,W2188)</f>
        <v/>
      </c>
      <c r="Y2188" s="47">
        <f>R2188*INDEX(FmtBlendedCogs,MATCH(F2188,FmtName,0))</f>
        <v/>
      </c>
      <c r="Z2188" s="47">
        <f>X2188-Y2188</f>
        <v/>
      </c>
    </row>
    <row r="2189">
      <c r="A2189" t="n">
        <v>15</v>
      </c>
      <c r="B2189" s="44">
        <f>FiscalStart+(A2189-1)*7</f>
        <v/>
      </c>
      <c r="C2189">
        <f>TEXT(B2189,"mmm yyyy")</f>
        <v/>
      </c>
      <c r="D2189">
        <f>"Q"&amp;(INT((A2189-1)/13)+1)</f>
        <v/>
      </c>
      <c r="E2189" t="inlineStr">
        <is>
          <t>FDM</t>
        </is>
      </c>
      <c r="F2189">
        <f>IFERROR(INDEX(ChFormat,MATCH(E2189,ChName,0)),"")</f>
        <v/>
      </c>
      <c r="G2189" t="inlineStr">
        <is>
          <t>AB</t>
        </is>
      </c>
      <c r="H2189">
        <f>IF(A2189&lt;=NWeeks,1,0)</f>
        <v/>
      </c>
      <c r="I2189">
        <f>INDEX(ChLaunch,MATCH(E2189,ChName,0))</f>
        <v/>
      </c>
      <c r="J2189">
        <f>INDEX(ChWeeksFull,MATCH(E2189,ChName,0))</f>
        <v/>
      </c>
      <c r="K2189">
        <f>INDEX(ChRamp,MATCH(E2189,ChName,0))</f>
        <v/>
      </c>
      <c r="L2189" s="45">
        <f>MIN(1,MAX(0,(A2189-I2189+1)*RampSpeed/J2189))</f>
        <v/>
      </c>
      <c r="M2189" s="45">
        <f>IF(A2189&lt;I2189,0,IF(K2189="S-curve",L2189*L2189*(3-2*L2189),L2189))</f>
        <v/>
      </c>
      <c r="N2189" s="45">
        <f>1+(INDEX(SeasonIdx,A2189)-1)*SeasonAmp</f>
        <v/>
      </c>
      <c r="O2189" s="45">
        <f>IFERROR(INDEX(PSPct,MATCH(E2189&amp;"|"&amp;G2189,PSKey,0)),0)</f>
        <v/>
      </c>
      <c r="P2189" s="46">
        <f>INDEX(ChDoorVel,MATCH(E2189,ChName,0))*CalibScalar*(1+VelocityUplift)</f>
        <v/>
      </c>
      <c r="Q2189" s="46" t="n">
        <v>0</v>
      </c>
      <c r="R2189" s="46">
        <f>P2189*O2189*M2189*N2189*H2189</f>
        <v/>
      </c>
      <c r="S2189" s="46">
        <f>R2189*INDEX(FmtCansPerCase,MATCH(F2189,FmtName,0))</f>
        <v/>
      </c>
      <c r="T2189" s="46">
        <f>S2189/INDEX(FmtCansPerPack,MATCH(F2189,FmtName,0))</f>
        <v/>
      </c>
      <c r="U2189" s="47">
        <f>INDEX(ChBaseCP,MATCH(E2189,ChName,0))*(1+INDEX(ProvMod,MATCH(G2189,ProvCode,0)))*(1+PriceIndex)</f>
        <v/>
      </c>
      <c r="V2189" s="47">
        <f>R2189*U2189*INDEX(FmtBlendedPriceIdx,MATCH(F2189,FmtName,0))</f>
        <v/>
      </c>
      <c r="W2189" s="47">
        <f>T2189*INDEX(ProvSRP,MATCH(G2189,ProvCode,0))*(1+PriceIndex)</f>
        <v/>
      </c>
      <c r="X2189" s="47">
        <f>IF(GrossBasis="Wholesale",V2189,W2189)</f>
        <v/>
      </c>
      <c r="Y2189" s="47">
        <f>R2189*INDEX(FmtBlendedCogs,MATCH(F2189,FmtName,0))</f>
        <v/>
      </c>
      <c r="Z2189" s="47">
        <f>X2189-Y2189</f>
        <v/>
      </c>
    </row>
    <row r="2190">
      <c r="A2190" t="n">
        <v>16</v>
      </c>
      <c r="B2190" s="44">
        <f>FiscalStart+(A2190-1)*7</f>
        <v/>
      </c>
      <c r="C2190">
        <f>TEXT(B2190,"mmm yyyy")</f>
        <v/>
      </c>
      <c r="D2190">
        <f>"Q"&amp;(INT((A2190-1)/13)+1)</f>
        <v/>
      </c>
      <c r="E2190" t="inlineStr">
        <is>
          <t>FDM</t>
        </is>
      </c>
      <c r="F2190">
        <f>IFERROR(INDEX(ChFormat,MATCH(E2190,ChName,0)),"")</f>
        <v/>
      </c>
      <c r="G2190" t="inlineStr">
        <is>
          <t>AB</t>
        </is>
      </c>
      <c r="H2190">
        <f>IF(A2190&lt;=NWeeks,1,0)</f>
        <v/>
      </c>
      <c r="I2190">
        <f>INDEX(ChLaunch,MATCH(E2190,ChName,0))</f>
        <v/>
      </c>
      <c r="J2190">
        <f>INDEX(ChWeeksFull,MATCH(E2190,ChName,0))</f>
        <v/>
      </c>
      <c r="K2190">
        <f>INDEX(ChRamp,MATCH(E2190,ChName,0))</f>
        <v/>
      </c>
      <c r="L2190" s="45">
        <f>MIN(1,MAX(0,(A2190-I2190+1)*RampSpeed/J2190))</f>
        <v/>
      </c>
      <c r="M2190" s="45">
        <f>IF(A2190&lt;I2190,0,IF(K2190="S-curve",L2190*L2190*(3-2*L2190),L2190))</f>
        <v/>
      </c>
      <c r="N2190" s="45">
        <f>1+(INDEX(SeasonIdx,A2190)-1)*SeasonAmp</f>
        <v/>
      </c>
      <c r="O2190" s="45">
        <f>IFERROR(INDEX(PSPct,MATCH(E2190&amp;"|"&amp;G2190,PSKey,0)),0)</f>
        <v/>
      </c>
      <c r="P2190" s="46">
        <f>INDEX(ChDoorVel,MATCH(E2190,ChName,0))*CalibScalar*(1+VelocityUplift)</f>
        <v/>
      </c>
      <c r="Q2190" s="46" t="n">
        <v>0</v>
      </c>
      <c r="R2190" s="46">
        <f>P2190*O2190*M2190*N2190*H2190</f>
        <v/>
      </c>
      <c r="S2190" s="46">
        <f>R2190*INDEX(FmtCansPerCase,MATCH(F2190,FmtName,0))</f>
        <v/>
      </c>
      <c r="T2190" s="46">
        <f>S2190/INDEX(FmtCansPerPack,MATCH(F2190,FmtName,0))</f>
        <v/>
      </c>
      <c r="U2190" s="47">
        <f>INDEX(ChBaseCP,MATCH(E2190,ChName,0))*(1+INDEX(ProvMod,MATCH(G2190,ProvCode,0)))*(1+PriceIndex)</f>
        <v/>
      </c>
      <c r="V2190" s="47">
        <f>R2190*U2190*INDEX(FmtBlendedPriceIdx,MATCH(F2190,FmtName,0))</f>
        <v/>
      </c>
      <c r="W2190" s="47">
        <f>T2190*INDEX(ProvSRP,MATCH(G2190,ProvCode,0))*(1+PriceIndex)</f>
        <v/>
      </c>
      <c r="X2190" s="47">
        <f>IF(GrossBasis="Wholesale",V2190,W2190)</f>
        <v/>
      </c>
      <c r="Y2190" s="47">
        <f>R2190*INDEX(FmtBlendedCogs,MATCH(F2190,FmtName,0))</f>
        <v/>
      </c>
      <c r="Z2190" s="47">
        <f>X2190-Y2190</f>
        <v/>
      </c>
    </row>
    <row r="2191">
      <c r="A2191" t="n">
        <v>17</v>
      </c>
      <c r="B2191" s="44">
        <f>FiscalStart+(A2191-1)*7</f>
        <v/>
      </c>
      <c r="C2191">
        <f>TEXT(B2191,"mmm yyyy")</f>
        <v/>
      </c>
      <c r="D2191">
        <f>"Q"&amp;(INT((A2191-1)/13)+1)</f>
        <v/>
      </c>
      <c r="E2191" t="inlineStr">
        <is>
          <t>FDM</t>
        </is>
      </c>
      <c r="F2191">
        <f>IFERROR(INDEX(ChFormat,MATCH(E2191,ChName,0)),"")</f>
        <v/>
      </c>
      <c r="G2191" t="inlineStr">
        <is>
          <t>AB</t>
        </is>
      </c>
      <c r="H2191">
        <f>IF(A2191&lt;=NWeeks,1,0)</f>
        <v/>
      </c>
      <c r="I2191">
        <f>INDEX(ChLaunch,MATCH(E2191,ChName,0))</f>
        <v/>
      </c>
      <c r="J2191">
        <f>INDEX(ChWeeksFull,MATCH(E2191,ChName,0))</f>
        <v/>
      </c>
      <c r="K2191">
        <f>INDEX(ChRamp,MATCH(E2191,ChName,0))</f>
        <v/>
      </c>
      <c r="L2191" s="45">
        <f>MIN(1,MAX(0,(A2191-I2191+1)*RampSpeed/J2191))</f>
        <v/>
      </c>
      <c r="M2191" s="45">
        <f>IF(A2191&lt;I2191,0,IF(K2191="S-curve",L2191*L2191*(3-2*L2191),L2191))</f>
        <v/>
      </c>
      <c r="N2191" s="45">
        <f>1+(INDEX(SeasonIdx,A2191)-1)*SeasonAmp</f>
        <v/>
      </c>
      <c r="O2191" s="45">
        <f>IFERROR(INDEX(PSPct,MATCH(E2191&amp;"|"&amp;G2191,PSKey,0)),0)</f>
        <v/>
      </c>
      <c r="P2191" s="46">
        <f>INDEX(ChDoorVel,MATCH(E2191,ChName,0))*CalibScalar*(1+VelocityUplift)</f>
        <v/>
      </c>
      <c r="Q2191" s="46" t="n">
        <v>0</v>
      </c>
      <c r="R2191" s="46">
        <f>P2191*O2191*M2191*N2191*H2191</f>
        <v/>
      </c>
      <c r="S2191" s="46">
        <f>R2191*INDEX(FmtCansPerCase,MATCH(F2191,FmtName,0))</f>
        <v/>
      </c>
      <c r="T2191" s="46">
        <f>S2191/INDEX(FmtCansPerPack,MATCH(F2191,FmtName,0))</f>
        <v/>
      </c>
      <c r="U2191" s="47">
        <f>INDEX(ChBaseCP,MATCH(E2191,ChName,0))*(1+INDEX(ProvMod,MATCH(G2191,ProvCode,0)))*(1+PriceIndex)</f>
        <v/>
      </c>
      <c r="V2191" s="47">
        <f>R2191*U2191*INDEX(FmtBlendedPriceIdx,MATCH(F2191,FmtName,0))</f>
        <v/>
      </c>
      <c r="W2191" s="47">
        <f>T2191*INDEX(ProvSRP,MATCH(G2191,ProvCode,0))*(1+PriceIndex)</f>
        <v/>
      </c>
      <c r="X2191" s="47">
        <f>IF(GrossBasis="Wholesale",V2191,W2191)</f>
        <v/>
      </c>
      <c r="Y2191" s="47">
        <f>R2191*INDEX(FmtBlendedCogs,MATCH(F2191,FmtName,0))</f>
        <v/>
      </c>
      <c r="Z2191" s="47">
        <f>X2191-Y2191</f>
        <v/>
      </c>
    </row>
    <row r="2192">
      <c r="A2192" t="n">
        <v>18</v>
      </c>
      <c r="B2192" s="44">
        <f>FiscalStart+(A2192-1)*7</f>
        <v/>
      </c>
      <c r="C2192">
        <f>TEXT(B2192,"mmm yyyy")</f>
        <v/>
      </c>
      <c r="D2192">
        <f>"Q"&amp;(INT((A2192-1)/13)+1)</f>
        <v/>
      </c>
      <c r="E2192" t="inlineStr">
        <is>
          <t>FDM</t>
        </is>
      </c>
      <c r="F2192">
        <f>IFERROR(INDEX(ChFormat,MATCH(E2192,ChName,0)),"")</f>
        <v/>
      </c>
      <c r="G2192" t="inlineStr">
        <is>
          <t>AB</t>
        </is>
      </c>
      <c r="H2192">
        <f>IF(A2192&lt;=NWeeks,1,0)</f>
        <v/>
      </c>
      <c r="I2192">
        <f>INDEX(ChLaunch,MATCH(E2192,ChName,0))</f>
        <v/>
      </c>
      <c r="J2192">
        <f>INDEX(ChWeeksFull,MATCH(E2192,ChName,0))</f>
        <v/>
      </c>
      <c r="K2192">
        <f>INDEX(ChRamp,MATCH(E2192,ChName,0))</f>
        <v/>
      </c>
      <c r="L2192" s="45">
        <f>MIN(1,MAX(0,(A2192-I2192+1)*RampSpeed/J2192))</f>
        <v/>
      </c>
      <c r="M2192" s="45">
        <f>IF(A2192&lt;I2192,0,IF(K2192="S-curve",L2192*L2192*(3-2*L2192),L2192))</f>
        <v/>
      </c>
      <c r="N2192" s="45">
        <f>1+(INDEX(SeasonIdx,A2192)-1)*SeasonAmp</f>
        <v/>
      </c>
      <c r="O2192" s="45">
        <f>IFERROR(INDEX(PSPct,MATCH(E2192&amp;"|"&amp;G2192,PSKey,0)),0)</f>
        <v/>
      </c>
      <c r="P2192" s="46">
        <f>INDEX(ChDoorVel,MATCH(E2192,ChName,0))*CalibScalar*(1+VelocityUplift)</f>
        <v/>
      </c>
      <c r="Q2192" s="46" t="n">
        <v>0</v>
      </c>
      <c r="R2192" s="46">
        <f>P2192*O2192*M2192*N2192*H2192</f>
        <v/>
      </c>
      <c r="S2192" s="46">
        <f>R2192*INDEX(FmtCansPerCase,MATCH(F2192,FmtName,0))</f>
        <v/>
      </c>
      <c r="T2192" s="46">
        <f>S2192/INDEX(FmtCansPerPack,MATCH(F2192,FmtName,0))</f>
        <v/>
      </c>
      <c r="U2192" s="47">
        <f>INDEX(ChBaseCP,MATCH(E2192,ChName,0))*(1+INDEX(ProvMod,MATCH(G2192,ProvCode,0)))*(1+PriceIndex)</f>
        <v/>
      </c>
      <c r="V2192" s="47">
        <f>R2192*U2192*INDEX(FmtBlendedPriceIdx,MATCH(F2192,FmtName,0))</f>
        <v/>
      </c>
      <c r="W2192" s="47">
        <f>T2192*INDEX(ProvSRP,MATCH(G2192,ProvCode,0))*(1+PriceIndex)</f>
        <v/>
      </c>
      <c r="X2192" s="47">
        <f>IF(GrossBasis="Wholesale",V2192,W2192)</f>
        <v/>
      </c>
      <c r="Y2192" s="47">
        <f>R2192*INDEX(FmtBlendedCogs,MATCH(F2192,FmtName,0))</f>
        <v/>
      </c>
      <c r="Z2192" s="47">
        <f>X2192-Y2192</f>
        <v/>
      </c>
    </row>
    <row r="2193">
      <c r="A2193" t="n">
        <v>19</v>
      </c>
      <c r="B2193" s="44">
        <f>FiscalStart+(A2193-1)*7</f>
        <v/>
      </c>
      <c r="C2193">
        <f>TEXT(B2193,"mmm yyyy")</f>
        <v/>
      </c>
      <c r="D2193">
        <f>"Q"&amp;(INT((A2193-1)/13)+1)</f>
        <v/>
      </c>
      <c r="E2193" t="inlineStr">
        <is>
          <t>FDM</t>
        </is>
      </c>
      <c r="F2193">
        <f>IFERROR(INDEX(ChFormat,MATCH(E2193,ChName,0)),"")</f>
        <v/>
      </c>
      <c r="G2193" t="inlineStr">
        <is>
          <t>AB</t>
        </is>
      </c>
      <c r="H2193">
        <f>IF(A2193&lt;=NWeeks,1,0)</f>
        <v/>
      </c>
      <c r="I2193">
        <f>INDEX(ChLaunch,MATCH(E2193,ChName,0))</f>
        <v/>
      </c>
      <c r="J2193">
        <f>INDEX(ChWeeksFull,MATCH(E2193,ChName,0))</f>
        <v/>
      </c>
      <c r="K2193">
        <f>INDEX(ChRamp,MATCH(E2193,ChName,0))</f>
        <v/>
      </c>
      <c r="L2193" s="45">
        <f>MIN(1,MAX(0,(A2193-I2193+1)*RampSpeed/J2193))</f>
        <v/>
      </c>
      <c r="M2193" s="45">
        <f>IF(A2193&lt;I2193,0,IF(K2193="S-curve",L2193*L2193*(3-2*L2193),L2193))</f>
        <v/>
      </c>
      <c r="N2193" s="45">
        <f>1+(INDEX(SeasonIdx,A2193)-1)*SeasonAmp</f>
        <v/>
      </c>
      <c r="O2193" s="45">
        <f>IFERROR(INDEX(PSPct,MATCH(E2193&amp;"|"&amp;G2193,PSKey,0)),0)</f>
        <v/>
      </c>
      <c r="P2193" s="46">
        <f>INDEX(ChDoorVel,MATCH(E2193,ChName,0))*CalibScalar*(1+VelocityUplift)</f>
        <v/>
      </c>
      <c r="Q2193" s="46" t="n">
        <v>0</v>
      </c>
      <c r="R2193" s="46">
        <f>P2193*O2193*M2193*N2193*H2193</f>
        <v/>
      </c>
      <c r="S2193" s="46">
        <f>R2193*INDEX(FmtCansPerCase,MATCH(F2193,FmtName,0))</f>
        <v/>
      </c>
      <c r="T2193" s="46">
        <f>S2193/INDEX(FmtCansPerPack,MATCH(F2193,FmtName,0))</f>
        <v/>
      </c>
      <c r="U2193" s="47">
        <f>INDEX(ChBaseCP,MATCH(E2193,ChName,0))*(1+INDEX(ProvMod,MATCH(G2193,ProvCode,0)))*(1+PriceIndex)</f>
        <v/>
      </c>
      <c r="V2193" s="47">
        <f>R2193*U2193*INDEX(FmtBlendedPriceIdx,MATCH(F2193,FmtName,0))</f>
        <v/>
      </c>
      <c r="W2193" s="47">
        <f>T2193*INDEX(ProvSRP,MATCH(G2193,ProvCode,0))*(1+PriceIndex)</f>
        <v/>
      </c>
      <c r="X2193" s="47">
        <f>IF(GrossBasis="Wholesale",V2193,W2193)</f>
        <v/>
      </c>
      <c r="Y2193" s="47">
        <f>R2193*INDEX(FmtBlendedCogs,MATCH(F2193,FmtName,0))</f>
        <v/>
      </c>
      <c r="Z2193" s="47">
        <f>X2193-Y2193</f>
        <v/>
      </c>
    </row>
    <row r="2194">
      <c r="A2194" t="n">
        <v>20</v>
      </c>
      <c r="B2194" s="44">
        <f>FiscalStart+(A2194-1)*7</f>
        <v/>
      </c>
      <c r="C2194">
        <f>TEXT(B2194,"mmm yyyy")</f>
        <v/>
      </c>
      <c r="D2194">
        <f>"Q"&amp;(INT((A2194-1)/13)+1)</f>
        <v/>
      </c>
      <c r="E2194" t="inlineStr">
        <is>
          <t>FDM</t>
        </is>
      </c>
      <c r="F2194">
        <f>IFERROR(INDEX(ChFormat,MATCH(E2194,ChName,0)),"")</f>
        <v/>
      </c>
      <c r="G2194" t="inlineStr">
        <is>
          <t>AB</t>
        </is>
      </c>
      <c r="H2194">
        <f>IF(A2194&lt;=NWeeks,1,0)</f>
        <v/>
      </c>
      <c r="I2194">
        <f>INDEX(ChLaunch,MATCH(E2194,ChName,0))</f>
        <v/>
      </c>
      <c r="J2194">
        <f>INDEX(ChWeeksFull,MATCH(E2194,ChName,0))</f>
        <v/>
      </c>
      <c r="K2194">
        <f>INDEX(ChRamp,MATCH(E2194,ChName,0))</f>
        <v/>
      </c>
      <c r="L2194" s="45">
        <f>MIN(1,MAX(0,(A2194-I2194+1)*RampSpeed/J2194))</f>
        <v/>
      </c>
      <c r="M2194" s="45">
        <f>IF(A2194&lt;I2194,0,IF(K2194="S-curve",L2194*L2194*(3-2*L2194),L2194))</f>
        <v/>
      </c>
      <c r="N2194" s="45">
        <f>1+(INDEX(SeasonIdx,A2194)-1)*SeasonAmp</f>
        <v/>
      </c>
      <c r="O2194" s="45">
        <f>IFERROR(INDEX(PSPct,MATCH(E2194&amp;"|"&amp;G2194,PSKey,0)),0)</f>
        <v/>
      </c>
      <c r="P2194" s="46">
        <f>INDEX(ChDoorVel,MATCH(E2194,ChName,0))*CalibScalar*(1+VelocityUplift)</f>
        <v/>
      </c>
      <c r="Q2194" s="46" t="n">
        <v>0</v>
      </c>
      <c r="R2194" s="46">
        <f>P2194*O2194*M2194*N2194*H2194</f>
        <v/>
      </c>
      <c r="S2194" s="46">
        <f>R2194*INDEX(FmtCansPerCase,MATCH(F2194,FmtName,0))</f>
        <v/>
      </c>
      <c r="T2194" s="46">
        <f>S2194/INDEX(FmtCansPerPack,MATCH(F2194,FmtName,0))</f>
        <v/>
      </c>
      <c r="U2194" s="47">
        <f>INDEX(ChBaseCP,MATCH(E2194,ChName,0))*(1+INDEX(ProvMod,MATCH(G2194,ProvCode,0)))*(1+PriceIndex)</f>
        <v/>
      </c>
      <c r="V2194" s="47">
        <f>R2194*U2194*INDEX(FmtBlendedPriceIdx,MATCH(F2194,FmtName,0))</f>
        <v/>
      </c>
      <c r="W2194" s="47">
        <f>T2194*INDEX(ProvSRP,MATCH(G2194,ProvCode,0))*(1+PriceIndex)</f>
        <v/>
      </c>
      <c r="X2194" s="47">
        <f>IF(GrossBasis="Wholesale",V2194,W2194)</f>
        <v/>
      </c>
      <c r="Y2194" s="47">
        <f>R2194*INDEX(FmtBlendedCogs,MATCH(F2194,FmtName,0))</f>
        <v/>
      </c>
      <c r="Z2194" s="47">
        <f>X2194-Y2194</f>
        <v/>
      </c>
    </row>
    <row r="2195">
      <c r="A2195" t="n">
        <v>21</v>
      </c>
      <c r="B2195" s="44">
        <f>FiscalStart+(A2195-1)*7</f>
        <v/>
      </c>
      <c r="C2195">
        <f>TEXT(B2195,"mmm yyyy")</f>
        <v/>
      </c>
      <c r="D2195">
        <f>"Q"&amp;(INT((A2195-1)/13)+1)</f>
        <v/>
      </c>
      <c r="E2195" t="inlineStr">
        <is>
          <t>FDM</t>
        </is>
      </c>
      <c r="F2195">
        <f>IFERROR(INDEX(ChFormat,MATCH(E2195,ChName,0)),"")</f>
        <v/>
      </c>
      <c r="G2195" t="inlineStr">
        <is>
          <t>AB</t>
        </is>
      </c>
      <c r="H2195">
        <f>IF(A2195&lt;=NWeeks,1,0)</f>
        <v/>
      </c>
      <c r="I2195">
        <f>INDEX(ChLaunch,MATCH(E2195,ChName,0))</f>
        <v/>
      </c>
      <c r="J2195">
        <f>INDEX(ChWeeksFull,MATCH(E2195,ChName,0))</f>
        <v/>
      </c>
      <c r="K2195">
        <f>INDEX(ChRamp,MATCH(E2195,ChName,0))</f>
        <v/>
      </c>
      <c r="L2195" s="45">
        <f>MIN(1,MAX(0,(A2195-I2195+1)*RampSpeed/J2195))</f>
        <v/>
      </c>
      <c r="M2195" s="45">
        <f>IF(A2195&lt;I2195,0,IF(K2195="S-curve",L2195*L2195*(3-2*L2195),L2195))</f>
        <v/>
      </c>
      <c r="N2195" s="45">
        <f>1+(INDEX(SeasonIdx,A2195)-1)*SeasonAmp</f>
        <v/>
      </c>
      <c r="O2195" s="45">
        <f>IFERROR(INDEX(PSPct,MATCH(E2195&amp;"|"&amp;G2195,PSKey,0)),0)</f>
        <v/>
      </c>
      <c r="P2195" s="46">
        <f>INDEX(ChDoorVel,MATCH(E2195,ChName,0))*CalibScalar*(1+VelocityUplift)</f>
        <v/>
      </c>
      <c r="Q2195" s="46" t="n">
        <v>0</v>
      </c>
      <c r="R2195" s="46">
        <f>P2195*O2195*M2195*N2195*H2195</f>
        <v/>
      </c>
      <c r="S2195" s="46">
        <f>R2195*INDEX(FmtCansPerCase,MATCH(F2195,FmtName,0))</f>
        <v/>
      </c>
      <c r="T2195" s="46">
        <f>S2195/INDEX(FmtCansPerPack,MATCH(F2195,FmtName,0))</f>
        <v/>
      </c>
      <c r="U2195" s="47">
        <f>INDEX(ChBaseCP,MATCH(E2195,ChName,0))*(1+INDEX(ProvMod,MATCH(G2195,ProvCode,0)))*(1+PriceIndex)</f>
        <v/>
      </c>
      <c r="V2195" s="47">
        <f>R2195*U2195*INDEX(FmtBlendedPriceIdx,MATCH(F2195,FmtName,0))</f>
        <v/>
      </c>
      <c r="W2195" s="47">
        <f>T2195*INDEX(ProvSRP,MATCH(G2195,ProvCode,0))*(1+PriceIndex)</f>
        <v/>
      </c>
      <c r="X2195" s="47">
        <f>IF(GrossBasis="Wholesale",V2195,W2195)</f>
        <v/>
      </c>
      <c r="Y2195" s="47">
        <f>R2195*INDEX(FmtBlendedCogs,MATCH(F2195,FmtName,0))</f>
        <v/>
      </c>
      <c r="Z2195" s="47">
        <f>X2195-Y2195</f>
        <v/>
      </c>
    </row>
    <row r="2196">
      <c r="A2196" t="n">
        <v>22</v>
      </c>
      <c r="B2196" s="44">
        <f>FiscalStart+(A2196-1)*7</f>
        <v/>
      </c>
      <c r="C2196">
        <f>TEXT(B2196,"mmm yyyy")</f>
        <v/>
      </c>
      <c r="D2196">
        <f>"Q"&amp;(INT((A2196-1)/13)+1)</f>
        <v/>
      </c>
      <c r="E2196" t="inlineStr">
        <is>
          <t>FDM</t>
        </is>
      </c>
      <c r="F2196">
        <f>IFERROR(INDEX(ChFormat,MATCH(E2196,ChName,0)),"")</f>
        <v/>
      </c>
      <c r="G2196" t="inlineStr">
        <is>
          <t>AB</t>
        </is>
      </c>
      <c r="H2196">
        <f>IF(A2196&lt;=NWeeks,1,0)</f>
        <v/>
      </c>
      <c r="I2196">
        <f>INDEX(ChLaunch,MATCH(E2196,ChName,0))</f>
        <v/>
      </c>
      <c r="J2196">
        <f>INDEX(ChWeeksFull,MATCH(E2196,ChName,0))</f>
        <v/>
      </c>
      <c r="K2196">
        <f>INDEX(ChRamp,MATCH(E2196,ChName,0))</f>
        <v/>
      </c>
      <c r="L2196" s="45">
        <f>MIN(1,MAX(0,(A2196-I2196+1)*RampSpeed/J2196))</f>
        <v/>
      </c>
      <c r="M2196" s="45">
        <f>IF(A2196&lt;I2196,0,IF(K2196="S-curve",L2196*L2196*(3-2*L2196),L2196))</f>
        <v/>
      </c>
      <c r="N2196" s="45">
        <f>1+(INDEX(SeasonIdx,A2196)-1)*SeasonAmp</f>
        <v/>
      </c>
      <c r="O2196" s="45">
        <f>IFERROR(INDEX(PSPct,MATCH(E2196&amp;"|"&amp;G2196,PSKey,0)),0)</f>
        <v/>
      </c>
      <c r="P2196" s="46">
        <f>INDEX(ChDoorVel,MATCH(E2196,ChName,0))*CalibScalar*(1+VelocityUplift)</f>
        <v/>
      </c>
      <c r="Q2196" s="46" t="n">
        <v>0</v>
      </c>
      <c r="R2196" s="46">
        <f>P2196*O2196*M2196*N2196*H2196</f>
        <v/>
      </c>
      <c r="S2196" s="46">
        <f>R2196*INDEX(FmtCansPerCase,MATCH(F2196,FmtName,0))</f>
        <v/>
      </c>
      <c r="T2196" s="46">
        <f>S2196/INDEX(FmtCansPerPack,MATCH(F2196,FmtName,0))</f>
        <v/>
      </c>
      <c r="U2196" s="47">
        <f>INDEX(ChBaseCP,MATCH(E2196,ChName,0))*(1+INDEX(ProvMod,MATCH(G2196,ProvCode,0)))*(1+PriceIndex)</f>
        <v/>
      </c>
      <c r="V2196" s="47">
        <f>R2196*U2196*INDEX(FmtBlendedPriceIdx,MATCH(F2196,FmtName,0))</f>
        <v/>
      </c>
      <c r="W2196" s="47">
        <f>T2196*INDEX(ProvSRP,MATCH(G2196,ProvCode,0))*(1+PriceIndex)</f>
        <v/>
      </c>
      <c r="X2196" s="47">
        <f>IF(GrossBasis="Wholesale",V2196,W2196)</f>
        <v/>
      </c>
      <c r="Y2196" s="47">
        <f>R2196*INDEX(FmtBlendedCogs,MATCH(F2196,FmtName,0))</f>
        <v/>
      </c>
      <c r="Z2196" s="47">
        <f>X2196-Y2196</f>
        <v/>
      </c>
    </row>
    <row r="2197">
      <c r="A2197" t="n">
        <v>23</v>
      </c>
      <c r="B2197" s="44">
        <f>FiscalStart+(A2197-1)*7</f>
        <v/>
      </c>
      <c r="C2197">
        <f>TEXT(B2197,"mmm yyyy")</f>
        <v/>
      </c>
      <c r="D2197">
        <f>"Q"&amp;(INT((A2197-1)/13)+1)</f>
        <v/>
      </c>
      <c r="E2197" t="inlineStr">
        <is>
          <t>FDM</t>
        </is>
      </c>
      <c r="F2197">
        <f>IFERROR(INDEX(ChFormat,MATCH(E2197,ChName,0)),"")</f>
        <v/>
      </c>
      <c r="G2197" t="inlineStr">
        <is>
          <t>AB</t>
        </is>
      </c>
      <c r="H2197">
        <f>IF(A2197&lt;=NWeeks,1,0)</f>
        <v/>
      </c>
      <c r="I2197">
        <f>INDEX(ChLaunch,MATCH(E2197,ChName,0))</f>
        <v/>
      </c>
      <c r="J2197">
        <f>INDEX(ChWeeksFull,MATCH(E2197,ChName,0))</f>
        <v/>
      </c>
      <c r="K2197">
        <f>INDEX(ChRamp,MATCH(E2197,ChName,0))</f>
        <v/>
      </c>
      <c r="L2197" s="45">
        <f>MIN(1,MAX(0,(A2197-I2197+1)*RampSpeed/J2197))</f>
        <v/>
      </c>
      <c r="M2197" s="45">
        <f>IF(A2197&lt;I2197,0,IF(K2197="S-curve",L2197*L2197*(3-2*L2197),L2197))</f>
        <v/>
      </c>
      <c r="N2197" s="45">
        <f>1+(INDEX(SeasonIdx,A2197)-1)*SeasonAmp</f>
        <v/>
      </c>
      <c r="O2197" s="45">
        <f>IFERROR(INDEX(PSPct,MATCH(E2197&amp;"|"&amp;G2197,PSKey,0)),0)</f>
        <v/>
      </c>
      <c r="P2197" s="46">
        <f>INDEX(ChDoorVel,MATCH(E2197,ChName,0))*CalibScalar*(1+VelocityUplift)</f>
        <v/>
      </c>
      <c r="Q2197" s="46" t="n">
        <v>0</v>
      </c>
      <c r="R2197" s="46">
        <f>P2197*O2197*M2197*N2197*H2197</f>
        <v/>
      </c>
      <c r="S2197" s="46">
        <f>R2197*INDEX(FmtCansPerCase,MATCH(F2197,FmtName,0))</f>
        <v/>
      </c>
      <c r="T2197" s="46">
        <f>S2197/INDEX(FmtCansPerPack,MATCH(F2197,FmtName,0))</f>
        <v/>
      </c>
      <c r="U2197" s="47">
        <f>INDEX(ChBaseCP,MATCH(E2197,ChName,0))*(1+INDEX(ProvMod,MATCH(G2197,ProvCode,0)))*(1+PriceIndex)</f>
        <v/>
      </c>
      <c r="V2197" s="47">
        <f>R2197*U2197*INDEX(FmtBlendedPriceIdx,MATCH(F2197,FmtName,0))</f>
        <v/>
      </c>
      <c r="W2197" s="47">
        <f>T2197*INDEX(ProvSRP,MATCH(G2197,ProvCode,0))*(1+PriceIndex)</f>
        <v/>
      </c>
      <c r="X2197" s="47">
        <f>IF(GrossBasis="Wholesale",V2197,W2197)</f>
        <v/>
      </c>
      <c r="Y2197" s="47">
        <f>R2197*INDEX(FmtBlendedCogs,MATCH(F2197,FmtName,0))</f>
        <v/>
      </c>
      <c r="Z2197" s="47">
        <f>X2197-Y2197</f>
        <v/>
      </c>
    </row>
    <row r="2198">
      <c r="A2198" t="n">
        <v>24</v>
      </c>
      <c r="B2198" s="44">
        <f>FiscalStart+(A2198-1)*7</f>
        <v/>
      </c>
      <c r="C2198">
        <f>TEXT(B2198,"mmm yyyy")</f>
        <v/>
      </c>
      <c r="D2198">
        <f>"Q"&amp;(INT((A2198-1)/13)+1)</f>
        <v/>
      </c>
      <c r="E2198" t="inlineStr">
        <is>
          <t>FDM</t>
        </is>
      </c>
      <c r="F2198">
        <f>IFERROR(INDEX(ChFormat,MATCH(E2198,ChName,0)),"")</f>
        <v/>
      </c>
      <c r="G2198" t="inlineStr">
        <is>
          <t>AB</t>
        </is>
      </c>
      <c r="H2198">
        <f>IF(A2198&lt;=NWeeks,1,0)</f>
        <v/>
      </c>
      <c r="I2198">
        <f>INDEX(ChLaunch,MATCH(E2198,ChName,0))</f>
        <v/>
      </c>
      <c r="J2198">
        <f>INDEX(ChWeeksFull,MATCH(E2198,ChName,0))</f>
        <v/>
      </c>
      <c r="K2198">
        <f>INDEX(ChRamp,MATCH(E2198,ChName,0))</f>
        <v/>
      </c>
      <c r="L2198" s="45">
        <f>MIN(1,MAX(0,(A2198-I2198+1)*RampSpeed/J2198))</f>
        <v/>
      </c>
      <c r="M2198" s="45">
        <f>IF(A2198&lt;I2198,0,IF(K2198="S-curve",L2198*L2198*(3-2*L2198),L2198))</f>
        <v/>
      </c>
      <c r="N2198" s="45">
        <f>1+(INDEX(SeasonIdx,A2198)-1)*SeasonAmp</f>
        <v/>
      </c>
      <c r="O2198" s="45">
        <f>IFERROR(INDEX(PSPct,MATCH(E2198&amp;"|"&amp;G2198,PSKey,0)),0)</f>
        <v/>
      </c>
      <c r="P2198" s="46">
        <f>INDEX(ChDoorVel,MATCH(E2198,ChName,0))*CalibScalar*(1+VelocityUplift)</f>
        <v/>
      </c>
      <c r="Q2198" s="46" t="n">
        <v>0</v>
      </c>
      <c r="R2198" s="46">
        <f>P2198*O2198*M2198*N2198*H2198</f>
        <v/>
      </c>
      <c r="S2198" s="46">
        <f>R2198*INDEX(FmtCansPerCase,MATCH(F2198,FmtName,0))</f>
        <v/>
      </c>
      <c r="T2198" s="46">
        <f>S2198/INDEX(FmtCansPerPack,MATCH(F2198,FmtName,0))</f>
        <v/>
      </c>
      <c r="U2198" s="47">
        <f>INDEX(ChBaseCP,MATCH(E2198,ChName,0))*(1+INDEX(ProvMod,MATCH(G2198,ProvCode,0)))*(1+PriceIndex)</f>
        <v/>
      </c>
      <c r="V2198" s="47">
        <f>R2198*U2198*INDEX(FmtBlendedPriceIdx,MATCH(F2198,FmtName,0))</f>
        <v/>
      </c>
      <c r="W2198" s="47">
        <f>T2198*INDEX(ProvSRP,MATCH(G2198,ProvCode,0))*(1+PriceIndex)</f>
        <v/>
      </c>
      <c r="X2198" s="47">
        <f>IF(GrossBasis="Wholesale",V2198,W2198)</f>
        <v/>
      </c>
      <c r="Y2198" s="47">
        <f>R2198*INDEX(FmtBlendedCogs,MATCH(F2198,FmtName,0))</f>
        <v/>
      </c>
      <c r="Z2198" s="47">
        <f>X2198-Y2198</f>
        <v/>
      </c>
    </row>
    <row r="2199">
      <c r="A2199" t="n">
        <v>25</v>
      </c>
      <c r="B2199" s="44">
        <f>FiscalStart+(A2199-1)*7</f>
        <v/>
      </c>
      <c r="C2199">
        <f>TEXT(B2199,"mmm yyyy")</f>
        <v/>
      </c>
      <c r="D2199">
        <f>"Q"&amp;(INT((A2199-1)/13)+1)</f>
        <v/>
      </c>
      <c r="E2199" t="inlineStr">
        <is>
          <t>FDM</t>
        </is>
      </c>
      <c r="F2199">
        <f>IFERROR(INDEX(ChFormat,MATCH(E2199,ChName,0)),"")</f>
        <v/>
      </c>
      <c r="G2199" t="inlineStr">
        <is>
          <t>AB</t>
        </is>
      </c>
      <c r="H2199">
        <f>IF(A2199&lt;=NWeeks,1,0)</f>
        <v/>
      </c>
      <c r="I2199">
        <f>INDEX(ChLaunch,MATCH(E2199,ChName,0))</f>
        <v/>
      </c>
      <c r="J2199">
        <f>INDEX(ChWeeksFull,MATCH(E2199,ChName,0))</f>
        <v/>
      </c>
      <c r="K2199">
        <f>INDEX(ChRamp,MATCH(E2199,ChName,0))</f>
        <v/>
      </c>
      <c r="L2199" s="45">
        <f>MIN(1,MAX(0,(A2199-I2199+1)*RampSpeed/J2199))</f>
        <v/>
      </c>
      <c r="M2199" s="45">
        <f>IF(A2199&lt;I2199,0,IF(K2199="S-curve",L2199*L2199*(3-2*L2199),L2199))</f>
        <v/>
      </c>
      <c r="N2199" s="45">
        <f>1+(INDEX(SeasonIdx,A2199)-1)*SeasonAmp</f>
        <v/>
      </c>
      <c r="O2199" s="45">
        <f>IFERROR(INDEX(PSPct,MATCH(E2199&amp;"|"&amp;G2199,PSKey,0)),0)</f>
        <v/>
      </c>
      <c r="P2199" s="46">
        <f>INDEX(ChDoorVel,MATCH(E2199,ChName,0))*CalibScalar*(1+VelocityUplift)</f>
        <v/>
      </c>
      <c r="Q2199" s="46" t="n">
        <v>0</v>
      </c>
      <c r="R2199" s="46">
        <f>P2199*O2199*M2199*N2199*H2199</f>
        <v/>
      </c>
      <c r="S2199" s="46">
        <f>R2199*INDEX(FmtCansPerCase,MATCH(F2199,FmtName,0))</f>
        <v/>
      </c>
      <c r="T2199" s="46">
        <f>S2199/INDEX(FmtCansPerPack,MATCH(F2199,FmtName,0))</f>
        <v/>
      </c>
      <c r="U2199" s="47">
        <f>INDEX(ChBaseCP,MATCH(E2199,ChName,0))*(1+INDEX(ProvMod,MATCH(G2199,ProvCode,0)))*(1+PriceIndex)</f>
        <v/>
      </c>
      <c r="V2199" s="47">
        <f>R2199*U2199*INDEX(FmtBlendedPriceIdx,MATCH(F2199,FmtName,0))</f>
        <v/>
      </c>
      <c r="W2199" s="47">
        <f>T2199*INDEX(ProvSRP,MATCH(G2199,ProvCode,0))*(1+PriceIndex)</f>
        <v/>
      </c>
      <c r="X2199" s="47">
        <f>IF(GrossBasis="Wholesale",V2199,W2199)</f>
        <v/>
      </c>
      <c r="Y2199" s="47">
        <f>R2199*INDEX(FmtBlendedCogs,MATCH(F2199,FmtName,0))</f>
        <v/>
      </c>
      <c r="Z2199" s="47">
        <f>X2199-Y2199</f>
        <v/>
      </c>
    </row>
    <row r="2200">
      <c r="A2200" t="n">
        <v>26</v>
      </c>
      <c r="B2200" s="44">
        <f>FiscalStart+(A2200-1)*7</f>
        <v/>
      </c>
      <c r="C2200">
        <f>TEXT(B2200,"mmm yyyy")</f>
        <v/>
      </c>
      <c r="D2200">
        <f>"Q"&amp;(INT((A2200-1)/13)+1)</f>
        <v/>
      </c>
      <c r="E2200" t="inlineStr">
        <is>
          <t>FDM</t>
        </is>
      </c>
      <c r="F2200">
        <f>IFERROR(INDEX(ChFormat,MATCH(E2200,ChName,0)),"")</f>
        <v/>
      </c>
      <c r="G2200" t="inlineStr">
        <is>
          <t>AB</t>
        </is>
      </c>
      <c r="H2200">
        <f>IF(A2200&lt;=NWeeks,1,0)</f>
        <v/>
      </c>
      <c r="I2200">
        <f>INDEX(ChLaunch,MATCH(E2200,ChName,0))</f>
        <v/>
      </c>
      <c r="J2200">
        <f>INDEX(ChWeeksFull,MATCH(E2200,ChName,0))</f>
        <v/>
      </c>
      <c r="K2200">
        <f>INDEX(ChRamp,MATCH(E2200,ChName,0))</f>
        <v/>
      </c>
      <c r="L2200" s="45">
        <f>MIN(1,MAX(0,(A2200-I2200+1)*RampSpeed/J2200))</f>
        <v/>
      </c>
      <c r="M2200" s="45">
        <f>IF(A2200&lt;I2200,0,IF(K2200="S-curve",L2200*L2200*(3-2*L2200),L2200))</f>
        <v/>
      </c>
      <c r="N2200" s="45">
        <f>1+(INDEX(SeasonIdx,A2200)-1)*SeasonAmp</f>
        <v/>
      </c>
      <c r="O2200" s="45">
        <f>IFERROR(INDEX(PSPct,MATCH(E2200&amp;"|"&amp;G2200,PSKey,0)),0)</f>
        <v/>
      </c>
      <c r="P2200" s="46">
        <f>INDEX(ChDoorVel,MATCH(E2200,ChName,0))*CalibScalar*(1+VelocityUplift)</f>
        <v/>
      </c>
      <c r="Q2200" s="46" t="n">
        <v>0</v>
      </c>
      <c r="R2200" s="46">
        <f>P2200*O2200*M2200*N2200*H2200</f>
        <v/>
      </c>
      <c r="S2200" s="46">
        <f>R2200*INDEX(FmtCansPerCase,MATCH(F2200,FmtName,0))</f>
        <v/>
      </c>
      <c r="T2200" s="46">
        <f>S2200/INDEX(FmtCansPerPack,MATCH(F2200,FmtName,0))</f>
        <v/>
      </c>
      <c r="U2200" s="47">
        <f>INDEX(ChBaseCP,MATCH(E2200,ChName,0))*(1+INDEX(ProvMod,MATCH(G2200,ProvCode,0)))*(1+PriceIndex)</f>
        <v/>
      </c>
      <c r="V2200" s="47">
        <f>R2200*U2200*INDEX(FmtBlendedPriceIdx,MATCH(F2200,FmtName,0))</f>
        <v/>
      </c>
      <c r="W2200" s="47">
        <f>T2200*INDEX(ProvSRP,MATCH(G2200,ProvCode,0))*(1+PriceIndex)</f>
        <v/>
      </c>
      <c r="X2200" s="47">
        <f>IF(GrossBasis="Wholesale",V2200,W2200)</f>
        <v/>
      </c>
      <c r="Y2200" s="47">
        <f>R2200*INDEX(FmtBlendedCogs,MATCH(F2200,FmtName,0))</f>
        <v/>
      </c>
      <c r="Z2200" s="47">
        <f>X2200-Y2200</f>
        <v/>
      </c>
    </row>
    <row r="2201">
      <c r="A2201" t="n">
        <v>27</v>
      </c>
      <c r="B2201" s="44">
        <f>FiscalStart+(A2201-1)*7</f>
        <v/>
      </c>
      <c r="C2201">
        <f>TEXT(B2201,"mmm yyyy")</f>
        <v/>
      </c>
      <c r="D2201">
        <f>"Q"&amp;(INT((A2201-1)/13)+1)</f>
        <v/>
      </c>
      <c r="E2201" t="inlineStr">
        <is>
          <t>FDM</t>
        </is>
      </c>
      <c r="F2201">
        <f>IFERROR(INDEX(ChFormat,MATCH(E2201,ChName,0)),"")</f>
        <v/>
      </c>
      <c r="G2201" t="inlineStr">
        <is>
          <t>AB</t>
        </is>
      </c>
      <c r="H2201">
        <f>IF(A2201&lt;=NWeeks,1,0)</f>
        <v/>
      </c>
      <c r="I2201">
        <f>INDEX(ChLaunch,MATCH(E2201,ChName,0))</f>
        <v/>
      </c>
      <c r="J2201">
        <f>INDEX(ChWeeksFull,MATCH(E2201,ChName,0))</f>
        <v/>
      </c>
      <c r="K2201">
        <f>INDEX(ChRamp,MATCH(E2201,ChName,0))</f>
        <v/>
      </c>
      <c r="L2201" s="45">
        <f>MIN(1,MAX(0,(A2201-I2201+1)*RampSpeed/J2201))</f>
        <v/>
      </c>
      <c r="M2201" s="45">
        <f>IF(A2201&lt;I2201,0,IF(K2201="S-curve",L2201*L2201*(3-2*L2201),L2201))</f>
        <v/>
      </c>
      <c r="N2201" s="45">
        <f>1+(INDEX(SeasonIdx,A2201)-1)*SeasonAmp</f>
        <v/>
      </c>
      <c r="O2201" s="45">
        <f>IFERROR(INDEX(PSPct,MATCH(E2201&amp;"|"&amp;G2201,PSKey,0)),0)</f>
        <v/>
      </c>
      <c r="P2201" s="46">
        <f>INDEX(ChDoorVel,MATCH(E2201,ChName,0))*CalibScalar*(1+VelocityUplift)</f>
        <v/>
      </c>
      <c r="Q2201" s="46" t="n">
        <v>0</v>
      </c>
      <c r="R2201" s="46">
        <f>P2201*O2201*M2201*N2201*H2201</f>
        <v/>
      </c>
      <c r="S2201" s="46">
        <f>R2201*INDEX(FmtCansPerCase,MATCH(F2201,FmtName,0))</f>
        <v/>
      </c>
      <c r="T2201" s="46">
        <f>S2201/INDEX(FmtCansPerPack,MATCH(F2201,FmtName,0))</f>
        <v/>
      </c>
      <c r="U2201" s="47">
        <f>INDEX(ChBaseCP,MATCH(E2201,ChName,0))*(1+INDEX(ProvMod,MATCH(G2201,ProvCode,0)))*(1+PriceIndex)</f>
        <v/>
      </c>
      <c r="V2201" s="47">
        <f>R2201*U2201*INDEX(FmtBlendedPriceIdx,MATCH(F2201,FmtName,0))</f>
        <v/>
      </c>
      <c r="W2201" s="47">
        <f>T2201*INDEX(ProvSRP,MATCH(G2201,ProvCode,0))*(1+PriceIndex)</f>
        <v/>
      </c>
      <c r="X2201" s="47">
        <f>IF(GrossBasis="Wholesale",V2201,W2201)</f>
        <v/>
      </c>
      <c r="Y2201" s="47">
        <f>R2201*INDEX(FmtBlendedCogs,MATCH(F2201,FmtName,0))</f>
        <v/>
      </c>
      <c r="Z2201" s="47">
        <f>X2201-Y2201</f>
        <v/>
      </c>
    </row>
    <row r="2202">
      <c r="A2202" t="n">
        <v>28</v>
      </c>
      <c r="B2202" s="44">
        <f>FiscalStart+(A2202-1)*7</f>
        <v/>
      </c>
      <c r="C2202">
        <f>TEXT(B2202,"mmm yyyy")</f>
        <v/>
      </c>
      <c r="D2202">
        <f>"Q"&amp;(INT((A2202-1)/13)+1)</f>
        <v/>
      </c>
      <c r="E2202" t="inlineStr">
        <is>
          <t>FDM</t>
        </is>
      </c>
      <c r="F2202">
        <f>IFERROR(INDEX(ChFormat,MATCH(E2202,ChName,0)),"")</f>
        <v/>
      </c>
      <c r="G2202" t="inlineStr">
        <is>
          <t>AB</t>
        </is>
      </c>
      <c r="H2202">
        <f>IF(A2202&lt;=NWeeks,1,0)</f>
        <v/>
      </c>
      <c r="I2202">
        <f>INDEX(ChLaunch,MATCH(E2202,ChName,0))</f>
        <v/>
      </c>
      <c r="J2202">
        <f>INDEX(ChWeeksFull,MATCH(E2202,ChName,0))</f>
        <v/>
      </c>
      <c r="K2202">
        <f>INDEX(ChRamp,MATCH(E2202,ChName,0))</f>
        <v/>
      </c>
      <c r="L2202" s="45">
        <f>MIN(1,MAX(0,(A2202-I2202+1)*RampSpeed/J2202))</f>
        <v/>
      </c>
      <c r="M2202" s="45">
        <f>IF(A2202&lt;I2202,0,IF(K2202="S-curve",L2202*L2202*(3-2*L2202),L2202))</f>
        <v/>
      </c>
      <c r="N2202" s="45">
        <f>1+(INDEX(SeasonIdx,A2202)-1)*SeasonAmp</f>
        <v/>
      </c>
      <c r="O2202" s="45">
        <f>IFERROR(INDEX(PSPct,MATCH(E2202&amp;"|"&amp;G2202,PSKey,0)),0)</f>
        <v/>
      </c>
      <c r="P2202" s="46">
        <f>INDEX(ChDoorVel,MATCH(E2202,ChName,0))*CalibScalar*(1+VelocityUplift)</f>
        <v/>
      </c>
      <c r="Q2202" s="46" t="n">
        <v>0</v>
      </c>
      <c r="R2202" s="46">
        <f>P2202*O2202*M2202*N2202*H2202</f>
        <v/>
      </c>
      <c r="S2202" s="46">
        <f>R2202*INDEX(FmtCansPerCase,MATCH(F2202,FmtName,0))</f>
        <v/>
      </c>
      <c r="T2202" s="46">
        <f>S2202/INDEX(FmtCansPerPack,MATCH(F2202,FmtName,0))</f>
        <v/>
      </c>
      <c r="U2202" s="47">
        <f>INDEX(ChBaseCP,MATCH(E2202,ChName,0))*(1+INDEX(ProvMod,MATCH(G2202,ProvCode,0)))*(1+PriceIndex)</f>
        <v/>
      </c>
      <c r="V2202" s="47">
        <f>R2202*U2202*INDEX(FmtBlendedPriceIdx,MATCH(F2202,FmtName,0))</f>
        <v/>
      </c>
      <c r="W2202" s="47">
        <f>T2202*INDEX(ProvSRP,MATCH(G2202,ProvCode,0))*(1+PriceIndex)</f>
        <v/>
      </c>
      <c r="X2202" s="47">
        <f>IF(GrossBasis="Wholesale",V2202,W2202)</f>
        <v/>
      </c>
      <c r="Y2202" s="47">
        <f>R2202*INDEX(FmtBlendedCogs,MATCH(F2202,FmtName,0))</f>
        <v/>
      </c>
      <c r="Z2202" s="47">
        <f>X2202-Y2202</f>
        <v/>
      </c>
    </row>
    <row r="2203">
      <c r="A2203" t="n">
        <v>29</v>
      </c>
      <c r="B2203" s="44">
        <f>FiscalStart+(A2203-1)*7</f>
        <v/>
      </c>
      <c r="C2203">
        <f>TEXT(B2203,"mmm yyyy")</f>
        <v/>
      </c>
      <c r="D2203">
        <f>"Q"&amp;(INT((A2203-1)/13)+1)</f>
        <v/>
      </c>
      <c r="E2203" t="inlineStr">
        <is>
          <t>FDM</t>
        </is>
      </c>
      <c r="F2203">
        <f>IFERROR(INDEX(ChFormat,MATCH(E2203,ChName,0)),"")</f>
        <v/>
      </c>
      <c r="G2203" t="inlineStr">
        <is>
          <t>AB</t>
        </is>
      </c>
      <c r="H2203">
        <f>IF(A2203&lt;=NWeeks,1,0)</f>
        <v/>
      </c>
      <c r="I2203">
        <f>INDEX(ChLaunch,MATCH(E2203,ChName,0))</f>
        <v/>
      </c>
      <c r="J2203">
        <f>INDEX(ChWeeksFull,MATCH(E2203,ChName,0))</f>
        <v/>
      </c>
      <c r="K2203">
        <f>INDEX(ChRamp,MATCH(E2203,ChName,0))</f>
        <v/>
      </c>
      <c r="L2203" s="45">
        <f>MIN(1,MAX(0,(A2203-I2203+1)*RampSpeed/J2203))</f>
        <v/>
      </c>
      <c r="M2203" s="45">
        <f>IF(A2203&lt;I2203,0,IF(K2203="S-curve",L2203*L2203*(3-2*L2203),L2203))</f>
        <v/>
      </c>
      <c r="N2203" s="45">
        <f>1+(INDEX(SeasonIdx,A2203)-1)*SeasonAmp</f>
        <v/>
      </c>
      <c r="O2203" s="45">
        <f>IFERROR(INDEX(PSPct,MATCH(E2203&amp;"|"&amp;G2203,PSKey,0)),0)</f>
        <v/>
      </c>
      <c r="P2203" s="46">
        <f>INDEX(ChDoorVel,MATCH(E2203,ChName,0))*CalibScalar*(1+VelocityUplift)</f>
        <v/>
      </c>
      <c r="Q2203" s="46" t="n">
        <v>0</v>
      </c>
      <c r="R2203" s="46">
        <f>P2203*O2203*M2203*N2203*H2203</f>
        <v/>
      </c>
      <c r="S2203" s="46">
        <f>R2203*INDEX(FmtCansPerCase,MATCH(F2203,FmtName,0))</f>
        <v/>
      </c>
      <c r="T2203" s="46">
        <f>S2203/INDEX(FmtCansPerPack,MATCH(F2203,FmtName,0))</f>
        <v/>
      </c>
      <c r="U2203" s="47">
        <f>INDEX(ChBaseCP,MATCH(E2203,ChName,0))*(1+INDEX(ProvMod,MATCH(G2203,ProvCode,0)))*(1+PriceIndex)</f>
        <v/>
      </c>
      <c r="V2203" s="47">
        <f>R2203*U2203*INDEX(FmtBlendedPriceIdx,MATCH(F2203,FmtName,0))</f>
        <v/>
      </c>
      <c r="W2203" s="47">
        <f>T2203*INDEX(ProvSRP,MATCH(G2203,ProvCode,0))*(1+PriceIndex)</f>
        <v/>
      </c>
      <c r="X2203" s="47">
        <f>IF(GrossBasis="Wholesale",V2203,W2203)</f>
        <v/>
      </c>
      <c r="Y2203" s="47">
        <f>R2203*INDEX(FmtBlendedCogs,MATCH(F2203,FmtName,0))</f>
        <v/>
      </c>
      <c r="Z2203" s="47">
        <f>X2203-Y2203</f>
        <v/>
      </c>
    </row>
    <row r="2204">
      <c r="A2204" t="n">
        <v>30</v>
      </c>
      <c r="B2204" s="44">
        <f>FiscalStart+(A2204-1)*7</f>
        <v/>
      </c>
      <c r="C2204">
        <f>TEXT(B2204,"mmm yyyy")</f>
        <v/>
      </c>
      <c r="D2204">
        <f>"Q"&amp;(INT((A2204-1)/13)+1)</f>
        <v/>
      </c>
      <c r="E2204" t="inlineStr">
        <is>
          <t>FDM</t>
        </is>
      </c>
      <c r="F2204">
        <f>IFERROR(INDEX(ChFormat,MATCH(E2204,ChName,0)),"")</f>
        <v/>
      </c>
      <c r="G2204" t="inlineStr">
        <is>
          <t>AB</t>
        </is>
      </c>
      <c r="H2204">
        <f>IF(A2204&lt;=NWeeks,1,0)</f>
        <v/>
      </c>
      <c r="I2204">
        <f>INDEX(ChLaunch,MATCH(E2204,ChName,0))</f>
        <v/>
      </c>
      <c r="J2204">
        <f>INDEX(ChWeeksFull,MATCH(E2204,ChName,0))</f>
        <v/>
      </c>
      <c r="K2204">
        <f>INDEX(ChRamp,MATCH(E2204,ChName,0))</f>
        <v/>
      </c>
      <c r="L2204" s="45">
        <f>MIN(1,MAX(0,(A2204-I2204+1)*RampSpeed/J2204))</f>
        <v/>
      </c>
      <c r="M2204" s="45">
        <f>IF(A2204&lt;I2204,0,IF(K2204="S-curve",L2204*L2204*(3-2*L2204),L2204))</f>
        <v/>
      </c>
      <c r="N2204" s="45">
        <f>1+(INDEX(SeasonIdx,A2204)-1)*SeasonAmp</f>
        <v/>
      </c>
      <c r="O2204" s="45">
        <f>IFERROR(INDEX(PSPct,MATCH(E2204&amp;"|"&amp;G2204,PSKey,0)),0)</f>
        <v/>
      </c>
      <c r="P2204" s="46">
        <f>INDEX(ChDoorVel,MATCH(E2204,ChName,0))*CalibScalar*(1+VelocityUplift)</f>
        <v/>
      </c>
      <c r="Q2204" s="46" t="n">
        <v>0</v>
      </c>
      <c r="R2204" s="46">
        <f>P2204*O2204*M2204*N2204*H2204</f>
        <v/>
      </c>
      <c r="S2204" s="46">
        <f>R2204*INDEX(FmtCansPerCase,MATCH(F2204,FmtName,0))</f>
        <v/>
      </c>
      <c r="T2204" s="46">
        <f>S2204/INDEX(FmtCansPerPack,MATCH(F2204,FmtName,0))</f>
        <v/>
      </c>
      <c r="U2204" s="47">
        <f>INDEX(ChBaseCP,MATCH(E2204,ChName,0))*(1+INDEX(ProvMod,MATCH(G2204,ProvCode,0)))*(1+PriceIndex)</f>
        <v/>
      </c>
      <c r="V2204" s="47">
        <f>R2204*U2204*INDEX(FmtBlendedPriceIdx,MATCH(F2204,FmtName,0))</f>
        <v/>
      </c>
      <c r="W2204" s="47">
        <f>T2204*INDEX(ProvSRP,MATCH(G2204,ProvCode,0))*(1+PriceIndex)</f>
        <v/>
      </c>
      <c r="X2204" s="47">
        <f>IF(GrossBasis="Wholesale",V2204,W2204)</f>
        <v/>
      </c>
      <c r="Y2204" s="47">
        <f>R2204*INDEX(FmtBlendedCogs,MATCH(F2204,FmtName,0))</f>
        <v/>
      </c>
      <c r="Z2204" s="47">
        <f>X2204-Y2204</f>
        <v/>
      </c>
    </row>
    <row r="2205">
      <c r="A2205" t="n">
        <v>31</v>
      </c>
      <c r="B2205" s="44">
        <f>FiscalStart+(A2205-1)*7</f>
        <v/>
      </c>
      <c r="C2205">
        <f>TEXT(B2205,"mmm yyyy")</f>
        <v/>
      </c>
      <c r="D2205">
        <f>"Q"&amp;(INT((A2205-1)/13)+1)</f>
        <v/>
      </c>
      <c r="E2205" t="inlineStr">
        <is>
          <t>FDM</t>
        </is>
      </c>
      <c r="F2205">
        <f>IFERROR(INDEX(ChFormat,MATCH(E2205,ChName,0)),"")</f>
        <v/>
      </c>
      <c r="G2205" t="inlineStr">
        <is>
          <t>AB</t>
        </is>
      </c>
      <c r="H2205">
        <f>IF(A2205&lt;=NWeeks,1,0)</f>
        <v/>
      </c>
      <c r="I2205">
        <f>INDEX(ChLaunch,MATCH(E2205,ChName,0))</f>
        <v/>
      </c>
      <c r="J2205">
        <f>INDEX(ChWeeksFull,MATCH(E2205,ChName,0))</f>
        <v/>
      </c>
      <c r="K2205">
        <f>INDEX(ChRamp,MATCH(E2205,ChName,0))</f>
        <v/>
      </c>
      <c r="L2205" s="45">
        <f>MIN(1,MAX(0,(A2205-I2205+1)*RampSpeed/J2205))</f>
        <v/>
      </c>
      <c r="M2205" s="45">
        <f>IF(A2205&lt;I2205,0,IF(K2205="S-curve",L2205*L2205*(3-2*L2205),L2205))</f>
        <v/>
      </c>
      <c r="N2205" s="45">
        <f>1+(INDEX(SeasonIdx,A2205)-1)*SeasonAmp</f>
        <v/>
      </c>
      <c r="O2205" s="45">
        <f>IFERROR(INDEX(PSPct,MATCH(E2205&amp;"|"&amp;G2205,PSKey,0)),0)</f>
        <v/>
      </c>
      <c r="P2205" s="46">
        <f>INDEX(ChDoorVel,MATCH(E2205,ChName,0))*CalibScalar*(1+VelocityUplift)</f>
        <v/>
      </c>
      <c r="Q2205" s="46" t="n">
        <v>0</v>
      </c>
      <c r="R2205" s="46">
        <f>P2205*O2205*M2205*N2205*H2205</f>
        <v/>
      </c>
      <c r="S2205" s="46">
        <f>R2205*INDEX(FmtCansPerCase,MATCH(F2205,FmtName,0))</f>
        <v/>
      </c>
      <c r="T2205" s="46">
        <f>S2205/INDEX(FmtCansPerPack,MATCH(F2205,FmtName,0))</f>
        <v/>
      </c>
      <c r="U2205" s="47">
        <f>INDEX(ChBaseCP,MATCH(E2205,ChName,0))*(1+INDEX(ProvMod,MATCH(G2205,ProvCode,0)))*(1+PriceIndex)</f>
        <v/>
      </c>
      <c r="V2205" s="47">
        <f>R2205*U2205*INDEX(FmtBlendedPriceIdx,MATCH(F2205,FmtName,0))</f>
        <v/>
      </c>
      <c r="W2205" s="47">
        <f>T2205*INDEX(ProvSRP,MATCH(G2205,ProvCode,0))*(1+PriceIndex)</f>
        <v/>
      </c>
      <c r="X2205" s="47">
        <f>IF(GrossBasis="Wholesale",V2205,W2205)</f>
        <v/>
      </c>
      <c r="Y2205" s="47">
        <f>R2205*INDEX(FmtBlendedCogs,MATCH(F2205,FmtName,0))</f>
        <v/>
      </c>
      <c r="Z2205" s="47">
        <f>X2205-Y2205</f>
        <v/>
      </c>
    </row>
    <row r="2206">
      <c r="A2206" t="n">
        <v>32</v>
      </c>
      <c r="B2206" s="44">
        <f>FiscalStart+(A2206-1)*7</f>
        <v/>
      </c>
      <c r="C2206">
        <f>TEXT(B2206,"mmm yyyy")</f>
        <v/>
      </c>
      <c r="D2206">
        <f>"Q"&amp;(INT((A2206-1)/13)+1)</f>
        <v/>
      </c>
      <c r="E2206" t="inlineStr">
        <is>
          <t>FDM</t>
        </is>
      </c>
      <c r="F2206">
        <f>IFERROR(INDEX(ChFormat,MATCH(E2206,ChName,0)),"")</f>
        <v/>
      </c>
      <c r="G2206" t="inlineStr">
        <is>
          <t>AB</t>
        </is>
      </c>
      <c r="H2206">
        <f>IF(A2206&lt;=NWeeks,1,0)</f>
        <v/>
      </c>
      <c r="I2206">
        <f>INDEX(ChLaunch,MATCH(E2206,ChName,0))</f>
        <v/>
      </c>
      <c r="J2206">
        <f>INDEX(ChWeeksFull,MATCH(E2206,ChName,0))</f>
        <v/>
      </c>
      <c r="K2206">
        <f>INDEX(ChRamp,MATCH(E2206,ChName,0))</f>
        <v/>
      </c>
      <c r="L2206" s="45">
        <f>MIN(1,MAX(0,(A2206-I2206+1)*RampSpeed/J2206))</f>
        <v/>
      </c>
      <c r="M2206" s="45">
        <f>IF(A2206&lt;I2206,0,IF(K2206="S-curve",L2206*L2206*(3-2*L2206),L2206))</f>
        <v/>
      </c>
      <c r="N2206" s="45">
        <f>1+(INDEX(SeasonIdx,A2206)-1)*SeasonAmp</f>
        <v/>
      </c>
      <c r="O2206" s="45">
        <f>IFERROR(INDEX(PSPct,MATCH(E2206&amp;"|"&amp;G2206,PSKey,0)),0)</f>
        <v/>
      </c>
      <c r="P2206" s="46">
        <f>INDEX(ChDoorVel,MATCH(E2206,ChName,0))*CalibScalar*(1+VelocityUplift)</f>
        <v/>
      </c>
      <c r="Q2206" s="46" t="n">
        <v>0</v>
      </c>
      <c r="R2206" s="46">
        <f>P2206*O2206*M2206*N2206*H2206</f>
        <v/>
      </c>
      <c r="S2206" s="46">
        <f>R2206*INDEX(FmtCansPerCase,MATCH(F2206,FmtName,0))</f>
        <v/>
      </c>
      <c r="T2206" s="46">
        <f>S2206/INDEX(FmtCansPerPack,MATCH(F2206,FmtName,0))</f>
        <v/>
      </c>
      <c r="U2206" s="47">
        <f>INDEX(ChBaseCP,MATCH(E2206,ChName,0))*(1+INDEX(ProvMod,MATCH(G2206,ProvCode,0)))*(1+PriceIndex)</f>
        <v/>
      </c>
      <c r="V2206" s="47">
        <f>R2206*U2206*INDEX(FmtBlendedPriceIdx,MATCH(F2206,FmtName,0))</f>
        <v/>
      </c>
      <c r="W2206" s="47">
        <f>T2206*INDEX(ProvSRP,MATCH(G2206,ProvCode,0))*(1+PriceIndex)</f>
        <v/>
      </c>
      <c r="X2206" s="47">
        <f>IF(GrossBasis="Wholesale",V2206,W2206)</f>
        <v/>
      </c>
      <c r="Y2206" s="47">
        <f>R2206*INDEX(FmtBlendedCogs,MATCH(F2206,FmtName,0))</f>
        <v/>
      </c>
      <c r="Z2206" s="47">
        <f>X2206-Y2206</f>
        <v/>
      </c>
    </row>
    <row r="2207">
      <c r="A2207" t="n">
        <v>33</v>
      </c>
      <c r="B2207" s="44">
        <f>FiscalStart+(A2207-1)*7</f>
        <v/>
      </c>
      <c r="C2207">
        <f>TEXT(B2207,"mmm yyyy")</f>
        <v/>
      </c>
      <c r="D2207">
        <f>"Q"&amp;(INT((A2207-1)/13)+1)</f>
        <v/>
      </c>
      <c r="E2207" t="inlineStr">
        <is>
          <t>FDM</t>
        </is>
      </c>
      <c r="F2207">
        <f>IFERROR(INDEX(ChFormat,MATCH(E2207,ChName,0)),"")</f>
        <v/>
      </c>
      <c r="G2207" t="inlineStr">
        <is>
          <t>AB</t>
        </is>
      </c>
      <c r="H2207">
        <f>IF(A2207&lt;=NWeeks,1,0)</f>
        <v/>
      </c>
      <c r="I2207">
        <f>INDEX(ChLaunch,MATCH(E2207,ChName,0))</f>
        <v/>
      </c>
      <c r="J2207">
        <f>INDEX(ChWeeksFull,MATCH(E2207,ChName,0))</f>
        <v/>
      </c>
      <c r="K2207">
        <f>INDEX(ChRamp,MATCH(E2207,ChName,0))</f>
        <v/>
      </c>
      <c r="L2207" s="45">
        <f>MIN(1,MAX(0,(A2207-I2207+1)*RampSpeed/J2207))</f>
        <v/>
      </c>
      <c r="M2207" s="45">
        <f>IF(A2207&lt;I2207,0,IF(K2207="S-curve",L2207*L2207*(3-2*L2207),L2207))</f>
        <v/>
      </c>
      <c r="N2207" s="45">
        <f>1+(INDEX(SeasonIdx,A2207)-1)*SeasonAmp</f>
        <v/>
      </c>
      <c r="O2207" s="45">
        <f>IFERROR(INDEX(PSPct,MATCH(E2207&amp;"|"&amp;G2207,PSKey,0)),0)</f>
        <v/>
      </c>
      <c r="P2207" s="46">
        <f>INDEX(ChDoorVel,MATCH(E2207,ChName,0))*CalibScalar*(1+VelocityUplift)</f>
        <v/>
      </c>
      <c r="Q2207" s="46" t="n">
        <v>0</v>
      </c>
      <c r="R2207" s="46">
        <f>P2207*O2207*M2207*N2207*H2207</f>
        <v/>
      </c>
      <c r="S2207" s="46">
        <f>R2207*INDEX(FmtCansPerCase,MATCH(F2207,FmtName,0))</f>
        <v/>
      </c>
      <c r="T2207" s="46">
        <f>S2207/INDEX(FmtCansPerPack,MATCH(F2207,FmtName,0))</f>
        <v/>
      </c>
      <c r="U2207" s="47">
        <f>INDEX(ChBaseCP,MATCH(E2207,ChName,0))*(1+INDEX(ProvMod,MATCH(G2207,ProvCode,0)))*(1+PriceIndex)</f>
        <v/>
      </c>
      <c r="V2207" s="47">
        <f>R2207*U2207*INDEX(FmtBlendedPriceIdx,MATCH(F2207,FmtName,0))</f>
        <v/>
      </c>
      <c r="W2207" s="47">
        <f>T2207*INDEX(ProvSRP,MATCH(G2207,ProvCode,0))*(1+PriceIndex)</f>
        <v/>
      </c>
      <c r="X2207" s="47">
        <f>IF(GrossBasis="Wholesale",V2207,W2207)</f>
        <v/>
      </c>
      <c r="Y2207" s="47">
        <f>R2207*INDEX(FmtBlendedCogs,MATCH(F2207,FmtName,0))</f>
        <v/>
      </c>
      <c r="Z2207" s="47">
        <f>X2207-Y2207</f>
        <v/>
      </c>
    </row>
    <row r="2208">
      <c r="A2208" t="n">
        <v>34</v>
      </c>
      <c r="B2208" s="44">
        <f>FiscalStart+(A2208-1)*7</f>
        <v/>
      </c>
      <c r="C2208">
        <f>TEXT(B2208,"mmm yyyy")</f>
        <v/>
      </c>
      <c r="D2208">
        <f>"Q"&amp;(INT((A2208-1)/13)+1)</f>
        <v/>
      </c>
      <c r="E2208" t="inlineStr">
        <is>
          <t>FDM</t>
        </is>
      </c>
      <c r="F2208">
        <f>IFERROR(INDEX(ChFormat,MATCH(E2208,ChName,0)),"")</f>
        <v/>
      </c>
      <c r="G2208" t="inlineStr">
        <is>
          <t>AB</t>
        </is>
      </c>
      <c r="H2208">
        <f>IF(A2208&lt;=NWeeks,1,0)</f>
        <v/>
      </c>
      <c r="I2208">
        <f>INDEX(ChLaunch,MATCH(E2208,ChName,0))</f>
        <v/>
      </c>
      <c r="J2208">
        <f>INDEX(ChWeeksFull,MATCH(E2208,ChName,0))</f>
        <v/>
      </c>
      <c r="K2208">
        <f>INDEX(ChRamp,MATCH(E2208,ChName,0))</f>
        <v/>
      </c>
      <c r="L2208" s="45">
        <f>MIN(1,MAX(0,(A2208-I2208+1)*RampSpeed/J2208))</f>
        <v/>
      </c>
      <c r="M2208" s="45">
        <f>IF(A2208&lt;I2208,0,IF(K2208="S-curve",L2208*L2208*(3-2*L2208),L2208))</f>
        <v/>
      </c>
      <c r="N2208" s="45">
        <f>1+(INDEX(SeasonIdx,A2208)-1)*SeasonAmp</f>
        <v/>
      </c>
      <c r="O2208" s="45">
        <f>IFERROR(INDEX(PSPct,MATCH(E2208&amp;"|"&amp;G2208,PSKey,0)),0)</f>
        <v/>
      </c>
      <c r="P2208" s="46">
        <f>INDEX(ChDoorVel,MATCH(E2208,ChName,0))*CalibScalar*(1+VelocityUplift)</f>
        <v/>
      </c>
      <c r="Q2208" s="46" t="n">
        <v>0</v>
      </c>
      <c r="R2208" s="46">
        <f>P2208*O2208*M2208*N2208*H2208</f>
        <v/>
      </c>
      <c r="S2208" s="46">
        <f>R2208*INDEX(FmtCansPerCase,MATCH(F2208,FmtName,0))</f>
        <v/>
      </c>
      <c r="T2208" s="46">
        <f>S2208/INDEX(FmtCansPerPack,MATCH(F2208,FmtName,0))</f>
        <v/>
      </c>
      <c r="U2208" s="47">
        <f>INDEX(ChBaseCP,MATCH(E2208,ChName,0))*(1+INDEX(ProvMod,MATCH(G2208,ProvCode,0)))*(1+PriceIndex)</f>
        <v/>
      </c>
      <c r="V2208" s="47">
        <f>R2208*U2208*INDEX(FmtBlendedPriceIdx,MATCH(F2208,FmtName,0))</f>
        <v/>
      </c>
      <c r="W2208" s="47">
        <f>T2208*INDEX(ProvSRP,MATCH(G2208,ProvCode,0))*(1+PriceIndex)</f>
        <v/>
      </c>
      <c r="X2208" s="47">
        <f>IF(GrossBasis="Wholesale",V2208,W2208)</f>
        <v/>
      </c>
      <c r="Y2208" s="47">
        <f>R2208*INDEX(FmtBlendedCogs,MATCH(F2208,FmtName,0))</f>
        <v/>
      </c>
      <c r="Z2208" s="47">
        <f>X2208-Y2208</f>
        <v/>
      </c>
    </row>
    <row r="2209">
      <c r="A2209" t="n">
        <v>35</v>
      </c>
      <c r="B2209" s="44">
        <f>FiscalStart+(A2209-1)*7</f>
        <v/>
      </c>
      <c r="C2209">
        <f>TEXT(B2209,"mmm yyyy")</f>
        <v/>
      </c>
      <c r="D2209">
        <f>"Q"&amp;(INT((A2209-1)/13)+1)</f>
        <v/>
      </c>
      <c r="E2209" t="inlineStr">
        <is>
          <t>FDM</t>
        </is>
      </c>
      <c r="F2209">
        <f>IFERROR(INDEX(ChFormat,MATCH(E2209,ChName,0)),"")</f>
        <v/>
      </c>
      <c r="G2209" t="inlineStr">
        <is>
          <t>AB</t>
        </is>
      </c>
      <c r="H2209">
        <f>IF(A2209&lt;=NWeeks,1,0)</f>
        <v/>
      </c>
      <c r="I2209">
        <f>INDEX(ChLaunch,MATCH(E2209,ChName,0))</f>
        <v/>
      </c>
      <c r="J2209">
        <f>INDEX(ChWeeksFull,MATCH(E2209,ChName,0))</f>
        <v/>
      </c>
      <c r="K2209">
        <f>INDEX(ChRamp,MATCH(E2209,ChName,0))</f>
        <v/>
      </c>
      <c r="L2209" s="45">
        <f>MIN(1,MAX(0,(A2209-I2209+1)*RampSpeed/J2209))</f>
        <v/>
      </c>
      <c r="M2209" s="45">
        <f>IF(A2209&lt;I2209,0,IF(K2209="S-curve",L2209*L2209*(3-2*L2209),L2209))</f>
        <v/>
      </c>
      <c r="N2209" s="45">
        <f>1+(INDEX(SeasonIdx,A2209)-1)*SeasonAmp</f>
        <v/>
      </c>
      <c r="O2209" s="45">
        <f>IFERROR(INDEX(PSPct,MATCH(E2209&amp;"|"&amp;G2209,PSKey,0)),0)</f>
        <v/>
      </c>
      <c r="P2209" s="46">
        <f>INDEX(ChDoorVel,MATCH(E2209,ChName,0))*CalibScalar*(1+VelocityUplift)</f>
        <v/>
      </c>
      <c r="Q2209" s="46" t="n">
        <v>0</v>
      </c>
      <c r="R2209" s="46">
        <f>P2209*O2209*M2209*N2209*H2209</f>
        <v/>
      </c>
      <c r="S2209" s="46">
        <f>R2209*INDEX(FmtCansPerCase,MATCH(F2209,FmtName,0))</f>
        <v/>
      </c>
      <c r="T2209" s="46">
        <f>S2209/INDEX(FmtCansPerPack,MATCH(F2209,FmtName,0))</f>
        <v/>
      </c>
      <c r="U2209" s="47">
        <f>INDEX(ChBaseCP,MATCH(E2209,ChName,0))*(1+INDEX(ProvMod,MATCH(G2209,ProvCode,0)))*(1+PriceIndex)</f>
        <v/>
      </c>
      <c r="V2209" s="47">
        <f>R2209*U2209*INDEX(FmtBlendedPriceIdx,MATCH(F2209,FmtName,0))</f>
        <v/>
      </c>
      <c r="W2209" s="47">
        <f>T2209*INDEX(ProvSRP,MATCH(G2209,ProvCode,0))*(1+PriceIndex)</f>
        <v/>
      </c>
      <c r="X2209" s="47">
        <f>IF(GrossBasis="Wholesale",V2209,W2209)</f>
        <v/>
      </c>
      <c r="Y2209" s="47">
        <f>R2209*INDEX(FmtBlendedCogs,MATCH(F2209,FmtName,0))</f>
        <v/>
      </c>
      <c r="Z2209" s="47">
        <f>X2209-Y2209</f>
        <v/>
      </c>
    </row>
    <row r="2210">
      <c r="A2210" t="n">
        <v>36</v>
      </c>
      <c r="B2210" s="44">
        <f>FiscalStart+(A2210-1)*7</f>
        <v/>
      </c>
      <c r="C2210">
        <f>TEXT(B2210,"mmm yyyy")</f>
        <v/>
      </c>
      <c r="D2210">
        <f>"Q"&amp;(INT((A2210-1)/13)+1)</f>
        <v/>
      </c>
      <c r="E2210" t="inlineStr">
        <is>
          <t>FDM</t>
        </is>
      </c>
      <c r="F2210">
        <f>IFERROR(INDEX(ChFormat,MATCH(E2210,ChName,0)),"")</f>
        <v/>
      </c>
      <c r="G2210" t="inlineStr">
        <is>
          <t>AB</t>
        </is>
      </c>
      <c r="H2210">
        <f>IF(A2210&lt;=NWeeks,1,0)</f>
        <v/>
      </c>
      <c r="I2210">
        <f>INDEX(ChLaunch,MATCH(E2210,ChName,0))</f>
        <v/>
      </c>
      <c r="J2210">
        <f>INDEX(ChWeeksFull,MATCH(E2210,ChName,0))</f>
        <v/>
      </c>
      <c r="K2210">
        <f>INDEX(ChRamp,MATCH(E2210,ChName,0))</f>
        <v/>
      </c>
      <c r="L2210" s="45">
        <f>MIN(1,MAX(0,(A2210-I2210+1)*RampSpeed/J2210))</f>
        <v/>
      </c>
      <c r="M2210" s="45">
        <f>IF(A2210&lt;I2210,0,IF(K2210="S-curve",L2210*L2210*(3-2*L2210),L2210))</f>
        <v/>
      </c>
      <c r="N2210" s="45">
        <f>1+(INDEX(SeasonIdx,A2210)-1)*SeasonAmp</f>
        <v/>
      </c>
      <c r="O2210" s="45">
        <f>IFERROR(INDEX(PSPct,MATCH(E2210&amp;"|"&amp;G2210,PSKey,0)),0)</f>
        <v/>
      </c>
      <c r="P2210" s="46">
        <f>INDEX(ChDoorVel,MATCH(E2210,ChName,0))*CalibScalar*(1+VelocityUplift)</f>
        <v/>
      </c>
      <c r="Q2210" s="46" t="n">
        <v>0</v>
      </c>
      <c r="R2210" s="46">
        <f>P2210*O2210*M2210*N2210*H2210</f>
        <v/>
      </c>
      <c r="S2210" s="46">
        <f>R2210*INDEX(FmtCansPerCase,MATCH(F2210,FmtName,0))</f>
        <v/>
      </c>
      <c r="T2210" s="46">
        <f>S2210/INDEX(FmtCansPerPack,MATCH(F2210,FmtName,0))</f>
        <v/>
      </c>
      <c r="U2210" s="47">
        <f>INDEX(ChBaseCP,MATCH(E2210,ChName,0))*(1+INDEX(ProvMod,MATCH(G2210,ProvCode,0)))*(1+PriceIndex)</f>
        <v/>
      </c>
      <c r="V2210" s="47">
        <f>R2210*U2210*INDEX(FmtBlendedPriceIdx,MATCH(F2210,FmtName,0))</f>
        <v/>
      </c>
      <c r="W2210" s="47">
        <f>T2210*INDEX(ProvSRP,MATCH(G2210,ProvCode,0))*(1+PriceIndex)</f>
        <v/>
      </c>
      <c r="X2210" s="47">
        <f>IF(GrossBasis="Wholesale",V2210,W2210)</f>
        <v/>
      </c>
      <c r="Y2210" s="47">
        <f>R2210*INDEX(FmtBlendedCogs,MATCH(F2210,FmtName,0))</f>
        <v/>
      </c>
      <c r="Z2210" s="47">
        <f>X2210-Y2210</f>
        <v/>
      </c>
    </row>
    <row r="2211">
      <c r="A2211" t="n">
        <v>37</v>
      </c>
      <c r="B2211" s="44">
        <f>FiscalStart+(A2211-1)*7</f>
        <v/>
      </c>
      <c r="C2211">
        <f>TEXT(B2211,"mmm yyyy")</f>
        <v/>
      </c>
      <c r="D2211">
        <f>"Q"&amp;(INT((A2211-1)/13)+1)</f>
        <v/>
      </c>
      <c r="E2211" t="inlineStr">
        <is>
          <t>FDM</t>
        </is>
      </c>
      <c r="F2211">
        <f>IFERROR(INDEX(ChFormat,MATCH(E2211,ChName,0)),"")</f>
        <v/>
      </c>
      <c r="G2211" t="inlineStr">
        <is>
          <t>AB</t>
        </is>
      </c>
      <c r="H2211">
        <f>IF(A2211&lt;=NWeeks,1,0)</f>
        <v/>
      </c>
      <c r="I2211">
        <f>INDEX(ChLaunch,MATCH(E2211,ChName,0))</f>
        <v/>
      </c>
      <c r="J2211">
        <f>INDEX(ChWeeksFull,MATCH(E2211,ChName,0))</f>
        <v/>
      </c>
      <c r="K2211">
        <f>INDEX(ChRamp,MATCH(E2211,ChName,0))</f>
        <v/>
      </c>
      <c r="L2211" s="45">
        <f>MIN(1,MAX(0,(A2211-I2211+1)*RampSpeed/J2211))</f>
        <v/>
      </c>
      <c r="M2211" s="45">
        <f>IF(A2211&lt;I2211,0,IF(K2211="S-curve",L2211*L2211*(3-2*L2211),L2211))</f>
        <v/>
      </c>
      <c r="N2211" s="45">
        <f>1+(INDEX(SeasonIdx,A2211)-1)*SeasonAmp</f>
        <v/>
      </c>
      <c r="O2211" s="45">
        <f>IFERROR(INDEX(PSPct,MATCH(E2211&amp;"|"&amp;G2211,PSKey,0)),0)</f>
        <v/>
      </c>
      <c r="P2211" s="46">
        <f>INDEX(ChDoorVel,MATCH(E2211,ChName,0))*CalibScalar*(1+VelocityUplift)</f>
        <v/>
      </c>
      <c r="Q2211" s="46" t="n">
        <v>0</v>
      </c>
      <c r="R2211" s="46">
        <f>P2211*O2211*M2211*N2211*H2211</f>
        <v/>
      </c>
      <c r="S2211" s="46">
        <f>R2211*INDEX(FmtCansPerCase,MATCH(F2211,FmtName,0))</f>
        <v/>
      </c>
      <c r="T2211" s="46">
        <f>S2211/INDEX(FmtCansPerPack,MATCH(F2211,FmtName,0))</f>
        <v/>
      </c>
      <c r="U2211" s="47">
        <f>INDEX(ChBaseCP,MATCH(E2211,ChName,0))*(1+INDEX(ProvMod,MATCH(G2211,ProvCode,0)))*(1+PriceIndex)</f>
        <v/>
      </c>
      <c r="V2211" s="47">
        <f>R2211*U2211*INDEX(FmtBlendedPriceIdx,MATCH(F2211,FmtName,0))</f>
        <v/>
      </c>
      <c r="W2211" s="47">
        <f>T2211*INDEX(ProvSRP,MATCH(G2211,ProvCode,0))*(1+PriceIndex)</f>
        <v/>
      </c>
      <c r="X2211" s="47">
        <f>IF(GrossBasis="Wholesale",V2211,W2211)</f>
        <v/>
      </c>
      <c r="Y2211" s="47">
        <f>R2211*INDEX(FmtBlendedCogs,MATCH(F2211,FmtName,0))</f>
        <v/>
      </c>
      <c r="Z2211" s="47">
        <f>X2211-Y2211</f>
        <v/>
      </c>
    </row>
    <row r="2212">
      <c r="A2212" t="n">
        <v>38</v>
      </c>
      <c r="B2212" s="44">
        <f>FiscalStart+(A2212-1)*7</f>
        <v/>
      </c>
      <c r="C2212">
        <f>TEXT(B2212,"mmm yyyy")</f>
        <v/>
      </c>
      <c r="D2212">
        <f>"Q"&amp;(INT((A2212-1)/13)+1)</f>
        <v/>
      </c>
      <c r="E2212" t="inlineStr">
        <is>
          <t>FDM</t>
        </is>
      </c>
      <c r="F2212">
        <f>IFERROR(INDEX(ChFormat,MATCH(E2212,ChName,0)),"")</f>
        <v/>
      </c>
      <c r="G2212" t="inlineStr">
        <is>
          <t>AB</t>
        </is>
      </c>
      <c r="H2212">
        <f>IF(A2212&lt;=NWeeks,1,0)</f>
        <v/>
      </c>
      <c r="I2212">
        <f>INDEX(ChLaunch,MATCH(E2212,ChName,0))</f>
        <v/>
      </c>
      <c r="J2212">
        <f>INDEX(ChWeeksFull,MATCH(E2212,ChName,0))</f>
        <v/>
      </c>
      <c r="K2212">
        <f>INDEX(ChRamp,MATCH(E2212,ChName,0))</f>
        <v/>
      </c>
      <c r="L2212" s="45">
        <f>MIN(1,MAX(0,(A2212-I2212+1)*RampSpeed/J2212))</f>
        <v/>
      </c>
      <c r="M2212" s="45">
        <f>IF(A2212&lt;I2212,0,IF(K2212="S-curve",L2212*L2212*(3-2*L2212),L2212))</f>
        <v/>
      </c>
      <c r="N2212" s="45">
        <f>1+(INDEX(SeasonIdx,A2212)-1)*SeasonAmp</f>
        <v/>
      </c>
      <c r="O2212" s="45">
        <f>IFERROR(INDEX(PSPct,MATCH(E2212&amp;"|"&amp;G2212,PSKey,0)),0)</f>
        <v/>
      </c>
      <c r="P2212" s="46">
        <f>INDEX(ChDoorVel,MATCH(E2212,ChName,0))*CalibScalar*(1+VelocityUplift)</f>
        <v/>
      </c>
      <c r="Q2212" s="46" t="n">
        <v>0</v>
      </c>
      <c r="R2212" s="46">
        <f>P2212*O2212*M2212*N2212*H2212</f>
        <v/>
      </c>
      <c r="S2212" s="46">
        <f>R2212*INDEX(FmtCansPerCase,MATCH(F2212,FmtName,0))</f>
        <v/>
      </c>
      <c r="T2212" s="46">
        <f>S2212/INDEX(FmtCansPerPack,MATCH(F2212,FmtName,0))</f>
        <v/>
      </c>
      <c r="U2212" s="47">
        <f>INDEX(ChBaseCP,MATCH(E2212,ChName,0))*(1+INDEX(ProvMod,MATCH(G2212,ProvCode,0)))*(1+PriceIndex)</f>
        <v/>
      </c>
      <c r="V2212" s="47">
        <f>R2212*U2212*INDEX(FmtBlendedPriceIdx,MATCH(F2212,FmtName,0))</f>
        <v/>
      </c>
      <c r="W2212" s="47">
        <f>T2212*INDEX(ProvSRP,MATCH(G2212,ProvCode,0))*(1+PriceIndex)</f>
        <v/>
      </c>
      <c r="X2212" s="47">
        <f>IF(GrossBasis="Wholesale",V2212,W2212)</f>
        <v/>
      </c>
      <c r="Y2212" s="47">
        <f>R2212*INDEX(FmtBlendedCogs,MATCH(F2212,FmtName,0))</f>
        <v/>
      </c>
      <c r="Z2212" s="47">
        <f>X2212-Y2212</f>
        <v/>
      </c>
    </row>
    <row r="2213">
      <c r="A2213" t="n">
        <v>39</v>
      </c>
      <c r="B2213" s="44">
        <f>FiscalStart+(A2213-1)*7</f>
        <v/>
      </c>
      <c r="C2213">
        <f>TEXT(B2213,"mmm yyyy")</f>
        <v/>
      </c>
      <c r="D2213">
        <f>"Q"&amp;(INT((A2213-1)/13)+1)</f>
        <v/>
      </c>
      <c r="E2213" t="inlineStr">
        <is>
          <t>FDM</t>
        </is>
      </c>
      <c r="F2213">
        <f>IFERROR(INDEX(ChFormat,MATCH(E2213,ChName,0)),"")</f>
        <v/>
      </c>
      <c r="G2213" t="inlineStr">
        <is>
          <t>AB</t>
        </is>
      </c>
      <c r="H2213">
        <f>IF(A2213&lt;=NWeeks,1,0)</f>
        <v/>
      </c>
      <c r="I2213">
        <f>INDEX(ChLaunch,MATCH(E2213,ChName,0))</f>
        <v/>
      </c>
      <c r="J2213">
        <f>INDEX(ChWeeksFull,MATCH(E2213,ChName,0))</f>
        <v/>
      </c>
      <c r="K2213">
        <f>INDEX(ChRamp,MATCH(E2213,ChName,0))</f>
        <v/>
      </c>
      <c r="L2213" s="45">
        <f>MIN(1,MAX(0,(A2213-I2213+1)*RampSpeed/J2213))</f>
        <v/>
      </c>
      <c r="M2213" s="45">
        <f>IF(A2213&lt;I2213,0,IF(K2213="S-curve",L2213*L2213*(3-2*L2213),L2213))</f>
        <v/>
      </c>
      <c r="N2213" s="45">
        <f>1+(INDEX(SeasonIdx,A2213)-1)*SeasonAmp</f>
        <v/>
      </c>
      <c r="O2213" s="45">
        <f>IFERROR(INDEX(PSPct,MATCH(E2213&amp;"|"&amp;G2213,PSKey,0)),0)</f>
        <v/>
      </c>
      <c r="P2213" s="46">
        <f>INDEX(ChDoorVel,MATCH(E2213,ChName,0))*CalibScalar*(1+VelocityUplift)</f>
        <v/>
      </c>
      <c r="Q2213" s="46" t="n">
        <v>0</v>
      </c>
      <c r="R2213" s="46">
        <f>P2213*O2213*M2213*N2213*H2213</f>
        <v/>
      </c>
      <c r="S2213" s="46">
        <f>R2213*INDEX(FmtCansPerCase,MATCH(F2213,FmtName,0))</f>
        <v/>
      </c>
      <c r="T2213" s="46">
        <f>S2213/INDEX(FmtCansPerPack,MATCH(F2213,FmtName,0))</f>
        <v/>
      </c>
      <c r="U2213" s="47">
        <f>INDEX(ChBaseCP,MATCH(E2213,ChName,0))*(1+INDEX(ProvMod,MATCH(G2213,ProvCode,0)))*(1+PriceIndex)</f>
        <v/>
      </c>
      <c r="V2213" s="47">
        <f>R2213*U2213*INDEX(FmtBlendedPriceIdx,MATCH(F2213,FmtName,0))</f>
        <v/>
      </c>
      <c r="W2213" s="47">
        <f>T2213*INDEX(ProvSRP,MATCH(G2213,ProvCode,0))*(1+PriceIndex)</f>
        <v/>
      </c>
      <c r="X2213" s="47">
        <f>IF(GrossBasis="Wholesale",V2213,W2213)</f>
        <v/>
      </c>
      <c r="Y2213" s="47">
        <f>R2213*INDEX(FmtBlendedCogs,MATCH(F2213,FmtName,0))</f>
        <v/>
      </c>
      <c r="Z2213" s="47">
        <f>X2213-Y2213</f>
        <v/>
      </c>
    </row>
    <row r="2214">
      <c r="A2214" t="n">
        <v>40</v>
      </c>
      <c r="B2214" s="44">
        <f>FiscalStart+(A2214-1)*7</f>
        <v/>
      </c>
      <c r="C2214">
        <f>TEXT(B2214,"mmm yyyy")</f>
        <v/>
      </c>
      <c r="D2214">
        <f>"Q"&amp;(INT((A2214-1)/13)+1)</f>
        <v/>
      </c>
      <c r="E2214" t="inlineStr">
        <is>
          <t>FDM</t>
        </is>
      </c>
      <c r="F2214">
        <f>IFERROR(INDEX(ChFormat,MATCH(E2214,ChName,0)),"")</f>
        <v/>
      </c>
      <c r="G2214" t="inlineStr">
        <is>
          <t>AB</t>
        </is>
      </c>
      <c r="H2214">
        <f>IF(A2214&lt;=NWeeks,1,0)</f>
        <v/>
      </c>
      <c r="I2214">
        <f>INDEX(ChLaunch,MATCH(E2214,ChName,0))</f>
        <v/>
      </c>
      <c r="J2214">
        <f>INDEX(ChWeeksFull,MATCH(E2214,ChName,0))</f>
        <v/>
      </c>
      <c r="K2214">
        <f>INDEX(ChRamp,MATCH(E2214,ChName,0))</f>
        <v/>
      </c>
      <c r="L2214" s="45">
        <f>MIN(1,MAX(0,(A2214-I2214+1)*RampSpeed/J2214))</f>
        <v/>
      </c>
      <c r="M2214" s="45">
        <f>IF(A2214&lt;I2214,0,IF(K2214="S-curve",L2214*L2214*(3-2*L2214),L2214))</f>
        <v/>
      </c>
      <c r="N2214" s="45">
        <f>1+(INDEX(SeasonIdx,A2214)-1)*SeasonAmp</f>
        <v/>
      </c>
      <c r="O2214" s="45">
        <f>IFERROR(INDEX(PSPct,MATCH(E2214&amp;"|"&amp;G2214,PSKey,0)),0)</f>
        <v/>
      </c>
      <c r="P2214" s="46">
        <f>INDEX(ChDoorVel,MATCH(E2214,ChName,0))*CalibScalar*(1+VelocityUplift)</f>
        <v/>
      </c>
      <c r="Q2214" s="46" t="n">
        <v>0</v>
      </c>
      <c r="R2214" s="46">
        <f>P2214*O2214*M2214*N2214*H2214</f>
        <v/>
      </c>
      <c r="S2214" s="46">
        <f>R2214*INDEX(FmtCansPerCase,MATCH(F2214,FmtName,0))</f>
        <v/>
      </c>
      <c r="T2214" s="46">
        <f>S2214/INDEX(FmtCansPerPack,MATCH(F2214,FmtName,0))</f>
        <v/>
      </c>
      <c r="U2214" s="47">
        <f>INDEX(ChBaseCP,MATCH(E2214,ChName,0))*(1+INDEX(ProvMod,MATCH(G2214,ProvCode,0)))*(1+PriceIndex)</f>
        <v/>
      </c>
      <c r="V2214" s="47">
        <f>R2214*U2214*INDEX(FmtBlendedPriceIdx,MATCH(F2214,FmtName,0))</f>
        <v/>
      </c>
      <c r="W2214" s="47">
        <f>T2214*INDEX(ProvSRP,MATCH(G2214,ProvCode,0))*(1+PriceIndex)</f>
        <v/>
      </c>
      <c r="X2214" s="47">
        <f>IF(GrossBasis="Wholesale",V2214,W2214)</f>
        <v/>
      </c>
      <c r="Y2214" s="47">
        <f>R2214*INDEX(FmtBlendedCogs,MATCH(F2214,FmtName,0))</f>
        <v/>
      </c>
      <c r="Z2214" s="47">
        <f>X2214-Y2214</f>
        <v/>
      </c>
    </row>
    <row r="2215">
      <c r="A2215" t="n">
        <v>41</v>
      </c>
      <c r="B2215" s="44">
        <f>FiscalStart+(A2215-1)*7</f>
        <v/>
      </c>
      <c r="C2215">
        <f>TEXT(B2215,"mmm yyyy")</f>
        <v/>
      </c>
      <c r="D2215">
        <f>"Q"&amp;(INT((A2215-1)/13)+1)</f>
        <v/>
      </c>
      <c r="E2215" t="inlineStr">
        <is>
          <t>FDM</t>
        </is>
      </c>
      <c r="F2215">
        <f>IFERROR(INDEX(ChFormat,MATCH(E2215,ChName,0)),"")</f>
        <v/>
      </c>
      <c r="G2215" t="inlineStr">
        <is>
          <t>AB</t>
        </is>
      </c>
      <c r="H2215">
        <f>IF(A2215&lt;=NWeeks,1,0)</f>
        <v/>
      </c>
      <c r="I2215">
        <f>INDEX(ChLaunch,MATCH(E2215,ChName,0))</f>
        <v/>
      </c>
      <c r="J2215">
        <f>INDEX(ChWeeksFull,MATCH(E2215,ChName,0))</f>
        <v/>
      </c>
      <c r="K2215">
        <f>INDEX(ChRamp,MATCH(E2215,ChName,0))</f>
        <v/>
      </c>
      <c r="L2215" s="45">
        <f>MIN(1,MAX(0,(A2215-I2215+1)*RampSpeed/J2215))</f>
        <v/>
      </c>
      <c r="M2215" s="45">
        <f>IF(A2215&lt;I2215,0,IF(K2215="S-curve",L2215*L2215*(3-2*L2215),L2215))</f>
        <v/>
      </c>
      <c r="N2215" s="45">
        <f>1+(INDEX(SeasonIdx,A2215)-1)*SeasonAmp</f>
        <v/>
      </c>
      <c r="O2215" s="45">
        <f>IFERROR(INDEX(PSPct,MATCH(E2215&amp;"|"&amp;G2215,PSKey,0)),0)</f>
        <v/>
      </c>
      <c r="P2215" s="46">
        <f>INDEX(ChDoorVel,MATCH(E2215,ChName,0))*CalibScalar*(1+VelocityUplift)</f>
        <v/>
      </c>
      <c r="Q2215" s="46" t="n">
        <v>0</v>
      </c>
      <c r="R2215" s="46">
        <f>P2215*O2215*M2215*N2215*H2215</f>
        <v/>
      </c>
      <c r="S2215" s="46">
        <f>R2215*INDEX(FmtCansPerCase,MATCH(F2215,FmtName,0))</f>
        <v/>
      </c>
      <c r="T2215" s="46">
        <f>S2215/INDEX(FmtCansPerPack,MATCH(F2215,FmtName,0))</f>
        <v/>
      </c>
      <c r="U2215" s="47">
        <f>INDEX(ChBaseCP,MATCH(E2215,ChName,0))*(1+INDEX(ProvMod,MATCH(G2215,ProvCode,0)))*(1+PriceIndex)</f>
        <v/>
      </c>
      <c r="V2215" s="47">
        <f>R2215*U2215*INDEX(FmtBlendedPriceIdx,MATCH(F2215,FmtName,0))</f>
        <v/>
      </c>
      <c r="W2215" s="47">
        <f>T2215*INDEX(ProvSRP,MATCH(G2215,ProvCode,0))*(1+PriceIndex)</f>
        <v/>
      </c>
      <c r="X2215" s="47">
        <f>IF(GrossBasis="Wholesale",V2215,W2215)</f>
        <v/>
      </c>
      <c r="Y2215" s="47">
        <f>R2215*INDEX(FmtBlendedCogs,MATCH(F2215,FmtName,0))</f>
        <v/>
      </c>
      <c r="Z2215" s="47">
        <f>X2215-Y2215</f>
        <v/>
      </c>
    </row>
    <row r="2216">
      <c r="A2216" t="n">
        <v>42</v>
      </c>
      <c r="B2216" s="44">
        <f>FiscalStart+(A2216-1)*7</f>
        <v/>
      </c>
      <c r="C2216">
        <f>TEXT(B2216,"mmm yyyy")</f>
        <v/>
      </c>
      <c r="D2216">
        <f>"Q"&amp;(INT((A2216-1)/13)+1)</f>
        <v/>
      </c>
      <c r="E2216" t="inlineStr">
        <is>
          <t>FDM</t>
        </is>
      </c>
      <c r="F2216">
        <f>IFERROR(INDEX(ChFormat,MATCH(E2216,ChName,0)),"")</f>
        <v/>
      </c>
      <c r="G2216" t="inlineStr">
        <is>
          <t>AB</t>
        </is>
      </c>
      <c r="H2216">
        <f>IF(A2216&lt;=NWeeks,1,0)</f>
        <v/>
      </c>
      <c r="I2216">
        <f>INDEX(ChLaunch,MATCH(E2216,ChName,0))</f>
        <v/>
      </c>
      <c r="J2216">
        <f>INDEX(ChWeeksFull,MATCH(E2216,ChName,0))</f>
        <v/>
      </c>
      <c r="K2216">
        <f>INDEX(ChRamp,MATCH(E2216,ChName,0))</f>
        <v/>
      </c>
      <c r="L2216" s="45">
        <f>MIN(1,MAX(0,(A2216-I2216+1)*RampSpeed/J2216))</f>
        <v/>
      </c>
      <c r="M2216" s="45">
        <f>IF(A2216&lt;I2216,0,IF(K2216="S-curve",L2216*L2216*(3-2*L2216),L2216))</f>
        <v/>
      </c>
      <c r="N2216" s="45">
        <f>1+(INDEX(SeasonIdx,A2216)-1)*SeasonAmp</f>
        <v/>
      </c>
      <c r="O2216" s="45">
        <f>IFERROR(INDEX(PSPct,MATCH(E2216&amp;"|"&amp;G2216,PSKey,0)),0)</f>
        <v/>
      </c>
      <c r="P2216" s="46">
        <f>INDEX(ChDoorVel,MATCH(E2216,ChName,0))*CalibScalar*(1+VelocityUplift)</f>
        <v/>
      </c>
      <c r="Q2216" s="46" t="n">
        <v>0</v>
      </c>
      <c r="R2216" s="46">
        <f>P2216*O2216*M2216*N2216*H2216</f>
        <v/>
      </c>
      <c r="S2216" s="46">
        <f>R2216*INDEX(FmtCansPerCase,MATCH(F2216,FmtName,0))</f>
        <v/>
      </c>
      <c r="T2216" s="46">
        <f>S2216/INDEX(FmtCansPerPack,MATCH(F2216,FmtName,0))</f>
        <v/>
      </c>
      <c r="U2216" s="47">
        <f>INDEX(ChBaseCP,MATCH(E2216,ChName,0))*(1+INDEX(ProvMod,MATCH(G2216,ProvCode,0)))*(1+PriceIndex)</f>
        <v/>
      </c>
      <c r="V2216" s="47">
        <f>R2216*U2216*INDEX(FmtBlendedPriceIdx,MATCH(F2216,FmtName,0))</f>
        <v/>
      </c>
      <c r="W2216" s="47">
        <f>T2216*INDEX(ProvSRP,MATCH(G2216,ProvCode,0))*(1+PriceIndex)</f>
        <v/>
      </c>
      <c r="X2216" s="47">
        <f>IF(GrossBasis="Wholesale",V2216,W2216)</f>
        <v/>
      </c>
      <c r="Y2216" s="47">
        <f>R2216*INDEX(FmtBlendedCogs,MATCH(F2216,FmtName,0))</f>
        <v/>
      </c>
      <c r="Z2216" s="47">
        <f>X2216-Y2216</f>
        <v/>
      </c>
    </row>
    <row r="2217">
      <c r="A2217" t="n">
        <v>43</v>
      </c>
      <c r="B2217" s="44">
        <f>FiscalStart+(A2217-1)*7</f>
        <v/>
      </c>
      <c r="C2217">
        <f>TEXT(B2217,"mmm yyyy")</f>
        <v/>
      </c>
      <c r="D2217">
        <f>"Q"&amp;(INT((A2217-1)/13)+1)</f>
        <v/>
      </c>
      <c r="E2217" t="inlineStr">
        <is>
          <t>FDM</t>
        </is>
      </c>
      <c r="F2217">
        <f>IFERROR(INDEX(ChFormat,MATCH(E2217,ChName,0)),"")</f>
        <v/>
      </c>
      <c r="G2217" t="inlineStr">
        <is>
          <t>AB</t>
        </is>
      </c>
      <c r="H2217">
        <f>IF(A2217&lt;=NWeeks,1,0)</f>
        <v/>
      </c>
      <c r="I2217">
        <f>INDEX(ChLaunch,MATCH(E2217,ChName,0))</f>
        <v/>
      </c>
      <c r="J2217">
        <f>INDEX(ChWeeksFull,MATCH(E2217,ChName,0))</f>
        <v/>
      </c>
      <c r="K2217">
        <f>INDEX(ChRamp,MATCH(E2217,ChName,0))</f>
        <v/>
      </c>
      <c r="L2217" s="45">
        <f>MIN(1,MAX(0,(A2217-I2217+1)*RampSpeed/J2217))</f>
        <v/>
      </c>
      <c r="M2217" s="45">
        <f>IF(A2217&lt;I2217,0,IF(K2217="S-curve",L2217*L2217*(3-2*L2217),L2217))</f>
        <v/>
      </c>
      <c r="N2217" s="45">
        <f>1+(INDEX(SeasonIdx,A2217)-1)*SeasonAmp</f>
        <v/>
      </c>
      <c r="O2217" s="45">
        <f>IFERROR(INDEX(PSPct,MATCH(E2217&amp;"|"&amp;G2217,PSKey,0)),0)</f>
        <v/>
      </c>
      <c r="P2217" s="46">
        <f>INDEX(ChDoorVel,MATCH(E2217,ChName,0))*CalibScalar*(1+VelocityUplift)</f>
        <v/>
      </c>
      <c r="Q2217" s="46" t="n">
        <v>0</v>
      </c>
      <c r="R2217" s="46">
        <f>P2217*O2217*M2217*N2217*H2217</f>
        <v/>
      </c>
      <c r="S2217" s="46">
        <f>R2217*INDEX(FmtCansPerCase,MATCH(F2217,FmtName,0))</f>
        <v/>
      </c>
      <c r="T2217" s="46">
        <f>S2217/INDEX(FmtCansPerPack,MATCH(F2217,FmtName,0))</f>
        <v/>
      </c>
      <c r="U2217" s="47">
        <f>INDEX(ChBaseCP,MATCH(E2217,ChName,0))*(1+INDEX(ProvMod,MATCH(G2217,ProvCode,0)))*(1+PriceIndex)</f>
        <v/>
      </c>
      <c r="V2217" s="47">
        <f>R2217*U2217*INDEX(FmtBlendedPriceIdx,MATCH(F2217,FmtName,0))</f>
        <v/>
      </c>
      <c r="W2217" s="47">
        <f>T2217*INDEX(ProvSRP,MATCH(G2217,ProvCode,0))*(1+PriceIndex)</f>
        <v/>
      </c>
      <c r="X2217" s="47">
        <f>IF(GrossBasis="Wholesale",V2217,W2217)</f>
        <v/>
      </c>
      <c r="Y2217" s="47">
        <f>R2217*INDEX(FmtBlendedCogs,MATCH(F2217,FmtName,0))</f>
        <v/>
      </c>
      <c r="Z2217" s="47">
        <f>X2217-Y2217</f>
        <v/>
      </c>
    </row>
    <row r="2218">
      <c r="A2218" t="n">
        <v>44</v>
      </c>
      <c r="B2218" s="44">
        <f>FiscalStart+(A2218-1)*7</f>
        <v/>
      </c>
      <c r="C2218">
        <f>TEXT(B2218,"mmm yyyy")</f>
        <v/>
      </c>
      <c r="D2218">
        <f>"Q"&amp;(INT((A2218-1)/13)+1)</f>
        <v/>
      </c>
      <c r="E2218" t="inlineStr">
        <is>
          <t>FDM</t>
        </is>
      </c>
      <c r="F2218">
        <f>IFERROR(INDEX(ChFormat,MATCH(E2218,ChName,0)),"")</f>
        <v/>
      </c>
      <c r="G2218" t="inlineStr">
        <is>
          <t>AB</t>
        </is>
      </c>
      <c r="H2218">
        <f>IF(A2218&lt;=NWeeks,1,0)</f>
        <v/>
      </c>
      <c r="I2218">
        <f>INDEX(ChLaunch,MATCH(E2218,ChName,0))</f>
        <v/>
      </c>
      <c r="J2218">
        <f>INDEX(ChWeeksFull,MATCH(E2218,ChName,0))</f>
        <v/>
      </c>
      <c r="K2218">
        <f>INDEX(ChRamp,MATCH(E2218,ChName,0))</f>
        <v/>
      </c>
      <c r="L2218" s="45">
        <f>MIN(1,MAX(0,(A2218-I2218+1)*RampSpeed/J2218))</f>
        <v/>
      </c>
      <c r="M2218" s="45">
        <f>IF(A2218&lt;I2218,0,IF(K2218="S-curve",L2218*L2218*(3-2*L2218),L2218))</f>
        <v/>
      </c>
      <c r="N2218" s="45">
        <f>1+(INDEX(SeasonIdx,A2218)-1)*SeasonAmp</f>
        <v/>
      </c>
      <c r="O2218" s="45">
        <f>IFERROR(INDEX(PSPct,MATCH(E2218&amp;"|"&amp;G2218,PSKey,0)),0)</f>
        <v/>
      </c>
      <c r="P2218" s="46">
        <f>INDEX(ChDoorVel,MATCH(E2218,ChName,0))*CalibScalar*(1+VelocityUplift)</f>
        <v/>
      </c>
      <c r="Q2218" s="46" t="n">
        <v>0</v>
      </c>
      <c r="R2218" s="46">
        <f>P2218*O2218*M2218*N2218*H2218</f>
        <v/>
      </c>
      <c r="S2218" s="46">
        <f>R2218*INDEX(FmtCansPerCase,MATCH(F2218,FmtName,0))</f>
        <v/>
      </c>
      <c r="T2218" s="46">
        <f>S2218/INDEX(FmtCansPerPack,MATCH(F2218,FmtName,0))</f>
        <v/>
      </c>
      <c r="U2218" s="47">
        <f>INDEX(ChBaseCP,MATCH(E2218,ChName,0))*(1+INDEX(ProvMod,MATCH(G2218,ProvCode,0)))*(1+PriceIndex)</f>
        <v/>
      </c>
      <c r="V2218" s="47">
        <f>R2218*U2218*INDEX(FmtBlendedPriceIdx,MATCH(F2218,FmtName,0))</f>
        <v/>
      </c>
      <c r="W2218" s="47">
        <f>T2218*INDEX(ProvSRP,MATCH(G2218,ProvCode,0))*(1+PriceIndex)</f>
        <v/>
      </c>
      <c r="X2218" s="47">
        <f>IF(GrossBasis="Wholesale",V2218,W2218)</f>
        <v/>
      </c>
      <c r="Y2218" s="47">
        <f>R2218*INDEX(FmtBlendedCogs,MATCH(F2218,FmtName,0))</f>
        <v/>
      </c>
      <c r="Z2218" s="47">
        <f>X2218-Y2218</f>
        <v/>
      </c>
    </row>
    <row r="2219">
      <c r="A2219" t="n">
        <v>45</v>
      </c>
      <c r="B2219" s="44">
        <f>FiscalStart+(A2219-1)*7</f>
        <v/>
      </c>
      <c r="C2219">
        <f>TEXT(B2219,"mmm yyyy")</f>
        <v/>
      </c>
      <c r="D2219">
        <f>"Q"&amp;(INT((A2219-1)/13)+1)</f>
        <v/>
      </c>
      <c r="E2219" t="inlineStr">
        <is>
          <t>FDM</t>
        </is>
      </c>
      <c r="F2219">
        <f>IFERROR(INDEX(ChFormat,MATCH(E2219,ChName,0)),"")</f>
        <v/>
      </c>
      <c r="G2219" t="inlineStr">
        <is>
          <t>AB</t>
        </is>
      </c>
      <c r="H2219">
        <f>IF(A2219&lt;=NWeeks,1,0)</f>
        <v/>
      </c>
      <c r="I2219">
        <f>INDEX(ChLaunch,MATCH(E2219,ChName,0))</f>
        <v/>
      </c>
      <c r="J2219">
        <f>INDEX(ChWeeksFull,MATCH(E2219,ChName,0))</f>
        <v/>
      </c>
      <c r="K2219">
        <f>INDEX(ChRamp,MATCH(E2219,ChName,0))</f>
        <v/>
      </c>
      <c r="L2219" s="45">
        <f>MIN(1,MAX(0,(A2219-I2219+1)*RampSpeed/J2219))</f>
        <v/>
      </c>
      <c r="M2219" s="45">
        <f>IF(A2219&lt;I2219,0,IF(K2219="S-curve",L2219*L2219*(3-2*L2219),L2219))</f>
        <v/>
      </c>
      <c r="N2219" s="45">
        <f>1+(INDEX(SeasonIdx,A2219)-1)*SeasonAmp</f>
        <v/>
      </c>
      <c r="O2219" s="45">
        <f>IFERROR(INDEX(PSPct,MATCH(E2219&amp;"|"&amp;G2219,PSKey,0)),0)</f>
        <v/>
      </c>
      <c r="P2219" s="46">
        <f>INDEX(ChDoorVel,MATCH(E2219,ChName,0))*CalibScalar*(1+VelocityUplift)</f>
        <v/>
      </c>
      <c r="Q2219" s="46" t="n">
        <v>0</v>
      </c>
      <c r="R2219" s="46">
        <f>P2219*O2219*M2219*N2219*H2219</f>
        <v/>
      </c>
      <c r="S2219" s="46">
        <f>R2219*INDEX(FmtCansPerCase,MATCH(F2219,FmtName,0))</f>
        <v/>
      </c>
      <c r="T2219" s="46">
        <f>S2219/INDEX(FmtCansPerPack,MATCH(F2219,FmtName,0))</f>
        <v/>
      </c>
      <c r="U2219" s="47">
        <f>INDEX(ChBaseCP,MATCH(E2219,ChName,0))*(1+INDEX(ProvMod,MATCH(G2219,ProvCode,0)))*(1+PriceIndex)</f>
        <v/>
      </c>
      <c r="V2219" s="47">
        <f>R2219*U2219*INDEX(FmtBlendedPriceIdx,MATCH(F2219,FmtName,0))</f>
        <v/>
      </c>
      <c r="W2219" s="47">
        <f>T2219*INDEX(ProvSRP,MATCH(G2219,ProvCode,0))*(1+PriceIndex)</f>
        <v/>
      </c>
      <c r="X2219" s="47">
        <f>IF(GrossBasis="Wholesale",V2219,W2219)</f>
        <v/>
      </c>
      <c r="Y2219" s="47">
        <f>R2219*INDEX(FmtBlendedCogs,MATCH(F2219,FmtName,0))</f>
        <v/>
      </c>
      <c r="Z2219" s="47">
        <f>X2219-Y2219</f>
        <v/>
      </c>
    </row>
    <row r="2220">
      <c r="A2220" t="n">
        <v>46</v>
      </c>
      <c r="B2220" s="44">
        <f>FiscalStart+(A2220-1)*7</f>
        <v/>
      </c>
      <c r="C2220">
        <f>TEXT(B2220,"mmm yyyy")</f>
        <v/>
      </c>
      <c r="D2220">
        <f>"Q"&amp;(INT((A2220-1)/13)+1)</f>
        <v/>
      </c>
      <c r="E2220" t="inlineStr">
        <is>
          <t>FDM</t>
        </is>
      </c>
      <c r="F2220">
        <f>IFERROR(INDEX(ChFormat,MATCH(E2220,ChName,0)),"")</f>
        <v/>
      </c>
      <c r="G2220" t="inlineStr">
        <is>
          <t>AB</t>
        </is>
      </c>
      <c r="H2220">
        <f>IF(A2220&lt;=NWeeks,1,0)</f>
        <v/>
      </c>
      <c r="I2220">
        <f>INDEX(ChLaunch,MATCH(E2220,ChName,0))</f>
        <v/>
      </c>
      <c r="J2220">
        <f>INDEX(ChWeeksFull,MATCH(E2220,ChName,0))</f>
        <v/>
      </c>
      <c r="K2220">
        <f>INDEX(ChRamp,MATCH(E2220,ChName,0))</f>
        <v/>
      </c>
      <c r="L2220" s="45">
        <f>MIN(1,MAX(0,(A2220-I2220+1)*RampSpeed/J2220))</f>
        <v/>
      </c>
      <c r="M2220" s="45">
        <f>IF(A2220&lt;I2220,0,IF(K2220="S-curve",L2220*L2220*(3-2*L2220),L2220))</f>
        <v/>
      </c>
      <c r="N2220" s="45">
        <f>1+(INDEX(SeasonIdx,A2220)-1)*SeasonAmp</f>
        <v/>
      </c>
      <c r="O2220" s="45">
        <f>IFERROR(INDEX(PSPct,MATCH(E2220&amp;"|"&amp;G2220,PSKey,0)),0)</f>
        <v/>
      </c>
      <c r="P2220" s="46">
        <f>INDEX(ChDoorVel,MATCH(E2220,ChName,0))*CalibScalar*(1+VelocityUplift)</f>
        <v/>
      </c>
      <c r="Q2220" s="46" t="n">
        <v>0</v>
      </c>
      <c r="R2220" s="46">
        <f>P2220*O2220*M2220*N2220*H2220</f>
        <v/>
      </c>
      <c r="S2220" s="46">
        <f>R2220*INDEX(FmtCansPerCase,MATCH(F2220,FmtName,0))</f>
        <v/>
      </c>
      <c r="T2220" s="46">
        <f>S2220/INDEX(FmtCansPerPack,MATCH(F2220,FmtName,0))</f>
        <v/>
      </c>
      <c r="U2220" s="47">
        <f>INDEX(ChBaseCP,MATCH(E2220,ChName,0))*(1+INDEX(ProvMod,MATCH(G2220,ProvCode,0)))*(1+PriceIndex)</f>
        <v/>
      </c>
      <c r="V2220" s="47">
        <f>R2220*U2220*INDEX(FmtBlendedPriceIdx,MATCH(F2220,FmtName,0))</f>
        <v/>
      </c>
      <c r="W2220" s="47">
        <f>T2220*INDEX(ProvSRP,MATCH(G2220,ProvCode,0))*(1+PriceIndex)</f>
        <v/>
      </c>
      <c r="X2220" s="47">
        <f>IF(GrossBasis="Wholesale",V2220,W2220)</f>
        <v/>
      </c>
      <c r="Y2220" s="47">
        <f>R2220*INDEX(FmtBlendedCogs,MATCH(F2220,FmtName,0))</f>
        <v/>
      </c>
      <c r="Z2220" s="47">
        <f>X2220-Y2220</f>
        <v/>
      </c>
    </row>
    <row r="2221">
      <c r="A2221" t="n">
        <v>47</v>
      </c>
      <c r="B2221" s="44">
        <f>FiscalStart+(A2221-1)*7</f>
        <v/>
      </c>
      <c r="C2221">
        <f>TEXT(B2221,"mmm yyyy")</f>
        <v/>
      </c>
      <c r="D2221">
        <f>"Q"&amp;(INT((A2221-1)/13)+1)</f>
        <v/>
      </c>
      <c r="E2221" t="inlineStr">
        <is>
          <t>FDM</t>
        </is>
      </c>
      <c r="F2221">
        <f>IFERROR(INDEX(ChFormat,MATCH(E2221,ChName,0)),"")</f>
        <v/>
      </c>
      <c r="G2221" t="inlineStr">
        <is>
          <t>AB</t>
        </is>
      </c>
      <c r="H2221">
        <f>IF(A2221&lt;=NWeeks,1,0)</f>
        <v/>
      </c>
      <c r="I2221">
        <f>INDEX(ChLaunch,MATCH(E2221,ChName,0))</f>
        <v/>
      </c>
      <c r="J2221">
        <f>INDEX(ChWeeksFull,MATCH(E2221,ChName,0))</f>
        <v/>
      </c>
      <c r="K2221">
        <f>INDEX(ChRamp,MATCH(E2221,ChName,0))</f>
        <v/>
      </c>
      <c r="L2221" s="45">
        <f>MIN(1,MAX(0,(A2221-I2221+1)*RampSpeed/J2221))</f>
        <v/>
      </c>
      <c r="M2221" s="45">
        <f>IF(A2221&lt;I2221,0,IF(K2221="S-curve",L2221*L2221*(3-2*L2221),L2221))</f>
        <v/>
      </c>
      <c r="N2221" s="45">
        <f>1+(INDEX(SeasonIdx,A2221)-1)*SeasonAmp</f>
        <v/>
      </c>
      <c r="O2221" s="45">
        <f>IFERROR(INDEX(PSPct,MATCH(E2221&amp;"|"&amp;G2221,PSKey,0)),0)</f>
        <v/>
      </c>
      <c r="P2221" s="46">
        <f>INDEX(ChDoorVel,MATCH(E2221,ChName,0))*CalibScalar*(1+VelocityUplift)</f>
        <v/>
      </c>
      <c r="Q2221" s="46" t="n">
        <v>0</v>
      </c>
      <c r="R2221" s="46">
        <f>P2221*O2221*M2221*N2221*H2221</f>
        <v/>
      </c>
      <c r="S2221" s="46">
        <f>R2221*INDEX(FmtCansPerCase,MATCH(F2221,FmtName,0))</f>
        <v/>
      </c>
      <c r="T2221" s="46">
        <f>S2221/INDEX(FmtCansPerPack,MATCH(F2221,FmtName,0))</f>
        <v/>
      </c>
      <c r="U2221" s="47">
        <f>INDEX(ChBaseCP,MATCH(E2221,ChName,0))*(1+INDEX(ProvMod,MATCH(G2221,ProvCode,0)))*(1+PriceIndex)</f>
        <v/>
      </c>
      <c r="V2221" s="47">
        <f>R2221*U2221*INDEX(FmtBlendedPriceIdx,MATCH(F2221,FmtName,0))</f>
        <v/>
      </c>
      <c r="W2221" s="47">
        <f>T2221*INDEX(ProvSRP,MATCH(G2221,ProvCode,0))*(1+PriceIndex)</f>
        <v/>
      </c>
      <c r="X2221" s="47">
        <f>IF(GrossBasis="Wholesale",V2221,W2221)</f>
        <v/>
      </c>
      <c r="Y2221" s="47">
        <f>R2221*INDEX(FmtBlendedCogs,MATCH(F2221,FmtName,0))</f>
        <v/>
      </c>
      <c r="Z2221" s="47">
        <f>X2221-Y2221</f>
        <v/>
      </c>
    </row>
    <row r="2222">
      <c r="A2222" t="n">
        <v>48</v>
      </c>
      <c r="B2222" s="44">
        <f>FiscalStart+(A2222-1)*7</f>
        <v/>
      </c>
      <c r="C2222">
        <f>TEXT(B2222,"mmm yyyy")</f>
        <v/>
      </c>
      <c r="D2222">
        <f>"Q"&amp;(INT((A2222-1)/13)+1)</f>
        <v/>
      </c>
      <c r="E2222" t="inlineStr">
        <is>
          <t>FDM</t>
        </is>
      </c>
      <c r="F2222">
        <f>IFERROR(INDEX(ChFormat,MATCH(E2222,ChName,0)),"")</f>
        <v/>
      </c>
      <c r="G2222" t="inlineStr">
        <is>
          <t>AB</t>
        </is>
      </c>
      <c r="H2222">
        <f>IF(A2222&lt;=NWeeks,1,0)</f>
        <v/>
      </c>
      <c r="I2222">
        <f>INDEX(ChLaunch,MATCH(E2222,ChName,0))</f>
        <v/>
      </c>
      <c r="J2222">
        <f>INDEX(ChWeeksFull,MATCH(E2222,ChName,0))</f>
        <v/>
      </c>
      <c r="K2222">
        <f>INDEX(ChRamp,MATCH(E2222,ChName,0))</f>
        <v/>
      </c>
      <c r="L2222" s="45">
        <f>MIN(1,MAX(0,(A2222-I2222+1)*RampSpeed/J2222))</f>
        <v/>
      </c>
      <c r="M2222" s="45">
        <f>IF(A2222&lt;I2222,0,IF(K2222="S-curve",L2222*L2222*(3-2*L2222),L2222))</f>
        <v/>
      </c>
      <c r="N2222" s="45">
        <f>1+(INDEX(SeasonIdx,A2222)-1)*SeasonAmp</f>
        <v/>
      </c>
      <c r="O2222" s="45">
        <f>IFERROR(INDEX(PSPct,MATCH(E2222&amp;"|"&amp;G2222,PSKey,0)),0)</f>
        <v/>
      </c>
      <c r="P2222" s="46">
        <f>INDEX(ChDoorVel,MATCH(E2222,ChName,0))*CalibScalar*(1+VelocityUplift)</f>
        <v/>
      </c>
      <c r="Q2222" s="46" t="n">
        <v>0</v>
      </c>
      <c r="R2222" s="46">
        <f>P2222*O2222*M2222*N2222*H2222</f>
        <v/>
      </c>
      <c r="S2222" s="46">
        <f>R2222*INDEX(FmtCansPerCase,MATCH(F2222,FmtName,0))</f>
        <v/>
      </c>
      <c r="T2222" s="46">
        <f>S2222/INDEX(FmtCansPerPack,MATCH(F2222,FmtName,0))</f>
        <v/>
      </c>
      <c r="U2222" s="47">
        <f>INDEX(ChBaseCP,MATCH(E2222,ChName,0))*(1+INDEX(ProvMod,MATCH(G2222,ProvCode,0)))*(1+PriceIndex)</f>
        <v/>
      </c>
      <c r="V2222" s="47">
        <f>R2222*U2222*INDEX(FmtBlendedPriceIdx,MATCH(F2222,FmtName,0))</f>
        <v/>
      </c>
      <c r="W2222" s="47">
        <f>T2222*INDEX(ProvSRP,MATCH(G2222,ProvCode,0))*(1+PriceIndex)</f>
        <v/>
      </c>
      <c r="X2222" s="47">
        <f>IF(GrossBasis="Wholesale",V2222,W2222)</f>
        <v/>
      </c>
      <c r="Y2222" s="47">
        <f>R2222*INDEX(FmtBlendedCogs,MATCH(F2222,FmtName,0))</f>
        <v/>
      </c>
      <c r="Z2222" s="47">
        <f>X2222-Y2222</f>
        <v/>
      </c>
    </row>
    <row r="2223">
      <c r="A2223" t="n">
        <v>49</v>
      </c>
      <c r="B2223" s="44">
        <f>FiscalStart+(A2223-1)*7</f>
        <v/>
      </c>
      <c r="C2223">
        <f>TEXT(B2223,"mmm yyyy")</f>
        <v/>
      </c>
      <c r="D2223">
        <f>"Q"&amp;(INT((A2223-1)/13)+1)</f>
        <v/>
      </c>
      <c r="E2223" t="inlineStr">
        <is>
          <t>FDM</t>
        </is>
      </c>
      <c r="F2223">
        <f>IFERROR(INDEX(ChFormat,MATCH(E2223,ChName,0)),"")</f>
        <v/>
      </c>
      <c r="G2223" t="inlineStr">
        <is>
          <t>AB</t>
        </is>
      </c>
      <c r="H2223">
        <f>IF(A2223&lt;=NWeeks,1,0)</f>
        <v/>
      </c>
      <c r="I2223">
        <f>INDEX(ChLaunch,MATCH(E2223,ChName,0))</f>
        <v/>
      </c>
      <c r="J2223">
        <f>INDEX(ChWeeksFull,MATCH(E2223,ChName,0))</f>
        <v/>
      </c>
      <c r="K2223">
        <f>INDEX(ChRamp,MATCH(E2223,ChName,0))</f>
        <v/>
      </c>
      <c r="L2223" s="45">
        <f>MIN(1,MAX(0,(A2223-I2223+1)*RampSpeed/J2223))</f>
        <v/>
      </c>
      <c r="M2223" s="45">
        <f>IF(A2223&lt;I2223,0,IF(K2223="S-curve",L2223*L2223*(3-2*L2223),L2223))</f>
        <v/>
      </c>
      <c r="N2223" s="45">
        <f>1+(INDEX(SeasonIdx,A2223)-1)*SeasonAmp</f>
        <v/>
      </c>
      <c r="O2223" s="45">
        <f>IFERROR(INDEX(PSPct,MATCH(E2223&amp;"|"&amp;G2223,PSKey,0)),0)</f>
        <v/>
      </c>
      <c r="P2223" s="46">
        <f>INDEX(ChDoorVel,MATCH(E2223,ChName,0))*CalibScalar*(1+VelocityUplift)</f>
        <v/>
      </c>
      <c r="Q2223" s="46" t="n">
        <v>0</v>
      </c>
      <c r="R2223" s="46">
        <f>P2223*O2223*M2223*N2223*H2223</f>
        <v/>
      </c>
      <c r="S2223" s="46">
        <f>R2223*INDEX(FmtCansPerCase,MATCH(F2223,FmtName,0))</f>
        <v/>
      </c>
      <c r="T2223" s="46">
        <f>S2223/INDEX(FmtCansPerPack,MATCH(F2223,FmtName,0))</f>
        <v/>
      </c>
      <c r="U2223" s="47">
        <f>INDEX(ChBaseCP,MATCH(E2223,ChName,0))*(1+INDEX(ProvMod,MATCH(G2223,ProvCode,0)))*(1+PriceIndex)</f>
        <v/>
      </c>
      <c r="V2223" s="47">
        <f>R2223*U2223*INDEX(FmtBlendedPriceIdx,MATCH(F2223,FmtName,0))</f>
        <v/>
      </c>
      <c r="W2223" s="47">
        <f>T2223*INDEX(ProvSRP,MATCH(G2223,ProvCode,0))*(1+PriceIndex)</f>
        <v/>
      </c>
      <c r="X2223" s="47">
        <f>IF(GrossBasis="Wholesale",V2223,W2223)</f>
        <v/>
      </c>
      <c r="Y2223" s="47">
        <f>R2223*INDEX(FmtBlendedCogs,MATCH(F2223,FmtName,0))</f>
        <v/>
      </c>
      <c r="Z2223" s="47">
        <f>X2223-Y2223</f>
        <v/>
      </c>
    </row>
    <row r="2224">
      <c r="A2224" t="n">
        <v>50</v>
      </c>
      <c r="B2224" s="44">
        <f>FiscalStart+(A2224-1)*7</f>
        <v/>
      </c>
      <c r="C2224">
        <f>TEXT(B2224,"mmm yyyy")</f>
        <v/>
      </c>
      <c r="D2224">
        <f>"Q"&amp;(INT((A2224-1)/13)+1)</f>
        <v/>
      </c>
      <c r="E2224" t="inlineStr">
        <is>
          <t>FDM</t>
        </is>
      </c>
      <c r="F2224">
        <f>IFERROR(INDEX(ChFormat,MATCH(E2224,ChName,0)),"")</f>
        <v/>
      </c>
      <c r="G2224" t="inlineStr">
        <is>
          <t>AB</t>
        </is>
      </c>
      <c r="H2224">
        <f>IF(A2224&lt;=NWeeks,1,0)</f>
        <v/>
      </c>
      <c r="I2224">
        <f>INDEX(ChLaunch,MATCH(E2224,ChName,0))</f>
        <v/>
      </c>
      <c r="J2224">
        <f>INDEX(ChWeeksFull,MATCH(E2224,ChName,0))</f>
        <v/>
      </c>
      <c r="K2224">
        <f>INDEX(ChRamp,MATCH(E2224,ChName,0))</f>
        <v/>
      </c>
      <c r="L2224" s="45">
        <f>MIN(1,MAX(0,(A2224-I2224+1)*RampSpeed/J2224))</f>
        <v/>
      </c>
      <c r="M2224" s="45">
        <f>IF(A2224&lt;I2224,0,IF(K2224="S-curve",L2224*L2224*(3-2*L2224),L2224))</f>
        <v/>
      </c>
      <c r="N2224" s="45">
        <f>1+(INDEX(SeasonIdx,A2224)-1)*SeasonAmp</f>
        <v/>
      </c>
      <c r="O2224" s="45">
        <f>IFERROR(INDEX(PSPct,MATCH(E2224&amp;"|"&amp;G2224,PSKey,0)),0)</f>
        <v/>
      </c>
      <c r="P2224" s="46">
        <f>INDEX(ChDoorVel,MATCH(E2224,ChName,0))*CalibScalar*(1+VelocityUplift)</f>
        <v/>
      </c>
      <c r="Q2224" s="46" t="n">
        <v>0</v>
      </c>
      <c r="R2224" s="46">
        <f>P2224*O2224*M2224*N2224*H2224</f>
        <v/>
      </c>
      <c r="S2224" s="46">
        <f>R2224*INDEX(FmtCansPerCase,MATCH(F2224,FmtName,0))</f>
        <v/>
      </c>
      <c r="T2224" s="46">
        <f>S2224/INDEX(FmtCansPerPack,MATCH(F2224,FmtName,0))</f>
        <v/>
      </c>
      <c r="U2224" s="47">
        <f>INDEX(ChBaseCP,MATCH(E2224,ChName,0))*(1+INDEX(ProvMod,MATCH(G2224,ProvCode,0)))*(1+PriceIndex)</f>
        <v/>
      </c>
      <c r="V2224" s="47">
        <f>R2224*U2224*INDEX(FmtBlendedPriceIdx,MATCH(F2224,FmtName,0))</f>
        <v/>
      </c>
      <c r="W2224" s="47">
        <f>T2224*INDEX(ProvSRP,MATCH(G2224,ProvCode,0))*(1+PriceIndex)</f>
        <v/>
      </c>
      <c r="X2224" s="47">
        <f>IF(GrossBasis="Wholesale",V2224,W2224)</f>
        <v/>
      </c>
      <c r="Y2224" s="47">
        <f>R2224*INDEX(FmtBlendedCogs,MATCH(F2224,FmtName,0))</f>
        <v/>
      </c>
      <c r="Z2224" s="47">
        <f>X2224-Y2224</f>
        <v/>
      </c>
    </row>
    <row r="2225">
      <c r="A2225" t="n">
        <v>51</v>
      </c>
      <c r="B2225" s="44">
        <f>FiscalStart+(A2225-1)*7</f>
        <v/>
      </c>
      <c r="C2225">
        <f>TEXT(B2225,"mmm yyyy")</f>
        <v/>
      </c>
      <c r="D2225">
        <f>"Q"&amp;(INT((A2225-1)/13)+1)</f>
        <v/>
      </c>
      <c r="E2225" t="inlineStr">
        <is>
          <t>FDM</t>
        </is>
      </c>
      <c r="F2225">
        <f>IFERROR(INDEX(ChFormat,MATCH(E2225,ChName,0)),"")</f>
        <v/>
      </c>
      <c r="G2225" t="inlineStr">
        <is>
          <t>AB</t>
        </is>
      </c>
      <c r="H2225">
        <f>IF(A2225&lt;=NWeeks,1,0)</f>
        <v/>
      </c>
      <c r="I2225">
        <f>INDEX(ChLaunch,MATCH(E2225,ChName,0))</f>
        <v/>
      </c>
      <c r="J2225">
        <f>INDEX(ChWeeksFull,MATCH(E2225,ChName,0))</f>
        <v/>
      </c>
      <c r="K2225">
        <f>INDEX(ChRamp,MATCH(E2225,ChName,0))</f>
        <v/>
      </c>
      <c r="L2225" s="45">
        <f>MIN(1,MAX(0,(A2225-I2225+1)*RampSpeed/J2225))</f>
        <v/>
      </c>
      <c r="M2225" s="45">
        <f>IF(A2225&lt;I2225,0,IF(K2225="S-curve",L2225*L2225*(3-2*L2225),L2225))</f>
        <v/>
      </c>
      <c r="N2225" s="45">
        <f>1+(INDEX(SeasonIdx,A2225)-1)*SeasonAmp</f>
        <v/>
      </c>
      <c r="O2225" s="45">
        <f>IFERROR(INDEX(PSPct,MATCH(E2225&amp;"|"&amp;G2225,PSKey,0)),0)</f>
        <v/>
      </c>
      <c r="P2225" s="46">
        <f>INDEX(ChDoorVel,MATCH(E2225,ChName,0))*CalibScalar*(1+VelocityUplift)</f>
        <v/>
      </c>
      <c r="Q2225" s="46" t="n">
        <v>0</v>
      </c>
      <c r="R2225" s="46">
        <f>P2225*O2225*M2225*N2225*H2225</f>
        <v/>
      </c>
      <c r="S2225" s="46">
        <f>R2225*INDEX(FmtCansPerCase,MATCH(F2225,FmtName,0))</f>
        <v/>
      </c>
      <c r="T2225" s="46">
        <f>S2225/INDEX(FmtCansPerPack,MATCH(F2225,FmtName,0))</f>
        <v/>
      </c>
      <c r="U2225" s="47">
        <f>INDEX(ChBaseCP,MATCH(E2225,ChName,0))*(1+INDEX(ProvMod,MATCH(G2225,ProvCode,0)))*(1+PriceIndex)</f>
        <v/>
      </c>
      <c r="V2225" s="47">
        <f>R2225*U2225*INDEX(FmtBlendedPriceIdx,MATCH(F2225,FmtName,0))</f>
        <v/>
      </c>
      <c r="W2225" s="47">
        <f>T2225*INDEX(ProvSRP,MATCH(G2225,ProvCode,0))*(1+PriceIndex)</f>
        <v/>
      </c>
      <c r="X2225" s="47">
        <f>IF(GrossBasis="Wholesale",V2225,W2225)</f>
        <v/>
      </c>
      <c r="Y2225" s="47">
        <f>R2225*INDEX(FmtBlendedCogs,MATCH(F2225,FmtName,0))</f>
        <v/>
      </c>
      <c r="Z2225" s="47">
        <f>X2225-Y2225</f>
        <v/>
      </c>
    </row>
    <row r="2226">
      <c r="A2226" t="n">
        <v>52</v>
      </c>
      <c r="B2226" s="44">
        <f>FiscalStart+(A2226-1)*7</f>
        <v/>
      </c>
      <c r="C2226">
        <f>TEXT(B2226,"mmm yyyy")</f>
        <v/>
      </c>
      <c r="D2226">
        <f>"Q"&amp;(INT((A2226-1)/13)+1)</f>
        <v/>
      </c>
      <c r="E2226" t="inlineStr">
        <is>
          <t>FDM</t>
        </is>
      </c>
      <c r="F2226">
        <f>IFERROR(INDEX(ChFormat,MATCH(E2226,ChName,0)),"")</f>
        <v/>
      </c>
      <c r="G2226" t="inlineStr">
        <is>
          <t>AB</t>
        </is>
      </c>
      <c r="H2226">
        <f>IF(A2226&lt;=NWeeks,1,0)</f>
        <v/>
      </c>
      <c r="I2226">
        <f>INDEX(ChLaunch,MATCH(E2226,ChName,0))</f>
        <v/>
      </c>
      <c r="J2226">
        <f>INDEX(ChWeeksFull,MATCH(E2226,ChName,0))</f>
        <v/>
      </c>
      <c r="K2226">
        <f>INDEX(ChRamp,MATCH(E2226,ChName,0))</f>
        <v/>
      </c>
      <c r="L2226" s="45">
        <f>MIN(1,MAX(0,(A2226-I2226+1)*RampSpeed/J2226))</f>
        <v/>
      </c>
      <c r="M2226" s="45">
        <f>IF(A2226&lt;I2226,0,IF(K2226="S-curve",L2226*L2226*(3-2*L2226),L2226))</f>
        <v/>
      </c>
      <c r="N2226" s="45">
        <f>1+(INDEX(SeasonIdx,A2226)-1)*SeasonAmp</f>
        <v/>
      </c>
      <c r="O2226" s="45">
        <f>IFERROR(INDEX(PSPct,MATCH(E2226&amp;"|"&amp;G2226,PSKey,0)),0)</f>
        <v/>
      </c>
      <c r="P2226" s="46">
        <f>INDEX(ChDoorVel,MATCH(E2226,ChName,0))*CalibScalar*(1+VelocityUplift)</f>
        <v/>
      </c>
      <c r="Q2226" s="46" t="n">
        <v>0</v>
      </c>
      <c r="R2226" s="46">
        <f>P2226*O2226*M2226*N2226*H2226</f>
        <v/>
      </c>
      <c r="S2226" s="46">
        <f>R2226*INDEX(FmtCansPerCase,MATCH(F2226,FmtName,0))</f>
        <v/>
      </c>
      <c r="T2226" s="46">
        <f>S2226/INDEX(FmtCansPerPack,MATCH(F2226,FmtName,0))</f>
        <v/>
      </c>
      <c r="U2226" s="47">
        <f>INDEX(ChBaseCP,MATCH(E2226,ChName,0))*(1+INDEX(ProvMod,MATCH(G2226,ProvCode,0)))*(1+PriceIndex)</f>
        <v/>
      </c>
      <c r="V2226" s="47">
        <f>R2226*U2226*INDEX(FmtBlendedPriceIdx,MATCH(F2226,FmtName,0))</f>
        <v/>
      </c>
      <c r="W2226" s="47">
        <f>T2226*INDEX(ProvSRP,MATCH(G2226,ProvCode,0))*(1+PriceIndex)</f>
        <v/>
      </c>
      <c r="X2226" s="47">
        <f>IF(GrossBasis="Wholesale",V2226,W2226)</f>
        <v/>
      </c>
      <c r="Y2226" s="47">
        <f>R2226*INDEX(FmtBlendedCogs,MATCH(F2226,FmtName,0))</f>
        <v/>
      </c>
      <c r="Z2226" s="47">
        <f>X2226-Y2226</f>
        <v/>
      </c>
    </row>
    <row r="2227">
      <c r="A2227" t="n">
        <v>53</v>
      </c>
      <c r="B2227" s="44">
        <f>FiscalStart+(A2227-1)*7</f>
        <v/>
      </c>
      <c r="C2227">
        <f>TEXT(B2227,"mmm yyyy")</f>
        <v/>
      </c>
      <c r="D2227">
        <f>"Q"&amp;(INT((A2227-1)/13)+1)</f>
        <v/>
      </c>
      <c r="E2227" t="inlineStr">
        <is>
          <t>FDM</t>
        </is>
      </c>
      <c r="F2227">
        <f>IFERROR(INDEX(ChFormat,MATCH(E2227,ChName,0)),"")</f>
        <v/>
      </c>
      <c r="G2227" t="inlineStr">
        <is>
          <t>AB</t>
        </is>
      </c>
      <c r="H2227">
        <f>IF(A2227&lt;=NWeeks,1,0)</f>
        <v/>
      </c>
      <c r="I2227">
        <f>INDEX(ChLaunch,MATCH(E2227,ChName,0))</f>
        <v/>
      </c>
      <c r="J2227">
        <f>INDEX(ChWeeksFull,MATCH(E2227,ChName,0))</f>
        <v/>
      </c>
      <c r="K2227">
        <f>INDEX(ChRamp,MATCH(E2227,ChName,0))</f>
        <v/>
      </c>
      <c r="L2227" s="45">
        <f>MIN(1,MAX(0,(A2227-I2227+1)*RampSpeed/J2227))</f>
        <v/>
      </c>
      <c r="M2227" s="45">
        <f>IF(A2227&lt;I2227,0,IF(K2227="S-curve",L2227*L2227*(3-2*L2227),L2227))</f>
        <v/>
      </c>
      <c r="N2227" s="45">
        <f>1+(INDEX(SeasonIdx,A2227)-1)*SeasonAmp</f>
        <v/>
      </c>
      <c r="O2227" s="45">
        <f>IFERROR(INDEX(PSPct,MATCH(E2227&amp;"|"&amp;G2227,PSKey,0)),0)</f>
        <v/>
      </c>
      <c r="P2227" s="46">
        <f>INDEX(ChDoorVel,MATCH(E2227,ChName,0))*CalibScalar*(1+VelocityUplift)</f>
        <v/>
      </c>
      <c r="Q2227" s="46" t="n">
        <v>0</v>
      </c>
      <c r="R2227" s="46">
        <f>P2227*O2227*M2227*N2227*H2227</f>
        <v/>
      </c>
      <c r="S2227" s="46">
        <f>R2227*INDEX(FmtCansPerCase,MATCH(F2227,FmtName,0))</f>
        <v/>
      </c>
      <c r="T2227" s="46">
        <f>S2227/INDEX(FmtCansPerPack,MATCH(F2227,FmtName,0))</f>
        <v/>
      </c>
      <c r="U2227" s="47">
        <f>INDEX(ChBaseCP,MATCH(E2227,ChName,0))*(1+INDEX(ProvMod,MATCH(G2227,ProvCode,0)))*(1+PriceIndex)</f>
        <v/>
      </c>
      <c r="V2227" s="47">
        <f>R2227*U2227*INDEX(FmtBlendedPriceIdx,MATCH(F2227,FmtName,0))</f>
        <v/>
      </c>
      <c r="W2227" s="47">
        <f>T2227*INDEX(ProvSRP,MATCH(G2227,ProvCode,0))*(1+PriceIndex)</f>
        <v/>
      </c>
      <c r="X2227" s="47">
        <f>IF(GrossBasis="Wholesale",V2227,W2227)</f>
        <v/>
      </c>
      <c r="Y2227" s="47">
        <f>R2227*INDEX(FmtBlendedCogs,MATCH(F2227,FmtName,0))</f>
        <v/>
      </c>
      <c r="Z2227" s="47">
        <f>X2227-Y2227</f>
        <v/>
      </c>
    </row>
    <row r="2228">
      <c r="A2228" t="n">
        <v>1</v>
      </c>
      <c r="B2228" s="44">
        <f>FiscalStart+(A2228-1)*7</f>
        <v/>
      </c>
      <c r="C2228">
        <f>TEXT(B2228,"mmm yyyy")</f>
        <v/>
      </c>
      <c r="D2228">
        <f>"Q"&amp;(INT((A2228-1)/13)+1)</f>
        <v/>
      </c>
      <c r="E2228" t="inlineStr">
        <is>
          <t>FDM</t>
        </is>
      </c>
      <c r="F2228">
        <f>IFERROR(INDEX(ChFormat,MATCH(E2228,ChName,0)),"")</f>
        <v/>
      </c>
      <c r="G2228" t="inlineStr">
        <is>
          <t>SK</t>
        </is>
      </c>
      <c r="H2228">
        <f>IF(A2228&lt;=NWeeks,1,0)</f>
        <v/>
      </c>
      <c r="I2228">
        <f>INDEX(ChLaunch,MATCH(E2228,ChName,0))</f>
        <v/>
      </c>
      <c r="J2228">
        <f>INDEX(ChWeeksFull,MATCH(E2228,ChName,0))</f>
        <v/>
      </c>
      <c r="K2228">
        <f>INDEX(ChRamp,MATCH(E2228,ChName,0))</f>
        <v/>
      </c>
      <c r="L2228" s="45">
        <f>MIN(1,MAX(0,(A2228-I2228+1)*RampSpeed/J2228))</f>
        <v/>
      </c>
      <c r="M2228" s="45">
        <f>IF(A2228&lt;I2228,0,IF(K2228="S-curve",L2228*L2228*(3-2*L2228),L2228))</f>
        <v/>
      </c>
      <c r="N2228" s="45">
        <f>1+(INDEX(SeasonIdx,A2228)-1)*SeasonAmp</f>
        <v/>
      </c>
      <c r="O2228" s="45">
        <f>IFERROR(INDEX(PSPct,MATCH(E2228&amp;"|"&amp;G2228,PSKey,0)),0)</f>
        <v/>
      </c>
      <c r="P2228" s="46">
        <f>INDEX(ChDoorVel,MATCH(E2228,ChName,0))*CalibScalar*(1+VelocityUplift)</f>
        <v/>
      </c>
      <c r="Q2228" s="46" t="n">
        <v>0</v>
      </c>
      <c r="R2228" s="46">
        <f>P2228*O2228*M2228*N2228*H2228</f>
        <v/>
      </c>
      <c r="S2228" s="46">
        <f>R2228*INDEX(FmtCansPerCase,MATCH(F2228,FmtName,0))</f>
        <v/>
      </c>
      <c r="T2228" s="46">
        <f>S2228/INDEX(FmtCansPerPack,MATCH(F2228,FmtName,0))</f>
        <v/>
      </c>
      <c r="U2228" s="47">
        <f>INDEX(ChBaseCP,MATCH(E2228,ChName,0))*(1+INDEX(ProvMod,MATCH(G2228,ProvCode,0)))*(1+PriceIndex)</f>
        <v/>
      </c>
      <c r="V2228" s="47">
        <f>R2228*U2228*INDEX(FmtBlendedPriceIdx,MATCH(F2228,FmtName,0))</f>
        <v/>
      </c>
      <c r="W2228" s="47">
        <f>T2228*INDEX(ProvSRP,MATCH(G2228,ProvCode,0))*(1+PriceIndex)</f>
        <v/>
      </c>
      <c r="X2228" s="47">
        <f>IF(GrossBasis="Wholesale",V2228,W2228)</f>
        <v/>
      </c>
      <c r="Y2228" s="47">
        <f>R2228*INDEX(FmtBlendedCogs,MATCH(F2228,FmtName,0))</f>
        <v/>
      </c>
      <c r="Z2228" s="47">
        <f>X2228-Y2228</f>
        <v/>
      </c>
    </row>
    <row r="2229">
      <c r="A2229" t="n">
        <v>2</v>
      </c>
      <c r="B2229" s="44">
        <f>FiscalStart+(A2229-1)*7</f>
        <v/>
      </c>
      <c r="C2229">
        <f>TEXT(B2229,"mmm yyyy")</f>
        <v/>
      </c>
      <c r="D2229">
        <f>"Q"&amp;(INT((A2229-1)/13)+1)</f>
        <v/>
      </c>
      <c r="E2229" t="inlineStr">
        <is>
          <t>FDM</t>
        </is>
      </c>
      <c r="F2229">
        <f>IFERROR(INDEX(ChFormat,MATCH(E2229,ChName,0)),"")</f>
        <v/>
      </c>
      <c r="G2229" t="inlineStr">
        <is>
          <t>SK</t>
        </is>
      </c>
      <c r="H2229">
        <f>IF(A2229&lt;=NWeeks,1,0)</f>
        <v/>
      </c>
      <c r="I2229">
        <f>INDEX(ChLaunch,MATCH(E2229,ChName,0))</f>
        <v/>
      </c>
      <c r="J2229">
        <f>INDEX(ChWeeksFull,MATCH(E2229,ChName,0))</f>
        <v/>
      </c>
      <c r="K2229">
        <f>INDEX(ChRamp,MATCH(E2229,ChName,0))</f>
        <v/>
      </c>
      <c r="L2229" s="45">
        <f>MIN(1,MAX(0,(A2229-I2229+1)*RampSpeed/J2229))</f>
        <v/>
      </c>
      <c r="M2229" s="45">
        <f>IF(A2229&lt;I2229,0,IF(K2229="S-curve",L2229*L2229*(3-2*L2229),L2229))</f>
        <v/>
      </c>
      <c r="N2229" s="45">
        <f>1+(INDEX(SeasonIdx,A2229)-1)*SeasonAmp</f>
        <v/>
      </c>
      <c r="O2229" s="45">
        <f>IFERROR(INDEX(PSPct,MATCH(E2229&amp;"|"&amp;G2229,PSKey,0)),0)</f>
        <v/>
      </c>
      <c r="P2229" s="46">
        <f>INDEX(ChDoorVel,MATCH(E2229,ChName,0))*CalibScalar*(1+VelocityUplift)</f>
        <v/>
      </c>
      <c r="Q2229" s="46" t="n">
        <v>0</v>
      </c>
      <c r="R2229" s="46">
        <f>P2229*O2229*M2229*N2229*H2229</f>
        <v/>
      </c>
      <c r="S2229" s="46">
        <f>R2229*INDEX(FmtCansPerCase,MATCH(F2229,FmtName,0))</f>
        <v/>
      </c>
      <c r="T2229" s="46">
        <f>S2229/INDEX(FmtCansPerPack,MATCH(F2229,FmtName,0))</f>
        <v/>
      </c>
      <c r="U2229" s="47">
        <f>INDEX(ChBaseCP,MATCH(E2229,ChName,0))*(1+INDEX(ProvMod,MATCH(G2229,ProvCode,0)))*(1+PriceIndex)</f>
        <v/>
      </c>
      <c r="V2229" s="47">
        <f>R2229*U2229*INDEX(FmtBlendedPriceIdx,MATCH(F2229,FmtName,0))</f>
        <v/>
      </c>
      <c r="W2229" s="47">
        <f>T2229*INDEX(ProvSRP,MATCH(G2229,ProvCode,0))*(1+PriceIndex)</f>
        <v/>
      </c>
      <c r="X2229" s="47">
        <f>IF(GrossBasis="Wholesale",V2229,W2229)</f>
        <v/>
      </c>
      <c r="Y2229" s="47">
        <f>R2229*INDEX(FmtBlendedCogs,MATCH(F2229,FmtName,0))</f>
        <v/>
      </c>
      <c r="Z2229" s="47">
        <f>X2229-Y2229</f>
        <v/>
      </c>
    </row>
    <row r="2230">
      <c r="A2230" t="n">
        <v>3</v>
      </c>
      <c r="B2230" s="44">
        <f>FiscalStart+(A2230-1)*7</f>
        <v/>
      </c>
      <c r="C2230">
        <f>TEXT(B2230,"mmm yyyy")</f>
        <v/>
      </c>
      <c r="D2230">
        <f>"Q"&amp;(INT((A2230-1)/13)+1)</f>
        <v/>
      </c>
      <c r="E2230" t="inlineStr">
        <is>
          <t>FDM</t>
        </is>
      </c>
      <c r="F2230">
        <f>IFERROR(INDEX(ChFormat,MATCH(E2230,ChName,0)),"")</f>
        <v/>
      </c>
      <c r="G2230" t="inlineStr">
        <is>
          <t>SK</t>
        </is>
      </c>
      <c r="H2230">
        <f>IF(A2230&lt;=NWeeks,1,0)</f>
        <v/>
      </c>
      <c r="I2230">
        <f>INDEX(ChLaunch,MATCH(E2230,ChName,0))</f>
        <v/>
      </c>
      <c r="J2230">
        <f>INDEX(ChWeeksFull,MATCH(E2230,ChName,0))</f>
        <v/>
      </c>
      <c r="K2230">
        <f>INDEX(ChRamp,MATCH(E2230,ChName,0))</f>
        <v/>
      </c>
      <c r="L2230" s="45">
        <f>MIN(1,MAX(0,(A2230-I2230+1)*RampSpeed/J2230))</f>
        <v/>
      </c>
      <c r="M2230" s="45">
        <f>IF(A2230&lt;I2230,0,IF(K2230="S-curve",L2230*L2230*(3-2*L2230),L2230))</f>
        <v/>
      </c>
      <c r="N2230" s="45">
        <f>1+(INDEX(SeasonIdx,A2230)-1)*SeasonAmp</f>
        <v/>
      </c>
      <c r="O2230" s="45">
        <f>IFERROR(INDEX(PSPct,MATCH(E2230&amp;"|"&amp;G2230,PSKey,0)),0)</f>
        <v/>
      </c>
      <c r="P2230" s="46">
        <f>INDEX(ChDoorVel,MATCH(E2230,ChName,0))*CalibScalar*(1+VelocityUplift)</f>
        <v/>
      </c>
      <c r="Q2230" s="46" t="n">
        <v>0</v>
      </c>
      <c r="R2230" s="46">
        <f>P2230*O2230*M2230*N2230*H2230</f>
        <v/>
      </c>
      <c r="S2230" s="46">
        <f>R2230*INDEX(FmtCansPerCase,MATCH(F2230,FmtName,0))</f>
        <v/>
      </c>
      <c r="T2230" s="46">
        <f>S2230/INDEX(FmtCansPerPack,MATCH(F2230,FmtName,0))</f>
        <v/>
      </c>
      <c r="U2230" s="47">
        <f>INDEX(ChBaseCP,MATCH(E2230,ChName,0))*(1+INDEX(ProvMod,MATCH(G2230,ProvCode,0)))*(1+PriceIndex)</f>
        <v/>
      </c>
      <c r="V2230" s="47">
        <f>R2230*U2230*INDEX(FmtBlendedPriceIdx,MATCH(F2230,FmtName,0))</f>
        <v/>
      </c>
      <c r="W2230" s="47">
        <f>T2230*INDEX(ProvSRP,MATCH(G2230,ProvCode,0))*(1+PriceIndex)</f>
        <v/>
      </c>
      <c r="X2230" s="47">
        <f>IF(GrossBasis="Wholesale",V2230,W2230)</f>
        <v/>
      </c>
      <c r="Y2230" s="47">
        <f>R2230*INDEX(FmtBlendedCogs,MATCH(F2230,FmtName,0))</f>
        <v/>
      </c>
      <c r="Z2230" s="47">
        <f>X2230-Y2230</f>
        <v/>
      </c>
    </row>
    <row r="2231">
      <c r="A2231" t="n">
        <v>4</v>
      </c>
      <c r="B2231" s="44">
        <f>FiscalStart+(A2231-1)*7</f>
        <v/>
      </c>
      <c r="C2231">
        <f>TEXT(B2231,"mmm yyyy")</f>
        <v/>
      </c>
      <c r="D2231">
        <f>"Q"&amp;(INT((A2231-1)/13)+1)</f>
        <v/>
      </c>
      <c r="E2231" t="inlineStr">
        <is>
          <t>FDM</t>
        </is>
      </c>
      <c r="F2231">
        <f>IFERROR(INDEX(ChFormat,MATCH(E2231,ChName,0)),"")</f>
        <v/>
      </c>
      <c r="G2231" t="inlineStr">
        <is>
          <t>SK</t>
        </is>
      </c>
      <c r="H2231">
        <f>IF(A2231&lt;=NWeeks,1,0)</f>
        <v/>
      </c>
      <c r="I2231">
        <f>INDEX(ChLaunch,MATCH(E2231,ChName,0))</f>
        <v/>
      </c>
      <c r="J2231">
        <f>INDEX(ChWeeksFull,MATCH(E2231,ChName,0))</f>
        <v/>
      </c>
      <c r="K2231">
        <f>INDEX(ChRamp,MATCH(E2231,ChName,0))</f>
        <v/>
      </c>
      <c r="L2231" s="45">
        <f>MIN(1,MAX(0,(A2231-I2231+1)*RampSpeed/J2231))</f>
        <v/>
      </c>
      <c r="M2231" s="45">
        <f>IF(A2231&lt;I2231,0,IF(K2231="S-curve",L2231*L2231*(3-2*L2231),L2231))</f>
        <v/>
      </c>
      <c r="N2231" s="45">
        <f>1+(INDEX(SeasonIdx,A2231)-1)*SeasonAmp</f>
        <v/>
      </c>
      <c r="O2231" s="45">
        <f>IFERROR(INDEX(PSPct,MATCH(E2231&amp;"|"&amp;G2231,PSKey,0)),0)</f>
        <v/>
      </c>
      <c r="P2231" s="46">
        <f>INDEX(ChDoorVel,MATCH(E2231,ChName,0))*CalibScalar*(1+VelocityUplift)</f>
        <v/>
      </c>
      <c r="Q2231" s="46" t="n">
        <v>0</v>
      </c>
      <c r="R2231" s="46">
        <f>P2231*O2231*M2231*N2231*H2231</f>
        <v/>
      </c>
      <c r="S2231" s="46">
        <f>R2231*INDEX(FmtCansPerCase,MATCH(F2231,FmtName,0))</f>
        <v/>
      </c>
      <c r="T2231" s="46">
        <f>S2231/INDEX(FmtCansPerPack,MATCH(F2231,FmtName,0))</f>
        <v/>
      </c>
      <c r="U2231" s="47">
        <f>INDEX(ChBaseCP,MATCH(E2231,ChName,0))*(1+INDEX(ProvMod,MATCH(G2231,ProvCode,0)))*(1+PriceIndex)</f>
        <v/>
      </c>
      <c r="V2231" s="47">
        <f>R2231*U2231*INDEX(FmtBlendedPriceIdx,MATCH(F2231,FmtName,0))</f>
        <v/>
      </c>
      <c r="W2231" s="47">
        <f>T2231*INDEX(ProvSRP,MATCH(G2231,ProvCode,0))*(1+PriceIndex)</f>
        <v/>
      </c>
      <c r="X2231" s="47">
        <f>IF(GrossBasis="Wholesale",V2231,W2231)</f>
        <v/>
      </c>
      <c r="Y2231" s="47">
        <f>R2231*INDEX(FmtBlendedCogs,MATCH(F2231,FmtName,0))</f>
        <v/>
      </c>
      <c r="Z2231" s="47">
        <f>X2231-Y2231</f>
        <v/>
      </c>
    </row>
    <row r="2232">
      <c r="A2232" t="n">
        <v>5</v>
      </c>
      <c r="B2232" s="44">
        <f>FiscalStart+(A2232-1)*7</f>
        <v/>
      </c>
      <c r="C2232">
        <f>TEXT(B2232,"mmm yyyy")</f>
        <v/>
      </c>
      <c r="D2232">
        <f>"Q"&amp;(INT((A2232-1)/13)+1)</f>
        <v/>
      </c>
      <c r="E2232" t="inlineStr">
        <is>
          <t>FDM</t>
        </is>
      </c>
      <c r="F2232">
        <f>IFERROR(INDEX(ChFormat,MATCH(E2232,ChName,0)),"")</f>
        <v/>
      </c>
      <c r="G2232" t="inlineStr">
        <is>
          <t>SK</t>
        </is>
      </c>
      <c r="H2232">
        <f>IF(A2232&lt;=NWeeks,1,0)</f>
        <v/>
      </c>
      <c r="I2232">
        <f>INDEX(ChLaunch,MATCH(E2232,ChName,0))</f>
        <v/>
      </c>
      <c r="J2232">
        <f>INDEX(ChWeeksFull,MATCH(E2232,ChName,0))</f>
        <v/>
      </c>
      <c r="K2232">
        <f>INDEX(ChRamp,MATCH(E2232,ChName,0))</f>
        <v/>
      </c>
      <c r="L2232" s="45">
        <f>MIN(1,MAX(0,(A2232-I2232+1)*RampSpeed/J2232))</f>
        <v/>
      </c>
      <c r="M2232" s="45">
        <f>IF(A2232&lt;I2232,0,IF(K2232="S-curve",L2232*L2232*(3-2*L2232),L2232))</f>
        <v/>
      </c>
      <c r="N2232" s="45">
        <f>1+(INDEX(SeasonIdx,A2232)-1)*SeasonAmp</f>
        <v/>
      </c>
      <c r="O2232" s="45">
        <f>IFERROR(INDEX(PSPct,MATCH(E2232&amp;"|"&amp;G2232,PSKey,0)),0)</f>
        <v/>
      </c>
      <c r="P2232" s="46">
        <f>INDEX(ChDoorVel,MATCH(E2232,ChName,0))*CalibScalar*(1+VelocityUplift)</f>
        <v/>
      </c>
      <c r="Q2232" s="46" t="n">
        <v>0</v>
      </c>
      <c r="R2232" s="46">
        <f>P2232*O2232*M2232*N2232*H2232</f>
        <v/>
      </c>
      <c r="S2232" s="46">
        <f>R2232*INDEX(FmtCansPerCase,MATCH(F2232,FmtName,0))</f>
        <v/>
      </c>
      <c r="T2232" s="46">
        <f>S2232/INDEX(FmtCansPerPack,MATCH(F2232,FmtName,0))</f>
        <v/>
      </c>
      <c r="U2232" s="47">
        <f>INDEX(ChBaseCP,MATCH(E2232,ChName,0))*(1+INDEX(ProvMod,MATCH(G2232,ProvCode,0)))*(1+PriceIndex)</f>
        <v/>
      </c>
      <c r="V2232" s="47">
        <f>R2232*U2232*INDEX(FmtBlendedPriceIdx,MATCH(F2232,FmtName,0))</f>
        <v/>
      </c>
      <c r="W2232" s="47">
        <f>T2232*INDEX(ProvSRP,MATCH(G2232,ProvCode,0))*(1+PriceIndex)</f>
        <v/>
      </c>
      <c r="X2232" s="47">
        <f>IF(GrossBasis="Wholesale",V2232,W2232)</f>
        <v/>
      </c>
      <c r="Y2232" s="47">
        <f>R2232*INDEX(FmtBlendedCogs,MATCH(F2232,FmtName,0))</f>
        <v/>
      </c>
      <c r="Z2232" s="47">
        <f>X2232-Y2232</f>
        <v/>
      </c>
    </row>
    <row r="2233">
      <c r="A2233" t="n">
        <v>6</v>
      </c>
      <c r="B2233" s="44">
        <f>FiscalStart+(A2233-1)*7</f>
        <v/>
      </c>
      <c r="C2233">
        <f>TEXT(B2233,"mmm yyyy")</f>
        <v/>
      </c>
      <c r="D2233">
        <f>"Q"&amp;(INT((A2233-1)/13)+1)</f>
        <v/>
      </c>
      <c r="E2233" t="inlineStr">
        <is>
          <t>FDM</t>
        </is>
      </c>
      <c r="F2233">
        <f>IFERROR(INDEX(ChFormat,MATCH(E2233,ChName,0)),"")</f>
        <v/>
      </c>
      <c r="G2233" t="inlineStr">
        <is>
          <t>SK</t>
        </is>
      </c>
      <c r="H2233">
        <f>IF(A2233&lt;=NWeeks,1,0)</f>
        <v/>
      </c>
      <c r="I2233">
        <f>INDEX(ChLaunch,MATCH(E2233,ChName,0))</f>
        <v/>
      </c>
      <c r="J2233">
        <f>INDEX(ChWeeksFull,MATCH(E2233,ChName,0))</f>
        <v/>
      </c>
      <c r="K2233">
        <f>INDEX(ChRamp,MATCH(E2233,ChName,0))</f>
        <v/>
      </c>
      <c r="L2233" s="45">
        <f>MIN(1,MAX(0,(A2233-I2233+1)*RampSpeed/J2233))</f>
        <v/>
      </c>
      <c r="M2233" s="45">
        <f>IF(A2233&lt;I2233,0,IF(K2233="S-curve",L2233*L2233*(3-2*L2233),L2233))</f>
        <v/>
      </c>
      <c r="N2233" s="45">
        <f>1+(INDEX(SeasonIdx,A2233)-1)*SeasonAmp</f>
        <v/>
      </c>
      <c r="O2233" s="45">
        <f>IFERROR(INDEX(PSPct,MATCH(E2233&amp;"|"&amp;G2233,PSKey,0)),0)</f>
        <v/>
      </c>
      <c r="P2233" s="46">
        <f>INDEX(ChDoorVel,MATCH(E2233,ChName,0))*CalibScalar*(1+VelocityUplift)</f>
        <v/>
      </c>
      <c r="Q2233" s="46" t="n">
        <v>0</v>
      </c>
      <c r="R2233" s="46">
        <f>P2233*O2233*M2233*N2233*H2233</f>
        <v/>
      </c>
      <c r="S2233" s="46">
        <f>R2233*INDEX(FmtCansPerCase,MATCH(F2233,FmtName,0))</f>
        <v/>
      </c>
      <c r="T2233" s="46">
        <f>S2233/INDEX(FmtCansPerPack,MATCH(F2233,FmtName,0))</f>
        <v/>
      </c>
      <c r="U2233" s="47">
        <f>INDEX(ChBaseCP,MATCH(E2233,ChName,0))*(1+INDEX(ProvMod,MATCH(G2233,ProvCode,0)))*(1+PriceIndex)</f>
        <v/>
      </c>
      <c r="V2233" s="47">
        <f>R2233*U2233*INDEX(FmtBlendedPriceIdx,MATCH(F2233,FmtName,0))</f>
        <v/>
      </c>
      <c r="W2233" s="47">
        <f>T2233*INDEX(ProvSRP,MATCH(G2233,ProvCode,0))*(1+PriceIndex)</f>
        <v/>
      </c>
      <c r="X2233" s="47">
        <f>IF(GrossBasis="Wholesale",V2233,W2233)</f>
        <v/>
      </c>
      <c r="Y2233" s="47">
        <f>R2233*INDEX(FmtBlendedCogs,MATCH(F2233,FmtName,0))</f>
        <v/>
      </c>
      <c r="Z2233" s="47">
        <f>X2233-Y2233</f>
        <v/>
      </c>
    </row>
    <row r="2234">
      <c r="A2234" t="n">
        <v>7</v>
      </c>
      <c r="B2234" s="44">
        <f>FiscalStart+(A2234-1)*7</f>
        <v/>
      </c>
      <c r="C2234">
        <f>TEXT(B2234,"mmm yyyy")</f>
        <v/>
      </c>
      <c r="D2234">
        <f>"Q"&amp;(INT((A2234-1)/13)+1)</f>
        <v/>
      </c>
      <c r="E2234" t="inlineStr">
        <is>
          <t>FDM</t>
        </is>
      </c>
      <c r="F2234">
        <f>IFERROR(INDEX(ChFormat,MATCH(E2234,ChName,0)),"")</f>
        <v/>
      </c>
      <c r="G2234" t="inlineStr">
        <is>
          <t>SK</t>
        </is>
      </c>
      <c r="H2234">
        <f>IF(A2234&lt;=NWeeks,1,0)</f>
        <v/>
      </c>
      <c r="I2234">
        <f>INDEX(ChLaunch,MATCH(E2234,ChName,0))</f>
        <v/>
      </c>
      <c r="J2234">
        <f>INDEX(ChWeeksFull,MATCH(E2234,ChName,0))</f>
        <v/>
      </c>
      <c r="K2234">
        <f>INDEX(ChRamp,MATCH(E2234,ChName,0))</f>
        <v/>
      </c>
      <c r="L2234" s="45">
        <f>MIN(1,MAX(0,(A2234-I2234+1)*RampSpeed/J2234))</f>
        <v/>
      </c>
      <c r="M2234" s="45">
        <f>IF(A2234&lt;I2234,0,IF(K2234="S-curve",L2234*L2234*(3-2*L2234),L2234))</f>
        <v/>
      </c>
      <c r="N2234" s="45">
        <f>1+(INDEX(SeasonIdx,A2234)-1)*SeasonAmp</f>
        <v/>
      </c>
      <c r="O2234" s="45">
        <f>IFERROR(INDEX(PSPct,MATCH(E2234&amp;"|"&amp;G2234,PSKey,0)),0)</f>
        <v/>
      </c>
      <c r="P2234" s="46">
        <f>INDEX(ChDoorVel,MATCH(E2234,ChName,0))*CalibScalar*(1+VelocityUplift)</f>
        <v/>
      </c>
      <c r="Q2234" s="46" t="n">
        <v>0</v>
      </c>
      <c r="R2234" s="46">
        <f>P2234*O2234*M2234*N2234*H2234</f>
        <v/>
      </c>
      <c r="S2234" s="46">
        <f>R2234*INDEX(FmtCansPerCase,MATCH(F2234,FmtName,0))</f>
        <v/>
      </c>
      <c r="T2234" s="46">
        <f>S2234/INDEX(FmtCansPerPack,MATCH(F2234,FmtName,0))</f>
        <v/>
      </c>
      <c r="U2234" s="47">
        <f>INDEX(ChBaseCP,MATCH(E2234,ChName,0))*(1+INDEX(ProvMod,MATCH(G2234,ProvCode,0)))*(1+PriceIndex)</f>
        <v/>
      </c>
      <c r="V2234" s="47">
        <f>R2234*U2234*INDEX(FmtBlendedPriceIdx,MATCH(F2234,FmtName,0))</f>
        <v/>
      </c>
      <c r="W2234" s="47">
        <f>T2234*INDEX(ProvSRP,MATCH(G2234,ProvCode,0))*(1+PriceIndex)</f>
        <v/>
      </c>
      <c r="X2234" s="47">
        <f>IF(GrossBasis="Wholesale",V2234,W2234)</f>
        <v/>
      </c>
      <c r="Y2234" s="47">
        <f>R2234*INDEX(FmtBlendedCogs,MATCH(F2234,FmtName,0))</f>
        <v/>
      </c>
      <c r="Z2234" s="47">
        <f>X2234-Y2234</f>
        <v/>
      </c>
    </row>
    <row r="2235">
      <c r="A2235" t="n">
        <v>8</v>
      </c>
      <c r="B2235" s="44">
        <f>FiscalStart+(A2235-1)*7</f>
        <v/>
      </c>
      <c r="C2235">
        <f>TEXT(B2235,"mmm yyyy")</f>
        <v/>
      </c>
      <c r="D2235">
        <f>"Q"&amp;(INT((A2235-1)/13)+1)</f>
        <v/>
      </c>
      <c r="E2235" t="inlineStr">
        <is>
          <t>FDM</t>
        </is>
      </c>
      <c r="F2235">
        <f>IFERROR(INDEX(ChFormat,MATCH(E2235,ChName,0)),"")</f>
        <v/>
      </c>
      <c r="G2235" t="inlineStr">
        <is>
          <t>SK</t>
        </is>
      </c>
      <c r="H2235">
        <f>IF(A2235&lt;=NWeeks,1,0)</f>
        <v/>
      </c>
      <c r="I2235">
        <f>INDEX(ChLaunch,MATCH(E2235,ChName,0))</f>
        <v/>
      </c>
      <c r="J2235">
        <f>INDEX(ChWeeksFull,MATCH(E2235,ChName,0))</f>
        <v/>
      </c>
      <c r="K2235">
        <f>INDEX(ChRamp,MATCH(E2235,ChName,0))</f>
        <v/>
      </c>
      <c r="L2235" s="45">
        <f>MIN(1,MAX(0,(A2235-I2235+1)*RampSpeed/J2235))</f>
        <v/>
      </c>
      <c r="M2235" s="45">
        <f>IF(A2235&lt;I2235,0,IF(K2235="S-curve",L2235*L2235*(3-2*L2235),L2235))</f>
        <v/>
      </c>
      <c r="N2235" s="45">
        <f>1+(INDEX(SeasonIdx,A2235)-1)*SeasonAmp</f>
        <v/>
      </c>
      <c r="O2235" s="45">
        <f>IFERROR(INDEX(PSPct,MATCH(E2235&amp;"|"&amp;G2235,PSKey,0)),0)</f>
        <v/>
      </c>
      <c r="P2235" s="46">
        <f>INDEX(ChDoorVel,MATCH(E2235,ChName,0))*CalibScalar*(1+VelocityUplift)</f>
        <v/>
      </c>
      <c r="Q2235" s="46" t="n">
        <v>0</v>
      </c>
      <c r="R2235" s="46">
        <f>P2235*O2235*M2235*N2235*H2235</f>
        <v/>
      </c>
      <c r="S2235" s="46">
        <f>R2235*INDEX(FmtCansPerCase,MATCH(F2235,FmtName,0))</f>
        <v/>
      </c>
      <c r="T2235" s="46">
        <f>S2235/INDEX(FmtCansPerPack,MATCH(F2235,FmtName,0))</f>
        <v/>
      </c>
      <c r="U2235" s="47">
        <f>INDEX(ChBaseCP,MATCH(E2235,ChName,0))*(1+INDEX(ProvMod,MATCH(G2235,ProvCode,0)))*(1+PriceIndex)</f>
        <v/>
      </c>
      <c r="V2235" s="47">
        <f>R2235*U2235*INDEX(FmtBlendedPriceIdx,MATCH(F2235,FmtName,0))</f>
        <v/>
      </c>
      <c r="W2235" s="47">
        <f>T2235*INDEX(ProvSRP,MATCH(G2235,ProvCode,0))*(1+PriceIndex)</f>
        <v/>
      </c>
      <c r="X2235" s="47">
        <f>IF(GrossBasis="Wholesale",V2235,W2235)</f>
        <v/>
      </c>
      <c r="Y2235" s="47">
        <f>R2235*INDEX(FmtBlendedCogs,MATCH(F2235,FmtName,0))</f>
        <v/>
      </c>
      <c r="Z2235" s="47">
        <f>X2235-Y2235</f>
        <v/>
      </c>
    </row>
    <row r="2236">
      <c r="A2236" t="n">
        <v>9</v>
      </c>
      <c r="B2236" s="44">
        <f>FiscalStart+(A2236-1)*7</f>
        <v/>
      </c>
      <c r="C2236">
        <f>TEXT(B2236,"mmm yyyy")</f>
        <v/>
      </c>
      <c r="D2236">
        <f>"Q"&amp;(INT((A2236-1)/13)+1)</f>
        <v/>
      </c>
      <c r="E2236" t="inlineStr">
        <is>
          <t>FDM</t>
        </is>
      </c>
      <c r="F2236">
        <f>IFERROR(INDEX(ChFormat,MATCH(E2236,ChName,0)),"")</f>
        <v/>
      </c>
      <c r="G2236" t="inlineStr">
        <is>
          <t>SK</t>
        </is>
      </c>
      <c r="H2236">
        <f>IF(A2236&lt;=NWeeks,1,0)</f>
        <v/>
      </c>
      <c r="I2236">
        <f>INDEX(ChLaunch,MATCH(E2236,ChName,0))</f>
        <v/>
      </c>
      <c r="J2236">
        <f>INDEX(ChWeeksFull,MATCH(E2236,ChName,0))</f>
        <v/>
      </c>
      <c r="K2236">
        <f>INDEX(ChRamp,MATCH(E2236,ChName,0))</f>
        <v/>
      </c>
      <c r="L2236" s="45">
        <f>MIN(1,MAX(0,(A2236-I2236+1)*RampSpeed/J2236))</f>
        <v/>
      </c>
      <c r="M2236" s="45">
        <f>IF(A2236&lt;I2236,0,IF(K2236="S-curve",L2236*L2236*(3-2*L2236),L2236))</f>
        <v/>
      </c>
      <c r="N2236" s="45">
        <f>1+(INDEX(SeasonIdx,A2236)-1)*SeasonAmp</f>
        <v/>
      </c>
      <c r="O2236" s="45">
        <f>IFERROR(INDEX(PSPct,MATCH(E2236&amp;"|"&amp;G2236,PSKey,0)),0)</f>
        <v/>
      </c>
      <c r="P2236" s="46">
        <f>INDEX(ChDoorVel,MATCH(E2236,ChName,0))*CalibScalar*(1+VelocityUplift)</f>
        <v/>
      </c>
      <c r="Q2236" s="46" t="n">
        <v>0</v>
      </c>
      <c r="R2236" s="46">
        <f>P2236*O2236*M2236*N2236*H2236</f>
        <v/>
      </c>
      <c r="S2236" s="46">
        <f>R2236*INDEX(FmtCansPerCase,MATCH(F2236,FmtName,0))</f>
        <v/>
      </c>
      <c r="T2236" s="46">
        <f>S2236/INDEX(FmtCansPerPack,MATCH(F2236,FmtName,0))</f>
        <v/>
      </c>
      <c r="U2236" s="47">
        <f>INDEX(ChBaseCP,MATCH(E2236,ChName,0))*(1+INDEX(ProvMod,MATCH(G2236,ProvCode,0)))*(1+PriceIndex)</f>
        <v/>
      </c>
      <c r="V2236" s="47">
        <f>R2236*U2236*INDEX(FmtBlendedPriceIdx,MATCH(F2236,FmtName,0))</f>
        <v/>
      </c>
      <c r="W2236" s="47">
        <f>T2236*INDEX(ProvSRP,MATCH(G2236,ProvCode,0))*(1+PriceIndex)</f>
        <v/>
      </c>
      <c r="X2236" s="47">
        <f>IF(GrossBasis="Wholesale",V2236,W2236)</f>
        <v/>
      </c>
      <c r="Y2236" s="47">
        <f>R2236*INDEX(FmtBlendedCogs,MATCH(F2236,FmtName,0))</f>
        <v/>
      </c>
      <c r="Z2236" s="47">
        <f>X2236-Y2236</f>
        <v/>
      </c>
    </row>
    <row r="2237">
      <c r="A2237" t="n">
        <v>10</v>
      </c>
      <c r="B2237" s="44">
        <f>FiscalStart+(A2237-1)*7</f>
        <v/>
      </c>
      <c r="C2237">
        <f>TEXT(B2237,"mmm yyyy")</f>
        <v/>
      </c>
      <c r="D2237">
        <f>"Q"&amp;(INT((A2237-1)/13)+1)</f>
        <v/>
      </c>
      <c r="E2237" t="inlineStr">
        <is>
          <t>FDM</t>
        </is>
      </c>
      <c r="F2237">
        <f>IFERROR(INDEX(ChFormat,MATCH(E2237,ChName,0)),"")</f>
        <v/>
      </c>
      <c r="G2237" t="inlineStr">
        <is>
          <t>SK</t>
        </is>
      </c>
      <c r="H2237">
        <f>IF(A2237&lt;=NWeeks,1,0)</f>
        <v/>
      </c>
      <c r="I2237">
        <f>INDEX(ChLaunch,MATCH(E2237,ChName,0))</f>
        <v/>
      </c>
      <c r="J2237">
        <f>INDEX(ChWeeksFull,MATCH(E2237,ChName,0))</f>
        <v/>
      </c>
      <c r="K2237">
        <f>INDEX(ChRamp,MATCH(E2237,ChName,0))</f>
        <v/>
      </c>
      <c r="L2237" s="45">
        <f>MIN(1,MAX(0,(A2237-I2237+1)*RampSpeed/J2237))</f>
        <v/>
      </c>
      <c r="M2237" s="45">
        <f>IF(A2237&lt;I2237,0,IF(K2237="S-curve",L2237*L2237*(3-2*L2237),L2237))</f>
        <v/>
      </c>
      <c r="N2237" s="45">
        <f>1+(INDEX(SeasonIdx,A2237)-1)*SeasonAmp</f>
        <v/>
      </c>
      <c r="O2237" s="45">
        <f>IFERROR(INDEX(PSPct,MATCH(E2237&amp;"|"&amp;G2237,PSKey,0)),0)</f>
        <v/>
      </c>
      <c r="P2237" s="46">
        <f>INDEX(ChDoorVel,MATCH(E2237,ChName,0))*CalibScalar*(1+VelocityUplift)</f>
        <v/>
      </c>
      <c r="Q2237" s="46" t="n">
        <v>0</v>
      </c>
      <c r="R2237" s="46">
        <f>P2237*O2237*M2237*N2237*H2237</f>
        <v/>
      </c>
      <c r="S2237" s="46">
        <f>R2237*INDEX(FmtCansPerCase,MATCH(F2237,FmtName,0))</f>
        <v/>
      </c>
      <c r="T2237" s="46">
        <f>S2237/INDEX(FmtCansPerPack,MATCH(F2237,FmtName,0))</f>
        <v/>
      </c>
      <c r="U2237" s="47">
        <f>INDEX(ChBaseCP,MATCH(E2237,ChName,0))*(1+INDEX(ProvMod,MATCH(G2237,ProvCode,0)))*(1+PriceIndex)</f>
        <v/>
      </c>
      <c r="V2237" s="47">
        <f>R2237*U2237*INDEX(FmtBlendedPriceIdx,MATCH(F2237,FmtName,0))</f>
        <v/>
      </c>
      <c r="W2237" s="47">
        <f>T2237*INDEX(ProvSRP,MATCH(G2237,ProvCode,0))*(1+PriceIndex)</f>
        <v/>
      </c>
      <c r="X2237" s="47">
        <f>IF(GrossBasis="Wholesale",V2237,W2237)</f>
        <v/>
      </c>
      <c r="Y2237" s="47">
        <f>R2237*INDEX(FmtBlendedCogs,MATCH(F2237,FmtName,0))</f>
        <v/>
      </c>
      <c r="Z2237" s="47">
        <f>X2237-Y2237</f>
        <v/>
      </c>
    </row>
    <row r="2238">
      <c r="A2238" t="n">
        <v>11</v>
      </c>
      <c r="B2238" s="44">
        <f>FiscalStart+(A2238-1)*7</f>
        <v/>
      </c>
      <c r="C2238">
        <f>TEXT(B2238,"mmm yyyy")</f>
        <v/>
      </c>
      <c r="D2238">
        <f>"Q"&amp;(INT((A2238-1)/13)+1)</f>
        <v/>
      </c>
      <c r="E2238" t="inlineStr">
        <is>
          <t>FDM</t>
        </is>
      </c>
      <c r="F2238">
        <f>IFERROR(INDEX(ChFormat,MATCH(E2238,ChName,0)),"")</f>
        <v/>
      </c>
      <c r="G2238" t="inlineStr">
        <is>
          <t>SK</t>
        </is>
      </c>
      <c r="H2238">
        <f>IF(A2238&lt;=NWeeks,1,0)</f>
        <v/>
      </c>
      <c r="I2238">
        <f>INDEX(ChLaunch,MATCH(E2238,ChName,0))</f>
        <v/>
      </c>
      <c r="J2238">
        <f>INDEX(ChWeeksFull,MATCH(E2238,ChName,0))</f>
        <v/>
      </c>
      <c r="K2238">
        <f>INDEX(ChRamp,MATCH(E2238,ChName,0))</f>
        <v/>
      </c>
      <c r="L2238" s="45">
        <f>MIN(1,MAX(0,(A2238-I2238+1)*RampSpeed/J2238))</f>
        <v/>
      </c>
      <c r="M2238" s="45">
        <f>IF(A2238&lt;I2238,0,IF(K2238="S-curve",L2238*L2238*(3-2*L2238),L2238))</f>
        <v/>
      </c>
      <c r="N2238" s="45">
        <f>1+(INDEX(SeasonIdx,A2238)-1)*SeasonAmp</f>
        <v/>
      </c>
      <c r="O2238" s="45">
        <f>IFERROR(INDEX(PSPct,MATCH(E2238&amp;"|"&amp;G2238,PSKey,0)),0)</f>
        <v/>
      </c>
      <c r="P2238" s="46">
        <f>INDEX(ChDoorVel,MATCH(E2238,ChName,0))*CalibScalar*(1+VelocityUplift)</f>
        <v/>
      </c>
      <c r="Q2238" s="46" t="n">
        <v>0</v>
      </c>
      <c r="R2238" s="46">
        <f>P2238*O2238*M2238*N2238*H2238</f>
        <v/>
      </c>
      <c r="S2238" s="46">
        <f>R2238*INDEX(FmtCansPerCase,MATCH(F2238,FmtName,0))</f>
        <v/>
      </c>
      <c r="T2238" s="46">
        <f>S2238/INDEX(FmtCansPerPack,MATCH(F2238,FmtName,0))</f>
        <v/>
      </c>
      <c r="U2238" s="47">
        <f>INDEX(ChBaseCP,MATCH(E2238,ChName,0))*(1+INDEX(ProvMod,MATCH(G2238,ProvCode,0)))*(1+PriceIndex)</f>
        <v/>
      </c>
      <c r="V2238" s="47">
        <f>R2238*U2238*INDEX(FmtBlendedPriceIdx,MATCH(F2238,FmtName,0))</f>
        <v/>
      </c>
      <c r="W2238" s="47">
        <f>T2238*INDEX(ProvSRP,MATCH(G2238,ProvCode,0))*(1+PriceIndex)</f>
        <v/>
      </c>
      <c r="X2238" s="47">
        <f>IF(GrossBasis="Wholesale",V2238,W2238)</f>
        <v/>
      </c>
      <c r="Y2238" s="47">
        <f>R2238*INDEX(FmtBlendedCogs,MATCH(F2238,FmtName,0))</f>
        <v/>
      </c>
      <c r="Z2238" s="47">
        <f>X2238-Y2238</f>
        <v/>
      </c>
    </row>
    <row r="2239">
      <c r="A2239" t="n">
        <v>12</v>
      </c>
      <c r="B2239" s="44">
        <f>FiscalStart+(A2239-1)*7</f>
        <v/>
      </c>
      <c r="C2239">
        <f>TEXT(B2239,"mmm yyyy")</f>
        <v/>
      </c>
      <c r="D2239">
        <f>"Q"&amp;(INT((A2239-1)/13)+1)</f>
        <v/>
      </c>
      <c r="E2239" t="inlineStr">
        <is>
          <t>FDM</t>
        </is>
      </c>
      <c r="F2239">
        <f>IFERROR(INDEX(ChFormat,MATCH(E2239,ChName,0)),"")</f>
        <v/>
      </c>
      <c r="G2239" t="inlineStr">
        <is>
          <t>SK</t>
        </is>
      </c>
      <c r="H2239">
        <f>IF(A2239&lt;=NWeeks,1,0)</f>
        <v/>
      </c>
      <c r="I2239">
        <f>INDEX(ChLaunch,MATCH(E2239,ChName,0))</f>
        <v/>
      </c>
      <c r="J2239">
        <f>INDEX(ChWeeksFull,MATCH(E2239,ChName,0))</f>
        <v/>
      </c>
      <c r="K2239">
        <f>INDEX(ChRamp,MATCH(E2239,ChName,0))</f>
        <v/>
      </c>
      <c r="L2239" s="45">
        <f>MIN(1,MAX(0,(A2239-I2239+1)*RampSpeed/J2239))</f>
        <v/>
      </c>
      <c r="M2239" s="45">
        <f>IF(A2239&lt;I2239,0,IF(K2239="S-curve",L2239*L2239*(3-2*L2239),L2239))</f>
        <v/>
      </c>
      <c r="N2239" s="45">
        <f>1+(INDEX(SeasonIdx,A2239)-1)*SeasonAmp</f>
        <v/>
      </c>
      <c r="O2239" s="45">
        <f>IFERROR(INDEX(PSPct,MATCH(E2239&amp;"|"&amp;G2239,PSKey,0)),0)</f>
        <v/>
      </c>
      <c r="P2239" s="46">
        <f>INDEX(ChDoorVel,MATCH(E2239,ChName,0))*CalibScalar*(1+VelocityUplift)</f>
        <v/>
      </c>
      <c r="Q2239" s="46" t="n">
        <v>0</v>
      </c>
      <c r="R2239" s="46">
        <f>P2239*O2239*M2239*N2239*H2239</f>
        <v/>
      </c>
      <c r="S2239" s="46">
        <f>R2239*INDEX(FmtCansPerCase,MATCH(F2239,FmtName,0))</f>
        <v/>
      </c>
      <c r="T2239" s="46">
        <f>S2239/INDEX(FmtCansPerPack,MATCH(F2239,FmtName,0))</f>
        <v/>
      </c>
      <c r="U2239" s="47">
        <f>INDEX(ChBaseCP,MATCH(E2239,ChName,0))*(1+INDEX(ProvMod,MATCH(G2239,ProvCode,0)))*(1+PriceIndex)</f>
        <v/>
      </c>
      <c r="V2239" s="47">
        <f>R2239*U2239*INDEX(FmtBlendedPriceIdx,MATCH(F2239,FmtName,0))</f>
        <v/>
      </c>
      <c r="W2239" s="47">
        <f>T2239*INDEX(ProvSRP,MATCH(G2239,ProvCode,0))*(1+PriceIndex)</f>
        <v/>
      </c>
      <c r="X2239" s="47">
        <f>IF(GrossBasis="Wholesale",V2239,W2239)</f>
        <v/>
      </c>
      <c r="Y2239" s="47">
        <f>R2239*INDEX(FmtBlendedCogs,MATCH(F2239,FmtName,0))</f>
        <v/>
      </c>
      <c r="Z2239" s="47">
        <f>X2239-Y2239</f>
        <v/>
      </c>
    </row>
    <row r="2240">
      <c r="A2240" t="n">
        <v>13</v>
      </c>
      <c r="B2240" s="44">
        <f>FiscalStart+(A2240-1)*7</f>
        <v/>
      </c>
      <c r="C2240">
        <f>TEXT(B2240,"mmm yyyy")</f>
        <v/>
      </c>
      <c r="D2240">
        <f>"Q"&amp;(INT((A2240-1)/13)+1)</f>
        <v/>
      </c>
      <c r="E2240" t="inlineStr">
        <is>
          <t>FDM</t>
        </is>
      </c>
      <c r="F2240">
        <f>IFERROR(INDEX(ChFormat,MATCH(E2240,ChName,0)),"")</f>
        <v/>
      </c>
      <c r="G2240" t="inlineStr">
        <is>
          <t>SK</t>
        </is>
      </c>
      <c r="H2240">
        <f>IF(A2240&lt;=NWeeks,1,0)</f>
        <v/>
      </c>
      <c r="I2240">
        <f>INDEX(ChLaunch,MATCH(E2240,ChName,0))</f>
        <v/>
      </c>
      <c r="J2240">
        <f>INDEX(ChWeeksFull,MATCH(E2240,ChName,0))</f>
        <v/>
      </c>
      <c r="K2240">
        <f>INDEX(ChRamp,MATCH(E2240,ChName,0))</f>
        <v/>
      </c>
      <c r="L2240" s="45">
        <f>MIN(1,MAX(0,(A2240-I2240+1)*RampSpeed/J2240))</f>
        <v/>
      </c>
      <c r="M2240" s="45">
        <f>IF(A2240&lt;I2240,0,IF(K2240="S-curve",L2240*L2240*(3-2*L2240),L2240))</f>
        <v/>
      </c>
      <c r="N2240" s="45">
        <f>1+(INDEX(SeasonIdx,A2240)-1)*SeasonAmp</f>
        <v/>
      </c>
      <c r="O2240" s="45">
        <f>IFERROR(INDEX(PSPct,MATCH(E2240&amp;"|"&amp;G2240,PSKey,0)),0)</f>
        <v/>
      </c>
      <c r="P2240" s="46">
        <f>INDEX(ChDoorVel,MATCH(E2240,ChName,0))*CalibScalar*(1+VelocityUplift)</f>
        <v/>
      </c>
      <c r="Q2240" s="46" t="n">
        <v>0</v>
      </c>
      <c r="R2240" s="46">
        <f>P2240*O2240*M2240*N2240*H2240</f>
        <v/>
      </c>
      <c r="S2240" s="46">
        <f>R2240*INDEX(FmtCansPerCase,MATCH(F2240,FmtName,0))</f>
        <v/>
      </c>
      <c r="T2240" s="46">
        <f>S2240/INDEX(FmtCansPerPack,MATCH(F2240,FmtName,0))</f>
        <v/>
      </c>
      <c r="U2240" s="47">
        <f>INDEX(ChBaseCP,MATCH(E2240,ChName,0))*(1+INDEX(ProvMod,MATCH(G2240,ProvCode,0)))*(1+PriceIndex)</f>
        <v/>
      </c>
      <c r="V2240" s="47">
        <f>R2240*U2240*INDEX(FmtBlendedPriceIdx,MATCH(F2240,FmtName,0))</f>
        <v/>
      </c>
      <c r="W2240" s="47">
        <f>T2240*INDEX(ProvSRP,MATCH(G2240,ProvCode,0))*(1+PriceIndex)</f>
        <v/>
      </c>
      <c r="X2240" s="47">
        <f>IF(GrossBasis="Wholesale",V2240,W2240)</f>
        <v/>
      </c>
      <c r="Y2240" s="47">
        <f>R2240*INDEX(FmtBlendedCogs,MATCH(F2240,FmtName,0))</f>
        <v/>
      </c>
      <c r="Z2240" s="47">
        <f>X2240-Y2240</f>
        <v/>
      </c>
    </row>
    <row r="2241">
      <c r="A2241" t="n">
        <v>14</v>
      </c>
      <c r="B2241" s="44">
        <f>FiscalStart+(A2241-1)*7</f>
        <v/>
      </c>
      <c r="C2241">
        <f>TEXT(B2241,"mmm yyyy")</f>
        <v/>
      </c>
      <c r="D2241">
        <f>"Q"&amp;(INT((A2241-1)/13)+1)</f>
        <v/>
      </c>
      <c r="E2241" t="inlineStr">
        <is>
          <t>FDM</t>
        </is>
      </c>
      <c r="F2241">
        <f>IFERROR(INDEX(ChFormat,MATCH(E2241,ChName,0)),"")</f>
        <v/>
      </c>
      <c r="G2241" t="inlineStr">
        <is>
          <t>SK</t>
        </is>
      </c>
      <c r="H2241">
        <f>IF(A2241&lt;=NWeeks,1,0)</f>
        <v/>
      </c>
      <c r="I2241">
        <f>INDEX(ChLaunch,MATCH(E2241,ChName,0))</f>
        <v/>
      </c>
      <c r="J2241">
        <f>INDEX(ChWeeksFull,MATCH(E2241,ChName,0))</f>
        <v/>
      </c>
      <c r="K2241">
        <f>INDEX(ChRamp,MATCH(E2241,ChName,0))</f>
        <v/>
      </c>
      <c r="L2241" s="45">
        <f>MIN(1,MAX(0,(A2241-I2241+1)*RampSpeed/J2241))</f>
        <v/>
      </c>
      <c r="M2241" s="45">
        <f>IF(A2241&lt;I2241,0,IF(K2241="S-curve",L2241*L2241*(3-2*L2241),L2241))</f>
        <v/>
      </c>
      <c r="N2241" s="45">
        <f>1+(INDEX(SeasonIdx,A2241)-1)*SeasonAmp</f>
        <v/>
      </c>
      <c r="O2241" s="45">
        <f>IFERROR(INDEX(PSPct,MATCH(E2241&amp;"|"&amp;G2241,PSKey,0)),0)</f>
        <v/>
      </c>
      <c r="P2241" s="46">
        <f>INDEX(ChDoorVel,MATCH(E2241,ChName,0))*CalibScalar*(1+VelocityUplift)</f>
        <v/>
      </c>
      <c r="Q2241" s="46" t="n">
        <v>0</v>
      </c>
      <c r="R2241" s="46">
        <f>P2241*O2241*M2241*N2241*H2241</f>
        <v/>
      </c>
      <c r="S2241" s="46">
        <f>R2241*INDEX(FmtCansPerCase,MATCH(F2241,FmtName,0))</f>
        <v/>
      </c>
      <c r="T2241" s="46">
        <f>S2241/INDEX(FmtCansPerPack,MATCH(F2241,FmtName,0))</f>
        <v/>
      </c>
      <c r="U2241" s="47">
        <f>INDEX(ChBaseCP,MATCH(E2241,ChName,0))*(1+INDEX(ProvMod,MATCH(G2241,ProvCode,0)))*(1+PriceIndex)</f>
        <v/>
      </c>
      <c r="V2241" s="47">
        <f>R2241*U2241*INDEX(FmtBlendedPriceIdx,MATCH(F2241,FmtName,0))</f>
        <v/>
      </c>
      <c r="W2241" s="47">
        <f>T2241*INDEX(ProvSRP,MATCH(G2241,ProvCode,0))*(1+PriceIndex)</f>
        <v/>
      </c>
      <c r="X2241" s="47">
        <f>IF(GrossBasis="Wholesale",V2241,W2241)</f>
        <v/>
      </c>
      <c r="Y2241" s="47">
        <f>R2241*INDEX(FmtBlendedCogs,MATCH(F2241,FmtName,0))</f>
        <v/>
      </c>
      <c r="Z2241" s="47">
        <f>X2241-Y2241</f>
        <v/>
      </c>
    </row>
    <row r="2242">
      <c r="A2242" t="n">
        <v>15</v>
      </c>
      <c r="B2242" s="44">
        <f>FiscalStart+(A2242-1)*7</f>
        <v/>
      </c>
      <c r="C2242">
        <f>TEXT(B2242,"mmm yyyy")</f>
        <v/>
      </c>
      <c r="D2242">
        <f>"Q"&amp;(INT((A2242-1)/13)+1)</f>
        <v/>
      </c>
      <c r="E2242" t="inlineStr">
        <is>
          <t>FDM</t>
        </is>
      </c>
      <c r="F2242">
        <f>IFERROR(INDEX(ChFormat,MATCH(E2242,ChName,0)),"")</f>
        <v/>
      </c>
      <c r="G2242" t="inlineStr">
        <is>
          <t>SK</t>
        </is>
      </c>
      <c r="H2242">
        <f>IF(A2242&lt;=NWeeks,1,0)</f>
        <v/>
      </c>
      <c r="I2242">
        <f>INDEX(ChLaunch,MATCH(E2242,ChName,0))</f>
        <v/>
      </c>
      <c r="J2242">
        <f>INDEX(ChWeeksFull,MATCH(E2242,ChName,0))</f>
        <v/>
      </c>
      <c r="K2242">
        <f>INDEX(ChRamp,MATCH(E2242,ChName,0))</f>
        <v/>
      </c>
      <c r="L2242" s="45">
        <f>MIN(1,MAX(0,(A2242-I2242+1)*RampSpeed/J2242))</f>
        <v/>
      </c>
      <c r="M2242" s="45">
        <f>IF(A2242&lt;I2242,0,IF(K2242="S-curve",L2242*L2242*(3-2*L2242),L2242))</f>
        <v/>
      </c>
      <c r="N2242" s="45">
        <f>1+(INDEX(SeasonIdx,A2242)-1)*SeasonAmp</f>
        <v/>
      </c>
      <c r="O2242" s="45">
        <f>IFERROR(INDEX(PSPct,MATCH(E2242&amp;"|"&amp;G2242,PSKey,0)),0)</f>
        <v/>
      </c>
      <c r="P2242" s="46">
        <f>INDEX(ChDoorVel,MATCH(E2242,ChName,0))*CalibScalar*(1+VelocityUplift)</f>
        <v/>
      </c>
      <c r="Q2242" s="46" t="n">
        <v>0</v>
      </c>
      <c r="R2242" s="46">
        <f>P2242*O2242*M2242*N2242*H2242</f>
        <v/>
      </c>
      <c r="S2242" s="46">
        <f>R2242*INDEX(FmtCansPerCase,MATCH(F2242,FmtName,0))</f>
        <v/>
      </c>
      <c r="T2242" s="46">
        <f>S2242/INDEX(FmtCansPerPack,MATCH(F2242,FmtName,0))</f>
        <v/>
      </c>
      <c r="U2242" s="47">
        <f>INDEX(ChBaseCP,MATCH(E2242,ChName,0))*(1+INDEX(ProvMod,MATCH(G2242,ProvCode,0)))*(1+PriceIndex)</f>
        <v/>
      </c>
      <c r="V2242" s="47">
        <f>R2242*U2242*INDEX(FmtBlendedPriceIdx,MATCH(F2242,FmtName,0))</f>
        <v/>
      </c>
      <c r="W2242" s="47">
        <f>T2242*INDEX(ProvSRP,MATCH(G2242,ProvCode,0))*(1+PriceIndex)</f>
        <v/>
      </c>
      <c r="X2242" s="47">
        <f>IF(GrossBasis="Wholesale",V2242,W2242)</f>
        <v/>
      </c>
      <c r="Y2242" s="47">
        <f>R2242*INDEX(FmtBlendedCogs,MATCH(F2242,FmtName,0))</f>
        <v/>
      </c>
      <c r="Z2242" s="47">
        <f>X2242-Y2242</f>
        <v/>
      </c>
    </row>
    <row r="2243">
      <c r="A2243" t="n">
        <v>16</v>
      </c>
      <c r="B2243" s="44">
        <f>FiscalStart+(A2243-1)*7</f>
        <v/>
      </c>
      <c r="C2243">
        <f>TEXT(B2243,"mmm yyyy")</f>
        <v/>
      </c>
      <c r="D2243">
        <f>"Q"&amp;(INT((A2243-1)/13)+1)</f>
        <v/>
      </c>
      <c r="E2243" t="inlineStr">
        <is>
          <t>FDM</t>
        </is>
      </c>
      <c r="F2243">
        <f>IFERROR(INDEX(ChFormat,MATCH(E2243,ChName,0)),"")</f>
        <v/>
      </c>
      <c r="G2243" t="inlineStr">
        <is>
          <t>SK</t>
        </is>
      </c>
      <c r="H2243">
        <f>IF(A2243&lt;=NWeeks,1,0)</f>
        <v/>
      </c>
      <c r="I2243">
        <f>INDEX(ChLaunch,MATCH(E2243,ChName,0))</f>
        <v/>
      </c>
      <c r="J2243">
        <f>INDEX(ChWeeksFull,MATCH(E2243,ChName,0))</f>
        <v/>
      </c>
      <c r="K2243">
        <f>INDEX(ChRamp,MATCH(E2243,ChName,0))</f>
        <v/>
      </c>
      <c r="L2243" s="45">
        <f>MIN(1,MAX(0,(A2243-I2243+1)*RampSpeed/J2243))</f>
        <v/>
      </c>
      <c r="M2243" s="45">
        <f>IF(A2243&lt;I2243,0,IF(K2243="S-curve",L2243*L2243*(3-2*L2243),L2243))</f>
        <v/>
      </c>
      <c r="N2243" s="45">
        <f>1+(INDEX(SeasonIdx,A2243)-1)*SeasonAmp</f>
        <v/>
      </c>
      <c r="O2243" s="45">
        <f>IFERROR(INDEX(PSPct,MATCH(E2243&amp;"|"&amp;G2243,PSKey,0)),0)</f>
        <v/>
      </c>
      <c r="P2243" s="46">
        <f>INDEX(ChDoorVel,MATCH(E2243,ChName,0))*CalibScalar*(1+VelocityUplift)</f>
        <v/>
      </c>
      <c r="Q2243" s="46" t="n">
        <v>0</v>
      </c>
      <c r="R2243" s="46">
        <f>P2243*O2243*M2243*N2243*H2243</f>
        <v/>
      </c>
      <c r="S2243" s="46">
        <f>R2243*INDEX(FmtCansPerCase,MATCH(F2243,FmtName,0))</f>
        <v/>
      </c>
      <c r="T2243" s="46">
        <f>S2243/INDEX(FmtCansPerPack,MATCH(F2243,FmtName,0))</f>
        <v/>
      </c>
      <c r="U2243" s="47">
        <f>INDEX(ChBaseCP,MATCH(E2243,ChName,0))*(1+INDEX(ProvMod,MATCH(G2243,ProvCode,0)))*(1+PriceIndex)</f>
        <v/>
      </c>
      <c r="V2243" s="47">
        <f>R2243*U2243*INDEX(FmtBlendedPriceIdx,MATCH(F2243,FmtName,0))</f>
        <v/>
      </c>
      <c r="W2243" s="47">
        <f>T2243*INDEX(ProvSRP,MATCH(G2243,ProvCode,0))*(1+PriceIndex)</f>
        <v/>
      </c>
      <c r="X2243" s="47">
        <f>IF(GrossBasis="Wholesale",V2243,W2243)</f>
        <v/>
      </c>
      <c r="Y2243" s="47">
        <f>R2243*INDEX(FmtBlendedCogs,MATCH(F2243,FmtName,0))</f>
        <v/>
      </c>
      <c r="Z2243" s="47">
        <f>X2243-Y2243</f>
        <v/>
      </c>
    </row>
    <row r="2244">
      <c r="A2244" t="n">
        <v>17</v>
      </c>
      <c r="B2244" s="44">
        <f>FiscalStart+(A2244-1)*7</f>
        <v/>
      </c>
      <c r="C2244">
        <f>TEXT(B2244,"mmm yyyy")</f>
        <v/>
      </c>
      <c r="D2244">
        <f>"Q"&amp;(INT((A2244-1)/13)+1)</f>
        <v/>
      </c>
      <c r="E2244" t="inlineStr">
        <is>
          <t>FDM</t>
        </is>
      </c>
      <c r="F2244">
        <f>IFERROR(INDEX(ChFormat,MATCH(E2244,ChName,0)),"")</f>
        <v/>
      </c>
      <c r="G2244" t="inlineStr">
        <is>
          <t>SK</t>
        </is>
      </c>
      <c r="H2244">
        <f>IF(A2244&lt;=NWeeks,1,0)</f>
        <v/>
      </c>
      <c r="I2244">
        <f>INDEX(ChLaunch,MATCH(E2244,ChName,0))</f>
        <v/>
      </c>
      <c r="J2244">
        <f>INDEX(ChWeeksFull,MATCH(E2244,ChName,0))</f>
        <v/>
      </c>
      <c r="K2244">
        <f>INDEX(ChRamp,MATCH(E2244,ChName,0))</f>
        <v/>
      </c>
      <c r="L2244" s="45">
        <f>MIN(1,MAX(0,(A2244-I2244+1)*RampSpeed/J2244))</f>
        <v/>
      </c>
      <c r="M2244" s="45">
        <f>IF(A2244&lt;I2244,0,IF(K2244="S-curve",L2244*L2244*(3-2*L2244),L2244))</f>
        <v/>
      </c>
      <c r="N2244" s="45">
        <f>1+(INDEX(SeasonIdx,A2244)-1)*SeasonAmp</f>
        <v/>
      </c>
      <c r="O2244" s="45">
        <f>IFERROR(INDEX(PSPct,MATCH(E2244&amp;"|"&amp;G2244,PSKey,0)),0)</f>
        <v/>
      </c>
      <c r="P2244" s="46">
        <f>INDEX(ChDoorVel,MATCH(E2244,ChName,0))*CalibScalar*(1+VelocityUplift)</f>
        <v/>
      </c>
      <c r="Q2244" s="46" t="n">
        <v>0</v>
      </c>
      <c r="R2244" s="46">
        <f>P2244*O2244*M2244*N2244*H2244</f>
        <v/>
      </c>
      <c r="S2244" s="46">
        <f>R2244*INDEX(FmtCansPerCase,MATCH(F2244,FmtName,0))</f>
        <v/>
      </c>
      <c r="T2244" s="46">
        <f>S2244/INDEX(FmtCansPerPack,MATCH(F2244,FmtName,0))</f>
        <v/>
      </c>
      <c r="U2244" s="47">
        <f>INDEX(ChBaseCP,MATCH(E2244,ChName,0))*(1+INDEX(ProvMod,MATCH(G2244,ProvCode,0)))*(1+PriceIndex)</f>
        <v/>
      </c>
      <c r="V2244" s="47">
        <f>R2244*U2244*INDEX(FmtBlendedPriceIdx,MATCH(F2244,FmtName,0))</f>
        <v/>
      </c>
      <c r="W2244" s="47">
        <f>T2244*INDEX(ProvSRP,MATCH(G2244,ProvCode,0))*(1+PriceIndex)</f>
        <v/>
      </c>
      <c r="X2244" s="47">
        <f>IF(GrossBasis="Wholesale",V2244,W2244)</f>
        <v/>
      </c>
      <c r="Y2244" s="47">
        <f>R2244*INDEX(FmtBlendedCogs,MATCH(F2244,FmtName,0))</f>
        <v/>
      </c>
      <c r="Z2244" s="47">
        <f>X2244-Y2244</f>
        <v/>
      </c>
    </row>
    <row r="2245">
      <c r="A2245" t="n">
        <v>18</v>
      </c>
      <c r="B2245" s="44">
        <f>FiscalStart+(A2245-1)*7</f>
        <v/>
      </c>
      <c r="C2245">
        <f>TEXT(B2245,"mmm yyyy")</f>
        <v/>
      </c>
      <c r="D2245">
        <f>"Q"&amp;(INT((A2245-1)/13)+1)</f>
        <v/>
      </c>
      <c r="E2245" t="inlineStr">
        <is>
          <t>FDM</t>
        </is>
      </c>
      <c r="F2245">
        <f>IFERROR(INDEX(ChFormat,MATCH(E2245,ChName,0)),"")</f>
        <v/>
      </c>
      <c r="G2245" t="inlineStr">
        <is>
          <t>SK</t>
        </is>
      </c>
      <c r="H2245">
        <f>IF(A2245&lt;=NWeeks,1,0)</f>
        <v/>
      </c>
      <c r="I2245">
        <f>INDEX(ChLaunch,MATCH(E2245,ChName,0))</f>
        <v/>
      </c>
      <c r="J2245">
        <f>INDEX(ChWeeksFull,MATCH(E2245,ChName,0))</f>
        <v/>
      </c>
      <c r="K2245">
        <f>INDEX(ChRamp,MATCH(E2245,ChName,0))</f>
        <v/>
      </c>
      <c r="L2245" s="45">
        <f>MIN(1,MAX(0,(A2245-I2245+1)*RampSpeed/J2245))</f>
        <v/>
      </c>
      <c r="M2245" s="45">
        <f>IF(A2245&lt;I2245,0,IF(K2245="S-curve",L2245*L2245*(3-2*L2245),L2245))</f>
        <v/>
      </c>
      <c r="N2245" s="45">
        <f>1+(INDEX(SeasonIdx,A2245)-1)*SeasonAmp</f>
        <v/>
      </c>
      <c r="O2245" s="45">
        <f>IFERROR(INDEX(PSPct,MATCH(E2245&amp;"|"&amp;G2245,PSKey,0)),0)</f>
        <v/>
      </c>
      <c r="P2245" s="46">
        <f>INDEX(ChDoorVel,MATCH(E2245,ChName,0))*CalibScalar*(1+VelocityUplift)</f>
        <v/>
      </c>
      <c r="Q2245" s="46" t="n">
        <v>0</v>
      </c>
      <c r="R2245" s="46">
        <f>P2245*O2245*M2245*N2245*H2245</f>
        <v/>
      </c>
      <c r="S2245" s="46">
        <f>R2245*INDEX(FmtCansPerCase,MATCH(F2245,FmtName,0))</f>
        <v/>
      </c>
      <c r="T2245" s="46">
        <f>S2245/INDEX(FmtCansPerPack,MATCH(F2245,FmtName,0))</f>
        <v/>
      </c>
      <c r="U2245" s="47">
        <f>INDEX(ChBaseCP,MATCH(E2245,ChName,0))*(1+INDEX(ProvMod,MATCH(G2245,ProvCode,0)))*(1+PriceIndex)</f>
        <v/>
      </c>
      <c r="V2245" s="47">
        <f>R2245*U2245*INDEX(FmtBlendedPriceIdx,MATCH(F2245,FmtName,0))</f>
        <v/>
      </c>
      <c r="W2245" s="47">
        <f>T2245*INDEX(ProvSRP,MATCH(G2245,ProvCode,0))*(1+PriceIndex)</f>
        <v/>
      </c>
      <c r="X2245" s="47">
        <f>IF(GrossBasis="Wholesale",V2245,W2245)</f>
        <v/>
      </c>
      <c r="Y2245" s="47">
        <f>R2245*INDEX(FmtBlendedCogs,MATCH(F2245,FmtName,0))</f>
        <v/>
      </c>
      <c r="Z2245" s="47">
        <f>X2245-Y2245</f>
        <v/>
      </c>
    </row>
    <row r="2246">
      <c r="A2246" t="n">
        <v>19</v>
      </c>
      <c r="B2246" s="44">
        <f>FiscalStart+(A2246-1)*7</f>
        <v/>
      </c>
      <c r="C2246">
        <f>TEXT(B2246,"mmm yyyy")</f>
        <v/>
      </c>
      <c r="D2246">
        <f>"Q"&amp;(INT((A2246-1)/13)+1)</f>
        <v/>
      </c>
      <c r="E2246" t="inlineStr">
        <is>
          <t>FDM</t>
        </is>
      </c>
      <c r="F2246">
        <f>IFERROR(INDEX(ChFormat,MATCH(E2246,ChName,0)),"")</f>
        <v/>
      </c>
      <c r="G2246" t="inlineStr">
        <is>
          <t>SK</t>
        </is>
      </c>
      <c r="H2246">
        <f>IF(A2246&lt;=NWeeks,1,0)</f>
        <v/>
      </c>
      <c r="I2246">
        <f>INDEX(ChLaunch,MATCH(E2246,ChName,0))</f>
        <v/>
      </c>
      <c r="J2246">
        <f>INDEX(ChWeeksFull,MATCH(E2246,ChName,0))</f>
        <v/>
      </c>
      <c r="K2246">
        <f>INDEX(ChRamp,MATCH(E2246,ChName,0))</f>
        <v/>
      </c>
      <c r="L2246" s="45">
        <f>MIN(1,MAX(0,(A2246-I2246+1)*RampSpeed/J2246))</f>
        <v/>
      </c>
      <c r="M2246" s="45">
        <f>IF(A2246&lt;I2246,0,IF(K2246="S-curve",L2246*L2246*(3-2*L2246),L2246))</f>
        <v/>
      </c>
      <c r="N2246" s="45">
        <f>1+(INDEX(SeasonIdx,A2246)-1)*SeasonAmp</f>
        <v/>
      </c>
      <c r="O2246" s="45">
        <f>IFERROR(INDEX(PSPct,MATCH(E2246&amp;"|"&amp;G2246,PSKey,0)),0)</f>
        <v/>
      </c>
      <c r="P2246" s="46">
        <f>INDEX(ChDoorVel,MATCH(E2246,ChName,0))*CalibScalar*(1+VelocityUplift)</f>
        <v/>
      </c>
      <c r="Q2246" s="46" t="n">
        <v>0</v>
      </c>
      <c r="R2246" s="46">
        <f>P2246*O2246*M2246*N2246*H2246</f>
        <v/>
      </c>
      <c r="S2246" s="46">
        <f>R2246*INDEX(FmtCansPerCase,MATCH(F2246,FmtName,0))</f>
        <v/>
      </c>
      <c r="T2246" s="46">
        <f>S2246/INDEX(FmtCansPerPack,MATCH(F2246,FmtName,0))</f>
        <v/>
      </c>
      <c r="U2246" s="47">
        <f>INDEX(ChBaseCP,MATCH(E2246,ChName,0))*(1+INDEX(ProvMod,MATCH(G2246,ProvCode,0)))*(1+PriceIndex)</f>
        <v/>
      </c>
      <c r="V2246" s="47">
        <f>R2246*U2246*INDEX(FmtBlendedPriceIdx,MATCH(F2246,FmtName,0))</f>
        <v/>
      </c>
      <c r="W2246" s="47">
        <f>T2246*INDEX(ProvSRP,MATCH(G2246,ProvCode,0))*(1+PriceIndex)</f>
        <v/>
      </c>
      <c r="X2246" s="47">
        <f>IF(GrossBasis="Wholesale",V2246,W2246)</f>
        <v/>
      </c>
      <c r="Y2246" s="47">
        <f>R2246*INDEX(FmtBlendedCogs,MATCH(F2246,FmtName,0))</f>
        <v/>
      </c>
      <c r="Z2246" s="47">
        <f>X2246-Y2246</f>
        <v/>
      </c>
    </row>
    <row r="2247">
      <c r="A2247" t="n">
        <v>20</v>
      </c>
      <c r="B2247" s="44">
        <f>FiscalStart+(A2247-1)*7</f>
        <v/>
      </c>
      <c r="C2247">
        <f>TEXT(B2247,"mmm yyyy")</f>
        <v/>
      </c>
      <c r="D2247">
        <f>"Q"&amp;(INT((A2247-1)/13)+1)</f>
        <v/>
      </c>
      <c r="E2247" t="inlineStr">
        <is>
          <t>FDM</t>
        </is>
      </c>
      <c r="F2247">
        <f>IFERROR(INDEX(ChFormat,MATCH(E2247,ChName,0)),"")</f>
        <v/>
      </c>
      <c r="G2247" t="inlineStr">
        <is>
          <t>SK</t>
        </is>
      </c>
      <c r="H2247">
        <f>IF(A2247&lt;=NWeeks,1,0)</f>
        <v/>
      </c>
      <c r="I2247">
        <f>INDEX(ChLaunch,MATCH(E2247,ChName,0))</f>
        <v/>
      </c>
      <c r="J2247">
        <f>INDEX(ChWeeksFull,MATCH(E2247,ChName,0))</f>
        <v/>
      </c>
      <c r="K2247">
        <f>INDEX(ChRamp,MATCH(E2247,ChName,0))</f>
        <v/>
      </c>
      <c r="L2247" s="45">
        <f>MIN(1,MAX(0,(A2247-I2247+1)*RampSpeed/J2247))</f>
        <v/>
      </c>
      <c r="M2247" s="45">
        <f>IF(A2247&lt;I2247,0,IF(K2247="S-curve",L2247*L2247*(3-2*L2247),L2247))</f>
        <v/>
      </c>
      <c r="N2247" s="45">
        <f>1+(INDEX(SeasonIdx,A2247)-1)*SeasonAmp</f>
        <v/>
      </c>
      <c r="O2247" s="45">
        <f>IFERROR(INDEX(PSPct,MATCH(E2247&amp;"|"&amp;G2247,PSKey,0)),0)</f>
        <v/>
      </c>
      <c r="P2247" s="46">
        <f>INDEX(ChDoorVel,MATCH(E2247,ChName,0))*CalibScalar*(1+VelocityUplift)</f>
        <v/>
      </c>
      <c r="Q2247" s="46" t="n">
        <v>0</v>
      </c>
      <c r="R2247" s="46">
        <f>P2247*O2247*M2247*N2247*H2247</f>
        <v/>
      </c>
      <c r="S2247" s="46">
        <f>R2247*INDEX(FmtCansPerCase,MATCH(F2247,FmtName,0))</f>
        <v/>
      </c>
      <c r="T2247" s="46">
        <f>S2247/INDEX(FmtCansPerPack,MATCH(F2247,FmtName,0))</f>
        <v/>
      </c>
      <c r="U2247" s="47">
        <f>INDEX(ChBaseCP,MATCH(E2247,ChName,0))*(1+INDEX(ProvMod,MATCH(G2247,ProvCode,0)))*(1+PriceIndex)</f>
        <v/>
      </c>
      <c r="V2247" s="47">
        <f>R2247*U2247*INDEX(FmtBlendedPriceIdx,MATCH(F2247,FmtName,0))</f>
        <v/>
      </c>
      <c r="W2247" s="47">
        <f>T2247*INDEX(ProvSRP,MATCH(G2247,ProvCode,0))*(1+PriceIndex)</f>
        <v/>
      </c>
      <c r="X2247" s="47">
        <f>IF(GrossBasis="Wholesale",V2247,W2247)</f>
        <v/>
      </c>
      <c r="Y2247" s="47">
        <f>R2247*INDEX(FmtBlendedCogs,MATCH(F2247,FmtName,0))</f>
        <v/>
      </c>
      <c r="Z2247" s="47">
        <f>X2247-Y2247</f>
        <v/>
      </c>
    </row>
    <row r="2248">
      <c r="A2248" t="n">
        <v>21</v>
      </c>
      <c r="B2248" s="44">
        <f>FiscalStart+(A2248-1)*7</f>
        <v/>
      </c>
      <c r="C2248">
        <f>TEXT(B2248,"mmm yyyy")</f>
        <v/>
      </c>
      <c r="D2248">
        <f>"Q"&amp;(INT((A2248-1)/13)+1)</f>
        <v/>
      </c>
      <c r="E2248" t="inlineStr">
        <is>
          <t>FDM</t>
        </is>
      </c>
      <c r="F2248">
        <f>IFERROR(INDEX(ChFormat,MATCH(E2248,ChName,0)),"")</f>
        <v/>
      </c>
      <c r="G2248" t="inlineStr">
        <is>
          <t>SK</t>
        </is>
      </c>
      <c r="H2248">
        <f>IF(A2248&lt;=NWeeks,1,0)</f>
        <v/>
      </c>
      <c r="I2248">
        <f>INDEX(ChLaunch,MATCH(E2248,ChName,0))</f>
        <v/>
      </c>
      <c r="J2248">
        <f>INDEX(ChWeeksFull,MATCH(E2248,ChName,0))</f>
        <v/>
      </c>
      <c r="K2248">
        <f>INDEX(ChRamp,MATCH(E2248,ChName,0))</f>
        <v/>
      </c>
      <c r="L2248" s="45">
        <f>MIN(1,MAX(0,(A2248-I2248+1)*RampSpeed/J2248))</f>
        <v/>
      </c>
      <c r="M2248" s="45">
        <f>IF(A2248&lt;I2248,0,IF(K2248="S-curve",L2248*L2248*(3-2*L2248),L2248))</f>
        <v/>
      </c>
      <c r="N2248" s="45">
        <f>1+(INDEX(SeasonIdx,A2248)-1)*SeasonAmp</f>
        <v/>
      </c>
      <c r="O2248" s="45">
        <f>IFERROR(INDEX(PSPct,MATCH(E2248&amp;"|"&amp;G2248,PSKey,0)),0)</f>
        <v/>
      </c>
      <c r="P2248" s="46">
        <f>INDEX(ChDoorVel,MATCH(E2248,ChName,0))*CalibScalar*(1+VelocityUplift)</f>
        <v/>
      </c>
      <c r="Q2248" s="46" t="n">
        <v>0</v>
      </c>
      <c r="R2248" s="46">
        <f>P2248*O2248*M2248*N2248*H2248</f>
        <v/>
      </c>
      <c r="S2248" s="46">
        <f>R2248*INDEX(FmtCansPerCase,MATCH(F2248,FmtName,0))</f>
        <v/>
      </c>
      <c r="T2248" s="46">
        <f>S2248/INDEX(FmtCansPerPack,MATCH(F2248,FmtName,0))</f>
        <v/>
      </c>
      <c r="U2248" s="47">
        <f>INDEX(ChBaseCP,MATCH(E2248,ChName,0))*(1+INDEX(ProvMod,MATCH(G2248,ProvCode,0)))*(1+PriceIndex)</f>
        <v/>
      </c>
      <c r="V2248" s="47">
        <f>R2248*U2248*INDEX(FmtBlendedPriceIdx,MATCH(F2248,FmtName,0))</f>
        <v/>
      </c>
      <c r="W2248" s="47">
        <f>T2248*INDEX(ProvSRP,MATCH(G2248,ProvCode,0))*(1+PriceIndex)</f>
        <v/>
      </c>
      <c r="X2248" s="47">
        <f>IF(GrossBasis="Wholesale",V2248,W2248)</f>
        <v/>
      </c>
      <c r="Y2248" s="47">
        <f>R2248*INDEX(FmtBlendedCogs,MATCH(F2248,FmtName,0))</f>
        <v/>
      </c>
      <c r="Z2248" s="47">
        <f>X2248-Y2248</f>
        <v/>
      </c>
    </row>
    <row r="2249">
      <c r="A2249" t="n">
        <v>22</v>
      </c>
      <c r="B2249" s="44">
        <f>FiscalStart+(A2249-1)*7</f>
        <v/>
      </c>
      <c r="C2249">
        <f>TEXT(B2249,"mmm yyyy")</f>
        <v/>
      </c>
      <c r="D2249">
        <f>"Q"&amp;(INT((A2249-1)/13)+1)</f>
        <v/>
      </c>
      <c r="E2249" t="inlineStr">
        <is>
          <t>FDM</t>
        </is>
      </c>
      <c r="F2249">
        <f>IFERROR(INDEX(ChFormat,MATCH(E2249,ChName,0)),"")</f>
        <v/>
      </c>
      <c r="G2249" t="inlineStr">
        <is>
          <t>SK</t>
        </is>
      </c>
      <c r="H2249">
        <f>IF(A2249&lt;=NWeeks,1,0)</f>
        <v/>
      </c>
      <c r="I2249">
        <f>INDEX(ChLaunch,MATCH(E2249,ChName,0))</f>
        <v/>
      </c>
      <c r="J2249">
        <f>INDEX(ChWeeksFull,MATCH(E2249,ChName,0))</f>
        <v/>
      </c>
      <c r="K2249">
        <f>INDEX(ChRamp,MATCH(E2249,ChName,0))</f>
        <v/>
      </c>
      <c r="L2249" s="45">
        <f>MIN(1,MAX(0,(A2249-I2249+1)*RampSpeed/J2249))</f>
        <v/>
      </c>
      <c r="M2249" s="45">
        <f>IF(A2249&lt;I2249,0,IF(K2249="S-curve",L2249*L2249*(3-2*L2249),L2249))</f>
        <v/>
      </c>
      <c r="N2249" s="45">
        <f>1+(INDEX(SeasonIdx,A2249)-1)*SeasonAmp</f>
        <v/>
      </c>
      <c r="O2249" s="45">
        <f>IFERROR(INDEX(PSPct,MATCH(E2249&amp;"|"&amp;G2249,PSKey,0)),0)</f>
        <v/>
      </c>
      <c r="P2249" s="46">
        <f>INDEX(ChDoorVel,MATCH(E2249,ChName,0))*CalibScalar*(1+VelocityUplift)</f>
        <v/>
      </c>
      <c r="Q2249" s="46" t="n">
        <v>0</v>
      </c>
      <c r="R2249" s="46">
        <f>P2249*O2249*M2249*N2249*H2249</f>
        <v/>
      </c>
      <c r="S2249" s="46">
        <f>R2249*INDEX(FmtCansPerCase,MATCH(F2249,FmtName,0))</f>
        <v/>
      </c>
      <c r="T2249" s="46">
        <f>S2249/INDEX(FmtCansPerPack,MATCH(F2249,FmtName,0))</f>
        <v/>
      </c>
      <c r="U2249" s="47">
        <f>INDEX(ChBaseCP,MATCH(E2249,ChName,0))*(1+INDEX(ProvMod,MATCH(G2249,ProvCode,0)))*(1+PriceIndex)</f>
        <v/>
      </c>
      <c r="V2249" s="47">
        <f>R2249*U2249*INDEX(FmtBlendedPriceIdx,MATCH(F2249,FmtName,0))</f>
        <v/>
      </c>
      <c r="W2249" s="47">
        <f>T2249*INDEX(ProvSRP,MATCH(G2249,ProvCode,0))*(1+PriceIndex)</f>
        <v/>
      </c>
      <c r="X2249" s="47">
        <f>IF(GrossBasis="Wholesale",V2249,W2249)</f>
        <v/>
      </c>
      <c r="Y2249" s="47">
        <f>R2249*INDEX(FmtBlendedCogs,MATCH(F2249,FmtName,0))</f>
        <v/>
      </c>
      <c r="Z2249" s="47">
        <f>X2249-Y2249</f>
        <v/>
      </c>
    </row>
    <row r="2250">
      <c r="A2250" t="n">
        <v>23</v>
      </c>
      <c r="B2250" s="44">
        <f>FiscalStart+(A2250-1)*7</f>
        <v/>
      </c>
      <c r="C2250">
        <f>TEXT(B2250,"mmm yyyy")</f>
        <v/>
      </c>
      <c r="D2250">
        <f>"Q"&amp;(INT((A2250-1)/13)+1)</f>
        <v/>
      </c>
      <c r="E2250" t="inlineStr">
        <is>
          <t>FDM</t>
        </is>
      </c>
      <c r="F2250">
        <f>IFERROR(INDEX(ChFormat,MATCH(E2250,ChName,0)),"")</f>
        <v/>
      </c>
      <c r="G2250" t="inlineStr">
        <is>
          <t>SK</t>
        </is>
      </c>
      <c r="H2250">
        <f>IF(A2250&lt;=NWeeks,1,0)</f>
        <v/>
      </c>
      <c r="I2250">
        <f>INDEX(ChLaunch,MATCH(E2250,ChName,0))</f>
        <v/>
      </c>
      <c r="J2250">
        <f>INDEX(ChWeeksFull,MATCH(E2250,ChName,0))</f>
        <v/>
      </c>
      <c r="K2250">
        <f>INDEX(ChRamp,MATCH(E2250,ChName,0))</f>
        <v/>
      </c>
      <c r="L2250" s="45">
        <f>MIN(1,MAX(0,(A2250-I2250+1)*RampSpeed/J2250))</f>
        <v/>
      </c>
      <c r="M2250" s="45">
        <f>IF(A2250&lt;I2250,0,IF(K2250="S-curve",L2250*L2250*(3-2*L2250),L2250))</f>
        <v/>
      </c>
      <c r="N2250" s="45">
        <f>1+(INDEX(SeasonIdx,A2250)-1)*SeasonAmp</f>
        <v/>
      </c>
      <c r="O2250" s="45">
        <f>IFERROR(INDEX(PSPct,MATCH(E2250&amp;"|"&amp;G2250,PSKey,0)),0)</f>
        <v/>
      </c>
      <c r="P2250" s="46">
        <f>INDEX(ChDoorVel,MATCH(E2250,ChName,0))*CalibScalar*(1+VelocityUplift)</f>
        <v/>
      </c>
      <c r="Q2250" s="46" t="n">
        <v>0</v>
      </c>
      <c r="R2250" s="46">
        <f>P2250*O2250*M2250*N2250*H2250</f>
        <v/>
      </c>
      <c r="S2250" s="46">
        <f>R2250*INDEX(FmtCansPerCase,MATCH(F2250,FmtName,0))</f>
        <v/>
      </c>
      <c r="T2250" s="46">
        <f>S2250/INDEX(FmtCansPerPack,MATCH(F2250,FmtName,0))</f>
        <v/>
      </c>
      <c r="U2250" s="47">
        <f>INDEX(ChBaseCP,MATCH(E2250,ChName,0))*(1+INDEX(ProvMod,MATCH(G2250,ProvCode,0)))*(1+PriceIndex)</f>
        <v/>
      </c>
      <c r="V2250" s="47">
        <f>R2250*U2250*INDEX(FmtBlendedPriceIdx,MATCH(F2250,FmtName,0))</f>
        <v/>
      </c>
      <c r="W2250" s="47">
        <f>T2250*INDEX(ProvSRP,MATCH(G2250,ProvCode,0))*(1+PriceIndex)</f>
        <v/>
      </c>
      <c r="X2250" s="47">
        <f>IF(GrossBasis="Wholesale",V2250,W2250)</f>
        <v/>
      </c>
      <c r="Y2250" s="47">
        <f>R2250*INDEX(FmtBlendedCogs,MATCH(F2250,FmtName,0))</f>
        <v/>
      </c>
      <c r="Z2250" s="47">
        <f>X2250-Y2250</f>
        <v/>
      </c>
    </row>
    <row r="2251">
      <c r="A2251" t="n">
        <v>24</v>
      </c>
      <c r="B2251" s="44">
        <f>FiscalStart+(A2251-1)*7</f>
        <v/>
      </c>
      <c r="C2251">
        <f>TEXT(B2251,"mmm yyyy")</f>
        <v/>
      </c>
      <c r="D2251">
        <f>"Q"&amp;(INT((A2251-1)/13)+1)</f>
        <v/>
      </c>
      <c r="E2251" t="inlineStr">
        <is>
          <t>FDM</t>
        </is>
      </c>
      <c r="F2251">
        <f>IFERROR(INDEX(ChFormat,MATCH(E2251,ChName,0)),"")</f>
        <v/>
      </c>
      <c r="G2251" t="inlineStr">
        <is>
          <t>SK</t>
        </is>
      </c>
      <c r="H2251">
        <f>IF(A2251&lt;=NWeeks,1,0)</f>
        <v/>
      </c>
      <c r="I2251">
        <f>INDEX(ChLaunch,MATCH(E2251,ChName,0))</f>
        <v/>
      </c>
      <c r="J2251">
        <f>INDEX(ChWeeksFull,MATCH(E2251,ChName,0))</f>
        <v/>
      </c>
      <c r="K2251">
        <f>INDEX(ChRamp,MATCH(E2251,ChName,0))</f>
        <v/>
      </c>
      <c r="L2251" s="45">
        <f>MIN(1,MAX(0,(A2251-I2251+1)*RampSpeed/J2251))</f>
        <v/>
      </c>
      <c r="M2251" s="45">
        <f>IF(A2251&lt;I2251,0,IF(K2251="S-curve",L2251*L2251*(3-2*L2251),L2251))</f>
        <v/>
      </c>
      <c r="N2251" s="45">
        <f>1+(INDEX(SeasonIdx,A2251)-1)*SeasonAmp</f>
        <v/>
      </c>
      <c r="O2251" s="45">
        <f>IFERROR(INDEX(PSPct,MATCH(E2251&amp;"|"&amp;G2251,PSKey,0)),0)</f>
        <v/>
      </c>
      <c r="P2251" s="46">
        <f>INDEX(ChDoorVel,MATCH(E2251,ChName,0))*CalibScalar*(1+VelocityUplift)</f>
        <v/>
      </c>
      <c r="Q2251" s="46" t="n">
        <v>0</v>
      </c>
      <c r="R2251" s="46">
        <f>P2251*O2251*M2251*N2251*H2251</f>
        <v/>
      </c>
      <c r="S2251" s="46">
        <f>R2251*INDEX(FmtCansPerCase,MATCH(F2251,FmtName,0))</f>
        <v/>
      </c>
      <c r="T2251" s="46">
        <f>S2251/INDEX(FmtCansPerPack,MATCH(F2251,FmtName,0))</f>
        <v/>
      </c>
      <c r="U2251" s="47">
        <f>INDEX(ChBaseCP,MATCH(E2251,ChName,0))*(1+INDEX(ProvMod,MATCH(G2251,ProvCode,0)))*(1+PriceIndex)</f>
        <v/>
      </c>
      <c r="V2251" s="47">
        <f>R2251*U2251*INDEX(FmtBlendedPriceIdx,MATCH(F2251,FmtName,0))</f>
        <v/>
      </c>
      <c r="W2251" s="47">
        <f>T2251*INDEX(ProvSRP,MATCH(G2251,ProvCode,0))*(1+PriceIndex)</f>
        <v/>
      </c>
      <c r="X2251" s="47">
        <f>IF(GrossBasis="Wholesale",V2251,W2251)</f>
        <v/>
      </c>
      <c r="Y2251" s="47">
        <f>R2251*INDEX(FmtBlendedCogs,MATCH(F2251,FmtName,0))</f>
        <v/>
      </c>
      <c r="Z2251" s="47">
        <f>X2251-Y2251</f>
        <v/>
      </c>
    </row>
    <row r="2252">
      <c r="A2252" t="n">
        <v>25</v>
      </c>
      <c r="B2252" s="44">
        <f>FiscalStart+(A2252-1)*7</f>
        <v/>
      </c>
      <c r="C2252">
        <f>TEXT(B2252,"mmm yyyy")</f>
        <v/>
      </c>
      <c r="D2252">
        <f>"Q"&amp;(INT((A2252-1)/13)+1)</f>
        <v/>
      </c>
      <c r="E2252" t="inlineStr">
        <is>
          <t>FDM</t>
        </is>
      </c>
      <c r="F2252">
        <f>IFERROR(INDEX(ChFormat,MATCH(E2252,ChName,0)),"")</f>
        <v/>
      </c>
      <c r="G2252" t="inlineStr">
        <is>
          <t>SK</t>
        </is>
      </c>
      <c r="H2252">
        <f>IF(A2252&lt;=NWeeks,1,0)</f>
        <v/>
      </c>
      <c r="I2252">
        <f>INDEX(ChLaunch,MATCH(E2252,ChName,0))</f>
        <v/>
      </c>
      <c r="J2252">
        <f>INDEX(ChWeeksFull,MATCH(E2252,ChName,0))</f>
        <v/>
      </c>
      <c r="K2252">
        <f>INDEX(ChRamp,MATCH(E2252,ChName,0))</f>
        <v/>
      </c>
      <c r="L2252" s="45">
        <f>MIN(1,MAX(0,(A2252-I2252+1)*RampSpeed/J2252))</f>
        <v/>
      </c>
      <c r="M2252" s="45">
        <f>IF(A2252&lt;I2252,0,IF(K2252="S-curve",L2252*L2252*(3-2*L2252),L2252))</f>
        <v/>
      </c>
      <c r="N2252" s="45">
        <f>1+(INDEX(SeasonIdx,A2252)-1)*SeasonAmp</f>
        <v/>
      </c>
      <c r="O2252" s="45">
        <f>IFERROR(INDEX(PSPct,MATCH(E2252&amp;"|"&amp;G2252,PSKey,0)),0)</f>
        <v/>
      </c>
      <c r="P2252" s="46">
        <f>INDEX(ChDoorVel,MATCH(E2252,ChName,0))*CalibScalar*(1+VelocityUplift)</f>
        <v/>
      </c>
      <c r="Q2252" s="46" t="n">
        <v>0</v>
      </c>
      <c r="R2252" s="46">
        <f>P2252*O2252*M2252*N2252*H2252</f>
        <v/>
      </c>
      <c r="S2252" s="46">
        <f>R2252*INDEX(FmtCansPerCase,MATCH(F2252,FmtName,0))</f>
        <v/>
      </c>
      <c r="T2252" s="46">
        <f>S2252/INDEX(FmtCansPerPack,MATCH(F2252,FmtName,0))</f>
        <v/>
      </c>
      <c r="U2252" s="47">
        <f>INDEX(ChBaseCP,MATCH(E2252,ChName,0))*(1+INDEX(ProvMod,MATCH(G2252,ProvCode,0)))*(1+PriceIndex)</f>
        <v/>
      </c>
      <c r="V2252" s="47">
        <f>R2252*U2252*INDEX(FmtBlendedPriceIdx,MATCH(F2252,FmtName,0))</f>
        <v/>
      </c>
      <c r="W2252" s="47">
        <f>T2252*INDEX(ProvSRP,MATCH(G2252,ProvCode,0))*(1+PriceIndex)</f>
        <v/>
      </c>
      <c r="X2252" s="47">
        <f>IF(GrossBasis="Wholesale",V2252,W2252)</f>
        <v/>
      </c>
      <c r="Y2252" s="47">
        <f>R2252*INDEX(FmtBlendedCogs,MATCH(F2252,FmtName,0))</f>
        <v/>
      </c>
      <c r="Z2252" s="47">
        <f>X2252-Y2252</f>
        <v/>
      </c>
    </row>
    <row r="2253">
      <c r="A2253" t="n">
        <v>26</v>
      </c>
      <c r="B2253" s="44">
        <f>FiscalStart+(A2253-1)*7</f>
        <v/>
      </c>
      <c r="C2253">
        <f>TEXT(B2253,"mmm yyyy")</f>
        <v/>
      </c>
      <c r="D2253">
        <f>"Q"&amp;(INT((A2253-1)/13)+1)</f>
        <v/>
      </c>
      <c r="E2253" t="inlineStr">
        <is>
          <t>FDM</t>
        </is>
      </c>
      <c r="F2253">
        <f>IFERROR(INDEX(ChFormat,MATCH(E2253,ChName,0)),"")</f>
        <v/>
      </c>
      <c r="G2253" t="inlineStr">
        <is>
          <t>SK</t>
        </is>
      </c>
      <c r="H2253">
        <f>IF(A2253&lt;=NWeeks,1,0)</f>
        <v/>
      </c>
      <c r="I2253">
        <f>INDEX(ChLaunch,MATCH(E2253,ChName,0))</f>
        <v/>
      </c>
      <c r="J2253">
        <f>INDEX(ChWeeksFull,MATCH(E2253,ChName,0))</f>
        <v/>
      </c>
      <c r="K2253">
        <f>INDEX(ChRamp,MATCH(E2253,ChName,0))</f>
        <v/>
      </c>
      <c r="L2253" s="45">
        <f>MIN(1,MAX(0,(A2253-I2253+1)*RampSpeed/J2253))</f>
        <v/>
      </c>
      <c r="M2253" s="45">
        <f>IF(A2253&lt;I2253,0,IF(K2253="S-curve",L2253*L2253*(3-2*L2253),L2253))</f>
        <v/>
      </c>
      <c r="N2253" s="45">
        <f>1+(INDEX(SeasonIdx,A2253)-1)*SeasonAmp</f>
        <v/>
      </c>
      <c r="O2253" s="45">
        <f>IFERROR(INDEX(PSPct,MATCH(E2253&amp;"|"&amp;G2253,PSKey,0)),0)</f>
        <v/>
      </c>
      <c r="P2253" s="46">
        <f>INDEX(ChDoorVel,MATCH(E2253,ChName,0))*CalibScalar*(1+VelocityUplift)</f>
        <v/>
      </c>
      <c r="Q2253" s="46" t="n">
        <v>0</v>
      </c>
      <c r="R2253" s="46">
        <f>P2253*O2253*M2253*N2253*H2253</f>
        <v/>
      </c>
      <c r="S2253" s="46">
        <f>R2253*INDEX(FmtCansPerCase,MATCH(F2253,FmtName,0))</f>
        <v/>
      </c>
      <c r="T2253" s="46">
        <f>S2253/INDEX(FmtCansPerPack,MATCH(F2253,FmtName,0))</f>
        <v/>
      </c>
      <c r="U2253" s="47">
        <f>INDEX(ChBaseCP,MATCH(E2253,ChName,0))*(1+INDEX(ProvMod,MATCH(G2253,ProvCode,0)))*(1+PriceIndex)</f>
        <v/>
      </c>
      <c r="V2253" s="47">
        <f>R2253*U2253*INDEX(FmtBlendedPriceIdx,MATCH(F2253,FmtName,0))</f>
        <v/>
      </c>
      <c r="W2253" s="47">
        <f>T2253*INDEX(ProvSRP,MATCH(G2253,ProvCode,0))*(1+PriceIndex)</f>
        <v/>
      </c>
      <c r="X2253" s="47">
        <f>IF(GrossBasis="Wholesale",V2253,W2253)</f>
        <v/>
      </c>
      <c r="Y2253" s="47">
        <f>R2253*INDEX(FmtBlendedCogs,MATCH(F2253,FmtName,0))</f>
        <v/>
      </c>
      <c r="Z2253" s="47">
        <f>X2253-Y2253</f>
        <v/>
      </c>
    </row>
    <row r="2254">
      <c r="A2254" t="n">
        <v>27</v>
      </c>
      <c r="B2254" s="44">
        <f>FiscalStart+(A2254-1)*7</f>
        <v/>
      </c>
      <c r="C2254">
        <f>TEXT(B2254,"mmm yyyy")</f>
        <v/>
      </c>
      <c r="D2254">
        <f>"Q"&amp;(INT((A2254-1)/13)+1)</f>
        <v/>
      </c>
      <c r="E2254" t="inlineStr">
        <is>
          <t>FDM</t>
        </is>
      </c>
      <c r="F2254">
        <f>IFERROR(INDEX(ChFormat,MATCH(E2254,ChName,0)),"")</f>
        <v/>
      </c>
      <c r="G2254" t="inlineStr">
        <is>
          <t>SK</t>
        </is>
      </c>
      <c r="H2254">
        <f>IF(A2254&lt;=NWeeks,1,0)</f>
        <v/>
      </c>
      <c r="I2254">
        <f>INDEX(ChLaunch,MATCH(E2254,ChName,0))</f>
        <v/>
      </c>
      <c r="J2254">
        <f>INDEX(ChWeeksFull,MATCH(E2254,ChName,0))</f>
        <v/>
      </c>
      <c r="K2254">
        <f>INDEX(ChRamp,MATCH(E2254,ChName,0))</f>
        <v/>
      </c>
      <c r="L2254" s="45">
        <f>MIN(1,MAX(0,(A2254-I2254+1)*RampSpeed/J2254))</f>
        <v/>
      </c>
      <c r="M2254" s="45">
        <f>IF(A2254&lt;I2254,0,IF(K2254="S-curve",L2254*L2254*(3-2*L2254),L2254))</f>
        <v/>
      </c>
      <c r="N2254" s="45">
        <f>1+(INDEX(SeasonIdx,A2254)-1)*SeasonAmp</f>
        <v/>
      </c>
      <c r="O2254" s="45">
        <f>IFERROR(INDEX(PSPct,MATCH(E2254&amp;"|"&amp;G2254,PSKey,0)),0)</f>
        <v/>
      </c>
      <c r="P2254" s="46">
        <f>INDEX(ChDoorVel,MATCH(E2254,ChName,0))*CalibScalar*(1+VelocityUplift)</f>
        <v/>
      </c>
      <c r="Q2254" s="46" t="n">
        <v>0</v>
      </c>
      <c r="R2254" s="46">
        <f>P2254*O2254*M2254*N2254*H2254</f>
        <v/>
      </c>
      <c r="S2254" s="46">
        <f>R2254*INDEX(FmtCansPerCase,MATCH(F2254,FmtName,0))</f>
        <v/>
      </c>
      <c r="T2254" s="46">
        <f>S2254/INDEX(FmtCansPerPack,MATCH(F2254,FmtName,0))</f>
        <v/>
      </c>
      <c r="U2254" s="47">
        <f>INDEX(ChBaseCP,MATCH(E2254,ChName,0))*(1+INDEX(ProvMod,MATCH(G2254,ProvCode,0)))*(1+PriceIndex)</f>
        <v/>
      </c>
      <c r="V2254" s="47">
        <f>R2254*U2254*INDEX(FmtBlendedPriceIdx,MATCH(F2254,FmtName,0))</f>
        <v/>
      </c>
      <c r="W2254" s="47">
        <f>T2254*INDEX(ProvSRP,MATCH(G2254,ProvCode,0))*(1+PriceIndex)</f>
        <v/>
      </c>
      <c r="X2254" s="47">
        <f>IF(GrossBasis="Wholesale",V2254,W2254)</f>
        <v/>
      </c>
      <c r="Y2254" s="47">
        <f>R2254*INDEX(FmtBlendedCogs,MATCH(F2254,FmtName,0))</f>
        <v/>
      </c>
      <c r="Z2254" s="47">
        <f>X2254-Y2254</f>
        <v/>
      </c>
    </row>
    <row r="2255">
      <c r="A2255" t="n">
        <v>28</v>
      </c>
      <c r="B2255" s="44">
        <f>FiscalStart+(A2255-1)*7</f>
        <v/>
      </c>
      <c r="C2255">
        <f>TEXT(B2255,"mmm yyyy")</f>
        <v/>
      </c>
      <c r="D2255">
        <f>"Q"&amp;(INT((A2255-1)/13)+1)</f>
        <v/>
      </c>
      <c r="E2255" t="inlineStr">
        <is>
          <t>FDM</t>
        </is>
      </c>
      <c r="F2255">
        <f>IFERROR(INDEX(ChFormat,MATCH(E2255,ChName,0)),"")</f>
        <v/>
      </c>
      <c r="G2255" t="inlineStr">
        <is>
          <t>SK</t>
        </is>
      </c>
      <c r="H2255">
        <f>IF(A2255&lt;=NWeeks,1,0)</f>
        <v/>
      </c>
      <c r="I2255">
        <f>INDEX(ChLaunch,MATCH(E2255,ChName,0))</f>
        <v/>
      </c>
      <c r="J2255">
        <f>INDEX(ChWeeksFull,MATCH(E2255,ChName,0))</f>
        <v/>
      </c>
      <c r="K2255">
        <f>INDEX(ChRamp,MATCH(E2255,ChName,0))</f>
        <v/>
      </c>
      <c r="L2255" s="45">
        <f>MIN(1,MAX(0,(A2255-I2255+1)*RampSpeed/J2255))</f>
        <v/>
      </c>
      <c r="M2255" s="45">
        <f>IF(A2255&lt;I2255,0,IF(K2255="S-curve",L2255*L2255*(3-2*L2255),L2255))</f>
        <v/>
      </c>
      <c r="N2255" s="45">
        <f>1+(INDEX(SeasonIdx,A2255)-1)*SeasonAmp</f>
        <v/>
      </c>
      <c r="O2255" s="45">
        <f>IFERROR(INDEX(PSPct,MATCH(E2255&amp;"|"&amp;G2255,PSKey,0)),0)</f>
        <v/>
      </c>
      <c r="P2255" s="46">
        <f>INDEX(ChDoorVel,MATCH(E2255,ChName,0))*CalibScalar*(1+VelocityUplift)</f>
        <v/>
      </c>
      <c r="Q2255" s="46" t="n">
        <v>0</v>
      </c>
      <c r="R2255" s="46">
        <f>P2255*O2255*M2255*N2255*H2255</f>
        <v/>
      </c>
      <c r="S2255" s="46">
        <f>R2255*INDEX(FmtCansPerCase,MATCH(F2255,FmtName,0))</f>
        <v/>
      </c>
      <c r="T2255" s="46">
        <f>S2255/INDEX(FmtCansPerPack,MATCH(F2255,FmtName,0))</f>
        <v/>
      </c>
      <c r="U2255" s="47">
        <f>INDEX(ChBaseCP,MATCH(E2255,ChName,0))*(1+INDEX(ProvMod,MATCH(G2255,ProvCode,0)))*(1+PriceIndex)</f>
        <v/>
      </c>
      <c r="V2255" s="47">
        <f>R2255*U2255*INDEX(FmtBlendedPriceIdx,MATCH(F2255,FmtName,0))</f>
        <v/>
      </c>
      <c r="W2255" s="47">
        <f>T2255*INDEX(ProvSRP,MATCH(G2255,ProvCode,0))*(1+PriceIndex)</f>
        <v/>
      </c>
      <c r="X2255" s="47">
        <f>IF(GrossBasis="Wholesale",V2255,W2255)</f>
        <v/>
      </c>
      <c r="Y2255" s="47">
        <f>R2255*INDEX(FmtBlendedCogs,MATCH(F2255,FmtName,0))</f>
        <v/>
      </c>
      <c r="Z2255" s="47">
        <f>X2255-Y2255</f>
        <v/>
      </c>
    </row>
    <row r="2256">
      <c r="A2256" t="n">
        <v>29</v>
      </c>
      <c r="B2256" s="44">
        <f>FiscalStart+(A2256-1)*7</f>
        <v/>
      </c>
      <c r="C2256">
        <f>TEXT(B2256,"mmm yyyy")</f>
        <v/>
      </c>
      <c r="D2256">
        <f>"Q"&amp;(INT((A2256-1)/13)+1)</f>
        <v/>
      </c>
      <c r="E2256" t="inlineStr">
        <is>
          <t>FDM</t>
        </is>
      </c>
      <c r="F2256">
        <f>IFERROR(INDEX(ChFormat,MATCH(E2256,ChName,0)),"")</f>
        <v/>
      </c>
      <c r="G2256" t="inlineStr">
        <is>
          <t>SK</t>
        </is>
      </c>
      <c r="H2256">
        <f>IF(A2256&lt;=NWeeks,1,0)</f>
        <v/>
      </c>
      <c r="I2256">
        <f>INDEX(ChLaunch,MATCH(E2256,ChName,0))</f>
        <v/>
      </c>
      <c r="J2256">
        <f>INDEX(ChWeeksFull,MATCH(E2256,ChName,0))</f>
        <v/>
      </c>
      <c r="K2256">
        <f>INDEX(ChRamp,MATCH(E2256,ChName,0))</f>
        <v/>
      </c>
      <c r="L2256" s="45">
        <f>MIN(1,MAX(0,(A2256-I2256+1)*RampSpeed/J2256))</f>
        <v/>
      </c>
      <c r="M2256" s="45">
        <f>IF(A2256&lt;I2256,0,IF(K2256="S-curve",L2256*L2256*(3-2*L2256),L2256))</f>
        <v/>
      </c>
      <c r="N2256" s="45">
        <f>1+(INDEX(SeasonIdx,A2256)-1)*SeasonAmp</f>
        <v/>
      </c>
      <c r="O2256" s="45">
        <f>IFERROR(INDEX(PSPct,MATCH(E2256&amp;"|"&amp;G2256,PSKey,0)),0)</f>
        <v/>
      </c>
      <c r="P2256" s="46">
        <f>INDEX(ChDoorVel,MATCH(E2256,ChName,0))*CalibScalar*(1+VelocityUplift)</f>
        <v/>
      </c>
      <c r="Q2256" s="46" t="n">
        <v>0</v>
      </c>
      <c r="R2256" s="46">
        <f>P2256*O2256*M2256*N2256*H2256</f>
        <v/>
      </c>
      <c r="S2256" s="46">
        <f>R2256*INDEX(FmtCansPerCase,MATCH(F2256,FmtName,0))</f>
        <v/>
      </c>
      <c r="T2256" s="46">
        <f>S2256/INDEX(FmtCansPerPack,MATCH(F2256,FmtName,0))</f>
        <v/>
      </c>
      <c r="U2256" s="47">
        <f>INDEX(ChBaseCP,MATCH(E2256,ChName,0))*(1+INDEX(ProvMod,MATCH(G2256,ProvCode,0)))*(1+PriceIndex)</f>
        <v/>
      </c>
      <c r="V2256" s="47">
        <f>R2256*U2256*INDEX(FmtBlendedPriceIdx,MATCH(F2256,FmtName,0))</f>
        <v/>
      </c>
      <c r="W2256" s="47">
        <f>T2256*INDEX(ProvSRP,MATCH(G2256,ProvCode,0))*(1+PriceIndex)</f>
        <v/>
      </c>
      <c r="X2256" s="47">
        <f>IF(GrossBasis="Wholesale",V2256,W2256)</f>
        <v/>
      </c>
      <c r="Y2256" s="47">
        <f>R2256*INDEX(FmtBlendedCogs,MATCH(F2256,FmtName,0))</f>
        <v/>
      </c>
      <c r="Z2256" s="47">
        <f>X2256-Y2256</f>
        <v/>
      </c>
    </row>
    <row r="2257">
      <c r="A2257" t="n">
        <v>30</v>
      </c>
      <c r="B2257" s="44">
        <f>FiscalStart+(A2257-1)*7</f>
        <v/>
      </c>
      <c r="C2257">
        <f>TEXT(B2257,"mmm yyyy")</f>
        <v/>
      </c>
      <c r="D2257">
        <f>"Q"&amp;(INT((A2257-1)/13)+1)</f>
        <v/>
      </c>
      <c r="E2257" t="inlineStr">
        <is>
          <t>FDM</t>
        </is>
      </c>
      <c r="F2257">
        <f>IFERROR(INDEX(ChFormat,MATCH(E2257,ChName,0)),"")</f>
        <v/>
      </c>
      <c r="G2257" t="inlineStr">
        <is>
          <t>SK</t>
        </is>
      </c>
      <c r="H2257">
        <f>IF(A2257&lt;=NWeeks,1,0)</f>
        <v/>
      </c>
      <c r="I2257">
        <f>INDEX(ChLaunch,MATCH(E2257,ChName,0))</f>
        <v/>
      </c>
      <c r="J2257">
        <f>INDEX(ChWeeksFull,MATCH(E2257,ChName,0))</f>
        <v/>
      </c>
      <c r="K2257">
        <f>INDEX(ChRamp,MATCH(E2257,ChName,0))</f>
        <v/>
      </c>
      <c r="L2257" s="45">
        <f>MIN(1,MAX(0,(A2257-I2257+1)*RampSpeed/J2257))</f>
        <v/>
      </c>
      <c r="M2257" s="45">
        <f>IF(A2257&lt;I2257,0,IF(K2257="S-curve",L2257*L2257*(3-2*L2257),L2257))</f>
        <v/>
      </c>
      <c r="N2257" s="45">
        <f>1+(INDEX(SeasonIdx,A2257)-1)*SeasonAmp</f>
        <v/>
      </c>
      <c r="O2257" s="45">
        <f>IFERROR(INDEX(PSPct,MATCH(E2257&amp;"|"&amp;G2257,PSKey,0)),0)</f>
        <v/>
      </c>
      <c r="P2257" s="46">
        <f>INDEX(ChDoorVel,MATCH(E2257,ChName,0))*CalibScalar*(1+VelocityUplift)</f>
        <v/>
      </c>
      <c r="Q2257" s="46" t="n">
        <v>0</v>
      </c>
      <c r="R2257" s="46">
        <f>P2257*O2257*M2257*N2257*H2257</f>
        <v/>
      </c>
      <c r="S2257" s="46">
        <f>R2257*INDEX(FmtCansPerCase,MATCH(F2257,FmtName,0))</f>
        <v/>
      </c>
      <c r="T2257" s="46">
        <f>S2257/INDEX(FmtCansPerPack,MATCH(F2257,FmtName,0))</f>
        <v/>
      </c>
      <c r="U2257" s="47">
        <f>INDEX(ChBaseCP,MATCH(E2257,ChName,0))*(1+INDEX(ProvMod,MATCH(G2257,ProvCode,0)))*(1+PriceIndex)</f>
        <v/>
      </c>
      <c r="V2257" s="47">
        <f>R2257*U2257*INDEX(FmtBlendedPriceIdx,MATCH(F2257,FmtName,0))</f>
        <v/>
      </c>
      <c r="W2257" s="47">
        <f>T2257*INDEX(ProvSRP,MATCH(G2257,ProvCode,0))*(1+PriceIndex)</f>
        <v/>
      </c>
      <c r="X2257" s="47">
        <f>IF(GrossBasis="Wholesale",V2257,W2257)</f>
        <v/>
      </c>
      <c r="Y2257" s="47">
        <f>R2257*INDEX(FmtBlendedCogs,MATCH(F2257,FmtName,0))</f>
        <v/>
      </c>
      <c r="Z2257" s="47">
        <f>X2257-Y2257</f>
        <v/>
      </c>
    </row>
    <row r="2258">
      <c r="A2258" t="n">
        <v>31</v>
      </c>
      <c r="B2258" s="44">
        <f>FiscalStart+(A2258-1)*7</f>
        <v/>
      </c>
      <c r="C2258">
        <f>TEXT(B2258,"mmm yyyy")</f>
        <v/>
      </c>
      <c r="D2258">
        <f>"Q"&amp;(INT((A2258-1)/13)+1)</f>
        <v/>
      </c>
      <c r="E2258" t="inlineStr">
        <is>
          <t>FDM</t>
        </is>
      </c>
      <c r="F2258">
        <f>IFERROR(INDEX(ChFormat,MATCH(E2258,ChName,0)),"")</f>
        <v/>
      </c>
      <c r="G2258" t="inlineStr">
        <is>
          <t>SK</t>
        </is>
      </c>
      <c r="H2258">
        <f>IF(A2258&lt;=NWeeks,1,0)</f>
        <v/>
      </c>
      <c r="I2258">
        <f>INDEX(ChLaunch,MATCH(E2258,ChName,0))</f>
        <v/>
      </c>
      <c r="J2258">
        <f>INDEX(ChWeeksFull,MATCH(E2258,ChName,0))</f>
        <v/>
      </c>
      <c r="K2258">
        <f>INDEX(ChRamp,MATCH(E2258,ChName,0))</f>
        <v/>
      </c>
      <c r="L2258" s="45">
        <f>MIN(1,MAX(0,(A2258-I2258+1)*RampSpeed/J2258))</f>
        <v/>
      </c>
      <c r="M2258" s="45">
        <f>IF(A2258&lt;I2258,0,IF(K2258="S-curve",L2258*L2258*(3-2*L2258),L2258))</f>
        <v/>
      </c>
      <c r="N2258" s="45">
        <f>1+(INDEX(SeasonIdx,A2258)-1)*SeasonAmp</f>
        <v/>
      </c>
      <c r="O2258" s="45">
        <f>IFERROR(INDEX(PSPct,MATCH(E2258&amp;"|"&amp;G2258,PSKey,0)),0)</f>
        <v/>
      </c>
      <c r="P2258" s="46">
        <f>INDEX(ChDoorVel,MATCH(E2258,ChName,0))*CalibScalar*(1+VelocityUplift)</f>
        <v/>
      </c>
      <c r="Q2258" s="46" t="n">
        <v>0</v>
      </c>
      <c r="R2258" s="46">
        <f>P2258*O2258*M2258*N2258*H2258</f>
        <v/>
      </c>
      <c r="S2258" s="46">
        <f>R2258*INDEX(FmtCansPerCase,MATCH(F2258,FmtName,0))</f>
        <v/>
      </c>
      <c r="T2258" s="46">
        <f>S2258/INDEX(FmtCansPerPack,MATCH(F2258,FmtName,0))</f>
        <v/>
      </c>
      <c r="U2258" s="47">
        <f>INDEX(ChBaseCP,MATCH(E2258,ChName,0))*(1+INDEX(ProvMod,MATCH(G2258,ProvCode,0)))*(1+PriceIndex)</f>
        <v/>
      </c>
      <c r="V2258" s="47">
        <f>R2258*U2258*INDEX(FmtBlendedPriceIdx,MATCH(F2258,FmtName,0))</f>
        <v/>
      </c>
      <c r="W2258" s="47">
        <f>T2258*INDEX(ProvSRP,MATCH(G2258,ProvCode,0))*(1+PriceIndex)</f>
        <v/>
      </c>
      <c r="X2258" s="47">
        <f>IF(GrossBasis="Wholesale",V2258,W2258)</f>
        <v/>
      </c>
      <c r="Y2258" s="47">
        <f>R2258*INDEX(FmtBlendedCogs,MATCH(F2258,FmtName,0))</f>
        <v/>
      </c>
      <c r="Z2258" s="47">
        <f>X2258-Y2258</f>
        <v/>
      </c>
    </row>
    <row r="2259">
      <c r="A2259" t="n">
        <v>32</v>
      </c>
      <c r="B2259" s="44">
        <f>FiscalStart+(A2259-1)*7</f>
        <v/>
      </c>
      <c r="C2259">
        <f>TEXT(B2259,"mmm yyyy")</f>
        <v/>
      </c>
      <c r="D2259">
        <f>"Q"&amp;(INT((A2259-1)/13)+1)</f>
        <v/>
      </c>
      <c r="E2259" t="inlineStr">
        <is>
          <t>FDM</t>
        </is>
      </c>
      <c r="F2259">
        <f>IFERROR(INDEX(ChFormat,MATCH(E2259,ChName,0)),"")</f>
        <v/>
      </c>
      <c r="G2259" t="inlineStr">
        <is>
          <t>SK</t>
        </is>
      </c>
      <c r="H2259">
        <f>IF(A2259&lt;=NWeeks,1,0)</f>
        <v/>
      </c>
      <c r="I2259">
        <f>INDEX(ChLaunch,MATCH(E2259,ChName,0))</f>
        <v/>
      </c>
      <c r="J2259">
        <f>INDEX(ChWeeksFull,MATCH(E2259,ChName,0))</f>
        <v/>
      </c>
      <c r="K2259">
        <f>INDEX(ChRamp,MATCH(E2259,ChName,0))</f>
        <v/>
      </c>
      <c r="L2259" s="45">
        <f>MIN(1,MAX(0,(A2259-I2259+1)*RampSpeed/J2259))</f>
        <v/>
      </c>
      <c r="M2259" s="45">
        <f>IF(A2259&lt;I2259,0,IF(K2259="S-curve",L2259*L2259*(3-2*L2259),L2259))</f>
        <v/>
      </c>
      <c r="N2259" s="45">
        <f>1+(INDEX(SeasonIdx,A2259)-1)*SeasonAmp</f>
        <v/>
      </c>
      <c r="O2259" s="45">
        <f>IFERROR(INDEX(PSPct,MATCH(E2259&amp;"|"&amp;G2259,PSKey,0)),0)</f>
        <v/>
      </c>
      <c r="P2259" s="46">
        <f>INDEX(ChDoorVel,MATCH(E2259,ChName,0))*CalibScalar*(1+VelocityUplift)</f>
        <v/>
      </c>
      <c r="Q2259" s="46" t="n">
        <v>0</v>
      </c>
      <c r="R2259" s="46">
        <f>P2259*O2259*M2259*N2259*H2259</f>
        <v/>
      </c>
      <c r="S2259" s="46">
        <f>R2259*INDEX(FmtCansPerCase,MATCH(F2259,FmtName,0))</f>
        <v/>
      </c>
      <c r="T2259" s="46">
        <f>S2259/INDEX(FmtCansPerPack,MATCH(F2259,FmtName,0))</f>
        <v/>
      </c>
      <c r="U2259" s="47">
        <f>INDEX(ChBaseCP,MATCH(E2259,ChName,0))*(1+INDEX(ProvMod,MATCH(G2259,ProvCode,0)))*(1+PriceIndex)</f>
        <v/>
      </c>
      <c r="V2259" s="47">
        <f>R2259*U2259*INDEX(FmtBlendedPriceIdx,MATCH(F2259,FmtName,0))</f>
        <v/>
      </c>
      <c r="W2259" s="47">
        <f>T2259*INDEX(ProvSRP,MATCH(G2259,ProvCode,0))*(1+PriceIndex)</f>
        <v/>
      </c>
      <c r="X2259" s="47">
        <f>IF(GrossBasis="Wholesale",V2259,W2259)</f>
        <v/>
      </c>
      <c r="Y2259" s="47">
        <f>R2259*INDEX(FmtBlendedCogs,MATCH(F2259,FmtName,0))</f>
        <v/>
      </c>
      <c r="Z2259" s="47">
        <f>X2259-Y2259</f>
        <v/>
      </c>
    </row>
    <row r="2260">
      <c r="A2260" t="n">
        <v>33</v>
      </c>
      <c r="B2260" s="44">
        <f>FiscalStart+(A2260-1)*7</f>
        <v/>
      </c>
      <c r="C2260">
        <f>TEXT(B2260,"mmm yyyy")</f>
        <v/>
      </c>
      <c r="D2260">
        <f>"Q"&amp;(INT((A2260-1)/13)+1)</f>
        <v/>
      </c>
      <c r="E2260" t="inlineStr">
        <is>
          <t>FDM</t>
        </is>
      </c>
      <c r="F2260">
        <f>IFERROR(INDEX(ChFormat,MATCH(E2260,ChName,0)),"")</f>
        <v/>
      </c>
      <c r="G2260" t="inlineStr">
        <is>
          <t>SK</t>
        </is>
      </c>
      <c r="H2260">
        <f>IF(A2260&lt;=NWeeks,1,0)</f>
        <v/>
      </c>
      <c r="I2260">
        <f>INDEX(ChLaunch,MATCH(E2260,ChName,0))</f>
        <v/>
      </c>
      <c r="J2260">
        <f>INDEX(ChWeeksFull,MATCH(E2260,ChName,0))</f>
        <v/>
      </c>
      <c r="K2260">
        <f>INDEX(ChRamp,MATCH(E2260,ChName,0))</f>
        <v/>
      </c>
      <c r="L2260" s="45">
        <f>MIN(1,MAX(0,(A2260-I2260+1)*RampSpeed/J2260))</f>
        <v/>
      </c>
      <c r="M2260" s="45">
        <f>IF(A2260&lt;I2260,0,IF(K2260="S-curve",L2260*L2260*(3-2*L2260),L2260))</f>
        <v/>
      </c>
      <c r="N2260" s="45">
        <f>1+(INDEX(SeasonIdx,A2260)-1)*SeasonAmp</f>
        <v/>
      </c>
      <c r="O2260" s="45">
        <f>IFERROR(INDEX(PSPct,MATCH(E2260&amp;"|"&amp;G2260,PSKey,0)),0)</f>
        <v/>
      </c>
      <c r="P2260" s="46">
        <f>INDEX(ChDoorVel,MATCH(E2260,ChName,0))*CalibScalar*(1+VelocityUplift)</f>
        <v/>
      </c>
      <c r="Q2260" s="46" t="n">
        <v>0</v>
      </c>
      <c r="R2260" s="46">
        <f>P2260*O2260*M2260*N2260*H2260</f>
        <v/>
      </c>
      <c r="S2260" s="46">
        <f>R2260*INDEX(FmtCansPerCase,MATCH(F2260,FmtName,0))</f>
        <v/>
      </c>
      <c r="T2260" s="46">
        <f>S2260/INDEX(FmtCansPerPack,MATCH(F2260,FmtName,0))</f>
        <v/>
      </c>
      <c r="U2260" s="47">
        <f>INDEX(ChBaseCP,MATCH(E2260,ChName,0))*(1+INDEX(ProvMod,MATCH(G2260,ProvCode,0)))*(1+PriceIndex)</f>
        <v/>
      </c>
      <c r="V2260" s="47">
        <f>R2260*U2260*INDEX(FmtBlendedPriceIdx,MATCH(F2260,FmtName,0))</f>
        <v/>
      </c>
      <c r="W2260" s="47">
        <f>T2260*INDEX(ProvSRP,MATCH(G2260,ProvCode,0))*(1+PriceIndex)</f>
        <v/>
      </c>
      <c r="X2260" s="47">
        <f>IF(GrossBasis="Wholesale",V2260,W2260)</f>
        <v/>
      </c>
      <c r="Y2260" s="47">
        <f>R2260*INDEX(FmtBlendedCogs,MATCH(F2260,FmtName,0))</f>
        <v/>
      </c>
      <c r="Z2260" s="47">
        <f>X2260-Y2260</f>
        <v/>
      </c>
    </row>
    <row r="2261">
      <c r="A2261" t="n">
        <v>34</v>
      </c>
      <c r="B2261" s="44">
        <f>FiscalStart+(A2261-1)*7</f>
        <v/>
      </c>
      <c r="C2261">
        <f>TEXT(B2261,"mmm yyyy")</f>
        <v/>
      </c>
      <c r="D2261">
        <f>"Q"&amp;(INT((A2261-1)/13)+1)</f>
        <v/>
      </c>
      <c r="E2261" t="inlineStr">
        <is>
          <t>FDM</t>
        </is>
      </c>
      <c r="F2261">
        <f>IFERROR(INDEX(ChFormat,MATCH(E2261,ChName,0)),"")</f>
        <v/>
      </c>
      <c r="G2261" t="inlineStr">
        <is>
          <t>SK</t>
        </is>
      </c>
      <c r="H2261">
        <f>IF(A2261&lt;=NWeeks,1,0)</f>
        <v/>
      </c>
      <c r="I2261">
        <f>INDEX(ChLaunch,MATCH(E2261,ChName,0))</f>
        <v/>
      </c>
      <c r="J2261">
        <f>INDEX(ChWeeksFull,MATCH(E2261,ChName,0))</f>
        <v/>
      </c>
      <c r="K2261">
        <f>INDEX(ChRamp,MATCH(E2261,ChName,0))</f>
        <v/>
      </c>
      <c r="L2261" s="45">
        <f>MIN(1,MAX(0,(A2261-I2261+1)*RampSpeed/J2261))</f>
        <v/>
      </c>
      <c r="M2261" s="45">
        <f>IF(A2261&lt;I2261,0,IF(K2261="S-curve",L2261*L2261*(3-2*L2261),L2261))</f>
        <v/>
      </c>
      <c r="N2261" s="45">
        <f>1+(INDEX(SeasonIdx,A2261)-1)*SeasonAmp</f>
        <v/>
      </c>
      <c r="O2261" s="45">
        <f>IFERROR(INDEX(PSPct,MATCH(E2261&amp;"|"&amp;G2261,PSKey,0)),0)</f>
        <v/>
      </c>
      <c r="P2261" s="46">
        <f>INDEX(ChDoorVel,MATCH(E2261,ChName,0))*CalibScalar*(1+VelocityUplift)</f>
        <v/>
      </c>
      <c r="Q2261" s="46" t="n">
        <v>0</v>
      </c>
      <c r="R2261" s="46">
        <f>P2261*O2261*M2261*N2261*H2261</f>
        <v/>
      </c>
      <c r="S2261" s="46">
        <f>R2261*INDEX(FmtCansPerCase,MATCH(F2261,FmtName,0))</f>
        <v/>
      </c>
      <c r="T2261" s="46">
        <f>S2261/INDEX(FmtCansPerPack,MATCH(F2261,FmtName,0))</f>
        <v/>
      </c>
      <c r="U2261" s="47">
        <f>INDEX(ChBaseCP,MATCH(E2261,ChName,0))*(1+INDEX(ProvMod,MATCH(G2261,ProvCode,0)))*(1+PriceIndex)</f>
        <v/>
      </c>
      <c r="V2261" s="47">
        <f>R2261*U2261*INDEX(FmtBlendedPriceIdx,MATCH(F2261,FmtName,0))</f>
        <v/>
      </c>
      <c r="W2261" s="47">
        <f>T2261*INDEX(ProvSRP,MATCH(G2261,ProvCode,0))*(1+PriceIndex)</f>
        <v/>
      </c>
      <c r="X2261" s="47">
        <f>IF(GrossBasis="Wholesale",V2261,W2261)</f>
        <v/>
      </c>
      <c r="Y2261" s="47">
        <f>R2261*INDEX(FmtBlendedCogs,MATCH(F2261,FmtName,0))</f>
        <v/>
      </c>
      <c r="Z2261" s="47">
        <f>X2261-Y2261</f>
        <v/>
      </c>
    </row>
    <row r="2262">
      <c r="A2262" t="n">
        <v>35</v>
      </c>
      <c r="B2262" s="44">
        <f>FiscalStart+(A2262-1)*7</f>
        <v/>
      </c>
      <c r="C2262">
        <f>TEXT(B2262,"mmm yyyy")</f>
        <v/>
      </c>
      <c r="D2262">
        <f>"Q"&amp;(INT((A2262-1)/13)+1)</f>
        <v/>
      </c>
      <c r="E2262" t="inlineStr">
        <is>
          <t>FDM</t>
        </is>
      </c>
      <c r="F2262">
        <f>IFERROR(INDEX(ChFormat,MATCH(E2262,ChName,0)),"")</f>
        <v/>
      </c>
      <c r="G2262" t="inlineStr">
        <is>
          <t>SK</t>
        </is>
      </c>
      <c r="H2262">
        <f>IF(A2262&lt;=NWeeks,1,0)</f>
        <v/>
      </c>
      <c r="I2262">
        <f>INDEX(ChLaunch,MATCH(E2262,ChName,0))</f>
        <v/>
      </c>
      <c r="J2262">
        <f>INDEX(ChWeeksFull,MATCH(E2262,ChName,0))</f>
        <v/>
      </c>
      <c r="K2262">
        <f>INDEX(ChRamp,MATCH(E2262,ChName,0))</f>
        <v/>
      </c>
      <c r="L2262" s="45">
        <f>MIN(1,MAX(0,(A2262-I2262+1)*RampSpeed/J2262))</f>
        <v/>
      </c>
      <c r="M2262" s="45">
        <f>IF(A2262&lt;I2262,0,IF(K2262="S-curve",L2262*L2262*(3-2*L2262),L2262))</f>
        <v/>
      </c>
      <c r="N2262" s="45">
        <f>1+(INDEX(SeasonIdx,A2262)-1)*SeasonAmp</f>
        <v/>
      </c>
      <c r="O2262" s="45">
        <f>IFERROR(INDEX(PSPct,MATCH(E2262&amp;"|"&amp;G2262,PSKey,0)),0)</f>
        <v/>
      </c>
      <c r="P2262" s="46">
        <f>INDEX(ChDoorVel,MATCH(E2262,ChName,0))*CalibScalar*(1+VelocityUplift)</f>
        <v/>
      </c>
      <c r="Q2262" s="46" t="n">
        <v>0</v>
      </c>
      <c r="R2262" s="46">
        <f>P2262*O2262*M2262*N2262*H2262</f>
        <v/>
      </c>
      <c r="S2262" s="46">
        <f>R2262*INDEX(FmtCansPerCase,MATCH(F2262,FmtName,0))</f>
        <v/>
      </c>
      <c r="T2262" s="46">
        <f>S2262/INDEX(FmtCansPerPack,MATCH(F2262,FmtName,0))</f>
        <v/>
      </c>
      <c r="U2262" s="47">
        <f>INDEX(ChBaseCP,MATCH(E2262,ChName,0))*(1+INDEX(ProvMod,MATCH(G2262,ProvCode,0)))*(1+PriceIndex)</f>
        <v/>
      </c>
      <c r="V2262" s="47">
        <f>R2262*U2262*INDEX(FmtBlendedPriceIdx,MATCH(F2262,FmtName,0))</f>
        <v/>
      </c>
      <c r="W2262" s="47">
        <f>T2262*INDEX(ProvSRP,MATCH(G2262,ProvCode,0))*(1+PriceIndex)</f>
        <v/>
      </c>
      <c r="X2262" s="47">
        <f>IF(GrossBasis="Wholesale",V2262,W2262)</f>
        <v/>
      </c>
      <c r="Y2262" s="47">
        <f>R2262*INDEX(FmtBlendedCogs,MATCH(F2262,FmtName,0))</f>
        <v/>
      </c>
      <c r="Z2262" s="47">
        <f>X2262-Y2262</f>
        <v/>
      </c>
    </row>
    <row r="2263">
      <c r="A2263" t="n">
        <v>36</v>
      </c>
      <c r="B2263" s="44">
        <f>FiscalStart+(A2263-1)*7</f>
        <v/>
      </c>
      <c r="C2263">
        <f>TEXT(B2263,"mmm yyyy")</f>
        <v/>
      </c>
      <c r="D2263">
        <f>"Q"&amp;(INT((A2263-1)/13)+1)</f>
        <v/>
      </c>
      <c r="E2263" t="inlineStr">
        <is>
          <t>FDM</t>
        </is>
      </c>
      <c r="F2263">
        <f>IFERROR(INDEX(ChFormat,MATCH(E2263,ChName,0)),"")</f>
        <v/>
      </c>
      <c r="G2263" t="inlineStr">
        <is>
          <t>SK</t>
        </is>
      </c>
      <c r="H2263">
        <f>IF(A2263&lt;=NWeeks,1,0)</f>
        <v/>
      </c>
      <c r="I2263">
        <f>INDEX(ChLaunch,MATCH(E2263,ChName,0))</f>
        <v/>
      </c>
      <c r="J2263">
        <f>INDEX(ChWeeksFull,MATCH(E2263,ChName,0))</f>
        <v/>
      </c>
      <c r="K2263">
        <f>INDEX(ChRamp,MATCH(E2263,ChName,0))</f>
        <v/>
      </c>
      <c r="L2263" s="45">
        <f>MIN(1,MAX(0,(A2263-I2263+1)*RampSpeed/J2263))</f>
        <v/>
      </c>
      <c r="M2263" s="45">
        <f>IF(A2263&lt;I2263,0,IF(K2263="S-curve",L2263*L2263*(3-2*L2263),L2263))</f>
        <v/>
      </c>
      <c r="N2263" s="45">
        <f>1+(INDEX(SeasonIdx,A2263)-1)*SeasonAmp</f>
        <v/>
      </c>
      <c r="O2263" s="45">
        <f>IFERROR(INDEX(PSPct,MATCH(E2263&amp;"|"&amp;G2263,PSKey,0)),0)</f>
        <v/>
      </c>
      <c r="P2263" s="46">
        <f>INDEX(ChDoorVel,MATCH(E2263,ChName,0))*CalibScalar*(1+VelocityUplift)</f>
        <v/>
      </c>
      <c r="Q2263" s="46" t="n">
        <v>0</v>
      </c>
      <c r="R2263" s="46">
        <f>P2263*O2263*M2263*N2263*H2263</f>
        <v/>
      </c>
      <c r="S2263" s="46">
        <f>R2263*INDEX(FmtCansPerCase,MATCH(F2263,FmtName,0))</f>
        <v/>
      </c>
      <c r="T2263" s="46">
        <f>S2263/INDEX(FmtCansPerPack,MATCH(F2263,FmtName,0))</f>
        <v/>
      </c>
      <c r="U2263" s="47">
        <f>INDEX(ChBaseCP,MATCH(E2263,ChName,0))*(1+INDEX(ProvMod,MATCH(G2263,ProvCode,0)))*(1+PriceIndex)</f>
        <v/>
      </c>
      <c r="V2263" s="47">
        <f>R2263*U2263*INDEX(FmtBlendedPriceIdx,MATCH(F2263,FmtName,0))</f>
        <v/>
      </c>
      <c r="W2263" s="47">
        <f>T2263*INDEX(ProvSRP,MATCH(G2263,ProvCode,0))*(1+PriceIndex)</f>
        <v/>
      </c>
      <c r="X2263" s="47">
        <f>IF(GrossBasis="Wholesale",V2263,W2263)</f>
        <v/>
      </c>
      <c r="Y2263" s="47">
        <f>R2263*INDEX(FmtBlendedCogs,MATCH(F2263,FmtName,0))</f>
        <v/>
      </c>
      <c r="Z2263" s="47">
        <f>X2263-Y2263</f>
        <v/>
      </c>
    </row>
    <row r="2264">
      <c r="A2264" t="n">
        <v>37</v>
      </c>
      <c r="B2264" s="44">
        <f>FiscalStart+(A2264-1)*7</f>
        <v/>
      </c>
      <c r="C2264">
        <f>TEXT(B2264,"mmm yyyy")</f>
        <v/>
      </c>
      <c r="D2264">
        <f>"Q"&amp;(INT((A2264-1)/13)+1)</f>
        <v/>
      </c>
      <c r="E2264" t="inlineStr">
        <is>
          <t>FDM</t>
        </is>
      </c>
      <c r="F2264">
        <f>IFERROR(INDEX(ChFormat,MATCH(E2264,ChName,0)),"")</f>
        <v/>
      </c>
      <c r="G2264" t="inlineStr">
        <is>
          <t>SK</t>
        </is>
      </c>
      <c r="H2264">
        <f>IF(A2264&lt;=NWeeks,1,0)</f>
        <v/>
      </c>
      <c r="I2264">
        <f>INDEX(ChLaunch,MATCH(E2264,ChName,0))</f>
        <v/>
      </c>
      <c r="J2264">
        <f>INDEX(ChWeeksFull,MATCH(E2264,ChName,0))</f>
        <v/>
      </c>
      <c r="K2264">
        <f>INDEX(ChRamp,MATCH(E2264,ChName,0))</f>
        <v/>
      </c>
      <c r="L2264" s="45">
        <f>MIN(1,MAX(0,(A2264-I2264+1)*RampSpeed/J2264))</f>
        <v/>
      </c>
      <c r="M2264" s="45">
        <f>IF(A2264&lt;I2264,0,IF(K2264="S-curve",L2264*L2264*(3-2*L2264),L2264))</f>
        <v/>
      </c>
      <c r="N2264" s="45">
        <f>1+(INDEX(SeasonIdx,A2264)-1)*SeasonAmp</f>
        <v/>
      </c>
      <c r="O2264" s="45">
        <f>IFERROR(INDEX(PSPct,MATCH(E2264&amp;"|"&amp;G2264,PSKey,0)),0)</f>
        <v/>
      </c>
      <c r="P2264" s="46">
        <f>INDEX(ChDoorVel,MATCH(E2264,ChName,0))*CalibScalar*(1+VelocityUplift)</f>
        <v/>
      </c>
      <c r="Q2264" s="46" t="n">
        <v>0</v>
      </c>
      <c r="R2264" s="46">
        <f>P2264*O2264*M2264*N2264*H2264</f>
        <v/>
      </c>
      <c r="S2264" s="46">
        <f>R2264*INDEX(FmtCansPerCase,MATCH(F2264,FmtName,0))</f>
        <v/>
      </c>
      <c r="T2264" s="46">
        <f>S2264/INDEX(FmtCansPerPack,MATCH(F2264,FmtName,0))</f>
        <v/>
      </c>
      <c r="U2264" s="47">
        <f>INDEX(ChBaseCP,MATCH(E2264,ChName,0))*(1+INDEX(ProvMod,MATCH(G2264,ProvCode,0)))*(1+PriceIndex)</f>
        <v/>
      </c>
      <c r="V2264" s="47">
        <f>R2264*U2264*INDEX(FmtBlendedPriceIdx,MATCH(F2264,FmtName,0))</f>
        <v/>
      </c>
      <c r="W2264" s="47">
        <f>T2264*INDEX(ProvSRP,MATCH(G2264,ProvCode,0))*(1+PriceIndex)</f>
        <v/>
      </c>
      <c r="X2264" s="47">
        <f>IF(GrossBasis="Wholesale",V2264,W2264)</f>
        <v/>
      </c>
      <c r="Y2264" s="47">
        <f>R2264*INDEX(FmtBlendedCogs,MATCH(F2264,FmtName,0))</f>
        <v/>
      </c>
      <c r="Z2264" s="47">
        <f>X2264-Y2264</f>
        <v/>
      </c>
    </row>
    <row r="2265">
      <c r="A2265" t="n">
        <v>38</v>
      </c>
      <c r="B2265" s="44">
        <f>FiscalStart+(A2265-1)*7</f>
        <v/>
      </c>
      <c r="C2265">
        <f>TEXT(B2265,"mmm yyyy")</f>
        <v/>
      </c>
      <c r="D2265">
        <f>"Q"&amp;(INT((A2265-1)/13)+1)</f>
        <v/>
      </c>
      <c r="E2265" t="inlineStr">
        <is>
          <t>FDM</t>
        </is>
      </c>
      <c r="F2265">
        <f>IFERROR(INDEX(ChFormat,MATCH(E2265,ChName,0)),"")</f>
        <v/>
      </c>
      <c r="G2265" t="inlineStr">
        <is>
          <t>SK</t>
        </is>
      </c>
      <c r="H2265">
        <f>IF(A2265&lt;=NWeeks,1,0)</f>
        <v/>
      </c>
      <c r="I2265">
        <f>INDEX(ChLaunch,MATCH(E2265,ChName,0))</f>
        <v/>
      </c>
      <c r="J2265">
        <f>INDEX(ChWeeksFull,MATCH(E2265,ChName,0))</f>
        <v/>
      </c>
      <c r="K2265">
        <f>INDEX(ChRamp,MATCH(E2265,ChName,0))</f>
        <v/>
      </c>
      <c r="L2265" s="45">
        <f>MIN(1,MAX(0,(A2265-I2265+1)*RampSpeed/J2265))</f>
        <v/>
      </c>
      <c r="M2265" s="45">
        <f>IF(A2265&lt;I2265,0,IF(K2265="S-curve",L2265*L2265*(3-2*L2265),L2265))</f>
        <v/>
      </c>
      <c r="N2265" s="45">
        <f>1+(INDEX(SeasonIdx,A2265)-1)*SeasonAmp</f>
        <v/>
      </c>
      <c r="O2265" s="45">
        <f>IFERROR(INDEX(PSPct,MATCH(E2265&amp;"|"&amp;G2265,PSKey,0)),0)</f>
        <v/>
      </c>
      <c r="P2265" s="46">
        <f>INDEX(ChDoorVel,MATCH(E2265,ChName,0))*CalibScalar*(1+VelocityUplift)</f>
        <v/>
      </c>
      <c r="Q2265" s="46" t="n">
        <v>0</v>
      </c>
      <c r="R2265" s="46">
        <f>P2265*O2265*M2265*N2265*H2265</f>
        <v/>
      </c>
      <c r="S2265" s="46">
        <f>R2265*INDEX(FmtCansPerCase,MATCH(F2265,FmtName,0))</f>
        <v/>
      </c>
      <c r="T2265" s="46">
        <f>S2265/INDEX(FmtCansPerPack,MATCH(F2265,FmtName,0))</f>
        <v/>
      </c>
      <c r="U2265" s="47">
        <f>INDEX(ChBaseCP,MATCH(E2265,ChName,0))*(1+INDEX(ProvMod,MATCH(G2265,ProvCode,0)))*(1+PriceIndex)</f>
        <v/>
      </c>
      <c r="V2265" s="47">
        <f>R2265*U2265*INDEX(FmtBlendedPriceIdx,MATCH(F2265,FmtName,0))</f>
        <v/>
      </c>
      <c r="W2265" s="47">
        <f>T2265*INDEX(ProvSRP,MATCH(G2265,ProvCode,0))*(1+PriceIndex)</f>
        <v/>
      </c>
      <c r="X2265" s="47">
        <f>IF(GrossBasis="Wholesale",V2265,W2265)</f>
        <v/>
      </c>
      <c r="Y2265" s="47">
        <f>R2265*INDEX(FmtBlendedCogs,MATCH(F2265,FmtName,0))</f>
        <v/>
      </c>
      <c r="Z2265" s="47">
        <f>X2265-Y2265</f>
        <v/>
      </c>
    </row>
    <row r="2266">
      <c r="A2266" t="n">
        <v>39</v>
      </c>
      <c r="B2266" s="44">
        <f>FiscalStart+(A2266-1)*7</f>
        <v/>
      </c>
      <c r="C2266">
        <f>TEXT(B2266,"mmm yyyy")</f>
        <v/>
      </c>
      <c r="D2266">
        <f>"Q"&amp;(INT((A2266-1)/13)+1)</f>
        <v/>
      </c>
      <c r="E2266" t="inlineStr">
        <is>
          <t>FDM</t>
        </is>
      </c>
      <c r="F2266">
        <f>IFERROR(INDEX(ChFormat,MATCH(E2266,ChName,0)),"")</f>
        <v/>
      </c>
      <c r="G2266" t="inlineStr">
        <is>
          <t>SK</t>
        </is>
      </c>
      <c r="H2266">
        <f>IF(A2266&lt;=NWeeks,1,0)</f>
        <v/>
      </c>
      <c r="I2266">
        <f>INDEX(ChLaunch,MATCH(E2266,ChName,0))</f>
        <v/>
      </c>
      <c r="J2266">
        <f>INDEX(ChWeeksFull,MATCH(E2266,ChName,0))</f>
        <v/>
      </c>
      <c r="K2266">
        <f>INDEX(ChRamp,MATCH(E2266,ChName,0))</f>
        <v/>
      </c>
      <c r="L2266" s="45">
        <f>MIN(1,MAX(0,(A2266-I2266+1)*RampSpeed/J2266))</f>
        <v/>
      </c>
      <c r="M2266" s="45">
        <f>IF(A2266&lt;I2266,0,IF(K2266="S-curve",L2266*L2266*(3-2*L2266),L2266))</f>
        <v/>
      </c>
      <c r="N2266" s="45">
        <f>1+(INDEX(SeasonIdx,A2266)-1)*SeasonAmp</f>
        <v/>
      </c>
      <c r="O2266" s="45">
        <f>IFERROR(INDEX(PSPct,MATCH(E2266&amp;"|"&amp;G2266,PSKey,0)),0)</f>
        <v/>
      </c>
      <c r="P2266" s="46">
        <f>INDEX(ChDoorVel,MATCH(E2266,ChName,0))*CalibScalar*(1+VelocityUplift)</f>
        <v/>
      </c>
      <c r="Q2266" s="46" t="n">
        <v>0</v>
      </c>
      <c r="R2266" s="46">
        <f>P2266*O2266*M2266*N2266*H2266</f>
        <v/>
      </c>
      <c r="S2266" s="46">
        <f>R2266*INDEX(FmtCansPerCase,MATCH(F2266,FmtName,0))</f>
        <v/>
      </c>
      <c r="T2266" s="46">
        <f>S2266/INDEX(FmtCansPerPack,MATCH(F2266,FmtName,0))</f>
        <v/>
      </c>
      <c r="U2266" s="47">
        <f>INDEX(ChBaseCP,MATCH(E2266,ChName,0))*(1+INDEX(ProvMod,MATCH(G2266,ProvCode,0)))*(1+PriceIndex)</f>
        <v/>
      </c>
      <c r="V2266" s="47">
        <f>R2266*U2266*INDEX(FmtBlendedPriceIdx,MATCH(F2266,FmtName,0))</f>
        <v/>
      </c>
      <c r="W2266" s="47">
        <f>T2266*INDEX(ProvSRP,MATCH(G2266,ProvCode,0))*(1+PriceIndex)</f>
        <v/>
      </c>
      <c r="X2266" s="47">
        <f>IF(GrossBasis="Wholesale",V2266,W2266)</f>
        <v/>
      </c>
      <c r="Y2266" s="47">
        <f>R2266*INDEX(FmtBlendedCogs,MATCH(F2266,FmtName,0))</f>
        <v/>
      </c>
      <c r="Z2266" s="47">
        <f>X2266-Y2266</f>
        <v/>
      </c>
    </row>
    <row r="2267">
      <c r="A2267" t="n">
        <v>40</v>
      </c>
      <c r="B2267" s="44">
        <f>FiscalStart+(A2267-1)*7</f>
        <v/>
      </c>
      <c r="C2267">
        <f>TEXT(B2267,"mmm yyyy")</f>
        <v/>
      </c>
      <c r="D2267">
        <f>"Q"&amp;(INT((A2267-1)/13)+1)</f>
        <v/>
      </c>
      <c r="E2267" t="inlineStr">
        <is>
          <t>FDM</t>
        </is>
      </c>
      <c r="F2267">
        <f>IFERROR(INDEX(ChFormat,MATCH(E2267,ChName,0)),"")</f>
        <v/>
      </c>
      <c r="G2267" t="inlineStr">
        <is>
          <t>SK</t>
        </is>
      </c>
      <c r="H2267">
        <f>IF(A2267&lt;=NWeeks,1,0)</f>
        <v/>
      </c>
      <c r="I2267">
        <f>INDEX(ChLaunch,MATCH(E2267,ChName,0))</f>
        <v/>
      </c>
      <c r="J2267">
        <f>INDEX(ChWeeksFull,MATCH(E2267,ChName,0))</f>
        <v/>
      </c>
      <c r="K2267">
        <f>INDEX(ChRamp,MATCH(E2267,ChName,0))</f>
        <v/>
      </c>
      <c r="L2267" s="45">
        <f>MIN(1,MAX(0,(A2267-I2267+1)*RampSpeed/J2267))</f>
        <v/>
      </c>
      <c r="M2267" s="45">
        <f>IF(A2267&lt;I2267,0,IF(K2267="S-curve",L2267*L2267*(3-2*L2267),L2267))</f>
        <v/>
      </c>
      <c r="N2267" s="45">
        <f>1+(INDEX(SeasonIdx,A2267)-1)*SeasonAmp</f>
        <v/>
      </c>
      <c r="O2267" s="45">
        <f>IFERROR(INDEX(PSPct,MATCH(E2267&amp;"|"&amp;G2267,PSKey,0)),0)</f>
        <v/>
      </c>
      <c r="P2267" s="46">
        <f>INDEX(ChDoorVel,MATCH(E2267,ChName,0))*CalibScalar*(1+VelocityUplift)</f>
        <v/>
      </c>
      <c r="Q2267" s="46" t="n">
        <v>0</v>
      </c>
      <c r="R2267" s="46">
        <f>P2267*O2267*M2267*N2267*H2267</f>
        <v/>
      </c>
      <c r="S2267" s="46">
        <f>R2267*INDEX(FmtCansPerCase,MATCH(F2267,FmtName,0))</f>
        <v/>
      </c>
      <c r="T2267" s="46">
        <f>S2267/INDEX(FmtCansPerPack,MATCH(F2267,FmtName,0))</f>
        <v/>
      </c>
      <c r="U2267" s="47">
        <f>INDEX(ChBaseCP,MATCH(E2267,ChName,0))*(1+INDEX(ProvMod,MATCH(G2267,ProvCode,0)))*(1+PriceIndex)</f>
        <v/>
      </c>
      <c r="V2267" s="47">
        <f>R2267*U2267*INDEX(FmtBlendedPriceIdx,MATCH(F2267,FmtName,0))</f>
        <v/>
      </c>
      <c r="W2267" s="47">
        <f>T2267*INDEX(ProvSRP,MATCH(G2267,ProvCode,0))*(1+PriceIndex)</f>
        <v/>
      </c>
      <c r="X2267" s="47">
        <f>IF(GrossBasis="Wholesale",V2267,W2267)</f>
        <v/>
      </c>
      <c r="Y2267" s="47">
        <f>R2267*INDEX(FmtBlendedCogs,MATCH(F2267,FmtName,0))</f>
        <v/>
      </c>
      <c r="Z2267" s="47">
        <f>X2267-Y2267</f>
        <v/>
      </c>
    </row>
    <row r="2268">
      <c r="A2268" t="n">
        <v>41</v>
      </c>
      <c r="B2268" s="44">
        <f>FiscalStart+(A2268-1)*7</f>
        <v/>
      </c>
      <c r="C2268">
        <f>TEXT(B2268,"mmm yyyy")</f>
        <v/>
      </c>
      <c r="D2268">
        <f>"Q"&amp;(INT((A2268-1)/13)+1)</f>
        <v/>
      </c>
      <c r="E2268" t="inlineStr">
        <is>
          <t>FDM</t>
        </is>
      </c>
      <c r="F2268">
        <f>IFERROR(INDEX(ChFormat,MATCH(E2268,ChName,0)),"")</f>
        <v/>
      </c>
      <c r="G2268" t="inlineStr">
        <is>
          <t>SK</t>
        </is>
      </c>
      <c r="H2268">
        <f>IF(A2268&lt;=NWeeks,1,0)</f>
        <v/>
      </c>
      <c r="I2268">
        <f>INDEX(ChLaunch,MATCH(E2268,ChName,0))</f>
        <v/>
      </c>
      <c r="J2268">
        <f>INDEX(ChWeeksFull,MATCH(E2268,ChName,0))</f>
        <v/>
      </c>
      <c r="K2268">
        <f>INDEX(ChRamp,MATCH(E2268,ChName,0))</f>
        <v/>
      </c>
      <c r="L2268" s="45">
        <f>MIN(1,MAX(0,(A2268-I2268+1)*RampSpeed/J2268))</f>
        <v/>
      </c>
      <c r="M2268" s="45">
        <f>IF(A2268&lt;I2268,0,IF(K2268="S-curve",L2268*L2268*(3-2*L2268),L2268))</f>
        <v/>
      </c>
      <c r="N2268" s="45">
        <f>1+(INDEX(SeasonIdx,A2268)-1)*SeasonAmp</f>
        <v/>
      </c>
      <c r="O2268" s="45">
        <f>IFERROR(INDEX(PSPct,MATCH(E2268&amp;"|"&amp;G2268,PSKey,0)),0)</f>
        <v/>
      </c>
      <c r="P2268" s="46">
        <f>INDEX(ChDoorVel,MATCH(E2268,ChName,0))*CalibScalar*(1+VelocityUplift)</f>
        <v/>
      </c>
      <c r="Q2268" s="46" t="n">
        <v>0</v>
      </c>
      <c r="R2268" s="46">
        <f>P2268*O2268*M2268*N2268*H2268</f>
        <v/>
      </c>
      <c r="S2268" s="46">
        <f>R2268*INDEX(FmtCansPerCase,MATCH(F2268,FmtName,0))</f>
        <v/>
      </c>
      <c r="T2268" s="46">
        <f>S2268/INDEX(FmtCansPerPack,MATCH(F2268,FmtName,0))</f>
        <v/>
      </c>
      <c r="U2268" s="47">
        <f>INDEX(ChBaseCP,MATCH(E2268,ChName,0))*(1+INDEX(ProvMod,MATCH(G2268,ProvCode,0)))*(1+PriceIndex)</f>
        <v/>
      </c>
      <c r="V2268" s="47">
        <f>R2268*U2268*INDEX(FmtBlendedPriceIdx,MATCH(F2268,FmtName,0))</f>
        <v/>
      </c>
      <c r="W2268" s="47">
        <f>T2268*INDEX(ProvSRP,MATCH(G2268,ProvCode,0))*(1+PriceIndex)</f>
        <v/>
      </c>
      <c r="X2268" s="47">
        <f>IF(GrossBasis="Wholesale",V2268,W2268)</f>
        <v/>
      </c>
      <c r="Y2268" s="47">
        <f>R2268*INDEX(FmtBlendedCogs,MATCH(F2268,FmtName,0))</f>
        <v/>
      </c>
      <c r="Z2268" s="47">
        <f>X2268-Y2268</f>
        <v/>
      </c>
    </row>
    <row r="2269">
      <c r="A2269" t="n">
        <v>42</v>
      </c>
      <c r="B2269" s="44">
        <f>FiscalStart+(A2269-1)*7</f>
        <v/>
      </c>
      <c r="C2269">
        <f>TEXT(B2269,"mmm yyyy")</f>
        <v/>
      </c>
      <c r="D2269">
        <f>"Q"&amp;(INT((A2269-1)/13)+1)</f>
        <v/>
      </c>
      <c r="E2269" t="inlineStr">
        <is>
          <t>FDM</t>
        </is>
      </c>
      <c r="F2269">
        <f>IFERROR(INDEX(ChFormat,MATCH(E2269,ChName,0)),"")</f>
        <v/>
      </c>
      <c r="G2269" t="inlineStr">
        <is>
          <t>SK</t>
        </is>
      </c>
      <c r="H2269">
        <f>IF(A2269&lt;=NWeeks,1,0)</f>
        <v/>
      </c>
      <c r="I2269">
        <f>INDEX(ChLaunch,MATCH(E2269,ChName,0))</f>
        <v/>
      </c>
      <c r="J2269">
        <f>INDEX(ChWeeksFull,MATCH(E2269,ChName,0))</f>
        <v/>
      </c>
      <c r="K2269">
        <f>INDEX(ChRamp,MATCH(E2269,ChName,0))</f>
        <v/>
      </c>
      <c r="L2269" s="45">
        <f>MIN(1,MAX(0,(A2269-I2269+1)*RampSpeed/J2269))</f>
        <v/>
      </c>
      <c r="M2269" s="45">
        <f>IF(A2269&lt;I2269,0,IF(K2269="S-curve",L2269*L2269*(3-2*L2269),L2269))</f>
        <v/>
      </c>
      <c r="N2269" s="45">
        <f>1+(INDEX(SeasonIdx,A2269)-1)*SeasonAmp</f>
        <v/>
      </c>
      <c r="O2269" s="45">
        <f>IFERROR(INDEX(PSPct,MATCH(E2269&amp;"|"&amp;G2269,PSKey,0)),0)</f>
        <v/>
      </c>
      <c r="P2269" s="46">
        <f>INDEX(ChDoorVel,MATCH(E2269,ChName,0))*CalibScalar*(1+VelocityUplift)</f>
        <v/>
      </c>
      <c r="Q2269" s="46" t="n">
        <v>0</v>
      </c>
      <c r="R2269" s="46">
        <f>P2269*O2269*M2269*N2269*H2269</f>
        <v/>
      </c>
      <c r="S2269" s="46">
        <f>R2269*INDEX(FmtCansPerCase,MATCH(F2269,FmtName,0))</f>
        <v/>
      </c>
      <c r="T2269" s="46">
        <f>S2269/INDEX(FmtCansPerPack,MATCH(F2269,FmtName,0))</f>
        <v/>
      </c>
      <c r="U2269" s="47">
        <f>INDEX(ChBaseCP,MATCH(E2269,ChName,0))*(1+INDEX(ProvMod,MATCH(G2269,ProvCode,0)))*(1+PriceIndex)</f>
        <v/>
      </c>
      <c r="V2269" s="47">
        <f>R2269*U2269*INDEX(FmtBlendedPriceIdx,MATCH(F2269,FmtName,0))</f>
        <v/>
      </c>
      <c r="W2269" s="47">
        <f>T2269*INDEX(ProvSRP,MATCH(G2269,ProvCode,0))*(1+PriceIndex)</f>
        <v/>
      </c>
      <c r="X2269" s="47">
        <f>IF(GrossBasis="Wholesale",V2269,W2269)</f>
        <v/>
      </c>
      <c r="Y2269" s="47">
        <f>R2269*INDEX(FmtBlendedCogs,MATCH(F2269,FmtName,0))</f>
        <v/>
      </c>
      <c r="Z2269" s="47">
        <f>X2269-Y2269</f>
        <v/>
      </c>
    </row>
    <row r="2270">
      <c r="A2270" t="n">
        <v>43</v>
      </c>
      <c r="B2270" s="44">
        <f>FiscalStart+(A2270-1)*7</f>
        <v/>
      </c>
      <c r="C2270">
        <f>TEXT(B2270,"mmm yyyy")</f>
        <v/>
      </c>
      <c r="D2270">
        <f>"Q"&amp;(INT((A2270-1)/13)+1)</f>
        <v/>
      </c>
      <c r="E2270" t="inlineStr">
        <is>
          <t>FDM</t>
        </is>
      </c>
      <c r="F2270">
        <f>IFERROR(INDEX(ChFormat,MATCH(E2270,ChName,0)),"")</f>
        <v/>
      </c>
      <c r="G2270" t="inlineStr">
        <is>
          <t>SK</t>
        </is>
      </c>
      <c r="H2270">
        <f>IF(A2270&lt;=NWeeks,1,0)</f>
        <v/>
      </c>
      <c r="I2270">
        <f>INDEX(ChLaunch,MATCH(E2270,ChName,0))</f>
        <v/>
      </c>
      <c r="J2270">
        <f>INDEX(ChWeeksFull,MATCH(E2270,ChName,0))</f>
        <v/>
      </c>
      <c r="K2270">
        <f>INDEX(ChRamp,MATCH(E2270,ChName,0))</f>
        <v/>
      </c>
      <c r="L2270" s="45">
        <f>MIN(1,MAX(0,(A2270-I2270+1)*RampSpeed/J2270))</f>
        <v/>
      </c>
      <c r="M2270" s="45">
        <f>IF(A2270&lt;I2270,0,IF(K2270="S-curve",L2270*L2270*(3-2*L2270),L2270))</f>
        <v/>
      </c>
      <c r="N2270" s="45">
        <f>1+(INDEX(SeasonIdx,A2270)-1)*SeasonAmp</f>
        <v/>
      </c>
      <c r="O2270" s="45">
        <f>IFERROR(INDEX(PSPct,MATCH(E2270&amp;"|"&amp;G2270,PSKey,0)),0)</f>
        <v/>
      </c>
      <c r="P2270" s="46">
        <f>INDEX(ChDoorVel,MATCH(E2270,ChName,0))*CalibScalar*(1+VelocityUplift)</f>
        <v/>
      </c>
      <c r="Q2270" s="46" t="n">
        <v>0</v>
      </c>
      <c r="R2270" s="46">
        <f>P2270*O2270*M2270*N2270*H2270</f>
        <v/>
      </c>
      <c r="S2270" s="46">
        <f>R2270*INDEX(FmtCansPerCase,MATCH(F2270,FmtName,0))</f>
        <v/>
      </c>
      <c r="T2270" s="46">
        <f>S2270/INDEX(FmtCansPerPack,MATCH(F2270,FmtName,0))</f>
        <v/>
      </c>
      <c r="U2270" s="47">
        <f>INDEX(ChBaseCP,MATCH(E2270,ChName,0))*(1+INDEX(ProvMod,MATCH(G2270,ProvCode,0)))*(1+PriceIndex)</f>
        <v/>
      </c>
      <c r="V2270" s="47">
        <f>R2270*U2270*INDEX(FmtBlendedPriceIdx,MATCH(F2270,FmtName,0))</f>
        <v/>
      </c>
      <c r="W2270" s="47">
        <f>T2270*INDEX(ProvSRP,MATCH(G2270,ProvCode,0))*(1+PriceIndex)</f>
        <v/>
      </c>
      <c r="X2270" s="47">
        <f>IF(GrossBasis="Wholesale",V2270,W2270)</f>
        <v/>
      </c>
      <c r="Y2270" s="47">
        <f>R2270*INDEX(FmtBlendedCogs,MATCH(F2270,FmtName,0))</f>
        <v/>
      </c>
      <c r="Z2270" s="47">
        <f>X2270-Y2270</f>
        <v/>
      </c>
    </row>
    <row r="2271">
      <c r="A2271" t="n">
        <v>44</v>
      </c>
      <c r="B2271" s="44">
        <f>FiscalStart+(A2271-1)*7</f>
        <v/>
      </c>
      <c r="C2271">
        <f>TEXT(B2271,"mmm yyyy")</f>
        <v/>
      </c>
      <c r="D2271">
        <f>"Q"&amp;(INT((A2271-1)/13)+1)</f>
        <v/>
      </c>
      <c r="E2271" t="inlineStr">
        <is>
          <t>FDM</t>
        </is>
      </c>
      <c r="F2271">
        <f>IFERROR(INDEX(ChFormat,MATCH(E2271,ChName,0)),"")</f>
        <v/>
      </c>
      <c r="G2271" t="inlineStr">
        <is>
          <t>SK</t>
        </is>
      </c>
      <c r="H2271">
        <f>IF(A2271&lt;=NWeeks,1,0)</f>
        <v/>
      </c>
      <c r="I2271">
        <f>INDEX(ChLaunch,MATCH(E2271,ChName,0))</f>
        <v/>
      </c>
      <c r="J2271">
        <f>INDEX(ChWeeksFull,MATCH(E2271,ChName,0))</f>
        <v/>
      </c>
      <c r="K2271">
        <f>INDEX(ChRamp,MATCH(E2271,ChName,0))</f>
        <v/>
      </c>
      <c r="L2271" s="45">
        <f>MIN(1,MAX(0,(A2271-I2271+1)*RampSpeed/J2271))</f>
        <v/>
      </c>
      <c r="M2271" s="45">
        <f>IF(A2271&lt;I2271,0,IF(K2271="S-curve",L2271*L2271*(3-2*L2271),L2271))</f>
        <v/>
      </c>
      <c r="N2271" s="45">
        <f>1+(INDEX(SeasonIdx,A2271)-1)*SeasonAmp</f>
        <v/>
      </c>
      <c r="O2271" s="45">
        <f>IFERROR(INDEX(PSPct,MATCH(E2271&amp;"|"&amp;G2271,PSKey,0)),0)</f>
        <v/>
      </c>
      <c r="P2271" s="46">
        <f>INDEX(ChDoorVel,MATCH(E2271,ChName,0))*CalibScalar*(1+VelocityUplift)</f>
        <v/>
      </c>
      <c r="Q2271" s="46" t="n">
        <v>0</v>
      </c>
      <c r="R2271" s="46">
        <f>P2271*O2271*M2271*N2271*H2271</f>
        <v/>
      </c>
      <c r="S2271" s="46">
        <f>R2271*INDEX(FmtCansPerCase,MATCH(F2271,FmtName,0))</f>
        <v/>
      </c>
      <c r="T2271" s="46">
        <f>S2271/INDEX(FmtCansPerPack,MATCH(F2271,FmtName,0))</f>
        <v/>
      </c>
      <c r="U2271" s="47">
        <f>INDEX(ChBaseCP,MATCH(E2271,ChName,0))*(1+INDEX(ProvMod,MATCH(G2271,ProvCode,0)))*(1+PriceIndex)</f>
        <v/>
      </c>
      <c r="V2271" s="47">
        <f>R2271*U2271*INDEX(FmtBlendedPriceIdx,MATCH(F2271,FmtName,0))</f>
        <v/>
      </c>
      <c r="W2271" s="47">
        <f>T2271*INDEX(ProvSRP,MATCH(G2271,ProvCode,0))*(1+PriceIndex)</f>
        <v/>
      </c>
      <c r="X2271" s="47">
        <f>IF(GrossBasis="Wholesale",V2271,W2271)</f>
        <v/>
      </c>
      <c r="Y2271" s="47">
        <f>R2271*INDEX(FmtBlendedCogs,MATCH(F2271,FmtName,0))</f>
        <v/>
      </c>
      <c r="Z2271" s="47">
        <f>X2271-Y2271</f>
        <v/>
      </c>
    </row>
    <row r="2272">
      <c r="A2272" t="n">
        <v>45</v>
      </c>
      <c r="B2272" s="44">
        <f>FiscalStart+(A2272-1)*7</f>
        <v/>
      </c>
      <c r="C2272">
        <f>TEXT(B2272,"mmm yyyy")</f>
        <v/>
      </c>
      <c r="D2272">
        <f>"Q"&amp;(INT((A2272-1)/13)+1)</f>
        <v/>
      </c>
      <c r="E2272" t="inlineStr">
        <is>
          <t>FDM</t>
        </is>
      </c>
      <c r="F2272">
        <f>IFERROR(INDEX(ChFormat,MATCH(E2272,ChName,0)),"")</f>
        <v/>
      </c>
      <c r="G2272" t="inlineStr">
        <is>
          <t>SK</t>
        </is>
      </c>
      <c r="H2272">
        <f>IF(A2272&lt;=NWeeks,1,0)</f>
        <v/>
      </c>
      <c r="I2272">
        <f>INDEX(ChLaunch,MATCH(E2272,ChName,0))</f>
        <v/>
      </c>
      <c r="J2272">
        <f>INDEX(ChWeeksFull,MATCH(E2272,ChName,0))</f>
        <v/>
      </c>
      <c r="K2272">
        <f>INDEX(ChRamp,MATCH(E2272,ChName,0))</f>
        <v/>
      </c>
      <c r="L2272" s="45">
        <f>MIN(1,MAX(0,(A2272-I2272+1)*RampSpeed/J2272))</f>
        <v/>
      </c>
      <c r="M2272" s="45">
        <f>IF(A2272&lt;I2272,0,IF(K2272="S-curve",L2272*L2272*(3-2*L2272),L2272))</f>
        <v/>
      </c>
      <c r="N2272" s="45">
        <f>1+(INDEX(SeasonIdx,A2272)-1)*SeasonAmp</f>
        <v/>
      </c>
      <c r="O2272" s="45">
        <f>IFERROR(INDEX(PSPct,MATCH(E2272&amp;"|"&amp;G2272,PSKey,0)),0)</f>
        <v/>
      </c>
      <c r="P2272" s="46">
        <f>INDEX(ChDoorVel,MATCH(E2272,ChName,0))*CalibScalar*(1+VelocityUplift)</f>
        <v/>
      </c>
      <c r="Q2272" s="46" t="n">
        <v>0</v>
      </c>
      <c r="R2272" s="46">
        <f>P2272*O2272*M2272*N2272*H2272</f>
        <v/>
      </c>
      <c r="S2272" s="46">
        <f>R2272*INDEX(FmtCansPerCase,MATCH(F2272,FmtName,0))</f>
        <v/>
      </c>
      <c r="T2272" s="46">
        <f>S2272/INDEX(FmtCansPerPack,MATCH(F2272,FmtName,0))</f>
        <v/>
      </c>
      <c r="U2272" s="47">
        <f>INDEX(ChBaseCP,MATCH(E2272,ChName,0))*(1+INDEX(ProvMod,MATCH(G2272,ProvCode,0)))*(1+PriceIndex)</f>
        <v/>
      </c>
      <c r="V2272" s="47">
        <f>R2272*U2272*INDEX(FmtBlendedPriceIdx,MATCH(F2272,FmtName,0))</f>
        <v/>
      </c>
      <c r="W2272" s="47">
        <f>T2272*INDEX(ProvSRP,MATCH(G2272,ProvCode,0))*(1+PriceIndex)</f>
        <v/>
      </c>
      <c r="X2272" s="47">
        <f>IF(GrossBasis="Wholesale",V2272,W2272)</f>
        <v/>
      </c>
      <c r="Y2272" s="47">
        <f>R2272*INDEX(FmtBlendedCogs,MATCH(F2272,FmtName,0))</f>
        <v/>
      </c>
      <c r="Z2272" s="47">
        <f>X2272-Y2272</f>
        <v/>
      </c>
    </row>
    <row r="2273">
      <c r="A2273" t="n">
        <v>46</v>
      </c>
      <c r="B2273" s="44">
        <f>FiscalStart+(A2273-1)*7</f>
        <v/>
      </c>
      <c r="C2273">
        <f>TEXT(B2273,"mmm yyyy")</f>
        <v/>
      </c>
      <c r="D2273">
        <f>"Q"&amp;(INT((A2273-1)/13)+1)</f>
        <v/>
      </c>
      <c r="E2273" t="inlineStr">
        <is>
          <t>FDM</t>
        </is>
      </c>
      <c r="F2273">
        <f>IFERROR(INDEX(ChFormat,MATCH(E2273,ChName,0)),"")</f>
        <v/>
      </c>
      <c r="G2273" t="inlineStr">
        <is>
          <t>SK</t>
        </is>
      </c>
      <c r="H2273">
        <f>IF(A2273&lt;=NWeeks,1,0)</f>
        <v/>
      </c>
      <c r="I2273">
        <f>INDEX(ChLaunch,MATCH(E2273,ChName,0))</f>
        <v/>
      </c>
      <c r="J2273">
        <f>INDEX(ChWeeksFull,MATCH(E2273,ChName,0))</f>
        <v/>
      </c>
      <c r="K2273">
        <f>INDEX(ChRamp,MATCH(E2273,ChName,0))</f>
        <v/>
      </c>
      <c r="L2273" s="45">
        <f>MIN(1,MAX(0,(A2273-I2273+1)*RampSpeed/J2273))</f>
        <v/>
      </c>
      <c r="M2273" s="45">
        <f>IF(A2273&lt;I2273,0,IF(K2273="S-curve",L2273*L2273*(3-2*L2273),L2273))</f>
        <v/>
      </c>
      <c r="N2273" s="45">
        <f>1+(INDEX(SeasonIdx,A2273)-1)*SeasonAmp</f>
        <v/>
      </c>
      <c r="O2273" s="45">
        <f>IFERROR(INDEX(PSPct,MATCH(E2273&amp;"|"&amp;G2273,PSKey,0)),0)</f>
        <v/>
      </c>
      <c r="P2273" s="46">
        <f>INDEX(ChDoorVel,MATCH(E2273,ChName,0))*CalibScalar*(1+VelocityUplift)</f>
        <v/>
      </c>
      <c r="Q2273" s="46" t="n">
        <v>0</v>
      </c>
      <c r="R2273" s="46">
        <f>P2273*O2273*M2273*N2273*H2273</f>
        <v/>
      </c>
      <c r="S2273" s="46">
        <f>R2273*INDEX(FmtCansPerCase,MATCH(F2273,FmtName,0))</f>
        <v/>
      </c>
      <c r="T2273" s="46">
        <f>S2273/INDEX(FmtCansPerPack,MATCH(F2273,FmtName,0))</f>
        <v/>
      </c>
      <c r="U2273" s="47">
        <f>INDEX(ChBaseCP,MATCH(E2273,ChName,0))*(1+INDEX(ProvMod,MATCH(G2273,ProvCode,0)))*(1+PriceIndex)</f>
        <v/>
      </c>
      <c r="V2273" s="47">
        <f>R2273*U2273*INDEX(FmtBlendedPriceIdx,MATCH(F2273,FmtName,0))</f>
        <v/>
      </c>
      <c r="W2273" s="47">
        <f>T2273*INDEX(ProvSRP,MATCH(G2273,ProvCode,0))*(1+PriceIndex)</f>
        <v/>
      </c>
      <c r="X2273" s="47">
        <f>IF(GrossBasis="Wholesale",V2273,W2273)</f>
        <v/>
      </c>
      <c r="Y2273" s="47">
        <f>R2273*INDEX(FmtBlendedCogs,MATCH(F2273,FmtName,0))</f>
        <v/>
      </c>
      <c r="Z2273" s="47">
        <f>X2273-Y2273</f>
        <v/>
      </c>
    </row>
    <row r="2274">
      <c r="A2274" t="n">
        <v>47</v>
      </c>
      <c r="B2274" s="44">
        <f>FiscalStart+(A2274-1)*7</f>
        <v/>
      </c>
      <c r="C2274">
        <f>TEXT(B2274,"mmm yyyy")</f>
        <v/>
      </c>
      <c r="D2274">
        <f>"Q"&amp;(INT((A2274-1)/13)+1)</f>
        <v/>
      </c>
      <c r="E2274" t="inlineStr">
        <is>
          <t>FDM</t>
        </is>
      </c>
      <c r="F2274">
        <f>IFERROR(INDEX(ChFormat,MATCH(E2274,ChName,0)),"")</f>
        <v/>
      </c>
      <c r="G2274" t="inlineStr">
        <is>
          <t>SK</t>
        </is>
      </c>
      <c r="H2274">
        <f>IF(A2274&lt;=NWeeks,1,0)</f>
        <v/>
      </c>
      <c r="I2274">
        <f>INDEX(ChLaunch,MATCH(E2274,ChName,0))</f>
        <v/>
      </c>
      <c r="J2274">
        <f>INDEX(ChWeeksFull,MATCH(E2274,ChName,0))</f>
        <v/>
      </c>
      <c r="K2274">
        <f>INDEX(ChRamp,MATCH(E2274,ChName,0))</f>
        <v/>
      </c>
      <c r="L2274" s="45">
        <f>MIN(1,MAX(0,(A2274-I2274+1)*RampSpeed/J2274))</f>
        <v/>
      </c>
      <c r="M2274" s="45">
        <f>IF(A2274&lt;I2274,0,IF(K2274="S-curve",L2274*L2274*(3-2*L2274),L2274))</f>
        <v/>
      </c>
      <c r="N2274" s="45">
        <f>1+(INDEX(SeasonIdx,A2274)-1)*SeasonAmp</f>
        <v/>
      </c>
      <c r="O2274" s="45">
        <f>IFERROR(INDEX(PSPct,MATCH(E2274&amp;"|"&amp;G2274,PSKey,0)),0)</f>
        <v/>
      </c>
      <c r="P2274" s="46">
        <f>INDEX(ChDoorVel,MATCH(E2274,ChName,0))*CalibScalar*(1+VelocityUplift)</f>
        <v/>
      </c>
      <c r="Q2274" s="46" t="n">
        <v>0</v>
      </c>
      <c r="R2274" s="46">
        <f>P2274*O2274*M2274*N2274*H2274</f>
        <v/>
      </c>
      <c r="S2274" s="46">
        <f>R2274*INDEX(FmtCansPerCase,MATCH(F2274,FmtName,0))</f>
        <v/>
      </c>
      <c r="T2274" s="46">
        <f>S2274/INDEX(FmtCansPerPack,MATCH(F2274,FmtName,0))</f>
        <v/>
      </c>
      <c r="U2274" s="47">
        <f>INDEX(ChBaseCP,MATCH(E2274,ChName,0))*(1+INDEX(ProvMod,MATCH(G2274,ProvCode,0)))*(1+PriceIndex)</f>
        <v/>
      </c>
      <c r="V2274" s="47">
        <f>R2274*U2274*INDEX(FmtBlendedPriceIdx,MATCH(F2274,FmtName,0))</f>
        <v/>
      </c>
      <c r="W2274" s="47">
        <f>T2274*INDEX(ProvSRP,MATCH(G2274,ProvCode,0))*(1+PriceIndex)</f>
        <v/>
      </c>
      <c r="X2274" s="47">
        <f>IF(GrossBasis="Wholesale",V2274,W2274)</f>
        <v/>
      </c>
      <c r="Y2274" s="47">
        <f>R2274*INDEX(FmtBlendedCogs,MATCH(F2274,FmtName,0))</f>
        <v/>
      </c>
      <c r="Z2274" s="47">
        <f>X2274-Y2274</f>
        <v/>
      </c>
    </row>
    <row r="2275">
      <c r="A2275" t="n">
        <v>48</v>
      </c>
      <c r="B2275" s="44">
        <f>FiscalStart+(A2275-1)*7</f>
        <v/>
      </c>
      <c r="C2275">
        <f>TEXT(B2275,"mmm yyyy")</f>
        <v/>
      </c>
      <c r="D2275">
        <f>"Q"&amp;(INT((A2275-1)/13)+1)</f>
        <v/>
      </c>
      <c r="E2275" t="inlineStr">
        <is>
          <t>FDM</t>
        </is>
      </c>
      <c r="F2275">
        <f>IFERROR(INDEX(ChFormat,MATCH(E2275,ChName,0)),"")</f>
        <v/>
      </c>
      <c r="G2275" t="inlineStr">
        <is>
          <t>SK</t>
        </is>
      </c>
      <c r="H2275">
        <f>IF(A2275&lt;=NWeeks,1,0)</f>
        <v/>
      </c>
      <c r="I2275">
        <f>INDEX(ChLaunch,MATCH(E2275,ChName,0))</f>
        <v/>
      </c>
      <c r="J2275">
        <f>INDEX(ChWeeksFull,MATCH(E2275,ChName,0))</f>
        <v/>
      </c>
      <c r="K2275">
        <f>INDEX(ChRamp,MATCH(E2275,ChName,0))</f>
        <v/>
      </c>
      <c r="L2275" s="45">
        <f>MIN(1,MAX(0,(A2275-I2275+1)*RampSpeed/J2275))</f>
        <v/>
      </c>
      <c r="M2275" s="45">
        <f>IF(A2275&lt;I2275,0,IF(K2275="S-curve",L2275*L2275*(3-2*L2275),L2275))</f>
        <v/>
      </c>
      <c r="N2275" s="45">
        <f>1+(INDEX(SeasonIdx,A2275)-1)*SeasonAmp</f>
        <v/>
      </c>
      <c r="O2275" s="45">
        <f>IFERROR(INDEX(PSPct,MATCH(E2275&amp;"|"&amp;G2275,PSKey,0)),0)</f>
        <v/>
      </c>
      <c r="P2275" s="46">
        <f>INDEX(ChDoorVel,MATCH(E2275,ChName,0))*CalibScalar*(1+VelocityUplift)</f>
        <v/>
      </c>
      <c r="Q2275" s="46" t="n">
        <v>0</v>
      </c>
      <c r="R2275" s="46">
        <f>P2275*O2275*M2275*N2275*H2275</f>
        <v/>
      </c>
      <c r="S2275" s="46">
        <f>R2275*INDEX(FmtCansPerCase,MATCH(F2275,FmtName,0))</f>
        <v/>
      </c>
      <c r="T2275" s="46">
        <f>S2275/INDEX(FmtCansPerPack,MATCH(F2275,FmtName,0))</f>
        <v/>
      </c>
      <c r="U2275" s="47">
        <f>INDEX(ChBaseCP,MATCH(E2275,ChName,0))*(1+INDEX(ProvMod,MATCH(G2275,ProvCode,0)))*(1+PriceIndex)</f>
        <v/>
      </c>
      <c r="V2275" s="47">
        <f>R2275*U2275*INDEX(FmtBlendedPriceIdx,MATCH(F2275,FmtName,0))</f>
        <v/>
      </c>
      <c r="W2275" s="47">
        <f>T2275*INDEX(ProvSRP,MATCH(G2275,ProvCode,0))*(1+PriceIndex)</f>
        <v/>
      </c>
      <c r="X2275" s="47">
        <f>IF(GrossBasis="Wholesale",V2275,W2275)</f>
        <v/>
      </c>
      <c r="Y2275" s="47">
        <f>R2275*INDEX(FmtBlendedCogs,MATCH(F2275,FmtName,0))</f>
        <v/>
      </c>
      <c r="Z2275" s="47">
        <f>X2275-Y2275</f>
        <v/>
      </c>
    </row>
    <row r="2276">
      <c r="A2276" t="n">
        <v>49</v>
      </c>
      <c r="B2276" s="44">
        <f>FiscalStart+(A2276-1)*7</f>
        <v/>
      </c>
      <c r="C2276">
        <f>TEXT(B2276,"mmm yyyy")</f>
        <v/>
      </c>
      <c r="D2276">
        <f>"Q"&amp;(INT((A2276-1)/13)+1)</f>
        <v/>
      </c>
      <c r="E2276" t="inlineStr">
        <is>
          <t>FDM</t>
        </is>
      </c>
      <c r="F2276">
        <f>IFERROR(INDEX(ChFormat,MATCH(E2276,ChName,0)),"")</f>
        <v/>
      </c>
      <c r="G2276" t="inlineStr">
        <is>
          <t>SK</t>
        </is>
      </c>
      <c r="H2276">
        <f>IF(A2276&lt;=NWeeks,1,0)</f>
        <v/>
      </c>
      <c r="I2276">
        <f>INDEX(ChLaunch,MATCH(E2276,ChName,0))</f>
        <v/>
      </c>
      <c r="J2276">
        <f>INDEX(ChWeeksFull,MATCH(E2276,ChName,0))</f>
        <v/>
      </c>
      <c r="K2276">
        <f>INDEX(ChRamp,MATCH(E2276,ChName,0))</f>
        <v/>
      </c>
      <c r="L2276" s="45">
        <f>MIN(1,MAX(0,(A2276-I2276+1)*RampSpeed/J2276))</f>
        <v/>
      </c>
      <c r="M2276" s="45">
        <f>IF(A2276&lt;I2276,0,IF(K2276="S-curve",L2276*L2276*(3-2*L2276),L2276))</f>
        <v/>
      </c>
      <c r="N2276" s="45">
        <f>1+(INDEX(SeasonIdx,A2276)-1)*SeasonAmp</f>
        <v/>
      </c>
      <c r="O2276" s="45">
        <f>IFERROR(INDEX(PSPct,MATCH(E2276&amp;"|"&amp;G2276,PSKey,0)),0)</f>
        <v/>
      </c>
      <c r="P2276" s="46">
        <f>INDEX(ChDoorVel,MATCH(E2276,ChName,0))*CalibScalar*(1+VelocityUplift)</f>
        <v/>
      </c>
      <c r="Q2276" s="46" t="n">
        <v>0</v>
      </c>
      <c r="R2276" s="46">
        <f>P2276*O2276*M2276*N2276*H2276</f>
        <v/>
      </c>
      <c r="S2276" s="46">
        <f>R2276*INDEX(FmtCansPerCase,MATCH(F2276,FmtName,0))</f>
        <v/>
      </c>
      <c r="T2276" s="46">
        <f>S2276/INDEX(FmtCansPerPack,MATCH(F2276,FmtName,0))</f>
        <v/>
      </c>
      <c r="U2276" s="47">
        <f>INDEX(ChBaseCP,MATCH(E2276,ChName,0))*(1+INDEX(ProvMod,MATCH(G2276,ProvCode,0)))*(1+PriceIndex)</f>
        <v/>
      </c>
      <c r="V2276" s="47">
        <f>R2276*U2276*INDEX(FmtBlendedPriceIdx,MATCH(F2276,FmtName,0))</f>
        <v/>
      </c>
      <c r="W2276" s="47">
        <f>T2276*INDEX(ProvSRP,MATCH(G2276,ProvCode,0))*(1+PriceIndex)</f>
        <v/>
      </c>
      <c r="X2276" s="47">
        <f>IF(GrossBasis="Wholesale",V2276,W2276)</f>
        <v/>
      </c>
      <c r="Y2276" s="47">
        <f>R2276*INDEX(FmtBlendedCogs,MATCH(F2276,FmtName,0))</f>
        <v/>
      </c>
      <c r="Z2276" s="47">
        <f>X2276-Y2276</f>
        <v/>
      </c>
    </row>
    <row r="2277">
      <c r="A2277" t="n">
        <v>50</v>
      </c>
      <c r="B2277" s="44">
        <f>FiscalStart+(A2277-1)*7</f>
        <v/>
      </c>
      <c r="C2277">
        <f>TEXT(B2277,"mmm yyyy")</f>
        <v/>
      </c>
      <c r="D2277">
        <f>"Q"&amp;(INT((A2277-1)/13)+1)</f>
        <v/>
      </c>
      <c r="E2277" t="inlineStr">
        <is>
          <t>FDM</t>
        </is>
      </c>
      <c r="F2277">
        <f>IFERROR(INDEX(ChFormat,MATCH(E2277,ChName,0)),"")</f>
        <v/>
      </c>
      <c r="G2277" t="inlineStr">
        <is>
          <t>SK</t>
        </is>
      </c>
      <c r="H2277">
        <f>IF(A2277&lt;=NWeeks,1,0)</f>
        <v/>
      </c>
      <c r="I2277">
        <f>INDEX(ChLaunch,MATCH(E2277,ChName,0))</f>
        <v/>
      </c>
      <c r="J2277">
        <f>INDEX(ChWeeksFull,MATCH(E2277,ChName,0))</f>
        <v/>
      </c>
      <c r="K2277">
        <f>INDEX(ChRamp,MATCH(E2277,ChName,0))</f>
        <v/>
      </c>
      <c r="L2277" s="45">
        <f>MIN(1,MAX(0,(A2277-I2277+1)*RampSpeed/J2277))</f>
        <v/>
      </c>
      <c r="M2277" s="45">
        <f>IF(A2277&lt;I2277,0,IF(K2277="S-curve",L2277*L2277*(3-2*L2277),L2277))</f>
        <v/>
      </c>
      <c r="N2277" s="45">
        <f>1+(INDEX(SeasonIdx,A2277)-1)*SeasonAmp</f>
        <v/>
      </c>
      <c r="O2277" s="45">
        <f>IFERROR(INDEX(PSPct,MATCH(E2277&amp;"|"&amp;G2277,PSKey,0)),0)</f>
        <v/>
      </c>
      <c r="P2277" s="46">
        <f>INDEX(ChDoorVel,MATCH(E2277,ChName,0))*CalibScalar*(1+VelocityUplift)</f>
        <v/>
      </c>
      <c r="Q2277" s="46" t="n">
        <v>0</v>
      </c>
      <c r="R2277" s="46">
        <f>P2277*O2277*M2277*N2277*H2277</f>
        <v/>
      </c>
      <c r="S2277" s="46">
        <f>R2277*INDEX(FmtCansPerCase,MATCH(F2277,FmtName,0))</f>
        <v/>
      </c>
      <c r="T2277" s="46">
        <f>S2277/INDEX(FmtCansPerPack,MATCH(F2277,FmtName,0))</f>
        <v/>
      </c>
      <c r="U2277" s="47">
        <f>INDEX(ChBaseCP,MATCH(E2277,ChName,0))*(1+INDEX(ProvMod,MATCH(G2277,ProvCode,0)))*(1+PriceIndex)</f>
        <v/>
      </c>
      <c r="V2277" s="47">
        <f>R2277*U2277*INDEX(FmtBlendedPriceIdx,MATCH(F2277,FmtName,0))</f>
        <v/>
      </c>
      <c r="W2277" s="47">
        <f>T2277*INDEX(ProvSRP,MATCH(G2277,ProvCode,0))*(1+PriceIndex)</f>
        <v/>
      </c>
      <c r="X2277" s="47">
        <f>IF(GrossBasis="Wholesale",V2277,W2277)</f>
        <v/>
      </c>
      <c r="Y2277" s="47">
        <f>R2277*INDEX(FmtBlendedCogs,MATCH(F2277,FmtName,0))</f>
        <v/>
      </c>
      <c r="Z2277" s="47">
        <f>X2277-Y2277</f>
        <v/>
      </c>
    </row>
    <row r="2278">
      <c r="A2278" t="n">
        <v>51</v>
      </c>
      <c r="B2278" s="44">
        <f>FiscalStart+(A2278-1)*7</f>
        <v/>
      </c>
      <c r="C2278">
        <f>TEXT(B2278,"mmm yyyy")</f>
        <v/>
      </c>
      <c r="D2278">
        <f>"Q"&amp;(INT((A2278-1)/13)+1)</f>
        <v/>
      </c>
      <c r="E2278" t="inlineStr">
        <is>
          <t>FDM</t>
        </is>
      </c>
      <c r="F2278">
        <f>IFERROR(INDEX(ChFormat,MATCH(E2278,ChName,0)),"")</f>
        <v/>
      </c>
      <c r="G2278" t="inlineStr">
        <is>
          <t>SK</t>
        </is>
      </c>
      <c r="H2278">
        <f>IF(A2278&lt;=NWeeks,1,0)</f>
        <v/>
      </c>
      <c r="I2278">
        <f>INDEX(ChLaunch,MATCH(E2278,ChName,0))</f>
        <v/>
      </c>
      <c r="J2278">
        <f>INDEX(ChWeeksFull,MATCH(E2278,ChName,0))</f>
        <v/>
      </c>
      <c r="K2278">
        <f>INDEX(ChRamp,MATCH(E2278,ChName,0))</f>
        <v/>
      </c>
      <c r="L2278" s="45">
        <f>MIN(1,MAX(0,(A2278-I2278+1)*RampSpeed/J2278))</f>
        <v/>
      </c>
      <c r="M2278" s="45">
        <f>IF(A2278&lt;I2278,0,IF(K2278="S-curve",L2278*L2278*(3-2*L2278),L2278))</f>
        <v/>
      </c>
      <c r="N2278" s="45">
        <f>1+(INDEX(SeasonIdx,A2278)-1)*SeasonAmp</f>
        <v/>
      </c>
      <c r="O2278" s="45">
        <f>IFERROR(INDEX(PSPct,MATCH(E2278&amp;"|"&amp;G2278,PSKey,0)),0)</f>
        <v/>
      </c>
      <c r="P2278" s="46">
        <f>INDEX(ChDoorVel,MATCH(E2278,ChName,0))*CalibScalar*(1+VelocityUplift)</f>
        <v/>
      </c>
      <c r="Q2278" s="46" t="n">
        <v>0</v>
      </c>
      <c r="R2278" s="46">
        <f>P2278*O2278*M2278*N2278*H2278</f>
        <v/>
      </c>
      <c r="S2278" s="46">
        <f>R2278*INDEX(FmtCansPerCase,MATCH(F2278,FmtName,0))</f>
        <v/>
      </c>
      <c r="T2278" s="46">
        <f>S2278/INDEX(FmtCansPerPack,MATCH(F2278,FmtName,0))</f>
        <v/>
      </c>
      <c r="U2278" s="47">
        <f>INDEX(ChBaseCP,MATCH(E2278,ChName,0))*(1+INDEX(ProvMod,MATCH(G2278,ProvCode,0)))*(1+PriceIndex)</f>
        <v/>
      </c>
      <c r="V2278" s="47">
        <f>R2278*U2278*INDEX(FmtBlendedPriceIdx,MATCH(F2278,FmtName,0))</f>
        <v/>
      </c>
      <c r="W2278" s="47">
        <f>T2278*INDEX(ProvSRP,MATCH(G2278,ProvCode,0))*(1+PriceIndex)</f>
        <v/>
      </c>
      <c r="X2278" s="47">
        <f>IF(GrossBasis="Wholesale",V2278,W2278)</f>
        <v/>
      </c>
      <c r="Y2278" s="47">
        <f>R2278*INDEX(FmtBlendedCogs,MATCH(F2278,FmtName,0))</f>
        <v/>
      </c>
      <c r="Z2278" s="47">
        <f>X2278-Y2278</f>
        <v/>
      </c>
    </row>
    <row r="2279">
      <c r="A2279" t="n">
        <v>52</v>
      </c>
      <c r="B2279" s="44">
        <f>FiscalStart+(A2279-1)*7</f>
        <v/>
      </c>
      <c r="C2279">
        <f>TEXT(B2279,"mmm yyyy")</f>
        <v/>
      </c>
      <c r="D2279">
        <f>"Q"&amp;(INT((A2279-1)/13)+1)</f>
        <v/>
      </c>
      <c r="E2279" t="inlineStr">
        <is>
          <t>FDM</t>
        </is>
      </c>
      <c r="F2279">
        <f>IFERROR(INDEX(ChFormat,MATCH(E2279,ChName,0)),"")</f>
        <v/>
      </c>
      <c r="G2279" t="inlineStr">
        <is>
          <t>SK</t>
        </is>
      </c>
      <c r="H2279">
        <f>IF(A2279&lt;=NWeeks,1,0)</f>
        <v/>
      </c>
      <c r="I2279">
        <f>INDEX(ChLaunch,MATCH(E2279,ChName,0))</f>
        <v/>
      </c>
      <c r="J2279">
        <f>INDEX(ChWeeksFull,MATCH(E2279,ChName,0))</f>
        <v/>
      </c>
      <c r="K2279">
        <f>INDEX(ChRamp,MATCH(E2279,ChName,0))</f>
        <v/>
      </c>
      <c r="L2279" s="45">
        <f>MIN(1,MAX(0,(A2279-I2279+1)*RampSpeed/J2279))</f>
        <v/>
      </c>
      <c r="M2279" s="45">
        <f>IF(A2279&lt;I2279,0,IF(K2279="S-curve",L2279*L2279*(3-2*L2279),L2279))</f>
        <v/>
      </c>
      <c r="N2279" s="45">
        <f>1+(INDEX(SeasonIdx,A2279)-1)*SeasonAmp</f>
        <v/>
      </c>
      <c r="O2279" s="45">
        <f>IFERROR(INDEX(PSPct,MATCH(E2279&amp;"|"&amp;G2279,PSKey,0)),0)</f>
        <v/>
      </c>
      <c r="P2279" s="46">
        <f>INDEX(ChDoorVel,MATCH(E2279,ChName,0))*CalibScalar*(1+VelocityUplift)</f>
        <v/>
      </c>
      <c r="Q2279" s="46" t="n">
        <v>0</v>
      </c>
      <c r="R2279" s="46">
        <f>P2279*O2279*M2279*N2279*H2279</f>
        <v/>
      </c>
      <c r="S2279" s="46">
        <f>R2279*INDEX(FmtCansPerCase,MATCH(F2279,FmtName,0))</f>
        <v/>
      </c>
      <c r="T2279" s="46">
        <f>S2279/INDEX(FmtCansPerPack,MATCH(F2279,FmtName,0))</f>
        <v/>
      </c>
      <c r="U2279" s="47">
        <f>INDEX(ChBaseCP,MATCH(E2279,ChName,0))*(1+INDEX(ProvMod,MATCH(G2279,ProvCode,0)))*(1+PriceIndex)</f>
        <v/>
      </c>
      <c r="V2279" s="47">
        <f>R2279*U2279*INDEX(FmtBlendedPriceIdx,MATCH(F2279,FmtName,0))</f>
        <v/>
      </c>
      <c r="W2279" s="47">
        <f>T2279*INDEX(ProvSRP,MATCH(G2279,ProvCode,0))*(1+PriceIndex)</f>
        <v/>
      </c>
      <c r="X2279" s="47">
        <f>IF(GrossBasis="Wholesale",V2279,W2279)</f>
        <v/>
      </c>
      <c r="Y2279" s="47">
        <f>R2279*INDEX(FmtBlendedCogs,MATCH(F2279,FmtName,0))</f>
        <v/>
      </c>
      <c r="Z2279" s="47">
        <f>X2279-Y2279</f>
        <v/>
      </c>
    </row>
    <row r="2280">
      <c r="A2280" t="n">
        <v>53</v>
      </c>
      <c r="B2280" s="44">
        <f>FiscalStart+(A2280-1)*7</f>
        <v/>
      </c>
      <c r="C2280">
        <f>TEXT(B2280,"mmm yyyy")</f>
        <v/>
      </c>
      <c r="D2280">
        <f>"Q"&amp;(INT((A2280-1)/13)+1)</f>
        <v/>
      </c>
      <c r="E2280" t="inlineStr">
        <is>
          <t>FDM</t>
        </is>
      </c>
      <c r="F2280">
        <f>IFERROR(INDEX(ChFormat,MATCH(E2280,ChName,0)),"")</f>
        <v/>
      </c>
      <c r="G2280" t="inlineStr">
        <is>
          <t>SK</t>
        </is>
      </c>
      <c r="H2280">
        <f>IF(A2280&lt;=NWeeks,1,0)</f>
        <v/>
      </c>
      <c r="I2280">
        <f>INDEX(ChLaunch,MATCH(E2280,ChName,0))</f>
        <v/>
      </c>
      <c r="J2280">
        <f>INDEX(ChWeeksFull,MATCH(E2280,ChName,0))</f>
        <v/>
      </c>
      <c r="K2280">
        <f>INDEX(ChRamp,MATCH(E2280,ChName,0))</f>
        <v/>
      </c>
      <c r="L2280" s="45">
        <f>MIN(1,MAX(0,(A2280-I2280+1)*RampSpeed/J2280))</f>
        <v/>
      </c>
      <c r="M2280" s="45">
        <f>IF(A2280&lt;I2280,0,IF(K2280="S-curve",L2280*L2280*(3-2*L2280),L2280))</f>
        <v/>
      </c>
      <c r="N2280" s="45">
        <f>1+(INDEX(SeasonIdx,A2280)-1)*SeasonAmp</f>
        <v/>
      </c>
      <c r="O2280" s="45">
        <f>IFERROR(INDEX(PSPct,MATCH(E2280&amp;"|"&amp;G2280,PSKey,0)),0)</f>
        <v/>
      </c>
      <c r="P2280" s="46">
        <f>INDEX(ChDoorVel,MATCH(E2280,ChName,0))*CalibScalar*(1+VelocityUplift)</f>
        <v/>
      </c>
      <c r="Q2280" s="46" t="n">
        <v>0</v>
      </c>
      <c r="R2280" s="46">
        <f>P2280*O2280*M2280*N2280*H2280</f>
        <v/>
      </c>
      <c r="S2280" s="46">
        <f>R2280*INDEX(FmtCansPerCase,MATCH(F2280,FmtName,0))</f>
        <v/>
      </c>
      <c r="T2280" s="46">
        <f>S2280/INDEX(FmtCansPerPack,MATCH(F2280,FmtName,0))</f>
        <v/>
      </c>
      <c r="U2280" s="47">
        <f>INDEX(ChBaseCP,MATCH(E2280,ChName,0))*(1+INDEX(ProvMod,MATCH(G2280,ProvCode,0)))*(1+PriceIndex)</f>
        <v/>
      </c>
      <c r="V2280" s="47">
        <f>R2280*U2280*INDEX(FmtBlendedPriceIdx,MATCH(F2280,FmtName,0))</f>
        <v/>
      </c>
      <c r="W2280" s="47">
        <f>T2280*INDEX(ProvSRP,MATCH(G2280,ProvCode,0))*(1+PriceIndex)</f>
        <v/>
      </c>
      <c r="X2280" s="47">
        <f>IF(GrossBasis="Wholesale",V2280,W2280)</f>
        <v/>
      </c>
      <c r="Y2280" s="47">
        <f>R2280*INDEX(FmtBlendedCogs,MATCH(F2280,FmtName,0))</f>
        <v/>
      </c>
      <c r="Z2280" s="47">
        <f>X2280-Y2280</f>
        <v/>
      </c>
    </row>
    <row r="2281">
      <c r="A2281" t="n">
        <v>1</v>
      </c>
      <c r="B2281" s="44">
        <f>FiscalStart+(A2281-1)*7</f>
        <v/>
      </c>
      <c r="C2281">
        <f>TEXT(B2281,"mmm yyyy")</f>
        <v/>
      </c>
      <c r="D2281">
        <f>"Q"&amp;(INT((A2281-1)/13)+1)</f>
        <v/>
      </c>
      <c r="E2281" t="inlineStr">
        <is>
          <t>FDM</t>
        </is>
      </c>
      <c r="F2281">
        <f>IFERROR(INDEX(ChFormat,MATCH(E2281,ChName,0)),"")</f>
        <v/>
      </c>
      <c r="G2281" t="inlineStr">
        <is>
          <t>MB</t>
        </is>
      </c>
      <c r="H2281">
        <f>IF(A2281&lt;=NWeeks,1,0)</f>
        <v/>
      </c>
      <c r="I2281">
        <f>INDEX(ChLaunch,MATCH(E2281,ChName,0))</f>
        <v/>
      </c>
      <c r="J2281">
        <f>INDEX(ChWeeksFull,MATCH(E2281,ChName,0))</f>
        <v/>
      </c>
      <c r="K2281">
        <f>INDEX(ChRamp,MATCH(E2281,ChName,0))</f>
        <v/>
      </c>
      <c r="L2281" s="45">
        <f>MIN(1,MAX(0,(A2281-I2281+1)*RampSpeed/J2281))</f>
        <v/>
      </c>
      <c r="M2281" s="45">
        <f>IF(A2281&lt;I2281,0,IF(K2281="S-curve",L2281*L2281*(3-2*L2281),L2281))</f>
        <v/>
      </c>
      <c r="N2281" s="45">
        <f>1+(INDEX(SeasonIdx,A2281)-1)*SeasonAmp</f>
        <v/>
      </c>
      <c r="O2281" s="45">
        <f>IFERROR(INDEX(PSPct,MATCH(E2281&amp;"|"&amp;G2281,PSKey,0)),0)</f>
        <v/>
      </c>
      <c r="P2281" s="46">
        <f>INDEX(ChDoorVel,MATCH(E2281,ChName,0))*CalibScalar*(1+VelocityUplift)</f>
        <v/>
      </c>
      <c r="Q2281" s="46" t="n">
        <v>0</v>
      </c>
      <c r="R2281" s="46">
        <f>P2281*O2281*M2281*N2281*H2281</f>
        <v/>
      </c>
      <c r="S2281" s="46">
        <f>R2281*INDEX(FmtCansPerCase,MATCH(F2281,FmtName,0))</f>
        <v/>
      </c>
      <c r="T2281" s="46">
        <f>S2281/INDEX(FmtCansPerPack,MATCH(F2281,FmtName,0))</f>
        <v/>
      </c>
      <c r="U2281" s="47">
        <f>INDEX(ChBaseCP,MATCH(E2281,ChName,0))*(1+INDEX(ProvMod,MATCH(G2281,ProvCode,0)))*(1+PriceIndex)</f>
        <v/>
      </c>
      <c r="V2281" s="47">
        <f>R2281*U2281*INDEX(FmtBlendedPriceIdx,MATCH(F2281,FmtName,0))</f>
        <v/>
      </c>
      <c r="W2281" s="47">
        <f>T2281*INDEX(ProvSRP,MATCH(G2281,ProvCode,0))*(1+PriceIndex)</f>
        <v/>
      </c>
      <c r="X2281" s="47">
        <f>IF(GrossBasis="Wholesale",V2281,W2281)</f>
        <v/>
      </c>
      <c r="Y2281" s="47">
        <f>R2281*INDEX(FmtBlendedCogs,MATCH(F2281,FmtName,0))</f>
        <v/>
      </c>
      <c r="Z2281" s="47">
        <f>X2281-Y2281</f>
        <v/>
      </c>
    </row>
    <row r="2282">
      <c r="A2282" t="n">
        <v>2</v>
      </c>
      <c r="B2282" s="44">
        <f>FiscalStart+(A2282-1)*7</f>
        <v/>
      </c>
      <c r="C2282">
        <f>TEXT(B2282,"mmm yyyy")</f>
        <v/>
      </c>
      <c r="D2282">
        <f>"Q"&amp;(INT((A2282-1)/13)+1)</f>
        <v/>
      </c>
      <c r="E2282" t="inlineStr">
        <is>
          <t>FDM</t>
        </is>
      </c>
      <c r="F2282">
        <f>IFERROR(INDEX(ChFormat,MATCH(E2282,ChName,0)),"")</f>
        <v/>
      </c>
      <c r="G2282" t="inlineStr">
        <is>
          <t>MB</t>
        </is>
      </c>
      <c r="H2282">
        <f>IF(A2282&lt;=NWeeks,1,0)</f>
        <v/>
      </c>
      <c r="I2282">
        <f>INDEX(ChLaunch,MATCH(E2282,ChName,0))</f>
        <v/>
      </c>
      <c r="J2282">
        <f>INDEX(ChWeeksFull,MATCH(E2282,ChName,0))</f>
        <v/>
      </c>
      <c r="K2282">
        <f>INDEX(ChRamp,MATCH(E2282,ChName,0))</f>
        <v/>
      </c>
      <c r="L2282" s="45">
        <f>MIN(1,MAX(0,(A2282-I2282+1)*RampSpeed/J2282))</f>
        <v/>
      </c>
      <c r="M2282" s="45">
        <f>IF(A2282&lt;I2282,0,IF(K2282="S-curve",L2282*L2282*(3-2*L2282),L2282))</f>
        <v/>
      </c>
      <c r="N2282" s="45">
        <f>1+(INDEX(SeasonIdx,A2282)-1)*SeasonAmp</f>
        <v/>
      </c>
      <c r="O2282" s="45">
        <f>IFERROR(INDEX(PSPct,MATCH(E2282&amp;"|"&amp;G2282,PSKey,0)),0)</f>
        <v/>
      </c>
      <c r="P2282" s="46">
        <f>INDEX(ChDoorVel,MATCH(E2282,ChName,0))*CalibScalar*(1+VelocityUplift)</f>
        <v/>
      </c>
      <c r="Q2282" s="46" t="n">
        <v>0</v>
      </c>
      <c r="R2282" s="46">
        <f>P2282*O2282*M2282*N2282*H2282</f>
        <v/>
      </c>
      <c r="S2282" s="46">
        <f>R2282*INDEX(FmtCansPerCase,MATCH(F2282,FmtName,0))</f>
        <v/>
      </c>
      <c r="T2282" s="46">
        <f>S2282/INDEX(FmtCansPerPack,MATCH(F2282,FmtName,0))</f>
        <v/>
      </c>
      <c r="U2282" s="47">
        <f>INDEX(ChBaseCP,MATCH(E2282,ChName,0))*(1+INDEX(ProvMod,MATCH(G2282,ProvCode,0)))*(1+PriceIndex)</f>
        <v/>
      </c>
      <c r="V2282" s="47">
        <f>R2282*U2282*INDEX(FmtBlendedPriceIdx,MATCH(F2282,FmtName,0))</f>
        <v/>
      </c>
      <c r="W2282" s="47">
        <f>T2282*INDEX(ProvSRP,MATCH(G2282,ProvCode,0))*(1+PriceIndex)</f>
        <v/>
      </c>
      <c r="X2282" s="47">
        <f>IF(GrossBasis="Wholesale",V2282,W2282)</f>
        <v/>
      </c>
      <c r="Y2282" s="47">
        <f>R2282*INDEX(FmtBlendedCogs,MATCH(F2282,FmtName,0))</f>
        <v/>
      </c>
      <c r="Z2282" s="47">
        <f>X2282-Y2282</f>
        <v/>
      </c>
    </row>
    <row r="2283">
      <c r="A2283" t="n">
        <v>3</v>
      </c>
      <c r="B2283" s="44">
        <f>FiscalStart+(A2283-1)*7</f>
        <v/>
      </c>
      <c r="C2283">
        <f>TEXT(B2283,"mmm yyyy")</f>
        <v/>
      </c>
      <c r="D2283">
        <f>"Q"&amp;(INT((A2283-1)/13)+1)</f>
        <v/>
      </c>
      <c r="E2283" t="inlineStr">
        <is>
          <t>FDM</t>
        </is>
      </c>
      <c r="F2283">
        <f>IFERROR(INDEX(ChFormat,MATCH(E2283,ChName,0)),"")</f>
        <v/>
      </c>
      <c r="G2283" t="inlineStr">
        <is>
          <t>MB</t>
        </is>
      </c>
      <c r="H2283">
        <f>IF(A2283&lt;=NWeeks,1,0)</f>
        <v/>
      </c>
      <c r="I2283">
        <f>INDEX(ChLaunch,MATCH(E2283,ChName,0))</f>
        <v/>
      </c>
      <c r="J2283">
        <f>INDEX(ChWeeksFull,MATCH(E2283,ChName,0))</f>
        <v/>
      </c>
      <c r="K2283">
        <f>INDEX(ChRamp,MATCH(E2283,ChName,0))</f>
        <v/>
      </c>
      <c r="L2283" s="45">
        <f>MIN(1,MAX(0,(A2283-I2283+1)*RampSpeed/J2283))</f>
        <v/>
      </c>
      <c r="M2283" s="45">
        <f>IF(A2283&lt;I2283,0,IF(K2283="S-curve",L2283*L2283*(3-2*L2283),L2283))</f>
        <v/>
      </c>
      <c r="N2283" s="45">
        <f>1+(INDEX(SeasonIdx,A2283)-1)*SeasonAmp</f>
        <v/>
      </c>
      <c r="O2283" s="45">
        <f>IFERROR(INDEX(PSPct,MATCH(E2283&amp;"|"&amp;G2283,PSKey,0)),0)</f>
        <v/>
      </c>
      <c r="P2283" s="46">
        <f>INDEX(ChDoorVel,MATCH(E2283,ChName,0))*CalibScalar*(1+VelocityUplift)</f>
        <v/>
      </c>
      <c r="Q2283" s="46" t="n">
        <v>0</v>
      </c>
      <c r="R2283" s="46">
        <f>P2283*O2283*M2283*N2283*H2283</f>
        <v/>
      </c>
      <c r="S2283" s="46">
        <f>R2283*INDEX(FmtCansPerCase,MATCH(F2283,FmtName,0))</f>
        <v/>
      </c>
      <c r="T2283" s="46">
        <f>S2283/INDEX(FmtCansPerPack,MATCH(F2283,FmtName,0))</f>
        <v/>
      </c>
      <c r="U2283" s="47">
        <f>INDEX(ChBaseCP,MATCH(E2283,ChName,0))*(1+INDEX(ProvMod,MATCH(G2283,ProvCode,0)))*(1+PriceIndex)</f>
        <v/>
      </c>
      <c r="V2283" s="47">
        <f>R2283*U2283*INDEX(FmtBlendedPriceIdx,MATCH(F2283,FmtName,0))</f>
        <v/>
      </c>
      <c r="W2283" s="47">
        <f>T2283*INDEX(ProvSRP,MATCH(G2283,ProvCode,0))*(1+PriceIndex)</f>
        <v/>
      </c>
      <c r="X2283" s="47">
        <f>IF(GrossBasis="Wholesale",V2283,W2283)</f>
        <v/>
      </c>
      <c r="Y2283" s="47">
        <f>R2283*INDEX(FmtBlendedCogs,MATCH(F2283,FmtName,0))</f>
        <v/>
      </c>
      <c r="Z2283" s="47">
        <f>X2283-Y2283</f>
        <v/>
      </c>
    </row>
    <row r="2284">
      <c r="A2284" t="n">
        <v>4</v>
      </c>
      <c r="B2284" s="44">
        <f>FiscalStart+(A2284-1)*7</f>
        <v/>
      </c>
      <c r="C2284">
        <f>TEXT(B2284,"mmm yyyy")</f>
        <v/>
      </c>
      <c r="D2284">
        <f>"Q"&amp;(INT((A2284-1)/13)+1)</f>
        <v/>
      </c>
      <c r="E2284" t="inlineStr">
        <is>
          <t>FDM</t>
        </is>
      </c>
      <c r="F2284">
        <f>IFERROR(INDEX(ChFormat,MATCH(E2284,ChName,0)),"")</f>
        <v/>
      </c>
      <c r="G2284" t="inlineStr">
        <is>
          <t>MB</t>
        </is>
      </c>
      <c r="H2284">
        <f>IF(A2284&lt;=NWeeks,1,0)</f>
        <v/>
      </c>
      <c r="I2284">
        <f>INDEX(ChLaunch,MATCH(E2284,ChName,0))</f>
        <v/>
      </c>
      <c r="J2284">
        <f>INDEX(ChWeeksFull,MATCH(E2284,ChName,0))</f>
        <v/>
      </c>
      <c r="K2284">
        <f>INDEX(ChRamp,MATCH(E2284,ChName,0))</f>
        <v/>
      </c>
      <c r="L2284" s="45">
        <f>MIN(1,MAX(0,(A2284-I2284+1)*RampSpeed/J2284))</f>
        <v/>
      </c>
      <c r="M2284" s="45">
        <f>IF(A2284&lt;I2284,0,IF(K2284="S-curve",L2284*L2284*(3-2*L2284),L2284))</f>
        <v/>
      </c>
      <c r="N2284" s="45">
        <f>1+(INDEX(SeasonIdx,A2284)-1)*SeasonAmp</f>
        <v/>
      </c>
      <c r="O2284" s="45">
        <f>IFERROR(INDEX(PSPct,MATCH(E2284&amp;"|"&amp;G2284,PSKey,0)),0)</f>
        <v/>
      </c>
      <c r="P2284" s="46">
        <f>INDEX(ChDoorVel,MATCH(E2284,ChName,0))*CalibScalar*(1+VelocityUplift)</f>
        <v/>
      </c>
      <c r="Q2284" s="46" t="n">
        <v>0</v>
      </c>
      <c r="R2284" s="46">
        <f>P2284*O2284*M2284*N2284*H2284</f>
        <v/>
      </c>
      <c r="S2284" s="46">
        <f>R2284*INDEX(FmtCansPerCase,MATCH(F2284,FmtName,0))</f>
        <v/>
      </c>
      <c r="T2284" s="46">
        <f>S2284/INDEX(FmtCansPerPack,MATCH(F2284,FmtName,0))</f>
        <v/>
      </c>
      <c r="U2284" s="47">
        <f>INDEX(ChBaseCP,MATCH(E2284,ChName,0))*(1+INDEX(ProvMod,MATCH(G2284,ProvCode,0)))*(1+PriceIndex)</f>
        <v/>
      </c>
      <c r="V2284" s="47">
        <f>R2284*U2284*INDEX(FmtBlendedPriceIdx,MATCH(F2284,FmtName,0))</f>
        <v/>
      </c>
      <c r="W2284" s="47">
        <f>T2284*INDEX(ProvSRP,MATCH(G2284,ProvCode,0))*(1+PriceIndex)</f>
        <v/>
      </c>
      <c r="X2284" s="47">
        <f>IF(GrossBasis="Wholesale",V2284,W2284)</f>
        <v/>
      </c>
      <c r="Y2284" s="47">
        <f>R2284*INDEX(FmtBlendedCogs,MATCH(F2284,FmtName,0))</f>
        <v/>
      </c>
      <c r="Z2284" s="47">
        <f>X2284-Y2284</f>
        <v/>
      </c>
    </row>
    <row r="2285">
      <c r="A2285" t="n">
        <v>5</v>
      </c>
      <c r="B2285" s="44">
        <f>FiscalStart+(A2285-1)*7</f>
        <v/>
      </c>
      <c r="C2285">
        <f>TEXT(B2285,"mmm yyyy")</f>
        <v/>
      </c>
      <c r="D2285">
        <f>"Q"&amp;(INT((A2285-1)/13)+1)</f>
        <v/>
      </c>
      <c r="E2285" t="inlineStr">
        <is>
          <t>FDM</t>
        </is>
      </c>
      <c r="F2285">
        <f>IFERROR(INDEX(ChFormat,MATCH(E2285,ChName,0)),"")</f>
        <v/>
      </c>
      <c r="G2285" t="inlineStr">
        <is>
          <t>MB</t>
        </is>
      </c>
      <c r="H2285">
        <f>IF(A2285&lt;=NWeeks,1,0)</f>
        <v/>
      </c>
      <c r="I2285">
        <f>INDEX(ChLaunch,MATCH(E2285,ChName,0))</f>
        <v/>
      </c>
      <c r="J2285">
        <f>INDEX(ChWeeksFull,MATCH(E2285,ChName,0))</f>
        <v/>
      </c>
      <c r="K2285">
        <f>INDEX(ChRamp,MATCH(E2285,ChName,0))</f>
        <v/>
      </c>
      <c r="L2285" s="45">
        <f>MIN(1,MAX(0,(A2285-I2285+1)*RampSpeed/J2285))</f>
        <v/>
      </c>
      <c r="M2285" s="45">
        <f>IF(A2285&lt;I2285,0,IF(K2285="S-curve",L2285*L2285*(3-2*L2285),L2285))</f>
        <v/>
      </c>
      <c r="N2285" s="45">
        <f>1+(INDEX(SeasonIdx,A2285)-1)*SeasonAmp</f>
        <v/>
      </c>
      <c r="O2285" s="45">
        <f>IFERROR(INDEX(PSPct,MATCH(E2285&amp;"|"&amp;G2285,PSKey,0)),0)</f>
        <v/>
      </c>
      <c r="P2285" s="46">
        <f>INDEX(ChDoorVel,MATCH(E2285,ChName,0))*CalibScalar*(1+VelocityUplift)</f>
        <v/>
      </c>
      <c r="Q2285" s="46" t="n">
        <v>0</v>
      </c>
      <c r="R2285" s="46">
        <f>P2285*O2285*M2285*N2285*H2285</f>
        <v/>
      </c>
      <c r="S2285" s="46">
        <f>R2285*INDEX(FmtCansPerCase,MATCH(F2285,FmtName,0))</f>
        <v/>
      </c>
      <c r="T2285" s="46">
        <f>S2285/INDEX(FmtCansPerPack,MATCH(F2285,FmtName,0))</f>
        <v/>
      </c>
      <c r="U2285" s="47">
        <f>INDEX(ChBaseCP,MATCH(E2285,ChName,0))*(1+INDEX(ProvMod,MATCH(G2285,ProvCode,0)))*(1+PriceIndex)</f>
        <v/>
      </c>
      <c r="V2285" s="47">
        <f>R2285*U2285*INDEX(FmtBlendedPriceIdx,MATCH(F2285,FmtName,0))</f>
        <v/>
      </c>
      <c r="W2285" s="47">
        <f>T2285*INDEX(ProvSRP,MATCH(G2285,ProvCode,0))*(1+PriceIndex)</f>
        <v/>
      </c>
      <c r="X2285" s="47">
        <f>IF(GrossBasis="Wholesale",V2285,W2285)</f>
        <v/>
      </c>
      <c r="Y2285" s="47">
        <f>R2285*INDEX(FmtBlendedCogs,MATCH(F2285,FmtName,0))</f>
        <v/>
      </c>
      <c r="Z2285" s="47">
        <f>X2285-Y2285</f>
        <v/>
      </c>
    </row>
    <row r="2286">
      <c r="A2286" t="n">
        <v>6</v>
      </c>
      <c r="B2286" s="44">
        <f>FiscalStart+(A2286-1)*7</f>
        <v/>
      </c>
      <c r="C2286">
        <f>TEXT(B2286,"mmm yyyy")</f>
        <v/>
      </c>
      <c r="D2286">
        <f>"Q"&amp;(INT((A2286-1)/13)+1)</f>
        <v/>
      </c>
      <c r="E2286" t="inlineStr">
        <is>
          <t>FDM</t>
        </is>
      </c>
      <c r="F2286">
        <f>IFERROR(INDEX(ChFormat,MATCH(E2286,ChName,0)),"")</f>
        <v/>
      </c>
      <c r="G2286" t="inlineStr">
        <is>
          <t>MB</t>
        </is>
      </c>
      <c r="H2286">
        <f>IF(A2286&lt;=NWeeks,1,0)</f>
        <v/>
      </c>
      <c r="I2286">
        <f>INDEX(ChLaunch,MATCH(E2286,ChName,0))</f>
        <v/>
      </c>
      <c r="J2286">
        <f>INDEX(ChWeeksFull,MATCH(E2286,ChName,0))</f>
        <v/>
      </c>
      <c r="K2286">
        <f>INDEX(ChRamp,MATCH(E2286,ChName,0))</f>
        <v/>
      </c>
      <c r="L2286" s="45">
        <f>MIN(1,MAX(0,(A2286-I2286+1)*RampSpeed/J2286))</f>
        <v/>
      </c>
      <c r="M2286" s="45">
        <f>IF(A2286&lt;I2286,0,IF(K2286="S-curve",L2286*L2286*(3-2*L2286),L2286))</f>
        <v/>
      </c>
      <c r="N2286" s="45">
        <f>1+(INDEX(SeasonIdx,A2286)-1)*SeasonAmp</f>
        <v/>
      </c>
      <c r="O2286" s="45">
        <f>IFERROR(INDEX(PSPct,MATCH(E2286&amp;"|"&amp;G2286,PSKey,0)),0)</f>
        <v/>
      </c>
      <c r="P2286" s="46">
        <f>INDEX(ChDoorVel,MATCH(E2286,ChName,0))*CalibScalar*(1+VelocityUplift)</f>
        <v/>
      </c>
      <c r="Q2286" s="46" t="n">
        <v>0</v>
      </c>
      <c r="R2286" s="46">
        <f>P2286*O2286*M2286*N2286*H2286</f>
        <v/>
      </c>
      <c r="S2286" s="46">
        <f>R2286*INDEX(FmtCansPerCase,MATCH(F2286,FmtName,0))</f>
        <v/>
      </c>
      <c r="T2286" s="46">
        <f>S2286/INDEX(FmtCansPerPack,MATCH(F2286,FmtName,0))</f>
        <v/>
      </c>
      <c r="U2286" s="47">
        <f>INDEX(ChBaseCP,MATCH(E2286,ChName,0))*(1+INDEX(ProvMod,MATCH(G2286,ProvCode,0)))*(1+PriceIndex)</f>
        <v/>
      </c>
      <c r="V2286" s="47">
        <f>R2286*U2286*INDEX(FmtBlendedPriceIdx,MATCH(F2286,FmtName,0))</f>
        <v/>
      </c>
      <c r="W2286" s="47">
        <f>T2286*INDEX(ProvSRP,MATCH(G2286,ProvCode,0))*(1+PriceIndex)</f>
        <v/>
      </c>
      <c r="X2286" s="47">
        <f>IF(GrossBasis="Wholesale",V2286,W2286)</f>
        <v/>
      </c>
      <c r="Y2286" s="47">
        <f>R2286*INDEX(FmtBlendedCogs,MATCH(F2286,FmtName,0))</f>
        <v/>
      </c>
      <c r="Z2286" s="47">
        <f>X2286-Y2286</f>
        <v/>
      </c>
    </row>
    <row r="2287">
      <c r="A2287" t="n">
        <v>7</v>
      </c>
      <c r="B2287" s="44">
        <f>FiscalStart+(A2287-1)*7</f>
        <v/>
      </c>
      <c r="C2287">
        <f>TEXT(B2287,"mmm yyyy")</f>
        <v/>
      </c>
      <c r="D2287">
        <f>"Q"&amp;(INT((A2287-1)/13)+1)</f>
        <v/>
      </c>
      <c r="E2287" t="inlineStr">
        <is>
          <t>FDM</t>
        </is>
      </c>
      <c r="F2287">
        <f>IFERROR(INDEX(ChFormat,MATCH(E2287,ChName,0)),"")</f>
        <v/>
      </c>
      <c r="G2287" t="inlineStr">
        <is>
          <t>MB</t>
        </is>
      </c>
      <c r="H2287">
        <f>IF(A2287&lt;=NWeeks,1,0)</f>
        <v/>
      </c>
      <c r="I2287">
        <f>INDEX(ChLaunch,MATCH(E2287,ChName,0))</f>
        <v/>
      </c>
      <c r="J2287">
        <f>INDEX(ChWeeksFull,MATCH(E2287,ChName,0))</f>
        <v/>
      </c>
      <c r="K2287">
        <f>INDEX(ChRamp,MATCH(E2287,ChName,0))</f>
        <v/>
      </c>
      <c r="L2287" s="45">
        <f>MIN(1,MAX(0,(A2287-I2287+1)*RampSpeed/J2287))</f>
        <v/>
      </c>
      <c r="M2287" s="45">
        <f>IF(A2287&lt;I2287,0,IF(K2287="S-curve",L2287*L2287*(3-2*L2287),L2287))</f>
        <v/>
      </c>
      <c r="N2287" s="45">
        <f>1+(INDEX(SeasonIdx,A2287)-1)*SeasonAmp</f>
        <v/>
      </c>
      <c r="O2287" s="45">
        <f>IFERROR(INDEX(PSPct,MATCH(E2287&amp;"|"&amp;G2287,PSKey,0)),0)</f>
        <v/>
      </c>
      <c r="P2287" s="46">
        <f>INDEX(ChDoorVel,MATCH(E2287,ChName,0))*CalibScalar*(1+VelocityUplift)</f>
        <v/>
      </c>
      <c r="Q2287" s="46" t="n">
        <v>0</v>
      </c>
      <c r="R2287" s="46">
        <f>P2287*O2287*M2287*N2287*H2287</f>
        <v/>
      </c>
      <c r="S2287" s="46">
        <f>R2287*INDEX(FmtCansPerCase,MATCH(F2287,FmtName,0))</f>
        <v/>
      </c>
      <c r="T2287" s="46">
        <f>S2287/INDEX(FmtCansPerPack,MATCH(F2287,FmtName,0))</f>
        <v/>
      </c>
      <c r="U2287" s="47">
        <f>INDEX(ChBaseCP,MATCH(E2287,ChName,0))*(1+INDEX(ProvMod,MATCH(G2287,ProvCode,0)))*(1+PriceIndex)</f>
        <v/>
      </c>
      <c r="V2287" s="47">
        <f>R2287*U2287*INDEX(FmtBlendedPriceIdx,MATCH(F2287,FmtName,0))</f>
        <v/>
      </c>
      <c r="W2287" s="47">
        <f>T2287*INDEX(ProvSRP,MATCH(G2287,ProvCode,0))*(1+PriceIndex)</f>
        <v/>
      </c>
      <c r="X2287" s="47">
        <f>IF(GrossBasis="Wholesale",V2287,W2287)</f>
        <v/>
      </c>
      <c r="Y2287" s="47">
        <f>R2287*INDEX(FmtBlendedCogs,MATCH(F2287,FmtName,0))</f>
        <v/>
      </c>
      <c r="Z2287" s="47">
        <f>X2287-Y2287</f>
        <v/>
      </c>
    </row>
    <row r="2288">
      <c r="A2288" t="n">
        <v>8</v>
      </c>
      <c r="B2288" s="44">
        <f>FiscalStart+(A2288-1)*7</f>
        <v/>
      </c>
      <c r="C2288">
        <f>TEXT(B2288,"mmm yyyy")</f>
        <v/>
      </c>
      <c r="D2288">
        <f>"Q"&amp;(INT((A2288-1)/13)+1)</f>
        <v/>
      </c>
      <c r="E2288" t="inlineStr">
        <is>
          <t>FDM</t>
        </is>
      </c>
      <c r="F2288">
        <f>IFERROR(INDEX(ChFormat,MATCH(E2288,ChName,0)),"")</f>
        <v/>
      </c>
      <c r="G2288" t="inlineStr">
        <is>
          <t>MB</t>
        </is>
      </c>
      <c r="H2288">
        <f>IF(A2288&lt;=NWeeks,1,0)</f>
        <v/>
      </c>
      <c r="I2288">
        <f>INDEX(ChLaunch,MATCH(E2288,ChName,0))</f>
        <v/>
      </c>
      <c r="J2288">
        <f>INDEX(ChWeeksFull,MATCH(E2288,ChName,0))</f>
        <v/>
      </c>
      <c r="K2288">
        <f>INDEX(ChRamp,MATCH(E2288,ChName,0))</f>
        <v/>
      </c>
      <c r="L2288" s="45">
        <f>MIN(1,MAX(0,(A2288-I2288+1)*RampSpeed/J2288))</f>
        <v/>
      </c>
      <c r="M2288" s="45">
        <f>IF(A2288&lt;I2288,0,IF(K2288="S-curve",L2288*L2288*(3-2*L2288),L2288))</f>
        <v/>
      </c>
      <c r="N2288" s="45">
        <f>1+(INDEX(SeasonIdx,A2288)-1)*SeasonAmp</f>
        <v/>
      </c>
      <c r="O2288" s="45">
        <f>IFERROR(INDEX(PSPct,MATCH(E2288&amp;"|"&amp;G2288,PSKey,0)),0)</f>
        <v/>
      </c>
      <c r="P2288" s="46">
        <f>INDEX(ChDoorVel,MATCH(E2288,ChName,0))*CalibScalar*(1+VelocityUplift)</f>
        <v/>
      </c>
      <c r="Q2288" s="46" t="n">
        <v>0</v>
      </c>
      <c r="R2288" s="46">
        <f>P2288*O2288*M2288*N2288*H2288</f>
        <v/>
      </c>
      <c r="S2288" s="46">
        <f>R2288*INDEX(FmtCansPerCase,MATCH(F2288,FmtName,0))</f>
        <v/>
      </c>
      <c r="T2288" s="46">
        <f>S2288/INDEX(FmtCansPerPack,MATCH(F2288,FmtName,0))</f>
        <v/>
      </c>
      <c r="U2288" s="47">
        <f>INDEX(ChBaseCP,MATCH(E2288,ChName,0))*(1+INDEX(ProvMod,MATCH(G2288,ProvCode,0)))*(1+PriceIndex)</f>
        <v/>
      </c>
      <c r="V2288" s="47">
        <f>R2288*U2288*INDEX(FmtBlendedPriceIdx,MATCH(F2288,FmtName,0))</f>
        <v/>
      </c>
      <c r="W2288" s="47">
        <f>T2288*INDEX(ProvSRP,MATCH(G2288,ProvCode,0))*(1+PriceIndex)</f>
        <v/>
      </c>
      <c r="X2288" s="47">
        <f>IF(GrossBasis="Wholesale",V2288,W2288)</f>
        <v/>
      </c>
      <c r="Y2288" s="47">
        <f>R2288*INDEX(FmtBlendedCogs,MATCH(F2288,FmtName,0))</f>
        <v/>
      </c>
      <c r="Z2288" s="47">
        <f>X2288-Y2288</f>
        <v/>
      </c>
    </row>
    <row r="2289">
      <c r="A2289" t="n">
        <v>9</v>
      </c>
      <c r="B2289" s="44">
        <f>FiscalStart+(A2289-1)*7</f>
        <v/>
      </c>
      <c r="C2289">
        <f>TEXT(B2289,"mmm yyyy")</f>
        <v/>
      </c>
      <c r="D2289">
        <f>"Q"&amp;(INT((A2289-1)/13)+1)</f>
        <v/>
      </c>
      <c r="E2289" t="inlineStr">
        <is>
          <t>FDM</t>
        </is>
      </c>
      <c r="F2289">
        <f>IFERROR(INDEX(ChFormat,MATCH(E2289,ChName,0)),"")</f>
        <v/>
      </c>
      <c r="G2289" t="inlineStr">
        <is>
          <t>MB</t>
        </is>
      </c>
      <c r="H2289">
        <f>IF(A2289&lt;=NWeeks,1,0)</f>
        <v/>
      </c>
      <c r="I2289">
        <f>INDEX(ChLaunch,MATCH(E2289,ChName,0))</f>
        <v/>
      </c>
      <c r="J2289">
        <f>INDEX(ChWeeksFull,MATCH(E2289,ChName,0))</f>
        <v/>
      </c>
      <c r="K2289">
        <f>INDEX(ChRamp,MATCH(E2289,ChName,0))</f>
        <v/>
      </c>
      <c r="L2289" s="45">
        <f>MIN(1,MAX(0,(A2289-I2289+1)*RampSpeed/J2289))</f>
        <v/>
      </c>
      <c r="M2289" s="45">
        <f>IF(A2289&lt;I2289,0,IF(K2289="S-curve",L2289*L2289*(3-2*L2289),L2289))</f>
        <v/>
      </c>
      <c r="N2289" s="45">
        <f>1+(INDEX(SeasonIdx,A2289)-1)*SeasonAmp</f>
        <v/>
      </c>
      <c r="O2289" s="45">
        <f>IFERROR(INDEX(PSPct,MATCH(E2289&amp;"|"&amp;G2289,PSKey,0)),0)</f>
        <v/>
      </c>
      <c r="P2289" s="46">
        <f>INDEX(ChDoorVel,MATCH(E2289,ChName,0))*CalibScalar*(1+VelocityUplift)</f>
        <v/>
      </c>
      <c r="Q2289" s="46" t="n">
        <v>0</v>
      </c>
      <c r="R2289" s="46">
        <f>P2289*O2289*M2289*N2289*H2289</f>
        <v/>
      </c>
      <c r="S2289" s="46">
        <f>R2289*INDEX(FmtCansPerCase,MATCH(F2289,FmtName,0))</f>
        <v/>
      </c>
      <c r="T2289" s="46">
        <f>S2289/INDEX(FmtCansPerPack,MATCH(F2289,FmtName,0))</f>
        <v/>
      </c>
      <c r="U2289" s="47">
        <f>INDEX(ChBaseCP,MATCH(E2289,ChName,0))*(1+INDEX(ProvMod,MATCH(G2289,ProvCode,0)))*(1+PriceIndex)</f>
        <v/>
      </c>
      <c r="V2289" s="47">
        <f>R2289*U2289*INDEX(FmtBlendedPriceIdx,MATCH(F2289,FmtName,0))</f>
        <v/>
      </c>
      <c r="W2289" s="47">
        <f>T2289*INDEX(ProvSRP,MATCH(G2289,ProvCode,0))*(1+PriceIndex)</f>
        <v/>
      </c>
      <c r="X2289" s="47">
        <f>IF(GrossBasis="Wholesale",V2289,W2289)</f>
        <v/>
      </c>
      <c r="Y2289" s="47">
        <f>R2289*INDEX(FmtBlendedCogs,MATCH(F2289,FmtName,0))</f>
        <v/>
      </c>
      <c r="Z2289" s="47">
        <f>X2289-Y2289</f>
        <v/>
      </c>
    </row>
    <row r="2290">
      <c r="A2290" t="n">
        <v>10</v>
      </c>
      <c r="B2290" s="44">
        <f>FiscalStart+(A2290-1)*7</f>
        <v/>
      </c>
      <c r="C2290">
        <f>TEXT(B2290,"mmm yyyy")</f>
        <v/>
      </c>
      <c r="D2290">
        <f>"Q"&amp;(INT((A2290-1)/13)+1)</f>
        <v/>
      </c>
      <c r="E2290" t="inlineStr">
        <is>
          <t>FDM</t>
        </is>
      </c>
      <c r="F2290">
        <f>IFERROR(INDEX(ChFormat,MATCH(E2290,ChName,0)),"")</f>
        <v/>
      </c>
      <c r="G2290" t="inlineStr">
        <is>
          <t>MB</t>
        </is>
      </c>
      <c r="H2290">
        <f>IF(A2290&lt;=NWeeks,1,0)</f>
        <v/>
      </c>
      <c r="I2290">
        <f>INDEX(ChLaunch,MATCH(E2290,ChName,0))</f>
        <v/>
      </c>
      <c r="J2290">
        <f>INDEX(ChWeeksFull,MATCH(E2290,ChName,0))</f>
        <v/>
      </c>
      <c r="K2290">
        <f>INDEX(ChRamp,MATCH(E2290,ChName,0))</f>
        <v/>
      </c>
      <c r="L2290" s="45">
        <f>MIN(1,MAX(0,(A2290-I2290+1)*RampSpeed/J2290))</f>
        <v/>
      </c>
      <c r="M2290" s="45">
        <f>IF(A2290&lt;I2290,0,IF(K2290="S-curve",L2290*L2290*(3-2*L2290),L2290))</f>
        <v/>
      </c>
      <c r="N2290" s="45">
        <f>1+(INDEX(SeasonIdx,A2290)-1)*SeasonAmp</f>
        <v/>
      </c>
      <c r="O2290" s="45">
        <f>IFERROR(INDEX(PSPct,MATCH(E2290&amp;"|"&amp;G2290,PSKey,0)),0)</f>
        <v/>
      </c>
      <c r="P2290" s="46">
        <f>INDEX(ChDoorVel,MATCH(E2290,ChName,0))*CalibScalar*(1+VelocityUplift)</f>
        <v/>
      </c>
      <c r="Q2290" s="46" t="n">
        <v>0</v>
      </c>
      <c r="R2290" s="46">
        <f>P2290*O2290*M2290*N2290*H2290</f>
        <v/>
      </c>
      <c r="S2290" s="46">
        <f>R2290*INDEX(FmtCansPerCase,MATCH(F2290,FmtName,0))</f>
        <v/>
      </c>
      <c r="T2290" s="46">
        <f>S2290/INDEX(FmtCansPerPack,MATCH(F2290,FmtName,0))</f>
        <v/>
      </c>
      <c r="U2290" s="47">
        <f>INDEX(ChBaseCP,MATCH(E2290,ChName,0))*(1+INDEX(ProvMod,MATCH(G2290,ProvCode,0)))*(1+PriceIndex)</f>
        <v/>
      </c>
      <c r="V2290" s="47">
        <f>R2290*U2290*INDEX(FmtBlendedPriceIdx,MATCH(F2290,FmtName,0))</f>
        <v/>
      </c>
      <c r="W2290" s="47">
        <f>T2290*INDEX(ProvSRP,MATCH(G2290,ProvCode,0))*(1+PriceIndex)</f>
        <v/>
      </c>
      <c r="X2290" s="47">
        <f>IF(GrossBasis="Wholesale",V2290,W2290)</f>
        <v/>
      </c>
      <c r="Y2290" s="47">
        <f>R2290*INDEX(FmtBlendedCogs,MATCH(F2290,FmtName,0))</f>
        <v/>
      </c>
      <c r="Z2290" s="47">
        <f>X2290-Y2290</f>
        <v/>
      </c>
    </row>
    <row r="2291">
      <c r="A2291" t="n">
        <v>11</v>
      </c>
      <c r="B2291" s="44">
        <f>FiscalStart+(A2291-1)*7</f>
        <v/>
      </c>
      <c r="C2291">
        <f>TEXT(B2291,"mmm yyyy")</f>
        <v/>
      </c>
      <c r="D2291">
        <f>"Q"&amp;(INT((A2291-1)/13)+1)</f>
        <v/>
      </c>
      <c r="E2291" t="inlineStr">
        <is>
          <t>FDM</t>
        </is>
      </c>
      <c r="F2291">
        <f>IFERROR(INDEX(ChFormat,MATCH(E2291,ChName,0)),"")</f>
        <v/>
      </c>
      <c r="G2291" t="inlineStr">
        <is>
          <t>MB</t>
        </is>
      </c>
      <c r="H2291">
        <f>IF(A2291&lt;=NWeeks,1,0)</f>
        <v/>
      </c>
      <c r="I2291">
        <f>INDEX(ChLaunch,MATCH(E2291,ChName,0))</f>
        <v/>
      </c>
      <c r="J2291">
        <f>INDEX(ChWeeksFull,MATCH(E2291,ChName,0))</f>
        <v/>
      </c>
      <c r="K2291">
        <f>INDEX(ChRamp,MATCH(E2291,ChName,0))</f>
        <v/>
      </c>
      <c r="L2291" s="45">
        <f>MIN(1,MAX(0,(A2291-I2291+1)*RampSpeed/J2291))</f>
        <v/>
      </c>
      <c r="M2291" s="45">
        <f>IF(A2291&lt;I2291,0,IF(K2291="S-curve",L2291*L2291*(3-2*L2291),L2291))</f>
        <v/>
      </c>
      <c r="N2291" s="45">
        <f>1+(INDEX(SeasonIdx,A2291)-1)*SeasonAmp</f>
        <v/>
      </c>
      <c r="O2291" s="45">
        <f>IFERROR(INDEX(PSPct,MATCH(E2291&amp;"|"&amp;G2291,PSKey,0)),0)</f>
        <v/>
      </c>
      <c r="P2291" s="46">
        <f>INDEX(ChDoorVel,MATCH(E2291,ChName,0))*CalibScalar*(1+VelocityUplift)</f>
        <v/>
      </c>
      <c r="Q2291" s="46" t="n">
        <v>0</v>
      </c>
      <c r="R2291" s="46">
        <f>P2291*O2291*M2291*N2291*H2291</f>
        <v/>
      </c>
      <c r="S2291" s="46">
        <f>R2291*INDEX(FmtCansPerCase,MATCH(F2291,FmtName,0))</f>
        <v/>
      </c>
      <c r="T2291" s="46">
        <f>S2291/INDEX(FmtCansPerPack,MATCH(F2291,FmtName,0))</f>
        <v/>
      </c>
      <c r="U2291" s="47">
        <f>INDEX(ChBaseCP,MATCH(E2291,ChName,0))*(1+INDEX(ProvMod,MATCH(G2291,ProvCode,0)))*(1+PriceIndex)</f>
        <v/>
      </c>
      <c r="V2291" s="47">
        <f>R2291*U2291*INDEX(FmtBlendedPriceIdx,MATCH(F2291,FmtName,0))</f>
        <v/>
      </c>
      <c r="W2291" s="47">
        <f>T2291*INDEX(ProvSRP,MATCH(G2291,ProvCode,0))*(1+PriceIndex)</f>
        <v/>
      </c>
      <c r="X2291" s="47">
        <f>IF(GrossBasis="Wholesale",V2291,W2291)</f>
        <v/>
      </c>
      <c r="Y2291" s="47">
        <f>R2291*INDEX(FmtBlendedCogs,MATCH(F2291,FmtName,0))</f>
        <v/>
      </c>
      <c r="Z2291" s="47">
        <f>X2291-Y2291</f>
        <v/>
      </c>
    </row>
    <row r="2292">
      <c r="A2292" t="n">
        <v>12</v>
      </c>
      <c r="B2292" s="44">
        <f>FiscalStart+(A2292-1)*7</f>
        <v/>
      </c>
      <c r="C2292">
        <f>TEXT(B2292,"mmm yyyy")</f>
        <v/>
      </c>
      <c r="D2292">
        <f>"Q"&amp;(INT((A2292-1)/13)+1)</f>
        <v/>
      </c>
      <c r="E2292" t="inlineStr">
        <is>
          <t>FDM</t>
        </is>
      </c>
      <c r="F2292">
        <f>IFERROR(INDEX(ChFormat,MATCH(E2292,ChName,0)),"")</f>
        <v/>
      </c>
      <c r="G2292" t="inlineStr">
        <is>
          <t>MB</t>
        </is>
      </c>
      <c r="H2292">
        <f>IF(A2292&lt;=NWeeks,1,0)</f>
        <v/>
      </c>
      <c r="I2292">
        <f>INDEX(ChLaunch,MATCH(E2292,ChName,0))</f>
        <v/>
      </c>
      <c r="J2292">
        <f>INDEX(ChWeeksFull,MATCH(E2292,ChName,0))</f>
        <v/>
      </c>
      <c r="K2292">
        <f>INDEX(ChRamp,MATCH(E2292,ChName,0))</f>
        <v/>
      </c>
      <c r="L2292" s="45">
        <f>MIN(1,MAX(0,(A2292-I2292+1)*RampSpeed/J2292))</f>
        <v/>
      </c>
      <c r="M2292" s="45">
        <f>IF(A2292&lt;I2292,0,IF(K2292="S-curve",L2292*L2292*(3-2*L2292),L2292))</f>
        <v/>
      </c>
      <c r="N2292" s="45">
        <f>1+(INDEX(SeasonIdx,A2292)-1)*SeasonAmp</f>
        <v/>
      </c>
      <c r="O2292" s="45">
        <f>IFERROR(INDEX(PSPct,MATCH(E2292&amp;"|"&amp;G2292,PSKey,0)),0)</f>
        <v/>
      </c>
      <c r="P2292" s="46">
        <f>INDEX(ChDoorVel,MATCH(E2292,ChName,0))*CalibScalar*(1+VelocityUplift)</f>
        <v/>
      </c>
      <c r="Q2292" s="46" t="n">
        <v>0</v>
      </c>
      <c r="R2292" s="46">
        <f>P2292*O2292*M2292*N2292*H2292</f>
        <v/>
      </c>
      <c r="S2292" s="46">
        <f>R2292*INDEX(FmtCansPerCase,MATCH(F2292,FmtName,0))</f>
        <v/>
      </c>
      <c r="T2292" s="46">
        <f>S2292/INDEX(FmtCansPerPack,MATCH(F2292,FmtName,0))</f>
        <v/>
      </c>
      <c r="U2292" s="47">
        <f>INDEX(ChBaseCP,MATCH(E2292,ChName,0))*(1+INDEX(ProvMod,MATCH(G2292,ProvCode,0)))*(1+PriceIndex)</f>
        <v/>
      </c>
      <c r="V2292" s="47">
        <f>R2292*U2292*INDEX(FmtBlendedPriceIdx,MATCH(F2292,FmtName,0))</f>
        <v/>
      </c>
      <c r="W2292" s="47">
        <f>T2292*INDEX(ProvSRP,MATCH(G2292,ProvCode,0))*(1+PriceIndex)</f>
        <v/>
      </c>
      <c r="X2292" s="47">
        <f>IF(GrossBasis="Wholesale",V2292,W2292)</f>
        <v/>
      </c>
      <c r="Y2292" s="47">
        <f>R2292*INDEX(FmtBlendedCogs,MATCH(F2292,FmtName,0))</f>
        <v/>
      </c>
      <c r="Z2292" s="47">
        <f>X2292-Y2292</f>
        <v/>
      </c>
    </row>
    <row r="2293">
      <c r="A2293" t="n">
        <v>13</v>
      </c>
      <c r="B2293" s="44">
        <f>FiscalStart+(A2293-1)*7</f>
        <v/>
      </c>
      <c r="C2293">
        <f>TEXT(B2293,"mmm yyyy")</f>
        <v/>
      </c>
      <c r="D2293">
        <f>"Q"&amp;(INT((A2293-1)/13)+1)</f>
        <v/>
      </c>
      <c r="E2293" t="inlineStr">
        <is>
          <t>FDM</t>
        </is>
      </c>
      <c r="F2293">
        <f>IFERROR(INDEX(ChFormat,MATCH(E2293,ChName,0)),"")</f>
        <v/>
      </c>
      <c r="G2293" t="inlineStr">
        <is>
          <t>MB</t>
        </is>
      </c>
      <c r="H2293">
        <f>IF(A2293&lt;=NWeeks,1,0)</f>
        <v/>
      </c>
      <c r="I2293">
        <f>INDEX(ChLaunch,MATCH(E2293,ChName,0))</f>
        <v/>
      </c>
      <c r="J2293">
        <f>INDEX(ChWeeksFull,MATCH(E2293,ChName,0))</f>
        <v/>
      </c>
      <c r="K2293">
        <f>INDEX(ChRamp,MATCH(E2293,ChName,0))</f>
        <v/>
      </c>
      <c r="L2293" s="45">
        <f>MIN(1,MAX(0,(A2293-I2293+1)*RampSpeed/J2293))</f>
        <v/>
      </c>
      <c r="M2293" s="45">
        <f>IF(A2293&lt;I2293,0,IF(K2293="S-curve",L2293*L2293*(3-2*L2293),L2293))</f>
        <v/>
      </c>
      <c r="N2293" s="45">
        <f>1+(INDEX(SeasonIdx,A2293)-1)*SeasonAmp</f>
        <v/>
      </c>
      <c r="O2293" s="45">
        <f>IFERROR(INDEX(PSPct,MATCH(E2293&amp;"|"&amp;G2293,PSKey,0)),0)</f>
        <v/>
      </c>
      <c r="P2293" s="46">
        <f>INDEX(ChDoorVel,MATCH(E2293,ChName,0))*CalibScalar*(1+VelocityUplift)</f>
        <v/>
      </c>
      <c r="Q2293" s="46" t="n">
        <v>0</v>
      </c>
      <c r="R2293" s="46">
        <f>P2293*O2293*M2293*N2293*H2293</f>
        <v/>
      </c>
      <c r="S2293" s="46">
        <f>R2293*INDEX(FmtCansPerCase,MATCH(F2293,FmtName,0))</f>
        <v/>
      </c>
      <c r="T2293" s="46">
        <f>S2293/INDEX(FmtCansPerPack,MATCH(F2293,FmtName,0))</f>
        <v/>
      </c>
      <c r="U2293" s="47">
        <f>INDEX(ChBaseCP,MATCH(E2293,ChName,0))*(1+INDEX(ProvMod,MATCH(G2293,ProvCode,0)))*(1+PriceIndex)</f>
        <v/>
      </c>
      <c r="V2293" s="47">
        <f>R2293*U2293*INDEX(FmtBlendedPriceIdx,MATCH(F2293,FmtName,0))</f>
        <v/>
      </c>
      <c r="W2293" s="47">
        <f>T2293*INDEX(ProvSRP,MATCH(G2293,ProvCode,0))*(1+PriceIndex)</f>
        <v/>
      </c>
      <c r="X2293" s="47">
        <f>IF(GrossBasis="Wholesale",V2293,W2293)</f>
        <v/>
      </c>
      <c r="Y2293" s="47">
        <f>R2293*INDEX(FmtBlendedCogs,MATCH(F2293,FmtName,0))</f>
        <v/>
      </c>
      <c r="Z2293" s="47">
        <f>X2293-Y2293</f>
        <v/>
      </c>
    </row>
    <row r="2294">
      <c r="A2294" t="n">
        <v>14</v>
      </c>
      <c r="B2294" s="44">
        <f>FiscalStart+(A2294-1)*7</f>
        <v/>
      </c>
      <c r="C2294">
        <f>TEXT(B2294,"mmm yyyy")</f>
        <v/>
      </c>
      <c r="D2294">
        <f>"Q"&amp;(INT((A2294-1)/13)+1)</f>
        <v/>
      </c>
      <c r="E2294" t="inlineStr">
        <is>
          <t>FDM</t>
        </is>
      </c>
      <c r="F2294">
        <f>IFERROR(INDEX(ChFormat,MATCH(E2294,ChName,0)),"")</f>
        <v/>
      </c>
      <c r="G2294" t="inlineStr">
        <is>
          <t>MB</t>
        </is>
      </c>
      <c r="H2294">
        <f>IF(A2294&lt;=NWeeks,1,0)</f>
        <v/>
      </c>
      <c r="I2294">
        <f>INDEX(ChLaunch,MATCH(E2294,ChName,0))</f>
        <v/>
      </c>
      <c r="J2294">
        <f>INDEX(ChWeeksFull,MATCH(E2294,ChName,0))</f>
        <v/>
      </c>
      <c r="K2294">
        <f>INDEX(ChRamp,MATCH(E2294,ChName,0))</f>
        <v/>
      </c>
      <c r="L2294" s="45">
        <f>MIN(1,MAX(0,(A2294-I2294+1)*RampSpeed/J2294))</f>
        <v/>
      </c>
      <c r="M2294" s="45">
        <f>IF(A2294&lt;I2294,0,IF(K2294="S-curve",L2294*L2294*(3-2*L2294),L2294))</f>
        <v/>
      </c>
      <c r="N2294" s="45">
        <f>1+(INDEX(SeasonIdx,A2294)-1)*SeasonAmp</f>
        <v/>
      </c>
      <c r="O2294" s="45">
        <f>IFERROR(INDEX(PSPct,MATCH(E2294&amp;"|"&amp;G2294,PSKey,0)),0)</f>
        <v/>
      </c>
      <c r="P2294" s="46">
        <f>INDEX(ChDoorVel,MATCH(E2294,ChName,0))*CalibScalar*(1+VelocityUplift)</f>
        <v/>
      </c>
      <c r="Q2294" s="46" t="n">
        <v>0</v>
      </c>
      <c r="R2294" s="46">
        <f>P2294*O2294*M2294*N2294*H2294</f>
        <v/>
      </c>
      <c r="S2294" s="46">
        <f>R2294*INDEX(FmtCansPerCase,MATCH(F2294,FmtName,0))</f>
        <v/>
      </c>
      <c r="T2294" s="46">
        <f>S2294/INDEX(FmtCansPerPack,MATCH(F2294,FmtName,0))</f>
        <v/>
      </c>
      <c r="U2294" s="47">
        <f>INDEX(ChBaseCP,MATCH(E2294,ChName,0))*(1+INDEX(ProvMod,MATCH(G2294,ProvCode,0)))*(1+PriceIndex)</f>
        <v/>
      </c>
      <c r="V2294" s="47">
        <f>R2294*U2294*INDEX(FmtBlendedPriceIdx,MATCH(F2294,FmtName,0))</f>
        <v/>
      </c>
      <c r="W2294" s="47">
        <f>T2294*INDEX(ProvSRP,MATCH(G2294,ProvCode,0))*(1+PriceIndex)</f>
        <v/>
      </c>
      <c r="X2294" s="47">
        <f>IF(GrossBasis="Wholesale",V2294,W2294)</f>
        <v/>
      </c>
      <c r="Y2294" s="47">
        <f>R2294*INDEX(FmtBlendedCogs,MATCH(F2294,FmtName,0))</f>
        <v/>
      </c>
      <c r="Z2294" s="47">
        <f>X2294-Y2294</f>
        <v/>
      </c>
    </row>
    <row r="2295">
      <c r="A2295" t="n">
        <v>15</v>
      </c>
      <c r="B2295" s="44">
        <f>FiscalStart+(A2295-1)*7</f>
        <v/>
      </c>
      <c r="C2295">
        <f>TEXT(B2295,"mmm yyyy")</f>
        <v/>
      </c>
      <c r="D2295">
        <f>"Q"&amp;(INT((A2295-1)/13)+1)</f>
        <v/>
      </c>
      <c r="E2295" t="inlineStr">
        <is>
          <t>FDM</t>
        </is>
      </c>
      <c r="F2295">
        <f>IFERROR(INDEX(ChFormat,MATCH(E2295,ChName,0)),"")</f>
        <v/>
      </c>
      <c r="G2295" t="inlineStr">
        <is>
          <t>MB</t>
        </is>
      </c>
      <c r="H2295">
        <f>IF(A2295&lt;=NWeeks,1,0)</f>
        <v/>
      </c>
      <c r="I2295">
        <f>INDEX(ChLaunch,MATCH(E2295,ChName,0))</f>
        <v/>
      </c>
      <c r="J2295">
        <f>INDEX(ChWeeksFull,MATCH(E2295,ChName,0))</f>
        <v/>
      </c>
      <c r="K2295">
        <f>INDEX(ChRamp,MATCH(E2295,ChName,0))</f>
        <v/>
      </c>
      <c r="L2295" s="45">
        <f>MIN(1,MAX(0,(A2295-I2295+1)*RampSpeed/J2295))</f>
        <v/>
      </c>
      <c r="M2295" s="45">
        <f>IF(A2295&lt;I2295,0,IF(K2295="S-curve",L2295*L2295*(3-2*L2295),L2295))</f>
        <v/>
      </c>
      <c r="N2295" s="45">
        <f>1+(INDEX(SeasonIdx,A2295)-1)*SeasonAmp</f>
        <v/>
      </c>
      <c r="O2295" s="45">
        <f>IFERROR(INDEX(PSPct,MATCH(E2295&amp;"|"&amp;G2295,PSKey,0)),0)</f>
        <v/>
      </c>
      <c r="P2295" s="46">
        <f>INDEX(ChDoorVel,MATCH(E2295,ChName,0))*CalibScalar*(1+VelocityUplift)</f>
        <v/>
      </c>
      <c r="Q2295" s="46" t="n">
        <v>0</v>
      </c>
      <c r="R2295" s="46">
        <f>P2295*O2295*M2295*N2295*H2295</f>
        <v/>
      </c>
      <c r="S2295" s="46">
        <f>R2295*INDEX(FmtCansPerCase,MATCH(F2295,FmtName,0))</f>
        <v/>
      </c>
      <c r="T2295" s="46">
        <f>S2295/INDEX(FmtCansPerPack,MATCH(F2295,FmtName,0))</f>
        <v/>
      </c>
      <c r="U2295" s="47">
        <f>INDEX(ChBaseCP,MATCH(E2295,ChName,0))*(1+INDEX(ProvMod,MATCH(G2295,ProvCode,0)))*(1+PriceIndex)</f>
        <v/>
      </c>
      <c r="V2295" s="47">
        <f>R2295*U2295*INDEX(FmtBlendedPriceIdx,MATCH(F2295,FmtName,0))</f>
        <v/>
      </c>
      <c r="W2295" s="47">
        <f>T2295*INDEX(ProvSRP,MATCH(G2295,ProvCode,0))*(1+PriceIndex)</f>
        <v/>
      </c>
      <c r="X2295" s="47">
        <f>IF(GrossBasis="Wholesale",V2295,W2295)</f>
        <v/>
      </c>
      <c r="Y2295" s="47">
        <f>R2295*INDEX(FmtBlendedCogs,MATCH(F2295,FmtName,0))</f>
        <v/>
      </c>
      <c r="Z2295" s="47">
        <f>X2295-Y2295</f>
        <v/>
      </c>
    </row>
    <row r="2296">
      <c r="A2296" t="n">
        <v>16</v>
      </c>
      <c r="B2296" s="44">
        <f>FiscalStart+(A2296-1)*7</f>
        <v/>
      </c>
      <c r="C2296">
        <f>TEXT(B2296,"mmm yyyy")</f>
        <v/>
      </c>
      <c r="D2296">
        <f>"Q"&amp;(INT((A2296-1)/13)+1)</f>
        <v/>
      </c>
      <c r="E2296" t="inlineStr">
        <is>
          <t>FDM</t>
        </is>
      </c>
      <c r="F2296">
        <f>IFERROR(INDEX(ChFormat,MATCH(E2296,ChName,0)),"")</f>
        <v/>
      </c>
      <c r="G2296" t="inlineStr">
        <is>
          <t>MB</t>
        </is>
      </c>
      <c r="H2296">
        <f>IF(A2296&lt;=NWeeks,1,0)</f>
        <v/>
      </c>
      <c r="I2296">
        <f>INDEX(ChLaunch,MATCH(E2296,ChName,0))</f>
        <v/>
      </c>
      <c r="J2296">
        <f>INDEX(ChWeeksFull,MATCH(E2296,ChName,0))</f>
        <v/>
      </c>
      <c r="K2296">
        <f>INDEX(ChRamp,MATCH(E2296,ChName,0))</f>
        <v/>
      </c>
      <c r="L2296" s="45">
        <f>MIN(1,MAX(0,(A2296-I2296+1)*RampSpeed/J2296))</f>
        <v/>
      </c>
      <c r="M2296" s="45">
        <f>IF(A2296&lt;I2296,0,IF(K2296="S-curve",L2296*L2296*(3-2*L2296),L2296))</f>
        <v/>
      </c>
      <c r="N2296" s="45">
        <f>1+(INDEX(SeasonIdx,A2296)-1)*SeasonAmp</f>
        <v/>
      </c>
      <c r="O2296" s="45">
        <f>IFERROR(INDEX(PSPct,MATCH(E2296&amp;"|"&amp;G2296,PSKey,0)),0)</f>
        <v/>
      </c>
      <c r="P2296" s="46">
        <f>INDEX(ChDoorVel,MATCH(E2296,ChName,0))*CalibScalar*(1+VelocityUplift)</f>
        <v/>
      </c>
      <c r="Q2296" s="46" t="n">
        <v>0</v>
      </c>
      <c r="R2296" s="46">
        <f>P2296*O2296*M2296*N2296*H2296</f>
        <v/>
      </c>
      <c r="S2296" s="46">
        <f>R2296*INDEX(FmtCansPerCase,MATCH(F2296,FmtName,0))</f>
        <v/>
      </c>
      <c r="T2296" s="46">
        <f>S2296/INDEX(FmtCansPerPack,MATCH(F2296,FmtName,0))</f>
        <v/>
      </c>
      <c r="U2296" s="47">
        <f>INDEX(ChBaseCP,MATCH(E2296,ChName,0))*(1+INDEX(ProvMod,MATCH(G2296,ProvCode,0)))*(1+PriceIndex)</f>
        <v/>
      </c>
      <c r="V2296" s="47">
        <f>R2296*U2296*INDEX(FmtBlendedPriceIdx,MATCH(F2296,FmtName,0))</f>
        <v/>
      </c>
      <c r="W2296" s="47">
        <f>T2296*INDEX(ProvSRP,MATCH(G2296,ProvCode,0))*(1+PriceIndex)</f>
        <v/>
      </c>
      <c r="X2296" s="47">
        <f>IF(GrossBasis="Wholesale",V2296,W2296)</f>
        <v/>
      </c>
      <c r="Y2296" s="47">
        <f>R2296*INDEX(FmtBlendedCogs,MATCH(F2296,FmtName,0))</f>
        <v/>
      </c>
      <c r="Z2296" s="47">
        <f>X2296-Y2296</f>
        <v/>
      </c>
    </row>
    <row r="2297">
      <c r="A2297" t="n">
        <v>17</v>
      </c>
      <c r="B2297" s="44">
        <f>FiscalStart+(A2297-1)*7</f>
        <v/>
      </c>
      <c r="C2297">
        <f>TEXT(B2297,"mmm yyyy")</f>
        <v/>
      </c>
      <c r="D2297">
        <f>"Q"&amp;(INT((A2297-1)/13)+1)</f>
        <v/>
      </c>
      <c r="E2297" t="inlineStr">
        <is>
          <t>FDM</t>
        </is>
      </c>
      <c r="F2297">
        <f>IFERROR(INDEX(ChFormat,MATCH(E2297,ChName,0)),"")</f>
        <v/>
      </c>
      <c r="G2297" t="inlineStr">
        <is>
          <t>MB</t>
        </is>
      </c>
      <c r="H2297">
        <f>IF(A2297&lt;=NWeeks,1,0)</f>
        <v/>
      </c>
      <c r="I2297">
        <f>INDEX(ChLaunch,MATCH(E2297,ChName,0))</f>
        <v/>
      </c>
      <c r="J2297">
        <f>INDEX(ChWeeksFull,MATCH(E2297,ChName,0))</f>
        <v/>
      </c>
      <c r="K2297">
        <f>INDEX(ChRamp,MATCH(E2297,ChName,0))</f>
        <v/>
      </c>
      <c r="L2297" s="45">
        <f>MIN(1,MAX(0,(A2297-I2297+1)*RampSpeed/J2297))</f>
        <v/>
      </c>
      <c r="M2297" s="45">
        <f>IF(A2297&lt;I2297,0,IF(K2297="S-curve",L2297*L2297*(3-2*L2297),L2297))</f>
        <v/>
      </c>
      <c r="N2297" s="45">
        <f>1+(INDEX(SeasonIdx,A2297)-1)*SeasonAmp</f>
        <v/>
      </c>
      <c r="O2297" s="45">
        <f>IFERROR(INDEX(PSPct,MATCH(E2297&amp;"|"&amp;G2297,PSKey,0)),0)</f>
        <v/>
      </c>
      <c r="P2297" s="46">
        <f>INDEX(ChDoorVel,MATCH(E2297,ChName,0))*CalibScalar*(1+VelocityUplift)</f>
        <v/>
      </c>
      <c r="Q2297" s="46" t="n">
        <v>0</v>
      </c>
      <c r="R2297" s="46">
        <f>P2297*O2297*M2297*N2297*H2297</f>
        <v/>
      </c>
      <c r="S2297" s="46">
        <f>R2297*INDEX(FmtCansPerCase,MATCH(F2297,FmtName,0))</f>
        <v/>
      </c>
      <c r="T2297" s="46">
        <f>S2297/INDEX(FmtCansPerPack,MATCH(F2297,FmtName,0))</f>
        <v/>
      </c>
      <c r="U2297" s="47">
        <f>INDEX(ChBaseCP,MATCH(E2297,ChName,0))*(1+INDEX(ProvMod,MATCH(G2297,ProvCode,0)))*(1+PriceIndex)</f>
        <v/>
      </c>
      <c r="V2297" s="47">
        <f>R2297*U2297*INDEX(FmtBlendedPriceIdx,MATCH(F2297,FmtName,0))</f>
        <v/>
      </c>
      <c r="W2297" s="47">
        <f>T2297*INDEX(ProvSRP,MATCH(G2297,ProvCode,0))*(1+PriceIndex)</f>
        <v/>
      </c>
      <c r="X2297" s="47">
        <f>IF(GrossBasis="Wholesale",V2297,W2297)</f>
        <v/>
      </c>
      <c r="Y2297" s="47">
        <f>R2297*INDEX(FmtBlendedCogs,MATCH(F2297,FmtName,0))</f>
        <v/>
      </c>
      <c r="Z2297" s="47">
        <f>X2297-Y2297</f>
        <v/>
      </c>
    </row>
    <row r="2298">
      <c r="A2298" t="n">
        <v>18</v>
      </c>
      <c r="B2298" s="44">
        <f>FiscalStart+(A2298-1)*7</f>
        <v/>
      </c>
      <c r="C2298">
        <f>TEXT(B2298,"mmm yyyy")</f>
        <v/>
      </c>
      <c r="D2298">
        <f>"Q"&amp;(INT((A2298-1)/13)+1)</f>
        <v/>
      </c>
      <c r="E2298" t="inlineStr">
        <is>
          <t>FDM</t>
        </is>
      </c>
      <c r="F2298">
        <f>IFERROR(INDEX(ChFormat,MATCH(E2298,ChName,0)),"")</f>
        <v/>
      </c>
      <c r="G2298" t="inlineStr">
        <is>
          <t>MB</t>
        </is>
      </c>
      <c r="H2298">
        <f>IF(A2298&lt;=NWeeks,1,0)</f>
        <v/>
      </c>
      <c r="I2298">
        <f>INDEX(ChLaunch,MATCH(E2298,ChName,0))</f>
        <v/>
      </c>
      <c r="J2298">
        <f>INDEX(ChWeeksFull,MATCH(E2298,ChName,0))</f>
        <v/>
      </c>
      <c r="K2298">
        <f>INDEX(ChRamp,MATCH(E2298,ChName,0))</f>
        <v/>
      </c>
      <c r="L2298" s="45">
        <f>MIN(1,MAX(0,(A2298-I2298+1)*RampSpeed/J2298))</f>
        <v/>
      </c>
      <c r="M2298" s="45">
        <f>IF(A2298&lt;I2298,0,IF(K2298="S-curve",L2298*L2298*(3-2*L2298),L2298))</f>
        <v/>
      </c>
      <c r="N2298" s="45">
        <f>1+(INDEX(SeasonIdx,A2298)-1)*SeasonAmp</f>
        <v/>
      </c>
      <c r="O2298" s="45">
        <f>IFERROR(INDEX(PSPct,MATCH(E2298&amp;"|"&amp;G2298,PSKey,0)),0)</f>
        <v/>
      </c>
      <c r="P2298" s="46">
        <f>INDEX(ChDoorVel,MATCH(E2298,ChName,0))*CalibScalar*(1+VelocityUplift)</f>
        <v/>
      </c>
      <c r="Q2298" s="46" t="n">
        <v>0</v>
      </c>
      <c r="R2298" s="46">
        <f>P2298*O2298*M2298*N2298*H2298</f>
        <v/>
      </c>
      <c r="S2298" s="46">
        <f>R2298*INDEX(FmtCansPerCase,MATCH(F2298,FmtName,0))</f>
        <v/>
      </c>
      <c r="T2298" s="46">
        <f>S2298/INDEX(FmtCansPerPack,MATCH(F2298,FmtName,0))</f>
        <v/>
      </c>
      <c r="U2298" s="47">
        <f>INDEX(ChBaseCP,MATCH(E2298,ChName,0))*(1+INDEX(ProvMod,MATCH(G2298,ProvCode,0)))*(1+PriceIndex)</f>
        <v/>
      </c>
      <c r="V2298" s="47">
        <f>R2298*U2298*INDEX(FmtBlendedPriceIdx,MATCH(F2298,FmtName,0))</f>
        <v/>
      </c>
      <c r="W2298" s="47">
        <f>T2298*INDEX(ProvSRP,MATCH(G2298,ProvCode,0))*(1+PriceIndex)</f>
        <v/>
      </c>
      <c r="X2298" s="47">
        <f>IF(GrossBasis="Wholesale",V2298,W2298)</f>
        <v/>
      </c>
      <c r="Y2298" s="47">
        <f>R2298*INDEX(FmtBlendedCogs,MATCH(F2298,FmtName,0))</f>
        <v/>
      </c>
      <c r="Z2298" s="47">
        <f>X2298-Y2298</f>
        <v/>
      </c>
    </row>
    <row r="2299">
      <c r="A2299" t="n">
        <v>19</v>
      </c>
      <c r="B2299" s="44">
        <f>FiscalStart+(A2299-1)*7</f>
        <v/>
      </c>
      <c r="C2299">
        <f>TEXT(B2299,"mmm yyyy")</f>
        <v/>
      </c>
      <c r="D2299">
        <f>"Q"&amp;(INT((A2299-1)/13)+1)</f>
        <v/>
      </c>
      <c r="E2299" t="inlineStr">
        <is>
          <t>FDM</t>
        </is>
      </c>
      <c r="F2299">
        <f>IFERROR(INDEX(ChFormat,MATCH(E2299,ChName,0)),"")</f>
        <v/>
      </c>
      <c r="G2299" t="inlineStr">
        <is>
          <t>MB</t>
        </is>
      </c>
      <c r="H2299">
        <f>IF(A2299&lt;=NWeeks,1,0)</f>
        <v/>
      </c>
      <c r="I2299">
        <f>INDEX(ChLaunch,MATCH(E2299,ChName,0))</f>
        <v/>
      </c>
      <c r="J2299">
        <f>INDEX(ChWeeksFull,MATCH(E2299,ChName,0))</f>
        <v/>
      </c>
      <c r="K2299">
        <f>INDEX(ChRamp,MATCH(E2299,ChName,0))</f>
        <v/>
      </c>
      <c r="L2299" s="45">
        <f>MIN(1,MAX(0,(A2299-I2299+1)*RampSpeed/J2299))</f>
        <v/>
      </c>
      <c r="M2299" s="45">
        <f>IF(A2299&lt;I2299,0,IF(K2299="S-curve",L2299*L2299*(3-2*L2299),L2299))</f>
        <v/>
      </c>
      <c r="N2299" s="45">
        <f>1+(INDEX(SeasonIdx,A2299)-1)*SeasonAmp</f>
        <v/>
      </c>
      <c r="O2299" s="45">
        <f>IFERROR(INDEX(PSPct,MATCH(E2299&amp;"|"&amp;G2299,PSKey,0)),0)</f>
        <v/>
      </c>
      <c r="P2299" s="46">
        <f>INDEX(ChDoorVel,MATCH(E2299,ChName,0))*CalibScalar*(1+VelocityUplift)</f>
        <v/>
      </c>
      <c r="Q2299" s="46" t="n">
        <v>0</v>
      </c>
      <c r="R2299" s="46">
        <f>P2299*O2299*M2299*N2299*H2299</f>
        <v/>
      </c>
      <c r="S2299" s="46">
        <f>R2299*INDEX(FmtCansPerCase,MATCH(F2299,FmtName,0))</f>
        <v/>
      </c>
      <c r="T2299" s="46">
        <f>S2299/INDEX(FmtCansPerPack,MATCH(F2299,FmtName,0))</f>
        <v/>
      </c>
      <c r="U2299" s="47">
        <f>INDEX(ChBaseCP,MATCH(E2299,ChName,0))*(1+INDEX(ProvMod,MATCH(G2299,ProvCode,0)))*(1+PriceIndex)</f>
        <v/>
      </c>
      <c r="V2299" s="47">
        <f>R2299*U2299*INDEX(FmtBlendedPriceIdx,MATCH(F2299,FmtName,0))</f>
        <v/>
      </c>
      <c r="W2299" s="47">
        <f>T2299*INDEX(ProvSRP,MATCH(G2299,ProvCode,0))*(1+PriceIndex)</f>
        <v/>
      </c>
      <c r="X2299" s="47">
        <f>IF(GrossBasis="Wholesale",V2299,W2299)</f>
        <v/>
      </c>
      <c r="Y2299" s="47">
        <f>R2299*INDEX(FmtBlendedCogs,MATCH(F2299,FmtName,0))</f>
        <v/>
      </c>
      <c r="Z2299" s="47">
        <f>X2299-Y2299</f>
        <v/>
      </c>
    </row>
    <row r="2300">
      <c r="A2300" t="n">
        <v>20</v>
      </c>
      <c r="B2300" s="44">
        <f>FiscalStart+(A2300-1)*7</f>
        <v/>
      </c>
      <c r="C2300">
        <f>TEXT(B2300,"mmm yyyy")</f>
        <v/>
      </c>
      <c r="D2300">
        <f>"Q"&amp;(INT((A2300-1)/13)+1)</f>
        <v/>
      </c>
      <c r="E2300" t="inlineStr">
        <is>
          <t>FDM</t>
        </is>
      </c>
      <c r="F2300">
        <f>IFERROR(INDEX(ChFormat,MATCH(E2300,ChName,0)),"")</f>
        <v/>
      </c>
      <c r="G2300" t="inlineStr">
        <is>
          <t>MB</t>
        </is>
      </c>
      <c r="H2300">
        <f>IF(A2300&lt;=NWeeks,1,0)</f>
        <v/>
      </c>
      <c r="I2300">
        <f>INDEX(ChLaunch,MATCH(E2300,ChName,0))</f>
        <v/>
      </c>
      <c r="J2300">
        <f>INDEX(ChWeeksFull,MATCH(E2300,ChName,0))</f>
        <v/>
      </c>
      <c r="K2300">
        <f>INDEX(ChRamp,MATCH(E2300,ChName,0))</f>
        <v/>
      </c>
      <c r="L2300" s="45">
        <f>MIN(1,MAX(0,(A2300-I2300+1)*RampSpeed/J2300))</f>
        <v/>
      </c>
      <c r="M2300" s="45">
        <f>IF(A2300&lt;I2300,0,IF(K2300="S-curve",L2300*L2300*(3-2*L2300),L2300))</f>
        <v/>
      </c>
      <c r="N2300" s="45">
        <f>1+(INDEX(SeasonIdx,A2300)-1)*SeasonAmp</f>
        <v/>
      </c>
      <c r="O2300" s="45">
        <f>IFERROR(INDEX(PSPct,MATCH(E2300&amp;"|"&amp;G2300,PSKey,0)),0)</f>
        <v/>
      </c>
      <c r="P2300" s="46">
        <f>INDEX(ChDoorVel,MATCH(E2300,ChName,0))*CalibScalar*(1+VelocityUplift)</f>
        <v/>
      </c>
      <c r="Q2300" s="46" t="n">
        <v>0</v>
      </c>
      <c r="R2300" s="46">
        <f>P2300*O2300*M2300*N2300*H2300</f>
        <v/>
      </c>
      <c r="S2300" s="46">
        <f>R2300*INDEX(FmtCansPerCase,MATCH(F2300,FmtName,0))</f>
        <v/>
      </c>
      <c r="T2300" s="46">
        <f>S2300/INDEX(FmtCansPerPack,MATCH(F2300,FmtName,0))</f>
        <v/>
      </c>
      <c r="U2300" s="47">
        <f>INDEX(ChBaseCP,MATCH(E2300,ChName,0))*(1+INDEX(ProvMod,MATCH(G2300,ProvCode,0)))*(1+PriceIndex)</f>
        <v/>
      </c>
      <c r="V2300" s="47">
        <f>R2300*U2300*INDEX(FmtBlendedPriceIdx,MATCH(F2300,FmtName,0))</f>
        <v/>
      </c>
      <c r="W2300" s="47">
        <f>T2300*INDEX(ProvSRP,MATCH(G2300,ProvCode,0))*(1+PriceIndex)</f>
        <v/>
      </c>
      <c r="X2300" s="47">
        <f>IF(GrossBasis="Wholesale",V2300,W2300)</f>
        <v/>
      </c>
      <c r="Y2300" s="47">
        <f>R2300*INDEX(FmtBlendedCogs,MATCH(F2300,FmtName,0))</f>
        <v/>
      </c>
      <c r="Z2300" s="47">
        <f>X2300-Y2300</f>
        <v/>
      </c>
    </row>
    <row r="2301">
      <c r="A2301" t="n">
        <v>21</v>
      </c>
      <c r="B2301" s="44">
        <f>FiscalStart+(A2301-1)*7</f>
        <v/>
      </c>
      <c r="C2301">
        <f>TEXT(B2301,"mmm yyyy")</f>
        <v/>
      </c>
      <c r="D2301">
        <f>"Q"&amp;(INT((A2301-1)/13)+1)</f>
        <v/>
      </c>
      <c r="E2301" t="inlineStr">
        <is>
          <t>FDM</t>
        </is>
      </c>
      <c r="F2301">
        <f>IFERROR(INDEX(ChFormat,MATCH(E2301,ChName,0)),"")</f>
        <v/>
      </c>
      <c r="G2301" t="inlineStr">
        <is>
          <t>MB</t>
        </is>
      </c>
      <c r="H2301">
        <f>IF(A2301&lt;=NWeeks,1,0)</f>
        <v/>
      </c>
      <c r="I2301">
        <f>INDEX(ChLaunch,MATCH(E2301,ChName,0))</f>
        <v/>
      </c>
      <c r="J2301">
        <f>INDEX(ChWeeksFull,MATCH(E2301,ChName,0))</f>
        <v/>
      </c>
      <c r="K2301">
        <f>INDEX(ChRamp,MATCH(E2301,ChName,0))</f>
        <v/>
      </c>
      <c r="L2301" s="45">
        <f>MIN(1,MAX(0,(A2301-I2301+1)*RampSpeed/J2301))</f>
        <v/>
      </c>
      <c r="M2301" s="45">
        <f>IF(A2301&lt;I2301,0,IF(K2301="S-curve",L2301*L2301*(3-2*L2301),L2301))</f>
        <v/>
      </c>
      <c r="N2301" s="45">
        <f>1+(INDEX(SeasonIdx,A2301)-1)*SeasonAmp</f>
        <v/>
      </c>
      <c r="O2301" s="45">
        <f>IFERROR(INDEX(PSPct,MATCH(E2301&amp;"|"&amp;G2301,PSKey,0)),0)</f>
        <v/>
      </c>
      <c r="P2301" s="46">
        <f>INDEX(ChDoorVel,MATCH(E2301,ChName,0))*CalibScalar*(1+VelocityUplift)</f>
        <v/>
      </c>
      <c r="Q2301" s="46" t="n">
        <v>0</v>
      </c>
      <c r="R2301" s="46">
        <f>P2301*O2301*M2301*N2301*H2301</f>
        <v/>
      </c>
      <c r="S2301" s="46">
        <f>R2301*INDEX(FmtCansPerCase,MATCH(F2301,FmtName,0))</f>
        <v/>
      </c>
      <c r="T2301" s="46">
        <f>S2301/INDEX(FmtCansPerPack,MATCH(F2301,FmtName,0))</f>
        <v/>
      </c>
      <c r="U2301" s="47">
        <f>INDEX(ChBaseCP,MATCH(E2301,ChName,0))*(1+INDEX(ProvMod,MATCH(G2301,ProvCode,0)))*(1+PriceIndex)</f>
        <v/>
      </c>
      <c r="V2301" s="47">
        <f>R2301*U2301*INDEX(FmtBlendedPriceIdx,MATCH(F2301,FmtName,0))</f>
        <v/>
      </c>
      <c r="W2301" s="47">
        <f>T2301*INDEX(ProvSRP,MATCH(G2301,ProvCode,0))*(1+PriceIndex)</f>
        <v/>
      </c>
      <c r="X2301" s="47">
        <f>IF(GrossBasis="Wholesale",V2301,W2301)</f>
        <v/>
      </c>
      <c r="Y2301" s="47">
        <f>R2301*INDEX(FmtBlendedCogs,MATCH(F2301,FmtName,0))</f>
        <v/>
      </c>
      <c r="Z2301" s="47">
        <f>X2301-Y2301</f>
        <v/>
      </c>
    </row>
    <row r="2302">
      <c r="A2302" t="n">
        <v>22</v>
      </c>
      <c r="B2302" s="44">
        <f>FiscalStart+(A2302-1)*7</f>
        <v/>
      </c>
      <c r="C2302">
        <f>TEXT(B2302,"mmm yyyy")</f>
        <v/>
      </c>
      <c r="D2302">
        <f>"Q"&amp;(INT((A2302-1)/13)+1)</f>
        <v/>
      </c>
      <c r="E2302" t="inlineStr">
        <is>
          <t>FDM</t>
        </is>
      </c>
      <c r="F2302">
        <f>IFERROR(INDEX(ChFormat,MATCH(E2302,ChName,0)),"")</f>
        <v/>
      </c>
      <c r="G2302" t="inlineStr">
        <is>
          <t>MB</t>
        </is>
      </c>
      <c r="H2302">
        <f>IF(A2302&lt;=NWeeks,1,0)</f>
        <v/>
      </c>
      <c r="I2302">
        <f>INDEX(ChLaunch,MATCH(E2302,ChName,0))</f>
        <v/>
      </c>
      <c r="J2302">
        <f>INDEX(ChWeeksFull,MATCH(E2302,ChName,0))</f>
        <v/>
      </c>
      <c r="K2302">
        <f>INDEX(ChRamp,MATCH(E2302,ChName,0))</f>
        <v/>
      </c>
      <c r="L2302" s="45">
        <f>MIN(1,MAX(0,(A2302-I2302+1)*RampSpeed/J2302))</f>
        <v/>
      </c>
      <c r="M2302" s="45">
        <f>IF(A2302&lt;I2302,0,IF(K2302="S-curve",L2302*L2302*(3-2*L2302),L2302))</f>
        <v/>
      </c>
      <c r="N2302" s="45">
        <f>1+(INDEX(SeasonIdx,A2302)-1)*SeasonAmp</f>
        <v/>
      </c>
      <c r="O2302" s="45">
        <f>IFERROR(INDEX(PSPct,MATCH(E2302&amp;"|"&amp;G2302,PSKey,0)),0)</f>
        <v/>
      </c>
      <c r="P2302" s="46">
        <f>INDEX(ChDoorVel,MATCH(E2302,ChName,0))*CalibScalar*(1+VelocityUplift)</f>
        <v/>
      </c>
      <c r="Q2302" s="46" t="n">
        <v>0</v>
      </c>
      <c r="R2302" s="46">
        <f>P2302*O2302*M2302*N2302*H2302</f>
        <v/>
      </c>
      <c r="S2302" s="46">
        <f>R2302*INDEX(FmtCansPerCase,MATCH(F2302,FmtName,0))</f>
        <v/>
      </c>
      <c r="T2302" s="46">
        <f>S2302/INDEX(FmtCansPerPack,MATCH(F2302,FmtName,0))</f>
        <v/>
      </c>
      <c r="U2302" s="47">
        <f>INDEX(ChBaseCP,MATCH(E2302,ChName,0))*(1+INDEX(ProvMod,MATCH(G2302,ProvCode,0)))*(1+PriceIndex)</f>
        <v/>
      </c>
      <c r="V2302" s="47">
        <f>R2302*U2302*INDEX(FmtBlendedPriceIdx,MATCH(F2302,FmtName,0))</f>
        <v/>
      </c>
      <c r="W2302" s="47">
        <f>T2302*INDEX(ProvSRP,MATCH(G2302,ProvCode,0))*(1+PriceIndex)</f>
        <v/>
      </c>
      <c r="X2302" s="47">
        <f>IF(GrossBasis="Wholesale",V2302,W2302)</f>
        <v/>
      </c>
      <c r="Y2302" s="47">
        <f>R2302*INDEX(FmtBlendedCogs,MATCH(F2302,FmtName,0))</f>
        <v/>
      </c>
      <c r="Z2302" s="47">
        <f>X2302-Y2302</f>
        <v/>
      </c>
    </row>
    <row r="2303">
      <c r="A2303" t="n">
        <v>23</v>
      </c>
      <c r="B2303" s="44">
        <f>FiscalStart+(A2303-1)*7</f>
        <v/>
      </c>
      <c r="C2303">
        <f>TEXT(B2303,"mmm yyyy")</f>
        <v/>
      </c>
      <c r="D2303">
        <f>"Q"&amp;(INT((A2303-1)/13)+1)</f>
        <v/>
      </c>
      <c r="E2303" t="inlineStr">
        <is>
          <t>FDM</t>
        </is>
      </c>
      <c r="F2303">
        <f>IFERROR(INDEX(ChFormat,MATCH(E2303,ChName,0)),"")</f>
        <v/>
      </c>
      <c r="G2303" t="inlineStr">
        <is>
          <t>MB</t>
        </is>
      </c>
      <c r="H2303">
        <f>IF(A2303&lt;=NWeeks,1,0)</f>
        <v/>
      </c>
      <c r="I2303">
        <f>INDEX(ChLaunch,MATCH(E2303,ChName,0))</f>
        <v/>
      </c>
      <c r="J2303">
        <f>INDEX(ChWeeksFull,MATCH(E2303,ChName,0))</f>
        <v/>
      </c>
      <c r="K2303">
        <f>INDEX(ChRamp,MATCH(E2303,ChName,0))</f>
        <v/>
      </c>
      <c r="L2303" s="45">
        <f>MIN(1,MAX(0,(A2303-I2303+1)*RampSpeed/J2303))</f>
        <v/>
      </c>
      <c r="M2303" s="45">
        <f>IF(A2303&lt;I2303,0,IF(K2303="S-curve",L2303*L2303*(3-2*L2303),L2303))</f>
        <v/>
      </c>
      <c r="N2303" s="45">
        <f>1+(INDEX(SeasonIdx,A2303)-1)*SeasonAmp</f>
        <v/>
      </c>
      <c r="O2303" s="45">
        <f>IFERROR(INDEX(PSPct,MATCH(E2303&amp;"|"&amp;G2303,PSKey,0)),0)</f>
        <v/>
      </c>
      <c r="P2303" s="46">
        <f>INDEX(ChDoorVel,MATCH(E2303,ChName,0))*CalibScalar*(1+VelocityUplift)</f>
        <v/>
      </c>
      <c r="Q2303" s="46" t="n">
        <v>0</v>
      </c>
      <c r="R2303" s="46">
        <f>P2303*O2303*M2303*N2303*H2303</f>
        <v/>
      </c>
      <c r="S2303" s="46">
        <f>R2303*INDEX(FmtCansPerCase,MATCH(F2303,FmtName,0))</f>
        <v/>
      </c>
      <c r="T2303" s="46">
        <f>S2303/INDEX(FmtCansPerPack,MATCH(F2303,FmtName,0))</f>
        <v/>
      </c>
      <c r="U2303" s="47">
        <f>INDEX(ChBaseCP,MATCH(E2303,ChName,0))*(1+INDEX(ProvMod,MATCH(G2303,ProvCode,0)))*(1+PriceIndex)</f>
        <v/>
      </c>
      <c r="V2303" s="47">
        <f>R2303*U2303*INDEX(FmtBlendedPriceIdx,MATCH(F2303,FmtName,0))</f>
        <v/>
      </c>
      <c r="W2303" s="47">
        <f>T2303*INDEX(ProvSRP,MATCH(G2303,ProvCode,0))*(1+PriceIndex)</f>
        <v/>
      </c>
      <c r="X2303" s="47">
        <f>IF(GrossBasis="Wholesale",V2303,W2303)</f>
        <v/>
      </c>
      <c r="Y2303" s="47">
        <f>R2303*INDEX(FmtBlendedCogs,MATCH(F2303,FmtName,0))</f>
        <v/>
      </c>
      <c r="Z2303" s="47">
        <f>X2303-Y2303</f>
        <v/>
      </c>
    </row>
    <row r="2304">
      <c r="A2304" t="n">
        <v>24</v>
      </c>
      <c r="B2304" s="44">
        <f>FiscalStart+(A2304-1)*7</f>
        <v/>
      </c>
      <c r="C2304">
        <f>TEXT(B2304,"mmm yyyy")</f>
        <v/>
      </c>
      <c r="D2304">
        <f>"Q"&amp;(INT((A2304-1)/13)+1)</f>
        <v/>
      </c>
      <c r="E2304" t="inlineStr">
        <is>
          <t>FDM</t>
        </is>
      </c>
      <c r="F2304">
        <f>IFERROR(INDEX(ChFormat,MATCH(E2304,ChName,0)),"")</f>
        <v/>
      </c>
      <c r="G2304" t="inlineStr">
        <is>
          <t>MB</t>
        </is>
      </c>
      <c r="H2304">
        <f>IF(A2304&lt;=NWeeks,1,0)</f>
        <v/>
      </c>
      <c r="I2304">
        <f>INDEX(ChLaunch,MATCH(E2304,ChName,0))</f>
        <v/>
      </c>
      <c r="J2304">
        <f>INDEX(ChWeeksFull,MATCH(E2304,ChName,0))</f>
        <v/>
      </c>
      <c r="K2304">
        <f>INDEX(ChRamp,MATCH(E2304,ChName,0))</f>
        <v/>
      </c>
      <c r="L2304" s="45">
        <f>MIN(1,MAX(0,(A2304-I2304+1)*RampSpeed/J2304))</f>
        <v/>
      </c>
      <c r="M2304" s="45">
        <f>IF(A2304&lt;I2304,0,IF(K2304="S-curve",L2304*L2304*(3-2*L2304),L2304))</f>
        <v/>
      </c>
      <c r="N2304" s="45">
        <f>1+(INDEX(SeasonIdx,A2304)-1)*SeasonAmp</f>
        <v/>
      </c>
      <c r="O2304" s="45">
        <f>IFERROR(INDEX(PSPct,MATCH(E2304&amp;"|"&amp;G2304,PSKey,0)),0)</f>
        <v/>
      </c>
      <c r="P2304" s="46">
        <f>INDEX(ChDoorVel,MATCH(E2304,ChName,0))*CalibScalar*(1+VelocityUplift)</f>
        <v/>
      </c>
      <c r="Q2304" s="46" t="n">
        <v>0</v>
      </c>
      <c r="R2304" s="46">
        <f>P2304*O2304*M2304*N2304*H2304</f>
        <v/>
      </c>
      <c r="S2304" s="46">
        <f>R2304*INDEX(FmtCansPerCase,MATCH(F2304,FmtName,0))</f>
        <v/>
      </c>
      <c r="T2304" s="46">
        <f>S2304/INDEX(FmtCansPerPack,MATCH(F2304,FmtName,0))</f>
        <v/>
      </c>
      <c r="U2304" s="47">
        <f>INDEX(ChBaseCP,MATCH(E2304,ChName,0))*(1+INDEX(ProvMod,MATCH(G2304,ProvCode,0)))*(1+PriceIndex)</f>
        <v/>
      </c>
      <c r="V2304" s="47">
        <f>R2304*U2304*INDEX(FmtBlendedPriceIdx,MATCH(F2304,FmtName,0))</f>
        <v/>
      </c>
      <c r="W2304" s="47">
        <f>T2304*INDEX(ProvSRP,MATCH(G2304,ProvCode,0))*(1+PriceIndex)</f>
        <v/>
      </c>
      <c r="X2304" s="47">
        <f>IF(GrossBasis="Wholesale",V2304,W2304)</f>
        <v/>
      </c>
      <c r="Y2304" s="47">
        <f>R2304*INDEX(FmtBlendedCogs,MATCH(F2304,FmtName,0))</f>
        <v/>
      </c>
      <c r="Z2304" s="47">
        <f>X2304-Y2304</f>
        <v/>
      </c>
    </row>
    <row r="2305">
      <c r="A2305" t="n">
        <v>25</v>
      </c>
      <c r="B2305" s="44">
        <f>FiscalStart+(A2305-1)*7</f>
        <v/>
      </c>
      <c r="C2305">
        <f>TEXT(B2305,"mmm yyyy")</f>
        <v/>
      </c>
      <c r="D2305">
        <f>"Q"&amp;(INT((A2305-1)/13)+1)</f>
        <v/>
      </c>
      <c r="E2305" t="inlineStr">
        <is>
          <t>FDM</t>
        </is>
      </c>
      <c r="F2305">
        <f>IFERROR(INDEX(ChFormat,MATCH(E2305,ChName,0)),"")</f>
        <v/>
      </c>
      <c r="G2305" t="inlineStr">
        <is>
          <t>MB</t>
        </is>
      </c>
      <c r="H2305">
        <f>IF(A2305&lt;=NWeeks,1,0)</f>
        <v/>
      </c>
      <c r="I2305">
        <f>INDEX(ChLaunch,MATCH(E2305,ChName,0))</f>
        <v/>
      </c>
      <c r="J2305">
        <f>INDEX(ChWeeksFull,MATCH(E2305,ChName,0))</f>
        <v/>
      </c>
      <c r="K2305">
        <f>INDEX(ChRamp,MATCH(E2305,ChName,0))</f>
        <v/>
      </c>
      <c r="L2305" s="45">
        <f>MIN(1,MAX(0,(A2305-I2305+1)*RampSpeed/J2305))</f>
        <v/>
      </c>
      <c r="M2305" s="45">
        <f>IF(A2305&lt;I2305,0,IF(K2305="S-curve",L2305*L2305*(3-2*L2305),L2305))</f>
        <v/>
      </c>
      <c r="N2305" s="45">
        <f>1+(INDEX(SeasonIdx,A2305)-1)*SeasonAmp</f>
        <v/>
      </c>
      <c r="O2305" s="45">
        <f>IFERROR(INDEX(PSPct,MATCH(E2305&amp;"|"&amp;G2305,PSKey,0)),0)</f>
        <v/>
      </c>
      <c r="P2305" s="46">
        <f>INDEX(ChDoorVel,MATCH(E2305,ChName,0))*CalibScalar*(1+VelocityUplift)</f>
        <v/>
      </c>
      <c r="Q2305" s="46" t="n">
        <v>0</v>
      </c>
      <c r="R2305" s="46">
        <f>P2305*O2305*M2305*N2305*H2305</f>
        <v/>
      </c>
      <c r="S2305" s="46">
        <f>R2305*INDEX(FmtCansPerCase,MATCH(F2305,FmtName,0))</f>
        <v/>
      </c>
      <c r="T2305" s="46">
        <f>S2305/INDEX(FmtCansPerPack,MATCH(F2305,FmtName,0))</f>
        <v/>
      </c>
      <c r="U2305" s="47">
        <f>INDEX(ChBaseCP,MATCH(E2305,ChName,0))*(1+INDEX(ProvMod,MATCH(G2305,ProvCode,0)))*(1+PriceIndex)</f>
        <v/>
      </c>
      <c r="V2305" s="47">
        <f>R2305*U2305*INDEX(FmtBlendedPriceIdx,MATCH(F2305,FmtName,0))</f>
        <v/>
      </c>
      <c r="W2305" s="47">
        <f>T2305*INDEX(ProvSRP,MATCH(G2305,ProvCode,0))*(1+PriceIndex)</f>
        <v/>
      </c>
      <c r="X2305" s="47">
        <f>IF(GrossBasis="Wholesale",V2305,W2305)</f>
        <v/>
      </c>
      <c r="Y2305" s="47">
        <f>R2305*INDEX(FmtBlendedCogs,MATCH(F2305,FmtName,0))</f>
        <v/>
      </c>
      <c r="Z2305" s="47">
        <f>X2305-Y2305</f>
        <v/>
      </c>
    </row>
    <row r="2306">
      <c r="A2306" t="n">
        <v>26</v>
      </c>
      <c r="B2306" s="44">
        <f>FiscalStart+(A2306-1)*7</f>
        <v/>
      </c>
      <c r="C2306">
        <f>TEXT(B2306,"mmm yyyy")</f>
        <v/>
      </c>
      <c r="D2306">
        <f>"Q"&amp;(INT((A2306-1)/13)+1)</f>
        <v/>
      </c>
      <c r="E2306" t="inlineStr">
        <is>
          <t>FDM</t>
        </is>
      </c>
      <c r="F2306">
        <f>IFERROR(INDEX(ChFormat,MATCH(E2306,ChName,0)),"")</f>
        <v/>
      </c>
      <c r="G2306" t="inlineStr">
        <is>
          <t>MB</t>
        </is>
      </c>
      <c r="H2306">
        <f>IF(A2306&lt;=NWeeks,1,0)</f>
        <v/>
      </c>
      <c r="I2306">
        <f>INDEX(ChLaunch,MATCH(E2306,ChName,0))</f>
        <v/>
      </c>
      <c r="J2306">
        <f>INDEX(ChWeeksFull,MATCH(E2306,ChName,0))</f>
        <v/>
      </c>
      <c r="K2306">
        <f>INDEX(ChRamp,MATCH(E2306,ChName,0))</f>
        <v/>
      </c>
      <c r="L2306" s="45">
        <f>MIN(1,MAX(0,(A2306-I2306+1)*RampSpeed/J2306))</f>
        <v/>
      </c>
      <c r="M2306" s="45">
        <f>IF(A2306&lt;I2306,0,IF(K2306="S-curve",L2306*L2306*(3-2*L2306),L2306))</f>
        <v/>
      </c>
      <c r="N2306" s="45">
        <f>1+(INDEX(SeasonIdx,A2306)-1)*SeasonAmp</f>
        <v/>
      </c>
      <c r="O2306" s="45">
        <f>IFERROR(INDEX(PSPct,MATCH(E2306&amp;"|"&amp;G2306,PSKey,0)),0)</f>
        <v/>
      </c>
      <c r="P2306" s="46">
        <f>INDEX(ChDoorVel,MATCH(E2306,ChName,0))*CalibScalar*(1+VelocityUplift)</f>
        <v/>
      </c>
      <c r="Q2306" s="46" t="n">
        <v>0</v>
      </c>
      <c r="R2306" s="46">
        <f>P2306*O2306*M2306*N2306*H2306</f>
        <v/>
      </c>
      <c r="S2306" s="46">
        <f>R2306*INDEX(FmtCansPerCase,MATCH(F2306,FmtName,0))</f>
        <v/>
      </c>
      <c r="T2306" s="46">
        <f>S2306/INDEX(FmtCansPerPack,MATCH(F2306,FmtName,0))</f>
        <v/>
      </c>
      <c r="U2306" s="47">
        <f>INDEX(ChBaseCP,MATCH(E2306,ChName,0))*(1+INDEX(ProvMod,MATCH(G2306,ProvCode,0)))*(1+PriceIndex)</f>
        <v/>
      </c>
      <c r="V2306" s="47">
        <f>R2306*U2306*INDEX(FmtBlendedPriceIdx,MATCH(F2306,FmtName,0))</f>
        <v/>
      </c>
      <c r="W2306" s="47">
        <f>T2306*INDEX(ProvSRP,MATCH(G2306,ProvCode,0))*(1+PriceIndex)</f>
        <v/>
      </c>
      <c r="X2306" s="47">
        <f>IF(GrossBasis="Wholesale",V2306,W2306)</f>
        <v/>
      </c>
      <c r="Y2306" s="47">
        <f>R2306*INDEX(FmtBlendedCogs,MATCH(F2306,FmtName,0))</f>
        <v/>
      </c>
      <c r="Z2306" s="47">
        <f>X2306-Y2306</f>
        <v/>
      </c>
    </row>
    <row r="2307">
      <c r="A2307" t="n">
        <v>27</v>
      </c>
      <c r="B2307" s="44">
        <f>FiscalStart+(A2307-1)*7</f>
        <v/>
      </c>
      <c r="C2307">
        <f>TEXT(B2307,"mmm yyyy")</f>
        <v/>
      </c>
      <c r="D2307">
        <f>"Q"&amp;(INT((A2307-1)/13)+1)</f>
        <v/>
      </c>
      <c r="E2307" t="inlineStr">
        <is>
          <t>FDM</t>
        </is>
      </c>
      <c r="F2307">
        <f>IFERROR(INDEX(ChFormat,MATCH(E2307,ChName,0)),"")</f>
        <v/>
      </c>
      <c r="G2307" t="inlineStr">
        <is>
          <t>MB</t>
        </is>
      </c>
      <c r="H2307">
        <f>IF(A2307&lt;=NWeeks,1,0)</f>
        <v/>
      </c>
      <c r="I2307">
        <f>INDEX(ChLaunch,MATCH(E2307,ChName,0))</f>
        <v/>
      </c>
      <c r="J2307">
        <f>INDEX(ChWeeksFull,MATCH(E2307,ChName,0))</f>
        <v/>
      </c>
      <c r="K2307">
        <f>INDEX(ChRamp,MATCH(E2307,ChName,0))</f>
        <v/>
      </c>
      <c r="L2307" s="45">
        <f>MIN(1,MAX(0,(A2307-I2307+1)*RampSpeed/J2307))</f>
        <v/>
      </c>
      <c r="M2307" s="45">
        <f>IF(A2307&lt;I2307,0,IF(K2307="S-curve",L2307*L2307*(3-2*L2307),L2307))</f>
        <v/>
      </c>
      <c r="N2307" s="45">
        <f>1+(INDEX(SeasonIdx,A2307)-1)*SeasonAmp</f>
        <v/>
      </c>
      <c r="O2307" s="45">
        <f>IFERROR(INDEX(PSPct,MATCH(E2307&amp;"|"&amp;G2307,PSKey,0)),0)</f>
        <v/>
      </c>
      <c r="P2307" s="46">
        <f>INDEX(ChDoorVel,MATCH(E2307,ChName,0))*CalibScalar*(1+VelocityUplift)</f>
        <v/>
      </c>
      <c r="Q2307" s="46" t="n">
        <v>0</v>
      </c>
      <c r="R2307" s="46">
        <f>P2307*O2307*M2307*N2307*H2307</f>
        <v/>
      </c>
      <c r="S2307" s="46">
        <f>R2307*INDEX(FmtCansPerCase,MATCH(F2307,FmtName,0))</f>
        <v/>
      </c>
      <c r="T2307" s="46">
        <f>S2307/INDEX(FmtCansPerPack,MATCH(F2307,FmtName,0))</f>
        <v/>
      </c>
      <c r="U2307" s="47">
        <f>INDEX(ChBaseCP,MATCH(E2307,ChName,0))*(1+INDEX(ProvMod,MATCH(G2307,ProvCode,0)))*(1+PriceIndex)</f>
        <v/>
      </c>
      <c r="V2307" s="47">
        <f>R2307*U2307*INDEX(FmtBlendedPriceIdx,MATCH(F2307,FmtName,0))</f>
        <v/>
      </c>
      <c r="W2307" s="47">
        <f>T2307*INDEX(ProvSRP,MATCH(G2307,ProvCode,0))*(1+PriceIndex)</f>
        <v/>
      </c>
      <c r="X2307" s="47">
        <f>IF(GrossBasis="Wholesale",V2307,W2307)</f>
        <v/>
      </c>
      <c r="Y2307" s="47">
        <f>R2307*INDEX(FmtBlendedCogs,MATCH(F2307,FmtName,0))</f>
        <v/>
      </c>
      <c r="Z2307" s="47">
        <f>X2307-Y2307</f>
        <v/>
      </c>
    </row>
    <row r="2308">
      <c r="A2308" t="n">
        <v>28</v>
      </c>
      <c r="B2308" s="44">
        <f>FiscalStart+(A2308-1)*7</f>
        <v/>
      </c>
      <c r="C2308">
        <f>TEXT(B2308,"mmm yyyy")</f>
        <v/>
      </c>
      <c r="D2308">
        <f>"Q"&amp;(INT((A2308-1)/13)+1)</f>
        <v/>
      </c>
      <c r="E2308" t="inlineStr">
        <is>
          <t>FDM</t>
        </is>
      </c>
      <c r="F2308">
        <f>IFERROR(INDEX(ChFormat,MATCH(E2308,ChName,0)),"")</f>
        <v/>
      </c>
      <c r="G2308" t="inlineStr">
        <is>
          <t>MB</t>
        </is>
      </c>
      <c r="H2308">
        <f>IF(A2308&lt;=NWeeks,1,0)</f>
        <v/>
      </c>
      <c r="I2308">
        <f>INDEX(ChLaunch,MATCH(E2308,ChName,0))</f>
        <v/>
      </c>
      <c r="J2308">
        <f>INDEX(ChWeeksFull,MATCH(E2308,ChName,0))</f>
        <v/>
      </c>
      <c r="K2308">
        <f>INDEX(ChRamp,MATCH(E2308,ChName,0))</f>
        <v/>
      </c>
      <c r="L2308" s="45">
        <f>MIN(1,MAX(0,(A2308-I2308+1)*RampSpeed/J2308))</f>
        <v/>
      </c>
      <c r="M2308" s="45">
        <f>IF(A2308&lt;I2308,0,IF(K2308="S-curve",L2308*L2308*(3-2*L2308),L2308))</f>
        <v/>
      </c>
      <c r="N2308" s="45">
        <f>1+(INDEX(SeasonIdx,A2308)-1)*SeasonAmp</f>
        <v/>
      </c>
      <c r="O2308" s="45">
        <f>IFERROR(INDEX(PSPct,MATCH(E2308&amp;"|"&amp;G2308,PSKey,0)),0)</f>
        <v/>
      </c>
      <c r="P2308" s="46">
        <f>INDEX(ChDoorVel,MATCH(E2308,ChName,0))*CalibScalar*(1+VelocityUplift)</f>
        <v/>
      </c>
      <c r="Q2308" s="46" t="n">
        <v>0</v>
      </c>
      <c r="R2308" s="46">
        <f>P2308*O2308*M2308*N2308*H2308</f>
        <v/>
      </c>
      <c r="S2308" s="46">
        <f>R2308*INDEX(FmtCansPerCase,MATCH(F2308,FmtName,0))</f>
        <v/>
      </c>
      <c r="T2308" s="46">
        <f>S2308/INDEX(FmtCansPerPack,MATCH(F2308,FmtName,0))</f>
        <v/>
      </c>
      <c r="U2308" s="47">
        <f>INDEX(ChBaseCP,MATCH(E2308,ChName,0))*(1+INDEX(ProvMod,MATCH(G2308,ProvCode,0)))*(1+PriceIndex)</f>
        <v/>
      </c>
      <c r="V2308" s="47">
        <f>R2308*U2308*INDEX(FmtBlendedPriceIdx,MATCH(F2308,FmtName,0))</f>
        <v/>
      </c>
      <c r="W2308" s="47">
        <f>T2308*INDEX(ProvSRP,MATCH(G2308,ProvCode,0))*(1+PriceIndex)</f>
        <v/>
      </c>
      <c r="X2308" s="47">
        <f>IF(GrossBasis="Wholesale",V2308,W2308)</f>
        <v/>
      </c>
      <c r="Y2308" s="47">
        <f>R2308*INDEX(FmtBlendedCogs,MATCH(F2308,FmtName,0))</f>
        <v/>
      </c>
      <c r="Z2308" s="47">
        <f>X2308-Y2308</f>
        <v/>
      </c>
    </row>
    <row r="2309">
      <c r="A2309" t="n">
        <v>29</v>
      </c>
      <c r="B2309" s="44">
        <f>FiscalStart+(A2309-1)*7</f>
        <v/>
      </c>
      <c r="C2309">
        <f>TEXT(B2309,"mmm yyyy")</f>
        <v/>
      </c>
      <c r="D2309">
        <f>"Q"&amp;(INT((A2309-1)/13)+1)</f>
        <v/>
      </c>
      <c r="E2309" t="inlineStr">
        <is>
          <t>FDM</t>
        </is>
      </c>
      <c r="F2309">
        <f>IFERROR(INDEX(ChFormat,MATCH(E2309,ChName,0)),"")</f>
        <v/>
      </c>
      <c r="G2309" t="inlineStr">
        <is>
          <t>MB</t>
        </is>
      </c>
      <c r="H2309">
        <f>IF(A2309&lt;=NWeeks,1,0)</f>
        <v/>
      </c>
      <c r="I2309">
        <f>INDEX(ChLaunch,MATCH(E2309,ChName,0))</f>
        <v/>
      </c>
      <c r="J2309">
        <f>INDEX(ChWeeksFull,MATCH(E2309,ChName,0))</f>
        <v/>
      </c>
      <c r="K2309">
        <f>INDEX(ChRamp,MATCH(E2309,ChName,0))</f>
        <v/>
      </c>
      <c r="L2309" s="45">
        <f>MIN(1,MAX(0,(A2309-I2309+1)*RampSpeed/J2309))</f>
        <v/>
      </c>
      <c r="M2309" s="45">
        <f>IF(A2309&lt;I2309,0,IF(K2309="S-curve",L2309*L2309*(3-2*L2309),L2309))</f>
        <v/>
      </c>
      <c r="N2309" s="45">
        <f>1+(INDEX(SeasonIdx,A2309)-1)*SeasonAmp</f>
        <v/>
      </c>
      <c r="O2309" s="45">
        <f>IFERROR(INDEX(PSPct,MATCH(E2309&amp;"|"&amp;G2309,PSKey,0)),0)</f>
        <v/>
      </c>
      <c r="P2309" s="46">
        <f>INDEX(ChDoorVel,MATCH(E2309,ChName,0))*CalibScalar*(1+VelocityUplift)</f>
        <v/>
      </c>
      <c r="Q2309" s="46" t="n">
        <v>0</v>
      </c>
      <c r="R2309" s="46">
        <f>P2309*O2309*M2309*N2309*H2309</f>
        <v/>
      </c>
      <c r="S2309" s="46">
        <f>R2309*INDEX(FmtCansPerCase,MATCH(F2309,FmtName,0))</f>
        <v/>
      </c>
      <c r="T2309" s="46">
        <f>S2309/INDEX(FmtCansPerPack,MATCH(F2309,FmtName,0))</f>
        <v/>
      </c>
      <c r="U2309" s="47">
        <f>INDEX(ChBaseCP,MATCH(E2309,ChName,0))*(1+INDEX(ProvMod,MATCH(G2309,ProvCode,0)))*(1+PriceIndex)</f>
        <v/>
      </c>
      <c r="V2309" s="47">
        <f>R2309*U2309*INDEX(FmtBlendedPriceIdx,MATCH(F2309,FmtName,0))</f>
        <v/>
      </c>
      <c r="W2309" s="47">
        <f>T2309*INDEX(ProvSRP,MATCH(G2309,ProvCode,0))*(1+PriceIndex)</f>
        <v/>
      </c>
      <c r="X2309" s="47">
        <f>IF(GrossBasis="Wholesale",V2309,W2309)</f>
        <v/>
      </c>
      <c r="Y2309" s="47">
        <f>R2309*INDEX(FmtBlendedCogs,MATCH(F2309,FmtName,0))</f>
        <v/>
      </c>
      <c r="Z2309" s="47">
        <f>X2309-Y2309</f>
        <v/>
      </c>
    </row>
    <row r="2310">
      <c r="A2310" t="n">
        <v>30</v>
      </c>
      <c r="B2310" s="44">
        <f>FiscalStart+(A2310-1)*7</f>
        <v/>
      </c>
      <c r="C2310">
        <f>TEXT(B2310,"mmm yyyy")</f>
        <v/>
      </c>
      <c r="D2310">
        <f>"Q"&amp;(INT((A2310-1)/13)+1)</f>
        <v/>
      </c>
      <c r="E2310" t="inlineStr">
        <is>
          <t>FDM</t>
        </is>
      </c>
      <c r="F2310">
        <f>IFERROR(INDEX(ChFormat,MATCH(E2310,ChName,0)),"")</f>
        <v/>
      </c>
      <c r="G2310" t="inlineStr">
        <is>
          <t>MB</t>
        </is>
      </c>
      <c r="H2310">
        <f>IF(A2310&lt;=NWeeks,1,0)</f>
        <v/>
      </c>
      <c r="I2310">
        <f>INDEX(ChLaunch,MATCH(E2310,ChName,0))</f>
        <v/>
      </c>
      <c r="J2310">
        <f>INDEX(ChWeeksFull,MATCH(E2310,ChName,0))</f>
        <v/>
      </c>
      <c r="K2310">
        <f>INDEX(ChRamp,MATCH(E2310,ChName,0))</f>
        <v/>
      </c>
      <c r="L2310" s="45">
        <f>MIN(1,MAX(0,(A2310-I2310+1)*RampSpeed/J2310))</f>
        <v/>
      </c>
      <c r="M2310" s="45">
        <f>IF(A2310&lt;I2310,0,IF(K2310="S-curve",L2310*L2310*(3-2*L2310),L2310))</f>
        <v/>
      </c>
      <c r="N2310" s="45">
        <f>1+(INDEX(SeasonIdx,A2310)-1)*SeasonAmp</f>
        <v/>
      </c>
      <c r="O2310" s="45">
        <f>IFERROR(INDEX(PSPct,MATCH(E2310&amp;"|"&amp;G2310,PSKey,0)),0)</f>
        <v/>
      </c>
      <c r="P2310" s="46">
        <f>INDEX(ChDoorVel,MATCH(E2310,ChName,0))*CalibScalar*(1+VelocityUplift)</f>
        <v/>
      </c>
      <c r="Q2310" s="46" t="n">
        <v>0</v>
      </c>
      <c r="R2310" s="46">
        <f>P2310*O2310*M2310*N2310*H2310</f>
        <v/>
      </c>
      <c r="S2310" s="46">
        <f>R2310*INDEX(FmtCansPerCase,MATCH(F2310,FmtName,0))</f>
        <v/>
      </c>
      <c r="T2310" s="46">
        <f>S2310/INDEX(FmtCansPerPack,MATCH(F2310,FmtName,0))</f>
        <v/>
      </c>
      <c r="U2310" s="47">
        <f>INDEX(ChBaseCP,MATCH(E2310,ChName,0))*(1+INDEX(ProvMod,MATCH(G2310,ProvCode,0)))*(1+PriceIndex)</f>
        <v/>
      </c>
      <c r="V2310" s="47">
        <f>R2310*U2310*INDEX(FmtBlendedPriceIdx,MATCH(F2310,FmtName,0))</f>
        <v/>
      </c>
      <c r="W2310" s="47">
        <f>T2310*INDEX(ProvSRP,MATCH(G2310,ProvCode,0))*(1+PriceIndex)</f>
        <v/>
      </c>
      <c r="X2310" s="47">
        <f>IF(GrossBasis="Wholesale",V2310,W2310)</f>
        <v/>
      </c>
      <c r="Y2310" s="47">
        <f>R2310*INDEX(FmtBlendedCogs,MATCH(F2310,FmtName,0))</f>
        <v/>
      </c>
      <c r="Z2310" s="47">
        <f>X2310-Y2310</f>
        <v/>
      </c>
    </row>
    <row r="2311">
      <c r="A2311" t="n">
        <v>31</v>
      </c>
      <c r="B2311" s="44">
        <f>FiscalStart+(A2311-1)*7</f>
        <v/>
      </c>
      <c r="C2311">
        <f>TEXT(B2311,"mmm yyyy")</f>
        <v/>
      </c>
      <c r="D2311">
        <f>"Q"&amp;(INT((A2311-1)/13)+1)</f>
        <v/>
      </c>
      <c r="E2311" t="inlineStr">
        <is>
          <t>FDM</t>
        </is>
      </c>
      <c r="F2311">
        <f>IFERROR(INDEX(ChFormat,MATCH(E2311,ChName,0)),"")</f>
        <v/>
      </c>
      <c r="G2311" t="inlineStr">
        <is>
          <t>MB</t>
        </is>
      </c>
      <c r="H2311">
        <f>IF(A2311&lt;=NWeeks,1,0)</f>
        <v/>
      </c>
      <c r="I2311">
        <f>INDEX(ChLaunch,MATCH(E2311,ChName,0))</f>
        <v/>
      </c>
      <c r="J2311">
        <f>INDEX(ChWeeksFull,MATCH(E2311,ChName,0))</f>
        <v/>
      </c>
      <c r="K2311">
        <f>INDEX(ChRamp,MATCH(E2311,ChName,0))</f>
        <v/>
      </c>
      <c r="L2311" s="45">
        <f>MIN(1,MAX(0,(A2311-I2311+1)*RampSpeed/J2311))</f>
        <v/>
      </c>
      <c r="M2311" s="45">
        <f>IF(A2311&lt;I2311,0,IF(K2311="S-curve",L2311*L2311*(3-2*L2311),L2311))</f>
        <v/>
      </c>
      <c r="N2311" s="45">
        <f>1+(INDEX(SeasonIdx,A2311)-1)*SeasonAmp</f>
        <v/>
      </c>
      <c r="O2311" s="45">
        <f>IFERROR(INDEX(PSPct,MATCH(E2311&amp;"|"&amp;G2311,PSKey,0)),0)</f>
        <v/>
      </c>
      <c r="P2311" s="46">
        <f>INDEX(ChDoorVel,MATCH(E2311,ChName,0))*CalibScalar*(1+VelocityUplift)</f>
        <v/>
      </c>
      <c r="Q2311" s="46" t="n">
        <v>0</v>
      </c>
      <c r="R2311" s="46">
        <f>P2311*O2311*M2311*N2311*H2311</f>
        <v/>
      </c>
      <c r="S2311" s="46">
        <f>R2311*INDEX(FmtCansPerCase,MATCH(F2311,FmtName,0))</f>
        <v/>
      </c>
      <c r="T2311" s="46">
        <f>S2311/INDEX(FmtCansPerPack,MATCH(F2311,FmtName,0))</f>
        <v/>
      </c>
      <c r="U2311" s="47">
        <f>INDEX(ChBaseCP,MATCH(E2311,ChName,0))*(1+INDEX(ProvMod,MATCH(G2311,ProvCode,0)))*(1+PriceIndex)</f>
        <v/>
      </c>
      <c r="V2311" s="47">
        <f>R2311*U2311*INDEX(FmtBlendedPriceIdx,MATCH(F2311,FmtName,0))</f>
        <v/>
      </c>
      <c r="W2311" s="47">
        <f>T2311*INDEX(ProvSRP,MATCH(G2311,ProvCode,0))*(1+PriceIndex)</f>
        <v/>
      </c>
      <c r="X2311" s="47">
        <f>IF(GrossBasis="Wholesale",V2311,W2311)</f>
        <v/>
      </c>
      <c r="Y2311" s="47">
        <f>R2311*INDEX(FmtBlendedCogs,MATCH(F2311,FmtName,0))</f>
        <v/>
      </c>
      <c r="Z2311" s="47">
        <f>X2311-Y2311</f>
        <v/>
      </c>
    </row>
    <row r="2312">
      <c r="A2312" t="n">
        <v>32</v>
      </c>
      <c r="B2312" s="44">
        <f>FiscalStart+(A2312-1)*7</f>
        <v/>
      </c>
      <c r="C2312">
        <f>TEXT(B2312,"mmm yyyy")</f>
        <v/>
      </c>
      <c r="D2312">
        <f>"Q"&amp;(INT((A2312-1)/13)+1)</f>
        <v/>
      </c>
      <c r="E2312" t="inlineStr">
        <is>
          <t>FDM</t>
        </is>
      </c>
      <c r="F2312">
        <f>IFERROR(INDEX(ChFormat,MATCH(E2312,ChName,0)),"")</f>
        <v/>
      </c>
      <c r="G2312" t="inlineStr">
        <is>
          <t>MB</t>
        </is>
      </c>
      <c r="H2312">
        <f>IF(A2312&lt;=NWeeks,1,0)</f>
        <v/>
      </c>
      <c r="I2312">
        <f>INDEX(ChLaunch,MATCH(E2312,ChName,0))</f>
        <v/>
      </c>
      <c r="J2312">
        <f>INDEX(ChWeeksFull,MATCH(E2312,ChName,0))</f>
        <v/>
      </c>
      <c r="K2312">
        <f>INDEX(ChRamp,MATCH(E2312,ChName,0))</f>
        <v/>
      </c>
      <c r="L2312" s="45">
        <f>MIN(1,MAX(0,(A2312-I2312+1)*RampSpeed/J2312))</f>
        <v/>
      </c>
      <c r="M2312" s="45">
        <f>IF(A2312&lt;I2312,0,IF(K2312="S-curve",L2312*L2312*(3-2*L2312),L2312))</f>
        <v/>
      </c>
      <c r="N2312" s="45">
        <f>1+(INDEX(SeasonIdx,A2312)-1)*SeasonAmp</f>
        <v/>
      </c>
      <c r="O2312" s="45">
        <f>IFERROR(INDEX(PSPct,MATCH(E2312&amp;"|"&amp;G2312,PSKey,0)),0)</f>
        <v/>
      </c>
      <c r="P2312" s="46">
        <f>INDEX(ChDoorVel,MATCH(E2312,ChName,0))*CalibScalar*(1+VelocityUplift)</f>
        <v/>
      </c>
      <c r="Q2312" s="46" t="n">
        <v>0</v>
      </c>
      <c r="R2312" s="46">
        <f>P2312*O2312*M2312*N2312*H2312</f>
        <v/>
      </c>
      <c r="S2312" s="46">
        <f>R2312*INDEX(FmtCansPerCase,MATCH(F2312,FmtName,0))</f>
        <v/>
      </c>
      <c r="T2312" s="46">
        <f>S2312/INDEX(FmtCansPerPack,MATCH(F2312,FmtName,0))</f>
        <v/>
      </c>
      <c r="U2312" s="47">
        <f>INDEX(ChBaseCP,MATCH(E2312,ChName,0))*(1+INDEX(ProvMod,MATCH(G2312,ProvCode,0)))*(1+PriceIndex)</f>
        <v/>
      </c>
      <c r="V2312" s="47">
        <f>R2312*U2312*INDEX(FmtBlendedPriceIdx,MATCH(F2312,FmtName,0))</f>
        <v/>
      </c>
      <c r="W2312" s="47">
        <f>T2312*INDEX(ProvSRP,MATCH(G2312,ProvCode,0))*(1+PriceIndex)</f>
        <v/>
      </c>
      <c r="X2312" s="47">
        <f>IF(GrossBasis="Wholesale",V2312,W2312)</f>
        <v/>
      </c>
      <c r="Y2312" s="47">
        <f>R2312*INDEX(FmtBlendedCogs,MATCH(F2312,FmtName,0))</f>
        <v/>
      </c>
      <c r="Z2312" s="47">
        <f>X2312-Y2312</f>
        <v/>
      </c>
    </row>
    <row r="2313">
      <c r="A2313" t="n">
        <v>33</v>
      </c>
      <c r="B2313" s="44">
        <f>FiscalStart+(A2313-1)*7</f>
        <v/>
      </c>
      <c r="C2313">
        <f>TEXT(B2313,"mmm yyyy")</f>
        <v/>
      </c>
      <c r="D2313">
        <f>"Q"&amp;(INT((A2313-1)/13)+1)</f>
        <v/>
      </c>
      <c r="E2313" t="inlineStr">
        <is>
          <t>FDM</t>
        </is>
      </c>
      <c r="F2313">
        <f>IFERROR(INDEX(ChFormat,MATCH(E2313,ChName,0)),"")</f>
        <v/>
      </c>
      <c r="G2313" t="inlineStr">
        <is>
          <t>MB</t>
        </is>
      </c>
      <c r="H2313">
        <f>IF(A2313&lt;=NWeeks,1,0)</f>
        <v/>
      </c>
      <c r="I2313">
        <f>INDEX(ChLaunch,MATCH(E2313,ChName,0))</f>
        <v/>
      </c>
      <c r="J2313">
        <f>INDEX(ChWeeksFull,MATCH(E2313,ChName,0))</f>
        <v/>
      </c>
      <c r="K2313">
        <f>INDEX(ChRamp,MATCH(E2313,ChName,0))</f>
        <v/>
      </c>
      <c r="L2313" s="45">
        <f>MIN(1,MAX(0,(A2313-I2313+1)*RampSpeed/J2313))</f>
        <v/>
      </c>
      <c r="M2313" s="45">
        <f>IF(A2313&lt;I2313,0,IF(K2313="S-curve",L2313*L2313*(3-2*L2313),L2313))</f>
        <v/>
      </c>
      <c r="N2313" s="45">
        <f>1+(INDEX(SeasonIdx,A2313)-1)*SeasonAmp</f>
        <v/>
      </c>
      <c r="O2313" s="45">
        <f>IFERROR(INDEX(PSPct,MATCH(E2313&amp;"|"&amp;G2313,PSKey,0)),0)</f>
        <v/>
      </c>
      <c r="P2313" s="46">
        <f>INDEX(ChDoorVel,MATCH(E2313,ChName,0))*CalibScalar*(1+VelocityUplift)</f>
        <v/>
      </c>
      <c r="Q2313" s="46" t="n">
        <v>0</v>
      </c>
      <c r="R2313" s="46">
        <f>P2313*O2313*M2313*N2313*H2313</f>
        <v/>
      </c>
      <c r="S2313" s="46">
        <f>R2313*INDEX(FmtCansPerCase,MATCH(F2313,FmtName,0))</f>
        <v/>
      </c>
      <c r="T2313" s="46">
        <f>S2313/INDEX(FmtCansPerPack,MATCH(F2313,FmtName,0))</f>
        <v/>
      </c>
      <c r="U2313" s="47">
        <f>INDEX(ChBaseCP,MATCH(E2313,ChName,0))*(1+INDEX(ProvMod,MATCH(G2313,ProvCode,0)))*(1+PriceIndex)</f>
        <v/>
      </c>
      <c r="V2313" s="47">
        <f>R2313*U2313*INDEX(FmtBlendedPriceIdx,MATCH(F2313,FmtName,0))</f>
        <v/>
      </c>
      <c r="W2313" s="47">
        <f>T2313*INDEX(ProvSRP,MATCH(G2313,ProvCode,0))*(1+PriceIndex)</f>
        <v/>
      </c>
      <c r="X2313" s="47">
        <f>IF(GrossBasis="Wholesale",V2313,W2313)</f>
        <v/>
      </c>
      <c r="Y2313" s="47">
        <f>R2313*INDEX(FmtBlendedCogs,MATCH(F2313,FmtName,0))</f>
        <v/>
      </c>
      <c r="Z2313" s="47">
        <f>X2313-Y2313</f>
        <v/>
      </c>
    </row>
    <row r="2314">
      <c r="A2314" t="n">
        <v>34</v>
      </c>
      <c r="B2314" s="44">
        <f>FiscalStart+(A2314-1)*7</f>
        <v/>
      </c>
      <c r="C2314">
        <f>TEXT(B2314,"mmm yyyy")</f>
        <v/>
      </c>
      <c r="D2314">
        <f>"Q"&amp;(INT((A2314-1)/13)+1)</f>
        <v/>
      </c>
      <c r="E2314" t="inlineStr">
        <is>
          <t>FDM</t>
        </is>
      </c>
      <c r="F2314">
        <f>IFERROR(INDEX(ChFormat,MATCH(E2314,ChName,0)),"")</f>
        <v/>
      </c>
      <c r="G2314" t="inlineStr">
        <is>
          <t>MB</t>
        </is>
      </c>
      <c r="H2314">
        <f>IF(A2314&lt;=NWeeks,1,0)</f>
        <v/>
      </c>
      <c r="I2314">
        <f>INDEX(ChLaunch,MATCH(E2314,ChName,0))</f>
        <v/>
      </c>
      <c r="J2314">
        <f>INDEX(ChWeeksFull,MATCH(E2314,ChName,0))</f>
        <v/>
      </c>
      <c r="K2314">
        <f>INDEX(ChRamp,MATCH(E2314,ChName,0))</f>
        <v/>
      </c>
      <c r="L2314" s="45">
        <f>MIN(1,MAX(0,(A2314-I2314+1)*RampSpeed/J2314))</f>
        <v/>
      </c>
      <c r="M2314" s="45">
        <f>IF(A2314&lt;I2314,0,IF(K2314="S-curve",L2314*L2314*(3-2*L2314),L2314))</f>
        <v/>
      </c>
      <c r="N2314" s="45">
        <f>1+(INDEX(SeasonIdx,A2314)-1)*SeasonAmp</f>
        <v/>
      </c>
      <c r="O2314" s="45">
        <f>IFERROR(INDEX(PSPct,MATCH(E2314&amp;"|"&amp;G2314,PSKey,0)),0)</f>
        <v/>
      </c>
      <c r="P2314" s="46">
        <f>INDEX(ChDoorVel,MATCH(E2314,ChName,0))*CalibScalar*(1+VelocityUplift)</f>
        <v/>
      </c>
      <c r="Q2314" s="46" t="n">
        <v>0</v>
      </c>
      <c r="R2314" s="46">
        <f>P2314*O2314*M2314*N2314*H2314</f>
        <v/>
      </c>
      <c r="S2314" s="46">
        <f>R2314*INDEX(FmtCansPerCase,MATCH(F2314,FmtName,0))</f>
        <v/>
      </c>
      <c r="T2314" s="46">
        <f>S2314/INDEX(FmtCansPerPack,MATCH(F2314,FmtName,0))</f>
        <v/>
      </c>
      <c r="U2314" s="47">
        <f>INDEX(ChBaseCP,MATCH(E2314,ChName,0))*(1+INDEX(ProvMod,MATCH(G2314,ProvCode,0)))*(1+PriceIndex)</f>
        <v/>
      </c>
      <c r="V2314" s="47">
        <f>R2314*U2314*INDEX(FmtBlendedPriceIdx,MATCH(F2314,FmtName,0))</f>
        <v/>
      </c>
      <c r="W2314" s="47">
        <f>T2314*INDEX(ProvSRP,MATCH(G2314,ProvCode,0))*(1+PriceIndex)</f>
        <v/>
      </c>
      <c r="X2314" s="47">
        <f>IF(GrossBasis="Wholesale",V2314,W2314)</f>
        <v/>
      </c>
      <c r="Y2314" s="47">
        <f>R2314*INDEX(FmtBlendedCogs,MATCH(F2314,FmtName,0))</f>
        <v/>
      </c>
      <c r="Z2314" s="47">
        <f>X2314-Y2314</f>
        <v/>
      </c>
    </row>
    <row r="2315">
      <c r="A2315" t="n">
        <v>35</v>
      </c>
      <c r="B2315" s="44">
        <f>FiscalStart+(A2315-1)*7</f>
        <v/>
      </c>
      <c r="C2315">
        <f>TEXT(B2315,"mmm yyyy")</f>
        <v/>
      </c>
      <c r="D2315">
        <f>"Q"&amp;(INT((A2315-1)/13)+1)</f>
        <v/>
      </c>
      <c r="E2315" t="inlineStr">
        <is>
          <t>FDM</t>
        </is>
      </c>
      <c r="F2315">
        <f>IFERROR(INDEX(ChFormat,MATCH(E2315,ChName,0)),"")</f>
        <v/>
      </c>
      <c r="G2315" t="inlineStr">
        <is>
          <t>MB</t>
        </is>
      </c>
      <c r="H2315">
        <f>IF(A2315&lt;=NWeeks,1,0)</f>
        <v/>
      </c>
      <c r="I2315">
        <f>INDEX(ChLaunch,MATCH(E2315,ChName,0))</f>
        <v/>
      </c>
      <c r="J2315">
        <f>INDEX(ChWeeksFull,MATCH(E2315,ChName,0))</f>
        <v/>
      </c>
      <c r="K2315">
        <f>INDEX(ChRamp,MATCH(E2315,ChName,0))</f>
        <v/>
      </c>
      <c r="L2315" s="45">
        <f>MIN(1,MAX(0,(A2315-I2315+1)*RampSpeed/J2315))</f>
        <v/>
      </c>
      <c r="M2315" s="45">
        <f>IF(A2315&lt;I2315,0,IF(K2315="S-curve",L2315*L2315*(3-2*L2315),L2315))</f>
        <v/>
      </c>
      <c r="N2315" s="45">
        <f>1+(INDEX(SeasonIdx,A2315)-1)*SeasonAmp</f>
        <v/>
      </c>
      <c r="O2315" s="45">
        <f>IFERROR(INDEX(PSPct,MATCH(E2315&amp;"|"&amp;G2315,PSKey,0)),0)</f>
        <v/>
      </c>
      <c r="P2315" s="46">
        <f>INDEX(ChDoorVel,MATCH(E2315,ChName,0))*CalibScalar*(1+VelocityUplift)</f>
        <v/>
      </c>
      <c r="Q2315" s="46" t="n">
        <v>0</v>
      </c>
      <c r="R2315" s="46">
        <f>P2315*O2315*M2315*N2315*H2315</f>
        <v/>
      </c>
      <c r="S2315" s="46">
        <f>R2315*INDEX(FmtCansPerCase,MATCH(F2315,FmtName,0))</f>
        <v/>
      </c>
      <c r="T2315" s="46">
        <f>S2315/INDEX(FmtCansPerPack,MATCH(F2315,FmtName,0))</f>
        <v/>
      </c>
      <c r="U2315" s="47">
        <f>INDEX(ChBaseCP,MATCH(E2315,ChName,0))*(1+INDEX(ProvMod,MATCH(G2315,ProvCode,0)))*(1+PriceIndex)</f>
        <v/>
      </c>
      <c r="V2315" s="47">
        <f>R2315*U2315*INDEX(FmtBlendedPriceIdx,MATCH(F2315,FmtName,0))</f>
        <v/>
      </c>
      <c r="W2315" s="47">
        <f>T2315*INDEX(ProvSRP,MATCH(G2315,ProvCode,0))*(1+PriceIndex)</f>
        <v/>
      </c>
      <c r="X2315" s="47">
        <f>IF(GrossBasis="Wholesale",V2315,W2315)</f>
        <v/>
      </c>
      <c r="Y2315" s="47">
        <f>R2315*INDEX(FmtBlendedCogs,MATCH(F2315,FmtName,0))</f>
        <v/>
      </c>
      <c r="Z2315" s="47">
        <f>X2315-Y2315</f>
        <v/>
      </c>
    </row>
    <row r="2316">
      <c r="A2316" t="n">
        <v>36</v>
      </c>
      <c r="B2316" s="44">
        <f>FiscalStart+(A2316-1)*7</f>
        <v/>
      </c>
      <c r="C2316">
        <f>TEXT(B2316,"mmm yyyy")</f>
        <v/>
      </c>
      <c r="D2316">
        <f>"Q"&amp;(INT((A2316-1)/13)+1)</f>
        <v/>
      </c>
      <c r="E2316" t="inlineStr">
        <is>
          <t>FDM</t>
        </is>
      </c>
      <c r="F2316">
        <f>IFERROR(INDEX(ChFormat,MATCH(E2316,ChName,0)),"")</f>
        <v/>
      </c>
      <c r="G2316" t="inlineStr">
        <is>
          <t>MB</t>
        </is>
      </c>
      <c r="H2316">
        <f>IF(A2316&lt;=NWeeks,1,0)</f>
        <v/>
      </c>
      <c r="I2316">
        <f>INDEX(ChLaunch,MATCH(E2316,ChName,0))</f>
        <v/>
      </c>
      <c r="J2316">
        <f>INDEX(ChWeeksFull,MATCH(E2316,ChName,0))</f>
        <v/>
      </c>
      <c r="K2316">
        <f>INDEX(ChRamp,MATCH(E2316,ChName,0))</f>
        <v/>
      </c>
      <c r="L2316" s="45">
        <f>MIN(1,MAX(0,(A2316-I2316+1)*RampSpeed/J2316))</f>
        <v/>
      </c>
      <c r="M2316" s="45">
        <f>IF(A2316&lt;I2316,0,IF(K2316="S-curve",L2316*L2316*(3-2*L2316),L2316))</f>
        <v/>
      </c>
      <c r="N2316" s="45">
        <f>1+(INDEX(SeasonIdx,A2316)-1)*SeasonAmp</f>
        <v/>
      </c>
      <c r="O2316" s="45">
        <f>IFERROR(INDEX(PSPct,MATCH(E2316&amp;"|"&amp;G2316,PSKey,0)),0)</f>
        <v/>
      </c>
      <c r="P2316" s="46">
        <f>INDEX(ChDoorVel,MATCH(E2316,ChName,0))*CalibScalar*(1+VelocityUplift)</f>
        <v/>
      </c>
      <c r="Q2316" s="46" t="n">
        <v>0</v>
      </c>
      <c r="R2316" s="46">
        <f>P2316*O2316*M2316*N2316*H2316</f>
        <v/>
      </c>
      <c r="S2316" s="46">
        <f>R2316*INDEX(FmtCansPerCase,MATCH(F2316,FmtName,0))</f>
        <v/>
      </c>
      <c r="T2316" s="46">
        <f>S2316/INDEX(FmtCansPerPack,MATCH(F2316,FmtName,0))</f>
        <v/>
      </c>
      <c r="U2316" s="47">
        <f>INDEX(ChBaseCP,MATCH(E2316,ChName,0))*(1+INDEX(ProvMod,MATCH(G2316,ProvCode,0)))*(1+PriceIndex)</f>
        <v/>
      </c>
      <c r="V2316" s="47">
        <f>R2316*U2316*INDEX(FmtBlendedPriceIdx,MATCH(F2316,FmtName,0))</f>
        <v/>
      </c>
      <c r="W2316" s="47">
        <f>T2316*INDEX(ProvSRP,MATCH(G2316,ProvCode,0))*(1+PriceIndex)</f>
        <v/>
      </c>
      <c r="X2316" s="47">
        <f>IF(GrossBasis="Wholesale",V2316,W2316)</f>
        <v/>
      </c>
      <c r="Y2316" s="47">
        <f>R2316*INDEX(FmtBlendedCogs,MATCH(F2316,FmtName,0))</f>
        <v/>
      </c>
      <c r="Z2316" s="47">
        <f>X2316-Y2316</f>
        <v/>
      </c>
    </row>
    <row r="2317">
      <c r="A2317" t="n">
        <v>37</v>
      </c>
      <c r="B2317" s="44">
        <f>FiscalStart+(A2317-1)*7</f>
        <v/>
      </c>
      <c r="C2317">
        <f>TEXT(B2317,"mmm yyyy")</f>
        <v/>
      </c>
      <c r="D2317">
        <f>"Q"&amp;(INT((A2317-1)/13)+1)</f>
        <v/>
      </c>
      <c r="E2317" t="inlineStr">
        <is>
          <t>FDM</t>
        </is>
      </c>
      <c r="F2317">
        <f>IFERROR(INDEX(ChFormat,MATCH(E2317,ChName,0)),"")</f>
        <v/>
      </c>
      <c r="G2317" t="inlineStr">
        <is>
          <t>MB</t>
        </is>
      </c>
      <c r="H2317">
        <f>IF(A2317&lt;=NWeeks,1,0)</f>
        <v/>
      </c>
      <c r="I2317">
        <f>INDEX(ChLaunch,MATCH(E2317,ChName,0))</f>
        <v/>
      </c>
      <c r="J2317">
        <f>INDEX(ChWeeksFull,MATCH(E2317,ChName,0))</f>
        <v/>
      </c>
      <c r="K2317">
        <f>INDEX(ChRamp,MATCH(E2317,ChName,0))</f>
        <v/>
      </c>
      <c r="L2317" s="45">
        <f>MIN(1,MAX(0,(A2317-I2317+1)*RampSpeed/J2317))</f>
        <v/>
      </c>
      <c r="M2317" s="45">
        <f>IF(A2317&lt;I2317,0,IF(K2317="S-curve",L2317*L2317*(3-2*L2317),L2317))</f>
        <v/>
      </c>
      <c r="N2317" s="45">
        <f>1+(INDEX(SeasonIdx,A2317)-1)*SeasonAmp</f>
        <v/>
      </c>
      <c r="O2317" s="45">
        <f>IFERROR(INDEX(PSPct,MATCH(E2317&amp;"|"&amp;G2317,PSKey,0)),0)</f>
        <v/>
      </c>
      <c r="P2317" s="46">
        <f>INDEX(ChDoorVel,MATCH(E2317,ChName,0))*CalibScalar*(1+VelocityUplift)</f>
        <v/>
      </c>
      <c r="Q2317" s="46" t="n">
        <v>0</v>
      </c>
      <c r="R2317" s="46">
        <f>P2317*O2317*M2317*N2317*H2317</f>
        <v/>
      </c>
      <c r="S2317" s="46">
        <f>R2317*INDEX(FmtCansPerCase,MATCH(F2317,FmtName,0))</f>
        <v/>
      </c>
      <c r="T2317" s="46">
        <f>S2317/INDEX(FmtCansPerPack,MATCH(F2317,FmtName,0))</f>
        <v/>
      </c>
      <c r="U2317" s="47">
        <f>INDEX(ChBaseCP,MATCH(E2317,ChName,0))*(1+INDEX(ProvMod,MATCH(G2317,ProvCode,0)))*(1+PriceIndex)</f>
        <v/>
      </c>
      <c r="V2317" s="47">
        <f>R2317*U2317*INDEX(FmtBlendedPriceIdx,MATCH(F2317,FmtName,0))</f>
        <v/>
      </c>
      <c r="W2317" s="47">
        <f>T2317*INDEX(ProvSRP,MATCH(G2317,ProvCode,0))*(1+PriceIndex)</f>
        <v/>
      </c>
      <c r="X2317" s="47">
        <f>IF(GrossBasis="Wholesale",V2317,W2317)</f>
        <v/>
      </c>
      <c r="Y2317" s="47">
        <f>R2317*INDEX(FmtBlendedCogs,MATCH(F2317,FmtName,0))</f>
        <v/>
      </c>
      <c r="Z2317" s="47">
        <f>X2317-Y2317</f>
        <v/>
      </c>
    </row>
    <row r="2318">
      <c r="A2318" t="n">
        <v>38</v>
      </c>
      <c r="B2318" s="44">
        <f>FiscalStart+(A2318-1)*7</f>
        <v/>
      </c>
      <c r="C2318">
        <f>TEXT(B2318,"mmm yyyy")</f>
        <v/>
      </c>
      <c r="D2318">
        <f>"Q"&amp;(INT((A2318-1)/13)+1)</f>
        <v/>
      </c>
      <c r="E2318" t="inlineStr">
        <is>
          <t>FDM</t>
        </is>
      </c>
      <c r="F2318">
        <f>IFERROR(INDEX(ChFormat,MATCH(E2318,ChName,0)),"")</f>
        <v/>
      </c>
      <c r="G2318" t="inlineStr">
        <is>
          <t>MB</t>
        </is>
      </c>
      <c r="H2318">
        <f>IF(A2318&lt;=NWeeks,1,0)</f>
        <v/>
      </c>
      <c r="I2318">
        <f>INDEX(ChLaunch,MATCH(E2318,ChName,0))</f>
        <v/>
      </c>
      <c r="J2318">
        <f>INDEX(ChWeeksFull,MATCH(E2318,ChName,0))</f>
        <v/>
      </c>
      <c r="K2318">
        <f>INDEX(ChRamp,MATCH(E2318,ChName,0))</f>
        <v/>
      </c>
      <c r="L2318" s="45">
        <f>MIN(1,MAX(0,(A2318-I2318+1)*RampSpeed/J2318))</f>
        <v/>
      </c>
      <c r="M2318" s="45">
        <f>IF(A2318&lt;I2318,0,IF(K2318="S-curve",L2318*L2318*(3-2*L2318),L2318))</f>
        <v/>
      </c>
      <c r="N2318" s="45">
        <f>1+(INDEX(SeasonIdx,A2318)-1)*SeasonAmp</f>
        <v/>
      </c>
      <c r="O2318" s="45">
        <f>IFERROR(INDEX(PSPct,MATCH(E2318&amp;"|"&amp;G2318,PSKey,0)),0)</f>
        <v/>
      </c>
      <c r="P2318" s="46">
        <f>INDEX(ChDoorVel,MATCH(E2318,ChName,0))*CalibScalar*(1+VelocityUplift)</f>
        <v/>
      </c>
      <c r="Q2318" s="46" t="n">
        <v>0</v>
      </c>
      <c r="R2318" s="46">
        <f>P2318*O2318*M2318*N2318*H2318</f>
        <v/>
      </c>
      <c r="S2318" s="46">
        <f>R2318*INDEX(FmtCansPerCase,MATCH(F2318,FmtName,0))</f>
        <v/>
      </c>
      <c r="T2318" s="46">
        <f>S2318/INDEX(FmtCansPerPack,MATCH(F2318,FmtName,0))</f>
        <v/>
      </c>
      <c r="U2318" s="47">
        <f>INDEX(ChBaseCP,MATCH(E2318,ChName,0))*(1+INDEX(ProvMod,MATCH(G2318,ProvCode,0)))*(1+PriceIndex)</f>
        <v/>
      </c>
      <c r="V2318" s="47">
        <f>R2318*U2318*INDEX(FmtBlendedPriceIdx,MATCH(F2318,FmtName,0))</f>
        <v/>
      </c>
      <c r="W2318" s="47">
        <f>T2318*INDEX(ProvSRP,MATCH(G2318,ProvCode,0))*(1+PriceIndex)</f>
        <v/>
      </c>
      <c r="X2318" s="47">
        <f>IF(GrossBasis="Wholesale",V2318,W2318)</f>
        <v/>
      </c>
      <c r="Y2318" s="47">
        <f>R2318*INDEX(FmtBlendedCogs,MATCH(F2318,FmtName,0))</f>
        <v/>
      </c>
      <c r="Z2318" s="47">
        <f>X2318-Y2318</f>
        <v/>
      </c>
    </row>
    <row r="2319">
      <c r="A2319" t="n">
        <v>39</v>
      </c>
      <c r="B2319" s="44">
        <f>FiscalStart+(A2319-1)*7</f>
        <v/>
      </c>
      <c r="C2319">
        <f>TEXT(B2319,"mmm yyyy")</f>
        <v/>
      </c>
      <c r="D2319">
        <f>"Q"&amp;(INT((A2319-1)/13)+1)</f>
        <v/>
      </c>
      <c r="E2319" t="inlineStr">
        <is>
          <t>FDM</t>
        </is>
      </c>
      <c r="F2319">
        <f>IFERROR(INDEX(ChFormat,MATCH(E2319,ChName,0)),"")</f>
        <v/>
      </c>
      <c r="G2319" t="inlineStr">
        <is>
          <t>MB</t>
        </is>
      </c>
      <c r="H2319">
        <f>IF(A2319&lt;=NWeeks,1,0)</f>
        <v/>
      </c>
      <c r="I2319">
        <f>INDEX(ChLaunch,MATCH(E2319,ChName,0))</f>
        <v/>
      </c>
      <c r="J2319">
        <f>INDEX(ChWeeksFull,MATCH(E2319,ChName,0))</f>
        <v/>
      </c>
      <c r="K2319">
        <f>INDEX(ChRamp,MATCH(E2319,ChName,0))</f>
        <v/>
      </c>
      <c r="L2319" s="45">
        <f>MIN(1,MAX(0,(A2319-I2319+1)*RampSpeed/J2319))</f>
        <v/>
      </c>
      <c r="M2319" s="45">
        <f>IF(A2319&lt;I2319,0,IF(K2319="S-curve",L2319*L2319*(3-2*L2319),L2319))</f>
        <v/>
      </c>
      <c r="N2319" s="45">
        <f>1+(INDEX(SeasonIdx,A2319)-1)*SeasonAmp</f>
        <v/>
      </c>
      <c r="O2319" s="45">
        <f>IFERROR(INDEX(PSPct,MATCH(E2319&amp;"|"&amp;G2319,PSKey,0)),0)</f>
        <v/>
      </c>
      <c r="P2319" s="46">
        <f>INDEX(ChDoorVel,MATCH(E2319,ChName,0))*CalibScalar*(1+VelocityUplift)</f>
        <v/>
      </c>
      <c r="Q2319" s="46" t="n">
        <v>0</v>
      </c>
      <c r="R2319" s="46">
        <f>P2319*O2319*M2319*N2319*H2319</f>
        <v/>
      </c>
      <c r="S2319" s="46">
        <f>R2319*INDEX(FmtCansPerCase,MATCH(F2319,FmtName,0))</f>
        <v/>
      </c>
      <c r="T2319" s="46">
        <f>S2319/INDEX(FmtCansPerPack,MATCH(F2319,FmtName,0))</f>
        <v/>
      </c>
      <c r="U2319" s="47">
        <f>INDEX(ChBaseCP,MATCH(E2319,ChName,0))*(1+INDEX(ProvMod,MATCH(G2319,ProvCode,0)))*(1+PriceIndex)</f>
        <v/>
      </c>
      <c r="V2319" s="47">
        <f>R2319*U2319*INDEX(FmtBlendedPriceIdx,MATCH(F2319,FmtName,0))</f>
        <v/>
      </c>
      <c r="W2319" s="47">
        <f>T2319*INDEX(ProvSRP,MATCH(G2319,ProvCode,0))*(1+PriceIndex)</f>
        <v/>
      </c>
      <c r="X2319" s="47">
        <f>IF(GrossBasis="Wholesale",V2319,W2319)</f>
        <v/>
      </c>
      <c r="Y2319" s="47">
        <f>R2319*INDEX(FmtBlendedCogs,MATCH(F2319,FmtName,0))</f>
        <v/>
      </c>
      <c r="Z2319" s="47">
        <f>X2319-Y2319</f>
        <v/>
      </c>
    </row>
    <row r="2320">
      <c r="A2320" t="n">
        <v>40</v>
      </c>
      <c r="B2320" s="44">
        <f>FiscalStart+(A2320-1)*7</f>
        <v/>
      </c>
      <c r="C2320">
        <f>TEXT(B2320,"mmm yyyy")</f>
        <v/>
      </c>
      <c r="D2320">
        <f>"Q"&amp;(INT((A2320-1)/13)+1)</f>
        <v/>
      </c>
      <c r="E2320" t="inlineStr">
        <is>
          <t>FDM</t>
        </is>
      </c>
      <c r="F2320">
        <f>IFERROR(INDEX(ChFormat,MATCH(E2320,ChName,0)),"")</f>
        <v/>
      </c>
      <c r="G2320" t="inlineStr">
        <is>
          <t>MB</t>
        </is>
      </c>
      <c r="H2320">
        <f>IF(A2320&lt;=NWeeks,1,0)</f>
        <v/>
      </c>
      <c r="I2320">
        <f>INDEX(ChLaunch,MATCH(E2320,ChName,0))</f>
        <v/>
      </c>
      <c r="J2320">
        <f>INDEX(ChWeeksFull,MATCH(E2320,ChName,0))</f>
        <v/>
      </c>
      <c r="K2320">
        <f>INDEX(ChRamp,MATCH(E2320,ChName,0))</f>
        <v/>
      </c>
      <c r="L2320" s="45">
        <f>MIN(1,MAX(0,(A2320-I2320+1)*RampSpeed/J2320))</f>
        <v/>
      </c>
      <c r="M2320" s="45">
        <f>IF(A2320&lt;I2320,0,IF(K2320="S-curve",L2320*L2320*(3-2*L2320),L2320))</f>
        <v/>
      </c>
      <c r="N2320" s="45">
        <f>1+(INDEX(SeasonIdx,A2320)-1)*SeasonAmp</f>
        <v/>
      </c>
      <c r="O2320" s="45">
        <f>IFERROR(INDEX(PSPct,MATCH(E2320&amp;"|"&amp;G2320,PSKey,0)),0)</f>
        <v/>
      </c>
      <c r="P2320" s="46">
        <f>INDEX(ChDoorVel,MATCH(E2320,ChName,0))*CalibScalar*(1+VelocityUplift)</f>
        <v/>
      </c>
      <c r="Q2320" s="46" t="n">
        <v>0</v>
      </c>
      <c r="R2320" s="46">
        <f>P2320*O2320*M2320*N2320*H2320</f>
        <v/>
      </c>
      <c r="S2320" s="46">
        <f>R2320*INDEX(FmtCansPerCase,MATCH(F2320,FmtName,0))</f>
        <v/>
      </c>
      <c r="T2320" s="46">
        <f>S2320/INDEX(FmtCansPerPack,MATCH(F2320,FmtName,0))</f>
        <v/>
      </c>
      <c r="U2320" s="47">
        <f>INDEX(ChBaseCP,MATCH(E2320,ChName,0))*(1+INDEX(ProvMod,MATCH(G2320,ProvCode,0)))*(1+PriceIndex)</f>
        <v/>
      </c>
      <c r="V2320" s="47">
        <f>R2320*U2320*INDEX(FmtBlendedPriceIdx,MATCH(F2320,FmtName,0))</f>
        <v/>
      </c>
      <c r="W2320" s="47">
        <f>T2320*INDEX(ProvSRP,MATCH(G2320,ProvCode,0))*(1+PriceIndex)</f>
        <v/>
      </c>
      <c r="X2320" s="47">
        <f>IF(GrossBasis="Wholesale",V2320,W2320)</f>
        <v/>
      </c>
      <c r="Y2320" s="47">
        <f>R2320*INDEX(FmtBlendedCogs,MATCH(F2320,FmtName,0))</f>
        <v/>
      </c>
      <c r="Z2320" s="47">
        <f>X2320-Y2320</f>
        <v/>
      </c>
    </row>
    <row r="2321">
      <c r="A2321" t="n">
        <v>41</v>
      </c>
      <c r="B2321" s="44">
        <f>FiscalStart+(A2321-1)*7</f>
        <v/>
      </c>
      <c r="C2321">
        <f>TEXT(B2321,"mmm yyyy")</f>
        <v/>
      </c>
      <c r="D2321">
        <f>"Q"&amp;(INT((A2321-1)/13)+1)</f>
        <v/>
      </c>
      <c r="E2321" t="inlineStr">
        <is>
          <t>FDM</t>
        </is>
      </c>
      <c r="F2321">
        <f>IFERROR(INDEX(ChFormat,MATCH(E2321,ChName,0)),"")</f>
        <v/>
      </c>
      <c r="G2321" t="inlineStr">
        <is>
          <t>MB</t>
        </is>
      </c>
      <c r="H2321">
        <f>IF(A2321&lt;=NWeeks,1,0)</f>
        <v/>
      </c>
      <c r="I2321">
        <f>INDEX(ChLaunch,MATCH(E2321,ChName,0))</f>
        <v/>
      </c>
      <c r="J2321">
        <f>INDEX(ChWeeksFull,MATCH(E2321,ChName,0))</f>
        <v/>
      </c>
      <c r="K2321">
        <f>INDEX(ChRamp,MATCH(E2321,ChName,0))</f>
        <v/>
      </c>
      <c r="L2321" s="45">
        <f>MIN(1,MAX(0,(A2321-I2321+1)*RampSpeed/J2321))</f>
        <v/>
      </c>
      <c r="M2321" s="45">
        <f>IF(A2321&lt;I2321,0,IF(K2321="S-curve",L2321*L2321*(3-2*L2321),L2321))</f>
        <v/>
      </c>
      <c r="N2321" s="45">
        <f>1+(INDEX(SeasonIdx,A2321)-1)*SeasonAmp</f>
        <v/>
      </c>
      <c r="O2321" s="45">
        <f>IFERROR(INDEX(PSPct,MATCH(E2321&amp;"|"&amp;G2321,PSKey,0)),0)</f>
        <v/>
      </c>
      <c r="P2321" s="46">
        <f>INDEX(ChDoorVel,MATCH(E2321,ChName,0))*CalibScalar*(1+VelocityUplift)</f>
        <v/>
      </c>
      <c r="Q2321" s="46" t="n">
        <v>0</v>
      </c>
      <c r="R2321" s="46">
        <f>P2321*O2321*M2321*N2321*H2321</f>
        <v/>
      </c>
      <c r="S2321" s="46">
        <f>R2321*INDEX(FmtCansPerCase,MATCH(F2321,FmtName,0))</f>
        <v/>
      </c>
      <c r="T2321" s="46">
        <f>S2321/INDEX(FmtCansPerPack,MATCH(F2321,FmtName,0))</f>
        <v/>
      </c>
      <c r="U2321" s="47">
        <f>INDEX(ChBaseCP,MATCH(E2321,ChName,0))*(1+INDEX(ProvMod,MATCH(G2321,ProvCode,0)))*(1+PriceIndex)</f>
        <v/>
      </c>
      <c r="V2321" s="47">
        <f>R2321*U2321*INDEX(FmtBlendedPriceIdx,MATCH(F2321,FmtName,0))</f>
        <v/>
      </c>
      <c r="W2321" s="47">
        <f>T2321*INDEX(ProvSRP,MATCH(G2321,ProvCode,0))*(1+PriceIndex)</f>
        <v/>
      </c>
      <c r="X2321" s="47">
        <f>IF(GrossBasis="Wholesale",V2321,W2321)</f>
        <v/>
      </c>
      <c r="Y2321" s="47">
        <f>R2321*INDEX(FmtBlendedCogs,MATCH(F2321,FmtName,0))</f>
        <v/>
      </c>
      <c r="Z2321" s="47">
        <f>X2321-Y2321</f>
        <v/>
      </c>
    </row>
    <row r="2322">
      <c r="A2322" t="n">
        <v>42</v>
      </c>
      <c r="B2322" s="44">
        <f>FiscalStart+(A2322-1)*7</f>
        <v/>
      </c>
      <c r="C2322">
        <f>TEXT(B2322,"mmm yyyy")</f>
        <v/>
      </c>
      <c r="D2322">
        <f>"Q"&amp;(INT((A2322-1)/13)+1)</f>
        <v/>
      </c>
      <c r="E2322" t="inlineStr">
        <is>
          <t>FDM</t>
        </is>
      </c>
      <c r="F2322">
        <f>IFERROR(INDEX(ChFormat,MATCH(E2322,ChName,0)),"")</f>
        <v/>
      </c>
      <c r="G2322" t="inlineStr">
        <is>
          <t>MB</t>
        </is>
      </c>
      <c r="H2322">
        <f>IF(A2322&lt;=NWeeks,1,0)</f>
        <v/>
      </c>
      <c r="I2322">
        <f>INDEX(ChLaunch,MATCH(E2322,ChName,0))</f>
        <v/>
      </c>
      <c r="J2322">
        <f>INDEX(ChWeeksFull,MATCH(E2322,ChName,0))</f>
        <v/>
      </c>
      <c r="K2322">
        <f>INDEX(ChRamp,MATCH(E2322,ChName,0))</f>
        <v/>
      </c>
      <c r="L2322" s="45">
        <f>MIN(1,MAX(0,(A2322-I2322+1)*RampSpeed/J2322))</f>
        <v/>
      </c>
      <c r="M2322" s="45">
        <f>IF(A2322&lt;I2322,0,IF(K2322="S-curve",L2322*L2322*(3-2*L2322),L2322))</f>
        <v/>
      </c>
      <c r="N2322" s="45">
        <f>1+(INDEX(SeasonIdx,A2322)-1)*SeasonAmp</f>
        <v/>
      </c>
      <c r="O2322" s="45">
        <f>IFERROR(INDEX(PSPct,MATCH(E2322&amp;"|"&amp;G2322,PSKey,0)),0)</f>
        <v/>
      </c>
      <c r="P2322" s="46">
        <f>INDEX(ChDoorVel,MATCH(E2322,ChName,0))*CalibScalar*(1+VelocityUplift)</f>
        <v/>
      </c>
      <c r="Q2322" s="46" t="n">
        <v>0</v>
      </c>
      <c r="R2322" s="46">
        <f>P2322*O2322*M2322*N2322*H2322</f>
        <v/>
      </c>
      <c r="S2322" s="46">
        <f>R2322*INDEX(FmtCansPerCase,MATCH(F2322,FmtName,0))</f>
        <v/>
      </c>
      <c r="T2322" s="46">
        <f>S2322/INDEX(FmtCansPerPack,MATCH(F2322,FmtName,0))</f>
        <v/>
      </c>
      <c r="U2322" s="47">
        <f>INDEX(ChBaseCP,MATCH(E2322,ChName,0))*(1+INDEX(ProvMod,MATCH(G2322,ProvCode,0)))*(1+PriceIndex)</f>
        <v/>
      </c>
      <c r="V2322" s="47">
        <f>R2322*U2322*INDEX(FmtBlendedPriceIdx,MATCH(F2322,FmtName,0))</f>
        <v/>
      </c>
      <c r="W2322" s="47">
        <f>T2322*INDEX(ProvSRP,MATCH(G2322,ProvCode,0))*(1+PriceIndex)</f>
        <v/>
      </c>
      <c r="X2322" s="47">
        <f>IF(GrossBasis="Wholesale",V2322,W2322)</f>
        <v/>
      </c>
      <c r="Y2322" s="47">
        <f>R2322*INDEX(FmtBlendedCogs,MATCH(F2322,FmtName,0))</f>
        <v/>
      </c>
      <c r="Z2322" s="47">
        <f>X2322-Y2322</f>
        <v/>
      </c>
    </row>
    <row r="2323">
      <c r="A2323" t="n">
        <v>43</v>
      </c>
      <c r="B2323" s="44">
        <f>FiscalStart+(A2323-1)*7</f>
        <v/>
      </c>
      <c r="C2323">
        <f>TEXT(B2323,"mmm yyyy")</f>
        <v/>
      </c>
      <c r="D2323">
        <f>"Q"&amp;(INT((A2323-1)/13)+1)</f>
        <v/>
      </c>
      <c r="E2323" t="inlineStr">
        <is>
          <t>FDM</t>
        </is>
      </c>
      <c r="F2323">
        <f>IFERROR(INDEX(ChFormat,MATCH(E2323,ChName,0)),"")</f>
        <v/>
      </c>
      <c r="G2323" t="inlineStr">
        <is>
          <t>MB</t>
        </is>
      </c>
      <c r="H2323">
        <f>IF(A2323&lt;=NWeeks,1,0)</f>
        <v/>
      </c>
      <c r="I2323">
        <f>INDEX(ChLaunch,MATCH(E2323,ChName,0))</f>
        <v/>
      </c>
      <c r="J2323">
        <f>INDEX(ChWeeksFull,MATCH(E2323,ChName,0))</f>
        <v/>
      </c>
      <c r="K2323">
        <f>INDEX(ChRamp,MATCH(E2323,ChName,0))</f>
        <v/>
      </c>
      <c r="L2323" s="45">
        <f>MIN(1,MAX(0,(A2323-I2323+1)*RampSpeed/J2323))</f>
        <v/>
      </c>
      <c r="M2323" s="45">
        <f>IF(A2323&lt;I2323,0,IF(K2323="S-curve",L2323*L2323*(3-2*L2323),L2323))</f>
        <v/>
      </c>
      <c r="N2323" s="45">
        <f>1+(INDEX(SeasonIdx,A2323)-1)*SeasonAmp</f>
        <v/>
      </c>
      <c r="O2323" s="45">
        <f>IFERROR(INDEX(PSPct,MATCH(E2323&amp;"|"&amp;G2323,PSKey,0)),0)</f>
        <v/>
      </c>
      <c r="P2323" s="46">
        <f>INDEX(ChDoorVel,MATCH(E2323,ChName,0))*CalibScalar*(1+VelocityUplift)</f>
        <v/>
      </c>
      <c r="Q2323" s="46" t="n">
        <v>0</v>
      </c>
      <c r="R2323" s="46">
        <f>P2323*O2323*M2323*N2323*H2323</f>
        <v/>
      </c>
      <c r="S2323" s="46">
        <f>R2323*INDEX(FmtCansPerCase,MATCH(F2323,FmtName,0))</f>
        <v/>
      </c>
      <c r="T2323" s="46">
        <f>S2323/INDEX(FmtCansPerPack,MATCH(F2323,FmtName,0))</f>
        <v/>
      </c>
      <c r="U2323" s="47">
        <f>INDEX(ChBaseCP,MATCH(E2323,ChName,0))*(1+INDEX(ProvMod,MATCH(G2323,ProvCode,0)))*(1+PriceIndex)</f>
        <v/>
      </c>
      <c r="V2323" s="47">
        <f>R2323*U2323*INDEX(FmtBlendedPriceIdx,MATCH(F2323,FmtName,0))</f>
        <v/>
      </c>
      <c r="W2323" s="47">
        <f>T2323*INDEX(ProvSRP,MATCH(G2323,ProvCode,0))*(1+PriceIndex)</f>
        <v/>
      </c>
      <c r="X2323" s="47">
        <f>IF(GrossBasis="Wholesale",V2323,W2323)</f>
        <v/>
      </c>
      <c r="Y2323" s="47">
        <f>R2323*INDEX(FmtBlendedCogs,MATCH(F2323,FmtName,0))</f>
        <v/>
      </c>
      <c r="Z2323" s="47">
        <f>X2323-Y2323</f>
        <v/>
      </c>
    </row>
    <row r="2324">
      <c r="A2324" t="n">
        <v>44</v>
      </c>
      <c r="B2324" s="44">
        <f>FiscalStart+(A2324-1)*7</f>
        <v/>
      </c>
      <c r="C2324">
        <f>TEXT(B2324,"mmm yyyy")</f>
        <v/>
      </c>
      <c r="D2324">
        <f>"Q"&amp;(INT((A2324-1)/13)+1)</f>
        <v/>
      </c>
      <c r="E2324" t="inlineStr">
        <is>
          <t>FDM</t>
        </is>
      </c>
      <c r="F2324">
        <f>IFERROR(INDEX(ChFormat,MATCH(E2324,ChName,0)),"")</f>
        <v/>
      </c>
      <c r="G2324" t="inlineStr">
        <is>
          <t>MB</t>
        </is>
      </c>
      <c r="H2324">
        <f>IF(A2324&lt;=NWeeks,1,0)</f>
        <v/>
      </c>
      <c r="I2324">
        <f>INDEX(ChLaunch,MATCH(E2324,ChName,0))</f>
        <v/>
      </c>
      <c r="J2324">
        <f>INDEX(ChWeeksFull,MATCH(E2324,ChName,0))</f>
        <v/>
      </c>
      <c r="K2324">
        <f>INDEX(ChRamp,MATCH(E2324,ChName,0))</f>
        <v/>
      </c>
      <c r="L2324" s="45">
        <f>MIN(1,MAX(0,(A2324-I2324+1)*RampSpeed/J2324))</f>
        <v/>
      </c>
      <c r="M2324" s="45">
        <f>IF(A2324&lt;I2324,0,IF(K2324="S-curve",L2324*L2324*(3-2*L2324),L2324))</f>
        <v/>
      </c>
      <c r="N2324" s="45">
        <f>1+(INDEX(SeasonIdx,A2324)-1)*SeasonAmp</f>
        <v/>
      </c>
      <c r="O2324" s="45">
        <f>IFERROR(INDEX(PSPct,MATCH(E2324&amp;"|"&amp;G2324,PSKey,0)),0)</f>
        <v/>
      </c>
      <c r="P2324" s="46">
        <f>INDEX(ChDoorVel,MATCH(E2324,ChName,0))*CalibScalar*(1+VelocityUplift)</f>
        <v/>
      </c>
      <c r="Q2324" s="46" t="n">
        <v>0</v>
      </c>
      <c r="R2324" s="46">
        <f>P2324*O2324*M2324*N2324*H2324</f>
        <v/>
      </c>
      <c r="S2324" s="46">
        <f>R2324*INDEX(FmtCansPerCase,MATCH(F2324,FmtName,0))</f>
        <v/>
      </c>
      <c r="T2324" s="46">
        <f>S2324/INDEX(FmtCansPerPack,MATCH(F2324,FmtName,0))</f>
        <v/>
      </c>
      <c r="U2324" s="47">
        <f>INDEX(ChBaseCP,MATCH(E2324,ChName,0))*(1+INDEX(ProvMod,MATCH(G2324,ProvCode,0)))*(1+PriceIndex)</f>
        <v/>
      </c>
      <c r="V2324" s="47">
        <f>R2324*U2324*INDEX(FmtBlendedPriceIdx,MATCH(F2324,FmtName,0))</f>
        <v/>
      </c>
      <c r="W2324" s="47">
        <f>T2324*INDEX(ProvSRP,MATCH(G2324,ProvCode,0))*(1+PriceIndex)</f>
        <v/>
      </c>
      <c r="X2324" s="47">
        <f>IF(GrossBasis="Wholesale",V2324,W2324)</f>
        <v/>
      </c>
      <c r="Y2324" s="47">
        <f>R2324*INDEX(FmtBlendedCogs,MATCH(F2324,FmtName,0))</f>
        <v/>
      </c>
      <c r="Z2324" s="47">
        <f>X2324-Y2324</f>
        <v/>
      </c>
    </row>
    <row r="2325">
      <c r="A2325" t="n">
        <v>45</v>
      </c>
      <c r="B2325" s="44">
        <f>FiscalStart+(A2325-1)*7</f>
        <v/>
      </c>
      <c r="C2325">
        <f>TEXT(B2325,"mmm yyyy")</f>
        <v/>
      </c>
      <c r="D2325">
        <f>"Q"&amp;(INT((A2325-1)/13)+1)</f>
        <v/>
      </c>
      <c r="E2325" t="inlineStr">
        <is>
          <t>FDM</t>
        </is>
      </c>
      <c r="F2325">
        <f>IFERROR(INDEX(ChFormat,MATCH(E2325,ChName,0)),"")</f>
        <v/>
      </c>
      <c r="G2325" t="inlineStr">
        <is>
          <t>MB</t>
        </is>
      </c>
      <c r="H2325">
        <f>IF(A2325&lt;=NWeeks,1,0)</f>
        <v/>
      </c>
      <c r="I2325">
        <f>INDEX(ChLaunch,MATCH(E2325,ChName,0))</f>
        <v/>
      </c>
      <c r="J2325">
        <f>INDEX(ChWeeksFull,MATCH(E2325,ChName,0))</f>
        <v/>
      </c>
      <c r="K2325">
        <f>INDEX(ChRamp,MATCH(E2325,ChName,0))</f>
        <v/>
      </c>
      <c r="L2325" s="45">
        <f>MIN(1,MAX(0,(A2325-I2325+1)*RampSpeed/J2325))</f>
        <v/>
      </c>
      <c r="M2325" s="45">
        <f>IF(A2325&lt;I2325,0,IF(K2325="S-curve",L2325*L2325*(3-2*L2325),L2325))</f>
        <v/>
      </c>
      <c r="N2325" s="45">
        <f>1+(INDEX(SeasonIdx,A2325)-1)*SeasonAmp</f>
        <v/>
      </c>
      <c r="O2325" s="45">
        <f>IFERROR(INDEX(PSPct,MATCH(E2325&amp;"|"&amp;G2325,PSKey,0)),0)</f>
        <v/>
      </c>
      <c r="P2325" s="46">
        <f>INDEX(ChDoorVel,MATCH(E2325,ChName,0))*CalibScalar*(1+VelocityUplift)</f>
        <v/>
      </c>
      <c r="Q2325" s="46" t="n">
        <v>0</v>
      </c>
      <c r="R2325" s="46">
        <f>P2325*O2325*M2325*N2325*H2325</f>
        <v/>
      </c>
      <c r="S2325" s="46">
        <f>R2325*INDEX(FmtCansPerCase,MATCH(F2325,FmtName,0))</f>
        <v/>
      </c>
      <c r="T2325" s="46">
        <f>S2325/INDEX(FmtCansPerPack,MATCH(F2325,FmtName,0))</f>
        <v/>
      </c>
      <c r="U2325" s="47">
        <f>INDEX(ChBaseCP,MATCH(E2325,ChName,0))*(1+INDEX(ProvMod,MATCH(G2325,ProvCode,0)))*(1+PriceIndex)</f>
        <v/>
      </c>
      <c r="V2325" s="47">
        <f>R2325*U2325*INDEX(FmtBlendedPriceIdx,MATCH(F2325,FmtName,0))</f>
        <v/>
      </c>
      <c r="W2325" s="47">
        <f>T2325*INDEX(ProvSRP,MATCH(G2325,ProvCode,0))*(1+PriceIndex)</f>
        <v/>
      </c>
      <c r="X2325" s="47">
        <f>IF(GrossBasis="Wholesale",V2325,W2325)</f>
        <v/>
      </c>
      <c r="Y2325" s="47">
        <f>R2325*INDEX(FmtBlendedCogs,MATCH(F2325,FmtName,0))</f>
        <v/>
      </c>
      <c r="Z2325" s="47">
        <f>X2325-Y2325</f>
        <v/>
      </c>
    </row>
    <row r="2326">
      <c r="A2326" t="n">
        <v>46</v>
      </c>
      <c r="B2326" s="44">
        <f>FiscalStart+(A2326-1)*7</f>
        <v/>
      </c>
      <c r="C2326">
        <f>TEXT(B2326,"mmm yyyy")</f>
        <v/>
      </c>
      <c r="D2326">
        <f>"Q"&amp;(INT((A2326-1)/13)+1)</f>
        <v/>
      </c>
      <c r="E2326" t="inlineStr">
        <is>
          <t>FDM</t>
        </is>
      </c>
      <c r="F2326">
        <f>IFERROR(INDEX(ChFormat,MATCH(E2326,ChName,0)),"")</f>
        <v/>
      </c>
      <c r="G2326" t="inlineStr">
        <is>
          <t>MB</t>
        </is>
      </c>
      <c r="H2326">
        <f>IF(A2326&lt;=NWeeks,1,0)</f>
        <v/>
      </c>
      <c r="I2326">
        <f>INDEX(ChLaunch,MATCH(E2326,ChName,0))</f>
        <v/>
      </c>
      <c r="J2326">
        <f>INDEX(ChWeeksFull,MATCH(E2326,ChName,0))</f>
        <v/>
      </c>
      <c r="K2326">
        <f>INDEX(ChRamp,MATCH(E2326,ChName,0))</f>
        <v/>
      </c>
      <c r="L2326" s="45">
        <f>MIN(1,MAX(0,(A2326-I2326+1)*RampSpeed/J2326))</f>
        <v/>
      </c>
      <c r="M2326" s="45">
        <f>IF(A2326&lt;I2326,0,IF(K2326="S-curve",L2326*L2326*(3-2*L2326),L2326))</f>
        <v/>
      </c>
      <c r="N2326" s="45">
        <f>1+(INDEX(SeasonIdx,A2326)-1)*SeasonAmp</f>
        <v/>
      </c>
      <c r="O2326" s="45">
        <f>IFERROR(INDEX(PSPct,MATCH(E2326&amp;"|"&amp;G2326,PSKey,0)),0)</f>
        <v/>
      </c>
      <c r="P2326" s="46">
        <f>INDEX(ChDoorVel,MATCH(E2326,ChName,0))*CalibScalar*(1+VelocityUplift)</f>
        <v/>
      </c>
      <c r="Q2326" s="46" t="n">
        <v>0</v>
      </c>
      <c r="R2326" s="46">
        <f>P2326*O2326*M2326*N2326*H2326</f>
        <v/>
      </c>
      <c r="S2326" s="46">
        <f>R2326*INDEX(FmtCansPerCase,MATCH(F2326,FmtName,0))</f>
        <v/>
      </c>
      <c r="T2326" s="46">
        <f>S2326/INDEX(FmtCansPerPack,MATCH(F2326,FmtName,0))</f>
        <v/>
      </c>
      <c r="U2326" s="47">
        <f>INDEX(ChBaseCP,MATCH(E2326,ChName,0))*(1+INDEX(ProvMod,MATCH(G2326,ProvCode,0)))*(1+PriceIndex)</f>
        <v/>
      </c>
      <c r="V2326" s="47">
        <f>R2326*U2326*INDEX(FmtBlendedPriceIdx,MATCH(F2326,FmtName,0))</f>
        <v/>
      </c>
      <c r="W2326" s="47">
        <f>T2326*INDEX(ProvSRP,MATCH(G2326,ProvCode,0))*(1+PriceIndex)</f>
        <v/>
      </c>
      <c r="X2326" s="47">
        <f>IF(GrossBasis="Wholesale",V2326,W2326)</f>
        <v/>
      </c>
      <c r="Y2326" s="47">
        <f>R2326*INDEX(FmtBlendedCogs,MATCH(F2326,FmtName,0))</f>
        <v/>
      </c>
      <c r="Z2326" s="47">
        <f>X2326-Y2326</f>
        <v/>
      </c>
    </row>
    <row r="2327">
      <c r="A2327" t="n">
        <v>47</v>
      </c>
      <c r="B2327" s="44">
        <f>FiscalStart+(A2327-1)*7</f>
        <v/>
      </c>
      <c r="C2327">
        <f>TEXT(B2327,"mmm yyyy")</f>
        <v/>
      </c>
      <c r="D2327">
        <f>"Q"&amp;(INT((A2327-1)/13)+1)</f>
        <v/>
      </c>
      <c r="E2327" t="inlineStr">
        <is>
          <t>FDM</t>
        </is>
      </c>
      <c r="F2327">
        <f>IFERROR(INDEX(ChFormat,MATCH(E2327,ChName,0)),"")</f>
        <v/>
      </c>
      <c r="G2327" t="inlineStr">
        <is>
          <t>MB</t>
        </is>
      </c>
      <c r="H2327">
        <f>IF(A2327&lt;=NWeeks,1,0)</f>
        <v/>
      </c>
      <c r="I2327">
        <f>INDEX(ChLaunch,MATCH(E2327,ChName,0))</f>
        <v/>
      </c>
      <c r="J2327">
        <f>INDEX(ChWeeksFull,MATCH(E2327,ChName,0))</f>
        <v/>
      </c>
      <c r="K2327">
        <f>INDEX(ChRamp,MATCH(E2327,ChName,0))</f>
        <v/>
      </c>
      <c r="L2327" s="45">
        <f>MIN(1,MAX(0,(A2327-I2327+1)*RampSpeed/J2327))</f>
        <v/>
      </c>
      <c r="M2327" s="45">
        <f>IF(A2327&lt;I2327,0,IF(K2327="S-curve",L2327*L2327*(3-2*L2327),L2327))</f>
        <v/>
      </c>
      <c r="N2327" s="45">
        <f>1+(INDEX(SeasonIdx,A2327)-1)*SeasonAmp</f>
        <v/>
      </c>
      <c r="O2327" s="45">
        <f>IFERROR(INDEX(PSPct,MATCH(E2327&amp;"|"&amp;G2327,PSKey,0)),0)</f>
        <v/>
      </c>
      <c r="P2327" s="46">
        <f>INDEX(ChDoorVel,MATCH(E2327,ChName,0))*CalibScalar*(1+VelocityUplift)</f>
        <v/>
      </c>
      <c r="Q2327" s="46" t="n">
        <v>0</v>
      </c>
      <c r="R2327" s="46">
        <f>P2327*O2327*M2327*N2327*H2327</f>
        <v/>
      </c>
      <c r="S2327" s="46">
        <f>R2327*INDEX(FmtCansPerCase,MATCH(F2327,FmtName,0))</f>
        <v/>
      </c>
      <c r="T2327" s="46">
        <f>S2327/INDEX(FmtCansPerPack,MATCH(F2327,FmtName,0))</f>
        <v/>
      </c>
      <c r="U2327" s="47">
        <f>INDEX(ChBaseCP,MATCH(E2327,ChName,0))*(1+INDEX(ProvMod,MATCH(G2327,ProvCode,0)))*(1+PriceIndex)</f>
        <v/>
      </c>
      <c r="V2327" s="47">
        <f>R2327*U2327*INDEX(FmtBlendedPriceIdx,MATCH(F2327,FmtName,0))</f>
        <v/>
      </c>
      <c r="W2327" s="47">
        <f>T2327*INDEX(ProvSRP,MATCH(G2327,ProvCode,0))*(1+PriceIndex)</f>
        <v/>
      </c>
      <c r="X2327" s="47">
        <f>IF(GrossBasis="Wholesale",V2327,W2327)</f>
        <v/>
      </c>
      <c r="Y2327" s="47">
        <f>R2327*INDEX(FmtBlendedCogs,MATCH(F2327,FmtName,0))</f>
        <v/>
      </c>
      <c r="Z2327" s="47">
        <f>X2327-Y2327</f>
        <v/>
      </c>
    </row>
    <row r="2328">
      <c r="A2328" t="n">
        <v>48</v>
      </c>
      <c r="B2328" s="44">
        <f>FiscalStart+(A2328-1)*7</f>
        <v/>
      </c>
      <c r="C2328">
        <f>TEXT(B2328,"mmm yyyy")</f>
        <v/>
      </c>
      <c r="D2328">
        <f>"Q"&amp;(INT((A2328-1)/13)+1)</f>
        <v/>
      </c>
      <c r="E2328" t="inlineStr">
        <is>
          <t>FDM</t>
        </is>
      </c>
      <c r="F2328">
        <f>IFERROR(INDEX(ChFormat,MATCH(E2328,ChName,0)),"")</f>
        <v/>
      </c>
      <c r="G2328" t="inlineStr">
        <is>
          <t>MB</t>
        </is>
      </c>
      <c r="H2328">
        <f>IF(A2328&lt;=NWeeks,1,0)</f>
        <v/>
      </c>
      <c r="I2328">
        <f>INDEX(ChLaunch,MATCH(E2328,ChName,0))</f>
        <v/>
      </c>
      <c r="J2328">
        <f>INDEX(ChWeeksFull,MATCH(E2328,ChName,0))</f>
        <v/>
      </c>
      <c r="K2328">
        <f>INDEX(ChRamp,MATCH(E2328,ChName,0))</f>
        <v/>
      </c>
      <c r="L2328" s="45">
        <f>MIN(1,MAX(0,(A2328-I2328+1)*RampSpeed/J2328))</f>
        <v/>
      </c>
      <c r="M2328" s="45">
        <f>IF(A2328&lt;I2328,0,IF(K2328="S-curve",L2328*L2328*(3-2*L2328),L2328))</f>
        <v/>
      </c>
      <c r="N2328" s="45">
        <f>1+(INDEX(SeasonIdx,A2328)-1)*SeasonAmp</f>
        <v/>
      </c>
      <c r="O2328" s="45">
        <f>IFERROR(INDEX(PSPct,MATCH(E2328&amp;"|"&amp;G2328,PSKey,0)),0)</f>
        <v/>
      </c>
      <c r="P2328" s="46">
        <f>INDEX(ChDoorVel,MATCH(E2328,ChName,0))*CalibScalar*(1+VelocityUplift)</f>
        <v/>
      </c>
      <c r="Q2328" s="46" t="n">
        <v>0</v>
      </c>
      <c r="R2328" s="46">
        <f>P2328*O2328*M2328*N2328*H2328</f>
        <v/>
      </c>
      <c r="S2328" s="46">
        <f>R2328*INDEX(FmtCansPerCase,MATCH(F2328,FmtName,0))</f>
        <v/>
      </c>
      <c r="T2328" s="46">
        <f>S2328/INDEX(FmtCansPerPack,MATCH(F2328,FmtName,0))</f>
        <v/>
      </c>
      <c r="U2328" s="47">
        <f>INDEX(ChBaseCP,MATCH(E2328,ChName,0))*(1+INDEX(ProvMod,MATCH(G2328,ProvCode,0)))*(1+PriceIndex)</f>
        <v/>
      </c>
      <c r="V2328" s="47">
        <f>R2328*U2328*INDEX(FmtBlendedPriceIdx,MATCH(F2328,FmtName,0))</f>
        <v/>
      </c>
      <c r="W2328" s="47">
        <f>T2328*INDEX(ProvSRP,MATCH(G2328,ProvCode,0))*(1+PriceIndex)</f>
        <v/>
      </c>
      <c r="X2328" s="47">
        <f>IF(GrossBasis="Wholesale",V2328,W2328)</f>
        <v/>
      </c>
      <c r="Y2328" s="47">
        <f>R2328*INDEX(FmtBlendedCogs,MATCH(F2328,FmtName,0))</f>
        <v/>
      </c>
      <c r="Z2328" s="47">
        <f>X2328-Y2328</f>
        <v/>
      </c>
    </row>
    <row r="2329">
      <c r="A2329" t="n">
        <v>49</v>
      </c>
      <c r="B2329" s="44">
        <f>FiscalStart+(A2329-1)*7</f>
        <v/>
      </c>
      <c r="C2329">
        <f>TEXT(B2329,"mmm yyyy")</f>
        <v/>
      </c>
      <c r="D2329">
        <f>"Q"&amp;(INT((A2329-1)/13)+1)</f>
        <v/>
      </c>
      <c r="E2329" t="inlineStr">
        <is>
          <t>FDM</t>
        </is>
      </c>
      <c r="F2329">
        <f>IFERROR(INDEX(ChFormat,MATCH(E2329,ChName,0)),"")</f>
        <v/>
      </c>
      <c r="G2329" t="inlineStr">
        <is>
          <t>MB</t>
        </is>
      </c>
      <c r="H2329">
        <f>IF(A2329&lt;=NWeeks,1,0)</f>
        <v/>
      </c>
      <c r="I2329">
        <f>INDEX(ChLaunch,MATCH(E2329,ChName,0))</f>
        <v/>
      </c>
      <c r="J2329">
        <f>INDEX(ChWeeksFull,MATCH(E2329,ChName,0))</f>
        <v/>
      </c>
      <c r="K2329">
        <f>INDEX(ChRamp,MATCH(E2329,ChName,0))</f>
        <v/>
      </c>
      <c r="L2329" s="45">
        <f>MIN(1,MAX(0,(A2329-I2329+1)*RampSpeed/J2329))</f>
        <v/>
      </c>
      <c r="M2329" s="45">
        <f>IF(A2329&lt;I2329,0,IF(K2329="S-curve",L2329*L2329*(3-2*L2329),L2329))</f>
        <v/>
      </c>
      <c r="N2329" s="45">
        <f>1+(INDEX(SeasonIdx,A2329)-1)*SeasonAmp</f>
        <v/>
      </c>
      <c r="O2329" s="45">
        <f>IFERROR(INDEX(PSPct,MATCH(E2329&amp;"|"&amp;G2329,PSKey,0)),0)</f>
        <v/>
      </c>
      <c r="P2329" s="46">
        <f>INDEX(ChDoorVel,MATCH(E2329,ChName,0))*CalibScalar*(1+VelocityUplift)</f>
        <v/>
      </c>
      <c r="Q2329" s="46" t="n">
        <v>0</v>
      </c>
      <c r="R2329" s="46">
        <f>P2329*O2329*M2329*N2329*H2329</f>
        <v/>
      </c>
      <c r="S2329" s="46">
        <f>R2329*INDEX(FmtCansPerCase,MATCH(F2329,FmtName,0))</f>
        <v/>
      </c>
      <c r="T2329" s="46">
        <f>S2329/INDEX(FmtCansPerPack,MATCH(F2329,FmtName,0))</f>
        <v/>
      </c>
      <c r="U2329" s="47">
        <f>INDEX(ChBaseCP,MATCH(E2329,ChName,0))*(1+INDEX(ProvMod,MATCH(G2329,ProvCode,0)))*(1+PriceIndex)</f>
        <v/>
      </c>
      <c r="V2329" s="47">
        <f>R2329*U2329*INDEX(FmtBlendedPriceIdx,MATCH(F2329,FmtName,0))</f>
        <v/>
      </c>
      <c r="W2329" s="47">
        <f>T2329*INDEX(ProvSRP,MATCH(G2329,ProvCode,0))*(1+PriceIndex)</f>
        <v/>
      </c>
      <c r="X2329" s="47">
        <f>IF(GrossBasis="Wholesale",V2329,W2329)</f>
        <v/>
      </c>
      <c r="Y2329" s="47">
        <f>R2329*INDEX(FmtBlendedCogs,MATCH(F2329,FmtName,0))</f>
        <v/>
      </c>
      <c r="Z2329" s="47">
        <f>X2329-Y2329</f>
        <v/>
      </c>
    </row>
    <row r="2330">
      <c r="A2330" t="n">
        <v>50</v>
      </c>
      <c r="B2330" s="44">
        <f>FiscalStart+(A2330-1)*7</f>
        <v/>
      </c>
      <c r="C2330">
        <f>TEXT(B2330,"mmm yyyy")</f>
        <v/>
      </c>
      <c r="D2330">
        <f>"Q"&amp;(INT((A2330-1)/13)+1)</f>
        <v/>
      </c>
      <c r="E2330" t="inlineStr">
        <is>
          <t>FDM</t>
        </is>
      </c>
      <c r="F2330">
        <f>IFERROR(INDEX(ChFormat,MATCH(E2330,ChName,0)),"")</f>
        <v/>
      </c>
      <c r="G2330" t="inlineStr">
        <is>
          <t>MB</t>
        </is>
      </c>
      <c r="H2330">
        <f>IF(A2330&lt;=NWeeks,1,0)</f>
        <v/>
      </c>
      <c r="I2330">
        <f>INDEX(ChLaunch,MATCH(E2330,ChName,0))</f>
        <v/>
      </c>
      <c r="J2330">
        <f>INDEX(ChWeeksFull,MATCH(E2330,ChName,0))</f>
        <v/>
      </c>
      <c r="K2330">
        <f>INDEX(ChRamp,MATCH(E2330,ChName,0))</f>
        <v/>
      </c>
      <c r="L2330" s="45">
        <f>MIN(1,MAX(0,(A2330-I2330+1)*RampSpeed/J2330))</f>
        <v/>
      </c>
      <c r="M2330" s="45">
        <f>IF(A2330&lt;I2330,0,IF(K2330="S-curve",L2330*L2330*(3-2*L2330),L2330))</f>
        <v/>
      </c>
      <c r="N2330" s="45">
        <f>1+(INDEX(SeasonIdx,A2330)-1)*SeasonAmp</f>
        <v/>
      </c>
      <c r="O2330" s="45">
        <f>IFERROR(INDEX(PSPct,MATCH(E2330&amp;"|"&amp;G2330,PSKey,0)),0)</f>
        <v/>
      </c>
      <c r="P2330" s="46">
        <f>INDEX(ChDoorVel,MATCH(E2330,ChName,0))*CalibScalar*(1+VelocityUplift)</f>
        <v/>
      </c>
      <c r="Q2330" s="46" t="n">
        <v>0</v>
      </c>
      <c r="R2330" s="46">
        <f>P2330*O2330*M2330*N2330*H2330</f>
        <v/>
      </c>
      <c r="S2330" s="46">
        <f>R2330*INDEX(FmtCansPerCase,MATCH(F2330,FmtName,0))</f>
        <v/>
      </c>
      <c r="T2330" s="46">
        <f>S2330/INDEX(FmtCansPerPack,MATCH(F2330,FmtName,0))</f>
        <v/>
      </c>
      <c r="U2330" s="47">
        <f>INDEX(ChBaseCP,MATCH(E2330,ChName,0))*(1+INDEX(ProvMod,MATCH(G2330,ProvCode,0)))*(1+PriceIndex)</f>
        <v/>
      </c>
      <c r="V2330" s="47">
        <f>R2330*U2330*INDEX(FmtBlendedPriceIdx,MATCH(F2330,FmtName,0))</f>
        <v/>
      </c>
      <c r="W2330" s="47">
        <f>T2330*INDEX(ProvSRP,MATCH(G2330,ProvCode,0))*(1+PriceIndex)</f>
        <v/>
      </c>
      <c r="X2330" s="47">
        <f>IF(GrossBasis="Wholesale",V2330,W2330)</f>
        <v/>
      </c>
      <c r="Y2330" s="47">
        <f>R2330*INDEX(FmtBlendedCogs,MATCH(F2330,FmtName,0))</f>
        <v/>
      </c>
      <c r="Z2330" s="47">
        <f>X2330-Y2330</f>
        <v/>
      </c>
    </row>
    <row r="2331">
      <c r="A2331" t="n">
        <v>51</v>
      </c>
      <c r="B2331" s="44">
        <f>FiscalStart+(A2331-1)*7</f>
        <v/>
      </c>
      <c r="C2331">
        <f>TEXT(B2331,"mmm yyyy")</f>
        <v/>
      </c>
      <c r="D2331">
        <f>"Q"&amp;(INT((A2331-1)/13)+1)</f>
        <v/>
      </c>
      <c r="E2331" t="inlineStr">
        <is>
          <t>FDM</t>
        </is>
      </c>
      <c r="F2331">
        <f>IFERROR(INDEX(ChFormat,MATCH(E2331,ChName,0)),"")</f>
        <v/>
      </c>
      <c r="G2331" t="inlineStr">
        <is>
          <t>MB</t>
        </is>
      </c>
      <c r="H2331">
        <f>IF(A2331&lt;=NWeeks,1,0)</f>
        <v/>
      </c>
      <c r="I2331">
        <f>INDEX(ChLaunch,MATCH(E2331,ChName,0))</f>
        <v/>
      </c>
      <c r="J2331">
        <f>INDEX(ChWeeksFull,MATCH(E2331,ChName,0))</f>
        <v/>
      </c>
      <c r="K2331">
        <f>INDEX(ChRamp,MATCH(E2331,ChName,0))</f>
        <v/>
      </c>
      <c r="L2331" s="45">
        <f>MIN(1,MAX(0,(A2331-I2331+1)*RampSpeed/J2331))</f>
        <v/>
      </c>
      <c r="M2331" s="45">
        <f>IF(A2331&lt;I2331,0,IF(K2331="S-curve",L2331*L2331*(3-2*L2331),L2331))</f>
        <v/>
      </c>
      <c r="N2331" s="45">
        <f>1+(INDEX(SeasonIdx,A2331)-1)*SeasonAmp</f>
        <v/>
      </c>
      <c r="O2331" s="45">
        <f>IFERROR(INDEX(PSPct,MATCH(E2331&amp;"|"&amp;G2331,PSKey,0)),0)</f>
        <v/>
      </c>
      <c r="P2331" s="46">
        <f>INDEX(ChDoorVel,MATCH(E2331,ChName,0))*CalibScalar*(1+VelocityUplift)</f>
        <v/>
      </c>
      <c r="Q2331" s="46" t="n">
        <v>0</v>
      </c>
      <c r="R2331" s="46">
        <f>P2331*O2331*M2331*N2331*H2331</f>
        <v/>
      </c>
      <c r="S2331" s="46">
        <f>R2331*INDEX(FmtCansPerCase,MATCH(F2331,FmtName,0))</f>
        <v/>
      </c>
      <c r="T2331" s="46">
        <f>S2331/INDEX(FmtCansPerPack,MATCH(F2331,FmtName,0))</f>
        <v/>
      </c>
      <c r="U2331" s="47">
        <f>INDEX(ChBaseCP,MATCH(E2331,ChName,0))*(1+INDEX(ProvMod,MATCH(G2331,ProvCode,0)))*(1+PriceIndex)</f>
        <v/>
      </c>
      <c r="V2331" s="47">
        <f>R2331*U2331*INDEX(FmtBlendedPriceIdx,MATCH(F2331,FmtName,0))</f>
        <v/>
      </c>
      <c r="W2331" s="47">
        <f>T2331*INDEX(ProvSRP,MATCH(G2331,ProvCode,0))*(1+PriceIndex)</f>
        <v/>
      </c>
      <c r="X2331" s="47">
        <f>IF(GrossBasis="Wholesale",V2331,W2331)</f>
        <v/>
      </c>
      <c r="Y2331" s="47">
        <f>R2331*INDEX(FmtBlendedCogs,MATCH(F2331,FmtName,0))</f>
        <v/>
      </c>
      <c r="Z2331" s="47">
        <f>X2331-Y2331</f>
        <v/>
      </c>
    </row>
    <row r="2332">
      <c r="A2332" t="n">
        <v>52</v>
      </c>
      <c r="B2332" s="44">
        <f>FiscalStart+(A2332-1)*7</f>
        <v/>
      </c>
      <c r="C2332">
        <f>TEXT(B2332,"mmm yyyy")</f>
        <v/>
      </c>
      <c r="D2332">
        <f>"Q"&amp;(INT((A2332-1)/13)+1)</f>
        <v/>
      </c>
      <c r="E2332" t="inlineStr">
        <is>
          <t>FDM</t>
        </is>
      </c>
      <c r="F2332">
        <f>IFERROR(INDEX(ChFormat,MATCH(E2332,ChName,0)),"")</f>
        <v/>
      </c>
      <c r="G2332" t="inlineStr">
        <is>
          <t>MB</t>
        </is>
      </c>
      <c r="H2332">
        <f>IF(A2332&lt;=NWeeks,1,0)</f>
        <v/>
      </c>
      <c r="I2332">
        <f>INDEX(ChLaunch,MATCH(E2332,ChName,0))</f>
        <v/>
      </c>
      <c r="J2332">
        <f>INDEX(ChWeeksFull,MATCH(E2332,ChName,0))</f>
        <v/>
      </c>
      <c r="K2332">
        <f>INDEX(ChRamp,MATCH(E2332,ChName,0))</f>
        <v/>
      </c>
      <c r="L2332" s="45">
        <f>MIN(1,MAX(0,(A2332-I2332+1)*RampSpeed/J2332))</f>
        <v/>
      </c>
      <c r="M2332" s="45">
        <f>IF(A2332&lt;I2332,0,IF(K2332="S-curve",L2332*L2332*(3-2*L2332),L2332))</f>
        <v/>
      </c>
      <c r="N2332" s="45">
        <f>1+(INDEX(SeasonIdx,A2332)-1)*SeasonAmp</f>
        <v/>
      </c>
      <c r="O2332" s="45">
        <f>IFERROR(INDEX(PSPct,MATCH(E2332&amp;"|"&amp;G2332,PSKey,0)),0)</f>
        <v/>
      </c>
      <c r="P2332" s="46">
        <f>INDEX(ChDoorVel,MATCH(E2332,ChName,0))*CalibScalar*(1+VelocityUplift)</f>
        <v/>
      </c>
      <c r="Q2332" s="46" t="n">
        <v>0</v>
      </c>
      <c r="R2332" s="46">
        <f>P2332*O2332*M2332*N2332*H2332</f>
        <v/>
      </c>
      <c r="S2332" s="46">
        <f>R2332*INDEX(FmtCansPerCase,MATCH(F2332,FmtName,0))</f>
        <v/>
      </c>
      <c r="T2332" s="46">
        <f>S2332/INDEX(FmtCansPerPack,MATCH(F2332,FmtName,0))</f>
        <v/>
      </c>
      <c r="U2332" s="47">
        <f>INDEX(ChBaseCP,MATCH(E2332,ChName,0))*(1+INDEX(ProvMod,MATCH(G2332,ProvCode,0)))*(1+PriceIndex)</f>
        <v/>
      </c>
      <c r="V2332" s="47">
        <f>R2332*U2332*INDEX(FmtBlendedPriceIdx,MATCH(F2332,FmtName,0))</f>
        <v/>
      </c>
      <c r="W2332" s="47">
        <f>T2332*INDEX(ProvSRP,MATCH(G2332,ProvCode,0))*(1+PriceIndex)</f>
        <v/>
      </c>
      <c r="X2332" s="47">
        <f>IF(GrossBasis="Wholesale",V2332,W2332)</f>
        <v/>
      </c>
      <c r="Y2332" s="47">
        <f>R2332*INDEX(FmtBlendedCogs,MATCH(F2332,FmtName,0))</f>
        <v/>
      </c>
      <c r="Z2332" s="47">
        <f>X2332-Y2332</f>
        <v/>
      </c>
    </row>
    <row r="2333">
      <c r="A2333" t="n">
        <v>53</v>
      </c>
      <c r="B2333" s="44">
        <f>FiscalStart+(A2333-1)*7</f>
        <v/>
      </c>
      <c r="C2333">
        <f>TEXT(B2333,"mmm yyyy")</f>
        <v/>
      </c>
      <c r="D2333">
        <f>"Q"&amp;(INT((A2333-1)/13)+1)</f>
        <v/>
      </c>
      <c r="E2333" t="inlineStr">
        <is>
          <t>FDM</t>
        </is>
      </c>
      <c r="F2333">
        <f>IFERROR(INDEX(ChFormat,MATCH(E2333,ChName,0)),"")</f>
        <v/>
      </c>
      <c r="G2333" t="inlineStr">
        <is>
          <t>MB</t>
        </is>
      </c>
      <c r="H2333">
        <f>IF(A2333&lt;=NWeeks,1,0)</f>
        <v/>
      </c>
      <c r="I2333">
        <f>INDEX(ChLaunch,MATCH(E2333,ChName,0))</f>
        <v/>
      </c>
      <c r="J2333">
        <f>INDEX(ChWeeksFull,MATCH(E2333,ChName,0))</f>
        <v/>
      </c>
      <c r="K2333">
        <f>INDEX(ChRamp,MATCH(E2333,ChName,0))</f>
        <v/>
      </c>
      <c r="L2333" s="45">
        <f>MIN(1,MAX(0,(A2333-I2333+1)*RampSpeed/J2333))</f>
        <v/>
      </c>
      <c r="M2333" s="45">
        <f>IF(A2333&lt;I2333,0,IF(K2333="S-curve",L2333*L2333*(3-2*L2333),L2333))</f>
        <v/>
      </c>
      <c r="N2333" s="45">
        <f>1+(INDEX(SeasonIdx,A2333)-1)*SeasonAmp</f>
        <v/>
      </c>
      <c r="O2333" s="45">
        <f>IFERROR(INDEX(PSPct,MATCH(E2333&amp;"|"&amp;G2333,PSKey,0)),0)</f>
        <v/>
      </c>
      <c r="P2333" s="46">
        <f>INDEX(ChDoorVel,MATCH(E2333,ChName,0))*CalibScalar*(1+VelocityUplift)</f>
        <v/>
      </c>
      <c r="Q2333" s="46" t="n">
        <v>0</v>
      </c>
      <c r="R2333" s="46">
        <f>P2333*O2333*M2333*N2333*H2333</f>
        <v/>
      </c>
      <c r="S2333" s="46">
        <f>R2333*INDEX(FmtCansPerCase,MATCH(F2333,FmtName,0))</f>
        <v/>
      </c>
      <c r="T2333" s="46">
        <f>S2333/INDEX(FmtCansPerPack,MATCH(F2333,FmtName,0))</f>
        <v/>
      </c>
      <c r="U2333" s="47">
        <f>INDEX(ChBaseCP,MATCH(E2333,ChName,0))*(1+INDEX(ProvMod,MATCH(G2333,ProvCode,0)))*(1+PriceIndex)</f>
        <v/>
      </c>
      <c r="V2333" s="47">
        <f>R2333*U2333*INDEX(FmtBlendedPriceIdx,MATCH(F2333,FmtName,0))</f>
        <v/>
      </c>
      <c r="W2333" s="47">
        <f>T2333*INDEX(ProvSRP,MATCH(G2333,ProvCode,0))*(1+PriceIndex)</f>
        <v/>
      </c>
      <c r="X2333" s="47">
        <f>IF(GrossBasis="Wholesale",V2333,W2333)</f>
        <v/>
      </c>
      <c r="Y2333" s="47">
        <f>R2333*INDEX(FmtBlendedCogs,MATCH(F2333,FmtName,0))</f>
        <v/>
      </c>
      <c r="Z2333" s="47">
        <f>X2333-Y2333</f>
        <v/>
      </c>
    </row>
    <row r="2334">
      <c r="A2334" t="n">
        <v>1</v>
      </c>
      <c r="B2334" s="44">
        <f>FiscalStart+(A2334-1)*7</f>
        <v/>
      </c>
      <c r="C2334">
        <f>TEXT(B2334,"mmm yyyy")</f>
        <v/>
      </c>
      <c r="D2334">
        <f>"Q"&amp;(INT((A2334-1)/13)+1)</f>
        <v/>
      </c>
      <c r="E2334" t="inlineStr">
        <is>
          <t>FDM</t>
        </is>
      </c>
      <c r="F2334">
        <f>IFERROR(INDEX(ChFormat,MATCH(E2334,ChName,0)),"")</f>
        <v/>
      </c>
      <c r="G2334" t="inlineStr">
        <is>
          <t>ON</t>
        </is>
      </c>
      <c r="H2334">
        <f>IF(A2334&lt;=NWeeks,1,0)</f>
        <v/>
      </c>
      <c r="I2334">
        <f>INDEX(ChLaunch,MATCH(E2334,ChName,0))</f>
        <v/>
      </c>
      <c r="J2334">
        <f>INDEX(ChWeeksFull,MATCH(E2334,ChName,0))</f>
        <v/>
      </c>
      <c r="K2334">
        <f>INDEX(ChRamp,MATCH(E2334,ChName,0))</f>
        <v/>
      </c>
      <c r="L2334" s="45">
        <f>MIN(1,MAX(0,(A2334-I2334+1)*RampSpeed/J2334))</f>
        <v/>
      </c>
      <c r="M2334" s="45">
        <f>IF(A2334&lt;I2334,0,IF(K2334="S-curve",L2334*L2334*(3-2*L2334),L2334))</f>
        <v/>
      </c>
      <c r="N2334" s="45">
        <f>1+(INDEX(SeasonIdx,A2334)-1)*SeasonAmp</f>
        <v/>
      </c>
      <c r="O2334" s="45">
        <f>IFERROR(INDEX(PSPct,MATCH(E2334&amp;"|"&amp;G2334,PSKey,0)),0)</f>
        <v/>
      </c>
      <c r="P2334" s="46">
        <f>INDEX(ChDoorVel,MATCH(E2334,ChName,0))*CalibScalar*(1+VelocityUplift)</f>
        <v/>
      </c>
      <c r="Q2334" s="46" t="n">
        <v>0</v>
      </c>
      <c r="R2334" s="46">
        <f>P2334*O2334*M2334*N2334*H2334</f>
        <v/>
      </c>
      <c r="S2334" s="46">
        <f>R2334*INDEX(FmtCansPerCase,MATCH(F2334,FmtName,0))</f>
        <v/>
      </c>
      <c r="T2334" s="46">
        <f>S2334/INDEX(FmtCansPerPack,MATCH(F2334,FmtName,0))</f>
        <v/>
      </c>
      <c r="U2334" s="47">
        <f>INDEX(ChBaseCP,MATCH(E2334,ChName,0))*(1+INDEX(ProvMod,MATCH(G2334,ProvCode,0)))*(1+PriceIndex)</f>
        <v/>
      </c>
      <c r="V2334" s="47">
        <f>R2334*U2334*INDEX(FmtBlendedPriceIdx,MATCH(F2334,FmtName,0))</f>
        <v/>
      </c>
      <c r="W2334" s="47">
        <f>T2334*INDEX(ProvSRP,MATCH(G2334,ProvCode,0))*(1+PriceIndex)</f>
        <v/>
      </c>
      <c r="X2334" s="47">
        <f>IF(GrossBasis="Wholesale",V2334,W2334)</f>
        <v/>
      </c>
      <c r="Y2334" s="47">
        <f>R2334*INDEX(FmtBlendedCogs,MATCH(F2334,FmtName,0))</f>
        <v/>
      </c>
      <c r="Z2334" s="47">
        <f>X2334-Y2334</f>
        <v/>
      </c>
    </row>
    <row r="2335">
      <c r="A2335" t="n">
        <v>2</v>
      </c>
      <c r="B2335" s="44">
        <f>FiscalStart+(A2335-1)*7</f>
        <v/>
      </c>
      <c r="C2335">
        <f>TEXT(B2335,"mmm yyyy")</f>
        <v/>
      </c>
      <c r="D2335">
        <f>"Q"&amp;(INT((A2335-1)/13)+1)</f>
        <v/>
      </c>
      <c r="E2335" t="inlineStr">
        <is>
          <t>FDM</t>
        </is>
      </c>
      <c r="F2335">
        <f>IFERROR(INDEX(ChFormat,MATCH(E2335,ChName,0)),"")</f>
        <v/>
      </c>
      <c r="G2335" t="inlineStr">
        <is>
          <t>ON</t>
        </is>
      </c>
      <c r="H2335">
        <f>IF(A2335&lt;=NWeeks,1,0)</f>
        <v/>
      </c>
      <c r="I2335">
        <f>INDEX(ChLaunch,MATCH(E2335,ChName,0))</f>
        <v/>
      </c>
      <c r="J2335">
        <f>INDEX(ChWeeksFull,MATCH(E2335,ChName,0))</f>
        <v/>
      </c>
      <c r="K2335">
        <f>INDEX(ChRamp,MATCH(E2335,ChName,0))</f>
        <v/>
      </c>
      <c r="L2335" s="45">
        <f>MIN(1,MAX(0,(A2335-I2335+1)*RampSpeed/J2335))</f>
        <v/>
      </c>
      <c r="M2335" s="45">
        <f>IF(A2335&lt;I2335,0,IF(K2335="S-curve",L2335*L2335*(3-2*L2335),L2335))</f>
        <v/>
      </c>
      <c r="N2335" s="45">
        <f>1+(INDEX(SeasonIdx,A2335)-1)*SeasonAmp</f>
        <v/>
      </c>
      <c r="O2335" s="45">
        <f>IFERROR(INDEX(PSPct,MATCH(E2335&amp;"|"&amp;G2335,PSKey,0)),0)</f>
        <v/>
      </c>
      <c r="P2335" s="46">
        <f>INDEX(ChDoorVel,MATCH(E2335,ChName,0))*CalibScalar*(1+VelocityUplift)</f>
        <v/>
      </c>
      <c r="Q2335" s="46" t="n">
        <v>0</v>
      </c>
      <c r="R2335" s="46">
        <f>P2335*O2335*M2335*N2335*H2335</f>
        <v/>
      </c>
      <c r="S2335" s="46">
        <f>R2335*INDEX(FmtCansPerCase,MATCH(F2335,FmtName,0))</f>
        <v/>
      </c>
      <c r="T2335" s="46">
        <f>S2335/INDEX(FmtCansPerPack,MATCH(F2335,FmtName,0))</f>
        <v/>
      </c>
      <c r="U2335" s="47">
        <f>INDEX(ChBaseCP,MATCH(E2335,ChName,0))*(1+INDEX(ProvMod,MATCH(G2335,ProvCode,0)))*(1+PriceIndex)</f>
        <v/>
      </c>
      <c r="V2335" s="47">
        <f>R2335*U2335*INDEX(FmtBlendedPriceIdx,MATCH(F2335,FmtName,0))</f>
        <v/>
      </c>
      <c r="W2335" s="47">
        <f>T2335*INDEX(ProvSRP,MATCH(G2335,ProvCode,0))*(1+PriceIndex)</f>
        <v/>
      </c>
      <c r="X2335" s="47">
        <f>IF(GrossBasis="Wholesale",V2335,W2335)</f>
        <v/>
      </c>
      <c r="Y2335" s="47">
        <f>R2335*INDEX(FmtBlendedCogs,MATCH(F2335,FmtName,0))</f>
        <v/>
      </c>
      <c r="Z2335" s="47">
        <f>X2335-Y2335</f>
        <v/>
      </c>
    </row>
    <row r="2336">
      <c r="A2336" t="n">
        <v>3</v>
      </c>
      <c r="B2336" s="44">
        <f>FiscalStart+(A2336-1)*7</f>
        <v/>
      </c>
      <c r="C2336">
        <f>TEXT(B2336,"mmm yyyy")</f>
        <v/>
      </c>
      <c r="D2336">
        <f>"Q"&amp;(INT((A2336-1)/13)+1)</f>
        <v/>
      </c>
      <c r="E2336" t="inlineStr">
        <is>
          <t>FDM</t>
        </is>
      </c>
      <c r="F2336">
        <f>IFERROR(INDEX(ChFormat,MATCH(E2336,ChName,0)),"")</f>
        <v/>
      </c>
      <c r="G2336" t="inlineStr">
        <is>
          <t>ON</t>
        </is>
      </c>
      <c r="H2336">
        <f>IF(A2336&lt;=NWeeks,1,0)</f>
        <v/>
      </c>
      <c r="I2336">
        <f>INDEX(ChLaunch,MATCH(E2336,ChName,0))</f>
        <v/>
      </c>
      <c r="J2336">
        <f>INDEX(ChWeeksFull,MATCH(E2336,ChName,0))</f>
        <v/>
      </c>
      <c r="K2336">
        <f>INDEX(ChRamp,MATCH(E2336,ChName,0))</f>
        <v/>
      </c>
      <c r="L2336" s="45">
        <f>MIN(1,MAX(0,(A2336-I2336+1)*RampSpeed/J2336))</f>
        <v/>
      </c>
      <c r="M2336" s="45">
        <f>IF(A2336&lt;I2336,0,IF(K2336="S-curve",L2336*L2336*(3-2*L2336),L2336))</f>
        <v/>
      </c>
      <c r="N2336" s="45">
        <f>1+(INDEX(SeasonIdx,A2336)-1)*SeasonAmp</f>
        <v/>
      </c>
      <c r="O2336" s="45">
        <f>IFERROR(INDEX(PSPct,MATCH(E2336&amp;"|"&amp;G2336,PSKey,0)),0)</f>
        <v/>
      </c>
      <c r="P2336" s="46">
        <f>INDEX(ChDoorVel,MATCH(E2336,ChName,0))*CalibScalar*(1+VelocityUplift)</f>
        <v/>
      </c>
      <c r="Q2336" s="46" t="n">
        <v>0</v>
      </c>
      <c r="R2336" s="46">
        <f>P2336*O2336*M2336*N2336*H2336</f>
        <v/>
      </c>
      <c r="S2336" s="46">
        <f>R2336*INDEX(FmtCansPerCase,MATCH(F2336,FmtName,0))</f>
        <v/>
      </c>
      <c r="T2336" s="46">
        <f>S2336/INDEX(FmtCansPerPack,MATCH(F2336,FmtName,0))</f>
        <v/>
      </c>
      <c r="U2336" s="47">
        <f>INDEX(ChBaseCP,MATCH(E2336,ChName,0))*(1+INDEX(ProvMod,MATCH(G2336,ProvCode,0)))*(1+PriceIndex)</f>
        <v/>
      </c>
      <c r="V2336" s="47">
        <f>R2336*U2336*INDEX(FmtBlendedPriceIdx,MATCH(F2336,FmtName,0))</f>
        <v/>
      </c>
      <c r="W2336" s="47">
        <f>T2336*INDEX(ProvSRP,MATCH(G2336,ProvCode,0))*(1+PriceIndex)</f>
        <v/>
      </c>
      <c r="X2336" s="47">
        <f>IF(GrossBasis="Wholesale",V2336,W2336)</f>
        <v/>
      </c>
      <c r="Y2336" s="47">
        <f>R2336*INDEX(FmtBlendedCogs,MATCH(F2336,FmtName,0))</f>
        <v/>
      </c>
      <c r="Z2336" s="47">
        <f>X2336-Y2336</f>
        <v/>
      </c>
    </row>
    <row r="2337">
      <c r="A2337" t="n">
        <v>4</v>
      </c>
      <c r="B2337" s="44">
        <f>FiscalStart+(A2337-1)*7</f>
        <v/>
      </c>
      <c r="C2337">
        <f>TEXT(B2337,"mmm yyyy")</f>
        <v/>
      </c>
      <c r="D2337">
        <f>"Q"&amp;(INT((A2337-1)/13)+1)</f>
        <v/>
      </c>
      <c r="E2337" t="inlineStr">
        <is>
          <t>FDM</t>
        </is>
      </c>
      <c r="F2337">
        <f>IFERROR(INDEX(ChFormat,MATCH(E2337,ChName,0)),"")</f>
        <v/>
      </c>
      <c r="G2337" t="inlineStr">
        <is>
          <t>ON</t>
        </is>
      </c>
      <c r="H2337">
        <f>IF(A2337&lt;=NWeeks,1,0)</f>
        <v/>
      </c>
      <c r="I2337">
        <f>INDEX(ChLaunch,MATCH(E2337,ChName,0))</f>
        <v/>
      </c>
      <c r="J2337">
        <f>INDEX(ChWeeksFull,MATCH(E2337,ChName,0))</f>
        <v/>
      </c>
      <c r="K2337">
        <f>INDEX(ChRamp,MATCH(E2337,ChName,0))</f>
        <v/>
      </c>
      <c r="L2337" s="45">
        <f>MIN(1,MAX(0,(A2337-I2337+1)*RampSpeed/J2337))</f>
        <v/>
      </c>
      <c r="M2337" s="45">
        <f>IF(A2337&lt;I2337,0,IF(K2337="S-curve",L2337*L2337*(3-2*L2337),L2337))</f>
        <v/>
      </c>
      <c r="N2337" s="45">
        <f>1+(INDEX(SeasonIdx,A2337)-1)*SeasonAmp</f>
        <v/>
      </c>
      <c r="O2337" s="45">
        <f>IFERROR(INDEX(PSPct,MATCH(E2337&amp;"|"&amp;G2337,PSKey,0)),0)</f>
        <v/>
      </c>
      <c r="P2337" s="46">
        <f>INDEX(ChDoorVel,MATCH(E2337,ChName,0))*CalibScalar*(1+VelocityUplift)</f>
        <v/>
      </c>
      <c r="Q2337" s="46" t="n">
        <v>0</v>
      </c>
      <c r="R2337" s="46">
        <f>P2337*O2337*M2337*N2337*H2337</f>
        <v/>
      </c>
      <c r="S2337" s="46">
        <f>R2337*INDEX(FmtCansPerCase,MATCH(F2337,FmtName,0))</f>
        <v/>
      </c>
      <c r="T2337" s="46">
        <f>S2337/INDEX(FmtCansPerPack,MATCH(F2337,FmtName,0))</f>
        <v/>
      </c>
      <c r="U2337" s="47">
        <f>INDEX(ChBaseCP,MATCH(E2337,ChName,0))*(1+INDEX(ProvMod,MATCH(G2337,ProvCode,0)))*(1+PriceIndex)</f>
        <v/>
      </c>
      <c r="V2337" s="47">
        <f>R2337*U2337*INDEX(FmtBlendedPriceIdx,MATCH(F2337,FmtName,0))</f>
        <v/>
      </c>
      <c r="W2337" s="47">
        <f>T2337*INDEX(ProvSRP,MATCH(G2337,ProvCode,0))*(1+PriceIndex)</f>
        <v/>
      </c>
      <c r="X2337" s="47">
        <f>IF(GrossBasis="Wholesale",V2337,W2337)</f>
        <v/>
      </c>
      <c r="Y2337" s="47">
        <f>R2337*INDEX(FmtBlendedCogs,MATCH(F2337,FmtName,0))</f>
        <v/>
      </c>
      <c r="Z2337" s="47">
        <f>X2337-Y2337</f>
        <v/>
      </c>
    </row>
    <row r="2338">
      <c r="A2338" t="n">
        <v>5</v>
      </c>
      <c r="B2338" s="44">
        <f>FiscalStart+(A2338-1)*7</f>
        <v/>
      </c>
      <c r="C2338">
        <f>TEXT(B2338,"mmm yyyy")</f>
        <v/>
      </c>
      <c r="D2338">
        <f>"Q"&amp;(INT((A2338-1)/13)+1)</f>
        <v/>
      </c>
      <c r="E2338" t="inlineStr">
        <is>
          <t>FDM</t>
        </is>
      </c>
      <c r="F2338">
        <f>IFERROR(INDEX(ChFormat,MATCH(E2338,ChName,0)),"")</f>
        <v/>
      </c>
      <c r="G2338" t="inlineStr">
        <is>
          <t>ON</t>
        </is>
      </c>
      <c r="H2338">
        <f>IF(A2338&lt;=NWeeks,1,0)</f>
        <v/>
      </c>
      <c r="I2338">
        <f>INDEX(ChLaunch,MATCH(E2338,ChName,0))</f>
        <v/>
      </c>
      <c r="J2338">
        <f>INDEX(ChWeeksFull,MATCH(E2338,ChName,0))</f>
        <v/>
      </c>
      <c r="K2338">
        <f>INDEX(ChRamp,MATCH(E2338,ChName,0))</f>
        <v/>
      </c>
      <c r="L2338" s="45">
        <f>MIN(1,MAX(0,(A2338-I2338+1)*RampSpeed/J2338))</f>
        <v/>
      </c>
      <c r="M2338" s="45">
        <f>IF(A2338&lt;I2338,0,IF(K2338="S-curve",L2338*L2338*(3-2*L2338),L2338))</f>
        <v/>
      </c>
      <c r="N2338" s="45">
        <f>1+(INDEX(SeasonIdx,A2338)-1)*SeasonAmp</f>
        <v/>
      </c>
      <c r="O2338" s="45">
        <f>IFERROR(INDEX(PSPct,MATCH(E2338&amp;"|"&amp;G2338,PSKey,0)),0)</f>
        <v/>
      </c>
      <c r="P2338" s="46">
        <f>INDEX(ChDoorVel,MATCH(E2338,ChName,0))*CalibScalar*(1+VelocityUplift)</f>
        <v/>
      </c>
      <c r="Q2338" s="46" t="n">
        <v>0</v>
      </c>
      <c r="R2338" s="46">
        <f>P2338*O2338*M2338*N2338*H2338</f>
        <v/>
      </c>
      <c r="S2338" s="46">
        <f>R2338*INDEX(FmtCansPerCase,MATCH(F2338,FmtName,0))</f>
        <v/>
      </c>
      <c r="T2338" s="46">
        <f>S2338/INDEX(FmtCansPerPack,MATCH(F2338,FmtName,0))</f>
        <v/>
      </c>
      <c r="U2338" s="47">
        <f>INDEX(ChBaseCP,MATCH(E2338,ChName,0))*(1+INDEX(ProvMod,MATCH(G2338,ProvCode,0)))*(1+PriceIndex)</f>
        <v/>
      </c>
      <c r="V2338" s="47">
        <f>R2338*U2338*INDEX(FmtBlendedPriceIdx,MATCH(F2338,FmtName,0))</f>
        <v/>
      </c>
      <c r="W2338" s="47">
        <f>T2338*INDEX(ProvSRP,MATCH(G2338,ProvCode,0))*(1+PriceIndex)</f>
        <v/>
      </c>
      <c r="X2338" s="47">
        <f>IF(GrossBasis="Wholesale",V2338,W2338)</f>
        <v/>
      </c>
      <c r="Y2338" s="47">
        <f>R2338*INDEX(FmtBlendedCogs,MATCH(F2338,FmtName,0))</f>
        <v/>
      </c>
      <c r="Z2338" s="47">
        <f>X2338-Y2338</f>
        <v/>
      </c>
    </row>
    <row r="2339">
      <c r="A2339" t="n">
        <v>6</v>
      </c>
      <c r="B2339" s="44">
        <f>FiscalStart+(A2339-1)*7</f>
        <v/>
      </c>
      <c r="C2339">
        <f>TEXT(B2339,"mmm yyyy")</f>
        <v/>
      </c>
      <c r="D2339">
        <f>"Q"&amp;(INT((A2339-1)/13)+1)</f>
        <v/>
      </c>
      <c r="E2339" t="inlineStr">
        <is>
          <t>FDM</t>
        </is>
      </c>
      <c r="F2339">
        <f>IFERROR(INDEX(ChFormat,MATCH(E2339,ChName,0)),"")</f>
        <v/>
      </c>
      <c r="G2339" t="inlineStr">
        <is>
          <t>ON</t>
        </is>
      </c>
      <c r="H2339">
        <f>IF(A2339&lt;=NWeeks,1,0)</f>
        <v/>
      </c>
      <c r="I2339">
        <f>INDEX(ChLaunch,MATCH(E2339,ChName,0))</f>
        <v/>
      </c>
      <c r="J2339">
        <f>INDEX(ChWeeksFull,MATCH(E2339,ChName,0))</f>
        <v/>
      </c>
      <c r="K2339">
        <f>INDEX(ChRamp,MATCH(E2339,ChName,0))</f>
        <v/>
      </c>
      <c r="L2339" s="45">
        <f>MIN(1,MAX(0,(A2339-I2339+1)*RampSpeed/J2339))</f>
        <v/>
      </c>
      <c r="M2339" s="45">
        <f>IF(A2339&lt;I2339,0,IF(K2339="S-curve",L2339*L2339*(3-2*L2339),L2339))</f>
        <v/>
      </c>
      <c r="N2339" s="45">
        <f>1+(INDEX(SeasonIdx,A2339)-1)*SeasonAmp</f>
        <v/>
      </c>
      <c r="O2339" s="45">
        <f>IFERROR(INDEX(PSPct,MATCH(E2339&amp;"|"&amp;G2339,PSKey,0)),0)</f>
        <v/>
      </c>
      <c r="P2339" s="46">
        <f>INDEX(ChDoorVel,MATCH(E2339,ChName,0))*CalibScalar*(1+VelocityUplift)</f>
        <v/>
      </c>
      <c r="Q2339" s="46" t="n">
        <v>0</v>
      </c>
      <c r="R2339" s="46">
        <f>P2339*O2339*M2339*N2339*H2339</f>
        <v/>
      </c>
      <c r="S2339" s="46">
        <f>R2339*INDEX(FmtCansPerCase,MATCH(F2339,FmtName,0))</f>
        <v/>
      </c>
      <c r="T2339" s="46">
        <f>S2339/INDEX(FmtCansPerPack,MATCH(F2339,FmtName,0))</f>
        <v/>
      </c>
      <c r="U2339" s="47">
        <f>INDEX(ChBaseCP,MATCH(E2339,ChName,0))*(1+INDEX(ProvMod,MATCH(G2339,ProvCode,0)))*(1+PriceIndex)</f>
        <v/>
      </c>
      <c r="V2339" s="47">
        <f>R2339*U2339*INDEX(FmtBlendedPriceIdx,MATCH(F2339,FmtName,0))</f>
        <v/>
      </c>
      <c r="W2339" s="47">
        <f>T2339*INDEX(ProvSRP,MATCH(G2339,ProvCode,0))*(1+PriceIndex)</f>
        <v/>
      </c>
      <c r="X2339" s="47">
        <f>IF(GrossBasis="Wholesale",V2339,W2339)</f>
        <v/>
      </c>
      <c r="Y2339" s="47">
        <f>R2339*INDEX(FmtBlendedCogs,MATCH(F2339,FmtName,0))</f>
        <v/>
      </c>
      <c r="Z2339" s="47">
        <f>X2339-Y2339</f>
        <v/>
      </c>
    </row>
    <row r="2340">
      <c r="A2340" t="n">
        <v>7</v>
      </c>
      <c r="B2340" s="44">
        <f>FiscalStart+(A2340-1)*7</f>
        <v/>
      </c>
      <c r="C2340">
        <f>TEXT(B2340,"mmm yyyy")</f>
        <v/>
      </c>
      <c r="D2340">
        <f>"Q"&amp;(INT((A2340-1)/13)+1)</f>
        <v/>
      </c>
      <c r="E2340" t="inlineStr">
        <is>
          <t>FDM</t>
        </is>
      </c>
      <c r="F2340">
        <f>IFERROR(INDEX(ChFormat,MATCH(E2340,ChName,0)),"")</f>
        <v/>
      </c>
      <c r="G2340" t="inlineStr">
        <is>
          <t>ON</t>
        </is>
      </c>
      <c r="H2340">
        <f>IF(A2340&lt;=NWeeks,1,0)</f>
        <v/>
      </c>
      <c r="I2340">
        <f>INDEX(ChLaunch,MATCH(E2340,ChName,0))</f>
        <v/>
      </c>
      <c r="J2340">
        <f>INDEX(ChWeeksFull,MATCH(E2340,ChName,0))</f>
        <v/>
      </c>
      <c r="K2340">
        <f>INDEX(ChRamp,MATCH(E2340,ChName,0))</f>
        <v/>
      </c>
      <c r="L2340" s="45">
        <f>MIN(1,MAX(0,(A2340-I2340+1)*RampSpeed/J2340))</f>
        <v/>
      </c>
      <c r="M2340" s="45">
        <f>IF(A2340&lt;I2340,0,IF(K2340="S-curve",L2340*L2340*(3-2*L2340),L2340))</f>
        <v/>
      </c>
      <c r="N2340" s="45">
        <f>1+(INDEX(SeasonIdx,A2340)-1)*SeasonAmp</f>
        <v/>
      </c>
      <c r="O2340" s="45">
        <f>IFERROR(INDEX(PSPct,MATCH(E2340&amp;"|"&amp;G2340,PSKey,0)),0)</f>
        <v/>
      </c>
      <c r="P2340" s="46">
        <f>INDEX(ChDoorVel,MATCH(E2340,ChName,0))*CalibScalar*(1+VelocityUplift)</f>
        <v/>
      </c>
      <c r="Q2340" s="46" t="n">
        <v>0</v>
      </c>
      <c r="R2340" s="46">
        <f>P2340*O2340*M2340*N2340*H2340</f>
        <v/>
      </c>
      <c r="S2340" s="46">
        <f>R2340*INDEX(FmtCansPerCase,MATCH(F2340,FmtName,0))</f>
        <v/>
      </c>
      <c r="T2340" s="46">
        <f>S2340/INDEX(FmtCansPerPack,MATCH(F2340,FmtName,0))</f>
        <v/>
      </c>
      <c r="U2340" s="47">
        <f>INDEX(ChBaseCP,MATCH(E2340,ChName,0))*(1+INDEX(ProvMod,MATCH(G2340,ProvCode,0)))*(1+PriceIndex)</f>
        <v/>
      </c>
      <c r="V2340" s="47">
        <f>R2340*U2340*INDEX(FmtBlendedPriceIdx,MATCH(F2340,FmtName,0))</f>
        <v/>
      </c>
      <c r="W2340" s="47">
        <f>T2340*INDEX(ProvSRP,MATCH(G2340,ProvCode,0))*(1+PriceIndex)</f>
        <v/>
      </c>
      <c r="X2340" s="47">
        <f>IF(GrossBasis="Wholesale",V2340,W2340)</f>
        <v/>
      </c>
      <c r="Y2340" s="47">
        <f>R2340*INDEX(FmtBlendedCogs,MATCH(F2340,FmtName,0))</f>
        <v/>
      </c>
      <c r="Z2340" s="47">
        <f>X2340-Y2340</f>
        <v/>
      </c>
    </row>
    <row r="2341">
      <c r="A2341" t="n">
        <v>8</v>
      </c>
      <c r="B2341" s="44">
        <f>FiscalStart+(A2341-1)*7</f>
        <v/>
      </c>
      <c r="C2341">
        <f>TEXT(B2341,"mmm yyyy")</f>
        <v/>
      </c>
      <c r="D2341">
        <f>"Q"&amp;(INT((A2341-1)/13)+1)</f>
        <v/>
      </c>
      <c r="E2341" t="inlineStr">
        <is>
          <t>FDM</t>
        </is>
      </c>
      <c r="F2341">
        <f>IFERROR(INDEX(ChFormat,MATCH(E2341,ChName,0)),"")</f>
        <v/>
      </c>
      <c r="G2341" t="inlineStr">
        <is>
          <t>ON</t>
        </is>
      </c>
      <c r="H2341">
        <f>IF(A2341&lt;=NWeeks,1,0)</f>
        <v/>
      </c>
      <c r="I2341">
        <f>INDEX(ChLaunch,MATCH(E2341,ChName,0))</f>
        <v/>
      </c>
      <c r="J2341">
        <f>INDEX(ChWeeksFull,MATCH(E2341,ChName,0))</f>
        <v/>
      </c>
      <c r="K2341">
        <f>INDEX(ChRamp,MATCH(E2341,ChName,0))</f>
        <v/>
      </c>
      <c r="L2341" s="45">
        <f>MIN(1,MAX(0,(A2341-I2341+1)*RampSpeed/J2341))</f>
        <v/>
      </c>
      <c r="M2341" s="45">
        <f>IF(A2341&lt;I2341,0,IF(K2341="S-curve",L2341*L2341*(3-2*L2341),L2341))</f>
        <v/>
      </c>
      <c r="N2341" s="45">
        <f>1+(INDEX(SeasonIdx,A2341)-1)*SeasonAmp</f>
        <v/>
      </c>
      <c r="O2341" s="45">
        <f>IFERROR(INDEX(PSPct,MATCH(E2341&amp;"|"&amp;G2341,PSKey,0)),0)</f>
        <v/>
      </c>
      <c r="P2341" s="46">
        <f>INDEX(ChDoorVel,MATCH(E2341,ChName,0))*CalibScalar*(1+VelocityUplift)</f>
        <v/>
      </c>
      <c r="Q2341" s="46" t="n">
        <v>0</v>
      </c>
      <c r="R2341" s="46">
        <f>P2341*O2341*M2341*N2341*H2341</f>
        <v/>
      </c>
      <c r="S2341" s="46">
        <f>R2341*INDEX(FmtCansPerCase,MATCH(F2341,FmtName,0))</f>
        <v/>
      </c>
      <c r="T2341" s="46">
        <f>S2341/INDEX(FmtCansPerPack,MATCH(F2341,FmtName,0))</f>
        <v/>
      </c>
      <c r="U2341" s="47">
        <f>INDEX(ChBaseCP,MATCH(E2341,ChName,0))*(1+INDEX(ProvMod,MATCH(G2341,ProvCode,0)))*(1+PriceIndex)</f>
        <v/>
      </c>
      <c r="V2341" s="47">
        <f>R2341*U2341*INDEX(FmtBlendedPriceIdx,MATCH(F2341,FmtName,0))</f>
        <v/>
      </c>
      <c r="W2341" s="47">
        <f>T2341*INDEX(ProvSRP,MATCH(G2341,ProvCode,0))*(1+PriceIndex)</f>
        <v/>
      </c>
      <c r="X2341" s="47">
        <f>IF(GrossBasis="Wholesale",V2341,W2341)</f>
        <v/>
      </c>
      <c r="Y2341" s="47">
        <f>R2341*INDEX(FmtBlendedCogs,MATCH(F2341,FmtName,0))</f>
        <v/>
      </c>
      <c r="Z2341" s="47">
        <f>X2341-Y2341</f>
        <v/>
      </c>
    </row>
    <row r="2342">
      <c r="A2342" t="n">
        <v>9</v>
      </c>
      <c r="B2342" s="44">
        <f>FiscalStart+(A2342-1)*7</f>
        <v/>
      </c>
      <c r="C2342">
        <f>TEXT(B2342,"mmm yyyy")</f>
        <v/>
      </c>
      <c r="D2342">
        <f>"Q"&amp;(INT((A2342-1)/13)+1)</f>
        <v/>
      </c>
      <c r="E2342" t="inlineStr">
        <is>
          <t>FDM</t>
        </is>
      </c>
      <c r="F2342">
        <f>IFERROR(INDEX(ChFormat,MATCH(E2342,ChName,0)),"")</f>
        <v/>
      </c>
      <c r="G2342" t="inlineStr">
        <is>
          <t>ON</t>
        </is>
      </c>
      <c r="H2342">
        <f>IF(A2342&lt;=NWeeks,1,0)</f>
        <v/>
      </c>
      <c r="I2342">
        <f>INDEX(ChLaunch,MATCH(E2342,ChName,0))</f>
        <v/>
      </c>
      <c r="J2342">
        <f>INDEX(ChWeeksFull,MATCH(E2342,ChName,0))</f>
        <v/>
      </c>
      <c r="K2342">
        <f>INDEX(ChRamp,MATCH(E2342,ChName,0))</f>
        <v/>
      </c>
      <c r="L2342" s="45">
        <f>MIN(1,MAX(0,(A2342-I2342+1)*RampSpeed/J2342))</f>
        <v/>
      </c>
      <c r="M2342" s="45">
        <f>IF(A2342&lt;I2342,0,IF(K2342="S-curve",L2342*L2342*(3-2*L2342),L2342))</f>
        <v/>
      </c>
      <c r="N2342" s="45">
        <f>1+(INDEX(SeasonIdx,A2342)-1)*SeasonAmp</f>
        <v/>
      </c>
      <c r="O2342" s="45">
        <f>IFERROR(INDEX(PSPct,MATCH(E2342&amp;"|"&amp;G2342,PSKey,0)),0)</f>
        <v/>
      </c>
      <c r="P2342" s="46">
        <f>INDEX(ChDoorVel,MATCH(E2342,ChName,0))*CalibScalar*(1+VelocityUplift)</f>
        <v/>
      </c>
      <c r="Q2342" s="46" t="n">
        <v>0</v>
      </c>
      <c r="R2342" s="46">
        <f>P2342*O2342*M2342*N2342*H2342</f>
        <v/>
      </c>
      <c r="S2342" s="46">
        <f>R2342*INDEX(FmtCansPerCase,MATCH(F2342,FmtName,0))</f>
        <v/>
      </c>
      <c r="T2342" s="46">
        <f>S2342/INDEX(FmtCansPerPack,MATCH(F2342,FmtName,0))</f>
        <v/>
      </c>
      <c r="U2342" s="47">
        <f>INDEX(ChBaseCP,MATCH(E2342,ChName,0))*(1+INDEX(ProvMod,MATCH(G2342,ProvCode,0)))*(1+PriceIndex)</f>
        <v/>
      </c>
      <c r="V2342" s="47">
        <f>R2342*U2342*INDEX(FmtBlendedPriceIdx,MATCH(F2342,FmtName,0))</f>
        <v/>
      </c>
      <c r="W2342" s="47">
        <f>T2342*INDEX(ProvSRP,MATCH(G2342,ProvCode,0))*(1+PriceIndex)</f>
        <v/>
      </c>
      <c r="X2342" s="47">
        <f>IF(GrossBasis="Wholesale",V2342,W2342)</f>
        <v/>
      </c>
      <c r="Y2342" s="47">
        <f>R2342*INDEX(FmtBlendedCogs,MATCH(F2342,FmtName,0))</f>
        <v/>
      </c>
      <c r="Z2342" s="47">
        <f>X2342-Y2342</f>
        <v/>
      </c>
    </row>
    <row r="2343">
      <c r="A2343" t="n">
        <v>10</v>
      </c>
      <c r="B2343" s="44">
        <f>FiscalStart+(A2343-1)*7</f>
        <v/>
      </c>
      <c r="C2343">
        <f>TEXT(B2343,"mmm yyyy")</f>
        <v/>
      </c>
      <c r="D2343">
        <f>"Q"&amp;(INT((A2343-1)/13)+1)</f>
        <v/>
      </c>
      <c r="E2343" t="inlineStr">
        <is>
          <t>FDM</t>
        </is>
      </c>
      <c r="F2343">
        <f>IFERROR(INDEX(ChFormat,MATCH(E2343,ChName,0)),"")</f>
        <v/>
      </c>
      <c r="G2343" t="inlineStr">
        <is>
          <t>ON</t>
        </is>
      </c>
      <c r="H2343">
        <f>IF(A2343&lt;=NWeeks,1,0)</f>
        <v/>
      </c>
      <c r="I2343">
        <f>INDEX(ChLaunch,MATCH(E2343,ChName,0))</f>
        <v/>
      </c>
      <c r="J2343">
        <f>INDEX(ChWeeksFull,MATCH(E2343,ChName,0))</f>
        <v/>
      </c>
      <c r="K2343">
        <f>INDEX(ChRamp,MATCH(E2343,ChName,0))</f>
        <v/>
      </c>
      <c r="L2343" s="45">
        <f>MIN(1,MAX(0,(A2343-I2343+1)*RampSpeed/J2343))</f>
        <v/>
      </c>
      <c r="M2343" s="45">
        <f>IF(A2343&lt;I2343,0,IF(K2343="S-curve",L2343*L2343*(3-2*L2343),L2343))</f>
        <v/>
      </c>
      <c r="N2343" s="45">
        <f>1+(INDEX(SeasonIdx,A2343)-1)*SeasonAmp</f>
        <v/>
      </c>
      <c r="O2343" s="45">
        <f>IFERROR(INDEX(PSPct,MATCH(E2343&amp;"|"&amp;G2343,PSKey,0)),0)</f>
        <v/>
      </c>
      <c r="P2343" s="46">
        <f>INDEX(ChDoorVel,MATCH(E2343,ChName,0))*CalibScalar*(1+VelocityUplift)</f>
        <v/>
      </c>
      <c r="Q2343" s="46" t="n">
        <v>0</v>
      </c>
      <c r="R2343" s="46">
        <f>P2343*O2343*M2343*N2343*H2343</f>
        <v/>
      </c>
      <c r="S2343" s="46">
        <f>R2343*INDEX(FmtCansPerCase,MATCH(F2343,FmtName,0))</f>
        <v/>
      </c>
      <c r="T2343" s="46">
        <f>S2343/INDEX(FmtCansPerPack,MATCH(F2343,FmtName,0))</f>
        <v/>
      </c>
      <c r="U2343" s="47">
        <f>INDEX(ChBaseCP,MATCH(E2343,ChName,0))*(1+INDEX(ProvMod,MATCH(G2343,ProvCode,0)))*(1+PriceIndex)</f>
        <v/>
      </c>
      <c r="V2343" s="47">
        <f>R2343*U2343*INDEX(FmtBlendedPriceIdx,MATCH(F2343,FmtName,0))</f>
        <v/>
      </c>
      <c r="W2343" s="47">
        <f>T2343*INDEX(ProvSRP,MATCH(G2343,ProvCode,0))*(1+PriceIndex)</f>
        <v/>
      </c>
      <c r="X2343" s="47">
        <f>IF(GrossBasis="Wholesale",V2343,W2343)</f>
        <v/>
      </c>
      <c r="Y2343" s="47">
        <f>R2343*INDEX(FmtBlendedCogs,MATCH(F2343,FmtName,0))</f>
        <v/>
      </c>
      <c r="Z2343" s="47">
        <f>X2343-Y2343</f>
        <v/>
      </c>
    </row>
    <row r="2344">
      <c r="A2344" t="n">
        <v>11</v>
      </c>
      <c r="B2344" s="44">
        <f>FiscalStart+(A2344-1)*7</f>
        <v/>
      </c>
      <c r="C2344">
        <f>TEXT(B2344,"mmm yyyy")</f>
        <v/>
      </c>
      <c r="D2344">
        <f>"Q"&amp;(INT((A2344-1)/13)+1)</f>
        <v/>
      </c>
      <c r="E2344" t="inlineStr">
        <is>
          <t>FDM</t>
        </is>
      </c>
      <c r="F2344">
        <f>IFERROR(INDEX(ChFormat,MATCH(E2344,ChName,0)),"")</f>
        <v/>
      </c>
      <c r="G2344" t="inlineStr">
        <is>
          <t>ON</t>
        </is>
      </c>
      <c r="H2344">
        <f>IF(A2344&lt;=NWeeks,1,0)</f>
        <v/>
      </c>
      <c r="I2344">
        <f>INDEX(ChLaunch,MATCH(E2344,ChName,0))</f>
        <v/>
      </c>
      <c r="J2344">
        <f>INDEX(ChWeeksFull,MATCH(E2344,ChName,0))</f>
        <v/>
      </c>
      <c r="K2344">
        <f>INDEX(ChRamp,MATCH(E2344,ChName,0))</f>
        <v/>
      </c>
      <c r="L2344" s="45">
        <f>MIN(1,MAX(0,(A2344-I2344+1)*RampSpeed/J2344))</f>
        <v/>
      </c>
      <c r="M2344" s="45">
        <f>IF(A2344&lt;I2344,0,IF(K2344="S-curve",L2344*L2344*(3-2*L2344),L2344))</f>
        <v/>
      </c>
      <c r="N2344" s="45">
        <f>1+(INDEX(SeasonIdx,A2344)-1)*SeasonAmp</f>
        <v/>
      </c>
      <c r="O2344" s="45">
        <f>IFERROR(INDEX(PSPct,MATCH(E2344&amp;"|"&amp;G2344,PSKey,0)),0)</f>
        <v/>
      </c>
      <c r="P2344" s="46">
        <f>INDEX(ChDoorVel,MATCH(E2344,ChName,0))*CalibScalar*(1+VelocityUplift)</f>
        <v/>
      </c>
      <c r="Q2344" s="46" t="n">
        <v>0</v>
      </c>
      <c r="R2344" s="46">
        <f>P2344*O2344*M2344*N2344*H2344</f>
        <v/>
      </c>
      <c r="S2344" s="46">
        <f>R2344*INDEX(FmtCansPerCase,MATCH(F2344,FmtName,0))</f>
        <v/>
      </c>
      <c r="T2344" s="46">
        <f>S2344/INDEX(FmtCansPerPack,MATCH(F2344,FmtName,0))</f>
        <v/>
      </c>
      <c r="U2344" s="47">
        <f>INDEX(ChBaseCP,MATCH(E2344,ChName,0))*(1+INDEX(ProvMod,MATCH(G2344,ProvCode,0)))*(1+PriceIndex)</f>
        <v/>
      </c>
      <c r="V2344" s="47">
        <f>R2344*U2344*INDEX(FmtBlendedPriceIdx,MATCH(F2344,FmtName,0))</f>
        <v/>
      </c>
      <c r="W2344" s="47">
        <f>T2344*INDEX(ProvSRP,MATCH(G2344,ProvCode,0))*(1+PriceIndex)</f>
        <v/>
      </c>
      <c r="X2344" s="47">
        <f>IF(GrossBasis="Wholesale",V2344,W2344)</f>
        <v/>
      </c>
      <c r="Y2344" s="47">
        <f>R2344*INDEX(FmtBlendedCogs,MATCH(F2344,FmtName,0))</f>
        <v/>
      </c>
      <c r="Z2344" s="47">
        <f>X2344-Y2344</f>
        <v/>
      </c>
    </row>
    <row r="2345">
      <c r="A2345" t="n">
        <v>12</v>
      </c>
      <c r="B2345" s="44">
        <f>FiscalStart+(A2345-1)*7</f>
        <v/>
      </c>
      <c r="C2345">
        <f>TEXT(B2345,"mmm yyyy")</f>
        <v/>
      </c>
      <c r="D2345">
        <f>"Q"&amp;(INT((A2345-1)/13)+1)</f>
        <v/>
      </c>
      <c r="E2345" t="inlineStr">
        <is>
          <t>FDM</t>
        </is>
      </c>
      <c r="F2345">
        <f>IFERROR(INDEX(ChFormat,MATCH(E2345,ChName,0)),"")</f>
        <v/>
      </c>
      <c r="G2345" t="inlineStr">
        <is>
          <t>ON</t>
        </is>
      </c>
      <c r="H2345">
        <f>IF(A2345&lt;=NWeeks,1,0)</f>
        <v/>
      </c>
      <c r="I2345">
        <f>INDEX(ChLaunch,MATCH(E2345,ChName,0))</f>
        <v/>
      </c>
      <c r="J2345">
        <f>INDEX(ChWeeksFull,MATCH(E2345,ChName,0))</f>
        <v/>
      </c>
      <c r="K2345">
        <f>INDEX(ChRamp,MATCH(E2345,ChName,0))</f>
        <v/>
      </c>
      <c r="L2345" s="45">
        <f>MIN(1,MAX(0,(A2345-I2345+1)*RampSpeed/J2345))</f>
        <v/>
      </c>
      <c r="M2345" s="45">
        <f>IF(A2345&lt;I2345,0,IF(K2345="S-curve",L2345*L2345*(3-2*L2345),L2345))</f>
        <v/>
      </c>
      <c r="N2345" s="45">
        <f>1+(INDEX(SeasonIdx,A2345)-1)*SeasonAmp</f>
        <v/>
      </c>
      <c r="O2345" s="45">
        <f>IFERROR(INDEX(PSPct,MATCH(E2345&amp;"|"&amp;G2345,PSKey,0)),0)</f>
        <v/>
      </c>
      <c r="P2345" s="46">
        <f>INDEX(ChDoorVel,MATCH(E2345,ChName,0))*CalibScalar*(1+VelocityUplift)</f>
        <v/>
      </c>
      <c r="Q2345" s="46" t="n">
        <v>0</v>
      </c>
      <c r="R2345" s="46">
        <f>P2345*O2345*M2345*N2345*H2345</f>
        <v/>
      </c>
      <c r="S2345" s="46">
        <f>R2345*INDEX(FmtCansPerCase,MATCH(F2345,FmtName,0))</f>
        <v/>
      </c>
      <c r="T2345" s="46">
        <f>S2345/INDEX(FmtCansPerPack,MATCH(F2345,FmtName,0))</f>
        <v/>
      </c>
      <c r="U2345" s="47">
        <f>INDEX(ChBaseCP,MATCH(E2345,ChName,0))*(1+INDEX(ProvMod,MATCH(G2345,ProvCode,0)))*(1+PriceIndex)</f>
        <v/>
      </c>
      <c r="V2345" s="47">
        <f>R2345*U2345*INDEX(FmtBlendedPriceIdx,MATCH(F2345,FmtName,0))</f>
        <v/>
      </c>
      <c r="W2345" s="47">
        <f>T2345*INDEX(ProvSRP,MATCH(G2345,ProvCode,0))*(1+PriceIndex)</f>
        <v/>
      </c>
      <c r="X2345" s="47">
        <f>IF(GrossBasis="Wholesale",V2345,W2345)</f>
        <v/>
      </c>
      <c r="Y2345" s="47">
        <f>R2345*INDEX(FmtBlendedCogs,MATCH(F2345,FmtName,0))</f>
        <v/>
      </c>
      <c r="Z2345" s="47">
        <f>X2345-Y2345</f>
        <v/>
      </c>
    </row>
    <row r="2346">
      <c r="A2346" t="n">
        <v>13</v>
      </c>
      <c r="B2346" s="44">
        <f>FiscalStart+(A2346-1)*7</f>
        <v/>
      </c>
      <c r="C2346">
        <f>TEXT(B2346,"mmm yyyy")</f>
        <v/>
      </c>
      <c r="D2346">
        <f>"Q"&amp;(INT((A2346-1)/13)+1)</f>
        <v/>
      </c>
      <c r="E2346" t="inlineStr">
        <is>
          <t>FDM</t>
        </is>
      </c>
      <c r="F2346">
        <f>IFERROR(INDEX(ChFormat,MATCH(E2346,ChName,0)),"")</f>
        <v/>
      </c>
      <c r="G2346" t="inlineStr">
        <is>
          <t>ON</t>
        </is>
      </c>
      <c r="H2346">
        <f>IF(A2346&lt;=NWeeks,1,0)</f>
        <v/>
      </c>
      <c r="I2346">
        <f>INDEX(ChLaunch,MATCH(E2346,ChName,0))</f>
        <v/>
      </c>
      <c r="J2346">
        <f>INDEX(ChWeeksFull,MATCH(E2346,ChName,0))</f>
        <v/>
      </c>
      <c r="K2346">
        <f>INDEX(ChRamp,MATCH(E2346,ChName,0))</f>
        <v/>
      </c>
      <c r="L2346" s="45">
        <f>MIN(1,MAX(0,(A2346-I2346+1)*RampSpeed/J2346))</f>
        <v/>
      </c>
      <c r="M2346" s="45">
        <f>IF(A2346&lt;I2346,0,IF(K2346="S-curve",L2346*L2346*(3-2*L2346),L2346))</f>
        <v/>
      </c>
      <c r="N2346" s="45">
        <f>1+(INDEX(SeasonIdx,A2346)-1)*SeasonAmp</f>
        <v/>
      </c>
      <c r="O2346" s="45">
        <f>IFERROR(INDEX(PSPct,MATCH(E2346&amp;"|"&amp;G2346,PSKey,0)),0)</f>
        <v/>
      </c>
      <c r="P2346" s="46">
        <f>INDEX(ChDoorVel,MATCH(E2346,ChName,0))*CalibScalar*(1+VelocityUplift)</f>
        <v/>
      </c>
      <c r="Q2346" s="46" t="n">
        <v>0</v>
      </c>
      <c r="R2346" s="46">
        <f>P2346*O2346*M2346*N2346*H2346</f>
        <v/>
      </c>
      <c r="S2346" s="46">
        <f>R2346*INDEX(FmtCansPerCase,MATCH(F2346,FmtName,0))</f>
        <v/>
      </c>
      <c r="T2346" s="46">
        <f>S2346/INDEX(FmtCansPerPack,MATCH(F2346,FmtName,0))</f>
        <v/>
      </c>
      <c r="U2346" s="47">
        <f>INDEX(ChBaseCP,MATCH(E2346,ChName,0))*(1+INDEX(ProvMod,MATCH(G2346,ProvCode,0)))*(1+PriceIndex)</f>
        <v/>
      </c>
      <c r="V2346" s="47">
        <f>R2346*U2346*INDEX(FmtBlendedPriceIdx,MATCH(F2346,FmtName,0))</f>
        <v/>
      </c>
      <c r="W2346" s="47">
        <f>T2346*INDEX(ProvSRP,MATCH(G2346,ProvCode,0))*(1+PriceIndex)</f>
        <v/>
      </c>
      <c r="X2346" s="47">
        <f>IF(GrossBasis="Wholesale",V2346,W2346)</f>
        <v/>
      </c>
      <c r="Y2346" s="47">
        <f>R2346*INDEX(FmtBlendedCogs,MATCH(F2346,FmtName,0))</f>
        <v/>
      </c>
      <c r="Z2346" s="47">
        <f>X2346-Y2346</f>
        <v/>
      </c>
    </row>
    <row r="2347">
      <c r="A2347" t="n">
        <v>14</v>
      </c>
      <c r="B2347" s="44">
        <f>FiscalStart+(A2347-1)*7</f>
        <v/>
      </c>
      <c r="C2347">
        <f>TEXT(B2347,"mmm yyyy")</f>
        <v/>
      </c>
      <c r="D2347">
        <f>"Q"&amp;(INT((A2347-1)/13)+1)</f>
        <v/>
      </c>
      <c r="E2347" t="inlineStr">
        <is>
          <t>FDM</t>
        </is>
      </c>
      <c r="F2347">
        <f>IFERROR(INDEX(ChFormat,MATCH(E2347,ChName,0)),"")</f>
        <v/>
      </c>
      <c r="G2347" t="inlineStr">
        <is>
          <t>ON</t>
        </is>
      </c>
      <c r="H2347">
        <f>IF(A2347&lt;=NWeeks,1,0)</f>
        <v/>
      </c>
      <c r="I2347">
        <f>INDEX(ChLaunch,MATCH(E2347,ChName,0))</f>
        <v/>
      </c>
      <c r="J2347">
        <f>INDEX(ChWeeksFull,MATCH(E2347,ChName,0))</f>
        <v/>
      </c>
      <c r="K2347">
        <f>INDEX(ChRamp,MATCH(E2347,ChName,0))</f>
        <v/>
      </c>
      <c r="L2347" s="45">
        <f>MIN(1,MAX(0,(A2347-I2347+1)*RampSpeed/J2347))</f>
        <v/>
      </c>
      <c r="M2347" s="45">
        <f>IF(A2347&lt;I2347,0,IF(K2347="S-curve",L2347*L2347*(3-2*L2347),L2347))</f>
        <v/>
      </c>
      <c r="N2347" s="45">
        <f>1+(INDEX(SeasonIdx,A2347)-1)*SeasonAmp</f>
        <v/>
      </c>
      <c r="O2347" s="45">
        <f>IFERROR(INDEX(PSPct,MATCH(E2347&amp;"|"&amp;G2347,PSKey,0)),0)</f>
        <v/>
      </c>
      <c r="P2347" s="46">
        <f>INDEX(ChDoorVel,MATCH(E2347,ChName,0))*CalibScalar*(1+VelocityUplift)</f>
        <v/>
      </c>
      <c r="Q2347" s="46" t="n">
        <v>0</v>
      </c>
      <c r="R2347" s="46">
        <f>P2347*O2347*M2347*N2347*H2347</f>
        <v/>
      </c>
      <c r="S2347" s="46">
        <f>R2347*INDEX(FmtCansPerCase,MATCH(F2347,FmtName,0))</f>
        <v/>
      </c>
      <c r="T2347" s="46">
        <f>S2347/INDEX(FmtCansPerPack,MATCH(F2347,FmtName,0))</f>
        <v/>
      </c>
      <c r="U2347" s="47">
        <f>INDEX(ChBaseCP,MATCH(E2347,ChName,0))*(1+INDEX(ProvMod,MATCH(G2347,ProvCode,0)))*(1+PriceIndex)</f>
        <v/>
      </c>
      <c r="V2347" s="47">
        <f>R2347*U2347*INDEX(FmtBlendedPriceIdx,MATCH(F2347,FmtName,0))</f>
        <v/>
      </c>
      <c r="W2347" s="47">
        <f>T2347*INDEX(ProvSRP,MATCH(G2347,ProvCode,0))*(1+PriceIndex)</f>
        <v/>
      </c>
      <c r="X2347" s="47">
        <f>IF(GrossBasis="Wholesale",V2347,W2347)</f>
        <v/>
      </c>
      <c r="Y2347" s="47">
        <f>R2347*INDEX(FmtBlendedCogs,MATCH(F2347,FmtName,0))</f>
        <v/>
      </c>
      <c r="Z2347" s="47">
        <f>X2347-Y2347</f>
        <v/>
      </c>
    </row>
    <row r="2348">
      <c r="A2348" t="n">
        <v>15</v>
      </c>
      <c r="B2348" s="44">
        <f>FiscalStart+(A2348-1)*7</f>
        <v/>
      </c>
      <c r="C2348">
        <f>TEXT(B2348,"mmm yyyy")</f>
        <v/>
      </c>
      <c r="D2348">
        <f>"Q"&amp;(INT((A2348-1)/13)+1)</f>
        <v/>
      </c>
      <c r="E2348" t="inlineStr">
        <is>
          <t>FDM</t>
        </is>
      </c>
      <c r="F2348">
        <f>IFERROR(INDEX(ChFormat,MATCH(E2348,ChName,0)),"")</f>
        <v/>
      </c>
      <c r="G2348" t="inlineStr">
        <is>
          <t>ON</t>
        </is>
      </c>
      <c r="H2348">
        <f>IF(A2348&lt;=NWeeks,1,0)</f>
        <v/>
      </c>
      <c r="I2348">
        <f>INDEX(ChLaunch,MATCH(E2348,ChName,0))</f>
        <v/>
      </c>
      <c r="J2348">
        <f>INDEX(ChWeeksFull,MATCH(E2348,ChName,0))</f>
        <v/>
      </c>
      <c r="K2348">
        <f>INDEX(ChRamp,MATCH(E2348,ChName,0))</f>
        <v/>
      </c>
      <c r="L2348" s="45">
        <f>MIN(1,MAX(0,(A2348-I2348+1)*RampSpeed/J2348))</f>
        <v/>
      </c>
      <c r="M2348" s="45">
        <f>IF(A2348&lt;I2348,0,IF(K2348="S-curve",L2348*L2348*(3-2*L2348),L2348))</f>
        <v/>
      </c>
      <c r="N2348" s="45">
        <f>1+(INDEX(SeasonIdx,A2348)-1)*SeasonAmp</f>
        <v/>
      </c>
      <c r="O2348" s="45">
        <f>IFERROR(INDEX(PSPct,MATCH(E2348&amp;"|"&amp;G2348,PSKey,0)),0)</f>
        <v/>
      </c>
      <c r="P2348" s="46">
        <f>INDEX(ChDoorVel,MATCH(E2348,ChName,0))*CalibScalar*(1+VelocityUplift)</f>
        <v/>
      </c>
      <c r="Q2348" s="46" t="n">
        <v>0</v>
      </c>
      <c r="R2348" s="46">
        <f>P2348*O2348*M2348*N2348*H2348</f>
        <v/>
      </c>
      <c r="S2348" s="46">
        <f>R2348*INDEX(FmtCansPerCase,MATCH(F2348,FmtName,0))</f>
        <v/>
      </c>
      <c r="T2348" s="46">
        <f>S2348/INDEX(FmtCansPerPack,MATCH(F2348,FmtName,0))</f>
        <v/>
      </c>
      <c r="U2348" s="47">
        <f>INDEX(ChBaseCP,MATCH(E2348,ChName,0))*(1+INDEX(ProvMod,MATCH(G2348,ProvCode,0)))*(1+PriceIndex)</f>
        <v/>
      </c>
      <c r="V2348" s="47">
        <f>R2348*U2348*INDEX(FmtBlendedPriceIdx,MATCH(F2348,FmtName,0))</f>
        <v/>
      </c>
      <c r="W2348" s="47">
        <f>T2348*INDEX(ProvSRP,MATCH(G2348,ProvCode,0))*(1+PriceIndex)</f>
        <v/>
      </c>
      <c r="X2348" s="47">
        <f>IF(GrossBasis="Wholesale",V2348,W2348)</f>
        <v/>
      </c>
      <c r="Y2348" s="47">
        <f>R2348*INDEX(FmtBlendedCogs,MATCH(F2348,FmtName,0))</f>
        <v/>
      </c>
      <c r="Z2348" s="47">
        <f>X2348-Y2348</f>
        <v/>
      </c>
    </row>
    <row r="2349">
      <c r="A2349" t="n">
        <v>16</v>
      </c>
      <c r="B2349" s="44">
        <f>FiscalStart+(A2349-1)*7</f>
        <v/>
      </c>
      <c r="C2349">
        <f>TEXT(B2349,"mmm yyyy")</f>
        <v/>
      </c>
      <c r="D2349">
        <f>"Q"&amp;(INT((A2349-1)/13)+1)</f>
        <v/>
      </c>
      <c r="E2349" t="inlineStr">
        <is>
          <t>FDM</t>
        </is>
      </c>
      <c r="F2349">
        <f>IFERROR(INDEX(ChFormat,MATCH(E2349,ChName,0)),"")</f>
        <v/>
      </c>
      <c r="G2349" t="inlineStr">
        <is>
          <t>ON</t>
        </is>
      </c>
      <c r="H2349">
        <f>IF(A2349&lt;=NWeeks,1,0)</f>
        <v/>
      </c>
      <c r="I2349">
        <f>INDEX(ChLaunch,MATCH(E2349,ChName,0))</f>
        <v/>
      </c>
      <c r="J2349">
        <f>INDEX(ChWeeksFull,MATCH(E2349,ChName,0))</f>
        <v/>
      </c>
      <c r="K2349">
        <f>INDEX(ChRamp,MATCH(E2349,ChName,0))</f>
        <v/>
      </c>
      <c r="L2349" s="45">
        <f>MIN(1,MAX(0,(A2349-I2349+1)*RampSpeed/J2349))</f>
        <v/>
      </c>
      <c r="M2349" s="45">
        <f>IF(A2349&lt;I2349,0,IF(K2349="S-curve",L2349*L2349*(3-2*L2349),L2349))</f>
        <v/>
      </c>
      <c r="N2349" s="45">
        <f>1+(INDEX(SeasonIdx,A2349)-1)*SeasonAmp</f>
        <v/>
      </c>
      <c r="O2349" s="45">
        <f>IFERROR(INDEX(PSPct,MATCH(E2349&amp;"|"&amp;G2349,PSKey,0)),0)</f>
        <v/>
      </c>
      <c r="P2349" s="46">
        <f>INDEX(ChDoorVel,MATCH(E2349,ChName,0))*CalibScalar*(1+VelocityUplift)</f>
        <v/>
      </c>
      <c r="Q2349" s="46" t="n">
        <v>0</v>
      </c>
      <c r="R2349" s="46">
        <f>P2349*O2349*M2349*N2349*H2349</f>
        <v/>
      </c>
      <c r="S2349" s="46">
        <f>R2349*INDEX(FmtCansPerCase,MATCH(F2349,FmtName,0))</f>
        <v/>
      </c>
      <c r="T2349" s="46">
        <f>S2349/INDEX(FmtCansPerPack,MATCH(F2349,FmtName,0))</f>
        <v/>
      </c>
      <c r="U2349" s="47">
        <f>INDEX(ChBaseCP,MATCH(E2349,ChName,0))*(1+INDEX(ProvMod,MATCH(G2349,ProvCode,0)))*(1+PriceIndex)</f>
        <v/>
      </c>
      <c r="V2349" s="47">
        <f>R2349*U2349*INDEX(FmtBlendedPriceIdx,MATCH(F2349,FmtName,0))</f>
        <v/>
      </c>
      <c r="W2349" s="47">
        <f>T2349*INDEX(ProvSRP,MATCH(G2349,ProvCode,0))*(1+PriceIndex)</f>
        <v/>
      </c>
      <c r="X2349" s="47">
        <f>IF(GrossBasis="Wholesale",V2349,W2349)</f>
        <v/>
      </c>
      <c r="Y2349" s="47">
        <f>R2349*INDEX(FmtBlendedCogs,MATCH(F2349,FmtName,0))</f>
        <v/>
      </c>
      <c r="Z2349" s="47">
        <f>X2349-Y2349</f>
        <v/>
      </c>
    </row>
    <row r="2350">
      <c r="A2350" t="n">
        <v>17</v>
      </c>
      <c r="B2350" s="44">
        <f>FiscalStart+(A2350-1)*7</f>
        <v/>
      </c>
      <c r="C2350">
        <f>TEXT(B2350,"mmm yyyy")</f>
        <v/>
      </c>
      <c r="D2350">
        <f>"Q"&amp;(INT((A2350-1)/13)+1)</f>
        <v/>
      </c>
      <c r="E2350" t="inlineStr">
        <is>
          <t>FDM</t>
        </is>
      </c>
      <c r="F2350">
        <f>IFERROR(INDEX(ChFormat,MATCH(E2350,ChName,0)),"")</f>
        <v/>
      </c>
      <c r="G2350" t="inlineStr">
        <is>
          <t>ON</t>
        </is>
      </c>
      <c r="H2350">
        <f>IF(A2350&lt;=NWeeks,1,0)</f>
        <v/>
      </c>
      <c r="I2350">
        <f>INDEX(ChLaunch,MATCH(E2350,ChName,0))</f>
        <v/>
      </c>
      <c r="J2350">
        <f>INDEX(ChWeeksFull,MATCH(E2350,ChName,0))</f>
        <v/>
      </c>
      <c r="K2350">
        <f>INDEX(ChRamp,MATCH(E2350,ChName,0))</f>
        <v/>
      </c>
      <c r="L2350" s="45">
        <f>MIN(1,MAX(0,(A2350-I2350+1)*RampSpeed/J2350))</f>
        <v/>
      </c>
      <c r="M2350" s="45">
        <f>IF(A2350&lt;I2350,0,IF(K2350="S-curve",L2350*L2350*(3-2*L2350),L2350))</f>
        <v/>
      </c>
      <c r="N2350" s="45">
        <f>1+(INDEX(SeasonIdx,A2350)-1)*SeasonAmp</f>
        <v/>
      </c>
      <c r="O2350" s="45">
        <f>IFERROR(INDEX(PSPct,MATCH(E2350&amp;"|"&amp;G2350,PSKey,0)),0)</f>
        <v/>
      </c>
      <c r="P2350" s="46">
        <f>INDEX(ChDoorVel,MATCH(E2350,ChName,0))*CalibScalar*(1+VelocityUplift)</f>
        <v/>
      </c>
      <c r="Q2350" s="46" t="n">
        <v>0</v>
      </c>
      <c r="R2350" s="46">
        <f>P2350*O2350*M2350*N2350*H2350</f>
        <v/>
      </c>
      <c r="S2350" s="46">
        <f>R2350*INDEX(FmtCansPerCase,MATCH(F2350,FmtName,0))</f>
        <v/>
      </c>
      <c r="T2350" s="46">
        <f>S2350/INDEX(FmtCansPerPack,MATCH(F2350,FmtName,0))</f>
        <v/>
      </c>
      <c r="U2350" s="47">
        <f>INDEX(ChBaseCP,MATCH(E2350,ChName,0))*(1+INDEX(ProvMod,MATCH(G2350,ProvCode,0)))*(1+PriceIndex)</f>
        <v/>
      </c>
      <c r="V2350" s="47">
        <f>R2350*U2350*INDEX(FmtBlendedPriceIdx,MATCH(F2350,FmtName,0))</f>
        <v/>
      </c>
      <c r="W2350" s="47">
        <f>T2350*INDEX(ProvSRP,MATCH(G2350,ProvCode,0))*(1+PriceIndex)</f>
        <v/>
      </c>
      <c r="X2350" s="47">
        <f>IF(GrossBasis="Wholesale",V2350,W2350)</f>
        <v/>
      </c>
      <c r="Y2350" s="47">
        <f>R2350*INDEX(FmtBlendedCogs,MATCH(F2350,FmtName,0))</f>
        <v/>
      </c>
      <c r="Z2350" s="47">
        <f>X2350-Y2350</f>
        <v/>
      </c>
    </row>
    <row r="2351">
      <c r="A2351" t="n">
        <v>18</v>
      </c>
      <c r="B2351" s="44">
        <f>FiscalStart+(A2351-1)*7</f>
        <v/>
      </c>
      <c r="C2351">
        <f>TEXT(B2351,"mmm yyyy")</f>
        <v/>
      </c>
      <c r="D2351">
        <f>"Q"&amp;(INT((A2351-1)/13)+1)</f>
        <v/>
      </c>
      <c r="E2351" t="inlineStr">
        <is>
          <t>FDM</t>
        </is>
      </c>
      <c r="F2351">
        <f>IFERROR(INDEX(ChFormat,MATCH(E2351,ChName,0)),"")</f>
        <v/>
      </c>
      <c r="G2351" t="inlineStr">
        <is>
          <t>ON</t>
        </is>
      </c>
      <c r="H2351">
        <f>IF(A2351&lt;=NWeeks,1,0)</f>
        <v/>
      </c>
      <c r="I2351">
        <f>INDEX(ChLaunch,MATCH(E2351,ChName,0))</f>
        <v/>
      </c>
      <c r="J2351">
        <f>INDEX(ChWeeksFull,MATCH(E2351,ChName,0))</f>
        <v/>
      </c>
      <c r="K2351">
        <f>INDEX(ChRamp,MATCH(E2351,ChName,0))</f>
        <v/>
      </c>
      <c r="L2351" s="45">
        <f>MIN(1,MAX(0,(A2351-I2351+1)*RampSpeed/J2351))</f>
        <v/>
      </c>
      <c r="M2351" s="45">
        <f>IF(A2351&lt;I2351,0,IF(K2351="S-curve",L2351*L2351*(3-2*L2351),L2351))</f>
        <v/>
      </c>
      <c r="N2351" s="45">
        <f>1+(INDEX(SeasonIdx,A2351)-1)*SeasonAmp</f>
        <v/>
      </c>
      <c r="O2351" s="45">
        <f>IFERROR(INDEX(PSPct,MATCH(E2351&amp;"|"&amp;G2351,PSKey,0)),0)</f>
        <v/>
      </c>
      <c r="P2351" s="46">
        <f>INDEX(ChDoorVel,MATCH(E2351,ChName,0))*CalibScalar*(1+VelocityUplift)</f>
        <v/>
      </c>
      <c r="Q2351" s="46" t="n">
        <v>0</v>
      </c>
      <c r="R2351" s="46">
        <f>P2351*O2351*M2351*N2351*H2351</f>
        <v/>
      </c>
      <c r="S2351" s="46">
        <f>R2351*INDEX(FmtCansPerCase,MATCH(F2351,FmtName,0))</f>
        <v/>
      </c>
      <c r="T2351" s="46">
        <f>S2351/INDEX(FmtCansPerPack,MATCH(F2351,FmtName,0))</f>
        <v/>
      </c>
      <c r="U2351" s="47">
        <f>INDEX(ChBaseCP,MATCH(E2351,ChName,0))*(1+INDEX(ProvMod,MATCH(G2351,ProvCode,0)))*(1+PriceIndex)</f>
        <v/>
      </c>
      <c r="V2351" s="47">
        <f>R2351*U2351*INDEX(FmtBlendedPriceIdx,MATCH(F2351,FmtName,0))</f>
        <v/>
      </c>
      <c r="W2351" s="47">
        <f>T2351*INDEX(ProvSRP,MATCH(G2351,ProvCode,0))*(1+PriceIndex)</f>
        <v/>
      </c>
      <c r="X2351" s="47">
        <f>IF(GrossBasis="Wholesale",V2351,W2351)</f>
        <v/>
      </c>
      <c r="Y2351" s="47">
        <f>R2351*INDEX(FmtBlendedCogs,MATCH(F2351,FmtName,0))</f>
        <v/>
      </c>
      <c r="Z2351" s="47">
        <f>X2351-Y2351</f>
        <v/>
      </c>
    </row>
    <row r="2352">
      <c r="A2352" t="n">
        <v>19</v>
      </c>
      <c r="B2352" s="44">
        <f>FiscalStart+(A2352-1)*7</f>
        <v/>
      </c>
      <c r="C2352">
        <f>TEXT(B2352,"mmm yyyy")</f>
        <v/>
      </c>
      <c r="D2352">
        <f>"Q"&amp;(INT((A2352-1)/13)+1)</f>
        <v/>
      </c>
      <c r="E2352" t="inlineStr">
        <is>
          <t>FDM</t>
        </is>
      </c>
      <c r="F2352">
        <f>IFERROR(INDEX(ChFormat,MATCH(E2352,ChName,0)),"")</f>
        <v/>
      </c>
      <c r="G2352" t="inlineStr">
        <is>
          <t>ON</t>
        </is>
      </c>
      <c r="H2352">
        <f>IF(A2352&lt;=NWeeks,1,0)</f>
        <v/>
      </c>
      <c r="I2352">
        <f>INDEX(ChLaunch,MATCH(E2352,ChName,0))</f>
        <v/>
      </c>
      <c r="J2352">
        <f>INDEX(ChWeeksFull,MATCH(E2352,ChName,0))</f>
        <v/>
      </c>
      <c r="K2352">
        <f>INDEX(ChRamp,MATCH(E2352,ChName,0))</f>
        <v/>
      </c>
      <c r="L2352" s="45">
        <f>MIN(1,MAX(0,(A2352-I2352+1)*RampSpeed/J2352))</f>
        <v/>
      </c>
      <c r="M2352" s="45">
        <f>IF(A2352&lt;I2352,0,IF(K2352="S-curve",L2352*L2352*(3-2*L2352),L2352))</f>
        <v/>
      </c>
      <c r="N2352" s="45">
        <f>1+(INDEX(SeasonIdx,A2352)-1)*SeasonAmp</f>
        <v/>
      </c>
      <c r="O2352" s="45">
        <f>IFERROR(INDEX(PSPct,MATCH(E2352&amp;"|"&amp;G2352,PSKey,0)),0)</f>
        <v/>
      </c>
      <c r="P2352" s="46">
        <f>INDEX(ChDoorVel,MATCH(E2352,ChName,0))*CalibScalar*(1+VelocityUplift)</f>
        <v/>
      </c>
      <c r="Q2352" s="46" t="n">
        <v>0</v>
      </c>
      <c r="R2352" s="46">
        <f>P2352*O2352*M2352*N2352*H2352</f>
        <v/>
      </c>
      <c r="S2352" s="46">
        <f>R2352*INDEX(FmtCansPerCase,MATCH(F2352,FmtName,0))</f>
        <v/>
      </c>
      <c r="T2352" s="46">
        <f>S2352/INDEX(FmtCansPerPack,MATCH(F2352,FmtName,0))</f>
        <v/>
      </c>
      <c r="U2352" s="47">
        <f>INDEX(ChBaseCP,MATCH(E2352,ChName,0))*(1+INDEX(ProvMod,MATCH(G2352,ProvCode,0)))*(1+PriceIndex)</f>
        <v/>
      </c>
      <c r="V2352" s="47">
        <f>R2352*U2352*INDEX(FmtBlendedPriceIdx,MATCH(F2352,FmtName,0))</f>
        <v/>
      </c>
      <c r="W2352" s="47">
        <f>T2352*INDEX(ProvSRP,MATCH(G2352,ProvCode,0))*(1+PriceIndex)</f>
        <v/>
      </c>
      <c r="X2352" s="47">
        <f>IF(GrossBasis="Wholesale",V2352,W2352)</f>
        <v/>
      </c>
      <c r="Y2352" s="47">
        <f>R2352*INDEX(FmtBlendedCogs,MATCH(F2352,FmtName,0))</f>
        <v/>
      </c>
      <c r="Z2352" s="47">
        <f>X2352-Y2352</f>
        <v/>
      </c>
    </row>
    <row r="2353">
      <c r="A2353" t="n">
        <v>20</v>
      </c>
      <c r="B2353" s="44">
        <f>FiscalStart+(A2353-1)*7</f>
        <v/>
      </c>
      <c r="C2353">
        <f>TEXT(B2353,"mmm yyyy")</f>
        <v/>
      </c>
      <c r="D2353">
        <f>"Q"&amp;(INT((A2353-1)/13)+1)</f>
        <v/>
      </c>
      <c r="E2353" t="inlineStr">
        <is>
          <t>FDM</t>
        </is>
      </c>
      <c r="F2353">
        <f>IFERROR(INDEX(ChFormat,MATCH(E2353,ChName,0)),"")</f>
        <v/>
      </c>
      <c r="G2353" t="inlineStr">
        <is>
          <t>ON</t>
        </is>
      </c>
      <c r="H2353">
        <f>IF(A2353&lt;=NWeeks,1,0)</f>
        <v/>
      </c>
      <c r="I2353">
        <f>INDEX(ChLaunch,MATCH(E2353,ChName,0))</f>
        <v/>
      </c>
      <c r="J2353">
        <f>INDEX(ChWeeksFull,MATCH(E2353,ChName,0))</f>
        <v/>
      </c>
      <c r="K2353">
        <f>INDEX(ChRamp,MATCH(E2353,ChName,0))</f>
        <v/>
      </c>
      <c r="L2353" s="45">
        <f>MIN(1,MAX(0,(A2353-I2353+1)*RampSpeed/J2353))</f>
        <v/>
      </c>
      <c r="M2353" s="45">
        <f>IF(A2353&lt;I2353,0,IF(K2353="S-curve",L2353*L2353*(3-2*L2353),L2353))</f>
        <v/>
      </c>
      <c r="N2353" s="45">
        <f>1+(INDEX(SeasonIdx,A2353)-1)*SeasonAmp</f>
        <v/>
      </c>
      <c r="O2353" s="45">
        <f>IFERROR(INDEX(PSPct,MATCH(E2353&amp;"|"&amp;G2353,PSKey,0)),0)</f>
        <v/>
      </c>
      <c r="P2353" s="46">
        <f>INDEX(ChDoorVel,MATCH(E2353,ChName,0))*CalibScalar*(1+VelocityUplift)</f>
        <v/>
      </c>
      <c r="Q2353" s="46" t="n">
        <v>0</v>
      </c>
      <c r="R2353" s="46">
        <f>P2353*O2353*M2353*N2353*H2353</f>
        <v/>
      </c>
      <c r="S2353" s="46">
        <f>R2353*INDEX(FmtCansPerCase,MATCH(F2353,FmtName,0))</f>
        <v/>
      </c>
      <c r="T2353" s="46">
        <f>S2353/INDEX(FmtCansPerPack,MATCH(F2353,FmtName,0))</f>
        <v/>
      </c>
      <c r="U2353" s="47">
        <f>INDEX(ChBaseCP,MATCH(E2353,ChName,0))*(1+INDEX(ProvMod,MATCH(G2353,ProvCode,0)))*(1+PriceIndex)</f>
        <v/>
      </c>
      <c r="V2353" s="47">
        <f>R2353*U2353*INDEX(FmtBlendedPriceIdx,MATCH(F2353,FmtName,0))</f>
        <v/>
      </c>
      <c r="W2353" s="47">
        <f>T2353*INDEX(ProvSRP,MATCH(G2353,ProvCode,0))*(1+PriceIndex)</f>
        <v/>
      </c>
      <c r="X2353" s="47">
        <f>IF(GrossBasis="Wholesale",V2353,W2353)</f>
        <v/>
      </c>
      <c r="Y2353" s="47">
        <f>R2353*INDEX(FmtBlendedCogs,MATCH(F2353,FmtName,0))</f>
        <v/>
      </c>
      <c r="Z2353" s="47">
        <f>X2353-Y2353</f>
        <v/>
      </c>
    </row>
    <row r="2354">
      <c r="A2354" t="n">
        <v>21</v>
      </c>
      <c r="B2354" s="44">
        <f>FiscalStart+(A2354-1)*7</f>
        <v/>
      </c>
      <c r="C2354">
        <f>TEXT(B2354,"mmm yyyy")</f>
        <v/>
      </c>
      <c r="D2354">
        <f>"Q"&amp;(INT((A2354-1)/13)+1)</f>
        <v/>
      </c>
      <c r="E2354" t="inlineStr">
        <is>
          <t>FDM</t>
        </is>
      </c>
      <c r="F2354">
        <f>IFERROR(INDEX(ChFormat,MATCH(E2354,ChName,0)),"")</f>
        <v/>
      </c>
      <c r="G2354" t="inlineStr">
        <is>
          <t>ON</t>
        </is>
      </c>
      <c r="H2354">
        <f>IF(A2354&lt;=NWeeks,1,0)</f>
        <v/>
      </c>
      <c r="I2354">
        <f>INDEX(ChLaunch,MATCH(E2354,ChName,0))</f>
        <v/>
      </c>
      <c r="J2354">
        <f>INDEX(ChWeeksFull,MATCH(E2354,ChName,0))</f>
        <v/>
      </c>
      <c r="K2354">
        <f>INDEX(ChRamp,MATCH(E2354,ChName,0))</f>
        <v/>
      </c>
      <c r="L2354" s="45">
        <f>MIN(1,MAX(0,(A2354-I2354+1)*RampSpeed/J2354))</f>
        <v/>
      </c>
      <c r="M2354" s="45">
        <f>IF(A2354&lt;I2354,0,IF(K2354="S-curve",L2354*L2354*(3-2*L2354),L2354))</f>
        <v/>
      </c>
      <c r="N2354" s="45">
        <f>1+(INDEX(SeasonIdx,A2354)-1)*SeasonAmp</f>
        <v/>
      </c>
      <c r="O2354" s="45">
        <f>IFERROR(INDEX(PSPct,MATCH(E2354&amp;"|"&amp;G2354,PSKey,0)),0)</f>
        <v/>
      </c>
      <c r="P2354" s="46">
        <f>INDEX(ChDoorVel,MATCH(E2354,ChName,0))*CalibScalar*(1+VelocityUplift)</f>
        <v/>
      </c>
      <c r="Q2354" s="46" t="n">
        <v>0</v>
      </c>
      <c r="R2354" s="46">
        <f>P2354*O2354*M2354*N2354*H2354</f>
        <v/>
      </c>
      <c r="S2354" s="46">
        <f>R2354*INDEX(FmtCansPerCase,MATCH(F2354,FmtName,0))</f>
        <v/>
      </c>
      <c r="T2354" s="46">
        <f>S2354/INDEX(FmtCansPerPack,MATCH(F2354,FmtName,0))</f>
        <v/>
      </c>
      <c r="U2354" s="47">
        <f>INDEX(ChBaseCP,MATCH(E2354,ChName,0))*(1+INDEX(ProvMod,MATCH(G2354,ProvCode,0)))*(1+PriceIndex)</f>
        <v/>
      </c>
      <c r="V2354" s="47">
        <f>R2354*U2354*INDEX(FmtBlendedPriceIdx,MATCH(F2354,FmtName,0))</f>
        <v/>
      </c>
      <c r="W2354" s="47">
        <f>T2354*INDEX(ProvSRP,MATCH(G2354,ProvCode,0))*(1+PriceIndex)</f>
        <v/>
      </c>
      <c r="X2354" s="47">
        <f>IF(GrossBasis="Wholesale",V2354,W2354)</f>
        <v/>
      </c>
      <c r="Y2354" s="47">
        <f>R2354*INDEX(FmtBlendedCogs,MATCH(F2354,FmtName,0))</f>
        <v/>
      </c>
      <c r="Z2354" s="47">
        <f>X2354-Y2354</f>
        <v/>
      </c>
    </row>
    <row r="2355">
      <c r="A2355" t="n">
        <v>22</v>
      </c>
      <c r="B2355" s="44">
        <f>FiscalStart+(A2355-1)*7</f>
        <v/>
      </c>
      <c r="C2355">
        <f>TEXT(B2355,"mmm yyyy")</f>
        <v/>
      </c>
      <c r="D2355">
        <f>"Q"&amp;(INT((A2355-1)/13)+1)</f>
        <v/>
      </c>
      <c r="E2355" t="inlineStr">
        <is>
          <t>FDM</t>
        </is>
      </c>
      <c r="F2355">
        <f>IFERROR(INDEX(ChFormat,MATCH(E2355,ChName,0)),"")</f>
        <v/>
      </c>
      <c r="G2355" t="inlineStr">
        <is>
          <t>ON</t>
        </is>
      </c>
      <c r="H2355">
        <f>IF(A2355&lt;=NWeeks,1,0)</f>
        <v/>
      </c>
      <c r="I2355">
        <f>INDEX(ChLaunch,MATCH(E2355,ChName,0))</f>
        <v/>
      </c>
      <c r="J2355">
        <f>INDEX(ChWeeksFull,MATCH(E2355,ChName,0))</f>
        <v/>
      </c>
      <c r="K2355">
        <f>INDEX(ChRamp,MATCH(E2355,ChName,0))</f>
        <v/>
      </c>
      <c r="L2355" s="45">
        <f>MIN(1,MAX(0,(A2355-I2355+1)*RampSpeed/J2355))</f>
        <v/>
      </c>
      <c r="M2355" s="45">
        <f>IF(A2355&lt;I2355,0,IF(K2355="S-curve",L2355*L2355*(3-2*L2355),L2355))</f>
        <v/>
      </c>
      <c r="N2355" s="45">
        <f>1+(INDEX(SeasonIdx,A2355)-1)*SeasonAmp</f>
        <v/>
      </c>
      <c r="O2355" s="45">
        <f>IFERROR(INDEX(PSPct,MATCH(E2355&amp;"|"&amp;G2355,PSKey,0)),0)</f>
        <v/>
      </c>
      <c r="P2355" s="46">
        <f>INDEX(ChDoorVel,MATCH(E2355,ChName,0))*CalibScalar*(1+VelocityUplift)</f>
        <v/>
      </c>
      <c r="Q2355" s="46" t="n">
        <v>0</v>
      </c>
      <c r="R2355" s="46">
        <f>P2355*O2355*M2355*N2355*H2355</f>
        <v/>
      </c>
      <c r="S2355" s="46">
        <f>R2355*INDEX(FmtCansPerCase,MATCH(F2355,FmtName,0))</f>
        <v/>
      </c>
      <c r="T2355" s="46">
        <f>S2355/INDEX(FmtCansPerPack,MATCH(F2355,FmtName,0))</f>
        <v/>
      </c>
      <c r="U2355" s="47">
        <f>INDEX(ChBaseCP,MATCH(E2355,ChName,0))*(1+INDEX(ProvMod,MATCH(G2355,ProvCode,0)))*(1+PriceIndex)</f>
        <v/>
      </c>
      <c r="V2355" s="47">
        <f>R2355*U2355*INDEX(FmtBlendedPriceIdx,MATCH(F2355,FmtName,0))</f>
        <v/>
      </c>
      <c r="W2355" s="47">
        <f>T2355*INDEX(ProvSRP,MATCH(G2355,ProvCode,0))*(1+PriceIndex)</f>
        <v/>
      </c>
      <c r="X2355" s="47">
        <f>IF(GrossBasis="Wholesale",V2355,W2355)</f>
        <v/>
      </c>
      <c r="Y2355" s="47">
        <f>R2355*INDEX(FmtBlendedCogs,MATCH(F2355,FmtName,0))</f>
        <v/>
      </c>
      <c r="Z2355" s="47">
        <f>X2355-Y2355</f>
        <v/>
      </c>
    </row>
    <row r="2356">
      <c r="A2356" t="n">
        <v>23</v>
      </c>
      <c r="B2356" s="44">
        <f>FiscalStart+(A2356-1)*7</f>
        <v/>
      </c>
      <c r="C2356">
        <f>TEXT(B2356,"mmm yyyy")</f>
        <v/>
      </c>
      <c r="D2356">
        <f>"Q"&amp;(INT((A2356-1)/13)+1)</f>
        <v/>
      </c>
      <c r="E2356" t="inlineStr">
        <is>
          <t>FDM</t>
        </is>
      </c>
      <c r="F2356">
        <f>IFERROR(INDEX(ChFormat,MATCH(E2356,ChName,0)),"")</f>
        <v/>
      </c>
      <c r="G2356" t="inlineStr">
        <is>
          <t>ON</t>
        </is>
      </c>
      <c r="H2356">
        <f>IF(A2356&lt;=NWeeks,1,0)</f>
        <v/>
      </c>
      <c r="I2356">
        <f>INDEX(ChLaunch,MATCH(E2356,ChName,0))</f>
        <v/>
      </c>
      <c r="J2356">
        <f>INDEX(ChWeeksFull,MATCH(E2356,ChName,0))</f>
        <v/>
      </c>
      <c r="K2356">
        <f>INDEX(ChRamp,MATCH(E2356,ChName,0))</f>
        <v/>
      </c>
      <c r="L2356" s="45">
        <f>MIN(1,MAX(0,(A2356-I2356+1)*RampSpeed/J2356))</f>
        <v/>
      </c>
      <c r="M2356" s="45">
        <f>IF(A2356&lt;I2356,0,IF(K2356="S-curve",L2356*L2356*(3-2*L2356),L2356))</f>
        <v/>
      </c>
      <c r="N2356" s="45">
        <f>1+(INDEX(SeasonIdx,A2356)-1)*SeasonAmp</f>
        <v/>
      </c>
      <c r="O2356" s="45">
        <f>IFERROR(INDEX(PSPct,MATCH(E2356&amp;"|"&amp;G2356,PSKey,0)),0)</f>
        <v/>
      </c>
      <c r="P2356" s="46">
        <f>INDEX(ChDoorVel,MATCH(E2356,ChName,0))*CalibScalar*(1+VelocityUplift)</f>
        <v/>
      </c>
      <c r="Q2356" s="46" t="n">
        <v>0</v>
      </c>
      <c r="R2356" s="46">
        <f>P2356*O2356*M2356*N2356*H2356</f>
        <v/>
      </c>
      <c r="S2356" s="46">
        <f>R2356*INDEX(FmtCansPerCase,MATCH(F2356,FmtName,0))</f>
        <v/>
      </c>
      <c r="T2356" s="46">
        <f>S2356/INDEX(FmtCansPerPack,MATCH(F2356,FmtName,0))</f>
        <v/>
      </c>
      <c r="U2356" s="47">
        <f>INDEX(ChBaseCP,MATCH(E2356,ChName,0))*(1+INDEX(ProvMod,MATCH(G2356,ProvCode,0)))*(1+PriceIndex)</f>
        <v/>
      </c>
      <c r="V2356" s="47">
        <f>R2356*U2356*INDEX(FmtBlendedPriceIdx,MATCH(F2356,FmtName,0))</f>
        <v/>
      </c>
      <c r="W2356" s="47">
        <f>T2356*INDEX(ProvSRP,MATCH(G2356,ProvCode,0))*(1+PriceIndex)</f>
        <v/>
      </c>
      <c r="X2356" s="47">
        <f>IF(GrossBasis="Wholesale",V2356,W2356)</f>
        <v/>
      </c>
      <c r="Y2356" s="47">
        <f>R2356*INDEX(FmtBlendedCogs,MATCH(F2356,FmtName,0))</f>
        <v/>
      </c>
      <c r="Z2356" s="47">
        <f>X2356-Y2356</f>
        <v/>
      </c>
    </row>
    <row r="2357">
      <c r="A2357" t="n">
        <v>24</v>
      </c>
      <c r="B2357" s="44">
        <f>FiscalStart+(A2357-1)*7</f>
        <v/>
      </c>
      <c r="C2357">
        <f>TEXT(B2357,"mmm yyyy")</f>
        <v/>
      </c>
      <c r="D2357">
        <f>"Q"&amp;(INT((A2357-1)/13)+1)</f>
        <v/>
      </c>
      <c r="E2357" t="inlineStr">
        <is>
          <t>FDM</t>
        </is>
      </c>
      <c r="F2357">
        <f>IFERROR(INDEX(ChFormat,MATCH(E2357,ChName,0)),"")</f>
        <v/>
      </c>
      <c r="G2357" t="inlineStr">
        <is>
          <t>ON</t>
        </is>
      </c>
      <c r="H2357">
        <f>IF(A2357&lt;=NWeeks,1,0)</f>
        <v/>
      </c>
      <c r="I2357">
        <f>INDEX(ChLaunch,MATCH(E2357,ChName,0))</f>
        <v/>
      </c>
      <c r="J2357">
        <f>INDEX(ChWeeksFull,MATCH(E2357,ChName,0))</f>
        <v/>
      </c>
      <c r="K2357">
        <f>INDEX(ChRamp,MATCH(E2357,ChName,0))</f>
        <v/>
      </c>
      <c r="L2357" s="45">
        <f>MIN(1,MAX(0,(A2357-I2357+1)*RampSpeed/J2357))</f>
        <v/>
      </c>
      <c r="M2357" s="45">
        <f>IF(A2357&lt;I2357,0,IF(K2357="S-curve",L2357*L2357*(3-2*L2357),L2357))</f>
        <v/>
      </c>
      <c r="N2357" s="45">
        <f>1+(INDEX(SeasonIdx,A2357)-1)*SeasonAmp</f>
        <v/>
      </c>
      <c r="O2357" s="45">
        <f>IFERROR(INDEX(PSPct,MATCH(E2357&amp;"|"&amp;G2357,PSKey,0)),0)</f>
        <v/>
      </c>
      <c r="P2357" s="46">
        <f>INDEX(ChDoorVel,MATCH(E2357,ChName,0))*CalibScalar*(1+VelocityUplift)</f>
        <v/>
      </c>
      <c r="Q2357" s="46" t="n">
        <v>0</v>
      </c>
      <c r="R2357" s="46">
        <f>P2357*O2357*M2357*N2357*H2357</f>
        <v/>
      </c>
      <c r="S2357" s="46">
        <f>R2357*INDEX(FmtCansPerCase,MATCH(F2357,FmtName,0))</f>
        <v/>
      </c>
      <c r="T2357" s="46">
        <f>S2357/INDEX(FmtCansPerPack,MATCH(F2357,FmtName,0))</f>
        <v/>
      </c>
      <c r="U2357" s="47">
        <f>INDEX(ChBaseCP,MATCH(E2357,ChName,0))*(1+INDEX(ProvMod,MATCH(G2357,ProvCode,0)))*(1+PriceIndex)</f>
        <v/>
      </c>
      <c r="V2357" s="47">
        <f>R2357*U2357*INDEX(FmtBlendedPriceIdx,MATCH(F2357,FmtName,0))</f>
        <v/>
      </c>
      <c r="W2357" s="47">
        <f>T2357*INDEX(ProvSRP,MATCH(G2357,ProvCode,0))*(1+PriceIndex)</f>
        <v/>
      </c>
      <c r="X2357" s="47">
        <f>IF(GrossBasis="Wholesale",V2357,W2357)</f>
        <v/>
      </c>
      <c r="Y2357" s="47">
        <f>R2357*INDEX(FmtBlendedCogs,MATCH(F2357,FmtName,0))</f>
        <v/>
      </c>
      <c r="Z2357" s="47">
        <f>X2357-Y2357</f>
        <v/>
      </c>
    </row>
    <row r="2358">
      <c r="A2358" t="n">
        <v>25</v>
      </c>
      <c r="B2358" s="44">
        <f>FiscalStart+(A2358-1)*7</f>
        <v/>
      </c>
      <c r="C2358">
        <f>TEXT(B2358,"mmm yyyy")</f>
        <v/>
      </c>
      <c r="D2358">
        <f>"Q"&amp;(INT((A2358-1)/13)+1)</f>
        <v/>
      </c>
      <c r="E2358" t="inlineStr">
        <is>
          <t>FDM</t>
        </is>
      </c>
      <c r="F2358">
        <f>IFERROR(INDEX(ChFormat,MATCH(E2358,ChName,0)),"")</f>
        <v/>
      </c>
      <c r="G2358" t="inlineStr">
        <is>
          <t>ON</t>
        </is>
      </c>
      <c r="H2358">
        <f>IF(A2358&lt;=NWeeks,1,0)</f>
        <v/>
      </c>
      <c r="I2358">
        <f>INDEX(ChLaunch,MATCH(E2358,ChName,0))</f>
        <v/>
      </c>
      <c r="J2358">
        <f>INDEX(ChWeeksFull,MATCH(E2358,ChName,0))</f>
        <v/>
      </c>
      <c r="K2358">
        <f>INDEX(ChRamp,MATCH(E2358,ChName,0))</f>
        <v/>
      </c>
      <c r="L2358" s="45">
        <f>MIN(1,MAX(0,(A2358-I2358+1)*RampSpeed/J2358))</f>
        <v/>
      </c>
      <c r="M2358" s="45">
        <f>IF(A2358&lt;I2358,0,IF(K2358="S-curve",L2358*L2358*(3-2*L2358),L2358))</f>
        <v/>
      </c>
      <c r="N2358" s="45">
        <f>1+(INDEX(SeasonIdx,A2358)-1)*SeasonAmp</f>
        <v/>
      </c>
      <c r="O2358" s="45">
        <f>IFERROR(INDEX(PSPct,MATCH(E2358&amp;"|"&amp;G2358,PSKey,0)),0)</f>
        <v/>
      </c>
      <c r="P2358" s="46">
        <f>INDEX(ChDoorVel,MATCH(E2358,ChName,0))*CalibScalar*(1+VelocityUplift)</f>
        <v/>
      </c>
      <c r="Q2358" s="46" t="n">
        <v>0</v>
      </c>
      <c r="R2358" s="46">
        <f>P2358*O2358*M2358*N2358*H2358</f>
        <v/>
      </c>
      <c r="S2358" s="46">
        <f>R2358*INDEX(FmtCansPerCase,MATCH(F2358,FmtName,0))</f>
        <v/>
      </c>
      <c r="T2358" s="46">
        <f>S2358/INDEX(FmtCansPerPack,MATCH(F2358,FmtName,0))</f>
        <v/>
      </c>
      <c r="U2358" s="47">
        <f>INDEX(ChBaseCP,MATCH(E2358,ChName,0))*(1+INDEX(ProvMod,MATCH(G2358,ProvCode,0)))*(1+PriceIndex)</f>
        <v/>
      </c>
      <c r="V2358" s="47">
        <f>R2358*U2358*INDEX(FmtBlendedPriceIdx,MATCH(F2358,FmtName,0))</f>
        <v/>
      </c>
      <c r="W2358" s="47">
        <f>T2358*INDEX(ProvSRP,MATCH(G2358,ProvCode,0))*(1+PriceIndex)</f>
        <v/>
      </c>
      <c r="X2358" s="47">
        <f>IF(GrossBasis="Wholesale",V2358,W2358)</f>
        <v/>
      </c>
      <c r="Y2358" s="47">
        <f>R2358*INDEX(FmtBlendedCogs,MATCH(F2358,FmtName,0))</f>
        <v/>
      </c>
      <c r="Z2358" s="47">
        <f>X2358-Y2358</f>
        <v/>
      </c>
    </row>
    <row r="2359">
      <c r="A2359" t="n">
        <v>26</v>
      </c>
      <c r="B2359" s="44">
        <f>FiscalStart+(A2359-1)*7</f>
        <v/>
      </c>
      <c r="C2359">
        <f>TEXT(B2359,"mmm yyyy")</f>
        <v/>
      </c>
      <c r="D2359">
        <f>"Q"&amp;(INT((A2359-1)/13)+1)</f>
        <v/>
      </c>
      <c r="E2359" t="inlineStr">
        <is>
          <t>FDM</t>
        </is>
      </c>
      <c r="F2359">
        <f>IFERROR(INDEX(ChFormat,MATCH(E2359,ChName,0)),"")</f>
        <v/>
      </c>
      <c r="G2359" t="inlineStr">
        <is>
          <t>ON</t>
        </is>
      </c>
      <c r="H2359">
        <f>IF(A2359&lt;=NWeeks,1,0)</f>
        <v/>
      </c>
      <c r="I2359">
        <f>INDEX(ChLaunch,MATCH(E2359,ChName,0))</f>
        <v/>
      </c>
      <c r="J2359">
        <f>INDEX(ChWeeksFull,MATCH(E2359,ChName,0))</f>
        <v/>
      </c>
      <c r="K2359">
        <f>INDEX(ChRamp,MATCH(E2359,ChName,0))</f>
        <v/>
      </c>
      <c r="L2359" s="45">
        <f>MIN(1,MAX(0,(A2359-I2359+1)*RampSpeed/J2359))</f>
        <v/>
      </c>
      <c r="M2359" s="45">
        <f>IF(A2359&lt;I2359,0,IF(K2359="S-curve",L2359*L2359*(3-2*L2359),L2359))</f>
        <v/>
      </c>
      <c r="N2359" s="45">
        <f>1+(INDEX(SeasonIdx,A2359)-1)*SeasonAmp</f>
        <v/>
      </c>
      <c r="O2359" s="45">
        <f>IFERROR(INDEX(PSPct,MATCH(E2359&amp;"|"&amp;G2359,PSKey,0)),0)</f>
        <v/>
      </c>
      <c r="P2359" s="46">
        <f>INDEX(ChDoorVel,MATCH(E2359,ChName,0))*CalibScalar*(1+VelocityUplift)</f>
        <v/>
      </c>
      <c r="Q2359" s="46" t="n">
        <v>0</v>
      </c>
      <c r="R2359" s="46">
        <f>P2359*O2359*M2359*N2359*H2359</f>
        <v/>
      </c>
      <c r="S2359" s="46">
        <f>R2359*INDEX(FmtCansPerCase,MATCH(F2359,FmtName,0))</f>
        <v/>
      </c>
      <c r="T2359" s="46">
        <f>S2359/INDEX(FmtCansPerPack,MATCH(F2359,FmtName,0))</f>
        <v/>
      </c>
      <c r="U2359" s="47">
        <f>INDEX(ChBaseCP,MATCH(E2359,ChName,0))*(1+INDEX(ProvMod,MATCH(G2359,ProvCode,0)))*(1+PriceIndex)</f>
        <v/>
      </c>
      <c r="V2359" s="47">
        <f>R2359*U2359*INDEX(FmtBlendedPriceIdx,MATCH(F2359,FmtName,0))</f>
        <v/>
      </c>
      <c r="W2359" s="47">
        <f>T2359*INDEX(ProvSRP,MATCH(G2359,ProvCode,0))*(1+PriceIndex)</f>
        <v/>
      </c>
      <c r="X2359" s="47">
        <f>IF(GrossBasis="Wholesale",V2359,W2359)</f>
        <v/>
      </c>
      <c r="Y2359" s="47">
        <f>R2359*INDEX(FmtBlendedCogs,MATCH(F2359,FmtName,0))</f>
        <v/>
      </c>
      <c r="Z2359" s="47">
        <f>X2359-Y2359</f>
        <v/>
      </c>
    </row>
    <row r="2360">
      <c r="A2360" t="n">
        <v>27</v>
      </c>
      <c r="B2360" s="44">
        <f>FiscalStart+(A2360-1)*7</f>
        <v/>
      </c>
      <c r="C2360">
        <f>TEXT(B2360,"mmm yyyy")</f>
        <v/>
      </c>
      <c r="D2360">
        <f>"Q"&amp;(INT((A2360-1)/13)+1)</f>
        <v/>
      </c>
      <c r="E2360" t="inlineStr">
        <is>
          <t>FDM</t>
        </is>
      </c>
      <c r="F2360">
        <f>IFERROR(INDEX(ChFormat,MATCH(E2360,ChName,0)),"")</f>
        <v/>
      </c>
      <c r="G2360" t="inlineStr">
        <is>
          <t>ON</t>
        </is>
      </c>
      <c r="H2360">
        <f>IF(A2360&lt;=NWeeks,1,0)</f>
        <v/>
      </c>
      <c r="I2360">
        <f>INDEX(ChLaunch,MATCH(E2360,ChName,0))</f>
        <v/>
      </c>
      <c r="J2360">
        <f>INDEX(ChWeeksFull,MATCH(E2360,ChName,0))</f>
        <v/>
      </c>
      <c r="K2360">
        <f>INDEX(ChRamp,MATCH(E2360,ChName,0))</f>
        <v/>
      </c>
      <c r="L2360" s="45">
        <f>MIN(1,MAX(0,(A2360-I2360+1)*RampSpeed/J2360))</f>
        <v/>
      </c>
      <c r="M2360" s="45">
        <f>IF(A2360&lt;I2360,0,IF(K2360="S-curve",L2360*L2360*(3-2*L2360),L2360))</f>
        <v/>
      </c>
      <c r="N2360" s="45">
        <f>1+(INDEX(SeasonIdx,A2360)-1)*SeasonAmp</f>
        <v/>
      </c>
      <c r="O2360" s="45">
        <f>IFERROR(INDEX(PSPct,MATCH(E2360&amp;"|"&amp;G2360,PSKey,0)),0)</f>
        <v/>
      </c>
      <c r="P2360" s="46">
        <f>INDEX(ChDoorVel,MATCH(E2360,ChName,0))*CalibScalar*(1+VelocityUplift)</f>
        <v/>
      </c>
      <c r="Q2360" s="46" t="n">
        <v>0</v>
      </c>
      <c r="R2360" s="46">
        <f>P2360*O2360*M2360*N2360*H2360</f>
        <v/>
      </c>
      <c r="S2360" s="46">
        <f>R2360*INDEX(FmtCansPerCase,MATCH(F2360,FmtName,0))</f>
        <v/>
      </c>
      <c r="T2360" s="46">
        <f>S2360/INDEX(FmtCansPerPack,MATCH(F2360,FmtName,0))</f>
        <v/>
      </c>
      <c r="U2360" s="47">
        <f>INDEX(ChBaseCP,MATCH(E2360,ChName,0))*(1+INDEX(ProvMod,MATCH(G2360,ProvCode,0)))*(1+PriceIndex)</f>
        <v/>
      </c>
      <c r="V2360" s="47">
        <f>R2360*U2360*INDEX(FmtBlendedPriceIdx,MATCH(F2360,FmtName,0))</f>
        <v/>
      </c>
      <c r="W2360" s="47">
        <f>T2360*INDEX(ProvSRP,MATCH(G2360,ProvCode,0))*(1+PriceIndex)</f>
        <v/>
      </c>
      <c r="X2360" s="47">
        <f>IF(GrossBasis="Wholesale",V2360,W2360)</f>
        <v/>
      </c>
      <c r="Y2360" s="47">
        <f>R2360*INDEX(FmtBlendedCogs,MATCH(F2360,FmtName,0))</f>
        <v/>
      </c>
      <c r="Z2360" s="47">
        <f>X2360-Y2360</f>
        <v/>
      </c>
    </row>
    <row r="2361">
      <c r="A2361" t="n">
        <v>28</v>
      </c>
      <c r="B2361" s="44">
        <f>FiscalStart+(A2361-1)*7</f>
        <v/>
      </c>
      <c r="C2361">
        <f>TEXT(B2361,"mmm yyyy")</f>
        <v/>
      </c>
      <c r="D2361">
        <f>"Q"&amp;(INT((A2361-1)/13)+1)</f>
        <v/>
      </c>
      <c r="E2361" t="inlineStr">
        <is>
          <t>FDM</t>
        </is>
      </c>
      <c r="F2361">
        <f>IFERROR(INDEX(ChFormat,MATCH(E2361,ChName,0)),"")</f>
        <v/>
      </c>
      <c r="G2361" t="inlineStr">
        <is>
          <t>ON</t>
        </is>
      </c>
      <c r="H2361">
        <f>IF(A2361&lt;=NWeeks,1,0)</f>
        <v/>
      </c>
      <c r="I2361">
        <f>INDEX(ChLaunch,MATCH(E2361,ChName,0))</f>
        <v/>
      </c>
      <c r="J2361">
        <f>INDEX(ChWeeksFull,MATCH(E2361,ChName,0))</f>
        <v/>
      </c>
      <c r="K2361">
        <f>INDEX(ChRamp,MATCH(E2361,ChName,0))</f>
        <v/>
      </c>
      <c r="L2361" s="45">
        <f>MIN(1,MAX(0,(A2361-I2361+1)*RampSpeed/J2361))</f>
        <v/>
      </c>
      <c r="M2361" s="45">
        <f>IF(A2361&lt;I2361,0,IF(K2361="S-curve",L2361*L2361*(3-2*L2361),L2361))</f>
        <v/>
      </c>
      <c r="N2361" s="45">
        <f>1+(INDEX(SeasonIdx,A2361)-1)*SeasonAmp</f>
        <v/>
      </c>
      <c r="O2361" s="45">
        <f>IFERROR(INDEX(PSPct,MATCH(E2361&amp;"|"&amp;G2361,PSKey,0)),0)</f>
        <v/>
      </c>
      <c r="P2361" s="46">
        <f>INDEX(ChDoorVel,MATCH(E2361,ChName,0))*CalibScalar*(1+VelocityUplift)</f>
        <v/>
      </c>
      <c r="Q2361" s="46" t="n">
        <v>0</v>
      </c>
      <c r="R2361" s="46">
        <f>P2361*O2361*M2361*N2361*H2361</f>
        <v/>
      </c>
      <c r="S2361" s="46">
        <f>R2361*INDEX(FmtCansPerCase,MATCH(F2361,FmtName,0))</f>
        <v/>
      </c>
      <c r="T2361" s="46">
        <f>S2361/INDEX(FmtCansPerPack,MATCH(F2361,FmtName,0))</f>
        <v/>
      </c>
      <c r="U2361" s="47">
        <f>INDEX(ChBaseCP,MATCH(E2361,ChName,0))*(1+INDEX(ProvMod,MATCH(G2361,ProvCode,0)))*(1+PriceIndex)</f>
        <v/>
      </c>
      <c r="V2361" s="47">
        <f>R2361*U2361*INDEX(FmtBlendedPriceIdx,MATCH(F2361,FmtName,0))</f>
        <v/>
      </c>
      <c r="W2361" s="47">
        <f>T2361*INDEX(ProvSRP,MATCH(G2361,ProvCode,0))*(1+PriceIndex)</f>
        <v/>
      </c>
      <c r="X2361" s="47">
        <f>IF(GrossBasis="Wholesale",V2361,W2361)</f>
        <v/>
      </c>
      <c r="Y2361" s="47">
        <f>R2361*INDEX(FmtBlendedCogs,MATCH(F2361,FmtName,0))</f>
        <v/>
      </c>
      <c r="Z2361" s="47">
        <f>X2361-Y2361</f>
        <v/>
      </c>
    </row>
    <row r="2362">
      <c r="A2362" t="n">
        <v>29</v>
      </c>
      <c r="B2362" s="44">
        <f>FiscalStart+(A2362-1)*7</f>
        <v/>
      </c>
      <c r="C2362">
        <f>TEXT(B2362,"mmm yyyy")</f>
        <v/>
      </c>
      <c r="D2362">
        <f>"Q"&amp;(INT((A2362-1)/13)+1)</f>
        <v/>
      </c>
      <c r="E2362" t="inlineStr">
        <is>
          <t>FDM</t>
        </is>
      </c>
      <c r="F2362">
        <f>IFERROR(INDEX(ChFormat,MATCH(E2362,ChName,0)),"")</f>
        <v/>
      </c>
      <c r="G2362" t="inlineStr">
        <is>
          <t>ON</t>
        </is>
      </c>
      <c r="H2362">
        <f>IF(A2362&lt;=NWeeks,1,0)</f>
        <v/>
      </c>
      <c r="I2362">
        <f>INDEX(ChLaunch,MATCH(E2362,ChName,0))</f>
        <v/>
      </c>
      <c r="J2362">
        <f>INDEX(ChWeeksFull,MATCH(E2362,ChName,0))</f>
        <v/>
      </c>
      <c r="K2362">
        <f>INDEX(ChRamp,MATCH(E2362,ChName,0))</f>
        <v/>
      </c>
      <c r="L2362" s="45">
        <f>MIN(1,MAX(0,(A2362-I2362+1)*RampSpeed/J2362))</f>
        <v/>
      </c>
      <c r="M2362" s="45">
        <f>IF(A2362&lt;I2362,0,IF(K2362="S-curve",L2362*L2362*(3-2*L2362),L2362))</f>
        <v/>
      </c>
      <c r="N2362" s="45">
        <f>1+(INDEX(SeasonIdx,A2362)-1)*SeasonAmp</f>
        <v/>
      </c>
      <c r="O2362" s="45">
        <f>IFERROR(INDEX(PSPct,MATCH(E2362&amp;"|"&amp;G2362,PSKey,0)),0)</f>
        <v/>
      </c>
      <c r="P2362" s="46">
        <f>INDEX(ChDoorVel,MATCH(E2362,ChName,0))*CalibScalar*(1+VelocityUplift)</f>
        <v/>
      </c>
      <c r="Q2362" s="46" t="n">
        <v>0</v>
      </c>
      <c r="R2362" s="46">
        <f>P2362*O2362*M2362*N2362*H2362</f>
        <v/>
      </c>
      <c r="S2362" s="46">
        <f>R2362*INDEX(FmtCansPerCase,MATCH(F2362,FmtName,0))</f>
        <v/>
      </c>
      <c r="T2362" s="46">
        <f>S2362/INDEX(FmtCansPerPack,MATCH(F2362,FmtName,0))</f>
        <v/>
      </c>
      <c r="U2362" s="47">
        <f>INDEX(ChBaseCP,MATCH(E2362,ChName,0))*(1+INDEX(ProvMod,MATCH(G2362,ProvCode,0)))*(1+PriceIndex)</f>
        <v/>
      </c>
      <c r="V2362" s="47">
        <f>R2362*U2362*INDEX(FmtBlendedPriceIdx,MATCH(F2362,FmtName,0))</f>
        <v/>
      </c>
      <c r="W2362" s="47">
        <f>T2362*INDEX(ProvSRP,MATCH(G2362,ProvCode,0))*(1+PriceIndex)</f>
        <v/>
      </c>
      <c r="X2362" s="47">
        <f>IF(GrossBasis="Wholesale",V2362,W2362)</f>
        <v/>
      </c>
      <c r="Y2362" s="47">
        <f>R2362*INDEX(FmtBlendedCogs,MATCH(F2362,FmtName,0))</f>
        <v/>
      </c>
      <c r="Z2362" s="47">
        <f>X2362-Y2362</f>
        <v/>
      </c>
    </row>
    <row r="2363">
      <c r="A2363" t="n">
        <v>30</v>
      </c>
      <c r="B2363" s="44">
        <f>FiscalStart+(A2363-1)*7</f>
        <v/>
      </c>
      <c r="C2363">
        <f>TEXT(B2363,"mmm yyyy")</f>
        <v/>
      </c>
      <c r="D2363">
        <f>"Q"&amp;(INT((A2363-1)/13)+1)</f>
        <v/>
      </c>
      <c r="E2363" t="inlineStr">
        <is>
          <t>FDM</t>
        </is>
      </c>
      <c r="F2363">
        <f>IFERROR(INDEX(ChFormat,MATCH(E2363,ChName,0)),"")</f>
        <v/>
      </c>
      <c r="G2363" t="inlineStr">
        <is>
          <t>ON</t>
        </is>
      </c>
      <c r="H2363">
        <f>IF(A2363&lt;=NWeeks,1,0)</f>
        <v/>
      </c>
      <c r="I2363">
        <f>INDEX(ChLaunch,MATCH(E2363,ChName,0))</f>
        <v/>
      </c>
      <c r="J2363">
        <f>INDEX(ChWeeksFull,MATCH(E2363,ChName,0))</f>
        <v/>
      </c>
      <c r="K2363">
        <f>INDEX(ChRamp,MATCH(E2363,ChName,0))</f>
        <v/>
      </c>
      <c r="L2363" s="45">
        <f>MIN(1,MAX(0,(A2363-I2363+1)*RampSpeed/J2363))</f>
        <v/>
      </c>
      <c r="M2363" s="45">
        <f>IF(A2363&lt;I2363,0,IF(K2363="S-curve",L2363*L2363*(3-2*L2363),L2363))</f>
        <v/>
      </c>
      <c r="N2363" s="45">
        <f>1+(INDEX(SeasonIdx,A2363)-1)*SeasonAmp</f>
        <v/>
      </c>
      <c r="O2363" s="45">
        <f>IFERROR(INDEX(PSPct,MATCH(E2363&amp;"|"&amp;G2363,PSKey,0)),0)</f>
        <v/>
      </c>
      <c r="P2363" s="46">
        <f>INDEX(ChDoorVel,MATCH(E2363,ChName,0))*CalibScalar*(1+VelocityUplift)</f>
        <v/>
      </c>
      <c r="Q2363" s="46" t="n">
        <v>0</v>
      </c>
      <c r="R2363" s="46">
        <f>P2363*O2363*M2363*N2363*H2363</f>
        <v/>
      </c>
      <c r="S2363" s="46">
        <f>R2363*INDEX(FmtCansPerCase,MATCH(F2363,FmtName,0))</f>
        <v/>
      </c>
      <c r="T2363" s="46">
        <f>S2363/INDEX(FmtCansPerPack,MATCH(F2363,FmtName,0))</f>
        <v/>
      </c>
      <c r="U2363" s="47">
        <f>INDEX(ChBaseCP,MATCH(E2363,ChName,0))*(1+INDEX(ProvMod,MATCH(G2363,ProvCode,0)))*(1+PriceIndex)</f>
        <v/>
      </c>
      <c r="V2363" s="47">
        <f>R2363*U2363*INDEX(FmtBlendedPriceIdx,MATCH(F2363,FmtName,0))</f>
        <v/>
      </c>
      <c r="W2363" s="47">
        <f>T2363*INDEX(ProvSRP,MATCH(G2363,ProvCode,0))*(1+PriceIndex)</f>
        <v/>
      </c>
      <c r="X2363" s="47">
        <f>IF(GrossBasis="Wholesale",V2363,W2363)</f>
        <v/>
      </c>
      <c r="Y2363" s="47">
        <f>R2363*INDEX(FmtBlendedCogs,MATCH(F2363,FmtName,0))</f>
        <v/>
      </c>
      <c r="Z2363" s="47">
        <f>X2363-Y2363</f>
        <v/>
      </c>
    </row>
    <row r="2364">
      <c r="A2364" t="n">
        <v>31</v>
      </c>
      <c r="B2364" s="44">
        <f>FiscalStart+(A2364-1)*7</f>
        <v/>
      </c>
      <c r="C2364">
        <f>TEXT(B2364,"mmm yyyy")</f>
        <v/>
      </c>
      <c r="D2364">
        <f>"Q"&amp;(INT((A2364-1)/13)+1)</f>
        <v/>
      </c>
      <c r="E2364" t="inlineStr">
        <is>
          <t>FDM</t>
        </is>
      </c>
      <c r="F2364">
        <f>IFERROR(INDEX(ChFormat,MATCH(E2364,ChName,0)),"")</f>
        <v/>
      </c>
      <c r="G2364" t="inlineStr">
        <is>
          <t>ON</t>
        </is>
      </c>
      <c r="H2364">
        <f>IF(A2364&lt;=NWeeks,1,0)</f>
        <v/>
      </c>
      <c r="I2364">
        <f>INDEX(ChLaunch,MATCH(E2364,ChName,0))</f>
        <v/>
      </c>
      <c r="J2364">
        <f>INDEX(ChWeeksFull,MATCH(E2364,ChName,0))</f>
        <v/>
      </c>
      <c r="K2364">
        <f>INDEX(ChRamp,MATCH(E2364,ChName,0))</f>
        <v/>
      </c>
      <c r="L2364" s="45">
        <f>MIN(1,MAX(0,(A2364-I2364+1)*RampSpeed/J2364))</f>
        <v/>
      </c>
      <c r="M2364" s="45">
        <f>IF(A2364&lt;I2364,0,IF(K2364="S-curve",L2364*L2364*(3-2*L2364),L2364))</f>
        <v/>
      </c>
      <c r="N2364" s="45">
        <f>1+(INDEX(SeasonIdx,A2364)-1)*SeasonAmp</f>
        <v/>
      </c>
      <c r="O2364" s="45">
        <f>IFERROR(INDEX(PSPct,MATCH(E2364&amp;"|"&amp;G2364,PSKey,0)),0)</f>
        <v/>
      </c>
      <c r="P2364" s="46">
        <f>INDEX(ChDoorVel,MATCH(E2364,ChName,0))*CalibScalar*(1+VelocityUplift)</f>
        <v/>
      </c>
      <c r="Q2364" s="46" t="n">
        <v>0</v>
      </c>
      <c r="R2364" s="46">
        <f>P2364*O2364*M2364*N2364*H2364</f>
        <v/>
      </c>
      <c r="S2364" s="46">
        <f>R2364*INDEX(FmtCansPerCase,MATCH(F2364,FmtName,0))</f>
        <v/>
      </c>
      <c r="T2364" s="46">
        <f>S2364/INDEX(FmtCansPerPack,MATCH(F2364,FmtName,0))</f>
        <v/>
      </c>
      <c r="U2364" s="47">
        <f>INDEX(ChBaseCP,MATCH(E2364,ChName,0))*(1+INDEX(ProvMod,MATCH(G2364,ProvCode,0)))*(1+PriceIndex)</f>
        <v/>
      </c>
      <c r="V2364" s="47">
        <f>R2364*U2364*INDEX(FmtBlendedPriceIdx,MATCH(F2364,FmtName,0))</f>
        <v/>
      </c>
      <c r="W2364" s="47">
        <f>T2364*INDEX(ProvSRP,MATCH(G2364,ProvCode,0))*(1+PriceIndex)</f>
        <v/>
      </c>
      <c r="X2364" s="47">
        <f>IF(GrossBasis="Wholesale",V2364,W2364)</f>
        <v/>
      </c>
      <c r="Y2364" s="47">
        <f>R2364*INDEX(FmtBlendedCogs,MATCH(F2364,FmtName,0))</f>
        <v/>
      </c>
      <c r="Z2364" s="47">
        <f>X2364-Y2364</f>
        <v/>
      </c>
    </row>
    <row r="2365">
      <c r="A2365" t="n">
        <v>32</v>
      </c>
      <c r="B2365" s="44">
        <f>FiscalStart+(A2365-1)*7</f>
        <v/>
      </c>
      <c r="C2365">
        <f>TEXT(B2365,"mmm yyyy")</f>
        <v/>
      </c>
      <c r="D2365">
        <f>"Q"&amp;(INT((A2365-1)/13)+1)</f>
        <v/>
      </c>
      <c r="E2365" t="inlineStr">
        <is>
          <t>FDM</t>
        </is>
      </c>
      <c r="F2365">
        <f>IFERROR(INDEX(ChFormat,MATCH(E2365,ChName,0)),"")</f>
        <v/>
      </c>
      <c r="G2365" t="inlineStr">
        <is>
          <t>ON</t>
        </is>
      </c>
      <c r="H2365">
        <f>IF(A2365&lt;=NWeeks,1,0)</f>
        <v/>
      </c>
      <c r="I2365">
        <f>INDEX(ChLaunch,MATCH(E2365,ChName,0))</f>
        <v/>
      </c>
      <c r="J2365">
        <f>INDEX(ChWeeksFull,MATCH(E2365,ChName,0))</f>
        <v/>
      </c>
      <c r="K2365">
        <f>INDEX(ChRamp,MATCH(E2365,ChName,0))</f>
        <v/>
      </c>
      <c r="L2365" s="45">
        <f>MIN(1,MAX(0,(A2365-I2365+1)*RampSpeed/J2365))</f>
        <v/>
      </c>
      <c r="M2365" s="45">
        <f>IF(A2365&lt;I2365,0,IF(K2365="S-curve",L2365*L2365*(3-2*L2365),L2365))</f>
        <v/>
      </c>
      <c r="N2365" s="45">
        <f>1+(INDEX(SeasonIdx,A2365)-1)*SeasonAmp</f>
        <v/>
      </c>
      <c r="O2365" s="45">
        <f>IFERROR(INDEX(PSPct,MATCH(E2365&amp;"|"&amp;G2365,PSKey,0)),0)</f>
        <v/>
      </c>
      <c r="P2365" s="46">
        <f>INDEX(ChDoorVel,MATCH(E2365,ChName,0))*CalibScalar*(1+VelocityUplift)</f>
        <v/>
      </c>
      <c r="Q2365" s="46" t="n">
        <v>0</v>
      </c>
      <c r="R2365" s="46">
        <f>P2365*O2365*M2365*N2365*H2365</f>
        <v/>
      </c>
      <c r="S2365" s="46">
        <f>R2365*INDEX(FmtCansPerCase,MATCH(F2365,FmtName,0))</f>
        <v/>
      </c>
      <c r="T2365" s="46">
        <f>S2365/INDEX(FmtCansPerPack,MATCH(F2365,FmtName,0))</f>
        <v/>
      </c>
      <c r="U2365" s="47">
        <f>INDEX(ChBaseCP,MATCH(E2365,ChName,0))*(1+INDEX(ProvMod,MATCH(G2365,ProvCode,0)))*(1+PriceIndex)</f>
        <v/>
      </c>
      <c r="V2365" s="47">
        <f>R2365*U2365*INDEX(FmtBlendedPriceIdx,MATCH(F2365,FmtName,0))</f>
        <v/>
      </c>
      <c r="W2365" s="47">
        <f>T2365*INDEX(ProvSRP,MATCH(G2365,ProvCode,0))*(1+PriceIndex)</f>
        <v/>
      </c>
      <c r="X2365" s="47">
        <f>IF(GrossBasis="Wholesale",V2365,W2365)</f>
        <v/>
      </c>
      <c r="Y2365" s="47">
        <f>R2365*INDEX(FmtBlendedCogs,MATCH(F2365,FmtName,0))</f>
        <v/>
      </c>
      <c r="Z2365" s="47">
        <f>X2365-Y2365</f>
        <v/>
      </c>
    </row>
    <row r="2366">
      <c r="A2366" t="n">
        <v>33</v>
      </c>
      <c r="B2366" s="44">
        <f>FiscalStart+(A2366-1)*7</f>
        <v/>
      </c>
      <c r="C2366">
        <f>TEXT(B2366,"mmm yyyy")</f>
        <v/>
      </c>
      <c r="D2366">
        <f>"Q"&amp;(INT((A2366-1)/13)+1)</f>
        <v/>
      </c>
      <c r="E2366" t="inlineStr">
        <is>
          <t>FDM</t>
        </is>
      </c>
      <c r="F2366">
        <f>IFERROR(INDEX(ChFormat,MATCH(E2366,ChName,0)),"")</f>
        <v/>
      </c>
      <c r="G2366" t="inlineStr">
        <is>
          <t>ON</t>
        </is>
      </c>
      <c r="H2366">
        <f>IF(A2366&lt;=NWeeks,1,0)</f>
        <v/>
      </c>
      <c r="I2366">
        <f>INDEX(ChLaunch,MATCH(E2366,ChName,0))</f>
        <v/>
      </c>
      <c r="J2366">
        <f>INDEX(ChWeeksFull,MATCH(E2366,ChName,0))</f>
        <v/>
      </c>
      <c r="K2366">
        <f>INDEX(ChRamp,MATCH(E2366,ChName,0))</f>
        <v/>
      </c>
      <c r="L2366" s="45">
        <f>MIN(1,MAX(0,(A2366-I2366+1)*RampSpeed/J2366))</f>
        <v/>
      </c>
      <c r="M2366" s="45">
        <f>IF(A2366&lt;I2366,0,IF(K2366="S-curve",L2366*L2366*(3-2*L2366),L2366))</f>
        <v/>
      </c>
      <c r="N2366" s="45">
        <f>1+(INDEX(SeasonIdx,A2366)-1)*SeasonAmp</f>
        <v/>
      </c>
      <c r="O2366" s="45">
        <f>IFERROR(INDEX(PSPct,MATCH(E2366&amp;"|"&amp;G2366,PSKey,0)),0)</f>
        <v/>
      </c>
      <c r="P2366" s="46">
        <f>INDEX(ChDoorVel,MATCH(E2366,ChName,0))*CalibScalar*(1+VelocityUplift)</f>
        <v/>
      </c>
      <c r="Q2366" s="46" t="n">
        <v>0</v>
      </c>
      <c r="R2366" s="46">
        <f>P2366*O2366*M2366*N2366*H2366</f>
        <v/>
      </c>
      <c r="S2366" s="46">
        <f>R2366*INDEX(FmtCansPerCase,MATCH(F2366,FmtName,0))</f>
        <v/>
      </c>
      <c r="T2366" s="46">
        <f>S2366/INDEX(FmtCansPerPack,MATCH(F2366,FmtName,0))</f>
        <v/>
      </c>
      <c r="U2366" s="47">
        <f>INDEX(ChBaseCP,MATCH(E2366,ChName,0))*(1+INDEX(ProvMod,MATCH(G2366,ProvCode,0)))*(1+PriceIndex)</f>
        <v/>
      </c>
      <c r="V2366" s="47">
        <f>R2366*U2366*INDEX(FmtBlendedPriceIdx,MATCH(F2366,FmtName,0))</f>
        <v/>
      </c>
      <c r="W2366" s="47">
        <f>T2366*INDEX(ProvSRP,MATCH(G2366,ProvCode,0))*(1+PriceIndex)</f>
        <v/>
      </c>
      <c r="X2366" s="47">
        <f>IF(GrossBasis="Wholesale",V2366,W2366)</f>
        <v/>
      </c>
      <c r="Y2366" s="47">
        <f>R2366*INDEX(FmtBlendedCogs,MATCH(F2366,FmtName,0))</f>
        <v/>
      </c>
      <c r="Z2366" s="47">
        <f>X2366-Y2366</f>
        <v/>
      </c>
    </row>
    <row r="2367">
      <c r="A2367" t="n">
        <v>34</v>
      </c>
      <c r="B2367" s="44">
        <f>FiscalStart+(A2367-1)*7</f>
        <v/>
      </c>
      <c r="C2367">
        <f>TEXT(B2367,"mmm yyyy")</f>
        <v/>
      </c>
      <c r="D2367">
        <f>"Q"&amp;(INT((A2367-1)/13)+1)</f>
        <v/>
      </c>
      <c r="E2367" t="inlineStr">
        <is>
          <t>FDM</t>
        </is>
      </c>
      <c r="F2367">
        <f>IFERROR(INDEX(ChFormat,MATCH(E2367,ChName,0)),"")</f>
        <v/>
      </c>
      <c r="G2367" t="inlineStr">
        <is>
          <t>ON</t>
        </is>
      </c>
      <c r="H2367">
        <f>IF(A2367&lt;=NWeeks,1,0)</f>
        <v/>
      </c>
      <c r="I2367">
        <f>INDEX(ChLaunch,MATCH(E2367,ChName,0))</f>
        <v/>
      </c>
      <c r="J2367">
        <f>INDEX(ChWeeksFull,MATCH(E2367,ChName,0))</f>
        <v/>
      </c>
      <c r="K2367">
        <f>INDEX(ChRamp,MATCH(E2367,ChName,0))</f>
        <v/>
      </c>
      <c r="L2367" s="45">
        <f>MIN(1,MAX(0,(A2367-I2367+1)*RampSpeed/J2367))</f>
        <v/>
      </c>
      <c r="M2367" s="45">
        <f>IF(A2367&lt;I2367,0,IF(K2367="S-curve",L2367*L2367*(3-2*L2367),L2367))</f>
        <v/>
      </c>
      <c r="N2367" s="45">
        <f>1+(INDEX(SeasonIdx,A2367)-1)*SeasonAmp</f>
        <v/>
      </c>
      <c r="O2367" s="45">
        <f>IFERROR(INDEX(PSPct,MATCH(E2367&amp;"|"&amp;G2367,PSKey,0)),0)</f>
        <v/>
      </c>
      <c r="P2367" s="46">
        <f>INDEX(ChDoorVel,MATCH(E2367,ChName,0))*CalibScalar*(1+VelocityUplift)</f>
        <v/>
      </c>
      <c r="Q2367" s="46" t="n">
        <v>0</v>
      </c>
      <c r="R2367" s="46">
        <f>P2367*O2367*M2367*N2367*H2367</f>
        <v/>
      </c>
      <c r="S2367" s="46">
        <f>R2367*INDEX(FmtCansPerCase,MATCH(F2367,FmtName,0))</f>
        <v/>
      </c>
      <c r="T2367" s="46">
        <f>S2367/INDEX(FmtCansPerPack,MATCH(F2367,FmtName,0))</f>
        <v/>
      </c>
      <c r="U2367" s="47">
        <f>INDEX(ChBaseCP,MATCH(E2367,ChName,0))*(1+INDEX(ProvMod,MATCH(G2367,ProvCode,0)))*(1+PriceIndex)</f>
        <v/>
      </c>
      <c r="V2367" s="47">
        <f>R2367*U2367*INDEX(FmtBlendedPriceIdx,MATCH(F2367,FmtName,0))</f>
        <v/>
      </c>
      <c r="W2367" s="47">
        <f>T2367*INDEX(ProvSRP,MATCH(G2367,ProvCode,0))*(1+PriceIndex)</f>
        <v/>
      </c>
      <c r="X2367" s="47">
        <f>IF(GrossBasis="Wholesale",V2367,W2367)</f>
        <v/>
      </c>
      <c r="Y2367" s="47">
        <f>R2367*INDEX(FmtBlendedCogs,MATCH(F2367,FmtName,0))</f>
        <v/>
      </c>
      <c r="Z2367" s="47">
        <f>X2367-Y2367</f>
        <v/>
      </c>
    </row>
    <row r="2368">
      <c r="A2368" t="n">
        <v>35</v>
      </c>
      <c r="B2368" s="44">
        <f>FiscalStart+(A2368-1)*7</f>
        <v/>
      </c>
      <c r="C2368">
        <f>TEXT(B2368,"mmm yyyy")</f>
        <v/>
      </c>
      <c r="D2368">
        <f>"Q"&amp;(INT((A2368-1)/13)+1)</f>
        <v/>
      </c>
      <c r="E2368" t="inlineStr">
        <is>
          <t>FDM</t>
        </is>
      </c>
      <c r="F2368">
        <f>IFERROR(INDEX(ChFormat,MATCH(E2368,ChName,0)),"")</f>
        <v/>
      </c>
      <c r="G2368" t="inlineStr">
        <is>
          <t>ON</t>
        </is>
      </c>
      <c r="H2368">
        <f>IF(A2368&lt;=NWeeks,1,0)</f>
        <v/>
      </c>
      <c r="I2368">
        <f>INDEX(ChLaunch,MATCH(E2368,ChName,0))</f>
        <v/>
      </c>
      <c r="J2368">
        <f>INDEX(ChWeeksFull,MATCH(E2368,ChName,0))</f>
        <v/>
      </c>
      <c r="K2368">
        <f>INDEX(ChRamp,MATCH(E2368,ChName,0))</f>
        <v/>
      </c>
      <c r="L2368" s="45">
        <f>MIN(1,MAX(0,(A2368-I2368+1)*RampSpeed/J2368))</f>
        <v/>
      </c>
      <c r="M2368" s="45">
        <f>IF(A2368&lt;I2368,0,IF(K2368="S-curve",L2368*L2368*(3-2*L2368),L2368))</f>
        <v/>
      </c>
      <c r="N2368" s="45">
        <f>1+(INDEX(SeasonIdx,A2368)-1)*SeasonAmp</f>
        <v/>
      </c>
      <c r="O2368" s="45">
        <f>IFERROR(INDEX(PSPct,MATCH(E2368&amp;"|"&amp;G2368,PSKey,0)),0)</f>
        <v/>
      </c>
      <c r="P2368" s="46">
        <f>INDEX(ChDoorVel,MATCH(E2368,ChName,0))*CalibScalar*(1+VelocityUplift)</f>
        <v/>
      </c>
      <c r="Q2368" s="46" t="n">
        <v>0</v>
      </c>
      <c r="R2368" s="46">
        <f>P2368*O2368*M2368*N2368*H2368</f>
        <v/>
      </c>
      <c r="S2368" s="46">
        <f>R2368*INDEX(FmtCansPerCase,MATCH(F2368,FmtName,0))</f>
        <v/>
      </c>
      <c r="T2368" s="46">
        <f>S2368/INDEX(FmtCansPerPack,MATCH(F2368,FmtName,0))</f>
        <v/>
      </c>
      <c r="U2368" s="47">
        <f>INDEX(ChBaseCP,MATCH(E2368,ChName,0))*(1+INDEX(ProvMod,MATCH(G2368,ProvCode,0)))*(1+PriceIndex)</f>
        <v/>
      </c>
      <c r="V2368" s="47">
        <f>R2368*U2368*INDEX(FmtBlendedPriceIdx,MATCH(F2368,FmtName,0))</f>
        <v/>
      </c>
      <c r="W2368" s="47">
        <f>T2368*INDEX(ProvSRP,MATCH(G2368,ProvCode,0))*(1+PriceIndex)</f>
        <v/>
      </c>
      <c r="X2368" s="47">
        <f>IF(GrossBasis="Wholesale",V2368,W2368)</f>
        <v/>
      </c>
      <c r="Y2368" s="47">
        <f>R2368*INDEX(FmtBlendedCogs,MATCH(F2368,FmtName,0))</f>
        <v/>
      </c>
      <c r="Z2368" s="47">
        <f>X2368-Y2368</f>
        <v/>
      </c>
    </row>
    <row r="2369">
      <c r="A2369" t="n">
        <v>36</v>
      </c>
      <c r="B2369" s="44">
        <f>FiscalStart+(A2369-1)*7</f>
        <v/>
      </c>
      <c r="C2369">
        <f>TEXT(B2369,"mmm yyyy")</f>
        <v/>
      </c>
      <c r="D2369">
        <f>"Q"&amp;(INT((A2369-1)/13)+1)</f>
        <v/>
      </c>
      <c r="E2369" t="inlineStr">
        <is>
          <t>FDM</t>
        </is>
      </c>
      <c r="F2369">
        <f>IFERROR(INDEX(ChFormat,MATCH(E2369,ChName,0)),"")</f>
        <v/>
      </c>
      <c r="G2369" t="inlineStr">
        <is>
          <t>ON</t>
        </is>
      </c>
      <c r="H2369">
        <f>IF(A2369&lt;=NWeeks,1,0)</f>
        <v/>
      </c>
      <c r="I2369">
        <f>INDEX(ChLaunch,MATCH(E2369,ChName,0))</f>
        <v/>
      </c>
      <c r="J2369">
        <f>INDEX(ChWeeksFull,MATCH(E2369,ChName,0))</f>
        <v/>
      </c>
      <c r="K2369">
        <f>INDEX(ChRamp,MATCH(E2369,ChName,0))</f>
        <v/>
      </c>
      <c r="L2369" s="45">
        <f>MIN(1,MAX(0,(A2369-I2369+1)*RampSpeed/J2369))</f>
        <v/>
      </c>
      <c r="M2369" s="45">
        <f>IF(A2369&lt;I2369,0,IF(K2369="S-curve",L2369*L2369*(3-2*L2369),L2369))</f>
        <v/>
      </c>
      <c r="N2369" s="45">
        <f>1+(INDEX(SeasonIdx,A2369)-1)*SeasonAmp</f>
        <v/>
      </c>
      <c r="O2369" s="45">
        <f>IFERROR(INDEX(PSPct,MATCH(E2369&amp;"|"&amp;G2369,PSKey,0)),0)</f>
        <v/>
      </c>
      <c r="P2369" s="46">
        <f>INDEX(ChDoorVel,MATCH(E2369,ChName,0))*CalibScalar*(1+VelocityUplift)</f>
        <v/>
      </c>
      <c r="Q2369" s="46" t="n">
        <v>0</v>
      </c>
      <c r="R2369" s="46">
        <f>P2369*O2369*M2369*N2369*H2369</f>
        <v/>
      </c>
      <c r="S2369" s="46">
        <f>R2369*INDEX(FmtCansPerCase,MATCH(F2369,FmtName,0))</f>
        <v/>
      </c>
      <c r="T2369" s="46">
        <f>S2369/INDEX(FmtCansPerPack,MATCH(F2369,FmtName,0))</f>
        <v/>
      </c>
      <c r="U2369" s="47">
        <f>INDEX(ChBaseCP,MATCH(E2369,ChName,0))*(1+INDEX(ProvMod,MATCH(G2369,ProvCode,0)))*(1+PriceIndex)</f>
        <v/>
      </c>
      <c r="V2369" s="47">
        <f>R2369*U2369*INDEX(FmtBlendedPriceIdx,MATCH(F2369,FmtName,0))</f>
        <v/>
      </c>
      <c r="W2369" s="47">
        <f>T2369*INDEX(ProvSRP,MATCH(G2369,ProvCode,0))*(1+PriceIndex)</f>
        <v/>
      </c>
      <c r="X2369" s="47">
        <f>IF(GrossBasis="Wholesale",V2369,W2369)</f>
        <v/>
      </c>
      <c r="Y2369" s="47">
        <f>R2369*INDEX(FmtBlendedCogs,MATCH(F2369,FmtName,0))</f>
        <v/>
      </c>
      <c r="Z2369" s="47">
        <f>X2369-Y2369</f>
        <v/>
      </c>
    </row>
    <row r="2370">
      <c r="A2370" t="n">
        <v>37</v>
      </c>
      <c r="B2370" s="44">
        <f>FiscalStart+(A2370-1)*7</f>
        <v/>
      </c>
      <c r="C2370">
        <f>TEXT(B2370,"mmm yyyy")</f>
        <v/>
      </c>
      <c r="D2370">
        <f>"Q"&amp;(INT((A2370-1)/13)+1)</f>
        <v/>
      </c>
      <c r="E2370" t="inlineStr">
        <is>
          <t>FDM</t>
        </is>
      </c>
      <c r="F2370">
        <f>IFERROR(INDEX(ChFormat,MATCH(E2370,ChName,0)),"")</f>
        <v/>
      </c>
      <c r="G2370" t="inlineStr">
        <is>
          <t>ON</t>
        </is>
      </c>
      <c r="H2370">
        <f>IF(A2370&lt;=NWeeks,1,0)</f>
        <v/>
      </c>
      <c r="I2370">
        <f>INDEX(ChLaunch,MATCH(E2370,ChName,0))</f>
        <v/>
      </c>
      <c r="J2370">
        <f>INDEX(ChWeeksFull,MATCH(E2370,ChName,0))</f>
        <v/>
      </c>
      <c r="K2370">
        <f>INDEX(ChRamp,MATCH(E2370,ChName,0))</f>
        <v/>
      </c>
      <c r="L2370" s="45">
        <f>MIN(1,MAX(0,(A2370-I2370+1)*RampSpeed/J2370))</f>
        <v/>
      </c>
      <c r="M2370" s="45">
        <f>IF(A2370&lt;I2370,0,IF(K2370="S-curve",L2370*L2370*(3-2*L2370),L2370))</f>
        <v/>
      </c>
      <c r="N2370" s="45">
        <f>1+(INDEX(SeasonIdx,A2370)-1)*SeasonAmp</f>
        <v/>
      </c>
      <c r="O2370" s="45">
        <f>IFERROR(INDEX(PSPct,MATCH(E2370&amp;"|"&amp;G2370,PSKey,0)),0)</f>
        <v/>
      </c>
      <c r="P2370" s="46">
        <f>INDEX(ChDoorVel,MATCH(E2370,ChName,0))*CalibScalar*(1+VelocityUplift)</f>
        <v/>
      </c>
      <c r="Q2370" s="46" t="n">
        <v>0</v>
      </c>
      <c r="R2370" s="46">
        <f>P2370*O2370*M2370*N2370*H2370</f>
        <v/>
      </c>
      <c r="S2370" s="46">
        <f>R2370*INDEX(FmtCansPerCase,MATCH(F2370,FmtName,0))</f>
        <v/>
      </c>
      <c r="T2370" s="46">
        <f>S2370/INDEX(FmtCansPerPack,MATCH(F2370,FmtName,0))</f>
        <v/>
      </c>
      <c r="U2370" s="47">
        <f>INDEX(ChBaseCP,MATCH(E2370,ChName,0))*(1+INDEX(ProvMod,MATCH(G2370,ProvCode,0)))*(1+PriceIndex)</f>
        <v/>
      </c>
      <c r="V2370" s="47">
        <f>R2370*U2370*INDEX(FmtBlendedPriceIdx,MATCH(F2370,FmtName,0))</f>
        <v/>
      </c>
      <c r="W2370" s="47">
        <f>T2370*INDEX(ProvSRP,MATCH(G2370,ProvCode,0))*(1+PriceIndex)</f>
        <v/>
      </c>
      <c r="X2370" s="47">
        <f>IF(GrossBasis="Wholesale",V2370,W2370)</f>
        <v/>
      </c>
      <c r="Y2370" s="47">
        <f>R2370*INDEX(FmtBlendedCogs,MATCH(F2370,FmtName,0))</f>
        <v/>
      </c>
      <c r="Z2370" s="47">
        <f>X2370-Y2370</f>
        <v/>
      </c>
    </row>
    <row r="2371">
      <c r="A2371" t="n">
        <v>38</v>
      </c>
      <c r="B2371" s="44">
        <f>FiscalStart+(A2371-1)*7</f>
        <v/>
      </c>
      <c r="C2371">
        <f>TEXT(B2371,"mmm yyyy")</f>
        <v/>
      </c>
      <c r="D2371">
        <f>"Q"&amp;(INT((A2371-1)/13)+1)</f>
        <v/>
      </c>
      <c r="E2371" t="inlineStr">
        <is>
          <t>FDM</t>
        </is>
      </c>
      <c r="F2371">
        <f>IFERROR(INDEX(ChFormat,MATCH(E2371,ChName,0)),"")</f>
        <v/>
      </c>
      <c r="G2371" t="inlineStr">
        <is>
          <t>ON</t>
        </is>
      </c>
      <c r="H2371">
        <f>IF(A2371&lt;=NWeeks,1,0)</f>
        <v/>
      </c>
      <c r="I2371">
        <f>INDEX(ChLaunch,MATCH(E2371,ChName,0))</f>
        <v/>
      </c>
      <c r="J2371">
        <f>INDEX(ChWeeksFull,MATCH(E2371,ChName,0))</f>
        <v/>
      </c>
      <c r="K2371">
        <f>INDEX(ChRamp,MATCH(E2371,ChName,0))</f>
        <v/>
      </c>
      <c r="L2371" s="45">
        <f>MIN(1,MAX(0,(A2371-I2371+1)*RampSpeed/J2371))</f>
        <v/>
      </c>
      <c r="M2371" s="45">
        <f>IF(A2371&lt;I2371,0,IF(K2371="S-curve",L2371*L2371*(3-2*L2371),L2371))</f>
        <v/>
      </c>
      <c r="N2371" s="45">
        <f>1+(INDEX(SeasonIdx,A2371)-1)*SeasonAmp</f>
        <v/>
      </c>
      <c r="O2371" s="45">
        <f>IFERROR(INDEX(PSPct,MATCH(E2371&amp;"|"&amp;G2371,PSKey,0)),0)</f>
        <v/>
      </c>
      <c r="P2371" s="46">
        <f>INDEX(ChDoorVel,MATCH(E2371,ChName,0))*CalibScalar*(1+VelocityUplift)</f>
        <v/>
      </c>
      <c r="Q2371" s="46" t="n">
        <v>0</v>
      </c>
      <c r="R2371" s="46">
        <f>P2371*O2371*M2371*N2371*H2371</f>
        <v/>
      </c>
      <c r="S2371" s="46">
        <f>R2371*INDEX(FmtCansPerCase,MATCH(F2371,FmtName,0))</f>
        <v/>
      </c>
      <c r="T2371" s="46">
        <f>S2371/INDEX(FmtCansPerPack,MATCH(F2371,FmtName,0))</f>
        <v/>
      </c>
      <c r="U2371" s="47">
        <f>INDEX(ChBaseCP,MATCH(E2371,ChName,0))*(1+INDEX(ProvMod,MATCH(G2371,ProvCode,0)))*(1+PriceIndex)</f>
        <v/>
      </c>
      <c r="V2371" s="47">
        <f>R2371*U2371*INDEX(FmtBlendedPriceIdx,MATCH(F2371,FmtName,0))</f>
        <v/>
      </c>
      <c r="W2371" s="47">
        <f>T2371*INDEX(ProvSRP,MATCH(G2371,ProvCode,0))*(1+PriceIndex)</f>
        <v/>
      </c>
      <c r="X2371" s="47">
        <f>IF(GrossBasis="Wholesale",V2371,W2371)</f>
        <v/>
      </c>
      <c r="Y2371" s="47">
        <f>R2371*INDEX(FmtBlendedCogs,MATCH(F2371,FmtName,0))</f>
        <v/>
      </c>
      <c r="Z2371" s="47">
        <f>X2371-Y2371</f>
        <v/>
      </c>
    </row>
    <row r="2372">
      <c r="A2372" t="n">
        <v>39</v>
      </c>
      <c r="B2372" s="44">
        <f>FiscalStart+(A2372-1)*7</f>
        <v/>
      </c>
      <c r="C2372">
        <f>TEXT(B2372,"mmm yyyy")</f>
        <v/>
      </c>
      <c r="D2372">
        <f>"Q"&amp;(INT((A2372-1)/13)+1)</f>
        <v/>
      </c>
      <c r="E2372" t="inlineStr">
        <is>
          <t>FDM</t>
        </is>
      </c>
      <c r="F2372">
        <f>IFERROR(INDEX(ChFormat,MATCH(E2372,ChName,0)),"")</f>
        <v/>
      </c>
      <c r="G2372" t="inlineStr">
        <is>
          <t>ON</t>
        </is>
      </c>
      <c r="H2372">
        <f>IF(A2372&lt;=NWeeks,1,0)</f>
        <v/>
      </c>
      <c r="I2372">
        <f>INDEX(ChLaunch,MATCH(E2372,ChName,0))</f>
        <v/>
      </c>
      <c r="J2372">
        <f>INDEX(ChWeeksFull,MATCH(E2372,ChName,0))</f>
        <v/>
      </c>
      <c r="K2372">
        <f>INDEX(ChRamp,MATCH(E2372,ChName,0))</f>
        <v/>
      </c>
      <c r="L2372" s="45">
        <f>MIN(1,MAX(0,(A2372-I2372+1)*RampSpeed/J2372))</f>
        <v/>
      </c>
      <c r="M2372" s="45">
        <f>IF(A2372&lt;I2372,0,IF(K2372="S-curve",L2372*L2372*(3-2*L2372),L2372))</f>
        <v/>
      </c>
      <c r="N2372" s="45">
        <f>1+(INDEX(SeasonIdx,A2372)-1)*SeasonAmp</f>
        <v/>
      </c>
      <c r="O2372" s="45">
        <f>IFERROR(INDEX(PSPct,MATCH(E2372&amp;"|"&amp;G2372,PSKey,0)),0)</f>
        <v/>
      </c>
      <c r="P2372" s="46">
        <f>INDEX(ChDoorVel,MATCH(E2372,ChName,0))*CalibScalar*(1+VelocityUplift)</f>
        <v/>
      </c>
      <c r="Q2372" s="46" t="n">
        <v>0</v>
      </c>
      <c r="R2372" s="46">
        <f>P2372*O2372*M2372*N2372*H2372</f>
        <v/>
      </c>
      <c r="S2372" s="46">
        <f>R2372*INDEX(FmtCansPerCase,MATCH(F2372,FmtName,0))</f>
        <v/>
      </c>
      <c r="T2372" s="46">
        <f>S2372/INDEX(FmtCansPerPack,MATCH(F2372,FmtName,0))</f>
        <v/>
      </c>
      <c r="U2372" s="47">
        <f>INDEX(ChBaseCP,MATCH(E2372,ChName,0))*(1+INDEX(ProvMod,MATCH(G2372,ProvCode,0)))*(1+PriceIndex)</f>
        <v/>
      </c>
      <c r="V2372" s="47">
        <f>R2372*U2372*INDEX(FmtBlendedPriceIdx,MATCH(F2372,FmtName,0))</f>
        <v/>
      </c>
      <c r="W2372" s="47">
        <f>T2372*INDEX(ProvSRP,MATCH(G2372,ProvCode,0))*(1+PriceIndex)</f>
        <v/>
      </c>
      <c r="X2372" s="47">
        <f>IF(GrossBasis="Wholesale",V2372,W2372)</f>
        <v/>
      </c>
      <c r="Y2372" s="47">
        <f>R2372*INDEX(FmtBlendedCogs,MATCH(F2372,FmtName,0))</f>
        <v/>
      </c>
      <c r="Z2372" s="47">
        <f>X2372-Y2372</f>
        <v/>
      </c>
    </row>
    <row r="2373">
      <c r="A2373" t="n">
        <v>40</v>
      </c>
      <c r="B2373" s="44">
        <f>FiscalStart+(A2373-1)*7</f>
        <v/>
      </c>
      <c r="C2373">
        <f>TEXT(B2373,"mmm yyyy")</f>
        <v/>
      </c>
      <c r="D2373">
        <f>"Q"&amp;(INT((A2373-1)/13)+1)</f>
        <v/>
      </c>
      <c r="E2373" t="inlineStr">
        <is>
          <t>FDM</t>
        </is>
      </c>
      <c r="F2373">
        <f>IFERROR(INDEX(ChFormat,MATCH(E2373,ChName,0)),"")</f>
        <v/>
      </c>
      <c r="G2373" t="inlineStr">
        <is>
          <t>ON</t>
        </is>
      </c>
      <c r="H2373">
        <f>IF(A2373&lt;=NWeeks,1,0)</f>
        <v/>
      </c>
      <c r="I2373">
        <f>INDEX(ChLaunch,MATCH(E2373,ChName,0))</f>
        <v/>
      </c>
      <c r="J2373">
        <f>INDEX(ChWeeksFull,MATCH(E2373,ChName,0))</f>
        <v/>
      </c>
      <c r="K2373">
        <f>INDEX(ChRamp,MATCH(E2373,ChName,0))</f>
        <v/>
      </c>
      <c r="L2373" s="45">
        <f>MIN(1,MAX(0,(A2373-I2373+1)*RampSpeed/J2373))</f>
        <v/>
      </c>
      <c r="M2373" s="45">
        <f>IF(A2373&lt;I2373,0,IF(K2373="S-curve",L2373*L2373*(3-2*L2373),L2373))</f>
        <v/>
      </c>
      <c r="N2373" s="45">
        <f>1+(INDEX(SeasonIdx,A2373)-1)*SeasonAmp</f>
        <v/>
      </c>
      <c r="O2373" s="45">
        <f>IFERROR(INDEX(PSPct,MATCH(E2373&amp;"|"&amp;G2373,PSKey,0)),0)</f>
        <v/>
      </c>
      <c r="P2373" s="46">
        <f>INDEX(ChDoorVel,MATCH(E2373,ChName,0))*CalibScalar*(1+VelocityUplift)</f>
        <v/>
      </c>
      <c r="Q2373" s="46" t="n">
        <v>0</v>
      </c>
      <c r="R2373" s="46">
        <f>P2373*O2373*M2373*N2373*H2373</f>
        <v/>
      </c>
      <c r="S2373" s="46">
        <f>R2373*INDEX(FmtCansPerCase,MATCH(F2373,FmtName,0))</f>
        <v/>
      </c>
      <c r="T2373" s="46">
        <f>S2373/INDEX(FmtCansPerPack,MATCH(F2373,FmtName,0))</f>
        <v/>
      </c>
      <c r="U2373" s="47">
        <f>INDEX(ChBaseCP,MATCH(E2373,ChName,0))*(1+INDEX(ProvMod,MATCH(G2373,ProvCode,0)))*(1+PriceIndex)</f>
        <v/>
      </c>
      <c r="V2373" s="47">
        <f>R2373*U2373*INDEX(FmtBlendedPriceIdx,MATCH(F2373,FmtName,0))</f>
        <v/>
      </c>
      <c r="W2373" s="47">
        <f>T2373*INDEX(ProvSRP,MATCH(G2373,ProvCode,0))*(1+PriceIndex)</f>
        <v/>
      </c>
      <c r="X2373" s="47">
        <f>IF(GrossBasis="Wholesale",V2373,W2373)</f>
        <v/>
      </c>
      <c r="Y2373" s="47">
        <f>R2373*INDEX(FmtBlendedCogs,MATCH(F2373,FmtName,0))</f>
        <v/>
      </c>
      <c r="Z2373" s="47">
        <f>X2373-Y2373</f>
        <v/>
      </c>
    </row>
    <row r="2374">
      <c r="A2374" t="n">
        <v>41</v>
      </c>
      <c r="B2374" s="44">
        <f>FiscalStart+(A2374-1)*7</f>
        <v/>
      </c>
      <c r="C2374">
        <f>TEXT(B2374,"mmm yyyy")</f>
        <v/>
      </c>
      <c r="D2374">
        <f>"Q"&amp;(INT((A2374-1)/13)+1)</f>
        <v/>
      </c>
      <c r="E2374" t="inlineStr">
        <is>
          <t>FDM</t>
        </is>
      </c>
      <c r="F2374">
        <f>IFERROR(INDEX(ChFormat,MATCH(E2374,ChName,0)),"")</f>
        <v/>
      </c>
      <c r="G2374" t="inlineStr">
        <is>
          <t>ON</t>
        </is>
      </c>
      <c r="H2374">
        <f>IF(A2374&lt;=NWeeks,1,0)</f>
        <v/>
      </c>
      <c r="I2374">
        <f>INDEX(ChLaunch,MATCH(E2374,ChName,0))</f>
        <v/>
      </c>
      <c r="J2374">
        <f>INDEX(ChWeeksFull,MATCH(E2374,ChName,0))</f>
        <v/>
      </c>
      <c r="K2374">
        <f>INDEX(ChRamp,MATCH(E2374,ChName,0))</f>
        <v/>
      </c>
      <c r="L2374" s="45">
        <f>MIN(1,MAX(0,(A2374-I2374+1)*RampSpeed/J2374))</f>
        <v/>
      </c>
      <c r="M2374" s="45">
        <f>IF(A2374&lt;I2374,0,IF(K2374="S-curve",L2374*L2374*(3-2*L2374),L2374))</f>
        <v/>
      </c>
      <c r="N2374" s="45">
        <f>1+(INDEX(SeasonIdx,A2374)-1)*SeasonAmp</f>
        <v/>
      </c>
      <c r="O2374" s="45">
        <f>IFERROR(INDEX(PSPct,MATCH(E2374&amp;"|"&amp;G2374,PSKey,0)),0)</f>
        <v/>
      </c>
      <c r="P2374" s="46">
        <f>INDEX(ChDoorVel,MATCH(E2374,ChName,0))*CalibScalar*(1+VelocityUplift)</f>
        <v/>
      </c>
      <c r="Q2374" s="46" t="n">
        <v>0</v>
      </c>
      <c r="R2374" s="46">
        <f>P2374*O2374*M2374*N2374*H2374</f>
        <v/>
      </c>
      <c r="S2374" s="46">
        <f>R2374*INDEX(FmtCansPerCase,MATCH(F2374,FmtName,0))</f>
        <v/>
      </c>
      <c r="T2374" s="46">
        <f>S2374/INDEX(FmtCansPerPack,MATCH(F2374,FmtName,0))</f>
        <v/>
      </c>
      <c r="U2374" s="47">
        <f>INDEX(ChBaseCP,MATCH(E2374,ChName,0))*(1+INDEX(ProvMod,MATCH(G2374,ProvCode,0)))*(1+PriceIndex)</f>
        <v/>
      </c>
      <c r="V2374" s="47">
        <f>R2374*U2374*INDEX(FmtBlendedPriceIdx,MATCH(F2374,FmtName,0))</f>
        <v/>
      </c>
      <c r="W2374" s="47">
        <f>T2374*INDEX(ProvSRP,MATCH(G2374,ProvCode,0))*(1+PriceIndex)</f>
        <v/>
      </c>
      <c r="X2374" s="47">
        <f>IF(GrossBasis="Wholesale",V2374,W2374)</f>
        <v/>
      </c>
      <c r="Y2374" s="47">
        <f>R2374*INDEX(FmtBlendedCogs,MATCH(F2374,FmtName,0))</f>
        <v/>
      </c>
      <c r="Z2374" s="47">
        <f>X2374-Y2374</f>
        <v/>
      </c>
    </row>
    <row r="2375">
      <c r="A2375" t="n">
        <v>42</v>
      </c>
      <c r="B2375" s="44">
        <f>FiscalStart+(A2375-1)*7</f>
        <v/>
      </c>
      <c r="C2375">
        <f>TEXT(B2375,"mmm yyyy")</f>
        <v/>
      </c>
      <c r="D2375">
        <f>"Q"&amp;(INT((A2375-1)/13)+1)</f>
        <v/>
      </c>
      <c r="E2375" t="inlineStr">
        <is>
          <t>FDM</t>
        </is>
      </c>
      <c r="F2375">
        <f>IFERROR(INDEX(ChFormat,MATCH(E2375,ChName,0)),"")</f>
        <v/>
      </c>
      <c r="G2375" t="inlineStr">
        <is>
          <t>ON</t>
        </is>
      </c>
      <c r="H2375">
        <f>IF(A2375&lt;=NWeeks,1,0)</f>
        <v/>
      </c>
      <c r="I2375">
        <f>INDEX(ChLaunch,MATCH(E2375,ChName,0))</f>
        <v/>
      </c>
      <c r="J2375">
        <f>INDEX(ChWeeksFull,MATCH(E2375,ChName,0))</f>
        <v/>
      </c>
      <c r="K2375">
        <f>INDEX(ChRamp,MATCH(E2375,ChName,0))</f>
        <v/>
      </c>
      <c r="L2375" s="45">
        <f>MIN(1,MAX(0,(A2375-I2375+1)*RampSpeed/J2375))</f>
        <v/>
      </c>
      <c r="M2375" s="45">
        <f>IF(A2375&lt;I2375,0,IF(K2375="S-curve",L2375*L2375*(3-2*L2375),L2375))</f>
        <v/>
      </c>
      <c r="N2375" s="45">
        <f>1+(INDEX(SeasonIdx,A2375)-1)*SeasonAmp</f>
        <v/>
      </c>
      <c r="O2375" s="45">
        <f>IFERROR(INDEX(PSPct,MATCH(E2375&amp;"|"&amp;G2375,PSKey,0)),0)</f>
        <v/>
      </c>
      <c r="P2375" s="46">
        <f>INDEX(ChDoorVel,MATCH(E2375,ChName,0))*CalibScalar*(1+VelocityUplift)</f>
        <v/>
      </c>
      <c r="Q2375" s="46" t="n">
        <v>0</v>
      </c>
      <c r="R2375" s="46">
        <f>P2375*O2375*M2375*N2375*H2375</f>
        <v/>
      </c>
      <c r="S2375" s="46">
        <f>R2375*INDEX(FmtCansPerCase,MATCH(F2375,FmtName,0))</f>
        <v/>
      </c>
      <c r="T2375" s="46">
        <f>S2375/INDEX(FmtCansPerPack,MATCH(F2375,FmtName,0))</f>
        <v/>
      </c>
      <c r="U2375" s="47">
        <f>INDEX(ChBaseCP,MATCH(E2375,ChName,0))*(1+INDEX(ProvMod,MATCH(G2375,ProvCode,0)))*(1+PriceIndex)</f>
        <v/>
      </c>
      <c r="V2375" s="47">
        <f>R2375*U2375*INDEX(FmtBlendedPriceIdx,MATCH(F2375,FmtName,0))</f>
        <v/>
      </c>
      <c r="W2375" s="47">
        <f>T2375*INDEX(ProvSRP,MATCH(G2375,ProvCode,0))*(1+PriceIndex)</f>
        <v/>
      </c>
      <c r="X2375" s="47">
        <f>IF(GrossBasis="Wholesale",V2375,W2375)</f>
        <v/>
      </c>
      <c r="Y2375" s="47">
        <f>R2375*INDEX(FmtBlendedCogs,MATCH(F2375,FmtName,0))</f>
        <v/>
      </c>
      <c r="Z2375" s="47">
        <f>X2375-Y2375</f>
        <v/>
      </c>
    </row>
    <row r="2376">
      <c r="A2376" t="n">
        <v>43</v>
      </c>
      <c r="B2376" s="44">
        <f>FiscalStart+(A2376-1)*7</f>
        <v/>
      </c>
      <c r="C2376">
        <f>TEXT(B2376,"mmm yyyy")</f>
        <v/>
      </c>
      <c r="D2376">
        <f>"Q"&amp;(INT((A2376-1)/13)+1)</f>
        <v/>
      </c>
      <c r="E2376" t="inlineStr">
        <is>
          <t>FDM</t>
        </is>
      </c>
      <c r="F2376">
        <f>IFERROR(INDEX(ChFormat,MATCH(E2376,ChName,0)),"")</f>
        <v/>
      </c>
      <c r="G2376" t="inlineStr">
        <is>
          <t>ON</t>
        </is>
      </c>
      <c r="H2376">
        <f>IF(A2376&lt;=NWeeks,1,0)</f>
        <v/>
      </c>
      <c r="I2376">
        <f>INDEX(ChLaunch,MATCH(E2376,ChName,0))</f>
        <v/>
      </c>
      <c r="J2376">
        <f>INDEX(ChWeeksFull,MATCH(E2376,ChName,0))</f>
        <v/>
      </c>
      <c r="K2376">
        <f>INDEX(ChRamp,MATCH(E2376,ChName,0))</f>
        <v/>
      </c>
      <c r="L2376" s="45">
        <f>MIN(1,MAX(0,(A2376-I2376+1)*RampSpeed/J2376))</f>
        <v/>
      </c>
      <c r="M2376" s="45">
        <f>IF(A2376&lt;I2376,0,IF(K2376="S-curve",L2376*L2376*(3-2*L2376),L2376))</f>
        <v/>
      </c>
      <c r="N2376" s="45">
        <f>1+(INDEX(SeasonIdx,A2376)-1)*SeasonAmp</f>
        <v/>
      </c>
      <c r="O2376" s="45">
        <f>IFERROR(INDEX(PSPct,MATCH(E2376&amp;"|"&amp;G2376,PSKey,0)),0)</f>
        <v/>
      </c>
      <c r="P2376" s="46">
        <f>INDEX(ChDoorVel,MATCH(E2376,ChName,0))*CalibScalar*(1+VelocityUplift)</f>
        <v/>
      </c>
      <c r="Q2376" s="46" t="n">
        <v>0</v>
      </c>
      <c r="R2376" s="46">
        <f>P2376*O2376*M2376*N2376*H2376</f>
        <v/>
      </c>
      <c r="S2376" s="46">
        <f>R2376*INDEX(FmtCansPerCase,MATCH(F2376,FmtName,0))</f>
        <v/>
      </c>
      <c r="T2376" s="46">
        <f>S2376/INDEX(FmtCansPerPack,MATCH(F2376,FmtName,0))</f>
        <v/>
      </c>
      <c r="U2376" s="47">
        <f>INDEX(ChBaseCP,MATCH(E2376,ChName,0))*(1+INDEX(ProvMod,MATCH(G2376,ProvCode,0)))*(1+PriceIndex)</f>
        <v/>
      </c>
      <c r="V2376" s="47">
        <f>R2376*U2376*INDEX(FmtBlendedPriceIdx,MATCH(F2376,FmtName,0))</f>
        <v/>
      </c>
      <c r="W2376" s="47">
        <f>T2376*INDEX(ProvSRP,MATCH(G2376,ProvCode,0))*(1+PriceIndex)</f>
        <v/>
      </c>
      <c r="X2376" s="47">
        <f>IF(GrossBasis="Wholesale",V2376,W2376)</f>
        <v/>
      </c>
      <c r="Y2376" s="47">
        <f>R2376*INDEX(FmtBlendedCogs,MATCH(F2376,FmtName,0))</f>
        <v/>
      </c>
      <c r="Z2376" s="47">
        <f>X2376-Y2376</f>
        <v/>
      </c>
    </row>
    <row r="2377">
      <c r="A2377" t="n">
        <v>44</v>
      </c>
      <c r="B2377" s="44">
        <f>FiscalStart+(A2377-1)*7</f>
        <v/>
      </c>
      <c r="C2377">
        <f>TEXT(B2377,"mmm yyyy")</f>
        <v/>
      </c>
      <c r="D2377">
        <f>"Q"&amp;(INT((A2377-1)/13)+1)</f>
        <v/>
      </c>
      <c r="E2377" t="inlineStr">
        <is>
          <t>FDM</t>
        </is>
      </c>
      <c r="F2377">
        <f>IFERROR(INDEX(ChFormat,MATCH(E2377,ChName,0)),"")</f>
        <v/>
      </c>
      <c r="G2377" t="inlineStr">
        <is>
          <t>ON</t>
        </is>
      </c>
      <c r="H2377">
        <f>IF(A2377&lt;=NWeeks,1,0)</f>
        <v/>
      </c>
      <c r="I2377">
        <f>INDEX(ChLaunch,MATCH(E2377,ChName,0))</f>
        <v/>
      </c>
      <c r="J2377">
        <f>INDEX(ChWeeksFull,MATCH(E2377,ChName,0))</f>
        <v/>
      </c>
      <c r="K2377">
        <f>INDEX(ChRamp,MATCH(E2377,ChName,0))</f>
        <v/>
      </c>
      <c r="L2377" s="45">
        <f>MIN(1,MAX(0,(A2377-I2377+1)*RampSpeed/J2377))</f>
        <v/>
      </c>
      <c r="M2377" s="45">
        <f>IF(A2377&lt;I2377,0,IF(K2377="S-curve",L2377*L2377*(3-2*L2377),L2377))</f>
        <v/>
      </c>
      <c r="N2377" s="45">
        <f>1+(INDEX(SeasonIdx,A2377)-1)*SeasonAmp</f>
        <v/>
      </c>
      <c r="O2377" s="45">
        <f>IFERROR(INDEX(PSPct,MATCH(E2377&amp;"|"&amp;G2377,PSKey,0)),0)</f>
        <v/>
      </c>
      <c r="P2377" s="46">
        <f>INDEX(ChDoorVel,MATCH(E2377,ChName,0))*CalibScalar*(1+VelocityUplift)</f>
        <v/>
      </c>
      <c r="Q2377" s="46" t="n">
        <v>0</v>
      </c>
      <c r="R2377" s="46">
        <f>P2377*O2377*M2377*N2377*H2377</f>
        <v/>
      </c>
      <c r="S2377" s="46">
        <f>R2377*INDEX(FmtCansPerCase,MATCH(F2377,FmtName,0))</f>
        <v/>
      </c>
      <c r="T2377" s="46">
        <f>S2377/INDEX(FmtCansPerPack,MATCH(F2377,FmtName,0))</f>
        <v/>
      </c>
      <c r="U2377" s="47">
        <f>INDEX(ChBaseCP,MATCH(E2377,ChName,0))*(1+INDEX(ProvMod,MATCH(G2377,ProvCode,0)))*(1+PriceIndex)</f>
        <v/>
      </c>
      <c r="V2377" s="47">
        <f>R2377*U2377*INDEX(FmtBlendedPriceIdx,MATCH(F2377,FmtName,0))</f>
        <v/>
      </c>
      <c r="W2377" s="47">
        <f>T2377*INDEX(ProvSRP,MATCH(G2377,ProvCode,0))*(1+PriceIndex)</f>
        <v/>
      </c>
      <c r="X2377" s="47">
        <f>IF(GrossBasis="Wholesale",V2377,W2377)</f>
        <v/>
      </c>
      <c r="Y2377" s="47">
        <f>R2377*INDEX(FmtBlendedCogs,MATCH(F2377,FmtName,0))</f>
        <v/>
      </c>
      <c r="Z2377" s="47">
        <f>X2377-Y2377</f>
        <v/>
      </c>
    </row>
    <row r="2378">
      <c r="A2378" t="n">
        <v>45</v>
      </c>
      <c r="B2378" s="44">
        <f>FiscalStart+(A2378-1)*7</f>
        <v/>
      </c>
      <c r="C2378">
        <f>TEXT(B2378,"mmm yyyy")</f>
        <v/>
      </c>
      <c r="D2378">
        <f>"Q"&amp;(INT((A2378-1)/13)+1)</f>
        <v/>
      </c>
      <c r="E2378" t="inlineStr">
        <is>
          <t>FDM</t>
        </is>
      </c>
      <c r="F2378">
        <f>IFERROR(INDEX(ChFormat,MATCH(E2378,ChName,0)),"")</f>
        <v/>
      </c>
      <c r="G2378" t="inlineStr">
        <is>
          <t>ON</t>
        </is>
      </c>
      <c r="H2378">
        <f>IF(A2378&lt;=NWeeks,1,0)</f>
        <v/>
      </c>
      <c r="I2378">
        <f>INDEX(ChLaunch,MATCH(E2378,ChName,0))</f>
        <v/>
      </c>
      <c r="J2378">
        <f>INDEX(ChWeeksFull,MATCH(E2378,ChName,0))</f>
        <v/>
      </c>
      <c r="K2378">
        <f>INDEX(ChRamp,MATCH(E2378,ChName,0))</f>
        <v/>
      </c>
      <c r="L2378" s="45">
        <f>MIN(1,MAX(0,(A2378-I2378+1)*RampSpeed/J2378))</f>
        <v/>
      </c>
      <c r="M2378" s="45">
        <f>IF(A2378&lt;I2378,0,IF(K2378="S-curve",L2378*L2378*(3-2*L2378),L2378))</f>
        <v/>
      </c>
      <c r="N2378" s="45">
        <f>1+(INDEX(SeasonIdx,A2378)-1)*SeasonAmp</f>
        <v/>
      </c>
      <c r="O2378" s="45">
        <f>IFERROR(INDEX(PSPct,MATCH(E2378&amp;"|"&amp;G2378,PSKey,0)),0)</f>
        <v/>
      </c>
      <c r="P2378" s="46">
        <f>INDEX(ChDoorVel,MATCH(E2378,ChName,0))*CalibScalar*(1+VelocityUplift)</f>
        <v/>
      </c>
      <c r="Q2378" s="46" t="n">
        <v>0</v>
      </c>
      <c r="R2378" s="46">
        <f>P2378*O2378*M2378*N2378*H2378</f>
        <v/>
      </c>
      <c r="S2378" s="46">
        <f>R2378*INDEX(FmtCansPerCase,MATCH(F2378,FmtName,0))</f>
        <v/>
      </c>
      <c r="T2378" s="46">
        <f>S2378/INDEX(FmtCansPerPack,MATCH(F2378,FmtName,0))</f>
        <v/>
      </c>
      <c r="U2378" s="47">
        <f>INDEX(ChBaseCP,MATCH(E2378,ChName,0))*(1+INDEX(ProvMod,MATCH(G2378,ProvCode,0)))*(1+PriceIndex)</f>
        <v/>
      </c>
      <c r="V2378" s="47">
        <f>R2378*U2378*INDEX(FmtBlendedPriceIdx,MATCH(F2378,FmtName,0))</f>
        <v/>
      </c>
      <c r="W2378" s="47">
        <f>T2378*INDEX(ProvSRP,MATCH(G2378,ProvCode,0))*(1+PriceIndex)</f>
        <v/>
      </c>
      <c r="X2378" s="47">
        <f>IF(GrossBasis="Wholesale",V2378,W2378)</f>
        <v/>
      </c>
      <c r="Y2378" s="47">
        <f>R2378*INDEX(FmtBlendedCogs,MATCH(F2378,FmtName,0))</f>
        <v/>
      </c>
      <c r="Z2378" s="47">
        <f>X2378-Y2378</f>
        <v/>
      </c>
    </row>
    <row r="2379">
      <c r="A2379" t="n">
        <v>46</v>
      </c>
      <c r="B2379" s="44">
        <f>FiscalStart+(A2379-1)*7</f>
        <v/>
      </c>
      <c r="C2379">
        <f>TEXT(B2379,"mmm yyyy")</f>
        <v/>
      </c>
      <c r="D2379">
        <f>"Q"&amp;(INT((A2379-1)/13)+1)</f>
        <v/>
      </c>
      <c r="E2379" t="inlineStr">
        <is>
          <t>FDM</t>
        </is>
      </c>
      <c r="F2379">
        <f>IFERROR(INDEX(ChFormat,MATCH(E2379,ChName,0)),"")</f>
        <v/>
      </c>
      <c r="G2379" t="inlineStr">
        <is>
          <t>ON</t>
        </is>
      </c>
      <c r="H2379">
        <f>IF(A2379&lt;=NWeeks,1,0)</f>
        <v/>
      </c>
      <c r="I2379">
        <f>INDEX(ChLaunch,MATCH(E2379,ChName,0))</f>
        <v/>
      </c>
      <c r="J2379">
        <f>INDEX(ChWeeksFull,MATCH(E2379,ChName,0))</f>
        <v/>
      </c>
      <c r="K2379">
        <f>INDEX(ChRamp,MATCH(E2379,ChName,0))</f>
        <v/>
      </c>
      <c r="L2379" s="45">
        <f>MIN(1,MAX(0,(A2379-I2379+1)*RampSpeed/J2379))</f>
        <v/>
      </c>
      <c r="M2379" s="45">
        <f>IF(A2379&lt;I2379,0,IF(K2379="S-curve",L2379*L2379*(3-2*L2379),L2379))</f>
        <v/>
      </c>
      <c r="N2379" s="45">
        <f>1+(INDEX(SeasonIdx,A2379)-1)*SeasonAmp</f>
        <v/>
      </c>
      <c r="O2379" s="45">
        <f>IFERROR(INDEX(PSPct,MATCH(E2379&amp;"|"&amp;G2379,PSKey,0)),0)</f>
        <v/>
      </c>
      <c r="P2379" s="46">
        <f>INDEX(ChDoorVel,MATCH(E2379,ChName,0))*CalibScalar*(1+VelocityUplift)</f>
        <v/>
      </c>
      <c r="Q2379" s="46" t="n">
        <v>0</v>
      </c>
      <c r="R2379" s="46">
        <f>P2379*O2379*M2379*N2379*H2379</f>
        <v/>
      </c>
      <c r="S2379" s="46">
        <f>R2379*INDEX(FmtCansPerCase,MATCH(F2379,FmtName,0))</f>
        <v/>
      </c>
      <c r="T2379" s="46">
        <f>S2379/INDEX(FmtCansPerPack,MATCH(F2379,FmtName,0))</f>
        <v/>
      </c>
      <c r="U2379" s="47">
        <f>INDEX(ChBaseCP,MATCH(E2379,ChName,0))*(1+INDEX(ProvMod,MATCH(G2379,ProvCode,0)))*(1+PriceIndex)</f>
        <v/>
      </c>
      <c r="V2379" s="47">
        <f>R2379*U2379*INDEX(FmtBlendedPriceIdx,MATCH(F2379,FmtName,0))</f>
        <v/>
      </c>
      <c r="W2379" s="47">
        <f>T2379*INDEX(ProvSRP,MATCH(G2379,ProvCode,0))*(1+PriceIndex)</f>
        <v/>
      </c>
      <c r="X2379" s="47">
        <f>IF(GrossBasis="Wholesale",V2379,W2379)</f>
        <v/>
      </c>
      <c r="Y2379" s="47">
        <f>R2379*INDEX(FmtBlendedCogs,MATCH(F2379,FmtName,0))</f>
        <v/>
      </c>
      <c r="Z2379" s="47">
        <f>X2379-Y2379</f>
        <v/>
      </c>
    </row>
    <row r="2380">
      <c r="A2380" t="n">
        <v>47</v>
      </c>
      <c r="B2380" s="44">
        <f>FiscalStart+(A2380-1)*7</f>
        <v/>
      </c>
      <c r="C2380">
        <f>TEXT(B2380,"mmm yyyy")</f>
        <v/>
      </c>
      <c r="D2380">
        <f>"Q"&amp;(INT((A2380-1)/13)+1)</f>
        <v/>
      </c>
      <c r="E2380" t="inlineStr">
        <is>
          <t>FDM</t>
        </is>
      </c>
      <c r="F2380">
        <f>IFERROR(INDEX(ChFormat,MATCH(E2380,ChName,0)),"")</f>
        <v/>
      </c>
      <c r="G2380" t="inlineStr">
        <is>
          <t>ON</t>
        </is>
      </c>
      <c r="H2380">
        <f>IF(A2380&lt;=NWeeks,1,0)</f>
        <v/>
      </c>
      <c r="I2380">
        <f>INDEX(ChLaunch,MATCH(E2380,ChName,0))</f>
        <v/>
      </c>
      <c r="J2380">
        <f>INDEX(ChWeeksFull,MATCH(E2380,ChName,0))</f>
        <v/>
      </c>
      <c r="K2380">
        <f>INDEX(ChRamp,MATCH(E2380,ChName,0))</f>
        <v/>
      </c>
      <c r="L2380" s="45">
        <f>MIN(1,MAX(0,(A2380-I2380+1)*RampSpeed/J2380))</f>
        <v/>
      </c>
      <c r="M2380" s="45">
        <f>IF(A2380&lt;I2380,0,IF(K2380="S-curve",L2380*L2380*(3-2*L2380),L2380))</f>
        <v/>
      </c>
      <c r="N2380" s="45">
        <f>1+(INDEX(SeasonIdx,A2380)-1)*SeasonAmp</f>
        <v/>
      </c>
      <c r="O2380" s="45">
        <f>IFERROR(INDEX(PSPct,MATCH(E2380&amp;"|"&amp;G2380,PSKey,0)),0)</f>
        <v/>
      </c>
      <c r="P2380" s="46">
        <f>INDEX(ChDoorVel,MATCH(E2380,ChName,0))*CalibScalar*(1+VelocityUplift)</f>
        <v/>
      </c>
      <c r="Q2380" s="46" t="n">
        <v>0</v>
      </c>
      <c r="R2380" s="46">
        <f>P2380*O2380*M2380*N2380*H2380</f>
        <v/>
      </c>
      <c r="S2380" s="46">
        <f>R2380*INDEX(FmtCansPerCase,MATCH(F2380,FmtName,0))</f>
        <v/>
      </c>
      <c r="T2380" s="46">
        <f>S2380/INDEX(FmtCansPerPack,MATCH(F2380,FmtName,0))</f>
        <v/>
      </c>
      <c r="U2380" s="47">
        <f>INDEX(ChBaseCP,MATCH(E2380,ChName,0))*(1+INDEX(ProvMod,MATCH(G2380,ProvCode,0)))*(1+PriceIndex)</f>
        <v/>
      </c>
      <c r="V2380" s="47">
        <f>R2380*U2380*INDEX(FmtBlendedPriceIdx,MATCH(F2380,FmtName,0))</f>
        <v/>
      </c>
      <c r="W2380" s="47">
        <f>T2380*INDEX(ProvSRP,MATCH(G2380,ProvCode,0))*(1+PriceIndex)</f>
        <v/>
      </c>
      <c r="X2380" s="47">
        <f>IF(GrossBasis="Wholesale",V2380,W2380)</f>
        <v/>
      </c>
      <c r="Y2380" s="47">
        <f>R2380*INDEX(FmtBlendedCogs,MATCH(F2380,FmtName,0))</f>
        <v/>
      </c>
      <c r="Z2380" s="47">
        <f>X2380-Y2380</f>
        <v/>
      </c>
    </row>
    <row r="2381">
      <c r="A2381" t="n">
        <v>48</v>
      </c>
      <c r="B2381" s="44">
        <f>FiscalStart+(A2381-1)*7</f>
        <v/>
      </c>
      <c r="C2381">
        <f>TEXT(B2381,"mmm yyyy")</f>
        <v/>
      </c>
      <c r="D2381">
        <f>"Q"&amp;(INT((A2381-1)/13)+1)</f>
        <v/>
      </c>
      <c r="E2381" t="inlineStr">
        <is>
          <t>FDM</t>
        </is>
      </c>
      <c r="F2381">
        <f>IFERROR(INDEX(ChFormat,MATCH(E2381,ChName,0)),"")</f>
        <v/>
      </c>
      <c r="G2381" t="inlineStr">
        <is>
          <t>ON</t>
        </is>
      </c>
      <c r="H2381">
        <f>IF(A2381&lt;=NWeeks,1,0)</f>
        <v/>
      </c>
      <c r="I2381">
        <f>INDEX(ChLaunch,MATCH(E2381,ChName,0))</f>
        <v/>
      </c>
      <c r="J2381">
        <f>INDEX(ChWeeksFull,MATCH(E2381,ChName,0))</f>
        <v/>
      </c>
      <c r="K2381">
        <f>INDEX(ChRamp,MATCH(E2381,ChName,0))</f>
        <v/>
      </c>
      <c r="L2381" s="45">
        <f>MIN(1,MAX(0,(A2381-I2381+1)*RampSpeed/J2381))</f>
        <v/>
      </c>
      <c r="M2381" s="45">
        <f>IF(A2381&lt;I2381,0,IF(K2381="S-curve",L2381*L2381*(3-2*L2381),L2381))</f>
        <v/>
      </c>
      <c r="N2381" s="45">
        <f>1+(INDEX(SeasonIdx,A2381)-1)*SeasonAmp</f>
        <v/>
      </c>
      <c r="O2381" s="45">
        <f>IFERROR(INDEX(PSPct,MATCH(E2381&amp;"|"&amp;G2381,PSKey,0)),0)</f>
        <v/>
      </c>
      <c r="P2381" s="46">
        <f>INDEX(ChDoorVel,MATCH(E2381,ChName,0))*CalibScalar*(1+VelocityUplift)</f>
        <v/>
      </c>
      <c r="Q2381" s="46" t="n">
        <v>0</v>
      </c>
      <c r="R2381" s="46">
        <f>P2381*O2381*M2381*N2381*H2381</f>
        <v/>
      </c>
      <c r="S2381" s="46">
        <f>R2381*INDEX(FmtCansPerCase,MATCH(F2381,FmtName,0))</f>
        <v/>
      </c>
      <c r="T2381" s="46">
        <f>S2381/INDEX(FmtCansPerPack,MATCH(F2381,FmtName,0))</f>
        <v/>
      </c>
      <c r="U2381" s="47">
        <f>INDEX(ChBaseCP,MATCH(E2381,ChName,0))*(1+INDEX(ProvMod,MATCH(G2381,ProvCode,0)))*(1+PriceIndex)</f>
        <v/>
      </c>
      <c r="V2381" s="47">
        <f>R2381*U2381*INDEX(FmtBlendedPriceIdx,MATCH(F2381,FmtName,0))</f>
        <v/>
      </c>
      <c r="W2381" s="47">
        <f>T2381*INDEX(ProvSRP,MATCH(G2381,ProvCode,0))*(1+PriceIndex)</f>
        <v/>
      </c>
      <c r="X2381" s="47">
        <f>IF(GrossBasis="Wholesale",V2381,W2381)</f>
        <v/>
      </c>
      <c r="Y2381" s="47">
        <f>R2381*INDEX(FmtBlendedCogs,MATCH(F2381,FmtName,0))</f>
        <v/>
      </c>
      <c r="Z2381" s="47">
        <f>X2381-Y2381</f>
        <v/>
      </c>
    </row>
    <row r="2382">
      <c r="A2382" t="n">
        <v>49</v>
      </c>
      <c r="B2382" s="44">
        <f>FiscalStart+(A2382-1)*7</f>
        <v/>
      </c>
      <c r="C2382">
        <f>TEXT(B2382,"mmm yyyy")</f>
        <v/>
      </c>
      <c r="D2382">
        <f>"Q"&amp;(INT((A2382-1)/13)+1)</f>
        <v/>
      </c>
      <c r="E2382" t="inlineStr">
        <is>
          <t>FDM</t>
        </is>
      </c>
      <c r="F2382">
        <f>IFERROR(INDEX(ChFormat,MATCH(E2382,ChName,0)),"")</f>
        <v/>
      </c>
      <c r="G2382" t="inlineStr">
        <is>
          <t>ON</t>
        </is>
      </c>
      <c r="H2382">
        <f>IF(A2382&lt;=NWeeks,1,0)</f>
        <v/>
      </c>
      <c r="I2382">
        <f>INDEX(ChLaunch,MATCH(E2382,ChName,0))</f>
        <v/>
      </c>
      <c r="J2382">
        <f>INDEX(ChWeeksFull,MATCH(E2382,ChName,0))</f>
        <v/>
      </c>
      <c r="K2382">
        <f>INDEX(ChRamp,MATCH(E2382,ChName,0))</f>
        <v/>
      </c>
      <c r="L2382" s="45">
        <f>MIN(1,MAX(0,(A2382-I2382+1)*RampSpeed/J2382))</f>
        <v/>
      </c>
      <c r="M2382" s="45">
        <f>IF(A2382&lt;I2382,0,IF(K2382="S-curve",L2382*L2382*(3-2*L2382),L2382))</f>
        <v/>
      </c>
      <c r="N2382" s="45">
        <f>1+(INDEX(SeasonIdx,A2382)-1)*SeasonAmp</f>
        <v/>
      </c>
      <c r="O2382" s="45">
        <f>IFERROR(INDEX(PSPct,MATCH(E2382&amp;"|"&amp;G2382,PSKey,0)),0)</f>
        <v/>
      </c>
      <c r="P2382" s="46">
        <f>INDEX(ChDoorVel,MATCH(E2382,ChName,0))*CalibScalar*(1+VelocityUplift)</f>
        <v/>
      </c>
      <c r="Q2382" s="46" t="n">
        <v>0</v>
      </c>
      <c r="R2382" s="46">
        <f>P2382*O2382*M2382*N2382*H2382</f>
        <v/>
      </c>
      <c r="S2382" s="46">
        <f>R2382*INDEX(FmtCansPerCase,MATCH(F2382,FmtName,0))</f>
        <v/>
      </c>
      <c r="T2382" s="46">
        <f>S2382/INDEX(FmtCansPerPack,MATCH(F2382,FmtName,0))</f>
        <v/>
      </c>
      <c r="U2382" s="47">
        <f>INDEX(ChBaseCP,MATCH(E2382,ChName,0))*(1+INDEX(ProvMod,MATCH(G2382,ProvCode,0)))*(1+PriceIndex)</f>
        <v/>
      </c>
      <c r="V2382" s="47">
        <f>R2382*U2382*INDEX(FmtBlendedPriceIdx,MATCH(F2382,FmtName,0))</f>
        <v/>
      </c>
      <c r="W2382" s="47">
        <f>T2382*INDEX(ProvSRP,MATCH(G2382,ProvCode,0))*(1+PriceIndex)</f>
        <v/>
      </c>
      <c r="X2382" s="47">
        <f>IF(GrossBasis="Wholesale",V2382,W2382)</f>
        <v/>
      </c>
      <c r="Y2382" s="47">
        <f>R2382*INDEX(FmtBlendedCogs,MATCH(F2382,FmtName,0))</f>
        <v/>
      </c>
      <c r="Z2382" s="47">
        <f>X2382-Y2382</f>
        <v/>
      </c>
    </row>
    <row r="2383">
      <c r="A2383" t="n">
        <v>50</v>
      </c>
      <c r="B2383" s="44">
        <f>FiscalStart+(A2383-1)*7</f>
        <v/>
      </c>
      <c r="C2383">
        <f>TEXT(B2383,"mmm yyyy")</f>
        <v/>
      </c>
      <c r="D2383">
        <f>"Q"&amp;(INT((A2383-1)/13)+1)</f>
        <v/>
      </c>
      <c r="E2383" t="inlineStr">
        <is>
          <t>FDM</t>
        </is>
      </c>
      <c r="F2383">
        <f>IFERROR(INDEX(ChFormat,MATCH(E2383,ChName,0)),"")</f>
        <v/>
      </c>
      <c r="G2383" t="inlineStr">
        <is>
          <t>ON</t>
        </is>
      </c>
      <c r="H2383">
        <f>IF(A2383&lt;=NWeeks,1,0)</f>
        <v/>
      </c>
      <c r="I2383">
        <f>INDEX(ChLaunch,MATCH(E2383,ChName,0))</f>
        <v/>
      </c>
      <c r="J2383">
        <f>INDEX(ChWeeksFull,MATCH(E2383,ChName,0))</f>
        <v/>
      </c>
      <c r="K2383">
        <f>INDEX(ChRamp,MATCH(E2383,ChName,0))</f>
        <v/>
      </c>
      <c r="L2383" s="45">
        <f>MIN(1,MAX(0,(A2383-I2383+1)*RampSpeed/J2383))</f>
        <v/>
      </c>
      <c r="M2383" s="45">
        <f>IF(A2383&lt;I2383,0,IF(K2383="S-curve",L2383*L2383*(3-2*L2383),L2383))</f>
        <v/>
      </c>
      <c r="N2383" s="45">
        <f>1+(INDEX(SeasonIdx,A2383)-1)*SeasonAmp</f>
        <v/>
      </c>
      <c r="O2383" s="45">
        <f>IFERROR(INDEX(PSPct,MATCH(E2383&amp;"|"&amp;G2383,PSKey,0)),0)</f>
        <v/>
      </c>
      <c r="P2383" s="46">
        <f>INDEX(ChDoorVel,MATCH(E2383,ChName,0))*CalibScalar*(1+VelocityUplift)</f>
        <v/>
      </c>
      <c r="Q2383" s="46" t="n">
        <v>0</v>
      </c>
      <c r="R2383" s="46">
        <f>P2383*O2383*M2383*N2383*H2383</f>
        <v/>
      </c>
      <c r="S2383" s="46">
        <f>R2383*INDEX(FmtCansPerCase,MATCH(F2383,FmtName,0))</f>
        <v/>
      </c>
      <c r="T2383" s="46">
        <f>S2383/INDEX(FmtCansPerPack,MATCH(F2383,FmtName,0))</f>
        <v/>
      </c>
      <c r="U2383" s="47">
        <f>INDEX(ChBaseCP,MATCH(E2383,ChName,0))*(1+INDEX(ProvMod,MATCH(G2383,ProvCode,0)))*(1+PriceIndex)</f>
        <v/>
      </c>
      <c r="V2383" s="47">
        <f>R2383*U2383*INDEX(FmtBlendedPriceIdx,MATCH(F2383,FmtName,0))</f>
        <v/>
      </c>
      <c r="W2383" s="47">
        <f>T2383*INDEX(ProvSRP,MATCH(G2383,ProvCode,0))*(1+PriceIndex)</f>
        <v/>
      </c>
      <c r="X2383" s="47">
        <f>IF(GrossBasis="Wholesale",V2383,W2383)</f>
        <v/>
      </c>
      <c r="Y2383" s="47">
        <f>R2383*INDEX(FmtBlendedCogs,MATCH(F2383,FmtName,0))</f>
        <v/>
      </c>
      <c r="Z2383" s="47">
        <f>X2383-Y2383</f>
        <v/>
      </c>
    </row>
    <row r="2384">
      <c r="A2384" t="n">
        <v>51</v>
      </c>
      <c r="B2384" s="44">
        <f>FiscalStart+(A2384-1)*7</f>
        <v/>
      </c>
      <c r="C2384">
        <f>TEXT(B2384,"mmm yyyy")</f>
        <v/>
      </c>
      <c r="D2384">
        <f>"Q"&amp;(INT((A2384-1)/13)+1)</f>
        <v/>
      </c>
      <c r="E2384" t="inlineStr">
        <is>
          <t>FDM</t>
        </is>
      </c>
      <c r="F2384">
        <f>IFERROR(INDEX(ChFormat,MATCH(E2384,ChName,0)),"")</f>
        <v/>
      </c>
      <c r="G2384" t="inlineStr">
        <is>
          <t>ON</t>
        </is>
      </c>
      <c r="H2384">
        <f>IF(A2384&lt;=NWeeks,1,0)</f>
        <v/>
      </c>
      <c r="I2384">
        <f>INDEX(ChLaunch,MATCH(E2384,ChName,0))</f>
        <v/>
      </c>
      <c r="J2384">
        <f>INDEX(ChWeeksFull,MATCH(E2384,ChName,0))</f>
        <v/>
      </c>
      <c r="K2384">
        <f>INDEX(ChRamp,MATCH(E2384,ChName,0))</f>
        <v/>
      </c>
      <c r="L2384" s="45">
        <f>MIN(1,MAX(0,(A2384-I2384+1)*RampSpeed/J2384))</f>
        <v/>
      </c>
      <c r="M2384" s="45">
        <f>IF(A2384&lt;I2384,0,IF(K2384="S-curve",L2384*L2384*(3-2*L2384),L2384))</f>
        <v/>
      </c>
      <c r="N2384" s="45">
        <f>1+(INDEX(SeasonIdx,A2384)-1)*SeasonAmp</f>
        <v/>
      </c>
      <c r="O2384" s="45">
        <f>IFERROR(INDEX(PSPct,MATCH(E2384&amp;"|"&amp;G2384,PSKey,0)),0)</f>
        <v/>
      </c>
      <c r="P2384" s="46">
        <f>INDEX(ChDoorVel,MATCH(E2384,ChName,0))*CalibScalar*(1+VelocityUplift)</f>
        <v/>
      </c>
      <c r="Q2384" s="46" t="n">
        <v>0</v>
      </c>
      <c r="R2384" s="46">
        <f>P2384*O2384*M2384*N2384*H2384</f>
        <v/>
      </c>
      <c r="S2384" s="46">
        <f>R2384*INDEX(FmtCansPerCase,MATCH(F2384,FmtName,0))</f>
        <v/>
      </c>
      <c r="T2384" s="46">
        <f>S2384/INDEX(FmtCansPerPack,MATCH(F2384,FmtName,0))</f>
        <v/>
      </c>
      <c r="U2384" s="47">
        <f>INDEX(ChBaseCP,MATCH(E2384,ChName,0))*(1+INDEX(ProvMod,MATCH(G2384,ProvCode,0)))*(1+PriceIndex)</f>
        <v/>
      </c>
      <c r="V2384" s="47">
        <f>R2384*U2384*INDEX(FmtBlendedPriceIdx,MATCH(F2384,FmtName,0))</f>
        <v/>
      </c>
      <c r="W2384" s="47">
        <f>T2384*INDEX(ProvSRP,MATCH(G2384,ProvCode,0))*(1+PriceIndex)</f>
        <v/>
      </c>
      <c r="X2384" s="47">
        <f>IF(GrossBasis="Wholesale",V2384,W2384)</f>
        <v/>
      </c>
      <c r="Y2384" s="47">
        <f>R2384*INDEX(FmtBlendedCogs,MATCH(F2384,FmtName,0))</f>
        <v/>
      </c>
      <c r="Z2384" s="47">
        <f>X2384-Y2384</f>
        <v/>
      </c>
    </row>
    <row r="2385">
      <c r="A2385" t="n">
        <v>52</v>
      </c>
      <c r="B2385" s="44">
        <f>FiscalStart+(A2385-1)*7</f>
        <v/>
      </c>
      <c r="C2385">
        <f>TEXT(B2385,"mmm yyyy")</f>
        <v/>
      </c>
      <c r="D2385">
        <f>"Q"&amp;(INT((A2385-1)/13)+1)</f>
        <v/>
      </c>
      <c r="E2385" t="inlineStr">
        <is>
          <t>FDM</t>
        </is>
      </c>
      <c r="F2385">
        <f>IFERROR(INDEX(ChFormat,MATCH(E2385,ChName,0)),"")</f>
        <v/>
      </c>
      <c r="G2385" t="inlineStr">
        <is>
          <t>ON</t>
        </is>
      </c>
      <c r="H2385">
        <f>IF(A2385&lt;=NWeeks,1,0)</f>
        <v/>
      </c>
      <c r="I2385">
        <f>INDEX(ChLaunch,MATCH(E2385,ChName,0))</f>
        <v/>
      </c>
      <c r="J2385">
        <f>INDEX(ChWeeksFull,MATCH(E2385,ChName,0))</f>
        <v/>
      </c>
      <c r="K2385">
        <f>INDEX(ChRamp,MATCH(E2385,ChName,0))</f>
        <v/>
      </c>
      <c r="L2385" s="45">
        <f>MIN(1,MAX(0,(A2385-I2385+1)*RampSpeed/J2385))</f>
        <v/>
      </c>
      <c r="M2385" s="45">
        <f>IF(A2385&lt;I2385,0,IF(K2385="S-curve",L2385*L2385*(3-2*L2385),L2385))</f>
        <v/>
      </c>
      <c r="N2385" s="45">
        <f>1+(INDEX(SeasonIdx,A2385)-1)*SeasonAmp</f>
        <v/>
      </c>
      <c r="O2385" s="45">
        <f>IFERROR(INDEX(PSPct,MATCH(E2385&amp;"|"&amp;G2385,PSKey,0)),0)</f>
        <v/>
      </c>
      <c r="P2385" s="46">
        <f>INDEX(ChDoorVel,MATCH(E2385,ChName,0))*CalibScalar*(1+VelocityUplift)</f>
        <v/>
      </c>
      <c r="Q2385" s="46" t="n">
        <v>0</v>
      </c>
      <c r="R2385" s="46">
        <f>P2385*O2385*M2385*N2385*H2385</f>
        <v/>
      </c>
      <c r="S2385" s="46">
        <f>R2385*INDEX(FmtCansPerCase,MATCH(F2385,FmtName,0))</f>
        <v/>
      </c>
      <c r="T2385" s="46">
        <f>S2385/INDEX(FmtCansPerPack,MATCH(F2385,FmtName,0))</f>
        <v/>
      </c>
      <c r="U2385" s="47">
        <f>INDEX(ChBaseCP,MATCH(E2385,ChName,0))*(1+INDEX(ProvMod,MATCH(G2385,ProvCode,0)))*(1+PriceIndex)</f>
        <v/>
      </c>
      <c r="V2385" s="47">
        <f>R2385*U2385*INDEX(FmtBlendedPriceIdx,MATCH(F2385,FmtName,0))</f>
        <v/>
      </c>
      <c r="W2385" s="47">
        <f>T2385*INDEX(ProvSRP,MATCH(G2385,ProvCode,0))*(1+PriceIndex)</f>
        <v/>
      </c>
      <c r="X2385" s="47">
        <f>IF(GrossBasis="Wholesale",V2385,W2385)</f>
        <v/>
      </c>
      <c r="Y2385" s="47">
        <f>R2385*INDEX(FmtBlendedCogs,MATCH(F2385,FmtName,0))</f>
        <v/>
      </c>
      <c r="Z2385" s="47">
        <f>X2385-Y2385</f>
        <v/>
      </c>
    </row>
    <row r="2386">
      <c r="A2386" t="n">
        <v>53</v>
      </c>
      <c r="B2386" s="44">
        <f>FiscalStart+(A2386-1)*7</f>
        <v/>
      </c>
      <c r="C2386">
        <f>TEXT(B2386,"mmm yyyy")</f>
        <v/>
      </c>
      <c r="D2386">
        <f>"Q"&amp;(INT((A2386-1)/13)+1)</f>
        <v/>
      </c>
      <c r="E2386" t="inlineStr">
        <is>
          <t>FDM</t>
        </is>
      </c>
      <c r="F2386">
        <f>IFERROR(INDEX(ChFormat,MATCH(E2386,ChName,0)),"")</f>
        <v/>
      </c>
      <c r="G2386" t="inlineStr">
        <is>
          <t>ON</t>
        </is>
      </c>
      <c r="H2386">
        <f>IF(A2386&lt;=NWeeks,1,0)</f>
        <v/>
      </c>
      <c r="I2386">
        <f>INDEX(ChLaunch,MATCH(E2386,ChName,0))</f>
        <v/>
      </c>
      <c r="J2386">
        <f>INDEX(ChWeeksFull,MATCH(E2386,ChName,0))</f>
        <v/>
      </c>
      <c r="K2386">
        <f>INDEX(ChRamp,MATCH(E2386,ChName,0))</f>
        <v/>
      </c>
      <c r="L2386" s="45">
        <f>MIN(1,MAX(0,(A2386-I2386+1)*RampSpeed/J2386))</f>
        <v/>
      </c>
      <c r="M2386" s="45">
        <f>IF(A2386&lt;I2386,0,IF(K2386="S-curve",L2386*L2386*(3-2*L2386),L2386))</f>
        <v/>
      </c>
      <c r="N2386" s="45">
        <f>1+(INDEX(SeasonIdx,A2386)-1)*SeasonAmp</f>
        <v/>
      </c>
      <c r="O2386" s="45">
        <f>IFERROR(INDEX(PSPct,MATCH(E2386&amp;"|"&amp;G2386,PSKey,0)),0)</f>
        <v/>
      </c>
      <c r="P2386" s="46">
        <f>INDEX(ChDoorVel,MATCH(E2386,ChName,0))*CalibScalar*(1+VelocityUplift)</f>
        <v/>
      </c>
      <c r="Q2386" s="46" t="n">
        <v>0</v>
      </c>
      <c r="R2386" s="46">
        <f>P2386*O2386*M2386*N2386*H2386</f>
        <v/>
      </c>
      <c r="S2386" s="46">
        <f>R2386*INDEX(FmtCansPerCase,MATCH(F2386,FmtName,0))</f>
        <v/>
      </c>
      <c r="T2386" s="46">
        <f>S2386/INDEX(FmtCansPerPack,MATCH(F2386,FmtName,0))</f>
        <v/>
      </c>
      <c r="U2386" s="47">
        <f>INDEX(ChBaseCP,MATCH(E2386,ChName,0))*(1+INDEX(ProvMod,MATCH(G2386,ProvCode,0)))*(1+PriceIndex)</f>
        <v/>
      </c>
      <c r="V2386" s="47">
        <f>R2386*U2386*INDEX(FmtBlendedPriceIdx,MATCH(F2386,FmtName,0))</f>
        <v/>
      </c>
      <c r="W2386" s="47">
        <f>T2386*INDEX(ProvSRP,MATCH(G2386,ProvCode,0))*(1+PriceIndex)</f>
        <v/>
      </c>
      <c r="X2386" s="47">
        <f>IF(GrossBasis="Wholesale",V2386,W2386)</f>
        <v/>
      </c>
      <c r="Y2386" s="47">
        <f>R2386*INDEX(FmtBlendedCogs,MATCH(F2386,FmtName,0))</f>
        <v/>
      </c>
      <c r="Z2386" s="47">
        <f>X2386-Y2386</f>
        <v/>
      </c>
    </row>
    <row r="2387">
      <c r="A2387" t="n">
        <v>1</v>
      </c>
      <c r="B2387" s="44">
        <f>FiscalStart+(A2387-1)*7</f>
        <v/>
      </c>
      <c r="C2387">
        <f>TEXT(B2387,"mmm yyyy")</f>
        <v/>
      </c>
      <c r="D2387">
        <f>"Q"&amp;(INT((A2387-1)/13)+1)</f>
        <v/>
      </c>
      <c r="E2387" t="inlineStr">
        <is>
          <t>FDM</t>
        </is>
      </c>
      <c r="F2387">
        <f>IFERROR(INDEX(ChFormat,MATCH(E2387,ChName,0)),"")</f>
        <v/>
      </c>
      <c r="G2387" t="inlineStr">
        <is>
          <t>QC</t>
        </is>
      </c>
      <c r="H2387">
        <f>IF(A2387&lt;=NWeeks,1,0)</f>
        <v/>
      </c>
      <c r="I2387">
        <f>INDEX(ChLaunch,MATCH(E2387,ChName,0))</f>
        <v/>
      </c>
      <c r="J2387">
        <f>INDEX(ChWeeksFull,MATCH(E2387,ChName,0))</f>
        <v/>
      </c>
      <c r="K2387">
        <f>INDEX(ChRamp,MATCH(E2387,ChName,0))</f>
        <v/>
      </c>
      <c r="L2387" s="45">
        <f>MIN(1,MAX(0,(A2387-I2387+1)*RampSpeed/J2387))</f>
        <v/>
      </c>
      <c r="M2387" s="45">
        <f>IF(A2387&lt;I2387,0,IF(K2387="S-curve",L2387*L2387*(3-2*L2387),L2387))</f>
        <v/>
      </c>
      <c r="N2387" s="45">
        <f>1+(INDEX(SeasonIdx,A2387)-1)*SeasonAmp</f>
        <v/>
      </c>
      <c r="O2387" s="45">
        <f>IFERROR(INDEX(PSPct,MATCH(E2387&amp;"|"&amp;G2387,PSKey,0)),0)</f>
        <v/>
      </c>
      <c r="P2387" s="46">
        <f>INDEX(ChDoorVel,MATCH(E2387,ChName,0))*CalibScalar*(1+VelocityUplift)</f>
        <v/>
      </c>
      <c r="Q2387" s="46" t="n">
        <v>0</v>
      </c>
      <c r="R2387" s="46">
        <f>P2387*O2387*M2387*N2387*H2387</f>
        <v/>
      </c>
      <c r="S2387" s="46">
        <f>R2387*INDEX(FmtCansPerCase,MATCH(F2387,FmtName,0))</f>
        <v/>
      </c>
      <c r="T2387" s="46">
        <f>S2387/INDEX(FmtCansPerPack,MATCH(F2387,FmtName,0))</f>
        <v/>
      </c>
      <c r="U2387" s="47">
        <f>INDEX(ChBaseCP,MATCH(E2387,ChName,0))*(1+INDEX(ProvMod,MATCH(G2387,ProvCode,0)))*(1+PriceIndex)</f>
        <v/>
      </c>
      <c r="V2387" s="47">
        <f>R2387*U2387*INDEX(FmtBlendedPriceIdx,MATCH(F2387,FmtName,0))</f>
        <v/>
      </c>
      <c r="W2387" s="47">
        <f>T2387*INDEX(ProvSRP,MATCH(G2387,ProvCode,0))*(1+PriceIndex)</f>
        <v/>
      </c>
      <c r="X2387" s="47">
        <f>IF(GrossBasis="Wholesale",V2387,W2387)</f>
        <v/>
      </c>
      <c r="Y2387" s="47">
        <f>R2387*INDEX(FmtBlendedCogs,MATCH(F2387,FmtName,0))</f>
        <v/>
      </c>
      <c r="Z2387" s="47">
        <f>X2387-Y2387</f>
        <v/>
      </c>
    </row>
    <row r="2388">
      <c r="A2388" t="n">
        <v>2</v>
      </c>
      <c r="B2388" s="44">
        <f>FiscalStart+(A2388-1)*7</f>
        <v/>
      </c>
      <c r="C2388">
        <f>TEXT(B2388,"mmm yyyy")</f>
        <v/>
      </c>
      <c r="D2388">
        <f>"Q"&amp;(INT((A2388-1)/13)+1)</f>
        <v/>
      </c>
      <c r="E2388" t="inlineStr">
        <is>
          <t>FDM</t>
        </is>
      </c>
      <c r="F2388">
        <f>IFERROR(INDEX(ChFormat,MATCH(E2388,ChName,0)),"")</f>
        <v/>
      </c>
      <c r="G2388" t="inlineStr">
        <is>
          <t>QC</t>
        </is>
      </c>
      <c r="H2388">
        <f>IF(A2388&lt;=NWeeks,1,0)</f>
        <v/>
      </c>
      <c r="I2388">
        <f>INDEX(ChLaunch,MATCH(E2388,ChName,0))</f>
        <v/>
      </c>
      <c r="J2388">
        <f>INDEX(ChWeeksFull,MATCH(E2388,ChName,0))</f>
        <v/>
      </c>
      <c r="K2388">
        <f>INDEX(ChRamp,MATCH(E2388,ChName,0))</f>
        <v/>
      </c>
      <c r="L2388" s="45">
        <f>MIN(1,MAX(0,(A2388-I2388+1)*RampSpeed/J2388))</f>
        <v/>
      </c>
      <c r="M2388" s="45">
        <f>IF(A2388&lt;I2388,0,IF(K2388="S-curve",L2388*L2388*(3-2*L2388),L2388))</f>
        <v/>
      </c>
      <c r="N2388" s="45">
        <f>1+(INDEX(SeasonIdx,A2388)-1)*SeasonAmp</f>
        <v/>
      </c>
      <c r="O2388" s="45">
        <f>IFERROR(INDEX(PSPct,MATCH(E2388&amp;"|"&amp;G2388,PSKey,0)),0)</f>
        <v/>
      </c>
      <c r="P2388" s="46">
        <f>INDEX(ChDoorVel,MATCH(E2388,ChName,0))*CalibScalar*(1+VelocityUplift)</f>
        <v/>
      </c>
      <c r="Q2388" s="46" t="n">
        <v>0</v>
      </c>
      <c r="R2388" s="46">
        <f>P2388*O2388*M2388*N2388*H2388</f>
        <v/>
      </c>
      <c r="S2388" s="46">
        <f>R2388*INDEX(FmtCansPerCase,MATCH(F2388,FmtName,0))</f>
        <v/>
      </c>
      <c r="T2388" s="46">
        <f>S2388/INDEX(FmtCansPerPack,MATCH(F2388,FmtName,0))</f>
        <v/>
      </c>
      <c r="U2388" s="47">
        <f>INDEX(ChBaseCP,MATCH(E2388,ChName,0))*(1+INDEX(ProvMod,MATCH(G2388,ProvCode,0)))*(1+PriceIndex)</f>
        <v/>
      </c>
      <c r="V2388" s="47">
        <f>R2388*U2388*INDEX(FmtBlendedPriceIdx,MATCH(F2388,FmtName,0))</f>
        <v/>
      </c>
      <c r="W2388" s="47">
        <f>T2388*INDEX(ProvSRP,MATCH(G2388,ProvCode,0))*(1+PriceIndex)</f>
        <v/>
      </c>
      <c r="X2388" s="47">
        <f>IF(GrossBasis="Wholesale",V2388,W2388)</f>
        <v/>
      </c>
      <c r="Y2388" s="47">
        <f>R2388*INDEX(FmtBlendedCogs,MATCH(F2388,FmtName,0))</f>
        <v/>
      </c>
      <c r="Z2388" s="47">
        <f>X2388-Y2388</f>
        <v/>
      </c>
    </row>
    <row r="2389">
      <c r="A2389" t="n">
        <v>3</v>
      </c>
      <c r="B2389" s="44">
        <f>FiscalStart+(A2389-1)*7</f>
        <v/>
      </c>
      <c r="C2389">
        <f>TEXT(B2389,"mmm yyyy")</f>
        <v/>
      </c>
      <c r="D2389">
        <f>"Q"&amp;(INT((A2389-1)/13)+1)</f>
        <v/>
      </c>
      <c r="E2389" t="inlineStr">
        <is>
          <t>FDM</t>
        </is>
      </c>
      <c r="F2389">
        <f>IFERROR(INDEX(ChFormat,MATCH(E2389,ChName,0)),"")</f>
        <v/>
      </c>
      <c r="G2389" t="inlineStr">
        <is>
          <t>QC</t>
        </is>
      </c>
      <c r="H2389">
        <f>IF(A2389&lt;=NWeeks,1,0)</f>
        <v/>
      </c>
      <c r="I2389">
        <f>INDEX(ChLaunch,MATCH(E2389,ChName,0))</f>
        <v/>
      </c>
      <c r="J2389">
        <f>INDEX(ChWeeksFull,MATCH(E2389,ChName,0))</f>
        <v/>
      </c>
      <c r="K2389">
        <f>INDEX(ChRamp,MATCH(E2389,ChName,0))</f>
        <v/>
      </c>
      <c r="L2389" s="45">
        <f>MIN(1,MAX(0,(A2389-I2389+1)*RampSpeed/J2389))</f>
        <v/>
      </c>
      <c r="M2389" s="45">
        <f>IF(A2389&lt;I2389,0,IF(K2389="S-curve",L2389*L2389*(3-2*L2389),L2389))</f>
        <v/>
      </c>
      <c r="N2389" s="45">
        <f>1+(INDEX(SeasonIdx,A2389)-1)*SeasonAmp</f>
        <v/>
      </c>
      <c r="O2389" s="45">
        <f>IFERROR(INDEX(PSPct,MATCH(E2389&amp;"|"&amp;G2389,PSKey,0)),0)</f>
        <v/>
      </c>
      <c r="P2389" s="46">
        <f>INDEX(ChDoorVel,MATCH(E2389,ChName,0))*CalibScalar*(1+VelocityUplift)</f>
        <v/>
      </c>
      <c r="Q2389" s="46" t="n">
        <v>0</v>
      </c>
      <c r="R2389" s="46">
        <f>P2389*O2389*M2389*N2389*H2389</f>
        <v/>
      </c>
      <c r="S2389" s="46">
        <f>R2389*INDEX(FmtCansPerCase,MATCH(F2389,FmtName,0))</f>
        <v/>
      </c>
      <c r="T2389" s="46">
        <f>S2389/INDEX(FmtCansPerPack,MATCH(F2389,FmtName,0))</f>
        <v/>
      </c>
      <c r="U2389" s="47">
        <f>INDEX(ChBaseCP,MATCH(E2389,ChName,0))*(1+INDEX(ProvMod,MATCH(G2389,ProvCode,0)))*(1+PriceIndex)</f>
        <v/>
      </c>
      <c r="V2389" s="47">
        <f>R2389*U2389*INDEX(FmtBlendedPriceIdx,MATCH(F2389,FmtName,0))</f>
        <v/>
      </c>
      <c r="W2389" s="47">
        <f>T2389*INDEX(ProvSRP,MATCH(G2389,ProvCode,0))*(1+PriceIndex)</f>
        <v/>
      </c>
      <c r="X2389" s="47">
        <f>IF(GrossBasis="Wholesale",V2389,W2389)</f>
        <v/>
      </c>
      <c r="Y2389" s="47">
        <f>R2389*INDEX(FmtBlendedCogs,MATCH(F2389,FmtName,0))</f>
        <v/>
      </c>
      <c r="Z2389" s="47">
        <f>X2389-Y2389</f>
        <v/>
      </c>
    </row>
    <row r="2390">
      <c r="A2390" t="n">
        <v>4</v>
      </c>
      <c r="B2390" s="44">
        <f>FiscalStart+(A2390-1)*7</f>
        <v/>
      </c>
      <c r="C2390">
        <f>TEXT(B2390,"mmm yyyy")</f>
        <v/>
      </c>
      <c r="D2390">
        <f>"Q"&amp;(INT((A2390-1)/13)+1)</f>
        <v/>
      </c>
      <c r="E2390" t="inlineStr">
        <is>
          <t>FDM</t>
        </is>
      </c>
      <c r="F2390">
        <f>IFERROR(INDEX(ChFormat,MATCH(E2390,ChName,0)),"")</f>
        <v/>
      </c>
      <c r="G2390" t="inlineStr">
        <is>
          <t>QC</t>
        </is>
      </c>
      <c r="H2390">
        <f>IF(A2390&lt;=NWeeks,1,0)</f>
        <v/>
      </c>
      <c r="I2390">
        <f>INDEX(ChLaunch,MATCH(E2390,ChName,0))</f>
        <v/>
      </c>
      <c r="J2390">
        <f>INDEX(ChWeeksFull,MATCH(E2390,ChName,0))</f>
        <v/>
      </c>
      <c r="K2390">
        <f>INDEX(ChRamp,MATCH(E2390,ChName,0))</f>
        <v/>
      </c>
      <c r="L2390" s="45">
        <f>MIN(1,MAX(0,(A2390-I2390+1)*RampSpeed/J2390))</f>
        <v/>
      </c>
      <c r="M2390" s="45">
        <f>IF(A2390&lt;I2390,0,IF(K2390="S-curve",L2390*L2390*(3-2*L2390),L2390))</f>
        <v/>
      </c>
      <c r="N2390" s="45">
        <f>1+(INDEX(SeasonIdx,A2390)-1)*SeasonAmp</f>
        <v/>
      </c>
      <c r="O2390" s="45">
        <f>IFERROR(INDEX(PSPct,MATCH(E2390&amp;"|"&amp;G2390,PSKey,0)),0)</f>
        <v/>
      </c>
      <c r="P2390" s="46">
        <f>INDEX(ChDoorVel,MATCH(E2390,ChName,0))*CalibScalar*(1+VelocityUplift)</f>
        <v/>
      </c>
      <c r="Q2390" s="46" t="n">
        <v>0</v>
      </c>
      <c r="R2390" s="46">
        <f>P2390*O2390*M2390*N2390*H2390</f>
        <v/>
      </c>
      <c r="S2390" s="46">
        <f>R2390*INDEX(FmtCansPerCase,MATCH(F2390,FmtName,0))</f>
        <v/>
      </c>
      <c r="T2390" s="46">
        <f>S2390/INDEX(FmtCansPerPack,MATCH(F2390,FmtName,0))</f>
        <v/>
      </c>
      <c r="U2390" s="47">
        <f>INDEX(ChBaseCP,MATCH(E2390,ChName,0))*(1+INDEX(ProvMod,MATCH(G2390,ProvCode,0)))*(1+PriceIndex)</f>
        <v/>
      </c>
      <c r="V2390" s="47">
        <f>R2390*U2390*INDEX(FmtBlendedPriceIdx,MATCH(F2390,FmtName,0))</f>
        <v/>
      </c>
      <c r="W2390" s="47">
        <f>T2390*INDEX(ProvSRP,MATCH(G2390,ProvCode,0))*(1+PriceIndex)</f>
        <v/>
      </c>
      <c r="X2390" s="47">
        <f>IF(GrossBasis="Wholesale",V2390,W2390)</f>
        <v/>
      </c>
      <c r="Y2390" s="47">
        <f>R2390*INDEX(FmtBlendedCogs,MATCH(F2390,FmtName,0))</f>
        <v/>
      </c>
      <c r="Z2390" s="47">
        <f>X2390-Y2390</f>
        <v/>
      </c>
    </row>
    <row r="2391">
      <c r="A2391" t="n">
        <v>5</v>
      </c>
      <c r="B2391" s="44">
        <f>FiscalStart+(A2391-1)*7</f>
        <v/>
      </c>
      <c r="C2391">
        <f>TEXT(B2391,"mmm yyyy")</f>
        <v/>
      </c>
      <c r="D2391">
        <f>"Q"&amp;(INT((A2391-1)/13)+1)</f>
        <v/>
      </c>
      <c r="E2391" t="inlineStr">
        <is>
          <t>FDM</t>
        </is>
      </c>
      <c r="F2391">
        <f>IFERROR(INDEX(ChFormat,MATCH(E2391,ChName,0)),"")</f>
        <v/>
      </c>
      <c r="G2391" t="inlineStr">
        <is>
          <t>QC</t>
        </is>
      </c>
      <c r="H2391">
        <f>IF(A2391&lt;=NWeeks,1,0)</f>
        <v/>
      </c>
      <c r="I2391">
        <f>INDEX(ChLaunch,MATCH(E2391,ChName,0))</f>
        <v/>
      </c>
      <c r="J2391">
        <f>INDEX(ChWeeksFull,MATCH(E2391,ChName,0))</f>
        <v/>
      </c>
      <c r="K2391">
        <f>INDEX(ChRamp,MATCH(E2391,ChName,0))</f>
        <v/>
      </c>
      <c r="L2391" s="45">
        <f>MIN(1,MAX(0,(A2391-I2391+1)*RampSpeed/J2391))</f>
        <v/>
      </c>
      <c r="M2391" s="45">
        <f>IF(A2391&lt;I2391,0,IF(K2391="S-curve",L2391*L2391*(3-2*L2391),L2391))</f>
        <v/>
      </c>
      <c r="N2391" s="45">
        <f>1+(INDEX(SeasonIdx,A2391)-1)*SeasonAmp</f>
        <v/>
      </c>
      <c r="O2391" s="45">
        <f>IFERROR(INDEX(PSPct,MATCH(E2391&amp;"|"&amp;G2391,PSKey,0)),0)</f>
        <v/>
      </c>
      <c r="P2391" s="46">
        <f>INDEX(ChDoorVel,MATCH(E2391,ChName,0))*CalibScalar*(1+VelocityUplift)</f>
        <v/>
      </c>
      <c r="Q2391" s="46" t="n">
        <v>0</v>
      </c>
      <c r="R2391" s="46">
        <f>P2391*O2391*M2391*N2391*H2391</f>
        <v/>
      </c>
      <c r="S2391" s="46">
        <f>R2391*INDEX(FmtCansPerCase,MATCH(F2391,FmtName,0))</f>
        <v/>
      </c>
      <c r="T2391" s="46">
        <f>S2391/INDEX(FmtCansPerPack,MATCH(F2391,FmtName,0))</f>
        <v/>
      </c>
      <c r="U2391" s="47">
        <f>INDEX(ChBaseCP,MATCH(E2391,ChName,0))*(1+INDEX(ProvMod,MATCH(G2391,ProvCode,0)))*(1+PriceIndex)</f>
        <v/>
      </c>
      <c r="V2391" s="47">
        <f>R2391*U2391*INDEX(FmtBlendedPriceIdx,MATCH(F2391,FmtName,0))</f>
        <v/>
      </c>
      <c r="W2391" s="47">
        <f>T2391*INDEX(ProvSRP,MATCH(G2391,ProvCode,0))*(1+PriceIndex)</f>
        <v/>
      </c>
      <c r="X2391" s="47">
        <f>IF(GrossBasis="Wholesale",V2391,W2391)</f>
        <v/>
      </c>
      <c r="Y2391" s="47">
        <f>R2391*INDEX(FmtBlendedCogs,MATCH(F2391,FmtName,0))</f>
        <v/>
      </c>
      <c r="Z2391" s="47">
        <f>X2391-Y2391</f>
        <v/>
      </c>
    </row>
    <row r="2392">
      <c r="A2392" t="n">
        <v>6</v>
      </c>
      <c r="B2392" s="44">
        <f>FiscalStart+(A2392-1)*7</f>
        <v/>
      </c>
      <c r="C2392">
        <f>TEXT(B2392,"mmm yyyy")</f>
        <v/>
      </c>
      <c r="D2392">
        <f>"Q"&amp;(INT((A2392-1)/13)+1)</f>
        <v/>
      </c>
      <c r="E2392" t="inlineStr">
        <is>
          <t>FDM</t>
        </is>
      </c>
      <c r="F2392">
        <f>IFERROR(INDEX(ChFormat,MATCH(E2392,ChName,0)),"")</f>
        <v/>
      </c>
      <c r="G2392" t="inlineStr">
        <is>
          <t>QC</t>
        </is>
      </c>
      <c r="H2392">
        <f>IF(A2392&lt;=NWeeks,1,0)</f>
        <v/>
      </c>
      <c r="I2392">
        <f>INDEX(ChLaunch,MATCH(E2392,ChName,0))</f>
        <v/>
      </c>
      <c r="J2392">
        <f>INDEX(ChWeeksFull,MATCH(E2392,ChName,0))</f>
        <v/>
      </c>
      <c r="K2392">
        <f>INDEX(ChRamp,MATCH(E2392,ChName,0))</f>
        <v/>
      </c>
      <c r="L2392" s="45">
        <f>MIN(1,MAX(0,(A2392-I2392+1)*RampSpeed/J2392))</f>
        <v/>
      </c>
      <c r="M2392" s="45">
        <f>IF(A2392&lt;I2392,0,IF(K2392="S-curve",L2392*L2392*(3-2*L2392),L2392))</f>
        <v/>
      </c>
      <c r="N2392" s="45">
        <f>1+(INDEX(SeasonIdx,A2392)-1)*SeasonAmp</f>
        <v/>
      </c>
      <c r="O2392" s="45">
        <f>IFERROR(INDEX(PSPct,MATCH(E2392&amp;"|"&amp;G2392,PSKey,0)),0)</f>
        <v/>
      </c>
      <c r="P2392" s="46">
        <f>INDEX(ChDoorVel,MATCH(E2392,ChName,0))*CalibScalar*(1+VelocityUplift)</f>
        <v/>
      </c>
      <c r="Q2392" s="46" t="n">
        <v>0</v>
      </c>
      <c r="R2392" s="46">
        <f>P2392*O2392*M2392*N2392*H2392</f>
        <v/>
      </c>
      <c r="S2392" s="46">
        <f>R2392*INDEX(FmtCansPerCase,MATCH(F2392,FmtName,0))</f>
        <v/>
      </c>
      <c r="T2392" s="46">
        <f>S2392/INDEX(FmtCansPerPack,MATCH(F2392,FmtName,0))</f>
        <v/>
      </c>
      <c r="U2392" s="47">
        <f>INDEX(ChBaseCP,MATCH(E2392,ChName,0))*(1+INDEX(ProvMod,MATCH(G2392,ProvCode,0)))*(1+PriceIndex)</f>
        <v/>
      </c>
      <c r="V2392" s="47">
        <f>R2392*U2392*INDEX(FmtBlendedPriceIdx,MATCH(F2392,FmtName,0))</f>
        <v/>
      </c>
      <c r="W2392" s="47">
        <f>T2392*INDEX(ProvSRP,MATCH(G2392,ProvCode,0))*(1+PriceIndex)</f>
        <v/>
      </c>
      <c r="X2392" s="47">
        <f>IF(GrossBasis="Wholesale",V2392,W2392)</f>
        <v/>
      </c>
      <c r="Y2392" s="47">
        <f>R2392*INDEX(FmtBlendedCogs,MATCH(F2392,FmtName,0))</f>
        <v/>
      </c>
      <c r="Z2392" s="47">
        <f>X2392-Y2392</f>
        <v/>
      </c>
    </row>
    <row r="2393">
      <c r="A2393" t="n">
        <v>7</v>
      </c>
      <c r="B2393" s="44">
        <f>FiscalStart+(A2393-1)*7</f>
        <v/>
      </c>
      <c r="C2393">
        <f>TEXT(B2393,"mmm yyyy")</f>
        <v/>
      </c>
      <c r="D2393">
        <f>"Q"&amp;(INT((A2393-1)/13)+1)</f>
        <v/>
      </c>
      <c r="E2393" t="inlineStr">
        <is>
          <t>FDM</t>
        </is>
      </c>
      <c r="F2393">
        <f>IFERROR(INDEX(ChFormat,MATCH(E2393,ChName,0)),"")</f>
        <v/>
      </c>
      <c r="G2393" t="inlineStr">
        <is>
          <t>QC</t>
        </is>
      </c>
      <c r="H2393">
        <f>IF(A2393&lt;=NWeeks,1,0)</f>
        <v/>
      </c>
      <c r="I2393">
        <f>INDEX(ChLaunch,MATCH(E2393,ChName,0))</f>
        <v/>
      </c>
      <c r="J2393">
        <f>INDEX(ChWeeksFull,MATCH(E2393,ChName,0))</f>
        <v/>
      </c>
      <c r="K2393">
        <f>INDEX(ChRamp,MATCH(E2393,ChName,0))</f>
        <v/>
      </c>
      <c r="L2393" s="45">
        <f>MIN(1,MAX(0,(A2393-I2393+1)*RampSpeed/J2393))</f>
        <v/>
      </c>
      <c r="M2393" s="45">
        <f>IF(A2393&lt;I2393,0,IF(K2393="S-curve",L2393*L2393*(3-2*L2393),L2393))</f>
        <v/>
      </c>
      <c r="N2393" s="45">
        <f>1+(INDEX(SeasonIdx,A2393)-1)*SeasonAmp</f>
        <v/>
      </c>
      <c r="O2393" s="45">
        <f>IFERROR(INDEX(PSPct,MATCH(E2393&amp;"|"&amp;G2393,PSKey,0)),0)</f>
        <v/>
      </c>
      <c r="P2393" s="46">
        <f>INDEX(ChDoorVel,MATCH(E2393,ChName,0))*CalibScalar*(1+VelocityUplift)</f>
        <v/>
      </c>
      <c r="Q2393" s="46" t="n">
        <v>0</v>
      </c>
      <c r="R2393" s="46">
        <f>P2393*O2393*M2393*N2393*H2393</f>
        <v/>
      </c>
      <c r="S2393" s="46">
        <f>R2393*INDEX(FmtCansPerCase,MATCH(F2393,FmtName,0))</f>
        <v/>
      </c>
      <c r="T2393" s="46">
        <f>S2393/INDEX(FmtCansPerPack,MATCH(F2393,FmtName,0))</f>
        <v/>
      </c>
      <c r="U2393" s="47">
        <f>INDEX(ChBaseCP,MATCH(E2393,ChName,0))*(1+INDEX(ProvMod,MATCH(G2393,ProvCode,0)))*(1+PriceIndex)</f>
        <v/>
      </c>
      <c r="V2393" s="47">
        <f>R2393*U2393*INDEX(FmtBlendedPriceIdx,MATCH(F2393,FmtName,0))</f>
        <v/>
      </c>
      <c r="W2393" s="47">
        <f>T2393*INDEX(ProvSRP,MATCH(G2393,ProvCode,0))*(1+PriceIndex)</f>
        <v/>
      </c>
      <c r="X2393" s="47">
        <f>IF(GrossBasis="Wholesale",V2393,W2393)</f>
        <v/>
      </c>
      <c r="Y2393" s="47">
        <f>R2393*INDEX(FmtBlendedCogs,MATCH(F2393,FmtName,0))</f>
        <v/>
      </c>
      <c r="Z2393" s="47">
        <f>X2393-Y2393</f>
        <v/>
      </c>
    </row>
    <row r="2394">
      <c r="A2394" t="n">
        <v>8</v>
      </c>
      <c r="B2394" s="44">
        <f>FiscalStart+(A2394-1)*7</f>
        <v/>
      </c>
      <c r="C2394">
        <f>TEXT(B2394,"mmm yyyy")</f>
        <v/>
      </c>
      <c r="D2394">
        <f>"Q"&amp;(INT((A2394-1)/13)+1)</f>
        <v/>
      </c>
      <c r="E2394" t="inlineStr">
        <is>
          <t>FDM</t>
        </is>
      </c>
      <c r="F2394">
        <f>IFERROR(INDEX(ChFormat,MATCH(E2394,ChName,0)),"")</f>
        <v/>
      </c>
      <c r="G2394" t="inlineStr">
        <is>
          <t>QC</t>
        </is>
      </c>
      <c r="H2394">
        <f>IF(A2394&lt;=NWeeks,1,0)</f>
        <v/>
      </c>
      <c r="I2394">
        <f>INDEX(ChLaunch,MATCH(E2394,ChName,0))</f>
        <v/>
      </c>
      <c r="J2394">
        <f>INDEX(ChWeeksFull,MATCH(E2394,ChName,0))</f>
        <v/>
      </c>
      <c r="K2394">
        <f>INDEX(ChRamp,MATCH(E2394,ChName,0))</f>
        <v/>
      </c>
      <c r="L2394" s="45">
        <f>MIN(1,MAX(0,(A2394-I2394+1)*RampSpeed/J2394))</f>
        <v/>
      </c>
      <c r="M2394" s="45">
        <f>IF(A2394&lt;I2394,0,IF(K2394="S-curve",L2394*L2394*(3-2*L2394),L2394))</f>
        <v/>
      </c>
      <c r="N2394" s="45">
        <f>1+(INDEX(SeasonIdx,A2394)-1)*SeasonAmp</f>
        <v/>
      </c>
      <c r="O2394" s="45">
        <f>IFERROR(INDEX(PSPct,MATCH(E2394&amp;"|"&amp;G2394,PSKey,0)),0)</f>
        <v/>
      </c>
      <c r="P2394" s="46">
        <f>INDEX(ChDoorVel,MATCH(E2394,ChName,0))*CalibScalar*(1+VelocityUplift)</f>
        <v/>
      </c>
      <c r="Q2394" s="46" t="n">
        <v>0</v>
      </c>
      <c r="R2394" s="46">
        <f>P2394*O2394*M2394*N2394*H2394</f>
        <v/>
      </c>
      <c r="S2394" s="46">
        <f>R2394*INDEX(FmtCansPerCase,MATCH(F2394,FmtName,0))</f>
        <v/>
      </c>
      <c r="T2394" s="46">
        <f>S2394/INDEX(FmtCansPerPack,MATCH(F2394,FmtName,0))</f>
        <v/>
      </c>
      <c r="U2394" s="47">
        <f>INDEX(ChBaseCP,MATCH(E2394,ChName,0))*(1+INDEX(ProvMod,MATCH(G2394,ProvCode,0)))*(1+PriceIndex)</f>
        <v/>
      </c>
      <c r="V2394" s="47">
        <f>R2394*U2394*INDEX(FmtBlendedPriceIdx,MATCH(F2394,FmtName,0))</f>
        <v/>
      </c>
      <c r="W2394" s="47">
        <f>T2394*INDEX(ProvSRP,MATCH(G2394,ProvCode,0))*(1+PriceIndex)</f>
        <v/>
      </c>
      <c r="X2394" s="47">
        <f>IF(GrossBasis="Wholesale",V2394,W2394)</f>
        <v/>
      </c>
      <c r="Y2394" s="47">
        <f>R2394*INDEX(FmtBlendedCogs,MATCH(F2394,FmtName,0))</f>
        <v/>
      </c>
      <c r="Z2394" s="47">
        <f>X2394-Y2394</f>
        <v/>
      </c>
    </row>
    <row r="2395">
      <c r="A2395" t="n">
        <v>9</v>
      </c>
      <c r="B2395" s="44">
        <f>FiscalStart+(A2395-1)*7</f>
        <v/>
      </c>
      <c r="C2395">
        <f>TEXT(B2395,"mmm yyyy")</f>
        <v/>
      </c>
      <c r="D2395">
        <f>"Q"&amp;(INT((A2395-1)/13)+1)</f>
        <v/>
      </c>
      <c r="E2395" t="inlineStr">
        <is>
          <t>FDM</t>
        </is>
      </c>
      <c r="F2395">
        <f>IFERROR(INDEX(ChFormat,MATCH(E2395,ChName,0)),"")</f>
        <v/>
      </c>
      <c r="G2395" t="inlineStr">
        <is>
          <t>QC</t>
        </is>
      </c>
      <c r="H2395">
        <f>IF(A2395&lt;=NWeeks,1,0)</f>
        <v/>
      </c>
      <c r="I2395">
        <f>INDEX(ChLaunch,MATCH(E2395,ChName,0))</f>
        <v/>
      </c>
      <c r="J2395">
        <f>INDEX(ChWeeksFull,MATCH(E2395,ChName,0))</f>
        <v/>
      </c>
      <c r="K2395">
        <f>INDEX(ChRamp,MATCH(E2395,ChName,0))</f>
        <v/>
      </c>
      <c r="L2395" s="45">
        <f>MIN(1,MAX(0,(A2395-I2395+1)*RampSpeed/J2395))</f>
        <v/>
      </c>
      <c r="M2395" s="45">
        <f>IF(A2395&lt;I2395,0,IF(K2395="S-curve",L2395*L2395*(3-2*L2395),L2395))</f>
        <v/>
      </c>
      <c r="N2395" s="45">
        <f>1+(INDEX(SeasonIdx,A2395)-1)*SeasonAmp</f>
        <v/>
      </c>
      <c r="O2395" s="45">
        <f>IFERROR(INDEX(PSPct,MATCH(E2395&amp;"|"&amp;G2395,PSKey,0)),0)</f>
        <v/>
      </c>
      <c r="P2395" s="46">
        <f>INDEX(ChDoorVel,MATCH(E2395,ChName,0))*CalibScalar*(1+VelocityUplift)</f>
        <v/>
      </c>
      <c r="Q2395" s="46" t="n">
        <v>0</v>
      </c>
      <c r="R2395" s="46">
        <f>P2395*O2395*M2395*N2395*H2395</f>
        <v/>
      </c>
      <c r="S2395" s="46">
        <f>R2395*INDEX(FmtCansPerCase,MATCH(F2395,FmtName,0))</f>
        <v/>
      </c>
      <c r="T2395" s="46">
        <f>S2395/INDEX(FmtCansPerPack,MATCH(F2395,FmtName,0))</f>
        <v/>
      </c>
      <c r="U2395" s="47">
        <f>INDEX(ChBaseCP,MATCH(E2395,ChName,0))*(1+INDEX(ProvMod,MATCH(G2395,ProvCode,0)))*(1+PriceIndex)</f>
        <v/>
      </c>
      <c r="V2395" s="47">
        <f>R2395*U2395*INDEX(FmtBlendedPriceIdx,MATCH(F2395,FmtName,0))</f>
        <v/>
      </c>
      <c r="W2395" s="47">
        <f>T2395*INDEX(ProvSRP,MATCH(G2395,ProvCode,0))*(1+PriceIndex)</f>
        <v/>
      </c>
      <c r="X2395" s="47">
        <f>IF(GrossBasis="Wholesale",V2395,W2395)</f>
        <v/>
      </c>
      <c r="Y2395" s="47">
        <f>R2395*INDEX(FmtBlendedCogs,MATCH(F2395,FmtName,0))</f>
        <v/>
      </c>
      <c r="Z2395" s="47">
        <f>X2395-Y2395</f>
        <v/>
      </c>
    </row>
    <row r="2396">
      <c r="A2396" t="n">
        <v>10</v>
      </c>
      <c r="B2396" s="44">
        <f>FiscalStart+(A2396-1)*7</f>
        <v/>
      </c>
      <c r="C2396">
        <f>TEXT(B2396,"mmm yyyy")</f>
        <v/>
      </c>
      <c r="D2396">
        <f>"Q"&amp;(INT((A2396-1)/13)+1)</f>
        <v/>
      </c>
      <c r="E2396" t="inlineStr">
        <is>
          <t>FDM</t>
        </is>
      </c>
      <c r="F2396">
        <f>IFERROR(INDEX(ChFormat,MATCH(E2396,ChName,0)),"")</f>
        <v/>
      </c>
      <c r="G2396" t="inlineStr">
        <is>
          <t>QC</t>
        </is>
      </c>
      <c r="H2396">
        <f>IF(A2396&lt;=NWeeks,1,0)</f>
        <v/>
      </c>
      <c r="I2396">
        <f>INDEX(ChLaunch,MATCH(E2396,ChName,0))</f>
        <v/>
      </c>
      <c r="J2396">
        <f>INDEX(ChWeeksFull,MATCH(E2396,ChName,0))</f>
        <v/>
      </c>
      <c r="K2396">
        <f>INDEX(ChRamp,MATCH(E2396,ChName,0))</f>
        <v/>
      </c>
      <c r="L2396" s="45">
        <f>MIN(1,MAX(0,(A2396-I2396+1)*RampSpeed/J2396))</f>
        <v/>
      </c>
      <c r="M2396" s="45">
        <f>IF(A2396&lt;I2396,0,IF(K2396="S-curve",L2396*L2396*(3-2*L2396),L2396))</f>
        <v/>
      </c>
      <c r="N2396" s="45">
        <f>1+(INDEX(SeasonIdx,A2396)-1)*SeasonAmp</f>
        <v/>
      </c>
      <c r="O2396" s="45">
        <f>IFERROR(INDEX(PSPct,MATCH(E2396&amp;"|"&amp;G2396,PSKey,0)),0)</f>
        <v/>
      </c>
      <c r="P2396" s="46">
        <f>INDEX(ChDoorVel,MATCH(E2396,ChName,0))*CalibScalar*(1+VelocityUplift)</f>
        <v/>
      </c>
      <c r="Q2396" s="46" t="n">
        <v>0</v>
      </c>
      <c r="R2396" s="46">
        <f>P2396*O2396*M2396*N2396*H2396</f>
        <v/>
      </c>
      <c r="S2396" s="46">
        <f>R2396*INDEX(FmtCansPerCase,MATCH(F2396,FmtName,0))</f>
        <v/>
      </c>
      <c r="T2396" s="46">
        <f>S2396/INDEX(FmtCansPerPack,MATCH(F2396,FmtName,0))</f>
        <v/>
      </c>
      <c r="U2396" s="47">
        <f>INDEX(ChBaseCP,MATCH(E2396,ChName,0))*(1+INDEX(ProvMod,MATCH(G2396,ProvCode,0)))*(1+PriceIndex)</f>
        <v/>
      </c>
      <c r="V2396" s="47">
        <f>R2396*U2396*INDEX(FmtBlendedPriceIdx,MATCH(F2396,FmtName,0))</f>
        <v/>
      </c>
      <c r="W2396" s="47">
        <f>T2396*INDEX(ProvSRP,MATCH(G2396,ProvCode,0))*(1+PriceIndex)</f>
        <v/>
      </c>
      <c r="X2396" s="47">
        <f>IF(GrossBasis="Wholesale",V2396,W2396)</f>
        <v/>
      </c>
      <c r="Y2396" s="47">
        <f>R2396*INDEX(FmtBlendedCogs,MATCH(F2396,FmtName,0))</f>
        <v/>
      </c>
      <c r="Z2396" s="47">
        <f>X2396-Y2396</f>
        <v/>
      </c>
    </row>
    <row r="2397">
      <c r="A2397" t="n">
        <v>11</v>
      </c>
      <c r="B2397" s="44">
        <f>FiscalStart+(A2397-1)*7</f>
        <v/>
      </c>
      <c r="C2397">
        <f>TEXT(B2397,"mmm yyyy")</f>
        <v/>
      </c>
      <c r="D2397">
        <f>"Q"&amp;(INT((A2397-1)/13)+1)</f>
        <v/>
      </c>
      <c r="E2397" t="inlineStr">
        <is>
          <t>FDM</t>
        </is>
      </c>
      <c r="F2397">
        <f>IFERROR(INDEX(ChFormat,MATCH(E2397,ChName,0)),"")</f>
        <v/>
      </c>
      <c r="G2397" t="inlineStr">
        <is>
          <t>QC</t>
        </is>
      </c>
      <c r="H2397">
        <f>IF(A2397&lt;=NWeeks,1,0)</f>
        <v/>
      </c>
      <c r="I2397">
        <f>INDEX(ChLaunch,MATCH(E2397,ChName,0))</f>
        <v/>
      </c>
      <c r="J2397">
        <f>INDEX(ChWeeksFull,MATCH(E2397,ChName,0))</f>
        <v/>
      </c>
      <c r="K2397">
        <f>INDEX(ChRamp,MATCH(E2397,ChName,0))</f>
        <v/>
      </c>
      <c r="L2397" s="45">
        <f>MIN(1,MAX(0,(A2397-I2397+1)*RampSpeed/J2397))</f>
        <v/>
      </c>
      <c r="M2397" s="45">
        <f>IF(A2397&lt;I2397,0,IF(K2397="S-curve",L2397*L2397*(3-2*L2397),L2397))</f>
        <v/>
      </c>
      <c r="N2397" s="45">
        <f>1+(INDEX(SeasonIdx,A2397)-1)*SeasonAmp</f>
        <v/>
      </c>
      <c r="O2397" s="45">
        <f>IFERROR(INDEX(PSPct,MATCH(E2397&amp;"|"&amp;G2397,PSKey,0)),0)</f>
        <v/>
      </c>
      <c r="P2397" s="46">
        <f>INDEX(ChDoorVel,MATCH(E2397,ChName,0))*CalibScalar*(1+VelocityUplift)</f>
        <v/>
      </c>
      <c r="Q2397" s="46" t="n">
        <v>0</v>
      </c>
      <c r="R2397" s="46">
        <f>P2397*O2397*M2397*N2397*H2397</f>
        <v/>
      </c>
      <c r="S2397" s="46">
        <f>R2397*INDEX(FmtCansPerCase,MATCH(F2397,FmtName,0))</f>
        <v/>
      </c>
      <c r="T2397" s="46">
        <f>S2397/INDEX(FmtCansPerPack,MATCH(F2397,FmtName,0))</f>
        <v/>
      </c>
      <c r="U2397" s="47">
        <f>INDEX(ChBaseCP,MATCH(E2397,ChName,0))*(1+INDEX(ProvMod,MATCH(G2397,ProvCode,0)))*(1+PriceIndex)</f>
        <v/>
      </c>
      <c r="V2397" s="47">
        <f>R2397*U2397*INDEX(FmtBlendedPriceIdx,MATCH(F2397,FmtName,0))</f>
        <v/>
      </c>
      <c r="W2397" s="47">
        <f>T2397*INDEX(ProvSRP,MATCH(G2397,ProvCode,0))*(1+PriceIndex)</f>
        <v/>
      </c>
      <c r="X2397" s="47">
        <f>IF(GrossBasis="Wholesale",V2397,W2397)</f>
        <v/>
      </c>
      <c r="Y2397" s="47">
        <f>R2397*INDEX(FmtBlendedCogs,MATCH(F2397,FmtName,0))</f>
        <v/>
      </c>
      <c r="Z2397" s="47">
        <f>X2397-Y2397</f>
        <v/>
      </c>
    </row>
    <row r="2398">
      <c r="A2398" t="n">
        <v>12</v>
      </c>
      <c r="B2398" s="44">
        <f>FiscalStart+(A2398-1)*7</f>
        <v/>
      </c>
      <c r="C2398">
        <f>TEXT(B2398,"mmm yyyy")</f>
        <v/>
      </c>
      <c r="D2398">
        <f>"Q"&amp;(INT((A2398-1)/13)+1)</f>
        <v/>
      </c>
      <c r="E2398" t="inlineStr">
        <is>
          <t>FDM</t>
        </is>
      </c>
      <c r="F2398">
        <f>IFERROR(INDEX(ChFormat,MATCH(E2398,ChName,0)),"")</f>
        <v/>
      </c>
      <c r="G2398" t="inlineStr">
        <is>
          <t>QC</t>
        </is>
      </c>
      <c r="H2398">
        <f>IF(A2398&lt;=NWeeks,1,0)</f>
        <v/>
      </c>
      <c r="I2398">
        <f>INDEX(ChLaunch,MATCH(E2398,ChName,0))</f>
        <v/>
      </c>
      <c r="J2398">
        <f>INDEX(ChWeeksFull,MATCH(E2398,ChName,0))</f>
        <v/>
      </c>
      <c r="K2398">
        <f>INDEX(ChRamp,MATCH(E2398,ChName,0))</f>
        <v/>
      </c>
      <c r="L2398" s="45">
        <f>MIN(1,MAX(0,(A2398-I2398+1)*RampSpeed/J2398))</f>
        <v/>
      </c>
      <c r="M2398" s="45">
        <f>IF(A2398&lt;I2398,0,IF(K2398="S-curve",L2398*L2398*(3-2*L2398),L2398))</f>
        <v/>
      </c>
      <c r="N2398" s="45">
        <f>1+(INDEX(SeasonIdx,A2398)-1)*SeasonAmp</f>
        <v/>
      </c>
      <c r="O2398" s="45">
        <f>IFERROR(INDEX(PSPct,MATCH(E2398&amp;"|"&amp;G2398,PSKey,0)),0)</f>
        <v/>
      </c>
      <c r="P2398" s="46">
        <f>INDEX(ChDoorVel,MATCH(E2398,ChName,0))*CalibScalar*(1+VelocityUplift)</f>
        <v/>
      </c>
      <c r="Q2398" s="46" t="n">
        <v>0</v>
      </c>
      <c r="R2398" s="46">
        <f>P2398*O2398*M2398*N2398*H2398</f>
        <v/>
      </c>
      <c r="S2398" s="46">
        <f>R2398*INDEX(FmtCansPerCase,MATCH(F2398,FmtName,0))</f>
        <v/>
      </c>
      <c r="T2398" s="46">
        <f>S2398/INDEX(FmtCansPerPack,MATCH(F2398,FmtName,0))</f>
        <v/>
      </c>
      <c r="U2398" s="47">
        <f>INDEX(ChBaseCP,MATCH(E2398,ChName,0))*(1+INDEX(ProvMod,MATCH(G2398,ProvCode,0)))*(1+PriceIndex)</f>
        <v/>
      </c>
      <c r="V2398" s="47">
        <f>R2398*U2398*INDEX(FmtBlendedPriceIdx,MATCH(F2398,FmtName,0))</f>
        <v/>
      </c>
      <c r="W2398" s="47">
        <f>T2398*INDEX(ProvSRP,MATCH(G2398,ProvCode,0))*(1+PriceIndex)</f>
        <v/>
      </c>
      <c r="X2398" s="47">
        <f>IF(GrossBasis="Wholesale",V2398,W2398)</f>
        <v/>
      </c>
      <c r="Y2398" s="47">
        <f>R2398*INDEX(FmtBlendedCogs,MATCH(F2398,FmtName,0))</f>
        <v/>
      </c>
      <c r="Z2398" s="47">
        <f>X2398-Y2398</f>
        <v/>
      </c>
    </row>
    <row r="2399">
      <c r="A2399" t="n">
        <v>13</v>
      </c>
      <c r="B2399" s="44">
        <f>FiscalStart+(A2399-1)*7</f>
        <v/>
      </c>
      <c r="C2399">
        <f>TEXT(B2399,"mmm yyyy")</f>
        <v/>
      </c>
      <c r="D2399">
        <f>"Q"&amp;(INT((A2399-1)/13)+1)</f>
        <v/>
      </c>
      <c r="E2399" t="inlineStr">
        <is>
          <t>FDM</t>
        </is>
      </c>
      <c r="F2399">
        <f>IFERROR(INDEX(ChFormat,MATCH(E2399,ChName,0)),"")</f>
        <v/>
      </c>
      <c r="G2399" t="inlineStr">
        <is>
          <t>QC</t>
        </is>
      </c>
      <c r="H2399">
        <f>IF(A2399&lt;=NWeeks,1,0)</f>
        <v/>
      </c>
      <c r="I2399">
        <f>INDEX(ChLaunch,MATCH(E2399,ChName,0))</f>
        <v/>
      </c>
      <c r="J2399">
        <f>INDEX(ChWeeksFull,MATCH(E2399,ChName,0))</f>
        <v/>
      </c>
      <c r="K2399">
        <f>INDEX(ChRamp,MATCH(E2399,ChName,0))</f>
        <v/>
      </c>
      <c r="L2399" s="45">
        <f>MIN(1,MAX(0,(A2399-I2399+1)*RampSpeed/J2399))</f>
        <v/>
      </c>
      <c r="M2399" s="45">
        <f>IF(A2399&lt;I2399,0,IF(K2399="S-curve",L2399*L2399*(3-2*L2399),L2399))</f>
        <v/>
      </c>
      <c r="N2399" s="45">
        <f>1+(INDEX(SeasonIdx,A2399)-1)*SeasonAmp</f>
        <v/>
      </c>
      <c r="O2399" s="45">
        <f>IFERROR(INDEX(PSPct,MATCH(E2399&amp;"|"&amp;G2399,PSKey,0)),0)</f>
        <v/>
      </c>
      <c r="P2399" s="46">
        <f>INDEX(ChDoorVel,MATCH(E2399,ChName,0))*CalibScalar*(1+VelocityUplift)</f>
        <v/>
      </c>
      <c r="Q2399" s="46" t="n">
        <v>0</v>
      </c>
      <c r="R2399" s="46">
        <f>P2399*O2399*M2399*N2399*H2399</f>
        <v/>
      </c>
      <c r="S2399" s="46">
        <f>R2399*INDEX(FmtCansPerCase,MATCH(F2399,FmtName,0))</f>
        <v/>
      </c>
      <c r="T2399" s="46">
        <f>S2399/INDEX(FmtCansPerPack,MATCH(F2399,FmtName,0))</f>
        <v/>
      </c>
      <c r="U2399" s="47">
        <f>INDEX(ChBaseCP,MATCH(E2399,ChName,0))*(1+INDEX(ProvMod,MATCH(G2399,ProvCode,0)))*(1+PriceIndex)</f>
        <v/>
      </c>
      <c r="V2399" s="47">
        <f>R2399*U2399*INDEX(FmtBlendedPriceIdx,MATCH(F2399,FmtName,0))</f>
        <v/>
      </c>
      <c r="W2399" s="47">
        <f>T2399*INDEX(ProvSRP,MATCH(G2399,ProvCode,0))*(1+PriceIndex)</f>
        <v/>
      </c>
      <c r="X2399" s="47">
        <f>IF(GrossBasis="Wholesale",V2399,W2399)</f>
        <v/>
      </c>
      <c r="Y2399" s="47">
        <f>R2399*INDEX(FmtBlendedCogs,MATCH(F2399,FmtName,0))</f>
        <v/>
      </c>
      <c r="Z2399" s="47">
        <f>X2399-Y2399</f>
        <v/>
      </c>
    </row>
    <row r="2400">
      <c r="A2400" t="n">
        <v>14</v>
      </c>
      <c r="B2400" s="44">
        <f>FiscalStart+(A2400-1)*7</f>
        <v/>
      </c>
      <c r="C2400">
        <f>TEXT(B2400,"mmm yyyy")</f>
        <v/>
      </c>
      <c r="D2400">
        <f>"Q"&amp;(INT((A2400-1)/13)+1)</f>
        <v/>
      </c>
      <c r="E2400" t="inlineStr">
        <is>
          <t>FDM</t>
        </is>
      </c>
      <c r="F2400">
        <f>IFERROR(INDEX(ChFormat,MATCH(E2400,ChName,0)),"")</f>
        <v/>
      </c>
      <c r="G2400" t="inlineStr">
        <is>
          <t>QC</t>
        </is>
      </c>
      <c r="H2400">
        <f>IF(A2400&lt;=NWeeks,1,0)</f>
        <v/>
      </c>
      <c r="I2400">
        <f>INDEX(ChLaunch,MATCH(E2400,ChName,0))</f>
        <v/>
      </c>
      <c r="J2400">
        <f>INDEX(ChWeeksFull,MATCH(E2400,ChName,0))</f>
        <v/>
      </c>
      <c r="K2400">
        <f>INDEX(ChRamp,MATCH(E2400,ChName,0))</f>
        <v/>
      </c>
      <c r="L2400" s="45">
        <f>MIN(1,MAX(0,(A2400-I2400+1)*RampSpeed/J2400))</f>
        <v/>
      </c>
      <c r="M2400" s="45">
        <f>IF(A2400&lt;I2400,0,IF(K2400="S-curve",L2400*L2400*(3-2*L2400),L2400))</f>
        <v/>
      </c>
      <c r="N2400" s="45">
        <f>1+(INDEX(SeasonIdx,A2400)-1)*SeasonAmp</f>
        <v/>
      </c>
      <c r="O2400" s="45">
        <f>IFERROR(INDEX(PSPct,MATCH(E2400&amp;"|"&amp;G2400,PSKey,0)),0)</f>
        <v/>
      </c>
      <c r="P2400" s="46">
        <f>INDEX(ChDoorVel,MATCH(E2400,ChName,0))*CalibScalar*(1+VelocityUplift)</f>
        <v/>
      </c>
      <c r="Q2400" s="46" t="n">
        <v>0</v>
      </c>
      <c r="R2400" s="46">
        <f>P2400*O2400*M2400*N2400*H2400</f>
        <v/>
      </c>
      <c r="S2400" s="46">
        <f>R2400*INDEX(FmtCansPerCase,MATCH(F2400,FmtName,0))</f>
        <v/>
      </c>
      <c r="T2400" s="46">
        <f>S2400/INDEX(FmtCansPerPack,MATCH(F2400,FmtName,0))</f>
        <v/>
      </c>
      <c r="U2400" s="47">
        <f>INDEX(ChBaseCP,MATCH(E2400,ChName,0))*(1+INDEX(ProvMod,MATCH(G2400,ProvCode,0)))*(1+PriceIndex)</f>
        <v/>
      </c>
      <c r="V2400" s="47">
        <f>R2400*U2400*INDEX(FmtBlendedPriceIdx,MATCH(F2400,FmtName,0))</f>
        <v/>
      </c>
      <c r="W2400" s="47">
        <f>T2400*INDEX(ProvSRP,MATCH(G2400,ProvCode,0))*(1+PriceIndex)</f>
        <v/>
      </c>
      <c r="X2400" s="47">
        <f>IF(GrossBasis="Wholesale",V2400,W2400)</f>
        <v/>
      </c>
      <c r="Y2400" s="47">
        <f>R2400*INDEX(FmtBlendedCogs,MATCH(F2400,FmtName,0))</f>
        <v/>
      </c>
      <c r="Z2400" s="47">
        <f>X2400-Y2400</f>
        <v/>
      </c>
    </row>
    <row r="2401">
      <c r="A2401" t="n">
        <v>15</v>
      </c>
      <c r="B2401" s="44">
        <f>FiscalStart+(A2401-1)*7</f>
        <v/>
      </c>
      <c r="C2401">
        <f>TEXT(B2401,"mmm yyyy")</f>
        <v/>
      </c>
      <c r="D2401">
        <f>"Q"&amp;(INT((A2401-1)/13)+1)</f>
        <v/>
      </c>
      <c r="E2401" t="inlineStr">
        <is>
          <t>FDM</t>
        </is>
      </c>
      <c r="F2401">
        <f>IFERROR(INDEX(ChFormat,MATCH(E2401,ChName,0)),"")</f>
        <v/>
      </c>
      <c r="G2401" t="inlineStr">
        <is>
          <t>QC</t>
        </is>
      </c>
      <c r="H2401">
        <f>IF(A2401&lt;=NWeeks,1,0)</f>
        <v/>
      </c>
      <c r="I2401">
        <f>INDEX(ChLaunch,MATCH(E2401,ChName,0))</f>
        <v/>
      </c>
      <c r="J2401">
        <f>INDEX(ChWeeksFull,MATCH(E2401,ChName,0))</f>
        <v/>
      </c>
      <c r="K2401">
        <f>INDEX(ChRamp,MATCH(E2401,ChName,0))</f>
        <v/>
      </c>
      <c r="L2401" s="45">
        <f>MIN(1,MAX(0,(A2401-I2401+1)*RampSpeed/J2401))</f>
        <v/>
      </c>
      <c r="M2401" s="45">
        <f>IF(A2401&lt;I2401,0,IF(K2401="S-curve",L2401*L2401*(3-2*L2401),L2401))</f>
        <v/>
      </c>
      <c r="N2401" s="45">
        <f>1+(INDEX(SeasonIdx,A2401)-1)*SeasonAmp</f>
        <v/>
      </c>
      <c r="O2401" s="45">
        <f>IFERROR(INDEX(PSPct,MATCH(E2401&amp;"|"&amp;G2401,PSKey,0)),0)</f>
        <v/>
      </c>
      <c r="P2401" s="46">
        <f>INDEX(ChDoorVel,MATCH(E2401,ChName,0))*CalibScalar*(1+VelocityUplift)</f>
        <v/>
      </c>
      <c r="Q2401" s="46" t="n">
        <v>0</v>
      </c>
      <c r="R2401" s="46">
        <f>P2401*O2401*M2401*N2401*H2401</f>
        <v/>
      </c>
      <c r="S2401" s="46">
        <f>R2401*INDEX(FmtCansPerCase,MATCH(F2401,FmtName,0))</f>
        <v/>
      </c>
      <c r="T2401" s="46">
        <f>S2401/INDEX(FmtCansPerPack,MATCH(F2401,FmtName,0))</f>
        <v/>
      </c>
      <c r="U2401" s="47">
        <f>INDEX(ChBaseCP,MATCH(E2401,ChName,0))*(1+INDEX(ProvMod,MATCH(G2401,ProvCode,0)))*(1+PriceIndex)</f>
        <v/>
      </c>
      <c r="V2401" s="47">
        <f>R2401*U2401*INDEX(FmtBlendedPriceIdx,MATCH(F2401,FmtName,0))</f>
        <v/>
      </c>
      <c r="W2401" s="47">
        <f>T2401*INDEX(ProvSRP,MATCH(G2401,ProvCode,0))*(1+PriceIndex)</f>
        <v/>
      </c>
      <c r="X2401" s="47">
        <f>IF(GrossBasis="Wholesale",V2401,W2401)</f>
        <v/>
      </c>
      <c r="Y2401" s="47">
        <f>R2401*INDEX(FmtBlendedCogs,MATCH(F2401,FmtName,0))</f>
        <v/>
      </c>
      <c r="Z2401" s="47">
        <f>X2401-Y2401</f>
        <v/>
      </c>
    </row>
    <row r="2402">
      <c r="A2402" t="n">
        <v>16</v>
      </c>
      <c r="B2402" s="44">
        <f>FiscalStart+(A2402-1)*7</f>
        <v/>
      </c>
      <c r="C2402">
        <f>TEXT(B2402,"mmm yyyy")</f>
        <v/>
      </c>
      <c r="D2402">
        <f>"Q"&amp;(INT((A2402-1)/13)+1)</f>
        <v/>
      </c>
      <c r="E2402" t="inlineStr">
        <is>
          <t>FDM</t>
        </is>
      </c>
      <c r="F2402">
        <f>IFERROR(INDEX(ChFormat,MATCH(E2402,ChName,0)),"")</f>
        <v/>
      </c>
      <c r="G2402" t="inlineStr">
        <is>
          <t>QC</t>
        </is>
      </c>
      <c r="H2402">
        <f>IF(A2402&lt;=NWeeks,1,0)</f>
        <v/>
      </c>
      <c r="I2402">
        <f>INDEX(ChLaunch,MATCH(E2402,ChName,0))</f>
        <v/>
      </c>
      <c r="J2402">
        <f>INDEX(ChWeeksFull,MATCH(E2402,ChName,0))</f>
        <v/>
      </c>
      <c r="K2402">
        <f>INDEX(ChRamp,MATCH(E2402,ChName,0))</f>
        <v/>
      </c>
      <c r="L2402" s="45">
        <f>MIN(1,MAX(0,(A2402-I2402+1)*RampSpeed/J2402))</f>
        <v/>
      </c>
      <c r="M2402" s="45">
        <f>IF(A2402&lt;I2402,0,IF(K2402="S-curve",L2402*L2402*(3-2*L2402),L2402))</f>
        <v/>
      </c>
      <c r="N2402" s="45">
        <f>1+(INDEX(SeasonIdx,A2402)-1)*SeasonAmp</f>
        <v/>
      </c>
      <c r="O2402" s="45">
        <f>IFERROR(INDEX(PSPct,MATCH(E2402&amp;"|"&amp;G2402,PSKey,0)),0)</f>
        <v/>
      </c>
      <c r="P2402" s="46">
        <f>INDEX(ChDoorVel,MATCH(E2402,ChName,0))*CalibScalar*(1+VelocityUplift)</f>
        <v/>
      </c>
      <c r="Q2402" s="46" t="n">
        <v>0</v>
      </c>
      <c r="R2402" s="46">
        <f>P2402*O2402*M2402*N2402*H2402</f>
        <v/>
      </c>
      <c r="S2402" s="46">
        <f>R2402*INDEX(FmtCansPerCase,MATCH(F2402,FmtName,0))</f>
        <v/>
      </c>
      <c r="T2402" s="46">
        <f>S2402/INDEX(FmtCansPerPack,MATCH(F2402,FmtName,0))</f>
        <v/>
      </c>
      <c r="U2402" s="47">
        <f>INDEX(ChBaseCP,MATCH(E2402,ChName,0))*(1+INDEX(ProvMod,MATCH(G2402,ProvCode,0)))*(1+PriceIndex)</f>
        <v/>
      </c>
      <c r="V2402" s="47">
        <f>R2402*U2402*INDEX(FmtBlendedPriceIdx,MATCH(F2402,FmtName,0))</f>
        <v/>
      </c>
      <c r="W2402" s="47">
        <f>T2402*INDEX(ProvSRP,MATCH(G2402,ProvCode,0))*(1+PriceIndex)</f>
        <v/>
      </c>
      <c r="X2402" s="47">
        <f>IF(GrossBasis="Wholesale",V2402,W2402)</f>
        <v/>
      </c>
      <c r="Y2402" s="47">
        <f>R2402*INDEX(FmtBlendedCogs,MATCH(F2402,FmtName,0))</f>
        <v/>
      </c>
      <c r="Z2402" s="47">
        <f>X2402-Y2402</f>
        <v/>
      </c>
    </row>
    <row r="2403">
      <c r="A2403" t="n">
        <v>17</v>
      </c>
      <c r="B2403" s="44">
        <f>FiscalStart+(A2403-1)*7</f>
        <v/>
      </c>
      <c r="C2403">
        <f>TEXT(B2403,"mmm yyyy")</f>
        <v/>
      </c>
      <c r="D2403">
        <f>"Q"&amp;(INT((A2403-1)/13)+1)</f>
        <v/>
      </c>
      <c r="E2403" t="inlineStr">
        <is>
          <t>FDM</t>
        </is>
      </c>
      <c r="F2403">
        <f>IFERROR(INDEX(ChFormat,MATCH(E2403,ChName,0)),"")</f>
        <v/>
      </c>
      <c r="G2403" t="inlineStr">
        <is>
          <t>QC</t>
        </is>
      </c>
      <c r="H2403">
        <f>IF(A2403&lt;=NWeeks,1,0)</f>
        <v/>
      </c>
      <c r="I2403">
        <f>INDEX(ChLaunch,MATCH(E2403,ChName,0))</f>
        <v/>
      </c>
      <c r="J2403">
        <f>INDEX(ChWeeksFull,MATCH(E2403,ChName,0))</f>
        <v/>
      </c>
      <c r="K2403">
        <f>INDEX(ChRamp,MATCH(E2403,ChName,0))</f>
        <v/>
      </c>
      <c r="L2403" s="45">
        <f>MIN(1,MAX(0,(A2403-I2403+1)*RampSpeed/J2403))</f>
        <v/>
      </c>
      <c r="M2403" s="45">
        <f>IF(A2403&lt;I2403,0,IF(K2403="S-curve",L2403*L2403*(3-2*L2403),L2403))</f>
        <v/>
      </c>
      <c r="N2403" s="45">
        <f>1+(INDEX(SeasonIdx,A2403)-1)*SeasonAmp</f>
        <v/>
      </c>
      <c r="O2403" s="45">
        <f>IFERROR(INDEX(PSPct,MATCH(E2403&amp;"|"&amp;G2403,PSKey,0)),0)</f>
        <v/>
      </c>
      <c r="P2403" s="46">
        <f>INDEX(ChDoorVel,MATCH(E2403,ChName,0))*CalibScalar*(1+VelocityUplift)</f>
        <v/>
      </c>
      <c r="Q2403" s="46" t="n">
        <v>0</v>
      </c>
      <c r="R2403" s="46">
        <f>P2403*O2403*M2403*N2403*H2403</f>
        <v/>
      </c>
      <c r="S2403" s="46">
        <f>R2403*INDEX(FmtCansPerCase,MATCH(F2403,FmtName,0))</f>
        <v/>
      </c>
      <c r="T2403" s="46">
        <f>S2403/INDEX(FmtCansPerPack,MATCH(F2403,FmtName,0))</f>
        <v/>
      </c>
      <c r="U2403" s="47">
        <f>INDEX(ChBaseCP,MATCH(E2403,ChName,0))*(1+INDEX(ProvMod,MATCH(G2403,ProvCode,0)))*(1+PriceIndex)</f>
        <v/>
      </c>
      <c r="V2403" s="47">
        <f>R2403*U2403*INDEX(FmtBlendedPriceIdx,MATCH(F2403,FmtName,0))</f>
        <v/>
      </c>
      <c r="W2403" s="47">
        <f>T2403*INDEX(ProvSRP,MATCH(G2403,ProvCode,0))*(1+PriceIndex)</f>
        <v/>
      </c>
      <c r="X2403" s="47">
        <f>IF(GrossBasis="Wholesale",V2403,W2403)</f>
        <v/>
      </c>
      <c r="Y2403" s="47">
        <f>R2403*INDEX(FmtBlendedCogs,MATCH(F2403,FmtName,0))</f>
        <v/>
      </c>
      <c r="Z2403" s="47">
        <f>X2403-Y2403</f>
        <v/>
      </c>
    </row>
    <row r="2404">
      <c r="A2404" t="n">
        <v>18</v>
      </c>
      <c r="B2404" s="44">
        <f>FiscalStart+(A2404-1)*7</f>
        <v/>
      </c>
      <c r="C2404">
        <f>TEXT(B2404,"mmm yyyy")</f>
        <v/>
      </c>
      <c r="D2404">
        <f>"Q"&amp;(INT((A2404-1)/13)+1)</f>
        <v/>
      </c>
      <c r="E2404" t="inlineStr">
        <is>
          <t>FDM</t>
        </is>
      </c>
      <c r="F2404">
        <f>IFERROR(INDEX(ChFormat,MATCH(E2404,ChName,0)),"")</f>
        <v/>
      </c>
      <c r="G2404" t="inlineStr">
        <is>
          <t>QC</t>
        </is>
      </c>
      <c r="H2404">
        <f>IF(A2404&lt;=NWeeks,1,0)</f>
        <v/>
      </c>
      <c r="I2404">
        <f>INDEX(ChLaunch,MATCH(E2404,ChName,0))</f>
        <v/>
      </c>
      <c r="J2404">
        <f>INDEX(ChWeeksFull,MATCH(E2404,ChName,0))</f>
        <v/>
      </c>
      <c r="K2404">
        <f>INDEX(ChRamp,MATCH(E2404,ChName,0))</f>
        <v/>
      </c>
      <c r="L2404" s="45">
        <f>MIN(1,MAX(0,(A2404-I2404+1)*RampSpeed/J2404))</f>
        <v/>
      </c>
      <c r="M2404" s="45">
        <f>IF(A2404&lt;I2404,0,IF(K2404="S-curve",L2404*L2404*(3-2*L2404),L2404))</f>
        <v/>
      </c>
      <c r="N2404" s="45">
        <f>1+(INDEX(SeasonIdx,A2404)-1)*SeasonAmp</f>
        <v/>
      </c>
      <c r="O2404" s="45">
        <f>IFERROR(INDEX(PSPct,MATCH(E2404&amp;"|"&amp;G2404,PSKey,0)),0)</f>
        <v/>
      </c>
      <c r="P2404" s="46">
        <f>INDEX(ChDoorVel,MATCH(E2404,ChName,0))*CalibScalar*(1+VelocityUplift)</f>
        <v/>
      </c>
      <c r="Q2404" s="46" t="n">
        <v>0</v>
      </c>
      <c r="R2404" s="46">
        <f>P2404*O2404*M2404*N2404*H2404</f>
        <v/>
      </c>
      <c r="S2404" s="46">
        <f>R2404*INDEX(FmtCansPerCase,MATCH(F2404,FmtName,0))</f>
        <v/>
      </c>
      <c r="T2404" s="46">
        <f>S2404/INDEX(FmtCansPerPack,MATCH(F2404,FmtName,0))</f>
        <v/>
      </c>
      <c r="U2404" s="47">
        <f>INDEX(ChBaseCP,MATCH(E2404,ChName,0))*(1+INDEX(ProvMod,MATCH(G2404,ProvCode,0)))*(1+PriceIndex)</f>
        <v/>
      </c>
      <c r="V2404" s="47">
        <f>R2404*U2404*INDEX(FmtBlendedPriceIdx,MATCH(F2404,FmtName,0))</f>
        <v/>
      </c>
      <c r="W2404" s="47">
        <f>T2404*INDEX(ProvSRP,MATCH(G2404,ProvCode,0))*(1+PriceIndex)</f>
        <v/>
      </c>
      <c r="X2404" s="47">
        <f>IF(GrossBasis="Wholesale",V2404,W2404)</f>
        <v/>
      </c>
      <c r="Y2404" s="47">
        <f>R2404*INDEX(FmtBlendedCogs,MATCH(F2404,FmtName,0))</f>
        <v/>
      </c>
      <c r="Z2404" s="47">
        <f>X2404-Y2404</f>
        <v/>
      </c>
    </row>
    <row r="2405">
      <c r="A2405" t="n">
        <v>19</v>
      </c>
      <c r="B2405" s="44">
        <f>FiscalStart+(A2405-1)*7</f>
        <v/>
      </c>
      <c r="C2405">
        <f>TEXT(B2405,"mmm yyyy")</f>
        <v/>
      </c>
      <c r="D2405">
        <f>"Q"&amp;(INT((A2405-1)/13)+1)</f>
        <v/>
      </c>
      <c r="E2405" t="inlineStr">
        <is>
          <t>FDM</t>
        </is>
      </c>
      <c r="F2405">
        <f>IFERROR(INDEX(ChFormat,MATCH(E2405,ChName,0)),"")</f>
        <v/>
      </c>
      <c r="G2405" t="inlineStr">
        <is>
          <t>QC</t>
        </is>
      </c>
      <c r="H2405">
        <f>IF(A2405&lt;=NWeeks,1,0)</f>
        <v/>
      </c>
      <c r="I2405">
        <f>INDEX(ChLaunch,MATCH(E2405,ChName,0))</f>
        <v/>
      </c>
      <c r="J2405">
        <f>INDEX(ChWeeksFull,MATCH(E2405,ChName,0))</f>
        <v/>
      </c>
      <c r="K2405">
        <f>INDEX(ChRamp,MATCH(E2405,ChName,0))</f>
        <v/>
      </c>
      <c r="L2405" s="45">
        <f>MIN(1,MAX(0,(A2405-I2405+1)*RampSpeed/J2405))</f>
        <v/>
      </c>
      <c r="M2405" s="45">
        <f>IF(A2405&lt;I2405,0,IF(K2405="S-curve",L2405*L2405*(3-2*L2405),L2405))</f>
        <v/>
      </c>
      <c r="N2405" s="45">
        <f>1+(INDEX(SeasonIdx,A2405)-1)*SeasonAmp</f>
        <v/>
      </c>
      <c r="O2405" s="45">
        <f>IFERROR(INDEX(PSPct,MATCH(E2405&amp;"|"&amp;G2405,PSKey,0)),0)</f>
        <v/>
      </c>
      <c r="P2405" s="46">
        <f>INDEX(ChDoorVel,MATCH(E2405,ChName,0))*CalibScalar*(1+VelocityUplift)</f>
        <v/>
      </c>
      <c r="Q2405" s="46" t="n">
        <v>0</v>
      </c>
      <c r="R2405" s="46">
        <f>P2405*O2405*M2405*N2405*H2405</f>
        <v/>
      </c>
      <c r="S2405" s="46">
        <f>R2405*INDEX(FmtCansPerCase,MATCH(F2405,FmtName,0))</f>
        <v/>
      </c>
      <c r="T2405" s="46">
        <f>S2405/INDEX(FmtCansPerPack,MATCH(F2405,FmtName,0))</f>
        <v/>
      </c>
      <c r="U2405" s="47">
        <f>INDEX(ChBaseCP,MATCH(E2405,ChName,0))*(1+INDEX(ProvMod,MATCH(G2405,ProvCode,0)))*(1+PriceIndex)</f>
        <v/>
      </c>
      <c r="V2405" s="47">
        <f>R2405*U2405*INDEX(FmtBlendedPriceIdx,MATCH(F2405,FmtName,0))</f>
        <v/>
      </c>
      <c r="W2405" s="47">
        <f>T2405*INDEX(ProvSRP,MATCH(G2405,ProvCode,0))*(1+PriceIndex)</f>
        <v/>
      </c>
      <c r="X2405" s="47">
        <f>IF(GrossBasis="Wholesale",V2405,W2405)</f>
        <v/>
      </c>
      <c r="Y2405" s="47">
        <f>R2405*INDEX(FmtBlendedCogs,MATCH(F2405,FmtName,0))</f>
        <v/>
      </c>
      <c r="Z2405" s="47">
        <f>X2405-Y2405</f>
        <v/>
      </c>
    </row>
    <row r="2406">
      <c r="A2406" t="n">
        <v>20</v>
      </c>
      <c r="B2406" s="44">
        <f>FiscalStart+(A2406-1)*7</f>
        <v/>
      </c>
      <c r="C2406">
        <f>TEXT(B2406,"mmm yyyy")</f>
        <v/>
      </c>
      <c r="D2406">
        <f>"Q"&amp;(INT((A2406-1)/13)+1)</f>
        <v/>
      </c>
      <c r="E2406" t="inlineStr">
        <is>
          <t>FDM</t>
        </is>
      </c>
      <c r="F2406">
        <f>IFERROR(INDEX(ChFormat,MATCH(E2406,ChName,0)),"")</f>
        <v/>
      </c>
      <c r="G2406" t="inlineStr">
        <is>
          <t>QC</t>
        </is>
      </c>
      <c r="H2406">
        <f>IF(A2406&lt;=NWeeks,1,0)</f>
        <v/>
      </c>
      <c r="I2406">
        <f>INDEX(ChLaunch,MATCH(E2406,ChName,0))</f>
        <v/>
      </c>
      <c r="J2406">
        <f>INDEX(ChWeeksFull,MATCH(E2406,ChName,0))</f>
        <v/>
      </c>
      <c r="K2406">
        <f>INDEX(ChRamp,MATCH(E2406,ChName,0))</f>
        <v/>
      </c>
      <c r="L2406" s="45">
        <f>MIN(1,MAX(0,(A2406-I2406+1)*RampSpeed/J2406))</f>
        <v/>
      </c>
      <c r="M2406" s="45">
        <f>IF(A2406&lt;I2406,0,IF(K2406="S-curve",L2406*L2406*(3-2*L2406),L2406))</f>
        <v/>
      </c>
      <c r="N2406" s="45">
        <f>1+(INDEX(SeasonIdx,A2406)-1)*SeasonAmp</f>
        <v/>
      </c>
      <c r="O2406" s="45">
        <f>IFERROR(INDEX(PSPct,MATCH(E2406&amp;"|"&amp;G2406,PSKey,0)),0)</f>
        <v/>
      </c>
      <c r="P2406" s="46">
        <f>INDEX(ChDoorVel,MATCH(E2406,ChName,0))*CalibScalar*(1+VelocityUplift)</f>
        <v/>
      </c>
      <c r="Q2406" s="46" t="n">
        <v>0</v>
      </c>
      <c r="R2406" s="46">
        <f>P2406*O2406*M2406*N2406*H2406</f>
        <v/>
      </c>
      <c r="S2406" s="46">
        <f>R2406*INDEX(FmtCansPerCase,MATCH(F2406,FmtName,0))</f>
        <v/>
      </c>
      <c r="T2406" s="46">
        <f>S2406/INDEX(FmtCansPerPack,MATCH(F2406,FmtName,0))</f>
        <v/>
      </c>
      <c r="U2406" s="47">
        <f>INDEX(ChBaseCP,MATCH(E2406,ChName,0))*(1+INDEX(ProvMod,MATCH(G2406,ProvCode,0)))*(1+PriceIndex)</f>
        <v/>
      </c>
      <c r="V2406" s="47">
        <f>R2406*U2406*INDEX(FmtBlendedPriceIdx,MATCH(F2406,FmtName,0))</f>
        <v/>
      </c>
      <c r="W2406" s="47">
        <f>T2406*INDEX(ProvSRP,MATCH(G2406,ProvCode,0))*(1+PriceIndex)</f>
        <v/>
      </c>
      <c r="X2406" s="47">
        <f>IF(GrossBasis="Wholesale",V2406,W2406)</f>
        <v/>
      </c>
      <c r="Y2406" s="47">
        <f>R2406*INDEX(FmtBlendedCogs,MATCH(F2406,FmtName,0))</f>
        <v/>
      </c>
      <c r="Z2406" s="47">
        <f>X2406-Y2406</f>
        <v/>
      </c>
    </row>
    <row r="2407">
      <c r="A2407" t="n">
        <v>21</v>
      </c>
      <c r="B2407" s="44">
        <f>FiscalStart+(A2407-1)*7</f>
        <v/>
      </c>
      <c r="C2407">
        <f>TEXT(B2407,"mmm yyyy")</f>
        <v/>
      </c>
      <c r="D2407">
        <f>"Q"&amp;(INT((A2407-1)/13)+1)</f>
        <v/>
      </c>
      <c r="E2407" t="inlineStr">
        <is>
          <t>FDM</t>
        </is>
      </c>
      <c r="F2407">
        <f>IFERROR(INDEX(ChFormat,MATCH(E2407,ChName,0)),"")</f>
        <v/>
      </c>
      <c r="G2407" t="inlineStr">
        <is>
          <t>QC</t>
        </is>
      </c>
      <c r="H2407">
        <f>IF(A2407&lt;=NWeeks,1,0)</f>
        <v/>
      </c>
      <c r="I2407">
        <f>INDEX(ChLaunch,MATCH(E2407,ChName,0))</f>
        <v/>
      </c>
      <c r="J2407">
        <f>INDEX(ChWeeksFull,MATCH(E2407,ChName,0))</f>
        <v/>
      </c>
      <c r="K2407">
        <f>INDEX(ChRamp,MATCH(E2407,ChName,0))</f>
        <v/>
      </c>
      <c r="L2407" s="45">
        <f>MIN(1,MAX(0,(A2407-I2407+1)*RampSpeed/J2407))</f>
        <v/>
      </c>
      <c r="M2407" s="45">
        <f>IF(A2407&lt;I2407,0,IF(K2407="S-curve",L2407*L2407*(3-2*L2407),L2407))</f>
        <v/>
      </c>
      <c r="N2407" s="45">
        <f>1+(INDEX(SeasonIdx,A2407)-1)*SeasonAmp</f>
        <v/>
      </c>
      <c r="O2407" s="45">
        <f>IFERROR(INDEX(PSPct,MATCH(E2407&amp;"|"&amp;G2407,PSKey,0)),0)</f>
        <v/>
      </c>
      <c r="P2407" s="46">
        <f>INDEX(ChDoorVel,MATCH(E2407,ChName,0))*CalibScalar*(1+VelocityUplift)</f>
        <v/>
      </c>
      <c r="Q2407" s="46" t="n">
        <v>0</v>
      </c>
      <c r="R2407" s="46">
        <f>P2407*O2407*M2407*N2407*H2407</f>
        <v/>
      </c>
      <c r="S2407" s="46">
        <f>R2407*INDEX(FmtCansPerCase,MATCH(F2407,FmtName,0))</f>
        <v/>
      </c>
      <c r="T2407" s="46">
        <f>S2407/INDEX(FmtCansPerPack,MATCH(F2407,FmtName,0))</f>
        <v/>
      </c>
      <c r="U2407" s="47">
        <f>INDEX(ChBaseCP,MATCH(E2407,ChName,0))*(1+INDEX(ProvMod,MATCH(G2407,ProvCode,0)))*(1+PriceIndex)</f>
        <v/>
      </c>
      <c r="V2407" s="47">
        <f>R2407*U2407*INDEX(FmtBlendedPriceIdx,MATCH(F2407,FmtName,0))</f>
        <v/>
      </c>
      <c r="W2407" s="47">
        <f>T2407*INDEX(ProvSRP,MATCH(G2407,ProvCode,0))*(1+PriceIndex)</f>
        <v/>
      </c>
      <c r="X2407" s="47">
        <f>IF(GrossBasis="Wholesale",V2407,W2407)</f>
        <v/>
      </c>
      <c r="Y2407" s="47">
        <f>R2407*INDEX(FmtBlendedCogs,MATCH(F2407,FmtName,0))</f>
        <v/>
      </c>
      <c r="Z2407" s="47">
        <f>X2407-Y2407</f>
        <v/>
      </c>
    </row>
    <row r="2408">
      <c r="A2408" t="n">
        <v>22</v>
      </c>
      <c r="B2408" s="44">
        <f>FiscalStart+(A2408-1)*7</f>
        <v/>
      </c>
      <c r="C2408">
        <f>TEXT(B2408,"mmm yyyy")</f>
        <v/>
      </c>
      <c r="D2408">
        <f>"Q"&amp;(INT((A2408-1)/13)+1)</f>
        <v/>
      </c>
      <c r="E2408" t="inlineStr">
        <is>
          <t>FDM</t>
        </is>
      </c>
      <c r="F2408">
        <f>IFERROR(INDEX(ChFormat,MATCH(E2408,ChName,0)),"")</f>
        <v/>
      </c>
      <c r="G2408" t="inlineStr">
        <is>
          <t>QC</t>
        </is>
      </c>
      <c r="H2408">
        <f>IF(A2408&lt;=NWeeks,1,0)</f>
        <v/>
      </c>
      <c r="I2408">
        <f>INDEX(ChLaunch,MATCH(E2408,ChName,0))</f>
        <v/>
      </c>
      <c r="J2408">
        <f>INDEX(ChWeeksFull,MATCH(E2408,ChName,0))</f>
        <v/>
      </c>
      <c r="K2408">
        <f>INDEX(ChRamp,MATCH(E2408,ChName,0))</f>
        <v/>
      </c>
      <c r="L2408" s="45">
        <f>MIN(1,MAX(0,(A2408-I2408+1)*RampSpeed/J2408))</f>
        <v/>
      </c>
      <c r="M2408" s="45">
        <f>IF(A2408&lt;I2408,0,IF(K2408="S-curve",L2408*L2408*(3-2*L2408),L2408))</f>
        <v/>
      </c>
      <c r="N2408" s="45">
        <f>1+(INDEX(SeasonIdx,A2408)-1)*SeasonAmp</f>
        <v/>
      </c>
      <c r="O2408" s="45">
        <f>IFERROR(INDEX(PSPct,MATCH(E2408&amp;"|"&amp;G2408,PSKey,0)),0)</f>
        <v/>
      </c>
      <c r="P2408" s="46">
        <f>INDEX(ChDoorVel,MATCH(E2408,ChName,0))*CalibScalar*(1+VelocityUplift)</f>
        <v/>
      </c>
      <c r="Q2408" s="46" t="n">
        <v>0</v>
      </c>
      <c r="R2408" s="46">
        <f>P2408*O2408*M2408*N2408*H2408</f>
        <v/>
      </c>
      <c r="S2408" s="46">
        <f>R2408*INDEX(FmtCansPerCase,MATCH(F2408,FmtName,0))</f>
        <v/>
      </c>
      <c r="T2408" s="46">
        <f>S2408/INDEX(FmtCansPerPack,MATCH(F2408,FmtName,0))</f>
        <v/>
      </c>
      <c r="U2408" s="47">
        <f>INDEX(ChBaseCP,MATCH(E2408,ChName,0))*(1+INDEX(ProvMod,MATCH(G2408,ProvCode,0)))*(1+PriceIndex)</f>
        <v/>
      </c>
      <c r="V2408" s="47">
        <f>R2408*U2408*INDEX(FmtBlendedPriceIdx,MATCH(F2408,FmtName,0))</f>
        <v/>
      </c>
      <c r="W2408" s="47">
        <f>T2408*INDEX(ProvSRP,MATCH(G2408,ProvCode,0))*(1+PriceIndex)</f>
        <v/>
      </c>
      <c r="X2408" s="47">
        <f>IF(GrossBasis="Wholesale",V2408,W2408)</f>
        <v/>
      </c>
      <c r="Y2408" s="47">
        <f>R2408*INDEX(FmtBlendedCogs,MATCH(F2408,FmtName,0))</f>
        <v/>
      </c>
      <c r="Z2408" s="47">
        <f>X2408-Y2408</f>
        <v/>
      </c>
    </row>
    <row r="2409">
      <c r="A2409" t="n">
        <v>23</v>
      </c>
      <c r="B2409" s="44">
        <f>FiscalStart+(A2409-1)*7</f>
        <v/>
      </c>
      <c r="C2409">
        <f>TEXT(B2409,"mmm yyyy")</f>
        <v/>
      </c>
      <c r="D2409">
        <f>"Q"&amp;(INT((A2409-1)/13)+1)</f>
        <v/>
      </c>
      <c r="E2409" t="inlineStr">
        <is>
          <t>FDM</t>
        </is>
      </c>
      <c r="F2409">
        <f>IFERROR(INDEX(ChFormat,MATCH(E2409,ChName,0)),"")</f>
        <v/>
      </c>
      <c r="G2409" t="inlineStr">
        <is>
          <t>QC</t>
        </is>
      </c>
      <c r="H2409">
        <f>IF(A2409&lt;=NWeeks,1,0)</f>
        <v/>
      </c>
      <c r="I2409">
        <f>INDEX(ChLaunch,MATCH(E2409,ChName,0))</f>
        <v/>
      </c>
      <c r="J2409">
        <f>INDEX(ChWeeksFull,MATCH(E2409,ChName,0))</f>
        <v/>
      </c>
      <c r="K2409">
        <f>INDEX(ChRamp,MATCH(E2409,ChName,0))</f>
        <v/>
      </c>
      <c r="L2409" s="45">
        <f>MIN(1,MAX(0,(A2409-I2409+1)*RampSpeed/J2409))</f>
        <v/>
      </c>
      <c r="M2409" s="45">
        <f>IF(A2409&lt;I2409,0,IF(K2409="S-curve",L2409*L2409*(3-2*L2409),L2409))</f>
        <v/>
      </c>
      <c r="N2409" s="45">
        <f>1+(INDEX(SeasonIdx,A2409)-1)*SeasonAmp</f>
        <v/>
      </c>
      <c r="O2409" s="45">
        <f>IFERROR(INDEX(PSPct,MATCH(E2409&amp;"|"&amp;G2409,PSKey,0)),0)</f>
        <v/>
      </c>
      <c r="P2409" s="46">
        <f>INDEX(ChDoorVel,MATCH(E2409,ChName,0))*CalibScalar*(1+VelocityUplift)</f>
        <v/>
      </c>
      <c r="Q2409" s="46" t="n">
        <v>0</v>
      </c>
      <c r="R2409" s="46">
        <f>P2409*O2409*M2409*N2409*H2409</f>
        <v/>
      </c>
      <c r="S2409" s="46">
        <f>R2409*INDEX(FmtCansPerCase,MATCH(F2409,FmtName,0))</f>
        <v/>
      </c>
      <c r="T2409" s="46">
        <f>S2409/INDEX(FmtCansPerPack,MATCH(F2409,FmtName,0))</f>
        <v/>
      </c>
      <c r="U2409" s="47">
        <f>INDEX(ChBaseCP,MATCH(E2409,ChName,0))*(1+INDEX(ProvMod,MATCH(G2409,ProvCode,0)))*(1+PriceIndex)</f>
        <v/>
      </c>
      <c r="V2409" s="47">
        <f>R2409*U2409*INDEX(FmtBlendedPriceIdx,MATCH(F2409,FmtName,0))</f>
        <v/>
      </c>
      <c r="W2409" s="47">
        <f>T2409*INDEX(ProvSRP,MATCH(G2409,ProvCode,0))*(1+PriceIndex)</f>
        <v/>
      </c>
      <c r="X2409" s="47">
        <f>IF(GrossBasis="Wholesale",V2409,W2409)</f>
        <v/>
      </c>
      <c r="Y2409" s="47">
        <f>R2409*INDEX(FmtBlendedCogs,MATCH(F2409,FmtName,0))</f>
        <v/>
      </c>
      <c r="Z2409" s="47">
        <f>X2409-Y2409</f>
        <v/>
      </c>
    </row>
    <row r="2410">
      <c r="A2410" t="n">
        <v>24</v>
      </c>
      <c r="B2410" s="44">
        <f>FiscalStart+(A2410-1)*7</f>
        <v/>
      </c>
      <c r="C2410">
        <f>TEXT(B2410,"mmm yyyy")</f>
        <v/>
      </c>
      <c r="D2410">
        <f>"Q"&amp;(INT((A2410-1)/13)+1)</f>
        <v/>
      </c>
      <c r="E2410" t="inlineStr">
        <is>
          <t>FDM</t>
        </is>
      </c>
      <c r="F2410">
        <f>IFERROR(INDEX(ChFormat,MATCH(E2410,ChName,0)),"")</f>
        <v/>
      </c>
      <c r="G2410" t="inlineStr">
        <is>
          <t>QC</t>
        </is>
      </c>
      <c r="H2410">
        <f>IF(A2410&lt;=NWeeks,1,0)</f>
        <v/>
      </c>
      <c r="I2410">
        <f>INDEX(ChLaunch,MATCH(E2410,ChName,0))</f>
        <v/>
      </c>
      <c r="J2410">
        <f>INDEX(ChWeeksFull,MATCH(E2410,ChName,0))</f>
        <v/>
      </c>
      <c r="K2410">
        <f>INDEX(ChRamp,MATCH(E2410,ChName,0))</f>
        <v/>
      </c>
      <c r="L2410" s="45">
        <f>MIN(1,MAX(0,(A2410-I2410+1)*RampSpeed/J2410))</f>
        <v/>
      </c>
      <c r="M2410" s="45">
        <f>IF(A2410&lt;I2410,0,IF(K2410="S-curve",L2410*L2410*(3-2*L2410),L2410))</f>
        <v/>
      </c>
      <c r="N2410" s="45">
        <f>1+(INDEX(SeasonIdx,A2410)-1)*SeasonAmp</f>
        <v/>
      </c>
      <c r="O2410" s="45">
        <f>IFERROR(INDEX(PSPct,MATCH(E2410&amp;"|"&amp;G2410,PSKey,0)),0)</f>
        <v/>
      </c>
      <c r="P2410" s="46">
        <f>INDEX(ChDoorVel,MATCH(E2410,ChName,0))*CalibScalar*(1+VelocityUplift)</f>
        <v/>
      </c>
      <c r="Q2410" s="46" t="n">
        <v>0</v>
      </c>
      <c r="R2410" s="46">
        <f>P2410*O2410*M2410*N2410*H2410</f>
        <v/>
      </c>
      <c r="S2410" s="46">
        <f>R2410*INDEX(FmtCansPerCase,MATCH(F2410,FmtName,0))</f>
        <v/>
      </c>
      <c r="T2410" s="46">
        <f>S2410/INDEX(FmtCansPerPack,MATCH(F2410,FmtName,0))</f>
        <v/>
      </c>
      <c r="U2410" s="47">
        <f>INDEX(ChBaseCP,MATCH(E2410,ChName,0))*(1+INDEX(ProvMod,MATCH(G2410,ProvCode,0)))*(1+PriceIndex)</f>
        <v/>
      </c>
      <c r="V2410" s="47">
        <f>R2410*U2410*INDEX(FmtBlendedPriceIdx,MATCH(F2410,FmtName,0))</f>
        <v/>
      </c>
      <c r="W2410" s="47">
        <f>T2410*INDEX(ProvSRP,MATCH(G2410,ProvCode,0))*(1+PriceIndex)</f>
        <v/>
      </c>
      <c r="X2410" s="47">
        <f>IF(GrossBasis="Wholesale",V2410,W2410)</f>
        <v/>
      </c>
      <c r="Y2410" s="47">
        <f>R2410*INDEX(FmtBlendedCogs,MATCH(F2410,FmtName,0))</f>
        <v/>
      </c>
      <c r="Z2410" s="47">
        <f>X2410-Y2410</f>
        <v/>
      </c>
    </row>
    <row r="2411">
      <c r="A2411" t="n">
        <v>25</v>
      </c>
      <c r="B2411" s="44">
        <f>FiscalStart+(A2411-1)*7</f>
        <v/>
      </c>
      <c r="C2411">
        <f>TEXT(B2411,"mmm yyyy")</f>
        <v/>
      </c>
      <c r="D2411">
        <f>"Q"&amp;(INT((A2411-1)/13)+1)</f>
        <v/>
      </c>
      <c r="E2411" t="inlineStr">
        <is>
          <t>FDM</t>
        </is>
      </c>
      <c r="F2411">
        <f>IFERROR(INDEX(ChFormat,MATCH(E2411,ChName,0)),"")</f>
        <v/>
      </c>
      <c r="G2411" t="inlineStr">
        <is>
          <t>QC</t>
        </is>
      </c>
      <c r="H2411">
        <f>IF(A2411&lt;=NWeeks,1,0)</f>
        <v/>
      </c>
      <c r="I2411">
        <f>INDEX(ChLaunch,MATCH(E2411,ChName,0))</f>
        <v/>
      </c>
      <c r="J2411">
        <f>INDEX(ChWeeksFull,MATCH(E2411,ChName,0))</f>
        <v/>
      </c>
      <c r="K2411">
        <f>INDEX(ChRamp,MATCH(E2411,ChName,0))</f>
        <v/>
      </c>
      <c r="L2411" s="45">
        <f>MIN(1,MAX(0,(A2411-I2411+1)*RampSpeed/J2411))</f>
        <v/>
      </c>
      <c r="M2411" s="45">
        <f>IF(A2411&lt;I2411,0,IF(K2411="S-curve",L2411*L2411*(3-2*L2411),L2411))</f>
        <v/>
      </c>
      <c r="N2411" s="45">
        <f>1+(INDEX(SeasonIdx,A2411)-1)*SeasonAmp</f>
        <v/>
      </c>
      <c r="O2411" s="45">
        <f>IFERROR(INDEX(PSPct,MATCH(E2411&amp;"|"&amp;G2411,PSKey,0)),0)</f>
        <v/>
      </c>
      <c r="P2411" s="46">
        <f>INDEX(ChDoorVel,MATCH(E2411,ChName,0))*CalibScalar*(1+VelocityUplift)</f>
        <v/>
      </c>
      <c r="Q2411" s="46" t="n">
        <v>0</v>
      </c>
      <c r="R2411" s="46">
        <f>P2411*O2411*M2411*N2411*H2411</f>
        <v/>
      </c>
      <c r="S2411" s="46">
        <f>R2411*INDEX(FmtCansPerCase,MATCH(F2411,FmtName,0))</f>
        <v/>
      </c>
      <c r="T2411" s="46">
        <f>S2411/INDEX(FmtCansPerPack,MATCH(F2411,FmtName,0))</f>
        <v/>
      </c>
      <c r="U2411" s="47">
        <f>INDEX(ChBaseCP,MATCH(E2411,ChName,0))*(1+INDEX(ProvMod,MATCH(G2411,ProvCode,0)))*(1+PriceIndex)</f>
        <v/>
      </c>
      <c r="V2411" s="47">
        <f>R2411*U2411*INDEX(FmtBlendedPriceIdx,MATCH(F2411,FmtName,0))</f>
        <v/>
      </c>
      <c r="W2411" s="47">
        <f>T2411*INDEX(ProvSRP,MATCH(G2411,ProvCode,0))*(1+PriceIndex)</f>
        <v/>
      </c>
      <c r="X2411" s="47">
        <f>IF(GrossBasis="Wholesale",V2411,W2411)</f>
        <v/>
      </c>
      <c r="Y2411" s="47">
        <f>R2411*INDEX(FmtBlendedCogs,MATCH(F2411,FmtName,0))</f>
        <v/>
      </c>
      <c r="Z2411" s="47">
        <f>X2411-Y2411</f>
        <v/>
      </c>
    </row>
    <row r="2412">
      <c r="A2412" t="n">
        <v>26</v>
      </c>
      <c r="B2412" s="44">
        <f>FiscalStart+(A2412-1)*7</f>
        <v/>
      </c>
      <c r="C2412">
        <f>TEXT(B2412,"mmm yyyy")</f>
        <v/>
      </c>
      <c r="D2412">
        <f>"Q"&amp;(INT((A2412-1)/13)+1)</f>
        <v/>
      </c>
      <c r="E2412" t="inlineStr">
        <is>
          <t>FDM</t>
        </is>
      </c>
      <c r="F2412">
        <f>IFERROR(INDEX(ChFormat,MATCH(E2412,ChName,0)),"")</f>
        <v/>
      </c>
      <c r="G2412" t="inlineStr">
        <is>
          <t>QC</t>
        </is>
      </c>
      <c r="H2412">
        <f>IF(A2412&lt;=NWeeks,1,0)</f>
        <v/>
      </c>
      <c r="I2412">
        <f>INDEX(ChLaunch,MATCH(E2412,ChName,0))</f>
        <v/>
      </c>
      <c r="J2412">
        <f>INDEX(ChWeeksFull,MATCH(E2412,ChName,0))</f>
        <v/>
      </c>
      <c r="K2412">
        <f>INDEX(ChRamp,MATCH(E2412,ChName,0))</f>
        <v/>
      </c>
      <c r="L2412" s="45">
        <f>MIN(1,MAX(0,(A2412-I2412+1)*RampSpeed/J2412))</f>
        <v/>
      </c>
      <c r="M2412" s="45">
        <f>IF(A2412&lt;I2412,0,IF(K2412="S-curve",L2412*L2412*(3-2*L2412),L2412))</f>
        <v/>
      </c>
      <c r="N2412" s="45">
        <f>1+(INDEX(SeasonIdx,A2412)-1)*SeasonAmp</f>
        <v/>
      </c>
      <c r="O2412" s="45">
        <f>IFERROR(INDEX(PSPct,MATCH(E2412&amp;"|"&amp;G2412,PSKey,0)),0)</f>
        <v/>
      </c>
      <c r="P2412" s="46">
        <f>INDEX(ChDoorVel,MATCH(E2412,ChName,0))*CalibScalar*(1+VelocityUplift)</f>
        <v/>
      </c>
      <c r="Q2412" s="46" t="n">
        <v>0</v>
      </c>
      <c r="R2412" s="46">
        <f>P2412*O2412*M2412*N2412*H2412</f>
        <v/>
      </c>
      <c r="S2412" s="46">
        <f>R2412*INDEX(FmtCansPerCase,MATCH(F2412,FmtName,0))</f>
        <v/>
      </c>
      <c r="T2412" s="46">
        <f>S2412/INDEX(FmtCansPerPack,MATCH(F2412,FmtName,0))</f>
        <v/>
      </c>
      <c r="U2412" s="47">
        <f>INDEX(ChBaseCP,MATCH(E2412,ChName,0))*(1+INDEX(ProvMod,MATCH(G2412,ProvCode,0)))*(1+PriceIndex)</f>
        <v/>
      </c>
      <c r="V2412" s="47">
        <f>R2412*U2412*INDEX(FmtBlendedPriceIdx,MATCH(F2412,FmtName,0))</f>
        <v/>
      </c>
      <c r="W2412" s="47">
        <f>T2412*INDEX(ProvSRP,MATCH(G2412,ProvCode,0))*(1+PriceIndex)</f>
        <v/>
      </c>
      <c r="X2412" s="47">
        <f>IF(GrossBasis="Wholesale",V2412,W2412)</f>
        <v/>
      </c>
      <c r="Y2412" s="47">
        <f>R2412*INDEX(FmtBlendedCogs,MATCH(F2412,FmtName,0))</f>
        <v/>
      </c>
      <c r="Z2412" s="47">
        <f>X2412-Y2412</f>
        <v/>
      </c>
    </row>
    <row r="2413">
      <c r="A2413" t="n">
        <v>27</v>
      </c>
      <c r="B2413" s="44">
        <f>FiscalStart+(A2413-1)*7</f>
        <v/>
      </c>
      <c r="C2413">
        <f>TEXT(B2413,"mmm yyyy")</f>
        <v/>
      </c>
      <c r="D2413">
        <f>"Q"&amp;(INT((A2413-1)/13)+1)</f>
        <v/>
      </c>
      <c r="E2413" t="inlineStr">
        <is>
          <t>FDM</t>
        </is>
      </c>
      <c r="F2413">
        <f>IFERROR(INDEX(ChFormat,MATCH(E2413,ChName,0)),"")</f>
        <v/>
      </c>
      <c r="G2413" t="inlineStr">
        <is>
          <t>QC</t>
        </is>
      </c>
      <c r="H2413">
        <f>IF(A2413&lt;=NWeeks,1,0)</f>
        <v/>
      </c>
      <c r="I2413">
        <f>INDEX(ChLaunch,MATCH(E2413,ChName,0))</f>
        <v/>
      </c>
      <c r="J2413">
        <f>INDEX(ChWeeksFull,MATCH(E2413,ChName,0))</f>
        <v/>
      </c>
      <c r="K2413">
        <f>INDEX(ChRamp,MATCH(E2413,ChName,0))</f>
        <v/>
      </c>
      <c r="L2413" s="45">
        <f>MIN(1,MAX(0,(A2413-I2413+1)*RampSpeed/J2413))</f>
        <v/>
      </c>
      <c r="M2413" s="45">
        <f>IF(A2413&lt;I2413,0,IF(K2413="S-curve",L2413*L2413*(3-2*L2413),L2413))</f>
        <v/>
      </c>
      <c r="N2413" s="45">
        <f>1+(INDEX(SeasonIdx,A2413)-1)*SeasonAmp</f>
        <v/>
      </c>
      <c r="O2413" s="45">
        <f>IFERROR(INDEX(PSPct,MATCH(E2413&amp;"|"&amp;G2413,PSKey,0)),0)</f>
        <v/>
      </c>
      <c r="P2413" s="46">
        <f>INDEX(ChDoorVel,MATCH(E2413,ChName,0))*CalibScalar*(1+VelocityUplift)</f>
        <v/>
      </c>
      <c r="Q2413" s="46" t="n">
        <v>0</v>
      </c>
      <c r="R2413" s="46">
        <f>P2413*O2413*M2413*N2413*H2413</f>
        <v/>
      </c>
      <c r="S2413" s="46">
        <f>R2413*INDEX(FmtCansPerCase,MATCH(F2413,FmtName,0))</f>
        <v/>
      </c>
      <c r="T2413" s="46">
        <f>S2413/INDEX(FmtCansPerPack,MATCH(F2413,FmtName,0))</f>
        <v/>
      </c>
      <c r="U2413" s="47">
        <f>INDEX(ChBaseCP,MATCH(E2413,ChName,0))*(1+INDEX(ProvMod,MATCH(G2413,ProvCode,0)))*(1+PriceIndex)</f>
        <v/>
      </c>
      <c r="V2413" s="47">
        <f>R2413*U2413*INDEX(FmtBlendedPriceIdx,MATCH(F2413,FmtName,0))</f>
        <v/>
      </c>
      <c r="W2413" s="47">
        <f>T2413*INDEX(ProvSRP,MATCH(G2413,ProvCode,0))*(1+PriceIndex)</f>
        <v/>
      </c>
      <c r="X2413" s="47">
        <f>IF(GrossBasis="Wholesale",V2413,W2413)</f>
        <v/>
      </c>
      <c r="Y2413" s="47">
        <f>R2413*INDEX(FmtBlendedCogs,MATCH(F2413,FmtName,0))</f>
        <v/>
      </c>
      <c r="Z2413" s="47">
        <f>X2413-Y2413</f>
        <v/>
      </c>
    </row>
    <row r="2414">
      <c r="A2414" t="n">
        <v>28</v>
      </c>
      <c r="B2414" s="44">
        <f>FiscalStart+(A2414-1)*7</f>
        <v/>
      </c>
      <c r="C2414">
        <f>TEXT(B2414,"mmm yyyy")</f>
        <v/>
      </c>
      <c r="D2414">
        <f>"Q"&amp;(INT((A2414-1)/13)+1)</f>
        <v/>
      </c>
      <c r="E2414" t="inlineStr">
        <is>
          <t>FDM</t>
        </is>
      </c>
      <c r="F2414">
        <f>IFERROR(INDEX(ChFormat,MATCH(E2414,ChName,0)),"")</f>
        <v/>
      </c>
      <c r="G2414" t="inlineStr">
        <is>
          <t>QC</t>
        </is>
      </c>
      <c r="H2414">
        <f>IF(A2414&lt;=NWeeks,1,0)</f>
        <v/>
      </c>
      <c r="I2414">
        <f>INDEX(ChLaunch,MATCH(E2414,ChName,0))</f>
        <v/>
      </c>
      <c r="J2414">
        <f>INDEX(ChWeeksFull,MATCH(E2414,ChName,0))</f>
        <v/>
      </c>
      <c r="K2414">
        <f>INDEX(ChRamp,MATCH(E2414,ChName,0))</f>
        <v/>
      </c>
      <c r="L2414" s="45">
        <f>MIN(1,MAX(0,(A2414-I2414+1)*RampSpeed/J2414))</f>
        <v/>
      </c>
      <c r="M2414" s="45">
        <f>IF(A2414&lt;I2414,0,IF(K2414="S-curve",L2414*L2414*(3-2*L2414),L2414))</f>
        <v/>
      </c>
      <c r="N2414" s="45">
        <f>1+(INDEX(SeasonIdx,A2414)-1)*SeasonAmp</f>
        <v/>
      </c>
      <c r="O2414" s="45">
        <f>IFERROR(INDEX(PSPct,MATCH(E2414&amp;"|"&amp;G2414,PSKey,0)),0)</f>
        <v/>
      </c>
      <c r="P2414" s="46">
        <f>INDEX(ChDoorVel,MATCH(E2414,ChName,0))*CalibScalar*(1+VelocityUplift)</f>
        <v/>
      </c>
      <c r="Q2414" s="46" t="n">
        <v>0</v>
      </c>
      <c r="R2414" s="46">
        <f>P2414*O2414*M2414*N2414*H2414</f>
        <v/>
      </c>
      <c r="S2414" s="46">
        <f>R2414*INDEX(FmtCansPerCase,MATCH(F2414,FmtName,0))</f>
        <v/>
      </c>
      <c r="T2414" s="46">
        <f>S2414/INDEX(FmtCansPerPack,MATCH(F2414,FmtName,0))</f>
        <v/>
      </c>
      <c r="U2414" s="47">
        <f>INDEX(ChBaseCP,MATCH(E2414,ChName,0))*(1+INDEX(ProvMod,MATCH(G2414,ProvCode,0)))*(1+PriceIndex)</f>
        <v/>
      </c>
      <c r="V2414" s="47">
        <f>R2414*U2414*INDEX(FmtBlendedPriceIdx,MATCH(F2414,FmtName,0))</f>
        <v/>
      </c>
      <c r="W2414" s="47">
        <f>T2414*INDEX(ProvSRP,MATCH(G2414,ProvCode,0))*(1+PriceIndex)</f>
        <v/>
      </c>
      <c r="X2414" s="47">
        <f>IF(GrossBasis="Wholesale",V2414,W2414)</f>
        <v/>
      </c>
      <c r="Y2414" s="47">
        <f>R2414*INDEX(FmtBlendedCogs,MATCH(F2414,FmtName,0))</f>
        <v/>
      </c>
      <c r="Z2414" s="47">
        <f>X2414-Y2414</f>
        <v/>
      </c>
    </row>
    <row r="2415">
      <c r="A2415" t="n">
        <v>29</v>
      </c>
      <c r="B2415" s="44">
        <f>FiscalStart+(A2415-1)*7</f>
        <v/>
      </c>
      <c r="C2415">
        <f>TEXT(B2415,"mmm yyyy")</f>
        <v/>
      </c>
      <c r="D2415">
        <f>"Q"&amp;(INT((A2415-1)/13)+1)</f>
        <v/>
      </c>
      <c r="E2415" t="inlineStr">
        <is>
          <t>FDM</t>
        </is>
      </c>
      <c r="F2415">
        <f>IFERROR(INDEX(ChFormat,MATCH(E2415,ChName,0)),"")</f>
        <v/>
      </c>
      <c r="G2415" t="inlineStr">
        <is>
          <t>QC</t>
        </is>
      </c>
      <c r="H2415">
        <f>IF(A2415&lt;=NWeeks,1,0)</f>
        <v/>
      </c>
      <c r="I2415">
        <f>INDEX(ChLaunch,MATCH(E2415,ChName,0))</f>
        <v/>
      </c>
      <c r="J2415">
        <f>INDEX(ChWeeksFull,MATCH(E2415,ChName,0))</f>
        <v/>
      </c>
      <c r="K2415">
        <f>INDEX(ChRamp,MATCH(E2415,ChName,0))</f>
        <v/>
      </c>
      <c r="L2415" s="45">
        <f>MIN(1,MAX(0,(A2415-I2415+1)*RampSpeed/J2415))</f>
        <v/>
      </c>
      <c r="M2415" s="45">
        <f>IF(A2415&lt;I2415,0,IF(K2415="S-curve",L2415*L2415*(3-2*L2415),L2415))</f>
        <v/>
      </c>
      <c r="N2415" s="45">
        <f>1+(INDEX(SeasonIdx,A2415)-1)*SeasonAmp</f>
        <v/>
      </c>
      <c r="O2415" s="45">
        <f>IFERROR(INDEX(PSPct,MATCH(E2415&amp;"|"&amp;G2415,PSKey,0)),0)</f>
        <v/>
      </c>
      <c r="P2415" s="46">
        <f>INDEX(ChDoorVel,MATCH(E2415,ChName,0))*CalibScalar*(1+VelocityUplift)</f>
        <v/>
      </c>
      <c r="Q2415" s="46" t="n">
        <v>0</v>
      </c>
      <c r="R2415" s="46">
        <f>P2415*O2415*M2415*N2415*H2415</f>
        <v/>
      </c>
      <c r="S2415" s="46">
        <f>R2415*INDEX(FmtCansPerCase,MATCH(F2415,FmtName,0))</f>
        <v/>
      </c>
      <c r="T2415" s="46">
        <f>S2415/INDEX(FmtCansPerPack,MATCH(F2415,FmtName,0))</f>
        <v/>
      </c>
      <c r="U2415" s="47">
        <f>INDEX(ChBaseCP,MATCH(E2415,ChName,0))*(1+INDEX(ProvMod,MATCH(G2415,ProvCode,0)))*(1+PriceIndex)</f>
        <v/>
      </c>
      <c r="V2415" s="47">
        <f>R2415*U2415*INDEX(FmtBlendedPriceIdx,MATCH(F2415,FmtName,0))</f>
        <v/>
      </c>
      <c r="W2415" s="47">
        <f>T2415*INDEX(ProvSRP,MATCH(G2415,ProvCode,0))*(1+PriceIndex)</f>
        <v/>
      </c>
      <c r="X2415" s="47">
        <f>IF(GrossBasis="Wholesale",V2415,W2415)</f>
        <v/>
      </c>
      <c r="Y2415" s="47">
        <f>R2415*INDEX(FmtBlendedCogs,MATCH(F2415,FmtName,0))</f>
        <v/>
      </c>
      <c r="Z2415" s="47">
        <f>X2415-Y2415</f>
        <v/>
      </c>
    </row>
    <row r="2416">
      <c r="A2416" t="n">
        <v>30</v>
      </c>
      <c r="B2416" s="44">
        <f>FiscalStart+(A2416-1)*7</f>
        <v/>
      </c>
      <c r="C2416">
        <f>TEXT(B2416,"mmm yyyy")</f>
        <v/>
      </c>
      <c r="D2416">
        <f>"Q"&amp;(INT((A2416-1)/13)+1)</f>
        <v/>
      </c>
      <c r="E2416" t="inlineStr">
        <is>
          <t>FDM</t>
        </is>
      </c>
      <c r="F2416">
        <f>IFERROR(INDEX(ChFormat,MATCH(E2416,ChName,0)),"")</f>
        <v/>
      </c>
      <c r="G2416" t="inlineStr">
        <is>
          <t>QC</t>
        </is>
      </c>
      <c r="H2416">
        <f>IF(A2416&lt;=NWeeks,1,0)</f>
        <v/>
      </c>
      <c r="I2416">
        <f>INDEX(ChLaunch,MATCH(E2416,ChName,0))</f>
        <v/>
      </c>
      <c r="J2416">
        <f>INDEX(ChWeeksFull,MATCH(E2416,ChName,0))</f>
        <v/>
      </c>
      <c r="K2416">
        <f>INDEX(ChRamp,MATCH(E2416,ChName,0))</f>
        <v/>
      </c>
      <c r="L2416" s="45">
        <f>MIN(1,MAX(0,(A2416-I2416+1)*RampSpeed/J2416))</f>
        <v/>
      </c>
      <c r="M2416" s="45">
        <f>IF(A2416&lt;I2416,0,IF(K2416="S-curve",L2416*L2416*(3-2*L2416),L2416))</f>
        <v/>
      </c>
      <c r="N2416" s="45">
        <f>1+(INDEX(SeasonIdx,A2416)-1)*SeasonAmp</f>
        <v/>
      </c>
      <c r="O2416" s="45">
        <f>IFERROR(INDEX(PSPct,MATCH(E2416&amp;"|"&amp;G2416,PSKey,0)),0)</f>
        <v/>
      </c>
      <c r="P2416" s="46">
        <f>INDEX(ChDoorVel,MATCH(E2416,ChName,0))*CalibScalar*(1+VelocityUplift)</f>
        <v/>
      </c>
      <c r="Q2416" s="46" t="n">
        <v>0</v>
      </c>
      <c r="R2416" s="46">
        <f>P2416*O2416*M2416*N2416*H2416</f>
        <v/>
      </c>
      <c r="S2416" s="46">
        <f>R2416*INDEX(FmtCansPerCase,MATCH(F2416,FmtName,0))</f>
        <v/>
      </c>
      <c r="T2416" s="46">
        <f>S2416/INDEX(FmtCansPerPack,MATCH(F2416,FmtName,0))</f>
        <v/>
      </c>
      <c r="U2416" s="47">
        <f>INDEX(ChBaseCP,MATCH(E2416,ChName,0))*(1+INDEX(ProvMod,MATCH(G2416,ProvCode,0)))*(1+PriceIndex)</f>
        <v/>
      </c>
      <c r="V2416" s="47">
        <f>R2416*U2416*INDEX(FmtBlendedPriceIdx,MATCH(F2416,FmtName,0))</f>
        <v/>
      </c>
      <c r="W2416" s="47">
        <f>T2416*INDEX(ProvSRP,MATCH(G2416,ProvCode,0))*(1+PriceIndex)</f>
        <v/>
      </c>
      <c r="X2416" s="47">
        <f>IF(GrossBasis="Wholesale",V2416,W2416)</f>
        <v/>
      </c>
      <c r="Y2416" s="47">
        <f>R2416*INDEX(FmtBlendedCogs,MATCH(F2416,FmtName,0))</f>
        <v/>
      </c>
      <c r="Z2416" s="47">
        <f>X2416-Y2416</f>
        <v/>
      </c>
    </row>
    <row r="2417">
      <c r="A2417" t="n">
        <v>31</v>
      </c>
      <c r="B2417" s="44">
        <f>FiscalStart+(A2417-1)*7</f>
        <v/>
      </c>
      <c r="C2417">
        <f>TEXT(B2417,"mmm yyyy")</f>
        <v/>
      </c>
      <c r="D2417">
        <f>"Q"&amp;(INT((A2417-1)/13)+1)</f>
        <v/>
      </c>
      <c r="E2417" t="inlineStr">
        <is>
          <t>FDM</t>
        </is>
      </c>
      <c r="F2417">
        <f>IFERROR(INDEX(ChFormat,MATCH(E2417,ChName,0)),"")</f>
        <v/>
      </c>
      <c r="G2417" t="inlineStr">
        <is>
          <t>QC</t>
        </is>
      </c>
      <c r="H2417">
        <f>IF(A2417&lt;=NWeeks,1,0)</f>
        <v/>
      </c>
      <c r="I2417">
        <f>INDEX(ChLaunch,MATCH(E2417,ChName,0))</f>
        <v/>
      </c>
      <c r="J2417">
        <f>INDEX(ChWeeksFull,MATCH(E2417,ChName,0))</f>
        <v/>
      </c>
      <c r="K2417">
        <f>INDEX(ChRamp,MATCH(E2417,ChName,0))</f>
        <v/>
      </c>
      <c r="L2417" s="45">
        <f>MIN(1,MAX(0,(A2417-I2417+1)*RampSpeed/J2417))</f>
        <v/>
      </c>
      <c r="M2417" s="45">
        <f>IF(A2417&lt;I2417,0,IF(K2417="S-curve",L2417*L2417*(3-2*L2417),L2417))</f>
        <v/>
      </c>
      <c r="N2417" s="45">
        <f>1+(INDEX(SeasonIdx,A2417)-1)*SeasonAmp</f>
        <v/>
      </c>
      <c r="O2417" s="45">
        <f>IFERROR(INDEX(PSPct,MATCH(E2417&amp;"|"&amp;G2417,PSKey,0)),0)</f>
        <v/>
      </c>
      <c r="P2417" s="46">
        <f>INDEX(ChDoorVel,MATCH(E2417,ChName,0))*CalibScalar*(1+VelocityUplift)</f>
        <v/>
      </c>
      <c r="Q2417" s="46" t="n">
        <v>0</v>
      </c>
      <c r="R2417" s="46">
        <f>P2417*O2417*M2417*N2417*H2417</f>
        <v/>
      </c>
      <c r="S2417" s="46">
        <f>R2417*INDEX(FmtCansPerCase,MATCH(F2417,FmtName,0))</f>
        <v/>
      </c>
      <c r="T2417" s="46">
        <f>S2417/INDEX(FmtCansPerPack,MATCH(F2417,FmtName,0))</f>
        <v/>
      </c>
      <c r="U2417" s="47">
        <f>INDEX(ChBaseCP,MATCH(E2417,ChName,0))*(1+INDEX(ProvMod,MATCH(G2417,ProvCode,0)))*(1+PriceIndex)</f>
        <v/>
      </c>
      <c r="V2417" s="47">
        <f>R2417*U2417*INDEX(FmtBlendedPriceIdx,MATCH(F2417,FmtName,0))</f>
        <v/>
      </c>
      <c r="W2417" s="47">
        <f>T2417*INDEX(ProvSRP,MATCH(G2417,ProvCode,0))*(1+PriceIndex)</f>
        <v/>
      </c>
      <c r="X2417" s="47">
        <f>IF(GrossBasis="Wholesale",V2417,W2417)</f>
        <v/>
      </c>
      <c r="Y2417" s="47">
        <f>R2417*INDEX(FmtBlendedCogs,MATCH(F2417,FmtName,0))</f>
        <v/>
      </c>
      <c r="Z2417" s="47">
        <f>X2417-Y2417</f>
        <v/>
      </c>
    </row>
    <row r="2418">
      <c r="A2418" t="n">
        <v>32</v>
      </c>
      <c r="B2418" s="44">
        <f>FiscalStart+(A2418-1)*7</f>
        <v/>
      </c>
      <c r="C2418">
        <f>TEXT(B2418,"mmm yyyy")</f>
        <v/>
      </c>
      <c r="D2418">
        <f>"Q"&amp;(INT((A2418-1)/13)+1)</f>
        <v/>
      </c>
      <c r="E2418" t="inlineStr">
        <is>
          <t>FDM</t>
        </is>
      </c>
      <c r="F2418">
        <f>IFERROR(INDEX(ChFormat,MATCH(E2418,ChName,0)),"")</f>
        <v/>
      </c>
      <c r="G2418" t="inlineStr">
        <is>
          <t>QC</t>
        </is>
      </c>
      <c r="H2418">
        <f>IF(A2418&lt;=NWeeks,1,0)</f>
        <v/>
      </c>
      <c r="I2418">
        <f>INDEX(ChLaunch,MATCH(E2418,ChName,0))</f>
        <v/>
      </c>
      <c r="J2418">
        <f>INDEX(ChWeeksFull,MATCH(E2418,ChName,0))</f>
        <v/>
      </c>
      <c r="K2418">
        <f>INDEX(ChRamp,MATCH(E2418,ChName,0))</f>
        <v/>
      </c>
      <c r="L2418" s="45">
        <f>MIN(1,MAX(0,(A2418-I2418+1)*RampSpeed/J2418))</f>
        <v/>
      </c>
      <c r="M2418" s="45">
        <f>IF(A2418&lt;I2418,0,IF(K2418="S-curve",L2418*L2418*(3-2*L2418),L2418))</f>
        <v/>
      </c>
      <c r="N2418" s="45">
        <f>1+(INDEX(SeasonIdx,A2418)-1)*SeasonAmp</f>
        <v/>
      </c>
      <c r="O2418" s="45">
        <f>IFERROR(INDEX(PSPct,MATCH(E2418&amp;"|"&amp;G2418,PSKey,0)),0)</f>
        <v/>
      </c>
      <c r="P2418" s="46">
        <f>INDEX(ChDoorVel,MATCH(E2418,ChName,0))*CalibScalar*(1+VelocityUplift)</f>
        <v/>
      </c>
      <c r="Q2418" s="46" t="n">
        <v>0</v>
      </c>
      <c r="R2418" s="46">
        <f>P2418*O2418*M2418*N2418*H2418</f>
        <v/>
      </c>
      <c r="S2418" s="46">
        <f>R2418*INDEX(FmtCansPerCase,MATCH(F2418,FmtName,0))</f>
        <v/>
      </c>
      <c r="T2418" s="46">
        <f>S2418/INDEX(FmtCansPerPack,MATCH(F2418,FmtName,0))</f>
        <v/>
      </c>
      <c r="U2418" s="47">
        <f>INDEX(ChBaseCP,MATCH(E2418,ChName,0))*(1+INDEX(ProvMod,MATCH(G2418,ProvCode,0)))*(1+PriceIndex)</f>
        <v/>
      </c>
      <c r="V2418" s="47">
        <f>R2418*U2418*INDEX(FmtBlendedPriceIdx,MATCH(F2418,FmtName,0))</f>
        <v/>
      </c>
      <c r="W2418" s="47">
        <f>T2418*INDEX(ProvSRP,MATCH(G2418,ProvCode,0))*(1+PriceIndex)</f>
        <v/>
      </c>
      <c r="X2418" s="47">
        <f>IF(GrossBasis="Wholesale",V2418,W2418)</f>
        <v/>
      </c>
      <c r="Y2418" s="47">
        <f>R2418*INDEX(FmtBlendedCogs,MATCH(F2418,FmtName,0))</f>
        <v/>
      </c>
      <c r="Z2418" s="47">
        <f>X2418-Y2418</f>
        <v/>
      </c>
    </row>
    <row r="2419">
      <c r="A2419" t="n">
        <v>33</v>
      </c>
      <c r="B2419" s="44">
        <f>FiscalStart+(A2419-1)*7</f>
        <v/>
      </c>
      <c r="C2419">
        <f>TEXT(B2419,"mmm yyyy")</f>
        <v/>
      </c>
      <c r="D2419">
        <f>"Q"&amp;(INT((A2419-1)/13)+1)</f>
        <v/>
      </c>
      <c r="E2419" t="inlineStr">
        <is>
          <t>FDM</t>
        </is>
      </c>
      <c r="F2419">
        <f>IFERROR(INDEX(ChFormat,MATCH(E2419,ChName,0)),"")</f>
        <v/>
      </c>
      <c r="G2419" t="inlineStr">
        <is>
          <t>QC</t>
        </is>
      </c>
      <c r="H2419">
        <f>IF(A2419&lt;=NWeeks,1,0)</f>
        <v/>
      </c>
      <c r="I2419">
        <f>INDEX(ChLaunch,MATCH(E2419,ChName,0))</f>
        <v/>
      </c>
      <c r="J2419">
        <f>INDEX(ChWeeksFull,MATCH(E2419,ChName,0))</f>
        <v/>
      </c>
      <c r="K2419">
        <f>INDEX(ChRamp,MATCH(E2419,ChName,0))</f>
        <v/>
      </c>
      <c r="L2419" s="45">
        <f>MIN(1,MAX(0,(A2419-I2419+1)*RampSpeed/J2419))</f>
        <v/>
      </c>
      <c r="M2419" s="45">
        <f>IF(A2419&lt;I2419,0,IF(K2419="S-curve",L2419*L2419*(3-2*L2419),L2419))</f>
        <v/>
      </c>
      <c r="N2419" s="45">
        <f>1+(INDEX(SeasonIdx,A2419)-1)*SeasonAmp</f>
        <v/>
      </c>
      <c r="O2419" s="45">
        <f>IFERROR(INDEX(PSPct,MATCH(E2419&amp;"|"&amp;G2419,PSKey,0)),0)</f>
        <v/>
      </c>
      <c r="P2419" s="46">
        <f>INDEX(ChDoorVel,MATCH(E2419,ChName,0))*CalibScalar*(1+VelocityUplift)</f>
        <v/>
      </c>
      <c r="Q2419" s="46" t="n">
        <v>0</v>
      </c>
      <c r="R2419" s="46">
        <f>P2419*O2419*M2419*N2419*H2419</f>
        <v/>
      </c>
      <c r="S2419" s="46">
        <f>R2419*INDEX(FmtCansPerCase,MATCH(F2419,FmtName,0))</f>
        <v/>
      </c>
      <c r="T2419" s="46">
        <f>S2419/INDEX(FmtCansPerPack,MATCH(F2419,FmtName,0))</f>
        <v/>
      </c>
      <c r="U2419" s="47">
        <f>INDEX(ChBaseCP,MATCH(E2419,ChName,0))*(1+INDEX(ProvMod,MATCH(G2419,ProvCode,0)))*(1+PriceIndex)</f>
        <v/>
      </c>
      <c r="V2419" s="47">
        <f>R2419*U2419*INDEX(FmtBlendedPriceIdx,MATCH(F2419,FmtName,0))</f>
        <v/>
      </c>
      <c r="W2419" s="47">
        <f>T2419*INDEX(ProvSRP,MATCH(G2419,ProvCode,0))*(1+PriceIndex)</f>
        <v/>
      </c>
      <c r="X2419" s="47">
        <f>IF(GrossBasis="Wholesale",V2419,W2419)</f>
        <v/>
      </c>
      <c r="Y2419" s="47">
        <f>R2419*INDEX(FmtBlendedCogs,MATCH(F2419,FmtName,0))</f>
        <v/>
      </c>
      <c r="Z2419" s="47">
        <f>X2419-Y2419</f>
        <v/>
      </c>
    </row>
    <row r="2420">
      <c r="A2420" t="n">
        <v>34</v>
      </c>
      <c r="B2420" s="44">
        <f>FiscalStart+(A2420-1)*7</f>
        <v/>
      </c>
      <c r="C2420">
        <f>TEXT(B2420,"mmm yyyy")</f>
        <v/>
      </c>
      <c r="D2420">
        <f>"Q"&amp;(INT((A2420-1)/13)+1)</f>
        <v/>
      </c>
      <c r="E2420" t="inlineStr">
        <is>
          <t>FDM</t>
        </is>
      </c>
      <c r="F2420">
        <f>IFERROR(INDEX(ChFormat,MATCH(E2420,ChName,0)),"")</f>
        <v/>
      </c>
      <c r="G2420" t="inlineStr">
        <is>
          <t>QC</t>
        </is>
      </c>
      <c r="H2420">
        <f>IF(A2420&lt;=NWeeks,1,0)</f>
        <v/>
      </c>
      <c r="I2420">
        <f>INDEX(ChLaunch,MATCH(E2420,ChName,0))</f>
        <v/>
      </c>
      <c r="J2420">
        <f>INDEX(ChWeeksFull,MATCH(E2420,ChName,0))</f>
        <v/>
      </c>
      <c r="K2420">
        <f>INDEX(ChRamp,MATCH(E2420,ChName,0))</f>
        <v/>
      </c>
      <c r="L2420" s="45">
        <f>MIN(1,MAX(0,(A2420-I2420+1)*RampSpeed/J2420))</f>
        <v/>
      </c>
      <c r="M2420" s="45">
        <f>IF(A2420&lt;I2420,0,IF(K2420="S-curve",L2420*L2420*(3-2*L2420),L2420))</f>
        <v/>
      </c>
      <c r="N2420" s="45">
        <f>1+(INDEX(SeasonIdx,A2420)-1)*SeasonAmp</f>
        <v/>
      </c>
      <c r="O2420" s="45">
        <f>IFERROR(INDEX(PSPct,MATCH(E2420&amp;"|"&amp;G2420,PSKey,0)),0)</f>
        <v/>
      </c>
      <c r="P2420" s="46">
        <f>INDEX(ChDoorVel,MATCH(E2420,ChName,0))*CalibScalar*(1+VelocityUplift)</f>
        <v/>
      </c>
      <c r="Q2420" s="46" t="n">
        <v>0</v>
      </c>
      <c r="R2420" s="46">
        <f>P2420*O2420*M2420*N2420*H2420</f>
        <v/>
      </c>
      <c r="S2420" s="46">
        <f>R2420*INDEX(FmtCansPerCase,MATCH(F2420,FmtName,0))</f>
        <v/>
      </c>
      <c r="T2420" s="46">
        <f>S2420/INDEX(FmtCansPerPack,MATCH(F2420,FmtName,0))</f>
        <v/>
      </c>
      <c r="U2420" s="47">
        <f>INDEX(ChBaseCP,MATCH(E2420,ChName,0))*(1+INDEX(ProvMod,MATCH(G2420,ProvCode,0)))*(1+PriceIndex)</f>
        <v/>
      </c>
      <c r="V2420" s="47">
        <f>R2420*U2420*INDEX(FmtBlendedPriceIdx,MATCH(F2420,FmtName,0))</f>
        <v/>
      </c>
      <c r="W2420" s="47">
        <f>T2420*INDEX(ProvSRP,MATCH(G2420,ProvCode,0))*(1+PriceIndex)</f>
        <v/>
      </c>
      <c r="X2420" s="47">
        <f>IF(GrossBasis="Wholesale",V2420,W2420)</f>
        <v/>
      </c>
      <c r="Y2420" s="47">
        <f>R2420*INDEX(FmtBlendedCogs,MATCH(F2420,FmtName,0))</f>
        <v/>
      </c>
      <c r="Z2420" s="47">
        <f>X2420-Y2420</f>
        <v/>
      </c>
    </row>
    <row r="2421">
      <c r="A2421" t="n">
        <v>35</v>
      </c>
      <c r="B2421" s="44">
        <f>FiscalStart+(A2421-1)*7</f>
        <v/>
      </c>
      <c r="C2421">
        <f>TEXT(B2421,"mmm yyyy")</f>
        <v/>
      </c>
      <c r="D2421">
        <f>"Q"&amp;(INT((A2421-1)/13)+1)</f>
        <v/>
      </c>
      <c r="E2421" t="inlineStr">
        <is>
          <t>FDM</t>
        </is>
      </c>
      <c r="F2421">
        <f>IFERROR(INDEX(ChFormat,MATCH(E2421,ChName,0)),"")</f>
        <v/>
      </c>
      <c r="G2421" t="inlineStr">
        <is>
          <t>QC</t>
        </is>
      </c>
      <c r="H2421">
        <f>IF(A2421&lt;=NWeeks,1,0)</f>
        <v/>
      </c>
      <c r="I2421">
        <f>INDEX(ChLaunch,MATCH(E2421,ChName,0))</f>
        <v/>
      </c>
      <c r="J2421">
        <f>INDEX(ChWeeksFull,MATCH(E2421,ChName,0))</f>
        <v/>
      </c>
      <c r="K2421">
        <f>INDEX(ChRamp,MATCH(E2421,ChName,0))</f>
        <v/>
      </c>
      <c r="L2421" s="45">
        <f>MIN(1,MAX(0,(A2421-I2421+1)*RampSpeed/J2421))</f>
        <v/>
      </c>
      <c r="M2421" s="45">
        <f>IF(A2421&lt;I2421,0,IF(K2421="S-curve",L2421*L2421*(3-2*L2421),L2421))</f>
        <v/>
      </c>
      <c r="N2421" s="45">
        <f>1+(INDEX(SeasonIdx,A2421)-1)*SeasonAmp</f>
        <v/>
      </c>
      <c r="O2421" s="45">
        <f>IFERROR(INDEX(PSPct,MATCH(E2421&amp;"|"&amp;G2421,PSKey,0)),0)</f>
        <v/>
      </c>
      <c r="P2421" s="46">
        <f>INDEX(ChDoorVel,MATCH(E2421,ChName,0))*CalibScalar*(1+VelocityUplift)</f>
        <v/>
      </c>
      <c r="Q2421" s="46" t="n">
        <v>0</v>
      </c>
      <c r="R2421" s="46">
        <f>P2421*O2421*M2421*N2421*H2421</f>
        <v/>
      </c>
      <c r="S2421" s="46">
        <f>R2421*INDEX(FmtCansPerCase,MATCH(F2421,FmtName,0))</f>
        <v/>
      </c>
      <c r="T2421" s="46">
        <f>S2421/INDEX(FmtCansPerPack,MATCH(F2421,FmtName,0))</f>
        <v/>
      </c>
      <c r="U2421" s="47">
        <f>INDEX(ChBaseCP,MATCH(E2421,ChName,0))*(1+INDEX(ProvMod,MATCH(G2421,ProvCode,0)))*(1+PriceIndex)</f>
        <v/>
      </c>
      <c r="V2421" s="47">
        <f>R2421*U2421*INDEX(FmtBlendedPriceIdx,MATCH(F2421,FmtName,0))</f>
        <v/>
      </c>
      <c r="W2421" s="47">
        <f>T2421*INDEX(ProvSRP,MATCH(G2421,ProvCode,0))*(1+PriceIndex)</f>
        <v/>
      </c>
      <c r="X2421" s="47">
        <f>IF(GrossBasis="Wholesale",V2421,W2421)</f>
        <v/>
      </c>
      <c r="Y2421" s="47">
        <f>R2421*INDEX(FmtBlendedCogs,MATCH(F2421,FmtName,0))</f>
        <v/>
      </c>
      <c r="Z2421" s="47">
        <f>X2421-Y2421</f>
        <v/>
      </c>
    </row>
    <row r="2422">
      <c r="A2422" t="n">
        <v>36</v>
      </c>
      <c r="B2422" s="44">
        <f>FiscalStart+(A2422-1)*7</f>
        <v/>
      </c>
      <c r="C2422">
        <f>TEXT(B2422,"mmm yyyy")</f>
        <v/>
      </c>
      <c r="D2422">
        <f>"Q"&amp;(INT((A2422-1)/13)+1)</f>
        <v/>
      </c>
      <c r="E2422" t="inlineStr">
        <is>
          <t>FDM</t>
        </is>
      </c>
      <c r="F2422">
        <f>IFERROR(INDEX(ChFormat,MATCH(E2422,ChName,0)),"")</f>
        <v/>
      </c>
      <c r="G2422" t="inlineStr">
        <is>
          <t>QC</t>
        </is>
      </c>
      <c r="H2422">
        <f>IF(A2422&lt;=NWeeks,1,0)</f>
        <v/>
      </c>
      <c r="I2422">
        <f>INDEX(ChLaunch,MATCH(E2422,ChName,0))</f>
        <v/>
      </c>
      <c r="J2422">
        <f>INDEX(ChWeeksFull,MATCH(E2422,ChName,0))</f>
        <v/>
      </c>
      <c r="K2422">
        <f>INDEX(ChRamp,MATCH(E2422,ChName,0))</f>
        <v/>
      </c>
      <c r="L2422" s="45">
        <f>MIN(1,MAX(0,(A2422-I2422+1)*RampSpeed/J2422))</f>
        <v/>
      </c>
      <c r="M2422" s="45">
        <f>IF(A2422&lt;I2422,0,IF(K2422="S-curve",L2422*L2422*(3-2*L2422),L2422))</f>
        <v/>
      </c>
      <c r="N2422" s="45">
        <f>1+(INDEX(SeasonIdx,A2422)-1)*SeasonAmp</f>
        <v/>
      </c>
      <c r="O2422" s="45">
        <f>IFERROR(INDEX(PSPct,MATCH(E2422&amp;"|"&amp;G2422,PSKey,0)),0)</f>
        <v/>
      </c>
      <c r="P2422" s="46">
        <f>INDEX(ChDoorVel,MATCH(E2422,ChName,0))*CalibScalar*(1+VelocityUplift)</f>
        <v/>
      </c>
      <c r="Q2422" s="46" t="n">
        <v>0</v>
      </c>
      <c r="R2422" s="46">
        <f>P2422*O2422*M2422*N2422*H2422</f>
        <v/>
      </c>
      <c r="S2422" s="46">
        <f>R2422*INDEX(FmtCansPerCase,MATCH(F2422,FmtName,0))</f>
        <v/>
      </c>
      <c r="T2422" s="46">
        <f>S2422/INDEX(FmtCansPerPack,MATCH(F2422,FmtName,0))</f>
        <v/>
      </c>
      <c r="U2422" s="47">
        <f>INDEX(ChBaseCP,MATCH(E2422,ChName,0))*(1+INDEX(ProvMod,MATCH(G2422,ProvCode,0)))*(1+PriceIndex)</f>
        <v/>
      </c>
      <c r="V2422" s="47">
        <f>R2422*U2422*INDEX(FmtBlendedPriceIdx,MATCH(F2422,FmtName,0))</f>
        <v/>
      </c>
      <c r="W2422" s="47">
        <f>T2422*INDEX(ProvSRP,MATCH(G2422,ProvCode,0))*(1+PriceIndex)</f>
        <v/>
      </c>
      <c r="X2422" s="47">
        <f>IF(GrossBasis="Wholesale",V2422,W2422)</f>
        <v/>
      </c>
      <c r="Y2422" s="47">
        <f>R2422*INDEX(FmtBlendedCogs,MATCH(F2422,FmtName,0))</f>
        <v/>
      </c>
      <c r="Z2422" s="47">
        <f>X2422-Y2422</f>
        <v/>
      </c>
    </row>
    <row r="2423">
      <c r="A2423" t="n">
        <v>37</v>
      </c>
      <c r="B2423" s="44">
        <f>FiscalStart+(A2423-1)*7</f>
        <v/>
      </c>
      <c r="C2423">
        <f>TEXT(B2423,"mmm yyyy")</f>
        <v/>
      </c>
      <c r="D2423">
        <f>"Q"&amp;(INT((A2423-1)/13)+1)</f>
        <v/>
      </c>
      <c r="E2423" t="inlineStr">
        <is>
          <t>FDM</t>
        </is>
      </c>
      <c r="F2423">
        <f>IFERROR(INDEX(ChFormat,MATCH(E2423,ChName,0)),"")</f>
        <v/>
      </c>
      <c r="G2423" t="inlineStr">
        <is>
          <t>QC</t>
        </is>
      </c>
      <c r="H2423">
        <f>IF(A2423&lt;=NWeeks,1,0)</f>
        <v/>
      </c>
      <c r="I2423">
        <f>INDEX(ChLaunch,MATCH(E2423,ChName,0))</f>
        <v/>
      </c>
      <c r="J2423">
        <f>INDEX(ChWeeksFull,MATCH(E2423,ChName,0))</f>
        <v/>
      </c>
      <c r="K2423">
        <f>INDEX(ChRamp,MATCH(E2423,ChName,0))</f>
        <v/>
      </c>
      <c r="L2423" s="45">
        <f>MIN(1,MAX(0,(A2423-I2423+1)*RampSpeed/J2423))</f>
        <v/>
      </c>
      <c r="M2423" s="45">
        <f>IF(A2423&lt;I2423,0,IF(K2423="S-curve",L2423*L2423*(3-2*L2423),L2423))</f>
        <v/>
      </c>
      <c r="N2423" s="45">
        <f>1+(INDEX(SeasonIdx,A2423)-1)*SeasonAmp</f>
        <v/>
      </c>
      <c r="O2423" s="45">
        <f>IFERROR(INDEX(PSPct,MATCH(E2423&amp;"|"&amp;G2423,PSKey,0)),0)</f>
        <v/>
      </c>
      <c r="P2423" s="46">
        <f>INDEX(ChDoorVel,MATCH(E2423,ChName,0))*CalibScalar*(1+VelocityUplift)</f>
        <v/>
      </c>
      <c r="Q2423" s="46" t="n">
        <v>0</v>
      </c>
      <c r="R2423" s="46">
        <f>P2423*O2423*M2423*N2423*H2423</f>
        <v/>
      </c>
      <c r="S2423" s="46">
        <f>R2423*INDEX(FmtCansPerCase,MATCH(F2423,FmtName,0))</f>
        <v/>
      </c>
      <c r="T2423" s="46">
        <f>S2423/INDEX(FmtCansPerPack,MATCH(F2423,FmtName,0))</f>
        <v/>
      </c>
      <c r="U2423" s="47">
        <f>INDEX(ChBaseCP,MATCH(E2423,ChName,0))*(1+INDEX(ProvMod,MATCH(G2423,ProvCode,0)))*(1+PriceIndex)</f>
        <v/>
      </c>
      <c r="V2423" s="47">
        <f>R2423*U2423*INDEX(FmtBlendedPriceIdx,MATCH(F2423,FmtName,0))</f>
        <v/>
      </c>
      <c r="W2423" s="47">
        <f>T2423*INDEX(ProvSRP,MATCH(G2423,ProvCode,0))*(1+PriceIndex)</f>
        <v/>
      </c>
      <c r="X2423" s="47">
        <f>IF(GrossBasis="Wholesale",V2423,W2423)</f>
        <v/>
      </c>
      <c r="Y2423" s="47">
        <f>R2423*INDEX(FmtBlendedCogs,MATCH(F2423,FmtName,0))</f>
        <v/>
      </c>
      <c r="Z2423" s="47">
        <f>X2423-Y2423</f>
        <v/>
      </c>
    </row>
    <row r="2424">
      <c r="A2424" t="n">
        <v>38</v>
      </c>
      <c r="B2424" s="44">
        <f>FiscalStart+(A2424-1)*7</f>
        <v/>
      </c>
      <c r="C2424">
        <f>TEXT(B2424,"mmm yyyy")</f>
        <v/>
      </c>
      <c r="D2424">
        <f>"Q"&amp;(INT((A2424-1)/13)+1)</f>
        <v/>
      </c>
      <c r="E2424" t="inlineStr">
        <is>
          <t>FDM</t>
        </is>
      </c>
      <c r="F2424">
        <f>IFERROR(INDEX(ChFormat,MATCH(E2424,ChName,0)),"")</f>
        <v/>
      </c>
      <c r="G2424" t="inlineStr">
        <is>
          <t>QC</t>
        </is>
      </c>
      <c r="H2424">
        <f>IF(A2424&lt;=NWeeks,1,0)</f>
        <v/>
      </c>
      <c r="I2424">
        <f>INDEX(ChLaunch,MATCH(E2424,ChName,0))</f>
        <v/>
      </c>
      <c r="J2424">
        <f>INDEX(ChWeeksFull,MATCH(E2424,ChName,0))</f>
        <v/>
      </c>
      <c r="K2424">
        <f>INDEX(ChRamp,MATCH(E2424,ChName,0))</f>
        <v/>
      </c>
      <c r="L2424" s="45">
        <f>MIN(1,MAX(0,(A2424-I2424+1)*RampSpeed/J2424))</f>
        <v/>
      </c>
      <c r="M2424" s="45">
        <f>IF(A2424&lt;I2424,0,IF(K2424="S-curve",L2424*L2424*(3-2*L2424),L2424))</f>
        <v/>
      </c>
      <c r="N2424" s="45">
        <f>1+(INDEX(SeasonIdx,A2424)-1)*SeasonAmp</f>
        <v/>
      </c>
      <c r="O2424" s="45">
        <f>IFERROR(INDEX(PSPct,MATCH(E2424&amp;"|"&amp;G2424,PSKey,0)),0)</f>
        <v/>
      </c>
      <c r="P2424" s="46">
        <f>INDEX(ChDoorVel,MATCH(E2424,ChName,0))*CalibScalar*(1+VelocityUplift)</f>
        <v/>
      </c>
      <c r="Q2424" s="46" t="n">
        <v>0</v>
      </c>
      <c r="R2424" s="46">
        <f>P2424*O2424*M2424*N2424*H2424</f>
        <v/>
      </c>
      <c r="S2424" s="46">
        <f>R2424*INDEX(FmtCansPerCase,MATCH(F2424,FmtName,0))</f>
        <v/>
      </c>
      <c r="T2424" s="46">
        <f>S2424/INDEX(FmtCansPerPack,MATCH(F2424,FmtName,0))</f>
        <v/>
      </c>
      <c r="U2424" s="47">
        <f>INDEX(ChBaseCP,MATCH(E2424,ChName,0))*(1+INDEX(ProvMod,MATCH(G2424,ProvCode,0)))*(1+PriceIndex)</f>
        <v/>
      </c>
      <c r="V2424" s="47">
        <f>R2424*U2424*INDEX(FmtBlendedPriceIdx,MATCH(F2424,FmtName,0))</f>
        <v/>
      </c>
      <c r="W2424" s="47">
        <f>T2424*INDEX(ProvSRP,MATCH(G2424,ProvCode,0))*(1+PriceIndex)</f>
        <v/>
      </c>
      <c r="X2424" s="47">
        <f>IF(GrossBasis="Wholesale",V2424,W2424)</f>
        <v/>
      </c>
      <c r="Y2424" s="47">
        <f>R2424*INDEX(FmtBlendedCogs,MATCH(F2424,FmtName,0))</f>
        <v/>
      </c>
      <c r="Z2424" s="47">
        <f>X2424-Y2424</f>
        <v/>
      </c>
    </row>
    <row r="2425">
      <c r="A2425" t="n">
        <v>39</v>
      </c>
      <c r="B2425" s="44">
        <f>FiscalStart+(A2425-1)*7</f>
        <v/>
      </c>
      <c r="C2425">
        <f>TEXT(B2425,"mmm yyyy")</f>
        <v/>
      </c>
      <c r="D2425">
        <f>"Q"&amp;(INT((A2425-1)/13)+1)</f>
        <v/>
      </c>
      <c r="E2425" t="inlineStr">
        <is>
          <t>FDM</t>
        </is>
      </c>
      <c r="F2425">
        <f>IFERROR(INDEX(ChFormat,MATCH(E2425,ChName,0)),"")</f>
        <v/>
      </c>
      <c r="G2425" t="inlineStr">
        <is>
          <t>QC</t>
        </is>
      </c>
      <c r="H2425">
        <f>IF(A2425&lt;=NWeeks,1,0)</f>
        <v/>
      </c>
      <c r="I2425">
        <f>INDEX(ChLaunch,MATCH(E2425,ChName,0))</f>
        <v/>
      </c>
      <c r="J2425">
        <f>INDEX(ChWeeksFull,MATCH(E2425,ChName,0))</f>
        <v/>
      </c>
      <c r="K2425">
        <f>INDEX(ChRamp,MATCH(E2425,ChName,0))</f>
        <v/>
      </c>
      <c r="L2425" s="45">
        <f>MIN(1,MAX(0,(A2425-I2425+1)*RampSpeed/J2425))</f>
        <v/>
      </c>
      <c r="M2425" s="45">
        <f>IF(A2425&lt;I2425,0,IF(K2425="S-curve",L2425*L2425*(3-2*L2425),L2425))</f>
        <v/>
      </c>
      <c r="N2425" s="45">
        <f>1+(INDEX(SeasonIdx,A2425)-1)*SeasonAmp</f>
        <v/>
      </c>
      <c r="O2425" s="45">
        <f>IFERROR(INDEX(PSPct,MATCH(E2425&amp;"|"&amp;G2425,PSKey,0)),0)</f>
        <v/>
      </c>
      <c r="P2425" s="46">
        <f>INDEX(ChDoorVel,MATCH(E2425,ChName,0))*CalibScalar*(1+VelocityUplift)</f>
        <v/>
      </c>
      <c r="Q2425" s="46" t="n">
        <v>0</v>
      </c>
      <c r="R2425" s="46">
        <f>P2425*O2425*M2425*N2425*H2425</f>
        <v/>
      </c>
      <c r="S2425" s="46">
        <f>R2425*INDEX(FmtCansPerCase,MATCH(F2425,FmtName,0))</f>
        <v/>
      </c>
      <c r="T2425" s="46">
        <f>S2425/INDEX(FmtCansPerPack,MATCH(F2425,FmtName,0))</f>
        <v/>
      </c>
      <c r="U2425" s="47">
        <f>INDEX(ChBaseCP,MATCH(E2425,ChName,0))*(1+INDEX(ProvMod,MATCH(G2425,ProvCode,0)))*(1+PriceIndex)</f>
        <v/>
      </c>
      <c r="V2425" s="47">
        <f>R2425*U2425*INDEX(FmtBlendedPriceIdx,MATCH(F2425,FmtName,0))</f>
        <v/>
      </c>
      <c r="W2425" s="47">
        <f>T2425*INDEX(ProvSRP,MATCH(G2425,ProvCode,0))*(1+PriceIndex)</f>
        <v/>
      </c>
      <c r="X2425" s="47">
        <f>IF(GrossBasis="Wholesale",V2425,W2425)</f>
        <v/>
      </c>
      <c r="Y2425" s="47">
        <f>R2425*INDEX(FmtBlendedCogs,MATCH(F2425,FmtName,0))</f>
        <v/>
      </c>
      <c r="Z2425" s="47">
        <f>X2425-Y2425</f>
        <v/>
      </c>
    </row>
    <row r="2426">
      <c r="A2426" t="n">
        <v>40</v>
      </c>
      <c r="B2426" s="44">
        <f>FiscalStart+(A2426-1)*7</f>
        <v/>
      </c>
      <c r="C2426">
        <f>TEXT(B2426,"mmm yyyy")</f>
        <v/>
      </c>
      <c r="D2426">
        <f>"Q"&amp;(INT((A2426-1)/13)+1)</f>
        <v/>
      </c>
      <c r="E2426" t="inlineStr">
        <is>
          <t>FDM</t>
        </is>
      </c>
      <c r="F2426">
        <f>IFERROR(INDEX(ChFormat,MATCH(E2426,ChName,0)),"")</f>
        <v/>
      </c>
      <c r="G2426" t="inlineStr">
        <is>
          <t>QC</t>
        </is>
      </c>
      <c r="H2426">
        <f>IF(A2426&lt;=NWeeks,1,0)</f>
        <v/>
      </c>
      <c r="I2426">
        <f>INDEX(ChLaunch,MATCH(E2426,ChName,0))</f>
        <v/>
      </c>
      <c r="J2426">
        <f>INDEX(ChWeeksFull,MATCH(E2426,ChName,0))</f>
        <v/>
      </c>
      <c r="K2426">
        <f>INDEX(ChRamp,MATCH(E2426,ChName,0))</f>
        <v/>
      </c>
      <c r="L2426" s="45">
        <f>MIN(1,MAX(0,(A2426-I2426+1)*RampSpeed/J2426))</f>
        <v/>
      </c>
      <c r="M2426" s="45">
        <f>IF(A2426&lt;I2426,0,IF(K2426="S-curve",L2426*L2426*(3-2*L2426),L2426))</f>
        <v/>
      </c>
      <c r="N2426" s="45">
        <f>1+(INDEX(SeasonIdx,A2426)-1)*SeasonAmp</f>
        <v/>
      </c>
      <c r="O2426" s="45">
        <f>IFERROR(INDEX(PSPct,MATCH(E2426&amp;"|"&amp;G2426,PSKey,0)),0)</f>
        <v/>
      </c>
      <c r="P2426" s="46">
        <f>INDEX(ChDoorVel,MATCH(E2426,ChName,0))*CalibScalar*(1+VelocityUplift)</f>
        <v/>
      </c>
      <c r="Q2426" s="46" t="n">
        <v>0</v>
      </c>
      <c r="R2426" s="46">
        <f>P2426*O2426*M2426*N2426*H2426</f>
        <v/>
      </c>
      <c r="S2426" s="46">
        <f>R2426*INDEX(FmtCansPerCase,MATCH(F2426,FmtName,0))</f>
        <v/>
      </c>
      <c r="T2426" s="46">
        <f>S2426/INDEX(FmtCansPerPack,MATCH(F2426,FmtName,0))</f>
        <v/>
      </c>
      <c r="U2426" s="47">
        <f>INDEX(ChBaseCP,MATCH(E2426,ChName,0))*(1+INDEX(ProvMod,MATCH(G2426,ProvCode,0)))*(1+PriceIndex)</f>
        <v/>
      </c>
      <c r="V2426" s="47">
        <f>R2426*U2426*INDEX(FmtBlendedPriceIdx,MATCH(F2426,FmtName,0))</f>
        <v/>
      </c>
      <c r="W2426" s="47">
        <f>T2426*INDEX(ProvSRP,MATCH(G2426,ProvCode,0))*(1+PriceIndex)</f>
        <v/>
      </c>
      <c r="X2426" s="47">
        <f>IF(GrossBasis="Wholesale",V2426,W2426)</f>
        <v/>
      </c>
      <c r="Y2426" s="47">
        <f>R2426*INDEX(FmtBlendedCogs,MATCH(F2426,FmtName,0))</f>
        <v/>
      </c>
      <c r="Z2426" s="47">
        <f>X2426-Y2426</f>
        <v/>
      </c>
    </row>
    <row r="2427">
      <c r="A2427" t="n">
        <v>41</v>
      </c>
      <c r="B2427" s="44">
        <f>FiscalStart+(A2427-1)*7</f>
        <v/>
      </c>
      <c r="C2427">
        <f>TEXT(B2427,"mmm yyyy")</f>
        <v/>
      </c>
      <c r="D2427">
        <f>"Q"&amp;(INT((A2427-1)/13)+1)</f>
        <v/>
      </c>
      <c r="E2427" t="inlineStr">
        <is>
          <t>FDM</t>
        </is>
      </c>
      <c r="F2427">
        <f>IFERROR(INDEX(ChFormat,MATCH(E2427,ChName,0)),"")</f>
        <v/>
      </c>
      <c r="G2427" t="inlineStr">
        <is>
          <t>QC</t>
        </is>
      </c>
      <c r="H2427">
        <f>IF(A2427&lt;=NWeeks,1,0)</f>
        <v/>
      </c>
      <c r="I2427">
        <f>INDEX(ChLaunch,MATCH(E2427,ChName,0))</f>
        <v/>
      </c>
      <c r="J2427">
        <f>INDEX(ChWeeksFull,MATCH(E2427,ChName,0))</f>
        <v/>
      </c>
      <c r="K2427">
        <f>INDEX(ChRamp,MATCH(E2427,ChName,0))</f>
        <v/>
      </c>
      <c r="L2427" s="45">
        <f>MIN(1,MAX(0,(A2427-I2427+1)*RampSpeed/J2427))</f>
        <v/>
      </c>
      <c r="M2427" s="45">
        <f>IF(A2427&lt;I2427,0,IF(K2427="S-curve",L2427*L2427*(3-2*L2427),L2427))</f>
        <v/>
      </c>
      <c r="N2427" s="45">
        <f>1+(INDEX(SeasonIdx,A2427)-1)*SeasonAmp</f>
        <v/>
      </c>
      <c r="O2427" s="45">
        <f>IFERROR(INDEX(PSPct,MATCH(E2427&amp;"|"&amp;G2427,PSKey,0)),0)</f>
        <v/>
      </c>
      <c r="P2427" s="46">
        <f>INDEX(ChDoorVel,MATCH(E2427,ChName,0))*CalibScalar*(1+VelocityUplift)</f>
        <v/>
      </c>
      <c r="Q2427" s="46" t="n">
        <v>0</v>
      </c>
      <c r="R2427" s="46">
        <f>P2427*O2427*M2427*N2427*H2427</f>
        <v/>
      </c>
      <c r="S2427" s="46">
        <f>R2427*INDEX(FmtCansPerCase,MATCH(F2427,FmtName,0))</f>
        <v/>
      </c>
      <c r="T2427" s="46">
        <f>S2427/INDEX(FmtCansPerPack,MATCH(F2427,FmtName,0))</f>
        <v/>
      </c>
      <c r="U2427" s="47">
        <f>INDEX(ChBaseCP,MATCH(E2427,ChName,0))*(1+INDEX(ProvMod,MATCH(G2427,ProvCode,0)))*(1+PriceIndex)</f>
        <v/>
      </c>
      <c r="V2427" s="47">
        <f>R2427*U2427*INDEX(FmtBlendedPriceIdx,MATCH(F2427,FmtName,0))</f>
        <v/>
      </c>
      <c r="W2427" s="47">
        <f>T2427*INDEX(ProvSRP,MATCH(G2427,ProvCode,0))*(1+PriceIndex)</f>
        <v/>
      </c>
      <c r="X2427" s="47">
        <f>IF(GrossBasis="Wholesale",V2427,W2427)</f>
        <v/>
      </c>
      <c r="Y2427" s="47">
        <f>R2427*INDEX(FmtBlendedCogs,MATCH(F2427,FmtName,0))</f>
        <v/>
      </c>
      <c r="Z2427" s="47">
        <f>X2427-Y2427</f>
        <v/>
      </c>
    </row>
    <row r="2428">
      <c r="A2428" t="n">
        <v>42</v>
      </c>
      <c r="B2428" s="44">
        <f>FiscalStart+(A2428-1)*7</f>
        <v/>
      </c>
      <c r="C2428">
        <f>TEXT(B2428,"mmm yyyy")</f>
        <v/>
      </c>
      <c r="D2428">
        <f>"Q"&amp;(INT((A2428-1)/13)+1)</f>
        <v/>
      </c>
      <c r="E2428" t="inlineStr">
        <is>
          <t>FDM</t>
        </is>
      </c>
      <c r="F2428">
        <f>IFERROR(INDEX(ChFormat,MATCH(E2428,ChName,0)),"")</f>
        <v/>
      </c>
      <c r="G2428" t="inlineStr">
        <is>
          <t>QC</t>
        </is>
      </c>
      <c r="H2428">
        <f>IF(A2428&lt;=NWeeks,1,0)</f>
        <v/>
      </c>
      <c r="I2428">
        <f>INDEX(ChLaunch,MATCH(E2428,ChName,0))</f>
        <v/>
      </c>
      <c r="J2428">
        <f>INDEX(ChWeeksFull,MATCH(E2428,ChName,0))</f>
        <v/>
      </c>
      <c r="K2428">
        <f>INDEX(ChRamp,MATCH(E2428,ChName,0))</f>
        <v/>
      </c>
      <c r="L2428" s="45">
        <f>MIN(1,MAX(0,(A2428-I2428+1)*RampSpeed/J2428))</f>
        <v/>
      </c>
      <c r="M2428" s="45">
        <f>IF(A2428&lt;I2428,0,IF(K2428="S-curve",L2428*L2428*(3-2*L2428),L2428))</f>
        <v/>
      </c>
      <c r="N2428" s="45">
        <f>1+(INDEX(SeasonIdx,A2428)-1)*SeasonAmp</f>
        <v/>
      </c>
      <c r="O2428" s="45">
        <f>IFERROR(INDEX(PSPct,MATCH(E2428&amp;"|"&amp;G2428,PSKey,0)),0)</f>
        <v/>
      </c>
      <c r="P2428" s="46">
        <f>INDEX(ChDoorVel,MATCH(E2428,ChName,0))*CalibScalar*(1+VelocityUplift)</f>
        <v/>
      </c>
      <c r="Q2428" s="46" t="n">
        <v>0</v>
      </c>
      <c r="R2428" s="46">
        <f>P2428*O2428*M2428*N2428*H2428</f>
        <v/>
      </c>
      <c r="S2428" s="46">
        <f>R2428*INDEX(FmtCansPerCase,MATCH(F2428,FmtName,0))</f>
        <v/>
      </c>
      <c r="T2428" s="46">
        <f>S2428/INDEX(FmtCansPerPack,MATCH(F2428,FmtName,0))</f>
        <v/>
      </c>
      <c r="U2428" s="47">
        <f>INDEX(ChBaseCP,MATCH(E2428,ChName,0))*(1+INDEX(ProvMod,MATCH(G2428,ProvCode,0)))*(1+PriceIndex)</f>
        <v/>
      </c>
      <c r="V2428" s="47">
        <f>R2428*U2428*INDEX(FmtBlendedPriceIdx,MATCH(F2428,FmtName,0))</f>
        <v/>
      </c>
      <c r="W2428" s="47">
        <f>T2428*INDEX(ProvSRP,MATCH(G2428,ProvCode,0))*(1+PriceIndex)</f>
        <v/>
      </c>
      <c r="X2428" s="47">
        <f>IF(GrossBasis="Wholesale",V2428,W2428)</f>
        <v/>
      </c>
      <c r="Y2428" s="47">
        <f>R2428*INDEX(FmtBlendedCogs,MATCH(F2428,FmtName,0))</f>
        <v/>
      </c>
      <c r="Z2428" s="47">
        <f>X2428-Y2428</f>
        <v/>
      </c>
    </row>
    <row r="2429">
      <c r="A2429" t="n">
        <v>43</v>
      </c>
      <c r="B2429" s="44">
        <f>FiscalStart+(A2429-1)*7</f>
        <v/>
      </c>
      <c r="C2429">
        <f>TEXT(B2429,"mmm yyyy")</f>
        <v/>
      </c>
      <c r="D2429">
        <f>"Q"&amp;(INT((A2429-1)/13)+1)</f>
        <v/>
      </c>
      <c r="E2429" t="inlineStr">
        <is>
          <t>FDM</t>
        </is>
      </c>
      <c r="F2429">
        <f>IFERROR(INDEX(ChFormat,MATCH(E2429,ChName,0)),"")</f>
        <v/>
      </c>
      <c r="G2429" t="inlineStr">
        <is>
          <t>QC</t>
        </is>
      </c>
      <c r="H2429">
        <f>IF(A2429&lt;=NWeeks,1,0)</f>
        <v/>
      </c>
      <c r="I2429">
        <f>INDEX(ChLaunch,MATCH(E2429,ChName,0))</f>
        <v/>
      </c>
      <c r="J2429">
        <f>INDEX(ChWeeksFull,MATCH(E2429,ChName,0))</f>
        <v/>
      </c>
      <c r="K2429">
        <f>INDEX(ChRamp,MATCH(E2429,ChName,0))</f>
        <v/>
      </c>
      <c r="L2429" s="45">
        <f>MIN(1,MAX(0,(A2429-I2429+1)*RampSpeed/J2429))</f>
        <v/>
      </c>
      <c r="M2429" s="45">
        <f>IF(A2429&lt;I2429,0,IF(K2429="S-curve",L2429*L2429*(3-2*L2429),L2429))</f>
        <v/>
      </c>
      <c r="N2429" s="45">
        <f>1+(INDEX(SeasonIdx,A2429)-1)*SeasonAmp</f>
        <v/>
      </c>
      <c r="O2429" s="45">
        <f>IFERROR(INDEX(PSPct,MATCH(E2429&amp;"|"&amp;G2429,PSKey,0)),0)</f>
        <v/>
      </c>
      <c r="P2429" s="46">
        <f>INDEX(ChDoorVel,MATCH(E2429,ChName,0))*CalibScalar*(1+VelocityUplift)</f>
        <v/>
      </c>
      <c r="Q2429" s="46" t="n">
        <v>0</v>
      </c>
      <c r="R2429" s="46">
        <f>P2429*O2429*M2429*N2429*H2429</f>
        <v/>
      </c>
      <c r="S2429" s="46">
        <f>R2429*INDEX(FmtCansPerCase,MATCH(F2429,FmtName,0))</f>
        <v/>
      </c>
      <c r="T2429" s="46">
        <f>S2429/INDEX(FmtCansPerPack,MATCH(F2429,FmtName,0))</f>
        <v/>
      </c>
      <c r="U2429" s="47">
        <f>INDEX(ChBaseCP,MATCH(E2429,ChName,0))*(1+INDEX(ProvMod,MATCH(G2429,ProvCode,0)))*(1+PriceIndex)</f>
        <v/>
      </c>
      <c r="V2429" s="47">
        <f>R2429*U2429*INDEX(FmtBlendedPriceIdx,MATCH(F2429,FmtName,0))</f>
        <v/>
      </c>
      <c r="W2429" s="47">
        <f>T2429*INDEX(ProvSRP,MATCH(G2429,ProvCode,0))*(1+PriceIndex)</f>
        <v/>
      </c>
      <c r="X2429" s="47">
        <f>IF(GrossBasis="Wholesale",V2429,W2429)</f>
        <v/>
      </c>
      <c r="Y2429" s="47">
        <f>R2429*INDEX(FmtBlendedCogs,MATCH(F2429,FmtName,0))</f>
        <v/>
      </c>
      <c r="Z2429" s="47">
        <f>X2429-Y2429</f>
        <v/>
      </c>
    </row>
    <row r="2430">
      <c r="A2430" t="n">
        <v>44</v>
      </c>
      <c r="B2430" s="44">
        <f>FiscalStart+(A2430-1)*7</f>
        <v/>
      </c>
      <c r="C2430">
        <f>TEXT(B2430,"mmm yyyy")</f>
        <v/>
      </c>
      <c r="D2430">
        <f>"Q"&amp;(INT((A2430-1)/13)+1)</f>
        <v/>
      </c>
      <c r="E2430" t="inlineStr">
        <is>
          <t>FDM</t>
        </is>
      </c>
      <c r="F2430">
        <f>IFERROR(INDEX(ChFormat,MATCH(E2430,ChName,0)),"")</f>
        <v/>
      </c>
      <c r="G2430" t="inlineStr">
        <is>
          <t>QC</t>
        </is>
      </c>
      <c r="H2430">
        <f>IF(A2430&lt;=NWeeks,1,0)</f>
        <v/>
      </c>
      <c r="I2430">
        <f>INDEX(ChLaunch,MATCH(E2430,ChName,0))</f>
        <v/>
      </c>
      <c r="J2430">
        <f>INDEX(ChWeeksFull,MATCH(E2430,ChName,0))</f>
        <v/>
      </c>
      <c r="K2430">
        <f>INDEX(ChRamp,MATCH(E2430,ChName,0))</f>
        <v/>
      </c>
      <c r="L2430" s="45">
        <f>MIN(1,MAX(0,(A2430-I2430+1)*RampSpeed/J2430))</f>
        <v/>
      </c>
      <c r="M2430" s="45">
        <f>IF(A2430&lt;I2430,0,IF(K2430="S-curve",L2430*L2430*(3-2*L2430),L2430))</f>
        <v/>
      </c>
      <c r="N2430" s="45">
        <f>1+(INDEX(SeasonIdx,A2430)-1)*SeasonAmp</f>
        <v/>
      </c>
      <c r="O2430" s="45">
        <f>IFERROR(INDEX(PSPct,MATCH(E2430&amp;"|"&amp;G2430,PSKey,0)),0)</f>
        <v/>
      </c>
      <c r="P2430" s="46">
        <f>INDEX(ChDoorVel,MATCH(E2430,ChName,0))*CalibScalar*(1+VelocityUplift)</f>
        <v/>
      </c>
      <c r="Q2430" s="46" t="n">
        <v>0</v>
      </c>
      <c r="R2430" s="46">
        <f>P2430*O2430*M2430*N2430*H2430</f>
        <v/>
      </c>
      <c r="S2430" s="46">
        <f>R2430*INDEX(FmtCansPerCase,MATCH(F2430,FmtName,0))</f>
        <v/>
      </c>
      <c r="T2430" s="46">
        <f>S2430/INDEX(FmtCansPerPack,MATCH(F2430,FmtName,0))</f>
        <v/>
      </c>
      <c r="U2430" s="47">
        <f>INDEX(ChBaseCP,MATCH(E2430,ChName,0))*(1+INDEX(ProvMod,MATCH(G2430,ProvCode,0)))*(1+PriceIndex)</f>
        <v/>
      </c>
      <c r="V2430" s="47">
        <f>R2430*U2430*INDEX(FmtBlendedPriceIdx,MATCH(F2430,FmtName,0))</f>
        <v/>
      </c>
      <c r="W2430" s="47">
        <f>T2430*INDEX(ProvSRP,MATCH(G2430,ProvCode,0))*(1+PriceIndex)</f>
        <v/>
      </c>
      <c r="X2430" s="47">
        <f>IF(GrossBasis="Wholesale",V2430,W2430)</f>
        <v/>
      </c>
      <c r="Y2430" s="47">
        <f>R2430*INDEX(FmtBlendedCogs,MATCH(F2430,FmtName,0))</f>
        <v/>
      </c>
      <c r="Z2430" s="47">
        <f>X2430-Y2430</f>
        <v/>
      </c>
    </row>
    <row r="2431">
      <c r="A2431" t="n">
        <v>45</v>
      </c>
      <c r="B2431" s="44">
        <f>FiscalStart+(A2431-1)*7</f>
        <v/>
      </c>
      <c r="C2431">
        <f>TEXT(B2431,"mmm yyyy")</f>
        <v/>
      </c>
      <c r="D2431">
        <f>"Q"&amp;(INT((A2431-1)/13)+1)</f>
        <v/>
      </c>
      <c r="E2431" t="inlineStr">
        <is>
          <t>FDM</t>
        </is>
      </c>
      <c r="F2431">
        <f>IFERROR(INDEX(ChFormat,MATCH(E2431,ChName,0)),"")</f>
        <v/>
      </c>
      <c r="G2431" t="inlineStr">
        <is>
          <t>QC</t>
        </is>
      </c>
      <c r="H2431">
        <f>IF(A2431&lt;=NWeeks,1,0)</f>
        <v/>
      </c>
      <c r="I2431">
        <f>INDEX(ChLaunch,MATCH(E2431,ChName,0))</f>
        <v/>
      </c>
      <c r="J2431">
        <f>INDEX(ChWeeksFull,MATCH(E2431,ChName,0))</f>
        <v/>
      </c>
      <c r="K2431">
        <f>INDEX(ChRamp,MATCH(E2431,ChName,0))</f>
        <v/>
      </c>
      <c r="L2431" s="45">
        <f>MIN(1,MAX(0,(A2431-I2431+1)*RampSpeed/J2431))</f>
        <v/>
      </c>
      <c r="M2431" s="45">
        <f>IF(A2431&lt;I2431,0,IF(K2431="S-curve",L2431*L2431*(3-2*L2431),L2431))</f>
        <v/>
      </c>
      <c r="N2431" s="45">
        <f>1+(INDEX(SeasonIdx,A2431)-1)*SeasonAmp</f>
        <v/>
      </c>
      <c r="O2431" s="45">
        <f>IFERROR(INDEX(PSPct,MATCH(E2431&amp;"|"&amp;G2431,PSKey,0)),0)</f>
        <v/>
      </c>
      <c r="P2431" s="46">
        <f>INDEX(ChDoorVel,MATCH(E2431,ChName,0))*CalibScalar*(1+VelocityUplift)</f>
        <v/>
      </c>
      <c r="Q2431" s="46" t="n">
        <v>0</v>
      </c>
      <c r="R2431" s="46">
        <f>P2431*O2431*M2431*N2431*H2431</f>
        <v/>
      </c>
      <c r="S2431" s="46">
        <f>R2431*INDEX(FmtCansPerCase,MATCH(F2431,FmtName,0))</f>
        <v/>
      </c>
      <c r="T2431" s="46">
        <f>S2431/INDEX(FmtCansPerPack,MATCH(F2431,FmtName,0))</f>
        <v/>
      </c>
      <c r="U2431" s="47">
        <f>INDEX(ChBaseCP,MATCH(E2431,ChName,0))*(1+INDEX(ProvMod,MATCH(G2431,ProvCode,0)))*(1+PriceIndex)</f>
        <v/>
      </c>
      <c r="V2431" s="47">
        <f>R2431*U2431*INDEX(FmtBlendedPriceIdx,MATCH(F2431,FmtName,0))</f>
        <v/>
      </c>
      <c r="W2431" s="47">
        <f>T2431*INDEX(ProvSRP,MATCH(G2431,ProvCode,0))*(1+PriceIndex)</f>
        <v/>
      </c>
      <c r="X2431" s="47">
        <f>IF(GrossBasis="Wholesale",V2431,W2431)</f>
        <v/>
      </c>
      <c r="Y2431" s="47">
        <f>R2431*INDEX(FmtBlendedCogs,MATCH(F2431,FmtName,0))</f>
        <v/>
      </c>
      <c r="Z2431" s="47">
        <f>X2431-Y2431</f>
        <v/>
      </c>
    </row>
    <row r="2432">
      <c r="A2432" t="n">
        <v>46</v>
      </c>
      <c r="B2432" s="44">
        <f>FiscalStart+(A2432-1)*7</f>
        <v/>
      </c>
      <c r="C2432">
        <f>TEXT(B2432,"mmm yyyy")</f>
        <v/>
      </c>
      <c r="D2432">
        <f>"Q"&amp;(INT((A2432-1)/13)+1)</f>
        <v/>
      </c>
      <c r="E2432" t="inlineStr">
        <is>
          <t>FDM</t>
        </is>
      </c>
      <c r="F2432">
        <f>IFERROR(INDEX(ChFormat,MATCH(E2432,ChName,0)),"")</f>
        <v/>
      </c>
      <c r="G2432" t="inlineStr">
        <is>
          <t>QC</t>
        </is>
      </c>
      <c r="H2432">
        <f>IF(A2432&lt;=NWeeks,1,0)</f>
        <v/>
      </c>
      <c r="I2432">
        <f>INDEX(ChLaunch,MATCH(E2432,ChName,0))</f>
        <v/>
      </c>
      <c r="J2432">
        <f>INDEX(ChWeeksFull,MATCH(E2432,ChName,0))</f>
        <v/>
      </c>
      <c r="K2432">
        <f>INDEX(ChRamp,MATCH(E2432,ChName,0))</f>
        <v/>
      </c>
      <c r="L2432" s="45">
        <f>MIN(1,MAX(0,(A2432-I2432+1)*RampSpeed/J2432))</f>
        <v/>
      </c>
      <c r="M2432" s="45">
        <f>IF(A2432&lt;I2432,0,IF(K2432="S-curve",L2432*L2432*(3-2*L2432),L2432))</f>
        <v/>
      </c>
      <c r="N2432" s="45">
        <f>1+(INDEX(SeasonIdx,A2432)-1)*SeasonAmp</f>
        <v/>
      </c>
      <c r="O2432" s="45">
        <f>IFERROR(INDEX(PSPct,MATCH(E2432&amp;"|"&amp;G2432,PSKey,0)),0)</f>
        <v/>
      </c>
      <c r="P2432" s="46">
        <f>INDEX(ChDoorVel,MATCH(E2432,ChName,0))*CalibScalar*(1+VelocityUplift)</f>
        <v/>
      </c>
      <c r="Q2432" s="46" t="n">
        <v>0</v>
      </c>
      <c r="R2432" s="46">
        <f>P2432*O2432*M2432*N2432*H2432</f>
        <v/>
      </c>
      <c r="S2432" s="46">
        <f>R2432*INDEX(FmtCansPerCase,MATCH(F2432,FmtName,0))</f>
        <v/>
      </c>
      <c r="T2432" s="46">
        <f>S2432/INDEX(FmtCansPerPack,MATCH(F2432,FmtName,0))</f>
        <v/>
      </c>
      <c r="U2432" s="47">
        <f>INDEX(ChBaseCP,MATCH(E2432,ChName,0))*(1+INDEX(ProvMod,MATCH(G2432,ProvCode,0)))*(1+PriceIndex)</f>
        <v/>
      </c>
      <c r="V2432" s="47">
        <f>R2432*U2432*INDEX(FmtBlendedPriceIdx,MATCH(F2432,FmtName,0))</f>
        <v/>
      </c>
      <c r="W2432" s="47">
        <f>T2432*INDEX(ProvSRP,MATCH(G2432,ProvCode,0))*(1+PriceIndex)</f>
        <v/>
      </c>
      <c r="X2432" s="47">
        <f>IF(GrossBasis="Wholesale",V2432,W2432)</f>
        <v/>
      </c>
      <c r="Y2432" s="47">
        <f>R2432*INDEX(FmtBlendedCogs,MATCH(F2432,FmtName,0))</f>
        <v/>
      </c>
      <c r="Z2432" s="47">
        <f>X2432-Y2432</f>
        <v/>
      </c>
    </row>
    <row r="2433">
      <c r="A2433" t="n">
        <v>47</v>
      </c>
      <c r="B2433" s="44">
        <f>FiscalStart+(A2433-1)*7</f>
        <v/>
      </c>
      <c r="C2433">
        <f>TEXT(B2433,"mmm yyyy")</f>
        <v/>
      </c>
      <c r="D2433">
        <f>"Q"&amp;(INT((A2433-1)/13)+1)</f>
        <v/>
      </c>
      <c r="E2433" t="inlineStr">
        <is>
          <t>FDM</t>
        </is>
      </c>
      <c r="F2433">
        <f>IFERROR(INDEX(ChFormat,MATCH(E2433,ChName,0)),"")</f>
        <v/>
      </c>
      <c r="G2433" t="inlineStr">
        <is>
          <t>QC</t>
        </is>
      </c>
      <c r="H2433">
        <f>IF(A2433&lt;=NWeeks,1,0)</f>
        <v/>
      </c>
      <c r="I2433">
        <f>INDEX(ChLaunch,MATCH(E2433,ChName,0))</f>
        <v/>
      </c>
      <c r="J2433">
        <f>INDEX(ChWeeksFull,MATCH(E2433,ChName,0))</f>
        <v/>
      </c>
      <c r="K2433">
        <f>INDEX(ChRamp,MATCH(E2433,ChName,0))</f>
        <v/>
      </c>
      <c r="L2433" s="45">
        <f>MIN(1,MAX(0,(A2433-I2433+1)*RampSpeed/J2433))</f>
        <v/>
      </c>
      <c r="M2433" s="45">
        <f>IF(A2433&lt;I2433,0,IF(K2433="S-curve",L2433*L2433*(3-2*L2433),L2433))</f>
        <v/>
      </c>
      <c r="N2433" s="45">
        <f>1+(INDEX(SeasonIdx,A2433)-1)*SeasonAmp</f>
        <v/>
      </c>
      <c r="O2433" s="45">
        <f>IFERROR(INDEX(PSPct,MATCH(E2433&amp;"|"&amp;G2433,PSKey,0)),0)</f>
        <v/>
      </c>
      <c r="P2433" s="46">
        <f>INDEX(ChDoorVel,MATCH(E2433,ChName,0))*CalibScalar*(1+VelocityUplift)</f>
        <v/>
      </c>
      <c r="Q2433" s="46" t="n">
        <v>0</v>
      </c>
      <c r="R2433" s="46">
        <f>P2433*O2433*M2433*N2433*H2433</f>
        <v/>
      </c>
      <c r="S2433" s="46">
        <f>R2433*INDEX(FmtCansPerCase,MATCH(F2433,FmtName,0))</f>
        <v/>
      </c>
      <c r="T2433" s="46">
        <f>S2433/INDEX(FmtCansPerPack,MATCH(F2433,FmtName,0))</f>
        <v/>
      </c>
      <c r="U2433" s="47">
        <f>INDEX(ChBaseCP,MATCH(E2433,ChName,0))*(1+INDEX(ProvMod,MATCH(G2433,ProvCode,0)))*(1+PriceIndex)</f>
        <v/>
      </c>
      <c r="V2433" s="47">
        <f>R2433*U2433*INDEX(FmtBlendedPriceIdx,MATCH(F2433,FmtName,0))</f>
        <v/>
      </c>
      <c r="W2433" s="47">
        <f>T2433*INDEX(ProvSRP,MATCH(G2433,ProvCode,0))*(1+PriceIndex)</f>
        <v/>
      </c>
      <c r="X2433" s="47">
        <f>IF(GrossBasis="Wholesale",V2433,W2433)</f>
        <v/>
      </c>
      <c r="Y2433" s="47">
        <f>R2433*INDEX(FmtBlendedCogs,MATCH(F2433,FmtName,0))</f>
        <v/>
      </c>
      <c r="Z2433" s="47">
        <f>X2433-Y2433</f>
        <v/>
      </c>
    </row>
    <row r="2434">
      <c r="A2434" t="n">
        <v>48</v>
      </c>
      <c r="B2434" s="44">
        <f>FiscalStart+(A2434-1)*7</f>
        <v/>
      </c>
      <c r="C2434">
        <f>TEXT(B2434,"mmm yyyy")</f>
        <v/>
      </c>
      <c r="D2434">
        <f>"Q"&amp;(INT((A2434-1)/13)+1)</f>
        <v/>
      </c>
      <c r="E2434" t="inlineStr">
        <is>
          <t>FDM</t>
        </is>
      </c>
      <c r="F2434">
        <f>IFERROR(INDEX(ChFormat,MATCH(E2434,ChName,0)),"")</f>
        <v/>
      </c>
      <c r="G2434" t="inlineStr">
        <is>
          <t>QC</t>
        </is>
      </c>
      <c r="H2434">
        <f>IF(A2434&lt;=NWeeks,1,0)</f>
        <v/>
      </c>
      <c r="I2434">
        <f>INDEX(ChLaunch,MATCH(E2434,ChName,0))</f>
        <v/>
      </c>
      <c r="J2434">
        <f>INDEX(ChWeeksFull,MATCH(E2434,ChName,0))</f>
        <v/>
      </c>
      <c r="K2434">
        <f>INDEX(ChRamp,MATCH(E2434,ChName,0))</f>
        <v/>
      </c>
      <c r="L2434" s="45">
        <f>MIN(1,MAX(0,(A2434-I2434+1)*RampSpeed/J2434))</f>
        <v/>
      </c>
      <c r="M2434" s="45">
        <f>IF(A2434&lt;I2434,0,IF(K2434="S-curve",L2434*L2434*(3-2*L2434),L2434))</f>
        <v/>
      </c>
      <c r="N2434" s="45">
        <f>1+(INDEX(SeasonIdx,A2434)-1)*SeasonAmp</f>
        <v/>
      </c>
      <c r="O2434" s="45">
        <f>IFERROR(INDEX(PSPct,MATCH(E2434&amp;"|"&amp;G2434,PSKey,0)),0)</f>
        <v/>
      </c>
      <c r="P2434" s="46">
        <f>INDEX(ChDoorVel,MATCH(E2434,ChName,0))*CalibScalar*(1+VelocityUplift)</f>
        <v/>
      </c>
      <c r="Q2434" s="46" t="n">
        <v>0</v>
      </c>
      <c r="R2434" s="46">
        <f>P2434*O2434*M2434*N2434*H2434</f>
        <v/>
      </c>
      <c r="S2434" s="46">
        <f>R2434*INDEX(FmtCansPerCase,MATCH(F2434,FmtName,0))</f>
        <v/>
      </c>
      <c r="T2434" s="46">
        <f>S2434/INDEX(FmtCansPerPack,MATCH(F2434,FmtName,0))</f>
        <v/>
      </c>
      <c r="U2434" s="47">
        <f>INDEX(ChBaseCP,MATCH(E2434,ChName,0))*(1+INDEX(ProvMod,MATCH(G2434,ProvCode,0)))*(1+PriceIndex)</f>
        <v/>
      </c>
      <c r="V2434" s="47">
        <f>R2434*U2434*INDEX(FmtBlendedPriceIdx,MATCH(F2434,FmtName,0))</f>
        <v/>
      </c>
      <c r="W2434" s="47">
        <f>T2434*INDEX(ProvSRP,MATCH(G2434,ProvCode,0))*(1+PriceIndex)</f>
        <v/>
      </c>
      <c r="X2434" s="47">
        <f>IF(GrossBasis="Wholesale",V2434,W2434)</f>
        <v/>
      </c>
      <c r="Y2434" s="47">
        <f>R2434*INDEX(FmtBlendedCogs,MATCH(F2434,FmtName,0))</f>
        <v/>
      </c>
      <c r="Z2434" s="47">
        <f>X2434-Y2434</f>
        <v/>
      </c>
    </row>
    <row r="2435">
      <c r="A2435" t="n">
        <v>49</v>
      </c>
      <c r="B2435" s="44">
        <f>FiscalStart+(A2435-1)*7</f>
        <v/>
      </c>
      <c r="C2435">
        <f>TEXT(B2435,"mmm yyyy")</f>
        <v/>
      </c>
      <c r="D2435">
        <f>"Q"&amp;(INT((A2435-1)/13)+1)</f>
        <v/>
      </c>
      <c r="E2435" t="inlineStr">
        <is>
          <t>FDM</t>
        </is>
      </c>
      <c r="F2435">
        <f>IFERROR(INDEX(ChFormat,MATCH(E2435,ChName,0)),"")</f>
        <v/>
      </c>
      <c r="G2435" t="inlineStr">
        <is>
          <t>QC</t>
        </is>
      </c>
      <c r="H2435">
        <f>IF(A2435&lt;=NWeeks,1,0)</f>
        <v/>
      </c>
      <c r="I2435">
        <f>INDEX(ChLaunch,MATCH(E2435,ChName,0))</f>
        <v/>
      </c>
      <c r="J2435">
        <f>INDEX(ChWeeksFull,MATCH(E2435,ChName,0))</f>
        <v/>
      </c>
      <c r="K2435">
        <f>INDEX(ChRamp,MATCH(E2435,ChName,0))</f>
        <v/>
      </c>
      <c r="L2435" s="45">
        <f>MIN(1,MAX(0,(A2435-I2435+1)*RampSpeed/J2435))</f>
        <v/>
      </c>
      <c r="M2435" s="45">
        <f>IF(A2435&lt;I2435,0,IF(K2435="S-curve",L2435*L2435*(3-2*L2435),L2435))</f>
        <v/>
      </c>
      <c r="N2435" s="45">
        <f>1+(INDEX(SeasonIdx,A2435)-1)*SeasonAmp</f>
        <v/>
      </c>
      <c r="O2435" s="45">
        <f>IFERROR(INDEX(PSPct,MATCH(E2435&amp;"|"&amp;G2435,PSKey,0)),0)</f>
        <v/>
      </c>
      <c r="P2435" s="46">
        <f>INDEX(ChDoorVel,MATCH(E2435,ChName,0))*CalibScalar*(1+VelocityUplift)</f>
        <v/>
      </c>
      <c r="Q2435" s="46" t="n">
        <v>0</v>
      </c>
      <c r="R2435" s="46">
        <f>P2435*O2435*M2435*N2435*H2435</f>
        <v/>
      </c>
      <c r="S2435" s="46">
        <f>R2435*INDEX(FmtCansPerCase,MATCH(F2435,FmtName,0))</f>
        <v/>
      </c>
      <c r="T2435" s="46">
        <f>S2435/INDEX(FmtCansPerPack,MATCH(F2435,FmtName,0))</f>
        <v/>
      </c>
      <c r="U2435" s="47">
        <f>INDEX(ChBaseCP,MATCH(E2435,ChName,0))*(1+INDEX(ProvMod,MATCH(G2435,ProvCode,0)))*(1+PriceIndex)</f>
        <v/>
      </c>
      <c r="V2435" s="47">
        <f>R2435*U2435*INDEX(FmtBlendedPriceIdx,MATCH(F2435,FmtName,0))</f>
        <v/>
      </c>
      <c r="W2435" s="47">
        <f>T2435*INDEX(ProvSRP,MATCH(G2435,ProvCode,0))*(1+PriceIndex)</f>
        <v/>
      </c>
      <c r="X2435" s="47">
        <f>IF(GrossBasis="Wholesale",V2435,W2435)</f>
        <v/>
      </c>
      <c r="Y2435" s="47">
        <f>R2435*INDEX(FmtBlendedCogs,MATCH(F2435,FmtName,0))</f>
        <v/>
      </c>
      <c r="Z2435" s="47">
        <f>X2435-Y2435</f>
        <v/>
      </c>
    </row>
    <row r="2436">
      <c r="A2436" t="n">
        <v>50</v>
      </c>
      <c r="B2436" s="44">
        <f>FiscalStart+(A2436-1)*7</f>
        <v/>
      </c>
      <c r="C2436">
        <f>TEXT(B2436,"mmm yyyy")</f>
        <v/>
      </c>
      <c r="D2436">
        <f>"Q"&amp;(INT((A2436-1)/13)+1)</f>
        <v/>
      </c>
      <c r="E2436" t="inlineStr">
        <is>
          <t>FDM</t>
        </is>
      </c>
      <c r="F2436">
        <f>IFERROR(INDEX(ChFormat,MATCH(E2436,ChName,0)),"")</f>
        <v/>
      </c>
      <c r="G2436" t="inlineStr">
        <is>
          <t>QC</t>
        </is>
      </c>
      <c r="H2436">
        <f>IF(A2436&lt;=NWeeks,1,0)</f>
        <v/>
      </c>
      <c r="I2436">
        <f>INDEX(ChLaunch,MATCH(E2436,ChName,0))</f>
        <v/>
      </c>
      <c r="J2436">
        <f>INDEX(ChWeeksFull,MATCH(E2436,ChName,0))</f>
        <v/>
      </c>
      <c r="K2436">
        <f>INDEX(ChRamp,MATCH(E2436,ChName,0))</f>
        <v/>
      </c>
      <c r="L2436" s="45">
        <f>MIN(1,MAX(0,(A2436-I2436+1)*RampSpeed/J2436))</f>
        <v/>
      </c>
      <c r="M2436" s="45">
        <f>IF(A2436&lt;I2436,0,IF(K2436="S-curve",L2436*L2436*(3-2*L2436),L2436))</f>
        <v/>
      </c>
      <c r="N2436" s="45">
        <f>1+(INDEX(SeasonIdx,A2436)-1)*SeasonAmp</f>
        <v/>
      </c>
      <c r="O2436" s="45">
        <f>IFERROR(INDEX(PSPct,MATCH(E2436&amp;"|"&amp;G2436,PSKey,0)),0)</f>
        <v/>
      </c>
      <c r="P2436" s="46">
        <f>INDEX(ChDoorVel,MATCH(E2436,ChName,0))*CalibScalar*(1+VelocityUplift)</f>
        <v/>
      </c>
      <c r="Q2436" s="46" t="n">
        <v>0</v>
      </c>
      <c r="R2436" s="46">
        <f>P2436*O2436*M2436*N2436*H2436</f>
        <v/>
      </c>
      <c r="S2436" s="46">
        <f>R2436*INDEX(FmtCansPerCase,MATCH(F2436,FmtName,0))</f>
        <v/>
      </c>
      <c r="T2436" s="46">
        <f>S2436/INDEX(FmtCansPerPack,MATCH(F2436,FmtName,0))</f>
        <v/>
      </c>
      <c r="U2436" s="47">
        <f>INDEX(ChBaseCP,MATCH(E2436,ChName,0))*(1+INDEX(ProvMod,MATCH(G2436,ProvCode,0)))*(1+PriceIndex)</f>
        <v/>
      </c>
      <c r="V2436" s="47">
        <f>R2436*U2436*INDEX(FmtBlendedPriceIdx,MATCH(F2436,FmtName,0))</f>
        <v/>
      </c>
      <c r="W2436" s="47">
        <f>T2436*INDEX(ProvSRP,MATCH(G2436,ProvCode,0))*(1+PriceIndex)</f>
        <v/>
      </c>
      <c r="X2436" s="47">
        <f>IF(GrossBasis="Wholesale",V2436,W2436)</f>
        <v/>
      </c>
      <c r="Y2436" s="47">
        <f>R2436*INDEX(FmtBlendedCogs,MATCH(F2436,FmtName,0))</f>
        <v/>
      </c>
      <c r="Z2436" s="47">
        <f>X2436-Y2436</f>
        <v/>
      </c>
    </row>
    <row r="2437">
      <c r="A2437" t="n">
        <v>51</v>
      </c>
      <c r="B2437" s="44">
        <f>FiscalStart+(A2437-1)*7</f>
        <v/>
      </c>
      <c r="C2437">
        <f>TEXT(B2437,"mmm yyyy")</f>
        <v/>
      </c>
      <c r="D2437">
        <f>"Q"&amp;(INT((A2437-1)/13)+1)</f>
        <v/>
      </c>
      <c r="E2437" t="inlineStr">
        <is>
          <t>FDM</t>
        </is>
      </c>
      <c r="F2437">
        <f>IFERROR(INDEX(ChFormat,MATCH(E2437,ChName,0)),"")</f>
        <v/>
      </c>
      <c r="G2437" t="inlineStr">
        <is>
          <t>QC</t>
        </is>
      </c>
      <c r="H2437">
        <f>IF(A2437&lt;=NWeeks,1,0)</f>
        <v/>
      </c>
      <c r="I2437">
        <f>INDEX(ChLaunch,MATCH(E2437,ChName,0))</f>
        <v/>
      </c>
      <c r="J2437">
        <f>INDEX(ChWeeksFull,MATCH(E2437,ChName,0))</f>
        <v/>
      </c>
      <c r="K2437">
        <f>INDEX(ChRamp,MATCH(E2437,ChName,0))</f>
        <v/>
      </c>
      <c r="L2437" s="45">
        <f>MIN(1,MAX(0,(A2437-I2437+1)*RampSpeed/J2437))</f>
        <v/>
      </c>
      <c r="M2437" s="45">
        <f>IF(A2437&lt;I2437,0,IF(K2437="S-curve",L2437*L2437*(3-2*L2437),L2437))</f>
        <v/>
      </c>
      <c r="N2437" s="45">
        <f>1+(INDEX(SeasonIdx,A2437)-1)*SeasonAmp</f>
        <v/>
      </c>
      <c r="O2437" s="45">
        <f>IFERROR(INDEX(PSPct,MATCH(E2437&amp;"|"&amp;G2437,PSKey,0)),0)</f>
        <v/>
      </c>
      <c r="P2437" s="46">
        <f>INDEX(ChDoorVel,MATCH(E2437,ChName,0))*CalibScalar*(1+VelocityUplift)</f>
        <v/>
      </c>
      <c r="Q2437" s="46" t="n">
        <v>0</v>
      </c>
      <c r="R2437" s="46">
        <f>P2437*O2437*M2437*N2437*H2437</f>
        <v/>
      </c>
      <c r="S2437" s="46">
        <f>R2437*INDEX(FmtCansPerCase,MATCH(F2437,FmtName,0))</f>
        <v/>
      </c>
      <c r="T2437" s="46">
        <f>S2437/INDEX(FmtCansPerPack,MATCH(F2437,FmtName,0))</f>
        <v/>
      </c>
      <c r="U2437" s="47">
        <f>INDEX(ChBaseCP,MATCH(E2437,ChName,0))*(1+INDEX(ProvMod,MATCH(G2437,ProvCode,0)))*(1+PriceIndex)</f>
        <v/>
      </c>
      <c r="V2437" s="47">
        <f>R2437*U2437*INDEX(FmtBlendedPriceIdx,MATCH(F2437,FmtName,0))</f>
        <v/>
      </c>
      <c r="W2437" s="47">
        <f>T2437*INDEX(ProvSRP,MATCH(G2437,ProvCode,0))*(1+PriceIndex)</f>
        <v/>
      </c>
      <c r="X2437" s="47">
        <f>IF(GrossBasis="Wholesale",V2437,W2437)</f>
        <v/>
      </c>
      <c r="Y2437" s="47">
        <f>R2437*INDEX(FmtBlendedCogs,MATCH(F2437,FmtName,0))</f>
        <v/>
      </c>
      <c r="Z2437" s="47">
        <f>X2437-Y2437</f>
        <v/>
      </c>
    </row>
    <row r="2438">
      <c r="A2438" t="n">
        <v>52</v>
      </c>
      <c r="B2438" s="44">
        <f>FiscalStart+(A2438-1)*7</f>
        <v/>
      </c>
      <c r="C2438">
        <f>TEXT(B2438,"mmm yyyy")</f>
        <v/>
      </c>
      <c r="D2438">
        <f>"Q"&amp;(INT((A2438-1)/13)+1)</f>
        <v/>
      </c>
      <c r="E2438" t="inlineStr">
        <is>
          <t>FDM</t>
        </is>
      </c>
      <c r="F2438">
        <f>IFERROR(INDEX(ChFormat,MATCH(E2438,ChName,0)),"")</f>
        <v/>
      </c>
      <c r="G2438" t="inlineStr">
        <is>
          <t>QC</t>
        </is>
      </c>
      <c r="H2438">
        <f>IF(A2438&lt;=NWeeks,1,0)</f>
        <v/>
      </c>
      <c r="I2438">
        <f>INDEX(ChLaunch,MATCH(E2438,ChName,0))</f>
        <v/>
      </c>
      <c r="J2438">
        <f>INDEX(ChWeeksFull,MATCH(E2438,ChName,0))</f>
        <v/>
      </c>
      <c r="K2438">
        <f>INDEX(ChRamp,MATCH(E2438,ChName,0))</f>
        <v/>
      </c>
      <c r="L2438" s="45">
        <f>MIN(1,MAX(0,(A2438-I2438+1)*RampSpeed/J2438))</f>
        <v/>
      </c>
      <c r="M2438" s="45">
        <f>IF(A2438&lt;I2438,0,IF(K2438="S-curve",L2438*L2438*(3-2*L2438),L2438))</f>
        <v/>
      </c>
      <c r="N2438" s="45">
        <f>1+(INDEX(SeasonIdx,A2438)-1)*SeasonAmp</f>
        <v/>
      </c>
      <c r="O2438" s="45">
        <f>IFERROR(INDEX(PSPct,MATCH(E2438&amp;"|"&amp;G2438,PSKey,0)),0)</f>
        <v/>
      </c>
      <c r="P2438" s="46">
        <f>INDEX(ChDoorVel,MATCH(E2438,ChName,0))*CalibScalar*(1+VelocityUplift)</f>
        <v/>
      </c>
      <c r="Q2438" s="46" t="n">
        <v>0</v>
      </c>
      <c r="R2438" s="46">
        <f>P2438*O2438*M2438*N2438*H2438</f>
        <v/>
      </c>
      <c r="S2438" s="46">
        <f>R2438*INDEX(FmtCansPerCase,MATCH(F2438,FmtName,0))</f>
        <v/>
      </c>
      <c r="T2438" s="46">
        <f>S2438/INDEX(FmtCansPerPack,MATCH(F2438,FmtName,0))</f>
        <v/>
      </c>
      <c r="U2438" s="47">
        <f>INDEX(ChBaseCP,MATCH(E2438,ChName,0))*(1+INDEX(ProvMod,MATCH(G2438,ProvCode,0)))*(1+PriceIndex)</f>
        <v/>
      </c>
      <c r="V2438" s="47">
        <f>R2438*U2438*INDEX(FmtBlendedPriceIdx,MATCH(F2438,FmtName,0))</f>
        <v/>
      </c>
      <c r="W2438" s="47">
        <f>T2438*INDEX(ProvSRP,MATCH(G2438,ProvCode,0))*(1+PriceIndex)</f>
        <v/>
      </c>
      <c r="X2438" s="47">
        <f>IF(GrossBasis="Wholesale",V2438,W2438)</f>
        <v/>
      </c>
      <c r="Y2438" s="47">
        <f>R2438*INDEX(FmtBlendedCogs,MATCH(F2438,FmtName,0))</f>
        <v/>
      </c>
      <c r="Z2438" s="47">
        <f>X2438-Y2438</f>
        <v/>
      </c>
    </row>
    <row r="2439">
      <c r="A2439" t="n">
        <v>53</v>
      </c>
      <c r="B2439" s="44">
        <f>FiscalStart+(A2439-1)*7</f>
        <v/>
      </c>
      <c r="C2439">
        <f>TEXT(B2439,"mmm yyyy")</f>
        <v/>
      </c>
      <c r="D2439">
        <f>"Q"&amp;(INT((A2439-1)/13)+1)</f>
        <v/>
      </c>
      <c r="E2439" t="inlineStr">
        <is>
          <t>FDM</t>
        </is>
      </c>
      <c r="F2439">
        <f>IFERROR(INDEX(ChFormat,MATCH(E2439,ChName,0)),"")</f>
        <v/>
      </c>
      <c r="G2439" t="inlineStr">
        <is>
          <t>QC</t>
        </is>
      </c>
      <c r="H2439">
        <f>IF(A2439&lt;=NWeeks,1,0)</f>
        <v/>
      </c>
      <c r="I2439">
        <f>INDEX(ChLaunch,MATCH(E2439,ChName,0))</f>
        <v/>
      </c>
      <c r="J2439">
        <f>INDEX(ChWeeksFull,MATCH(E2439,ChName,0))</f>
        <v/>
      </c>
      <c r="K2439">
        <f>INDEX(ChRamp,MATCH(E2439,ChName,0))</f>
        <v/>
      </c>
      <c r="L2439" s="45">
        <f>MIN(1,MAX(0,(A2439-I2439+1)*RampSpeed/J2439))</f>
        <v/>
      </c>
      <c r="M2439" s="45">
        <f>IF(A2439&lt;I2439,0,IF(K2439="S-curve",L2439*L2439*(3-2*L2439),L2439))</f>
        <v/>
      </c>
      <c r="N2439" s="45">
        <f>1+(INDEX(SeasonIdx,A2439)-1)*SeasonAmp</f>
        <v/>
      </c>
      <c r="O2439" s="45">
        <f>IFERROR(INDEX(PSPct,MATCH(E2439&amp;"|"&amp;G2439,PSKey,0)),0)</f>
        <v/>
      </c>
      <c r="P2439" s="46">
        <f>INDEX(ChDoorVel,MATCH(E2439,ChName,0))*CalibScalar*(1+VelocityUplift)</f>
        <v/>
      </c>
      <c r="Q2439" s="46" t="n">
        <v>0</v>
      </c>
      <c r="R2439" s="46">
        <f>P2439*O2439*M2439*N2439*H2439</f>
        <v/>
      </c>
      <c r="S2439" s="46">
        <f>R2439*INDEX(FmtCansPerCase,MATCH(F2439,FmtName,0))</f>
        <v/>
      </c>
      <c r="T2439" s="46">
        <f>S2439/INDEX(FmtCansPerPack,MATCH(F2439,FmtName,0))</f>
        <v/>
      </c>
      <c r="U2439" s="47">
        <f>INDEX(ChBaseCP,MATCH(E2439,ChName,0))*(1+INDEX(ProvMod,MATCH(G2439,ProvCode,0)))*(1+PriceIndex)</f>
        <v/>
      </c>
      <c r="V2439" s="47">
        <f>R2439*U2439*INDEX(FmtBlendedPriceIdx,MATCH(F2439,FmtName,0))</f>
        <v/>
      </c>
      <c r="W2439" s="47">
        <f>T2439*INDEX(ProvSRP,MATCH(G2439,ProvCode,0))*(1+PriceIndex)</f>
        <v/>
      </c>
      <c r="X2439" s="47">
        <f>IF(GrossBasis="Wholesale",V2439,W2439)</f>
        <v/>
      </c>
      <c r="Y2439" s="47">
        <f>R2439*INDEX(FmtBlendedCogs,MATCH(F2439,FmtName,0))</f>
        <v/>
      </c>
      <c r="Z2439" s="47">
        <f>X2439-Y2439</f>
        <v/>
      </c>
    </row>
    <row r="2440">
      <c r="A2440" t="n">
        <v>1</v>
      </c>
      <c r="B2440" s="44">
        <f>FiscalStart+(A2440-1)*7</f>
        <v/>
      </c>
      <c r="C2440">
        <f>TEXT(B2440,"mmm yyyy")</f>
        <v/>
      </c>
      <c r="D2440">
        <f>"Q"&amp;(INT((A2440-1)/13)+1)</f>
        <v/>
      </c>
      <c r="E2440" t="inlineStr">
        <is>
          <t>FDM</t>
        </is>
      </c>
      <c r="F2440">
        <f>IFERROR(INDEX(ChFormat,MATCH(E2440,ChName,0)),"")</f>
        <v/>
      </c>
      <c r="G2440" t="inlineStr">
        <is>
          <t>NB</t>
        </is>
      </c>
      <c r="H2440">
        <f>IF(A2440&lt;=NWeeks,1,0)</f>
        <v/>
      </c>
      <c r="I2440">
        <f>INDEX(ChLaunch,MATCH(E2440,ChName,0))</f>
        <v/>
      </c>
      <c r="J2440">
        <f>INDEX(ChWeeksFull,MATCH(E2440,ChName,0))</f>
        <v/>
      </c>
      <c r="K2440">
        <f>INDEX(ChRamp,MATCH(E2440,ChName,0))</f>
        <v/>
      </c>
      <c r="L2440" s="45">
        <f>MIN(1,MAX(0,(A2440-I2440+1)*RampSpeed/J2440))</f>
        <v/>
      </c>
      <c r="M2440" s="45">
        <f>IF(A2440&lt;I2440,0,IF(K2440="S-curve",L2440*L2440*(3-2*L2440),L2440))</f>
        <v/>
      </c>
      <c r="N2440" s="45">
        <f>1+(INDEX(SeasonIdx,A2440)-1)*SeasonAmp</f>
        <v/>
      </c>
      <c r="O2440" s="45">
        <f>IFERROR(INDEX(PSPct,MATCH(E2440&amp;"|"&amp;G2440,PSKey,0)),0)</f>
        <v/>
      </c>
      <c r="P2440" s="46">
        <f>INDEX(ChDoorVel,MATCH(E2440,ChName,0))*CalibScalar*(1+VelocityUplift)</f>
        <v/>
      </c>
      <c r="Q2440" s="46" t="n">
        <v>0</v>
      </c>
      <c r="R2440" s="46">
        <f>P2440*O2440*M2440*N2440*H2440</f>
        <v/>
      </c>
      <c r="S2440" s="46">
        <f>R2440*INDEX(FmtCansPerCase,MATCH(F2440,FmtName,0))</f>
        <v/>
      </c>
      <c r="T2440" s="46">
        <f>S2440/INDEX(FmtCansPerPack,MATCH(F2440,FmtName,0))</f>
        <v/>
      </c>
      <c r="U2440" s="47">
        <f>INDEX(ChBaseCP,MATCH(E2440,ChName,0))*(1+INDEX(ProvMod,MATCH(G2440,ProvCode,0)))*(1+PriceIndex)</f>
        <v/>
      </c>
      <c r="V2440" s="47">
        <f>R2440*U2440*INDEX(FmtBlendedPriceIdx,MATCH(F2440,FmtName,0))</f>
        <v/>
      </c>
      <c r="W2440" s="47">
        <f>T2440*INDEX(ProvSRP,MATCH(G2440,ProvCode,0))*(1+PriceIndex)</f>
        <v/>
      </c>
      <c r="X2440" s="47">
        <f>IF(GrossBasis="Wholesale",V2440,W2440)</f>
        <v/>
      </c>
      <c r="Y2440" s="47">
        <f>R2440*INDEX(FmtBlendedCogs,MATCH(F2440,FmtName,0))</f>
        <v/>
      </c>
      <c r="Z2440" s="47">
        <f>X2440-Y2440</f>
        <v/>
      </c>
    </row>
    <row r="2441">
      <c r="A2441" t="n">
        <v>2</v>
      </c>
      <c r="B2441" s="44">
        <f>FiscalStart+(A2441-1)*7</f>
        <v/>
      </c>
      <c r="C2441">
        <f>TEXT(B2441,"mmm yyyy")</f>
        <v/>
      </c>
      <c r="D2441">
        <f>"Q"&amp;(INT((A2441-1)/13)+1)</f>
        <v/>
      </c>
      <c r="E2441" t="inlineStr">
        <is>
          <t>FDM</t>
        </is>
      </c>
      <c r="F2441">
        <f>IFERROR(INDEX(ChFormat,MATCH(E2441,ChName,0)),"")</f>
        <v/>
      </c>
      <c r="G2441" t="inlineStr">
        <is>
          <t>NB</t>
        </is>
      </c>
      <c r="H2441">
        <f>IF(A2441&lt;=NWeeks,1,0)</f>
        <v/>
      </c>
      <c r="I2441">
        <f>INDEX(ChLaunch,MATCH(E2441,ChName,0))</f>
        <v/>
      </c>
      <c r="J2441">
        <f>INDEX(ChWeeksFull,MATCH(E2441,ChName,0))</f>
        <v/>
      </c>
      <c r="K2441">
        <f>INDEX(ChRamp,MATCH(E2441,ChName,0))</f>
        <v/>
      </c>
      <c r="L2441" s="45">
        <f>MIN(1,MAX(0,(A2441-I2441+1)*RampSpeed/J2441))</f>
        <v/>
      </c>
      <c r="M2441" s="45">
        <f>IF(A2441&lt;I2441,0,IF(K2441="S-curve",L2441*L2441*(3-2*L2441),L2441))</f>
        <v/>
      </c>
      <c r="N2441" s="45">
        <f>1+(INDEX(SeasonIdx,A2441)-1)*SeasonAmp</f>
        <v/>
      </c>
      <c r="O2441" s="45">
        <f>IFERROR(INDEX(PSPct,MATCH(E2441&amp;"|"&amp;G2441,PSKey,0)),0)</f>
        <v/>
      </c>
      <c r="P2441" s="46">
        <f>INDEX(ChDoorVel,MATCH(E2441,ChName,0))*CalibScalar*(1+VelocityUplift)</f>
        <v/>
      </c>
      <c r="Q2441" s="46" t="n">
        <v>0</v>
      </c>
      <c r="R2441" s="46">
        <f>P2441*O2441*M2441*N2441*H2441</f>
        <v/>
      </c>
      <c r="S2441" s="46">
        <f>R2441*INDEX(FmtCansPerCase,MATCH(F2441,FmtName,0))</f>
        <v/>
      </c>
      <c r="T2441" s="46">
        <f>S2441/INDEX(FmtCansPerPack,MATCH(F2441,FmtName,0))</f>
        <v/>
      </c>
      <c r="U2441" s="47">
        <f>INDEX(ChBaseCP,MATCH(E2441,ChName,0))*(1+INDEX(ProvMod,MATCH(G2441,ProvCode,0)))*(1+PriceIndex)</f>
        <v/>
      </c>
      <c r="V2441" s="47">
        <f>R2441*U2441*INDEX(FmtBlendedPriceIdx,MATCH(F2441,FmtName,0))</f>
        <v/>
      </c>
      <c r="W2441" s="47">
        <f>T2441*INDEX(ProvSRP,MATCH(G2441,ProvCode,0))*(1+PriceIndex)</f>
        <v/>
      </c>
      <c r="X2441" s="47">
        <f>IF(GrossBasis="Wholesale",V2441,W2441)</f>
        <v/>
      </c>
      <c r="Y2441" s="47">
        <f>R2441*INDEX(FmtBlendedCogs,MATCH(F2441,FmtName,0))</f>
        <v/>
      </c>
      <c r="Z2441" s="47">
        <f>X2441-Y2441</f>
        <v/>
      </c>
    </row>
    <row r="2442">
      <c r="A2442" t="n">
        <v>3</v>
      </c>
      <c r="B2442" s="44">
        <f>FiscalStart+(A2442-1)*7</f>
        <v/>
      </c>
      <c r="C2442">
        <f>TEXT(B2442,"mmm yyyy")</f>
        <v/>
      </c>
      <c r="D2442">
        <f>"Q"&amp;(INT((A2442-1)/13)+1)</f>
        <v/>
      </c>
      <c r="E2442" t="inlineStr">
        <is>
          <t>FDM</t>
        </is>
      </c>
      <c r="F2442">
        <f>IFERROR(INDEX(ChFormat,MATCH(E2442,ChName,0)),"")</f>
        <v/>
      </c>
      <c r="G2442" t="inlineStr">
        <is>
          <t>NB</t>
        </is>
      </c>
      <c r="H2442">
        <f>IF(A2442&lt;=NWeeks,1,0)</f>
        <v/>
      </c>
      <c r="I2442">
        <f>INDEX(ChLaunch,MATCH(E2442,ChName,0))</f>
        <v/>
      </c>
      <c r="J2442">
        <f>INDEX(ChWeeksFull,MATCH(E2442,ChName,0))</f>
        <v/>
      </c>
      <c r="K2442">
        <f>INDEX(ChRamp,MATCH(E2442,ChName,0))</f>
        <v/>
      </c>
      <c r="L2442" s="45">
        <f>MIN(1,MAX(0,(A2442-I2442+1)*RampSpeed/J2442))</f>
        <v/>
      </c>
      <c r="M2442" s="45">
        <f>IF(A2442&lt;I2442,0,IF(K2442="S-curve",L2442*L2442*(3-2*L2442),L2442))</f>
        <v/>
      </c>
      <c r="N2442" s="45">
        <f>1+(INDEX(SeasonIdx,A2442)-1)*SeasonAmp</f>
        <v/>
      </c>
      <c r="O2442" s="45">
        <f>IFERROR(INDEX(PSPct,MATCH(E2442&amp;"|"&amp;G2442,PSKey,0)),0)</f>
        <v/>
      </c>
      <c r="P2442" s="46">
        <f>INDEX(ChDoorVel,MATCH(E2442,ChName,0))*CalibScalar*(1+VelocityUplift)</f>
        <v/>
      </c>
      <c r="Q2442" s="46" t="n">
        <v>0</v>
      </c>
      <c r="R2442" s="46">
        <f>P2442*O2442*M2442*N2442*H2442</f>
        <v/>
      </c>
      <c r="S2442" s="46">
        <f>R2442*INDEX(FmtCansPerCase,MATCH(F2442,FmtName,0))</f>
        <v/>
      </c>
      <c r="T2442" s="46">
        <f>S2442/INDEX(FmtCansPerPack,MATCH(F2442,FmtName,0))</f>
        <v/>
      </c>
      <c r="U2442" s="47">
        <f>INDEX(ChBaseCP,MATCH(E2442,ChName,0))*(1+INDEX(ProvMod,MATCH(G2442,ProvCode,0)))*(1+PriceIndex)</f>
        <v/>
      </c>
      <c r="V2442" s="47">
        <f>R2442*U2442*INDEX(FmtBlendedPriceIdx,MATCH(F2442,FmtName,0))</f>
        <v/>
      </c>
      <c r="W2442" s="47">
        <f>T2442*INDEX(ProvSRP,MATCH(G2442,ProvCode,0))*(1+PriceIndex)</f>
        <v/>
      </c>
      <c r="X2442" s="47">
        <f>IF(GrossBasis="Wholesale",V2442,W2442)</f>
        <v/>
      </c>
      <c r="Y2442" s="47">
        <f>R2442*INDEX(FmtBlendedCogs,MATCH(F2442,FmtName,0))</f>
        <v/>
      </c>
      <c r="Z2442" s="47">
        <f>X2442-Y2442</f>
        <v/>
      </c>
    </row>
    <row r="2443">
      <c r="A2443" t="n">
        <v>4</v>
      </c>
      <c r="B2443" s="44">
        <f>FiscalStart+(A2443-1)*7</f>
        <v/>
      </c>
      <c r="C2443">
        <f>TEXT(B2443,"mmm yyyy")</f>
        <v/>
      </c>
      <c r="D2443">
        <f>"Q"&amp;(INT((A2443-1)/13)+1)</f>
        <v/>
      </c>
      <c r="E2443" t="inlineStr">
        <is>
          <t>FDM</t>
        </is>
      </c>
      <c r="F2443">
        <f>IFERROR(INDEX(ChFormat,MATCH(E2443,ChName,0)),"")</f>
        <v/>
      </c>
      <c r="G2443" t="inlineStr">
        <is>
          <t>NB</t>
        </is>
      </c>
      <c r="H2443">
        <f>IF(A2443&lt;=NWeeks,1,0)</f>
        <v/>
      </c>
      <c r="I2443">
        <f>INDEX(ChLaunch,MATCH(E2443,ChName,0))</f>
        <v/>
      </c>
      <c r="J2443">
        <f>INDEX(ChWeeksFull,MATCH(E2443,ChName,0))</f>
        <v/>
      </c>
      <c r="K2443">
        <f>INDEX(ChRamp,MATCH(E2443,ChName,0))</f>
        <v/>
      </c>
      <c r="L2443" s="45">
        <f>MIN(1,MAX(0,(A2443-I2443+1)*RampSpeed/J2443))</f>
        <v/>
      </c>
      <c r="M2443" s="45">
        <f>IF(A2443&lt;I2443,0,IF(K2443="S-curve",L2443*L2443*(3-2*L2443),L2443))</f>
        <v/>
      </c>
      <c r="N2443" s="45">
        <f>1+(INDEX(SeasonIdx,A2443)-1)*SeasonAmp</f>
        <v/>
      </c>
      <c r="O2443" s="45">
        <f>IFERROR(INDEX(PSPct,MATCH(E2443&amp;"|"&amp;G2443,PSKey,0)),0)</f>
        <v/>
      </c>
      <c r="P2443" s="46">
        <f>INDEX(ChDoorVel,MATCH(E2443,ChName,0))*CalibScalar*(1+VelocityUplift)</f>
        <v/>
      </c>
      <c r="Q2443" s="46" t="n">
        <v>0</v>
      </c>
      <c r="R2443" s="46">
        <f>P2443*O2443*M2443*N2443*H2443</f>
        <v/>
      </c>
      <c r="S2443" s="46">
        <f>R2443*INDEX(FmtCansPerCase,MATCH(F2443,FmtName,0))</f>
        <v/>
      </c>
      <c r="T2443" s="46">
        <f>S2443/INDEX(FmtCansPerPack,MATCH(F2443,FmtName,0))</f>
        <v/>
      </c>
      <c r="U2443" s="47">
        <f>INDEX(ChBaseCP,MATCH(E2443,ChName,0))*(1+INDEX(ProvMod,MATCH(G2443,ProvCode,0)))*(1+PriceIndex)</f>
        <v/>
      </c>
      <c r="V2443" s="47">
        <f>R2443*U2443*INDEX(FmtBlendedPriceIdx,MATCH(F2443,FmtName,0))</f>
        <v/>
      </c>
      <c r="W2443" s="47">
        <f>T2443*INDEX(ProvSRP,MATCH(G2443,ProvCode,0))*(1+PriceIndex)</f>
        <v/>
      </c>
      <c r="X2443" s="47">
        <f>IF(GrossBasis="Wholesale",V2443,W2443)</f>
        <v/>
      </c>
      <c r="Y2443" s="47">
        <f>R2443*INDEX(FmtBlendedCogs,MATCH(F2443,FmtName,0))</f>
        <v/>
      </c>
      <c r="Z2443" s="47">
        <f>X2443-Y2443</f>
        <v/>
      </c>
    </row>
    <row r="2444">
      <c r="A2444" t="n">
        <v>5</v>
      </c>
      <c r="B2444" s="44">
        <f>FiscalStart+(A2444-1)*7</f>
        <v/>
      </c>
      <c r="C2444">
        <f>TEXT(B2444,"mmm yyyy")</f>
        <v/>
      </c>
      <c r="D2444">
        <f>"Q"&amp;(INT((A2444-1)/13)+1)</f>
        <v/>
      </c>
      <c r="E2444" t="inlineStr">
        <is>
          <t>FDM</t>
        </is>
      </c>
      <c r="F2444">
        <f>IFERROR(INDEX(ChFormat,MATCH(E2444,ChName,0)),"")</f>
        <v/>
      </c>
      <c r="G2444" t="inlineStr">
        <is>
          <t>NB</t>
        </is>
      </c>
      <c r="H2444">
        <f>IF(A2444&lt;=NWeeks,1,0)</f>
        <v/>
      </c>
      <c r="I2444">
        <f>INDEX(ChLaunch,MATCH(E2444,ChName,0))</f>
        <v/>
      </c>
      <c r="J2444">
        <f>INDEX(ChWeeksFull,MATCH(E2444,ChName,0))</f>
        <v/>
      </c>
      <c r="K2444">
        <f>INDEX(ChRamp,MATCH(E2444,ChName,0))</f>
        <v/>
      </c>
      <c r="L2444" s="45">
        <f>MIN(1,MAX(0,(A2444-I2444+1)*RampSpeed/J2444))</f>
        <v/>
      </c>
      <c r="M2444" s="45">
        <f>IF(A2444&lt;I2444,0,IF(K2444="S-curve",L2444*L2444*(3-2*L2444),L2444))</f>
        <v/>
      </c>
      <c r="N2444" s="45">
        <f>1+(INDEX(SeasonIdx,A2444)-1)*SeasonAmp</f>
        <v/>
      </c>
      <c r="O2444" s="45">
        <f>IFERROR(INDEX(PSPct,MATCH(E2444&amp;"|"&amp;G2444,PSKey,0)),0)</f>
        <v/>
      </c>
      <c r="P2444" s="46">
        <f>INDEX(ChDoorVel,MATCH(E2444,ChName,0))*CalibScalar*(1+VelocityUplift)</f>
        <v/>
      </c>
      <c r="Q2444" s="46" t="n">
        <v>0</v>
      </c>
      <c r="R2444" s="46">
        <f>P2444*O2444*M2444*N2444*H2444</f>
        <v/>
      </c>
      <c r="S2444" s="46">
        <f>R2444*INDEX(FmtCansPerCase,MATCH(F2444,FmtName,0))</f>
        <v/>
      </c>
      <c r="T2444" s="46">
        <f>S2444/INDEX(FmtCansPerPack,MATCH(F2444,FmtName,0))</f>
        <v/>
      </c>
      <c r="U2444" s="47">
        <f>INDEX(ChBaseCP,MATCH(E2444,ChName,0))*(1+INDEX(ProvMod,MATCH(G2444,ProvCode,0)))*(1+PriceIndex)</f>
        <v/>
      </c>
      <c r="V2444" s="47">
        <f>R2444*U2444*INDEX(FmtBlendedPriceIdx,MATCH(F2444,FmtName,0))</f>
        <v/>
      </c>
      <c r="W2444" s="47">
        <f>T2444*INDEX(ProvSRP,MATCH(G2444,ProvCode,0))*(1+PriceIndex)</f>
        <v/>
      </c>
      <c r="X2444" s="47">
        <f>IF(GrossBasis="Wholesale",V2444,W2444)</f>
        <v/>
      </c>
      <c r="Y2444" s="47">
        <f>R2444*INDEX(FmtBlendedCogs,MATCH(F2444,FmtName,0))</f>
        <v/>
      </c>
      <c r="Z2444" s="47">
        <f>X2444-Y2444</f>
        <v/>
      </c>
    </row>
    <row r="2445">
      <c r="A2445" t="n">
        <v>6</v>
      </c>
      <c r="B2445" s="44">
        <f>FiscalStart+(A2445-1)*7</f>
        <v/>
      </c>
      <c r="C2445">
        <f>TEXT(B2445,"mmm yyyy")</f>
        <v/>
      </c>
      <c r="D2445">
        <f>"Q"&amp;(INT((A2445-1)/13)+1)</f>
        <v/>
      </c>
      <c r="E2445" t="inlineStr">
        <is>
          <t>FDM</t>
        </is>
      </c>
      <c r="F2445">
        <f>IFERROR(INDEX(ChFormat,MATCH(E2445,ChName,0)),"")</f>
        <v/>
      </c>
      <c r="G2445" t="inlineStr">
        <is>
          <t>NB</t>
        </is>
      </c>
      <c r="H2445">
        <f>IF(A2445&lt;=NWeeks,1,0)</f>
        <v/>
      </c>
      <c r="I2445">
        <f>INDEX(ChLaunch,MATCH(E2445,ChName,0))</f>
        <v/>
      </c>
      <c r="J2445">
        <f>INDEX(ChWeeksFull,MATCH(E2445,ChName,0))</f>
        <v/>
      </c>
      <c r="K2445">
        <f>INDEX(ChRamp,MATCH(E2445,ChName,0))</f>
        <v/>
      </c>
      <c r="L2445" s="45">
        <f>MIN(1,MAX(0,(A2445-I2445+1)*RampSpeed/J2445))</f>
        <v/>
      </c>
      <c r="M2445" s="45">
        <f>IF(A2445&lt;I2445,0,IF(K2445="S-curve",L2445*L2445*(3-2*L2445),L2445))</f>
        <v/>
      </c>
      <c r="N2445" s="45">
        <f>1+(INDEX(SeasonIdx,A2445)-1)*SeasonAmp</f>
        <v/>
      </c>
      <c r="O2445" s="45">
        <f>IFERROR(INDEX(PSPct,MATCH(E2445&amp;"|"&amp;G2445,PSKey,0)),0)</f>
        <v/>
      </c>
      <c r="P2445" s="46">
        <f>INDEX(ChDoorVel,MATCH(E2445,ChName,0))*CalibScalar*(1+VelocityUplift)</f>
        <v/>
      </c>
      <c r="Q2445" s="46" t="n">
        <v>0</v>
      </c>
      <c r="R2445" s="46">
        <f>P2445*O2445*M2445*N2445*H2445</f>
        <v/>
      </c>
      <c r="S2445" s="46">
        <f>R2445*INDEX(FmtCansPerCase,MATCH(F2445,FmtName,0))</f>
        <v/>
      </c>
      <c r="T2445" s="46">
        <f>S2445/INDEX(FmtCansPerPack,MATCH(F2445,FmtName,0))</f>
        <v/>
      </c>
      <c r="U2445" s="47">
        <f>INDEX(ChBaseCP,MATCH(E2445,ChName,0))*(1+INDEX(ProvMod,MATCH(G2445,ProvCode,0)))*(1+PriceIndex)</f>
        <v/>
      </c>
      <c r="V2445" s="47">
        <f>R2445*U2445*INDEX(FmtBlendedPriceIdx,MATCH(F2445,FmtName,0))</f>
        <v/>
      </c>
      <c r="W2445" s="47">
        <f>T2445*INDEX(ProvSRP,MATCH(G2445,ProvCode,0))*(1+PriceIndex)</f>
        <v/>
      </c>
      <c r="X2445" s="47">
        <f>IF(GrossBasis="Wholesale",V2445,W2445)</f>
        <v/>
      </c>
      <c r="Y2445" s="47">
        <f>R2445*INDEX(FmtBlendedCogs,MATCH(F2445,FmtName,0))</f>
        <v/>
      </c>
      <c r="Z2445" s="47">
        <f>X2445-Y2445</f>
        <v/>
      </c>
    </row>
    <row r="2446">
      <c r="A2446" t="n">
        <v>7</v>
      </c>
      <c r="B2446" s="44">
        <f>FiscalStart+(A2446-1)*7</f>
        <v/>
      </c>
      <c r="C2446">
        <f>TEXT(B2446,"mmm yyyy")</f>
        <v/>
      </c>
      <c r="D2446">
        <f>"Q"&amp;(INT((A2446-1)/13)+1)</f>
        <v/>
      </c>
      <c r="E2446" t="inlineStr">
        <is>
          <t>FDM</t>
        </is>
      </c>
      <c r="F2446">
        <f>IFERROR(INDEX(ChFormat,MATCH(E2446,ChName,0)),"")</f>
        <v/>
      </c>
      <c r="G2446" t="inlineStr">
        <is>
          <t>NB</t>
        </is>
      </c>
      <c r="H2446">
        <f>IF(A2446&lt;=NWeeks,1,0)</f>
        <v/>
      </c>
      <c r="I2446">
        <f>INDEX(ChLaunch,MATCH(E2446,ChName,0))</f>
        <v/>
      </c>
      <c r="J2446">
        <f>INDEX(ChWeeksFull,MATCH(E2446,ChName,0))</f>
        <v/>
      </c>
      <c r="K2446">
        <f>INDEX(ChRamp,MATCH(E2446,ChName,0))</f>
        <v/>
      </c>
      <c r="L2446" s="45">
        <f>MIN(1,MAX(0,(A2446-I2446+1)*RampSpeed/J2446))</f>
        <v/>
      </c>
      <c r="M2446" s="45">
        <f>IF(A2446&lt;I2446,0,IF(K2446="S-curve",L2446*L2446*(3-2*L2446),L2446))</f>
        <v/>
      </c>
      <c r="N2446" s="45">
        <f>1+(INDEX(SeasonIdx,A2446)-1)*SeasonAmp</f>
        <v/>
      </c>
      <c r="O2446" s="45">
        <f>IFERROR(INDEX(PSPct,MATCH(E2446&amp;"|"&amp;G2446,PSKey,0)),0)</f>
        <v/>
      </c>
      <c r="P2446" s="46">
        <f>INDEX(ChDoorVel,MATCH(E2446,ChName,0))*CalibScalar*(1+VelocityUplift)</f>
        <v/>
      </c>
      <c r="Q2446" s="46" t="n">
        <v>0</v>
      </c>
      <c r="R2446" s="46">
        <f>P2446*O2446*M2446*N2446*H2446</f>
        <v/>
      </c>
      <c r="S2446" s="46">
        <f>R2446*INDEX(FmtCansPerCase,MATCH(F2446,FmtName,0))</f>
        <v/>
      </c>
      <c r="T2446" s="46">
        <f>S2446/INDEX(FmtCansPerPack,MATCH(F2446,FmtName,0))</f>
        <v/>
      </c>
      <c r="U2446" s="47">
        <f>INDEX(ChBaseCP,MATCH(E2446,ChName,0))*(1+INDEX(ProvMod,MATCH(G2446,ProvCode,0)))*(1+PriceIndex)</f>
        <v/>
      </c>
      <c r="V2446" s="47">
        <f>R2446*U2446*INDEX(FmtBlendedPriceIdx,MATCH(F2446,FmtName,0))</f>
        <v/>
      </c>
      <c r="W2446" s="47">
        <f>T2446*INDEX(ProvSRP,MATCH(G2446,ProvCode,0))*(1+PriceIndex)</f>
        <v/>
      </c>
      <c r="X2446" s="47">
        <f>IF(GrossBasis="Wholesale",V2446,W2446)</f>
        <v/>
      </c>
      <c r="Y2446" s="47">
        <f>R2446*INDEX(FmtBlendedCogs,MATCH(F2446,FmtName,0))</f>
        <v/>
      </c>
      <c r="Z2446" s="47">
        <f>X2446-Y2446</f>
        <v/>
      </c>
    </row>
    <row r="2447">
      <c r="A2447" t="n">
        <v>8</v>
      </c>
      <c r="B2447" s="44">
        <f>FiscalStart+(A2447-1)*7</f>
        <v/>
      </c>
      <c r="C2447">
        <f>TEXT(B2447,"mmm yyyy")</f>
        <v/>
      </c>
      <c r="D2447">
        <f>"Q"&amp;(INT((A2447-1)/13)+1)</f>
        <v/>
      </c>
      <c r="E2447" t="inlineStr">
        <is>
          <t>FDM</t>
        </is>
      </c>
      <c r="F2447">
        <f>IFERROR(INDEX(ChFormat,MATCH(E2447,ChName,0)),"")</f>
        <v/>
      </c>
      <c r="G2447" t="inlineStr">
        <is>
          <t>NB</t>
        </is>
      </c>
      <c r="H2447">
        <f>IF(A2447&lt;=NWeeks,1,0)</f>
        <v/>
      </c>
      <c r="I2447">
        <f>INDEX(ChLaunch,MATCH(E2447,ChName,0))</f>
        <v/>
      </c>
      <c r="J2447">
        <f>INDEX(ChWeeksFull,MATCH(E2447,ChName,0))</f>
        <v/>
      </c>
      <c r="K2447">
        <f>INDEX(ChRamp,MATCH(E2447,ChName,0))</f>
        <v/>
      </c>
      <c r="L2447" s="45">
        <f>MIN(1,MAX(0,(A2447-I2447+1)*RampSpeed/J2447))</f>
        <v/>
      </c>
      <c r="M2447" s="45">
        <f>IF(A2447&lt;I2447,0,IF(K2447="S-curve",L2447*L2447*(3-2*L2447),L2447))</f>
        <v/>
      </c>
      <c r="N2447" s="45">
        <f>1+(INDEX(SeasonIdx,A2447)-1)*SeasonAmp</f>
        <v/>
      </c>
      <c r="O2447" s="45">
        <f>IFERROR(INDEX(PSPct,MATCH(E2447&amp;"|"&amp;G2447,PSKey,0)),0)</f>
        <v/>
      </c>
      <c r="P2447" s="46">
        <f>INDEX(ChDoorVel,MATCH(E2447,ChName,0))*CalibScalar*(1+VelocityUplift)</f>
        <v/>
      </c>
      <c r="Q2447" s="46" t="n">
        <v>0</v>
      </c>
      <c r="R2447" s="46">
        <f>P2447*O2447*M2447*N2447*H2447</f>
        <v/>
      </c>
      <c r="S2447" s="46">
        <f>R2447*INDEX(FmtCansPerCase,MATCH(F2447,FmtName,0))</f>
        <v/>
      </c>
      <c r="T2447" s="46">
        <f>S2447/INDEX(FmtCansPerPack,MATCH(F2447,FmtName,0))</f>
        <v/>
      </c>
      <c r="U2447" s="47">
        <f>INDEX(ChBaseCP,MATCH(E2447,ChName,0))*(1+INDEX(ProvMod,MATCH(G2447,ProvCode,0)))*(1+PriceIndex)</f>
        <v/>
      </c>
      <c r="V2447" s="47">
        <f>R2447*U2447*INDEX(FmtBlendedPriceIdx,MATCH(F2447,FmtName,0))</f>
        <v/>
      </c>
      <c r="W2447" s="47">
        <f>T2447*INDEX(ProvSRP,MATCH(G2447,ProvCode,0))*(1+PriceIndex)</f>
        <v/>
      </c>
      <c r="X2447" s="47">
        <f>IF(GrossBasis="Wholesale",V2447,W2447)</f>
        <v/>
      </c>
      <c r="Y2447" s="47">
        <f>R2447*INDEX(FmtBlendedCogs,MATCH(F2447,FmtName,0))</f>
        <v/>
      </c>
      <c r="Z2447" s="47">
        <f>X2447-Y2447</f>
        <v/>
      </c>
    </row>
    <row r="2448">
      <c r="A2448" t="n">
        <v>9</v>
      </c>
      <c r="B2448" s="44">
        <f>FiscalStart+(A2448-1)*7</f>
        <v/>
      </c>
      <c r="C2448">
        <f>TEXT(B2448,"mmm yyyy")</f>
        <v/>
      </c>
      <c r="D2448">
        <f>"Q"&amp;(INT((A2448-1)/13)+1)</f>
        <v/>
      </c>
      <c r="E2448" t="inlineStr">
        <is>
          <t>FDM</t>
        </is>
      </c>
      <c r="F2448">
        <f>IFERROR(INDEX(ChFormat,MATCH(E2448,ChName,0)),"")</f>
        <v/>
      </c>
      <c r="G2448" t="inlineStr">
        <is>
          <t>NB</t>
        </is>
      </c>
      <c r="H2448">
        <f>IF(A2448&lt;=NWeeks,1,0)</f>
        <v/>
      </c>
      <c r="I2448">
        <f>INDEX(ChLaunch,MATCH(E2448,ChName,0))</f>
        <v/>
      </c>
      <c r="J2448">
        <f>INDEX(ChWeeksFull,MATCH(E2448,ChName,0))</f>
        <v/>
      </c>
      <c r="K2448">
        <f>INDEX(ChRamp,MATCH(E2448,ChName,0))</f>
        <v/>
      </c>
      <c r="L2448" s="45">
        <f>MIN(1,MAX(0,(A2448-I2448+1)*RampSpeed/J2448))</f>
        <v/>
      </c>
      <c r="M2448" s="45">
        <f>IF(A2448&lt;I2448,0,IF(K2448="S-curve",L2448*L2448*(3-2*L2448),L2448))</f>
        <v/>
      </c>
      <c r="N2448" s="45">
        <f>1+(INDEX(SeasonIdx,A2448)-1)*SeasonAmp</f>
        <v/>
      </c>
      <c r="O2448" s="45">
        <f>IFERROR(INDEX(PSPct,MATCH(E2448&amp;"|"&amp;G2448,PSKey,0)),0)</f>
        <v/>
      </c>
      <c r="P2448" s="46">
        <f>INDEX(ChDoorVel,MATCH(E2448,ChName,0))*CalibScalar*(1+VelocityUplift)</f>
        <v/>
      </c>
      <c r="Q2448" s="46" t="n">
        <v>0</v>
      </c>
      <c r="R2448" s="46">
        <f>P2448*O2448*M2448*N2448*H2448</f>
        <v/>
      </c>
      <c r="S2448" s="46">
        <f>R2448*INDEX(FmtCansPerCase,MATCH(F2448,FmtName,0))</f>
        <v/>
      </c>
      <c r="T2448" s="46">
        <f>S2448/INDEX(FmtCansPerPack,MATCH(F2448,FmtName,0))</f>
        <v/>
      </c>
      <c r="U2448" s="47">
        <f>INDEX(ChBaseCP,MATCH(E2448,ChName,0))*(1+INDEX(ProvMod,MATCH(G2448,ProvCode,0)))*(1+PriceIndex)</f>
        <v/>
      </c>
      <c r="V2448" s="47">
        <f>R2448*U2448*INDEX(FmtBlendedPriceIdx,MATCH(F2448,FmtName,0))</f>
        <v/>
      </c>
      <c r="W2448" s="47">
        <f>T2448*INDEX(ProvSRP,MATCH(G2448,ProvCode,0))*(1+PriceIndex)</f>
        <v/>
      </c>
      <c r="X2448" s="47">
        <f>IF(GrossBasis="Wholesale",V2448,W2448)</f>
        <v/>
      </c>
      <c r="Y2448" s="47">
        <f>R2448*INDEX(FmtBlendedCogs,MATCH(F2448,FmtName,0))</f>
        <v/>
      </c>
      <c r="Z2448" s="47">
        <f>X2448-Y2448</f>
        <v/>
      </c>
    </row>
    <row r="2449">
      <c r="A2449" t="n">
        <v>10</v>
      </c>
      <c r="B2449" s="44">
        <f>FiscalStart+(A2449-1)*7</f>
        <v/>
      </c>
      <c r="C2449">
        <f>TEXT(B2449,"mmm yyyy")</f>
        <v/>
      </c>
      <c r="D2449">
        <f>"Q"&amp;(INT((A2449-1)/13)+1)</f>
        <v/>
      </c>
      <c r="E2449" t="inlineStr">
        <is>
          <t>FDM</t>
        </is>
      </c>
      <c r="F2449">
        <f>IFERROR(INDEX(ChFormat,MATCH(E2449,ChName,0)),"")</f>
        <v/>
      </c>
      <c r="G2449" t="inlineStr">
        <is>
          <t>NB</t>
        </is>
      </c>
      <c r="H2449">
        <f>IF(A2449&lt;=NWeeks,1,0)</f>
        <v/>
      </c>
      <c r="I2449">
        <f>INDEX(ChLaunch,MATCH(E2449,ChName,0))</f>
        <v/>
      </c>
      <c r="J2449">
        <f>INDEX(ChWeeksFull,MATCH(E2449,ChName,0))</f>
        <v/>
      </c>
      <c r="K2449">
        <f>INDEX(ChRamp,MATCH(E2449,ChName,0))</f>
        <v/>
      </c>
      <c r="L2449" s="45">
        <f>MIN(1,MAX(0,(A2449-I2449+1)*RampSpeed/J2449))</f>
        <v/>
      </c>
      <c r="M2449" s="45">
        <f>IF(A2449&lt;I2449,0,IF(K2449="S-curve",L2449*L2449*(3-2*L2449),L2449))</f>
        <v/>
      </c>
      <c r="N2449" s="45">
        <f>1+(INDEX(SeasonIdx,A2449)-1)*SeasonAmp</f>
        <v/>
      </c>
      <c r="O2449" s="45">
        <f>IFERROR(INDEX(PSPct,MATCH(E2449&amp;"|"&amp;G2449,PSKey,0)),0)</f>
        <v/>
      </c>
      <c r="P2449" s="46">
        <f>INDEX(ChDoorVel,MATCH(E2449,ChName,0))*CalibScalar*(1+VelocityUplift)</f>
        <v/>
      </c>
      <c r="Q2449" s="46" t="n">
        <v>0</v>
      </c>
      <c r="R2449" s="46">
        <f>P2449*O2449*M2449*N2449*H2449</f>
        <v/>
      </c>
      <c r="S2449" s="46">
        <f>R2449*INDEX(FmtCansPerCase,MATCH(F2449,FmtName,0))</f>
        <v/>
      </c>
      <c r="T2449" s="46">
        <f>S2449/INDEX(FmtCansPerPack,MATCH(F2449,FmtName,0))</f>
        <v/>
      </c>
      <c r="U2449" s="47">
        <f>INDEX(ChBaseCP,MATCH(E2449,ChName,0))*(1+INDEX(ProvMod,MATCH(G2449,ProvCode,0)))*(1+PriceIndex)</f>
        <v/>
      </c>
      <c r="V2449" s="47">
        <f>R2449*U2449*INDEX(FmtBlendedPriceIdx,MATCH(F2449,FmtName,0))</f>
        <v/>
      </c>
      <c r="W2449" s="47">
        <f>T2449*INDEX(ProvSRP,MATCH(G2449,ProvCode,0))*(1+PriceIndex)</f>
        <v/>
      </c>
      <c r="X2449" s="47">
        <f>IF(GrossBasis="Wholesale",V2449,W2449)</f>
        <v/>
      </c>
      <c r="Y2449" s="47">
        <f>R2449*INDEX(FmtBlendedCogs,MATCH(F2449,FmtName,0))</f>
        <v/>
      </c>
      <c r="Z2449" s="47">
        <f>X2449-Y2449</f>
        <v/>
      </c>
    </row>
    <row r="2450">
      <c r="A2450" t="n">
        <v>11</v>
      </c>
      <c r="B2450" s="44">
        <f>FiscalStart+(A2450-1)*7</f>
        <v/>
      </c>
      <c r="C2450">
        <f>TEXT(B2450,"mmm yyyy")</f>
        <v/>
      </c>
      <c r="D2450">
        <f>"Q"&amp;(INT((A2450-1)/13)+1)</f>
        <v/>
      </c>
      <c r="E2450" t="inlineStr">
        <is>
          <t>FDM</t>
        </is>
      </c>
      <c r="F2450">
        <f>IFERROR(INDEX(ChFormat,MATCH(E2450,ChName,0)),"")</f>
        <v/>
      </c>
      <c r="G2450" t="inlineStr">
        <is>
          <t>NB</t>
        </is>
      </c>
      <c r="H2450">
        <f>IF(A2450&lt;=NWeeks,1,0)</f>
        <v/>
      </c>
      <c r="I2450">
        <f>INDEX(ChLaunch,MATCH(E2450,ChName,0))</f>
        <v/>
      </c>
      <c r="J2450">
        <f>INDEX(ChWeeksFull,MATCH(E2450,ChName,0))</f>
        <v/>
      </c>
      <c r="K2450">
        <f>INDEX(ChRamp,MATCH(E2450,ChName,0))</f>
        <v/>
      </c>
      <c r="L2450" s="45">
        <f>MIN(1,MAX(0,(A2450-I2450+1)*RampSpeed/J2450))</f>
        <v/>
      </c>
      <c r="M2450" s="45">
        <f>IF(A2450&lt;I2450,0,IF(K2450="S-curve",L2450*L2450*(3-2*L2450),L2450))</f>
        <v/>
      </c>
      <c r="N2450" s="45">
        <f>1+(INDEX(SeasonIdx,A2450)-1)*SeasonAmp</f>
        <v/>
      </c>
      <c r="O2450" s="45">
        <f>IFERROR(INDEX(PSPct,MATCH(E2450&amp;"|"&amp;G2450,PSKey,0)),0)</f>
        <v/>
      </c>
      <c r="P2450" s="46">
        <f>INDEX(ChDoorVel,MATCH(E2450,ChName,0))*CalibScalar*(1+VelocityUplift)</f>
        <v/>
      </c>
      <c r="Q2450" s="46" t="n">
        <v>0</v>
      </c>
      <c r="R2450" s="46">
        <f>P2450*O2450*M2450*N2450*H2450</f>
        <v/>
      </c>
      <c r="S2450" s="46">
        <f>R2450*INDEX(FmtCansPerCase,MATCH(F2450,FmtName,0))</f>
        <v/>
      </c>
      <c r="T2450" s="46">
        <f>S2450/INDEX(FmtCansPerPack,MATCH(F2450,FmtName,0))</f>
        <v/>
      </c>
      <c r="U2450" s="47">
        <f>INDEX(ChBaseCP,MATCH(E2450,ChName,0))*(1+INDEX(ProvMod,MATCH(G2450,ProvCode,0)))*(1+PriceIndex)</f>
        <v/>
      </c>
      <c r="V2450" s="47">
        <f>R2450*U2450*INDEX(FmtBlendedPriceIdx,MATCH(F2450,FmtName,0))</f>
        <v/>
      </c>
      <c r="W2450" s="47">
        <f>T2450*INDEX(ProvSRP,MATCH(G2450,ProvCode,0))*(1+PriceIndex)</f>
        <v/>
      </c>
      <c r="X2450" s="47">
        <f>IF(GrossBasis="Wholesale",V2450,W2450)</f>
        <v/>
      </c>
      <c r="Y2450" s="47">
        <f>R2450*INDEX(FmtBlendedCogs,MATCH(F2450,FmtName,0))</f>
        <v/>
      </c>
      <c r="Z2450" s="47">
        <f>X2450-Y2450</f>
        <v/>
      </c>
    </row>
    <row r="2451">
      <c r="A2451" t="n">
        <v>12</v>
      </c>
      <c r="B2451" s="44">
        <f>FiscalStart+(A2451-1)*7</f>
        <v/>
      </c>
      <c r="C2451">
        <f>TEXT(B2451,"mmm yyyy")</f>
        <v/>
      </c>
      <c r="D2451">
        <f>"Q"&amp;(INT((A2451-1)/13)+1)</f>
        <v/>
      </c>
      <c r="E2451" t="inlineStr">
        <is>
          <t>FDM</t>
        </is>
      </c>
      <c r="F2451">
        <f>IFERROR(INDEX(ChFormat,MATCH(E2451,ChName,0)),"")</f>
        <v/>
      </c>
      <c r="G2451" t="inlineStr">
        <is>
          <t>NB</t>
        </is>
      </c>
      <c r="H2451">
        <f>IF(A2451&lt;=NWeeks,1,0)</f>
        <v/>
      </c>
      <c r="I2451">
        <f>INDEX(ChLaunch,MATCH(E2451,ChName,0))</f>
        <v/>
      </c>
      <c r="J2451">
        <f>INDEX(ChWeeksFull,MATCH(E2451,ChName,0))</f>
        <v/>
      </c>
      <c r="K2451">
        <f>INDEX(ChRamp,MATCH(E2451,ChName,0))</f>
        <v/>
      </c>
      <c r="L2451" s="45">
        <f>MIN(1,MAX(0,(A2451-I2451+1)*RampSpeed/J2451))</f>
        <v/>
      </c>
      <c r="M2451" s="45">
        <f>IF(A2451&lt;I2451,0,IF(K2451="S-curve",L2451*L2451*(3-2*L2451),L2451))</f>
        <v/>
      </c>
      <c r="N2451" s="45">
        <f>1+(INDEX(SeasonIdx,A2451)-1)*SeasonAmp</f>
        <v/>
      </c>
      <c r="O2451" s="45">
        <f>IFERROR(INDEX(PSPct,MATCH(E2451&amp;"|"&amp;G2451,PSKey,0)),0)</f>
        <v/>
      </c>
      <c r="P2451" s="46">
        <f>INDEX(ChDoorVel,MATCH(E2451,ChName,0))*CalibScalar*(1+VelocityUplift)</f>
        <v/>
      </c>
      <c r="Q2451" s="46" t="n">
        <v>0</v>
      </c>
      <c r="R2451" s="46">
        <f>P2451*O2451*M2451*N2451*H2451</f>
        <v/>
      </c>
      <c r="S2451" s="46">
        <f>R2451*INDEX(FmtCansPerCase,MATCH(F2451,FmtName,0))</f>
        <v/>
      </c>
      <c r="T2451" s="46">
        <f>S2451/INDEX(FmtCansPerPack,MATCH(F2451,FmtName,0))</f>
        <v/>
      </c>
      <c r="U2451" s="47">
        <f>INDEX(ChBaseCP,MATCH(E2451,ChName,0))*(1+INDEX(ProvMod,MATCH(G2451,ProvCode,0)))*(1+PriceIndex)</f>
        <v/>
      </c>
      <c r="V2451" s="47">
        <f>R2451*U2451*INDEX(FmtBlendedPriceIdx,MATCH(F2451,FmtName,0))</f>
        <v/>
      </c>
      <c r="W2451" s="47">
        <f>T2451*INDEX(ProvSRP,MATCH(G2451,ProvCode,0))*(1+PriceIndex)</f>
        <v/>
      </c>
      <c r="X2451" s="47">
        <f>IF(GrossBasis="Wholesale",V2451,W2451)</f>
        <v/>
      </c>
      <c r="Y2451" s="47">
        <f>R2451*INDEX(FmtBlendedCogs,MATCH(F2451,FmtName,0))</f>
        <v/>
      </c>
      <c r="Z2451" s="47">
        <f>X2451-Y2451</f>
        <v/>
      </c>
    </row>
    <row r="2452">
      <c r="A2452" t="n">
        <v>13</v>
      </c>
      <c r="B2452" s="44">
        <f>FiscalStart+(A2452-1)*7</f>
        <v/>
      </c>
      <c r="C2452">
        <f>TEXT(B2452,"mmm yyyy")</f>
        <v/>
      </c>
      <c r="D2452">
        <f>"Q"&amp;(INT((A2452-1)/13)+1)</f>
        <v/>
      </c>
      <c r="E2452" t="inlineStr">
        <is>
          <t>FDM</t>
        </is>
      </c>
      <c r="F2452">
        <f>IFERROR(INDEX(ChFormat,MATCH(E2452,ChName,0)),"")</f>
        <v/>
      </c>
      <c r="G2452" t="inlineStr">
        <is>
          <t>NB</t>
        </is>
      </c>
      <c r="H2452">
        <f>IF(A2452&lt;=NWeeks,1,0)</f>
        <v/>
      </c>
      <c r="I2452">
        <f>INDEX(ChLaunch,MATCH(E2452,ChName,0))</f>
        <v/>
      </c>
      <c r="J2452">
        <f>INDEX(ChWeeksFull,MATCH(E2452,ChName,0))</f>
        <v/>
      </c>
      <c r="K2452">
        <f>INDEX(ChRamp,MATCH(E2452,ChName,0))</f>
        <v/>
      </c>
      <c r="L2452" s="45">
        <f>MIN(1,MAX(0,(A2452-I2452+1)*RampSpeed/J2452))</f>
        <v/>
      </c>
      <c r="M2452" s="45">
        <f>IF(A2452&lt;I2452,0,IF(K2452="S-curve",L2452*L2452*(3-2*L2452),L2452))</f>
        <v/>
      </c>
      <c r="N2452" s="45">
        <f>1+(INDEX(SeasonIdx,A2452)-1)*SeasonAmp</f>
        <v/>
      </c>
      <c r="O2452" s="45">
        <f>IFERROR(INDEX(PSPct,MATCH(E2452&amp;"|"&amp;G2452,PSKey,0)),0)</f>
        <v/>
      </c>
      <c r="P2452" s="46">
        <f>INDEX(ChDoorVel,MATCH(E2452,ChName,0))*CalibScalar*(1+VelocityUplift)</f>
        <v/>
      </c>
      <c r="Q2452" s="46" t="n">
        <v>0</v>
      </c>
      <c r="R2452" s="46">
        <f>P2452*O2452*M2452*N2452*H2452</f>
        <v/>
      </c>
      <c r="S2452" s="46">
        <f>R2452*INDEX(FmtCansPerCase,MATCH(F2452,FmtName,0))</f>
        <v/>
      </c>
      <c r="T2452" s="46">
        <f>S2452/INDEX(FmtCansPerPack,MATCH(F2452,FmtName,0))</f>
        <v/>
      </c>
      <c r="U2452" s="47">
        <f>INDEX(ChBaseCP,MATCH(E2452,ChName,0))*(1+INDEX(ProvMod,MATCH(G2452,ProvCode,0)))*(1+PriceIndex)</f>
        <v/>
      </c>
      <c r="V2452" s="47">
        <f>R2452*U2452*INDEX(FmtBlendedPriceIdx,MATCH(F2452,FmtName,0))</f>
        <v/>
      </c>
      <c r="W2452" s="47">
        <f>T2452*INDEX(ProvSRP,MATCH(G2452,ProvCode,0))*(1+PriceIndex)</f>
        <v/>
      </c>
      <c r="X2452" s="47">
        <f>IF(GrossBasis="Wholesale",V2452,W2452)</f>
        <v/>
      </c>
      <c r="Y2452" s="47">
        <f>R2452*INDEX(FmtBlendedCogs,MATCH(F2452,FmtName,0))</f>
        <v/>
      </c>
      <c r="Z2452" s="47">
        <f>X2452-Y2452</f>
        <v/>
      </c>
    </row>
    <row r="2453">
      <c r="A2453" t="n">
        <v>14</v>
      </c>
      <c r="B2453" s="44">
        <f>FiscalStart+(A2453-1)*7</f>
        <v/>
      </c>
      <c r="C2453">
        <f>TEXT(B2453,"mmm yyyy")</f>
        <v/>
      </c>
      <c r="D2453">
        <f>"Q"&amp;(INT((A2453-1)/13)+1)</f>
        <v/>
      </c>
      <c r="E2453" t="inlineStr">
        <is>
          <t>FDM</t>
        </is>
      </c>
      <c r="F2453">
        <f>IFERROR(INDEX(ChFormat,MATCH(E2453,ChName,0)),"")</f>
        <v/>
      </c>
      <c r="G2453" t="inlineStr">
        <is>
          <t>NB</t>
        </is>
      </c>
      <c r="H2453">
        <f>IF(A2453&lt;=NWeeks,1,0)</f>
        <v/>
      </c>
      <c r="I2453">
        <f>INDEX(ChLaunch,MATCH(E2453,ChName,0))</f>
        <v/>
      </c>
      <c r="J2453">
        <f>INDEX(ChWeeksFull,MATCH(E2453,ChName,0))</f>
        <v/>
      </c>
      <c r="K2453">
        <f>INDEX(ChRamp,MATCH(E2453,ChName,0))</f>
        <v/>
      </c>
      <c r="L2453" s="45">
        <f>MIN(1,MAX(0,(A2453-I2453+1)*RampSpeed/J2453))</f>
        <v/>
      </c>
      <c r="M2453" s="45">
        <f>IF(A2453&lt;I2453,0,IF(K2453="S-curve",L2453*L2453*(3-2*L2453),L2453))</f>
        <v/>
      </c>
      <c r="N2453" s="45">
        <f>1+(INDEX(SeasonIdx,A2453)-1)*SeasonAmp</f>
        <v/>
      </c>
      <c r="O2453" s="45">
        <f>IFERROR(INDEX(PSPct,MATCH(E2453&amp;"|"&amp;G2453,PSKey,0)),0)</f>
        <v/>
      </c>
      <c r="P2453" s="46">
        <f>INDEX(ChDoorVel,MATCH(E2453,ChName,0))*CalibScalar*(1+VelocityUplift)</f>
        <v/>
      </c>
      <c r="Q2453" s="46" t="n">
        <v>0</v>
      </c>
      <c r="R2453" s="46">
        <f>P2453*O2453*M2453*N2453*H2453</f>
        <v/>
      </c>
      <c r="S2453" s="46">
        <f>R2453*INDEX(FmtCansPerCase,MATCH(F2453,FmtName,0))</f>
        <v/>
      </c>
      <c r="T2453" s="46">
        <f>S2453/INDEX(FmtCansPerPack,MATCH(F2453,FmtName,0))</f>
        <v/>
      </c>
      <c r="U2453" s="47">
        <f>INDEX(ChBaseCP,MATCH(E2453,ChName,0))*(1+INDEX(ProvMod,MATCH(G2453,ProvCode,0)))*(1+PriceIndex)</f>
        <v/>
      </c>
      <c r="V2453" s="47">
        <f>R2453*U2453*INDEX(FmtBlendedPriceIdx,MATCH(F2453,FmtName,0))</f>
        <v/>
      </c>
      <c r="W2453" s="47">
        <f>T2453*INDEX(ProvSRP,MATCH(G2453,ProvCode,0))*(1+PriceIndex)</f>
        <v/>
      </c>
      <c r="X2453" s="47">
        <f>IF(GrossBasis="Wholesale",V2453,W2453)</f>
        <v/>
      </c>
      <c r="Y2453" s="47">
        <f>R2453*INDEX(FmtBlendedCogs,MATCH(F2453,FmtName,0))</f>
        <v/>
      </c>
      <c r="Z2453" s="47">
        <f>X2453-Y2453</f>
        <v/>
      </c>
    </row>
    <row r="2454">
      <c r="A2454" t="n">
        <v>15</v>
      </c>
      <c r="B2454" s="44">
        <f>FiscalStart+(A2454-1)*7</f>
        <v/>
      </c>
      <c r="C2454">
        <f>TEXT(B2454,"mmm yyyy")</f>
        <v/>
      </c>
      <c r="D2454">
        <f>"Q"&amp;(INT((A2454-1)/13)+1)</f>
        <v/>
      </c>
      <c r="E2454" t="inlineStr">
        <is>
          <t>FDM</t>
        </is>
      </c>
      <c r="F2454">
        <f>IFERROR(INDEX(ChFormat,MATCH(E2454,ChName,0)),"")</f>
        <v/>
      </c>
      <c r="G2454" t="inlineStr">
        <is>
          <t>NB</t>
        </is>
      </c>
      <c r="H2454">
        <f>IF(A2454&lt;=NWeeks,1,0)</f>
        <v/>
      </c>
      <c r="I2454">
        <f>INDEX(ChLaunch,MATCH(E2454,ChName,0))</f>
        <v/>
      </c>
      <c r="J2454">
        <f>INDEX(ChWeeksFull,MATCH(E2454,ChName,0))</f>
        <v/>
      </c>
      <c r="K2454">
        <f>INDEX(ChRamp,MATCH(E2454,ChName,0))</f>
        <v/>
      </c>
      <c r="L2454" s="45">
        <f>MIN(1,MAX(0,(A2454-I2454+1)*RampSpeed/J2454))</f>
        <v/>
      </c>
      <c r="M2454" s="45">
        <f>IF(A2454&lt;I2454,0,IF(K2454="S-curve",L2454*L2454*(3-2*L2454),L2454))</f>
        <v/>
      </c>
      <c r="N2454" s="45">
        <f>1+(INDEX(SeasonIdx,A2454)-1)*SeasonAmp</f>
        <v/>
      </c>
      <c r="O2454" s="45">
        <f>IFERROR(INDEX(PSPct,MATCH(E2454&amp;"|"&amp;G2454,PSKey,0)),0)</f>
        <v/>
      </c>
      <c r="P2454" s="46">
        <f>INDEX(ChDoorVel,MATCH(E2454,ChName,0))*CalibScalar*(1+VelocityUplift)</f>
        <v/>
      </c>
      <c r="Q2454" s="46" t="n">
        <v>0</v>
      </c>
      <c r="R2454" s="46">
        <f>P2454*O2454*M2454*N2454*H2454</f>
        <v/>
      </c>
      <c r="S2454" s="46">
        <f>R2454*INDEX(FmtCansPerCase,MATCH(F2454,FmtName,0))</f>
        <v/>
      </c>
      <c r="T2454" s="46">
        <f>S2454/INDEX(FmtCansPerPack,MATCH(F2454,FmtName,0))</f>
        <v/>
      </c>
      <c r="U2454" s="47">
        <f>INDEX(ChBaseCP,MATCH(E2454,ChName,0))*(1+INDEX(ProvMod,MATCH(G2454,ProvCode,0)))*(1+PriceIndex)</f>
        <v/>
      </c>
      <c r="V2454" s="47">
        <f>R2454*U2454*INDEX(FmtBlendedPriceIdx,MATCH(F2454,FmtName,0))</f>
        <v/>
      </c>
      <c r="W2454" s="47">
        <f>T2454*INDEX(ProvSRP,MATCH(G2454,ProvCode,0))*(1+PriceIndex)</f>
        <v/>
      </c>
      <c r="X2454" s="47">
        <f>IF(GrossBasis="Wholesale",V2454,W2454)</f>
        <v/>
      </c>
      <c r="Y2454" s="47">
        <f>R2454*INDEX(FmtBlendedCogs,MATCH(F2454,FmtName,0))</f>
        <v/>
      </c>
      <c r="Z2454" s="47">
        <f>X2454-Y2454</f>
        <v/>
      </c>
    </row>
    <row r="2455">
      <c r="A2455" t="n">
        <v>16</v>
      </c>
      <c r="B2455" s="44">
        <f>FiscalStart+(A2455-1)*7</f>
        <v/>
      </c>
      <c r="C2455">
        <f>TEXT(B2455,"mmm yyyy")</f>
        <v/>
      </c>
      <c r="D2455">
        <f>"Q"&amp;(INT((A2455-1)/13)+1)</f>
        <v/>
      </c>
      <c r="E2455" t="inlineStr">
        <is>
          <t>FDM</t>
        </is>
      </c>
      <c r="F2455">
        <f>IFERROR(INDEX(ChFormat,MATCH(E2455,ChName,0)),"")</f>
        <v/>
      </c>
      <c r="G2455" t="inlineStr">
        <is>
          <t>NB</t>
        </is>
      </c>
      <c r="H2455">
        <f>IF(A2455&lt;=NWeeks,1,0)</f>
        <v/>
      </c>
      <c r="I2455">
        <f>INDEX(ChLaunch,MATCH(E2455,ChName,0))</f>
        <v/>
      </c>
      <c r="J2455">
        <f>INDEX(ChWeeksFull,MATCH(E2455,ChName,0))</f>
        <v/>
      </c>
      <c r="K2455">
        <f>INDEX(ChRamp,MATCH(E2455,ChName,0))</f>
        <v/>
      </c>
      <c r="L2455" s="45">
        <f>MIN(1,MAX(0,(A2455-I2455+1)*RampSpeed/J2455))</f>
        <v/>
      </c>
      <c r="M2455" s="45">
        <f>IF(A2455&lt;I2455,0,IF(K2455="S-curve",L2455*L2455*(3-2*L2455),L2455))</f>
        <v/>
      </c>
      <c r="N2455" s="45">
        <f>1+(INDEX(SeasonIdx,A2455)-1)*SeasonAmp</f>
        <v/>
      </c>
      <c r="O2455" s="45">
        <f>IFERROR(INDEX(PSPct,MATCH(E2455&amp;"|"&amp;G2455,PSKey,0)),0)</f>
        <v/>
      </c>
      <c r="P2455" s="46">
        <f>INDEX(ChDoorVel,MATCH(E2455,ChName,0))*CalibScalar*(1+VelocityUplift)</f>
        <v/>
      </c>
      <c r="Q2455" s="46" t="n">
        <v>0</v>
      </c>
      <c r="R2455" s="46">
        <f>P2455*O2455*M2455*N2455*H2455</f>
        <v/>
      </c>
      <c r="S2455" s="46">
        <f>R2455*INDEX(FmtCansPerCase,MATCH(F2455,FmtName,0))</f>
        <v/>
      </c>
      <c r="T2455" s="46">
        <f>S2455/INDEX(FmtCansPerPack,MATCH(F2455,FmtName,0))</f>
        <v/>
      </c>
      <c r="U2455" s="47">
        <f>INDEX(ChBaseCP,MATCH(E2455,ChName,0))*(1+INDEX(ProvMod,MATCH(G2455,ProvCode,0)))*(1+PriceIndex)</f>
        <v/>
      </c>
      <c r="V2455" s="47">
        <f>R2455*U2455*INDEX(FmtBlendedPriceIdx,MATCH(F2455,FmtName,0))</f>
        <v/>
      </c>
      <c r="W2455" s="47">
        <f>T2455*INDEX(ProvSRP,MATCH(G2455,ProvCode,0))*(1+PriceIndex)</f>
        <v/>
      </c>
      <c r="X2455" s="47">
        <f>IF(GrossBasis="Wholesale",V2455,W2455)</f>
        <v/>
      </c>
      <c r="Y2455" s="47">
        <f>R2455*INDEX(FmtBlendedCogs,MATCH(F2455,FmtName,0))</f>
        <v/>
      </c>
      <c r="Z2455" s="47">
        <f>X2455-Y2455</f>
        <v/>
      </c>
    </row>
    <row r="2456">
      <c r="A2456" t="n">
        <v>17</v>
      </c>
      <c r="B2456" s="44">
        <f>FiscalStart+(A2456-1)*7</f>
        <v/>
      </c>
      <c r="C2456">
        <f>TEXT(B2456,"mmm yyyy")</f>
        <v/>
      </c>
      <c r="D2456">
        <f>"Q"&amp;(INT((A2456-1)/13)+1)</f>
        <v/>
      </c>
      <c r="E2456" t="inlineStr">
        <is>
          <t>FDM</t>
        </is>
      </c>
      <c r="F2456">
        <f>IFERROR(INDEX(ChFormat,MATCH(E2456,ChName,0)),"")</f>
        <v/>
      </c>
      <c r="G2456" t="inlineStr">
        <is>
          <t>NB</t>
        </is>
      </c>
      <c r="H2456">
        <f>IF(A2456&lt;=NWeeks,1,0)</f>
        <v/>
      </c>
      <c r="I2456">
        <f>INDEX(ChLaunch,MATCH(E2456,ChName,0))</f>
        <v/>
      </c>
      <c r="J2456">
        <f>INDEX(ChWeeksFull,MATCH(E2456,ChName,0))</f>
        <v/>
      </c>
      <c r="K2456">
        <f>INDEX(ChRamp,MATCH(E2456,ChName,0))</f>
        <v/>
      </c>
      <c r="L2456" s="45">
        <f>MIN(1,MAX(0,(A2456-I2456+1)*RampSpeed/J2456))</f>
        <v/>
      </c>
      <c r="M2456" s="45">
        <f>IF(A2456&lt;I2456,0,IF(K2456="S-curve",L2456*L2456*(3-2*L2456),L2456))</f>
        <v/>
      </c>
      <c r="N2456" s="45">
        <f>1+(INDEX(SeasonIdx,A2456)-1)*SeasonAmp</f>
        <v/>
      </c>
      <c r="O2456" s="45">
        <f>IFERROR(INDEX(PSPct,MATCH(E2456&amp;"|"&amp;G2456,PSKey,0)),0)</f>
        <v/>
      </c>
      <c r="P2456" s="46">
        <f>INDEX(ChDoorVel,MATCH(E2456,ChName,0))*CalibScalar*(1+VelocityUplift)</f>
        <v/>
      </c>
      <c r="Q2456" s="46" t="n">
        <v>0</v>
      </c>
      <c r="R2456" s="46">
        <f>P2456*O2456*M2456*N2456*H2456</f>
        <v/>
      </c>
      <c r="S2456" s="46">
        <f>R2456*INDEX(FmtCansPerCase,MATCH(F2456,FmtName,0))</f>
        <v/>
      </c>
      <c r="T2456" s="46">
        <f>S2456/INDEX(FmtCansPerPack,MATCH(F2456,FmtName,0))</f>
        <v/>
      </c>
      <c r="U2456" s="47">
        <f>INDEX(ChBaseCP,MATCH(E2456,ChName,0))*(1+INDEX(ProvMod,MATCH(G2456,ProvCode,0)))*(1+PriceIndex)</f>
        <v/>
      </c>
      <c r="V2456" s="47">
        <f>R2456*U2456*INDEX(FmtBlendedPriceIdx,MATCH(F2456,FmtName,0))</f>
        <v/>
      </c>
      <c r="W2456" s="47">
        <f>T2456*INDEX(ProvSRP,MATCH(G2456,ProvCode,0))*(1+PriceIndex)</f>
        <v/>
      </c>
      <c r="X2456" s="47">
        <f>IF(GrossBasis="Wholesale",V2456,W2456)</f>
        <v/>
      </c>
      <c r="Y2456" s="47">
        <f>R2456*INDEX(FmtBlendedCogs,MATCH(F2456,FmtName,0))</f>
        <v/>
      </c>
      <c r="Z2456" s="47">
        <f>X2456-Y2456</f>
        <v/>
      </c>
    </row>
    <row r="2457">
      <c r="A2457" t="n">
        <v>18</v>
      </c>
      <c r="B2457" s="44">
        <f>FiscalStart+(A2457-1)*7</f>
        <v/>
      </c>
      <c r="C2457">
        <f>TEXT(B2457,"mmm yyyy")</f>
        <v/>
      </c>
      <c r="D2457">
        <f>"Q"&amp;(INT((A2457-1)/13)+1)</f>
        <v/>
      </c>
      <c r="E2457" t="inlineStr">
        <is>
          <t>FDM</t>
        </is>
      </c>
      <c r="F2457">
        <f>IFERROR(INDEX(ChFormat,MATCH(E2457,ChName,0)),"")</f>
        <v/>
      </c>
      <c r="G2457" t="inlineStr">
        <is>
          <t>NB</t>
        </is>
      </c>
      <c r="H2457">
        <f>IF(A2457&lt;=NWeeks,1,0)</f>
        <v/>
      </c>
      <c r="I2457">
        <f>INDEX(ChLaunch,MATCH(E2457,ChName,0))</f>
        <v/>
      </c>
      <c r="J2457">
        <f>INDEX(ChWeeksFull,MATCH(E2457,ChName,0))</f>
        <v/>
      </c>
      <c r="K2457">
        <f>INDEX(ChRamp,MATCH(E2457,ChName,0))</f>
        <v/>
      </c>
      <c r="L2457" s="45">
        <f>MIN(1,MAX(0,(A2457-I2457+1)*RampSpeed/J2457))</f>
        <v/>
      </c>
      <c r="M2457" s="45">
        <f>IF(A2457&lt;I2457,0,IF(K2457="S-curve",L2457*L2457*(3-2*L2457),L2457))</f>
        <v/>
      </c>
      <c r="N2457" s="45">
        <f>1+(INDEX(SeasonIdx,A2457)-1)*SeasonAmp</f>
        <v/>
      </c>
      <c r="O2457" s="45">
        <f>IFERROR(INDEX(PSPct,MATCH(E2457&amp;"|"&amp;G2457,PSKey,0)),0)</f>
        <v/>
      </c>
      <c r="P2457" s="46">
        <f>INDEX(ChDoorVel,MATCH(E2457,ChName,0))*CalibScalar*(1+VelocityUplift)</f>
        <v/>
      </c>
      <c r="Q2457" s="46" t="n">
        <v>0</v>
      </c>
      <c r="R2457" s="46">
        <f>P2457*O2457*M2457*N2457*H2457</f>
        <v/>
      </c>
      <c r="S2457" s="46">
        <f>R2457*INDEX(FmtCansPerCase,MATCH(F2457,FmtName,0))</f>
        <v/>
      </c>
      <c r="T2457" s="46">
        <f>S2457/INDEX(FmtCansPerPack,MATCH(F2457,FmtName,0))</f>
        <v/>
      </c>
      <c r="U2457" s="47">
        <f>INDEX(ChBaseCP,MATCH(E2457,ChName,0))*(1+INDEX(ProvMod,MATCH(G2457,ProvCode,0)))*(1+PriceIndex)</f>
        <v/>
      </c>
      <c r="V2457" s="47">
        <f>R2457*U2457*INDEX(FmtBlendedPriceIdx,MATCH(F2457,FmtName,0))</f>
        <v/>
      </c>
      <c r="W2457" s="47">
        <f>T2457*INDEX(ProvSRP,MATCH(G2457,ProvCode,0))*(1+PriceIndex)</f>
        <v/>
      </c>
      <c r="X2457" s="47">
        <f>IF(GrossBasis="Wholesale",V2457,W2457)</f>
        <v/>
      </c>
      <c r="Y2457" s="47">
        <f>R2457*INDEX(FmtBlendedCogs,MATCH(F2457,FmtName,0))</f>
        <v/>
      </c>
      <c r="Z2457" s="47">
        <f>X2457-Y2457</f>
        <v/>
      </c>
    </row>
    <row r="2458">
      <c r="A2458" t="n">
        <v>19</v>
      </c>
      <c r="B2458" s="44">
        <f>FiscalStart+(A2458-1)*7</f>
        <v/>
      </c>
      <c r="C2458">
        <f>TEXT(B2458,"mmm yyyy")</f>
        <v/>
      </c>
      <c r="D2458">
        <f>"Q"&amp;(INT((A2458-1)/13)+1)</f>
        <v/>
      </c>
      <c r="E2458" t="inlineStr">
        <is>
          <t>FDM</t>
        </is>
      </c>
      <c r="F2458">
        <f>IFERROR(INDEX(ChFormat,MATCH(E2458,ChName,0)),"")</f>
        <v/>
      </c>
      <c r="G2458" t="inlineStr">
        <is>
          <t>NB</t>
        </is>
      </c>
      <c r="H2458">
        <f>IF(A2458&lt;=NWeeks,1,0)</f>
        <v/>
      </c>
      <c r="I2458">
        <f>INDEX(ChLaunch,MATCH(E2458,ChName,0))</f>
        <v/>
      </c>
      <c r="J2458">
        <f>INDEX(ChWeeksFull,MATCH(E2458,ChName,0))</f>
        <v/>
      </c>
      <c r="K2458">
        <f>INDEX(ChRamp,MATCH(E2458,ChName,0))</f>
        <v/>
      </c>
      <c r="L2458" s="45">
        <f>MIN(1,MAX(0,(A2458-I2458+1)*RampSpeed/J2458))</f>
        <v/>
      </c>
      <c r="M2458" s="45">
        <f>IF(A2458&lt;I2458,0,IF(K2458="S-curve",L2458*L2458*(3-2*L2458),L2458))</f>
        <v/>
      </c>
      <c r="N2458" s="45">
        <f>1+(INDEX(SeasonIdx,A2458)-1)*SeasonAmp</f>
        <v/>
      </c>
      <c r="O2458" s="45">
        <f>IFERROR(INDEX(PSPct,MATCH(E2458&amp;"|"&amp;G2458,PSKey,0)),0)</f>
        <v/>
      </c>
      <c r="P2458" s="46">
        <f>INDEX(ChDoorVel,MATCH(E2458,ChName,0))*CalibScalar*(1+VelocityUplift)</f>
        <v/>
      </c>
      <c r="Q2458" s="46" t="n">
        <v>0</v>
      </c>
      <c r="R2458" s="46">
        <f>P2458*O2458*M2458*N2458*H2458</f>
        <v/>
      </c>
      <c r="S2458" s="46">
        <f>R2458*INDEX(FmtCansPerCase,MATCH(F2458,FmtName,0))</f>
        <v/>
      </c>
      <c r="T2458" s="46">
        <f>S2458/INDEX(FmtCansPerPack,MATCH(F2458,FmtName,0))</f>
        <v/>
      </c>
      <c r="U2458" s="47">
        <f>INDEX(ChBaseCP,MATCH(E2458,ChName,0))*(1+INDEX(ProvMod,MATCH(G2458,ProvCode,0)))*(1+PriceIndex)</f>
        <v/>
      </c>
      <c r="V2458" s="47">
        <f>R2458*U2458*INDEX(FmtBlendedPriceIdx,MATCH(F2458,FmtName,0))</f>
        <v/>
      </c>
      <c r="W2458" s="47">
        <f>T2458*INDEX(ProvSRP,MATCH(G2458,ProvCode,0))*(1+PriceIndex)</f>
        <v/>
      </c>
      <c r="X2458" s="47">
        <f>IF(GrossBasis="Wholesale",V2458,W2458)</f>
        <v/>
      </c>
      <c r="Y2458" s="47">
        <f>R2458*INDEX(FmtBlendedCogs,MATCH(F2458,FmtName,0))</f>
        <v/>
      </c>
      <c r="Z2458" s="47">
        <f>X2458-Y2458</f>
        <v/>
      </c>
    </row>
    <row r="2459">
      <c r="A2459" t="n">
        <v>20</v>
      </c>
      <c r="B2459" s="44">
        <f>FiscalStart+(A2459-1)*7</f>
        <v/>
      </c>
      <c r="C2459">
        <f>TEXT(B2459,"mmm yyyy")</f>
        <v/>
      </c>
      <c r="D2459">
        <f>"Q"&amp;(INT((A2459-1)/13)+1)</f>
        <v/>
      </c>
      <c r="E2459" t="inlineStr">
        <is>
          <t>FDM</t>
        </is>
      </c>
      <c r="F2459">
        <f>IFERROR(INDEX(ChFormat,MATCH(E2459,ChName,0)),"")</f>
        <v/>
      </c>
      <c r="G2459" t="inlineStr">
        <is>
          <t>NB</t>
        </is>
      </c>
      <c r="H2459">
        <f>IF(A2459&lt;=NWeeks,1,0)</f>
        <v/>
      </c>
      <c r="I2459">
        <f>INDEX(ChLaunch,MATCH(E2459,ChName,0))</f>
        <v/>
      </c>
      <c r="J2459">
        <f>INDEX(ChWeeksFull,MATCH(E2459,ChName,0))</f>
        <v/>
      </c>
      <c r="K2459">
        <f>INDEX(ChRamp,MATCH(E2459,ChName,0))</f>
        <v/>
      </c>
      <c r="L2459" s="45">
        <f>MIN(1,MAX(0,(A2459-I2459+1)*RampSpeed/J2459))</f>
        <v/>
      </c>
      <c r="M2459" s="45">
        <f>IF(A2459&lt;I2459,0,IF(K2459="S-curve",L2459*L2459*(3-2*L2459),L2459))</f>
        <v/>
      </c>
      <c r="N2459" s="45">
        <f>1+(INDEX(SeasonIdx,A2459)-1)*SeasonAmp</f>
        <v/>
      </c>
      <c r="O2459" s="45">
        <f>IFERROR(INDEX(PSPct,MATCH(E2459&amp;"|"&amp;G2459,PSKey,0)),0)</f>
        <v/>
      </c>
      <c r="P2459" s="46">
        <f>INDEX(ChDoorVel,MATCH(E2459,ChName,0))*CalibScalar*(1+VelocityUplift)</f>
        <v/>
      </c>
      <c r="Q2459" s="46" t="n">
        <v>0</v>
      </c>
      <c r="R2459" s="46">
        <f>P2459*O2459*M2459*N2459*H2459</f>
        <v/>
      </c>
      <c r="S2459" s="46">
        <f>R2459*INDEX(FmtCansPerCase,MATCH(F2459,FmtName,0))</f>
        <v/>
      </c>
      <c r="T2459" s="46">
        <f>S2459/INDEX(FmtCansPerPack,MATCH(F2459,FmtName,0))</f>
        <v/>
      </c>
      <c r="U2459" s="47">
        <f>INDEX(ChBaseCP,MATCH(E2459,ChName,0))*(1+INDEX(ProvMod,MATCH(G2459,ProvCode,0)))*(1+PriceIndex)</f>
        <v/>
      </c>
      <c r="V2459" s="47">
        <f>R2459*U2459*INDEX(FmtBlendedPriceIdx,MATCH(F2459,FmtName,0))</f>
        <v/>
      </c>
      <c r="W2459" s="47">
        <f>T2459*INDEX(ProvSRP,MATCH(G2459,ProvCode,0))*(1+PriceIndex)</f>
        <v/>
      </c>
      <c r="X2459" s="47">
        <f>IF(GrossBasis="Wholesale",V2459,W2459)</f>
        <v/>
      </c>
      <c r="Y2459" s="47">
        <f>R2459*INDEX(FmtBlendedCogs,MATCH(F2459,FmtName,0))</f>
        <v/>
      </c>
      <c r="Z2459" s="47">
        <f>X2459-Y2459</f>
        <v/>
      </c>
    </row>
    <row r="2460">
      <c r="A2460" t="n">
        <v>21</v>
      </c>
      <c r="B2460" s="44">
        <f>FiscalStart+(A2460-1)*7</f>
        <v/>
      </c>
      <c r="C2460">
        <f>TEXT(B2460,"mmm yyyy")</f>
        <v/>
      </c>
      <c r="D2460">
        <f>"Q"&amp;(INT((A2460-1)/13)+1)</f>
        <v/>
      </c>
      <c r="E2460" t="inlineStr">
        <is>
          <t>FDM</t>
        </is>
      </c>
      <c r="F2460">
        <f>IFERROR(INDEX(ChFormat,MATCH(E2460,ChName,0)),"")</f>
        <v/>
      </c>
      <c r="G2460" t="inlineStr">
        <is>
          <t>NB</t>
        </is>
      </c>
      <c r="H2460">
        <f>IF(A2460&lt;=NWeeks,1,0)</f>
        <v/>
      </c>
      <c r="I2460">
        <f>INDEX(ChLaunch,MATCH(E2460,ChName,0))</f>
        <v/>
      </c>
      <c r="J2460">
        <f>INDEX(ChWeeksFull,MATCH(E2460,ChName,0))</f>
        <v/>
      </c>
      <c r="K2460">
        <f>INDEX(ChRamp,MATCH(E2460,ChName,0))</f>
        <v/>
      </c>
      <c r="L2460" s="45">
        <f>MIN(1,MAX(0,(A2460-I2460+1)*RampSpeed/J2460))</f>
        <v/>
      </c>
      <c r="M2460" s="45">
        <f>IF(A2460&lt;I2460,0,IF(K2460="S-curve",L2460*L2460*(3-2*L2460),L2460))</f>
        <v/>
      </c>
      <c r="N2460" s="45">
        <f>1+(INDEX(SeasonIdx,A2460)-1)*SeasonAmp</f>
        <v/>
      </c>
      <c r="O2460" s="45">
        <f>IFERROR(INDEX(PSPct,MATCH(E2460&amp;"|"&amp;G2460,PSKey,0)),0)</f>
        <v/>
      </c>
      <c r="P2460" s="46">
        <f>INDEX(ChDoorVel,MATCH(E2460,ChName,0))*CalibScalar*(1+VelocityUplift)</f>
        <v/>
      </c>
      <c r="Q2460" s="46" t="n">
        <v>0</v>
      </c>
      <c r="R2460" s="46">
        <f>P2460*O2460*M2460*N2460*H2460</f>
        <v/>
      </c>
      <c r="S2460" s="46">
        <f>R2460*INDEX(FmtCansPerCase,MATCH(F2460,FmtName,0))</f>
        <v/>
      </c>
      <c r="T2460" s="46">
        <f>S2460/INDEX(FmtCansPerPack,MATCH(F2460,FmtName,0))</f>
        <v/>
      </c>
      <c r="U2460" s="47">
        <f>INDEX(ChBaseCP,MATCH(E2460,ChName,0))*(1+INDEX(ProvMod,MATCH(G2460,ProvCode,0)))*(1+PriceIndex)</f>
        <v/>
      </c>
      <c r="V2460" s="47">
        <f>R2460*U2460*INDEX(FmtBlendedPriceIdx,MATCH(F2460,FmtName,0))</f>
        <v/>
      </c>
      <c r="W2460" s="47">
        <f>T2460*INDEX(ProvSRP,MATCH(G2460,ProvCode,0))*(1+PriceIndex)</f>
        <v/>
      </c>
      <c r="X2460" s="47">
        <f>IF(GrossBasis="Wholesale",V2460,W2460)</f>
        <v/>
      </c>
      <c r="Y2460" s="47">
        <f>R2460*INDEX(FmtBlendedCogs,MATCH(F2460,FmtName,0))</f>
        <v/>
      </c>
      <c r="Z2460" s="47">
        <f>X2460-Y2460</f>
        <v/>
      </c>
    </row>
    <row r="2461">
      <c r="A2461" t="n">
        <v>22</v>
      </c>
      <c r="B2461" s="44">
        <f>FiscalStart+(A2461-1)*7</f>
        <v/>
      </c>
      <c r="C2461">
        <f>TEXT(B2461,"mmm yyyy")</f>
        <v/>
      </c>
      <c r="D2461">
        <f>"Q"&amp;(INT((A2461-1)/13)+1)</f>
        <v/>
      </c>
      <c r="E2461" t="inlineStr">
        <is>
          <t>FDM</t>
        </is>
      </c>
      <c r="F2461">
        <f>IFERROR(INDEX(ChFormat,MATCH(E2461,ChName,0)),"")</f>
        <v/>
      </c>
      <c r="G2461" t="inlineStr">
        <is>
          <t>NB</t>
        </is>
      </c>
      <c r="H2461">
        <f>IF(A2461&lt;=NWeeks,1,0)</f>
        <v/>
      </c>
      <c r="I2461">
        <f>INDEX(ChLaunch,MATCH(E2461,ChName,0))</f>
        <v/>
      </c>
      <c r="J2461">
        <f>INDEX(ChWeeksFull,MATCH(E2461,ChName,0))</f>
        <v/>
      </c>
      <c r="K2461">
        <f>INDEX(ChRamp,MATCH(E2461,ChName,0))</f>
        <v/>
      </c>
      <c r="L2461" s="45">
        <f>MIN(1,MAX(0,(A2461-I2461+1)*RampSpeed/J2461))</f>
        <v/>
      </c>
      <c r="M2461" s="45">
        <f>IF(A2461&lt;I2461,0,IF(K2461="S-curve",L2461*L2461*(3-2*L2461),L2461))</f>
        <v/>
      </c>
      <c r="N2461" s="45">
        <f>1+(INDEX(SeasonIdx,A2461)-1)*SeasonAmp</f>
        <v/>
      </c>
      <c r="O2461" s="45">
        <f>IFERROR(INDEX(PSPct,MATCH(E2461&amp;"|"&amp;G2461,PSKey,0)),0)</f>
        <v/>
      </c>
      <c r="P2461" s="46">
        <f>INDEX(ChDoorVel,MATCH(E2461,ChName,0))*CalibScalar*(1+VelocityUplift)</f>
        <v/>
      </c>
      <c r="Q2461" s="46" t="n">
        <v>0</v>
      </c>
      <c r="R2461" s="46">
        <f>P2461*O2461*M2461*N2461*H2461</f>
        <v/>
      </c>
      <c r="S2461" s="46">
        <f>R2461*INDEX(FmtCansPerCase,MATCH(F2461,FmtName,0))</f>
        <v/>
      </c>
      <c r="T2461" s="46">
        <f>S2461/INDEX(FmtCansPerPack,MATCH(F2461,FmtName,0))</f>
        <v/>
      </c>
      <c r="U2461" s="47">
        <f>INDEX(ChBaseCP,MATCH(E2461,ChName,0))*(1+INDEX(ProvMod,MATCH(G2461,ProvCode,0)))*(1+PriceIndex)</f>
        <v/>
      </c>
      <c r="V2461" s="47">
        <f>R2461*U2461*INDEX(FmtBlendedPriceIdx,MATCH(F2461,FmtName,0))</f>
        <v/>
      </c>
      <c r="W2461" s="47">
        <f>T2461*INDEX(ProvSRP,MATCH(G2461,ProvCode,0))*(1+PriceIndex)</f>
        <v/>
      </c>
      <c r="X2461" s="47">
        <f>IF(GrossBasis="Wholesale",V2461,W2461)</f>
        <v/>
      </c>
      <c r="Y2461" s="47">
        <f>R2461*INDEX(FmtBlendedCogs,MATCH(F2461,FmtName,0))</f>
        <v/>
      </c>
      <c r="Z2461" s="47">
        <f>X2461-Y2461</f>
        <v/>
      </c>
    </row>
    <row r="2462">
      <c r="A2462" t="n">
        <v>23</v>
      </c>
      <c r="B2462" s="44">
        <f>FiscalStart+(A2462-1)*7</f>
        <v/>
      </c>
      <c r="C2462">
        <f>TEXT(B2462,"mmm yyyy")</f>
        <v/>
      </c>
      <c r="D2462">
        <f>"Q"&amp;(INT((A2462-1)/13)+1)</f>
        <v/>
      </c>
      <c r="E2462" t="inlineStr">
        <is>
          <t>FDM</t>
        </is>
      </c>
      <c r="F2462">
        <f>IFERROR(INDEX(ChFormat,MATCH(E2462,ChName,0)),"")</f>
        <v/>
      </c>
      <c r="G2462" t="inlineStr">
        <is>
          <t>NB</t>
        </is>
      </c>
      <c r="H2462">
        <f>IF(A2462&lt;=NWeeks,1,0)</f>
        <v/>
      </c>
      <c r="I2462">
        <f>INDEX(ChLaunch,MATCH(E2462,ChName,0))</f>
        <v/>
      </c>
      <c r="J2462">
        <f>INDEX(ChWeeksFull,MATCH(E2462,ChName,0))</f>
        <v/>
      </c>
      <c r="K2462">
        <f>INDEX(ChRamp,MATCH(E2462,ChName,0))</f>
        <v/>
      </c>
      <c r="L2462" s="45">
        <f>MIN(1,MAX(0,(A2462-I2462+1)*RampSpeed/J2462))</f>
        <v/>
      </c>
      <c r="M2462" s="45">
        <f>IF(A2462&lt;I2462,0,IF(K2462="S-curve",L2462*L2462*(3-2*L2462),L2462))</f>
        <v/>
      </c>
      <c r="N2462" s="45">
        <f>1+(INDEX(SeasonIdx,A2462)-1)*SeasonAmp</f>
        <v/>
      </c>
      <c r="O2462" s="45">
        <f>IFERROR(INDEX(PSPct,MATCH(E2462&amp;"|"&amp;G2462,PSKey,0)),0)</f>
        <v/>
      </c>
      <c r="P2462" s="46">
        <f>INDEX(ChDoorVel,MATCH(E2462,ChName,0))*CalibScalar*(1+VelocityUplift)</f>
        <v/>
      </c>
      <c r="Q2462" s="46" t="n">
        <v>0</v>
      </c>
      <c r="R2462" s="46">
        <f>P2462*O2462*M2462*N2462*H2462</f>
        <v/>
      </c>
      <c r="S2462" s="46">
        <f>R2462*INDEX(FmtCansPerCase,MATCH(F2462,FmtName,0))</f>
        <v/>
      </c>
      <c r="T2462" s="46">
        <f>S2462/INDEX(FmtCansPerPack,MATCH(F2462,FmtName,0))</f>
        <v/>
      </c>
      <c r="U2462" s="47">
        <f>INDEX(ChBaseCP,MATCH(E2462,ChName,0))*(1+INDEX(ProvMod,MATCH(G2462,ProvCode,0)))*(1+PriceIndex)</f>
        <v/>
      </c>
      <c r="V2462" s="47">
        <f>R2462*U2462*INDEX(FmtBlendedPriceIdx,MATCH(F2462,FmtName,0))</f>
        <v/>
      </c>
      <c r="W2462" s="47">
        <f>T2462*INDEX(ProvSRP,MATCH(G2462,ProvCode,0))*(1+PriceIndex)</f>
        <v/>
      </c>
      <c r="X2462" s="47">
        <f>IF(GrossBasis="Wholesale",V2462,W2462)</f>
        <v/>
      </c>
      <c r="Y2462" s="47">
        <f>R2462*INDEX(FmtBlendedCogs,MATCH(F2462,FmtName,0))</f>
        <v/>
      </c>
      <c r="Z2462" s="47">
        <f>X2462-Y2462</f>
        <v/>
      </c>
    </row>
    <row r="2463">
      <c r="A2463" t="n">
        <v>24</v>
      </c>
      <c r="B2463" s="44">
        <f>FiscalStart+(A2463-1)*7</f>
        <v/>
      </c>
      <c r="C2463">
        <f>TEXT(B2463,"mmm yyyy")</f>
        <v/>
      </c>
      <c r="D2463">
        <f>"Q"&amp;(INT((A2463-1)/13)+1)</f>
        <v/>
      </c>
      <c r="E2463" t="inlineStr">
        <is>
          <t>FDM</t>
        </is>
      </c>
      <c r="F2463">
        <f>IFERROR(INDEX(ChFormat,MATCH(E2463,ChName,0)),"")</f>
        <v/>
      </c>
      <c r="G2463" t="inlineStr">
        <is>
          <t>NB</t>
        </is>
      </c>
      <c r="H2463">
        <f>IF(A2463&lt;=NWeeks,1,0)</f>
        <v/>
      </c>
      <c r="I2463">
        <f>INDEX(ChLaunch,MATCH(E2463,ChName,0))</f>
        <v/>
      </c>
      <c r="J2463">
        <f>INDEX(ChWeeksFull,MATCH(E2463,ChName,0))</f>
        <v/>
      </c>
      <c r="K2463">
        <f>INDEX(ChRamp,MATCH(E2463,ChName,0))</f>
        <v/>
      </c>
      <c r="L2463" s="45">
        <f>MIN(1,MAX(0,(A2463-I2463+1)*RampSpeed/J2463))</f>
        <v/>
      </c>
      <c r="M2463" s="45">
        <f>IF(A2463&lt;I2463,0,IF(K2463="S-curve",L2463*L2463*(3-2*L2463),L2463))</f>
        <v/>
      </c>
      <c r="N2463" s="45">
        <f>1+(INDEX(SeasonIdx,A2463)-1)*SeasonAmp</f>
        <v/>
      </c>
      <c r="O2463" s="45">
        <f>IFERROR(INDEX(PSPct,MATCH(E2463&amp;"|"&amp;G2463,PSKey,0)),0)</f>
        <v/>
      </c>
      <c r="P2463" s="46">
        <f>INDEX(ChDoorVel,MATCH(E2463,ChName,0))*CalibScalar*(1+VelocityUplift)</f>
        <v/>
      </c>
      <c r="Q2463" s="46" t="n">
        <v>0</v>
      </c>
      <c r="R2463" s="46">
        <f>P2463*O2463*M2463*N2463*H2463</f>
        <v/>
      </c>
      <c r="S2463" s="46">
        <f>R2463*INDEX(FmtCansPerCase,MATCH(F2463,FmtName,0))</f>
        <v/>
      </c>
      <c r="T2463" s="46">
        <f>S2463/INDEX(FmtCansPerPack,MATCH(F2463,FmtName,0))</f>
        <v/>
      </c>
      <c r="U2463" s="47">
        <f>INDEX(ChBaseCP,MATCH(E2463,ChName,0))*(1+INDEX(ProvMod,MATCH(G2463,ProvCode,0)))*(1+PriceIndex)</f>
        <v/>
      </c>
      <c r="V2463" s="47">
        <f>R2463*U2463*INDEX(FmtBlendedPriceIdx,MATCH(F2463,FmtName,0))</f>
        <v/>
      </c>
      <c r="W2463" s="47">
        <f>T2463*INDEX(ProvSRP,MATCH(G2463,ProvCode,0))*(1+PriceIndex)</f>
        <v/>
      </c>
      <c r="X2463" s="47">
        <f>IF(GrossBasis="Wholesale",V2463,W2463)</f>
        <v/>
      </c>
      <c r="Y2463" s="47">
        <f>R2463*INDEX(FmtBlendedCogs,MATCH(F2463,FmtName,0))</f>
        <v/>
      </c>
      <c r="Z2463" s="47">
        <f>X2463-Y2463</f>
        <v/>
      </c>
    </row>
    <row r="2464">
      <c r="A2464" t="n">
        <v>25</v>
      </c>
      <c r="B2464" s="44">
        <f>FiscalStart+(A2464-1)*7</f>
        <v/>
      </c>
      <c r="C2464">
        <f>TEXT(B2464,"mmm yyyy")</f>
        <v/>
      </c>
      <c r="D2464">
        <f>"Q"&amp;(INT((A2464-1)/13)+1)</f>
        <v/>
      </c>
      <c r="E2464" t="inlineStr">
        <is>
          <t>FDM</t>
        </is>
      </c>
      <c r="F2464">
        <f>IFERROR(INDEX(ChFormat,MATCH(E2464,ChName,0)),"")</f>
        <v/>
      </c>
      <c r="G2464" t="inlineStr">
        <is>
          <t>NB</t>
        </is>
      </c>
      <c r="H2464">
        <f>IF(A2464&lt;=NWeeks,1,0)</f>
        <v/>
      </c>
      <c r="I2464">
        <f>INDEX(ChLaunch,MATCH(E2464,ChName,0))</f>
        <v/>
      </c>
      <c r="J2464">
        <f>INDEX(ChWeeksFull,MATCH(E2464,ChName,0))</f>
        <v/>
      </c>
      <c r="K2464">
        <f>INDEX(ChRamp,MATCH(E2464,ChName,0))</f>
        <v/>
      </c>
      <c r="L2464" s="45">
        <f>MIN(1,MAX(0,(A2464-I2464+1)*RampSpeed/J2464))</f>
        <v/>
      </c>
      <c r="M2464" s="45">
        <f>IF(A2464&lt;I2464,0,IF(K2464="S-curve",L2464*L2464*(3-2*L2464),L2464))</f>
        <v/>
      </c>
      <c r="N2464" s="45">
        <f>1+(INDEX(SeasonIdx,A2464)-1)*SeasonAmp</f>
        <v/>
      </c>
      <c r="O2464" s="45">
        <f>IFERROR(INDEX(PSPct,MATCH(E2464&amp;"|"&amp;G2464,PSKey,0)),0)</f>
        <v/>
      </c>
      <c r="P2464" s="46">
        <f>INDEX(ChDoorVel,MATCH(E2464,ChName,0))*CalibScalar*(1+VelocityUplift)</f>
        <v/>
      </c>
      <c r="Q2464" s="46" t="n">
        <v>0</v>
      </c>
      <c r="R2464" s="46">
        <f>P2464*O2464*M2464*N2464*H2464</f>
        <v/>
      </c>
      <c r="S2464" s="46">
        <f>R2464*INDEX(FmtCansPerCase,MATCH(F2464,FmtName,0))</f>
        <v/>
      </c>
      <c r="T2464" s="46">
        <f>S2464/INDEX(FmtCansPerPack,MATCH(F2464,FmtName,0))</f>
        <v/>
      </c>
      <c r="U2464" s="47">
        <f>INDEX(ChBaseCP,MATCH(E2464,ChName,0))*(1+INDEX(ProvMod,MATCH(G2464,ProvCode,0)))*(1+PriceIndex)</f>
        <v/>
      </c>
      <c r="V2464" s="47">
        <f>R2464*U2464*INDEX(FmtBlendedPriceIdx,MATCH(F2464,FmtName,0))</f>
        <v/>
      </c>
      <c r="W2464" s="47">
        <f>T2464*INDEX(ProvSRP,MATCH(G2464,ProvCode,0))*(1+PriceIndex)</f>
        <v/>
      </c>
      <c r="X2464" s="47">
        <f>IF(GrossBasis="Wholesale",V2464,W2464)</f>
        <v/>
      </c>
      <c r="Y2464" s="47">
        <f>R2464*INDEX(FmtBlendedCogs,MATCH(F2464,FmtName,0))</f>
        <v/>
      </c>
      <c r="Z2464" s="47">
        <f>X2464-Y2464</f>
        <v/>
      </c>
    </row>
    <row r="2465">
      <c r="A2465" t="n">
        <v>26</v>
      </c>
      <c r="B2465" s="44">
        <f>FiscalStart+(A2465-1)*7</f>
        <v/>
      </c>
      <c r="C2465">
        <f>TEXT(B2465,"mmm yyyy")</f>
        <v/>
      </c>
      <c r="D2465">
        <f>"Q"&amp;(INT((A2465-1)/13)+1)</f>
        <v/>
      </c>
      <c r="E2465" t="inlineStr">
        <is>
          <t>FDM</t>
        </is>
      </c>
      <c r="F2465">
        <f>IFERROR(INDEX(ChFormat,MATCH(E2465,ChName,0)),"")</f>
        <v/>
      </c>
      <c r="G2465" t="inlineStr">
        <is>
          <t>NB</t>
        </is>
      </c>
      <c r="H2465">
        <f>IF(A2465&lt;=NWeeks,1,0)</f>
        <v/>
      </c>
      <c r="I2465">
        <f>INDEX(ChLaunch,MATCH(E2465,ChName,0))</f>
        <v/>
      </c>
      <c r="J2465">
        <f>INDEX(ChWeeksFull,MATCH(E2465,ChName,0))</f>
        <v/>
      </c>
      <c r="K2465">
        <f>INDEX(ChRamp,MATCH(E2465,ChName,0))</f>
        <v/>
      </c>
      <c r="L2465" s="45">
        <f>MIN(1,MAX(0,(A2465-I2465+1)*RampSpeed/J2465))</f>
        <v/>
      </c>
      <c r="M2465" s="45">
        <f>IF(A2465&lt;I2465,0,IF(K2465="S-curve",L2465*L2465*(3-2*L2465),L2465))</f>
        <v/>
      </c>
      <c r="N2465" s="45">
        <f>1+(INDEX(SeasonIdx,A2465)-1)*SeasonAmp</f>
        <v/>
      </c>
      <c r="O2465" s="45">
        <f>IFERROR(INDEX(PSPct,MATCH(E2465&amp;"|"&amp;G2465,PSKey,0)),0)</f>
        <v/>
      </c>
      <c r="P2465" s="46">
        <f>INDEX(ChDoorVel,MATCH(E2465,ChName,0))*CalibScalar*(1+VelocityUplift)</f>
        <v/>
      </c>
      <c r="Q2465" s="46" t="n">
        <v>0</v>
      </c>
      <c r="R2465" s="46">
        <f>P2465*O2465*M2465*N2465*H2465</f>
        <v/>
      </c>
      <c r="S2465" s="46">
        <f>R2465*INDEX(FmtCansPerCase,MATCH(F2465,FmtName,0))</f>
        <v/>
      </c>
      <c r="T2465" s="46">
        <f>S2465/INDEX(FmtCansPerPack,MATCH(F2465,FmtName,0))</f>
        <v/>
      </c>
      <c r="U2465" s="47">
        <f>INDEX(ChBaseCP,MATCH(E2465,ChName,0))*(1+INDEX(ProvMod,MATCH(G2465,ProvCode,0)))*(1+PriceIndex)</f>
        <v/>
      </c>
      <c r="V2465" s="47">
        <f>R2465*U2465*INDEX(FmtBlendedPriceIdx,MATCH(F2465,FmtName,0))</f>
        <v/>
      </c>
      <c r="W2465" s="47">
        <f>T2465*INDEX(ProvSRP,MATCH(G2465,ProvCode,0))*(1+PriceIndex)</f>
        <v/>
      </c>
      <c r="X2465" s="47">
        <f>IF(GrossBasis="Wholesale",V2465,W2465)</f>
        <v/>
      </c>
      <c r="Y2465" s="47">
        <f>R2465*INDEX(FmtBlendedCogs,MATCH(F2465,FmtName,0))</f>
        <v/>
      </c>
      <c r="Z2465" s="47">
        <f>X2465-Y2465</f>
        <v/>
      </c>
    </row>
    <row r="2466">
      <c r="A2466" t="n">
        <v>27</v>
      </c>
      <c r="B2466" s="44">
        <f>FiscalStart+(A2466-1)*7</f>
        <v/>
      </c>
      <c r="C2466">
        <f>TEXT(B2466,"mmm yyyy")</f>
        <v/>
      </c>
      <c r="D2466">
        <f>"Q"&amp;(INT((A2466-1)/13)+1)</f>
        <v/>
      </c>
      <c r="E2466" t="inlineStr">
        <is>
          <t>FDM</t>
        </is>
      </c>
      <c r="F2466">
        <f>IFERROR(INDEX(ChFormat,MATCH(E2466,ChName,0)),"")</f>
        <v/>
      </c>
      <c r="G2466" t="inlineStr">
        <is>
          <t>NB</t>
        </is>
      </c>
      <c r="H2466">
        <f>IF(A2466&lt;=NWeeks,1,0)</f>
        <v/>
      </c>
      <c r="I2466">
        <f>INDEX(ChLaunch,MATCH(E2466,ChName,0))</f>
        <v/>
      </c>
      <c r="J2466">
        <f>INDEX(ChWeeksFull,MATCH(E2466,ChName,0))</f>
        <v/>
      </c>
      <c r="K2466">
        <f>INDEX(ChRamp,MATCH(E2466,ChName,0))</f>
        <v/>
      </c>
      <c r="L2466" s="45">
        <f>MIN(1,MAX(0,(A2466-I2466+1)*RampSpeed/J2466))</f>
        <v/>
      </c>
      <c r="M2466" s="45">
        <f>IF(A2466&lt;I2466,0,IF(K2466="S-curve",L2466*L2466*(3-2*L2466),L2466))</f>
        <v/>
      </c>
      <c r="N2466" s="45">
        <f>1+(INDEX(SeasonIdx,A2466)-1)*SeasonAmp</f>
        <v/>
      </c>
      <c r="O2466" s="45">
        <f>IFERROR(INDEX(PSPct,MATCH(E2466&amp;"|"&amp;G2466,PSKey,0)),0)</f>
        <v/>
      </c>
      <c r="P2466" s="46">
        <f>INDEX(ChDoorVel,MATCH(E2466,ChName,0))*CalibScalar*(1+VelocityUplift)</f>
        <v/>
      </c>
      <c r="Q2466" s="46" t="n">
        <v>0</v>
      </c>
      <c r="R2466" s="46">
        <f>P2466*O2466*M2466*N2466*H2466</f>
        <v/>
      </c>
      <c r="S2466" s="46">
        <f>R2466*INDEX(FmtCansPerCase,MATCH(F2466,FmtName,0))</f>
        <v/>
      </c>
      <c r="T2466" s="46">
        <f>S2466/INDEX(FmtCansPerPack,MATCH(F2466,FmtName,0))</f>
        <v/>
      </c>
      <c r="U2466" s="47">
        <f>INDEX(ChBaseCP,MATCH(E2466,ChName,0))*(1+INDEX(ProvMod,MATCH(G2466,ProvCode,0)))*(1+PriceIndex)</f>
        <v/>
      </c>
      <c r="V2466" s="47">
        <f>R2466*U2466*INDEX(FmtBlendedPriceIdx,MATCH(F2466,FmtName,0))</f>
        <v/>
      </c>
      <c r="W2466" s="47">
        <f>T2466*INDEX(ProvSRP,MATCH(G2466,ProvCode,0))*(1+PriceIndex)</f>
        <v/>
      </c>
      <c r="X2466" s="47">
        <f>IF(GrossBasis="Wholesale",V2466,W2466)</f>
        <v/>
      </c>
      <c r="Y2466" s="47">
        <f>R2466*INDEX(FmtBlendedCogs,MATCH(F2466,FmtName,0))</f>
        <v/>
      </c>
      <c r="Z2466" s="47">
        <f>X2466-Y2466</f>
        <v/>
      </c>
    </row>
    <row r="2467">
      <c r="A2467" t="n">
        <v>28</v>
      </c>
      <c r="B2467" s="44">
        <f>FiscalStart+(A2467-1)*7</f>
        <v/>
      </c>
      <c r="C2467">
        <f>TEXT(B2467,"mmm yyyy")</f>
        <v/>
      </c>
      <c r="D2467">
        <f>"Q"&amp;(INT((A2467-1)/13)+1)</f>
        <v/>
      </c>
      <c r="E2467" t="inlineStr">
        <is>
          <t>FDM</t>
        </is>
      </c>
      <c r="F2467">
        <f>IFERROR(INDEX(ChFormat,MATCH(E2467,ChName,0)),"")</f>
        <v/>
      </c>
      <c r="G2467" t="inlineStr">
        <is>
          <t>NB</t>
        </is>
      </c>
      <c r="H2467">
        <f>IF(A2467&lt;=NWeeks,1,0)</f>
        <v/>
      </c>
      <c r="I2467">
        <f>INDEX(ChLaunch,MATCH(E2467,ChName,0))</f>
        <v/>
      </c>
      <c r="J2467">
        <f>INDEX(ChWeeksFull,MATCH(E2467,ChName,0))</f>
        <v/>
      </c>
      <c r="K2467">
        <f>INDEX(ChRamp,MATCH(E2467,ChName,0))</f>
        <v/>
      </c>
      <c r="L2467" s="45">
        <f>MIN(1,MAX(0,(A2467-I2467+1)*RampSpeed/J2467))</f>
        <v/>
      </c>
      <c r="M2467" s="45">
        <f>IF(A2467&lt;I2467,0,IF(K2467="S-curve",L2467*L2467*(3-2*L2467),L2467))</f>
        <v/>
      </c>
      <c r="N2467" s="45">
        <f>1+(INDEX(SeasonIdx,A2467)-1)*SeasonAmp</f>
        <v/>
      </c>
      <c r="O2467" s="45">
        <f>IFERROR(INDEX(PSPct,MATCH(E2467&amp;"|"&amp;G2467,PSKey,0)),0)</f>
        <v/>
      </c>
      <c r="P2467" s="46">
        <f>INDEX(ChDoorVel,MATCH(E2467,ChName,0))*CalibScalar*(1+VelocityUplift)</f>
        <v/>
      </c>
      <c r="Q2467" s="46" t="n">
        <v>0</v>
      </c>
      <c r="R2467" s="46">
        <f>P2467*O2467*M2467*N2467*H2467</f>
        <v/>
      </c>
      <c r="S2467" s="46">
        <f>R2467*INDEX(FmtCansPerCase,MATCH(F2467,FmtName,0))</f>
        <v/>
      </c>
      <c r="T2467" s="46">
        <f>S2467/INDEX(FmtCansPerPack,MATCH(F2467,FmtName,0))</f>
        <v/>
      </c>
      <c r="U2467" s="47">
        <f>INDEX(ChBaseCP,MATCH(E2467,ChName,0))*(1+INDEX(ProvMod,MATCH(G2467,ProvCode,0)))*(1+PriceIndex)</f>
        <v/>
      </c>
      <c r="V2467" s="47">
        <f>R2467*U2467*INDEX(FmtBlendedPriceIdx,MATCH(F2467,FmtName,0))</f>
        <v/>
      </c>
      <c r="W2467" s="47">
        <f>T2467*INDEX(ProvSRP,MATCH(G2467,ProvCode,0))*(1+PriceIndex)</f>
        <v/>
      </c>
      <c r="X2467" s="47">
        <f>IF(GrossBasis="Wholesale",V2467,W2467)</f>
        <v/>
      </c>
      <c r="Y2467" s="47">
        <f>R2467*INDEX(FmtBlendedCogs,MATCH(F2467,FmtName,0))</f>
        <v/>
      </c>
      <c r="Z2467" s="47">
        <f>X2467-Y2467</f>
        <v/>
      </c>
    </row>
    <row r="2468">
      <c r="A2468" t="n">
        <v>29</v>
      </c>
      <c r="B2468" s="44">
        <f>FiscalStart+(A2468-1)*7</f>
        <v/>
      </c>
      <c r="C2468">
        <f>TEXT(B2468,"mmm yyyy")</f>
        <v/>
      </c>
      <c r="D2468">
        <f>"Q"&amp;(INT((A2468-1)/13)+1)</f>
        <v/>
      </c>
      <c r="E2468" t="inlineStr">
        <is>
          <t>FDM</t>
        </is>
      </c>
      <c r="F2468">
        <f>IFERROR(INDEX(ChFormat,MATCH(E2468,ChName,0)),"")</f>
        <v/>
      </c>
      <c r="G2468" t="inlineStr">
        <is>
          <t>NB</t>
        </is>
      </c>
      <c r="H2468">
        <f>IF(A2468&lt;=NWeeks,1,0)</f>
        <v/>
      </c>
      <c r="I2468">
        <f>INDEX(ChLaunch,MATCH(E2468,ChName,0))</f>
        <v/>
      </c>
      <c r="J2468">
        <f>INDEX(ChWeeksFull,MATCH(E2468,ChName,0))</f>
        <v/>
      </c>
      <c r="K2468">
        <f>INDEX(ChRamp,MATCH(E2468,ChName,0))</f>
        <v/>
      </c>
      <c r="L2468" s="45">
        <f>MIN(1,MAX(0,(A2468-I2468+1)*RampSpeed/J2468))</f>
        <v/>
      </c>
      <c r="M2468" s="45">
        <f>IF(A2468&lt;I2468,0,IF(K2468="S-curve",L2468*L2468*(3-2*L2468),L2468))</f>
        <v/>
      </c>
      <c r="N2468" s="45">
        <f>1+(INDEX(SeasonIdx,A2468)-1)*SeasonAmp</f>
        <v/>
      </c>
      <c r="O2468" s="45">
        <f>IFERROR(INDEX(PSPct,MATCH(E2468&amp;"|"&amp;G2468,PSKey,0)),0)</f>
        <v/>
      </c>
      <c r="P2468" s="46">
        <f>INDEX(ChDoorVel,MATCH(E2468,ChName,0))*CalibScalar*(1+VelocityUplift)</f>
        <v/>
      </c>
      <c r="Q2468" s="46" t="n">
        <v>0</v>
      </c>
      <c r="R2468" s="46">
        <f>P2468*O2468*M2468*N2468*H2468</f>
        <v/>
      </c>
      <c r="S2468" s="46">
        <f>R2468*INDEX(FmtCansPerCase,MATCH(F2468,FmtName,0))</f>
        <v/>
      </c>
      <c r="T2468" s="46">
        <f>S2468/INDEX(FmtCansPerPack,MATCH(F2468,FmtName,0))</f>
        <v/>
      </c>
      <c r="U2468" s="47">
        <f>INDEX(ChBaseCP,MATCH(E2468,ChName,0))*(1+INDEX(ProvMod,MATCH(G2468,ProvCode,0)))*(1+PriceIndex)</f>
        <v/>
      </c>
      <c r="V2468" s="47">
        <f>R2468*U2468*INDEX(FmtBlendedPriceIdx,MATCH(F2468,FmtName,0))</f>
        <v/>
      </c>
      <c r="W2468" s="47">
        <f>T2468*INDEX(ProvSRP,MATCH(G2468,ProvCode,0))*(1+PriceIndex)</f>
        <v/>
      </c>
      <c r="X2468" s="47">
        <f>IF(GrossBasis="Wholesale",V2468,W2468)</f>
        <v/>
      </c>
      <c r="Y2468" s="47">
        <f>R2468*INDEX(FmtBlendedCogs,MATCH(F2468,FmtName,0))</f>
        <v/>
      </c>
      <c r="Z2468" s="47">
        <f>X2468-Y2468</f>
        <v/>
      </c>
    </row>
    <row r="2469">
      <c r="A2469" t="n">
        <v>30</v>
      </c>
      <c r="B2469" s="44">
        <f>FiscalStart+(A2469-1)*7</f>
        <v/>
      </c>
      <c r="C2469">
        <f>TEXT(B2469,"mmm yyyy")</f>
        <v/>
      </c>
      <c r="D2469">
        <f>"Q"&amp;(INT((A2469-1)/13)+1)</f>
        <v/>
      </c>
      <c r="E2469" t="inlineStr">
        <is>
          <t>FDM</t>
        </is>
      </c>
      <c r="F2469">
        <f>IFERROR(INDEX(ChFormat,MATCH(E2469,ChName,0)),"")</f>
        <v/>
      </c>
      <c r="G2469" t="inlineStr">
        <is>
          <t>NB</t>
        </is>
      </c>
      <c r="H2469">
        <f>IF(A2469&lt;=NWeeks,1,0)</f>
        <v/>
      </c>
      <c r="I2469">
        <f>INDEX(ChLaunch,MATCH(E2469,ChName,0))</f>
        <v/>
      </c>
      <c r="J2469">
        <f>INDEX(ChWeeksFull,MATCH(E2469,ChName,0))</f>
        <v/>
      </c>
      <c r="K2469">
        <f>INDEX(ChRamp,MATCH(E2469,ChName,0))</f>
        <v/>
      </c>
      <c r="L2469" s="45">
        <f>MIN(1,MAX(0,(A2469-I2469+1)*RampSpeed/J2469))</f>
        <v/>
      </c>
      <c r="M2469" s="45">
        <f>IF(A2469&lt;I2469,0,IF(K2469="S-curve",L2469*L2469*(3-2*L2469),L2469))</f>
        <v/>
      </c>
      <c r="N2469" s="45">
        <f>1+(INDEX(SeasonIdx,A2469)-1)*SeasonAmp</f>
        <v/>
      </c>
      <c r="O2469" s="45">
        <f>IFERROR(INDEX(PSPct,MATCH(E2469&amp;"|"&amp;G2469,PSKey,0)),0)</f>
        <v/>
      </c>
      <c r="P2469" s="46">
        <f>INDEX(ChDoorVel,MATCH(E2469,ChName,0))*CalibScalar*(1+VelocityUplift)</f>
        <v/>
      </c>
      <c r="Q2469" s="46" t="n">
        <v>0</v>
      </c>
      <c r="R2469" s="46">
        <f>P2469*O2469*M2469*N2469*H2469</f>
        <v/>
      </c>
      <c r="S2469" s="46">
        <f>R2469*INDEX(FmtCansPerCase,MATCH(F2469,FmtName,0))</f>
        <v/>
      </c>
      <c r="T2469" s="46">
        <f>S2469/INDEX(FmtCansPerPack,MATCH(F2469,FmtName,0))</f>
        <v/>
      </c>
      <c r="U2469" s="47">
        <f>INDEX(ChBaseCP,MATCH(E2469,ChName,0))*(1+INDEX(ProvMod,MATCH(G2469,ProvCode,0)))*(1+PriceIndex)</f>
        <v/>
      </c>
      <c r="V2469" s="47">
        <f>R2469*U2469*INDEX(FmtBlendedPriceIdx,MATCH(F2469,FmtName,0))</f>
        <v/>
      </c>
      <c r="W2469" s="47">
        <f>T2469*INDEX(ProvSRP,MATCH(G2469,ProvCode,0))*(1+PriceIndex)</f>
        <v/>
      </c>
      <c r="X2469" s="47">
        <f>IF(GrossBasis="Wholesale",V2469,W2469)</f>
        <v/>
      </c>
      <c r="Y2469" s="47">
        <f>R2469*INDEX(FmtBlendedCogs,MATCH(F2469,FmtName,0))</f>
        <v/>
      </c>
      <c r="Z2469" s="47">
        <f>X2469-Y2469</f>
        <v/>
      </c>
    </row>
    <row r="2470">
      <c r="A2470" t="n">
        <v>31</v>
      </c>
      <c r="B2470" s="44">
        <f>FiscalStart+(A2470-1)*7</f>
        <v/>
      </c>
      <c r="C2470">
        <f>TEXT(B2470,"mmm yyyy")</f>
        <v/>
      </c>
      <c r="D2470">
        <f>"Q"&amp;(INT((A2470-1)/13)+1)</f>
        <v/>
      </c>
      <c r="E2470" t="inlineStr">
        <is>
          <t>FDM</t>
        </is>
      </c>
      <c r="F2470">
        <f>IFERROR(INDEX(ChFormat,MATCH(E2470,ChName,0)),"")</f>
        <v/>
      </c>
      <c r="G2470" t="inlineStr">
        <is>
          <t>NB</t>
        </is>
      </c>
      <c r="H2470">
        <f>IF(A2470&lt;=NWeeks,1,0)</f>
        <v/>
      </c>
      <c r="I2470">
        <f>INDEX(ChLaunch,MATCH(E2470,ChName,0))</f>
        <v/>
      </c>
      <c r="J2470">
        <f>INDEX(ChWeeksFull,MATCH(E2470,ChName,0))</f>
        <v/>
      </c>
      <c r="K2470">
        <f>INDEX(ChRamp,MATCH(E2470,ChName,0))</f>
        <v/>
      </c>
      <c r="L2470" s="45">
        <f>MIN(1,MAX(0,(A2470-I2470+1)*RampSpeed/J2470))</f>
        <v/>
      </c>
      <c r="M2470" s="45">
        <f>IF(A2470&lt;I2470,0,IF(K2470="S-curve",L2470*L2470*(3-2*L2470),L2470))</f>
        <v/>
      </c>
      <c r="N2470" s="45">
        <f>1+(INDEX(SeasonIdx,A2470)-1)*SeasonAmp</f>
        <v/>
      </c>
      <c r="O2470" s="45">
        <f>IFERROR(INDEX(PSPct,MATCH(E2470&amp;"|"&amp;G2470,PSKey,0)),0)</f>
        <v/>
      </c>
      <c r="P2470" s="46">
        <f>INDEX(ChDoorVel,MATCH(E2470,ChName,0))*CalibScalar*(1+VelocityUplift)</f>
        <v/>
      </c>
      <c r="Q2470" s="46" t="n">
        <v>0</v>
      </c>
      <c r="R2470" s="46">
        <f>P2470*O2470*M2470*N2470*H2470</f>
        <v/>
      </c>
      <c r="S2470" s="46">
        <f>R2470*INDEX(FmtCansPerCase,MATCH(F2470,FmtName,0))</f>
        <v/>
      </c>
      <c r="T2470" s="46">
        <f>S2470/INDEX(FmtCansPerPack,MATCH(F2470,FmtName,0))</f>
        <v/>
      </c>
      <c r="U2470" s="47">
        <f>INDEX(ChBaseCP,MATCH(E2470,ChName,0))*(1+INDEX(ProvMod,MATCH(G2470,ProvCode,0)))*(1+PriceIndex)</f>
        <v/>
      </c>
      <c r="V2470" s="47">
        <f>R2470*U2470*INDEX(FmtBlendedPriceIdx,MATCH(F2470,FmtName,0))</f>
        <v/>
      </c>
      <c r="W2470" s="47">
        <f>T2470*INDEX(ProvSRP,MATCH(G2470,ProvCode,0))*(1+PriceIndex)</f>
        <v/>
      </c>
      <c r="X2470" s="47">
        <f>IF(GrossBasis="Wholesale",V2470,W2470)</f>
        <v/>
      </c>
      <c r="Y2470" s="47">
        <f>R2470*INDEX(FmtBlendedCogs,MATCH(F2470,FmtName,0))</f>
        <v/>
      </c>
      <c r="Z2470" s="47">
        <f>X2470-Y2470</f>
        <v/>
      </c>
    </row>
    <row r="2471">
      <c r="A2471" t="n">
        <v>32</v>
      </c>
      <c r="B2471" s="44">
        <f>FiscalStart+(A2471-1)*7</f>
        <v/>
      </c>
      <c r="C2471">
        <f>TEXT(B2471,"mmm yyyy")</f>
        <v/>
      </c>
      <c r="D2471">
        <f>"Q"&amp;(INT((A2471-1)/13)+1)</f>
        <v/>
      </c>
      <c r="E2471" t="inlineStr">
        <is>
          <t>FDM</t>
        </is>
      </c>
      <c r="F2471">
        <f>IFERROR(INDEX(ChFormat,MATCH(E2471,ChName,0)),"")</f>
        <v/>
      </c>
      <c r="G2471" t="inlineStr">
        <is>
          <t>NB</t>
        </is>
      </c>
      <c r="H2471">
        <f>IF(A2471&lt;=NWeeks,1,0)</f>
        <v/>
      </c>
      <c r="I2471">
        <f>INDEX(ChLaunch,MATCH(E2471,ChName,0))</f>
        <v/>
      </c>
      <c r="J2471">
        <f>INDEX(ChWeeksFull,MATCH(E2471,ChName,0))</f>
        <v/>
      </c>
      <c r="K2471">
        <f>INDEX(ChRamp,MATCH(E2471,ChName,0))</f>
        <v/>
      </c>
      <c r="L2471" s="45">
        <f>MIN(1,MAX(0,(A2471-I2471+1)*RampSpeed/J2471))</f>
        <v/>
      </c>
      <c r="M2471" s="45">
        <f>IF(A2471&lt;I2471,0,IF(K2471="S-curve",L2471*L2471*(3-2*L2471),L2471))</f>
        <v/>
      </c>
      <c r="N2471" s="45">
        <f>1+(INDEX(SeasonIdx,A2471)-1)*SeasonAmp</f>
        <v/>
      </c>
      <c r="O2471" s="45">
        <f>IFERROR(INDEX(PSPct,MATCH(E2471&amp;"|"&amp;G2471,PSKey,0)),0)</f>
        <v/>
      </c>
      <c r="P2471" s="46">
        <f>INDEX(ChDoorVel,MATCH(E2471,ChName,0))*CalibScalar*(1+VelocityUplift)</f>
        <v/>
      </c>
      <c r="Q2471" s="46" t="n">
        <v>0</v>
      </c>
      <c r="R2471" s="46">
        <f>P2471*O2471*M2471*N2471*H2471</f>
        <v/>
      </c>
      <c r="S2471" s="46">
        <f>R2471*INDEX(FmtCansPerCase,MATCH(F2471,FmtName,0))</f>
        <v/>
      </c>
      <c r="T2471" s="46">
        <f>S2471/INDEX(FmtCansPerPack,MATCH(F2471,FmtName,0))</f>
        <v/>
      </c>
      <c r="U2471" s="47">
        <f>INDEX(ChBaseCP,MATCH(E2471,ChName,0))*(1+INDEX(ProvMod,MATCH(G2471,ProvCode,0)))*(1+PriceIndex)</f>
        <v/>
      </c>
      <c r="V2471" s="47">
        <f>R2471*U2471*INDEX(FmtBlendedPriceIdx,MATCH(F2471,FmtName,0))</f>
        <v/>
      </c>
      <c r="W2471" s="47">
        <f>T2471*INDEX(ProvSRP,MATCH(G2471,ProvCode,0))*(1+PriceIndex)</f>
        <v/>
      </c>
      <c r="X2471" s="47">
        <f>IF(GrossBasis="Wholesale",V2471,W2471)</f>
        <v/>
      </c>
      <c r="Y2471" s="47">
        <f>R2471*INDEX(FmtBlendedCogs,MATCH(F2471,FmtName,0))</f>
        <v/>
      </c>
      <c r="Z2471" s="47">
        <f>X2471-Y2471</f>
        <v/>
      </c>
    </row>
    <row r="2472">
      <c r="A2472" t="n">
        <v>33</v>
      </c>
      <c r="B2472" s="44">
        <f>FiscalStart+(A2472-1)*7</f>
        <v/>
      </c>
      <c r="C2472">
        <f>TEXT(B2472,"mmm yyyy")</f>
        <v/>
      </c>
      <c r="D2472">
        <f>"Q"&amp;(INT((A2472-1)/13)+1)</f>
        <v/>
      </c>
      <c r="E2472" t="inlineStr">
        <is>
          <t>FDM</t>
        </is>
      </c>
      <c r="F2472">
        <f>IFERROR(INDEX(ChFormat,MATCH(E2472,ChName,0)),"")</f>
        <v/>
      </c>
      <c r="G2472" t="inlineStr">
        <is>
          <t>NB</t>
        </is>
      </c>
      <c r="H2472">
        <f>IF(A2472&lt;=NWeeks,1,0)</f>
        <v/>
      </c>
      <c r="I2472">
        <f>INDEX(ChLaunch,MATCH(E2472,ChName,0))</f>
        <v/>
      </c>
      <c r="J2472">
        <f>INDEX(ChWeeksFull,MATCH(E2472,ChName,0))</f>
        <v/>
      </c>
      <c r="K2472">
        <f>INDEX(ChRamp,MATCH(E2472,ChName,0))</f>
        <v/>
      </c>
      <c r="L2472" s="45">
        <f>MIN(1,MAX(0,(A2472-I2472+1)*RampSpeed/J2472))</f>
        <v/>
      </c>
      <c r="M2472" s="45">
        <f>IF(A2472&lt;I2472,0,IF(K2472="S-curve",L2472*L2472*(3-2*L2472),L2472))</f>
        <v/>
      </c>
      <c r="N2472" s="45">
        <f>1+(INDEX(SeasonIdx,A2472)-1)*SeasonAmp</f>
        <v/>
      </c>
      <c r="O2472" s="45">
        <f>IFERROR(INDEX(PSPct,MATCH(E2472&amp;"|"&amp;G2472,PSKey,0)),0)</f>
        <v/>
      </c>
      <c r="P2472" s="46">
        <f>INDEX(ChDoorVel,MATCH(E2472,ChName,0))*CalibScalar*(1+VelocityUplift)</f>
        <v/>
      </c>
      <c r="Q2472" s="46" t="n">
        <v>0</v>
      </c>
      <c r="R2472" s="46">
        <f>P2472*O2472*M2472*N2472*H2472</f>
        <v/>
      </c>
      <c r="S2472" s="46">
        <f>R2472*INDEX(FmtCansPerCase,MATCH(F2472,FmtName,0))</f>
        <v/>
      </c>
      <c r="T2472" s="46">
        <f>S2472/INDEX(FmtCansPerPack,MATCH(F2472,FmtName,0))</f>
        <v/>
      </c>
      <c r="U2472" s="47">
        <f>INDEX(ChBaseCP,MATCH(E2472,ChName,0))*(1+INDEX(ProvMod,MATCH(G2472,ProvCode,0)))*(1+PriceIndex)</f>
        <v/>
      </c>
      <c r="V2472" s="47">
        <f>R2472*U2472*INDEX(FmtBlendedPriceIdx,MATCH(F2472,FmtName,0))</f>
        <v/>
      </c>
      <c r="W2472" s="47">
        <f>T2472*INDEX(ProvSRP,MATCH(G2472,ProvCode,0))*(1+PriceIndex)</f>
        <v/>
      </c>
      <c r="X2472" s="47">
        <f>IF(GrossBasis="Wholesale",V2472,W2472)</f>
        <v/>
      </c>
      <c r="Y2472" s="47">
        <f>R2472*INDEX(FmtBlendedCogs,MATCH(F2472,FmtName,0))</f>
        <v/>
      </c>
      <c r="Z2472" s="47">
        <f>X2472-Y2472</f>
        <v/>
      </c>
    </row>
    <row r="2473">
      <c r="A2473" t="n">
        <v>34</v>
      </c>
      <c r="B2473" s="44">
        <f>FiscalStart+(A2473-1)*7</f>
        <v/>
      </c>
      <c r="C2473">
        <f>TEXT(B2473,"mmm yyyy")</f>
        <v/>
      </c>
      <c r="D2473">
        <f>"Q"&amp;(INT((A2473-1)/13)+1)</f>
        <v/>
      </c>
      <c r="E2473" t="inlineStr">
        <is>
          <t>FDM</t>
        </is>
      </c>
      <c r="F2473">
        <f>IFERROR(INDEX(ChFormat,MATCH(E2473,ChName,0)),"")</f>
        <v/>
      </c>
      <c r="G2473" t="inlineStr">
        <is>
          <t>NB</t>
        </is>
      </c>
      <c r="H2473">
        <f>IF(A2473&lt;=NWeeks,1,0)</f>
        <v/>
      </c>
      <c r="I2473">
        <f>INDEX(ChLaunch,MATCH(E2473,ChName,0))</f>
        <v/>
      </c>
      <c r="J2473">
        <f>INDEX(ChWeeksFull,MATCH(E2473,ChName,0))</f>
        <v/>
      </c>
      <c r="K2473">
        <f>INDEX(ChRamp,MATCH(E2473,ChName,0))</f>
        <v/>
      </c>
      <c r="L2473" s="45">
        <f>MIN(1,MAX(0,(A2473-I2473+1)*RampSpeed/J2473))</f>
        <v/>
      </c>
      <c r="M2473" s="45">
        <f>IF(A2473&lt;I2473,0,IF(K2473="S-curve",L2473*L2473*(3-2*L2473),L2473))</f>
        <v/>
      </c>
      <c r="N2473" s="45">
        <f>1+(INDEX(SeasonIdx,A2473)-1)*SeasonAmp</f>
        <v/>
      </c>
      <c r="O2473" s="45">
        <f>IFERROR(INDEX(PSPct,MATCH(E2473&amp;"|"&amp;G2473,PSKey,0)),0)</f>
        <v/>
      </c>
      <c r="P2473" s="46">
        <f>INDEX(ChDoorVel,MATCH(E2473,ChName,0))*CalibScalar*(1+VelocityUplift)</f>
        <v/>
      </c>
      <c r="Q2473" s="46" t="n">
        <v>0</v>
      </c>
      <c r="R2473" s="46">
        <f>P2473*O2473*M2473*N2473*H2473</f>
        <v/>
      </c>
      <c r="S2473" s="46">
        <f>R2473*INDEX(FmtCansPerCase,MATCH(F2473,FmtName,0))</f>
        <v/>
      </c>
      <c r="T2473" s="46">
        <f>S2473/INDEX(FmtCansPerPack,MATCH(F2473,FmtName,0))</f>
        <v/>
      </c>
      <c r="U2473" s="47">
        <f>INDEX(ChBaseCP,MATCH(E2473,ChName,0))*(1+INDEX(ProvMod,MATCH(G2473,ProvCode,0)))*(1+PriceIndex)</f>
        <v/>
      </c>
      <c r="V2473" s="47">
        <f>R2473*U2473*INDEX(FmtBlendedPriceIdx,MATCH(F2473,FmtName,0))</f>
        <v/>
      </c>
      <c r="W2473" s="47">
        <f>T2473*INDEX(ProvSRP,MATCH(G2473,ProvCode,0))*(1+PriceIndex)</f>
        <v/>
      </c>
      <c r="X2473" s="47">
        <f>IF(GrossBasis="Wholesale",V2473,W2473)</f>
        <v/>
      </c>
      <c r="Y2473" s="47">
        <f>R2473*INDEX(FmtBlendedCogs,MATCH(F2473,FmtName,0))</f>
        <v/>
      </c>
      <c r="Z2473" s="47">
        <f>X2473-Y2473</f>
        <v/>
      </c>
    </row>
    <row r="2474">
      <c r="A2474" t="n">
        <v>35</v>
      </c>
      <c r="B2474" s="44">
        <f>FiscalStart+(A2474-1)*7</f>
        <v/>
      </c>
      <c r="C2474">
        <f>TEXT(B2474,"mmm yyyy")</f>
        <v/>
      </c>
      <c r="D2474">
        <f>"Q"&amp;(INT((A2474-1)/13)+1)</f>
        <v/>
      </c>
      <c r="E2474" t="inlineStr">
        <is>
          <t>FDM</t>
        </is>
      </c>
      <c r="F2474">
        <f>IFERROR(INDEX(ChFormat,MATCH(E2474,ChName,0)),"")</f>
        <v/>
      </c>
      <c r="G2474" t="inlineStr">
        <is>
          <t>NB</t>
        </is>
      </c>
      <c r="H2474">
        <f>IF(A2474&lt;=NWeeks,1,0)</f>
        <v/>
      </c>
      <c r="I2474">
        <f>INDEX(ChLaunch,MATCH(E2474,ChName,0))</f>
        <v/>
      </c>
      <c r="J2474">
        <f>INDEX(ChWeeksFull,MATCH(E2474,ChName,0))</f>
        <v/>
      </c>
      <c r="K2474">
        <f>INDEX(ChRamp,MATCH(E2474,ChName,0))</f>
        <v/>
      </c>
      <c r="L2474" s="45">
        <f>MIN(1,MAX(0,(A2474-I2474+1)*RampSpeed/J2474))</f>
        <v/>
      </c>
      <c r="M2474" s="45">
        <f>IF(A2474&lt;I2474,0,IF(K2474="S-curve",L2474*L2474*(3-2*L2474),L2474))</f>
        <v/>
      </c>
      <c r="N2474" s="45">
        <f>1+(INDEX(SeasonIdx,A2474)-1)*SeasonAmp</f>
        <v/>
      </c>
      <c r="O2474" s="45">
        <f>IFERROR(INDEX(PSPct,MATCH(E2474&amp;"|"&amp;G2474,PSKey,0)),0)</f>
        <v/>
      </c>
      <c r="P2474" s="46">
        <f>INDEX(ChDoorVel,MATCH(E2474,ChName,0))*CalibScalar*(1+VelocityUplift)</f>
        <v/>
      </c>
      <c r="Q2474" s="46" t="n">
        <v>0</v>
      </c>
      <c r="R2474" s="46">
        <f>P2474*O2474*M2474*N2474*H2474</f>
        <v/>
      </c>
      <c r="S2474" s="46">
        <f>R2474*INDEX(FmtCansPerCase,MATCH(F2474,FmtName,0))</f>
        <v/>
      </c>
      <c r="T2474" s="46">
        <f>S2474/INDEX(FmtCansPerPack,MATCH(F2474,FmtName,0))</f>
        <v/>
      </c>
      <c r="U2474" s="47">
        <f>INDEX(ChBaseCP,MATCH(E2474,ChName,0))*(1+INDEX(ProvMod,MATCH(G2474,ProvCode,0)))*(1+PriceIndex)</f>
        <v/>
      </c>
      <c r="V2474" s="47">
        <f>R2474*U2474*INDEX(FmtBlendedPriceIdx,MATCH(F2474,FmtName,0))</f>
        <v/>
      </c>
      <c r="W2474" s="47">
        <f>T2474*INDEX(ProvSRP,MATCH(G2474,ProvCode,0))*(1+PriceIndex)</f>
        <v/>
      </c>
      <c r="X2474" s="47">
        <f>IF(GrossBasis="Wholesale",V2474,W2474)</f>
        <v/>
      </c>
      <c r="Y2474" s="47">
        <f>R2474*INDEX(FmtBlendedCogs,MATCH(F2474,FmtName,0))</f>
        <v/>
      </c>
      <c r="Z2474" s="47">
        <f>X2474-Y2474</f>
        <v/>
      </c>
    </row>
    <row r="2475">
      <c r="A2475" t="n">
        <v>36</v>
      </c>
      <c r="B2475" s="44">
        <f>FiscalStart+(A2475-1)*7</f>
        <v/>
      </c>
      <c r="C2475">
        <f>TEXT(B2475,"mmm yyyy")</f>
        <v/>
      </c>
      <c r="D2475">
        <f>"Q"&amp;(INT((A2475-1)/13)+1)</f>
        <v/>
      </c>
      <c r="E2475" t="inlineStr">
        <is>
          <t>FDM</t>
        </is>
      </c>
      <c r="F2475">
        <f>IFERROR(INDEX(ChFormat,MATCH(E2475,ChName,0)),"")</f>
        <v/>
      </c>
      <c r="G2475" t="inlineStr">
        <is>
          <t>NB</t>
        </is>
      </c>
      <c r="H2475">
        <f>IF(A2475&lt;=NWeeks,1,0)</f>
        <v/>
      </c>
      <c r="I2475">
        <f>INDEX(ChLaunch,MATCH(E2475,ChName,0))</f>
        <v/>
      </c>
      <c r="J2475">
        <f>INDEX(ChWeeksFull,MATCH(E2475,ChName,0))</f>
        <v/>
      </c>
      <c r="K2475">
        <f>INDEX(ChRamp,MATCH(E2475,ChName,0))</f>
        <v/>
      </c>
      <c r="L2475" s="45">
        <f>MIN(1,MAX(0,(A2475-I2475+1)*RampSpeed/J2475))</f>
        <v/>
      </c>
      <c r="M2475" s="45">
        <f>IF(A2475&lt;I2475,0,IF(K2475="S-curve",L2475*L2475*(3-2*L2475),L2475))</f>
        <v/>
      </c>
      <c r="N2475" s="45">
        <f>1+(INDEX(SeasonIdx,A2475)-1)*SeasonAmp</f>
        <v/>
      </c>
      <c r="O2475" s="45">
        <f>IFERROR(INDEX(PSPct,MATCH(E2475&amp;"|"&amp;G2475,PSKey,0)),0)</f>
        <v/>
      </c>
      <c r="P2475" s="46">
        <f>INDEX(ChDoorVel,MATCH(E2475,ChName,0))*CalibScalar*(1+VelocityUplift)</f>
        <v/>
      </c>
      <c r="Q2475" s="46" t="n">
        <v>0</v>
      </c>
      <c r="R2475" s="46">
        <f>P2475*O2475*M2475*N2475*H2475</f>
        <v/>
      </c>
      <c r="S2475" s="46">
        <f>R2475*INDEX(FmtCansPerCase,MATCH(F2475,FmtName,0))</f>
        <v/>
      </c>
      <c r="T2475" s="46">
        <f>S2475/INDEX(FmtCansPerPack,MATCH(F2475,FmtName,0))</f>
        <v/>
      </c>
      <c r="U2475" s="47">
        <f>INDEX(ChBaseCP,MATCH(E2475,ChName,0))*(1+INDEX(ProvMod,MATCH(G2475,ProvCode,0)))*(1+PriceIndex)</f>
        <v/>
      </c>
      <c r="V2475" s="47">
        <f>R2475*U2475*INDEX(FmtBlendedPriceIdx,MATCH(F2475,FmtName,0))</f>
        <v/>
      </c>
      <c r="W2475" s="47">
        <f>T2475*INDEX(ProvSRP,MATCH(G2475,ProvCode,0))*(1+PriceIndex)</f>
        <v/>
      </c>
      <c r="X2475" s="47">
        <f>IF(GrossBasis="Wholesale",V2475,W2475)</f>
        <v/>
      </c>
      <c r="Y2475" s="47">
        <f>R2475*INDEX(FmtBlendedCogs,MATCH(F2475,FmtName,0))</f>
        <v/>
      </c>
      <c r="Z2475" s="47">
        <f>X2475-Y2475</f>
        <v/>
      </c>
    </row>
    <row r="2476">
      <c r="A2476" t="n">
        <v>37</v>
      </c>
      <c r="B2476" s="44">
        <f>FiscalStart+(A2476-1)*7</f>
        <v/>
      </c>
      <c r="C2476">
        <f>TEXT(B2476,"mmm yyyy")</f>
        <v/>
      </c>
      <c r="D2476">
        <f>"Q"&amp;(INT((A2476-1)/13)+1)</f>
        <v/>
      </c>
      <c r="E2476" t="inlineStr">
        <is>
          <t>FDM</t>
        </is>
      </c>
      <c r="F2476">
        <f>IFERROR(INDEX(ChFormat,MATCH(E2476,ChName,0)),"")</f>
        <v/>
      </c>
      <c r="G2476" t="inlineStr">
        <is>
          <t>NB</t>
        </is>
      </c>
      <c r="H2476">
        <f>IF(A2476&lt;=NWeeks,1,0)</f>
        <v/>
      </c>
      <c r="I2476">
        <f>INDEX(ChLaunch,MATCH(E2476,ChName,0))</f>
        <v/>
      </c>
      <c r="J2476">
        <f>INDEX(ChWeeksFull,MATCH(E2476,ChName,0))</f>
        <v/>
      </c>
      <c r="K2476">
        <f>INDEX(ChRamp,MATCH(E2476,ChName,0))</f>
        <v/>
      </c>
      <c r="L2476" s="45">
        <f>MIN(1,MAX(0,(A2476-I2476+1)*RampSpeed/J2476))</f>
        <v/>
      </c>
      <c r="M2476" s="45">
        <f>IF(A2476&lt;I2476,0,IF(K2476="S-curve",L2476*L2476*(3-2*L2476),L2476))</f>
        <v/>
      </c>
      <c r="N2476" s="45">
        <f>1+(INDEX(SeasonIdx,A2476)-1)*SeasonAmp</f>
        <v/>
      </c>
      <c r="O2476" s="45">
        <f>IFERROR(INDEX(PSPct,MATCH(E2476&amp;"|"&amp;G2476,PSKey,0)),0)</f>
        <v/>
      </c>
      <c r="P2476" s="46">
        <f>INDEX(ChDoorVel,MATCH(E2476,ChName,0))*CalibScalar*(1+VelocityUplift)</f>
        <v/>
      </c>
      <c r="Q2476" s="46" t="n">
        <v>0</v>
      </c>
      <c r="R2476" s="46">
        <f>P2476*O2476*M2476*N2476*H2476</f>
        <v/>
      </c>
      <c r="S2476" s="46">
        <f>R2476*INDEX(FmtCansPerCase,MATCH(F2476,FmtName,0))</f>
        <v/>
      </c>
      <c r="T2476" s="46">
        <f>S2476/INDEX(FmtCansPerPack,MATCH(F2476,FmtName,0))</f>
        <v/>
      </c>
      <c r="U2476" s="47">
        <f>INDEX(ChBaseCP,MATCH(E2476,ChName,0))*(1+INDEX(ProvMod,MATCH(G2476,ProvCode,0)))*(1+PriceIndex)</f>
        <v/>
      </c>
      <c r="V2476" s="47">
        <f>R2476*U2476*INDEX(FmtBlendedPriceIdx,MATCH(F2476,FmtName,0))</f>
        <v/>
      </c>
      <c r="W2476" s="47">
        <f>T2476*INDEX(ProvSRP,MATCH(G2476,ProvCode,0))*(1+PriceIndex)</f>
        <v/>
      </c>
      <c r="X2476" s="47">
        <f>IF(GrossBasis="Wholesale",V2476,W2476)</f>
        <v/>
      </c>
      <c r="Y2476" s="47">
        <f>R2476*INDEX(FmtBlendedCogs,MATCH(F2476,FmtName,0))</f>
        <v/>
      </c>
      <c r="Z2476" s="47">
        <f>X2476-Y2476</f>
        <v/>
      </c>
    </row>
    <row r="2477">
      <c r="A2477" t="n">
        <v>38</v>
      </c>
      <c r="B2477" s="44">
        <f>FiscalStart+(A2477-1)*7</f>
        <v/>
      </c>
      <c r="C2477">
        <f>TEXT(B2477,"mmm yyyy")</f>
        <v/>
      </c>
      <c r="D2477">
        <f>"Q"&amp;(INT((A2477-1)/13)+1)</f>
        <v/>
      </c>
      <c r="E2477" t="inlineStr">
        <is>
          <t>FDM</t>
        </is>
      </c>
      <c r="F2477">
        <f>IFERROR(INDEX(ChFormat,MATCH(E2477,ChName,0)),"")</f>
        <v/>
      </c>
      <c r="G2477" t="inlineStr">
        <is>
          <t>NB</t>
        </is>
      </c>
      <c r="H2477">
        <f>IF(A2477&lt;=NWeeks,1,0)</f>
        <v/>
      </c>
      <c r="I2477">
        <f>INDEX(ChLaunch,MATCH(E2477,ChName,0))</f>
        <v/>
      </c>
      <c r="J2477">
        <f>INDEX(ChWeeksFull,MATCH(E2477,ChName,0))</f>
        <v/>
      </c>
      <c r="K2477">
        <f>INDEX(ChRamp,MATCH(E2477,ChName,0))</f>
        <v/>
      </c>
      <c r="L2477" s="45">
        <f>MIN(1,MAX(0,(A2477-I2477+1)*RampSpeed/J2477))</f>
        <v/>
      </c>
      <c r="M2477" s="45">
        <f>IF(A2477&lt;I2477,0,IF(K2477="S-curve",L2477*L2477*(3-2*L2477),L2477))</f>
        <v/>
      </c>
      <c r="N2477" s="45">
        <f>1+(INDEX(SeasonIdx,A2477)-1)*SeasonAmp</f>
        <v/>
      </c>
      <c r="O2477" s="45">
        <f>IFERROR(INDEX(PSPct,MATCH(E2477&amp;"|"&amp;G2477,PSKey,0)),0)</f>
        <v/>
      </c>
      <c r="P2477" s="46">
        <f>INDEX(ChDoorVel,MATCH(E2477,ChName,0))*CalibScalar*(1+VelocityUplift)</f>
        <v/>
      </c>
      <c r="Q2477" s="46" t="n">
        <v>0</v>
      </c>
      <c r="R2477" s="46">
        <f>P2477*O2477*M2477*N2477*H2477</f>
        <v/>
      </c>
      <c r="S2477" s="46">
        <f>R2477*INDEX(FmtCansPerCase,MATCH(F2477,FmtName,0))</f>
        <v/>
      </c>
      <c r="T2477" s="46">
        <f>S2477/INDEX(FmtCansPerPack,MATCH(F2477,FmtName,0))</f>
        <v/>
      </c>
      <c r="U2477" s="47">
        <f>INDEX(ChBaseCP,MATCH(E2477,ChName,0))*(1+INDEX(ProvMod,MATCH(G2477,ProvCode,0)))*(1+PriceIndex)</f>
        <v/>
      </c>
      <c r="V2477" s="47">
        <f>R2477*U2477*INDEX(FmtBlendedPriceIdx,MATCH(F2477,FmtName,0))</f>
        <v/>
      </c>
      <c r="W2477" s="47">
        <f>T2477*INDEX(ProvSRP,MATCH(G2477,ProvCode,0))*(1+PriceIndex)</f>
        <v/>
      </c>
      <c r="X2477" s="47">
        <f>IF(GrossBasis="Wholesale",V2477,W2477)</f>
        <v/>
      </c>
      <c r="Y2477" s="47">
        <f>R2477*INDEX(FmtBlendedCogs,MATCH(F2477,FmtName,0))</f>
        <v/>
      </c>
      <c r="Z2477" s="47">
        <f>X2477-Y2477</f>
        <v/>
      </c>
    </row>
    <row r="2478">
      <c r="A2478" t="n">
        <v>39</v>
      </c>
      <c r="B2478" s="44">
        <f>FiscalStart+(A2478-1)*7</f>
        <v/>
      </c>
      <c r="C2478">
        <f>TEXT(B2478,"mmm yyyy")</f>
        <v/>
      </c>
      <c r="D2478">
        <f>"Q"&amp;(INT((A2478-1)/13)+1)</f>
        <v/>
      </c>
      <c r="E2478" t="inlineStr">
        <is>
          <t>FDM</t>
        </is>
      </c>
      <c r="F2478">
        <f>IFERROR(INDEX(ChFormat,MATCH(E2478,ChName,0)),"")</f>
        <v/>
      </c>
      <c r="G2478" t="inlineStr">
        <is>
          <t>NB</t>
        </is>
      </c>
      <c r="H2478">
        <f>IF(A2478&lt;=NWeeks,1,0)</f>
        <v/>
      </c>
      <c r="I2478">
        <f>INDEX(ChLaunch,MATCH(E2478,ChName,0))</f>
        <v/>
      </c>
      <c r="J2478">
        <f>INDEX(ChWeeksFull,MATCH(E2478,ChName,0))</f>
        <v/>
      </c>
      <c r="K2478">
        <f>INDEX(ChRamp,MATCH(E2478,ChName,0))</f>
        <v/>
      </c>
      <c r="L2478" s="45">
        <f>MIN(1,MAX(0,(A2478-I2478+1)*RampSpeed/J2478))</f>
        <v/>
      </c>
      <c r="M2478" s="45">
        <f>IF(A2478&lt;I2478,0,IF(K2478="S-curve",L2478*L2478*(3-2*L2478),L2478))</f>
        <v/>
      </c>
      <c r="N2478" s="45">
        <f>1+(INDEX(SeasonIdx,A2478)-1)*SeasonAmp</f>
        <v/>
      </c>
      <c r="O2478" s="45">
        <f>IFERROR(INDEX(PSPct,MATCH(E2478&amp;"|"&amp;G2478,PSKey,0)),0)</f>
        <v/>
      </c>
      <c r="P2478" s="46">
        <f>INDEX(ChDoorVel,MATCH(E2478,ChName,0))*CalibScalar*(1+VelocityUplift)</f>
        <v/>
      </c>
      <c r="Q2478" s="46" t="n">
        <v>0</v>
      </c>
      <c r="R2478" s="46">
        <f>P2478*O2478*M2478*N2478*H2478</f>
        <v/>
      </c>
      <c r="S2478" s="46">
        <f>R2478*INDEX(FmtCansPerCase,MATCH(F2478,FmtName,0))</f>
        <v/>
      </c>
      <c r="T2478" s="46">
        <f>S2478/INDEX(FmtCansPerPack,MATCH(F2478,FmtName,0))</f>
        <v/>
      </c>
      <c r="U2478" s="47">
        <f>INDEX(ChBaseCP,MATCH(E2478,ChName,0))*(1+INDEX(ProvMod,MATCH(G2478,ProvCode,0)))*(1+PriceIndex)</f>
        <v/>
      </c>
      <c r="V2478" s="47">
        <f>R2478*U2478*INDEX(FmtBlendedPriceIdx,MATCH(F2478,FmtName,0))</f>
        <v/>
      </c>
      <c r="W2478" s="47">
        <f>T2478*INDEX(ProvSRP,MATCH(G2478,ProvCode,0))*(1+PriceIndex)</f>
        <v/>
      </c>
      <c r="X2478" s="47">
        <f>IF(GrossBasis="Wholesale",V2478,W2478)</f>
        <v/>
      </c>
      <c r="Y2478" s="47">
        <f>R2478*INDEX(FmtBlendedCogs,MATCH(F2478,FmtName,0))</f>
        <v/>
      </c>
      <c r="Z2478" s="47">
        <f>X2478-Y2478</f>
        <v/>
      </c>
    </row>
    <row r="2479">
      <c r="A2479" t="n">
        <v>40</v>
      </c>
      <c r="B2479" s="44">
        <f>FiscalStart+(A2479-1)*7</f>
        <v/>
      </c>
      <c r="C2479">
        <f>TEXT(B2479,"mmm yyyy")</f>
        <v/>
      </c>
      <c r="D2479">
        <f>"Q"&amp;(INT((A2479-1)/13)+1)</f>
        <v/>
      </c>
      <c r="E2479" t="inlineStr">
        <is>
          <t>FDM</t>
        </is>
      </c>
      <c r="F2479">
        <f>IFERROR(INDEX(ChFormat,MATCH(E2479,ChName,0)),"")</f>
        <v/>
      </c>
      <c r="G2479" t="inlineStr">
        <is>
          <t>NB</t>
        </is>
      </c>
      <c r="H2479">
        <f>IF(A2479&lt;=NWeeks,1,0)</f>
        <v/>
      </c>
      <c r="I2479">
        <f>INDEX(ChLaunch,MATCH(E2479,ChName,0))</f>
        <v/>
      </c>
      <c r="J2479">
        <f>INDEX(ChWeeksFull,MATCH(E2479,ChName,0))</f>
        <v/>
      </c>
      <c r="K2479">
        <f>INDEX(ChRamp,MATCH(E2479,ChName,0))</f>
        <v/>
      </c>
      <c r="L2479" s="45">
        <f>MIN(1,MAX(0,(A2479-I2479+1)*RampSpeed/J2479))</f>
        <v/>
      </c>
      <c r="M2479" s="45">
        <f>IF(A2479&lt;I2479,0,IF(K2479="S-curve",L2479*L2479*(3-2*L2479),L2479))</f>
        <v/>
      </c>
      <c r="N2479" s="45">
        <f>1+(INDEX(SeasonIdx,A2479)-1)*SeasonAmp</f>
        <v/>
      </c>
      <c r="O2479" s="45">
        <f>IFERROR(INDEX(PSPct,MATCH(E2479&amp;"|"&amp;G2479,PSKey,0)),0)</f>
        <v/>
      </c>
      <c r="P2479" s="46">
        <f>INDEX(ChDoorVel,MATCH(E2479,ChName,0))*CalibScalar*(1+VelocityUplift)</f>
        <v/>
      </c>
      <c r="Q2479" s="46" t="n">
        <v>0</v>
      </c>
      <c r="R2479" s="46">
        <f>P2479*O2479*M2479*N2479*H2479</f>
        <v/>
      </c>
      <c r="S2479" s="46">
        <f>R2479*INDEX(FmtCansPerCase,MATCH(F2479,FmtName,0))</f>
        <v/>
      </c>
      <c r="T2479" s="46">
        <f>S2479/INDEX(FmtCansPerPack,MATCH(F2479,FmtName,0))</f>
        <v/>
      </c>
      <c r="U2479" s="47">
        <f>INDEX(ChBaseCP,MATCH(E2479,ChName,0))*(1+INDEX(ProvMod,MATCH(G2479,ProvCode,0)))*(1+PriceIndex)</f>
        <v/>
      </c>
      <c r="V2479" s="47">
        <f>R2479*U2479*INDEX(FmtBlendedPriceIdx,MATCH(F2479,FmtName,0))</f>
        <v/>
      </c>
      <c r="W2479" s="47">
        <f>T2479*INDEX(ProvSRP,MATCH(G2479,ProvCode,0))*(1+PriceIndex)</f>
        <v/>
      </c>
      <c r="X2479" s="47">
        <f>IF(GrossBasis="Wholesale",V2479,W2479)</f>
        <v/>
      </c>
      <c r="Y2479" s="47">
        <f>R2479*INDEX(FmtBlendedCogs,MATCH(F2479,FmtName,0))</f>
        <v/>
      </c>
      <c r="Z2479" s="47">
        <f>X2479-Y2479</f>
        <v/>
      </c>
    </row>
    <row r="2480">
      <c r="A2480" t="n">
        <v>41</v>
      </c>
      <c r="B2480" s="44">
        <f>FiscalStart+(A2480-1)*7</f>
        <v/>
      </c>
      <c r="C2480">
        <f>TEXT(B2480,"mmm yyyy")</f>
        <v/>
      </c>
      <c r="D2480">
        <f>"Q"&amp;(INT((A2480-1)/13)+1)</f>
        <v/>
      </c>
      <c r="E2480" t="inlineStr">
        <is>
          <t>FDM</t>
        </is>
      </c>
      <c r="F2480">
        <f>IFERROR(INDEX(ChFormat,MATCH(E2480,ChName,0)),"")</f>
        <v/>
      </c>
      <c r="G2480" t="inlineStr">
        <is>
          <t>NB</t>
        </is>
      </c>
      <c r="H2480">
        <f>IF(A2480&lt;=NWeeks,1,0)</f>
        <v/>
      </c>
      <c r="I2480">
        <f>INDEX(ChLaunch,MATCH(E2480,ChName,0))</f>
        <v/>
      </c>
      <c r="J2480">
        <f>INDEX(ChWeeksFull,MATCH(E2480,ChName,0))</f>
        <v/>
      </c>
      <c r="K2480">
        <f>INDEX(ChRamp,MATCH(E2480,ChName,0))</f>
        <v/>
      </c>
      <c r="L2480" s="45">
        <f>MIN(1,MAX(0,(A2480-I2480+1)*RampSpeed/J2480))</f>
        <v/>
      </c>
      <c r="M2480" s="45">
        <f>IF(A2480&lt;I2480,0,IF(K2480="S-curve",L2480*L2480*(3-2*L2480),L2480))</f>
        <v/>
      </c>
      <c r="N2480" s="45">
        <f>1+(INDEX(SeasonIdx,A2480)-1)*SeasonAmp</f>
        <v/>
      </c>
      <c r="O2480" s="45">
        <f>IFERROR(INDEX(PSPct,MATCH(E2480&amp;"|"&amp;G2480,PSKey,0)),0)</f>
        <v/>
      </c>
      <c r="P2480" s="46">
        <f>INDEX(ChDoorVel,MATCH(E2480,ChName,0))*CalibScalar*(1+VelocityUplift)</f>
        <v/>
      </c>
      <c r="Q2480" s="46" t="n">
        <v>0</v>
      </c>
      <c r="R2480" s="46">
        <f>P2480*O2480*M2480*N2480*H2480</f>
        <v/>
      </c>
      <c r="S2480" s="46">
        <f>R2480*INDEX(FmtCansPerCase,MATCH(F2480,FmtName,0))</f>
        <v/>
      </c>
      <c r="T2480" s="46">
        <f>S2480/INDEX(FmtCansPerPack,MATCH(F2480,FmtName,0))</f>
        <v/>
      </c>
      <c r="U2480" s="47">
        <f>INDEX(ChBaseCP,MATCH(E2480,ChName,0))*(1+INDEX(ProvMod,MATCH(G2480,ProvCode,0)))*(1+PriceIndex)</f>
        <v/>
      </c>
      <c r="V2480" s="47">
        <f>R2480*U2480*INDEX(FmtBlendedPriceIdx,MATCH(F2480,FmtName,0))</f>
        <v/>
      </c>
      <c r="W2480" s="47">
        <f>T2480*INDEX(ProvSRP,MATCH(G2480,ProvCode,0))*(1+PriceIndex)</f>
        <v/>
      </c>
      <c r="X2480" s="47">
        <f>IF(GrossBasis="Wholesale",V2480,W2480)</f>
        <v/>
      </c>
      <c r="Y2480" s="47">
        <f>R2480*INDEX(FmtBlendedCogs,MATCH(F2480,FmtName,0))</f>
        <v/>
      </c>
      <c r="Z2480" s="47">
        <f>X2480-Y2480</f>
        <v/>
      </c>
    </row>
    <row r="2481">
      <c r="A2481" t="n">
        <v>42</v>
      </c>
      <c r="B2481" s="44">
        <f>FiscalStart+(A2481-1)*7</f>
        <v/>
      </c>
      <c r="C2481">
        <f>TEXT(B2481,"mmm yyyy")</f>
        <v/>
      </c>
      <c r="D2481">
        <f>"Q"&amp;(INT((A2481-1)/13)+1)</f>
        <v/>
      </c>
      <c r="E2481" t="inlineStr">
        <is>
          <t>FDM</t>
        </is>
      </c>
      <c r="F2481">
        <f>IFERROR(INDEX(ChFormat,MATCH(E2481,ChName,0)),"")</f>
        <v/>
      </c>
      <c r="G2481" t="inlineStr">
        <is>
          <t>NB</t>
        </is>
      </c>
      <c r="H2481">
        <f>IF(A2481&lt;=NWeeks,1,0)</f>
        <v/>
      </c>
      <c r="I2481">
        <f>INDEX(ChLaunch,MATCH(E2481,ChName,0))</f>
        <v/>
      </c>
      <c r="J2481">
        <f>INDEX(ChWeeksFull,MATCH(E2481,ChName,0))</f>
        <v/>
      </c>
      <c r="K2481">
        <f>INDEX(ChRamp,MATCH(E2481,ChName,0))</f>
        <v/>
      </c>
      <c r="L2481" s="45">
        <f>MIN(1,MAX(0,(A2481-I2481+1)*RampSpeed/J2481))</f>
        <v/>
      </c>
      <c r="M2481" s="45">
        <f>IF(A2481&lt;I2481,0,IF(K2481="S-curve",L2481*L2481*(3-2*L2481),L2481))</f>
        <v/>
      </c>
      <c r="N2481" s="45">
        <f>1+(INDEX(SeasonIdx,A2481)-1)*SeasonAmp</f>
        <v/>
      </c>
      <c r="O2481" s="45">
        <f>IFERROR(INDEX(PSPct,MATCH(E2481&amp;"|"&amp;G2481,PSKey,0)),0)</f>
        <v/>
      </c>
      <c r="P2481" s="46">
        <f>INDEX(ChDoorVel,MATCH(E2481,ChName,0))*CalibScalar*(1+VelocityUplift)</f>
        <v/>
      </c>
      <c r="Q2481" s="46" t="n">
        <v>0</v>
      </c>
      <c r="R2481" s="46">
        <f>P2481*O2481*M2481*N2481*H2481</f>
        <v/>
      </c>
      <c r="S2481" s="46">
        <f>R2481*INDEX(FmtCansPerCase,MATCH(F2481,FmtName,0))</f>
        <v/>
      </c>
      <c r="T2481" s="46">
        <f>S2481/INDEX(FmtCansPerPack,MATCH(F2481,FmtName,0))</f>
        <v/>
      </c>
      <c r="U2481" s="47">
        <f>INDEX(ChBaseCP,MATCH(E2481,ChName,0))*(1+INDEX(ProvMod,MATCH(G2481,ProvCode,0)))*(1+PriceIndex)</f>
        <v/>
      </c>
      <c r="V2481" s="47">
        <f>R2481*U2481*INDEX(FmtBlendedPriceIdx,MATCH(F2481,FmtName,0))</f>
        <v/>
      </c>
      <c r="W2481" s="47">
        <f>T2481*INDEX(ProvSRP,MATCH(G2481,ProvCode,0))*(1+PriceIndex)</f>
        <v/>
      </c>
      <c r="X2481" s="47">
        <f>IF(GrossBasis="Wholesale",V2481,W2481)</f>
        <v/>
      </c>
      <c r="Y2481" s="47">
        <f>R2481*INDEX(FmtBlendedCogs,MATCH(F2481,FmtName,0))</f>
        <v/>
      </c>
      <c r="Z2481" s="47">
        <f>X2481-Y2481</f>
        <v/>
      </c>
    </row>
    <row r="2482">
      <c r="A2482" t="n">
        <v>43</v>
      </c>
      <c r="B2482" s="44">
        <f>FiscalStart+(A2482-1)*7</f>
        <v/>
      </c>
      <c r="C2482">
        <f>TEXT(B2482,"mmm yyyy")</f>
        <v/>
      </c>
      <c r="D2482">
        <f>"Q"&amp;(INT((A2482-1)/13)+1)</f>
        <v/>
      </c>
      <c r="E2482" t="inlineStr">
        <is>
          <t>FDM</t>
        </is>
      </c>
      <c r="F2482">
        <f>IFERROR(INDEX(ChFormat,MATCH(E2482,ChName,0)),"")</f>
        <v/>
      </c>
      <c r="G2482" t="inlineStr">
        <is>
          <t>NB</t>
        </is>
      </c>
      <c r="H2482">
        <f>IF(A2482&lt;=NWeeks,1,0)</f>
        <v/>
      </c>
      <c r="I2482">
        <f>INDEX(ChLaunch,MATCH(E2482,ChName,0))</f>
        <v/>
      </c>
      <c r="J2482">
        <f>INDEX(ChWeeksFull,MATCH(E2482,ChName,0))</f>
        <v/>
      </c>
      <c r="K2482">
        <f>INDEX(ChRamp,MATCH(E2482,ChName,0))</f>
        <v/>
      </c>
      <c r="L2482" s="45">
        <f>MIN(1,MAX(0,(A2482-I2482+1)*RampSpeed/J2482))</f>
        <v/>
      </c>
      <c r="M2482" s="45">
        <f>IF(A2482&lt;I2482,0,IF(K2482="S-curve",L2482*L2482*(3-2*L2482),L2482))</f>
        <v/>
      </c>
      <c r="N2482" s="45">
        <f>1+(INDEX(SeasonIdx,A2482)-1)*SeasonAmp</f>
        <v/>
      </c>
      <c r="O2482" s="45">
        <f>IFERROR(INDEX(PSPct,MATCH(E2482&amp;"|"&amp;G2482,PSKey,0)),0)</f>
        <v/>
      </c>
      <c r="P2482" s="46">
        <f>INDEX(ChDoorVel,MATCH(E2482,ChName,0))*CalibScalar*(1+VelocityUplift)</f>
        <v/>
      </c>
      <c r="Q2482" s="46" t="n">
        <v>0</v>
      </c>
      <c r="R2482" s="46">
        <f>P2482*O2482*M2482*N2482*H2482</f>
        <v/>
      </c>
      <c r="S2482" s="46">
        <f>R2482*INDEX(FmtCansPerCase,MATCH(F2482,FmtName,0))</f>
        <v/>
      </c>
      <c r="T2482" s="46">
        <f>S2482/INDEX(FmtCansPerPack,MATCH(F2482,FmtName,0))</f>
        <v/>
      </c>
      <c r="U2482" s="47">
        <f>INDEX(ChBaseCP,MATCH(E2482,ChName,0))*(1+INDEX(ProvMod,MATCH(G2482,ProvCode,0)))*(1+PriceIndex)</f>
        <v/>
      </c>
      <c r="V2482" s="47">
        <f>R2482*U2482*INDEX(FmtBlendedPriceIdx,MATCH(F2482,FmtName,0))</f>
        <v/>
      </c>
      <c r="W2482" s="47">
        <f>T2482*INDEX(ProvSRP,MATCH(G2482,ProvCode,0))*(1+PriceIndex)</f>
        <v/>
      </c>
      <c r="X2482" s="47">
        <f>IF(GrossBasis="Wholesale",V2482,W2482)</f>
        <v/>
      </c>
      <c r="Y2482" s="47">
        <f>R2482*INDEX(FmtBlendedCogs,MATCH(F2482,FmtName,0))</f>
        <v/>
      </c>
      <c r="Z2482" s="47">
        <f>X2482-Y2482</f>
        <v/>
      </c>
    </row>
    <row r="2483">
      <c r="A2483" t="n">
        <v>44</v>
      </c>
      <c r="B2483" s="44">
        <f>FiscalStart+(A2483-1)*7</f>
        <v/>
      </c>
      <c r="C2483">
        <f>TEXT(B2483,"mmm yyyy")</f>
        <v/>
      </c>
      <c r="D2483">
        <f>"Q"&amp;(INT((A2483-1)/13)+1)</f>
        <v/>
      </c>
      <c r="E2483" t="inlineStr">
        <is>
          <t>FDM</t>
        </is>
      </c>
      <c r="F2483">
        <f>IFERROR(INDEX(ChFormat,MATCH(E2483,ChName,0)),"")</f>
        <v/>
      </c>
      <c r="G2483" t="inlineStr">
        <is>
          <t>NB</t>
        </is>
      </c>
      <c r="H2483">
        <f>IF(A2483&lt;=NWeeks,1,0)</f>
        <v/>
      </c>
      <c r="I2483">
        <f>INDEX(ChLaunch,MATCH(E2483,ChName,0))</f>
        <v/>
      </c>
      <c r="J2483">
        <f>INDEX(ChWeeksFull,MATCH(E2483,ChName,0))</f>
        <v/>
      </c>
      <c r="K2483">
        <f>INDEX(ChRamp,MATCH(E2483,ChName,0))</f>
        <v/>
      </c>
      <c r="L2483" s="45">
        <f>MIN(1,MAX(0,(A2483-I2483+1)*RampSpeed/J2483))</f>
        <v/>
      </c>
      <c r="M2483" s="45">
        <f>IF(A2483&lt;I2483,0,IF(K2483="S-curve",L2483*L2483*(3-2*L2483),L2483))</f>
        <v/>
      </c>
      <c r="N2483" s="45">
        <f>1+(INDEX(SeasonIdx,A2483)-1)*SeasonAmp</f>
        <v/>
      </c>
      <c r="O2483" s="45">
        <f>IFERROR(INDEX(PSPct,MATCH(E2483&amp;"|"&amp;G2483,PSKey,0)),0)</f>
        <v/>
      </c>
      <c r="P2483" s="46">
        <f>INDEX(ChDoorVel,MATCH(E2483,ChName,0))*CalibScalar*(1+VelocityUplift)</f>
        <v/>
      </c>
      <c r="Q2483" s="46" t="n">
        <v>0</v>
      </c>
      <c r="R2483" s="46">
        <f>P2483*O2483*M2483*N2483*H2483</f>
        <v/>
      </c>
      <c r="S2483" s="46">
        <f>R2483*INDEX(FmtCansPerCase,MATCH(F2483,FmtName,0))</f>
        <v/>
      </c>
      <c r="T2483" s="46">
        <f>S2483/INDEX(FmtCansPerPack,MATCH(F2483,FmtName,0))</f>
        <v/>
      </c>
      <c r="U2483" s="47">
        <f>INDEX(ChBaseCP,MATCH(E2483,ChName,0))*(1+INDEX(ProvMod,MATCH(G2483,ProvCode,0)))*(1+PriceIndex)</f>
        <v/>
      </c>
      <c r="V2483" s="47">
        <f>R2483*U2483*INDEX(FmtBlendedPriceIdx,MATCH(F2483,FmtName,0))</f>
        <v/>
      </c>
      <c r="W2483" s="47">
        <f>T2483*INDEX(ProvSRP,MATCH(G2483,ProvCode,0))*(1+PriceIndex)</f>
        <v/>
      </c>
      <c r="X2483" s="47">
        <f>IF(GrossBasis="Wholesale",V2483,W2483)</f>
        <v/>
      </c>
      <c r="Y2483" s="47">
        <f>R2483*INDEX(FmtBlendedCogs,MATCH(F2483,FmtName,0))</f>
        <v/>
      </c>
      <c r="Z2483" s="47">
        <f>X2483-Y2483</f>
        <v/>
      </c>
    </row>
    <row r="2484">
      <c r="A2484" t="n">
        <v>45</v>
      </c>
      <c r="B2484" s="44">
        <f>FiscalStart+(A2484-1)*7</f>
        <v/>
      </c>
      <c r="C2484">
        <f>TEXT(B2484,"mmm yyyy")</f>
        <v/>
      </c>
      <c r="D2484">
        <f>"Q"&amp;(INT((A2484-1)/13)+1)</f>
        <v/>
      </c>
      <c r="E2484" t="inlineStr">
        <is>
          <t>FDM</t>
        </is>
      </c>
      <c r="F2484">
        <f>IFERROR(INDEX(ChFormat,MATCH(E2484,ChName,0)),"")</f>
        <v/>
      </c>
      <c r="G2484" t="inlineStr">
        <is>
          <t>NB</t>
        </is>
      </c>
      <c r="H2484">
        <f>IF(A2484&lt;=NWeeks,1,0)</f>
        <v/>
      </c>
      <c r="I2484">
        <f>INDEX(ChLaunch,MATCH(E2484,ChName,0))</f>
        <v/>
      </c>
      <c r="J2484">
        <f>INDEX(ChWeeksFull,MATCH(E2484,ChName,0))</f>
        <v/>
      </c>
      <c r="K2484">
        <f>INDEX(ChRamp,MATCH(E2484,ChName,0))</f>
        <v/>
      </c>
      <c r="L2484" s="45">
        <f>MIN(1,MAX(0,(A2484-I2484+1)*RampSpeed/J2484))</f>
        <v/>
      </c>
      <c r="M2484" s="45">
        <f>IF(A2484&lt;I2484,0,IF(K2484="S-curve",L2484*L2484*(3-2*L2484),L2484))</f>
        <v/>
      </c>
      <c r="N2484" s="45">
        <f>1+(INDEX(SeasonIdx,A2484)-1)*SeasonAmp</f>
        <v/>
      </c>
      <c r="O2484" s="45">
        <f>IFERROR(INDEX(PSPct,MATCH(E2484&amp;"|"&amp;G2484,PSKey,0)),0)</f>
        <v/>
      </c>
      <c r="P2484" s="46">
        <f>INDEX(ChDoorVel,MATCH(E2484,ChName,0))*CalibScalar*(1+VelocityUplift)</f>
        <v/>
      </c>
      <c r="Q2484" s="46" t="n">
        <v>0</v>
      </c>
      <c r="R2484" s="46">
        <f>P2484*O2484*M2484*N2484*H2484</f>
        <v/>
      </c>
      <c r="S2484" s="46">
        <f>R2484*INDEX(FmtCansPerCase,MATCH(F2484,FmtName,0))</f>
        <v/>
      </c>
      <c r="T2484" s="46">
        <f>S2484/INDEX(FmtCansPerPack,MATCH(F2484,FmtName,0))</f>
        <v/>
      </c>
      <c r="U2484" s="47">
        <f>INDEX(ChBaseCP,MATCH(E2484,ChName,0))*(1+INDEX(ProvMod,MATCH(G2484,ProvCode,0)))*(1+PriceIndex)</f>
        <v/>
      </c>
      <c r="V2484" s="47">
        <f>R2484*U2484*INDEX(FmtBlendedPriceIdx,MATCH(F2484,FmtName,0))</f>
        <v/>
      </c>
      <c r="W2484" s="47">
        <f>T2484*INDEX(ProvSRP,MATCH(G2484,ProvCode,0))*(1+PriceIndex)</f>
        <v/>
      </c>
      <c r="X2484" s="47">
        <f>IF(GrossBasis="Wholesale",V2484,W2484)</f>
        <v/>
      </c>
      <c r="Y2484" s="47">
        <f>R2484*INDEX(FmtBlendedCogs,MATCH(F2484,FmtName,0))</f>
        <v/>
      </c>
      <c r="Z2484" s="47">
        <f>X2484-Y2484</f>
        <v/>
      </c>
    </row>
    <row r="2485">
      <c r="A2485" t="n">
        <v>46</v>
      </c>
      <c r="B2485" s="44">
        <f>FiscalStart+(A2485-1)*7</f>
        <v/>
      </c>
      <c r="C2485">
        <f>TEXT(B2485,"mmm yyyy")</f>
        <v/>
      </c>
      <c r="D2485">
        <f>"Q"&amp;(INT((A2485-1)/13)+1)</f>
        <v/>
      </c>
      <c r="E2485" t="inlineStr">
        <is>
          <t>FDM</t>
        </is>
      </c>
      <c r="F2485">
        <f>IFERROR(INDEX(ChFormat,MATCH(E2485,ChName,0)),"")</f>
        <v/>
      </c>
      <c r="G2485" t="inlineStr">
        <is>
          <t>NB</t>
        </is>
      </c>
      <c r="H2485">
        <f>IF(A2485&lt;=NWeeks,1,0)</f>
        <v/>
      </c>
      <c r="I2485">
        <f>INDEX(ChLaunch,MATCH(E2485,ChName,0))</f>
        <v/>
      </c>
      <c r="J2485">
        <f>INDEX(ChWeeksFull,MATCH(E2485,ChName,0))</f>
        <v/>
      </c>
      <c r="K2485">
        <f>INDEX(ChRamp,MATCH(E2485,ChName,0))</f>
        <v/>
      </c>
      <c r="L2485" s="45">
        <f>MIN(1,MAX(0,(A2485-I2485+1)*RampSpeed/J2485))</f>
        <v/>
      </c>
      <c r="M2485" s="45">
        <f>IF(A2485&lt;I2485,0,IF(K2485="S-curve",L2485*L2485*(3-2*L2485),L2485))</f>
        <v/>
      </c>
      <c r="N2485" s="45">
        <f>1+(INDEX(SeasonIdx,A2485)-1)*SeasonAmp</f>
        <v/>
      </c>
      <c r="O2485" s="45">
        <f>IFERROR(INDEX(PSPct,MATCH(E2485&amp;"|"&amp;G2485,PSKey,0)),0)</f>
        <v/>
      </c>
      <c r="P2485" s="46">
        <f>INDEX(ChDoorVel,MATCH(E2485,ChName,0))*CalibScalar*(1+VelocityUplift)</f>
        <v/>
      </c>
      <c r="Q2485" s="46" t="n">
        <v>0</v>
      </c>
      <c r="R2485" s="46">
        <f>P2485*O2485*M2485*N2485*H2485</f>
        <v/>
      </c>
      <c r="S2485" s="46">
        <f>R2485*INDEX(FmtCansPerCase,MATCH(F2485,FmtName,0))</f>
        <v/>
      </c>
      <c r="T2485" s="46">
        <f>S2485/INDEX(FmtCansPerPack,MATCH(F2485,FmtName,0))</f>
        <v/>
      </c>
      <c r="U2485" s="47">
        <f>INDEX(ChBaseCP,MATCH(E2485,ChName,0))*(1+INDEX(ProvMod,MATCH(G2485,ProvCode,0)))*(1+PriceIndex)</f>
        <v/>
      </c>
      <c r="V2485" s="47">
        <f>R2485*U2485*INDEX(FmtBlendedPriceIdx,MATCH(F2485,FmtName,0))</f>
        <v/>
      </c>
      <c r="W2485" s="47">
        <f>T2485*INDEX(ProvSRP,MATCH(G2485,ProvCode,0))*(1+PriceIndex)</f>
        <v/>
      </c>
      <c r="X2485" s="47">
        <f>IF(GrossBasis="Wholesale",V2485,W2485)</f>
        <v/>
      </c>
      <c r="Y2485" s="47">
        <f>R2485*INDEX(FmtBlendedCogs,MATCH(F2485,FmtName,0))</f>
        <v/>
      </c>
      <c r="Z2485" s="47">
        <f>X2485-Y2485</f>
        <v/>
      </c>
    </row>
    <row r="2486">
      <c r="A2486" t="n">
        <v>47</v>
      </c>
      <c r="B2486" s="44">
        <f>FiscalStart+(A2486-1)*7</f>
        <v/>
      </c>
      <c r="C2486">
        <f>TEXT(B2486,"mmm yyyy")</f>
        <v/>
      </c>
      <c r="D2486">
        <f>"Q"&amp;(INT((A2486-1)/13)+1)</f>
        <v/>
      </c>
      <c r="E2486" t="inlineStr">
        <is>
          <t>FDM</t>
        </is>
      </c>
      <c r="F2486">
        <f>IFERROR(INDEX(ChFormat,MATCH(E2486,ChName,0)),"")</f>
        <v/>
      </c>
      <c r="G2486" t="inlineStr">
        <is>
          <t>NB</t>
        </is>
      </c>
      <c r="H2486">
        <f>IF(A2486&lt;=NWeeks,1,0)</f>
        <v/>
      </c>
      <c r="I2486">
        <f>INDEX(ChLaunch,MATCH(E2486,ChName,0))</f>
        <v/>
      </c>
      <c r="J2486">
        <f>INDEX(ChWeeksFull,MATCH(E2486,ChName,0))</f>
        <v/>
      </c>
      <c r="K2486">
        <f>INDEX(ChRamp,MATCH(E2486,ChName,0))</f>
        <v/>
      </c>
      <c r="L2486" s="45">
        <f>MIN(1,MAX(0,(A2486-I2486+1)*RampSpeed/J2486))</f>
        <v/>
      </c>
      <c r="M2486" s="45">
        <f>IF(A2486&lt;I2486,0,IF(K2486="S-curve",L2486*L2486*(3-2*L2486),L2486))</f>
        <v/>
      </c>
      <c r="N2486" s="45">
        <f>1+(INDEX(SeasonIdx,A2486)-1)*SeasonAmp</f>
        <v/>
      </c>
      <c r="O2486" s="45">
        <f>IFERROR(INDEX(PSPct,MATCH(E2486&amp;"|"&amp;G2486,PSKey,0)),0)</f>
        <v/>
      </c>
      <c r="P2486" s="46">
        <f>INDEX(ChDoorVel,MATCH(E2486,ChName,0))*CalibScalar*(1+VelocityUplift)</f>
        <v/>
      </c>
      <c r="Q2486" s="46" t="n">
        <v>0</v>
      </c>
      <c r="R2486" s="46">
        <f>P2486*O2486*M2486*N2486*H2486</f>
        <v/>
      </c>
      <c r="S2486" s="46">
        <f>R2486*INDEX(FmtCansPerCase,MATCH(F2486,FmtName,0))</f>
        <v/>
      </c>
      <c r="T2486" s="46">
        <f>S2486/INDEX(FmtCansPerPack,MATCH(F2486,FmtName,0))</f>
        <v/>
      </c>
      <c r="U2486" s="47">
        <f>INDEX(ChBaseCP,MATCH(E2486,ChName,0))*(1+INDEX(ProvMod,MATCH(G2486,ProvCode,0)))*(1+PriceIndex)</f>
        <v/>
      </c>
      <c r="V2486" s="47">
        <f>R2486*U2486*INDEX(FmtBlendedPriceIdx,MATCH(F2486,FmtName,0))</f>
        <v/>
      </c>
      <c r="W2486" s="47">
        <f>T2486*INDEX(ProvSRP,MATCH(G2486,ProvCode,0))*(1+PriceIndex)</f>
        <v/>
      </c>
      <c r="X2486" s="47">
        <f>IF(GrossBasis="Wholesale",V2486,W2486)</f>
        <v/>
      </c>
      <c r="Y2486" s="47">
        <f>R2486*INDEX(FmtBlendedCogs,MATCH(F2486,FmtName,0))</f>
        <v/>
      </c>
      <c r="Z2486" s="47">
        <f>X2486-Y2486</f>
        <v/>
      </c>
    </row>
    <row r="2487">
      <c r="A2487" t="n">
        <v>48</v>
      </c>
      <c r="B2487" s="44">
        <f>FiscalStart+(A2487-1)*7</f>
        <v/>
      </c>
      <c r="C2487">
        <f>TEXT(B2487,"mmm yyyy")</f>
        <v/>
      </c>
      <c r="D2487">
        <f>"Q"&amp;(INT((A2487-1)/13)+1)</f>
        <v/>
      </c>
      <c r="E2487" t="inlineStr">
        <is>
          <t>FDM</t>
        </is>
      </c>
      <c r="F2487">
        <f>IFERROR(INDEX(ChFormat,MATCH(E2487,ChName,0)),"")</f>
        <v/>
      </c>
      <c r="G2487" t="inlineStr">
        <is>
          <t>NB</t>
        </is>
      </c>
      <c r="H2487">
        <f>IF(A2487&lt;=NWeeks,1,0)</f>
        <v/>
      </c>
      <c r="I2487">
        <f>INDEX(ChLaunch,MATCH(E2487,ChName,0))</f>
        <v/>
      </c>
      <c r="J2487">
        <f>INDEX(ChWeeksFull,MATCH(E2487,ChName,0))</f>
        <v/>
      </c>
      <c r="K2487">
        <f>INDEX(ChRamp,MATCH(E2487,ChName,0))</f>
        <v/>
      </c>
      <c r="L2487" s="45">
        <f>MIN(1,MAX(0,(A2487-I2487+1)*RampSpeed/J2487))</f>
        <v/>
      </c>
      <c r="M2487" s="45">
        <f>IF(A2487&lt;I2487,0,IF(K2487="S-curve",L2487*L2487*(3-2*L2487),L2487))</f>
        <v/>
      </c>
      <c r="N2487" s="45">
        <f>1+(INDEX(SeasonIdx,A2487)-1)*SeasonAmp</f>
        <v/>
      </c>
      <c r="O2487" s="45">
        <f>IFERROR(INDEX(PSPct,MATCH(E2487&amp;"|"&amp;G2487,PSKey,0)),0)</f>
        <v/>
      </c>
      <c r="P2487" s="46">
        <f>INDEX(ChDoorVel,MATCH(E2487,ChName,0))*CalibScalar*(1+VelocityUplift)</f>
        <v/>
      </c>
      <c r="Q2487" s="46" t="n">
        <v>0</v>
      </c>
      <c r="R2487" s="46">
        <f>P2487*O2487*M2487*N2487*H2487</f>
        <v/>
      </c>
      <c r="S2487" s="46">
        <f>R2487*INDEX(FmtCansPerCase,MATCH(F2487,FmtName,0))</f>
        <v/>
      </c>
      <c r="T2487" s="46">
        <f>S2487/INDEX(FmtCansPerPack,MATCH(F2487,FmtName,0))</f>
        <v/>
      </c>
      <c r="U2487" s="47">
        <f>INDEX(ChBaseCP,MATCH(E2487,ChName,0))*(1+INDEX(ProvMod,MATCH(G2487,ProvCode,0)))*(1+PriceIndex)</f>
        <v/>
      </c>
      <c r="V2487" s="47">
        <f>R2487*U2487*INDEX(FmtBlendedPriceIdx,MATCH(F2487,FmtName,0))</f>
        <v/>
      </c>
      <c r="W2487" s="47">
        <f>T2487*INDEX(ProvSRP,MATCH(G2487,ProvCode,0))*(1+PriceIndex)</f>
        <v/>
      </c>
      <c r="X2487" s="47">
        <f>IF(GrossBasis="Wholesale",V2487,W2487)</f>
        <v/>
      </c>
      <c r="Y2487" s="47">
        <f>R2487*INDEX(FmtBlendedCogs,MATCH(F2487,FmtName,0))</f>
        <v/>
      </c>
      <c r="Z2487" s="47">
        <f>X2487-Y2487</f>
        <v/>
      </c>
    </row>
    <row r="2488">
      <c r="A2488" t="n">
        <v>49</v>
      </c>
      <c r="B2488" s="44">
        <f>FiscalStart+(A2488-1)*7</f>
        <v/>
      </c>
      <c r="C2488">
        <f>TEXT(B2488,"mmm yyyy")</f>
        <v/>
      </c>
      <c r="D2488">
        <f>"Q"&amp;(INT((A2488-1)/13)+1)</f>
        <v/>
      </c>
      <c r="E2488" t="inlineStr">
        <is>
          <t>FDM</t>
        </is>
      </c>
      <c r="F2488">
        <f>IFERROR(INDEX(ChFormat,MATCH(E2488,ChName,0)),"")</f>
        <v/>
      </c>
      <c r="G2488" t="inlineStr">
        <is>
          <t>NB</t>
        </is>
      </c>
      <c r="H2488">
        <f>IF(A2488&lt;=NWeeks,1,0)</f>
        <v/>
      </c>
      <c r="I2488">
        <f>INDEX(ChLaunch,MATCH(E2488,ChName,0))</f>
        <v/>
      </c>
      <c r="J2488">
        <f>INDEX(ChWeeksFull,MATCH(E2488,ChName,0))</f>
        <v/>
      </c>
      <c r="K2488">
        <f>INDEX(ChRamp,MATCH(E2488,ChName,0))</f>
        <v/>
      </c>
      <c r="L2488" s="45">
        <f>MIN(1,MAX(0,(A2488-I2488+1)*RampSpeed/J2488))</f>
        <v/>
      </c>
      <c r="M2488" s="45">
        <f>IF(A2488&lt;I2488,0,IF(K2488="S-curve",L2488*L2488*(3-2*L2488),L2488))</f>
        <v/>
      </c>
      <c r="N2488" s="45">
        <f>1+(INDEX(SeasonIdx,A2488)-1)*SeasonAmp</f>
        <v/>
      </c>
      <c r="O2488" s="45">
        <f>IFERROR(INDEX(PSPct,MATCH(E2488&amp;"|"&amp;G2488,PSKey,0)),0)</f>
        <v/>
      </c>
      <c r="P2488" s="46">
        <f>INDEX(ChDoorVel,MATCH(E2488,ChName,0))*CalibScalar*(1+VelocityUplift)</f>
        <v/>
      </c>
      <c r="Q2488" s="46" t="n">
        <v>0</v>
      </c>
      <c r="R2488" s="46">
        <f>P2488*O2488*M2488*N2488*H2488</f>
        <v/>
      </c>
      <c r="S2488" s="46">
        <f>R2488*INDEX(FmtCansPerCase,MATCH(F2488,FmtName,0))</f>
        <v/>
      </c>
      <c r="T2488" s="46">
        <f>S2488/INDEX(FmtCansPerPack,MATCH(F2488,FmtName,0))</f>
        <v/>
      </c>
      <c r="U2488" s="47">
        <f>INDEX(ChBaseCP,MATCH(E2488,ChName,0))*(1+INDEX(ProvMod,MATCH(G2488,ProvCode,0)))*(1+PriceIndex)</f>
        <v/>
      </c>
      <c r="V2488" s="47">
        <f>R2488*U2488*INDEX(FmtBlendedPriceIdx,MATCH(F2488,FmtName,0))</f>
        <v/>
      </c>
      <c r="W2488" s="47">
        <f>T2488*INDEX(ProvSRP,MATCH(G2488,ProvCode,0))*(1+PriceIndex)</f>
        <v/>
      </c>
      <c r="X2488" s="47">
        <f>IF(GrossBasis="Wholesale",V2488,W2488)</f>
        <v/>
      </c>
      <c r="Y2488" s="47">
        <f>R2488*INDEX(FmtBlendedCogs,MATCH(F2488,FmtName,0))</f>
        <v/>
      </c>
      <c r="Z2488" s="47">
        <f>X2488-Y2488</f>
        <v/>
      </c>
    </row>
    <row r="2489">
      <c r="A2489" t="n">
        <v>50</v>
      </c>
      <c r="B2489" s="44">
        <f>FiscalStart+(A2489-1)*7</f>
        <v/>
      </c>
      <c r="C2489">
        <f>TEXT(B2489,"mmm yyyy")</f>
        <v/>
      </c>
      <c r="D2489">
        <f>"Q"&amp;(INT((A2489-1)/13)+1)</f>
        <v/>
      </c>
      <c r="E2489" t="inlineStr">
        <is>
          <t>FDM</t>
        </is>
      </c>
      <c r="F2489">
        <f>IFERROR(INDEX(ChFormat,MATCH(E2489,ChName,0)),"")</f>
        <v/>
      </c>
      <c r="G2489" t="inlineStr">
        <is>
          <t>NB</t>
        </is>
      </c>
      <c r="H2489">
        <f>IF(A2489&lt;=NWeeks,1,0)</f>
        <v/>
      </c>
      <c r="I2489">
        <f>INDEX(ChLaunch,MATCH(E2489,ChName,0))</f>
        <v/>
      </c>
      <c r="J2489">
        <f>INDEX(ChWeeksFull,MATCH(E2489,ChName,0))</f>
        <v/>
      </c>
      <c r="K2489">
        <f>INDEX(ChRamp,MATCH(E2489,ChName,0))</f>
        <v/>
      </c>
      <c r="L2489" s="45">
        <f>MIN(1,MAX(0,(A2489-I2489+1)*RampSpeed/J2489))</f>
        <v/>
      </c>
      <c r="M2489" s="45">
        <f>IF(A2489&lt;I2489,0,IF(K2489="S-curve",L2489*L2489*(3-2*L2489),L2489))</f>
        <v/>
      </c>
      <c r="N2489" s="45">
        <f>1+(INDEX(SeasonIdx,A2489)-1)*SeasonAmp</f>
        <v/>
      </c>
      <c r="O2489" s="45">
        <f>IFERROR(INDEX(PSPct,MATCH(E2489&amp;"|"&amp;G2489,PSKey,0)),0)</f>
        <v/>
      </c>
      <c r="P2489" s="46">
        <f>INDEX(ChDoorVel,MATCH(E2489,ChName,0))*CalibScalar*(1+VelocityUplift)</f>
        <v/>
      </c>
      <c r="Q2489" s="46" t="n">
        <v>0</v>
      </c>
      <c r="R2489" s="46">
        <f>P2489*O2489*M2489*N2489*H2489</f>
        <v/>
      </c>
      <c r="S2489" s="46">
        <f>R2489*INDEX(FmtCansPerCase,MATCH(F2489,FmtName,0))</f>
        <v/>
      </c>
      <c r="T2489" s="46">
        <f>S2489/INDEX(FmtCansPerPack,MATCH(F2489,FmtName,0))</f>
        <v/>
      </c>
      <c r="U2489" s="47">
        <f>INDEX(ChBaseCP,MATCH(E2489,ChName,0))*(1+INDEX(ProvMod,MATCH(G2489,ProvCode,0)))*(1+PriceIndex)</f>
        <v/>
      </c>
      <c r="V2489" s="47">
        <f>R2489*U2489*INDEX(FmtBlendedPriceIdx,MATCH(F2489,FmtName,0))</f>
        <v/>
      </c>
      <c r="W2489" s="47">
        <f>T2489*INDEX(ProvSRP,MATCH(G2489,ProvCode,0))*(1+PriceIndex)</f>
        <v/>
      </c>
      <c r="X2489" s="47">
        <f>IF(GrossBasis="Wholesale",V2489,W2489)</f>
        <v/>
      </c>
      <c r="Y2489" s="47">
        <f>R2489*INDEX(FmtBlendedCogs,MATCH(F2489,FmtName,0))</f>
        <v/>
      </c>
      <c r="Z2489" s="47">
        <f>X2489-Y2489</f>
        <v/>
      </c>
    </row>
    <row r="2490">
      <c r="A2490" t="n">
        <v>51</v>
      </c>
      <c r="B2490" s="44">
        <f>FiscalStart+(A2490-1)*7</f>
        <v/>
      </c>
      <c r="C2490">
        <f>TEXT(B2490,"mmm yyyy")</f>
        <v/>
      </c>
      <c r="D2490">
        <f>"Q"&amp;(INT((A2490-1)/13)+1)</f>
        <v/>
      </c>
      <c r="E2490" t="inlineStr">
        <is>
          <t>FDM</t>
        </is>
      </c>
      <c r="F2490">
        <f>IFERROR(INDEX(ChFormat,MATCH(E2490,ChName,0)),"")</f>
        <v/>
      </c>
      <c r="G2490" t="inlineStr">
        <is>
          <t>NB</t>
        </is>
      </c>
      <c r="H2490">
        <f>IF(A2490&lt;=NWeeks,1,0)</f>
        <v/>
      </c>
      <c r="I2490">
        <f>INDEX(ChLaunch,MATCH(E2490,ChName,0))</f>
        <v/>
      </c>
      <c r="J2490">
        <f>INDEX(ChWeeksFull,MATCH(E2490,ChName,0))</f>
        <v/>
      </c>
      <c r="K2490">
        <f>INDEX(ChRamp,MATCH(E2490,ChName,0))</f>
        <v/>
      </c>
      <c r="L2490" s="45">
        <f>MIN(1,MAX(0,(A2490-I2490+1)*RampSpeed/J2490))</f>
        <v/>
      </c>
      <c r="M2490" s="45">
        <f>IF(A2490&lt;I2490,0,IF(K2490="S-curve",L2490*L2490*(3-2*L2490),L2490))</f>
        <v/>
      </c>
      <c r="N2490" s="45">
        <f>1+(INDEX(SeasonIdx,A2490)-1)*SeasonAmp</f>
        <v/>
      </c>
      <c r="O2490" s="45">
        <f>IFERROR(INDEX(PSPct,MATCH(E2490&amp;"|"&amp;G2490,PSKey,0)),0)</f>
        <v/>
      </c>
      <c r="P2490" s="46">
        <f>INDEX(ChDoorVel,MATCH(E2490,ChName,0))*CalibScalar*(1+VelocityUplift)</f>
        <v/>
      </c>
      <c r="Q2490" s="46" t="n">
        <v>0</v>
      </c>
      <c r="R2490" s="46">
        <f>P2490*O2490*M2490*N2490*H2490</f>
        <v/>
      </c>
      <c r="S2490" s="46">
        <f>R2490*INDEX(FmtCansPerCase,MATCH(F2490,FmtName,0))</f>
        <v/>
      </c>
      <c r="T2490" s="46">
        <f>S2490/INDEX(FmtCansPerPack,MATCH(F2490,FmtName,0))</f>
        <v/>
      </c>
      <c r="U2490" s="47">
        <f>INDEX(ChBaseCP,MATCH(E2490,ChName,0))*(1+INDEX(ProvMod,MATCH(G2490,ProvCode,0)))*(1+PriceIndex)</f>
        <v/>
      </c>
      <c r="V2490" s="47">
        <f>R2490*U2490*INDEX(FmtBlendedPriceIdx,MATCH(F2490,FmtName,0))</f>
        <v/>
      </c>
      <c r="W2490" s="47">
        <f>T2490*INDEX(ProvSRP,MATCH(G2490,ProvCode,0))*(1+PriceIndex)</f>
        <v/>
      </c>
      <c r="X2490" s="47">
        <f>IF(GrossBasis="Wholesale",V2490,W2490)</f>
        <v/>
      </c>
      <c r="Y2490" s="47">
        <f>R2490*INDEX(FmtBlendedCogs,MATCH(F2490,FmtName,0))</f>
        <v/>
      </c>
      <c r="Z2490" s="47">
        <f>X2490-Y2490</f>
        <v/>
      </c>
    </row>
    <row r="2491">
      <c r="A2491" t="n">
        <v>52</v>
      </c>
      <c r="B2491" s="44">
        <f>FiscalStart+(A2491-1)*7</f>
        <v/>
      </c>
      <c r="C2491">
        <f>TEXT(B2491,"mmm yyyy")</f>
        <v/>
      </c>
      <c r="D2491">
        <f>"Q"&amp;(INT((A2491-1)/13)+1)</f>
        <v/>
      </c>
      <c r="E2491" t="inlineStr">
        <is>
          <t>FDM</t>
        </is>
      </c>
      <c r="F2491">
        <f>IFERROR(INDEX(ChFormat,MATCH(E2491,ChName,0)),"")</f>
        <v/>
      </c>
      <c r="G2491" t="inlineStr">
        <is>
          <t>NB</t>
        </is>
      </c>
      <c r="H2491">
        <f>IF(A2491&lt;=NWeeks,1,0)</f>
        <v/>
      </c>
      <c r="I2491">
        <f>INDEX(ChLaunch,MATCH(E2491,ChName,0))</f>
        <v/>
      </c>
      <c r="J2491">
        <f>INDEX(ChWeeksFull,MATCH(E2491,ChName,0))</f>
        <v/>
      </c>
      <c r="K2491">
        <f>INDEX(ChRamp,MATCH(E2491,ChName,0))</f>
        <v/>
      </c>
      <c r="L2491" s="45">
        <f>MIN(1,MAX(0,(A2491-I2491+1)*RampSpeed/J2491))</f>
        <v/>
      </c>
      <c r="M2491" s="45">
        <f>IF(A2491&lt;I2491,0,IF(K2491="S-curve",L2491*L2491*(3-2*L2491),L2491))</f>
        <v/>
      </c>
      <c r="N2491" s="45">
        <f>1+(INDEX(SeasonIdx,A2491)-1)*SeasonAmp</f>
        <v/>
      </c>
      <c r="O2491" s="45">
        <f>IFERROR(INDEX(PSPct,MATCH(E2491&amp;"|"&amp;G2491,PSKey,0)),0)</f>
        <v/>
      </c>
      <c r="P2491" s="46">
        <f>INDEX(ChDoorVel,MATCH(E2491,ChName,0))*CalibScalar*(1+VelocityUplift)</f>
        <v/>
      </c>
      <c r="Q2491" s="46" t="n">
        <v>0</v>
      </c>
      <c r="R2491" s="46">
        <f>P2491*O2491*M2491*N2491*H2491</f>
        <v/>
      </c>
      <c r="S2491" s="46">
        <f>R2491*INDEX(FmtCansPerCase,MATCH(F2491,FmtName,0))</f>
        <v/>
      </c>
      <c r="T2491" s="46">
        <f>S2491/INDEX(FmtCansPerPack,MATCH(F2491,FmtName,0))</f>
        <v/>
      </c>
      <c r="U2491" s="47">
        <f>INDEX(ChBaseCP,MATCH(E2491,ChName,0))*(1+INDEX(ProvMod,MATCH(G2491,ProvCode,0)))*(1+PriceIndex)</f>
        <v/>
      </c>
      <c r="V2491" s="47">
        <f>R2491*U2491*INDEX(FmtBlendedPriceIdx,MATCH(F2491,FmtName,0))</f>
        <v/>
      </c>
      <c r="W2491" s="47">
        <f>T2491*INDEX(ProvSRP,MATCH(G2491,ProvCode,0))*(1+PriceIndex)</f>
        <v/>
      </c>
      <c r="X2491" s="47">
        <f>IF(GrossBasis="Wholesale",V2491,W2491)</f>
        <v/>
      </c>
      <c r="Y2491" s="47">
        <f>R2491*INDEX(FmtBlendedCogs,MATCH(F2491,FmtName,0))</f>
        <v/>
      </c>
      <c r="Z2491" s="47">
        <f>X2491-Y2491</f>
        <v/>
      </c>
    </row>
    <row r="2492">
      <c r="A2492" t="n">
        <v>53</v>
      </c>
      <c r="B2492" s="44">
        <f>FiscalStart+(A2492-1)*7</f>
        <v/>
      </c>
      <c r="C2492">
        <f>TEXT(B2492,"mmm yyyy")</f>
        <v/>
      </c>
      <c r="D2492">
        <f>"Q"&amp;(INT((A2492-1)/13)+1)</f>
        <v/>
      </c>
      <c r="E2492" t="inlineStr">
        <is>
          <t>FDM</t>
        </is>
      </c>
      <c r="F2492">
        <f>IFERROR(INDEX(ChFormat,MATCH(E2492,ChName,0)),"")</f>
        <v/>
      </c>
      <c r="G2492" t="inlineStr">
        <is>
          <t>NB</t>
        </is>
      </c>
      <c r="H2492">
        <f>IF(A2492&lt;=NWeeks,1,0)</f>
        <v/>
      </c>
      <c r="I2492">
        <f>INDEX(ChLaunch,MATCH(E2492,ChName,0))</f>
        <v/>
      </c>
      <c r="J2492">
        <f>INDEX(ChWeeksFull,MATCH(E2492,ChName,0))</f>
        <v/>
      </c>
      <c r="K2492">
        <f>INDEX(ChRamp,MATCH(E2492,ChName,0))</f>
        <v/>
      </c>
      <c r="L2492" s="45">
        <f>MIN(1,MAX(0,(A2492-I2492+1)*RampSpeed/J2492))</f>
        <v/>
      </c>
      <c r="M2492" s="45">
        <f>IF(A2492&lt;I2492,0,IF(K2492="S-curve",L2492*L2492*(3-2*L2492),L2492))</f>
        <v/>
      </c>
      <c r="N2492" s="45">
        <f>1+(INDEX(SeasonIdx,A2492)-1)*SeasonAmp</f>
        <v/>
      </c>
      <c r="O2492" s="45">
        <f>IFERROR(INDEX(PSPct,MATCH(E2492&amp;"|"&amp;G2492,PSKey,0)),0)</f>
        <v/>
      </c>
      <c r="P2492" s="46">
        <f>INDEX(ChDoorVel,MATCH(E2492,ChName,0))*CalibScalar*(1+VelocityUplift)</f>
        <v/>
      </c>
      <c r="Q2492" s="46" t="n">
        <v>0</v>
      </c>
      <c r="R2492" s="46">
        <f>P2492*O2492*M2492*N2492*H2492</f>
        <v/>
      </c>
      <c r="S2492" s="46">
        <f>R2492*INDEX(FmtCansPerCase,MATCH(F2492,FmtName,0))</f>
        <v/>
      </c>
      <c r="T2492" s="46">
        <f>S2492/INDEX(FmtCansPerPack,MATCH(F2492,FmtName,0))</f>
        <v/>
      </c>
      <c r="U2492" s="47">
        <f>INDEX(ChBaseCP,MATCH(E2492,ChName,0))*(1+INDEX(ProvMod,MATCH(G2492,ProvCode,0)))*(1+PriceIndex)</f>
        <v/>
      </c>
      <c r="V2492" s="47">
        <f>R2492*U2492*INDEX(FmtBlendedPriceIdx,MATCH(F2492,FmtName,0))</f>
        <v/>
      </c>
      <c r="W2492" s="47">
        <f>T2492*INDEX(ProvSRP,MATCH(G2492,ProvCode,0))*(1+PriceIndex)</f>
        <v/>
      </c>
      <c r="X2492" s="47">
        <f>IF(GrossBasis="Wholesale",V2492,W2492)</f>
        <v/>
      </c>
      <c r="Y2492" s="47">
        <f>R2492*INDEX(FmtBlendedCogs,MATCH(F2492,FmtName,0))</f>
        <v/>
      </c>
      <c r="Z2492" s="47">
        <f>X2492-Y2492</f>
        <v/>
      </c>
    </row>
    <row r="2493">
      <c r="A2493" t="n">
        <v>1</v>
      </c>
      <c r="B2493" s="44">
        <f>FiscalStart+(A2493-1)*7</f>
        <v/>
      </c>
      <c r="C2493">
        <f>TEXT(B2493,"mmm yyyy")</f>
        <v/>
      </c>
      <c r="D2493">
        <f>"Q"&amp;(INT((A2493-1)/13)+1)</f>
        <v/>
      </c>
      <c r="E2493" t="inlineStr">
        <is>
          <t>FDM</t>
        </is>
      </c>
      <c r="F2493">
        <f>IFERROR(INDEX(ChFormat,MATCH(E2493,ChName,0)),"")</f>
        <v/>
      </c>
      <c r="G2493" t="inlineStr">
        <is>
          <t>NS</t>
        </is>
      </c>
      <c r="H2493">
        <f>IF(A2493&lt;=NWeeks,1,0)</f>
        <v/>
      </c>
      <c r="I2493">
        <f>INDEX(ChLaunch,MATCH(E2493,ChName,0))</f>
        <v/>
      </c>
      <c r="J2493">
        <f>INDEX(ChWeeksFull,MATCH(E2493,ChName,0))</f>
        <v/>
      </c>
      <c r="K2493">
        <f>INDEX(ChRamp,MATCH(E2493,ChName,0))</f>
        <v/>
      </c>
      <c r="L2493" s="45">
        <f>MIN(1,MAX(0,(A2493-I2493+1)*RampSpeed/J2493))</f>
        <v/>
      </c>
      <c r="M2493" s="45">
        <f>IF(A2493&lt;I2493,0,IF(K2493="S-curve",L2493*L2493*(3-2*L2493),L2493))</f>
        <v/>
      </c>
      <c r="N2493" s="45">
        <f>1+(INDEX(SeasonIdx,A2493)-1)*SeasonAmp</f>
        <v/>
      </c>
      <c r="O2493" s="45">
        <f>IFERROR(INDEX(PSPct,MATCH(E2493&amp;"|"&amp;G2493,PSKey,0)),0)</f>
        <v/>
      </c>
      <c r="P2493" s="46">
        <f>INDEX(ChDoorVel,MATCH(E2493,ChName,0))*CalibScalar*(1+VelocityUplift)</f>
        <v/>
      </c>
      <c r="Q2493" s="46" t="n">
        <v>0</v>
      </c>
      <c r="R2493" s="46">
        <f>P2493*O2493*M2493*N2493*H2493</f>
        <v/>
      </c>
      <c r="S2493" s="46">
        <f>R2493*INDEX(FmtCansPerCase,MATCH(F2493,FmtName,0))</f>
        <v/>
      </c>
      <c r="T2493" s="46">
        <f>S2493/INDEX(FmtCansPerPack,MATCH(F2493,FmtName,0))</f>
        <v/>
      </c>
      <c r="U2493" s="47">
        <f>INDEX(ChBaseCP,MATCH(E2493,ChName,0))*(1+INDEX(ProvMod,MATCH(G2493,ProvCode,0)))*(1+PriceIndex)</f>
        <v/>
      </c>
      <c r="V2493" s="47">
        <f>R2493*U2493*INDEX(FmtBlendedPriceIdx,MATCH(F2493,FmtName,0))</f>
        <v/>
      </c>
      <c r="W2493" s="47">
        <f>T2493*INDEX(ProvSRP,MATCH(G2493,ProvCode,0))*(1+PriceIndex)</f>
        <v/>
      </c>
      <c r="X2493" s="47">
        <f>IF(GrossBasis="Wholesale",V2493,W2493)</f>
        <v/>
      </c>
      <c r="Y2493" s="47">
        <f>R2493*INDEX(FmtBlendedCogs,MATCH(F2493,FmtName,0))</f>
        <v/>
      </c>
      <c r="Z2493" s="47">
        <f>X2493-Y2493</f>
        <v/>
      </c>
    </row>
    <row r="2494">
      <c r="A2494" t="n">
        <v>2</v>
      </c>
      <c r="B2494" s="44">
        <f>FiscalStart+(A2494-1)*7</f>
        <v/>
      </c>
      <c r="C2494">
        <f>TEXT(B2494,"mmm yyyy")</f>
        <v/>
      </c>
      <c r="D2494">
        <f>"Q"&amp;(INT((A2494-1)/13)+1)</f>
        <v/>
      </c>
      <c r="E2494" t="inlineStr">
        <is>
          <t>FDM</t>
        </is>
      </c>
      <c r="F2494">
        <f>IFERROR(INDEX(ChFormat,MATCH(E2494,ChName,0)),"")</f>
        <v/>
      </c>
      <c r="G2494" t="inlineStr">
        <is>
          <t>NS</t>
        </is>
      </c>
      <c r="H2494">
        <f>IF(A2494&lt;=NWeeks,1,0)</f>
        <v/>
      </c>
      <c r="I2494">
        <f>INDEX(ChLaunch,MATCH(E2494,ChName,0))</f>
        <v/>
      </c>
      <c r="J2494">
        <f>INDEX(ChWeeksFull,MATCH(E2494,ChName,0))</f>
        <v/>
      </c>
      <c r="K2494">
        <f>INDEX(ChRamp,MATCH(E2494,ChName,0))</f>
        <v/>
      </c>
      <c r="L2494" s="45">
        <f>MIN(1,MAX(0,(A2494-I2494+1)*RampSpeed/J2494))</f>
        <v/>
      </c>
      <c r="M2494" s="45">
        <f>IF(A2494&lt;I2494,0,IF(K2494="S-curve",L2494*L2494*(3-2*L2494),L2494))</f>
        <v/>
      </c>
      <c r="N2494" s="45">
        <f>1+(INDEX(SeasonIdx,A2494)-1)*SeasonAmp</f>
        <v/>
      </c>
      <c r="O2494" s="45">
        <f>IFERROR(INDEX(PSPct,MATCH(E2494&amp;"|"&amp;G2494,PSKey,0)),0)</f>
        <v/>
      </c>
      <c r="P2494" s="46">
        <f>INDEX(ChDoorVel,MATCH(E2494,ChName,0))*CalibScalar*(1+VelocityUplift)</f>
        <v/>
      </c>
      <c r="Q2494" s="46" t="n">
        <v>0</v>
      </c>
      <c r="R2494" s="46">
        <f>P2494*O2494*M2494*N2494*H2494</f>
        <v/>
      </c>
      <c r="S2494" s="46">
        <f>R2494*INDEX(FmtCansPerCase,MATCH(F2494,FmtName,0))</f>
        <v/>
      </c>
      <c r="T2494" s="46">
        <f>S2494/INDEX(FmtCansPerPack,MATCH(F2494,FmtName,0))</f>
        <v/>
      </c>
      <c r="U2494" s="47">
        <f>INDEX(ChBaseCP,MATCH(E2494,ChName,0))*(1+INDEX(ProvMod,MATCH(G2494,ProvCode,0)))*(1+PriceIndex)</f>
        <v/>
      </c>
      <c r="V2494" s="47">
        <f>R2494*U2494*INDEX(FmtBlendedPriceIdx,MATCH(F2494,FmtName,0))</f>
        <v/>
      </c>
      <c r="W2494" s="47">
        <f>T2494*INDEX(ProvSRP,MATCH(G2494,ProvCode,0))*(1+PriceIndex)</f>
        <v/>
      </c>
      <c r="X2494" s="47">
        <f>IF(GrossBasis="Wholesale",V2494,W2494)</f>
        <v/>
      </c>
      <c r="Y2494" s="47">
        <f>R2494*INDEX(FmtBlendedCogs,MATCH(F2494,FmtName,0))</f>
        <v/>
      </c>
      <c r="Z2494" s="47">
        <f>X2494-Y2494</f>
        <v/>
      </c>
    </row>
    <row r="2495">
      <c r="A2495" t="n">
        <v>3</v>
      </c>
      <c r="B2495" s="44">
        <f>FiscalStart+(A2495-1)*7</f>
        <v/>
      </c>
      <c r="C2495">
        <f>TEXT(B2495,"mmm yyyy")</f>
        <v/>
      </c>
      <c r="D2495">
        <f>"Q"&amp;(INT((A2495-1)/13)+1)</f>
        <v/>
      </c>
      <c r="E2495" t="inlineStr">
        <is>
          <t>FDM</t>
        </is>
      </c>
      <c r="F2495">
        <f>IFERROR(INDEX(ChFormat,MATCH(E2495,ChName,0)),"")</f>
        <v/>
      </c>
      <c r="G2495" t="inlineStr">
        <is>
          <t>NS</t>
        </is>
      </c>
      <c r="H2495">
        <f>IF(A2495&lt;=NWeeks,1,0)</f>
        <v/>
      </c>
      <c r="I2495">
        <f>INDEX(ChLaunch,MATCH(E2495,ChName,0))</f>
        <v/>
      </c>
      <c r="J2495">
        <f>INDEX(ChWeeksFull,MATCH(E2495,ChName,0))</f>
        <v/>
      </c>
      <c r="K2495">
        <f>INDEX(ChRamp,MATCH(E2495,ChName,0))</f>
        <v/>
      </c>
      <c r="L2495" s="45">
        <f>MIN(1,MAX(0,(A2495-I2495+1)*RampSpeed/J2495))</f>
        <v/>
      </c>
      <c r="M2495" s="45">
        <f>IF(A2495&lt;I2495,0,IF(K2495="S-curve",L2495*L2495*(3-2*L2495),L2495))</f>
        <v/>
      </c>
      <c r="N2495" s="45">
        <f>1+(INDEX(SeasonIdx,A2495)-1)*SeasonAmp</f>
        <v/>
      </c>
      <c r="O2495" s="45">
        <f>IFERROR(INDEX(PSPct,MATCH(E2495&amp;"|"&amp;G2495,PSKey,0)),0)</f>
        <v/>
      </c>
      <c r="P2495" s="46">
        <f>INDEX(ChDoorVel,MATCH(E2495,ChName,0))*CalibScalar*(1+VelocityUplift)</f>
        <v/>
      </c>
      <c r="Q2495" s="46" t="n">
        <v>0</v>
      </c>
      <c r="R2495" s="46">
        <f>P2495*O2495*M2495*N2495*H2495</f>
        <v/>
      </c>
      <c r="S2495" s="46">
        <f>R2495*INDEX(FmtCansPerCase,MATCH(F2495,FmtName,0))</f>
        <v/>
      </c>
      <c r="T2495" s="46">
        <f>S2495/INDEX(FmtCansPerPack,MATCH(F2495,FmtName,0))</f>
        <v/>
      </c>
      <c r="U2495" s="47">
        <f>INDEX(ChBaseCP,MATCH(E2495,ChName,0))*(1+INDEX(ProvMod,MATCH(G2495,ProvCode,0)))*(1+PriceIndex)</f>
        <v/>
      </c>
      <c r="V2495" s="47">
        <f>R2495*U2495*INDEX(FmtBlendedPriceIdx,MATCH(F2495,FmtName,0))</f>
        <v/>
      </c>
      <c r="W2495" s="47">
        <f>T2495*INDEX(ProvSRP,MATCH(G2495,ProvCode,0))*(1+PriceIndex)</f>
        <v/>
      </c>
      <c r="X2495" s="47">
        <f>IF(GrossBasis="Wholesale",V2495,W2495)</f>
        <v/>
      </c>
      <c r="Y2495" s="47">
        <f>R2495*INDEX(FmtBlendedCogs,MATCH(F2495,FmtName,0))</f>
        <v/>
      </c>
      <c r="Z2495" s="47">
        <f>X2495-Y2495</f>
        <v/>
      </c>
    </row>
    <row r="2496">
      <c r="A2496" t="n">
        <v>4</v>
      </c>
      <c r="B2496" s="44">
        <f>FiscalStart+(A2496-1)*7</f>
        <v/>
      </c>
      <c r="C2496">
        <f>TEXT(B2496,"mmm yyyy")</f>
        <v/>
      </c>
      <c r="D2496">
        <f>"Q"&amp;(INT((A2496-1)/13)+1)</f>
        <v/>
      </c>
      <c r="E2496" t="inlineStr">
        <is>
          <t>FDM</t>
        </is>
      </c>
      <c r="F2496">
        <f>IFERROR(INDEX(ChFormat,MATCH(E2496,ChName,0)),"")</f>
        <v/>
      </c>
      <c r="G2496" t="inlineStr">
        <is>
          <t>NS</t>
        </is>
      </c>
      <c r="H2496">
        <f>IF(A2496&lt;=NWeeks,1,0)</f>
        <v/>
      </c>
      <c r="I2496">
        <f>INDEX(ChLaunch,MATCH(E2496,ChName,0))</f>
        <v/>
      </c>
      <c r="J2496">
        <f>INDEX(ChWeeksFull,MATCH(E2496,ChName,0))</f>
        <v/>
      </c>
      <c r="K2496">
        <f>INDEX(ChRamp,MATCH(E2496,ChName,0))</f>
        <v/>
      </c>
      <c r="L2496" s="45">
        <f>MIN(1,MAX(0,(A2496-I2496+1)*RampSpeed/J2496))</f>
        <v/>
      </c>
      <c r="M2496" s="45">
        <f>IF(A2496&lt;I2496,0,IF(K2496="S-curve",L2496*L2496*(3-2*L2496),L2496))</f>
        <v/>
      </c>
      <c r="N2496" s="45">
        <f>1+(INDEX(SeasonIdx,A2496)-1)*SeasonAmp</f>
        <v/>
      </c>
      <c r="O2496" s="45">
        <f>IFERROR(INDEX(PSPct,MATCH(E2496&amp;"|"&amp;G2496,PSKey,0)),0)</f>
        <v/>
      </c>
      <c r="P2496" s="46">
        <f>INDEX(ChDoorVel,MATCH(E2496,ChName,0))*CalibScalar*(1+VelocityUplift)</f>
        <v/>
      </c>
      <c r="Q2496" s="46" t="n">
        <v>0</v>
      </c>
      <c r="R2496" s="46">
        <f>P2496*O2496*M2496*N2496*H2496</f>
        <v/>
      </c>
      <c r="S2496" s="46">
        <f>R2496*INDEX(FmtCansPerCase,MATCH(F2496,FmtName,0))</f>
        <v/>
      </c>
      <c r="T2496" s="46">
        <f>S2496/INDEX(FmtCansPerPack,MATCH(F2496,FmtName,0))</f>
        <v/>
      </c>
      <c r="U2496" s="47">
        <f>INDEX(ChBaseCP,MATCH(E2496,ChName,0))*(1+INDEX(ProvMod,MATCH(G2496,ProvCode,0)))*(1+PriceIndex)</f>
        <v/>
      </c>
      <c r="V2496" s="47">
        <f>R2496*U2496*INDEX(FmtBlendedPriceIdx,MATCH(F2496,FmtName,0))</f>
        <v/>
      </c>
      <c r="W2496" s="47">
        <f>T2496*INDEX(ProvSRP,MATCH(G2496,ProvCode,0))*(1+PriceIndex)</f>
        <v/>
      </c>
      <c r="X2496" s="47">
        <f>IF(GrossBasis="Wholesale",V2496,W2496)</f>
        <v/>
      </c>
      <c r="Y2496" s="47">
        <f>R2496*INDEX(FmtBlendedCogs,MATCH(F2496,FmtName,0))</f>
        <v/>
      </c>
      <c r="Z2496" s="47">
        <f>X2496-Y2496</f>
        <v/>
      </c>
    </row>
    <row r="2497">
      <c r="A2497" t="n">
        <v>5</v>
      </c>
      <c r="B2497" s="44">
        <f>FiscalStart+(A2497-1)*7</f>
        <v/>
      </c>
      <c r="C2497">
        <f>TEXT(B2497,"mmm yyyy")</f>
        <v/>
      </c>
      <c r="D2497">
        <f>"Q"&amp;(INT((A2497-1)/13)+1)</f>
        <v/>
      </c>
      <c r="E2497" t="inlineStr">
        <is>
          <t>FDM</t>
        </is>
      </c>
      <c r="F2497">
        <f>IFERROR(INDEX(ChFormat,MATCH(E2497,ChName,0)),"")</f>
        <v/>
      </c>
      <c r="G2497" t="inlineStr">
        <is>
          <t>NS</t>
        </is>
      </c>
      <c r="H2497">
        <f>IF(A2497&lt;=NWeeks,1,0)</f>
        <v/>
      </c>
      <c r="I2497">
        <f>INDEX(ChLaunch,MATCH(E2497,ChName,0))</f>
        <v/>
      </c>
      <c r="J2497">
        <f>INDEX(ChWeeksFull,MATCH(E2497,ChName,0))</f>
        <v/>
      </c>
      <c r="K2497">
        <f>INDEX(ChRamp,MATCH(E2497,ChName,0))</f>
        <v/>
      </c>
      <c r="L2497" s="45">
        <f>MIN(1,MAX(0,(A2497-I2497+1)*RampSpeed/J2497))</f>
        <v/>
      </c>
      <c r="M2497" s="45">
        <f>IF(A2497&lt;I2497,0,IF(K2497="S-curve",L2497*L2497*(3-2*L2497),L2497))</f>
        <v/>
      </c>
      <c r="N2497" s="45">
        <f>1+(INDEX(SeasonIdx,A2497)-1)*SeasonAmp</f>
        <v/>
      </c>
      <c r="O2497" s="45">
        <f>IFERROR(INDEX(PSPct,MATCH(E2497&amp;"|"&amp;G2497,PSKey,0)),0)</f>
        <v/>
      </c>
      <c r="P2497" s="46">
        <f>INDEX(ChDoorVel,MATCH(E2497,ChName,0))*CalibScalar*(1+VelocityUplift)</f>
        <v/>
      </c>
      <c r="Q2497" s="46" t="n">
        <v>0</v>
      </c>
      <c r="R2497" s="46">
        <f>P2497*O2497*M2497*N2497*H2497</f>
        <v/>
      </c>
      <c r="S2497" s="46">
        <f>R2497*INDEX(FmtCansPerCase,MATCH(F2497,FmtName,0))</f>
        <v/>
      </c>
      <c r="T2497" s="46">
        <f>S2497/INDEX(FmtCansPerPack,MATCH(F2497,FmtName,0))</f>
        <v/>
      </c>
      <c r="U2497" s="47">
        <f>INDEX(ChBaseCP,MATCH(E2497,ChName,0))*(1+INDEX(ProvMod,MATCH(G2497,ProvCode,0)))*(1+PriceIndex)</f>
        <v/>
      </c>
      <c r="V2497" s="47">
        <f>R2497*U2497*INDEX(FmtBlendedPriceIdx,MATCH(F2497,FmtName,0))</f>
        <v/>
      </c>
      <c r="W2497" s="47">
        <f>T2497*INDEX(ProvSRP,MATCH(G2497,ProvCode,0))*(1+PriceIndex)</f>
        <v/>
      </c>
      <c r="X2497" s="47">
        <f>IF(GrossBasis="Wholesale",V2497,W2497)</f>
        <v/>
      </c>
      <c r="Y2497" s="47">
        <f>R2497*INDEX(FmtBlendedCogs,MATCH(F2497,FmtName,0))</f>
        <v/>
      </c>
      <c r="Z2497" s="47">
        <f>X2497-Y2497</f>
        <v/>
      </c>
    </row>
    <row r="2498">
      <c r="A2498" t="n">
        <v>6</v>
      </c>
      <c r="B2498" s="44">
        <f>FiscalStart+(A2498-1)*7</f>
        <v/>
      </c>
      <c r="C2498">
        <f>TEXT(B2498,"mmm yyyy")</f>
        <v/>
      </c>
      <c r="D2498">
        <f>"Q"&amp;(INT((A2498-1)/13)+1)</f>
        <v/>
      </c>
      <c r="E2498" t="inlineStr">
        <is>
          <t>FDM</t>
        </is>
      </c>
      <c r="F2498">
        <f>IFERROR(INDEX(ChFormat,MATCH(E2498,ChName,0)),"")</f>
        <v/>
      </c>
      <c r="G2498" t="inlineStr">
        <is>
          <t>NS</t>
        </is>
      </c>
      <c r="H2498">
        <f>IF(A2498&lt;=NWeeks,1,0)</f>
        <v/>
      </c>
      <c r="I2498">
        <f>INDEX(ChLaunch,MATCH(E2498,ChName,0))</f>
        <v/>
      </c>
      <c r="J2498">
        <f>INDEX(ChWeeksFull,MATCH(E2498,ChName,0))</f>
        <v/>
      </c>
      <c r="K2498">
        <f>INDEX(ChRamp,MATCH(E2498,ChName,0))</f>
        <v/>
      </c>
      <c r="L2498" s="45">
        <f>MIN(1,MAX(0,(A2498-I2498+1)*RampSpeed/J2498))</f>
        <v/>
      </c>
      <c r="M2498" s="45">
        <f>IF(A2498&lt;I2498,0,IF(K2498="S-curve",L2498*L2498*(3-2*L2498),L2498))</f>
        <v/>
      </c>
      <c r="N2498" s="45">
        <f>1+(INDEX(SeasonIdx,A2498)-1)*SeasonAmp</f>
        <v/>
      </c>
      <c r="O2498" s="45">
        <f>IFERROR(INDEX(PSPct,MATCH(E2498&amp;"|"&amp;G2498,PSKey,0)),0)</f>
        <v/>
      </c>
      <c r="P2498" s="46">
        <f>INDEX(ChDoorVel,MATCH(E2498,ChName,0))*CalibScalar*(1+VelocityUplift)</f>
        <v/>
      </c>
      <c r="Q2498" s="46" t="n">
        <v>0</v>
      </c>
      <c r="R2498" s="46">
        <f>P2498*O2498*M2498*N2498*H2498</f>
        <v/>
      </c>
      <c r="S2498" s="46">
        <f>R2498*INDEX(FmtCansPerCase,MATCH(F2498,FmtName,0))</f>
        <v/>
      </c>
      <c r="T2498" s="46">
        <f>S2498/INDEX(FmtCansPerPack,MATCH(F2498,FmtName,0))</f>
        <v/>
      </c>
      <c r="U2498" s="47">
        <f>INDEX(ChBaseCP,MATCH(E2498,ChName,0))*(1+INDEX(ProvMod,MATCH(G2498,ProvCode,0)))*(1+PriceIndex)</f>
        <v/>
      </c>
      <c r="V2498" s="47">
        <f>R2498*U2498*INDEX(FmtBlendedPriceIdx,MATCH(F2498,FmtName,0))</f>
        <v/>
      </c>
      <c r="W2498" s="47">
        <f>T2498*INDEX(ProvSRP,MATCH(G2498,ProvCode,0))*(1+PriceIndex)</f>
        <v/>
      </c>
      <c r="X2498" s="47">
        <f>IF(GrossBasis="Wholesale",V2498,W2498)</f>
        <v/>
      </c>
      <c r="Y2498" s="47">
        <f>R2498*INDEX(FmtBlendedCogs,MATCH(F2498,FmtName,0))</f>
        <v/>
      </c>
      <c r="Z2498" s="47">
        <f>X2498-Y2498</f>
        <v/>
      </c>
    </row>
    <row r="2499">
      <c r="A2499" t="n">
        <v>7</v>
      </c>
      <c r="B2499" s="44">
        <f>FiscalStart+(A2499-1)*7</f>
        <v/>
      </c>
      <c r="C2499">
        <f>TEXT(B2499,"mmm yyyy")</f>
        <v/>
      </c>
      <c r="D2499">
        <f>"Q"&amp;(INT((A2499-1)/13)+1)</f>
        <v/>
      </c>
      <c r="E2499" t="inlineStr">
        <is>
          <t>FDM</t>
        </is>
      </c>
      <c r="F2499">
        <f>IFERROR(INDEX(ChFormat,MATCH(E2499,ChName,0)),"")</f>
        <v/>
      </c>
      <c r="G2499" t="inlineStr">
        <is>
          <t>NS</t>
        </is>
      </c>
      <c r="H2499">
        <f>IF(A2499&lt;=NWeeks,1,0)</f>
        <v/>
      </c>
      <c r="I2499">
        <f>INDEX(ChLaunch,MATCH(E2499,ChName,0))</f>
        <v/>
      </c>
      <c r="J2499">
        <f>INDEX(ChWeeksFull,MATCH(E2499,ChName,0))</f>
        <v/>
      </c>
      <c r="K2499">
        <f>INDEX(ChRamp,MATCH(E2499,ChName,0))</f>
        <v/>
      </c>
      <c r="L2499" s="45">
        <f>MIN(1,MAX(0,(A2499-I2499+1)*RampSpeed/J2499))</f>
        <v/>
      </c>
      <c r="M2499" s="45">
        <f>IF(A2499&lt;I2499,0,IF(K2499="S-curve",L2499*L2499*(3-2*L2499),L2499))</f>
        <v/>
      </c>
      <c r="N2499" s="45">
        <f>1+(INDEX(SeasonIdx,A2499)-1)*SeasonAmp</f>
        <v/>
      </c>
      <c r="O2499" s="45">
        <f>IFERROR(INDEX(PSPct,MATCH(E2499&amp;"|"&amp;G2499,PSKey,0)),0)</f>
        <v/>
      </c>
      <c r="P2499" s="46">
        <f>INDEX(ChDoorVel,MATCH(E2499,ChName,0))*CalibScalar*(1+VelocityUplift)</f>
        <v/>
      </c>
      <c r="Q2499" s="46" t="n">
        <v>0</v>
      </c>
      <c r="R2499" s="46">
        <f>P2499*O2499*M2499*N2499*H2499</f>
        <v/>
      </c>
      <c r="S2499" s="46">
        <f>R2499*INDEX(FmtCansPerCase,MATCH(F2499,FmtName,0))</f>
        <v/>
      </c>
      <c r="T2499" s="46">
        <f>S2499/INDEX(FmtCansPerPack,MATCH(F2499,FmtName,0))</f>
        <v/>
      </c>
      <c r="U2499" s="47">
        <f>INDEX(ChBaseCP,MATCH(E2499,ChName,0))*(1+INDEX(ProvMod,MATCH(G2499,ProvCode,0)))*(1+PriceIndex)</f>
        <v/>
      </c>
      <c r="V2499" s="47">
        <f>R2499*U2499*INDEX(FmtBlendedPriceIdx,MATCH(F2499,FmtName,0))</f>
        <v/>
      </c>
      <c r="W2499" s="47">
        <f>T2499*INDEX(ProvSRP,MATCH(G2499,ProvCode,0))*(1+PriceIndex)</f>
        <v/>
      </c>
      <c r="X2499" s="47">
        <f>IF(GrossBasis="Wholesale",V2499,W2499)</f>
        <v/>
      </c>
      <c r="Y2499" s="47">
        <f>R2499*INDEX(FmtBlendedCogs,MATCH(F2499,FmtName,0))</f>
        <v/>
      </c>
      <c r="Z2499" s="47">
        <f>X2499-Y2499</f>
        <v/>
      </c>
    </row>
    <row r="2500">
      <c r="A2500" t="n">
        <v>8</v>
      </c>
      <c r="B2500" s="44">
        <f>FiscalStart+(A2500-1)*7</f>
        <v/>
      </c>
      <c r="C2500">
        <f>TEXT(B2500,"mmm yyyy")</f>
        <v/>
      </c>
      <c r="D2500">
        <f>"Q"&amp;(INT((A2500-1)/13)+1)</f>
        <v/>
      </c>
      <c r="E2500" t="inlineStr">
        <is>
          <t>FDM</t>
        </is>
      </c>
      <c r="F2500">
        <f>IFERROR(INDEX(ChFormat,MATCH(E2500,ChName,0)),"")</f>
        <v/>
      </c>
      <c r="G2500" t="inlineStr">
        <is>
          <t>NS</t>
        </is>
      </c>
      <c r="H2500">
        <f>IF(A2500&lt;=NWeeks,1,0)</f>
        <v/>
      </c>
      <c r="I2500">
        <f>INDEX(ChLaunch,MATCH(E2500,ChName,0))</f>
        <v/>
      </c>
      <c r="J2500">
        <f>INDEX(ChWeeksFull,MATCH(E2500,ChName,0))</f>
        <v/>
      </c>
      <c r="K2500">
        <f>INDEX(ChRamp,MATCH(E2500,ChName,0))</f>
        <v/>
      </c>
      <c r="L2500" s="45">
        <f>MIN(1,MAX(0,(A2500-I2500+1)*RampSpeed/J2500))</f>
        <v/>
      </c>
      <c r="M2500" s="45">
        <f>IF(A2500&lt;I2500,0,IF(K2500="S-curve",L2500*L2500*(3-2*L2500),L2500))</f>
        <v/>
      </c>
      <c r="N2500" s="45">
        <f>1+(INDEX(SeasonIdx,A2500)-1)*SeasonAmp</f>
        <v/>
      </c>
      <c r="O2500" s="45">
        <f>IFERROR(INDEX(PSPct,MATCH(E2500&amp;"|"&amp;G2500,PSKey,0)),0)</f>
        <v/>
      </c>
      <c r="P2500" s="46">
        <f>INDEX(ChDoorVel,MATCH(E2500,ChName,0))*CalibScalar*(1+VelocityUplift)</f>
        <v/>
      </c>
      <c r="Q2500" s="46" t="n">
        <v>0</v>
      </c>
      <c r="R2500" s="46">
        <f>P2500*O2500*M2500*N2500*H2500</f>
        <v/>
      </c>
      <c r="S2500" s="46">
        <f>R2500*INDEX(FmtCansPerCase,MATCH(F2500,FmtName,0))</f>
        <v/>
      </c>
      <c r="T2500" s="46">
        <f>S2500/INDEX(FmtCansPerPack,MATCH(F2500,FmtName,0))</f>
        <v/>
      </c>
      <c r="U2500" s="47">
        <f>INDEX(ChBaseCP,MATCH(E2500,ChName,0))*(1+INDEX(ProvMod,MATCH(G2500,ProvCode,0)))*(1+PriceIndex)</f>
        <v/>
      </c>
      <c r="V2500" s="47">
        <f>R2500*U2500*INDEX(FmtBlendedPriceIdx,MATCH(F2500,FmtName,0))</f>
        <v/>
      </c>
      <c r="W2500" s="47">
        <f>T2500*INDEX(ProvSRP,MATCH(G2500,ProvCode,0))*(1+PriceIndex)</f>
        <v/>
      </c>
      <c r="X2500" s="47">
        <f>IF(GrossBasis="Wholesale",V2500,W2500)</f>
        <v/>
      </c>
      <c r="Y2500" s="47">
        <f>R2500*INDEX(FmtBlendedCogs,MATCH(F2500,FmtName,0))</f>
        <v/>
      </c>
      <c r="Z2500" s="47">
        <f>X2500-Y2500</f>
        <v/>
      </c>
    </row>
    <row r="2501">
      <c r="A2501" t="n">
        <v>9</v>
      </c>
      <c r="B2501" s="44">
        <f>FiscalStart+(A2501-1)*7</f>
        <v/>
      </c>
      <c r="C2501">
        <f>TEXT(B2501,"mmm yyyy")</f>
        <v/>
      </c>
      <c r="D2501">
        <f>"Q"&amp;(INT((A2501-1)/13)+1)</f>
        <v/>
      </c>
      <c r="E2501" t="inlineStr">
        <is>
          <t>FDM</t>
        </is>
      </c>
      <c r="F2501">
        <f>IFERROR(INDEX(ChFormat,MATCH(E2501,ChName,0)),"")</f>
        <v/>
      </c>
      <c r="G2501" t="inlineStr">
        <is>
          <t>NS</t>
        </is>
      </c>
      <c r="H2501">
        <f>IF(A2501&lt;=NWeeks,1,0)</f>
        <v/>
      </c>
      <c r="I2501">
        <f>INDEX(ChLaunch,MATCH(E2501,ChName,0))</f>
        <v/>
      </c>
      <c r="J2501">
        <f>INDEX(ChWeeksFull,MATCH(E2501,ChName,0))</f>
        <v/>
      </c>
      <c r="K2501">
        <f>INDEX(ChRamp,MATCH(E2501,ChName,0))</f>
        <v/>
      </c>
      <c r="L2501" s="45">
        <f>MIN(1,MAX(0,(A2501-I2501+1)*RampSpeed/J2501))</f>
        <v/>
      </c>
      <c r="M2501" s="45">
        <f>IF(A2501&lt;I2501,0,IF(K2501="S-curve",L2501*L2501*(3-2*L2501),L2501))</f>
        <v/>
      </c>
      <c r="N2501" s="45">
        <f>1+(INDEX(SeasonIdx,A2501)-1)*SeasonAmp</f>
        <v/>
      </c>
      <c r="O2501" s="45">
        <f>IFERROR(INDEX(PSPct,MATCH(E2501&amp;"|"&amp;G2501,PSKey,0)),0)</f>
        <v/>
      </c>
      <c r="P2501" s="46">
        <f>INDEX(ChDoorVel,MATCH(E2501,ChName,0))*CalibScalar*(1+VelocityUplift)</f>
        <v/>
      </c>
      <c r="Q2501" s="46" t="n">
        <v>0</v>
      </c>
      <c r="R2501" s="46">
        <f>P2501*O2501*M2501*N2501*H2501</f>
        <v/>
      </c>
      <c r="S2501" s="46">
        <f>R2501*INDEX(FmtCansPerCase,MATCH(F2501,FmtName,0))</f>
        <v/>
      </c>
      <c r="T2501" s="46">
        <f>S2501/INDEX(FmtCansPerPack,MATCH(F2501,FmtName,0))</f>
        <v/>
      </c>
      <c r="U2501" s="47">
        <f>INDEX(ChBaseCP,MATCH(E2501,ChName,0))*(1+INDEX(ProvMod,MATCH(G2501,ProvCode,0)))*(1+PriceIndex)</f>
        <v/>
      </c>
      <c r="V2501" s="47">
        <f>R2501*U2501*INDEX(FmtBlendedPriceIdx,MATCH(F2501,FmtName,0))</f>
        <v/>
      </c>
      <c r="W2501" s="47">
        <f>T2501*INDEX(ProvSRP,MATCH(G2501,ProvCode,0))*(1+PriceIndex)</f>
        <v/>
      </c>
      <c r="X2501" s="47">
        <f>IF(GrossBasis="Wholesale",V2501,W2501)</f>
        <v/>
      </c>
      <c r="Y2501" s="47">
        <f>R2501*INDEX(FmtBlendedCogs,MATCH(F2501,FmtName,0))</f>
        <v/>
      </c>
      <c r="Z2501" s="47">
        <f>X2501-Y2501</f>
        <v/>
      </c>
    </row>
    <row r="2502">
      <c r="A2502" t="n">
        <v>10</v>
      </c>
      <c r="B2502" s="44">
        <f>FiscalStart+(A2502-1)*7</f>
        <v/>
      </c>
      <c r="C2502">
        <f>TEXT(B2502,"mmm yyyy")</f>
        <v/>
      </c>
      <c r="D2502">
        <f>"Q"&amp;(INT((A2502-1)/13)+1)</f>
        <v/>
      </c>
      <c r="E2502" t="inlineStr">
        <is>
          <t>FDM</t>
        </is>
      </c>
      <c r="F2502">
        <f>IFERROR(INDEX(ChFormat,MATCH(E2502,ChName,0)),"")</f>
        <v/>
      </c>
      <c r="G2502" t="inlineStr">
        <is>
          <t>NS</t>
        </is>
      </c>
      <c r="H2502">
        <f>IF(A2502&lt;=NWeeks,1,0)</f>
        <v/>
      </c>
      <c r="I2502">
        <f>INDEX(ChLaunch,MATCH(E2502,ChName,0))</f>
        <v/>
      </c>
      <c r="J2502">
        <f>INDEX(ChWeeksFull,MATCH(E2502,ChName,0))</f>
        <v/>
      </c>
      <c r="K2502">
        <f>INDEX(ChRamp,MATCH(E2502,ChName,0))</f>
        <v/>
      </c>
      <c r="L2502" s="45">
        <f>MIN(1,MAX(0,(A2502-I2502+1)*RampSpeed/J2502))</f>
        <v/>
      </c>
      <c r="M2502" s="45">
        <f>IF(A2502&lt;I2502,0,IF(K2502="S-curve",L2502*L2502*(3-2*L2502),L2502))</f>
        <v/>
      </c>
      <c r="N2502" s="45">
        <f>1+(INDEX(SeasonIdx,A2502)-1)*SeasonAmp</f>
        <v/>
      </c>
      <c r="O2502" s="45">
        <f>IFERROR(INDEX(PSPct,MATCH(E2502&amp;"|"&amp;G2502,PSKey,0)),0)</f>
        <v/>
      </c>
      <c r="P2502" s="46">
        <f>INDEX(ChDoorVel,MATCH(E2502,ChName,0))*CalibScalar*(1+VelocityUplift)</f>
        <v/>
      </c>
      <c r="Q2502" s="46" t="n">
        <v>0</v>
      </c>
      <c r="R2502" s="46">
        <f>P2502*O2502*M2502*N2502*H2502</f>
        <v/>
      </c>
      <c r="S2502" s="46">
        <f>R2502*INDEX(FmtCansPerCase,MATCH(F2502,FmtName,0))</f>
        <v/>
      </c>
      <c r="T2502" s="46">
        <f>S2502/INDEX(FmtCansPerPack,MATCH(F2502,FmtName,0))</f>
        <v/>
      </c>
      <c r="U2502" s="47">
        <f>INDEX(ChBaseCP,MATCH(E2502,ChName,0))*(1+INDEX(ProvMod,MATCH(G2502,ProvCode,0)))*(1+PriceIndex)</f>
        <v/>
      </c>
      <c r="V2502" s="47">
        <f>R2502*U2502*INDEX(FmtBlendedPriceIdx,MATCH(F2502,FmtName,0))</f>
        <v/>
      </c>
      <c r="W2502" s="47">
        <f>T2502*INDEX(ProvSRP,MATCH(G2502,ProvCode,0))*(1+PriceIndex)</f>
        <v/>
      </c>
      <c r="X2502" s="47">
        <f>IF(GrossBasis="Wholesale",V2502,W2502)</f>
        <v/>
      </c>
      <c r="Y2502" s="47">
        <f>R2502*INDEX(FmtBlendedCogs,MATCH(F2502,FmtName,0))</f>
        <v/>
      </c>
      <c r="Z2502" s="47">
        <f>X2502-Y2502</f>
        <v/>
      </c>
    </row>
    <row r="2503">
      <c r="A2503" t="n">
        <v>11</v>
      </c>
      <c r="B2503" s="44">
        <f>FiscalStart+(A2503-1)*7</f>
        <v/>
      </c>
      <c r="C2503">
        <f>TEXT(B2503,"mmm yyyy")</f>
        <v/>
      </c>
      <c r="D2503">
        <f>"Q"&amp;(INT((A2503-1)/13)+1)</f>
        <v/>
      </c>
      <c r="E2503" t="inlineStr">
        <is>
          <t>FDM</t>
        </is>
      </c>
      <c r="F2503">
        <f>IFERROR(INDEX(ChFormat,MATCH(E2503,ChName,0)),"")</f>
        <v/>
      </c>
      <c r="G2503" t="inlineStr">
        <is>
          <t>NS</t>
        </is>
      </c>
      <c r="H2503">
        <f>IF(A2503&lt;=NWeeks,1,0)</f>
        <v/>
      </c>
      <c r="I2503">
        <f>INDEX(ChLaunch,MATCH(E2503,ChName,0))</f>
        <v/>
      </c>
      <c r="J2503">
        <f>INDEX(ChWeeksFull,MATCH(E2503,ChName,0))</f>
        <v/>
      </c>
      <c r="K2503">
        <f>INDEX(ChRamp,MATCH(E2503,ChName,0))</f>
        <v/>
      </c>
      <c r="L2503" s="45">
        <f>MIN(1,MAX(0,(A2503-I2503+1)*RampSpeed/J2503))</f>
        <v/>
      </c>
      <c r="M2503" s="45">
        <f>IF(A2503&lt;I2503,0,IF(K2503="S-curve",L2503*L2503*(3-2*L2503),L2503))</f>
        <v/>
      </c>
      <c r="N2503" s="45">
        <f>1+(INDEX(SeasonIdx,A2503)-1)*SeasonAmp</f>
        <v/>
      </c>
      <c r="O2503" s="45">
        <f>IFERROR(INDEX(PSPct,MATCH(E2503&amp;"|"&amp;G2503,PSKey,0)),0)</f>
        <v/>
      </c>
      <c r="P2503" s="46">
        <f>INDEX(ChDoorVel,MATCH(E2503,ChName,0))*CalibScalar*(1+VelocityUplift)</f>
        <v/>
      </c>
      <c r="Q2503" s="46" t="n">
        <v>0</v>
      </c>
      <c r="R2503" s="46">
        <f>P2503*O2503*M2503*N2503*H2503</f>
        <v/>
      </c>
      <c r="S2503" s="46">
        <f>R2503*INDEX(FmtCansPerCase,MATCH(F2503,FmtName,0))</f>
        <v/>
      </c>
      <c r="T2503" s="46">
        <f>S2503/INDEX(FmtCansPerPack,MATCH(F2503,FmtName,0))</f>
        <v/>
      </c>
      <c r="U2503" s="47">
        <f>INDEX(ChBaseCP,MATCH(E2503,ChName,0))*(1+INDEX(ProvMod,MATCH(G2503,ProvCode,0)))*(1+PriceIndex)</f>
        <v/>
      </c>
      <c r="V2503" s="47">
        <f>R2503*U2503*INDEX(FmtBlendedPriceIdx,MATCH(F2503,FmtName,0))</f>
        <v/>
      </c>
      <c r="W2503" s="47">
        <f>T2503*INDEX(ProvSRP,MATCH(G2503,ProvCode,0))*(1+PriceIndex)</f>
        <v/>
      </c>
      <c r="X2503" s="47">
        <f>IF(GrossBasis="Wholesale",V2503,W2503)</f>
        <v/>
      </c>
      <c r="Y2503" s="47">
        <f>R2503*INDEX(FmtBlendedCogs,MATCH(F2503,FmtName,0))</f>
        <v/>
      </c>
      <c r="Z2503" s="47">
        <f>X2503-Y2503</f>
        <v/>
      </c>
    </row>
    <row r="2504">
      <c r="A2504" t="n">
        <v>12</v>
      </c>
      <c r="B2504" s="44">
        <f>FiscalStart+(A2504-1)*7</f>
        <v/>
      </c>
      <c r="C2504">
        <f>TEXT(B2504,"mmm yyyy")</f>
        <v/>
      </c>
      <c r="D2504">
        <f>"Q"&amp;(INT((A2504-1)/13)+1)</f>
        <v/>
      </c>
      <c r="E2504" t="inlineStr">
        <is>
          <t>FDM</t>
        </is>
      </c>
      <c r="F2504">
        <f>IFERROR(INDEX(ChFormat,MATCH(E2504,ChName,0)),"")</f>
        <v/>
      </c>
      <c r="G2504" t="inlineStr">
        <is>
          <t>NS</t>
        </is>
      </c>
      <c r="H2504">
        <f>IF(A2504&lt;=NWeeks,1,0)</f>
        <v/>
      </c>
      <c r="I2504">
        <f>INDEX(ChLaunch,MATCH(E2504,ChName,0))</f>
        <v/>
      </c>
      <c r="J2504">
        <f>INDEX(ChWeeksFull,MATCH(E2504,ChName,0))</f>
        <v/>
      </c>
      <c r="K2504">
        <f>INDEX(ChRamp,MATCH(E2504,ChName,0))</f>
        <v/>
      </c>
      <c r="L2504" s="45">
        <f>MIN(1,MAX(0,(A2504-I2504+1)*RampSpeed/J2504))</f>
        <v/>
      </c>
      <c r="M2504" s="45">
        <f>IF(A2504&lt;I2504,0,IF(K2504="S-curve",L2504*L2504*(3-2*L2504),L2504))</f>
        <v/>
      </c>
      <c r="N2504" s="45">
        <f>1+(INDEX(SeasonIdx,A2504)-1)*SeasonAmp</f>
        <v/>
      </c>
      <c r="O2504" s="45">
        <f>IFERROR(INDEX(PSPct,MATCH(E2504&amp;"|"&amp;G2504,PSKey,0)),0)</f>
        <v/>
      </c>
      <c r="P2504" s="46">
        <f>INDEX(ChDoorVel,MATCH(E2504,ChName,0))*CalibScalar*(1+VelocityUplift)</f>
        <v/>
      </c>
      <c r="Q2504" s="46" t="n">
        <v>0</v>
      </c>
      <c r="R2504" s="46">
        <f>P2504*O2504*M2504*N2504*H2504</f>
        <v/>
      </c>
      <c r="S2504" s="46">
        <f>R2504*INDEX(FmtCansPerCase,MATCH(F2504,FmtName,0))</f>
        <v/>
      </c>
      <c r="T2504" s="46">
        <f>S2504/INDEX(FmtCansPerPack,MATCH(F2504,FmtName,0))</f>
        <v/>
      </c>
      <c r="U2504" s="47">
        <f>INDEX(ChBaseCP,MATCH(E2504,ChName,0))*(1+INDEX(ProvMod,MATCH(G2504,ProvCode,0)))*(1+PriceIndex)</f>
        <v/>
      </c>
      <c r="V2504" s="47">
        <f>R2504*U2504*INDEX(FmtBlendedPriceIdx,MATCH(F2504,FmtName,0))</f>
        <v/>
      </c>
      <c r="W2504" s="47">
        <f>T2504*INDEX(ProvSRP,MATCH(G2504,ProvCode,0))*(1+PriceIndex)</f>
        <v/>
      </c>
      <c r="X2504" s="47">
        <f>IF(GrossBasis="Wholesale",V2504,W2504)</f>
        <v/>
      </c>
      <c r="Y2504" s="47">
        <f>R2504*INDEX(FmtBlendedCogs,MATCH(F2504,FmtName,0))</f>
        <v/>
      </c>
      <c r="Z2504" s="47">
        <f>X2504-Y2504</f>
        <v/>
      </c>
    </row>
    <row r="2505">
      <c r="A2505" t="n">
        <v>13</v>
      </c>
      <c r="B2505" s="44">
        <f>FiscalStart+(A2505-1)*7</f>
        <v/>
      </c>
      <c r="C2505">
        <f>TEXT(B2505,"mmm yyyy")</f>
        <v/>
      </c>
      <c r="D2505">
        <f>"Q"&amp;(INT((A2505-1)/13)+1)</f>
        <v/>
      </c>
      <c r="E2505" t="inlineStr">
        <is>
          <t>FDM</t>
        </is>
      </c>
      <c r="F2505">
        <f>IFERROR(INDEX(ChFormat,MATCH(E2505,ChName,0)),"")</f>
        <v/>
      </c>
      <c r="G2505" t="inlineStr">
        <is>
          <t>NS</t>
        </is>
      </c>
      <c r="H2505">
        <f>IF(A2505&lt;=NWeeks,1,0)</f>
        <v/>
      </c>
      <c r="I2505">
        <f>INDEX(ChLaunch,MATCH(E2505,ChName,0))</f>
        <v/>
      </c>
      <c r="J2505">
        <f>INDEX(ChWeeksFull,MATCH(E2505,ChName,0))</f>
        <v/>
      </c>
      <c r="K2505">
        <f>INDEX(ChRamp,MATCH(E2505,ChName,0))</f>
        <v/>
      </c>
      <c r="L2505" s="45">
        <f>MIN(1,MAX(0,(A2505-I2505+1)*RampSpeed/J2505))</f>
        <v/>
      </c>
      <c r="M2505" s="45">
        <f>IF(A2505&lt;I2505,0,IF(K2505="S-curve",L2505*L2505*(3-2*L2505),L2505))</f>
        <v/>
      </c>
      <c r="N2505" s="45">
        <f>1+(INDEX(SeasonIdx,A2505)-1)*SeasonAmp</f>
        <v/>
      </c>
      <c r="O2505" s="45">
        <f>IFERROR(INDEX(PSPct,MATCH(E2505&amp;"|"&amp;G2505,PSKey,0)),0)</f>
        <v/>
      </c>
      <c r="P2505" s="46">
        <f>INDEX(ChDoorVel,MATCH(E2505,ChName,0))*CalibScalar*(1+VelocityUplift)</f>
        <v/>
      </c>
      <c r="Q2505" s="46" t="n">
        <v>0</v>
      </c>
      <c r="R2505" s="46">
        <f>P2505*O2505*M2505*N2505*H2505</f>
        <v/>
      </c>
      <c r="S2505" s="46">
        <f>R2505*INDEX(FmtCansPerCase,MATCH(F2505,FmtName,0))</f>
        <v/>
      </c>
      <c r="T2505" s="46">
        <f>S2505/INDEX(FmtCansPerPack,MATCH(F2505,FmtName,0))</f>
        <v/>
      </c>
      <c r="U2505" s="47">
        <f>INDEX(ChBaseCP,MATCH(E2505,ChName,0))*(1+INDEX(ProvMod,MATCH(G2505,ProvCode,0)))*(1+PriceIndex)</f>
        <v/>
      </c>
      <c r="V2505" s="47">
        <f>R2505*U2505*INDEX(FmtBlendedPriceIdx,MATCH(F2505,FmtName,0))</f>
        <v/>
      </c>
      <c r="W2505" s="47">
        <f>T2505*INDEX(ProvSRP,MATCH(G2505,ProvCode,0))*(1+PriceIndex)</f>
        <v/>
      </c>
      <c r="X2505" s="47">
        <f>IF(GrossBasis="Wholesale",V2505,W2505)</f>
        <v/>
      </c>
      <c r="Y2505" s="47">
        <f>R2505*INDEX(FmtBlendedCogs,MATCH(F2505,FmtName,0))</f>
        <v/>
      </c>
      <c r="Z2505" s="47">
        <f>X2505-Y2505</f>
        <v/>
      </c>
    </row>
    <row r="2506">
      <c r="A2506" t="n">
        <v>14</v>
      </c>
      <c r="B2506" s="44">
        <f>FiscalStart+(A2506-1)*7</f>
        <v/>
      </c>
      <c r="C2506">
        <f>TEXT(B2506,"mmm yyyy")</f>
        <v/>
      </c>
      <c r="D2506">
        <f>"Q"&amp;(INT((A2506-1)/13)+1)</f>
        <v/>
      </c>
      <c r="E2506" t="inlineStr">
        <is>
          <t>FDM</t>
        </is>
      </c>
      <c r="F2506">
        <f>IFERROR(INDEX(ChFormat,MATCH(E2506,ChName,0)),"")</f>
        <v/>
      </c>
      <c r="G2506" t="inlineStr">
        <is>
          <t>NS</t>
        </is>
      </c>
      <c r="H2506">
        <f>IF(A2506&lt;=NWeeks,1,0)</f>
        <v/>
      </c>
      <c r="I2506">
        <f>INDEX(ChLaunch,MATCH(E2506,ChName,0))</f>
        <v/>
      </c>
      <c r="J2506">
        <f>INDEX(ChWeeksFull,MATCH(E2506,ChName,0))</f>
        <v/>
      </c>
      <c r="K2506">
        <f>INDEX(ChRamp,MATCH(E2506,ChName,0))</f>
        <v/>
      </c>
      <c r="L2506" s="45">
        <f>MIN(1,MAX(0,(A2506-I2506+1)*RampSpeed/J2506))</f>
        <v/>
      </c>
      <c r="M2506" s="45">
        <f>IF(A2506&lt;I2506,0,IF(K2506="S-curve",L2506*L2506*(3-2*L2506),L2506))</f>
        <v/>
      </c>
      <c r="N2506" s="45">
        <f>1+(INDEX(SeasonIdx,A2506)-1)*SeasonAmp</f>
        <v/>
      </c>
      <c r="O2506" s="45">
        <f>IFERROR(INDEX(PSPct,MATCH(E2506&amp;"|"&amp;G2506,PSKey,0)),0)</f>
        <v/>
      </c>
      <c r="P2506" s="46">
        <f>INDEX(ChDoorVel,MATCH(E2506,ChName,0))*CalibScalar*(1+VelocityUplift)</f>
        <v/>
      </c>
      <c r="Q2506" s="46" t="n">
        <v>0</v>
      </c>
      <c r="R2506" s="46">
        <f>P2506*O2506*M2506*N2506*H2506</f>
        <v/>
      </c>
      <c r="S2506" s="46">
        <f>R2506*INDEX(FmtCansPerCase,MATCH(F2506,FmtName,0))</f>
        <v/>
      </c>
      <c r="T2506" s="46">
        <f>S2506/INDEX(FmtCansPerPack,MATCH(F2506,FmtName,0))</f>
        <v/>
      </c>
      <c r="U2506" s="47">
        <f>INDEX(ChBaseCP,MATCH(E2506,ChName,0))*(1+INDEX(ProvMod,MATCH(G2506,ProvCode,0)))*(1+PriceIndex)</f>
        <v/>
      </c>
      <c r="V2506" s="47">
        <f>R2506*U2506*INDEX(FmtBlendedPriceIdx,MATCH(F2506,FmtName,0))</f>
        <v/>
      </c>
      <c r="W2506" s="47">
        <f>T2506*INDEX(ProvSRP,MATCH(G2506,ProvCode,0))*(1+PriceIndex)</f>
        <v/>
      </c>
      <c r="X2506" s="47">
        <f>IF(GrossBasis="Wholesale",V2506,W2506)</f>
        <v/>
      </c>
      <c r="Y2506" s="47">
        <f>R2506*INDEX(FmtBlendedCogs,MATCH(F2506,FmtName,0))</f>
        <v/>
      </c>
      <c r="Z2506" s="47">
        <f>X2506-Y2506</f>
        <v/>
      </c>
    </row>
    <row r="2507">
      <c r="A2507" t="n">
        <v>15</v>
      </c>
      <c r="B2507" s="44">
        <f>FiscalStart+(A2507-1)*7</f>
        <v/>
      </c>
      <c r="C2507">
        <f>TEXT(B2507,"mmm yyyy")</f>
        <v/>
      </c>
      <c r="D2507">
        <f>"Q"&amp;(INT((A2507-1)/13)+1)</f>
        <v/>
      </c>
      <c r="E2507" t="inlineStr">
        <is>
          <t>FDM</t>
        </is>
      </c>
      <c r="F2507">
        <f>IFERROR(INDEX(ChFormat,MATCH(E2507,ChName,0)),"")</f>
        <v/>
      </c>
      <c r="G2507" t="inlineStr">
        <is>
          <t>NS</t>
        </is>
      </c>
      <c r="H2507">
        <f>IF(A2507&lt;=NWeeks,1,0)</f>
        <v/>
      </c>
      <c r="I2507">
        <f>INDEX(ChLaunch,MATCH(E2507,ChName,0))</f>
        <v/>
      </c>
      <c r="J2507">
        <f>INDEX(ChWeeksFull,MATCH(E2507,ChName,0))</f>
        <v/>
      </c>
      <c r="K2507">
        <f>INDEX(ChRamp,MATCH(E2507,ChName,0))</f>
        <v/>
      </c>
      <c r="L2507" s="45">
        <f>MIN(1,MAX(0,(A2507-I2507+1)*RampSpeed/J2507))</f>
        <v/>
      </c>
      <c r="M2507" s="45">
        <f>IF(A2507&lt;I2507,0,IF(K2507="S-curve",L2507*L2507*(3-2*L2507),L2507))</f>
        <v/>
      </c>
      <c r="N2507" s="45">
        <f>1+(INDEX(SeasonIdx,A2507)-1)*SeasonAmp</f>
        <v/>
      </c>
      <c r="O2507" s="45">
        <f>IFERROR(INDEX(PSPct,MATCH(E2507&amp;"|"&amp;G2507,PSKey,0)),0)</f>
        <v/>
      </c>
      <c r="P2507" s="46">
        <f>INDEX(ChDoorVel,MATCH(E2507,ChName,0))*CalibScalar*(1+VelocityUplift)</f>
        <v/>
      </c>
      <c r="Q2507" s="46" t="n">
        <v>0</v>
      </c>
      <c r="R2507" s="46">
        <f>P2507*O2507*M2507*N2507*H2507</f>
        <v/>
      </c>
      <c r="S2507" s="46">
        <f>R2507*INDEX(FmtCansPerCase,MATCH(F2507,FmtName,0))</f>
        <v/>
      </c>
      <c r="T2507" s="46">
        <f>S2507/INDEX(FmtCansPerPack,MATCH(F2507,FmtName,0))</f>
        <v/>
      </c>
      <c r="U2507" s="47">
        <f>INDEX(ChBaseCP,MATCH(E2507,ChName,0))*(1+INDEX(ProvMod,MATCH(G2507,ProvCode,0)))*(1+PriceIndex)</f>
        <v/>
      </c>
      <c r="V2507" s="47">
        <f>R2507*U2507*INDEX(FmtBlendedPriceIdx,MATCH(F2507,FmtName,0))</f>
        <v/>
      </c>
      <c r="W2507" s="47">
        <f>T2507*INDEX(ProvSRP,MATCH(G2507,ProvCode,0))*(1+PriceIndex)</f>
        <v/>
      </c>
      <c r="X2507" s="47">
        <f>IF(GrossBasis="Wholesale",V2507,W2507)</f>
        <v/>
      </c>
      <c r="Y2507" s="47">
        <f>R2507*INDEX(FmtBlendedCogs,MATCH(F2507,FmtName,0))</f>
        <v/>
      </c>
      <c r="Z2507" s="47">
        <f>X2507-Y2507</f>
        <v/>
      </c>
    </row>
    <row r="2508">
      <c r="A2508" t="n">
        <v>16</v>
      </c>
      <c r="B2508" s="44">
        <f>FiscalStart+(A2508-1)*7</f>
        <v/>
      </c>
      <c r="C2508">
        <f>TEXT(B2508,"mmm yyyy")</f>
        <v/>
      </c>
      <c r="D2508">
        <f>"Q"&amp;(INT((A2508-1)/13)+1)</f>
        <v/>
      </c>
      <c r="E2508" t="inlineStr">
        <is>
          <t>FDM</t>
        </is>
      </c>
      <c r="F2508">
        <f>IFERROR(INDEX(ChFormat,MATCH(E2508,ChName,0)),"")</f>
        <v/>
      </c>
      <c r="G2508" t="inlineStr">
        <is>
          <t>NS</t>
        </is>
      </c>
      <c r="H2508">
        <f>IF(A2508&lt;=NWeeks,1,0)</f>
        <v/>
      </c>
      <c r="I2508">
        <f>INDEX(ChLaunch,MATCH(E2508,ChName,0))</f>
        <v/>
      </c>
      <c r="J2508">
        <f>INDEX(ChWeeksFull,MATCH(E2508,ChName,0))</f>
        <v/>
      </c>
      <c r="K2508">
        <f>INDEX(ChRamp,MATCH(E2508,ChName,0))</f>
        <v/>
      </c>
      <c r="L2508" s="45">
        <f>MIN(1,MAX(0,(A2508-I2508+1)*RampSpeed/J2508))</f>
        <v/>
      </c>
      <c r="M2508" s="45">
        <f>IF(A2508&lt;I2508,0,IF(K2508="S-curve",L2508*L2508*(3-2*L2508),L2508))</f>
        <v/>
      </c>
      <c r="N2508" s="45">
        <f>1+(INDEX(SeasonIdx,A2508)-1)*SeasonAmp</f>
        <v/>
      </c>
      <c r="O2508" s="45">
        <f>IFERROR(INDEX(PSPct,MATCH(E2508&amp;"|"&amp;G2508,PSKey,0)),0)</f>
        <v/>
      </c>
      <c r="P2508" s="46">
        <f>INDEX(ChDoorVel,MATCH(E2508,ChName,0))*CalibScalar*(1+VelocityUplift)</f>
        <v/>
      </c>
      <c r="Q2508" s="46" t="n">
        <v>0</v>
      </c>
      <c r="R2508" s="46">
        <f>P2508*O2508*M2508*N2508*H2508</f>
        <v/>
      </c>
      <c r="S2508" s="46">
        <f>R2508*INDEX(FmtCansPerCase,MATCH(F2508,FmtName,0))</f>
        <v/>
      </c>
      <c r="T2508" s="46">
        <f>S2508/INDEX(FmtCansPerPack,MATCH(F2508,FmtName,0))</f>
        <v/>
      </c>
      <c r="U2508" s="47">
        <f>INDEX(ChBaseCP,MATCH(E2508,ChName,0))*(1+INDEX(ProvMod,MATCH(G2508,ProvCode,0)))*(1+PriceIndex)</f>
        <v/>
      </c>
      <c r="V2508" s="47">
        <f>R2508*U2508*INDEX(FmtBlendedPriceIdx,MATCH(F2508,FmtName,0))</f>
        <v/>
      </c>
      <c r="W2508" s="47">
        <f>T2508*INDEX(ProvSRP,MATCH(G2508,ProvCode,0))*(1+PriceIndex)</f>
        <v/>
      </c>
      <c r="X2508" s="47">
        <f>IF(GrossBasis="Wholesale",V2508,W2508)</f>
        <v/>
      </c>
      <c r="Y2508" s="47">
        <f>R2508*INDEX(FmtBlendedCogs,MATCH(F2508,FmtName,0))</f>
        <v/>
      </c>
      <c r="Z2508" s="47">
        <f>X2508-Y2508</f>
        <v/>
      </c>
    </row>
    <row r="2509">
      <c r="A2509" t="n">
        <v>17</v>
      </c>
      <c r="B2509" s="44">
        <f>FiscalStart+(A2509-1)*7</f>
        <v/>
      </c>
      <c r="C2509">
        <f>TEXT(B2509,"mmm yyyy")</f>
        <v/>
      </c>
      <c r="D2509">
        <f>"Q"&amp;(INT((A2509-1)/13)+1)</f>
        <v/>
      </c>
      <c r="E2509" t="inlineStr">
        <is>
          <t>FDM</t>
        </is>
      </c>
      <c r="F2509">
        <f>IFERROR(INDEX(ChFormat,MATCH(E2509,ChName,0)),"")</f>
        <v/>
      </c>
      <c r="G2509" t="inlineStr">
        <is>
          <t>NS</t>
        </is>
      </c>
      <c r="H2509">
        <f>IF(A2509&lt;=NWeeks,1,0)</f>
        <v/>
      </c>
      <c r="I2509">
        <f>INDEX(ChLaunch,MATCH(E2509,ChName,0))</f>
        <v/>
      </c>
      <c r="J2509">
        <f>INDEX(ChWeeksFull,MATCH(E2509,ChName,0))</f>
        <v/>
      </c>
      <c r="K2509">
        <f>INDEX(ChRamp,MATCH(E2509,ChName,0))</f>
        <v/>
      </c>
      <c r="L2509" s="45">
        <f>MIN(1,MAX(0,(A2509-I2509+1)*RampSpeed/J2509))</f>
        <v/>
      </c>
      <c r="M2509" s="45">
        <f>IF(A2509&lt;I2509,0,IF(K2509="S-curve",L2509*L2509*(3-2*L2509),L2509))</f>
        <v/>
      </c>
      <c r="N2509" s="45">
        <f>1+(INDEX(SeasonIdx,A2509)-1)*SeasonAmp</f>
        <v/>
      </c>
      <c r="O2509" s="45">
        <f>IFERROR(INDEX(PSPct,MATCH(E2509&amp;"|"&amp;G2509,PSKey,0)),0)</f>
        <v/>
      </c>
      <c r="P2509" s="46">
        <f>INDEX(ChDoorVel,MATCH(E2509,ChName,0))*CalibScalar*(1+VelocityUplift)</f>
        <v/>
      </c>
      <c r="Q2509" s="46" t="n">
        <v>0</v>
      </c>
      <c r="R2509" s="46">
        <f>P2509*O2509*M2509*N2509*H2509</f>
        <v/>
      </c>
      <c r="S2509" s="46">
        <f>R2509*INDEX(FmtCansPerCase,MATCH(F2509,FmtName,0))</f>
        <v/>
      </c>
      <c r="T2509" s="46">
        <f>S2509/INDEX(FmtCansPerPack,MATCH(F2509,FmtName,0))</f>
        <v/>
      </c>
      <c r="U2509" s="47">
        <f>INDEX(ChBaseCP,MATCH(E2509,ChName,0))*(1+INDEX(ProvMod,MATCH(G2509,ProvCode,0)))*(1+PriceIndex)</f>
        <v/>
      </c>
      <c r="V2509" s="47">
        <f>R2509*U2509*INDEX(FmtBlendedPriceIdx,MATCH(F2509,FmtName,0))</f>
        <v/>
      </c>
      <c r="W2509" s="47">
        <f>T2509*INDEX(ProvSRP,MATCH(G2509,ProvCode,0))*(1+PriceIndex)</f>
        <v/>
      </c>
      <c r="X2509" s="47">
        <f>IF(GrossBasis="Wholesale",V2509,W2509)</f>
        <v/>
      </c>
      <c r="Y2509" s="47">
        <f>R2509*INDEX(FmtBlendedCogs,MATCH(F2509,FmtName,0))</f>
        <v/>
      </c>
      <c r="Z2509" s="47">
        <f>X2509-Y2509</f>
        <v/>
      </c>
    </row>
    <row r="2510">
      <c r="A2510" t="n">
        <v>18</v>
      </c>
      <c r="B2510" s="44">
        <f>FiscalStart+(A2510-1)*7</f>
        <v/>
      </c>
      <c r="C2510">
        <f>TEXT(B2510,"mmm yyyy")</f>
        <v/>
      </c>
      <c r="D2510">
        <f>"Q"&amp;(INT((A2510-1)/13)+1)</f>
        <v/>
      </c>
      <c r="E2510" t="inlineStr">
        <is>
          <t>FDM</t>
        </is>
      </c>
      <c r="F2510">
        <f>IFERROR(INDEX(ChFormat,MATCH(E2510,ChName,0)),"")</f>
        <v/>
      </c>
      <c r="G2510" t="inlineStr">
        <is>
          <t>NS</t>
        </is>
      </c>
      <c r="H2510">
        <f>IF(A2510&lt;=NWeeks,1,0)</f>
        <v/>
      </c>
      <c r="I2510">
        <f>INDEX(ChLaunch,MATCH(E2510,ChName,0))</f>
        <v/>
      </c>
      <c r="J2510">
        <f>INDEX(ChWeeksFull,MATCH(E2510,ChName,0))</f>
        <v/>
      </c>
      <c r="K2510">
        <f>INDEX(ChRamp,MATCH(E2510,ChName,0))</f>
        <v/>
      </c>
      <c r="L2510" s="45">
        <f>MIN(1,MAX(0,(A2510-I2510+1)*RampSpeed/J2510))</f>
        <v/>
      </c>
      <c r="M2510" s="45">
        <f>IF(A2510&lt;I2510,0,IF(K2510="S-curve",L2510*L2510*(3-2*L2510),L2510))</f>
        <v/>
      </c>
      <c r="N2510" s="45">
        <f>1+(INDEX(SeasonIdx,A2510)-1)*SeasonAmp</f>
        <v/>
      </c>
      <c r="O2510" s="45">
        <f>IFERROR(INDEX(PSPct,MATCH(E2510&amp;"|"&amp;G2510,PSKey,0)),0)</f>
        <v/>
      </c>
      <c r="P2510" s="46">
        <f>INDEX(ChDoorVel,MATCH(E2510,ChName,0))*CalibScalar*(1+VelocityUplift)</f>
        <v/>
      </c>
      <c r="Q2510" s="46" t="n">
        <v>0</v>
      </c>
      <c r="R2510" s="46">
        <f>P2510*O2510*M2510*N2510*H2510</f>
        <v/>
      </c>
      <c r="S2510" s="46">
        <f>R2510*INDEX(FmtCansPerCase,MATCH(F2510,FmtName,0))</f>
        <v/>
      </c>
      <c r="T2510" s="46">
        <f>S2510/INDEX(FmtCansPerPack,MATCH(F2510,FmtName,0))</f>
        <v/>
      </c>
      <c r="U2510" s="47">
        <f>INDEX(ChBaseCP,MATCH(E2510,ChName,0))*(1+INDEX(ProvMod,MATCH(G2510,ProvCode,0)))*(1+PriceIndex)</f>
        <v/>
      </c>
      <c r="V2510" s="47">
        <f>R2510*U2510*INDEX(FmtBlendedPriceIdx,MATCH(F2510,FmtName,0))</f>
        <v/>
      </c>
      <c r="W2510" s="47">
        <f>T2510*INDEX(ProvSRP,MATCH(G2510,ProvCode,0))*(1+PriceIndex)</f>
        <v/>
      </c>
      <c r="X2510" s="47">
        <f>IF(GrossBasis="Wholesale",V2510,W2510)</f>
        <v/>
      </c>
      <c r="Y2510" s="47">
        <f>R2510*INDEX(FmtBlendedCogs,MATCH(F2510,FmtName,0))</f>
        <v/>
      </c>
      <c r="Z2510" s="47">
        <f>X2510-Y2510</f>
        <v/>
      </c>
    </row>
    <row r="2511">
      <c r="A2511" t="n">
        <v>19</v>
      </c>
      <c r="B2511" s="44">
        <f>FiscalStart+(A2511-1)*7</f>
        <v/>
      </c>
      <c r="C2511">
        <f>TEXT(B2511,"mmm yyyy")</f>
        <v/>
      </c>
      <c r="D2511">
        <f>"Q"&amp;(INT((A2511-1)/13)+1)</f>
        <v/>
      </c>
      <c r="E2511" t="inlineStr">
        <is>
          <t>FDM</t>
        </is>
      </c>
      <c r="F2511">
        <f>IFERROR(INDEX(ChFormat,MATCH(E2511,ChName,0)),"")</f>
        <v/>
      </c>
      <c r="G2511" t="inlineStr">
        <is>
          <t>NS</t>
        </is>
      </c>
      <c r="H2511">
        <f>IF(A2511&lt;=NWeeks,1,0)</f>
        <v/>
      </c>
      <c r="I2511">
        <f>INDEX(ChLaunch,MATCH(E2511,ChName,0))</f>
        <v/>
      </c>
      <c r="J2511">
        <f>INDEX(ChWeeksFull,MATCH(E2511,ChName,0))</f>
        <v/>
      </c>
      <c r="K2511">
        <f>INDEX(ChRamp,MATCH(E2511,ChName,0))</f>
        <v/>
      </c>
      <c r="L2511" s="45">
        <f>MIN(1,MAX(0,(A2511-I2511+1)*RampSpeed/J2511))</f>
        <v/>
      </c>
      <c r="M2511" s="45">
        <f>IF(A2511&lt;I2511,0,IF(K2511="S-curve",L2511*L2511*(3-2*L2511),L2511))</f>
        <v/>
      </c>
      <c r="N2511" s="45">
        <f>1+(INDEX(SeasonIdx,A2511)-1)*SeasonAmp</f>
        <v/>
      </c>
      <c r="O2511" s="45">
        <f>IFERROR(INDEX(PSPct,MATCH(E2511&amp;"|"&amp;G2511,PSKey,0)),0)</f>
        <v/>
      </c>
      <c r="P2511" s="46">
        <f>INDEX(ChDoorVel,MATCH(E2511,ChName,0))*CalibScalar*(1+VelocityUplift)</f>
        <v/>
      </c>
      <c r="Q2511" s="46" t="n">
        <v>0</v>
      </c>
      <c r="R2511" s="46">
        <f>P2511*O2511*M2511*N2511*H2511</f>
        <v/>
      </c>
      <c r="S2511" s="46">
        <f>R2511*INDEX(FmtCansPerCase,MATCH(F2511,FmtName,0))</f>
        <v/>
      </c>
      <c r="T2511" s="46">
        <f>S2511/INDEX(FmtCansPerPack,MATCH(F2511,FmtName,0))</f>
        <v/>
      </c>
      <c r="U2511" s="47">
        <f>INDEX(ChBaseCP,MATCH(E2511,ChName,0))*(1+INDEX(ProvMod,MATCH(G2511,ProvCode,0)))*(1+PriceIndex)</f>
        <v/>
      </c>
      <c r="V2511" s="47">
        <f>R2511*U2511*INDEX(FmtBlendedPriceIdx,MATCH(F2511,FmtName,0))</f>
        <v/>
      </c>
      <c r="W2511" s="47">
        <f>T2511*INDEX(ProvSRP,MATCH(G2511,ProvCode,0))*(1+PriceIndex)</f>
        <v/>
      </c>
      <c r="X2511" s="47">
        <f>IF(GrossBasis="Wholesale",V2511,W2511)</f>
        <v/>
      </c>
      <c r="Y2511" s="47">
        <f>R2511*INDEX(FmtBlendedCogs,MATCH(F2511,FmtName,0))</f>
        <v/>
      </c>
      <c r="Z2511" s="47">
        <f>X2511-Y2511</f>
        <v/>
      </c>
    </row>
    <row r="2512">
      <c r="A2512" t="n">
        <v>20</v>
      </c>
      <c r="B2512" s="44">
        <f>FiscalStart+(A2512-1)*7</f>
        <v/>
      </c>
      <c r="C2512">
        <f>TEXT(B2512,"mmm yyyy")</f>
        <v/>
      </c>
      <c r="D2512">
        <f>"Q"&amp;(INT((A2512-1)/13)+1)</f>
        <v/>
      </c>
      <c r="E2512" t="inlineStr">
        <is>
          <t>FDM</t>
        </is>
      </c>
      <c r="F2512">
        <f>IFERROR(INDEX(ChFormat,MATCH(E2512,ChName,0)),"")</f>
        <v/>
      </c>
      <c r="G2512" t="inlineStr">
        <is>
          <t>NS</t>
        </is>
      </c>
      <c r="H2512">
        <f>IF(A2512&lt;=NWeeks,1,0)</f>
        <v/>
      </c>
      <c r="I2512">
        <f>INDEX(ChLaunch,MATCH(E2512,ChName,0))</f>
        <v/>
      </c>
      <c r="J2512">
        <f>INDEX(ChWeeksFull,MATCH(E2512,ChName,0))</f>
        <v/>
      </c>
      <c r="K2512">
        <f>INDEX(ChRamp,MATCH(E2512,ChName,0))</f>
        <v/>
      </c>
      <c r="L2512" s="45">
        <f>MIN(1,MAX(0,(A2512-I2512+1)*RampSpeed/J2512))</f>
        <v/>
      </c>
      <c r="M2512" s="45">
        <f>IF(A2512&lt;I2512,0,IF(K2512="S-curve",L2512*L2512*(3-2*L2512),L2512))</f>
        <v/>
      </c>
      <c r="N2512" s="45">
        <f>1+(INDEX(SeasonIdx,A2512)-1)*SeasonAmp</f>
        <v/>
      </c>
      <c r="O2512" s="45">
        <f>IFERROR(INDEX(PSPct,MATCH(E2512&amp;"|"&amp;G2512,PSKey,0)),0)</f>
        <v/>
      </c>
      <c r="P2512" s="46">
        <f>INDEX(ChDoorVel,MATCH(E2512,ChName,0))*CalibScalar*(1+VelocityUplift)</f>
        <v/>
      </c>
      <c r="Q2512" s="46" t="n">
        <v>0</v>
      </c>
      <c r="R2512" s="46">
        <f>P2512*O2512*M2512*N2512*H2512</f>
        <v/>
      </c>
      <c r="S2512" s="46">
        <f>R2512*INDEX(FmtCansPerCase,MATCH(F2512,FmtName,0))</f>
        <v/>
      </c>
      <c r="T2512" s="46">
        <f>S2512/INDEX(FmtCansPerPack,MATCH(F2512,FmtName,0))</f>
        <v/>
      </c>
      <c r="U2512" s="47">
        <f>INDEX(ChBaseCP,MATCH(E2512,ChName,0))*(1+INDEX(ProvMod,MATCH(G2512,ProvCode,0)))*(1+PriceIndex)</f>
        <v/>
      </c>
      <c r="V2512" s="47">
        <f>R2512*U2512*INDEX(FmtBlendedPriceIdx,MATCH(F2512,FmtName,0))</f>
        <v/>
      </c>
      <c r="W2512" s="47">
        <f>T2512*INDEX(ProvSRP,MATCH(G2512,ProvCode,0))*(1+PriceIndex)</f>
        <v/>
      </c>
      <c r="X2512" s="47">
        <f>IF(GrossBasis="Wholesale",V2512,W2512)</f>
        <v/>
      </c>
      <c r="Y2512" s="47">
        <f>R2512*INDEX(FmtBlendedCogs,MATCH(F2512,FmtName,0))</f>
        <v/>
      </c>
      <c r="Z2512" s="47">
        <f>X2512-Y2512</f>
        <v/>
      </c>
    </row>
    <row r="2513">
      <c r="A2513" t="n">
        <v>21</v>
      </c>
      <c r="B2513" s="44">
        <f>FiscalStart+(A2513-1)*7</f>
        <v/>
      </c>
      <c r="C2513">
        <f>TEXT(B2513,"mmm yyyy")</f>
        <v/>
      </c>
      <c r="D2513">
        <f>"Q"&amp;(INT((A2513-1)/13)+1)</f>
        <v/>
      </c>
      <c r="E2513" t="inlineStr">
        <is>
          <t>FDM</t>
        </is>
      </c>
      <c r="F2513">
        <f>IFERROR(INDEX(ChFormat,MATCH(E2513,ChName,0)),"")</f>
        <v/>
      </c>
      <c r="G2513" t="inlineStr">
        <is>
          <t>NS</t>
        </is>
      </c>
      <c r="H2513">
        <f>IF(A2513&lt;=NWeeks,1,0)</f>
        <v/>
      </c>
      <c r="I2513">
        <f>INDEX(ChLaunch,MATCH(E2513,ChName,0))</f>
        <v/>
      </c>
      <c r="J2513">
        <f>INDEX(ChWeeksFull,MATCH(E2513,ChName,0))</f>
        <v/>
      </c>
      <c r="K2513">
        <f>INDEX(ChRamp,MATCH(E2513,ChName,0))</f>
        <v/>
      </c>
      <c r="L2513" s="45">
        <f>MIN(1,MAX(0,(A2513-I2513+1)*RampSpeed/J2513))</f>
        <v/>
      </c>
      <c r="M2513" s="45">
        <f>IF(A2513&lt;I2513,0,IF(K2513="S-curve",L2513*L2513*(3-2*L2513),L2513))</f>
        <v/>
      </c>
      <c r="N2513" s="45">
        <f>1+(INDEX(SeasonIdx,A2513)-1)*SeasonAmp</f>
        <v/>
      </c>
      <c r="O2513" s="45">
        <f>IFERROR(INDEX(PSPct,MATCH(E2513&amp;"|"&amp;G2513,PSKey,0)),0)</f>
        <v/>
      </c>
      <c r="P2513" s="46">
        <f>INDEX(ChDoorVel,MATCH(E2513,ChName,0))*CalibScalar*(1+VelocityUplift)</f>
        <v/>
      </c>
      <c r="Q2513" s="46" t="n">
        <v>0</v>
      </c>
      <c r="R2513" s="46">
        <f>P2513*O2513*M2513*N2513*H2513</f>
        <v/>
      </c>
      <c r="S2513" s="46">
        <f>R2513*INDEX(FmtCansPerCase,MATCH(F2513,FmtName,0))</f>
        <v/>
      </c>
      <c r="T2513" s="46">
        <f>S2513/INDEX(FmtCansPerPack,MATCH(F2513,FmtName,0))</f>
        <v/>
      </c>
      <c r="U2513" s="47">
        <f>INDEX(ChBaseCP,MATCH(E2513,ChName,0))*(1+INDEX(ProvMod,MATCH(G2513,ProvCode,0)))*(1+PriceIndex)</f>
        <v/>
      </c>
      <c r="V2513" s="47">
        <f>R2513*U2513*INDEX(FmtBlendedPriceIdx,MATCH(F2513,FmtName,0))</f>
        <v/>
      </c>
      <c r="W2513" s="47">
        <f>T2513*INDEX(ProvSRP,MATCH(G2513,ProvCode,0))*(1+PriceIndex)</f>
        <v/>
      </c>
      <c r="X2513" s="47">
        <f>IF(GrossBasis="Wholesale",V2513,W2513)</f>
        <v/>
      </c>
      <c r="Y2513" s="47">
        <f>R2513*INDEX(FmtBlendedCogs,MATCH(F2513,FmtName,0))</f>
        <v/>
      </c>
      <c r="Z2513" s="47">
        <f>X2513-Y2513</f>
        <v/>
      </c>
    </row>
    <row r="2514">
      <c r="A2514" t="n">
        <v>22</v>
      </c>
      <c r="B2514" s="44">
        <f>FiscalStart+(A2514-1)*7</f>
        <v/>
      </c>
      <c r="C2514">
        <f>TEXT(B2514,"mmm yyyy")</f>
        <v/>
      </c>
      <c r="D2514">
        <f>"Q"&amp;(INT((A2514-1)/13)+1)</f>
        <v/>
      </c>
      <c r="E2514" t="inlineStr">
        <is>
          <t>FDM</t>
        </is>
      </c>
      <c r="F2514">
        <f>IFERROR(INDEX(ChFormat,MATCH(E2514,ChName,0)),"")</f>
        <v/>
      </c>
      <c r="G2514" t="inlineStr">
        <is>
          <t>NS</t>
        </is>
      </c>
      <c r="H2514">
        <f>IF(A2514&lt;=NWeeks,1,0)</f>
        <v/>
      </c>
      <c r="I2514">
        <f>INDEX(ChLaunch,MATCH(E2514,ChName,0))</f>
        <v/>
      </c>
      <c r="J2514">
        <f>INDEX(ChWeeksFull,MATCH(E2514,ChName,0))</f>
        <v/>
      </c>
      <c r="K2514">
        <f>INDEX(ChRamp,MATCH(E2514,ChName,0))</f>
        <v/>
      </c>
      <c r="L2514" s="45">
        <f>MIN(1,MAX(0,(A2514-I2514+1)*RampSpeed/J2514))</f>
        <v/>
      </c>
      <c r="M2514" s="45">
        <f>IF(A2514&lt;I2514,0,IF(K2514="S-curve",L2514*L2514*(3-2*L2514),L2514))</f>
        <v/>
      </c>
      <c r="N2514" s="45">
        <f>1+(INDEX(SeasonIdx,A2514)-1)*SeasonAmp</f>
        <v/>
      </c>
      <c r="O2514" s="45">
        <f>IFERROR(INDEX(PSPct,MATCH(E2514&amp;"|"&amp;G2514,PSKey,0)),0)</f>
        <v/>
      </c>
      <c r="P2514" s="46">
        <f>INDEX(ChDoorVel,MATCH(E2514,ChName,0))*CalibScalar*(1+VelocityUplift)</f>
        <v/>
      </c>
      <c r="Q2514" s="46" t="n">
        <v>0</v>
      </c>
      <c r="R2514" s="46">
        <f>P2514*O2514*M2514*N2514*H2514</f>
        <v/>
      </c>
      <c r="S2514" s="46">
        <f>R2514*INDEX(FmtCansPerCase,MATCH(F2514,FmtName,0))</f>
        <v/>
      </c>
      <c r="T2514" s="46">
        <f>S2514/INDEX(FmtCansPerPack,MATCH(F2514,FmtName,0))</f>
        <v/>
      </c>
      <c r="U2514" s="47">
        <f>INDEX(ChBaseCP,MATCH(E2514,ChName,0))*(1+INDEX(ProvMod,MATCH(G2514,ProvCode,0)))*(1+PriceIndex)</f>
        <v/>
      </c>
      <c r="V2514" s="47">
        <f>R2514*U2514*INDEX(FmtBlendedPriceIdx,MATCH(F2514,FmtName,0))</f>
        <v/>
      </c>
      <c r="W2514" s="47">
        <f>T2514*INDEX(ProvSRP,MATCH(G2514,ProvCode,0))*(1+PriceIndex)</f>
        <v/>
      </c>
      <c r="X2514" s="47">
        <f>IF(GrossBasis="Wholesale",V2514,W2514)</f>
        <v/>
      </c>
      <c r="Y2514" s="47">
        <f>R2514*INDEX(FmtBlendedCogs,MATCH(F2514,FmtName,0))</f>
        <v/>
      </c>
      <c r="Z2514" s="47">
        <f>X2514-Y2514</f>
        <v/>
      </c>
    </row>
    <row r="2515">
      <c r="A2515" t="n">
        <v>23</v>
      </c>
      <c r="B2515" s="44">
        <f>FiscalStart+(A2515-1)*7</f>
        <v/>
      </c>
      <c r="C2515">
        <f>TEXT(B2515,"mmm yyyy")</f>
        <v/>
      </c>
      <c r="D2515">
        <f>"Q"&amp;(INT((A2515-1)/13)+1)</f>
        <v/>
      </c>
      <c r="E2515" t="inlineStr">
        <is>
          <t>FDM</t>
        </is>
      </c>
      <c r="F2515">
        <f>IFERROR(INDEX(ChFormat,MATCH(E2515,ChName,0)),"")</f>
        <v/>
      </c>
      <c r="G2515" t="inlineStr">
        <is>
          <t>NS</t>
        </is>
      </c>
      <c r="H2515">
        <f>IF(A2515&lt;=NWeeks,1,0)</f>
        <v/>
      </c>
      <c r="I2515">
        <f>INDEX(ChLaunch,MATCH(E2515,ChName,0))</f>
        <v/>
      </c>
      <c r="J2515">
        <f>INDEX(ChWeeksFull,MATCH(E2515,ChName,0))</f>
        <v/>
      </c>
      <c r="K2515">
        <f>INDEX(ChRamp,MATCH(E2515,ChName,0))</f>
        <v/>
      </c>
      <c r="L2515" s="45">
        <f>MIN(1,MAX(0,(A2515-I2515+1)*RampSpeed/J2515))</f>
        <v/>
      </c>
      <c r="M2515" s="45">
        <f>IF(A2515&lt;I2515,0,IF(K2515="S-curve",L2515*L2515*(3-2*L2515),L2515))</f>
        <v/>
      </c>
      <c r="N2515" s="45">
        <f>1+(INDEX(SeasonIdx,A2515)-1)*SeasonAmp</f>
        <v/>
      </c>
      <c r="O2515" s="45">
        <f>IFERROR(INDEX(PSPct,MATCH(E2515&amp;"|"&amp;G2515,PSKey,0)),0)</f>
        <v/>
      </c>
      <c r="P2515" s="46">
        <f>INDEX(ChDoorVel,MATCH(E2515,ChName,0))*CalibScalar*(1+VelocityUplift)</f>
        <v/>
      </c>
      <c r="Q2515" s="46" t="n">
        <v>0</v>
      </c>
      <c r="R2515" s="46">
        <f>P2515*O2515*M2515*N2515*H2515</f>
        <v/>
      </c>
      <c r="S2515" s="46">
        <f>R2515*INDEX(FmtCansPerCase,MATCH(F2515,FmtName,0))</f>
        <v/>
      </c>
      <c r="T2515" s="46">
        <f>S2515/INDEX(FmtCansPerPack,MATCH(F2515,FmtName,0))</f>
        <v/>
      </c>
      <c r="U2515" s="47">
        <f>INDEX(ChBaseCP,MATCH(E2515,ChName,0))*(1+INDEX(ProvMod,MATCH(G2515,ProvCode,0)))*(1+PriceIndex)</f>
        <v/>
      </c>
      <c r="V2515" s="47">
        <f>R2515*U2515*INDEX(FmtBlendedPriceIdx,MATCH(F2515,FmtName,0))</f>
        <v/>
      </c>
      <c r="W2515" s="47">
        <f>T2515*INDEX(ProvSRP,MATCH(G2515,ProvCode,0))*(1+PriceIndex)</f>
        <v/>
      </c>
      <c r="X2515" s="47">
        <f>IF(GrossBasis="Wholesale",V2515,W2515)</f>
        <v/>
      </c>
      <c r="Y2515" s="47">
        <f>R2515*INDEX(FmtBlendedCogs,MATCH(F2515,FmtName,0))</f>
        <v/>
      </c>
      <c r="Z2515" s="47">
        <f>X2515-Y2515</f>
        <v/>
      </c>
    </row>
    <row r="2516">
      <c r="A2516" t="n">
        <v>24</v>
      </c>
      <c r="B2516" s="44">
        <f>FiscalStart+(A2516-1)*7</f>
        <v/>
      </c>
      <c r="C2516">
        <f>TEXT(B2516,"mmm yyyy")</f>
        <v/>
      </c>
      <c r="D2516">
        <f>"Q"&amp;(INT((A2516-1)/13)+1)</f>
        <v/>
      </c>
      <c r="E2516" t="inlineStr">
        <is>
          <t>FDM</t>
        </is>
      </c>
      <c r="F2516">
        <f>IFERROR(INDEX(ChFormat,MATCH(E2516,ChName,0)),"")</f>
        <v/>
      </c>
      <c r="G2516" t="inlineStr">
        <is>
          <t>NS</t>
        </is>
      </c>
      <c r="H2516">
        <f>IF(A2516&lt;=NWeeks,1,0)</f>
        <v/>
      </c>
      <c r="I2516">
        <f>INDEX(ChLaunch,MATCH(E2516,ChName,0))</f>
        <v/>
      </c>
      <c r="J2516">
        <f>INDEX(ChWeeksFull,MATCH(E2516,ChName,0))</f>
        <v/>
      </c>
      <c r="K2516">
        <f>INDEX(ChRamp,MATCH(E2516,ChName,0))</f>
        <v/>
      </c>
      <c r="L2516" s="45">
        <f>MIN(1,MAX(0,(A2516-I2516+1)*RampSpeed/J2516))</f>
        <v/>
      </c>
      <c r="M2516" s="45">
        <f>IF(A2516&lt;I2516,0,IF(K2516="S-curve",L2516*L2516*(3-2*L2516),L2516))</f>
        <v/>
      </c>
      <c r="N2516" s="45">
        <f>1+(INDEX(SeasonIdx,A2516)-1)*SeasonAmp</f>
        <v/>
      </c>
      <c r="O2516" s="45">
        <f>IFERROR(INDEX(PSPct,MATCH(E2516&amp;"|"&amp;G2516,PSKey,0)),0)</f>
        <v/>
      </c>
      <c r="P2516" s="46">
        <f>INDEX(ChDoorVel,MATCH(E2516,ChName,0))*CalibScalar*(1+VelocityUplift)</f>
        <v/>
      </c>
      <c r="Q2516" s="46" t="n">
        <v>0</v>
      </c>
      <c r="R2516" s="46">
        <f>P2516*O2516*M2516*N2516*H2516</f>
        <v/>
      </c>
      <c r="S2516" s="46">
        <f>R2516*INDEX(FmtCansPerCase,MATCH(F2516,FmtName,0))</f>
        <v/>
      </c>
      <c r="T2516" s="46">
        <f>S2516/INDEX(FmtCansPerPack,MATCH(F2516,FmtName,0))</f>
        <v/>
      </c>
      <c r="U2516" s="47">
        <f>INDEX(ChBaseCP,MATCH(E2516,ChName,0))*(1+INDEX(ProvMod,MATCH(G2516,ProvCode,0)))*(1+PriceIndex)</f>
        <v/>
      </c>
      <c r="V2516" s="47">
        <f>R2516*U2516*INDEX(FmtBlendedPriceIdx,MATCH(F2516,FmtName,0))</f>
        <v/>
      </c>
      <c r="W2516" s="47">
        <f>T2516*INDEX(ProvSRP,MATCH(G2516,ProvCode,0))*(1+PriceIndex)</f>
        <v/>
      </c>
      <c r="X2516" s="47">
        <f>IF(GrossBasis="Wholesale",V2516,W2516)</f>
        <v/>
      </c>
      <c r="Y2516" s="47">
        <f>R2516*INDEX(FmtBlendedCogs,MATCH(F2516,FmtName,0))</f>
        <v/>
      </c>
      <c r="Z2516" s="47">
        <f>X2516-Y2516</f>
        <v/>
      </c>
    </row>
    <row r="2517">
      <c r="A2517" t="n">
        <v>25</v>
      </c>
      <c r="B2517" s="44">
        <f>FiscalStart+(A2517-1)*7</f>
        <v/>
      </c>
      <c r="C2517">
        <f>TEXT(B2517,"mmm yyyy")</f>
        <v/>
      </c>
      <c r="D2517">
        <f>"Q"&amp;(INT((A2517-1)/13)+1)</f>
        <v/>
      </c>
      <c r="E2517" t="inlineStr">
        <is>
          <t>FDM</t>
        </is>
      </c>
      <c r="F2517">
        <f>IFERROR(INDEX(ChFormat,MATCH(E2517,ChName,0)),"")</f>
        <v/>
      </c>
      <c r="G2517" t="inlineStr">
        <is>
          <t>NS</t>
        </is>
      </c>
      <c r="H2517">
        <f>IF(A2517&lt;=NWeeks,1,0)</f>
        <v/>
      </c>
      <c r="I2517">
        <f>INDEX(ChLaunch,MATCH(E2517,ChName,0))</f>
        <v/>
      </c>
      <c r="J2517">
        <f>INDEX(ChWeeksFull,MATCH(E2517,ChName,0))</f>
        <v/>
      </c>
      <c r="K2517">
        <f>INDEX(ChRamp,MATCH(E2517,ChName,0))</f>
        <v/>
      </c>
      <c r="L2517" s="45">
        <f>MIN(1,MAX(0,(A2517-I2517+1)*RampSpeed/J2517))</f>
        <v/>
      </c>
      <c r="M2517" s="45">
        <f>IF(A2517&lt;I2517,0,IF(K2517="S-curve",L2517*L2517*(3-2*L2517),L2517))</f>
        <v/>
      </c>
      <c r="N2517" s="45">
        <f>1+(INDEX(SeasonIdx,A2517)-1)*SeasonAmp</f>
        <v/>
      </c>
      <c r="O2517" s="45">
        <f>IFERROR(INDEX(PSPct,MATCH(E2517&amp;"|"&amp;G2517,PSKey,0)),0)</f>
        <v/>
      </c>
      <c r="P2517" s="46">
        <f>INDEX(ChDoorVel,MATCH(E2517,ChName,0))*CalibScalar*(1+VelocityUplift)</f>
        <v/>
      </c>
      <c r="Q2517" s="46" t="n">
        <v>0</v>
      </c>
      <c r="R2517" s="46">
        <f>P2517*O2517*M2517*N2517*H2517</f>
        <v/>
      </c>
      <c r="S2517" s="46">
        <f>R2517*INDEX(FmtCansPerCase,MATCH(F2517,FmtName,0))</f>
        <v/>
      </c>
      <c r="T2517" s="46">
        <f>S2517/INDEX(FmtCansPerPack,MATCH(F2517,FmtName,0))</f>
        <v/>
      </c>
      <c r="U2517" s="47">
        <f>INDEX(ChBaseCP,MATCH(E2517,ChName,0))*(1+INDEX(ProvMod,MATCH(G2517,ProvCode,0)))*(1+PriceIndex)</f>
        <v/>
      </c>
      <c r="V2517" s="47">
        <f>R2517*U2517*INDEX(FmtBlendedPriceIdx,MATCH(F2517,FmtName,0))</f>
        <v/>
      </c>
      <c r="W2517" s="47">
        <f>T2517*INDEX(ProvSRP,MATCH(G2517,ProvCode,0))*(1+PriceIndex)</f>
        <v/>
      </c>
      <c r="X2517" s="47">
        <f>IF(GrossBasis="Wholesale",V2517,W2517)</f>
        <v/>
      </c>
      <c r="Y2517" s="47">
        <f>R2517*INDEX(FmtBlendedCogs,MATCH(F2517,FmtName,0))</f>
        <v/>
      </c>
      <c r="Z2517" s="47">
        <f>X2517-Y2517</f>
        <v/>
      </c>
    </row>
    <row r="2518">
      <c r="A2518" t="n">
        <v>26</v>
      </c>
      <c r="B2518" s="44">
        <f>FiscalStart+(A2518-1)*7</f>
        <v/>
      </c>
      <c r="C2518">
        <f>TEXT(B2518,"mmm yyyy")</f>
        <v/>
      </c>
      <c r="D2518">
        <f>"Q"&amp;(INT((A2518-1)/13)+1)</f>
        <v/>
      </c>
      <c r="E2518" t="inlineStr">
        <is>
          <t>FDM</t>
        </is>
      </c>
      <c r="F2518">
        <f>IFERROR(INDEX(ChFormat,MATCH(E2518,ChName,0)),"")</f>
        <v/>
      </c>
      <c r="G2518" t="inlineStr">
        <is>
          <t>NS</t>
        </is>
      </c>
      <c r="H2518">
        <f>IF(A2518&lt;=NWeeks,1,0)</f>
        <v/>
      </c>
      <c r="I2518">
        <f>INDEX(ChLaunch,MATCH(E2518,ChName,0))</f>
        <v/>
      </c>
      <c r="J2518">
        <f>INDEX(ChWeeksFull,MATCH(E2518,ChName,0))</f>
        <v/>
      </c>
      <c r="K2518">
        <f>INDEX(ChRamp,MATCH(E2518,ChName,0))</f>
        <v/>
      </c>
      <c r="L2518" s="45">
        <f>MIN(1,MAX(0,(A2518-I2518+1)*RampSpeed/J2518))</f>
        <v/>
      </c>
      <c r="M2518" s="45">
        <f>IF(A2518&lt;I2518,0,IF(K2518="S-curve",L2518*L2518*(3-2*L2518),L2518))</f>
        <v/>
      </c>
      <c r="N2518" s="45">
        <f>1+(INDEX(SeasonIdx,A2518)-1)*SeasonAmp</f>
        <v/>
      </c>
      <c r="O2518" s="45">
        <f>IFERROR(INDEX(PSPct,MATCH(E2518&amp;"|"&amp;G2518,PSKey,0)),0)</f>
        <v/>
      </c>
      <c r="P2518" s="46">
        <f>INDEX(ChDoorVel,MATCH(E2518,ChName,0))*CalibScalar*(1+VelocityUplift)</f>
        <v/>
      </c>
      <c r="Q2518" s="46" t="n">
        <v>0</v>
      </c>
      <c r="R2518" s="46">
        <f>P2518*O2518*M2518*N2518*H2518</f>
        <v/>
      </c>
      <c r="S2518" s="46">
        <f>R2518*INDEX(FmtCansPerCase,MATCH(F2518,FmtName,0))</f>
        <v/>
      </c>
      <c r="T2518" s="46">
        <f>S2518/INDEX(FmtCansPerPack,MATCH(F2518,FmtName,0))</f>
        <v/>
      </c>
      <c r="U2518" s="47">
        <f>INDEX(ChBaseCP,MATCH(E2518,ChName,0))*(1+INDEX(ProvMod,MATCH(G2518,ProvCode,0)))*(1+PriceIndex)</f>
        <v/>
      </c>
      <c r="V2518" s="47">
        <f>R2518*U2518*INDEX(FmtBlendedPriceIdx,MATCH(F2518,FmtName,0))</f>
        <v/>
      </c>
      <c r="W2518" s="47">
        <f>T2518*INDEX(ProvSRP,MATCH(G2518,ProvCode,0))*(1+PriceIndex)</f>
        <v/>
      </c>
      <c r="X2518" s="47">
        <f>IF(GrossBasis="Wholesale",V2518,W2518)</f>
        <v/>
      </c>
      <c r="Y2518" s="47">
        <f>R2518*INDEX(FmtBlendedCogs,MATCH(F2518,FmtName,0))</f>
        <v/>
      </c>
      <c r="Z2518" s="47">
        <f>X2518-Y2518</f>
        <v/>
      </c>
    </row>
    <row r="2519">
      <c r="A2519" t="n">
        <v>27</v>
      </c>
      <c r="B2519" s="44">
        <f>FiscalStart+(A2519-1)*7</f>
        <v/>
      </c>
      <c r="C2519">
        <f>TEXT(B2519,"mmm yyyy")</f>
        <v/>
      </c>
      <c r="D2519">
        <f>"Q"&amp;(INT((A2519-1)/13)+1)</f>
        <v/>
      </c>
      <c r="E2519" t="inlineStr">
        <is>
          <t>FDM</t>
        </is>
      </c>
      <c r="F2519">
        <f>IFERROR(INDEX(ChFormat,MATCH(E2519,ChName,0)),"")</f>
        <v/>
      </c>
      <c r="G2519" t="inlineStr">
        <is>
          <t>NS</t>
        </is>
      </c>
      <c r="H2519">
        <f>IF(A2519&lt;=NWeeks,1,0)</f>
        <v/>
      </c>
      <c r="I2519">
        <f>INDEX(ChLaunch,MATCH(E2519,ChName,0))</f>
        <v/>
      </c>
      <c r="J2519">
        <f>INDEX(ChWeeksFull,MATCH(E2519,ChName,0))</f>
        <v/>
      </c>
      <c r="K2519">
        <f>INDEX(ChRamp,MATCH(E2519,ChName,0))</f>
        <v/>
      </c>
      <c r="L2519" s="45">
        <f>MIN(1,MAX(0,(A2519-I2519+1)*RampSpeed/J2519))</f>
        <v/>
      </c>
      <c r="M2519" s="45">
        <f>IF(A2519&lt;I2519,0,IF(K2519="S-curve",L2519*L2519*(3-2*L2519),L2519))</f>
        <v/>
      </c>
      <c r="N2519" s="45">
        <f>1+(INDEX(SeasonIdx,A2519)-1)*SeasonAmp</f>
        <v/>
      </c>
      <c r="O2519" s="45">
        <f>IFERROR(INDEX(PSPct,MATCH(E2519&amp;"|"&amp;G2519,PSKey,0)),0)</f>
        <v/>
      </c>
      <c r="P2519" s="46">
        <f>INDEX(ChDoorVel,MATCH(E2519,ChName,0))*CalibScalar*(1+VelocityUplift)</f>
        <v/>
      </c>
      <c r="Q2519" s="46" t="n">
        <v>0</v>
      </c>
      <c r="R2519" s="46">
        <f>P2519*O2519*M2519*N2519*H2519</f>
        <v/>
      </c>
      <c r="S2519" s="46">
        <f>R2519*INDEX(FmtCansPerCase,MATCH(F2519,FmtName,0))</f>
        <v/>
      </c>
      <c r="T2519" s="46">
        <f>S2519/INDEX(FmtCansPerPack,MATCH(F2519,FmtName,0))</f>
        <v/>
      </c>
      <c r="U2519" s="47">
        <f>INDEX(ChBaseCP,MATCH(E2519,ChName,0))*(1+INDEX(ProvMod,MATCH(G2519,ProvCode,0)))*(1+PriceIndex)</f>
        <v/>
      </c>
      <c r="V2519" s="47">
        <f>R2519*U2519*INDEX(FmtBlendedPriceIdx,MATCH(F2519,FmtName,0))</f>
        <v/>
      </c>
      <c r="W2519" s="47">
        <f>T2519*INDEX(ProvSRP,MATCH(G2519,ProvCode,0))*(1+PriceIndex)</f>
        <v/>
      </c>
      <c r="X2519" s="47">
        <f>IF(GrossBasis="Wholesale",V2519,W2519)</f>
        <v/>
      </c>
      <c r="Y2519" s="47">
        <f>R2519*INDEX(FmtBlendedCogs,MATCH(F2519,FmtName,0))</f>
        <v/>
      </c>
      <c r="Z2519" s="47">
        <f>X2519-Y2519</f>
        <v/>
      </c>
    </row>
    <row r="2520">
      <c r="A2520" t="n">
        <v>28</v>
      </c>
      <c r="B2520" s="44">
        <f>FiscalStart+(A2520-1)*7</f>
        <v/>
      </c>
      <c r="C2520">
        <f>TEXT(B2520,"mmm yyyy")</f>
        <v/>
      </c>
      <c r="D2520">
        <f>"Q"&amp;(INT((A2520-1)/13)+1)</f>
        <v/>
      </c>
      <c r="E2520" t="inlineStr">
        <is>
          <t>FDM</t>
        </is>
      </c>
      <c r="F2520">
        <f>IFERROR(INDEX(ChFormat,MATCH(E2520,ChName,0)),"")</f>
        <v/>
      </c>
      <c r="G2520" t="inlineStr">
        <is>
          <t>NS</t>
        </is>
      </c>
      <c r="H2520">
        <f>IF(A2520&lt;=NWeeks,1,0)</f>
        <v/>
      </c>
      <c r="I2520">
        <f>INDEX(ChLaunch,MATCH(E2520,ChName,0))</f>
        <v/>
      </c>
      <c r="J2520">
        <f>INDEX(ChWeeksFull,MATCH(E2520,ChName,0))</f>
        <v/>
      </c>
      <c r="K2520">
        <f>INDEX(ChRamp,MATCH(E2520,ChName,0))</f>
        <v/>
      </c>
      <c r="L2520" s="45">
        <f>MIN(1,MAX(0,(A2520-I2520+1)*RampSpeed/J2520))</f>
        <v/>
      </c>
      <c r="M2520" s="45">
        <f>IF(A2520&lt;I2520,0,IF(K2520="S-curve",L2520*L2520*(3-2*L2520),L2520))</f>
        <v/>
      </c>
      <c r="N2520" s="45">
        <f>1+(INDEX(SeasonIdx,A2520)-1)*SeasonAmp</f>
        <v/>
      </c>
      <c r="O2520" s="45">
        <f>IFERROR(INDEX(PSPct,MATCH(E2520&amp;"|"&amp;G2520,PSKey,0)),0)</f>
        <v/>
      </c>
      <c r="P2520" s="46">
        <f>INDEX(ChDoorVel,MATCH(E2520,ChName,0))*CalibScalar*(1+VelocityUplift)</f>
        <v/>
      </c>
      <c r="Q2520" s="46" t="n">
        <v>0</v>
      </c>
      <c r="R2520" s="46">
        <f>P2520*O2520*M2520*N2520*H2520</f>
        <v/>
      </c>
      <c r="S2520" s="46">
        <f>R2520*INDEX(FmtCansPerCase,MATCH(F2520,FmtName,0))</f>
        <v/>
      </c>
      <c r="T2520" s="46">
        <f>S2520/INDEX(FmtCansPerPack,MATCH(F2520,FmtName,0))</f>
        <v/>
      </c>
      <c r="U2520" s="47">
        <f>INDEX(ChBaseCP,MATCH(E2520,ChName,0))*(1+INDEX(ProvMod,MATCH(G2520,ProvCode,0)))*(1+PriceIndex)</f>
        <v/>
      </c>
      <c r="V2520" s="47">
        <f>R2520*U2520*INDEX(FmtBlendedPriceIdx,MATCH(F2520,FmtName,0))</f>
        <v/>
      </c>
      <c r="W2520" s="47">
        <f>T2520*INDEX(ProvSRP,MATCH(G2520,ProvCode,0))*(1+PriceIndex)</f>
        <v/>
      </c>
      <c r="X2520" s="47">
        <f>IF(GrossBasis="Wholesale",V2520,W2520)</f>
        <v/>
      </c>
      <c r="Y2520" s="47">
        <f>R2520*INDEX(FmtBlendedCogs,MATCH(F2520,FmtName,0))</f>
        <v/>
      </c>
      <c r="Z2520" s="47">
        <f>X2520-Y2520</f>
        <v/>
      </c>
    </row>
    <row r="2521">
      <c r="A2521" t="n">
        <v>29</v>
      </c>
      <c r="B2521" s="44">
        <f>FiscalStart+(A2521-1)*7</f>
        <v/>
      </c>
      <c r="C2521">
        <f>TEXT(B2521,"mmm yyyy")</f>
        <v/>
      </c>
      <c r="D2521">
        <f>"Q"&amp;(INT((A2521-1)/13)+1)</f>
        <v/>
      </c>
      <c r="E2521" t="inlineStr">
        <is>
          <t>FDM</t>
        </is>
      </c>
      <c r="F2521">
        <f>IFERROR(INDEX(ChFormat,MATCH(E2521,ChName,0)),"")</f>
        <v/>
      </c>
      <c r="G2521" t="inlineStr">
        <is>
          <t>NS</t>
        </is>
      </c>
      <c r="H2521">
        <f>IF(A2521&lt;=NWeeks,1,0)</f>
        <v/>
      </c>
      <c r="I2521">
        <f>INDEX(ChLaunch,MATCH(E2521,ChName,0))</f>
        <v/>
      </c>
      <c r="J2521">
        <f>INDEX(ChWeeksFull,MATCH(E2521,ChName,0))</f>
        <v/>
      </c>
      <c r="K2521">
        <f>INDEX(ChRamp,MATCH(E2521,ChName,0))</f>
        <v/>
      </c>
      <c r="L2521" s="45">
        <f>MIN(1,MAX(0,(A2521-I2521+1)*RampSpeed/J2521))</f>
        <v/>
      </c>
      <c r="M2521" s="45">
        <f>IF(A2521&lt;I2521,0,IF(K2521="S-curve",L2521*L2521*(3-2*L2521),L2521))</f>
        <v/>
      </c>
      <c r="N2521" s="45">
        <f>1+(INDEX(SeasonIdx,A2521)-1)*SeasonAmp</f>
        <v/>
      </c>
      <c r="O2521" s="45">
        <f>IFERROR(INDEX(PSPct,MATCH(E2521&amp;"|"&amp;G2521,PSKey,0)),0)</f>
        <v/>
      </c>
      <c r="P2521" s="46">
        <f>INDEX(ChDoorVel,MATCH(E2521,ChName,0))*CalibScalar*(1+VelocityUplift)</f>
        <v/>
      </c>
      <c r="Q2521" s="46" t="n">
        <v>0</v>
      </c>
      <c r="R2521" s="46">
        <f>P2521*O2521*M2521*N2521*H2521</f>
        <v/>
      </c>
      <c r="S2521" s="46">
        <f>R2521*INDEX(FmtCansPerCase,MATCH(F2521,FmtName,0))</f>
        <v/>
      </c>
      <c r="T2521" s="46">
        <f>S2521/INDEX(FmtCansPerPack,MATCH(F2521,FmtName,0))</f>
        <v/>
      </c>
      <c r="U2521" s="47">
        <f>INDEX(ChBaseCP,MATCH(E2521,ChName,0))*(1+INDEX(ProvMod,MATCH(G2521,ProvCode,0)))*(1+PriceIndex)</f>
        <v/>
      </c>
      <c r="V2521" s="47">
        <f>R2521*U2521*INDEX(FmtBlendedPriceIdx,MATCH(F2521,FmtName,0))</f>
        <v/>
      </c>
      <c r="W2521" s="47">
        <f>T2521*INDEX(ProvSRP,MATCH(G2521,ProvCode,0))*(1+PriceIndex)</f>
        <v/>
      </c>
      <c r="X2521" s="47">
        <f>IF(GrossBasis="Wholesale",V2521,W2521)</f>
        <v/>
      </c>
      <c r="Y2521" s="47">
        <f>R2521*INDEX(FmtBlendedCogs,MATCH(F2521,FmtName,0))</f>
        <v/>
      </c>
      <c r="Z2521" s="47">
        <f>X2521-Y2521</f>
        <v/>
      </c>
    </row>
    <row r="2522">
      <c r="A2522" t="n">
        <v>30</v>
      </c>
      <c r="B2522" s="44">
        <f>FiscalStart+(A2522-1)*7</f>
        <v/>
      </c>
      <c r="C2522">
        <f>TEXT(B2522,"mmm yyyy")</f>
        <v/>
      </c>
      <c r="D2522">
        <f>"Q"&amp;(INT((A2522-1)/13)+1)</f>
        <v/>
      </c>
      <c r="E2522" t="inlineStr">
        <is>
          <t>FDM</t>
        </is>
      </c>
      <c r="F2522">
        <f>IFERROR(INDEX(ChFormat,MATCH(E2522,ChName,0)),"")</f>
        <v/>
      </c>
      <c r="G2522" t="inlineStr">
        <is>
          <t>NS</t>
        </is>
      </c>
      <c r="H2522">
        <f>IF(A2522&lt;=NWeeks,1,0)</f>
        <v/>
      </c>
      <c r="I2522">
        <f>INDEX(ChLaunch,MATCH(E2522,ChName,0))</f>
        <v/>
      </c>
      <c r="J2522">
        <f>INDEX(ChWeeksFull,MATCH(E2522,ChName,0))</f>
        <v/>
      </c>
      <c r="K2522">
        <f>INDEX(ChRamp,MATCH(E2522,ChName,0))</f>
        <v/>
      </c>
      <c r="L2522" s="45">
        <f>MIN(1,MAX(0,(A2522-I2522+1)*RampSpeed/J2522))</f>
        <v/>
      </c>
      <c r="M2522" s="45">
        <f>IF(A2522&lt;I2522,0,IF(K2522="S-curve",L2522*L2522*(3-2*L2522),L2522))</f>
        <v/>
      </c>
      <c r="N2522" s="45">
        <f>1+(INDEX(SeasonIdx,A2522)-1)*SeasonAmp</f>
        <v/>
      </c>
      <c r="O2522" s="45">
        <f>IFERROR(INDEX(PSPct,MATCH(E2522&amp;"|"&amp;G2522,PSKey,0)),0)</f>
        <v/>
      </c>
      <c r="P2522" s="46">
        <f>INDEX(ChDoorVel,MATCH(E2522,ChName,0))*CalibScalar*(1+VelocityUplift)</f>
        <v/>
      </c>
      <c r="Q2522" s="46" t="n">
        <v>0</v>
      </c>
      <c r="R2522" s="46">
        <f>P2522*O2522*M2522*N2522*H2522</f>
        <v/>
      </c>
      <c r="S2522" s="46">
        <f>R2522*INDEX(FmtCansPerCase,MATCH(F2522,FmtName,0))</f>
        <v/>
      </c>
      <c r="T2522" s="46">
        <f>S2522/INDEX(FmtCansPerPack,MATCH(F2522,FmtName,0))</f>
        <v/>
      </c>
      <c r="U2522" s="47">
        <f>INDEX(ChBaseCP,MATCH(E2522,ChName,0))*(1+INDEX(ProvMod,MATCH(G2522,ProvCode,0)))*(1+PriceIndex)</f>
        <v/>
      </c>
      <c r="V2522" s="47">
        <f>R2522*U2522*INDEX(FmtBlendedPriceIdx,MATCH(F2522,FmtName,0))</f>
        <v/>
      </c>
      <c r="W2522" s="47">
        <f>T2522*INDEX(ProvSRP,MATCH(G2522,ProvCode,0))*(1+PriceIndex)</f>
        <v/>
      </c>
      <c r="X2522" s="47">
        <f>IF(GrossBasis="Wholesale",V2522,W2522)</f>
        <v/>
      </c>
      <c r="Y2522" s="47">
        <f>R2522*INDEX(FmtBlendedCogs,MATCH(F2522,FmtName,0))</f>
        <v/>
      </c>
      <c r="Z2522" s="47">
        <f>X2522-Y2522</f>
        <v/>
      </c>
    </row>
    <row r="2523">
      <c r="A2523" t="n">
        <v>31</v>
      </c>
      <c r="B2523" s="44">
        <f>FiscalStart+(A2523-1)*7</f>
        <v/>
      </c>
      <c r="C2523">
        <f>TEXT(B2523,"mmm yyyy")</f>
        <v/>
      </c>
      <c r="D2523">
        <f>"Q"&amp;(INT((A2523-1)/13)+1)</f>
        <v/>
      </c>
      <c r="E2523" t="inlineStr">
        <is>
          <t>FDM</t>
        </is>
      </c>
      <c r="F2523">
        <f>IFERROR(INDEX(ChFormat,MATCH(E2523,ChName,0)),"")</f>
        <v/>
      </c>
      <c r="G2523" t="inlineStr">
        <is>
          <t>NS</t>
        </is>
      </c>
      <c r="H2523">
        <f>IF(A2523&lt;=NWeeks,1,0)</f>
        <v/>
      </c>
      <c r="I2523">
        <f>INDEX(ChLaunch,MATCH(E2523,ChName,0))</f>
        <v/>
      </c>
      <c r="J2523">
        <f>INDEX(ChWeeksFull,MATCH(E2523,ChName,0))</f>
        <v/>
      </c>
      <c r="K2523">
        <f>INDEX(ChRamp,MATCH(E2523,ChName,0))</f>
        <v/>
      </c>
      <c r="L2523" s="45">
        <f>MIN(1,MAX(0,(A2523-I2523+1)*RampSpeed/J2523))</f>
        <v/>
      </c>
      <c r="M2523" s="45">
        <f>IF(A2523&lt;I2523,0,IF(K2523="S-curve",L2523*L2523*(3-2*L2523),L2523))</f>
        <v/>
      </c>
      <c r="N2523" s="45">
        <f>1+(INDEX(SeasonIdx,A2523)-1)*SeasonAmp</f>
        <v/>
      </c>
      <c r="O2523" s="45">
        <f>IFERROR(INDEX(PSPct,MATCH(E2523&amp;"|"&amp;G2523,PSKey,0)),0)</f>
        <v/>
      </c>
      <c r="P2523" s="46">
        <f>INDEX(ChDoorVel,MATCH(E2523,ChName,0))*CalibScalar*(1+VelocityUplift)</f>
        <v/>
      </c>
      <c r="Q2523" s="46" t="n">
        <v>0</v>
      </c>
      <c r="R2523" s="46">
        <f>P2523*O2523*M2523*N2523*H2523</f>
        <v/>
      </c>
      <c r="S2523" s="46">
        <f>R2523*INDEX(FmtCansPerCase,MATCH(F2523,FmtName,0))</f>
        <v/>
      </c>
      <c r="T2523" s="46">
        <f>S2523/INDEX(FmtCansPerPack,MATCH(F2523,FmtName,0))</f>
        <v/>
      </c>
      <c r="U2523" s="47">
        <f>INDEX(ChBaseCP,MATCH(E2523,ChName,0))*(1+INDEX(ProvMod,MATCH(G2523,ProvCode,0)))*(1+PriceIndex)</f>
        <v/>
      </c>
      <c r="V2523" s="47">
        <f>R2523*U2523*INDEX(FmtBlendedPriceIdx,MATCH(F2523,FmtName,0))</f>
        <v/>
      </c>
      <c r="W2523" s="47">
        <f>T2523*INDEX(ProvSRP,MATCH(G2523,ProvCode,0))*(1+PriceIndex)</f>
        <v/>
      </c>
      <c r="X2523" s="47">
        <f>IF(GrossBasis="Wholesale",V2523,W2523)</f>
        <v/>
      </c>
      <c r="Y2523" s="47">
        <f>R2523*INDEX(FmtBlendedCogs,MATCH(F2523,FmtName,0))</f>
        <v/>
      </c>
      <c r="Z2523" s="47">
        <f>X2523-Y2523</f>
        <v/>
      </c>
    </row>
    <row r="2524">
      <c r="A2524" t="n">
        <v>32</v>
      </c>
      <c r="B2524" s="44">
        <f>FiscalStart+(A2524-1)*7</f>
        <v/>
      </c>
      <c r="C2524">
        <f>TEXT(B2524,"mmm yyyy")</f>
        <v/>
      </c>
      <c r="D2524">
        <f>"Q"&amp;(INT((A2524-1)/13)+1)</f>
        <v/>
      </c>
      <c r="E2524" t="inlineStr">
        <is>
          <t>FDM</t>
        </is>
      </c>
      <c r="F2524">
        <f>IFERROR(INDEX(ChFormat,MATCH(E2524,ChName,0)),"")</f>
        <v/>
      </c>
      <c r="G2524" t="inlineStr">
        <is>
          <t>NS</t>
        </is>
      </c>
      <c r="H2524">
        <f>IF(A2524&lt;=NWeeks,1,0)</f>
        <v/>
      </c>
      <c r="I2524">
        <f>INDEX(ChLaunch,MATCH(E2524,ChName,0))</f>
        <v/>
      </c>
      <c r="J2524">
        <f>INDEX(ChWeeksFull,MATCH(E2524,ChName,0))</f>
        <v/>
      </c>
      <c r="K2524">
        <f>INDEX(ChRamp,MATCH(E2524,ChName,0))</f>
        <v/>
      </c>
      <c r="L2524" s="45">
        <f>MIN(1,MAX(0,(A2524-I2524+1)*RampSpeed/J2524))</f>
        <v/>
      </c>
      <c r="M2524" s="45">
        <f>IF(A2524&lt;I2524,0,IF(K2524="S-curve",L2524*L2524*(3-2*L2524),L2524))</f>
        <v/>
      </c>
      <c r="N2524" s="45">
        <f>1+(INDEX(SeasonIdx,A2524)-1)*SeasonAmp</f>
        <v/>
      </c>
      <c r="O2524" s="45">
        <f>IFERROR(INDEX(PSPct,MATCH(E2524&amp;"|"&amp;G2524,PSKey,0)),0)</f>
        <v/>
      </c>
      <c r="P2524" s="46">
        <f>INDEX(ChDoorVel,MATCH(E2524,ChName,0))*CalibScalar*(1+VelocityUplift)</f>
        <v/>
      </c>
      <c r="Q2524" s="46" t="n">
        <v>0</v>
      </c>
      <c r="R2524" s="46">
        <f>P2524*O2524*M2524*N2524*H2524</f>
        <v/>
      </c>
      <c r="S2524" s="46">
        <f>R2524*INDEX(FmtCansPerCase,MATCH(F2524,FmtName,0))</f>
        <v/>
      </c>
      <c r="T2524" s="46">
        <f>S2524/INDEX(FmtCansPerPack,MATCH(F2524,FmtName,0))</f>
        <v/>
      </c>
      <c r="U2524" s="47">
        <f>INDEX(ChBaseCP,MATCH(E2524,ChName,0))*(1+INDEX(ProvMod,MATCH(G2524,ProvCode,0)))*(1+PriceIndex)</f>
        <v/>
      </c>
      <c r="V2524" s="47">
        <f>R2524*U2524*INDEX(FmtBlendedPriceIdx,MATCH(F2524,FmtName,0))</f>
        <v/>
      </c>
      <c r="W2524" s="47">
        <f>T2524*INDEX(ProvSRP,MATCH(G2524,ProvCode,0))*(1+PriceIndex)</f>
        <v/>
      </c>
      <c r="X2524" s="47">
        <f>IF(GrossBasis="Wholesale",V2524,W2524)</f>
        <v/>
      </c>
      <c r="Y2524" s="47">
        <f>R2524*INDEX(FmtBlendedCogs,MATCH(F2524,FmtName,0))</f>
        <v/>
      </c>
      <c r="Z2524" s="47">
        <f>X2524-Y2524</f>
        <v/>
      </c>
    </row>
    <row r="2525">
      <c r="A2525" t="n">
        <v>33</v>
      </c>
      <c r="B2525" s="44">
        <f>FiscalStart+(A2525-1)*7</f>
        <v/>
      </c>
      <c r="C2525">
        <f>TEXT(B2525,"mmm yyyy")</f>
        <v/>
      </c>
      <c r="D2525">
        <f>"Q"&amp;(INT((A2525-1)/13)+1)</f>
        <v/>
      </c>
      <c r="E2525" t="inlineStr">
        <is>
          <t>FDM</t>
        </is>
      </c>
      <c r="F2525">
        <f>IFERROR(INDEX(ChFormat,MATCH(E2525,ChName,0)),"")</f>
        <v/>
      </c>
      <c r="G2525" t="inlineStr">
        <is>
          <t>NS</t>
        </is>
      </c>
      <c r="H2525">
        <f>IF(A2525&lt;=NWeeks,1,0)</f>
        <v/>
      </c>
      <c r="I2525">
        <f>INDEX(ChLaunch,MATCH(E2525,ChName,0))</f>
        <v/>
      </c>
      <c r="J2525">
        <f>INDEX(ChWeeksFull,MATCH(E2525,ChName,0))</f>
        <v/>
      </c>
      <c r="K2525">
        <f>INDEX(ChRamp,MATCH(E2525,ChName,0))</f>
        <v/>
      </c>
      <c r="L2525" s="45">
        <f>MIN(1,MAX(0,(A2525-I2525+1)*RampSpeed/J2525))</f>
        <v/>
      </c>
      <c r="M2525" s="45">
        <f>IF(A2525&lt;I2525,0,IF(K2525="S-curve",L2525*L2525*(3-2*L2525),L2525))</f>
        <v/>
      </c>
      <c r="N2525" s="45">
        <f>1+(INDEX(SeasonIdx,A2525)-1)*SeasonAmp</f>
        <v/>
      </c>
      <c r="O2525" s="45">
        <f>IFERROR(INDEX(PSPct,MATCH(E2525&amp;"|"&amp;G2525,PSKey,0)),0)</f>
        <v/>
      </c>
      <c r="P2525" s="46">
        <f>INDEX(ChDoorVel,MATCH(E2525,ChName,0))*CalibScalar*(1+VelocityUplift)</f>
        <v/>
      </c>
      <c r="Q2525" s="46" t="n">
        <v>0</v>
      </c>
      <c r="R2525" s="46">
        <f>P2525*O2525*M2525*N2525*H2525</f>
        <v/>
      </c>
      <c r="S2525" s="46">
        <f>R2525*INDEX(FmtCansPerCase,MATCH(F2525,FmtName,0))</f>
        <v/>
      </c>
      <c r="T2525" s="46">
        <f>S2525/INDEX(FmtCansPerPack,MATCH(F2525,FmtName,0))</f>
        <v/>
      </c>
      <c r="U2525" s="47">
        <f>INDEX(ChBaseCP,MATCH(E2525,ChName,0))*(1+INDEX(ProvMod,MATCH(G2525,ProvCode,0)))*(1+PriceIndex)</f>
        <v/>
      </c>
      <c r="V2525" s="47">
        <f>R2525*U2525*INDEX(FmtBlendedPriceIdx,MATCH(F2525,FmtName,0))</f>
        <v/>
      </c>
      <c r="W2525" s="47">
        <f>T2525*INDEX(ProvSRP,MATCH(G2525,ProvCode,0))*(1+PriceIndex)</f>
        <v/>
      </c>
      <c r="X2525" s="47">
        <f>IF(GrossBasis="Wholesale",V2525,W2525)</f>
        <v/>
      </c>
      <c r="Y2525" s="47">
        <f>R2525*INDEX(FmtBlendedCogs,MATCH(F2525,FmtName,0))</f>
        <v/>
      </c>
      <c r="Z2525" s="47">
        <f>X2525-Y2525</f>
        <v/>
      </c>
    </row>
    <row r="2526">
      <c r="A2526" t="n">
        <v>34</v>
      </c>
      <c r="B2526" s="44">
        <f>FiscalStart+(A2526-1)*7</f>
        <v/>
      </c>
      <c r="C2526">
        <f>TEXT(B2526,"mmm yyyy")</f>
        <v/>
      </c>
      <c r="D2526">
        <f>"Q"&amp;(INT((A2526-1)/13)+1)</f>
        <v/>
      </c>
      <c r="E2526" t="inlineStr">
        <is>
          <t>FDM</t>
        </is>
      </c>
      <c r="F2526">
        <f>IFERROR(INDEX(ChFormat,MATCH(E2526,ChName,0)),"")</f>
        <v/>
      </c>
      <c r="G2526" t="inlineStr">
        <is>
          <t>NS</t>
        </is>
      </c>
      <c r="H2526">
        <f>IF(A2526&lt;=NWeeks,1,0)</f>
        <v/>
      </c>
      <c r="I2526">
        <f>INDEX(ChLaunch,MATCH(E2526,ChName,0))</f>
        <v/>
      </c>
      <c r="J2526">
        <f>INDEX(ChWeeksFull,MATCH(E2526,ChName,0))</f>
        <v/>
      </c>
      <c r="K2526">
        <f>INDEX(ChRamp,MATCH(E2526,ChName,0))</f>
        <v/>
      </c>
      <c r="L2526" s="45">
        <f>MIN(1,MAX(0,(A2526-I2526+1)*RampSpeed/J2526))</f>
        <v/>
      </c>
      <c r="M2526" s="45">
        <f>IF(A2526&lt;I2526,0,IF(K2526="S-curve",L2526*L2526*(3-2*L2526),L2526))</f>
        <v/>
      </c>
      <c r="N2526" s="45">
        <f>1+(INDEX(SeasonIdx,A2526)-1)*SeasonAmp</f>
        <v/>
      </c>
      <c r="O2526" s="45">
        <f>IFERROR(INDEX(PSPct,MATCH(E2526&amp;"|"&amp;G2526,PSKey,0)),0)</f>
        <v/>
      </c>
      <c r="P2526" s="46">
        <f>INDEX(ChDoorVel,MATCH(E2526,ChName,0))*CalibScalar*(1+VelocityUplift)</f>
        <v/>
      </c>
      <c r="Q2526" s="46" t="n">
        <v>0</v>
      </c>
      <c r="R2526" s="46">
        <f>P2526*O2526*M2526*N2526*H2526</f>
        <v/>
      </c>
      <c r="S2526" s="46">
        <f>R2526*INDEX(FmtCansPerCase,MATCH(F2526,FmtName,0))</f>
        <v/>
      </c>
      <c r="T2526" s="46">
        <f>S2526/INDEX(FmtCansPerPack,MATCH(F2526,FmtName,0))</f>
        <v/>
      </c>
      <c r="U2526" s="47">
        <f>INDEX(ChBaseCP,MATCH(E2526,ChName,0))*(1+INDEX(ProvMod,MATCH(G2526,ProvCode,0)))*(1+PriceIndex)</f>
        <v/>
      </c>
      <c r="V2526" s="47">
        <f>R2526*U2526*INDEX(FmtBlendedPriceIdx,MATCH(F2526,FmtName,0))</f>
        <v/>
      </c>
      <c r="W2526" s="47">
        <f>T2526*INDEX(ProvSRP,MATCH(G2526,ProvCode,0))*(1+PriceIndex)</f>
        <v/>
      </c>
      <c r="X2526" s="47">
        <f>IF(GrossBasis="Wholesale",V2526,W2526)</f>
        <v/>
      </c>
      <c r="Y2526" s="47">
        <f>R2526*INDEX(FmtBlendedCogs,MATCH(F2526,FmtName,0))</f>
        <v/>
      </c>
      <c r="Z2526" s="47">
        <f>X2526-Y2526</f>
        <v/>
      </c>
    </row>
    <row r="2527">
      <c r="A2527" t="n">
        <v>35</v>
      </c>
      <c r="B2527" s="44">
        <f>FiscalStart+(A2527-1)*7</f>
        <v/>
      </c>
      <c r="C2527">
        <f>TEXT(B2527,"mmm yyyy")</f>
        <v/>
      </c>
      <c r="D2527">
        <f>"Q"&amp;(INT((A2527-1)/13)+1)</f>
        <v/>
      </c>
      <c r="E2527" t="inlineStr">
        <is>
          <t>FDM</t>
        </is>
      </c>
      <c r="F2527">
        <f>IFERROR(INDEX(ChFormat,MATCH(E2527,ChName,0)),"")</f>
        <v/>
      </c>
      <c r="G2527" t="inlineStr">
        <is>
          <t>NS</t>
        </is>
      </c>
      <c r="H2527">
        <f>IF(A2527&lt;=NWeeks,1,0)</f>
        <v/>
      </c>
      <c r="I2527">
        <f>INDEX(ChLaunch,MATCH(E2527,ChName,0))</f>
        <v/>
      </c>
      <c r="J2527">
        <f>INDEX(ChWeeksFull,MATCH(E2527,ChName,0))</f>
        <v/>
      </c>
      <c r="K2527">
        <f>INDEX(ChRamp,MATCH(E2527,ChName,0))</f>
        <v/>
      </c>
      <c r="L2527" s="45">
        <f>MIN(1,MAX(0,(A2527-I2527+1)*RampSpeed/J2527))</f>
        <v/>
      </c>
      <c r="M2527" s="45">
        <f>IF(A2527&lt;I2527,0,IF(K2527="S-curve",L2527*L2527*(3-2*L2527),L2527))</f>
        <v/>
      </c>
      <c r="N2527" s="45">
        <f>1+(INDEX(SeasonIdx,A2527)-1)*SeasonAmp</f>
        <v/>
      </c>
      <c r="O2527" s="45">
        <f>IFERROR(INDEX(PSPct,MATCH(E2527&amp;"|"&amp;G2527,PSKey,0)),0)</f>
        <v/>
      </c>
      <c r="P2527" s="46">
        <f>INDEX(ChDoorVel,MATCH(E2527,ChName,0))*CalibScalar*(1+VelocityUplift)</f>
        <v/>
      </c>
      <c r="Q2527" s="46" t="n">
        <v>0</v>
      </c>
      <c r="R2527" s="46">
        <f>P2527*O2527*M2527*N2527*H2527</f>
        <v/>
      </c>
      <c r="S2527" s="46">
        <f>R2527*INDEX(FmtCansPerCase,MATCH(F2527,FmtName,0))</f>
        <v/>
      </c>
      <c r="T2527" s="46">
        <f>S2527/INDEX(FmtCansPerPack,MATCH(F2527,FmtName,0))</f>
        <v/>
      </c>
      <c r="U2527" s="47">
        <f>INDEX(ChBaseCP,MATCH(E2527,ChName,0))*(1+INDEX(ProvMod,MATCH(G2527,ProvCode,0)))*(1+PriceIndex)</f>
        <v/>
      </c>
      <c r="V2527" s="47">
        <f>R2527*U2527*INDEX(FmtBlendedPriceIdx,MATCH(F2527,FmtName,0))</f>
        <v/>
      </c>
      <c r="W2527" s="47">
        <f>T2527*INDEX(ProvSRP,MATCH(G2527,ProvCode,0))*(1+PriceIndex)</f>
        <v/>
      </c>
      <c r="X2527" s="47">
        <f>IF(GrossBasis="Wholesale",V2527,W2527)</f>
        <v/>
      </c>
      <c r="Y2527" s="47">
        <f>R2527*INDEX(FmtBlendedCogs,MATCH(F2527,FmtName,0))</f>
        <v/>
      </c>
      <c r="Z2527" s="47">
        <f>X2527-Y2527</f>
        <v/>
      </c>
    </row>
    <row r="2528">
      <c r="A2528" t="n">
        <v>36</v>
      </c>
      <c r="B2528" s="44">
        <f>FiscalStart+(A2528-1)*7</f>
        <v/>
      </c>
      <c r="C2528">
        <f>TEXT(B2528,"mmm yyyy")</f>
        <v/>
      </c>
      <c r="D2528">
        <f>"Q"&amp;(INT((A2528-1)/13)+1)</f>
        <v/>
      </c>
      <c r="E2528" t="inlineStr">
        <is>
          <t>FDM</t>
        </is>
      </c>
      <c r="F2528">
        <f>IFERROR(INDEX(ChFormat,MATCH(E2528,ChName,0)),"")</f>
        <v/>
      </c>
      <c r="G2528" t="inlineStr">
        <is>
          <t>NS</t>
        </is>
      </c>
      <c r="H2528">
        <f>IF(A2528&lt;=NWeeks,1,0)</f>
        <v/>
      </c>
      <c r="I2528">
        <f>INDEX(ChLaunch,MATCH(E2528,ChName,0))</f>
        <v/>
      </c>
      <c r="J2528">
        <f>INDEX(ChWeeksFull,MATCH(E2528,ChName,0))</f>
        <v/>
      </c>
      <c r="K2528">
        <f>INDEX(ChRamp,MATCH(E2528,ChName,0))</f>
        <v/>
      </c>
      <c r="L2528" s="45">
        <f>MIN(1,MAX(0,(A2528-I2528+1)*RampSpeed/J2528))</f>
        <v/>
      </c>
      <c r="M2528" s="45">
        <f>IF(A2528&lt;I2528,0,IF(K2528="S-curve",L2528*L2528*(3-2*L2528),L2528))</f>
        <v/>
      </c>
      <c r="N2528" s="45">
        <f>1+(INDEX(SeasonIdx,A2528)-1)*SeasonAmp</f>
        <v/>
      </c>
      <c r="O2528" s="45">
        <f>IFERROR(INDEX(PSPct,MATCH(E2528&amp;"|"&amp;G2528,PSKey,0)),0)</f>
        <v/>
      </c>
      <c r="P2528" s="46">
        <f>INDEX(ChDoorVel,MATCH(E2528,ChName,0))*CalibScalar*(1+VelocityUplift)</f>
        <v/>
      </c>
      <c r="Q2528" s="46" t="n">
        <v>0</v>
      </c>
      <c r="R2528" s="46">
        <f>P2528*O2528*M2528*N2528*H2528</f>
        <v/>
      </c>
      <c r="S2528" s="46">
        <f>R2528*INDEX(FmtCansPerCase,MATCH(F2528,FmtName,0))</f>
        <v/>
      </c>
      <c r="T2528" s="46">
        <f>S2528/INDEX(FmtCansPerPack,MATCH(F2528,FmtName,0))</f>
        <v/>
      </c>
      <c r="U2528" s="47">
        <f>INDEX(ChBaseCP,MATCH(E2528,ChName,0))*(1+INDEX(ProvMod,MATCH(G2528,ProvCode,0)))*(1+PriceIndex)</f>
        <v/>
      </c>
      <c r="V2528" s="47">
        <f>R2528*U2528*INDEX(FmtBlendedPriceIdx,MATCH(F2528,FmtName,0))</f>
        <v/>
      </c>
      <c r="W2528" s="47">
        <f>T2528*INDEX(ProvSRP,MATCH(G2528,ProvCode,0))*(1+PriceIndex)</f>
        <v/>
      </c>
      <c r="X2528" s="47">
        <f>IF(GrossBasis="Wholesale",V2528,W2528)</f>
        <v/>
      </c>
      <c r="Y2528" s="47">
        <f>R2528*INDEX(FmtBlendedCogs,MATCH(F2528,FmtName,0))</f>
        <v/>
      </c>
      <c r="Z2528" s="47">
        <f>X2528-Y2528</f>
        <v/>
      </c>
    </row>
    <row r="2529">
      <c r="A2529" t="n">
        <v>37</v>
      </c>
      <c r="B2529" s="44">
        <f>FiscalStart+(A2529-1)*7</f>
        <v/>
      </c>
      <c r="C2529">
        <f>TEXT(B2529,"mmm yyyy")</f>
        <v/>
      </c>
      <c r="D2529">
        <f>"Q"&amp;(INT((A2529-1)/13)+1)</f>
        <v/>
      </c>
      <c r="E2529" t="inlineStr">
        <is>
          <t>FDM</t>
        </is>
      </c>
      <c r="F2529">
        <f>IFERROR(INDEX(ChFormat,MATCH(E2529,ChName,0)),"")</f>
        <v/>
      </c>
      <c r="G2529" t="inlineStr">
        <is>
          <t>NS</t>
        </is>
      </c>
      <c r="H2529">
        <f>IF(A2529&lt;=NWeeks,1,0)</f>
        <v/>
      </c>
      <c r="I2529">
        <f>INDEX(ChLaunch,MATCH(E2529,ChName,0))</f>
        <v/>
      </c>
      <c r="J2529">
        <f>INDEX(ChWeeksFull,MATCH(E2529,ChName,0))</f>
        <v/>
      </c>
      <c r="K2529">
        <f>INDEX(ChRamp,MATCH(E2529,ChName,0))</f>
        <v/>
      </c>
      <c r="L2529" s="45">
        <f>MIN(1,MAX(0,(A2529-I2529+1)*RampSpeed/J2529))</f>
        <v/>
      </c>
      <c r="M2529" s="45">
        <f>IF(A2529&lt;I2529,0,IF(K2529="S-curve",L2529*L2529*(3-2*L2529),L2529))</f>
        <v/>
      </c>
      <c r="N2529" s="45">
        <f>1+(INDEX(SeasonIdx,A2529)-1)*SeasonAmp</f>
        <v/>
      </c>
      <c r="O2529" s="45">
        <f>IFERROR(INDEX(PSPct,MATCH(E2529&amp;"|"&amp;G2529,PSKey,0)),0)</f>
        <v/>
      </c>
      <c r="P2529" s="46">
        <f>INDEX(ChDoorVel,MATCH(E2529,ChName,0))*CalibScalar*(1+VelocityUplift)</f>
        <v/>
      </c>
      <c r="Q2529" s="46" t="n">
        <v>0</v>
      </c>
      <c r="R2529" s="46">
        <f>P2529*O2529*M2529*N2529*H2529</f>
        <v/>
      </c>
      <c r="S2529" s="46">
        <f>R2529*INDEX(FmtCansPerCase,MATCH(F2529,FmtName,0))</f>
        <v/>
      </c>
      <c r="T2529" s="46">
        <f>S2529/INDEX(FmtCansPerPack,MATCH(F2529,FmtName,0))</f>
        <v/>
      </c>
      <c r="U2529" s="47">
        <f>INDEX(ChBaseCP,MATCH(E2529,ChName,0))*(1+INDEX(ProvMod,MATCH(G2529,ProvCode,0)))*(1+PriceIndex)</f>
        <v/>
      </c>
      <c r="V2529" s="47">
        <f>R2529*U2529*INDEX(FmtBlendedPriceIdx,MATCH(F2529,FmtName,0))</f>
        <v/>
      </c>
      <c r="W2529" s="47">
        <f>T2529*INDEX(ProvSRP,MATCH(G2529,ProvCode,0))*(1+PriceIndex)</f>
        <v/>
      </c>
      <c r="X2529" s="47">
        <f>IF(GrossBasis="Wholesale",V2529,W2529)</f>
        <v/>
      </c>
      <c r="Y2529" s="47">
        <f>R2529*INDEX(FmtBlendedCogs,MATCH(F2529,FmtName,0))</f>
        <v/>
      </c>
      <c r="Z2529" s="47">
        <f>X2529-Y2529</f>
        <v/>
      </c>
    </row>
    <row r="2530">
      <c r="A2530" t="n">
        <v>38</v>
      </c>
      <c r="B2530" s="44">
        <f>FiscalStart+(A2530-1)*7</f>
        <v/>
      </c>
      <c r="C2530">
        <f>TEXT(B2530,"mmm yyyy")</f>
        <v/>
      </c>
      <c r="D2530">
        <f>"Q"&amp;(INT((A2530-1)/13)+1)</f>
        <v/>
      </c>
      <c r="E2530" t="inlineStr">
        <is>
          <t>FDM</t>
        </is>
      </c>
      <c r="F2530">
        <f>IFERROR(INDEX(ChFormat,MATCH(E2530,ChName,0)),"")</f>
        <v/>
      </c>
      <c r="G2530" t="inlineStr">
        <is>
          <t>NS</t>
        </is>
      </c>
      <c r="H2530">
        <f>IF(A2530&lt;=NWeeks,1,0)</f>
        <v/>
      </c>
      <c r="I2530">
        <f>INDEX(ChLaunch,MATCH(E2530,ChName,0))</f>
        <v/>
      </c>
      <c r="J2530">
        <f>INDEX(ChWeeksFull,MATCH(E2530,ChName,0))</f>
        <v/>
      </c>
      <c r="K2530">
        <f>INDEX(ChRamp,MATCH(E2530,ChName,0))</f>
        <v/>
      </c>
      <c r="L2530" s="45">
        <f>MIN(1,MAX(0,(A2530-I2530+1)*RampSpeed/J2530))</f>
        <v/>
      </c>
      <c r="M2530" s="45">
        <f>IF(A2530&lt;I2530,0,IF(K2530="S-curve",L2530*L2530*(3-2*L2530),L2530))</f>
        <v/>
      </c>
      <c r="N2530" s="45">
        <f>1+(INDEX(SeasonIdx,A2530)-1)*SeasonAmp</f>
        <v/>
      </c>
      <c r="O2530" s="45">
        <f>IFERROR(INDEX(PSPct,MATCH(E2530&amp;"|"&amp;G2530,PSKey,0)),0)</f>
        <v/>
      </c>
      <c r="P2530" s="46">
        <f>INDEX(ChDoorVel,MATCH(E2530,ChName,0))*CalibScalar*(1+VelocityUplift)</f>
        <v/>
      </c>
      <c r="Q2530" s="46" t="n">
        <v>0</v>
      </c>
      <c r="R2530" s="46">
        <f>P2530*O2530*M2530*N2530*H2530</f>
        <v/>
      </c>
      <c r="S2530" s="46">
        <f>R2530*INDEX(FmtCansPerCase,MATCH(F2530,FmtName,0))</f>
        <v/>
      </c>
      <c r="T2530" s="46">
        <f>S2530/INDEX(FmtCansPerPack,MATCH(F2530,FmtName,0))</f>
        <v/>
      </c>
      <c r="U2530" s="47">
        <f>INDEX(ChBaseCP,MATCH(E2530,ChName,0))*(1+INDEX(ProvMod,MATCH(G2530,ProvCode,0)))*(1+PriceIndex)</f>
        <v/>
      </c>
      <c r="V2530" s="47">
        <f>R2530*U2530*INDEX(FmtBlendedPriceIdx,MATCH(F2530,FmtName,0))</f>
        <v/>
      </c>
      <c r="W2530" s="47">
        <f>T2530*INDEX(ProvSRP,MATCH(G2530,ProvCode,0))*(1+PriceIndex)</f>
        <v/>
      </c>
      <c r="X2530" s="47">
        <f>IF(GrossBasis="Wholesale",V2530,W2530)</f>
        <v/>
      </c>
      <c r="Y2530" s="47">
        <f>R2530*INDEX(FmtBlendedCogs,MATCH(F2530,FmtName,0))</f>
        <v/>
      </c>
      <c r="Z2530" s="47">
        <f>X2530-Y2530</f>
        <v/>
      </c>
    </row>
    <row r="2531">
      <c r="A2531" t="n">
        <v>39</v>
      </c>
      <c r="B2531" s="44">
        <f>FiscalStart+(A2531-1)*7</f>
        <v/>
      </c>
      <c r="C2531">
        <f>TEXT(B2531,"mmm yyyy")</f>
        <v/>
      </c>
      <c r="D2531">
        <f>"Q"&amp;(INT((A2531-1)/13)+1)</f>
        <v/>
      </c>
      <c r="E2531" t="inlineStr">
        <is>
          <t>FDM</t>
        </is>
      </c>
      <c r="F2531">
        <f>IFERROR(INDEX(ChFormat,MATCH(E2531,ChName,0)),"")</f>
        <v/>
      </c>
      <c r="G2531" t="inlineStr">
        <is>
          <t>NS</t>
        </is>
      </c>
      <c r="H2531">
        <f>IF(A2531&lt;=NWeeks,1,0)</f>
        <v/>
      </c>
      <c r="I2531">
        <f>INDEX(ChLaunch,MATCH(E2531,ChName,0))</f>
        <v/>
      </c>
      <c r="J2531">
        <f>INDEX(ChWeeksFull,MATCH(E2531,ChName,0))</f>
        <v/>
      </c>
      <c r="K2531">
        <f>INDEX(ChRamp,MATCH(E2531,ChName,0))</f>
        <v/>
      </c>
      <c r="L2531" s="45">
        <f>MIN(1,MAX(0,(A2531-I2531+1)*RampSpeed/J2531))</f>
        <v/>
      </c>
      <c r="M2531" s="45">
        <f>IF(A2531&lt;I2531,0,IF(K2531="S-curve",L2531*L2531*(3-2*L2531),L2531))</f>
        <v/>
      </c>
      <c r="N2531" s="45">
        <f>1+(INDEX(SeasonIdx,A2531)-1)*SeasonAmp</f>
        <v/>
      </c>
      <c r="O2531" s="45">
        <f>IFERROR(INDEX(PSPct,MATCH(E2531&amp;"|"&amp;G2531,PSKey,0)),0)</f>
        <v/>
      </c>
      <c r="P2531" s="46">
        <f>INDEX(ChDoorVel,MATCH(E2531,ChName,0))*CalibScalar*(1+VelocityUplift)</f>
        <v/>
      </c>
      <c r="Q2531" s="46" t="n">
        <v>0</v>
      </c>
      <c r="R2531" s="46">
        <f>P2531*O2531*M2531*N2531*H2531</f>
        <v/>
      </c>
      <c r="S2531" s="46">
        <f>R2531*INDEX(FmtCansPerCase,MATCH(F2531,FmtName,0))</f>
        <v/>
      </c>
      <c r="T2531" s="46">
        <f>S2531/INDEX(FmtCansPerPack,MATCH(F2531,FmtName,0))</f>
        <v/>
      </c>
      <c r="U2531" s="47">
        <f>INDEX(ChBaseCP,MATCH(E2531,ChName,0))*(1+INDEX(ProvMod,MATCH(G2531,ProvCode,0)))*(1+PriceIndex)</f>
        <v/>
      </c>
      <c r="V2531" s="47">
        <f>R2531*U2531*INDEX(FmtBlendedPriceIdx,MATCH(F2531,FmtName,0))</f>
        <v/>
      </c>
      <c r="W2531" s="47">
        <f>T2531*INDEX(ProvSRP,MATCH(G2531,ProvCode,0))*(1+PriceIndex)</f>
        <v/>
      </c>
      <c r="X2531" s="47">
        <f>IF(GrossBasis="Wholesale",V2531,W2531)</f>
        <v/>
      </c>
      <c r="Y2531" s="47">
        <f>R2531*INDEX(FmtBlendedCogs,MATCH(F2531,FmtName,0))</f>
        <v/>
      </c>
      <c r="Z2531" s="47">
        <f>X2531-Y2531</f>
        <v/>
      </c>
    </row>
    <row r="2532">
      <c r="A2532" t="n">
        <v>40</v>
      </c>
      <c r="B2532" s="44">
        <f>FiscalStart+(A2532-1)*7</f>
        <v/>
      </c>
      <c r="C2532">
        <f>TEXT(B2532,"mmm yyyy")</f>
        <v/>
      </c>
      <c r="D2532">
        <f>"Q"&amp;(INT((A2532-1)/13)+1)</f>
        <v/>
      </c>
      <c r="E2532" t="inlineStr">
        <is>
          <t>FDM</t>
        </is>
      </c>
      <c r="F2532">
        <f>IFERROR(INDEX(ChFormat,MATCH(E2532,ChName,0)),"")</f>
        <v/>
      </c>
      <c r="G2532" t="inlineStr">
        <is>
          <t>NS</t>
        </is>
      </c>
      <c r="H2532">
        <f>IF(A2532&lt;=NWeeks,1,0)</f>
        <v/>
      </c>
      <c r="I2532">
        <f>INDEX(ChLaunch,MATCH(E2532,ChName,0))</f>
        <v/>
      </c>
      <c r="J2532">
        <f>INDEX(ChWeeksFull,MATCH(E2532,ChName,0))</f>
        <v/>
      </c>
      <c r="K2532">
        <f>INDEX(ChRamp,MATCH(E2532,ChName,0))</f>
        <v/>
      </c>
      <c r="L2532" s="45">
        <f>MIN(1,MAX(0,(A2532-I2532+1)*RampSpeed/J2532))</f>
        <v/>
      </c>
      <c r="M2532" s="45">
        <f>IF(A2532&lt;I2532,0,IF(K2532="S-curve",L2532*L2532*(3-2*L2532),L2532))</f>
        <v/>
      </c>
      <c r="N2532" s="45">
        <f>1+(INDEX(SeasonIdx,A2532)-1)*SeasonAmp</f>
        <v/>
      </c>
      <c r="O2532" s="45">
        <f>IFERROR(INDEX(PSPct,MATCH(E2532&amp;"|"&amp;G2532,PSKey,0)),0)</f>
        <v/>
      </c>
      <c r="P2532" s="46">
        <f>INDEX(ChDoorVel,MATCH(E2532,ChName,0))*CalibScalar*(1+VelocityUplift)</f>
        <v/>
      </c>
      <c r="Q2532" s="46" t="n">
        <v>0</v>
      </c>
      <c r="R2532" s="46">
        <f>P2532*O2532*M2532*N2532*H2532</f>
        <v/>
      </c>
      <c r="S2532" s="46">
        <f>R2532*INDEX(FmtCansPerCase,MATCH(F2532,FmtName,0))</f>
        <v/>
      </c>
      <c r="T2532" s="46">
        <f>S2532/INDEX(FmtCansPerPack,MATCH(F2532,FmtName,0))</f>
        <v/>
      </c>
      <c r="U2532" s="47">
        <f>INDEX(ChBaseCP,MATCH(E2532,ChName,0))*(1+INDEX(ProvMod,MATCH(G2532,ProvCode,0)))*(1+PriceIndex)</f>
        <v/>
      </c>
      <c r="V2532" s="47">
        <f>R2532*U2532*INDEX(FmtBlendedPriceIdx,MATCH(F2532,FmtName,0))</f>
        <v/>
      </c>
      <c r="W2532" s="47">
        <f>T2532*INDEX(ProvSRP,MATCH(G2532,ProvCode,0))*(1+PriceIndex)</f>
        <v/>
      </c>
      <c r="X2532" s="47">
        <f>IF(GrossBasis="Wholesale",V2532,W2532)</f>
        <v/>
      </c>
      <c r="Y2532" s="47">
        <f>R2532*INDEX(FmtBlendedCogs,MATCH(F2532,FmtName,0))</f>
        <v/>
      </c>
      <c r="Z2532" s="47">
        <f>X2532-Y2532</f>
        <v/>
      </c>
    </row>
    <row r="2533">
      <c r="A2533" t="n">
        <v>41</v>
      </c>
      <c r="B2533" s="44">
        <f>FiscalStart+(A2533-1)*7</f>
        <v/>
      </c>
      <c r="C2533">
        <f>TEXT(B2533,"mmm yyyy")</f>
        <v/>
      </c>
      <c r="D2533">
        <f>"Q"&amp;(INT((A2533-1)/13)+1)</f>
        <v/>
      </c>
      <c r="E2533" t="inlineStr">
        <is>
          <t>FDM</t>
        </is>
      </c>
      <c r="F2533">
        <f>IFERROR(INDEX(ChFormat,MATCH(E2533,ChName,0)),"")</f>
        <v/>
      </c>
      <c r="G2533" t="inlineStr">
        <is>
          <t>NS</t>
        </is>
      </c>
      <c r="H2533">
        <f>IF(A2533&lt;=NWeeks,1,0)</f>
        <v/>
      </c>
      <c r="I2533">
        <f>INDEX(ChLaunch,MATCH(E2533,ChName,0))</f>
        <v/>
      </c>
      <c r="J2533">
        <f>INDEX(ChWeeksFull,MATCH(E2533,ChName,0))</f>
        <v/>
      </c>
      <c r="K2533">
        <f>INDEX(ChRamp,MATCH(E2533,ChName,0))</f>
        <v/>
      </c>
      <c r="L2533" s="45">
        <f>MIN(1,MAX(0,(A2533-I2533+1)*RampSpeed/J2533))</f>
        <v/>
      </c>
      <c r="M2533" s="45">
        <f>IF(A2533&lt;I2533,0,IF(K2533="S-curve",L2533*L2533*(3-2*L2533),L2533))</f>
        <v/>
      </c>
      <c r="N2533" s="45">
        <f>1+(INDEX(SeasonIdx,A2533)-1)*SeasonAmp</f>
        <v/>
      </c>
      <c r="O2533" s="45">
        <f>IFERROR(INDEX(PSPct,MATCH(E2533&amp;"|"&amp;G2533,PSKey,0)),0)</f>
        <v/>
      </c>
      <c r="P2533" s="46">
        <f>INDEX(ChDoorVel,MATCH(E2533,ChName,0))*CalibScalar*(1+VelocityUplift)</f>
        <v/>
      </c>
      <c r="Q2533" s="46" t="n">
        <v>0</v>
      </c>
      <c r="R2533" s="46">
        <f>P2533*O2533*M2533*N2533*H2533</f>
        <v/>
      </c>
      <c r="S2533" s="46">
        <f>R2533*INDEX(FmtCansPerCase,MATCH(F2533,FmtName,0))</f>
        <v/>
      </c>
      <c r="T2533" s="46">
        <f>S2533/INDEX(FmtCansPerPack,MATCH(F2533,FmtName,0))</f>
        <v/>
      </c>
      <c r="U2533" s="47">
        <f>INDEX(ChBaseCP,MATCH(E2533,ChName,0))*(1+INDEX(ProvMod,MATCH(G2533,ProvCode,0)))*(1+PriceIndex)</f>
        <v/>
      </c>
      <c r="V2533" s="47">
        <f>R2533*U2533*INDEX(FmtBlendedPriceIdx,MATCH(F2533,FmtName,0))</f>
        <v/>
      </c>
      <c r="W2533" s="47">
        <f>T2533*INDEX(ProvSRP,MATCH(G2533,ProvCode,0))*(1+PriceIndex)</f>
        <v/>
      </c>
      <c r="X2533" s="47">
        <f>IF(GrossBasis="Wholesale",V2533,W2533)</f>
        <v/>
      </c>
      <c r="Y2533" s="47">
        <f>R2533*INDEX(FmtBlendedCogs,MATCH(F2533,FmtName,0))</f>
        <v/>
      </c>
      <c r="Z2533" s="47">
        <f>X2533-Y2533</f>
        <v/>
      </c>
    </row>
    <row r="2534">
      <c r="A2534" t="n">
        <v>42</v>
      </c>
      <c r="B2534" s="44">
        <f>FiscalStart+(A2534-1)*7</f>
        <v/>
      </c>
      <c r="C2534">
        <f>TEXT(B2534,"mmm yyyy")</f>
        <v/>
      </c>
      <c r="D2534">
        <f>"Q"&amp;(INT((A2534-1)/13)+1)</f>
        <v/>
      </c>
      <c r="E2534" t="inlineStr">
        <is>
          <t>FDM</t>
        </is>
      </c>
      <c r="F2534">
        <f>IFERROR(INDEX(ChFormat,MATCH(E2534,ChName,0)),"")</f>
        <v/>
      </c>
      <c r="G2534" t="inlineStr">
        <is>
          <t>NS</t>
        </is>
      </c>
      <c r="H2534">
        <f>IF(A2534&lt;=NWeeks,1,0)</f>
        <v/>
      </c>
      <c r="I2534">
        <f>INDEX(ChLaunch,MATCH(E2534,ChName,0))</f>
        <v/>
      </c>
      <c r="J2534">
        <f>INDEX(ChWeeksFull,MATCH(E2534,ChName,0))</f>
        <v/>
      </c>
      <c r="K2534">
        <f>INDEX(ChRamp,MATCH(E2534,ChName,0))</f>
        <v/>
      </c>
      <c r="L2534" s="45">
        <f>MIN(1,MAX(0,(A2534-I2534+1)*RampSpeed/J2534))</f>
        <v/>
      </c>
      <c r="M2534" s="45">
        <f>IF(A2534&lt;I2534,0,IF(K2534="S-curve",L2534*L2534*(3-2*L2534),L2534))</f>
        <v/>
      </c>
      <c r="N2534" s="45">
        <f>1+(INDEX(SeasonIdx,A2534)-1)*SeasonAmp</f>
        <v/>
      </c>
      <c r="O2534" s="45">
        <f>IFERROR(INDEX(PSPct,MATCH(E2534&amp;"|"&amp;G2534,PSKey,0)),0)</f>
        <v/>
      </c>
      <c r="P2534" s="46">
        <f>INDEX(ChDoorVel,MATCH(E2534,ChName,0))*CalibScalar*(1+VelocityUplift)</f>
        <v/>
      </c>
      <c r="Q2534" s="46" t="n">
        <v>0</v>
      </c>
      <c r="R2534" s="46">
        <f>P2534*O2534*M2534*N2534*H2534</f>
        <v/>
      </c>
      <c r="S2534" s="46">
        <f>R2534*INDEX(FmtCansPerCase,MATCH(F2534,FmtName,0))</f>
        <v/>
      </c>
      <c r="T2534" s="46">
        <f>S2534/INDEX(FmtCansPerPack,MATCH(F2534,FmtName,0))</f>
        <v/>
      </c>
      <c r="U2534" s="47">
        <f>INDEX(ChBaseCP,MATCH(E2534,ChName,0))*(1+INDEX(ProvMod,MATCH(G2534,ProvCode,0)))*(1+PriceIndex)</f>
        <v/>
      </c>
      <c r="V2534" s="47">
        <f>R2534*U2534*INDEX(FmtBlendedPriceIdx,MATCH(F2534,FmtName,0))</f>
        <v/>
      </c>
      <c r="W2534" s="47">
        <f>T2534*INDEX(ProvSRP,MATCH(G2534,ProvCode,0))*(1+PriceIndex)</f>
        <v/>
      </c>
      <c r="X2534" s="47">
        <f>IF(GrossBasis="Wholesale",V2534,W2534)</f>
        <v/>
      </c>
      <c r="Y2534" s="47">
        <f>R2534*INDEX(FmtBlendedCogs,MATCH(F2534,FmtName,0))</f>
        <v/>
      </c>
      <c r="Z2534" s="47">
        <f>X2534-Y2534</f>
        <v/>
      </c>
    </row>
    <row r="2535">
      <c r="A2535" t="n">
        <v>43</v>
      </c>
      <c r="B2535" s="44">
        <f>FiscalStart+(A2535-1)*7</f>
        <v/>
      </c>
      <c r="C2535">
        <f>TEXT(B2535,"mmm yyyy")</f>
        <v/>
      </c>
      <c r="D2535">
        <f>"Q"&amp;(INT((A2535-1)/13)+1)</f>
        <v/>
      </c>
      <c r="E2535" t="inlineStr">
        <is>
          <t>FDM</t>
        </is>
      </c>
      <c r="F2535">
        <f>IFERROR(INDEX(ChFormat,MATCH(E2535,ChName,0)),"")</f>
        <v/>
      </c>
      <c r="G2535" t="inlineStr">
        <is>
          <t>NS</t>
        </is>
      </c>
      <c r="H2535">
        <f>IF(A2535&lt;=NWeeks,1,0)</f>
        <v/>
      </c>
      <c r="I2535">
        <f>INDEX(ChLaunch,MATCH(E2535,ChName,0))</f>
        <v/>
      </c>
      <c r="J2535">
        <f>INDEX(ChWeeksFull,MATCH(E2535,ChName,0))</f>
        <v/>
      </c>
      <c r="K2535">
        <f>INDEX(ChRamp,MATCH(E2535,ChName,0))</f>
        <v/>
      </c>
      <c r="L2535" s="45">
        <f>MIN(1,MAX(0,(A2535-I2535+1)*RampSpeed/J2535))</f>
        <v/>
      </c>
      <c r="M2535" s="45">
        <f>IF(A2535&lt;I2535,0,IF(K2535="S-curve",L2535*L2535*(3-2*L2535),L2535))</f>
        <v/>
      </c>
      <c r="N2535" s="45">
        <f>1+(INDEX(SeasonIdx,A2535)-1)*SeasonAmp</f>
        <v/>
      </c>
      <c r="O2535" s="45">
        <f>IFERROR(INDEX(PSPct,MATCH(E2535&amp;"|"&amp;G2535,PSKey,0)),0)</f>
        <v/>
      </c>
      <c r="P2535" s="46">
        <f>INDEX(ChDoorVel,MATCH(E2535,ChName,0))*CalibScalar*(1+VelocityUplift)</f>
        <v/>
      </c>
      <c r="Q2535" s="46" t="n">
        <v>0</v>
      </c>
      <c r="R2535" s="46">
        <f>P2535*O2535*M2535*N2535*H2535</f>
        <v/>
      </c>
      <c r="S2535" s="46">
        <f>R2535*INDEX(FmtCansPerCase,MATCH(F2535,FmtName,0))</f>
        <v/>
      </c>
      <c r="T2535" s="46">
        <f>S2535/INDEX(FmtCansPerPack,MATCH(F2535,FmtName,0))</f>
        <v/>
      </c>
      <c r="U2535" s="47">
        <f>INDEX(ChBaseCP,MATCH(E2535,ChName,0))*(1+INDEX(ProvMod,MATCH(G2535,ProvCode,0)))*(1+PriceIndex)</f>
        <v/>
      </c>
      <c r="V2535" s="47">
        <f>R2535*U2535*INDEX(FmtBlendedPriceIdx,MATCH(F2535,FmtName,0))</f>
        <v/>
      </c>
      <c r="W2535" s="47">
        <f>T2535*INDEX(ProvSRP,MATCH(G2535,ProvCode,0))*(1+PriceIndex)</f>
        <v/>
      </c>
      <c r="X2535" s="47">
        <f>IF(GrossBasis="Wholesale",V2535,W2535)</f>
        <v/>
      </c>
      <c r="Y2535" s="47">
        <f>R2535*INDEX(FmtBlendedCogs,MATCH(F2535,FmtName,0))</f>
        <v/>
      </c>
      <c r="Z2535" s="47">
        <f>X2535-Y2535</f>
        <v/>
      </c>
    </row>
    <row r="2536">
      <c r="A2536" t="n">
        <v>44</v>
      </c>
      <c r="B2536" s="44">
        <f>FiscalStart+(A2536-1)*7</f>
        <v/>
      </c>
      <c r="C2536">
        <f>TEXT(B2536,"mmm yyyy")</f>
        <v/>
      </c>
      <c r="D2536">
        <f>"Q"&amp;(INT((A2536-1)/13)+1)</f>
        <v/>
      </c>
      <c r="E2536" t="inlineStr">
        <is>
          <t>FDM</t>
        </is>
      </c>
      <c r="F2536">
        <f>IFERROR(INDEX(ChFormat,MATCH(E2536,ChName,0)),"")</f>
        <v/>
      </c>
      <c r="G2536" t="inlineStr">
        <is>
          <t>NS</t>
        </is>
      </c>
      <c r="H2536">
        <f>IF(A2536&lt;=NWeeks,1,0)</f>
        <v/>
      </c>
      <c r="I2536">
        <f>INDEX(ChLaunch,MATCH(E2536,ChName,0))</f>
        <v/>
      </c>
      <c r="J2536">
        <f>INDEX(ChWeeksFull,MATCH(E2536,ChName,0))</f>
        <v/>
      </c>
      <c r="K2536">
        <f>INDEX(ChRamp,MATCH(E2536,ChName,0))</f>
        <v/>
      </c>
      <c r="L2536" s="45">
        <f>MIN(1,MAX(0,(A2536-I2536+1)*RampSpeed/J2536))</f>
        <v/>
      </c>
      <c r="M2536" s="45">
        <f>IF(A2536&lt;I2536,0,IF(K2536="S-curve",L2536*L2536*(3-2*L2536),L2536))</f>
        <v/>
      </c>
      <c r="N2536" s="45">
        <f>1+(INDEX(SeasonIdx,A2536)-1)*SeasonAmp</f>
        <v/>
      </c>
      <c r="O2536" s="45">
        <f>IFERROR(INDEX(PSPct,MATCH(E2536&amp;"|"&amp;G2536,PSKey,0)),0)</f>
        <v/>
      </c>
      <c r="P2536" s="46">
        <f>INDEX(ChDoorVel,MATCH(E2536,ChName,0))*CalibScalar*(1+VelocityUplift)</f>
        <v/>
      </c>
      <c r="Q2536" s="46" t="n">
        <v>0</v>
      </c>
      <c r="R2536" s="46">
        <f>P2536*O2536*M2536*N2536*H2536</f>
        <v/>
      </c>
      <c r="S2536" s="46">
        <f>R2536*INDEX(FmtCansPerCase,MATCH(F2536,FmtName,0))</f>
        <v/>
      </c>
      <c r="T2536" s="46">
        <f>S2536/INDEX(FmtCansPerPack,MATCH(F2536,FmtName,0))</f>
        <v/>
      </c>
      <c r="U2536" s="47">
        <f>INDEX(ChBaseCP,MATCH(E2536,ChName,0))*(1+INDEX(ProvMod,MATCH(G2536,ProvCode,0)))*(1+PriceIndex)</f>
        <v/>
      </c>
      <c r="V2536" s="47">
        <f>R2536*U2536*INDEX(FmtBlendedPriceIdx,MATCH(F2536,FmtName,0))</f>
        <v/>
      </c>
      <c r="W2536" s="47">
        <f>T2536*INDEX(ProvSRP,MATCH(G2536,ProvCode,0))*(1+PriceIndex)</f>
        <v/>
      </c>
      <c r="X2536" s="47">
        <f>IF(GrossBasis="Wholesale",V2536,W2536)</f>
        <v/>
      </c>
      <c r="Y2536" s="47">
        <f>R2536*INDEX(FmtBlendedCogs,MATCH(F2536,FmtName,0))</f>
        <v/>
      </c>
      <c r="Z2536" s="47">
        <f>X2536-Y2536</f>
        <v/>
      </c>
    </row>
    <row r="2537">
      <c r="A2537" t="n">
        <v>45</v>
      </c>
      <c r="B2537" s="44">
        <f>FiscalStart+(A2537-1)*7</f>
        <v/>
      </c>
      <c r="C2537">
        <f>TEXT(B2537,"mmm yyyy")</f>
        <v/>
      </c>
      <c r="D2537">
        <f>"Q"&amp;(INT((A2537-1)/13)+1)</f>
        <v/>
      </c>
      <c r="E2537" t="inlineStr">
        <is>
          <t>FDM</t>
        </is>
      </c>
      <c r="F2537">
        <f>IFERROR(INDEX(ChFormat,MATCH(E2537,ChName,0)),"")</f>
        <v/>
      </c>
      <c r="G2537" t="inlineStr">
        <is>
          <t>NS</t>
        </is>
      </c>
      <c r="H2537">
        <f>IF(A2537&lt;=NWeeks,1,0)</f>
        <v/>
      </c>
      <c r="I2537">
        <f>INDEX(ChLaunch,MATCH(E2537,ChName,0))</f>
        <v/>
      </c>
      <c r="J2537">
        <f>INDEX(ChWeeksFull,MATCH(E2537,ChName,0))</f>
        <v/>
      </c>
      <c r="K2537">
        <f>INDEX(ChRamp,MATCH(E2537,ChName,0))</f>
        <v/>
      </c>
      <c r="L2537" s="45">
        <f>MIN(1,MAX(0,(A2537-I2537+1)*RampSpeed/J2537))</f>
        <v/>
      </c>
      <c r="M2537" s="45">
        <f>IF(A2537&lt;I2537,0,IF(K2537="S-curve",L2537*L2537*(3-2*L2537),L2537))</f>
        <v/>
      </c>
      <c r="N2537" s="45">
        <f>1+(INDEX(SeasonIdx,A2537)-1)*SeasonAmp</f>
        <v/>
      </c>
      <c r="O2537" s="45">
        <f>IFERROR(INDEX(PSPct,MATCH(E2537&amp;"|"&amp;G2537,PSKey,0)),0)</f>
        <v/>
      </c>
      <c r="P2537" s="46">
        <f>INDEX(ChDoorVel,MATCH(E2537,ChName,0))*CalibScalar*(1+VelocityUplift)</f>
        <v/>
      </c>
      <c r="Q2537" s="46" t="n">
        <v>0</v>
      </c>
      <c r="R2537" s="46">
        <f>P2537*O2537*M2537*N2537*H2537</f>
        <v/>
      </c>
      <c r="S2537" s="46">
        <f>R2537*INDEX(FmtCansPerCase,MATCH(F2537,FmtName,0))</f>
        <v/>
      </c>
      <c r="T2537" s="46">
        <f>S2537/INDEX(FmtCansPerPack,MATCH(F2537,FmtName,0))</f>
        <v/>
      </c>
      <c r="U2537" s="47">
        <f>INDEX(ChBaseCP,MATCH(E2537,ChName,0))*(1+INDEX(ProvMod,MATCH(G2537,ProvCode,0)))*(1+PriceIndex)</f>
        <v/>
      </c>
      <c r="V2537" s="47">
        <f>R2537*U2537*INDEX(FmtBlendedPriceIdx,MATCH(F2537,FmtName,0))</f>
        <v/>
      </c>
      <c r="W2537" s="47">
        <f>T2537*INDEX(ProvSRP,MATCH(G2537,ProvCode,0))*(1+PriceIndex)</f>
        <v/>
      </c>
      <c r="X2537" s="47">
        <f>IF(GrossBasis="Wholesale",V2537,W2537)</f>
        <v/>
      </c>
      <c r="Y2537" s="47">
        <f>R2537*INDEX(FmtBlendedCogs,MATCH(F2537,FmtName,0))</f>
        <v/>
      </c>
      <c r="Z2537" s="47">
        <f>X2537-Y2537</f>
        <v/>
      </c>
    </row>
    <row r="2538">
      <c r="A2538" t="n">
        <v>46</v>
      </c>
      <c r="B2538" s="44">
        <f>FiscalStart+(A2538-1)*7</f>
        <v/>
      </c>
      <c r="C2538">
        <f>TEXT(B2538,"mmm yyyy")</f>
        <v/>
      </c>
      <c r="D2538">
        <f>"Q"&amp;(INT((A2538-1)/13)+1)</f>
        <v/>
      </c>
      <c r="E2538" t="inlineStr">
        <is>
          <t>FDM</t>
        </is>
      </c>
      <c r="F2538">
        <f>IFERROR(INDEX(ChFormat,MATCH(E2538,ChName,0)),"")</f>
        <v/>
      </c>
      <c r="G2538" t="inlineStr">
        <is>
          <t>NS</t>
        </is>
      </c>
      <c r="H2538">
        <f>IF(A2538&lt;=NWeeks,1,0)</f>
        <v/>
      </c>
      <c r="I2538">
        <f>INDEX(ChLaunch,MATCH(E2538,ChName,0))</f>
        <v/>
      </c>
      <c r="J2538">
        <f>INDEX(ChWeeksFull,MATCH(E2538,ChName,0))</f>
        <v/>
      </c>
      <c r="K2538">
        <f>INDEX(ChRamp,MATCH(E2538,ChName,0))</f>
        <v/>
      </c>
      <c r="L2538" s="45">
        <f>MIN(1,MAX(0,(A2538-I2538+1)*RampSpeed/J2538))</f>
        <v/>
      </c>
      <c r="M2538" s="45">
        <f>IF(A2538&lt;I2538,0,IF(K2538="S-curve",L2538*L2538*(3-2*L2538),L2538))</f>
        <v/>
      </c>
      <c r="N2538" s="45">
        <f>1+(INDEX(SeasonIdx,A2538)-1)*SeasonAmp</f>
        <v/>
      </c>
      <c r="O2538" s="45">
        <f>IFERROR(INDEX(PSPct,MATCH(E2538&amp;"|"&amp;G2538,PSKey,0)),0)</f>
        <v/>
      </c>
      <c r="P2538" s="46">
        <f>INDEX(ChDoorVel,MATCH(E2538,ChName,0))*CalibScalar*(1+VelocityUplift)</f>
        <v/>
      </c>
      <c r="Q2538" s="46" t="n">
        <v>0</v>
      </c>
      <c r="R2538" s="46">
        <f>P2538*O2538*M2538*N2538*H2538</f>
        <v/>
      </c>
      <c r="S2538" s="46">
        <f>R2538*INDEX(FmtCansPerCase,MATCH(F2538,FmtName,0))</f>
        <v/>
      </c>
      <c r="T2538" s="46">
        <f>S2538/INDEX(FmtCansPerPack,MATCH(F2538,FmtName,0))</f>
        <v/>
      </c>
      <c r="U2538" s="47">
        <f>INDEX(ChBaseCP,MATCH(E2538,ChName,0))*(1+INDEX(ProvMod,MATCH(G2538,ProvCode,0)))*(1+PriceIndex)</f>
        <v/>
      </c>
      <c r="V2538" s="47">
        <f>R2538*U2538*INDEX(FmtBlendedPriceIdx,MATCH(F2538,FmtName,0))</f>
        <v/>
      </c>
      <c r="W2538" s="47">
        <f>T2538*INDEX(ProvSRP,MATCH(G2538,ProvCode,0))*(1+PriceIndex)</f>
        <v/>
      </c>
      <c r="X2538" s="47">
        <f>IF(GrossBasis="Wholesale",V2538,W2538)</f>
        <v/>
      </c>
      <c r="Y2538" s="47">
        <f>R2538*INDEX(FmtBlendedCogs,MATCH(F2538,FmtName,0))</f>
        <v/>
      </c>
      <c r="Z2538" s="47">
        <f>X2538-Y2538</f>
        <v/>
      </c>
    </row>
    <row r="2539">
      <c r="A2539" t="n">
        <v>47</v>
      </c>
      <c r="B2539" s="44">
        <f>FiscalStart+(A2539-1)*7</f>
        <v/>
      </c>
      <c r="C2539">
        <f>TEXT(B2539,"mmm yyyy")</f>
        <v/>
      </c>
      <c r="D2539">
        <f>"Q"&amp;(INT((A2539-1)/13)+1)</f>
        <v/>
      </c>
      <c r="E2539" t="inlineStr">
        <is>
          <t>FDM</t>
        </is>
      </c>
      <c r="F2539">
        <f>IFERROR(INDEX(ChFormat,MATCH(E2539,ChName,0)),"")</f>
        <v/>
      </c>
      <c r="G2539" t="inlineStr">
        <is>
          <t>NS</t>
        </is>
      </c>
      <c r="H2539">
        <f>IF(A2539&lt;=NWeeks,1,0)</f>
        <v/>
      </c>
      <c r="I2539">
        <f>INDEX(ChLaunch,MATCH(E2539,ChName,0))</f>
        <v/>
      </c>
      <c r="J2539">
        <f>INDEX(ChWeeksFull,MATCH(E2539,ChName,0))</f>
        <v/>
      </c>
      <c r="K2539">
        <f>INDEX(ChRamp,MATCH(E2539,ChName,0))</f>
        <v/>
      </c>
      <c r="L2539" s="45">
        <f>MIN(1,MAX(0,(A2539-I2539+1)*RampSpeed/J2539))</f>
        <v/>
      </c>
      <c r="M2539" s="45">
        <f>IF(A2539&lt;I2539,0,IF(K2539="S-curve",L2539*L2539*(3-2*L2539),L2539))</f>
        <v/>
      </c>
      <c r="N2539" s="45">
        <f>1+(INDEX(SeasonIdx,A2539)-1)*SeasonAmp</f>
        <v/>
      </c>
      <c r="O2539" s="45">
        <f>IFERROR(INDEX(PSPct,MATCH(E2539&amp;"|"&amp;G2539,PSKey,0)),0)</f>
        <v/>
      </c>
      <c r="P2539" s="46">
        <f>INDEX(ChDoorVel,MATCH(E2539,ChName,0))*CalibScalar*(1+VelocityUplift)</f>
        <v/>
      </c>
      <c r="Q2539" s="46" t="n">
        <v>0</v>
      </c>
      <c r="R2539" s="46">
        <f>P2539*O2539*M2539*N2539*H2539</f>
        <v/>
      </c>
      <c r="S2539" s="46">
        <f>R2539*INDEX(FmtCansPerCase,MATCH(F2539,FmtName,0))</f>
        <v/>
      </c>
      <c r="T2539" s="46">
        <f>S2539/INDEX(FmtCansPerPack,MATCH(F2539,FmtName,0))</f>
        <v/>
      </c>
      <c r="U2539" s="47">
        <f>INDEX(ChBaseCP,MATCH(E2539,ChName,0))*(1+INDEX(ProvMod,MATCH(G2539,ProvCode,0)))*(1+PriceIndex)</f>
        <v/>
      </c>
      <c r="V2539" s="47">
        <f>R2539*U2539*INDEX(FmtBlendedPriceIdx,MATCH(F2539,FmtName,0))</f>
        <v/>
      </c>
      <c r="W2539" s="47">
        <f>T2539*INDEX(ProvSRP,MATCH(G2539,ProvCode,0))*(1+PriceIndex)</f>
        <v/>
      </c>
      <c r="X2539" s="47">
        <f>IF(GrossBasis="Wholesale",V2539,W2539)</f>
        <v/>
      </c>
      <c r="Y2539" s="47">
        <f>R2539*INDEX(FmtBlendedCogs,MATCH(F2539,FmtName,0))</f>
        <v/>
      </c>
      <c r="Z2539" s="47">
        <f>X2539-Y2539</f>
        <v/>
      </c>
    </row>
    <row r="2540">
      <c r="A2540" t="n">
        <v>48</v>
      </c>
      <c r="B2540" s="44">
        <f>FiscalStart+(A2540-1)*7</f>
        <v/>
      </c>
      <c r="C2540">
        <f>TEXT(B2540,"mmm yyyy")</f>
        <v/>
      </c>
      <c r="D2540">
        <f>"Q"&amp;(INT((A2540-1)/13)+1)</f>
        <v/>
      </c>
      <c r="E2540" t="inlineStr">
        <is>
          <t>FDM</t>
        </is>
      </c>
      <c r="F2540">
        <f>IFERROR(INDEX(ChFormat,MATCH(E2540,ChName,0)),"")</f>
        <v/>
      </c>
      <c r="G2540" t="inlineStr">
        <is>
          <t>NS</t>
        </is>
      </c>
      <c r="H2540">
        <f>IF(A2540&lt;=NWeeks,1,0)</f>
        <v/>
      </c>
      <c r="I2540">
        <f>INDEX(ChLaunch,MATCH(E2540,ChName,0))</f>
        <v/>
      </c>
      <c r="J2540">
        <f>INDEX(ChWeeksFull,MATCH(E2540,ChName,0))</f>
        <v/>
      </c>
      <c r="K2540">
        <f>INDEX(ChRamp,MATCH(E2540,ChName,0))</f>
        <v/>
      </c>
      <c r="L2540" s="45">
        <f>MIN(1,MAX(0,(A2540-I2540+1)*RampSpeed/J2540))</f>
        <v/>
      </c>
      <c r="M2540" s="45">
        <f>IF(A2540&lt;I2540,0,IF(K2540="S-curve",L2540*L2540*(3-2*L2540),L2540))</f>
        <v/>
      </c>
      <c r="N2540" s="45">
        <f>1+(INDEX(SeasonIdx,A2540)-1)*SeasonAmp</f>
        <v/>
      </c>
      <c r="O2540" s="45">
        <f>IFERROR(INDEX(PSPct,MATCH(E2540&amp;"|"&amp;G2540,PSKey,0)),0)</f>
        <v/>
      </c>
      <c r="P2540" s="46">
        <f>INDEX(ChDoorVel,MATCH(E2540,ChName,0))*CalibScalar*(1+VelocityUplift)</f>
        <v/>
      </c>
      <c r="Q2540" s="46" t="n">
        <v>0</v>
      </c>
      <c r="R2540" s="46">
        <f>P2540*O2540*M2540*N2540*H2540</f>
        <v/>
      </c>
      <c r="S2540" s="46">
        <f>R2540*INDEX(FmtCansPerCase,MATCH(F2540,FmtName,0))</f>
        <v/>
      </c>
      <c r="T2540" s="46">
        <f>S2540/INDEX(FmtCansPerPack,MATCH(F2540,FmtName,0))</f>
        <v/>
      </c>
      <c r="U2540" s="47">
        <f>INDEX(ChBaseCP,MATCH(E2540,ChName,0))*(1+INDEX(ProvMod,MATCH(G2540,ProvCode,0)))*(1+PriceIndex)</f>
        <v/>
      </c>
      <c r="V2540" s="47">
        <f>R2540*U2540*INDEX(FmtBlendedPriceIdx,MATCH(F2540,FmtName,0))</f>
        <v/>
      </c>
      <c r="W2540" s="47">
        <f>T2540*INDEX(ProvSRP,MATCH(G2540,ProvCode,0))*(1+PriceIndex)</f>
        <v/>
      </c>
      <c r="X2540" s="47">
        <f>IF(GrossBasis="Wholesale",V2540,W2540)</f>
        <v/>
      </c>
      <c r="Y2540" s="47">
        <f>R2540*INDEX(FmtBlendedCogs,MATCH(F2540,FmtName,0))</f>
        <v/>
      </c>
      <c r="Z2540" s="47">
        <f>X2540-Y2540</f>
        <v/>
      </c>
    </row>
    <row r="2541">
      <c r="A2541" t="n">
        <v>49</v>
      </c>
      <c r="B2541" s="44">
        <f>FiscalStart+(A2541-1)*7</f>
        <v/>
      </c>
      <c r="C2541">
        <f>TEXT(B2541,"mmm yyyy")</f>
        <v/>
      </c>
      <c r="D2541">
        <f>"Q"&amp;(INT((A2541-1)/13)+1)</f>
        <v/>
      </c>
      <c r="E2541" t="inlineStr">
        <is>
          <t>FDM</t>
        </is>
      </c>
      <c r="F2541">
        <f>IFERROR(INDEX(ChFormat,MATCH(E2541,ChName,0)),"")</f>
        <v/>
      </c>
      <c r="G2541" t="inlineStr">
        <is>
          <t>NS</t>
        </is>
      </c>
      <c r="H2541">
        <f>IF(A2541&lt;=NWeeks,1,0)</f>
        <v/>
      </c>
      <c r="I2541">
        <f>INDEX(ChLaunch,MATCH(E2541,ChName,0))</f>
        <v/>
      </c>
      <c r="J2541">
        <f>INDEX(ChWeeksFull,MATCH(E2541,ChName,0))</f>
        <v/>
      </c>
      <c r="K2541">
        <f>INDEX(ChRamp,MATCH(E2541,ChName,0))</f>
        <v/>
      </c>
      <c r="L2541" s="45">
        <f>MIN(1,MAX(0,(A2541-I2541+1)*RampSpeed/J2541))</f>
        <v/>
      </c>
      <c r="M2541" s="45">
        <f>IF(A2541&lt;I2541,0,IF(K2541="S-curve",L2541*L2541*(3-2*L2541),L2541))</f>
        <v/>
      </c>
      <c r="N2541" s="45">
        <f>1+(INDEX(SeasonIdx,A2541)-1)*SeasonAmp</f>
        <v/>
      </c>
      <c r="O2541" s="45">
        <f>IFERROR(INDEX(PSPct,MATCH(E2541&amp;"|"&amp;G2541,PSKey,0)),0)</f>
        <v/>
      </c>
      <c r="P2541" s="46">
        <f>INDEX(ChDoorVel,MATCH(E2541,ChName,0))*CalibScalar*(1+VelocityUplift)</f>
        <v/>
      </c>
      <c r="Q2541" s="46" t="n">
        <v>0</v>
      </c>
      <c r="R2541" s="46">
        <f>P2541*O2541*M2541*N2541*H2541</f>
        <v/>
      </c>
      <c r="S2541" s="46">
        <f>R2541*INDEX(FmtCansPerCase,MATCH(F2541,FmtName,0))</f>
        <v/>
      </c>
      <c r="T2541" s="46">
        <f>S2541/INDEX(FmtCansPerPack,MATCH(F2541,FmtName,0))</f>
        <v/>
      </c>
      <c r="U2541" s="47">
        <f>INDEX(ChBaseCP,MATCH(E2541,ChName,0))*(1+INDEX(ProvMod,MATCH(G2541,ProvCode,0)))*(1+PriceIndex)</f>
        <v/>
      </c>
      <c r="V2541" s="47">
        <f>R2541*U2541*INDEX(FmtBlendedPriceIdx,MATCH(F2541,FmtName,0))</f>
        <v/>
      </c>
      <c r="W2541" s="47">
        <f>T2541*INDEX(ProvSRP,MATCH(G2541,ProvCode,0))*(1+PriceIndex)</f>
        <v/>
      </c>
      <c r="X2541" s="47">
        <f>IF(GrossBasis="Wholesale",V2541,W2541)</f>
        <v/>
      </c>
      <c r="Y2541" s="47">
        <f>R2541*INDEX(FmtBlendedCogs,MATCH(F2541,FmtName,0))</f>
        <v/>
      </c>
      <c r="Z2541" s="47">
        <f>X2541-Y2541</f>
        <v/>
      </c>
    </row>
    <row r="2542">
      <c r="A2542" t="n">
        <v>50</v>
      </c>
      <c r="B2542" s="44">
        <f>FiscalStart+(A2542-1)*7</f>
        <v/>
      </c>
      <c r="C2542">
        <f>TEXT(B2542,"mmm yyyy")</f>
        <v/>
      </c>
      <c r="D2542">
        <f>"Q"&amp;(INT((A2542-1)/13)+1)</f>
        <v/>
      </c>
      <c r="E2542" t="inlineStr">
        <is>
          <t>FDM</t>
        </is>
      </c>
      <c r="F2542">
        <f>IFERROR(INDEX(ChFormat,MATCH(E2542,ChName,0)),"")</f>
        <v/>
      </c>
      <c r="G2542" t="inlineStr">
        <is>
          <t>NS</t>
        </is>
      </c>
      <c r="H2542">
        <f>IF(A2542&lt;=NWeeks,1,0)</f>
        <v/>
      </c>
      <c r="I2542">
        <f>INDEX(ChLaunch,MATCH(E2542,ChName,0))</f>
        <v/>
      </c>
      <c r="J2542">
        <f>INDEX(ChWeeksFull,MATCH(E2542,ChName,0))</f>
        <v/>
      </c>
      <c r="K2542">
        <f>INDEX(ChRamp,MATCH(E2542,ChName,0))</f>
        <v/>
      </c>
      <c r="L2542" s="45">
        <f>MIN(1,MAX(0,(A2542-I2542+1)*RampSpeed/J2542))</f>
        <v/>
      </c>
      <c r="M2542" s="45">
        <f>IF(A2542&lt;I2542,0,IF(K2542="S-curve",L2542*L2542*(3-2*L2542),L2542))</f>
        <v/>
      </c>
      <c r="N2542" s="45">
        <f>1+(INDEX(SeasonIdx,A2542)-1)*SeasonAmp</f>
        <v/>
      </c>
      <c r="O2542" s="45">
        <f>IFERROR(INDEX(PSPct,MATCH(E2542&amp;"|"&amp;G2542,PSKey,0)),0)</f>
        <v/>
      </c>
      <c r="P2542" s="46">
        <f>INDEX(ChDoorVel,MATCH(E2542,ChName,0))*CalibScalar*(1+VelocityUplift)</f>
        <v/>
      </c>
      <c r="Q2542" s="46" t="n">
        <v>0</v>
      </c>
      <c r="R2542" s="46">
        <f>P2542*O2542*M2542*N2542*H2542</f>
        <v/>
      </c>
      <c r="S2542" s="46">
        <f>R2542*INDEX(FmtCansPerCase,MATCH(F2542,FmtName,0))</f>
        <v/>
      </c>
      <c r="T2542" s="46">
        <f>S2542/INDEX(FmtCansPerPack,MATCH(F2542,FmtName,0))</f>
        <v/>
      </c>
      <c r="U2542" s="47">
        <f>INDEX(ChBaseCP,MATCH(E2542,ChName,0))*(1+INDEX(ProvMod,MATCH(G2542,ProvCode,0)))*(1+PriceIndex)</f>
        <v/>
      </c>
      <c r="V2542" s="47">
        <f>R2542*U2542*INDEX(FmtBlendedPriceIdx,MATCH(F2542,FmtName,0))</f>
        <v/>
      </c>
      <c r="W2542" s="47">
        <f>T2542*INDEX(ProvSRP,MATCH(G2542,ProvCode,0))*(1+PriceIndex)</f>
        <v/>
      </c>
      <c r="X2542" s="47">
        <f>IF(GrossBasis="Wholesale",V2542,W2542)</f>
        <v/>
      </c>
      <c r="Y2542" s="47">
        <f>R2542*INDEX(FmtBlendedCogs,MATCH(F2542,FmtName,0))</f>
        <v/>
      </c>
      <c r="Z2542" s="47">
        <f>X2542-Y2542</f>
        <v/>
      </c>
    </row>
    <row r="2543">
      <c r="A2543" t="n">
        <v>51</v>
      </c>
      <c r="B2543" s="44">
        <f>FiscalStart+(A2543-1)*7</f>
        <v/>
      </c>
      <c r="C2543">
        <f>TEXT(B2543,"mmm yyyy")</f>
        <v/>
      </c>
      <c r="D2543">
        <f>"Q"&amp;(INT((A2543-1)/13)+1)</f>
        <v/>
      </c>
      <c r="E2543" t="inlineStr">
        <is>
          <t>FDM</t>
        </is>
      </c>
      <c r="F2543">
        <f>IFERROR(INDEX(ChFormat,MATCH(E2543,ChName,0)),"")</f>
        <v/>
      </c>
      <c r="G2543" t="inlineStr">
        <is>
          <t>NS</t>
        </is>
      </c>
      <c r="H2543">
        <f>IF(A2543&lt;=NWeeks,1,0)</f>
        <v/>
      </c>
      <c r="I2543">
        <f>INDEX(ChLaunch,MATCH(E2543,ChName,0))</f>
        <v/>
      </c>
      <c r="J2543">
        <f>INDEX(ChWeeksFull,MATCH(E2543,ChName,0))</f>
        <v/>
      </c>
      <c r="K2543">
        <f>INDEX(ChRamp,MATCH(E2543,ChName,0))</f>
        <v/>
      </c>
      <c r="L2543" s="45">
        <f>MIN(1,MAX(0,(A2543-I2543+1)*RampSpeed/J2543))</f>
        <v/>
      </c>
      <c r="M2543" s="45">
        <f>IF(A2543&lt;I2543,0,IF(K2543="S-curve",L2543*L2543*(3-2*L2543),L2543))</f>
        <v/>
      </c>
      <c r="N2543" s="45">
        <f>1+(INDEX(SeasonIdx,A2543)-1)*SeasonAmp</f>
        <v/>
      </c>
      <c r="O2543" s="45">
        <f>IFERROR(INDEX(PSPct,MATCH(E2543&amp;"|"&amp;G2543,PSKey,0)),0)</f>
        <v/>
      </c>
      <c r="P2543" s="46">
        <f>INDEX(ChDoorVel,MATCH(E2543,ChName,0))*CalibScalar*(1+VelocityUplift)</f>
        <v/>
      </c>
      <c r="Q2543" s="46" t="n">
        <v>0</v>
      </c>
      <c r="R2543" s="46">
        <f>P2543*O2543*M2543*N2543*H2543</f>
        <v/>
      </c>
      <c r="S2543" s="46">
        <f>R2543*INDEX(FmtCansPerCase,MATCH(F2543,FmtName,0))</f>
        <v/>
      </c>
      <c r="T2543" s="46">
        <f>S2543/INDEX(FmtCansPerPack,MATCH(F2543,FmtName,0))</f>
        <v/>
      </c>
      <c r="U2543" s="47">
        <f>INDEX(ChBaseCP,MATCH(E2543,ChName,0))*(1+INDEX(ProvMod,MATCH(G2543,ProvCode,0)))*(1+PriceIndex)</f>
        <v/>
      </c>
      <c r="V2543" s="47">
        <f>R2543*U2543*INDEX(FmtBlendedPriceIdx,MATCH(F2543,FmtName,0))</f>
        <v/>
      </c>
      <c r="W2543" s="47">
        <f>T2543*INDEX(ProvSRP,MATCH(G2543,ProvCode,0))*(1+PriceIndex)</f>
        <v/>
      </c>
      <c r="X2543" s="47">
        <f>IF(GrossBasis="Wholesale",V2543,W2543)</f>
        <v/>
      </c>
      <c r="Y2543" s="47">
        <f>R2543*INDEX(FmtBlendedCogs,MATCH(F2543,FmtName,0))</f>
        <v/>
      </c>
      <c r="Z2543" s="47">
        <f>X2543-Y2543</f>
        <v/>
      </c>
    </row>
    <row r="2544">
      <c r="A2544" t="n">
        <v>52</v>
      </c>
      <c r="B2544" s="44">
        <f>FiscalStart+(A2544-1)*7</f>
        <v/>
      </c>
      <c r="C2544">
        <f>TEXT(B2544,"mmm yyyy")</f>
        <v/>
      </c>
      <c r="D2544">
        <f>"Q"&amp;(INT((A2544-1)/13)+1)</f>
        <v/>
      </c>
      <c r="E2544" t="inlineStr">
        <is>
          <t>FDM</t>
        </is>
      </c>
      <c r="F2544">
        <f>IFERROR(INDEX(ChFormat,MATCH(E2544,ChName,0)),"")</f>
        <v/>
      </c>
      <c r="G2544" t="inlineStr">
        <is>
          <t>NS</t>
        </is>
      </c>
      <c r="H2544">
        <f>IF(A2544&lt;=NWeeks,1,0)</f>
        <v/>
      </c>
      <c r="I2544">
        <f>INDEX(ChLaunch,MATCH(E2544,ChName,0))</f>
        <v/>
      </c>
      <c r="J2544">
        <f>INDEX(ChWeeksFull,MATCH(E2544,ChName,0))</f>
        <v/>
      </c>
      <c r="K2544">
        <f>INDEX(ChRamp,MATCH(E2544,ChName,0))</f>
        <v/>
      </c>
      <c r="L2544" s="45">
        <f>MIN(1,MAX(0,(A2544-I2544+1)*RampSpeed/J2544))</f>
        <v/>
      </c>
      <c r="M2544" s="45">
        <f>IF(A2544&lt;I2544,0,IF(K2544="S-curve",L2544*L2544*(3-2*L2544),L2544))</f>
        <v/>
      </c>
      <c r="N2544" s="45">
        <f>1+(INDEX(SeasonIdx,A2544)-1)*SeasonAmp</f>
        <v/>
      </c>
      <c r="O2544" s="45">
        <f>IFERROR(INDEX(PSPct,MATCH(E2544&amp;"|"&amp;G2544,PSKey,0)),0)</f>
        <v/>
      </c>
      <c r="P2544" s="46">
        <f>INDEX(ChDoorVel,MATCH(E2544,ChName,0))*CalibScalar*(1+VelocityUplift)</f>
        <v/>
      </c>
      <c r="Q2544" s="46" t="n">
        <v>0</v>
      </c>
      <c r="R2544" s="46">
        <f>P2544*O2544*M2544*N2544*H2544</f>
        <v/>
      </c>
      <c r="S2544" s="46">
        <f>R2544*INDEX(FmtCansPerCase,MATCH(F2544,FmtName,0))</f>
        <v/>
      </c>
      <c r="T2544" s="46">
        <f>S2544/INDEX(FmtCansPerPack,MATCH(F2544,FmtName,0))</f>
        <v/>
      </c>
      <c r="U2544" s="47">
        <f>INDEX(ChBaseCP,MATCH(E2544,ChName,0))*(1+INDEX(ProvMod,MATCH(G2544,ProvCode,0)))*(1+PriceIndex)</f>
        <v/>
      </c>
      <c r="V2544" s="47">
        <f>R2544*U2544*INDEX(FmtBlendedPriceIdx,MATCH(F2544,FmtName,0))</f>
        <v/>
      </c>
      <c r="W2544" s="47">
        <f>T2544*INDEX(ProvSRP,MATCH(G2544,ProvCode,0))*(1+PriceIndex)</f>
        <v/>
      </c>
      <c r="X2544" s="47">
        <f>IF(GrossBasis="Wholesale",V2544,W2544)</f>
        <v/>
      </c>
      <c r="Y2544" s="47">
        <f>R2544*INDEX(FmtBlendedCogs,MATCH(F2544,FmtName,0))</f>
        <v/>
      </c>
      <c r="Z2544" s="47">
        <f>X2544-Y2544</f>
        <v/>
      </c>
    </row>
    <row r="2545">
      <c r="A2545" t="n">
        <v>53</v>
      </c>
      <c r="B2545" s="44">
        <f>FiscalStart+(A2545-1)*7</f>
        <v/>
      </c>
      <c r="C2545">
        <f>TEXT(B2545,"mmm yyyy")</f>
        <v/>
      </c>
      <c r="D2545">
        <f>"Q"&amp;(INT((A2545-1)/13)+1)</f>
        <v/>
      </c>
      <c r="E2545" t="inlineStr">
        <is>
          <t>FDM</t>
        </is>
      </c>
      <c r="F2545">
        <f>IFERROR(INDEX(ChFormat,MATCH(E2545,ChName,0)),"")</f>
        <v/>
      </c>
      <c r="G2545" t="inlineStr">
        <is>
          <t>NS</t>
        </is>
      </c>
      <c r="H2545">
        <f>IF(A2545&lt;=NWeeks,1,0)</f>
        <v/>
      </c>
      <c r="I2545">
        <f>INDEX(ChLaunch,MATCH(E2545,ChName,0))</f>
        <v/>
      </c>
      <c r="J2545">
        <f>INDEX(ChWeeksFull,MATCH(E2545,ChName,0))</f>
        <v/>
      </c>
      <c r="K2545">
        <f>INDEX(ChRamp,MATCH(E2545,ChName,0))</f>
        <v/>
      </c>
      <c r="L2545" s="45">
        <f>MIN(1,MAX(0,(A2545-I2545+1)*RampSpeed/J2545))</f>
        <v/>
      </c>
      <c r="M2545" s="45">
        <f>IF(A2545&lt;I2545,0,IF(K2545="S-curve",L2545*L2545*(3-2*L2545),L2545))</f>
        <v/>
      </c>
      <c r="N2545" s="45">
        <f>1+(INDEX(SeasonIdx,A2545)-1)*SeasonAmp</f>
        <v/>
      </c>
      <c r="O2545" s="45">
        <f>IFERROR(INDEX(PSPct,MATCH(E2545&amp;"|"&amp;G2545,PSKey,0)),0)</f>
        <v/>
      </c>
      <c r="P2545" s="46">
        <f>INDEX(ChDoorVel,MATCH(E2545,ChName,0))*CalibScalar*(1+VelocityUplift)</f>
        <v/>
      </c>
      <c r="Q2545" s="46" t="n">
        <v>0</v>
      </c>
      <c r="R2545" s="46">
        <f>P2545*O2545*M2545*N2545*H2545</f>
        <v/>
      </c>
      <c r="S2545" s="46">
        <f>R2545*INDEX(FmtCansPerCase,MATCH(F2545,FmtName,0))</f>
        <v/>
      </c>
      <c r="T2545" s="46">
        <f>S2545/INDEX(FmtCansPerPack,MATCH(F2545,FmtName,0))</f>
        <v/>
      </c>
      <c r="U2545" s="47">
        <f>INDEX(ChBaseCP,MATCH(E2545,ChName,0))*(1+INDEX(ProvMod,MATCH(G2545,ProvCode,0)))*(1+PriceIndex)</f>
        <v/>
      </c>
      <c r="V2545" s="47">
        <f>R2545*U2545*INDEX(FmtBlendedPriceIdx,MATCH(F2545,FmtName,0))</f>
        <v/>
      </c>
      <c r="W2545" s="47">
        <f>T2545*INDEX(ProvSRP,MATCH(G2545,ProvCode,0))*(1+PriceIndex)</f>
        <v/>
      </c>
      <c r="X2545" s="47">
        <f>IF(GrossBasis="Wholesale",V2545,W2545)</f>
        <v/>
      </c>
      <c r="Y2545" s="47">
        <f>R2545*INDEX(FmtBlendedCogs,MATCH(F2545,FmtName,0))</f>
        <v/>
      </c>
      <c r="Z2545" s="47">
        <f>X2545-Y2545</f>
        <v/>
      </c>
    </row>
    <row r="2546">
      <c r="A2546" t="n">
        <v>1</v>
      </c>
      <c r="B2546" s="44">
        <f>FiscalStart+(A2546-1)*7</f>
        <v/>
      </c>
      <c r="C2546">
        <f>TEXT(B2546,"mmm yyyy")</f>
        <v/>
      </c>
      <c r="D2546">
        <f>"Q"&amp;(INT((A2546-1)/13)+1)</f>
        <v/>
      </c>
      <c r="E2546" t="inlineStr">
        <is>
          <t>FDM</t>
        </is>
      </c>
      <c r="F2546">
        <f>IFERROR(INDEX(ChFormat,MATCH(E2546,ChName,0)),"")</f>
        <v/>
      </c>
      <c r="G2546" t="inlineStr">
        <is>
          <t>PE</t>
        </is>
      </c>
      <c r="H2546">
        <f>IF(A2546&lt;=NWeeks,1,0)</f>
        <v/>
      </c>
      <c r="I2546">
        <f>INDEX(ChLaunch,MATCH(E2546,ChName,0))</f>
        <v/>
      </c>
      <c r="J2546">
        <f>INDEX(ChWeeksFull,MATCH(E2546,ChName,0))</f>
        <v/>
      </c>
      <c r="K2546">
        <f>INDEX(ChRamp,MATCH(E2546,ChName,0))</f>
        <v/>
      </c>
      <c r="L2546" s="45">
        <f>MIN(1,MAX(0,(A2546-I2546+1)*RampSpeed/J2546))</f>
        <v/>
      </c>
      <c r="M2546" s="45">
        <f>IF(A2546&lt;I2546,0,IF(K2546="S-curve",L2546*L2546*(3-2*L2546),L2546))</f>
        <v/>
      </c>
      <c r="N2546" s="45">
        <f>1+(INDEX(SeasonIdx,A2546)-1)*SeasonAmp</f>
        <v/>
      </c>
      <c r="O2546" s="45">
        <f>IFERROR(INDEX(PSPct,MATCH(E2546&amp;"|"&amp;G2546,PSKey,0)),0)</f>
        <v/>
      </c>
      <c r="P2546" s="46">
        <f>INDEX(ChDoorVel,MATCH(E2546,ChName,0))*CalibScalar*(1+VelocityUplift)</f>
        <v/>
      </c>
      <c r="Q2546" s="46" t="n">
        <v>0</v>
      </c>
      <c r="R2546" s="46">
        <f>P2546*O2546*M2546*N2546*H2546</f>
        <v/>
      </c>
      <c r="S2546" s="46">
        <f>R2546*INDEX(FmtCansPerCase,MATCH(F2546,FmtName,0))</f>
        <v/>
      </c>
      <c r="T2546" s="46">
        <f>S2546/INDEX(FmtCansPerPack,MATCH(F2546,FmtName,0))</f>
        <v/>
      </c>
      <c r="U2546" s="47">
        <f>INDEX(ChBaseCP,MATCH(E2546,ChName,0))*(1+INDEX(ProvMod,MATCH(G2546,ProvCode,0)))*(1+PriceIndex)</f>
        <v/>
      </c>
      <c r="V2546" s="47">
        <f>R2546*U2546*INDEX(FmtBlendedPriceIdx,MATCH(F2546,FmtName,0))</f>
        <v/>
      </c>
      <c r="W2546" s="47">
        <f>T2546*INDEX(ProvSRP,MATCH(G2546,ProvCode,0))*(1+PriceIndex)</f>
        <v/>
      </c>
      <c r="X2546" s="47">
        <f>IF(GrossBasis="Wholesale",V2546,W2546)</f>
        <v/>
      </c>
      <c r="Y2546" s="47">
        <f>R2546*INDEX(FmtBlendedCogs,MATCH(F2546,FmtName,0))</f>
        <v/>
      </c>
      <c r="Z2546" s="47">
        <f>X2546-Y2546</f>
        <v/>
      </c>
    </row>
    <row r="2547">
      <c r="A2547" t="n">
        <v>2</v>
      </c>
      <c r="B2547" s="44">
        <f>FiscalStart+(A2547-1)*7</f>
        <v/>
      </c>
      <c r="C2547">
        <f>TEXT(B2547,"mmm yyyy")</f>
        <v/>
      </c>
      <c r="D2547">
        <f>"Q"&amp;(INT((A2547-1)/13)+1)</f>
        <v/>
      </c>
      <c r="E2547" t="inlineStr">
        <is>
          <t>FDM</t>
        </is>
      </c>
      <c r="F2547">
        <f>IFERROR(INDEX(ChFormat,MATCH(E2547,ChName,0)),"")</f>
        <v/>
      </c>
      <c r="G2547" t="inlineStr">
        <is>
          <t>PE</t>
        </is>
      </c>
      <c r="H2547">
        <f>IF(A2547&lt;=NWeeks,1,0)</f>
        <v/>
      </c>
      <c r="I2547">
        <f>INDEX(ChLaunch,MATCH(E2547,ChName,0))</f>
        <v/>
      </c>
      <c r="J2547">
        <f>INDEX(ChWeeksFull,MATCH(E2547,ChName,0))</f>
        <v/>
      </c>
      <c r="K2547">
        <f>INDEX(ChRamp,MATCH(E2547,ChName,0))</f>
        <v/>
      </c>
      <c r="L2547" s="45">
        <f>MIN(1,MAX(0,(A2547-I2547+1)*RampSpeed/J2547))</f>
        <v/>
      </c>
      <c r="M2547" s="45">
        <f>IF(A2547&lt;I2547,0,IF(K2547="S-curve",L2547*L2547*(3-2*L2547),L2547))</f>
        <v/>
      </c>
      <c r="N2547" s="45">
        <f>1+(INDEX(SeasonIdx,A2547)-1)*SeasonAmp</f>
        <v/>
      </c>
      <c r="O2547" s="45">
        <f>IFERROR(INDEX(PSPct,MATCH(E2547&amp;"|"&amp;G2547,PSKey,0)),0)</f>
        <v/>
      </c>
      <c r="P2547" s="46">
        <f>INDEX(ChDoorVel,MATCH(E2547,ChName,0))*CalibScalar*(1+VelocityUplift)</f>
        <v/>
      </c>
      <c r="Q2547" s="46" t="n">
        <v>0</v>
      </c>
      <c r="R2547" s="46">
        <f>P2547*O2547*M2547*N2547*H2547</f>
        <v/>
      </c>
      <c r="S2547" s="46">
        <f>R2547*INDEX(FmtCansPerCase,MATCH(F2547,FmtName,0))</f>
        <v/>
      </c>
      <c r="T2547" s="46">
        <f>S2547/INDEX(FmtCansPerPack,MATCH(F2547,FmtName,0))</f>
        <v/>
      </c>
      <c r="U2547" s="47">
        <f>INDEX(ChBaseCP,MATCH(E2547,ChName,0))*(1+INDEX(ProvMod,MATCH(G2547,ProvCode,0)))*(1+PriceIndex)</f>
        <v/>
      </c>
      <c r="V2547" s="47">
        <f>R2547*U2547*INDEX(FmtBlendedPriceIdx,MATCH(F2547,FmtName,0))</f>
        <v/>
      </c>
      <c r="W2547" s="47">
        <f>T2547*INDEX(ProvSRP,MATCH(G2547,ProvCode,0))*(1+PriceIndex)</f>
        <v/>
      </c>
      <c r="X2547" s="47">
        <f>IF(GrossBasis="Wholesale",V2547,W2547)</f>
        <v/>
      </c>
      <c r="Y2547" s="47">
        <f>R2547*INDEX(FmtBlendedCogs,MATCH(F2547,FmtName,0))</f>
        <v/>
      </c>
      <c r="Z2547" s="47">
        <f>X2547-Y2547</f>
        <v/>
      </c>
    </row>
    <row r="2548">
      <c r="A2548" t="n">
        <v>3</v>
      </c>
      <c r="B2548" s="44">
        <f>FiscalStart+(A2548-1)*7</f>
        <v/>
      </c>
      <c r="C2548">
        <f>TEXT(B2548,"mmm yyyy")</f>
        <v/>
      </c>
      <c r="D2548">
        <f>"Q"&amp;(INT((A2548-1)/13)+1)</f>
        <v/>
      </c>
      <c r="E2548" t="inlineStr">
        <is>
          <t>FDM</t>
        </is>
      </c>
      <c r="F2548">
        <f>IFERROR(INDEX(ChFormat,MATCH(E2548,ChName,0)),"")</f>
        <v/>
      </c>
      <c r="G2548" t="inlineStr">
        <is>
          <t>PE</t>
        </is>
      </c>
      <c r="H2548">
        <f>IF(A2548&lt;=NWeeks,1,0)</f>
        <v/>
      </c>
      <c r="I2548">
        <f>INDEX(ChLaunch,MATCH(E2548,ChName,0))</f>
        <v/>
      </c>
      <c r="J2548">
        <f>INDEX(ChWeeksFull,MATCH(E2548,ChName,0))</f>
        <v/>
      </c>
      <c r="K2548">
        <f>INDEX(ChRamp,MATCH(E2548,ChName,0))</f>
        <v/>
      </c>
      <c r="L2548" s="45">
        <f>MIN(1,MAX(0,(A2548-I2548+1)*RampSpeed/J2548))</f>
        <v/>
      </c>
      <c r="M2548" s="45">
        <f>IF(A2548&lt;I2548,0,IF(K2548="S-curve",L2548*L2548*(3-2*L2548),L2548))</f>
        <v/>
      </c>
      <c r="N2548" s="45">
        <f>1+(INDEX(SeasonIdx,A2548)-1)*SeasonAmp</f>
        <v/>
      </c>
      <c r="O2548" s="45">
        <f>IFERROR(INDEX(PSPct,MATCH(E2548&amp;"|"&amp;G2548,PSKey,0)),0)</f>
        <v/>
      </c>
      <c r="P2548" s="46">
        <f>INDEX(ChDoorVel,MATCH(E2548,ChName,0))*CalibScalar*(1+VelocityUplift)</f>
        <v/>
      </c>
      <c r="Q2548" s="46" t="n">
        <v>0</v>
      </c>
      <c r="R2548" s="46">
        <f>P2548*O2548*M2548*N2548*H2548</f>
        <v/>
      </c>
      <c r="S2548" s="46">
        <f>R2548*INDEX(FmtCansPerCase,MATCH(F2548,FmtName,0))</f>
        <v/>
      </c>
      <c r="T2548" s="46">
        <f>S2548/INDEX(FmtCansPerPack,MATCH(F2548,FmtName,0))</f>
        <v/>
      </c>
      <c r="U2548" s="47">
        <f>INDEX(ChBaseCP,MATCH(E2548,ChName,0))*(1+INDEX(ProvMod,MATCH(G2548,ProvCode,0)))*(1+PriceIndex)</f>
        <v/>
      </c>
      <c r="V2548" s="47">
        <f>R2548*U2548*INDEX(FmtBlendedPriceIdx,MATCH(F2548,FmtName,0))</f>
        <v/>
      </c>
      <c r="W2548" s="47">
        <f>T2548*INDEX(ProvSRP,MATCH(G2548,ProvCode,0))*(1+PriceIndex)</f>
        <v/>
      </c>
      <c r="X2548" s="47">
        <f>IF(GrossBasis="Wholesale",V2548,W2548)</f>
        <v/>
      </c>
      <c r="Y2548" s="47">
        <f>R2548*INDEX(FmtBlendedCogs,MATCH(F2548,FmtName,0))</f>
        <v/>
      </c>
      <c r="Z2548" s="47">
        <f>X2548-Y2548</f>
        <v/>
      </c>
    </row>
    <row r="2549">
      <c r="A2549" t="n">
        <v>4</v>
      </c>
      <c r="B2549" s="44">
        <f>FiscalStart+(A2549-1)*7</f>
        <v/>
      </c>
      <c r="C2549">
        <f>TEXT(B2549,"mmm yyyy")</f>
        <v/>
      </c>
      <c r="D2549">
        <f>"Q"&amp;(INT((A2549-1)/13)+1)</f>
        <v/>
      </c>
      <c r="E2549" t="inlineStr">
        <is>
          <t>FDM</t>
        </is>
      </c>
      <c r="F2549">
        <f>IFERROR(INDEX(ChFormat,MATCH(E2549,ChName,0)),"")</f>
        <v/>
      </c>
      <c r="G2549" t="inlineStr">
        <is>
          <t>PE</t>
        </is>
      </c>
      <c r="H2549">
        <f>IF(A2549&lt;=NWeeks,1,0)</f>
        <v/>
      </c>
      <c r="I2549">
        <f>INDEX(ChLaunch,MATCH(E2549,ChName,0))</f>
        <v/>
      </c>
      <c r="J2549">
        <f>INDEX(ChWeeksFull,MATCH(E2549,ChName,0))</f>
        <v/>
      </c>
      <c r="K2549">
        <f>INDEX(ChRamp,MATCH(E2549,ChName,0))</f>
        <v/>
      </c>
      <c r="L2549" s="45">
        <f>MIN(1,MAX(0,(A2549-I2549+1)*RampSpeed/J2549))</f>
        <v/>
      </c>
      <c r="M2549" s="45">
        <f>IF(A2549&lt;I2549,0,IF(K2549="S-curve",L2549*L2549*(3-2*L2549),L2549))</f>
        <v/>
      </c>
      <c r="N2549" s="45">
        <f>1+(INDEX(SeasonIdx,A2549)-1)*SeasonAmp</f>
        <v/>
      </c>
      <c r="O2549" s="45">
        <f>IFERROR(INDEX(PSPct,MATCH(E2549&amp;"|"&amp;G2549,PSKey,0)),0)</f>
        <v/>
      </c>
      <c r="P2549" s="46">
        <f>INDEX(ChDoorVel,MATCH(E2549,ChName,0))*CalibScalar*(1+VelocityUplift)</f>
        <v/>
      </c>
      <c r="Q2549" s="46" t="n">
        <v>0</v>
      </c>
      <c r="R2549" s="46">
        <f>P2549*O2549*M2549*N2549*H2549</f>
        <v/>
      </c>
      <c r="S2549" s="46">
        <f>R2549*INDEX(FmtCansPerCase,MATCH(F2549,FmtName,0))</f>
        <v/>
      </c>
      <c r="T2549" s="46">
        <f>S2549/INDEX(FmtCansPerPack,MATCH(F2549,FmtName,0))</f>
        <v/>
      </c>
      <c r="U2549" s="47">
        <f>INDEX(ChBaseCP,MATCH(E2549,ChName,0))*(1+INDEX(ProvMod,MATCH(G2549,ProvCode,0)))*(1+PriceIndex)</f>
        <v/>
      </c>
      <c r="V2549" s="47">
        <f>R2549*U2549*INDEX(FmtBlendedPriceIdx,MATCH(F2549,FmtName,0))</f>
        <v/>
      </c>
      <c r="W2549" s="47">
        <f>T2549*INDEX(ProvSRP,MATCH(G2549,ProvCode,0))*(1+PriceIndex)</f>
        <v/>
      </c>
      <c r="X2549" s="47">
        <f>IF(GrossBasis="Wholesale",V2549,W2549)</f>
        <v/>
      </c>
      <c r="Y2549" s="47">
        <f>R2549*INDEX(FmtBlendedCogs,MATCH(F2549,FmtName,0))</f>
        <v/>
      </c>
      <c r="Z2549" s="47">
        <f>X2549-Y2549</f>
        <v/>
      </c>
    </row>
    <row r="2550">
      <c r="A2550" t="n">
        <v>5</v>
      </c>
      <c r="B2550" s="44">
        <f>FiscalStart+(A2550-1)*7</f>
        <v/>
      </c>
      <c r="C2550">
        <f>TEXT(B2550,"mmm yyyy")</f>
        <v/>
      </c>
      <c r="D2550">
        <f>"Q"&amp;(INT((A2550-1)/13)+1)</f>
        <v/>
      </c>
      <c r="E2550" t="inlineStr">
        <is>
          <t>FDM</t>
        </is>
      </c>
      <c r="F2550">
        <f>IFERROR(INDEX(ChFormat,MATCH(E2550,ChName,0)),"")</f>
        <v/>
      </c>
      <c r="G2550" t="inlineStr">
        <is>
          <t>PE</t>
        </is>
      </c>
      <c r="H2550">
        <f>IF(A2550&lt;=NWeeks,1,0)</f>
        <v/>
      </c>
      <c r="I2550">
        <f>INDEX(ChLaunch,MATCH(E2550,ChName,0))</f>
        <v/>
      </c>
      <c r="J2550">
        <f>INDEX(ChWeeksFull,MATCH(E2550,ChName,0))</f>
        <v/>
      </c>
      <c r="K2550">
        <f>INDEX(ChRamp,MATCH(E2550,ChName,0))</f>
        <v/>
      </c>
      <c r="L2550" s="45">
        <f>MIN(1,MAX(0,(A2550-I2550+1)*RampSpeed/J2550))</f>
        <v/>
      </c>
      <c r="M2550" s="45">
        <f>IF(A2550&lt;I2550,0,IF(K2550="S-curve",L2550*L2550*(3-2*L2550),L2550))</f>
        <v/>
      </c>
      <c r="N2550" s="45">
        <f>1+(INDEX(SeasonIdx,A2550)-1)*SeasonAmp</f>
        <v/>
      </c>
      <c r="O2550" s="45">
        <f>IFERROR(INDEX(PSPct,MATCH(E2550&amp;"|"&amp;G2550,PSKey,0)),0)</f>
        <v/>
      </c>
      <c r="P2550" s="46">
        <f>INDEX(ChDoorVel,MATCH(E2550,ChName,0))*CalibScalar*(1+VelocityUplift)</f>
        <v/>
      </c>
      <c r="Q2550" s="46" t="n">
        <v>0</v>
      </c>
      <c r="R2550" s="46">
        <f>P2550*O2550*M2550*N2550*H2550</f>
        <v/>
      </c>
      <c r="S2550" s="46">
        <f>R2550*INDEX(FmtCansPerCase,MATCH(F2550,FmtName,0))</f>
        <v/>
      </c>
      <c r="T2550" s="46">
        <f>S2550/INDEX(FmtCansPerPack,MATCH(F2550,FmtName,0))</f>
        <v/>
      </c>
      <c r="U2550" s="47">
        <f>INDEX(ChBaseCP,MATCH(E2550,ChName,0))*(1+INDEX(ProvMod,MATCH(G2550,ProvCode,0)))*(1+PriceIndex)</f>
        <v/>
      </c>
      <c r="V2550" s="47">
        <f>R2550*U2550*INDEX(FmtBlendedPriceIdx,MATCH(F2550,FmtName,0))</f>
        <v/>
      </c>
      <c r="W2550" s="47">
        <f>T2550*INDEX(ProvSRP,MATCH(G2550,ProvCode,0))*(1+PriceIndex)</f>
        <v/>
      </c>
      <c r="X2550" s="47">
        <f>IF(GrossBasis="Wholesale",V2550,W2550)</f>
        <v/>
      </c>
      <c r="Y2550" s="47">
        <f>R2550*INDEX(FmtBlendedCogs,MATCH(F2550,FmtName,0))</f>
        <v/>
      </c>
      <c r="Z2550" s="47">
        <f>X2550-Y2550</f>
        <v/>
      </c>
    </row>
    <row r="2551">
      <c r="A2551" t="n">
        <v>6</v>
      </c>
      <c r="B2551" s="44">
        <f>FiscalStart+(A2551-1)*7</f>
        <v/>
      </c>
      <c r="C2551">
        <f>TEXT(B2551,"mmm yyyy")</f>
        <v/>
      </c>
      <c r="D2551">
        <f>"Q"&amp;(INT((A2551-1)/13)+1)</f>
        <v/>
      </c>
      <c r="E2551" t="inlineStr">
        <is>
          <t>FDM</t>
        </is>
      </c>
      <c r="F2551">
        <f>IFERROR(INDEX(ChFormat,MATCH(E2551,ChName,0)),"")</f>
        <v/>
      </c>
      <c r="G2551" t="inlineStr">
        <is>
          <t>PE</t>
        </is>
      </c>
      <c r="H2551">
        <f>IF(A2551&lt;=NWeeks,1,0)</f>
        <v/>
      </c>
      <c r="I2551">
        <f>INDEX(ChLaunch,MATCH(E2551,ChName,0))</f>
        <v/>
      </c>
      <c r="J2551">
        <f>INDEX(ChWeeksFull,MATCH(E2551,ChName,0))</f>
        <v/>
      </c>
      <c r="K2551">
        <f>INDEX(ChRamp,MATCH(E2551,ChName,0))</f>
        <v/>
      </c>
      <c r="L2551" s="45">
        <f>MIN(1,MAX(0,(A2551-I2551+1)*RampSpeed/J2551))</f>
        <v/>
      </c>
      <c r="M2551" s="45">
        <f>IF(A2551&lt;I2551,0,IF(K2551="S-curve",L2551*L2551*(3-2*L2551),L2551))</f>
        <v/>
      </c>
      <c r="N2551" s="45">
        <f>1+(INDEX(SeasonIdx,A2551)-1)*SeasonAmp</f>
        <v/>
      </c>
      <c r="O2551" s="45">
        <f>IFERROR(INDEX(PSPct,MATCH(E2551&amp;"|"&amp;G2551,PSKey,0)),0)</f>
        <v/>
      </c>
      <c r="P2551" s="46">
        <f>INDEX(ChDoorVel,MATCH(E2551,ChName,0))*CalibScalar*(1+VelocityUplift)</f>
        <v/>
      </c>
      <c r="Q2551" s="46" t="n">
        <v>0</v>
      </c>
      <c r="R2551" s="46">
        <f>P2551*O2551*M2551*N2551*H2551</f>
        <v/>
      </c>
      <c r="S2551" s="46">
        <f>R2551*INDEX(FmtCansPerCase,MATCH(F2551,FmtName,0))</f>
        <v/>
      </c>
      <c r="T2551" s="46">
        <f>S2551/INDEX(FmtCansPerPack,MATCH(F2551,FmtName,0))</f>
        <v/>
      </c>
      <c r="U2551" s="47">
        <f>INDEX(ChBaseCP,MATCH(E2551,ChName,0))*(1+INDEX(ProvMod,MATCH(G2551,ProvCode,0)))*(1+PriceIndex)</f>
        <v/>
      </c>
      <c r="V2551" s="47">
        <f>R2551*U2551*INDEX(FmtBlendedPriceIdx,MATCH(F2551,FmtName,0))</f>
        <v/>
      </c>
      <c r="W2551" s="47">
        <f>T2551*INDEX(ProvSRP,MATCH(G2551,ProvCode,0))*(1+PriceIndex)</f>
        <v/>
      </c>
      <c r="X2551" s="47">
        <f>IF(GrossBasis="Wholesale",V2551,W2551)</f>
        <v/>
      </c>
      <c r="Y2551" s="47">
        <f>R2551*INDEX(FmtBlendedCogs,MATCH(F2551,FmtName,0))</f>
        <v/>
      </c>
      <c r="Z2551" s="47">
        <f>X2551-Y2551</f>
        <v/>
      </c>
    </row>
    <row r="2552">
      <c r="A2552" t="n">
        <v>7</v>
      </c>
      <c r="B2552" s="44">
        <f>FiscalStart+(A2552-1)*7</f>
        <v/>
      </c>
      <c r="C2552">
        <f>TEXT(B2552,"mmm yyyy")</f>
        <v/>
      </c>
      <c r="D2552">
        <f>"Q"&amp;(INT((A2552-1)/13)+1)</f>
        <v/>
      </c>
      <c r="E2552" t="inlineStr">
        <is>
          <t>FDM</t>
        </is>
      </c>
      <c r="F2552">
        <f>IFERROR(INDEX(ChFormat,MATCH(E2552,ChName,0)),"")</f>
        <v/>
      </c>
      <c r="G2552" t="inlineStr">
        <is>
          <t>PE</t>
        </is>
      </c>
      <c r="H2552">
        <f>IF(A2552&lt;=NWeeks,1,0)</f>
        <v/>
      </c>
      <c r="I2552">
        <f>INDEX(ChLaunch,MATCH(E2552,ChName,0))</f>
        <v/>
      </c>
      <c r="J2552">
        <f>INDEX(ChWeeksFull,MATCH(E2552,ChName,0))</f>
        <v/>
      </c>
      <c r="K2552">
        <f>INDEX(ChRamp,MATCH(E2552,ChName,0))</f>
        <v/>
      </c>
      <c r="L2552" s="45">
        <f>MIN(1,MAX(0,(A2552-I2552+1)*RampSpeed/J2552))</f>
        <v/>
      </c>
      <c r="M2552" s="45">
        <f>IF(A2552&lt;I2552,0,IF(K2552="S-curve",L2552*L2552*(3-2*L2552),L2552))</f>
        <v/>
      </c>
      <c r="N2552" s="45">
        <f>1+(INDEX(SeasonIdx,A2552)-1)*SeasonAmp</f>
        <v/>
      </c>
      <c r="O2552" s="45">
        <f>IFERROR(INDEX(PSPct,MATCH(E2552&amp;"|"&amp;G2552,PSKey,0)),0)</f>
        <v/>
      </c>
      <c r="P2552" s="46">
        <f>INDEX(ChDoorVel,MATCH(E2552,ChName,0))*CalibScalar*(1+VelocityUplift)</f>
        <v/>
      </c>
      <c r="Q2552" s="46" t="n">
        <v>0</v>
      </c>
      <c r="R2552" s="46">
        <f>P2552*O2552*M2552*N2552*H2552</f>
        <v/>
      </c>
      <c r="S2552" s="46">
        <f>R2552*INDEX(FmtCansPerCase,MATCH(F2552,FmtName,0))</f>
        <v/>
      </c>
      <c r="T2552" s="46">
        <f>S2552/INDEX(FmtCansPerPack,MATCH(F2552,FmtName,0))</f>
        <v/>
      </c>
      <c r="U2552" s="47">
        <f>INDEX(ChBaseCP,MATCH(E2552,ChName,0))*(1+INDEX(ProvMod,MATCH(G2552,ProvCode,0)))*(1+PriceIndex)</f>
        <v/>
      </c>
      <c r="V2552" s="47">
        <f>R2552*U2552*INDEX(FmtBlendedPriceIdx,MATCH(F2552,FmtName,0))</f>
        <v/>
      </c>
      <c r="W2552" s="47">
        <f>T2552*INDEX(ProvSRP,MATCH(G2552,ProvCode,0))*(1+PriceIndex)</f>
        <v/>
      </c>
      <c r="X2552" s="47">
        <f>IF(GrossBasis="Wholesale",V2552,W2552)</f>
        <v/>
      </c>
      <c r="Y2552" s="47">
        <f>R2552*INDEX(FmtBlendedCogs,MATCH(F2552,FmtName,0))</f>
        <v/>
      </c>
      <c r="Z2552" s="47">
        <f>X2552-Y2552</f>
        <v/>
      </c>
    </row>
    <row r="2553">
      <c r="A2553" t="n">
        <v>8</v>
      </c>
      <c r="B2553" s="44">
        <f>FiscalStart+(A2553-1)*7</f>
        <v/>
      </c>
      <c r="C2553">
        <f>TEXT(B2553,"mmm yyyy")</f>
        <v/>
      </c>
      <c r="D2553">
        <f>"Q"&amp;(INT((A2553-1)/13)+1)</f>
        <v/>
      </c>
      <c r="E2553" t="inlineStr">
        <is>
          <t>FDM</t>
        </is>
      </c>
      <c r="F2553">
        <f>IFERROR(INDEX(ChFormat,MATCH(E2553,ChName,0)),"")</f>
        <v/>
      </c>
      <c r="G2553" t="inlineStr">
        <is>
          <t>PE</t>
        </is>
      </c>
      <c r="H2553">
        <f>IF(A2553&lt;=NWeeks,1,0)</f>
        <v/>
      </c>
      <c r="I2553">
        <f>INDEX(ChLaunch,MATCH(E2553,ChName,0))</f>
        <v/>
      </c>
      <c r="J2553">
        <f>INDEX(ChWeeksFull,MATCH(E2553,ChName,0))</f>
        <v/>
      </c>
      <c r="K2553">
        <f>INDEX(ChRamp,MATCH(E2553,ChName,0))</f>
        <v/>
      </c>
      <c r="L2553" s="45">
        <f>MIN(1,MAX(0,(A2553-I2553+1)*RampSpeed/J2553))</f>
        <v/>
      </c>
      <c r="M2553" s="45">
        <f>IF(A2553&lt;I2553,0,IF(K2553="S-curve",L2553*L2553*(3-2*L2553),L2553))</f>
        <v/>
      </c>
      <c r="N2553" s="45">
        <f>1+(INDEX(SeasonIdx,A2553)-1)*SeasonAmp</f>
        <v/>
      </c>
      <c r="O2553" s="45">
        <f>IFERROR(INDEX(PSPct,MATCH(E2553&amp;"|"&amp;G2553,PSKey,0)),0)</f>
        <v/>
      </c>
      <c r="P2553" s="46">
        <f>INDEX(ChDoorVel,MATCH(E2553,ChName,0))*CalibScalar*(1+VelocityUplift)</f>
        <v/>
      </c>
      <c r="Q2553" s="46" t="n">
        <v>0</v>
      </c>
      <c r="R2553" s="46">
        <f>P2553*O2553*M2553*N2553*H2553</f>
        <v/>
      </c>
      <c r="S2553" s="46">
        <f>R2553*INDEX(FmtCansPerCase,MATCH(F2553,FmtName,0))</f>
        <v/>
      </c>
      <c r="T2553" s="46">
        <f>S2553/INDEX(FmtCansPerPack,MATCH(F2553,FmtName,0))</f>
        <v/>
      </c>
      <c r="U2553" s="47">
        <f>INDEX(ChBaseCP,MATCH(E2553,ChName,0))*(1+INDEX(ProvMod,MATCH(G2553,ProvCode,0)))*(1+PriceIndex)</f>
        <v/>
      </c>
      <c r="V2553" s="47">
        <f>R2553*U2553*INDEX(FmtBlendedPriceIdx,MATCH(F2553,FmtName,0))</f>
        <v/>
      </c>
      <c r="W2553" s="47">
        <f>T2553*INDEX(ProvSRP,MATCH(G2553,ProvCode,0))*(1+PriceIndex)</f>
        <v/>
      </c>
      <c r="X2553" s="47">
        <f>IF(GrossBasis="Wholesale",V2553,W2553)</f>
        <v/>
      </c>
      <c r="Y2553" s="47">
        <f>R2553*INDEX(FmtBlendedCogs,MATCH(F2553,FmtName,0))</f>
        <v/>
      </c>
      <c r="Z2553" s="47">
        <f>X2553-Y2553</f>
        <v/>
      </c>
    </row>
    <row r="2554">
      <c r="A2554" t="n">
        <v>9</v>
      </c>
      <c r="B2554" s="44">
        <f>FiscalStart+(A2554-1)*7</f>
        <v/>
      </c>
      <c r="C2554">
        <f>TEXT(B2554,"mmm yyyy")</f>
        <v/>
      </c>
      <c r="D2554">
        <f>"Q"&amp;(INT((A2554-1)/13)+1)</f>
        <v/>
      </c>
      <c r="E2554" t="inlineStr">
        <is>
          <t>FDM</t>
        </is>
      </c>
      <c r="F2554">
        <f>IFERROR(INDEX(ChFormat,MATCH(E2554,ChName,0)),"")</f>
        <v/>
      </c>
      <c r="G2554" t="inlineStr">
        <is>
          <t>PE</t>
        </is>
      </c>
      <c r="H2554">
        <f>IF(A2554&lt;=NWeeks,1,0)</f>
        <v/>
      </c>
      <c r="I2554">
        <f>INDEX(ChLaunch,MATCH(E2554,ChName,0))</f>
        <v/>
      </c>
      <c r="J2554">
        <f>INDEX(ChWeeksFull,MATCH(E2554,ChName,0))</f>
        <v/>
      </c>
      <c r="K2554">
        <f>INDEX(ChRamp,MATCH(E2554,ChName,0))</f>
        <v/>
      </c>
      <c r="L2554" s="45">
        <f>MIN(1,MAX(0,(A2554-I2554+1)*RampSpeed/J2554))</f>
        <v/>
      </c>
      <c r="M2554" s="45">
        <f>IF(A2554&lt;I2554,0,IF(K2554="S-curve",L2554*L2554*(3-2*L2554),L2554))</f>
        <v/>
      </c>
      <c r="N2554" s="45">
        <f>1+(INDEX(SeasonIdx,A2554)-1)*SeasonAmp</f>
        <v/>
      </c>
      <c r="O2554" s="45">
        <f>IFERROR(INDEX(PSPct,MATCH(E2554&amp;"|"&amp;G2554,PSKey,0)),0)</f>
        <v/>
      </c>
      <c r="P2554" s="46">
        <f>INDEX(ChDoorVel,MATCH(E2554,ChName,0))*CalibScalar*(1+VelocityUplift)</f>
        <v/>
      </c>
      <c r="Q2554" s="46" t="n">
        <v>0</v>
      </c>
      <c r="R2554" s="46">
        <f>P2554*O2554*M2554*N2554*H2554</f>
        <v/>
      </c>
      <c r="S2554" s="46">
        <f>R2554*INDEX(FmtCansPerCase,MATCH(F2554,FmtName,0))</f>
        <v/>
      </c>
      <c r="T2554" s="46">
        <f>S2554/INDEX(FmtCansPerPack,MATCH(F2554,FmtName,0))</f>
        <v/>
      </c>
      <c r="U2554" s="47">
        <f>INDEX(ChBaseCP,MATCH(E2554,ChName,0))*(1+INDEX(ProvMod,MATCH(G2554,ProvCode,0)))*(1+PriceIndex)</f>
        <v/>
      </c>
      <c r="V2554" s="47">
        <f>R2554*U2554*INDEX(FmtBlendedPriceIdx,MATCH(F2554,FmtName,0))</f>
        <v/>
      </c>
      <c r="W2554" s="47">
        <f>T2554*INDEX(ProvSRP,MATCH(G2554,ProvCode,0))*(1+PriceIndex)</f>
        <v/>
      </c>
      <c r="X2554" s="47">
        <f>IF(GrossBasis="Wholesale",V2554,W2554)</f>
        <v/>
      </c>
      <c r="Y2554" s="47">
        <f>R2554*INDEX(FmtBlendedCogs,MATCH(F2554,FmtName,0))</f>
        <v/>
      </c>
      <c r="Z2554" s="47">
        <f>X2554-Y2554</f>
        <v/>
      </c>
    </row>
    <row r="2555">
      <c r="A2555" t="n">
        <v>10</v>
      </c>
      <c r="B2555" s="44">
        <f>FiscalStart+(A2555-1)*7</f>
        <v/>
      </c>
      <c r="C2555">
        <f>TEXT(B2555,"mmm yyyy")</f>
        <v/>
      </c>
      <c r="D2555">
        <f>"Q"&amp;(INT((A2555-1)/13)+1)</f>
        <v/>
      </c>
      <c r="E2555" t="inlineStr">
        <is>
          <t>FDM</t>
        </is>
      </c>
      <c r="F2555">
        <f>IFERROR(INDEX(ChFormat,MATCH(E2555,ChName,0)),"")</f>
        <v/>
      </c>
      <c r="G2555" t="inlineStr">
        <is>
          <t>PE</t>
        </is>
      </c>
      <c r="H2555">
        <f>IF(A2555&lt;=NWeeks,1,0)</f>
        <v/>
      </c>
      <c r="I2555">
        <f>INDEX(ChLaunch,MATCH(E2555,ChName,0))</f>
        <v/>
      </c>
      <c r="J2555">
        <f>INDEX(ChWeeksFull,MATCH(E2555,ChName,0))</f>
        <v/>
      </c>
      <c r="K2555">
        <f>INDEX(ChRamp,MATCH(E2555,ChName,0))</f>
        <v/>
      </c>
      <c r="L2555" s="45">
        <f>MIN(1,MAX(0,(A2555-I2555+1)*RampSpeed/J2555))</f>
        <v/>
      </c>
      <c r="M2555" s="45">
        <f>IF(A2555&lt;I2555,0,IF(K2555="S-curve",L2555*L2555*(3-2*L2555),L2555))</f>
        <v/>
      </c>
      <c r="N2555" s="45">
        <f>1+(INDEX(SeasonIdx,A2555)-1)*SeasonAmp</f>
        <v/>
      </c>
      <c r="O2555" s="45">
        <f>IFERROR(INDEX(PSPct,MATCH(E2555&amp;"|"&amp;G2555,PSKey,0)),0)</f>
        <v/>
      </c>
      <c r="P2555" s="46">
        <f>INDEX(ChDoorVel,MATCH(E2555,ChName,0))*CalibScalar*(1+VelocityUplift)</f>
        <v/>
      </c>
      <c r="Q2555" s="46" t="n">
        <v>0</v>
      </c>
      <c r="R2555" s="46">
        <f>P2555*O2555*M2555*N2555*H2555</f>
        <v/>
      </c>
      <c r="S2555" s="46">
        <f>R2555*INDEX(FmtCansPerCase,MATCH(F2555,FmtName,0))</f>
        <v/>
      </c>
      <c r="T2555" s="46">
        <f>S2555/INDEX(FmtCansPerPack,MATCH(F2555,FmtName,0))</f>
        <v/>
      </c>
      <c r="U2555" s="47">
        <f>INDEX(ChBaseCP,MATCH(E2555,ChName,0))*(1+INDEX(ProvMod,MATCH(G2555,ProvCode,0)))*(1+PriceIndex)</f>
        <v/>
      </c>
      <c r="V2555" s="47">
        <f>R2555*U2555*INDEX(FmtBlendedPriceIdx,MATCH(F2555,FmtName,0))</f>
        <v/>
      </c>
      <c r="W2555" s="47">
        <f>T2555*INDEX(ProvSRP,MATCH(G2555,ProvCode,0))*(1+PriceIndex)</f>
        <v/>
      </c>
      <c r="X2555" s="47">
        <f>IF(GrossBasis="Wholesale",V2555,W2555)</f>
        <v/>
      </c>
      <c r="Y2555" s="47">
        <f>R2555*INDEX(FmtBlendedCogs,MATCH(F2555,FmtName,0))</f>
        <v/>
      </c>
      <c r="Z2555" s="47">
        <f>X2555-Y2555</f>
        <v/>
      </c>
    </row>
    <row r="2556">
      <c r="A2556" t="n">
        <v>11</v>
      </c>
      <c r="B2556" s="44">
        <f>FiscalStart+(A2556-1)*7</f>
        <v/>
      </c>
      <c r="C2556">
        <f>TEXT(B2556,"mmm yyyy")</f>
        <v/>
      </c>
      <c r="D2556">
        <f>"Q"&amp;(INT((A2556-1)/13)+1)</f>
        <v/>
      </c>
      <c r="E2556" t="inlineStr">
        <is>
          <t>FDM</t>
        </is>
      </c>
      <c r="F2556">
        <f>IFERROR(INDEX(ChFormat,MATCH(E2556,ChName,0)),"")</f>
        <v/>
      </c>
      <c r="G2556" t="inlineStr">
        <is>
          <t>PE</t>
        </is>
      </c>
      <c r="H2556">
        <f>IF(A2556&lt;=NWeeks,1,0)</f>
        <v/>
      </c>
      <c r="I2556">
        <f>INDEX(ChLaunch,MATCH(E2556,ChName,0))</f>
        <v/>
      </c>
      <c r="J2556">
        <f>INDEX(ChWeeksFull,MATCH(E2556,ChName,0))</f>
        <v/>
      </c>
      <c r="K2556">
        <f>INDEX(ChRamp,MATCH(E2556,ChName,0))</f>
        <v/>
      </c>
      <c r="L2556" s="45">
        <f>MIN(1,MAX(0,(A2556-I2556+1)*RampSpeed/J2556))</f>
        <v/>
      </c>
      <c r="M2556" s="45">
        <f>IF(A2556&lt;I2556,0,IF(K2556="S-curve",L2556*L2556*(3-2*L2556),L2556))</f>
        <v/>
      </c>
      <c r="N2556" s="45">
        <f>1+(INDEX(SeasonIdx,A2556)-1)*SeasonAmp</f>
        <v/>
      </c>
      <c r="O2556" s="45">
        <f>IFERROR(INDEX(PSPct,MATCH(E2556&amp;"|"&amp;G2556,PSKey,0)),0)</f>
        <v/>
      </c>
      <c r="P2556" s="46">
        <f>INDEX(ChDoorVel,MATCH(E2556,ChName,0))*CalibScalar*(1+VelocityUplift)</f>
        <v/>
      </c>
      <c r="Q2556" s="46" t="n">
        <v>0</v>
      </c>
      <c r="R2556" s="46">
        <f>P2556*O2556*M2556*N2556*H2556</f>
        <v/>
      </c>
      <c r="S2556" s="46">
        <f>R2556*INDEX(FmtCansPerCase,MATCH(F2556,FmtName,0))</f>
        <v/>
      </c>
      <c r="T2556" s="46">
        <f>S2556/INDEX(FmtCansPerPack,MATCH(F2556,FmtName,0))</f>
        <v/>
      </c>
      <c r="U2556" s="47">
        <f>INDEX(ChBaseCP,MATCH(E2556,ChName,0))*(1+INDEX(ProvMod,MATCH(G2556,ProvCode,0)))*(1+PriceIndex)</f>
        <v/>
      </c>
      <c r="V2556" s="47">
        <f>R2556*U2556*INDEX(FmtBlendedPriceIdx,MATCH(F2556,FmtName,0))</f>
        <v/>
      </c>
      <c r="W2556" s="47">
        <f>T2556*INDEX(ProvSRP,MATCH(G2556,ProvCode,0))*(1+PriceIndex)</f>
        <v/>
      </c>
      <c r="X2556" s="47">
        <f>IF(GrossBasis="Wholesale",V2556,W2556)</f>
        <v/>
      </c>
      <c r="Y2556" s="47">
        <f>R2556*INDEX(FmtBlendedCogs,MATCH(F2556,FmtName,0))</f>
        <v/>
      </c>
      <c r="Z2556" s="47">
        <f>X2556-Y2556</f>
        <v/>
      </c>
    </row>
    <row r="2557">
      <c r="A2557" t="n">
        <v>12</v>
      </c>
      <c r="B2557" s="44">
        <f>FiscalStart+(A2557-1)*7</f>
        <v/>
      </c>
      <c r="C2557">
        <f>TEXT(B2557,"mmm yyyy")</f>
        <v/>
      </c>
      <c r="D2557">
        <f>"Q"&amp;(INT((A2557-1)/13)+1)</f>
        <v/>
      </c>
      <c r="E2557" t="inlineStr">
        <is>
          <t>FDM</t>
        </is>
      </c>
      <c r="F2557">
        <f>IFERROR(INDEX(ChFormat,MATCH(E2557,ChName,0)),"")</f>
        <v/>
      </c>
      <c r="G2557" t="inlineStr">
        <is>
          <t>PE</t>
        </is>
      </c>
      <c r="H2557">
        <f>IF(A2557&lt;=NWeeks,1,0)</f>
        <v/>
      </c>
      <c r="I2557">
        <f>INDEX(ChLaunch,MATCH(E2557,ChName,0))</f>
        <v/>
      </c>
      <c r="J2557">
        <f>INDEX(ChWeeksFull,MATCH(E2557,ChName,0))</f>
        <v/>
      </c>
      <c r="K2557">
        <f>INDEX(ChRamp,MATCH(E2557,ChName,0))</f>
        <v/>
      </c>
      <c r="L2557" s="45">
        <f>MIN(1,MAX(0,(A2557-I2557+1)*RampSpeed/J2557))</f>
        <v/>
      </c>
      <c r="M2557" s="45">
        <f>IF(A2557&lt;I2557,0,IF(K2557="S-curve",L2557*L2557*(3-2*L2557),L2557))</f>
        <v/>
      </c>
      <c r="N2557" s="45">
        <f>1+(INDEX(SeasonIdx,A2557)-1)*SeasonAmp</f>
        <v/>
      </c>
      <c r="O2557" s="45">
        <f>IFERROR(INDEX(PSPct,MATCH(E2557&amp;"|"&amp;G2557,PSKey,0)),0)</f>
        <v/>
      </c>
      <c r="P2557" s="46">
        <f>INDEX(ChDoorVel,MATCH(E2557,ChName,0))*CalibScalar*(1+VelocityUplift)</f>
        <v/>
      </c>
      <c r="Q2557" s="46" t="n">
        <v>0</v>
      </c>
      <c r="R2557" s="46">
        <f>P2557*O2557*M2557*N2557*H2557</f>
        <v/>
      </c>
      <c r="S2557" s="46">
        <f>R2557*INDEX(FmtCansPerCase,MATCH(F2557,FmtName,0))</f>
        <v/>
      </c>
      <c r="T2557" s="46">
        <f>S2557/INDEX(FmtCansPerPack,MATCH(F2557,FmtName,0))</f>
        <v/>
      </c>
      <c r="U2557" s="47">
        <f>INDEX(ChBaseCP,MATCH(E2557,ChName,0))*(1+INDEX(ProvMod,MATCH(G2557,ProvCode,0)))*(1+PriceIndex)</f>
        <v/>
      </c>
      <c r="V2557" s="47">
        <f>R2557*U2557*INDEX(FmtBlendedPriceIdx,MATCH(F2557,FmtName,0))</f>
        <v/>
      </c>
      <c r="W2557" s="47">
        <f>T2557*INDEX(ProvSRP,MATCH(G2557,ProvCode,0))*(1+PriceIndex)</f>
        <v/>
      </c>
      <c r="X2557" s="47">
        <f>IF(GrossBasis="Wholesale",V2557,W2557)</f>
        <v/>
      </c>
      <c r="Y2557" s="47">
        <f>R2557*INDEX(FmtBlendedCogs,MATCH(F2557,FmtName,0))</f>
        <v/>
      </c>
      <c r="Z2557" s="47">
        <f>X2557-Y2557</f>
        <v/>
      </c>
    </row>
    <row r="2558">
      <c r="A2558" t="n">
        <v>13</v>
      </c>
      <c r="B2558" s="44">
        <f>FiscalStart+(A2558-1)*7</f>
        <v/>
      </c>
      <c r="C2558">
        <f>TEXT(B2558,"mmm yyyy")</f>
        <v/>
      </c>
      <c r="D2558">
        <f>"Q"&amp;(INT((A2558-1)/13)+1)</f>
        <v/>
      </c>
      <c r="E2558" t="inlineStr">
        <is>
          <t>FDM</t>
        </is>
      </c>
      <c r="F2558">
        <f>IFERROR(INDEX(ChFormat,MATCH(E2558,ChName,0)),"")</f>
        <v/>
      </c>
      <c r="G2558" t="inlineStr">
        <is>
          <t>PE</t>
        </is>
      </c>
      <c r="H2558">
        <f>IF(A2558&lt;=NWeeks,1,0)</f>
        <v/>
      </c>
      <c r="I2558">
        <f>INDEX(ChLaunch,MATCH(E2558,ChName,0))</f>
        <v/>
      </c>
      <c r="J2558">
        <f>INDEX(ChWeeksFull,MATCH(E2558,ChName,0))</f>
        <v/>
      </c>
      <c r="K2558">
        <f>INDEX(ChRamp,MATCH(E2558,ChName,0))</f>
        <v/>
      </c>
      <c r="L2558" s="45">
        <f>MIN(1,MAX(0,(A2558-I2558+1)*RampSpeed/J2558))</f>
        <v/>
      </c>
      <c r="M2558" s="45">
        <f>IF(A2558&lt;I2558,0,IF(K2558="S-curve",L2558*L2558*(3-2*L2558),L2558))</f>
        <v/>
      </c>
      <c r="N2558" s="45">
        <f>1+(INDEX(SeasonIdx,A2558)-1)*SeasonAmp</f>
        <v/>
      </c>
      <c r="O2558" s="45">
        <f>IFERROR(INDEX(PSPct,MATCH(E2558&amp;"|"&amp;G2558,PSKey,0)),0)</f>
        <v/>
      </c>
      <c r="P2558" s="46">
        <f>INDEX(ChDoorVel,MATCH(E2558,ChName,0))*CalibScalar*(1+VelocityUplift)</f>
        <v/>
      </c>
      <c r="Q2558" s="46" t="n">
        <v>0</v>
      </c>
      <c r="R2558" s="46">
        <f>P2558*O2558*M2558*N2558*H2558</f>
        <v/>
      </c>
      <c r="S2558" s="46">
        <f>R2558*INDEX(FmtCansPerCase,MATCH(F2558,FmtName,0))</f>
        <v/>
      </c>
      <c r="T2558" s="46">
        <f>S2558/INDEX(FmtCansPerPack,MATCH(F2558,FmtName,0))</f>
        <v/>
      </c>
      <c r="U2558" s="47">
        <f>INDEX(ChBaseCP,MATCH(E2558,ChName,0))*(1+INDEX(ProvMod,MATCH(G2558,ProvCode,0)))*(1+PriceIndex)</f>
        <v/>
      </c>
      <c r="V2558" s="47">
        <f>R2558*U2558*INDEX(FmtBlendedPriceIdx,MATCH(F2558,FmtName,0))</f>
        <v/>
      </c>
      <c r="W2558" s="47">
        <f>T2558*INDEX(ProvSRP,MATCH(G2558,ProvCode,0))*(1+PriceIndex)</f>
        <v/>
      </c>
      <c r="X2558" s="47">
        <f>IF(GrossBasis="Wholesale",V2558,W2558)</f>
        <v/>
      </c>
      <c r="Y2558" s="47">
        <f>R2558*INDEX(FmtBlendedCogs,MATCH(F2558,FmtName,0))</f>
        <v/>
      </c>
      <c r="Z2558" s="47">
        <f>X2558-Y2558</f>
        <v/>
      </c>
    </row>
    <row r="2559">
      <c r="A2559" t="n">
        <v>14</v>
      </c>
      <c r="B2559" s="44">
        <f>FiscalStart+(A2559-1)*7</f>
        <v/>
      </c>
      <c r="C2559">
        <f>TEXT(B2559,"mmm yyyy")</f>
        <v/>
      </c>
      <c r="D2559">
        <f>"Q"&amp;(INT((A2559-1)/13)+1)</f>
        <v/>
      </c>
      <c r="E2559" t="inlineStr">
        <is>
          <t>FDM</t>
        </is>
      </c>
      <c r="F2559">
        <f>IFERROR(INDEX(ChFormat,MATCH(E2559,ChName,0)),"")</f>
        <v/>
      </c>
      <c r="G2559" t="inlineStr">
        <is>
          <t>PE</t>
        </is>
      </c>
      <c r="H2559">
        <f>IF(A2559&lt;=NWeeks,1,0)</f>
        <v/>
      </c>
      <c r="I2559">
        <f>INDEX(ChLaunch,MATCH(E2559,ChName,0))</f>
        <v/>
      </c>
      <c r="J2559">
        <f>INDEX(ChWeeksFull,MATCH(E2559,ChName,0))</f>
        <v/>
      </c>
      <c r="K2559">
        <f>INDEX(ChRamp,MATCH(E2559,ChName,0))</f>
        <v/>
      </c>
      <c r="L2559" s="45">
        <f>MIN(1,MAX(0,(A2559-I2559+1)*RampSpeed/J2559))</f>
        <v/>
      </c>
      <c r="M2559" s="45">
        <f>IF(A2559&lt;I2559,0,IF(K2559="S-curve",L2559*L2559*(3-2*L2559),L2559))</f>
        <v/>
      </c>
      <c r="N2559" s="45">
        <f>1+(INDEX(SeasonIdx,A2559)-1)*SeasonAmp</f>
        <v/>
      </c>
      <c r="O2559" s="45">
        <f>IFERROR(INDEX(PSPct,MATCH(E2559&amp;"|"&amp;G2559,PSKey,0)),0)</f>
        <v/>
      </c>
      <c r="P2559" s="46">
        <f>INDEX(ChDoorVel,MATCH(E2559,ChName,0))*CalibScalar*(1+VelocityUplift)</f>
        <v/>
      </c>
      <c r="Q2559" s="46" t="n">
        <v>0</v>
      </c>
      <c r="R2559" s="46">
        <f>P2559*O2559*M2559*N2559*H2559</f>
        <v/>
      </c>
      <c r="S2559" s="46">
        <f>R2559*INDEX(FmtCansPerCase,MATCH(F2559,FmtName,0))</f>
        <v/>
      </c>
      <c r="T2559" s="46">
        <f>S2559/INDEX(FmtCansPerPack,MATCH(F2559,FmtName,0))</f>
        <v/>
      </c>
      <c r="U2559" s="47">
        <f>INDEX(ChBaseCP,MATCH(E2559,ChName,0))*(1+INDEX(ProvMod,MATCH(G2559,ProvCode,0)))*(1+PriceIndex)</f>
        <v/>
      </c>
      <c r="V2559" s="47">
        <f>R2559*U2559*INDEX(FmtBlendedPriceIdx,MATCH(F2559,FmtName,0))</f>
        <v/>
      </c>
      <c r="W2559" s="47">
        <f>T2559*INDEX(ProvSRP,MATCH(G2559,ProvCode,0))*(1+PriceIndex)</f>
        <v/>
      </c>
      <c r="X2559" s="47">
        <f>IF(GrossBasis="Wholesale",V2559,W2559)</f>
        <v/>
      </c>
      <c r="Y2559" s="47">
        <f>R2559*INDEX(FmtBlendedCogs,MATCH(F2559,FmtName,0))</f>
        <v/>
      </c>
      <c r="Z2559" s="47">
        <f>X2559-Y2559</f>
        <v/>
      </c>
    </row>
    <row r="2560">
      <c r="A2560" t="n">
        <v>15</v>
      </c>
      <c r="B2560" s="44">
        <f>FiscalStart+(A2560-1)*7</f>
        <v/>
      </c>
      <c r="C2560">
        <f>TEXT(B2560,"mmm yyyy")</f>
        <v/>
      </c>
      <c r="D2560">
        <f>"Q"&amp;(INT((A2560-1)/13)+1)</f>
        <v/>
      </c>
      <c r="E2560" t="inlineStr">
        <is>
          <t>FDM</t>
        </is>
      </c>
      <c r="F2560">
        <f>IFERROR(INDEX(ChFormat,MATCH(E2560,ChName,0)),"")</f>
        <v/>
      </c>
      <c r="G2560" t="inlineStr">
        <is>
          <t>PE</t>
        </is>
      </c>
      <c r="H2560">
        <f>IF(A2560&lt;=NWeeks,1,0)</f>
        <v/>
      </c>
      <c r="I2560">
        <f>INDEX(ChLaunch,MATCH(E2560,ChName,0))</f>
        <v/>
      </c>
      <c r="J2560">
        <f>INDEX(ChWeeksFull,MATCH(E2560,ChName,0))</f>
        <v/>
      </c>
      <c r="K2560">
        <f>INDEX(ChRamp,MATCH(E2560,ChName,0))</f>
        <v/>
      </c>
      <c r="L2560" s="45">
        <f>MIN(1,MAX(0,(A2560-I2560+1)*RampSpeed/J2560))</f>
        <v/>
      </c>
      <c r="M2560" s="45">
        <f>IF(A2560&lt;I2560,0,IF(K2560="S-curve",L2560*L2560*(3-2*L2560),L2560))</f>
        <v/>
      </c>
      <c r="N2560" s="45">
        <f>1+(INDEX(SeasonIdx,A2560)-1)*SeasonAmp</f>
        <v/>
      </c>
      <c r="O2560" s="45">
        <f>IFERROR(INDEX(PSPct,MATCH(E2560&amp;"|"&amp;G2560,PSKey,0)),0)</f>
        <v/>
      </c>
      <c r="P2560" s="46">
        <f>INDEX(ChDoorVel,MATCH(E2560,ChName,0))*CalibScalar*(1+VelocityUplift)</f>
        <v/>
      </c>
      <c r="Q2560" s="46" t="n">
        <v>0</v>
      </c>
      <c r="R2560" s="46">
        <f>P2560*O2560*M2560*N2560*H2560</f>
        <v/>
      </c>
      <c r="S2560" s="46">
        <f>R2560*INDEX(FmtCansPerCase,MATCH(F2560,FmtName,0))</f>
        <v/>
      </c>
      <c r="T2560" s="46">
        <f>S2560/INDEX(FmtCansPerPack,MATCH(F2560,FmtName,0))</f>
        <v/>
      </c>
      <c r="U2560" s="47">
        <f>INDEX(ChBaseCP,MATCH(E2560,ChName,0))*(1+INDEX(ProvMod,MATCH(G2560,ProvCode,0)))*(1+PriceIndex)</f>
        <v/>
      </c>
      <c r="V2560" s="47">
        <f>R2560*U2560*INDEX(FmtBlendedPriceIdx,MATCH(F2560,FmtName,0))</f>
        <v/>
      </c>
      <c r="W2560" s="47">
        <f>T2560*INDEX(ProvSRP,MATCH(G2560,ProvCode,0))*(1+PriceIndex)</f>
        <v/>
      </c>
      <c r="X2560" s="47">
        <f>IF(GrossBasis="Wholesale",V2560,W2560)</f>
        <v/>
      </c>
      <c r="Y2560" s="47">
        <f>R2560*INDEX(FmtBlendedCogs,MATCH(F2560,FmtName,0))</f>
        <v/>
      </c>
      <c r="Z2560" s="47">
        <f>X2560-Y2560</f>
        <v/>
      </c>
    </row>
    <row r="2561">
      <c r="A2561" t="n">
        <v>16</v>
      </c>
      <c r="B2561" s="44">
        <f>FiscalStart+(A2561-1)*7</f>
        <v/>
      </c>
      <c r="C2561">
        <f>TEXT(B2561,"mmm yyyy")</f>
        <v/>
      </c>
      <c r="D2561">
        <f>"Q"&amp;(INT((A2561-1)/13)+1)</f>
        <v/>
      </c>
      <c r="E2561" t="inlineStr">
        <is>
          <t>FDM</t>
        </is>
      </c>
      <c r="F2561">
        <f>IFERROR(INDEX(ChFormat,MATCH(E2561,ChName,0)),"")</f>
        <v/>
      </c>
      <c r="G2561" t="inlineStr">
        <is>
          <t>PE</t>
        </is>
      </c>
      <c r="H2561">
        <f>IF(A2561&lt;=NWeeks,1,0)</f>
        <v/>
      </c>
      <c r="I2561">
        <f>INDEX(ChLaunch,MATCH(E2561,ChName,0))</f>
        <v/>
      </c>
      <c r="J2561">
        <f>INDEX(ChWeeksFull,MATCH(E2561,ChName,0))</f>
        <v/>
      </c>
      <c r="K2561">
        <f>INDEX(ChRamp,MATCH(E2561,ChName,0))</f>
        <v/>
      </c>
      <c r="L2561" s="45">
        <f>MIN(1,MAX(0,(A2561-I2561+1)*RampSpeed/J2561))</f>
        <v/>
      </c>
      <c r="M2561" s="45">
        <f>IF(A2561&lt;I2561,0,IF(K2561="S-curve",L2561*L2561*(3-2*L2561),L2561))</f>
        <v/>
      </c>
      <c r="N2561" s="45">
        <f>1+(INDEX(SeasonIdx,A2561)-1)*SeasonAmp</f>
        <v/>
      </c>
      <c r="O2561" s="45">
        <f>IFERROR(INDEX(PSPct,MATCH(E2561&amp;"|"&amp;G2561,PSKey,0)),0)</f>
        <v/>
      </c>
      <c r="P2561" s="46">
        <f>INDEX(ChDoorVel,MATCH(E2561,ChName,0))*CalibScalar*(1+VelocityUplift)</f>
        <v/>
      </c>
      <c r="Q2561" s="46" t="n">
        <v>0</v>
      </c>
      <c r="R2561" s="46">
        <f>P2561*O2561*M2561*N2561*H2561</f>
        <v/>
      </c>
      <c r="S2561" s="46">
        <f>R2561*INDEX(FmtCansPerCase,MATCH(F2561,FmtName,0))</f>
        <v/>
      </c>
      <c r="T2561" s="46">
        <f>S2561/INDEX(FmtCansPerPack,MATCH(F2561,FmtName,0))</f>
        <v/>
      </c>
      <c r="U2561" s="47">
        <f>INDEX(ChBaseCP,MATCH(E2561,ChName,0))*(1+INDEX(ProvMod,MATCH(G2561,ProvCode,0)))*(1+PriceIndex)</f>
        <v/>
      </c>
      <c r="V2561" s="47">
        <f>R2561*U2561*INDEX(FmtBlendedPriceIdx,MATCH(F2561,FmtName,0))</f>
        <v/>
      </c>
      <c r="W2561" s="47">
        <f>T2561*INDEX(ProvSRP,MATCH(G2561,ProvCode,0))*(1+PriceIndex)</f>
        <v/>
      </c>
      <c r="X2561" s="47">
        <f>IF(GrossBasis="Wholesale",V2561,W2561)</f>
        <v/>
      </c>
      <c r="Y2561" s="47">
        <f>R2561*INDEX(FmtBlendedCogs,MATCH(F2561,FmtName,0))</f>
        <v/>
      </c>
      <c r="Z2561" s="47">
        <f>X2561-Y2561</f>
        <v/>
      </c>
    </row>
    <row r="2562">
      <c r="A2562" t="n">
        <v>17</v>
      </c>
      <c r="B2562" s="44">
        <f>FiscalStart+(A2562-1)*7</f>
        <v/>
      </c>
      <c r="C2562">
        <f>TEXT(B2562,"mmm yyyy")</f>
        <v/>
      </c>
      <c r="D2562">
        <f>"Q"&amp;(INT((A2562-1)/13)+1)</f>
        <v/>
      </c>
      <c r="E2562" t="inlineStr">
        <is>
          <t>FDM</t>
        </is>
      </c>
      <c r="F2562">
        <f>IFERROR(INDEX(ChFormat,MATCH(E2562,ChName,0)),"")</f>
        <v/>
      </c>
      <c r="G2562" t="inlineStr">
        <is>
          <t>PE</t>
        </is>
      </c>
      <c r="H2562">
        <f>IF(A2562&lt;=NWeeks,1,0)</f>
        <v/>
      </c>
      <c r="I2562">
        <f>INDEX(ChLaunch,MATCH(E2562,ChName,0))</f>
        <v/>
      </c>
      <c r="J2562">
        <f>INDEX(ChWeeksFull,MATCH(E2562,ChName,0))</f>
        <v/>
      </c>
      <c r="K2562">
        <f>INDEX(ChRamp,MATCH(E2562,ChName,0))</f>
        <v/>
      </c>
      <c r="L2562" s="45">
        <f>MIN(1,MAX(0,(A2562-I2562+1)*RampSpeed/J2562))</f>
        <v/>
      </c>
      <c r="M2562" s="45">
        <f>IF(A2562&lt;I2562,0,IF(K2562="S-curve",L2562*L2562*(3-2*L2562),L2562))</f>
        <v/>
      </c>
      <c r="N2562" s="45">
        <f>1+(INDEX(SeasonIdx,A2562)-1)*SeasonAmp</f>
        <v/>
      </c>
      <c r="O2562" s="45">
        <f>IFERROR(INDEX(PSPct,MATCH(E2562&amp;"|"&amp;G2562,PSKey,0)),0)</f>
        <v/>
      </c>
      <c r="P2562" s="46">
        <f>INDEX(ChDoorVel,MATCH(E2562,ChName,0))*CalibScalar*(1+VelocityUplift)</f>
        <v/>
      </c>
      <c r="Q2562" s="46" t="n">
        <v>0</v>
      </c>
      <c r="R2562" s="46">
        <f>P2562*O2562*M2562*N2562*H2562</f>
        <v/>
      </c>
      <c r="S2562" s="46">
        <f>R2562*INDEX(FmtCansPerCase,MATCH(F2562,FmtName,0))</f>
        <v/>
      </c>
      <c r="T2562" s="46">
        <f>S2562/INDEX(FmtCansPerPack,MATCH(F2562,FmtName,0))</f>
        <v/>
      </c>
      <c r="U2562" s="47">
        <f>INDEX(ChBaseCP,MATCH(E2562,ChName,0))*(1+INDEX(ProvMod,MATCH(G2562,ProvCode,0)))*(1+PriceIndex)</f>
        <v/>
      </c>
      <c r="V2562" s="47">
        <f>R2562*U2562*INDEX(FmtBlendedPriceIdx,MATCH(F2562,FmtName,0))</f>
        <v/>
      </c>
      <c r="W2562" s="47">
        <f>T2562*INDEX(ProvSRP,MATCH(G2562,ProvCode,0))*(1+PriceIndex)</f>
        <v/>
      </c>
      <c r="X2562" s="47">
        <f>IF(GrossBasis="Wholesale",V2562,W2562)</f>
        <v/>
      </c>
      <c r="Y2562" s="47">
        <f>R2562*INDEX(FmtBlendedCogs,MATCH(F2562,FmtName,0))</f>
        <v/>
      </c>
      <c r="Z2562" s="47">
        <f>X2562-Y2562</f>
        <v/>
      </c>
    </row>
    <row r="2563">
      <c r="A2563" t="n">
        <v>18</v>
      </c>
      <c r="B2563" s="44">
        <f>FiscalStart+(A2563-1)*7</f>
        <v/>
      </c>
      <c r="C2563">
        <f>TEXT(B2563,"mmm yyyy")</f>
        <v/>
      </c>
      <c r="D2563">
        <f>"Q"&amp;(INT((A2563-1)/13)+1)</f>
        <v/>
      </c>
      <c r="E2563" t="inlineStr">
        <is>
          <t>FDM</t>
        </is>
      </c>
      <c r="F2563">
        <f>IFERROR(INDEX(ChFormat,MATCH(E2563,ChName,0)),"")</f>
        <v/>
      </c>
      <c r="G2563" t="inlineStr">
        <is>
          <t>PE</t>
        </is>
      </c>
      <c r="H2563">
        <f>IF(A2563&lt;=NWeeks,1,0)</f>
        <v/>
      </c>
      <c r="I2563">
        <f>INDEX(ChLaunch,MATCH(E2563,ChName,0))</f>
        <v/>
      </c>
      <c r="J2563">
        <f>INDEX(ChWeeksFull,MATCH(E2563,ChName,0))</f>
        <v/>
      </c>
      <c r="K2563">
        <f>INDEX(ChRamp,MATCH(E2563,ChName,0))</f>
        <v/>
      </c>
      <c r="L2563" s="45">
        <f>MIN(1,MAX(0,(A2563-I2563+1)*RampSpeed/J2563))</f>
        <v/>
      </c>
      <c r="M2563" s="45">
        <f>IF(A2563&lt;I2563,0,IF(K2563="S-curve",L2563*L2563*(3-2*L2563),L2563))</f>
        <v/>
      </c>
      <c r="N2563" s="45">
        <f>1+(INDEX(SeasonIdx,A2563)-1)*SeasonAmp</f>
        <v/>
      </c>
      <c r="O2563" s="45">
        <f>IFERROR(INDEX(PSPct,MATCH(E2563&amp;"|"&amp;G2563,PSKey,0)),0)</f>
        <v/>
      </c>
      <c r="P2563" s="46">
        <f>INDEX(ChDoorVel,MATCH(E2563,ChName,0))*CalibScalar*(1+VelocityUplift)</f>
        <v/>
      </c>
      <c r="Q2563" s="46" t="n">
        <v>0</v>
      </c>
      <c r="R2563" s="46">
        <f>P2563*O2563*M2563*N2563*H2563</f>
        <v/>
      </c>
      <c r="S2563" s="46">
        <f>R2563*INDEX(FmtCansPerCase,MATCH(F2563,FmtName,0))</f>
        <v/>
      </c>
      <c r="T2563" s="46">
        <f>S2563/INDEX(FmtCansPerPack,MATCH(F2563,FmtName,0))</f>
        <v/>
      </c>
      <c r="U2563" s="47">
        <f>INDEX(ChBaseCP,MATCH(E2563,ChName,0))*(1+INDEX(ProvMod,MATCH(G2563,ProvCode,0)))*(1+PriceIndex)</f>
        <v/>
      </c>
      <c r="V2563" s="47">
        <f>R2563*U2563*INDEX(FmtBlendedPriceIdx,MATCH(F2563,FmtName,0))</f>
        <v/>
      </c>
      <c r="W2563" s="47">
        <f>T2563*INDEX(ProvSRP,MATCH(G2563,ProvCode,0))*(1+PriceIndex)</f>
        <v/>
      </c>
      <c r="X2563" s="47">
        <f>IF(GrossBasis="Wholesale",V2563,W2563)</f>
        <v/>
      </c>
      <c r="Y2563" s="47">
        <f>R2563*INDEX(FmtBlendedCogs,MATCH(F2563,FmtName,0))</f>
        <v/>
      </c>
      <c r="Z2563" s="47">
        <f>X2563-Y2563</f>
        <v/>
      </c>
    </row>
    <row r="2564">
      <c r="A2564" t="n">
        <v>19</v>
      </c>
      <c r="B2564" s="44">
        <f>FiscalStart+(A2564-1)*7</f>
        <v/>
      </c>
      <c r="C2564">
        <f>TEXT(B2564,"mmm yyyy")</f>
        <v/>
      </c>
      <c r="D2564">
        <f>"Q"&amp;(INT((A2564-1)/13)+1)</f>
        <v/>
      </c>
      <c r="E2564" t="inlineStr">
        <is>
          <t>FDM</t>
        </is>
      </c>
      <c r="F2564">
        <f>IFERROR(INDEX(ChFormat,MATCH(E2564,ChName,0)),"")</f>
        <v/>
      </c>
      <c r="G2564" t="inlineStr">
        <is>
          <t>PE</t>
        </is>
      </c>
      <c r="H2564">
        <f>IF(A2564&lt;=NWeeks,1,0)</f>
        <v/>
      </c>
      <c r="I2564">
        <f>INDEX(ChLaunch,MATCH(E2564,ChName,0))</f>
        <v/>
      </c>
      <c r="J2564">
        <f>INDEX(ChWeeksFull,MATCH(E2564,ChName,0))</f>
        <v/>
      </c>
      <c r="K2564">
        <f>INDEX(ChRamp,MATCH(E2564,ChName,0))</f>
        <v/>
      </c>
      <c r="L2564" s="45">
        <f>MIN(1,MAX(0,(A2564-I2564+1)*RampSpeed/J2564))</f>
        <v/>
      </c>
      <c r="M2564" s="45">
        <f>IF(A2564&lt;I2564,0,IF(K2564="S-curve",L2564*L2564*(3-2*L2564),L2564))</f>
        <v/>
      </c>
      <c r="N2564" s="45">
        <f>1+(INDEX(SeasonIdx,A2564)-1)*SeasonAmp</f>
        <v/>
      </c>
      <c r="O2564" s="45">
        <f>IFERROR(INDEX(PSPct,MATCH(E2564&amp;"|"&amp;G2564,PSKey,0)),0)</f>
        <v/>
      </c>
      <c r="P2564" s="46">
        <f>INDEX(ChDoorVel,MATCH(E2564,ChName,0))*CalibScalar*(1+VelocityUplift)</f>
        <v/>
      </c>
      <c r="Q2564" s="46" t="n">
        <v>0</v>
      </c>
      <c r="R2564" s="46">
        <f>P2564*O2564*M2564*N2564*H2564</f>
        <v/>
      </c>
      <c r="S2564" s="46">
        <f>R2564*INDEX(FmtCansPerCase,MATCH(F2564,FmtName,0))</f>
        <v/>
      </c>
      <c r="T2564" s="46">
        <f>S2564/INDEX(FmtCansPerPack,MATCH(F2564,FmtName,0))</f>
        <v/>
      </c>
      <c r="U2564" s="47">
        <f>INDEX(ChBaseCP,MATCH(E2564,ChName,0))*(1+INDEX(ProvMod,MATCH(G2564,ProvCode,0)))*(1+PriceIndex)</f>
        <v/>
      </c>
      <c r="V2564" s="47">
        <f>R2564*U2564*INDEX(FmtBlendedPriceIdx,MATCH(F2564,FmtName,0))</f>
        <v/>
      </c>
      <c r="W2564" s="47">
        <f>T2564*INDEX(ProvSRP,MATCH(G2564,ProvCode,0))*(1+PriceIndex)</f>
        <v/>
      </c>
      <c r="X2564" s="47">
        <f>IF(GrossBasis="Wholesale",V2564,W2564)</f>
        <v/>
      </c>
      <c r="Y2564" s="47">
        <f>R2564*INDEX(FmtBlendedCogs,MATCH(F2564,FmtName,0))</f>
        <v/>
      </c>
      <c r="Z2564" s="47">
        <f>X2564-Y2564</f>
        <v/>
      </c>
    </row>
    <row r="2565">
      <c r="A2565" t="n">
        <v>20</v>
      </c>
      <c r="B2565" s="44">
        <f>FiscalStart+(A2565-1)*7</f>
        <v/>
      </c>
      <c r="C2565">
        <f>TEXT(B2565,"mmm yyyy")</f>
        <v/>
      </c>
      <c r="D2565">
        <f>"Q"&amp;(INT((A2565-1)/13)+1)</f>
        <v/>
      </c>
      <c r="E2565" t="inlineStr">
        <is>
          <t>FDM</t>
        </is>
      </c>
      <c r="F2565">
        <f>IFERROR(INDEX(ChFormat,MATCH(E2565,ChName,0)),"")</f>
        <v/>
      </c>
      <c r="G2565" t="inlineStr">
        <is>
          <t>PE</t>
        </is>
      </c>
      <c r="H2565">
        <f>IF(A2565&lt;=NWeeks,1,0)</f>
        <v/>
      </c>
      <c r="I2565">
        <f>INDEX(ChLaunch,MATCH(E2565,ChName,0))</f>
        <v/>
      </c>
      <c r="J2565">
        <f>INDEX(ChWeeksFull,MATCH(E2565,ChName,0))</f>
        <v/>
      </c>
      <c r="K2565">
        <f>INDEX(ChRamp,MATCH(E2565,ChName,0))</f>
        <v/>
      </c>
      <c r="L2565" s="45">
        <f>MIN(1,MAX(0,(A2565-I2565+1)*RampSpeed/J2565))</f>
        <v/>
      </c>
      <c r="M2565" s="45">
        <f>IF(A2565&lt;I2565,0,IF(K2565="S-curve",L2565*L2565*(3-2*L2565),L2565))</f>
        <v/>
      </c>
      <c r="N2565" s="45">
        <f>1+(INDEX(SeasonIdx,A2565)-1)*SeasonAmp</f>
        <v/>
      </c>
      <c r="O2565" s="45">
        <f>IFERROR(INDEX(PSPct,MATCH(E2565&amp;"|"&amp;G2565,PSKey,0)),0)</f>
        <v/>
      </c>
      <c r="P2565" s="46">
        <f>INDEX(ChDoorVel,MATCH(E2565,ChName,0))*CalibScalar*(1+VelocityUplift)</f>
        <v/>
      </c>
      <c r="Q2565" s="46" t="n">
        <v>0</v>
      </c>
      <c r="R2565" s="46">
        <f>P2565*O2565*M2565*N2565*H2565</f>
        <v/>
      </c>
      <c r="S2565" s="46">
        <f>R2565*INDEX(FmtCansPerCase,MATCH(F2565,FmtName,0))</f>
        <v/>
      </c>
      <c r="T2565" s="46">
        <f>S2565/INDEX(FmtCansPerPack,MATCH(F2565,FmtName,0))</f>
        <v/>
      </c>
      <c r="U2565" s="47">
        <f>INDEX(ChBaseCP,MATCH(E2565,ChName,0))*(1+INDEX(ProvMod,MATCH(G2565,ProvCode,0)))*(1+PriceIndex)</f>
        <v/>
      </c>
      <c r="V2565" s="47">
        <f>R2565*U2565*INDEX(FmtBlendedPriceIdx,MATCH(F2565,FmtName,0))</f>
        <v/>
      </c>
      <c r="W2565" s="47">
        <f>T2565*INDEX(ProvSRP,MATCH(G2565,ProvCode,0))*(1+PriceIndex)</f>
        <v/>
      </c>
      <c r="X2565" s="47">
        <f>IF(GrossBasis="Wholesale",V2565,W2565)</f>
        <v/>
      </c>
      <c r="Y2565" s="47">
        <f>R2565*INDEX(FmtBlendedCogs,MATCH(F2565,FmtName,0))</f>
        <v/>
      </c>
      <c r="Z2565" s="47">
        <f>X2565-Y2565</f>
        <v/>
      </c>
    </row>
    <row r="2566">
      <c r="A2566" t="n">
        <v>21</v>
      </c>
      <c r="B2566" s="44">
        <f>FiscalStart+(A2566-1)*7</f>
        <v/>
      </c>
      <c r="C2566">
        <f>TEXT(B2566,"mmm yyyy")</f>
        <v/>
      </c>
      <c r="D2566">
        <f>"Q"&amp;(INT((A2566-1)/13)+1)</f>
        <v/>
      </c>
      <c r="E2566" t="inlineStr">
        <is>
          <t>FDM</t>
        </is>
      </c>
      <c r="F2566">
        <f>IFERROR(INDEX(ChFormat,MATCH(E2566,ChName,0)),"")</f>
        <v/>
      </c>
      <c r="G2566" t="inlineStr">
        <is>
          <t>PE</t>
        </is>
      </c>
      <c r="H2566">
        <f>IF(A2566&lt;=NWeeks,1,0)</f>
        <v/>
      </c>
      <c r="I2566">
        <f>INDEX(ChLaunch,MATCH(E2566,ChName,0))</f>
        <v/>
      </c>
      <c r="J2566">
        <f>INDEX(ChWeeksFull,MATCH(E2566,ChName,0))</f>
        <v/>
      </c>
      <c r="K2566">
        <f>INDEX(ChRamp,MATCH(E2566,ChName,0))</f>
        <v/>
      </c>
      <c r="L2566" s="45">
        <f>MIN(1,MAX(0,(A2566-I2566+1)*RampSpeed/J2566))</f>
        <v/>
      </c>
      <c r="M2566" s="45">
        <f>IF(A2566&lt;I2566,0,IF(K2566="S-curve",L2566*L2566*(3-2*L2566),L2566))</f>
        <v/>
      </c>
      <c r="N2566" s="45">
        <f>1+(INDEX(SeasonIdx,A2566)-1)*SeasonAmp</f>
        <v/>
      </c>
      <c r="O2566" s="45">
        <f>IFERROR(INDEX(PSPct,MATCH(E2566&amp;"|"&amp;G2566,PSKey,0)),0)</f>
        <v/>
      </c>
      <c r="P2566" s="46">
        <f>INDEX(ChDoorVel,MATCH(E2566,ChName,0))*CalibScalar*(1+VelocityUplift)</f>
        <v/>
      </c>
      <c r="Q2566" s="46" t="n">
        <v>0</v>
      </c>
      <c r="R2566" s="46">
        <f>P2566*O2566*M2566*N2566*H2566</f>
        <v/>
      </c>
      <c r="S2566" s="46">
        <f>R2566*INDEX(FmtCansPerCase,MATCH(F2566,FmtName,0))</f>
        <v/>
      </c>
      <c r="T2566" s="46">
        <f>S2566/INDEX(FmtCansPerPack,MATCH(F2566,FmtName,0))</f>
        <v/>
      </c>
      <c r="U2566" s="47">
        <f>INDEX(ChBaseCP,MATCH(E2566,ChName,0))*(1+INDEX(ProvMod,MATCH(G2566,ProvCode,0)))*(1+PriceIndex)</f>
        <v/>
      </c>
      <c r="V2566" s="47">
        <f>R2566*U2566*INDEX(FmtBlendedPriceIdx,MATCH(F2566,FmtName,0))</f>
        <v/>
      </c>
      <c r="W2566" s="47">
        <f>T2566*INDEX(ProvSRP,MATCH(G2566,ProvCode,0))*(1+PriceIndex)</f>
        <v/>
      </c>
      <c r="X2566" s="47">
        <f>IF(GrossBasis="Wholesale",V2566,W2566)</f>
        <v/>
      </c>
      <c r="Y2566" s="47">
        <f>R2566*INDEX(FmtBlendedCogs,MATCH(F2566,FmtName,0))</f>
        <v/>
      </c>
      <c r="Z2566" s="47">
        <f>X2566-Y2566</f>
        <v/>
      </c>
    </row>
    <row r="2567">
      <c r="A2567" t="n">
        <v>22</v>
      </c>
      <c r="B2567" s="44">
        <f>FiscalStart+(A2567-1)*7</f>
        <v/>
      </c>
      <c r="C2567">
        <f>TEXT(B2567,"mmm yyyy")</f>
        <v/>
      </c>
      <c r="D2567">
        <f>"Q"&amp;(INT((A2567-1)/13)+1)</f>
        <v/>
      </c>
      <c r="E2567" t="inlineStr">
        <is>
          <t>FDM</t>
        </is>
      </c>
      <c r="F2567">
        <f>IFERROR(INDEX(ChFormat,MATCH(E2567,ChName,0)),"")</f>
        <v/>
      </c>
      <c r="G2567" t="inlineStr">
        <is>
          <t>PE</t>
        </is>
      </c>
      <c r="H2567">
        <f>IF(A2567&lt;=NWeeks,1,0)</f>
        <v/>
      </c>
      <c r="I2567">
        <f>INDEX(ChLaunch,MATCH(E2567,ChName,0))</f>
        <v/>
      </c>
      <c r="J2567">
        <f>INDEX(ChWeeksFull,MATCH(E2567,ChName,0))</f>
        <v/>
      </c>
      <c r="K2567">
        <f>INDEX(ChRamp,MATCH(E2567,ChName,0))</f>
        <v/>
      </c>
      <c r="L2567" s="45">
        <f>MIN(1,MAX(0,(A2567-I2567+1)*RampSpeed/J2567))</f>
        <v/>
      </c>
      <c r="M2567" s="45">
        <f>IF(A2567&lt;I2567,0,IF(K2567="S-curve",L2567*L2567*(3-2*L2567),L2567))</f>
        <v/>
      </c>
      <c r="N2567" s="45">
        <f>1+(INDEX(SeasonIdx,A2567)-1)*SeasonAmp</f>
        <v/>
      </c>
      <c r="O2567" s="45">
        <f>IFERROR(INDEX(PSPct,MATCH(E2567&amp;"|"&amp;G2567,PSKey,0)),0)</f>
        <v/>
      </c>
      <c r="P2567" s="46">
        <f>INDEX(ChDoorVel,MATCH(E2567,ChName,0))*CalibScalar*(1+VelocityUplift)</f>
        <v/>
      </c>
      <c r="Q2567" s="46" t="n">
        <v>0</v>
      </c>
      <c r="R2567" s="46">
        <f>P2567*O2567*M2567*N2567*H2567</f>
        <v/>
      </c>
      <c r="S2567" s="46">
        <f>R2567*INDEX(FmtCansPerCase,MATCH(F2567,FmtName,0))</f>
        <v/>
      </c>
      <c r="T2567" s="46">
        <f>S2567/INDEX(FmtCansPerPack,MATCH(F2567,FmtName,0))</f>
        <v/>
      </c>
      <c r="U2567" s="47">
        <f>INDEX(ChBaseCP,MATCH(E2567,ChName,0))*(1+INDEX(ProvMod,MATCH(G2567,ProvCode,0)))*(1+PriceIndex)</f>
        <v/>
      </c>
      <c r="V2567" s="47">
        <f>R2567*U2567*INDEX(FmtBlendedPriceIdx,MATCH(F2567,FmtName,0))</f>
        <v/>
      </c>
      <c r="W2567" s="47">
        <f>T2567*INDEX(ProvSRP,MATCH(G2567,ProvCode,0))*(1+PriceIndex)</f>
        <v/>
      </c>
      <c r="X2567" s="47">
        <f>IF(GrossBasis="Wholesale",V2567,W2567)</f>
        <v/>
      </c>
      <c r="Y2567" s="47">
        <f>R2567*INDEX(FmtBlendedCogs,MATCH(F2567,FmtName,0))</f>
        <v/>
      </c>
      <c r="Z2567" s="47">
        <f>X2567-Y2567</f>
        <v/>
      </c>
    </row>
    <row r="2568">
      <c r="A2568" t="n">
        <v>23</v>
      </c>
      <c r="B2568" s="44">
        <f>FiscalStart+(A2568-1)*7</f>
        <v/>
      </c>
      <c r="C2568">
        <f>TEXT(B2568,"mmm yyyy")</f>
        <v/>
      </c>
      <c r="D2568">
        <f>"Q"&amp;(INT((A2568-1)/13)+1)</f>
        <v/>
      </c>
      <c r="E2568" t="inlineStr">
        <is>
          <t>FDM</t>
        </is>
      </c>
      <c r="F2568">
        <f>IFERROR(INDEX(ChFormat,MATCH(E2568,ChName,0)),"")</f>
        <v/>
      </c>
      <c r="G2568" t="inlineStr">
        <is>
          <t>PE</t>
        </is>
      </c>
      <c r="H2568">
        <f>IF(A2568&lt;=NWeeks,1,0)</f>
        <v/>
      </c>
      <c r="I2568">
        <f>INDEX(ChLaunch,MATCH(E2568,ChName,0))</f>
        <v/>
      </c>
      <c r="J2568">
        <f>INDEX(ChWeeksFull,MATCH(E2568,ChName,0))</f>
        <v/>
      </c>
      <c r="K2568">
        <f>INDEX(ChRamp,MATCH(E2568,ChName,0))</f>
        <v/>
      </c>
      <c r="L2568" s="45">
        <f>MIN(1,MAX(0,(A2568-I2568+1)*RampSpeed/J2568))</f>
        <v/>
      </c>
      <c r="M2568" s="45">
        <f>IF(A2568&lt;I2568,0,IF(K2568="S-curve",L2568*L2568*(3-2*L2568),L2568))</f>
        <v/>
      </c>
      <c r="N2568" s="45">
        <f>1+(INDEX(SeasonIdx,A2568)-1)*SeasonAmp</f>
        <v/>
      </c>
      <c r="O2568" s="45">
        <f>IFERROR(INDEX(PSPct,MATCH(E2568&amp;"|"&amp;G2568,PSKey,0)),0)</f>
        <v/>
      </c>
      <c r="P2568" s="46">
        <f>INDEX(ChDoorVel,MATCH(E2568,ChName,0))*CalibScalar*(1+VelocityUplift)</f>
        <v/>
      </c>
      <c r="Q2568" s="46" t="n">
        <v>0</v>
      </c>
      <c r="R2568" s="46">
        <f>P2568*O2568*M2568*N2568*H2568</f>
        <v/>
      </c>
      <c r="S2568" s="46">
        <f>R2568*INDEX(FmtCansPerCase,MATCH(F2568,FmtName,0))</f>
        <v/>
      </c>
      <c r="T2568" s="46">
        <f>S2568/INDEX(FmtCansPerPack,MATCH(F2568,FmtName,0))</f>
        <v/>
      </c>
      <c r="U2568" s="47">
        <f>INDEX(ChBaseCP,MATCH(E2568,ChName,0))*(1+INDEX(ProvMod,MATCH(G2568,ProvCode,0)))*(1+PriceIndex)</f>
        <v/>
      </c>
      <c r="V2568" s="47">
        <f>R2568*U2568*INDEX(FmtBlendedPriceIdx,MATCH(F2568,FmtName,0))</f>
        <v/>
      </c>
      <c r="W2568" s="47">
        <f>T2568*INDEX(ProvSRP,MATCH(G2568,ProvCode,0))*(1+PriceIndex)</f>
        <v/>
      </c>
      <c r="X2568" s="47">
        <f>IF(GrossBasis="Wholesale",V2568,W2568)</f>
        <v/>
      </c>
      <c r="Y2568" s="47">
        <f>R2568*INDEX(FmtBlendedCogs,MATCH(F2568,FmtName,0))</f>
        <v/>
      </c>
      <c r="Z2568" s="47">
        <f>X2568-Y2568</f>
        <v/>
      </c>
    </row>
    <row r="2569">
      <c r="A2569" t="n">
        <v>24</v>
      </c>
      <c r="B2569" s="44">
        <f>FiscalStart+(A2569-1)*7</f>
        <v/>
      </c>
      <c r="C2569">
        <f>TEXT(B2569,"mmm yyyy")</f>
        <v/>
      </c>
      <c r="D2569">
        <f>"Q"&amp;(INT((A2569-1)/13)+1)</f>
        <v/>
      </c>
      <c r="E2569" t="inlineStr">
        <is>
          <t>FDM</t>
        </is>
      </c>
      <c r="F2569">
        <f>IFERROR(INDEX(ChFormat,MATCH(E2569,ChName,0)),"")</f>
        <v/>
      </c>
      <c r="G2569" t="inlineStr">
        <is>
          <t>PE</t>
        </is>
      </c>
      <c r="H2569">
        <f>IF(A2569&lt;=NWeeks,1,0)</f>
        <v/>
      </c>
      <c r="I2569">
        <f>INDEX(ChLaunch,MATCH(E2569,ChName,0))</f>
        <v/>
      </c>
      <c r="J2569">
        <f>INDEX(ChWeeksFull,MATCH(E2569,ChName,0))</f>
        <v/>
      </c>
      <c r="K2569">
        <f>INDEX(ChRamp,MATCH(E2569,ChName,0))</f>
        <v/>
      </c>
      <c r="L2569" s="45">
        <f>MIN(1,MAX(0,(A2569-I2569+1)*RampSpeed/J2569))</f>
        <v/>
      </c>
      <c r="M2569" s="45">
        <f>IF(A2569&lt;I2569,0,IF(K2569="S-curve",L2569*L2569*(3-2*L2569),L2569))</f>
        <v/>
      </c>
      <c r="N2569" s="45">
        <f>1+(INDEX(SeasonIdx,A2569)-1)*SeasonAmp</f>
        <v/>
      </c>
      <c r="O2569" s="45">
        <f>IFERROR(INDEX(PSPct,MATCH(E2569&amp;"|"&amp;G2569,PSKey,0)),0)</f>
        <v/>
      </c>
      <c r="P2569" s="46">
        <f>INDEX(ChDoorVel,MATCH(E2569,ChName,0))*CalibScalar*(1+VelocityUplift)</f>
        <v/>
      </c>
      <c r="Q2569" s="46" t="n">
        <v>0</v>
      </c>
      <c r="R2569" s="46">
        <f>P2569*O2569*M2569*N2569*H2569</f>
        <v/>
      </c>
      <c r="S2569" s="46">
        <f>R2569*INDEX(FmtCansPerCase,MATCH(F2569,FmtName,0))</f>
        <v/>
      </c>
      <c r="T2569" s="46">
        <f>S2569/INDEX(FmtCansPerPack,MATCH(F2569,FmtName,0))</f>
        <v/>
      </c>
      <c r="U2569" s="47">
        <f>INDEX(ChBaseCP,MATCH(E2569,ChName,0))*(1+INDEX(ProvMod,MATCH(G2569,ProvCode,0)))*(1+PriceIndex)</f>
        <v/>
      </c>
      <c r="V2569" s="47">
        <f>R2569*U2569*INDEX(FmtBlendedPriceIdx,MATCH(F2569,FmtName,0))</f>
        <v/>
      </c>
      <c r="W2569" s="47">
        <f>T2569*INDEX(ProvSRP,MATCH(G2569,ProvCode,0))*(1+PriceIndex)</f>
        <v/>
      </c>
      <c r="X2569" s="47">
        <f>IF(GrossBasis="Wholesale",V2569,W2569)</f>
        <v/>
      </c>
      <c r="Y2569" s="47">
        <f>R2569*INDEX(FmtBlendedCogs,MATCH(F2569,FmtName,0))</f>
        <v/>
      </c>
      <c r="Z2569" s="47">
        <f>X2569-Y2569</f>
        <v/>
      </c>
    </row>
    <row r="2570">
      <c r="A2570" t="n">
        <v>25</v>
      </c>
      <c r="B2570" s="44">
        <f>FiscalStart+(A2570-1)*7</f>
        <v/>
      </c>
      <c r="C2570">
        <f>TEXT(B2570,"mmm yyyy")</f>
        <v/>
      </c>
      <c r="D2570">
        <f>"Q"&amp;(INT((A2570-1)/13)+1)</f>
        <v/>
      </c>
      <c r="E2570" t="inlineStr">
        <is>
          <t>FDM</t>
        </is>
      </c>
      <c r="F2570">
        <f>IFERROR(INDEX(ChFormat,MATCH(E2570,ChName,0)),"")</f>
        <v/>
      </c>
      <c r="G2570" t="inlineStr">
        <is>
          <t>PE</t>
        </is>
      </c>
      <c r="H2570">
        <f>IF(A2570&lt;=NWeeks,1,0)</f>
        <v/>
      </c>
      <c r="I2570">
        <f>INDEX(ChLaunch,MATCH(E2570,ChName,0))</f>
        <v/>
      </c>
      <c r="J2570">
        <f>INDEX(ChWeeksFull,MATCH(E2570,ChName,0))</f>
        <v/>
      </c>
      <c r="K2570">
        <f>INDEX(ChRamp,MATCH(E2570,ChName,0))</f>
        <v/>
      </c>
      <c r="L2570" s="45">
        <f>MIN(1,MAX(0,(A2570-I2570+1)*RampSpeed/J2570))</f>
        <v/>
      </c>
      <c r="M2570" s="45">
        <f>IF(A2570&lt;I2570,0,IF(K2570="S-curve",L2570*L2570*(3-2*L2570),L2570))</f>
        <v/>
      </c>
      <c r="N2570" s="45">
        <f>1+(INDEX(SeasonIdx,A2570)-1)*SeasonAmp</f>
        <v/>
      </c>
      <c r="O2570" s="45">
        <f>IFERROR(INDEX(PSPct,MATCH(E2570&amp;"|"&amp;G2570,PSKey,0)),0)</f>
        <v/>
      </c>
      <c r="P2570" s="46">
        <f>INDEX(ChDoorVel,MATCH(E2570,ChName,0))*CalibScalar*(1+VelocityUplift)</f>
        <v/>
      </c>
      <c r="Q2570" s="46" t="n">
        <v>0</v>
      </c>
      <c r="R2570" s="46">
        <f>P2570*O2570*M2570*N2570*H2570</f>
        <v/>
      </c>
      <c r="S2570" s="46">
        <f>R2570*INDEX(FmtCansPerCase,MATCH(F2570,FmtName,0))</f>
        <v/>
      </c>
      <c r="T2570" s="46">
        <f>S2570/INDEX(FmtCansPerPack,MATCH(F2570,FmtName,0))</f>
        <v/>
      </c>
      <c r="U2570" s="47">
        <f>INDEX(ChBaseCP,MATCH(E2570,ChName,0))*(1+INDEX(ProvMod,MATCH(G2570,ProvCode,0)))*(1+PriceIndex)</f>
        <v/>
      </c>
      <c r="V2570" s="47">
        <f>R2570*U2570*INDEX(FmtBlendedPriceIdx,MATCH(F2570,FmtName,0))</f>
        <v/>
      </c>
      <c r="W2570" s="47">
        <f>T2570*INDEX(ProvSRP,MATCH(G2570,ProvCode,0))*(1+PriceIndex)</f>
        <v/>
      </c>
      <c r="X2570" s="47">
        <f>IF(GrossBasis="Wholesale",V2570,W2570)</f>
        <v/>
      </c>
      <c r="Y2570" s="47">
        <f>R2570*INDEX(FmtBlendedCogs,MATCH(F2570,FmtName,0))</f>
        <v/>
      </c>
      <c r="Z2570" s="47">
        <f>X2570-Y2570</f>
        <v/>
      </c>
    </row>
    <row r="2571">
      <c r="A2571" t="n">
        <v>26</v>
      </c>
      <c r="B2571" s="44">
        <f>FiscalStart+(A2571-1)*7</f>
        <v/>
      </c>
      <c r="C2571">
        <f>TEXT(B2571,"mmm yyyy")</f>
        <v/>
      </c>
      <c r="D2571">
        <f>"Q"&amp;(INT((A2571-1)/13)+1)</f>
        <v/>
      </c>
      <c r="E2571" t="inlineStr">
        <is>
          <t>FDM</t>
        </is>
      </c>
      <c r="F2571">
        <f>IFERROR(INDEX(ChFormat,MATCH(E2571,ChName,0)),"")</f>
        <v/>
      </c>
      <c r="G2571" t="inlineStr">
        <is>
          <t>PE</t>
        </is>
      </c>
      <c r="H2571">
        <f>IF(A2571&lt;=NWeeks,1,0)</f>
        <v/>
      </c>
      <c r="I2571">
        <f>INDEX(ChLaunch,MATCH(E2571,ChName,0))</f>
        <v/>
      </c>
      <c r="J2571">
        <f>INDEX(ChWeeksFull,MATCH(E2571,ChName,0))</f>
        <v/>
      </c>
      <c r="K2571">
        <f>INDEX(ChRamp,MATCH(E2571,ChName,0))</f>
        <v/>
      </c>
      <c r="L2571" s="45">
        <f>MIN(1,MAX(0,(A2571-I2571+1)*RampSpeed/J2571))</f>
        <v/>
      </c>
      <c r="M2571" s="45">
        <f>IF(A2571&lt;I2571,0,IF(K2571="S-curve",L2571*L2571*(3-2*L2571),L2571))</f>
        <v/>
      </c>
      <c r="N2571" s="45">
        <f>1+(INDEX(SeasonIdx,A2571)-1)*SeasonAmp</f>
        <v/>
      </c>
      <c r="O2571" s="45">
        <f>IFERROR(INDEX(PSPct,MATCH(E2571&amp;"|"&amp;G2571,PSKey,0)),0)</f>
        <v/>
      </c>
      <c r="P2571" s="46">
        <f>INDEX(ChDoorVel,MATCH(E2571,ChName,0))*CalibScalar*(1+VelocityUplift)</f>
        <v/>
      </c>
      <c r="Q2571" s="46" t="n">
        <v>0</v>
      </c>
      <c r="R2571" s="46">
        <f>P2571*O2571*M2571*N2571*H2571</f>
        <v/>
      </c>
      <c r="S2571" s="46">
        <f>R2571*INDEX(FmtCansPerCase,MATCH(F2571,FmtName,0))</f>
        <v/>
      </c>
      <c r="T2571" s="46">
        <f>S2571/INDEX(FmtCansPerPack,MATCH(F2571,FmtName,0))</f>
        <v/>
      </c>
      <c r="U2571" s="47">
        <f>INDEX(ChBaseCP,MATCH(E2571,ChName,0))*(1+INDEX(ProvMod,MATCH(G2571,ProvCode,0)))*(1+PriceIndex)</f>
        <v/>
      </c>
      <c r="V2571" s="47">
        <f>R2571*U2571*INDEX(FmtBlendedPriceIdx,MATCH(F2571,FmtName,0))</f>
        <v/>
      </c>
      <c r="W2571" s="47">
        <f>T2571*INDEX(ProvSRP,MATCH(G2571,ProvCode,0))*(1+PriceIndex)</f>
        <v/>
      </c>
      <c r="X2571" s="47">
        <f>IF(GrossBasis="Wholesale",V2571,W2571)</f>
        <v/>
      </c>
      <c r="Y2571" s="47">
        <f>R2571*INDEX(FmtBlendedCogs,MATCH(F2571,FmtName,0))</f>
        <v/>
      </c>
      <c r="Z2571" s="47">
        <f>X2571-Y2571</f>
        <v/>
      </c>
    </row>
    <row r="2572">
      <c r="A2572" t="n">
        <v>27</v>
      </c>
      <c r="B2572" s="44">
        <f>FiscalStart+(A2572-1)*7</f>
        <v/>
      </c>
      <c r="C2572">
        <f>TEXT(B2572,"mmm yyyy")</f>
        <v/>
      </c>
      <c r="D2572">
        <f>"Q"&amp;(INT((A2572-1)/13)+1)</f>
        <v/>
      </c>
      <c r="E2572" t="inlineStr">
        <is>
          <t>FDM</t>
        </is>
      </c>
      <c r="F2572">
        <f>IFERROR(INDEX(ChFormat,MATCH(E2572,ChName,0)),"")</f>
        <v/>
      </c>
      <c r="G2572" t="inlineStr">
        <is>
          <t>PE</t>
        </is>
      </c>
      <c r="H2572">
        <f>IF(A2572&lt;=NWeeks,1,0)</f>
        <v/>
      </c>
      <c r="I2572">
        <f>INDEX(ChLaunch,MATCH(E2572,ChName,0))</f>
        <v/>
      </c>
      <c r="J2572">
        <f>INDEX(ChWeeksFull,MATCH(E2572,ChName,0))</f>
        <v/>
      </c>
      <c r="K2572">
        <f>INDEX(ChRamp,MATCH(E2572,ChName,0))</f>
        <v/>
      </c>
      <c r="L2572" s="45">
        <f>MIN(1,MAX(0,(A2572-I2572+1)*RampSpeed/J2572))</f>
        <v/>
      </c>
      <c r="M2572" s="45">
        <f>IF(A2572&lt;I2572,0,IF(K2572="S-curve",L2572*L2572*(3-2*L2572),L2572))</f>
        <v/>
      </c>
      <c r="N2572" s="45">
        <f>1+(INDEX(SeasonIdx,A2572)-1)*SeasonAmp</f>
        <v/>
      </c>
      <c r="O2572" s="45">
        <f>IFERROR(INDEX(PSPct,MATCH(E2572&amp;"|"&amp;G2572,PSKey,0)),0)</f>
        <v/>
      </c>
      <c r="P2572" s="46">
        <f>INDEX(ChDoorVel,MATCH(E2572,ChName,0))*CalibScalar*(1+VelocityUplift)</f>
        <v/>
      </c>
      <c r="Q2572" s="46" t="n">
        <v>0</v>
      </c>
      <c r="R2572" s="46">
        <f>P2572*O2572*M2572*N2572*H2572</f>
        <v/>
      </c>
      <c r="S2572" s="46">
        <f>R2572*INDEX(FmtCansPerCase,MATCH(F2572,FmtName,0))</f>
        <v/>
      </c>
      <c r="T2572" s="46">
        <f>S2572/INDEX(FmtCansPerPack,MATCH(F2572,FmtName,0))</f>
        <v/>
      </c>
      <c r="U2572" s="47">
        <f>INDEX(ChBaseCP,MATCH(E2572,ChName,0))*(1+INDEX(ProvMod,MATCH(G2572,ProvCode,0)))*(1+PriceIndex)</f>
        <v/>
      </c>
      <c r="V2572" s="47">
        <f>R2572*U2572*INDEX(FmtBlendedPriceIdx,MATCH(F2572,FmtName,0))</f>
        <v/>
      </c>
      <c r="W2572" s="47">
        <f>T2572*INDEX(ProvSRP,MATCH(G2572,ProvCode,0))*(1+PriceIndex)</f>
        <v/>
      </c>
      <c r="X2572" s="47">
        <f>IF(GrossBasis="Wholesale",V2572,W2572)</f>
        <v/>
      </c>
      <c r="Y2572" s="47">
        <f>R2572*INDEX(FmtBlendedCogs,MATCH(F2572,FmtName,0))</f>
        <v/>
      </c>
      <c r="Z2572" s="47">
        <f>X2572-Y2572</f>
        <v/>
      </c>
    </row>
    <row r="2573">
      <c r="A2573" t="n">
        <v>28</v>
      </c>
      <c r="B2573" s="44">
        <f>FiscalStart+(A2573-1)*7</f>
        <v/>
      </c>
      <c r="C2573">
        <f>TEXT(B2573,"mmm yyyy")</f>
        <v/>
      </c>
      <c r="D2573">
        <f>"Q"&amp;(INT((A2573-1)/13)+1)</f>
        <v/>
      </c>
      <c r="E2573" t="inlineStr">
        <is>
          <t>FDM</t>
        </is>
      </c>
      <c r="F2573">
        <f>IFERROR(INDEX(ChFormat,MATCH(E2573,ChName,0)),"")</f>
        <v/>
      </c>
      <c r="G2573" t="inlineStr">
        <is>
          <t>PE</t>
        </is>
      </c>
      <c r="H2573">
        <f>IF(A2573&lt;=NWeeks,1,0)</f>
        <v/>
      </c>
      <c r="I2573">
        <f>INDEX(ChLaunch,MATCH(E2573,ChName,0))</f>
        <v/>
      </c>
      <c r="J2573">
        <f>INDEX(ChWeeksFull,MATCH(E2573,ChName,0))</f>
        <v/>
      </c>
      <c r="K2573">
        <f>INDEX(ChRamp,MATCH(E2573,ChName,0))</f>
        <v/>
      </c>
      <c r="L2573" s="45">
        <f>MIN(1,MAX(0,(A2573-I2573+1)*RampSpeed/J2573))</f>
        <v/>
      </c>
      <c r="M2573" s="45">
        <f>IF(A2573&lt;I2573,0,IF(K2573="S-curve",L2573*L2573*(3-2*L2573),L2573))</f>
        <v/>
      </c>
      <c r="N2573" s="45">
        <f>1+(INDEX(SeasonIdx,A2573)-1)*SeasonAmp</f>
        <v/>
      </c>
      <c r="O2573" s="45">
        <f>IFERROR(INDEX(PSPct,MATCH(E2573&amp;"|"&amp;G2573,PSKey,0)),0)</f>
        <v/>
      </c>
      <c r="P2573" s="46">
        <f>INDEX(ChDoorVel,MATCH(E2573,ChName,0))*CalibScalar*(1+VelocityUplift)</f>
        <v/>
      </c>
      <c r="Q2573" s="46" t="n">
        <v>0</v>
      </c>
      <c r="R2573" s="46">
        <f>P2573*O2573*M2573*N2573*H2573</f>
        <v/>
      </c>
      <c r="S2573" s="46">
        <f>R2573*INDEX(FmtCansPerCase,MATCH(F2573,FmtName,0))</f>
        <v/>
      </c>
      <c r="T2573" s="46">
        <f>S2573/INDEX(FmtCansPerPack,MATCH(F2573,FmtName,0))</f>
        <v/>
      </c>
      <c r="U2573" s="47">
        <f>INDEX(ChBaseCP,MATCH(E2573,ChName,0))*(1+INDEX(ProvMod,MATCH(G2573,ProvCode,0)))*(1+PriceIndex)</f>
        <v/>
      </c>
      <c r="V2573" s="47">
        <f>R2573*U2573*INDEX(FmtBlendedPriceIdx,MATCH(F2573,FmtName,0))</f>
        <v/>
      </c>
      <c r="W2573" s="47">
        <f>T2573*INDEX(ProvSRP,MATCH(G2573,ProvCode,0))*(1+PriceIndex)</f>
        <v/>
      </c>
      <c r="X2573" s="47">
        <f>IF(GrossBasis="Wholesale",V2573,W2573)</f>
        <v/>
      </c>
      <c r="Y2573" s="47">
        <f>R2573*INDEX(FmtBlendedCogs,MATCH(F2573,FmtName,0))</f>
        <v/>
      </c>
      <c r="Z2573" s="47">
        <f>X2573-Y2573</f>
        <v/>
      </c>
    </row>
    <row r="2574">
      <c r="A2574" t="n">
        <v>29</v>
      </c>
      <c r="B2574" s="44">
        <f>FiscalStart+(A2574-1)*7</f>
        <v/>
      </c>
      <c r="C2574">
        <f>TEXT(B2574,"mmm yyyy")</f>
        <v/>
      </c>
      <c r="D2574">
        <f>"Q"&amp;(INT((A2574-1)/13)+1)</f>
        <v/>
      </c>
      <c r="E2574" t="inlineStr">
        <is>
          <t>FDM</t>
        </is>
      </c>
      <c r="F2574">
        <f>IFERROR(INDEX(ChFormat,MATCH(E2574,ChName,0)),"")</f>
        <v/>
      </c>
      <c r="G2574" t="inlineStr">
        <is>
          <t>PE</t>
        </is>
      </c>
      <c r="H2574">
        <f>IF(A2574&lt;=NWeeks,1,0)</f>
        <v/>
      </c>
      <c r="I2574">
        <f>INDEX(ChLaunch,MATCH(E2574,ChName,0))</f>
        <v/>
      </c>
      <c r="J2574">
        <f>INDEX(ChWeeksFull,MATCH(E2574,ChName,0))</f>
        <v/>
      </c>
      <c r="K2574">
        <f>INDEX(ChRamp,MATCH(E2574,ChName,0))</f>
        <v/>
      </c>
      <c r="L2574" s="45">
        <f>MIN(1,MAX(0,(A2574-I2574+1)*RampSpeed/J2574))</f>
        <v/>
      </c>
      <c r="M2574" s="45">
        <f>IF(A2574&lt;I2574,0,IF(K2574="S-curve",L2574*L2574*(3-2*L2574),L2574))</f>
        <v/>
      </c>
      <c r="N2574" s="45">
        <f>1+(INDEX(SeasonIdx,A2574)-1)*SeasonAmp</f>
        <v/>
      </c>
      <c r="O2574" s="45">
        <f>IFERROR(INDEX(PSPct,MATCH(E2574&amp;"|"&amp;G2574,PSKey,0)),0)</f>
        <v/>
      </c>
      <c r="P2574" s="46">
        <f>INDEX(ChDoorVel,MATCH(E2574,ChName,0))*CalibScalar*(1+VelocityUplift)</f>
        <v/>
      </c>
      <c r="Q2574" s="46" t="n">
        <v>0</v>
      </c>
      <c r="R2574" s="46">
        <f>P2574*O2574*M2574*N2574*H2574</f>
        <v/>
      </c>
      <c r="S2574" s="46">
        <f>R2574*INDEX(FmtCansPerCase,MATCH(F2574,FmtName,0))</f>
        <v/>
      </c>
      <c r="T2574" s="46">
        <f>S2574/INDEX(FmtCansPerPack,MATCH(F2574,FmtName,0))</f>
        <v/>
      </c>
      <c r="U2574" s="47">
        <f>INDEX(ChBaseCP,MATCH(E2574,ChName,0))*(1+INDEX(ProvMod,MATCH(G2574,ProvCode,0)))*(1+PriceIndex)</f>
        <v/>
      </c>
      <c r="V2574" s="47">
        <f>R2574*U2574*INDEX(FmtBlendedPriceIdx,MATCH(F2574,FmtName,0))</f>
        <v/>
      </c>
      <c r="W2574" s="47">
        <f>T2574*INDEX(ProvSRP,MATCH(G2574,ProvCode,0))*(1+PriceIndex)</f>
        <v/>
      </c>
      <c r="X2574" s="47">
        <f>IF(GrossBasis="Wholesale",V2574,W2574)</f>
        <v/>
      </c>
      <c r="Y2574" s="47">
        <f>R2574*INDEX(FmtBlendedCogs,MATCH(F2574,FmtName,0))</f>
        <v/>
      </c>
      <c r="Z2574" s="47">
        <f>X2574-Y2574</f>
        <v/>
      </c>
    </row>
    <row r="2575">
      <c r="A2575" t="n">
        <v>30</v>
      </c>
      <c r="B2575" s="44">
        <f>FiscalStart+(A2575-1)*7</f>
        <v/>
      </c>
      <c r="C2575">
        <f>TEXT(B2575,"mmm yyyy")</f>
        <v/>
      </c>
      <c r="D2575">
        <f>"Q"&amp;(INT((A2575-1)/13)+1)</f>
        <v/>
      </c>
      <c r="E2575" t="inlineStr">
        <is>
          <t>FDM</t>
        </is>
      </c>
      <c r="F2575">
        <f>IFERROR(INDEX(ChFormat,MATCH(E2575,ChName,0)),"")</f>
        <v/>
      </c>
      <c r="G2575" t="inlineStr">
        <is>
          <t>PE</t>
        </is>
      </c>
      <c r="H2575">
        <f>IF(A2575&lt;=NWeeks,1,0)</f>
        <v/>
      </c>
      <c r="I2575">
        <f>INDEX(ChLaunch,MATCH(E2575,ChName,0))</f>
        <v/>
      </c>
      <c r="J2575">
        <f>INDEX(ChWeeksFull,MATCH(E2575,ChName,0))</f>
        <v/>
      </c>
      <c r="K2575">
        <f>INDEX(ChRamp,MATCH(E2575,ChName,0))</f>
        <v/>
      </c>
      <c r="L2575" s="45">
        <f>MIN(1,MAX(0,(A2575-I2575+1)*RampSpeed/J2575))</f>
        <v/>
      </c>
      <c r="M2575" s="45">
        <f>IF(A2575&lt;I2575,0,IF(K2575="S-curve",L2575*L2575*(3-2*L2575),L2575))</f>
        <v/>
      </c>
      <c r="N2575" s="45">
        <f>1+(INDEX(SeasonIdx,A2575)-1)*SeasonAmp</f>
        <v/>
      </c>
      <c r="O2575" s="45">
        <f>IFERROR(INDEX(PSPct,MATCH(E2575&amp;"|"&amp;G2575,PSKey,0)),0)</f>
        <v/>
      </c>
      <c r="P2575" s="46">
        <f>INDEX(ChDoorVel,MATCH(E2575,ChName,0))*CalibScalar*(1+VelocityUplift)</f>
        <v/>
      </c>
      <c r="Q2575" s="46" t="n">
        <v>0</v>
      </c>
      <c r="R2575" s="46">
        <f>P2575*O2575*M2575*N2575*H2575</f>
        <v/>
      </c>
      <c r="S2575" s="46">
        <f>R2575*INDEX(FmtCansPerCase,MATCH(F2575,FmtName,0))</f>
        <v/>
      </c>
      <c r="T2575" s="46">
        <f>S2575/INDEX(FmtCansPerPack,MATCH(F2575,FmtName,0))</f>
        <v/>
      </c>
      <c r="U2575" s="47">
        <f>INDEX(ChBaseCP,MATCH(E2575,ChName,0))*(1+INDEX(ProvMod,MATCH(G2575,ProvCode,0)))*(1+PriceIndex)</f>
        <v/>
      </c>
      <c r="V2575" s="47">
        <f>R2575*U2575*INDEX(FmtBlendedPriceIdx,MATCH(F2575,FmtName,0))</f>
        <v/>
      </c>
      <c r="W2575" s="47">
        <f>T2575*INDEX(ProvSRP,MATCH(G2575,ProvCode,0))*(1+PriceIndex)</f>
        <v/>
      </c>
      <c r="X2575" s="47">
        <f>IF(GrossBasis="Wholesale",V2575,W2575)</f>
        <v/>
      </c>
      <c r="Y2575" s="47">
        <f>R2575*INDEX(FmtBlendedCogs,MATCH(F2575,FmtName,0))</f>
        <v/>
      </c>
      <c r="Z2575" s="47">
        <f>X2575-Y2575</f>
        <v/>
      </c>
    </row>
    <row r="2576">
      <c r="A2576" t="n">
        <v>31</v>
      </c>
      <c r="B2576" s="44">
        <f>FiscalStart+(A2576-1)*7</f>
        <v/>
      </c>
      <c r="C2576">
        <f>TEXT(B2576,"mmm yyyy")</f>
        <v/>
      </c>
      <c r="D2576">
        <f>"Q"&amp;(INT((A2576-1)/13)+1)</f>
        <v/>
      </c>
      <c r="E2576" t="inlineStr">
        <is>
          <t>FDM</t>
        </is>
      </c>
      <c r="F2576">
        <f>IFERROR(INDEX(ChFormat,MATCH(E2576,ChName,0)),"")</f>
        <v/>
      </c>
      <c r="G2576" t="inlineStr">
        <is>
          <t>PE</t>
        </is>
      </c>
      <c r="H2576">
        <f>IF(A2576&lt;=NWeeks,1,0)</f>
        <v/>
      </c>
      <c r="I2576">
        <f>INDEX(ChLaunch,MATCH(E2576,ChName,0))</f>
        <v/>
      </c>
      <c r="J2576">
        <f>INDEX(ChWeeksFull,MATCH(E2576,ChName,0))</f>
        <v/>
      </c>
      <c r="K2576">
        <f>INDEX(ChRamp,MATCH(E2576,ChName,0))</f>
        <v/>
      </c>
      <c r="L2576" s="45">
        <f>MIN(1,MAX(0,(A2576-I2576+1)*RampSpeed/J2576))</f>
        <v/>
      </c>
      <c r="M2576" s="45">
        <f>IF(A2576&lt;I2576,0,IF(K2576="S-curve",L2576*L2576*(3-2*L2576),L2576))</f>
        <v/>
      </c>
      <c r="N2576" s="45">
        <f>1+(INDEX(SeasonIdx,A2576)-1)*SeasonAmp</f>
        <v/>
      </c>
      <c r="O2576" s="45">
        <f>IFERROR(INDEX(PSPct,MATCH(E2576&amp;"|"&amp;G2576,PSKey,0)),0)</f>
        <v/>
      </c>
      <c r="P2576" s="46">
        <f>INDEX(ChDoorVel,MATCH(E2576,ChName,0))*CalibScalar*(1+VelocityUplift)</f>
        <v/>
      </c>
      <c r="Q2576" s="46" t="n">
        <v>0</v>
      </c>
      <c r="R2576" s="46">
        <f>P2576*O2576*M2576*N2576*H2576</f>
        <v/>
      </c>
      <c r="S2576" s="46">
        <f>R2576*INDEX(FmtCansPerCase,MATCH(F2576,FmtName,0))</f>
        <v/>
      </c>
      <c r="T2576" s="46">
        <f>S2576/INDEX(FmtCansPerPack,MATCH(F2576,FmtName,0))</f>
        <v/>
      </c>
      <c r="U2576" s="47">
        <f>INDEX(ChBaseCP,MATCH(E2576,ChName,0))*(1+INDEX(ProvMod,MATCH(G2576,ProvCode,0)))*(1+PriceIndex)</f>
        <v/>
      </c>
      <c r="V2576" s="47">
        <f>R2576*U2576*INDEX(FmtBlendedPriceIdx,MATCH(F2576,FmtName,0))</f>
        <v/>
      </c>
      <c r="W2576" s="47">
        <f>T2576*INDEX(ProvSRP,MATCH(G2576,ProvCode,0))*(1+PriceIndex)</f>
        <v/>
      </c>
      <c r="X2576" s="47">
        <f>IF(GrossBasis="Wholesale",V2576,W2576)</f>
        <v/>
      </c>
      <c r="Y2576" s="47">
        <f>R2576*INDEX(FmtBlendedCogs,MATCH(F2576,FmtName,0))</f>
        <v/>
      </c>
      <c r="Z2576" s="47">
        <f>X2576-Y2576</f>
        <v/>
      </c>
    </row>
    <row r="2577">
      <c r="A2577" t="n">
        <v>32</v>
      </c>
      <c r="B2577" s="44">
        <f>FiscalStart+(A2577-1)*7</f>
        <v/>
      </c>
      <c r="C2577">
        <f>TEXT(B2577,"mmm yyyy")</f>
        <v/>
      </c>
      <c r="D2577">
        <f>"Q"&amp;(INT((A2577-1)/13)+1)</f>
        <v/>
      </c>
      <c r="E2577" t="inlineStr">
        <is>
          <t>FDM</t>
        </is>
      </c>
      <c r="F2577">
        <f>IFERROR(INDEX(ChFormat,MATCH(E2577,ChName,0)),"")</f>
        <v/>
      </c>
      <c r="G2577" t="inlineStr">
        <is>
          <t>PE</t>
        </is>
      </c>
      <c r="H2577">
        <f>IF(A2577&lt;=NWeeks,1,0)</f>
        <v/>
      </c>
      <c r="I2577">
        <f>INDEX(ChLaunch,MATCH(E2577,ChName,0))</f>
        <v/>
      </c>
      <c r="J2577">
        <f>INDEX(ChWeeksFull,MATCH(E2577,ChName,0))</f>
        <v/>
      </c>
      <c r="K2577">
        <f>INDEX(ChRamp,MATCH(E2577,ChName,0))</f>
        <v/>
      </c>
      <c r="L2577" s="45">
        <f>MIN(1,MAX(0,(A2577-I2577+1)*RampSpeed/J2577))</f>
        <v/>
      </c>
      <c r="M2577" s="45">
        <f>IF(A2577&lt;I2577,0,IF(K2577="S-curve",L2577*L2577*(3-2*L2577),L2577))</f>
        <v/>
      </c>
      <c r="N2577" s="45">
        <f>1+(INDEX(SeasonIdx,A2577)-1)*SeasonAmp</f>
        <v/>
      </c>
      <c r="O2577" s="45">
        <f>IFERROR(INDEX(PSPct,MATCH(E2577&amp;"|"&amp;G2577,PSKey,0)),0)</f>
        <v/>
      </c>
      <c r="P2577" s="46">
        <f>INDEX(ChDoorVel,MATCH(E2577,ChName,0))*CalibScalar*(1+VelocityUplift)</f>
        <v/>
      </c>
      <c r="Q2577" s="46" t="n">
        <v>0</v>
      </c>
      <c r="R2577" s="46">
        <f>P2577*O2577*M2577*N2577*H2577</f>
        <v/>
      </c>
      <c r="S2577" s="46">
        <f>R2577*INDEX(FmtCansPerCase,MATCH(F2577,FmtName,0))</f>
        <v/>
      </c>
      <c r="T2577" s="46">
        <f>S2577/INDEX(FmtCansPerPack,MATCH(F2577,FmtName,0))</f>
        <v/>
      </c>
      <c r="U2577" s="47">
        <f>INDEX(ChBaseCP,MATCH(E2577,ChName,0))*(1+INDEX(ProvMod,MATCH(G2577,ProvCode,0)))*(1+PriceIndex)</f>
        <v/>
      </c>
      <c r="V2577" s="47">
        <f>R2577*U2577*INDEX(FmtBlendedPriceIdx,MATCH(F2577,FmtName,0))</f>
        <v/>
      </c>
      <c r="W2577" s="47">
        <f>T2577*INDEX(ProvSRP,MATCH(G2577,ProvCode,0))*(1+PriceIndex)</f>
        <v/>
      </c>
      <c r="X2577" s="47">
        <f>IF(GrossBasis="Wholesale",V2577,W2577)</f>
        <v/>
      </c>
      <c r="Y2577" s="47">
        <f>R2577*INDEX(FmtBlendedCogs,MATCH(F2577,FmtName,0))</f>
        <v/>
      </c>
      <c r="Z2577" s="47">
        <f>X2577-Y2577</f>
        <v/>
      </c>
    </row>
    <row r="2578">
      <c r="A2578" t="n">
        <v>33</v>
      </c>
      <c r="B2578" s="44">
        <f>FiscalStart+(A2578-1)*7</f>
        <v/>
      </c>
      <c r="C2578">
        <f>TEXT(B2578,"mmm yyyy")</f>
        <v/>
      </c>
      <c r="D2578">
        <f>"Q"&amp;(INT((A2578-1)/13)+1)</f>
        <v/>
      </c>
      <c r="E2578" t="inlineStr">
        <is>
          <t>FDM</t>
        </is>
      </c>
      <c r="F2578">
        <f>IFERROR(INDEX(ChFormat,MATCH(E2578,ChName,0)),"")</f>
        <v/>
      </c>
      <c r="G2578" t="inlineStr">
        <is>
          <t>PE</t>
        </is>
      </c>
      <c r="H2578">
        <f>IF(A2578&lt;=NWeeks,1,0)</f>
        <v/>
      </c>
      <c r="I2578">
        <f>INDEX(ChLaunch,MATCH(E2578,ChName,0))</f>
        <v/>
      </c>
      <c r="J2578">
        <f>INDEX(ChWeeksFull,MATCH(E2578,ChName,0))</f>
        <v/>
      </c>
      <c r="K2578">
        <f>INDEX(ChRamp,MATCH(E2578,ChName,0))</f>
        <v/>
      </c>
      <c r="L2578" s="45">
        <f>MIN(1,MAX(0,(A2578-I2578+1)*RampSpeed/J2578))</f>
        <v/>
      </c>
      <c r="M2578" s="45">
        <f>IF(A2578&lt;I2578,0,IF(K2578="S-curve",L2578*L2578*(3-2*L2578),L2578))</f>
        <v/>
      </c>
      <c r="N2578" s="45">
        <f>1+(INDEX(SeasonIdx,A2578)-1)*SeasonAmp</f>
        <v/>
      </c>
      <c r="O2578" s="45">
        <f>IFERROR(INDEX(PSPct,MATCH(E2578&amp;"|"&amp;G2578,PSKey,0)),0)</f>
        <v/>
      </c>
      <c r="P2578" s="46">
        <f>INDEX(ChDoorVel,MATCH(E2578,ChName,0))*CalibScalar*(1+VelocityUplift)</f>
        <v/>
      </c>
      <c r="Q2578" s="46" t="n">
        <v>0</v>
      </c>
      <c r="R2578" s="46">
        <f>P2578*O2578*M2578*N2578*H2578</f>
        <v/>
      </c>
      <c r="S2578" s="46">
        <f>R2578*INDEX(FmtCansPerCase,MATCH(F2578,FmtName,0))</f>
        <v/>
      </c>
      <c r="T2578" s="46">
        <f>S2578/INDEX(FmtCansPerPack,MATCH(F2578,FmtName,0))</f>
        <v/>
      </c>
      <c r="U2578" s="47">
        <f>INDEX(ChBaseCP,MATCH(E2578,ChName,0))*(1+INDEX(ProvMod,MATCH(G2578,ProvCode,0)))*(1+PriceIndex)</f>
        <v/>
      </c>
      <c r="V2578" s="47">
        <f>R2578*U2578*INDEX(FmtBlendedPriceIdx,MATCH(F2578,FmtName,0))</f>
        <v/>
      </c>
      <c r="W2578" s="47">
        <f>T2578*INDEX(ProvSRP,MATCH(G2578,ProvCode,0))*(1+PriceIndex)</f>
        <v/>
      </c>
      <c r="X2578" s="47">
        <f>IF(GrossBasis="Wholesale",V2578,W2578)</f>
        <v/>
      </c>
      <c r="Y2578" s="47">
        <f>R2578*INDEX(FmtBlendedCogs,MATCH(F2578,FmtName,0))</f>
        <v/>
      </c>
      <c r="Z2578" s="47">
        <f>X2578-Y2578</f>
        <v/>
      </c>
    </row>
    <row r="2579">
      <c r="A2579" t="n">
        <v>34</v>
      </c>
      <c r="B2579" s="44">
        <f>FiscalStart+(A2579-1)*7</f>
        <v/>
      </c>
      <c r="C2579">
        <f>TEXT(B2579,"mmm yyyy")</f>
        <v/>
      </c>
      <c r="D2579">
        <f>"Q"&amp;(INT((A2579-1)/13)+1)</f>
        <v/>
      </c>
      <c r="E2579" t="inlineStr">
        <is>
          <t>FDM</t>
        </is>
      </c>
      <c r="F2579">
        <f>IFERROR(INDEX(ChFormat,MATCH(E2579,ChName,0)),"")</f>
        <v/>
      </c>
      <c r="G2579" t="inlineStr">
        <is>
          <t>PE</t>
        </is>
      </c>
      <c r="H2579">
        <f>IF(A2579&lt;=NWeeks,1,0)</f>
        <v/>
      </c>
      <c r="I2579">
        <f>INDEX(ChLaunch,MATCH(E2579,ChName,0))</f>
        <v/>
      </c>
      <c r="J2579">
        <f>INDEX(ChWeeksFull,MATCH(E2579,ChName,0))</f>
        <v/>
      </c>
      <c r="K2579">
        <f>INDEX(ChRamp,MATCH(E2579,ChName,0))</f>
        <v/>
      </c>
      <c r="L2579" s="45">
        <f>MIN(1,MAX(0,(A2579-I2579+1)*RampSpeed/J2579))</f>
        <v/>
      </c>
      <c r="M2579" s="45">
        <f>IF(A2579&lt;I2579,0,IF(K2579="S-curve",L2579*L2579*(3-2*L2579),L2579))</f>
        <v/>
      </c>
      <c r="N2579" s="45">
        <f>1+(INDEX(SeasonIdx,A2579)-1)*SeasonAmp</f>
        <v/>
      </c>
      <c r="O2579" s="45">
        <f>IFERROR(INDEX(PSPct,MATCH(E2579&amp;"|"&amp;G2579,PSKey,0)),0)</f>
        <v/>
      </c>
      <c r="P2579" s="46">
        <f>INDEX(ChDoorVel,MATCH(E2579,ChName,0))*CalibScalar*(1+VelocityUplift)</f>
        <v/>
      </c>
      <c r="Q2579" s="46" t="n">
        <v>0</v>
      </c>
      <c r="R2579" s="46">
        <f>P2579*O2579*M2579*N2579*H2579</f>
        <v/>
      </c>
      <c r="S2579" s="46">
        <f>R2579*INDEX(FmtCansPerCase,MATCH(F2579,FmtName,0))</f>
        <v/>
      </c>
      <c r="T2579" s="46">
        <f>S2579/INDEX(FmtCansPerPack,MATCH(F2579,FmtName,0))</f>
        <v/>
      </c>
      <c r="U2579" s="47">
        <f>INDEX(ChBaseCP,MATCH(E2579,ChName,0))*(1+INDEX(ProvMod,MATCH(G2579,ProvCode,0)))*(1+PriceIndex)</f>
        <v/>
      </c>
      <c r="V2579" s="47">
        <f>R2579*U2579*INDEX(FmtBlendedPriceIdx,MATCH(F2579,FmtName,0))</f>
        <v/>
      </c>
      <c r="W2579" s="47">
        <f>T2579*INDEX(ProvSRP,MATCH(G2579,ProvCode,0))*(1+PriceIndex)</f>
        <v/>
      </c>
      <c r="X2579" s="47">
        <f>IF(GrossBasis="Wholesale",V2579,W2579)</f>
        <v/>
      </c>
      <c r="Y2579" s="47">
        <f>R2579*INDEX(FmtBlendedCogs,MATCH(F2579,FmtName,0))</f>
        <v/>
      </c>
      <c r="Z2579" s="47">
        <f>X2579-Y2579</f>
        <v/>
      </c>
    </row>
    <row r="2580">
      <c r="A2580" t="n">
        <v>35</v>
      </c>
      <c r="B2580" s="44">
        <f>FiscalStart+(A2580-1)*7</f>
        <v/>
      </c>
      <c r="C2580">
        <f>TEXT(B2580,"mmm yyyy")</f>
        <v/>
      </c>
      <c r="D2580">
        <f>"Q"&amp;(INT((A2580-1)/13)+1)</f>
        <v/>
      </c>
      <c r="E2580" t="inlineStr">
        <is>
          <t>FDM</t>
        </is>
      </c>
      <c r="F2580">
        <f>IFERROR(INDEX(ChFormat,MATCH(E2580,ChName,0)),"")</f>
        <v/>
      </c>
      <c r="G2580" t="inlineStr">
        <is>
          <t>PE</t>
        </is>
      </c>
      <c r="H2580">
        <f>IF(A2580&lt;=NWeeks,1,0)</f>
        <v/>
      </c>
      <c r="I2580">
        <f>INDEX(ChLaunch,MATCH(E2580,ChName,0))</f>
        <v/>
      </c>
      <c r="J2580">
        <f>INDEX(ChWeeksFull,MATCH(E2580,ChName,0))</f>
        <v/>
      </c>
      <c r="K2580">
        <f>INDEX(ChRamp,MATCH(E2580,ChName,0))</f>
        <v/>
      </c>
      <c r="L2580" s="45">
        <f>MIN(1,MAX(0,(A2580-I2580+1)*RampSpeed/J2580))</f>
        <v/>
      </c>
      <c r="M2580" s="45">
        <f>IF(A2580&lt;I2580,0,IF(K2580="S-curve",L2580*L2580*(3-2*L2580),L2580))</f>
        <v/>
      </c>
      <c r="N2580" s="45">
        <f>1+(INDEX(SeasonIdx,A2580)-1)*SeasonAmp</f>
        <v/>
      </c>
      <c r="O2580" s="45">
        <f>IFERROR(INDEX(PSPct,MATCH(E2580&amp;"|"&amp;G2580,PSKey,0)),0)</f>
        <v/>
      </c>
      <c r="P2580" s="46">
        <f>INDEX(ChDoorVel,MATCH(E2580,ChName,0))*CalibScalar*(1+VelocityUplift)</f>
        <v/>
      </c>
      <c r="Q2580" s="46" t="n">
        <v>0</v>
      </c>
      <c r="R2580" s="46">
        <f>P2580*O2580*M2580*N2580*H2580</f>
        <v/>
      </c>
      <c r="S2580" s="46">
        <f>R2580*INDEX(FmtCansPerCase,MATCH(F2580,FmtName,0))</f>
        <v/>
      </c>
      <c r="T2580" s="46">
        <f>S2580/INDEX(FmtCansPerPack,MATCH(F2580,FmtName,0))</f>
        <v/>
      </c>
      <c r="U2580" s="47">
        <f>INDEX(ChBaseCP,MATCH(E2580,ChName,0))*(1+INDEX(ProvMod,MATCH(G2580,ProvCode,0)))*(1+PriceIndex)</f>
        <v/>
      </c>
      <c r="V2580" s="47">
        <f>R2580*U2580*INDEX(FmtBlendedPriceIdx,MATCH(F2580,FmtName,0))</f>
        <v/>
      </c>
      <c r="W2580" s="47">
        <f>T2580*INDEX(ProvSRP,MATCH(G2580,ProvCode,0))*(1+PriceIndex)</f>
        <v/>
      </c>
      <c r="X2580" s="47">
        <f>IF(GrossBasis="Wholesale",V2580,W2580)</f>
        <v/>
      </c>
      <c r="Y2580" s="47">
        <f>R2580*INDEX(FmtBlendedCogs,MATCH(F2580,FmtName,0))</f>
        <v/>
      </c>
      <c r="Z2580" s="47">
        <f>X2580-Y2580</f>
        <v/>
      </c>
    </row>
    <row r="2581">
      <c r="A2581" t="n">
        <v>36</v>
      </c>
      <c r="B2581" s="44">
        <f>FiscalStart+(A2581-1)*7</f>
        <v/>
      </c>
      <c r="C2581">
        <f>TEXT(B2581,"mmm yyyy")</f>
        <v/>
      </c>
      <c r="D2581">
        <f>"Q"&amp;(INT((A2581-1)/13)+1)</f>
        <v/>
      </c>
      <c r="E2581" t="inlineStr">
        <is>
          <t>FDM</t>
        </is>
      </c>
      <c r="F2581">
        <f>IFERROR(INDEX(ChFormat,MATCH(E2581,ChName,0)),"")</f>
        <v/>
      </c>
      <c r="G2581" t="inlineStr">
        <is>
          <t>PE</t>
        </is>
      </c>
      <c r="H2581">
        <f>IF(A2581&lt;=NWeeks,1,0)</f>
        <v/>
      </c>
      <c r="I2581">
        <f>INDEX(ChLaunch,MATCH(E2581,ChName,0))</f>
        <v/>
      </c>
      <c r="J2581">
        <f>INDEX(ChWeeksFull,MATCH(E2581,ChName,0))</f>
        <v/>
      </c>
      <c r="K2581">
        <f>INDEX(ChRamp,MATCH(E2581,ChName,0))</f>
        <v/>
      </c>
      <c r="L2581" s="45">
        <f>MIN(1,MAX(0,(A2581-I2581+1)*RampSpeed/J2581))</f>
        <v/>
      </c>
      <c r="M2581" s="45">
        <f>IF(A2581&lt;I2581,0,IF(K2581="S-curve",L2581*L2581*(3-2*L2581),L2581))</f>
        <v/>
      </c>
      <c r="N2581" s="45">
        <f>1+(INDEX(SeasonIdx,A2581)-1)*SeasonAmp</f>
        <v/>
      </c>
      <c r="O2581" s="45">
        <f>IFERROR(INDEX(PSPct,MATCH(E2581&amp;"|"&amp;G2581,PSKey,0)),0)</f>
        <v/>
      </c>
      <c r="P2581" s="46">
        <f>INDEX(ChDoorVel,MATCH(E2581,ChName,0))*CalibScalar*(1+VelocityUplift)</f>
        <v/>
      </c>
      <c r="Q2581" s="46" t="n">
        <v>0</v>
      </c>
      <c r="R2581" s="46">
        <f>P2581*O2581*M2581*N2581*H2581</f>
        <v/>
      </c>
      <c r="S2581" s="46">
        <f>R2581*INDEX(FmtCansPerCase,MATCH(F2581,FmtName,0))</f>
        <v/>
      </c>
      <c r="T2581" s="46">
        <f>S2581/INDEX(FmtCansPerPack,MATCH(F2581,FmtName,0))</f>
        <v/>
      </c>
      <c r="U2581" s="47">
        <f>INDEX(ChBaseCP,MATCH(E2581,ChName,0))*(1+INDEX(ProvMod,MATCH(G2581,ProvCode,0)))*(1+PriceIndex)</f>
        <v/>
      </c>
      <c r="V2581" s="47">
        <f>R2581*U2581*INDEX(FmtBlendedPriceIdx,MATCH(F2581,FmtName,0))</f>
        <v/>
      </c>
      <c r="W2581" s="47">
        <f>T2581*INDEX(ProvSRP,MATCH(G2581,ProvCode,0))*(1+PriceIndex)</f>
        <v/>
      </c>
      <c r="X2581" s="47">
        <f>IF(GrossBasis="Wholesale",V2581,W2581)</f>
        <v/>
      </c>
      <c r="Y2581" s="47">
        <f>R2581*INDEX(FmtBlendedCogs,MATCH(F2581,FmtName,0))</f>
        <v/>
      </c>
      <c r="Z2581" s="47">
        <f>X2581-Y2581</f>
        <v/>
      </c>
    </row>
    <row r="2582">
      <c r="A2582" t="n">
        <v>37</v>
      </c>
      <c r="B2582" s="44">
        <f>FiscalStart+(A2582-1)*7</f>
        <v/>
      </c>
      <c r="C2582">
        <f>TEXT(B2582,"mmm yyyy")</f>
        <v/>
      </c>
      <c r="D2582">
        <f>"Q"&amp;(INT((A2582-1)/13)+1)</f>
        <v/>
      </c>
      <c r="E2582" t="inlineStr">
        <is>
          <t>FDM</t>
        </is>
      </c>
      <c r="F2582">
        <f>IFERROR(INDEX(ChFormat,MATCH(E2582,ChName,0)),"")</f>
        <v/>
      </c>
      <c r="G2582" t="inlineStr">
        <is>
          <t>PE</t>
        </is>
      </c>
      <c r="H2582">
        <f>IF(A2582&lt;=NWeeks,1,0)</f>
        <v/>
      </c>
      <c r="I2582">
        <f>INDEX(ChLaunch,MATCH(E2582,ChName,0))</f>
        <v/>
      </c>
      <c r="J2582">
        <f>INDEX(ChWeeksFull,MATCH(E2582,ChName,0))</f>
        <v/>
      </c>
      <c r="K2582">
        <f>INDEX(ChRamp,MATCH(E2582,ChName,0))</f>
        <v/>
      </c>
      <c r="L2582" s="45">
        <f>MIN(1,MAX(0,(A2582-I2582+1)*RampSpeed/J2582))</f>
        <v/>
      </c>
      <c r="M2582" s="45">
        <f>IF(A2582&lt;I2582,0,IF(K2582="S-curve",L2582*L2582*(3-2*L2582),L2582))</f>
        <v/>
      </c>
      <c r="N2582" s="45">
        <f>1+(INDEX(SeasonIdx,A2582)-1)*SeasonAmp</f>
        <v/>
      </c>
      <c r="O2582" s="45">
        <f>IFERROR(INDEX(PSPct,MATCH(E2582&amp;"|"&amp;G2582,PSKey,0)),0)</f>
        <v/>
      </c>
      <c r="P2582" s="46">
        <f>INDEX(ChDoorVel,MATCH(E2582,ChName,0))*CalibScalar*(1+VelocityUplift)</f>
        <v/>
      </c>
      <c r="Q2582" s="46" t="n">
        <v>0</v>
      </c>
      <c r="R2582" s="46">
        <f>P2582*O2582*M2582*N2582*H2582</f>
        <v/>
      </c>
      <c r="S2582" s="46">
        <f>R2582*INDEX(FmtCansPerCase,MATCH(F2582,FmtName,0))</f>
        <v/>
      </c>
      <c r="T2582" s="46">
        <f>S2582/INDEX(FmtCansPerPack,MATCH(F2582,FmtName,0))</f>
        <v/>
      </c>
      <c r="U2582" s="47">
        <f>INDEX(ChBaseCP,MATCH(E2582,ChName,0))*(1+INDEX(ProvMod,MATCH(G2582,ProvCode,0)))*(1+PriceIndex)</f>
        <v/>
      </c>
      <c r="V2582" s="47">
        <f>R2582*U2582*INDEX(FmtBlendedPriceIdx,MATCH(F2582,FmtName,0))</f>
        <v/>
      </c>
      <c r="W2582" s="47">
        <f>T2582*INDEX(ProvSRP,MATCH(G2582,ProvCode,0))*(1+PriceIndex)</f>
        <v/>
      </c>
      <c r="X2582" s="47">
        <f>IF(GrossBasis="Wholesale",V2582,W2582)</f>
        <v/>
      </c>
      <c r="Y2582" s="47">
        <f>R2582*INDEX(FmtBlendedCogs,MATCH(F2582,FmtName,0))</f>
        <v/>
      </c>
      <c r="Z2582" s="47">
        <f>X2582-Y2582</f>
        <v/>
      </c>
    </row>
    <row r="2583">
      <c r="A2583" t="n">
        <v>38</v>
      </c>
      <c r="B2583" s="44">
        <f>FiscalStart+(A2583-1)*7</f>
        <v/>
      </c>
      <c r="C2583">
        <f>TEXT(B2583,"mmm yyyy")</f>
        <v/>
      </c>
      <c r="D2583">
        <f>"Q"&amp;(INT((A2583-1)/13)+1)</f>
        <v/>
      </c>
      <c r="E2583" t="inlineStr">
        <is>
          <t>FDM</t>
        </is>
      </c>
      <c r="F2583">
        <f>IFERROR(INDEX(ChFormat,MATCH(E2583,ChName,0)),"")</f>
        <v/>
      </c>
      <c r="G2583" t="inlineStr">
        <is>
          <t>PE</t>
        </is>
      </c>
      <c r="H2583">
        <f>IF(A2583&lt;=NWeeks,1,0)</f>
        <v/>
      </c>
      <c r="I2583">
        <f>INDEX(ChLaunch,MATCH(E2583,ChName,0))</f>
        <v/>
      </c>
      <c r="J2583">
        <f>INDEX(ChWeeksFull,MATCH(E2583,ChName,0))</f>
        <v/>
      </c>
      <c r="K2583">
        <f>INDEX(ChRamp,MATCH(E2583,ChName,0))</f>
        <v/>
      </c>
      <c r="L2583" s="45">
        <f>MIN(1,MAX(0,(A2583-I2583+1)*RampSpeed/J2583))</f>
        <v/>
      </c>
      <c r="M2583" s="45">
        <f>IF(A2583&lt;I2583,0,IF(K2583="S-curve",L2583*L2583*(3-2*L2583),L2583))</f>
        <v/>
      </c>
      <c r="N2583" s="45">
        <f>1+(INDEX(SeasonIdx,A2583)-1)*SeasonAmp</f>
        <v/>
      </c>
      <c r="O2583" s="45">
        <f>IFERROR(INDEX(PSPct,MATCH(E2583&amp;"|"&amp;G2583,PSKey,0)),0)</f>
        <v/>
      </c>
      <c r="P2583" s="46">
        <f>INDEX(ChDoorVel,MATCH(E2583,ChName,0))*CalibScalar*(1+VelocityUplift)</f>
        <v/>
      </c>
      <c r="Q2583" s="46" t="n">
        <v>0</v>
      </c>
      <c r="R2583" s="46">
        <f>P2583*O2583*M2583*N2583*H2583</f>
        <v/>
      </c>
      <c r="S2583" s="46">
        <f>R2583*INDEX(FmtCansPerCase,MATCH(F2583,FmtName,0))</f>
        <v/>
      </c>
      <c r="T2583" s="46">
        <f>S2583/INDEX(FmtCansPerPack,MATCH(F2583,FmtName,0))</f>
        <v/>
      </c>
      <c r="U2583" s="47">
        <f>INDEX(ChBaseCP,MATCH(E2583,ChName,0))*(1+INDEX(ProvMod,MATCH(G2583,ProvCode,0)))*(1+PriceIndex)</f>
        <v/>
      </c>
      <c r="V2583" s="47">
        <f>R2583*U2583*INDEX(FmtBlendedPriceIdx,MATCH(F2583,FmtName,0))</f>
        <v/>
      </c>
      <c r="W2583" s="47">
        <f>T2583*INDEX(ProvSRP,MATCH(G2583,ProvCode,0))*(1+PriceIndex)</f>
        <v/>
      </c>
      <c r="X2583" s="47">
        <f>IF(GrossBasis="Wholesale",V2583,W2583)</f>
        <v/>
      </c>
      <c r="Y2583" s="47">
        <f>R2583*INDEX(FmtBlendedCogs,MATCH(F2583,FmtName,0))</f>
        <v/>
      </c>
      <c r="Z2583" s="47">
        <f>X2583-Y2583</f>
        <v/>
      </c>
    </row>
    <row r="2584">
      <c r="A2584" t="n">
        <v>39</v>
      </c>
      <c r="B2584" s="44">
        <f>FiscalStart+(A2584-1)*7</f>
        <v/>
      </c>
      <c r="C2584">
        <f>TEXT(B2584,"mmm yyyy")</f>
        <v/>
      </c>
      <c r="D2584">
        <f>"Q"&amp;(INT((A2584-1)/13)+1)</f>
        <v/>
      </c>
      <c r="E2584" t="inlineStr">
        <is>
          <t>FDM</t>
        </is>
      </c>
      <c r="F2584">
        <f>IFERROR(INDEX(ChFormat,MATCH(E2584,ChName,0)),"")</f>
        <v/>
      </c>
      <c r="G2584" t="inlineStr">
        <is>
          <t>PE</t>
        </is>
      </c>
      <c r="H2584">
        <f>IF(A2584&lt;=NWeeks,1,0)</f>
        <v/>
      </c>
      <c r="I2584">
        <f>INDEX(ChLaunch,MATCH(E2584,ChName,0))</f>
        <v/>
      </c>
      <c r="J2584">
        <f>INDEX(ChWeeksFull,MATCH(E2584,ChName,0))</f>
        <v/>
      </c>
      <c r="K2584">
        <f>INDEX(ChRamp,MATCH(E2584,ChName,0))</f>
        <v/>
      </c>
      <c r="L2584" s="45">
        <f>MIN(1,MAX(0,(A2584-I2584+1)*RampSpeed/J2584))</f>
        <v/>
      </c>
      <c r="M2584" s="45">
        <f>IF(A2584&lt;I2584,0,IF(K2584="S-curve",L2584*L2584*(3-2*L2584),L2584))</f>
        <v/>
      </c>
      <c r="N2584" s="45">
        <f>1+(INDEX(SeasonIdx,A2584)-1)*SeasonAmp</f>
        <v/>
      </c>
      <c r="O2584" s="45">
        <f>IFERROR(INDEX(PSPct,MATCH(E2584&amp;"|"&amp;G2584,PSKey,0)),0)</f>
        <v/>
      </c>
      <c r="P2584" s="46">
        <f>INDEX(ChDoorVel,MATCH(E2584,ChName,0))*CalibScalar*(1+VelocityUplift)</f>
        <v/>
      </c>
      <c r="Q2584" s="46" t="n">
        <v>0</v>
      </c>
      <c r="R2584" s="46">
        <f>P2584*O2584*M2584*N2584*H2584</f>
        <v/>
      </c>
      <c r="S2584" s="46">
        <f>R2584*INDEX(FmtCansPerCase,MATCH(F2584,FmtName,0))</f>
        <v/>
      </c>
      <c r="T2584" s="46">
        <f>S2584/INDEX(FmtCansPerPack,MATCH(F2584,FmtName,0))</f>
        <v/>
      </c>
      <c r="U2584" s="47">
        <f>INDEX(ChBaseCP,MATCH(E2584,ChName,0))*(1+INDEX(ProvMod,MATCH(G2584,ProvCode,0)))*(1+PriceIndex)</f>
        <v/>
      </c>
      <c r="V2584" s="47">
        <f>R2584*U2584*INDEX(FmtBlendedPriceIdx,MATCH(F2584,FmtName,0))</f>
        <v/>
      </c>
      <c r="W2584" s="47">
        <f>T2584*INDEX(ProvSRP,MATCH(G2584,ProvCode,0))*(1+PriceIndex)</f>
        <v/>
      </c>
      <c r="X2584" s="47">
        <f>IF(GrossBasis="Wholesale",V2584,W2584)</f>
        <v/>
      </c>
      <c r="Y2584" s="47">
        <f>R2584*INDEX(FmtBlendedCogs,MATCH(F2584,FmtName,0))</f>
        <v/>
      </c>
      <c r="Z2584" s="47">
        <f>X2584-Y2584</f>
        <v/>
      </c>
    </row>
    <row r="2585">
      <c r="A2585" t="n">
        <v>40</v>
      </c>
      <c r="B2585" s="44">
        <f>FiscalStart+(A2585-1)*7</f>
        <v/>
      </c>
      <c r="C2585">
        <f>TEXT(B2585,"mmm yyyy")</f>
        <v/>
      </c>
      <c r="D2585">
        <f>"Q"&amp;(INT((A2585-1)/13)+1)</f>
        <v/>
      </c>
      <c r="E2585" t="inlineStr">
        <is>
          <t>FDM</t>
        </is>
      </c>
      <c r="F2585">
        <f>IFERROR(INDEX(ChFormat,MATCH(E2585,ChName,0)),"")</f>
        <v/>
      </c>
      <c r="G2585" t="inlineStr">
        <is>
          <t>PE</t>
        </is>
      </c>
      <c r="H2585">
        <f>IF(A2585&lt;=NWeeks,1,0)</f>
        <v/>
      </c>
      <c r="I2585">
        <f>INDEX(ChLaunch,MATCH(E2585,ChName,0))</f>
        <v/>
      </c>
      <c r="J2585">
        <f>INDEX(ChWeeksFull,MATCH(E2585,ChName,0))</f>
        <v/>
      </c>
      <c r="K2585">
        <f>INDEX(ChRamp,MATCH(E2585,ChName,0))</f>
        <v/>
      </c>
      <c r="L2585" s="45">
        <f>MIN(1,MAX(0,(A2585-I2585+1)*RampSpeed/J2585))</f>
        <v/>
      </c>
      <c r="M2585" s="45">
        <f>IF(A2585&lt;I2585,0,IF(K2585="S-curve",L2585*L2585*(3-2*L2585),L2585))</f>
        <v/>
      </c>
      <c r="N2585" s="45">
        <f>1+(INDEX(SeasonIdx,A2585)-1)*SeasonAmp</f>
        <v/>
      </c>
      <c r="O2585" s="45">
        <f>IFERROR(INDEX(PSPct,MATCH(E2585&amp;"|"&amp;G2585,PSKey,0)),0)</f>
        <v/>
      </c>
      <c r="P2585" s="46">
        <f>INDEX(ChDoorVel,MATCH(E2585,ChName,0))*CalibScalar*(1+VelocityUplift)</f>
        <v/>
      </c>
      <c r="Q2585" s="46" t="n">
        <v>0</v>
      </c>
      <c r="R2585" s="46">
        <f>P2585*O2585*M2585*N2585*H2585</f>
        <v/>
      </c>
      <c r="S2585" s="46">
        <f>R2585*INDEX(FmtCansPerCase,MATCH(F2585,FmtName,0))</f>
        <v/>
      </c>
      <c r="T2585" s="46">
        <f>S2585/INDEX(FmtCansPerPack,MATCH(F2585,FmtName,0))</f>
        <v/>
      </c>
      <c r="U2585" s="47">
        <f>INDEX(ChBaseCP,MATCH(E2585,ChName,0))*(1+INDEX(ProvMod,MATCH(G2585,ProvCode,0)))*(1+PriceIndex)</f>
        <v/>
      </c>
      <c r="V2585" s="47">
        <f>R2585*U2585*INDEX(FmtBlendedPriceIdx,MATCH(F2585,FmtName,0))</f>
        <v/>
      </c>
      <c r="W2585" s="47">
        <f>T2585*INDEX(ProvSRP,MATCH(G2585,ProvCode,0))*(1+PriceIndex)</f>
        <v/>
      </c>
      <c r="X2585" s="47">
        <f>IF(GrossBasis="Wholesale",V2585,W2585)</f>
        <v/>
      </c>
      <c r="Y2585" s="47">
        <f>R2585*INDEX(FmtBlendedCogs,MATCH(F2585,FmtName,0))</f>
        <v/>
      </c>
      <c r="Z2585" s="47">
        <f>X2585-Y2585</f>
        <v/>
      </c>
    </row>
    <row r="2586">
      <c r="A2586" t="n">
        <v>41</v>
      </c>
      <c r="B2586" s="44">
        <f>FiscalStart+(A2586-1)*7</f>
        <v/>
      </c>
      <c r="C2586">
        <f>TEXT(B2586,"mmm yyyy")</f>
        <v/>
      </c>
      <c r="D2586">
        <f>"Q"&amp;(INT((A2586-1)/13)+1)</f>
        <v/>
      </c>
      <c r="E2586" t="inlineStr">
        <is>
          <t>FDM</t>
        </is>
      </c>
      <c r="F2586">
        <f>IFERROR(INDEX(ChFormat,MATCH(E2586,ChName,0)),"")</f>
        <v/>
      </c>
      <c r="G2586" t="inlineStr">
        <is>
          <t>PE</t>
        </is>
      </c>
      <c r="H2586">
        <f>IF(A2586&lt;=NWeeks,1,0)</f>
        <v/>
      </c>
      <c r="I2586">
        <f>INDEX(ChLaunch,MATCH(E2586,ChName,0))</f>
        <v/>
      </c>
      <c r="J2586">
        <f>INDEX(ChWeeksFull,MATCH(E2586,ChName,0))</f>
        <v/>
      </c>
      <c r="K2586">
        <f>INDEX(ChRamp,MATCH(E2586,ChName,0))</f>
        <v/>
      </c>
      <c r="L2586" s="45">
        <f>MIN(1,MAX(0,(A2586-I2586+1)*RampSpeed/J2586))</f>
        <v/>
      </c>
      <c r="M2586" s="45">
        <f>IF(A2586&lt;I2586,0,IF(K2586="S-curve",L2586*L2586*(3-2*L2586),L2586))</f>
        <v/>
      </c>
      <c r="N2586" s="45">
        <f>1+(INDEX(SeasonIdx,A2586)-1)*SeasonAmp</f>
        <v/>
      </c>
      <c r="O2586" s="45">
        <f>IFERROR(INDEX(PSPct,MATCH(E2586&amp;"|"&amp;G2586,PSKey,0)),0)</f>
        <v/>
      </c>
      <c r="P2586" s="46">
        <f>INDEX(ChDoorVel,MATCH(E2586,ChName,0))*CalibScalar*(1+VelocityUplift)</f>
        <v/>
      </c>
      <c r="Q2586" s="46" t="n">
        <v>0</v>
      </c>
      <c r="R2586" s="46">
        <f>P2586*O2586*M2586*N2586*H2586</f>
        <v/>
      </c>
      <c r="S2586" s="46">
        <f>R2586*INDEX(FmtCansPerCase,MATCH(F2586,FmtName,0))</f>
        <v/>
      </c>
      <c r="T2586" s="46">
        <f>S2586/INDEX(FmtCansPerPack,MATCH(F2586,FmtName,0))</f>
        <v/>
      </c>
      <c r="U2586" s="47">
        <f>INDEX(ChBaseCP,MATCH(E2586,ChName,0))*(1+INDEX(ProvMod,MATCH(G2586,ProvCode,0)))*(1+PriceIndex)</f>
        <v/>
      </c>
      <c r="V2586" s="47">
        <f>R2586*U2586*INDEX(FmtBlendedPriceIdx,MATCH(F2586,FmtName,0))</f>
        <v/>
      </c>
      <c r="W2586" s="47">
        <f>T2586*INDEX(ProvSRP,MATCH(G2586,ProvCode,0))*(1+PriceIndex)</f>
        <v/>
      </c>
      <c r="X2586" s="47">
        <f>IF(GrossBasis="Wholesale",V2586,W2586)</f>
        <v/>
      </c>
      <c r="Y2586" s="47">
        <f>R2586*INDEX(FmtBlendedCogs,MATCH(F2586,FmtName,0))</f>
        <v/>
      </c>
      <c r="Z2586" s="47">
        <f>X2586-Y2586</f>
        <v/>
      </c>
    </row>
    <row r="2587">
      <c r="A2587" t="n">
        <v>42</v>
      </c>
      <c r="B2587" s="44">
        <f>FiscalStart+(A2587-1)*7</f>
        <v/>
      </c>
      <c r="C2587">
        <f>TEXT(B2587,"mmm yyyy")</f>
        <v/>
      </c>
      <c r="D2587">
        <f>"Q"&amp;(INT((A2587-1)/13)+1)</f>
        <v/>
      </c>
      <c r="E2587" t="inlineStr">
        <is>
          <t>FDM</t>
        </is>
      </c>
      <c r="F2587">
        <f>IFERROR(INDEX(ChFormat,MATCH(E2587,ChName,0)),"")</f>
        <v/>
      </c>
      <c r="G2587" t="inlineStr">
        <is>
          <t>PE</t>
        </is>
      </c>
      <c r="H2587">
        <f>IF(A2587&lt;=NWeeks,1,0)</f>
        <v/>
      </c>
      <c r="I2587">
        <f>INDEX(ChLaunch,MATCH(E2587,ChName,0))</f>
        <v/>
      </c>
      <c r="J2587">
        <f>INDEX(ChWeeksFull,MATCH(E2587,ChName,0))</f>
        <v/>
      </c>
      <c r="K2587">
        <f>INDEX(ChRamp,MATCH(E2587,ChName,0))</f>
        <v/>
      </c>
      <c r="L2587" s="45">
        <f>MIN(1,MAX(0,(A2587-I2587+1)*RampSpeed/J2587))</f>
        <v/>
      </c>
      <c r="M2587" s="45">
        <f>IF(A2587&lt;I2587,0,IF(K2587="S-curve",L2587*L2587*(3-2*L2587),L2587))</f>
        <v/>
      </c>
      <c r="N2587" s="45">
        <f>1+(INDEX(SeasonIdx,A2587)-1)*SeasonAmp</f>
        <v/>
      </c>
      <c r="O2587" s="45">
        <f>IFERROR(INDEX(PSPct,MATCH(E2587&amp;"|"&amp;G2587,PSKey,0)),0)</f>
        <v/>
      </c>
      <c r="P2587" s="46">
        <f>INDEX(ChDoorVel,MATCH(E2587,ChName,0))*CalibScalar*(1+VelocityUplift)</f>
        <v/>
      </c>
      <c r="Q2587" s="46" t="n">
        <v>0</v>
      </c>
      <c r="R2587" s="46">
        <f>P2587*O2587*M2587*N2587*H2587</f>
        <v/>
      </c>
      <c r="S2587" s="46">
        <f>R2587*INDEX(FmtCansPerCase,MATCH(F2587,FmtName,0))</f>
        <v/>
      </c>
      <c r="T2587" s="46">
        <f>S2587/INDEX(FmtCansPerPack,MATCH(F2587,FmtName,0))</f>
        <v/>
      </c>
      <c r="U2587" s="47">
        <f>INDEX(ChBaseCP,MATCH(E2587,ChName,0))*(1+INDEX(ProvMod,MATCH(G2587,ProvCode,0)))*(1+PriceIndex)</f>
        <v/>
      </c>
      <c r="V2587" s="47">
        <f>R2587*U2587*INDEX(FmtBlendedPriceIdx,MATCH(F2587,FmtName,0))</f>
        <v/>
      </c>
      <c r="W2587" s="47">
        <f>T2587*INDEX(ProvSRP,MATCH(G2587,ProvCode,0))*(1+PriceIndex)</f>
        <v/>
      </c>
      <c r="X2587" s="47">
        <f>IF(GrossBasis="Wholesale",V2587,W2587)</f>
        <v/>
      </c>
      <c r="Y2587" s="47">
        <f>R2587*INDEX(FmtBlendedCogs,MATCH(F2587,FmtName,0))</f>
        <v/>
      </c>
      <c r="Z2587" s="47">
        <f>X2587-Y2587</f>
        <v/>
      </c>
    </row>
    <row r="2588">
      <c r="A2588" t="n">
        <v>43</v>
      </c>
      <c r="B2588" s="44">
        <f>FiscalStart+(A2588-1)*7</f>
        <v/>
      </c>
      <c r="C2588">
        <f>TEXT(B2588,"mmm yyyy")</f>
        <v/>
      </c>
      <c r="D2588">
        <f>"Q"&amp;(INT((A2588-1)/13)+1)</f>
        <v/>
      </c>
      <c r="E2588" t="inlineStr">
        <is>
          <t>FDM</t>
        </is>
      </c>
      <c r="F2588">
        <f>IFERROR(INDEX(ChFormat,MATCH(E2588,ChName,0)),"")</f>
        <v/>
      </c>
      <c r="G2588" t="inlineStr">
        <is>
          <t>PE</t>
        </is>
      </c>
      <c r="H2588">
        <f>IF(A2588&lt;=NWeeks,1,0)</f>
        <v/>
      </c>
      <c r="I2588">
        <f>INDEX(ChLaunch,MATCH(E2588,ChName,0))</f>
        <v/>
      </c>
      <c r="J2588">
        <f>INDEX(ChWeeksFull,MATCH(E2588,ChName,0))</f>
        <v/>
      </c>
      <c r="K2588">
        <f>INDEX(ChRamp,MATCH(E2588,ChName,0))</f>
        <v/>
      </c>
      <c r="L2588" s="45">
        <f>MIN(1,MAX(0,(A2588-I2588+1)*RampSpeed/J2588))</f>
        <v/>
      </c>
      <c r="M2588" s="45">
        <f>IF(A2588&lt;I2588,0,IF(K2588="S-curve",L2588*L2588*(3-2*L2588),L2588))</f>
        <v/>
      </c>
      <c r="N2588" s="45">
        <f>1+(INDEX(SeasonIdx,A2588)-1)*SeasonAmp</f>
        <v/>
      </c>
      <c r="O2588" s="45">
        <f>IFERROR(INDEX(PSPct,MATCH(E2588&amp;"|"&amp;G2588,PSKey,0)),0)</f>
        <v/>
      </c>
      <c r="P2588" s="46">
        <f>INDEX(ChDoorVel,MATCH(E2588,ChName,0))*CalibScalar*(1+VelocityUplift)</f>
        <v/>
      </c>
      <c r="Q2588" s="46" t="n">
        <v>0</v>
      </c>
      <c r="R2588" s="46">
        <f>P2588*O2588*M2588*N2588*H2588</f>
        <v/>
      </c>
      <c r="S2588" s="46">
        <f>R2588*INDEX(FmtCansPerCase,MATCH(F2588,FmtName,0))</f>
        <v/>
      </c>
      <c r="T2588" s="46">
        <f>S2588/INDEX(FmtCansPerPack,MATCH(F2588,FmtName,0))</f>
        <v/>
      </c>
      <c r="U2588" s="47">
        <f>INDEX(ChBaseCP,MATCH(E2588,ChName,0))*(1+INDEX(ProvMod,MATCH(G2588,ProvCode,0)))*(1+PriceIndex)</f>
        <v/>
      </c>
      <c r="V2588" s="47">
        <f>R2588*U2588*INDEX(FmtBlendedPriceIdx,MATCH(F2588,FmtName,0))</f>
        <v/>
      </c>
      <c r="W2588" s="47">
        <f>T2588*INDEX(ProvSRP,MATCH(G2588,ProvCode,0))*(1+PriceIndex)</f>
        <v/>
      </c>
      <c r="X2588" s="47">
        <f>IF(GrossBasis="Wholesale",V2588,W2588)</f>
        <v/>
      </c>
      <c r="Y2588" s="47">
        <f>R2588*INDEX(FmtBlendedCogs,MATCH(F2588,FmtName,0))</f>
        <v/>
      </c>
      <c r="Z2588" s="47">
        <f>X2588-Y2588</f>
        <v/>
      </c>
    </row>
    <row r="2589">
      <c r="A2589" t="n">
        <v>44</v>
      </c>
      <c r="B2589" s="44">
        <f>FiscalStart+(A2589-1)*7</f>
        <v/>
      </c>
      <c r="C2589">
        <f>TEXT(B2589,"mmm yyyy")</f>
        <v/>
      </c>
      <c r="D2589">
        <f>"Q"&amp;(INT((A2589-1)/13)+1)</f>
        <v/>
      </c>
      <c r="E2589" t="inlineStr">
        <is>
          <t>FDM</t>
        </is>
      </c>
      <c r="F2589">
        <f>IFERROR(INDEX(ChFormat,MATCH(E2589,ChName,0)),"")</f>
        <v/>
      </c>
      <c r="G2589" t="inlineStr">
        <is>
          <t>PE</t>
        </is>
      </c>
      <c r="H2589">
        <f>IF(A2589&lt;=NWeeks,1,0)</f>
        <v/>
      </c>
      <c r="I2589">
        <f>INDEX(ChLaunch,MATCH(E2589,ChName,0))</f>
        <v/>
      </c>
      <c r="J2589">
        <f>INDEX(ChWeeksFull,MATCH(E2589,ChName,0))</f>
        <v/>
      </c>
      <c r="K2589">
        <f>INDEX(ChRamp,MATCH(E2589,ChName,0))</f>
        <v/>
      </c>
      <c r="L2589" s="45">
        <f>MIN(1,MAX(0,(A2589-I2589+1)*RampSpeed/J2589))</f>
        <v/>
      </c>
      <c r="M2589" s="45">
        <f>IF(A2589&lt;I2589,0,IF(K2589="S-curve",L2589*L2589*(3-2*L2589),L2589))</f>
        <v/>
      </c>
      <c r="N2589" s="45">
        <f>1+(INDEX(SeasonIdx,A2589)-1)*SeasonAmp</f>
        <v/>
      </c>
      <c r="O2589" s="45">
        <f>IFERROR(INDEX(PSPct,MATCH(E2589&amp;"|"&amp;G2589,PSKey,0)),0)</f>
        <v/>
      </c>
      <c r="P2589" s="46">
        <f>INDEX(ChDoorVel,MATCH(E2589,ChName,0))*CalibScalar*(1+VelocityUplift)</f>
        <v/>
      </c>
      <c r="Q2589" s="46" t="n">
        <v>0</v>
      </c>
      <c r="R2589" s="46">
        <f>P2589*O2589*M2589*N2589*H2589</f>
        <v/>
      </c>
      <c r="S2589" s="46">
        <f>R2589*INDEX(FmtCansPerCase,MATCH(F2589,FmtName,0))</f>
        <v/>
      </c>
      <c r="T2589" s="46">
        <f>S2589/INDEX(FmtCansPerPack,MATCH(F2589,FmtName,0))</f>
        <v/>
      </c>
      <c r="U2589" s="47">
        <f>INDEX(ChBaseCP,MATCH(E2589,ChName,0))*(1+INDEX(ProvMod,MATCH(G2589,ProvCode,0)))*(1+PriceIndex)</f>
        <v/>
      </c>
      <c r="V2589" s="47">
        <f>R2589*U2589*INDEX(FmtBlendedPriceIdx,MATCH(F2589,FmtName,0))</f>
        <v/>
      </c>
      <c r="W2589" s="47">
        <f>T2589*INDEX(ProvSRP,MATCH(G2589,ProvCode,0))*(1+PriceIndex)</f>
        <v/>
      </c>
      <c r="X2589" s="47">
        <f>IF(GrossBasis="Wholesale",V2589,W2589)</f>
        <v/>
      </c>
      <c r="Y2589" s="47">
        <f>R2589*INDEX(FmtBlendedCogs,MATCH(F2589,FmtName,0))</f>
        <v/>
      </c>
      <c r="Z2589" s="47">
        <f>X2589-Y2589</f>
        <v/>
      </c>
    </row>
    <row r="2590">
      <c r="A2590" t="n">
        <v>45</v>
      </c>
      <c r="B2590" s="44">
        <f>FiscalStart+(A2590-1)*7</f>
        <v/>
      </c>
      <c r="C2590">
        <f>TEXT(B2590,"mmm yyyy")</f>
        <v/>
      </c>
      <c r="D2590">
        <f>"Q"&amp;(INT((A2590-1)/13)+1)</f>
        <v/>
      </c>
      <c r="E2590" t="inlineStr">
        <is>
          <t>FDM</t>
        </is>
      </c>
      <c r="F2590">
        <f>IFERROR(INDEX(ChFormat,MATCH(E2590,ChName,0)),"")</f>
        <v/>
      </c>
      <c r="G2590" t="inlineStr">
        <is>
          <t>PE</t>
        </is>
      </c>
      <c r="H2590">
        <f>IF(A2590&lt;=NWeeks,1,0)</f>
        <v/>
      </c>
      <c r="I2590">
        <f>INDEX(ChLaunch,MATCH(E2590,ChName,0))</f>
        <v/>
      </c>
      <c r="J2590">
        <f>INDEX(ChWeeksFull,MATCH(E2590,ChName,0))</f>
        <v/>
      </c>
      <c r="K2590">
        <f>INDEX(ChRamp,MATCH(E2590,ChName,0))</f>
        <v/>
      </c>
      <c r="L2590" s="45">
        <f>MIN(1,MAX(0,(A2590-I2590+1)*RampSpeed/J2590))</f>
        <v/>
      </c>
      <c r="M2590" s="45">
        <f>IF(A2590&lt;I2590,0,IF(K2590="S-curve",L2590*L2590*(3-2*L2590),L2590))</f>
        <v/>
      </c>
      <c r="N2590" s="45">
        <f>1+(INDEX(SeasonIdx,A2590)-1)*SeasonAmp</f>
        <v/>
      </c>
      <c r="O2590" s="45">
        <f>IFERROR(INDEX(PSPct,MATCH(E2590&amp;"|"&amp;G2590,PSKey,0)),0)</f>
        <v/>
      </c>
      <c r="P2590" s="46">
        <f>INDEX(ChDoorVel,MATCH(E2590,ChName,0))*CalibScalar*(1+VelocityUplift)</f>
        <v/>
      </c>
      <c r="Q2590" s="46" t="n">
        <v>0</v>
      </c>
      <c r="R2590" s="46">
        <f>P2590*O2590*M2590*N2590*H2590</f>
        <v/>
      </c>
      <c r="S2590" s="46">
        <f>R2590*INDEX(FmtCansPerCase,MATCH(F2590,FmtName,0))</f>
        <v/>
      </c>
      <c r="T2590" s="46">
        <f>S2590/INDEX(FmtCansPerPack,MATCH(F2590,FmtName,0))</f>
        <v/>
      </c>
      <c r="U2590" s="47">
        <f>INDEX(ChBaseCP,MATCH(E2590,ChName,0))*(1+INDEX(ProvMod,MATCH(G2590,ProvCode,0)))*(1+PriceIndex)</f>
        <v/>
      </c>
      <c r="V2590" s="47">
        <f>R2590*U2590*INDEX(FmtBlendedPriceIdx,MATCH(F2590,FmtName,0))</f>
        <v/>
      </c>
      <c r="W2590" s="47">
        <f>T2590*INDEX(ProvSRP,MATCH(G2590,ProvCode,0))*(1+PriceIndex)</f>
        <v/>
      </c>
      <c r="X2590" s="47">
        <f>IF(GrossBasis="Wholesale",V2590,W2590)</f>
        <v/>
      </c>
      <c r="Y2590" s="47">
        <f>R2590*INDEX(FmtBlendedCogs,MATCH(F2590,FmtName,0))</f>
        <v/>
      </c>
      <c r="Z2590" s="47">
        <f>X2590-Y2590</f>
        <v/>
      </c>
    </row>
    <row r="2591">
      <c r="A2591" t="n">
        <v>46</v>
      </c>
      <c r="B2591" s="44">
        <f>FiscalStart+(A2591-1)*7</f>
        <v/>
      </c>
      <c r="C2591">
        <f>TEXT(B2591,"mmm yyyy")</f>
        <v/>
      </c>
      <c r="D2591">
        <f>"Q"&amp;(INT((A2591-1)/13)+1)</f>
        <v/>
      </c>
      <c r="E2591" t="inlineStr">
        <is>
          <t>FDM</t>
        </is>
      </c>
      <c r="F2591">
        <f>IFERROR(INDEX(ChFormat,MATCH(E2591,ChName,0)),"")</f>
        <v/>
      </c>
      <c r="G2591" t="inlineStr">
        <is>
          <t>PE</t>
        </is>
      </c>
      <c r="H2591">
        <f>IF(A2591&lt;=NWeeks,1,0)</f>
        <v/>
      </c>
      <c r="I2591">
        <f>INDEX(ChLaunch,MATCH(E2591,ChName,0))</f>
        <v/>
      </c>
      <c r="J2591">
        <f>INDEX(ChWeeksFull,MATCH(E2591,ChName,0))</f>
        <v/>
      </c>
      <c r="K2591">
        <f>INDEX(ChRamp,MATCH(E2591,ChName,0))</f>
        <v/>
      </c>
      <c r="L2591" s="45">
        <f>MIN(1,MAX(0,(A2591-I2591+1)*RampSpeed/J2591))</f>
        <v/>
      </c>
      <c r="M2591" s="45">
        <f>IF(A2591&lt;I2591,0,IF(K2591="S-curve",L2591*L2591*(3-2*L2591),L2591))</f>
        <v/>
      </c>
      <c r="N2591" s="45">
        <f>1+(INDEX(SeasonIdx,A2591)-1)*SeasonAmp</f>
        <v/>
      </c>
      <c r="O2591" s="45">
        <f>IFERROR(INDEX(PSPct,MATCH(E2591&amp;"|"&amp;G2591,PSKey,0)),0)</f>
        <v/>
      </c>
      <c r="P2591" s="46">
        <f>INDEX(ChDoorVel,MATCH(E2591,ChName,0))*CalibScalar*(1+VelocityUplift)</f>
        <v/>
      </c>
      <c r="Q2591" s="46" t="n">
        <v>0</v>
      </c>
      <c r="R2591" s="46">
        <f>P2591*O2591*M2591*N2591*H2591</f>
        <v/>
      </c>
      <c r="S2591" s="46">
        <f>R2591*INDEX(FmtCansPerCase,MATCH(F2591,FmtName,0))</f>
        <v/>
      </c>
      <c r="T2591" s="46">
        <f>S2591/INDEX(FmtCansPerPack,MATCH(F2591,FmtName,0))</f>
        <v/>
      </c>
      <c r="U2591" s="47">
        <f>INDEX(ChBaseCP,MATCH(E2591,ChName,0))*(1+INDEX(ProvMod,MATCH(G2591,ProvCode,0)))*(1+PriceIndex)</f>
        <v/>
      </c>
      <c r="V2591" s="47">
        <f>R2591*U2591*INDEX(FmtBlendedPriceIdx,MATCH(F2591,FmtName,0))</f>
        <v/>
      </c>
      <c r="W2591" s="47">
        <f>T2591*INDEX(ProvSRP,MATCH(G2591,ProvCode,0))*(1+PriceIndex)</f>
        <v/>
      </c>
      <c r="X2591" s="47">
        <f>IF(GrossBasis="Wholesale",V2591,W2591)</f>
        <v/>
      </c>
      <c r="Y2591" s="47">
        <f>R2591*INDEX(FmtBlendedCogs,MATCH(F2591,FmtName,0))</f>
        <v/>
      </c>
      <c r="Z2591" s="47">
        <f>X2591-Y2591</f>
        <v/>
      </c>
    </row>
    <row r="2592">
      <c r="A2592" t="n">
        <v>47</v>
      </c>
      <c r="B2592" s="44">
        <f>FiscalStart+(A2592-1)*7</f>
        <v/>
      </c>
      <c r="C2592">
        <f>TEXT(B2592,"mmm yyyy")</f>
        <v/>
      </c>
      <c r="D2592">
        <f>"Q"&amp;(INT((A2592-1)/13)+1)</f>
        <v/>
      </c>
      <c r="E2592" t="inlineStr">
        <is>
          <t>FDM</t>
        </is>
      </c>
      <c r="F2592">
        <f>IFERROR(INDEX(ChFormat,MATCH(E2592,ChName,0)),"")</f>
        <v/>
      </c>
      <c r="G2592" t="inlineStr">
        <is>
          <t>PE</t>
        </is>
      </c>
      <c r="H2592">
        <f>IF(A2592&lt;=NWeeks,1,0)</f>
        <v/>
      </c>
      <c r="I2592">
        <f>INDEX(ChLaunch,MATCH(E2592,ChName,0))</f>
        <v/>
      </c>
      <c r="J2592">
        <f>INDEX(ChWeeksFull,MATCH(E2592,ChName,0))</f>
        <v/>
      </c>
      <c r="K2592">
        <f>INDEX(ChRamp,MATCH(E2592,ChName,0))</f>
        <v/>
      </c>
      <c r="L2592" s="45">
        <f>MIN(1,MAX(0,(A2592-I2592+1)*RampSpeed/J2592))</f>
        <v/>
      </c>
      <c r="M2592" s="45">
        <f>IF(A2592&lt;I2592,0,IF(K2592="S-curve",L2592*L2592*(3-2*L2592),L2592))</f>
        <v/>
      </c>
      <c r="N2592" s="45">
        <f>1+(INDEX(SeasonIdx,A2592)-1)*SeasonAmp</f>
        <v/>
      </c>
      <c r="O2592" s="45">
        <f>IFERROR(INDEX(PSPct,MATCH(E2592&amp;"|"&amp;G2592,PSKey,0)),0)</f>
        <v/>
      </c>
      <c r="P2592" s="46">
        <f>INDEX(ChDoorVel,MATCH(E2592,ChName,0))*CalibScalar*(1+VelocityUplift)</f>
        <v/>
      </c>
      <c r="Q2592" s="46" t="n">
        <v>0</v>
      </c>
      <c r="R2592" s="46">
        <f>P2592*O2592*M2592*N2592*H2592</f>
        <v/>
      </c>
      <c r="S2592" s="46">
        <f>R2592*INDEX(FmtCansPerCase,MATCH(F2592,FmtName,0))</f>
        <v/>
      </c>
      <c r="T2592" s="46">
        <f>S2592/INDEX(FmtCansPerPack,MATCH(F2592,FmtName,0))</f>
        <v/>
      </c>
      <c r="U2592" s="47">
        <f>INDEX(ChBaseCP,MATCH(E2592,ChName,0))*(1+INDEX(ProvMod,MATCH(G2592,ProvCode,0)))*(1+PriceIndex)</f>
        <v/>
      </c>
      <c r="V2592" s="47">
        <f>R2592*U2592*INDEX(FmtBlendedPriceIdx,MATCH(F2592,FmtName,0))</f>
        <v/>
      </c>
      <c r="W2592" s="47">
        <f>T2592*INDEX(ProvSRP,MATCH(G2592,ProvCode,0))*(1+PriceIndex)</f>
        <v/>
      </c>
      <c r="X2592" s="47">
        <f>IF(GrossBasis="Wholesale",V2592,W2592)</f>
        <v/>
      </c>
      <c r="Y2592" s="47">
        <f>R2592*INDEX(FmtBlendedCogs,MATCH(F2592,FmtName,0))</f>
        <v/>
      </c>
      <c r="Z2592" s="47">
        <f>X2592-Y2592</f>
        <v/>
      </c>
    </row>
    <row r="2593">
      <c r="A2593" t="n">
        <v>48</v>
      </c>
      <c r="B2593" s="44">
        <f>FiscalStart+(A2593-1)*7</f>
        <v/>
      </c>
      <c r="C2593">
        <f>TEXT(B2593,"mmm yyyy")</f>
        <v/>
      </c>
      <c r="D2593">
        <f>"Q"&amp;(INT((A2593-1)/13)+1)</f>
        <v/>
      </c>
      <c r="E2593" t="inlineStr">
        <is>
          <t>FDM</t>
        </is>
      </c>
      <c r="F2593">
        <f>IFERROR(INDEX(ChFormat,MATCH(E2593,ChName,0)),"")</f>
        <v/>
      </c>
      <c r="G2593" t="inlineStr">
        <is>
          <t>PE</t>
        </is>
      </c>
      <c r="H2593">
        <f>IF(A2593&lt;=NWeeks,1,0)</f>
        <v/>
      </c>
      <c r="I2593">
        <f>INDEX(ChLaunch,MATCH(E2593,ChName,0))</f>
        <v/>
      </c>
      <c r="J2593">
        <f>INDEX(ChWeeksFull,MATCH(E2593,ChName,0))</f>
        <v/>
      </c>
      <c r="K2593">
        <f>INDEX(ChRamp,MATCH(E2593,ChName,0))</f>
        <v/>
      </c>
      <c r="L2593" s="45">
        <f>MIN(1,MAX(0,(A2593-I2593+1)*RampSpeed/J2593))</f>
        <v/>
      </c>
      <c r="M2593" s="45">
        <f>IF(A2593&lt;I2593,0,IF(K2593="S-curve",L2593*L2593*(3-2*L2593),L2593))</f>
        <v/>
      </c>
      <c r="N2593" s="45">
        <f>1+(INDEX(SeasonIdx,A2593)-1)*SeasonAmp</f>
        <v/>
      </c>
      <c r="O2593" s="45">
        <f>IFERROR(INDEX(PSPct,MATCH(E2593&amp;"|"&amp;G2593,PSKey,0)),0)</f>
        <v/>
      </c>
      <c r="P2593" s="46">
        <f>INDEX(ChDoorVel,MATCH(E2593,ChName,0))*CalibScalar*(1+VelocityUplift)</f>
        <v/>
      </c>
      <c r="Q2593" s="46" t="n">
        <v>0</v>
      </c>
      <c r="R2593" s="46">
        <f>P2593*O2593*M2593*N2593*H2593</f>
        <v/>
      </c>
      <c r="S2593" s="46">
        <f>R2593*INDEX(FmtCansPerCase,MATCH(F2593,FmtName,0))</f>
        <v/>
      </c>
      <c r="T2593" s="46">
        <f>S2593/INDEX(FmtCansPerPack,MATCH(F2593,FmtName,0))</f>
        <v/>
      </c>
      <c r="U2593" s="47">
        <f>INDEX(ChBaseCP,MATCH(E2593,ChName,0))*(1+INDEX(ProvMod,MATCH(G2593,ProvCode,0)))*(1+PriceIndex)</f>
        <v/>
      </c>
      <c r="V2593" s="47">
        <f>R2593*U2593*INDEX(FmtBlendedPriceIdx,MATCH(F2593,FmtName,0))</f>
        <v/>
      </c>
      <c r="W2593" s="47">
        <f>T2593*INDEX(ProvSRP,MATCH(G2593,ProvCode,0))*(1+PriceIndex)</f>
        <v/>
      </c>
      <c r="X2593" s="47">
        <f>IF(GrossBasis="Wholesale",V2593,W2593)</f>
        <v/>
      </c>
      <c r="Y2593" s="47">
        <f>R2593*INDEX(FmtBlendedCogs,MATCH(F2593,FmtName,0))</f>
        <v/>
      </c>
      <c r="Z2593" s="47">
        <f>X2593-Y2593</f>
        <v/>
      </c>
    </row>
    <row r="2594">
      <c r="A2594" t="n">
        <v>49</v>
      </c>
      <c r="B2594" s="44">
        <f>FiscalStart+(A2594-1)*7</f>
        <v/>
      </c>
      <c r="C2594">
        <f>TEXT(B2594,"mmm yyyy")</f>
        <v/>
      </c>
      <c r="D2594">
        <f>"Q"&amp;(INT((A2594-1)/13)+1)</f>
        <v/>
      </c>
      <c r="E2594" t="inlineStr">
        <is>
          <t>FDM</t>
        </is>
      </c>
      <c r="F2594">
        <f>IFERROR(INDEX(ChFormat,MATCH(E2594,ChName,0)),"")</f>
        <v/>
      </c>
      <c r="G2594" t="inlineStr">
        <is>
          <t>PE</t>
        </is>
      </c>
      <c r="H2594">
        <f>IF(A2594&lt;=NWeeks,1,0)</f>
        <v/>
      </c>
      <c r="I2594">
        <f>INDEX(ChLaunch,MATCH(E2594,ChName,0))</f>
        <v/>
      </c>
      <c r="J2594">
        <f>INDEX(ChWeeksFull,MATCH(E2594,ChName,0))</f>
        <v/>
      </c>
      <c r="K2594">
        <f>INDEX(ChRamp,MATCH(E2594,ChName,0))</f>
        <v/>
      </c>
      <c r="L2594" s="45">
        <f>MIN(1,MAX(0,(A2594-I2594+1)*RampSpeed/J2594))</f>
        <v/>
      </c>
      <c r="M2594" s="45">
        <f>IF(A2594&lt;I2594,0,IF(K2594="S-curve",L2594*L2594*(3-2*L2594),L2594))</f>
        <v/>
      </c>
      <c r="N2594" s="45">
        <f>1+(INDEX(SeasonIdx,A2594)-1)*SeasonAmp</f>
        <v/>
      </c>
      <c r="O2594" s="45">
        <f>IFERROR(INDEX(PSPct,MATCH(E2594&amp;"|"&amp;G2594,PSKey,0)),0)</f>
        <v/>
      </c>
      <c r="P2594" s="46">
        <f>INDEX(ChDoorVel,MATCH(E2594,ChName,0))*CalibScalar*(1+VelocityUplift)</f>
        <v/>
      </c>
      <c r="Q2594" s="46" t="n">
        <v>0</v>
      </c>
      <c r="R2594" s="46">
        <f>P2594*O2594*M2594*N2594*H2594</f>
        <v/>
      </c>
      <c r="S2594" s="46">
        <f>R2594*INDEX(FmtCansPerCase,MATCH(F2594,FmtName,0))</f>
        <v/>
      </c>
      <c r="T2594" s="46">
        <f>S2594/INDEX(FmtCansPerPack,MATCH(F2594,FmtName,0))</f>
        <v/>
      </c>
      <c r="U2594" s="47">
        <f>INDEX(ChBaseCP,MATCH(E2594,ChName,0))*(1+INDEX(ProvMod,MATCH(G2594,ProvCode,0)))*(1+PriceIndex)</f>
        <v/>
      </c>
      <c r="V2594" s="47">
        <f>R2594*U2594*INDEX(FmtBlendedPriceIdx,MATCH(F2594,FmtName,0))</f>
        <v/>
      </c>
      <c r="W2594" s="47">
        <f>T2594*INDEX(ProvSRP,MATCH(G2594,ProvCode,0))*(1+PriceIndex)</f>
        <v/>
      </c>
      <c r="X2594" s="47">
        <f>IF(GrossBasis="Wholesale",V2594,W2594)</f>
        <v/>
      </c>
      <c r="Y2594" s="47">
        <f>R2594*INDEX(FmtBlendedCogs,MATCH(F2594,FmtName,0))</f>
        <v/>
      </c>
      <c r="Z2594" s="47">
        <f>X2594-Y2594</f>
        <v/>
      </c>
    </row>
    <row r="2595">
      <c r="A2595" t="n">
        <v>50</v>
      </c>
      <c r="B2595" s="44">
        <f>FiscalStart+(A2595-1)*7</f>
        <v/>
      </c>
      <c r="C2595">
        <f>TEXT(B2595,"mmm yyyy")</f>
        <v/>
      </c>
      <c r="D2595">
        <f>"Q"&amp;(INT((A2595-1)/13)+1)</f>
        <v/>
      </c>
      <c r="E2595" t="inlineStr">
        <is>
          <t>FDM</t>
        </is>
      </c>
      <c r="F2595">
        <f>IFERROR(INDEX(ChFormat,MATCH(E2595,ChName,0)),"")</f>
        <v/>
      </c>
      <c r="G2595" t="inlineStr">
        <is>
          <t>PE</t>
        </is>
      </c>
      <c r="H2595">
        <f>IF(A2595&lt;=NWeeks,1,0)</f>
        <v/>
      </c>
      <c r="I2595">
        <f>INDEX(ChLaunch,MATCH(E2595,ChName,0))</f>
        <v/>
      </c>
      <c r="J2595">
        <f>INDEX(ChWeeksFull,MATCH(E2595,ChName,0))</f>
        <v/>
      </c>
      <c r="K2595">
        <f>INDEX(ChRamp,MATCH(E2595,ChName,0))</f>
        <v/>
      </c>
      <c r="L2595" s="45">
        <f>MIN(1,MAX(0,(A2595-I2595+1)*RampSpeed/J2595))</f>
        <v/>
      </c>
      <c r="M2595" s="45">
        <f>IF(A2595&lt;I2595,0,IF(K2595="S-curve",L2595*L2595*(3-2*L2595),L2595))</f>
        <v/>
      </c>
      <c r="N2595" s="45">
        <f>1+(INDEX(SeasonIdx,A2595)-1)*SeasonAmp</f>
        <v/>
      </c>
      <c r="O2595" s="45">
        <f>IFERROR(INDEX(PSPct,MATCH(E2595&amp;"|"&amp;G2595,PSKey,0)),0)</f>
        <v/>
      </c>
      <c r="P2595" s="46">
        <f>INDEX(ChDoorVel,MATCH(E2595,ChName,0))*CalibScalar*(1+VelocityUplift)</f>
        <v/>
      </c>
      <c r="Q2595" s="46" t="n">
        <v>0</v>
      </c>
      <c r="R2595" s="46">
        <f>P2595*O2595*M2595*N2595*H2595</f>
        <v/>
      </c>
      <c r="S2595" s="46">
        <f>R2595*INDEX(FmtCansPerCase,MATCH(F2595,FmtName,0))</f>
        <v/>
      </c>
      <c r="T2595" s="46">
        <f>S2595/INDEX(FmtCansPerPack,MATCH(F2595,FmtName,0))</f>
        <v/>
      </c>
      <c r="U2595" s="47">
        <f>INDEX(ChBaseCP,MATCH(E2595,ChName,0))*(1+INDEX(ProvMod,MATCH(G2595,ProvCode,0)))*(1+PriceIndex)</f>
        <v/>
      </c>
      <c r="V2595" s="47">
        <f>R2595*U2595*INDEX(FmtBlendedPriceIdx,MATCH(F2595,FmtName,0))</f>
        <v/>
      </c>
      <c r="W2595" s="47">
        <f>T2595*INDEX(ProvSRP,MATCH(G2595,ProvCode,0))*(1+PriceIndex)</f>
        <v/>
      </c>
      <c r="X2595" s="47">
        <f>IF(GrossBasis="Wholesale",V2595,W2595)</f>
        <v/>
      </c>
      <c r="Y2595" s="47">
        <f>R2595*INDEX(FmtBlendedCogs,MATCH(F2595,FmtName,0))</f>
        <v/>
      </c>
      <c r="Z2595" s="47">
        <f>X2595-Y2595</f>
        <v/>
      </c>
    </row>
    <row r="2596">
      <c r="A2596" t="n">
        <v>51</v>
      </c>
      <c r="B2596" s="44">
        <f>FiscalStart+(A2596-1)*7</f>
        <v/>
      </c>
      <c r="C2596">
        <f>TEXT(B2596,"mmm yyyy")</f>
        <v/>
      </c>
      <c r="D2596">
        <f>"Q"&amp;(INT((A2596-1)/13)+1)</f>
        <v/>
      </c>
      <c r="E2596" t="inlineStr">
        <is>
          <t>FDM</t>
        </is>
      </c>
      <c r="F2596">
        <f>IFERROR(INDEX(ChFormat,MATCH(E2596,ChName,0)),"")</f>
        <v/>
      </c>
      <c r="G2596" t="inlineStr">
        <is>
          <t>PE</t>
        </is>
      </c>
      <c r="H2596">
        <f>IF(A2596&lt;=NWeeks,1,0)</f>
        <v/>
      </c>
      <c r="I2596">
        <f>INDEX(ChLaunch,MATCH(E2596,ChName,0))</f>
        <v/>
      </c>
      <c r="J2596">
        <f>INDEX(ChWeeksFull,MATCH(E2596,ChName,0))</f>
        <v/>
      </c>
      <c r="K2596">
        <f>INDEX(ChRamp,MATCH(E2596,ChName,0))</f>
        <v/>
      </c>
      <c r="L2596" s="45">
        <f>MIN(1,MAX(0,(A2596-I2596+1)*RampSpeed/J2596))</f>
        <v/>
      </c>
      <c r="M2596" s="45">
        <f>IF(A2596&lt;I2596,0,IF(K2596="S-curve",L2596*L2596*(3-2*L2596),L2596))</f>
        <v/>
      </c>
      <c r="N2596" s="45">
        <f>1+(INDEX(SeasonIdx,A2596)-1)*SeasonAmp</f>
        <v/>
      </c>
      <c r="O2596" s="45">
        <f>IFERROR(INDEX(PSPct,MATCH(E2596&amp;"|"&amp;G2596,PSKey,0)),0)</f>
        <v/>
      </c>
      <c r="P2596" s="46">
        <f>INDEX(ChDoorVel,MATCH(E2596,ChName,0))*CalibScalar*(1+VelocityUplift)</f>
        <v/>
      </c>
      <c r="Q2596" s="46" t="n">
        <v>0</v>
      </c>
      <c r="R2596" s="46">
        <f>P2596*O2596*M2596*N2596*H2596</f>
        <v/>
      </c>
      <c r="S2596" s="46">
        <f>R2596*INDEX(FmtCansPerCase,MATCH(F2596,FmtName,0))</f>
        <v/>
      </c>
      <c r="T2596" s="46">
        <f>S2596/INDEX(FmtCansPerPack,MATCH(F2596,FmtName,0))</f>
        <v/>
      </c>
      <c r="U2596" s="47">
        <f>INDEX(ChBaseCP,MATCH(E2596,ChName,0))*(1+INDEX(ProvMod,MATCH(G2596,ProvCode,0)))*(1+PriceIndex)</f>
        <v/>
      </c>
      <c r="V2596" s="47">
        <f>R2596*U2596*INDEX(FmtBlendedPriceIdx,MATCH(F2596,FmtName,0))</f>
        <v/>
      </c>
      <c r="W2596" s="47">
        <f>T2596*INDEX(ProvSRP,MATCH(G2596,ProvCode,0))*(1+PriceIndex)</f>
        <v/>
      </c>
      <c r="X2596" s="47">
        <f>IF(GrossBasis="Wholesale",V2596,W2596)</f>
        <v/>
      </c>
      <c r="Y2596" s="47">
        <f>R2596*INDEX(FmtBlendedCogs,MATCH(F2596,FmtName,0))</f>
        <v/>
      </c>
      <c r="Z2596" s="47">
        <f>X2596-Y2596</f>
        <v/>
      </c>
    </row>
    <row r="2597">
      <c r="A2597" t="n">
        <v>52</v>
      </c>
      <c r="B2597" s="44">
        <f>FiscalStart+(A2597-1)*7</f>
        <v/>
      </c>
      <c r="C2597">
        <f>TEXT(B2597,"mmm yyyy")</f>
        <v/>
      </c>
      <c r="D2597">
        <f>"Q"&amp;(INT((A2597-1)/13)+1)</f>
        <v/>
      </c>
      <c r="E2597" t="inlineStr">
        <is>
          <t>FDM</t>
        </is>
      </c>
      <c r="F2597">
        <f>IFERROR(INDEX(ChFormat,MATCH(E2597,ChName,0)),"")</f>
        <v/>
      </c>
      <c r="G2597" t="inlineStr">
        <is>
          <t>PE</t>
        </is>
      </c>
      <c r="H2597">
        <f>IF(A2597&lt;=NWeeks,1,0)</f>
        <v/>
      </c>
      <c r="I2597">
        <f>INDEX(ChLaunch,MATCH(E2597,ChName,0))</f>
        <v/>
      </c>
      <c r="J2597">
        <f>INDEX(ChWeeksFull,MATCH(E2597,ChName,0))</f>
        <v/>
      </c>
      <c r="K2597">
        <f>INDEX(ChRamp,MATCH(E2597,ChName,0))</f>
        <v/>
      </c>
      <c r="L2597" s="45">
        <f>MIN(1,MAX(0,(A2597-I2597+1)*RampSpeed/J2597))</f>
        <v/>
      </c>
      <c r="M2597" s="45">
        <f>IF(A2597&lt;I2597,0,IF(K2597="S-curve",L2597*L2597*(3-2*L2597),L2597))</f>
        <v/>
      </c>
      <c r="N2597" s="45">
        <f>1+(INDEX(SeasonIdx,A2597)-1)*SeasonAmp</f>
        <v/>
      </c>
      <c r="O2597" s="45">
        <f>IFERROR(INDEX(PSPct,MATCH(E2597&amp;"|"&amp;G2597,PSKey,0)),0)</f>
        <v/>
      </c>
      <c r="P2597" s="46">
        <f>INDEX(ChDoorVel,MATCH(E2597,ChName,0))*CalibScalar*(1+VelocityUplift)</f>
        <v/>
      </c>
      <c r="Q2597" s="46" t="n">
        <v>0</v>
      </c>
      <c r="R2597" s="46">
        <f>P2597*O2597*M2597*N2597*H2597</f>
        <v/>
      </c>
      <c r="S2597" s="46">
        <f>R2597*INDEX(FmtCansPerCase,MATCH(F2597,FmtName,0))</f>
        <v/>
      </c>
      <c r="T2597" s="46">
        <f>S2597/INDEX(FmtCansPerPack,MATCH(F2597,FmtName,0))</f>
        <v/>
      </c>
      <c r="U2597" s="47">
        <f>INDEX(ChBaseCP,MATCH(E2597,ChName,0))*(1+INDEX(ProvMod,MATCH(G2597,ProvCode,0)))*(1+PriceIndex)</f>
        <v/>
      </c>
      <c r="V2597" s="47">
        <f>R2597*U2597*INDEX(FmtBlendedPriceIdx,MATCH(F2597,FmtName,0))</f>
        <v/>
      </c>
      <c r="W2597" s="47">
        <f>T2597*INDEX(ProvSRP,MATCH(G2597,ProvCode,0))*(1+PriceIndex)</f>
        <v/>
      </c>
      <c r="X2597" s="47">
        <f>IF(GrossBasis="Wholesale",V2597,W2597)</f>
        <v/>
      </c>
      <c r="Y2597" s="47">
        <f>R2597*INDEX(FmtBlendedCogs,MATCH(F2597,FmtName,0))</f>
        <v/>
      </c>
      <c r="Z2597" s="47">
        <f>X2597-Y2597</f>
        <v/>
      </c>
    </row>
    <row r="2598">
      <c r="A2598" t="n">
        <v>53</v>
      </c>
      <c r="B2598" s="44">
        <f>FiscalStart+(A2598-1)*7</f>
        <v/>
      </c>
      <c r="C2598">
        <f>TEXT(B2598,"mmm yyyy")</f>
        <v/>
      </c>
      <c r="D2598">
        <f>"Q"&amp;(INT((A2598-1)/13)+1)</f>
        <v/>
      </c>
      <c r="E2598" t="inlineStr">
        <is>
          <t>FDM</t>
        </is>
      </c>
      <c r="F2598">
        <f>IFERROR(INDEX(ChFormat,MATCH(E2598,ChName,0)),"")</f>
        <v/>
      </c>
      <c r="G2598" t="inlineStr">
        <is>
          <t>PE</t>
        </is>
      </c>
      <c r="H2598">
        <f>IF(A2598&lt;=NWeeks,1,0)</f>
        <v/>
      </c>
      <c r="I2598">
        <f>INDEX(ChLaunch,MATCH(E2598,ChName,0))</f>
        <v/>
      </c>
      <c r="J2598">
        <f>INDEX(ChWeeksFull,MATCH(E2598,ChName,0))</f>
        <v/>
      </c>
      <c r="K2598">
        <f>INDEX(ChRamp,MATCH(E2598,ChName,0))</f>
        <v/>
      </c>
      <c r="L2598" s="45">
        <f>MIN(1,MAX(0,(A2598-I2598+1)*RampSpeed/J2598))</f>
        <v/>
      </c>
      <c r="M2598" s="45">
        <f>IF(A2598&lt;I2598,0,IF(K2598="S-curve",L2598*L2598*(3-2*L2598),L2598))</f>
        <v/>
      </c>
      <c r="N2598" s="45">
        <f>1+(INDEX(SeasonIdx,A2598)-1)*SeasonAmp</f>
        <v/>
      </c>
      <c r="O2598" s="45">
        <f>IFERROR(INDEX(PSPct,MATCH(E2598&amp;"|"&amp;G2598,PSKey,0)),0)</f>
        <v/>
      </c>
      <c r="P2598" s="46">
        <f>INDEX(ChDoorVel,MATCH(E2598,ChName,0))*CalibScalar*(1+VelocityUplift)</f>
        <v/>
      </c>
      <c r="Q2598" s="46" t="n">
        <v>0</v>
      </c>
      <c r="R2598" s="46">
        <f>P2598*O2598*M2598*N2598*H2598</f>
        <v/>
      </c>
      <c r="S2598" s="46">
        <f>R2598*INDEX(FmtCansPerCase,MATCH(F2598,FmtName,0))</f>
        <v/>
      </c>
      <c r="T2598" s="46">
        <f>S2598/INDEX(FmtCansPerPack,MATCH(F2598,FmtName,0))</f>
        <v/>
      </c>
      <c r="U2598" s="47">
        <f>INDEX(ChBaseCP,MATCH(E2598,ChName,0))*(1+INDEX(ProvMod,MATCH(G2598,ProvCode,0)))*(1+PriceIndex)</f>
        <v/>
      </c>
      <c r="V2598" s="47">
        <f>R2598*U2598*INDEX(FmtBlendedPriceIdx,MATCH(F2598,FmtName,0))</f>
        <v/>
      </c>
      <c r="W2598" s="47">
        <f>T2598*INDEX(ProvSRP,MATCH(G2598,ProvCode,0))*(1+PriceIndex)</f>
        <v/>
      </c>
      <c r="X2598" s="47">
        <f>IF(GrossBasis="Wholesale",V2598,W2598)</f>
        <v/>
      </c>
      <c r="Y2598" s="47">
        <f>R2598*INDEX(FmtBlendedCogs,MATCH(F2598,FmtName,0))</f>
        <v/>
      </c>
      <c r="Z2598" s="47">
        <f>X2598-Y2598</f>
        <v/>
      </c>
    </row>
    <row r="2599">
      <c r="A2599" t="n">
        <v>1</v>
      </c>
      <c r="B2599" s="44">
        <f>FiscalStart+(A2599-1)*7</f>
        <v/>
      </c>
      <c r="C2599">
        <f>TEXT(B2599,"mmm yyyy")</f>
        <v/>
      </c>
      <c r="D2599">
        <f>"Q"&amp;(INT((A2599-1)/13)+1)</f>
        <v/>
      </c>
      <c r="E2599" t="inlineStr">
        <is>
          <t>FDM</t>
        </is>
      </c>
      <c r="F2599">
        <f>IFERROR(INDEX(ChFormat,MATCH(E2599,ChName,0)),"")</f>
        <v/>
      </c>
      <c r="G2599" t="inlineStr">
        <is>
          <t>NL</t>
        </is>
      </c>
      <c r="H2599">
        <f>IF(A2599&lt;=NWeeks,1,0)</f>
        <v/>
      </c>
      <c r="I2599">
        <f>INDEX(ChLaunch,MATCH(E2599,ChName,0))</f>
        <v/>
      </c>
      <c r="J2599">
        <f>INDEX(ChWeeksFull,MATCH(E2599,ChName,0))</f>
        <v/>
      </c>
      <c r="K2599">
        <f>INDEX(ChRamp,MATCH(E2599,ChName,0))</f>
        <v/>
      </c>
      <c r="L2599" s="45">
        <f>MIN(1,MAX(0,(A2599-I2599+1)*RampSpeed/J2599))</f>
        <v/>
      </c>
      <c r="M2599" s="45">
        <f>IF(A2599&lt;I2599,0,IF(K2599="S-curve",L2599*L2599*(3-2*L2599),L2599))</f>
        <v/>
      </c>
      <c r="N2599" s="45">
        <f>1+(INDEX(SeasonIdx,A2599)-1)*SeasonAmp</f>
        <v/>
      </c>
      <c r="O2599" s="45">
        <f>IFERROR(INDEX(PSPct,MATCH(E2599&amp;"|"&amp;G2599,PSKey,0)),0)</f>
        <v/>
      </c>
      <c r="P2599" s="46">
        <f>INDEX(ChDoorVel,MATCH(E2599,ChName,0))*CalibScalar*(1+VelocityUplift)</f>
        <v/>
      </c>
      <c r="Q2599" s="46" t="n">
        <v>0</v>
      </c>
      <c r="R2599" s="46">
        <f>P2599*O2599*M2599*N2599*H2599</f>
        <v/>
      </c>
      <c r="S2599" s="46">
        <f>R2599*INDEX(FmtCansPerCase,MATCH(F2599,FmtName,0))</f>
        <v/>
      </c>
      <c r="T2599" s="46">
        <f>S2599/INDEX(FmtCansPerPack,MATCH(F2599,FmtName,0))</f>
        <v/>
      </c>
      <c r="U2599" s="47">
        <f>INDEX(ChBaseCP,MATCH(E2599,ChName,0))*(1+INDEX(ProvMod,MATCH(G2599,ProvCode,0)))*(1+PriceIndex)</f>
        <v/>
      </c>
      <c r="V2599" s="47">
        <f>R2599*U2599*INDEX(FmtBlendedPriceIdx,MATCH(F2599,FmtName,0))</f>
        <v/>
      </c>
      <c r="W2599" s="47">
        <f>T2599*INDEX(ProvSRP,MATCH(G2599,ProvCode,0))*(1+PriceIndex)</f>
        <v/>
      </c>
      <c r="X2599" s="47">
        <f>IF(GrossBasis="Wholesale",V2599,W2599)</f>
        <v/>
      </c>
      <c r="Y2599" s="47">
        <f>R2599*INDEX(FmtBlendedCogs,MATCH(F2599,FmtName,0))</f>
        <v/>
      </c>
      <c r="Z2599" s="47">
        <f>X2599-Y2599</f>
        <v/>
      </c>
    </row>
    <row r="2600">
      <c r="A2600" t="n">
        <v>2</v>
      </c>
      <c r="B2600" s="44">
        <f>FiscalStart+(A2600-1)*7</f>
        <v/>
      </c>
      <c r="C2600">
        <f>TEXT(B2600,"mmm yyyy")</f>
        <v/>
      </c>
      <c r="D2600">
        <f>"Q"&amp;(INT((A2600-1)/13)+1)</f>
        <v/>
      </c>
      <c r="E2600" t="inlineStr">
        <is>
          <t>FDM</t>
        </is>
      </c>
      <c r="F2600">
        <f>IFERROR(INDEX(ChFormat,MATCH(E2600,ChName,0)),"")</f>
        <v/>
      </c>
      <c r="G2600" t="inlineStr">
        <is>
          <t>NL</t>
        </is>
      </c>
      <c r="H2600">
        <f>IF(A2600&lt;=NWeeks,1,0)</f>
        <v/>
      </c>
      <c r="I2600">
        <f>INDEX(ChLaunch,MATCH(E2600,ChName,0))</f>
        <v/>
      </c>
      <c r="J2600">
        <f>INDEX(ChWeeksFull,MATCH(E2600,ChName,0))</f>
        <v/>
      </c>
      <c r="K2600">
        <f>INDEX(ChRamp,MATCH(E2600,ChName,0))</f>
        <v/>
      </c>
      <c r="L2600" s="45">
        <f>MIN(1,MAX(0,(A2600-I2600+1)*RampSpeed/J2600))</f>
        <v/>
      </c>
      <c r="M2600" s="45">
        <f>IF(A2600&lt;I2600,0,IF(K2600="S-curve",L2600*L2600*(3-2*L2600),L2600))</f>
        <v/>
      </c>
      <c r="N2600" s="45">
        <f>1+(INDEX(SeasonIdx,A2600)-1)*SeasonAmp</f>
        <v/>
      </c>
      <c r="O2600" s="45">
        <f>IFERROR(INDEX(PSPct,MATCH(E2600&amp;"|"&amp;G2600,PSKey,0)),0)</f>
        <v/>
      </c>
      <c r="P2600" s="46">
        <f>INDEX(ChDoorVel,MATCH(E2600,ChName,0))*CalibScalar*(1+VelocityUplift)</f>
        <v/>
      </c>
      <c r="Q2600" s="46" t="n">
        <v>0</v>
      </c>
      <c r="R2600" s="46">
        <f>P2600*O2600*M2600*N2600*H2600</f>
        <v/>
      </c>
      <c r="S2600" s="46">
        <f>R2600*INDEX(FmtCansPerCase,MATCH(F2600,FmtName,0))</f>
        <v/>
      </c>
      <c r="T2600" s="46">
        <f>S2600/INDEX(FmtCansPerPack,MATCH(F2600,FmtName,0))</f>
        <v/>
      </c>
      <c r="U2600" s="47">
        <f>INDEX(ChBaseCP,MATCH(E2600,ChName,0))*(1+INDEX(ProvMod,MATCH(G2600,ProvCode,0)))*(1+PriceIndex)</f>
        <v/>
      </c>
      <c r="V2600" s="47">
        <f>R2600*U2600*INDEX(FmtBlendedPriceIdx,MATCH(F2600,FmtName,0))</f>
        <v/>
      </c>
      <c r="W2600" s="47">
        <f>T2600*INDEX(ProvSRP,MATCH(G2600,ProvCode,0))*(1+PriceIndex)</f>
        <v/>
      </c>
      <c r="X2600" s="47">
        <f>IF(GrossBasis="Wholesale",V2600,W2600)</f>
        <v/>
      </c>
      <c r="Y2600" s="47">
        <f>R2600*INDEX(FmtBlendedCogs,MATCH(F2600,FmtName,0))</f>
        <v/>
      </c>
      <c r="Z2600" s="47">
        <f>X2600-Y2600</f>
        <v/>
      </c>
    </row>
    <row r="2601">
      <c r="A2601" t="n">
        <v>3</v>
      </c>
      <c r="B2601" s="44">
        <f>FiscalStart+(A2601-1)*7</f>
        <v/>
      </c>
      <c r="C2601">
        <f>TEXT(B2601,"mmm yyyy")</f>
        <v/>
      </c>
      <c r="D2601">
        <f>"Q"&amp;(INT((A2601-1)/13)+1)</f>
        <v/>
      </c>
      <c r="E2601" t="inlineStr">
        <is>
          <t>FDM</t>
        </is>
      </c>
      <c r="F2601">
        <f>IFERROR(INDEX(ChFormat,MATCH(E2601,ChName,0)),"")</f>
        <v/>
      </c>
      <c r="G2601" t="inlineStr">
        <is>
          <t>NL</t>
        </is>
      </c>
      <c r="H2601">
        <f>IF(A2601&lt;=NWeeks,1,0)</f>
        <v/>
      </c>
      <c r="I2601">
        <f>INDEX(ChLaunch,MATCH(E2601,ChName,0))</f>
        <v/>
      </c>
      <c r="J2601">
        <f>INDEX(ChWeeksFull,MATCH(E2601,ChName,0))</f>
        <v/>
      </c>
      <c r="K2601">
        <f>INDEX(ChRamp,MATCH(E2601,ChName,0))</f>
        <v/>
      </c>
      <c r="L2601" s="45">
        <f>MIN(1,MAX(0,(A2601-I2601+1)*RampSpeed/J2601))</f>
        <v/>
      </c>
      <c r="M2601" s="45">
        <f>IF(A2601&lt;I2601,0,IF(K2601="S-curve",L2601*L2601*(3-2*L2601),L2601))</f>
        <v/>
      </c>
      <c r="N2601" s="45">
        <f>1+(INDEX(SeasonIdx,A2601)-1)*SeasonAmp</f>
        <v/>
      </c>
      <c r="O2601" s="45">
        <f>IFERROR(INDEX(PSPct,MATCH(E2601&amp;"|"&amp;G2601,PSKey,0)),0)</f>
        <v/>
      </c>
      <c r="P2601" s="46">
        <f>INDEX(ChDoorVel,MATCH(E2601,ChName,0))*CalibScalar*(1+VelocityUplift)</f>
        <v/>
      </c>
      <c r="Q2601" s="46" t="n">
        <v>0</v>
      </c>
      <c r="R2601" s="46">
        <f>P2601*O2601*M2601*N2601*H2601</f>
        <v/>
      </c>
      <c r="S2601" s="46">
        <f>R2601*INDEX(FmtCansPerCase,MATCH(F2601,FmtName,0))</f>
        <v/>
      </c>
      <c r="T2601" s="46">
        <f>S2601/INDEX(FmtCansPerPack,MATCH(F2601,FmtName,0))</f>
        <v/>
      </c>
      <c r="U2601" s="47">
        <f>INDEX(ChBaseCP,MATCH(E2601,ChName,0))*(1+INDEX(ProvMod,MATCH(G2601,ProvCode,0)))*(1+PriceIndex)</f>
        <v/>
      </c>
      <c r="V2601" s="47">
        <f>R2601*U2601*INDEX(FmtBlendedPriceIdx,MATCH(F2601,FmtName,0))</f>
        <v/>
      </c>
      <c r="W2601" s="47">
        <f>T2601*INDEX(ProvSRP,MATCH(G2601,ProvCode,0))*(1+PriceIndex)</f>
        <v/>
      </c>
      <c r="X2601" s="47">
        <f>IF(GrossBasis="Wholesale",V2601,W2601)</f>
        <v/>
      </c>
      <c r="Y2601" s="47">
        <f>R2601*INDEX(FmtBlendedCogs,MATCH(F2601,FmtName,0))</f>
        <v/>
      </c>
      <c r="Z2601" s="47">
        <f>X2601-Y2601</f>
        <v/>
      </c>
    </row>
    <row r="2602">
      <c r="A2602" t="n">
        <v>4</v>
      </c>
      <c r="B2602" s="44">
        <f>FiscalStart+(A2602-1)*7</f>
        <v/>
      </c>
      <c r="C2602">
        <f>TEXT(B2602,"mmm yyyy")</f>
        <v/>
      </c>
      <c r="D2602">
        <f>"Q"&amp;(INT((A2602-1)/13)+1)</f>
        <v/>
      </c>
      <c r="E2602" t="inlineStr">
        <is>
          <t>FDM</t>
        </is>
      </c>
      <c r="F2602">
        <f>IFERROR(INDEX(ChFormat,MATCH(E2602,ChName,0)),"")</f>
        <v/>
      </c>
      <c r="G2602" t="inlineStr">
        <is>
          <t>NL</t>
        </is>
      </c>
      <c r="H2602">
        <f>IF(A2602&lt;=NWeeks,1,0)</f>
        <v/>
      </c>
      <c r="I2602">
        <f>INDEX(ChLaunch,MATCH(E2602,ChName,0))</f>
        <v/>
      </c>
      <c r="J2602">
        <f>INDEX(ChWeeksFull,MATCH(E2602,ChName,0))</f>
        <v/>
      </c>
      <c r="K2602">
        <f>INDEX(ChRamp,MATCH(E2602,ChName,0))</f>
        <v/>
      </c>
      <c r="L2602" s="45">
        <f>MIN(1,MAX(0,(A2602-I2602+1)*RampSpeed/J2602))</f>
        <v/>
      </c>
      <c r="M2602" s="45">
        <f>IF(A2602&lt;I2602,0,IF(K2602="S-curve",L2602*L2602*(3-2*L2602),L2602))</f>
        <v/>
      </c>
      <c r="N2602" s="45">
        <f>1+(INDEX(SeasonIdx,A2602)-1)*SeasonAmp</f>
        <v/>
      </c>
      <c r="O2602" s="45">
        <f>IFERROR(INDEX(PSPct,MATCH(E2602&amp;"|"&amp;G2602,PSKey,0)),0)</f>
        <v/>
      </c>
      <c r="P2602" s="46">
        <f>INDEX(ChDoorVel,MATCH(E2602,ChName,0))*CalibScalar*(1+VelocityUplift)</f>
        <v/>
      </c>
      <c r="Q2602" s="46" t="n">
        <v>0</v>
      </c>
      <c r="R2602" s="46">
        <f>P2602*O2602*M2602*N2602*H2602</f>
        <v/>
      </c>
      <c r="S2602" s="46">
        <f>R2602*INDEX(FmtCansPerCase,MATCH(F2602,FmtName,0))</f>
        <v/>
      </c>
      <c r="T2602" s="46">
        <f>S2602/INDEX(FmtCansPerPack,MATCH(F2602,FmtName,0))</f>
        <v/>
      </c>
      <c r="U2602" s="47">
        <f>INDEX(ChBaseCP,MATCH(E2602,ChName,0))*(1+INDEX(ProvMod,MATCH(G2602,ProvCode,0)))*(1+PriceIndex)</f>
        <v/>
      </c>
      <c r="V2602" s="47">
        <f>R2602*U2602*INDEX(FmtBlendedPriceIdx,MATCH(F2602,FmtName,0))</f>
        <v/>
      </c>
      <c r="W2602" s="47">
        <f>T2602*INDEX(ProvSRP,MATCH(G2602,ProvCode,0))*(1+PriceIndex)</f>
        <v/>
      </c>
      <c r="X2602" s="47">
        <f>IF(GrossBasis="Wholesale",V2602,W2602)</f>
        <v/>
      </c>
      <c r="Y2602" s="47">
        <f>R2602*INDEX(FmtBlendedCogs,MATCH(F2602,FmtName,0))</f>
        <v/>
      </c>
      <c r="Z2602" s="47">
        <f>X2602-Y2602</f>
        <v/>
      </c>
    </row>
    <row r="2603">
      <c r="A2603" t="n">
        <v>5</v>
      </c>
      <c r="B2603" s="44">
        <f>FiscalStart+(A2603-1)*7</f>
        <v/>
      </c>
      <c r="C2603">
        <f>TEXT(B2603,"mmm yyyy")</f>
        <v/>
      </c>
      <c r="D2603">
        <f>"Q"&amp;(INT((A2603-1)/13)+1)</f>
        <v/>
      </c>
      <c r="E2603" t="inlineStr">
        <is>
          <t>FDM</t>
        </is>
      </c>
      <c r="F2603">
        <f>IFERROR(INDEX(ChFormat,MATCH(E2603,ChName,0)),"")</f>
        <v/>
      </c>
      <c r="G2603" t="inlineStr">
        <is>
          <t>NL</t>
        </is>
      </c>
      <c r="H2603">
        <f>IF(A2603&lt;=NWeeks,1,0)</f>
        <v/>
      </c>
      <c r="I2603">
        <f>INDEX(ChLaunch,MATCH(E2603,ChName,0))</f>
        <v/>
      </c>
      <c r="J2603">
        <f>INDEX(ChWeeksFull,MATCH(E2603,ChName,0))</f>
        <v/>
      </c>
      <c r="K2603">
        <f>INDEX(ChRamp,MATCH(E2603,ChName,0))</f>
        <v/>
      </c>
      <c r="L2603" s="45">
        <f>MIN(1,MAX(0,(A2603-I2603+1)*RampSpeed/J2603))</f>
        <v/>
      </c>
      <c r="M2603" s="45">
        <f>IF(A2603&lt;I2603,0,IF(K2603="S-curve",L2603*L2603*(3-2*L2603),L2603))</f>
        <v/>
      </c>
      <c r="N2603" s="45">
        <f>1+(INDEX(SeasonIdx,A2603)-1)*SeasonAmp</f>
        <v/>
      </c>
      <c r="O2603" s="45">
        <f>IFERROR(INDEX(PSPct,MATCH(E2603&amp;"|"&amp;G2603,PSKey,0)),0)</f>
        <v/>
      </c>
      <c r="P2603" s="46">
        <f>INDEX(ChDoorVel,MATCH(E2603,ChName,0))*CalibScalar*(1+VelocityUplift)</f>
        <v/>
      </c>
      <c r="Q2603" s="46" t="n">
        <v>0</v>
      </c>
      <c r="R2603" s="46">
        <f>P2603*O2603*M2603*N2603*H2603</f>
        <v/>
      </c>
      <c r="S2603" s="46">
        <f>R2603*INDEX(FmtCansPerCase,MATCH(F2603,FmtName,0))</f>
        <v/>
      </c>
      <c r="T2603" s="46">
        <f>S2603/INDEX(FmtCansPerPack,MATCH(F2603,FmtName,0))</f>
        <v/>
      </c>
      <c r="U2603" s="47">
        <f>INDEX(ChBaseCP,MATCH(E2603,ChName,0))*(1+INDEX(ProvMod,MATCH(G2603,ProvCode,0)))*(1+PriceIndex)</f>
        <v/>
      </c>
      <c r="V2603" s="47">
        <f>R2603*U2603*INDEX(FmtBlendedPriceIdx,MATCH(F2603,FmtName,0))</f>
        <v/>
      </c>
      <c r="W2603" s="47">
        <f>T2603*INDEX(ProvSRP,MATCH(G2603,ProvCode,0))*(1+PriceIndex)</f>
        <v/>
      </c>
      <c r="X2603" s="47">
        <f>IF(GrossBasis="Wholesale",V2603,W2603)</f>
        <v/>
      </c>
      <c r="Y2603" s="47">
        <f>R2603*INDEX(FmtBlendedCogs,MATCH(F2603,FmtName,0))</f>
        <v/>
      </c>
      <c r="Z2603" s="47">
        <f>X2603-Y2603</f>
        <v/>
      </c>
    </row>
    <row r="2604">
      <c r="A2604" t="n">
        <v>6</v>
      </c>
      <c r="B2604" s="44">
        <f>FiscalStart+(A2604-1)*7</f>
        <v/>
      </c>
      <c r="C2604">
        <f>TEXT(B2604,"mmm yyyy")</f>
        <v/>
      </c>
      <c r="D2604">
        <f>"Q"&amp;(INT((A2604-1)/13)+1)</f>
        <v/>
      </c>
      <c r="E2604" t="inlineStr">
        <is>
          <t>FDM</t>
        </is>
      </c>
      <c r="F2604">
        <f>IFERROR(INDEX(ChFormat,MATCH(E2604,ChName,0)),"")</f>
        <v/>
      </c>
      <c r="G2604" t="inlineStr">
        <is>
          <t>NL</t>
        </is>
      </c>
      <c r="H2604">
        <f>IF(A2604&lt;=NWeeks,1,0)</f>
        <v/>
      </c>
      <c r="I2604">
        <f>INDEX(ChLaunch,MATCH(E2604,ChName,0))</f>
        <v/>
      </c>
      <c r="J2604">
        <f>INDEX(ChWeeksFull,MATCH(E2604,ChName,0))</f>
        <v/>
      </c>
      <c r="K2604">
        <f>INDEX(ChRamp,MATCH(E2604,ChName,0))</f>
        <v/>
      </c>
      <c r="L2604" s="45">
        <f>MIN(1,MAX(0,(A2604-I2604+1)*RampSpeed/J2604))</f>
        <v/>
      </c>
      <c r="M2604" s="45">
        <f>IF(A2604&lt;I2604,0,IF(K2604="S-curve",L2604*L2604*(3-2*L2604),L2604))</f>
        <v/>
      </c>
      <c r="N2604" s="45">
        <f>1+(INDEX(SeasonIdx,A2604)-1)*SeasonAmp</f>
        <v/>
      </c>
      <c r="O2604" s="45">
        <f>IFERROR(INDEX(PSPct,MATCH(E2604&amp;"|"&amp;G2604,PSKey,0)),0)</f>
        <v/>
      </c>
      <c r="P2604" s="46">
        <f>INDEX(ChDoorVel,MATCH(E2604,ChName,0))*CalibScalar*(1+VelocityUplift)</f>
        <v/>
      </c>
      <c r="Q2604" s="46" t="n">
        <v>0</v>
      </c>
      <c r="R2604" s="46">
        <f>P2604*O2604*M2604*N2604*H2604</f>
        <v/>
      </c>
      <c r="S2604" s="46">
        <f>R2604*INDEX(FmtCansPerCase,MATCH(F2604,FmtName,0))</f>
        <v/>
      </c>
      <c r="T2604" s="46">
        <f>S2604/INDEX(FmtCansPerPack,MATCH(F2604,FmtName,0))</f>
        <v/>
      </c>
      <c r="U2604" s="47">
        <f>INDEX(ChBaseCP,MATCH(E2604,ChName,0))*(1+INDEX(ProvMod,MATCH(G2604,ProvCode,0)))*(1+PriceIndex)</f>
        <v/>
      </c>
      <c r="V2604" s="47">
        <f>R2604*U2604*INDEX(FmtBlendedPriceIdx,MATCH(F2604,FmtName,0))</f>
        <v/>
      </c>
      <c r="W2604" s="47">
        <f>T2604*INDEX(ProvSRP,MATCH(G2604,ProvCode,0))*(1+PriceIndex)</f>
        <v/>
      </c>
      <c r="X2604" s="47">
        <f>IF(GrossBasis="Wholesale",V2604,W2604)</f>
        <v/>
      </c>
      <c r="Y2604" s="47">
        <f>R2604*INDEX(FmtBlendedCogs,MATCH(F2604,FmtName,0))</f>
        <v/>
      </c>
      <c r="Z2604" s="47">
        <f>X2604-Y2604</f>
        <v/>
      </c>
    </row>
    <row r="2605">
      <c r="A2605" t="n">
        <v>7</v>
      </c>
      <c r="B2605" s="44">
        <f>FiscalStart+(A2605-1)*7</f>
        <v/>
      </c>
      <c r="C2605">
        <f>TEXT(B2605,"mmm yyyy")</f>
        <v/>
      </c>
      <c r="D2605">
        <f>"Q"&amp;(INT((A2605-1)/13)+1)</f>
        <v/>
      </c>
      <c r="E2605" t="inlineStr">
        <is>
          <t>FDM</t>
        </is>
      </c>
      <c r="F2605">
        <f>IFERROR(INDEX(ChFormat,MATCH(E2605,ChName,0)),"")</f>
        <v/>
      </c>
      <c r="G2605" t="inlineStr">
        <is>
          <t>NL</t>
        </is>
      </c>
      <c r="H2605">
        <f>IF(A2605&lt;=NWeeks,1,0)</f>
        <v/>
      </c>
      <c r="I2605">
        <f>INDEX(ChLaunch,MATCH(E2605,ChName,0))</f>
        <v/>
      </c>
      <c r="J2605">
        <f>INDEX(ChWeeksFull,MATCH(E2605,ChName,0))</f>
        <v/>
      </c>
      <c r="K2605">
        <f>INDEX(ChRamp,MATCH(E2605,ChName,0))</f>
        <v/>
      </c>
      <c r="L2605" s="45">
        <f>MIN(1,MAX(0,(A2605-I2605+1)*RampSpeed/J2605))</f>
        <v/>
      </c>
      <c r="M2605" s="45">
        <f>IF(A2605&lt;I2605,0,IF(K2605="S-curve",L2605*L2605*(3-2*L2605),L2605))</f>
        <v/>
      </c>
      <c r="N2605" s="45">
        <f>1+(INDEX(SeasonIdx,A2605)-1)*SeasonAmp</f>
        <v/>
      </c>
      <c r="O2605" s="45">
        <f>IFERROR(INDEX(PSPct,MATCH(E2605&amp;"|"&amp;G2605,PSKey,0)),0)</f>
        <v/>
      </c>
      <c r="P2605" s="46">
        <f>INDEX(ChDoorVel,MATCH(E2605,ChName,0))*CalibScalar*(1+VelocityUplift)</f>
        <v/>
      </c>
      <c r="Q2605" s="46" t="n">
        <v>0</v>
      </c>
      <c r="R2605" s="46">
        <f>P2605*O2605*M2605*N2605*H2605</f>
        <v/>
      </c>
      <c r="S2605" s="46">
        <f>R2605*INDEX(FmtCansPerCase,MATCH(F2605,FmtName,0))</f>
        <v/>
      </c>
      <c r="T2605" s="46">
        <f>S2605/INDEX(FmtCansPerPack,MATCH(F2605,FmtName,0))</f>
        <v/>
      </c>
      <c r="U2605" s="47">
        <f>INDEX(ChBaseCP,MATCH(E2605,ChName,0))*(1+INDEX(ProvMod,MATCH(G2605,ProvCode,0)))*(1+PriceIndex)</f>
        <v/>
      </c>
      <c r="V2605" s="47">
        <f>R2605*U2605*INDEX(FmtBlendedPriceIdx,MATCH(F2605,FmtName,0))</f>
        <v/>
      </c>
      <c r="W2605" s="47">
        <f>T2605*INDEX(ProvSRP,MATCH(G2605,ProvCode,0))*(1+PriceIndex)</f>
        <v/>
      </c>
      <c r="X2605" s="47">
        <f>IF(GrossBasis="Wholesale",V2605,W2605)</f>
        <v/>
      </c>
      <c r="Y2605" s="47">
        <f>R2605*INDEX(FmtBlendedCogs,MATCH(F2605,FmtName,0))</f>
        <v/>
      </c>
      <c r="Z2605" s="47">
        <f>X2605-Y2605</f>
        <v/>
      </c>
    </row>
    <row r="2606">
      <c r="A2606" t="n">
        <v>8</v>
      </c>
      <c r="B2606" s="44">
        <f>FiscalStart+(A2606-1)*7</f>
        <v/>
      </c>
      <c r="C2606">
        <f>TEXT(B2606,"mmm yyyy")</f>
        <v/>
      </c>
      <c r="D2606">
        <f>"Q"&amp;(INT((A2606-1)/13)+1)</f>
        <v/>
      </c>
      <c r="E2606" t="inlineStr">
        <is>
          <t>FDM</t>
        </is>
      </c>
      <c r="F2606">
        <f>IFERROR(INDEX(ChFormat,MATCH(E2606,ChName,0)),"")</f>
        <v/>
      </c>
      <c r="G2606" t="inlineStr">
        <is>
          <t>NL</t>
        </is>
      </c>
      <c r="H2606">
        <f>IF(A2606&lt;=NWeeks,1,0)</f>
        <v/>
      </c>
      <c r="I2606">
        <f>INDEX(ChLaunch,MATCH(E2606,ChName,0))</f>
        <v/>
      </c>
      <c r="J2606">
        <f>INDEX(ChWeeksFull,MATCH(E2606,ChName,0))</f>
        <v/>
      </c>
      <c r="K2606">
        <f>INDEX(ChRamp,MATCH(E2606,ChName,0))</f>
        <v/>
      </c>
      <c r="L2606" s="45">
        <f>MIN(1,MAX(0,(A2606-I2606+1)*RampSpeed/J2606))</f>
        <v/>
      </c>
      <c r="M2606" s="45">
        <f>IF(A2606&lt;I2606,0,IF(K2606="S-curve",L2606*L2606*(3-2*L2606),L2606))</f>
        <v/>
      </c>
      <c r="N2606" s="45">
        <f>1+(INDEX(SeasonIdx,A2606)-1)*SeasonAmp</f>
        <v/>
      </c>
      <c r="O2606" s="45">
        <f>IFERROR(INDEX(PSPct,MATCH(E2606&amp;"|"&amp;G2606,PSKey,0)),0)</f>
        <v/>
      </c>
      <c r="P2606" s="46">
        <f>INDEX(ChDoorVel,MATCH(E2606,ChName,0))*CalibScalar*(1+VelocityUplift)</f>
        <v/>
      </c>
      <c r="Q2606" s="46" t="n">
        <v>0</v>
      </c>
      <c r="R2606" s="46">
        <f>P2606*O2606*M2606*N2606*H2606</f>
        <v/>
      </c>
      <c r="S2606" s="46">
        <f>R2606*INDEX(FmtCansPerCase,MATCH(F2606,FmtName,0))</f>
        <v/>
      </c>
      <c r="T2606" s="46">
        <f>S2606/INDEX(FmtCansPerPack,MATCH(F2606,FmtName,0))</f>
        <v/>
      </c>
      <c r="U2606" s="47">
        <f>INDEX(ChBaseCP,MATCH(E2606,ChName,0))*(1+INDEX(ProvMod,MATCH(G2606,ProvCode,0)))*(1+PriceIndex)</f>
        <v/>
      </c>
      <c r="V2606" s="47">
        <f>R2606*U2606*INDEX(FmtBlendedPriceIdx,MATCH(F2606,FmtName,0))</f>
        <v/>
      </c>
      <c r="W2606" s="47">
        <f>T2606*INDEX(ProvSRP,MATCH(G2606,ProvCode,0))*(1+PriceIndex)</f>
        <v/>
      </c>
      <c r="X2606" s="47">
        <f>IF(GrossBasis="Wholesale",V2606,W2606)</f>
        <v/>
      </c>
      <c r="Y2606" s="47">
        <f>R2606*INDEX(FmtBlendedCogs,MATCH(F2606,FmtName,0))</f>
        <v/>
      </c>
      <c r="Z2606" s="47">
        <f>X2606-Y2606</f>
        <v/>
      </c>
    </row>
    <row r="2607">
      <c r="A2607" t="n">
        <v>9</v>
      </c>
      <c r="B2607" s="44">
        <f>FiscalStart+(A2607-1)*7</f>
        <v/>
      </c>
      <c r="C2607">
        <f>TEXT(B2607,"mmm yyyy")</f>
        <v/>
      </c>
      <c r="D2607">
        <f>"Q"&amp;(INT((A2607-1)/13)+1)</f>
        <v/>
      </c>
      <c r="E2607" t="inlineStr">
        <is>
          <t>FDM</t>
        </is>
      </c>
      <c r="F2607">
        <f>IFERROR(INDEX(ChFormat,MATCH(E2607,ChName,0)),"")</f>
        <v/>
      </c>
      <c r="G2607" t="inlineStr">
        <is>
          <t>NL</t>
        </is>
      </c>
      <c r="H2607">
        <f>IF(A2607&lt;=NWeeks,1,0)</f>
        <v/>
      </c>
      <c r="I2607">
        <f>INDEX(ChLaunch,MATCH(E2607,ChName,0))</f>
        <v/>
      </c>
      <c r="J2607">
        <f>INDEX(ChWeeksFull,MATCH(E2607,ChName,0))</f>
        <v/>
      </c>
      <c r="K2607">
        <f>INDEX(ChRamp,MATCH(E2607,ChName,0))</f>
        <v/>
      </c>
      <c r="L2607" s="45">
        <f>MIN(1,MAX(0,(A2607-I2607+1)*RampSpeed/J2607))</f>
        <v/>
      </c>
      <c r="M2607" s="45">
        <f>IF(A2607&lt;I2607,0,IF(K2607="S-curve",L2607*L2607*(3-2*L2607),L2607))</f>
        <v/>
      </c>
      <c r="N2607" s="45">
        <f>1+(INDEX(SeasonIdx,A2607)-1)*SeasonAmp</f>
        <v/>
      </c>
      <c r="O2607" s="45">
        <f>IFERROR(INDEX(PSPct,MATCH(E2607&amp;"|"&amp;G2607,PSKey,0)),0)</f>
        <v/>
      </c>
      <c r="P2607" s="46">
        <f>INDEX(ChDoorVel,MATCH(E2607,ChName,0))*CalibScalar*(1+VelocityUplift)</f>
        <v/>
      </c>
      <c r="Q2607" s="46" t="n">
        <v>0</v>
      </c>
      <c r="R2607" s="46">
        <f>P2607*O2607*M2607*N2607*H2607</f>
        <v/>
      </c>
      <c r="S2607" s="46">
        <f>R2607*INDEX(FmtCansPerCase,MATCH(F2607,FmtName,0))</f>
        <v/>
      </c>
      <c r="T2607" s="46">
        <f>S2607/INDEX(FmtCansPerPack,MATCH(F2607,FmtName,0))</f>
        <v/>
      </c>
      <c r="U2607" s="47">
        <f>INDEX(ChBaseCP,MATCH(E2607,ChName,0))*(1+INDEX(ProvMod,MATCH(G2607,ProvCode,0)))*(1+PriceIndex)</f>
        <v/>
      </c>
      <c r="V2607" s="47">
        <f>R2607*U2607*INDEX(FmtBlendedPriceIdx,MATCH(F2607,FmtName,0))</f>
        <v/>
      </c>
      <c r="W2607" s="47">
        <f>T2607*INDEX(ProvSRP,MATCH(G2607,ProvCode,0))*(1+PriceIndex)</f>
        <v/>
      </c>
      <c r="X2607" s="47">
        <f>IF(GrossBasis="Wholesale",V2607,W2607)</f>
        <v/>
      </c>
      <c r="Y2607" s="47">
        <f>R2607*INDEX(FmtBlendedCogs,MATCH(F2607,FmtName,0))</f>
        <v/>
      </c>
      <c r="Z2607" s="47">
        <f>X2607-Y2607</f>
        <v/>
      </c>
    </row>
    <row r="2608">
      <c r="A2608" t="n">
        <v>10</v>
      </c>
      <c r="B2608" s="44">
        <f>FiscalStart+(A2608-1)*7</f>
        <v/>
      </c>
      <c r="C2608">
        <f>TEXT(B2608,"mmm yyyy")</f>
        <v/>
      </c>
      <c r="D2608">
        <f>"Q"&amp;(INT((A2608-1)/13)+1)</f>
        <v/>
      </c>
      <c r="E2608" t="inlineStr">
        <is>
          <t>FDM</t>
        </is>
      </c>
      <c r="F2608">
        <f>IFERROR(INDEX(ChFormat,MATCH(E2608,ChName,0)),"")</f>
        <v/>
      </c>
      <c r="G2608" t="inlineStr">
        <is>
          <t>NL</t>
        </is>
      </c>
      <c r="H2608">
        <f>IF(A2608&lt;=NWeeks,1,0)</f>
        <v/>
      </c>
      <c r="I2608">
        <f>INDEX(ChLaunch,MATCH(E2608,ChName,0))</f>
        <v/>
      </c>
      <c r="J2608">
        <f>INDEX(ChWeeksFull,MATCH(E2608,ChName,0))</f>
        <v/>
      </c>
      <c r="K2608">
        <f>INDEX(ChRamp,MATCH(E2608,ChName,0))</f>
        <v/>
      </c>
      <c r="L2608" s="45">
        <f>MIN(1,MAX(0,(A2608-I2608+1)*RampSpeed/J2608))</f>
        <v/>
      </c>
      <c r="M2608" s="45">
        <f>IF(A2608&lt;I2608,0,IF(K2608="S-curve",L2608*L2608*(3-2*L2608),L2608))</f>
        <v/>
      </c>
      <c r="N2608" s="45">
        <f>1+(INDEX(SeasonIdx,A2608)-1)*SeasonAmp</f>
        <v/>
      </c>
      <c r="O2608" s="45">
        <f>IFERROR(INDEX(PSPct,MATCH(E2608&amp;"|"&amp;G2608,PSKey,0)),0)</f>
        <v/>
      </c>
      <c r="P2608" s="46">
        <f>INDEX(ChDoorVel,MATCH(E2608,ChName,0))*CalibScalar*(1+VelocityUplift)</f>
        <v/>
      </c>
      <c r="Q2608" s="46" t="n">
        <v>0</v>
      </c>
      <c r="R2608" s="46">
        <f>P2608*O2608*M2608*N2608*H2608</f>
        <v/>
      </c>
      <c r="S2608" s="46">
        <f>R2608*INDEX(FmtCansPerCase,MATCH(F2608,FmtName,0))</f>
        <v/>
      </c>
      <c r="T2608" s="46">
        <f>S2608/INDEX(FmtCansPerPack,MATCH(F2608,FmtName,0))</f>
        <v/>
      </c>
      <c r="U2608" s="47">
        <f>INDEX(ChBaseCP,MATCH(E2608,ChName,0))*(1+INDEX(ProvMod,MATCH(G2608,ProvCode,0)))*(1+PriceIndex)</f>
        <v/>
      </c>
      <c r="V2608" s="47">
        <f>R2608*U2608*INDEX(FmtBlendedPriceIdx,MATCH(F2608,FmtName,0))</f>
        <v/>
      </c>
      <c r="W2608" s="47">
        <f>T2608*INDEX(ProvSRP,MATCH(G2608,ProvCode,0))*(1+PriceIndex)</f>
        <v/>
      </c>
      <c r="X2608" s="47">
        <f>IF(GrossBasis="Wholesale",V2608,W2608)</f>
        <v/>
      </c>
      <c r="Y2608" s="47">
        <f>R2608*INDEX(FmtBlendedCogs,MATCH(F2608,FmtName,0))</f>
        <v/>
      </c>
      <c r="Z2608" s="47">
        <f>X2608-Y2608</f>
        <v/>
      </c>
    </row>
    <row r="2609">
      <c r="A2609" t="n">
        <v>11</v>
      </c>
      <c r="B2609" s="44">
        <f>FiscalStart+(A2609-1)*7</f>
        <v/>
      </c>
      <c r="C2609">
        <f>TEXT(B2609,"mmm yyyy")</f>
        <v/>
      </c>
      <c r="D2609">
        <f>"Q"&amp;(INT((A2609-1)/13)+1)</f>
        <v/>
      </c>
      <c r="E2609" t="inlineStr">
        <is>
          <t>FDM</t>
        </is>
      </c>
      <c r="F2609">
        <f>IFERROR(INDEX(ChFormat,MATCH(E2609,ChName,0)),"")</f>
        <v/>
      </c>
      <c r="G2609" t="inlineStr">
        <is>
          <t>NL</t>
        </is>
      </c>
      <c r="H2609">
        <f>IF(A2609&lt;=NWeeks,1,0)</f>
        <v/>
      </c>
      <c r="I2609">
        <f>INDEX(ChLaunch,MATCH(E2609,ChName,0))</f>
        <v/>
      </c>
      <c r="J2609">
        <f>INDEX(ChWeeksFull,MATCH(E2609,ChName,0))</f>
        <v/>
      </c>
      <c r="K2609">
        <f>INDEX(ChRamp,MATCH(E2609,ChName,0))</f>
        <v/>
      </c>
      <c r="L2609" s="45">
        <f>MIN(1,MAX(0,(A2609-I2609+1)*RampSpeed/J2609))</f>
        <v/>
      </c>
      <c r="M2609" s="45">
        <f>IF(A2609&lt;I2609,0,IF(K2609="S-curve",L2609*L2609*(3-2*L2609),L2609))</f>
        <v/>
      </c>
      <c r="N2609" s="45">
        <f>1+(INDEX(SeasonIdx,A2609)-1)*SeasonAmp</f>
        <v/>
      </c>
      <c r="O2609" s="45">
        <f>IFERROR(INDEX(PSPct,MATCH(E2609&amp;"|"&amp;G2609,PSKey,0)),0)</f>
        <v/>
      </c>
      <c r="P2609" s="46">
        <f>INDEX(ChDoorVel,MATCH(E2609,ChName,0))*CalibScalar*(1+VelocityUplift)</f>
        <v/>
      </c>
      <c r="Q2609" s="46" t="n">
        <v>0</v>
      </c>
      <c r="R2609" s="46">
        <f>P2609*O2609*M2609*N2609*H2609</f>
        <v/>
      </c>
      <c r="S2609" s="46">
        <f>R2609*INDEX(FmtCansPerCase,MATCH(F2609,FmtName,0))</f>
        <v/>
      </c>
      <c r="T2609" s="46">
        <f>S2609/INDEX(FmtCansPerPack,MATCH(F2609,FmtName,0))</f>
        <v/>
      </c>
      <c r="U2609" s="47">
        <f>INDEX(ChBaseCP,MATCH(E2609,ChName,0))*(1+INDEX(ProvMod,MATCH(G2609,ProvCode,0)))*(1+PriceIndex)</f>
        <v/>
      </c>
      <c r="V2609" s="47">
        <f>R2609*U2609*INDEX(FmtBlendedPriceIdx,MATCH(F2609,FmtName,0))</f>
        <v/>
      </c>
      <c r="W2609" s="47">
        <f>T2609*INDEX(ProvSRP,MATCH(G2609,ProvCode,0))*(1+PriceIndex)</f>
        <v/>
      </c>
      <c r="X2609" s="47">
        <f>IF(GrossBasis="Wholesale",V2609,W2609)</f>
        <v/>
      </c>
      <c r="Y2609" s="47">
        <f>R2609*INDEX(FmtBlendedCogs,MATCH(F2609,FmtName,0))</f>
        <v/>
      </c>
      <c r="Z2609" s="47">
        <f>X2609-Y2609</f>
        <v/>
      </c>
    </row>
    <row r="2610">
      <c r="A2610" t="n">
        <v>12</v>
      </c>
      <c r="B2610" s="44">
        <f>FiscalStart+(A2610-1)*7</f>
        <v/>
      </c>
      <c r="C2610">
        <f>TEXT(B2610,"mmm yyyy")</f>
        <v/>
      </c>
      <c r="D2610">
        <f>"Q"&amp;(INT((A2610-1)/13)+1)</f>
        <v/>
      </c>
      <c r="E2610" t="inlineStr">
        <is>
          <t>FDM</t>
        </is>
      </c>
      <c r="F2610">
        <f>IFERROR(INDEX(ChFormat,MATCH(E2610,ChName,0)),"")</f>
        <v/>
      </c>
      <c r="G2610" t="inlineStr">
        <is>
          <t>NL</t>
        </is>
      </c>
      <c r="H2610">
        <f>IF(A2610&lt;=NWeeks,1,0)</f>
        <v/>
      </c>
      <c r="I2610">
        <f>INDEX(ChLaunch,MATCH(E2610,ChName,0))</f>
        <v/>
      </c>
      <c r="J2610">
        <f>INDEX(ChWeeksFull,MATCH(E2610,ChName,0))</f>
        <v/>
      </c>
      <c r="K2610">
        <f>INDEX(ChRamp,MATCH(E2610,ChName,0))</f>
        <v/>
      </c>
      <c r="L2610" s="45">
        <f>MIN(1,MAX(0,(A2610-I2610+1)*RampSpeed/J2610))</f>
        <v/>
      </c>
      <c r="M2610" s="45">
        <f>IF(A2610&lt;I2610,0,IF(K2610="S-curve",L2610*L2610*(3-2*L2610),L2610))</f>
        <v/>
      </c>
      <c r="N2610" s="45">
        <f>1+(INDEX(SeasonIdx,A2610)-1)*SeasonAmp</f>
        <v/>
      </c>
      <c r="O2610" s="45">
        <f>IFERROR(INDEX(PSPct,MATCH(E2610&amp;"|"&amp;G2610,PSKey,0)),0)</f>
        <v/>
      </c>
      <c r="P2610" s="46">
        <f>INDEX(ChDoorVel,MATCH(E2610,ChName,0))*CalibScalar*(1+VelocityUplift)</f>
        <v/>
      </c>
      <c r="Q2610" s="46" t="n">
        <v>0</v>
      </c>
      <c r="R2610" s="46">
        <f>P2610*O2610*M2610*N2610*H2610</f>
        <v/>
      </c>
      <c r="S2610" s="46">
        <f>R2610*INDEX(FmtCansPerCase,MATCH(F2610,FmtName,0))</f>
        <v/>
      </c>
      <c r="T2610" s="46">
        <f>S2610/INDEX(FmtCansPerPack,MATCH(F2610,FmtName,0))</f>
        <v/>
      </c>
      <c r="U2610" s="47">
        <f>INDEX(ChBaseCP,MATCH(E2610,ChName,0))*(1+INDEX(ProvMod,MATCH(G2610,ProvCode,0)))*(1+PriceIndex)</f>
        <v/>
      </c>
      <c r="V2610" s="47">
        <f>R2610*U2610*INDEX(FmtBlendedPriceIdx,MATCH(F2610,FmtName,0))</f>
        <v/>
      </c>
      <c r="W2610" s="47">
        <f>T2610*INDEX(ProvSRP,MATCH(G2610,ProvCode,0))*(1+PriceIndex)</f>
        <v/>
      </c>
      <c r="X2610" s="47">
        <f>IF(GrossBasis="Wholesale",V2610,W2610)</f>
        <v/>
      </c>
      <c r="Y2610" s="47">
        <f>R2610*INDEX(FmtBlendedCogs,MATCH(F2610,FmtName,0))</f>
        <v/>
      </c>
      <c r="Z2610" s="47">
        <f>X2610-Y2610</f>
        <v/>
      </c>
    </row>
    <row r="2611">
      <c r="A2611" t="n">
        <v>13</v>
      </c>
      <c r="B2611" s="44">
        <f>FiscalStart+(A2611-1)*7</f>
        <v/>
      </c>
      <c r="C2611">
        <f>TEXT(B2611,"mmm yyyy")</f>
        <v/>
      </c>
      <c r="D2611">
        <f>"Q"&amp;(INT((A2611-1)/13)+1)</f>
        <v/>
      </c>
      <c r="E2611" t="inlineStr">
        <is>
          <t>FDM</t>
        </is>
      </c>
      <c r="F2611">
        <f>IFERROR(INDEX(ChFormat,MATCH(E2611,ChName,0)),"")</f>
        <v/>
      </c>
      <c r="G2611" t="inlineStr">
        <is>
          <t>NL</t>
        </is>
      </c>
      <c r="H2611">
        <f>IF(A2611&lt;=NWeeks,1,0)</f>
        <v/>
      </c>
      <c r="I2611">
        <f>INDEX(ChLaunch,MATCH(E2611,ChName,0))</f>
        <v/>
      </c>
      <c r="J2611">
        <f>INDEX(ChWeeksFull,MATCH(E2611,ChName,0))</f>
        <v/>
      </c>
      <c r="K2611">
        <f>INDEX(ChRamp,MATCH(E2611,ChName,0))</f>
        <v/>
      </c>
      <c r="L2611" s="45">
        <f>MIN(1,MAX(0,(A2611-I2611+1)*RampSpeed/J2611))</f>
        <v/>
      </c>
      <c r="M2611" s="45">
        <f>IF(A2611&lt;I2611,0,IF(K2611="S-curve",L2611*L2611*(3-2*L2611),L2611))</f>
        <v/>
      </c>
      <c r="N2611" s="45">
        <f>1+(INDEX(SeasonIdx,A2611)-1)*SeasonAmp</f>
        <v/>
      </c>
      <c r="O2611" s="45">
        <f>IFERROR(INDEX(PSPct,MATCH(E2611&amp;"|"&amp;G2611,PSKey,0)),0)</f>
        <v/>
      </c>
      <c r="P2611" s="46">
        <f>INDEX(ChDoorVel,MATCH(E2611,ChName,0))*CalibScalar*(1+VelocityUplift)</f>
        <v/>
      </c>
      <c r="Q2611" s="46" t="n">
        <v>0</v>
      </c>
      <c r="R2611" s="46">
        <f>P2611*O2611*M2611*N2611*H2611</f>
        <v/>
      </c>
      <c r="S2611" s="46">
        <f>R2611*INDEX(FmtCansPerCase,MATCH(F2611,FmtName,0))</f>
        <v/>
      </c>
      <c r="T2611" s="46">
        <f>S2611/INDEX(FmtCansPerPack,MATCH(F2611,FmtName,0))</f>
        <v/>
      </c>
      <c r="U2611" s="47">
        <f>INDEX(ChBaseCP,MATCH(E2611,ChName,0))*(1+INDEX(ProvMod,MATCH(G2611,ProvCode,0)))*(1+PriceIndex)</f>
        <v/>
      </c>
      <c r="V2611" s="47">
        <f>R2611*U2611*INDEX(FmtBlendedPriceIdx,MATCH(F2611,FmtName,0))</f>
        <v/>
      </c>
      <c r="W2611" s="47">
        <f>T2611*INDEX(ProvSRP,MATCH(G2611,ProvCode,0))*(1+PriceIndex)</f>
        <v/>
      </c>
      <c r="X2611" s="47">
        <f>IF(GrossBasis="Wholesale",V2611,W2611)</f>
        <v/>
      </c>
      <c r="Y2611" s="47">
        <f>R2611*INDEX(FmtBlendedCogs,MATCH(F2611,FmtName,0))</f>
        <v/>
      </c>
      <c r="Z2611" s="47">
        <f>X2611-Y2611</f>
        <v/>
      </c>
    </row>
    <row r="2612">
      <c r="A2612" t="n">
        <v>14</v>
      </c>
      <c r="B2612" s="44">
        <f>FiscalStart+(A2612-1)*7</f>
        <v/>
      </c>
      <c r="C2612">
        <f>TEXT(B2612,"mmm yyyy")</f>
        <v/>
      </c>
      <c r="D2612">
        <f>"Q"&amp;(INT((A2612-1)/13)+1)</f>
        <v/>
      </c>
      <c r="E2612" t="inlineStr">
        <is>
          <t>FDM</t>
        </is>
      </c>
      <c r="F2612">
        <f>IFERROR(INDEX(ChFormat,MATCH(E2612,ChName,0)),"")</f>
        <v/>
      </c>
      <c r="G2612" t="inlineStr">
        <is>
          <t>NL</t>
        </is>
      </c>
      <c r="H2612">
        <f>IF(A2612&lt;=NWeeks,1,0)</f>
        <v/>
      </c>
      <c r="I2612">
        <f>INDEX(ChLaunch,MATCH(E2612,ChName,0))</f>
        <v/>
      </c>
      <c r="J2612">
        <f>INDEX(ChWeeksFull,MATCH(E2612,ChName,0))</f>
        <v/>
      </c>
      <c r="K2612">
        <f>INDEX(ChRamp,MATCH(E2612,ChName,0))</f>
        <v/>
      </c>
      <c r="L2612" s="45">
        <f>MIN(1,MAX(0,(A2612-I2612+1)*RampSpeed/J2612))</f>
        <v/>
      </c>
      <c r="M2612" s="45">
        <f>IF(A2612&lt;I2612,0,IF(K2612="S-curve",L2612*L2612*(3-2*L2612),L2612))</f>
        <v/>
      </c>
      <c r="N2612" s="45">
        <f>1+(INDEX(SeasonIdx,A2612)-1)*SeasonAmp</f>
        <v/>
      </c>
      <c r="O2612" s="45">
        <f>IFERROR(INDEX(PSPct,MATCH(E2612&amp;"|"&amp;G2612,PSKey,0)),0)</f>
        <v/>
      </c>
      <c r="P2612" s="46">
        <f>INDEX(ChDoorVel,MATCH(E2612,ChName,0))*CalibScalar*(1+VelocityUplift)</f>
        <v/>
      </c>
      <c r="Q2612" s="46" t="n">
        <v>0</v>
      </c>
      <c r="R2612" s="46">
        <f>P2612*O2612*M2612*N2612*H2612</f>
        <v/>
      </c>
      <c r="S2612" s="46">
        <f>R2612*INDEX(FmtCansPerCase,MATCH(F2612,FmtName,0))</f>
        <v/>
      </c>
      <c r="T2612" s="46">
        <f>S2612/INDEX(FmtCansPerPack,MATCH(F2612,FmtName,0))</f>
        <v/>
      </c>
      <c r="U2612" s="47">
        <f>INDEX(ChBaseCP,MATCH(E2612,ChName,0))*(1+INDEX(ProvMod,MATCH(G2612,ProvCode,0)))*(1+PriceIndex)</f>
        <v/>
      </c>
      <c r="V2612" s="47">
        <f>R2612*U2612*INDEX(FmtBlendedPriceIdx,MATCH(F2612,FmtName,0))</f>
        <v/>
      </c>
      <c r="W2612" s="47">
        <f>T2612*INDEX(ProvSRP,MATCH(G2612,ProvCode,0))*(1+PriceIndex)</f>
        <v/>
      </c>
      <c r="X2612" s="47">
        <f>IF(GrossBasis="Wholesale",V2612,W2612)</f>
        <v/>
      </c>
      <c r="Y2612" s="47">
        <f>R2612*INDEX(FmtBlendedCogs,MATCH(F2612,FmtName,0))</f>
        <v/>
      </c>
      <c r="Z2612" s="47">
        <f>X2612-Y2612</f>
        <v/>
      </c>
    </row>
    <row r="2613">
      <c r="A2613" t="n">
        <v>15</v>
      </c>
      <c r="B2613" s="44">
        <f>FiscalStart+(A2613-1)*7</f>
        <v/>
      </c>
      <c r="C2613">
        <f>TEXT(B2613,"mmm yyyy")</f>
        <v/>
      </c>
      <c r="D2613">
        <f>"Q"&amp;(INT((A2613-1)/13)+1)</f>
        <v/>
      </c>
      <c r="E2613" t="inlineStr">
        <is>
          <t>FDM</t>
        </is>
      </c>
      <c r="F2613">
        <f>IFERROR(INDEX(ChFormat,MATCH(E2613,ChName,0)),"")</f>
        <v/>
      </c>
      <c r="G2613" t="inlineStr">
        <is>
          <t>NL</t>
        </is>
      </c>
      <c r="H2613">
        <f>IF(A2613&lt;=NWeeks,1,0)</f>
        <v/>
      </c>
      <c r="I2613">
        <f>INDEX(ChLaunch,MATCH(E2613,ChName,0))</f>
        <v/>
      </c>
      <c r="J2613">
        <f>INDEX(ChWeeksFull,MATCH(E2613,ChName,0))</f>
        <v/>
      </c>
      <c r="K2613">
        <f>INDEX(ChRamp,MATCH(E2613,ChName,0))</f>
        <v/>
      </c>
      <c r="L2613" s="45">
        <f>MIN(1,MAX(0,(A2613-I2613+1)*RampSpeed/J2613))</f>
        <v/>
      </c>
      <c r="M2613" s="45">
        <f>IF(A2613&lt;I2613,0,IF(K2613="S-curve",L2613*L2613*(3-2*L2613),L2613))</f>
        <v/>
      </c>
      <c r="N2613" s="45">
        <f>1+(INDEX(SeasonIdx,A2613)-1)*SeasonAmp</f>
        <v/>
      </c>
      <c r="O2613" s="45">
        <f>IFERROR(INDEX(PSPct,MATCH(E2613&amp;"|"&amp;G2613,PSKey,0)),0)</f>
        <v/>
      </c>
      <c r="P2613" s="46">
        <f>INDEX(ChDoorVel,MATCH(E2613,ChName,0))*CalibScalar*(1+VelocityUplift)</f>
        <v/>
      </c>
      <c r="Q2613" s="46" t="n">
        <v>0</v>
      </c>
      <c r="R2613" s="46">
        <f>P2613*O2613*M2613*N2613*H2613</f>
        <v/>
      </c>
      <c r="S2613" s="46">
        <f>R2613*INDEX(FmtCansPerCase,MATCH(F2613,FmtName,0))</f>
        <v/>
      </c>
      <c r="T2613" s="46">
        <f>S2613/INDEX(FmtCansPerPack,MATCH(F2613,FmtName,0))</f>
        <v/>
      </c>
      <c r="U2613" s="47">
        <f>INDEX(ChBaseCP,MATCH(E2613,ChName,0))*(1+INDEX(ProvMod,MATCH(G2613,ProvCode,0)))*(1+PriceIndex)</f>
        <v/>
      </c>
      <c r="V2613" s="47">
        <f>R2613*U2613*INDEX(FmtBlendedPriceIdx,MATCH(F2613,FmtName,0))</f>
        <v/>
      </c>
      <c r="W2613" s="47">
        <f>T2613*INDEX(ProvSRP,MATCH(G2613,ProvCode,0))*(1+PriceIndex)</f>
        <v/>
      </c>
      <c r="X2613" s="47">
        <f>IF(GrossBasis="Wholesale",V2613,W2613)</f>
        <v/>
      </c>
      <c r="Y2613" s="47">
        <f>R2613*INDEX(FmtBlendedCogs,MATCH(F2613,FmtName,0))</f>
        <v/>
      </c>
      <c r="Z2613" s="47">
        <f>X2613-Y2613</f>
        <v/>
      </c>
    </row>
    <row r="2614">
      <c r="A2614" t="n">
        <v>16</v>
      </c>
      <c r="B2614" s="44">
        <f>FiscalStart+(A2614-1)*7</f>
        <v/>
      </c>
      <c r="C2614">
        <f>TEXT(B2614,"mmm yyyy")</f>
        <v/>
      </c>
      <c r="D2614">
        <f>"Q"&amp;(INT((A2614-1)/13)+1)</f>
        <v/>
      </c>
      <c r="E2614" t="inlineStr">
        <is>
          <t>FDM</t>
        </is>
      </c>
      <c r="F2614">
        <f>IFERROR(INDEX(ChFormat,MATCH(E2614,ChName,0)),"")</f>
        <v/>
      </c>
      <c r="G2614" t="inlineStr">
        <is>
          <t>NL</t>
        </is>
      </c>
      <c r="H2614">
        <f>IF(A2614&lt;=NWeeks,1,0)</f>
        <v/>
      </c>
      <c r="I2614">
        <f>INDEX(ChLaunch,MATCH(E2614,ChName,0))</f>
        <v/>
      </c>
      <c r="J2614">
        <f>INDEX(ChWeeksFull,MATCH(E2614,ChName,0))</f>
        <v/>
      </c>
      <c r="K2614">
        <f>INDEX(ChRamp,MATCH(E2614,ChName,0))</f>
        <v/>
      </c>
      <c r="L2614" s="45">
        <f>MIN(1,MAX(0,(A2614-I2614+1)*RampSpeed/J2614))</f>
        <v/>
      </c>
      <c r="M2614" s="45">
        <f>IF(A2614&lt;I2614,0,IF(K2614="S-curve",L2614*L2614*(3-2*L2614),L2614))</f>
        <v/>
      </c>
      <c r="N2614" s="45">
        <f>1+(INDEX(SeasonIdx,A2614)-1)*SeasonAmp</f>
        <v/>
      </c>
      <c r="O2614" s="45">
        <f>IFERROR(INDEX(PSPct,MATCH(E2614&amp;"|"&amp;G2614,PSKey,0)),0)</f>
        <v/>
      </c>
      <c r="P2614" s="46">
        <f>INDEX(ChDoorVel,MATCH(E2614,ChName,0))*CalibScalar*(1+VelocityUplift)</f>
        <v/>
      </c>
      <c r="Q2614" s="46" t="n">
        <v>0</v>
      </c>
      <c r="R2614" s="46">
        <f>P2614*O2614*M2614*N2614*H2614</f>
        <v/>
      </c>
      <c r="S2614" s="46">
        <f>R2614*INDEX(FmtCansPerCase,MATCH(F2614,FmtName,0))</f>
        <v/>
      </c>
      <c r="T2614" s="46">
        <f>S2614/INDEX(FmtCansPerPack,MATCH(F2614,FmtName,0))</f>
        <v/>
      </c>
      <c r="U2614" s="47">
        <f>INDEX(ChBaseCP,MATCH(E2614,ChName,0))*(1+INDEX(ProvMod,MATCH(G2614,ProvCode,0)))*(1+PriceIndex)</f>
        <v/>
      </c>
      <c r="V2614" s="47">
        <f>R2614*U2614*INDEX(FmtBlendedPriceIdx,MATCH(F2614,FmtName,0))</f>
        <v/>
      </c>
      <c r="W2614" s="47">
        <f>T2614*INDEX(ProvSRP,MATCH(G2614,ProvCode,0))*(1+PriceIndex)</f>
        <v/>
      </c>
      <c r="X2614" s="47">
        <f>IF(GrossBasis="Wholesale",V2614,W2614)</f>
        <v/>
      </c>
      <c r="Y2614" s="47">
        <f>R2614*INDEX(FmtBlendedCogs,MATCH(F2614,FmtName,0))</f>
        <v/>
      </c>
      <c r="Z2614" s="47">
        <f>X2614-Y2614</f>
        <v/>
      </c>
    </row>
    <row r="2615">
      <c r="A2615" t="n">
        <v>17</v>
      </c>
      <c r="B2615" s="44">
        <f>FiscalStart+(A2615-1)*7</f>
        <v/>
      </c>
      <c r="C2615">
        <f>TEXT(B2615,"mmm yyyy")</f>
        <v/>
      </c>
      <c r="D2615">
        <f>"Q"&amp;(INT((A2615-1)/13)+1)</f>
        <v/>
      </c>
      <c r="E2615" t="inlineStr">
        <is>
          <t>FDM</t>
        </is>
      </c>
      <c r="F2615">
        <f>IFERROR(INDEX(ChFormat,MATCH(E2615,ChName,0)),"")</f>
        <v/>
      </c>
      <c r="G2615" t="inlineStr">
        <is>
          <t>NL</t>
        </is>
      </c>
      <c r="H2615">
        <f>IF(A2615&lt;=NWeeks,1,0)</f>
        <v/>
      </c>
      <c r="I2615">
        <f>INDEX(ChLaunch,MATCH(E2615,ChName,0))</f>
        <v/>
      </c>
      <c r="J2615">
        <f>INDEX(ChWeeksFull,MATCH(E2615,ChName,0))</f>
        <v/>
      </c>
      <c r="K2615">
        <f>INDEX(ChRamp,MATCH(E2615,ChName,0))</f>
        <v/>
      </c>
      <c r="L2615" s="45">
        <f>MIN(1,MAX(0,(A2615-I2615+1)*RampSpeed/J2615))</f>
        <v/>
      </c>
      <c r="M2615" s="45">
        <f>IF(A2615&lt;I2615,0,IF(K2615="S-curve",L2615*L2615*(3-2*L2615),L2615))</f>
        <v/>
      </c>
      <c r="N2615" s="45">
        <f>1+(INDEX(SeasonIdx,A2615)-1)*SeasonAmp</f>
        <v/>
      </c>
      <c r="O2615" s="45">
        <f>IFERROR(INDEX(PSPct,MATCH(E2615&amp;"|"&amp;G2615,PSKey,0)),0)</f>
        <v/>
      </c>
      <c r="P2615" s="46">
        <f>INDEX(ChDoorVel,MATCH(E2615,ChName,0))*CalibScalar*(1+VelocityUplift)</f>
        <v/>
      </c>
      <c r="Q2615" s="46" t="n">
        <v>0</v>
      </c>
      <c r="R2615" s="46">
        <f>P2615*O2615*M2615*N2615*H2615</f>
        <v/>
      </c>
      <c r="S2615" s="46">
        <f>R2615*INDEX(FmtCansPerCase,MATCH(F2615,FmtName,0))</f>
        <v/>
      </c>
      <c r="T2615" s="46">
        <f>S2615/INDEX(FmtCansPerPack,MATCH(F2615,FmtName,0))</f>
        <v/>
      </c>
      <c r="U2615" s="47">
        <f>INDEX(ChBaseCP,MATCH(E2615,ChName,0))*(1+INDEX(ProvMod,MATCH(G2615,ProvCode,0)))*(1+PriceIndex)</f>
        <v/>
      </c>
      <c r="V2615" s="47">
        <f>R2615*U2615*INDEX(FmtBlendedPriceIdx,MATCH(F2615,FmtName,0))</f>
        <v/>
      </c>
      <c r="W2615" s="47">
        <f>T2615*INDEX(ProvSRP,MATCH(G2615,ProvCode,0))*(1+PriceIndex)</f>
        <v/>
      </c>
      <c r="X2615" s="47">
        <f>IF(GrossBasis="Wholesale",V2615,W2615)</f>
        <v/>
      </c>
      <c r="Y2615" s="47">
        <f>R2615*INDEX(FmtBlendedCogs,MATCH(F2615,FmtName,0))</f>
        <v/>
      </c>
      <c r="Z2615" s="47">
        <f>X2615-Y2615</f>
        <v/>
      </c>
    </row>
    <row r="2616">
      <c r="A2616" t="n">
        <v>18</v>
      </c>
      <c r="B2616" s="44">
        <f>FiscalStart+(A2616-1)*7</f>
        <v/>
      </c>
      <c r="C2616">
        <f>TEXT(B2616,"mmm yyyy")</f>
        <v/>
      </c>
      <c r="D2616">
        <f>"Q"&amp;(INT((A2616-1)/13)+1)</f>
        <v/>
      </c>
      <c r="E2616" t="inlineStr">
        <is>
          <t>FDM</t>
        </is>
      </c>
      <c r="F2616">
        <f>IFERROR(INDEX(ChFormat,MATCH(E2616,ChName,0)),"")</f>
        <v/>
      </c>
      <c r="G2616" t="inlineStr">
        <is>
          <t>NL</t>
        </is>
      </c>
      <c r="H2616">
        <f>IF(A2616&lt;=NWeeks,1,0)</f>
        <v/>
      </c>
      <c r="I2616">
        <f>INDEX(ChLaunch,MATCH(E2616,ChName,0))</f>
        <v/>
      </c>
      <c r="J2616">
        <f>INDEX(ChWeeksFull,MATCH(E2616,ChName,0))</f>
        <v/>
      </c>
      <c r="K2616">
        <f>INDEX(ChRamp,MATCH(E2616,ChName,0))</f>
        <v/>
      </c>
      <c r="L2616" s="45">
        <f>MIN(1,MAX(0,(A2616-I2616+1)*RampSpeed/J2616))</f>
        <v/>
      </c>
      <c r="M2616" s="45">
        <f>IF(A2616&lt;I2616,0,IF(K2616="S-curve",L2616*L2616*(3-2*L2616),L2616))</f>
        <v/>
      </c>
      <c r="N2616" s="45">
        <f>1+(INDEX(SeasonIdx,A2616)-1)*SeasonAmp</f>
        <v/>
      </c>
      <c r="O2616" s="45">
        <f>IFERROR(INDEX(PSPct,MATCH(E2616&amp;"|"&amp;G2616,PSKey,0)),0)</f>
        <v/>
      </c>
      <c r="P2616" s="46">
        <f>INDEX(ChDoorVel,MATCH(E2616,ChName,0))*CalibScalar*(1+VelocityUplift)</f>
        <v/>
      </c>
      <c r="Q2616" s="46" t="n">
        <v>0</v>
      </c>
      <c r="R2616" s="46">
        <f>P2616*O2616*M2616*N2616*H2616</f>
        <v/>
      </c>
      <c r="S2616" s="46">
        <f>R2616*INDEX(FmtCansPerCase,MATCH(F2616,FmtName,0))</f>
        <v/>
      </c>
      <c r="T2616" s="46">
        <f>S2616/INDEX(FmtCansPerPack,MATCH(F2616,FmtName,0))</f>
        <v/>
      </c>
      <c r="U2616" s="47">
        <f>INDEX(ChBaseCP,MATCH(E2616,ChName,0))*(1+INDEX(ProvMod,MATCH(G2616,ProvCode,0)))*(1+PriceIndex)</f>
        <v/>
      </c>
      <c r="V2616" s="47">
        <f>R2616*U2616*INDEX(FmtBlendedPriceIdx,MATCH(F2616,FmtName,0))</f>
        <v/>
      </c>
      <c r="W2616" s="47">
        <f>T2616*INDEX(ProvSRP,MATCH(G2616,ProvCode,0))*(1+PriceIndex)</f>
        <v/>
      </c>
      <c r="X2616" s="47">
        <f>IF(GrossBasis="Wholesale",V2616,W2616)</f>
        <v/>
      </c>
      <c r="Y2616" s="47">
        <f>R2616*INDEX(FmtBlendedCogs,MATCH(F2616,FmtName,0))</f>
        <v/>
      </c>
      <c r="Z2616" s="47">
        <f>X2616-Y2616</f>
        <v/>
      </c>
    </row>
    <row r="2617">
      <c r="A2617" t="n">
        <v>19</v>
      </c>
      <c r="B2617" s="44">
        <f>FiscalStart+(A2617-1)*7</f>
        <v/>
      </c>
      <c r="C2617">
        <f>TEXT(B2617,"mmm yyyy")</f>
        <v/>
      </c>
      <c r="D2617">
        <f>"Q"&amp;(INT((A2617-1)/13)+1)</f>
        <v/>
      </c>
      <c r="E2617" t="inlineStr">
        <is>
          <t>FDM</t>
        </is>
      </c>
      <c r="F2617">
        <f>IFERROR(INDEX(ChFormat,MATCH(E2617,ChName,0)),"")</f>
        <v/>
      </c>
      <c r="G2617" t="inlineStr">
        <is>
          <t>NL</t>
        </is>
      </c>
      <c r="H2617">
        <f>IF(A2617&lt;=NWeeks,1,0)</f>
        <v/>
      </c>
      <c r="I2617">
        <f>INDEX(ChLaunch,MATCH(E2617,ChName,0))</f>
        <v/>
      </c>
      <c r="J2617">
        <f>INDEX(ChWeeksFull,MATCH(E2617,ChName,0))</f>
        <v/>
      </c>
      <c r="K2617">
        <f>INDEX(ChRamp,MATCH(E2617,ChName,0))</f>
        <v/>
      </c>
      <c r="L2617" s="45">
        <f>MIN(1,MAX(0,(A2617-I2617+1)*RampSpeed/J2617))</f>
        <v/>
      </c>
      <c r="M2617" s="45">
        <f>IF(A2617&lt;I2617,0,IF(K2617="S-curve",L2617*L2617*(3-2*L2617),L2617))</f>
        <v/>
      </c>
      <c r="N2617" s="45">
        <f>1+(INDEX(SeasonIdx,A2617)-1)*SeasonAmp</f>
        <v/>
      </c>
      <c r="O2617" s="45">
        <f>IFERROR(INDEX(PSPct,MATCH(E2617&amp;"|"&amp;G2617,PSKey,0)),0)</f>
        <v/>
      </c>
      <c r="P2617" s="46">
        <f>INDEX(ChDoorVel,MATCH(E2617,ChName,0))*CalibScalar*(1+VelocityUplift)</f>
        <v/>
      </c>
      <c r="Q2617" s="46" t="n">
        <v>0</v>
      </c>
      <c r="R2617" s="46">
        <f>P2617*O2617*M2617*N2617*H2617</f>
        <v/>
      </c>
      <c r="S2617" s="46">
        <f>R2617*INDEX(FmtCansPerCase,MATCH(F2617,FmtName,0))</f>
        <v/>
      </c>
      <c r="T2617" s="46">
        <f>S2617/INDEX(FmtCansPerPack,MATCH(F2617,FmtName,0))</f>
        <v/>
      </c>
      <c r="U2617" s="47">
        <f>INDEX(ChBaseCP,MATCH(E2617,ChName,0))*(1+INDEX(ProvMod,MATCH(G2617,ProvCode,0)))*(1+PriceIndex)</f>
        <v/>
      </c>
      <c r="V2617" s="47">
        <f>R2617*U2617*INDEX(FmtBlendedPriceIdx,MATCH(F2617,FmtName,0))</f>
        <v/>
      </c>
      <c r="W2617" s="47">
        <f>T2617*INDEX(ProvSRP,MATCH(G2617,ProvCode,0))*(1+PriceIndex)</f>
        <v/>
      </c>
      <c r="X2617" s="47">
        <f>IF(GrossBasis="Wholesale",V2617,W2617)</f>
        <v/>
      </c>
      <c r="Y2617" s="47">
        <f>R2617*INDEX(FmtBlendedCogs,MATCH(F2617,FmtName,0))</f>
        <v/>
      </c>
      <c r="Z2617" s="47">
        <f>X2617-Y2617</f>
        <v/>
      </c>
    </row>
    <row r="2618">
      <c r="A2618" t="n">
        <v>20</v>
      </c>
      <c r="B2618" s="44">
        <f>FiscalStart+(A2618-1)*7</f>
        <v/>
      </c>
      <c r="C2618">
        <f>TEXT(B2618,"mmm yyyy")</f>
        <v/>
      </c>
      <c r="D2618">
        <f>"Q"&amp;(INT((A2618-1)/13)+1)</f>
        <v/>
      </c>
      <c r="E2618" t="inlineStr">
        <is>
          <t>FDM</t>
        </is>
      </c>
      <c r="F2618">
        <f>IFERROR(INDEX(ChFormat,MATCH(E2618,ChName,0)),"")</f>
        <v/>
      </c>
      <c r="G2618" t="inlineStr">
        <is>
          <t>NL</t>
        </is>
      </c>
      <c r="H2618">
        <f>IF(A2618&lt;=NWeeks,1,0)</f>
        <v/>
      </c>
      <c r="I2618">
        <f>INDEX(ChLaunch,MATCH(E2618,ChName,0))</f>
        <v/>
      </c>
      <c r="J2618">
        <f>INDEX(ChWeeksFull,MATCH(E2618,ChName,0))</f>
        <v/>
      </c>
      <c r="K2618">
        <f>INDEX(ChRamp,MATCH(E2618,ChName,0))</f>
        <v/>
      </c>
      <c r="L2618" s="45">
        <f>MIN(1,MAX(0,(A2618-I2618+1)*RampSpeed/J2618))</f>
        <v/>
      </c>
      <c r="M2618" s="45">
        <f>IF(A2618&lt;I2618,0,IF(K2618="S-curve",L2618*L2618*(3-2*L2618),L2618))</f>
        <v/>
      </c>
      <c r="N2618" s="45">
        <f>1+(INDEX(SeasonIdx,A2618)-1)*SeasonAmp</f>
        <v/>
      </c>
      <c r="O2618" s="45">
        <f>IFERROR(INDEX(PSPct,MATCH(E2618&amp;"|"&amp;G2618,PSKey,0)),0)</f>
        <v/>
      </c>
      <c r="P2618" s="46">
        <f>INDEX(ChDoorVel,MATCH(E2618,ChName,0))*CalibScalar*(1+VelocityUplift)</f>
        <v/>
      </c>
      <c r="Q2618" s="46" t="n">
        <v>0</v>
      </c>
      <c r="R2618" s="46">
        <f>P2618*O2618*M2618*N2618*H2618</f>
        <v/>
      </c>
      <c r="S2618" s="46">
        <f>R2618*INDEX(FmtCansPerCase,MATCH(F2618,FmtName,0))</f>
        <v/>
      </c>
      <c r="T2618" s="46">
        <f>S2618/INDEX(FmtCansPerPack,MATCH(F2618,FmtName,0))</f>
        <v/>
      </c>
      <c r="U2618" s="47">
        <f>INDEX(ChBaseCP,MATCH(E2618,ChName,0))*(1+INDEX(ProvMod,MATCH(G2618,ProvCode,0)))*(1+PriceIndex)</f>
        <v/>
      </c>
      <c r="V2618" s="47">
        <f>R2618*U2618*INDEX(FmtBlendedPriceIdx,MATCH(F2618,FmtName,0))</f>
        <v/>
      </c>
      <c r="W2618" s="47">
        <f>T2618*INDEX(ProvSRP,MATCH(G2618,ProvCode,0))*(1+PriceIndex)</f>
        <v/>
      </c>
      <c r="X2618" s="47">
        <f>IF(GrossBasis="Wholesale",V2618,W2618)</f>
        <v/>
      </c>
      <c r="Y2618" s="47">
        <f>R2618*INDEX(FmtBlendedCogs,MATCH(F2618,FmtName,0))</f>
        <v/>
      </c>
      <c r="Z2618" s="47">
        <f>X2618-Y2618</f>
        <v/>
      </c>
    </row>
    <row r="2619">
      <c r="A2619" t="n">
        <v>21</v>
      </c>
      <c r="B2619" s="44">
        <f>FiscalStart+(A2619-1)*7</f>
        <v/>
      </c>
      <c r="C2619">
        <f>TEXT(B2619,"mmm yyyy")</f>
        <v/>
      </c>
      <c r="D2619">
        <f>"Q"&amp;(INT((A2619-1)/13)+1)</f>
        <v/>
      </c>
      <c r="E2619" t="inlineStr">
        <is>
          <t>FDM</t>
        </is>
      </c>
      <c r="F2619">
        <f>IFERROR(INDEX(ChFormat,MATCH(E2619,ChName,0)),"")</f>
        <v/>
      </c>
      <c r="G2619" t="inlineStr">
        <is>
          <t>NL</t>
        </is>
      </c>
      <c r="H2619">
        <f>IF(A2619&lt;=NWeeks,1,0)</f>
        <v/>
      </c>
      <c r="I2619">
        <f>INDEX(ChLaunch,MATCH(E2619,ChName,0))</f>
        <v/>
      </c>
      <c r="J2619">
        <f>INDEX(ChWeeksFull,MATCH(E2619,ChName,0))</f>
        <v/>
      </c>
      <c r="K2619">
        <f>INDEX(ChRamp,MATCH(E2619,ChName,0))</f>
        <v/>
      </c>
      <c r="L2619" s="45">
        <f>MIN(1,MAX(0,(A2619-I2619+1)*RampSpeed/J2619))</f>
        <v/>
      </c>
      <c r="M2619" s="45">
        <f>IF(A2619&lt;I2619,0,IF(K2619="S-curve",L2619*L2619*(3-2*L2619),L2619))</f>
        <v/>
      </c>
      <c r="N2619" s="45">
        <f>1+(INDEX(SeasonIdx,A2619)-1)*SeasonAmp</f>
        <v/>
      </c>
      <c r="O2619" s="45">
        <f>IFERROR(INDEX(PSPct,MATCH(E2619&amp;"|"&amp;G2619,PSKey,0)),0)</f>
        <v/>
      </c>
      <c r="P2619" s="46">
        <f>INDEX(ChDoorVel,MATCH(E2619,ChName,0))*CalibScalar*(1+VelocityUplift)</f>
        <v/>
      </c>
      <c r="Q2619" s="46" t="n">
        <v>0</v>
      </c>
      <c r="R2619" s="46">
        <f>P2619*O2619*M2619*N2619*H2619</f>
        <v/>
      </c>
      <c r="S2619" s="46">
        <f>R2619*INDEX(FmtCansPerCase,MATCH(F2619,FmtName,0))</f>
        <v/>
      </c>
      <c r="T2619" s="46">
        <f>S2619/INDEX(FmtCansPerPack,MATCH(F2619,FmtName,0))</f>
        <v/>
      </c>
      <c r="U2619" s="47">
        <f>INDEX(ChBaseCP,MATCH(E2619,ChName,0))*(1+INDEX(ProvMod,MATCH(G2619,ProvCode,0)))*(1+PriceIndex)</f>
        <v/>
      </c>
      <c r="V2619" s="47">
        <f>R2619*U2619*INDEX(FmtBlendedPriceIdx,MATCH(F2619,FmtName,0))</f>
        <v/>
      </c>
      <c r="W2619" s="47">
        <f>T2619*INDEX(ProvSRP,MATCH(G2619,ProvCode,0))*(1+PriceIndex)</f>
        <v/>
      </c>
      <c r="X2619" s="47">
        <f>IF(GrossBasis="Wholesale",V2619,W2619)</f>
        <v/>
      </c>
      <c r="Y2619" s="47">
        <f>R2619*INDEX(FmtBlendedCogs,MATCH(F2619,FmtName,0))</f>
        <v/>
      </c>
      <c r="Z2619" s="47">
        <f>X2619-Y2619</f>
        <v/>
      </c>
    </row>
    <row r="2620">
      <c r="A2620" t="n">
        <v>22</v>
      </c>
      <c r="B2620" s="44">
        <f>FiscalStart+(A2620-1)*7</f>
        <v/>
      </c>
      <c r="C2620">
        <f>TEXT(B2620,"mmm yyyy")</f>
        <v/>
      </c>
      <c r="D2620">
        <f>"Q"&amp;(INT((A2620-1)/13)+1)</f>
        <v/>
      </c>
      <c r="E2620" t="inlineStr">
        <is>
          <t>FDM</t>
        </is>
      </c>
      <c r="F2620">
        <f>IFERROR(INDEX(ChFormat,MATCH(E2620,ChName,0)),"")</f>
        <v/>
      </c>
      <c r="G2620" t="inlineStr">
        <is>
          <t>NL</t>
        </is>
      </c>
      <c r="H2620">
        <f>IF(A2620&lt;=NWeeks,1,0)</f>
        <v/>
      </c>
      <c r="I2620">
        <f>INDEX(ChLaunch,MATCH(E2620,ChName,0))</f>
        <v/>
      </c>
      <c r="J2620">
        <f>INDEX(ChWeeksFull,MATCH(E2620,ChName,0))</f>
        <v/>
      </c>
      <c r="K2620">
        <f>INDEX(ChRamp,MATCH(E2620,ChName,0))</f>
        <v/>
      </c>
      <c r="L2620" s="45">
        <f>MIN(1,MAX(0,(A2620-I2620+1)*RampSpeed/J2620))</f>
        <v/>
      </c>
      <c r="M2620" s="45">
        <f>IF(A2620&lt;I2620,0,IF(K2620="S-curve",L2620*L2620*(3-2*L2620),L2620))</f>
        <v/>
      </c>
      <c r="N2620" s="45">
        <f>1+(INDEX(SeasonIdx,A2620)-1)*SeasonAmp</f>
        <v/>
      </c>
      <c r="O2620" s="45">
        <f>IFERROR(INDEX(PSPct,MATCH(E2620&amp;"|"&amp;G2620,PSKey,0)),0)</f>
        <v/>
      </c>
      <c r="P2620" s="46">
        <f>INDEX(ChDoorVel,MATCH(E2620,ChName,0))*CalibScalar*(1+VelocityUplift)</f>
        <v/>
      </c>
      <c r="Q2620" s="46" t="n">
        <v>0</v>
      </c>
      <c r="R2620" s="46">
        <f>P2620*O2620*M2620*N2620*H2620</f>
        <v/>
      </c>
      <c r="S2620" s="46">
        <f>R2620*INDEX(FmtCansPerCase,MATCH(F2620,FmtName,0))</f>
        <v/>
      </c>
      <c r="T2620" s="46">
        <f>S2620/INDEX(FmtCansPerPack,MATCH(F2620,FmtName,0))</f>
        <v/>
      </c>
      <c r="U2620" s="47">
        <f>INDEX(ChBaseCP,MATCH(E2620,ChName,0))*(1+INDEX(ProvMod,MATCH(G2620,ProvCode,0)))*(1+PriceIndex)</f>
        <v/>
      </c>
      <c r="V2620" s="47">
        <f>R2620*U2620*INDEX(FmtBlendedPriceIdx,MATCH(F2620,FmtName,0))</f>
        <v/>
      </c>
      <c r="W2620" s="47">
        <f>T2620*INDEX(ProvSRP,MATCH(G2620,ProvCode,0))*(1+PriceIndex)</f>
        <v/>
      </c>
      <c r="X2620" s="47">
        <f>IF(GrossBasis="Wholesale",V2620,W2620)</f>
        <v/>
      </c>
      <c r="Y2620" s="47">
        <f>R2620*INDEX(FmtBlendedCogs,MATCH(F2620,FmtName,0))</f>
        <v/>
      </c>
      <c r="Z2620" s="47">
        <f>X2620-Y2620</f>
        <v/>
      </c>
    </row>
    <row r="2621">
      <c r="A2621" t="n">
        <v>23</v>
      </c>
      <c r="B2621" s="44">
        <f>FiscalStart+(A2621-1)*7</f>
        <v/>
      </c>
      <c r="C2621">
        <f>TEXT(B2621,"mmm yyyy")</f>
        <v/>
      </c>
      <c r="D2621">
        <f>"Q"&amp;(INT((A2621-1)/13)+1)</f>
        <v/>
      </c>
      <c r="E2621" t="inlineStr">
        <is>
          <t>FDM</t>
        </is>
      </c>
      <c r="F2621">
        <f>IFERROR(INDEX(ChFormat,MATCH(E2621,ChName,0)),"")</f>
        <v/>
      </c>
      <c r="G2621" t="inlineStr">
        <is>
          <t>NL</t>
        </is>
      </c>
      <c r="H2621">
        <f>IF(A2621&lt;=NWeeks,1,0)</f>
        <v/>
      </c>
      <c r="I2621">
        <f>INDEX(ChLaunch,MATCH(E2621,ChName,0))</f>
        <v/>
      </c>
      <c r="J2621">
        <f>INDEX(ChWeeksFull,MATCH(E2621,ChName,0))</f>
        <v/>
      </c>
      <c r="K2621">
        <f>INDEX(ChRamp,MATCH(E2621,ChName,0))</f>
        <v/>
      </c>
      <c r="L2621" s="45">
        <f>MIN(1,MAX(0,(A2621-I2621+1)*RampSpeed/J2621))</f>
        <v/>
      </c>
      <c r="M2621" s="45">
        <f>IF(A2621&lt;I2621,0,IF(K2621="S-curve",L2621*L2621*(3-2*L2621),L2621))</f>
        <v/>
      </c>
      <c r="N2621" s="45">
        <f>1+(INDEX(SeasonIdx,A2621)-1)*SeasonAmp</f>
        <v/>
      </c>
      <c r="O2621" s="45">
        <f>IFERROR(INDEX(PSPct,MATCH(E2621&amp;"|"&amp;G2621,PSKey,0)),0)</f>
        <v/>
      </c>
      <c r="P2621" s="46">
        <f>INDEX(ChDoorVel,MATCH(E2621,ChName,0))*CalibScalar*(1+VelocityUplift)</f>
        <v/>
      </c>
      <c r="Q2621" s="46" t="n">
        <v>0</v>
      </c>
      <c r="R2621" s="46">
        <f>P2621*O2621*M2621*N2621*H2621</f>
        <v/>
      </c>
      <c r="S2621" s="46">
        <f>R2621*INDEX(FmtCansPerCase,MATCH(F2621,FmtName,0))</f>
        <v/>
      </c>
      <c r="T2621" s="46">
        <f>S2621/INDEX(FmtCansPerPack,MATCH(F2621,FmtName,0))</f>
        <v/>
      </c>
      <c r="U2621" s="47">
        <f>INDEX(ChBaseCP,MATCH(E2621,ChName,0))*(1+INDEX(ProvMod,MATCH(G2621,ProvCode,0)))*(1+PriceIndex)</f>
        <v/>
      </c>
      <c r="V2621" s="47">
        <f>R2621*U2621*INDEX(FmtBlendedPriceIdx,MATCH(F2621,FmtName,0))</f>
        <v/>
      </c>
      <c r="W2621" s="47">
        <f>T2621*INDEX(ProvSRP,MATCH(G2621,ProvCode,0))*(1+PriceIndex)</f>
        <v/>
      </c>
      <c r="X2621" s="47">
        <f>IF(GrossBasis="Wholesale",V2621,W2621)</f>
        <v/>
      </c>
      <c r="Y2621" s="47">
        <f>R2621*INDEX(FmtBlendedCogs,MATCH(F2621,FmtName,0))</f>
        <v/>
      </c>
      <c r="Z2621" s="47">
        <f>X2621-Y2621</f>
        <v/>
      </c>
    </row>
    <row r="2622">
      <c r="A2622" t="n">
        <v>24</v>
      </c>
      <c r="B2622" s="44">
        <f>FiscalStart+(A2622-1)*7</f>
        <v/>
      </c>
      <c r="C2622">
        <f>TEXT(B2622,"mmm yyyy")</f>
        <v/>
      </c>
      <c r="D2622">
        <f>"Q"&amp;(INT((A2622-1)/13)+1)</f>
        <v/>
      </c>
      <c r="E2622" t="inlineStr">
        <is>
          <t>FDM</t>
        </is>
      </c>
      <c r="F2622">
        <f>IFERROR(INDEX(ChFormat,MATCH(E2622,ChName,0)),"")</f>
        <v/>
      </c>
      <c r="G2622" t="inlineStr">
        <is>
          <t>NL</t>
        </is>
      </c>
      <c r="H2622">
        <f>IF(A2622&lt;=NWeeks,1,0)</f>
        <v/>
      </c>
      <c r="I2622">
        <f>INDEX(ChLaunch,MATCH(E2622,ChName,0))</f>
        <v/>
      </c>
      <c r="J2622">
        <f>INDEX(ChWeeksFull,MATCH(E2622,ChName,0))</f>
        <v/>
      </c>
      <c r="K2622">
        <f>INDEX(ChRamp,MATCH(E2622,ChName,0))</f>
        <v/>
      </c>
      <c r="L2622" s="45">
        <f>MIN(1,MAX(0,(A2622-I2622+1)*RampSpeed/J2622))</f>
        <v/>
      </c>
      <c r="M2622" s="45">
        <f>IF(A2622&lt;I2622,0,IF(K2622="S-curve",L2622*L2622*(3-2*L2622),L2622))</f>
        <v/>
      </c>
      <c r="N2622" s="45">
        <f>1+(INDEX(SeasonIdx,A2622)-1)*SeasonAmp</f>
        <v/>
      </c>
      <c r="O2622" s="45">
        <f>IFERROR(INDEX(PSPct,MATCH(E2622&amp;"|"&amp;G2622,PSKey,0)),0)</f>
        <v/>
      </c>
      <c r="P2622" s="46">
        <f>INDEX(ChDoorVel,MATCH(E2622,ChName,0))*CalibScalar*(1+VelocityUplift)</f>
        <v/>
      </c>
      <c r="Q2622" s="46" t="n">
        <v>0</v>
      </c>
      <c r="R2622" s="46">
        <f>P2622*O2622*M2622*N2622*H2622</f>
        <v/>
      </c>
      <c r="S2622" s="46">
        <f>R2622*INDEX(FmtCansPerCase,MATCH(F2622,FmtName,0))</f>
        <v/>
      </c>
      <c r="T2622" s="46">
        <f>S2622/INDEX(FmtCansPerPack,MATCH(F2622,FmtName,0))</f>
        <v/>
      </c>
      <c r="U2622" s="47">
        <f>INDEX(ChBaseCP,MATCH(E2622,ChName,0))*(1+INDEX(ProvMod,MATCH(G2622,ProvCode,0)))*(1+PriceIndex)</f>
        <v/>
      </c>
      <c r="V2622" s="47">
        <f>R2622*U2622*INDEX(FmtBlendedPriceIdx,MATCH(F2622,FmtName,0))</f>
        <v/>
      </c>
      <c r="W2622" s="47">
        <f>T2622*INDEX(ProvSRP,MATCH(G2622,ProvCode,0))*(1+PriceIndex)</f>
        <v/>
      </c>
      <c r="X2622" s="47">
        <f>IF(GrossBasis="Wholesale",V2622,W2622)</f>
        <v/>
      </c>
      <c r="Y2622" s="47">
        <f>R2622*INDEX(FmtBlendedCogs,MATCH(F2622,FmtName,0))</f>
        <v/>
      </c>
      <c r="Z2622" s="47">
        <f>X2622-Y2622</f>
        <v/>
      </c>
    </row>
    <row r="2623">
      <c r="A2623" t="n">
        <v>25</v>
      </c>
      <c r="B2623" s="44">
        <f>FiscalStart+(A2623-1)*7</f>
        <v/>
      </c>
      <c r="C2623">
        <f>TEXT(B2623,"mmm yyyy")</f>
        <v/>
      </c>
      <c r="D2623">
        <f>"Q"&amp;(INT((A2623-1)/13)+1)</f>
        <v/>
      </c>
      <c r="E2623" t="inlineStr">
        <is>
          <t>FDM</t>
        </is>
      </c>
      <c r="F2623">
        <f>IFERROR(INDEX(ChFormat,MATCH(E2623,ChName,0)),"")</f>
        <v/>
      </c>
      <c r="G2623" t="inlineStr">
        <is>
          <t>NL</t>
        </is>
      </c>
      <c r="H2623">
        <f>IF(A2623&lt;=NWeeks,1,0)</f>
        <v/>
      </c>
      <c r="I2623">
        <f>INDEX(ChLaunch,MATCH(E2623,ChName,0))</f>
        <v/>
      </c>
      <c r="J2623">
        <f>INDEX(ChWeeksFull,MATCH(E2623,ChName,0))</f>
        <v/>
      </c>
      <c r="K2623">
        <f>INDEX(ChRamp,MATCH(E2623,ChName,0))</f>
        <v/>
      </c>
      <c r="L2623" s="45">
        <f>MIN(1,MAX(0,(A2623-I2623+1)*RampSpeed/J2623))</f>
        <v/>
      </c>
      <c r="M2623" s="45">
        <f>IF(A2623&lt;I2623,0,IF(K2623="S-curve",L2623*L2623*(3-2*L2623),L2623))</f>
        <v/>
      </c>
      <c r="N2623" s="45">
        <f>1+(INDEX(SeasonIdx,A2623)-1)*SeasonAmp</f>
        <v/>
      </c>
      <c r="O2623" s="45">
        <f>IFERROR(INDEX(PSPct,MATCH(E2623&amp;"|"&amp;G2623,PSKey,0)),0)</f>
        <v/>
      </c>
      <c r="P2623" s="46">
        <f>INDEX(ChDoorVel,MATCH(E2623,ChName,0))*CalibScalar*(1+VelocityUplift)</f>
        <v/>
      </c>
      <c r="Q2623" s="46" t="n">
        <v>0</v>
      </c>
      <c r="R2623" s="46">
        <f>P2623*O2623*M2623*N2623*H2623</f>
        <v/>
      </c>
      <c r="S2623" s="46">
        <f>R2623*INDEX(FmtCansPerCase,MATCH(F2623,FmtName,0))</f>
        <v/>
      </c>
      <c r="T2623" s="46">
        <f>S2623/INDEX(FmtCansPerPack,MATCH(F2623,FmtName,0))</f>
        <v/>
      </c>
      <c r="U2623" s="47">
        <f>INDEX(ChBaseCP,MATCH(E2623,ChName,0))*(1+INDEX(ProvMod,MATCH(G2623,ProvCode,0)))*(1+PriceIndex)</f>
        <v/>
      </c>
      <c r="V2623" s="47">
        <f>R2623*U2623*INDEX(FmtBlendedPriceIdx,MATCH(F2623,FmtName,0))</f>
        <v/>
      </c>
      <c r="W2623" s="47">
        <f>T2623*INDEX(ProvSRP,MATCH(G2623,ProvCode,0))*(1+PriceIndex)</f>
        <v/>
      </c>
      <c r="X2623" s="47">
        <f>IF(GrossBasis="Wholesale",V2623,W2623)</f>
        <v/>
      </c>
      <c r="Y2623" s="47">
        <f>R2623*INDEX(FmtBlendedCogs,MATCH(F2623,FmtName,0))</f>
        <v/>
      </c>
      <c r="Z2623" s="47">
        <f>X2623-Y2623</f>
        <v/>
      </c>
    </row>
    <row r="2624">
      <c r="A2624" t="n">
        <v>26</v>
      </c>
      <c r="B2624" s="44">
        <f>FiscalStart+(A2624-1)*7</f>
        <v/>
      </c>
      <c r="C2624">
        <f>TEXT(B2624,"mmm yyyy")</f>
        <v/>
      </c>
      <c r="D2624">
        <f>"Q"&amp;(INT((A2624-1)/13)+1)</f>
        <v/>
      </c>
      <c r="E2624" t="inlineStr">
        <is>
          <t>FDM</t>
        </is>
      </c>
      <c r="F2624">
        <f>IFERROR(INDEX(ChFormat,MATCH(E2624,ChName,0)),"")</f>
        <v/>
      </c>
      <c r="G2624" t="inlineStr">
        <is>
          <t>NL</t>
        </is>
      </c>
      <c r="H2624">
        <f>IF(A2624&lt;=NWeeks,1,0)</f>
        <v/>
      </c>
      <c r="I2624">
        <f>INDEX(ChLaunch,MATCH(E2624,ChName,0))</f>
        <v/>
      </c>
      <c r="J2624">
        <f>INDEX(ChWeeksFull,MATCH(E2624,ChName,0))</f>
        <v/>
      </c>
      <c r="K2624">
        <f>INDEX(ChRamp,MATCH(E2624,ChName,0))</f>
        <v/>
      </c>
      <c r="L2624" s="45">
        <f>MIN(1,MAX(0,(A2624-I2624+1)*RampSpeed/J2624))</f>
        <v/>
      </c>
      <c r="M2624" s="45">
        <f>IF(A2624&lt;I2624,0,IF(K2624="S-curve",L2624*L2624*(3-2*L2624),L2624))</f>
        <v/>
      </c>
      <c r="N2624" s="45">
        <f>1+(INDEX(SeasonIdx,A2624)-1)*SeasonAmp</f>
        <v/>
      </c>
      <c r="O2624" s="45">
        <f>IFERROR(INDEX(PSPct,MATCH(E2624&amp;"|"&amp;G2624,PSKey,0)),0)</f>
        <v/>
      </c>
      <c r="P2624" s="46">
        <f>INDEX(ChDoorVel,MATCH(E2624,ChName,0))*CalibScalar*(1+VelocityUplift)</f>
        <v/>
      </c>
      <c r="Q2624" s="46" t="n">
        <v>0</v>
      </c>
      <c r="R2624" s="46">
        <f>P2624*O2624*M2624*N2624*H2624</f>
        <v/>
      </c>
      <c r="S2624" s="46">
        <f>R2624*INDEX(FmtCansPerCase,MATCH(F2624,FmtName,0))</f>
        <v/>
      </c>
      <c r="T2624" s="46">
        <f>S2624/INDEX(FmtCansPerPack,MATCH(F2624,FmtName,0))</f>
        <v/>
      </c>
      <c r="U2624" s="47">
        <f>INDEX(ChBaseCP,MATCH(E2624,ChName,0))*(1+INDEX(ProvMod,MATCH(G2624,ProvCode,0)))*(1+PriceIndex)</f>
        <v/>
      </c>
      <c r="V2624" s="47">
        <f>R2624*U2624*INDEX(FmtBlendedPriceIdx,MATCH(F2624,FmtName,0))</f>
        <v/>
      </c>
      <c r="W2624" s="47">
        <f>T2624*INDEX(ProvSRP,MATCH(G2624,ProvCode,0))*(1+PriceIndex)</f>
        <v/>
      </c>
      <c r="X2624" s="47">
        <f>IF(GrossBasis="Wholesale",V2624,W2624)</f>
        <v/>
      </c>
      <c r="Y2624" s="47">
        <f>R2624*INDEX(FmtBlendedCogs,MATCH(F2624,FmtName,0))</f>
        <v/>
      </c>
      <c r="Z2624" s="47">
        <f>X2624-Y2624</f>
        <v/>
      </c>
    </row>
    <row r="2625">
      <c r="A2625" t="n">
        <v>27</v>
      </c>
      <c r="B2625" s="44">
        <f>FiscalStart+(A2625-1)*7</f>
        <v/>
      </c>
      <c r="C2625">
        <f>TEXT(B2625,"mmm yyyy")</f>
        <v/>
      </c>
      <c r="D2625">
        <f>"Q"&amp;(INT((A2625-1)/13)+1)</f>
        <v/>
      </c>
      <c r="E2625" t="inlineStr">
        <is>
          <t>FDM</t>
        </is>
      </c>
      <c r="F2625">
        <f>IFERROR(INDEX(ChFormat,MATCH(E2625,ChName,0)),"")</f>
        <v/>
      </c>
      <c r="G2625" t="inlineStr">
        <is>
          <t>NL</t>
        </is>
      </c>
      <c r="H2625">
        <f>IF(A2625&lt;=NWeeks,1,0)</f>
        <v/>
      </c>
      <c r="I2625">
        <f>INDEX(ChLaunch,MATCH(E2625,ChName,0))</f>
        <v/>
      </c>
      <c r="J2625">
        <f>INDEX(ChWeeksFull,MATCH(E2625,ChName,0))</f>
        <v/>
      </c>
      <c r="K2625">
        <f>INDEX(ChRamp,MATCH(E2625,ChName,0))</f>
        <v/>
      </c>
      <c r="L2625" s="45">
        <f>MIN(1,MAX(0,(A2625-I2625+1)*RampSpeed/J2625))</f>
        <v/>
      </c>
      <c r="M2625" s="45">
        <f>IF(A2625&lt;I2625,0,IF(K2625="S-curve",L2625*L2625*(3-2*L2625),L2625))</f>
        <v/>
      </c>
      <c r="N2625" s="45">
        <f>1+(INDEX(SeasonIdx,A2625)-1)*SeasonAmp</f>
        <v/>
      </c>
      <c r="O2625" s="45">
        <f>IFERROR(INDEX(PSPct,MATCH(E2625&amp;"|"&amp;G2625,PSKey,0)),0)</f>
        <v/>
      </c>
      <c r="P2625" s="46">
        <f>INDEX(ChDoorVel,MATCH(E2625,ChName,0))*CalibScalar*(1+VelocityUplift)</f>
        <v/>
      </c>
      <c r="Q2625" s="46" t="n">
        <v>0</v>
      </c>
      <c r="R2625" s="46">
        <f>P2625*O2625*M2625*N2625*H2625</f>
        <v/>
      </c>
      <c r="S2625" s="46">
        <f>R2625*INDEX(FmtCansPerCase,MATCH(F2625,FmtName,0))</f>
        <v/>
      </c>
      <c r="T2625" s="46">
        <f>S2625/INDEX(FmtCansPerPack,MATCH(F2625,FmtName,0))</f>
        <v/>
      </c>
      <c r="U2625" s="47">
        <f>INDEX(ChBaseCP,MATCH(E2625,ChName,0))*(1+INDEX(ProvMod,MATCH(G2625,ProvCode,0)))*(1+PriceIndex)</f>
        <v/>
      </c>
      <c r="V2625" s="47">
        <f>R2625*U2625*INDEX(FmtBlendedPriceIdx,MATCH(F2625,FmtName,0))</f>
        <v/>
      </c>
      <c r="W2625" s="47">
        <f>T2625*INDEX(ProvSRP,MATCH(G2625,ProvCode,0))*(1+PriceIndex)</f>
        <v/>
      </c>
      <c r="X2625" s="47">
        <f>IF(GrossBasis="Wholesale",V2625,W2625)</f>
        <v/>
      </c>
      <c r="Y2625" s="47">
        <f>R2625*INDEX(FmtBlendedCogs,MATCH(F2625,FmtName,0))</f>
        <v/>
      </c>
      <c r="Z2625" s="47">
        <f>X2625-Y2625</f>
        <v/>
      </c>
    </row>
    <row r="2626">
      <c r="A2626" t="n">
        <v>28</v>
      </c>
      <c r="B2626" s="44">
        <f>FiscalStart+(A2626-1)*7</f>
        <v/>
      </c>
      <c r="C2626">
        <f>TEXT(B2626,"mmm yyyy")</f>
        <v/>
      </c>
      <c r="D2626">
        <f>"Q"&amp;(INT((A2626-1)/13)+1)</f>
        <v/>
      </c>
      <c r="E2626" t="inlineStr">
        <is>
          <t>FDM</t>
        </is>
      </c>
      <c r="F2626">
        <f>IFERROR(INDEX(ChFormat,MATCH(E2626,ChName,0)),"")</f>
        <v/>
      </c>
      <c r="G2626" t="inlineStr">
        <is>
          <t>NL</t>
        </is>
      </c>
      <c r="H2626">
        <f>IF(A2626&lt;=NWeeks,1,0)</f>
        <v/>
      </c>
      <c r="I2626">
        <f>INDEX(ChLaunch,MATCH(E2626,ChName,0))</f>
        <v/>
      </c>
      <c r="J2626">
        <f>INDEX(ChWeeksFull,MATCH(E2626,ChName,0))</f>
        <v/>
      </c>
      <c r="K2626">
        <f>INDEX(ChRamp,MATCH(E2626,ChName,0))</f>
        <v/>
      </c>
      <c r="L2626" s="45">
        <f>MIN(1,MAX(0,(A2626-I2626+1)*RampSpeed/J2626))</f>
        <v/>
      </c>
      <c r="M2626" s="45">
        <f>IF(A2626&lt;I2626,0,IF(K2626="S-curve",L2626*L2626*(3-2*L2626),L2626))</f>
        <v/>
      </c>
      <c r="N2626" s="45">
        <f>1+(INDEX(SeasonIdx,A2626)-1)*SeasonAmp</f>
        <v/>
      </c>
      <c r="O2626" s="45">
        <f>IFERROR(INDEX(PSPct,MATCH(E2626&amp;"|"&amp;G2626,PSKey,0)),0)</f>
        <v/>
      </c>
      <c r="P2626" s="46">
        <f>INDEX(ChDoorVel,MATCH(E2626,ChName,0))*CalibScalar*(1+VelocityUplift)</f>
        <v/>
      </c>
      <c r="Q2626" s="46" t="n">
        <v>0</v>
      </c>
      <c r="R2626" s="46">
        <f>P2626*O2626*M2626*N2626*H2626</f>
        <v/>
      </c>
      <c r="S2626" s="46">
        <f>R2626*INDEX(FmtCansPerCase,MATCH(F2626,FmtName,0))</f>
        <v/>
      </c>
      <c r="T2626" s="46">
        <f>S2626/INDEX(FmtCansPerPack,MATCH(F2626,FmtName,0))</f>
        <v/>
      </c>
      <c r="U2626" s="47">
        <f>INDEX(ChBaseCP,MATCH(E2626,ChName,0))*(1+INDEX(ProvMod,MATCH(G2626,ProvCode,0)))*(1+PriceIndex)</f>
        <v/>
      </c>
      <c r="V2626" s="47">
        <f>R2626*U2626*INDEX(FmtBlendedPriceIdx,MATCH(F2626,FmtName,0))</f>
        <v/>
      </c>
      <c r="W2626" s="47">
        <f>T2626*INDEX(ProvSRP,MATCH(G2626,ProvCode,0))*(1+PriceIndex)</f>
        <v/>
      </c>
      <c r="X2626" s="47">
        <f>IF(GrossBasis="Wholesale",V2626,W2626)</f>
        <v/>
      </c>
      <c r="Y2626" s="47">
        <f>R2626*INDEX(FmtBlendedCogs,MATCH(F2626,FmtName,0))</f>
        <v/>
      </c>
      <c r="Z2626" s="47">
        <f>X2626-Y2626</f>
        <v/>
      </c>
    </row>
    <row r="2627">
      <c r="A2627" t="n">
        <v>29</v>
      </c>
      <c r="B2627" s="44">
        <f>FiscalStart+(A2627-1)*7</f>
        <v/>
      </c>
      <c r="C2627">
        <f>TEXT(B2627,"mmm yyyy")</f>
        <v/>
      </c>
      <c r="D2627">
        <f>"Q"&amp;(INT((A2627-1)/13)+1)</f>
        <v/>
      </c>
      <c r="E2627" t="inlineStr">
        <is>
          <t>FDM</t>
        </is>
      </c>
      <c r="F2627">
        <f>IFERROR(INDEX(ChFormat,MATCH(E2627,ChName,0)),"")</f>
        <v/>
      </c>
      <c r="G2627" t="inlineStr">
        <is>
          <t>NL</t>
        </is>
      </c>
      <c r="H2627">
        <f>IF(A2627&lt;=NWeeks,1,0)</f>
        <v/>
      </c>
      <c r="I2627">
        <f>INDEX(ChLaunch,MATCH(E2627,ChName,0))</f>
        <v/>
      </c>
      <c r="J2627">
        <f>INDEX(ChWeeksFull,MATCH(E2627,ChName,0))</f>
        <v/>
      </c>
      <c r="K2627">
        <f>INDEX(ChRamp,MATCH(E2627,ChName,0))</f>
        <v/>
      </c>
      <c r="L2627" s="45">
        <f>MIN(1,MAX(0,(A2627-I2627+1)*RampSpeed/J2627))</f>
        <v/>
      </c>
      <c r="M2627" s="45">
        <f>IF(A2627&lt;I2627,0,IF(K2627="S-curve",L2627*L2627*(3-2*L2627),L2627))</f>
        <v/>
      </c>
      <c r="N2627" s="45">
        <f>1+(INDEX(SeasonIdx,A2627)-1)*SeasonAmp</f>
        <v/>
      </c>
      <c r="O2627" s="45">
        <f>IFERROR(INDEX(PSPct,MATCH(E2627&amp;"|"&amp;G2627,PSKey,0)),0)</f>
        <v/>
      </c>
      <c r="P2627" s="46">
        <f>INDEX(ChDoorVel,MATCH(E2627,ChName,0))*CalibScalar*(1+VelocityUplift)</f>
        <v/>
      </c>
      <c r="Q2627" s="46" t="n">
        <v>0</v>
      </c>
      <c r="R2627" s="46">
        <f>P2627*O2627*M2627*N2627*H2627</f>
        <v/>
      </c>
      <c r="S2627" s="46">
        <f>R2627*INDEX(FmtCansPerCase,MATCH(F2627,FmtName,0))</f>
        <v/>
      </c>
      <c r="T2627" s="46">
        <f>S2627/INDEX(FmtCansPerPack,MATCH(F2627,FmtName,0))</f>
        <v/>
      </c>
      <c r="U2627" s="47">
        <f>INDEX(ChBaseCP,MATCH(E2627,ChName,0))*(1+INDEX(ProvMod,MATCH(G2627,ProvCode,0)))*(1+PriceIndex)</f>
        <v/>
      </c>
      <c r="V2627" s="47">
        <f>R2627*U2627*INDEX(FmtBlendedPriceIdx,MATCH(F2627,FmtName,0))</f>
        <v/>
      </c>
      <c r="W2627" s="47">
        <f>T2627*INDEX(ProvSRP,MATCH(G2627,ProvCode,0))*(1+PriceIndex)</f>
        <v/>
      </c>
      <c r="X2627" s="47">
        <f>IF(GrossBasis="Wholesale",V2627,W2627)</f>
        <v/>
      </c>
      <c r="Y2627" s="47">
        <f>R2627*INDEX(FmtBlendedCogs,MATCH(F2627,FmtName,0))</f>
        <v/>
      </c>
      <c r="Z2627" s="47">
        <f>X2627-Y2627</f>
        <v/>
      </c>
    </row>
    <row r="2628">
      <c r="A2628" t="n">
        <v>30</v>
      </c>
      <c r="B2628" s="44">
        <f>FiscalStart+(A2628-1)*7</f>
        <v/>
      </c>
      <c r="C2628">
        <f>TEXT(B2628,"mmm yyyy")</f>
        <v/>
      </c>
      <c r="D2628">
        <f>"Q"&amp;(INT((A2628-1)/13)+1)</f>
        <v/>
      </c>
      <c r="E2628" t="inlineStr">
        <is>
          <t>FDM</t>
        </is>
      </c>
      <c r="F2628">
        <f>IFERROR(INDEX(ChFormat,MATCH(E2628,ChName,0)),"")</f>
        <v/>
      </c>
      <c r="G2628" t="inlineStr">
        <is>
          <t>NL</t>
        </is>
      </c>
      <c r="H2628">
        <f>IF(A2628&lt;=NWeeks,1,0)</f>
        <v/>
      </c>
      <c r="I2628">
        <f>INDEX(ChLaunch,MATCH(E2628,ChName,0))</f>
        <v/>
      </c>
      <c r="J2628">
        <f>INDEX(ChWeeksFull,MATCH(E2628,ChName,0))</f>
        <v/>
      </c>
      <c r="K2628">
        <f>INDEX(ChRamp,MATCH(E2628,ChName,0))</f>
        <v/>
      </c>
      <c r="L2628" s="45">
        <f>MIN(1,MAX(0,(A2628-I2628+1)*RampSpeed/J2628))</f>
        <v/>
      </c>
      <c r="M2628" s="45">
        <f>IF(A2628&lt;I2628,0,IF(K2628="S-curve",L2628*L2628*(3-2*L2628),L2628))</f>
        <v/>
      </c>
      <c r="N2628" s="45">
        <f>1+(INDEX(SeasonIdx,A2628)-1)*SeasonAmp</f>
        <v/>
      </c>
      <c r="O2628" s="45">
        <f>IFERROR(INDEX(PSPct,MATCH(E2628&amp;"|"&amp;G2628,PSKey,0)),0)</f>
        <v/>
      </c>
      <c r="P2628" s="46">
        <f>INDEX(ChDoorVel,MATCH(E2628,ChName,0))*CalibScalar*(1+VelocityUplift)</f>
        <v/>
      </c>
      <c r="Q2628" s="46" t="n">
        <v>0</v>
      </c>
      <c r="R2628" s="46">
        <f>P2628*O2628*M2628*N2628*H2628</f>
        <v/>
      </c>
      <c r="S2628" s="46">
        <f>R2628*INDEX(FmtCansPerCase,MATCH(F2628,FmtName,0))</f>
        <v/>
      </c>
      <c r="T2628" s="46">
        <f>S2628/INDEX(FmtCansPerPack,MATCH(F2628,FmtName,0))</f>
        <v/>
      </c>
      <c r="U2628" s="47">
        <f>INDEX(ChBaseCP,MATCH(E2628,ChName,0))*(1+INDEX(ProvMod,MATCH(G2628,ProvCode,0)))*(1+PriceIndex)</f>
        <v/>
      </c>
      <c r="V2628" s="47">
        <f>R2628*U2628*INDEX(FmtBlendedPriceIdx,MATCH(F2628,FmtName,0))</f>
        <v/>
      </c>
      <c r="W2628" s="47">
        <f>T2628*INDEX(ProvSRP,MATCH(G2628,ProvCode,0))*(1+PriceIndex)</f>
        <v/>
      </c>
      <c r="X2628" s="47">
        <f>IF(GrossBasis="Wholesale",V2628,W2628)</f>
        <v/>
      </c>
      <c r="Y2628" s="47">
        <f>R2628*INDEX(FmtBlendedCogs,MATCH(F2628,FmtName,0))</f>
        <v/>
      </c>
      <c r="Z2628" s="47">
        <f>X2628-Y2628</f>
        <v/>
      </c>
    </row>
    <row r="2629">
      <c r="A2629" t="n">
        <v>31</v>
      </c>
      <c r="B2629" s="44">
        <f>FiscalStart+(A2629-1)*7</f>
        <v/>
      </c>
      <c r="C2629">
        <f>TEXT(B2629,"mmm yyyy")</f>
        <v/>
      </c>
      <c r="D2629">
        <f>"Q"&amp;(INT((A2629-1)/13)+1)</f>
        <v/>
      </c>
      <c r="E2629" t="inlineStr">
        <is>
          <t>FDM</t>
        </is>
      </c>
      <c r="F2629">
        <f>IFERROR(INDEX(ChFormat,MATCH(E2629,ChName,0)),"")</f>
        <v/>
      </c>
      <c r="G2629" t="inlineStr">
        <is>
          <t>NL</t>
        </is>
      </c>
      <c r="H2629">
        <f>IF(A2629&lt;=NWeeks,1,0)</f>
        <v/>
      </c>
      <c r="I2629">
        <f>INDEX(ChLaunch,MATCH(E2629,ChName,0))</f>
        <v/>
      </c>
      <c r="J2629">
        <f>INDEX(ChWeeksFull,MATCH(E2629,ChName,0))</f>
        <v/>
      </c>
      <c r="K2629">
        <f>INDEX(ChRamp,MATCH(E2629,ChName,0))</f>
        <v/>
      </c>
      <c r="L2629" s="45">
        <f>MIN(1,MAX(0,(A2629-I2629+1)*RampSpeed/J2629))</f>
        <v/>
      </c>
      <c r="M2629" s="45">
        <f>IF(A2629&lt;I2629,0,IF(K2629="S-curve",L2629*L2629*(3-2*L2629),L2629))</f>
        <v/>
      </c>
      <c r="N2629" s="45">
        <f>1+(INDEX(SeasonIdx,A2629)-1)*SeasonAmp</f>
        <v/>
      </c>
      <c r="O2629" s="45">
        <f>IFERROR(INDEX(PSPct,MATCH(E2629&amp;"|"&amp;G2629,PSKey,0)),0)</f>
        <v/>
      </c>
      <c r="P2629" s="46">
        <f>INDEX(ChDoorVel,MATCH(E2629,ChName,0))*CalibScalar*(1+VelocityUplift)</f>
        <v/>
      </c>
      <c r="Q2629" s="46" t="n">
        <v>0</v>
      </c>
      <c r="R2629" s="46">
        <f>P2629*O2629*M2629*N2629*H2629</f>
        <v/>
      </c>
      <c r="S2629" s="46">
        <f>R2629*INDEX(FmtCansPerCase,MATCH(F2629,FmtName,0))</f>
        <v/>
      </c>
      <c r="T2629" s="46">
        <f>S2629/INDEX(FmtCansPerPack,MATCH(F2629,FmtName,0))</f>
        <v/>
      </c>
      <c r="U2629" s="47">
        <f>INDEX(ChBaseCP,MATCH(E2629,ChName,0))*(1+INDEX(ProvMod,MATCH(G2629,ProvCode,0)))*(1+PriceIndex)</f>
        <v/>
      </c>
      <c r="V2629" s="47">
        <f>R2629*U2629*INDEX(FmtBlendedPriceIdx,MATCH(F2629,FmtName,0))</f>
        <v/>
      </c>
      <c r="W2629" s="47">
        <f>T2629*INDEX(ProvSRP,MATCH(G2629,ProvCode,0))*(1+PriceIndex)</f>
        <v/>
      </c>
      <c r="X2629" s="47">
        <f>IF(GrossBasis="Wholesale",V2629,W2629)</f>
        <v/>
      </c>
      <c r="Y2629" s="47">
        <f>R2629*INDEX(FmtBlendedCogs,MATCH(F2629,FmtName,0))</f>
        <v/>
      </c>
      <c r="Z2629" s="47">
        <f>X2629-Y2629</f>
        <v/>
      </c>
    </row>
    <row r="2630">
      <c r="A2630" t="n">
        <v>32</v>
      </c>
      <c r="B2630" s="44">
        <f>FiscalStart+(A2630-1)*7</f>
        <v/>
      </c>
      <c r="C2630">
        <f>TEXT(B2630,"mmm yyyy")</f>
        <v/>
      </c>
      <c r="D2630">
        <f>"Q"&amp;(INT((A2630-1)/13)+1)</f>
        <v/>
      </c>
      <c r="E2630" t="inlineStr">
        <is>
          <t>FDM</t>
        </is>
      </c>
      <c r="F2630">
        <f>IFERROR(INDEX(ChFormat,MATCH(E2630,ChName,0)),"")</f>
        <v/>
      </c>
      <c r="G2630" t="inlineStr">
        <is>
          <t>NL</t>
        </is>
      </c>
      <c r="H2630">
        <f>IF(A2630&lt;=NWeeks,1,0)</f>
        <v/>
      </c>
      <c r="I2630">
        <f>INDEX(ChLaunch,MATCH(E2630,ChName,0))</f>
        <v/>
      </c>
      <c r="J2630">
        <f>INDEX(ChWeeksFull,MATCH(E2630,ChName,0))</f>
        <v/>
      </c>
      <c r="K2630">
        <f>INDEX(ChRamp,MATCH(E2630,ChName,0))</f>
        <v/>
      </c>
      <c r="L2630" s="45">
        <f>MIN(1,MAX(0,(A2630-I2630+1)*RampSpeed/J2630))</f>
        <v/>
      </c>
      <c r="M2630" s="45">
        <f>IF(A2630&lt;I2630,0,IF(K2630="S-curve",L2630*L2630*(3-2*L2630),L2630))</f>
        <v/>
      </c>
      <c r="N2630" s="45">
        <f>1+(INDEX(SeasonIdx,A2630)-1)*SeasonAmp</f>
        <v/>
      </c>
      <c r="O2630" s="45">
        <f>IFERROR(INDEX(PSPct,MATCH(E2630&amp;"|"&amp;G2630,PSKey,0)),0)</f>
        <v/>
      </c>
      <c r="P2630" s="46">
        <f>INDEX(ChDoorVel,MATCH(E2630,ChName,0))*CalibScalar*(1+VelocityUplift)</f>
        <v/>
      </c>
      <c r="Q2630" s="46" t="n">
        <v>0</v>
      </c>
      <c r="R2630" s="46">
        <f>P2630*O2630*M2630*N2630*H2630</f>
        <v/>
      </c>
      <c r="S2630" s="46">
        <f>R2630*INDEX(FmtCansPerCase,MATCH(F2630,FmtName,0))</f>
        <v/>
      </c>
      <c r="T2630" s="46">
        <f>S2630/INDEX(FmtCansPerPack,MATCH(F2630,FmtName,0))</f>
        <v/>
      </c>
      <c r="U2630" s="47">
        <f>INDEX(ChBaseCP,MATCH(E2630,ChName,0))*(1+INDEX(ProvMod,MATCH(G2630,ProvCode,0)))*(1+PriceIndex)</f>
        <v/>
      </c>
      <c r="V2630" s="47">
        <f>R2630*U2630*INDEX(FmtBlendedPriceIdx,MATCH(F2630,FmtName,0))</f>
        <v/>
      </c>
      <c r="W2630" s="47">
        <f>T2630*INDEX(ProvSRP,MATCH(G2630,ProvCode,0))*(1+PriceIndex)</f>
        <v/>
      </c>
      <c r="X2630" s="47">
        <f>IF(GrossBasis="Wholesale",V2630,W2630)</f>
        <v/>
      </c>
      <c r="Y2630" s="47">
        <f>R2630*INDEX(FmtBlendedCogs,MATCH(F2630,FmtName,0))</f>
        <v/>
      </c>
      <c r="Z2630" s="47">
        <f>X2630-Y2630</f>
        <v/>
      </c>
    </row>
    <row r="2631">
      <c r="A2631" t="n">
        <v>33</v>
      </c>
      <c r="B2631" s="44">
        <f>FiscalStart+(A2631-1)*7</f>
        <v/>
      </c>
      <c r="C2631">
        <f>TEXT(B2631,"mmm yyyy")</f>
        <v/>
      </c>
      <c r="D2631">
        <f>"Q"&amp;(INT((A2631-1)/13)+1)</f>
        <v/>
      </c>
      <c r="E2631" t="inlineStr">
        <is>
          <t>FDM</t>
        </is>
      </c>
      <c r="F2631">
        <f>IFERROR(INDEX(ChFormat,MATCH(E2631,ChName,0)),"")</f>
        <v/>
      </c>
      <c r="G2631" t="inlineStr">
        <is>
          <t>NL</t>
        </is>
      </c>
      <c r="H2631">
        <f>IF(A2631&lt;=NWeeks,1,0)</f>
        <v/>
      </c>
      <c r="I2631">
        <f>INDEX(ChLaunch,MATCH(E2631,ChName,0))</f>
        <v/>
      </c>
      <c r="J2631">
        <f>INDEX(ChWeeksFull,MATCH(E2631,ChName,0))</f>
        <v/>
      </c>
      <c r="K2631">
        <f>INDEX(ChRamp,MATCH(E2631,ChName,0))</f>
        <v/>
      </c>
      <c r="L2631" s="45">
        <f>MIN(1,MAX(0,(A2631-I2631+1)*RampSpeed/J2631))</f>
        <v/>
      </c>
      <c r="M2631" s="45">
        <f>IF(A2631&lt;I2631,0,IF(K2631="S-curve",L2631*L2631*(3-2*L2631),L2631))</f>
        <v/>
      </c>
      <c r="N2631" s="45">
        <f>1+(INDEX(SeasonIdx,A2631)-1)*SeasonAmp</f>
        <v/>
      </c>
      <c r="O2631" s="45">
        <f>IFERROR(INDEX(PSPct,MATCH(E2631&amp;"|"&amp;G2631,PSKey,0)),0)</f>
        <v/>
      </c>
      <c r="P2631" s="46">
        <f>INDEX(ChDoorVel,MATCH(E2631,ChName,0))*CalibScalar*(1+VelocityUplift)</f>
        <v/>
      </c>
      <c r="Q2631" s="46" t="n">
        <v>0</v>
      </c>
      <c r="R2631" s="46">
        <f>P2631*O2631*M2631*N2631*H2631</f>
        <v/>
      </c>
      <c r="S2631" s="46">
        <f>R2631*INDEX(FmtCansPerCase,MATCH(F2631,FmtName,0))</f>
        <v/>
      </c>
      <c r="T2631" s="46">
        <f>S2631/INDEX(FmtCansPerPack,MATCH(F2631,FmtName,0))</f>
        <v/>
      </c>
      <c r="U2631" s="47">
        <f>INDEX(ChBaseCP,MATCH(E2631,ChName,0))*(1+INDEX(ProvMod,MATCH(G2631,ProvCode,0)))*(1+PriceIndex)</f>
        <v/>
      </c>
      <c r="V2631" s="47">
        <f>R2631*U2631*INDEX(FmtBlendedPriceIdx,MATCH(F2631,FmtName,0))</f>
        <v/>
      </c>
      <c r="W2631" s="47">
        <f>T2631*INDEX(ProvSRP,MATCH(G2631,ProvCode,0))*(1+PriceIndex)</f>
        <v/>
      </c>
      <c r="X2631" s="47">
        <f>IF(GrossBasis="Wholesale",V2631,W2631)</f>
        <v/>
      </c>
      <c r="Y2631" s="47">
        <f>R2631*INDEX(FmtBlendedCogs,MATCH(F2631,FmtName,0))</f>
        <v/>
      </c>
      <c r="Z2631" s="47">
        <f>X2631-Y2631</f>
        <v/>
      </c>
    </row>
    <row r="2632">
      <c r="A2632" t="n">
        <v>34</v>
      </c>
      <c r="B2632" s="44">
        <f>FiscalStart+(A2632-1)*7</f>
        <v/>
      </c>
      <c r="C2632">
        <f>TEXT(B2632,"mmm yyyy")</f>
        <v/>
      </c>
      <c r="D2632">
        <f>"Q"&amp;(INT((A2632-1)/13)+1)</f>
        <v/>
      </c>
      <c r="E2632" t="inlineStr">
        <is>
          <t>FDM</t>
        </is>
      </c>
      <c r="F2632">
        <f>IFERROR(INDEX(ChFormat,MATCH(E2632,ChName,0)),"")</f>
        <v/>
      </c>
      <c r="G2632" t="inlineStr">
        <is>
          <t>NL</t>
        </is>
      </c>
      <c r="H2632">
        <f>IF(A2632&lt;=NWeeks,1,0)</f>
        <v/>
      </c>
      <c r="I2632">
        <f>INDEX(ChLaunch,MATCH(E2632,ChName,0))</f>
        <v/>
      </c>
      <c r="J2632">
        <f>INDEX(ChWeeksFull,MATCH(E2632,ChName,0))</f>
        <v/>
      </c>
      <c r="K2632">
        <f>INDEX(ChRamp,MATCH(E2632,ChName,0))</f>
        <v/>
      </c>
      <c r="L2632" s="45">
        <f>MIN(1,MAX(0,(A2632-I2632+1)*RampSpeed/J2632))</f>
        <v/>
      </c>
      <c r="M2632" s="45">
        <f>IF(A2632&lt;I2632,0,IF(K2632="S-curve",L2632*L2632*(3-2*L2632),L2632))</f>
        <v/>
      </c>
      <c r="N2632" s="45">
        <f>1+(INDEX(SeasonIdx,A2632)-1)*SeasonAmp</f>
        <v/>
      </c>
      <c r="O2632" s="45">
        <f>IFERROR(INDEX(PSPct,MATCH(E2632&amp;"|"&amp;G2632,PSKey,0)),0)</f>
        <v/>
      </c>
      <c r="P2632" s="46">
        <f>INDEX(ChDoorVel,MATCH(E2632,ChName,0))*CalibScalar*(1+VelocityUplift)</f>
        <v/>
      </c>
      <c r="Q2632" s="46" t="n">
        <v>0</v>
      </c>
      <c r="R2632" s="46">
        <f>P2632*O2632*M2632*N2632*H2632</f>
        <v/>
      </c>
      <c r="S2632" s="46">
        <f>R2632*INDEX(FmtCansPerCase,MATCH(F2632,FmtName,0))</f>
        <v/>
      </c>
      <c r="T2632" s="46">
        <f>S2632/INDEX(FmtCansPerPack,MATCH(F2632,FmtName,0))</f>
        <v/>
      </c>
      <c r="U2632" s="47">
        <f>INDEX(ChBaseCP,MATCH(E2632,ChName,0))*(1+INDEX(ProvMod,MATCH(G2632,ProvCode,0)))*(1+PriceIndex)</f>
        <v/>
      </c>
      <c r="V2632" s="47">
        <f>R2632*U2632*INDEX(FmtBlendedPriceIdx,MATCH(F2632,FmtName,0))</f>
        <v/>
      </c>
      <c r="W2632" s="47">
        <f>T2632*INDEX(ProvSRP,MATCH(G2632,ProvCode,0))*(1+PriceIndex)</f>
        <v/>
      </c>
      <c r="X2632" s="47">
        <f>IF(GrossBasis="Wholesale",V2632,W2632)</f>
        <v/>
      </c>
      <c r="Y2632" s="47">
        <f>R2632*INDEX(FmtBlendedCogs,MATCH(F2632,FmtName,0))</f>
        <v/>
      </c>
      <c r="Z2632" s="47">
        <f>X2632-Y2632</f>
        <v/>
      </c>
    </row>
    <row r="2633">
      <c r="A2633" t="n">
        <v>35</v>
      </c>
      <c r="B2633" s="44">
        <f>FiscalStart+(A2633-1)*7</f>
        <v/>
      </c>
      <c r="C2633">
        <f>TEXT(B2633,"mmm yyyy")</f>
        <v/>
      </c>
      <c r="D2633">
        <f>"Q"&amp;(INT((A2633-1)/13)+1)</f>
        <v/>
      </c>
      <c r="E2633" t="inlineStr">
        <is>
          <t>FDM</t>
        </is>
      </c>
      <c r="F2633">
        <f>IFERROR(INDEX(ChFormat,MATCH(E2633,ChName,0)),"")</f>
        <v/>
      </c>
      <c r="G2633" t="inlineStr">
        <is>
          <t>NL</t>
        </is>
      </c>
      <c r="H2633">
        <f>IF(A2633&lt;=NWeeks,1,0)</f>
        <v/>
      </c>
      <c r="I2633">
        <f>INDEX(ChLaunch,MATCH(E2633,ChName,0))</f>
        <v/>
      </c>
      <c r="J2633">
        <f>INDEX(ChWeeksFull,MATCH(E2633,ChName,0))</f>
        <v/>
      </c>
      <c r="K2633">
        <f>INDEX(ChRamp,MATCH(E2633,ChName,0))</f>
        <v/>
      </c>
      <c r="L2633" s="45">
        <f>MIN(1,MAX(0,(A2633-I2633+1)*RampSpeed/J2633))</f>
        <v/>
      </c>
      <c r="M2633" s="45">
        <f>IF(A2633&lt;I2633,0,IF(K2633="S-curve",L2633*L2633*(3-2*L2633),L2633))</f>
        <v/>
      </c>
      <c r="N2633" s="45">
        <f>1+(INDEX(SeasonIdx,A2633)-1)*SeasonAmp</f>
        <v/>
      </c>
      <c r="O2633" s="45">
        <f>IFERROR(INDEX(PSPct,MATCH(E2633&amp;"|"&amp;G2633,PSKey,0)),0)</f>
        <v/>
      </c>
      <c r="P2633" s="46">
        <f>INDEX(ChDoorVel,MATCH(E2633,ChName,0))*CalibScalar*(1+VelocityUplift)</f>
        <v/>
      </c>
      <c r="Q2633" s="46" t="n">
        <v>0</v>
      </c>
      <c r="R2633" s="46">
        <f>P2633*O2633*M2633*N2633*H2633</f>
        <v/>
      </c>
      <c r="S2633" s="46">
        <f>R2633*INDEX(FmtCansPerCase,MATCH(F2633,FmtName,0))</f>
        <v/>
      </c>
      <c r="T2633" s="46">
        <f>S2633/INDEX(FmtCansPerPack,MATCH(F2633,FmtName,0))</f>
        <v/>
      </c>
      <c r="U2633" s="47">
        <f>INDEX(ChBaseCP,MATCH(E2633,ChName,0))*(1+INDEX(ProvMod,MATCH(G2633,ProvCode,0)))*(1+PriceIndex)</f>
        <v/>
      </c>
      <c r="V2633" s="47">
        <f>R2633*U2633*INDEX(FmtBlendedPriceIdx,MATCH(F2633,FmtName,0))</f>
        <v/>
      </c>
      <c r="W2633" s="47">
        <f>T2633*INDEX(ProvSRP,MATCH(G2633,ProvCode,0))*(1+PriceIndex)</f>
        <v/>
      </c>
      <c r="X2633" s="47">
        <f>IF(GrossBasis="Wholesale",V2633,W2633)</f>
        <v/>
      </c>
      <c r="Y2633" s="47">
        <f>R2633*INDEX(FmtBlendedCogs,MATCH(F2633,FmtName,0))</f>
        <v/>
      </c>
      <c r="Z2633" s="47">
        <f>X2633-Y2633</f>
        <v/>
      </c>
    </row>
    <row r="2634">
      <c r="A2634" t="n">
        <v>36</v>
      </c>
      <c r="B2634" s="44">
        <f>FiscalStart+(A2634-1)*7</f>
        <v/>
      </c>
      <c r="C2634">
        <f>TEXT(B2634,"mmm yyyy")</f>
        <v/>
      </c>
      <c r="D2634">
        <f>"Q"&amp;(INT((A2634-1)/13)+1)</f>
        <v/>
      </c>
      <c r="E2634" t="inlineStr">
        <is>
          <t>FDM</t>
        </is>
      </c>
      <c r="F2634">
        <f>IFERROR(INDEX(ChFormat,MATCH(E2634,ChName,0)),"")</f>
        <v/>
      </c>
      <c r="G2634" t="inlineStr">
        <is>
          <t>NL</t>
        </is>
      </c>
      <c r="H2634">
        <f>IF(A2634&lt;=NWeeks,1,0)</f>
        <v/>
      </c>
      <c r="I2634">
        <f>INDEX(ChLaunch,MATCH(E2634,ChName,0))</f>
        <v/>
      </c>
      <c r="J2634">
        <f>INDEX(ChWeeksFull,MATCH(E2634,ChName,0))</f>
        <v/>
      </c>
      <c r="K2634">
        <f>INDEX(ChRamp,MATCH(E2634,ChName,0))</f>
        <v/>
      </c>
      <c r="L2634" s="45">
        <f>MIN(1,MAX(0,(A2634-I2634+1)*RampSpeed/J2634))</f>
        <v/>
      </c>
      <c r="M2634" s="45">
        <f>IF(A2634&lt;I2634,0,IF(K2634="S-curve",L2634*L2634*(3-2*L2634),L2634))</f>
        <v/>
      </c>
      <c r="N2634" s="45">
        <f>1+(INDEX(SeasonIdx,A2634)-1)*SeasonAmp</f>
        <v/>
      </c>
      <c r="O2634" s="45">
        <f>IFERROR(INDEX(PSPct,MATCH(E2634&amp;"|"&amp;G2634,PSKey,0)),0)</f>
        <v/>
      </c>
      <c r="P2634" s="46">
        <f>INDEX(ChDoorVel,MATCH(E2634,ChName,0))*CalibScalar*(1+VelocityUplift)</f>
        <v/>
      </c>
      <c r="Q2634" s="46" t="n">
        <v>0</v>
      </c>
      <c r="R2634" s="46">
        <f>P2634*O2634*M2634*N2634*H2634</f>
        <v/>
      </c>
      <c r="S2634" s="46">
        <f>R2634*INDEX(FmtCansPerCase,MATCH(F2634,FmtName,0))</f>
        <v/>
      </c>
      <c r="T2634" s="46">
        <f>S2634/INDEX(FmtCansPerPack,MATCH(F2634,FmtName,0))</f>
        <v/>
      </c>
      <c r="U2634" s="47">
        <f>INDEX(ChBaseCP,MATCH(E2634,ChName,0))*(1+INDEX(ProvMod,MATCH(G2634,ProvCode,0)))*(1+PriceIndex)</f>
        <v/>
      </c>
      <c r="V2634" s="47">
        <f>R2634*U2634*INDEX(FmtBlendedPriceIdx,MATCH(F2634,FmtName,0))</f>
        <v/>
      </c>
      <c r="W2634" s="47">
        <f>T2634*INDEX(ProvSRP,MATCH(G2634,ProvCode,0))*(1+PriceIndex)</f>
        <v/>
      </c>
      <c r="X2634" s="47">
        <f>IF(GrossBasis="Wholesale",V2634,W2634)</f>
        <v/>
      </c>
      <c r="Y2634" s="47">
        <f>R2634*INDEX(FmtBlendedCogs,MATCH(F2634,FmtName,0))</f>
        <v/>
      </c>
      <c r="Z2634" s="47">
        <f>X2634-Y2634</f>
        <v/>
      </c>
    </row>
    <row r="2635">
      <c r="A2635" t="n">
        <v>37</v>
      </c>
      <c r="B2635" s="44">
        <f>FiscalStart+(A2635-1)*7</f>
        <v/>
      </c>
      <c r="C2635">
        <f>TEXT(B2635,"mmm yyyy")</f>
        <v/>
      </c>
      <c r="D2635">
        <f>"Q"&amp;(INT((A2635-1)/13)+1)</f>
        <v/>
      </c>
      <c r="E2635" t="inlineStr">
        <is>
          <t>FDM</t>
        </is>
      </c>
      <c r="F2635">
        <f>IFERROR(INDEX(ChFormat,MATCH(E2635,ChName,0)),"")</f>
        <v/>
      </c>
      <c r="G2635" t="inlineStr">
        <is>
          <t>NL</t>
        </is>
      </c>
      <c r="H2635">
        <f>IF(A2635&lt;=NWeeks,1,0)</f>
        <v/>
      </c>
      <c r="I2635">
        <f>INDEX(ChLaunch,MATCH(E2635,ChName,0))</f>
        <v/>
      </c>
      <c r="J2635">
        <f>INDEX(ChWeeksFull,MATCH(E2635,ChName,0))</f>
        <v/>
      </c>
      <c r="K2635">
        <f>INDEX(ChRamp,MATCH(E2635,ChName,0))</f>
        <v/>
      </c>
      <c r="L2635" s="45">
        <f>MIN(1,MAX(0,(A2635-I2635+1)*RampSpeed/J2635))</f>
        <v/>
      </c>
      <c r="M2635" s="45">
        <f>IF(A2635&lt;I2635,0,IF(K2635="S-curve",L2635*L2635*(3-2*L2635),L2635))</f>
        <v/>
      </c>
      <c r="N2635" s="45">
        <f>1+(INDEX(SeasonIdx,A2635)-1)*SeasonAmp</f>
        <v/>
      </c>
      <c r="O2635" s="45">
        <f>IFERROR(INDEX(PSPct,MATCH(E2635&amp;"|"&amp;G2635,PSKey,0)),0)</f>
        <v/>
      </c>
      <c r="P2635" s="46">
        <f>INDEX(ChDoorVel,MATCH(E2635,ChName,0))*CalibScalar*(1+VelocityUplift)</f>
        <v/>
      </c>
      <c r="Q2635" s="46" t="n">
        <v>0</v>
      </c>
      <c r="R2635" s="46">
        <f>P2635*O2635*M2635*N2635*H2635</f>
        <v/>
      </c>
      <c r="S2635" s="46">
        <f>R2635*INDEX(FmtCansPerCase,MATCH(F2635,FmtName,0))</f>
        <v/>
      </c>
      <c r="T2635" s="46">
        <f>S2635/INDEX(FmtCansPerPack,MATCH(F2635,FmtName,0))</f>
        <v/>
      </c>
      <c r="U2635" s="47">
        <f>INDEX(ChBaseCP,MATCH(E2635,ChName,0))*(1+INDEX(ProvMod,MATCH(G2635,ProvCode,0)))*(1+PriceIndex)</f>
        <v/>
      </c>
      <c r="V2635" s="47">
        <f>R2635*U2635*INDEX(FmtBlendedPriceIdx,MATCH(F2635,FmtName,0))</f>
        <v/>
      </c>
      <c r="W2635" s="47">
        <f>T2635*INDEX(ProvSRP,MATCH(G2635,ProvCode,0))*(1+PriceIndex)</f>
        <v/>
      </c>
      <c r="X2635" s="47">
        <f>IF(GrossBasis="Wholesale",V2635,W2635)</f>
        <v/>
      </c>
      <c r="Y2635" s="47">
        <f>R2635*INDEX(FmtBlendedCogs,MATCH(F2635,FmtName,0))</f>
        <v/>
      </c>
      <c r="Z2635" s="47">
        <f>X2635-Y2635</f>
        <v/>
      </c>
    </row>
    <row r="2636">
      <c r="A2636" t="n">
        <v>38</v>
      </c>
      <c r="B2636" s="44">
        <f>FiscalStart+(A2636-1)*7</f>
        <v/>
      </c>
      <c r="C2636">
        <f>TEXT(B2636,"mmm yyyy")</f>
        <v/>
      </c>
      <c r="D2636">
        <f>"Q"&amp;(INT((A2636-1)/13)+1)</f>
        <v/>
      </c>
      <c r="E2636" t="inlineStr">
        <is>
          <t>FDM</t>
        </is>
      </c>
      <c r="F2636">
        <f>IFERROR(INDEX(ChFormat,MATCH(E2636,ChName,0)),"")</f>
        <v/>
      </c>
      <c r="G2636" t="inlineStr">
        <is>
          <t>NL</t>
        </is>
      </c>
      <c r="H2636">
        <f>IF(A2636&lt;=NWeeks,1,0)</f>
        <v/>
      </c>
      <c r="I2636">
        <f>INDEX(ChLaunch,MATCH(E2636,ChName,0))</f>
        <v/>
      </c>
      <c r="J2636">
        <f>INDEX(ChWeeksFull,MATCH(E2636,ChName,0))</f>
        <v/>
      </c>
      <c r="K2636">
        <f>INDEX(ChRamp,MATCH(E2636,ChName,0))</f>
        <v/>
      </c>
      <c r="L2636" s="45">
        <f>MIN(1,MAX(0,(A2636-I2636+1)*RampSpeed/J2636))</f>
        <v/>
      </c>
      <c r="M2636" s="45">
        <f>IF(A2636&lt;I2636,0,IF(K2636="S-curve",L2636*L2636*(3-2*L2636),L2636))</f>
        <v/>
      </c>
      <c r="N2636" s="45">
        <f>1+(INDEX(SeasonIdx,A2636)-1)*SeasonAmp</f>
        <v/>
      </c>
      <c r="O2636" s="45">
        <f>IFERROR(INDEX(PSPct,MATCH(E2636&amp;"|"&amp;G2636,PSKey,0)),0)</f>
        <v/>
      </c>
      <c r="P2636" s="46">
        <f>INDEX(ChDoorVel,MATCH(E2636,ChName,0))*CalibScalar*(1+VelocityUplift)</f>
        <v/>
      </c>
      <c r="Q2636" s="46" t="n">
        <v>0</v>
      </c>
      <c r="R2636" s="46">
        <f>P2636*O2636*M2636*N2636*H2636</f>
        <v/>
      </c>
      <c r="S2636" s="46">
        <f>R2636*INDEX(FmtCansPerCase,MATCH(F2636,FmtName,0))</f>
        <v/>
      </c>
      <c r="T2636" s="46">
        <f>S2636/INDEX(FmtCansPerPack,MATCH(F2636,FmtName,0))</f>
        <v/>
      </c>
      <c r="U2636" s="47">
        <f>INDEX(ChBaseCP,MATCH(E2636,ChName,0))*(1+INDEX(ProvMod,MATCH(G2636,ProvCode,0)))*(1+PriceIndex)</f>
        <v/>
      </c>
      <c r="V2636" s="47">
        <f>R2636*U2636*INDEX(FmtBlendedPriceIdx,MATCH(F2636,FmtName,0))</f>
        <v/>
      </c>
      <c r="W2636" s="47">
        <f>T2636*INDEX(ProvSRP,MATCH(G2636,ProvCode,0))*(1+PriceIndex)</f>
        <v/>
      </c>
      <c r="X2636" s="47">
        <f>IF(GrossBasis="Wholesale",V2636,W2636)</f>
        <v/>
      </c>
      <c r="Y2636" s="47">
        <f>R2636*INDEX(FmtBlendedCogs,MATCH(F2636,FmtName,0))</f>
        <v/>
      </c>
      <c r="Z2636" s="47">
        <f>X2636-Y2636</f>
        <v/>
      </c>
    </row>
    <row r="2637">
      <c r="A2637" t="n">
        <v>39</v>
      </c>
      <c r="B2637" s="44">
        <f>FiscalStart+(A2637-1)*7</f>
        <v/>
      </c>
      <c r="C2637">
        <f>TEXT(B2637,"mmm yyyy")</f>
        <v/>
      </c>
      <c r="D2637">
        <f>"Q"&amp;(INT((A2637-1)/13)+1)</f>
        <v/>
      </c>
      <c r="E2637" t="inlineStr">
        <is>
          <t>FDM</t>
        </is>
      </c>
      <c r="F2637">
        <f>IFERROR(INDEX(ChFormat,MATCH(E2637,ChName,0)),"")</f>
        <v/>
      </c>
      <c r="G2637" t="inlineStr">
        <is>
          <t>NL</t>
        </is>
      </c>
      <c r="H2637">
        <f>IF(A2637&lt;=NWeeks,1,0)</f>
        <v/>
      </c>
      <c r="I2637">
        <f>INDEX(ChLaunch,MATCH(E2637,ChName,0))</f>
        <v/>
      </c>
      <c r="J2637">
        <f>INDEX(ChWeeksFull,MATCH(E2637,ChName,0))</f>
        <v/>
      </c>
      <c r="K2637">
        <f>INDEX(ChRamp,MATCH(E2637,ChName,0))</f>
        <v/>
      </c>
      <c r="L2637" s="45">
        <f>MIN(1,MAX(0,(A2637-I2637+1)*RampSpeed/J2637))</f>
        <v/>
      </c>
      <c r="M2637" s="45">
        <f>IF(A2637&lt;I2637,0,IF(K2637="S-curve",L2637*L2637*(3-2*L2637),L2637))</f>
        <v/>
      </c>
      <c r="N2637" s="45">
        <f>1+(INDEX(SeasonIdx,A2637)-1)*SeasonAmp</f>
        <v/>
      </c>
      <c r="O2637" s="45">
        <f>IFERROR(INDEX(PSPct,MATCH(E2637&amp;"|"&amp;G2637,PSKey,0)),0)</f>
        <v/>
      </c>
      <c r="P2637" s="46">
        <f>INDEX(ChDoorVel,MATCH(E2637,ChName,0))*CalibScalar*(1+VelocityUplift)</f>
        <v/>
      </c>
      <c r="Q2637" s="46" t="n">
        <v>0</v>
      </c>
      <c r="R2637" s="46">
        <f>P2637*O2637*M2637*N2637*H2637</f>
        <v/>
      </c>
      <c r="S2637" s="46">
        <f>R2637*INDEX(FmtCansPerCase,MATCH(F2637,FmtName,0))</f>
        <v/>
      </c>
      <c r="T2637" s="46">
        <f>S2637/INDEX(FmtCansPerPack,MATCH(F2637,FmtName,0))</f>
        <v/>
      </c>
      <c r="U2637" s="47">
        <f>INDEX(ChBaseCP,MATCH(E2637,ChName,0))*(1+INDEX(ProvMod,MATCH(G2637,ProvCode,0)))*(1+PriceIndex)</f>
        <v/>
      </c>
      <c r="V2637" s="47">
        <f>R2637*U2637*INDEX(FmtBlendedPriceIdx,MATCH(F2637,FmtName,0))</f>
        <v/>
      </c>
      <c r="W2637" s="47">
        <f>T2637*INDEX(ProvSRP,MATCH(G2637,ProvCode,0))*(1+PriceIndex)</f>
        <v/>
      </c>
      <c r="X2637" s="47">
        <f>IF(GrossBasis="Wholesale",V2637,W2637)</f>
        <v/>
      </c>
      <c r="Y2637" s="47">
        <f>R2637*INDEX(FmtBlendedCogs,MATCH(F2637,FmtName,0))</f>
        <v/>
      </c>
      <c r="Z2637" s="47">
        <f>X2637-Y2637</f>
        <v/>
      </c>
    </row>
    <row r="2638">
      <c r="A2638" t="n">
        <v>40</v>
      </c>
      <c r="B2638" s="44">
        <f>FiscalStart+(A2638-1)*7</f>
        <v/>
      </c>
      <c r="C2638">
        <f>TEXT(B2638,"mmm yyyy")</f>
        <v/>
      </c>
      <c r="D2638">
        <f>"Q"&amp;(INT((A2638-1)/13)+1)</f>
        <v/>
      </c>
      <c r="E2638" t="inlineStr">
        <is>
          <t>FDM</t>
        </is>
      </c>
      <c r="F2638">
        <f>IFERROR(INDEX(ChFormat,MATCH(E2638,ChName,0)),"")</f>
        <v/>
      </c>
      <c r="G2638" t="inlineStr">
        <is>
          <t>NL</t>
        </is>
      </c>
      <c r="H2638">
        <f>IF(A2638&lt;=NWeeks,1,0)</f>
        <v/>
      </c>
      <c r="I2638">
        <f>INDEX(ChLaunch,MATCH(E2638,ChName,0))</f>
        <v/>
      </c>
      <c r="J2638">
        <f>INDEX(ChWeeksFull,MATCH(E2638,ChName,0))</f>
        <v/>
      </c>
      <c r="K2638">
        <f>INDEX(ChRamp,MATCH(E2638,ChName,0))</f>
        <v/>
      </c>
      <c r="L2638" s="45">
        <f>MIN(1,MAX(0,(A2638-I2638+1)*RampSpeed/J2638))</f>
        <v/>
      </c>
      <c r="M2638" s="45">
        <f>IF(A2638&lt;I2638,0,IF(K2638="S-curve",L2638*L2638*(3-2*L2638),L2638))</f>
        <v/>
      </c>
      <c r="N2638" s="45">
        <f>1+(INDEX(SeasonIdx,A2638)-1)*SeasonAmp</f>
        <v/>
      </c>
      <c r="O2638" s="45">
        <f>IFERROR(INDEX(PSPct,MATCH(E2638&amp;"|"&amp;G2638,PSKey,0)),0)</f>
        <v/>
      </c>
      <c r="P2638" s="46">
        <f>INDEX(ChDoorVel,MATCH(E2638,ChName,0))*CalibScalar*(1+VelocityUplift)</f>
        <v/>
      </c>
      <c r="Q2638" s="46" t="n">
        <v>0</v>
      </c>
      <c r="R2638" s="46">
        <f>P2638*O2638*M2638*N2638*H2638</f>
        <v/>
      </c>
      <c r="S2638" s="46">
        <f>R2638*INDEX(FmtCansPerCase,MATCH(F2638,FmtName,0))</f>
        <v/>
      </c>
      <c r="T2638" s="46">
        <f>S2638/INDEX(FmtCansPerPack,MATCH(F2638,FmtName,0))</f>
        <v/>
      </c>
      <c r="U2638" s="47">
        <f>INDEX(ChBaseCP,MATCH(E2638,ChName,0))*(1+INDEX(ProvMod,MATCH(G2638,ProvCode,0)))*(1+PriceIndex)</f>
        <v/>
      </c>
      <c r="V2638" s="47">
        <f>R2638*U2638*INDEX(FmtBlendedPriceIdx,MATCH(F2638,FmtName,0))</f>
        <v/>
      </c>
      <c r="W2638" s="47">
        <f>T2638*INDEX(ProvSRP,MATCH(G2638,ProvCode,0))*(1+PriceIndex)</f>
        <v/>
      </c>
      <c r="X2638" s="47">
        <f>IF(GrossBasis="Wholesale",V2638,W2638)</f>
        <v/>
      </c>
      <c r="Y2638" s="47">
        <f>R2638*INDEX(FmtBlendedCogs,MATCH(F2638,FmtName,0))</f>
        <v/>
      </c>
      <c r="Z2638" s="47">
        <f>X2638-Y2638</f>
        <v/>
      </c>
    </row>
    <row r="2639">
      <c r="A2639" t="n">
        <v>41</v>
      </c>
      <c r="B2639" s="44">
        <f>FiscalStart+(A2639-1)*7</f>
        <v/>
      </c>
      <c r="C2639">
        <f>TEXT(B2639,"mmm yyyy")</f>
        <v/>
      </c>
      <c r="D2639">
        <f>"Q"&amp;(INT((A2639-1)/13)+1)</f>
        <v/>
      </c>
      <c r="E2639" t="inlineStr">
        <is>
          <t>FDM</t>
        </is>
      </c>
      <c r="F2639">
        <f>IFERROR(INDEX(ChFormat,MATCH(E2639,ChName,0)),"")</f>
        <v/>
      </c>
      <c r="G2639" t="inlineStr">
        <is>
          <t>NL</t>
        </is>
      </c>
      <c r="H2639">
        <f>IF(A2639&lt;=NWeeks,1,0)</f>
        <v/>
      </c>
      <c r="I2639">
        <f>INDEX(ChLaunch,MATCH(E2639,ChName,0))</f>
        <v/>
      </c>
      <c r="J2639">
        <f>INDEX(ChWeeksFull,MATCH(E2639,ChName,0))</f>
        <v/>
      </c>
      <c r="K2639">
        <f>INDEX(ChRamp,MATCH(E2639,ChName,0))</f>
        <v/>
      </c>
      <c r="L2639" s="45">
        <f>MIN(1,MAX(0,(A2639-I2639+1)*RampSpeed/J2639))</f>
        <v/>
      </c>
      <c r="M2639" s="45">
        <f>IF(A2639&lt;I2639,0,IF(K2639="S-curve",L2639*L2639*(3-2*L2639),L2639))</f>
        <v/>
      </c>
      <c r="N2639" s="45">
        <f>1+(INDEX(SeasonIdx,A2639)-1)*SeasonAmp</f>
        <v/>
      </c>
      <c r="O2639" s="45">
        <f>IFERROR(INDEX(PSPct,MATCH(E2639&amp;"|"&amp;G2639,PSKey,0)),0)</f>
        <v/>
      </c>
      <c r="P2639" s="46">
        <f>INDEX(ChDoorVel,MATCH(E2639,ChName,0))*CalibScalar*(1+VelocityUplift)</f>
        <v/>
      </c>
      <c r="Q2639" s="46" t="n">
        <v>0</v>
      </c>
      <c r="R2639" s="46">
        <f>P2639*O2639*M2639*N2639*H2639</f>
        <v/>
      </c>
      <c r="S2639" s="46">
        <f>R2639*INDEX(FmtCansPerCase,MATCH(F2639,FmtName,0))</f>
        <v/>
      </c>
      <c r="T2639" s="46">
        <f>S2639/INDEX(FmtCansPerPack,MATCH(F2639,FmtName,0))</f>
        <v/>
      </c>
      <c r="U2639" s="47">
        <f>INDEX(ChBaseCP,MATCH(E2639,ChName,0))*(1+INDEX(ProvMod,MATCH(G2639,ProvCode,0)))*(1+PriceIndex)</f>
        <v/>
      </c>
      <c r="V2639" s="47">
        <f>R2639*U2639*INDEX(FmtBlendedPriceIdx,MATCH(F2639,FmtName,0))</f>
        <v/>
      </c>
      <c r="W2639" s="47">
        <f>T2639*INDEX(ProvSRP,MATCH(G2639,ProvCode,0))*(1+PriceIndex)</f>
        <v/>
      </c>
      <c r="X2639" s="47">
        <f>IF(GrossBasis="Wholesale",V2639,W2639)</f>
        <v/>
      </c>
      <c r="Y2639" s="47">
        <f>R2639*INDEX(FmtBlendedCogs,MATCH(F2639,FmtName,0))</f>
        <v/>
      </c>
      <c r="Z2639" s="47">
        <f>X2639-Y2639</f>
        <v/>
      </c>
    </row>
    <row r="2640">
      <c r="A2640" t="n">
        <v>42</v>
      </c>
      <c r="B2640" s="44">
        <f>FiscalStart+(A2640-1)*7</f>
        <v/>
      </c>
      <c r="C2640">
        <f>TEXT(B2640,"mmm yyyy")</f>
        <v/>
      </c>
      <c r="D2640">
        <f>"Q"&amp;(INT((A2640-1)/13)+1)</f>
        <v/>
      </c>
      <c r="E2640" t="inlineStr">
        <is>
          <t>FDM</t>
        </is>
      </c>
      <c r="F2640">
        <f>IFERROR(INDEX(ChFormat,MATCH(E2640,ChName,0)),"")</f>
        <v/>
      </c>
      <c r="G2640" t="inlineStr">
        <is>
          <t>NL</t>
        </is>
      </c>
      <c r="H2640">
        <f>IF(A2640&lt;=NWeeks,1,0)</f>
        <v/>
      </c>
      <c r="I2640">
        <f>INDEX(ChLaunch,MATCH(E2640,ChName,0))</f>
        <v/>
      </c>
      <c r="J2640">
        <f>INDEX(ChWeeksFull,MATCH(E2640,ChName,0))</f>
        <v/>
      </c>
      <c r="K2640">
        <f>INDEX(ChRamp,MATCH(E2640,ChName,0))</f>
        <v/>
      </c>
      <c r="L2640" s="45">
        <f>MIN(1,MAX(0,(A2640-I2640+1)*RampSpeed/J2640))</f>
        <v/>
      </c>
      <c r="M2640" s="45">
        <f>IF(A2640&lt;I2640,0,IF(K2640="S-curve",L2640*L2640*(3-2*L2640),L2640))</f>
        <v/>
      </c>
      <c r="N2640" s="45">
        <f>1+(INDEX(SeasonIdx,A2640)-1)*SeasonAmp</f>
        <v/>
      </c>
      <c r="O2640" s="45">
        <f>IFERROR(INDEX(PSPct,MATCH(E2640&amp;"|"&amp;G2640,PSKey,0)),0)</f>
        <v/>
      </c>
      <c r="P2640" s="46">
        <f>INDEX(ChDoorVel,MATCH(E2640,ChName,0))*CalibScalar*(1+VelocityUplift)</f>
        <v/>
      </c>
      <c r="Q2640" s="46" t="n">
        <v>0</v>
      </c>
      <c r="R2640" s="46">
        <f>P2640*O2640*M2640*N2640*H2640</f>
        <v/>
      </c>
      <c r="S2640" s="46">
        <f>R2640*INDEX(FmtCansPerCase,MATCH(F2640,FmtName,0))</f>
        <v/>
      </c>
      <c r="T2640" s="46">
        <f>S2640/INDEX(FmtCansPerPack,MATCH(F2640,FmtName,0))</f>
        <v/>
      </c>
      <c r="U2640" s="47">
        <f>INDEX(ChBaseCP,MATCH(E2640,ChName,0))*(1+INDEX(ProvMod,MATCH(G2640,ProvCode,0)))*(1+PriceIndex)</f>
        <v/>
      </c>
      <c r="V2640" s="47">
        <f>R2640*U2640*INDEX(FmtBlendedPriceIdx,MATCH(F2640,FmtName,0))</f>
        <v/>
      </c>
      <c r="W2640" s="47">
        <f>T2640*INDEX(ProvSRP,MATCH(G2640,ProvCode,0))*(1+PriceIndex)</f>
        <v/>
      </c>
      <c r="X2640" s="47">
        <f>IF(GrossBasis="Wholesale",V2640,W2640)</f>
        <v/>
      </c>
      <c r="Y2640" s="47">
        <f>R2640*INDEX(FmtBlendedCogs,MATCH(F2640,FmtName,0))</f>
        <v/>
      </c>
      <c r="Z2640" s="47">
        <f>X2640-Y2640</f>
        <v/>
      </c>
    </row>
    <row r="2641">
      <c r="A2641" t="n">
        <v>43</v>
      </c>
      <c r="B2641" s="44">
        <f>FiscalStart+(A2641-1)*7</f>
        <v/>
      </c>
      <c r="C2641">
        <f>TEXT(B2641,"mmm yyyy")</f>
        <v/>
      </c>
      <c r="D2641">
        <f>"Q"&amp;(INT((A2641-1)/13)+1)</f>
        <v/>
      </c>
      <c r="E2641" t="inlineStr">
        <is>
          <t>FDM</t>
        </is>
      </c>
      <c r="F2641">
        <f>IFERROR(INDEX(ChFormat,MATCH(E2641,ChName,0)),"")</f>
        <v/>
      </c>
      <c r="G2641" t="inlineStr">
        <is>
          <t>NL</t>
        </is>
      </c>
      <c r="H2641">
        <f>IF(A2641&lt;=NWeeks,1,0)</f>
        <v/>
      </c>
      <c r="I2641">
        <f>INDEX(ChLaunch,MATCH(E2641,ChName,0))</f>
        <v/>
      </c>
      <c r="J2641">
        <f>INDEX(ChWeeksFull,MATCH(E2641,ChName,0))</f>
        <v/>
      </c>
      <c r="K2641">
        <f>INDEX(ChRamp,MATCH(E2641,ChName,0))</f>
        <v/>
      </c>
      <c r="L2641" s="45">
        <f>MIN(1,MAX(0,(A2641-I2641+1)*RampSpeed/J2641))</f>
        <v/>
      </c>
      <c r="M2641" s="45">
        <f>IF(A2641&lt;I2641,0,IF(K2641="S-curve",L2641*L2641*(3-2*L2641),L2641))</f>
        <v/>
      </c>
      <c r="N2641" s="45">
        <f>1+(INDEX(SeasonIdx,A2641)-1)*SeasonAmp</f>
        <v/>
      </c>
      <c r="O2641" s="45">
        <f>IFERROR(INDEX(PSPct,MATCH(E2641&amp;"|"&amp;G2641,PSKey,0)),0)</f>
        <v/>
      </c>
      <c r="P2641" s="46">
        <f>INDEX(ChDoorVel,MATCH(E2641,ChName,0))*CalibScalar*(1+VelocityUplift)</f>
        <v/>
      </c>
      <c r="Q2641" s="46" t="n">
        <v>0</v>
      </c>
      <c r="R2641" s="46">
        <f>P2641*O2641*M2641*N2641*H2641</f>
        <v/>
      </c>
      <c r="S2641" s="46">
        <f>R2641*INDEX(FmtCansPerCase,MATCH(F2641,FmtName,0))</f>
        <v/>
      </c>
      <c r="T2641" s="46">
        <f>S2641/INDEX(FmtCansPerPack,MATCH(F2641,FmtName,0))</f>
        <v/>
      </c>
      <c r="U2641" s="47">
        <f>INDEX(ChBaseCP,MATCH(E2641,ChName,0))*(1+INDEX(ProvMod,MATCH(G2641,ProvCode,0)))*(1+PriceIndex)</f>
        <v/>
      </c>
      <c r="V2641" s="47">
        <f>R2641*U2641*INDEX(FmtBlendedPriceIdx,MATCH(F2641,FmtName,0))</f>
        <v/>
      </c>
      <c r="W2641" s="47">
        <f>T2641*INDEX(ProvSRP,MATCH(G2641,ProvCode,0))*(1+PriceIndex)</f>
        <v/>
      </c>
      <c r="X2641" s="47">
        <f>IF(GrossBasis="Wholesale",V2641,W2641)</f>
        <v/>
      </c>
      <c r="Y2641" s="47">
        <f>R2641*INDEX(FmtBlendedCogs,MATCH(F2641,FmtName,0))</f>
        <v/>
      </c>
      <c r="Z2641" s="47">
        <f>X2641-Y2641</f>
        <v/>
      </c>
    </row>
    <row r="2642">
      <c r="A2642" t="n">
        <v>44</v>
      </c>
      <c r="B2642" s="44">
        <f>FiscalStart+(A2642-1)*7</f>
        <v/>
      </c>
      <c r="C2642">
        <f>TEXT(B2642,"mmm yyyy")</f>
        <v/>
      </c>
      <c r="D2642">
        <f>"Q"&amp;(INT((A2642-1)/13)+1)</f>
        <v/>
      </c>
      <c r="E2642" t="inlineStr">
        <is>
          <t>FDM</t>
        </is>
      </c>
      <c r="F2642">
        <f>IFERROR(INDEX(ChFormat,MATCH(E2642,ChName,0)),"")</f>
        <v/>
      </c>
      <c r="G2642" t="inlineStr">
        <is>
          <t>NL</t>
        </is>
      </c>
      <c r="H2642">
        <f>IF(A2642&lt;=NWeeks,1,0)</f>
        <v/>
      </c>
      <c r="I2642">
        <f>INDEX(ChLaunch,MATCH(E2642,ChName,0))</f>
        <v/>
      </c>
      <c r="J2642">
        <f>INDEX(ChWeeksFull,MATCH(E2642,ChName,0))</f>
        <v/>
      </c>
      <c r="K2642">
        <f>INDEX(ChRamp,MATCH(E2642,ChName,0))</f>
        <v/>
      </c>
      <c r="L2642" s="45">
        <f>MIN(1,MAX(0,(A2642-I2642+1)*RampSpeed/J2642))</f>
        <v/>
      </c>
      <c r="M2642" s="45">
        <f>IF(A2642&lt;I2642,0,IF(K2642="S-curve",L2642*L2642*(3-2*L2642),L2642))</f>
        <v/>
      </c>
      <c r="N2642" s="45">
        <f>1+(INDEX(SeasonIdx,A2642)-1)*SeasonAmp</f>
        <v/>
      </c>
      <c r="O2642" s="45">
        <f>IFERROR(INDEX(PSPct,MATCH(E2642&amp;"|"&amp;G2642,PSKey,0)),0)</f>
        <v/>
      </c>
      <c r="P2642" s="46">
        <f>INDEX(ChDoorVel,MATCH(E2642,ChName,0))*CalibScalar*(1+VelocityUplift)</f>
        <v/>
      </c>
      <c r="Q2642" s="46" t="n">
        <v>0</v>
      </c>
      <c r="R2642" s="46">
        <f>P2642*O2642*M2642*N2642*H2642</f>
        <v/>
      </c>
      <c r="S2642" s="46">
        <f>R2642*INDEX(FmtCansPerCase,MATCH(F2642,FmtName,0))</f>
        <v/>
      </c>
      <c r="T2642" s="46">
        <f>S2642/INDEX(FmtCansPerPack,MATCH(F2642,FmtName,0))</f>
        <v/>
      </c>
      <c r="U2642" s="47">
        <f>INDEX(ChBaseCP,MATCH(E2642,ChName,0))*(1+INDEX(ProvMod,MATCH(G2642,ProvCode,0)))*(1+PriceIndex)</f>
        <v/>
      </c>
      <c r="V2642" s="47">
        <f>R2642*U2642*INDEX(FmtBlendedPriceIdx,MATCH(F2642,FmtName,0))</f>
        <v/>
      </c>
      <c r="W2642" s="47">
        <f>T2642*INDEX(ProvSRP,MATCH(G2642,ProvCode,0))*(1+PriceIndex)</f>
        <v/>
      </c>
      <c r="X2642" s="47">
        <f>IF(GrossBasis="Wholesale",V2642,W2642)</f>
        <v/>
      </c>
      <c r="Y2642" s="47">
        <f>R2642*INDEX(FmtBlendedCogs,MATCH(F2642,FmtName,0))</f>
        <v/>
      </c>
      <c r="Z2642" s="47">
        <f>X2642-Y2642</f>
        <v/>
      </c>
    </row>
    <row r="2643">
      <c r="A2643" t="n">
        <v>45</v>
      </c>
      <c r="B2643" s="44">
        <f>FiscalStart+(A2643-1)*7</f>
        <v/>
      </c>
      <c r="C2643">
        <f>TEXT(B2643,"mmm yyyy")</f>
        <v/>
      </c>
      <c r="D2643">
        <f>"Q"&amp;(INT((A2643-1)/13)+1)</f>
        <v/>
      </c>
      <c r="E2643" t="inlineStr">
        <is>
          <t>FDM</t>
        </is>
      </c>
      <c r="F2643">
        <f>IFERROR(INDEX(ChFormat,MATCH(E2643,ChName,0)),"")</f>
        <v/>
      </c>
      <c r="G2643" t="inlineStr">
        <is>
          <t>NL</t>
        </is>
      </c>
      <c r="H2643">
        <f>IF(A2643&lt;=NWeeks,1,0)</f>
        <v/>
      </c>
      <c r="I2643">
        <f>INDEX(ChLaunch,MATCH(E2643,ChName,0))</f>
        <v/>
      </c>
      <c r="J2643">
        <f>INDEX(ChWeeksFull,MATCH(E2643,ChName,0))</f>
        <v/>
      </c>
      <c r="K2643">
        <f>INDEX(ChRamp,MATCH(E2643,ChName,0))</f>
        <v/>
      </c>
      <c r="L2643" s="45">
        <f>MIN(1,MAX(0,(A2643-I2643+1)*RampSpeed/J2643))</f>
        <v/>
      </c>
      <c r="M2643" s="45">
        <f>IF(A2643&lt;I2643,0,IF(K2643="S-curve",L2643*L2643*(3-2*L2643),L2643))</f>
        <v/>
      </c>
      <c r="N2643" s="45">
        <f>1+(INDEX(SeasonIdx,A2643)-1)*SeasonAmp</f>
        <v/>
      </c>
      <c r="O2643" s="45">
        <f>IFERROR(INDEX(PSPct,MATCH(E2643&amp;"|"&amp;G2643,PSKey,0)),0)</f>
        <v/>
      </c>
      <c r="P2643" s="46">
        <f>INDEX(ChDoorVel,MATCH(E2643,ChName,0))*CalibScalar*(1+VelocityUplift)</f>
        <v/>
      </c>
      <c r="Q2643" s="46" t="n">
        <v>0</v>
      </c>
      <c r="R2643" s="46">
        <f>P2643*O2643*M2643*N2643*H2643</f>
        <v/>
      </c>
      <c r="S2643" s="46">
        <f>R2643*INDEX(FmtCansPerCase,MATCH(F2643,FmtName,0))</f>
        <v/>
      </c>
      <c r="T2643" s="46">
        <f>S2643/INDEX(FmtCansPerPack,MATCH(F2643,FmtName,0))</f>
        <v/>
      </c>
      <c r="U2643" s="47">
        <f>INDEX(ChBaseCP,MATCH(E2643,ChName,0))*(1+INDEX(ProvMod,MATCH(G2643,ProvCode,0)))*(1+PriceIndex)</f>
        <v/>
      </c>
      <c r="V2643" s="47">
        <f>R2643*U2643*INDEX(FmtBlendedPriceIdx,MATCH(F2643,FmtName,0))</f>
        <v/>
      </c>
      <c r="W2643" s="47">
        <f>T2643*INDEX(ProvSRP,MATCH(G2643,ProvCode,0))*(1+PriceIndex)</f>
        <v/>
      </c>
      <c r="X2643" s="47">
        <f>IF(GrossBasis="Wholesale",V2643,W2643)</f>
        <v/>
      </c>
      <c r="Y2643" s="47">
        <f>R2643*INDEX(FmtBlendedCogs,MATCH(F2643,FmtName,0))</f>
        <v/>
      </c>
      <c r="Z2643" s="47">
        <f>X2643-Y2643</f>
        <v/>
      </c>
    </row>
    <row r="2644">
      <c r="A2644" t="n">
        <v>46</v>
      </c>
      <c r="B2644" s="44">
        <f>FiscalStart+(A2644-1)*7</f>
        <v/>
      </c>
      <c r="C2644">
        <f>TEXT(B2644,"mmm yyyy")</f>
        <v/>
      </c>
      <c r="D2644">
        <f>"Q"&amp;(INT((A2644-1)/13)+1)</f>
        <v/>
      </c>
      <c r="E2644" t="inlineStr">
        <is>
          <t>FDM</t>
        </is>
      </c>
      <c r="F2644">
        <f>IFERROR(INDEX(ChFormat,MATCH(E2644,ChName,0)),"")</f>
        <v/>
      </c>
      <c r="G2644" t="inlineStr">
        <is>
          <t>NL</t>
        </is>
      </c>
      <c r="H2644">
        <f>IF(A2644&lt;=NWeeks,1,0)</f>
        <v/>
      </c>
      <c r="I2644">
        <f>INDEX(ChLaunch,MATCH(E2644,ChName,0))</f>
        <v/>
      </c>
      <c r="J2644">
        <f>INDEX(ChWeeksFull,MATCH(E2644,ChName,0))</f>
        <v/>
      </c>
      <c r="K2644">
        <f>INDEX(ChRamp,MATCH(E2644,ChName,0))</f>
        <v/>
      </c>
      <c r="L2644" s="45">
        <f>MIN(1,MAX(0,(A2644-I2644+1)*RampSpeed/J2644))</f>
        <v/>
      </c>
      <c r="M2644" s="45">
        <f>IF(A2644&lt;I2644,0,IF(K2644="S-curve",L2644*L2644*(3-2*L2644),L2644))</f>
        <v/>
      </c>
      <c r="N2644" s="45">
        <f>1+(INDEX(SeasonIdx,A2644)-1)*SeasonAmp</f>
        <v/>
      </c>
      <c r="O2644" s="45">
        <f>IFERROR(INDEX(PSPct,MATCH(E2644&amp;"|"&amp;G2644,PSKey,0)),0)</f>
        <v/>
      </c>
      <c r="P2644" s="46">
        <f>INDEX(ChDoorVel,MATCH(E2644,ChName,0))*CalibScalar*(1+VelocityUplift)</f>
        <v/>
      </c>
      <c r="Q2644" s="46" t="n">
        <v>0</v>
      </c>
      <c r="R2644" s="46">
        <f>P2644*O2644*M2644*N2644*H2644</f>
        <v/>
      </c>
      <c r="S2644" s="46">
        <f>R2644*INDEX(FmtCansPerCase,MATCH(F2644,FmtName,0))</f>
        <v/>
      </c>
      <c r="T2644" s="46">
        <f>S2644/INDEX(FmtCansPerPack,MATCH(F2644,FmtName,0))</f>
        <v/>
      </c>
      <c r="U2644" s="47">
        <f>INDEX(ChBaseCP,MATCH(E2644,ChName,0))*(1+INDEX(ProvMod,MATCH(G2644,ProvCode,0)))*(1+PriceIndex)</f>
        <v/>
      </c>
      <c r="V2644" s="47">
        <f>R2644*U2644*INDEX(FmtBlendedPriceIdx,MATCH(F2644,FmtName,0))</f>
        <v/>
      </c>
      <c r="W2644" s="47">
        <f>T2644*INDEX(ProvSRP,MATCH(G2644,ProvCode,0))*(1+PriceIndex)</f>
        <v/>
      </c>
      <c r="X2644" s="47">
        <f>IF(GrossBasis="Wholesale",V2644,W2644)</f>
        <v/>
      </c>
      <c r="Y2644" s="47">
        <f>R2644*INDEX(FmtBlendedCogs,MATCH(F2644,FmtName,0))</f>
        <v/>
      </c>
      <c r="Z2644" s="47">
        <f>X2644-Y2644</f>
        <v/>
      </c>
    </row>
    <row r="2645">
      <c r="A2645" t="n">
        <v>47</v>
      </c>
      <c r="B2645" s="44">
        <f>FiscalStart+(A2645-1)*7</f>
        <v/>
      </c>
      <c r="C2645">
        <f>TEXT(B2645,"mmm yyyy")</f>
        <v/>
      </c>
      <c r="D2645">
        <f>"Q"&amp;(INT((A2645-1)/13)+1)</f>
        <v/>
      </c>
      <c r="E2645" t="inlineStr">
        <is>
          <t>FDM</t>
        </is>
      </c>
      <c r="F2645">
        <f>IFERROR(INDEX(ChFormat,MATCH(E2645,ChName,0)),"")</f>
        <v/>
      </c>
      <c r="G2645" t="inlineStr">
        <is>
          <t>NL</t>
        </is>
      </c>
      <c r="H2645">
        <f>IF(A2645&lt;=NWeeks,1,0)</f>
        <v/>
      </c>
      <c r="I2645">
        <f>INDEX(ChLaunch,MATCH(E2645,ChName,0))</f>
        <v/>
      </c>
      <c r="J2645">
        <f>INDEX(ChWeeksFull,MATCH(E2645,ChName,0))</f>
        <v/>
      </c>
      <c r="K2645">
        <f>INDEX(ChRamp,MATCH(E2645,ChName,0))</f>
        <v/>
      </c>
      <c r="L2645" s="45">
        <f>MIN(1,MAX(0,(A2645-I2645+1)*RampSpeed/J2645))</f>
        <v/>
      </c>
      <c r="M2645" s="45">
        <f>IF(A2645&lt;I2645,0,IF(K2645="S-curve",L2645*L2645*(3-2*L2645),L2645))</f>
        <v/>
      </c>
      <c r="N2645" s="45">
        <f>1+(INDEX(SeasonIdx,A2645)-1)*SeasonAmp</f>
        <v/>
      </c>
      <c r="O2645" s="45">
        <f>IFERROR(INDEX(PSPct,MATCH(E2645&amp;"|"&amp;G2645,PSKey,0)),0)</f>
        <v/>
      </c>
      <c r="P2645" s="46">
        <f>INDEX(ChDoorVel,MATCH(E2645,ChName,0))*CalibScalar*(1+VelocityUplift)</f>
        <v/>
      </c>
      <c r="Q2645" s="46" t="n">
        <v>0</v>
      </c>
      <c r="R2645" s="46">
        <f>P2645*O2645*M2645*N2645*H2645</f>
        <v/>
      </c>
      <c r="S2645" s="46">
        <f>R2645*INDEX(FmtCansPerCase,MATCH(F2645,FmtName,0))</f>
        <v/>
      </c>
      <c r="T2645" s="46">
        <f>S2645/INDEX(FmtCansPerPack,MATCH(F2645,FmtName,0))</f>
        <v/>
      </c>
      <c r="U2645" s="47">
        <f>INDEX(ChBaseCP,MATCH(E2645,ChName,0))*(1+INDEX(ProvMod,MATCH(G2645,ProvCode,0)))*(1+PriceIndex)</f>
        <v/>
      </c>
      <c r="V2645" s="47">
        <f>R2645*U2645*INDEX(FmtBlendedPriceIdx,MATCH(F2645,FmtName,0))</f>
        <v/>
      </c>
      <c r="W2645" s="47">
        <f>T2645*INDEX(ProvSRP,MATCH(G2645,ProvCode,0))*(1+PriceIndex)</f>
        <v/>
      </c>
      <c r="X2645" s="47">
        <f>IF(GrossBasis="Wholesale",V2645,W2645)</f>
        <v/>
      </c>
      <c r="Y2645" s="47">
        <f>R2645*INDEX(FmtBlendedCogs,MATCH(F2645,FmtName,0))</f>
        <v/>
      </c>
      <c r="Z2645" s="47">
        <f>X2645-Y2645</f>
        <v/>
      </c>
    </row>
    <row r="2646">
      <c r="A2646" t="n">
        <v>48</v>
      </c>
      <c r="B2646" s="44">
        <f>FiscalStart+(A2646-1)*7</f>
        <v/>
      </c>
      <c r="C2646">
        <f>TEXT(B2646,"mmm yyyy")</f>
        <v/>
      </c>
      <c r="D2646">
        <f>"Q"&amp;(INT((A2646-1)/13)+1)</f>
        <v/>
      </c>
      <c r="E2646" t="inlineStr">
        <is>
          <t>FDM</t>
        </is>
      </c>
      <c r="F2646">
        <f>IFERROR(INDEX(ChFormat,MATCH(E2646,ChName,0)),"")</f>
        <v/>
      </c>
      <c r="G2646" t="inlineStr">
        <is>
          <t>NL</t>
        </is>
      </c>
      <c r="H2646">
        <f>IF(A2646&lt;=NWeeks,1,0)</f>
        <v/>
      </c>
      <c r="I2646">
        <f>INDEX(ChLaunch,MATCH(E2646,ChName,0))</f>
        <v/>
      </c>
      <c r="J2646">
        <f>INDEX(ChWeeksFull,MATCH(E2646,ChName,0))</f>
        <v/>
      </c>
      <c r="K2646">
        <f>INDEX(ChRamp,MATCH(E2646,ChName,0))</f>
        <v/>
      </c>
      <c r="L2646" s="45">
        <f>MIN(1,MAX(0,(A2646-I2646+1)*RampSpeed/J2646))</f>
        <v/>
      </c>
      <c r="M2646" s="45">
        <f>IF(A2646&lt;I2646,0,IF(K2646="S-curve",L2646*L2646*(3-2*L2646),L2646))</f>
        <v/>
      </c>
      <c r="N2646" s="45">
        <f>1+(INDEX(SeasonIdx,A2646)-1)*SeasonAmp</f>
        <v/>
      </c>
      <c r="O2646" s="45">
        <f>IFERROR(INDEX(PSPct,MATCH(E2646&amp;"|"&amp;G2646,PSKey,0)),0)</f>
        <v/>
      </c>
      <c r="P2646" s="46">
        <f>INDEX(ChDoorVel,MATCH(E2646,ChName,0))*CalibScalar*(1+VelocityUplift)</f>
        <v/>
      </c>
      <c r="Q2646" s="46" t="n">
        <v>0</v>
      </c>
      <c r="R2646" s="46">
        <f>P2646*O2646*M2646*N2646*H2646</f>
        <v/>
      </c>
      <c r="S2646" s="46">
        <f>R2646*INDEX(FmtCansPerCase,MATCH(F2646,FmtName,0))</f>
        <v/>
      </c>
      <c r="T2646" s="46">
        <f>S2646/INDEX(FmtCansPerPack,MATCH(F2646,FmtName,0))</f>
        <v/>
      </c>
      <c r="U2646" s="47">
        <f>INDEX(ChBaseCP,MATCH(E2646,ChName,0))*(1+INDEX(ProvMod,MATCH(G2646,ProvCode,0)))*(1+PriceIndex)</f>
        <v/>
      </c>
      <c r="V2646" s="47">
        <f>R2646*U2646*INDEX(FmtBlendedPriceIdx,MATCH(F2646,FmtName,0))</f>
        <v/>
      </c>
      <c r="W2646" s="47">
        <f>T2646*INDEX(ProvSRP,MATCH(G2646,ProvCode,0))*(1+PriceIndex)</f>
        <v/>
      </c>
      <c r="X2646" s="47">
        <f>IF(GrossBasis="Wholesale",V2646,W2646)</f>
        <v/>
      </c>
      <c r="Y2646" s="47">
        <f>R2646*INDEX(FmtBlendedCogs,MATCH(F2646,FmtName,0))</f>
        <v/>
      </c>
      <c r="Z2646" s="47">
        <f>X2646-Y2646</f>
        <v/>
      </c>
    </row>
    <row r="2647">
      <c r="A2647" t="n">
        <v>49</v>
      </c>
      <c r="B2647" s="44">
        <f>FiscalStart+(A2647-1)*7</f>
        <v/>
      </c>
      <c r="C2647">
        <f>TEXT(B2647,"mmm yyyy")</f>
        <v/>
      </c>
      <c r="D2647">
        <f>"Q"&amp;(INT((A2647-1)/13)+1)</f>
        <v/>
      </c>
      <c r="E2647" t="inlineStr">
        <is>
          <t>FDM</t>
        </is>
      </c>
      <c r="F2647">
        <f>IFERROR(INDEX(ChFormat,MATCH(E2647,ChName,0)),"")</f>
        <v/>
      </c>
      <c r="G2647" t="inlineStr">
        <is>
          <t>NL</t>
        </is>
      </c>
      <c r="H2647">
        <f>IF(A2647&lt;=NWeeks,1,0)</f>
        <v/>
      </c>
      <c r="I2647">
        <f>INDEX(ChLaunch,MATCH(E2647,ChName,0))</f>
        <v/>
      </c>
      <c r="J2647">
        <f>INDEX(ChWeeksFull,MATCH(E2647,ChName,0))</f>
        <v/>
      </c>
      <c r="K2647">
        <f>INDEX(ChRamp,MATCH(E2647,ChName,0))</f>
        <v/>
      </c>
      <c r="L2647" s="45">
        <f>MIN(1,MAX(0,(A2647-I2647+1)*RampSpeed/J2647))</f>
        <v/>
      </c>
      <c r="M2647" s="45">
        <f>IF(A2647&lt;I2647,0,IF(K2647="S-curve",L2647*L2647*(3-2*L2647),L2647))</f>
        <v/>
      </c>
      <c r="N2647" s="45">
        <f>1+(INDEX(SeasonIdx,A2647)-1)*SeasonAmp</f>
        <v/>
      </c>
      <c r="O2647" s="45">
        <f>IFERROR(INDEX(PSPct,MATCH(E2647&amp;"|"&amp;G2647,PSKey,0)),0)</f>
        <v/>
      </c>
      <c r="P2647" s="46">
        <f>INDEX(ChDoorVel,MATCH(E2647,ChName,0))*CalibScalar*(1+VelocityUplift)</f>
        <v/>
      </c>
      <c r="Q2647" s="46" t="n">
        <v>0</v>
      </c>
      <c r="R2647" s="46">
        <f>P2647*O2647*M2647*N2647*H2647</f>
        <v/>
      </c>
      <c r="S2647" s="46">
        <f>R2647*INDEX(FmtCansPerCase,MATCH(F2647,FmtName,0))</f>
        <v/>
      </c>
      <c r="T2647" s="46">
        <f>S2647/INDEX(FmtCansPerPack,MATCH(F2647,FmtName,0))</f>
        <v/>
      </c>
      <c r="U2647" s="47">
        <f>INDEX(ChBaseCP,MATCH(E2647,ChName,0))*(1+INDEX(ProvMod,MATCH(G2647,ProvCode,0)))*(1+PriceIndex)</f>
        <v/>
      </c>
      <c r="V2647" s="47">
        <f>R2647*U2647*INDEX(FmtBlendedPriceIdx,MATCH(F2647,FmtName,0))</f>
        <v/>
      </c>
      <c r="W2647" s="47">
        <f>T2647*INDEX(ProvSRP,MATCH(G2647,ProvCode,0))*(1+PriceIndex)</f>
        <v/>
      </c>
      <c r="X2647" s="47">
        <f>IF(GrossBasis="Wholesale",V2647,W2647)</f>
        <v/>
      </c>
      <c r="Y2647" s="47">
        <f>R2647*INDEX(FmtBlendedCogs,MATCH(F2647,FmtName,0))</f>
        <v/>
      </c>
      <c r="Z2647" s="47">
        <f>X2647-Y2647</f>
        <v/>
      </c>
    </row>
    <row r="2648">
      <c r="A2648" t="n">
        <v>50</v>
      </c>
      <c r="B2648" s="44">
        <f>FiscalStart+(A2648-1)*7</f>
        <v/>
      </c>
      <c r="C2648">
        <f>TEXT(B2648,"mmm yyyy")</f>
        <v/>
      </c>
      <c r="D2648">
        <f>"Q"&amp;(INT((A2648-1)/13)+1)</f>
        <v/>
      </c>
      <c r="E2648" t="inlineStr">
        <is>
          <t>FDM</t>
        </is>
      </c>
      <c r="F2648">
        <f>IFERROR(INDEX(ChFormat,MATCH(E2648,ChName,0)),"")</f>
        <v/>
      </c>
      <c r="G2648" t="inlineStr">
        <is>
          <t>NL</t>
        </is>
      </c>
      <c r="H2648">
        <f>IF(A2648&lt;=NWeeks,1,0)</f>
        <v/>
      </c>
      <c r="I2648">
        <f>INDEX(ChLaunch,MATCH(E2648,ChName,0))</f>
        <v/>
      </c>
      <c r="J2648">
        <f>INDEX(ChWeeksFull,MATCH(E2648,ChName,0))</f>
        <v/>
      </c>
      <c r="K2648">
        <f>INDEX(ChRamp,MATCH(E2648,ChName,0))</f>
        <v/>
      </c>
      <c r="L2648" s="45">
        <f>MIN(1,MAX(0,(A2648-I2648+1)*RampSpeed/J2648))</f>
        <v/>
      </c>
      <c r="M2648" s="45">
        <f>IF(A2648&lt;I2648,0,IF(K2648="S-curve",L2648*L2648*(3-2*L2648),L2648))</f>
        <v/>
      </c>
      <c r="N2648" s="45">
        <f>1+(INDEX(SeasonIdx,A2648)-1)*SeasonAmp</f>
        <v/>
      </c>
      <c r="O2648" s="45">
        <f>IFERROR(INDEX(PSPct,MATCH(E2648&amp;"|"&amp;G2648,PSKey,0)),0)</f>
        <v/>
      </c>
      <c r="P2648" s="46">
        <f>INDEX(ChDoorVel,MATCH(E2648,ChName,0))*CalibScalar*(1+VelocityUplift)</f>
        <v/>
      </c>
      <c r="Q2648" s="46" t="n">
        <v>0</v>
      </c>
      <c r="R2648" s="46">
        <f>P2648*O2648*M2648*N2648*H2648</f>
        <v/>
      </c>
      <c r="S2648" s="46">
        <f>R2648*INDEX(FmtCansPerCase,MATCH(F2648,FmtName,0))</f>
        <v/>
      </c>
      <c r="T2648" s="46">
        <f>S2648/INDEX(FmtCansPerPack,MATCH(F2648,FmtName,0))</f>
        <v/>
      </c>
      <c r="U2648" s="47">
        <f>INDEX(ChBaseCP,MATCH(E2648,ChName,0))*(1+INDEX(ProvMod,MATCH(G2648,ProvCode,0)))*(1+PriceIndex)</f>
        <v/>
      </c>
      <c r="V2648" s="47">
        <f>R2648*U2648*INDEX(FmtBlendedPriceIdx,MATCH(F2648,FmtName,0))</f>
        <v/>
      </c>
      <c r="W2648" s="47">
        <f>T2648*INDEX(ProvSRP,MATCH(G2648,ProvCode,0))*(1+PriceIndex)</f>
        <v/>
      </c>
      <c r="X2648" s="47">
        <f>IF(GrossBasis="Wholesale",V2648,W2648)</f>
        <v/>
      </c>
      <c r="Y2648" s="47">
        <f>R2648*INDEX(FmtBlendedCogs,MATCH(F2648,FmtName,0))</f>
        <v/>
      </c>
      <c r="Z2648" s="47">
        <f>X2648-Y2648</f>
        <v/>
      </c>
    </row>
    <row r="2649">
      <c r="A2649" t="n">
        <v>51</v>
      </c>
      <c r="B2649" s="44">
        <f>FiscalStart+(A2649-1)*7</f>
        <v/>
      </c>
      <c r="C2649">
        <f>TEXT(B2649,"mmm yyyy")</f>
        <v/>
      </c>
      <c r="D2649">
        <f>"Q"&amp;(INT((A2649-1)/13)+1)</f>
        <v/>
      </c>
      <c r="E2649" t="inlineStr">
        <is>
          <t>FDM</t>
        </is>
      </c>
      <c r="F2649">
        <f>IFERROR(INDEX(ChFormat,MATCH(E2649,ChName,0)),"")</f>
        <v/>
      </c>
      <c r="G2649" t="inlineStr">
        <is>
          <t>NL</t>
        </is>
      </c>
      <c r="H2649">
        <f>IF(A2649&lt;=NWeeks,1,0)</f>
        <v/>
      </c>
      <c r="I2649">
        <f>INDEX(ChLaunch,MATCH(E2649,ChName,0))</f>
        <v/>
      </c>
      <c r="J2649">
        <f>INDEX(ChWeeksFull,MATCH(E2649,ChName,0))</f>
        <v/>
      </c>
      <c r="K2649">
        <f>INDEX(ChRamp,MATCH(E2649,ChName,0))</f>
        <v/>
      </c>
      <c r="L2649" s="45">
        <f>MIN(1,MAX(0,(A2649-I2649+1)*RampSpeed/J2649))</f>
        <v/>
      </c>
      <c r="M2649" s="45">
        <f>IF(A2649&lt;I2649,0,IF(K2649="S-curve",L2649*L2649*(3-2*L2649),L2649))</f>
        <v/>
      </c>
      <c r="N2649" s="45">
        <f>1+(INDEX(SeasonIdx,A2649)-1)*SeasonAmp</f>
        <v/>
      </c>
      <c r="O2649" s="45">
        <f>IFERROR(INDEX(PSPct,MATCH(E2649&amp;"|"&amp;G2649,PSKey,0)),0)</f>
        <v/>
      </c>
      <c r="P2649" s="46">
        <f>INDEX(ChDoorVel,MATCH(E2649,ChName,0))*CalibScalar*(1+VelocityUplift)</f>
        <v/>
      </c>
      <c r="Q2649" s="46" t="n">
        <v>0</v>
      </c>
      <c r="R2649" s="46">
        <f>P2649*O2649*M2649*N2649*H2649</f>
        <v/>
      </c>
      <c r="S2649" s="46">
        <f>R2649*INDEX(FmtCansPerCase,MATCH(F2649,FmtName,0))</f>
        <v/>
      </c>
      <c r="T2649" s="46">
        <f>S2649/INDEX(FmtCansPerPack,MATCH(F2649,FmtName,0))</f>
        <v/>
      </c>
      <c r="U2649" s="47">
        <f>INDEX(ChBaseCP,MATCH(E2649,ChName,0))*(1+INDEX(ProvMod,MATCH(G2649,ProvCode,0)))*(1+PriceIndex)</f>
        <v/>
      </c>
      <c r="V2649" s="47">
        <f>R2649*U2649*INDEX(FmtBlendedPriceIdx,MATCH(F2649,FmtName,0))</f>
        <v/>
      </c>
      <c r="W2649" s="47">
        <f>T2649*INDEX(ProvSRP,MATCH(G2649,ProvCode,0))*(1+PriceIndex)</f>
        <v/>
      </c>
      <c r="X2649" s="47">
        <f>IF(GrossBasis="Wholesale",V2649,W2649)</f>
        <v/>
      </c>
      <c r="Y2649" s="47">
        <f>R2649*INDEX(FmtBlendedCogs,MATCH(F2649,FmtName,0))</f>
        <v/>
      </c>
      <c r="Z2649" s="47">
        <f>X2649-Y2649</f>
        <v/>
      </c>
    </row>
    <row r="2650">
      <c r="A2650" t="n">
        <v>52</v>
      </c>
      <c r="B2650" s="44">
        <f>FiscalStart+(A2650-1)*7</f>
        <v/>
      </c>
      <c r="C2650">
        <f>TEXT(B2650,"mmm yyyy")</f>
        <v/>
      </c>
      <c r="D2650">
        <f>"Q"&amp;(INT((A2650-1)/13)+1)</f>
        <v/>
      </c>
      <c r="E2650" t="inlineStr">
        <is>
          <t>FDM</t>
        </is>
      </c>
      <c r="F2650">
        <f>IFERROR(INDEX(ChFormat,MATCH(E2650,ChName,0)),"")</f>
        <v/>
      </c>
      <c r="G2650" t="inlineStr">
        <is>
          <t>NL</t>
        </is>
      </c>
      <c r="H2650">
        <f>IF(A2650&lt;=NWeeks,1,0)</f>
        <v/>
      </c>
      <c r="I2650">
        <f>INDEX(ChLaunch,MATCH(E2650,ChName,0))</f>
        <v/>
      </c>
      <c r="J2650">
        <f>INDEX(ChWeeksFull,MATCH(E2650,ChName,0))</f>
        <v/>
      </c>
      <c r="K2650">
        <f>INDEX(ChRamp,MATCH(E2650,ChName,0))</f>
        <v/>
      </c>
      <c r="L2650" s="45">
        <f>MIN(1,MAX(0,(A2650-I2650+1)*RampSpeed/J2650))</f>
        <v/>
      </c>
      <c r="M2650" s="45">
        <f>IF(A2650&lt;I2650,0,IF(K2650="S-curve",L2650*L2650*(3-2*L2650),L2650))</f>
        <v/>
      </c>
      <c r="N2650" s="45">
        <f>1+(INDEX(SeasonIdx,A2650)-1)*SeasonAmp</f>
        <v/>
      </c>
      <c r="O2650" s="45">
        <f>IFERROR(INDEX(PSPct,MATCH(E2650&amp;"|"&amp;G2650,PSKey,0)),0)</f>
        <v/>
      </c>
      <c r="P2650" s="46">
        <f>INDEX(ChDoorVel,MATCH(E2650,ChName,0))*CalibScalar*(1+VelocityUplift)</f>
        <v/>
      </c>
      <c r="Q2650" s="46" t="n">
        <v>0</v>
      </c>
      <c r="R2650" s="46">
        <f>P2650*O2650*M2650*N2650*H2650</f>
        <v/>
      </c>
      <c r="S2650" s="46">
        <f>R2650*INDEX(FmtCansPerCase,MATCH(F2650,FmtName,0))</f>
        <v/>
      </c>
      <c r="T2650" s="46">
        <f>S2650/INDEX(FmtCansPerPack,MATCH(F2650,FmtName,0))</f>
        <v/>
      </c>
      <c r="U2650" s="47">
        <f>INDEX(ChBaseCP,MATCH(E2650,ChName,0))*(1+INDEX(ProvMod,MATCH(G2650,ProvCode,0)))*(1+PriceIndex)</f>
        <v/>
      </c>
      <c r="V2650" s="47">
        <f>R2650*U2650*INDEX(FmtBlendedPriceIdx,MATCH(F2650,FmtName,0))</f>
        <v/>
      </c>
      <c r="W2650" s="47">
        <f>T2650*INDEX(ProvSRP,MATCH(G2650,ProvCode,0))*(1+PriceIndex)</f>
        <v/>
      </c>
      <c r="X2650" s="47">
        <f>IF(GrossBasis="Wholesale",V2650,W2650)</f>
        <v/>
      </c>
      <c r="Y2650" s="47">
        <f>R2650*INDEX(FmtBlendedCogs,MATCH(F2650,FmtName,0))</f>
        <v/>
      </c>
      <c r="Z2650" s="47">
        <f>X2650-Y2650</f>
        <v/>
      </c>
    </row>
    <row r="2651">
      <c r="A2651" t="n">
        <v>53</v>
      </c>
      <c r="B2651" s="44">
        <f>FiscalStart+(A2651-1)*7</f>
        <v/>
      </c>
      <c r="C2651">
        <f>TEXT(B2651,"mmm yyyy")</f>
        <v/>
      </c>
      <c r="D2651">
        <f>"Q"&amp;(INT((A2651-1)/13)+1)</f>
        <v/>
      </c>
      <c r="E2651" t="inlineStr">
        <is>
          <t>FDM</t>
        </is>
      </c>
      <c r="F2651">
        <f>IFERROR(INDEX(ChFormat,MATCH(E2651,ChName,0)),"")</f>
        <v/>
      </c>
      <c r="G2651" t="inlineStr">
        <is>
          <t>NL</t>
        </is>
      </c>
      <c r="H2651">
        <f>IF(A2651&lt;=NWeeks,1,0)</f>
        <v/>
      </c>
      <c r="I2651">
        <f>INDEX(ChLaunch,MATCH(E2651,ChName,0))</f>
        <v/>
      </c>
      <c r="J2651">
        <f>INDEX(ChWeeksFull,MATCH(E2651,ChName,0))</f>
        <v/>
      </c>
      <c r="K2651">
        <f>INDEX(ChRamp,MATCH(E2651,ChName,0))</f>
        <v/>
      </c>
      <c r="L2651" s="45">
        <f>MIN(1,MAX(0,(A2651-I2651+1)*RampSpeed/J2651))</f>
        <v/>
      </c>
      <c r="M2651" s="45">
        <f>IF(A2651&lt;I2651,0,IF(K2651="S-curve",L2651*L2651*(3-2*L2651),L2651))</f>
        <v/>
      </c>
      <c r="N2651" s="45">
        <f>1+(INDEX(SeasonIdx,A2651)-1)*SeasonAmp</f>
        <v/>
      </c>
      <c r="O2651" s="45">
        <f>IFERROR(INDEX(PSPct,MATCH(E2651&amp;"|"&amp;G2651,PSKey,0)),0)</f>
        <v/>
      </c>
      <c r="P2651" s="46">
        <f>INDEX(ChDoorVel,MATCH(E2651,ChName,0))*CalibScalar*(1+VelocityUplift)</f>
        <v/>
      </c>
      <c r="Q2651" s="46" t="n">
        <v>0</v>
      </c>
      <c r="R2651" s="46">
        <f>P2651*O2651*M2651*N2651*H2651</f>
        <v/>
      </c>
      <c r="S2651" s="46">
        <f>R2651*INDEX(FmtCansPerCase,MATCH(F2651,FmtName,0))</f>
        <v/>
      </c>
      <c r="T2651" s="46">
        <f>S2651/INDEX(FmtCansPerPack,MATCH(F2651,FmtName,0))</f>
        <v/>
      </c>
      <c r="U2651" s="47">
        <f>INDEX(ChBaseCP,MATCH(E2651,ChName,0))*(1+INDEX(ProvMod,MATCH(G2651,ProvCode,0)))*(1+PriceIndex)</f>
        <v/>
      </c>
      <c r="V2651" s="47">
        <f>R2651*U2651*INDEX(FmtBlendedPriceIdx,MATCH(F2651,FmtName,0))</f>
        <v/>
      </c>
      <c r="W2651" s="47">
        <f>T2651*INDEX(ProvSRP,MATCH(G2651,ProvCode,0))*(1+PriceIndex)</f>
        <v/>
      </c>
      <c r="X2651" s="47">
        <f>IF(GrossBasis="Wholesale",V2651,W2651)</f>
        <v/>
      </c>
      <c r="Y2651" s="47">
        <f>R2651*INDEX(FmtBlendedCogs,MATCH(F2651,FmtName,0))</f>
        <v/>
      </c>
      <c r="Z2651" s="47">
        <f>X2651-Y2651</f>
        <v/>
      </c>
    </row>
    <row r="2652">
      <c r="A2652" t="n">
        <v>1</v>
      </c>
      <c r="B2652" s="44">
        <f>FiscalStart+(A2652-1)*7</f>
        <v/>
      </c>
      <c r="C2652">
        <f>TEXT(B2652,"mmm yyyy")</f>
        <v/>
      </c>
      <c r="D2652">
        <f>"Q"&amp;(INT((A2652-1)/13)+1)</f>
        <v/>
      </c>
      <c r="E2652" t="inlineStr">
        <is>
          <t>Specialty</t>
        </is>
      </c>
      <c r="F2652">
        <f>IFERROR(INDEX(ChFormat,MATCH(E2652,ChName,0)),"")</f>
        <v/>
      </c>
      <c r="G2652" t="inlineStr">
        <is>
          <t>BC</t>
        </is>
      </c>
      <c r="H2652">
        <f>IF(A2652&lt;=NWeeks,1,0)</f>
        <v/>
      </c>
      <c r="I2652">
        <f>INDEX(ChLaunch,MATCH(E2652,ChName,0))</f>
        <v/>
      </c>
      <c r="J2652">
        <f>INDEX(ChWeeksFull,MATCH(E2652,ChName,0))</f>
        <v/>
      </c>
      <c r="K2652">
        <f>INDEX(ChRamp,MATCH(E2652,ChName,0))</f>
        <v/>
      </c>
      <c r="L2652" s="45">
        <f>MIN(1,MAX(0,(A2652-I2652+1)*RampSpeed/J2652))</f>
        <v/>
      </c>
      <c r="M2652" s="45">
        <f>IF(A2652&lt;I2652,0,IF(K2652="S-curve",L2652*L2652*(3-2*L2652),L2652))</f>
        <v/>
      </c>
      <c r="N2652" s="45">
        <f>1+(INDEX(SeasonIdx,A2652)-1)*SeasonAmp</f>
        <v/>
      </c>
      <c r="O2652" s="45">
        <f>IFERROR(INDEX(PSPct,MATCH(E2652&amp;"|"&amp;G2652,PSKey,0)),0)</f>
        <v/>
      </c>
      <c r="P2652" s="46">
        <f>INDEX(ChDoorVel,MATCH(E2652,ChName,0))*CalibScalar*(1+VelocityUplift)</f>
        <v/>
      </c>
      <c r="Q2652" s="46" t="n">
        <v>0</v>
      </c>
      <c r="R2652" s="46">
        <f>P2652*O2652*M2652*N2652*H2652</f>
        <v/>
      </c>
      <c r="S2652" s="46">
        <f>R2652*INDEX(FmtCansPerCase,MATCH(F2652,FmtName,0))</f>
        <v/>
      </c>
      <c r="T2652" s="46">
        <f>S2652/INDEX(FmtCansPerPack,MATCH(F2652,FmtName,0))</f>
        <v/>
      </c>
      <c r="U2652" s="47">
        <f>INDEX(ChBaseCP,MATCH(E2652,ChName,0))*(1+INDEX(ProvMod,MATCH(G2652,ProvCode,0)))*(1+PriceIndex)</f>
        <v/>
      </c>
      <c r="V2652" s="47">
        <f>R2652*U2652*INDEX(FmtBlendedPriceIdx,MATCH(F2652,FmtName,0))</f>
        <v/>
      </c>
      <c r="W2652" s="47">
        <f>T2652*INDEX(ProvSRP,MATCH(G2652,ProvCode,0))*(1+PriceIndex)</f>
        <v/>
      </c>
      <c r="X2652" s="47">
        <f>IF(GrossBasis="Wholesale",V2652,W2652)</f>
        <v/>
      </c>
      <c r="Y2652" s="47">
        <f>R2652*INDEX(FmtBlendedCogs,MATCH(F2652,FmtName,0))</f>
        <v/>
      </c>
      <c r="Z2652" s="47">
        <f>X2652-Y2652</f>
        <v/>
      </c>
    </row>
    <row r="2653">
      <c r="A2653" t="n">
        <v>2</v>
      </c>
      <c r="B2653" s="44">
        <f>FiscalStart+(A2653-1)*7</f>
        <v/>
      </c>
      <c r="C2653">
        <f>TEXT(B2653,"mmm yyyy")</f>
        <v/>
      </c>
      <c r="D2653">
        <f>"Q"&amp;(INT((A2653-1)/13)+1)</f>
        <v/>
      </c>
      <c r="E2653" t="inlineStr">
        <is>
          <t>Specialty</t>
        </is>
      </c>
      <c r="F2653">
        <f>IFERROR(INDEX(ChFormat,MATCH(E2653,ChName,0)),"")</f>
        <v/>
      </c>
      <c r="G2653" t="inlineStr">
        <is>
          <t>BC</t>
        </is>
      </c>
      <c r="H2653">
        <f>IF(A2653&lt;=NWeeks,1,0)</f>
        <v/>
      </c>
      <c r="I2653">
        <f>INDEX(ChLaunch,MATCH(E2653,ChName,0))</f>
        <v/>
      </c>
      <c r="J2653">
        <f>INDEX(ChWeeksFull,MATCH(E2653,ChName,0))</f>
        <v/>
      </c>
      <c r="K2653">
        <f>INDEX(ChRamp,MATCH(E2653,ChName,0))</f>
        <v/>
      </c>
      <c r="L2653" s="45">
        <f>MIN(1,MAX(0,(A2653-I2653+1)*RampSpeed/J2653))</f>
        <v/>
      </c>
      <c r="M2653" s="45">
        <f>IF(A2653&lt;I2653,0,IF(K2653="S-curve",L2653*L2653*(3-2*L2653),L2653))</f>
        <v/>
      </c>
      <c r="N2653" s="45">
        <f>1+(INDEX(SeasonIdx,A2653)-1)*SeasonAmp</f>
        <v/>
      </c>
      <c r="O2653" s="45">
        <f>IFERROR(INDEX(PSPct,MATCH(E2653&amp;"|"&amp;G2653,PSKey,0)),0)</f>
        <v/>
      </c>
      <c r="P2653" s="46">
        <f>INDEX(ChDoorVel,MATCH(E2653,ChName,0))*CalibScalar*(1+VelocityUplift)</f>
        <v/>
      </c>
      <c r="Q2653" s="46" t="n">
        <v>0</v>
      </c>
      <c r="R2653" s="46">
        <f>P2653*O2653*M2653*N2653*H2653</f>
        <v/>
      </c>
      <c r="S2653" s="46">
        <f>R2653*INDEX(FmtCansPerCase,MATCH(F2653,FmtName,0))</f>
        <v/>
      </c>
      <c r="T2653" s="46">
        <f>S2653/INDEX(FmtCansPerPack,MATCH(F2653,FmtName,0))</f>
        <v/>
      </c>
      <c r="U2653" s="47">
        <f>INDEX(ChBaseCP,MATCH(E2653,ChName,0))*(1+INDEX(ProvMod,MATCH(G2653,ProvCode,0)))*(1+PriceIndex)</f>
        <v/>
      </c>
      <c r="V2653" s="47">
        <f>R2653*U2653*INDEX(FmtBlendedPriceIdx,MATCH(F2653,FmtName,0))</f>
        <v/>
      </c>
      <c r="W2653" s="47">
        <f>T2653*INDEX(ProvSRP,MATCH(G2653,ProvCode,0))*(1+PriceIndex)</f>
        <v/>
      </c>
      <c r="X2653" s="47">
        <f>IF(GrossBasis="Wholesale",V2653,W2653)</f>
        <v/>
      </c>
      <c r="Y2653" s="47">
        <f>R2653*INDEX(FmtBlendedCogs,MATCH(F2653,FmtName,0))</f>
        <v/>
      </c>
      <c r="Z2653" s="47">
        <f>X2653-Y2653</f>
        <v/>
      </c>
    </row>
    <row r="2654">
      <c r="A2654" t="n">
        <v>3</v>
      </c>
      <c r="B2654" s="44">
        <f>FiscalStart+(A2654-1)*7</f>
        <v/>
      </c>
      <c r="C2654">
        <f>TEXT(B2654,"mmm yyyy")</f>
        <v/>
      </c>
      <c r="D2654">
        <f>"Q"&amp;(INT((A2654-1)/13)+1)</f>
        <v/>
      </c>
      <c r="E2654" t="inlineStr">
        <is>
          <t>Specialty</t>
        </is>
      </c>
      <c r="F2654">
        <f>IFERROR(INDEX(ChFormat,MATCH(E2654,ChName,0)),"")</f>
        <v/>
      </c>
      <c r="G2654" t="inlineStr">
        <is>
          <t>BC</t>
        </is>
      </c>
      <c r="H2654">
        <f>IF(A2654&lt;=NWeeks,1,0)</f>
        <v/>
      </c>
      <c r="I2654">
        <f>INDEX(ChLaunch,MATCH(E2654,ChName,0))</f>
        <v/>
      </c>
      <c r="J2654">
        <f>INDEX(ChWeeksFull,MATCH(E2654,ChName,0))</f>
        <v/>
      </c>
      <c r="K2654">
        <f>INDEX(ChRamp,MATCH(E2654,ChName,0))</f>
        <v/>
      </c>
      <c r="L2654" s="45">
        <f>MIN(1,MAX(0,(A2654-I2654+1)*RampSpeed/J2654))</f>
        <v/>
      </c>
      <c r="M2654" s="45">
        <f>IF(A2654&lt;I2654,0,IF(K2654="S-curve",L2654*L2654*(3-2*L2654),L2654))</f>
        <v/>
      </c>
      <c r="N2654" s="45">
        <f>1+(INDEX(SeasonIdx,A2654)-1)*SeasonAmp</f>
        <v/>
      </c>
      <c r="O2654" s="45">
        <f>IFERROR(INDEX(PSPct,MATCH(E2654&amp;"|"&amp;G2654,PSKey,0)),0)</f>
        <v/>
      </c>
      <c r="P2654" s="46">
        <f>INDEX(ChDoorVel,MATCH(E2654,ChName,0))*CalibScalar*(1+VelocityUplift)</f>
        <v/>
      </c>
      <c r="Q2654" s="46" t="n">
        <v>0</v>
      </c>
      <c r="R2654" s="46">
        <f>P2654*O2654*M2654*N2654*H2654</f>
        <v/>
      </c>
      <c r="S2654" s="46">
        <f>R2654*INDEX(FmtCansPerCase,MATCH(F2654,FmtName,0))</f>
        <v/>
      </c>
      <c r="T2654" s="46">
        <f>S2654/INDEX(FmtCansPerPack,MATCH(F2654,FmtName,0))</f>
        <v/>
      </c>
      <c r="U2654" s="47">
        <f>INDEX(ChBaseCP,MATCH(E2654,ChName,0))*(1+INDEX(ProvMod,MATCH(G2654,ProvCode,0)))*(1+PriceIndex)</f>
        <v/>
      </c>
      <c r="V2654" s="47">
        <f>R2654*U2654*INDEX(FmtBlendedPriceIdx,MATCH(F2654,FmtName,0))</f>
        <v/>
      </c>
      <c r="W2654" s="47">
        <f>T2654*INDEX(ProvSRP,MATCH(G2654,ProvCode,0))*(1+PriceIndex)</f>
        <v/>
      </c>
      <c r="X2654" s="47">
        <f>IF(GrossBasis="Wholesale",V2654,W2654)</f>
        <v/>
      </c>
      <c r="Y2654" s="47">
        <f>R2654*INDEX(FmtBlendedCogs,MATCH(F2654,FmtName,0))</f>
        <v/>
      </c>
      <c r="Z2654" s="47">
        <f>X2654-Y2654</f>
        <v/>
      </c>
    </row>
    <row r="2655">
      <c r="A2655" t="n">
        <v>4</v>
      </c>
      <c r="B2655" s="44">
        <f>FiscalStart+(A2655-1)*7</f>
        <v/>
      </c>
      <c r="C2655">
        <f>TEXT(B2655,"mmm yyyy")</f>
        <v/>
      </c>
      <c r="D2655">
        <f>"Q"&amp;(INT((A2655-1)/13)+1)</f>
        <v/>
      </c>
      <c r="E2655" t="inlineStr">
        <is>
          <t>Specialty</t>
        </is>
      </c>
      <c r="F2655">
        <f>IFERROR(INDEX(ChFormat,MATCH(E2655,ChName,0)),"")</f>
        <v/>
      </c>
      <c r="G2655" t="inlineStr">
        <is>
          <t>BC</t>
        </is>
      </c>
      <c r="H2655">
        <f>IF(A2655&lt;=NWeeks,1,0)</f>
        <v/>
      </c>
      <c r="I2655">
        <f>INDEX(ChLaunch,MATCH(E2655,ChName,0))</f>
        <v/>
      </c>
      <c r="J2655">
        <f>INDEX(ChWeeksFull,MATCH(E2655,ChName,0))</f>
        <v/>
      </c>
      <c r="K2655">
        <f>INDEX(ChRamp,MATCH(E2655,ChName,0))</f>
        <v/>
      </c>
      <c r="L2655" s="45">
        <f>MIN(1,MAX(0,(A2655-I2655+1)*RampSpeed/J2655))</f>
        <v/>
      </c>
      <c r="M2655" s="45">
        <f>IF(A2655&lt;I2655,0,IF(K2655="S-curve",L2655*L2655*(3-2*L2655),L2655))</f>
        <v/>
      </c>
      <c r="N2655" s="45">
        <f>1+(INDEX(SeasonIdx,A2655)-1)*SeasonAmp</f>
        <v/>
      </c>
      <c r="O2655" s="45">
        <f>IFERROR(INDEX(PSPct,MATCH(E2655&amp;"|"&amp;G2655,PSKey,0)),0)</f>
        <v/>
      </c>
      <c r="P2655" s="46">
        <f>INDEX(ChDoorVel,MATCH(E2655,ChName,0))*CalibScalar*(1+VelocityUplift)</f>
        <v/>
      </c>
      <c r="Q2655" s="46" t="n">
        <v>0</v>
      </c>
      <c r="R2655" s="46">
        <f>P2655*O2655*M2655*N2655*H2655</f>
        <v/>
      </c>
      <c r="S2655" s="46">
        <f>R2655*INDEX(FmtCansPerCase,MATCH(F2655,FmtName,0))</f>
        <v/>
      </c>
      <c r="T2655" s="46">
        <f>S2655/INDEX(FmtCansPerPack,MATCH(F2655,FmtName,0))</f>
        <v/>
      </c>
      <c r="U2655" s="47">
        <f>INDEX(ChBaseCP,MATCH(E2655,ChName,0))*(1+INDEX(ProvMod,MATCH(G2655,ProvCode,0)))*(1+PriceIndex)</f>
        <v/>
      </c>
      <c r="V2655" s="47">
        <f>R2655*U2655*INDEX(FmtBlendedPriceIdx,MATCH(F2655,FmtName,0))</f>
        <v/>
      </c>
      <c r="W2655" s="47">
        <f>T2655*INDEX(ProvSRP,MATCH(G2655,ProvCode,0))*(1+PriceIndex)</f>
        <v/>
      </c>
      <c r="X2655" s="47">
        <f>IF(GrossBasis="Wholesale",V2655,W2655)</f>
        <v/>
      </c>
      <c r="Y2655" s="47">
        <f>R2655*INDEX(FmtBlendedCogs,MATCH(F2655,FmtName,0))</f>
        <v/>
      </c>
      <c r="Z2655" s="47">
        <f>X2655-Y2655</f>
        <v/>
      </c>
    </row>
    <row r="2656">
      <c r="A2656" t="n">
        <v>5</v>
      </c>
      <c r="B2656" s="44">
        <f>FiscalStart+(A2656-1)*7</f>
        <v/>
      </c>
      <c r="C2656">
        <f>TEXT(B2656,"mmm yyyy")</f>
        <v/>
      </c>
      <c r="D2656">
        <f>"Q"&amp;(INT((A2656-1)/13)+1)</f>
        <v/>
      </c>
      <c r="E2656" t="inlineStr">
        <is>
          <t>Specialty</t>
        </is>
      </c>
      <c r="F2656">
        <f>IFERROR(INDEX(ChFormat,MATCH(E2656,ChName,0)),"")</f>
        <v/>
      </c>
      <c r="G2656" t="inlineStr">
        <is>
          <t>BC</t>
        </is>
      </c>
      <c r="H2656">
        <f>IF(A2656&lt;=NWeeks,1,0)</f>
        <v/>
      </c>
      <c r="I2656">
        <f>INDEX(ChLaunch,MATCH(E2656,ChName,0))</f>
        <v/>
      </c>
      <c r="J2656">
        <f>INDEX(ChWeeksFull,MATCH(E2656,ChName,0))</f>
        <v/>
      </c>
      <c r="K2656">
        <f>INDEX(ChRamp,MATCH(E2656,ChName,0))</f>
        <v/>
      </c>
      <c r="L2656" s="45">
        <f>MIN(1,MAX(0,(A2656-I2656+1)*RampSpeed/J2656))</f>
        <v/>
      </c>
      <c r="M2656" s="45">
        <f>IF(A2656&lt;I2656,0,IF(K2656="S-curve",L2656*L2656*(3-2*L2656),L2656))</f>
        <v/>
      </c>
      <c r="N2656" s="45">
        <f>1+(INDEX(SeasonIdx,A2656)-1)*SeasonAmp</f>
        <v/>
      </c>
      <c r="O2656" s="45">
        <f>IFERROR(INDEX(PSPct,MATCH(E2656&amp;"|"&amp;G2656,PSKey,0)),0)</f>
        <v/>
      </c>
      <c r="P2656" s="46">
        <f>INDEX(ChDoorVel,MATCH(E2656,ChName,0))*CalibScalar*(1+VelocityUplift)</f>
        <v/>
      </c>
      <c r="Q2656" s="46" t="n">
        <v>0</v>
      </c>
      <c r="R2656" s="46">
        <f>P2656*O2656*M2656*N2656*H2656</f>
        <v/>
      </c>
      <c r="S2656" s="46">
        <f>R2656*INDEX(FmtCansPerCase,MATCH(F2656,FmtName,0))</f>
        <v/>
      </c>
      <c r="T2656" s="46">
        <f>S2656/INDEX(FmtCansPerPack,MATCH(F2656,FmtName,0))</f>
        <v/>
      </c>
      <c r="U2656" s="47">
        <f>INDEX(ChBaseCP,MATCH(E2656,ChName,0))*(1+INDEX(ProvMod,MATCH(G2656,ProvCode,0)))*(1+PriceIndex)</f>
        <v/>
      </c>
      <c r="V2656" s="47">
        <f>R2656*U2656*INDEX(FmtBlendedPriceIdx,MATCH(F2656,FmtName,0))</f>
        <v/>
      </c>
      <c r="W2656" s="47">
        <f>T2656*INDEX(ProvSRP,MATCH(G2656,ProvCode,0))*(1+PriceIndex)</f>
        <v/>
      </c>
      <c r="X2656" s="47">
        <f>IF(GrossBasis="Wholesale",V2656,W2656)</f>
        <v/>
      </c>
      <c r="Y2656" s="47">
        <f>R2656*INDEX(FmtBlendedCogs,MATCH(F2656,FmtName,0))</f>
        <v/>
      </c>
      <c r="Z2656" s="47">
        <f>X2656-Y2656</f>
        <v/>
      </c>
    </row>
    <row r="2657">
      <c r="A2657" t="n">
        <v>6</v>
      </c>
      <c r="B2657" s="44">
        <f>FiscalStart+(A2657-1)*7</f>
        <v/>
      </c>
      <c r="C2657">
        <f>TEXT(B2657,"mmm yyyy")</f>
        <v/>
      </c>
      <c r="D2657">
        <f>"Q"&amp;(INT((A2657-1)/13)+1)</f>
        <v/>
      </c>
      <c r="E2657" t="inlineStr">
        <is>
          <t>Specialty</t>
        </is>
      </c>
      <c r="F2657">
        <f>IFERROR(INDEX(ChFormat,MATCH(E2657,ChName,0)),"")</f>
        <v/>
      </c>
      <c r="G2657" t="inlineStr">
        <is>
          <t>BC</t>
        </is>
      </c>
      <c r="H2657">
        <f>IF(A2657&lt;=NWeeks,1,0)</f>
        <v/>
      </c>
      <c r="I2657">
        <f>INDEX(ChLaunch,MATCH(E2657,ChName,0))</f>
        <v/>
      </c>
      <c r="J2657">
        <f>INDEX(ChWeeksFull,MATCH(E2657,ChName,0))</f>
        <v/>
      </c>
      <c r="K2657">
        <f>INDEX(ChRamp,MATCH(E2657,ChName,0))</f>
        <v/>
      </c>
      <c r="L2657" s="45">
        <f>MIN(1,MAX(0,(A2657-I2657+1)*RampSpeed/J2657))</f>
        <v/>
      </c>
      <c r="M2657" s="45">
        <f>IF(A2657&lt;I2657,0,IF(K2657="S-curve",L2657*L2657*(3-2*L2657),L2657))</f>
        <v/>
      </c>
      <c r="N2657" s="45">
        <f>1+(INDEX(SeasonIdx,A2657)-1)*SeasonAmp</f>
        <v/>
      </c>
      <c r="O2657" s="45">
        <f>IFERROR(INDEX(PSPct,MATCH(E2657&amp;"|"&amp;G2657,PSKey,0)),0)</f>
        <v/>
      </c>
      <c r="P2657" s="46">
        <f>INDEX(ChDoorVel,MATCH(E2657,ChName,0))*CalibScalar*(1+VelocityUplift)</f>
        <v/>
      </c>
      <c r="Q2657" s="46" t="n">
        <v>0</v>
      </c>
      <c r="R2657" s="46">
        <f>P2657*O2657*M2657*N2657*H2657</f>
        <v/>
      </c>
      <c r="S2657" s="46">
        <f>R2657*INDEX(FmtCansPerCase,MATCH(F2657,FmtName,0))</f>
        <v/>
      </c>
      <c r="T2657" s="46">
        <f>S2657/INDEX(FmtCansPerPack,MATCH(F2657,FmtName,0))</f>
        <v/>
      </c>
      <c r="U2657" s="47">
        <f>INDEX(ChBaseCP,MATCH(E2657,ChName,0))*(1+INDEX(ProvMod,MATCH(G2657,ProvCode,0)))*(1+PriceIndex)</f>
        <v/>
      </c>
      <c r="V2657" s="47">
        <f>R2657*U2657*INDEX(FmtBlendedPriceIdx,MATCH(F2657,FmtName,0))</f>
        <v/>
      </c>
      <c r="W2657" s="47">
        <f>T2657*INDEX(ProvSRP,MATCH(G2657,ProvCode,0))*(1+PriceIndex)</f>
        <v/>
      </c>
      <c r="X2657" s="47">
        <f>IF(GrossBasis="Wholesale",V2657,W2657)</f>
        <v/>
      </c>
      <c r="Y2657" s="47">
        <f>R2657*INDEX(FmtBlendedCogs,MATCH(F2657,FmtName,0))</f>
        <v/>
      </c>
      <c r="Z2657" s="47">
        <f>X2657-Y2657</f>
        <v/>
      </c>
    </row>
    <row r="2658">
      <c r="A2658" t="n">
        <v>7</v>
      </c>
      <c r="B2658" s="44">
        <f>FiscalStart+(A2658-1)*7</f>
        <v/>
      </c>
      <c r="C2658">
        <f>TEXT(B2658,"mmm yyyy")</f>
        <v/>
      </c>
      <c r="D2658">
        <f>"Q"&amp;(INT((A2658-1)/13)+1)</f>
        <v/>
      </c>
      <c r="E2658" t="inlineStr">
        <is>
          <t>Specialty</t>
        </is>
      </c>
      <c r="F2658">
        <f>IFERROR(INDEX(ChFormat,MATCH(E2658,ChName,0)),"")</f>
        <v/>
      </c>
      <c r="G2658" t="inlineStr">
        <is>
          <t>BC</t>
        </is>
      </c>
      <c r="H2658">
        <f>IF(A2658&lt;=NWeeks,1,0)</f>
        <v/>
      </c>
      <c r="I2658">
        <f>INDEX(ChLaunch,MATCH(E2658,ChName,0))</f>
        <v/>
      </c>
      <c r="J2658">
        <f>INDEX(ChWeeksFull,MATCH(E2658,ChName,0))</f>
        <v/>
      </c>
      <c r="K2658">
        <f>INDEX(ChRamp,MATCH(E2658,ChName,0))</f>
        <v/>
      </c>
      <c r="L2658" s="45">
        <f>MIN(1,MAX(0,(A2658-I2658+1)*RampSpeed/J2658))</f>
        <v/>
      </c>
      <c r="M2658" s="45">
        <f>IF(A2658&lt;I2658,0,IF(K2658="S-curve",L2658*L2658*(3-2*L2658),L2658))</f>
        <v/>
      </c>
      <c r="N2658" s="45">
        <f>1+(INDEX(SeasonIdx,A2658)-1)*SeasonAmp</f>
        <v/>
      </c>
      <c r="O2658" s="45">
        <f>IFERROR(INDEX(PSPct,MATCH(E2658&amp;"|"&amp;G2658,PSKey,0)),0)</f>
        <v/>
      </c>
      <c r="P2658" s="46">
        <f>INDEX(ChDoorVel,MATCH(E2658,ChName,0))*CalibScalar*(1+VelocityUplift)</f>
        <v/>
      </c>
      <c r="Q2658" s="46" t="n">
        <v>0</v>
      </c>
      <c r="R2658" s="46">
        <f>P2658*O2658*M2658*N2658*H2658</f>
        <v/>
      </c>
      <c r="S2658" s="46">
        <f>R2658*INDEX(FmtCansPerCase,MATCH(F2658,FmtName,0))</f>
        <v/>
      </c>
      <c r="T2658" s="46">
        <f>S2658/INDEX(FmtCansPerPack,MATCH(F2658,FmtName,0))</f>
        <v/>
      </c>
      <c r="U2658" s="47">
        <f>INDEX(ChBaseCP,MATCH(E2658,ChName,0))*(1+INDEX(ProvMod,MATCH(G2658,ProvCode,0)))*(1+PriceIndex)</f>
        <v/>
      </c>
      <c r="V2658" s="47">
        <f>R2658*U2658*INDEX(FmtBlendedPriceIdx,MATCH(F2658,FmtName,0))</f>
        <v/>
      </c>
      <c r="W2658" s="47">
        <f>T2658*INDEX(ProvSRP,MATCH(G2658,ProvCode,0))*(1+PriceIndex)</f>
        <v/>
      </c>
      <c r="X2658" s="47">
        <f>IF(GrossBasis="Wholesale",V2658,W2658)</f>
        <v/>
      </c>
      <c r="Y2658" s="47">
        <f>R2658*INDEX(FmtBlendedCogs,MATCH(F2658,FmtName,0))</f>
        <v/>
      </c>
      <c r="Z2658" s="47">
        <f>X2658-Y2658</f>
        <v/>
      </c>
    </row>
    <row r="2659">
      <c r="A2659" t="n">
        <v>8</v>
      </c>
      <c r="B2659" s="44">
        <f>FiscalStart+(A2659-1)*7</f>
        <v/>
      </c>
      <c r="C2659">
        <f>TEXT(B2659,"mmm yyyy")</f>
        <v/>
      </c>
      <c r="D2659">
        <f>"Q"&amp;(INT((A2659-1)/13)+1)</f>
        <v/>
      </c>
      <c r="E2659" t="inlineStr">
        <is>
          <t>Specialty</t>
        </is>
      </c>
      <c r="F2659">
        <f>IFERROR(INDEX(ChFormat,MATCH(E2659,ChName,0)),"")</f>
        <v/>
      </c>
      <c r="G2659" t="inlineStr">
        <is>
          <t>BC</t>
        </is>
      </c>
      <c r="H2659">
        <f>IF(A2659&lt;=NWeeks,1,0)</f>
        <v/>
      </c>
      <c r="I2659">
        <f>INDEX(ChLaunch,MATCH(E2659,ChName,0))</f>
        <v/>
      </c>
      <c r="J2659">
        <f>INDEX(ChWeeksFull,MATCH(E2659,ChName,0))</f>
        <v/>
      </c>
      <c r="K2659">
        <f>INDEX(ChRamp,MATCH(E2659,ChName,0))</f>
        <v/>
      </c>
      <c r="L2659" s="45">
        <f>MIN(1,MAX(0,(A2659-I2659+1)*RampSpeed/J2659))</f>
        <v/>
      </c>
      <c r="M2659" s="45">
        <f>IF(A2659&lt;I2659,0,IF(K2659="S-curve",L2659*L2659*(3-2*L2659),L2659))</f>
        <v/>
      </c>
      <c r="N2659" s="45">
        <f>1+(INDEX(SeasonIdx,A2659)-1)*SeasonAmp</f>
        <v/>
      </c>
      <c r="O2659" s="45">
        <f>IFERROR(INDEX(PSPct,MATCH(E2659&amp;"|"&amp;G2659,PSKey,0)),0)</f>
        <v/>
      </c>
      <c r="P2659" s="46">
        <f>INDEX(ChDoorVel,MATCH(E2659,ChName,0))*CalibScalar*(1+VelocityUplift)</f>
        <v/>
      </c>
      <c r="Q2659" s="46" t="n">
        <v>0</v>
      </c>
      <c r="R2659" s="46">
        <f>P2659*O2659*M2659*N2659*H2659</f>
        <v/>
      </c>
      <c r="S2659" s="46">
        <f>R2659*INDEX(FmtCansPerCase,MATCH(F2659,FmtName,0))</f>
        <v/>
      </c>
      <c r="T2659" s="46">
        <f>S2659/INDEX(FmtCansPerPack,MATCH(F2659,FmtName,0))</f>
        <v/>
      </c>
      <c r="U2659" s="47">
        <f>INDEX(ChBaseCP,MATCH(E2659,ChName,0))*(1+INDEX(ProvMod,MATCH(G2659,ProvCode,0)))*(1+PriceIndex)</f>
        <v/>
      </c>
      <c r="V2659" s="47">
        <f>R2659*U2659*INDEX(FmtBlendedPriceIdx,MATCH(F2659,FmtName,0))</f>
        <v/>
      </c>
      <c r="W2659" s="47">
        <f>T2659*INDEX(ProvSRP,MATCH(G2659,ProvCode,0))*(1+PriceIndex)</f>
        <v/>
      </c>
      <c r="X2659" s="47">
        <f>IF(GrossBasis="Wholesale",V2659,W2659)</f>
        <v/>
      </c>
      <c r="Y2659" s="47">
        <f>R2659*INDEX(FmtBlendedCogs,MATCH(F2659,FmtName,0))</f>
        <v/>
      </c>
      <c r="Z2659" s="47">
        <f>X2659-Y2659</f>
        <v/>
      </c>
    </row>
    <row r="2660">
      <c r="A2660" t="n">
        <v>9</v>
      </c>
      <c r="B2660" s="44">
        <f>FiscalStart+(A2660-1)*7</f>
        <v/>
      </c>
      <c r="C2660">
        <f>TEXT(B2660,"mmm yyyy")</f>
        <v/>
      </c>
      <c r="D2660">
        <f>"Q"&amp;(INT((A2660-1)/13)+1)</f>
        <v/>
      </c>
      <c r="E2660" t="inlineStr">
        <is>
          <t>Specialty</t>
        </is>
      </c>
      <c r="F2660">
        <f>IFERROR(INDEX(ChFormat,MATCH(E2660,ChName,0)),"")</f>
        <v/>
      </c>
      <c r="G2660" t="inlineStr">
        <is>
          <t>BC</t>
        </is>
      </c>
      <c r="H2660">
        <f>IF(A2660&lt;=NWeeks,1,0)</f>
        <v/>
      </c>
      <c r="I2660">
        <f>INDEX(ChLaunch,MATCH(E2660,ChName,0))</f>
        <v/>
      </c>
      <c r="J2660">
        <f>INDEX(ChWeeksFull,MATCH(E2660,ChName,0))</f>
        <v/>
      </c>
      <c r="K2660">
        <f>INDEX(ChRamp,MATCH(E2660,ChName,0))</f>
        <v/>
      </c>
      <c r="L2660" s="45">
        <f>MIN(1,MAX(0,(A2660-I2660+1)*RampSpeed/J2660))</f>
        <v/>
      </c>
      <c r="M2660" s="45">
        <f>IF(A2660&lt;I2660,0,IF(K2660="S-curve",L2660*L2660*(3-2*L2660),L2660))</f>
        <v/>
      </c>
      <c r="N2660" s="45">
        <f>1+(INDEX(SeasonIdx,A2660)-1)*SeasonAmp</f>
        <v/>
      </c>
      <c r="O2660" s="45">
        <f>IFERROR(INDEX(PSPct,MATCH(E2660&amp;"|"&amp;G2660,PSKey,0)),0)</f>
        <v/>
      </c>
      <c r="P2660" s="46">
        <f>INDEX(ChDoorVel,MATCH(E2660,ChName,0))*CalibScalar*(1+VelocityUplift)</f>
        <v/>
      </c>
      <c r="Q2660" s="46" t="n">
        <v>0</v>
      </c>
      <c r="R2660" s="46">
        <f>P2660*O2660*M2660*N2660*H2660</f>
        <v/>
      </c>
      <c r="S2660" s="46">
        <f>R2660*INDEX(FmtCansPerCase,MATCH(F2660,FmtName,0))</f>
        <v/>
      </c>
      <c r="T2660" s="46">
        <f>S2660/INDEX(FmtCansPerPack,MATCH(F2660,FmtName,0))</f>
        <v/>
      </c>
      <c r="U2660" s="47">
        <f>INDEX(ChBaseCP,MATCH(E2660,ChName,0))*(1+INDEX(ProvMod,MATCH(G2660,ProvCode,0)))*(1+PriceIndex)</f>
        <v/>
      </c>
      <c r="V2660" s="47">
        <f>R2660*U2660*INDEX(FmtBlendedPriceIdx,MATCH(F2660,FmtName,0))</f>
        <v/>
      </c>
      <c r="W2660" s="47">
        <f>T2660*INDEX(ProvSRP,MATCH(G2660,ProvCode,0))*(1+PriceIndex)</f>
        <v/>
      </c>
      <c r="X2660" s="47">
        <f>IF(GrossBasis="Wholesale",V2660,W2660)</f>
        <v/>
      </c>
      <c r="Y2660" s="47">
        <f>R2660*INDEX(FmtBlendedCogs,MATCH(F2660,FmtName,0))</f>
        <v/>
      </c>
      <c r="Z2660" s="47">
        <f>X2660-Y2660</f>
        <v/>
      </c>
    </row>
    <row r="2661">
      <c r="A2661" t="n">
        <v>10</v>
      </c>
      <c r="B2661" s="44">
        <f>FiscalStart+(A2661-1)*7</f>
        <v/>
      </c>
      <c r="C2661">
        <f>TEXT(B2661,"mmm yyyy")</f>
        <v/>
      </c>
      <c r="D2661">
        <f>"Q"&amp;(INT((A2661-1)/13)+1)</f>
        <v/>
      </c>
      <c r="E2661" t="inlineStr">
        <is>
          <t>Specialty</t>
        </is>
      </c>
      <c r="F2661">
        <f>IFERROR(INDEX(ChFormat,MATCH(E2661,ChName,0)),"")</f>
        <v/>
      </c>
      <c r="G2661" t="inlineStr">
        <is>
          <t>BC</t>
        </is>
      </c>
      <c r="H2661">
        <f>IF(A2661&lt;=NWeeks,1,0)</f>
        <v/>
      </c>
      <c r="I2661">
        <f>INDEX(ChLaunch,MATCH(E2661,ChName,0))</f>
        <v/>
      </c>
      <c r="J2661">
        <f>INDEX(ChWeeksFull,MATCH(E2661,ChName,0))</f>
        <v/>
      </c>
      <c r="K2661">
        <f>INDEX(ChRamp,MATCH(E2661,ChName,0))</f>
        <v/>
      </c>
      <c r="L2661" s="45">
        <f>MIN(1,MAX(0,(A2661-I2661+1)*RampSpeed/J2661))</f>
        <v/>
      </c>
      <c r="M2661" s="45">
        <f>IF(A2661&lt;I2661,0,IF(K2661="S-curve",L2661*L2661*(3-2*L2661),L2661))</f>
        <v/>
      </c>
      <c r="N2661" s="45">
        <f>1+(INDEX(SeasonIdx,A2661)-1)*SeasonAmp</f>
        <v/>
      </c>
      <c r="O2661" s="45">
        <f>IFERROR(INDEX(PSPct,MATCH(E2661&amp;"|"&amp;G2661,PSKey,0)),0)</f>
        <v/>
      </c>
      <c r="P2661" s="46">
        <f>INDEX(ChDoorVel,MATCH(E2661,ChName,0))*CalibScalar*(1+VelocityUplift)</f>
        <v/>
      </c>
      <c r="Q2661" s="46" t="n">
        <v>0</v>
      </c>
      <c r="R2661" s="46">
        <f>P2661*O2661*M2661*N2661*H2661</f>
        <v/>
      </c>
      <c r="S2661" s="46">
        <f>R2661*INDEX(FmtCansPerCase,MATCH(F2661,FmtName,0))</f>
        <v/>
      </c>
      <c r="T2661" s="46">
        <f>S2661/INDEX(FmtCansPerPack,MATCH(F2661,FmtName,0))</f>
        <v/>
      </c>
      <c r="U2661" s="47">
        <f>INDEX(ChBaseCP,MATCH(E2661,ChName,0))*(1+INDEX(ProvMod,MATCH(G2661,ProvCode,0)))*(1+PriceIndex)</f>
        <v/>
      </c>
      <c r="V2661" s="47">
        <f>R2661*U2661*INDEX(FmtBlendedPriceIdx,MATCH(F2661,FmtName,0))</f>
        <v/>
      </c>
      <c r="W2661" s="47">
        <f>T2661*INDEX(ProvSRP,MATCH(G2661,ProvCode,0))*(1+PriceIndex)</f>
        <v/>
      </c>
      <c r="X2661" s="47">
        <f>IF(GrossBasis="Wholesale",V2661,W2661)</f>
        <v/>
      </c>
      <c r="Y2661" s="47">
        <f>R2661*INDEX(FmtBlendedCogs,MATCH(F2661,FmtName,0))</f>
        <v/>
      </c>
      <c r="Z2661" s="47">
        <f>X2661-Y2661</f>
        <v/>
      </c>
    </row>
    <row r="2662">
      <c r="A2662" t="n">
        <v>11</v>
      </c>
      <c r="B2662" s="44">
        <f>FiscalStart+(A2662-1)*7</f>
        <v/>
      </c>
      <c r="C2662">
        <f>TEXT(B2662,"mmm yyyy")</f>
        <v/>
      </c>
      <c r="D2662">
        <f>"Q"&amp;(INT((A2662-1)/13)+1)</f>
        <v/>
      </c>
      <c r="E2662" t="inlineStr">
        <is>
          <t>Specialty</t>
        </is>
      </c>
      <c r="F2662">
        <f>IFERROR(INDEX(ChFormat,MATCH(E2662,ChName,0)),"")</f>
        <v/>
      </c>
      <c r="G2662" t="inlineStr">
        <is>
          <t>BC</t>
        </is>
      </c>
      <c r="H2662">
        <f>IF(A2662&lt;=NWeeks,1,0)</f>
        <v/>
      </c>
      <c r="I2662">
        <f>INDEX(ChLaunch,MATCH(E2662,ChName,0))</f>
        <v/>
      </c>
      <c r="J2662">
        <f>INDEX(ChWeeksFull,MATCH(E2662,ChName,0))</f>
        <v/>
      </c>
      <c r="K2662">
        <f>INDEX(ChRamp,MATCH(E2662,ChName,0))</f>
        <v/>
      </c>
      <c r="L2662" s="45">
        <f>MIN(1,MAX(0,(A2662-I2662+1)*RampSpeed/J2662))</f>
        <v/>
      </c>
      <c r="M2662" s="45">
        <f>IF(A2662&lt;I2662,0,IF(K2662="S-curve",L2662*L2662*(3-2*L2662),L2662))</f>
        <v/>
      </c>
      <c r="N2662" s="45">
        <f>1+(INDEX(SeasonIdx,A2662)-1)*SeasonAmp</f>
        <v/>
      </c>
      <c r="O2662" s="45">
        <f>IFERROR(INDEX(PSPct,MATCH(E2662&amp;"|"&amp;G2662,PSKey,0)),0)</f>
        <v/>
      </c>
      <c r="P2662" s="46">
        <f>INDEX(ChDoorVel,MATCH(E2662,ChName,0))*CalibScalar*(1+VelocityUplift)</f>
        <v/>
      </c>
      <c r="Q2662" s="46" t="n">
        <v>0</v>
      </c>
      <c r="R2662" s="46">
        <f>P2662*O2662*M2662*N2662*H2662</f>
        <v/>
      </c>
      <c r="S2662" s="46">
        <f>R2662*INDEX(FmtCansPerCase,MATCH(F2662,FmtName,0))</f>
        <v/>
      </c>
      <c r="T2662" s="46">
        <f>S2662/INDEX(FmtCansPerPack,MATCH(F2662,FmtName,0))</f>
        <v/>
      </c>
      <c r="U2662" s="47">
        <f>INDEX(ChBaseCP,MATCH(E2662,ChName,0))*(1+INDEX(ProvMod,MATCH(G2662,ProvCode,0)))*(1+PriceIndex)</f>
        <v/>
      </c>
      <c r="V2662" s="47">
        <f>R2662*U2662*INDEX(FmtBlendedPriceIdx,MATCH(F2662,FmtName,0))</f>
        <v/>
      </c>
      <c r="W2662" s="47">
        <f>T2662*INDEX(ProvSRP,MATCH(G2662,ProvCode,0))*(1+PriceIndex)</f>
        <v/>
      </c>
      <c r="X2662" s="47">
        <f>IF(GrossBasis="Wholesale",V2662,W2662)</f>
        <v/>
      </c>
      <c r="Y2662" s="47">
        <f>R2662*INDEX(FmtBlendedCogs,MATCH(F2662,FmtName,0))</f>
        <v/>
      </c>
      <c r="Z2662" s="47">
        <f>X2662-Y2662</f>
        <v/>
      </c>
    </row>
    <row r="2663">
      <c r="A2663" t="n">
        <v>12</v>
      </c>
      <c r="B2663" s="44">
        <f>FiscalStart+(A2663-1)*7</f>
        <v/>
      </c>
      <c r="C2663">
        <f>TEXT(B2663,"mmm yyyy")</f>
        <v/>
      </c>
      <c r="D2663">
        <f>"Q"&amp;(INT((A2663-1)/13)+1)</f>
        <v/>
      </c>
      <c r="E2663" t="inlineStr">
        <is>
          <t>Specialty</t>
        </is>
      </c>
      <c r="F2663">
        <f>IFERROR(INDEX(ChFormat,MATCH(E2663,ChName,0)),"")</f>
        <v/>
      </c>
      <c r="G2663" t="inlineStr">
        <is>
          <t>BC</t>
        </is>
      </c>
      <c r="H2663">
        <f>IF(A2663&lt;=NWeeks,1,0)</f>
        <v/>
      </c>
      <c r="I2663">
        <f>INDEX(ChLaunch,MATCH(E2663,ChName,0))</f>
        <v/>
      </c>
      <c r="J2663">
        <f>INDEX(ChWeeksFull,MATCH(E2663,ChName,0))</f>
        <v/>
      </c>
      <c r="K2663">
        <f>INDEX(ChRamp,MATCH(E2663,ChName,0))</f>
        <v/>
      </c>
      <c r="L2663" s="45">
        <f>MIN(1,MAX(0,(A2663-I2663+1)*RampSpeed/J2663))</f>
        <v/>
      </c>
      <c r="M2663" s="45">
        <f>IF(A2663&lt;I2663,0,IF(K2663="S-curve",L2663*L2663*(3-2*L2663),L2663))</f>
        <v/>
      </c>
      <c r="N2663" s="45">
        <f>1+(INDEX(SeasonIdx,A2663)-1)*SeasonAmp</f>
        <v/>
      </c>
      <c r="O2663" s="45">
        <f>IFERROR(INDEX(PSPct,MATCH(E2663&amp;"|"&amp;G2663,PSKey,0)),0)</f>
        <v/>
      </c>
      <c r="P2663" s="46">
        <f>INDEX(ChDoorVel,MATCH(E2663,ChName,0))*CalibScalar*(1+VelocityUplift)</f>
        <v/>
      </c>
      <c r="Q2663" s="46" t="n">
        <v>0</v>
      </c>
      <c r="R2663" s="46">
        <f>P2663*O2663*M2663*N2663*H2663</f>
        <v/>
      </c>
      <c r="S2663" s="46">
        <f>R2663*INDEX(FmtCansPerCase,MATCH(F2663,FmtName,0))</f>
        <v/>
      </c>
      <c r="T2663" s="46">
        <f>S2663/INDEX(FmtCansPerPack,MATCH(F2663,FmtName,0))</f>
        <v/>
      </c>
      <c r="U2663" s="47">
        <f>INDEX(ChBaseCP,MATCH(E2663,ChName,0))*(1+INDEX(ProvMod,MATCH(G2663,ProvCode,0)))*(1+PriceIndex)</f>
        <v/>
      </c>
      <c r="V2663" s="47">
        <f>R2663*U2663*INDEX(FmtBlendedPriceIdx,MATCH(F2663,FmtName,0))</f>
        <v/>
      </c>
      <c r="W2663" s="47">
        <f>T2663*INDEX(ProvSRP,MATCH(G2663,ProvCode,0))*(1+PriceIndex)</f>
        <v/>
      </c>
      <c r="X2663" s="47">
        <f>IF(GrossBasis="Wholesale",V2663,W2663)</f>
        <v/>
      </c>
      <c r="Y2663" s="47">
        <f>R2663*INDEX(FmtBlendedCogs,MATCH(F2663,FmtName,0))</f>
        <v/>
      </c>
      <c r="Z2663" s="47">
        <f>X2663-Y2663</f>
        <v/>
      </c>
    </row>
    <row r="2664">
      <c r="A2664" t="n">
        <v>13</v>
      </c>
      <c r="B2664" s="44">
        <f>FiscalStart+(A2664-1)*7</f>
        <v/>
      </c>
      <c r="C2664">
        <f>TEXT(B2664,"mmm yyyy")</f>
        <v/>
      </c>
      <c r="D2664">
        <f>"Q"&amp;(INT((A2664-1)/13)+1)</f>
        <v/>
      </c>
      <c r="E2664" t="inlineStr">
        <is>
          <t>Specialty</t>
        </is>
      </c>
      <c r="F2664">
        <f>IFERROR(INDEX(ChFormat,MATCH(E2664,ChName,0)),"")</f>
        <v/>
      </c>
      <c r="G2664" t="inlineStr">
        <is>
          <t>BC</t>
        </is>
      </c>
      <c r="H2664">
        <f>IF(A2664&lt;=NWeeks,1,0)</f>
        <v/>
      </c>
      <c r="I2664">
        <f>INDEX(ChLaunch,MATCH(E2664,ChName,0))</f>
        <v/>
      </c>
      <c r="J2664">
        <f>INDEX(ChWeeksFull,MATCH(E2664,ChName,0))</f>
        <v/>
      </c>
      <c r="K2664">
        <f>INDEX(ChRamp,MATCH(E2664,ChName,0))</f>
        <v/>
      </c>
      <c r="L2664" s="45">
        <f>MIN(1,MAX(0,(A2664-I2664+1)*RampSpeed/J2664))</f>
        <v/>
      </c>
      <c r="M2664" s="45">
        <f>IF(A2664&lt;I2664,0,IF(K2664="S-curve",L2664*L2664*(3-2*L2664),L2664))</f>
        <v/>
      </c>
      <c r="N2664" s="45">
        <f>1+(INDEX(SeasonIdx,A2664)-1)*SeasonAmp</f>
        <v/>
      </c>
      <c r="O2664" s="45">
        <f>IFERROR(INDEX(PSPct,MATCH(E2664&amp;"|"&amp;G2664,PSKey,0)),0)</f>
        <v/>
      </c>
      <c r="P2664" s="46">
        <f>INDEX(ChDoorVel,MATCH(E2664,ChName,0))*CalibScalar*(1+VelocityUplift)</f>
        <v/>
      </c>
      <c r="Q2664" s="46" t="n">
        <v>0</v>
      </c>
      <c r="R2664" s="46">
        <f>P2664*O2664*M2664*N2664*H2664</f>
        <v/>
      </c>
      <c r="S2664" s="46">
        <f>R2664*INDEX(FmtCansPerCase,MATCH(F2664,FmtName,0))</f>
        <v/>
      </c>
      <c r="T2664" s="46">
        <f>S2664/INDEX(FmtCansPerPack,MATCH(F2664,FmtName,0))</f>
        <v/>
      </c>
      <c r="U2664" s="47">
        <f>INDEX(ChBaseCP,MATCH(E2664,ChName,0))*(1+INDEX(ProvMod,MATCH(G2664,ProvCode,0)))*(1+PriceIndex)</f>
        <v/>
      </c>
      <c r="V2664" s="47">
        <f>R2664*U2664*INDEX(FmtBlendedPriceIdx,MATCH(F2664,FmtName,0))</f>
        <v/>
      </c>
      <c r="W2664" s="47">
        <f>T2664*INDEX(ProvSRP,MATCH(G2664,ProvCode,0))*(1+PriceIndex)</f>
        <v/>
      </c>
      <c r="X2664" s="47">
        <f>IF(GrossBasis="Wholesale",V2664,W2664)</f>
        <v/>
      </c>
      <c r="Y2664" s="47">
        <f>R2664*INDEX(FmtBlendedCogs,MATCH(F2664,FmtName,0))</f>
        <v/>
      </c>
      <c r="Z2664" s="47">
        <f>X2664-Y2664</f>
        <v/>
      </c>
    </row>
    <row r="2665">
      <c r="A2665" t="n">
        <v>14</v>
      </c>
      <c r="B2665" s="44">
        <f>FiscalStart+(A2665-1)*7</f>
        <v/>
      </c>
      <c r="C2665">
        <f>TEXT(B2665,"mmm yyyy")</f>
        <v/>
      </c>
      <c r="D2665">
        <f>"Q"&amp;(INT((A2665-1)/13)+1)</f>
        <v/>
      </c>
      <c r="E2665" t="inlineStr">
        <is>
          <t>Specialty</t>
        </is>
      </c>
      <c r="F2665">
        <f>IFERROR(INDEX(ChFormat,MATCH(E2665,ChName,0)),"")</f>
        <v/>
      </c>
      <c r="G2665" t="inlineStr">
        <is>
          <t>BC</t>
        </is>
      </c>
      <c r="H2665">
        <f>IF(A2665&lt;=NWeeks,1,0)</f>
        <v/>
      </c>
      <c r="I2665">
        <f>INDEX(ChLaunch,MATCH(E2665,ChName,0))</f>
        <v/>
      </c>
      <c r="J2665">
        <f>INDEX(ChWeeksFull,MATCH(E2665,ChName,0))</f>
        <v/>
      </c>
      <c r="K2665">
        <f>INDEX(ChRamp,MATCH(E2665,ChName,0))</f>
        <v/>
      </c>
      <c r="L2665" s="45">
        <f>MIN(1,MAX(0,(A2665-I2665+1)*RampSpeed/J2665))</f>
        <v/>
      </c>
      <c r="M2665" s="45">
        <f>IF(A2665&lt;I2665,0,IF(K2665="S-curve",L2665*L2665*(3-2*L2665),L2665))</f>
        <v/>
      </c>
      <c r="N2665" s="45">
        <f>1+(INDEX(SeasonIdx,A2665)-1)*SeasonAmp</f>
        <v/>
      </c>
      <c r="O2665" s="45">
        <f>IFERROR(INDEX(PSPct,MATCH(E2665&amp;"|"&amp;G2665,PSKey,0)),0)</f>
        <v/>
      </c>
      <c r="P2665" s="46">
        <f>INDEX(ChDoorVel,MATCH(E2665,ChName,0))*CalibScalar*(1+VelocityUplift)</f>
        <v/>
      </c>
      <c r="Q2665" s="46" t="n">
        <v>0</v>
      </c>
      <c r="R2665" s="46">
        <f>P2665*O2665*M2665*N2665*H2665</f>
        <v/>
      </c>
      <c r="S2665" s="46">
        <f>R2665*INDEX(FmtCansPerCase,MATCH(F2665,FmtName,0))</f>
        <v/>
      </c>
      <c r="T2665" s="46">
        <f>S2665/INDEX(FmtCansPerPack,MATCH(F2665,FmtName,0))</f>
        <v/>
      </c>
      <c r="U2665" s="47">
        <f>INDEX(ChBaseCP,MATCH(E2665,ChName,0))*(1+INDEX(ProvMod,MATCH(G2665,ProvCode,0)))*(1+PriceIndex)</f>
        <v/>
      </c>
      <c r="V2665" s="47">
        <f>R2665*U2665*INDEX(FmtBlendedPriceIdx,MATCH(F2665,FmtName,0))</f>
        <v/>
      </c>
      <c r="W2665" s="47">
        <f>T2665*INDEX(ProvSRP,MATCH(G2665,ProvCode,0))*(1+PriceIndex)</f>
        <v/>
      </c>
      <c r="X2665" s="47">
        <f>IF(GrossBasis="Wholesale",V2665,W2665)</f>
        <v/>
      </c>
      <c r="Y2665" s="47">
        <f>R2665*INDEX(FmtBlendedCogs,MATCH(F2665,FmtName,0))</f>
        <v/>
      </c>
      <c r="Z2665" s="47">
        <f>X2665-Y2665</f>
        <v/>
      </c>
    </row>
    <row r="2666">
      <c r="A2666" t="n">
        <v>15</v>
      </c>
      <c r="B2666" s="44">
        <f>FiscalStart+(A2666-1)*7</f>
        <v/>
      </c>
      <c r="C2666">
        <f>TEXT(B2666,"mmm yyyy")</f>
        <v/>
      </c>
      <c r="D2666">
        <f>"Q"&amp;(INT((A2666-1)/13)+1)</f>
        <v/>
      </c>
      <c r="E2666" t="inlineStr">
        <is>
          <t>Specialty</t>
        </is>
      </c>
      <c r="F2666">
        <f>IFERROR(INDEX(ChFormat,MATCH(E2666,ChName,0)),"")</f>
        <v/>
      </c>
      <c r="G2666" t="inlineStr">
        <is>
          <t>BC</t>
        </is>
      </c>
      <c r="H2666">
        <f>IF(A2666&lt;=NWeeks,1,0)</f>
        <v/>
      </c>
      <c r="I2666">
        <f>INDEX(ChLaunch,MATCH(E2666,ChName,0))</f>
        <v/>
      </c>
      <c r="J2666">
        <f>INDEX(ChWeeksFull,MATCH(E2666,ChName,0))</f>
        <v/>
      </c>
      <c r="K2666">
        <f>INDEX(ChRamp,MATCH(E2666,ChName,0))</f>
        <v/>
      </c>
      <c r="L2666" s="45">
        <f>MIN(1,MAX(0,(A2666-I2666+1)*RampSpeed/J2666))</f>
        <v/>
      </c>
      <c r="M2666" s="45">
        <f>IF(A2666&lt;I2666,0,IF(K2666="S-curve",L2666*L2666*(3-2*L2666),L2666))</f>
        <v/>
      </c>
      <c r="N2666" s="45">
        <f>1+(INDEX(SeasonIdx,A2666)-1)*SeasonAmp</f>
        <v/>
      </c>
      <c r="O2666" s="45">
        <f>IFERROR(INDEX(PSPct,MATCH(E2666&amp;"|"&amp;G2666,PSKey,0)),0)</f>
        <v/>
      </c>
      <c r="P2666" s="46">
        <f>INDEX(ChDoorVel,MATCH(E2666,ChName,0))*CalibScalar*(1+VelocityUplift)</f>
        <v/>
      </c>
      <c r="Q2666" s="46" t="n">
        <v>0</v>
      </c>
      <c r="R2666" s="46">
        <f>P2666*O2666*M2666*N2666*H2666</f>
        <v/>
      </c>
      <c r="S2666" s="46">
        <f>R2666*INDEX(FmtCansPerCase,MATCH(F2666,FmtName,0))</f>
        <v/>
      </c>
      <c r="T2666" s="46">
        <f>S2666/INDEX(FmtCansPerPack,MATCH(F2666,FmtName,0))</f>
        <v/>
      </c>
      <c r="U2666" s="47">
        <f>INDEX(ChBaseCP,MATCH(E2666,ChName,0))*(1+INDEX(ProvMod,MATCH(G2666,ProvCode,0)))*(1+PriceIndex)</f>
        <v/>
      </c>
      <c r="V2666" s="47">
        <f>R2666*U2666*INDEX(FmtBlendedPriceIdx,MATCH(F2666,FmtName,0))</f>
        <v/>
      </c>
      <c r="W2666" s="47">
        <f>T2666*INDEX(ProvSRP,MATCH(G2666,ProvCode,0))*(1+PriceIndex)</f>
        <v/>
      </c>
      <c r="X2666" s="47">
        <f>IF(GrossBasis="Wholesale",V2666,W2666)</f>
        <v/>
      </c>
      <c r="Y2666" s="47">
        <f>R2666*INDEX(FmtBlendedCogs,MATCH(F2666,FmtName,0))</f>
        <v/>
      </c>
      <c r="Z2666" s="47">
        <f>X2666-Y2666</f>
        <v/>
      </c>
    </row>
    <row r="2667">
      <c r="A2667" t="n">
        <v>16</v>
      </c>
      <c r="B2667" s="44">
        <f>FiscalStart+(A2667-1)*7</f>
        <v/>
      </c>
      <c r="C2667">
        <f>TEXT(B2667,"mmm yyyy")</f>
        <v/>
      </c>
      <c r="D2667">
        <f>"Q"&amp;(INT((A2667-1)/13)+1)</f>
        <v/>
      </c>
      <c r="E2667" t="inlineStr">
        <is>
          <t>Specialty</t>
        </is>
      </c>
      <c r="F2667">
        <f>IFERROR(INDEX(ChFormat,MATCH(E2667,ChName,0)),"")</f>
        <v/>
      </c>
      <c r="G2667" t="inlineStr">
        <is>
          <t>BC</t>
        </is>
      </c>
      <c r="H2667">
        <f>IF(A2667&lt;=NWeeks,1,0)</f>
        <v/>
      </c>
      <c r="I2667">
        <f>INDEX(ChLaunch,MATCH(E2667,ChName,0))</f>
        <v/>
      </c>
      <c r="J2667">
        <f>INDEX(ChWeeksFull,MATCH(E2667,ChName,0))</f>
        <v/>
      </c>
      <c r="K2667">
        <f>INDEX(ChRamp,MATCH(E2667,ChName,0))</f>
        <v/>
      </c>
      <c r="L2667" s="45">
        <f>MIN(1,MAX(0,(A2667-I2667+1)*RampSpeed/J2667))</f>
        <v/>
      </c>
      <c r="M2667" s="45">
        <f>IF(A2667&lt;I2667,0,IF(K2667="S-curve",L2667*L2667*(3-2*L2667),L2667))</f>
        <v/>
      </c>
      <c r="N2667" s="45">
        <f>1+(INDEX(SeasonIdx,A2667)-1)*SeasonAmp</f>
        <v/>
      </c>
      <c r="O2667" s="45">
        <f>IFERROR(INDEX(PSPct,MATCH(E2667&amp;"|"&amp;G2667,PSKey,0)),0)</f>
        <v/>
      </c>
      <c r="P2667" s="46">
        <f>INDEX(ChDoorVel,MATCH(E2667,ChName,0))*CalibScalar*(1+VelocityUplift)</f>
        <v/>
      </c>
      <c r="Q2667" s="46" t="n">
        <v>0</v>
      </c>
      <c r="R2667" s="46">
        <f>P2667*O2667*M2667*N2667*H2667</f>
        <v/>
      </c>
      <c r="S2667" s="46">
        <f>R2667*INDEX(FmtCansPerCase,MATCH(F2667,FmtName,0))</f>
        <v/>
      </c>
      <c r="T2667" s="46">
        <f>S2667/INDEX(FmtCansPerPack,MATCH(F2667,FmtName,0))</f>
        <v/>
      </c>
      <c r="U2667" s="47">
        <f>INDEX(ChBaseCP,MATCH(E2667,ChName,0))*(1+INDEX(ProvMod,MATCH(G2667,ProvCode,0)))*(1+PriceIndex)</f>
        <v/>
      </c>
      <c r="V2667" s="47">
        <f>R2667*U2667*INDEX(FmtBlendedPriceIdx,MATCH(F2667,FmtName,0))</f>
        <v/>
      </c>
      <c r="W2667" s="47">
        <f>T2667*INDEX(ProvSRP,MATCH(G2667,ProvCode,0))*(1+PriceIndex)</f>
        <v/>
      </c>
      <c r="X2667" s="47">
        <f>IF(GrossBasis="Wholesale",V2667,W2667)</f>
        <v/>
      </c>
      <c r="Y2667" s="47">
        <f>R2667*INDEX(FmtBlendedCogs,MATCH(F2667,FmtName,0))</f>
        <v/>
      </c>
      <c r="Z2667" s="47">
        <f>X2667-Y2667</f>
        <v/>
      </c>
    </row>
    <row r="2668">
      <c r="A2668" t="n">
        <v>17</v>
      </c>
      <c r="B2668" s="44">
        <f>FiscalStart+(A2668-1)*7</f>
        <v/>
      </c>
      <c r="C2668">
        <f>TEXT(B2668,"mmm yyyy")</f>
        <v/>
      </c>
      <c r="D2668">
        <f>"Q"&amp;(INT((A2668-1)/13)+1)</f>
        <v/>
      </c>
      <c r="E2668" t="inlineStr">
        <is>
          <t>Specialty</t>
        </is>
      </c>
      <c r="F2668">
        <f>IFERROR(INDEX(ChFormat,MATCH(E2668,ChName,0)),"")</f>
        <v/>
      </c>
      <c r="G2668" t="inlineStr">
        <is>
          <t>BC</t>
        </is>
      </c>
      <c r="H2668">
        <f>IF(A2668&lt;=NWeeks,1,0)</f>
        <v/>
      </c>
      <c r="I2668">
        <f>INDEX(ChLaunch,MATCH(E2668,ChName,0))</f>
        <v/>
      </c>
      <c r="J2668">
        <f>INDEX(ChWeeksFull,MATCH(E2668,ChName,0))</f>
        <v/>
      </c>
      <c r="K2668">
        <f>INDEX(ChRamp,MATCH(E2668,ChName,0))</f>
        <v/>
      </c>
      <c r="L2668" s="45">
        <f>MIN(1,MAX(0,(A2668-I2668+1)*RampSpeed/J2668))</f>
        <v/>
      </c>
      <c r="M2668" s="45">
        <f>IF(A2668&lt;I2668,0,IF(K2668="S-curve",L2668*L2668*(3-2*L2668),L2668))</f>
        <v/>
      </c>
      <c r="N2668" s="45">
        <f>1+(INDEX(SeasonIdx,A2668)-1)*SeasonAmp</f>
        <v/>
      </c>
      <c r="O2668" s="45">
        <f>IFERROR(INDEX(PSPct,MATCH(E2668&amp;"|"&amp;G2668,PSKey,0)),0)</f>
        <v/>
      </c>
      <c r="P2668" s="46">
        <f>INDEX(ChDoorVel,MATCH(E2668,ChName,0))*CalibScalar*(1+VelocityUplift)</f>
        <v/>
      </c>
      <c r="Q2668" s="46" t="n">
        <v>0</v>
      </c>
      <c r="R2668" s="46">
        <f>P2668*O2668*M2668*N2668*H2668</f>
        <v/>
      </c>
      <c r="S2668" s="46">
        <f>R2668*INDEX(FmtCansPerCase,MATCH(F2668,FmtName,0))</f>
        <v/>
      </c>
      <c r="T2668" s="46">
        <f>S2668/INDEX(FmtCansPerPack,MATCH(F2668,FmtName,0))</f>
        <v/>
      </c>
      <c r="U2668" s="47">
        <f>INDEX(ChBaseCP,MATCH(E2668,ChName,0))*(1+INDEX(ProvMod,MATCH(G2668,ProvCode,0)))*(1+PriceIndex)</f>
        <v/>
      </c>
      <c r="V2668" s="47">
        <f>R2668*U2668*INDEX(FmtBlendedPriceIdx,MATCH(F2668,FmtName,0))</f>
        <v/>
      </c>
      <c r="W2668" s="47">
        <f>T2668*INDEX(ProvSRP,MATCH(G2668,ProvCode,0))*(1+PriceIndex)</f>
        <v/>
      </c>
      <c r="X2668" s="47">
        <f>IF(GrossBasis="Wholesale",V2668,W2668)</f>
        <v/>
      </c>
      <c r="Y2668" s="47">
        <f>R2668*INDEX(FmtBlendedCogs,MATCH(F2668,FmtName,0))</f>
        <v/>
      </c>
      <c r="Z2668" s="47">
        <f>X2668-Y2668</f>
        <v/>
      </c>
    </row>
    <row r="2669">
      <c r="A2669" t="n">
        <v>18</v>
      </c>
      <c r="B2669" s="44">
        <f>FiscalStart+(A2669-1)*7</f>
        <v/>
      </c>
      <c r="C2669">
        <f>TEXT(B2669,"mmm yyyy")</f>
        <v/>
      </c>
      <c r="D2669">
        <f>"Q"&amp;(INT((A2669-1)/13)+1)</f>
        <v/>
      </c>
      <c r="E2669" t="inlineStr">
        <is>
          <t>Specialty</t>
        </is>
      </c>
      <c r="F2669">
        <f>IFERROR(INDEX(ChFormat,MATCH(E2669,ChName,0)),"")</f>
        <v/>
      </c>
      <c r="G2669" t="inlineStr">
        <is>
          <t>BC</t>
        </is>
      </c>
      <c r="H2669">
        <f>IF(A2669&lt;=NWeeks,1,0)</f>
        <v/>
      </c>
      <c r="I2669">
        <f>INDEX(ChLaunch,MATCH(E2669,ChName,0))</f>
        <v/>
      </c>
      <c r="J2669">
        <f>INDEX(ChWeeksFull,MATCH(E2669,ChName,0))</f>
        <v/>
      </c>
      <c r="K2669">
        <f>INDEX(ChRamp,MATCH(E2669,ChName,0))</f>
        <v/>
      </c>
      <c r="L2669" s="45">
        <f>MIN(1,MAX(0,(A2669-I2669+1)*RampSpeed/J2669))</f>
        <v/>
      </c>
      <c r="M2669" s="45">
        <f>IF(A2669&lt;I2669,0,IF(K2669="S-curve",L2669*L2669*(3-2*L2669),L2669))</f>
        <v/>
      </c>
      <c r="N2669" s="45">
        <f>1+(INDEX(SeasonIdx,A2669)-1)*SeasonAmp</f>
        <v/>
      </c>
      <c r="O2669" s="45">
        <f>IFERROR(INDEX(PSPct,MATCH(E2669&amp;"|"&amp;G2669,PSKey,0)),0)</f>
        <v/>
      </c>
      <c r="P2669" s="46">
        <f>INDEX(ChDoorVel,MATCH(E2669,ChName,0))*CalibScalar*(1+VelocityUplift)</f>
        <v/>
      </c>
      <c r="Q2669" s="46" t="n">
        <v>0</v>
      </c>
      <c r="R2669" s="46">
        <f>P2669*O2669*M2669*N2669*H2669</f>
        <v/>
      </c>
      <c r="S2669" s="46">
        <f>R2669*INDEX(FmtCansPerCase,MATCH(F2669,FmtName,0))</f>
        <v/>
      </c>
      <c r="T2669" s="46">
        <f>S2669/INDEX(FmtCansPerPack,MATCH(F2669,FmtName,0))</f>
        <v/>
      </c>
      <c r="U2669" s="47">
        <f>INDEX(ChBaseCP,MATCH(E2669,ChName,0))*(1+INDEX(ProvMod,MATCH(G2669,ProvCode,0)))*(1+PriceIndex)</f>
        <v/>
      </c>
      <c r="V2669" s="47">
        <f>R2669*U2669*INDEX(FmtBlendedPriceIdx,MATCH(F2669,FmtName,0))</f>
        <v/>
      </c>
      <c r="W2669" s="47">
        <f>T2669*INDEX(ProvSRP,MATCH(G2669,ProvCode,0))*(1+PriceIndex)</f>
        <v/>
      </c>
      <c r="X2669" s="47">
        <f>IF(GrossBasis="Wholesale",V2669,W2669)</f>
        <v/>
      </c>
      <c r="Y2669" s="47">
        <f>R2669*INDEX(FmtBlendedCogs,MATCH(F2669,FmtName,0))</f>
        <v/>
      </c>
      <c r="Z2669" s="47">
        <f>X2669-Y2669</f>
        <v/>
      </c>
    </row>
    <row r="2670">
      <c r="A2670" t="n">
        <v>19</v>
      </c>
      <c r="B2670" s="44">
        <f>FiscalStart+(A2670-1)*7</f>
        <v/>
      </c>
      <c r="C2670">
        <f>TEXT(B2670,"mmm yyyy")</f>
        <v/>
      </c>
      <c r="D2670">
        <f>"Q"&amp;(INT((A2670-1)/13)+1)</f>
        <v/>
      </c>
      <c r="E2670" t="inlineStr">
        <is>
          <t>Specialty</t>
        </is>
      </c>
      <c r="F2670">
        <f>IFERROR(INDEX(ChFormat,MATCH(E2670,ChName,0)),"")</f>
        <v/>
      </c>
      <c r="G2670" t="inlineStr">
        <is>
          <t>BC</t>
        </is>
      </c>
      <c r="H2670">
        <f>IF(A2670&lt;=NWeeks,1,0)</f>
        <v/>
      </c>
      <c r="I2670">
        <f>INDEX(ChLaunch,MATCH(E2670,ChName,0))</f>
        <v/>
      </c>
      <c r="J2670">
        <f>INDEX(ChWeeksFull,MATCH(E2670,ChName,0))</f>
        <v/>
      </c>
      <c r="K2670">
        <f>INDEX(ChRamp,MATCH(E2670,ChName,0))</f>
        <v/>
      </c>
      <c r="L2670" s="45">
        <f>MIN(1,MAX(0,(A2670-I2670+1)*RampSpeed/J2670))</f>
        <v/>
      </c>
      <c r="M2670" s="45">
        <f>IF(A2670&lt;I2670,0,IF(K2670="S-curve",L2670*L2670*(3-2*L2670),L2670))</f>
        <v/>
      </c>
      <c r="N2670" s="45">
        <f>1+(INDEX(SeasonIdx,A2670)-1)*SeasonAmp</f>
        <v/>
      </c>
      <c r="O2670" s="45">
        <f>IFERROR(INDEX(PSPct,MATCH(E2670&amp;"|"&amp;G2670,PSKey,0)),0)</f>
        <v/>
      </c>
      <c r="P2670" s="46">
        <f>INDEX(ChDoorVel,MATCH(E2670,ChName,0))*CalibScalar*(1+VelocityUplift)</f>
        <v/>
      </c>
      <c r="Q2670" s="46" t="n">
        <v>0</v>
      </c>
      <c r="R2670" s="46">
        <f>P2670*O2670*M2670*N2670*H2670</f>
        <v/>
      </c>
      <c r="S2670" s="46">
        <f>R2670*INDEX(FmtCansPerCase,MATCH(F2670,FmtName,0))</f>
        <v/>
      </c>
      <c r="T2670" s="46">
        <f>S2670/INDEX(FmtCansPerPack,MATCH(F2670,FmtName,0))</f>
        <v/>
      </c>
      <c r="U2670" s="47">
        <f>INDEX(ChBaseCP,MATCH(E2670,ChName,0))*(1+INDEX(ProvMod,MATCH(G2670,ProvCode,0)))*(1+PriceIndex)</f>
        <v/>
      </c>
      <c r="V2670" s="47">
        <f>R2670*U2670*INDEX(FmtBlendedPriceIdx,MATCH(F2670,FmtName,0))</f>
        <v/>
      </c>
      <c r="W2670" s="47">
        <f>T2670*INDEX(ProvSRP,MATCH(G2670,ProvCode,0))*(1+PriceIndex)</f>
        <v/>
      </c>
      <c r="X2670" s="47">
        <f>IF(GrossBasis="Wholesale",V2670,W2670)</f>
        <v/>
      </c>
      <c r="Y2670" s="47">
        <f>R2670*INDEX(FmtBlendedCogs,MATCH(F2670,FmtName,0))</f>
        <v/>
      </c>
      <c r="Z2670" s="47">
        <f>X2670-Y2670</f>
        <v/>
      </c>
    </row>
    <row r="2671">
      <c r="A2671" t="n">
        <v>20</v>
      </c>
      <c r="B2671" s="44">
        <f>FiscalStart+(A2671-1)*7</f>
        <v/>
      </c>
      <c r="C2671">
        <f>TEXT(B2671,"mmm yyyy")</f>
        <v/>
      </c>
      <c r="D2671">
        <f>"Q"&amp;(INT((A2671-1)/13)+1)</f>
        <v/>
      </c>
      <c r="E2671" t="inlineStr">
        <is>
          <t>Specialty</t>
        </is>
      </c>
      <c r="F2671">
        <f>IFERROR(INDEX(ChFormat,MATCH(E2671,ChName,0)),"")</f>
        <v/>
      </c>
      <c r="G2671" t="inlineStr">
        <is>
          <t>BC</t>
        </is>
      </c>
      <c r="H2671">
        <f>IF(A2671&lt;=NWeeks,1,0)</f>
        <v/>
      </c>
      <c r="I2671">
        <f>INDEX(ChLaunch,MATCH(E2671,ChName,0))</f>
        <v/>
      </c>
      <c r="J2671">
        <f>INDEX(ChWeeksFull,MATCH(E2671,ChName,0))</f>
        <v/>
      </c>
      <c r="K2671">
        <f>INDEX(ChRamp,MATCH(E2671,ChName,0))</f>
        <v/>
      </c>
      <c r="L2671" s="45">
        <f>MIN(1,MAX(0,(A2671-I2671+1)*RampSpeed/J2671))</f>
        <v/>
      </c>
      <c r="M2671" s="45">
        <f>IF(A2671&lt;I2671,0,IF(K2671="S-curve",L2671*L2671*(3-2*L2671),L2671))</f>
        <v/>
      </c>
      <c r="N2671" s="45">
        <f>1+(INDEX(SeasonIdx,A2671)-1)*SeasonAmp</f>
        <v/>
      </c>
      <c r="O2671" s="45">
        <f>IFERROR(INDEX(PSPct,MATCH(E2671&amp;"|"&amp;G2671,PSKey,0)),0)</f>
        <v/>
      </c>
      <c r="P2671" s="46">
        <f>INDEX(ChDoorVel,MATCH(E2671,ChName,0))*CalibScalar*(1+VelocityUplift)</f>
        <v/>
      </c>
      <c r="Q2671" s="46" t="n">
        <v>0</v>
      </c>
      <c r="R2671" s="46">
        <f>P2671*O2671*M2671*N2671*H2671</f>
        <v/>
      </c>
      <c r="S2671" s="46">
        <f>R2671*INDEX(FmtCansPerCase,MATCH(F2671,FmtName,0))</f>
        <v/>
      </c>
      <c r="T2671" s="46">
        <f>S2671/INDEX(FmtCansPerPack,MATCH(F2671,FmtName,0))</f>
        <v/>
      </c>
      <c r="U2671" s="47">
        <f>INDEX(ChBaseCP,MATCH(E2671,ChName,0))*(1+INDEX(ProvMod,MATCH(G2671,ProvCode,0)))*(1+PriceIndex)</f>
        <v/>
      </c>
      <c r="V2671" s="47">
        <f>R2671*U2671*INDEX(FmtBlendedPriceIdx,MATCH(F2671,FmtName,0))</f>
        <v/>
      </c>
      <c r="W2671" s="47">
        <f>T2671*INDEX(ProvSRP,MATCH(G2671,ProvCode,0))*(1+PriceIndex)</f>
        <v/>
      </c>
      <c r="X2671" s="47">
        <f>IF(GrossBasis="Wholesale",V2671,W2671)</f>
        <v/>
      </c>
      <c r="Y2671" s="47">
        <f>R2671*INDEX(FmtBlendedCogs,MATCH(F2671,FmtName,0))</f>
        <v/>
      </c>
      <c r="Z2671" s="47">
        <f>X2671-Y2671</f>
        <v/>
      </c>
    </row>
    <row r="2672">
      <c r="A2672" t="n">
        <v>21</v>
      </c>
      <c r="B2672" s="44">
        <f>FiscalStart+(A2672-1)*7</f>
        <v/>
      </c>
      <c r="C2672">
        <f>TEXT(B2672,"mmm yyyy")</f>
        <v/>
      </c>
      <c r="D2672">
        <f>"Q"&amp;(INT((A2672-1)/13)+1)</f>
        <v/>
      </c>
      <c r="E2672" t="inlineStr">
        <is>
          <t>Specialty</t>
        </is>
      </c>
      <c r="F2672">
        <f>IFERROR(INDEX(ChFormat,MATCH(E2672,ChName,0)),"")</f>
        <v/>
      </c>
      <c r="G2672" t="inlineStr">
        <is>
          <t>BC</t>
        </is>
      </c>
      <c r="H2672">
        <f>IF(A2672&lt;=NWeeks,1,0)</f>
        <v/>
      </c>
      <c r="I2672">
        <f>INDEX(ChLaunch,MATCH(E2672,ChName,0))</f>
        <v/>
      </c>
      <c r="J2672">
        <f>INDEX(ChWeeksFull,MATCH(E2672,ChName,0))</f>
        <v/>
      </c>
      <c r="K2672">
        <f>INDEX(ChRamp,MATCH(E2672,ChName,0))</f>
        <v/>
      </c>
      <c r="L2672" s="45">
        <f>MIN(1,MAX(0,(A2672-I2672+1)*RampSpeed/J2672))</f>
        <v/>
      </c>
      <c r="M2672" s="45">
        <f>IF(A2672&lt;I2672,0,IF(K2672="S-curve",L2672*L2672*(3-2*L2672),L2672))</f>
        <v/>
      </c>
      <c r="N2672" s="45">
        <f>1+(INDEX(SeasonIdx,A2672)-1)*SeasonAmp</f>
        <v/>
      </c>
      <c r="O2672" s="45">
        <f>IFERROR(INDEX(PSPct,MATCH(E2672&amp;"|"&amp;G2672,PSKey,0)),0)</f>
        <v/>
      </c>
      <c r="P2672" s="46">
        <f>INDEX(ChDoorVel,MATCH(E2672,ChName,0))*CalibScalar*(1+VelocityUplift)</f>
        <v/>
      </c>
      <c r="Q2672" s="46" t="n">
        <v>0</v>
      </c>
      <c r="R2672" s="46">
        <f>P2672*O2672*M2672*N2672*H2672</f>
        <v/>
      </c>
      <c r="S2672" s="46">
        <f>R2672*INDEX(FmtCansPerCase,MATCH(F2672,FmtName,0))</f>
        <v/>
      </c>
      <c r="T2672" s="46">
        <f>S2672/INDEX(FmtCansPerPack,MATCH(F2672,FmtName,0))</f>
        <v/>
      </c>
      <c r="U2672" s="47">
        <f>INDEX(ChBaseCP,MATCH(E2672,ChName,0))*(1+INDEX(ProvMod,MATCH(G2672,ProvCode,0)))*(1+PriceIndex)</f>
        <v/>
      </c>
      <c r="V2672" s="47">
        <f>R2672*U2672*INDEX(FmtBlendedPriceIdx,MATCH(F2672,FmtName,0))</f>
        <v/>
      </c>
      <c r="W2672" s="47">
        <f>T2672*INDEX(ProvSRP,MATCH(G2672,ProvCode,0))*(1+PriceIndex)</f>
        <v/>
      </c>
      <c r="X2672" s="47">
        <f>IF(GrossBasis="Wholesale",V2672,W2672)</f>
        <v/>
      </c>
      <c r="Y2672" s="47">
        <f>R2672*INDEX(FmtBlendedCogs,MATCH(F2672,FmtName,0))</f>
        <v/>
      </c>
      <c r="Z2672" s="47">
        <f>X2672-Y2672</f>
        <v/>
      </c>
    </row>
    <row r="2673">
      <c r="A2673" t="n">
        <v>22</v>
      </c>
      <c r="B2673" s="44">
        <f>FiscalStart+(A2673-1)*7</f>
        <v/>
      </c>
      <c r="C2673">
        <f>TEXT(B2673,"mmm yyyy")</f>
        <v/>
      </c>
      <c r="D2673">
        <f>"Q"&amp;(INT((A2673-1)/13)+1)</f>
        <v/>
      </c>
      <c r="E2673" t="inlineStr">
        <is>
          <t>Specialty</t>
        </is>
      </c>
      <c r="F2673">
        <f>IFERROR(INDEX(ChFormat,MATCH(E2673,ChName,0)),"")</f>
        <v/>
      </c>
      <c r="G2673" t="inlineStr">
        <is>
          <t>BC</t>
        </is>
      </c>
      <c r="H2673">
        <f>IF(A2673&lt;=NWeeks,1,0)</f>
        <v/>
      </c>
      <c r="I2673">
        <f>INDEX(ChLaunch,MATCH(E2673,ChName,0))</f>
        <v/>
      </c>
      <c r="J2673">
        <f>INDEX(ChWeeksFull,MATCH(E2673,ChName,0))</f>
        <v/>
      </c>
      <c r="K2673">
        <f>INDEX(ChRamp,MATCH(E2673,ChName,0))</f>
        <v/>
      </c>
      <c r="L2673" s="45">
        <f>MIN(1,MAX(0,(A2673-I2673+1)*RampSpeed/J2673))</f>
        <v/>
      </c>
      <c r="M2673" s="45">
        <f>IF(A2673&lt;I2673,0,IF(K2673="S-curve",L2673*L2673*(3-2*L2673),L2673))</f>
        <v/>
      </c>
      <c r="N2673" s="45">
        <f>1+(INDEX(SeasonIdx,A2673)-1)*SeasonAmp</f>
        <v/>
      </c>
      <c r="O2673" s="45">
        <f>IFERROR(INDEX(PSPct,MATCH(E2673&amp;"|"&amp;G2673,PSKey,0)),0)</f>
        <v/>
      </c>
      <c r="P2673" s="46">
        <f>INDEX(ChDoorVel,MATCH(E2673,ChName,0))*CalibScalar*(1+VelocityUplift)</f>
        <v/>
      </c>
      <c r="Q2673" s="46" t="n">
        <v>0</v>
      </c>
      <c r="R2673" s="46">
        <f>P2673*O2673*M2673*N2673*H2673</f>
        <v/>
      </c>
      <c r="S2673" s="46">
        <f>R2673*INDEX(FmtCansPerCase,MATCH(F2673,FmtName,0))</f>
        <v/>
      </c>
      <c r="T2673" s="46">
        <f>S2673/INDEX(FmtCansPerPack,MATCH(F2673,FmtName,0))</f>
        <v/>
      </c>
      <c r="U2673" s="47">
        <f>INDEX(ChBaseCP,MATCH(E2673,ChName,0))*(1+INDEX(ProvMod,MATCH(G2673,ProvCode,0)))*(1+PriceIndex)</f>
        <v/>
      </c>
      <c r="V2673" s="47">
        <f>R2673*U2673*INDEX(FmtBlendedPriceIdx,MATCH(F2673,FmtName,0))</f>
        <v/>
      </c>
      <c r="W2673" s="47">
        <f>T2673*INDEX(ProvSRP,MATCH(G2673,ProvCode,0))*(1+PriceIndex)</f>
        <v/>
      </c>
      <c r="X2673" s="47">
        <f>IF(GrossBasis="Wholesale",V2673,W2673)</f>
        <v/>
      </c>
      <c r="Y2673" s="47">
        <f>R2673*INDEX(FmtBlendedCogs,MATCH(F2673,FmtName,0))</f>
        <v/>
      </c>
      <c r="Z2673" s="47">
        <f>X2673-Y2673</f>
        <v/>
      </c>
    </row>
    <row r="2674">
      <c r="A2674" t="n">
        <v>23</v>
      </c>
      <c r="B2674" s="44">
        <f>FiscalStart+(A2674-1)*7</f>
        <v/>
      </c>
      <c r="C2674">
        <f>TEXT(B2674,"mmm yyyy")</f>
        <v/>
      </c>
      <c r="D2674">
        <f>"Q"&amp;(INT((A2674-1)/13)+1)</f>
        <v/>
      </c>
      <c r="E2674" t="inlineStr">
        <is>
          <t>Specialty</t>
        </is>
      </c>
      <c r="F2674">
        <f>IFERROR(INDEX(ChFormat,MATCH(E2674,ChName,0)),"")</f>
        <v/>
      </c>
      <c r="G2674" t="inlineStr">
        <is>
          <t>BC</t>
        </is>
      </c>
      <c r="H2674">
        <f>IF(A2674&lt;=NWeeks,1,0)</f>
        <v/>
      </c>
      <c r="I2674">
        <f>INDEX(ChLaunch,MATCH(E2674,ChName,0))</f>
        <v/>
      </c>
      <c r="J2674">
        <f>INDEX(ChWeeksFull,MATCH(E2674,ChName,0))</f>
        <v/>
      </c>
      <c r="K2674">
        <f>INDEX(ChRamp,MATCH(E2674,ChName,0))</f>
        <v/>
      </c>
      <c r="L2674" s="45">
        <f>MIN(1,MAX(0,(A2674-I2674+1)*RampSpeed/J2674))</f>
        <v/>
      </c>
      <c r="M2674" s="45">
        <f>IF(A2674&lt;I2674,0,IF(K2674="S-curve",L2674*L2674*(3-2*L2674),L2674))</f>
        <v/>
      </c>
      <c r="N2674" s="45">
        <f>1+(INDEX(SeasonIdx,A2674)-1)*SeasonAmp</f>
        <v/>
      </c>
      <c r="O2674" s="45">
        <f>IFERROR(INDEX(PSPct,MATCH(E2674&amp;"|"&amp;G2674,PSKey,0)),0)</f>
        <v/>
      </c>
      <c r="P2674" s="46">
        <f>INDEX(ChDoorVel,MATCH(E2674,ChName,0))*CalibScalar*(1+VelocityUplift)</f>
        <v/>
      </c>
      <c r="Q2674" s="46" t="n">
        <v>0</v>
      </c>
      <c r="R2674" s="46">
        <f>P2674*O2674*M2674*N2674*H2674</f>
        <v/>
      </c>
      <c r="S2674" s="46">
        <f>R2674*INDEX(FmtCansPerCase,MATCH(F2674,FmtName,0))</f>
        <v/>
      </c>
      <c r="T2674" s="46">
        <f>S2674/INDEX(FmtCansPerPack,MATCH(F2674,FmtName,0))</f>
        <v/>
      </c>
      <c r="U2674" s="47">
        <f>INDEX(ChBaseCP,MATCH(E2674,ChName,0))*(1+INDEX(ProvMod,MATCH(G2674,ProvCode,0)))*(1+PriceIndex)</f>
        <v/>
      </c>
      <c r="V2674" s="47">
        <f>R2674*U2674*INDEX(FmtBlendedPriceIdx,MATCH(F2674,FmtName,0))</f>
        <v/>
      </c>
      <c r="W2674" s="47">
        <f>T2674*INDEX(ProvSRP,MATCH(G2674,ProvCode,0))*(1+PriceIndex)</f>
        <v/>
      </c>
      <c r="X2674" s="47">
        <f>IF(GrossBasis="Wholesale",V2674,W2674)</f>
        <v/>
      </c>
      <c r="Y2674" s="47">
        <f>R2674*INDEX(FmtBlendedCogs,MATCH(F2674,FmtName,0))</f>
        <v/>
      </c>
      <c r="Z2674" s="47">
        <f>X2674-Y2674</f>
        <v/>
      </c>
    </row>
    <row r="2675">
      <c r="A2675" t="n">
        <v>24</v>
      </c>
      <c r="B2675" s="44">
        <f>FiscalStart+(A2675-1)*7</f>
        <v/>
      </c>
      <c r="C2675">
        <f>TEXT(B2675,"mmm yyyy")</f>
        <v/>
      </c>
      <c r="D2675">
        <f>"Q"&amp;(INT((A2675-1)/13)+1)</f>
        <v/>
      </c>
      <c r="E2675" t="inlineStr">
        <is>
          <t>Specialty</t>
        </is>
      </c>
      <c r="F2675">
        <f>IFERROR(INDEX(ChFormat,MATCH(E2675,ChName,0)),"")</f>
        <v/>
      </c>
      <c r="G2675" t="inlineStr">
        <is>
          <t>BC</t>
        </is>
      </c>
      <c r="H2675">
        <f>IF(A2675&lt;=NWeeks,1,0)</f>
        <v/>
      </c>
      <c r="I2675">
        <f>INDEX(ChLaunch,MATCH(E2675,ChName,0))</f>
        <v/>
      </c>
      <c r="J2675">
        <f>INDEX(ChWeeksFull,MATCH(E2675,ChName,0))</f>
        <v/>
      </c>
      <c r="K2675">
        <f>INDEX(ChRamp,MATCH(E2675,ChName,0))</f>
        <v/>
      </c>
      <c r="L2675" s="45">
        <f>MIN(1,MAX(0,(A2675-I2675+1)*RampSpeed/J2675))</f>
        <v/>
      </c>
      <c r="M2675" s="45">
        <f>IF(A2675&lt;I2675,0,IF(K2675="S-curve",L2675*L2675*(3-2*L2675),L2675))</f>
        <v/>
      </c>
      <c r="N2675" s="45">
        <f>1+(INDEX(SeasonIdx,A2675)-1)*SeasonAmp</f>
        <v/>
      </c>
      <c r="O2675" s="45">
        <f>IFERROR(INDEX(PSPct,MATCH(E2675&amp;"|"&amp;G2675,PSKey,0)),0)</f>
        <v/>
      </c>
      <c r="P2675" s="46">
        <f>INDEX(ChDoorVel,MATCH(E2675,ChName,0))*CalibScalar*(1+VelocityUplift)</f>
        <v/>
      </c>
      <c r="Q2675" s="46" t="n">
        <v>0</v>
      </c>
      <c r="R2675" s="46">
        <f>P2675*O2675*M2675*N2675*H2675</f>
        <v/>
      </c>
      <c r="S2675" s="46">
        <f>R2675*INDEX(FmtCansPerCase,MATCH(F2675,FmtName,0))</f>
        <v/>
      </c>
      <c r="T2675" s="46">
        <f>S2675/INDEX(FmtCansPerPack,MATCH(F2675,FmtName,0))</f>
        <v/>
      </c>
      <c r="U2675" s="47">
        <f>INDEX(ChBaseCP,MATCH(E2675,ChName,0))*(1+INDEX(ProvMod,MATCH(G2675,ProvCode,0)))*(1+PriceIndex)</f>
        <v/>
      </c>
      <c r="V2675" s="47">
        <f>R2675*U2675*INDEX(FmtBlendedPriceIdx,MATCH(F2675,FmtName,0))</f>
        <v/>
      </c>
      <c r="W2675" s="47">
        <f>T2675*INDEX(ProvSRP,MATCH(G2675,ProvCode,0))*(1+PriceIndex)</f>
        <v/>
      </c>
      <c r="X2675" s="47">
        <f>IF(GrossBasis="Wholesale",V2675,W2675)</f>
        <v/>
      </c>
      <c r="Y2675" s="47">
        <f>R2675*INDEX(FmtBlendedCogs,MATCH(F2675,FmtName,0))</f>
        <v/>
      </c>
      <c r="Z2675" s="47">
        <f>X2675-Y2675</f>
        <v/>
      </c>
    </row>
    <row r="2676">
      <c r="A2676" t="n">
        <v>25</v>
      </c>
      <c r="B2676" s="44">
        <f>FiscalStart+(A2676-1)*7</f>
        <v/>
      </c>
      <c r="C2676">
        <f>TEXT(B2676,"mmm yyyy")</f>
        <v/>
      </c>
      <c r="D2676">
        <f>"Q"&amp;(INT((A2676-1)/13)+1)</f>
        <v/>
      </c>
      <c r="E2676" t="inlineStr">
        <is>
          <t>Specialty</t>
        </is>
      </c>
      <c r="F2676">
        <f>IFERROR(INDEX(ChFormat,MATCH(E2676,ChName,0)),"")</f>
        <v/>
      </c>
      <c r="G2676" t="inlineStr">
        <is>
          <t>BC</t>
        </is>
      </c>
      <c r="H2676">
        <f>IF(A2676&lt;=NWeeks,1,0)</f>
        <v/>
      </c>
      <c r="I2676">
        <f>INDEX(ChLaunch,MATCH(E2676,ChName,0))</f>
        <v/>
      </c>
      <c r="J2676">
        <f>INDEX(ChWeeksFull,MATCH(E2676,ChName,0))</f>
        <v/>
      </c>
      <c r="K2676">
        <f>INDEX(ChRamp,MATCH(E2676,ChName,0))</f>
        <v/>
      </c>
      <c r="L2676" s="45">
        <f>MIN(1,MAX(0,(A2676-I2676+1)*RampSpeed/J2676))</f>
        <v/>
      </c>
      <c r="M2676" s="45">
        <f>IF(A2676&lt;I2676,0,IF(K2676="S-curve",L2676*L2676*(3-2*L2676),L2676))</f>
        <v/>
      </c>
      <c r="N2676" s="45">
        <f>1+(INDEX(SeasonIdx,A2676)-1)*SeasonAmp</f>
        <v/>
      </c>
      <c r="O2676" s="45">
        <f>IFERROR(INDEX(PSPct,MATCH(E2676&amp;"|"&amp;G2676,PSKey,0)),0)</f>
        <v/>
      </c>
      <c r="P2676" s="46">
        <f>INDEX(ChDoorVel,MATCH(E2676,ChName,0))*CalibScalar*(1+VelocityUplift)</f>
        <v/>
      </c>
      <c r="Q2676" s="46" t="n">
        <v>0</v>
      </c>
      <c r="R2676" s="46">
        <f>P2676*O2676*M2676*N2676*H2676</f>
        <v/>
      </c>
      <c r="S2676" s="46">
        <f>R2676*INDEX(FmtCansPerCase,MATCH(F2676,FmtName,0))</f>
        <v/>
      </c>
      <c r="T2676" s="46">
        <f>S2676/INDEX(FmtCansPerPack,MATCH(F2676,FmtName,0))</f>
        <v/>
      </c>
      <c r="U2676" s="47">
        <f>INDEX(ChBaseCP,MATCH(E2676,ChName,0))*(1+INDEX(ProvMod,MATCH(G2676,ProvCode,0)))*(1+PriceIndex)</f>
        <v/>
      </c>
      <c r="V2676" s="47">
        <f>R2676*U2676*INDEX(FmtBlendedPriceIdx,MATCH(F2676,FmtName,0))</f>
        <v/>
      </c>
      <c r="W2676" s="47">
        <f>T2676*INDEX(ProvSRP,MATCH(G2676,ProvCode,0))*(1+PriceIndex)</f>
        <v/>
      </c>
      <c r="X2676" s="47">
        <f>IF(GrossBasis="Wholesale",V2676,W2676)</f>
        <v/>
      </c>
      <c r="Y2676" s="47">
        <f>R2676*INDEX(FmtBlendedCogs,MATCH(F2676,FmtName,0))</f>
        <v/>
      </c>
      <c r="Z2676" s="47">
        <f>X2676-Y2676</f>
        <v/>
      </c>
    </row>
    <row r="2677">
      <c r="A2677" t="n">
        <v>26</v>
      </c>
      <c r="B2677" s="44">
        <f>FiscalStart+(A2677-1)*7</f>
        <v/>
      </c>
      <c r="C2677">
        <f>TEXT(B2677,"mmm yyyy")</f>
        <v/>
      </c>
      <c r="D2677">
        <f>"Q"&amp;(INT((A2677-1)/13)+1)</f>
        <v/>
      </c>
      <c r="E2677" t="inlineStr">
        <is>
          <t>Specialty</t>
        </is>
      </c>
      <c r="F2677">
        <f>IFERROR(INDEX(ChFormat,MATCH(E2677,ChName,0)),"")</f>
        <v/>
      </c>
      <c r="G2677" t="inlineStr">
        <is>
          <t>BC</t>
        </is>
      </c>
      <c r="H2677">
        <f>IF(A2677&lt;=NWeeks,1,0)</f>
        <v/>
      </c>
      <c r="I2677">
        <f>INDEX(ChLaunch,MATCH(E2677,ChName,0))</f>
        <v/>
      </c>
      <c r="J2677">
        <f>INDEX(ChWeeksFull,MATCH(E2677,ChName,0))</f>
        <v/>
      </c>
      <c r="K2677">
        <f>INDEX(ChRamp,MATCH(E2677,ChName,0))</f>
        <v/>
      </c>
      <c r="L2677" s="45">
        <f>MIN(1,MAX(0,(A2677-I2677+1)*RampSpeed/J2677))</f>
        <v/>
      </c>
      <c r="M2677" s="45">
        <f>IF(A2677&lt;I2677,0,IF(K2677="S-curve",L2677*L2677*(3-2*L2677),L2677))</f>
        <v/>
      </c>
      <c r="N2677" s="45">
        <f>1+(INDEX(SeasonIdx,A2677)-1)*SeasonAmp</f>
        <v/>
      </c>
      <c r="O2677" s="45">
        <f>IFERROR(INDEX(PSPct,MATCH(E2677&amp;"|"&amp;G2677,PSKey,0)),0)</f>
        <v/>
      </c>
      <c r="P2677" s="46">
        <f>INDEX(ChDoorVel,MATCH(E2677,ChName,0))*CalibScalar*(1+VelocityUplift)</f>
        <v/>
      </c>
      <c r="Q2677" s="46" t="n">
        <v>0</v>
      </c>
      <c r="R2677" s="46">
        <f>P2677*O2677*M2677*N2677*H2677</f>
        <v/>
      </c>
      <c r="S2677" s="46">
        <f>R2677*INDEX(FmtCansPerCase,MATCH(F2677,FmtName,0))</f>
        <v/>
      </c>
      <c r="T2677" s="46">
        <f>S2677/INDEX(FmtCansPerPack,MATCH(F2677,FmtName,0))</f>
        <v/>
      </c>
      <c r="U2677" s="47">
        <f>INDEX(ChBaseCP,MATCH(E2677,ChName,0))*(1+INDEX(ProvMod,MATCH(G2677,ProvCode,0)))*(1+PriceIndex)</f>
        <v/>
      </c>
      <c r="V2677" s="47">
        <f>R2677*U2677*INDEX(FmtBlendedPriceIdx,MATCH(F2677,FmtName,0))</f>
        <v/>
      </c>
      <c r="W2677" s="47">
        <f>T2677*INDEX(ProvSRP,MATCH(G2677,ProvCode,0))*(1+PriceIndex)</f>
        <v/>
      </c>
      <c r="X2677" s="47">
        <f>IF(GrossBasis="Wholesale",V2677,W2677)</f>
        <v/>
      </c>
      <c r="Y2677" s="47">
        <f>R2677*INDEX(FmtBlendedCogs,MATCH(F2677,FmtName,0))</f>
        <v/>
      </c>
      <c r="Z2677" s="47">
        <f>X2677-Y2677</f>
        <v/>
      </c>
    </row>
    <row r="2678">
      <c r="A2678" t="n">
        <v>27</v>
      </c>
      <c r="B2678" s="44">
        <f>FiscalStart+(A2678-1)*7</f>
        <v/>
      </c>
      <c r="C2678">
        <f>TEXT(B2678,"mmm yyyy")</f>
        <v/>
      </c>
      <c r="D2678">
        <f>"Q"&amp;(INT((A2678-1)/13)+1)</f>
        <v/>
      </c>
      <c r="E2678" t="inlineStr">
        <is>
          <t>Specialty</t>
        </is>
      </c>
      <c r="F2678">
        <f>IFERROR(INDEX(ChFormat,MATCH(E2678,ChName,0)),"")</f>
        <v/>
      </c>
      <c r="G2678" t="inlineStr">
        <is>
          <t>BC</t>
        </is>
      </c>
      <c r="H2678">
        <f>IF(A2678&lt;=NWeeks,1,0)</f>
        <v/>
      </c>
      <c r="I2678">
        <f>INDEX(ChLaunch,MATCH(E2678,ChName,0))</f>
        <v/>
      </c>
      <c r="J2678">
        <f>INDEX(ChWeeksFull,MATCH(E2678,ChName,0))</f>
        <v/>
      </c>
      <c r="K2678">
        <f>INDEX(ChRamp,MATCH(E2678,ChName,0))</f>
        <v/>
      </c>
      <c r="L2678" s="45">
        <f>MIN(1,MAX(0,(A2678-I2678+1)*RampSpeed/J2678))</f>
        <v/>
      </c>
      <c r="M2678" s="45">
        <f>IF(A2678&lt;I2678,0,IF(K2678="S-curve",L2678*L2678*(3-2*L2678),L2678))</f>
        <v/>
      </c>
      <c r="N2678" s="45">
        <f>1+(INDEX(SeasonIdx,A2678)-1)*SeasonAmp</f>
        <v/>
      </c>
      <c r="O2678" s="45">
        <f>IFERROR(INDEX(PSPct,MATCH(E2678&amp;"|"&amp;G2678,PSKey,0)),0)</f>
        <v/>
      </c>
      <c r="P2678" s="46">
        <f>INDEX(ChDoorVel,MATCH(E2678,ChName,0))*CalibScalar*(1+VelocityUplift)</f>
        <v/>
      </c>
      <c r="Q2678" s="46" t="n">
        <v>0</v>
      </c>
      <c r="R2678" s="46">
        <f>P2678*O2678*M2678*N2678*H2678</f>
        <v/>
      </c>
      <c r="S2678" s="46">
        <f>R2678*INDEX(FmtCansPerCase,MATCH(F2678,FmtName,0))</f>
        <v/>
      </c>
      <c r="T2678" s="46">
        <f>S2678/INDEX(FmtCansPerPack,MATCH(F2678,FmtName,0))</f>
        <v/>
      </c>
      <c r="U2678" s="47">
        <f>INDEX(ChBaseCP,MATCH(E2678,ChName,0))*(1+INDEX(ProvMod,MATCH(G2678,ProvCode,0)))*(1+PriceIndex)</f>
        <v/>
      </c>
      <c r="V2678" s="47">
        <f>R2678*U2678*INDEX(FmtBlendedPriceIdx,MATCH(F2678,FmtName,0))</f>
        <v/>
      </c>
      <c r="W2678" s="47">
        <f>T2678*INDEX(ProvSRP,MATCH(G2678,ProvCode,0))*(1+PriceIndex)</f>
        <v/>
      </c>
      <c r="X2678" s="47">
        <f>IF(GrossBasis="Wholesale",V2678,W2678)</f>
        <v/>
      </c>
      <c r="Y2678" s="47">
        <f>R2678*INDEX(FmtBlendedCogs,MATCH(F2678,FmtName,0))</f>
        <v/>
      </c>
      <c r="Z2678" s="47">
        <f>X2678-Y2678</f>
        <v/>
      </c>
    </row>
    <row r="2679">
      <c r="A2679" t="n">
        <v>28</v>
      </c>
      <c r="B2679" s="44">
        <f>FiscalStart+(A2679-1)*7</f>
        <v/>
      </c>
      <c r="C2679">
        <f>TEXT(B2679,"mmm yyyy")</f>
        <v/>
      </c>
      <c r="D2679">
        <f>"Q"&amp;(INT((A2679-1)/13)+1)</f>
        <v/>
      </c>
      <c r="E2679" t="inlineStr">
        <is>
          <t>Specialty</t>
        </is>
      </c>
      <c r="F2679">
        <f>IFERROR(INDEX(ChFormat,MATCH(E2679,ChName,0)),"")</f>
        <v/>
      </c>
      <c r="G2679" t="inlineStr">
        <is>
          <t>BC</t>
        </is>
      </c>
      <c r="H2679">
        <f>IF(A2679&lt;=NWeeks,1,0)</f>
        <v/>
      </c>
      <c r="I2679">
        <f>INDEX(ChLaunch,MATCH(E2679,ChName,0))</f>
        <v/>
      </c>
      <c r="J2679">
        <f>INDEX(ChWeeksFull,MATCH(E2679,ChName,0))</f>
        <v/>
      </c>
      <c r="K2679">
        <f>INDEX(ChRamp,MATCH(E2679,ChName,0))</f>
        <v/>
      </c>
      <c r="L2679" s="45">
        <f>MIN(1,MAX(0,(A2679-I2679+1)*RampSpeed/J2679))</f>
        <v/>
      </c>
      <c r="M2679" s="45">
        <f>IF(A2679&lt;I2679,0,IF(K2679="S-curve",L2679*L2679*(3-2*L2679),L2679))</f>
        <v/>
      </c>
      <c r="N2679" s="45">
        <f>1+(INDEX(SeasonIdx,A2679)-1)*SeasonAmp</f>
        <v/>
      </c>
      <c r="O2679" s="45">
        <f>IFERROR(INDEX(PSPct,MATCH(E2679&amp;"|"&amp;G2679,PSKey,0)),0)</f>
        <v/>
      </c>
      <c r="P2679" s="46">
        <f>INDEX(ChDoorVel,MATCH(E2679,ChName,0))*CalibScalar*(1+VelocityUplift)</f>
        <v/>
      </c>
      <c r="Q2679" s="46" t="n">
        <v>0</v>
      </c>
      <c r="R2679" s="46">
        <f>P2679*O2679*M2679*N2679*H2679</f>
        <v/>
      </c>
      <c r="S2679" s="46">
        <f>R2679*INDEX(FmtCansPerCase,MATCH(F2679,FmtName,0))</f>
        <v/>
      </c>
      <c r="T2679" s="46">
        <f>S2679/INDEX(FmtCansPerPack,MATCH(F2679,FmtName,0))</f>
        <v/>
      </c>
      <c r="U2679" s="47">
        <f>INDEX(ChBaseCP,MATCH(E2679,ChName,0))*(1+INDEX(ProvMod,MATCH(G2679,ProvCode,0)))*(1+PriceIndex)</f>
        <v/>
      </c>
      <c r="V2679" s="47">
        <f>R2679*U2679*INDEX(FmtBlendedPriceIdx,MATCH(F2679,FmtName,0))</f>
        <v/>
      </c>
      <c r="W2679" s="47">
        <f>T2679*INDEX(ProvSRP,MATCH(G2679,ProvCode,0))*(1+PriceIndex)</f>
        <v/>
      </c>
      <c r="X2679" s="47">
        <f>IF(GrossBasis="Wholesale",V2679,W2679)</f>
        <v/>
      </c>
      <c r="Y2679" s="47">
        <f>R2679*INDEX(FmtBlendedCogs,MATCH(F2679,FmtName,0))</f>
        <v/>
      </c>
      <c r="Z2679" s="47">
        <f>X2679-Y2679</f>
        <v/>
      </c>
    </row>
    <row r="2680">
      <c r="A2680" t="n">
        <v>29</v>
      </c>
      <c r="B2680" s="44">
        <f>FiscalStart+(A2680-1)*7</f>
        <v/>
      </c>
      <c r="C2680">
        <f>TEXT(B2680,"mmm yyyy")</f>
        <v/>
      </c>
      <c r="D2680">
        <f>"Q"&amp;(INT((A2680-1)/13)+1)</f>
        <v/>
      </c>
      <c r="E2680" t="inlineStr">
        <is>
          <t>Specialty</t>
        </is>
      </c>
      <c r="F2680">
        <f>IFERROR(INDEX(ChFormat,MATCH(E2680,ChName,0)),"")</f>
        <v/>
      </c>
      <c r="G2680" t="inlineStr">
        <is>
          <t>BC</t>
        </is>
      </c>
      <c r="H2680">
        <f>IF(A2680&lt;=NWeeks,1,0)</f>
        <v/>
      </c>
      <c r="I2680">
        <f>INDEX(ChLaunch,MATCH(E2680,ChName,0))</f>
        <v/>
      </c>
      <c r="J2680">
        <f>INDEX(ChWeeksFull,MATCH(E2680,ChName,0))</f>
        <v/>
      </c>
      <c r="K2680">
        <f>INDEX(ChRamp,MATCH(E2680,ChName,0))</f>
        <v/>
      </c>
      <c r="L2680" s="45">
        <f>MIN(1,MAX(0,(A2680-I2680+1)*RampSpeed/J2680))</f>
        <v/>
      </c>
      <c r="M2680" s="45">
        <f>IF(A2680&lt;I2680,0,IF(K2680="S-curve",L2680*L2680*(3-2*L2680),L2680))</f>
        <v/>
      </c>
      <c r="N2680" s="45">
        <f>1+(INDEX(SeasonIdx,A2680)-1)*SeasonAmp</f>
        <v/>
      </c>
      <c r="O2680" s="45">
        <f>IFERROR(INDEX(PSPct,MATCH(E2680&amp;"|"&amp;G2680,PSKey,0)),0)</f>
        <v/>
      </c>
      <c r="P2680" s="46">
        <f>INDEX(ChDoorVel,MATCH(E2680,ChName,0))*CalibScalar*(1+VelocityUplift)</f>
        <v/>
      </c>
      <c r="Q2680" s="46" t="n">
        <v>0</v>
      </c>
      <c r="R2680" s="46">
        <f>P2680*O2680*M2680*N2680*H2680</f>
        <v/>
      </c>
      <c r="S2680" s="46">
        <f>R2680*INDEX(FmtCansPerCase,MATCH(F2680,FmtName,0))</f>
        <v/>
      </c>
      <c r="T2680" s="46">
        <f>S2680/INDEX(FmtCansPerPack,MATCH(F2680,FmtName,0))</f>
        <v/>
      </c>
      <c r="U2680" s="47">
        <f>INDEX(ChBaseCP,MATCH(E2680,ChName,0))*(1+INDEX(ProvMod,MATCH(G2680,ProvCode,0)))*(1+PriceIndex)</f>
        <v/>
      </c>
      <c r="V2680" s="47">
        <f>R2680*U2680*INDEX(FmtBlendedPriceIdx,MATCH(F2680,FmtName,0))</f>
        <v/>
      </c>
      <c r="W2680" s="47">
        <f>T2680*INDEX(ProvSRP,MATCH(G2680,ProvCode,0))*(1+PriceIndex)</f>
        <v/>
      </c>
      <c r="X2680" s="47">
        <f>IF(GrossBasis="Wholesale",V2680,W2680)</f>
        <v/>
      </c>
      <c r="Y2680" s="47">
        <f>R2680*INDEX(FmtBlendedCogs,MATCH(F2680,FmtName,0))</f>
        <v/>
      </c>
      <c r="Z2680" s="47">
        <f>X2680-Y2680</f>
        <v/>
      </c>
    </row>
    <row r="2681">
      <c r="A2681" t="n">
        <v>30</v>
      </c>
      <c r="B2681" s="44">
        <f>FiscalStart+(A2681-1)*7</f>
        <v/>
      </c>
      <c r="C2681">
        <f>TEXT(B2681,"mmm yyyy")</f>
        <v/>
      </c>
      <c r="D2681">
        <f>"Q"&amp;(INT((A2681-1)/13)+1)</f>
        <v/>
      </c>
      <c r="E2681" t="inlineStr">
        <is>
          <t>Specialty</t>
        </is>
      </c>
      <c r="F2681">
        <f>IFERROR(INDEX(ChFormat,MATCH(E2681,ChName,0)),"")</f>
        <v/>
      </c>
      <c r="G2681" t="inlineStr">
        <is>
          <t>BC</t>
        </is>
      </c>
      <c r="H2681">
        <f>IF(A2681&lt;=NWeeks,1,0)</f>
        <v/>
      </c>
      <c r="I2681">
        <f>INDEX(ChLaunch,MATCH(E2681,ChName,0))</f>
        <v/>
      </c>
      <c r="J2681">
        <f>INDEX(ChWeeksFull,MATCH(E2681,ChName,0))</f>
        <v/>
      </c>
      <c r="K2681">
        <f>INDEX(ChRamp,MATCH(E2681,ChName,0))</f>
        <v/>
      </c>
      <c r="L2681" s="45">
        <f>MIN(1,MAX(0,(A2681-I2681+1)*RampSpeed/J2681))</f>
        <v/>
      </c>
      <c r="M2681" s="45">
        <f>IF(A2681&lt;I2681,0,IF(K2681="S-curve",L2681*L2681*(3-2*L2681),L2681))</f>
        <v/>
      </c>
      <c r="N2681" s="45">
        <f>1+(INDEX(SeasonIdx,A2681)-1)*SeasonAmp</f>
        <v/>
      </c>
      <c r="O2681" s="45">
        <f>IFERROR(INDEX(PSPct,MATCH(E2681&amp;"|"&amp;G2681,PSKey,0)),0)</f>
        <v/>
      </c>
      <c r="P2681" s="46">
        <f>INDEX(ChDoorVel,MATCH(E2681,ChName,0))*CalibScalar*(1+VelocityUplift)</f>
        <v/>
      </c>
      <c r="Q2681" s="46" t="n">
        <v>0</v>
      </c>
      <c r="R2681" s="46">
        <f>P2681*O2681*M2681*N2681*H2681</f>
        <v/>
      </c>
      <c r="S2681" s="46">
        <f>R2681*INDEX(FmtCansPerCase,MATCH(F2681,FmtName,0))</f>
        <v/>
      </c>
      <c r="T2681" s="46">
        <f>S2681/INDEX(FmtCansPerPack,MATCH(F2681,FmtName,0))</f>
        <v/>
      </c>
      <c r="U2681" s="47">
        <f>INDEX(ChBaseCP,MATCH(E2681,ChName,0))*(1+INDEX(ProvMod,MATCH(G2681,ProvCode,0)))*(1+PriceIndex)</f>
        <v/>
      </c>
      <c r="V2681" s="47">
        <f>R2681*U2681*INDEX(FmtBlendedPriceIdx,MATCH(F2681,FmtName,0))</f>
        <v/>
      </c>
      <c r="W2681" s="47">
        <f>T2681*INDEX(ProvSRP,MATCH(G2681,ProvCode,0))*(1+PriceIndex)</f>
        <v/>
      </c>
      <c r="X2681" s="47">
        <f>IF(GrossBasis="Wholesale",V2681,W2681)</f>
        <v/>
      </c>
      <c r="Y2681" s="47">
        <f>R2681*INDEX(FmtBlendedCogs,MATCH(F2681,FmtName,0))</f>
        <v/>
      </c>
      <c r="Z2681" s="47">
        <f>X2681-Y2681</f>
        <v/>
      </c>
    </row>
    <row r="2682">
      <c r="A2682" t="n">
        <v>31</v>
      </c>
      <c r="B2682" s="44">
        <f>FiscalStart+(A2682-1)*7</f>
        <v/>
      </c>
      <c r="C2682">
        <f>TEXT(B2682,"mmm yyyy")</f>
        <v/>
      </c>
      <c r="D2682">
        <f>"Q"&amp;(INT((A2682-1)/13)+1)</f>
        <v/>
      </c>
      <c r="E2682" t="inlineStr">
        <is>
          <t>Specialty</t>
        </is>
      </c>
      <c r="F2682">
        <f>IFERROR(INDEX(ChFormat,MATCH(E2682,ChName,0)),"")</f>
        <v/>
      </c>
      <c r="G2682" t="inlineStr">
        <is>
          <t>BC</t>
        </is>
      </c>
      <c r="H2682">
        <f>IF(A2682&lt;=NWeeks,1,0)</f>
        <v/>
      </c>
      <c r="I2682">
        <f>INDEX(ChLaunch,MATCH(E2682,ChName,0))</f>
        <v/>
      </c>
      <c r="J2682">
        <f>INDEX(ChWeeksFull,MATCH(E2682,ChName,0))</f>
        <v/>
      </c>
      <c r="K2682">
        <f>INDEX(ChRamp,MATCH(E2682,ChName,0))</f>
        <v/>
      </c>
      <c r="L2682" s="45">
        <f>MIN(1,MAX(0,(A2682-I2682+1)*RampSpeed/J2682))</f>
        <v/>
      </c>
      <c r="M2682" s="45">
        <f>IF(A2682&lt;I2682,0,IF(K2682="S-curve",L2682*L2682*(3-2*L2682),L2682))</f>
        <v/>
      </c>
      <c r="N2682" s="45">
        <f>1+(INDEX(SeasonIdx,A2682)-1)*SeasonAmp</f>
        <v/>
      </c>
      <c r="O2682" s="45">
        <f>IFERROR(INDEX(PSPct,MATCH(E2682&amp;"|"&amp;G2682,PSKey,0)),0)</f>
        <v/>
      </c>
      <c r="P2682" s="46">
        <f>INDEX(ChDoorVel,MATCH(E2682,ChName,0))*CalibScalar*(1+VelocityUplift)</f>
        <v/>
      </c>
      <c r="Q2682" s="46" t="n">
        <v>0</v>
      </c>
      <c r="R2682" s="46">
        <f>P2682*O2682*M2682*N2682*H2682</f>
        <v/>
      </c>
      <c r="S2682" s="46">
        <f>R2682*INDEX(FmtCansPerCase,MATCH(F2682,FmtName,0))</f>
        <v/>
      </c>
      <c r="T2682" s="46">
        <f>S2682/INDEX(FmtCansPerPack,MATCH(F2682,FmtName,0))</f>
        <v/>
      </c>
      <c r="U2682" s="47">
        <f>INDEX(ChBaseCP,MATCH(E2682,ChName,0))*(1+INDEX(ProvMod,MATCH(G2682,ProvCode,0)))*(1+PriceIndex)</f>
        <v/>
      </c>
      <c r="V2682" s="47">
        <f>R2682*U2682*INDEX(FmtBlendedPriceIdx,MATCH(F2682,FmtName,0))</f>
        <v/>
      </c>
      <c r="W2682" s="47">
        <f>T2682*INDEX(ProvSRP,MATCH(G2682,ProvCode,0))*(1+PriceIndex)</f>
        <v/>
      </c>
      <c r="X2682" s="47">
        <f>IF(GrossBasis="Wholesale",V2682,W2682)</f>
        <v/>
      </c>
      <c r="Y2682" s="47">
        <f>R2682*INDEX(FmtBlendedCogs,MATCH(F2682,FmtName,0))</f>
        <v/>
      </c>
      <c r="Z2682" s="47">
        <f>X2682-Y2682</f>
        <v/>
      </c>
    </row>
    <row r="2683">
      <c r="A2683" t="n">
        <v>32</v>
      </c>
      <c r="B2683" s="44">
        <f>FiscalStart+(A2683-1)*7</f>
        <v/>
      </c>
      <c r="C2683">
        <f>TEXT(B2683,"mmm yyyy")</f>
        <v/>
      </c>
      <c r="D2683">
        <f>"Q"&amp;(INT((A2683-1)/13)+1)</f>
        <v/>
      </c>
      <c r="E2683" t="inlineStr">
        <is>
          <t>Specialty</t>
        </is>
      </c>
      <c r="F2683">
        <f>IFERROR(INDEX(ChFormat,MATCH(E2683,ChName,0)),"")</f>
        <v/>
      </c>
      <c r="G2683" t="inlineStr">
        <is>
          <t>BC</t>
        </is>
      </c>
      <c r="H2683">
        <f>IF(A2683&lt;=NWeeks,1,0)</f>
        <v/>
      </c>
      <c r="I2683">
        <f>INDEX(ChLaunch,MATCH(E2683,ChName,0))</f>
        <v/>
      </c>
      <c r="J2683">
        <f>INDEX(ChWeeksFull,MATCH(E2683,ChName,0))</f>
        <v/>
      </c>
      <c r="K2683">
        <f>INDEX(ChRamp,MATCH(E2683,ChName,0))</f>
        <v/>
      </c>
      <c r="L2683" s="45">
        <f>MIN(1,MAX(0,(A2683-I2683+1)*RampSpeed/J2683))</f>
        <v/>
      </c>
      <c r="M2683" s="45">
        <f>IF(A2683&lt;I2683,0,IF(K2683="S-curve",L2683*L2683*(3-2*L2683),L2683))</f>
        <v/>
      </c>
      <c r="N2683" s="45">
        <f>1+(INDEX(SeasonIdx,A2683)-1)*SeasonAmp</f>
        <v/>
      </c>
      <c r="O2683" s="45">
        <f>IFERROR(INDEX(PSPct,MATCH(E2683&amp;"|"&amp;G2683,PSKey,0)),0)</f>
        <v/>
      </c>
      <c r="P2683" s="46">
        <f>INDEX(ChDoorVel,MATCH(E2683,ChName,0))*CalibScalar*(1+VelocityUplift)</f>
        <v/>
      </c>
      <c r="Q2683" s="46" t="n">
        <v>0</v>
      </c>
      <c r="R2683" s="46">
        <f>P2683*O2683*M2683*N2683*H2683</f>
        <v/>
      </c>
      <c r="S2683" s="46">
        <f>R2683*INDEX(FmtCansPerCase,MATCH(F2683,FmtName,0))</f>
        <v/>
      </c>
      <c r="T2683" s="46">
        <f>S2683/INDEX(FmtCansPerPack,MATCH(F2683,FmtName,0))</f>
        <v/>
      </c>
      <c r="U2683" s="47">
        <f>INDEX(ChBaseCP,MATCH(E2683,ChName,0))*(1+INDEX(ProvMod,MATCH(G2683,ProvCode,0)))*(1+PriceIndex)</f>
        <v/>
      </c>
      <c r="V2683" s="47">
        <f>R2683*U2683*INDEX(FmtBlendedPriceIdx,MATCH(F2683,FmtName,0))</f>
        <v/>
      </c>
      <c r="W2683" s="47">
        <f>T2683*INDEX(ProvSRP,MATCH(G2683,ProvCode,0))*(1+PriceIndex)</f>
        <v/>
      </c>
      <c r="X2683" s="47">
        <f>IF(GrossBasis="Wholesale",V2683,W2683)</f>
        <v/>
      </c>
      <c r="Y2683" s="47">
        <f>R2683*INDEX(FmtBlendedCogs,MATCH(F2683,FmtName,0))</f>
        <v/>
      </c>
      <c r="Z2683" s="47">
        <f>X2683-Y2683</f>
        <v/>
      </c>
    </row>
    <row r="2684">
      <c r="A2684" t="n">
        <v>33</v>
      </c>
      <c r="B2684" s="44">
        <f>FiscalStart+(A2684-1)*7</f>
        <v/>
      </c>
      <c r="C2684">
        <f>TEXT(B2684,"mmm yyyy")</f>
        <v/>
      </c>
      <c r="D2684">
        <f>"Q"&amp;(INT((A2684-1)/13)+1)</f>
        <v/>
      </c>
      <c r="E2684" t="inlineStr">
        <is>
          <t>Specialty</t>
        </is>
      </c>
      <c r="F2684">
        <f>IFERROR(INDEX(ChFormat,MATCH(E2684,ChName,0)),"")</f>
        <v/>
      </c>
      <c r="G2684" t="inlineStr">
        <is>
          <t>BC</t>
        </is>
      </c>
      <c r="H2684">
        <f>IF(A2684&lt;=NWeeks,1,0)</f>
        <v/>
      </c>
      <c r="I2684">
        <f>INDEX(ChLaunch,MATCH(E2684,ChName,0))</f>
        <v/>
      </c>
      <c r="J2684">
        <f>INDEX(ChWeeksFull,MATCH(E2684,ChName,0))</f>
        <v/>
      </c>
      <c r="K2684">
        <f>INDEX(ChRamp,MATCH(E2684,ChName,0))</f>
        <v/>
      </c>
      <c r="L2684" s="45">
        <f>MIN(1,MAX(0,(A2684-I2684+1)*RampSpeed/J2684))</f>
        <v/>
      </c>
      <c r="M2684" s="45">
        <f>IF(A2684&lt;I2684,0,IF(K2684="S-curve",L2684*L2684*(3-2*L2684),L2684))</f>
        <v/>
      </c>
      <c r="N2684" s="45">
        <f>1+(INDEX(SeasonIdx,A2684)-1)*SeasonAmp</f>
        <v/>
      </c>
      <c r="O2684" s="45">
        <f>IFERROR(INDEX(PSPct,MATCH(E2684&amp;"|"&amp;G2684,PSKey,0)),0)</f>
        <v/>
      </c>
      <c r="P2684" s="46">
        <f>INDEX(ChDoorVel,MATCH(E2684,ChName,0))*CalibScalar*(1+VelocityUplift)</f>
        <v/>
      </c>
      <c r="Q2684" s="46" t="n">
        <v>0</v>
      </c>
      <c r="R2684" s="46">
        <f>P2684*O2684*M2684*N2684*H2684</f>
        <v/>
      </c>
      <c r="S2684" s="46">
        <f>R2684*INDEX(FmtCansPerCase,MATCH(F2684,FmtName,0))</f>
        <v/>
      </c>
      <c r="T2684" s="46">
        <f>S2684/INDEX(FmtCansPerPack,MATCH(F2684,FmtName,0))</f>
        <v/>
      </c>
      <c r="U2684" s="47">
        <f>INDEX(ChBaseCP,MATCH(E2684,ChName,0))*(1+INDEX(ProvMod,MATCH(G2684,ProvCode,0)))*(1+PriceIndex)</f>
        <v/>
      </c>
      <c r="V2684" s="47">
        <f>R2684*U2684*INDEX(FmtBlendedPriceIdx,MATCH(F2684,FmtName,0))</f>
        <v/>
      </c>
      <c r="W2684" s="47">
        <f>T2684*INDEX(ProvSRP,MATCH(G2684,ProvCode,0))*(1+PriceIndex)</f>
        <v/>
      </c>
      <c r="X2684" s="47">
        <f>IF(GrossBasis="Wholesale",V2684,W2684)</f>
        <v/>
      </c>
      <c r="Y2684" s="47">
        <f>R2684*INDEX(FmtBlendedCogs,MATCH(F2684,FmtName,0))</f>
        <v/>
      </c>
      <c r="Z2684" s="47">
        <f>X2684-Y2684</f>
        <v/>
      </c>
    </row>
    <row r="2685">
      <c r="A2685" t="n">
        <v>34</v>
      </c>
      <c r="B2685" s="44">
        <f>FiscalStart+(A2685-1)*7</f>
        <v/>
      </c>
      <c r="C2685">
        <f>TEXT(B2685,"mmm yyyy")</f>
        <v/>
      </c>
      <c r="D2685">
        <f>"Q"&amp;(INT((A2685-1)/13)+1)</f>
        <v/>
      </c>
      <c r="E2685" t="inlineStr">
        <is>
          <t>Specialty</t>
        </is>
      </c>
      <c r="F2685">
        <f>IFERROR(INDEX(ChFormat,MATCH(E2685,ChName,0)),"")</f>
        <v/>
      </c>
      <c r="G2685" t="inlineStr">
        <is>
          <t>BC</t>
        </is>
      </c>
      <c r="H2685">
        <f>IF(A2685&lt;=NWeeks,1,0)</f>
        <v/>
      </c>
      <c r="I2685">
        <f>INDEX(ChLaunch,MATCH(E2685,ChName,0))</f>
        <v/>
      </c>
      <c r="J2685">
        <f>INDEX(ChWeeksFull,MATCH(E2685,ChName,0))</f>
        <v/>
      </c>
      <c r="K2685">
        <f>INDEX(ChRamp,MATCH(E2685,ChName,0))</f>
        <v/>
      </c>
      <c r="L2685" s="45">
        <f>MIN(1,MAX(0,(A2685-I2685+1)*RampSpeed/J2685))</f>
        <v/>
      </c>
      <c r="M2685" s="45">
        <f>IF(A2685&lt;I2685,0,IF(K2685="S-curve",L2685*L2685*(3-2*L2685),L2685))</f>
        <v/>
      </c>
      <c r="N2685" s="45">
        <f>1+(INDEX(SeasonIdx,A2685)-1)*SeasonAmp</f>
        <v/>
      </c>
      <c r="O2685" s="45">
        <f>IFERROR(INDEX(PSPct,MATCH(E2685&amp;"|"&amp;G2685,PSKey,0)),0)</f>
        <v/>
      </c>
      <c r="P2685" s="46">
        <f>INDEX(ChDoorVel,MATCH(E2685,ChName,0))*CalibScalar*(1+VelocityUplift)</f>
        <v/>
      </c>
      <c r="Q2685" s="46" t="n">
        <v>0</v>
      </c>
      <c r="R2685" s="46">
        <f>P2685*O2685*M2685*N2685*H2685</f>
        <v/>
      </c>
      <c r="S2685" s="46">
        <f>R2685*INDEX(FmtCansPerCase,MATCH(F2685,FmtName,0))</f>
        <v/>
      </c>
      <c r="T2685" s="46">
        <f>S2685/INDEX(FmtCansPerPack,MATCH(F2685,FmtName,0))</f>
        <v/>
      </c>
      <c r="U2685" s="47">
        <f>INDEX(ChBaseCP,MATCH(E2685,ChName,0))*(1+INDEX(ProvMod,MATCH(G2685,ProvCode,0)))*(1+PriceIndex)</f>
        <v/>
      </c>
      <c r="V2685" s="47">
        <f>R2685*U2685*INDEX(FmtBlendedPriceIdx,MATCH(F2685,FmtName,0))</f>
        <v/>
      </c>
      <c r="W2685" s="47">
        <f>T2685*INDEX(ProvSRP,MATCH(G2685,ProvCode,0))*(1+PriceIndex)</f>
        <v/>
      </c>
      <c r="X2685" s="47">
        <f>IF(GrossBasis="Wholesale",V2685,W2685)</f>
        <v/>
      </c>
      <c r="Y2685" s="47">
        <f>R2685*INDEX(FmtBlendedCogs,MATCH(F2685,FmtName,0))</f>
        <v/>
      </c>
      <c r="Z2685" s="47">
        <f>X2685-Y2685</f>
        <v/>
      </c>
    </row>
    <row r="2686">
      <c r="A2686" t="n">
        <v>35</v>
      </c>
      <c r="B2686" s="44">
        <f>FiscalStart+(A2686-1)*7</f>
        <v/>
      </c>
      <c r="C2686">
        <f>TEXT(B2686,"mmm yyyy")</f>
        <v/>
      </c>
      <c r="D2686">
        <f>"Q"&amp;(INT((A2686-1)/13)+1)</f>
        <v/>
      </c>
      <c r="E2686" t="inlineStr">
        <is>
          <t>Specialty</t>
        </is>
      </c>
      <c r="F2686">
        <f>IFERROR(INDEX(ChFormat,MATCH(E2686,ChName,0)),"")</f>
        <v/>
      </c>
      <c r="G2686" t="inlineStr">
        <is>
          <t>BC</t>
        </is>
      </c>
      <c r="H2686">
        <f>IF(A2686&lt;=NWeeks,1,0)</f>
        <v/>
      </c>
      <c r="I2686">
        <f>INDEX(ChLaunch,MATCH(E2686,ChName,0))</f>
        <v/>
      </c>
      <c r="J2686">
        <f>INDEX(ChWeeksFull,MATCH(E2686,ChName,0))</f>
        <v/>
      </c>
      <c r="K2686">
        <f>INDEX(ChRamp,MATCH(E2686,ChName,0))</f>
        <v/>
      </c>
      <c r="L2686" s="45">
        <f>MIN(1,MAX(0,(A2686-I2686+1)*RampSpeed/J2686))</f>
        <v/>
      </c>
      <c r="M2686" s="45">
        <f>IF(A2686&lt;I2686,0,IF(K2686="S-curve",L2686*L2686*(3-2*L2686),L2686))</f>
        <v/>
      </c>
      <c r="N2686" s="45">
        <f>1+(INDEX(SeasonIdx,A2686)-1)*SeasonAmp</f>
        <v/>
      </c>
      <c r="O2686" s="45">
        <f>IFERROR(INDEX(PSPct,MATCH(E2686&amp;"|"&amp;G2686,PSKey,0)),0)</f>
        <v/>
      </c>
      <c r="P2686" s="46">
        <f>INDEX(ChDoorVel,MATCH(E2686,ChName,0))*CalibScalar*(1+VelocityUplift)</f>
        <v/>
      </c>
      <c r="Q2686" s="46" t="n">
        <v>0</v>
      </c>
      <c r="R2686" s="46">
        <f>P2686*O2686*M2686*N2686*H2686</f>
        <v/>
      </c>
      <c r="S2686" s="46">
        <f>R2686*INDEX(FmtCansPerCase,MATCH(F2686,FmtName,0))</f>
        <v/>
      </c>
      <c r="T2686" s="46">
        <f>S2686/INDEX(FmtCansPerPack,MATCH(F2686,FmtName,0))</f>
        <v/>
      </c>
      <c r="U2686" s="47">
        <f>INDEX(ChBaseCP,MATCH(E2686,ChName,0))*(1+INDEX(ProvMod,MATCH(G2686,ProvCode,0)))*(1+PriceIndex)</f>
        <v/>
      </c>
      <c r="V2686" s="47">
        <f>R2686*U2686*INDEX(FmtBlendedPriceIdx,MATCH(F2686,FmtName,0))</f>
        <v/>
      </c>
      <c r="W2686" s="47">
        <f>T2686*INDEX(ProvSRP,MATCH(G2686,ProvCode,0))*(1+PriceIndex)</f>
        <v/>
      </c>
      <c r="X2686" s="47">
        <f>IF(GrossBasis="Wholesale",V2686,W2686)</f>
        <v/>
      </c>
      <c r="Y2686" s="47">
        <f>R2686*INDEX(FmtBlendedCogs,MATCH(F2686,FmtName,0))</f>
        <v/>
      </c>
      <c r="Z2686" s="47">
        <f>X2686-Y2686</f>
        <v/>
      </c>
    </row>
    <row r="2687">
      <c r="A2687" t="n">
        <v>36</v>
      </c>
      <c r="B2687" s="44">
        <f>FiscalStart+(A2687-1)*7</f>
        <v/>
      </c>
      <c r="C2687">
        <f>TEXT(B2687,"mmm yyyy")</f>
        <v/>
      </c>
      <c r="D2687">
        <f>"Q"&amp;(INT((A2687-1)/13)+1)</f>
        <v/>
      </c>
      <c r="E2687" t="inlineStr">
        <is>
          <t>Specialty</t>
        </is>
      </c>
      <c r="F2687">
        <f>IFERROR(INDEX(ChFormat,MATCH(E2687,ChName,0)),"")</f>
        <v/>
      </c>
      <c r="G2687" t="inlineStr">
        <is>
          <t>BC</t>
        </is>
      </c>
      <c r="H2687">
        <f>IF(A2687&lt;=NWeeks,1,0)</f>
        <v/>
      </c>
      <c r="I2687">
        <f>INDEX(ChLaunch,MATCH(E2687,ChName,0))</f>
        <v/>
      </c>
      <c r="J2687">
        <f>INDEX(ChWeeksFull,MATCH(E2687,ChName,0))</f>
        <v/>
      </c>
      <c r="K2687">
        <f>INDEX(ChRamp,MATCH(E2687,ChName,0))</f>
        <v/>
      </c>
      <c r="L2687" s="45">
        <f>MIN(1,MAX(0,(A2687-I2687+1)*RampSpeed/J2687))</f>
        <v/>
      </c>
      <c r="M2687" s="45">
        <f>IF(A2687&lt;I2687,0,IF(K2687="S-curve",L2687*L2687*(3-2*L2687),L2687))</f>
        <v/>
      </c>
      <c r="N2687" s="45">
        <f>1+(INDEX(SeasonIdx,A2687)-1)*SeasonAmp</f>
        <v/>
      </c>
      <c r="O2687" s="45">
        <f>IFERROR(INDEX(PSPct,MATCH(E2687&amp;"|"&amp;G2687,PSKey,0)),0)</f>
        <v/>
      </c>
      <c r="P2687" s="46">
        <f>INDEX(ChDoorVel,MATCH(E2687,ChName,0))*CalibScalar*(1+VelocityUplift)</f>
        <v/>
      </c>
      <c r="Q2687" s="46" t="n">
        <v>0</v>
      </c>
      <c r="R2687" s="46">
        <f>P2687*O2687*M2687*N2687*H2687</f>
        <v/>
      </c>
      <c r="S2687" s="46">
        <f>R2687*INDEX(FmtCansPerCase,MATCH(F2687,FmtName,0))</f>
        <v/>
      </c>
      <c r="T2687" s="46">
        <f>S2687/INDEX(FmtCansPerPack,MATCH(F2687,FmtName,0))</f>
        <v/>
      </c>
      <c r="U2687" s="47">
        <f>INDEX(ChBaseCP,MATCH(E2687,ChName,0))*(1+INDEX(ProvMod,MATCH(G2687,ProvCode,0)))*(1+PriceIndex)</f>
        <v/>
      </c>
      <c r="V2687" s="47">
        <f>R2687*U2687*INDEX(FmtBlendedPriceIdx,MATCH(F2687,FmtName,0))</f>
        <v/>
      </c>
      <c r="W2687" s="47">
        <f>T2687*INDEX(ProvSRP,MATCH(G2687,ProvCode,0))*(1+PriceIndex)</f>
        <v/>
      </c>
      <c r="X2687" s="47">
        <f>IF(GrossBasis="Wholesale",V2687,W2687)</f>
        <v/>
      </c>
      <c r="Y2687" s="47">
        <f>R2687*INDEX(FmtBlendedCogs,MATCH(F2687,FmtName,0))</f>
        <v/>
      </c>
      <c r="Z2687" s="47">
        <f>X2687-Y2687</f>
        <v/>
      </c>
    </row>
    <row r="2688">
      <c r="A2688" t="n">
        <v>37</v>
      </c>
      <c r="B2688" s="44">
        <f>FiscalStart+(A2688-1)*7</f>
        <v/>
      </c>
      <c r="C2688">
        <f>TEXT(B2688,"mmm yyyy")</f>
        <v/>
      </c>
      <c r="D2688">
        <f>"Q"&amp;(INT((A2688-1)/13)+1)</f>
        <v/>
      </c>
      <c r="E2688" t="inlineStr">
        <is>
          <t>Specialty</t>
        </is>
      </c>
      <c r="F2688">
        <f>IFERROR(INDEX(ChFormat,MATCH(E2688,ChName,0)),"")</f>
        <v/>
      </c>
      <c r="G2688" t="inlineStr">
        <is>
          <t>BC</t>
        </is>
      </c>
      <c r="H2688">
        <f>IF(A2688&lt;=NWeeks,1,0)</f>
        <v/>
      </c>
      <c r="I2688">
        <f>INDEX(ChLaunch,MATCH(E2688,ChName,0))</f>
        <v/>
      </c>
      <c r="J2688">
        <f>INDEX(ChWeeksFull,MATCH(E2688,ChName,0))</f>
        <v/>
      </c>
      <c r="K2688">
        <f>INDEX(ChRamp,MATCH(E2688,ChName,0))</f>
        <v/>
      </c>
      <c r="L2688" s="45">
        <f>MIN(1,MAX(0,(A2688-I2688+1)*RampSpeed/J2688))</f>
        <v/>
      </c>
      <c r="M2688" s="45">
        <f>IF(A2688&lt;I2688,0,IF(K2688="S-curve",L2688*L2688*(3-2*L2688),L2688))</f>
        <v/>
      </c>
      <c r="N2688" s="45">
        <f>1+(INDEX(SeasonIdx,A2688)-1)*SeasonAmp</f>
        <v/>
      </c>
      <c r="O2688" s="45">
        <f>IFERROR(INDEX(PSPct,MATCH(E2688&amp;"|"&amp;G2688,PSKey,0)),0)</f>
        <v/>
      </c>
      <c r="P2688" s="46">
        <f>INDEX(ChDoorVel,MATCH(E2688,ChName,0))*CalibScalar*(1+VelocityUplift)</f>
        <v/>
      </c>
      <c r="Q2688" s="46" t="n">
        <v>0</v>
      </c>
      <c r="R2688" s="46">
        <f>P2688*O2688*M2688*N2688*H2688</f>
        <v/>
      </c>
      <c r="S2688" s="46">
        <f>R2688*INDEX(FmtCansPerCase,MATCH(F2688,FmtName,0))</f>
        <v/>
      </c>
      <c r="T2688" s="46">
        <f>S2688/INDEX(FmtCansPerPack,MATCH(F2688,FmtName,0))</f>
        <v/>
      </c>
      <c r="U2688" s="47">
        <f>INDEX(ChBaseCP,MATCH(E2688,ChName,0))*(1+INDEX(ProvMod,MATCH(G2688,ProvCode,0)))*(1+PriceIndex)</f>
        <v/>
      </c>
      <c r="V2688" s="47">
        <f>R2688*U2688*INDEX(FmtBlendedPriceIdx,MATCH(F2688,FmtName,0))</f>
        <v/>
      </c>
      <c r="W2688" s="47">
        <f>T2688*INDEX(ProvSRP,MATCH(G2688,ProvCode,0))*(1+PriceIndex)</f>
        <v/>
      </c>
      <c r="X2688" s="47">
        <f>IF(GrossBasis="Wholesale",V2688,W2688)</f>
        <v/>
      </c>
      <c r="Y2688" s="47">
        <f>R2688*INDEX(FmtBlendedCogs,MATCH(F2688,FmtName,0))</f>
        <v/>
      </c>
      <c r="Z2688" s="47">
        <f>X2688-Y2688</f>
        <v/>
      </c>
    </row>
    <row r="2689">
      <c r="A2689" t="n">
        <v>38</v>
      </c>
      <c r="B2689" s="44">
        <f>FiscalStart+(A2689-1)*7</f>
        <v/>
      </c>
      <c r="C2689">
        <f>TEXT(B2689,"mmm yyyy")</f>
        <v/>
      </c>
      <c r="D2689">
        <f>"Q"&amp;(INT((A2689-1)/13)+1)</f>
        <v/>
      </c>
      <c r="E2689" t="inlineStr">
        <is>
          <t>Specialty</t>
        </is>
      </c>
      <c r="F2689">
        <f>IFERROR(INDEX(ChFormat,MATCH(E2689,ChName,0)),"")</f>
        <v/>
      </c>
      <c r="G2689" t="inlineStr">
        <is>
          <t>BC</t>
        </is>
      </c>
      <c r="H2689">
        <f>IF(A2689&lt;=NWeeks,1,0)</f>
        <v/>
      </c>
      <c r="I2689">
        <f>INDEX(ChLaunch,MATCH(E2689,ChName,0))</f>
        <v/>
      </c>
      <c r="J2689">
        <f>INDEX(ChWeeksFull,MATCH(E2689,ChName,0))</f>
        <v/>
      </c>
      <c r="K2689">
        <f>INDEX(ChRamp,MATCH(E2689,ChName,0))</f>
        <v/>
      </c>
      <c r="L2689" s="45">
        <f>MIN(1,MAX(0,(A2689-I2689+1)*RampSpeed/J2689))</f>
        <v/>
      </c>
      <c r="M2689" s="45">
        <f>IF(A2689&lt;I2689,0,IF(K2689="S-curve",L2689*L2689*(3-2*L2689),L2689))</f>
        <v/>
      </c>
      <c r="N2689" s="45">
        <f>1+(INDEX(SeasonIdx,A2689)-1)*SeasonAmp</f>
        <v/>
      </c>
      <c r="O2689" s="45">
        <f>IFERROR(INDEX(PSPct,MATCH(E2689&amp;"|"&amp;G2689,PSKey,0)),0)</f>
        <v/>
      </c>
      <c r="P2689" s="46">
        <f>INDEX(ChDoorVel,MATCH(E2689,ChName,0))*CalibScalar*(1+VelocityUplift)</f>
        <v/>
      </c>
      <c r="Q2689" s="46" t="n">
        <v>0</v>
      </c>
      <c r="R2689" s="46">
        <f>P2689*O2689*M2689*N2689*H2689</f>
        <v/>
      </c>
      <c r="S2689" s="46">
        <f>R2689*INDEX(FmtCansPerCase,MATCH(F2689,FmtName,0))</f>
        <v/>
      </c>
      <c r="T2689" s="46">
        <f>S2689/INDEX(FmtCansPerPack,MATCH(F2689,FmtName,0))</f>
        <v/>
      </c>
      <c r="U2689" s="47">
        <f>INDEX(ChBaseCP,MATCH(E2689,ChName,0))*(1+INDEX(ProvMod,MATCH(G2689,ProvCode,0)))*(1+PriceIndex)</f>
        <v/>
      </c>
      <c r="V2689" s="47">
        <f>R2689*U2689*INDEX(FmtBlendedPriceIdx,MATCH(F2689,FmtName,0))</f>
        <v/>
      </c>
      <c r="W2689" s="47">
        <f>T2689*INDEX(ProvSRP,MATCH(G2689,ProvCode,0))*(1+PriceIndex)</f>
        <v/>
      </c>
      <c r="X2689" s="47">
        <f>IF(GrossBasis="Wholesale",V2689,W2689)</f>
        <v/>
      </c>
      <c r="Y2689" s="47">
        <f>R2689*INDEX(FmtBlendedCogs,MATCH(F2689,FmtName,0))</f>
        <v/>
      </c>
      <c r="Z2689" s="47">
        <f>X2689-Y2689</f>
        <v/>
      </c>
    </row>
    <row r="2690">
      <c r="A2690" t="n">
        <v>39</v>
      </c>
      <c r="B2690" s="44">
        <f>FiscalStart+(A2690-1)*7</f>
        <v/>
      </c>
      <c r="C2690">
        <f>TEXT(B2690,"mmm yyyy")</f>
        <v/>
      </c>
      <c r="D2690">
        <f>"Q"&amp;(INT((A2690-1)/13)+1)</f>
        <v/>
      </c>
      <c r="E2690" t="inlineStr">
        <is>
          <t>Specialty</t>
        </is>
      </c>
      <c r="F2690">
        <f>IFERROR(INDEX(ChFormat,MATCH(E2690,ChName,0)),"")</f>
        <v/>
      </c>
      <c r="G2690" t="inlineStr">
        <is>
          <t>BC</t>
        </is>
      </c>
      <c r="H2690">
        <f>IF(A2690&lt;=NWeeks,1,0)</f>
        <v/>
      </c>
      <c r="I2690">
        <f>INDEX(ChLaunch,MATCH(E2690,ChName,0))</f>
        <v/>
      </c>
      <c r="J2690">
        <f>INDEX(ChWeeksFull,MATCH(E2690,ChName,0))</f>
        <v/>
      </c>
      <c r="K2690">
        <f>INDEX(ChRamp,MATCH(E2690,ChName,0))</f>
        <v/>
      </c>
      <c r="L2690" s="45">
        <f>MIN(1,MAX(0,(A2690-I2690+1)*RampSpeed/J2690))</f>
        <v/>
      </c>
      <c r="M2690" s="45">
        <f>IF(A2690&lt;I2690,0,IF(K2690="S-curve",L2690*L2690*(3-2*L2690),L2690))</f>
        <v/>
      </c>
      <c r="N2690" s="45">
        <f>1+(INDEX(SeasonIdx,A2690)-1)*SeasonAmp</f>
        <v/>
      </c>
      <c r="O2690" s="45">
        <f>IFERROR(INDEX(PSPct,MATCH(E2690&amp;"|"&amp;G2690,PSKey,0)),0)</f>
        <v/>
      </c>
      <c r="P2690" s="46">
        <f>INDEX(ChDoorVel,MATCH(E2690,ChName,0))*CalibScalar*(1+VelocityUplift)</f>
        <v/>
      </c>
      <c r="Q2690" s="46" t="n">
        <v>0</v>
      </c>
      <c r="R2690" s="46">
        <f>P2690*O2690*M2690*N2690*H2690</f>
        <v/>
      </c>
      <c r="S2690" s="46">
        <f>R2690*INDEX(FmtCansPerCase,MATCH(F2690,FmtName,0))</f>
        <v/>
      </c>
      <c r="T2690" s="46">
        <f>S2690/INDEX(FmtCansPerPack,MATCH(F2690,FmtName,0))</f>
        <v/>
      </c>
      <c r="U2690" s="47">
        <f>INDEX(ChBaseCP,MATCH(E2690,ChName,0))*(1+INDEX(ProvMod,MATCH(G2690,ProvCode,0)))*(1+PriceIndex)</f>
        <v/>
      </c>
      <c r="V2690" s="47">
        <f>R2690*U2690*INDEX(FmtBlendedPriceIdx,MATCH(F2690,FmtName,0))</f>
        <v/>
      </c>
      <c r="W2690" s="47">
        <f>T2690*INDEX(ProvSRP,MATCH(G2690,ProvCode,0))*(1+PriceIndex)</f>
        <v/>
      </c>
      <c r="X2690" s="47">
        <f>IF(GrossBasis="Wholesale",V2690,W2690)</f>
        <v/>
      </c>
      <c r="Y2690" s="47">
        <f>R2690*INDEX(FmtBlendedCogs,MATCH(F2690,FmtName,0))</f>
        <v/>
      </c>
      <c r="Z2690" s="47">
        <f>X2690-Y2690</f>
        <v/>
      </c>
    </row>
    <row r="2691">
      <c r="A2691" t="n">
        <v>40</v>
      </c>
      <c r="B2691" s="44">
        <f>FiscalStart+(A2691-1)*7</f>
        <v/>
      </c>
      <c r="C2691">
        <f>TEXT(B2691,"mmm yyyy")</f>
        <v/>
      </c>
      <c r="D2691">
        <f>"Q"&amp;(INT((A2691-1)/13)+1)</f>
        <v/>
      </c>
      <c r="E2691" t="inlineStr">
        <is>
          <t>Specialty</t>
        </is>
      </c>
      <c r="F2691">
        <f>IFERROR(INDEX(ChFormat,MATCH(E2691,ChName,0)),"")</f>
        <v/>
      </c>
      <c r="G2691" t="inlineStr">
        <is>
          <t>BC</t>
        </is>
      </c>
      <c r="H2691">
        <f>IF(A2691&lt;=NWeeks,1,0)</f>
        <v/>
      </c>
      <c r="I2691">
        <f>INDEX(ChLaunch,MATCH(E2691,ChName,0))</f>
        <v/>
      </c>
      <c r="J2691">
        <f>INDEX(ChWeeksFull,MATCH(E2691,ChName,0))</f>
        <v/>
      </c>
      <c r="K2691">
        <f>INDEX(ChRamp,MATCH(E2691,ChName,0))</f>
        <v/>
      </c>
      <c r="L2691" s="45">
        <f>MIN(1,MAX(0,(A2691-I2691+1)*RampSpeed/J2691))</f>
        <v/>
      </c>
      <c r="M2691" s="45">
        <f>IF(A2691&lt;I2691,0,IF(K2691="S-curve",L2691*L2691*(3-2*L2691),L2691))</f>
        <v/>
      </c>
      <c r="N2691" s="45">
        <f>1+(INDEX(SeasonIdx,A2691)-1)*SeasonAmp</f>
        <v/>
      </c>
      <c r="O2691" s="45">
        <f>IFERROR(INDEX(PSPct,MATCH(E2691&amp;"|"&amp;G2691,PSKey,0)),0)</f>
        <v/>
      </c>
      <c r="P2691" s="46">
        <f>INDEX(ChDoorVel,MATCH(E2691,ChName,0))*CalibScalar*(1+VelocityUplift)</f>
        <v/>
      </c>
      <c r="Q2691" s="46" t="n">
        <v>0</v>
      </c>
      <c r="R2691" s="46">
        <f>P2691*O2691*M2691*N2691*H2691</f>
        <v/>
      </c>
      <c r="S2691" s="46">
        <f>R2691*INDEX(FmtCansPerCase,MATCH(F2691,FmtName,0))</f>
        <v/>
      </c>
      <c r="T2691" s="46">
        <f>S2691/INDEX(FmtCansPerPack,MATCH(F2691,FmtName,0))</f>
        <v/>
      </c>
      <c r="U2691" s="47">
        <f>INDEX(ChBaseCP,MATCH(E2691,ChName,0))*(1+INDEX(ProvMod,MATCH(G2691,ProvCode,0)))*(1+PriceIndex)</f>
        <v/>
      </c>
      <c r="V2691" s="47">
        <f>R2691*U2691*INDEX(FmtBlendedPriceIdx,MATCH(F2691,FmtName,0))</f>
        <v/>
      </c>
      <c r="W2691" s="47">
        <f>T2691*INDEX(ProvSRP,MATCH(G2691,ProvCode,0))*(1+PriceIndex)</f>
        <v/>
      </c>
      <c r="X2691" s="47">
        <f>IF(GrossBasis="Wholesale",V2691,W2691)</f>
        <v/>
      </c>
      <c r="Y2691" s="47">
        <f>R2691*INDEX(FmtBlendedCogs,MATCH(F2691,FmtName,0))</f>
        <v/>
      </c>
      <c r="Z2691" s="47">
        <f>X2691-Y2691</f>
        <v/>
      </c>
    </row>
    <row r="2692">
      <c r="A2692" t="n">
        <v>41</v>
      </c>
      <c r="B2692" s="44">
        <f>FiscalStart+(A2692-1)*7</f>
        <v/>
      </c>
      <c r="C2692">
        <f>TEXT(B2692,"mmm yyyy")</f>
        <v/>
      </c>
      <c r="D2692">
        <f>"Q"&amp;(INT((A2692-1)/13)+1)</f>
        <v/>
      </c>
      <c r="E2692" t="inlineStr">
        <is>
          <t>Specialty</t>
        </is>
      </c>
      <c r="F2692">
        <f>IFERROR(INDEX(ChFormat,MATCH(E2692,ChName,0)),"")</f>
        <v/>
      </c>
      <c r="G2692" t="inlineStr">
        <is>
          <t>BC</t>
        </is>
      </c>
      <c r="H2692">
        <f>IF(A2692&lt;=NWeeks,1,0)</f>
        <v/>
      </c>
      <c r="I2692">
        <f>INDEX(ChLaunch,MATCH(E2692,ChName,0))</f>
        <v/>
      </c>
      <c r="J2692">
        <f>INDEX(ChWeeksFull,MATCH(E2692,ChName,0))</f>
        <v/>
      </c>
      <c r="K2692">
        <f>INDEX(ChRamp,MATCH(E2692,ChName,0))</f>
        <v/>
      </c>
      <c r="L2692" s="45">
        <f>MIN(1,MAX(0,(A2692-I2692+1)*RampSpeed/J2692))</f>
        <v/>
      </c>
      <c r="M2692" s="45">
        <f>IF(A2692&lt;I2692,0,IF(K2692="S-curve",L2692*L2692*(3-2*L2692),L2692))</f>
        <v/>
      </c>
      <c r="N2692" s="45">
        <f>1+(INDEX(SeasonIdx,A2692)-1)*SeasonAmp</f>
        <v/>
      </c>
      <c r="O2692" s="45">
        <f>IFERROR(INDEX(PSPct,MATCH(E2692&amp;"|"&amp;G2692,PSKey,0)),0)</f>
        <v/>
      </c>
      <c r="P2692" s="46">
        <f>INDEX(ChDoorVel,MATCH(E2692,ChName,0))*CalibScalar*(1+VelocityUplift)</f>
        <v/>
      </c>
      <c r="Q2692" s="46" t="n">
        <v>0</v>
      </c>
      <c r="R2692" s="46">
        <f>P2692*O2692*M2692*N2692*H2692</f>
        <v/>
      </c>
      <c r="S2692" s="46">
        <f>R2692*INDEX(FmtCansPerCase,MATCH(F2692,FmtName,0))</f>
        <v/>
      </c>
      <c r="T2692" s="46">
        <f>S2692/INDEX(FmtCansPerPack,MATCH(F2692,FmtName,0))</f>
        <v/>
      </c>
      <c r="U2692" s="47">
        <f>INDEX(ChBaseCP,MATCH(E2692,ChName,0))*(1+INDEX(ProvMod,MATCH(G2692,ProvCode,0)))*(1+PriceIndex)</f>
        <v/>
      </c>
      <c r="V2692" s="47">
        <f>R2692*U2692*INDEX(FmtBlendedPriceIdx,MATCH(F2692,FmtName,0))</f>
        <v/>
      </c>
      <c r="W2692" s="47">
        <f>T2692*INDEX(ProvSRP,MATCH(G2692,ProvCode,0))*(1+PriceIndex)</f>
        <v/>
      </c>
      <c r="X2692" s="47">
        <f>IF(GrossBasis="Wholesale",V2692,W2692)</f>
        <v/>
      </c>
      <c r="Y2692" s="47">
        <f>R2692*INDEX(FmtBlendedCogs,MATCH(F2692,FmtName,0))</f>
        <v/>
      </c>
      <c r="Z2692" s="47">
        <f>X2692-Y2692</f>
        <v/>
      </c>
    </row>
    <row r="2693">
      <c r="A2693" t="n">
        <v>42</v>
      </c>
      <c r="B2693" s="44">
        <f>FiscalStart+(A2693-1)*7</f>
        <v/>
      </c>
      <c r="C2693">
        <f>TEXT(B2693,"mmm yyyy")</f>
        <v/>
      </c>
      <c r="D2693">
        <f>"Q"&amp;(INT((A2693-1)/13)+1)</f>
        <v/>
      </c>
      <c r="E2693" t="inlineStr">
        <is>
          <t>Specialty</t>
        </is>
      </c>
      <c r="F2693">
        <f>IFERROR(INDEX(ChFormat,MATCH(E2693,ChName,0)),"")</f>
        <v/>
      </c>
      <c r="G2693" t="inlineStr">
        <is>
          <t>BC</t>
        </is>
      </c>
      <c r="H2693">
        <f>IF(A2693&lt;=NWeeks,1,0)</f>
        <v/>
      </c>
      <c r="I2693">
        <f>INDEX(ChLaunch,MATCH(E2693,ChName,0))</f>
        <v/>
      </c>
      <c r="J2693">
        <f>INDEX(ChWeeksFull,MATCH(E2693,ChName,0))</f>
        <v/>
      </c>
      <c r="K2693">
        <f>INDEX(ChRamp,MATCH(E2693,ChName,0))</f>
        <v/>
      </c>
      <c r="L2693" s="45">
        <f>MIN(1,MAX(0,(A2693-I2693+1)*RampSpeed/J2693))</f>
        <v/>
      </c>
      <c r="M2693" s="45">
        <f>IF(A2693&lt;I2693,0,IF(K2693="S-curve",L2693*L2693*(3-2*L2693),L2693))</f>
        <v/>
      </c>
      <c r="N2693" s="45">
        <f>1+(INDEX(SeasonIdx,A2693)-1)*SeasonAmp</f>
        <v/>
      </c>
      <c r="O2693" s="45">
        <f>IFERROR(INDEX(PSPct,MATCH(E2693&amp;"|"&amp;G2693,PSKey,0)),0)</f>
        <v/>
      </c>
      <c r="P2693" s="46">
        <f>INDEX(ChDoorVel,MATCH(E2693,ChName,0))*CalibScalar*(1+VelocityUplift)</f>
        <v/>
      </c>
      <c r="Q2693" s="46" t="n">
        <v>0</v>
      </c>
      <c r="R2693" s="46">
        <f>P2693*O2693*M2693*N2693*H2693</f>
        <v/>
      </c>
      <c r="S2693" s="46">
        <f>R2693*INDEX(FmtCansPerCase,MATCH(F2693,FmtName,0))</f>
        <v/>
      </c>
      <c r="T2693" s="46">
        <f>S2693/INDEX(FmtCansPerPack,MATCH(F2693,FmtName,0))</f>
        <v/>
      </c>
      <c r="U2693" s="47">
        <f>INDEX(ChBaseCP,MATCH(E2693,ChName,0))*(1+INDEX(ProvMod,MATCH(G2693,ProvCode,0)))*(1+PriceIndex)</f>
        <v/>
      </c>
      <c r="V2693" s="47">
        <f>R2693*U2693*INDEX(FmtBlendedPriceIdx,MATCH(F2693,FmtName,0))</f>
        <v/>
      </c>
      <c r="W2693" s="47">
        <f>T2693*INDEX(ProvSRP,MATCH(G2693,ProvCode,0))*(1+PriceIndex)</f>
        <v/>
      </c>
      <c r="X2693" s="47">
        <f>IF(GrossBasis="Wholesale",V2693,W2693)</f>
        <v/>
      </c>
      <c r="Y2693" s="47">
        <f>R2693*INDEX(FmtBlendedCogs,MATCH(F2693,FmtName,0))</f>
        <v/>
      </c>
      <c r="Z2693" s="47">
        <f>X2693-Y2693</f>
        <v/>
      </c>
    </row>
    <row r="2694">
      <c r="A2694" t="n">
        <v>43</v>
      </c>
      <c r="B2694" s="44">
        <f>FiscalStart+(A2694-1)*7</f>
        <v/>
      </c>
      <c r="C2694">
        <f>TEXT(B2694,"mmm yyyy")</f>
        <v/>
      </c>
      <c r="D2694">
        <f>"Q"&amp;(INT((A2694-1)/13)+1)</f>
        <v/>
      </c>
      <c r="E2694" t="inlineStr">
        <is>
          <t>Specialty</t>
        </is>
      </c>
      <c r="F2694">
        <f>IFERROR(INDEX(ChFormat,MATCH(E2694,ChName,0)),"")</f>
        <v/>
      </c>
      <c r="G2694" t="inlineStr">
        <is>
          <t>BC</t>
        </is>
      </c>
      <c r="H2694">
        <f>IF(A2694&lt;=NWeeks,1,0)</f>
        <v/>
      </c>
      <c r="I2694">
        <f>INDEX(ChLaunch,MATCH(E2694,ChName,0))</f>
        <v/>
      </c>
      <c r="J2694">
        <f>INDEX(ChWeeksFull,MATCH(E2694,ChName,0))</f>
        <v/>
      </c>
      <c r="K2694">
        <f>INDEX(ChRamp,MATCH(E2694,ChName,0))</f>
        <v/>
      </c>
      <c r="L2694" s="45">
        <f>MIN(1,MAX(0,(A2694-I2694+1)*RampSpeed/J2694))</f>
        <v/>
      </c>
      <c r="M2694" s="45">
        <f>IF(A2694&lt;I2694,0,IF(K2694="S-curve",L2694*L2694*(3-2*L2694),L2694))</f>
        <v/>
      </c>
      <c r="N2694" s="45">
        <f>1+(INDEX(SeasonIdx,A2694)-1)*SeasonAmp</f>
        <v/>
      </c>
      <c r="O2694" s="45">
        <f>IFERROR(INDEX(PSPct,MATCH(E2694&amp;"|"&amp;G2694,PSKey,0)),0)</f>
        <v/>
      </c>
      <c r="P2694" s="46">
        <f>INDEX(ChDoorVel,MATCH(E2694,ChName,0))*CalibScalar*(1+VelocityUplift)</f>
        <v/>
      </c>
      <c r="Q2694" s="46" t="n">
        <v>0</v>
      </c>
      <c r="R2694" s="46">
        <f>P2694*O2694*M2694*N2694*H2694</f>
        <v/>
      </c>
      <c r="S2694" s="46">
        <f>R2694*INDEX(FmtCansPerCase,MATCH(F2694,FmtName,0))</f>
        <v/>
      </c>
      <c r="T2694" s="46">
        <f>S2694/INDEX(FmtCansPerPack,MATCH(F2694,FmtName,0))</f>
        <v/>
      </c>
      <c r="U2694" s="47">
        <f>INDEX(ChBaseCP,MATCH(E2694,ChName,0))*(1+INDEX(ProvMod,MATCH(G2694,ProvCode,0)))*(1+PriceIndex)</f>
        <v/>
      </c>
      <c r="V2694" s="47">
        <f>R2694*U2694*INDEX(FmtBlendedPriceIdx,MATCH(F2694,FmtName,0))</f>
        <v/>
      </c>
      <c r="W2694" s="47">
        <f>T2694*INDEX(ProvSRP,MATCH(G2694,ProvCode,0))*(1+PriceIndex)</f>
        <v/>
      </c>
      <c r="X2694" s="47">
        <f>IF(GrossBasis="Wholesale",V2694,W2694)</f>
        <v/>
      </c>
      <c r="Y2694" s="47">
        <f>R2694*INDEX(FmtBlendedCogs,MATCH(F2694,FmtName,0))</f>
        <v/>
      </c>
      <c r="Z2694" s="47">
        <f>X2694-Y2694</f>
        <v/>
      </c>
    </row>
    <row r="2695">
      <c r="A2695" t="n">
        <v>44</v>
      </c>
      <c r="B2695" s="44">
        <f>FiscalStart+(A2695-1)*7</f>
        <v/>
      </c>
      <c r="C2695">
        <f>TEXT(B2695,"mmm yyyy")</f>
        <v/>
      </c>
      <c r="D2695">
        <f>"Q"&amp;(INT((A2695-1)/13)+1)</f>
        <v/>
      </c>
      <c r="E2695" t="inlineStr">
        <is>
          <t>Specialty</t>
        </is>
      </c>
      <c r="F2695">
        <f>IFERROR(INDEX(ChFormat,MATCH(E2695,ChName,0)),"")</f>
        <v/>
      </c>
      <c r="G2695" t="inlineStr">
        <is>
          <t>BC</t>
        </is>
      </c>
      <c r="H2695">
        <f>IF(A2695&lt;=NWeeks,1,0)</f>
        <v/>
      </c>
      <c r="I2695">
        <f>INDEX(ChLaunch,MATCH(E2695,ChName,0))</f>
        <v/>
      </c>
      <c r="J2695">
        <f>INDEX(ChWeeksFull,MATCH(E2695,ChName,0))</f>
        <v/>
      </c>
      <c r="K2695">
        <f>INDEX(ChRamp,MATCH(E2695,ChName,0))</f>
        <v/>
      </c>
      <c r="L2695" s="45">
        <f>MIN(1,MAX(0,(A2695-I2695+1)*RampSpeed/J2695))</f>
        <v/>
      </c>
      <c r="M2695" s="45">
        <f>IF(A2695&lt;I2695,0,IF(K2695="S-curve",L2695*L2695*(3-2*L2695),L2695))</f>
        <v/>
      </c>
      <c r="N2695" s="45">
        <f>1+(INDEX(SeasonIdx,A2695)-1)*SeasonAmp</f>
        <v/>
      </c>
      <c r="O2695" s="45">
        <f>IFERROR(INDEX(PSPct,MATCH(E2695&amp;"|"&amp;G2695,PSKey,0)),0)</f>
        <v/>
      </c>
      <c r="P2695" s="46">
        <f>INDEX(ChDoorVel,MATCH(E2695,ChName,0))*CalibScalar*(1+VelocityUplift)</f>
        <v/>
      </c>
      <c r="Q2695" s="46" t="n">
        <v>0</v>
      </c>
      <c r="R2695" s="46">
        <f>P2695*O2695*M2695*N2695*H2695</f>
        <v/>
      </c>
      <c r="S2695" s="46">
        <f>R2695*INDEX(FmtCansPerCase,MATCH(F2695,FmtName,0))</f>
        <v/>
      </c>
      <c r="T2695" s="46">
        <f>S2695/INDEX(FmtCansPerPack,MATCH(F2695,FmtName,0))</f>
        <v/>
      </c>
      <c r="U2695" s="47">
        <f>INDEX(ChBaseCP,MATCH(E2695,ChName,0))*(1+INDEX(ProvMod,MATCH(G2695,ProvCode,0)))*(1+PriceIndex)</f>
        <v/>
      </c>
      <c r="V2695" s="47">
        <f>R2695*U2695*INDEX(FmtBlendedPriceIdx,MATCH(F2695,FmtName,0))</f>
        <v/>
      </c>
      <c r="W2695" s="47">
        <f>T2695*INDEX(ProvSRP,MATCH(G2695,ProvCode,0))*(1+PriceIndex)</f>
        <v/>
      </c>
      <c r="X2695" s="47">
        <f>IF(GrossBasis="Wholesale",V2695,W2695)</f>
        <v/>
      </c>
      <c r="Y2695" s="47">
        <f>R2695*INDEX(FmtBlendedCogs,MATCH(F2695,FmtName,0))</f>
        <v/>
      </c>
      <c r="Z2695" s="47">
        <f>X2695-Y2695</f>
        <v/>
      </c>
    </row>
    <row r="2696">
      <c r="A2696" t="n">
        <v>45</v>
      </c>
      <c r="B2696" s="44">
        <f>FiscalStart+(A2696-1)*7</f>
        <v/>
      </c>
      <c r="C2696">
        <f>TEXT(B2696,"mmm yyyy")</f>
        <v/>
      </c>
      <c r="D2696">
        <f>"Q"&amp;(INT((A2696-1)/13)+1)</f>
        <v/>
      </c>
      <c r="E2696" t="inlineStr">
        <is>
          <t>Specialty</t>
        </is>
      </c>
      <c r="F2696">
        <f>IFERROR(INDEX(ChFormat,MATCH(E2696,ChName,0)),"")</f>
        <v/>
      </c>
      <c r="G2696" t="inlineStr">
        <is>
          <t>BC</t>
        </is>
      </c>
      <c r="H2696">
        <f>IF(A2696&lt;=NWeeks,1,0)</f>
        <v/>
      </c>
      <c r="I2696">
        <f>INDEX(ChLaunch,MATCH(E2696,ChName,0))</f>
        <v/>
      </c>
      <c r="J2696">
        <f>INDEX(ChWeeksFull,MATCH(E2696,ChName,0))</f>
        <v/>
      </c>
      <c r="K2696">
        <f>INDEX(ChRamp,MATCH(E2696,ChName,0))</f>
        <v/>
      </c>
      <c r="L2696" s="45">
        <f>MIN(1,MAX(0,(A2696-I2696+1)*RampSpeed/J2696))</f>
        <v/>
      </c>
      <c r="M2696" s="45">
        <f>IF(A2696&lt;I2696,0,IF(K2696="S-curve",L2696*L2696*(3-2*L2696),L2696))</f>
        <v/>
      </c>
      <c r="N2696" s="45">
        <f>1+(INDEX(SeasonIdx,A2696)-1)*SeasonAmp</f>
        <v/>
      </c>
      <c r="O2696" s="45">
        <f>IFERROR(INDEX(PSPct,MATCH(E2696&amp;"|"&amp;G2696,PSKey,0)),0)</f>
        <v/>
      </c>
      <c r="P2696" s="46">
        <f>INDEX(ChDoorVel,MATCH(E2696,ChName,0))*CalibScalar*(1+VelocityUplift)</f>
        <v/>
      </c>
      <c r="Q2696" s="46" t="n">
        <v>0</v>
      </c>
      <c r="R2696" s="46">
        <f>P2696*O2696*M2696*N2696*H2696</f>
        <v/>
      </c>
      <c r="S2696" s="46">
        <f>R2696*INDEX(FmtCansPerCase,MATCH(F2696,FmtName,0))</f>
        <v/>
      </c>
      <c r="T2696" s="46">
        <f>S2696/INDEX(FmtCansPerPack,MATCH(F2696,FmtName,0))</f>
        <v/>
      </c>
      <c r="U2696" s="47">
        <f>INDEX(ChBaseCP,MATCH(E2696,ChName,0))*(1+INDEX(ProvMod,MATCH(G2696,ProvCode,0)))*(1+PriceIndex)</f>
        <v/>
      </c>
      <c r="V2696" s="47">
        <f>R2696*U2696*INDEX(FmtBlendedPriceIdx,MATCH(F2696,FmtName,0))</f>
        <v/>
      </c>
      <c r="W2696" s="47">
        <f>T2696*INDEX(ProvSRP,MATCH(G2696,ProvCode,0))*(1+PriceIndex)</f>
        <v/>
      </c>
      <c r="X2696" s="47">
        <f>IF(GrossBasis="Wholesale",V2696,W2696)</f>
        <v/>
      </c>
      <c r="Y2696" s="47">
        <f>R2696*INDEX(FmtBlendedCogs,MATCH(F2696,FmtName,0))</f>
        <v/>
      </c>
      <c r="Z2696" s="47">
        <f>X2696-Y2696</f>
        <v/>
      </c>
    </row>
    <row r="2697">
      <c r="A2697" t="n">
        <v>46</v>
      </c>
      <c r="B2697" s="44">
        <f>FiscalStart+(A2697-1)*7</f>
        <v/>
      </c>
      <c r="C2697">
        <f>TEXT(B2697,"mmm yyyy")</f>
        <v/>
      </c>
      <c r="D2697">
        <f>"Q"&amp;(INT((A2697-1)/13)+1)</f>
        <v/>
      </c>
      <c r="E2697" t="inlineStr">
        <is>
          <t>Specialty</t>
        </is>
      </c>
      <c r="F2697">
        <f>IFERROR(INDEX(ChFormat,MATCH(E2697,ChName,0)),"")</f>
        <v/>
      </c>
      <c r="G2697" t="inlineStr">
        <is>
          <t>BC</t>
        </is>
      </c>
      <c r="H2697">
        <f>IF(A2697&lt;=NWeeks,1,0)</f>
        <v/>
      </c>
      <c r="I2697">
        <f>INDEX(ChLaunch,MATCH(E2697,ChName,0))</f>
        <v/>
      </c>
      <c r="J2697">
        <f>INDEX(ChWeeksFull,MATCH(E2697,ChName,0))</f>
        <v/>
      </c>
      <c r="K2697">
        <f>INDEX(ChRamp,MATCH(E2697,ChName,0))</f>
        <v/>
      </c>
      <c r="L2697" s="45">
        <f>MIN(1,MAX(0,(A2697-I2697+1)*RampSpeed/J2697))</f>
        <v/>
      </c>
      <c r="M2697" s="45">
        <f>IF(A2697&lt;I2697,0,IF(K2697="S-curve",L2697*L2697*(3-2*L2697),L2697))</f>
        <v/>
      </c>
      <c r="N2697" s="45">
        <f>1+(INDEX(SeasonIdx,A2697)-1)*SeasonAmp</f>
        <v/>
      </c>
      <c r="O2697" s="45">
        <f>IFERROR(INDEX(PSPct,MATCH(E2697&amp;"|"&amp;G2697,PSKey,0)),0)</f>
        <v/>
      </c>
      <c r="P2697" s="46">
        <f>INDEX(ChDoorVel,MATCH(E2697,ChName,0))*CalibScalar*(1+VelocityUplift)</f>
        <v/>
      </c>
      <c r="Q2697" s="46" t="n">
        <v>0</v>
      </c>
      <c r="R2697" s="46">
        <f>P2697*O2697*M2697*N2697*H2697</f>
        <v/>
      </c>
      <c r="S2697" s="46">
        <f>R2697*INDEX(FmtCansPerCase,MATCH(F2697,FmtName,0))</f>
        <v/>
      </c>
      <c r="T2697" s="46">
        <f>S2697/INDEX(FmtCansPerPack,MATCH(F2697,FmtName,0))</f>
        <v/>
      </c>
      <c r="U2697" s="47">
        <f>INDEX(ChBaseCP,MATCH(E2697,ChName,0))*(1+INDEX(ProvMod,MATCH(G2697,ProvCode,0)))*(1+PriceIndex)</f>
        <v/>
      </c>
      <c r="V2697" s="47">
        <f>R2697*U2697*INDEX(FmtBlendedPriceIdx,MATCH(F2697,FmtName,0))</f>
        <v/>
      </c>
      <c r="W2697" s="47">
        <f>T2697*INDEX(ProvSRP,MATCH(G2697,ProvCode,0))*(1+PriceIndex)</f>
        <v/>
      </c>
      <c r="X2697" s="47">
        <f>IF(GrossBasis="Wholesale",V2697,W2697)</f>
        <v/>
      </c>
      <c r="Y2697" s="47">
        <f>R2697*INDEX(FmtBlendedCogs,MATCH(F2697,FmtName,0))</f>
        <v/>
      </c>
      <c r="Z2697" s="47">
        <f>X2697-Y2697</f>
        <v/>
      </c>
    </row>
    <row r="2698">
      <c r="A2698" t="n">
        <v>47</v>
      </c>
      <c r="B2698" s="44">
        <f>FiscalStart+(A2698-1)*7</f>
        <v/>
      </c>
      <c r="C2698">
        <f>TEXT(B2698,"mmm yyyy")</f>
        <v/>
      </c>
      <c r="D2698">
        <f>"Q"&amp;(INT((A2698-1)/13)+1)</f>
        <v/>
      </c>
      <c r="E2698" t="inlineStr">
        <is>
          <t>Specialty</t>
        </is>
      </c>
      <c r="F2698">
        <f>IFERROR(INDEX(ChFormat,MATCH(E2698,ChName,0)),"")</f>
        <v/>
      </c>
      <c r="G2698" t="inlineStr">
        <is>
          <t>BC</t>
        </is>
      </c>
      <c r="H2698">
        <f>IF(A2698&lt;=NWeeks,1,0)</f>
        <v/>
      </c>
      <c r="I2698">
        <f>INDEX(ChLaunch,MATCH(E2698,ChName,0))</f>
        <v/>
      </c>
      <c r="J2698">
        <f>INDEX(ChWeeksFull,MATCH(E2698,ChName,0))</f>
        <v/>
      </c>
      <c r="K2698">
        <f>INDEX(ChRamp,MATCH(E2698,ChName,0))</f>
        <v/>
      </c>
      <c r="L2698" s="45">
        <f>MIN(1,MAX(0,(A2698-I2698+1)*RampSpeed/J2698))</f>
        <v/>
      </c>
      <c r="M2698" s="45">
        <f>IF(A2698&lt;I2698,0,IF(K2698="S-curve",L2698*L2698*(3-2*L2698),L2698))</f>
        <v/>
      </c>
      <c r="N2698" s="45">
        <f>1+(INDEX(SeasonIdx,A2698)-1)*SeasonAmp</f>
        <v/>
      </c>
      <c r="O2698" s="45">
        <f>IFERROR(INDEX(PSPct,MATCH(E2698&amp;"|"&amp;G2698,PSKey,0)),0)</f>
        <v/>
      </c>
      <c r="P2698" s="46">
        <f>INDEX(ChDoorVel,MATCH(E2698,ChName,0))*CalibScalar*(1+VelocityUplift)</f>
        <v/>
      </c>
      <c r="Q2698" s="46" t="n">
        <v>0</v>
      </c>
      <c r="R2698" s="46">
        <f>P2698*O2698*M2698*N2698*H2698</f>
        <v/>
      </c>
      <c r="S2698" s="46">
        <f>R2698*INDEX(FmtCansPerCase,MATCH(F2698,FmtName,0))</f>
        <v/>
      </c>
      <c r="T2698" s="46">
        <f>S2698/INDEX(FmtCansPerPack,MATCH(F2698,FmtName,0))</f>
        <v/>
      </c>
      <c r="U2698" s="47">
        <f>INDEX(ChBaseCP,MATCH(E2698,ChName,0))*(1+INDEX(ProvMod,MATCH(G2698,ProvCode,0)))*(1+PriceIndex)</f>
        <v/>
      </c>
      <c r="V2698" s="47">
        <f>R2698*U2698*INDEX(FmtBlendedPriceIdx,MATCH(F2698,FmtName,0))</f>
        <v/>
      </c>
      <c r="W2698" s="47">
        <f>T2698*INDEX(ProvSRP,MATCH(G2698,ProvCode,0))*(1+PriceIndex)</f>
        <v/>
      </c>
      <c r="X2698" s="47">
        <f>IF(GrossBasis="Wholesale",V2698,W2698)</f>
        <v/>
      </c>
      <c r="Y2698" s="47">
        <f>R2698*INDEX(FmtBlendedCogs,MATCH(F2698,FmtName,0))</f>
        <v/>
      </c>
      <c r="Z2698" s="47">
        <f>X2698-Y2698</f>
        <v/>
      </c>
    </row>
    <row r="2699">
      <c r="A2699" t="n">
        <v>48</v>
      </c>
      <c r="B2699" s="44">
        <f>FiscalStart+(A2699-1)*7</f>
        <v/>
      </c>
      <c r="C2699">
        <f>TEXT(B2699,"mmm yyyy")</f>
        <v/>
      </c>
      <c r="D2699">
        <f>"Q"&amp;(INT((A2699-1)/13)+1)</f>
        <v/>
      </c>
      <c r="E2699" t="inlineStr">
        <is>
          <t>Specialty</t>
        </is>
      </c>
      <c r="F2699">
        <f>IFERROR(INDEX(ChFormat,MATCH(E2699,ChName,0)),"")</f>
        <v/>
      </c>
      <c r="G2699" t="inlineStr">
        <is>
          <t>BC</t>
        </is>
      </c>
      <c r="H2699">
        <f>IF(A2699&lt;=NWeeks,1,0)</f>
        <v/>
      </c>
      <c r="I2699">
        <f>INDEX(ChLaunch,MATCH(E2699,ChName,0))</f>
        <v/>
      </c>
      <c r="J2699">
        <f>INDEX(ChWeeksFull,MATCH(E2699,ChName,0))</f>
        <v/>
      </c>
      <c r="K2699">
        <f>INDEX(ChRamp,MATCH(E2699,ChName,0))</f>
        <v/>
      </c>
      <c r="L2699" s="45">
        <f>MIN(1,MAX(0,(A2699-I2699+1)*RampSpeed/J2699))</f>
        <v/>
      </c>
      <c r="M2699" s="45">
        <f>IF(A2699&lt;I2699,0,IF(K2699="S-curve",L2699*L2699*(3-2*L2699),L2699))</f>
        <v/>
      </c>
      <c r="N2699" s="45">
        <f>1+(INDEX(SeasonIdx,A2699)-1)*SeasonAmp</f>
        <v/>
      </c>
      <c r="O2699" s="45">
        <f>IFERROR(INDEX(PSPct,MATCH(E2699&amp;"|"&amp;G2699,PSKey,0)),0)</f>
        <v/>
      </c>
      <c r="P2699" s="46">
        <f>INDEX(ChDoorVel,MATCH(E2699,ChName,0))*CalibScalar*(1+VelocityUplift)</f>
        <v/>
      </c>
      <c r="Q2699" s="46" t="n">
        <v>0</v>
      </c>
      <c r="R2699" s="46">
        <f>P2699*O2699*M2699*N2699*H2699</f>
        <v/>
      </c>
      <c r="S2699" s="46">
        <f>R2699*INDEX(FmtCansPerCase,MATCH(F2699,FmtName,0))</f>
        <v/>
      </c>
      <c r="T2699" s="46">
        <f>S2699/INDEX(FmtCansPerPack,MATCH(F2699,FmtName,0))</f>
        <v/>
      </c>
      <c r="U2699" s="47">
        <f>INDEX(ChBaseCP,MATCH(E2699,ChName,0))*(1+INDEX(ProvMod,MATCH(G2699,ProvCode,0)))*(1+PriceIndex)</f>
        <v/>
      </c>
      <c r="V2699" s="47">
        <f>R2699*U2699*INDEX(FmtBlendedPriceIdx,MATCH(F2699,FmtName,0))</f>
        <v/>
      </c>
      <c r="W2699" s="47">
        <f>T2699*INDEX(ProvSRP,MATCH(G2699,ProvCode,0))*(1+PriceIndex)</f>
        <v/>
      </c>
      <c r="X2699" s="47">
        <f>IF(GrossBasis="Wholesale",V2699,W2699)</f>
        <v/>
      </c>
      <c r="Y2699" s="47">
        <f>R2699*INDEX(FmtBlendedCogs,MATCH(F2699,FmtName,0))</f>
        <v/>
      </c>
      <c r="Z2699" s="47">
        <f>X2699-Y2699</f>
        <v/>
      </c>
    </row>
    <row r="2700">
      <c r="A2700" t="n">
        <v>49</v>
      </c>
      <c r="B2700" s="44">
        <f>FiscalStart+(A2700-1)*7</f>
        <v/>
      </c>
      <c r="C2700">
        <f>TEXT(B2700,"mmm yyyy")</f>
        <v/>
      </c>
      <c r="D2700">
        <f>"Q"&amp;(INT((A2700-1)/13)+1)</f>
        <v/>
      </c>
      <c r="E2700" t="inlineStr">
        <is>
          <t>Specialty</t>
        </is>
      </c>
      <c r="F2700">
        <f>IFERROR(INDEX(ChFormat,MATCH(E2700,ChName,0)),"")</f>
        <v/>
      </c>
      <c r="G2700" t="inlineStr">
        <is>
          <t>BC</t>
        </is>
      </c>
      <c r="H2700">
        <f>IF(A2700&lt;=NWeeks,1,0)</f>
        <v/>
      </c>
      <c r="I2700">
        <f>INDEX(ChLaunch,MATCH(E2700,ChName,0))</f>
        <v/>
      </c>
      <c r="J2700">
        <f>INDEX(ChWeeksFull,MATCH(E2700,ChName,0))</f>
        <v/>
      </c>
      <c r="K2700">
        <f>INDEX(ChRamp,MATCH(E2700,ChName,0))</f>
        <v/>
      </c>
      <c r="L2700" s="45">
        <f>MIN(1,MAX(0,(A2700-I2700+1)*RampSpeed/J2700))</f>
        <v/>
      </c>
      <c r="M2700" s="45">
        <f>IF(A2700&lt;I2700,0,IF(K2700="S-curve",L2700*L2700*(3-2*L2700),L2700))</f>
        <v/>
      </c>
      <c r="N2700" s="45">
        <f>1+(INDEX(SeasonIdx,A2700)-1)*SeasonAmp</f>
        <v/>
      </c>
      <c r="O2700" s="45">
        <f>IFERROR(INDEX(PSPct,MATCH(E2700&amp;"|"&amp;G2700,PSKey,0)),0)</f>
        <v/>
      </c>
      <c r="P2700" s="46">
        <f>INDEX(ChDoorVel,MATCH(E2700,ChName,0))*CalibScalar*(1+VelocityUplift)</f>
        <v/>
      </c>
      <c r="Q2700" s="46" t="n">
        <v>0</v>
      </c>
      <c r="R2700" s="46">
        <f>P2700*O2700*M2700*N2700*H2700</f>
        <v/>
      </c>
      <c r="S2700" s="46">
        <f>R2700*INDEX(FmtCansPerCase,MATCH(F2700,FmtName,0))</f>
        <v/>
      </c>
      <c r="T2700" s="46">
        <f>S2700/INDEX(FmtCansPerPack,MATCH(F2700,FmtName,0))</f>
        <v/>
      </c>
      <c r="U2700" s="47">
        <f>INDEX(ChBaseCP,MATCH(E2700,ChName,0))*(1+INDEX(ProvMod,MATCH(G2700,ProvCode,0)))*(1+PriceIndex)</f>
        <v/>
      </c>
      <c r="V2700" s="47">
        <f>R2700*U2700*INDEX(FmtBlendedPriceIdx,MATCH(F2700,FmtName,0))</f>
        <v/>
      </c>
      <c r="W2700" s="47">
        <f>T2700*INDEX(ProvSRP,MATCH(G2700,ProvCode,0))*(1+PriceIndex)</f>
        <v/>
      </c>
      <c r="X2700" s="47">
        <f>IF(GrossBasis="Wholesale",V2700,W2700)</f>
        <v/>
      </c>
      <c r="Y2700" s="47">
        <f>R2700*INDEX(FmtBlendedCogs,MATCH(F2700,FmtName,0))</f>
        <v/>
      </c>
      <c r="Z2700" s="47">
        <f>X2700-Y2700</f>
        <v/>
      </c>
    </row>
    <row r="2701">
      <c r="A2701" t="n">
        <v>50</v>
      </c>
      <c r="B2701" s="44">
        <f>FiscalStart+(A2701-1)*7</f>
        <v/>
      </c>
      <c r="C2701">
        <f>TEXT(B2701,"mmm yyyy")</f>
        <v/>
      </c>
      <c r="D2701">
        <f>"Q"&amp;(INT((A2701-1)/13)+1)</f>
        <v/>
      </c>
      <c r="E2701" t="inlineStr">
        <is>
          <t>Specialty</t>
        </is>
      </c>
      <c r="F2701">
        <f>IFERROR(INDEX(ChFormat,MATCH(E2701,ChName,0)),"")</f>
        <v/>
      </c>
      <c r="G2701" t="inlineStr">
        <is>
          <t>BC</t>
        </is>
      </c>
      <c r="H2701">
        <f>IF(A2701&lt;=NWeeks,1,0)</f>
        <v/>
      </c>
      <c r="I2701">
        <f>INDEX(ChLaunch,MATCH(E2701,ChName,0))</f>
        <v/>
      </c>
      <c r="J2701">
        <f>INDEX(ChWeeksFull,MATCH(E2701,ChName,0))</f>
        <v/>
      </c>
      <c r="K2701">
        <f>INDEX(ChRamp,MATCH(E2701,ChName,0))</f>
        <v/>
      </c>
      <c r="L2701" s="45">
        <f>MIN(1,MAX(0,(A2701-I2701+1)*RampSpeed/J2701))</f>
        <v/>
      </c>
      <c r="M2701" s="45">
        <f>IF(A2701&lt;I2701,0,IF(K2701="S-curve",L2701*L2701*(3-2*L2701),L2701))</f>
        <v/>
      </c>
      <c r="N2701" s="45">
        <f>1+(INDEX(SeasonIdx,A2701)-1)*SeasonAmp</f>
        <v/>
      </c>
      <c r="O2701" s="45">
        <f>IFERROR(INDEX(PSPct,MATCH(E2701&amp;"|"&amp;G2701,PSKey,0)),0)</f>
        <v/>
      </c>
      <c r="P2701" s="46">
        <f>INDEX(ChDoorVel,MATCH(E2701,ChName,0))*CalibScalar*(1+VelocityUplift)</f>
        <v/>
      </c>
      <c r="Q2701" s="46" t="n">
        <v>0</v>
      </c>
      <c r="R2701" s="46">
        <f>P2701*O2701*M2701*N2701*H2701</f>
        <v/>
      </c>
      <c r="S2701" s="46">
        <f>R2701*INDEX(FmtCansPerCase,MATCH(F2701,FmtName,0))</f>
        <v/>
      </c>
      <c r="T2701" s="46">
        <f>S2701/INDEX(FmtCansPerPack,MATCH(F2701,FmtName,0))</f>
        <v/>
      </c>
      <c r="U2701" s="47">
        <f>INDEX(ChBaseCP,MATCH(E2701,ChName,0))*(1+INDEX(ProvMod,MATCH(G2701,ProvCode,0)))*(1+PriceIndex)</f>
        <v/>
      </c>
      <c r="V2701" s="47">
        <f>R2701*U2701*INDEX(FmtBlendedPriceIdx,MATCH(F2701,FmtName,0))</f>
        <v/>
      </c>
      <c r="W2701" s="47">
        <f>T2701*INDEX(ProvSRP,MATCH(G2701,ProvCode,0))*(1+PriceIndex)</f>
        <v/>
      </c>
      <c r="X2701" s="47">
        <f>IF(GrossBasis="Wholesale",V2701,W2701)</f>
        <v/>
      </c>
      <c r="Y2701" s="47">
        <f>R2701*INDEX(FmtBlendedCogs,MATCH(F2701,FmtName,0))</f>
        <v/>
      </c>
      <c r="Z2701" s="47">
        <f>X2701-Y2701</f>
        <v/>
      </c>
    </row>
    <row r="2702">
      <c r="A2702" t="n">
        <v>51</v>
      </c>
      <c r="B2702" s="44">
        <f>FiscalStart+(A2702-1)*7</f>
        <v/>
      </c>
      <c r="C2702">
        <f>TEXT(B2702,"mmm yyyy")</f>
        <v/>
      </c>
      <c r="D2702">
        <f>"Q"&amp;(INT((A2702-1)/13)+1)</f>
        <v/>
      </c>
      <c r="E2702" t="inlineStr">
        <is>
          <t>Specialty</t>
        </is>
      </c>
      <c r="F2702">
        <f>IFERROR(INDEX(ChFormat,MATCH(E2702,ChName,0)),"")</f>
        <v/>
      </c>
      <c r="G2702" t="inlineStr">
        <is>
          <t>BC</t>
        </is>
      </c>
      <c r="H2702">
        <f>IF(A2702&lt;=NWeeks,1,0)</f>
        <v/>
      </c>
      <c r="I2702">
        <f>INDEX(ChLaunch,MATCH(E2702,ChName,0))</f>
        <v/>
      </c>
      <c r="J2702">
        <f>INDEX(ChWeeksFull,MATCH(E2702,ChName,0))</f>
        <v/>
      </c>
      <c r="K2702">
        <f>INDEX(ChRamp,MATCH(E2702,ChName,0))</f>
        <v/>
      </c>
      <c r="L2702" s="45">
        <f>MIN(1,MAX(0,(A2702-I2702+1)*RampSpeed/J2702))</f>
        <v/>
      </c>
      <c r="M2702" s="45">
        <f>IF(A2702&lt;I2702,0,IF(K2702="S-curve",L2702*L2702*(3-2*L2702),L2702))</f>
        <v/>
      </c>
      <c r="N2702" s="45">
        <f>1+(INDEX(SeasonIdx,A2702)-1)*SeasonAmp</f>
        <v/>
      </c>
      <c r="O2702" s="45">
        <f>IFERROR(INDEX(PSPct,MATCH(E2702&amp;"|"&amp;G2702,PSKey,0)),0)</f>
        <v/>
      </c>
      <c r="P2702" s="46">
        <f>INDEX(ChDoorVel,MATCH(E2702,ChName,0))*CalibScalar*(1+VelocityUplift)</f>
        <v/>
      </c>
      <c r="Q2702" s="46" t="n">
        <v>0</v>
      </c>
      <c r="R2702" s="46">
        <f>P2702*O2702*M2702*N2702*H2702</f>
        <v/>
      </c>
      <c r="S2702" s="46">
        <f>R2702*INDEX(FmtCansPerCase,MATCH(F2702,FmtName,0))</f>
        <v/>
      </c>
      <c r="T2702" s="46">
        <f>S2702/INDEX(FmtCansPerPack,MATCH(F2702,FmtName,0))</f>
        <v/>
      </c>
      <c r="U2702" s="47">
        <f>INDEX(ChBaseCP,MATCH(E2702,ChName,0))*(1+INDEX(ProvMod,MATCH(G2702,ProvCode,0)))*(1+PriceIndex)</f>
        <v/>
      </c>
      <c r="V2702" s="47">
        <f>R2702*U2702*INDEX(FmtBlendedPriceIdx,MATCH(F2702,FmtName,0))</f>
        <v/>
      </c>
      <c r="W2702" s="47">
        <f>T2702*INDEX(ProvSRP,MATCH(G2702,ProvCode,0))*(1+PriceIndex)</f>
        <v/>
      </c>
      <c r="X2702" s="47">
        <f>IF(GrossBasis="Wholesale",V2702,W2702)</f>
        <v/>
      </c>
      <c r="Y2702" s="47">
        <f>R2702*INDEX(FmtBlendedCogs,MATCH(F2702,FmtName,0))</f>
        <v/>
      </c>
      <c r="Z2702" s="47">
        <f>X2702-Y2702</f>
        <v/>
      </c>
    </row>
    <row r="2703">
      <c r="A2703" t="n">
        <v>52</v>
      </c>
      <c r="B2703" s="44">
        <f>FiscalStart+(A2703-1)*7</f>
        <v/>
      </c>
      <c r="C2703">
        <f>TEXT(B2703,"mmm yyyy")</f>
        <v/>
      </c>
      <c r="D2703">
        <f>"Q"&amp;(INT((A2703-1)/13)+1)</f>
        <v/>
      </c>
      <c r="E2703" t="inlineStr">
        <is>
          <t>Specialty</t>
        </is>
      </c>
      <c r="F2703">
        <f>IFERROR(INDEX(ChFormat,MATCH(E2703,ChName,0)),"")</f>
        <v/>
      </c>
      <c r="G2703" t="inlineStr">
        <is>
          <t>BC</t>
        </is>
      </c>
      <c r="H2703">
        <f>IF(A2703&lt;=NWeeks,1,0)</f>
        <v/>
      </c>
      <c r="I2703">
        <f>INDEX(ChLaunch,MATCH(E2703,ChName,0))</f>
        <v/>
      </c>
      <c r="J2703">
        <f>INDEX(ChWeeksFull,MATCH(E2703,ChName,0))</f>
        <v/>
      </c>
      <c r="K2703">
        <f>INDEX(ChRamp,MATCH(E2703,ChName,0))</f>
        <v/>
      </c>
      <c r="L2703" s="45">
        <f>MIN(1,MAX(0,(A2703-I2703+1)*RampSpeed/J2703))</f>
        <v/>
      </c>
      <c r="M2703" s="45">
        <f>IF(A2703&lt;I2703,0,IF(K2703="S-curve",L2703*L2703*(3-2*L2703),L2703))</f>
        <v/>
      </c>
      <c r="N2703" s="45">
        <f>1+(INDEX(SeasonIdx,A2703)-1)*SeasonAmp</f>
        <v/>
      </c>
      <c r="O2703" s="45">
        <f>IFERROR(INDEX(PSPct,MATCH(E2703&amp;"|"&amp;G2703,PSKey,0)),0)</f>
        <v/>
      </c>
      <c r="P2703" s="46">
        <f>INDEX(ChDoorVel,MATCH(E2703,ChName,0))*CalibScalar*(1+VelocityUplift)</f>
        <v/>
      </c>
      <c r="Q2703" s="46" t="n">
        <v>0</v>
      </c>
      <c r="R2703" s="46">
        <f>P2703*O2703*M2703*N2703*H2703</f>
        <v/>
      </c>
      <c r="S2703" s="46">
        <f>R2703*INDEX(FmtCansPerCase,MATCH(F2703,FmtName,0))</f>
        <v/>
      </c>
      <c r="T2703" s="46">
        <f>S2703/INDEX(FmtCansPerPack,MATCH(F2703,FmtName,0))</f>
        <v/>
      </c>
      <c r="U2703" s="47">
        <f>INDEX(ChBaseCP,MATCH(E2703,ChName,0))*(1+INDEX(ProvMod,MATCH(G2703,ProvCode,0)))*(1+PriceIndex)</f>
        <v/>
      </c>
      <c r="V2703" s="47">
        <f>R2703*U2703*INDEX(FmtBlendedPriceIdx,MATCH(F2703,FmtName,0))</f>
        <v/>
      </c>
      <c r="W2703" s="47">
        <f>T2703*INDEX(ProvSRP,MATCH(G2703,ProvCode,0))*(1+PriceIndex)</f>
        <v/>
      </c>
      <c r="X2703" s="47">
        <f>IF(GrossBasis="Wholesale",V2703,W2703)</f>
        <v/>
      </c>
      <c r="Y2703" s="47">
        <f>R2703*INDEX(FmtBlendedCogs,MATCH(F2703,FmtName,0))</f>
        <v/>
      </c>
      <c r="Z2703" s="47">
        <f>X2703-Y2703</f>
        <v/>
      </c>
    </row>
    <row r="2704">
      <c r="A2704" t="n">
        <v>53</v>
      </c>
      <c r="B2704" s="44">
        <f>FiscalStart+(A2704-1)*7</f>
        <v/>
      </c>
      <c r="C2704">
        <f>TEXT(B2704,"mmm yyyy")</f>
        <v/>
      </c>
      <c r="D2704">
        <f>"Q"&amp;(INT((A2704-1)/13)+1)</f>
        <v/>
      </c>
      <c r="E2704" t="inlineStr">
        <is>
          <t>Specialty</t>
        </is>
      </c>
      <c r="F2704">
        <f>IFERROR(INDEX(ChFormat,MATCH(E2704,ChName,0)),"")</f>
        <v/>
      </c>
      <c r="G2704" t="inlineStr">
        <is>
          <t>BC</t>
        </is>
      </c>
      <c r="H2704">
        <f>IF(A2704&lt;=NWeeks,1,0)</f>
        <v/>
      </c>
      <c r="I2704">
        <f>INDEX(ChLaunch,MATCH(E2704,ChName,0))</f>
        <v/>
      </c>
      <c r="J2704">
        <f>INDEX(ChWeeksFull,MATCH(E2704,ChName,0))</f>
        <v/>
      </c>
      <c r="K2704">
        <f>INDEX(ChRamp,MATCH(E2704,ChName,0))</f>
        <v/>
      </c>
      <c r="L2704" s="45">
        <f>MIN(1,MAX(0,(A2704-I2704+1)*RampSpeed/J2704))</f>
        <v/>
      </c>
      <c r="M2704" s="45">
        <f>IF(A2704&lt;I2704,0,IF(K2704="S-curve",L2704*L2704*(3-2*L2704),L2704))</f>
        <v/>
      </c>
      <c r="N2704" s="45">
        <f>1+(INDEX(SeasonIdx,A2704)-1)*SeasonAmp</f>
        <v/>
      </c>
      <c r="O2704" s="45">
        <f>IFERROR(INDEX(PSPct,MATCH(E2704&amp;"|"&amp;G2704,PSKey,0)),0)</f>
        <v/>
      </c>
      <c r="P2704" s="46">
        <f>INDEX(ChDoorVel,MATCH(E2704,ChName,0))*CalibScalar*(1+VelocityUplift)</f>
        <v/>
      </c>
      <c r="Q2704" s="46" t="n">
        <v>0</v>
      </c>
      <c r="R2704" s="46">
        <f>P2704*O2704*M2704*N2704*H2704</f>
        <v/>
      </c>
      <c r="S2704" s="46">
        <f>R2704*INDEX(FmtCansPerCase,MATCH(F2704,FmtName,0))</f>
        <v/>
      </c>
      <c r="T2704" s="46">
        <f>S2704/INDEX(FmtCansPerPack,MATCH(F2704,FmtName,0))</f>
        <v/>
      </c>
      <c r="U2704" s="47">
        <f>INDEX(ChBaseCP,MATCH(E2704,ChName,0))*(1+INDEX(ProvMod,MATCH(G2704,ProvCode,0)))*(1+PriceIndex)</f>
        <v/>
      </c>
      <c r="V2704" s="47">
        <f>R2704*U2704*INDEX(FmtBlendedPriceIdx,MATCH(F2704,FmtName,0))</f>
        <v/>
      </c>
      <c r="W2704" s="47">
        <f>T2704*INDEX(ProvSRP,MATCH(G2704,ProvCode,0))*(1+PriceIndex)</f>
        <v/>
      </c>
      <c r="X2704" s="47">
        <f>IF(GrossBasis="Wholesale",V2704,W2704)</f>
        <v/>
      </c>
      <c r="Y2704" s="47">
        <f>R2704*INDEX(FmtBlendedCogs,MATCH(F2704,FmtName,0))</f>
        <v/>
      </c>
      <c r="Z2704" s="47">
        <f>X2704-Y2704</f>
        <v/>
      </c>
    </row>
    <row r="2705">
      <c r="A2705" t="n">
        <v>1</v>
      </c>
      <c r="B2705" s="44">
        <f>FiscalStart+(A2705-1)*7</f>
        <v/>
      </c>
      <c r="C2705">
        <f>TEXT(B2705,"mmm yyyy")</f>
        <v/>
      </c>
      <c r="D2705">
        <f>"Q"&amp;(INT((A2705-1)/13)+1)</f>
        <v/>
      </c>
      <c r="E2705" t="inlineStr">
        <is>
          <t>Specialty</t>
        </is>
      </c>
      <c r="F2705">
        <f>IFERROR(INDEX(ChFormat,MATCH(E2705,ChName,0)),"")</f>
        <v/>
      </c>
      <c r="G2705" t="inlineStr">
        <is>
          <t>AB</t>
        </is>
      </c>
      <c r="H2705">
        <f>IF(A2705&lt;=NWeeks,1,0)</f>
        <v/>
      </c>
      <c r="I2705">
        <f>INDEX(ChLaunch,MATCH(E2705,ChName,0))</f>
        <v/>
      </c>
      <c r="J2705">
        <f>INDEX(ChWeeksFull,MATCH(E2705,ChName,0))</f>
        <v/>
      </c>
      <c r="K2705">
        <f>INDEX(ChRamp,MATCH(E2705,ChName,0))</f>
        <v/>
      </c>
      <c r="L2705" s="45">
        <f>MIN(1,MAX(0,(A2705-I2705+1)*RampSpeed/J2705))</f>
        <v/>
      </c>
      <c r="M2705" s="45">
        <f>IF(A2705&lt;I2705,0,IF(K2705="S-curve",L2705*L2705*(3-2*L2705),L2705))</f>
        <v/>
      </c>
      <c r="N2705" s="45">
        <f>1+(INDEX(SeasonIdx,A2705)-1)*SeasonAmp</f>
        <v/>
      </c>
      <c r="O2705" s="45">
        <f>IFERROR(INDEX(PSPct,MATCH(E2705&amp;"|"&amp;G2705,PSKey,0)),0)</f>
        <v/>
      </c>
      <c r="P2705" s="46">
        <f>INDEX(ChDoorVel,MATCH(E2705,ChName,0))*CalibScalar*(1+VelocityUplift)</f>
        <v/>
      </c>
      <c r="Q2705" s="46" t="n">
        <v>0</v>
      </c>
      <c r="R2705" s="46">
        <f>P2705*O2705*M2705*N2705*H2705</f>
        <v/>
      </c>
      <c r="S2705" s="46">
        <f>R2705*INDEX(FmtCansPerCase,MATCH(F2705,FmtName,0))</f>
        <v/>
      </c>
      <c r="T2705" s="46">
        <f>S2705/INDEX(FmtCansPerPack,MATCH(F2705,FmtName,0))</f>
        <v/>
      </c>
      <c r="U2705" s="47">
        <f>INDEX(ChBaseCP,MATCH(E2705,ChName,0))*(1+INDEX(ProvMod,MATCH(G2705,ProvCode,0)))*(1+PriceIndex)</f>
        <v/>
      </c>
      <c r="V2705" s="47">
        <f>R2705*U2705*INDEX(FmtBlendedPriceIdx,MATCH(F2705,FmtName,0))</f>
        <v/>
      </c>
      <c r="W2705" s="47">
        <f>T2705*INDEX(ProvSRP,MATCH(G2705,ProvCode,0))*(1+PriceIndex)</f>
        <v/>
      </c>
      <c r="X2705" s="47">
        <f>IF(GrossBasis="Wholesale",V2705,W2705)</f>
        <v/>
      </c>
      <c r="Y2705" s="47">
        <f>R2705*INDEX(FmtBlendedCogs,MATCH(F2705,FmtName,0))</f>
        <v/>
      </c>
      <c r="Z2705" s="47">
        <f>X2705-Y2705</f>
        <v/>
      </c>
    </row>
    <row r="2706">
      <c r="A2706" t="n">
        <v>2</v>
      </c>
      <c r="B2706" s="44">
        <f>FiscalStart+(A2706-1)*7</f>
        <v/>
      </c>
      <c r="C2706">
        <f>TEXT(B2706,"mmm yyyy")</f>
        <v/>
      </c>
      <c r="D2706">
        <f>"Q"&amp;(INT((A2706-1)/13)+1)</f>
        <v/>
      </c>
      <c r="E2706" t="inlineStr">
        <is>
          <t>Specialty</t>
        </is>
      </c>
      <c r="F2706">
        <f>IFERROR(INDEX(ChFormat,MATCH(E2706,ChName,0)),"")</f>
        <v/>
      </c>
      <c r="G2706" t="inlineStr">
        <is>
          <t>AB</t>
        </is>
      </c>
      <c r="H2706">
        <f>IF(A2706&lt;=NWeeks,1,0)</f>
        <v/>
      </c>
      <c r="I2706">
        <f>INDEX(ChLaunch,MATCH(E2706,ChName,0))</f>
        <v/>
      </c>
      <c r="J2706">
        <f>INDEX(ChWeeksFull,MATCH(E2706,ChName,0))</f>
        <v/>
      </c>
      <c r="K2706">
        <f>INDEX(ChRamp,MATCH(E2706,ChName,0))</f>
        <v/>
      </c>
      <c r="L2706" s="45">
        <f>MIN(1,MAX(0,(A2706-I2706+1)*RampSpeed/J2706))</f>
        <v/>
      </c>
      <c r="M2706" s="45">
        <f>IF(A2706&lt;I2706,0,IF(K2706="S-curve",L2706*L2706*(3-2*L2706),L2706))</f>
        <v/>
      </c>
      <c r="N2706" s="45">
        <f>1+(INDEX(SeasonIdx,A2706)-1)*SeasonAmp</f>
        <v/>
      </c>
      <c r="O2706" s="45">
        <f>IFERROR(INDEX(PSPct,MATCH(E2706&amp;"|"&amp;G2706,PSKey,0)),0)</f>
        <v/>
      </c>
      <c r="P2706" s="46">
        <f>INDEX(ChDoorVel,MATCH(E2706,ChName,0))*CalibScalar*(1+VelocityUplift)</f>
        <v/>
      </c>
      <c r="Q2706" s="46" t="n">
        <v>0</v>
      </c>
      <c r="R2706" s="46">
        <f>P2706*O2706*M2706*N2706*H2706</f>
        <v/>
      </c>
      <c r="S2706" s="46">
        <f>R2706*INDEX(FmtCansPerCase,MATCH(F2706,FmtName,0))</f>
        <v/>
      </c>
      <c r="T2706" s="46">
        <f>S2706/INDEX(FmtCansPerPack,MATCH(F2706,FmtName,0))</f>
        <v/>
      </c>
      <c r="U2706" s="47">
        <f>INDEX(ChBaseCP,MATCH(E2706,ChName,0))*(1+INDEX(ProvMod,MATCH(G2706,ProvCode,0)))*(1+PriceIndex)</f>
        <v/>
      </c>
      <c r="V2706" s="47">
        <f>R2706*U2706*INDEX(FmtBlendedPriceIdx,MATCH(F2706,FmtName,0))</f>
        <v/>
      </c>
      <c r="W2706" s="47">
        <f>T2706*INDEX(ProvSRP,MATCH(G2706,ProvCode,0))*(1+PriceIndex)</f>
        <v/>
      </c>
      <c r="X2706" s="47">
        <f>IF(GrossBasis="Wholesale",V2706,W2706)</f>
        <v/>
      </c>
      <c r="Y2706" s="47">
        <f>R2706*INDEX(FmtBlendedCogs,MATCH(F2706,FmtName,0))</f>
        <v/>
      </c>
      <c r="Z2706" s="47">
        <f>X2706-Y2706</f>
        <v/>
      </c>
    </row>
    <row r="2707">
      <c r="A2707" t="n">
        <v>3</v>
      </c>
      <c r="B2707" s="44">
        <f>FiscalStart+(A2707-1)*7</f>
        <v/>
      </c>
      <c r="C2707">
        <f>TEXT(B2707,"mmm yyyy")</f>
        <v/>
      </c>
      <c r="D2707">
        <f>"Q"&amp;(INT((A2707-1)/13)+1)</f>
        <v/>
      </c>
      <c r="E2707" t="inlineStr">
        <is>
          <t>Specialty</t>
        </is>
      </c>
      <c r="F2707">
        <f>IFERROR(INDEX(ChFormat,MATCH(E2707,ChName,0)),"")</f>
        <v/>
      </c>
      <c r="G2707" t="inlineStr">
        <is>
          <t>AB</t>
        </is>
      </c>
      <c r="H2707">
        <f>IF(A2707&lt;=NWeeks,1,0)</f>
        <v/>
      </c>
      <c r="I2707">
        <f>INDEX(ChLaunch,MATCH(E2707,ChName,0))</f>
        <v/>
      </c>
      <c r="J2707">
        <f>INDEX(ChWeeksFull,MATCH(E2707,ChName,0))</f>
        <v/>
      </c>
      <c r="K2707">
        <f>INDEX(ChRamp,MATCH(E2707,ChName,0))</f>
        <v/>
      </c>
      <c r="L2707" s="45">
        <f>MIN(1,MAX(0,(A2707-I2707+1)*RampSpeed/J2707))</f>
        <v/>
      </c>
      <c r="M2707" s="45">
        <f>IF(A2707&lt;I2707,0,IF(K2707="S-curve",L2707*L2707*(3-2*L2707),L2707))</f>
        <v/>
      </c>
      <c r="N2707" s="45">
        <f>1+(INDEX(SeasonIdx,A2707)-1)*SeasonAmp</f>
        <v/>
      </c>
      <c r="O2707" s="45">
        <f>IFERROR(INDEX(PSPct,MATCH(E2707&amp;"|"&amp;G2707,PSKey,0)),0)</f>
        <v/>
      </c>
      <c r="P2707" s="46">
        <f>INDEX(ChDoorVel,MATCH(E2707,ChName,0))*CalibScalar*(1+VelocityUplift)</f>
        <v/>
      </c>
      <c r="Q2707" s="46" t="n">
        <v>0</v>
      </c>
      <c r="R2707" s="46">
        <f>P2707*O2707*M2707*N2707*H2707</f>
        <v/>
      </c>
      <c r="S2707" s="46">
        <f>R2707*INDEX(FmtCansPerCase,MATCH(F2707,FmtName,0))</f>
        <v/>
      </c>
      <c r="T2707" s="46">
        <f>S2707/INDEX(FmtCansPerPack,MATCH(F2707,FmtName,0))</f>
        <v/>
      </c>
      <c r="U2707" s="47">
        <f>INDEX(ChBaseCP,MATCH(E2707,ChName,0))*(1+INDEX(ProvMod,MATCH(G2707,ProvCode,0)))*(1+PriceIndex)</f>
        <v/>
      </c>
      <c r="V2707" s="47">
        <f>R2707*U2707*INDEX(FmtBlendedPriceIdx,MATCH(F2707,FmtName,0))</f>
        <v/>
      </c>
      <c r="W2707" s="47">
        <f>T2707*INDEX(ProvSRP,MATCH(G2707,ProvCode,0))*(1+PriceIndex)</f>
        <v/>
      </c>
      <c r="X2707" s="47">
        <f>IF(GrossBasis="Wholesale",V2707,W2707)</f>
        <v/>
      </c>
      <c r="Y2707" s="47">
        <f>R2707*INDEX(FmtBlendedCogs,MATCH(F2707,FmtName,0))</f>
        <v/>
      </c>
      <c r="Z2707" s="47">
        <f>X2707-Y2707</f>
        <v/>
      </c>
    </row>
    <row r="2708">
      <c r="A2708" t="n">
        <v>4</v>
      </c>
      <c r="B2708" s="44">
        <f>FiscalStart+(A2708-1)*7</f>
        <v/>
      </c>
      <c r="C2708">
        <f>TEXT(B2708,"mmm yyyy")</f>
        <v/>
      </c>
      <c r="D2708">
        <f>"Q"&amp;(INT((A2708-1)/13)+1)</f>
        <v/>
      </c>
      <c r="E2708" t="inlineStr">
        <is>
          <t>Specialty</t>
        </is>
      </c>
      <c r="F2708">
        <f>IFERROR(INDEX(ChFormat,MATCH(E2708,ChName,0)),"")</f>
        <v/>
      </c>
      <c r="G2708" t="inlineStr">
        <is>
          <t>AB</t>
        </is>
      </c>
      <c r="H2708">
        <f>IF(A2708&lt;=NWeeks,1,0)</f>
        <v/>
      </c>
      <c r="I2708">
        <f>INDEX(ChLaunch,MATCH(E2708,ChName,0))</f>
        <v/>
      </c>
      <c r="J2708">
        <f>INDEX(ChWeeksFull,MATCH(E2708,ChName,0))</f>
        <v/>
      </c>
      <c r="K2708">
        <f>INDEX(ChRamp,MATCH(E2708,ChName,0))</f>
        <v/>
      </c>
      <c r="L2708" s="45">
        <f>MIN(1,MAX(0,(A2708-I2708+1)*RampSpeed/J2708))</f>
        <v/>
      </c>
      <c r="M2708" s="45">
        <f>IF(A2708&lt;I2708,0,IF(K2708="S-curve",L2708*L2708*(3-2*L2708),L2708))</f>
        <v/>
      </c>
      <c r="N2708" s="45">
        <f>1+(INDEX(SeasonIdx,A2708)-1)*SeasonAmp</f>
        <v/>
      </c>
      <c r="O2708" s="45">
        <f>IFERROR(INDEX(PSPct,MATCH(E2708&amp;"|"&amp;G2708,PSKey,0)),0)</f>
        <v/>
      </c>
      <c r="P2708" s="46">
        <f>INDEX(ChDoorVel,MATCH(E2708,ChName,0))*CalibScalar*(1+VelocityUplift)</f>
        <v/>
      </c>
      <c r="Q2708" s="46" t="n">
        <v>0</v>
      </c>
      <c r="R2708" s="46">
        <f>P2708*O2708*M2708*N2708*H2708</f>
        <v/>
      </c>
      <c r="S2708" s="46">
        <f>R2708*INDEX(FmtCansPerCase,MATCH(F2708,FmtName,0))</f>
        <v/>
      </c>
      <c r="T2708" s="46">
        <f>S2708/INDEX(FmtCansPerPack,MATCH(F2708,FmtName,0))</f>
        <v/>
      </c>
      <c r="U2708" s="47">
        <f>INDEX(ChBaseCP,MATCH(E2708,ChName,0))*(1+INDEX(ProvMod,MATCH(G2708,ProvCode,0)))*(1+PriceIndex)</f>
        <v/>
      </c>
      <c r="V2708" s="47">
        <f>R2708*U2708*INDEX(FmtBlendedPriceIdx,MATCH(F2708,FmtName,0))</f>
        <v/>
      </c>
      <c r="W2708" s="47">
        <f>T2708*INDEX(ProvSRP,MATCH(G2708,ProvCode,0))*(1+PriceIndex)</f>
        <v/>
      </c>
      <c r="X2708" s="47">
        <f>IF(GrossBasis="Wholesale",V2708,W2708)</f>
        <v/>
      </c>
      <c r="Y2708" s="47">
        <f>R2708*INDEX(FmtBlendedCogs,MATCH(F2708,FmtName,0))</f>
        <v/>
      </c>
      <c r="Z2708" s="47">
        <f>X2708-Y2708</f>
        <v/>
      </c>
    </row>
    <row r="2709">
      <c r="A2709" t="n">
        <v>5</v>
      </c>
      <c r="B2709" s="44">
        <f>FiscalStart+(A2709-1)*7</f>
        <v/>
      </c>
      <c r="C2709">
        <f>TEXT(B2709,"mmm yyyy")</f>
        <v/>
      </c>
      <c r="D2709">
        <f>"Q"&amp;(INT((A2709-1)/13)+1)</f>
        <v/>
      </c>
      <c r="E2709" t="inlineStr">
        <is>
          <t>Specialty</t>
        </is>
      </c>
      <c r="F2709">
        <f>IFERROR(INDEX(ChFormat,MATCH(E2709,ChName,0)),"")</f>
        <v/>
      </c>
      <c r="G2709" t="inlineStr">
        <is>
          <t>AB</t>
        </is>
      </c>
      <c r="H2709">
        <f>IF(A2709&lt;=NWeeks,1,0)</f>
        <v/>
      </c>
      <c r="I2709">
        <f>INDEX(ChLaunch,MATCH(E2709,ChName,0))</f>
        <v/>
      </c>
      <c r="J2709">
        <f>INDEX(ChWeeksFull,MATCH(E2709,ChName,0))</f>
        <v/>
      </c>
      <c r="K2709">
        <f>INDEX(ChRamp,MATCH(E2709,ChName,0))</f>
        <v/>
      </c>
      <c r="L2709" s="45">
        <f>MIN(1,MAX(0,(A2709-I2709+1)*RampSpeed/J2709))</f>
        <v/>
      </c>
      <c r="M2709" s="45">
        <f>IF(A2709&lt;I2709,0,IF(K2709="S-curve",L2709*L2709*(3-2*L2709),L2709))</f>
        <v/>
      </c>
      <c r="N2709" s="45">
        <f>1+(INDEX(SeasonIdx,A2709)-1)*SeasonAmp</f>
        <v/>
      </c>
      <c r="O2709" s="45">
        <f>IFERROR(INDEX(PSPct,MATCH(E2709&amp;"|"&amp;G2709,PSKey,0)),0)</f>
        <v/>
      </c>
      <c r="P2709" s="46">
        <f>INDEX(ChDoorVel,MATCH(E2709,ChName,0))*CalibScalar*(1+VelocityUplift)</f>
        <v/>
      </c>
      <c r="Q2709" s="46" t="n">
        <v>0</v>
      </c>
      <c r="R2709" s="46">
        <f>P2709*O2709*M2709*N2709*H2709</f>
        <v/>
      </c>
      <c r="S2709" s="46">
        <f>R2709*INDEX(FmtCansPerCase,MATCH(F2709,FmtName,0))</f>
        <v/>
      </c>
      <c r="T2709" s="46">
        <f>S2709/INDEX(FmtCansPerPack,MATCH(F2709,FmtName,0))</f>
        <v/>
      </c>
      <c r="U2709" s="47">
        <f>INDEX(ChBaseCP,MATCH(E2709,ChName,0))*(1+INDEX(ProvMod,MATCH(G2709,ProvCode,0)))*(1+PriceIndex)</f>
        <v/>
      </c>
      <c r="V2709" s="47">
        <f>R2709*U2709*INDEX(FmtBlendedPriceIdx,MATCH(F2709,FmtName,0))</f>
        <v/>
      </c>
      <c r="W2709" s="47">
        <f>T2709*INDEX(ProvSRP,MATCH(G2709,ProvCode,0))*(1+PriceIndex)</f>
        <v/>
      </c>
      <c r="X2709" s="47">
        <f>IF(GrossBasis="Wholesale",V2709,W2709)</f>
        <v/>
      </c>
      <c r="Y2709" s="47">
        <f>R2709*INDEX(FmtBlendedCogs,MATCH(F2709,FmtName,0))</f>
        <v/>
      </c>
      <c r="Z2709" s="47">
        <f>X2709-Y2709</f>
        <v/>
      </c>
    </row>
    <row r="2710">
      <c r="A2710" t="n">
        <v>6</v>
      </c>
      <c r="B2710" s="44">
        <f>FiscalStart+(A2710-1)*7</f>
        <v/>
      </c>
      <c r="C2710">
        <f>TEXT(B2710,"mmm yyyy")</f>
        <v/>
      </c>
      <c r="D2710">
        <f>"Q"&amp;(INT((A2710-1)/13)+1)</f>
        <v/>
      </c>
      <c r="E2710" t="inlineStr">
        <is>
          <t>Specialty</t>
        </is>
      </c>
      <c r="F2710">
        <f>IFERROR(INDEX(ChFormat,MATCH(E2710,ChName,0)),"")</f>
        <v/>
      </c>
      <c r="G2710" t="inlineStr">
        <is>
          <t>AB</t>
        </is>
      </c>
      <c r="H2710">
        <f>IF(A2710&lt;=NWeeks,1,0)</f>
        <v/>
      </c>
      <c r="I2710">
        <f>INDEX(ChLaunch,MATCH(E2710,ChName,0))</f>
        <v/>
      </c>
      <c r="J2710">
        <f>INDEX(ChWeeksFull,MATCH(E2710,ChName,0))</f>
        <v/>
      </c>
      <c r="K2710">
        <f>INDEX(ChRamp,MATCH(E2710,ChName,0))</f>
        <v/>
      </c>
      <c r="L2710" s="45">
        <f>MIN(1,MAX(0,(A2710-I2710+1)*RampSpeed/J2710))</f>
        <v/>
      </c>
      <c r="M2710" s="45">
        <f>IF(A2710&lt;I2710,0,IF(K2710="S-curve",L2710*L2710*(3-2*L2710),L2710))</f>
        <v/>
      </c>
      <c r="N2710" s="45">
        <f>1+(INDEX(SeasonIdx,A2710)-1)*SeasonAmp</f>
        <v/>
      </c>
      <c r="O2710" s="45">
        <f>IFERROR(INDEX(PSPct,MATCH(E2710&amp;"|"&amp;G2710,PSKey,0)),0)</f>
        <v/>
      </c>
      <c r="P2710" s="46">
        <f>INDEX(ChDoorVel,MATCH(E2710,ChName,0))*CalibScalar*(1+VelocityUplift)</f>
        <v/>
      </c>
      <c r="Q2710" s="46" t="n">
        <v>0</v>
      </c>
      <c r="R2710" s="46">
        <f>P2710*O2710*M2710*N2710*H2710</f>
        <v/>
      </c>
      <c r="S2710" s="46">
        <f>R2710*INDEX(FmtCansPerCase,MATCH(F2710,FmtName,0))</f>
        <v/>
      </c>
      <c r="T2710" s="46">
        <f>S2710/INDEX(FmtCansPerPack,MATCH(F2710,FmtName,0))</f>
        <v/>
      </c>
      <c r="U2710" s="47">
        <f>INDEX(ChBaseCP,MATCH(E2710,ChName,0))*(1+INDEX(ProvMod,MATCH(G2710,ProvCode,0)))*(1+PriceIndex)</f>
        <v/>
      </c>
      <c r="V2710" s="47">
        <f>R2710*U2710*INDEX(FmtBlendedPriceIdx,MATCH(F2710,FmtName,0))</f>
        <v/>
      </c>
      <c r="W2710" s="47">
        <f>T2710*INDEX(ProvSRP,MATCH(G2710,ProvCode,0))*(1+PriceIndex)</f>
        <v/>
      </c>
      <c r="X2710" s="47">
        <f>IF(GrossBasis="Wholesale",V2710,W2710)</f>
        <v/>
      </c>
      <c r="Y2710" s="47">
        <f>R2710*INDEX(FmtBlendedCogs,MATCH(F2710,FmtName,0))</f>
        <v/>
      </c>
      <c r="Z2710" s="47">
        <f>X2710-Y2710</f>
        <v/>
      </c>
    </row>
    <row r="2711">
      <c r="A2711" t="n">
        <v>7</v>
      </c>
      <c r="B2711" s="44">
        <f>FiscalStart+(A2711-1)*7</f>
        <v/>
      </c>
      <c r="C2711">
        <f>TEXT(B2711,"mmm yyyy")</f>
        <v/>
      </c>
      <c r="D2711">
        <f>"Q"&amp;(INT((A2711-1)/13)+1)</f>
        <v/>
      </c>
      <c r="E2711" t="inlineStr">
        <is>
          <t>Specialty</t>
        </is>
      </c>
      <c r="F2711">
        <f>IFERROR(INDEX(ChFormat,MATCH(E2711,ChName,0)),"")</f>
        <v/>
      </c>
      <c r="G2711" t="inlineStr">
        <is>
          <t>AB</t>
        </is>
      </c>
      <c r="H2711">
        <f>IF(A2711&lt;=NWeeks,1,0)</f>
        <v/>
      </c>
      <c r="I2711">
        <f>INDEX(ChLaunch,MATCH(E2711,ChName,0))</f>
        <v/>
      </c>
      <c r="J2711">
        <f>INDEX(ChWeeksFull,MATCH(E2711,ChName,0))</f>
        <v/>
      </c>
      <c r="K2711">
        <f>INDEX(ChRamp,MATCH(E2711,ChName,0))</f>
        <v/>
      </c>
      <c r="L2711" s="45">
        <f>MIN(1,MAX(0,(A2711-I2711+1)*RampSpeed/J2711))</f>
        <v/>
      </c>
      <c r="M2711" s="45">
        <f>IF(A2711&lt;I2711,0,IF(K2711="S-curve",L2711*L2711*(3-2*L2711),L2711))</f>
        <v/>
      </c>
      <c r="N2711" s="45">
        <f>1+(INDEX(SeasonIdx,A2711)-1)*SeasonAmp</f>
        <v/>
      </c>
      <c r="O2711" s="45">
        <f>IFERROR(INDEX(PSPct,MATCH(E2711&amp;"|"&amp;G2711,PSKey,0)),0)</f>
        <v/>
      </c>
      <c r="P2711" s="46">
        <f>INDEX(ChDoorVel,MATCH(E2711,ChName,0))*CalibScalar*(1+VelocityUplift)</f>
        <v/>
      </c>
      <c r="Q2711" s="46" t="n">
        <v>0</v>
      </c>
      <c r="R2711" s="46">
        <f>P2711*O2711*M2711*N2711*H2711</f>
        <v/>
      </c>
      <c r="S2711" s="46">
        <f>R2711*INDEX(FmtCansPerCase,MATCH(F2711,FmtName,0))</f>
        <v/>
      </c>
      <c r="T2711" s="46">
        <f>S2711/INDEX(FmtCansPerPack,MATCH(F2711,FmtName,0))</f>
        <v/>
      </c>
      <c r="U2711" s="47">
        <f>INDEX(ChBaseCP,MATCH(E2711,ChName,0))*(1+INDEX(ProvMod,MATCH(G2711,ProvCode,0)))*(1+PriceIndex)</f>
        <v/>
      </c>
      <c r="V2711" s="47">
        <f>R2711*U2711*INDEX(FmtBlendedPriceIdx,MATCH(F2711,FmtName,0))</f>
        <v/>
      </c>
      <c r="W2711" s="47">
        <f>T2711*INDEX(ProvSRP,MATCH(G2711,ProvCode,0))*(1+PriceIndex)</f>
        <v/>
      </c>
      <c r="X2711" s="47">
        <f>IF(GrossBasis="Wholesale",V2711,W2711)</f>
        <v/>
      </c>
      <c r="Y2711" s="47">
        <f>R2711*INDEX(FmtBlendedCogs,MATCH(F2711,FmtName,0))</f>
        <v/>
      </c>
      <c r="Z2711" s="47">
        <f>X2711-Y2711</f>
        <v/>
      </c>
    </row>
    <row r="2712">
      <c r="A2712" t="n">
        <v>8</v>
      </c>
      <c r="B2712" s="44">
        <f>FiscalStart+(A2712-1)*7</f>
        <v/>
      </c>
      <c r="C2712">
        <f>TEXT(B2712,"mmm yyyy")</f>
        <v/>
      </c>
      <c r="D2712">
        <f>"Q"&amp;(INT((A2712-1)/13)+1)</f>
        <v/>
      </c>
      <c r="E2712" t="inlineStr">
        <is>
          <t>Specialty</t>
        </is>
      </c>
      <c r="F2712">
        <f>IFERROR(INDEX(ChFormat,MATCH(E2712,ChName,0)),"")</f>
        <v/>
      </c>
      <c r="G2712" t="inlineStr">
        <is>
          <t>AB</t>
        </is>
      </c>
      <c r="H2712">
        <f>IF(A2712&lt;=NWeeks,1,0)</f>
        <v/>
      </c>
      <c r="I2712">
        <f>INDEX(ChLaunch,MATCH(E2712,ChName,0))</f>
        <v/>
      </c>
      <c r="J2712">
        <f>INDEX(ChWeeksFull,MATCH(E2712,ChName,0))</f>
        <v/>
      </c>
      <c r="K2712">
        <f>INDEX(ChRamp,MATCH(E2712,ChName,0))</f>
        <v/>
      </c>
      <c r="L2712" s="45">
        <f>MIN(1,MAX(0,(A2712-I2712+1)*RampSpeed/J2712))</f>
        <v/>
      </c>
      <c r="M2712" s="45">
        <f>IF(A2712&lt;I2712,0,IF(K2712="S-curve",L2712*L2712*(3-2*L2712),L2712))</f>
        <v/>
      </c>
      <c r="N2712" s="45">
        <f>1+(INDEX(SeasonIdx,A2712)-1)*SeasonAmp</f>
        <v/>
      </c>
      <c r="O2712" s="45">
        <f>IFERROR(INDEX(PSPct,MATCH(E2712&amp;"|"&amp;G2712,PSKey,0)),0)</f>
        <v/>
      </c>
      <c r="P2712" s="46">
        <f>INDEX(ChDoorVel,MATCH(E2712,ChName,0))*CalibScalar*(1+VelocityUplift)</f>
        <v/>
      </c>
      <c r="Q2712" s="46" t="n">
        <v>0</v>
      </c>
      <c r="R2712" s="46">
        <f>P2712*O2712*M2712*N2712*H2712</f>
        <v/>
      </c>
      <c r="S2712" s="46">
        <f>R2712*INDEX(FmtCansPerCase,MATCH(F2712,FmtName,0))</f>
        <v/>
      </c>
      <c r="T2712" s="46">
        <f>S2712/INDEX(FmtCansPerPack,MATCH(F2712,FmtName,0))</f>
        <v/>
      </c>
      <c r="U2712" s="47">
        <f>INDEX(ChBaseCP,MATCH(E2712,ChName,0))*(1+INDEX(ProvMod,MATCH(G2712,ProvCode,0)))*(1+PriceIndex)</f>
        <v/>
      </c>
      <c r="V2712" s="47">
        <f>R2712*U2712*INDEX(FmtBlendedPriceIdx,MATCH(F2712,FmtName,0))</f>
        <v/>
      </c>
      <c r="W2712" s="47">
        <f>T2712*INDEX(ProvSRP,MATCH(G2712,ProvCode,0))*(1+PriceIndex)</f>
        <v/>
      </c>
      <c r="X2712" s="47">
        <f>IF(GrossBasis="Wholesale",V2712,W2712)</f>
        <v/>
      </c>
      <c r="Y2712" s="47">
        <f>R2712*INDEX(FmtBlendedCogs,MATCH(F2712,FmtName,0))</f>
        <v/>
      </c>
      <c r="Z2712" s="47">
        <f>X2712-Y2712</f>
        <v/>
      </c>
    </row>
    <row r="2713">
      <c r="A2713" t="n">
        <v>9</v>
      </c>
      <c r="B2713" s="44">
        <f>FiscalStart+(A2713-1)*7</f>
        <v/>
      </c>
      <c r="C2713">
        <f>TEXT(B2713,"mmm yyyy")</f>
        <v/>
      </c>
      <c r="D2713">
        <f>"Q"&amp;(INT((A2713-1)/13)+1)</f>
        <v/>
      </c>
      <c r="E2713" t="inlineStr">
        <is>
          <t>Specialty</t>
        </is>
      </c>
      <c r="F2713">
        <f>IFERROR(INDEX(ChFormat,MATCH(E2713,ChName,0)),"")</f>
        <v/>
      </c>
      <c r="G2713" t="inlineStr">
        <is>
          <t>AB</t>
        </is>
      </c>
      <c r="H2713">
        <f>IF(A2713&lt;=NWeeks,1,0)</f>
        <v/>
      </c>
      <c r="I2713">
        <f>INDEX(ChLaunch,MATCH(E2713,ChName,0))</f>
        <v/>
      </c>
      <c r="J2713">
        <f>INDEX(ChWeeksFull,MATCH(E2713,ChName,0))</f>
        <v/>
      </c>
      <c r="K2713">
        <f>INDEX(ChRamp,MATCH(E2713,ChName,0))</f>
        <v/>
      </c>
      <c r="L2713" s="45">
        <f>MIN(1,MAX(0,(A2713-I2713+1)*RampSpeed/J2713))</f>
        <v/>
      </c>
      <c r="M2713" s="45">
        <f>IF(A2713&lt;I2713,0,IF(K2713="S-curve",L2713*L2713*(3-2*L2713),L2713))</f>
        <v/>
      </c>
      <c r="N2713" s="45">
        <f>1+(INDEX(SeasonIdx,A2713)-1)*SeasonAmp</f>
        <v/>
      </c>
      <c r="O2713" s="45">
        <f>IFERROR(INDEX(PSPct,MATCH(E2713&amp;"|"&amp;G2713,PSKey,0)),0)</f>
        <v/>
      </c>
      <c r="P2713" s="46">
        <f>INDEX(ChDoorVel,MATCH(E2713,ChName,0))*CalibScalar*(1+VelocityUplift)</f>
        <v/>
      </c>
      <c r="Q2713" s="46" t="n">
        <v>0</v>
      </c>
      <c r="R2713" s="46">
        <f>P2713*O2713*M2713*N2713*H2713</f>
        <v/>
      </c>
      <c r="S2713" s="46">
        <f>R2713*INDEX(FmtCansPerCase,MATCH(F2713,FmtName,0))</f>
        <v/>
      </c>
      <c r="T2713" s="46">
        <f>S2713/INDEX(FmtCansPerPack,MATCH(F2713,FmtName,0))</f>
        <v/>
      </c>
      <c r="U2713" s="47">
        <f>INDEX(ChBaseCP,MATCH(E2713,ChName,0))*(1+INDEX(ProvMod,MATCH(G2713,ProvCode,0)))*(1+PriceIndex)</f>
        <v/>
      </c>
      <c r="V2713" s="47">
        <f>R2713*U2713*INDEX(FmtBlendedPriceIdx,MATCH(F2713,FmtName,0))</f>
        <v/>
      </c>
      <c r="W2713" s="47">
        <f>T2713*INDEX(ProvSRP,MATCH(G2713,ProvCode,0))*(1+PriceIndex)</f>
        <v/>
      </c>
      <c r="X2713" s="47">
        <f>IF(GrossBasis="Wholesale",V2713,W2713)</f>
        <v/>
      </c>
      <c r="Y2713" s="47">
        <f>R2713*INDEX(FmtBlendedCogs,MATCH(F2713,FmtName,0))</f>
        <v/>
      </c>
      <c r="Z2713" s="47">
        <f>X2713-Y2713</f>
        <v/>
      </c>
    </row>
    <row r="2714">
      <c r="A2714" t="n">
        <v>10</v>
      </c>
      <c r="B2714" s="44">
        <f>FiscalStart+(A2714-1)*7</f>
        <v/>
      </c>
      <c r="C2714">
        <f>TEXT(B2714,"mmm yyyy")</f>
        <v/>
      </c>
      <c r="D2714">
        <f>"Q"&amp;(INT((A2714-1)/13)+1)</f>
        <v/>
      </c>
      <c r="E2714" t="inlineStr">
        <is>
          <t>Specialty</t>
        </is>
      </c>
      <c r="F2714">
        <f>IFERROR(INDEX(ChFormat,MATCH(E2714,ChName,0)),"")</f>
        <v/>
      </c>
      <c r="G2714" t="inlineStr">
        <is>
          <t>AB</t>
        </is>
      </c>
      <c r="H2714">
        <f>IF(A2714&lt;=NWeeks,1,0)</f>
        <v/>
      </c>
      <c r="I2714">
        <f>INDEX(ChLaunch,MATCH(E2714,ChName,0))</f>
        <v/>
      </c>
      <c r="J2714">
        <f>INDEX(ChWeeksFull,MATCH(E2714,ChName,0))</f>
        <v/>
      </c>
      <c r="K2714">
        <f>INDEX(ChRamp,MATCH(E2714,ChName,0))</f>
        <v/>
      </c>
      <c r="L2714" s="45">
        <f>MIN(1,MAX(0,(A2714-I2714+1)*RampSpeed/J2714))</f>
        <v/>
      </c>
      <c r="M2714" s="45">
        <f>IF(A2714&lt;I2714,0,IF(K2714="S-curve",L2714*L2714*(3-2*L2714),L2714))</f>
        <v/>
      </c>
      <c r="N2714" s="45">
        <f>1+(INDEX(SeasonIdx,A2714)-1)*SeasonAmp</f>
        <v/>
      </c>
      <c r="O2714" s="45">
        <f>IFERROR(INDEX(PSPct,MATCH(E2714&amp;"|"&amp;G2714,PSKey,0)),0)</f>
        <v/>
      </c>
      <c r="P2714" s="46">
        <f>INDEX(ChDoorVel,MATCH(E2714,ChName,0))*CalibScalar*(1+VelocityUplift)</f>
        <v/>
      </c>
      <c r="Q2714" s="46" t="n">
        <v>0</v>
      </c>
      <c r="R2714" s="46">
        <f>P2714*O2714*M2714*N2714*H2714</f>
        <v/>
      </c>
      <c r="S2714" s="46">
        <f>R2714*INDEX(FmtCansPerCase,MATCH(F2714,FmtName,0))</f>
        <v/>
      </c>
      <c r="T2714" s="46">
        <f>S2714/INDEX(FmtCansPerPack,MATCH(F2714,FmtName,0))</f>
        <v/>
      </c>
      <c r="U2714" s="47">
        <f>INDEX(ChBaseCP,MATCH(E2714,ChName,0))*(1+INDEX(ProvMod,MATCH(G2714,ProvCode,0)))*(1+PriceIndex)</f>
        <v/>
      </c>
      <c r="V2714" s="47">
        <f>R2714*U2714*INDEX(FmtBlendedPriceIdx,MATCH(F2714,FmtName,0))</f>
        <v/>
      </c>
      <c r="W2714" s="47">
        <f>T2714*INDEX(ProvSRP,MATCH(G2714,ProvCode,0))*(1+PriceIndex)</f>
        <v/>
      </c>
      <c r="X2714" s="47">
        <f>IF(GrossBasis="Wholesale",V2714,W2714)</f>
        <v/>
      </c>
      <c r="Y2714" s="47">
        <f>R2714*INDEX(FmtBlendedCogs,MATCH(F2714,FmtName,0))</f>
        <v/>
      </c>
      <c r="Z2714" s="47">
        <f>X2714-Y2714</f>
        <v/>
      </c>
    </row>
    <row r="2715">
      <c r="A2715" t="n">
        <v>11</v>
      </c>
      <c r="B2715" s="44">
        <f>FiscalStart+(A2715-1)*7</f>
        <v/>
      </c>
      <c r="C2715">
        <f>TEXT(B2715,"mmm yyyy")</f>
        <v/>
      </c>
      <c r="D2715">
        <f>"Q"&amp;(INT((A2715-1)/13)+1)</f>
        <v/>
      </c>
      <c r="E2715" t="inlineStr">
        <is>
          <t>Specialty</t>
        </is>
      </c>
      <c r="F2715">
        <f>IFERROR(INDEX(ChFormat,MATCH(E2715,ChName,0)),"")</f>
        <v/>
      </c>
      <c r="G2715" t="inlineStr">
        <is>
          <t>AB</t>
        </is>
      </c>
      <c r="H2715">
        <f>IF(A2715&lt;=NWeeks,1,0)</f>
        <v/>
      </c>
      <c r="I2715">
        <f>INDEX(ChLaunch,MATCH(E2715,ChName,0))</f>
        <v/>
      </c>
      <c r="J2715">
        <f>INDEX(ChWeeksFull,MATCH(E2715,ChName,0))</f>
        <v/>
      </c>
      <c r="K2715">
        <f>INDEX(ChRamp,MATCH(E2715,ChName,0))</f>
        <v/>
      </c>
      <c r="L2715" s="45">
        <f>MIN(1,MAX(0,(A2715-I2715+1)*RampSpeed/J2715))</f>
        <v/>
      </c>
      <c r="M2715" s="45">
        <f>IF(A2715&lt;I2715,0,IF(K2715="S-curve",L2715*L2715*(3-2*L2715),L2715))</f>
        <v/>
      </c>
      <c r="N2715" s="45">
        <f>1+(INDEX(SeasonIdx,A2715)-1)*SeasonAmp</f>
        <v/>
      </c>
      <c r="O2715" s="45">
        <f>IFERROR(INDEX(PSPct,MATCH(E2715&amp;"|"&amp;G2715,PSKey,0)),0)</f>
        <v/>
      </c>
      <c r="P2715" s="46">
        <f>INDEX(ChDoorVel,MATCH(E2715,ChName,0))*CalibScalar*(1+VelocityUplift)</f>
        <v/>
      </c>
      <c r="Q2715" s="46" t="n">
        <v>0</v>
      </c>
      <c r="R2715" s="46">
        <f>P2715*O2715*M2715*N2715*H2715</f>
        <v/>
      </c>
      <c r="S2715" s="46">
        <f>R2715*INDEX(FmtCansPerCase,MATCH(F2715,FmtName,0))</f>
        <v/>
      </c>
      <c r="T2715" s="46">
        <f>S2715/INDEX(FmtCansPerPack,MATCH(F2715,FmtName,0))</f>
        <v/>
      </c>
      <c r="U2715" s="47">
        <f>INDEX(ChBaseCP,MATCH(E2715,ChName,0))*(1+INDEX(ProvMod,MATCH(G2715,ProvCode,0)))*(1+PriceIndex)</f>
        <v/>
      </c>
      <c r="V2715" s="47">
        <f>R2715*U2715*INDEX(FmtBlendedPriceIdx,MATCH(F2715,FmtName,0))</f>
        <v/>
      </c>
      <c r="W2715" s="47">
        <f>T2715*INDEX(ProvSRP,MATCH(G2715,ProvCode,0))*(1+PriceIndex)</f>
        <v/>
      </c>
      <c r="X2715" s="47">
        <f>IF(GrossBasis="Wholesale",V2715,W2715)</f>
        <v/>
      </c>
      <c r="Y2715" s="47">
        <f>R2715*INDEX(FmtBlendedCogs,MATCH(F2715,FmtName,0))</f>
        <v/>
      </c>
      <c r="Z2715" s="47">
        <f>X2715-Y2715</f>
        <v/>
      </c>
    </row>
    <row r="2716">
      <c r="A2716" t="n">
        <v>12</v>
      </c>
      <c r="B2716" s="44">
        <f>FiscalStart+(A2716-1)*7</f>
        <v/>
      </c>
      <c r="C2716">
        <f>TEXT(B2716,"mmm yyyy")</f>
        <v/>
      </c>
      <c r="D2716">
        <f>"Q"&amp;(INT((A2716-1)/13)+1)</f>
        <v/>
      </c>
      <c r="E2716" t="inlineStr">
        <is>
          <t>Specialty</t>
        </is>
      </c>
      <c r="F2716">
        <f>IFERROR(INDEX(ChFormat,MATCH(E2716,ChName,0)),"")</f>
        <v/>
      </c>
      <c r="G2716" t="inlineStr">
        <is>
          <t>AB</t>
        </is>
      </c>
      <c r="H2716">
        <f>IF(A2716&lt;=NWeeks,1,0)</f>
        <v/>
      </c>
      <c r="I2716">
        <f>INDEX(ChLaunch,MATCH(E2716,ChName,0))</f>
        <v/>
      </c>
      <c r="J2716">
        <f>INDEX(ChWeeksFull,MATCH(E2716,ChName,0))</f>
        <v/>
      </c>
      <c r="K2716">
        <f>INDEX(ChRamp,MATCH(E2716,ChName,0))</f>
        <v/>
      </c>
      <c r="L2716" s="45">
        <f>MIN(1,MAX(0,(A2716-I2716+1)*RampSpeed/J2716))</f>
        <v/>
      </c>
      <c r="M2716" s="45">
        <f>IF(A2716&lt;I2716,0,IF(K2716="S-curve",L2716*L2716*(3-2*L2716),L2716))</f>
        <v/>
      </c>
      <c r="N2716" s="45">
        <f>1+(INDEX(SeasonIdx,A2716)-1)*SeasonAmp</f>
        <v/>
      </c>
      <c r="O2716" s="45">
        <f>IFERROR(INDEX(PSPct,MATCH(E2716&amp;"|"&amp;G2716,PSKey,0)),0)</f>
        <v/>
      </c>
      <c r="P2716" s="46">
        <f>INDEX(ChDoorVel,MATCH(E2716,ChName,0))*CalibScalar*(1+VelocityUplift)</f>
        <v/>
      </c>
      <c r="Q2716" s="46" t="n">
        <v>0</v>
      </c>
      <c r="R2716" s="46">
        <f>P2716*O2716*M2716*N2716*H2716</f>
        <v/>
      </c>
      <c r="S2716" s="46">
        <f>R2716*INDEX(FmtCansPerCase,MATCH(F2716,FmtName,0))</f>
        <v/>
      </c>
      <c r="T2716" s="46">
        <f>S2716/INDEX(FmtCansPerPack,MATCH(F2716,FmtName,0))</f>
        <v/>
      </c>
      <c r="U2716" s="47">
        <f>INDEX(ChBaseCP,MATCH(E2716,ChName,0))*(1+INDEX(ProvMod,MATCH(G2716,ProvCode,0)))*(1+PriceIndex)</f>
        <v/>
      </c>
      <c r="V2716" s="47">
        <f>R2716*U2716*INDEX(FmtBlendedPriceIdx,MATCH(F2716,FmtName,0))</f>
        <v/>
      </c>
      <c r="W2716" s="47">
        <f>T2716*INDEX(ProvSRP,MATCH(G2716,ProvCode,0))*(1+PriceIndex)</f>
        <v/>
      </c>
      <c r="X2716" s="47">
        <f>IF(GrossBasis="Wholesale",V2716,W2716)</f>
        <v/>
      </c>
      <c r="Y2716" s="47">
        <f>R2716*INDEX(FmtBlendedCogs,MATCH(F2716,FmtName,0))</f>
        <v/>
      </c>
      <c r="Z2716" s="47">
        <f>X2716-Y2716</f>
        <v/>
      </c>
    </row>
    <row r="2717">
      <c r="A2717" t="n">
        <v>13</v>
      </c>
      <c r="B2717" s="44">
        <f>FiscalStart+(A2717-1)*7</f>
        <v/>
      </c>
      <c r="C2717">
        <f>TEXT(B2717,"mmm yyyy")</f>
        <v/>
      </c>
      <c r="D2717">
        <f>"Q"&amp;(INT((A2717-1)/13)+1)</f>
        <v/>
      </c>
      <c r="E2717" t="inlineStr">
        <is>
          <t>Specialty</t>
        </is>
      </c>
      <c r="F2717">
        <f>IFERROR(INDEX(ChFormat,MATCH(E2717,ChName,0)),"")</f>
        <v/>
      </c>
      <c r="G2717" t="inlineStr">
        <is>
          <t>AB</t>
        </is>
      </c>
      <c r="H2717">
        <f>IF(A2717&lt;=NWeeks,1,0)</f>
        <v/>
      </c>
      <c r="I2717">
        <f>INDEX(ChLaunch,MATCH(E2717,ChName,0))</f>
        <v/>
      </c>
      <c r="J2717">
        <f>INDEX(ChWeeksFull,MATCH(E2717,ChName,0))</f>
        <v/>
      </c>
      <c r="K2717">
        <f>INDEX(ChRamp,MATCH(E2717,ChName,0))</f>
        <v/>
      </c>
      <c r="L2717" s="45">
        <f>MIN(1,MAX(0,(A2717-I2717+1)*RampSpeed/J2717))</f>
        <v/>
      </c>
      <c r="M2717" s="45">
        <f>IF(A2717&lt;I2717,0,IF(K2717="S-curve",L2717*L2717*(3-2*L2717),L2717))</f>
        <v/>
      </c>
      <c r="N2717" s="45">
        <f>1+(INDEX(SeasonIdx,A2717)-1)*SeasonAmp</f>
        <v/>
      </c>
      <c r="O2717" s="45">
        <f>IFERROR(INDEX(PSPct,MATCH(E2717&amp;"|"&amp;G2717,PSKey,0)),0)</f>
        <v/>
      </c>
      <c r="P2717" s="46">
        <f>INDEX(ChDoorVel,MATCH(E2717,ChName,0))*CalibScalar*(1+VelocityUplift)</f>
        <v/>
      </c>
      <c r="Q2717" s="46" t="n">
        <v>0</v>
      </c>
      <c r="R2717" s="46">
        <f>P2717*O2717*M2717*N2717*H2717</f>
        <v/>
      </c>
      <c r="S2717" s="46">
        <f>R2717*INDEX(FmtCansPerCase,MATCH(F2717,FmtName,0))</f>
        <v/>
      </c>
      <c r="T2717" s="46">
        <f>S2717/INDEX(FmtCansPerPack,MATCH(F2717,FmtName,0))</f>
        <v/>
      </c>
      <c r="U2717" s="47">
        <f>INDEX(ChBaseCP,MATCH(E2717,ChName,0))*(1+INDEX(ProvMod,MATCH(G2717,ProvCode,0)))*(1+PriceIndex)</f>
        <v/>
      </c>
      <c r="V2717" s="47">
        <f>R2717*U2717*INDEX(FmtBlendedPriceIdx,MATCH(F2717,FmtName,0))</f>
        <v/>
      </c>
      <c r="W2717" s="47">
        <f>T2717*INDEX(ProvSRP,MATCH(G2717,ProvCode,0))*(1+PriceIndex)</f>
        <v/>
      </c>
      <c r="X2717" s="47">
        <f>IF(GrossBasis="Wholesale",V2717,W2717)</f>
        <v/>
      </c>
      <c r="Y2717" s="47">
        <f>R2717*INDEX(FmtBlendedCogs,MATCH(F2717,FmtName,0))</f>
        <v/>
      </c>
      <c r="Z2717" s="47">
        <f>X2717-Y2717</f>
        <v/>
      </c>
    </row>
    <row r="2718">
      <c r="A2718" t="n">
        <v>14</v>
      </c>
      <c r="B2718" s="44">
        <f>FiscalStart+(A2718-1)*7</f>
        <v/>
      </c>
      <c r="C2718">
        <f>TEXT(B2718,"mmm yyyy")</f>
        <v/>
      </c>
      <c r="D2718">
        <f>"Q"&amp;(INT((A2718-1)/13)+1)</f>
        <v/>
      </c>
      <c r="E2718" t="inlineStr">
        <is>
          <t>Specialty</t>
        </is>
      </c>
      <c r="F2718">
        <f>IFERROR(INDEX(ChFormat,MATCH(E2718,ChName,0)),"")</f>
        <v/>
      </c>
      <c r="G2718" t="inlineStr">
        <is>
          <t>AB</t>
        </is>
      </c>
      <c r="H2718">
        <f>IF(A2718&lt;=NWeeks,1,0)</f>
        <v/>
      </c>
      <c r="I2718">
        <f>INDEX(ChLaunch,MATCH(E2718,ChName,0))</f>
        <v/>
      </c>
      <c r="J2718">
        <f>INDEX(ChWeeksFull,MATCH(E2718,ChName,0))</f>
        <v/>
      </c>
      <c r="K2718">
        <f>INDEX(ChRamp,MATCH(E2718,ChName,0))</f>
        <v/>
      </c>
      <c r="L2718" s="45">
        <f>MIN(1,MAX(0,(A2718-I2718+1)*RampSpeed/J2718))</f>
        <v/>
      </c>
      <c r="M2718" s="45">
        <f>IF(A2718&lt;I2718,0,IF(K2718="S-curve",L2718*L2718*(3-2*L2718),L2718))</f>
        <v/>
      </c>
      <c r="N2718" s="45">
        <f>1+(INDEX(SeasonIdx,A2718)-1)*SeasonAmp</f>
        <v/>
      </c>
      <c r="O2718" s="45">
        <f>IFERROR(INDEX(PSPct,MATCH(E2718&amp;"|"&amp;G2718,PSKey,0)),0)</f>
        <v/>
      </c>
      <c r="P2718" s="46">
        <f>INDEX(ChDoorVel,MATCH(E2718,ChName,0))*CalibScalar*(1+VelocityUplift)</f>
        <v/>
      </c>
      <c r="Q2718" s="46" t="n">
        <v>0</v>
      </c>
      <c r="R2718" s="46">
        <f>P2718*O2718*M2718*N2718*H2718</f>
        <v/>
      </c>
      <c r="S2718" s="46">
        <f>R2718*INDEX(FmtCansPerCase,MATCH(F2718,FmtName,0))</f>
        <v/>
      </c>
      <c r="T2718" s="46">
        <f>S2718/INDEX(FmtCansPerPack,MATCH(F2718,FmtName,0))</f>
        <v/>
      </c>
      <c r="U2718" s="47">
        <f>INDEX(ChBaseCP,MATCH(E2718,ChName,0))*(1+INDEX(ProvMod,MATCH(G2718,ProvCode,0)))*(1+PriceIndex)</f>
        <v/>
      </c>
      <c r="V2718" s="47">
        <f>R2718*U2718*INDEX(FmtBlendedPriceIdx,MATCH(F2718,FmtName,0))</f>
        <v/>
      </c>
      <c r="W2718" s="47">
        <f>T2718*INDEX(ProvSRP,MATCH(G2718,ProvCode,0))*(1+PriceIndex)</f>
        <v/>
      </c>
      <c r="X2718" s="47">
        <f>IF(GrossBasis="Wholesale",V2718,W2718)</f>
        <v/>
      </c>
      <c r="Y2718" s="47">
        <f>R2718*INDEX(FmtBlendedCogs,MATCH(F2718,FmtName,0))</f>
        <v/>
      </c>
      <c r="Z2718" s="47">
        <f>X2718-Y2718</f>
        <v/>
      </c>
    </row>
    <row r="2719">
      <c r="A2719" t="n">
        <v>15</v>
      </c>
      <c r="B2719" s="44">
        <f>FiscalStart+(A2719-1)*7</f>
        <v/>
      </c>
      <c r="C2719">
        <f>TEXT(B2719,"mmm yyyy")</f>
        <v/>
      </c>
      <c r="D2719">
        <f>"Q"&amp;(INT((A2719-1)/13)+1)</f>
        <v/>
      </c>
      <c r="E2719" t="inlineStr">
        <is>
          <t>Specialty</t>
        </is>
      </c>
      <c r="F2719">
        <f>IFERROR(INDEX(ChFormat,MATCH(E2719,ChName,0)),"")</f>
        <v/>
      </c>
      <c r="G2719" t="inlineStr">
        <is>
          <t>AB</t>
        </is>
      </c>
      <c r="H2719">
        <f>IF(A2719&lt;=NWeeks,1,0)</f>
        <v/>
      </c>
      <c r="I2719">
        <f>INDEX(ChLaunch,MATCH(E2719,ChName,0))</f>
        <v/>
      </c>
      <c r="J2719">
        <f>INDEX(ChWeeksFull,MATCH(E2719,ChName,0))</f>
        <v/>
      </c>
      <c r="K2719">
        <f>INDEX(ChRamp,MATCH(E2719,ChName,0))</f>
        <v/>
      </c>
      <c r="L2719" s="45">
        <f>MIN(1,MAX(0,(A2719-I2719+1)*RampSpeed/J2719))</f>
        <v/>
      </c>
      <c r="M2719" s="45">
        <f>IF(A2719&lt;I2719,0,IF(K2719="S-curve",L2719*L2719*(3-2*L2719),L2719))</f>
        <v/>
      </c>
      <c r="N2719" s="45">
        <f>1+(INDEX(SeasonIdx,A2719)-1)*SeasonAmp</f>
        <v/>
      </c>
      <c r="O2719" s="45">
        <f>IFERROR(INDEX(PSPct,MATCH(E2719&amp;"|"&amp;G2719,PSKey,0)),0)</f>
        <v/>
      </c>
      <c r="P2719" s="46">
        <f>INDEX(ChDoorVel,MATCH(E2719,ChName,0))*CalibScalar*(1+VelocityUplift)</f>
        <v/>
      </c>
      <c r="Q2719" s="46" t="n">
        <v>0</v>
      </c>
      <c r="R2719" s="46">
        <f>P2719*O2719*M2719*N2719*H2719</f>
        <v/>
      </c>
      <c r="S2719" s="46">
        <f>R2719*INDEX(FmtCansPerCase,MATCH(F2719,FmtName,0))</f>
        <v/>
      </c>
      <c r="T2719" s="46">
        <f>S2719/INDEX(FmtCansPerPack,MATCH(F2719,FmtName,0))</f>
        <v/>
      </c>
      <c r="U2719" s="47">
        <f>INDEX(ChBaseCP,MATCH(E2719,ChName,0))*(1+INDEX(ProvMod,MATCH(G2719,ProvCode,0)))*(1+PriceIndex)</f>
        <v/>
      </c>
      <c r="V2719" s="47">
        <f>R2719*U2719*INDEX(FmtBlendedPriceIdx,MATCH(F2719,FmtName,0))</f>
        <v/>
      </c>
      <c r="W2719" s="47">
        <f>T2719*INDEX(ProvSRP,MATCH(G2719,ProvCode,0))*(1+PriceIndex)</f>
        <v/>
      </c>
      <c r="X2719" s="47">
        <f>IF(GrossBasis="Wholesale",V2719,W2719)</f>
        <v/>
      </c>
      <c r="Y2719" s="47">
        <f>R2719*INDEX(FmtBlendedCogs,MATCH(F2719,FmtName,0))</f>
        <v/>
      </c>
      <c r="Z2719" s="47">
        <f>X2719-Y2719</f>
        <v/>
      </c>
    </row>
    <row r="2720">
      <c r="A2720" t="n">
        <v>16</v>
      </c>
      <c r="B2720" s="44">
        <f>FiscalStart+(A2720-1)*7</f>
        <v/>
      </c>
      <c r="C2720">
        <f>TEXT(B2720,"mmm yyyy")</f>
        <v/>
      </c>
      <c r="D2720">
        <f>"Q"&amp;(INT((A2720-1)/13)+1)</f>
        <v/>
      </c>
      <c r="E2720" t="inlineStr">
        <is>
          <t>Specialty</t>
        </is>
      </c>
      <c r="F2720">
        <f>IFERROR(INDEX(ChFormat,MATCH(E2720,ChName,0)),"")</f>
        <v/>
      </c>
      <c r="G2720" t="inlineStr">
        <is>
          <t>AB</t>
        </is>
      </c>
      <c r="H2720">
        <f>IF(A2720&lt;=NWeeks,1,0)</f>
        <v/>
      </c>
      <c r="I2720">
        <f>INDEX(ChLaunch,MATCH(E2720,ChName,0))</f>
        <v/>
      </c>
      <c r="J2720">
        <f>INDEX(ChWeeksFull,MATCH(E2720,ChName,0))</f>
        <v/>
      </c>
      <c r="K2720">
        <f>INDEX(ChRamp,MATCH(E2720,ChName,0))</f>
        <v/>
      </c>
      <c r="L2720" s="45">
        <f>MIN(1,MAX(0,(A2720-I2720+1)*RampSpeed/J2720))</f>
        <v/>
      </c>
      <c r="M2720" s="45">
        <f>IF(A2720&lt;I2720,0,IF(K2720="S-curve",L2720*L2720*(3-2*L2720),L2720))</f>
        <v/>
      </c>
      <c r="N2720" s="45">
        <f>1+(INDEX(SeasonIdx,A2720)-1)*SeasonAmp</f>
        <v/>
      </c>
      <c r="O2720" s="45">
        <f>IFERROR(INDEX(PSPct,MATCH(E2720&amp;"|"&amp;G2720,PSKey,0)),0)</f>
        <v/>
      </c>
      <c r="P2720" s="46">
        <f>INDEX(ChDoorVel,MATCH(E2720,ChName,0))*CalibScalar*(1+VelocityUplift)</f>
        <v/>
      </c>
      <c r="Q2720" s="46" t="n">
        <v>0</v>
      </c>
      <c r="R2720" s="46">
        <f>P2720*O2720*M2720*N2720*H2720</f>
        <v/>
      </c>
      <c r="S2720" s="46">
        <f>R2720*INDEX(FmtCansPerCase,MATCH(F2720,FmtName,0))</f>
        <v/>
      </c>
      <c r="T2720" s="46">
        <f>S2720/INDEX(FmtCansPerPack,MATCH(F2720,FmtName,0))</f>
        <v/>
      </c>
      <c r="U2720" s="47">
        <f>INDEX(ChBaseCP,MATCH(E2720,ChName,0))*(1+INDEX(ProvMod,MATCH(G2720,ProvCode,0)))*(1+PriceIndex)</f>
        <v/>
      </c>
      <c r="V2720" s="47">
        <f>R2720*U2720*INDEX(FmtBlendedPriceIdx,MATCH(F2720,FmtName,0))</f>
        <v/>
      </c>
      <c r="W2720" s="47">
        <f>T2720*INDEX(ProvSRP,MATCH(G2720,ProvCode,0))*(1+PriceIndex)</f>
        <v/>
      </c>
      <c r="X2720" s="47">
        <f>IF(GrossBasis="Wholesale",V2720,W2720)</f>
        <v/>
      </c>
      <c r="Y2720" s="47">
        <f>R2720*INDEX(FmtBlendedCogs,MATCH(F2720,FmtName,0))</f>
        <v/>
      </c>
      <c r="Z2720" s="47">
        <f>X2720-Y2720</f>
        <v/>
      </c>
    </row>
    <row r="2721">
      <c r="A2721" t="n">
        <v>17</v>
      </c>
      <c r="B2721" s="44">
        <f>FiscalStart+(A2721-1)*7</f>
        <v/>
      </c>
      <c r="C2721">
        <f>TEXT(B2721,"mmm yyyy")</f>
        <v/>
      </c>
      <c r="D2721">
        <f>"Q"&amp;(INT((A2721-1)/13)+1)</f>
        <v/>
      </c>
      <c r="E2721" t="inlineStr">
        <is>
          <t>Specialty</t>
        </is>
      </c>
      <c r="F2721">
        <f>IFERROR(INDEX(ChFormat,MATCH(E2721,ChName,0)),"")</f>
        <v/>
      </c>
      <c r="G2721" t="inlineStr">
        <is>
          <t>AB</t>
        </is>
      </c>
      <c r="H2721">
        <f>IF(A2721&lt;=NWeeks,1,0)</f>
        <v/>
      </c>
      <c r="I2721">
        <f>INDEX(ChLaunch,MATCH(E2721,ChName,0))</f>
        <v/>
      </c>
      <c r="J2721">
        <f>INDEX(ChWeeksFull,MATCH(E2721,ChName,0))</f>
        <v/>
      </c>
      <c r="K2721">
        <f>INDEX(ChRamp,MATCH(E2721,ChName,0))</f>
        <v/>
      </c>
      <c r="L2721" s="45">
        <f>MIN(1,MAX(0,(A2721-I2721+1)*RampSpeed/J2721))</f>
        <v/>
      </c>
      <c r="M2721" s="45">
        <f>IF(A2721&lt;I2721,0,IF(K2721="S-curve",L2721*L2721*(3-2*L2721),L2721))</f>
        <v/>
      </c>
      <c r="N2721" s="45">
        <f>1+(INDEX(SeasonIdx,A2721)-1)*SeasonAmp</f>
        <v/>
      </c>
      <c r="O2721" s="45">
        <f>IFERROR(INDEX(PSPct,MATCH(E2721&amp;"|"&amp;G2721,PSKey,0)),0)</f>
        <v/>
      </c>
      <c r="P2721" s="46">
        <f>INDEX(ChDoorVel,MATCH(E2721,ChName,0))*CalibScalar*(1+VelocityUplift)</f>
        <v/>
      </c>
      <c r="Q2721" s="46" t="n">
        <v>0</v>
      </c>
      <c r="R2721" s="46">
        <f>P2721*O2721*M2721*N2721*H2721</f>
        <v/>
      </c>
      <c r="S2721" s="46">
        <f>R2721*INDEX(FmtCansPerCase,MATCH(F2721,FmtName,0))</f>
        <v/>
      </c>
      <c r="T2721" s="46">
        <f>S2721/INDEX(FmtCansPerPack,MATCH(F2721,FmtName,0))</f>
        <v/>
      </c>
      <c r="U2721" s="47">
        <f>INDEX(ChBaseCP,MATCH(E2721,ChName,0))*(1+INDEX(ProvMod,MATCH(G2721,ProvCode,0)))*(1+PriceIndex)</f>
        <v/>
      </c>
      <c r="V2721" s="47">
        <f>R2721*U2721*INDEX(FmtBlendedPriceIdx,MATCH(F2721,FmtName,0))</f>
        <v/>
      </c>
      <c r="W2721" s="47">
        <f>T2721*INDEX(ProvSRP,MATCH(G2721,ProvCode,0))*(1+PriceIndex)</f>
        <v/>
      </c>
      <c r="X2721" s="47">
        <f>IF(GrossBasis="Wholesale",V2721,W2721)</f>
        <v/>
      </c>
      <c r="Y2721" s="47">
        <f>R2721*INDEX(FmtBlendedCogs,MATCH(F2721,FmtName,0))</f>
        <v/>
      </c>
      <c r="Z2721" s="47">
        <f>X2721-Y2721</f>
        <v/>
      </c>
    </row>
    <row r="2722">
      <c r="A2722" t="n">
        <v>18</v>
      </c>
      <c r="B2722" s="44">
        <f>FiscalStart+(A2722-1)*7</f>
        <v/>
      </c>
      <c r="C2722">
        <f>TEXT(B2722,"mmm yyyy")</f>
        <v/>
      </c>
      <c r="D2722">
        <f>"Q"&amp;(INT((A2722-1)/13)+1)</f>
        <v/>
      </c>
      <c r="E2722" t="inlineStr">
        <is>
          <t>Specialty</t>
        </is>
      </c>
      <c r="F2722">
        <f>IFERROR(INDEX(ChFormat,MATCH(E2722,ChName,0)),"")</f>
        <v/>
      </c>
      <c r="G2722" t="inlineStr">
        <is>
          <t>AB</t>
        </is>
      </c>
      <c r="H2722">
        <f>IF(A2722&lt;=NWeeks,1,0)</f>
        <v/>
      </c>
      <c r="I2722">
        <f>INDEX(ChLaunch,MATCH(E2722,ChName,0))</f>
        <v/>
      </c>
      <c r="J2722">
        <f>INDEX(ChWeeksFull,MATCH(E2722,ChName,0))</f>
        <v/>
      </c>
      <c r="K2722">
        <f>INDEX(ChRamp,MATCH(E2722,ChName,0))</f>
        <v/>
      </c>
      <c r="L2722" s="45">
        <f>MIN(1,MAX(0,(A2722-I2722+1)*RampSpeed/J2722))</f>
        <v/>
      </c>
      <c r="M2722" s="45">
        <f>IF(A2722&lt;I2722,0,IF(K2722="S-curve",L2722*L2722*(3-2*L2722),L2722))</f>
        <v/>
      </c>
      <c r="N2722" s="45">
        <f>1+(INDEX(SeasonIdx,A2722)-1)*SeasonAmp</f>
        <v/>
      </c>
      <c r="O2722" s="45">
        <f>IFERROR(INDEX(PSPct,MATCH(E2722&amp;"|"&amp;G2722,PSKey,0)),0)</f>
        <v/>
      </c>
      <c r="P2722" s="46">
        <f>INDEX(ChDoorVel,MATCH(E2722,ChName,0))*CalibScalar*(1+VelocityUplift)</f>
        <v/>
      </c>
      <c r="Q2722" s="46" t="n">
        <v>0</v>
      </c>
      <c r="R2722" s="46">
        <f>P2722*O2722*M2722*N2722*H2722</f>
        <v/>
      </c>
      <c r="S2722" s="46">
        <f>R2722*INDEX(FmtCansPerCase,MATCH(F2722,FmtName,0))</f>
        <v/>
      </c>
      <c r="T2722" s="46">
        <f>S2722/INDEX(FmtCansPerPack,MATCH(F2722,FmtName,0))</f>
        <v/>
      </c>
      <c r="U2722" s="47">
        <f>INDEX(ChBaseCP,MATCH(E2722,ChName,0))*(1+INDEX(ProvMod,MATCH(G2722,ProvCode,0)))*(1+PriceIndex)</f>
        <v/>
      </c>
      <c r="V2722" s="47">
        <f>R2722*U2722*INDEX(FmtBlendedPriceIdx,MATCH(F2722,FmtName,0))</f>
        <v/>
      </c>
      <c r="W2722" s="47">
        <f>T2722*INDEX(ProvSRP,MATCH(G2722,ProvCode,0))*(1+PriceIndex)</f>
        <v/>
      </c>
      <c r="X2722" s="47">
        <f>IF(GrossBasis="Wholesale",V2722,W2722)</f>
        <v/>
      </c>
      <c r="Y2722" s="47">
        <f>R2722*INDEX(FmtBlendedCogs,MATCH(F2722,FmtName,0))</f>
        <v/>
      </c>
      <c r="Z2722" s="47">
        <f>X2722-Y2722</f>
        <v/>
      </c>
    </row>
    <row r="2723">
      <c r="A2723" t="n">
        <v>19</v>
      </c>
      <c r="B2723" s="44">
        <f>FiscalStart+(A2723-1)*7</f>
        <v/>
      </c>
      <c r="C2723">
        <f>TEXT(B2723,"mmm yyyy")</f>
        <v/>
      </c>
      <c r="D2723">
        <f>"Q"&amp;(INT((A2723-1)/13)+1)</f>
        <v/>
      </c>
      <c r="E2723" t="inlineStr">
        <is>
          <t>Specialty</t>
        </is>
      </c>
      <c r="F2723">
        <f>IFERROR(INDEX(ChFormat,MATCH(E2723,ChName,0)),"")</f>
        <v/>
      </c>
      <c r="G2723" t="inlineStr">
        <is>
          <t>AB</t>
        </is>
      </c>
      <c r="H2723">
        <f>IF(A2723&lt;=NWeeks,1,0)</f>
        <v/>
      </c>
      <c r="I2723">
        <f>INDEX(ChLaunch,MATCH(E2723,ChName,0))</f>
        <v/>
      </c>
      <c r="J2723">
        <f>INDEX(ChWeeksFull,MATCH(E2723,ChName,0))</f>
        <v/>
      </c>
      <c r="K2723">
        <f>INDEX(ChRamp,MATCH(E2723,ChName,0))</f>
        <v/>
      </c>
      <c r="L2723" s="45">
        <f>MIN(1,MAX(0,(A2723-I2723+1)*RampSpeed/J2723))</f>
        <v/>
      </c>
      <c r="M2723" s="45">
        <f>IF(A2723&lt;I2723,0,IF(K2723="S-curve",L2723*L2723*(3-2*L2723),L2723))</f>
        <v/>
      </c>
      <c r="N2723" s="45">
        <f>1+(INDEX(SeasonIdx,A2723)-1)*SeasonAmp</f>
        <v/>
      </c>
      <c r="O2723" s="45">
        <f>IFERROR(INDEX(PSPct,MATCH(E2723&amp;"|"&amp;G2723,PSKey,0)),0)</f>
        <v/>
      </c>
      <c r="P2723" s="46">
        <f>INDEX(ChDoorVel,MATCH(E2723,ChName,0))*CalibScalar*(1+VelocityUplift)</f>
        <v/>
      </c>
      <c r="Q2723" s="46" t="n">
        <v>0</v>
      </c>
      <c r="R2723" s="46">
        <f>P2723*O2723*M2723*N2723*H2723</f>
        <v/>
      </c>
      <c r="S2723" s="46">
        <f>R2723*INDEX(FmtCansPerCase,MATCH(F2723,FmtName,0))</f>
        <v/>
      </c>
      <c r="T2723" s="46">
        <f>S2723/INDEX(FmtCansPerPack,MATCH(F2723,FmtName,0))</f>
        <v/>
      </c>
      <c r="U2723" s="47">
        <f>INDEX(ChBaseCP,MATCH(E2723,ChName,0))*(1+INDEX(ProvMod,MATCH(G2723,ProvCode,0)))*(1+PriceIndex)</f>
        <v/>
      </c>
      <c r="V2723" s="47">
        <f>R2723*U2723*INDEX(FmtBlendedPriceIdx,MATCH(F2723,FmtName,0))</f>
        <v/>
      </c>
      <c r="W2723" s="47">
        <f>T2723*INDEX(ProvSRP,MATCH(G2723,ProvCode,0))*(1+PriceIndex)</f>
        <v/>
      </c>
      <c r="X2723" s="47">
        <f>IF(GrossBasis="Wholesale",V2723,W2723)</f>
        <v/>
      </c>
      <c r="Y2723" s="47">
        <f>R2723*INDEX(FmtBlendedCogs,MATCH(F2723,FmtName,0))</f>
        <v/>
      </c>
      <c r="Z2723" s="47">
        <f>X2723-Y2723</f>
        <v/>
      </c>
    </row>
    <row r="2724">
      <c r="A2724" t="n">
        <v>20</v>
      </c>
      <c r="B2724" s="44">
        <f>FiscalStart+(A2724-1)*7</f>
        <v/>
      </c>
      <c r="C2724">
        <f>TEXT(B2724,"mmm yyyy")</f>
        <v/>
      </c>
      <c r="D2724">
        <f>"Q"&amp;(INT((A2724-1)/13)+1)</f>
        <v/>
      </c>
      <c r="E2724" t="inlineStr">
        <is>
          <t>Specialty</t>
        </is>
      </c>
      <c r="F2724">
        <f>IFERROR(INDEX(ChFormat,MATCH(E2724,ChName,0)),"")</f>
        <v/>
      </c>
      <c r="G2724" t="inlineStr">
        <is>
          <t>AB</t>
        </is>
      </c>
      <c r="H2724">
        <f>IF(A2724&lt;=NWeeks,1,0)</f>
        <v/>
      </c>
      <c r="I2724">
        <f>INDEX(ChLaunch,MATCH(E2724,ChName,0))</f>
        <v/>
      </c>
      <c r="J2724">
        <f>INDEX(ChWeeksFull,MATCH(E2724,ChName,0))</f>
        <v/>
      </c>
      <c r="K2724">
        <f>INDEX(ChRamp,MATCH(E2724,ChName,0))</f>
        <v/>
      </c>
      <c r="L2724" s="45">
        <f>MIN(1,MAX(0,(A2724-I2724+1)*RampSpeed/J2724))</f>
        <v/>
      </c>
      <c r="M2724" s="45">
        <f>IF(A2724&lt;I2724,0,IF(K2724="S-curve",L2724*L2724*(3-2*L2724),L2724))</f>
        <v/>
      </c>
      <c r="N2724" s="45">
        <f>1+(INDEX(SeasonIdx,A2724)-1)*SeasonAmp</f>
        <v/>
      </c>
      <c r="O2724" s="45">
        <f>IFERROR(INDEX(PSPct,MATCH(E2724&amp;"|"&amp;G2724,PSKey,0)),0)</f>
        <v/>
      </c>
      <c r="P2724" s="46">
        <f>INDEX(ChDoorVel,MATCH(E2724,ChName,0))*CalibScalar*(1+VelocityUplift)</f>
        <v/>
      </c>
      <c r="Q2724" s="46" t="n">
        <v>0</v>
      </c>
      <c r="R2724" s="46">
        <f>P2724*O2724*M2724*N2724*H2724</f>
        <v/>
      </c>
      <c r="S2724" s="46">
        <f>R2724*INDEX(FmtCansPerCase,MATCH(F2724,FmtName,0))</f>
        <v/>
      </c>
      <c r="T2724" s="46">
        <f>S2724/INDEX(FmtCansPerPack,MATCH(F2724,FmtName,0))</f>
        <v/>
      </c>
      <c r="U2724" s="47">
        <f>INDEX(ChBaseCP,MATCH(E2724,ChName,0))*(1+INDEX(ProvMod,MATCH(G2724,ProvCode,0)))*(1+PriceIndex)</f>
        <v/>
      </c>
      <c r="V2724" s="47">
        <f>R2724*U2724*INDEX(FmtBlendedPriceIdx,MATCH(F2724,FmtName,0))</f>
        <v/>
      </c>
      <c r="W2724" s="47">
        <f>T2724*INDEX(ProvSRP,MATCH(G2724,ProvCode,0))*(1+PriceIndex)</f>
        <v/>
      </c>
      <c r="X2724" s="47">
        <f>IF(GrossBasis="Wholesale",V2724,W2724)</f>
        <v/>
      </c>
      <c r="Y2724" s="47">
        <f>R2724*INDEX(FmtBlendedCogs,MATCH(F2724,FmtName,0))</f>
        <v/>
      </c>
      <c r="Z2724" s="47">
        <f>X2724-Y2724</f>
        <v/>
      </c>
    </row>
    <row r="2725">
      <c r="A2725" t="n">
        <v>21</v>
      </c>
      <c r="B2725" s="44">
        <f>FiscalStart+(A2725-1)*7</f>
        <v/>
      </c>
      <c r="C2725">
        <f>TEXT(B2725,"mmm yyyy")</f>
        <v/>
      </c>
      <c r="D2725">
        <f>"Q"&amp;(INT((A2725-1)/13)+1)</f>
        <v/>
      </c>
      <c r="E2725" t="inlineStr">
        <is>
          <t>Specialty</t>
        </is>
      </c>
      <c r="F2725">
        <f>IFERROR(INDEX(ChFormat,MATCH(E2725,ChName,0)),"")</f>
        <v/>
      </c>
      <c r="G2725" t="inlineStr">
        <is>
          <t>AB</t>
        </is>
      </c>
      <c r="H2725">
        <f>IF(A2725&lt;=NWeeks,1,0)</f>
        <v/>
      </c>
      <c r="I2725">
        <f>INDEX(ChLaunch,MATCH(E2725,ChName,0))</f>
        <v/>
      </c>
      <c r="J2725">
        <f>INDEX(ChWeeksFull,MATCH(E2725,ChName,0))</f>
        <v/>
      </c>
      <c r="K2725">
        <f>INDEX(ChRamp,MATCH(E2725,ChName,0))</f>
        <v/>
      </c>
      <c r="L2725" s="45">
        <f>MIN(1,MAX(0,(A2725-I2725+1)*RampSpeed/J2725))</f>
        <v/>
      </c>
      <c r="M2725" s="45">
        <f>IF(A2725&lt;I2725,0,IF(K2725="S-curve",L2725*L2725*(3-2*L2725),L2725))</f>
        <v/>
      </c>
      <c r="N2725" s="45">
        <f>1+(INDEX(SeasonIdx,A2725)-1)*SeasonAmp</f>
        <v/>
      </c>
      <c r="O2725" s="45">
        <f>IFERROR(INDEX(PSPct,MATCH(E2725&amp;"|"&amp;G2725,PSKey,0)),0)</f>
        <v/>
      </c>
      <c r="P2725" s="46">
        <f>INDEX(ChDoorVel,MATCH(E2725,ChName,0))*CalibScalar*(1+VelocityUplift)</f>
        <v/>
      </c>
      <c r="Q2725" s="46" t="n">
        <v>0</v>
      </c>
      <c r="R2725" s="46">
        <f>P2725*O2725*M2725*N2725*H2725</f>
        <v/>
      </c>
      <c r="S2725" s="46">
        <f>R2725*INDEX(FmtCansPerCase,MATCH(F2725,FmtName,0))</f>
        <v/>
      </c>
      <c r="T2725" s="46">
        <f>S2725/INDEX(FmtCansPerPack,MATCH(F2725,FmtName,0))</f>
        <v/>
      </c>
      <c r="U2725" s="47">
        <f>INDEX(ChBaseCP,MATCH(E2725,ChName,0))*(1+INDEX(ProvMod,MATCH(G2725,ProvCode,0)))*(1+PriceIndex)</f>
        <v/>
      </c>
      <c r="V2725" s="47">
        <f>R2725*U2725*INDEX(FmtBlendedPriceIdx,MATCH(F2725,FmtName,0))</f>
        <v/>
      </c>
      <c r="W2725" s="47">
        <f>T2725*INDEX(ProvSRP,MATCH(G2725,ProvCode,0))*(1+PriceIndex)</f>
        <v/>
      </c>
      <c r="X2725" s="47">
        <f>IF(GrossBasis="Wholesale",V2725,W2725)</f>
        <v/>
      </c>
      <c r="Y2725" s="47">
        <f>R2725*INDEX(FmtBlendedCogs,MATCH(F2725,FmtName,0))</f>
        <v/>
      </c>
      <c r="Z2725" s="47">
        <f>X2725-Y2725</f>
        <v/>
      </c>
    </row>
    <row r="2726">
      <c r="A2726" t="n">
        <v>22</v>
      </c>
      <c r="B2726" s="44">
        <f>FiscalStart+(A2726-1)*7</f>
        <v/>
      </c>
      <c r="C2726">
        <f>TEXT(B2726,"mmm yyyy")</f>
        <v/>
      </c>
      <c r="D2726">
        <f>"Q"&amp;(INT((A2726-1)/13)+1)</f>
        <v/>
      </c>
      <c r="E2726" t="inlineStr">
        <is>
          <t>Specialty</t>
        </is>
      </c>
      <c r="F2726">
        <f>IFERROR(INDEX(ChFormat,MATCH(E2726,ChName,0)),"")</f>
        <v/>
      </c>
      <c r="G2726" t="inlineStr">
        <is>
          <t>AB</t>
        </is>
      </c>
      <c r="H2726">
        <f>IF(A2726&lt;=NWeeks,1,0)</f>
        <v/>
      </c>
      <c r="I2726">
        <f>INDEX(ChLaunch,MATCH(E2726,ChName,0))</f>
        <v/>
      </c>
      <c r="J2726">
        <f>INDEX(ChWeeksFull,MATCH(E2726,ChName,0))</f>
        <v/>
      </c>
      <c r="K2726">
        <f>INDEX(ChRamp,MATCH(E2726,ChName,0))</f>
        <v/>
      </c>
      <c r="L2726" s="45">
        <f>MIN(1,MAX(0,(A2726-I2726+1)*RampSpeed/J2726))</f>
        <v/>
      </c>
      <c r="M2726" s="45">
        <f>IF(A2726&lt;I2726,0,IF(K2726="S-curve",L2726*L2726*(3-2*L2726),L2726))</f>
        <v/>
      </c>
      <c r="N2726" s="45">
        <f>1+(INDEX(SeasonIdx,A2726)-1)*SeasonAmp</f>
        <v/>
      </c>
      <c r="O2726" s="45">
        <f>IFERROR(INDEX(PSPct,MATCH(E2726&amp;"|"&amp;G2726,PSKey,0)),0)</f>
        <v/>
      </c>
      <c r="P2726" s="46">
        <f>INDEX(ChDoorVel,MATCH(E2726,ChName,0))*CalibScalar*(1+VelocityUplift)</f>
        <v/>
      </c>
      <c r="Q2726" s="46" t="n">
        <v>0</v>
      </c>
      <c r="R2726" s="46">
        <f>P2726*O2726*M2726*N2726*H2726</f>
        <v/>
      </c>
      <c r="S2726" s="46">
        <f>R2726*INDEX(FmtCansPerCase,MATCH(F2726,FmtName,0))</f>
        <v/>
      </c>
      <c r="T2726" s="46">
        <f>S2726/INDEX(FmtCansPerPack,MATCH(F2726,FmtName,0))</f>
        <v/>
      </c>
      <c r="U2726" s="47">
        <f>INDEX(ChBaseCP,MATCH(E2726,ChName,0))*(1+INDEX(ProvMod,MATCH(G2726,ProvCode,0)))*(1+PriceIndex)</f>
        <v/>
      </c>
      <c r="V2726" s="47">
        <f>R2726*U2726*INDEX(FmtBlendedPriceIdx,MATCH(F2726,FmtName,0))</f>
        <v/>
      </c>
      <c r="W2726" s="47">
        <f>T2726*INDEX(ProvSRP,MATCH(G2726,ProvCode,0))*(1+PriceIndex)</f>
        <v/>
      </c>
      <c r="X2726" s="47">
        <f>IF(GrossBasis="Wholesale",V2726,W2726)</f>
        <v/>
      </c>
      <c r="Y2726" s="47">
        <f>R2726*INDEX(FmtBlendedCogs,MATCH(F2726,FmtName,0))</f>
        <v/>
      </c>
      <c r="Z2726" s="47">
        <f>X2726-Y2726</f>
        <v/>
      </c>
    </row>
    <row r="2727">
      <c r="A2727" t="n">
        <v>23</v>
      </c>
      <c r="B2727" s="44">
        <f>FiscalStart+(A2727-1)*7</f>
        <v/>
      </c>
      <c r="C2727">
        <f>TEXT(B2727,"mmm yyyy")</f>
        <v/>
      </c>
      <c r="D2727">
        <f>"Q"&amp;(INT((A2727-1)/13)+1)</f>
        <v/>
      </c>
      <c r="E2727" t="inlineStr">
        <is>
          <t>Specialty</t>
        </is>
      </c>
      <c r="F2727">
        <f>IFERROR(INDEX(ChFormat,MATCH(E2727,ChName,0)),"")</f>
        <v/>
      </c>
      <c r="G2727" t="inlineStr">
        <is>
          <t>AB</t>
        </is>
      </c>
      <c r="H2727">
        <f>IF(A2727&lt;=NWeeks,1,0)</f>
        <v/>
      </c>
      <c r="I2727">
        <f>INDEX(ChLaunch,MATCH(E2727,ChName,0))</f>
        <v/>
      </c>
      <c r="J2727">
        <f>INDEX(ChWeeksFull,MATCH(E2727,ChName,0))</f>
        <v/>
      </c>
      <c r="K2727">
        <f>INDEX(ChRamp,MATCH(E2727,ChName,0))</f>
        <v/>
      </c>
      <c r="L2727" s="45">
        <f>MIN(1,MAX(0,(A2727-I2727+1)*RampSpeed/J2727))</f>
        <v/>
      </c>
      <c r="M2727" s="45">
        <f>IF(A2727&lt;I2727,0,IF(K2727="S-curve",L2727*L2727*(3-2*L2727),L2727))</f>
        <v/>
      </c>
      <c r="N2727" s="45">
        <f>1+(INDEX(SeasonIdx,A2727)-1)*SeasonAmp</f>
        <v/>
      </c>
      <c r="O2727" s="45">
        <f>IFERROR(INDEX(PSPct,MATCH(E2727&amp;"|"&amp;G2727,PSKey,0)),0)</f>
        <v/>
      </c>
      <c r="P2727" s="46">
        <f>INDEX(ChDoorVel,MATCH(E2727,ChName,0))*CalibScalar*(1+VelocityUplift)</f>
        <v/>
      </c>
      <c r="Q2727" s="46" t="n">
        <v>0</v>
      </c>
      <c r="R2727" s="46">
        <f>P2727*O2727*M2727*N2727*H2727</f>
        <v/>
      </c>
      <c r="S2727" s="46">
        <f>R2727*INDEX(FmtCansPerCase,MATCH(F2727,FmtName,0))</f>
        <v/>
      </c>
      <c r="T2727" s="46">
        <f>S2727/INDEX(FmtCansPerPack,MATCH(F2727,FmtName,0))</f>
        <v/>
      </c>
      <c r="U2727" s="47">
        <f>INDEX(ChBaseCP,MATCH(E2727,ChName,0))*(1+INDEX(ProvMod,MATCH(G2727,ProvCode,0)))*(1+PriceIndex)</f>
        <v/>
      </c>
      <c r="V2727" s="47">
        <f>R2727*U2727*INDEX(FmtBlendedPriceIdx,MATCH(F2727,FmtName,0))</f>
        <v/>
      </c>
      <c r="W2727" s="47">
        <f>T2727*INDEX(ProvSRP,MATCH(G2727,ProvCode,0))*(1+PriceIndex)</f>
        <v/>
      </c>
      <c r="X2727" s="47">
        <f>IF(GrossBasis="Wholesale",V2727,W2727)</f>
        <v/>
      </c>
      <c r="Y2727" s="47">
        <f>R2727*INDEX(FmtBlendedCogs,MATCH(F2727,FmtName,0))</f>
        <v/>
      </c>
      <c r="Z2727" s="47">
        <f>X2727-Y2727</f>
        <v/>
      </c>
    </row>
    <row r="2728">
      <c r="A2728" t="n">
        <v>24</v>
      </c>
      <c r="B2728" s="44">
        <f>FiscalStart+(A2728-1)*7</f>
        <v/>
      </c>
      <c r="C2728">
        <f>TEXT(B2728,"mmm yyyy")</f>
        <v/>
      </c>
      <c r="D2728">
        <f>"Q"&amp;(INT((A2728-1)/13)+1)</f>
        <v/>
      </c>
      <c r="E2728" t="inlineStr">
        <is>
          <t>Specialty</t>
        </is>
      </c>
      <c r="F2728">
        <f>IFERROR(INDEX(ChFormat,MATCH(E2728,ChName,0)),"")</f>
        <v/>
      </c>
      <c r="G2728" t="inlineStr">
        <is>
          <t>AB</t>
        </is>
      </c>
      <c r="H2728">
        <f>IF(A2728&lt;=NWeeks,1,0)</f>
        <v/>
      </c>
      <c r="I2728">
        <f>INDEX(ChLaunch,MATCH(E2728,ChName,0))</f>
        <v/>
      </c>
      <c r="J2728">
        <f>INDEX(ChWeeksFull,MATCH(E2728,ChName,0))</f>
        <v/>
      </c>
      <c r="K2728">
        <f>INDEX(ChRamp,MATCH(E2728,ChName,0))</f>
        <v/>
      </c>
      <c r="L2728" s="45">
        <f>MIN(1,MAX(0,(A2728-I2728+1)*RampSpeed/J2728))</f>
        <v/>
      </c>
      <c r="M2728" s="45">
        <f>IF(A2728&lt;I2728,0,IF(K2728="S-curve",L2728*L2728*(3-2*L2728),L2728))</f>
        <v/>
      </c>
      <c r="N2728" s="45">
        <f>1+(INDEX(SeasonIdx,A2728)-1)*SeasonAmp</f>
        <v/>
      </c>
      <c r="O2728" s="45">
        <f>IFERROR(INDEX(PSPct,MATCH(E2728&amp;"|"&amp;G2728,PSKey,0)),0)</f>
        <v/>
      </c>
      <c r="P2728" s="46">
        <f>INDEX(ChDoorVel,MATCH(E2728,ChName,0))*CalibScalar*(1+VelocityUplift)</f>
        <v/>
      </c>
      <c r="Q2728" s="46" t="n">
        <v>0</v>
      </c>
      <c r="R2728" s="46">
        <f>P2728*O2728*M2728*N2728*H2728</f>
        <v/>
      </c>
      <c r="S2728" s="46">
        <f>R2728*INDEX(FmtCansPerCase,MATCH(F2728,FmtName,0))</f>
        <v/>
      </c>
      <c r="T2728" s="46">
        <f>S2728/INDEX(FmtCansPerPack,MATCH(F2728,FmtName,0))</f>
        <v/>
      </c>
      <c r="U2728" s="47">
        <f>INDEX(ChBaseCP,MATCH(E2728,ChName,0))*(1+INDEX(ProvMod,MATCH(G2728,ProvCode,0)))*(1+PriceIndex)</f>
        <v/>
      </c>
      <c r="V2728" s="47">
        <f>R2728*U2728*INDEX(FmtBlendedPriceIdx,MATCH(F2728,FmtName,0))</f>
        <v/>
      </c>
      <c r="W2728" s="47">
        <f>T2728*INDEX(ProvSRP,MATCH(G2728,ProvCode,0))*(1+PriceIndex)</f>
        <v/>
      </c>
      <c r="X2728" s="47">
        <f>IF(GrossBasis="Wholesale",V2728,W2728)</f>
        <v/>
      </c>
      <c r="Y2728" s="47">
        <f>R2728*INDEX(FmtBlendedCogs,MATCH(F2728,FmtName,0))</f>
        <v/>
      </c>
      <c r="Z2728" s="47">
        <f>X2728-Y2728</f>
        <v/>
      </c>
    </row>
    <row r="2729">
      <c r="A2729" t="n">
        <v>25</v>
      </c>
      <c r="B2729" s="44">
        <f>FiscalStart+(A2729-1)*7</f>
        <v/>
      </c>
      <c r="C2729">
        <f>TEXT(B2729,"mmm yyyy")</f>
        <v/>
      </c>
      <c r="D2729">
        <f>"Q"&amp;(INT((A2729-1)/13)+1)</f>
        <v/>
      </c>
      <c r="E2729" t="inlineStr">
        <is>
          <t>Specialty</t>
        </is>
      </c>
      <c r="F2729">
        <f>IFERROR(INDEX(ChFormat,MATCH(E2729,ChName,0)),"")</f>
        <v/>
      </c>
      <c r="G2729" t="inlineStr">
        <is>
          <t>AB</t>
        </is>
      </c>
      <c r="H2729">
        <f>IF(A2729&lt;=NWeeks,1,0)</f>
        <v/>
      </c>
      <c r="I2729">
        <f>INDEX(ChLaunch,MATCH(E2729,ChName,0))</f>
        <v/>
      </c>
      <c r="J2729">
        <f>INDEX(ChWeeksFull,MATCH(E2729,ChName,0))</f>
        <v/>
      </c>
      <c r="K2729">
        <f>INDEX(ChRamp,MATCH(E2729,ChName,0))</f>
        <v/>
      </c>
      <c r="L2729" s="45">
        <f>MIN(1,MAX(0,(A2729-I2729+1)*RampSpeed/J2729))</f>
        <v/>
      </c>
      <c r="M2729" s="45">
        <f>IF(A2729&lt;I2729,0,IF(K2729="S-curve",L2729*L2729*(3-2*L2729),L2729))</f>
        <v/>
      </c>
      <c r="N2729" s="45">
        <f>1+(INDEX(SeasonIdx,A2729)-1)*SeasonAmp</f>
        <v/>
      </c>
      <c r="O2729" s="45">
        <f>IFERROR(INDEX(PSPct,MATCH(E2729&amp;"|"&amp;G2729,PSKey,0)),0)</f>
        <v/>
      </c>
      <c r="P2729" s="46">
        <f>INDEX(ChDoorVel,MATCH(E2729,ChName,0))*CalibScalar*(1+VelocityUplift)</f>
        <v/>
      </c>
      <c r="Q2729" s="46" t="n">
        <v>0</v>
      </c>
      <c r="R2729" s="46">
        <f>P2729*O2729*M2729*N2729*H2729</f>
        <v/>
      </c>
      <c r="S2729" s="46">
        <f>R2729*INDEX(FmtCansPerCase,MATCH(F2729,FmtName,0))</f>
        <v/>
      </c>
      <c r="T2729" s="46">
        <f>S2729/INDEX(FmtCansPerPack,MATCH(F2729,FmtName,0))</f>
        <v/>
      </c>
      <c r="U2729" s="47">
        <f>INDEX(ChBaseCP,MATCH(E2729,ChName,0))*(1+INDEX(ProvMod,MATCH(G2729,ProvCode,0)))*(1+PriceIndex)</f>
        <v/>
      </c>
      <c r="V2729" s="47">
        <f>R2729*U2729*INDEX(FmtBlendedPriceIdx,MATCH(F2729,FmtName,0))</f>
        <v/>
      </c>
      <c r="W2729" s="47">
        <f>T2729*INDEX(ProvSRP,MATCH(G2729,ProvCode,0))*(1+PriceIndex)</f>
        <v/>
      </c>
      <c r="X2729" s="47">
        <f>IF(GrossBasis="Wholesale",V2729,W2729)</f>
        <v/>
      </c>
      <c r="Y2729" s="47">
        <f>R2729*INDEX(FmtBlendedCogs,MATCH(F2729,FmtName,0))</f>
        <v/>
      </c>
      <c r="Z2729" s="47">
        <f>X2729-Y2729</f>
        <v/>
      </c>
    </row>
    <row r="2730">
      <c r="A2730" t="n">
        <v>26</v>
      </c>
      <c r="B2730" s="44">
        <f>FiscalStart+(A2730-1)*7</f>
        <v/>
      </c>
      <c r="C2730">
        <f>TEXT(B2730,"mmm yyyy")</f>
        <v/>
      </c>
      <c r="D2730">
        <f>"Q"&amp;(INT((A2730-1)/13)+1)</f>
        <v/>
      </c>
      <c r="E2730" t="inlineStr">
        <is>
          <t>Specialty</t>
        </is>
      </c>
      <c r="F2730">
        <f>IFERROR(INDEX(ChFormat,MATCH(E2730,ChName,0)),"")</f>
        <v/>
      </c>
      <c r="G2730" t="inlineStr">
        <is>
          <t>AB</t>
        </is>
      </c>
      <c r="H2730">
        <f>IF(A2730&lt;=NWeeks,1,0)</f>
        <v/>
      </c>
      <c r="I2730">
        <f>INDEX(ChLaunch,MATCH(E2730,ChName,0))</f>
        <v/>
      </c>
      <c r="J2730">
        <f>INDEX(ChWeeksFull,MATCH(E2730,ChName,0))</f>
        <v/>
      </c>
      <c r="K2730">
        <f>INDEX(ChRamp,MATCH(E2730,ChName,0))</f>
        <v/>
      </c>
      <c r="L2730" s="45">
        <f>MIN(1,MAX(0,(A2730-I2730+1)*RampSpeed/J2730))</f>
        <v/>
      </c>
      <c r="M2730" s="45">
        <f>IF(A2730&lt;I2730,0,IF(K2730="S-curve",L2730*L2730*(3-2*L2730),L2730))</f>
        <v/>
      </c>
      <c r="N2730" s="45">
        <f>1+(INDEX(SeasonIdx,A2730)-1)*SeasonAmp</f>
        <v/>
      </c>
      <c r="O2730" s="45">
        <f>IFERROR(INDEX(PSPct,MATCH(E2730&amp;"|"&amp;G2730,PSKey,0)),0)</f>
        <v/>
      </c>
      <c r="P2730" s="46">
        <f>INDEX(ChDoorVel,MATCH(E2730,ChName,0))*CalibScalar*(1+VelocityUplift)</f>
        <v/>
      </c>
      <c r="Q2730" s="46" t="n">
        <v>0</v>
      </c>
      <c r="R2730" s="46">
        <f>P2730*O2730*M2730*N2730*H2730</f>
        <v/>
      </c>
      <c r="S2730" s="46">
        <f>R2730*INDEX(FmtCansPerCase,MATCH(F2730,FmtName,0))</f>
        <v/>
      </c>
      <c r="T2730" s="46">
        <f>S2730/INDEX(FmtCansPerPack,MATCH(F2730,FmtName,0))</f>
        <v/>
      </c>
      <c r="U2730" s="47">
        <f>INDEX(ChBaseCP,MATCH(E2730,ChName,0))*(1+INDEX(ProvMod,MATCH(G2730,ProvCode,0)))*(1+PriceIndex)</f>
        <v/>
      </c>
      <c r="V2730" s="47">
        <f>R2730*U2730*INDEX(FmtBlendedPriceIdx,MATCH(F2730,FmtName,0))</f>
        <v/>
      </c>
      <c r="W2730" s="47">
        <f>T2730*INDEX(ProvSRP,MATCH(G2730,ProvCode,0))*(1+PriceIndex)</f>
        <v/>
      </c>
      <c r="X2730" s="47">
        <f>IF(GrossBasis="Wholesale",V2730,W2730)</f>
        <v/>
      </c>
      <c r="Y2730" s="47">
        <f>R2730*INDEX(FmtBlendedCogs,MATCH(F2730,FmtName,0))</f>
        <v/>
      </c>
      <c r="Z2730" s="47">
        <f>X2730-Y2730</f>
        <v/>
      </c>
    </row>
    <row r="2731">
      <c r="A2731" t="n">
        <v>27</v>
      </c>
      <c r="B2731" s="44">
        <f>FiscalStart+(A2731-1)*7</f>
        <v/>
      </c>
      <c r="C2731">
        <f>TEXT(B2731,"mmm yyyy")</f>
        <v/>
      </c>
      <c r="D2731">
        <f>"Q"&amp;(INT((A2731-1)/13)+1)</f>
        <v/>
      </c>
      <c r="E2731" t="inlineStr">
        <is>
          <t>Specialty</t>
        </is>
      </c>
      <c r="F2731">
        <f>IFERROR(INDEX(ChFormat,MATCH(E2731,ChName,0)),"")</f>
        <v/>
      </c>
      <c r="G2731" t="inlineStr">
        <is>
          <t>AB</t>
        </is>
      </c>
      <c r="H2731">
        <f>IF(A2731&lt;=NWeeks,1,0)</f>
        <v/>
      </c>
      <c r="I2731">
        <f>INDEX(ChLaunch,MATCH(E2731,ChName,0))</f>
        <v/>
      </c>
      <c r="J2731">
        <f>INDEX(ChWeeksFull,MATCH(E2731,ChName,0))</f>
        <v/>
      </c>
      <c r="K2731">
        <f>INDEX(ChRamp,MATCH(E2731,ChName,0))</f>
        <v/>
      </c>
      <c r="L2731" s="45">
        <f>MIN(1,MAX(0,(A2731-I2731+1)*RampSpeed/J2731))</f>
        <v/>
      </c>
      <c r="M2731" s="45">
        <f>IF(A2731&lt;I2731,0,IF(K2731="S-curve",L2731*L2731*(3-2*L2731),L2731))</f>
        <v/>
      </c>
      <c r="N2731" s="45">
        <f>1+(INDEX(SeasonIdx,A2731)-1)*SeasonAmp</f>
        <v/>
      </c>
      <c r="O2731" s="45">
        <f>IFERROR(INDEX(PSPct,MATCH(E2731&amp;"|"&amp;G2731,PSKey,0)),0)</f>
        <v/>
      </c>
      <c r="P2731" s="46">
        <f>INDEX(ChDoorVel,MATCH(E2731,ChName,0))*CalibScalar*(1+VelocityUplift)</f>
        <v/>
      </c>
      <c r="Q2731" s="46" t="n">
        <v>0</v>
      </c>
      <c r="R2731" s="46">
        <f>P2731*O2731*M2731*N2731*H2731</f>
        <v/>
      </c>
      <c r="S2731" s="46">
        <f>R2731*INDEX(FmtCansPerCase,MATCH(F2731,FmtName,0))</f>
        <v/>
      </c>
      <c r="T2731" s="46">
        <f>S2731/INDEX(FmtCansPerPack,MATCH(F2731,FmtName,0))</f>
        <v/>
      </c>
      <c r="U2731" s="47">
        <f>INDEX(ChBaseCP,MATCH(E2731,ChName,0))*(1+INDEX(ProvMod,MATCH(G2731,ProvCode,0)))*(1+PriceIndex)</f>
        <v/>
      </c>
      <c r="V2731" s="47">
        <f>R2731*U2731*INDEX(FmtBlendedPriceIdx,MATCH(F2731,FmtName,0))</f>
        <v/>
      </c>
      <c r="W2731" s="47">
        <f>T2731*INDEX(ProvSRP,MATCH(G2731,ProvCode,0))*(1+PriceIndex)</f>
        <v/>
      </c>
      <c r="X2731" s="47">
        <f>IF(GrossBasis="Wholesale",V2731,W2731)</f>
        <v/>
      </c>
      <c r="Y2731" s="47">
        <f>R2731*INDEX(FmtBlendedCogs,MATCH(F2731,FmtName,0))</f>
        <v/>
      </c>
      <c r="Z2731" s="47">
        <f>X2731-Y2731</f>
        <v/>
      </c>
    </row>
    <row r="2732">
      <c r="A2732" t="n">
        <v>28</v>
      </c>
      <c r="B2732" s="44">
        <f>FiscalStart+(A2732-1)*7</f>
        <v/>
      </c>
      <c r="C2732">
        <f>TEXT(B2732,"mmm yyyy")</f>
        <v/>
      </c>
      <c r="D2732">
        <f>"Q"&amp;(INT((A2732-1)/13)+1)</f>
        <v/>
      </c>
      <c r="E2732" t="inlineStr">
        <is>
          <t>Specialty</t>
        </is>
      </c>
      <c r="F2732">
        <f>IFERROR(INDEX(ChFormat,MATCH(E2732,ChName,0)),"")</f>
        <v/>
      </c>
      <c r="G2732" t="inlineStr">
        <is>
          <t>AB</t>
        </is>
      </c>
      <c r="H2732">
        <f>IF(A2732&lt;=NWeeks,1,0)</f>
        <v/>
      </c>
      <c r="I2732">
        <f>INDEX(ChLaunch,MATCH(E2732,ChName,0))</f>
        <v/>
      </c>
      <c r="J2732">
        <f>INDEX(ChWeeksFull,MATCH(E2732,ChName,0))</f>
        <v/>
      </c>
      <c r="K2732">
        <f>INDEX(ChRamp,MATCH(E2732,ChName,0))</f>
        <v/>
      </c>
      <c r="L2732" s="45">
        <f>MIN(1,MAX(0,(A2732-I2732+1)*RampSpeed/J2732))</f>
        <v/>
      </c>
      <c r="M2732" s="45">
        <f>IF(A2732&lt;I2732,0,IF(K2732="S-curve",L2732*L2732*(3-2*L2732),L2732))</f>
        <v/>
      </c>
      <c r="N2732" s="45">
        <f>1+(INDEX(SeasonIdx,A2732)-1)*SeasonAmp</f>
        <v/>
      </c>
      <c r="O2732" s="45">
        <f>IFERROR(INDEX(PSPct,MATCH(E2732&amp;"|"&amp;G2732,PSKey,0)),0)</f>
        <v/>
      </c>
      <c r="P2732" s="46">
        <f>INDEX(ChDoorVel,MATCH(E2732,ChName,0))*CalibScalar*(1+VelocityUplift)</f>
        <v/>
      </c>
      <c r="Q2732" s="46" t="n">
        <v>0</v>
      </c>
      <c r="R2732" s="46">
        <f>P2732*O2732*M2732*N2732*H2732</f>
        <v/>
      </c>
      <c r="S2732" s="46">
        <f>R2732*INDEX(FmtCansPerCase,MATCH(F2732,FmtName,0))</f>
        <v/>
      </c>
      <c r="T2732" s="46">
        <f>S2732/INDEX(FmtCansPerPack,MATCH(F2732,FmtName,0))</f>
        <v/>
      </c>
      <c r="U2732" s="47">
        <f>INDEX(ChBaseCP,MATCH(E2732,ChName,0))*(1+INDEX(ProvMod,MATCH(G2732,ProvCode,0)))*(1+PriceIndex)</f>
        <v/>
      </c>
      <c r="V2732" s="47">
        <f>R2732*U2732*INDEX(FmtBlendedPriceIdx,MATCH(F2732,FmtName,0))</f>
        <v/>
      </c>
      <c r="W2732" s="47">
        <f>T2732*INDEX(ProvSRP,MATCH(G2732,ProvCode,0))*(1+PriceIndex)</f>
        <v/>
      </c>
      <c r="X2732" s="47">
        <f>IF(GrossBasis="Wholesale",V2732,W2732)</f>
        <v/>
      </c>
      <c r="Y2732" s="47">
        <f>R2732*INDEX(FmtBlendedCogs,MATCH(F2732,FmtName,0))</f>
        <v/>
      </c>
      <c r="Z2732" s="47">
        <f>X2732-Y2732</f>
        <v/>
      </c>
    </row>
    <row r="2733">
      <c r="A2733" t="n">
        <v>29</v>
      </c>
      <c r="B2733" s="44">
        <f>FiscalStart+(A2733-1)*7</f>
        <v/>
      </c>
      <c r="C2733">
        <f>TEXT(B2733,"mmm yyyy")</f>
        <v/>
      </c>
      <c r="D2733">
        <f>"Q"&amp;(INT((A2733-1)/13)+1)</f>
        <v/>
      </c>
      <c r="E2733" t="inlineStr">
        <is>
          <t>Specialty</t>
        </is>
      </c>
      <c r="F2733">
        <f>IFERROR(INDEX(ChFormat,MATCH(E2733,ChName,0)),"")</f>
        <v/>
      </c>
      <c r="G2733" t="inlineStr">
        <is>
          <t>AB</t>
        </is>
      </c>
      <c r="H2733">
        <f>IF(A2733&lt;=NWeeks,1,0)</f>
        <v/>
      </c>
      <c r="I2733">
        <f>INDEX(ChLaunch,MATCH(E2733,ChName,0))</f>
        <v/>
      </c>
      <c r="J2733">
        <f>INDEX(ChWeeksFull,MATCH(E2733,ChName,0))</f>
        <v/>
      </c>
      <c r="K2733">
        <f>INDEX(ChRamp,MATCH(E2733,ChName,0))</f>
        <v/>
      </c>
      <c r="L2733" s="45">
        <f>MIN(1,MAX(0,(A2733-I2733+1)*RampSpeed/J2733))</f>
        <v/>
      </c>
      <c r="M2733" s="45">
        <f>IF(A2733&lt;I2733,0,IF(K2733="S-curve",L2733*L2733*(3-2*L2733),L2733))</f>
        <v/>
      </c>
      <c r="N2733" s="45">
        <f>1+(INDEX(SeasonIdx,A2733)-1)*SeasonAmp</f>
        <v/>
      </c>
      <c r="O2733" s="45">
        <f>IFERROR(INDEX(PSPct,MATCH(E2733&amp;"|"&amp;G2733,PSKey,0)),0)</f>
        <v/>
      </c>
      <c r="P2733" s="46">
        <f>INDEX(ChDoorVel,MATCH(E2733,ChName,0))*CalibScalar*(1+VelocityUplift)</f>
        <v/>
      </c>
      <c r="Q2733" s="46" t="n">
        <v>0</v>
      </c>
      <c r="R2733" s="46">
        <f>P2733*O2733*M2733*N2733*H2733</f>
        <v/>
      </c>
      <c r="S2733" s="46">
        <f>R2733*INDEX(FmtCansPerCase,MATCH(F2733,FmtName,0))</f>
        <v/>
      </c>
      <c r="T2733" s="46">
        <f>S2733/INDEX(FmtCansPerPack,MATCH(F2733,FmtName,0))</f>
        <v/>
      </c>
      <c r="U2733" s="47">
        <f>INDEX(ChBaseCP,MATCH(E2733,ChName,0))*(1+INDEX(ProvMod,MATCH(G2733,ProvCode,0)))*(1+PriceIndex)</f>
        <v/>
      </c>
      <c r="V2733" s="47">
        <f>R2733*U2733*INDEX(FmtBlendedPriceIdx,MATCH(F2733,FmtName,0))</f>
        <v/>
      </c>
      <c r="W2733" s="47">
        <f>T2733*INDEX(ProvSRP,MATCH(G2733,ProvCode,0))*(1+PriceIndex)</f>
        <v/>
      </c>
      <c r="X2733" s="47">
        <f>IF(GrossBasis="Wholesale",V2733,W2733)</f>
        <v/>
      </c>
      <c r="Y2733" s="47">
        <f>R2733*INDEX(FmtBlendedCogs,MATCH(F2733,FmtName,0))</f>
        <v/>
      </c>
      <c r="Z2733" s="47">
        <f>X2733-Y2733</f>
        <v/>
      </c>
    </row>
    <row r="2734">
      <c r="A2734" t="n">
        <v>30</v>
      </c>
      <c r="B2734" s="44">
        <f>FiscalStart+(A2734-1)*7</f>
        <v/>
      </c>
      <c r="C2734">
        <f>TEXT(B2734,"mmm yyyy")</f>
        <v/>
      </c>
      <c r="D2734">
        <f>"Q"&amp;(INT((A2734-1)/13)+1)</f>
        <v/>
      </c>
      <c r="E2734" t="inlineStr">
        <is>
          <t>Specialty</t>
        </is>
      </c>
      <c r="F2734">
        <f>IFERROR(INDEX(ChFormat,MATCH(E2734,ChName,0)),"")</f>
        <v/>
      </c>
      <c r="G2734" t="inlineStr">
        <is>
          <t>AB</t>
        </is>
      </c>
      <c r="H2734">
        <f>IF(A2734&lt;=NWeeks,1,0)</f>
        <v/>
      </c>
      <c r="I2734">
        <f>INDEX(ChLaunch,MATCH(E2734,ChName,0))</f>
        <v/>
      </c>
      <c r="J2734">
        <f>INDEX(ChWeeksFull,MATCH(E2734,ChName,0))</f>
        <v/>
      </c>
      <c r="K2734">
        <f>INDEX(ChRamp,MATCH(E2734,ChName,0))</f>
        <v/>
      </c>
      <c r="L2734" s="45">
        <f>MIN(1,MAX(0,(A2734-I2734+1)*RampSpeed/J2734))</f>
        <v/>
      </c>
      <c r="M2734" s="45">
        <f>IF(A2734&lt;I2734,0,IF(K2734="S-curve",L2734*L2734*(3-2*L2734),L2734))</f>
        <v/>
      </c>
      <c r="N2734" s="45">
        <f>1+(INDEX(SeasonIdx,A2734)-1)*SeasonAmp</f>
        <v/>
      </c>
      <c r="O2734" s="45">
        <f>IFERROR(INDEX(PSPct,MATCH(E2734&amp;"|"&amp;G2734,PSKey,0)),0)</f>
        <v/>
      </c>
      <c r="P2734" s="46">
        <f>INDEX(ChDoorVel,MATCH(E2734,ChName,0))*CalibScalar*(1+VelocityUplift)</f>
        <v/>
      </c>
      <c r="Q2734" s="46" t="n">
        <v>0</v>
      </c>
      <c r="R2734" s="46">
        <f>P2734*O2734*M2734*N2734*H2734</f>
        <v/>
      </c>
      <c r="S2734" s="46">
        <f>R2734*INDEX(FmtCansPerCase,MATCH(F2734,FmtName,0))</f>
        <v/>
      </c>
      <c r="T2734" s="46">
        <f>S2734/INDEX(FmtCansPerPack,MATCH(F2734,FmtName,0))</f>
        <v/>
      </c>
      <c r="U2734" s="47">
        <f>INDEX(ChBaseCP,MATCH(E2734,ChName,0))*(1+INDEX(ProvMod,MATCH(G2734,ProvCode,0)))*(1+PriceIndex)</f>
        <v/>
      </c>
      <c r="V2734" s="47">
        <f>R2734*U2734*INDEX(FmtBlendedPriceIdx,MATCH(F2734,FmtName,0))</f>
        <v/>
      </c>
      <c r="W2734" s="47">
        <f>T2734*INDEX(ProvSRP,MATCH(G2734,ProvCode,0))*(1+PriceIndex)</f>
        <v/>
      </c>
      <c r="X2734" s="47">
        <f>IF(GrossBasis="Wholesale",V2734,W2734)</f>
        <v/>
      </c>
      <c r="Y2734" s="47">
        <f>R2734*INDEX(FmtBlendedCogs,MATCH(F2734,FmtName,0))</f>
        <v/>
      </c>
      <c r="Z2734" s="47">
        <f>X2734-Y2734</f>
        <v/>
      </c>
    </row>
    <row r="2735">
      <c r="A2735" t="n">
        <v>31</v>
      </c>
      <c r="B2735" s="44">
        <f>FiscalStart+(A2735-1)*7</f>
        <v/>
      </c>
      <c r="C2735">
        <f>TEXT(B2735,"mmm yyyy")</f>
        <v/>
      </c>
      <c r="D2735">
        <f>"Q"&amp;(INT((A2735-1)/13)+1)</f>
        <v/>
      </c>
      <c r="E2735" t="inlineStr">
        <is>
          <t>Specialty</t>
        </is>
      </c>
      <c r="F2735">
        <f>IFERROR(INDEX(ChFormat,MATCH(E2735,ChName,0)),"")</f>
        <v/>
      </c>
      <c r="G2735" t="inlineStr">
        <is>
          <t>AB</t>
        </is>
      </c>
      <c r="H2735">
        <f>IF(A2735&lt;=NWeeks,1,0)</f>
        <v/>
      </c>
      <c r="I2735">
        <f>INDEX(ChLaunch,MATCH(E2735,ChName,0))</f>
        <v/>
      </c>
      <c r="J2735">
        <f>INDEX(ChWeeksFull,MATCH(E2735,ChName,0))</f>
        <v/>
      </c>
      <c r="K2735">
        <f>INDEX(ChRamp,MATCH(E2735,ChName,0))</f>
        <v/>
      </c>
      <c r="L2735" s="45">
        <f>MIN(1,MAX(0,(A2735-I2735+1)*RampSpeed/J2735))</f>
        <v/>
      </c>
      <c r="M2735" s="45">
        <f>IF(A2735&lt;I2735,0,IF(K2735="S-curve",L2735*L2735*(3-2*L2735),L2735))</f>
        <v/>
      </c>
      <c r="N2735" s="45">
        <f>1+(INDEX(SeasonIdx,A2735)-1)*SeasonAmp</f>
        <v/>
      </c>
      <c r="O2735" s="45">
        <f>IFERROR(INDEX(PSPct,MATCH(E2735&amp;"|"&amp;G2735,PSKey,0)),0)</f>
        <v/>
      </c>
      <c r="P2735" s="46">
        <f>INDEX(ChDoorVel,MATCH(E2735,ChName,0))*CalibScalar*(1+VelocityUplift)</f>
        <v/>
      </c>
      <c r="Q2735" s="46" t="n">
        <v>0</v>
      </c>
      <c r="R2735" s="46">
        <f>P2735*O2735*M2735*N2735*H2735</f>
        <v/>
      </c>
      <c r="S2735" s="46">
        <f>R2735*INDEX(FmtCansPerCase,MATCH(F2735,FmtName,0))</f>
        <v/>
      </c>
      <c r="T2735" s="46">
        <f>S2735/INDEX(FmtCansPerPack,MATCH(F2735,FmtName,0))</f>
        <v/>
      </c>
      <c r="U2735" s="47">
        <f>INDEX(ChBaseCP,MATCH(E2735,ChName,0))*(1+INDEX(ProvMod,MATCH(G2735,ProvCode,0)))*(1+PriceIndex)</f>
        <v/>
      </c>
      <c r="V2735" s="47">
        <f>R2735*U2735*INDEX(FmtBlendedPriceIdx,MATCH(F2735,FmtName,0))</f>
        <v/>
      </c>
      <c r="W2735" s="47">
        <f>T2735*INDEX(ProvSRP,MATCH(G2735,ProvCode,0))*(1+PriceIndex)</f>
        <v/>
      </c>
      <c r="X2735" s="47">
        <f>IF(GrossBasis="Wholesale",V2735,W2735)</f>
        <v/>
      </c>
      <c r="Y2735" s="47">
        <f>R2735*INDEX(FmtBlendedCogs,MATCH(F2735,FmtName,0))</f>
        <v/>
      </c>
      <c r="Z2735" s="47">
        <f>X2735-Y2735</f>
        <v/>
      </c>
    </row>
    <row r="2736">
      <c r="A2736" t="n">
        <v>32</v>
      </c>
      <c r="B2736" s="44">
        <f>FiscalStart+(A2736-1)*7</f>
        <v/>
      </c>
      <c r="C2736">
        <f>TEXT(B2736,"mmm yyyy")</f>
        <v/>
      </c>
      <c r="D2736">
        <f>"Q"&amp;(INT((A2736-1)/13)+1)</f>
        <v/>
      </c>
      <c r="E2736" t="inlineStr">
        <is>
          <t>Specialty</t>
        </is>
      </c>
      <c r="F2736">
        <f>IFERROR(INDEX(ChFormat,MATCH(E2736,ChName,0)),"")</f>
        <v/>
      </c>
      <c r="G2736" t="inlineStr">
        <is>
          <t>AB</t>
        </is>
      </c>
      <c r="H2736">
        <f>IF(A2736&lt;=NWeeks,1,0)</f>
        <v/>
      </c>
      <c r="I2736">
        <f>INDEX(ChLaunch,MATCH(E2736,ChName,0))</f>
        <v/>
      </c>
      <c r="J2736">
        <f>INDEX(ChWeeksFull,MATCH(E2736,ChName,0))</f>
        <v/>
      </c>
      <c r="K2736">
        <f>INDEX(ChRamp,MATCH(E2736,ChName,0))</f>
        <v/>
      </c>
      <c r="L2736" s="45">
        <f>MIN(1,MAX(0,(A2736-I2736+1)*RampSpeed/J2736))</f>
        <v/>
      </c>
      <c r="M2736" s="45">
        <f>IF(A2736&lt;I2736,0,IF(K2736="S-curve",L2736*L2736*(3-2*L2736),L2736))</f>
        <v/>
      </c>
      <c r="N2736" s="45">
        <f>1+(INDEX(SeasonIdx,A2736)-1)*SeasonAmp</f>
        <v/>
      </c>
      <c r="O2736" s="45">
        <f>IFERROR(INDEX(PSPct,MATCH(E2736&amp;"|"&amp;G2736,PSKey,0)),0)</f>
        <v/>
      </c>
      <c r="P2736" s="46">
        <f>INDEX(ChDoorVel,MATCH(E2736,ChName,0))*CalibScalar*(1+VelocityUplift)</f>
        <v/>
      </c>
      <c r="Q2736" s="46" t="n">
        <v>0</v>
      </c>
      <c r="R2736" s="46">
        <f>P2736*O2736*M2736*N2736*H2736</f>
        <v/>
      </c>
      <c r="S2736" s="46">
        <f>R2736*INDEX(FmtCansPerCase,MATCH(F2736,FmtName,0))</f>
        <v/>
      </c>
      <c r="T2736" s="46">
        <f>S2736/INDEX(FmtCansPerPack,MATCH(F2736,FmtName,0))</f>
        <v/>
      </c>
      <c r="U2736" s="47">
        <f>INDEX(ChBaseCP,MATCH(E2736,ChName,0))*(1+INDEX(ProvMod,MATCH(G2736,ProvCode,0)))*(1+PriceIndex)</f>
        <v/>
      </c>
      <c r="V2736" s="47">
        <f>R2736*U2736*INDEX(FmtBlendedPriceIdx,MATCH(F2736,FmtName,0))</f>
        <v/>
      </c>
      <c r="W2736" s="47">
        <f>T2736*INDEX(ProvSRP,MATCH(G2736,ProvCode,0))*(1+PriceIndex)</f>
        <v/>
      </c>
      <c r="X2736" s="47">
        <f>IF(GrossBasis="Wholesale",V2736,W2736)</f>
        <v/>
      </c>
      <c r="Y2736" s="47">
        <f>R2736*INDEX(FmtBlendedCogs,MATCH(F2736,FmtName,0))</f>
        <v/>
      </c>
      <c r="Z2736" s="47">
        <f>X2736-Y2736</f>
        <v/>
      </c>
    </row>
    <row r="2737">
      <c r="A2737" t="n">
        <v>33</v>
      </c>
      <c r="B2737" s="44">
        <f>FiscalStart+(A2737-1)*7</f>
        <v/>
      </c>
      <c r="C2737">
        <f>TEXT(B2737,"mmm yyyy")</f>
        <v/>
      </c>
      <c r="D2737">
        <f>"Q"&amp;(INT((A2737-1)/13)+1)</f>
        <v/>
      </c>
      <c r="E2737" t="inlineStr">
        <is>
          <t>Specialty</t>
        </is>
      </c>
      <c r="F2737">
        <f>IFERROR(INDEX(ChFormat,MATCH(E2737,ChName,0)),"")</f>
        <v/>
      </c>
      <c r="G2737" t="inlineStr">
        <is>
          <t>AB</t>
        </is>
      </c>
      <c r="H2737">
        <f>IF(A2737&lt;=NWeeks,1,0)</f>
        <v/>
      </c>
      <c r="I2737">
        <f>INDEX(ChLaunch,MATCH(E2737,ChName,0))</f>
        <v/>
      </c>
      <c r="J2737">
        <f>INDEX(ChWeeksFull,MATCH(E2737,ChName,0))</f>
        <v/>
      </c>
      <c r="K2737">
        <f>INDEX(ChRamp,MATCH(E2737,ChName,0))</f>
        <v/>
      </c>
      <c r="L2737" s="45">
        <f>MIN(1,MAX(0,(A2737-I2737+1)*RampSpeed/J2737))</f>
        <v/>
      </c>
      <c r="M2737" s="45">
        <f>IF(A2737&lt;I2737,0,IF(K2737="S-curve",L2737*L2737*(3-2*L2737),L2737))</f>
        <v/>
      </c>
      <c r="N2737" s="45">
        <f>1+(INDEX(SeasonIdx,A2737)-1)*SeasonAmp</f>
        <v/>
      </c>
      <c r="O2737" s="45">
        <f>IFERROR(INDEX(PSPct,MATCH(E2737&amp;"|"&amp;G2737,PSKey,0)),0)</f>
        <v/>
      </c>
      <c r="P2737" s="46">
        <f>INDEX(ChDoorVel,MATCH(E2737,ChName,0))*CalibScalar*(1+VelocityUplift)</f>
        <v/>
      </c>
      <c r="Q2737" s="46" t="n">
        <v>0</v>
      </c>
      <c r="R2737" s="46">
        <f>P2737*O2737*M2737*N2737*H2737</f>
        <v/>
      </c>
      <c r="S2737" s="46">
        <f>R2737*INDEX(FmtCansPerCase,MATCH(F2737,FmtName,0))</f>
        <v/>
      </c>
      <c r="T2737" s="46">
        <f>S2737/INDEX(FmtCansPerPack,MATCH(F2737,FmtName,0))</f>
        <v/>
      </c>
      <c r="U2737" s="47">
        <f>INDEX(ChBaseCP,MATCH(E2737,ChName,0))*(1+INDEX(ProvMod,MATCH(G2737,ProvCode,0)))*(1+PriceIndex)</f>
        <v/>
      </c>
      <c r="V2737" s="47">
        <f>R2737*U2737*INDEX(FmtBlendedPriceIdx,MATCH(F2737,FmtName,0))</f>
        <v/>
      </c>
      <c r="W2737" s="47">
        <f>T2737*INDEX(ProvSRP,MATCH(G2737,ProvCode,0))*(1+PriceIndex)</f>
        <v/>
      </c>
      <c r="X2737" s="47">
        <f>IF(GrossBasis="Wholesale",V2737,W2737)</f>
        <v/>
      </c>
      <c r="Y2737" s="47">
        <f>R2737*INDEX(FmtBlendedCogs,MATCH(F2737,FmtName,0))</f>
        <v/>
      </c>
      <c r="Z2737" s="47">
        <f>X2737-Y2737</f>
        <v/>
      </c>
    </row>
    <row r="2738">
      <c r="A2738" t="n">
        <v>34</v>
      </c>
      <c r="B2738" s="44">
        <f>FiscalStart+(A2738-1)*7</f>
        <v/>
      </c>
      <c r="C2738">
        <f>TEXT(B2738,"mmm yyyy")</f>
        <v/>
      </c>
      <c r="D2738">
        <f>"Q"&amp;(INT((A2738-1)/13)+1)</f>
        <v/>
      </c>
      <c r="E2738" t="inlineStr">
        <is>
          <t>Specialty</t>
        </is>
      </c>
      <c r="F2738">
        <f>IFERROR(INDEX(ChFormat,MATCH(E2738,ChName,0)),"")</f>
        <v/>
      </c>
      <c r="G2738" t="inlineStr">
        <is>
          <t>AB</t>
        </is>
      </c>
      <c r="H2738">
        <f>IF(A2738&lt;=NWeeks,1,0)</f>
        <v/>
      </c>
      <c r="I2738">
        <f>INDEX(ChLaunch,MATCH(E2738,ChName,0))</f>
        <v/>
      </c>
      <c r="J2738">
        <f>INDEX(ChWeeksFull,MATCH(E2738,ChName,0))</f>
        <v/>
      </c>
      <c r="K2738">
        <f>INDEX(ChRamp,MATCH(E2738,ChName,0))</f>
        <v/>
      </c>
      <c r="L2738" s="45">
        <f>MIN(1,MAX(0,(A2738-I2738+1)*RampSpeed/J2738))</f>
        <v/>
      </c>
      <c r="M2738" s="45">
        <f>IF(A2738&lt;I2738,0,IF(K2738="S-curve",L2738*L2738*(3-2*L2738),L2738))</f>
        <v/>
      </c>
      <c r="N2738" s="45">
        <f>1+(INDEX(SeasonIdx,A2738)-1)*SeasonAmp</f>
        <v/>
      </c>
      <c r="O2738" s="45">
        <f>IFERROR(INDEX(PSPct,MATCH(E2738&amp;"|"&amp;G2738,PSKey,0)),0)</f>
        <v/>
      </c>
      <c r="P2738" s="46">
        <f>INDEX(ChDoorVel,MATCH(E2738,ChName,0))*CalibScalar*(1+VelocityUplift)</f>
        <v/>
      </c>
      <c r="Q2738" s="46" t="n">
        <v>0</v>
      </c>
      <c r="R2738" s="46">
        <f>P2738*O2738*M2738*N2738*H2738</f>
        <v/>
      </c>
      <c r="S2738" s="46">
        <f>R2738*INDEX(FmtCansPerCase,MATCH(F2738,FmtName,0))</f>
        <v/>
      </c>
      <c r="T2738" s="46">
        <f>S2738/INDEX(FmtCansPerPack,MATCH(F2738,FmtName,0))</f>
        <v/>
      </c>
      <c r="U2738" s="47">
        <f>INDEX(ChBaseCP,MATCH(E2738,ChName,0))*(1+INDEX(ProvMod,MATCH(G2738,ProvCode,0)))*(1+PriceIndex)</f>
        <v/>
      </c>
      <c r="V2738" s="47">
        <f>R2738*U2738*INDEX(FmtBlendedPriceIdx,MATCH(F2738,FmtName,0))</f>
        <v/>
      </c>
      <c r="W2738" s="47">
        <f>T2738*INDEX(ProvSRP,MATCH(G2738,ProvCode,0))*(1+PriceIndex)</f>
        <v/>
      </c>
      <c r="X2738" s="47">
        <f>IF(GrossBasis="Wholesale",V2738,W2738)</f>
        <v/>
      </c>
      <c r="Y2738" s="47">
        <f>R2738*INDEX(FmtBlendedCogs,MATCH(F2738,FmtName,0))</f>
        <v/>
      </c>
      <c r="Z2738" s="47">
        <f>X2738-Y2738</f>
        <v/>
      </c>
    </row>
    <row r="2739">
      <c r="A2739" t="n">
        <v>35</v>
      </c>
      <c r="B2739" s="44">
        <f>FiscalStart+(A2739-1)*7</f>
        <v/>
      </c>
      <c r="C2739">
        <f>TEXT(B2739,"mmm yyyy")</f>
        <v/>
      </c>
      <c r="D2739">
        <f>"Q"&amp;(INT((A2739-1)/13)+1)</f>
        <v/>
      </c>
      <c r="E2739" t="inlineStr">
        <is>
          <t>Specialty</t>
        </is>
      </c>
      <c r="F2739">
        <f>IFERROR(INDEX(ChFormat,MATCH(E2739,ChName,0)),"")</f>
        <v/>
      </c>
      <c r="G2739" t="inlineStr">
        <is>
          <t>AB</t>
        </is>
      </c>
      <c r="H2739">
        <f>IF(A2739&lt;=NWeeks,1,0)</f>
        <v/>
      </c>
      <c r="I2739">
        <f>INDEX(ChLaunch,MATCH(E2739,ChName,0))</f>
        <v/>
      </c>
      <c r="J2739">
        <f>INDEX(ChWeeksFull,MATCH(E2739,ChName,0))</f>
        <v/>
      </c>
      <c r="K2739">
        <f>INDEX(ChRamp,MATCH(E2739,ChName,0))</f>
        <v/>
      </c>
      <c r="L2739" s="45">
        <f>MIN(1,MAX(0,(A2739-I2739+1)*RampSpeed/J2739))</f>
        <v/>
      </c>
      <c r="M2739" s="45">
        <f>IF(A2739&lt;I2739,0,IF(K2739="S-curve",L2739*L2739*(3-2*L2739),L2739))</f>
        <v/>
      </c>
      <c r="N2739" s="45">
        <f>1+(INDEX(SeasonIdx,A2739)-1)*SeasonAmp</f>
        <v/>
      </c>
      <c r="O2739" s="45">
        <f>IFERROR(INDEX(PSPct,MATCH(E2739&amp;"|"&amp;G2739,PSKey,0)),0)</f>
        <v/>
      </c>
      <c r="P2739" s="46">
        <f>INDEX(ChDoorVel,MATCH(E2739,ChName,0))*CalibScalar*(1+VelocityUplift)</f>
        <v/>
      </c>
      <c r="Q2739" s="46" t="n">
        <v>0</v>
      </c>
      <c r="R2739" s="46">
        <f>P2739*O2739*M2739*N2739*H2739</f>
        <v/>
      </c>
      <c r="S2739" s="46">
        <f>R2739*INDEX(FmtCansPerCase,MATCH(F2739,FmtName,0))</f>
        <v/>
      </c>
      <c r="T2739" s="46">
        <f>S2739/INDEX(FmtCansPerPack,MATCH(F2739,FmtName,0))</f>
        <v/>
      </c>
      <c r="U2739" s="47">
        <f>INDEX(ChBaseCP,MATCH(E2739,ChName,0))*(1+INDEX(ProvMod,MATCH(G2739,ProvCode,0)))*(1+PriceIndex)</f>
        <v/>
      </c>
      <c r="V2739" s="47">
        <f>R2739*U2739*INDEX(FmtBlendedPriceIdx,MATCH(F2739,FmtName,0))</f>
        <v/>
      </c>
      <c r="W2739" s="47">
        <f>T2739*INDEX(ProvSRP,MATCH(G2739,ProvCode,0))*(1+PriceIndex)</f>
        <v/>
      </c>
      <c r="X2739" s="47">
        <f>IF(GrossBasis="Wholesale",V2739,W2739)</f>
        <v/>
      </c>
      <c r="Y2739" s="47">
        <f>R2739*INDEX(FmtBlendedCogs,MATCH(F2739,FmtName,0))</f>
        <v/>
      </c>
      <c r="Z2739" s="47">
        <f>X2739-Y2739</f>
        <v/>
      </c>
    </row>
    <row r="2740">
      <c r="A2740" t="n">
        <v>36</v>
      </c>
      <c r="B2740" s="44">
        <f>FiscalStart+(A2740-1)*7</f>
        <v/>
      </c>
      <c r="C2740">
        <f>TEXT(B2740,"mmm yyyy")</f>
        <v/>
      </c>
      <c r="D2740">
        <f>"Q"&amp;(INT((A2740-1)/13)+1)</f>
        <v/>
      </c>
      <c r="E2740" t="inlineStr">
        <is>
          <t>Specialty</t>
        </is>
      </c>
      <c r="F2740">
        <f>IFERROR(INDEX(ChFormat,MATCH(E2740,ChName,0)),"")</f>
        <v/>
      </c>
      <c r="G2740" t="inlineStr">
        <is>
          <t>AB</t>
        </is>
      </c>
      <c r="H2740">
        <f>IF(A2740&lt;=NWeeks,1,0)</f>
        <v/>
      </c>
      <c r="I2740">
        <f>INDEX(ChLaunch,MATCH(E2740,ChName,0))</f>
        <v/>
      </c>
      <c r="J2740">
        <f>INDEX(ChWeeksFull,MATCH(E2740,ChName,0))</f>
        <v/>
      </c>
      <c r="K2740">
        <f>INDEX(ChRamp,MATCH(E2740,ChName,0))</f>
        <v/>
      </c>
      <c r="L2740" s="45">
        <f>MIN(1,MAX(0,(A2740-I2740+1)*RampSpeed/J2740))</f>
        <v/>
      </c>
      <c r="M2740" s="45">
        <f>IF(A2740&lt;I2740,0,IF(K2740="S-curve",L2740*L2740*(3-2*L2740),L2740))</f>
        <v/>
      </c>
      <c r="N2740" s="45">
        <f>1+(INDEX(SeasonIdx,A2740)-1)*SeasonAmp</f>
        <v/>
      </c>
      <c r="O2740" s="45">
        <f>IFERROR(INDEX(PSPct,MATCH(E2740&amp;"|"&amp;G2740,PSKey,0)),0)</f>
        <v/>
      </c>
      <c r="P2740" s="46">
        <f>INDEX(ChDoorVel,MATCH(E2740,ChName,0))*CalibScalar*(1+VelocityUplift)</f>
        <v/>
      </c>
      <c r="Q2740" s="46" t="n">
        <v>0</v>
      </c>
      <c r="R2740" s="46">
        <f>P2740*O2740*M2740*N2740*H2740</f>
        <v/>
      </c>
      <c r="S2740" s="46">
        <f>R2740*INDEX(FmtCansPerCase,MATCH(F2740,FmtName,0))</f>
        <v/>
      </c>
      <c r="T2740" s="46">
        <f>S2740/INDEX(FmtCansPerPack,MATCH(F2740,FmtName,0))</f>
        <v/>
      </c>
      <c r="U2740" s="47">
        <f>INDEX(ChBaseCP,MATCH(E2740,ChName,0))*(1+INDEX(ProvMod,MATCH(G2740,ProvCode,0)))*(1+PriceIndex)</f>
        <v/>
      </c>
      <c r="V2740" s="47">
        <f>R2740*U2740*INDEX(FmtBlendedPriceIdx,MATCH(F2740,FmtName,0))</f>
        <v/>
      </c>
      <c r="W2740" s="47">
        <f>T2740*INDEX(ProvSRP,MATCH(G2740,ProvCode,0))*(1+PriceIndex)</f>
        <v/>
      </c>
      <c r="X2740" s="47">
        <f>IF(GrossBasis="Wholesale",V2740,W2740)</f>
        <v/>
      </c>
      <c r="Y2740" s="47">
        <f>R2740*INDEX(FmtBlendedCogs,MATCH(F2740,FmtName,0))</f>
        <v/>
      </c>
      <c r="Z2740" s="47">
        <f>X2740-Y2740</f>
        <v/>
      </c>
    </row>
    <row r="2741">
      <c r="A2741" t="n">
        <v>37</v>
      </c>
      <c r="B2741" s="44">
        <f>FiscalStart+(A2741-1)*7</f>
        <v/>
      </c>
      <c r="C2741">
        <f>TEXT(B2741,"mmm yyyy")</f>
        <v/>
      </c>
      <c r="D2741">
        <f>"Q"&amp;(INT((A2741-1)/13)+1)</f>
        <v/>
      </c>
      <c r="E2741" t="inlineStr">
        <is>
          <t>Specialty</t>
        </is>
      </c>
      <c r="F2741">
        <f>IFERROR(INDEX(ChFormat,MATCH(E2741,ChName,0)),"")</f>
        <v/>
      </c>
      <c r="G2741" t="inlineStr">
        <is>
          <t>AB</t>
        </is>
      </c>
      <c r="H2741">
        <f>IF(A2741&lt;=NWeeks,1,0)</f>
        <v/>
      </c>
      <c r="I2741">
        <f>INDEX(ChLaunch,MATCH(E2741,ChName,0))</f>
        <v/>
      </c>
      <c r="J2741">
        <f>INDEX(ChWeeksFull,MATCH(E2741,ChName,0))</f>
        <v/>
      </c>
      <c r="K2741">
        <f>INDEX(ChRamp,MATCH(E2741,ChName,0))</f>
        <v/>
      </c>
      <c r="L2741" s="45">
        <f>MIN(1,MAX(0,(A2741-I2741+1)*RampSpeed/J2741))</f>
        <v/>
      </c>
      <c r="M2741" s="45">
        <f>IF(A2741&lt;I2741,0,IF(K2741="S-curve",L2741*L2741*(3-2*L2741),L2741))</f>
        <v/>
      </c>
      <c r="N2741" s="45">
        <f>1+(INDEX(SeasonIdx,A2741)-1)*SeasonAmp</f>
        <v/>
      </c>
      <c r="O2741" s="45">
        <f>IFERROR(INDEX(PSPct,MATCH(E2741&amp;"|"&amp;G2741,PSKey,0)),0)</f>
        <v/>
      </c>
      <c r="P2741" s="46">
        <f>INDEX(ChDoorVel,MATCH(E2741,ChName,0))*CalibScalar*(1+VelocityUplift)</f>
        <v/>
      </c>
      <c r="Q2741" s="46" t="n">
        <v>0</v>
      </c>
      <c r="R2741" s="46">
        <f>P2741*O2741*M2741*N2741*H2741</f>
        <v/>
      </c>
      <c r="S2741" s="46">
        <f>R2741*INDEX(FmtCansPerCase,MATCH(F2741,FmtName,0))</f>
        <v/>
      </c>
      <c r="T2741" s="46">
        <f>S2741/INDEX(FmtCansPerPack,MATCH(F2741,FmtName,0))</f>
        <v/>
      </c>
      <c r="U2741" s="47">
        <f>INDEX(ChBaseCP,MATCH(E2741,ChName,0))*(1+INDEX(ProvMod,MATCH(G2741,ProvCode,0)))*(1+PriceIndex)</f>
        <v/>
      </c>
      <c r="V2741" s="47">
        <f>R2741*U2741*INDEX(FmtBlendedPriceIdx,MATCH(F2741,FmtName,0))</f>
        <v/>
      </c>
      <c r="W2741" s="47">
        <f>T2741*INDEX(ProvSRP,MATCH(G2741,ProvCode,0))*(1+PriceIndex)</f>
        <v/>
      </c>
      <c r="X2741" s="47">
        <f>IF(GrossBasis="Wholesale",V2741,W2741)</f>
        <v/>
      </c>
      <c r="Y2741" s="47">
        <f>R2741*INDEX(FmtBlendedCogs,MATCH(F2741,FmtName,0))</f>
        <v/>
      </c>
      <c r="Z2741" s="47">
        <f>X2741-Y2741</f>
        <v/>
      </c>
    </row>
    <row r="2742">
      <c r="A2742" t="n">
        <v>38</v>
      </c>
      <c r="B2742" s="44">
        <f>FiscalStart+(A2742-1)*7</f>
        <v/>
      </c>
      <c r="C2742">
        <f>TEXT(B2742,"mmm yyyy")</f>
        <v/>
      </c>
      <c r="D2742">
        <f>"Q"&amp;(INT((A2742-1)/13)+1)</f>
        <v/>
      </c>
      <c r="E2742" t="inlineStr">
        <is>
          <t>Specialty</t>
        </is>
      </c>
      <c r="F2742">
        <f>IFERROR(INDEX(ChFormat,MATCH(E2742,ChName,0)),"")</f>
        <v/>
      </c>
      <c r="G2742" t="inlineStr">
        <is>
          <t>AB</t>
        </is>
      </c>
      <c r="H2742">
        <f>IF(A2742&lt;=NWeeks,1,0)</f>
        <v/>
      </c>
      <c r="I2742">
        <f>INDEX(ChLaunch,MATCH(E2742,ChName,0))</f>
        <v/>
      </c>
      <c r="J2742">
        <f>INDEX(ChWeeksFull,MATCH(E2742,ChName,0))</f>
        <v/>
      </c>
      <c r="K2742">
        <f>INDEX(ChRamp,MATCH(E2742,ChName,0))</f>
        <v/>
      </c>
      <c r="L2742" s="45">
        <f>MIN(1,MAX(0,(A2742-I2742+1)*RampSpeed/J2742))</f>
        <v/>
      </c>
      <c r="M2742" s="45">
        <f>IF(A2742&lt;I2742,0,IF(K2742="S-curve",L2742*L2742*(3-2*L2742),L2742))</f>
        <v/>
      </c>
      <c r="N2742" s="45">
        <f>1+(INDEX(SeasonIdx,A2742)-1)*SeasonAmp</f>
        <v/>
      </c>
      <c r="O2742" s="45">
        <f>IFERROR(INDEX(PSPct,MATCH(E2742&amp;"|"&amp;G2742,PSKey,0)),0)</f>
        <v/>
      </c>
      <c r="P2742" s="46">
        <f>INDEX(ChDoorVel,MATCH(E2742,ChName,0))*CalibScalar*(1+VelocityUplift)</f>
        <v/>
      </c>
      <c r="Q2742" s="46" t="n">
        <v>0</v>
      </c>
      <c r="R2742" s="46">
        <f>P2742*O2742*M2742*N2742*H2742</f>
        <v/>
      </c>
      <c r="S2742" s="46">
        <f>R2742*INDEX(FmtCansPerCase,MATCH(F2742,FmtName,0))</f>
        <v/>
      </c>
      <c r="T2742" s="46">
        <f>S2742/INDEX(FmtCansPerPack,MATCH(F2742,FmtName,0))</f>
        <v/>
      </c>
      <c r="U2742" s="47">
        <f>INDEX(ChBaseCP,MATCH(E2742,ChName,0))*(1+INDEX(ProvMod,MATCH(G2742,ProvCode,0)))*(1+PriceIndex)</f>
        <v/>
      </c>
      <c r="V2742" s="47">
        <f>R2742*U2742*INDEX(FmtBlendedPriceIdx,MATCH(F2742,FmtName,0))</f>
        <v/>
      </c>
      <c r="W2742" s="47">
        <f>T2742*INDEX(ProvSRP,MATCH(G2742,ProvCode,0))*(1+PriceIndex)</f>
        <v/>
      </c>
      <c r="X2742" s="47">
        <f>IF(GrossBasis="Wholesale",V2742,W2742)</f>
        <v/>
      </c>
      <c r="Y2742" s="47">
        <f>R2742*INDEX(FmtBlendedCogs,MATCH(F2742,FmtName,0))</f>
        <v/>
      </c>
      <c r="Z2742" s="47">
        <f>X2742-Y2742</f>
        <v/>
      </c>
    </row>
    <row r="2743">
      <c r="A2743" t="n">
        <v>39</v>
      </c>
      <c r="B2743" s="44">
        <f>FiscalStart+(A2743-1)*7</f>
        <v/>
      </c>
      <c r="C2743">
        <f>TEXT(B2743,"mmm yyyy")</f>
        <v/>
      </c>
      <c r="D2743">
        <f>"Q"&amp;(INT((A2743-1)/13)+1)</f>
        <v/>
      </c>
      <c r="E2743" t="inlineStr">
        <is>
          <t>Specialty</t>
        </is>
      </c>
      <c r="F2743">
        <f>IFERROR(INDEX(ChFormat,MATCH(E2743,ChName,0)),"")</f>
        <v/>
      </c>
      <c r="G2743" t="inlineStr">
        <is>
          <t>AB</t>
        </is>
      </c>
      <c r="H2743">
        <f>IF(A2743&lt;=NWeeks,1,0)</f>
        <v/>
      </c>
      <c r="I2743">
        <f>INDEX(ChLaunch,MATCH(E2743,ChName,0))</f>
        <v/>
      </c>
      <c r="J2743">
        <f>INDEX(ChWeeksFull,MATCH(E2743,ChName,0))</f>
        <v/>
      </c>
      <c r="K2743">
        <f>INDEX(ChRamp,MATCH(E2743,ChName,0))</f>
        <v/>
      </c>
      <c r="L2743" s="45">
        <f>MIN(1,MAX(0,(A2743-I2743+1)*RampSpeed/J2743))</f>
        <v/>
      </c>
      <c r="M2743" s="45">
        <f>IF(A2743&lt;I2743,0,IF(K2743="S-curve",L2743*L2743*(3-2*L2743),L2743))</f>
        <v/>
      </c>
      <c r="N2743" s="45">
        <f>1+(INDEX(SeasonIdx,A2743)-1)*SeasonAmp</f>
        <v/>
      </c>
      <c r="O2743" s="45">
        <f>IFERROR(INDEX(PSPct,MATCH(E2743&amp;"|"&amp;G2743,PSKey,0)),0)</f>
        <v/>
      </c>
      <c r="P2743" s="46">
        <f>INDEX(ChDoorVel,MATCH(E2743,ChName,0))*CalibScalar*(1+VelocityUplift)</f>
        <v/>
      </c>
      <c r="Q2743" s="46" t="n">
        <v>0</v>
      </c>
      <c r="R2743" s="46">
        <f>P2743*O2743*M2743*N2743*H2743</f>
        <v/>
      </c>
      <c r="S2743" s="46">
        <f>R2743*INDEX(FmtCansPerCase,MATCH(F2743,FmtName,0))</f>
        <v/>
      </c>
      <c r="T2743" s="46">
        <f>S2743/INDEX(FmtCansPerPack,MATCH(F2743,FmtName,0))</f>
        <v/>
      </c>
      <c r="U2743" s="47">
        <f>INDEX(ChBaseCP,MATCH(E2743,ChName,0))*(1+INDEX(ProvMod,MATCH(G2743,ProvCode,0)))*(1+PriceIndex)</f>
        <v/>
      </c>
      <c r="V2743" s="47">
        <f>R2743*U2743*INDEX(FmtBlendedPriceIdx,MATCH(F2743,FmtName,0))</f>
        <v/>
      </c>
      <c r="W2743" s="47">
        <f>T2743*INDEX(ProvSRP,MATCH(G2743,ProvCode,0))*(1+PriceIndex)</f>
        <v/>
      </c>
      <c r="X2743" s="47">
        <f>IF(GrossBasis="Wholesale",V2743,W2743)</f>
        <v/>
      </c>
      <c r="Y2743" s="47">
        <f>R2743*INDEX(FmtBlendedCogs,MATCH(F2743,FmtName,0))</f>
        <v/>
      </c>
      <c r="Z2743" s="47">
        <f>X2743-Y2743</f>
        <v/>
      </c>
    </row>
    <row r="2744">
      <c r="A2744" t="n">
        <v>40</v>
      </c>
      <c r="B2744" s="44">
        <f>FiscalStart+(A2744-1)*7</f>
        <v/>
      </c>
      <c r="C2744">
        <f>TEXT(B2744,"mmm yyyy")</f>
        <v/>
      </c>
      <c r="D2744">
        <f>"Q"&amp;(INT((A2744-1)/13)+1)</f>
        <v/>
      </c>
      <c r="E2744" t="inlineStr">
        <is>
          <t>Specialty</t>
        </is>
      </c>
      <c r="F2744">
        <f>IFERROR(INDEX(ChFormat,MATCH(E2744,ChName,0)),"")</f>
        <v/>
      </c>
      <c r="G2744" t="inlineStr">
        <is>
          <t>AB</t>
        </is>
      </c>
      <c r="H2744">
        <f>IF(A2744&lt;=NWeeks,1,0)</f>
        <v/>
      </c>
      <c r="I2744">
        <f>INDEX(ChLaunch,MATCH(E2744,ChName,0))</f>
        <v/>
      </c>
      <c r="J2744">
        <f>INDEX(ChWeeksFull,MATCH(E2744,ChName,0))</f>
        <v/>
      </c>
      <c r="K2744">
        <f>INDEX(ChRamp,MATCH(E2744,ChName,0))</f>
        <v/>
      </c>
      <c r="L2744" s="45">
        <f>MIN(1,MAX(0,(A2744-I2744+1)*RampSpeed/J2744))</f>
        <v/>
      </c>
      <c r="M2744" s="45">
        <f>IF(A2744&lt;I2744,0,IF(K2744="S-curve",L2744*L2744*(3-2*L2744),L2744))</f>
        <v/>
      </c>
      <c r="N2744" s="45">
        <f>1+(INDEX(SeasonIdx,A2744)-1)*SeasonAmp</f>
        <v/>
      </c>
      <c r="O2744" s="45">
        <f>IFERROR(INDEX(PSPct,MATCH(E2744&amp;"|"&amp;G2744,PSKey,0)),0)</f>
        <v/>
      </c>
      <c r="P2744" s="46">
        <f>INDEX(ChDoorVel,MATCH(E2744,ChName,0))*CalibScalar*(1+VelocityUplift)</f>
        <v/>
      </c>
      <c r="Q2744" s="46" t="n">
        <v>0</v>
      </c>
      <c r="R2744" s="46">
        <f>P2744*O2744*M2744*N2744*H2744</f>
        <v/>
      </c>
      <c r="S2744" s="46">
        <f>R2744*INDEX(FmtCansPerCase,MATCH(F2744,FmtName,0))</f>
        <v/>
      </c>
      <c r="T2744" s="46">
        <f>S2744/INDEX(FmtCansPerPack,MATCH(F2744,FmtName,0))</f>
        <v/>
      </c>
      <c r="U2744" s="47">
        <f>INDEX(ChBaseCP,MATCH(E2744,ChName,0))*(1+INDEX(ProvMod,MATCH(G2744,ProvCode,0)))*(1+PriceIndex)</f>
        <v/>
      </c>
      <c r="V2744" s="47">
        <f>R2744*U2744*INDEX(FmtBlendedPriceIdx,MATCH(F2744,FmtName,0))</f>
        <v/>
      </c>
      <c r="W2744" s="47">
        <f>T2744*INDEX(ProvSRP,MATCH(G2744,ProvCode,0))*(1+PriceIndex)</f>
        <v/>
      </c>
      <c r="X2744" s="47">
        <f>IF(GrossBasis="Wholesale",V2744,W2744)</f>
        <v/>
      </c>
      <c r="Y2744" s="47">
        <f>R2744*INDEX(FmtBlendedCogs,MATCH(F2744,FmtName,0))</f>
        <v/>
      </c>
      <c r="Z2744" s="47">
        <f>X2744-Y2744</f>
        <v/>
      </c>
    </row>
    <row r="2745">
      <c r="A2745" t="n">
        <v>41</v>
      </c>
      <c r="B2745" s="44">
        <f>FiscalStart+(A2745-1)*7</f>
        <v/>
      </c>
      <c r="C2745">
        <f>TEXT(B2745,"mmm yyyy")</f>
        <v/>
      </c>
      <c r="D2745">
        <f>"Q"&amp;(INT((A2745-1)/13)+1)</f>
        <v/>
      </c>
      <c r="E2745" t="inlineStr">
        <is>
          <t>Specialty</t>
        </is>
      </c>
      <c r="F2745">
        <f>IFERROR(INDEX(ChFormat,MATCH(E2745,ChName,0)),"")</f>
        <v/>
      </c>
      <c r="G2745" t="inlineStr">
        <is>
          <t>AB</t>
        </is>
      </c>
      <c r="H2745">
        <f>IF(A2745&lt;=NWeeks,1,0)</f>
        <v/>
      </c>
      <c r="I2745">
        <f>INDEX(ChLaunch,MATCH(E2745,ChName,0))</f>
        <v/>
      </c>
      <c r="J2745">
        <f>INDEX(ChWeeksFull,MATCH(E2745,ChName,0))</f>
        <v/>
      </c>
      <c r="K2745">
        <f>INDEX(ChRamp,MATCH(E2745,ChName,0))</f>
        <v/>
      </c>
      <c r="L2745" s="45">
        <f>MIN(1,MAX(0,(A2745-I2745+1)*RampSpeed/J2745))</f>
        <v/>
      </c>
      <c r="M2745" s="45">
        <f>IF(A2745&lt;I2745,0,IF(K2745="S-curve",L2745*L2745*(3-2*L2745),L2745))</f>
        <v/>
      </c>
      <c r="N2745" s="45">
        <f>1+(INDEX(SeasonIdx,A2745)-1)*SeasonAmp</f>
        <v/>
      </c>
      <c r="O2745" s="45">
        <f>IFERROR(INDEX(PSPct,MATCH(E2745&amp;"|"&amp;G2745,PSKey,0)),0)</f>
        <v/>
      </c>
      <c r="P2745" s="46">
        <f>INDEX(ChDoorVel,MATCH(E2745,ChName,0))*CalibScalar*(1+VelocityUplift)</f>
        <v/>
      </c>
      <c r="Q2745" s="46" t="n">
        <v>0</v>
      </c>
      <c r="R2745" s="46">
        <f>P2745*O2745*M2745*N2745*H2745</f>
        <v/>
      </c>
      <c r="S2745" s="46">
        <f>R2745*INDEX(FmtCansPerCase,MATCH(F2745,FmtName,0))</f>
        <v/>
      </c>
      <c r="T2745" s="46">
        <f>S2745/INDEX(FmtCansPerPack,MATCH(F2745,FmtName,0))</f>
        <v/>
      </c>
      <c r="U2745" s="47">
        <f>INDEX(ChBaseCP,MATCH(E2745,ChName,0))*(1+INDEX(ProvMod,MATCH(G2745,ProvCode,0)))*(1+PriceIndex)</f>
        <v/>
      </c>
      <c r="V2745" s="47">
        <f>R2745*U2745*INDEX(FmtBlendedPriceIdx,MATCH(F2745,FmtName,0))</f>
        <v/>
      </c>
      <c r="W2745" s="47">
        <f>T2745*INDEX(ProvSRP,MATCH(G2745,ProvCode,0))*(1+PriceIndex)</f>
        <v/>
      </c>
      <c r="X2745" s="47">
        <f>IF(GrossBasis="Wholesale",V2745,W2745)</f>
        <v/>
      </c>
      <c r="Y2745" s="47">
        <f>R2745*INDEX(FmtBlendedCogs,MATCH(F2745,FmtName,0))</f>
        <v/>
      </c>
      <c r="Z2745" s="47">
        <f>X2745-Y2745</f>
        <v/>
      </c>
    </row>
    <row r="2746">
      <c r="A2746" t="n">
        <v>42</v>
      </c>
      <c r="B2746" s="44">
        <f>FiscalStart+(A2746-1)*7</f>
        <v/>
      </c>
      <c r="C2746">
        <f>TEXT(B2746,"mmm yyyy")</f>
        <v/>
      </c>
      <c r="D2746">
        <f>"Q"&amp;(INT((A2746-1)/13)+1)</f>
        <v/>
      </c>
      <c r="E2746" t="inlineStr">
        <is>
          <t>Specialty</t>
        </is>
      </c>
      <c r="F2746">
        <f>IFERROR(INDEX(ChFormat,MATCH(E2746,ChName,0)),"")</f>
        <v/>
      </c>
      <c r="G2746" t="inlineStr">
        <is>
          <t>AB</t>
        </is>
      </c>
      <c r="H2746">
        <f>IF(A2746&lt;=NWeeks,1,0)</f>
        <v/>
      </c>
      <c r="I2746">
        <f>INDEX(ChLaunch,MATCH(E2746,ChName,0))</f>
        <v/>
      </c>
      <c r="J2746">
        <f>INDEX(ChWeeksFull,MATCH(E2746,ChName,0))</f>
        <v/>
      </c>
      <c r="K2746">
        <f>INDEX(ChRamp,MATCH(E2746,ChName,0))</f>
        <v/>
      </c>
      <c r="L2746" s="45">
        <f>MIN(1,MAX(0,(A2746-I2746+1)*RampSpeed/J2746))</f>
        <v/>
      </c>
      <c r="M2746" s="45">
        <f>IF(A2746&lt;I2746,0,IF(K2746="S-curve",L2746*L2746*(3-2*L2746),L2746))</f>
        <v/>
      </c>
      <c r="N2746" s="45">
        <f>1+(INDEX(SeasonIdx,A2746)-1)*SeasonAmp</f>
        <v/>
      </c>
      <c r="O2746" s="45">
        <f>IFERROR(INDEX(PSPct,MATCH(E2746&amp;"|"&amp;G2746,PSKey,0)),0)</f>
        <v/>
      </c>
      <c r="P2746" s="46">
        <f>INDEX(ChDoorVel,MATCH(E2746,ChName,0))*CalibScalar*(1+VelocityUplift)</f>
        <v/>
      </c>
      <c r="Q2746" s="46" t="n">
        <v>0</v>
      </c>
      <c r="R2746" s="46">
        <f>P2746*O2746*M2746*N2746*H2746</f>
        <v/>
      </c>
      <c r="S2746" s="46">
        <f>R2746*INDEX(FmtCansPerCase,MATCH(F2746,FmtName,0))</f>
        <v/>
      </c>
      <c r="T2746" s="46">
        <f>S2746/INDEX(FmtCansPerPack,MATCH(F2746,FmtName,0))</f>
        <v/>
      </c>
      <c r="U2746" s="47">
        <f>INDEX(ChBaseCP,MATCH(E2746,ChName,0))*(1+INDEX(ProvMod,MATCH(G2746,ProvCode,0)))*(1+PriceIndex)</f>
        <v/>
      </c>
      <c r="V2746" s="47">
        <f>R2746*U2746*INDEX(FmtBlendedPriceIdx,MATCH(F2746,FmtName,0))</f>
        <v/>
      </c>
      <c r="W2746" s="47">
        <f>T2746*INDEX(ProvSRP,MATCH(G2746,ProvCode,0))*(1+PriceIndex)</f>
        <v/>
      </c>
      <c r="X2746" s="47">
        <f>IF(GrossBasis="Wholesale",V2746,W2746)</f>
        <v/>
      </c>
      <c r="Y2746" s="47">
        <f>R2746*INDEX(FmtBlendedCogs,MATCH(F2746,FmtName,0))</f>
        <v/>
      </c>
      <c r="Z2746" s="47">
        <f>X2746-Y2746</f>
        <v/>
      </c>
    </row>
    <row r="2747">
      <c r="A2747" t="n">
        <v>43</v>
      </c>
      <c r="B2747" s="44">
        <f>FiscalStart+(A2747-1)*7</f>
        <v/>
      </c>
      <c r="C2747">
        <f>TEXT(B2747,"mmm yyyy")</f>
        <v/>
      </c>
      <c r="D2747">
        <f>"Q"&amp;(INT((A2747-1)/13)+1)</f>
        <v/>
      </c>
      <c r="E2747" t="inlineStr">
        <is>
          <t>Specialty</t>
        </is>
      </c>
      <c r="F2747">
        <f>IFERROR(INDEX(ChFormat,MATCH(E2747,ChName,0)),"")</f>
        <v/>
      </c>
      <c r="G2747" t="inlineStr">
        <is>
          <t>AB</t>
        </is>
      </c>
      <c r="H2747">
        <f>IF(A2747&lt;=NWeeks,1,0)</f>
        <v/>
      </c>
      <c r="I2747">
        <f>INDEX(ChLaunch,MATCH(E2747,ChName,0))</f>
        <v/>
      </c>
      <c r="J2747">
        <f>INDEX(ChWeeksFull,MATCH(E2747,ChName,0))</f>
        <v/>
      </c>
      <c r="K2747">
        <f>INDEX(ChRamp,MATCH(E2747,ChName,0))</f>
        <v/>
      </c>
      <c r="L2747" s="45">
        <f>MIN(1,MAX(0,(A2747-I2747+1)*RampSpeed/J2747))</f>
        <v/>
      </c>
      <c r="M2747" s="45">
        <f>IF(A2747&lt;I2747,0,IF(K2747="S-curve",L2747*L2747*(3-2*L2747),L2747))</f>
        <v/>
      </c>
      <c r="N2747" s="45">
        <f>1+(INDEX(SeasonIdx,A2747)-1)*SeasonAmp</f>
        <v/>
      </c>
      <c r="O2747" s="45">
        <f>IFERROR(INDEX(PSPct,MATCH(E2747&amp;"|"&amp;G2747,PSKey,0)),0)</f>
        <v/>
      </c>
      <c r="P2747" s="46">
        <f>INDEX(ChDoorVel,MATCH(E2747,ChName,0))*CalibScalar*(1+VelocityUplift)</f>
        <v/>
      </c>
      <c r="Q2747" s="46" t="n">
        <v>0</v>
      </c>
      <c r="R2747" s="46">
        <f>P2747*O2747*M2747*N2747*H2747</f>
        <v/>
      </c>
      <c r="S2747" s="46">
        <f>R2747*INDEX(FmtCansPerCase,MATCH(F2747,FmtName,0))</f>
        <v/>
      </c>
      <c r="T2747" s="46">
        <f>S2747/INDEX(FmtCansPerPack,MATCH(F2747,FmtName,0))</f>
        <v/>
      </c>
      <c r="U2747" s="47">
        <f>INDEX(ChBaseCP,MATCH(E2747,ChName,0))*(1+INDEX(ProvMod,MATCH(G2747,ProvCode,0)))*(1+PriceIndex)</f>
        <v/>
      </c>
      <c r="V2747" s="47">
        <f>R2747*U2747*INDEX(FmtBlendedPriceIdx,MATCH(F2747,FmtName,0))</f>
        <v/>
      </c>
      <c r="W2747" s="47">
        <f>T2747*INDEX(ProvSRP,MATCH(G2747,ProvCode,0))*(1+PriceIndex)</f>
        <v/>
      </c>
      <c r="X2747" s="47">
        <f>IF(GrossBasis="Wholesale",V2747,W2747)</f>
        <v/>
      </c>
      <c r="Y2747" s="47">
        <f>R2747*INDEX(FmtBlendedCogs,MATCH(F2747,FmtName,0))</f>
        <v/>
      </c>
      <c r="Z2747" s="47">
        <f>X2747-Y2747</f>
        <v/>
      </c>
    </row>
    <row r="2748">
      <c r="A2748" t="n">
        <v>44</v>
      </c>
      <c r="B2748" s="44">
        <f>FiscalStart+(A2748-1)*7</f>
        <v/>
      </c>
      <c r="C2748">
        <f>TEXT(B2748,"mmm yyyy")</f>
        <v/>
      </c>
      <c r="D2748">
        <f>"Q"&amp;(INT((A2748-1)/13)+1)</f>
        <v/>
      </c>
      <c r="E2748" t="inlineStr">
        <is>
          <t>Specialty</t>
        </is>
      </c>
      <c r="F2748">
        <f>IFERROR(INDEX(ChFormat,MATCH(E2748,ChName,0)),"")</f>
        <v/>
      </c>
      <c r="G2748" t="inlineStr">
        <is>
          <t>AB</t>
        </is>
      </c>
      <c r="H2748">
        <f>IF(A2748&lt;=NWeeks,1,0)</f>
        <v/>
      </c>
      <c r="I2748">
        <f>INDEX(ChLaunch,MATCH(E2748,ChName,0))</f>
        <v/>
      </c>
      <c r="J2748">
        <f>INDEX(ChWeeksFull,MATCH(E2748,ChName,0))</f>
        <v/>
      </c>
      <c r="K2748">
        <f>INDEX(ChRamp,MATCH(E2748,ChName,0))</f>
        <v/>
      </c>
      <c r="L2748" s="45">
        <f>MIN(1,MAX(0,(A2748-I2748+1)*RampSpeed/J2748))</f>
        <v/>
      </c>
      <c r="M2748" s="45">
        <f>IF(A2748&lt;I2748,0,IF(K2748="S-curve",L2748*L2748*(3-2*L2748),L2748))</f>
        <v/>
      </c>
      <c r="N2748" s="45">
        <f>1+(INDEX(SeasonIdx,A2748)-1)*SeasonAmp</f>
        <v/>
      </c>
      <c r="O2748" s="45">
        <f>IFERROR(INDEX(PSPct,MATCH(E2748&amp;"|"&amp;G2748,PSKey,0)),0)</f>
        <v/>
      </c>
      <c r="P2748" s="46">
        <f>INDEX(ChDoorVel,MATCH(E2748,ChName,0))*CalibScalar*(1+VelocityUplift)</f>
        <v/>
      </c>
      <c r="Q2748" s="46" t="n">
        <v>0</v>
      </c>
      <c r="R2748" s="46">
        <f>P2748*O2748*M2748*N2748*H2748</f>
        <v/>
      </c>
      <c r="S2748" s="46">
        <f>R2748*INDEX(FmtCansPerCase,MATCH(F2748,FmtName,0))</f>
        <v/>
      </c>
      <c r="T2748" s="46">
        <f>S2748/INDEX(FmtCansPerPack,MATCH(F2748,FmtName,0))</f>
        <v/>
      </c>
      <c r="U2748" s="47">
        <f>INDEX(ChBaseCP,MATCH(E2748,ChName,0))*(1+INDEX(ProvMod,MATCH(G2748,ProvCode,0)))*(1+PriceIndex)</f>
        <v/>
      </c>
      <c r="V2748" s="47">
        <f>R2748*U2748*INDEX(FmtBlendedPriceIdx,MATCH(F2748,FmtName,0))</f>
        <v/>
      </c>
      <c r="W2748" s="47">
        <f>T2748*INDEX(ProvSRP,MATCH(G2748,ProvCode,0))*(1+PriceIndex)</f>
        <v/>
      </c>
      <c r="X2748" s="47">
        <f>IF(GrossBasis="Wholesale",V2748,W2748)</f>
        <v/>
      </c>
      <c r="Y2748" s="47">
        <f>R2748*INDEX(FmtBlendedCogs,MATCH(F2748,FmtName,0))</f>
        <v/>
      </c>
      <c r="Z2748" s="47">
        <f>X2748-Y2748</f>
        <v/>
      </c>
    </row>
    <row r="2749">
      <c r="A2749" t="n">
        <v>45</v>
      </c>
      <c r="B2749" s="44">
        <f>FiscalStart+(A2749-1)*7</f>
        <v/>
      </c>
      <c r="C2749">
        <f>TEXT(B2749,"mmm yyyy")</f>
        <v/>
      </c>
      <c r="D2749">
        <f>"Q"&amp;(INT((A2749-1)/13)+1)</f>
        <v/>
      </c>
      <c r="E2749" t="inlineStr">
        <is>
          <t>Specialty</t>
        </is>
      </c>
      <c r="F2749">
        <f>IFERROR(INDEX(ChFormat,MATCH(E2749,ChName,0)),"")</f>
        <v/>
      </c>
      <c r="G2749" t="inlineStr">
        <is>
          <t>AB</t>
        </is>
      </c>
      <c r="H2749">
        <f>IF(A2749&lt;=NWeeks,1,0)</f>
        <v/>
      </c>
      <c r="I2749">
        <f>INDEX(ChLaunch,MATCH(E2749,ChName,0))</f>
        <v/>
      </c>
      <c r="J2749">
        <f>INDEX(ChWeeksFull,MATCH(E2749,ChName,0))</f>
        <v/>
      </c>
      <c r="K2749">
        <f>INDEX(ChRamp,MATCH(E2749,ChName,0))</f>
        <v/>
      </c>
      <c r="L2749" s="45">
        <f>MIN(1,MAX(0,(A2749-I2749+1)*RampSpeed/J2749))</f>
        <v/>
      </c>
      <c r="M2749" s="45">
        <f>IF(A2749&lt;I2749,0,IF(K2749="S-curve",L2749*L2749*(3-2*L2749),L2749))</f>
        <v/>
      </c>
      <c r="N2749" s="45">
        <f>1+(INDEX(SeasonIdx,A2749)-1)*SeasonAmp</f>
        <v/>
      </c>
      <c r="O2749" s="45">
        <f>IFERROR(INDEX(PSPct,MATCH(E2749&amp;"|"&amp;G2749,PSKey,0)),0)</f>
        <v/>
      </c>
      <c r="P2749" s="46">
        <f>INDEX(ChDoorVel,MATCH(E2749,ChName,0))*CalibScalar*(1+VelocityUplift)</f>
        <v/>
      </c>
      <c r="Q2749" s="46" t="n">
        <v>0</v>
      </c>
      <c r="R2749" s="46">
        <f>P2749*O2749*M2749*N2749*H2749</f>
        <v/>
      </c>
      <c r="S2749" s="46">
        <f>R2749*INDEX(FmtCansPerCase,MATCH(F2749,FmtName,0))</f>
        <v/>
      </c>
      <c r="T2749" s="46">
        <f>S2749/INDEX(FmtCansPerPack,MATCH(F2749,FmtName,0))</f>
        <v/>
      </c>
      <c r="U2749" s="47">
        <f>INDEX(ChBaseCP,MATCH(E2749,ChName,0))*(1+INDEX(ProvMod,MATCH(G2749,ProvCode,0)))*(1+PriceIndex)</f>
        <v/>
      </c>
      <c r="V2749" s="47">
        <f>R2749*U2749*INDEX(FmtBlendedPriceIdx,MATCH(F2749,FmtName,0))</f>
        <v/>
      </c>
      <c r="W2749" s="47">
        <f>T2749*INDEX(ProvSRP,MATCH(G2749,ProvCode,0))*(1+PriceIndex)</f>
        <v/>
      </c>
      <c r="X2749" s="47">
        <f>IF(GrossBasis="Wholesale",V2749,W2749)</f>
        <v/>
      </c>
      <c r="Y2749" s="47">
        <f>R2749*INDEX(FmtBlendedCogs,MATCH(F2749,FmtName,0))</f>
        <v/>
      </c>
      <c r="Z2749" s="47">
        <f>X2749-Y2749</f>
        <v/>
      </c>
    </row>
    <row r="2750">
      <c r="A2750" t="n">
        <v>46</v>
      </c>
      <c r="B2750" s="44">
        <f>FiscalStart+(A2750-1)*7</f>
        <v/>
      </c>
      <c r="C2750">
        <f>TEXT(B2750,"mmm yyyy")</f>
        <v/>
      </c>
      <c r="D2750">
        <f>"Q"&amp;(INT((A2750-1)/13)+1)</f>
        <v/>
      </c>
      <c r="E2750" t="inlineStr">
        <is>
          <t>Specialty</t>
        </is>
      </c>
      <c r="F2750">
        <f>IFERROR(INDEX(ChFormat,MATCH(E2750,ChName,0)),"")</f>
        <v/>
      </c>
      <c r="G2750" t="inlineStr">
        <is>
          <t>AB</t>
        </is>
      </c>
      <c r="H2750">
        <f>IF(A2750&lt;=NWeeks,1,0)</f>
        <v/>
      </c>
      <c r="I2750">
        <f>INDEX(ChLaunch,MATCH(E2750,ChName,0))</f>
        <v/>
      </c>
      <c r="J2750">
        <f>INDEX(ChWeeksFull,MATCH(E2750,ChName,0))</f>
        <v/>
      </c>
      <c r="K2750">
        <f>INDEX(ChRamp,MATCH(E2750,ChName,0))</f>
        <v/>
      </c>
      <c r="L2750" s="45">
        <f>MIN(1,MAX(0,(A2750-I2750+1)*RampSpeed/J2750))</f>
        <v/>
      </c>
      <c r="M2750" s="45">
        <f>IF(A2750&lt;I2750,0,IF(K2750="S-curve",L2750*L2750*(3-2*L2750),L2750))</f>
        <v/>
      </c>
      <c r="N2750" s="45">
        <f>1+(INDEX(SeasonIdx,A2750)-1)*SeasonAmp</f>
        <v/>
      </c>
      <c r="O2750" s="45">
        <f>IFERROR(INDEX(PSPct,MATCH(E2750&amp;"|"&amp;G2750,PSKey,0)),0)</f>
        <v/>
      </c>
      <c r="P2750" s="46">
        <f>INDEX(ChDoorVel,MATCH(E2750,ChName,0))*CalibScalar*(1+VelocityUplift)</f>
        <v/>
      </c>
      <c r="Q2750" s="46" t="n">
        <v>0</v>
      </c>
      <c r="R2750" s="46">
        <f>P2750*O2750*M2750*N2750*H2750</f>
        <v/>
      </c>
      <c r="S2750" s="46">
        <f>R2750*INDEX(FmtCansPerCase,MATCH(F2750,FmtName,0))</f>
        <v/>
      </c>
      <c r="T2750" s="46">
        <f>S2750/INDEX(FmtCansPerPack,MATCH(F2750,FmtName,0))</f>
        <v/>
      </c>
      <c r="U2750" s="47">
        <f>INDEX(ChBaseCP,MATCH(E2750,ChName,0))*(1+INDEX(ProvMod,MATCH(G2750,ProvCode,0)))*(1+PriceIndex)</f>
        <v/>
      </c>
      <c r="V2750" s="47">
        <f>R2750*U2750*INDEX(FmtBlendedPriceIdx,MATCH(F2750,FmtName,0))</f>
        <v/>
      </c>
      <c r="W2750" s="47">
        <f>T2750*INDEX(ProvSRP,MATCH(G2750,ProvCode,0))*(1+PriceIndex)</f>
        <v/>
      </c>
      <c r="X2750" s="47">
        <f>IF(GrossBasis="Wholesale",V2750,W2750)</f>
        <v/>
      </c>
      <c r="Y2750" s="47">
        <f>R2750*INDEX(FmtBlendedCogs,MATCH(F2750,FmtName,0))</f>
        <v/>
      </c>
      <c r="Z2750" s="47">
        <f>X2750-Y2750</f>
        <v/>
      </c>
    </row>
    <row r="2751">
      <c r="A2751" t="n">
        <v>47</v>
      </c>
      <c r="B2751" s="44">
        <f>FiscalStart+(A2751-1)*7</f>
        <v/>
      </c>
      <c r="C2751">
        <f>TEXT(B2751,"mmm yyyy")</f>
        <v/>
      </c>
      <c r="D2751">
        <f>"Q"&amp;(INT((A2751-1)/13)+1)</f>
        <v/>
      </c>
      <c r="E2751" t="inlineStr">
        <is>
          <t>Specialty</t>
        </is>
      </c>
      <c r="F2751">
        <f>IFERROR(INDEX(ChFormat,MATCH(E2751,ChName,0)),"")</f>
        <v/>
      </c>
      <c r="G2751" t="inlineStr">
        <is>
          <t>AB</t>
        </is>
      </c>
      <c r="H2751">
        <f>IF(A2751&lt;=NWeeks,1,0)</f>
        <v/>
      </c>
      <c r="I2751">
        <f>INDEX(ChLaunch,MATCH(E2751,ChName,0))</f>
        <v/>
      </c>
      <c r="J2751">
        <f>INDEX(ChWeeksFull,MATCH(E2751,ChName,0))</f>
        <v/>
      </c>
      <c r="K2751">
        <f>INDEX(ChRamp,MATCH(E2751,ChName,0))</f>
        <v/>
      </c>
      <c r="L2751" s="45">
        <f>MIN(1,MAX(0,(A2751-I2751+1)*RampSpeed/J2751))</f>
        <v/>
      </c>
      <c r="M2751" s="45">
        <f>IF(A2751&lt;I2751,0,IF(K2751="S-curve",L2751*L2751*(3-2*L2751),L2751))</f>
        <v/>
      </c>
      <c r="N2751" s="45">
        <f>1+(INDEX(SeasonIdx,A2751)-1)*SeasonAmp</f>
        <v/>
      </c>
      <c r="O2751" s="45">
        <f>IFERROR(INDEX(PSPct,MATCH(E2751&amp;"|"&amp;G2751,PSKey,0)),0)</f>
        <v/>
      </c>
      <c r="P2751" s="46">
        <f>INDEX(ChDoorVel,MATCH(E2751,ChName,0))*CalibScalar*(1+VelocityUplift)</f>
        <v/>
      </c>
      <c r="Q2751" s="46" t="n">
        <v>0</v>
      </c>
      <c r="R2751" s="46">
        <f>P2751*O2751*M2751*N2751*H2751</f>
        <v/>
      </c>
      <c r="S2751" s="46">
        <f>R2751*INDEX(FmtCansPerCase,MATCH(F2751,FmtName,0))</f>
        <v/>
      </c>
      <c r="T2751" s="46">
        <f>S2751/INDEX(FmtCansPerPack,MATCH(F2751,FmtName,0))</f>
        <v/>
      </c>
      <c r="U2751" s="47">
        <f>INDEX(ChBaseCP,MATCH(E2751,ChName,0))*(1+INDEX(ProvMod,MATCH(G2751,ProvCode,0)))*(1+PriceIndex)</f>
        <v/>
      </c>
      <c r="V2751" s="47">
        <f>R2751*U2751*INDEX(FmtBlendedPriceIdx,MATCH(F2751,FmtName,0))</f>
        <v/>
      </c>
      <c r="W2751" s="47">
        <f>T2751*INDEX(ProvSRP,MATCH(G2751,ProvCode,0))*(1+PriceIndex)</f>
        <v/>
      </c>
      <c r="X2751" s="47">
        <f>IF(GrossBasis="Wholesale",V2751,W2751)</f>
        <v/>
      </c>
      <c r="Y2751" s="47">
        <f>R2751*INDEX(FmtBlendedCogs,MATCH(F2751,FmtName,0))</f>
        <v/>
      </c>
      <c r="Z2751" s="47">
        <f>X2751-Y2751</f>
        <v/>
      </c>
    </row>
    <row r="2752">
      <c r="A2752" t="n">
        <v>48</v>
      </c>
      <c r="B2752" s="44">
        <f>FiscalStart+(A2752-1)*7</f>
        <v/>
      </c>
      <c r="C2752">
        <f>TEXT(B2752,"mmm yyyy")</f>
        <v/>
      </c>
      <c r="D2752">
        <f>"Q"&amp;(INT((A2752-1)/13)+1)</f>
        <v/>
      </c>
      <c r="E2752" t="inlineStr">
        <is>
          <t>Specialty</t>
        </is>
      </c>
      <c r="F2752">
        <f>IFERROR(INDEX(ChFormat,MATCH(E2752,ChName,0)),"")</f>
        <v/>
      </c>
      <c r="G2752" t="inlineStr">
        <is>
          <t>AB</t>
        </is>
      </c>
      <c r="H2752">
        <f>IF(A2752&lt;=NWeeks,1,0)</f>
        <v/>
      </c>
      <c r="I2752">
        <f>INDEX(ChLaunch,MATCH(E2752,ChName,0))</f>
        <v/>
      </c>
      <c r="J2752">
        <f>INDEX(ChWeeksFull,MATCH(E2752,ChName,0))</f>
        <v/>
      </c>
      <c r="K2752">
        <f>INDEX(ChRamp,MATCH(E2752,ChName,0))</f>
        <v/>
      </c>
      <c r="L2752" s="45">
        <f>MIN(1,MAX(0,(A2752-I2752+1)*RampSpeed/J2752))</f>
        <v/>
      </c>
      <c r="M2752" s="45">
        <f>IF(A2752&lt;I2752,0,IF(K2752="S-curve",L2752*L2752*(3-2*L2752),L2752))</f>
        <v/>
      </c>
      <c r="N2752" s="45">
        <f>1+(INDEX(SeasonIdx,A2752)-1)*SeasonAmp</f>
        <v/>
      </c>
      <c r="O2752" s="45">
        <f>IFERROR(INDEX(PSPct,MATCH(E2752&amp;"|"&amp;G2752,PSKey,0)),0)</f>
        <v/>
      </c>
      <c r="P2752" s="46">
        <f>INDEX(ChDoorVel,MATCH(E2752,ChName,0))*CalibScalar*(1+VelocityUplift)</f>
        <v/>
      </c>
      <c r="Q2752" s="46" t="n">
        <v>0</v>
      </c>
      <c r="R2752" s="46">
        <f>P2752*O2752*M2752*N2752*H2752</f>
        <v/>
      </c>
      <c r="S2752" s="46">
        <f>R2752*INDEX(FmtCansPerCase,MATCH(F2752,FmtName,0))</f>
        <v/>
      </c>
      <c r="T2752" s="46">
        <f>S2752/INDEX(FmtCansPerPack,MATCH(F2752,FmtName,0))</f>
        <v/>
      </c>
      <c r="U2752" s="47">
        <f>INDEX(ChBaseCP,MATCH(E2752,ChName,0))*(1+INDEX(ProvMod,MATCH(G2752,ProvCode,0)))*(1+PriceIndex)</f>
        <v/>
      </c>
      <c r="V2752" s="47">
        <f>R2752*U2752*INDEX(FmtBlendedPriceIdx,MATCH(F2752,FmtName,0))</f>
        <v/>
      </c>
      <c r="W2752" s="47">
        <f>T2752*INDEX(ProvSRP,MATCH(G2752,ProvCode,0))*(1+PriceIndex)</f>
        <v/>
      </c>
      <c r="X2752" s="47">
        <f>IF(GrossBasis="Wholesale",V2752,W2752)</f>
        <v/>
      </c>
      <c r="Y2752" s="47">
        <f>R2752*INDEX(FmtBlendedCogs,MATCH(F2752,FmtName,0))</f>
        <v/>
      </c>
      <c r="Z2752" s="47">
        <f>X2752-Y2752</f>
        <v/>
      </c>
    </row>
    <row r="2753">
      <c r="A2753" t="n">
        <v>49</v>
      </c>
      <c r="B2753" s="44">
        <f>FiscalStart+(A2753-1)*7</f>
        <v/>
      </c>
      <c r="C2753">
        <f>TEXT(B2753,"mmm yyyy")</f>
        <v/>
      </c>
      <c r="D2753">
        <f>"Q"&amp;(INT((A2753-1)/13)+1)</f>
        <v/>
      </c>
      <c r="E2753" t="inlineStr">
        <is>
          <t>Specialty</t>
        </is>
      </c>
      <c r="F2753">
        <f>IFERROR(INDEX(ChFormat,MATCH(E2753,ChName,0)),"")</f>
        <v/>
      </c>
      <c r="G2753" t="inlineStr">
        <is>
          <t>AB</t>
        </is>
      </c>
      <c r="H2753">
        <f>IF(A2753&lt;=NWeeks,1,0)</f>
        <v/>
      </c>
      <c r="I2753">
        <f>INDEX(ChLaunch,MATCH(E2753,ChName,0))</f>
        <v/>
      </c>
      <c r="J2753">
        <f>INDEX(ChWeeksFull,MATCH(E2753,ChName,0))</f>
        <v/>
      </c>
      <c r="K2753">
        <f>INDEX(ChRamp,MATCH(E2753,ChName,0))</f>
        <v/>
      </c>
      <c r="L2753" s="45">
        <f>MIN(1,MAX(0,(A2753-I2753+1)*RampSpeed/J2753))</f>
        <v/>
      </c>
      <c r="M2753" s="45">
        <f>IF(A2753&lt;I2753,0,IF(K2753="S-curve",L2753*L2753*(3-2*L2753),L2753))</f>
        <v/>
      </c>
      <c r="N2753" s="45">
        <f>1+(INDEX(SeasonIdx,A2753)-1)*SeasonAmp</f>
        <v/>
      </c>
      <c r="O2753" s="45">
        <f>IFERROR(INDEX(PSPct,MATCH(E2753&amp;"|"&amp;G2753,PSKey,0)),0)</f>
        <v/>
      </c>
      <c r="P2753" s="46">
        <f>INDEX(ChDoorVel,MATCH(E2753,ChName,0))*CalibScalar*(1+VelocityUplift)</f>
        <v/>
      </c>
      <c r="Q2753" s="46" t="n">
        <v>0</v>
      </c>
      <c r="R2753" s="46">
        <f>P2753*O2753*M2753*N2753*H2753</f>
        <v/>
      </c>
      <c r="S2753" s="46">
        <f>R2753*INDEX(FmtCansPerCase,MATCH(F2753,FmtName,0))</f>
        <v/>
      </c>
      <c r="T2753" s="46">
        <f>S2753/INDEX(FmtCansPerPack,MATCH(F2753,FmtName,0))</f>
        <v/>
      </c>
      <c r="U2753" s="47">
        <f>INDEX(ChBaseCP,MATCH(E2753,ChName,0))*(1+INDEX(ProvMod,MATCH(G2753,ProvCode,0)))*(1+PriceIndex)</f>
        <v/>
      </c>
      <c r="V2753" s="47">
        <f>R2753*U2753*INDEX(FmtBlendedPriceIdx,MATCH(F2753,FmtName,0))</f>
        <v/>
      </c>
      <c r="W2753" s="47">
        <f>T2753*INDEX(ProvSRP,MATCH(G2753,ProvCode,0))*(1+PriceIndex)</f>
        <v/>
      </c>
      <c r="X2753" s="47">
        <f>IF(GrossBasis="Wholesale",V2753,W2753)</f>
        <v/>
      </c>
      <c r="Y2753" s="47">
        <f>R2753*INDEX(FmtBlendedCogs,MATCH(F2753,FmtName,0))</f>
        <v/>
      </c>
      <c r="Z2753" s="47">
        <f>X2753-Y2753</f>
        <v/>
      </c>
    </row>
    <row r="2754">
      <c r="A2754" t="n">
        <v>50</v>
      </c>
      <c r="B2754" s="44">
        <f>FiscalStart+(A2754-1)*7</f>
        <v/>
      </c>
      <c r="C2754">
        <f>TEXT(B2754,"mmm yyyy")</f>
        <v/>
      </c>
      <c r="D2754">
        <f>"Q"&amp;(INT((A2754-1)/13)+1)</f>
        <v/>
      </c>
      <c r="E2754" t="inlineStr">
        <is>
          <t>Specialty</t>
        </is>
      </c>
      <c r="F2754">
        <f>IFERROR(INDEX(ChFormat,MATCH(E2754,ChName,0)),"")</f>
        <v/>
      </c>
      <c r="G2754" t="inlineStr">
        <is>
          <t>AB</t>
        </is>
      </c>
      <c r="H2754">
        <f>IF(A2754&lt;=NWeeks,1,0)</f>
        <v/>
      </c>
      <c r="I2754">
        <f>INDEX(ChLaunch,MATCH(E2754,ChName,0))</f>
        <v/>
      </c>
      <c r="J2754">
        <f>INDEX(ChWeeksFull,MATCH(E2754,ChName,0))</f>
        <v/>
      </c>
      <c r="K2754">
        <f>INDEX(ChRamp,MATCH(E2754,ChName,0))</f>
        <v/>
      </c>
      <c r="L2754" s="45">
        <f>MIN(1,MAX(0,(A2754-I2754+1)*RampSpeed/J2754))</f>
        <v/>
      </c>
      <c r="M2754" s="45">
        <f>IF(A2754&lt;I2754,0,IF(K2754="S-curve",L2754*L2754*(3-2*L2754),L2754))</f>
        <v/>
      </c>
      <c r="N2754" s="45">
        <f>1+(INDEX(SeasonIdx,A2754)-1)*SeasonAmp</f>
        <v/>
      </c>
      <c r="O2754" s="45">
        <f>IFERROR(INDEX(PSPct,MATCH(E2754&amp;"|"&amp;G2754,PSKey,0)),0)</f>
        <v/>
      </c>
      <c r="P2754" s="46">
        <f>INDEX(ChDoorVel,MATCH(E2754,ChName,0))*CalibScalar*(1+VelocityUplift)</f>
        <v/>
      </c>
      <c r="Q2754" s="46" t="n">
        <v>0</v>
      </c>
      <c r="R2754" s="46">
        <f>P2754*O2754*M2754*N2754*H2754</f>
        <v/>
      </c>
      <c r="S2754" s="46">
        <f>R2754*INDEX(FmtCansPerCase,MATCH(F2754,FmtName,0))</f>
        <v/>
      </c>
      <c r="T2754" s="46">
        <f>S2754/INDEX(FmtCansPerPack,MATCH(F2754,FmtName,0))</f>
        <v/>
      </c>
      <c r="U2754" s="47">
        <f>INDEX(ChBaseCP,MATCH(E2754,ChName,0))*(1+INDEX(ProvMod,MATCH(G2754,ProvCode,0)))*(1+PriceIndex)</f>
        <v/>
      </c>
      <c r="V2754" s="47">
        <f>R2754*U2754*INDEX(FmtBlendedPriceIdx,MATCH(F2754,FmtName,0))</f>
        <v/>
      </c>
      <c r="W2754" s="47">
        <f>T2754*INDEX(ProvSRP,MATCH(G2754,ProvCode,0))*(1+PriceIndex)</f>
        <v/>
      </c>
      <c r="X2754" s="47">
        <f>IF(GrossBasis="Wholesale",V2754,W2754)</f>
        <v/>
      </c>
      <c r="Y2754" s="47">
        <f>R2754*INDEX(FmtBlendedCogs,MATCH(F2754,FmtName,0))</f>
        <v/>
      </c>
      <c r="Z2754" s="47">
        <f>X2754-Y2754</f>
        <v/>
      </c>
    </row>
    <row r="2755">
      <c r="A2755" t="n">
        <v>51</v>
      </c>
      <c r="B2755" s="44">
        <f>FiscalStart+(A2755-1)*7</f>
        <v/>
      </c>
      <c r="C2755">
        <f>TEXT(B2755,"mmm yyyy")</f>
        <v/>
      </c>
      <c r="D2755">
        <f>"Q"&amp;(INT((A2755-1)/13)+1)</f>
        <v/>
      </c>
      <c r="E2755" t="inlineStr">
        <is>
          <t>Specialty</t>
        </is>
      </c>
      <c r="F2755">
        <f>IFERROR(INDEX(ChFormat,MATCH(E2755,ChName,0)),"")</f>
        <v/>
      </c>
      <c r="G2755" t="inlineStr">
        <is>
          <t>AB</t>
        </is>
      </c>
      <c r="H2755">
        <f>IF(A2755&lt;=NWeeks,1,0)</f>
        <v/>
      </c>
      <c r="I2755">
        <f>INDEX(ChLaunch,MATCH(E2755,ChName,0))</f>
        <v/>
      </c>
      <c r="J2755">
        <f>INDEX(ChWeeksFull,MATCH(E2755,ChName,0))</f>
        <v/>
      </c>
      <c r="K2755">
        <f>INDEX(ChRamp,MATCH(E2755,ChName,0))</f>
        <v/>
      </c>
      <c r="L2755" s="45">
        <f>MIN(1,MAX(0,(A2755-I2755+1)*RampSpeed/J2755))</f>
        <v/>
      </c>
      <c r="M2755" s="45">
        <f>IF(A2755&lt;I2755,0,IF(K2755="S-curve",L2755*L2755*(3-2*L2755),L2755))</f>
        <v/>
      </c>
      <c r="N2755" s="45">
        <f>1+(INDEX(SeasonIdx,A2755)-1)*SeasonAmp</f>
        <v/>
      </c>
      <c r="O2755" s="45">
        <f>IFERROR(INDEX(PSPct,MATCH(E2755&amp;"|"&amp;G2755,PSKey,0)),0)</f>
        <v/>
      </c>
      <c r="P2755" s="46">
        <f>INDEX(ChDoorVel,MATCH(E2755,ChName,0))*CalibScalar*(1+VelocityUplift)</f>
        <v/>
      </c>
      <c r="Q2755" s="46" t="n">
        <v>0</v>
      </c>
      <c r="R2755" s="46">
        <f>P2755*O2755*M2755*N2755*H2755</f>
        <v/>
      </c>
      <c r="S2755" s="46">
        <f>R2755*INDEX(FmtCansPerCase,MATCH(F2755,FmtName,0))</f>
        <v/>
      </c>
      <c r="T2755" s="46">
        <f>S2755/INDEX(FmtCansPerPack,MATCH(F2755,FmtName,0))</f>
        <v/>
      </c>
      <c r="U2755" s="47">
        <f>INDEX(ChBaseCP,MATCH(E2755,ChName,0))*(1+INDEX(ProvMod,MATCH(G2755,ProvCode,0)))*(1+PriceIndex)</f>
        <v/>
      </c>
      <c r="V2755" s="47">
        <f>R2755*U2755*INDEX(FmtBlendedPriceIdx,MATCH(F2755,FmtName,0))</f>
        <v/>
      </c>
      <c r="W2755" s="47">
        <f>T2755*INDEX(ProvSRP,MATCH(G2755,ProvCode,0))*(1+PriceIndex)</f>
        <v/>
      </c>
      <c r="X2755" s="47">
        <f>IF(GrossBasis="Wholesale",V2755,W2755)</f>
        <v/>
      </c>
      <c r="Y2755" s="47">
        <f>R2755*INDEX(FmtBlendedCogs,MATCH(F2755,FmtName,0))</f>
        <v/>
      </c>
      <c r="Z2755" s="47">
        <f>X2755-Y2755</f>
        <v/>
      </c>
    </row>
    <row r="2756">
      <c r="A2756" t="n">
        <v>52</v>
      </c>
      <c r="B2756" s="44">
        <f>FiscalStart+(A2756-1)*7</f>
        <v/>
      </c>
      <c r="C2756">
        <f>TEXT(B2756,"mmm yyyy")</f>
        <v/>
      </c>
      <c r="D2756">
        <f>"Q"&amp;(INT((A2756-1)/13)+1)</f>
        <v/>
      </c>
      <c r="E2756" t="inlineStr">
        <is>
          <t>Specialty</t>
        </is>
      </c>
      <c r="F2756">
        <f>IFERROR(INDEX(ChFormat,MATCH(E2756,ChName,0)),"")</f>
        <v/>
      </c>
      <c r="G2756" t="inlineStr">
        <is>
          <t>AB</t>
        </is>
      </c>
      <c r="H2756">
        <f>IF(A2756&lt;=NWeeks,1,0)</f>
        <v/>
      </c>
      <c r="I2756">
        <f>INDEX(ChLaunch,MATCH(E2756,ChName,0))</f>
        <v/>
      </c>
      <c r="J2756">
        <f>INDEX(ChWeeksFull,MATCH(E2756,ChName,0))</f>
        <v/>
      </c>
      <c r="K2756">
        <f>INDEX(ChRamp,MATCH(E2756,ChName,0))</f>
        <v/>
      </c>
      <c r="L2756" s="45">
        <f>MIN(1,MAX(0,(A2756-I2756+1)*RampSpeed/J2756))</f>
        <v/>
      </c>
      <c r="M2756" s="45">
        <f>IF(A2756&lt;I2756,0,IF(K2756="S-curve",L2756*L2756*(3-2*L2756),L2756))</f>
        <v/>
      </c>
      <c r="N2756" s="45">
        <f>1+(INDEX(SeasonIdx,A2756)-1)*SeasonAmp</f>
        <v/>
      </c>
      <c r="O2756" s="45">
        <f>IFERROR(INDEX(PSPct,MATCH(E2756&amp;"|"&amp;G2756,PSKey,0)),0)</f>
        <v/>
      </c>
      <c r="P2756" s="46">
        <f>INDEX(ChDoorVel,MATCH(E2756,ChName,0))*CalibScalar*(1+VelocityUplift)</f>
        <v/>
      </c>
      <c r="Q2756" s="46" t="n">
        <v>0</v>
      </c>
      <c r="R2756" s="46">
        <f>P2756*O2756*M2756*N2756*H2756</f>
        <v/>
      </c>
      <c r="S2756" s="46">
        <f>R2756*INDEX(FmtCansPerCase,MATCH(F2756,FmtName,0))</f>
        <v/>
      </c>
      <c r="T2756" s="46">
        <f>S2756/INDEX(FmtCansPerPack,MATCH(F2756,FmtName,0))</f>
        <v/>
      </c>
      <c r="U2756" s="47">
        <f>INDEX(ChBaseCP,MATCH(E2756,ChName,0))*(1+INDEX(ProvMod,MATCH(G2756,ProvCode,0)))*(1+PriceIndex)</f>
        <v/>
      </c>
      <c r="V2756" s="47">
        <f>R2756*U2756*INDEX(FmtBlendedPriceIdx,MATCH(F2756,FmtName,0))</f>
        <v/>
      </c>
      <c r="W2756" s="47">
        <f>T2756*INDEX(ProvSRP,MATCH(G2756,ProvCode,0))*(1+PriceIndex)</f>
        <v/>
      </c>
      <c r="X2756" s="47">
        <f>IF(GrossBasis="Wholesale",V2756,W2756)</f>
        <v/>
      </c>
      <c r="Y2756" s="47">
        <f>R2756*INDEX(FmtBlendedCogs,MATCH(F2756,FmtName,0))</f>
        <v/>
      </c>
      <c r="Z2756" s="47">
        <f>X2756-Y2756</f>
        <v/>
      </c>
    </row>
    <row r="2757">
      <c r="A2757" t="n">
        <v>53</v>
      </c>
      <c r="B2757" s="44">
        <f>FiscalStart+(A2757-1)*7</f>
        <v/>
      </c>
      <c r="C2757">
        <f>TEXT(B2757,"mmm yyyy")</f>
        <v/>
      </c>
      <c r="D2757">
        <f>"Q"&amp;(INT((A2757-1)/13)+1)</f>
        <v/>
      </c>
      <c r="E2757" t="inlineStr">
        <is>
          <t>Specialty</t>
        </is>
      </c>
      <c r="F2757">
        <f>IFERROR(INDEX(ChFormat,MATCH(E2757,ChName,0)),"")</f>
        <v/>
      </c>
      <c r="G2757" t="inlineStr">
        <is>
          <t>AB</t>
        </is>
      </c>
      <c r="H2757">
        <f>IF(A2757&lt;=NWeeks,1,0)</f>
        <v/>
      </c>
      <c r="I2757">
        <f>INDEX(ChLaunch,MATCH(E2757,ChName,0))</f>
        <v/>
      </c>
      <c r="J2757">
        <f>INDEX(ChWeeksFull,MATCH(E2757,ChName,0))</f>
        <v/>
      </c>
      <c r="K2757">
        <f>INDEX(ChRamp,MATCH(E2757,ChName,0))</f>
        <v/>
      </c>
      <c r="L2757" s="45">
        <f>MIN(1,MAX(0,(A2757-I2757+1)*RampSpeed/J2757))</f>
        <v/>
      </c>
      <c r="M2757" s="45">
        <f>IF(A2757&lt;I2757,0,IF(K2757="S-curve",L2757*L2757*(3-2*L2757),L2757))</f>
        <v/>
      </c>
      <c r="N2757" s="45">
        <f>1+(INDEX(SeasonIdx,A2757)-1)*SeasonAmp</f>
        <v/>
      </c>
      <c r="O2757" s="45">
        <f>IFERROR(INDEX(PSPct,MATCH(E2757&amp;"|"&amp;G2757,PSKey,0)),0)</f>
        <v/>
      </c>
      <c r="P2757" s="46">
        <f>INDEX(ChDoorVel,MATCH(E2757,ChName,0))*CalibScalar*(1+VelocityUplift)</f>
        <v/>
      </c>
      <c r="Q2757" s="46" t="n">
        <v>0</v>
      </c>
      <c r="R2757" s="46">
        <f>P2757*O2757*M2757*N2757*H2757</f>
        <v/>
      </c>
      <c r="S2757" s="46">
        <f>R2757*INDEX(FmtCansPerCase,MATCH(F2757,FmtName,0))</f>
        <v/>
      </c>
      <c r="T2757" s="46">
        <f>S2757/INDEX(FmtCansPerPack,MATCH(F2757,FmtName,0))</f>
        <v/>
      </c>
      <c r="U2757" s="47">
        <f>INDEX(ChBaseCP,MATCH(E2757,ChName,0))*(1+INDEX(ProvMod,MATCH(G2757,ProvCode,0)))*(1+PriceIndex)</f>
        <v/>
      </c>
      <c r="V2757" s="47">
        <f>R2757*U2757*INDEX(FmtBlendedPriceIdx,MATCH(F2757,FmtName,0))</f>
        <v/>
      </c>
      <c r="W2757" s="47">
        <f>T2757*INDEX(ProvSRP,MATCH(G2757,ProvCode,0))*(1+PriceIndex)</f>
        <v/>
      </c>
      <c r="X2757" s="47">
        <f>IF(GrossBasis="Wholesale",V2757,W2757)</f>
        <v/>
      </c>
      <c r="Y2757" s="47">
        <f>R2757*INDEX(FmtBlendedCogs,MATCH(F2757,FmtName,0))</f>
        <v/>
      </c>
      <c r="Z2757" s="47">
        <f>X2757-Y2757</f>
        <v/>
      </c>
    </row>
    <row r="2758">
      <c r="A2758" t="n">
        <v>1</v>
      </c>
      <c r="B2758" s="44">
        <f>FiscalStart+(A2758-1)*7</f>
        <v/>
      </c>
      <c r="C2758">
        <f>TEXT(B2758,"mmm yyyy")</f>
        <v/>
      </c>
      <c r="D2758">
        <f>"Q"&amp;(INT((A2758-1)/13)+1)</f>
        <v/>
      </c>
      <c r="E2758" t="inlineStr">
        <is>
          <t>Specialty</t>
        </is>
      </c>
      <c r="F2758">
        <f>IFERROR(INDEX(ChFormat,MATCH(E2758,ChName,0)),"")</f>
        <v/>
      </c>
      <c r="G2758" t="inlineStr">
        <is>
          <t>SK</t>
        </is>
      </c>
      <c r="H2758">
        <f>IF(A2758&lt;=NWeeks,1,0)</f>
        <v/>
      </c>
      <c r="I2758">
        <f>INDEX(ChLaunch,MATCH(E2758,ChName,0))</f>
        <v/>
      </c>
      <c r="J2758">
        <f>INDEX(ChWeeksFull,MATCH(E2758,ChName,0))</f>
        <v/>
      </c>
      <c r="K2758">
        <f>INDEX(ChRamp,MATCH(E2758,ChName,0))</f>
        <v/>
      </c>
      <c r="L2758" s="45">
        <f>MIN(1,MAX(0,(A2758-I2758+1)*RampSpeed/J2758))</f>
        <v/>
      </c>
      <c r="M2758" s="45">
        <f>IF(A2758&lt;I2758,0,IF(K2758="S-curve",L2758*L2758*(3-2*L2758),L2758))</f>
        <v/>
      </c>
      <c r="N2758" s="45">
        <f>1+(INDEX(SeasonIdx,A2758)-1)*SeasonAmp</f>
        <v/>
      </c>
      <c r="O2758" s="45">
        <f>IFERROR(INDEX(PSPct,MATCH(E2758&amp;"|"&amp;G2758,PSKey,0)),0)</f>
        <v/>
      </c>
      <c r="P2758" s="46">
        <f>INDEX(ChDoorVel,MATCH(E2758,ChName,0))*CalibScalar*(1+VelocityUplift)</f>
        <v/>
      </c>
      <c r="Q2758" s="46" t="n">
        <v>0</v>
      </c>
      <c r="R2758" s="46">
        <f>P2758*O2758*M2758*N2758*H2758</f>
        <v/>
      </c>
      <c r="S2758" s="46">
        <f>R2758*INDEX(FmtCansPerCase,MATCH(F2758,FmtName,0))</f>
        <v/>
      </c>
      <c r="T2758" s="46">
        <f>S2758/INDEX(FmtCansPerPack,MATCH(F2758,FmtName,0))</f>
        <v/>
      </c>
      <c r="U2758" s="47">
        <f>INDEX(ChBaseCP,MATCH(E2758,ChName,0))*(1+INDEX(ProvMod,MATCH(G2758,ProvCode,0)))*(1+PriceIndex)</f>
        <v/>
      </c>
      <c r="V2758" s="47">
        <f>R2758*U2758*INDEX(FmtBlendedPriceIdx,MATCH(F2758,FmtName,0))</f>
        <v/>
      </c>
      <c r="W2758" s="47">
        <f>T2758*INDEX(ProvSRP,MATCH(G2758,ProvCode,0))*(1+PriceIndex)</f>
        <v/>
      </c>
      <c r="X2758" s="47">
        <f>IF(GrossBasis="Wholesale",V2758,W2758)</f>
        <v/>
      </c>
      <c r="Y2758" s="47">
        <f>R2758*INDEX(FmtBlendedCogs,MATCH(F2758,FmtName,0))</f>
        <v/>
      </c>
      <c r="Z2758" s="47">
        <f>X2758-Y2758</f>
        <v/>
      </c>
    </row>
    <row r="2759">
      <c r="A2759" t="n">
        <v>2</v>
      </c>
      <c r="B2759" s="44">
        <f>FiscalStart+(A2759-1)*7</f>
        <v/>
      </c>
      <c r="C2759">
        <f>TEXT(B2759,"mmm yyyy")</f>
        <v/>
      </c>
      <c r="D2759">
        <f>"Q"&amp;(INT((A2759-1)/13)+1)</f>
        <v/>
      </c>
      <c r="E2759" t="inlineStr">
        <is>
          <t>Specialty</t>
        </is>
      </c>
      <c r="F2759">
        <f>IFERROR(INDEX(ChFormat,MATCH(E2759,ChName,0)),"")</f>
        <v/>
      </c>
      <c r="G2759" t="inlineStr">
        <is>
          <t>SK</t>
        </is>
      </c>
      <c r="H2759">
        <f>IF(A2759&lt;=NWeeks,1,0)</f>
        <v/>
      </c>
      <c r="I2759">
        <f>INDEX(ChLaunch,MATCH(E2759,ChName,0))</f>
        <v/>
      </c>
      <c r="J2759">
        <f>INDEX(ChWeeksFull,MATCH(E2759,ChName,0))</f>
        <v/>
      </c>
      <c r="K2759">
        <f>INDEX(ChRamp,MATCH(E2759,ChName,0))</f>
        <v/>
      </c>
      <c r="L2759" s="45">
        <f>MIN(1,MAX(0,(A2759-I2759+1)*RampSpeed/J2759))</f>
        <v/>
      </c>
      <c r="M2759" s="45">
        <f>IF(A2759&lt;I2759,0,IF(K2759="S-curve",L2759*L2759*(3-2*L2759),L2759))</f>
        <v/>
      </c>
      <c r="N2759" s="45">
        <f>1+(INDEX(SeasonIdx,A2759)-1)*SeasonAmp</f>
        <v/>
      </c>
      <c r="O2759" s="45">
        <f>IFERROR(INDEX(PSPct,MATCH(E2759&amp;"|"&amp;G2759,PSKey,0)),0)</f>
        <v/>
      </c>
      <c r="P2759" s="46">
        <f>INDEX(ChDoorVel,MATCH(E2759,ChName,0))*CalibScalar*(1+VelocityUplift)</f>
        <v/>
      </c>
      <c r="Q2759" s="46" t="n">
        <v>0</v>
      </c>
      <c r="R2759" s="46">
        <f>P2759*O2759*M2759*N2759*H2759</f>
        <v/>
      </c>
      <c r="S2759" s="46">
        <f>R2759*INDEX(FmtCansPerCase,MATCH(F2759,FmtName,0))</f>
        <v/>
      </c>
      <c r="T2759" s="46">
        <f>S2759/INDEX(FmtCansPerPack,MATCH(F2759,FmtName,0))</f>
        <v/>
      </c>
      <c r="U2759" s="47">
        <f>INDEX(ChBaseCP,MATCH(E2759,ChName,0))*(1+INDEX(ProvMod,MATCH(G2759,ProvCode,0)))*(1+PriceIndex)</f>
        <v/>
      </c>
      <c r="V2759" s="47">
        <f>R2759*U2759*INDEX(FmtBlendedPriceIdx,MATCH(F2759,FmtName,0))</f>
        <v/>
      </c>
      <c r="W2759" s="47">
        <f>T2759*INDEX(ProvSRP,MATCH(G2759,ProvCode,0))*(1+PriceIndex)</f>
        <v/>
      </c>
      <c r="X2759" s="47">
        <f>IF(GrossBasis="Wholesale",V2759,W2759)</f>
        <v/>
      </c>
      <c r="Y2759" s="47">
        <f>R2759*INDEX(FmtBlendedCogs,MATCH(F2759,FmtName,0))</f>
        <v/>
      </c>
      <c r="Z2759" s="47">
        <f>X2759-Y2759</f>
        <v/>
      </c>
    </row>
    <row r="2760">
      <c r="A2760" t="n">
        <v>3</v>
      </c>
      <c r="B2760" s="44">
        <f>FiscalStart+(A2760-1)*7</f>
        <v/>
      </c>
      <c r="C2760">
        <f>TEXT(B2760,"mmm yyyy")</f>
        <v/>
      </c>
      <c r="D2760">
        <f>"Q"&amp;(INT((A2760-1)/13)+1)</f>
        <v/>
      </c>
      <c r="E2760" t="inlineStr">
        <is>
          <t>Specialty</t>
        </is>
      </c>
      <c r="F2760">
        <f>IFERROR(INDEX(ChFormat,MATCH(E2760,ChName,0)),"")</f>
        <v/>
      </c>
      <c r="G2760" t="inlineStr">
        <is>
          <t>SK</t>
        </is>
      </c>
      <c r="H2760">
        <f>IF(A2760&lt;=NWeeks,1,0)</f>
        <v/>
      </c>
      <c r="I2760">
        <f>INDEX(ChLaunch,MATCH(E2760,ChName,0))</f>
        <v/>
      </c>
      <c r="J2760">
        <f>INDEX(ChWeeksFull,MATCH(E2760,ChName,0))</f>
        <v/>
      </c>
      <c r="K2760">
        <f>INDEX(ChRamp,MATCH(E2760,ChName,0))</f>
        <v/>
      </c>
      <c r="L2760" s="45">
        <f>MIN(1,MAX(0,(A2760-I2760+1)*RampSpeed/J2760))</f>
        <v/>
      </c>
      <c r="M2760" s="45">
        <f>IF(A2760&lt;I2760,0,IF(K2760="S-curve",L2760*L2760*(3-2*L2760),L2760))</f>
        <v/>
      </c>
      <c r="N2760" s="45">
        <f>1+(INDEX(SeasonIdx,A2760)-1)*SeasonAmp</f>
        <v/>
      </c>
      <c r="O2760" s="45">
        <f>IFERROR(INDEX(PSPct,MATCH(E2760&amp;"|"&amp;G2760,PSKey,0)),0)</f>
        <v/>
      </c>
      <c r="P2760" s="46">
        <f>INDEX(ChDoorVel,MATCH(E2760,ChName,0))*CalibScalar*(1+VelocityUplift)</f>
        <v/>
      </c>
      <c r="Q2760" s="46" t="n">
        <v>0</v>
      </c>
      <c r="R2760" s="46">
        <f>P2760*O2760*M2760*N2760*H2760</f>
        <v/>
      </c>
      <c r="S2760" s="46">
        <f>R2760*INDEX(FmtCansPerCase,MATCH(F2760,FmtName,0))</f>
        <v/>
      </c>
      <c r="T2760" s="46">
        <f>S2760/INDEX(FmtCansPerPack,MATCH(F2760,FmtName,0))</f>
        <v/>
      </c>
      <c r="U2760" s="47">
        <f>INDEX(ChBaseCP,MATCH(E2760,ChName,0))*(1+INDEX(ProvMod,MATCH(G2760,ProvCode,0)))*(1+PriceIndex)</f>
        <v/>
      </c>
      <c r="V2760" s="47">
        <f>R2760*U2760*INDEX(FmtBlendedPriceIdx,MATCH(F2760,FmtName,0))</f>
        <v/>
      </c>
      <c r="W2760" s="47">
        <f>T2760*INDEX(ProvSRP,MATCH(G2760,ProvCode,0))*(1+PriceIndex)</f>
        <v/>
      </c>
      <c r="X2760" s="47">
        <f>IF(GrossBasis="Wholesale",V2760,W2760)</f>
        <v/>
      </c>
      <c r="Y2760" s="47">
        <f>R2760*INDEX(FmtBlendedCogs,MATCH(F2760,FmtName,0))</f>
        <v/>
      </c>
      <c r="Z2760" s="47">
        <f>X2760-Y2760</f>
        <v/>
      </c>
    </row>
    <row r="2761">
      <c r="A2761" t="n">
        <v>4</v>
      </c>
      <c r="B2761" s="44">
        <f>FiscalStart+(A2761-1)*7</f>
        <v/>
      </c>
      <c r="C2761">
        <f>TEXT(B2761,"mmm yyyy")</f>
        <v/>
      </c>
      <c r="D2761">
        <f>"Q"&amp;(INT((A2761-1)/13)+1)</f>
        <v/>
      </c>
      <c r="E2761" t="inlineStr">
        <is>
          <t>Specialty</t>
        </is>
      </c>
      <c r="F2761">
        <f>IFERROR(INDEX(ChFormat,MATCH(E2761,ChName,0)),"")</f>
        <v/>
      </c>
      <c r="G2761" t="inlineStr">
        <is>
          <t>SK</t>
        </is>
      </c>
      <c r="H2761">
        <f>IF(A2761&lt;=NWeeks,1,0)</f>
        <v/>
      </c>
      <c r="I2761">
        <f>INDEX(ChLaunch,MATCH(E2761,ChName,0))</f>
        <v/>
      </c>
      <c r="J2761">
        <f>INDEX(ChWeeksFull,MATCH(E2761,ChName,0))</f>
        <v/>
      </c>
      <c r="K2761">
        <f>INDEX(ChRamp,MATCH(E2761,ChName,0))</f>
        <v/>
      </c>
      <c r="L2761" s="45">
        <f>MIN(1,MAX(0,(A2761-I2761+1)*RampSpeed/J2761))</f>
        <v/>
      </c>
      <c r="M2761" s="45">
        <f>IF(A2761&lt;I2761,0,IF(K2761="S-curve",L2761*L2761*(3-2*L2761),L2761))</f>
        <v/>
      </c>
      <c r="N2761" s="45">
        <f>1+(INDEX(SeasonIdx,A2761)-1)*SeasonAmp</f>
        <v/>
      </c>
      <c r="O2761" s="45">
        <f>IFERROR(INDEX(PSPct,MATCH(E2761&amp;"|"&amp;G2761,PSKey,0)),0)</f>
        <v/>
      </c>
      <c r="P2761" s="46">
        <f>INDEX(ChDoorVel,MATCH(E2761,ChName,0))*CalibScalar*(1+VelocityUplift)</f>
        <v/>
      </c>
      <c r="Q2761" s="46" t="n">
        <v>0</v>
      </c>
      <c r="R2761" s="46">
        <f>P2761*O2761*M2761*N2761*H2761</f>
        <v/>
      </c>
      <c r="S2761" s="46">
        <f>R2761*INDEX(FmtCansPerCase,MATCH(F2761,FmtName,0))</f>
        <v/>
      </c>
      <c r="T2761" s="46">
        <f>S2761/INDEX(FmtCansPerPack,MATCH(F2761,FmtName,0))</f>
        <v/>
      </c>
      <c r="U2761" s="47">
        <f>INDEX(ChBaseCP,MATCH(E2761,ChName,0))*(1+INDEX(ProvMod,MATCH(G2761,ProvCode,0)))*(1+PriceIndex)</f>
        <v/>
      </c>
      <c r="V2761" s="47">
        <f>R2761*U2761*INDEX(FmtBlendedPriceIdx,MATCH(F2761,FmtName,0))</f>
        <v/>
      </c>
      <c r="W2761" s="47">
        <f>T2761*INDEX(ProvSRP,MATCH(G2761,ProvCode,0))*(1+PriceIndex)</f>
        <v/>
      </c>
      <c r="X2761" s="47">
        <f>IF(GrossBasis="Wholesale",V2761,W2761)</f>
        <v/>
      </c>
      <c r="Y2761" s="47">
        <f>R2761*INDEX(FmtBlendedCogs,MATCH(F2761,FmtName,0))</f>
        <v/>
      </c>
      <c r="Z2761" s="47">
        <f>X2761-Y2761</f>
        <v/>
      </c>
    </row>
    <row r="2762">
      <c r="A2762" t="n">
        <v>5</v>
      </c>
      <c r="B2762" s="44">
        <f>FiscalStart+(A2762-1)*7</f>
        <v/>
      </c>
      <c r="C2762">
        <f>TEXT(B2762,"mmm yyyy")</f>
        <v/>
      </c>
      <c r="D2762">
        <f>"Q"&amp;(INT((A2762-1)/13)+1)</f>
        <v/>
      </c>
      <c r="E2762" t="inlineStr">
        <is>
          <t>Specialty</t>
        </is>
      </c>
      <c r="F2762">
        <f>IFERROR(INDEX(ChFormat,MATCH(E2762,ChName,0)),"")</f>
        <v/>
      </c>
      <c r="G2762" t="inlineStr">
        <is>
          <t>SK</t>
        </is>
      </c>
      <c r="H2762">
        <f>IF(A2762&lt;=NWeeks,1,0)</f>
        <v/>
      </c>
      <c r="I2762">
        <f>INDEX(ChLaunch,MATCH(E2762,ChName,0))</f>
        <v/>
      </c>
      <c r="J2762">
        <f>INDEX(ChWeeksFull,MATCH(E2762,ChName,0))</f>
        <v/>
      </c>
      <c r="K2762">
        <f>INDEX(ChRamp,MATCH(E2762,ChName,0))</f>
        <v/>
      </c>
      <c r="L2762" s="45">
        <f>MIN(1,MAX(0,(A2762-I2762+1)*RampSpeed/J2762))</f>
        <v/>
      </c>
      <c r="M2762" s="45">
        <f>IF(A2762&lt;I2762,0,IF(K2762="S-curve",L2762*L2762*(3-2*L2762),L2762))</f>
        <v/>
      </c>
      <c r="N2762" s="45">
        <f>1+(INDEX(SeasonIdx,A2762)-1)*SeasonAmp</f>
        <v/>
      </c>
      <c r="O2762" s="45">
        <f>IFERROR(INDEX(PSPct,MATCH(E2762&amp;"|"&amp;G2762,PSKey,0)),0)</f>
        <v/>
      </c>
      <c r="P2762" s="46">
        <f>INDEX(ChDoorVel,MATCH(E2762,ChName,0))*CalibScalar*(1+VelocityUplift)</f>
        <v/>
      </c>
      <c r="Q2762" s="46" t="n">
        <v>0</v>
      </c>
      <c r="R2762" s="46">
        <f>P2762*O2762*M2762*N2762*H2762</f>
        <v/>
      </c>
      <c r="S2762" s="46">
        <f>R2762*INDEX(FmtCansPerCase,MATCH(F2762,FmtName,0))</f>
        <v/>
      </c>
      <c r="T2762" s="46">
        <f>S2762/INDEX(FmtCansPerPack,MATCH(F2762,FmtName,0))</f>
        <v/>
      </c>
      <c r="U2762" s="47">
        <f>INDEX(ChBaseCP,MATCH(E2762,ChName,0))*(1+INDEX(ProvMod,MATCH(G2762,ProvCode,0)))*(1+PriceIndex)</f>
        <v/>
      </c>
      <c r="V2762" s="47">
        <f>R2762*U2762*INDEX(FmtBlendedPriceIdx,MATCH(F2762,FmtName,0))</f>
        <v/>
      </c>
      <c r="W2762" s="47">
        <f>T2762*INDEX(ProvSRP,MATCH(G2762,ProvCode,0))*(1+PriceIndex)</f>
        <v/>
      </c>
      <c r="X2762" s="47">
        <f>IF(GrossBasis="Wholesale",V2762,W2762)</f>
        <v/>
      </c>
      <c r="Y2762" s="47">
        <f>R2762*INDEX(FmtBlendedCogs,MATCH(F2762,FmtName,0))</f>
        <v/>
      </c>
      <c r="Z2762" s="47">
        <f>X2762-Y2762</f>
        <v/>
      </c>
    </row>
    <row r="2763">
      <c r="A2763" t="n">
        <v>6</v>
      </c>
      <c r="B2763" s="44">
        <f>FiscalStart+(A2763-1)*7</f>
        <v/>
      </c>
      <c r="C2763">
        <f>TEXT(B2763,"mmm yyyy")</f>
        <v/>
      </c>
      <c r="D2763">
        <f>"Q"&amp;(INT((A2763-1)/13)+1)</f>
        <v/>
      </c>
      <c r="E2763" t="inlineStr">
        <is>
          <t>Specialty</t>
        </is>
      </c>
      <c r="F2763">
        <f>IFERROR(INDEX(ChFormat,MATCH(E2763,ChName,0)),"")</f>
        <v/>
      </c>
      <c r="G2763" t="inlineStr">
        <is>
          <t>SK</t>
        </is>
      </c>
      <c r="H2763">
        <f>IF(A2763&lt;=NWeeks,1,0)</f>
        <v/>
      </c>
      <c r="I2763">
        <f>INDEX(ChLaunch,MATCH(E2763,ChName,0))</f>
        <v/>
      </c>
      <c r="J2763">
        <f>INDEX(ChWeeksFull,MATCH(E2763,ChName,0))</f>
        <v/>
      </c>
      <c r="K2763">
        <f>INDEX(ChRamp,MATCH(E2763,ChName,0))</f>
        <v/>
      </c>
      <c r="L2763" s="45">
        <f>MIN(1,MAX(0,(A2763-I2763+1)*RampSpeed/J2763))</f>
        <v/>
      </c>
      <c r="M2763" s="45">
        <f>IF(A2763&lt;I2763,0,IF(K2763="S-curve",L2763*L2763*(3-2*L2763),L2763))</f>
        <v/>
      </c>
      <c r="N2763" s="45">
        <f>1+(INDEX(SeasonIdx,A2763)-1)*SeasonAmp</f>
        <v/>
      </c>
      <c r="O2763" s="45">
        <f>IFERROR(INDEX(PSPct,MATCH(E2763&amp;"|"&amp;G2763,PSKey,0)),0)</f>
        <v/>
      </c>
      <c r="P2763" s="46">
        <f>INDEX(ChDoorVel,MATCH(E2763,ChName,0))*CalibScalar*(1+VelocityUplift)</f>
        <v/>
      </c>
      <c r="Q2763" s="46" t="n">
        <v>0</v>
      </c>
      <c r="R2763" s="46">
        <f>P2763*O2763*M2763*N2763*H2763</f>
        <v/>
      </c>
      <c r="S2763" s="46">
        <f>R2763*INDEX(FmtCansPerCase,MATCH(F2763,FmtName,0))</f>
        <v/>
      </c>
      <c r="T2763" s="46">
        <f>S2763/INDEX(FmtCansPerPack,MATCH(F2763,FmtName,0))</f>
        <v/>
      </c>
      <c r="U2763" s="47">
        <f>INDEX(ChBaseCP,MATCH(E2763,ChName,0))*(1+INDEX(ProvMod,MATCH(G2763,ProvCode,0)))*(1+PriceIndex)</f>
        <v/>
      </c>
      <c r="V2763" s="47">
        <f>R2763*U2763*INDEX(FmtBlendedPriceIdx,MATCH(F2763,FmtName,0))</f>
        <v/>
      </c>
      <c r="W2763" s="47">
        <f>T2763*INDEX(ProvSRP,MATCH(G2763,ProvCode,0))*(1+PriceIndex)</f>
        <v/>
      </c>
      <c r="X2763" s="47">
        <f>IF(GrossBasis="Wholesale",V2763,W2763)</f>
        <v/>
      </c>
      <c r="Y2763" s="47">
        <f>R2763*INDEX(FmtBlendedCogs,MATCH(F2763,FmtName,0))</f>
        <v/>
      </c>
      <c r="Z2763" s="47">
        <f>X2763-Y2763</f>
        <v/>
      </c>
    </row>
    <row r="2764">
      <c r="A2764" t="n">
        <v>7</v>
      </c>
      <c r="B2764" s="44">
        <f>FiscalStart+(A2764-1)*7</f>
        <v/>
      </c>
      <c r="C2764">
        <f>TEXT(B2764,"mmm yyyy")</f>
        <v/>
      </c>
      <c r="D2764">
        <f>"Q"&amp;(INT((A2764-1)/13)+1)</f>
        <v/>
      </c>
      <c r="E2764" t="inlineStr">
        <is>
          <t>Specialty</t>
        </is>
      </c>
      <c r="F2764">
        <f>IFERROR(INDEX(ChFormat,MATCH(E2764,ChName,0)),"")</f>
        <v/>
      </c>
      <c r="G2764" t="inlineStr">
        <is>
          <t>SK</t>
        </is>
      </c>
      <c r="H2764">
        <f>IF(A2764&lt;=NWeeks,1,0)</f>
        <v/>
      </c>
      <c r="I2764">
        <f>INDEX(ChLaunch,MATCH(E2764,ChName,0))</f>
        <v/>
      </c>
      <c r="J2764">
        <f>INDEX(ChWeeksFull,MATCH(E2764,ChName,0))</f>
        <v/>
      </c>
      <c r="K2764">
        <f>INDEX(ChRamp,MATCH(E2764,ChName,0))</f>
        <v/>
      </c>
      <c r="L2764" s="45">
        <f>MIN(1,MAX(0,(A2764-I2764+1)*RampSpeed/J2764))</f>
        <v/>
      </c>
      <c r="M2764" s="45">
        <f>IF(A2764&lt;I2764,0,IF(K2764="S-curve",L2764*L2764*(3-2*L2764),L2764))</f>
        <v/>
      </c>
      <c r="N2764" s="45">
        <f>1+(INDEX(SeasonIdx,A2764)-1)*SeasonAmp</f>
        <v/>
      </c>
      <c r="O2764" s="45">
        <f>IFERROR(INDEX(PSPct,MATCH(E2764&amp;"|"&amp;G2764,PSKey,0)),0)</f>
        <v/>
      </c>
      <c r="P2764" s="46">
        <f>INDEX(ChDoorVel,MATCH(E2764,ChName,0))*CalibScalar*(1+VelocityUplift)</f>
        <v/>
      </c>
      <c r="Q2764" s="46" t="n">
        <v>0</v>
      </c>
      <c r="R2764" s="46">
        <f>P2764*O2764*M2764*N2764*H2764</f>
        <v/>
      </c>
      <c r="S2764" s="46">
        <f>R2764*INDEX(FmtCansPerCase,MATCH(F2764,FmtName,0))</f>
        <v/>
      </c>
      <c r="T2764" s="46">
        <f>S2764/INDEX(FmtCansPerPack,MATCH(F2764,FmtName,0))</f>
        <v/>
      </c>
      <c r="U2764" s="47">
        <f>INDEX(ChBaseCP,MATCH(E2764,ChName,0))*(1+INDEX(ProvMod,MATCH(G2764,ProvCode,0)))*(1+PriceIndex)</f>
        <v/>
      </c>
      <c r="V2764" s="47">
        <f>R2764*U2764*INDEX(FmtBlendedPriceIdx,MATCH(F2764,FmtName,0))</f>
        <v/>
      </c>
      <c r="W2764" s="47">
        <f>T2764*INDEX(ProvSRP,MATCH(G2764,ProvCode,0))*(1+PriceIndex)</f>
        <v/>
      </c>
      <c r="X2764" s="47">
        <f>IF(GrossBasis="Wholesale",V2764,W2764)</f>
        <v/>
      </c>
      <c r="Y2764" s="47">
        <f>R2764*INDEX(FmtBlendedCogs,MATCH(F2764,FmtName,0))</f>
        <v/>
      </c>
      <c r="Z2764" s="47">
        <f>X2764-Y2764</f>
        <v/>
      </c>
    </row>
    <row r="2765">
      <c r="A2765" t="n">
        <v>8</v>
      </c>
      <c r="B2765" s="44">
        <f>FiscalStart+(A2765-1)*7</f>
        <v/>
      </c>
      <c r="C2765">
        <f>TEXT(B2765,"mmm yyyy")</f>
        <v/>
      </c>
      <c r="D2765">
        <f>"Q"&amp;(INT((A2765-1)/13)+1)</f>
        <v/>
      </c>
      <c r="E2765" t="inlineStr">
        <is>
          <t>Specialty</t>
        </is>
      </c>
      <c r="F2765">
        <f>IFERROR(INDEX(ChFormat,MATCH(E2765,ChName,0)),"")</f>
        <v/>
      </c>
      <c r="G2765" t="inlineStr">
        <is>
          <t>SK</t>
        </is>
      </c>
      <c r="H2765">
        <f>IF(A2765&lt;=NWeeks,1,0)</f>
        <v/>
      </c>
      <c r="I2765">
        <f>INDEX(ChLaunch,MATCH(E2765,ChName,0))</f>
        <v/>
      </c>
      <c r="J2765">
        <f>INDEX(ChWeeksFull,MATCH(E2765,ChName,0))</f>
        <v/>
      </c>
      <c r="K2765">
        <f>INDEX(ChRamp,MATCH(E2765,ChName,0))</f>
        <v/>
      </c>
      <c r="L2765" s="45">
        <f>MIN(1,MAX(0,(A2765-I2765+1)*RampSpeed/J2765))</f>
        <v/>
      </c>
      <c r="M2765" s="45">
        <f>IF(A2765&lt;I2765,0,IF(K2765="S-curve",L2765*L2765*(3-2*L2765),L2765))</f>
        <v/>
      </c>
      <c r="N2765" s="45">
        <f>1+(INDEX(SeasonIdx,A2765)-1)*SeasonAmp</f>
        <v/>
      </c>
      <c r="O2765" s="45">
        <f>IFERROR(INDEX(PSPct,MATCH(E2765&amp;"|"&amp;G2765,PSKey,0)),0)</f>
        <v/>
      </c>
      <c r="P2765" s="46">
        <f>INDEX(ChDoorVel,MATCH(E2765,ChName,0))*CalibScalar*(1+VelocityUplift)</f>
        <v/>
      </c>
      <c r="Q2765" s="46" t="n">
        <v>0</v>
      </c>
      <c r="R2765" s="46">
        <f>P2765*O2765*M2765*N2765*H2765</f>
        <v/>
      </c>
      <c r="S2765" s="46">
        <f>R2765*INDEX(FmtCansPerCase,MATCH(F2765,FmtName,0))</f>
        <v/>
      </c>
      <c r="T2765" s="46">
        <f>S2765/INDEX(FmtCansPerPack,MATCH(F2765,FmtName,0))</f>
        <v/>
      </c>
      <c r="U2765" s="47">
        <f>INDEX(ChBaseCP,MATCH(E2765,ChName,0))*(1+INDEX(ProvMod,MATCH(G2765,ProvCode,0)))*(1+PriceIndex)</f>
        <v/>
      </c>
      <c r="V2765" s="47">
        <f>R2765*U2765*INDEX(FmtBlendedPriceIdx,MATCH(F2765,FmtName,0))</f>
        <v/>
      </c>
      <c r="W2765" s="47">
        <f>T2765*INDEX(ProvSRP,MATCH(G2765,ProvCode,0))*(1+PriceIndex)</f>
        <v/>
      </c>
      <c r="X2765" s="47">
        <f>IF(GrossBasis="Wholesale",V2765,W2765)</f>
        <v/>
      </c>
      <c r="Y2765" s="47">
        <f>R2765*INDEX(FmtBlendedCogs,MATCH(F2765,FmtName,0))</f>
        <v/>
      </c>
      <c r="Z2765" s="47">
        <f>X2765-Y2765</f>
        <v/>
      </c>
    </row>
    <row r="2766">
      <c r="A2766" t="n">
        <v>9</v>
      </c>
      <c r="B2766" s="44">
        <f>FiscalStart+(A2766-1)*7</f>
        <v/>
      </c>
      <c r="C2766">
        <f>TEXT(B2766,"mmm yyyy")</f>
        <v/>
      </c>
      <c r="D2766">
        <f>"Q"&amp;(INT((A2766-1)/13)+1)</f>
        <v/>
      </c>
      <c r="E2766" t="inlineStr">
        <is>
          <t>Specialty</t>
        </is>
      </c>
      <c r="F2766">
        <f>IFERROR(INDEX(ChFormat,MATCH(E2766,ChName,0)),"")</f>
        <v/>
      </c>
      <c r="G2766" t="inlineStr">
        <is>
          <t>SK</t>
        </is>
      </c>
      <c r="H2766">
        <f>IF(A2766&lt;=NWeeks,1,0)</f>
        <v/>
      </c>
      <c r="I2766">
        <f>INDEX(ChLaunch,MATCH(E2766,ChName,0))</f>
        <v/>
      </c>
      <c r="J2766">
        <f>INDEX(ChWeeksFull,MATCH(E2766,ChName,0))</f>
        <v/>
      </c>
      <c r="K2766">
        <f>INDEX(ChRamp,MATCH(E2766,ChName,0))</f>
        <v/>
      </c>
      <c r="L2766" s="45">
        <f>MIN(1,MAX(0,(A2766-I2766+1)*RampSpeed/J2766))</f>
        <v/>
      </c>
      <c r="M2766" s="45">
        <f>IF(A2766&lt;I2766,0,IF(K2766="S-curve",L2766*L2766*(3-2*L2766),L2766))</f>
        <v/>
      </c>
      <c r="N2766" s="45">
        <f>1+(INDEX(SeasonIdx,A2766)-1)*SeasonAmp</f>
        <v/>
      </c>
      <c r="O2766" s="45">
        <f>IFERROR(INDEX(PSPct,MATCH(E2766&amp;"|"&amp;G2766,PSKey,0)),0)</f>
        <v/>
      </c>
      <c r="P2766" s="46">
        <f>INDEX(ChDoorVel,MATCH(E2766,ChName,0))*CalibScalar*(1+VelocityUplift)</f>
        <v/>
      </c>
      <c r="Q2766" s="46" t="n">
        <v>0</v>
      </c>
      <c r="R2766" s="46">
        <f>P2766*O2766*M2766*N2766*H2766</f>
        <v/>
      </c>
      <c r="S2766" s="46">
        <f>R2766*INDEX(FmtCansPerCase,MATCH(F2766,FmtName,0))</f>
        <v/>
      </c>
      <c r="T2766" s="46">
        <f>S2766/INDEX(FmtCansPerPack,MATCH(F2766,FmtName,0))</f>
        <v/>
      </c>
      <c r="U2766" s="47">
        <f>INDEX(ChBaseCP,MATCH(E2766,ChName,0))*(1+INDEX(ProvMod,MATCH(G2766,ProvCode,0)))*(1+PriceIndex)</f>
        <v/>
      </c>
      <c r="V2766" s="47">
        <f>R2766*U2766*INDEX(FmtBlendedPriceIdx,MATCH(F2766,FmtName,0))</f>
        <v/>
      </c>
      <c r="W2766" s="47">
        <f>T2766*INDEX(ProvSRP,MATCH(G2766,ProvCode,0))*(1+PriceIndex)</f>
        <v/>
      </c>
      <c r="X2766" s="47">
        <f>IF(GrossBasis="Wholesale",V2766,W2766)</f>
        <v/>
      </c>
      <c r="Y2766" s="47">
        <f>R2766*INDEX(FmtBlendedCogs,MATCH(F2766,FmtName,0))</f>
        <v/>
      </c>
      <c r="Z2766" s="47">
        <f>X2766-Y2766</f>
        <v/>
      </c>
    </row>
    <row r="2767">
      <c r="A2767" t="n">
        <v>10</v>
      </c>
      <c r="B2767" s="44">
        <f>FiscalStart+(A2767-1)*7</f>
        <v/>
      </c>
      <c r="C2767">
        <f>TEXT(B2767,"mmm yyyy")</f>
        <v/>
      </c>
      <c r="D2767">
        <f>"Q"&amp;(INT((A2767-1)/13)+1)</f>
        <v/>
      </c>
      <c r="E2767" t="inlineStr">
        <is>
          <t>Specialty</t>
        </is>
      </c>
      <c r="F2767">
        <f>IFERROR(INDEX(ChFormat,MATCH(E2767,ChName,0)),"")</f>
        <v/>
      </c>
      <c r="G2767" t="inlineStr">
        <is>
          <t>SK</t>
        </is>
      </c>
      <c r="H2767">
        <f>IF(A2767&lt;=NWeeks,1,0)</f>
        <v/>
      </c>
      <c r="I2767">
        <f>INDEX(ChLaunch,MATCH(E2767,ChName,0))</f>
        <v/>
      </c>
      <c r="J2767">
        <f>INDEX(ChWeeksFull,MATCH(E2767,ChName,0))</f>
        <v/>
      </c>
      <c r="K2767">
        <f>INDEX(ChRamp,MATCH(E2767,ChName,0))</f>
        <v/>
      </c>
      <c r="L2767" s="45">
        <f>MIN(1,MAX(0,(A2767-I2767+1)*RampSpeed/J2767))</f>
        <v/>
      </c>
      <c r="M2767" s="45">
        <f>IF(A2767&lt;I2767,0,IF(K2767="S-curve",L2767*L2767*(3-2*L2767),L2767))</f>
        <v/>
      </c>
      <c r="N2767" s="45">
        <f>1+(INDEX(SeasonIdx,A2767)-1)*SeasonAmp</f>
        <v/>
      </c>
      <c r="O2767" s="45">
        <f>IFERROR(INDEX(PSPct,MATCH(E2767&amp;"|"&amp;G2767,PSKey,0)),0)</f>
        <v/>
      </c>
      <c r="P2767" s="46">
        <f>INDEX(ChDoorVel,MATCH(E2767,ChName,0))*CalibScalar*(1+VelocityUplift)</f>
        <v/>
      </c>
      <c r="Q2767" s="46" t="n">
        <v>0</v>
      </c>
      <c r="R2767" s="46">
        <f>P2767*O2767*M2767*N2767*H2767</f>
        <v/>
      </c>
      <c r="S2767" s="46">
        <f>R2767*INDEX(FmtCansPerCase,MATCH(F2767,FmtName,0))</f>
        <v/>
      </c>
      <c r="T2767" s="46">
        <f>S2767/INDEX(FmtCansPerPack,MATCH(F2767,FmtName,0))</f>
        <v/>
      </c>
      <c r="U2767" s="47">
        <f>INDEX(ChBaseCP,MATCH(E2767,ChName,0))*(1+INDEX(ProvMod,MATCH(G2767,ProvCode,0)))*(1+PriceIndex)</f>
        <v/>
      </c>
      <c r="V2767" s="47">
        <f>R2767*U2767*INDEX(FmtBlendedPriceIdx,MATCH(F2767,FmtName,0))</f>
        <v/>
      </c>
      <c r="W2767" s="47">
        <f>T2767*INDEX(ProvSRP,MATCH(G2767,ProvCode,0))*(1+PriceIndex)</f>
        <v/>
      </c>
      <c r="X2767" s="47">
        <f>IF(GrossBasis="Wholesale",V2767,W2767)</f>
        <v/>
      </c>
      <c r="Y2767" s="47">
        <f>R2767*INDEX(FmtBlendedCogs,MATCH(F2767,FmtName,0))</f>
        <v/>
      </c>
      <c r="Z2767" s="47">
        <f>X2767-Y2767</f>
        <v/>
      </c>
    </row>
    <row r="2768">
      <c r="A2768" t="n">
        <v>11</v>
      </c>
      <c r="B2768" s="44">
        <f>FiscalStart+(A2768-1)*7</f>
        <v/>
      </c>
      <c r="C2768">
        <f>TEXT(B2768,"mmm yyyy")</f>
        <v/>
      </c>
      <c r="D2768">
        <f>"Q"&amp;(INT((A2768-1)/13)+1)</f>
        <v/>
      </c>
      <c r="E2768" t="inlineStr">
        <is>
          <t>Specialty</t>
        </is>
      </c>
      <c r="F2768">
        <f>IFERROR(INDEX(ChFormat,MATCH(E2768,ChName,0)),"")</f>
        <v/>
      </c>
      <c r="G2768" t="inlineStr">
        <is>
          <t>SK</t>
        </is>
      </c>
      <c r="H2768">
        <f>IF(A2768&lt;=NWeeks,1,0)</f>
        <v/>
      </c>
      <c r="I2768">
        <f>INDEX(ChLaunch,MATCH(E2768,ChName,0))</f>
        <v/>
      </c>
      <c r="J2768">
        <f>INDEX(ChWeeksFull,MATCH(E2768,ChName,0))</f>
        <v/>
      </c>
      <c r="K2768">
        <f>INDEX(ChRamp,MATCH(E2768,ChName,0))</f>
        <v/>
      </c>
      <c r="L2768" s="45">
        <f>MIN(1,MAX(0,(A2768-I2768+1)*RampSpeed/J2768))</f>
        <v/>
      </c>
      <c r="M2768" s="45">
        <f>IF(A2768&lt;I2768,0,IF(K2768="S-curve",L2768*L2768*(3-2*L2768),L2768))</f>
        <v/>
      </c>
      <c r="N2768" s="45">
        <f>1+(INDEX(SeasonIdx,A2768)-1)*SeasonAmp</f>
        <v/>
      </c>
      <c r="O2768" s="45">
        <f>IFERROR(INDEX(PSPct,MATCH(E2768&amp;"|"&amp;G2768,PSKey,0)),0)</f>
        <v/>
      </c>
      <c r="P2768" s="46">
        <f>INDEX(ChDoorVel,MATCH(E2768,ChName,0))*CalibScalar*(1+VelocityUplift)</f>
        <v/>
      </c>
      <c r="Q2768" s="46" t="n">
        <v>0</v>
      </c>
      <c r="R2768" s="46">
        <f>P2768*O2768*M2768*N2768*H2768</f>
        <v/>
      </c>
      <c r="S2768" s="46">
        <f>R2768*INDEX(FmtCansPerCase,MATCH(F2768,FmtName,0))</f>
        <v/>
      </c>
      <c r="T2768" s="46">
        <f>S2768/INDEX(FmtCansPerPack,MATCH(F2768,FmtName,0))</f>
        <v/>
      </c>
      <c r="U2768" s="47">
        <f>INDEX(ChBaseCP,MATCH(E2768,ChName,0))*(1+INDEX(ProvMod,MATCH(G2768,ProvCode,0)))*(1+PriceIndex)</f>
        <v/>
      </c>
      <c r="V2768" s="47">
        <f>R2768*U2768*INDEX(FmtBlendedPriceIdx,MATCH(F2768,FmtName,0))</f>
        <v/>
      </c>
      <c r="W2768" s="47">
        <f>T2768*INDEX(ProvSRP,MATCH(G2768,ProvCode,0))*(1+PriceIndex)</f>
        <v/>
      </c>
      <c r="X2768" s="47">
        <f>IF(GrossBasis="Wholesale",V2768,W2768)</f>
        <v/>
      </c>
      <c r="Y2768" s="47">
        <f>R2768*INDEX(FmtBlendedCogs,MATCH(F2768,FmtName,0))</f>
        <v/>
      </c>
      <c r="Z2768" s="47">
        <f>X2768-Y2768</f>
        <v/>
      </c>
    </row>
    <row r="2769">
      <c r="A2769" t="n">
        <v>12</v>
      </c>
      <c r="B2769" s="44">
        <f>FiscalStart+(A2769-1)*7</f>
        <v/>
      </c>
      <c r="C2769">
        <f>TEXT(B2769,"mmm yyyy")</f>
        <v/>
      </c>
      <c r="D2769">
        <f>"Q"&amp;(INT((A2769-1)/13)+1)</f>
        <v/>
      </c>
      <c r="E2769" t="inlineStr">
        <is>
          <t>Specialty</t>
        </is>
      </c>
      <c r="F2769">
        <f>IFERROR(INDEX(ChFormat,MATCH(E2769,ChName,0)),"")</f>
        <v/>
      </c>
      <c r="G2769" t="inlineStr">
        <is>
          <t>SK</t>
        </is>
      </c>
      <c r="H2769">
        <f>IF(A2769&lt;=NWeeks,1,0)</f>
        <v/>
      </c>
      <c r="I2769">
        <f>INDEX(ChLaunch,MATCH(E2769,ChName,0))</f>
        <v/>
      </c>
      <c r="J2769">
        <f>INDEX(ChWeeksFull,MATCH(E2769,ChName,0))</f>
        <v/>
      </c>
      <c r="K2769">
        <f>INDEX(ChRamp,MATCH(E2769,ChName,0))</f>
        <v/>
      </c>
      <c r="L2769" s="45">
        <f>MIN(1,MAX(0,(A2769-I2769+1)*RampSpeed/J2769))</f>
        <v/>
      </c>
      <c r="M2769" s="45">
        <f>IF(A2769&lt;I2769,0,IF(K2769="S-curve",L2769*L2769*(3-2*L2769),L2769))</f>
        <v/>
      </c>
      <c r="N2769" s="45">
        <f>1+(INDEX(SeasonIdx,A2769)-1)*SeasonAmp</f>
        <v/>
      </c>
      <c r="O2769" s="45">
        <f>IFERROR(INDEX(PSPct,MATCH(E2769&amp;"|"&amp;G2769,PSKey,0)),0)</f>
        <v/>
      </c>
      <c r="P2769" s="46">
        <f>INDEX(ChDoorVel,MATCH(E2769,ChName,0))*CalibScalar*(1+VelocityUplift)</f>
        <v/>
      </c>
      <c r="Q2769" s="46" t="n">
        <v>0</v>
      </c>
      <c r="R2769" s="46">
        <f>P2769*O2769*M2769*N2769*H2769</f>
        <v/>
      </c>
      <c r="S2769" s="46">
        <f>R2769*INDEX(FmtCansPerCase,MATCH(F2769,FmtName,0))</f>
        <v/>
      </c>
      <c r="T2769" s="46">
        <f>S2769/INDEX(FmtCansPerPack,MATCH(F2769,FmtName,0))</f>
        <v/>
      </c>
      <c r="U2769" s="47">
        <f>INDEX(ChBaseCP,MATCH(E2769,ChName,0))*(1+INDEX(ProvMod,MATCH(G2769,ProvCode,0)))*(1+PriceIndex)</f>
        <v/>
      </c>
      <c r="V2769" s="47">
        <f>R2769*U2769*INDEX(FmtBlendedPriceIdx,MATCH(F2769,FmtName,0))</f>
        <v/>
      </c>
      <c r="W2769" s="47">
        <f>T2769*INDEX(ProvSRP,MATCH(G2769,ProvCode,0))*(1+PriceIndex)</f>
        <v/>
      </c>
      <c r="X2769" s="47">
        <f>IF(GrossBasis="Wholesale",V2769,W2769)</f>
        <v/>
      </c>
      <c r="Y2769" s="47">
        <f>R2769*INDEX(FmtBlendedCogs,MATCH(F2769,FmtName,0))</f>
        <v/>
      </c>
      <c r="Z2769" s="47">
        <f>X2769-Y2769</f>
        <v/>
      </c>
    </row>
    <row r="2770">
      <c r="A2770" t="n">
        <v>13</v>
      </c>
      <c r="B2770" s="44">
        <f>FiscalStart+(A2770-1)*7</f>
        <v/>
      </c>
      <c r="C2770">
        <f>TEXT(B2770,"mmm yyyy")</f>
        <v/>
      </c>
      <c r="D2770">
        <f>"Q"&amp;(INT((A2770-1)/13)+1)</f>
        <v/>
      </c>
      <c r="E2770" t="inlineStr">
        <is>
          <t>Specialty</t>
        </is>
      </c>
      <c r="F2770">
        <f>IFERROR(INDEX(ChFormat,MATCH(E2770,ChName,0)),"")</f>
        <v/>
      </c>
      <c r="G2770" t="inlineStr">
        <is>
          <t>SK</t>
        </is>
      </c>
      <c r="H2770">
        <f>IF(A2770&lt;=NWeeks,1,0)</f>
        <v/>
      </c>
      <c r="I2770">
        <f>INDEX(ChLaunch,MATCH(E2770,ChName,0))</f>
        <v/>
      </c>
      <c r="J2770">
        <f>INDEX(ChWeeksFull,MATCH(E2770,ChName,0))</f>
        <v/>
      </c>
      <c r="K2770">
        <f>INDEX(ChRamp,MATCH(E2770,ChName,0))</f>
        <v/>
      </c>
      <c r="L2770" s="45">
        <f>MIN(1,MAX(0,(A2770-I2770+1)*RampSpeed/J2770))</f>
        <v/>
      </c>
      <c r="M2770" s="45">
        <f>IF(A2770&lt;I2770,0,IF(K2770="S-curve",L2770*L2770*(3-2*L2770),L2770))</f>
        <v/>
      </c>
      <c r="N2770" s="45">
        <f>1+(INDEX(SeasonIdx,A2770)-1)*SeasonAmp</f>
        <v/>
      </c>
      <c r="O2770" s="45">
        <f>IFERROR(INDEX(PSPct,MATCH(E2770&amp;"|"&amp;G2770,PSKey,0)),0)</f>
        <v/>
      </c>
      <c r="P2770" s="46">
        <f>INDEX(ChDoorVel,MATCH(E2770,ChName,0))*CalibScalar*(1+VelocityUplift)</f>
        <v/>
      </c>
      <c r="Q2770" s="46" t="n">
        <v>0</v>
      </c>
      <c r="R2770" s="46">
        <f>P2770*O2770*M2770*N2770*H2770</f>
        <v/>
      </c>
      <c r="S2770" s="46">
        <f>R2770*INDEX(FmtCansPerCase,MATCH(F2770,FmtName,0))</f>
        <v/>
      </c>
      <c r="T2770" s="46">
        <f>S2770/INDEX(FmtCansPerPack,MATCH(F2770,FmtName,0))</f>
        <v/>
      </c>
      <c r="U2770" s="47">
        <f>INDEX(ChBaseCP,MATCH(E2770,ChName,0))*(1+INDEX(ProvMod,MATCH(G2770,ProvCode,0)))*(1+PriceIndex)</f>
        <v/>
      </c>
      <c r="V2770" s="47">
        <f>R2770*U2770*INDEX(FmtBlendedPriceIdx,MATCH(F2770,FmtName,0))</f>
        <v/>
      </c>
      <c r="W2770" s="47">
        <f>T2770*INDEX(ProvSRP,MATCH(G2770,ProvCode,0))*(1+PriceIndex)</f>
        <v/>
      </c>
      <c r="X2770" s="47">
        <f>IF(GrossBasis="Wholesale",V2770,W2770)</f>
        <v/>
      </c>
      <c r="Y2770" s="47">
        <f>R2770*INDEX(FmtBlendedCogs,MATCH(F2770,FmtName,0))</f>
        <v/>
      </c>
      <c r="Z2770" s="47">
        <f>X2770-Y2770</f>
        <v/>
      </c>
    </row>
    <row r="2771">
      <c r="A2771" t="n">
        <v>14</v>
      </c>
      <c r="B2771" s="44">
        <f>FiscalStart+(A2771-1)*7</f>
        <v/>
      </c>
      <c r="C2771">
        <f>TEXT(B2771,"mmm yyyy")</f>
        <v/>
      </c>
      <c r="D2771">
        <f>"Q"&amp;(INT((A2771-1)/13)+1)</f>
        <v/>
      </c>
      <c r="E2771" t="inlineStr">
        <is>
          <t>Specialty</t>
        </is>
      </c>
      <c r="F2771">
        <f>IFERROR(INDEX(ChFormat,MATCH(E2771,ChName,0)),"")</f>
        <v/>
      </c>
      <c r="G2771" t="inlineStr">
        <is>
          <t>SK</t>
        </is>
      </c>
      <c r="H2771">
        <f>IF(A2771&lt;=NWeeks,1,0)</f>
        <v/>
      </c>
      <c r="I2771">
        <f>INDEX(ChLaunch,MATCH(E2771,ChName,0))</f>
        <v/>
      </c>
      <c r="J2771">
        <f>INDEX(ChWeeksFull,MATCH(E2771,ChName,0))</f>
        <v/>
      </c>
      <c r="K2771">
        <f>INDEX(ChRamp,MATCH(E2771,ChName,0))</f>
        <v/>
      </c>
      <c r="L2771" s="45">
        <f>MIN(1,MAX(0,(A2771-I2771+1)*RampSpeed/J2771))</f>
        <v/>
      </c>
      <c r="M2771" s="45">
        <f>IF(A2771&lt;I2771,0,IF(K2771="S-curve",L2771*L2771*(3-2*L2771),L2771))</f>
        <v/>
      </c>
      <c r="N2771" s="45">
        <f>1+(INDEX(SeasonIdx,A2771)-1)*SeasonAmp</f>
        <v/>
      </c>
      <c r="O2771" s="45">
        <f>IFERROR(INDEX(PSPct,MATCH(E2771&amp;"|"&amp;G2771,PSKey,0)),0)</f>
        <v/>
      </c>
      <c r="P2771" s="46">
        <f>INDEX(ChDoorVel,MATCH(E2771,ChName,0))*CalibScalar*(1+VelocityUplift)</f>
        <v/>
      </c>
      <c r="Q2771" s="46" t="n">
        <v>0</v>
      </c>
      <c r="R2771" s="46">
        <f>P2771*O2771*M2771*N2771*H2771</f>
        <v/>
      </c>
      <c r="S2771" s="46">
        <f>R2771*INDEX(FmtCansPerCase,MATCH(F2771,FmtName,0))</f>
        <v/>
      </c>
      <c r="T2771" s="46">
        <f>S2771/INDEX(FmtCansPerPack,MATCH(F2771,FmtName,0))</f>
        <v/>
      </c>
      <c r="U2771" s="47">
        <f>INDEX(ChBaseCP,MATCH(E2771,ChName,0))*(1+INDEX(ProvMod,MATCH(G2771,ProvCode,0)))*(1+PriceIndex)</f>
        <v/>
      </c>
      <c r="V2771" s="47">
        <f>R2771*U2771*INDEX(FmtBlendedPriceIdx,MATCH(F2771,FmtName,0))</f>
        <v/>
      </c>
      <c r="W2771" s="47">
        <f>T2771*INDEX(ProvSRP,MATCH(G2771,ProvCode,0))*(1+PriceIndex)</f>
        <v/>
      </c>
      <c r="X2771" s="47">
        <f>IF(GrossBasis="Wholesale",V2771,W2771)</f>
        <v/>
      </c>
      <c r="Y2771" s="47">
        <f>R2771*INDEX(FmtBlendedCogs,MATCH(F2771,FmtName,0))</f>
        <v/>
      </c>
      <c r="Z2771" s="47">
        <f>X2771-Y2771</f>
        <v/>
      </c>
    </row>
    <row r="2772">
      <c r="A2772" t="n">
        <v>15</v>
      </c>
      <c r="B2772" s="44">
        <f>FiscalStart+(A2772-1)*7</f>
        <v/>
      </c>
      <c r="C2772">
        <f>TEXT(B2772,"mmm yyyy")</f>
        <v/>
      </c>
      <c r="D2772">
        <f>"Q"&amp;(INT((A2772-1)/13)+1)</f>
        <v/>
      </c>
      <c r="E2772" t="inlineStr">
        <is>
          <t>Specialty</t>
        </is>
      </c>
      <c r="F2772">
        <f>IFERROR(INDEX(ChFormat,MATCH(E2772,ChName,0)),"")</f>
        <v/>
      </c>
      <c r="G2772" t="inlineStr">
        <is>
          <t>SK</t>
        </is>
      </c>
      <c r="H2772">
        <f>IF(A2772&lt;=NWeeks,1,0)</f>
        <v/>
      </c>
      <c r="I2772">
        <f>INDEX(ChLaunch,MATCH(E2772,ChName,0))</f>
        <v/>
      </c>
      <c r="J2772">
        <f>INDEX(ChWeeksFull,MATCH(E2772,ChName,0))</f>
        <v/>
      </c>
      <c r="K2772">
        <f>INDEX(ChRamp,MATCH(E2772,ChName,0))</f>
        <v/>
      </c>
      <c r="L2772" s="45">
        <f>MIN(1,MAX(0,(A2772-I2772+1)*RampSpeed/J2772))</f>
        <v/>
      </c>
      <c r="M2772" s="45">
        <f>IF(A2772&lt;I2772,0,IF(K2772="S-curve",L2772*L2772*(3-2*L2772),L2772))</f>
        <v/>
      </c>
      <c r="N2772" s="45">
        <f>1+(INDEX(SeasonIdx,A2772)-1)*SeasonAmp</f>
        <v/>
      </c>
      <c r="O2772" s="45">
        <f>IFERROR(INDEX(PSPct,MATCH(E2772&amp;"|"&amp;G2772,PSKey,0)),0)</f>
        <v/>
      </c>
      <c r="P2772" s="46">
        <f>INDEX(ChDoorVel,MATCH(E2772,ChName,0))*CalibScalar*(1+VelocityUplift)</f>
        <v/>
      </c>
      <c r="Q2772" s="46" t="n">
        <v>0</v>
      </c>
      <c r="R2772" s="46">
        <f>P2772*O2772*M2772*N2772*H2772</f>
        <v/>
      </c>
      <c r="S2772" s="46">
        <f>R2772*INDEX(FmtCansPerCase,MATCH(F2772,FmtName,0))</f>
        <v/>
      </c>
      <c r="T2772" s="46">
        <f>S2772/INDEX(FmtCansPerPack,MATCH(F2772,FmtName,0))</f>
        <v/>
      </c>
      <c r="U2772" s="47">
        <f>INDEX(ChBaseCP,MATCH(E2772,ChName,0))*(1+INDEX(ProvMod,MATCH(G2772,ProvCode,0)))*(1+PriceIndex)</f>
        <v/>
      </c>
      <c r="V2772" s="47">
        <f>R2772*U2772*INDEX(FmtBlendedPriceIdx,MATCH(F2772,FmtName,0))</f>
        <v/>
      </c>
      <c r="W2772" s="47">
        <f>T2772*INDEX(ProvSRP,MATCH(G2772,ProvCode,0))*(1+PriceIndex)</f>
        <v/>
      </c>
      <c r="X2772" s="47">
        <f>IF(GrossBasis="Wholesale",V2772,W2772)</f>
        <v/>
      </c>
      <c r="Y2772" s="47">
        <f>R2772*INDEX(FmtBlendedCogs,MATCH(F2772,FmtName,0))</f>
        <v/>
      </c>
      <c r="Z2772" s="47">
        <f>X2772-Y2772</f>
        <v/>
      </c>
    </row>
    <row r="2773">
      <c r="A2773" t="n">
        <v>16</v>
      </c>
      <c r="B2773" s="44">
        <f>FiscalStart+(A2773-1)*7</f>
        <v/>
      </c>
      <c r="C2773">
        <f>TEXT(B2773,"mmm yyyy")</f>
        <v/>
      </c>
      <c r="D2773">
        <f>"Q"&amp;(INT((A2773-1)/13)+1)</f>
        <v/>
      </c>
      <c r="E2773" t="inlineStr">
        <is>
          <t>Specialty</t>
        </is>
      </c>
      <c r="F2773">
        <f>IFERROR(INDEX(ChFormat,MATCH(E2773,ChName,0)),"")</f>
        <v/>
      </c>
      <c r="G2773" t="inlineStr">
        <is>
          <t>SK</t>
        </is>
      </c>
      <c r="H2773">
        <f>IF(A2773&lt;=NWeeks,1,0)</f>
        <v/>
      </c>
      <c r="I2773">
        <f>INDEX(ChLaunch,MATCH(E2773,ChName,0))</f>
        <v/>
      </c>
      <c r="J2773">
        <f>INDEX(ChWeeksFull,MATCH(E2773,ChName,0))</f>
        <v/>
      </c>
      <c r="K2773">
        <f>INDEX(ChRamp,MATCH(E2773,ChName,0))</f>
        <v/>
      </c>
      <c r="L2773" s="45">
        <f>MIN(1,MAX(0,(A2773-I2773+1)*RampSpeed/J2773))</f>
        <v/>
      </c>
      <c r="M2773" s="45">
        <f>IF(A2773&lt;I2773,0,IF(K2773="S-curve",L2773*L2773*(3-2*L2773),L2773))</f>
        <v/>
      </c>
      <c r="N2773" s="45">
        <f>1+(INDEX(SeasonIdx,A2773)-1)*SeasonAmp</f>
        <v/>
      </c>
      <c r="O2773" s="45">
        <f>IFERROR(INDEX(PSPct,MATCH(E2773&amp;"|"&amp;G2773,PSKey,0)),0)</f>
        <v/>
      </c>
      <c r="P2773" s="46">
        <f>INDEX(ChDoorVel,MATCH(E2773,ChName,0))*CalibScalar*(1+VelocityUplift)</f>
        <v/>
      </c>
      <c r="Q2773" s="46" t="n">
        <v>0</v>
      </c>
      <c r="R2773" s="46">
        <f>P2773*O2773*M2773*N2773*H2773</f>
        <v/>
      </c>
      <c r="S2773" s="46">
        <f>R2773*INDEX(FmtCansPerCase,MATCH(F2773,FmtName,0))</f>
        <v/>
      </c>
      <c r="T2773" s="46">
        <f>S2773/INDEX(FmtCansPerPack,MATCH(F2773,FmtName,0))</f>
        <v/>
      </c>
      <c r="U2773" s="47">
        <f>INDEX(ChBaseCP,MATCH(E2773,ChName,0))*(1+INDEX(ProvMod,MATCH(G2773,ProvCode,0)))*(1+PriceIndex)</f>
        <v/>
      </c>
      <c r="V2773" s="47">
        <f>R2773*U2773*INDEX(FmtBlendedPriceIdx,MATCH(F2773,FmtName,0))</f>
        <v/>
      </c>
      <c r="W2773" s="47">
        <f>T2773*INDEX(ProvSRP,MATCH(G2773,ProvCode,0))*(1+PriceIndex)</f>
        <v/>
      </c>
      <c r="X2773" s="47">
        <f>IF(GrossBasis="Wholesale",V2773,W2773)</f>
        <v/>
      </c>
      <c r="Y2773" s="47">
        <f>R2773*INDEX(FmtBlendedCogs,MATCH(F2773,FmtName,0))</f>
        <v/>
      </c>
      <c r="Z2773" s="47">
        <f>X2773-Y2773</f>
        <v/>
      </c>
    </row>
    <row r="2774">
      <c r="A2774" t="n">
        <v>17</v>
      </c>
      <c r="B2774" s="44">
        <f>FiscalStart+(A2774-1)*7</f>
        <v/>
      </c>
      <c r="C2774">
        <f>TEXT(B2774,"mmm yyyy")</f>
        <v/>
      </c>
      <c r="D2774">
        <f>"Q"&amp;(INT((A2774-1)/13)+1)</f>
        <v/>
      </c>
      <c r="E2774" t="inlineStr">
        <is>
          <t>Specialty</t>
        </is>
      </c>
      <c r="F2774">
        <f>IFERROR(INDEX(ChFormat,MATCH(E2774,ChName,0)),"")</f>
        <v/>
      </c>
      <c r="G2774" t="inlineStr">
        <is>
          <t>SK</t>
        </is>
      </c>
      <c r="H2774">
        <f>IF(A2774&lt;=NWeeks,1,0)</f>
        <v/>
      </c>
      <c r="I2774">
        <f>INDEX(ChLaunch,MATCH(E2774,ChName,0))</f>
        <v/>
      </c>
      <c r="J2774">
        <f>INDEX(ChWeeksFull,MATCH(E2774,ChName,0))</f>
        <v/>
      </c>
      <c r="K2774">
        <f>INDEX(ChRamp,MATCH(E2774,ChName,0))</f>
        <v/>
      </c>
      <c r="L2774" s="45">
        <f>MIN(1,MAX(0,(A2774-I2774+1)*RampSpeed/J2774))</f>
        <v/>
      </c>
      <c r="M2774" s="45">
        <f>IF(A2774&lt;I2774,0,IF(K2774="S-curve",L2774*L2774*(3-2*L2774),L2774))</f>
        <v/>
      </c>
      <c r="N2774" s="45">
        <f>1+(INDEX(SeasonIdx,A2774)-1)*SeasonAmp</f>
        <v/>
      </c>
      <c r="O2774" s="45">
        <f>IFERROR(INDEX(PSPct,MATCH(E2774&amp;"|"&amp;G2774,PSKey,0)),0)</f>
        <v/>
      </c>
      <c r="P2774" s="46">
        <f>INDEX(ChDoorVel,MATCH(E2774,ChName,0))*CalibScalar*(1+VelocityUplift)</f>
        <v/>
      </c>
      <c r="Q2774" s="46" t="n">
        <v>0</v>
      </c>
      <c r="R2774" s="46">
        <f>P2774*O2774*M2774*N2774*H2774</f>
        <v/>
      </c>
      <c r="S2774" s="46">
        <f>R2774*INDEX(FmtCansPerCase,MATCH(F2774,FmtName,0))</f>
        <v/>
      </c>
      <c r="T2774" s="46">
        <f>S2774/INDEX(FmtCansPerPack,MATCH(F2774,FmtName,0))</f>
        <v/>
      </c>
      <c r="U2774" s="47">
        <f>INDEX(ChBaseCP,MATCH(E2774,ChName,0))*(1+INDEX(ProvMod,MATCH(G2774,ProvCode,0)))*(1+PriceIndex)</f>
        <v/>
      </c>
      <c r="V2774" s="47">
        <f>R2774*U2774*INDEX(FmtBlendedPriceIdx,MATCH(F2774,FmtName,0))</f>
        <v/>
      </c>
      <c r="W2774" s="47">
        <f>T2774*INDEX(ProvSRP,MATCH(G2774,ProvCode,0))*(1+PriceIndex)</f>
        <v/>
      </c>
      <c r="X2774" s="47">
        <f>IF(GrossBasis="Wholesale",V2774,W2774)</f>
        <v/>
      </c>
      <c r="Y2774" s="47">
        <f>R2774*INDEX(FmtBlendedCogs,MATCH(F2774,FmtName,0))</f>
        <v/>
      </c>
      <c r="Z2774" s="47">
        <f>X2774-Y2774</f>
        <v/>
      </c>
    </row>
    <row r="2775">
      <c r="A2775" t="n">
        <v>18</v>
      </c>
      <c r="B2775" s="44">
        <f>FiscalStart+(A2775-1)*7</f>
        <v/>
      </c>
      <c r="C2775">
        <f>TEXT(B2775,"mmm yyyy")</f>
        <v/>
      </c>
      <c r="D2775">
        <f>"Q"&amp;(INT((A2775-1)/13)+1)</f>
        <v/>
      </c>
      <c r="E2775" t="inlineStr">
        <is>
          <t>Specialty</t>
        </is>
      </c>
      <c r="F2775">
        <f>IFERROR(INDEX(ChFormat,MATCH(E2775,ChName,0)),"")</f>
        <v/>
      </c>
      <c r="G2775" t="inlineStr">
        <is>
          <t>SK</t>
        </is>
      </c>
      <c r="H2775">
        <f>IF(A2775&lt;=NWeeks,1,0)</f>
        <v/>
      </c>
      <c r="I2775">
        <f>INDEX(ChLaunch,MATCH(E2775,ChName,0))</f>
        <v/>
      </c>
      <c r="J2775">
        <f>INDEX(ChWeeksFull,MATCH(E2775,ChName,0))</f>
        <v/>
      </c>
      <c r="K2775">
        <f>INDEX(ChRamp,MATCH(E2775,ChName,0))</f>
        <v/>
      </c>
      <c r="L2775" s="45">
        <f>MIN(1,MAX(0,(A2775-I2775+1)*RampSpeed/J2775))</f>
        <v/>
      </c>
      <c r="M2775" s="45">
        <f>IF(A2775&lt;I2775,0,IF(K2775="S-curve",L2775*L2775*(3-2*L2775),L2775))</f>
        <v/>
      </c>
      <c r="N2775" s="45">
        <f>1+(INDEX(SeasonIdx,A2775)-1)*SeasonAmp</f>
        <v/>
      </c>
      <c r="O2775" s="45">
        <f>IFERROR(INDEX(PSPct,MATCH(E2775&amp;"|"&amp;G2775,PSKey,0)),0)</f>
        <v/>
      </c>
      <c r="P2775" s="46">
        <f>INDEX(ChDoorVel,MATCH(E2775,ChName,0))*CalibScalar*(1+VelocityUplift)</f>
        <v/>
      </c>
      <c r="Q2775" s="46" t="n">
        <v>0</v>
      </c>
      <c r="R2775" s="46">
        <f>P2775*O2775*M2775*N2775*H2775</f>
        <v/>
      </c>
      <c r="S2775" s="46">
        <f>R2775*INDEX(FmtCansPerCase,MATCH(F2775,FmtName,0))</f>
        <v/>
      </c>
      <c r="T2775" s="46">
        <f>S2775/INDEX(FmtCansPerPack,MATCH(F2775,FmtName,0))</f>
        <v/>
      </c>
      <c r="U2775" s="47">
        <f>INDEX(ChBaseCP,MATCH(E2775,ChName,0))*(1+INDEX(ProvMod,MATCH(G2775,ProvCode,0)))*(1+PriceIndex)</f>
        <v/>
      </c>
      <c r="V2775" s="47">
        <f>R2775*U2775*INDEX(FmtBlendedPriceIdx,MATCH(F2775,FmtName,0))</f>
        <v/>
      </c>
      <c r="W2775" s="47">
        <f>T2775*INDEX(ProvSRP,MATCH(G2775,ProvCode,0))*(1+PriceIndex)</f>
        <v/>
      </c>
      <c r="X2775" s="47">
        <f>IF(GrossBasis="Wholesale",V2775,W2775)</f>
        <v/>
      </c>
      <c r="Y2775" s="47">
        <f>R2775*INDEX(FmtBlendedCogs,MATCH(F2775,FmtName,0))</f>
        <v/>
      </c>
      <c r="Z2775" s="47">
        <f>X2775-Y2775</f>
        <v/>
      </c>
    </row>
    <row r="2776">
      <c r="A2776" t="n">
        <v>19</v>
      </c>
      <c r="B2776" s="44">
        <f>FiscalStart+(A2776-1)*7</f>
        <v/>
      </c>
      <c r="C2776">
        <f>TEXT(B2776,"mmm yyyy")</f>
        <v/>
      </c>
      <c r="D2776">
        <f>"Q"&amp;(INT((A2776-1)/13)+1)</f>
        <v/>
      </c>
      <c r="E2776" t="inlineStr">
        <is>
          <t>Specialty</t>
        </is>
      </c>
      <c r="F2776">
        <f>IFERROR(INDEX(ChFormat,MATCH(E2776,ChName,0)),"")</f>
        <v/>
      </c>
      <c r="G2776" t="inlineStr">
        <is>
          <t>SK</t>
        </is>
      </c>
      <c r="H2776">
        <f>IF(A2776&lt;=NWeeks,1,0)</f>
        <v/>
      </c>
      <c r="I2776">
        <f>INDEX(ChLaunch,MATCH(E2776,ChName,0))</f>
        <v/>
      </c>
      <c r="J2776">
        <f>INDEX(ChWeeksFull,MATCH(E2776,ChName,0))</f>
        <v/>
      </c>
      <c r="K2776">
        <f>INDEX(ChRamp,MATCH(E2776,ChName,0))</f>
        <v/>
      </c>
      <c r="L2776" s="45">
        <f>MIN(1,MAX(0,(A2776-I2776+1)*RampSpeed/J2776))</f>
        <v/>
      </c>
      <c r="M2776" s="45">
        <f>IF(A2776&lt;I2776,0,IF(K2776="S-curve",L2776*L2776*(3-2*L2776),L2776))</f>
        <v/>
      </c>
      <c r="N2776" s="45">
        <f>1+(INDEX(SeasonIdx,A2776)-1)*SeasonAmp</f>
        <v/>
      </c>
      <c r="O2776" s="45">
        <f>IFERROR(INDEX(PSPct,MATCH(E2776&amp;"|"&amp;G2776,PSKey,0)),0)</f>
        <v/>
      </c>
      <c r="P2776" s="46">
        <f>INDEX(ChDoorVel,MATCH(E2776,ChName,0))*CalibScalar*(1+VelocityUplift)</f>
        <v/>
      </c>
      <c r="Q2776" s="46" t="n">
        <v>0</v>
      </c>
      <c r="R2776" s="46">
        <f>P2776*O2776*M2776*N2776*H2776</f>
        <v/>
      </c>
      <c r="S2776" s="46">
        <f>R2776*INDEX(FmtCansPerCase,MATCH(F2776,FmtName,0))</f>
        <v/>
      </c>
      <c r="T2776" s="46">
        <f>S2776/INDEX(FmtCansPerPack,MATCH(F2776,FmtName,0))</f>
        <v/>
      </c>
      <c r="U2776" s="47">
        <f>INDEX(ChBaseCP,MATCH(E2776,ChName,0))*(1+INDEX(ProvMod,MATCH(G2776,ProvCode,0)))*(1+PriceIndex)</f>
        <v/>
      </c>
      <c r="V2776" s="47">
        <f>R2776*U2776*INDEX(FmtBlendedPriceIdx,MATCH(F2776,FmtName,0))</f>
        <v/>
      </c>
      <c r="W2776" s="47">
        <f>T2776*INDEX(ProvSRP,MATCH(G2776,ProvCode,0))*(1+PriceIndex)</f>
        <v/>
      </c>
      <c r="X2776" s="47">
        <f>IF(GrossBasis="Wholesale",V2776,W2776)</f>
        <v/>
      </c>
      <c r="Y2776" s="47">
        <f>R2776*INDEX(FmtBlendedCogs,MATCH(F2776,FmtName,0))</f>
        <v/>
      </c>
      <c r="Z2776" s="47">
        <f>X2776-Y2776</f>
        <v/>
      </c>
    </row>
    <row r="2777">
      <c r="A2777" t="n">
        <v>20</v>
      </c>
      <c r="B2777" s="44">
        <f>FiscalStart+(A2777-1)*7</f>
        <v/>
      </c>
      <c r="C2777">
        <f>TEXT(B2777,"mmm yyyy")</f>
        <v/>
      </c>
      <c r="D2777">
        <f>"Q"&amp;(INT((A2777-1)/13)+1)</f>
        <v/>
      </c>
      <c r="E2777" t="inlineStr">
        <is>
          <t>Specialty</t>
        </is>
      </c>
      <c r="F2777">
        <f>IFERROR(INDEX(ChFormat,MATCH(E2777,ChName,0)),"")</f>
        <v/>
      </c>
      <c r="G2777" t="inlineStr">
        <is>
          <t>SK</t>
        </is>
      </c>
      <c r="H2777">
        <f>IF(A2777&lt;=NWeeks,1,0)</f>
        <v/>
      </c>
      <c r="I2777">
        <f>INDEX(ChLaunch,MATCH(E2777,ChName,0))</f>
        <v/>
      </c>
      <c r="J2777">
        <f>INDEX(ChWeeksFull,MATCH(E2777,ChName,0))</f>
        <v/>
      </c>
      <c r="K2777">
        <f>INDEX(ChRamp,MATCH(E2777,ChName,0))</f>
        <v/>
      </c>
      <c r="L2777" s="45">
        <f>MIN(1,MAX(0,(A2777-I2777+1)*RampSpeed/J2777))</f>
        <v/>
      </c>
      <c r="M2777" s="45">
        <f>IF(A2777&lt;I2777,0,IF(K2777="S-curve",L2777*L2777*(3-2*L2777),L2777))</f>
        <v/>
      </c>
      <c r="N2777" s="45">
        <f>1+(INDEX(SeasonIdx,A2777)-1)*SeasonAmp</f>
        <v/>
      </c>
      <c r="O2777" s="45">
        <f>IFERROR(INDEX(PSPct,MATCH(E2777&amp;"|"&amp;G2777,PSKey,0)),0)</f>
        <v/>
      </c>
      <c r="P2777" s="46">
        <f>INDEX(ChDoorVel,MATCH(E2777,ChName,0))*CalibScalar*(1+VelocityUplift)</f>
        <v/>
      </c>
      <c r="Q2777" s="46" t="n">
        <v>0</v>
      </c>
      <c r="R2777" s="46">
        <f>P2777*O2777*M2777*N2777*H2777</f>
        <v/>
      </c>
      <c r="S2777" s="46">
        <f>R2777*INDEX(FmtCansPerCase,MATCH(F2777,FmtName,0))</f>
        <v/>
      </c>
      <c r="T2777" s="46">
        <f>S2777/INDEX(FmtCansPerPack,MATCH(F2777,FmtName,0))</f>
        <v/>
      </c>
      <c r="U2777" s="47">
        <f>INDEX(ChBaseCP,MATCH(E2777,ChName,0))*(1+INDEX(ProvMod,MATCH(G2777,ProvCode,0)))*(1+PriceIndex)</f>
        <v/>
      </c>
      <c r="V2777" s="47">
        <f>R2777*U2777*INDEX(FmtBlendedPriceIdx,MATCH(F2777,FmtName,0))</f>
        <v/>
      </c>
      <c r="W2777" s="47">
        <f>T2777*INDEX(ProvSRP,MATCH(G2777,ProvCode,0))*(1+PriceIndex)</f>
        <v/>
      </c>
      <c r="X2777" s="47">
        <f>IF(GrossBasis="Wholesale",V2777,W2777)</f>
        <v/>
      </c>
      <c r="Y2777" s="47">
        <f>R2777*INDEX(FmtBlendedCogs,MATCH(F2777,FmtName,0))</f>
        <v/>
      </c>
      <c r="Z2777" s="47">
        <f>X2777-Y2777</f>
        <v/>
      </c>
    </row>
    <row r="2778">
      <c r="A2778" t="n">
        <v>21</v>
      </c>
      <c r="B2778" s="44">
        <f>FiscalStart+(A2778-1)*7</f>
        <v/>
      </c>
      <c r="C2778">
        <f>TEXT(B2778,"mmm yyyy")</f>
        <v/>
      </c>
      <c r="D2778">
        <f>"Q"&amp;(INT((A2778-1)/13)+1)</f>
        <v/>
      </c>
      <c r="E2778" t="inlineStr">
        <is>
          <t>Specialty</t>
        </is>
      </c>
      <c r="F2778">
        <f>IFERROR(INDEX(ChFormat,MATCH(E2778,ChName,0)),"")</f>
        <v/>
      </c>
      <c r="G2778" t="inlineStr">
        <is>
          <t>SK</t>
        </is>
      </c>
      <c r="H2778">
        <f>IF(A2778&lt;=NWeeks,1,0)</f>
        <v/>
      </c>
      <c r="I2778">
        <f>INDEX(ChLaunch,MATCH(E2778,ChName,0))</f>
        <v/>
      </c>
      <c r="J2778">
        <f>INDEX(ChWeeksFull,MATCH(E2778,ChName,0))</f>
        <v/>
      </c>
      <c r="K2778">
        <f>INDEX(ChRamp,MATCH(E2778,ChName,0))</f>
        <v/>
      </c>
      <c r="L2778" s="45">
        <f>MIN(1,MAX(0,(A2778-I2778+1)*RampSpeed/J2778))</f>
        <v/>
      </c>
      <c r="M2778" s="45">
        <f>IF(A2778&lt;I2778,0,IF(K2778="S-curve",L2778*L2778*(3-2*L2778),L2778))</f>
        <v/>
      </c>
      <c r="N2778" s="45">
        <f>1+(INDEX(SeasonIdx,A2778)-1)*SeasonAmp</f>
        <v/>
      </c>
      <c r="O2778" s="45">
        <f>IFERROR(INDEX(PSPct,MATCH(E2778&amp;"|"&amp;G2778,PSKey,0)),0)</f>
        <v/>
      </c>
      <c r="P2778" s="46">
        <f>INDEX(ChDoorVel,MATCH(E2778,ChName,0))*CalibScalar*(1+VelocityUplift)</f>
        <v/>
      </c>
      <c r="Q2778" s="46" t="n">
        <v>0</v>
      </c>
      <c r="R2778" s="46">
        <f>P2778*O2778*M2778*N2778*H2778</f>
        <v/>
      </c>
      <c r="S2778" s="46">
        <f>R2778*INDEX(FmtCansPerCase,MATCH(F2778,FmtName,0))</f>
        <v/>
      </c>
      <c r="T2778" s="46">
        <f>S2778/INDEX(FmtCansPerPack,MATCH(F2778,FmtName,0))</f>
        <v/>
      </c>
      <c r="U2778" s="47">
        <f>INDEX(ChBaseCP,MATCH(E2778,ChName,0))*(1+INDEX(ProvMod,MATCH(G2778,ProvCode,0)))*(1+PriceIndex)</f>
        <v/>
      </c>
      <c r="V2778" s="47">
        <f>R2778*U2778*INDEX(FmtBlendedPriceIdx,MATCH(F2778,FmtName,0))</f>
        <v/>
      </c>
      <c r="W2778" s="47">
        <f>T2778*INDEX(ProvSRP,MATCH(G2778,ProvCode,0))*(1+PriceIndex)</f>
        <v/>
      </c>
      <c r="X2778" s="47">
        <f>IF(GrossBasis="Wholesale",V2778,W2778)</f>
        <v/>
      </c>
      <c r="Y2778" s="47">
        <f>R2778*INDEX(FmtBlendedCogs,MATCH(F2778,FmtName,0))</f>
        <v/>
      </c>
      <c r="Z2778" s="47">
        <f>X2778-Y2778</f>
        <v/>
      </c>
    </row>
    <row r="2779">
      <c r="A2779" t="n">
        <v>22</v>
      </c>
      <c r="B2779" s="44">
        <f>FiscalStart+(A2779-1)*7</f>
        <v/>
      </c>
      <c r="C2779">
        <f>TEXT(B2779,"mmm yyyy")</f>
        <v/>
      </c>
      <c r="D2779">
        <f>"Q"&amp;(INT((A2779-1)/13)+1)</f>
        <v/>
      </c>
      <c r="E2779" t="inlineStr">
        <is>
          <t>Specialty</t>
        </is>
      </c>
      <c r="F2779">
        <f>IFERROR(INDEX(ChFormat,MATCH(E2779,ChName,0)),"")</f>
        <v/>
      </c>
      <c r="G2779" t="inlineStr">
        <is>
          <t>SK</t>
        </is>
      </c>
      <c r="H2779">
        <f>IF(A2779&lt;=NWeeks,1,0)</f>
        <v/>
      </c>
      <c r="I2779">
        <f>INDEX(ChLaunch,MATCH(E2779,ChName,0))</f>
        <v/>
      </c>
      <c r="J2779">
        <f>INDEX(ChWeeksFull,MATCH(E2779,ChName,0))</f>
        <v/>
      </c>
      <c r="K2779">
        <f>INDEX(ChRamp,MATCH(E2779,ChName,0))</f>
        <v/>
      </c>
      <c r="L2779" s="45">
        <f>MIN(1,MAX(0,(A2779-I2779+1)*RampSpeed/J2779))</f>
        <v/>
      </c>
      <c r="M2779" s="45">
        <f>IF(A2779&lt;I2779,0,IF(K2779="S-curve",L2779*L2779*(3-2*L2779),L2779))</f>
        <v/>
      </c>
      <c r="N2779" s="45">
        <f>1+(INDEX(SeasonIdx,A2779)-1)*SeasonAmp</f>
        <v/>
      </c>
      <c r="O2779" s="45">
        <f>IFERROR(INDEX(PSPct,MATCH(E2779&amp;"|"&amp;G2779,PSKey,0)),0)</f>
        <v/>
      </c>
      <c r="P2779" s="46">
        <f>INDEX(ChDoorVel,MATCH(E2779,ChName,0))*CalibScalar*(1+VelocityUplift)</f>
        <v/>
      </c>
      <c r="Q2779" s="46" t="n">
        <v>0</v>
      </c>
      <c r="R2779" s="46">
        <f>P2779*O2779*M2779*N2779*H2779</f>
        <v/>
      </c>
      <c r="S2779" s="46">
        <f>R2779*INDEX(FmtCansPerCase,MATCH(F2779,FmtName,0))</f>
        <v/>
      </c>
      <c r="T2779" s="46">
        <f>S2779/INDEX(FmtCansPerPack,MATCH(F2779,FmtName,0))</f>
        <v/>
      </c>
      <c r="U2779" s="47">
        <f>INDEX(ChBaseCP,MATCH(E2779,ChName,0))*(1+INDEX(ProvMod,MATCH(G2779,ProvCode,0)))*(1+PriceIndex)</f>
        <v/>
      </c>
      <c r="V2779" s="47">
        <f>R2779*U2779*INDEX(FmtBlendedPriceIdx,MATCH(F2779,FmtName,0))</f>
        <v/>
      </c>
      <c r="W2779" s="47">
        <f>T2779*INDEX(ProvSRP,MATCH(G2779,ProvCode,0))*(1+PriceIndex)</f>
        <v/>
      </c>
      <c r="X2779" s="47">
        <f>IF(GrossBasis="Wholesale",V2779,W2779)</f>
        <v/>
      </c>
      <c r="Y2779" s="47">
        <f>R2779*INDEX(FmtBlendedCogs,MATCH(F2779,FmtName,0))</f>
        <v/>
      </c>
      <c r="Z2779" s="47">
        <f>X2779-Y2779</f>
        <v/>
      </c>
    </row>
    <row r="2780">
      <c r="A2780" t="n">
        <v>23</v>
      </c>
      <c r="B2780" s="44">
        <f>FiscalStart+(A2780-1)*7</f>
        <v/>
      </c>
      <c r="C2780">
        <f>TEXT(B2780,"mmm yyyy")</f>
        <v/>
      </c>
      <c r="D2780">
        <f>"Q"&amp;(INT((A2780-1)/13)+1)</f>
        <v/>
      </c>
      <c r="E2780" t="inlineStr">
        <is>
          <t>Specialty</t>
        </is>
      </c>
      <c r="F2780">
        <f>IFERROR(INDEX(ChFormat,MATCH(E2780,ChName,0)),"")</f>
        <v/>
      </c>
      <c r="G2780" t="inlineStr">
        <is>
          <t>SK</t>
        </is>
      </c>
      <c r="H2780">
        <f>IF(A2780&lt;=NWeeks,1,0)</f>
        <v/>
      </c>
      <c r="I2780">
        <f>INDEX(ChLaunch,MATCH(E2780,ChName,0))</f>
        <v/>
      </c>
      <c r="J2780">
        <f>INDEX(ChWeeksFull,MATCH(E2780,ChName,0))</f>
        <v/>
      </c>
      <c r="K2780">
        <f>INDEX(ChRamp,MATCH(E2780,ChName,0))</f>
        <v/>
      </c>
      <c r="L2780" s="45">
        <f>MIN(1,MAX(0,(A2780-I2780+1)*RampSpeed/J2780))</f>
        <v/>
      </c>
      <c r="M2780" s="45">
        <f>IF(A2780&lt;I2780,0,IF(K2780="S-curve",L2780*L2780*(3-2*L2780),L2780))</f>
        <v/>
      </c>
      <c r="N2780" s="45">
        <f>1+(INDEX(SeasonIdx,A2780)-1)*SeasonAmp</f>
        <v/>
      </c>
      <c r="O2780" s="45">
        <f>IFERROR(INDEX(PSPct,MATCH(E2780&amp;"|"&amp;G2780,PSKey,0)),0)</f>
        <v/>
      </c>
      <c r="P2780" s="46">
        <f>INDEX(ChDoorVel,MATCH(E2780,ChName,0))*CalibScalar*(1+VelocityUplift)</f>
        <v/>
      </c>
      <c r="Q2780" s="46" t="n">
        <v>0</v>
      </c>
      <c r="R2780" s="46">
        <f>P2780*O2780*M2780*N2780*H2780</f>
        <v/>
      </c>
      <c r="S2780" s="46">
        <f>R2780*INDEX(FmtCansPerCase,MATCH(F2780,FmtName,0))</f>
        <v/>
      </c>
      <c r="T2780" s="46">
        <f>S2780/INDEX(FmtCansPerPack,MATCH(F2780,FmtName,0))</f>
        <v/>
      </c>
      <c r="U2780" s="47">
        <f>INDEX(ChBaseCP,MATCH(E2780,ChName,0))*(1+INDEX(ProvMod,MATCH(G2780,ProvCode,0)))*(1+PriceIndex)</f>
        <v/>
      </c>
      <c r="V2780" s="47">
        <f>R2780*U2780*INDEX(FmtBlendedPriceIdx,MATCH(F2780,FmtName,0))</f>
        <v/>
      </c>
      <c r="W2780" s="47">
        <f>T2780*INDEX(ProvSRP,MATCH(G2780,ProvCode,0))*(1+PriceIndex)</f>
        <v/>
      </c>
      <c r="X2780" s="47">
        <f>IF(GrossBasis="Wholesale",V2780,W2780)</f>
        <v/>
      </c>
      <c r="Y2780" s="47">
        <f>R2780*INDEX(FmtBlendedCogs,MATCH(F2780,FmtName,0))</f>
        <v/>
      </c>
      <c r="Z2780" s="47">
        <f>X2780-Y2780</f>
        <v/>
      </c>
    </row>
    <row r="2781">
      <c r="A2781" t="n">
        <v>24</v>
      </c>
      <c r="B2781" s="44">
        <f>FiscalStart+(A2781-1)*7</f>
        <v/>
      </c>
      <c r="C2781">
        <f>TEXT(B2781,"mmm yyyy")</f>
        <v/>
      </c>
      <c r="D2781">
        <f>"Q"&amp;(INT((A2781-1)/13)+1)</f>
        <v/>
      </c>
      <c r="E2781" t="inlineStr">
        <is>
          <t>Specialty</t>
        </is>
      </c>
      <c r="F2781">
        <f>IFERROR(INDEX(ChFormat,MATCH(E2781,ChName,0)),"")</f>
        <v/>
      </c>
      <c r="G2781" t="inlineStr">
        <is>
          <t>SK</t>
        </is>
      </c>
      <c r="H2781">
        <f>IF(A2781&lt;=NWeeks,1,0)</f>
        <v/>
      </c>
      <c r="I2781">
        <f>INDEX(ChLaunch,MATCH(E2781,ChName,0))</f>
        <v/>
      </c>
      <c r="J2781">
        <f>INDEX(ChWeeksFull,MATCH(E2781,ChName,0))</f>
        <v/>
      </c>
      <c r="K2781">
        <f>INDEX(ChRamp,MATCH(E2781,ChName,0))</f>
        <v/>
      </c>
      <c r="L2781" s="45">
        <f>MIN(1,MAX(0,(A2781-I2781+1)*RampSpeed/J2781))</f>
        <v/>
      </c>
      <c r="M2781" s="45">
        <f>IF(A2781&lt;I2781,0,IF(K2781="S-curve",L2781*L2781*(3-2*L2781),L2781))</f>
        <v/>
      </c>
      <c r="N2781" s="45">
        <f>1+(INDEX(SeasonIdx,A2781)-1)*SeasonAmp</f>
        <v/>
      </c>
      <c r="O2781" s="45">
        <f>IFERROR(INDEX(PSPct,MATCH(E2781&amp;"|"&amp;G2781,PSKey,0)),0)</f>
        <v/>
      </c>
      <c r="P2781" s="46">
        <f>INDEX(ChDoorVel,MATCH(E2781,ChName,0))*CalibScalar*(1+VelocityUplift)</f>
        <v/>
      </c>
      <c r="Q2781" s="46" t="n">
        <v>0</v>
      </c>
      <c r="R2781" s="46">
        <f>P2781*O2781*M2781*N2781*H2781</f>
        <v/>
      </c>
      <c r="S2781" s="46">
        <f>R2781*INDEX(FmtCansPerCase,MATCH(F2781,FmtName,0))</f>
        <v/>
      </c>
      <c r="T2781" s="46">
        <f>S2781/INDEX(FmtCansPerPack,MATCH(F2781,FmtName,0))</f>
        <v/>
      </c>
      <c r="U2781" s="47">
        <f>INDEX(ChBaseCP,MATCH(E2781,ChName,0))*(1+INDEX(ProvMod,MATCH(G2781,ProvCode,0)))*(1+PriceIndex)</f>
        <v/>
      </c>
      <c r="V2781" s="47">
        <f>R2781*U2781*INDEX(FmtBlendedPriceIdx,MATCH(F2781,FmtName,0))</f>
        <v/>
      </c>
      <c r="W2781" s="47">
        <f>T2781*INDEX(ProvSRP,MATCH(G2781,ProvCode,0))*(1+PriceIndex)</f>
        <v/>
      </c>
      <c r="X2781" s="47">
        <f>IF(GrossBasis="Wholesale",V2781,W2781)</f>
        <v/>
      </c>
      <c r="Y2781" s="47">
        <f>R2781*INDEX(FmtBlendedCogs,MATCH(F2781,FmtName,0))</f>
        <v/>
      </c>
      <c r="Z2781" s="47">
        <f>X2781-Y2781</f>
        <v/>
      </c>
    </row>
    <row r="2782">
      <c r="A2782" t="n">
        <v>25</v>
      </c>
      <c r="B2782" s="44">
        <f>FiscalStart+(A2782-1)*7</f>
        <v/>
      </c>
      <c r="C2782">
        <f>TEXT(B2782,"mmm yyyy")</f>
        <v/>
      </c>
      <c r="D2782">
        <f>"Q"&amp;(INT((A2782-1)/13)+1)</f>
        <v/>
      </c>
      <c r="E2782" t="inlineStr">
        <is>
          <t>Specialty</t>
        </is>
      </c>
      <c r="F2782">
        <f>IFERROR(INDEX(ChFormat,MATCH(E2782,ChName,0)),"")</f>
        <v/>
      </c>
      <c r="G2782" t="inlineStr">
        <is>
          <t>SK</t>
        </is>
      </c>
      <c r="H2782">
        <f>IF(A2782&lt;=NWeeks,1,0)</f>
        <v/>
      </c>
      <c r="I2782">
        <f>INDEX(ChLaunch,MATCH(E2782,ChName,0))</f>
        <v/>
      </c>
      <c r="J2782">
        <f>INDEX(ChWeeksFull,MATCH(E2782,ChName,0))</f>
        <v/>
      </c>
      <c r="K2782">
        <f>INDEX(ChRamp,MATCH(E2782,ChName,0))</f>
        <v/>
      </c>
      <c r="L2782" s="45">
        <f>MIN(1,MAX(0,(A2782-I2782+1)*RampSpeed/J2782))</f>
        <v/>
      </c>
      <c r="M2782" s="45">
        <f>IF(A2782&lt;I2782,0,IF(K2782="S-curve",L2782*L2782*(3-2*L2782),L2782))</f>
        <v/>
      </c>
      <c r="N2782" s="45">
        <f>1+(INDEX(SeasonIdx,A2782)-1)*SeasonAmp</f>
        <v/>
      </c>
      <c r="O2782" s="45">
        <f>IFERROR(INDEX(PSPct,MATCH(E2782&amp;"|"&amp;G2782,PSKey,0)),0)</f>
        <v/>
      </c>
      <c r="P2782" s="46">
        <f>INDEX(ChDoorVel,MATCH(E2782,ChName,0))*CalibScalar*(1+VelocityUplift)</f>
        <v/>
      </c>
      <c r="Q2782" s="46" t="n">
        <v>0</v>
      </c>
      <c r="R2782" s="46">
        <f>P2782*O2782*M2782*N2782*H2782</f>
        <v/>
      </c>
      <c r="S2782" s="46">
        <f>R2782*INDEX(FmtCansPerCase,MATCH(F2782,FmtName,0))</f>
        <v/>
      </c>
      <c r="T2782" s="46">
        <f>S2782/INDEX(FmtCansPerPack,MATCH(F2782,FmtName,0))</f>
        <v/>
      </c>
      <c r="U2782" s="47">
        <f>INDEX(ChBaseCP,MATCH(E2782,ChName,0))*(1+INDEX(ProvMod,MATCH(G2782,ProvCode,0)))*(1+PriceIndex)</f>
        <v/>
      </c>
      <c r="V2782" s="47">
        <f>R2782*U2782*INDEX(FmtBlendedPriceIdx,MATCH(F2782,FmtName,0))</f>
        <v/>
      </c>
      <c r="W2782" s="47">
        <f>T2782*INDEX(ProvSRP,MATCH(G2782,ProvCode,0))*(1+PriceIndex)</f>
        <v/>
      </c>
      <c r="X2782" s="47">
        <f>IF(GrossBasis="Wholesale",V2782,W2782)</f>
        <v/>
      </c>
      <c r="Y2782" s="47">
        <f>R2782*INDEX(FmtBlendedCogs,MATCH(F2782,FmtName,0))</f>
        <v/>
      </c>
      <c r="Z2782" s="47">
        <f>X2782-Y2782</f>
        <v/>
      </c>
    </row>
    <row r="2783">
      <c r="A2783" t="n">
        <v>26</v>
      </c>
      <c r="B2783" s="44">
        <f>FiscalStart+(A2783-1)*7</f>
        <v/>
      </c>
      <c r="C2783">
        <f>TEXT(B2783,"mmm yyyy")</f>
        <v/>
      </c>
      <c r="D2783">
        <f>"Q"&amp;(INT((A2783-1)/13)+1)</f>
        <v/>
      </c>
      <c r="E2783" t="inlineStr">
        <is>
          <t>Specialty</t>
        </is>
      </c>
      <c r="F2783">
        <f>IFERROR(INDEX(ChFormat,MATCH(E2783,ChName,0)),"")</f>
        <v/>
      </c>
      <c r="G2783" t="inlineStr">
        <is>
          <t>SK</t>
        </is>
      </c>
      <c r="H2783">
        <f>IF(A2783&lt;=NWeeks,1,0)</f>
        <v/>
      </c>
      <c r="I2783">
        <f>INDEX(ChLaunch,MATCH(E2783,ChName,0))</f>
        <v/>
      </c>
      <c r="J2783">
        <f>INDEX(ChWeeksFull,MATCH(E2783,ChName,0))</f>
        <v/>
      </c>
      <c r="K2783">
        <f>INDEX(ChRamp,MATCH(E2783,ChName,0))</f>
        <v/>
      </c>
      <c r="L2783" s="45">
        <f>MIN(1,MAX(0,(A2783-I2783+1)*RampSpeed/J2783))</f>
        <v/>
      </c>
      <c r="M2783" s="45">
        <f>IF(A2783&lt;I2783,0,IF(K2783="S-curve",L2783*L2783*(3-2*L2783),L2783))</f>
        <v/>
      </c>
      <c r="N2783" s="45">
        <f>1+(INDEX(SeasonIdx,A2783)-1)*SeasonAmp</f>
        <v/>
      </c>
      <c r="O2783" s="45">
        <f>IFERROR(INDEX(PSPct,MATCH(E2783&amp;"|"&amp;G2783,PSKey,0)),0)</f>
        <v/>
      </c>
      <c r="P2783" s="46">
        <f>INDEX(ChDoorVel,MATCH(E2783,ChName,0))*CalibScalar*(1+VelocityUplift)</f>
        <v/>
      </c>
      <c r="Q2783" s="46" t="n">
        <v>0</v>
      </c>
      <c r="R2783" s="46">
        <f>P2783*O2783*M2783*N2783*H2783</f>
        <v/>
      </c>
      <c r="S2783" s="46">
        <f>R2783*INDEX(FmtCansPerCase,MATCH(F2783,FmtName,0))</f>
        <v/>
      </c>
      <c r="T2783" s="46">
        <f>S2783/INDEX(FmtCansPerPack,MATCH(F2783,FmtName,0))</f>
        <v/>
      </c>
      <c r="U2783" s="47">
        <f>INDEX(ChBaseCP,MATCH(E2783,ChName,0))*(1+INDEX(ProvMod,MATCH(G2783,ProvCode,0)))*(1+PriceIndex)</f>
        <v/>
      </c>
      <c r="V2783" s="47">
        <f>R2783*U2783*INDEX(FmtBlendedPriceIdx,MATCH(F2783,FmtName,0))</f>
        <v/>
      </c>
      <c r="W2783" s="47">
        <f>T2783*INDEX(ProvSRP,MATCH(G2783,ProvCode,0))*(1+PriceIndex)</f>
        <v/>
      </c>
      <c r="X2783" s="47">
        <f>IF(GrossBasis="Wholesale",V2783,W2783)</f>
        <v/>
      </c>
      <c r="Y2783" s="47">
        <f>R2783*INDEX(FmtBlendedCogs,MATCH(F2783,FmtName,0))</f>
        <v/>
      </c>
      <c r="Z2783" s="47">
        <f>X2783-Y2783</f>
        <v/>
      </c>
    </row>
    <row r="2784">
      <c r="A2784" t="n">
        <v>27</v>
      </c>
      <c r="B2784" s="44">
        <f>FiscalStart+(A2784-1)*7</f>
        <v/>
      </c>
      <c r="C2784">
        <f>TEXT(B2784,"mmm yyyy")</f>
        <v/>
      </c>
      <c r="D2784">
        <f>"Q"&amp;(INT((A2784-1)/13)+1)</f>
        <v/>
      </c>
      <c r="E2784" t="inlineStr">
        <is>
          <t>Specialty</t>
        </is>
      </c>
      <c r="F2784">
        <f>IFERROR(INDEX(ChFormat,MATCH(E2784,ChName,0)),"")</f>
        <v/>
      </c>
      <c r="G2784" t="inlineStr">
        <is>
          <t>SK</t>
        </is>
      </c>
      <c r="H2784">
        <f>IF(A2784&lt;=NWeeks,1,0)</f>
        <v/>
      </c>
      <c r="I2784">
        <f>INDEX(ChLaunch,MATCH(E2784,ChName,0))</f>
        <v/>
      </c>
      <c r="J2784">
        <f>INDEX(ChWeeksFull,MATCH(E2784,ChName,0))</f>
        <v/>
      </c>
      <c r="K2784">
        <f>INDEX(ChRamp,MATCH(E2784,ChName,0))</f>
        <v/>
      </c>
      <c r="L2784" s="45">
        <f>MIN(1,MAX(0,(A2784-I2784+1)*RampSpeed/J2784))</f>
        <v/>
      </c>
      <c r="M2784" s="45">
        <f>IF(A2784&lt;I2784,0,IF(K2784="S-curve",L2784*L2784*(3-2*L2784),L2784))</f>
        <v/>
      </c>
      <c r="N2784" s="45">
        <f>1+(INDEX(SeasonIdx,A2784)-1)*SeasonAmp</f>
        <v/>
      </c>
      <c r="O2784" s="45">
        <f>IFERROR(INDEX(PSPct,MATCH(E2784&amp;"|"&amp;G2784,PSKey,0)),0)</f>
        <v/>
      </c>
      <c r="P2784" s="46">
        <f>INDEX(ChDoorVel,MATCH(E2784,ChName,0))*CalibScalar*(1+VelocityUplift)</f>
        <v/>
      </c>
      <c r="Q2784" s="46" t="n">
        <v>0</v>
      </c>
      <c r="R2784" s="46">
        <f>P2784*O2784*M2784*N2784*H2784</f>
        <v/>
      </c>
      <c r="S2784" s="46">
        <f>R2784*INDEX(FmtCansPerCase,MATCH(F2784,FmtName,0))</f>
        <v/>
      </c>
      <c r="T2784" s="46">
        <f>S2784/INDEX(FmtCansPerPack,MATCH(F2784,FmtName,0))</f>
        <v/>
      </c>
      <c r="U2784" s="47">
        <f>INDEX(ChBaseCP,MATCH(E2784,ChName,0))*(1+INDEX(ProvMod,MATCH(G2784,ProvCode,0)))*(1+PriceIndex)</f>
        <v/>
      </c>
      <c r="V2784" s="47">
        <f>R2784*U2784*INDEX(FmtBlendedPriceIdx,MATCH(F2784,FmtName,0))</f>
        <v/>
      </c>
      <c r="W2784" s="47">
        <f>T2784*INDEX(ProvSRP,MATCH(G2784,ProvCode,0))*(1+PriceIndex)</f>
        <v/>
      </c>
      <c r="X2784" s="47">
        <f>IF(GrossBasis="Wholesale",V2784,W2784)</f>
        <v/>
      </c>
      <c r="Y2784" s="47">
        <f>R2784*INDEX(FmtBlendedCogs,MATCH(F2784,FmtName,0))</f>
        <v/>
      </c>
      <c r="Z2784" s="47">
        <f>X2784-Y2784</f>
        <v/>
      </c>
    </row>
    <row r="2785">
      <c r="A2785" t="n">
        <v>28</v>
      </c>
      <c r="B2785" s="44">
        <f>FiscalStart+(A2785-1)*7</f>
        <v/>
      </c>
      <c r="C2785">
        <f>TEXT(B2785,"mmm yyyy")</f>
        <v/>
      </c>
      <c r="D2785">
        <f>"Q"&amp;(INT((A2785-1)/13)+1)</f>
        <v/>
      </c>
      <c r="E2785" t="inlineStr">
        <is>
          <t>Specialty</t>
        </is>
      </c>
      <c r="F2785">
        <f>IFERROR(INDEX(ChFormat,MATCH(E2785,ChName,0)),"")</f>
        <v/>
      </c>
      <c r="G2785" t="inlineStr">
        <is>
          <t>SK</t>
        </is>
      </c>
      <c r="H2785">
        <f>IF(A2785&lt;=NWeeks,1,0)</f>
        <v/>
      </c>
      <c r="I2785">
        <f>INDEX(ChLaunch,MATCH(E2785,ChName,0))</f>
        <v/>
      </c>
      <c r="J2785">
        <f>INDEX(ChWeeksFull,MATCH(E2785,ChName,0))</f>
        <v/>
      </c>
      <c r="K2785">
        <f>INDEX(ChRamp,MATCH(E2785,ChName,0))</f>
        <v/>
      </c>
      <c r="L2785" s="45">
        <f>MIN(1,MAX(0,(A2785-I2785+1)*RampSpeed/J2785))</f>
        <v/>
      </c>
      <c r="M2785" s="45">
        <f>IF(A2785&lt;I2785,0,IF(K2785="S-curve",L2785*L2785*(3-2*L2785),L2785))</f>
        <v/>
      </c>
      <c r="N2785" s="45">
        <f>1+(INDEX(SeasonIdx,A2785)-1)*SeasonAmp</f>
        <v/>
      </c>
      <c r="O2785" s="45">
        <f>IFERROR(INDEX(PSPct,MATCH(E2785&amp;"|"&amp;G2785,PSKey,0)),0)</f>
        <v/>
      </c>
      <c r="P2785" s="46">
        <f>INDEX(ChDoorVel,MATCH(E2785,ChName,0))*CalibScalar*(1+VelocityUplift)</f>
        <v/>
      </c>
      <c r="Q2785" s="46" t="n">
        <v>0</v>
      </c>
      <c r="R2785" s="46">
        <f>P2785*O2785*M2785*N2785*H2785</f>
        <v/>
      </c>
      <c r="S2785" s="46">
        <f>R2785*INDEX(FmtCansPerCase,MATCH(F2785,FmtName,0))</f>
        <v/>
      </c>
      <c r="T2785" s="46">
        <f>S2785/INDEX(FmtCansPerPack,MATCH(F2785,FmtName,0))</f>
        <v/>
      </c>
      <c r="U2785" s="47">
        <f>INDEX(ChBaseCP,MATCH(E2785,ChName,0))*(1+INDEX(ProvMod,MATCH(G2785,ProvCode,0)))*(1+PriceIndex)</f>
        <v/>
      </c>
      <c r="V2785" s="47">
        <f>R2785*U2785*INDEX(FmtBlendedPriceIdx,MATCH(F2785,FmtName,0))</f>
        <v/>
      </c>
      <c r="W2785" s="47">
        <f>T2785*INDEX(ProvSRP,MATCH(G2785,ProvCode,0))*(1+PriceIndex)</f>
        <v/>
      </c>
      <c r="X2785" s="47">
        <f>IF(GrossBasis="Wholesale",V2785,W2785)</f>
        <v/>
      </c>
      <c r="Y2785" s="47">
        <f>R2785*INDEX(FmtBlendedCogs,MATCH(F2785,FmtName,0))</f>
        <v/>
      </c>
      <c r="Z2785" s="47">
        <f>X2785-Y2785</f>
        <v/>
      </c>
    </row>
    <row r="2786">
      <c r="A2786" t="n">
        <v>29</v>
      </c>
      <c r="B2786" s="44">
        <f>FiscalStart+(A2786-1)*7</f>
        <v/>
      </c>
      <c r="C2786">
        <f>TEXT(B2786,"mmm yyyy")</f>
        <v/>
      </c>
      <c r="D2786">
        <f>"Q"&amp;(INT((A2786-1)/13)+1)</f>
        <v/>
      </c>
      <c r="E2786" t="inlineStr">
        <is>
          <t>Specialty</t>
        </is>
      </c>
      <c r="F2786">
        <f>IFERROR(INDEX(ChFormat,MATCH(E2786,ChName,0)),"")</f>
        <v/>
      </c>
      <c r="G2786" t="inlineStr">
        <is>
          <t>SK</t>
        </is>
      </c>
      <c r="H2786">
        <f>IF(A2786&lt;=NWeeks,1,0)</f>
        <v/>
      </c>
      <c r="I2786">
        <f>INDEX(ChLaunch,MATCH(E2786,ChName,0))</f>
        <v/>
      </c>
      <c r="J2786">
        <f>INDEX(ChWeeksFull,MATCH(E2786,ChName,0))</f>
        <v/>
      </c>
      <c r="K2786">
        <f>INDEX(ChRamp,MATCH(E2786,ChName,0))</f>
        <v/>
      </c>
      <c r="L2786" s="45">
        <f>MIN(1,MAX(0,(A2786-I2786+1)*RampSpeed/J2786))</f>
        <v/>
      </c>
      <c r="M2786" s="45">
        <f>IF(A2786&lt;I2786,0,IF(K2786="S-curve",L2786*L2786*(3-2*L2786),L2786))</f>
        <v/>
      </c>
      <c r="N2786" s="45">
        <f>1+(INDEX(SeasonIdx,A2786)-1)*SeasonAmp</f>
        <v/>
      </c>
      <c r="O2786" s="45">
        <f>IFERROR(INDEX(PSPct,MATCH(E2786&amp;"|"&amp;G2786,PSKey,0)),0)</f>
        <v/>
      </c>
      <c r="P2786" s="46">
        <f>INDEX(ChDoorVel,MATCH(E2786,ChName,0))*CalibScalar*(1+VelocityUplift)</f>
        <v/>
      </c>
      <c r="Q2786" s="46" t="n">
        <v>0</v>
      </c>
      <c r="R2786" s="46">
        <f>P2786*O2786*M2786*N2786*H2786</f>
        <v/>
      </c>
      <c r="S2786" s="46">
        <f>R2786*INDEX(FmtCansPerCase,MATCH(F2786,FmtName,0))</f>
        <v/>
      </c>
      <c r="T2786" s="46">
        <f>S2786/INDEX(FmtCansPerPack,MATCH(F2786,FmtName,0))</f>
        <v/>
      </c>
      <c r="U2786" s="47">
        <f>INDEX(ChBaseCP,MATCH(E2786,ChName,0))*(1+INDEX(ProvMod,MATCH(G2786,ProvCode,0)))*(1+PriceIndex)</f>
        <v/>
      </c>
      <c r="V2786" s="47">
        <f>R2786*U2786*INDEX(FmtBlendedPriceIdx,MATCH(F2786,FmtName,0))</f>
        <v/>
      </c>
      <c r="W2786" s="47">
        <f>T2786*INDEX(ProvSRP,MATCH(G2786,ProvCode,0))*(1+PriceIndex)</f>
        <v/>
      </c>
      <c r="X2786" s="47">
        <f>IF(GrossBasis="Wholesale",V2786,W2786)</f>
        <v/>
      </c>
      <c r="Y2786" s="47">
        <f>R2786*INDEX(FmtBlendedCogs,MATCH(F2786,FmtName,0))</f>
        <v/>
      </c>
      <c r="Z2786" s="47">
        <f>X2786-Y2786</f>
        <v/>
      </c>
    </row>
    <row r="2787">
      <c r="A2787" t="n">
        <v>30</v>
      </c>
      <c r="B2787" s="44">
        <f>FiscalStart+(A2787-1)*7</f>
        <v/>
      </c>
      <c r="C2787">
        <f>TEXT(B2787,"mmm yyyy")</f>
        <v/>
      </c>
      <c r="D2787">
        <f>"Q"&amp;(INT((A2787-1)/13)+1)</f>
        <v/>
      </c>
      <c r="E2787" t="inlineStr">
        <is>
          <t>Specialty</t>
        </is>
      </c>
      <c r="F2787">
        <f>IFERROR(INDEX(ChFormat,MATCH(E2787,ChName,0)),"")</f>
        <v/>
      </c>
      <c r="G2787" t="inlineStr">
        <is>
          <t>SK</t>
        </is>
      </c>
      <c r="H2787">
        <f>IF(A2787&lt;=NWeeks,1,0)</f>
        <v/>
      </c>
      <c r="I2787">
        <f>INDEX(ChLaunch,MATCH(E2787,ChName,0))</f>
        <v/>
      </c>
      <c r="J2787">
        <f>INDEX(ChWeeksFull,MATCH(E2787,ChName,0))</f>
        <v/>
      </c>
      <c r="K2787">
        <f>INDEX(ChRamp,MATCH(E2787,ChName,0))</f>
        <v/>
      </c>
      <c r="L2787" s="45">
        <f>MIN(1,MAX(0,(A2787-I2787+1)*RampSpeed/J2787))</f>
        <v/>
      </c>
      <c r="M2787" s="45">
        <f>IF(A2787&lt;I2787,0,IF(K2787="S-curve",L2787*L2787*(3-2*L2787),L2787))</f>
        <v/>
      </c>
      <c r="N2787" s="45">
        <f>1+(INDEX(SeasonIdx,A2787)-1)*SeasonAmp</f>
        <v/>
      </c>
      <c r="O2787" s="45">
        <f>IFERROR(INDEX(PSPct,MATCH(E2787&amp;"|"&amp;G2787,PSKey,0)),0)</f>
        <v/>
      </c>
      <c r="P2787" s="46">
        <f>INDEX(ChDoorVel,MATCH(E2787,ChName,0))*CalibScalar*(1+VelocityUplift)</f>
        <v/>
      </c>
      <c r="Q2787" s="46" t="n">
        <v>0</v>
      </c>
      <c r="R2787" s="46">
        <f>P2787*O2787*M2787*N2787*H2787</f>
        <v/>
      </c>
      <c r="S2787" s="46">
        <f>R2787*INDEX(FmtCansPerCase,MATCH(F2787,FmtName,0))</f>
        <v/>
      </c>
      <c r="T2787" s="46">
        <f>S2787/INDEX(FmtCansPerPack,MATCH(F2787,FmtName,0))</f>
        <v/>
      </c>
      <c r="U2787" s="47">
        <f>INDEX(ChBaseCP,MATCH(E2787,ChName,0))*(1+INDEX(ProvMod,MATCH(G2787,ProvCode,0)))*(1+PriceIndex)</f>
        <v/>
      </c>
      <c r="V2787" s="47">
        <f>R2787*U2787*INDEX(FmtBlendedPriceIdx,MATCH(F2787,FmtName,0))</f>
        <v/>
      </c>
      <c r="W2787" s="47">
        <f>T2787*INDEX(ProvSRP,MATCH(G2787,ProvCode,0))*(1+PriceIndex)</f>
        <v/>
      </c>
      <c r="X2787" s="47">
        <f>IF(GrossBasis="Wholesale",V2787,W2787)</f>
        <v/>
      </c>
      <c r="Y2787" s="47">
        <f>R2787*INDEX(FmtBlendedCogs,MATCH(F2787,FmtName,0))</f>
        <v/>
      </c>
      <c r="Z2787" s="47">
        <f>X2787-Y2787</f>
        <v/>
      </c>
    </row>
    <row r="2788">
      <c r="A2788" t="n">
        <v>31</v>
      </c>
      <c r="B2788" s="44">
        <f>FiscalStart+(A2788-1)*7</f>
        <v/>
      </c>
      <c r="C2788">
        <f>TEXT(B2788,"mmm yyyy")</f>
        <v/>
      </c>
      <c r="D2788">
        <f>"Q"&amp;(INT((A2788-1)/13)+1)</f>
        <v/>
      </c>
      <c r="E2788" t="inlineStr">
        <is>
          <t>Specialty</t>
        </is>
      </c>
      <c r="F2788">
        <f>IFERROR(INDEX(ChFormat,MATCH(E2788,ChName,0)),"")</f>
        <v/>
      </c>
      <c r="G2788" t="inlineStr">
        <is>
          <t>SK</t>
        </is>
      </c>
      <c r="H2788">
        <f>IF(A2788&lt;=NWeeks,1,0)</f>
        <v/>
      </c>
      <c r="I2788">
        <f>INDEX(ChLaunch,MATCH(E2788,ChName,0))</f>
        <v/>
      </c>
      <c r="J2788">
        <f>INDEX(ChWeeksFull,MATCH(E2788,ChName,0))</f>
        <v/>
      </c>
      <c r="K2788">
        <f>INDEX(ChRamp,MATCH(E2788,ChName,0))</f>
        <v/>
      </c>
      <c r="L2788" s="45">
        <f>MIN(1,MAX(0,(A2788-I2788+1)*RampSpeed/J2788))</f>
        <v/>
      </c>
      <c r="M2788" s="45">
        <f>IF(A2788&lt;I2788,0,IF(K2788="S-curve",L2788*L2788*(3-2*L2788),L2788))</f>
        <v/>
      </c>
      <c r="N2788" s="45">
        <f>1+(INDEX(SeasonIdx,A2788)-1)*SeasonAmp</f>
        <v/>
      </c>
      <c r="O2788" s="45">
        <f>IFERROR(INDEX(PSPct,MATCH(E2788&amp;"|"&amp;G2788,PSKey,0)),0)</f>
        <v/>
      </c>
      <c r="P2788" s="46">
        <f>INDEX(ChDoorVel,MATCH(E2788,ChName,0))*CalibScalar*(1+VelocityUplift)</f>
        <v/>
      </c>
      <c r="Q2788" s="46" t="n">
        <v>0</v>
      </c>
      <c r="R2788" s="46">
        <f>P2788*O2788*M2788*N2788*H2788</f>
        <v/>
      </c>
      <c r="S2788" s="46">
        <f>R2788*INDEX(FmtCansPerCase,MATCH(F2788,FmtName,0))</f>
        <v/>
      </c>
      <c r="T2788" s="46">
        <f>S2788/INDEX(FmtCansPerPack,MATCH(F2788,FmtName,0))</f>
        <v/>
      </c>
      <c r="U2788" s="47">
        <f>INDEX(ChBaseCP,MATCH(E2788,ChName,0))*(1+INDEX(ProvMod,MATCH(G2788,ProvCode,0)))*(1+PriceIndex)</f>
        <v/>
      </c>
      <c r="V2788" s="47">
        <f>R2788*U2788*INDEX(FmtBlendedPriceIdx,MATCH(F2788,FmtName,0))</f>
        <v/>
      </c>
      <c r="W2788" s="47">
        <f>T2788*INDEX(ProvSRP,MATCH(G2788,ProvCode,0))*(1+PriceIndex)</f>
        <v/>
      </c>
      <c r="X2788" s="47">
        <f>IF(GrossBasis="Wholesale",V2788,W2788)</f>
        <v/>
      </c>
      <c r="Y2788" s="47">
        <f>R2788*INDEX(FmtBlendedCogs,MATCH(F2788,FmtName,0))</f>
        <v/>
      </c>
      <c r="Z2788" s="47">
        <f>X2788-Y2788</f>
        <v/>
      </c>
    </row>
    <row r="2789">
      <c r="A2789" t="n">
        <v>32</v>
      </c>
      <c r="B2789" s="44">
        <f>FiscalStart+(A2789-1)*7</f>
        <v/>
      </c>
      <c r="C2789">
        <f>TEXT(B2789,"mmm yyyy")</f>
        <v/>
      </c>
      <c r="D2789">
        <f>"Q"&amp;(INT((A2789-1)/13)+1)</f>
        <v/>
      </c>
      <c r="E2789" t="inlineStr">
        <is>
          <t>Specialty</t>
        </is>
      </c>
      <c r="F2789">
        <f>IFERROR(INDEX(ChFormat,MATCH(E2789,ChName,0)),"")</f>
        <v/>
      </c>
      <c r="G2789" t="inlineStr">
        <is>
          <t>SK</t>
        </is>
      </c>
      <c r="H2789">
        <f>IF(A2789&lt;=NWeeks,1,0)</f>
        <v/>
      </c>
      <c r="I2789">
        <f>INDEX(ChLaunch,MATCH(E2789,ChName,0))</f>
        <v/>
      </c>
      <c r="J2789">
        <f>INDEX(ChWeeksFull,MATCH(E2789,ChName,0))</f>
        <v/>
      </c>
      <c r="K2789">
        <f>INDEX(ChRamp,MATCH(E2789,ChName,0))</f>
        <v/>
      </c>
      <c r="L2789" s="45">
        <f>MIN(1,MAX(0,(A2789-I2789+1)*RampSpeed/J2789))</f>
        <v/>
      </c>
      <c r="M2789" s="45">
        <f>IF(A2789&lt;I2789,0,IF(K2789="S-curve",L2789*L2789*(3-2*L2789),L2789))</f>
        <v/>
      </c>
      <c r="N2789" s="45">
        <f>1+(INDEX(SeasonIdx,A2789)-1)*SeasonAmp</f>
        <v/>
      </c>
      <c r="O2789" s="45">
        <f>IFERROR(INDEX(PSPct,MATCH(E2789&amp;"|"&amp;G2789,PSKey,0)),0)</f>
        <v/>
      </c>
      <c r="P2789" s="46">
        <f>INDEX(ChDoorVel,MATCH(E2789,ChName,0))*CalibScalar*(1+VelocityUplift)</f>
        <v/>
      </c>
      <c r="Q2789" s="46" t="n">
        <v>0</v>
      </c>
      <c r="R2789" s="46">
        <f>P2789*O2789*M2789*N2789*H2789</f>
        <v/>
      </c>
      <c r="S2789" s="46">
        <f>R2789*INDEX(FmtCansPerCase,MATCH(F2789,FmtName,0))</f>
        <v/>
      </c>
      <c r="T2789" s="46">
        <f>S2789/INDEX(FmtCansPerPack,MATCH(F2789,FmtName,0))</f>
        <v/>
      </c>
      <c r="U2789" s="47">
        <f>INDEX(ChBaseCP,MATCH(E2789,ChName,0))*(1+INDEX(ProvMod,MATCH(G2789,ProvCode,0)))*(1+PriceIndex)</f>
        <v/>
      </c>
      <c r="V2789" s="47">
        <f>R2789*U2789*INDEX(FmtBlendedPriceIdx,MATCH(F2789,FmtName,0))</f>
        <v/>
      </c>
      <c r="W2789" s="47">
        <f>T2789*INDEX(ProvSRP,MATCH(G2789,ProvCode,0))*(1+PriceIndex)</f>
        <v/>
      </c>
      <c r="X2789" s="47">
        <f>IF(GrossBasis="Wholesale",V2789,W2789)</f>
        <v/>
      </c>
      <c r="Y2789" s="47">
        <f>R2789*INDEX(FmtBlendedCogs,MATCH(F2789,FmtName,0))</f>
        <v/>
      </c>
      <c r="Z2789" s="47">
        <f>X2789-Y2789</f>
        <v/>
      </c>
    </row>
    <row r="2790">
      <c r="A2790" t="n">
        <v>33</v>
      </c>
      <c r="B2790" s="44">
        <f>FiscalStart+(A2790-1)*7</f>
        <v/>
      </c>
      <c r="C2790">
        <f>TEXT(B2790,"mmm yyyy")</f>
        <v/>
      </c>
      <c r="D2790">
        <f>"Q"&amp;(INT((A2790-1)/13)+1)</f>
        <v/>
      </c>
      <c r="E2790" t="inlineStr">
        <is>
          <t>Specialty</t>
        </is>
      </c>
      <c r="F2790">
        <f>IFERROR(INDEX(ChFormat,MATCH(E2790,ChName,0)),"")</f>
        <v/>
      </c>
      <c r="G2790" t="inlineStr">
        <is>
          <t>SK</t>
        </is>
      </c>
      <c r="H2790">
        <f>IF(A2790&lt;=NWeeks,1,0)</f>
        <v/>
      </c>
      <c r="I2790">
        <f>INDEX(ChLaunch,MATCH(E2790,ChName,0))</f>
        <v/>
      </c>
      <c r="J2790">
        <f>INDEX(ChWeeksFull,MATCH(E2790,ChName,0))</f>
        <v/>
      </c>
      <c r="K2790">
        <f>INDEX(ChRamp,MATCH(E2790,ChName,0))</f>
        <v/>
      </c>
      <c r="L2790" s="45">
        <f>MIN(1,MAX(0,(A2790-I2790+1)*RampSpeed/J2790))</f>
        <v/>
      </c>
      <c r="M2790" s="45">
        <f>IF(A2790&lt;I2790,0,IF(K2790="S-curve",L2790*L2790*(3-2*L2790),L2790))</f>
        <v/>
      </c>
      <c r="N2790" s="45">
        <f>1+(INDEX(SeasonIdx,A2790)-1)*SeasonAmp</f>
        <v/>
      </c>
      <c r="O2790" s="45">
        <f>IFERROR(INDEX(PSPct,MATCH(E2790&amp;"|"&amp;G2790,PSKey,0)),0)</f>
        <v/>
      </c>
      <c r="P2790" s="46">
        <f>INDEX(ChDoorVel,MATCH(E2790,ChName,0))*CalibScalar*(1+VelocityUplift)</f>
        <v/>
      </c>
      <c r="Q2790" s="46" t="n">
        <v>0</v>
      </c>
      <c r="R2790" s="46">
        <f>P2790*O2790*M2790*N2790*H2790</f>
        <v/>
      </c>
      <c r="S2790" s="46">
        <f>R2790*INDEX(FmtCansPerCase,MATCH(F2790,FmtName,0))</f>
        <v/>
      </c>
      <c r="T2790" s="46">
        <f>S2790/INDEX(FmtCansPerPack,MATCH(F2790,FmtName,0))</f>
        <v/>
      </c>
      <c r="U2790" s="47">
        <f>INDEX(ChBaseCP,MATCH(E2790,ChName,0))*(1+INDEX(ProvMod,MATCH(G2790,ProvCode,0)))*(1+PriceIndex)</f>
        <v/>
      </c>
      <c r="V2790" s="47">
        <f>R2790*U2790*INDEX(FmtBlendedPriceIdx,MATCH(F2790,FmtName,0))</f>
        <v/>
      </c>
      <c r="W2790" s="47">
        <f>T2790*INDEX(ProvSRP,MATCH(G2790,ProvCode,0))*(1+PriceIndex)</f>
        <v/>
      </c>
      <c r="X2790" s="47">
        <f>IF(GrossBasis="Wholesale",V2790,W2790)</f>
        <v/>
      </c>
      <c r="Y2790" s="47">
        <f>R2790*INDEX(FmtBlendedCogs,MATCH(F2790,FmtName,0))</f>
        <v/>
      </c>
      <c r="Z2790" s="47">
        <f>X2790-Y2790</f>
        <v/>
      </c>
    </row>
    <row r="2791">
      <c r="A2791" t="n">
        <v>34</v>
      </c>
      <c r="B2791" s="44">
        <f>FiscalStart+(A2791-1)*7</f>
        <v/>
      </c>
      <c r="C2791">
        <f>TEXT(B2791,"mmm yyyy")</f>
        <v/>
      </c>
      <c r="D2791">
        <f>"Q"&amp;(INT((A2791-1)/13)+1)</f>
        <v/>
      </c>
      <c r="E2791" t="inlineStr">
        <is>
          <t>Specialty</t>
        </is>
      </c>
      <c r="F2791">
        <f>IFERROR(INDEX(ChFormat,MATCH(E2791,ChName,0)),"")</f>
        <v/>
      </c>
      <c r="G2791" t="inlineStr">
        <is>
          <t>SK</t>
        </is>
      </c>
      <c r="H2791">
        <f>IF(A2791&lt;=NWeeks,1,0)</f>
        <v/>
      </c>
      <c r="I2791">
        <f>INDEX(ChLaunch,MATCH(E2791,ChName,0))</f>
        <v/>
      </c>
      <c r="J2791">
        <f>INDEX(ChWeeksFull,MATCH(E2791,ChName,0))</f>
        <v/>
      </c>
      <c r="K2791">
        <f>INDEX(ChRamp,MATCH(E2791,ChName,0))</f>
        <v/>
      </c>
      <c r="L2791" s="45">
        <f>MIN(1,MAX(0,(A2791-I2791+1)*RampSpeed/J2791))</f>
        <v/>
      </c>
      <c r="M2791" s="45">
        <f>IF(A2791&lt;I2791,0,IF(K2791="S-curve",L2791*L2791*(3-2*L2791),L2791))</f>
        <v/>
      </c>
      <c r="N2791" s="45">
        <f>1+(INDEX(SeasonIdx,A2791)-1)*SeasonAmp</f>
        <v/>
      </c>
      <c r="O2791" s="45">
        <f>IFERROR(INDEX(PSPct,MATCH(E2791&amp;"|"&amp;G2791,PSKey,0)),0)</f>
        <v/>
      </c>
      <c r="P2791" s="46">
        <f>INDEX(ChDoorVel,MATCH(E2791,ChName,0))*CalibScalar*(1+VelocityUplift)</f>
        <v/>
      </c>
      <c r="Q2791" s="46" t="n">
        <v>0</v>
      </c>
      <c r="R2791" s="46">
        <f>P2791*O2791*M2791*N2791*H2791</f>
        <v/>
      </c>
      <c r="S2791" s="46">
        <f>R2791*INDEX(FmtCansPerCase,MATCH(F2791,FmtName,0))</f>
        <v/>
      </c>
      <c r="T2791" s="46">
        <f>S2791/INDEX(FmtCansPerPack,MATCH(F2791,FmtName,0))</f>
        <v/>
      </c>
      <c r="U2791" s="47">
        <f>INDEX(ChBaseCP,MATCH(E2791,ChName,0))*(1+INDEX(ProvMod,MATCH(G2791,ProvCode,0)))*(1+PriceIndex)</f>
        <v/>
      </c>
      <c r="V2791" s="47">
        <f>R2791*U2791*INDEX(FmtBlendedPriceIdx,MATCH(F2791,FmtName,0))</f>
        <v/>
      </c>
      <c r="W2791" s="47">
        <f>T2791*INDEX(ProvSRP,MATCH(G2791,ProvCode,0))*(1+PriceIndex)</f>
        <v/>
      </c>
      <c r="X2791" s="47">
        <f>IF(GrossBasis="Wholesale",V2791,W2791)</f>
        <v/>
      </c>
      <c r="Y2791" s="47">
        <f>R2791*INDEX(FmtBlendedCogs,MATCH(F2791,FmtName,0))</f>
        <v/>
      </c>
      <c r="Z2791" s="47">
        <f>X2791-Y2791</f>
        <v/>
      </c>
    </row>
    <row r="2792">
      <c r="A2792" t="n">
        <v>35</v>
      </c>
      <c r="B2792" s="44">
        <f>FiscalStart+(A2792-1)*7</f>
        <v/>
      </c>
      <c r="C2792">
        <f>TEXT(B2792,"mmm yyyy")</f>
        <v/>
      </c>
      <c r="D2792">
        <f>"Q"&amp;(INT((A2792-1)/13)+1)</f>
        <v/>
      </c>
      <c r="E2792" t="inlineStr">
        <is>
          <t>Specialty</t>
        </is>
      </c>
      <c r="F2792">
        <f>IFERROR(INDEX(ChFormat,MATCH(E2792,ChName,0)),"")</f>
        <v/>
      </c>
      <c r="G2792" t="inlineStr">
        <is>
          <t>SK</t>
        </is>
      </c>
      <c r="H2792">
        <f>IF(A2792&lt;=NWeeks,1,0)</f>
        <v/>
      </c>
      <c r="I2792">
        <f>INDEX(ChLaunch,MATCH(E2792,ChName,0))</f>
        <v/>
      </c>
      <c r="J2792">
        <f>INDEX(ChWeeksFull,MATCH(E2792,ChName,0))</f>
        <v/>
      </c>
      <c r="K2792">
        <f>INDEX(ChRamp,MATCH(E2792,ChName,0))</f>
        <v/>
      </c>
      <c r="L2792" s="45">
        <f>MIN(1,MAX(0,(A2792-I2792+1)*RampSpeed/J2792))</f>
        <v/>
      </c>
      <c r="M2792" s="45">
        <f>IF(A2792&lt;I2792,0,IF(K2792="S-curve",L2792*L2792*(3-2*L2792),L2792))</f>
        <v/>
      </c>
      <c r="N2792" s="45">
        <f>1+(INDEX(SeasonIdx,A2792)-1)*SeasonAmp</f>
        <v/>
      </c>
      <c r="O2792" s="45">
        <f>IFERROR(INDEX(PSPct,MATCH(E2792&amp;"|"&amp;G2792,PSKey,0)),0)</f>
        <v/>
      </c>
      <c r="P2792" s="46">
        <f>INDEX(ChDoorVel,MATCH(E2792,ChName,0))*CalibScalar*(1+VelocityUplift)</f>
        <v/>
      </c>
      <c r="Q2792" s="46" t="n">
        <v>0</v>
      </c>
      <c r="R2792" s="46">
        <f>P2792*O2792*M2792*N2792*H2792</f>
        <v/>
      </c>
      <c r="S2792" s="46">
        <f>R2792*INDEX(FmtCansPerCase,MATCH(F2792,FmtName,0))</f>
        <v/>
      </c>
      <c r="T2792" s="46">
        <f>S2792/INDEX(FmtCansPerPack,MATCH(F2792,FmtName,0))</f>
        <v/>
      </c>
      <c r="U2792" s="47">
        <f>INDEX(ChBaseCP,MATCH(E2792,ChName,0))*(1+INDEX(ProvMod,MATCH(G2792,ProvCode,0)))*(1+PriceIndex)</f>
        <v/>
      </c>
      <c r="V2792" s="47">
        <f>R2792*U2792*INDEX(FmtBlendedPriceIdx,MATCH(F2792,FmtName,0))</f>
        <v/>
      </c>
      <c r="W2792" s="47">
        <f>T2792*INDEX(ProvSRP,MATCH(G2792,ProvCode,0))*(1+PriceIndex)</f>
        <v/>
      </c>
      <c r="X2792" s="47">
        <f>IF(GrossBasis="Wholesale",V2792,W2792)</f>
        <v/>
      </c>
      <c r="Y2792" s="47">
        <f>R2792*INDEX(FmtBlendedCogs,MATCH(F2792,FmtName,0))</f>
        <v/>
      </c>
      <c r="Z2792" s="47">
        <f>X2792-Y2792</f>
        <v/>
      </c>
    </row>
    <row r="2793">
      <c r="A2793" t="n">
        <v>36</v>
      </c>
      <c r="B2793" s="44">
        <f>FiscalStart+(A2793-1)*7</f>
        <v/>
      </c>
      <c r="C2793">
        <f>TEXT(B2793,"mmm yyyy")</f>
        <v/>
      </c>
      <c r="D2793">
        <f>"Q"&amp;(INT((A2793-1)/13)+1)</f>
        <v/>
      </c>
      <c r="E2793" t="inlineStr">
        <is>
          <t>Specialty</t>
        </is>
      </c>
      <c r="F2793">
        <f>IFERROR(INDEX(ChFormat,MATCH(E2793,ChName,0)),"")</f>
        <v/>
      </c>
      <c r="G2793" t="inlineStr">
        <is>
          <t>SK</t>
        </is>
      </c>
      <c r="H2793">
        <f>IF(A2793&lt;=NWeeks,1,0)</f>
        <v/>
      </c>
      <c r="I2793">
        <f>INDEX(ChLaunch,MATCH(E2793,ChName,0))</f>
        <v/>
      </c>
      <c r="J2793">
        <f>INDEX(ChWeeksFull,MATCH(E2793,ChName,0))</f>
        <v/>
      </c>
      <c r="K2793">
        <f>INDEX(ChRamp,MATCH(E2793,ChName,0))</f>
        <v/>
      </c>
      <c r="L2793" s="45">
        <f>MIN(1,MAX(0,(A2793-I2793+1)*RampSpeed/J2793))</f>
        <v/>
      </c>
      <c r="M2793" s="45">
        <f>IF(A2793&lt;I2793,0,IF(K2793="S-curve",L2793*L2793*(3-2*L2793),L2793))</f>
        <v/>
      </c>
      <c r="N2793" s="45">
        <f>1+(INDEX(SeasonIdx,A2793)-1)*SeasonAmp</f>
        <v/>
      </c>
      <c r="O2793" s="45">
        <f>IFERROR(INDEX(PSPct,MATCH(E2793&amp;"|"&amp;G2793,PSKey,0)),0)</f>
        <v/>
      </c>
      <c r="P2793" s="46">
        <f>INDEX(ChDoorVel,MATCH(E2793,ChName,0))*CalibScalar*(1+VelocityUplift)</f>
        <v/>
      </c>
      <c r="Q2793" s="46" t="n">
        <v>0</v>
      </c>
      <c r="R2793" s="46">
        <f>P2793*O2793*M2793*N2793*H2793</f>
        <v/>
      </c>
      <c r="S2793" s="46">
        <f>R2793*INDEX(FmtCansPerCase,MATCH(F2793,FmtName,0))</f>
        <v/>
      </c>
      <c r="T2793" s="46">
        <f>S2793/INDEX(FmtCansPerPack,MATCH(F2793,FmtName,0))</f>
        <v/>
      </c>
      <c r="U2793" s="47">
        <f>INDEX(ChBaseCP,MATCH(E2793,ChName,0))*(1+INDEX(ProvMod,MATCH(G2793,ProvCode,0)))*(1+PriceIndex)</f>
        <v/>
      </c>
      <c r="V2793" s="47">
        <f>R2793*U2793*INDEX(FmtBlendedPriceIdx,MATCH(F2793,FmtName,0))</f>
        <v/>
      </c>
      <c r="W2793" s="47">
        <f>T2793*INDEX(ProvSRP,MATCH(G2793,ProvCode,0))*(1+PriceIndex)</f>
        <v/>
      </c>
      <c r="X2793" s="47">
        <f>IF(GrossBasis="Wholesale",V2793,W2793)</f>
        <v/>
      </c>
      <c r="Y2793" s="47">
        <f>R2793*INDEX(FmtBlendedCogs,MATCH(F2793,FmtName,0))</f>
        <v/>
      </c>
      <c r="Z2793" s="47">
        <f>X2793-Y2793</f>
        <v/>
      </c>
    </row>
    <row r="2794">
      <c r="A2794" t="n">
        <v>37</v>
      </c>
      <c r="B2794" s="44">
        <f>FiscalStart+(A2794-1)*7</f>
        <v/>
      </c>
      <c r="C2794">
        <f>TEXT(B2794,"mmm yyyy")</f>
        <v/>
      </c>
      <c r="D2794">
        <f>"Q"&amp;(INT((A2794-1)/13)+1)</f>
        <v/>
      </c>
      <c r="E2794" t="inlineStr">
        <is>
          <t>Specialty</t>
        </is>
      </c>
      <c r="F2794">
        <f>IFERROR(INDEX(ChFormat,MATCH(E2794,ChName,0)),"")</f>
        <v/>
      </c>
      <c r="G2794" t="inlineStr">
        <is>
          <t>SK</t>
        </is>
      </c>
      <c r="H2794">
        <f>IF(A2794&lt;=NWeeks,1,0)</f>
        <v/>
      </c>
      <c r="I2794">
        <f>INDEX(ChLaunch,MATCH(E2794,ChName,0))</f>
        <v/>
      </c>
      <c r="J2794">
        <f>INDEX(ChWeeksFull,MATCH(E2794,ChName,0))</f>
        <v/>
      </c>
      <c r="K2794">
        <f>INDEX(ChRamp,MATCH(E2794,ChName,0))</f>
        <v/>
      </c>
      <c r="L2794" s="45">
        <f>MIN(1,MAX(0,(A2794-I2794+1)*RampSpeed/J2794))</f>
        <v/>
      </c>
      <c r="M2794" s="45">
        <f>IF(A2794&lt;I2794,0,IF(K2794="S-curve",L2794*L2794*(3-2*L2794),L2794))</f>
        <v/>
      </c>
      <c r="N2794" s="45">
        <f>1+(INDEX(SeasonIdx,A2794)-1)*SeasonAmp</f>
        <v/>
      </c>
      <c r="O2794" s="45">
        <f>IFERROR(INDEX(PSPct,MATCH(E2794&amp;"|"&amp;G2794,PSKey,0)),0)</f>
        <v/>
      </c>
      <c r="P2794" s="46">
        <f>INDEX(ChDoorVel,MATCH(E2794,ChName,0))*CalibScalar*(1+VelocityUplift)</f>
        <v/>
      </c>
      <c r="Q2794" s="46" t="n">
        <v>0</v>
      </c>
      <c r="R2794" s="46">
        <f>P2794*O2794*M2794*N2794*H2794</f>
        <v/>
      </c>
      <c r="S2794" s="46">
        <f>R2794*INDEX(FmtCansPerCase,MATCH(F2794,FmtName,0))</f>
        <v/>
      </c>
      <c r="T2794" s="46">
        <f>S2794/INDEX(FmtCansPerPack,MATCH(F2794,FmtName,0))</f>
        <v/>
      </c>
      <c r="U2794" s="47">
        <f>INDEX(ChBaseCP,MATCH(E2794,ChName,0))*(1+INDEX(ProvMod,MATCH(G2794,ProvCode,0)))*(1+PriceIndex)</f>
        <v/>
      </c>
      <c r="V2794" s="47">
        <f>R2794*U2794*INDEX(FmtBlendedPriceIdx,MATCH(F2794,FmtName,0))</f>
        <v/>
      </c>
      <c r="W2794" s="47">
        <f>T2794*INDEX(ProvSRP,MATCH(G2794,ProvCode,0))*(1+PriceIndex)</f>
        <v/>
      </c>
      <c r="X2794" s="47">
        <f>IF(GrossBasis="Wholesale",V2794,W2794)</f>
        <v/>
      </c>
      <c r="Y2794" s="47">
        <f>R2794*INDEX(FmtBlendedCogs,MATCH(F2794,FmtName,0))</f>
        <v/>
      </c>
      <c r="Z2794" s="47">
        <f>X2794-Y2794</f>
        <v/>
      </c>
    </row>
    <row r="2795">
      <c r="A2795" t="n">
        <v>38</v>
      </c>
      <c r="B2795" s="44">
        <f>FiscalStart+(A2795-1)*7</f>
        <v/>
      </c>
      <c r="C2795">
        <f>TEXT(B2795,"mmm yyyy")</f>
        <v/>
      </c>
      <c r="D2795">
        <f>"Q"&amp;(INT((A2795-1)/13)+1)</f>
        <v/>
      </c>
      <c r="E2795" t="inlineStr">
        <is>
          <t>Specialty</t>
        </is>
      </c>
      <c r="F2795">
        <f>IFERROR(INDEX(ChFormat,MATCH(E2795,ChName,0)),"")</f>
        <v/>
      </c>
      <c r="G2795" t="inlineStr">
        <is>
          <t>SK</t>
        </is>
      </c>
      <c r="H2795">
        <f>IF(A2795&lt;=NWeeks,1,0)</f>
        <v/>
      </c>
      <c r="I2795">
        <f>INDEX(ChLaunch,MATCH(E2795,ChName,0))</f>
        <v/>
      </c>
      <c r="J2795">
        <f>INDEX(ChWeeksFull,MATCH(E2795,ChName,0))</f>
        <v/>
      </c>
      <c r="K2795">
        <f>INDEX(ChRamp,MATCH(E2795,ChName,0))</f>
        <v/>
      </c>
      <c r="L2795" s="45">
        <f>MIN(1,MAX(0,(A2795-I2795+1)*RampSpeed/J2795))</f>
        <v/>
      </c>
      <c r="M2795" s="45">
        <f>IF(A2795&lt;I2795,0,IF(K2795="S-curve",L2795*L2795*(3-2*L2795),L2795))</f>
        <v/>
      </c>
      <c r="N2795" s="45">
        <f>1+(INDEX(SeasonIdx,A2795)-1)*SeasonAmp</f>
        <v/>
      </c>
      <c r="O2795" s="45">
        <f>IFERROR(INDEX(PSPct,MATCH(E2795&amp;"|"&amp;G2795,PSKey,0)),0)</f>
        <v/>
      </c>
      <c r="P2795" s="46">
        <f>INDEX(ChDoorVel,MATCH(E2795,ChName,0))*CalibScalar*(1+VelocityUplift)</f>
        <v/>
      </c>
      <c r="Q2795" s="46" t="n">
        <v>0</v>
      </c>
      <c r="R2795" s="46">
        <f>P2795*O2795*M2795*N2795*H2795</f>
        <v/>
      </c>
      <c r="S2795" s="46">
        <f>R2795*INDEX(FmtCansPerCase,MATCH(F2795,FmtName,0))</f>
        <v/>
      </c>
      <c r="T2795" s="46">
        <f>S2795/INDEX(FmtCansPerPack,MATCH(F2795,FmtName,0))</f>
        <v/>
      </c>
      <c r="U2795" s="47">
        <f>INDEX(ChBaseCP,MATCH(E2795,ChName,0))*(1+INDEX(ProvMod,MATCH(G2795,ProvCode,0)))*(1+PriceIndex)</f>
        <v/>
      </c>
      <c r="V2795" s="47">
        <f>R2795*U2795*INDEX(FmtBlendedPriceIdx,MATCH(F2795,FmtName,0))</f>
        <v/>
      </c>
      <c r="W2795" s="47">
        <f>T2795*INDEX(ProvSRP,MATCH(G2795,ProvCode,0))*(1+PriceIndex)</f>
        <v/>
      </c>
      <c r="X2795" s="47">
        <f>IF(GrossBasis="Wholesale",V2795,W2795)</f>
        <v/>
      </c>
      <c r="Y2795" s="47">
        <f>R2795*INDEX(FmtBlendedCogs,MATCH(F2795,FmtName,0))</f>
        <v/>
      </c>
      <c r="Z2795" s="47">
        <f>X2795-Y2795</f>
        <v/>
      </c>
    </row>
    <row r="2796">
      <c r="A2796" t="n">
        <v>39</v>
      </c>
      <c r="B2796" s="44">
        <f>FiscalStart+(A2796-1)*7</f>
        <v/>
      </c>
      <c r="C2796">
        <f>TEXT(B2796,"mmm yyyy")</f>
        <v/>
      </c>
      <c r="D2796">
        <f>"Q"&amp;(INT((A2796-1)/13)+1)</f>
        <v/>
      </c>
      <c r="E2796" t="inlineStr">
        <is>
          <t>Specialty</t>
        </is>
      </c>
      <c r="F2796">
        <f>IFERROR(INDEX(ChFormat,MATCH(E2796,ChName,0)),"")</f>
        <v/>
      </c>
      <c r="G2796" t="inlineStr">
        <is>
          <t>SK</t>
        </is>
      </c>
      <c r="H2796">
        <f>IF(A2796&lt;=NWeeks,1,0)</f>
        <v/>
      </c>
      <c r="I2796">
        <f>INDEX(ChLaunch,MATCH(E2796,ChName,0))</f>
        <v/>
      </c>
      <c r="J2796">
        <f>INDEX(ChWeeksFull,MATCH(E2796,ChName,0))</f>
        <v/>
      </c>
      <c r="K2796">
        <f>INDEX(ChRamp,MATCH(E2796,ChName,0))</f>
        <v/>
      </c>
      <c r="L2796" s="45">
        <f>MIN(1,MAX(0,(A2796-I2796+1)*RampSpeed/J2796))</f>
        <v/>
      </c>
      <c r="M2796" s="45">
        <f>IF(A2796&lt;I2796,0,IF(K2796="S-curve",L2796*L2796*(3-2*L2796),L2796))</f>
        <v/>
      </c>
      <c r="N2796" s="45">
        <f>1+(INDEX(SeasonIdx,A2796)-1)*SeasonAmp</f>
        <v/>
      </c>
      <c r="O2796" s="45">
        <f>IFERROR(INDEX(PSPct,MATCH(E2796&amp;"|"&amp;G2796,PSKey,0)),0)</f>
        <v/>
      </c>
      <c r="P2796" s="46">
        <f>INDEX(ChDoorVel,MATCH(E2796,ChName,0))*CalibScalar*(1+VelocityUplift)</f>
        <v/>
      </c>
      <c r="Q2796" s="46" t="n">
        <v>0</v>
      </c>
      <c r="R2796" s="46">
        <f>P2796*O2796*M2796*N2796*H2796</f>
        <v/>
      </c>
      <c r="S2796" s="46">
        <f>R2796*INDEX(FmtCansPerCase,MATCH(F2796,FmtName,0))</f>
        <v/>
      </c>
      <c r="T2796" s="46">
        <f>S2796/INDEX(FmtCansPerPack,MATCH(F2796,FmtName,0))</f>
        <v/>
      </c>
      <c r="U2796" s="47">
        <f>INDEX(ChBaseCP,MATCH(E2796,ChName,0))*(1+INDEX(ProvMod,MATCH(G2796,ProvCode,0)))*(1+PriceIndex)</f>
        <v/>
      </c>
      <c r="V2796" s="47">
        <f>R2796*U2796*INDEX(FmtBlendedPriceIdx,MATCH(F2796,FmtName,0))</f>
        <v/>
      </c>
      <c r="W2796" s="47">
        <f>T2796*INDEX(ProvSRP,MATCH(G2796,ProvCode,0))*(1+PriceIndex)</f>
        <v/>
      </c>
      <c r="X2796" s="47">
        <f>IF(GrossBasis="Wholesale",V2796,W2796)</f>
        <v/>
      </c>
      <c r="Y2796" s="47">
        <f>R2796*INDEX(FmtBlendedCogs,MATCH(F2796,FmtName,0))</f>
        <v/>
      </c>
      <c r="Z2796" s="47">
        <f>X2796-Y2796</f>
        <v/>
      </c>
    </row>
    <row r="2797">
      <c r="A2797" t="n">
        <v>40</v>
      </c>
      <c r="B2797" s="44">
        <f>FiscalStart+(A2797-1)*7</f>
        <v/>
      </c>
      <c r="C2797">
        <f>TEXT(B2797,"mmm yyyy")</f>
        <v/>
      </c>
      <c r="D2797">
        <f>"Q"&amp;(INT((A2797-1)/13)+1)</f>
        <v/>
      </c>
      <c r="E2797" t="inlineStr">
        <is>
          <t>Specialty</t>
        </is>
      </c>
      <c r="F2797">
        <f>IFERROR(INDEX(ChFormat,MATCH(E2797,ChName,0)),"")</f>
        <v/>
      </c>
      <c r="G2797" t="inlineStr">
        <is>
          <t>SK</t>
        </is>
      </c>
      <c r="H2797">
        <f>IF(A2797&lt;=NWeeks,1,0)</f>
        <v/>
      </c>
      <c r="I2797">
        <f>INDEX(ChLaunch,MATCH(E2797,ChName,0))</f>
        <v/>
      </c>
      <c r="J2797">
        <f>INDEX(ChWeeksFull,MATCH(E2797,ChName,0))</f>
        <v/>
      </c>
      <c r="K2797">
        <f>INDEX(ChRamp,MATCH(E2797,ChName,0))</f>
        <v/>
      </c>
      <c r="L2797" s="45">
        <f>MIN(1,MAX(0,(A2797-I2797+1)*RampSpeed/J2797))</f>
        <v/>
      </c>
      <c r="M2797" s="45">
        <f>IF(A2797&lt;I2797,0,IF(K2797="S-curve",L2797*L2797*(3-2*L2797),L2797))</f>
        <v/>
      </c>
      <c r="N2797" s="45">
        <f>1+(INDEX(SeasonIdx,A2797)-1)*SeasonAmp</f>
        <v/>
      </c>
      <c r="O2797" s="45">
        <f>IFERROR(INDEX(PSPct,MATCH(E2797&amp;"|"&amp;G2797,PSKey,0)),0)</f>
        <v/>
      </c>
      <c r="P2797" s="46">
        <f>INDEX(ChDoorVel,MATCH(E2797,ChName,0))*CalibScalar*(1+VelocityUplift)</f>
        <v/>
      </c>
      <c r="Q2797" s="46" t="n">
        <v>0</v>
      </c>
      <c r="R2797" s="46">
        <f>P2797*O2797*M2797*N2797*H2797</f>
        <v/>
      </c>
      <c r="S2797" s="46">
        <f>R2797*INDEX(FmtCansPerCase,MATCH(F2797,FmtName,0))</f>
        <v/>
      </c>
      <c r="T2797" s="46">
        <f>S2797/INDEX(FmtCansPerPack,MATCH(F2797,FmtName,0))</f>
        <v/>
      </c>
      <c r="U2797" s="47">
        <f>INDEX(ChBaseCP,MATCH(E2797,ChName,0))*(1+INDEX(ProvMod,MATCH(G2797,ProvCode,0)))*(1+PriceIndex)</f>
        <v/>
      </c>
      <c r="V2797" s="47">
        <f>R2797*U2797*INDEX(FmtBlendedPriceIdx,MATCH(F2797,FmtName,0))</f>
        <v/>
      </c>
      <c r="W2797" s="47">
        <f>T2797*INDEX(ProvSRP,MATCH(G2797,ProvCode,0))*(1+PriceIndex)</f>
        <v/>
      </c>
      <c r="X2797" s="47">
        <f>IF(GrossBasis="Wholesale",V2797,W2797)</f>
        <v/>
      </c>
      <c r="Y2797" s="47">
        <f>R2797*INDEX(FmtBlendedCogs,MATCH(F2797,FmtName,0))</f>
        <v/>
      </c>
      <c r="Z2797" s="47">
        <f>X2797-Y2797</f>
        <v/>
      </c>
    </row>
    <row r="2798">
      <c r="A2798" t="n">
        <v>41</v>
      </c>
      <c r="B2798" s="44">
        <f>FiscalStart+(A2798-1)*7</f>
        <v/>
      </c>
      <c r="C2798">
        <f>TEXT(B2798,"mmm yyyy")</f>
        <v/>
      </c>
      <c r="D2798">
        <f>"Q"&amp;(INT((A2798-1)/13)+1)</f>
        <v/>
      </c>
      <c r="E2798" t="inlineStr">
        <is>
          <t>Specialty</t>
        </is>
      </c>
      <c r="F2798">
        <f>IFERROR(INDEX(ChFormat,MATCH(E2798,ChName,0)),"")</f>
        <v/>
      </c>
      <c r="G2798" t="inlineStr">
        <is>
          <t>SK</t>
        </is>
      </c>
      <c r="H2798">
        <f>IF(A2798&lt;=NWeeks,1,0)</f>
        <v/>
      </c>
      <c r="I2798">
        <f>INDEX(ChLaunch,MATCH(E2798,ChName,0))</f>
        <v/>
      </c>
      <c r="J2798">
        <f>INDEX(ChWeeksFull,MATCH(E2798,ChName,0))</f>
        <v/>
      </c>
      <c r="K2798">
        <f>INDEX(ChRamp,MATCH(E2798,ChName,0))</f>
        <v/>
      </c>
      <c r="L2798" s="45">
        <f>MIN(1,MAX(0,(A2798-I2798+1)*RampSpeed/J2798))</f>
        <v/>
      </c>
      <c r="M2798" s="45">
        <f>IF(A2798&lt;I2798,0,IF(K2798="S-curve",L2798*L2798*(3-2*L2798),L2798))</f>
        <v/>
      </c>
      <c r="N2798" s="45">
        <f>1+(INDEX(SeasonIdx,A2798)-1)*SeasonAmp</f>
        <v/>
      </c>
      <c r="O2798" s="45">
        <f>IFERROR(INDEX(PSPct,MATCH(E2798&amp;"|"&amp;G2798,PSKey,0)),0)</f>
        <v/>
      </c>
      <c r="P2798" s="46">
        <f>INDEX(ChDoorVel,MATCH(E2798,ChName,0))*CalibScalar*(1+VelocityUplift)</f>
        <v/>
      </c>
      <c r="Q2798" s="46" t="n">
        <v>0</v>
      </c>
      <c r="R2798" s="46">
        <f>P2798*O2798*M2798*N2798*H2798</f>
        <v/>
      </c>
      <c r="S2798" s="46">
        <f>R2798*INDEX(FmtCansPerCase,MATCH(F2798,FmtName,0))</f>
        <v/>
      </c>
      <c r="T2798" s="46">
        <f>S2798/INDEX(FmtCansPerPack,MATCH(F2798,FmtName,0))</f>
        <v/>
      </c>
      <c r="U2798" s="47">
        <f>INDEX(ChBaseCP,MATCH(E2798,ChName,0))*(1+INDEX(ProvMod,MATCH(G2798,ProvCode,0)))*(1+PriceIndex)</f>
        <v/>
      </c>
      <c r="V2798" s="47">
        <f>R2798*U2798*INDEX(FmtBlendedPriceIdx,MATCH(F2798,FmtName,0))</f>
        <v/>
      </c>
      <c r="W2798" s="47">
        <f>T2798*INDEX(ProvSRP,MATCH(G2798,ProvCode,0))*(1+PriceIndex)</f>
        <v/>
      </c>
      <c r="X2798" s="47">
        <f>IF(GrossBasis="Wholesale",V2798,W2798)</f>
        <v/>
      </c>
      <c r="Y2798" s="47">
        <f>R2798*INDEX(FmtBlendedCogs,MATCH(F2798,FmtName,0))</f>
        <v/>
      </c>
      <c r="Z2798" s="47">
        <f>X2798-Y2798</f>
        <v/>
      </c>
    </row>
    <row r="2799">
      <c r="A2799" t="n">
        <v>42</v>
      </c>
      <c r="B2799" s="44">
        <f>FiscalStart+(A2799-1)*7</f>
        <v/>
      </c>
      <c r="C2799">
        <f>TEXT(B2799,"mmm yyyy")</f>
        <v/>
      </c>
      <c r="D2799">
        <f>"Q"&amp;(INT((A2799-1)/13)+1)</f>
        <v/>
      </c>
      <c r="E2799" t="inlineStr">
        <is>
          <t>Specialty</t>
        </is>
      </c>
      <c r="F2799">
        <f>IFERROR(INDEX(ChFormat,MATCH(E2799,ChName,0)),"")</f>
        <v/>
      </c>
      <c r="G2799" t="inlineStr">
        <is>
          <t>SK</t>
        </is>
      </c>
      <c r="H2799">
        <f>IF(A2799&lt;=NWeeks,1,0)</f>
        <v/>
      </c>
      <c r="I2799">
        <f>INDEX(ChLaunch,MATCH(E2799,ChName,0))</f>
        <v/>
      </c>
      <c r="J2799">
        <f>INDEX(ChWeeksFull,MATCH(E2799,ChName,0))</f>
        <v/>
      </c>
      <c r="K2799">
        <f>INDEX(ChRamp,MATCH(E2799,ChName,0))</f>
        <v/>
      </c>
      <c r="L2799" s="45">
        <f>MIN(1,MAX(0,(A2799-I2799+1)*RampSpeed/J2799))</f>
        <v/>
      </c>
      <c r="M2799" s="45">
        <f>IF(A2799&lt;I2799,0,IF(K2799="S-curve",L2799*L2799*(3-2*L2799),L2799))</f>
        <v/>
      </c>
      <c r="N2799" s="45">
        <f>1+(INDEX(SeasonIdx,A2799)-1)*SeasonAmp</f>
        <v/>
      </c>
      <c r="O2799" s="45">
        <f>IFERROR(INDEX(PSPct,MATCH(E2799&amp;"|"&amp;G2799,PSKey,0)),0)</f>
        <v/>
      </c>
      <c r="P2799" s="46">
        <f>INDEX(ChDoorVel,MATCH(E2799,ChName,0))*CalibScalar*(1+VelocityUplift)</f>
        <v/>
      </c>
      <c r="Q2799" s="46" t="n">
        <v>0</v>
      </c>
      <c r="R2799" s="46">
        <f>P2799*O2799*M2799*N2799*H2799</f>
        <v/>
      </c>
      <c r="S2799" s="46">
        <f>R2799*INDEX(FmtCansPerCase,MATCH(F2799,FmtName,0))</f>
        <v/>
      </c>
      <c r="T2799" s="46">
        <f>S2799/INDEX(FmtCansPerPack,MATCH(F2799,FmtName,0))</f>
        <v/>
      </c>
      <c r="U2799" s="47">
        <f>INDEX(ChBaseCP,MATCH(E2799,ChName,0))*(1+INDEX(ProvMod,MATCH(G2799,ProvCode,0)))*(1+PriceIndex)</f>
        <v/>
      </c>
      <c r="V2799" s="47">
        <f>R2799*U2799*INDEX(FmtBlendedPriceIdx,MATCH(F2799,FmtName,0))</f>
        <v/>
      </c>
      <c r="W2799" s="47">
        <f>T2799*INDEX(ProvSRP,MATCH(G2799,ProvCode,0))*(1+PriceIndex)</f>
        <v/>
      </c>
      <c r="X2799" s="47">
        <f>IF(GrossBasis="Wholesale",V2799,W2799)</f>
        <v/>
      </c>
      <c r="Y2799" s="47">
        <f>R2799*INDEX(FmtBlendedCogs,MATCH(F2799,FmtName,0))</f>
        <v/>
      </c>
      <c r="Z2799" s="47">
        <f>X2799-Y2799</f>
        <v/>
      </c>
    </row>
    <row r="2800">
      <c r="A2800" t="n">
        <v>43</v>
      </c>
      <c r="B2800" s="44">
        <f>FiscalStart+(A2800-1)*7</f>
        <v/>
      </c>
      <c r="C2800">
        <f>TEXT(B2800,"mmm yyyy")</f>
        <v/>
      </c>
      <c r="D2800">
        <f>"Q"&amp;(INT((A2800-1)/13)+1)</f>
        <v/>
      </c>
      <c r="E2800" t="inlineStr">
        <is>
          <t>Specialty</t>
        </is>
      </c>
      <c r="F2800">
        <f>IFERROR(INDEX(ChFormat,MATCH(E2800,ChName,0)),"")</f>
        <v/>
      </c>
      <c r="G2800" t="inlineStr">
        <is>
          <t>SK</t>
        </is>
      </c>
      <c r="H2800">
        <f>IF(A2800&lt;=NWeeks,1,0)</f>
        <v/>
      </c>
      <c r="I2800">
        <f>INDEX(ChLaunch,MATCH(E2800,ChName,0))</f>
        <v/>
      </c>
      <c r="J2800">
        <f>INDEX(ChWeeksFull,MATCH(E2800,ChName,0))</f>
        <v/>
      </c>
      <c r="K2800">
        <f>INDEX(ChRamp,MATCH(E2800,ChName,0))</f>
        <v/>
      </c>
      <c r="L2800" s="45">
        <f>MIN(1,MAX(0,(A2800-I2800+1)*RampSpeed/J2800))</f>
        <v/>
      </c>
      <c r="M2800" s="45">
        <f>IF(A2800&lt;I2800,0,IF(K2800="S-curve",L2800*L2800*(3-2*L2800),L2800))</f>
        <v/>
      </c>
      <c r="N2800" s="45">
        <f>1+(INDEX(SeasonIdx,A2800)-1)*SeasonAmp</f>
        <v/>
      </c>
      <c r="O2800" s="45">
        <f>IFERROR(INDEX(PSPct,MATCH(E2800&amp;"|"&amp;G2800,PSKey,0)),0)</f>
        <v/>
      </c>
      <c r="P2800" s="46">
        <f>INDEX(ChDoorVel,MATCH(E2800,ChName,0))*CalibScalar*(1+VelocityUplift)</f>
        <v/>
      </c>
      <c r="Q2800" s="46" t="n">
        <v>0</v>
      </c>
      <c r="R2800" s="46">
        <f>P2800*O2800*M2800*N2800*H2800</f>
        <v/>
      </c>
      <c r="S2800" s="46">
        <f>R2800*INDEX(FmtCansPerCase,MATCH(F2800,FmtName,0))</f>
        <v/>
      </c>
      <c r="T2800" s="46">
        <f>S2800/INDEX(FmtCansPerPack,MATCH(F2800,FmtName,0))</f>
        <v/>
      </c>
      <c r="U2800" s="47">
        <f>INDEX(ChBaseCP,MATCH(E2800,ChName,0))*(1+INDEX(ProvMod,MATCH(G2800,ProvCode,0)))*(1+PriceIndex)</f>
        <v/>
      </c>
      <c r="V2800" s="47">
        <f>R2800*U2800*INDEX(FmtBlendedPriceIdx,MATCH(F2800,FmtName,0))</f>
        <v/>
      </c>
      <c r="W2800" s="47">
        <f>T2800*INDEX(ProvSRP,MATCH(G2800,ProvCode,0))*(1+PriceIndex)</f>
        <v/>
      </c>
      <c r="X2800" s="47">
        <f>IF(GrossBasis="Wholesale",V2800,W2800)</f>
        <v/>
      </c>
      <c r="Y2800" s="47">
        <f>R2800*INDEX(FmtBlendedCogs,MATCH(F2800,FmtName,0))</f>
        <v/>
      </c>
      <c r="Z2800" s="47">
        <f>X2800-Y2800</f>
        <v/>
      </c>
    </row>
    <row r="2801">
      <c r="A2801" t="n">
        <v>44</v>
      </c>
      <c r="B2801" s="44">
        <f>FiscalStart+(A2801-1)*7</f>
        <v/>
      </c>
      <c r="C2801">
        <f>TEXT(B2801,"mmm yyyy")</f>
        <v/>
      </c>
      <c r="D2801">
        <f>"Q"&amp;(INT((A2801-1)/13)+1)</f>
        <v/>
      </c>
      <c r="E2801" t="inlineStr">
        <is>
          <t>Specialty</t>
        </is>
      </c>
      <c r="F2801">
        <f>IFERROR(INDEX(ChFormat,MATCH(E2801,ChName,0)),"")</f>
        <v/>
      </c>
      <c r="G2801" t="inlineStr">
        <is>
          <t>SK</t>
        </is>
      </c>
      <c r="H2801">
        <f>IF(A2801&lt;=NWeeks,1,0)</f>
        <v/>
      </c>
      <c r="I2801">
        <f>INDEX(ChLaunch,MATCH(E2801,ChName,0))</f>
        <v/>
      </c>
      <c r="J2801">
        <f>INDEX(ChWeeksFull,MATCH(E2801,ChName,0))</f>
        <v/>
      </c>
      <c r="K2801">
        <f>INDEX(ChRamp,MATCH(E2801,ChName,0))</f>
        <v/>
      </c>
      <c r="L2801" s="45">
        <f>MIN(1,MAX(0,(A2801-I2801+1)*RampSpeed/J2801))</f>
        <v/>
      </c>
      <c r="M2801" s="45">
        <f>IF(A2801&lt;I2801,0,IF(K2801="S-curve",L2801*L2801*(3-2*L2801),L2801))</f>
        <v/>
      </c>
      <c r="N2801" s="45">
        <f>1+(INDEX(SeasonIdx,A2801)-1)*SeasonAmp</f>
        <v/>
      </c>
      <c r="O2801" s="45">
        <f>IFERROR(INDEX(PSPct,MATCH(E2801&amp;"|"&amp;G2801,PSKey,0)),0)</f>
        <v/>
      </c>
      <c r="P2801" s="46">
        <f>INDEX(ChDoorVel,MATCH(E2801,ChName,0))*CalibScalar*(1+VelocityUplift)</f>
        <v/>
      </c>
      <c r="Q2801" s="46" t="n">
        <v>0</v>
      </c>
      <c r="R2801" s="46">
        <f>P2801*O2801*M2801*N2801*H2801</f>
        <v/>
      </c>
      <c r="S2801" s="46">
        <f>R2801*INDEX(FmtCansPerCase,MATCH(F2801,FmtName,0))</f>
        <v/>
      </c>
      <c r="T2801" s="46">
        <f>S2801/INDEX(FmtCansPerPack,MATCH(F2801,FmtName,0))</f>
        <v/>
      </c>
      <c r="U2801" s="47">
        <f>INDEX(ChBaseCP,MATCH(E2801,ChName,0))*(1+INDEX(ProvMod,MATCH(G2801,ProvCode,0)))*(1+PriceIndex)</f>
        <v/>
      </c>
      <c r="V2801" s="47">
        <f>R2801*U2801*INDEX(FmtBlendedPriceIdx,MATCH(F2801,FmtName,0))</f>
        <v/>
      </c>
      <c r="W2801" s="47">
        <f>T2801*INDEX(ProvSRP,MATCH(G2801,ProvCode,0))*(1+PriceIndex)</f>
        <v/>
      </c>
      <c r="X2801" s="47">
        <f>IF(GrossBasis="Wholesale",V2801,W2801)</f>
        <v/>
      </c>
      <c r="Y2801" s="47">
        <f>R2801*INDEX(FmtBlendedCogs,MATCH(F2801,FmtName,0))</f>
        <v/>
      </c>
      <c r="Z2801" s="47">
        <f>X2801-Y2801</f>
        <v/>
      </c>
    </row>
    <row r="2802">
      <c r="A2802" t="n">
        <v>45</v>
      </c>
      <c r="B2802" s="44">
        <f>FiscalStart+(A2802-1)*7</f>
        <v/>
      </c>
      <c r="C2802">
        <f>TEXT(B2802,"mmm yyyy")</f>
        <v/>
      </c>
      <c r="D2802">
        <f>"Q"&amp;(INT((A2802-1)/13)+1)</f>
        <v/>
      </c>
      <c r="E2802" t="inlineStr">
        <is>
          <t>Specialty</t>
        </is>
      </c>
      <c r="F2802">
        <f>IFERROR(INDEX(ChFormat,MATCH(E2802,ChName,0)),"")</f>
        <v/>
      </c>
      <c r="G2802" t="inlineStr">
        <is>
          <t>SK</t>
        </is>
      </c>
      <c r="H2802">
        <f>IF(A2802&lt;=NWeeks,1,0)</f>
        <v/>
      </c>
      <c r="I2802">
        <f>INDEX(ChLaunch,MATCH(E2802,ChName,0))</f>
        <v/>
      </c>
      <c r="J2802">
        <f>INDEX(ChWeeksFull,MATCH(E2802,ChName,0))</f>
        <v/>
      </c>
      <c r="K2802">
        <f>INDEX(ChRamp,MATCH(E2802,ChName,0))</f>
        <v/>
      </c>
      <c r="L2802" s="45">
        <f>MIN(1,MAX(0,(A2802-I2802+1)*RampSpeed/J2802))</f>
        <v/>
      </c>
      <c r="M2802" s="45">
        <f>IF(A2802&lt;I2802,0,IF(K2802="S-curve",L2802*L2802*(3-2*L2802),L2802))</f>
        <v/>
      </c>
      <c r="N2802" s="45">
        <f>1+(INDEX(SeasonIdx,A2802)-1)*SeasonAmp</f>
        <v/>
      </c>
      <c r="O2802" s="45">
        <f>IFERROR(INDEX(PSPct,MATCH(E2802&amp;"|"&amp;G2802,PSKey,0)),0)</f>
        <v/>
      </c>
      <c r="P2802" s="46">
        <f>INDEX(ChDoorVel,MATCH(E2802,ChName,0))*CalibScalar*(1+VelocityUplift)</f>
        <v/>
      </c>
      <c r="Q2802" s="46" t="n">
        <v>0</v>
      </c>
      <c r="R2802" s="46">
        <f>P2802*O2802*M2802*N2802*H2802</f>
        <v/>
      </c>
      <c r="S2802" s="46">
        <f>R2802*INDEX(FmtCansPerCase,MATCH(F2802,FmtName,0))</f>
        <v/>
      </c>
      <c r="T2802" s="46">
        <f>S2802/INDEX(FmtCansPerPack,MATCH(F2802,FmtName,0))</f>
        <v/>
      </c>
      <c r="U2802" s="47">
        <f>INDEX(ChBaseCP,MATCH(E2802,ChName,0))*(1+INDEX(ProvMod,MATCH(G2802,ProvCode,0)))*(1+PriceIndex)</f>
        <v/>
      </c>
      <c r="V2802" s="47">
        <f>R2802*U2802*INDEX(FmtBlendedPriceIdx,MATCH(F2802,FmtName,0))</f>
        <v/>
      </c>
      <c r="W2802" s="47">
        <f>T2802*INDEX(ProvSRP,MATCH(G2802,ProvCode,0))*(1+PriceIndex)</f>
        <v/>
      </c>
      <c r="X2802" s="47">
        <f>IF(GrossBasis="Wholesale",V2802,W2802)</f>
        <v/>
      </c>
      <c r="Y2802" s="47">
        <f>R2802*INDEX(FmtBlendedCogs,MATCH(F2802,FmtName,0))</f>
        <v/>
      </c>
      <c r="Z2802" s="47">
        <f>X2802-Y2802</f>
        <v/>
      </c>
    </row>
    <row r="2803">
      <c r="A2803" t="n">
        <v>46</v>
      </c>
      <c r="B2803" s="44">
        <f>FiscalStart+(A2803-1)*7</f>
        <v/>
      </c>
      <c r="C2803">
        <f>TEXT(B2803,"mmm yyyy")</f>
        <v/>
      </c>
      <c r="D2803">
        <f>"Q"&amp;(INT((A2803-1)/13)+1)</f>
        <v/>
      </c>
      <c r="E2803" t="inlineStr">
        <is>
          <t>Specialty</t>
        </is>
      </c>
      <c r="F2803">
        <f>IFERROR(INDEX(ChFormat,MATCH(E2803,ChName,0)),"")</f>
        <v/>
      </c>
      <c r="G2803" t="inlineStr">
        <is>
          <t>SK</t>
        </is>
      </c>
      <c r="H2803">
        <f>IF(A2803&lt;=NWeeks,1,0)</f>
        <v/>
      </c>
      <c r="I2803">
        <f>INDEX(ChLaunch,MATCH(E2803,ChName,0))</f>
        <v/>
      </c>
      <c r="J2803">
        <f>INDEX(ChWeeksFull,MATCH(E2803,ChName,0))</f>
        <v/>
      </c>
      <c r="K2803">
        <f>INDEX(ChRamp,MATCH(E2803,ChName,0))</f>
        <v/>
      </c>
      <c r="L2803" s="45">
        <f>MIN(1,MAX(0,(A2803-I2803+1)*RampSpeed/J2803))</f>
        <v/>
      </c>
      <c r="M2803" s="45">
        <f>IF(A2803&lt;I2803,0,IF(K2803="S-curve",L2803*L2803*(3-2*L2803),L2803))</f>
        <v/>
      </c>
      <c r="N2803" s="45">
        <f>1+(INDEX(SeasonIdx,A2803)-1)*SeasonAmp</f>
        <v/>
      </c>
      <c r="O2803" s="45">
        <f>IFERROR(INDEX(PSPct,MATCH(E2803&amp;"|"&amp;G2803,PSKey,0)),0)</f>
        <v/>
      </c>
      <c r="P2803" s="46">
        <f>INDEX(ChDoorVel,MATCH(E2803,ChName,0))*CalibScalar*(1+VelocityUplift)</f>
        <v/>
      </c>
      <c r="Q2803" s="46" t="n">
        <v>0</v>
      </c>
      <c r="R2803" s="46">
        <f>P2803*O2803*M2803*N2803*H2803</f>
        <v/>
      </c>
      <c r="S2803" s="46">
        <f>R2803*INDEX(FmtCansPerCase,MATCH(F2803,FmtName,0))</f>
        <v/>
      </c>
      <c r="T2803" s="46">
        <f>S2803/INDEX(FmtCansPerPack,MATCH(F2803,FmtName,0))</f>
        <v/>
      </c>
      <c r="U2803" s="47">
        <f>INDEX(ChBaseCP,MATCH(E2803,ChName,0))*(1+INDEX(ProvMod,MATCH(G2803,ProvCode,0)))*(1+PriceIndex)</f>
        <v/>
      </c>
      <c r="V2803" s="47">
        <f>R2803*U2803*INDEX(FmtBlendedPriceIdx,MATCH(F2803,FmtName,0))</f>
        <v/>
      </c>
      <c r="W2803" s="47">
        <f>T2803*INDEX(ProvSRP,MATCH(G2803,ProvCode,0))*(1+PriceIndex)</f>
        <v/>
      </c>
      <c r="X2803" s="47">
        <f>IF(GrossBasis="Wholesale",V2803,W2803)</f>
        <v/>
      </c>
      <c r="Y2803" s="47">
        <f>R2803*INDEX(FmtBlendedCogs,MATCH(F2803,FmtName,0))</f>
        <v/>
      </c>
      <c r="Z2803" s="47">
        <f>X2803-Y2803</f>
        <v/>
      </c>
    </row>
    <row r="2804">
      <c r="A2804" t="n">
        <v>47</v>
      </c>
      <c r="B2804" s="44">
        <f>FiscalStart+(A2804-1)*7</f>
        <v/>
      </c>
      <c r="C2804">
        <f>TEXT(B2804,"mmm yyyy")</f>
        <v/>
      </c>
      <c r="D2804">
        <f>"Q"&amp;(INT((A2804-1)/13)+1)</f>
        <v/>
      </c>
      <c r="E2804" t="inlineStr">
        <is>
          <t>Specialty</t>
        </is>
      </c>
      <c r="F2804">
        <f>IFERROR(INDEX(ChFormat,MATCH(E2804,ChName,0)),"")</f>
        <v/>
      </c>
      <c r="G2804" t="inlineStr">
        <is>
          <t>SK</t>
        </is>
      </c>
      <c r="H2804">
        <f>IF(A2804&lt;=NWeeks,1,0)</f>
        <v/>
      </c>
      <c r="I2804">
        <f>INDEX(ChLaunch,MATCH(E2804,ChName,0))</f>
        <v/>
      </c>
      <c r="J2804">
        <f>INDEX(ChWeeksFull,MATCH(E2804,ChName,0))</f>
        <v/>
      </c>
      <c r="K2804">
        <f>INDEX(ChRamp,MATCH(E2804,ChName,0))</f>
        <v/>
      </c>
      <c r="L2804" s="45">
        <f>MIN(1,MAX(0,(A2804-I2804+1)*RampSpeed/J2804))</f>
        <v/>
      </c>
      <c r="M2804" s="45">
        <f>IF(A2804&lt;I2804,0,IF(K2804="S-curve",L2804*L2804*(3-2*L2804),L2804))</f>
        <v/>
      </c>
      <c r="N2804" s="45">
        <f>1+(INDEX(SeasonIdx,A2804)-1)*SeasonAmp</f>
        <v/>
      </c>
      <c r="O2804" s="45">
        <f>IFERROR(INDEX(PSPct,MATCH(E2804&amp;"|"&amp;G2804,PSKey,0)),0)</f>
        <v/>
      </c>
      <c r="P2804" s="46">
        <f>INDEX(ChDoorVel,MATCH(E2804,ChName,0))*CalibScalar*(1+VelocityUplift)</f>
        <v/>
      </c>
      <c r="Q2804" s="46" t="n">
        <v>0</v>
      </c>
      <c r="R2804" s="46">
        <f>P2804*O2804*M2804*N2804*H2804</f>
        <v/>
      </c>
      <c r="S2804" s="46">
        <f>R2804*INDEX(FmtCansPerCase,MATCH(F2804,FmtName,0))</f>
        <v/>
      </c>
      <c r="T2804" s="46">
        <f>S2804/INDEX(FmtCansPerPack,MATCH(F2804,FmtName,0))</f>
        <v/>
      </c>
      <c r="U2804" s="47">
        <f>INDEX(ChBaseCP,MATCH(E2804,ChName,0))*(1+INDEX(ProvMod,MATCH(G2804,ProvCode,0)))*(1+PriceIndex)</f>
        <v/>
      </c>
      <c r="V2804" s="47">
        <f>R2804*U2804*INDEX(FmtBlendedPriceIdx,MATCH(F2804,FmtName,0))</f>
        <v/>
      </c>
      <c r="W2804" s="47">
        <f>T2804*INDEX(ProvSRP,MATCH(G2804,ProvCode,0))*(1+PriceIndex)</f>
        <v/>
      </c>
      <c r="X2804" s="47">
        <f>IF(GrossBasis="Wholesale",V2804,W2804)</f>
        <v/>
      </c>
      <c r="Y2804" s="47">
        <f>R2804*INDEX(FmtBlendedCogs,MATCH(F2804,FmtName,0))</f>
        <v/>
      </c>
      <c r="Z2804" s="47">
        <f>X2804-Y2804</f>
        <v/>
      </c>
    </row>
    <row r="2805">
      <c r="A2805" t="n">
        <v>48</v>
      </c>
      <c r="B2805" s="44">
        <f>FiscalStart+(A2805-1)*7</f>
        <v/>
      </c>
      <c r="C2805">
        <f>TEXT(B2805,"mmm yyyy")</f>
        <v/>
      </c>
      <c r="D2805">
        <f>"Q"&amp;(INT((A2805-1)/13)+1)</f>
        <v/>
      </c>
      <c r="E2805" t="inlineStr">
        <is>
          <t>Specialty</t>
        </is>
      </c>
      <c r="F2805">
        <f>IFERROR(INDEX(ChFormat,MATCH(E2805,ChName,0)),"")</f>
        <v/>
      </c>
      <c r="G2805" t="inlineStr">
        <is>
          <t>SK</t>
        </is>
      </c>
      <c r="H2805">
        <f>IF(A2805&lt;=NWeeks,1,0)</f>
        <v/>
      </c>
      <c r="I2805">
        <f>INDEX(ChLaunch,MATCH(E2805,ChName,0))</f>
        <v/>
      </c>
      <c r="J2805">
        <f>INDEX(ChWeeksFull,MATCH(E2805,ChName,0))</f>
        <v/>
      </c>
      <c r="K2805">
        <f>INDEX(ChRamp,MATCH(E2805,ChName,0))</f>
        <v/>
      </c>
      <c r="L2805" s="45">
        <f>MIN(1,MAX(0,(A2805-I2805+1)*RampSpeed/J2805))</f>
        <v/>
      </c>
      <c r="M2805" s="45">
        <f>IF(A2805&lt;I2805,0,IF(K2805="S-curve",L2805*L2805*(3-2*L2805),L2805))</f>
        <v/>
      </c>
      <c r="N2805" s="45">
        <f>1+(INDEX(SeasonIdx,A2805)-1)*SeasonAmp</f>
        <v/>
      </c>
      <c r="O2805" s="45">
        <f>IFERROR(INDEX(PSPct,MATCH(E2805&amp;"|"&amp;G2805,PSKey,0)),0)</f>
        <v/>
      </c>
      <c r="P2805" s="46">
        <f>INDEX(ChDoorVel,MATCH(E2805,ChName,0))*CalibScalar*(1+VelocityUplift)</f>
        <v/>
      </c>
      <c r="Q2805" s="46" t="n">
        <v>0</v>
      </c>
      <c r="R2805" s="46">
        <f>P2805*O2805*M2805*N2805*H2805</f>
        <v/>
      </c>
      <c r="S2805" s="46">
        <f>R2805*INDEX(FmtCansPerCase,MATCH(F2805,FmtName,0))</f>
        <v/>
      </c>
      <c r="T2805" s="46">
        <f>S2805/INDEX(FmtCansPerPack,MATCH(F2805,FmtName,0))</f>
        <v/>
      </c>
      <c r="U2805" s="47">
        <f>INDEX(ChBaseCP,MATCH(E2805,ChName,0))*(1+INDEX(ProvMod,MATCH(G2805,ProvCode,0)))*(1+PriceIndex)</f>
        <v/>
      </c>
      <c r="V2805" s="47">
        <f>R2805*U2805*INDEX(FmtBlendedPriceIdx,MATCH(F2805,FmtName,0))</f>
        <v/>
      </c>
      <c r="W2805" s="47">
        <f>T2805*INDEX(ProvSRP,MATCH(G2805,ProvCode,0))*(1+PriceIndex)</f>
        <v/>
      </c>
      <c r="X2805" s="47">
        <f>IF(GrossBasis="Wholesale",V2805,W2805)</f>
        <v/>
      </c>
      <c r="Y2805" s="47">
        <f>R2805*INDEX(FmtBlendedCogs,MATCH(F2805,FmtName,0))</f>
        <v/>
      </c>
      <c r="Z2805" s="47">
        <f>X2805-Y2805</f>
        <v/>
      </c>
    </row>
    <row r="2806">
      <c r="A2806" t="n">
        <v>49</v>
      </c>
      <c r="B2806" s="44">
        <f>FiscalStart+(A2806-1)*7</f>
        <v/>
      </c>
      <c r="C2806">
        <f>TEXT(B2806,"mmm yyyy")</f>
        <v/>
      </c>
      <c r="D2806">
        <f>"Q"&amp;(INT((A2806-1)/13)+1)</f>
        <v/>
      </c>
      <c r="E2806" t="inlineStr">
        <is>
          <t>Specialty</t>
        </is>
      </c>
      <c r="F2806">
        <f>IFERROR(INDEX(ChFormat,MATCH(E2806,ChName,0)),"")</f>
        <v/>
      </c>
      <c r="G2806" t="inlineStr">
        <is>
          <t>SK</t>
        </is>
      </c>
      <c r="H2806">
        <f>IF(A2806&lt;=NWeeks,1,0)</f>
        <v/>
      </c>
      <c r="I2806">
        <f>INDEX(ChLaunch,MATCH(E2806,ChName,0))</f>
        <v/>
      </c>
      <c r="J2806">
        <f>INDEX(ChWeeksFull,MATCH(E2806,ChName,0))</f>
        <v/>
      </c>
      <c r="K2806">
        <f>INDEX(ChRamp,MATCH(E2806,ChName,0))</f>
        <v/>
      </c>
      <c r="L2806" s="45">
        <f>MIN(1,MAX(0,(A2806-I2806+1)*RampSpeed/J2806))</f>
        <v/>
      </c>
      <c r="M2806" s="45">
        <f>IF(A2806&lt;I2806,0,IF(K2806="S-curve",L2806*L2806*(3-2*L2806),L2806))</f>
        <v/>
      </c>
      <c r="N2806" s="45">
        <f>1+(INDEX(SeasonIdx,A2806)-1)*SeasonAmp</f>
        <v/>
      </c>
      <c r="O2806" s="45">
        <f>IFERROR(INDEX(PSPct,MATCH(E2806&amp;"|"&amp;G2806,PSKey,0)),0)</f>
        <v/>
      </c>
      <c r="P2806" s="46">
        <f>INDEX(ChDoorVel,MATCH(E2806,ChName,0))*CalibScalar*(1+VelocityUplift)</f>
        <v/>
      </c>
      <c r="Q2806" s="46" t="n">
        <v>0</v>
      </c>
      <c r="R2806" s="46">
        <f>P2806*O2806*M2806*N2806*H2806</f>
        <v/>
      </c>
      <c r="S2806" s="46">
        <f>R2806*INDEX(FmtCansPerCase,MATCH(F2806,FmtName,0))</f>
        <v/>
      </c>
      <c r="T2806" s="46">
        <f>S2806/INDEX(FmtCansPerPack,MATCH(F2806,FmtName,0))</f>
        <v/>
      </c>
      <c r="U2806" s="47">
        <f>INDEX(ChBaseCP,MATCH(E2806,ChName,0))*(1+INDEX(ProvMod,MATCH(G2806,ProvCode,0)))*(1+PriceIndex)</f>
        <v/>
      </c>
      <c r="V2806" s="47">
        <f>R2806*U2806*INDEX(FmtBlendedPriceIdx,MATCH(F2806,FmtName,0))</f>
        <v/>
      </c>
      <c r="W2806" s="47">
        <f>T2806*INDEX(ProvSRP,MATCH(G2806,ProvCode,0))*(1+PriceIndex)</f>
        <v/>
      </c>
      <c r="X2806" s="47">
        <f>IF(GrossBasis="Wholesale",V2806,W2806)</f>
        <v/>
      </c>
      <c r="Y2806" s="47">
        <f>R2806*INDEX(FmtBlendedCogs,MATCH(F2806,FmtName,0))</f>
        <v/>
      </c>
      <c r="Z2806" s="47">
        <f>X2806-Y2806</f>
        <v/>
      </c>
    </row>
    <row r="2807">
      <c r="A2807" t="n">
        <v>50</v>
      </c>
      <c r="B2807" s="44">
        <f>FiscalStart+(A2807-1)*7</f>
        <v/>
      </c>
      <c r="C2807">
        <f>TEXT(B2807,"mmm yyyy")</f>
        <v/>
      </c>
      <c r="D2807">
        <f>"Q"&amp;(INT((A2807-1)/13)+1)</f>
        <v/>
      </c>
      <c r="E2807" t="inlineStr">
        <is>
          <t>Specialty</t>
        </is>
      </c>
      <c r="F2807">
        <f>IFERROR(INDEX(ChFormat,MATCH(E2807,ChName,0)),"")</f>
        <v/>
      </c>
      <c r="G2807" t="inlineStr">
        <is>
          <t>SK</t>
        </is>
      </c>
      <c r="H2807">
        <f>IF(A2807&lt;=NWeeks,1,0)</f>
        <v/>
      </c>
      <c r="I2807">
        <f>INDEX(ChLaunch,MATCH(E2807,ChName,0))</f>
        <v/>
      </c>
      <c r="J2807">
        <f>INDEX(ChWeeksFull,MATCH(E2807,ChName,0))</f>
        <v/>
      </c>
      <c r="K2807">
        <f>INDEX(ChRamp,MATCH(E2807,ChName,0))</f>
        <v/>
      </c>
      <c r="L2807" s="45">
        <f>MIN(1,MAX(0,(A2807-I2807+1)*RampSpeed/J2807))</f>
        <v/>
      </c>
      <c r="M2807" s="45">
        <f>IF(A2807&lt;I2807,0,IF(K2807="S-curve",L2807*L2807*(3-2*L2807),L2807))</f>
        <v/>
      </c>
      <c r="N2807" s="45">
        <f>1+(INDEX(SeasonIdx,A2807)-1)*SeasonAmp</f>
        <v/>
      </c>
      <c r="O2807" s="45">
        <f>IFERROR(INDEX(PSPct,MATCH(E2807&amp;"|"&amp;G2807,PSKey,0)),0)</f>
        <v/>
      </c>
      <c r="P2807" s="46">
        <f>INDEX(ChDoorVel,MATCH(E2807,ChName,0))*CalibScalar*(1+VelocityUplift)</f>
        <v/>
      </c>
      <c r="Q2807" s="46" t="n">
        <v>0</v>
      </c>
      <c r="R2807" s="46">
        <f>P2807*O2807*M2807*N2807*H2807</f>
        <v/>
      </c>
      <c r="S2807" s="46">
        <f>R2807*INDEX(FmtCansPerCase,MATCH(F2807,FmtName,0))</f>
        <v/>
      </c>
      <c r="T2807" s="46">
        <f>S2807/INDEX(FmtCansPerPack,MATCH(F2807,FmtName,0))</f>
        <v/>
      </c>
      <c r="U2807" s="47">
        <f>INDEX(ChBaseCP,MATCH(E2807,ChName,0))*(1+INDEX(ProvMod,MATCH(G2807,ProvCode,0)))*(1+PriceIndex)</f>
        <v/>
      </c>
      <c r="V2807" s="47">
        <f>R2807*U2807*INDEX(FmtBlendedPriceIdx,MATCH(F2807,FmtName,0))</f>
        <v/>
      </c>
      <c r="W2807" s="47">
        <f>T2807*INDEX(ProvSRP,MATCH(G2807,ProvCode,0))*(1+PriceIndex)</f>
        <v/>
      </c>
      <c r="X2807" s="47">
        <f>IF(GrossBasis="Wholesale",V2807,W2807)</f>
        <v/>
      </c>
      <c r="Y2807" s="47">
        <f>R2807*INDEX(FmtBlendedCogs,MATCH(F2807,FmtName,0))</f>
        <v/>
      </c>
      <c r="Z2807" s="47">
        <f>X2807-Y2807</f>
        <v/>
      </c>
    </row>
    <row r="2808">
      <c r="A2808" t="n">
        <v>51</v>
      </c>
      <c r="B2808" s="44">
        <f>FiscalStart+(A2808-1)*7</f>
        <v/>
      </c>
      <c r="C2808">
        <f>TEXT(B2808,"mmm yyyy")</f>
        <v/>
      </c>
      <c r="D2808">
        <f>"Q"&amp;(INT((A2808-1)/13)+1)</f>
        <v/>
      </c>
      <c r="E2808" t="inlineStr">
        <is>
          <t>Specialty</t>
        </is>
      </c>
      <c r="F2808">
        <f>IFERROR(INDEX(ChFormat,MATCH(E2808,ChName,0)),"")</f>
        <v/>
      </c>
      <c r="G2808" t="inlineStr">
        <is>
          <t>SK</t>
        </is>
      </c>
      <c r="H2808">
        <f>IF(A2808&lt;=NWeeks,1,0)</f>
        <v/>
      </c>
      <c r="I2808">
        <f>INDEX(ChLaunch,MATCH(E2808,ChName,0))</f>
        <v/>
      </c>
      <c r="J2808">
        <f>INDEX(ChWeeksFull,MATCH(E2808,ChName,0))</f>
        <v/>
      </c>
      <c r="K2808">
        <f>INDEX(ChRamp,MATCH(E2808,ChName,0))</f>
        <v/>
      </c>
      <c r="L2808" s="45">
        <f>MIN(1,MAX(0,(A2808-I2808+1)*RampSpeed/J2808))</f>
        <v/>
      </c>
      <c r="M2808" s="45">
        <f>IF(A2808&lt;I2808,0,IF(K2808="S-curve",L2808*L2808*(3-2*L2808),L2808))</f>
        <v/>
      </c>
      <c r="N2808" s="45">
        <f>1+(INDEX(SeasonIdx,A2808)-1)*SeasonAmp</f>
        <v/>
      </c>
      <c r="O2808" s="45">
        <f>IFERROR(INDEX(PSPct,MATCH(E2808&amp;"|"&amp;G2808,PSKey,0)),0)</f>
        <v/>
      </c>
      <c r="P2808" s="46">
        <f>INDEX(ChDoorVel,MATCH(E2808,ChName,0))*CalibScalar*(1+VelocityUplift)</f>
        <v/>
      </c>
      <c r="Q2808" s="46" t="n">
        <v>0</v>
      </c>
      <c r="R2808" s="46">
        <f>P2808*O2808*M2808*N2808*H2808</f>
        <v/>
      </c>
      <c r="S2808" s="46">
        <f>R2808*INDEX(FmtCansPerCase,MATCH(F2808,FmtName,0))</f>
        <v/>
      </c>
      <c r="T2808" s="46">
        <f>S2808/INDEX(FmtCansPerPack,MATCH(F2808,FmtName,0))</f>
        <v/>
      </c>
      <c r="U2808" s="47">
        <f>INDEX(ChBaseCP,MATCH(E2808,ChName,0))*(1+INDEX(ProvMod,MATCH(G2808,ProvCode,0)))*(1+PriceIndex)</f>
        <v/>
      </c>
      <c r="V2808" s="47">
        <f>R2808*U2808*INDEX(FmtBlendedPriceIdx,MATCH(F2808,FmtName,0))</f>
        <v/>
      </c>
      <c r="W2808" s="47">
        <f>T2808*INDEX(ProvSRP,MATCH(G2808,ProvCode,0))*(1+PriceIndex)</f>
        <v/>
      </c>
      <c r="X2808" s="47">
        <f>IF(GrossBasis="Wholesale",V2808,W2808)</f>
        <v/>
      </c>
      <c r="Y2808" s="47">
        <f>R2808*INDEX(FmtBlendedCogs,MATCH(F2808,FmtName,0))</f>
        <v/>
      </c>
      <c r="Z2808" s="47">
        <f>X2808-Y2808</f>
        <v/>
      </c>
    </row>
    <row r="2809">
      <c r="A2809" t="n">
        <v>52</v>
      </c>
      <c r="B2809" s="44">
        <f>FiscalStart+(A2809-1)*7</f>
        <v/>
      </c>
      <c r="C2809">
        <f>TEXT(B2809,"mmm yyyy")</f>
        <v/>
      </c>
      <c r="D2809">
        <f>"Q"&amp;(INT((A2809-1)/13)+1)</f>
        <v/>
      </c>
      <c r="E2809" t="inlineStr">
        <is>
          <t>Specialty</t>
        </is>
      </c>
      <c r="F2809">
        <f>IFERROR(INDEX(ChFormat,MATCH(E2809,ChName,0)),"")</f>
        <v/>
      </c>
      <c r="G2809" t="inlineStr">
        <is>
          <t>SK</t>
        </is>
      </c>
      <c r="H2809">
        <f>IF(A2809&lt;=NWeeks,1,0)</f>
        <v/>
      </c>
      <c r="I2809">
        <f>INDEX(ChLaunch,MATCH(E2809,ChName,0))</f>
        <v/>
      </c>
      <c r="J2809">
        <f>INDEX(ChWeeksFull,MATCH(E2809,ChName,0))</f>
        <v/>
      </c>
      <c r="K2809">
        <f>INDEX(ChRamp,MATCH(E2809,ChName,0))</f>
        <v/>
      </c>
      <c r="L2809" s="45">
        <f>MIN(1,MAX(0,(A2809-I2809+1)*RampSpeed/J2809))</f>
        <v/>
      </c>
      <c r="M2809" s="45">
        <f>IF(A2809&lt;I2809,0,IF(K2809="S-curve",L2809*L2809*(3-2*L2809),L2809))</f>
        <v/>
      </c>
      <c r="N2809" s="45">
        <f>1+(INDEX(SeasonIdx,A2809)-1)*SeasonAmp</f>
        <v/>
      </c>
      <c r="O2809" s="45">
        <f>IFERROR(INDEX(PSPct,MATCH(E2809&amp;"|"&amp;G2809,PSKey,0)),0)</f>
        <v/>
      </c>
      <c r="P2809" s="46">
        <f>INDEX(ChDoorVel,MATCH(E2809,ChName,0))*CalibScalar*(1+VelocityUplift)</f>
        <v/>
      </c>
      <c r="Q2809" s="46" t="n">
        <v>0</v>
      </c>
      <c r="R2809" s="46">
        <f>P2809*O2809*M2809*N2809*H2809</f>
        <v/>
      </c>
      <c r="S2809" s="46">
        <f>R2809*INDEX(FmtCansPerCase,MATCH(F2809,FmtName,0))</f>
        <v/>
      </c>
      <c r="T2809" s="46">
        <f>S2809/INDEX(FmtCansPerPack,MATCH(F2809,FmtName,0))</f>
        <v/>
      </c>
      <c r="U2809" s="47">
        <f>INDEX(ChBaseCP,MATCH(E2809,ChName,0))*(1+INDEX(ProvMod,MATCH(G2809,ProvCode,0)))*(1+PriceIndex)</f>
        <v/>
      </c>
      <c r="V2809" s="47">
        <f>R2809*U2809*INDEX(FmtBlendedPriceIdx,MATCH(F2809,FmtName,0))</f>
        <v/>
      </c>
      <c r="W2809" s="47">
        <f>T2809*INDEX(ProvSRP,MATCH(G2809,ProvCode,0))*(1+PriceIndex)</f>
        <v/>
      </c>
      <c r="X2809" s="47">
        <f>IF(GrossBasis="Wholesale",V2809,W2809)</f>
        <v/>
      </c>
      <c r="Y2809" s="47">
        <f>R2809*INDEX(FmtBlendedCogs,MATCH(F2809,FmtName,0))</f>
        <v/>
      </c>
      <c r="Z2809" s="47">
        <f>X2809-Y2809</f>
        <v/>
      </c>
    </row>
    <row r="2810">
      <c r="A2810" t="n">
        <v>53</v>
      </c>
      <c r="B2810" s="44">
        <f>FiscalStart+(A2810-1)*7</f>
        <v/>
      </c>
      <c r="C2810">
        <f>TEXT(B2810,"mmm yyyy")</f>
        <v/>
      </c>
      <c r="D2810">
        <f>"Q"&amp;(INT((A2810-1)/13)+1)</f>
        <v/>
      </c>
      <c r="E2810" t="inlineStr">
        <is>
          <t>Specialty</t>
        </is>
      </c>
      <c r="F2810">
        <f>IFERROR(INDEX(ChFormat,MATCH(E2810,ChName,0)),"")</f>
        <v/>
      </c>
      <c r="G2810" t="inlineStr">
        <is>
          <t>SK</t>
        </is>
      </c>
      <c r="H2810">
        <f>IF(A2810&lt;=NWeeks,1,0)</f>
        <v/>
      </c>
      <c r="I2810">
        <f>INDEX(ChLaunch,MATCH(E2810,ChName,0))</f>
        <v/>
      </c>
      <c r="J2810">
        <f>INDEX(ChWeeksFull,MATCH(E2810,ChName,0))</f>
        <v/>
      </c>
      <c r="K2810">
        <f>INDEX(ChRamp,MATCH(E2810,ChName,0))</f>
        <v/>
      </c>
      <c r="L2810" s="45">
        <f>MIN(1,MAX(0,(A2810-I2810+1)*RampSpeed/J2810))</f>
        <v/>
      </c>
      <c r="M2810" s="45">
        <f>IF(A2810&lt;I2810,0,IF(K2810="S-curve",L2810*L2810*(3-2*L2810),L2810))</f>
        <v/>
      </c>
      <c r="N2810" s="45">
        <f>1+(INDEX(SeasonIdx,A2810)-1)*SeasonAmp</f>
        <v/>
      </c>
      <c r="O2810" s="45">
        <f>IFERROR(INDEX(PSPct,MATCH(E2810&amp;"|"&amp;G2810,PSKey,0)),0)</f>
        <v/>
      </c>
      <c r="P2810" s="46">
        <f>INDEX(ChDoorVel,MATCH(E2810,ChName,0))*CalibScalar*(1+VelocityUplift)</f>
        <v/>
      </c>
      <c r="Q2810" s="46" t="n">
        <v>0</v>
      </c>
      <c r="R2810" s="46">
        <f>P2810*O2810*M2810*N2810*H2810</f>
        <v/>
      </c>
      <c r="S2810" s="46">
        <f>R2810*INDEX(FmtCansPerCase,MATCH(F2810,FmtName,0))</f>
        <v/>
      </c>
      <c r="T2810" s="46">
        <f>S2810/INDEX(FmtCansPerPack,MATCH(F2810,FmtName,0))</f>
        <v/>
      </c>
      <c r="U2810" s="47">
        <f>INDEX(ChBaseCP,MATCH(E2810,ChName,0))*(1+INDEX(ProvMod,MATCH(G2810,ProvCode,0)))*(1+PriceIndex)</f>
        <v/>
      </c>
      <c r="V2810" s="47">
        <f>R2810*U2810*INDEX(FmtBlendedPriceIdx,MATCH(F2810,FmtName,0))</f>
        <v/>
      </c>
      <c r="W2810" s="47">
        <f>T2810*INDEX(ProvSRP,MATCH(G2810,ProvCode,0))*(1+PriceIndex)</f>
        <v/>
      </c>
      <c r="X2810" s="47">
        <f>IF(GrossBasis="Wholesale",V2810,W2810)</f>
        <v/>
      </c>
      <c r="Y2810" s="47">
        <f>R2810*INDEX(FmtBlendedCogs,MATCH(F2810,FmtName,0))</f>
        <v/>
      </c>
      <c r="Z2810" s="47">
        <f>X2810-Y2810</f>
        <v/>
      </c>
    </row>
    <row r="2811">
      <c r="A2811" t="n">
        <v>1</v>
      </c>
      <c r="B2811" s="44">
        <f>FiscalStart+(A2811-1)*7</f>
        <v/>
      </c>
      <c r="C2811">
        <f>TEXT(B2811,"mmm yyyy")</f>
        <v/>
      </c>
      <c r="D2811">
        <f>"Q"&amp;(INT((A2811-1)/13)+1)</f>
        <v/>
      </c>
      <c r="E2811" t="inlineStr">
        <is>
          <t>Specialty</t>
        </is>
      </c>
      <c r="F2811">
        <f>IFERROR(INDEX(ChFormat,MATCH(E2811,ChName,0)),"")</f>
        <v/>
      </c>
      <c r="G2811" t="inlineStr">
        <is>
          <t>MB</t>
        </is>
      </c>
      <c r="H2811">
        <f>IF(A2811&lt;=NWeeks,1,0)</f>
        <v/>
      </c>
      <c r="I2811">
        <f>INDEX(ChLaunch,MATCH(E2811,ChName,0))</f>
        <v/>
      </c>
      <c r="J2811">
        <f>INDEX(ChWeeksFull,MATCH(E2811,ChName,0))</f>
        <v/>
      </c>
      <c r="K2811">
        <f>INDEX(ChRamp,MATCH(E2811,ChName,0))</f>
        <v/>
      </c>
      <c r="L2811" s="45">
        <f>MIN(1,MAX(0,(A2811-I2811+1)*RampSpeed/J2811))</f>
        <v/>
      </c>
      <c r="M2811" s="45">
        <f>IF(A2811&lt;I2811,0,IF(K2811="S-curve",L2811*L2811*(3-2*L2811),L2811))</f>
        <v/>
      </c>
      <c r="N2811" s="45">
        <f>1+(INDEX(SeasonIdx,A2811)-1)*SeasonAmp</f>
        <v/>
      </c>
      <c r="O2811" s="45">
        <f>IFERROR(INDEX(PSPct,MATCH(E2811&amp;"|"&amp;G2811,PSKey,0)),0)</f>
        <v/>
      </c>
      <c r="P2811" s="46">
        <f>INDEX(ChDoorVel,MATCH(E2811,ChName,0))*CalibScalar*(1+VelocityUplift)</f>
        <v/>
      </c>
      <c r="Q2811" s="46" t="n">
        <v>0</v>
      </c>
      <c r="R2811" s="46">
        <f>P2811*O2811*M2811*N2811*H2811</f>
        <v/>
      </c>
      <c r="S2811" s="46">
        <f>R2811*INDEX(FmtCansPerCase,MATCH(F2811,FmtName,0))</f>
        <v/>
      </c>
      <c r="T2811" s="46">
        <f>S2811/INDEX(FmtCansPerPack,MATCH(F2811,FmtName,0))</f>
        <v/>
      </c>
      <c r="U2811" s="47">
        <f>INDEX(ChBaseCP,MATCH(E2811,ChName,0))*(1+INDEX(ProvMod,MATCH(G2811,ProvCode,0)))*(1+PriceIndex)</f>
        <v/>
      </c>
      <c r="V2811" s="47">
        <f>R2811*U2811*INDEX(FmtBlendedPriceIdx,MATCH(F2811,FmtName,0))</f>
        <v/>
      </c>
      <c r="W2811" s="47">
        <f>T2811*INDEX(ProvSRP,MATCH(G2811,ProvCode,0))*(1+PriceIndex)</f>
        <v/>
      </c>
      <c r="X2811" s="47">
        <f>IF(GrossBasis="Wholesale",V2811,W2811)</f>
        <v/>
      </c>
      <c r="Y2811" s="47">
        <f>R2811*INDEX(FmtBlendedCogs,MATCH(F2811,FmtName,0))</f>
        <v/>
      </c>
      <c r="Z2811" s="47">
        <f>X2811-Y2811</f>
        <v/>
      </c>
    </row>
    <row r="2812">
      <c r="A2812" t="n">
        <v>2</v>
      </c>
      <c r="B2812" s="44">
        <f>FiscalStart+(A2812-1)*7</f>
        <v/>
      </c>
      <c r="C2812">
        <f>TEXT(B2812,"mmm yyyy")</f>
        <v/>
      </c>
      <c r="D2812">
        <f>"Q"&amp;(INT((A2812-1)/13)+1)</f>
        <v/>
      </c>
      <c r="E2812" t="inlineStr">
        <is>
          <t>Specialty</t>
        </is>
      </c>
      <c r="F2812">
        <f>IFERROR(INDEX(ChFormat,MATCH(E2812,ChName,0)),"")</f>
        <v/>
      </c>
      <c r="G2812" t="inlineStr">
        <is>
          <t>MB</t>
        </is>
      </c>
      <c r="H2812">
        <f>IF(A2812&lt;=NWeeks,1,0)</f>
        <v/>
      </c>
      <c r="I2812">
        <f>INDEX(ChLaunch,MATCH(E2812,ChName,0))</f>
        <v/>
      </c>
      <c r="J2812">
        <f>INDEX(ChWeeksFull,MATCH(E2812,ChName,0))</f>
        <v/>
      </c>
      <c r="K2812">
        <f>INDEX(ChRamp,MATCH(E2812,ChName,0))</f>
        <v/>
      </c>
      <c r="L2812" s="45">
        <f>MIN(1,MAX(0,(A2812-I2812+1)*RampSpeed/J2812))</f>
        <v/>
      </c>
      <c r="M2812" s="45">
        <f>IF(A2812&lt;I2812,0,IF(K2812="S-curve",L2812*L2812*(3-2*L2812),L2812))</f>
        <v/>
      </c>
      <c r="N2812" s="45">
        <f>1+(INDEX(SeasonIdx,A2812)-1)*SeasonAmp</f>
        <v/>
      </c>
      <c r="O2812" s="45">
        <f>IFERROR(INDEX(PSPct,MATCH(E2812&amp;"|"&amp;G2812,PSKey,0)),0)</f>
        <v/>
      </c>
      <c r="P2812" s="46">
        <f>INDEX(ChDoorVel,MATCH(E2812,ChName,0))*CalibScalar*(1+VelocityUplift)</f>
        <v/>
      </c>
      <c r="Q2812" s="46" t="n">
        <v>0</v>
      </c>
      <c r="R2812" s="46">
        <f>P2812*O2812*M2812*N2812*H2812</f>
        <v/>
      </c>
      <c r="S2812" s="46">
        <f>R2812*INDEX(FmtCansPerCase,MATCH(F2812,FmtName,0))</f>
        <v/>
      </c>
      <c r="T2812" s="46">
        <f>S2812/INDEX(FmtCansPerPack,MATCH(F2812,FmtName,0))</f>
        <v/>
      </c>
      <c r="U2812" s="47">
        <f>INDEX(ChBaseCP,MATCH(E2812,ChName,0))*(1+INDEX(ProvMod,MATCH(G2812,ProvCode,0)))*(1+PriceIndex)</f>
        <v/>
      </c>
      <c r="V2812" s="47">
        <f>R2812*U2812*INDEX(FmtBlendedPriceIdx,MATCH(F2812,FmtName,0))</f>
        <v/>
      </c>
      <c r="W2812" s="47">
        <f>T2812*INDEX(ProvSRP,MATCH(G2812,ProvCode,0))*(1+PriceIndex)</f>
        <v/>
      </c>
      <c r="X2812" s="47">
        <f>IF(GrossBasis="Wholesale",V2812,W2812)</f>
        <v/>
      </c>
      <c r="Y2812" s="47">
        <f>R2812*INDEX(FmtBlendedCogs,MATCH(F2812,FmtName,0))</f>
        <v/>
      </c>
      <c r="Z2812" s="47">
        <f>X2812-Y2812</f>
        <v/>
      </c>
    </row>
    <row r="2813">
      <c r="A2813" t="n">
        <v>3</v>
      </c>
      <c r="B2813" s="44">
        <f>FiscalStart+(A2813-1)*7</f>
        <v/>
      </c>
      <c r="C2813">
        <f>TEXT(B2813,"mmm yyyy")</f>
        <v/>
      </c>
      <c r="D2813">
        <f>"Q"&amp;(INT((A2813-1)/13)+1)</f>
        <v/>
      </c>
      <c r="E2813" t="inlineStr">
        <is>
          <t>Specialty</t>
        </is>
      </c>
      <c r="F2813">
        <f>IFERROR(INDEX(ChFormat,MATCH(E2813,ChName,0)),"")</f>
        <v/>
      </c>
      <c r="G2813" t="inlineStr">
        <is>
          <t>MB</t>
        </is>
      </c>
      <c r="H2813">
        <f>IF(A2813&lt;=NWeeks,1,0)</f>
        <v/>
      </c>
      <c r="I2813">
        <f>INDEX(ChLaunch,MATCH(E2813,ChName,0))</f>
        <v/>
      </c>
      <c r="J2813">
        <f>INDEX(ChWeeksFull,MATCH(E2813,ChName,0))</f>
        <v/>
      </c>
      <c r="K2813">
        <f>INDEX(ChRamp,MATCH(E2813,ChName,0))</f>
        <v/>
      </c>
      <c r="L2813" s="45">
        <f>MIN(1,MAX(0,(A2813-I2813+1)*RampSpeed/J2813))</f>
        <v/>
      </c>
      <c r="M2813" s="45">
        <f>IF(A2813&lt;I2813,0,IF(K2813="S-curve",L2813*L2813*(3-2*L2813),L2813))</f>
        <v/>
      </c>
      <c r="N2813" s="45">
        <f>1+(INDEX(SeasonIdx,A2813)-1)*SeasonAmp</f>
        <v/>
      </c>
      <c r="O2813" s="45">
        <f>IFERROR(INDEX(PSPct,MATCH(E2813&amp;"|"&amp;G2813,PSKey,0)),0)</f>
        <v/>
      </c>
      <c r="P2813" s="46">
        <f>INDEX(ChDoorVel,MATCH(E2813,ChName,0))*CalibScalar*(1+VelocityUplift)</f>
        <v/>
      </c>
      <c r="Q2813" s="46" t="n">
        <v>0</v>
      </c>
      <c r="R2813" s="46">
        <f>P2813*O2813*M2813*N2813*H2813</f>
        <v/>
      </c>
      <c r="S2813" s="46">
        <f>R2813*INDEX(FmtCansPerCase,MATCH(F2813,FmtName,0))</f>
        <v/>
      </c>
      <c r="T2813" s="46">
        <f>S2813/INDEX(FmtCansPerPack,MATCH(F2813,FmtName,0))</f>
        <v/>
      </c>
      <c r="U2813" s="47">
        <f>INDEX(ChBaseCP,MATCH(E2813,ChName,0))*(1+INDEX(ProvMod,MATCH(G2813,ProvCode,0)))*(1+PriceIndex)</f>
        <v/>
      </c>
      <c r="V2813" s="47">
        <f>R2813*U2813*INDEX(FmtBlendedPriceIdx,MATCH(F2813,FmtName,0))</f>
        <v/>
      </c>
      <c r="W2813" s="47">
        <f>T2813*INDEX(ProvSRP,MATCH(G2813,ProvCode,0))*(1+PriceIndex)</f>
        <v/>
      </c>
      <c r="X2813" s="47">
        <f>IF(GrossBasis="Wholesale",V2813,W2813)</f>
        <v/>
      </c>
      <c r="Y2813" s="47">
        <f>R2813*INDEX(FmtBlendedCogs,MATCH(F2813,FmtName,0))</f>
        <v/>
      </c>
      <c r="Z2813" s="47">
        <f>X2813-Y2813</f>
        <v/>
      </c>
    </row>
    <row r="2814">
      <c r="A2814" t="n">
        <v>4</v>
      </c>
      <c r="B2814" s="44">
        <f>FiscalStart+(A2814-1)*7</f>
        <v/>
      </c>
      <c r="C2814">
        <f>TEXT(B2814,"mmm yyyy")</f>
        <v/>
      </c>
      <c r="D2814">
        <f>"Q"&amp;(INT((A2814-1)/13)+1)</f>
        <v/>
      </c>
      <c r="E2814" t="inlineStr">
        <is>
          <t>Specialty</t>
        </is>
      </c>
      <c r="F2814">
        <f>IFERROR(INDEX(ChFormat,MATCH(E2814,ChName,0)),"")</f>
        <v/>
      </c>
      <c r="G2814" t="inlineStr">
        <is>
          <t>MB</t>
        </is>
      </c>
      <c r="H2814">
        <f>IF(A2814&lt;=NWeeks,1,0)</f>
        <v/>
      </c>
      <c r="I2814">
        <f>INDEX(ChLaunch,MATCH(E2814,ChName,0))</f>
        <v/>
      </c>
      <c r="J2814">
        <f>INDEX(ChWeeksFull,MATCH(E2814,ChName,0))</f>
        <v/>
      </c>
      <c r="K2814">
        <f>INDEX(ChRamp,MATCH(E2814,ChName,0))</f>
        <v/>
      </c>
      <c r="L2814" s="45">
        <f>MIN(1,MAX(0,(A2814-I2814+1)*RampSpeed/J2814))</f>
        <v/>
      </c>
      <c r="M2814" s="45">
        <f>IF(A2814&lt;I2814,0,IF(K2814="S-curve",L2814*L2814*(3-2*L2814),L2814))</f>
        <v/>
      </c>
      <c r="N2814" s="45">
        <f>1+(INDEX(SeasonIdx,A2814)-1)*SeasonAmp</f>
        <v/>
      </c>
      <c r="O2814" s="45">
        <f>IFERROR(INDEX(PSPct,MATCH(E2814&amp;"|"&amp;G2814,PSKey,0)),0)</f>
        <v/>
      </c>
      <c r="P2814" s="46">
        <f>INDEX(ChDoorVel,MATCH(E2814,ChName,0))*CalibScalar*(1+VelocityUplift)</f>
        <v/>
      </c>
      <c r="Q2814" s="46" t="n">
        <v>0</v>
      </c>
      <c r="R2814" s="46">
        <f>P2814*O2814*M2814*N2814*H2814</f>
        <v/>
      </c>
      <c r="S2814" s="46">
        <f>R2814*INDEX(FmtCansPerCase,MATCH(F2814,FmtName,0))</f>
        <v/>
      </c>
      <c r="T2814" s="46">
        <f>S2814/INDEX(FmtCansPerPack,MATCH(F2814,FmtName,0))</f>
        <v/>
      </c>
      <c r="U2814" s="47">
        <f>INDEX(ChBaseCP,MATCH(E2814,ChName,0))*(1+INDEX(ProvMod,MATCH(G2814,ProvCode,0)))*(1+PriceIndex)</f>
        <v/>
      </c>
      <c r="V2814" s="47">
        <f>R2814*U2814*INDEX(FmtBlendedPriceIdx,MATCH(F2814,FmtName,0))</f>
        <v/>
      </c>
      <c r="W2814" s="47">
        <f>T2814*INDEX(ProvSRP,MATCH(G2814,ProvCode,0))*(1+PriceIndex)</f>
        <v/>
      </c>
      <c r="X2814" s="47">
        <f>IF(GrossBasis="Wholesale",V2814,W2814)</f>
        <v/>
      </c>
      <c r="Y2814" s="47">
        <f>R2814*INDEX(FmtBlendedCogs,MATCH(F2814,FmtName,0))</f>
        <v/>
      </c>
      <c r="Z2814" s="47">
        <f>X2814-Y2814</f>
        <v/>
      </c>
    </row>
    <row r="2815">
      <c r="A2815" t="n">
        <v>5</v>
      </c>
      <c r="B2815" s="44">
        <f>FiscalStart+(A2815-1)*7</f>
        <v/>
      </c>
      <c r="C2815">
        <f>TEXT(B2815,"mmm yyyy")</f>
        <v/>
      </c>
      <c r="D2815">
        <f>"Q"&amp;(INT((A2815-1)/13)+1)</f>
        <v/>
      </c>
      <c r="E2815" t="inlineStr">
        <is>
          <t>Specialty</t>
        </is>
      </c>
      <c r="F2815">
        <f>IFERROR(INDEX(ChFormat,MATCH(E2815,ChName,0)),"")</f>
        <v/>
      </c>
      <c r="G2815" t="inlineStr">
        <is>
          <t>MB</t>
        </is>
      </c>
      <c r="H2815">
        <f>IF(A2815&lt;=NWeeks,1,0)</f>
        <v/>
      </c>
      <c r="I2815">
        <f>INDEX(ChLaunch,MATCH(E2815,ChName,0))</f>
        <v/>
      </c>
      <c r="J2815">
        <f>INDEX(ChWeeksFull,MATCH(E2815,ChName,0))</f>
        <v/>
      </c>
      <c r="K2815">
        <f>INDEX(ChRamp,MATCH(E2815,ChName,0))</f>
        <v/>
      </c>
      <c r="L2815" s="45">
        <f>MIN(1,MAX(0,(A2815-I2815+1)*RampSpeed/J2815))</f>
        <v/>
      </c>
      <c r="M2815" s="45">
        <f>IF(A2815&lt;I2815,0,IF(K2815="S-curve",L2815*L2815*(3-2*L2815),L2815))</f>
        <v/>
      </c>
      <c r="N2815" s="45">
        <f>1+(INDEX(SeasonIdx,A2815)-1)*SeasonAmp</f>
        <v/>
      </c>
      <c r="O2815" s="45">
        <f>IFERROR(INDEX(PSPct,MATCH(E2815&amp;"|"&amp;G2815,PSKey,0)),0)</f>
        <v/>
      </c>
      <c r="P2815" s="46">
        <f>INDEX(ChDoorVel,MATCH(E2815,ChName,0))*CalibScalar*(1+VelocityUplift)</f>
        <v/>
      </c>
      <c r="Q2815" s="46" t="n">
        <v>0</v>
      </c>
      <c r="R2815" s="46">
        <f>P2815*O2815*M2815*N2815*H2815</f>
        <v/>
      </c>
      <c r="S2815" s="46">
        <f>R2815*INDEX(FmtCansPerCase,MATCH(F2815,FmtName,0))</f>
        <v/>
      </c>
      <c r="T2815" s="46">
        <f>S2815/INDEX(FmtCansPerPack,MATCH(F2815,FmtName,0))</f>
        <v/>
      </c>
      <c r="U2815" s="47">
        <f>INDEX(ChBaseCP,MATCH(E2815,ChName,0))*(1+INDEX(ProvMod,MATCH(G2815,ProvCode,0)))*(1+PriceIndex)</f>
        <v/>
      </c>
      <c r="V2815" s="47">
        <f>R2815*U2815*INDEX(FmtBlendedPriceIdx,MATCH(F2815,FmtName,0))</f>
        <v/>
      </c>
      <c r="W2815" s="47">
        <f>T2815*INDEX(ProvSRP,MATCH(G2815,ProvCode,0))*(1+PriceIndex)</f>
        <v/>
      </c>
      <c r="X2815" s="47">
        <f>IF(GrossBasis="Wholesale",V2815,W2815)</f>
        <v/>
      </c>
      <c r="Y2815" s="47">
        <f>R2815*INDEX(FmtBlendedCogs,MATCH(F2815,FmtName,0))</f>
        <v/>
      </c>
      <c r="Z2815" s="47">
        <f>X2815-Y2815</f>
        <v/>
      </c>
    </row>
    <row r="2816">
      <c r="A2816" t="n">
        <v>6</v>
      </c>
      <c r="B2816" s="44">
        <f>FiscalStart+(A2816-1)*7</f>
        <v/>
      </c>
      <c r="C2816">
        <f>TEXT(B2816,"mmm yyyy")</f>
        <v/>
      </c>
      <c r="D2816">
        <f>"Q"&amp;(INT((A2816-1)/13)+1)</f>
        <v/>
      </c>
      <c r="E2816" t="inlineStr">
        <is>
          <t>Specialty</t>
        </is>
      </c>
      <c r="F2816">
        <f>IFERROR(INDEX(ChFormat,MATCH(E2816,ChName,0)),"")</f>
        <v/>
      </c>
      <c r="G2816" t="inlineStr">
        <is>
          <t>MB</t>
        </is>
      </c>
      <c r="H2816">
        <f>IF(A2816&lt;=NWeeks,1,0)</f>
        <v/>
      </c>
      <c r="I2816">
        <f>INDEX(ChLaunch,MATCH(E2816,ChName,0))</f>
        <v/>
      </c>
      <c r="J2816">
        <f>INDEX(ChWeeksFull,MATCH(E2816,ChName,0))</f>
        <v/>
      </c>
      <c r="K2816">
        <f>INDEX(ChRamp,MATCH(E2816,ChName,0))</f>
        <v/>
      </c>
      <c r="L2816" s="45">
        <f>MIN(1,MAX(0,(A2816-I2816+1)*RampSpeed/J2816))</f>
        <v/>
      </c>
      <c r="M2816" s="45">
        <f>IF(A2816&lt;I2816,0,IF(K2816="S-curve",L2816*L2816*(3-2*L2816),L2816))</f>
        <v/>
      </c>
      <c r="N2816" s="45">
        <f>1+(INDEX(SeasonIdx,A2816)-1)*SeasonAmp</f>
        <v/>
      </c>
      <c r="O2816" s="45">
        <f>IFERROR(INDEX(PSPct,MATCH(E2816&amp;"|"&amp;G2816,PSKey,0)),0)</f>
        <v/>
      </c>
      <c r="P2816" s="46">
        <f>INDEX(ChDoorVel,MATCH(E2816,ChName,0))*CalibScalar*(1+VelocityUplift)</f>
        <v/>
      </c>
      <c r="Q2816" s="46" t="n">
        <v>0</v>
      </c>
      <c r="R2816" s="46">
        <f>P2816*O2816*M2816*N2816*H2816</f>
        <v/>
      </c>
      <c r="S2816" s="46">
        <f>R2816*INDEX(FmtCansPerCase,MATCH(F2816,FmtName,0))</f>
        <v/>
      </c>
      <c r="T2816" s="46">
        <f>S2816/INDEX(FmtCansPerPack,MATCH(F2816,FmtName,0))</f>
        <v/>
      </c>
      <c r="U2816" s="47">
        <f>INDEX(ChBaseCP,MATCH(E2816,ChName,0))*(1+INDEX(ProvMod,MATCH(G2816,ProvCode,0)))*(1+PriceIndex)</f>
        <v/>
      </c>
      <c r="V2816" s="47">
        <f>R2816*U2816*INDEX(FmtBlendedPriceIdx,MATCH(F2816,FmtName,0))</f>
        <v/>
      </c>
      <c r="W2816" s="47">
        <f>T2816*INDEX(ProvSRP,MATCH(G2816,ProvCode,0))*(1+PriceIndex)</f>
        <v/>
      </c>
      <c r="X2816" s="47">
        <f>IF(GrossBasis="Wholesale",V2816,W2816)</f>
        <v/>
      </c>
      <c r="Y2816" s="47">
        <f>R2816*INDEX(FmtBlendedCogs,MATCH(F2816,FmtName,0))</f>
        <v/>
      </c>
      <c r="Z2816" s="47">
        <f>X2816-Y2816</f>
        <v/>
      </c>
    </row>
    <row r="2817">
      <c r="A2817" t="n">
        <v>7</v>
      </c>
      <c r="B2817" s="44">
        <f>FiscalStart+(A2817-1)*7</f>
        <v/>
      </c>
      <c r="C2817">
        <f>TEXT(B2817,"mmm yyyy")</f>
        <v/>
      </c>
      <c r="D2817">
        <f>"Q"&amp;(INT((A2817-1)/13)+1)</f>
        <v/>
      </c>
      <c r="E2817" t="inlineStr">
        <is>
          <t>Specialty</t>
        </is>
      </c>
      <c r="F2817">
        <f>IFERROR(INDEX(ChFormat,MATCH(E2817,ChName,0)),"")</f>
        <v/>
      </c>
      <c r="G2817" t="inlineStr">
        <is>
          <t>MB</t>
        </is>
      </c>
      <c r="H2817">
        <f>IF(A2817&lt;=NWeeks,1,0)</f>
        <v/>
      </c>
      <c r="I2817">
        <f>INDEX(ChLaunch,MATCH(E2817,ChName,0))</f>
        <v/>
      </c>
      <c r="J2817">
        <f>INDEX(ChWeeksFull,MATCH(E2817,ChName,0))</f>
        <v/>
      </c>
      <c r="K2817">
        <f>INDEX(ChRamp,MATCH(E2817,ChName,0))</f>
        <v/>
      </c>
      <c r="L2817" s="45">
        <f>MIN(1,MAX(0,(A2817-I2817+1)*RampSpeed/J2817))</f>
        <v/>
      </c>
      <c r="M2817" s="45">
        <f>IF(A2817&lt;I2817,0,IF(K2817="S-curve",L2817*L2817*(3-2*L2817),L2817))</f>
        <v/>
      </c>
      <c r="N2817" s="45">
        <f>1+(INDEX(SeasonIdx,A2817)-1)*SeasonAmp</f>
        <v/>
      </c>
      <c r="O2817" s="45">
        <f>IFERROR(INDEX(PSPct,MATCH(E2817&amp;"|"&amp;G2817,PSKey,0)),0)</f>
        <v/>
      </c>
      <c r="P2817" s="46">
        <f>INDEX(ChDoorVel,MATCH(E2817,ChName,0))*CalibScalar*(1+VelocityUplift)</f>
        <v/>
      </c>
      <c r="Q2817" s="46" t="n">
        <v>0</v>
      </c>
      <c r="R2817" s="46">
        <f>P2817*O2817*M2817*N2817*H2817</f>
        <v/>
      </c>
      <c r="S2817" s="46">
        <f>R2817*INDEX(FmtCansPerCase,MATCH(F2817,FmtName,0))</f>
        <v/>
      </c>
      <c r="T2817" s="46">
        <f>S2817/INDEX(FmtCansPerPack,MATCH(F2817,FmtName,0))</f>
        <v/>
      </c>
      <c r="U2817" s="47">
        <f>INDEX(ChBaseCP,MATCH(E2817,ChName,0))*(1+INDEX(ProvMod,MATCH(G2817,ProvCode,0)))*(1+PriceIndex)</f>
        <v/>
      </c>
      <c r="V2817" s="47">
        <f>R2817*U2817*INDEX(FmtBlendedPriceIdx,MATCH(F2817,FmtName,0))</f>
        <v/>
      </c>
      <c r="W2817" s="47">
        <f>T2817*INDEX(ProvSRP,MATCH(G2817,ProvCode,0))*(1+PriceIndex)</f>
        <v/>
      </c>
      <c r="X2817" s="47">
        <f>IF(GrossBasis="Wholesale",V2817,W2817)</f>
        <v/>
      </c>
      <c r="Y2817" s="47">
        <f>R2817*INDEX(FmtBlendedCogs,MATCH(F2817,FmtName,0))</f>
        <v/>
      </c>
      <c r="Z2817" s="47">
        <f>X2817-Y2817</f>
        <v/>
      </c>
    </row>
    <row r="2818">
      <c r="A2818" t="n">
        <v>8</v>
      </c>
      <c r="B2818" s="44">
        <f>FiscalStart+(A2818-1)*7</f>
        <v/>
      </c>
      <c r="C2818">
        <f>TEXT(B2818,"mmm yyyy")</f>
        <v/>
      </c>
      <c r="D2818">
        <f>"Q"&amp;(INT((A2818-1)/13)+1)</f>
        <v/>
      </c>
      <c r="E2818" t="inlineStr">
        <is>
          <t>Specialty</t>
        </is>
      </c>
      <c r="F2818">
        <f>IFERROR(INDEX(ChFormat,MATCH(E2818,ChName,0)),"")</f>
        <v/>
      </c>
      <c r="G2818" t="inlineStr">
        <is>
          <t>MB</t>
        </is>
      </c>
      <c r="H2818">
        <f>IF(A2818&lt;=NWeeks,1,0)</f>
        <v/>
      </c>
      <c r="I2818">
        <f>INDEX(ChLaunch,MATCH(E2818,ChName,0))</f>
        <v/>
      </c>
      <c r="J2818">
        <f>INDEX(ChWeeksFull,MATCH(E2818,ChName,0))</f>
        <v/>
      </c>
      <c r="K2818">
        <f>INDEX(ChRamp,MATCH(E2818,ChName,0))</f>
        <v/>
      </c>
      <c r="L2818" s="45">
        <f>MIN(1,MAX(0,(A2818-I2818+1)*RampSpeed/J2818))</f>
        <v/>
      </c>
      <c r="M2818" s="45">
        <f>IF(A2818&lt;I2818,0,IF(K2818="S-curve",L2818*L2818*(3-2*L2818),L2818))</f>
        <v/>
      </c>
      <c r="N2818" s="45">
        <f>1+(INDEX(SeasonIdx,A2818)-1)*SeasonAmp</f>
        <v/>
      </c>
      <c r="O2818" s="45">
        <f>IFERROR(INDEX(PSPct,MATCH(E2818&amp;"|"&amp;G2818,PSKey,0)),0)</f>
        <v/>
      </c>
      <c r="P2818" s="46">
        <f>INDEX(ChDoorVel,MATCH(E2818,ChName,0))*CalibScalar*(1+VelocityUplift)</f>
        <v/>
      </c>
      <c r="Q2818" s="46" t="n">
        <v>0</v>
      </c>
      <c r="R2818" s="46">
        <f>P2818*O2818*M2818*N2818*H2818</f>
        <v/>
      </c>
      <c r="S2818" s="46">
        <f>R2818*INDEX(FmtCansPerCase,MATCH(F2818,FmtName,0))</f>
        <v/>
      </c>
      <c r="T2818" s="46">
        <f>S2818/INDEX(FmtCansPerPack,MATCH(F2818,FmtName,0))</f>
        <v/>
      </c>
      <c r="U2818" s="47">
        <f>INDEX(ChBaseCP,MATCH(E2818,ChName,0))*(1+INDEX(ProvMod,MATCH(G2818,ProvCode,0)))*(1+PriceIndex)</f>
        <v/>
      </c>
      <c r="V2818" s="47">
        <f>R2818*U2818*INDEX(FmtBlendedPriceIdx,MATCH(F2818,FmtName,0))</f>
        <v/>
      </c>
      <c r="W2818" s="47">
        <f>T2818*INDEX(ProvSRP,MATCH(G2818,ProvCode,0))*(1+PriceIndex)</f>
        <v/>
      </c>
      <c r="X2818" s="47">
        <f>IF(GrossBasis="Wholesale",V2818,W2818)</f>
        <v/>
      </c>
      <c r="Y2818" s="47">
        <f>R2818*INDEX(FmtBlendedCogs,MATCH(F2818,FmtName,0))</f>
        <v/>
      </c>
      <c r="Z2818" s="47">
        <f>X2818-Y2818</f>
        <v/>
      </c>
    </row>
    <row r="2819">
      <c r="A2819" t="n">
        <v>9</v>
      </c>
      <c r="B2819" s="44">
        <f>FiscalStart+(A2819-1)*7</f>
        <v/>
      </c>
      <c r="C2819">
        <f>TEXT(B2819,"mmm yyyy")</f>
        <v/>
      </c>
      <c r="D2819">
        <f>"Q"&amp;(INT((A2819-1)/13)+1)</f>
        <v/>
      </c>
      <c r="E2819" t="inlineStr">
        <is>
          <t>Specialty</t>
        </is>
      </c>
      <c r="F2819">
        <f>IFERROR(INDEX(ChFormat,MATCH(E2819,ChName,0)),"")</f>
        <v/>
      </c>
      <c r="G2819" t="inlineStr">
        <is>
          <t>MB</t>
        </is>
      </c>
      <c r="H2819">
        <f>IF(A2819&lt;=NWeeks,1,0)</f>
        <v/>
      </c>
      <c r="I2819">
        <f>INDEX(ChLaunch,MATCH(E2819,ChName,0))</f>
        <v/>
      </c>
      <c r="J2819">
        <f>INDEX(ChWeeksFull,MATCH(E2819,ChName,0))</f>
        <v/>
      </c>
      <c r="K2819">
        <f>INDEX(ChRamp,MATCH(E2819,ChName,0))</f>
        <v/>
      </c>
      <c r="L2819" s="45">
        <f>MIN(1,MAX(0,(A2819-I2819+1)*RampSpeed/J2819))</f>
        <v/>
      </c>
      <c r="M2819" s="45">
        <f>IF(A2819&lt;I2819,0,IF(K2819="S-curve",L2819*L2819*(3-2*L2819),L2819))</f>
        <v/>
      </c>
      <c r="N2819" s="45">
        <f>1+(INDEX(SeasonIdx,A2819)-1)*SeasonAmp</f>
        <v/>
      </c>
      <c r="O2819" s="45">
        <f>IFERROR(INDEX(PSPct,MATCH(E2819&amp;"|"&amp;G2819,PSKey,0)),0)</f>
        <v/>
      </c>
      <c r="P2819" s="46">
        <f>INDEX(ChDoorVel,MATCH(E2819,ChName,0))*CalibScalar*(1+VelocityUplift)</f>
        <v/>
      </c>
      <c r="Q2819" s="46" t="n">
        <v>0</v>
      </c>
      <c r="R2819" s="46">
        <f>P2819*O2819*M2819*N2819*H2819</f>
        <v/>
      </c>
      <c r="S2819" s="46">
        <f>R2819*INDEX(FmtCansPerCase,MATCH(F2819,FmtName,0))</f>
        <v/>
      </c>
      <c r="T2819" s="46">
        <f>S2819/INDEX(FmtCansPerPack,MATCH(F2819,FmtName,0))</f>
        <v/>
      </c>
      <c r="U2819" s="47">
        <f>INDEX(ChBaseCP,MATCH(E2819,ChName,0))*(1+INDEX(ProvMod,MATCH(G2819,ProvCode,0)))*(1+PriceIndex)</f>
        <v/>
      </c>
      <c r="V2819" s="47">
        <f>R2819*U2819*INDEX(FmtBlendedPriceIdx,MATCH(F2819,FmtName,0))</f>
        <v/>
      </c>
      <c r="W2819" s="47">
        <f>T2819*INDEX(ProvSRP,MATCH(G2819,ProvCode,0))*(1+PriceIndex)</f>
        <v/>
      </c>
      <c r="X2819" s="47">
        <f>IF(GrossBasis="Wholesale",V2819,W2819)</f>
        <v/>
      </c>
      <c r="Y2819" s="47">
        <f>R2819*INDEX(FmtBlendedCogs,MATCH(F2819,FmtName,0))</f>
        <v/>
      </c>
      <c r="Z2819" s="47">
        <f>X2819-Y2819</f>
        <v/>
      </c>
    </row>
    <row r="2820">
      <c r="A2820" t="n">
        <v>10</v>
      </c>
      <c r="B2820" s="44">
        <f>FiscalStart+(A2820-1)*7</f>
        <v/>
      </c>
      <c r="C2820">
        <f>TEXT(B2820,"mmm yyyy")</f>
        <v/>
      </c>
      <c r="D2820">
        <f>"Q"&amp;(INT((A2820-1)/13)+1)</f>
        <v/>
      </c>
      <c r="E2820" t="inlineStr">
        <is>
          <t>Specialty</t>
        </is>
      </c>
      <c r="F2820">
        <f>IFERROR(INDEX(ChFormat,MATCH(E2820,ChName,0)),"")</f>
        <v/>
      </c>
      <c r="G2820" t="inlineStr">
        <is>
          <t>MB</t>
        </is>
      </c>
      <c r="H2820">
        <f>IF(A2820&lt;=NWeeks,1,0)</f>
        <v/>
      </c>
      <c r="I2820">
        <f>INDEX(ChLaunch,MATCH(E2820,ChName,0))</f>
        <v/>
      </c>
      <c r="J2820">
        <f>INDEX(ChWeeksFull,MATCH(E2820,ChName,0))</f>
        <v/>
      </c>
      <c r="K2820">
        <f>INDEX(ChRamp,MATCH(E2820,ChName,0))</f>
        <v/>
      </c>
      <c r="L2820" s="45">
        <f>MIN(1,MAX(0,(A2820-I2820+1)*RampSpeed/J2820))</f>
        <v/>
      </c>
      <c r="M2820" s="45">
        <f>IF(A2820&lt;I2820,0,IF(K2820="S-curve",L2820*L2820*(3-2*L2820),L2820))</f>
        <v/>
      </c>
      <c r="N2820" s="45">
        <f>1+(INDEX(SeasonIdx,A2820)-1)*SeasonAmp</f>
        <v/>
      </c>
      <c r="O2820" s="45">
        <f>IFERROR(INDEX(PSPct,MATCH(E2820&amp;"|"&amp;G2820,PSKey,0)),0)</f>
        <v/>
      </c>
      <c r="P2820" s="46">
        <f>INDEX(ChDoorVel,MATCH(E2820,ChName,0))*CalibScalar*(1+VelocityUplift)</f>
        <v/>
      </c>
      <c r="Q2820" s="46" t="n">
        <v>0</v>
      </c>
      <c r="R2820" s="46">
        <f>P2820*O2820*M2820*N2820*H2820</f>
        <v/>
      </c>
      <c r="S2820" s="46">
        <f>R2820*INDEX(FmtCansPerCase,MATCH(F2820,FmtName,0))</f>
        <v/>
      </c>
      <c r="T2820" s="46">
        <f>S2820/INDEX(FmtCansPerPack,MATCH(F2820,FmtName,0))</f>
        <v/>
      </c>
      <c r="U2820" s="47">
        <f>INDEX(ChBaseCP,MATCH(E2820,ChName,0))*(1+INDEX(ProvMod,MATCH(G2820,ProvCode,0)))*(1+PriceIndex)</f>
        <v/>
      </c>
      <c r="V2820" s="47">
        <f>R2820*U2820*INDEX(FmtBlendedPriceIdx,MATCH(F2820,FmtName,0))</f>
        <v/>
      </c>
      <c r="W2820" s="47">
        <f>T2820*INDEX(ProvSRP,MATCH(G2820,ProvCode,0))*(1+PriceIndex)</f>
        <v/>
      </c>
      <c r="X2820" s="47">
        <f>IF(GrossBasis="Wholesale",V2820,W2820)</f>
        <v/>
      </c>
      <c r="Y2820" s="47">
        <f>R2820*INDEX(FmtBlendedCogs,MATCH(F2820,FmtName,0))</f>
        <v/>
      </c>
      <c r="Z2820" s="47">
        <f>X2820-Y2820</f>
        <v/>
      </c>
    </row>
    <row r="2821">
      <c r="A2821" t="n">
        <v>11</v>
      </c>
      <c r="B2821" s="44">
        <f>FiscalStart+(A2821-1)*7</f>
        <v/>
      </c>
      <c r="C2821">
        <f>TEXT(B2821,"mmm yyyy")</f>
        <v/>
      </c>
      <c r="D2821">
        <f>"Q"&amp;(INT((A2821-1)/13)+1)</f>
        <v/>
      </c>
      <c r="E2821" t="inlineStr">
        <is>
          <t>Specialty</t>
        </is>
      </c>
      <c r="F2821">
        <f>IFERROR(INDEX(ChFormat,MATCH(E2821,ChName,0)),"")</f>
        <v/>
      </c>
      <c r="G2821" t="inlineStr">
        <is>
          <t>MB</t>
        </is>
      </c>
      <c r="H2821">
        <f>IF(A2821&lt;=NWeeks,1,0)</f>
        <v/>
      </c>
      <c r="I2821">
        <f>INDEX(ChLaunch,MATCH(E2821,ChName,0))</f>
        <v/>
      </c>
      <c r="J2821">
        <f>INDEX(ChWeeksFull,MATCH(E2821,ChName,0))</f>
        <v/>
      </c>
      <c r="K2821">
        <f>INDEX(ChRamp,MATCH(E2821,ChName,0))</f>
        <v/>
      </c>
      <c r="L2821" s="45">
        <f>MIN(1,MAX(0,(A2821-I2821+1)*RampSpeed/J2821))</f>
        <v/>
      </c>
      <c r="M2821" s="45">
        <f>IF(A2821&lt;I2821,0,IF(K2821="S-curve",L2821*L2821*(3-2*L2821),L2821))</f>
        <v/>
      </c>
      <c r="N2821" s="45">
        <f>1+(INDEX(SeasonIdx,A2821)-1)*SeasonAmp</f>
        <v/>
      </c>
      <c r="O2821" s="45">
        <f>IFERROR(INDEX(PSPct,MATCH(E2821&amp;"|"&amp;G2821,PSKey,0)),0)</f>
        <v/>
      </c>
      <c r="P2821" s="46">
        <f>INDEX(ChDoorVel,MATCH(E2821,ChName,0))*CalibScalar*(1+VelocityUplift)</f>
        <v/>
      </c>
      <c r="Q2821" s="46" t="n">
        <v>0</v>
      </c>
      <c r="R2821" s="46">
        <f>P2821*O2821*M2821*N2821*H2821</f>
        <v/>
      </c>
      <c r="S2821" s="46">
        <f>R2821*INDEX(FmtCansPerCase,MATCH(F2821,FmtName,0))</f>
        <v/>
      </c>
      <c r="T2821" s="46">
        <f>S2821/INDEX(FmtCansPerPack,MATCH(F2821,FmtName,0))</f>
        <v/>
      </c>
      <c r="U2821" s="47">
        <f>INDEX(ChBaseCP,MATCH(E2821,ChName,0))*(1+INDEX(ProvMod,MATCH(G2821,ProvCode,0)))*(1+PriceIndex)</f>
        <v/>
      </c>
      <c r="V2821" s="47">
        <f>R2821*U2821*INDEX(FmtBlendedPriceIdx,MATCH(F2821,FmtName,0))</f>
        <v/>
      </c>
      <c r="W2821" s="47">
        <f>T2821*INDEX(ProvSRP,MATCH(G2821,ProvCode,0))*(1+PriceIndex)</f>
        <v/>
      </c>
      <c r="X2821" s="47">
        <f>IF(GrossBasis="Wholesale",V2821,W2821)</f>
        <v/>
      </c>
      <c r="Y2821" s="47">
        <f>R2821*INDEX(FmtBlendedCogs,MATCH(F2821,FmtName,0))</f>
        <v/>
      </c>
      <c r="Z2821" s="47">
        <f>X2821-Y2821</f>
        <v/>
      </c>
    </row>
    <row r="2822">
      <c r="A2822" t="n">
        <v>12</v>
      </c>
      <c r="B2822" s="44">
        <f>FiscalStart+(A2822-1)*7</f>
        <v/>
      </c>
      <c r="C2822">
        <f>TEXT(B2822,"mmm yyyy")</f>
        <v/>
      </c>
      <c r="D2822">
        <f>"Q"&amp;(INT((A2822-1)/13)+1)</f>
        <v/>
      </c>
      <c r="E2822" t="inlineStr">
        <is>
          <t>Specialty</t>
        </is>
      </c>
      <c r="F2822">
        <f>IFERROR(INDEX(ChFormat,MATCH(E2822,ChName,0)),"")</f>
        <v/>
      </c>
      <c r="G2822" t="inlineStr">
        <is>
          <t>MB</t>
        </is>
      </c>
      <c r="H2822">
        <f>IF(A2822&lt;=NWeeks,1,0)</f>
        <v/>
      </c>
      <c r="I2822">
        <f>INDEX(ChLaunch,MATCH(E2822,ChName,0))</f>
        <v/>
      </c>
      <c r="J2822">
        <f>INDEX(ChWeeksFull,MATCH(E2822,ChName,0))</f>
        <v/>
      </c>
      <c r="K2822">
        <f>INDEX(ChRamp,MATCH(E2822,ChName,0))</f>
        <v/>
      </c>
      <c r="L2822" s="45">
        <f>MIN(1,MAX(0,(A2822-I2822+1)*RampSpeed/J2822))</f>
        <v/>
      </c>
      <c r="M2822" s="45">
        <f>IF(A2822&lt;I2822,0,IF(K2822="S-curve",L2822*L2822*(3-2*L2822),L2822))</f>
        <v/>
      </c>
      <c r="N2822" s="45">
        <f>1+(INDEX(SeasonIdx,A2822)-1)*SeasonAmp</f>
        <v/>
      </c>
      <c r="O2822" s="45">
        <f>IFERROR(INDEX(PSPct,MATCH(E2822&amp;"|"&amp;G2822,PSKey,0)),0)</f>
        <v/>
      </c>
      <c r="P2822" s="46">
        <f>INDEX(ChDoorVel,MATCH(E2822,ChName,0))*CalibScalar*(1+VelocityUplift)</f>
        <v/>
      </c>
      <c r="Q2822" s="46" t="n">
        <v>0</v>
      </c>
      <c r="R2822" s="46">
        <f>P2822*O2822*M2822*N2822*H2822</f>
        <v/>
      </c>
      <c r="S2822" s="46">
        <f>R2822*INDEX(FmtCansPerCase,MATCH(F2822,FmtName,0))</f>
        <v/>
      </c>
      <c r="T2822" s="46">
        <f>S2822/INDEX(FmtCansPerPack,MATCH(F2822,FmtName,0))</f>
        <v/>
      </c>
      <c r="U2822" s="47">
        <f>INDEX(ChBaseCP,MATCH(E2822,ChName,0))*(1+INDEX(ProvMod,MATCH(G2822,ProvCode,0)))*(1+PriceIndex)</f>
        <v/>
      </c>
      <c r="V2822" s="47">
        <f>R2822*U2822*INDEX(FmtBlendedPriceIdx,MATCH(F2822,FmtName,0))</f>
        <v/>
      </c>
      <c r="W2822" s="47">
        <f>T2822*INDEX(ProvSRP,MATCH(G2822,ProvCode,0))*(1+PriceIndex)</f>
        <v/>
      </c>
      <c r="X2822" s="47">
        <f>IF(GrossBasis="Wholesale",V2822,W2822)</f>
        <v/>
      </c>
      <c r="Y2822" s="47">
        <f>R2822*INDEX(FmtBlendedCogs,MATCH(F2822,FmtName,0))</f>
        <v/>
      </c>
      <c r="Z2822" s="47">
        <f>X2822-Y2822</f>
        <v/>
      </c>
    </row>
    <row r="2823">
      <c r="A2823" t="n">
        <v>13</v>
      </c>
      <c r="B2823" s="44">
        <f>FiscalStart+(A2823-1)*7</f>
        <v/>
      </c>
      <c r="C2823">
        <f>TEXT(B2823,"mmm yyyy")</f>
        <v/>
      </c>
      <c r="D2823">
        <f>"Q"&amp;(INT((A2823-1)/13)+1)</f>
        <v/>
      </c>
      <c r="E2823" t="inlineStr">
        <is>
          <t>Specialty</t>
        </is>
      </c>
      <c r="F2823">
        <f>IFERROR(INDEX(ChFormat,MATCH(E2823,ChName,0)),"")</f>
        <v/>
      </c>
      <c r="G2823" t="inlineStr">
        <is>
          <t>MB</t>
        </is>
      </c>
      <c r="H2823">
        <f>IF(A2823&lt;=NWeeks,1,0)</f>
        <v/>
      </c>
      <c r="I2823">
        <f>INDEX(ChLaunch,MATCH(E2823,ChName,0))</f>
        <v/>
      </c>
      <c r="J2823">
        <f>INDEX(ChWeeksFull,MATCH(E2823,ChName,0))</f>
        <v/>
      </c>
      <c r="K2823">
        <f>INDEX(ChRamp,MATCH(E2823,ChName,0))</f>
        <v/>
      </c>
      <c r="L2823" s="45">
        <f>MIN(1,MAX(0,(A2823-I2823+1)*RampSpeed/J2823))</f>
        <v/>
      </c>
      <c r="M2823" s="45">
        <f>IF(A2823&lt;I2823,0,IF(K2823="S-curve",L2823*L2823*(3-2*L2823),L2823))</f>
        <v/>
      </c>
      <c r="N2823" s="45">
        <f>1+(INDEX(SeasonIdx,A2823)-1)*SeasonAmp</f>
        <v/>
      </c>
      <c r="O2823" s="45">
        <f>IFERROR(INDEX(PSPct,MATCH(E2823&amp;"|"&amp;G2823,PSKey,0)),0)</f>
        <v/>
      </c>
      <c r="P2823" s="46">
        <f>INDEX(ChDoorVel,MATCH(E2823,ChName,0))*CalibScalar*(1+VelocityUplift)</f>
        <v/>
      </c>
      <c r="Q2823" s="46" t="n">
        <v>0</v>
      </c>
      <c r="R2823" s="46">
        <f>P2823*O2823*M2823*N2823*H2823</f>
        <v/>
      </c>
      <c r="S2823" s="46">
        <f>R2823*INDEX(FmtCansPerCase,MATCH(F2823,FmtName,0))</f>
        <v/>
      </c>
      <c r="T2823" s="46">
        <f>S2823/INDEX(FmtCansPerPack,MATCH(F2823,FmtName,0))</f>
        <v/>
      </c>
      <c r="U2823" s="47">
        <f>INDEX(ChBaseCP,MATCH(E2823,ChName,0))*(1+INDEX(ProvMod,MATCH(G2823,ProvCode,0)))*(1+PriceIndex)</f>
        <v/>
      </c>
      <c r="V2823" s="47">
        <f>R2823*U2823*INDEX(FmtBlendedPriceIdx,MATCH(F2823,FmtName,0))</f>
        <v/>
      </c>
      <c r="W2823" s="47">
        <f>T2823*INDEX(ProvSRP,MATCH(G2823,ProvCode,0))*(1+PriceIndex)</f>
        <v/>
      </c>
      <c r="X2823" s="47">
        <f>IF(GrossBasis="Wholesale",V2823,W2823)</f>
        <v/>
      </c>
      <c r="Y2823" s="47">
        <f>R2823*INDEX(FmtBlendedCogs,MATCH(F2823,FmtName,0))</f>
        <v/>
      </c>
      <c r="Z2823" s="47">
        <f>X2823-Y2823</f>
        <v/>
      </c>
    </row>
    <row r="2824">
      <c r="A2824" t="n">
        <v>14</v>
      </c>
      <c r="B2824" s="44">
        <f>FiscalStart+(A2824-1)*7</f>
        <v/>
      </c>
      <c r="C2824">
        <f>TEXT(B2824,"mmm yyyy")</f>
        <v/>
      </c>
      <c r="D2824">
        <f>"Q"&amp;(INT((A2824-1)/13)+1)</f>
        <v/>
      </c>
      <c r="E2824" t="inlineStr">
        <is>
          <t>Specialty</t>
        </is>
      </c>
      <c r="F2824">
        <f>IFERROR(INDEX(ChFormat,MATCH(E2824,ChName,0)),"")</f>
        <v/>
      </c>
      <c r="G2824" t="inlineStr">
        <is>
          <t>MB</t>
        </is>
      </c>
      <c r="H2824">
        <f>IF(A2824&lt;=NWeeks,1,0)</f>
        <v/>
      </c>
      <c r="I2824">
        <f>INDEX(ChLaunch,MATCH(E2824,ChName,0))</f>
        <v/>
      </c>
      <c r="J2824">
        <f>INDEX(ChWeeksFull,MATCH(E2824,ChName,0))</f>
        <v/>
      </c>
      <c r="K2824">
        <f>INDEX(ChRamp,MATCH(E2824,ChName,0))</f>
        <v/>
      </c>
      <c r="L2824" s="45">
        <f>MIN(1,MAX(0,(A2824-I2824+1)*RampSpeed/J2824))</f>
        <v/>
      </c>
      <c r="M2824" s="45">
        <f>IF(A2824&lt;I2824,0,IF(K2824="S-curve",L2824*L2824*(3-2*L2824),L2824))</f>
        <v/>
      </c>
      <c r="N2824" s="45">
        <f>1+(INDEX(SeasonIdx,A2824)-1)*SeasonAmp</f>
        <v/>
      </c>
      <c r="O2824" s="45">
        <f>IFERROR(INDEX(PSPct,MATCH(E2824&amp;"|"&amp;G2824,PSKey,0)),0)</f>
        <v/>
      </c>
      <c r="P2824" s="46">
        <f>INDEX(ChDoorVel,MATCH(E2824,ChName,0))*CalibScalar*(1+VelocityUplift)</f>
        <v/>
      </c>
      <c r="Q2824" s="46" t="n">
        <v>0</v>
      </c>
      <c r="R2824" s="46">
        <f>P2824*O2824*M2824*N2824*H2824</f>
        <v/>
      </c>
      <c r="S2824" s="46">
        <f>R2824*INDEX(FmtCansPerCase,MATCH(F2824,FmtName,0))</f>
        <v/>
      </c>
      <c r="T2824" s="46">
        <f>S2824/INDEX(FmtCansPerPack,MATCH(F2824,FmtName,0))</f>
        <v/>
      </c>
      <c r="U2824" s="47">
        <f>INDEX(ChBaseCP,MATCH(E2824,ChName,0))*(1+INDEX(ProvMod,MATCH(G2824,ProvCode,0)))*(1+PriceIndex)</f>
        <v/>
      </c>
      <c r="V2824" s="47">
        <f>R2824*U2824*INDEX(FmtBlendedPriceIdx,MATCH(F2824,FmtName,0))</f>
        <v/>
      </c>
      <c r="W2824" s="47">
        <f>T2824*INDEX(ProvSRP,MATCH(G2824,ProvCode,0))*(1+PriceIndex)</f>
        <v/>
      </c>
      <c r="X2824" s="47">
        <f>IF(GrossBasis="Wholesale",V2824,W2824)</f>
        <v/>
      </c>
      <c r="Y2824" s="47">
        <f>R2824*INDEX(FmtBlendedCogs,MATCH(F2824,FmtName,0))</f>
        <v/>
      </c>
      <c r="Z2824" s="47">
        <f>X2824-Y2824</f>
        <v/>
      </c>
    </row>
    <row r="2825">
      <c r="A2825" t="n">
        <v>15</v>
      </c>
      <c r="B2825" s="44">
        <f>FiscalStart+(A2825-1)*7</f>
        <v/>
      </c>
      <c r="C2825">
        <f>TEXT(B2825,"mmm yyyy")</f>
        <v/>
      </c>
      <c r="D2825">
        <f>"Q"&amp;(INT((A2825-1)/13)+1)</f>
        <v/>
      </c>
      <c r="E2825" t="inlineStr">
        <is>
          <t>Specialty</t>
        </is>
      </c>
      <c r="F2825">
        <f>IFERROR(INDEX(ChFormat,MATCH(E2825,ChName,0)),"")</f>
        <v/>
      </c>
      <c r="G2825" t="inlineStr">
        <is>
          <t>MB</t>
        </is>
      </c>
      <c r="H2825">
        <f>IF(A2825&lt;=NWeeks,1,0)</f>
        <v/>
      </c>
      <c r="I2825">
        <f>INDEX(ChLaunch,MATCH(E2825,ChName,0))</f>
        <v/>
      </c>
      <c r="J2825">
        <f>INDEX(ChWeeksFull,MATCH(E2825,ChName,0))</f>
        <v/>
      </c>
      <c r="K2825">
        <f>INDEX(ChRamp,MATCH(E2825,ChName,0))</f>
        <v/>
      </c>
      <c r="L2825" s="45">
        <f>MIN(1,MAX(0,(A2825-I2825+1)*RampSpeed/J2825))</f>
        <v/>
      </c>
      <c r="M2825" s="45">
        <f>IF(A2825&lt;I2825,0,IF(K2825="S-curve",L2825*L2825*(3-2*L2825),L2825))</f>
        <v/>
      </c>
      <c r="N2825" s="45">
        <f>1+(INDEX(SeasonIdx,A2825)-1)*SeasonAmp</f>
        <v/>
      </c>
      <c r="O2825" s="45">
        <f>IFERROR(INDEX(PSPct,MATCH(E2825&amp;"|"&amp;G2825,PSKey,0)),0)</f>
        <v/>
      </c>
      <c r="P2825" s="46">
        <f>INDEX(ChDoorVel,MATCH(E2825,ChName,0))*CalibScalar*(1+VelocityUplift)</f>
        <v/>
      </c>
      <c r="Q2825" s="46" t="n">
        <v>0</v>
      </c>
      <c r="R2825" s="46">
        <f>P2825*O2825*M2825*N2825*H2825</f>
        <v/>
      </c>
      <c r="S2825" s="46">
        <f>R2825*INDEX(FmtCansPerCase,MATCH(F2825,FmtName,0))</f>
        <v/>
      </c>
      <c r="T2825" s="46">
        <f>S2825/INDEX(FmtCansPerPack,MATCH(F2825,FmtName,0))</f>
        <v/>
      </c>
      <c r="U2825" s="47">
        <f>INDEX(ChBaseCP,MATCH(E2825,ChName,0))*(1+INDEX(ProvMod,MATCH(G2825,ProvCode,0)))*(1+PriceIndex)</f>
        <v/>
      </c>
      <c r="V2825" s="47">
        <f>R2825*U2825*INDEX(FmtBlendedPriceIdx,MATCH(F2825,FmtName,0))</f>
        <v/>
      </c>
      <c r="W2825" s="47">
        <f>T2825*INDEX(ProvSRP,MATCH(G2825,ProvCode,0))*(1+PriceIndex)</f>
        <v/>
      </c>
      <c r="X2825" s="47">
        <f>IF(GrossBasis="Wholesale",V2825,W2825)</f>
        <v/>
      </c>
      <c r="Y2825" s="47">
        <f>R2825*INDEX(FmtBlendedCogs,MATCH(F2825,FmtName,0))</f>
        <v/>
      </c>
      <c r="Z2825" s="47">
        <f>X2825-Y2825</f>
        <v/>
      </c>
    </row>
    <row r="2826">
      <c r="A2826" t="n">
        <v>16</v>
      </c>
      <c r="B2826" s="44">
        <f>FiscalStart+(A2826-1)*7</f>
        <v/>
      </c>
      <c r="C2826">
        <f>TEXT(B2826,"mmm yyyy")</f>
        <v/>
      </c>
      <c r="D2826">
        <f>"Q"&amp;(INT((A2826-1)/13)+1)</f>
        <v/>
      </c>
      <c r="E2826" t="inlineStr">
        <is>
          <t>Specialty</t>
        </is>
      </c>
      <c r="F2826">
        <f>IFERROR(INDEX(ChFormat,MATCH(E2826,ChName,0)),"")</f>
        <v/>
      </c>
      <c r="G2826" t="inlineStr">
        <is>
          <t>MB</t>
        </is>
      </c>
      <c r="H2826">
        <f>IF(A2826&lt;=NWeeks,1,0)</f>
        <v/>
      </c>
      <c r="I2826">
        <f>INDEX(ChLaunch,MATCH(E2826,ChName,0))</f>
        <v/>
      </c>
      <c r="J2826">
        <f>INDEX(ChWeeksFull,MATCH(E2826,ChName,0))</f>
        <v/>
      </c>
      <c r="K2826">
        <f>INDEX(ChRamp,MATCH(E2826,ChName,0))</f>
        <v/>
      </c>
      <c r="L2826" s="45">
        <f>MIN(1,MAX(0,(A2826-I2826+1)*RampSpeed/J2826))</f>
        <v/>
      </c>
      <c r="M2826" s="45">
        <f>IF(A2826&lt;I2826,0,IF(K2826="S-curve",L2826*L2826*(3-2*L2826),L2826))</f>
        <v/>
      </c>
      <c r="N2826" s="45">
        <f>1+(INDEX(SeasonIdx,A2826)-1)*SeasonAmp</f>
        <v/>
      </c>
      <c r="O2826" s="45">
        <f>IFERROR(INDEX(PSPct,MATCH(E2826&amp;"|"&amp;G2826,PSKey,0)),0)</f>
        <v/>
      </c>
      <c r="P2826" s="46">
        <f>INDEX(ChDoorVel,MATCH(E2826,ChName,0))*CalibScalar*(1+VelocityUplift)</f>
        <v/>
      </c>
      <c r="Q2826" s="46" t="n">
        <v>0</v>
      </c>
      <c r="R2826" s="46">
        <f>P2826*O2826*M2826*N2826*H2826</f>
        <v/>
      </c>
      <c r="S2826" s="46">
        <f>R2826*INDEX(FmtCansPerCase,MATCH(F2826,FmtName,0))</f>
        <v/>
      </c>
      <c r="T2826" s="46">
        <f>S2826/INDEX(FmtCansPerPack,MATCH(F2826,FmtName,0))</f>
        <v/>
      </c>
      <c r="U2826" s="47">
        <f>INDEX(ChBaseCP,MATCH(E2826,ChName,0))*(1+INDEX(ProvMod,MATCH(G2826,ProvCode,0)))*(1+PriceIndex)</f>
        <v/>
      </c>
      <c r="V2826" s="47">
        <f>R2826*U2826*INDEX(FmtBlendedPriceIdx,MATCH(F2826,FmtName,0))</f>
        <v/>
      </c>
      <c r="W2826" s="47">
        <f>T2826*INDEX(ProvSRP,MATCH(G2826,ProvCode,0))*(1+PriceIndex)</f>
        <v/>
      </c>
      <c r="X2826" s="47">
        <f>IF(GrossBasis="Wholesale",V2826,W2826)</f>
        <v/>
      </c>
      <c r="Y2826" s="47">
        <f>R2826*INDEX(FmtBlendedCogs,MATCH(F2826,FmtName,0))</f>
        <v/>
      </c>
      <c r="Z2826" s="47">
        <f>X2826-Y2826</f>
        <v/>
      </c>
    </row>
    <row r="2827">
      <c r="A2827" t="n">
        <v>17</v>
      </c>
      <c r="B2827" s="44">
        <f>FiscalStart+(A2827-1)*7</f>
        <v/>
      </c>
      <c r="C2827">
        <f>TEXT(B2827,"mmm yyyy")</f>
        <v/>
      </c>
      <c r="D2827">
        <f>"Q"&amp;(INT((A2827-1)/13)+1)</f>
        <v/>
      </c>
      <c r="E2827" t="inlineStr">
        <is>
          <t>Specialty</t>
        </is>
      </c>
      <c r="F2827">
        <f>IFERROR(INDEX(ChFormat,MATCH(E2827,ChName,0)),"")</f>
        <v/>
      </c>
      <c r="G2827" t="inlineStr">
        <is>
          <t>MB</t>
        </is>
      </c>
      <c r="H2827">
        <f>IF(A2827&lt;=NWeeks,1,0)</f>
        <v/>
      </c>
      <c r="I2827">
        <f>INDEX(ChLaunch,MATCH(E2827,ChName,0))</f>
        <v/>
      </c>
      <c r="J2827">
        <f>INDEX(ChWeeksFull,MATCH(E2827,ChName,0))</f>
        <v/>
      </c>
      <c r="K2827">
        <f>INDEX(ChRamp,MATCH(E2827,ChName,0))</f>
        <v/>
      </c>
      <c r="L2827" s="45">
        <f>MIN(1,MAX(0,(A2827-I2827+1)*RampSpeed/J2827))</f>
        <v/>
      </c>
      <c r="M2827" s="45">
        <f>IF(A2827&lt;I2827,0,IF(K2827="S-curve",L2827*L2827*(3-2*L2827),L2827))</f>
        <v/>
      </c>
      <c r="N2827" s="45">
        <f>1+(INDEX(SeasonIdx,A2827)-1)*SeasonAmp</f>
        <v/>
      </c>
      <c r="O2827" s="45">
        <f>IFERROR(INDEX(PSPct,MATCH(E2827&amp;"|"&amp;G2827,PSKey,0)),0)</f>
        <v/>
      </c>
      <c r="P2827" s="46">
        <f>INDEX(ChDoorVel,MATCH(E2827,ChName,0))*CalibScalar*(1+VelocityUplift)</f>
        <v/>
      </c>
      <c r="Q2827" s="46" t="n">
        <v>0</v>
      </c>
      <c r="R2827" s="46">
        <f>P2827*O2827*M2827*N2827*H2827</f>
        <v/>
      </c>
      <c r="S2827" s="46">
        <f>R2827*INDEX(FmtCansPerCase,MATCH(F2827,FmtName,0))</f>
        <v/>
      </c>
      <c r="T2827" s="46">
        <f>S2827/INDEX(FmtCansPerPack,MATCH(F2827,FmtName,0))</f>
        <v/>
      </c>
      <c r="U2827" s="47">
        <f>INDEX(ChBaseCP,MATCH(E2827,ChName,0))*(1+INDEX(ProvMod,MATCH(G2827,ProvCode,0)))*(1+PriceIndex)</f>
        <v/>
      </c>
      <c r="V2827" s="47">
        <f>R2827*U2827*INDEX(FmtBlendedPriceIdx,MATCH(F2827,FmtName,0))</f>
        <v/>
      </c>
      <c r="W2827" s="47">
        <f>T2827*INDEX(ProvSRP,MATCH(G2827,ProvCode,0))*(1+PriceIndex)</f>
        <v/>
      </c>
      <c r="X2827" s="47">
        <f>IF(GrossBasis="Wholesale",V2827,W2827)</f>
        <v/>
      </c>
      <c r="Y2827" s="47">
        <f>R2827*INDEX(FmtBlendedCogs,MATCH(F2827,FmtName,0))</f>
        <v/>
      </c>
      <c r="Z2827" s="47">
        <f>X2827-Y2827</f>
        <v/>
      </c>
    </row>
    <row r="2828">
      <c r="A2828" t="n">
        <v>18</v>
      </c>
      <c r="B2828" s="44">
        <f>FiscalStart+(A2828-1)*7</f>
        <v/>
      </c>
      <c r="C2828">
        <f>TEXT(B2828,"mmm yyyy")</f>
        <v/>
      </c>
      <c r="D2828">
        <f>"Q"&amp;(INT((A2828-1)/13)+1)</f>
        <v/>
      </c>
      <c r="E2828" t="inlineStr">
        <is>
          <t>Specialty</t>
        </is>
      </c>
      <c r="F2828">
        <f>IFERROR(INDEX(ChFormat,MATCH(E2828,ChName,0)),"")</f>
        <v/>
      </c>
      <c r="G2828" t="inlineStr">
        <is>
          <t>MB</t>
        </is>
      </c>
      <c r="H2828">
        <f>IF(A2828&lt;=NWeeks,1,0)</f>
        <v/>
      </c>
      <c r="I2828">
        <f>INDEX(ChLaunch,MATCH(E2828,ChName,0))</f>
        <v/>
      </c>
      <c r="J2828">
        <f>INDEX(ChWeeksFull,MATCH(E2828,ChName,0))</f>
        <v/>
      </c>
      <c r="K2828">
        <f>INDEX(ChRamp,MATCH(E2828,ChName,0))</f>
        <v/>
      </c>
      <c r="L2828" s="45">
        <f>MIN(1,MAX(0,(A2828-I2828+1)*RampSpeed/J2828))</f>
        <v/>
      </c>
      <c r="M2828" s="45">
        <f>IF(A2828&lt;I2828,0,IF(K2828="S-curve",L2828*L2828*(3-2*L2828),L2828))</f>
        <v/>
      </c>
      <c r="N2828" s="45">
        <f>1+(INDEX(SeasonIdx,A2828)-1)*SeasonAmp</f>
        <v/>
      </c>
      <c r="O2828" s="45">
        <f>IFERROR(INDEX(PSPct,MATCH(E2828&amp;"|"&amp;G2828,PSKey,0)),0)</f>
        <v/>
      </c>
      <c r="P2828" s="46">
        <f>INDEX(ChDoorVel,MATCH(E2828,ChName,0))*CalibScalar*(1+VelocityUplift)</f>
        <v/>
      </c>
      <c r="Q2828" s="46" t="n">
        <v>0</v>
      </c>
      <c r="R2828" s="46">
        <f>P2828*O2828*M2828*N2828*H2828</f>
        <v/>
      </c>
      <c r="S2828" s="46">
        <f>R2828*INDEX(FmtCansPerCase,MATCH(F2828,FmtName,0))</f>
        <v/>
      </c>
      <c r="T2828" s="46">
        <f>S2828/INDEX(FmtCansPerPack,MATCH(F2828,FmtName,0))</f>
        <v/>
      </c>
      <c r="U2828" s="47">
        <f>INDEX(ChBaseCP,MATCH(E2828,ChName,0))*(1+INDEX(ProvMod,MATCH(G2828,ProvCode,0)))*(1+PriceIndex)</f>
        <v/>
      </c>
      <c r="V2828" s="47">
        <f>R2828*U2828*INDEX(FmtBlendedPriceIdx,MATCH(F2828,FmtName,0))</f>
        <v/>
      </c>
      <c r="W2828" s="47">
        <f>T2828*INDEX(ProvSRP,MATCH(G2828,ProvCode,0))*(1+PriceIndex)</f>
        <v/>
      </c>
      <c r="X2828" s="47">
        <f>IF(GrossBasis="Wholesale",V2828,W2828)</f>
        <v/>
      </c>
      <c r="Y2828" s="47">
        <f>R2828*INDEX(FmtBlendedCogs,MATCH(F2828,FmtName,0))</f>
        <v/>
      </c>
      <c r="Z2828" s="47">
        <f>X2828-Y2828</f>
        <v/>
      </c>
    </row>
    <row r="2829">
      <c r="A2829" t="n">
        <v>19</v>
      </c>
      <c r="B2829" s="44">
        <f>FiscalStart+(A2829-1)*7</f>
        <v/>
      </c>
      <c r="C2829">
        <f>TEXT(B2829,"mmm yyyy")</f>
        <v/>
      </c>
      <c r="D2829">
        <f>"Q"&amp;(INT((A2829-1)/13)+1)</f>
        <v/>
      </c>
      <c r="E2829" t="inlineStr">
        <is>
          <t>Specialty</t>
        </is>
      </c>
      <c r="F2829">
        <f>IFERROR(INDEX(ChFormat,MATCH(E2829,ChName,0)),"")</f>
        <v/>
      </c>
      <c r="G2829" t="inlineStr">
        <is>
          <t>MB</t>
        </is>
      </c>
      <c r="H2829">
        <f>IF(A2829&lt;=NWeeks,1,0)</f>
        <v/>
      </c>
      <c r="I2829">
        <f>INDEX(ChLaunch,MATCH(E2829,ChName,0))</f>
        <v/>
      </c>
      <c r="J2829">
        <f>INDEX(ChWeeksFull,MATCH(E2829,ChName,0))</f>
        <v/>
      </c>
      <c r="K2829">
        <f>INDEX(ChRamp,MATCH(E2829,ChName,0))</f>
        <v/>
      </c>
      <c r="L2829" s="45">
        <f>MIN(1,MAX(0,(A2829-I2829+1)*RampSpeed/J2829))</f>
        <v/>
      </c>
      <c r="M2829" s="45">
        <f>IF(A2829&lt;I2829,0,IF(K2829="S-curve",L2829*L2829*(3-2*L2829),L2829))</f>
        <v/>
      </c>
      <c r="N2829" s="45">
        <f>1+(INDEX(SeasonIdx,A2829)-1)*SeasonAmp</f>
        <v/>
      </c>
      <c r="O2829" s="45">
        <f>IFERROR(INDEX(PSPct,MATCH(E2829&amp;"|"&amp;G2829,PSKey,0)),0)</f>
        <v/>
      </c>
      <c r="P2829" s="46">
        <f>INDEX(ChDoorVel,MATCH(E2829,ChName,0))*CalibScalar*(1+VelocityUplift)</f>
        <v/>
      </c>
      <c r="Q2829" s="46" t="n">
        <v>0</v>
      </c>
      <c r="R2829" s="46">
        <f>P2829*O2829*M2829*N2829*H2829</f>
        <v/>
      </c>
      <c r="S2829" s="46">
        <f>R2829*INDEX(FmtCansPerCase,MATCH(F2829,FmtName,0))</f>
        <v/>
      </c>
      <c r="T2829" s="46">
        <f>S2829/INDEX(FmtCansPerPack,MATCH(F2829,FmtName,0))</f>
        <v/>
      </c>
      <c r="U2829" s="47">
        <f>INDEX(ChBaseCP,MATCH(E2829,ChName,0))*(1+INDEX(ProvMod,MATCH(G2829,ProvCode,0)))*(1+PriceIndex)</f>
        <v/>
      </c>
      <c r="V2829" s="47">
        <f>R2829*U2829*INDEX(FmtBlendedPriceIdx,MATCH(F2829,FmtName,0))</f>
        <v/>
      </c>
      <c r="W2829" s="47">
        <f>T2829*INDEX(ProvSRP,MATCH(G2829,ProvCode,0))*(1+PriceIndex)</f>
        <v/>
      </c>
      <c r="X2829" s="47">
        <f>IF(GrossBasis="Wholesale",V2829,W2829)</f>
        <v/>
      </c>
      <c r="Y2829" s="47">
        <f>R2829*INDEX(FmtBlendedCogs,MATCH(F2829,FmtName,0))</f>
        <v/>
      </c>
      <c r="Z2829" s="47">
        <f>X2829-Y2829</f>
        <v/>
      </c>
    </row>
    <row r="2830">
      <c r="A2830" t="n">
        <v>20</v>
      </c>
      <c r="B2830" s="44">
        <f>FiscalStart+(A2830-1)*7</f>
        <v/>
      </c>
      <c r="C2830">
        <f>TEXT(B2830,"mmm yyyy")</f>
        <v/>
      </c>
      <c r="D2830">
        <f>"Q"&amp;(INT((A2830-1)/13)+1)</f>
        <v/>
      </c>
      <c r="E2830" t="inlineStr">
        <is>
          <t>Specialty</t>
        </is>
      </c>
      <c r="F2830">
        <f>IFERROR(INDEX(ChFormat,MATCH(E2830,ChName,0)),"")</f>
        <v/>
      </c>
      <c r="G2830" t="inlineStr">
        <is>
          <t>MB</t>
        </is>
      </c>
      <c r="H2830">
        <f>IF(A2830&lt;=NWeeks,1,0)</f>
        <v/>
      </c>
      <c r="I2830">
        <f>INDEX(ChLaunch,MATCH(E2830,ChName,0))</f>
        <v/>
      </c>
      <c r="J2830">
        <f>INDEX(ChWeeksFull,MATCH(E2830,ChName,0))</f>
        <v/>
      </c>
      <c r="K2830">
        <f>INDEX(ChRamp,MATCH(E2830,ChName,0))</f>
        <v/>
      </c>
      <c r="L2830" s="45">
        <f>MIN(1,MAX(0,(A2830-I2830+1)*RampSpeed/J2830))</f>
        <v/>
      </c>
      <c r="M2830" s="45">
        <f>IF(A2830&lt;I2830,0,IF(K2830="S-curve",L2830*L2830*(3-2*L2830),L2830))</f>
        <v/>
      </c>
      <c r="N2830" s="45">
        <f>1+(INDEX(SeasonIdx,A2830)-1)*SeasonAmp</f>
        <v/>
      </c>
      <c r="O2830" s="45">
        <f>IFERROR(INDEX(PSPct,MATCH(E2830&amp;"|"&amp;G2830,PSKey,0)),0)</f>
        <v/>
      </c>
      <c r="P2830" s="46">
        <f>INDEX(ChDoorVel,MATCH(E2830,ChName,0))*CalibScalar*(1+VelocityUplift)</f>
        <v/>
      </c>
      <c r="Q2830" s="46" t="n">
        <v>0</v>
      </c>
      <c r="R2830" s="46">
        <f>P2830*O2830*M2830*N2830*H2830</f>
        <v/>
      </c>
      <c r="S2830" s="46">
        <f>R2830*INDEX(FmtCansPerCase,MATCH(F2830,FmtName,0))</f>
        <v/>
      </c>
      <c r="T2830" s="46">
        <f>S2830/INDEX(FmtCansPerPack,MATCH(F2830,FmtName,0))</f>
        <v/>
      </c>
      <c r="U2830" s="47">
        <f>INDEX(ChBaseCP,MATCH(E2830,ChName,0))*(1+INDEX(ProvMod,MATCH(G2830,ProvCode,0)))*(1+PriceIndex)</f>
        <v/>
      </c>
      <c r="V2830" s="47">
        <f>R2830*U2830*INDEX(FmtBlendedPriceIdx,MATCH(F2830,FmtName,0))</f>
        <v/>
      </c>
      <c r="W2830" s="47">
        <f>T2830*INDEX(ProvSRP,MATCH(G2830,ProvCode,0))*(1+PriceIndex)</f>
        <v/>
      </c>
      <c r="X2830" s="47">
        <f>IF(GrossBasis="Wholesale",V2830,W2830)</f>
        <v/>
      </c>
      <c r="Y2830" s="47">
        <f>R2830*INDEX(FmtBlendedCogs,MATCH(F2830,FmtName,0))</f>
        <v/>
      </c>
      <c r="Z2830" s="47">
        <f>X2830-Y2830</f>
        <v/>
      </c>
    </row>
    <row r="2831">
      <c r="A2831" t="n">
        <v>21</v>
      </c>
      <c r="B2831" s="44">
        <f>FiscalStart+(A2831-1)*7</f>
        <v/>
      </c>
      <c r="C2831">
        <f>TEXT(B2831,"mmm yyyy")</f>
        <v/>
      </c>
      <c r="D2831">
        <f>"Q"&amp;(INT((A2831-1)/13)+1)</f>
        <v/>
      </c>
      <c r="E2831" t="inlineStr">
        <is>
          <t>Specialty</t>
        </is>
      </c>
      <c r="F2831">
        <f>IFERROR(INDEX(ChFormat,MATCH(E2831,ChName,0)),"")</f>
        <v/>
      </c>
      <c r="G2831" t="inlineStr">
        <is>
          <t>MB</t>
        </is>
      </c>
      <c r="H2831">
        <f>IF(A2831&lt;=NWeeks,1,0)</f>
        <v/>
      </c>
      <c r="I2831">
        <f>INDEX(ChLaunch,MATCH(E2831,ChName,0))</f>
        <v/>
      </c>
      <c r="J2831">
        <f>INDEX(ChWeeksFull,MATCH(E2831,ChName,0))</f>
        <v/>
      </c>
      <c r="K2831">
        <f>INDEX(ChRamp,MATCH(E2831,ChName,0))</f>
        <v/>
      </c>
      <c r="L2831" s="45">
        <f>MIN(1,MAX(0,(A2831-I2831+1)*RampSpeed/J2831))</f>
        <v/>
      </c>
      <c r="M2831" s="45">
        <f>IF(A2831&lt;I2831,0,IF(K2831="S-curve",L2831*L2831*(3-2*L2831),L2831))</f>
        <v/>
      </c>
      <c r="N2831" s="45">
        <f>1+(INDEX(SeasonIdx,A2831)-1)*SeasonAmp</f>
        <v/>
      </c>
      <c r="O2831" s="45">
        <f>IFERROR(INDEX(PSPct,MATCH(E2831&amp;"|"&amp;G2831,PSKey,0)),0)</f>
        <v/>
      </c>
      <c r="P2831" s="46">
        <f>INDEX(ChDoorVel,MATCH(E2831,ChName,0))*CalibScalar*(1+VelocityUplift)</f>
        <v/>
      </c>
      <c r="Q2831" s="46" t="n">
        <v>0</v>
      </c>
      <c r="R2831" s="46">
        <f>P2831*O2831*M2831*N2831*H2831</f>
        <v/>
      </c>
      <c r="S2831" s="46">
        <f>R2831*INDEX(FmtCansPerCase,MATCH(F2831,FmtName,0))</f>
        <v/>
      </c>
      <c r="T2831" s="46">
        <f>S2831/INDEX(FmtCansPerPack,MATCH(F2831,FmtName,0))</f>
        <v/>
      </c>
      <c r="U2831" s="47">
        <f>INDEX(ChBaseCP,MATCH(E2831,ChName,0))*(1+INDEX(ProvMod,MATCH(G2831,ProvCode,0)))*(1+PriceIndex)</f>
        <v/>
      </c>
      <c r="V2831" s="47">
        <f>R2831*U2831*INDEX(FmtBlendedPriceIdx,MATCH(F2831,FmtName,0))</f>
        <v/>
      </c>
      <c r="W2831" s="47">
        <f>T2831*INDEX(ProvSRP,MATCH(G2831,ProvCode,0))*(1+PriceIndex)</f>
        <v/>
      </c>
      <c r="X2831" s="47">
        <f>IF(GrossBasis="Wholesale",V2831,W2831)</f>
        <v/>
      </c>
      <c r="Y2831" s="47">
        <f>R2831*INDEX(FmtBlendedCogs,MATCH(F2831,FmtName,0))</f>
        <v/>
      </c>
      <c r="Z2831" s="47">
        <f>X2831-Y2831</f>
        <v/>
      </c>
    </row>
    <row r="2832">
      <c r="A2832" t="n">
        <v>22</v>
      </c>
      <c r="B2832" s="44">
        <f>FiscalStart+(A2832-1)*7</f>
        <v/>
      </c>
      <c r="C2832">
        <f>TEXT(B2832,"mmm yyyy")</f>
        <v/>
      </c>
      <c r="D2832">
        <f>"Q"&amp;(INT((A2832-1)/13)+1)</f>
        <v/>
      </c>
      <c r="E2832" t="inlineStr">
        <is>
          <t>Specialty</t>
        </is>
      </c>
      <c r="F2832">
        <f>IFERROR(INDEX(ChFormat,MATCH(E2832,ChName,0)),"")</f>
        <v/>
      </c>
      <c r="G2832" t="inlineStr">
        <is>
          <t>MB</t>
        </is>
      </c>
      <c r="H2832">
        <f>IF(A2832&lt;=NWeeks,1,0)</f>
        <v/>
      </c>
      <c r="I2832">
        <f>INDEX(ChLaunch,MATCH(E2832,ChName,0))</f>
        <v/>
      </c>
      <c r="J2832">
        <f>INDEX(ChWeeksFull,MATCH(E2832,ChName,0))</f>
        <v/>
      </c>
      <c r="K2832">
        <f>INDEX(ChRamp,MATCH(E2832,ChName,0))</f>
        <v/>
      </c>
      <c r="L2832" s="45">
        <f>MIN(1,MAX(0,(A2832-I2832+1)*RampSpeed/J2832))</f>
        <v/>
      </c>
      <c r="M2832" s="45">
        <f>IF(A2832&lt;I2832,0,IF(K2832="S-curve",L2832*L2832*(3-2*L2832),L2832))</f>
        <v/>
      </c>
      <c r="N2832" s="45">
        <f>1+(INDEX(SeasonIdx,A2832)-1)*SeasonAmp</f>
        <v/>
      </c>
      <c r="O2832" s="45">
        <f>IFERROR(INDEX(PSPct,MATCH(E2832&amp;"|"&amp;G2832,PSKey,0)),0)</f>
        <v/>
      </c>
      <c r="P2832" s="46">
        <f>INDEX(ChDoorVel,MATCH(E2832,ChName,0))*CalibScalar*(1+VelocityUplift)</f>
        <v/>
      </c>
      <c r="Q2832" s="46" t="n">
        <v>0</v>
      </c>
      <c r="R2832" s="46">
        <f>P2832*O2832*M2832*N2832*H2832</f>
        <v/>
      </c>
      <c r="S2832" s="46">
        <f>R2832*INDEX(FmtCansPerCase,MATCH(F2832,FmtName,0))</f>
        <v/>
      </c>
      <c r="T2832" s="46">
        <f>S2832/INDEX(FmtCansPerPack,MATCH(F2832,FmtName,0))</f>
        <v/>
      </c>
      <c r="U2832" s="47">
        <f>INDEX(ChBaseCP,MATCH(E2832,ChName,0))*(1+INDEX(ProvMod,MATCH(G2832,ProvCode,0)))*(1+PriceIndex)</f>
        <v/>
      </c>
      <c r="V2832" s="47">
        <f>R2832*U2832*INDEX(FmtBlendedPriceIdx,MATCH(F2832,FmtName,0))</f>
        <v/>
      </c>
      <c r="W2832" s="47">
        <f>T2832*INDEX(ProvSRP,MATCH(G2832,ProvCode,0))*(1+PriceIndex)</f>
        <v/>
      </c>
      <c r="X2832" s="47">
        <f>IF(GrossBasis="Wholesale",V2832,W2832)</f>
        <v/>
      </c>
      <c r="Y2832" s="47">
        <f>R2832*INDEX(FmtBlendedCogs,MATCH(F2832,FmtName,0))</f>
        <v/>
      </c>
      <c r="Z2832" s="47">
        <f>X2832-Y2832</f>
        <v/>
      </c>
    </row>
    <row r="2833">
      <c r="A2833" t="n">
        <v>23</v>
      </c>
      <c r="B2833" s="44">
        <f>FiscalStart+(A2833-1)*7</f>
        <v/>
      </c>
      <c r="C2833">
        <f>TEXT(B2833,"mmm yyyy")</f>
        <v/>
      </c>
      <c r="D2833">
        <f>"Q"&amp;(INT((A2833-1)/13)+1)</f>
        <v/>
      </c>
      <c r="E2833" t="inlineStr">
        <is>
          <t>Specialty</t>
        </is>
      </c>
      <c r="F2833">
        <f>IFERROR(INDEX(ChFormat,MATCH(E2833,ChName,0)),"")</f>
        <v/>
      </c>
      <c r="G2833" t="inlineStr">
        <is>
          <t>MB</t>
        </is>
      </c>
      <c r="H2833">
        <f>IF(A2833&lt;=NWeeks,1,0)</f>
        <v/>
      </c>
      <c r="I2833">
        <f>INDEX(ChLaunch,MATCH(E2833,ChName,0))</f>
        <v/>
      </c>
      <c r="J2833">
        <f>INDEX(ChWeeksFull,MATCH(E2833,ChName,0))</f>
        <v/>
      </c>
      <c r="K2833">
        <f>INDEX(ChRamp,MATCH(E2833,ChName,0))</f>
        <v/>
      </c>
      <c r="L2833" s="45">
        <f>MIN(1,MAX(0,(A2833-I2833+1)*RampSpeed/J2833))</f>
        <v/>
      </c>
      <c r="M2833" s="45">
        <f>IF(A2833&lt;I2833,0,IF(K2833="S-curve",L2833*L2833*(3-2*L2833),L2833))</f>
        <v/>
      </c>
      <c r="N2833" s="45">
        <f>1+(INDEX(SeasonIdx,A2833)-1)*SeasonAmp</f>
        <v/>
      </c>
      <c r="O2833" s="45">
        <f>IFERROR(INDEX(PSPct,MATCH(E2833&amp;"|"&amp;G2833,PSKey,0)),0)</f>
        <v/>
      </c>
      <c r="P2833" s="46">
        <f>INDEX(ChDoorVel,MATCH(E2833,ChName,0))*CalibScalar*(1+VelocityUplift)</f>
        <v/>
      </c>
      <c r="Q2833" s="46" t="n">
        <v>0</v>
      </c>
      <c r="R2833" s="46">
        <f>P2833*O2833*M2833*N2833*H2833</f>
        <v/>
      </c>
      <c r="S2833" s="46">
        <f>R2833*INDEX(FmtCansPerCase,MATCH(F2833,FmtName,0))</f>
        <v/>
      </c>
      <c r="T2833" s="46">
        <f>S2833/INDEX(FmtCansPerPack,MATCH(F2833,FmtName,0))</f>
        <v/>
      </c>
      <c r="U2833" s="47">
        <f>INDEX(ChBaseCP,MATCH(E2833,ChName,0))*(1+INDEX(ProvMod,MATCH(G2833,ProvCode,0)))*(1+PriceIndex)</f>
        <v/>
      </c>
      <c r="V2833" s="47">
        <f>R2833*U2833*INDEX(FmtBlendedPriceIdx,MATCH(F2833,FmtName,0))</f>
        <v/>
      </c>
      <c r="W2833" s="47">
        <f>T2833*INDEX(ProvSRP,MATCH(G2833,ProvCode,0))*(1+PriceIndex)</f>
        <v/>
      </c>
      <c r="X2833" s="47">
        <f>IF(GrossBasis="Wholesale",V2833,W2833)</f>
        <v/>
      </c>
      <c r="Y2833" s="47">
        <f>R2833*INDEX(FmtBlendedCogs,MATCH(F2833,FmtName,0))</f>
        <v/>
      </c>
      <c r="Z2833" s="47">
        <f>X2833-Y2833</f>
        <v/>
      </c>
    </row>
    <row r="2834">
      <c r="A2834" t="n">
        <v>24</v>
      </c>
      <c r="B2834" s="44">
        <f>FiscalStart+(A2834-1)*7</f>
        <v/>
      </c>
      <c r="C2834">
        <f>TEXT(B2834,"mmm yyyy")</f>
        <v/>
      </c>
      <c r="D2834">
        <f>"Q"&amp;(INT((A2834-1)/13)+1)</f>
        <v/>
      </c>
      <c r="E2834" t="inlineStr">
        <is>
          <t>Specialty</t>
        </is>
      </c>
      <c r="F2834">
        <f>IFERROR(INDEX(ChFormat,MATCH(E2834,ChName,0)),"")</f>
        <v/>
      </c>
      <c r="G2834" t="inlineStr">
        <is>
          <t>MB</t>
        </is>
      </c>
      <c r="H2834">
        <f>IF(A2834&lt;=NWeeks,1,0)</f>
        <v/>
      </c>
      <c r="I2834">
        <f>INDEX(ChLaunch,MATCH(E2834,ChName,0))</f>
        <v/>
      </c>
      <c r="J2834">
        <f>INDEX(ChWeeksFull,MATCH(E2834,ChName,0))</f>
        <v/>
      </c>
      <c r="K2834">
        <f>INDEX(ChRamp,MATCH(E2834,ChName,0))</f>
        <v/>
      </c>
      <c r="L2834" s="45">
        <f>MIN(1,MAX(0,(A2834-I2834+1)*RampSpeed/J2834))</f>
        <v/>
      </c>
      <c r="M2834" s="45">
        <f>IF(A2834&lt;I2834,0,IF(K2834="S-curve",L2834*L2834*(3-2*L2834),L2834))</f>
        <v/>
      </c>
      <c r="N2834" s="45">
        <f>1+(INDEX(SeasonIdx,A2834)-1)*SeasonAmp</f>
        <v/>
      </c>
      <c r="O2834" s="45">
        <f>IFERROR(INDEX(PSPct,MATCH(E2834&amp;"|"&amp;G2834,PSKey,0)),0)</f>
        <v/>
      </c>
      <c r="P2834" s="46">
        <f>INDEX(ChDoorVel,MATCH(E2834,ChName,0))*CalibScalar*(1+VelocityUplift)</f>
        <v/>
      </c>
      <c r="Q2834" s="46" t="n">
        <v>0</v>
      </c>
      <c r="R2834" s="46">
        <f>P2834*O2834*M2834*N2834*H2834</f>
        <v/>
      </c>
      <c r="S2834" s="46">
        <f>R2834*INDEX(FmtCansPerCase,MATCH(F2834,FmtName,0))</f>
        <v/>
      </c>
      <c r="T2834" s="46">
        <f>S2834/INDEX(FmtCansPerPack,MATCH(F2834,FmtName,0))</f>
        <v/>
      </c>
      <c r="U2834" s="47">
        <f>INDEX(ChBaseCP,MATCH(E2834,ChName,0))*(1+INDEX(ProvMod,MATCH(G2834,ProvCode,0)))*(1+PriceIndex)</f>
        <v/>
      </c>
      <c r="V2834" s="47">
        <f>R2834*U2834*INDEX(FmtBlendedPriceIdx,MATCH(F2834,FmtName,0))</f>
        <v/>
      </c>
      <c r="W2834" s="47">
        <f>T2834*INDEX(ProvSRP,MATCH(G2834,ProvCode,0))*(1+PriceIndex)</f>
        <v/>
      </c>
      <c r="X2834" s="47">
        <f>IF(GrossBasis="Wholesale",V2834,W2834)</f>
        <v/>
      </c>
      <c r="Y2834" s="47">
        <f>R2834*INDEX(FmtBlendedCogs,MATCH(F2834,FmtName,0))</f>
        <v/>
      </c>
      <c r="Z2834" s="47">
        <f>X2834-Y2834</f>
        <v/>
      </c>
    </row>
    <row r="2835">
      <c r="A2835" t="n">
        <v>25</v>
      </c>
      <c r="B2835" s="44">
        <f>FiscalStart+(A2835-1)*7</f>
        <v/>
      </c>
      <c r="C2835">
        <f>TEXT(B2835,"mmm yyyy")</f>
        <v/>
      </c>
      <c r="D2835">
        <f>"Q"&amp;(INT((A2835-1)/13)+1)</f>
        <v/>
      </c>
      <c r="E2835" t="inlineStr">
        <is>
          <t>Specialty</t>
        </is>
      </c>
      <c r="F2835">
        <f>IFERROR(INDEX(ChFormat,MATCH(E2835,ChName,0)),"")</f>
        <v/>
      </c>
      <c r="G2835" t="inlineStr">
        <is>
          <t>MB</t>
        </is>
      </c>
      <c r="H2835">
        <f>IF(A2835&lt;=NWeeks,1,0)</f>
        <v/>
      </c>
      <c r="I2835">
        <f>INDEX(ChLaunch,MATCH(E2835,ChName,0))</f>
        <v/>
      </c>
      <c r="J2835">
        <f>INDEX(ChWeeksFull,MATCH(E2835,ChName,0))</f>
        <v/>
      </c>
      <c r="K2835">
        <f>INDEX(ChRamp,MATCH(E2835,ChName,0))</f>
        <v/>
      </c>
      <c r="L2835" s="45">
        <f>MIN(1,MAX(0,(A2835-I2835+1)*RampSpeed/J2835))</f>
        <v/>
      </c>
      <c r="M2835" s="45">
        <f>IF(A2835&lt;I2835,0,IF(K2835="S-curve",L2835*L2835*(3-2*L2835),L2835))</f>
        <v/>
      </c>
      <c r="N2835" s="45">
        <f>1+(INDEX(SeasonIdx,A2835)-1)*SeasonAmp</f>
        <v/>
      </c>
      <c r="O2835" s="45">
        <f>IFERROR(INDEX(PSPct,MATCH(E2835&amp;"|"&amp;G2835,PSKey,0)),0)</f>
        <v/>
      </c>
      <c r="P2835" s="46">
        <f>INDEX(ChDoorVel,MATCH(E2835,ChName,0))*CalibScalar*(1+VelocityUplift)</f>
        <v/>
      </c>
      <c r="Q2835" s="46" t="n">
        <v>0</v>
      </c>
      <c r="R2835" s="46">
        <f>P2835*O2835*M2835*N2835*H2835</f>
        <v/>
      </c>
      <c r="S2835" s="46">
        <f>R2835*INDEX(FmtCansPerCase,MATCH(F2835,FmtName,0))</f>
        <v/>
      </c>
      <c r="T2835" s="46">
        <f>S2835/INDEX(FmtCansPerPack,MATCH(F2835,FmtName,0))</f>
        <v/>
      </c>
      <c r="U2835" s="47">
        <f>INDEX(ChBaseCP,MATCH(E2835,ChName,0))*(1+INDEX(ProvMod,MATCH(G2835,ProvCode,0)))*(1+PriceIndex)</f>
        <v/>
      </c>
      <c r="V2835" s="47">
        <f>R2835*U2835*INDEX(FmtBlendedPriceIdx,MATCH(F2835,FmtName,0))</f>
        <v/>
      </c>
      <c r="W2835" s="47">
        <f>T2835*INDEX(ProvSRP,MATCH(G2835,ProvCode,0))*(1+PriceIndex)</f>
        <v/>
      </c>
      <c r="X2835" s="47">
        <f>IF(GrossBasis="Wholesale",V2835,W2835)</f>
        <v/>
      </c>
      <c r="Y2835" s="47">
        <f>R2835*INDEX(FmtBlendedCogs,MATCH(F2835,FmtName,0))</f>
        <v/>
      </c>
      <c r="Z2835" s="47">
        <f>X2835-Y2835</f>
        <v/>
      </c>
    </row>
    <row r="2836">
      <c r="A2836" t="n">
        <v>26</v>
      </c>
      <c r="B2836" s="44">
        <f>FiscalStart+(A2836-1)*7</f>
        <v/>
      </c>
      <c r="C2836">
        <f>TEXT(B2836,"mmm yyyy")</f>
        <v/>
      </c>
      <c r="D2836">
        <f>"Q"&amp;(INT((A2836-1)/13)+1)</f>
        <v/>
      </c>
      <c r="E2836" t="inlineStr">
        <is>
          <t>Specialty</t>
        </is>
      </c>
      <c r="F2836">
        <f>IFERROR(INDEX(ChFormat,MATCH(E2836,ChName,0)),"")</f>
        <v/>
      </c>
      <c r="G2836" t="inlineStr">
        <is>
          <t>MB</t>
        </is>
      </c>
      <c r="H2836">
        <f>IF(A2836&lt;=NWeeks,1,0)</f>
        <v/>
      </c>
      <c r="I2836">
        <f>INDEX(ChLaunch,MATCH(E2836,ChName,0))</f>
        <v/>
      </c>
      <c r="J2836">
        <f>INDEX(ChWeeksFull,MATCH(E2836,ChName,0))</f>
        <v/>
      </c>
      <c r="K2836">
        <f>INDEX(ChRamp,MATCH(E2836,ChName,0))</f>
        <v/>
      </c>
      <c r="L2836" s="45">
        <f>MIN(1,MAX(0,(A2836-I2836+1)*RampSpeed/J2836))</f>
        <v/>
      </c>
      <c r="M2836" s="45">
        <f>IF(A2836&lt;I2836,0,IF(K2836="S-curve",L2836*L2836*(3-2*L2836),L2836))</f>
        <v/>
      </c>
      <c r="N2836" s="45">
        <f>1+(INDEX(SeasonIdx,A2836)-1)*SeasonAmp</f>
        <v/>
      </c>
      <c r="O2836" s="45">
        <f>IFERROR(INDEX(PSPct,MATCH(E2836&amp;"|"&amp;G2836,PSKey,0)),0)</f>
        <v/>
      </c>
      <c r="P2836" s="46">
        <f>INDEX(ChDoorVel,MATCH(E2836,ChName,0))*CalibScalar*(1+VelocityUplift)</f>
        <v/>
      </c>
      <c r="Q2836" s="46" t="n">
        <v>0</v>
      </c>
      <c r="R2836" s="46">
        <f>P2836*O2836*M2836*N2836*H2836</f>
        <v/>
      </c>
      <c r="S2836" s="46">
        <f>R2836*INDEX(FmtCansPerCase,MATCH(F2836,FmtName,0))</f>
        <v/>
      </c>
      <c r="T2836" s="46">
        <f>S2836/INDEX(FmtCansPerPack,MATCH(F2836,FmtName,0))</f>
        <v/>
      </c>
      <c r="U2836" s="47">
        <f>INDEX(ChBaseCP,MATCH(E2836,ChName,0))*(1+INDEX(ProvMod,MATCH(G2836,ProvCode,0)))*(1+PriceIndex)</f>
        <v/>
      </c>
      <c r="V2836" s="47">
        <f>R2836*U2836*INDEX(FmtBlendedPriceIdx,MATCH(F2836,FmtName,0))</f>
        <v/>
      </c>
      <c r="W2836" s="47">
        <f>T2836*INDEX(ProvSRP,MATCH(G2836,ProvCode,0))*(1+PriceIndex)</f>
        <v/>
      </c>
      <c r="X2836" s="47">
        <f>IF(GrossBasis="Wholesale",V2836,W2836)</f>
        <v/>
      </c>
      <c r="Y2836" s="47">
        <f>R2836*INDEX(FmtBlendedCogs,MATCH(F2836,FmtName,0))</f>
        <v/>
      </c>
      <c r="Z2836" s="47">
        <f>X2836-Y2836</f>
        <v/>
      </c>
    </row>
    <row r="2837">
      <c r="A2837" t="n">
        <v>27</v>
      </c>
      <c r="B2837" s="44">
        <f>FiscalStart+(A2837-1)*7</f>
        <v/>
      </c>
      <c r="C2837">
        <f>TEXT(B2837,"mmm yyyy")</f>
        <v/>
      </c>
      <c r="D2837">
        <f>"Q"&amp;(INT((A2837-1)/13)+1)</f>
        <v/>
      </c>
      <c r="E2837" t="inlineStr">
        <is>
          <t>Specialty</t>
        </is>
      </c>
      <c r="F2837">
        <f>IFERROR(INDEX(ChFormat,MATCH(E2837,ChName,0)),"")</f>
        <v/>
      </c>
      <c r="G2837" t="inlineStr">
        <is>
          <t>MB</t>
        </is>
      </c>
      <c r="H2837">
        <f>IF(A2837&lt;=NWeeks,1,0)</f>
        <v/>
      </c>
      <c r="I2837">
        <f>INDEX(ChLaunch,MATCH(E2837,ChName,0))</f>
        <v/>
      </c>
      <c r="J2837">
        <f>INDEX(ChWeeksFull,MATCH(E2837,ChName,0))</f>
        <v/>
      </c>
      <c r="K2837">
        <f>INDEX(ChRamp,MATCH(E2837,ChName,0))</f>
        <v/>
      </c>
      <c r="L2837" s="45">
        <f>MIN(1,MAX(0,(A2837-I2837+1)*RampSpeed/J2837))</f>
        <v/>
      </c>
      <c r="M2837" s="45">
        <f>IF(A2837&lt;I2837,0,IF(K2837="S-curve",L2837*L2837*(3-2*L2837),L2837))</f>
        <v/>
      </c>
      <c r="N2837" s="45">
        <f>1+(INDEX(SeasonIdx,A2837)-1)*SeasonAmp</f>
        <v/>
      </c>
      <c r="O2837" s="45">
        <f>IFERROR(INDEX(PSPct,MATCH(E2837&amp;"|"&amp;G2837,PSKey,0)),0)</f>
        <v/>
      </c>
      <c r="P2837" s="46">
        <f>INDEX(ChDoorVel,MATCH(E2837,ChName,0))*CalibScalar*(1+VelocityUplift)</f>
        <v/>
      </c>
      <c r="Q2837" s="46" t="n">
        <v>0</v>
      </c>
      <c r="R2837" s="46">
        <f>P2837*O2837*M2837*N2837*H2837</f>
        <v/>
      </c>
      <c r="S2837" s="46">
        <f>R2837*INDEX(FmtCansPerCase,MATCH(F2837,FmtName,0))</f>
        <v/>
      </c>
      <c r="T2837" s="46">
        <f>S2837/INDEX(FmtCansPerPack,MATCH(F2837,FmtName,0))</f>
        <v/>
      </c>
      <c r="U2837" s="47">
        <f>INDEX(ChBaseCP,MATCH(E2837,ChName,0))*(1+INDEX(ProvMod,MATCH(G2837,ProvCode,0)))*(1+PriceIndex)</f>
        <v/>
      </c>
      <c r="V2837" s="47">
        <f>R2837*U2837*INDEX(FmtBlendedPriceIdx,MATCH(F2837,FmtName,0))</f>
        <v/>
      </c>
      <c r="W2837" s="47">
        <f>T2837*INDEX(ProvSRP,MATCH(G2837,ProvCode,0))*(1+PriceIndex)</f>
        <v/>
      </c>
      <c r="X2837" s="47">
        <f>IF(GrossBasis="Wholesale",V2837,W2837)</f>
        <v/>
      </c>
      <c r="Y2837" s="47">
        <f>R2837*INDEX(FmtBlendedCogs,MATCH(F2837,FmtName,0))</f>
        <v/>
      </c>
      <c r="Z2837" s="47">
        <f>X2837-Y2837</f>
        <v/>
      </c>
    </row>
    <row r="2838">
      <c r="A2838" t="n">
        <v>28</v>
      </c>
      <c r="B2838" s="44">
        <f>FiscalStart+(A2838-1)*7</f>
        <v/>
      </c>
      <c r="C2838">
        <f>TEXT(B2838,"mmm yyyy")</f>
        <v/>
      </c>
      <c r="D2838">
        <f>"Q"&amp;(INT((A2838-1)/13)+1)</f>
        <v/>
      </c>
      <c r="E2838" t="inlineStr">
        <is>
          <t>Specialty</t>
        </is>
      </c>
      <c r="F2838">
        <f>IFERROR(INDEX(ChFormat,MATCH(E2838,ChName,0)),"")</f>
        <v/>
      </c>
      <c r="G2838" t="inlineStr">
        <is>
          <t>MB</t>
        </is>
      </c>
      <c r="H2838">
        <f>IF(A2838&lt;=NWeeks,1,0)</f>
        <v/>
      </c>
      <c r="I2838">
        <f>INDEX(ChLaunch,MATCH(E2838,ChName,0))</f>
        <v/>
      </c>
      <c r="J2838">
        <f>INDEX(ChWeeksFull,MATCH(E2838,ChName,0))</f>
        <v/>
      </c>
      <c r="K2838">
        <f>INDEX(ChRamp,MATCH(E2838,ChName,0))</f>
        <v/>
      </c>
      <c r="L2838" s="45">
        <f>MIN(1,MAX(0,(A2838-I2838+1)*RampSpeed/J2838))</f>
        <v/>
      </c>
      <c r="M2838" s="45">
        <f>IF(A2838&lt;I2838,0,IF(K2838="S-curve",L2838*L2838*(3-2*L2838),L2838))</f>
        <v/>
      </c>
      <c r="N2838" s="45">
        <f>1+(INDEX(SeasonIdx,A2838)-1)*SeasonAmp</f>
        <v/>
      </c>
      <c r="O2838" s="45">
        <f>IFERROR(INDEX(PSPct,MATCH(E2838&amp;"|"&amp;G2838,PSKey,0)),0)</f>
        <v/>
      </c>
      <c r="P2838" s="46">
        <f>INDEX(ChDoorVel,MATCH(E2838,ChName,0))*CalibScalar*(1+VelocityUplift)</f>
        <v/>
      </c>
      <c r="Q2838" s="46" t="n">
        <v>0</v>
      </c>
      <c r="R2838" s="46">
        <f>P2838*O2838*M2838*N2838*H2838</f>
        <v/>
      </c>
      <c r="S2838" s="46">
        <f>R2838*INDEX(FmtCansPerCase,MATCH(F2838,FmtName,0))</f>
        <v/>
      </c>
      <c r="T2838" s="46">
        <f>S2838/INDEX(FmtCansPerPack,MATCH(F2838,FmtName,0))</f>
        <v/>
      </c>
      <c r="U2838" s="47">
        <f>INDEX(ChBaseCP,MATCH(E2838,ChName,0))*(1+INDEX(ProvMod,MATCH(G2838,ProvCode,0)))*(1+PriceIndex)</f>
        <v/>
      </c>
      <c r="V2838" s="47">
        <f>R2838*U2838*INDEX(FmtBlendedPriceIdx,MATCH(F2838,FmtName,0))</f>
        <v/>
      </c>
      <c r="W2838" s="47">
        <f>T2838*INDEX(ProvSRP,MATCH(G2838,ProvCode,0))*(1+PriceIndex)</f>
        <v/>
      </c>
      <c r="X2838" s="47">
        <f>IF(GrossBasis="Wholesale",V2838,W2838)</f>
        <v/>
      </c>
      <c r="Y2838" s="47">
        <f>R2838*INDEX(FmtBlendedCogs,MATCH(F2838,FmtName,0))</f>
        <v/>
      </c>
      <c r="Z2838" s="47">
        <f>X2838-Y2838</f>
        <v/>
      </c>
    </row>
    <row r="2839">
      <c r="A2839" t="n">
        <v>29</v>
      </c>
      <c r="B2839" s="44">
        <f>FiscalStart+(A2839-1)*7</f>
        <v/>
      </c>
      <c r="C2839">
        <f>TEXT(B2839,"mmm yyyy")</f>
        <v/>
      </c>
      <c r="D2839">
        <f>"Q"&amp;(INT((A2839-1)/13)+1)</f>
        <v/>
      </c>
      <c r="E2839" t="inlineStr">
        <is>
          <t>Specialty</t>
        </is>
      </c>
      <c r="F2839">
        <f>IFERROR(INDEX(ChFormat,MATCH(E2839,ChName,0)),"")</f>
        <v/>
      </c>
      <c r="G2839" t="inlineStr">
        <is>
          <t>MB</t>
        </is>
      </c>
      <c r="H2839">
        <f>IF(A2839&lt;=NWeeks,1,0)</f>
        <v/>
      </c>
      <c r="I2839">
        <f>INDEX(ChLaunch,MATCH(E2839,ChName,0))</f>
        <v/>
      </c>
      <c r="J2839">
        <f>INDEX(ChWeeksFull,MATCH(E2839,ChName,0))</f>
        <v/>
      </c>
      <c r="K2839">
        <f>INDEX(ChRamp,MATCH(E2839,ChName,0))</f>
        <v/>
      </c>
      <c r="L2839" s="45">
        <f>MIN(1,MAX(0,(A2839-I2839+1)*RampSpeed/J2839))</f>
        <v/>
      </c>
      <c r="M2839" s="45">
        <f>IF(A2839&lt;I2839,0,IF(K2839="S-curve",L2839*L2839*(3-2*L2839),L2839))</f>
        <v/>
      </c>
      <c r="N2839" s="45">
        <f>1+(INDEX(SeasonIdx,A2839)-1)*SeasonAmp</f>
        <v/>
      </c>
      <c r="O2839" s="45">
        <f>IFERROR(INDEX(PSPct,MATCH(E2839&amp;"|"&amp;G2839,PSKey,0)),0)</f>
        <v/>
      </c>
      <c r="P2839" s="46">
        <f>INDEX(ChDoorVel,MATCH(E2839,ChName,0))*CalibScalar*(1+VelocityUplift)</f>
        <v/>
      </c>
      <c r="Q2839" s="46" t="n">
        <v>0</v>
      </c>
      <c r="R2839" s="46">
        <f>P2839*O2839*M2839*N2839*H2839</f>
        <v/>
      </c>
      <c r="S2839" s="46">
        <f>R2839*INDEX(FmtCansPerCase,MATCH(F2839,FmtName,0))</f>
        <v/>
      </c>
      <c r="T2839" s="46">
        <f>S2839/INDEX(FmtCansPerPack,MATCH(F2839,FmtName,0))</f>
        <v/>
      </c>
      <c r="U2839" s="47">
        <f>INDEX(ChBaseCP,MATCH(E2839,ChName,0))*(1+INDEX(ProvMod,MATCH(G2839,ProvCode,0)))*(1+PriceIndex)</f>
        <v/>
      </c>
      <c r="V2839" s="47">
        <f>R2839*U2839*INDEX(FmtBlendedPriceIdx,MATCH(F2839,FmtName,0))</f>
        <v/>
      </c>
      <c r="W2839" s="47">
        <f>T2839*INDEX(ProvSRP,MATCH(G2839,ProvCode,0))*(1+PriceIndex)</f>
        <v/>
      </c>
      <c r="X2839" s="47">
        <f>IF(GrossBasis="Wholesale",V2839,W2839)</f>
        <v/>
      </c>
      <c r="Y2839" s="47">
        <f>R2839*INDEX(FmtBlendedCogs,MATCH(F2839,FmtName,0))</f>
        <v/>
      </c>
      <c r="Z2839" s="47">
        <f>X2839-Y2839</f>
        <v/>
      </c>
    </row>
    <row r="2840">
      <c r="A2840" t="n">
        <v>30</v>
      </c>
      <c r="B2840" s="44">
        <f>FiscalStart+(A2840-1)*7</f>
        <v/>
      </c>
      <c r="C2840">
        <f>TEXT(B2840,"mmm yyyy")</f>
        <v/>
      </c>
      <c r="D2840">
        <f>"Q"&amp;(INT((A2840-1)/13)+1)</f>
        <v/>
      </c>
      <c r="E2840" t="inlineStr">
        <is>
          <t>Specialty</t>
        </is>
      </c>
      <c r="F2840">
        <f>IFERROR(INDEX(ChFormat,MATCH(E2840,ChName,0)),"")</f>
        <v/>
      </c>
      <c r="G2840" t="inlineStr">
        <is>
          <t>MB</t>
        </is>
      </c>
      <c r="H2840">
        <f>IF(A2840&lt;=NWeeks,1,0)</f>
        <v/>
      </c>
      <c r="I2840">
        <f>INDEX(ChLaunch,MATCH(E2840,ChName,0))</f>
        <v/>
      </c>
      <c r="J2840">
        <f>INDEX(ChWeeksFull,MATCH(E2840,ChName,0))</f>
        <v/>
      </c>
      <c r="K2840">
        <f>INDEX(ChRamp,MATCH(E2840,ChName,0))</f>
        <v/>
      </c>
      <c r="L2840" s="45">
        <f>MIN(1,MAX(0,(A2840-I2840+1)*RampSpeed/J2840))</f>
        <v/>
      </c>
      <c r="M2840" s="45">
        <f>IF(A2840&lt;I2840,0,IF(K2840="S-curve",L2840*L2840*(3-2*L2840),L2840))</f>
        <v/>
      </c>
      <c r="N2840" s="45">
        <f>1+(INDEX(SeasonIdx,A2840)-1)*SeasonAmp</f>
        <v/>
      </c>
      <c r="O2840" s="45">
        <f>IFERROR(INDEX(PSPct,MATCH(E2840&amp;"|"&amp;G2840,PSKey,0)),0)</f>
        <v/>
      </c>
      <c r="P2840" s="46">
        <f>INDEX(ChDoorVel,MATCH(E2840,ChName,0))*CalibScalar*(1+VelocityUplift)</f>
        <v/>
      </c>
      <c r="Q2840" s="46" t="n">
        <v>0</v>
      </c>
      <c r="R2840" s="46">
        <f>P2840*O2840*M2840*N2840*H2840</f>
        <v/>
      </c>
      <c r="S2840" s="46">
        <f>R2840*INDEX(FmtCansPerCase,MATCH(F2840,FmtName,0))</f>
        <v/>
      </c>
      <c r="T2840" s="46">
        <f>S2840/INDEX(FmtCansPerPack,MATCH(F2840,FmtName,0))</f>
        <v/>
      </c>
      <c r="U2840" s="47">
        <f>INDEX(ChBaseCP,MATCH(E2840,ChName,0))*(1+INDEX(ProvMod,MATCH(G2840,ProvCode,0)))*(1+PriceIndex)</f>
        <v/>
      </c>
      <c r="V2840" s="47">
        <f>R2840*U2840*INDEX(FmtBlendedPriceIdx,MATCH(F2840,FmtName,0))</f>
        <v/>
      </c>
      <c r="W2840" s="47">
        <f>T2840*INDEX(ProvSRP,MATCH(G2840,ProvCode,0))*(1+PriceIndex)</f>
        <v/>
      </c>
      <c r="X2840" s="47">
        <f>IF(GrossBasis="Wholesale",V2840,W2840)</f>
        <v/>
      </c>
      <c r="Y2840" s="47">
        <f>R2840*INDEX(FmtBlendedCogs,MATCH(F2840,FmtName,0))</f>
        <v/>
      </c>
      <c r="Z2840" s="47">
        <f>X2840-Y2840</f>
        <v/>
      </c>
    </row>
    <row r="2841">
      <c r="A2841" t="n">
        <v>31</v>
      </c>
      <c r="B2841" s="44">
        <f>FiscalStart+(A2841-1)*7</f>
        <v/>
      </c>
      <c r="C2841">
        <f>TEXT(B2841,"mmm yyyy")</f>
        <v/>
      </c>
      <c r="D2841">
        <f>"Q"&amp;(INT((A2841-1)/13)+1)</f>
        <v/>
      </c>
      <c r="E2841" t="inlineStr">
        <is>
          <t>Specialty</t>
        </is>
      </c>
      <c r="F2841">
        <f>IFERROR(INDEX(ChFormat,MATCH(E2841,ChName,0)),"")</f>
        <v/>
      </c>
      <c r="G2841" t="inlineStr">
        <is>
          <t>MB</t>
        </is>
      </c>
      <c r="H2841">
        <f>IF(A2841&lt;=NWeeks,1,0)</f>
        <v/>
      </c>
      <c r="I2841">
        <f>INDEX(ChLaunch,MATCH(E2841,ChName,0))</f>
        <v/>
      </c>
      <c r="J2841">
        <f>INDEX(ChWeeksFull,MATCH(E2841,ChName,0))</f>
        <v/>
      </c>
      <c r="K2841">
        <f>INDEX(ChRamp,MATCH(E2841,ChName,0))</f>
        <v/>
      </c>
      <c r="L2841" s="45">
        <f>MIN(1,MAX(0,(A2841-I2841+1)*RampSpeed/J2841))</f>
        <v/>
      </c>
      <c r="M2841" s="45">
        <f>IF(A2841&lt;I2841,0,IF(K2841="S-curve",L2841*L2841*(3-2*L2841),L2841))</f>
        <v/>
      </c>
      <c r="N2841" s="45">
        <f>1+(INDEX(SeasonIdx,A2841)-1)*SeasonAmp</f>
        <v/>
      </c>
      <c r="O2841" s="45">
        <f>IFERROR(INDEX(PSPct,MATCH(E2841&amp;"|"&amp;G2841,PSKey,0)),0)</f>
        <v/>
      </c>
      <c r="P2841" s="46">
        <f>INDEX(ChDoorVel,MATCH(E2841,ChName,0))*CalibScalar*(1+VelocityUplift)</f>
        <v/>
      </c>
      <c r="Q2841" s="46" t="n">
        <v>0</v>
      </c>
      <c r="R2841" s="46">
        <f>P2841*O2841*M2841*N2841*H2841</f>
        <v/>
      </c>
      <c r="S2841" s="46">
        <f>R2841*INDEX(FmtCansPerCase,MATCH(F2841,FmtName,0))</f>
        <v/>
      </c>
      <c r="T2841" s="46">
        <f>S2841/INDEX(FmtCansPerPack,MATCH(F2841,FmtName,0))</f>
        <v/>
      </c>
      <c r="U2841" s="47">
        <f>INDEX(ChBaseCP,MATCH(E2841,ChName,0))*(1+INDEX(ProvMod,MATCH(G2841,ProvCode,0)))*(1+PriceIndex)</f>
        <v/>
      </c>
      <c r="V2841" s="47">
        <f>R2841*U2841*INDEX(FmtBlendedPriceIdx,MATCH(F2841,FmtName,0))</f>
        <v/>
      </c>
      <c r="W2841" s="47">
        <f>T2841*INDEX(ProvSRP,MATCH(G2841,ProvCode,0))*(1+PriceIndex)</f>
        <v/>
      </c>
      <c r="X2841" s="47">
        <f>IF(GrossBasis="Wholesale",V2841,W2841)</f>
        <v/>
      </c>
      <c r="Y2841" s="47">
        <f>R2841*INDEX(FmtBlendedCogs,MATCH(F2841,FmtName,0))</f>
        <v/>
      </c>
      <c r="Z2841" s="47">
        <f>X2841-Y2841</f>
        <v/>
      </c>
    </row>
    <row r="2842">
      <c r="A2842" t="n">
        <v>32</v>
      </c>
      <c r="B2842" s="44">
        <f>FiscalStart+(A2842-1)*7</f>
        <v/>
      </c>
      <c r="C2842">
        <f>TEXT(B2842,"mmm yyyy")</f>
        <v/>
      </c>
      <c r="D2842">
        <f>"Q"&amp;(INT((A2842-1)/13)+1)</f>
        <v/>
      </c>
      <c r="E2842" t="inlineStr">
        <is>
          <t>Specialty</t>
        </is>
      </c>
      <c r="F2842">
        <f>IFERROR(INDEX(ChFormat,MATCH(E2842,ChName,0)),"")</f>
        <v/>
      </c>
      <c r="G2842" t="inlineStr">
        <is>
          <t>MB</t>
        </is>
      </c>
      <c r="H2842">
        <f>IF(A2842&lt;=NWeeks,1,0)</f>
        <v/>
      </c>
      <c r="I2842">
        <f>INDEX(ChLaunch,MATCH(E2842,ChName,0))</f>
        <v/>
      </c>
      <c r="J2842">
        <f>INDEX(ChWeeksFull,MATCH(E2842,ChName,0))</f>
        <v/>
      </c>
      <c r="K2842">
        <f>INDEX(ChRamp,MATCH(E2842,ChName,0))</f>
        <v/>
      </c>
      <c r="L2842" s="45">
        <f>MIN(1,MAX(0,(A2842-I2842+1)*RampSpeed/J2842))</f>
        <v/>
      </c>
      <c r="M2842" s="45">
        <f>IF(A2842&lt;I2842,0,IF(K2842="S-curve",L2842*L2842*(3-2*L2842),L2842))</f>
        <v/>
      </c>
      <c r="N2842" s="45">
        <f>1+(INDEX(SeasonIdx,A2842)-1)*SeasonAmp</f>
        <v/>
      </c>
      <c r="O2842" s="45">
        <f>IFERROR(INDEX(PSPct,MATCH(E2842&amp;"|"&amp;G2842,PSKey,0)),0)</f>
        <v/>
      </c>
      <c r="P2842" s="46">
        <f>INDEX(ChDoorVel,MATCH(E2842,ChName,0))*CalibScalar*(1+VelocityUplift)</f>
        <v/>
      </c>
      <c r="Q2842" s="46" t="n">
        <v>0</v>
      </c>
      <c r="R2842" s="46">
        <f>P2842*O2842*M2842*N2842*H2842</f>
        <v/>
      </c>
      <c r="S2842" s="46">
        <f>R2842*INDEX(FmtCansPerCase,MATCH(F2842,FmtName,0))</f>
        <v/>
      </c>
      <c r="T2842" s="46">
        <f>S2842/INDEX(FmtCansPerPack,MATCH(F2842,FmtName,0))</f>
        <v/>
      </c>
      <c r="U2842" s="47">
        <f>INDEX(ChBaseCP,MATCH(E2842,ChName,0))*(1+INDEX(ProvMod,MATCH(G2842,ProvCode,0)))*(1+PriceIndex)</f>
        <v/>
      </c>
      <c r="V2842" s="47">
        <f>R2842*U2842*INDEX(FmtBlendedPriceIdx,MATCH(F2842,FmtName,0))</f>
        <v/>
      </c>
      <c r="W2842" s="47">
        <f>T2842*INDEX(ProvSRP,MATCH(G2842,ProvCode,0))*(1+PriceIndex)</f>
        <v/>
      </c>
      <c r="X2842" s="47">
        <f>IF(GrossBasis="Wholesale",V2842,W2842)</f>
        <v/>
      </c>
      <c r="Y2842" s="47">
        <f>R2842*INDEX(FmtBlendedCogs,MATCH(F2842,FmtName,0))</f>
        <v/>
      </c>
      <c r="Z2842" s="47">
        <f>X2842-Y2842</f>
        <v/>
      </c>
    </row>
    <row r="2843">
      <c r="A2843" t="n">
        <v>33</v>
      </c>
      <c r="B2843" s="44">
        <f>FiscalStart+(A2843-1)*7</f>
        <v/>
      </c>
      <c r="C2843">
        <f>TEXT(B2843,"mmm yyyy")</f>
        <v/>
      </c>
      <c r="D2843">
        <f>"Q"&amp;(INT((A2843-1)/13)+1)</f>
        <v/>
      </c>
      <c r="E2843" t="inlineStr">
        <is>
          <t>Specialty</t>
        </is>
      </c>
      <c r="F2843">
        <f>IFERROR(INDEX(ChFormat,MATCH(E2843,ChName,0)),"")</f>
        <v/>
      </c>
      <c r="G2843" t="inlineStr">
        <is>
          <t>MB</t>
        </is>
      </c>
      <c r="H2843">
        <f>IF(A2843&lt;=NWeeks,1,0)</f>
        <v/>
      </c>
      <c r="I2843">
        <f>INDEX(ChLaunch,MATCH(E2843,ChName,0))</f>
        <v/>
      </c>
      <c r="J2843">
        <f>INDEX(ChWeeksFull,MATCH(E2843,ChName,0))</f>
        <v/>
      </c>
      <c r="K2843">
        <f>INDEX(ChRamp,MATCH(E2843,ChName,0))</f>
        <v/>
      </c>
      <c r="L2843" s="45">
        <f>MIN(1,MAX(0,(A2843-I2843+1)*RampSpeed/J2843))</f>
        <v/>
      </c>
      <c r="M2843" s="45">
        <f>IF(A2843&lt;I2843,0,IF(K2843="S-curve",L2843*L2843*(3-2*L2843),L2843))</f>
        <v/>
      </c>
      <c r="N2843" s="45">
        <f>1+(INDEX(SeasonIdx,A2843)-1)*SeasonAmp</f>
        <v/>
      </c>
      <c r="O2843" s="45">
        <f>IFERROR(INDEX(PSPct,MATCH(E2843&amp;"|"&amp;G2843,PSKey,0)),0)</f>
        <v/>
      </c>
      <c r="P2843" s="46">
        <f>INDEX(ChDoorVel,MATCH(E2843,ChName,0))*CalibScalar*(1+VelocityUplift)</f>
        <v/>
      </c>
      <c r="Q2843" s="46" t="n">
        <v>0</v>
      </c>
      <c r="R2843" s="46">
        <f>P2843*O2843*M2843*N2843*H2843</f>
        <v/>
      </c>
      <c r="S2843" s="46">
        <f>R2843*INDEX(FmtCansPerCase,MATCH(F2843,FmtName,0))</f>
        <v/>
      </c>
      <c r="T2843" s="46">
        <f>S2843/INDEX(FmtCansPerPack,MATCH(F2843,FmtName,0))</f>
        <v/>
      </c>
      <c r="U2843" s="47">
        <f>INDEX(ChBaseCP,MATCH(E2843,ChName,0))*(1+INDEX(ProvMod,MATCH(G2843,ProvCode,0)))*(1+PriceIndex)</f>
        <v/>
      </c>
      <c r="V2843" s="47">
        <f>R2843*U2843*INDEX(FmtBlendedPriceIdx,MATCH(F2843,FmtName,0))</f>
        <v/>
      </c>
      <c r="W2843" s="47">
        <f>T2843*INDEX(ProvSRP,MATCH(G2843,ProvCode,0))*(1+PriceIndex)</f>
        <v/>
      </c>
      <c r="X2843" s="47">
        <f>IF(GrossBasis="Wholesale",V2843,W2843)</f>
        <v/>
      </c>
      <c r="Y2843" s="47">
        <f>R2843*INDEX(FmtBlendedCogs,MATCH(F2843,FmtName,0))</f>
        <v/>
      </c>
      <c r="Z2843" s="47">
        <f>X2843-Y2843</f>
        <v/>
      </c>
    </row>
    <row r="2844">
      <c r="A2844" t="n">
        <v>34</v>
      </c>
      <c r="B2844" s="44">
        <f>FiscalStart+(A2844-1)*7</f>
        <v/>
      </c>
      <c r="C2844">
        <f>TEXT(B2844,"mmm yyyy")</f>
        <v/>
      </c>
      <c r="D2844">
        <f>"Q"&amp;(INT((A2844-1)/13)+1)</f>
        <v/>
      </c>
      <c r="E2844" t="inlineStr">
        <is>
          <t>Specialty</t>
        </is>
      </c>
      <c r="F2844">
        <f>IFERROR(INDEX(ChFormat,MATCH(E2844,ChName,0)),"")</f>
        <v/>
      </c>
      <c r="G2844" t="inlineStr">
        <is>
          <t>MB</t>
        </is>
      </c>
      <c r="H2844">
        <f>IF(A2844&lt;=NWeeks,1,0)</f>
        <v/>
      </c>
      <c r="I2844">
        <f>INDEX(ChLaunch,MATCH(E2844,ChName,0))</f>
        <v/>
      </c>
      <c r="J2844">
        <f>INDEX(ChWeeksFull,MATCH(E2844,ChName,0))</f>
        <v/>
      </c>
      <c r="K2844">
        <f>INDEX(ChRamp,MATCH(E2844,ChName,0))</f>
        <v/>
      </c>
      <c r="L2844" s="45">
        <f>MIN(1,MAX(0,(A2844-I2844+1)*RampSpeed/J2844))</f>
        <v/>
      </c>
      <c r="M2844" s="45">
        <f>IF(A2844&lt;I2844,0,IF(K2844="S-curve",L2844*L2844*(3-2*L2844),L2844))</f>
        <v/>
      </c>
      <c r="N2844" s="45">
        <f>1+(INDEX(SeasonIdx,A2844)-1)*SeasonAmp</f>
        <v/>
      </c>
      <c r="O2844" s="45">
        <f>IFERROR(INDEX(PSPct,MATCH(E2844&amp;"|"&amp;G2844,PSKey,0)),0)</f>
        <v/>
      </c>
      <c r="P2844" s="46">
        <f>INDEX(ChDoorVel,MATCH(E2844,ChName,0))*CalibScalar*(1+VelocityUplift)</f>
        <v/>
      </c>
      <c r="Q2844" s="46" t="n">
        <v>0</v>
      </c>
      <c r="R2844" s="46">
        <f>P2844*O2844*M2844*N2844*H2844</f>
        <v/>
      </c>
      <c r="S2844" s="46">
        <f>R2844*INDEX(FmtCansPerCase,MATCH(F2844,FmtName,0))</f>
        <v/>
      </c>
      <c r="T2844" s="46">
        <f>S2844/INDEX(FmtCansPerPack,MATCH(F2844,FmtName,0))</f>
        <v/>
      </c>
      <c r="U2844" s="47">
        <f>INDEX(ChBaseCP,MATCH(E2844,ChName,0))*(1+INDEX(ProvMod,MATCH(G2844,ProvCode,0)))*(1+PriceIndex)</f>
        <v/>
      </c>
      <c r="V2844" s="47">
        <f>R2844*U2844*INDEX(FmtBlendedPriceIdx,MATCH(F2844,FmtName,0))</f>
        <v/>
      </c>
      <c r="W2844" s="47">
        <f>T2844*INDEX(ProvSRP,MATCH(G2844,ProvCode,0))*(1+PriceIndex)</f>
        <v/>
      </c>
      <c r="X2844" s="47">
        <f>IF(GrossBasis="Wholesale",V2844,W2844)</f>
        <v/>
      </c>
      <c r="Y2844" s="47">
        <f>R2844*INDEX(FmtBlendedCogs,MATCH(F2844,FmtName,0))</f>
        <v/>
      </c>
      <c r="Z2844" s="47">
        <f>X2844-Y2844</f>
        <v/>
      </c>
    </row>
    <row r="2845">
      <c r="A2845" t="n">
        <v>35</v>
      </c>
      <c r="B2845" s="44">
        <f>FiscalStart+(A2845-1)*7</f>
        <v/>
      </c>
      <c r="C2845">
        <f>TEXT(B2845,"mmm yyyy")</f>
        <v/>
      </c>
      <c r="D2845">
        <f>"Q"&amp;(INT((A2845-1)/13)+1)</f>
        <v/>
      </c>
      <c r="E2845" t="inlineStr">
        <is>
          <t>Specialty</t>
        </is>
      </c>
      <c r="F2845">
        <f>IFERROR(INDEX(ChFormat,MATCH(E2845,ChName,0)),"")</f>
        <v/>
      </c>
      <c r="G2845" t="inlineStr">
        <is>
          <t>MB</t>
        </is>
      </c>
      <c r="H2845">
        <f>IF(A2845&lt;=NWeeks,1,0)</f>
        <v/>
      </c>
      <c r="I2845">
        <f>INDEX(ChLaunch,MATCH(E2845,ChName,0))</f>
        <v/>
      </c>
      <c r="J2845">
        <f>INDEX(ChWeeksFull,MATCH(E2845,ChName,0))</f>
        <v/>
      </c>
      <c r="K2845">
        <f>INDEX(ChRamp,MATCH(E2845,ChName,0))</f>
        <v/>
      </c>
      <c r="L2845" s="45">
        <f>MIN(1,MAX(0,(A2845-I2845+1)*RampSpeed/J2845))</f>
        <v/>
      </c>
      <c r="M2845" s="45">
        <f>IF(A2845&lt;I2845,0,IF(K2845="S-curve",L2845*L2845*(3-2*L2845),L2845))</f>
        <v/>
      </c>
      <c r="N2845" s="45">
        <f>1+(INDEX(SeasonIdx,A2845)-1)*SeasonAmp</f>
        <v/>
      </c>
      <c r="O2845" s="45">
        <f>IFERROR(INDEX(PSPct,MATCH(E2845&amp;"|"&amp;G2845,PSKey,0)),0)</f>
        <v/>
      </c>
      <c r="P2845" s="46">
        <f>INDEX(ChDoorVel,MATCH(E2845,ChName,0))*CalibScalar*(1+VelocityUplift)</f>
        <v/>
      </c>
      <c r="Q2845" s="46" t="n">
        <v>0</v>
      </c>
      <c r="R2845" s="46">
        <f>P2845*O2845*M2845*N2845*H2845</f>
        <v/>
      </c>
      <c r="S2845" s="46">
        <f>R2845*INDEX(FmtCansPerCase,MATCH(F2845,FmtName,0))</f>
        <v/>
      </c>
      <c r="T2845" s="46">
        <f>S2845/INDEX(FmtCansPerPack,MATCH(F2845,FmtName,0))</f>
        <v/>
      </c>
      <c r="U2845" s="47">
        <f>INDEX(ChBaseCP,MATCH(E2845,ChName,0))*(1+INDEX(ProvMod,MATCH(G2845,ProvCode,0)))*(1+PriceIndex)</f>
        <v/>
      </c>
      <c r="V2845" s="47">
        <f>R2845*U2845*INDEX(FmtBlendedPriceIdx,MATCH(F2845,FmtName,0))</f>
        <v/>
      </c>
      <c r="W2845" s="47">
        <f>T2845*INDEX(ProvSRP,MATCH(G2845,ProvCode,0))*(1+PriceIndex)</f>
        <v/>
      </c>
      <c r="X2845" s="47">
        <f>IF(GrossBasis="Wholesale",V2845,W2845)</f>
        <v/>
      </c>
      <c r="Y2845" s="47">
        <f>R2845*INDEX(FmtBlendedCogs,MATCH(F2845,FmtName,0))</f>
        <v/>
      </c>
      <c r="Z2845" s="47">
        <f>X2845-Y2845</f>
        <v/>
      </c>
    </row>
    <row r="2846">
      <c r="A2846" t="n">
        <v>36</v>
      </c>
      <c r="B2846" s="44">
        <f>FiscalStart+(A2846-1)*7</f>
        <v/>
      </c>
      <c r="C2846">
        <f>TEXT(B2846,"mmm yyyy")</f>
        <v/>
      </c>
      <c r="D2846">
        <f>"Q"&amp;(INT((A2846-1)/13)+1)</f>
        <v/>
      </c>
      <c r="E2846" t="inlineStr">
        <is>
          <t>Specialty</t>
        </is>
      </c>
      <c r="F2846">
        <f>IFERROR(INDEX(ChFormat,MATCH(E2846,ChName,0)),"")</f>
        <v/>
      </c>
      <c r="G2846" t="inlineStr">
        <is>
          <t>MB</t>
        </is>
      </c>
      <c r="H2846">
        <f>IF(A2846&lt;=NWeeks,1,0)</f>
        <v/>
      </c>
      <c r="I2846">
        <f>INDEX(ChLaunch,MATCH(E2846,ChName,0))</f>
        <v/>
      </c>
      <c r="J2846">
        <f>INDEX(ChWeeksFull,MATCH(E2846,ChName,0))</f>
        <v/>
      </c>
      <c r="K2846">
        <f>INDEX(ChRamp,MATCH(E2846,ChName,0))</f>
        <v/>
      </c>
      <c r="L2846" s="45">
        <f>MIN(1,MAX(0,(A2846-I2846+1)*RampSpeed/J2846))</f>
        <v/>
      </c>
      <c r="M2846" s="45">
        <f>IF(A2846&lt;I2846,0,IF(K2846="S-curve",L2846*L2846*(3-2*L2846),L2846))</f>
        <v/>
      </c>
      <c r="N2846" s="45">
        <f>1+(INDEX(SeasonIdx,A2846)-1)*SeasonAmp</f>
        <v/>
      </c>
      <c r="O2846" s="45">
        <f>IFERROR(INDEX(PSPct,MATCH(E2846&amp;"|"&amp;G2846,PSKey,0)),0)</f>
        <v/>
      </c>
      <c r="P2846" s="46">
        <f>INDEX(ChDoorVel,MATCH(E2846,ChName,0))*CalibScalar*(1+VelocityUplift)</f>
        <v/>
      </c>
      <c r="Q2846" s="46" t="n">
        <v>0</v>
      </c>
      <c r="R2846" s="46">
        <f>P2846*O2846*M2846*N2846*H2846</f>
        <v/>
      </c>
      <c r="S2846" s="46">
        <f>R2846*INDEX(FmtCansPerCase,MATCH(F2846,FmtName,0))</f>
        <v/>
      </c>
      <c r="T2846" s="46">
        <f>S2846/INDEX(FmtCansPerPack,MATCH(F2846,FmtName,0))</f>
        <v/>
      </c>
      <c r="U2846" s="47">
        <f>INDEX(ChBaseCP,MATCH(E2846,ChName,0))*(1+INDEX(ProvMod,MATCH(G2846,ProvCode,0)))*(1+PriceIndex)</f>
        <v/>
      </c>
      <c r="V2846" s="47">
        <f>R2846*U2846*INDEX(FmtBlendedPriceIdx,MATCH(F2846,FmtName,0))</f>
        <v/>
      </c>
      <c r="W2846" s="47">
        <f>T2846*INDEX(ProvSRP,MATCH(G2846,ProvCode,0))*(1+PriceIndex)</f>
        <v/>
      </c>
      <c r="X2846" s="47">
        <f>IF(GrossBasis="Wholesale",V2846,W2846)</f>
        <v/>
      </c>
      <c r="Y2846" s="47">
        <f>R2846*INDEX(FmtBlendedCogs,MATCH(F2846,FmtName,0))</f>
        <v/>
      </c>
      <c r="Z2846" s="47">
        <f>X2846-Y2846</f>
        <v/>
      </c>
    </row>
    <row r="2847">
      <c r="A2847" t="n">
        <v>37</v>
      </c>
      <c r="B2847" s="44">
        <f>FiscalStart+(A2847-1)*7</f>
        <v/>
      </c>
      <c r="C2847">
        <f>TEXT(B2847,"mmm yyyy")</f>
        <v/>
      </c>
      <c r="D2847">
        <f>"Q"&amp;(INT((A2847-1)/13)+1)</f>
        <v/>
      </c>
      <c r="E2847" t="inlineStr">
        <is>
          <t>Specialty</t>
        </is>
      </c>
      <c r="F2847">
        <f>IFERROR(INDEX(ChFormat,MATCH(E2847,ChName,0)),"")</f>
        <v/>
      </c>
      <c r="G2847" t="inlineStr">
        <is>
          <t>MB</t>
        </is>
      </c>
      <c r="H2847">
        <f>IF(A2847&lt;=NWeeks,1,0)</f>
        <v/>
      </c>
      <c r="I2847">
        <f>INDEX(ChLaunch,MATCH(E2847,ChName,0))</f>
        <v/>
      </c>
      <c r="J2847">
        <f>INDEX(ChWeeksFull,MATCH(E2847,ChName,0))</f>
        <v/>
      </c>
      <c r="K2847">
        <f>INDEX(ChRamp,MATCH(E2847,ChName,0))</f>
        <v/>
      </c>
      <c r="L2847" s="45">
        <f>MIN(1,MAX(0,(A2847-I2847+1)*RampSpeed/J2847))</f>
        <v/>
      </c>
      <c r="M2847" s="45">
        <f>IF(A2847&lt;I2847,0,IF(K2847="S-curve",L2847*L2847*(3-2*L2847),L2847))</f>
        <v/>
      </c>
      <c r="N2847" s="45">
        <f>1+(INDEX(SeasonIdx,A2847)-1)*SeasonAmp</f>
        <v/>
      </c>
      <c r="O2847" s="45">
        <f>IFERROR(INDEX(PSPct,MATCH(E2847&amp;"|"&amp;G2847,PSKey,0)),0)</f>
        <v/>
      </c>
      <c r="P2847" s="46">
        <f>INDEX(ChDoorVel,MATCH(E2847,ChName,0))*CalibScalar*(1+VelocityUplift)</f>
        <v/>
      </c>
      <c r="Q2847" s="46" t="n">
        <v>0</v>
      </c>
      <c r="R2847" s="46">
        <f>P2847*O2847*M2847*N2847*H2847</f>
        <v/>
      </c>
      <c r="S2847" s="46">
        <f>R2847*INDEX(FmtCansPerCase,MATCH(F2847,FmtName,0))</f>
        <v/>
      </c>
      <c r="T2847" s="46">
        <f>S2847/INDEX(FmtCansPerPack,MATCH(F2847,FmtName,0))</f>
        <v/>
      </c>
      <c r="U2847" s="47">
        <f>INDEX(ChBaseCP,MATCH(E2847,ChName,0))*(1+INDEX(ProvMod,MATCH(G2847,ProvCode,0)))*(1+PriceIndex)</f>
        <v/>
      </c>
      <c r="V2847" s="47">
        <f>R2847*U2847*INDEX(FmtBlendedPriceIdx,MATCH(F2847,FmtName,0))</f>
        <v/>
      </c>
      <c r="W2847" s="47">
        <f>T2847*INDEX(ProvSRP,MATCH(G2847,ProvCode,0))*(1+PriceIndex)</f>
        <v/>
      </c>
      <c r="X2847" s="47">
        <f>IF(GrossBasis="Wholesale",V2847,W2847)</f>
        <v/>
      </c>
      <c r="Y2847" s="47">
        <f>R2847*INDEX(FmtBlendedCogs,MATCH(F2847,FmtName,0))</f>
        <v/>
      </c>
      <c r="Z2847" s="47">
        <f>X2847-Y2847</f>
        <v/>
      </c>
    </row>
    <row r="2848">
      <c r="A2848" t="n">
        <v>38</v>
      </c>
      <c r="B2848" s="44">
        <f>FiscalStart+(A2848-1)*7</f>
        <v/>
      </c>
      <c r="C2848">
        <f>TEXT(B2848,"mmm yyyy")</f>
        <v/>
      </c>
      <c r="D2848">
        <f>"Q"&amp;(INT((A2848-1)/13)+1)</f>
        <v/>
      </c>
      <c r="E2848" t="inlineStr">
        <is>
          <t>Specialty</t>
        </is>
      </c>
      <c r="F2848">
        <f>IFERROR(INDEX(ChFormat,MATCH(E2848,ChName,0)),"")</f>
        <v/>
      </c>
      <c r="G2848" t="inlineStr">
        <is>
          <t>MB</t>
        </is>
      </c>
      <c r="H2848">
        <f>IF(A2848&lt;=NWeeks,1,0)</f>
        <v/>
      </c>
      <c r="I2848">
        <f>INDEX(ChLaunch,MATCH(E2848,ChName,0))</f>
        <v/>
      </c>
      <c r="J2848">
        <f>INDEX(ChWeeksFull,MATCH(E2848,ChName,0))</f>
        <v/>
      </c>
      <c r="K2848">
        <f>INDEX(ChRamp,MATCH(E2848,ChName,0))</f>
        <v/>
      </c>
      <c r="L2848" s="45">
        <f>MIN(1,MAX(0,(A2848-I2848+1)*RampSpeed/J2848))</f>
        <v/>
      </c>
      <c r="M2848" s="45">
        <f>IF(A2848&lt;I2848,0,IF(K2848="S-curve",L2848*L2848*(3-2*L2848),L2848))</f>
        <v/>
      </c>
      <c r="N2848" s="45">
        <f>1+(INDEX(SeasonIdx,A2848)-1)*SeasonAmp</f>
        <v/>
      </c>
      <c r="O2848" s="45">
        <f>IFERROR(INDEX(PSPct,MATCH(E2848&amp;"|"&amp;G2848,PSKey,0)),0)</f>
        <v/>
      </c>
      <c r="P2848" s="46">
        <f>INDEX(ChDoorVel,MATCH(E2848,ChName,0))*CalibScalar*(1+VelocityUplift)</f>
        <v/>
      </c>
      <c r="Q2848" s="46" t="n">
        <v>0</v>
      </c>
      <c r="R2848" s="46">
        <f>P2848*O2848*M2848*N2848*H2848</f>
        <v/>
      </c>
      <c r="S2848" s="46">
        <f>R2848*INDEX(FmtCansPerCase,MATCH(F2848,FmtName,0))</f>
        <v/>
      </c>
      <c r="T2848" s="46">
        <f>S2848/INDEX(FmtCansPerPack,MATCH(F2848,FmtName,0))</f>
        <v/>
      </c>
      <c r="U2848" s="47">
        <f>INDEX(ChBaseCP,MATCH(E2848,ChName,0))*(1+INDEX(ProvMod,MATCH(G2848,ProvCode,0)))*(1+PriceIndex)</f>
        <v/>
      </c>
      <c r="V2848" s="47">
        <f>R2848*U2848*INDEX(FmtBlendedPriceIdx,MATCH(F2848,FmtName,0))</f>
        <v/>
      </c>
      <c r="W2848" s="47">
        <f>T2848*INDEX(ProvSRP,MATCH(G2848,ProvCode,0))*(1+PriceIndex)</f>
        <v/>
      </c>
      <c r="X2848" s="47">
        <f>IF(GrossBasis="Wholesale",V2848,W2848)</f>
        <v/>
      </c>
      <c r="Y2848" s="47">
        <f>R2848*INDEX(FmtBlendedCogs,MATCH(F2848,FmtName,0))</f>
        <v/>
      </c>
      <c r="Z2848" s="47">
        <f>X2848-Y2848</f>
        <v/>
      </c>
    </row>
    <row r="2849">
      <c r="A2849" t="n">
        <v>39</v>
      </c>
      <c r="B2849" s="44">
        <f>FiscalStart+(A2849-1)*7</f>
        <v/>
      </c>
      <c r="C2849">
        <f>TEXT(B2849,"mmm yyyy")</f>
        <v/>
      </c>
      <c r="D2849">
        <f>"Q"&amp;(INT((A2849-1)/13)+1)</f>
        <v/>
      </c>
      <c r="E2849" t="inlineStr">
        <is>
          <t>Specialty</t>
        </is>
      </c>
      <c r="F2849">
        <f>IFERROR(INDEX(ChFormat,MATCH(E2849,ChName,0)),"")</f>
        <v/>
      </c>
      <c r="G2849" t="inlineStr">
        <is>
          <t>MB</t>
        </is>
      </c>
      <c r="H2849">
        <f>IF(A2849&lt;=NWeeks,1,0)</f>
        <v/>
      </c>
      <c r="I2849">
        <f>INDEX(ChLaunch,MATCH(E2849,ChName,0))</f>
        <v/>
      </c>
      <c r="J2849">
        <f>INDEX(ChWeeksFull,MATCH(E2849,ChName,0))</f>
        <v/>
      </c>
      <c r="K2849">
        <f>INDEX(ChRamp,MATCH(E2849,ChName,0))</f>
        <v/>
      </c>
      <c r="L2849" s="45">
        <f>MIN(1,MAX(0,(A2849-I2849+1)*RampSpeed/J2849))</f>
        <v/>
      </c>
      <c r="M2849" s="45">
        <f>IF(A2849&lt;I2849,0,IF(K2849="S-curve",L2849*L2849*(3-2*L2849),L2849))</f>
        <v/>
      </c>
      <c r="N2849" s="45">
        <f>1+(INDEX(SeasonIdx,A2849)-1)*SeasonAmp</f>
        <v/>
      </c>
      <c r="O2849" s="45">
        <f>IFERROR(INDEX(PSPct,MATCH(E2849&amp;"|"&amp;G2849,PSKey,0)),0)</f>
        <v/>
      </c>
      <c r="P2849" s="46">
        <f>INDEX(ChDoorVel,MATCH(E2849,ChName,0))*CalibScalar*(1+VelocityUplift)</f>
        <v/>
      </c>
      <c r="Q2849" s="46" t="n">
        <v>0</v>
      </c>
      <c r="R2849" s="46">
        <f>P2849*O2849*M2849*N2849*H2849</f>
        <v/>
      </c>
      <c r="S2849" s="46">
        <f>R2849*INDEX(FmtCansPerCase,MATCH(F2849,FmtName,0))</f>
        <v/>
      </c>
      <c r="T2849" s="46">
        <f>S2849/INDEX(FmtCansPerPack,MATCH(F2849,FmtName,0))</f>
        <v/>
      </c>
      <c r="U2849" s="47">
        <f>INDEX(ChBaseCP,MATCH(E2849,ChName,0))*(1+INDEX(ProvMod,MATCH(G2849,ProvCode,0)))*(1+PriceIndex)</f>
        <v/>
      </c>
      <c r="V2849" s="47">
        <f>R2849*U2849*INDEX(FmtBlendedPriceIdx,MATCH(F2849,FmtName,0))</f>
        <v/>
      </c>
      <c r="W2849" s="47">
        <f>T2849*INDEX(ProvSRP,MATCH(G2849,ProvCode,0))*(1+PriceIndex)</f>
        <v/>
      </c>
      <c r="X2849" s="47">
        <f>IF(GrossBasis="Wholesale",V2849,W2849)</f>
        <v/>
      </c>
      <c r="Y2849" s="47">
        <f>R2849*INDEX(FmtBlendedCogs,MATCH(F2849,FmtName,0))</f>
        <v/>
      </c>
      <c r="Z2849" s="47">
        <f>X2849-Y2849</f>
        <v/>
      </c>
    </row>
    <row r="2850">
      <c r="A2850" t="n">
        <v>40</v>
      </c>
      <c r="B2850" s="44">
        <f>FiscalStart+(A2850-1)*7</f>
        <v/>
      </c>
      <c r="C2850">
        <f>TEXT(B2850,"mmm yyyy")</f>
        <v/>
      </c>
      <c r="D2850">
        <f>"Q"&amp;(INT((A2850-1)/13)+1)</f>
        <v/>
      </c>
      <c r="E2850" t="inlineStr">
        <is>
          <t>Specialty</t>
        </is>
      </c>
      <c r="F2850">
        <f>IFERROR(INDEX(ChFormat,MATCH(E2850,ChName,0)),"")</f>
        <v/>
      </c>
      <c r="G2850" t="inlineStr">
        <is>
          <t>MB</t>
        </is>
      </c>
      <c r="H2850">
        <f>IF(A2850&lt;=NWeeks,1,0)</f>
        <v/>
      </c>
      <c r="I2850">
        <f>INDEX(ChLaunch,MATCH(E2850,ChName,0))</f>
        <v/>
      </c>
      <c r="J2850">
        <f>INDEX(ChWeeksFull,MATCH(E2850,ChName,0))</f>
        <v/>
      </c>
      <c r="K2850">
        <f>INDEX(ChRamp,MATCH(E2850,ChName,0))</f>
        <v/>
      </c>
      <c r="L2850" s="45">
        <f>MIN(1,MAX(0,(A2850-I2850+1)*RampSpeed/J2850))</f>
        <v/>
      </c>
      <c r="M2850" s="45">
        <f>IF(A2850&lt;I2850,0,IF(K2850="S-curve",L2850*L2850*(3-2*L2850),L2850))</f>
        <v/>
      </c>
      <c r="N2850" s="45">
        <f>1+(INDEX(SeasonIdx,A2850)-1)*SeasonAmp</f>
        <v/>
      </c>
      <c r="O2850" s="45">
        <f>IFERROR(INDEX(PSPct,MATCH(E2850&amp;"|"&amp;G2850,PSKey,0)),0)</f>
        <v/>
      </c>
      <c r="P2850" s="46">
        <f>INDEX(ChDoorVel,MATCH(E2850,ChName,0))*CalibScalar*(1+VelocityUplift)</f>
        <v/>
      </c>
      <c r="Q2850" s="46" t="n">
        <v>0</v>
      </c>
      <c r="R2850" s="46">
        <f>P2850*O2850*M2850*N2850*H2850</f>
        <v/>
      </c>
      <c r="S2850" s="46">
        <f>R2850*INDEX(FmtCansPerCase,MATCH(F2850,FmtName,0))</f>
        <v/>
      </c>
      <c r="T2850" s="46">
        <f>S2850/INDEX(FmtCansPerPack,MATCH(F2850,FmtName,0))</f>
        <v/>
      </c>
      <c r="U2850" s="47">
        <f>INDEX(ChBaseCP,MATCH(E2850,ChName,0))*(1+INDEX(ProvMod,MATCH(G2850,ProvCode,0)))*(1+PriceIndex)</f>
        <v/>
      </c>
      <c r="V2850" s="47">
        <f>R2850*U2850*INDEX(FmtBlendedPriceIdx,MATCH(F2850,FmtName,0))</f>
        <v/>
      </c>
      <c r="W2850" s="47">
        <f>T2850*INDEX(ProvSRP,MATCH(G2850,ProvCode,0))*(1+PriceIndex)</f>
        <v/>
      </c>
      <c r="X2850" s="47">
        <f>IF(GrossBasis="Wholesale",V2850,W2850)</f>
        <v/>
      </c>
      <c r="Y2850" s="47">
        <f>R2850*INDEX(FmtBlendedCogs,MATCH(F2850,FmtName,0))</f>
        <v/>
      </c>
      <c r="Z2850" s="47">
        <f>X2850-Y2850</f>
        <v/>
      </c>
    </row>
    <row r="2851">
      <c r="A2851" t="n">
        <v>41</v>
      </c>
      <c r="B2851" s="44">
        <f>FiscalStart+(A2851-1)*7</f>
        <v/>
      </c>
      <c r="C2851">
        <f>TEXT(B2851,"mmm yyyy")</f>
        <v/>
      </c>
      <c r="D2851">
        <f>"Q"&amp;(INT((A2851-1)/13)+1)</f>
        <v/>
      </c>
      <c r="E2851" t="inlineStr">
        <is>
          <t>Specialty</t>
        </is>
      </c>
      <c r="F2851">
        <f>IFERROR(INDEX(ChFormat,MATCH(E2851,ChName,0)),"")</f>
        <v/>
      </c>
      <c r="G2851" t="inlineStr">
        <is>
          <t>MB</t>
        </is>
      </c>
      <c r="H2851">
        <f>IF(A2851&lt;=NWeeks,1,0)</f>
        <v/>
      </c>
      <c r="I2851">
        <f>INDEX(ChLaunch,MATCH(E2851,ChName,0))</f>
        <v/>
      </c>
      <c r="J2851">
        <f>INDEX(ChWeeksFull,MATCH(E2851,ChName,0))</f>
        <v/>
      </c>
      <c r="K2851">
        <f>INDEX(ChRamp,MATCH(E2851,ChName,0))</f>
        <v/>
      </c>
      <c r="L2851" s="45">
        <f>MIN(1,MAX(0,(A2851-I2851+1)*RampSpeed/J2851))</f>
        <v/>
      </c>
      <c r="M2851" s="45">
        <f>IF(A2851&lt;I2851,0,IF(K2851="S-curve",L2851*L2851*(3-2*L2851),L2851))</f>
        <v/>
      </c>
      <c r="N2851" s="45">
        <f>1+(INDEX(SeasonIdx,A2851)-1)*SeasonAmp</f>
        <v/>
      </c>
      <c r="O2851" s="45">
        <f>IFERROR(INDEX(PSPct,MATCH(E2851&amp;"|"&amp;G2851,PSKey,0)),0)</f>
        <v/>
      </c>
      <c r="P2851" s="46">
        <f>INDEX(ChDoorVel,MATCH(E2851,ChName,0))*CalibScalar*(1+VelocityUplift)</f>
        <v/>
      </c>
      <c r="Q2851" s="46" t="n">
        <v>0</v>
      </c>
      <c r="R2851" s="46">
        <f>P2851*O2851*M2851*N2851*H2851</f>
        <v/>
      </c>
      <c r="S2851" s="46">
        <f>R2851*INDEX(FmtCansPerCase,MATCH(F2851,FmtName,0))</f>
        <v/>
      </c>
      <c r="T2851" s="46">
        <f>S2851/INDEX(FmtCansPerPack,MATCH(F2851,FmtName,0))</f>
        <v/>
      </c>
      <c r="U2851" s="47">
        <f>INDEX(ChBaseCP,MATCH(E2851,ChName,0))*(1+INDEX(ProvMod,MATCH(G2851,ProvCode,0)))*(1+PriceIndex)</f>
        <v/>
      </c>
      <c r="V2851" s="47">
        <f>R2851*U2851*INDEX(FmtBlendedPriceIdx,MATCH(F2851,FmtName,0))</f>
        <v/>
      </c>
      <c r="W2851" s="47">
        <f>T2851*INDEX(ProvSRP,MATCH(G2851,ProvCode,0))*(1+PriceIndex)</f>
        <v/>
      </c>
      <c r="X2851" s="47">
        <f>IF(GrossBasis="Wholesale",V2851,W2851)</f>
        <v/>
      </c>
      <c r="Y2851" s="47">
        <f>R2851*INDEX(FmtBlendedCogs,MATCH(F2851,FmtName,0))</f>
        <v/>
      </c>
      <c r="Z2851" s="47">
        <f>X2851-Y2851</f>
        <v/>
      </c>
    </row>
    <row r="2852">
      <c r="A2852" t="n">
        <v>42</v>
      </c>
      <c r="B2852" s="44">
        <f>FiscalStart+(A2852-1)*7</f>
        <v/>
      </c>
      <c r="C2852">
        <f>TEXT(B2852,"mmm yyyy")</f>
        <v/>
      </c>
      <c r="D2852">
        <f>"Q"&amp;(INT((A2852-1)/13)+1)</f>
        <v/>
      </c>
      <c r="E2852" t="inlineStr">
        <is>
          <t>Specialty</t>
        </is>
      </c>
      <c r="F2852">
        <f>IFERROR(INDEX(ChFormat,MATCH(E2852,ChName,0)),"")</f>
        <v/>
      </c>
      <c r="G2852" t="inlineStr">
        <is>
          <t>MB</t>
        </is>
      </c>
      <c r="H2852">
        <f>IF(A2852&lt;=NWeeks,1,0)</f>
        <v/>
      </c>
      <c r="I2852">
        <f>INDEX(ChLaunch,MATCH(E2852,ChName,0))</f>
        <v/>
      </c>
      <c r="J2852">
        <f>INDEX(ChWeeksFull,MATCH(E2852,ChName,0))</f>
        <v/>
      </c>
      <c r="K2852">
        <f>INDEX(ChRamp,MATCH(E2852,ChName,0))</f>
        <v/>
      </c>
      <c r="L2852" s="45">
        <f>MIN(1,MAX(0,(A2852-I2852+1)*RampSpeed/J2852))</f>
        <v/>
      </c>
      <c r="M2852" s="45">
        <f>IF(A2852&lt;I2852,0,IF(K2852="S-curve",L2852*L2852*(3-2*L2852),L2852))</f>
        <v/>
      </c>
      <c r="N2852" s="45">
        <f>1+(INDEX(SeasonIdx,A2852)-1)*SeasonAmp</f>
        <v/>
      </c>
      <c r="O2852" s="45">
        <f>IFERROR(INDEX(PSPct,MATCH(E2852&amp;"|"&amp;G2852,PSKey,0)),0)</f>
        <v/>
      </c>
      <c r="P2852" s="46">
        <f>INDEX(ChDoorVel,MATCH(E2852,ChName,0))*CalibScalar*(1+VelocityUplift)</f>
        <v/>
      </c>
      <c r="Q2852" s="46" t="n">
        <v>0</v>
      </c>
      <c r="R2852" s="46">
        <f>P2852*O2852*M2852*N2852*H2852</f>
        <v/>
      </c>
      <c r="S2852" s="46">
        <f>R2852*INDEX(FmtCansPerCase,MATCH(F2852,FmtName,0))</f>
        <v/>
      </c>
      <c r="T2852" s="46">
        <f>S2852/INDEX(FmtCansPerPack,MATCH(F2852,FmtName,0))</f>
        <v/>
      </c>
      <c r="U2852" s="47">
        <f>INDEX(ChBaseCP,MATCH(E2852,ChName,0))*(1+INDEX(ProvMod,MATCH(G2852,ProvCode,0)))*(1+PriceIndex)</f>
        <v/>
      </c>
      <c r="V2852" s="47">
        <f>R2852*U2852*INDEX(FmtBlendedPriceIdx,MATCH(F2852,FmtName,0))</f>
        <v/>
      </c>
      <c r="W2852" s="47">
        <f>T2852*INDEX(ProvSRP,MATCH(G2852,ProvCode,0))*(1+PriceIndex)</f>
        <v/>
      </c>
      <c r="X2852" s="47">
        <f>IF(GrossBasis="Wholesale",V2852,W2852)</f>
        <v/>
      </c>
      <c r="Y2852" s="47">
        <f>R2852*INDEX(FmtBlendedCogs,MATCH(F2852,FmtName,0))</f>
        <v/>
      </c>
      <c r="Z2852" s="47">
        <f>X2852-Y2852</f>
        <v/>
      </c>
    </row>
    <row r="2853">
      <c r="A2853" t="n">
        <v>43</v>
      </c>
      <c r="B2853" s="44">
        <f>FiscalStart+(A2853-1)*7</f>
        <v/>
      </c>
      <c r="C2853">
        <f>TEXT(B2853,"mmm yyyy")</f>
        <v/>
      </c>
      <c r="D2853">
        <f>"Q"&amp;(INT((A2853-1)/13)+1)</f>
        <v/>
      </c>
      <c r="E2853" t="inlineStr">
        <is>
          <t>Specialty</t>
        </is>
      </c>
      <c r="F2853">
        <f>IFERROR(INDEX(ChFormat,MATCH(E2853,ChName,0)),"")</f>
        <v/>
      </c>
      <c r="G2853" t="inlineStr">
        <is>
          <t>MB</t>
        </is>
      </c>
      <c r="H2853">
        <f>IF(A2853&lt;=NWeeks,1,0)</f>
        <v/>
      </c>
      <c r="I2853">
        <f>INDEX(ChLaunch,MATCH(E2853,ChName,0))</f>
        <v/>
      </c>
      <c r="J2853">
        <f>INDEX(ChWeeksFull,MATCH(E2853,ChName,0))</f>
        <v/>
      </c>
      <c r="K2853">
        <f>INDEX(ChRamp,MATCH(E2853,ChName,0))</f>
        <v/>
      </c>
      <c r="L2853" s="45">
        <f>MIN(1,MAX(0,(A2853-I2853+1)*RampSpeed/J2853))</f>
        <v/>
      </c>
      <c r="M2853" s="45">
        <f>IF(A2853&lt;I2853,0,IF(K2853="S-curve",L2853*L2853*(3-2*L2853),L2853))</f>
        <v/>
      </c>
      <c r="N2853" s="45">
        <f>1+(INDEX(SeasonIdx,A2853)-1)*SeasonAmp</f>
        <v/>
      </c>
      <c r="O2853" s="45">
        <f>IFERROR(INDEX(PSPct,MATCH(E2853&amp;"|"&amp;G2853,PSKey,0)),0)</f>
        <v/>
      </c>
      <c r="P2853" s="46">
        <f>INDEX(ChDoorVel,MATCH(E2853,ChName,0))*CalibScalar*(1+VelocityUplift)</f>
        <v/>
      </c>
      <c r="Q2853" s="46" t="n">
        <v>0</v>
      </c>
      <c r="R2853" s="46">
        <f>P2853*O2853*M2853*N2853*H2853</f>
        <v/>
      </c>
      <c r="S2853" s="46">
        <f>R2853*INDEX(FmtCansPerCase,MATCH(F2853,FmtName,0))</f>
        <v/>
      </c>
      <c r="T2853" s="46">
        <f>S2853/INDEX(FmtCansPerPack,MATCH(F2853,FmtName,0))</f>
        <v/>
      </c>
      <c r="U2853" s="47">
        <f>INDEX(ChBaseCP,MATCH(E2853,ChName,0))*(1+INDEX(ProvMod,MATCH(G2853,ProvCode,0)))*(1+PriceIndex)</f>
        <v/>
      </c>
      <c r="V2853" s="47">
        <f>R2853*U2853*INDEX(FmtBlendedPriceIdx,MATCH(F2853,FmtName,0))</f>
        <v/>
      </c>
      <c r="W2853" s="47">
        <f>T2853*INDEX(ProvSRP,MATCH(G2853,ProvCode,0))*(1+PriceIndex)</f>
        <v/>
      </c>
      <c r="X2853" s="47">
        <f>IF(GrossBasis="Wholesale",V2853,W2853)</f>
        <v/>
      </c>
      <c r="Y2853" s="47">
        <f>R2853*INDEX(FmtBlendedCogs,MATCH(F2853,FmtName,0))</f>
        <v/>
      </c>
      <c r="Z2853" s="47">
        <f>X2853-Y2853</f>
        <v/>
      </c>
    </row>
    <row r="2854">
      <c r="A2854" t="n">
        <v>44</v>
      </c>
      <c r="B2854" s="44">
        <f>FiscalStart+(A2854-1)*7</f>
        <v/>
      </c>
      <c r="C2854">
        <f>TEXT(B2854,"mmm yyyy")</f>
        <v/>
      </c>
      <c r="D2854">
        <f>"Q"&amp;(INT((A2854-1)/13)+1)</f>
        <v/>
      </c>
      <c r="E2854" t="inlineStr">
        <is>
          <t>Specialty</t>
        </is>
      </c>
      <c r="F2854">
        <f>IFERROR(INDEX(ChFormat,MATCH(E2854,ChName,0)),"")</f>
        <v/>
      </c>
      <c r="G2854" t="inlineStr">
        <is>
          <t>MB</t>
        </is>
      </c>
      <c r="H2854">
        <f>IF(A2854&lt;=NWeeks,1,0)</f>
        <v/>
      </c>
      <c r="I2854">
        <f>INDEX(ChLaunch,MATCH(E2854,ChName,0))</f>
        <v/>
      </c>
      <c r="J2854">
        <f>INDEX(ChWeeksFull,MATCH(E2854,ChName,0))</f>
        <v/>
      </c>
      <c r="K2854">
        <f>INDEX(ChRamp,MATCH(E2854,ChName,0))</f>
        <v/>
      </c>
      <c r="L2854" s="45">
        <f>MIN(1,MAX(0,(A2854-I2854+1)*RampSpeed/J2854))</f>
        <v/>
      </c>
      <c r="M2854" s="45">
        <f>IF(A2854&lt;I2854,0,IF(K2854="S-curve",L2854*L2854*(3-2*L2854),L2854))</f>
        <v/>
      </c>
      <c r="N2854" s="45">
        <f>1+(INDEX(SeasonIdx,A2854)-1)*SeasonAmp</f>
        <v/>
      </c>
      <c r="O2854" s="45">
        <f>IFERROR(INDEX(PSPct,MATCH(E2854&amp;"|"&amp;G2854,PSKey,0)),0)</f>
        <v/>
      </c>
      <c r="P2854" s="46">
        <f>INDEX(ChDoorVel,MATCH(E2854,ChName,0))*CalibScalar*(1+VelocityUplift)</f>
        <v/>
      </c>
      <c r="Q2854" s="46" t="n">
        <v>0</v>
      </c>
      <c r="R2854" s="46">
        <f>P2854*O2854*M2854*N2854*H2854</f>
        <v/>
      </c>
      <c r="S2854" s="46">
        <f>R2854*INDEX(FmtCansPerCase,MATCH(F2854,FmtName,0))</f>
        <v/>
      </c>
      <c r="T2854" s="46">
        <f>S2854/INDEX(FmtCansPerPack,MATCH(F2854,FmtName,0))</f>
        <v/>
      </c>
      <c r="U2854" s="47">
        <f>INDEX(ChBaseCP,MATCH(E2854,ChName,0))*(1+INDEX(ProvMod,MATCH(G2854,ProvCode,0)))*(1+PriceIndex)</f>
        <v/>
      </c>
      <c r="V2854" s="47">
        <f>R2854*U2854*INDEX(FmtBlendedPriceIdx,MATCH(F2854,FmtName,0))</f>
        <v/>
      </c>
      <c r="W2854" s="47">
        <f>T2854*INDEX(ProvSRP,MATCH(G2854,ProvCode,0))*(1+PriceIndex)</f>
        <v/>
      </c>
      <c r="X2854" s="47">
        <f>IF(GrossBasis="Wholesale",V2854,W2854)</f>
        <v/>
      </c>
      <c r="Y2854" s="47">
        <f>R2854*INDEX(FmtBlendedCogs,MATCH(F2854,FmtName,0))</f>
        <v/>
      </c>
      <c r="Z2854" s="47">
        <f>X2854-Y2854</f>
        <v/>
      </c>
    </row>
    <row r="2855">
      <c r="A2855" t="n">
        <v>45</v>
      </c>
      <c r="B2855" s="44">
        <f>FiscalStart+(A2855-1)*7</f>
        <v/>
      </c>
      <c r="C2855">
        <f>TEXT(B2855,"mmm yyyy")</f>
        <v/>
      </c>
      <c r="D2855">
        <f>"Q"&amp;(INT((A2855-1)/13)+1)</f>
        <v/>
      </c>
      <c r="E2855" t="inlineStr">
        <is>
          <t>Specialty</t>
        </is>
      </c>
      <c r="F2855">
        <f>IFERROR(INDEX(ChFormat,MATCH(E2855,ChName,0)),"")</f>
        <v/>
      </c>
      <c r="G2855" t="inlineStr">
        <is>
          <t>MB</t>
        </is>
      </c>
      <c r="H2855">
        <f>IF(A2855&lt;=NWeeks,1,0)</f>
        <v/>
      </c>
      <c r="I2855">
        <f>INDEX(ChLaunch,MATCH(E2855,ChName,0))</f>
        <v/>
      </c>
      <c r="J2855">
        <f>INDEX(ChWeeksFull,MATCH(E2855,ChName,0))</f>
        <v/>
      </c>
      <c r="K2855">
        <f>INDEX(ChRamp,MATCH(E2855,ChName,0))</f>
        <v/>
      </c>
      <c r="L2855" s="45">
        <f>MIN(1,MAX(0,(A2855-I2855+1)*RampSpeed/J2855))</f>
        <v/>
      </c>
      <c r="M2855" s="45">
        <f>IF(A2855&lt;I2855,0,IF(K2855="S-curve",L2855*L2855*(3-2*L2855),L2855))</f>
        <v/>
      </c>
      <c r="N2855" s="45">
        <f>1+(INDEX(SeasonIdx,A2855)-1)*SeasonAmp</f>
        <v/>
      </c>
      <c r="O2855" s="45">
        <f>IFERROR(INDEX(PSPct,MATCH(E2855&amp;"|"&amp;G2855,PSKey,0)),0)</f>
        <v/>
      </c>
      <c r="P2855" s="46">
        <f>INDEX(ChDoorVel,MATCH(E2855,ChName,0))*CalibScalar*(1+VelocityUplift)</f>
        <v/>
      </c>
      <c r="Q2855" s="46" t="n">
        <v>0</v>
      </c>
      <c r="R2855" s="46">
        <f>P2855*O2855*M2855*N2855*H2855</f>
        <v/>
      </c>
      <c r="S2855" s="46">
        <f>R2855*INDEX(FmtCansPerCase,MATCH(F2855,FmtName,0))</f>
        <v/>
      </c>
      <c r="T2855" s="46">
        <f>S2855/INDEX(FmtCansPerPack,MATCH(F2855,FmtName,0))</f>
        <v/>
      </c>
      <c r="U2855" s="47">
        <f>INDEX(ChBaseCP,MATCH(E2855,ChName,0))*(1+INDEX(ProvMod,MATCH(G2855,ProvCode,0)))*(1+PriceIndex)</f>
        <v/>
      </c>
      <c r="V2855" s="47">
        <f>R2855*U2855*INDEX(FmtBlendedPriceIdx,MATCH(F2855,FmtName,0))</f>
        <v/>
      </c>
      <c r="W2855" s="47">
        <f>T2855*INDEX(ProvSRP,MATCH(G2855,ProvCode,0))*(1+PriceIndex)</f>
        <v/>
      </c>
      <c r="X2855" s="47">
        <f>IF(GrossBasis="Wholesale",V2855,W2855)</f>
        <v/>
      </c>
      <c r="Y2855" s="47">
        <f>R2855*INDEX(FmtBlendedCogs,MATCH(F2855,FmtName,0))</f>
        <v/>
      </c>
      <c r="Z2855" s="47">
        <f>X2855-Y2855</f>
        <v/>
      </c>
    </row>
    <row r="2856">
      <c r="A2856" t="n">
        <v>46</v>
      </c>
      <c r="B2856" s="44">
        <f>FiscalStart+(A2856-1)*7</f>
        <v/>
      </c>
      <c r="C2856">
        <f>TEXT(B2856,"mmm yyyy")</f>
        <v/>
      </c>
      <c r="D2856">
        <f>"Q"&amp;(INT((A2856-1)/13)+1)</f>
        <v/>
      </c>
      <c r="E2856" t="inlineStr">
        <is>
          <t>Specialty</t>
        </is>
      </c>
      <c r="F2856">
        <f>IFERROR(INDEX(ChFormat,MATCH(E2856,ChName,0)),"")</f>
        <v/>
      </c>
      <c r="G2856" t="inlineStr">
        <is>
          <t>MB</t>
        </is>
      </c>
      <c r="H2856">
        <f>IF(A2856&lt;=NWeeks,1,0)</f>
        <v/>
      </c>
      <c r="I2856">
        <f>INDEX(ChLaunch,MATCH(E2856,ChName,0))</f>
        <v/>
      </c>
      <c r="J2856">
        <f>INDEX(ChWeeksFull,MATCH(E2856,ChName,0))</f>
        <v/>
      </c>
      <c r="K2856">
        <f>INDEX(ChRamp,MATCH(E2856,ChName,0))</f>
        <v/>
      </c>
      <c r="L2856" s="45">
        <f>MIN(1,MAX(0,(A2856-I2856+1)*RampSpeed/J2856))</f>
        <v/>
      </c>
      <c r="M2856" s="45">
        <f>IF(A2856&lt;I2856,0,IF(K2856="S-curve",L2856*L2856*(3-2*L2856),L2856))</f>
        <v/>
      </c>
      <c r="N2856" s="45">
        <f>1+(INDEX(SeasonIdx,A2856)-1)*SeasonAmp</f>
        <v/>
      </c>
      <c r="O2856" s="45">
        <f>IFERROR(INDEX(PSPct,MATCH(E2856&amp;"|"&amp;G2856,PSKey,0)),0)</f>
        <v/>
      </c>
      <c r="P2856" s="46">
        <f>INDEX(ChDoorVel,MATCH(E2856,ChName,0))*CalibScalar*(1+VelocityUplift)</f>
        <v/>
      </c>
      <c r="Q2856" s="46" t="n">
        <v>0</v>
      </c>
      <c r="R2856" s="46">
        <f>P2856*O2856*M2856*N2856*H2856</f>
        <v/>
      </c>
      <c r="S2856" s="46">
        <f>R2856*INDEX(FmtCansPerCase,MATCH(F2856,FmtName,0))</f>
        <v/>
      </c>
      <c r="T2856" s="46">
        <f>S2856/INDEX(FmtCansPerPack,MATCH(F2856,FmtName,0))</f>
        <v/>
      </c>
      <c r="U2856" s="47">
        <f>INDEX(ChBaseCP,MATCH(E2856,ChName,0))*(1+INDEX(ProvMod,MATCH(G2856,ProvCode,0)))*(1+PriceIndex)</f>
        <v/>
      </c>
      <c r="V2856" s="47">
        <f>R2856*U2856*INDEX(FmtBlendedPriceIdx,MATCH(F2856,FmtName,0))</f>
        <v/>
      </c>
      <c r="W2856" s="47">
        <f>T2856*INDEX(ProvSRP,MATCH(G2856,ProvCode,0))*(1+PriceIndex)</f>
        <v/>
      </c>
      <c r="X2856" s="47">
        <f>IF(GrossBasis="Wholesale",V2856,W2856)</f>
        <v/>
      </c>
      <c r="Y2856" s="47">
        <f>R2856*INDEX(FmtBlendedCogs,MATCH(F2856,FmtName,0))</f>
        <v/>
      </c>
      <c r="Z2856" s="47">
        <f>X2856-Y2856</f>
        <v/>
      </c>
    </row>
    <row r="2857">
      <c r="A2857" t="n">
        <v>47</v>
      </c>
      <c r="B2857" s="44">
        <f>FiscalStart+(A2857-1)*7</f>
        <v/>
      </c>
      <c r="C2857">
        <f>TEXT(B2857,"mmm yyyy")</f>
        <v/>
      </c>
      <c r="D2857">
        <f>"Q"&amp;(INT((A2857-1)/13)+1)</f>
        <v/>
      </c>
      <c r="E2857" t="inlineStr">
        <is>
          <t>Specialty</t>
        </is>
      </c>
      <c r="F2857">
        <f>IFERROR(INDEX(ChFormat,MATCH(E2857,ChName,0)),"")</f>
        <v/>
      </c>
      <c r="G2857" t="inlineStr">
        <is>
          <t>MB</t>
        </is>
      </c>
      <c r="H2857">
        <f>IF(A2857&lt;=NWeeks,1,0)</f>
        <v/>
      </c>
      <c r="I2857">
        <f>INDEX(ChLaunch,MATCH(E2857,ChName,0))</f>
        <v/>
      </c>
      <c r="J2857">
        <f>INDEX(ChWeeksFull,MATCH(E2857,ChName,0))</f>
        <v/>
      </c>
      <c r="K2857">
        <f>INDEX(ChRamp,MATCH(E2857,ChName,0))</f>
        <v/>
      </c>
      <c r="L2857" s="45">
        <f>MIN(1,MAX(0,(A2857-I2857+1)*RampSpeed/J2857))</f>
        <v/>
      </c>
      <c r="M2857" s="45">
        <f>IF(A2857&lt;I2857,0,IF(K2857="S-curve",L2857*L2857*(3-2*L2857),L2857))</f>
        <v/>
      </c>
      <c r="N2857" s="45">
        <f>1+(INDEX(SeasonIdx,A2857)-1)*SeasonAmp</f>
        <v/>
      </c>
      <c r="O2857" s="45">
        <f>IFERROR(INDEX(PSPct,MATCH(E2857&amp;"|"&amp;G2857,PSKey,0)),0)</f>
        <v/>
      </c>
      <c r="P2857" s="46">
        <f>INDEX(ChDoorVel,MATCH(E2857,ChName,0))*CalibScalar*(1+VelocityUplift)</f>
        <v/>
      </c>
      <c r="Q2857" s="46" t="n">
        <v>0</v>
      </c>
      <c r="R2857" s="46">
        <f>P2857*O2857*M2857*N2857*H2857</f>
        <v/>
      </c>
      <c r="S2857" s="46">
        <f>R2857*INDEX(FmtCansPerCase,MATCH(F2857,FmtName,0))</f>
        <v/>
      </c>
      <c r="T2857" s="46">
        <f>S2857/INDEX(FmtCansPerPack,MATCH(F2857,FmtName,0))</f>
        <v/>
      </c>
      <c r="U2857" s="47">
        <f>INDEX(ChBaseCP,MATCH(E2857,ChName,0))*(1+INDEX(ProvMod,MATCH(G2857,ProvCode,0)))*(1+PriceIndex)</f>
        <v/>
      </c>
      <c r="V2857" s="47">
        <f>R2857*U2857*INDEX(FmtBlendedPriceIdx,MATCH(F2857,FmtName,0))</f>
        <v/>
      </c>
      <c r="W2857" s="47">
        <f>T2857*INDEX(ProvSRP,MATCH(G2857,ProvCode,0))*(1+PriceIndex)</f>
        <v/>
      </c>
      <c r="X2857" s="47">
        <f>IF(GrossBasis="Wholesale",V2857,W2857)</f>
        <v/>
      </c>
      <c r="Y2857" s="47">
        <f>R2857*INDEX(FmtBlendedCogs,MATCH(F2857,FmtName,0))</f>
        <v/>
      </c>
      <c r="Z2857" s="47">
        <f>X2857-Y2857</f>
        <v/>
      </c>
    </row>
    <row r="2858">
      <c r="A2858" t="n">
        <v>48</v>
      </c>
      <c r="B2858" s="44">
        <f>FiscalStart+(A2858-1)*7</f>
        <v/>
      </c>
      <c r="C2858">
        <f>TEXT(B2858,"mmm yyyy")</f>
        <v/>
      </c>
      <c r="D2858">
        <f>"Q"&amp;(INT((A2858-1)/13)+1)</f>
        <v/>
      </c>
      <c r="E2858" t="inlineStr">
        <is>
          <t>Specialty</t>
        </is>
      </c>
      <c r="F2858">
        <f>IFERROR(INDEX(ChFormat,MATCH(E2858,ChName,0)),"")</f>
        <v/>
      </c>
      <c r="G2858" t="inlineStr">
        <is>
          <t>MB</t>
        </is>
      </c>
      <c r="H2858">
        <f>IF(A2858&lt;=NWeeks,1,0)</f>
        <v/>
      </c>
      <c r="I2858">
        <f>INDEX(ChLaunch,MATCH(E2858,ChName,0))</f>
        <v/>
      </c>
      <c r="J2858">
        <f>INDEX(ChWeeksFull,MATCH(E2858,ChName,0))</f>
        <v/>
      </c>
      <c r="K2858">
        <f>INDEX(ChRamp,MATCH(E2858,ChName,0))</f>
        <v/>
      </c>
      <c r="L2858" s="45">
        <f>MIN(1,MAX(0,(A2858-I2858+1)*RampSpeed/J2858))</f>
        <v/>
      </c>
      <c r="M2858" s="45">
        <f>IF(A2858&lt;I2858,0,IF(K2858="S-curve",L2858*L2858*(3-2*L2858),L2858))</f>
        <v/>
      </c>
      <c r="N2858" s="45">
        <f>1+(INDEX(SeasonIdx,A2858)-1)*SeasonAmp</f>
        <v/>
      </c>
      <c r="O2858" s="45">
        <f>IFERROR(INDEX(PSPct,MATCH(E2858&amp;"|"&amp;G2858,PSKey,0)),0)</f>
        <v/>
      </c>
      <c r="P2858" s="46">
        <f>INDEX(ChDoorVel,MATCH(E2858,ChName,0))*CalibScalar*(1+VelocityUplift)</f>
        <v/>
      </c>
      <c r="Q2858" s="46" t="n">
        <v>0</v>
      </c>
      <c r="R2858" s="46">
        <f>P2858*O2858*M2858*N2858*H2858</f>
        <v/>
      </c>
      <c r="S2858" s="46">
        <f>R2858*INDEX(FmtCansPerCase,MATCH(F2858,FmtName,0))</f>
        <v/>
      </c>
      <c r="T2858" s="46">
        <f>S2858/INDEX(FmtCansPerPack,MATCH(F2858,FmtName,0))</f>
        <v/>
      </c>
      <c r="U2858" s="47">
        <f>INDEX(ChBaseCP,MATCH(E2858,ChName,0))*(1+INDEX(ProvMod,MATCH(G2858,ProvCode,0)))*(1+PriceIndex)</f>
        <v/>
      </c>
      <c r="V2858" s="47">
        <f>R2858*U2858*INDEX(FmtBlendedPriceIdx,MATCH(F2858,FmtName,0))</f>
        <v/>
      </c>
      <c r="W2858" s="47">
        <f>T2858*INDEX(ProvSRP,MATCH(G2858,ProvCode,0))*(1+PriceIndex)</f>
        <v/>
      </c>
      <c r="X2858" s="47">
        <f>IF(GrossBasis="Wholesale",V2858,W2858)</f>
        <v/>
      </c>
      <c r="Y2858" s="47">
        <f>R2858*INDEX(FmtBlendedCogs,MATCH(F2858,FmtName,0))</f>
        <v/>
      </c>
      <c r="Z2858" s="47">
        <f>X2858-Y2858</f>
        <v/>
      </c>
    </row>
    <row r="2859">
      <c r="A2859" t="n">
        <v>49</v>
      </c>
      <c r="B2859" s="44">
        <f>FiscalStart+(A2859-1)*7</f>
        <v/>
      </c>
      <c r="C2859">
        <f>TEXT(B2859,"mmm yyyy")</f>
        <v/>
      </c>
      <c r="D2859">
        <f>"Q"&amp;(INT((A2859-1)/13)+1)</f>
        <v/>
      </c>
      <c r="E2859" t="inlineStr">
        <is>
          <t>Specialty</t>
        </is>
      </c>
      <c r="F2859">
        <f>IFERROR(INDEX(ChFormat,MATCH(E2859,ChName,0)),"")</f>
        <v/>
      </c>
      <c r="G2859" t="inlineStr">
        <is>
          <t>MB</t>
        </is>
      </c>
      <c r="H2859">
        <f>IF(A2859&lt;=NWeeks,1,0)</f>
        <v/>
      </c>
      <c r="I2859">
        <f>INDEX(ChLaunch,MATCH(E2859,ChName,0))</f>
        <v/>
      </c>
      <c r="J2859">
        <f>INDEX(ChWeeksFull,MATCH(E2859,ChName,0))</f>
        <v/>
      </c>
      <c r="K2859">
        <f>INDEX(ChRamp,MATCH(E2859,ChName,0))</f>
        <v/>
      </c>
      <c r="L2859" s="45">
        <f>MIN(1,MAX(0,(A2859-I2859+1)*RampSpeed/J2859))</f>
        <v/>
      </c>
      <c r="M2859" s="45">
        <f>IF(A2859&lt;I2859,0,IF(K2859="S-curve",L2859*L2859*(3-2*L2859),L2859))</f>
        <v/>
      </c>
      <c r="N2859" s="45">
        <f>1+(INDEX(SeasonIdx,A2859)-1)*SeasonAmp</f>
        <v/>
      </c>
      <c r="O2859" s="45">
        <f>IFERROR(INDEX(PSPct,MATCH(E2859&amp;"|"&amp;G2859,PSKey,0)),0)</f>
        <v/>
      </c>
      <c r="P2859" s="46">
        <f>INDEX(ChDoorVel,MATCH(E2859,ChName,0))*CalibScalar*(1+VelocityUplift)</f>
        <v/>
      </c>
      <c r="Q2859" s="46" t="n">
        <v>0</v>
      </c>
      <c r="R2859" s="46">
        <f>P2859*O2859*M2859*N2859*H2859</f>
        <v/>
      </c>
      <c r="S2859" s="46">
        <f>R2859*INDEX(FmtCansPerCase,MATCH(F2859,FmtName,0))</f>
        <v/>
      </c>
      <c r="T2859" s="46">
        <f>S2859/INDEX(FmtCansPerPack,MATCH(F2859,FmtName,0))</f>
        <v/>
      </c>
      <c r="U2859" s="47">
        <f>INDEX(ChBaseCP,MATCH(E2859,ChName,0))*(1+INDEX(ProvMod,MATCH(G2859,ProvCode,0)))*(1+PriceIndex)</f>
        <v/>
      </c>
      <c r="V2859" s="47">
        <f>R2859*U2859*INDEX(FmtBlendedPriceIdx,MATCH(F2859,FmtName,0))</f>
        <v/>
      </c>
      <c r="W2859" s="47">
        <f>T2859*INDEX(ProvSRP,MATCH(G2859,ProvCode,0))*(1+PriceIndex)</f>
        <v/>
      </c>
      <c r="X2859" s="47">
        <f>IF(GrossBasis="Wholesale",V2859,W2859)</f>
        <v/>
      </c>
      <c r="Y2859" s="47">
        <f>R2859*INDEX(FmtBlendedCogs,MATCH(F2859,FmtName,0))</f>
        <v/>
      </c>
      <c r="Z2859" s="47">
        <f>X2859-Y2859</f>
        <v/>
      </c>
    </row>
    <row r="2860">
      <c r="A2860" t="n">
        <v>50</v>
      </c>
      <c r="B2860" s="44">
        <f>FiscalStart+(A2860-1)*7</f>
        <v/>
      </c>
      <c r="C2860">
        <f>TEXT(B2860,"mmm yyyy")</f>
        <v/>
      </c>
      <c r="D2860">
        <f>"Q"&amp;(INT((A2860-1)/13)+1)</f>
        <v/>
      </c>
      <c r="E2860" t="inlineStr">
        <is>
          <t>Specialty</t>
        </is>
      </c>
      <c r="F2860">
        <f>IFERROR(INDEX(ChFormat,MATCH(E2860,ChName,0)),"")</f>
        <v/>
      </c>
      <c r="G2860" t="inlineStr">
        <is>
          <t>MB</t>
        </is>
      </c>
      <c r="H2860">
        <f>IF(A2860&lt;=NWeeks,1,0)</f>
        <v/>
      </c>
      <c r="I2860">
        <f>INDEX(ChLaunch,MATCH(E2860,ChName,0))</f>
        <v/>
      </c>
      <c r="J2860">
        <f>INDEX(ChWeeksFull,MATCH(E2860,ChName,0))</f>
        <v/>
      </c>
      <c r="K2860">
        <f>INDEX(ChRamp,MATCH(E2860,ChName,0))</f>
        <v/>
      </c>
      <c r="L2860" s="45">
        <f>MIN(1,MAX(0,(A2860-I2860+1)*RampSpeed/J2860))</f>
        <v/>
      </c>
      <c r="M2860" s="45">
        <f>IF(A2860&lt;I2860,0,IF(K2860="S-curve",L2860*L2860*(3-2*L2860),L2860))</f>
        <v/>
      </c>
      <c r="N2860" s="45">
        <f>1+(INDEX(SeasonIdx,A2860)-1)*SeasonAmp</f>
        <v/>
      </c>
      <c r="O2860" s="45">
        <f>IFERROR(INDEX(PSPct,MATCH(E2860&amp;"|"&amp;G2860,PSKey,0)),0)</f>
        <v/>
      </c>
      <c r="P2860" s="46">
        <f>INDEX(ChDoorVel,MATCH(E2860,ChName,0))*CalibScalar*(1+VelocityUplift)</f>
        <v/>
      </c>
      <c r="Q2860" s="46" t="n">
        <v>0</v>
      </c>
      <c r="R2860" s="46">
        <f>P2860*O2860*M2860*N2860*H2860</f>
        <v/>
      </c>
      <c r="S2860" s="46">
        <f>R2860*INDEX(FmtCansPerCase,MATCH(F2860,FmtName,0))</f>
        <v/>
      </c>
      <c r="T2860" s="46">
        <f>S2860/INDEX(FmtCansPerPack,MATCH(F2860,FmtName,0))</f>
        <v/>
      </c>
      <c r="U2860" s="47">
        <f>INDEX(ChBaseCP,MATCH(E2860,ChName,0))*(1+INDEX(ProvMod,MATCH(G2860,ProvCode,0)))*(1+PriceIndex)</f>
        <v/>
      </c>
      <c r="V2860" s="47">
        <f>R2860*U2860*INDEX(FmtBlendedPriceIdx,MATCH(F2860,FmtName,0))</f>
        <v/>
      </c>
      <c r="W2860" s="47">
        <f>T2860*INDEX(ProvSRP,MATCH(G2860,ProvCode,0))*(1+PriceIndex)</f>
        <v/>
      </c>
      <c r="X2860" s="47">
        <f>IF(GrossBasis="Wholesale",V2860,W2860)</f>
        <v/>
      </c>
      <c r="Y2860" s="47">
        <f>R2860*INDEX(FmtBlendedCogs,MATCH(F2860,FmtName,0))</f>
        <v/>
      </c>
      <c r="Z2860" s="47">
        <f>X2860-Y2860</f>
        <v/>
      </c>
    </row>
    <row r="2861">
      <c r="A2861" t="n">
        <v>51</v>
      </c>
      <c r="B2861" s="44">
        <f>FiscalStart+(A2861-1)*7</f>
        <v/>
      </c>
      <c r="C2861">
        <f>TEXT(B2861,"mmm yyyy")</f>
        <v/>
      </c>
      <c r="D2861">
        <f>"Q"&amp;(INT((A2861-1)/13)+1)</f>
        <v/>
      </c>
      <c r="E2861" t="inlineStr">
        <is>
          <t>Specialty</t>
        </is>
      </c>
      <c r="F2861">
        <f>IFERROR(INDEX(ChFormat,MATCH(E2861,ChName,0)),"")</f>
        <v/>
      </c>
      <c r="G2861" t="inlineStr">
        <is>
          <t>MB</t>
        </is>
      </c>
      <c r="H2861">
        <f>IF(A2861&lt;=NWeeks,1,0)</f>
        <v/>
      </c>
      <c r="I2861">
        <f>INDEX(ChLaunch,MATCH(E2861,ChName,0))</f>
        <v/>
      </c>
      <c r="J2861">
        <f>INDEX(ChWeeksFull,MATCH(E2861,ChName,0))</f>
        <v/>
      </c>
      <c r="K2861">
        <f>INDEX(ChRamp,MATCH(E2861,ChName,0))</f>
        <v/>
      </c>
      <c r="L2861" s="45">
        <f>MIN(1,MAX(0,(A2861-I2861+1)*RampSpeed/J2861))</f>
        <v/>
      </c>
      <c r="M2861" s="45">
        <f>IF(A2861&lt;I2861,0,IF(K2861="S-curve",L2861*L2861*(3-2*L2861),L2861))</f>
        <v/>
      </c>
      <c r="N2861" s="45">
        <f>1+(INDEX(SeasonIdx,A2861)-1)*SeasonAmp</f>
        <v/>
      </c>
      <c r="O2861" s="45">
        <f>IFERROR(INDEX(PSPct,MATCH(E2861&amp;"|"&amp;G2861,PSKey,0)),0)</f>
        <v/>
      </c>
      <c r="P2861" s="46">
        <f>INDEX(ChDoorVel,MATCH(E2861,ChName,0))*CalibScalar*(1+VelocityUplift)</f>
        <v/>
      </c>
      <c r="Q2861" s="46" t="n">
        <v>0</v>
      </c>
      <c r="R2861" s="46">
        <f>P2861*O2861*M2861*N2861*H2861</f>
        <v/>
      </c>
      <c r="S2861" s="46">
        <f>R2861*INDEX(FmtCansPerCase,MATCH(F2861,FmtName,0))</f>
        <v/>
      </c>
      <c r="T2861" s="46">
        <f>S2861/INDEX(FmtCansPerPack,MATCH(F2861,FmtName,0))</f>
        <v/>
      </c>
      <c r="U2861" s="47">
        <f>INDEX(ChBaseCP,MATCH(E2861,ChName,0))*(1+INDEX(ProvMod,MATCH(G2861,ProvCode,0)))*(1+PriceIndex)</f>
        <v/>
      </c>
      <c r="V2861" s="47">
        <f>R2861*U2861*INDEX(FmtBlendedPriceIdx,MATCH(F2861,FmtName,0))</f>
        <v/>
      </c>
      <c r="W2861" s="47">
        <f>T2861*INDEX(ProvSRP,MATCH(G2861,ProvCode,0))*(1+PriceIndex)</f>
        <v/>
      </c>
      <c r="X2861" s="47">
        <f>IF(GrossBasis="Wholesale",V2861,W2861)</f>
        <v/>
      </c>
      <c r="Y2861" s="47">
        <f>R2861*INDEX(FmtBlendedCogs,MATCH(F2861,FmtName,0))</f>
        <v/>
      </c>
      <c r="Z2861" s="47">
        <f>X2861-Y2861</f>
        <v/>
      </c>
    </row>
    <row r="2862">
      <c r="A2862" t="n">
        <v>52</v>
      </c>
      <c r="B2862" s="44">
        <f>FiscalStart+(A2862-1)*7</f>
        <v/>
      </c>
      <c r="C2862">
        <f>TEXT(B2862,"mmm yyyy")</f>
        <v/>
      </c>
      <c r="D2862">
        <f>"Q"&amp;(INT((A2862-1)/13)+1)</f>
        <v/>
      </c>
      <c r="E2862" t="inlineStr">
        <is>
          <t>Specialty</t>
        </is>
      </c>
      <c r="F2862">
        <f>IFERROR(INDEX(ChFormat,MATCH(E2862,ChName,0)),"")</f>
        <v/>
      </c>
      <c r="G2862" t="inlineStr">
        <is>
          <t>MB</t>
        </is>
      </c>
      <c r="H2862">
        <f>IF(A2862&lt;=NWeeks,1,0)</f>
        <v/>
      </c>
      <c r="I2862">
        <f>INDEX(ChLaunch,MATCH(E2862,ChName,0))</f>
        <v/>
      </c>
      <c r="J2862">
        <f>INDEX(ChWeeksFull,MATCH(E2862,ChName,0))</f>
        <v/>
      </c>
      <c r="K2862">
        <f>INDEX(ChRamp,MATCH(E2862,ChName,0))</f>
        <v/>
      </c>
      <c r="L2862" s="45">
        <f>MIN(1,MAX(0,(A2862-I2862+1)*RampSpeed/J2862))</f>
        <v/>
      </c>
      <c r="M2862" s="45">
        <f>IF(A2862&lt;I2862,0,IF(K2862="S-curve",L2862*L2862*(3-2*L2862),L2862))</f>
        <v/>
      </c>
      <c r="N2862" s="45">
        <f>1+(INDEX(SeasonIdx,A2862)-1)*SeasonAmp</f>
        <v/>
      </c>
      <c r="O2862" s="45">
        <f>IFERROR(INDEX(PSPct,MATCH(E2862&amp;"|"&amp;G2862,PSKey,0)),0)</f>
        <v/>
      </c>
      <c r="P2862" s="46">
        <f>INDEX(ChDoorVel,MATCH(E2862,ChName,0))*CalibScalar*(1+VelocityUplift)</f>
        <v/>
      </c>
      <c r="Q2862" s="46" t="n">
        <v>0</v>
      </c>
      <c r="R2862" s="46">
        <f>P2862*O2862*M2862*N2862*H2862</f>
        <v/>
      </c>
      <c r="S2862" s="46">
        <f>R2862*INDEX(FmtCansPerCase,MATCH(F2862,FmtName,0))</f>
        <v/>
      </c>
      <c r="T2862" s="46">
        <f>S2862/INDEX(FmtCansPerPack,MATCH(F2862,FmtName,0))</f>
        <v/>
      </c>
      <c r="U2862" s="47">
        <f>INDEX(ChBaseCP,MATCH(E2862,ChName,0))*(1+INDEX(ProvMod,MATCH(G2862,ProvCode,0)))*(1+PriceIndex)</f>
        <v/>
      </c>
      <c r="V2862" s="47">
        <f>R2862*U2862*INDEX(FmtBlendedPriceIdx,MATCH(F2862,FmtName,0))</f>
        <v/>
      </c>
      <c r="W2862" s="47">
        <f>T2862*INDEX(ProvSRP,MATCH(G2862,ProvCode,0))*(1+PriceIndex)</f>
        <v/>
      </c>
      <c r="X2862" s="47">
        <f>IF(GrossBasis="Wholesale",V2862,W2862)</f>
        <v/>
      </c>
      <c r="Y2862" s="47">
        <f>R2862*INDEX(FmtBlendedCogs,MATCH(F2862,FmtName,0))</f>
        <v/>
      </c>
      <c r="Z2862" s="47">
        <f>X2862-Y2862</f>
        <v/>
      </c>
    </row>
    <row r="2863">
      <c r="A2863" t="n">
        <v>53</v>
      </c>
      <c r="B2863" s="44">
        <f>FiscalStart+(A2863-1)*7</f>
        <v/>
      </c>
      <c r="C2863">
        <f>TEXT(B2863,"mmm yyyy")</f>
        <v/>
      </c>
      <c r="D2863">
        <f>"Q"&amp;(INT((A2863-1)/13)+1)</f>
        <v/>
      </c>
      <c r="E2863" t="inlineStr">
        <is>
          <t>Specialty</t>
        </is>
      </c>
      <c r="F2863">
        <f>IFERROR(INDEX(ChFormat,MATCH(E2863,ChName,0)),"")</f>
        <v/>
      </c>
      <c r="G2863" t="inlineStr">
        <is>
          <t>MB</t>
        </is>
      </c>
      <c r="H2863">
        <f>IF(A2863&lt;=NWeeks,1,0)</f>
        <v/>
      </c>
      <c r="I2863">
        <f>INDEX(ChLaunch,MATCH(E2863,ChName,0))</f>
        <v/>
      </c>
      <c r="J2863">
        <f>INDEX(ChWeeksFull,MATCH(E2863,ChName,0))</f>
        <v/>
      </c>
      <c r="K2863">
        <f>INDEX(ChRamp,MATCH(E2863,ChName,0))</f>
        <v/>
      </c>
      <c r="L2863" s="45">
        <f>MIN(1,MAX(0,(A2863-I2863+1)*RampSpeed/J2863))</f>
        <v/>
      </c>
      <c r="M2863" s="45">
        <f>IF(A2863&lt;I2863,0,IF(K2863="S-curve",L2863*L2863*(3-2*L2863),L2863))</f>
        <v/>
      </c>
      <c r="N2863" s="45">
        <f>1+(INDEX(SeasonIdx,A2863)-1)*SeasonAmp</f>
        <v/>
      </c>
      <c r="O2863" s="45">
        <f>IFERROR(INDEX(PSPct,MATCH(E2863&amp;"|"&amp;G2863,PSKey,0)),0)</f>
        <v/>
      </c>
      <c r="P2863" s="46">
        <f>INDEX(ChDoorVel,MATCH(E2863,ChName,0))*CalibScalar*(1+VelocityUplift)</f>
        <v/>
      </c>
      <c r="Q2863" s="46" t="n">
        <v>0</v>
      </c>
      <c r="R2863" s="46">
        <f>P2863*O2863*M2863*N2863*H2863</f>
        <v/>
      </c>
      <c r="S2863" s="46">
        <f>R2863*INDEX(FmtCansPerCase,MATCH(F2863,FmtName,0))</f>
        <v/>
      </c>
      <c r="T2863" s="46">
        <f>S2863/INDEX(FmtCansPerPack,MATCH(F2863,FmtName,0))</f>
        <v/>
      </c>
      <c r="U2863" s="47">
        <f>INDEX(ChBaseCP,MATCH(E2863,ChName,0))*(1+INDEX(ProvMod,MATCH(G2863,ProvCode,0)))*(1+PriceIndex)</f>
        <v/>
      </c>
      <c r="V2863" s="47">
        <f>R2863*U2863*INDEX(FmtBlendedPriceIdx,MATCH(F2863,FmtName,0))</f>
        <v/>
      </c>
      <c r="W2863" s="47">
        <f>T2863*INDEX(ProvSRP,MATCH(G2863,ProvCode,0))*(1+PriceIndex)</f>
        <v/>
      </c>
      <c r="X2863" s="47">
        <f>IF(GrossBasis="Wholesale",V2863,W2863)</f>
        <v/>
      </c>
      <c r="Y2863" s="47">
        <f>R2863*INDEX(FmtBlendedCogs,MATCH(F2863,FmtName,0))</f>
        <v/>
      </c>
      <c r="Z2863" s="47">
        <f>X2863-Y2863</f>
        <v/>
      </c>
    </row>
    <row r="2864">
      <c r="A2864" t="n">
        <v>1</v>
      </c>
      <c r="B2864" s="44">
        <f>FiscalStart+(A2864-1)*7</f>
        <v/>
      </c>
      <c r="C2864">
        <f>TEXT(B2864,"mmm yyyy")</f>
        <v/>
      </c>
      <c r="D2864">
        <f>"Q"&amp;(INT((A2864-1)/13)+1)</f>
        <v/>
      </c>
      <c r="E2864" t="inlineStr">
        <is>
          <t>Specialty</t>
        </is>
      </c>
      <c r="F2864">
        <f>IFERROR(INDEX(ChFormat,MATCH(E2864,ChName,0)),"")</f>
        <v/>
      </c>
      <c r="G2864" t="inlineStr">
        <is>
          <t>ON</t>
        </is>
      </c>
      <c r="H2864">
        <f>IF(A2864&lt;=NWeeks,1,0)</f>
        <v/>
      </c>
      <c r="I2864">
        <f>INDEX(ChLaunch,MATCH(E2864,ChName,0))</f>
        <v/>
      </c>
      <c r="J2864">
        <f>INDEX(ChWeeksFull,MATCH(E2864,ChName,0))</f>
        <v/>
      </c>
      <c r="K2864">
        <f>INDEX(ChRamp,MATCH(E2864,ChName,0))</f>
        <v/>
      </c>
      <c r="L2864" s="45">
        <f>MIN(1,MAX(0,(A2864-I2864+1)*RampSpeed/J2864))</f>
        <v/>
      </c>
      <c r="M2864" s="45">
        <f>IF(A2864&lt;I2864,0,IF(K2864="S-curve",L2864*L2864*(3-2*L2864),L2864))</f>
        <v/>
      </c>
      <c r="N2864" s="45">
        <f>1+(INDEX(SeasonIdx,A2864)-1)*SeasonAmp</f>
        <v/>
      </c>
      <c r="O2864" s="45">
        <f>IFERROR(INDEX(PSPct,MATCH(E2864&amp;"|"&amp;G2864,PSKey,0)),0)</f>
        <v/>
      </c>
      <c r="P2864" s="46">
        <f>INDEX(ChDoorVel,MATCH(E2864,ChName,0))*CalibScalar*(1+VelocityUplift)</f>
        <v/>
      </c>
      <c r="Q2864" s="46" t="n">
        <v>0</v>
      </c>
      <c r="R2864" s="46">
        <f>P2864*O2864*M2864*N2864*H2864</f>
        <v/>
      </c>
      <c r="S2864" s="46">
        <f>R2864*INDEX(FmtCansPerCase,MATCH(F2864,FmtName,0))</f>
        <v/>
      </c>
      <c r="T2864" s="46">
        <f>S2864/INDEX(FmtCansPerPack,MATCH(F2864,FmtName,0))</f>
        <v/>
      </c>
      <c r="U2864" s="47">
        <f>INDEX(ChBaseCP,MATCH(E2864,ChName,0))*(1+INDEX(ProvMod,MATCH(G2864,ProvCode,0)))*(1+PriceIndex)</f>
        <v/>
      </c>
      <c r="V2864" s="47">
        <f>R2864*U2864*INDEX(FmtBlendedPriceIdx,MATCH(F2864,FmtName,0))</f>
        <v/>
      </c>
      <c r="W2864" s="47">
        <f>T2864*INDEX(ProvSRP,MATCH(G2864,ProvCode,0))*(1+PriceIndex)</f>
        <v/>
      </c>
      <c r="X2864" s="47">
        <f>IF(GrossBasis="Wholesale",V2864,W2864)</f>
        <v/>
      </c>
      <c r="Y2864" s="47">
        <f>R2864*INDEX(FmtBlendedCogs,MATCH(F2864,FmtName,0))</f>
        <v/>
      </c>
      <c r="Z2864" s="47">
        <f>X2864-Y2864</f>
        <v/>
      </c>
    </row>
    <row r="2865">
      <c r="A2865" t="n">
        <v>2</v>
      </c>
      <c r="B2865" s="44">
        <f>FiscalStart+(A2865-1)*7</f>
        <v/>
      </c>
      <c r="C2865">
        <f>TEXT(B2865,"mmm yyyy")</f>
        <v/>
      </c>
      <c r="D2865">
        <f>"Q"&amp;(INT((A2865-1)/13)+1)</f>
        <v/>
      </c>
      <c r="E2865" t="inlineStr">
        <is>
          <t>Specialty</t>
        </is>
      </c>
      <c r="F2865">
        <f>IFERROR(INDEX(ChFormat,MATCH(E2865,ChName,0)),"")</f>
        <v/>
      </c>
      <c r="G2865" t="inlineStr">
        <is>
          <t>ON</t>
        </is>
      </c>
      <c r="H2865">
        <f>IF(A2865&lt;=NWeeks,1,0)</f>
        <v/>
      </c>
      <c r="I2865">
        <f>INDEX(ChLaunch,MATCH(E2865,ChName,0))</f>
        <v/>
      </c>
      <c r="J2865">
        <f>INDEX(ChWeeksFull,MATCH(E2865,ChName,0))</f>
        <v/>
      </c>
      <c r="K2865">
        <f>INDEX(ChRamp,MATCH(E2865,ChName,0))</f>
        <v/>
      </c>
      <c r="L2865" s="45">
        <f>MIN(1,MAX(0,(A2865-I2865+1)*RampSpeed/J2865))</f>
        <v/>
      </c>
      <c r="M2865" s="45">
        <f>IF(A2865&lt;I2865,0,IF(K2865="S-curve",L2865*L2865*(3-2*L2865),L2865))</f>
        <v/>
      </c>
      <c r="N2865" s="45">
        <f>1+(INDEX(SeasonIdx,A2865)-1)*SeasonAmp</f>
        <v/>
      </c>
      <c r="O2865" s="45">
        <f>IFERROR(INDEX(PSPct,MATCH(E2865&amp;"|"&amp;G2865,PSKey,0)),0)</f>
        <v/>
      </c>
      <c r="P2865" s="46">
        <f>INDEX(ChDoorVel,MATCH(E2865,ChName,0))*CalibScalar*(1+VelocityUplift)</f>
        <v/>
      </c>
      <c r="Q2865" s="46" t="n">
        <v>0</v>
      </c>
      <c r="R2865" s="46">
        <f>P2865*O2865*M2865*N2865*H2865</f>
        <v/>
      </c>
      <c r="S2865" s="46">
        <f>R2865*INDEX(FmtCansPerCase,MATCH(F2865,FmtName,0))</f>
        <v/>
      </c>
      <c r="T2865" s="46">
        <f>S2865/INDEX(FmtCansPerPack,MATCH(F2865,FmtName,0))</f>
        <v/>
      </c>
      <c r="U2865" s="47">
        <f>INDEX(ChBaseCP,MATCH(E2865,ChName,0))*(1+INDEX(ProvMod,MATCH(G2865,ProvCode,0)))*(1+PriceIndex)</f>
        <v/>
      </c>
      <c r="V2865" s="47">
        <f>R2865*U2865*INDEX(FmtBlendedPriceIdx,MATCH(F2865,FmtName,0))</f>
        <v/>
      </c>
      <c r="W2865" s="47">
        <f>T2865*INDEX(ProvSRP,MATCH(G2865,ProvCode,0))*(1+PriceIndex)</f>
        <v/>
      </c>
      <c r="X2865" s="47">
        <f>IF(GrossBasis="Wholesale",V2865,W2865)</f>
        <v/>
      </c>
      <c r="Y2865" s="47">
        <f>R2865*INDEX(FmtBlendedCogs,MATCH(F2865,FmtName,0))</f>
        <v/>
      </c>
      <c r="Z2865" s="47">
        <f>X2865-Y2865</f>
        <v/>
      </c>
    </row>
    <row r="2866">
      <c r="A2866" t="n">
        <v>3</v>
      </c>
      <c r="B2866" s="44">
        <f>FiscalStart+(A2866-1)*7</f>
        <v/>
      </c>
      <c r="C2866">
        <f>TEXT(B2866,"mmm yyyy")</f>
        <v/>
      </c>
      <c r="D2866">
        <f>"Q"&amp;(INT((A2866-1)/13)+1)</f>
        <v/>
      </c>
      <c r="E2866" t="inlineStr">
        <is>
          <t>Specialty</t>
        </is>
      </c>
      <c r="F2866">
        <f>IFERROR(INDEX(ChFormat,MATCH(E2866,ChName,0)),"")</f>
        <v/>
      </c>
      <c r="G2866" t="inlineStr">
        <is>
          <t>ON</t>
        </is>
      </c>
      <c r="H2866">
        <f>IF(A2866&lt;=NWeeks,1,0)</f>
        <v/>
      </c>
      <c r="I2866">
        <f>INDEX(ChLaunch,MATCH(E2866,ChName,0))</f>
        <v/>
      </c>
      <c r="J2866">
        <f>INDEX(ChWeeksFull,MATCH(E2866,ChName,0))</f>
        <v/>
      </c>
      <c r="K2866">
        <f>INDEX(ChRamp,MATCH(E2866,ChName,0))</f>
        <v/>
      </c>
      <c r="L2866" s="45">
        <f>MIN(1,MAX(0,(A2866-I2866+1)*RampSpeed/J2866))</f>
        <v/>
      </c>
      <c r="M2866" s="45">
        <f>IF(A2866&lt;I2866,0,IF(K2866="S-curve",L2866*L2866*(3-2*L2866),L2866))</f>
        <v/>
      </c>
      <c r="N2866" s="45">
        <f>1+(INDEX(SeasonIdx,A2866)-1)*SeasonAmp</f>
        <v/>
      </c>
      <c r="O2866" s="45">
        <f>IFERROR(INDEX(PSPct,MATCH(E2866&amp;"|"&amp;G2866,PSKey,0)),0)</f>
        <v/>
      </c>
      <c r="P2866" s="46">
        <f>INDEX(ChDoorVel,MATCH(E2866,ChName,0))*CalibScalar*(1+VelocityUplift)</f>
        <v/>
      </c>
      <c r="Q2866" s="46" t="n">
        <v>0</v>
      </c>
      <c r="R2866" s="46">
        <f>P2866*O2866*M2866*N2866*H2866</f>
        <v/>
      </c>
      <c r="S2866" s="46">
        <f>R2866*INDEX(FmtCansPerCase,MATCH(F2866,FmtName,0))</f>
        <v/>
      </c>
      <c r="T2866" s="46">
        <f>S2866/INDEX(FmtCansPerPack,MATCH(F2866,FmtName,0))</f>
        <v/>
      </c>
      <c r="U2866" s="47">
        <f>INDEX(ChBaseCP,MATCH(E2866,ChName,0))*(1+INDEX(ProvMod,MATCH(G2866,ProvCode,0)))*(1+PriceIndex)</f>
        <v/>
      </c>
      <c r="V2866" s="47">
        <f>R2866*U2866*INDEX(FmtBlendedPriceIdx,MATCH(F2866,FmtName,0))</f>
        <v/>
      </c>
      <c r="W2866" s="47">
        <f>T2866*INDEX(ProvSRP,MATCH(G2866,ProvCode,0))*(1+PriceIndex)</f>
        <v/>
      </c>
      <c r="X2866" s="47">
        <f>IF(GrossBasis="Wholesale",V2866,W2866)</f>
        <v/>
      </c>
      <c r="Y2866" s="47">
        <f>R2866*INDEX(FmtBlendedCogs,MATCH(F2866,FmtName,0))</f>
        <v/>
      </c>
      <c r="Z2866" s="47">
        <f>X2866-Y2866</f>
        <v/>
      </c>
    </row>
    <row r="2867">
      <c r="A2867" t="n">
        <v>4</v>
      </c>
      <c r="B2867" s="44">
        <f>FiscalStart+(A2867-1)*7</f>
        <v/>
      </c>
      <c r="C2867">
        <f>TEXT(B2867,"mmm yyyy")</f>
        <v/>
      </c>
      <c r="D2867">
        <f>"Q"&amp;(INT((A2867-1)/13)+1)</f>
        <v/>
      </c>
      <c r="E2867" t="inlineStr">
        <is>
          <t>Specialty</t>
        </is>
      </c>
      <c r="F2867">
        <f>IFERROR(INDEX(ChFormat,MATCH(E2867,ChName,0)),"")</f>
        <v/>
      </c>
      <c r="G2867" t="inlineStr">
        <is>
          <t>ON</t>
        </is>
      </c>
      <c r="H2867">
        <f>IF(A2867&lt;=NWeeks,1,0)</f>
        <v/>
      </c>
      <c r="I2867">
        <f>INDEX(ChLaunch,MATCH(E2867,ChName,0))</f>
        <v/>
      </c>
      <c r="J2867">
        <f>INDEX(ChWeeksFull,MATCH(E2867,ChName,0))</f>
        <v/>
      </c>
      <c r="K2867">
        <f>INDEX(ChRamp,MATCH(E2867,ChName,0))</f>
        <v/>
      </c>
      <c r="L2867" s="45">
        <f>MIN(1,MAX(0,(A2867-I2867+1)*RampSpeed/J2867))</f>
        <v/>
      </c>
      <c r="M2867" s="45">
        <f>IF(A2867&lt;I2867,0,IF(K2867="S-curve",L2867*L2867*(3-2*L2867),L2867))</f>
        <v/>
      </c>
      <c r="N2867" s="45">
        <f>1+(INDEX(SeasonIdx,A2867)-1)*SeasonAmp</f>
        <v/>
      </c>
      <c r="O2867" s="45">
        <f>IFERROR(INDEX(PSPct,MATCH(E2867&amp;"|"&amp;G2867,PSKey,0)),0)</f>
        <v/>
      </c>
      <c r="P2867" s="46">
        <f>INDEX(ChDoorVel,MATCH(E2867,ChName,0))*CalibScalar*(1+VelocityUplift)</f>
        <v/>
      </c>
      <c r="Q2867" s="46" t="n">
        <v>0</v>
      </c>
      <c r="R2867" s="46">
        <f>P2867*O2867*M2867*N2867*H2867</f>
        <v/>
      </c>
      <c r="S2867" s="46">
        <f>R2867*INDEX(FmtCansPerCase,MATCH(F2867,FmtName,0))</f>
        <v/>
      </c>
      <c r="T2867" s="46">
        <f>S2867/INDEX(FmtCansPerPack,MATCH(F2867,FmtName,0))</f>
        <v/>
      </c>
      <c r="U2867" s="47">
        <f>INDEX(ChBaseCP,MATCH(E2867,ChName,0))*(1+INDEX(ProvMod,MATCH(G2867,ProvCode,0)))*(1+PriceIndex)</f>
        <v/>
      </c>
      <c r="V2867" s="47">
        <f>R2867*U2867*INDEX(FmtBlendedPriceIdx,MATCH(F2867,FmtName,0))</f>
        <v/>
      </c>
      <c r="W2867" s="47">
        <f>T2867*INDEX(ProvSRP,MATCH(G2867,ProvCode,0))*(1+PriceIndex)</f>
        <v/>
      </c>
      <c r="X2867" s="47">
        <f>IF(GrossBasis="Wholesale",V2867,W2867)</f>
        <v/>
      </c>
      <c r="Y2867" s="47">
        <f>R2867*INDEX(FmtBlendedCogs,MATCH(F2867,FmtName,0))</f>
        <v/>
      </c>
      <c r="Z2867" s="47">
        <f>X2867-Y2867</f>
        <v/>
      </c>
    </row>
    <row r="2868">
      <c r="A2868" t="n">
        <v>5</v>
      </c>
      <c r="B2868" s="44">
        <f>FiscalStart+(A2868-1)*7</f>
        <v/>
      </c>
      <c r="C2868">
        <f>TEXT(B2868,"mmm yyyy")</f>
        <v/>
      </c>
      <c r="D2868">
        <f>"Q"&amp;(INT((A2868-1)/13)+1)</f>
        <v/>
      </c>
      <c r="E2868" t="inlineStr">
        <is>
          <t>Specialty</t>
        </is>
      </c>
      <c r="F2868">
        <f>IFERROR(INDEX(ChFormat,MATCH(E2868,ChName,0)),"")</f>
        <v/>
      </c>
      <c r="G2868" t="inlineStr">
        <is>
          <t>ON</t>
        </is>
      </c>
      <c r="H2868">
        <f>IF(A2868&lt;=NWeeks,1,0)</f>
        <v/>
      </c>
      <c r="I2868">
        <f>INDEX(ChLaunch,MATCH(E2868,ChName,0))</f>
        <v/>
      </c>
      <c r="J2868">
        <f>INDEX(ChWeeksFull,MATCH(E2868,ChName,0))</f>
        <v/>
      </c>
      <c r="K2868">
        <f>INDEX(ChRamp,MATCH(E2868,ChName,0))</f>
        <v/>
      </c>
      <c r="L2868" s="45">
        <f>MIN(1,MAX(0,(A2868-I2868+1)*RampSpeed/J2868))</f>
        <v/>
      </c>
      <c r="M2868" s="45">
        <f>IF(A2868&lt;I2868,0,IF(K2868="S-curve",L2868*L2868*(3-2*L2868),L2868))</f>
        <v/>
      </c>
      <c r="N2868" s="45">
        <f>1+(INDEX(SeasonIdx,A2868)-1)*SeasonAmp</f>
        <v/>
      </c>
      <c r="O2868" s="45">
        <f>IFERROR(INDEX(PSPct,MATCH(E2868&amp;"|"&amp;G2868,PSKey,0)),0)</f>
        <v/>
      </c>
      <c r="P2868" s="46">
        <f>INDEX(ChDoorVel,MATCH(E2868,ChName,0))*CalibScalar*(1+VelocityUplift)</f>
        <v/>
      </c>
      <c r="Q2868" s="46" t="n">
        <v>0</v>
      </c>
      <c r="R2868" s="46">
        <f>P2868*O2868*M2868*N2868*H2868</f>
        <v/>
      </c>
      <c r="S2868" s="46">
        <f>R2868*INDEX(FmtCansPerCase,MATCH(F2868,FmtName,0))</f>
        <v/>
      </c>
      <c r="T2868" s="46">
        <f>S2868/INDEX(FmtCansPerPack,MATCH(F2868,FmtName,0))</f>
        <v/>
      </c>
      <c r="U2868" s="47">
        <f>INDEX(ChBaseCP,MATCH(E2868,ChName,0))*(1+INDEX(ProvMod,MATCH(G2868,ProvCode,0)))*(1+PriceIndex)</f>
        <v/>
      </c>
      <c r="V2868" s="47">
        <f>R2868*U2868*INDEX(FmtBlendedPriceIdx,MATCH(F2868,FmtName,0))</f>
        <v/>
      </c>
      <c r="W2868" s="47">
        <f>T2868*INDEX(ProvSRP,MATCH(G2868,ProvCode,0))*(1+PriceIndex)</f>
        <v/>
      </c>
      <c r="X2868" s="47">
        <f>IF(GrossBasis="Wholesale",V2868,W2868)</f>
        <v/>
      </c>
      <c r="Y2868" s="47">
        <f>R2868*INDEX(FmtBlendedCogs,MATCH(F2868,FmtName,0))</f>
        <v/>
      </c>
      <c r="Z2868" s="47">
        <f>X2868-Y2868</f>
        <v/>
      </c>
    </row>
    <row r="2869">
      <c r="A2869" t="n">
        <v>6</v>
      </c>
      <c r="B2869" s="44">
        <f>FiscalStart+(A2869-1)*7</f>
        <v/>
      </c>
      <c r="C2869">
        <f>TEXT(B2869,"mmm yyyy")</f>
        <v/>
      </c>
      <c r="D2869">
        <f>"Q"&amp;(INT((A2869-1)/13)+1)</f>
        <v/>
      </c>
      <c r="E2869" t="inlineStr">
        <is>
          <t>Specialty</t>
        </is>
      </c>
      <c r="F2869">
        <f>IFERROR(INDEX(ChFormat,MATCH(E2869,ChName,0)),"")</f>
        <v/>
      </c>
      <c r="G2869" t="inlineStr">
        <is>
          <t>ON</t>
        </is>
      </c>
      <c r="H2869">
        <f>IF(A2869&lt;=NWeeks,1,0)</f>
        <v/>
      </c>
      <c r="I2869">
        <f>INDEX(ChLaunch,MATCH(E2869,ChName,0))</f>
        <v/>
      </c>
      <c r="J2869">
        <f>INDEX(ChWeeksFull,MATCH(E2869,ChName,0))</f>
        <v/>
      </c>
      <c r="K2869">
        <f>INDEX(ChRamp,MATCH(E2869,ChName,0))</f>
        <v/>
      </c>
      <c r="L2869" s="45">
        <f>MIN(1,MAX(0,(A2869-I2869+1)*RampSpeed/J2869))</f>
        <v/>
      </c>
      <c r="M2869" s="45">
        <f>IF(A2869&lt;I2869,0,IF(K2869="S-curve",L2869*L2869*(3-2*L2869),L2869))</f>
        <v/>
      </c>
      <c r="N2869" s="45">
        <f>1+(INDEX(SeasonIdx,A2869)-1)*SeasonAmp</f>
        <v/>
      </c>
      <c r="O2869" s="45">
        <f>IFERROR(INDEX(PSPct,MATCH(E2869&amp;"|"&amp;G2869,PSKey,0)),0)</f>
        <v/>
      </c>
      <c r="P2869" s="46">
        <f>INDEX(ChDoorVel,MATCH(E2869,ChName,0))*CalibScalar*(1+VelocityUplift)</f>
        <v/>
      </c>
      <c r="Q2869" s="46" t="n">
        <v>0</v>
      </c>
      <c r="R2869" s="46">
        <f>P2869*O2869*M2869*N2869*H2869</f>
        <v/>
      </c>
      <c r="S2869" s="46">
        <f>R2869*INDEX(FmtCansPerCase,MATCH(F2869,FmtName,0))</f>
        <v/>
      </c>
      <c r="T2869" s="46">
        <f>S2869/INDEX(FmtCansPerPack,MATCH(F2869,FmtName,0))</f>
        <v/>
      </c>
      <c r="U2869" s="47">
        <f>INDEX(ChBaseCP,MATCH(E2869,ChName,0))*(1+INDEX(ProvMod,MATCH(G2869,ProvCode,0)))*(1+PriceIndex)</f>
        <v/>
      </c>
      <c r="V2869" s="47">
        <f>R2869*U2869*INDEX(FmtBlendedPriceIdx,MATCH(F2869,FmtName,0))</f>
        <v/>
      </c>
      <c r="W2869" s="47">
        <f>T2869*INDEX(ProvSRP,MATCH(G2869,ProvCode,0))*(1+PriceIndex)</f>
        <v/>
      </c>
      <c r="X2869" s="47">
        <f>IF(GrossBasis="Wholesale",V2869,W2869)</f>
        <v/>
      </c>
      <c r="Y2869" s="47">
        <f>R2869*INDEX(FmtBlendedCogs,MATCH(F2869,FmtName,0))</f>
        <v/>
      </c>
      <c r="Z2869" s="47">
        <f>X2869-Y2869</f>
        <v/>
      </c>
    </row>
    <row r="2870">
      <c r="A2870" t="n">
        <v>7</v>
      </c>
      <c r="B2870" s="44">
        <f>FiscalStart+(A2870-1)*7</f>
        <v/>
      </c>
      <c r="C2870">
        <f>TEXT(B2870,"mmm yyyy")</f>
        <v/>
      </c>
      <c r="D2870">
        <f>"Q"&amp;(INT((A2870-1)/13)+1)</f>
        <v/>
      </c>
      <c r="E2870" t="inlineStr">
        <is>
          <t>Specialty</t>
        </is>
      </c>
      <c r="F2870">
        <f>IFERROR(INDEX(ChFormat,MATCH(E2870,ChName,0)),"")</f>
        <v/>
      </c>
      <c r="G2870" t="inlineStr">
        <is>
          <t>ON</t>
        </is>
      </c>
      <c r="H2870">
        <f>IF(A2870&lt;=NWeeks,1,0)</f>
        <v/>
      </c>
      <c r="I2870">
        <f>INDEX(ChLaunch,MATCH(E2870,ChName,0))</f>
        <v/>
      </c>
      <c r="J2870">
        <f>INDEX(ChWeeksFull,MATCH(E2870,ChName,0))</f>
        <v/>
      </c>
      <c r="K2870">
        <f>INDEX(ChRamp,MATCH(E2870,ChName,0))</f>
        <v/>
      </c>
      <c r="L2870" s="45">
        <f>MIN(1,MAX(0,(A2870-I2870+1)*RampSpeed/J2870))</f>
        <v/>
      </c>
      <c r="M2870" s="45">
        <f>IF(A2870&lt;I2870,0,IF(K2870="S-curve",L2870*L2870*(3-2*L2870),L2870))</f>
        <v/>
      </c>
      <c r="N2870" s="45">
        <f>1+(INDEX(SeasonIdx,A2870)-1)*SeasonAmp</f>
        <v/>
      </c>
      <c r="O2870" s="45">
        <f>IFERROR(INDEX(PSPct,MATCH(E2870&amp;"|"&amp;G2870,PSKey,0)),0)</f>
        <v/>
      </c>
      <c r="P2870" s="46">
        <f>INDEX(ChDoorVel,MATCH(E2870,ChName,0))*CalibScalar*(1+VelocityUplift)</f>
        <v/>
      </c>
      <c r="Q2870" s="46" t="n">
        <v>0</v>
      </c>
      <c r="R2870" s="46">
        <f>P2870*O2870*M2870*N2870*H2870</f>
        <v/>
      </c>
      <c r="S2870" s="46">
        <f>R2870*INDEX(FmtCansPerCase,MATCH(F2870,FmtName,0))</f>
        <v/>
      </c>
      <c r="T2870" s="46">
        <f>S2870/INDEX(FmtCansPerPack,MATCH(F2870,FmtName,0))</f>
        <v/>
      </c>
      <c r="U2870" s="47">
        <f>INDEX(ChBaseCP,MATCH(E2870,ChName,0))*(1+INDEX(ProvMod,MATCH(G2870,ProvCode,0)))*(1+PriceIndex)</f>
        <v/>
      </c>
      <c r="V2870" s="47">
        <f>R2870*U2870*INDEX(FmtBlendedPriceIdx,MATCH(F2870,FmtName,0))</f>
        <v/>
      </c>
      <c r="W2870" s="47">
        <f>T2870*INDEX(ProvSRP,MATCH(G2870,ProvCode,0))*(1+PriceIndex)</f>
        <v/>
      </c>
      <c r="X2870" s="47">
        <f>IF(GrossBasis="Wholesale",V2870,W2870)</f>
        <v/>
      </c>
      <c r="Y2870" s="47">
        <f>R2870*INDEX(FmtBlendedCogs,MATCH(F2870,FmtName,0))</f>
        <v/>
      </c>
      <c r="Z2870" s="47">
        <f>X2870-Y2870</f>
        <v/>
      </c>
    </row>
    <row r="2871">
      <c r="A2871" t="n">
        <v>8</v>
      </c>
      <c r="B2871" s="44">
        <f>FiscalStart+(A2871-1)*7</f>
        <v/>
      </c>
      <c r="C2871">
        <f>TEXT(B2871,"mmm yyyy")</f>
        <v/>
      </c>
      <c r="D2871">
        <f>"Q"&amp;(INT((A2871-1)/13)+1)</f>
        <v/>
      </c>
      <c r="E2871" t="inlineStr">
        <is>
          <t>Specialty</t>
        </is>
      </c>
      <c r="F2871">
        <f>IFERROR(INDEX(ChFormat,MATCH(E2871,ChName,0)),"")</f>
        <v/>
      </c>
      <c r="G2871" t="inlineStr">
        <is>
          <t>ON</t>
        </is>
      </c>
      <c r="H2871">
        <f>IF(A2871&lt;=NWeeks,1,0)</f>
        <v/>
      </c>
      <c r="I2871">
        <f>INDEX(ChLaunch,MATCH(E2871,ChName,0))</f>
        <v/>
      </c>
      <c r="J2871">
        <f>INDEX(ChWeeksFull,MATCH(E2871,ChName,0))</f>
        <v/>
      </c>
      <c r="K2871">
        <f>INDEX(ChRamp,MATCH(E2871,ChName,0))</f>
        <v/>
      </c>
      <c r="L2871" s="45">
        <f>MIN(1,MAX(0,(A2871-I2871+1)*RampSpeed/J2871))</f>
        <v/>
      </c>
      <c r="M2871" s="45">
        <f>IF(A2871&lt;I2871,0,IF(K2871="S-curve",L2871*L2871*(3-2*L2871),L2871))</f>
        <v/>
      </c>
      <c r="N2871" s="45">
        <f>1+(INDEX(SeasonIdx,A2871)-1)*SeasonAmp</f>
        <v/>
      </c>
      <c r="O2871" s="45">
        <f>IFERROR(INDEX(PSPct,MATCH(E2871&amp;"|"&amp;G2871,PSKey,0)),0)</f>
        <v/>
      </c>
      <c r="P2871" s="46">
        <f>INDEX(ChDoorVel,MATCH(E2871,ChName,0))*CalibScalar*(1+VelocityUplift)</f>
        <v/>
      </c>
      <c r="Q2871" s="46" t="n">
        <v>0</v>
      </c>
      <c r="R2871" s="46">
        <f>P2871*O2871*M2871*N2871*H2871</f>
        <v/>
      </c>
      <c r="S2871" s="46">
        <f>R2871*INDEX(FmtCansPerCase,MATCH(F2871,FmtName,0))</f>
        <v/>
      </c>
      <c r="T2871" s="46">
        <f>S2871/INDEX(FmtCansPerPack,MATCH(F2871,FmtName,0))</f>
        <v/>
      </c>
      <c r="U2871" s="47">
        <f>INDEX(ChBaseCP,MATCH(E2871,ChName,0))*(1+INDEX(ProvMod,MATCH(G2871,ProvCode,0)))*(1+PriceIndex)</f>
        <v/>
      </c>
      <c r="V2871" s="47">
        <f>R2871*U2871*INDEX(FmtBlendedPriceIdx,MATCH(F2871,FmtName,0))</f>
        <v/>
      </c>
      <c r="W2871" s="47">
        <f>T2871*INDEX(ProvSRP,MATCH(G2871,ProvCode,0))*(1+PriceIndex)</f>
        <v/>
      </c>
      <c r="X2871" s="47">
        <f>IF(GrossBasis="Wholesale",V2871,W2871)</f>
        <v/>
      </c>
      <c r="Y2871" s="47">
        <f>R2871*INDEX(FmtBlendedCogs,MATCH(F2871,FmtName,0))</f>
        <v/>
      </c>
      <c r="Z2871" s="47">
        <f>X2871-Y2871</f>
        <v/>
      </c>
    </row>
    <row r="2872">
      <c r="A2872" t="n">
        <v>9</v>
      </c>
      <c r="B2872" s="44">
        <f>FiscalStart+(A2872-1)*7</f>
        <v/>
      </c>
      <c r="C2872">
        <f>TEXT(B2872,"mmm yyyy")</f>
        <v/>
      </c>
      <c r="D2872">
        <f>"Q"&amp;(INT((A2872-1)/13)+1)</f>
        <v/>
      </c>
      <c r="E2872" t="inlineStr">
        <is>
          <t>Specialty</t>
        </is>
      </c>
      <c r="F2872">
        <f>IFERROR(INDEX(ChFormat,MATCH(E2872,ChName,0)),"")</f>
        <v/>
      </c>
      <c r="G2872" t="inlineStr">
        <is>
          <t>ON</t>
        </is>
      </c>
      <c r="H2872">
        <f>IF(A2872&lt;=NWeeks,1,0)</f>
        <v/>
      </c>
      <c r="I2872">
        <f>INDEX(ChLaunch,MATCH(E2872,ChName,0))</f>
        <v/>
      </c>
      <c r="J2872">
        <f>INDEX(ChWeeksFull,MATCH(E2872,ChName,0))</f>
        <v/>
      </c>
      <c r="K2872">
        <f>INDEX(ChRamp,MATCH(E2872,ChName,0))</f>
        <v/>
      </c>
      <c r="L2872" s="45">
        <f>MIN(1,MAX(0,(A2872-I2872+1)*RampSpeed/J2872))</f>
        <v/>
      </c>
      <c r="M2872" s="45">
        <f>IF(A2872&lt;I2872,0,IF(K2872="S-curve",L2872*L2872*(3-2*L2872),L2872))</f>
        <v/>
      </c>
      <c r="N2872" s="45">
        <f>1+(INDEX(SeasonIdx,A2872)-1)*SeasonAmp</f>
        <v/>
      </c>
      <c r="O2872" s="45">
        <f>IFERROR(INDEX(PSPct,MATCH(E2872&amp;"|"&amp;G2872,PSKey,0)),0)</f>
        <v/>
      </c>
      <c r="P2872" s="46">
        <f>INDEX(ChDoorVel,MATCH(E2872,ChName,0))*CalibScalar*(1+VelocityUplift)</f>
        <v/>
      </c>
      <c r="Q2872" s="46" t="n">
        <v>0</v>
      </c>
      <c r="R2872" s="46">
        <f>P2872*O2872*M2872*N2872*H2872</f>
        <v/>
      </c>
      <c r="S2872" s="46">
        <f>R2872*INDEX(FmtCansPerCase,MATCH(F2872,FmtName,0))</f>
        <v/>
      </c>
      <c r="T2872" s="46">
        <f>S2872/INDEX(FmtCansPerPack,MATCH(F2872,FmtName,0))</f>
        <v/>
      </c>
      <c r="U2872" s="47">
        <f>INDEX(ChBaseCP,MATCH(E2872,ChName,0))*(1+INDEX(ProvMod,MATCH(G2872,ProvCode,0)))*(1+PriceIndex)</f>
        <v/>
      </c>
      <c r="V2872" s="47">
        <f>R2872*U2872*INDEX(FmtBlendedPriceIdx,MATCH(F2872,FmtName,0))</f>
        <v/>
      </c>
      <c r="W2872" s="47">
        <f>T2872*INDEX(ProvSRP,MATCH(G2872,ProvCode,0))*(1+PriceIndex)</f>
        <v/>
      </c>
      <c r="X2872" s="47">
        <f>IF(GrossBasis="Wholesale",V2872,W2872)</f>
        <v/>
      </c>
      <c r="Y2872" s="47">
        <f>R2872*INDEX(FmtBlendedCogs,MATCH(F2872,FmtName,0))</f>
        <v/>
      </c>
      <c r="Z2872" s="47">
        <f>X2872-Y2872</f>
        <v/>
      </c>
    </row>
    <row r="2873">
      <c r="A2873" t="n">
        <v>10</v>
      </c>
      <c r="B2873" s="44">
        <f>FiscalStart+(A2873-1)*7</f>
        <v/>
      </c>
      <c r="C2873">
        <f>TEXT(B2873,"mmm yyyy")</f>
        <v/>
      </c>
      <c r="D2873">
        <f>"Q"&amp;(INT((A2873-1)/13)+1)</f>
        <v/>
      </c>
      <c r="E2873" t="inlineStr">
        <is>
          <t>Specialty</t>
        </is>
      </c>
      <c r="F2873">
        <f>IFERROR(INDEX(ChFormat,MATCH(E2873,ChName,0)),"")</f>
        <v/>
      </c>
      <c r="G2873" t="inlineStr">
        <is>
          <t>ON</t>
        </is>
      </c>
      <c r="H2873">
        <f>IF(A2873&lt;=NWeeks,1,0)</f>
        <v/>
      </c>
      <c r="I2873">
        <f>INDEX(ChLaunch,MATCH(E2873,ChName,0))</f>
        <v/>
      </c>
      <c r="J2873">
        <f>INDEX(ChWeeksFull,MATCH(E2873,ChName,0))</f>
        <v/>
      </c>
      <c r="K2873">
        <f>INDEX(ChRamp,MATCH(E2873,ChName,0))</f>
        <v/>
      </c>
      <c r="L2873" s="45">
        <f>MIN(1,MAX(0,(A2873-I2873+1)*RampSpeed/J2873))</f>
        <v/>
      </c>
      <c r="M2873" s="45">
        <f>IF(A2873&lt;I2873,0,IF(K2873="S-curve",L2873*L2873*(3-2*L2873),L2873))</f>
        <v/>
      </c>
      <c r="N2873" s="45">
        <f>1+(INDEX(SeasonIdx,A2873)-1)*SeasonAmp</f>
        <v/>
      </c>
      <c r="O2873" s="45">
        <f>IFERROR(INDEX(PSPct,MATCH(E2873&amp;"|"&amp;G2873,PSKey,0)),0)</f>
        <v/>
      </c>
      <c r="P2873" s="46">
        <f>INDEX(ChDoorVel,MATCH(E2873,ChName,0))*CalibScalar*(1+VelocityUplift)</f>
        <v/>
      </c>
      <c r="Q2873" s="46" t="n">
        <v>0</v>
      </c>
      <c r="R2873" s="46">
        <f>P2873*O2873*M2873*N2873*H2873</f>
        <v/>
      </c>
      <c r="S2873" s="46">
        <f>R2873*INDEX(FmtCansPerCase,MATCH(F2873,FmtName,0))</f>
        <v/>
      </c>
      <c r="T2873" s="46">
        <f>S2873/INDEX(FmtCansPerPack,MATCH(F2873,FmtName,0))</f>
        <v/>
      </c>
      <c r="U2873" s="47">
        <f>INDEX(ChBaseCP,MATCH(E2873,ChName,0))*(1+INDEX(ProvMod,MATCH(G2873,ProvCode,0)))*(1+PriceIndex)</f>
        <v/>
      </c>
      <c r="V2873" s="47">
        <f>R2873*U2873*INDEX(FmtBlendedPriceIdx,MATCH(F2873,FmtName,0))</f>
        <v/>
      </c>
      <c r="W2873" s="47">
        <f>T2873*INDEX(ProvSRP,MATCH(G2873,ProvCode,0))*(1+PriceIndex)</f>
        <v/>
      </c>
      <c r="X2873" s="47">
        <f>IF(GrossBasis="Wholesale",V2873,W2873)</f>
        <v/>
      </c>
      <c r="Y2873" s="47">
        <f>R2873*INDEX(FmtBlendedCogs,MATCH(F2873,FmtName,0))</f>
        <v/>
      </c>
      <c r="Z2873" s="47">
        <f>X2873-Y2873</f>
        <v/>
      </c>
    </row>
    <row r="2874">
      <c r="A2874" t="n">
        <v>11</v>
      </c>
      <c r="B2874" s="44">
        <f>FiscalStart+(A2874-1)*7</f>
        <v/>
      </c>
      <c r="C2874">
        <f>TEXT(B2874,"mmm yyyy")</f>
        <v/>
      </c>
      <c r="D2874">
        <f>"Q"&amp;(INT((A2874-1)/13)+1)</f>
        <v/>
      </c>
      <c r="E2874" t="inlineStr">
        <is>
          <t>Specialty</t>
        </is>
      </c>
      <c r="F2874">
        <f>IFERROR(INDEX(ChFormat,MATCH(E2874,ChName,0)),"")</f>
        <v/>
      </c>
      <c r="G2874" t="inlineStr">
        <is>
          <t>ON</t>
        </is>
      </c>
      <c r="H2874">
        <f>IF(A2874&lt;=NWeeks,1,0)</f>
        <v/>
      </c>
      <c r="I2874">
        <f>INDEX(ChLaunch,MATCH(E2874,ChName,0))</f>
        <v/>
      </c>
      <c r="J2874">
        <f>INDEX(ChWeeksFull,MATCH(E2874,ChName,0))</f>
        <v/>
      </c>
      <c r="K2874">
        <f>INDEX(ChRamp,MATCH(E2874,ChName,0))</f>
        <v/>
      </c>
      <c r="L2874" s="45">
        <f>MIN(1,MAX(0,(A2874-I2874+1)*RampSpeed/J2874))</f>
        <v/>
      </c>
      <c r="M2874" s="45">
        <f>IF(A2874&lt;I2874,0,IF(K2874="S-curve",L2874*L2874*(3-2*L2874),L2874))</f>
        <v/>
      </c>
      <c r="N2874" s="45">
        <f>1+(INDEX(SeasonIdx,A2874)-1)*SeasonAmp</f>
        <v/>
      </c>
      <c r="O2874" s="45">
        <f>IFERROR(INDEX(PSPct,MATCH(E2874&amp;"|"&amp;G2874,PSKey,0)),0)</f>
        <v/>
      </c>
      <c r="P2874" s="46">
        <f>INDEX(ChDoorVel,MATCH(E2874,ChName,0))*CalibScalar*(1+VelocityUplift)</f>
        <v/>
      </c>
      <c r="Q2874" s="46" t="n">
        <v>0</v>
      </c>
      <c r="R2874" s="46">
        <f>P2874*O2874*M2874*N2874*H2874</f>
        <v/>
      </c>
      <c r="S2874" s="46">
        <f>R2874*INDEX(FmtCansPerCase,MATCH(F2874,FmtName,0))</f>
        <v/>
      </c>
      <c r="T2874" s="46">
        <f>S2874/INDEX(FmtCansPerPack,MATCH(F2874,FmtName,0))</f>
        <v/>
      </c>
      <c r="U2874" s="47">
        <f>INDEX(ChBaseCP,MATCH(E2874,ChName,0))*(1+INDEX(ProvMod,MATCH(G2874,ProvCode,0)))*(1+PriceIndex)</f>
        <v/>
      </c>
      <c r="V2874" s="47">
        <f>R2874*U2874*INDEX(FmtBlendedPriceIdx,MATCH(F2874,FmtName,0))</f>
        <v/>
      </c>
      <c r="W2874" s="47">
        <f>T2874*INDEX(ProvSRP,MATCH(G2874,ProvCode,0))*(1+PriceIndex)</f>
        <v/>
      </c>
      <c r="X2874" s="47">
        <f>IF(GrossBasis="Wholesale",V2874,W2874)</f>
        <v/>
      </c>
      <c r="Y2874" s="47">
        <f>R2874*INDEX(FmtBlendedCogs,MATCH(F2874,FmtName,0))</f>
        <v/>
      </c>
      <c r="Z2874" s="47">
        <f>X2874-Y2874</f>
        <v/>
      </c>
    </row>
    <row r="2875">
      <c r="A2875" t="n">
        <v>12</v>
      </c>
      <c r="B2875" s="44">
        <f>FiscalStart+(A2875-1)*7</f>
        <v/>
      </c>
      <c r="C2875">
        <f>TEXT(B2875,"mmm yyyy")</f>
        <v/>
      </c>
      <c r="D2875">
        <f>"Q"&amp;(INT((A2875-1)/13)+1)</f>
        <v/>
      </c>
      <c r="E2875" t="inlineStr">
        <is>
          <t>Specialty</t>
        </is>
      </c>
      <c r="F2875">
        <f>IFERROR(INDEX(ChFormat,MATCH(E2875,ChName,0)),"")</f>
        <v/>
      </c>
      <c r="G2875" t="inlineStr">
        <is>
          <t>ON</t>
        </is>
      </c>
      <c r="H2875">
        <f>IF(A2875&lt;=NWeeks,1,0)</f>
        <v/>
      </c>
      <c r="I2875">
        <f>INDEX(ChLaunch,MATCH(E2875,ChName,0))</f>
        <v/>
      </c>
      <c r="J2875">
        <f>INDEX(ChWeeksFull,MATCH(E2875,ChName,0))</f>
        <v/>
      </c>
      <c r="K2875">
        <f>INDEX(ChRamp,MATCH(E2875,ChName,0))</f>
        <v/>
      </c>
      <c r="L2875" s="45">
        <f>MIN(1,MAX(0,(A2875-I2875+1)*RampSpeed/J2875))</f>
        <v/>
      </c>
      <c r="M2875" s="45">
        <f>IF(A2875&lt;I2875,0,IF(K2875="S-curve",L2875*L2875*(3-2*L2875),L2875))</f>
        <v/>
      </c>
      <c r="N2875" s="45">
        <f>1+(INDEX(SeasonIdx,A2875)-1)*SeasonAmp</f>
        <v/>
      </c>
      <c r="O2875" s="45">
        <f>IFERROR(INDEX(PSPct,MATCH(E2875&amp;"|"&amp;G2875,PSKey,0)),0)</f>
        <v/>
      </c>
      <c r="P2875" s="46">
        <f>INDEX(ChDoorVel,MATCH(E2875,ChName,0))*CalibScalar*(1+VelocityUplift)</f>
        <v/>
      </c>
      <c r="Q2875" s="46" t="n">
        <v>0</v>
      </c>
      <c r="R2875" s="46">
        <f>P2875*O2875*M2875*N2875*H2875</f>
        <v/>
      </c>
      <c r="S2875" s="46">
        <f>R2875*INDEX(FmtCansPerCase,MATCH(F2875,FmtName,0))</f>
        <v/>
      </c>
      <c r="T2875" s="46">
        <f>S2875/INDEX(FmtCansPerPack,MATCH(F2875,FmtName,0))</f>
        <v/>
      </c>
      <c r="U2875" s="47">
        <f>INDEX(ChBaseCP,MATCH(E2875,ChName,0))*(1+INDEX(ProvMod,MATCH(G2875,ProvCode,0)))*(1+PriceIndex)</f>
        <v/>
      </c>
      <c r="V2875" s="47">
        <f>R2875*U2875*INDEX(FmtBlendedPriceIdx,MATCH(F2875,FmtName,0))</f>
        <v/>
      </c>
      <c r="W2875" s="47">
        <f>T2875*INDEX(ProvSRP,MATCH(G2875,ProvCode,0))*(1+PriceIndex)</f>
        <v/>
      </c>
      <c r="X2875" s="47">
        <f>IF(GrossBasis="Wholesale",V2875,W2875)</f>
        <v/>
      </c>
      <c r="Y2875" s="47">
        <f>R2875*INDEX(FmtBlendedCogs,MATCH(F2875,FmtName,0))</f>
        <v/>
      </c>
      <c r="Z2875" s="47">
        <f>X2875-Y2875</f>
        <v/>
      </c>
    </row>
    <row r="2876">
      <c r="A2876" t="n">
        <v>13</v>
      </c>
      <c r="B2876" s="44">
        <f>FiscalStart+(A2876-1)*7</f>
        <v/>
      </c>
      <c r="C2876">
        <f>TEXT(B2876,"mmm yyyy")</f>
        <v/>
      </c>
      <c r="D2876">
        <f>"Q"&amp;(INT((A2876-1)/13)+1)</f>
        <v/>
      </c>
      <c r="E2876" t="inlineStr">
        <is>
          <t>Specialty</t>
        </is>
      </c>
      <c r="F2876">
        <f>IFERROR(INDEX(ChFormat,MATCH(E2876,ChName,0)),"")</f>
        <v/>
      </c>
      <c r="G2876" t="inlineStr">
        <is>
          <t>ON</t>
        </is>
      </c>
      <c r="H2876">
        <f>IF(A2876&lt;=NWeeks,1,0)</f>
        <v/>
      </c>
      <c r="I2876">
        <f>INDEX(ChLaunch,MATCH(E2876,ChName,0))</f>
        <v/>
      </c>
      <c r="J2876">
        <f>INDEX(ChWeeksFull,MATCH(E2876,ChName,0))</f>
        <v/>
      </c>
      <c r="K2876">
        <f>INDEX(ChRamp,MATCH(E2876,ChName,0))</f>
        <v/>
      </c>
      <c r="L2876" s="45">
        <f>MIN(1,MAX(0,(A2876-I2876+1)*RampSpeed/J2876))</f>
        <v/>
      </c>
      <c r="M2876" s="45">
        <f>IF(A2876&lt;I2876,0,IF(K2876="S-curve",L2876*L2876*(3-2*L2876),L2876))</f>
        <v/>
      </c>
      <c r="N2876" s="45">
        <f>1+(INDEX(SeasonIdx,A2876)-1)*SeasonAmp</f>
        <v/>
      </c>
      <c r="O2876" s="45">
        <f>IFERROR(INDEX(PSPct,MATCH(E2876&amp;"|"&amp;G2876,PSKey,0)),0)</f>
        <v/>
      </c>
      <c r="P2876" s="46">
        <f>INDEX(ChDoorVel,MATCH(E2876,ChName,0))*CalibScalar*(1+VelocityUplift)</f>
        <v/>
      </c>
      <c r="Q2876" s="46" t="n">
        <v>0</v>
      </c>
      <c r="R2876" s="46">
        <f>P2876*O2876*M2876*N2876*H2876</f>
        <v/>
      </c>
      <c r="S2876" s="46">
        <f>R2876*INDEX(FmtCansPerCase,MATCH(F2876,FmtName,0))</f>
        <v/>
      </c>
      <c r="T2876" s="46">
        <f>S2876/INDEX(FmtCansPerPack,MATCH(F2876,FmtName,0))</f>
        <v/>
      </c>
      <c r="U2876" s="47">
        <f>INDEX(ChBaseCP,MATCH(E2876,ChName,0))*(1+INDEX(ProvMod,MATCH(G2876,ProvCode,0)))*(1+PriceIndex)</f>
        <v/>
      </c>
      <c r="V2876" s="47">
        <f>R2876*U2876*INDEX(FmtBlendedPriceIdx,MATCH(F2876,FmtName,0))</f>
        <v/>
      </c>
      <c r="W2876" s="47">
        <f>T2876*INDEX(ProvSRP,MATCH(G2876,ProvCode,0))*(1+PriceIndex)</f>
        <v/>
      </c>
      <c r="X2876" s="47">
        <f>IF(GrossBasis="Wholesale",V2876,W2876)</f>
        <v/>
      </c>
      <c r="Y2876" s="47">
        <f>R2876*INDEX(FmtBlendedCogs,MATCH(F2876,FmtName,0))</f>
        <v/>
      </c>
      <c r="Z2876" s="47">
        <f>X2876-Y2876</f>
        <v/>
      </c>
    </row>
    <row r="2877">
      <c r="A2877" t="n">
        <v>14</v>
      </c>
      <c r="B2877" s="44">
        <f>FiscalStart+(A2877-1)*7</f>
        <v/>
      </c>
      <c r="C2877">
        <f>TEXT(B2877,"mmm yyyy")</f>
        <v/>
      </c>
      <c r="D2877">
        <f>"Q"&amp;(INT((A2877-1)/13)+1)</f>
        <v/>
      </c>
      <c r="E2877" t="inlineStr">
        <is>
          <t>Specialty</t>
        </is>
      </c>
      <c r="F2877">
        <f>IFERROR(INDEX(ChFormat,MATCH(E2877,ChName,0)),"")</f>
        <v/>
      </c>
      <c r="G2877" t="inlineStr">
        <is>
          <t>ON</t>
        </is>
      </c>
      <c r="H2877">
        <f>IF(A2877&lt;=NWeeks,1,0)</f>
        <v/>
      </c>
      <c r="I2877">
        <f>INDEX(ChLaunch,MATCH(E2877,ChName,0))</f>
        <v/>
      </c>
      <c r="J2877">
        <f>INDEX(ChWeeksFull,MATCH(E2877,ChName,0))</f>
        <v/>
      </c>
      <c r="K2877">
        <f>INDEX(ChRamp,MATCH(E2877,ChName,0))</f>
        <v/>
      </c>
      <c r="L2877" s="45">
        <f>MIN(1,MAX(0,(A2877-I2877+1)*RampSpeed/J2877))</f>
        <v/>
      </c>
      <c r="M2877" s="45">
        <f>IF(A2877&lt;I2877,0,IF(K2877="S-curve",L2877*L2877*(3-2*L2877),L2877))</f>
        <v/>
      </c>
      <c r="N2877" s="45">
        <f>1+(INDEX(SeasonIdx,A2877)-1)*SeasonAmp</f>
        <v/>
      </c>
      <c r="O2877" s="45">
        <f>IFERROR(INDEX(PSPct,MATCH(E2877&amp;"|"&amp;G2877,PSKey,0)),0)</f>
        <v/>
      </c>
      <c r="P2877" s="46">
        <f>INDEX(ChDoorVel,MATCH(E2877,ChName,0))*CalibScalar*(1+VelocityUplift)</f>
        <v/>
      </c>
      <c r="Q2877" s="46" t="n">
        <v>0</v>
      </c>
      <c r="R2877" s="46">
        <f>P2877*O2877*M2877*N2877*H2877</f>
        <v/>
      </c>
      <c r="S2877" s="46">
        <f>R2877*INDEX(FmtCansPerCase,MATCH(F2877,FmtName,0))</f>
        <v/>
      </c>
      <c r="T2877" s="46">
        <f>S2877/INDEX(FmtCansPerPack,MATCH(F2877,FmtName,0))</f>
        <v/>
      </c>
      <c r="U2877" s="47">
        <f>INDEX(ChBaseCP,MATCH(E2877,ChName,0))*(1+INDEX(ProvMod,MATCH(G2877,ProvCode,0)))*(1+PriceIndex)</f>
        <v/>
      </c>
      <c r="V2877" s="47">
        <f>R2877*U2877*INDEX(FmtBlendedPriceIdx,MATCH(F2877,FmtName,0))</f>
        <v/>
      </c>
      <c r="W2877" s="47">
        <f>T2877*INDEX(ProvSRP,MATCH(G2877,ProvCode,0))*(1+PriceIndex)</f>
        <v/>
      </c>
      <c r="X2877" s="47">
        <f>IF(GrossBasis="Wholesale",V2877,W2877)</f>
        <v/>
      </c>
      <c r="Y2877" s="47">
        <f>R2877*INDEX(FmtBlendedCogs,MATCH(F2877,FmtName,0))</f>
        <v/>
      </c>
      <c r="Z2877" s="47">
        <f>X2877-Y2877</f>
        <v/>
      </c>
    </row>
    <row r="2878">
      <c r="A2878" t="n">
        <v>15</v>
      </c>
      <c r="B2878" s="44">
        <f>FiscalStart+(A2878-1)*7</f>
        <v/>
      </c>
      <c r="C2878">
        <f>TEXT(B2878,"mmm yyyy")</f>
        <v/>
      </c>
      <c r="D2878">
        <f>"Q"&amp;(INT((A2878-1)/13)+1)</f>
        <v/>
      </c>
      <c r="E2878" t="inlineStr">
        <is>
          <t>Specialty</t>
        </is>
      </c>
      <c r="F2878">
        <f>IFERROR(INDEX(ChFormat,MATCH(E2878,ChName,0)),"")</f>
        <v/>
      </c>
      <c r="G2878" t="inlineStr">
        <is>
          <t>ON</t>
        </is>
      </c>
      <c r="H2878">
        <f>IF(A2878&lt;=NWeeks,1,0)</f>
        <v/>
      </c>
      <c r="I2878">
        <f>INDEX(ChLaunch,MATCH(E2878,ChName,0))</f>
        <v/>
      </c>
      <c r="J2878">
        <f>INDEX(ChWeeksFull,MATCH(E2878,ChName,0))</f>
        <v/>
      </c>
      <c r="K2878">
        <f>INDEX(ChRamp,MATCH(E2878,ChName,0))</f>
        <v/>
      </c>
      <c r="L2878" s="45">
        <f>MIN(1,MAX(0,(A2878-I2878+1)*RampSpeed/J2878))</f>
        <v/>
      </c>
      <c r="M2878" s="45">
        <f>IF(A2878&lt;I2878,0,IF(K2878="S-curve",L2878*L2878*(3-2*L2878),L2878))</f>
        <v/>
      </c>
      <c r="N2878" s="45">
        <f>1+(INDEX(SeasonIdx,A2878)-1)*SeasonAmp</f>
        <v/>
      </c>
      <c r="O2878" s="45">
        <f>IFERROR(INDEX(PSPct,MATCH(E2878&amp;"|"&amp;G2878,PSKey,0)),0)</f>
        <v/>
      </c>
      <c r="P2878" s="46">
        <f>INDEX(ChDoorVel,MATCH(E2878,ChName,0))*CalibScalar*(1+VelocityUplift)</f>
        <v/>
      </c>
      <c r="Q2878" s="46" t="n">
        <v>0</v>
      </c>
      <c r="R2878" s="46">
        <f>P2878*O2878*M2878*N2878*H2878</f>
        <v/>
      </c>
      <c r="S2878" s="46">
        <f>R2878*INDEX(FmtCansPerCase,MATCH(F2878,FmtName,0))</f>
        <v/>
      </c>
      <c r="T2878" s="46">
        <f>S2878/INDEX(FmtCansPerPack,MATCH(F2878,FmtName,0))</f>
        <v/>
      </c>
      <c r="U2878" s="47">
        <f>INDEX(ChBaseCP,MATCH(E2878,ChName,0))*(1+INDEX(ProvMod,MATCH(G2878,ProvCode,0)))*(1+PriceIndex)</f>
        <v/>
      </c>
      <c r="V2878" s="47">
        <f>R2878*U2878*INDEX(FmtBlendedPriceIdx,MATCH(F2878,FmtName,0))</f>
        <v/>
      </c>
      <c r="W2878" s="47">
        <f>T2878*INDEX(ProvSRP,MATCH(G2878,ProvCode,0))*(1+PriceIndex)</f>
        <v/>
      </c>
      <c r="X2878" s="47">
        <f>IF(GrossBasis="Wholesale",V2878,W2878)</f>
        <v/>
      </c>
      <c r="Y2878" s="47">
        <f>R2878*INDEX(FmtBlendedCogs,MATCH(F2878,FmtName,0))</f>
        <v/>
      </c>
      <c r="Z2878" s="47">
        <f>X2878-Y2878</f>
        <v/>
      </c>
    </row>
    <row r="2879">
      <c r="A2879" t="n">
        <v>16</v>
      </c>
      <c r="B2879" s="44">
        <f>FiscalStart+(A2879-1)*7</f>
        <v/>
      </c>
      <c r="C2879">
        <f>TEXT(B2879,"mmm yyyy")</f>
        <v/>
      </c>
      <c r="D2879">
        <f>"Q"&amp;(INT((A2879-1)/13)+1)</f>
        <v/>
      </c>
      <c r="E2879" t="inlineStr">
        <is>
          <t>Specialty</t>
        </is>
      </c>
      <c r="F2879">
        <f>IFERROR(INDEX(ChFormat,MATCH(E2879,ChName,0)),"")</f>
        <v/>
      </c>
      <c r="G2879" t="inlineStr">
        <is>
          <t>ON</t>
        </is>
      </c>
      <c r="H2879">
        <f>IF(A2879&lt;=NWeeks,1,0)</f>
        <v/>
      </c>
      <c r="I2879">
        <f>INDEX(ChLaunch,MATCH(E2879,ChName,0))</f>
        <v/>
      </c>
      <c r="J2879">
        <f>INDEX(ChWeeksFull,MATCH(E2879,ChName,0))</f>
        <v/>
      </c>
      <c r="K2879">
        <f>INDEX(ChRamp,MATCH(E2879,ChName,0))</f>
        <v/>
      </c>
      <c r="L2879" s="45">
        <f>MIN(1,MAX(0,(A2879-I2879+1)*RampSpeed/J2879))</f>
        <v/>
      </c>
      <c r="M2879" s="45">
        <f>IF(A2879&lt;I2879,0,IF(K2879="S-curve",L2879*L2879*(3-2*L2879),L2879))</f>
        <v/>
      </c>
      <c r="N2879" s="45">
        <f>1+(INDEX(SeasonIdx,A2879)-1)*SeasonAmp</f>
        <v/>
      </c>
      <c r="O2879" s="45">
        <f>IFERROR(INDEX(PSPct,MATCH(E2879&amp;"|"&amp;G2879,PSKey,0)),0)</f>
        <v/>
      </c>
      <c r="P2879" s="46">
        <f>INDEX(ChDoorVel,MATCH(E2879,ChName,0))*CalibScalar*(1+VelocityUplift)</f>
        <v/>
      </c>
      <c r="Q2879" s="46" t="n">
        <v>0</v>
      </c>
      <c r="R2879" s="46">
        <f>P2879*O2879*M2879*N2879*H2879</f>
        <v/>
      </c>
      <c r="S2879" s="46">
        <f>R2879*INDEX(FmtCansPerCase,MATCH(F2879,FmtName,0))</f>
        <v/>
      </c>
      <c r="T2879" s="46">
        <f>S2879/INDEX(FmtCansPerPack,MATCH(F2879,FmtName,0))</f>
        <v/>
      </c>
      <c r="U2879" s="47">
        <f>INDEX(ChBaseCP,MATCH(E2879,ChName,0))*(1+INDEX(ProvMod,MATCH(G2879,ProvCode,0)))*(1+PriceIndex)</f>
        <v/>
      </c>
      <c r="V2879" s="47">
        <f>R2879*U2879*INDEX(FmtBlendedPriceIdx,MATCH(F2879,FmtName,0))</f>
        <v/>
      </c>
      <c r="W2879" s="47">
        <f>T2879*INDEX(ProvSRP,MATCH(G2879,ProvCode,0))*(1+PriceIndex)</f>
        <v/>
      </c>
      <c r="X2879" s="47">
        <f>IF(GrossBasis="Wholesale",V2879,W2879)</f>
        <v/>
      </c>
      <c r="Y2879" s="47">
        <f>R2879*INDEX(FmtBlendedCogs,MATCH(F2879,FmtName,0))</f>
        <v/>
      </c>
      <c r="Z2879" s="47">
        <f>X2879-Y2879</f>
        <v/>
      </c>
    </row>
    <row r="2880">
      <c r="A2880" t="n">
        <v>17</v>
      </c>
      <c r="B2880" s="44">
        <f>FiscalStart+(A2880-1)*7</f>
        <v/>
      </c>
      <c r="C2880">
        <f>TEXT(B2880,"mmm yyyy")</f>
        <v/>
      </c>
      <c r="D2880">
        <f>"Q"&amp;(INT((A2880-1)/13)+1)</f>
        <v/>
      </c>
      <c r="E2880" t="inlineStr">
        <is>
          <t>Specialty</t>
        </is>
      </c>
      <c r="F2880">
        <f>IFERROR(INDEX(ChFormat,MATCH(E2880,ChName,0)),"")</f>
        <v/>
      </c>
      <c r="G2880" t="inlineStr">
        <is>
          <t>ON</t>
        </is>
      </c>
      <c r="H2880">
        <f>IF(A2880&lt;=NWeeks,1,0)</f>
        <v/>
      </c>
      <c r="I2880">
        <f>INDEX(ChLaunch,MATCH(E2880,ChName,0))</f>
        <v/>
      </c>
      <c r="J2880">
        <f>INDEX(ChWeeksFull,MATCH(E2880,ChName,0))</f>
        <v/>
      </c>
      <c r="K2880">
        <f>INDEX(ChRamp,MATCH(E2880,ChName,0))</f>
        <v/>
      </c>
      <c r="L2880" s="45">
        <f>MIN(1,MAX(0,(A2880-I2880+1)*RampSpeed/J2880))</f>
        <v/>
      </c>
      <c r="M2880" s="45">
        <f>IF(A2880&lt;I2880,0,IF(K2880="S-curve",L2880*L2880*(3-2*L2880),L2880))</f>
        <v/>
      </c>
      <c r="N2880" s="45">
        <f>1+(INDEX(SeasonIdx,A2880)-1)*SeasonAmp</f>
        <v/>
      </c>
      <c r="O2880" s="45">
        <f>IFERROR(INDEX(PSPct,MATCH(E2880&amp;"|"&amp;G2880,PSKey,0)),0)</f>
        <v/>
      </c>
      <c r="P2880" s="46">
        <f>INDEX(ChDoorVel,MATCH(E2880,ChName,0))*CalibScalar*(1+VelocityUplift)</f>
        <v/>
      </c>
      <c r="Q2880" s="46" t="n">
        <v>0</v>
      </c>
      <c r="R2880" s="46">
        <f>P2880*O2880*M2880*N2880*H2880</f>
        <v/>
      </c>
      <c r="S2880" s="46">
        <f>R2880*INDEX(FmtCansPerCase,MATCH(F2880,FmtName,0))</f>
        <v/>
      </c>
      <c r="T2880" s="46">
        <f>S2880/INDEX(FmtCansPerPack,MATCH(F2880,FmtName,0))</f>
        <v/>
      </c>
      <c r="U2880" s="47">
        <f>INDEX(ChBaseCP,MATCH(E2880,ChName,0))*(1+INDEX(ProvMod,MATCH(G2880,ProvCode,0)))*(1+PriceIndex)</f>
        <v/>
      </c>
      <c r="V2880" s="47">
        <f>R2880*U2880*INDEX(FmtBlendedPriceIdx,MATCH(F2880,FmtName,0))</f>
        <v/>
      </c>
      <c r="W2880" s="47">
        <f>T2880*INDEX(ProvSRP,MATCH(G2880,ProvCode,0))*(1+PriceIndex)</f>
        <v/>
      </c>
      <c r="X2880" s="47">
        <f>IF(GrossBasis="Wholesale",V2880,W2880)</f>
        <v/>
      </c>
      <c r="Y2880" s="47">
        <f>R2880*INDEX(FmtBlendedCogs,MATCH(F2880,FmtName,0))</f>
        <v/>
      </c>
      <c r="Z2880" s="47">
        <f>X2880-Y2880</f>
        <v/>
      </c>
    </row>
    <row r="2881">
      <c r="A2881" t="n">
        <v>18</v>
      </c>
      <c r="B2881" s="44">
        <f>FiscalStart+(A2881-1)*7</f>
        <v/>
      </c>
      <c r="C2881">
        <f>TEXT(B2881,"mmm yyyy")</f>
        <v/>
      </c>
      <c r="D2881">
        <f>"Q"&amp;(INT((A2881-1)/13)+1)</f>
        <v/>
      </c>
      <c r="E2881" t="inlineStr">
        <is>
          <t>Specialty</t>
        </is>
      </c>
      <c r="F2881">
        <f>IFERROR(INDEX(ChFormat,MATCH(E2881,ChName,0)),"")</f>
        <v/>
      </c>
      <c r="G2881" t="inlineStr">
        <is>
          <t>ON</t>
        </is>
      </c>
      <c r="H2881">
        <f>IF(A2881&lt;=NWeeks,1,0)</f>
        <v/>
      </c>
      <c r="I2881">
        <f>INDEX(ChLaunch,MATCH(E2881,ChName,0))</f>
        <v/>
      </c>
      <c r="J2881">
        <f>INDEX(ChWeeksFull,MATCH(E2881,ChName,0))</f>
        <v/>
      </c>
      <c r="K2881">
        <f>INDEX(ChRamp,MATCH(E2881,ChName,0))</f>
        <v/>
      </c>
      <c r="L2881" s="45">
        <f>MIN(1,MAX(0,(A2881-I2881+1)*RampSpeed/J2881))</f>
        <v/>
      </c>
      <c r="M2881" s="45">
        <f>IF(A2881&lt;I2881,0,IF(K2881="S-curve",L2881*L2881*(3-2*L2881),L2881))</f>
        <v/>
      </c>
      <c r="N2881" s="45">
        <f>1+(INDEX(SeasonIdx,A2881)-1)*SeasonAmp</f>
        <v/>
      </c>
      <c r="O2881" s="45">
        <f>IFERROR(INDEX(PSPct,MATCH(E2881&amp;"|"&amp;G2881,PSKey,0)),0)</f>
        <v/>
      </c>
      <c r="P2881" s="46">
        <f>INDEX(ChDoorVel,MATCH(E2881,ChName,0))*CalibScalar*(1+VelocityUplift)</f>
        <v/>
      </c>
      <c r="Q2881" s="46" t="n">
        <v>0</v>
      </c>
      <c r="R2881" s="46">
        <f>P2881*O2881*M2881*N2881*H2881</f>
        <v/>
      </c>
      <c r="S2881" s="46">
        <f>R2881*INDEX(FmtCansPerCase,MATCH(F2881,FmtName,0))</f>
        <v/>
      </c>
      <c r="T2881" s="46">
        <f>S2881/INDEX(FmtCansPerPack,MATCH(F2881,FmtName,0))</f>
        <v/>
      </c>
      <c r="U2881" s="47">
        <f>INDEX(ChBaseCP,MATCH(E2881,ChName,0))*(1+INDEX(ProvMod,MATCH(G2881,ProvCode,0)))*(1+PriceIndex)</f>
        <v/>
      </c>
      <c r="V2881" s="47">
        <f>R2881*U2881*INDEX(FmtBlendedPriceIdx,MATCH(F2881,FmtName,0))</f>
        <v/>
      </c>
      <c r="W2881" s="47">
        <f>T2881*INDEX(ProvSRP,MATCH(G2881,ProvCode,0))*(1+PriceIndex)</f>
        <v/>
      </c>
      <c r="X2881" s="47">
        <f>IF(GrossBasis="Wholesale",V2881,W2881)</f>
        <v/>
      </c>
      <c r="Y2881" s="47">
        <f>R2881*INDEX(FmtBlendedCogs,MATCH(F2881,FmtName,0))</f>
        <v/>
      </c>
      <c r="Z2881" s="47">
        <f>X2881-Y2881</f>
        <v/>
      </c>
    </row>
    <row r="2882">
      <c r="A2882" t="n">
        <v>19</v>
      </c>
      <c r="B2882" s="44">
        <f>FiscalStart+(A2882-1)*7</f>
        <v/>
      </c>
      <c r="C2882">
        <f>TEXT(B2882,"mmm yyyy")</f>
        <v/>
      </c>
      <c r="D2882">
        <f>"Q"&amp;(INT((A2882-1)/13)+1)</f>
        <v/>
      </c>
      <c r="E2882" t="inlineStr">
        <is>
          <t>Specialty</t>
        </is>
      </c>
      <c r="F2882">
        <f>IFERROR(INDEX(ChFormat,MATCH(E2882,ChName,0)),"")</f>
        <v/>
      </c>
      <c r="G2882" t="inlineStr">
        <is>
          <t>ON</t>
        </is>
      </c>
      <c r="H2882">
        <f>IF(A2882&lt;=NWeeks,1,0)</f>
        <v/>
      </c>
      <c r="I2882">
        <f>INDEX(ChLaunch,MATCH(E2882,ChName,0))</f>
        <v/>
      </c>
      <c r="J2882">
        <f>INDEX(ChWeeksFull,MATCH(E2882,ChName,0))</f>
        <v/>
      </c>
      <c r="K2882">
        <f>INDEX(ChRamp,MATCH(E2882,ChName,0))</f>
        <v/>
      </c>
      <c r="L2882" s="45">
        <f>MIN(1,MAX(0,(A2882-I2882+1)*RampSpeed/J2882))</f>
        <v/>
      </c>
      <c r="M2882" s="45">
        <f>IF(A2882&lt;I2882,0,IF(K2882="S-curve",L2882*L2882*(3-2*L2882),L2882))</f>
        <v/>
      </c>
      <c r="N2882" s="45">
        <f>1+(INDEX(SeasonIdx,A2882)-1)*SeasonAmp</f>
        <v/>
      </c>
      <c r="O2882" s="45">
        <f>IFERROR(INDEX(PSPct,MATCH(E2882&amp;"|"&amp;G2882,PSKey,0)),0)</f>
        <v/>
      </c>
      <c r="P2882" s="46">
        <f>INDEX(ChDoorVel,MATCH(E2882,ChName,0))*CalibScalar*(1+VelocityUplift)</f>
        <v/>
      </c>
      <c r="Q2882" s="46" t="n">
        <v>0</v>
      </c>
      <c r="R2882" s="46">
        <f>P2882*O2882*M2882*N2882*H2882</f>
        <v/>
      </c>
      <c r="S2882" s="46">
        <f>R2882*INDEX(FmtCansPerCase,MATCH(F2882,FmtName,0))</f>
        <v/>
      </c>
      <c r="T2882" s="46">
        <f>S2882/INDEX(FmtCansPerPack,MATCH(F2882,FmtName,0))</f>
        <v/>
      </c>
      <c r="U2882" s="47">
        <f>INDEX(ChBaseCP,MATCH(E2882,ChName,0))*(1+INDEX(ProvMod,MATCH(G2882,ProvCode,0)))*(1+PriceIndex)</f>
        <v/>
      </c>
      <c r="V2882" s="47">
        <f>R2882*U2882*INDEX(FmtBlendedPriceIdx,MATCH(F2882,FmtName,0))</f>
        <v/>
      </c>
      <c r="W2882" s="47">
        <f>T2882*INDEX(ProvSRP,MATCH(G2882,ProvCode,0))*(1+PriceIndex)</f>
        <v/>
      </c>
      <c r="X2882" s="47">
        <f>IF(GrossBasis="Wholesale",V2882,W2882)</f>
        <v/>
      </c>
      <c r="Y2882" s="47">
        <f>R2882*INDEX(FmtBlendedCogs,MATCH(F2882,FmtName,0))</f>
        <v/>
      </c>
      <c r="Z2882" s="47">
        <f>X2882-Y2882</f>
        <v/>
      </c>
    </row>
    <row r="2883">
      <c r="A2883" t="n">
        <v>20</v>
      </c>
      <c r="B2883" s="44">
        <f>FiscalStart+(A2883-1)*7</f>
        <v/>
      </c>
      <c r="C2883">
        <f>TEXT(B2883,"mmm yyyy")</f>
        <v/>
      </c>
      <c r="D2883">
        <f>"Q"&amp;(INT((A2883-1)/13)+1)</f>
        <v/>
      </c>
      <c r="E2883" t="inlineStr">
        <is>
          <t>Specialty</t>
        </is>
      </c>
      <c r="F2883">
        <f>IFERROR(INDEX(ChFormat,MATCH(E2883,ChName,0)),"")</f>
        <v/>
      </c>
      <c r="G2883" t="inlineStr">
        <is>
          <t>ON</t>
        </is>
      </c>
      <c r="H2883">
        <f>IF(A2883&lt;=NWeeks,1,0)</f>
        <v/>
      </c>
      <c r="I2883">
        <f>INDEX(ChLaunch,MATCH(E2883,ChName,0))</f>
        <v/>
      </c>
      <c r="J2883">
        <f>INDEX(ChWeeksFull,MATCH(E2883,ChName,0))</f>
        <v/>
      </c>
      <c r="K2883">
        <f>INDEX(ChRamp,MATCH(E2883,ChName,0))</f>
        <v/>
      </c>
      <c r="L2883" s="45">
        <f>MIN(1,MAX(0,(A2883-I2883+1)*RampSpeed/J2883))</f>
        <v/>
      </c>
      <c r="M2883" s="45">
        <f>IF(A2883&lt;I2883,0,IF(K2883="S-curve",L2883*L2883*(3-2*L2883),L2883))</f>
        <v/>
      </c>
      <c r="N2883" s="45">
        <f>1+(INDEX(SeasonIdx,A2883)-1)*SeasonAmp</f>
        <v/>
      </c>
      <c r="O2883" s="45">
        <f>IFERROR(INDEX(PSPct,MATCH(E2883&amp;"|"&amp;G2883,PSKey,0)),0)</f>
        <v/>
      </c>
      <c r="P2883" s="46">
        <f>INDEX(ChDoorVel,MATCH(E2883,ChName,0))*CalibScalar*(1+VelocityUplift)</f>
        <v/>
      </c>
      <c r="Q2883" s="46" t="n">
        <v>0</v>
      </c>
      <c r="R2883" s="46">
        <f>P2883*O2883*M2883*N2883*H2883</f>
        <v/>
      </c>
      <c r="S2883" s="46">
        <f>R2883*INDEX(FmtCansPerCase,MATCH(F2883,FmtName,0))</f>
        <v/>
      </c>
      <c r="T2883" s="46">
        <f>S2883/INDEX(FmtCansPerPack,MATCH(F2883,FmtName,0))</f>
        <v/>
      </c>
      <c r="U2883" s="47">
        <f>INDEX(ChBaseCP,MATCH(E2883,ChName,0))*(1+INDEX(ProvMod,MATCH(G2883,ProvCode,0)))*(1+PriceIndex)</f>
        <v/>
      </c>
      <c r="V2883" s="47">
        <f>R2883*U2883*INDEX(FmtBlendedPriceIdx,MATCH(F2883,FmtName,0))</f>
        <v/>
      </c>
      <c r="W2883" s="47">
        <f>T2883*INDEX(ProvSRP,MATCH(G2883,ProvCode,0))*(1+PriceIndex)</f>
        <v/>
      </c>
      <c r="X2883" s="47">
        <f>IF(GrossBasis="Wholesale",V2883,W2883)</f>
        <v/>
      </c>
      <c r="Y2883" s="47">
        <f>R2883*INDEX(FmtBlendedCogs,MATCH(F2883,FmtName,0))</f>
        <v/>
      </c>
      <c r="Z2883" s="47">
        <f>X2883-Y2883</f>
        <v/>
      </c>
    </row>
    <row r="2884">
      <c r="A2884" t="n">
        <v>21</v>
      </c>
      <c r="B2884" s="44">
        <f>FiscalStart+(A2884-1)*7</f>
        <v/>
      </c>
      <c r="C2884">
        <f>TEXT(B2884,"mmm yyyy")</f>
        <v/>
      </c>
      <c r="D2884">
        <f>"Q"&amp;(INT((A2884-1)/13)+1)</f>
        <v/>
      </c>
      <c r="E2884" t="inlineStr">
        <is>
          <t>Specialty</t>
        </is>
      </c>
      <c r="F2884">
        <f>IFERROR(INDEX(ChFormat,MATCH(E2884,ChName,0)),"")</f>
        <v/>
      </c>
      <c r="G2884" t="inlineStr">
        <is>
          <t>ON</t>
        </is>
      </c>
      <c r="H2884">
        <f>IF(A2884&lt;=NWeeks,1,0)</f>
        <v/>
      </c>
      <c r="I2884">
        <f>INDEX(ChLaunch,MATCH(E2884,ChName,0))</f>
        <v/>
      </c>
      <c r="J2884">
        <f>INDEX(ChWeeksFull,MATCH(E2884,ChName,0))</f>
        <v/>
      </c>
      <c r="K2884">
        <f>INDEX(ChRamp,MATCH(E2884,ChName,0))</f>
        <v/>
      </c>
      <c r="L2884" s="45">
        <f>MIN(1,MAX(0,(A2884-I2884+1)*RampSpeed/J2884))</f>
        <v/>
      </c>
      <c r="M2884" s="45">
        <f>IF(A2884&lt;I2884,0,IF(K2884="S-curve",L2884*L2884*(3-2*L2884),L2884))</f>
        <v/>
      </c>
      <c r="N2884" s="45">
        <f>1+(INDEX(SeasonIdx,A2884)-1)*SeasonAmp</f>
        <v/>
      </c>
      <c r="O2884" s="45">
        <f>IFERROR(INDEX(PSPct,MATCH(E2884&amp;"|"&amp;G2884,PSKey,0)),0)</f>
        <v/>
      </c>
      <c r="P2884" s="46">
        <f>INDEX(ChDoorVel,MATCH(E2884,ChName,0))*CalibScalar*(1+VelocityUplift)</f>
        <v/>
      </c>
      <c r="Q2884" s="46" t="n">
        <v>0</v>
      </c>
      <c r="R2884" s="46">
        <f>P2884*O2884*M2884*N2884*H2884</f>
        <v/>
      </c>
      <c r="S2884" s="46">
        <f>R2884*INDEX(FmtCansPerCase,MATCH(F2884,FmtName,0))</f>
        <v/>
      </c>
      <c r="T2884" s="46">
        <f>S2884/INDEX(FmtCansPerPack,MATCH(F2884,FmtName,0))</f>
        <v/>
      </c>
      <c r="U2884" s="47">
        <f>INDEX(ChBaseCP,MATCH(E2884,ChName,0))*(1+INDEX(ProvMod,MATCH(G2884,ProvCode,0)))*(1+PriceIndex)</f>
        <v/>
      </c>
      <c r="V2884" s="47">
        <f>R2884*U2884*INDEX(FmtBlendedPriceIdx,MATCH(F2884,FmtName,0))</f>
        <v/>
      </c>
      <c r="W2884" s="47">
        <f>T2884*INDEX(ProvSRP,MATCH(G2884,ProvCode,0))*(1+PriceIndex)</f>
        <v/>
      </c>
      <c r="X2884" s="47">
        <f>IF(GrossBasis="Wholesale",V2884,W2884)</f>
        <v/>
      </c>
      <c r="Y2884" s="47">
        <f>R2884*INDEX(FmtBlendedCogs,MATCH(F2884,FmtName,0))</f>
        <v/>
      </c>
      <c r="Z2884" s="47">
        <f>X2884-Y2884</f>
        <v/>
      </c>
    </row>
    <row r="2885">
      <c r="A2885" t="n">
        <v>22</v>
      </c>
      <c r="B2885" s="44">
        <f>FiscalStart+(A2885-1)*7</f>
        <v/>
      </c>
      <c r="C2885">
        <f>TEXT(B2885,"mmm yyyy")</f>
        <v/>
      </c>
      <c r="D2885">
        <f>"Q"&amp;(INT((A2885-1)/13)+1)</f>
        <v/>
      </c>
      <c r="E2885" t="inlineStr">
        <is>
          <t>Specialty</t>
        </is>
      </c>
      <c r="F2885">
        <f>IFERROR(INDEX(ChFormat,MATCH(E2885,ChName,0)),"")</f>
        <v/>
      </c>
      <c r="G2885" t="inlineStr">
        <is>
          <t>ON</t>
        </is>
      </c>
      <c r="H2885">
        <f>IF(A2885&lt;=NWeeks,1,0)</f>
        <v/>
      </c>
      <c r="I2885">
        <f>INDEX(ChLaunch,MATCH(E2885,ChName,0))</f>
        <v/>
      </c>
      <c r="J2885">
        <f>INDEX(ChWeeksFull,MATCH(E2885,ChName,0))</f>
        <v/>
      </c>
      <c r="K2885">
        <f>INDEX(ChRamp,MATCH(E2885,ChName,0))</f>
        <v/>
      </c>
      <c r="L2885" s="45">
        <f>MIN(1,MAX(0,(A2885-I2885+1)*RampSpeed/J2885))</f>
        <v/>
      </c>
      <c r="M2885" s="45">
        <f>IF(A2885&lt;I2885,0,IF(K2885="S-curve",L2885*L2885*(3-2*L2885),L2885))</f>
        <v/>
      </c>
      <c r="N2885" s="45">
        <f>1+(INDEX(SeasonIdx,A2885)-1)*SeasonAmp</f>
        <v/>
      </c>
      <c r="O2885" s="45">
        <f>IFERROR(INDEX(PSPct,MATCH(E2885&amp;"|"&amp;G2885,PSKey,0)),0)</f>
        <v/>
      </c>
      <c r="P2885" s="46">
        <f>INDEX(ChDoorVel,MATCH(E2885,ChName,0))*CalibScalar*(1+VelocityUplift)</f>
        <v/>
      </c>
      <c r="Q2885" s="46" t="n">
        <v>0</v>
      </c>
      <c r="R2885" s="46">
        <f>P2885*O2885*M2885*N2885*H2885</f>
        <v/>
      </c>
      <c r="S2885" s="46">
        <f>R2885*INDEX(FmtCansPerCase,MATCH(F2885,FmtName,0))</f>
        <v/>
      </c>
      <c r="T2885" s="46">
        <f>S2885/INDEX(FmtCansPerPack,MATCH(F2885,FmtName,0))</f>
        <v/>
      </c>
      <c r="U2885" s="47">
        <f>INDEX(ChBaseCP,MATCH(E2885,ChName,0))*(1+INDEX(ProvMod,MATCH(G2885,ProvCode,0)))*(1+PriceIndex)</f>
        <v/>
      </c>
      <c r="V2885" s="47">
        <f>R2885*U2885*INDEX(FmtBlendedPriceIdx,MATCH(F2885,FmtName,0))</f>
        <v/>
      </c>
      <c r="W2885" s="47">
        <f>T2885*INDEX(ProvSRP,MATCH(G2885,ProvCode,0))*(1+PriceIndex)</f>
        <v/>
      </c>
      <c r="X2885" s="47">
        <f>IF(GrossBasis="Wholesale",V2885,W2885)</f>
        <v/>
      </c>
      <c r="Y2885" s="47">
        <f>R2885*INDEX(FmtBlendedCogs,MATCH(F2885,FmtName,0))</f>
        <v/>
      </c>
      <c r="Z2885" s="47">
        <f>X2885-Y2885</f>
        <v/>
      </c>
    </row>
    <row r="2886">
      <c r="A2886" t="n">
        <v>23</v>
      </c>
      <c r="B2886" s="44">
        <f>FiscalStart+(A2886-1)*7</f>
        <v/>
      </c>
      <c r="C2886">
        <f>TEXT(B2886,"mmm yyyy")</f>
        <v/>
      </c>
      <c r="D2886">
        <f>"Q"&amp;(INT((A2886-1)/13)+1)</f>
        <v/>
      </c>
      <c r="E2886" t="inlineStr">
        <is>
          <t>Specialty</t>
        </is>
      </c>
      <c r="F2886">
        <f>IFERROR(INDEX(ChFormat,MATCH(E2886,ChName,0)),"")</f>
        <v/>
      </c>
      <c r="G2886" t="inlineStr">
        <is>
          <t>ON</t>
        </is>
      </c>
      <c r="H2886">
        <f>IF(A2886&lt;=NWeeks,1,0)</f>
        <v/>
      </c>
      <c r="I2886">
        <f>INDEX(ChLaunch,MATCH(E2886,ChName,0))</f>
        <v/>
      </c>
      <c r="J2886">
        <f>INDEX(ChWeeksFull,MATCH(E2886,ChName,0))</f>
        <v/>
      </c>
      <c r="K2886">
        <f>INDEX(ChRamp,MATCH(E2886,ChName,0))</f>
        <v/>
      </c>
      <c r="L2886" s="45">
        <f>MIN(1,MAX(0,(A2886-I2886+1)*RampSpeed/J2886))</f>
        <v/>
      </c>
      <c r="M2886" s="45">
        <f>IF(A2886&lt;I2886,0,IF(K2886="S-curve",L2886*L2886*(3-2*L2886),L2886))</f>
        <v/>
      </c>
      <c r="N2886" s="45">
        <f>1+(INDEX(SeasonIdx,A2886)-1)*SeasonAmp</f>
        <v/>
      </c>
      <c r="O2886" s="45">
        <f>IFERROR(INDEX(PSPct,MATCH(E2886&amp;"|"&amp;G2886,PSKey,0)),0)</f>
        <v/>
      </c>
      <c r="P2886" s="46">
        <f>INDEX(ChDoorVel,MATCH(E2886,ChName,0))*CalibScalar*(1+VelocityUplift)</f>
        <v/>
      </c>
      <c r="Q2886" s="46" t="n">
        <v>0</v>
      </c>
      <c r="R2886" s="46">
        <f>P2886*O2886*M2886*N2886*H2886</f>
        <v/>
      </c>
      <c r="S2886" s="46">
        <f>R2886*INDEX(FmtCansPerCase,MATCH(F2886,FmtName,0))</f>
        <v/>
      </c>
      <c r="T2886" s="46">
        <f>S2886/INDEX(FmtCansPerPack,MATCH(F2886,FmtName,0))</f>
        <v/>
      </c>
      <c r="U2886" s="47">
        <f>INDEX(ChBaseCP,MATCH(E2886,ChName,0))*(1+INDEX(ProvMod,MATCH(G2886,ProvCode,0)))*(1+PriceIndex)</f>
        <v/>
      </c>
      <c r="V2886" s="47">
        <f>R2886*U2886*INDEX(FmtBlendedPriceIdx,MATCH(F2886,FmtName,0))</f>
        <v/>
      </c>
      <c r="W2886" s="47">
        <f>T2886*INDEX(ProvSRP,MATCH(G2886,ProvCode,0))*(1+PriceIndex)</f>
        <v/>
      </c>
      <c r="X2886" s="47">
        <f>IF(GrossBasis="Wholesale",V2886,W2886)</f>
        <v/>
      </c>
      <c r="Y2886" s="47">
        <f>R2886*INDEX(FmtBlendedCogs,MATCH(F2886,FmtName,0))</f>
        <v/>
      </c>
      <c r="Z2886" s="47">
        <f>X2886-Y2886</f>
        <v/>
      </c>
    </row>
    <row r="2887">
      <c r="A2887" t="n">
        <v>24</v>
      </c>
      <c r="B2887" s="44">
        <f>FiscalStart+(A2887-1)*7</f>
        <v/>
      </c>
      <c r="C2887">
        <f>TEXT(B2887,"mmm yyyy")</f>
        <v/>
      </c>
      <c r="D2887">
        <f>"Q"&amp;(INT((A2887-1)/13)+1)</f>
        <v/>
      </c>
      <c r="E2887" t="inlineStr">
        <is>
          <t>Specialty</t>
        </is>
      </c>
      <c r="F2887">
        <f>IFERROR(INDEX(ChFormat,MATCH(E2887,ChName,0)),"")</f>
        <v/>
      </c>
      <c r="G2887" t="inlineStr">
        <is>
          <t>ON</t>
        </is>
      </c>
      <c r="H2887">
        <f>IF(A2887&lt;=NWeeks,1,0)</f>
        <v/>
      </c>
      <c r="I2887">
        <f>INDEX(ChLaunch,MATCH(E2887,ChName,0))</f>
        <v/>
      </c>
      <c r="J2887">
        <f>INDEX(ChWeeksFull,MATCH(E2887,ChName,0))</f>
        <v/>
      </c>
      <c r="K2887">
        <f>INDEX(ChRamp,MATCH(E2887,ChName,0))</f>
        <v/>
      </c>
      <c r="L2887" s="45">
        <f>MIN(1,MAX(0,(A2887-I2887+1)*RampSpeed/J2887))</f>
        <v/>
      </c>
      <c r="M2887" s="45">
        <f>IF(A2887&lt;I2887,0,IF(K2887="S-curve",L2887*L2887*(3-2*L2887),L2887))</f>
        <v/>
      </c>
      <c r="N2887" s="45">
        <f>1+(INDEX(SeasonIdx,A2887)-1)*SeasonAmp</f>
        <v/>
      </c>
      <c r="O2887" s="45">
        <f>IFERROR(INDEX(PSPct,MATCH(E2887&amp;"|"&amp;G2887,PSKey,0)),0)</f>
        <v/>
      </c>
      <c r="P2887" s="46">
        <f>INDEX(ChDoorVel,MATCH(E2887,ChName,0))*CalibScalar*(1+VelocityUplift)</f>
        <v/>
      </c>
      <c r="Q2887" s="46" t="n">
        <v>0</v>
      </c>
      <c r="R2887" s="46">
        <f>P2887*O2887*M2887*N2887*H2887</f>
        <v/>
      </c>
      <c r="S2887" s="46">
        <f>R2887*INDEX(FmtCansPerCase,MATCH(F2887,FmtName,0))</f>
        <v/>
      </c>
      <c r="T2887" s="46">
        <f>S2887/INDEX(FmtCansPerPack,MATCH(F2887,FmtName,0))</f>
        <v/>
      </c>
      <c r="U2887" s="47">
        <f>INDEX(ChBaseCP,MATCH(E2887,ChName,0))*(1+INDEX(ProvMod,MATCH(G2887,ProvCode,0)))*(1+PriceIndex)</f>
        <v/>
      </c>
      <c r="V2887" s="47">
        <f>R2887*U2887*INDEX(FmtBlendedPriceIdx,MATCH(F2887,FmtName,0))</f>
        <v/>
      </c>
      <c r="W2887" s="47">
        <f>T2887*INDEX(ProvSRP,MATCH(G2887,ProvCode,0))*(1+PriceIndex)</f>
        <v/>
      </c>
      <c r="X2887" s="47">
        <f>IF(GrossBasis="Wholesale",V2887,W2887)</f>
        <v/>
      </c>
      <c r="Y2887" s="47">
        <f>R2887*INDEX(FmtBlendedCogs,MATCH(F2887,FmtName,0))</f>
        <v/>
      </c>
      <c r="Z2887" s="47">
        <f>X2887-Y2887</f>
        <v/>
      </c>
    </row>
    <row r="2888">
      <c r="A2888" t="n">
        <v>25</v>
      </c>
      <c r="B2888" s="44">
        <f>FiscalStart+(A2888-1)*7</f>
        <v/>
      </c>
      <c r="C2888">
        <f>TEXT(B2888,"mmm yyyy")</f>
        <v/>
      </c>
      <c r="D2888">
        <f>"Q"&amp;(INT((A2888-1)/13)+1)</f>
        <v/>
      </c>
      <c r="E2888" t="inlineStr">
        <is>
          <t>Specialty</t>
        </is>
      </c>
      <c r="F2888">
        <f>IFERROR(INDEX(ChFormat,MATCH(E2888,ChName,0)),"")</f>
        <v/>
      </c>
      <c r="G2888" t="inlineStr">
        <is>
          <t>ON</t>
        </is>
      </c>
      <c r="H2888">
        <f>IF(A2888&lt;=NWeeks,1,0)</f>
        <v/>
      </c>
      <c r="I2888">
        <f>INDEX(ChLaunch,MATCH(E2888,ChName,0))</f>
        <v/>
      </c>
      <c r="J2888">
        <f>INDEX(ChWeeksFull,MATCH(E2888,ChName,0))</f>
        <v/>
      </c>
      <c r="K2888">
        <f>INDEX(ChRamp,MATCH(E2888,ChName,0))</f>
        <v/>
      </c>
      <c r="L2888" s="45">
        <f>MIN(1,MAX(0,(A2888-I2888+1)*RampSpeed/J2888))</f>
        <v/>
      </c>
      <c r="M2888" s="45">
        <f>IF(A2888&lt;I2888,0,IF(K2888="S-curve",L2888*L2888*(3-2*L2888),L2888))</f>
        <v/>
      </c>
      <c r="N2888" s="45">
        <f>1+(INDEX(SeasonIdx,A2888)-1)*SeasonAmp</f>
        <v/>
      </c>
      <c r="O2888" s="45">
        <f>IFERROR(INDEX(PSPct,MATCH(E2888&amp;"|"&amp;G2888,PSKey,0)),0)</f>
        <v/>
      </c>
      <c r="P2888" s="46">
        <f>INDEX(ChDoorVel,MATCH(E2888,ChName,0))*CalibScalar*(1+VelocityUplift)</f>
        <v/>
      </c>
      <c r="Q2888" s="46" t="n">
        <v>0</v>
      </c>
      <c r="R2888" s="46">
        <f>P2888*O2888*M2888*N2888*H2888</f>
        <v/>
      </c>
      <c r="S2888" s="46">
        <f>R2888*INDEX(FmtCansPerCase,MATCH(F2888,FmtName,0))</f>
        <v/>
      </c>
      <c r="T2888" s="46">
        <f>S2888/INDEX(FmtCansPerPack,MATCH(F2888,FmtName,0))</f>
        <v/>
      </c>
      <c r="U2888" s="47">
        <f>INDEX(ChBaseCP,MATCH(E2888,ChName,0))*(1+INDEX(ProvMod,MATCH(G2888,ProvCode,0)))*(1+PriceIndex)</f>
        <v/>
      </c>
      <c r="V2888" s="47">
        <f>R2888*U2888*INDEX(FmtBlendedPriceIdx,MATCH(F2888,FmtName,0))</f>
        <v/>
      </c>
      <c r="W2888" s="47">
        <f>T2888*INDEX(ProvSRP,MATCH(G2888,ProvCode,0))*(1+PriceIndex)</f>
        <v/>
      </c>
      <c r="X2888" s="47">
        <f>IF(GrossBasis="Wholesale",V2888,W2888)</f>
        <v/>
      </c>
      <c r="Y2888" s="47">
        <f>R2888*INDEX(FmtBlendedCogs,MATCH(F2888,FmtName,0))</f>
        <v/>
      </c>
      <c r="Z2888" s="47">
        <f>X2888-Y2888</f>
        <v/>
      </c>
    </row>
    <row r="2889">
      <c r="A2889" t="n">
        <v>26</v>
      </c>
      <c r="B2889" s="44">
        <f>FiscalStart+(A2889-1)*7</f>
        <v/>
      </c>
      <c r="C2889">
        <f>TEXT(B2889,"mmm yyyy")</f>
        <v/>
      </c>
      <c r="D2889">
        <f>"Q"&amp;(INT((A2889-1)/13)+1)</f>
        <v/>
      </c>
      <c r="E2889" t="inlineStr">
        <is>
          <t>Specialty</t>
        </is>
      </c>
      <c r="F2889">
        <f>IFERROR(INDEX(ChFormat,MATCH(E2889,ChName,0)),"")</f>
        <v/>
      </c>
      <c r="G2889" t="inlineStr">
        <is>
          <t>ON</t>
        </is>
      </c>
      <c r="H2889">
        <f>IF(A2889&lt;=NWeeks,1,0)</f>
        <v/>
      </c>
      <c r="I2889">
        <f>INDEX(ChLaunch,MATCH(E2889,ChName,0))</f>
        <v/>
      </c>
      <c r="J2889">
        <f>INDEX(ChWeeksFull,MATCH(E2889,ChName,0))</f>
        <v/>
      </c>
      <c r="K2889">
        <f>INDEX(ChRamp,MATCH(E2889,ChName,0))</f>
        <v/>
      </c>
      <c r="L2889" s="45">
        <f>MIN(1,MAX(0,(A2889-I2889+1)*RampSpeed/J2889))</f>
        <v/>
      </c>
      <c r="M2889" s="45">
        <f>IF(A2889&lt;I2889,0,IF(K2889="S-curve",L2889*L2889*(3-2*L2889),L2889))</f>
        <v/>
      </c>
      <c r="N2889" s="45">
        <f>1+(INDEX(SeasonIdx,A2889)-1)*SeasonAmp</f>
        <v/>
      </c>
      <c r="O2889" s="45">
        <f>IFERROR(INDEX(PSPct,MATCH(E2889&amp;"|"&amp;G2889,PSKey,0)),0)</f>
        <v/>
      </c>
      <c r="P2889" s="46">
        <f>INDEX(ChDoorVel,MATCH(E2889,ChName,0))*CalibScalar*(1+VelocityUplift)</f>
        <v/>
      </c>
      <c r="Q2889" s="46" t="n">
        <v>0</v>
      </c>
      <c r="R2889" s="46">
        <f>P2889*O2889*M2889*N2889*H2889</f>
        <v/>
      </c>
      <c r="S2889" s="46">
        <f>R2889*INDEX(FmtCansPerCase,MATCH(F2889,FmtName,0))</f>
        <v/>
      </c>
      <c r="T2889" s="46">
        <f>S2889/INDEX(FmtCansPerPack,MATCH(F2889,FmtName,0))</f>
        <v/>
      </c>
      <c r="U2889" s="47">
        <f>INDEX(ChBaseCP,MATCH(E2889,ChName,0))*(1+INDEX(ProvMod,MATCH(G2889,ProvCode,0)))*(1+PriceIndex)</f>
        <v/>
      </c>
      <c r="V2889" s="47">
        <f>R2889*U2889*INDEX(FmtBlendedPriceIdx,MATCH(F2889,FmtName,0))</f>
        <v/>
      </c>
      <c r="W2889" s="47">
        <f>T2889*INDEX(ProvSRP,MATCH(G2889,ProvCode,0))*(1+PriceIndex)</f>
        <v/>
      </c>
      <c r="X2889" s="47">
        <f>IF(GrossBasis="Wholesale",V2889,W2889)</f>
        <v/>
      </c>
      <c r="Y2889" s="47">
        <f>R2889*INDEX(FmtBlendedCogs,MATCH(F2889,FmtName,0))</f>
        <v/>
      </c>
      <c r="Z2889" s="47">
        <f>X2889-Y2889</f>
        <v/>
      </c>
    </row>
    <row r="2890">
      <c r="A2890" t="n">
        <v>27</v>
      </c>
      <c r="B2890" s="44">
        <f>FiscalStart+(A2890-1)*7</f>
        <v/>
      </c>
      <c r="C2890">
        <f>TEXT(B2890,"mmm yyyy")</f>
        <v/>
      </c>
      <c r="D2890">
        <f>"Q"&amp;(INT((A2890-1)/13)+1)</f>
        <v/>
      </c>
      <c r="E2890" t="inlineStr">
        <is>
          <t>Specialty</t>
        </is>
      </c>
      <c r="F2890">
        <f>IFERROR(INDEX(ChFormat,MATCH(E2890,ChName,0)),"")</f>
        <v/>
      </c>
      <c r="G2890" t="inlineStr">
        <is>
          <t>ON</t>
        </is>
      </c>
      <c r="H2890">
        <f>IF(A2890&lt;=NWeeks,1,0)</f>
        <v/>
      </c>
      <c r="I2890">
        <f>INDEX(ChLaunch,MATCH(E2890,ChName,0))</f>
        <v/>
      </c>
      <c r="J2890">
        <f>INDEX(ChWeeksFull,MATCH(E2890,ChName,0))</f>
        <v/>
      </c>
      <c r="K2890">
        <f>INDEX(ChRamp,MATCH(E2890,ChName,0))</f>
        <v/>
      </c>
      <c r="L2890" s="45">
        <f>MIN(1,MAX(0,(A2890-I2890+1)*RampSpeed/J2890))</f>
        <v/>
      </c>
      <c r="M2890" s="45">
        <f>IF(A2890&lt;I2890,0,IF(K2890="S-curve",L2890*L2890*(3-2*L2890),L2890))</f>
        <v/>
      </c>
      <c r="N2890" s="45">
        <f>1+(INDEX(SeasonIdx,A2890)-1)*SeasonAmp</f>
        <v/>
      </c>
      <c r="O2890" s="45">
        <f>IFERROR(INDEX(PSPct,MATCH(E2890&amp;"|"&amp;G2890,PSKey,0)),0)</f>
        <v/>
      </c>
      <c r="P2890" s="46">
        <f>INDEX(ChDoorVel,MATCH(E2890,ChName,0))*CalibScalar*(1+VelocityUplift)</f>
        <v/>
      </c>
      <c r="Q2890" s="46" t="n">
        <v>0</v>
      </c>
      <c r="R2890" s="46">
        <f>P2890*O2890*M2890*N2890*H2890</f>
        <v/>
      </c>
      <c r="S2890" s="46">
        <f>R2890*INDEX(FmtCansPerCase,MATCH(F2890,FmtName,0))</f>
        <v/>
      </c>
      <c r="T2890" s="46">
        <f>S2890/INDEX(FmtCansPerPack,MATCH(F2890,FmtName,0))</f>
        <v/>
      </c>
      <c r="U2890" s="47">
        <f>INDEX(ChBaseCP,MATCH(E2890,ChName,0))*(1+INDEX(ProvMod,MATCH(G2890,ProvCode,0)))*(1+PriceIndex)</f>
        <v/>
      </c>
      <c r="V2890" s="47">
        <f>R2890*U2890*INDEX(FmtBlendedPriceIdx,MATCH(F2890,FmtName,0))</f>
        <v/>
      </c>
      <c r="W2890" s="47">
        <f>T2890*INDEX(ProvSRP,MATCH(G2890,ProvCode,0))*(1+PriceIndex)</f>
        <v/>
      </c>
      <c r="X2890" s="47">
        <f>IF(GrossBasis="Wholesale",V2890,W2890)</f>
        <v/>
      </c>
      <c r="Y2890" s="47">
        <f>R2890*INDEX(FmtBlendedCogs,MATCH(F2890,FmtName,0))</f>
        <v/>
      </c>
      <c r="Z2890" s="47">
        <f>X2890-Y2890</f>
        <v/>
      </c>
    </row>
    <row r="2891">
      <c r="A2891" t="n">
        <v>28</v>
      </c>
      <c r="B2891" s="44">
        <f>FiscalStart+(A2891-1)*7</f>
        <v/>
      </c>
      <c r="C2891">
        <f>TEXT(B2891,"mmm yyyy")</f>
        <v/>
      </c>
      <c r="D2891">
        <f>"Q"&amp;(INT((A2891-1)/13)+1)</f>
        <v/>
      </c>
      <c r="E2891" t="inlineStr">
        <is>
          <t>Specialty</t>
        </is>
      </c>
      <c r="F2891">
        <f>IFERROR(INDEX(ChFormat,MATCH(E2891,ChName,0)),"")</f>
        <v/>
      </c>
      <c r="G2891" t="inlineStr">
        <is>
          <t>ON</t>
        </is>
      </c>
      <c r="H2891">
        <f>IF(A2891&lt;=NWeeks,1,0)</f>
        <v/>
      </c>
      <c r="I2891">
        <f>INDEX(ChLaunch,MATCH(E2891,ChName,0))</f>
        <v/>
      </c>
      <c r="J2891">
        <f>INDEX(ChWeeksFull,MATCH(E2891,ChName,0))</f>
        <v/>
      </c>
      <c r="K2891">
        <f>INDEX(ChRamp,MATCH(E2891,ChName,0))</f>
        <v/>
      </c>
      <c r="L2891" s="45">
        <f>MIN(1,MAX(0,(A2891-I2891+1)*RampSpeed/J2891))</f>
        <v/>
      </c>
      <c r="M2891" s="45">
        <f>IF(A2891&lt;I2891,0,IF(K2891="S-curve",L2891*L2891*(3-2*L2891),L2891))</f>
        <v/>
      </c>
      <c r="N2891" s="45">
        <f>1+(INDEX(SeasonIdx,A2891)-1)*SeasonAmp</f>
        <v/>
      </c>
      <c r="O2891" s="45">
        <f>IFERROR(INDEX(PSPct,MATCH(E2891&amp;"|"&amp;G2891,PSKey,0)),0)</f>
        <v/>
      </c>
      <c r="P2891" s="46">
        <f>INDEX(ChDoorVel,MATCH(E2891,ChName,0))*CalibScalar*(1+VelocityUplift)</f>
        <v/>
      </c>
      <c r="Q2891" s="46" t="n">
        <v>0</v>
      </c>
      <c r="R2891" s="46">
        <f>P2891*O2891*M2891*N2891*H2891</f>
        <v/>
      </c>
      <c r="S2891" s="46">
        <f>R2891*INDEX(FmtCansPerCase,MATCH(F2891,FmtName,0))</f>
        <v/>
      </c>
      <c r="T2891" s="46">
        <f>S2891/INDEX(FmtCansPerPack,MATCH(F2891,FmtName,0))</f>
        <v/>
      </c>
      <c r="U2891" s="47">
        <f>INDEX(ChBaseCP,MATCH(E2891,ChName,0))*(1+INDEX(ProvMod,MATCH(G2891,ProvCode,0)))*(1+PriceIndex)</f>
        <v/>
      </c>
      <c r="V2891" s="47">
        <f>R2891*U2891*INDEX(FmtBlendedPriceIdx,MATCH(F2891,FmtName,0))</f>
        <v/>
      </c>
      <c r="W2891" s="47">
        <f>T2891*INDEX(ProvSRP,MATCH(G2891,ProvCode,0))*(1+PriceIndex)</f>
        <v/>
      </c>
      <c r="X2891" s="47">
        <f>IF(GrossBasis="Wholesale",V2891,W2891)</f>
        <v/>
      </c>
      <c r="Y2891" s="47">
        <f>R2891*INDEX(FmtBlendedCogs,MATCH(F2891,FmtName,0))</f>
        <v/>
      </c>
      <c r="Z2891" s="47">
        <f>X2891-Y2891</f>
        <v/>
      </c>
    </row>
    <row r="2892">
      <c r="A2892" t="n">
        <v>29</v>
      </c>
      <c r="B2892" s="44">
        <f>FiscalStart+(A2892-1)*7</f>
        <v/>
      </c>
      <c r="C2892">
        <f>TEXT(B2892,"mmm yyyy")</f>
        <v/>
      </c>
      <c r="D2892">
        <f>"Q"&amp;(INT((A2892-1)/13)+1)</f>
        <v/>
      </c>
      <c r="E2892" t="inlineStr">
        <is>
          <t>Specialty</t>
        </is>
      </c>
      <c r="F2892">
        <f>IFERROR(INDEX(ChFormat,MATCH(E2892,ChName,0)),"")</f>
        <v/>
      </c>
      <c r="G2892" t="inlineStr">
        <is>
          <t>ON</t>
        </is>
      </c>
      <c r="H2892">
        <f>IF(A2892&lt;=NWeeks,1,0)</f>
        <v/>
      </c>
      <c r="I2892">
        <f>INDEX(ChLaunch,MATCH(E2892,ChName,0))</f>
        <v/>
      </c>
      <c r="J2892">
        <f>INDEX(ChWeeksFull,MATCH(E2892,ChName,0))</f>
        <v/>
      </c>
      <c r="K2892">
        <f>INDEX(ChRamp,MATCH(E2892,ChName,0))</f>
        <v/>
      </c>
      <c r="L2892" s="45">
        <f>MIN(1,MAX(0,(A2892-I2892+1)*RampSpeed/J2892))</f>
        <v/>
      </c>
      <c r="M2892" s="45">
        <f>IF(A2892&lt;I2892,0,IF(K2892="S-curve",L2892*L2892*(3-2*L2892),L2892))</f>
        <v/>
      </c>
      <c r="N2892" s="45">
        <f>1+(INDEX(SeasonIdx,A2892)-1)*SeasonAmp</f>
        <v/>
      </c>
      <c r="O2892" s="45">
        <f>IFERROR(INDEX(PSPct,MATCH(E2892&amp;"|"&amp;G2892,PSKey,0)),0)</f>
        <v/>
      </c>
      <c r="P2892" s="46">
        <f>INDEX(ChDoorVel,MATCH(E2892,ChName,0))*CalibScalar*(1+VelocityUplift)</f>
        <v/>
      </c>
      <c r="Q2892" s="46" t="n">
        <v>0</v>
      </c>
      <c r="R2892" s="46">
        <f>P2892*O2892*M2892*N2892*H2892</f>
        <v/>
      </c>
      <c r="S2892" s="46">
        <f>R2892*INDEX(FmtCansPerCase,MATCH(F2892,FmtName,0))</f>
        <v/>
      </c>
      <c r="T2892" s="46">
        <f>S2892/INDEX(FmtCansPerPack,MATCH(F2892,FmtName,0))</f>
        <v/>
      </c>
      <c r="U2892" s="47">
        <f>INDEX(ChBaseCP,MATCH(E2892,ChName,0))*(1+INDEX(ProvMod,MATCH(G2892,ProvCode,0)))*(1+PriceIndex)</f>
        <v/>
      </c>
      <c r="V2892" s="47">
        <f>R2892*U2892*INDEX(FmtBlendedPriceIdx,MATCH(F2892,FmtName,0))</f>
        <v/>
      </c>
      <c r="W2892" s="47">
        <f>T2892*INDEX(ProvSRP,MATCH(G2892,ProvCode,0))*(1+PriceIndex)</f>
        <v/>
      </c>
      <c r="X2892" s="47">
        <f>IF(GrossBasis="Wholesale",V2892,W2892)</f>
        <v/>
      </c>
      <c r="Y2892" s="47">
        <f>R2892*INDEX(FmtBlendedCogs,MATCH(F2892,FmtName,0))</f>
        <v/>
      </c>
      <c r="Z2892" s="47">
        <f>X2892-Y2892</f>
        <v/>
      </c>
    </row>
    <row r="2893">
      <c r="A2893" t="n">
        <v>30</v>
      </c>
      <c r="B2893" s="44">
        <f>FiscalStart+(A2893-1)*7</f>
        <v/>
      </c>
      <c r="C2893">
        <f>TEXT(B2893,"mmm yyyy")</f>
        <v/>
      </c>
      <c r="D2893">
        <f>"Q"&amp;(INT((A2893-1)/13)+1)</f>
        <v/>
      </c>
      <c r="E2893" t="inlineStr">
        <is>
          <t>Specialty</t>
        </is>
      </c>
      <c r="F2893">
        <f>IFERROR(INDEX(ChFormat,MATCH(E2893,ChName,0)),"")</f>
        <v/>
      </c>
      <c r="G2893" t="inlineStr">
        <is>
          <t>ON</t>
        </is>
      </c>
      <c r="H2893">
        <f>IF(A2893&lt;=NWeeks,1,0)</f>
        <v/>
      </c>
      <c r="I2893">
        <f>INDEX(ChLaunch,MATCH(E2893,ChName,0))</f>
        <v/>
      </c>
      <c r="J2893">
        <f>INDEX(ChWeeksFull,MATCH(E2893,ChName,0))</f>
        <v/>
      </c>
      <c r="K2893">
        <f>INDEX(ChRamp,MATCH(E2893,ChName,0))</f>
        <v/>
      </c>
      <c r="L2893" s="45">
        <f>MIN(1,MAX(0,(A2893-I2893+1)*RampSpeed/J2893))</f>
        <v/>
      </c>
      <c r="M2893" s="45">
        <f>IF(A2893&lt;I2893,0,IF(K2893="S-curve",L2893*L2893*(3-2*L2893),L2893))</f>
        <v/>
      </c>
      <c r="N2893" s="45">
        <f>1+(INDEX(SeasonIdx,A2893)-1)*SeasonAmp</f>
        <v/>
      </c>
      <c r="O2893" s="45">
        <f>IFERROR(INDEX(PSPct,MATCH(E2893&amp;"|"&amp;G2893,PSKey,0)),0)</f>
        <v/>
      </c>
      <c r="P2893" s="46">
        <f>INDEX(ChDoorVel,MATCH(E2893,ChName,0))*CalibScalar*(1+VelocityUplift)</f>
        <v/>
      </c>
      <c r="Q2893" s="46" t="n">
        <v>0</v>
      </c>
      <c r="R2893" s="46">
        <f>P2893*O2893*M2893*N2893*H2893</f>
        <v/>
      </c>
      <c r="S2893" s="46">
        <f>R2893*INDEX(FmtCansPerCase,MATCH(F2893,FmtName,0))</f>
        <v/>
      </c>
      <c r="T2893" s="46">
        <f>S2893/INDEX(FmtCansPerPack,MATCH(F2893,FmtName,0))</f>
        <v/>
      </c>
      <c r="U2893" s="47">
        <f>INDEX(ChBaseCP,MATCH(E2893,ChName,0))*(1+INDEX(ProvMod,MATCH(G2893,ProvCode,0)))*(1+PriceIndex)</f>
        <v/>
      </c>
      <c r="V2893" s="47">
        <f>R2893*U2893*INDEX(FmtBlendedPriceIdx,MATCH(F2893,FmtName,0))</f>
        <v/>
      </c>
      <c r="W2893" s="47">
        <f>T2893*INDEX(ProvSRP,MATCH(G2893,ProvCode,0))*(1+PriceIndex)</f>
        <v/>
      </c>
      <c r="X2893" s="47">
        <f>IF(GrossBasis="Wholesale",V2893,W2893)</f>
        <v/>
      </c>
      <c r="Y2893" s="47">
        <f>R2893*INDEX(FmtBlendedCogs,MATCH(F2893,FmtName,0))</f>
        <v/>
      </c>
      <c r="Z2893" s="47">
        <f>X2893-Y2893</f>
        <v/>
      </c>
    </row>
    <row r="2894">
      <c r="A2894" t="n">
        <v>31</v>
      </c>
      <c r="B2894" s="44">
        <f>FiscalStart+(A2894-1)*7</f>
        <v/>
      </c>
      <c r="C2894">
        <f>TEXT(B2894,"mmm yyyy")</f>
        <v/>
      </c>
      <c r="D2894">
        <f>"Q"&amp;(INT((A2894-1)/13)+1)</f>
        <v/>
      </c>
      <c r="E2894" t="inlineStr">
        <is>
          <t>Specialty</t>
        </is>
      </c>
      <c r="F2894">
        <f>IFERROR(INDEX(ChFormat,MATCH(E2894,ChName,0)),"")</f>
        <v/>
      </c>
      <c r="G2894" t="inlineStr">
        <is>
          <t>ON</t>
        </is>
      </c>
      <c r="H2894">
        <f>IF(A2894&lt;=NWeeks,1,0)</f>
        <v/>
      </c>
      <c r="I2894">
        <f>INDEX(ChLaunch,MATCH(E2894,ChName,0))</f>
        <v/>
      </c>
      <c r="J2894">
        <f>INDEX(ChWeeksFull,MATCH(E2894,ChName,0))</f>
        <v/>
      </c>
      <c r="K2894">
        <f>INDEX(ChRamp,MATCH(E2894,ChName,0))</f>
        <v/>
      </c>
      <c r="L2894" s="45">
        <f>MIN(1,MAX(0,(A2894-I2894+1)*RampSpeed/J2894))</f>
        <v/>
      </c>
      <c r="M2894" s="45">
        <f>IF(A2894&lt;I2894,0,IF(K2894="S-curve",L2894*L2894*(3-2*L2894),L2894))</f>
        <v/>
      </c>
      <c r="N2894" s="45">
        <f>1+(INDEX(SeasonIdx,A2894)-1)*SeasonAmp</f>
        <v/>
      </c>
      <c r="O2894" s="45">
        <f>IFERROR(INDEX(PSPct,MATCH(E2894&amp;"|"&amp;G2894,PSKey,0)),0)</f>
        <v/>
      </c>
      <c r="P2894" s="46">
        <f>INDEX(ChDoorVel,MATCH(E2894,ChName,0))*CalibScalar*(1+VelocityUplift)</f>
        <v/>
      </c>
      <c r="Q2894" s="46" t="n">
        <v>0</v>
      </c>
      <c r="R2894" s="46">
        <f>P2894*O2894*M2894*N2894*H2894</f>
        <v/>
      </c>
      <c r="S2894" s="46">
        <f>R2894*INDEX(FmtCansPerCase,MATCH(F2894,FmtName,0))</f>
        <v/>
      </c>
      <c r="T2894" s="46">
        <f>S2894/INDEX(FmtCansPerPack,MATCH(F2894,FmtName,0))</f>
        <v/>
      </c>
      <c r="U2894" s="47">
        <f>INDEX(ChBaseCP,MATCH(E2894,ChName,0))*(1+INDEX(ProvMod,MATCH(G2894,ProvCode,0)))*(1+PriceIndex)</f>
        <v/>
      </c>
      <c r="V2894" s="47">
        <f>R2894*U2894*INDEX(FmtBlendedPriceIdx,MATCH(F2894,FmtName,0))</f>
        <v/>
      </c>
      <c r="W2894" s="47">
        <f>T2894*INDEX(ProvSRP,MATCH(G2894,ProvCode,0))*(1+PriceIndex)</f>
        <v/>
      </c>
      <c r="X2894" s="47">
        <f>IF(GrossBasis="Wholesale",V2894,W2894)</f>
        <v/>
      </c>
      <c r="Y2894" s="47">
        <f>R2894*INDEX(FmtBlendedCogs,MATCH(F2894,FmtName,0))</f>
        <v/>
      </c>
      <c r="Z2894" s="47">
        <f>X2894-Y2894</f>
        <v/>
      </c>
    </row>
    <row r="2895">
      <c r="A2895" t="n">
        <v>32</v>
      </c>
      <c r="B2895" s="44">
        <f>FiscalStart+(A2895-1)*7</f>
        <v/>
      </c>
      <c r="C2895">
        <f>TEXT(B2895,"mmm yyyy")</f>
        <v/>
      </c>
      <c r="D2895">
        <f>"Q"&amp;(INT((A2895-1)/13)+1)</f>
        <v/>
      </c>
      <c r="E2895" t="inlineStr">
        <is>
          <t>Specialty</t>
        </is>
      </c>
      <c r="F2895">
        <f>IFERROR(INDEX(ChFormat,MATCH(E2895,ChName,0)),"")</f>
        <v/>
      </c>
      <c r="G2895" t="inlineStr">
        <is>
          <t>ON</t>
        </is>
      </c>
      <c r="H2895">
        <f>IF(A2895&lt;=NWeeks,1,0)</f>
        <v/>
      </c>
      <c r="I2895">
        <f>INDEX(ChLaunch,MATCH(E2895,ChName,0))</f>
        <v/>
      </c>
      <c r="J2895">
        <f>INDEX(ChWeeksFull,MATCH(E2895,ChName,0))</f>
        <v/>
      </c>
      <c r="K2895">
        <f>INDEX(ChRamp,MATCH(E2895,ChName,0))</f>
        <v/>
      </c>
      <c r="L2895" s="45">
        <f>MIN(1,MAX(0,(A2895-I2895+1)*RampSpeed/J2895))</f>
        <v/>
      </c>
      <c r="M2895" s="45">
        <f>IF(A2895&lt;I2895,0,IF(K2895="S-curve",L2895*L2895*(3-2*L2895),L2895))</f>
        <v/>
      </c>
      <c r="N2895" s="45">
        <f>1+(INDEX(SeasonIdx,A2895)-1)*SeasonAmp</f>
        <v/>
      </c>
      <c r="O2895" s="45">
        <f>IFERROR(INDEX(PSPct,MATCH(E2895&amp;"|"&amp;G2895,PSKey,0)),0)</f>
        <v/>
      </c>
      <c r="P2895" s="46">
        <f>INDEX(ChDoorVel,MATCH(E2895,ChName,0))*CalibScalar*(1+VelocityUplift)</f>
        <v/>
      </c>
      <c r="Q2895" s="46" t="n">
        <v>0</v>
      </c>
      <c r="R2895" s="46">
        <f>P2895*O2895*M2895*N2895*H2895</f>
        <v/>
      </c>
      <c r="S2895" s="46">
        <f>R2895*INDEX(FmtCansPerCase,MATCH(F2895,FmtName,0))</f>
        <v/>
      </c>
      <c r="T2895" s="46">
        <f>S2895/INDEX(FmtCansPerPack,MATCH(F2895,FmtName,0))</f>
        <v/>
      </c>
      <c r="U2895" s="47">
        <f>INDEX(ChBaseCP,MATCH(E2895,ChName,0))*(1+INDEX(ProvMod,MATCH(G2895,ProvCode,0)))*(1+PriceIndex)</f>
        <v/>
      </c>
      <c r="V2895" s="47">
        <f>R2895*U2895*INDEX(FmtBlendedPriceIdx,MATCH(F2895,FmtName,0))</f>
        <v/>
      </c>
      <c r="W2895" s="47">
        <f>T2895*INDEX(ProvSRP,MATCH(G2895,ProvCode,0))*(1+PriceIndex)</f>
        <v/>
      </c>
      <c r="X2895" s="47">
        <f>IF(GrossBasis="Wholesale",V2895,W2895)</f>
        <v/>
      </c>
      <c r="Y2895" s="47">
        <f>R2895*INDEX(FmtBlendedCogs,MATCH(F2895,FmtName,0))</f>
        <v/>
      </c>
      <c r="Z2895" s="47">
        <f>X2895-Y2895</f>
        <v/>
      </c>
    </row>
    <row r="2896">
      <c r="A2896" t="n">
        <v>33</v>
      </c>
      <c r="B2896" s="44">
        <f>FiscalStart+(A2896-1)*7</f>
        <v/>
      </c>
      <c r="C2896">
        <f>TEXT(B2896,"mmm yyyy")</f>
        <v/>
      </c>
      <c r="D2896">
        <f>"Q"&amp;(INT((A2896-1)/13)+1)</f>
        <v/>
      </c>
      <c r="E2896" t="inlineStr">
        <is>
          <t>Specialty</t>
        </is>
      </c>
      <c r="F2896">
        <f>IFERROR(INDEX(ChFormat,MATCH(E2896,ChName,0)),"")</f>
        <v/>
      </c>
      <c r="G2896" t="inlineStr">
        <is>
          <t>ON</t>
        </is>
      </c>
      <c r="H2896">
        <f>IF(A2896&lt;=NWeeks,1,0)</f>
        <v/>
      </c>
      <c r="I2896">
        <f>INDEX(ChLaunch,MATCH(E2896,ChName,0))</f>
        <v/>
      </c>
      <c r="J2896">
        <f>INDEX(ChWeeksFull,MATCH(E2896,ChName,0))</f>
        <v/>
      </c>
      <c r="K2896">
        <f>INDEX(ChRamp,MATCH(E2896,ChName,0))</f>
        <v/>
      </c>
      <c r="L2896" s="45">
        <f>MIN(1,MAX(0,(A2896-I2896+1)*RampSpeed/J2896))</f>
        <v/>
      </c>
      <c r="M2896" s="45">
        <f>IF(A2896&lt;I2896,0,IF(K2896="S-curve",L2896*L2896*(3-2*L2896),L2896))</f>
        <v/>
      </c>
      <c r="N2896" s="45">
        <f>1+(INDEX(SeasonIdx,A2896)-1)*SeasonAmp</f>
        <v/>
      </c>
      <c r="O2896" s="45">
        <f>IFERROR(INDEX(PSPct,MATCH(E2896&amp;"|"&amp;G2896,PSKey,0)),0)</f>
        <v/>
      </c>
      <c r="P2896" s="46">
        <f>INDEX(ChDoorVel,MATCH(E2896,ChName,0))*CalibScalar*(1+VelocityUplift)</f>
        <v/>
      </c>
      <c r="Q2896" s="46" t="n">
        <v>0</v>
      </c>
      <c r="R2896" s="46">
        <f>P2896*O2896*M2896*N2896*H2896</f>
        <v/>
      </c>
      <c r="S2896" s="46">
        <f>R2896*INDEX(FmtCansPerCase,MATCH(F2896,FmtName,0))</f>
        <v/>
      </c>
      <c r="T2896" s="46">
        <f>S2896/INDEX(FmtCansPerPack,MATCH(F2896,FmtName,0))</f>
        <v/>
      </c>
      <c r="U2896" s="47">
        <f>INDEX(ChBaseCP,MATCH(E2896,ChName,0))*(1+INDEX(ProvMod,MATCH(G2896,ProvCode,0)))*(1+PriceIndex)</f>
        <v/>
      </c>
      <c r="V2896" s="47">
        <f>R2896*U2896*INDEX(FmtBlendedPriceIdx,MATCH(F2896,FmtName,0))</f>
        <v/>
      </c>
      <c r="W2896" s="47">
        <f>T2896*INDEX(ProvSRP,MATCH(G2896,ProvCode,0))*(1+PriceIndex)</f>
        <v/>
      </c>
      <c r="X2896" s="47">
        <f>IF(GrossBasis="Wholesale",V2896,W2896)</f>
        <v/>
      </c>
      <c r="Y2896" s="47">
        <f>R2896*INDEX(FmtBlendedCogs,MATCH(F2896,FmtName,0))</f>
        <v/>
      </c>
      <c r="Z2896" s="47">
        <f>X2896-Y2896</f>
        <v/>
      </c>
    </row>
    <row r="2897">
      <c r="A2897" t="n">
        <v>34</v>
      </c>
      <c r="B2897" s="44">
        <f>FiscalStart+(A2897-1)*7</f>
        <v/>
      </c>
      <c r="C2897">
        <f>TEXT(B2897,"mmm yyyy")</f>
        <v/>
      </c>
      <c r="D2897">
        <f>"Q"&amp;(INT((A2897-1)/13)+1)</f>
        <v/>
      </c>
      <c r="E2897" t="inlineStr">
        <is>
          <t>Specialty</t>
        </is>
      </c>
      <c r="F2897">
        <f>IFERROR(INDEX(ChFormat,MATCH(E2897,ChName,0)),"")</f>
        <v/>
      </c>
      <c r="G2897" t="inlineStr">
        <is>
          <t>ON</t>
        </is>
      </c>
      <c r="H2897">
        <f>IF(A2897&lt;=NWeeks,1,0)</f>
        <v/>
      </c>
      <c r="I2897">
        <f>INDEX(ChLaunch,MATCH(E2897,ChName,0))</f>
        <v/>
      </c>
      <c r="J2897">
        <f>INDEX(ChWeeksFull,MATCH(E2897,ChName,0))</f>
        <v/>
      </c>
      <c r="K2897">
        <f>INDEX(ChRamp,MATCH(E2897,ChName,0))</f>
        <v/>
      </c>
      <c r="L2897" s="45">
        <f>MIN(1,MAX(0,(A2897-I2897+1)*RampSpeed/J2897))</f>
        <v/>
      </c>
      <c r="M2897" s="45">
        <f>IF(A2897&lt;I2897,0,IF(K2897="S-curve",L2897*L2897*(3-2*L2897),L2897))</f>
        <v/>
      </c>
      <c r="N2897" s="45">
        <f>1+(INDEX(SeasonIdx,A2897)-1)*SeasonAmp</f>
        <v/>
      </c>
      <c r="O2897" s="45">
        <f>IFERROR(INDEX(PSPct,MATCH(E2897&amp;"|"&amp;G2897,PSKey,0)),0)</f>
        <v/>
      </c>
      <c r="P2897" s="46">
        <f>INDEX(ChDoorVel,MATCH(E2897,ChName,0))*CalibScalar*(1+VelocityUplift)</f>
        <v/>
      </c>
      <c r="Q2897" s="46" t="n">
        <v>0</v>
      </c>
      <c r="R2897" s="46">
        <f>P2897*O2897*M2897*N2897*H2897</f>
        <v/>
      </c>
      <c r="S2897" s="46">
        <f>R2897*INDEX(FmtCansPerCase,MATCH(F2897,FmtName,0))</f>
        <v/>
      </c>
      <c r="T2897" s="46">
        <f>S2897/INDEX(FmtCansPerPack,MATCH(F2897,FmtName,0))</f>
        <v/>
      </c>
      <c r="U2897" s="47">
        <f>INDEX(ChBaseCP,MATCH(E2897,ChName,0))*(1+INDEX(ProvMod,MATCH(G2897,ProvCode,0)))*(1+PriceIndex)</f>
        <v/>
      </c>
      <c r="V2897" s="47">
        <f>R2897*U2897*INDEX(FmtBlendedPriceIdx,MATCH(F2897,FmtName,0))</f>
        <v/>
      </c>
      <c r="W2897" s="47">
        <f>T2897*INDEX(ProvSRP,MATCH(G2897,ProvCode,0))*(1+PriceIndex)</f>
        <v/>
      </c>
      <c r="X2897" s="47">
        <f>IF(GrossBasis="Wholesale",V2897,W2897)</f>
        <v/>
      </c>
      <c r="Y2897" s="47">
        <f>R2897*INDEX(FmtBlendedCogs,MATCH(F2897,FmtName,0))</f>
        <v/>
      </c>
      <c r="Z2897" s="47">
        <f>X2897-Y2897</f>
        <v/>
      </c>
    </row>
    <row r="2898">
      <c r="A2898" t="n">
        <v>35</v>
      </c>
      <c r="B2898" s="44">
        <f>FiscalStart+(A2898-1)*7</f>
        <v/>
      </c>
      <c r="C2898">
        <f>TEXT(B2898,"mmm yyyy")</f>
        <v/>
      </c>
      <c r="D2898">
        <f>"Q"&amp;(INT((A2898-1)/13)+1)</f>
        <v/>
      </c>
      <c r="E2898" t="inlineStr">
        <is>
          <t>Specialty</t>
        </is>
      </c>
      <c r="F2898">
        <f>IFERROR(INDEX(ChFormat,MATCH(E2898,ChName,0)),"")</f>
        <v/>
      </c>
      <c r="G2898" t="inlineStr">
        <is>
          <t>ON</t>
        </is>
      </c>
      <c r="H2898">
        <f>IF(A2898&lt;=NWeeks,1,0)</f>
        <v/>
      </c>
      <c r="I2898">
        <f>INDEX(ChLaunch,MATCH(E2898,ChName,0))</f>
        <v/>
      </c>
      <c r="J2898">
        <f>INDEX(ChWeeksFull,MATCH(E2898,ChName,0))</f>
        <v/>
      </c>
      <c r="K2898">
        <f>INDEX(ChRamp,MATCH(E2898,ChName,0))</f>
        <v/>
      </c>
      <c r="L2898" s="45">
        <f>MIN(1,MAX(0,(A2898-I2898+1)*RampSpeed/J2898))</f>
        <v/>
      </c>
      <c r="M2898" s="45">
        <f>IF(A2898&lt;I2898,0,IF(K2898="S-curve",L2898*L2898*(3-2*L2898),L2898))</f>
        <v/>
      </c>
      <c r="N2898" s="45">
        <f>1+(INDEX(SeasonIdx,A2898)-1)*SeasonAmp</f>
        <v/>
      </c>
      <c r="O2898" s="45">
        <f>IFERROR(INDEX(PSPct,MATCH(E2898&amp;"|"&amp;G2898,PSKey,0)),0)</f>
        <v/>
      </c>
      <c r="P2898" s="46">
        <f>INDEX(ChDoorVel,MATCH(E2898,ChName,0))*CalibScalar*(1+VelocityUplift)</f>
        <v/>
      </c>
      <c r="Q2898" s="46" t="n">
        <v>0</v>
      </c>
      <c r="R2898" s="46">
        <f>P2898*O2898*M2898*N2898*H2898</f>
        <v/>
      </c>
      <c r="S2898" s="46">
        <f>R2898*INDEX(FmtCansPerCase,MATCH(F2898,FmtName,0))</f>
        <v/>
      </c>
      <c r="T2898" s="46">
        <f>S2898/INDEX(FmtCansPerPack,MATCH(F2898,FmtName,0))</f>
        <v/>
      </c>
      <c r="U2898" s="47">
        <f>INDEX(ChBaseCP,MATCH(E2898,ChName,0))*(1+INDEX(ProvMod,MATCH(G2898,ProvCode,0)))*(1+PriceIndex)</f>
        <v/>
      </c>
      <c r="V2898" s="47">
        <f>R2898*U2898*INDEX(FmtBlendedPriceIdx,MATCH(F2898,FmtName,0))</f>
        <v/>
      </c>
      <c r="W2898" s="47">
        <f>T2898*INDEX(ProvSRP,MATCH(G2898,ProvCode,0))*(1+PriceIndex)</f>
        <v/>
      </c>
      <c r="X2898" s="47">
        <f>IF(GrossBasis="Wholesale",V2898,W2898)</f>
        <v/>
      </c>
      <c r="Y2898" s="47">
        <f>R2898*INDEX(FmtBlendedCogs,MATCH(F2898,FmtName,0))</f>
        <v/>
      </c>
      <c r="Z2898" s="47">
        <f>X2898-Y2898</f>
        <v/>
      </c>
    </row>
    <row r="2899">
      <c r="A2899" t="n">
        <v>36</v>
      </c>
      <c r="B2899" s="44">
        <f>FiscalStart+(A2899-1)*7</f>
        <v/>
      </c>
      <c r="C2899">
        <f>TEXT(B2899,"mmm yyyy")</f>
        <v/>
      </c>
      <c r="D2899">
        <f>"Q"&amp;(INT((A2899-1)/13)+1)</f>
        <v/>
      </c>
      <c r="E2899" t="inlineStr">
        <is>
          <t>Specialty</t>
        </is>
      </c>
      <c r="F2899">
        <f>IFERROR(INDEX(ChFormat,MATCH(E2899,ChName,0)),"")</f>
        <v/>
      </c>
      <c r="G2899" t="inlineStr">
        <is>
          <t>ON</t>
        </is>
      </c>
      <c r="H2899">
        <f>IF(A2899&lt;=NWeeks,1,0)</f>
        <v/>
      </c>
      <c r="I2899">
        <f>INDEX(ChLaunch,MATCH(E2899,ChName,0))</f>
        <v/>
      </c>
      <c r="J2899">
        <f>INDEX(ChWeeksFull,MATCH(E2899,ChName,0))</f>
        <v/>
      </c>
      <c r="K2899">
        <f>INDEX(ChRamp,MATCH(E2899,ChName,0))</f>
        <v/>
      </c>
      <c r="L2899" s="45">
        <f>MIN(1,MAX(0,(A2899-I2899+1)*RampSpeed/J2899))</f>
        <v/>
      </c>
      <c r="M2899" s="45">
        <f>IF(A2899&lt;I2899,0,IF(K2899="S-curve",L2899*L2899*(3-2*L2899),L2899))</f>
        <v/>
      </c>
      <c r="N2899" s="45">
        <f>1+(INDEX(SeasonIdx,A2899)-1)*SeasonAmp</f>
        <v/>
      </c>
      <c r="O2899" s="45">
        <f>IFERROR(INDEX(PSPct,MATCH(E2899&amp;"|"&amp;G2899,PSKey,0)),0)</f>
        <v/>
      </c>
      <c r="P2899" s="46">
        <f>INDEX(ChDoorVel,MATCH(E2899,ChName,0))*CalibScalar*(1+VelocityUplift)</f>
        <v/>
      </c>
      <c r="Q2899" s="46" t="n">
        <v>0</v>
      </c>
      <c r="R2899" s="46">
        <f>P2899*O2899*M2899*N2899*H2899</f>
        <v/>
      </c>
      <c r="S2899" s="46">
        <f>R2899*INDEX(FmtCansPerCase,MATCH(F2899,FmtName,0))</f>
        <v/>
      </c>
      <c r="T2899" s="46">
        <f>S2899/INDEX(FmtCansPerPack,MATCH(F2899,FmtName,0))</f>
        <v/>
      </c>
      <c r="U2899" s="47">
        <f>INDEX(ChBaseCP,MATCH(E2899,ChName,0))*(1+INDEX(ProvMod,MATCH(G2899,ProvCode,0)))*(1+PriceIndex)</f>
        <v/>
      </c>
      <c r="V2899" s="47">
        <f>R2899*U2899*INDEX(FmtBlendedPriceIdx,MATCH(F2899,FmtName,0))</f>
        <v/>
      </c>
      <c r="W2899" s="47">
        <f>T2899*INDEX(ProvSRP,MATCH(G2899,ProvCode,0))*(1+PriceIndex)</f>
        <v/>
      </c>
      <c r="X2899" s="47">
        <f>IF(GrossBasis="Wholesale",V2899,W2899)</f>
        <v/>
      </c>
      <c r="Y2899" s="47">
        <f>R2899*INDEX(FmtBlendedCogs,MATCH(F2899,FmtName,0))</f>
        <v/>
      </c>
      <c r="Z2899" s="47">
        <f>X2899-Y2899</f>
        <v/>
      </c>
    </row>
    <row r="2900">
      <c r="A2900" t="n">
        <v>37</v>
      </c>
      <c r="B2900" s="44">
        <f>FiscalStart+(A2900-1)*7</f>
        <v/>
      </c>
      <c r="C2900">
        <f>TEXT(B2900,"mmm yyyy")</f>
        <v/>
      </c>
      <c r="D2900">
        <f>"Q"&amp;(INT((A2900-1)/13)+1)</f>
        <v/>
      </c>
      <c r="E2900" t="inlineStr">
        <is>
          <t>Specialty</t>
        </is>
      </c>
      <c r="F2900">
        <f>IFERROR(INDEX(ChFormat,MATCH(E2900,ChName,0)),"")</f>
        <v/>
      </c>
      <c r="G2900" t="inlineStr">
        <is>
          <t>ON</t>
        </is>
      </c>
      <c r="H2900">
        <f>IF(A2900&lt;=NWeeks,1,0)</f>
        <v/>
      </c>
      <c r="I2900">
        <f>INDEX(ChLaunch,MATCH(E2900,ChName,0))</f>
        <v/>
      </c>
      <c r="J2900">
        <f>INDEX(ChWeeksFull,MATCH(E2900,ChName,0))</f>
        <v/>
      </c>
      <c r="K2900">
        <f>INDEX(ChRamp,MATCH(E2900,ChName,0))</f>
        <v/>
      </c>
      <c r="L2900" s="45">
        <f>MIN(1,MAX(0,(A2900-I2900+1)*RampSpeed/J2900))</f>
        <v/>
      </c>
      <c r="M2900" s="45">
        <f>IF(A2900&lt;I2900,0,IF(K2900="S-curve",L2900*L2900*(3-2*L2900),L2900))</f>
        <v/>
      </c>
      <c r="N2900" s="45">
        <f>1+(INDEX(SeasonIdx,A2900)-1)*SeasonAmp</f>
        <v/>
      </c>
      <c r="O2900" s="45">
        <f>IFERROR(INDEX(PSPct,MATCH(E2900&amp;"|"&amp;G2900,PSKey,0)),0)</f>
        <v/>
      </c>
      <c r="P2900" s="46">
        <f>INDEX(ChDoorVel,MATCH(E2900,ChName,0))*CalibScalar*(1+VelocityUplift)</f>
        <v/>
      </c>
      <c r="Q2900" s="46" t="n">
        <v>0</v>
      </c>
      <c r="R2900" s="46">
        <f>P2900*O2900*M2900*N2900*H2900</f>
        <v/>
      </c>
      <c r="S2900" s="46">
        <f>R2900*INDEX(FmtCansPerCase,MATCH(F2900,FmtName,0))</f>
        <v/>
      </c>
      <c r="T2900" s="46">
        <f>S2900/INDEX(FmtCansPerPack,MATCH(F2900,FmtName,0))</f>
        <v/>
      </c>
      <c r="U2900" s="47">
        <f>INDEX(ChBaseCP,MATCH(E2900,ChName,0))*(1+INDEX(ProvMod,MATCH(G2900,ProvCode,0)))*(1+PriceIndex)</f>
        <v/>
      </c>
      <c r="V2900" s="47">
        <f>R2900*U2900*INDEX(FmtBlendedPriceIdx,MATCH(F2900,FmtName,0))</f>
        <v/>
      </c>
      <c r="W2900" s="47">
        <f>T2900*INDEX(ProvSRP,MATCH(G2900,ProvCode,0))*(1+PriceIndex)</f>
        <v/>
      </c>
      <c r="X2900" s="47">
        <f>IF(GrossBasis="Wholesale",V2900,W2900)</f>
        <v/>
      </c>
      <c r="Y2900" s="47">
        <f>R2900*INDEX(FmtBlendedCogs,MATCH(F2900,FmtName,0))</f>
        <v/>
      </c>
      <c r="Z2900" s="47">
        <f>X2900-Y2900</f>
        <v/>
      </c>
    </row>
    <row r="2901">
      <c r="A2901" t="n">
        <v>38</v>
      </c>
      <c r="B2901" s="44">
        <f>FiscalStart+(A2901-1)*7</f>
        <v/>
      </c>
      <c r="C2901">
        <f>TEXT(B2901,"mmm yyyy")</f>
        <v/>
      </c>
      <c r="D2901">
        <f>"Q"&amp;(INT((A2901-1)/13)+1)</f>
        <v/>
      </c>
      <c r="E2901" t="inlineStr">
        <is>
          <t>Specialty</t>
        </is>
      </c>
      <c r="F2901">
        <f>IFERROR(INDEX(ChFormat,MATCH(E2901,ChName,0)),"")</f>
        <v/>
      </c>
      <c r="G2901" t="inlineStr">
        <is>
          <t>ON</t>
        </is>
      </c>
      <c r="H2901">
        <f>IF(A2901&lt;=NWeeks,1,0)</f>
        <v/>
      </c>
      <c r="I2901">
        <f>INDEX(ChLaunch,MATCH(E2901,ChName,0))</f>
        <v/>
      </c>
      <c r="J2901">
        <f>INDEX(ChWeeksFull,MATCH(E2901,ChName,0))</f>
        <v/>
      </c>
      <c r="K2901">
        <f>INDEX(ChRamp,MATCH(E2901,ChName,0))</f>
        <v/>
      </c>
      <c r="L2901" s="45">
        <f>MIN(1,MAX(0,(A2901-I2901+1)*RampSpeed/J2901))</f>
        <v/>
      </c>
      <c r="M2901" s="45">
        <f>IF(A2901&lt;I2901,0,IF(K2901="S-curve",L2901*L2901*(3-2*L2901),L2901))</f>
        <v/>
      </c>
      <c r="N2901" s="45">
        <f>1+(INDEX(SeasonIdx,A2901)-1)*SeasonAmp</f>
        <v/>
      </c>
      <c r="O2901" s="45">
        <f>IFERROR(INDEX(PSPct,MATCH(E2901&amp;"|"&amp;G2901,PSKey,0)),0)</f>
        <v/>
      </c>
      <c r="P2901" s="46">
        <f>INDEX(ChDoorVel,MATCH(E2901,ChName,0))*CalibScalar*(1+VelocityUplift)</f>
        <v/>
      </c>
      <c r="Q2901" s="46" t="n">
        <v>0</v>
      </c>
      <c r="R2901" s="46">
        <f>P2901*O2901*M2901*N2901*H2901</f>
        <v/>
      </c>
      <c r="S2901" s="46">
        <f>R2901*INDEX(FmtCansPerCase,MATCH(F2901,FmtName,0))</f>
        <v/>
      </c>
      <c r="T2901" s="46">
        <f>S2901/INDEX(FmtCansPerPack,MATCH(F2901,FmtName,0))</f>
        <v/>
      </c>
      <c r="U2901" s="47">
        <f>INDEX(ChBaseCP,MATCH(E2901,ChName,0))*(1+INDEX(ProvMod,MATCH(G2901,ProvCode,0)))*(1+PriceIndex)</f>
        <v/>
      </c>
      <c r="V2901" s="47">
        <f>R2901*U2901*INDEX(FmtBlendedPriceIdx,MATCH(F2901,FmtName,0))</f>
        <v/>
      </c>
      <c r="W2901" s="47">
        <f>T2901*INDEX(ProvSRP,MATCH(G2901,ProvCode,0))*(1+PriceIndex)</f>
        <v/>
      </c>
      <c r="X2901" s="47">
        <f>IF(GrossBasis="Wholesale",V2901,W2901)</f>
        <v/>
      </c>
      <c r="Y2901" s="47">
        <f>R2901*INDEX(FmtBlendedCogs,MATCH(F2901,FmtName,0))</f>
        <v/>
      </c>
      <c r="Z2901" s="47">
        <f>X2901-Y2901</f>
        <v/>
      </c>
    </row>
    <row r="2902">
      <c r="A2902" t="n">
        <v>39</v>
      </c>
      <c r="B2902" s="44">
        <f>FiscalStart+(A2902-1)*7</f>
        <v/>
      </c>
      <c r="C2902">
        <f>TEXT(B2902,"mmm yyyy")</f>
        <v/>
      </c>
      <c r="D2902">
        <f>"Q"&amp;(INT((A2902-1)/13)+1)</f>
        <v/>
      </c>
      <c r="E2902" t="inlineStr">
        <is>
          <t>Specialty</t>
        </is>
      </c>
      <c r="F2902">
        <f>IFERROR(INDEX(ChFormat,MATCH(E2902,ChName,0)),"")</f>
        <v/>
      </c>
      <c r="G2902" t="inlineStr">
        <is>
          <t>ON</t>
        </is>
      </c>
      <c r="H2902">
        <f>IF(A2902&lt;=NWeeks,1,0)</f>
        <v/>
      </c>
      <c r="I2902">
        <f>INDEX(ChLaunch,MATCH(E2902,ChName,0))</f>
        <v/>
      </c>
      <c r="J2902">
        <f>INDEX(ChWeeksFull,MATCH(E2902,ChName,0))</f>
        <v/>
      </c>
      <c r="K2902">
        <f>INDEX(ChRamp,MATCH(E2902,ChName,0))</f>
        <v/>
      </c>
      <c r="L2902" s="45">
        <f>MIN(1,MAX(0,(A2902-I2902+1)*RampSpeed/J2902))</f>
        <v/>
      </c>
      <c r="M2902" s="45">
        <f>IF(A2902&lt;I2902,0,IF(K2902="S-curve",L2902*L2902*(3-2*L2902),L2902))</f>
        <v/>
      </c>
      <c r="N2902" s="45">
        <f>1+(INDEX(SeasonIdx,A2902)-1)*SeasonAmp</f>
        <v/>
      </c>
      <c r="O2902" s="45">
        <f>IFERROR(INDEX(PSPct,MATCH(E2902&amp;"|"&amp;G2902,PSKey,0)),0)</f>
        <v/>
      </c>
      <c r="P2902" s="46">
        <f>INDEX(ChDoorVel,MATCH(E2902,ChName,0))*CalibScalar*(1+VelocityUplift)</f>
        <v/>
      </c>
      <c r="Q2902" s="46" t="n">
        <v>0</v>
      </c>
      <c r="R2902" s="46">
        <f>P2902*O2902*M2902*N2902*H2902</f>
        <v/>
      </c>
      <c r="S2902" s="46">
        <f>R2902*INDEX(FmtCansPerCase,MATCH(F2902,FmtName,0))</f>
        <v/>
      </c>
      <c r="T2902" s="46">
        <f>S2902/INDEX(FmtCansPerPack,MATCH(F2902,FmtName,0))</f>
        <v/>
      </c>
      <c r="U2902" s="47">
        <f>INDEX(ChBaseCP,MATCH(E2902,ChName,0))*(1+INDEX(ProvMod,MATCH(G2902,ProvCode,0)))*(1+PriceIndex)</f>
        <v/>
      </c>
      <c r="V2902" s="47">
        <f>R2902*U2902*INDEX(FmtBlendedPriceIdx,MATCH(F2902,FmtName,0))</f>
        <v/>
      </c>
      <c r="W2902" s="47">
        <f>T2902*INDEX(ProvSRP,MATCH(G2902,ProvCode,0))*(1+PriceIndex)</f>
        <v/>
      </c>
      <c r="X2902" s="47">
        <f>IF(GrossBasis="Wholesale",V2902,W2902)</f>
        <v/>
      </c>
      <c r="Y2902" s="47">
        <f>R2902*INDEX(FmtBlendedCogs,MATCH(F2902,FmtName,0))</f>
        <v/>
      </c>
      <c r="Z2902" s="47">
        <f>X2902-Y2902</f>
        <v/>
      </c>
    </row>
    <row r="2903">
      <c r="A2903" t="n">
        <v>40</v>
      </c>
      <c r="B2903" s="44">
        <f>FiscalStart+(A2903-1)*7</f>
        <v/>
      </c>
      <c r="C2903">
        <f>TEXT(B2903,"mmm yyyy")</f>
        <v/>
      </c>
      <c r="D2903">
        <f>"Q"&amp;(INT((A2903-1)/13)+1)</f>
        <v/>
      </c>
      <c r="E2903" t="inlineStr">
        <is>
          <t>Specialty</t>
        </is>
      </c>
      <c r="F2903">
        <f>IFERROR(INDEX(ChFormat,MATCH(E2903,ChName,0)),"")</f>
        <v/>
      </c>
      <c r="G2903" t="inlineStr">
        <is>
          <t>ON</t>
        </is>
      </c>
      <c r="H2903">
        <f>IF(A2903&lt;=NWeeks,1,0)</f>
        <v/>
      </c>
      <c r="I2903">
        <f>INDEX(ChLaunch,MATCH(E2903,ChName,0))</f>
        <v/>
      </c>
      <c r="J2903">
        <f>INDEX(ChWeeksFull,MATCH(E2903,ChName,0))</f>
        <v/>
      </c>
      <c r="K2903">
        <f>INDEX(ChRamp,MATCH(E2903,ChName,0))</f>
        <v/>
      </c>
      <c r="L2903" s="45">
        <f>MIN(1,MAX(0,(A2903-I2903+1)*RampSpeed/J2903))</f>
        <v/>
      </c>
      <c r="M2903" s="45">
        <f>IF(A2903&lt;I2903,0,IF(K2903="S-curve",L2903*L2903*(3-2*L2903),L2903))</f>
        <v/>
      </c>
      <c r="N2903" s="45">
        <f>1+(INDEX(SeasonIdx,A2903)-1)*SeasonAmp</f>
        <v/>
      </c>
      <c r="O2903" s="45">
        <f>IFERROR(INDEX(PSPct,MATCH(E2903&amp;"|"&amp;G2903,PSKey,0)),0)</f>
        <v/>
      </c>
      <c r="P2903" s="46">
        <f>INDEX(ChDoorVel,MATCH(E2903,ChName,0))*CalibScalar*(1+VelocityUplift)</f>
        <v/>
      </c>
      <c r="Q2903" s="46" t="n">
        <v>0</v>
      </c>
      <c r="R2903" s="46">
        <f>P2903*O2903*M2903*N2903*H2903</f>
        <v/>
      </c>
      <c r="S2903" s="46">
        <f>R2903*INDEX(FmtCansPerCase,MATCH(F2903,FmtName,0))</f>
        <v/>
      </c>
      <c r="T2903" s="46">
        <f>S2903/INDEX(FmtCansPerPack,MATCH(F2903,FmtName,0))</f>
        <v/>
      </c>
      <c r="U2903" s="47">
        <f>INDEX(ChBaseCP,MATCH(E2903,ChName,0))*(1+INDEX(ProvMod,MATCH(G2903,ProvCode,0)))*(1+PriceIndex)</f>
        <v/>
      </c>
      <c r="V2903" s="47">
        <f>R2903*U2903*INDEX(FmtBlendedPriceIdx,MATCH(F2903,FmtName,0))</f>
        <v/>
      </c>
      <c r="W2903" s="47">
        <f>T2903*INDEX(ProvSRP,MATCH(G2903,ProvCode,0))*(1+PriceIndex)</f>
        <v/>
      </c>
      <c r="X2903" s="47">
        <f>IF(GrossBasis="Wholesale",V2903,W2903)</f>
        <v/>
      </c>
      <c r="Y2903" s="47">
        <f>R2903*INDEX(FmtBlendedCogs,MATCH(F2903,FmtName,0))</f>
        <v/>
      </c>
      <c r="Z2903" s="47">
        <f>X2903-Y2903</f>
        <v/>
      </c>
    </row>
    <row r="2904">
      <c r="A2904" t="n">
        <v>41</v>
      </c>
      <c r="B2904" s="44">
        <f>FiscalStart+(A2904-1)*7</f>
        <v/>
      </c>
      <c r="C2904">
        <f>TEXT(B2904,"mmm yyyy")</f>
        <v/>
      </c>
      <c r="D2904">
        <f>"Q"&amp;(INT((A2904-1)/13)+1)</f>
        <v/>
      </c>
      <c r="E2904" t="inlineStr">
        <is>
          <t>Specialty</t>
        </is>
      </c>
      <c r="F2904">
        <f>IFERROR(INDEX(ChFormat,MATCH(E2904,ChName,0)),"")</f>
        <v/>
      </c>
      <c r="G2904" t="inlineStr">
        <is>
          <t>ON</t>
        </is>
      </c>
      <c r="H2904">
        <f>IF(A2904&lt;=NWeeks,1,0)</f>
        <v/>
      </c>
      <c r="I2904">
        <f>INDEX(ChLaunch,MATCH(E2904,ChName,0))</f>
        <v/>
      </c>
      <c r="J2904">
        <f>INDEX(ChWeeksFull,MATCH(E2904,ChName,0))</f>
        <v/>
      </c>
      <c r="K2904">
        <f>INDEX(ChRamp,MATCH(E2904,ChName,0))</f>
        <v/>
      </c>
      <c r="L2904" s="45">
        <f>MIN(1,MAX(0,(A2904-I2904+1)*RampSpeed/J2904))</f>
        <v/>
      </c>
      <c r="M2904" s="45">
        <f>IF(A2904&lt;I2904,0,IF(K2904="S-curve",L2904*L2904*(3-2*L2904),L2904))</f>
        <v/>
      </c>
      <c r="N2904" s="45">
        <f>1+(INDEX(SeasonIdx,A2904)-1)*SeasonAmp</f>
        <v/>
      </c>
      <c r="O2904" s="45">
        <f>IFERROR(INDEX(PSPct,MATCH(E2904&amp;"|"&amp;G2904,PSKey,0)),0)</f>
        <v/>
      </c>
      <c r="P2904" s="46">
        <f>INDEX(ChDoorVel,MATCH(E2904,ChName,0))*CalibScalar*(1+VelocityUplift)</f>
        <v/>
      </c>
      <c r="Q2904" s="46" t="n">
        <v>0</v>
      </c>
      <c r="R2904" s="46">
        <f>P2904*O2904*M2904*N2904*H2904</f>
        <v/>
      </c>
      <c r="S2904" s="46">
        <f>R2904*INDEX(FmtCansPerCase,MATCH(F2904,FmtName,0))</f>
        <v/>
      </c>
      <c r="T2904" s="46">
        <f>S2904/INDEX(FmtCansPerPack,MATCH(F2904,FmtName,0))</f>
        <v/>
      </c>
      <c r="U2904" s="47">
        <f>INDEX(ChBaseCP,MATCH(E2904,ChName,0))*(1+INDEX(ProvMod,MATCH(G2904,ProvCode,0)))*(1+PriceIndex)</f>
        <v/>
      </c>
      <c r="V2904" s="47">
        <f>R2904*U2904*INDEX(FmtBlendedPriceIdx,MATCH(F2904,FmtName,0))</f>
        <v/>
      </c>
      <c r="W2904" s="47">
        <f>T2904*INDEX(ProvSRP,MATCH(G2904,ProvCode,0))*(1+PriceIndex)</f>
        <v/>
      </c>
      <c r="X2904" s="47">
        <f>IF(GrossBasis="Wholesale",V2904,W2904)</f>
        <v/>
      </c>
      <c r="Y2904" s="47">
        <f>R2904*INDEX(FmtBlendedCogs,MATCH(F2904,FmtName,0))</f>
        <v/>
      </c>
      <c r="Z2904" s="47">
        <f>X2904-Y2904</f>
        <v/>
      </c>
    </row>
    <row r="2905">
      <c r="A2905" t="n">
        <v>42</v>
      </c>
      <c r="B2905" s="44">
        <f>FiscalStart+(A2905-1)*7</f>
        <v/>
      </c>
      <c r="C2905">
        <f>TEXT(B2905,"mmm yyyy")</f>
        <v/>
      </c>
      <c r="D2905">
        <f>"Q"&amp;(INT((A2905-1)/13)+1)</f>
        <v/>
      </c>
      <c r="E2905" t="inlineStr">
        <is>
          <t>Specialty</t>
        </is>
      </c>
      <c r="F2905">
        <f>IFERROR(INDEX(ChFormat,MATCH(E2905,ChName,0)),"")</f>
        <v/>
      </c>
      <c r="G2905" t="inlineStr">
        <is>
          <t>ON</t>
        </is>
      </c>
      <c r="H2905">
        <f>IF(A2905&lt;=NWeeks,1,0)</f>
        <v/>
      </c>
      <c r="I2905">
        <f>INDEX(ChLaunch,MATCH(E2905,ChName,0))</f>
        <v/>
      </c>
      <c r="J2905">
        <f>INDEX(ChWeeksFull,MATCH(E2905,ChName,0))</f>
        <v/>
      </c>
      <c r="K2905">
        <f>INDEX(ChRamp,MATCH(E2905,ChName,0))</f>
        <v/>
      </c>
      <c r="L2905" s="45">
        <f>MIN(1,MAX(0,(A2905-I2905+1)*RampSpeed/J2905))</f>
        <v/>
      </c>
      <c r="M2905" s="45">
        <f>IF(A2905&lt;I2905,0,IF(K2905="S-curve",L2905*L2905*(3-2*L2905),L2905))</f>
        <v/>
      </c>
      <c r="N2905" s="45">
        <f>1+(INDEX(SeasonIdx,A2905)-1)*SeasonAmp</f>
        <v/>
      </c>
      <c r="O2905" s="45">
        <f>IFERROR(INDEX(PSPct,MATCH(E2905&amp;"|"&amp;G2905,PSKey,0)),0)</f>
        <v/>
      </c>
      <c r="P2905" s="46">
        <f>INDEX(ChDoorVel,MATCH(E2905,ChName,0))*CalibScalar*(1+VelocityUplift)</f>
        <v/>
      </c>
      <c r="Q2905" s="46" t="n">
        <v>0</v>
      </c>
      <c r="R2905" s="46">
        <f>P2905*O2905*M2905*N2905*H2905</f>
        <v/>
      </c>
      <c r="S2905" s="46">
        <f>R2905*INDEX(FmtCansPerCase,MATCH(F2905,FmtName,0))</f>
        <v/>
      </c>
      <c r="T2905" s="46">
        <f>S2905/INDEX(FmtCansPerPack,MATCH(F2905,FmtName,0))</f>
        <v/>
      </c>
      <c r="U2905" s="47">
        <f>INDEX(ChBaseCP,MATCH(E2905,ChName,0))*(1+INDEX(ProvMod,MATCH(G2905,ProvCode,0)))*(1+PriceIndex)</f>
        <v/>
      </c>
      <c r="V2905" s="47">
        <f>R2905*U2905*INDEX(FmtBlendedPriceIdx,MATCH(F2905,FmtName,0))</f>
        <v/>
      </c>
      <c r="W2905" s="47">
        <f>T2905*INDEX(ProvSRP,MATCH(G2905,ProvCode,0))*(1+PriceIndex)</f>
        <v/>
      </c>
      <c r="X2905" s="47">
        <f>IF(GrossBasis="Wholesale",V2905,W2905)</f>
        <v/>
      </c>
      <c r="Y2905" s="47">
        <f>R2905*INDEX(FmtBlendedCogs,MATCH(F2905,FmtName,0))</f>
        <v/>
      </c>
      <c r="Z2905" s="47">
        <f>X2905-Y2905</f>
        <v/>
      </c>
    </row>
    <row r="2906">
      <c r="A2906" t="n">
        <v>43</v>
      </c>
      <c r="B2906" s="44">
        <f>FiscalStart+(A2906-1)*7</f>
        <v/>
      </c>
      <c r="C2906">
        <f>TEXT(B2906,"mmm yyyy")</f>
        <v/>
      </c>
      <c r="D2906">
        <f>"Q"&amp;(INT((A2906-1)/13)+1)</f>
        <v/>
      </c>
      <c r="E2906" t="inlineStr">
        <is>
          <t>Specialty</t>
        </is>
      </c>
      <c r="F2906">
        <f>IFERROR(INDEX(ChFormat,MATCH(E2906,ChName,0)),"")</f>
        <v/>
      </c>
      <c r="G2906" t="inlineStr">
        <is>
          <t>ON</t>
        </is>
      </c>
      <c r="H2906">
        <f>IF(A2906&lt;=NWeeks,1,0)</f>
        <v/>
      </c>
      <c r="I2906">
        <f>INDEX(ChLaunch,MATCH(E2906,ChName,0))</f>
        <v/>
      </c>
      <c r="J2906">
        <f>INDEX(ChWeeksFull,MATCH(E2906,ChName,0))</f>
        <v/>
      </c>
      <c r="K2906">
        <f>INDEX(ChRamp,MATCH(E2906,ChName,0))</f>
        <v/>
      </c>
      <c r="L2906" s="45">
        <f>MIN(1,MAX(0,(A2906-I2906+1)*RampSpeed/J2906))</f>
        <v/>
      </c>
      <c r="M2906" s="45">
        <f>IF(A2906&lt;I2906,0,IF(K2906="S-curve",L2906*L2906*(3-2*L2906),L2906))</f>
        <v/>
      </c>
      <c r="N2906" s="45">
        <f>1+(INDEX(SeasonIdx,A2906)-1)*SeasonAmp</f>
        <v/>
      </c>
      <c r="O2906" s="45">
        <f>IFERROR(INDEX(PSPct,MATCH(E2906&amp;"|"&amp;G2906,PSKey,0)),0)</f>
        <v/>
      </c>
      <c r="P2906" s="46">
        <f>INDEX(ChDoorVel,MATCH(E2906,ChName,0))*CalibScalar*(1+VelocityUplift)</f>
        <v/>
      </c>
      <c r="Q2906" s="46" t="n">
        <v>0</v>
      </c>
      <c r="R2906" s="46">
        <f>P2906*O2906*M2906*N2906*H2906</f>
        <v/>
      </c>
      <c r="S2906" s="46">
        <f>R2906*INDEX(FmtCansPerCase,MATCH(F2906,FmtName,0))</f>
        <v/>
      </c>
      <c r="T2906" s="46">
        <f>S2906/INDEX(FmtCansPerPack,MATCH(F2906,FmtName,0))</f>
        <v/>
      </c>
      <c r="U2906" s="47">
        <f>INDEX(ChBaseCP,MATCH(E2906,ChName,0))*(1+INDEX(ProvMod,MATCH(G2906,ProvCode,0)))*(1+PriceIndex)</f>
        <v/>
      </c>
      <c r="V2906" s="47">
        <f>R2906*U2906*INDEX(FmtBlendedPriceIdx,MATCH(F2906,FmtName,0))</f>
        <v/>
      </c>
      <c r="W2906" s="47">
        <f>T2906*INDEX(ProvSRP,MATCH(G2906,ProvCode,0))*(1+PriceIndex)</f>
        <v/>
      </c>
      <c r="X2906" s="47">
        <f>IF(GrossBasis="Wholesale",V2906,W2906)</f>
        <v/>
      </c>
      <c r="Y2906" s="47">
        <f>R2906*INDEX(FmtBlendedCogs,MATCH(F2906,FmtName,0))</f>
        <v/>
      </c>
      <c r="Z2906" s="47">
        <f>X2906-Y2906</f>
        <v/>
      </c>
    </row>
    <row r="2907">
      <c r="A2907" t="n">
        <v>44</v>
      </c>
      <c r="B2907" s="44">
        <f>FiscalStart+(A2907-1)*7</f>
        <v/>
      </c>
      <c r="C2907">
        <f>TEXT(B2907,"mmm yyyy")</f>
        <v/>
      </c>
      <c r="D2907">
        <f>"Q"&amp;(INT((A2907-1)/13)+1)</f>
        <v/>
      </c>
      <c r="E2907" t="inlineStr">
        <is>
          <t>Specialty</t>
        </is>
      </c>
      <c r="F2907">
        <f>IFERROR(INDEX(ChFormat,MATCH(E2907,ChName,0)),"")</f>
        <v/>
      </c>
      <c r="G2907" t="inlineStr">
        <is>
          <t>ON</t>
        </is>
      </c>
      <c r="H2907">
        <f>IF(A2907&lt;=NWeeks,1,0)</f>
        <v/>
      </c>
      <c r="I2907">
        <f>INDEX(ChLaunch,MATCH(E2907,ChName,0))</f>
        <v/>
      </c>
      <c r="J2907">
        <f>INDEX(ChWeeksFull,MATCH(E2907,ChName,0))</f>
        <v/>
      </c>
      <c r="K2907">
        <f>INDEX(ChRamp,MATCH(E2907,ChName,0))</f>
        <v/>
      </c>
      <c r="L2907" s="45">
        <f>MIN(1,MAX(0,(A2907-I2907+1)*RampSpeed/J2907))</f>
        <v/>
      </c>
      <c r="M2907" s="45">
        <f>IF(A2907&lt;I2907,0,IF(K2907="S-curve",L2907*L2907*(3-2*L2907),L2907))</f>
        <v/>
      </c>
      <c r="N2907" s="45">
        <f>1+(INDEX(SeasonIdx,A2907)-1)*SeasonAmp</f>
        <v/>
      </c>
      <c r="O2907" s="45">
        <f>IFERROR(INDEX(PSPct,MATCH(E2907&amp;"|"&amp;G2907,PSKey,0)),0)</f>
        <v/>
      </c>
      <c r="P2907" s="46">
        <f>INDEX(ChDoorVel,MATCH(E2907,ChName,0))*CalibScalar*(1+VelocityUplift)</f>
        <v/>
      </c>
      <c r="Q2907" s="46" t="n">
        <v>0</v>
      </c>
      <c r="R2907" s="46">
        <f>P2907*O2907*M2907*N2907*H2907</f>
        <v/>
      </c>
      <c r="S2907" s="46">
        <f>R2907*INDEX(FmtCansPerCase,MATCH(F2907,FmtName,0))</f>
        <v/>
      </c>
      <c r="T2907" s="46">
        <f>S2907/INDEX(FmtCansPerPack,MATCH(F2907,FmtName,0))</f>
        <v/>
      </c>
      <c r="U2907" s="47">
        <f>INDEX(ChBaseCP,MATCH(E2907,ChName,0))*(1+INDEX(ProvMod,MATCH(G2907,ProvCode,0)))*(1+PriceIndex)</f>
        <v/>
      </c>
      <c r="V2907" s="47">
        <f>R2907*U2907*INDEX(FmtBlendedPriceIdx,MATCH(F2907,FmtName,0))</f>
        <v/>
      </c>
      <c r="W2907" s="47">
        <f>T2907*INDEX(ProvSRP,MATCH(G2907,ProvCode,0))*(1+PriceIndex)</f>
        <v/>
      </c>
      <c r="X2907" s="47">
        <f>IF(GrossBasis="Wholesale",V2907,W2907)</f>
        <v/>
      </c>
      <c r="Y2907" s="47">
        <f>R2907*INDEX(FmtBlendedCogs,MATCH(F2907,FmtName,0))</f>
        <v/>
      </c>
      <c r="Z2907" s="47">
        <f>X2907-Y2907</f>
        <v/>
      </c>
    </row>
    <row r="2908">
      <c r="A2908" t="n">
        <v>45</v>
      </c>
      <c r="B2908" s="44">
        <f>FiscalStart+(A2908-1)*7</f>
        <v/>
      </c>
      <c r="C2908">
        <f>TEXT(B2908,"mmm yyyy")</f>
        <v/>
      </c>
      <c r="D2908">
        <f>"Q"&amp;(INT((A2908-1)/13)+1)</f>
        <v/>
      </c>
      <c r="E2908" t="inlineStr">
        <is>
          <t>Specialty</t>
        </is>
      </c>
      <c r="F2908">
        <f>IFERROR(INDEX(ChFormat,MATCH(E2908,ChName,0)),"")</f>
        <v/>
      </c>
      <c r="G2908" t="inlineStr">
        <is>
          <t>ON</t>
        </is>
      </c>
      <c r="H2908">
        <f>IF(A2908&lt;=NWeeks,1,0)</f>
        <v/>
      </c>
      <c r="I2908">
        <f>INDEX(ChLaunch,MATCH(E2908,ChName,0))</f>
        <v/>
      </c>
      <c r="J2908">
        <f>INDEX(ChWeeksFull,MATCH(E2908,ChName,0))</f>
        <v/>
      </c>
      <c r="K2908">
        <f>INDEX(ChRamp,MATCH(E2908,ChName,0))</f>
        <v/>
      </c>
      <c r="L2908" s="45">
        <f>MIN(1,MAX(0,(A2908-I2908+1)*RampSpeed/J2908))</f>
        <v/>
      </c>
      <c r="M2908" s="45">
        <f>IF(A2908&lt;I2908,0,IF(K2908="S-curve",L2908*L2908*(3-2*L2908),L2908))</f>
        <v/>
      </c>
      <c r="N2908" s="45">
        <f>1+(INDEX(SeasonIdx,A2908)-1)*SeasonAmp</f>
        <v/>
      </c>
      <c r="O2908" s="45">
        <f>IFERROR(INDEX(PSPct,MATCH(E2908&amp;"|"&amp;G2908,PSKey,0)),0)</f>
        <v/>
      </c>
      <c r="P2908" s="46">
        <f>INDEX(ChDoorVel,MATCH(E2908,ChName,0))*CalibScalar*(1+VelocityUplift)</f>
        <v/>
      </c>
      <c r="Q2908" s="46" t="n">
        <v>0</v>
      </c>
      <c r="R2908" s="46">
        <f>P2908*O2908*M2908*N2908*H2908</f>
        <v/>
      </c>
      <c r="S2908" s="46">
        <f>R2908*INDEX(FmtCansPerCase,MATCH(F2908,FmtName,0))</f>
        <v/>
      </c>
      <c r="T2908" s="46">
        <f>S2908/INDEX(FmtCansPerPack,MATCH(F2908,FmtName,0))</f>
        <v/>
      </c>
      <c r="U2908" s="47">
        <f>INDEX(ChBaseCP,MATCH(E2908,ChName,0))*(1+INDEX(ProvMod,MATCH(G2908,ProvCode,0)))*(1+PriceIndex)</f>
        <v/>
      </c>
      <c r="V2908" s="47">
        <f>R2908*U2908*INDEX(FmtBlendedPriceIdx,MATCH(F2908,FmtName,0))</f>
        <v/>
      </c>
      <c r="W2908" s="47">
        <f>T2908*INDEX(ProvSRP,MATCH(G2908,ProvCode,0))*(1+PriceIndex)</f>
        <v/>
      </c>
      <c r="X2908" s="47">
        <f>IF(GrossBasis="Wholesale",V2908,W2908)</f>
        <v/>
      </c>
      <c r="Y2908" s="47">
        <f>R2908*INDEX(FmtBlendedCogs,MATCH(F2908,FmtName,0))</f>
        <v/>
      </c>
      <c r="Z2908" s="47">
        <f>X2908-Y2908</f>
        <v/>
      </c>
    </row>
    <row r="2909">
      <c r="A2909" t="n">
        <v>46</v>
      </c>
      <c r="B2909" s="44">
        <f>FiscalStart+(A2909-1)*7</f>
        <v/>
      </c>
      <c r="C2909">
        <f>TEXT(B2909,"mmm yyyy")</f>
        <v/>
      </c>
      <c r="D2909">
        <f>"Q"&amp;(INT((A2909-1)/13)+1)</f>
        <v/>
      </c>
      <c r="E2909" t="inlineStr">
        <is>
          <t>Specialty</t>
        </is>
      </c>
      <c r="F2909">
        <f>IFERROR(INDEX(ChFormat,MATCH(E2909,ChName,0)),"")</f>
        <v/>
      </c>
      <c r="G2909" t="inlineStr">
        <is>
          <t>ON</t>
        </is>
      </c>
      <c r="H2909">
        <f>IF(A2909&lt;=NWeeks,1,0)</f>
        <v/>
      </c>
      <c r="I2909">
        <f>INDEX(ChLaunch,MATCH(E2909,ChName,0))</f>
        <v/>
      </c>
      <c r="J2909">
        <f>INDEX(ChWeeksFull,MATCH(E2909,ChName,0))</f>
        <v/>
      </c>
      <c r="K2909">
        <f>INDEX(ChRamp,MATCH(E2909,ChName,0))</f>
        <v/>
      </c>
      <c r="L2909" s="45">
        <f>MIN(1,MAX(0,(A2909-I2909+1)*RampSpeed/J2909))</f>
        <v/>
      </c>
      <c r="M2909" s="45">
        <f>IF(A2909&lt;I2909,0,IF(K2909="S-curve",L2909*L2909*(3-2*L2909),L2909))</f>
        <v/>
      </c>
      <c r="N2909" s="45">
        <f>1+(INDEX(SeasonIdx,A2909)-1)*SeasonAmp</f>
        <v/>
      </c>
      <c r="O2909" s="45">
        <f>IFERROR(INDEX(PSPct,MATCH(E2909&amp;"|"&amp;G2909,PSKey,0)),0)</f>
        <v/>
      </c>
      <c r="P2909" s="46">
        <f>INDEX(ChDoorVel,MATCH(E2909,ChName,0))*CalibScalar*(1+VelocityUplift)</f>
        <v/>
      </c>
      <c r="Q2909" s="46" t="n">
        <v>0</v>
      </c>
      <c r="R2909" s="46">
        <f>P2909*O2909*M2909*N2909*H2909</f>
        <v/>
      </c>
      <c r="S2909" s="46">
        <f>R2909*INDEX(FmtCansPerCase,MATCH(F2909,FmtName,0))</f>
        <v/>
      </c>
      <c r="T2909" s="46">
        <f>S2909/INDEX(FmtCansPerPack,MATCH(F2909,FmtName,0))</f>
        <v/>
      </c>
      <c r="U2909" s="47">
        <f>INDEX(ChBaseCP,MATCH(E2909,ChName,0))*(1+INDEX(ProvMod,MATCH(G2909,ProvCode,0)))*(1+PriceIndex)</f>
        <v/>
      </c>
      <c r="V2909" s="47">
        <f>R2909*U2909*INDEX(FmtBlendedPriceIdx,MATCH(F2909,FmtName,0))</f>
        <v/>
      </c>
      <c r="W2909" s="47">
        <f>T2909*INDEX(ProvSRP,MATCH(G2909,ProvCode,0))*(1+PriceIndex)</f>
        <v/>
      </c>
      <c r="X2909" s="47">
        <f>IF(GrossBasis="Wholesale",V2909,W2909)</f>
        <v/>
      </c>
      <c r="Y2909" s="47">
        <f>R2909*INDEX(FmtBlendedCogs,MATCH(F2909,FmtName,0))</f>
        <v/>
      </c>
      <c r="Z2909" s="47">
        <f>X2909-Y2909</f>
        <v/>
      </c>
    </row>
    <row r="2910">
      <c r="A2910" t="n">
        <v>47</v>
      </c>
      <c r="B2910" s="44">
        <f>FiscalStart+(A2910-1)*7</f>
        <v/>
      </c>
      <c r="C2910">
        <f>TEXT(B2910,"mmm yyyy")</f>
        <v/>
      </c>
      <c r="D2910">
        <f>"Q"&amp;(INT((A2910-1)/13)+1)</f>
        <v/>
      </c>
      <c r="E2910" t="inlineStr">
        <is>
          <t>Specialty</t>
        </is>
      </c>
      <c r="F2910">
        <f>IFERROR(INDEX(ChFormat,MATCH(E2910,ChName,0)),"")</f>
        <v/>
      </c>
      <c r="G2910" t="inlineStr">
        <is>
          <t>ON</t>
        </is>
      </c>
      <c r="H2910">
        <f>IF(A2910&lt;=NWeeks,1,0)</f>
        <v/>
      </c>
      <c r="I2910">
        <f>INDEX(ChLaunch,MATCH(E2910,ChName,0))</f>
        <v/>
      </c>
      <c r="J2910">
        <f>INDEX(ChWeeksFull,MATCH(E2910,ChName,0))</f>
        <v/>
      </c>
      <c r="K2910">
        <f>INDEX(ChRamp,MATCH(E2910,ChName,0))</f>
        <v/>
      </c>
      <c r="L2910" s="45">
        <f>MIN(1,MAX(0,(A2910-I2910+1)*RampSpeed/J2910))</f>
        <v/>
      </c>
      <c r="M2910" s="45">
        <f>IF(A2910&lt;I2910,0,IF(K2910="S-curve",L2910*L2910*(3-2*L2910),L2910))</f>
        <v/>
      </c>
      <c r="N2910" s="45">
        <f>1+(INDEX(SeasonIdx,A2910)-1)*SeasonAmp</f>
        <v/>
      </c>
      <c r="O2910" s="45">
        <f>IFERROR(INDEX(PSPct,MATCH(E2910&amp;"|"&amp;G2910,PSKey,0)),0)</f>
        <v/>
      </c>
      <c r="P2910" s="46">
        <f>INDEX(ChDoorVel,MATCH(E2910,ChName,0))*CalibScalar*(1+VelocityUplift)</f>
        <v/>
      </c>
      <c r="Q2910" s="46" t="n">
        <v>0</v>
      </c>
      <c r="R2910" s="46">
        <f>P2910*O2910*M2910*N2910*H2910</f>
        <v/>
      </c>
      <c r="S2910" s="46">
        <f>R2910*INDEX(FmtCansPerCase,MATCH(F2910,FmtName,0))</f>
        <v/>
      </c>
      <c r="T2910" s="46">
        <f>S2910/INDEX(FmtCansPerPack,MATCH(F2910,FmtName,0))</f>
        <v/>
      </c>
      <c r="U2910" s="47">
        <f>INDEX(ChBaseCP,MATCH(E2910,ChName,0))*(1+INDEX(ProvMod,MATCH(G2910,ProvCode,0)))*(1+PriceIndex)</f>
        <v/>
      </c>
      <c r="V2910" s="47">
        <f>R2910*U2910*INDEX(FmtBlendedPriceIdx,MATCH(F2910,FmtName,0))</f>
        <v/>
      </c>
      <c r="W2910" s="47">
        <f>T2910*INDEX(ProvSRP,MATCH(G2910,ProvCode,0))*(1+PriceIndex)</f>
        <v/>
      </c>
      <c r="X2910" s="47">
        <f>IF(GrossBasis="Wholesale",V2910,W2910)</f>
        <v/>
      </c>
      <c r="Y2910" s="47">
        <f>R2910*INDEX(FmtBlendedCogs,MATCH(F2910,FmtName,0))</f>
        <v/>
      </c>
      <c r="Z2910" s="47">
        <f>X2910-Y2910</f>
        <v/>
      </c>
    </row>
    <row r="2911">
      <c r="A2911" t="n">
        <v>48</v>
      </c>
      <c r="B2911" s="44">
        <f>FiscalStart+(A2911-1)*7</f>
        <v/>
      </c>
      <c r="C2911">
        <f>TEXT(B2911,"mmm yyyy")</f>
        <v/>
      </c>
      <c r="D2911">
        <f>"Q"&amp;(INT((A2911-1)/13)+1)</f>
        <v/>
      </c>
      <c r="E2911" t="inlineStr">
        <is>
          <t>Specialty</t>
        </is>
      </c>
      <c r="F2911">
        <f>IFERROR(INDEX(ChFormat,MATCH(E2911,ChName,0)),"")</f>
        <v/>
      </c>
      <c r="G2911" t="inlineStr">
        <is>
          <t>ON</t>
        </is>
      </c>
      <c r="H2911">
        <f>IF(A2911&lt;=NWeeks,1,0)</f>
        <v/>
      </c>
      <c r="I2911">
        <f>INDEX(ChLaunch,MATCH(E2911,ChName,0))</f>
        <v/>
      </c>
      <c r="J2911">
        <f>INDEX(ChWeeksFull,MATCH(E2911,ChName,0))</f>
        <v/>
      </c>
      <c r="K2911">
        <f>INDEX(ChRamp,MATCH(E2911,ChName,0))</f>
        <v/>
      </c>
      <c r="L2911" s="45">
        <f>MIN(1,MAX(0,(A2911-I2911+1)*RampSpeed/J2911))</f>
        <v/>
      </c>
      <c r="M2911" s="45">
        <f>IF(A2911&lt;I2911,0,IF(K2911="S-curve",L2911*L2911*(3-2*L2911),L2911))</f>
        <v/>
      </c>
      <c r="N2911" s="45">
        <f>1+(INDEX(SeasonIdx,A2911)-1)*SeasonAmp</f>
        <v/>
      </c>
      <c r="O2911" s="45">
        <f>IFERROR(INDEX(PSPct,MATCH(E2911&amp;"|"&amp;G2911,PSKey,0)),0)</f>
        <v/>
      </c>
      <c r="P2911" s="46">
        <f>INDEX(ChDoorVel,MATCH(E2911,ChName,0))*CalibScalar*(1+VelocityUplift)</f>
        <v/>
      </c>
      <c r="Q2911" s="46" t="n">
        <v>0</v>
      </c>
      <c r="R2911" s="46">
        <f>P2911*O2911*M2911*N2911*H2911</f>
        <v/>
      </c>
      <c r="S2911" s="46">
        <f>R2911*INDEX(FmtCansPerCase,MATCH(F2911,FmtName,0))</f>
        <v/>
      </c>
      <c r="T2911" s="46">
        <f>S2911/INDEX(FmtCansPerPack,MATCH(F2911,FmtName,0))</f>
        <v/>
      </c>
      <c r="U2911" s="47">
        <f>INDEX(ChBaseCP,MATCH(E2911,ChName,0))*(1+INDEX(ProvMod,MATCH(G2911,ProvCode,0)))*(1+PriceIndex)</f>
        <v/>
      </c>
      <c r="V2911" s="47">
        <f>R2911*U2911*INDEX(FmtBlendedPriceIdx,MATCH(F2911,FmtName,0))</f>
        <v/>
      </c>
      <c r="W2911" s="47">
        <f>T2911*INDEX(ProvSRP,MATCH(G2911,ProvCode,0))*(1+PriceIndex)</f>
        <v/>
      </c>
      <c r="X2911" s="47">
        <f>IF(GrossBasis="Wholesale",V2911,W2911)</f>
        <v/>
      </c>
      <c r="Y2911" s="47">
        <f>R2911*INDEX(FmtBlendedCogs,MATCH(F2911,FmtName,0))</f>
        <v/>
      </c>
      <c r="Z2911" s="47">
        <f>X2911-Y2911</f>
        <v/>
      </c>
    </row>
    <row r="2912">
      <c r="A2912" t="n">
        <v>49</v>
      </c>
      <c r="B2912" s="44">
        <f>FiscalStart+(A2912-1)*7</f>
        <v/>
      </c>
      <c r="C2912">
        <f>TEXT(B2912,"mmm yyyy")</f>
        <v/>
      </c>
      <c r="D2912">
        <f>"Q"&amp;(INT((A2912-1)/13)+1)</f>
        <v/>
      </c>
      <c r="E2912" t="inlineStr">
        <is>
          <t>Specialty</t>
        </is>
      </c>
      <c r="F2912">
        <f>IFERROR(INDEX(ChFormat,MATCH(E2912,ChName,0)),"")</f>
        <v/>
      </c>
      <c r="G2912" t="inlineStr">
        <is>
          <t>ON</t>
        </is>
      </c>
      <c r="H2912">
        <f>IF(A2912&lt;=NWeeks,1,0)</f>
        <v/>
      </c>
      <c r="I2912">
        <f>INDEX(ChLaunch,MATCH(E2912,ChName,0))</f>
        <v/>
      </c>
      <c r="J2912">
        <f>INDEX(ChWeeksFull,MATCH(E2912,ChName,0))</f>
        <v/>
      </c>
      <c r="K2912">
        <f>INDEX(ChRamp,MATCH(E2912,ChName,0))</f>
        <v/>
      </c>
      <c r="L2912" s="45">
        <f>MIN(1,MAX(0,(A2912-I2912+1)*RampSpeed/J2912))</f>
        <v/>
      </c>
      <c r="M2912" s="45">
        <f>IF(A2912&lt;I2912,0,IF(K2912="S-curve",L2912*L2912*(3-2*L2912),L2912))</f>
        <v/>
      </c>
      <c r="N2912" s="45">
        <f>1+(INDEX(SeasonIdx,A2912)-1)*SeasonAmp</f>
        <v/>
      </c>
      <c r="O2912" s="45">
        <f>IFERROR(INDEX(PSPct,MATCH(E2912&amp;"|"&amp;G2912,PSKey,0)),0)</f>
        <v/>
      </c>
      <c r="P2912" s="46">
        <f>INDEX(ChDoorVel,MATCH(E2912,ChName,0))*CalibScalar*(1+VelocityUplift)</f>
        <v/>
      </c>
      <c r="Q2912" s="46" t="n">
        <v>0</v>
      </c>
      <c r="R2912" s="46">
        <f>P2912*O2912*M2912*N2912*H2912</f>
        <v/>
      </c>
      <c r="S2912" s="46">
        <f>R2912*INDEX(FmtCansPerCase,MATCH(F2912,FmtName,0))</f>
        <v/>
      </c>
      <c r="T2912" s="46">
        <f>S2912/INDEX(FmtCansPerPack,MATCH(F2912,FmtName,0))</f>
        <v/>
      </c>
      <c r="U2912" s="47">
        <f>INDEX(ChBaseCP,MATCH(E2912,ChName,0))*(1+INDEX(ProvMod,MATCH(G2912,ProvCode,0)))*(1+PriceIndex)</f>
        <v/>
      </c>
      <c r="V2912" s="47">
        <f>R2912*U2912*INDEX(FmtBlendedPriceIdx,MATCH(F2912,FmtName,0))</f>
        <v/>
      </c>
      <c r="W2912" s="47">
        <f>T2912*INDEX(ProvSRP,MATCH(G2912,ProvCode,0))*(1+PriceIndex)</f>
        <v/>
      </c>
      <c r="X2912" s="47">
        <f>IF(GrossBasis="Wholesale",V2912,W2912)</f>
        <v/>
      </c>
      <c r="Y2912" s="47">
        <f>R2912*INDEX(FmtBlendedCogs,MATCH(F2912,FmtName,0))</f>
        <v/>
      </c>
      <c r="Z2912" s="47">
        <f>X2912-Y2912</f>
        <v/>
      </c>
    </row>
    <row r="2913">
      <c r="A2913" t="n">
        <v>50</v>
      </c>
      <c r="B2913" s="44">
        <f>FiscalStart+(A2913-1)*7</f>
        <v/>
      </c>
      <c r="C2913">
        <f>TEXT(B2913,"mmm yyyy")</f>
        <v/>
      </c>
      <c r="D2913">
        <f>"Q"&amp;(INT((A2913-1)/13)+1)</f>
        <v/>
      </c>
      <c r="E2913" t="inlineStr">
        <is>
          <t>Specialty</t>
        </is>
      </c>
      <c r="F2913">
        <f>IFERROR(INDEX(ChFormat,MATCH(E2913,ChName,0)),"")</f>
        <v/>
      </c>
      <c r="G2913" t="inlineStr">
        <is>
          <t>ON</t>
        </is>
      </c>
      <c r="H2913">
        <f>IF(A2913&lt;=NWeeks,1,0)</f>
        <v/>
      </c>
      <c r="I2913">
        <f>INDEX(ChLaunch,MATCH(E2913,ChName,0))</f>
        <v/>
      </c>
      <c r="J2913">
        <f>INDEX(ChWeeksFull,MATCH(E2913,ChName,0))</f>
        <v/>
      </c>
      <c r="K2913">
        <f>INDEX(ChRamp,MATCH(E2913,ChName,0))</f>
        <v/>
      </c>
      <c r="L2913" s="45">
        <f>MIN(1,MAX(0,(A2913-I2913+1)*RampSpeed/J2913))</f>
        <v/>
      </c>
      <c r="M2913" s="45">
        <f>IF(A2913&lt;I2913,0,IF(K2913="S-curve",L2913*L2913*(3-2*L2913),L2913))</f>
        <v/>
      </c>
      <c r="N2913" s="45">
        <f>1+(INDEX(SeasonIdx,A2913)-1)*SeasonAmp</f>
        <v/>
      </c>
      <c r="O2913" s="45">
        <f>IFERROR(INDEX(PSPct,MATCH(E2913&amp;"|"&amp;G2913,PSKey,0)),0)</f>
        <v/>
      </c>
      <c r="P2913" s="46">
        <f>INDEX(ChDoorVel,MATCH(E2913,ChName,0))*CalibScalar*(1+VelocityUplift)</f>
        <v/>
      </c>
      <c r="Q2913" s="46" t="n">
        <v>0</v>
      </c>
      <c r="R2913" s="46">
        <f>P2913*O2913*M2913*N2913*H2913</f>
        <v/>
      </c>
      <c r="S2913" s="46">
        <f>R2913*INDEX(FmtCansPerCase,MATCH(F2913,FmtName,0))</f>
        <v/>
      </c>
      <c r="T2913" s="46">
        <f>S2913/INDEX(FmtCansPerPack,MATCH(F2913,FmtName,0))</f>
        <v/>
      </c>
      <c r="U2913" s="47">
        <f>INDEX(ChBaseCP,MATCH(E2913,ChName,0))*(1+INDEX(ProvMod,MATCH(G2913,ProvCode,0)))*(1+PriceIndex)</f>
        <v/>
      </c>
      <c r="V2913" s="47">
        <f>R2913*U2913*INDEX(FmtBlendedPriceIdx,MATCH(F2913,FmtName,0))</f>
        <v/>
      </c>
      <c r="W2913" s="47">
        <f>T2913*INDEX(ProvSRP,MATCH(G2913,ProvCode,0))*(1+PriceIndex)</f>
        <v/>
      </c>
      <c r="X2913" s="47">
        <f>IF(GrossBasis="Wholesale",V2913,W2913)</f>
        <v/>
      </c>
      <c r="Y2913" s="47">
        <f>R2913*INDEX(FmtBlendedCogs,MATCH(F2913,FmtName,0))</f>
        <v/>
      </c>
      <c r="Z2913" s="47">
        <f>X2913-Y2913</f>
        <v/>
      </c>
    </row>
    <row r="2914">
      <c r="A2914" t="n">
        <v>51</v>
      </c>
      <c r="B2914" s="44">
        <f>FiscalStart+(A2914-1)*7</f>
        <v/>
      </c>
      <c r="C2914">
        <f>TEXT(B2914,"mmm yyyy")</f>
        <v/>
      </c>
      <c r="D2914">
        <f>"Q"&amp;(INT((A2914-1)/13)+1)</f>
        <v/>
      </c>
      <c r="E2914" t="inlineStr">
        <is>
          <t>Specialty</t>
        </is>
      </c>
      <c r="F2914">
        <f>IFERROR(INDEX(ChFormat,MATCH(E2914,ChName,0)),"")</f>
        <v/>
      </c>
      <c r="G2914" t="inlineStr">
        <is>
          <t>ON</t>
        </is>
      </c>
      <c r="H2914">
        <f>IF(A2914&lt;=NWeeks,1,0)</f>
        <v/>
      </c>
      <c r="I2914">
        <f>INDEX(ChLaunch,MATCH(E2914,ChName,0))</f>
        <v/>
      </c>
      <c r="J2914">
        <f>INDEX(ChWeeksFull,MATCH(E2914,ChName,0))</f>
        <v/>
      </c>
      <c r="K2914">
        <f>INDEX(ChRamp,MATCH(E2914,ChName,0))</f>
        <v/>
      </c>
      <c r="L2914" s="45">
        <f>MIN(1,MAX(0,(A2914-I2914+1)*RampSpeed/J2914))</f>
        <v/>
      </c>
      <c r="M2914" s="45">
        <f>IF(A2914&lt;I2914,0,IF(K2914="S-curve",L2914*L2914*(3-2*L2914),L2914))</f>
        <v/>
      </c>
      <c r="N2914" s="45">
        <f>1+(INDEX(SeasonIdx,A2914)-1)*SeasonAmp</f>
        <v/>
      </c>
      <c r="O2914" s="45">
        <f>IFERROR(INDEX(PSPct,MATCH(E2914&amp;"|"&amp;G2914,PSKey,0)),0)</f>
        <v/>
      </c>
      <c r="P2914" s="46">
        <f>INDEX(ChDoorVel,MATCH(E2914,ChName,0))*CalibScalar*(1+VelocityUplift)</f>
        <v/>
      </c>
      <c r="Q2914" s="46" t="n">
        <v>0</v>
      </c>
      <c r="R2914" s="46">
        <f>P2914*O2914*M2914*N2914*H2914</f>
        <v/>
      </c>
      <c r="S2914" s="46">
        <f>R2914*INDEX(FmtCansPerCase,MATCH(F2914,FmtName,0))</f>
        <v/>
      </c>
      <c r="T2914" s="46">
        <f>S2914/INDEX(FmtCansPerPack,MATCH(F2914,FmtName,0))</f>
        <v/>
      </c>
      <c r="U2914" s="47">
        <f>INDEX(ChBaseCP,MATCH(E2914,ChName,0))*(1+INDEX(ProvMod,MATCH(G2914,ProvCode,0)))*(1+PriceIndex)</f>
        <v/>
      </c>
      <c r="V2914" s="47">
        <f>R2914*U2914*INDEX(FmtBlendedPriceIdx,MATCH(F2914,FmtName,0))</f>
        <v/>
      </c>
      <c r="W2914" s="47">
        <f>T2914*INDEX(ProvSRP,MATCH(G2914,ProvCode,0))*(1+PriceIndex)</f>
        <v/>
      </c>
      <c r="X2914" s="47">
        <f>IF(GrossBasis="Wholesale",V2914,W2914)</f>
        <v/>
      </c>
      <c r="Y2914" s="47">
        <f>R2914*INDEX(FmtBlendedCogs,MATCH(F2914,FmtName,0))</f>
        <v/>
      </c>
      <c r="Z2914" s="47">
        <f>X2914-Y2914</f>
        <v/>
      </c>
    </row>
    <row r="2915">
      <c r="A2915" t="n">
        <v>52</v>
      </c>
      <c r="B2915" s="44">
        <f>FiscalStart+(A2915-1)*7</f>
        <v/>
      </c>
      <c r="C2915">
        <f>TEXT(B2915,"mmm yyyy")</f>
        <v/>
      </c>
      <c r="D2915">
        <f>"Q"&amp;(INT((A2915-1)/13)+1)</f>
        <v/>
      </c>
      <c r="E2915" t="inlineStr">
        <is>
          <t>Specialty</t>
        </is>
      </c>
      <c r="F2915">
        <f>IFERROR(INDEX(ChFormat,MATCH(E2915,ChName,0)),"")</f>
        <v/>
      </c>
      <c r="G2915" t="inlineStr">
        <is>
          <t>ON</t>
        </is>
      </c>
      <c r="H2915">
        <f>IF(A2915&lt;=NWeeks,1,0)</f>
        <v/>
      </c>
      <c r="I2915">
        <f>INDEX(ChLaunch,MATCH(E2915,ChName,0))</f>
        <v/>
      </c>
      <c r="J2915">
        <f>INDEX(ChWeeksFull,MATCH(E2915,ChName,0))</f>
        <v/>
      </c>
      <c r="K2915">
        <f>INDEX(ChRamp,MATCH(E2915,ChName,0))</f>
        <v/>
      </c>
      <c r="L2915" s="45">
        <f>MIN(1,MAX(0,(A2915-I2915+1)*RampSpeed/J2915))</f>
        <v/>
      </c>
      <c r="M2915" s="45">
        <f>IF(A2915&lt;I2915,0,IF(K2915="S-curve",L2915*L2915*(3-2*L2915),L2915))</f>
        <v/>
      </c>
      <c r="N2915" s="45">
        <f>1+(INDEX(SeasonIdx,A2915)-1)*SeasonAmp</f>
        <v/>
      </c>
      <c r="O2915" s="45">
        <f>IFERROR(INDEX(PSPct,MATCH(E2915&amp;"|"&amp;G2915,PSKey,0)),0)</f>
        <v/>
      </c>
      <c r="P2915" s="46">
        <f>INDEX(ChDoorVel,MATCH(E2915,ChName,0))*CalibScalar*(1+VelocityUplift)</f>
        <v/>
      </c>
      <c r="Q2915" s="46" t="n">
        <v>0</v>
      </c>
      <c r="R2915" s="46">
        <f>P2915*O2915*M2915*N2915*H2915</f>
        <v/>
      </c>
      <c r="S2915" s="46">
        <f>R2915*INDEX(FmtCansPerCase,MATCH(F2915,FmtName,0))</f>
        <v/>
      </c>
      <c r="T2915" s="46">
        <f>S2915/INDEX(FmtCansPerPack,MATCH(F2915,FmtName,0))</f>
        <v/>
      </c>
      <c r="U2915" s="47">
        <f>INDEX(ChBaseCP,MATCH(E2915,ChName,0))*(1+INDEX(ProvMod,MATCH(G2915,ProvCode,0)))*(1+PriceIndex)</f>
        <v/>
      </c>
      <c r="V2915" s="47">
        <f>R2915*U2915*INDEX(FmtBlendedPriceIdx,MATCH(F2915,FmtName,0))</f>
        <v/>
      </c>
      <c r="W2915" s="47">
        <f>T2915*INDEX(ProvSRP,MATCH(G2915,ProvCode,0))*(1+PriceIndex)</f>
        <v/>
      </c>
      <c r="X2915" s="47">
        <f>IF(GrossBasis="Wholesale",V2915,W2915)</f>
        <v/>
      </c>
      <c r="Y2915" s="47">
        <f>R2915*INDEX(FmtBlendedCogs,MATCH(F2915,FmtName,0))</f>
        <v/>
      </c>
      <c r="Z2915" s="47">
        <f>X2915-Y2915</f>
        <v/>
      </c>
    </row>
    <row r="2916">
      <c r="A2916" t="n">
        <v>53</v>
      </c>
      <c r="B2916" s="44">
        <f>FiscalStart+(A2916-1)*7</f>
        <v/>
      </c>
      <c r="C2916">
        <f>TEXT(B2916,"mmm yyyy")</f>
        <v/>
      </c>
      <c r="D2916">
        <f>"Q"&amp;(INT((A2916-1)/13)+1)</f>
        <v/>
      </c>
      <c r="E2916" t="inlineStr">
        <is>
          <t>Specialty</t>
        </is>
      </c>
      <c r="F2916">
        <f>IFERROR(INDEX(ChFormat,MATCH(E2916,ChName,0)),"")</f>
        <v/>
      </c>
      <c r="G2916" t="inlineStr">
        <is>
          <t>ON</t>
        </is>
      </c>
      <c r="H2916">
        <f>IF(A2916&lt;=NWeeks,1,0)</f>
        <v/>
      </c>
      <c r="I2916">
        <f>INDEX(ChLaunch,MATCH(E2916,ChName,0))</f>
        <v/>
      </c>
      <c r="J2916">
        <f>INDEX(ChWeeksFull,MATCH(E2916,ChName,0))</f>
        <v/>
      </c>
      <c r="K2916">
        <f>INDEX(ChRamp,MATCH(E2916,ChName,0))</f>
        <v/>
      </c>
      <c r="L2916" s="45">
        <f>MIN(1,MAX(0,(A2916-I2916+1)*RampSpeed/J2916))</f>
        <v/>
      </c>
      <c r="M2916" s="45">
        <f>IF(A2916&lt;I2916,0,IF(K2916="S-curve",L2916*L2916*(3-2*L2916),L2916))</f>
        <v/>
      </c>
      <c r="N2916" s="45">
        <f>1+(INDEX(SeasonIdx,A2916)-1)*SeasonAmp</f>
        <v/>
      </c>
      <c r="O2916" s="45">
        <f>IFERROR(INDEX(PSPct,MATCH(E2916&amp;"|"&amp;G2916,PSKey,0)),0)</f>
        <v/>
      </c>
      <c r="P2916" s="46">
        <f>INDEX(ChDoorVel,MATCH(E2916,ChName,0))*CalibScalar*(1+VelocityUplift)</f>
        <v/>
      </c>
      <c r="Q2916" s="46" t="n">
        <v>0</v>
      </c>
      <c r="R2916" s="46">
        <f>P2916*O2916*M2916*N2916*H2916</f>
        <v/>
      </c>
      <c r="S2916" s="46">
        <f>R2916*INDEX(FmtCansPerCase,MATCH(F2916,FmtName,0))</f>
        <v/>
      </c>
      <c r="T2916" s="46">
        <f>S2916/INDEX(FmtCansPerPack,MATCH(F2916,FmtName,0))</f>
        <v/>
      </c>
      <c r="U2916" s="47">
        <f>INDEX(ChBaseCP,MATCH(E2916,ChName,0))*(1+INDEX(ProvMod,MATCH(G2916,ProvCode,0)))*(1+PriceIndex)</f>
        <v/>
      </c>
      <c r="V2916" s="47">
        <f>R2916*U2916*INDEX(FmtBlendedPriceIdx,MATCH(F2916,FmtName,0))</f>
        <v/>
      </c>
      <c r="W2916" s="47">
        <f>T2916*INDEX(ProvSRP,MATCH(G2916,ProvCode,0))*(1+PriceIndex)</f>
        <v/>
      </c>
      <c r="X2916" s="47">
        <f>IF(GrossBasis="Wholesale",V2916,W2916)</f>
        <v/>
      </c>
      <c r="Y2916" s="47">
        <f>R2916*INDEX(FmtBlendedCogs,MATCH(F2916,FmtName,0))</f>
        <v/>
      </c>
      <c r="Z2916" s="47">
        <f>X2916-Y2916</f>
        <v/>
      </c>
    </row>
    <row r="2917">
      <c r="A2917" t="n">
        <v>1</v>
      </c>
      <c r="B2917" s="44">
        <f>FiscalStart+(A2917-1)*7</f>
        <v/>
      </c>
      <c r="C2917">
        <f>TEXT(B2917,"mmm yyyy")</f>
        <v/>
      </c>
      <c r="D2917">
        <f>"Q"&amp;(INT((A2917-1)/13)+1)</f>
        <v/>
      </c>
      <c r="E2917" t="inlineStr">
        <is>
          <t>Specialty</t>
        </is>
      </c>
      <c r="F2917">
        <f>IFERROR(INDEX(ChFormat,MATCH(E2917,ChName,0)),"")</f>
        <v/>
      </c>
      <c r="G2917" t="inlineStr">
        <is>
          <t>QC</t>
        </is>
      </c>
      <c r="H2917">
        <f>IF(A2917&lt;=NWeeks,1,0)</f>
        <v/>
      </c>
      <c r="I2917">
        <f>INDEX(ChLaunch,MATCH(E2917,ChName,0))</f>
        <v/>
      </c>
      <c r="J2917">
        <f>INDEX(ChWeeksFull,MATCH(E2917,ChName,0))</f>
        <v/>
      </c>
      <c r="K2917">
        <f>INDEX(ChRamp,MATCH(E2917,ChName,0))</f>
        <v/>
      </c>
      <c r="L2917" s="45">
        <f>MIN(1,MAX(0,(A2917-I2917+1)*RampSpeed/J2917))</f>
        <v/>
      </c>
      <c r="M2917" s="45">
        <f>IF(A2917&lt;I2917,0,IF(K2917="S-curve",L2917*L2917*(3-2*L2917),L2917))</f>
        <v/>
      </c>
      <c r="N2917" s="45">
        <f>1+(INDEX(SeasonIdx,A2917)-1)*SeasonAmp</f>
        <v/>
      </c>
      <c r="O2917" s="45">
        <f>IFERROR(INDEX(PSPct,MATCH(E2917&amp;"|"&amp;G2917,PSKey,0)),0)</f>
        <v/>
      </c>
      <c r="P2917" s="46">
        <f>INDEX(ChDoorVel,MATCH(E2917,ChName,0))*CalibScalar*(1+VelocityUplift)</f>
        <v/>
      </c>
      <c r="Q2917" s="46" t="n">
        <v>0</v>
      </c>
      <c r="R2917" s="46">
        <f>P2917*O2917*M2917*N2917*H2917</f>
        <v/>
      </c>
      <c r="S2917" s="46">
        <f>R2917*INDEX(FmtCansPerCase,MATCH(F2917,FmtName,0))</f>
        <v/>
      </c>
      <c r="T2917" s="46">
        <f>S2917/INDEX(FmtCansPerPack,MATCH(F2917,FmtName,0))</f>
        <v/>
      </c>
      <c r="U2917" s="47">
        <f>INDEX(ChBaseCP,MATCH(E2917,ChName,0))*(1+INDEX(ProvMod,MATCH(G2917,ProvCode,0)))*(1+PriceIndex)</f>
        <v/>
      </c>
      <c r="V2917" s="47">
        <f>R2917*U2917*INDEX(FmtBlendedPriceIdx,MATCH(F2917,FmtName,0))</f>
        <v/>
      </c>
      <c r="W2917" s="47">
        <f>T2917*INDEX(ProvSRP,MATCH(G2917,ProvCode,0))*(1+PriceIndex)</f>
        <v/>
      </c>
      <c r="X2917" s="47">
        <f>IF(GrossBasis="Wholesale",V2917,W2917)</f>
        <v/>
      </c>
      <c r="Y2917" s="47">
        <f>R2917*INDEX(FmtBlendedCogs,MATCH(F2917,FmtName,0))</f>
        <v/>
      </c>
      <c r="Z2917" s="47">
        <f>X2917-Y2917</f>
        <v/>
      </c>
    </row>
    <row r="2918">
      <c r="A2918" t="n">
        <v>2</v>
      </c>
      <c r="B2918" s="44">
        <f>FiscalStart+(A2918-1)*7</f>
        <v/>
      </c>
      <c r="C2918">
        <f>TEXT(B2918,"mmm yyyy")</f>
        <v/>
      </c>
      <c r="D2918">
        <f>"Q"&amp;(INT((A2918-1)/13)+1)</f>
        <v/>
      </c>
      <c r="E2918" t="inlineStr">
        <is>
          <t>Specialty</t>
        </is>
      </c>
      <c r="F2918">
        <f>IFERROR(INDEX(ChFormat,MATCH(E2918,ChName,0)),"")</f>
        <v/>
      </c>
      <c r="G2918" t="inlineStr">
        <is>
          <t>QC</t>
        </is>
      </c>
      <c r="H2918">
        <f>IF(A2918&lt;=NWeeks,1,0)</f>
        <v/>
      </c>
      <c r="I2918">
        <f>INDEX(ChLaunch,MATCH(E2918,ChName,0))</f>
        <v/>
      </c>
      <c r="J2918">
        <f>INDEX(ChWeeksFull,MATCH(E2918,ChName,0))</f>
        <v/>
      </c>
      <c r="K2918">
        <f>INDEX(ChRamp,MATCH(E2918,ChName,0))</f>
        <v/>
      </c>
      <c r="L2918" s="45">
        <f>MIN(1,MAX(0,(A2918-I2918+1)*RampSpeed/J2918))</f>
        <v/>
      </c>
      <c r="M2918" s="45">
        <f>IF(A2918&lt;I2918,0,IF(K2918="S-curve",L2918*L2918*(3-2*L2918),L2918))</f>
        <v/>
      </c>
      <c r="N2918" s="45">
        <f>1+(INDEX(SeasonIdx,A2918)-1)*SeasonAmp</f>
        <v/>
      </c>
      <c r="O2918" s="45">
        <f>IFERROR(INDEX(PSPct,MATCH(E2918&amp;"|"&amp;G2918,PSKey,0)),0)</f>
        <v/>
      </c>
      <c r="P2918" s="46">
        <f>INDEX(ChDoorVel,MATCH(E2918,ChName,0))*CalibScalar*(1+VelocityUplift)</f>
        <v/>
      </c>
      <c r="Q2918" s="46" t="n">
        <v>0</v>
      </c>
      <c r="R2918" s="46">
        <f>P2918*O2918*M2918*N2918*H2918</f>
        <v/>
      </c>
      <c r="S2918" s="46">
        <f>R2918*INDEX(FmtCansPerCase,MATCH(F2918,FmtName,0))</f>
        <v/>
      </c>
      <c r="T2918" s="46">
        <f>S2918/INDEX(FmtCansPerPack,MATCH(F2918,FmtName,0))</f>
        <v/>
      </c>
      <c r="U2918" s="47">
        <f>INDEX(ChBaseCP,MATCH(E2918,ChName,0))*(1+INDEX(ProvMod,MATCH(G2918,ProvCode,0)))*(1+PriceIndex)</f>
        <v/>
      </c>
      <c r="V2918" s="47">
        <f>R2918*U2918*INDEX(FmtBlendedPriceIdx,MATCH(F2918,FmtName,0))</f>
        <v/>
      </c>
      <c r="W2918" s="47">
        <f>T2918*INDEX(ProvSRP,MATCH(G2918,ProvCode,0))*(1+PriceIndex)</f>
        <v/>
      </c>
      <c r="X2918" s="47">
        <f>IF(GrossBasis="Wholesale",V2918,W2918)</f>
        <v/>
      </c>
      <c r="Y2918" s="47">
        <f>R2918*INDEX(FmtBlendedCogs,MATCH(F2918,FmtName,0))</f>
        <v/>
      </c>
      <c r="Z2918" s="47">
        <f>X2918-Y2918</f>
        <v/>
      </c>
    </row>
    <row r="2919">
      <c r="A2919" t="n">
        <v>3</v>
      </c>
      <c r="B2919" s="44">
        <f>FiscalStart+(A2919-1)*7</f>
        <v/>
      </c>
      <c r="C2919">
        <f>TEXT(B2919,"mmm yyyy")</f>
        <v/>
      </c>
      <c r="D2919">
        <f>"Q"&amp;(INT((A2919-1)/13)+1)</f>
        <v/>
      </c>
      <c r="E2919" t="inlineStr">
        <is>
          <t>Specialty</t>
        </is>
      </c>
      <c r="F2919">
        <f>IFERROR(INDEX(ChFormat,MATCH(E2919,ChName,0)),"")</f>
        <v/>
      </c>
      <c r="G2919" t="inlineStr">
        <is>
          <t>QC</t>
        </is>
      </c>
      <c r="H2919">
        <f>IF(A2919&lt;=NWeeks,1,0)</f>
        <v/>
      </c>
      <c r="I2919">
        <f>INDEX(ChLaunch,MATCH(E2919,ChName,0))</f>
        <v/>
      </c>
      <c r="J2919">
        <f>INDEX(ChWeeksFull,MATCH(E2919,ChName,0))</f>
        <v/>
      </c>
      <c r="K2919">
        <f>INDEX(ChRamp,MATCH(E2919,ChName,0))</f>
        <v/>
      </c>
      <c r="L2919" s="45">
        <f>MIN(1,MAX(0,(A2919-I2919+1)*RampSpeed/J2919))</f>
        <v/>
      </c>
      <c r="M2919" s="45">
        <f>IF(A2919&lt;I2919,0,IF(K2919="S-curve",L2919*L2919*(3-2*L2919),L2919))</f>
        <v/>
      </c>
      <c r="N2919" s="45">
        <f>1+(INDEX(SeasonIdx,A2919)-1)*SeasonAmp</f>
        <v/>
      </c>
      <c r="O2919" s="45">
        <f>IFERROR(INDEX(PSPct,MATCH(E2919&amp;"|"&amp;G2919,PSKey,0)),0)</f>
        <v/>
      </c>
      <c r="P2919" s="46">
        <f>INDEX(ChDoorVel,MATCH(E2919,ChName,0))*CalibScalar*(1+VelocityUplift)</f>
        <v/>
      </c>
      <c r="Q2919" s="46" t="n">
        <v>0</v>
      </c>
      <c r="R2919" s="46">
        <f>P2919*O2919*M2919*N2919*H2919</f>
        <v/>
      </c>
      <c r="S2919" s="46">
        <f>R2919*INDEX(FmtCansPerCase,MATCH(F2919,FmtName,0))</f>
        <v/>
      </c>
      <c r="T2919" s="46">
        <f>S2919/INDEX(FmtCansPerPack,MATCH(F2919,FmtName,0))</f>
        <v/>
      </c>
      <c r="U2919" s="47">
        <f>INDEX(ChBaseCP,MATCH(E2919,ChName,0))*(1+INDEX(ProvMod,MATCH(G2919,ProvCode,0)))*(1+PriceIndex)</f>
        <v/>
      </c>
      <c r="V2919" s="47">
        <f>R2919*U2919*INDEX(FmtBlendedPriceIdx,MATCH(F2919,FmtName,0))</f>
        <v/>
      </c>
      <c r="W2919" s="47">
        <f>T2919*INDEX(ProvSRP,MATCH(G2919,ProvCode,0))*(1+PriceIndex)</f>
        <v/>
      </c>
      <c r="X2919" s="47">
        <f>IF(GrossBasis="Wholesale",V2919,W2919)</f>
        <v/>
      </c>
      <c r="Y2919" s="47">
        <f>R2919*INDEX(FmtBlendedCogs,MATCH(F2919,FmtName,0))</f>
        <v/>
      </c>
      <c r="Z2919" s="47">
        <f>X2919-Y2919</f>
        <v/>
      </c>
    </row>
    <row r="2920">
      <c r="A2920" t="n">
        <v>4</v>
      </c>
      <c r="B2920" s="44">
        <f>FiscalStart+(A2920-1)*7</f>
        <v/>
      </c>
      <c r="C2920">
        <f>TEXT(B2920,"mmm yyyy")</f>
        <v/>
      </c>
      <c r="D2920">
        <f>"Q"&amp;(INT((A2920-1)/13)+1)</f>
        <v/>
      </c>
      <c r="E2920" t="inlineStr">
        <is>
          <t>Specialty</t>
        </is>
      </c>
      <c r="F2920">
        <f>IFERROR(INDEX(ChFormat,MATCH(E2920,ChName,0)),"")</f>
        <v/>
      </c>
      <c r="G2920" t="inlineStr">
        <is>
          <t>QC</t>
        </is>
      </c>
      <c r="H2920">
        <f>IF(A2920&lt;=NWeeks,1,0)</f>
        <v/>
      </c>
      <c r="I2920">
        <f>INDEX(ChLaunch,MATCH(E2920,ChName,0))</f>
        <v/>
      </c>
      <c r="J2920">
        <f>INDEX(ChWeeksFull,MATCH(E2920,ChName,0))</f>
        <v/>
      </c>
      <c r="K2920">
        <f>INDEX(ChRamp,MATCH(E2920,ChName,0))</f>
        <v/>
      </c>
      <c r="L2920" s="45">
        <f>MIN(1,MAX(0,(A2920-I2920+1)*RampSpeed/J2920))</f>
        <v/>
      </c>
      <c r="M2920" s="45">
        <f>IF(A2920&lt;I2920,0,IF(K2920="S-curve",L2920*L2920*(3-2*L2920),L2920))</f>
        <v/>
      </c>
      <c r="N2920" s="45">
        <f>1+(INDEX(SeasonIdx,A2920)-1)*SeasonAmp</f>
        <v/>
      </c>
      <c r="O2920" s="45">
        <f>IFERROR(INDEX(PSPct,MATCH(E2920&amp;"|"&amp;G2920,PSKey,0)),0)</f>
        <v/>
      </c>
      <c r="P2920" s="46">
        <f>INDEX(ChDoorVel,MATCH(E2920,ChName,0))*CalibScalar*(1+VelocityUplift)</f>
        <v/>
      </c>
      <c r="Q2920" s="46" t="n">
        <v>0</v>
      </c>
      <c r="R2920" s="46">
        <f>P2920*O2920*M2920*N2920*H2920</f>
        <v/>
      </c>
      <c r="S2920" s="46">
        <f>R2920*INDEX(FmtCansPerCase,MATCH(F2920,FmtName,0))</f>
        <v/>
      </c>
      <c r="T2920" s="46">
        <f>S2920/INDEX(FmtCansPerPack,MATCH(F2920,FmtName,0))</f>
        <v/>
      </c>
      <c r="U2920" s="47">
        <f>INDEX(ChBaseCP,MATCH(E2920,ChName,0))*(1+INDEX(ProvMod,MATCH(G2920,ProvCode,0)))*(1+PriceIndex)</f>
        <v/>
      </c>
      <c r="V2920" s="47">
        <f>R2920*U2920*INDEX(FmtBlendedPriceIdx,MATCH(F2920,FmtName,0))</f>
        <v/>
      </c>
      <c r="W2920" s="47">
        <f>T2920*INDEX(ProvSRP,MATCH(G2920,ProvCode,0))*(1+PriceIndex)</f>
        <v/>
      </c>
      <c r="X2920" s="47">
        <f>IF(GrossBasis="Wholesale",V2920,W2920)</f>
        <v/>
      </c>
      <c r="Y2920" s="47">
        <f>R2920*INDEX(FmtBlendedCogs,MATCH(F2920,FmtName,0))</f>
        <v/>
      </c>
      <c r="Z2920" s="47">
        <f>X2920-Y2920</f>
        <v/>
      </c>
    </row>
    <row r="2921">
      <c r="A2921" t="n">
        <v>5</v>
      </c>
      <c r="B2921" s="44">
        <f>FiscalStart+(A2921-1)*7</f>
        <v/>
      </c>
      <c r="C2921">
        <f>TEXT(B2921,"mmm yyyy")</f>
        <v/>
      </c>
      <c r="D2921">
        <f>"Q"&amp;(INT((A2921-1)/13)+1)</f>
        <v/>
      </c>
      <c r="E2921" t="inlineStr">
        <is>
          <t>Specialty</t>
        </is>
      </c>
      <c r="F2921">
        <f>IFERROR(INDEX(ChFormat,MATCH(E2921,ChName,0)),"")</f>
        <v/>
      </c>
      <c r="G2921" t="inlineStr">
        <is>
          <t>QC</t>
        </is>
      </c>
      <c r="H2921">
        <f>IF(A2921&lt;=NWeeks,1,0)</f>
        <v/>
      </c>
      <c r="I2921">
        <f>INDEX(ChLaunch,MATCH(E2921,ChName,0))</f>
        <v/>
      </c>
      <c r="J2921">
        <f>INDEX(ChWeeksFull,MATCH(E2921,ChName,0))</f>
        <v/>
      </c>
      <c r="K2921">
        <f>INDEX(ChRamp,MATCH(E2921,ChName,0))</f>
        <v/>
      </c>
      <c r="L2921" s="45">
        <f>MIN(1,MAX(0,(A2921-I2921+1)*RampSpeed/J2921))</f>
        <v/>
      </c>
      <c r="M2921" s="45">
        <f>IF(A2921&lt;I2921,0,IF(K2921="S-curve",L2921*L2921*(3-2*L2921),L2921))</f>
        <v/>
      </c>
      <c r="N2921" s="45">
        <f>1+(INDEX(SeasonIdx,A2921)-1)*SeasonAmp</f>
        <v/>
      </c>
      <c r="O2921" s="45">
        <f>IFERROR(INDEX(PSPct,MATCH(E2921&amp;"|"&amp;G2921,PSKey,0)),0)</f>
        <v/>
      </c>
      <c r="P2921" s="46">
        <f>INDEX(ChDoorVel,MATCH(E2921,ChName,0))*CalibScalar*(1+VelocityUplift)</f>
        <v/>
      </c>
      <c r="Q2921" s="46" t="n">
        <v>0</v>
      </c>
      <c r="R2921" s="46">
        <f>P2921*O2921*M2921*N2921*H2921</f>
        <v/>
      </c>
      <c r="S2921" s="46">
        <f>R2921*INDEX(FmtCansPerCase,MATCH(F2921,FmtName,0))</f>
        <v/>
      </c>
      <c r="T2921" s="46">
        <f>S2921/INDEX(FmtCansPerPack,MATCH(F2921,FmtName,0))</f>
        <v/>
      </c>
      <c r="U2921" s="47">
        <f>INDEX(ChBaseCP,MATCH(E2921,ChName,0))*(1+INDEX(ProvMod,MATCH(G2921,ProvCode,0)))*(1+PriceIndex)</f>
        <v/>
      </c>
      <c r="V2921" s="47">
        <f>R2921*U2921*INDEX(FmtBlendedPriceIdx,MATCH(F2921,FmtName,0))</f>
        <v/>
      </c>
      <c r="W2921" s="47">
        <f>T2921*INDEX(ProvSRP,MATCH(G2921,ProvCode,0))*(1+PriceIndex)</f>
        <v/>
      </c>
      <c r="X2921" s="47">
        <f>IF(GrossBasis="Wholesale",V2921,W2921)</f>
        <v/>
      </c>
      <c r="Y2921" s="47">
        <f>R2921*INDEX(FmtBlendedCogs,MATCH(F2921,FmtName,0))</f>
        <v/>
      </c>
      <c r="Z2921" s="47">
        <f>X2921-Y2921</f>
        <v/>
      </c>
    </row>
    <row r="2922">
      <c r="A2922" t="n">
        <v>6</v>
      </c>
      <c r="B2922" s="44">
        <f>FiscalStart+(A2922-1)*7</f>
        <v/>
      </c>
      <c r="C2922">
        <f>TEXT(B2922,"mmm yyyy")</f>
        <v/>
      </c>
      <c r="D2922">
        <f>"Q"&amp;(INT((A2922-1)/13)+1)</f>
        <v/>
      </c>
      <c r="E2922" t="inlineStr">
        <is>
          <t>Specialty</t>
        </is>
      </c>
      <c r="F2922">
        <f>IFERROR(INDEX(ChFormat,MATCH(E2922,ChName,0)),"")</f>
        <v/>
      </c>
      <c r="G2922" t="inlineStr">
        <is>
          <t>QC</t>
        </is>
      </c>
      <c r="H2922">
        <f>IF(A2922&lt;=NWeeks,1,0)</f>
        <v/>
      </c>
      <c r="I2922">
        <f>INDEX(ChLaunch,MATCH(E2922,ChName,0))</f>
        <v/>
      </c>
      <c r="J2922">
        <f>INDEX(ChWeeksFull,MATCH(E2922,ChName,0))</f>
        <v/>
      </c>
      <c r="K2922">
        <f>INDEX(ChRamp,MATCH(E2922,ChName,0))</f>
        <v/>
      </c>
      <c r="L2922" s="45">
        <f>MIN(1,MAX(0,(A2922-I2922+1)*RampSpeed/J2922))</f>
        <v/>
      </c>
      <c r="M2922" s="45">
        <f>IF(A2922&lt;I2922,0,IF(K2922="S-curve",L2922*L2922*(3-2*L2922),L2922))</f>
        <v/>
      </c>
      <c r="N2922" s="45">
        <f>1+(INDEX(SeasonIdx,A2922)-1)*SeasonAmp</f>
        <v/>
      </c>
      <c r="O2922" s="45">
        <f>IFERROR(INDEX(PSPct,MATCH(E2922&amp;"|"&amp;G2922,PSKey,0)),0)</f>
        <v/>
      </c>
      <c r="P2922" s="46">
        <f>INDEX(ChDoorVel,MATCH(E2922,ChName,0))*CalibScalar*(1+VelocityUplift)</f>
        <v/>
      </c>
      <c r="Q2922" s="46" t="n">
        <v>0</v>
      </c>
      <c r="R2922" s="46">
        <f>P2922*O2922*M2922*N2922*H2922</f>
        <v/>
      </c>
      <c r="S2922" s="46">
        <f>R2922*INDEX(FmtCansPerCase,MATCH(F2922,FmtName,0))</f>
        <v/>
      </c>
      <c r="T2922" s="46">
        <f>S2922/INDEX(FmtCansPerPack,MATCH(F2922,FmtName,0))</f>
        <v/>
      </c>
      <c r="U2922" s="47">
        <f>INDEX(ChBaseCP,MATCH(E2922,ChName,0))*(1+INDEX(ProvMod,MATCH(G2922,ProvCode,0)))*(1+PriceIndex)</f>
        <v/>
      </c>
      <c r="V2922" s="47">
        <f>R2922*U2922*INDEX(FmtBlendedPriceIdx,MATCH(F2922,FmtName,0))</f>
        <v/>
      </c>
      <c r="W2922" s="47">
        <f>T2922*INDEX(ProvSRP,MATCH(G2922,ProvCode,0))*(1+PriceIndex)</f>
        <v/>
      </c>
      <c r="X2922" s="47">
        <f>IF(GrossBasis="Wholesale",V2922,W2922)</f>
        <v/>
      </c>
      <c r="Y2922" s="47">
        <f>R2922*INDEX(FmtBlendedCogs,MATCH(F2922,FmtName,0))</f>
        <v/>
      </c>
      <c r="Z2922" s="47">
        <f>X2922-Y2922</f>
        <v/>
      </c>
    </row>
    <row r="2923">
      <c r="A2923" t="n">
        <v>7</v>
      </c>
      <c r="B2923" s="44">
        <f>FiscalStart+(A2923-1)*7</f>
        <v/>
      </c>
      <c r="C2923">
        <f>TEXT(B2923,"mmm yyyy")</f>
        <v/>
      </c>
      <c r="D2923">
        <f>"Q"&amp;(INT((A2923-1)/13)+1)</f>
        <v/>
      </c>
      <c r="E2923" t="inlineStr">
        <is>
          <t>Specialty</t>
        </is>
      </c>
      <c r="F2923">
        <f>IFERROR(INDEX(ChFormat,MATCH(E2923,ChName,0)),"")</f>
        <v/>
      </c>
      <c r="G2923" t="inlineStr">
        <is>
          <t>QC</t>
        </is>
      </c>
      <c r="H2923">
        <f>IF(A2923&lt;=NWeeks,1,0)</f>
        <v/>
      </c>
      <c r="I2923">
        <f>INDEX(ChLaunch,MATCH(E2923,ChName,0))</f>
        <v/>
      </c>
      <c r="J2923">
        <f>INDEX(ChWeeksFull,MATCH(E2923,ChName,0))</f>
        <v/>
      </c>
      <c r="K2923">
        <f>INDEX(ChRamp,MATCH(E2923,ChName,0))</f>
        <v/>
      </c>
      <c r="L2923" s="45">
        <f>MIN(1,MAX(0,(A2923-I2923+1)*RampSpeed/J2923))</f>
        <v/>
      </c>
      <c r="M2923" s="45">
        <f>IF(A2923&lt;I2923,0,IF(K2923="S-curve",L2923*L2923*(3-2*L2923),L2923))</f>
        <v/>
      </c>
      <c r="N2923" s="45">
        <f>1+(INDEX(SeasonIdx,A2923)-1)*SeasonAmp</f>
        <v/>
      </c>
      <c r="O2923" s="45">
        <f>IFERROR(INDEX(PSPct,MATCH(E2923&amp;"|"&amp;G2923,PSKey,0)),0)</f>
        <v/>
      </c>
      <c r="P2923" s="46">
        <f>INDEX(ChDoorVel,MATCH(E2923,ChName,0))*CalibScalar*(1+VelocityUplift)</f>
        <v/>
      </c>
      <c r="Q2923" s="46" t="n">
        <v>0</v>
      </c>
      <c r="R2923" s="46">
        <f>P2923*O2923*M2923*N2923*H2923</f>
        <v/>
      </c>
      <c r="S2923" s="46">
        <f>R2923*INDEX(FmtCansPerCase,MATCH(F2923,FmtName,0))</f>
        <v/>
      </c>
      <c r="T2923" s="46">
        <f>S2923/INDEX(FmtCansPerPack,MATCH(F2923,FmtName,0))</f>
        <v/>
      </c>
      <c r="U2923" s="47">
        <f>INDEX(ChBaseCP,MATCH(E2923,ChName,0))*(1+INDEX(ProvMod,MATCH(G2923,ProvCode,0)))*(1+PriceIndex)</f>
        <v/>
      </c>
      <c r="V2923" s="47">
        <f>R2923*U2923*INDEX(FmtBlendedPriceIdx,MATCH(F2923,FmtName,0))</f>
        <v/>
      </c>
      <c r="W2923" s="47">
        <f>T2923*INDEX(ProvSRP,MATCH(G2923,ProvCode,0))*(1+PriceIndex)</f>
        <v/>
      </c>
      <c r="X2923" s="47">
        <f>IF(GrossBasis="Wholesale",V2923,W2923)</f>
        <v/>
      </c>
      <c r="Y2923" s="47">
        <f>R2923*INDEX(FmtBlendedCogs,MATCH(F2923,FmtName,0))</f>
        <v/>
      </c>
      <c r="Z2923" s="47">
        <f>X2923-Y2923</f>
        <v/>
      </c>
    </row>
    <row r="2924">
      <c r="A2924" t="n">
        <v>8</v>
      </c>
      <c r="B2924" s="44">
        <f>FiscalStart+(A2924-1)*7</f>
        <v/>
      </c>
      <c r="C2924">
        <f>TEXT(B2924,"mmm yyyy")</f>
        <v/>
      </c>
      <c r="D2924">
        <f>"Q"&amp;(INT((A2924-1)/13)+1)</f>
        <v/>
      </c>
      <c r="E2924" t="inlineStr">
        <is>
          <t>Specialty</t>
        </is>
      </c>
      <c r="F2924">
        <f>IFERROR(INDEX(ChFormat,MATCH(E2924,ChName,0)),"")</f>
        <v/>
      </c>
      <c r="G2924" t="inlineStr">
        <is>
          <t>QC</t>
        </is>
      </c>
      <c r="H2924">
        <f>IF(A2924&lt;=NWeeks,1,0)</f>
        <v/>
      </c>
      <c r="I2924">
        <f>INDEX(ChLaunch,MATCH(E2924,ChName,0))</f>
        <v/>
      </c>
      <c r="J2924">
        <f>INDEX(ChWeeksFull,MATCH(E2924,ChName,0))</f>
        <v/>
      </c>
      <c r="K2924">
        <f>INDEX(ChRamp,MATCH(E2924,ChName,0))</f>
        <v/>
      </c>
      <c r="L2924" s="45">
        <f>MIN(1,MAX(0,(A2924-I2924+1)*RampSpeed/J2924))</f>
        <v/>
      </c>
      <c r="M2924" s="45">
        <f>IF(A2924&lt;I2924,0,IF(K2924="S-curve",L2924*L2924*(3-2*L2924),L2924))</f>
        <v/>
      </c>
      <c r="N2924" s="45">
        <f>1+(INDEX(SeasonIdx,A2924)-1)*SeasonAmp</f>
        <v/>
      </c>
      <c r="O2924" s="45">
        <f>IFERROR(INDEX(PSPct,MATCH(E2924&amp;"|"&amp;G2924,PSKey,0)),0)</f>
        <v/>
      </c>
      <c r="P2924" s="46">
        <f>INDEX(ChDoorVel,MATCH(E2924,ChName,0))*CalibScalar*(1+VelocityUplift)</f>
        <v/>
      </c>
      <c r="Q2924" s="46" t="n">
        <v>0</v>
      </c>
      <c r="R2924" s="46">
        <f>P2924*O2924*M2924*N2924*H2924</f>
        <v/>
      </c>
      <c r="S2924" s="46">
        <f>R2924*INDEX(FmtCansPerCase,MATCH(F2924,FmtName,0))</f>
        <v/>
      </c>
      <c r="T2924" s="46">
        <f>S2924/INDEX(FmtCansPerPack,MATCH(F2924,FmtName,0))</f>
        <v/>
      </c>
      <c r="U2924" s="47">
        <f>INDEX(ChBaseCP,MATCH(E2924,ChName,0))*(1+INDEX(ProvMod,MATCH(G2924,ProvCode,0)))*(1+PriceIndex)</f>
        <v/>
      </c>
      <c r="V2924" s="47">
        <f>R2924*U2924*INDEX(FmtBlendedPriceIdx,MATCH(F2924,FmtName,0))</f>
        <v/>
      </c>
      <c r="W2924" s="47">
        <f>T2924*INDEX(ProvSRP,MATCH(G2924,ProvCode,0))*(1+PriceIndex)</f>
        <v/>
      </c>
      <c r="X2924" s="47">
        <f>IF(GrossBasis="Wholesale",V2924,W2924)</f>
        <v/>
      </c>
      <c r="Y2924" s="47">
        <f>R2924*INDEX(FmtBlendedCogs,MATCH(F2924,FmtName,0))</f>
        <v/>
      </c>
      <c r="Z2924" s="47">
        <f>X2924-Y2924</f>
        <v/>
      </c>
    </row>
    <row r="2925">
      <c r="A2925" t="n">
        <v>9</v>
      </c>
      <c r="B2925" s="44">
        <f>FiscalStart+(A2925-1)*7</f>
        <v/>
      </c>
      <c r="C2925">
        <f>TEXT(B2925,"mmm yyyy")</f>
        <v/>
      </c>
      <c r="D2925">
        <f>"Q"&amp;(INT((A2925-1)/13)+1)</f>
        <v/>
      </c>
      <c r="E2925" t="inlineStr">
        <is>
          <t>Specialty</t>
        </is>
      </c>
      <c r="F2925">
        <f>IFERROR(INDEX(ChFormat,MATCH(E2925,ChName,0)),"")</f>
        <v/>
      </c>
      <c r="G2925" t="inlineStr">
        <is>
          <t>QC</t>
        </is>
      </c>
      <c r="H2925">
        <f>IF(A2925&lt;=NWeeks,1,0)</f>
        <v/>
      </c>
      <c r="I2925">
        <f>INDEX(ChLaunch,MATCH(E2925,ChName,0))</f>
        <v/>
      </c>
      <c r="J2925">
        <f>INDEX(ChWeeksFull,MATCH(E2925,ChName,0))</f>
        <v/>
      </c>
      <c r="K2925">
        <f>INDEX(ChRamp,MATCH(E2925,ChName,0))</f>
        <v/>
      </c>
      <c r="L2925" s="45">
        <f>MIN(1,MAX(0,(A2925-I2925+1)*RampSpeed/J2925))</f>
        <v/>
      </c>
      <c r="M2925" s="45">
        <f>IF(A2925&lt;I2925,0,IF(K2925="S-curve",L2925*L2925*(3-2*L2925),L2925))</f>
        <v/>
      </c>
      <c r="N2925" s="45">
        <f>1+(INDEX(SeasonIdx,A2925)-1)*SeasonAmp</f>
        <v/>
      </c>
      <c r="O2925" s="45">
        <f>IFERROR(INDEX(PSPct,MATCH(E2925&amp;"|"&amp;G2925,PSKey,0)),0)</f>
        <v/>
      </c>
      <c r="P2925" s="46">
        <f>INDEX(ChDoorVel,MATCH(E2925,ChName,0))*CalibScalar*(1+VelocityUplift)</f>
        <v/>
      </c>
      <c r="Q2925" s="46" t="n">
        <v>0</v>
      </c>
      <c r="R2925" s="46">
        <f>P2925*O2925*M2925*N2925*H2925</f>
        <v/>
      </c>
      <c r="S2925" s="46">
        <f>R2925*INDEX(FmtCansPerCase,MATCH(F2925,FmtName,0))</f>
        <v/>
      </c>
      <c r="T2925" s="46">
        <f>S2925/INDEX(FmtCansPerPack,MATCH(F2925,FmtName,0))</f>
        <v/>
      </c>
      <c r="U2925" s="47">
        <f>INDEX(ChBaseCP,MATCH(E2925,ChName,0))*(1+INDEX(ProvMod,MATCH(G2925,ProvCode,0)))*(1+PriceIndex)</f>
        <v/>
      </c>
      <c r="V2925" s="47">
        <f>R2925*U2925*INDEX(FmtBlendedPriceIdx,MATCH(F2925,FmtName,0))</f>
        <v/>
      </c>
      <c r="W2925" s="47">
        <f>T2925*INDEX(ProvSRP,MATCH(G2925,ProvCode,0))*(1+PriceIndex)</f>
        <v/>
      </c>
      <c r="X2925" s="47">
        <f>IF(GrossBasis="Wholesale",V2925,W2925)</f>
        <v/>
      </c>
      <c r="Y2925" s="47">
        <f>R2925*INDEX(FmtBlendedCogs,MATCH(F2925,FmtName,0))</f>
        <v/>
      </c>
      <c r="Z2925" s="47">
        <f>X2925-Y2925</f>
        <v/>
      </c>
    </row>
    <row r="2926">
      <c r="A2926" t="n">
        <v>10</v>
      </c>
      <c r="B2926" s="44">
        <f>FiscalStart+(A2926-1)*7</f>
        <v/>
      </c>
      <c r="C2926">
        <f>TEXT(B2926,"mmm yyyy")</f>
        <v/>
      </c>
      <c r="D2926">
        <f>"Q"&amp;(INT((A2926-1)/13)+1)</f>
        <v/>
      </c>
      <c r="E2926" t="inlineStr">
        <is>
          <t>Specialty</t>
        </is>
      </c>
      <c r="F2926">
        <f>IFERROR(INDEX(ChFormat,MATCH(E2926,ChName,0)),"")</f>
        <v/>
      </c>
      <c r="G2926" t="inlineStr">
        <is>
          <t>QC</t>
        </is>
      </c>
      <c r="H2926">
        <f>IF(A2926&lt;=NWeeks,1,0)</f>
        <v/>
      </c>
      <c r="I2926">
        <f>INDEX(ChLaunch,MATCH(E2926,ChName,0))</f>
        <v/>
      </c>
      <c r="J2926">
        <f>INDEX(ChWeeksFull,MATCH(E2926,ChName,0))</f>
        <v/>
      </c>
      <c r="K2926">
        <f>INDEX(ChRamp,MATCH(E2926,ChName,0))</f>
        <v/>
      </c>
      <c r="L2926" s="45">
        <f>MIN(1,MAX(0,(A2926-I2926+1)*RampSpeed/J2926))</f>
        <v/>
      </c>
      <c r="M2926" s="45">
        <f>IF(A2926&lt;I2926,0,IF(K2926="S-curve",L2926*L2926*(3-2*L2926),L2926))</f>
        <v/>
      </c>
      <c r="N2926" s="45">
        <f>1+(INDEX(SeasonIdx,A2926)-1)*SeasonAmp</f>
        <v/>
      </c>
      <c r="O2926" s="45">
        <f>IFERROR(INDEX(PSPct,MATCH(E2926&amp;"|"&amp;G2926,PSKey,0)),0)</f>
        <v/>
      </c>
      <c r="P2926" s="46">
        <f>INDEX(ChDoorVel,MATCH(E2926,ChName,0))*CalibScalar*(1+VelocityUplift)</f>
        <v/>
      </c>
      <c r="Q2926" s="46" t="n">
        <v>0</v>
      </c>
      <c r="R2926" s="46">
        <f>P2926*O2926*M2926*N2926*H2926</f>
        <v/>
      </c>
      <c r="S2926" s="46">
        <f>R2926*INDEX(FmtCansPerCase,MATCH(F2926,FmtName,0))</f>
        <v/>
      </c>
      <c r="T2926" s="46">
        <f>S2926/INDEX(FmtCansPerPack,MATCH(F2926,FmtName,0))</f>
        <v/>
      </c>
      <c r="U2926" s="47">
        <f>INDEX(ChBaseCP,MATCH(E2926,ChName,0))*(1+INDEX(ProvMod,MATCH(G2926,ProvCode,0)))*(1+PriceIndex)</f>
        <v/>
      </c>
      <c r="V2926" s="47">
        <f>R2926*U2926*INDEX(FmtBlendedPriceIdx,MATCH(F2926,FmtName,0))</f>
        <v/>
      </c>
      <c r="W2926" s="47">
        <f>T2926*INDEX(ProvSRP,MATCH(G2926,ProvCode,0))*(1+PriceIndex)</f>
        <v/>
      </c>
      <c r="X2926" s="47">
        <f>IF(GrossBasis="Wholesale",V2926,W2926)</f>
        <v/>
      </c>
      <c r="Y2926" s="47">
        <f>R2926*INDEX(FmtBlendedCogs,MATCH(F2926,FmtName,0))</f>
        <v/>
      </c>
      <c r="Z2926" s="47">
        <f>X2926-Y2926</f>
        <v/>
      </c>
    </row>
    <row r="2927">
      <c r="A2927" t="n">
        <v>11</v>
      </c>
      <c r="B2927" s="44">
        <f>FiscalStart+(A2927-1)*7</f>
        <v/>
      </c>
      <c r="C2927">
        <f>TEXT(B2927,"mmm yyyy")</f>
        <v/>
      </c>
      <c r="D2927">
        <f>"Q"&amp;(INT((A2927-1)/13)+1)</f>
        <v/>
      </c>
      <c r="E2927" t="inlineStr">
        <is>
          <t>Specialty</t>
        </is>
      </c>
      <c r="F2927">
        <f>IFERROR(INDEX(ChFormat,MATCH(E2927,ChName,0)),"")</f>
        <v/>
      </c>
      <c r="G2927" t="inlineStr">
        <is>
          <t>QC</t>
        </is>
      </c>
      <c r="H2927">
        <f>IF(A2927&lt;=NWeeks,1,0)</f>
        <v/>
      </c>
      <c r="I2927">
        <f>INDEX(ChLaunch,MATCH(E2927,ChName,0))</f>
        <v/>
      </c>
      <c r="J2927">
        <f>INDEX(ChWeeksFull,MATCH(E2927,ChName,0))</f>
        <v/>
      </c>
      <c r="K2927">
        <f>INDEX(ChRamp,MATCH(E2927,ChName,0))</f>
        <v/>
      </c>
      <c r="L2927" s="45">
        <f>MIN(1,MAX(0,(A2927-I2927+1)*RampSpeed/J2927))</f>
        <v/>
      </c>
      <c r="M2927" s="45">
        <f>IF(A2927&lt;I2927,0,IF(K2927="S-curve",L2927*L2927*(3-2*L2927),L2927))</f>
        <v/>
      </c>
      <c r="N2927" s="45">
        <f>1+(INDEX(SeasonIdx,A2927)-1)*SeasonAmp</f>
        <v/>
      </c>
      <c r="O2927" s="45">
        <f>IFERROR(INDEX(PSPct,MATCH(E2927&amp;"|"&amp;G2927,PSKey,0)),0)</f>
        <v/>
      </c>
      <c r="P2927" s="46">
        <f>INDEX(ChDoorVel,MATCH(E2927,ChName,0))*CalibScalar*(1+VelocityUplift)</f>
        <v/>
      </c>
      <c r="Q2927" s="46" t="n">
        <v>0</v>
      </c>
      <c r="R2927" s="46">
        <f>P2927*O2927*M2927*N2927*H2927</f>
        <v/>
      </c>
      <c r="S2927" s="46">
        <f>R2927*INDEX(FmtCansPerCase,MATCH(F2927,FmtName,0))</f>
        <v/>
      </c>
      <c r="T2927" s="46">
        <f>S2927/INDEX(FmtCansPerPack,MATCH(F2927,FmtName,0))</f>
        <v/>
      </c>
      <c r="U2927" s="47">
        <f>INDEX(ChBaseCP,MATCH(E2927,ChName,0))*(1+INDEX(ProvMod,MATCH(G2927,ProvCode,0)))*(1+PriceIndex)</f>
        <v/>
      </c>
      <c r="V2927" s="47">
        <f>R2927*U2927*INDEX(FmtBlendedPriceIdx,MATCH(F2927,FmtName,0))</f>
        <v/>
      </c>
      <c r="W2927" s="47">
        <f>T2927*INDEX(ProvSRP,MATCH(G2927,ProvCode,0))*(1+PriceIndex)</f>
        <v/>
      </c>
      <c r="X2927" s="47">
        <f>IF(GrossBasis="Wholesale",V2927,W2927)</f>
        <v/>
      </c>
      <c r="Y2927" s="47">
        <f>R2927*INDEX(FmtBlendedCogs,MATCH(F2927,FmtName,0))</f>
        <v/>
      </c>
      <c r="Z2927" s="47">
        <f>X2927-Y2927</f>
        <v/>
      </c>
    </row>
    <row r="2928">
      <c r="A2928" t="n">
        <v>12</v>
      </c>
      <c r="B2928" s="44">
        <f>FiscalStart+(A2928-1)*7</f>
        <v/>
      </c>
      <c r="C2928">
        <f>TEXT(B2928,"mmm yyyy")</f>
        <v/>
      </c>
      <c r="D2928">
        <f>"Q"&amp;(INT((A2928-1)/13)+1)</f>
        <v/>
      </c>
      <c r="E2928" t="inlineStr">
        <is>
          <t>Specialty</t>
        </is>
      </c>
      <c r="F2928">
        <f>IFERROR(INDEX(ChFormat,MATCH(E2928,ChName,0)),"")</f>
        <v/>
      </c>
      <c r="G2928" t="inlineStr">
        <is>
          <t>QC</t>
        </is>
      </c>
      <c r="H2928">
        <f>IF(A2928&lt;=NWeeks,1,0)</f>
        <v/>
      </c>
      <c r="I2928">
        <f>INDEX(ChLaunch,MATCH(E2928,ChName,0))</f>
        <v/>
      </c>
      <c r="J2928">
        <f>INDEX(ChWeeksFull,MATCH(E2928,ChName,0))</f>
        <v/>
      </c>
      <c r="K2928">
        <f>INDEX(ChRamp,MATCH(E2928,ChName,0))</f>
        <v/>
      </c>
      <c r="L2928" s="45">
        <f>MIN(1,MAX(0,(A2928-I2928+1)*RampSpeed/J2928))</f>
        <v/>
      </c>
      <c r="M2928" s="45">
        <f>IF(A2928&lt;I2928,0,IF(K2928="S-curve",L2928*L2928*(3-2*L2928),L2928))</f>
        <v/>
      </c>
      <c r="N2928" s="45">
        <f>1+(INDEX(SeasonIdx,A2928)-1)*SeasonAmp</f>
        <v/>
      </c>
      <c r="O2928" s="45">
        <f>IFERROR(INDEX(PSPct,MATCH(E2928&amp;"|"&amp;G2928,PSKey,0)),0)</f>
        <v/>
      </c>
      <c r="P2928" s="46">
        <f>INDEX(ChDoorVel,MATCH(E2928,ChName,0))*CalibScalar*(1+VelocityUplift)</f>
        <v/>
      </c>
      <c r="Q2928" s="46" t="n">
        <v>0</v>
      </c>
      <c r="R2928" s="46">
        <f>P2928*O2928*M2928*N2928*H2928</f>
        <v/>
      </c>
      <c r="S2928" s="46">
        <f>R2928*INDEX(FmtCansPerCase,MATCH(F2928,FmtName,0))</f>
        <v/>
      </c>
      <c r="T2928" s="46">
        <f>S2928/INDEX(FmtCansPerPack,MATCH(F2928,FmtName,0))</f>
        <v/>
      </c>
      <c r="U2928" s="47">
        <f>INDEX(ChBaseCP,MATCH(E2928,ChName,0))*(1+INDEX(ProvMod,MATCH(G2928,ProvCode,0)))*(1+PriceIndex)</f>
        <v/>
      </c>
      <c r="V2928" s="47">
        <f>R2928*U2928*INDEX(FmtBlendedPriceIdx,MATCH(F2928,FmtName,0))</f>
        <v/>
      </c>
      <c r="W2928" s="47">
        <f>T2928*INDEX(ProvSRP,MATCH(G2928,ProvCode,0))*(1+PriceIndex)</f>
        <v/>
      </c>
      <c r="X2928" s="47">
        <f>IF(GrossBasis="Wholesale",V2928,W2928)</f>
        <v/>
      </c>
      <c r="Y2928" s="47">
        <f>R2928*INDEX(FmtBlendedCogs,MATCH(F2928,FmtName,0))</f>
        <v/>
      </c>
      <c r="Z2928" s="47">
        <f>X2928-Y2928</f>
        <v/>
      </c>
    </row>
    <row r="2929">
      <c r="A2929" t="n">
        <v>13</v>
      </c>
      <c r="B2929" s="44">
        <f>FiscalStart+(A2929-1)*7</f>
        <v/>
      </c>
      <c r="C2929">
        <f>TEXT(B2929,"mmm yyyy")</f>
        <v/>
      </c>
      <c r="D2929">
        <f>"Q"&amp;(INT((A2929-1)/13)+1)</f>
        <v/>
      </c>
      <c r="E2929" t="inlineStr">
        <is>
          <t>Specialty</t>
        </is>
      </c>
      <c r="F2929">
        <f>IFERROR(INDEX(ChFormat,MATCH(E2929,ChName,0)),"")</f>
        <v/>
      </c>
      <c r="G2929" t="inlineStr">
        <is>
          <t>QC</t>
        </is>
      </c>
      <c r="H2929">
        <f>IF(A2929&lt;=NWeeks,1,0)</f>
        <v/>
      </c>
      <c r="I2929">
        <f>INDEX(ChLaunch,MATCH(E2929,ChName,0))</f>
        <v/>
      </c>
      <c r="J2929">
        <f>INDEX(ChWeeksFull,MATCH(E2929,ChName,0))</f>
        <v/>
      </c>
      <c r="K2929">
        <f>INDEX(ChRamp,MATCH(E2929,ChName,0))</f>
        <v/>
      </c>
      <c r="L2929" s="45">
        <f>MIN(1,MAX(0,(A2929-I2929+1)*RampSpeed/J2929))</f>
        <v/>
      </c>
      <c r="M2929" s="45">
        <f>IF(A2929&lt;I2929,0,IF(K2929="S-curve",L2929*L2929*(3-2*L2929),L2929))</f>
        <v/>
      </c>
      <c r="N2929" s="45">
        <f>1+(INDEX(SeasonIdx,A2929)-1)*SeasonAmp</f>
        <v/>
      </c>
      <c r="O2929" s="45">
        <f>IFERROR(INDEX(PSPct,MATCH(E2929&amp;"|"&amp;G2929,PSKey,0)),0)</f>
        <v/>
      </c>
      <c r="P2929" s="46">
        <f>INDEX(ChDoorVel,MATCH(E2929,ChName,0))*CalibScalar*(1+VelocityUplift)</f>
        <v/>
      </c>
      <c r="Q2929" s="46" t="n">
        <v>0</v>
      </c>
      <c r="R2929" s="46">
        <f>P2929*O2929*M2929*N2929*H2929</f>
        <v/>
      </c>
      <c r="S2929" s="46">
        <f>R2929*INDEX(FmtCansPerCase,MATCH(F2929,FmtName,0))</f>
        <v/>
      </c>
      <c r="T2929" s="46">
        <f>S2929/INDEX(FmtCansPerPack,MATCH(F2929,FmtName,0))</f>
        <v/>
      </c>
      <c r="U2929" s="47">
        <f>INDEX(ChBaseCP,MATCH(E2929,ChName,0))*(1+INDEX(ProvMod,MATCH(G2929,ProvCode,0)))*(1+PriceIndex)</f>
        <v/>
      </c>
      <c r="V2929" s="47">
        <f>R2929*U2929*INDEX(FmtBlendedPriceIdx,MATCH(F2929,FmtName,0))</f>
        <v/>
      </c>
      <c r="W2929" s="47">
        <f>T2929*INDEX(ProvSRP,MATCH(G2929,ProvCode,0))*(1+PriceIndex)</f>
        <v/>
      </c>
      <c r="X2929" s="47">
        <f>IF(GrossBasis="Wholesale",V2929,W2929)</f>
        <v/>
      </c>
      <c r="Y2929" s="47">
        <f>R2929*INDEX(FmtBlendedCogs,MATCH(F2929,FmtName,0))</f>
        <v/>
      </c>
      <c r="Z2929" s="47">
        <f>X2929-Y2929</f>
        <v/>
      </c>
    </row>
    <row r="2930">
      <c r="A2930" t="n">
        <v>14</v>
      </c>
      <c r="B2930" s="44">
        <f>FiscalStart+(A2930-1)*7</f>
        <v/>
      </c>
      <c r="C2930">
        <f>TEXT(B2930,"mmm yyyy")</f>
        <v/>
      </c>
      <c r="D2930">
        <f>"Q"&amp;(INT((A2930-1)/13)+1)</f>
        <v/>
      </c>
      <c r="E2930" t="inlineStr">
        <is>
          <t>Specialty</t>
        </is>
      </c>
      <c r="F2930">
        <f>IFERROR(INDEX(ChFormat,MATCH(E2930,ChName,0)),"")</f>
        <v/>
      </c>
      <c r="G2930" t="inlineStr">
        <is>
          <t>QC</t>
        </is>
      </c>
      <c r="H2930">
        <f>IF(A2930&lt;=NWeeks,1,0)</f>
        <v/>
      </c>
      <c r="I2930">
        <f>INDEX(ChLaunch,MATCH(E2930,ChName,0))</f>
        <v/>
      </c>
      <c r="J2930">
        <f>INDEX(ChWeeksFull,MATCH(E2930,ChName,0))</f>
        <v/>
      </c>
      <c r="K2930">
        <f>INDEX(ChRamp,MATCH(E2930,ChName,0))</f>
        <v/>
      </c>
      <c r="L2930" s="45">
        <f>MIN(1,MAX(0,(A2930-I2930+1)*RampSpeed/J2930))</f>
        <v/>
      </c>
      <c r="M2930" s="45">
        <f>IF(A2930&lt;I2930,0,IF(K2930="S-curve",L2930*L2930*(3-2*L2930),L2930))</f>
        <v/>
      </c>
      <c r="N2930" s="45">
        <f>1+(INDEX(SeasonIdx,A2930)-1)*SeasonAmp</f>
        <v/>
      </c>
      <c r="O2930" s="45">
        <f>IFERROR(INDEX(PSPct,MATCH(E2930&amp;"|"&amp;G2930,PSKey,0)),0)</f>
        <v/>
      </c>
      <c r="P2930" s="46">
        <f>INDEX(ChDoorVel,MATCH(E2930,ChName,0))*CalibScalar*(1+VelocityUplift)</f>
        <v/>
      </c>
      <c r="Q2930" s="46" t="n">
        <v>0</v>
      </c>
      <c r="R2930" s="46">
        <f>P2930*O2930*M2930*N2930*H2930</f>
        <v/>
      </c>
      <c r="S2930" s="46">
        <f>R2930*INDEX(FmtCansPerCase,MATCH(F2930,FmtName,0))</f>
        <v/>
      </c>
      <c r="T2930" s="46">
        <f>S2930/INDEX(FmtCansPerPack,MATCH(F2930,FmtName,0))</f>
        <v/>
      </c>
      <c r="U2930" s="47">
        <f>INDEX(ChBaseCP,MATCH(E2930,ChName,0))*(1+INDEX(ProvMod,MATCH(G2930,ProvCode,0)))*(1+PriceIndex)</f>
        <v/>
      </c>
      <c r="V2930" s="47">
        <f>R2930*U2930*INDEX(FmtBlendedPriceIdx,MATCH(F2930,FmtName,0))</f>
        <v/>
      </c>
      <c r="W2930" s="47">
        <f>T2930*INDEX(ProvSRP,MATCH(G2930,ProvCode,0))*(1+PriceIndex)</f>
        <v/>
      </c>
      <c r="X2930" s="47">
        <f>IF(GrossBasis="Wholesale",V2930,W2930)</f>
        <v/>
      </c>
      <c r="Y2930" s="47">
        <f>R2930*INDEX(FmtBlendedCogs,MATCH(F2930,FmtName,0))</f>
        <v/>
      </c>
      <c r="Z2930" s="47">
        <f>X2930-Y2930</f>
        <v/>
      </c>
    </row>
    <row r="2931">
      <c r="A2931" t="n">
        <v>15</v>
      </c>
      <c r="B2931" s="44">
        <f>FiscalStart+(A2931-1)*7</f>
        <v/>
      </c>
      <c r="C2931">
        <f>TEXT(B2931,"mmm yyyy")</f>
        <v/>
      </c>
      <c r="D2931">
        <f>"Q"&amp;(INT((A2931-1)/13)+1)</f>
        <v/>
      </c>
      <c r="E2931" t="inlineStr">
        <is>
          <t>Specialty</t>
        </is>
      </c>
      <c r="F2931">
        <f>IFERROR(INDEX(ChFormat,MATCH(E2931,ChName,0)),"")</f>
        <v/>
      </c>
      <c r="G2931" t="inlineStr">
        <is>
          <t>QC</t>
        </is>
      </c>
      <c r="H2931">
        <f>IF(A2931&lt;=NWeeks,1,0)</f>
        <v/>
      </c>
      <c r="I2931">
        <f>INDEX(ChLaunch,MATCH(E2931,ChName,0))</f>
        <v/>
      </c>
      <c r="J2931">
        <f>INDEX(ChWeeksFull,MATCH(E2931,ChName,0))</f>
        <v/>
      </c>
      <c r="K2931">
        <f>INDEX(ChRamp,MATCH(E2931,ChName,0))</f>
        <v/>
      </c>
      <c r="L2931" s="45">
        <f>MIN(1,MAX(0,(A2931-I2931+1)*RampSpeed/J2931))</f>
        <v/>
      </c>
      <c r="M2931" s="45">
        <f>IF(A2931&lt;I2931,0,IF(K2931="S-curve",L2931*L2931*(3-2*L2931),L2931))</f>
        <v/>
      </c>
      <c r="N2931" s="45">
        <f>1+(INDEX(SeasonIdx,A2931)-1)*SeasonAmp</f>
        <v/>
      </c>
      <c r="O2931" s="45">
        <f>IFERROR(INDEX(PSPct,MATCH(E2931&amp;"|"&amp;G2931,PSKey,0)),0)</f>
        <v/>
      </c>
      <c r="P2931" s="46">
        <f>INDEX(ChDoorVel,MATCH(E2931,ChName,0))*CalibScalar*(1+VelocityUplift)</f>
        <v/>
      </c>
      <c r="Q2931" s="46" t="n">
        <v>0</v>
      </c>
      <c r="R2931" s="46">
        <f>P2931*O2931*M2931*N2931*H2931</f>
        <v/>
      </c>
      <c r="S2931" s="46">
        <f>R2931*INDEX(FmtCansPerCase,MATCH(F2931,FmtName,0))</f>
        <v/>
      </c>
      <c r="T2931" s="46">
        <f>S2931/INDEX(FmtCansPerPack,MATCH(F2931,FmtName,0))</f>
        <v/>
      </c>
      <c r="U2931" s="47">
        <f>INDEX(ChBaseCP,MATCH(E2931,ChName,0))*(1+INDEX(ProvMod,MATCH(G2931,ProvCode,0)))*(1+PriceIndex)</f>
        <v/>
      </c>
      <c r="V2931" s="47">
        <f>R2931*U2931*INDEX(FmtBlendedPriceIdx,MATCH(F2931,FmtName,0))</f>
        <v/>
      </c>
      <c r="W2931" s="47">
        <f>T2931*INDEX(ProvSRP,MATCH(G2931,ProvCode,0))*(1+PriceIndex)</f>
        <v/>
      </c>
      <c r="X2931" s="47">
        <f>IF(GrossBasis="Wholesale",V2931,W2931)</f>
        <v/>
      </c>
      <c r="Y2931" s="47">
        <f>R2931*INDEX(FmtBlendedCogs,MATCH(F2931,FmtName,0))</f>
        <v/>
      </c>
      <c r="Z2931" s="47">
        <f>X2931-Y2931</f>
        <v/>
      </c>
    </row>
    <row r="2932">
      <c r="A2932" t="n">
        <v>16</v>
      </c>
      <c r="B2932" s="44">
        <f>FiscalStart+(A2932-1)*7</f>
        <v/>
      </c>
      <c r="C2932">
        <f>TEXT(B2932,"mmm yyyy")</f>
        <v/>
      </c>
      <c r="D2932">
        <f>"Q"&amp;(INT((A2932-1)/13)+1)</f>
        <v/>
      </c>
      <c r="E2932" t="inlineStr">
        <is>
          <t>Specialty</t>
        </is>
      </c>
      <c r="F2932">
        <f>IFERROR(INDEX(ChFormat,MATCH(E2932,ChName,0)),"")</f>
        <v/>
      </c>
      <c r="G2932" t="inlineStr">
        <is>
          <t>QC</t>
        </is>
      </c>
      <c r="H2932">
        <f>IF(A2932&lt;=NWeeks,1,0)</f>
        <v/>
      </c>
      <c r="I2932">
        <f>INDEX(ChLaunch,MATCH(E2932,ChName,0))</f>
        <v/>
      </c>
      <c r="J2932">
        <f>INDEX(ChWeeksFull,MATCH(E2932,ChName,0))</f>
        <v/>
      </c>
      <c r="K2932">
        <f>INDEX(ChRamp,MATCH(E2932,ChName,0))</f>
        <v/>
      </c>
      <c r="L2932" s="45">
        <f>MIN(1,MAX(0,(A2932-I2932+1)*RampSpeed/J2932))</f>
        <v/>
      </c>
      <c r="M2932" s="45">
        <f>IF(A2932&lt;I2932,0,IF(K2932="S-curve",L2932*L2932*(3-2*L2932),L2932))</f>
        <v/>
      </c>
      <c r="N2932" s="45">
        <f>1+(INDEX(SeasonIdx,A2932)-1)*SeasonAmp</f>
        <v/>
      </c>
      <c r="O2932" s="45">
        <f>IFERROR(INDEX(PSPct,MATCH(E2932&amp;"|"&amp;G2932,PSKey,0)),0)</f>
        <v/>
      </c>
      <c r="P2932" s="46">
        <f>INDEX(ChDoorVel,MATCH(E2932,ChName,0))*CalibScalar*(1+VelocityUplift)</f>
        <v/>
      </c>
      <c r="Q2932" s="46" t="n">
        <v>0</v>
      </c>
      <c r="R2932" s="46">
        <f>P2932*O2932*M2932*N2932*H2932</f>
        <v/>
      </c>
      <c r="S2932" s="46">
        <f>R2932*INDEX(FmtCansPerCase,MATCH(F2932,FmtName,0))</f>
        <v/>
      </c>
      <c r="T2932" s="46">
        <f>S2932/INDEX(FmtCansPerPack,MATCH(F2932,FmtName,0))</f>
        <v/>
      </c>
      <c r="U2932" s="47">
        <f>INDEX(ChBaseCP,MATCH(E2932,ChName,0))*(1+INDEX(ProvMod,MATCH(G2932,ProvCode,0)))*(1+PriceIndex)</f>
        <v/>
      </c>
      <c r="V2932" s="47">
        <f>R2932*U2932*INDEX(FmtBlendedPriceIdx,MATCH(F2932,FmtName,0))</f>
        <v/>
      </c>
      <c r="W2932" s="47">
        <f>T2932*INDEX(ProvSRP,MATCH(G2932,ProvCode,0))*(1+PriceIndex)</f>
        <v/>
      </c>
      <c r="X2932" s="47">
        <f>IF(GrossBasis="Wholesale",V2932,W2932)</f>
        <v/>
      </c>
      <c r="Y2932" s="47">
        <f>R2932*INDEX(FmtBlendedCogs,MATCH(F2932,FmtName,0))</f>
        <v/>
      </c>
      <c r="Z2932" s="47">
        <f>X2932-Y2932</f>
        <v/>
      </c>
    </row>
    <row r="2933">
      <c r="A2933" t="n">
        <v>17</v>
      </c>
      <c r="B2933" s="44">
        <f>FiscalStart+(A2933-1)*7</f>
        <v/>
      </c>
      <c r="C2933">
        <f>TEXT(B2933,"mmm yyyy")</f>
        <v/>
      </c>
      <c r="D2933">
        <f>"Q"&amp;(INT((A2933-1)/13)+1)</f>
        <v/>
      </c>
      <c r="E2933" t="inlineStr">
        <is>
          <t>Specialty</t>
        </is>
      </c>
      <c r="F2933">
        <f>IFERROR(INDEX(ChFormat,MATCH(E2933,ChName,0)),"")</f>
        <v/>
      </c>
      <c r="G2933" t="inlineStr">
        <is>
          <t>QC</t>
        </is>
      </c>
      <c r="H2933">
        <f>IF(A2933&lt;=NWeeks,1,0)</f>
        <v/>
      </c>
      <c r="I2933">
        <f>INDEX(ChLaunch,MATCH(E2933,ChName,0))</f>
        <v/>
      </c>
      <c r="J2933">
        <f>INDEX(ChWeeksFull,MATCH(E2933,ChName,0))</f>
        <v/>
      </c>
      <c r="K2933">
        <f>INDEX(ChRamp,MATCH(E2933,ChName,0))</f>
        <v/>
      </c>
      <c r="L2933" s="45">
        <f>MIN(1,MAX(0,(A2933-I2933+1)*RampSpeed/J2933))</f>
        <v/>
      </c>
      <c r="M2933" s="45">
        <f>IF(A2933&lt;I2933,0,IF(K2933="S-curve",L2933*L2933*(3-2*L2933),L2933))</f>
        <v/>
      </c>
      <c r="N2933" s="45">
        <f>1+(INDEX(SeasonIdx,A2933)-1)*SeasonAmp</f>
        <v/>
      </c>
      <c r="O2933" s="45">
        <f>IFERROR(INDEX(PSPct,MATCH(E2933&amp;"|"&amp;G2933,PSKey,0)),0)</f>
        <v/>
      </c>
      <c r="P2933" s="46">
        <f>INDEX(ChDoorVel,MATCH(E2933,ChName,0))*CalibScalar*(1+VelocityUplift)</f>
        <v/>
      </c>
      <c r="Q2933" s="46" t="n">
        <v>0</v>
      </c>
      <c r="R2933" s="46">
        <f>P2933*O2933*M2933*N2933*H2933</f>
        <v/>
      </c>
      <c r="S2933" s="46">
        <f>R2933*INDEX(FmtCansPerCase,MATCH(F2933,FmtName,0))</f>
        <v/>
      </c>
      <c r="T2933" s="46">
        <f>S2933/INDEX(FmtCansPerPack,MATCH(F2933,FmtName,0))</f>
        <v/>
      </c>
      <c r="U2933" s="47">
        <f>INDEX(ChBaseCP,MATCH(E2933,ChName,0))*(1+INDEX(ProvMod,MATCH(G2933,ProvCode,0)))*(1+PriceIndex)</f>
        <v/>
      </c>
      <c r="V2933" s="47">
        <f>R2933*U2933*INDEX(FmtBlendedPriceIdx,MATCH(F2933,FmtName,0))</f>
        <v/>
      </c>
      <c r="W2933" s="47">
        <f>T2933*INDEX(ProvSRP,MATCH(G2933,ProvCode,0))*(1+PriceIndex)</f>
        <v/>
      </c>
      <c r="X2933" s="47">
        <f>IF(GrossBasis="Wholesale",V2933,W2933)</f>
        <v/>
      </c>
      <c r="Y2933" s="47">
        <f>R2933*INDEX(FmtBlendedCogs,MATCH(F2933,FmtName,0))</f>
        <v/>
      </c>
      <c r="Z2933" s="47">
        <f>X2933-Y2933</f>
        <v/>
      </c>
    </row>
    <row r="2934">
      <c r="A2934" t="n">
        <v>18</v>
      </c>
      <c r="B2934" s="44">
        <f>FiscalStart+(A2934-1)*7</f>
        <v/>
      </c>
      <c r="C2934">
        <f>TEXT(B2934,"mmm yyyy")</f>
        <v/>
      </c>
      <c r="D2934">
        <f>"Q"&amp;(INT((A2934-1)/13)+1)</f>
        <v/>
      </c>
      <c r="E2934" t="inlineStr">
        <is>
          <t>Specialty</t>
        </is>
      </c>
      <c r="F2934">
        <f>IFERROR(INDEX(ChFormat,MATCH(E2934,ChName,0)),"")</f>
        <v/>
      </c>
      <c r="G2934" t="inlineStr">
        <is>
          <t>QC</t>
        </is>
      </c>
      <c r="H2934">
        <f>IF(A2934&lt;=NWeeks,1,0)</f>
        <v/>
      </c>
      <c r="I2934">
        <f>INDEX(ChLaunch,MATCH(E2934,ChName,0))</f>
        <v/>
      </c>
      <c r="J2934">
        <f>INDEX(ChWeeksFull,MATCH(E2934,ChName,0))</f>
        <v/>
      </c>
      <c r="K2934">
        <f>INDEX(ChRamp,MATCH(E2934,ChName,0))</f>
        <v/>
      </c>
      <c r="L2934" s="45">
        <f>MIN(1,MAX(0,(A2934-I2934+1)*RampSpeed/J2934))</f>
        <v/>
      </c>
      <c r="M2934" s="45">
        <f>IF(A2934&lt;I2934,0,IF(K2934="S-curve",L2934*L2934*(3-2*L2934),L2934))</f>
        <v/>
      </c>
      <c r="N2934" s="45">
        <f>1+(INDEX(SeasonIdx,A2934)-1)*SeasonAmp</f>
        <v/>
      </c>
      <c r="O2934" s="45">
        <f>IFERROR(INDEX(PSPct,MATCH(E2934&amp;"|"&amp;G2934,PSKey,0)),0)</f>
        <v/>
      </c>
      <c r="P2934" s="46">
        <f>INDEX(ChDoorVel,MATCH(E2934,ChName,0))*CalibScalar*(1+VelocityUplift)</f>
        <v/>
      </c>
      <c r="Q2934" s="46" t="n">
        <v>0</v>
      </c>
      <c r="R2934" s="46">
        <f>P2934*O2934*M2934*N2934*H2934</f>
        <v/>
      </c>
      <c r="S2934" s="46">
        <f>R2934*INDEX(FmtCansPerCase,MATCH(F2934,FmtName,0))</f>
        <v/>
      </c>
      <c r="T2934" s="46">
        <f>S2934/INDEX(FmtCansPerPack,MATCH(F2934,FmtName,0))</f>
        <v/>
      </c>
      <c r="U2934" s="47">
        <f>INDEX(ChBaseCP,MATCH(E2934,ChName,0))*(1+INDEX(ProvMod,MATCH(G2934,ProvCode,0)))*(1+PriceIndex)</f>
        <v/>
      </c>
      <c r="V2934" s="47">
        <f>R2934*U2934*INDEX(FmtBlendedPriceIdx,MATCH(F2934,FmtName,0))</f>
        <v/>
      </c>
      <c r="W2934" s="47">
        <f>T2934*INDEX(ProvSRP,MATCH(G2934,ProvCode,0))*(1+PriceIndex)</f>
        <v/>
      </c>
      <c r="X2934" s="47">
        <f>IF(GrossBasis="Wholesale",V2934,W2934)</f>
        <v/>
      </c>
      <c r="Y2934" s="47">
        <f>R2934*INDEX(FmtBlendedCogs,MATCH(F2934,FmtName,0))</f>
        <v/>
      </c>
      <c r="Z2934" s="47">
        <f>X2934-Y2934</f>
        <v/>
      </c>
    </row>
    <row r="2935">
      <c r="A2935" t="n">
        <v>19</v>
      </c>
      <c r="B2935" s="44">
        <f>FiscalStart+(A2935-1)*7</f>
        <v/>
      </c>
      <c r="C2935">
        <f>TEXT(B2935,"mmm yyyy")</f>
        <v/>
      </c>
      <c r="D2935">
        <f>"Q"&amp;(INT((A2935-1)/13)+1)</f>
        <v/>
      </c>
      <c r="E2935" t="inlineStr">
        <is>
          <t>Specialty</t>
        </is>
      </c>
      <c r="F2935">
        <f>IFERROR(INDEX(ChFormat,MATCH(E2935,ChName,0)),"")</f>
        <v/>
      </c>
      <c r="G2935" t="inlineStr">
        <is>
          <t>QC</t>
        </is>
      </c>
      <c r="H2935">
        <f>IF(A2935&lt;=NWeeks,1,0)</f>
        <v/>
      </c>
      <c r="I2935">
        <f>INDEX(ChLaunch,MATCH(E2935,ChName,0))</f>
        <v/>
      </c>
      <c r="J2935">
        <f>INDEX(ChWeeksFull,MATCH(E2935,ChName,0))</f>
        <v/>
      </c>
      <c r="K2935">
        <f>INDEX(ChRamp,MATCH(E2935,ChName,0))</f>
        <v/>
      </c>
      <c r="L2935" s="45">
        <f>MIN(1,MAX(0,(A2935-I2935+1)*RampSpeed/J2935))</f>
        <v/>
      </c>
      <c r="M2935" s="45">
        <f>IF(A2935&lt;I2935,0,IF(K2935="S-curve",L2935*L2935*(3-2*L2935),L2935))</f>
        <v/>
      </c>
      <c r="N2935" s="45">
        <f>1+(INDEX(SeasonIdx,A2935)-1)*SeasonAmp</f>
        <v/>
      </c>
      <c r="O2935" s="45">
        <f>IFERROR(INDEX(PSPct,MATCH(E2935&amp;"|"&amp;G2935,PSKey,0)),0)</f>
        <v/>
      </c>
      <c r="P2935" s="46">
        <f>INDEX(ChDoorVel,MATCH(E2935,ChName,0))*CalibScalar*(1+VelocityUplift)</f>
        <v/>
      </c>
      <c r="Q2935" s="46" t="n">
        <v>0</v>
      </c>
      <c r="R2935" s="46">
        <f>P2935*O2935*M2935*N2935*H2935</f>
        <v/>
      </c>
      <c r="S2935" s="46">
        <f>R2935*INDEX(FmtCansPerCase,MATCH(F2935,FmtName,0))</f>
        <v/>
      </c>
      <c r="T2935" s="46">
        <f>S2935/INDEX(FmtCansPerPack,MATCH(F2935,FmtName,0))</f>
        <v/>
      </c>
      <c r="U2935" s="47">
        <f>INDEX(ChBaseCP,MATCH(E2935,ChName,0))*(1+INDEX(ProvMod,MATCH(G2935,ProvCode,0)))*(1+PriceIndex)</f>
        <v/>
      </c>
      <c r="V2935" s="47">
        <f>R2935*U2935*INDEX(FmtBlendedPriceIdx,MATCH(F2935,FmtName,0))</f>
        <v/>
      </c>
      <c r="W2935" s="47">
        <f>T2935*INDEX(ProvSRP,MATCH(G2935,ProvCode,0))*(1+PriceIndex)</f>
        <v/>
      </c>
      <c r="X2935" s="47">
        <f>IF(GrossBasis="Wholesale",V2935,W2935)</f>
        <v/>
      </c>
      <c r="Y2935" s="47">
        <f>R2935*INDEX(FmtBlendedCogs,MATCH(F2935,FmtName,0))</f>
        <v/>
      </c>
      <c r="Z2935" s="47">
        <f>X2935-Y2935</f>
        <v/>
      </c>
    </row>
    <row r="2936">
      <c r="A2936" t="n">
        <v>20</v>
      </c>
      <c r="B2936" s="44">
        <f>FiscalStart+(A2936-1)*7</f>
        <v/>
      </c>
      <c r="C2936">
        <f>TEXT(B2936,"mmm yyyy")</f>
        <v/>
      </c>
      <c r="D2936">
        <f>"Q"&amp;(INT((A2936-1)/13)+1)</f>
        <v/>
      </c>
      <c r="E2936" t="inlineStr">
        <is>
          <t>Specialty</t>
        </is>
      </c>
      <c r="F2936">
        <f>IFERROR(INDEX(ChFormat,MATCH(E2936,ChName,0)),"")</f>
        <v/>
      </c>
      <c r="G2936" t="inlineStr">
        <is>
          <t>QC</t>
        </is>
      </c>
      <c r="H2936">
        <f>IF(A2936&lt;=NWeeks,1,0)</f>
        <v/>
      </c>
      <c r="I2936">
        <f>INDEX(ChLaunch,MATCH(E2936,ChName,0))</f>
        <v/>
      </c>
      <c r="J2936">
        <f>INDEX(ChWeeksFull,MATCH(E2936,ChName,0))</f>
        <v/>
      </c>
      <c r="K2936">
        <f>INDEX(ChRamp,MATCH(E2936,ChName,0))</f>
        <v/>
      </c>
      <c r="L2936" s="45">
        <f>MIN(1,MAX(0,(A2936-I2936+1)*RampSpeed/J2936))</f>
        <v/>
      </c>
      <c r="M2936" s="45">
        <f>IF(A2936&lt;I2936,0,IF(K2936="S-curve",L2936*L2936*(3-2*L2936),L2936))</f>
        <v/>
      </c>
      <c r="N2936" s="45">
        <f>1+(INDEX(SeasonIdx,A2936)-1)*SeasonAmp</f>
        <v/>
      </c>
      <c r="O2936" s="45">
        <f>IFERROR(INDEX(PSPct,MATCH(E2936&amp;"|"&amp;G2936,PSKey,0)),0)</f>
        <v/>
      </c>
      <c r="P2936" s="46">
        <f>INDEX(ChDoorVel,MATCH(E2936,ChName,0))*CalibScalar*(1+VelocityUplift)</f>
        <v/>
      </c>
      <c r="Q2936" s="46" t="n">
        <v>0</v>
      </c>
      <c r="R2936" s="46">
        <f>P2936*O2936*M2936*N2936*H2936</f>
        <v/>
      </c>
      <c r="S2936" s="46">
        <f>R2936*INDEX(FmtCansPerCase,MATCH(F2936,FmtName,0))</f>
        <v/>
      </c>
      <c r="T2936" s="46">
        <f>S2936/INDEX(FmtCansPerPack,MATCH(F2936,FmtName,0))</f>
        <v/>
      </c>
      <c r="U2936" s="47">
        <f>INDEX(ChBaseCP,MATCH(E2936,ChName,0))*(1+INDEX(ProvMod,MATCH(G2936,ProvCode,0)))*(1+PriceIndex)</f>
        <v/>
      </c>
      <c r="V2936" s="47">
        <f>R2936*U2936*INDEX(FmtBlendedPriceIdx,MATCH(F2936,FmtName,0))</f>
        <v/>
      </c>
      <c r="W2936" s="47">
        <f>T2936*INDEX(ProvSRP,MATCH(G2936,ProvCode,0))*(1+PriceIndex)</f>
        <v/>
      </c>
      <c r="X2936" s="47">
        <f>IF(GrossBasis="Wholesale",V2936,W2936)</f>
        <v/>
      </c>
      <c r="Y2936" s="47">
        <f>R2936*INDEX(FmtBlendedCogs,MATCH(F2936,FmtName,0))</f>
        <v/>
      </c>
      <c r="Z2936" s="47">
        <f>X2936-Y2936</f>
        <v/>
      </c>
    </row>
    <row r="2937">
      <c r="A2937" t="n">
        <v>21</v>
      </c>
      <c r="B2937" s="44">
        <f>FiscalStart+(A2937-1)*7</f>
        <v/>
      </c>
      <c r="C2937">
        <f>TEXT(B2937,"mmm yyyy")</f>
        <v/>
      </c>
      <c r="D2937">
        <f>"Q"&amp;(INT((A2937-1)/13)+1)</f>
        <v/>
      </c>
      <c r="E2937" t="inlineStr">
        <is>
          <t>Specialty</t>
        </is>
      </c>
      <c r="F2937">
        <f>IFERROR(INDEX(ChFormat,MATCH(E2937,ChName,0)),"")</f>
        <v/>
      </c>
      <c r="G2937" t="inlineStr">
        <is>
          <t>QC</t>
        </is>
      </c>
      <c r="H2937">
        <f>IF(A2937&lt;=NWeeks,1,0)</f>
        <v/>
      </c>
      <c r="I2937">
        <f>INDEX(ChLaunch,MATCH(E2937,ChName,0))</f>
        <v/>
      </c>
      <c r="J2937">
        <f>INDEX(ChWeeksFull,MATCH(E2937,ChName,0))</f>
        <v/>
      </c>
      <c r="K2937">
        <f>INDEX(ChRamp,MATCH(E2937,ChName,0))</f>
        <v/>
      </c>
      <c r="L2937" s="45">
        <f>MIN(1,MAX(0,(A2937-I2937+1)*RampSpeed/J2937))</f>
        <v/>
      </c>
      <c r="M2937" s="45">
        <f>IF(A2937&lt;I2937,0,IF(K2937="S-curve",L2937*L2937*(3-2*L2937),L2937))</f>
        <v/>
      </c>
      <c r="N2937" s="45">
        <f>1+(INDEX(SeasonIdx,A2937)-1)*SeasonAmp</f>
        <v/>
      </c>
      <c r="O2937" s="45">
        <f>IFERROR(INDEX(PSPct,MATCH(E2937&amp;"|"&amp;G2937,PSKey,0)),0)</f>
        <v/>
      </c>
      <c r="P2937" s="46">
        <f>INDEX(ChDoorVel,MATCH(E2937,ChName,0))*CalibScalar*(1+VelocityUplift)</f>
        <v/>
      </c>
      <c r="Q2937" s="46" t="n">
        <v>0</v>
      </c>
      <c r="R2937" s="46">
        <f>P2937*O2937*M2937*N2937*H2937</f>
        <v/>
      </c>
      <c r="S2937" s="46">
        <f>R2937*INDEX(FmtCansPerCase,MATCH(F2937,FmtName,0))</f>
        <v/>
      </c>
      <c r="T2937" s="46">
        <f>S2937/INDEX(FmtCansPerPack,MATCH(F2937,FmtName,0))</f>
        <v/>
      </c>
      <c r="U2937" s="47">
        <f>INDEX(ChBaseCP,MATCH(E2937,ChName,0))*(1+INDEX(ProvMod,MATCH(G2937,ProvCode,0)))*(1+PriceIndex)</f>
        <v/>
      </c>
      <c r="V2937" s="47">
        <f>R2937*U2937*INDEX(FmtBlendedPriceIdx,MATCH(F2937,FmtName,0))</f>
        <v/>
      </c>
      <c r="W2937" s="47">
        <f>T2937*INDEX(ProvSRP,MATCH(G2937,ProvCode,0))*(1+PriceIndex)</f>
        <v/>
      </c>
      <c r="X2937" s="47">
        <f>IF(GrossBasis="Wholesale",V2937,W2937)</f>
        <v/>
      </c>
      <c r="Y2937" s="47">
        <f>R2937*INDEX(FmtBlendedCogs,MATCH(F2937,FmtName,0))</f>
        <v/>
      </c>
      <c r="Z2937" s="47">
        <f>X2937-Y2937</f>
        <v/>
      </c>
    </row>
    <row r="2938">
      <c r="A2938" t="n">
        <v>22</v>
      </c>
      <c r="B2938" s="44">
        <f>FiscalStart+(A2938-1)*7</f>
        <v/>
      </c>
      <c r="C2938">
        <f>TEXT(B2938,"mmm yyyy")</f>
        <v/>
      </c>
      <c r="D2938">
        <f>"Q"&amp;(INT((A2938-1)/13)+1)</f>
        <v/>
      </c>
      <c r="E2938" t="inlineStr">
        <is>
          <t>Specialty</t>
        </is>
      </c>
      <c r="F2938">
        <f>IFERROR(INDEX(ChFormat,MATCH(E2938,ChName,0)),"")</f>
        <v/>
      </c>
      <c r="G2938" t="inlineStr">
        <is>
          <t>QC</t>
        </is>
      </c>
      <c r="H2938">
        <f>IF(A2938&lt;=NWeeks,1,0)</f>
        <v/>
      </c>
      <c r="I2938">
        <f>INDEX(ChLaunch,MATCH(E2938,ChName,0))</f>
        <v/>
      </c>
      <c r="J2938">
        <f>INDEX(ChWeeksFull,MATCH(E2938,ChName,0))</f>
        <v/>
      </c>
      <c r="K2938">
        <f>INDEX(ChRamp,MATCH(E2938,ChName,0))</f>
        <v/>
      </c>
      <c r="L2938" s="45">
        <f>MIN(1,MAX(0,(A2938-I2938+1)*RampSpeed/J2938))</f>
        <v/>
      </c>
      <c r="M2938" s="45">
        <f>IF(A2938&lt;I2938,0,IF(K2938="S-curve",L2938*L2938*(3-2*L2938),L2938))</f>
        <v/>
      </c>
      <c r="N2938" s="45">
        <f>1+(INDEX(SeasonIdx,A2938)-1)*SeasonAmp</f>
        <v/>
      </c>
      <c r="O2938" s="45">
        <f>IFERROR(INDEX(PSPct,MATCH(E2938&amp;"|"&amp;G2938,PSKey,0)),0)</f>
        <v/>
      </c>
      <c r="P2938" s="46">
        <f>INDEX(ChDoorVel,MATCH(E2938,ChName,0))*CalibScalar*(1+VelocityUplift)</f>
        <v/>
      </c>
      <c r="Q2938" s="46" t="n">
        <v>0</v>
      </c>
      <c r="R2938" s="46">
        <f>P2938*O2938*M2938*N2938*H2938</f>
        <v/>
      </c>
      <c r="S2938" s="46">
        <f>R2938*INDEX(FmtCansPerCase,MATCH(F2938,FmtName,0))</f>
        <v/>
      </c>
      <c r="T2938" s="46">
        <f>S2938/INDEX(FmtCansPerPack,MATCH(F2938,FmtName,0))</f>
        <v/>
      </c>
      <c r="U2938" s="47">
        <f>INDEX(ChBaseCP,MATCH(E2938,ChName,0))*(1+INDEX(ProvMod,MATCH(G2938,ProvCode,0)))*(1+PriceIndex)</f>
        <v/>
      </c>
      <c r="V2938" s="47">
        <f>R2938*U2938*INDEX(FmtBlendedPriceIdx,MATCH(F2938,FmtName,0))</f>
        <v/>
      </c>
      <c r="W2938" s="47">
        <f>T2938*INDEX(ProvSRP,MATCH(G2938,ProvCode,0))*(1+PriceIndex)</f>
        <v/>
      </c>
      <c r="X2938" s="47">
        <f>IF(GrossBasis="Wholesale",V2938,W2938)</f>
        <v/>
      </c>
      <c r="Y2938" s="47">
        <f>R2938*INDEX(FmtBlendedCogs,MATCH(F2938,FmtName,0))</f>
        <v/>
      </c>
      <c r="Z2938" s="47">
        <f>X2938-Y2938</f>
        <v/>
      </c>
    </row>
    <row r="2939">
      <c r="A2939" t="n">
        <v>23</v>
      </c>
      <c r="B2939" s="44">
        <f>FiscalStart+(A2939-1)*7</f>
        <v/>
      </c>
      <c r="C2939">
        <f>TEXT(B2939,"mmm yyyy")</f>
        <v/>
      </c>
      <c r="D2939">
        <f>"Q"&amp;(INT((A2939-1)/13)+1)</f>
        <v/>
      </c>
      <c r="E2939" t="inlineStr">
        <is>
          <t>Specialty</t>
        </is>
      </c>
      <c r="F2939">
        <f>IFERROR(INDEX(ChFormat,MATCH(E2939,ChName,0)),"")</f>
        <v/>
      </c>
      <c r="G2939" t="inlineStr">
        <is>
          <t>QC</t>
        </is>
      </c>
      <c r="H2939">
        <f>IF(A2939&lt;=NWeeks,1,0)</f>
        <v/>
      </c>
      <c r="I2939">
        <f>INDEX(ChLaunch,MATCH(E2939,ChName,0))</f>
        <v/>
      </c>
      <c r="J2939">
        <f>INDEX(ChWeeksFull,MATCH(E2939,ChName,0))</f>
        <v/>
      </c>
      <c r="K2939">
        <f>INDEX(ChRamp,MATCH(E2939,ChName,0))</f>
        <v/>
      </c>
      <c r="L2939" s="45">
        <f>MIN(1,MAX(0,(A2939-I2939+1)*RampSpeed/J2939))</f>
        <v/>
      </c>
      <c r="M2939" s="45">
        <f>IF(A2939&lt;I2939,0,IF(K2939="S-curve",L2939*L2939*(3-2*L2939),L2939))</f>
        <v/>
      </c>
      <c r="N2939" s="45">
        <f>1+(INDEX(SeasonIdx,A2939)-1)*SeasonAmp</f>
        <v/>
      </c>
      <c r="O2939" s="45">
        <f>IFERROR(INDEX(PSPct,MATCH(E2939&amp;"|"&amp;G2939,PSKey,0)),0)</f>
        <v/>
      </c>
      <c r="P2939" s="46">
        <f>INDEX(ChDoorVel,MATCH(E2939,ChName,0))*CalibScalar*(1+VelocityUplift)</f>
        <v/>
      </c>
      <c r="Q2939" s="46" t="n">
        <v>0</v>
      </c>
      <c r="R2939" s="46">
        <f>P2939*O2939*M2939*N2939*H2939</f>
        <v/>
      </c>
      <c r="S2939" s="46">
        <f>R2939*INDEX(FmtCansPerCase,MATCH(F2939,FmtName,0))</f>
        <v/>
      </c>
      <c r="T2939" s="46">
        <f>S2939/INDEX(FmtCansPerPack,MATCH(F2939,FmtName,0))</f>
        <v/>
      </c>
      <c r="U2939" s="47">
        <f>INDEX(ChBaseCP,MATCH(E2939,ChName,0))*(1+INDEX(ProvMod,MATCH(G2939,ProvCode,0)))*(1+PriceIndex)</f>
        <v/>
      </c>
      <c r="V2939" s="47">
        <f>R2939*U2939*INDEX(FmtBlendedPriceIdx,MATCH(F2939,FmtName,0))</f>
        <v/>
      </c>
      <c r="W2939" s="47">
        <f>T2939*INDEX(ProvSRP,MATCH(G2939,ProvCode,0))*(1+PriceIndex)</f>
        <v/>
      </c>
      <c r="X2939" s="47">
        <f>IF(GrossBasis="Wholesale",V2939,W2939)</f>
        <v/>
      </c>
      <c r="Y2939" s="47">
        <f>R2939*INDEX(FmtBlendedCogs,MATCH(F2939,FmtName,0))</f>
        <v/>
      </c>
      <c r="Z2939" s="47">
        <f>X2939-Y2939</f>
        <v/>
      </c>
    </row>
    <row r="2940">
      <c r="A2940" t="n">
        <v>24</v>
      </c>
      <c r="B2940" s="44">
        <f>FiscalStart+(A2940-1)*7</f>
        <v/>
      </c>
      <c r="C2940">
        <f>TEXT(B2940,"mmm yyyy")</f>
        <v/>
      </c>
      <c r="D2940">
        <f>"Q"&amp;(INT((A2940-1)/13)+1)</f>
        <v/>
      </c>
      <c r="E2940" t="inlineStr">
        <is>
          <t>Specialty</t>
        </is>
      </c>
      <c r="F2940">
        <f>IFERROR(INDEX(ChFormat,MATCH(E2940,ChName,0)),"")</f>
        <v/>
      </c>
      <c r="G2940" t="inlineStr">
        <is>
          <t>QC</t>
        </is>
      </c>
      <c r="H2940">
        <f>IF(A2940&lt;=NWeeks,1,0)</f>
        <v/>
      </c>
      <c r="I2940">
        <f>INDEX(ChLaunch,MATCH(E2940,ChName,0))</f>
        <v/>
      </c>
      <c r="J2940">
        <f>INDEX(ChWeeksFull,MATCH(E2940,ChName,0))</f>
        <v/>
      </c>
      <c r="K2940">
        <f>INDEX(ChRamp,MATCH(E2940,ChName,0))</f>
        <v/>
      </c>
      <c r="L2940" s="45">
        <f>MIN(1,MAX(0,(A2940-I2940+1)*RampSpeed/J2940))</f>
        <v/>
      </c>
      <c r="M2940" s="45">
        <f>IF(A2940&lt;I2940,0,IF(K2940="S-curve",L2940*L2940*(3-2*L2940),L2940))</f>
        <v/>
      </c>
      <c r="N2940" s="45">
        <f>1+(INDEX(SeasonIdx,A2940)-1)*SeasonAmp</f>
        <v/>
      </c>
      <c r="O2940" s="45">
        <f>IFERROR(INDEX(PSPct,MATCH(E2940&amp;"|"&amp;G2940,PSKey,0)),0)</f>
        <v/>
      </c>
      <c r="P2940" s="46">
        <f>INDEX(ChDoorVel,MATCH(E2940,ChName,0))*CalibScalar*(1+VelocityUplift)</f>
        <v/>
      </c>
      <c r="Q2940" s="46" t="n">
        <v>0</v>
      </c>
      <c r="R2940" s="46">
        <f>P2940*O2940*M2940*N2940*H2940</f>
        <v/>
      </c>
      <c r="S2940" s="46">
        <f>R2940*INDEX(FmtCansPerCase,MATCH(F2940,FmtName,0))</f>
        <v/>
      </c>
      <c r="T2940" s="46">
        <f>S2940/INDEX(FmtCansPerPack,MATCH(F2940,FmtName,0))</f>
        <v/>
      </c>
      <c r="U2940" s="47">
        <f>INDEX(ChBaseCP,MATCH(E2940,ChName,0))*(1+INDEX(ProvMod,MATCH(G2940,ProvCode,0)))*(1+PriceIndex)</f>
        <v/>
      </c>
      <c r="V2940" s="47">
        <f>R2940*U2940*INDEX(FmtBlendedPriceIdx,MATCH(F2940,FmtName,0))</f>
        <v/>
      </c>
      <c r="W2940" s="47">
        <f>T2940*INDEX(ProvSRP,MATCH(G2940,ProvCode,0))*(1+PriceIndex)</f>
        <v/>
      </c>
      <c r="X2940" s="47">
        <f>IF(GrossBasis="Wholesale",V2940,W2940)</f>
        <v/>
      </c>
      <c r="Y2940" s="47">
        <f>R2940*INDEX(FmtBlendedCogs,MATCH(F2940,FmtName,0))</f>
        <v/>
      </c>
      <c r="Z2940" s="47">
        <f>X2940-Y2940</f>
        <v/>
      </c>
    </row>
    <row r="2941">
      <c r="A2941" t="n">
        <v>25</v>
      </c>
      <c r="B2941" s="44">
        <f>FiscalStart+(A2941-1)*7</f>
        <v/>
      </c>
      <c r="C2941">
        <f>TEXT(B2941,"mmm yyyy")</f>
        <v/>
      </c>
      <c r="D2941">
        <f>"Q"&amp;(INT((A2941-1)/13)+1)</f>
        <v/>
      </c>
      <c r="E2941" t="inlineStr">
        <is>
          <t>Specialty</t>
        </is>
      </c>
      <c r="F2941">
        <f>IFERROR(INDEX(ChFormat,MATCH(E2941,ChName,0)),"")</f>
        <v/>
      </c>
      <c r="G2941" t="inlineStr">
        <is>
          <t>QC</t>
        </is>
      </c>
      <c r="H2941">
        <f>IF(A2941&lt;=NWeeks,1,0)</f>
        <v/>
      </c>
      <c r="I2941">
        <f>INDEX(ChLaunch,MATCH(E2941,ChName,0))</f>
        <v/>
      </c>
      <c r="J2941">
        <f>INDEX(ChWeeksFull,MATCH(E2941,ChName,0))</f>
        <v/>
      </c>
      <c r="K2941">
        <f>INDEX(ChRamp,MATCH(E2941,ChName,0))</f>
        <v/>
      </c>
      <c r="L2941" s="45">
        <f>MIN(1,MAX(0,(A2941-I2941+1)*RampSpeed/J2941))</f>
        <v/>
      </c>
      <c r="M2941" s="45">
        <f>IF(A2941&lt;I2941,0,IF(K2941="S-curve",L2941*L2941*(3-2*L2941),L2941))</f>
        <v/>
      </c>
      <c r="N2941" s="45">
        <f>1+(INDEX(SeasonIdx,A2941)-1)*SeasonAmp</f>
        <v/>
      </c>
      <c r="O2941" s="45">
        <f>IFERROR(INDEX(PSPct,MATCH(E2941&amp;"|"&amp;G2941,PSKey,0)),0)</f>
        <v/>
      </c>
      <c r="P2941" s="46">
        <f>INDEX(ChDoorVel,MATCH(E2941,ChName,0))*CalibScalar*(1+VelocityUplift)</f>
        <v/>
      </c>
      <c r="Q2941" s="46" t="n">
        <v>0</v>
      </c>
      <c r="R2941" s="46">
        <f>P2941*O2941*M2941*N2941*H2941</f>
        <v/>
      </c>
      <c r="S2941" s="46">
        <f>R2941*INDEX(FmtCansPerCase,MATCH(F2941,FmtName,0))</f>
        <v/>
      </c>
      <c r="T2941" s="46">
        <f>S2941/INDEX(FmtCansPerPack,MATCH(F2941,FmtName,0))</f>
        <v/>
      </c>
      <c r="U2941" s="47">
        <f>INDEX(ChBaseCP,MATCH(E2941,ChName,0))*(1+INDEX(ProvMod,MATCH(G2941,ProvCode,0)))*(1+PriceIndex)</f>
        <v/>
      </c>
      <c r="V2941" s="47">
        <f>R2941*U2941*INDEX(FmtBlendedPriceIdx,MATCH(F2941,FmtName,0))</f>
        <v/>
      </c>
      <c r="W2941" s="47">
        <f>T2941*INDEX(ProvSRP,MATCH(G2941,ProvCode,0))*(1+PriceIndex)</f>
        <v/>
      </c>
      <c r="X2941" s="47">
        <f>IF(GrossBasis="Wholesale",V2941,W2941)</f>
        <v/>
      </c>
      <c r="Y2941" s="47">
        <f>R2941*INDEX(FmtBlendedCogs,MATCH(F2941,FmtName,0))</f>
        <v/>
      </c>
      <c r="Z2941" s="47">
        <f>X2941-Y2941</f>
        <v/>
      </c>
    </row>
    <row r="2942">
      <c r="A2942" t="n">
        <v>26</v>
      </c>
      <c r="B2942" s="44">
        <f>FiscalStart+(A2942-1)*7</f>
        <v/>
      </c>
      <c r="C2942">
        <f>TEXT(B2942,"mmm yyyy")</f>
        <v/>
      </c>
      <c r="D2942">
        <f>"Q"&amp;(INT((A2942-1)/13)+1)</f>
        <v/>
      </c>
      <c r="E2942" t="inlineStr">
        <is>
          <t>Specialty</t>
        </is>
      </c>
      <c r="F2942">
        <f>IFERROR(INDEX(ChFormat,MATCH(E2942,ChName,0)),"")</f>
        <v/>
      </c>
      <c r="G2942" t="inlineStr">
        <is>
          <t>QC</t>
        </is>
      </c>
      <c r="H2942">
        <f>IF(A2942&lt;=NWeeks,1,0)</f>
        <v/>
      </c>
      <c r="I2942">
        <f>INDEX(ChLaunch,MATCH(E2942,ChName,0))</f>
        <v/>
      </c>
      <c r="J2942">
        <f>INDEX(ChWeeksFull,MATCH(E2942,ChName,0))</f>
        <v/>
      </c>
      <c r="K2942">
        <f>INDEX(ChRamp,MATCH(E2942,ChName,0))</f>
        <v/>
      </c>
      <c r="L2942" s="45">
        <f>MIN(1,MAX(0,(A2942-I2942+1)*RampSpeed/J2942))</f>
        <v/>
      </c>
      <c r="M2942" s="45">
        <f>IF(A2942&lt;I2942,0,IF(K2942="S-curve",L2942*L2942*(3-2*L2942),L2942))</f>
        <v/>
      </c>
      <c r="N2942" s="45">
        <f>1+(INDEX(SeasonIdx,A2942)-1)*SeasonAmp</f>
        <v/>
      </c>
      <c r="O2942" s="45">
        <f>IFERROR(INDEX(PSPct,MATCH(E2942&amp;"|"&amp;G2942,PSKey,0)),0)</f>
        <v/>
      </c>
      <c r="P2942" s="46">
        <f>INDEX(ChDoorVel,MATCH(E2942,ChName,0))*CalibScalar*(1+VelocityUplift)</f>
        <v/>
      </c>
      <c r="Q2942" s="46" t="n">
        <v>0</v>
      </c>
      <c r="R2942" s="46">
        <f>P2942*O2942*M2942*N2942*H2942</f>
        <v/>
      </c>
      <c r="S2942" s="46">
        <f>R2942*INDEX(FmtCansPerCase,MATCH(F2942,FmtName,0))</f>
        <v/>
      </c>
      <c r="T2942" s="46">
        <f>S2942/INDEX(FmtCansPerPack,MATCH(F2942,FmtName,0))</f>
        <v/>
      </c>
      <c r="U2942" s="47">
        <f>INDEX(ChBaseCP,MATCH(E2942,ChName,0))*(1+INDEX(ProvMod,MATCH(G2942,ProvCode,0)))*(1+PriceIndex)</f>
        <v/>
      </c>
      <c r="V2942" s="47">
        <f>R2942*U2942*INDEX(FmtBlendedPriceIdx,MATCH(F2942,FmtName,0))</f>
        <v/>
      </c>
      <c r="W2942" s="47">
        <f>T2942*INDEX(ProvSRP,MATCH(G2942,ProvCode,0))*(1+PriceIndex)</f>
        <v/>
      </c>
      <c r="X2942" s="47">
        <f>IF(GrossBasis="Wholesale",V2942,W2942)</f>
        <v/>
      </c>
      <c r="Y2942" s="47">
        <f>R2942*INDEX(FmtBlendedCogs,MATCH(F2942,FmtName,0))</f>
        <v/>
      </c>
      <c r="Z2942" s="47">
        <f>X2942-Y2942</f>
        <v/>
      </c>
    </row>
    <row r="2943">
      <c r="A2943" t="n">
        <v>27</v>
      </c>
      <c r="B2943" s="44">
        <f>FiscalStart+(A2943-1)*7</f>
        <v/>
      </c>
      <c r="C2943">
        <f>TEXT(B2943,"mmm yyyy")</f>
        <v/>
      </c>
      <c r="D2943">
        <f>"Q"&amp;(INT((A2943-1)/13)+1)</f>
        <v/>
      </c>
      <c r="E2943" t="inlineStr">
        <is>
          <t>Specialty</t>
        </is>
      </c>
      <c r="F2943">
        <f>IFERROR(INDEX(ChFormat,MATCH(E2943,ChName,0)),"")</f>
        <v/>
      </c>
      <c r="G2943" t="inlineStr">
        <is>
          <t>QC</t>
        </is>
      </c>
      <c r="H2943">
        <f>IF(A2943&lt;=NWeeks,1,0)</f>
        <v/>
      </c>
      <c r="I2943">
        <f>INDEX(ChLaunch,MATCH(E2943,ChName,0))</f>
        <v/>
      </c>
      <c r="J2943">
        <f>INDEX(ChWeeksFull,MATCH(E2943,ChName,0))</f>
        <v/>
      </c>
      <c r="K2943">
        <f>INDEX(ChRamp,MATCH(E2943,ChName,0))</f>
        <v/>
      </c>
      <c r="L2943" s="45">
        <f>MIN(1,MAX(0,(A2943-I2943+1)*RampSpeed/J2943))</f>
        <v/>
      </c>
      <c r="M2943" s="45">
        <f>IF(A2943&lt;I2943,0,IF(K2943="S-curve",L2943*L2943*(3-2*L2943),L2943))</f>
        <v/>
      </c>
      <c r="N2943" s="45">
        <f>1+(INDEX(SeasonIdx,A2943)-1)*SeasonAmp</f>
        <v/>
      </c>
      <c r="O2943" s="45">
        <f>IFERROR(INDEX(PSPct,MATCH(E2943&amp;"|"&amp;G2943,PSKey,0)),0)</f>
        <v/>
      </c>
      <c r="P2943" s="46">
        <f>INDEX(ChDoorVel,MATCH(E2943,ChName,0))*CalibScalar*(1+VelocityUplift)</f>
        <v/>
      </c>
      <c r="Q2943" s="46" t="n">
        <v>0</v>
      </c>
      <c r="R2943" s="46">
        <f>P2943*O2943*M2943*N2943*H2943</f>
        <v/>
      </c>
      <c r="S2943" s="46">
        <f>R2943*INDEX(FmtCansPerCase,MATCH(F2943,FmtName,0))</f>
        <v/>
      </c>
      <c r="T2943" s="46">
        <f>S2943/INDEX(FmtCansPerPack,MATCH(F2943,FmtName,0))</f>
        <v/>
      </c>
      <c r="U2943" s="47">
        <f>INDEX(ChBaseCP,MATCH(E2943,ChName,0))*(1+INDEX(ProvMod,MATCH(G2943,ProvCode,0)))*(1+PriceIndex)</f>
        <v/>
      </c>
      <c r="V2943" s="47">
        <f>R2943*U2943*INDEX(FmtBlendedPriceIdx,MATCH(F2943,FmtName,0))</f>
        <v/>
      </c>
      <c r="W2943" s="47">
        <f>T2943*INDEX(ProvSRP,MATCH(G2943,ProvCode,0))*(1+PriceIndex)</f>
        <v/>
      </c>
      <c r="X2943" s="47">
        <f>IF(GrossBasis="Wholesale",V2943,W2943)</f>
        <v/>
      </c>
      <c r="Y2943" s="47">
        <f>R2943*INDEX(FmtBlendedCogs,MATCH(F2943,FmtName,0))</f>
        <v/>
      </c>
      <c r="Z2943" s="47">
        <f>X2943-Y2943</f>
        <v/>
      </c>
    </row>
    <row r="2944">
      <c r="A2944" t="n">
        <v>28</v>
      </c>
      <c r="B2944" s="44">
        <f>FiscalStart+(A2944-1)*7</f>
        <v/>
      </c>
      <c r="C2944">
        <f>TEXT(B2944,"mmm yyyy")</f>
        <v/>
      </c>
      <c r="D2944">
        <f>"Q"&amp;(INT((A2944-1)/13)+1)</f>
        <v/>
      </c>
      <c r="E2944" t="inlineStr">
        <is>
          <t>Specialty</t>
        </is>
      </c>
      <c r="F2944">
        <f>IFERROR(INDEX(ChFormat,MATCH(E2944,ChName,0)),"")</f>
        <v/>
      </c>
      <c r="G2944" t="inlineStr">
        <is>
          <t>QC</t>
        </is>
      </c>
      <c r="H2944">
        <f>IF(A2944&lt;=NWeeks,1,0)</f>
        <v/>
      </c>
      <c r="I2944">
        <f>INDEX(ChLaunch,MATCH(E2944,ChName,0))</f>
        <v/>
      </c>
      <c r="J2944">
        <f>INDEX(ChWeeksFull,MATCH(E2944,ChName,0))</f>
        <v/>
      </c>
      <c r="K2944">
        <f>INDEX(ChRamp,MATCH(E2944,ChName,0))</f>
        <v/>
      </c>
      <c r="L2944" s="45">
        <f>MIN(1,MAX(0,(A2944-I2944+1)*RampSpeed/J2944))</f>
        <v/>
      </c>
      <c r="M2944" s="45">
        <f>IF(A2944&lt;I2944,0,IF(K2944="S-curve",L2944*L2944*(3-2*L2944),L2944))</f>
        <v/>
      </c>
      <c r="N2944" s="45">
        <f>1+(INDEX(SeasonIdx,A2944)-1)*SeasonAmp</f>
        <v/>
      </c>
      <c r="O2944" s="45">
        <f>IFERROR(INDEX(PSPct,MATCH(E2944&amp;"|"&amp;G2944,PSKey,0)),0)</f>
        <v/>
      </c>
      <c r="P2944" s="46">
        <f>INDEX(ChDoorVel,MATCH(E2944,ChName,0))*CalibScalar*(1+VelocityUplift)</f>
        <v/>
      </c>
      <c r="Q2944" s="46" t="n">
        <v>0</v>
      </c>
      <c r="R2944" s="46">
        <f>P2944*O2944*M2944*N2944*H2944</f>
        <v/>
      </c>
      <c r="S2944" s="46">
        <f>R2944*INDEX(FmtCansPerCase,MATCH(F2944,FmtName,0))</f>
        <v/>
      </c>
      <c r="T2944" s="46">
        <f>S2944/INDEX(FmtCansPerPack,MATCH(F2944,FmtName,0))</f>
        <v/>
      </c>
      <c r="U2944" s="47">
        <f>INDEX(ChBaseCP,MATCH(E2944,ChName,0))*(1+INDEX(ProvMod,MATCH(G2944,ProvCode,0)))*(1+PriceIndex)</f>
        <v/>
      </c>
      <c r="V2944" s="47">
        <f>R2944*U2944*INDEX(FmtBlendedPriceIdx,MATCH(F2944,FmtName,0))</f>
        <v/>
      </c>
      <c r="W2944" s="47">
        <f>T2944*INDEX(ProvSRP,MATCH(G2944,ProvCode,0))*(1+PriceIndex)</f>
        <v/>
      </c>
      <c r="X2944" s="47">
        <f>IF(GrossBasis="Wholesale",V2944,W2944)</f>
        <v/>
      </c>
      <c r="Y2944" s="47">
        <f>R2944*INDEX(FmtBlendedCogs,MATCH(F2944,FmtName,0))</f>
        <v/>
      </c>
      <c r="Z2944" s="47">
        <f>X2944-Y2944</f>
        <v/>
      </c>
    </row>
    <row r="2945">
      <c r="A2945" t="n">
        <v>29</v>
      </c>
      <c r="B2945" s="44">
        <f>FiscalStart+(A2945-1)*7</f>
        <v/>
      </c>
      <c r="C2945">
        <f>TEXT(B2945,"mmm yyyy")</f>
        <v/>
      </c>
      <c r="D2945">
        <f>"Q"&amp;(INT((A2945-1)/13)+1)</f>
        <v/>
      </c>
      <c r="E2945" t="inlineStr">
        <is>
          <t>Specialty</t>
        </is>
      </c>
      <c r="F2945">
        <f>IFERROR(INDEX(ChFormat,MATCH(E2945,ChName,0)),"")</f>
        <v/>
      </c>
      <c r="G2945" t="inlineStr">
        <is>
          <t>QC</t>
        </is>
      </c>
      <c r="H2945">
        <f>IF(A2945&lt;=NWeeks,1,0)</f>
        <v/>
      </c>
      <c r="I2945">
        <f>INDEX(ChLaunch,MATCH(E2945,ChName,0))</f>
        <v/>
      </c>
      <c r="J2945">
        <f>INDEX(ChWeeksFull,MATCH(E2945,ChName,0))</f>
        <v/>
      </c>
      <c r="K2945">
        <f>INDEX(ChRamp,MATCH(E2945,ChName,0))</f>
        <v/>
      </c>
      <c r="L2945" s="45">
        <f>MIN(1,MAX(0,(A2945-I2945+1)*RampSpeed/J2945))</f>
        <v/>
      </c>
      <c r="M2945" s="45">
        <f>IF(A2945&lt;I2945,0,IF(K2945="S-curve",L2945*L2945*(3-2*L2945),L2945))</f>
        <v/>
      </c>
      <c r="N2945" s="45">
        <f>1+(INDEX(SeasonIdx,A2945)-1)*SeasonAmp</f>
        <v/>
      </c>
      <c r="O2945" s="45">
        <f>IFERROR(INDEX(PSPct,MATCH(E2945&amp;"|"&amp;G2945,PSKey,0)),0)</f>
        <v/>
      </c>
      <c r="P2945" s="46">
        <f>INDEX(ChDoorVel,MATCH(E2945,ChName,0))*CalibScalar*(1+VelocityUplift)</f>
        <v/>
      </c>
      <c r="Q2945" s="46" t="n">
        <v>0</v>
      </c>
      <c r="R2945" s="46">
        <f>P2945*O2945*M2945*N2945*H2945</f>
        <v/>
      </c>
      <c r="S2945" s="46">
        <f>R2945*INDEX(FmtCansPerCase,MATCH(F2945,FmtName,0))</f>
        <v/>
      </c>
      <c r="T2945" s="46">
        <f>S2945/INDEX(FmtCansPerPack,MATCH(F2945,FmtName,0))</f>
        <v/>
      </c>
      <c r="U2945" s="47">
        <f>INDEX(ChBaseCP,MATCH(E2945,ChName,0))*(1+INDEX(ProvMod,MATCH(G2945,ProvCode,0)))*(1+PriceIndex)</f>
        <v/>
      </c>
      <c r="V2945" s="47">
        <f>R2945*U2945*INDEX(FmtBlendedPriceIdx,MATCH(F2945,FmtName,0))</f>
        <v/>
      </c>
      <c r="W2945" s="47">
        <f>T2945*INDEX(ProvSRP,MATCH(G2945,ProvCode,0))*(1+PriceIndex)</f>
        <v/>
      </c>
      <c r="X2945" s="47">
        <f>IF(GrossBasis="Wholesale",V2945,W2945)</f>
        <v/>
      </c>
      <c r="Y2945" s="47">
        <f>R2945*INDEX(FmtBlendedCogs,MATCH(F2945,FmtName,0))</f>
        <v/>
      </c>
      <c r="Z2945" s="47">
        <f>X2945-Y2945</f>
        <v/>
      </c>
    </row>
    <row r="2946">
      <c r="A2946" t="n">
        <v>30</v>
      </c>
      <c r="B2946" s="44">
        <f>FiscalStart+(A2946-1)*7</f>
        <v/>
      </c>
      <c r="C2946">
        <f>TEXT(B2946,"mmm yyyy")</f>
        <v/>
      </c>
      <c r="D2946">
        <f>"Q"&amp;(INT((A2946-1)/13)+1)</f>
        <v/>
      </c>
      <c r="E2946" t="inlineStr">
        <is>
          <t>Specialty</t>
        </is>
      </c>
      <c r="F2946">
        <f>IFERROR(INDEX(ChFormat,MATCH(E2946,ChName,0)),"")</f>
        <v/>
      </c>
      <c r="G2946" t="inlineStr">
        <is>
          <t>QC</t>
        </is>
      </c>
      <c r="H2946">
        <f>IF(A2946&lt;=NWeeks,1,0)</f>
        <v/>
      </c>
      <c r="I2946">
        <f>INDEX(ChLaunch,MATCH(E2946,ChName,0))</f>
        <v/>
      </c>
      <c r="J2946">
        <f>INDEX(ChWeeksFull,MATCH(E2946,ChName,0))</f>
        <v/>
      </c>
      <c r="K2946">
        <f>INDEX(ChRamp,MATCH(E2946,ChName,0))</f>
        <v/>
      </c>
      <c r="L2946" s="45">
        <f>MIN(1,MAX(0,(A2946-I2946+1)*RampSpeed/J2946))</f>
        <v/>
      </c>
      <c r="M2946" s="45">
        <f>IF(A2946&lt;I2946,0,IF(K2946="S-curve",L2946*L2946*(3-2*L2946),L2946))</f>
        <v/>
      </c>
      <c r="N2946" s="45">
        <f>1+(INDEX(SeasonIdx,A2946)-1)*SeasonAmp</f>
        <v/>
      </c>
      <c r="O2946" s="45">
        <f>IFERROR(INDEX(PSPct,MATCH(E2946&amp;"|"&amp;G2946,PSKey,0)),0)</f>
        <v/>
      </c>
      <c r="P2946" s="46">
        <f>INDEX(ChDoorVel,MATCH(E2946,ChName,0))*CalibScalar*(1+VelocityUplift)</f>
        <v/>
      </c>
      <c r="Q2946" s="46" t="n">
        <v>0</v>
      </c>
      <c r="R2946" s="46">
        <f>P2946*O2946*M2946*N2946*H2946</f>
        <v/>
      </c>
      <c r="S2946" s="46">
        <f>R2946*INDEX(FmtCansPerCase,MATCH(F2946,FmtName,0))</f>
        <v/>
      </c>
      <c r="T2946" s="46">
        <f>S2946/INDEX(FmtCansPerPack,MATCH(F2946,FmtName,0))</f>
        <v/>
      </c>
      <c r="U2946" s="47">
        <f>INDEX(ChBaseCP,MATCH(E2946,ChName,0))*(1+INDEX(ProvMod,MATCH(G2946,ProvCode,0)))*(1+PriceIndex)</f>
        <v/>
      </c>
      <c r="V2946" s="47">
        <f>R2946*U2946*INDEX(FmtBlendedPriceIdx,MATCH(F2946,FmtName,0))</f>
        <v/>
      </c>
      <c r="W2946" s="47">
        <f>T2946*INDEX(ProvSRP,MATCH(G2946,ProvCode,0))*(1+PriceIndex)</f>
        <v/>
      </c>
      <c r="X2946" s="47">
        <f>IF(GrossBasis="Wholesale",V2946,W2946)</f>
        <v/>
      </c>
      <c r="Y2946" s="47">
        <f>R2946*INDEX(FmtBlendedCogs,MATCH(F2946,FmtName,0))</f>
        <v/>
      </c>
      <c r="Z2946" s="47">
        <f>X2946-Y2946</f>
        <v/>
      </c>
    </row>
    <row r="2947">
      <c r="A2947" t="n">
        <v>31</v>
      </c>
      <c r="B2947" s="44">
        <f>FiscalStart+(A2947-1)*7</f>
        <v/>
      </c>
      <c r="C2947">
        <f>TEXT(B2947,"mmm yyyy")</f>
        <v/>
      </c>
      <c r="D2947">
        <f>"Q"&amp;(INT((A2947-1)/13)+1)</f>
        <v/>
      </c>
      <c r="E2947" t="inlineStr">
        <is>
          <t>Specialty</t>
        </is>
      </c>
      <c r="F2947">
        <f>IFERROR(INDEX(ChFormat,MATCH(E2947,ChName,0)),"")</f>
        <v/>
      </c>
      <c r="G2947" t="inlineStr">
        <is>
          <t>QC</t>
        </is>
      </c>
      <c r="H2947">
        <f>IF(A2947&lt;=NWeeks,1,0)</f>
        <v/>
      </c>
      <c r="I2947">
        <f>INDEX(ChLaunch,MATCH(E2947,ChName,0))</f>
        <v/>
      </c>
      <c r="J2947">
        <f>INDEX(ChWeeksFull,MATCH(E2947,ChName,0))</f>
        <v/>
      </c>
      <c r="K2947">
        <f>INDEX(ChRamp,MATCH(E2947,ChName,0))</f>
        <v/>
      </c>
      <c r="L2947" s="45">
        <f>MIN(1,MAX(0,(A2947-I2947+1)*RampSpeed/J2947))</f>
        <v/>
      </c>
      <c r="M2947" s="45">
        <f>IF(A2947&lt;I2947,0,IF(K2947="S-curve",L2947*L2947*(3-2*L2947),L2947))</f>
        <v/>
      </c>
      <c r="N2947" s="45">
        <f>1+(INDEX(SeasonIdx,A2947)-1)*SeasonAmp</f>
        <v/>
      </c>
      <c r="O2947" s="45">
        <f>IFERROR(INDEX(PSPct,MATCH(E2947&amp;"|"&amp;G2947,PSKey,0)),0)</f>
        <v/>
      </c>
      <c r="P2947" s="46">
        <f>INDEX(ChDoorVel,MATCH(E2947,ChName,0))*CalibScalar*(1+VelocityUplift)</f>
        <v/>
      </c>
      <c r="Q2947" s="46" t="n">
        <v>0</v>
      </c>
      <c r="R2947" s="46">
        <f>P2947*O2947*M2947*N2947*H2947</f>
        <v/>
      </c>
      <c r="S2947" s="46">
        <f>R2947*INDEX(FmtCansPerCase,MATCH(F2947,FmtName,0))</f>
        <v/>
      </c>
      <c r="T2947" s="46">
        <f>S2947/INDEX(FmtCansPerPack,MATCH(F2947,FmtName,0))</f>
        <v/>
      </c>
      <c r="U2947" s="47">
        <f>INDEX(ChBaseCP,MATCH(E2947,ChName,0))*(1+INDEX(ProvMod,MATCH(G2947,ProvCode,0)))*(1+PriceIndex)</f>
        <v/>
      </c>
      <c r="V2947" s="47">
        <f>R2947*U2947*INDEX(FmtBlendedPriceIdx,MATCH(F2947,FmtName,0))</f>
        <v/>
      </c>
      <c r="W2947" s="47">
        <f>T2947*INDEX(ProvSRP,MATCH(G2947,ProvCode,0))*(1+PriceIndex)</f>
        <v/>
      </c>
      <c r="X2947" s="47">
        <f>IF(GrossBasis="Wholesale",V2947,W2947)</f>
        <v/>
      </c>
      <c r="Y2947" s="47">
        <f>R2947*INDEX(FmtBlendedCogs,MATCH(F2947,FmtName,0))</f>
        <v/>
      </c>
      <c r="Z2947" s="47">
        <f>X2947-Y2947</f>
        <v/>
      </c>
    </row>
    <row r="2948">
      <c r="A2948" t="n">
        <v>32</v>
      </c>
      <c r="B2948" s="44">
        <f>FiscalStart+(A2948-1)*7</f>
        <v/>
      </c>
      <c r="C2948">
        <f>TEXT(B2948,"mmm yyyy")</f>
        <v/>
      </c>
      <c r="D2948">
        <f>"Q"&amp;(INT((A2948-1)/13)+1)</f>
        <v/>
      </c>
      <c r="E2948" t="inlineStr">
        <is>
          <t>Specialty</t>
        </is>
      </c>
      <c r="F2948">
        <f>IFERROR(INDEX(ChFormat,MATCH(E2948,ChName,0)),"")</f>
        <v/>
      </c>
      <c r="G2948" t="inlineStr">
        <is>
          <t>QC</t>
        </is>
      </c>
      <c r="H2948">
        <f>IF(A2948&lt;=NWeeks,1,0)</f>
        <v/>
      </c>
      <c r="I2948">
        <f>INDEX(ChLaunch,MATCH(E2948,ChName,0))</f>
        <v/>
      </c>
      <c r="J2948">
        <f>INDEX(ChWeeksFull,MATCH(E2948,ChName,0))</f>
        <v/>
      </c>
      <c r="K2948">
        <f>INDEX(ChRamp,MATCH(E2948,ChName,0))</f>
        <v/>
      </c>
      <c r="L2948" s="45">
        <f>MIN(1,MAX(0,(A2948-I2948+1)*RampSpeed/J2948))</f>
        <v/>
      </c>
      <c r="M2948" s="45">
        <f>IF(A2948&lt;I2948,0,IF(K2948="S-curve",L2948*L2948*(3-2*L2948),L2948))</f>
        <v/>
      </c>
      <c r="N2948" s="45">
        <f>1+(INDEX(SeasonIdx,A2948)-1)*SeasonAmp</f>
        <v/>
      </c>
      <c r="O2948" s="45">
        <f>IFERROR(INDEX(PSPct,MATCH(E2948&amp;"|"&amp;G2948,PSKey,0)),0)</f>
        <v/>
      </c>
      <c r="P2948" s="46">
        <f>INDEX(ChDoorVel,MATCH(E2948,ChName,0))*CalibScalar*(1+VelocityUplift)</f>
        <v/>
      </c>
      <c r="Q2948" s="46" t="n">
        <v>0</v>
      </c>
      <c r="R2948" s="46">
        <f>P2948*O2948*M2948*N2948*H2948</f>
        <v/>
      </c>
      <c r="S2948" s="46">
        <f>R2948*INDEX(FmtCansPerCase,MATCH(F2948,FmtName,0))</f>
        <v/>
      </c>
      <c r="T2948" s="46">
        <f>S2948/INDEX(FmtCansPerPack,MATCH(F2948,FmtName,0))</f>
        <v/>
      </c>
      <c r="U2948" s="47">
        <f>INDEX(ChBaseCP,MATCH(E2948,ChName,0))*(1+INDEX(ProvMod,MATCH(G2948,ProvCode,0)))*(1+PriceIndex)</f>
        <v/>
      </c>
      <c r="V2948" s="47">
        <f>R2948*U2948*INDEX(FmtBlendedPriceIdx,MATCH(F2948,FmtName,0))</f>
        <v/>
      </c>
      <c r="W2948" s="47">
        <f>T2948*INDEX(ProvSRP,MATCH(G2948,ProvCode,0))*(1+PriceIndex)</f>
        <v/>
      </c>
      <c r="X2948" s="47">
        <f>IF(GrossBasis="Wholesale",V2948,W2948)</f>
        <v/>
      </c>
      <c r="Y2948" s="47">
        <f>R2948*INDEX(FmtBlendedCogs,MATCH(F2948,FmtName,0))</f>
        <v/>
      </c>
      <c r="Z2948" s="47">
        <f>X2948-Y2948</f>
        <v/>
      </c>
    </row>
    <row r="2949">
      <c r="A2949" t="n">
        <v>33</v>
      </c>
      <c r="B2949" s="44">
        <f>FiscalStart+(A2949-1)*7</f>
        <v/>
      </c>
      <c r="C2949">
        <f>TEXT(B2949,"mmm yyyy")</f>
        <v/>
      </c>
      <c r="D2949">
        <f>"Q"&amp;(INT((A2949-1)/13)+1)</f>
        <v/>
      </c>
      <c r="E2949" t="inlineStr">
        <is>
          <t>Specialty</t>
        </is>
      </c>
      <c r="F2949">
        <f>IFERROR(INDEX(ChFormat,MATCH(E2949,ChName,0)),"")</f>
        <v/>
      </c>
      <c r="G2949" t="inlineStr">
        <is>
          <t>QC</t>
        </is>
      </c>
      <c r="H2949">
        <f>IF(A2949&lt;=NWeeks,1,0)</f>
        <v/>
      </c>
      <c r="I2949">
        <f>INDEX(ChLaunch,MATCH(E2949,ChName,0))</f>
        <v/>
      </c>
      <c r="J2949">
        <f>INDEX(ChWeeksFull,MATCH(E2949,ChName,0))</f>
        <v/>
      </c>
      <c r="K2949">
        <f>INDEX(ChRamp,MATCH(E2949,ChName,0))</f>
        <v/>
      </c>
      <c r="L2949" s="45">
        <f>MIN(1,MAX(0,(A2949-I2949+1)*RampSpeed/J2949))</f>
        <v/>
      </c>
      <c r="M2949" s="45">
        <f>IF(A2949&lt;I2949,0,IF(K2949="S-curve",L2949*L2949*(3-2*L2949),L2949))</f>
        <v/>
      </c>
      <c r="N2949" s="45">
        <f>1+(INDEX(SeasonIdx,A2949)-1)*SeasonAmp</f>
        <v/>
      </c>
      <c r="O2949" s="45">
        <f>IFERROR(INDEX(PSPct,MATCH(E2949&amp;"|"&amp;G2949,PSKey,0)),0)</f>
        <v/>
      </c>
      <c r="P2949" s="46">
        <f>INDEX(ChDoorVel,MATCH(E2949,ChName,0))*CalibScalar*(1+VelocityUplift)</f>
        <v/>
      </c>
      <c r="Q2949" s="46" t="n">
        <v>0</v>
      </c>
      <c r="R2949" s="46">
        <f>P2949*O2949*M2949*N2949*H2949</f>
        <v/>
      </c>
      <c r="S2949" s="46">
        <f>R2949*INDEX(FmtCansPerCase,MATCH(F2949,FmtName,0))</f>
        <v/>
      </c>
      <c r="T2949" s="46">
        <f>S2949/INDEX(FmtCansPerPack,MATCH(F2949,FmtName,0))</f>
        <v/>
      </c>
      <c r="U2949" s="47">
        <f>INDEX(ChBaseCP,MATCH(E2949,ChName,0))*(1+INDEX(ProvMod,MATCH(G2949,ProvCode,0)))*(1+PriceIndex)</f>
        <v/>
      </c>
      <c r="V2949" s="47">
        <f>R2949*U2949*INDEX(FmtBlendedPriceIdx,MATCH(F2949,FmtName,0))</f>
        <v/>
      </c>
      <c r="W2949" s="47">
        <f>T2949*INDEX(ProvSRP,MATCH(G2949,ProvCode,0))*(1+PriceIndex)</f>
        <v/>
      </c>
      <c r="X2949" s="47">
        <f>IF(GrossBasis="Wholesale",V2949,W2949)</f>
        <v/>
      </c>
      <c r="Y2949" s="47">
        <f>R2949*INDEX(FmtBlendedCogs,MATCH(F2949,FmtName,0))</f>
        <v/>
      </c>
      <c r="Z2949" s="47">
        <f>X2949-Y2949</f>
        <v/>
      </c>
    </row>
    <row r="2950">
      <c r="A2950" t="n">
        <v>34</v>
      </c>
      <c r="B2950" s="44">
        <f>FiscalStart+(A2950-1)*7</f>
        <v/>
      </c>
      <c r="C2950">
        <f>TEXT(B2950,"mmm yyyy")</f>
        <v/>
      </c>
      <c r="D2950">
        <f>"Q"&amp;(INT((A2950-1)/13)+1)</f>
        <v/>
      </c>
      <c r="E2950" t="inlineStr">
        <is>
          <t>Specialty</t>
        </is>
      </c>
      <c r="F2950">
        <f>IFERROR(INDEX(ChFormat,MATCH(E2950,ChName,0)),"")</f>
        <v/>
      </c>
      <c r="G2950" t="inlineStr">
        <is>
          <t>QC</t>
        </is>
      </c>
      <c r="H2950">
        <f>IF(A2950&lt;=NWeeks,1,0)</f>
        <v/>
      </c>
      <c r="I2950">
        <f>INDEX(ChLaunch,MATCH(E2950,ChName,0))</f>
        <v/>
      </c>
      <c r="J2950">
        <f>INDEX(ChWeeksFull,MATCH(E2950,ChName,0))</f>
        <v/>
      </c>
      <c r="K2950">
        <f>INDEX(ChRamp,MATCH(E2950,ChName,0))</f>
        <v/>
      </c>
      <c r="L2950" s="45">
        <f>MIN(1,MAX(0,(A2950-I2950+1)*RampSpeed/J2950))</f>
        <v/>
      </c>
      <c r="M2950" s="45">
        <f>IF(A2950&lt;I2950,0,IF(K2950="S-curve",L2950*L2950*(3-2*L2950),L2950))</f>
        <v/>
      </c>
      <c r="N2950" s="45">
        <f>1+(INDEX(SeasonIdx,A2950)-1)*SeasonAmp</f>
        <v/>
      </c>
      <c r="O2950" s="45">
        <f>IFERROR(INDEX(PSPct,MATCH(E2950&amp;"|"&amp;G2950,PSKey,0)),0)</f>
        <v/>
      </c>
      <c r="P2950" s="46">
        <f>INDEX(ChDoorVel,MATCH(E2950,ChName,0))*CalibScalar*(1+VelocityUplift)</f>
        <v/>
      </c>
      <c r="Q2950" s="46" t="n">
        <v>0</v>
      </c>
      <c r="R2950" s="46">
        <f>P2950*O2950*M2950*N2950*H2950</f>
        <v/>
      </c>
      <c r="S2950" s="46">
        <f>R2950*INDEX(FmtCansPerCase,MATCH(F2950,FmtName,0))</f>
        <v/>
      </c>
      <c r="T2950" s="46">
        <f>S2950/INDEX(FmtCansPerPack,MATCH(F2950,FmtName,0))</f>
        <v/>
      </c>
      <c r="U2950" s="47">
        <f>INDEX(ChBaseCP,MATCH(E2950,ChName,0))*(1+INDEX(ProvMod,MATCH(G2950,ProvCode,0)))*(1+PriceIndex)</f>
        <v/>
      </c>
      <c r="V2950" s="47">
        <f>R2950*U2950*INDEX(FmtBlendedPriceIdx,MATCH(F2950,FmtName,0))</f>
        <v/>
      </c>
      <c r="W2950" s="47">
        <f>T2950*INDEX(ProvSRP,MATCH(G2950,ProvCode,0))*(1+PriceIndex)</f>
        <v/>
      </c>
      <c r="X2950" s="47">
        <f>IF(GrossBasis="Wholesale",V2950,W2950)</f>
        <v/>
      </c>
      <c r="Y2950" s="47">
        <f>R2950*INDEX(FmtBlendedCogs,MATCH(F2950,FmtName,0))</f>
        <v/>
      </c>
      <c r="Z2950" s="47">
        <f>X2950-Y2950</f>
        <v/>
      </c>
    </row>
    <row r="2951">
      <c r="A2951" t="n">
        <v>35</v>
      </c>
      <c r="B2951" s="44">
        <f>FiscalStart+(A2951-1)*7</f>
        <v/>
      </c>
      <c r="C2951">
        <f>TEXT(B2951,"mmm yyyy")</f>
        <v/>
      </c>
      <c r="D2951">
        <f>"Q"&amp;(INT((A2951-1)/13)+1)</f>
        <v/>
      </c>
      <c r="E2951" t="inlineStr">
        <is>
          <t>Specialty</t>
        </is>
      </c>
      <c r="F2951">
        <f>IFERROR(INDEX(ChFormat,MATCH(E2951,ChName,0)),"")</f>
        <v/>
      </c>
      <c r="G2951" t="inlineStr">
        <is>
          <t>QC</t>
        </is>
      </c>
      <c r="H2951">
        <f>IF(A2951&lt;=NWeeks,1,0)</f>
        <v/>
      </c>
      <c r="I2951">
        <f>INDEX(ChLaunch,MATCH(E2951,ChName,0))</f>
        <v/>
      </c>
      <c r="J2951">
        <f>INDEX(ChWeeksFull,MATCH(E2951,ChName,0))</f>
        <v/>
      </c>
      <c r="K2951">
        <f>INDEX(ChRamp,MATCH(E2951,ChName,0))</f>
        <v/>
      </c>
      <c r="L2951" s="45">
        <f>MIN(1,MAX(0,(A2951-I2951+1)*RampSpeed/J2951))</f>
        <v/>
      </c>
      <c r="M2951" s="45">
        <f>IF(A2951&lt;I2951,0,IF(K2951="S-curve",L2951*L2951*(3-2*L2951),L2951))</f>
        <v/>
      </c>
      <c r="N2951" s="45">
        <f>1+(INDEX(SeasonIdx,A2951)-1)*SeasonAmp</f>
        <v/>
      </c>
      <c r="O2951" s="45">
        <f>IFERROR(INDEX(PSPct,MATCH(E2951&amp;"|"&amp;G2951,PSKey,0)),0)</f>
        <v/>
      </c>
      <c r="P2951" s="46">
        <f>INDEX(ChDoorVel,MATCH(E2951,ChName,0))*CalibScalar*(1+VelocityUplift)</f>
        <v/>
      </c>
      <c r="Q2951" s="46" t="n">
        <v>0</v>
      </c>
      <c r="R2951" s="46">
        <f>P2951*O2951*M2951*N2951*H2951</f>
        <v/>
      </c>
      <c r="S2951" s="46">
        <f>R2951*INDEX(FmtCansPerCase,MATCH(F2951,FmtName,0))</f>
        <v/>
      </c>
      <c r="T2951" s="46">
        <f>S2951/INDEX(FmtCansPerPack,MATCH(F2951,FmtName,0))</f>
        <v/>
      </c>
      <c r="U2951" s="47">
        <f>INDEX(ChBaseCP,MATCH(E2951,ChName,0))*(1+INDEX(ProvMod,MATCH(G2951,ProvCode,0)))*(1+PriceIndex)</f>
        <v/>
      </c>
      <c r="V2951" s="47">
        <f>R2951*U2951*INDEX(FmtBlendedPriceIdx,MATCH(F2951,FmtName,0))</f>
        <v/>
      </c>
      <c r="W2951" s="47">
        <f>T2951*INDEX(ProvSRP,MATCH(G2951,ProvCode,0))*(1+PriceIndex)</f>
        <v/>
      </c>
      <c r="X2951" s="47">
        <f>IF(GrossBasis="Wholesale",V2951,W2951)</f>
        <v/>
      </c>
      <c r="Y2951" s="47">
        <f>R2951*INDEX(FmtBlendedCogs,MATCH(F2951,FmtName,0))</f>
        <v/>
      </c>
      <c r="Z2951" s="47">
        <f>X2951-Y2951</f>
        <v/>
      </c>
    </row>
    <row r="2952">
      <c r="A2952" t="n">
        <v>36</v>
      </c>
      <c r="B2952" s="44">
        <f>FiscalStart+(A2952-1)*7</f>
        <v/>
      </c>
      <c r="C2952">
        <f>TEXT(B2952,"mmm yyyy")</f>
        <v/>
      </c>
      <c r="D2952">
        <f>"Q"&amp;(INT((A2952-1)/13)+1)</f>
        <v/>
      </c>
      <c r="E2952" t="inlineStr">
        <is>
          <t>Specialty</t>
        </is>
      </c>
      <c r="F2952">
        <f>IFERROR(INDEX(ChFormat,MATCH(E2952,ChName,0)),"")</f>
        <v/>
      </c>
      <c r="G2952" t="inlineStr">
        <is>
          <t>QC</t>
        </is>
      </c>
      <c r="H2952">
        <f>IF(A2952&lt;=NWeeks,1,0)</f>
        <v/>
      </c>
      <c r="I2952">
        <f>INDEX(ChLaunch,MATCH(E2952,ChName,0))</f>
        <v/>
      </c>
      <c r="J2952">
        <f>INDEX(ChWeeksFull,MATCH(E2952,ChName,0))</f>
        <v/>
      </c>
      <c r="K2952">
        <f>INDEX(ChRamp,MATCH(E2952,ChName,0))</f>
        <v/>
      </c>
      <c r="L2952" s="45">
        <f>MIN(1,MAX(0,(A2952-I2952+1)*RampSpeed/J2952))</f>
        <v/>
      </c>
      <c r="M2952" s="45">
        <f>IF(A2952&lt;I2952,0,IF(K2952="S-curve",L2952*L2952*(3-2*L2952),L2952))</f>
        <v/>
      </c>
      <c r="N2952" s="45">
        <f>1+(INDEX(SeasonIdx,A2952)-1)*SeasonAmp</f>
        <v/>
      </c>
      <c r="O2952" s="45">
        <f>IFERROR(INDEX(PSPct,MATCH(E2952&amp;"|"&amp;G2952,PSKey,0)),0)</f>
        <v/>
      </c>
      <c r="P2952" s="46">
        <f>INDEX(ChDoorVel,MATCH(E2952,ChName,0))*CalibScalar*(1+VelocityUplift)</f>
        <v/>
      </c>
      <c r="Q2952" s="46" t="n">
        <v>0</v>
      </c>
      <c r="R2952" s="46">
        <f>P2952*O2952*M2952*N2952*H2952</f>
        <v/>
      </c>
      <c r="S2952" s="46">
        <f>R2952*INDEX(FmtCansPerCase,MATCH(F2952,FmtName,0))</f>
        <v/>
      </c>
      <c r="T2952" s="46">
        <f>S2952/INDEX(FmtCansPerPack,MATCH(F2952,FmtName,0))</f>
        <v/>
      </c>
      <c r="U2952" s="47">
        <f>INDEX(ChBaseCP,MATCH(E2952,ChName,0))*(1+INDEX(ProvMod,MATCH(G2952,ProvCode,0)))*(1+PriceIndex)</f>
        <v/>
      </c>
      <c r="V2952" s="47">
        <f>R2952*U2952*INDEX(FmtBlendedPriceIdx,MATCH(F2952,FmtName,0))</f>
        <v/>
      </c>
      <c r="W2952" s="47">
        <f>T2952*INDEX(ProvSRP,MATCH(G2952,ProvCode,0))*(1+PriceIndex)</f>
        <v/>
      </c>
      <c r="X2952" s="47">
        <f>IF(GrossBasis="Wholesale",V2952,W2952)</f>
        <v/>
      </c>
      <c r="Y2952" s="47">
        <f>R2952*INDEX(FmtBlendedCogs,MATCH(F2952,FmtName,0))</f>
        <v/>
      </c>
      <c r="Z2952" s="47">
        <f>X2952-Y2952</f>
        <v/>
      </c>
    </row>
    <row r="2953">
      <c r="A2953" t="n">
        <v>37</v>
      </c>
      <c r="B2953" s="44">
        <f>FiscalStart+(A2953-1)*7</f>
        <v/>
      </c>
      <c r="C2953">
        <f>TEXT(B2953,"mmm yyyy")</f>
        <v/>
      </c>
      <c r="D2953">
        <f>"Q"&amp;(INT((A2953-1)/13)+1)</f>
        <v/>
      </c>
      <c r="E2953" t="inlineStr">
        <is>
          <t>Specialty</t>
        </is>
      </c>
      <c r="F2953">
        <f>IFERROR(INDEX(ChFormat,MATCH(E2953,ChName,0)),"")</f>
        <v/>
      </c>
      <c r="G2953" t="inlineStr">
        <is>
          <t>QC</t>
        </is>
      </c>
      <c r="H2953">
        <f>IF(A2953&lt;=NWeeks,1,0)</f>
        <v/>
      </c>
      <c r="I2953">
        <f>INDEX(ChLaunch,MATCH(E2953,ChName,0))</f>
        <v/>
      </c>
      <c r="J2953">
        <f>INDEX(ChWeeksFull,MATCH(E2953,ChName,0))</f>
        <v/>
      </c>
      <c r="K2953">
        <f>INDEX(ChRamp,MATCH(E2953,ChName,0))</f>
        <v/>
      </c>
      <c r="L2953" s="45">
        <f>MIN(1,MAX(0,(A2953-I2953+1)*RampSpeed/J2953))</f>
        <v/>
      </c>
      <c r="M2953" s="45">
        <f>IF(A2953&lt;I2953,0,IF(K2953="S-curve",L2953*L2953*(3-2*L2953),L2953))</f>
        <v/>
      </c>
      <c r="N2953" s="45">
        <f>1+(INDEX(SeasonIdx,A2953)-1)*SeasonAmp</f>
        <v/>
      </c>
      <c r="O2953" s="45">
        <f>IFERROR(INDEX(PSPct,MATCH(E2953&amp;"|"&amp;G2953,PSKey,0)),0)</f>
        <v/>
      </c>
      <c r="P2953" s="46">
        <f>INDEX(ChDoorVel,MATCH(E2953,ChName,0))*CalibScalar*(1+VelocityUplift)</f>
        <v/>
      </c>
      <c r="Q2953" s="46" t="n">
        <v>0</v>
      </c>
      <c r="R2953" s="46">
        <f>P2953*O2953*M2953*N2953*H2953</f>
        <v/>
      </c>
      <c r="S2953" s="46">
        <f>R2953*INDEX(FmtCansPerCase,MATCH(F2953,FmtName,0))</f>
        <v/>
      </c>
      <c r="T2953" s="46">
        <f>S2953/INDEX(FmtCansPerPack,MATCH(F2953,FmtName,0))</f>
        <v/>
      </c>
      <c r="U2953" s="47">
        <f>INDEX(ChBaseCP,MATCH(E2953,ChName,0))*(1+INDEX(ProvMod,MATCH(G2953,ProvCode,0)))*(1+PriceIndex)</f>
        <v/>
      </c>
      <c r="V2953" s="47">
        <f>R2953*U2953*INDEX(FmtBlendedPriceIdx,MATCH(F2953,FmtName,0))</f>
        <v/>
      </c>
      <c r="W2953" s="47">
        <f>T2953*INDEX(ProvSRP,MATCH(G2953,ProvCode,0))*(1+PriceIndex)</f>
        <v/>
      </c>
      <c r="X2953" s="47">
        <f>IF(GrossBasis="Wholesale",V2953,W2953)</f>
        <v/>
      </c>
      <c r="Y2953" s="47">
        <f>R2953*INDEX(FmtBlendedCogs,MATCH(F2953,FmtName,0))</f>
        <v/>
      </c>
      <c r="Z2953" s="47">
        <f>X2953-Y2953</f>
        <v/>
      </c>
    </row>
    <row r="2954">
      <c r="A2954" t="n">
        <v>38</v>
      </c>
      <c r="B2954" s="44">
        <f>FiscalStart+(A2954-1)*7</f>
        <v/>
      </c>
      <c r="C2954">
        <f>TEXT(B2954,"mmm yyyy")</f>
        <v/>
      </c>
      <c r="D2954">
        <f>"Q"&amp;(INT((A2954-1)/13)+1)</f>
        <v/>
      </c>
      <c r="E2954" t="inlineStr">
        <is>
          <t>Specialty</t>
        </is>
      </c>
      <c r="F2954">
        <f>IFERROR(INDEX(ChFormat,MATCH(E2954,ChName,0)),"")</f>
        <v/>
      </c>
      <c r="G2954" t="inlineStr">
        <is>
          <t>QC</t>
        </is>
      </c>
      <c r="H2954">
        <f>IF(A2954&lt;=NWeeks,1,0)</f>
        <v/>
      </c>
      <c r="I2954">
        <f>INDEX(ChLaunch,MATCH(E2954,ChName,0))</f>
        <v/>
      </c>
      <c r="J2954">
        <f>INDEX(ChWeeksFull,MATCH(E2954,ChName,0))</f>
        <v/>
      </c>
      <c r="K2954">
        <f>INDEX(ChRamp,MATCH(E2954,ChName,0))</f>
        <v/>
      </c>
      <c r="L2954" s="45">
        <f>MIN(1,MAX(0,(A2954-I2954+1)*RampSpeed/J2954))</f>
        <v/>
      </c>
      <c r="M2954" s="45">
        <f>IF(A2954&lt;I2954,0,IF(K2954="S-curve",L2954*L2954*(3-2*L2954),L2954))</f>
        <v/>
      </c>
      <c r="N2954" s="45">
        <f>1+(INDEX(SeasonIdx,A2954)-1)*SeasonAmp</f>
        <v/>
      </c>
      <c r="O2954" s="45">
        <f>IFERROR(INDEX(PSPct,MATCH(E2954&amp;"|"&amp;G2954,PSKey,0)),0)</f>
        <v/>
      </c>
      <c r="P2954" s="46">
        <f>INDEX(ChDoorVel,MATCH(E2954,ChName,0))*CalibScalar*(1+VelocityUplift)</f>
        <v/>
      </c>
      <c r="Q2954" s="46" t="n">
        <v>0</v>
      </c>
      <c r="R2954" s="46">
        <f>P2954*O2954*M2954*N2954*H2954</f>
        <v/>
      </c>
      <c r="S2954" s="46">
        <f>R2954*INDEX(FmtCansPerCase,MATCH(F2954,FmtName,0))</f>
        <v/>
      </c>
      <c r="T2954" s="46">
        <f>S2954/INDEX(FmtCansPerPack,MATCH(F2954,FmtName,0))</f>
        <v/>
      </c>
      <c r="U2954" s="47">
        <f>INDEX(ChBaseCP,MATCH(E2954,ChName,0))*(1+INDEX(ProvMod,MATCH(G2954,ProvCode,0)))*(1+PriceIndex)</f>
        <v/>
      </c>
      <c r="V2954" s="47">
        <f>R2954*U2954*INDEX(FmtBlendedPriceIdx,MATCH(F2954,FmtName,0))</f>
        <v/>
      </c>
      <c r="W2954" s="47">
        <f>T2954*INDEX(ProvSRP,MATCH(G2954,ProvCode,0))*(1+PriceIndex)</f>
        <v/>
      </c>
      <c r="X2954" s="47">
        <f>IF(GrossBasis="Wholesale",V2954,W2954)</f>
        <v/>
      </c>
      <c r="Y2954" s="47">
        <f>R2954*INDEX(FmtBlendedCogs,MATCH(F2954,FmtName,0))</f>
        <v/>
      </c>
      <c r="Z2954" s="47">
        <f>X2954-Y2954</f>
        <v/>
      </c>
    </row>
    <row r="2955">
      <c r="A2955" t="n">
        <v>39</v>
      </c>
      <c r="B2955" s="44">
        <f>FiscalStart+(A2955-1)*7</f>
        <v/>
      </c>
      <c r="C2955">
        <f>TEXT(B2955,"mmm yyyy")</f>
        <v/>
      </c>
      <c r="D2955">
        <f>"Q"&amp;(INT((A2955-1)/13)+1)</f>
        <v/>
      </c>
      <c r="E2955" t="inlineStr">
        <is>
          <t>Specialty</t>
        </is>
      </c>
      <c r="F2955">
        <f>IFERROR(INDEX(ChFormat,MATCH(E2955,ChName,0)),"")</f>
        <v/>
      </c>
      <c r="G2955" t="inlineStr">
        <is>
          <t>QC</t>
        </is>
      </c>
      <c r="H2955">
        <f>IF(A2955&lt;=NWeeks,1,0)</f>
        <v/>
      </c>
      <c r="I2955">
        <f>INDEX(ChLaunch,MATCH(E2955,ChName,0))</f>
        <v/>
      </c>
      <c r="J2955">
        <f>INDEX(ChWeeksFull,MATCH(E2955,ChName,0))</f>
        <v/>
      </c>
      <c r="K2955">
        <f>INDEX(ChRamp,MATCH(E2955,ChName,0))</f>
        <v/>
      </c>
      <c r="L2955" s="45">
        <f>MIN(1,MAX(0,(A2955-I2955+1)*RampSpeed/J2955))</f>
        <v/>
      </c>
      <c r="M2955" s="45">
        <f>IF(A2955&lt;I2955,0,IF(K2955="S-curve",L2955*L2955*(3-2*L2955),L2955))</f>
        <v/>
      </c>
      <c r="N2955" s="45">
        <f>1+(INDEX(SeasonIdx,A2955)-1)*SeasonAmp</f>
        <v/>
      </c>
      <c r="O2955" s="45">
        <f>IFERROR(INDEX(PSPct,MATCH(E2955&amp;"|"&amp;G2955,PSKey,0)),0)</f>
        <v/>
      </c>
      <c r="P2955" s="46">
        <f>INDEX(ChDoorVel,MATCH(E2955,ChName,0))*CalibScalar*(1+VelocityUplift)</f>
        <v/>
      </c>
      <c r="Q2955" s="46" t="n">
        <v>0</v>
      </c>
      <c r="R2955" s="46">
        <f>P2955*O2955*M2955*N2955*H2955</f>
        <v/>
      </c>
      <c r="S2955" s="46">
        <f>R2955*INDEX(FmtCansPerCase,MATCH(F2955,FmtName,0))</f>
        <v/>
      </c>
      <c r="T2955" s="46">
        <f>S2955/INDEX(FmtCansPerPack,MATCH(F2955,FmtName,0))</f>
        <v/>
      </c>
      <c r="U2955" s="47">
        <f>INDEX(ChBaseCP,MATCH(E2955,ChName,0))*(1+INDEX(ProvMod,MATCH(G2955,ProvCode,0)))*(1+PriceIndex)</f>
        <v/>
      </c>
      <c r="V2955" s="47">
        <f>R2955*U2955*INDEX(FmtBlendedPriceIdx,MATCH(F2955,FmtName,0))</f>
        <v/>
      </c>
      <c r="W2955" s="47">
        <f>T2955*INDEX(ProvSRP,MATCH(G2955,ProvCode,0))*(1+PriceIndex)</f>
        <v/>
      </c>
      <c r="X2955" s="47">
        <f>IF(GrossBasis="Wholesale",V2955,W2955)</f>
        <v/>
      </c>
      <c r="Y2955" s="47">
        <f>R2955*INDEX(FmtBlendedCogs,MATCH(F2955,FmtName,0))</f>
        <v/>
      </c>
      <c r="Z2955" s="47">
        <f>X2955-Y2955</f>
        <v/>
      </c>
    </row>
    <row r="2956">
      <c r="A2956" t="n">
        <v>40</v>
      </c>
      <c r="B2956" s="44">
        <f>FiscalStart+(A2956-1)*7</f>
        <v/>
      </c>
      <c r="C2956">
        <f>TEXT(B2956,"mmm yyyy")</f>
        <v/>
      </c>
      <c r="D2956">
        <f>"Q"&amp;(INT((A2956-1)/13)+1)</f>
        <v/>
      </c>
      <c r="E2956" t="inlineStr">
        <is>
          <t>Specialty</t>
        </is>
      </c>
      <c r="F2956">
        <f>IFERROR(INDEX(ChFormat,MATCH(E2956,ChName,0)),"")</f>
        <v/>
      </c>
      <c r="G2956" t="inlineStr">
        <is>
          <t>QC</t>
        </is>
      </c>
      <c r="H2956">
        <f>IF(A2956&lt;=NWeeks,1,0)</f>
        <v/>
      </c>
      <c r="I2956">
        <f>INDEX(ChLaunch,MATCH(E2956,ChName,0))</f>
        <v/>
      </c>
      <c r="J2956">
        <f>INDEX(ChWeeksFull,MATCH(E2956,ChName,0))</f>
        <v/>
      </c>
      <c r="K2956">
        <f>INDEX(ChRamp,MATCH(E2956,ChName,0))</f>
        <v/>
      </c>
      <c r="L2956" s="45">
        <f>MIN(1,MAX(0,(A2956-I2956+1)*RampSpeed/J2956))</f>
        <v/>
      </c>
      <c r="M2956" s="45">
        <f>IF(A2956&lt;I2956,0,IF(K2956="S-curve",L2956*L2956*(3-2*L2956),L2956))</f>
        <v/>
      </c>
      <c r="N2956" s="45">
        <f>1+(INDEX(SeasonIdx,A2956)-1)*SeasonAmp</f>
        <v/>
      </c>
      <c r="O2956" s="45">
        <f>IFERROR(INDEX(PSPct,MATCH(E2956&amp;"|"&amp;G2956,PSKey,0)),0)</f>
        <v/>
      </c>
      <c r="P2956" s="46">
        <f>INDEX(ChDoorVel,MATCH(E2956,ChName,0))*CalibScalar*(1+VelocityUplift)</f>
        <v/>
      </c>
      <c r="Q2956" s="46" t="n">
        <v>0</v>
      </c>
      <c r="R2956" s="46">
        <f>P2956*O2956*M2956*N2956*H2956</f>
        <v/>
      </c>
      <c r="S2956" s="46">
        <f>R2956*INDEX(FmtCansPerCase,MATCH(F2956,FmtName,0))</f>
        <v/>
      </c>
      <c r="T2956" s="46">
        <f>S2956/INDEX(FmtCansPerPack,MATCH(F2956,FmtName,0))</f>
        <v/>
      </c>
      <c r="U2956" s="47">
        <f>INDEX(ChBaseCP,MATCH(E2956,ChName,0))*(1+INDEX(ProvMod,MATCH(G2956,ProvCode,0)))*(1+PriceIndex)</f>
        <v/>
      </c>
      <c r="V2956" s="47">
        <f>R2956*U2956*INDEX(FmtBlendedPriceIdx,MATCH(F2956,FmtName,0))</f>
        <v/>
      </c>
      <c r="W2956" s="47">
        <f>T2956*INDEX(ProvSRP,MATCH(G2956,ProvCode,0))*(1+PriceIndex)</f>
        <v/>
      </c>
      <c r="X2956" s="47">
        <f>IF(GrossBasis="Wholesale",V2956,W2956)</f>
        <v/>
      </c>
      <c r="Y2956" s="47">
        <f>R2956*INDEX(FmtBlendedCogs,MATCH(F2956,FmtName,0))</f>
        <v/>
      </c>
      <c r="Z2956" s="47">
        <f>X2956-Y2956</f>
        <v/>
      </c>
    </row>
    <row r="2957">
      <c r="A2957" t="n">
        <v>41</v>
      </c>
      <c r="B2957" s="44">
        <f>FiscalStart+(A2957-1)*7</f>
        <v/>
      </c>
      <c r="C2957">
        <f>TEXT(B2957,"mmm yyyy")</f>
        <v/>
      </c>
      <c r="D2957">
        <f>"Q"&amp;(INT((A2957-1)/13)+1)</f>
        <v/>
      </c>
      <c r="E2957" t="inlineStr">
        <is>
          <t>Specialty</t>
        </is>
      </c>
      <c r="F2957">
        <f>IFERROR(INDEX(ChFormat,MATCH(E2957,ChName,0)),"")</f>
        <v/>
      </c>
      <c r="G2957" t="inlineStr">
        <is>
          <t>QC</t>
        </is>
      </c>
      <c r="H2957">
        <f>IF(A2957&lt;=NWeeks,1,0)</f>
        <v/>
      </c>
      <c r="I2957">
        <f>INDEX(ChLaunch,MATCH(E2957,ChName,0))</f>
        <v/>
      </c>
      <c r="J2957">
        <f>INDEX(ChWeeksFull,MATCH(E2957,ChName,0))</f>
        <v/>
      </c>
      <c r="K2957">
        <f>INDEX(ChRamp,MATCH(E2957,ChName,0))</f>
        <v/>
      </c>
      <c r="L2957" s="45">
        <f>MIN(1,MAX(0,(A2957-I2957+1)*RampSpeed/J2957))</f>
        <v/>
      </c>
      <c r="M2957" s="45">
        <f>IF(A2957&lt;I2957,0,IF(K2957="S-curve",L2957*L2957*(3-2*L2957),L2957))</f>
        <v/>
      </c>
      <c r="N2957" s="45">
        <f>1+(INDEX(SeasonIdx,A2957)-1)*SeasonAmp</f>
        <v/>
      </c>
      <c r="O2957" s="45">
        <f>IFERROR(INDEX(PSPct,MATCH(E2957&amp;"|"&amp;G2957,PSKey,0)),0)</f>
        <v/>
      </c>
      <c r="P2957" s="46">
        <f>INDEX(ChDoorVel,MATCH(E2957,ChName,0))*CalibScalar*(1+VelocityUplift)</f>
        <v/>
      </c>
      <c r="Q2957" s="46" t="n">
        <v>0</v>
      </c>
      <c r="R2957" s="46">
        <f>P2957*O2957*M2957*N2957*H2957</f>
        <v/>
      </c>
      <c r="S2957" s="46">
        <f>R2957*INDEX(FmtCansPerCase,MATCH(F2957,FmtName,0))</f>
        <v/>
      </c>
      <c r="T2957" s="46">
        <f>S2957/INDEX(FmtCansPerPack,MATCH(F2957,FmtName,0))</f>
        <v/>
      </c>
      <c r="U2957" s="47">
        <f>INDEX(ChBaseCP,MATCH(E2957,ChName,0))*(1+INDEX(ProvMod,MATCH(G2957,ProvCode,0)))*(1+PriceIndex)</f>
        <v/>
      </c>
      <c r="V2957" s="47">
        <f>R2957*U2957*INDEX(FmtBlendedPriceIdx,MATCH(F2957,FmtName,0))</f>
        <v/>
      </c>
      <c r="W2957" s="47">
        <f>T2957*INDEX(ProvSRP,MATCH(G2957,ProvCode,0))*(1+PriceIndex)</f>
        <v/>
      </c>
      <c r="X2957" s="47">
        <f>IF(GrossBasis="Wholesale",V2957,W2957)</f>
        <v/>
      </c>
      <c r="Y2957" s="47">
        <f>R2957*INDEX(FmtBlendedCogs,MATCH(F2957,FmtName,0))</f>
        <v/>
      </c>
      <c r="Z2957" s="47">
        <f>X2957-Y2957</f>
        <v/>
      </c>
    </row>
    <row r="2958">
      <c r="A2958" t="n">
        <v>42</v>
      </c>
      <c r="B2958" s="44">
        <f>FiscalStart+(A2958-1)*7</f>
        <v/>
      </c>
      <c r="C2958">
        <f>TEXT(B2958,"mmm yyyy")</f>
        <v/>
      </c>
      <c r="D2958">
        <f>"Q"&amp;(INT((A2958-1)/13)+1)</f>
        <v/>
      </c>
      <c r="E2958" t="inlineStr">
        <is>
          <t>Specialty</t>
        </is>
      </c>
      <c r="F2958">
        <f>IFERROR(INDEX(ChFormat,MATCH(E2958,ChName,0)),"")</f>
        <v/>
      </c>
      <c r="G2958" t="inlineStr">
        <is>
          <t>QC</t>
        </is>
      </c>
      <c r="H2958">
        <f>IF(A2958&lt;=NWeeks,1,0)</f>
        <v/>
      </c>
      <c r="I2958">
        <f>INDEX(ChLaunch,MATCH(E2958,ChName,0))</f>
        <v/>
      </c>
      <c r="J2958">
        <f>INDEX(ChWeeksFull,MATCH(E2958,ChName,0))</f>
        <v/>
      </c>
      <c r="K2958">
        <f>INDEX(ChRamp,MATCH(E2958,ChName,0))</f>
        <v/>
      </c>
      <c r="L2958" s="45">
        <f>MIN(1,MAX(0,(A2958-I2958+1)*RampSpeed/J2958))</f>
        <v/>
      </c>
      <c r="M2958" s="45">
        <f>IF(A2958&lt;I2958,0,IF(K2958="S-curve",L2958*L2958*(3-2*L2958),L2958))</f>
        <v/>
      </c>
      <c r="N2958" s="45">
        <f>1+(INDEX(SeasonIdx,A2958)-1)*SeasonAmp</f>
        <v/>
      </c>
      <c r="O2958" s="45">
        <f>IFERROR(INDEX(PSPct,MATCH(E2958&amp;"|"&amp;G2958,PSKey,0)),0)</f>
        <v/>
      </c>
      <c r="P2958" s="46">
        <f>INDEX(ChDoorVel,MATCH(E2958,ChName,0))*CalibScalar*(1+VelocityUplift)</f>
        <v/>
      </c>
      <c r="Q2958" s="46" t="n">
        <v>0</v>
      </c>
      <c r="R2958" s="46">
        <f>P2958*O2958*M2958*N2958*H2958</f>
        <v/>
      </c>
      <c r="S2958" s="46">
        <f>R2958*INDEX(FmtCansPerCase,MATCH(F2958,FmtName,0))</f>
        <v/>
      </c>
      <c r="T2958" s="46">
        <f>S2958/INDEX(FmtCansPerPack,MATCH(F2958,FmtName,0))</f>
        <v/>
      </c>
      <c r="U2958" s="47">
        <f>INDEX(ChBaseCP,MATCH(E2958,ChName,0))*(1+INDEX(ProvMod,MATCH(G2958,ProvCode,0)))*(1+PriceIndex)</f>
        <v/>
      </c>
      <c r="V2958" s="47">
        <f>R2958*U2958*INDEX(FmtBlendedPriceIdx,MATCH(F2958,FmtName,0))</f>
        <v/>
      </c>
      <c r="W2958" s="47">
        <f>T2958*INDEX(ProvSRP,MATCH(G2958,ProvCode,0))*(1+PriceIndex)</f>
        <v/>
      </c>
      <c r="X2958" s="47">
        <f>IF(GrossBasis="Wholesale",V2958,W2958)</f>
        <v/>
      </c>
      <c r="Y2958" s="47">
        <f>R2958*INDEX(FmtBlendedCogs,MATCH(F2958,FmtName,0))</f>
        <v/>
      </c>
      <c r="Z2958" s="47">
        <f>X2958-Y2958</f>
        <v/>
      </c>
    </row>
    <row r="2959">
      <c r="A2959" t="n">
        <v>43</v>
      </c>
      <c r="B2959" s="44">
        <f>FiscalStart+(A2959-1)*7</f>
        <v/>
      </c>
      <c r="C2959">
        <f>TEXT(B2959,"mmm yyyy")</f>
        <v/>
      </c>
      <c r="D2959">
        <f>"Q"&amp;(INT((A2959-1)/13)+1)</f>
        <v/>
      </c>
      <c r="E2959" t="inlineStr">
        <is>
          <t>Specialty</t>
        </is>
      </c>
      <c r="F2959">
        <f>IFERROR(INDEX(ChFormat,MATCH(E2959,ChName,0)),"")</f>
        <v/>
      </c>
      <c r="G2959" t="inlineStr">
        <is>
          <t>QC</t>
        </is>
      </c>
      <c r="H2959">
        <f>IF(A2959&lt;=NWeeks,1,0)</f>
        <v/>
      </c>
      <c r="I2959">
        <f>INDEX(ChLaunch,MATCH(E2959,ChName,0))</f>
        <v/>
      </c>
      <c r="J2959">
        <f>INDEX(ChWeeksFull,MATCH(E2959,ChName,0))</f>
        <v/>
      </c>
      <c r="K2959">
        <f>INDEX(ChRamp,MATCH(E2959,ChName,0))</f>
        <v/>
      </c>
      <c r="L2959" s="45">
        <f>MIN(1,MAX(0,(A2959-I2959+1)*RampSpeed/J2959))</f>
        <v/>
      </c>
      <c r="M2959" s="45">
        <f>IF(A2959&lt;I2959,0,IF(K2959="S-curve",L2959*L2959*(3-2*L2959),L2959))</f>
        <v/>
      </c>
      <c r="N2959" s="45">
        <f>1+(INDEX(SeasonIdx,A2959)-1)*SeasonAmp</f>
        <v/>
      </c>
      <c r="O2959" s="45">
        <f>IFERROR(INDEX(PSPct,MATCH(E2959&amp;"|"&amp;G2959,PSKey,0)),0)</f>
        <v/>
      </c>
      <c r="P2959" s="46">
        <f>INDEX(ChDoorVel,MATCH(E2959,ChName,0))*CalibScalar*(1+VelocityUplift)</f>
        <v/>
      </c>
      <c r="Q2959" s="46" t="n">
        <v>0</v>
      </c>
      <c r="R2959" s="46">
        <f>P2959*O2959*M2959*N2959*H2959</f>
        <v/>
      </c>
      <c r="S2959" s="46">
        <f>R2959*INDEX(FmtCansPerCase,MATCH(F2959,FmtName,0))</f>
        <v/>
      </c>
      <c r="T2959" s="46">
        <f>S2959/INDEX(FmtCansPerPack,MATCH(F2959,FmtName,0))</f>
        <v/>
      </c>
      <c r="U2959" s="47">
        <f>INDEX(ChBaseCP,MATCH(E2959,ChName,0))*(1+INDEX(ProvMod,MATCH(G2959,ProvCode,0)))*(1+PriceIndex)</f>
        <v/>
      </c>
      <c r="V2959" s="47">
        <f>R2959*U2959*INDEX(FmtBlendedPriceIdx,MATCH(F2959,FmtName,0))</f>
        <v/>
      </c>
      <c r="W2959" s="47">
        <f>T2959*INDEX(ProvSRP,MATCH(G2959,ProvCode,0))*(1+PriceIndex)</f>
        <v/>
      </c>
      <c r="X2959" s="47">
        <f>IF(GrossBasis="Wholesale",V2959,W2959)</f>
        <v/>
      </c>
      <c r="Y2959" s="47">
        <f>R2959*INDEX(FmtBlendedCogs,MATCH(F2959,FmtName,0))</f>
        <v/>
      </c>
      <c r="Z2959" s="47">
        <f>X2959-Y2959</f>
        <v/>
      </c>
    </row>
    <row r="2960">
      <c r="A2960" t="n">
        <v>44</v>
      </c>
      <c r="B2960" s="44">
        <f>FiscalStart+(A2960-1)*7</f>
        <v/>
      </c>
      <c r="C2960">
        <f>TEXT(B2960,"mmm yyyy")</f>
        <v/>
      </c>
      <c r="D2960">
        <f>"Q"&amp;(INT((A2960-1)/13)+1)</f>
        <v/>
      </c>
      <c r="E2960" t="inlineStr">
        <is>
          <t>Specialty</t>
        </is>
      </c>
      <c r="F2960">
        <f>IFERROR(INDEX(ChFormat,MATCH(E2960,ChName,0)),"")</f>
        <v/>
      </c>
      <c r="G2960" t="inlineStr">
        <is>
          <t>QC</t>
        </is>
      </c>
      <c r="H2960">
        <f>IF(A2960&lt;=NWeeks,1,0)</f>
        <v/>
      </c>
      <c r="I2960">
        <f>INDEX(ChLaunch,MATCH(E2960,ChName,0))</f>
        <v/>
      </c>
      <c r="J2960">
        <f>INDEX(ChWeeksFull,MATCH(E2960,ChName,0))</f>
        <v/>
      </c>
      <c r="K2960">
        <f>INDEX(ChRamp,MATCH(E2960,ChName,0))</f>
        <v/>
      </c>
      <c r="L2960" s="45">
        <f>MIN(1,MAX(0,(A2960-I2960+1)*RampSpeed/J2960))</f>
        <v/>
      </c>
      <c r="M2960" s="45">
        <f>IF(A2960&lt;I2960,0,IF(K2960="S-curve",L2960*L2960*(3-2*L2960),L2960))</f>
        <v/>
      </c>
      <c r="N2960" s="45">
        <f>1+(INDEX(SeasonIdx,A2960)-1)*SeasonAmp</f>
        <v/>
      </c>
      <c r="O2960" s="45">
        <f>IFERROR(INDEX(PSPct,MATCH(E2960&amp;"|"&amp;G2960,PSKey,0)),0)</f>
        <v/>
      </c>
      <c r="P2960" s="46">
        <f>INDEX(ChDoorVel,MATCH(E2960,ChName,0))*CalibScalar*(1+VelocityUplift)</f>
        <v/>
      </c>
      <c r="Q2960" s="46" t="n">
        <v>0</v>
      </c>
      <c r="R2960" s="46">
        <f>P2960*O2960*M2960*N2960*H2960</f>
        <v/>
      </c>
      <c r="S2960" s="46">
        <f>R2960*INDEX(FmtCansPerCase,MATCH(F2960,FmtName,0))</f>
        <v/>
      </c>
      <c r="T2960" s="46">
        <f>S2960/INDEX(FmtCansPerPack,MATCH(F2960,FmtName,0))</f>
        <v/>
      </c>
      <c r="U2960" s="47">
        <f>INDEX(ChBaseCP,MATCH(E2960,ChName,0))*(1+INDEX(ProvMod,MATCH(G2960,ProvCode,0)))*(1+PriceIndex)</f>
        <v/>
      </c>
      <c r="V2960" s="47">
        <f>R2960*U2960*INDEX(FmtBlendedPriceIdx,MATCH(F2960,FmtName,0))</f>
        <v/>
      </c>
      <c r="W2960" s="47">
        <f>T2960*INDEX(ProvSRP,MATCH(G2960,ProvCode,0))*(1+PriceIndex)</f>
        <v/>
      </c>
      <c r="X2960" s="47">
        <f>IF(GrossBasis="Wholesale",V2960,W2960)</f>
        <v/>
      </c>
      <c r="Y2960" s="47">
        <f>R2960*INDEX(FmtBlendedCogs,MATCH(F2960,FmtName,0))</f>
        <v/>
      </c>
      <c r="Z2960" s="47">
        <f>X2960-Y2960</f>
        <v/>
      </c>
    </row>
    <row r="2961">
      <c r="A2961" t="n">
        <v>45</v>
      </c>
      <c r="B2961" s="44">
        <f>FiscalStart+(A2961-1)*7</f>
        <v/>
      </c>
      <c r="C2961">
        <f>TEXT(B2961,"mmm yyyy")</f>
        <v/>
      </c>
      <c r="D2961">
        <f>"Q"&amp;(INT((A2961-1)/13)+1)</f>
        <v/>
      </c>
      <c r="E2961" t="inlineStr">
        <is>
          <t>Specialty</t>
        </is>
      </c>
      <c r="F2961">
        <f>IFERROR(INDEX(ChFormat,MATCH(E2961,ChName,0)),"")</f>
        <v/>
      </c>
      <c r="G2961" t="inlineStr">
        <is>
          <t>QC</t>
        </is>
      </c>
      <c r="H2961">
        <f>IF(A2961&lt;=NWeeks,1,0)</f>
        <v/>
      </c>
      <c r="I2961">
        <f>INDEX(ChLaunch,MATCH(E2961,ChName,0))</f>
        <v/>
      </c>
      <c r="J2961">
        <f>INDEX(ChWeeksFull,MATCH(E2961,ChName,0))</f>
        <v/>
      </c>
      <c r="K2961">
        <f>INDEX(ChRamp,MATCH(E2961,ChName,0))</f>
        <v/>
      </c>
      <c r="L2961" s="45">
        <f>MIN(1,MAX(0,(A2961-I2961+1)*RampSpeed/J2961))</f>
        <v/>
      </c>
      <c r="M2961" s="45">
        <f>IF(A2961&lt;I2961,0,IF(K2961="S-curve",L2961*L2961*(3-2*L2961),L2961))</f>
        <v/>
      </c>
      <c r="N2961" s="45">
        <f>1+(INDEX(SeasonIdx,A2961)-1)*SeasonAmp</f>
        <v/>
      </c>
      <c r="O2961" s="45">
        <f>IFERROR(INDEX(PSPct,MATCH(E2961&amp;"|"&amp;G2961,PSKey,0)),0)</f>
        <v/>
      </c>
      <c r="P2961" s="46">
        <f>INDEX(ChDoorVel,MATCH(E2961,ChName,0))*CalibScalar*(1+VelocityUplift)</f>
        <v/>
      </c>
      <c r="Q2961" s="46" t="n">
        <v>0</v>
      </c>
      <c r="R2961" s="46">
        <f>P2961*O2961*M2961*N2961*H2961</f>
        <v/>
      </c>
      <c r="S2961" s="46">
        <f>R2961*INDEX(FmtCansPerCase,MATCH(F2961,FmtName,0))</f>
        <v/>
      </c>
      <c r="T2961" s="46">
        <f>S2961/INDEX(FmtCansPerPack,MATCH(F2961,FmtName,0))</f>
        <v/>
      </c>
      <c r="U2961" s="47">
        <f>INDEX(ChBaseCP,MATCH(E2961,ChName,0))*(1+INDEX(ProvMod,MATCH(G2961,ProvCode,0)))*(1+PriceIndex)</f>
        <v/>
      </c>
      <c r="V2961" s="47">
        <f>R2961*U2961*INDEX(FmtBlendedPriceIdx,MATCH(F2961,FmtName,0))</f>
        <v/>
      </c>
      <c r="W2961" s="47">
        <f>T2961*INDEX(ProvSRP,MATCH(G2961,ProvCode,0))*(1+PriceIndex)</f>
        <v/>
      </c>
      <c r="X2961" s="47">
        <f>IF(GrossBasis="Wholesale",V2961,W2961)</f>
        <v/>
      </c>
      <c r="Y2961" s="47">
        <f>R2961*INDEX(FmtBlendedCogs,MATCH(F2961,FmtName,0))</f>
        <v/>
      </c>
      <c r="Z2961" s="47">
        <f>X2961-Y2961</f>
        <v/>
      </c>
    </row>
    <row r="2962">
      <c r="A2962" t="n">
        <v>46</v>
      </c>
      <c r="B2962" s="44">
        <f>FiscalStart+(A2962-1)*7</f>
        <v/>
      </c>
      <c r="C2962">
        <f>TEXT(B2962,"mmm yyyy")</f>
        <v/>
      </c>
      <c r="D2962">
        <f>"Q"&amp;(INT((A2962-1)/13)+1)</f>
        <v/>
      </c>
      <c r="E2962" t="inlineStr">
        <is>
          <t>Specialty</t>
        </is>
      </c>
      <c r="F2962">
        <f>IFERROR(INDEX(ChFormat,MATCH(E2962,ChName,0)),"")</f>
        <v/>
      </c>
      <c r="G2962" t="inlineStr">
        <is>
          <t>QC</t>
        </is>
      </c>
      <c r="H2962">
        <f>IF(A2962&lt;=NWeeks,1,0)</f>
        <v/>
      </c>
      <c r="I2962">
        <f>INDEX(ChLaunch,MATCH(E2962,ChName,0))</f>
        <v/>
      </c>
      <c r="J2962">
        <f>INDEX(ChWeeksFull,MATCH(E2962,ChName,0))</f>
        <v/>
      </c>
      <c r="K2962">
        <f>INDEX(ChRamp,MATCH(E2962,ChName,0))</f>
        <v/>
      </c>
      <c r="L2962" s="45">
        <f>MIN(1,MAX(0,(A2962-I2962+1)*RampSpeed/J2962))</f>
        <v/>
      </c>
      <c r="M2962" s="45">
        <f>IF(A2962&lt;I2962,0,IF(K2962="S-curve",L2962*L2962*(3-2*L2962),L2962))</f>
        <v/>
      </c>
      <c r="N2962" s="45">
        <f>1+(INDEX(SeasonIdx,A2962)-1)*SeasonAmp</f>
        <v/>
      </c>
      <c r="O2962" s="45">
        <f>IFERROR(INDEX(PSPct,MATCH(E2962&amp;"|"&amp;G2962,PSKey,0)),0)</f>
        <v/>
      </c>
      <c r="P2962" s="46">
        <f>INDEX(ChDoorVel,MATCH(E2962,ChName,0))*CalibScalar*(1+VelocityUplift)</f>
        <v/>
      </c>
      <c r="Q2962" s="46" t="n">
        <v>0</v>
      </c>
      <c r="R2962" s="46">
        <f>P2962*O2962*M2962*N2962*H2962</f>
        <v/>
      </c>
      <c r="S2962" s="46">
        <f>R2962*INDEX(FmtCansPerCase,MATCH(F2962,FmtName,0))</f>
        <v/>
      </c>
      <c r="T2962" s="46">
        <f>S2962/INDEX(FmtCansPerPack,MATCH(F2962,FmtName,0))</f>
        <v/>
      </c>
      <c r="U2962" s="47">
        <f>INDEX(ChBaseCP,MATCH(E2962,ChName,0))*(1+INDEX(ProvMod,MATCH(G2962,ProvCode,0)))*(1+PriceIndex)</f>
        <v/>
      </c>
      <c r="V2962" s="47">
        <f>R2962*U2962*INDEX(FmtBlendedPriceIdx,MATCH(F2962,FmtName,0))</f>
        <v/>
      </c>
      <c r="W2962" s="47">
        <f>T2962*INDEX(ProvSRP,MATCH(G2962,ProvCode,0))*(1+PriceIndex)</f>
        <v/>
      </c>
      <c r="X2962" s="47">
        <f>IF(GrossBasis="Wholesale",V2962,W2962)</f>
        <v/>
      </c>
      <c r="Y2962" s="47">
        <f>R2962*INDEX(FmtBlendedCogs,MATCH(F2962,FmtName,0))</f>
        <v/>
      </c>
      <c r="Z2962" s="47">
        <f>X2962-Y2962</f>
        <v/>
      </c>
    </row>
    <row r="2963">
      <c r="A2963" t="n">
        <v>47</v>
      </c>
      <c r="B2963" s="44">
        <f>FiscalStart+(A2963-1)*7</f>
        <v/>
      </c>
      <c r="C2963">
        <f>TEXT(B2963,"mmm yyyy")</f>
        <v/>
      </c>
      <c r="D2963">
        <f>"Q"&amp;(INT((A2963-1)/13)+1)</f>
        <v/>
      </c>
      <c r="E2963" t="inlineStr">
        <is>
          <t>Specialty</t>
        </is>
      </c>
      <c r="F2963">
        <f>IFERROR(INDEX(ChFormat,MATCH(E2963,ChName,0)),"")</f>
        <v/>
      </c>
      <c r="G2963" t="inlineStr">
        <is>
          <t>QC</t>
        </is>
      </c>
      <c r="H2963">
        <f>IF(A2963&lt;=NWeeks,1,0)</f>
        <v/>
      </c>
      <c r="I2963">
        <f>INDEX(ChLaunch,MATCH(E2963,ChName,0))</f>
        <v/>
      </c>
      <c r="J2963">
        <f>INDEX(ChWeeksFull,MATCH(E2963,ChName,0))</f>
        <v/>
      </c>
      <c r="K2963">
        <f>INDEX(ChRamp,MATCH(E2963,ChName,0))</f>
        <v/>
      </c>
      <c r="L2963" s="45">
        <f>MIN(1,MAX(0,(A2963-I2963+1)*RampSpeed/J2963))</f>
        <v/>
      </c>
      <c r="M2963" s="45">
        <f>IF(A2963&lt;I2963,0,IF(K2963="S-curve",L2963*L2963*(3-2*L2963),L2963))</f>
        <v/>
      </c>
      <c r="N2963" s="45">
        <f>1+(INDEX(SeasonIdx,A2963)-1)*SeasonAmp</f>
        <v/>
      </c>
      <c r="O2963" s="45">
        <f>IFERROR(INDEX(PSPct,MATCH(E2963&amp;"|"&amp;G2963,PSKey,0)),0)</f>
        <v/>
      </c>
      <c r="P2963" s="46">
        <f>INDEX(ChDoorVel,MATCH(E2963,ChName,0))*CalibScalar*(1+VelocityUplift)</f>
        <v/>
      </c>
      <c r="Q2963" s="46" t="n">
        <v>0</v>
      </c>
      <c r="R2963" s="46">
        <f>P2963*O2963*M2963*N2963*H2963</f>
        <v/>
      </c>
      <c r="S2963" s="46">
        <f>R2963*INDEX(FmtCansPerCase,MATCH(F2963,FmtName,0))</f>
        <v/>
      </c>
      <c r="T2963" s="46">
        <f>S2963/INDEX(FmtCansPerPack,MATCH(F2963,FmtName,0))</f>
        <v/>
      </c>
      <c r="U2963" s="47">
        <f>INDEX(ChBaseCP,MATCH(E2963,ChName,0))*(1+INDEX(ProvMod,MATCH(G2963,ProvCode,0)))*(1+PriceIndex)</f>
        <v/>
      </c>
      <c r="V2963" s="47">
        <f>R2963*U2963*INDEX(FmtBlendedPriceIdx,MATCH(F2963,FmtName,0))</f>
        <v/>
      </c>
      <c r="W2963" s="47">
        <f>T2963*INDEX(ProvSRP,MATCH(G2963,ProvCode,0))*(1+PriceIndex)</f>
        <v/>
      </c>
      <c r="X2963" s="47">
        <f>IF(GrossBasis="Wholesale",V2963,W2963)</f>
        <v/>
      </c>
      <c r="Y2963" s="47">
        <f>R2963*INDEX(FmtBlendedCogs,MATCH(F2963,FmtName,0))</f>
        <v/>
      </c>
      <c r="Z2963" s="47">
        <f>X2963-Y2963</f>
        <v/>
      </c>
    </row>
    <row r="2964">
      <c r="A2964" t="n">
        <v>48</v>
      </c>
      <c r="B2964" s="44">
        <f>FiscalStart+(A2964-1)*7</f>
        <v/>
      </c>
      <c r="C2964">
        <f>TEXT(B2964,"mmm yyyy")</f>
        <v/>
      </c>
      <c r="D2964">
        <f>"Q"&amp;(INT((A2964-1)/13)+1)</f>
        <v/>
      </c>
      <c r="E2964" t="inlineStr">
        <is>
          <t>Specialty</t>
        </is>
      </c>
      <c r="F2964">
        <f>IFERROR(INDEX(ChFormat,MATCH(E2964,ChName,0)),"")</f>
        <v/>
      </c>
      <c r="G2964" t="inlineStr">
        <is>
          <t>QC</t>
        </is>
      </c>
      <c r="H2964">
        <f>IF(A2964&lt;=NWeeks,1,0)</f>
        <v/>
      </c>
      <c r="I2964">
        <f>INDEX(ChLaunch,MATCH(E2964,ChName,0))</f>
        <v/>
      </c>
      <c r="J2964">
        <f>INDEX(ChWeeksFull,MATCH(E2964,ChName,0))</f>
        <v/>
      </c>
      <c r="K2964">
        <f>INDEX(ChRamp,MATCH(E2964,ChName,0))</f>
        <v/>
      </c>
      <c r="L2964" s="45">
        <f>MIN(1,MAX(0,(A2964-I2964+1)*RampSpeed/J2964))</f>
        <v/>
      </c>
      <c r="M2964" s="45">
        <f>IF(A2964&lt;I2964,0,IF(K2964="S-curve",L2964*L2964*(3-2*L2964),L2964))</f>
        <v/>
      </c>
      <c r="N2964" s="45">
        <f>1+(INDEX(SeasonIdx,A2964)-1)*SeasonAmp</f>
        <v/>
      </c>
      <c r="O2964" s="45">
        <f>IFERROR(INDEX(PSPct,MATCH(E2964&amp;"|"&amp;G2964,PSKey,0)),0)</f>
        <v/>
      </c>
      <c r="P2964" s="46">
        <f>INDEX(ChDoorVel,MATCH(E2964,ChName,0))*CalibScalar*(1+VelocityUplift)</f>
        <v/>
      </c>
      <c r="Q2964" s="46" t="n">
        <v>0</v>
      </c>
      <c r="R2964" s="46">
        <f>P2964*O2964*M2964*N2964*H2964</f>
        <v/>
      </c>
      <c r="S2964" s="46">
        <f>R2964*INDEX(FmtCansPerCase,MATCH(F2964,FmtName,0))</f>
        <v/>
      </c>
      <c r="T2964" s="46">
        <f>S2964/INDEX(FmtCansPerPack,MATCH(F2964,FmtName,0))</f>
        <v/>
      </c>
      <c r="U2964" s="47">
        <f>INDEX(ChBaseCP,MATCH(E2964,ChName,0))*(1+INDEX(ProvMod,MATCH(G2964,ProvCode,0)))*(1+PriceIndex)</f>
        <v/>
      </c>
      <c r="V2964" s="47">
        <f>R2964*U2964*INDEX(FmtBlendedPriceIdx,MATCH(F2964,FmtName,0))</f>
        <v/>
      </c>
      <c r="W2964" s="47">
        <f>T2964*INDEX(ProvSRP,MATCH(G2964,ProvCode,0))*(1+PriceIndex)</f>
        <v/>
      </c>
      <c r="X2964" s="47">
        <f>IF(GrossBasis="Wholesale",V2964,W2964)</f>
        <v/>
      </c>
      <c r="Y2964" s="47">
        <f>R2964*INDEX(FmtBlendedCogs,MATCH(F2964,FmtName,0))</f>
        <v/>
      </c>
      <c r="Z2964" s="47">
        <f>X2964-Y2964</f>
        <v/>
      </c>
    </row>
    <row r="2965">
      <c r="A2965" t="n">
        <v>49</v>
      </c>
      <c r="B2965" s="44">
        <f>FiscalStart+(A2965-1)*7</f>
        <v/>
      </c>
      <c r="C2965">
        <f>TEXT(B2965,"mmm yyyy")</f>
        <v/>
      </c>
      <c r="D2965">
        <f>"Q"&amp;(INT((A2965-1)/13)+1)</f>
        <v/>
      </c>
      <c r="E2965" t="inlineStr">
        <is>
          <t>Specialty</t>
        </is>
      </c>
      <c r="F2965">
        <f>IFERROR(INDEX(ChFormat,MATCH(E2965,ChName,0)),"")</f>
        <v/>
      </c>
      <c r="G2965" t="inlineStr">
        <is>
          <t>QC</t>
        </is>
      </c>
      <c r="H2965">
        <f>IF(A2965&lt;=NWeeks,1,0)</f>
        <v/>
      </c>
      <c r="I2965">
        <f>INDEX(ChLaunch,MATCH(E2965,ChName,0))</f>
        <v/>
      </c>
      <c r="J2965">
        <f>INDEX(ChWeeksFull,MATCH(E2965,ChName,0))</f>
        <v/>
      </c>
      <c r="K2965">
        <f>INDEX(ChRamp,MATCH(E2965,ChName,0))</f>
        <v/>
      </c>
      <c r="L2965" s="45">
        <f>MIN(1,MAX(0,(A2965-I2965+1)*RampSpeed/J2965))</f>
        <v/>
      </c>
      <c r="M2965" s="45">
        <f>IF(A2965&lt;I2965,0,IF(K2965="S-curve",L2965*L2965*(3-2*L2965),L2965))</f>
        <v/>
      </c>
      <c r="N2965" s="45">
        <f>1+(INDEX(SeasonIdx,A2965)-1)*SeasonAmp</f>
        <v/>
      </c>
      <c r="O2965" s="45">
        <f>IFERROR(INDEX(PSPct,MATCH(E2965&amp;"|"&amp;G2965,PSKey,0)),0)</f>
        <v/>
      </c>
      <c r="P2965" s="46">
        <f>INDEX(ChDoorVel,MATCH(E2965,ChName,0))*CalibScalar*(1+VelocityUplift)</f>
        <v/>
      </c>
      <c r="Q2965" s="46" t="n">
        <v>0</v>
      </c>
      <c r="R2965" s="46">
        <f>P2965*O2965*M2965*N2965*H2965</f>
        <v/>
      </c>
      <c r="S2965" s="46">
        <f>R2965*INDEX(FmtCansPerCase,MATCH(F2965,FmtName,0))</f>
        <v/>
      </c>
      <c r="T2965" s="46">
        <f>S2965/INDEX(FmtCansPerPack,MATCH(F2965,FmtName,0))</f>
        <v/>
      </c>
      <c r="U2965" s="47">
        <f>INDEX(ChBaseCP,MATCH(E2965,ChName,0))*(1+INDEX(ProvMod,MATCH(G2965,ProvCode,0)))*(1+PriceIndex)</f>
        <v/>
      </c>
      <c r="V2965" s="47">
        <f>R2965*U2965*INDEX(FmtBlendedPriceIdx,MATCH(F2965,FmtName,0))</f>
        <v/>
      </c>
      <c r="W2965" s="47">
        <f>T2965*INDEX(ProvSRP,MATCH(G2965,ProvCode,0))*(1+PriceIndex)</f>
        <v/>
      </c>
      <c r="X2965" s="47">
        <f>IF(GrossBasis="Wholesale",V2965,W2965)</f>
        <v/>
      </c>
      <c r="Y2965" s="47">
        <f>R2965*INDEX(FmtBlendedCogs,MATCH(F2965,FmtName,0))</f>
        <v/>
      </c>
      <c r="Z2965" s="47">
        <f>X2965-Y2965</f>
        <v/>
      </c>
    </row>
    <row r="2966">
      <c r="A2966" t="n">
        <v>50</v>
      </c>
      <c r="B2966" s="44">
        <f>FiscalStart+(A2966-1)*7</f>
        <v/>
      </c>
      <c r="C2966">
        <f>TEXT(B2966,"mmm yyyy")</f>
        <v/>
      </c>
      <c r="D2966">
        <f>"Q"&amp;(INT((A2966-1)/13)+1)</f>
        <v/>
      </c>
      <c r="E2966" t="inlineStr">
        <is>
          <t>Specialty</t>
        </is>
      </c>
      <c r="F2966">
        <f>IFERROR(INDEX(ChFormat,MATCH(E2966,ChName,0)),"")</f>
        <v/>
      </c>
      <c r="G2966" t="inlineStr">
        <is>
          <t>QC</t>
        </is>
      </c>
      <c r="H2966">
        <f>IF(A2966&lt;=NWeeks,1,0)</f>
        <v/>
      </c>
      <c r="I2966">
        <f>INDEX(ChLaunch,MATCH(E2966,ChName,0))</f>
        <v/>
      </c>
      <c r="J2966">
        <f>INDEX(ChWeeksFull,MATCH(E2966,ChName,0))</f>
        <v/>
      </c>
      <c r="K2966">
        <f>INDEX(ChRamp,MATCH(E2966,ChName,0))</f>
        <v/>
      </c>
      <c r="L2966" s="45">
        <f>MIN(1,MAX(0,(A2966-I2966+1)*RampSpeed/J2966))</f>
        <v/>
      </c>
      <c r="M2966" s="45">
        <f>IF(A2966&lt;I2966,0,IF(K2966="S-curve",L2966*L2966*(3-2*L2966),L2966))</f>
        <v/>
      </c>
      <c r="N2966" s="45">
        <f>1+(INDEX(SeasonIdx,A2966)-1)*SeasonAmp</f>
        <v/>
      </c>
      <c r="O2966" s="45">
        <f>IFERROR(INDEX(PSPct,MATCH(E2966&amp;"|"&amp;G2966,PSKey,0)),0)</f>
        <v/>
      </c>
      <c r="P2966" s="46">
        <f>INDEX(ChDoorVel,MATCH(E2966,ChName,0))*CalibScalar*(1+VelocityUplift)</f>
        <v/>
      </c>
      <c r="Q2966" s="46" t="n">
        <v>0</v>
      </c>
      <c r="R2966" s="46">
        <f>P2966*O2966*M2966*N2966*H2966</f>
        <v/>
      </c>
      <c r="S2966" s="46">
        <f>R2966*INDEX(FmtCansPerCase,MATCH(F2966,FmtName,0))</f>
        <v/>
      </c>
      <c r="T2966" s="46">
        <f>S2966/INDEX(FmtCansPerPack,MATCH(F2966,FmtName,0))</f>
        <v/>
      </c>
      <c r="U2966" s="47">
        <f>INDEX(ChBaseCP,MATCH(E2966,ChName,0))*(1+INDEX(ProvMod,MATCH(G2966,ProvCode,0)))*(1+PriceIndex)</f>
        <v/>
      </c>
      <c r="V2966" s="47">
        <f>R2966*U2966*INDEX(FmtBlendedPriceIdx,MATCH(F2966,FmtName,0))</f>
        <v/>
      </c>
      <c r="W2966" s="47">
        <f>T2966*INDEX(ProvSRP,MATCH(G2966,ProvCode,0))*(1+PriceIndex)</f>
        <v/>
      </c>
      <c r="X2966" s="47">
        <f>IF(GrossBasis="Wholesale",V2966,W2966)</f>
        <v/>
      </c>
      <c r="Y2966" s="47">
        <f>R2966*INDEX(FmtBlendedCogs,MATCH(F2966,FmtName,0))</f>
        <v/>
      </c>
      <c r="Z2966" s="47">
        <f>X2966-Y2966</f>
        <v/>
      </c>
    </row>
    <row r="2967">
      <c r="A2967" t="n">
        <v>51</v>
      </c>
      <c r="B2967" s="44">
        <f>FiscalStart+(A2967-1)*7</f>
        <v/>
      </c>
      <c r="C2967">
        <f>TEXT(B2967,"mmm yyyy")</f>
        <v/>
      </c>
      <c r="D2967">
        <f>"Q"&amp;(INT((A2967-1)/13)+1)</f>
        <v/>
      </c>
      <c r="E2967" t="inlineStr">
        <is>
          <t>Specialty</t>
        </is>
      </c>
      <c r="F2967">
        <f>IFERROR(INDEX(ChFormat,MATCH(E2967,ChName,0)),"")</f>
        <v/>
      </c>
      <c r="G2967" t="inlineStr">
        <is>
          <t>QC</t>
        </is>
      </c>
      <c r="H2967">
        <f>IF(A2967&lt;=NWeeks,1,0)</f>
        <v/>
      </c>
      <c r="I2967">
        <f>INDEX(ChLaunch,MATCH(E2967,ChName,0))</f>
        <v/>
      </c>
      <c r="J2967">
        <f>INDEX(ChWeeksFull,MATCH(E2967,ChName,0))</f>
        <v/>
      </c>
      <c r="K2967">
        <f>INDEX(ChRamp,MATCH(E2967,ChName,0))</f>
        <v/>
      </c>
      <c r="L2967" s="45">
        <f>MIN(1,MAX(0,(A2967-I2967+1)*RampSpeed/J2967))</f>
        <v/>
      </c>
      <c r="M2967" s="45">
        <f>IF(A2967&lt;I2967,0,IF(K2967="S-curve",L2967*L2967*(3-2*L2967),L2967))</f>
        <v/>
      </c>
      <c r="N2967" s="45">
        <f>1+(INDEX(SeasonIdx,A2967)-1)*SeasonAmp</f>
        <v/>
      </c>
      <c r="O2967" s="45">
        <f>IFERROR(INDEX(PSPct,MATCH(E2967&amp;"|"&amp;G2967,PSKey,0)),0)</f>
        <v/>
      </c>
      <c r="P2967" s="46">
        <f>INDEX(ChDoorVel,MATCH(E2967,ChName,0))*CalibScalar*(1+VelocityUplift)</f>
        <v/>
      </c>
      <c r="Q2967" s="46" t="n">
        <v>0</v>
      </c>
      <c r="R2967" s="46">
        <f>P2967*O2967*M2967*N2967*H2967</f>
        <v/>
      </c>
      <c r="S2967" s="46">
        <f>R2967*INDEX(FmtCansPerCase,MATCH(F2967,FmtName,0))</f>
        <v/>
      </c>
      <c r="T2967" s="46">
        <f>S2967/INDEX(FmtCansPerPack,MATCH(F2967,FmtName,0))</f>
        <v/>
      </c>
      <c r="U2967" s="47">
        <f>INDEX(ChBaseCP,MATCH(E2967,ChName,0))*(1+INDEX(ProvMod,MATCH(G2967,ProvCode,0)))*(1+PriceIndex)</f>
        <v/>
      </c>
      <c r="V2967" s="47">
        <f>R2967*U2967*INDEX(FmtBlendedPriceIdx,MATCH(F2967,FmtName,0))</f>
        <v/>
      </c>
      <c r="W2967" s="47">
        <f>T2967*INDEX(ProvSRP,MATCH(G2967,ProvCode,0))*(1+PriceIndex)</f>
        <v/>
      </c>
      <c r="X2967" s="47">
        <f>IF(GrossBasis="Wholesale",V2967,W2967)</f>
        <v/>
      </c>
      <c r="Y2967" s="47">
        <f>R2967*INDEX(FmtBlendedCogs,MATCH(F2967,FmtName,0))</f>
        <v/>
      </c>
      <c r="Z2967" s="47">
        <f>X2967-Y2967</f>
        <v/>
      </c>
    </row>
    <row r="2968">
      <c r="A2968" t="n">
        <v>52</v>
      </c>
      <c r="B2968" s="44">
        <f>FiscalStart+(A2968-1)*7</f>
        <v/>
      </c>
      <c r="C2968">
        <f>TEXT(B2968,"mmm yyyy")</f>
        <v/>
      </c>
      <c r="D2968">
        <f>"Q"&amp;(INT((A2968-1)/13)+1)</f>
        <v/>
      </c>
      <c r="E2968" t="inlineStr">
        <is>
          <t>Specialty</t>
        </is>
      </c>
      <c r="F2968">
        <f>IFERROR(INDEX(ChFormat,MATCH(E2968,ChName,0)),"")</f>
        <v/>
      </c>
      <c r="G2968" t="inlineStr">
        <is>
          <t>QC</t>
        </is>
      </c>
      <c r="H2968">
        <f>IF(A2968&lt;=NWeeks,1,0)</f>
        <v/>
      </c>
      <c r="I2968">
        <f>INDEX(ChLaunch,MATCH(E2968,ChName,0))</f>
        <v/>
      </c>
      <c r="J2968">
        <f>INDEX(ChWeeksFull,MATCH(E2968,ChName,0))</f>
        <v/>
      </c>
      <c r="K2968">
        <f>INDEX(ChRamp,MATCH(E2968,ChName,0))</f>
        <v/>
      </c>
      <c r="L2968" s="45">
        <f>MIN(1,MAX(0,(A2968-I2968+1)*RampSpeed/J2968))</f>
        <v/>
      </c>
      <c r="M2968" s="45">
        <f>IF(A2968&lt;I2968,0,IF(K2968="S-curve",L2968*L2968*(3-2*L2968),L2968))</f>
        <v/>
      </c>
      <c r="N2968" s="45">
        <f>1+(INDEX(SeasonIdx,A2968)-1)*SeasonAmp</f>
        <v/>
      </c>
      <c r="O2968" s="45">
        <f>IFERROR(INDEX(PSPct,MATCH(E2968&amp;"|"&amp;G2968,PSKey,0)),0)</f>
        <v/>
      </c>
      <c r="P2968" s="46">
        <f>INDEX(ChDoorVel,MATCH(E2968,ChName,0))*CalibScalar*(1+VelocityUplift)</f>
        <v/>
      </c>
      <c r="Q2968" s="46" t="n">
        <v>0</v>
      </c>
      <c r="R2968" s="46">
        <f>P2968*O2968*M2968*N2968*H2968</f>
        <v/>
      </c>
      <c r="S2968" s="46">
        <f>R2968*INDEX(FmtCansPerCase,MATCH(F2968,FmtName,0))</f>
        <v/>
      </c>
      <c r="T2968" s="46">
        <f>S2968/INDEX(FmtCansPerPack,MATCH(F2968,FmtName,0))</f>
        <v/>
      </c>
      <c r="U2968" s="47">
        <f>INDEX(ChBaseCP,MATCH(E2968,ChName,0))*(1+INDEX(ProvMod,MATCH(G2968,ProvCode,0)))*(1+PriceIndex)</f>
        <v/>
      </c>
      <c r="V2968" s="47">
        <f>R2968*U2968*INDEX(FmtBlendedPriceIdx,MATCH(F2968,FmtName,0))</f>
        <v/>
      </c>
      <c r="W2968" s="47">
        <f>T2968*INDEX(ProvSRP,MATCH(G2968,ProvCode,0))*(1+PriceIndex)</f>
        <v/>
      </c>
      <c r="X2968" s="47">
        <f>IF(GrossBasis="Wholesale",V2968,W2968)</f>
        <v/>
      </c>
      <c r="Y2968" s="47">
        <f>R2968*INDEX(FmtBlendedCogs,MATCH(F2968,FmtName,0))</f>
        <v/>
      </c>
      <c r="Z2968" s="47">
        <f>X2968-Y2968</f>
        <v/>
      </c>
    </row>
    <row r="2969">
      <c r="A2969" t="n">
        <v>53</v>
      </c>
      <c r="B2969" s="44">
        <f>FiscalStart+(A2969-1)*7</f>
        <v/>
      </c>
      <c r="C2969">
        <f>TEXT(B2969,"mmm yyyy")</f>
        <v/>
      </c>
      <c r="D2969">
        <f>"Q"&amp;(INT((A2969-1)/13)+1)</f>
        <v/>
      </c>
      <c r="E2969" t="inlineStr">
        <is>
          <t>Specialty</t>
        </is>
      </c>
      <c r="F2969">
        <f>IFERROR(INDEX(ChFormat,MATCH(E2969,ChName,0)),"")</f>
        <v/>
      </c>
      <c r="G2969" t="inlineStr">
        <is>
          <t>QC</t>
        </is>
      </c>
      <c r="H2969">
        <f>IF(A2969&lt;=NWeeks,1,0)</f>
        <v/>
      </c>
      <c r="I2969">
        <f>INDEX(ChLaunch,MATCH(E2969,ChName,0))</f>
        <v/>
      </c>
      <c r="J2969">
        <f>INDEX(ChWeeksFull,MATCH(E2969,ChName,0))</f>
        <v/>
      </c>
      <c r="K2969">
        <f>INDEX(ChRamp,MATCH(E2969,ChName,0))</f>
        <v/>
      </c>
      <c r="L2969" s="45">
        <f>MIN(1,MAX(0,(A2969-I2969+1)*RampSpeed/J2969))</f>
        <v/>
      </c>
      <c r="M2969" s="45">
        <f>IF(A2969&lt;I2969,0,IF(K2969="S-curve",L2969*L2969*(3-2*L2969),L2969))</f>
        <v/>
      </c>
      <c r="N2969" s="45">
        <f>1+(INDEX(SeasonIdx,A2969)-1)*SeasonAmp</f>
        <v/>
      </c>
      <c r="O2969" s="45">
        <f>IFERROR(INDEX(PSPct,MATCH(E2969&amp;"|"&amp;G2969,PSKey,0)),0)</f>
        <v/>
      </c>
      <c r="P2969" s="46">
        <f>INDEX(ChDoorVel,MATCH(E2969,ChName,0))*CalibScalar*(1+VelocityUplift)</f>
        <v/>
      </c>
      <c r="Q2969" s="46" t="n">
        <v>0</v>
      </c>
      <c r="R2969" s="46">
        <f>P2969*O2969*M2969*N2969*H2969</f>
        <v/>
      </c>
      <c r="S2969" s="46">
        <f>R2969*INDEX(FmtCansPerCase,MATCH(F2969,FmtName,0))</f>
        <v/>
      </c>
      <c r="T2969" s="46">
        <f>S2969/INDEX(FmtCansPerPack,MATCH(F2969,FmtName,0))</f>
        <v/>
      </c>
      <c r="U2969" s="47">
        <f>INDEX(ChBaseCP,MATCH(E2969,ChName,0))*(1+INDEX(ProvMod,MATCH(G2969,ProvCode,0)))*(1+PriceIndex)</f>
        <v/>
      </c>
      <c r="V2969" s="47">
        <f>R2969*U2969*INDEX(FmtBlendedPriceIdx,MATCH(F2969,FmtName,0))</f>
        <v/>
      </c>
      <c r="W2969" s="47">
        <f>T2969*INDEX(ProvSRP,MATCH(G2969,ProvCode,0))*(1+PriceIndex)</f>
        <v/>
      </c>
      <c r="X2969" s="47">
        <f>IF(GrossBasis="Wholesale",V2969,W2969)</f>
        <v/>
      </c>
      <c r="Y2969" s="47">
        <f>R2969*INDEX(FmtBlendedCogs,MATCH(F2969,FmtName,0))</f>
        <v/>
      </c>
      <c r="Z2969" s="47">
        <f>X2969-Y2969</f>
        <v/>
      </c>
    </row>
    <row r="2970">
      <c r="A2970" t="n">
        <v>1</v>
      </c>
      <c r="B2970" s="44">
        <f>FiscalStart+(A2970-1)*7</f>
        <v/>
      </c>
      <c r="C2970">
        <f>TEXT(B2970,"mmm yyyy")</f>
        <v/>
      </c>
      <c r="D2970">
        <f>"Q"&amp;(INT((A2970-1)/13)+1)</f>
        <v/>
      </c>
      <c r="E2970" t="inlineStr">
        <is>
          <t>Specialty</t>
        </is>
      </c>
      <c r="F2970">
        <f>IFERROR(INDEX(ChFormat,MATCH(E2970,ChName,0)),"")</f>
        <v/>
      </c>
      <c r="G2970" t="inlineStr">
        <is>
          <t>NB</t>
        </is>
      </c>
      <c r="H2970">
        <f>IF(A2970&lt;=NWeeks,1,0)</f>
        <v/>
      </c>
      <c r="I2970">
        <f>INDEX(ChLaunch,MATCH(E2970,ChName,0))</f>
        <v/>
      </c>
      <c r="J2970">
        <f>INDEX(ChWeeksFull,MATCH(E2970,ChName,0))</f>
        <v/>
      </c>
      <c r="K2970">
        <f>INDEX(ChRamp,MATCH(E2970,ChName,0))</f>
        <v/>
      </c>
      <c r="L2970" s="45">
        <f>MIN(1,MAX(0,(A2970-I2970+1)*RampSpeed/J2970))</f>
        <v/>
      </c>
      <c r="M2970" s="45">
        <f>IF(A2970&lt;I2970,0,IF(K2970="S-curve",L2970*L2970*(3-2*L2970),L2970))</f>
        <v/>
      </c>
      <c r="N2970" s="45">
        <f>1+(INDEX(SeasonIdx,A2970)-1)*SeasonAmp</f>
        <v/>
      </c>
      <c r="O2970" s="45">
        <f>IFERROR(INDEX(PSPct,MATCH(E2970&amp;"|"&amp;G2970,PSKey,0)),0)</f>
        <v/>
      </c>
      <c r="P2970" s="46">
        <f>INDEX(ChDoorVel,MATCH(E2970,ChName,0))*CalibScalar*(1+VelocityUplift)</f>
        <v/>
      </c>
      <c r="Q2970" s="46" t="n">
        <v>0</v>
      </c>
      <c r="R2970" s="46">
        <f>P2970*O2970*M2970*N2970*H2970</f>
        <v/>
      </c>
      <c r="S2970" s="46">
        <f>R2970*INDEX(FmtCansPerCase,MATCH(F2970,FmtName,0))</f>
        <v/>
      </c>
      <c r="T2970" s="46">
        <f>S2970/INDEX(FmtCansPerPack,MATCH(F2970,FmtName,0))</f>
        <v/>
      </c>
      <c r="U2970" s="47">
        <f>INDEX(ChBaseCP,MATCH(E2970,ChName,0))*(1+INDEX(ProvMod,MATCH(G2970,ProvCode,0)))*(1+PriceIndex)</f>
        <v/>
      </c>
      <c r="V2970" s="47">
        <f>R2970*U2970*INDEX(FmtBlendedPriceIdx,MATCH(F2970,FmtName,0))</f>
        <v/>
      </c>
      <c r="W2970" s="47">
        <f>T2970*INDEX(ProvSRP,MATCH(G2970,ProvCode,0))*(1+PriceIndex)</f>
        <v/>
      </c>
      <c r="X2970" s="47">
        <f>IF(GrossBasis="Wholesale",V2970,W2970)</f>
        <v/>
      </c>
      <c r="Y2970" s="47">
        <f>R2970*INDEX(FmtBlendedCogs,MATCH(F2970,FmtName,0))</f>
        <v/>
      </c>
      <c r="Z2970" s="47">
        <f>X2970-Y2970</f>
        <v/>
      </c>
    </row>
    <row r="2971">
      <c r="A2971" t="n">
        <v>2</v>
      </c>
      <c r="B2971" s="44">
        <f>FiscalStart+(A2971-1)*7</f>
        <v/>
      </c>
      <c r="C2971">
        <f>TEXT(B2971,"mmm yyyy")</f>
        <v/>
      </c>
      <c r="D2971">
        <f>"Q"&amp;(INT((A2971-1)/13)+1)</f>
        <v/>
      </c>
      <c r="E2971" t="inlineStr">
        <is>
          <t>Specialty</t>
        </is>
      </c>
      <c r="F2971">
        <f>IFERROR(INDEX(ChFormat,MATCH(E2971,ChName,0)),"")</f>
        <v/>
      </c>
      <c r="G2971" t="inlineStr">
        <is>
          <t>NB</t>
        </is>
      </c>
      <c r="H2971">
        <f>IF(A2971&lt;=NWeeks,1,0)</f>
        <v/>
      </c>
      <c r="I2971">
        <f>INDEX(ChLaunch,MATCH(E2971,ChName,0))</f>
        <v/>
      </c>
      <c r="J2971">
        <f>INDEX(ChWeeksFull,MATCH(E2971,ChName,0))</f>
        <v/>
      </c>
      <c r="K2971">
        <f>INDEX(ChRamp,MATCH(E2971,ChName,0))</f>
        <v/>
      </c>
      <c r="L2971" s="45">
        <f>MIN(1,MAX(0,(A2971-I2971+1)*RampSpeed/J2971))</f>
        <v/>
      </c>
      <c r="M2971" s="45">
        <f>IF(A2971&lt;I2971,0,IF(K2971="S-curve",L2971*L2971*(3-2*L2971),L2971))</f>
        <v/>
      </c>
      <c r="N2971" s="45">
        <f>1+(INDEX(SeasonIdx,A2971)-1)*SeasonAmp</f>
        <v/>
      </c>
      <c r="O2971" s="45">
        <f>IFERROR(INDEX(PSPct,MATCH(E2971&amp;"|"&amp;G2971,PSKey,0)),0)</f>
        <v/>
      </c>
      <c r="P2971" s="46">
        <f>INDEX(ChDoorVel,MATCH(E2971,ChName,0))*CalibScalar*(1+VelocityUplift)</f>
        <v/>
      </c>
      <c r="Q2971" s="46" t="n">
        <v>0</v>
      </c>
      <c r="R2971" s="46">
        <f>P2971*O2971*M2971*N2971*H2971</f>
        <v/>
      </c>
      <c r="S2971" s="46">
        <f>R2971*INDEX(FmtCansPerCase,MATCH(F2971,FmtName,0))</f>
        <v/>
      </c>
      <c r="T2971" s="46">
        <f>S2971/INDEX(FmtCansPerPack,MATCH(F2971,FmtName,0))</f>
        <v/>
      </c>
      <c r="U2971" s="47">
        <f>INDEX(ChBaseCP,MATCH(E2971,ChName,0))*(1+INDEX(ProvMod,MATCH(G2971,ProvCode,0)))*(1+PriceIndex)</f>
        <v/>
      </c>
      <c r="V2971" s="47">
        <f>R2971*U2971*INDEX(FmtBlendedPriceIdx,MATCH(F2971,FmtName,0))</f>
        <v/>
      </c>
      <c r="W2971" s="47">
        <f>T2971*INDEX(ProvSRP,MATCH(G2971,ProvCode,0))*(1+PriceIndex)</f>
        <v/>
      </c>
      <c r="X2971" s="47">
        <f>IF(GrossBasis="Wholesale",V2971,W2971)</f>
        <v/>
      </c>
      <c r="Y2971" s="47">
        <f>R2971*INDEX(FmtBlendedCogs,MATCH(F2971,FmtName,0))</f>
        <v/>
      </c>
      <c r="Z2971" s="47">
        <f>X2971-Y2971</f>
        <v/>
      </c>
    </row>
    <row r="2972">
      <c r="A2972" t="n">
        <v>3</v>
      </c>
      <c r="B2972" s="44">
        <f>FiscalStart+(A2972-1)*7</f>
        <v/>
      </c>
      <c r="C2972">
        <f>TEXT(B2972,"mmm yyyy")</f>
        <v/>
      </c>
      <c r="D2972">
        <f>"Q"&amp;(INT((A2972-1)/13)+1)</f>
        <v/>
      </c>
      <c r="E2972" t="inlineStr">
        <is>
          <t>Specialty</t>
        </is>
      </c>
      <c r="F2972">
        <f>IFERROR(INDEX(ChFormat,MATCH(E2972,ChName,0)),"")</f>
        <v/>
      </c>
      <c r="G2972" t="inlineStr">
        <is>
          <t>NB</t>
        </is>
      </c>
      <c r="H2972">
        <f>IF(A2972&lt;=NWeeks,1,0)</f>
        <v/>
      </c>
      <c r="I2972">
        <f>INDEX(ChLaunch,MATCH(E2972,ChName,0))</f>
        <v/>
      </c>
      <c r="J2972">
        <f>INDEX(ChWeeksFull,MATCH(E2972,ChName,0))</f>
        <v/>
      </c>
      <c r="K2972">
        <f>INDEX(ChRamp,MATCH(E2972,ChName,0))</f>
        <v/>
      </c>
      <c r="L2972" s="45">
        <f>MIN(1,MAX(0,(A2972-I2972+1)*RampSpeed/J2972))</f>
        <v/>
      </c>
      <c r="M2972" s="45">
        <f>IF(A2972&lt;I2972,0,IF(K2972="S-curve",L2972*L2972*(3-2*L2972),L2972))</f>
        <v/>
      </c>
      <c r="N2972" s="45">
        <f>1+(INDEX(SeasonIdx,A2972)-1)*SeasonAmp</f>
        <v/>
      </c>
      <c r="O2972" s="45">
        <f>IFERROR(INDEX(PSPct,MATCH(E2972&amp;"|"&amp;G2972,PSKey,0)),0)</f>
        <v/>
      </c>
      <c r="P2972" s="46">
        <f>INDEX(ChDoorVel,MATCH(E2972,ChName,0))*CalibScalar*(1+VelocityUplift)</f>
        <v/>
      </c>
      <c r="Q2972" s="46" t="n">
        <v>0</v>
      </c>
      <c r="R2972" s="46">
        <f>P2972*O2972*M2972*N2972*H2972</f>
        <v/>
      </c>
      <c r="S2972" s="46">
        <f>R2972*INDEX(FmtCansPerCase,MATCH(F2972,FmtName,0))</f>
        <v/>
      </c>
      <c r="T2972" s="46">
        <f>S2972/INDEX(FmtCansPerPack,MATCH(F2972,FmtName,0))</f>
        <v/>
      </c>
      <c r="U2972" s="47">
        <f>INDEX(ChBaseCP,MATCH(E2972,ChName,0))*(1+INDEX(ProvMod,MATCH(G2972,ProvCode,0)))*(1+PriceIndex)</f>
        <v/>
      </c>
      <c r="V2972" s="47">
        <f>R2972*U2972*INDEX(FmtBlendedPriceIdx,MATCH(F2972,FmtName,0))</f>
        <v/>
      </c>
      <c r="W2972" s="47">
        <f>T2972*INDEX(ProvSRP,MATCH(G2972,ProvCode,0))*(1+PriceIndex)</f>
        <v/>
      </c>
      <c r="X2972" s="47">
        <f>IF(GrossBasis="Wholesale",V2972,W2972)</f>
        <v/>
      </c>
      <c r="Y2972" s="47">
        <f>R2972*INDEX(FmtBlendedCogs,MATCH(F2972,FmtName,0))</f>
        <v/>
      </c>
      <c r="Z2972" s="47">
        <f>X2972-Y2972</f>
        <v/>
      </c>
    </row>
    <row r="2973">
      <c r="A2973" t="n">
        <v>4</v>
      </c>
      <c r="B2973" s="44">
        <f>FiscalStart+(A2973-1)*7</f>
        <v/>
      </c>
      <c r="C2973">
        <f>TEXT(B2973,"mmm yyyy")</f>
        <v/>
      </c>
      <c r="D2973">
        <f>"Q"&amp;(INT((A2973-1)/13)+1)</f>
        <v/>
      </c>
      <c r="E2973" t="inlineStr">
        <is>
          <t>Specialty</t>
        </is>
      </c>
      <c r="F2973">
        <f>IFERROR(INDEX(ChFormat,MATCH(E2973,ChName,0)),"")</f>
        <v/>
      </c>
      <c r="G2973" t="inlineStr">
        <is>
          <t>NB</t>
        </is>
      </c>
      <c r="H2973">
        <f>IF(A2973&lt;=NWeeks,1,0)</f>
        <v/>
      </c>
      <c r="I2973">
        <f>INDEX(ChLaunch,MATCH(E2973,ChName,0))</f>
        <v/>
      </c>
      <c r="J2973">
        <f>INDEX(ChWeeksFull,MATCH(E2973,ChName,0))</f>
        <v/>
      </c>
      <c r="K2973">
        <f>INDEX(ChRamp,MATCH(E2973,ChName,0))</f>
        <v/>
      </c>
      <c r="L2973" s="45">
        <f>MIN(1,MAX(0,(A2973-I2973+1)*RampSpeed/J2973))</f>
        <v/>
      </c>
      <c r="M2973" s="45">
        <f>IF(A2973&lt;I2973,0,IF(K2973="S-curve",L2973*L2973*(3-2*L2973),L2973))</f>
        <v/>
      </c>
      <c r="N2973" s="45">
        <f>1+(INDEX(SeasonIdx,A2973)-1)*SeasonAmp</f>
        <v/>
      </c>
      <c r="O2973" s="45">
        <f>IFERROR(INDEX(PSPct,MATCH(E2973&amp;"|"&amp;G2973,PSKey,0)),0)</f>
        <v/>
      </c>
      <c r="P2973" s="46">
        <f>INDEX(ChDoorVel,MATCH(E2973,ChName,0))*CalibScalar*(1+VelocityUplift)</f>
        <v/>
      </c>
      <c r="Q2973" s="46" t="n">
        <v>0</v>
      </c>
      <c r="R2973" s="46">
        <f>P2973*O2973*M2973*N2973*H2973</f>
        <v/>
      </c>
      <c r="S2973" s="46">
        <f>R2973*INDEX(FmtCansPerCase,MATCH(F2973,FmtName,0))</f>
        <v/>
      </c>
      <c r="T2973" s="46">
        <f>S2973/INDEX(FmtCansPerPack,MATCH(F2973,FmtName,0))</f>
        <v/>
      </c>
      <c r="U2973" s="47">
        <f>INDEX(ChBaseCP,MATCH(E2973,ChName,0))*(1+INDEX(ProvMod,MATCH(G2973,ProvCode,0)))*(1+PriceIndex)</f>
        <v/>
      </c>
      <c r="V2973" s="47">
        <f>R2973*U2973*INDEX(FmtBlendedPriceIdx,MATCH(F2973,FmtName,0))</f>
        <v/>
      </c>
      <c r="W2973" s="47">
        <f>T2973*INDEX(ProvSRP,MATCH(G2973,ProvCode,0))*(1+PriceIndex)</f>
        <v/>
      </c>
      <c r="X2973" s="47">
        <f>IF(GrossBasis="Wholesale",V2973,W2973)</f>
        <v/>
      </c>
      <c r="Y2973" s="47">
        <f>R2973*INDEX(FmtBlendedCogs,MATCH(F2973,FmtName,0))</f>
        <v/>
      </c>
      <c r="Z2973" s="47">
        <f>X2973-Y2973</f>
        <v/>
      </c>
    </row>
    <row r="2974">
      <c r="A2974" t="n">
        <v>5</v>
      </c>
      <c r="B2974" s="44">
        <f>FiscalStart+(A2974-1)*7</f>
        <v/>
      </c>
      <c r="C2974">
        <f>TEXT(B2974,"mmm yyyy")</f>
        <v/>
      </c>
      <c r="D2974">
        <f>"Q"&amp;(INT((A2974-1)/13)+1)</f>
        <v/>
      </c>
      <c r="E2974" t="inlineStr">
        <is>
          <t>Specialty</t>
        </is>
      </c>
      <c r="F2974">
        <f>IFERROR(INDEX(ChFormat,MATCH(E2974,ChName,0)),"")</f>
        <v/>
      </c>
      <c r="G2974" t="inlineStr">
        <is>
          <t>NB</t>
        </is>
      </c>
      <c r="H2974">
        <f>IF(A2974&lt;=NWeeks,1,0)</f>
        <v/>
      </c>
      <c r="I2974">
        <f>INDEX(ChLaunch,MATCH(E2974,ChName,0))</f>
        <v/>
      </c>
      <c r="J2974">
        <f>INDEX(ChWeeksFull,MATCH(E2974,ChName,0))</f>
        <v/>
      </c>
      <c r="K2974">
        <f>INDEX(ChRamp,MATCH(E2974,ChName,0))</f>
        <v/>
      </c>
      <c r="L2974" s="45">
        <f>MIN(1,MAX(0,(A2974-I2974+1)*RampSpeed/J2974))</f>
        <v/>
      </c>
      <c r="M2974" s="45">
        <f>IF(A2974&lt;I2974,0,IF(K2974="S-curve",L2974*L2974*(3-2*L2974),L2974))</f>
        <v/>
      </c>
      <c r="N2974" s="45">
        <f>1+(INDEX(SeasonIdx,A2974)-1)*SeasonAmp</f>
        <v/>
      </c>
      <c r="O2974" s="45">
        <f>IFERROR(INDEX(PSPct,MATCH(E2974&amp;"|"&amp;G2974,PSKey,0)),0)</f>
        <v/>
      </c>
      <c r="P2974" s="46">
        <f>INDEX(ChDoorVel,MATCH(E2974,ChName,0))*CalibScalar*(1+VelocityUplift)</f>
        <v/>
      </c>
      <c r="Q2974" s="46" t="n">
        <v>0</v>
      </c>
      <c r="R2974" s="46">
        <f>P2974*O2974*M2974*N2974*H2974</f>
        <v/>
      </c>
      <c r="S2974" s="46">
        <f>R2974*INDEX(FmtCansPerCase,MATCH(F2974,FmtName,0))</f>
        <v/>
      </c>
      <c r="T2974" s="46">
        <f>S2974/INDEX(FmtCansPerPack,MATCH(F2974,FmtName,0))</f>
        <v/>
      </c>
      <c r="U2974" s="47">
        <f>INDEX(ChBaseCP,MATCH(E2974,ChName,0))*(1+INDEX(ProvMod,MATCH(G2974,ProvCode,0)))*(1+PriceIndex)</f>
        <v/>
      </c>
      <c r="V2974" s="47">
        <f>R2974*U2974*INDEX(FmtBlendedPriceIdx,MATCH(F2974,FmtName,0))</f>
        <v/>
      </c>
      <c r="W2974" s="47">
        <f>T2974*INDEX(ProvSRP,MATCH(G2974,ProvCode,0))*(1+PriceIndex)</f>
        <v/>
      </c>
      <c r="X2974" s="47">
        <f>IF(GrossBasis="Wholesale",V2974,W2974)</f>
        <v/>
      </c>
      <c r="Y2974" s="47">
        <f>R2974*INDEX(FmtBlendedCogs,MATCH(F2974,FmtName,0))</f>
        <v/>
      </c>
      <c r="Z2974" s="47">
        <f>X2974-Y2974</f>
        <v/>
      </c>
    </row>
    <row r="2975">
      <c r="A2975" t="n">
        <v>6</v>
      </c>
      <c r="B2975" s="44">
        <f>FiscalStart+(A2975-1)*7</f>
        <v/>
      </c>
      <c r="C2975">
        <f>TEXT(B2975,"mmm yyyy")</f>
        <v/>
      </c>
      <c r="D2975">
        <f>"Q"&amp;(INT((A2975-1)/13)+1)</f>
        <v/>
      </c>
      <c r="E2975" t="inlineStr">
        <is>
          <t>Specialty</t>
        </is>
      </c>
      <c r="F2975">
        <f>IFERROR(INDEX(ChFormat,MATCH(E2975,ChName,0)),"")</f>
        <v/>
      </c>
      <c r="G2975" t="inlineStr">
        <is>
          <t>NB</t>
        </is>
      </c>
      <c r="H2975">
        <f>IF(A2975&lt;=NWeeks,1,0)</f>
        <v/>
      </c>
      <c r="I2975">
        <f>INDEX(ChLaunch,MATCH(E2975,ChName,0))</f>
        <v/>
      </c>
      <c r="J2975">
        <f>INDEX(ChWeeksFull,MATCH(E2975,ChName,0))</f>
        <v/>
      </c>
      <c r="K2975">
        <f>INDEX(ChRamp,MATCH(E2975,ChName,0))</f>
        <v/>
      </c>
      <c r="L2975" s="45">
        <f>MIN(1,MAX(0,(A2975-I2975+1)*RampSpeed/J2975))</f>
        <v/>
      </c>
      <c r="M2975" s="45">
        <f>IF(A2975&lt;I2975,0,IF(K2975="S-curve",L2975*L2975*(3-2*L2975),L2975))</f>
        <v/>
      </c>
      <c r="N2975" s="45">
        <f>1+(INDEX(SeasonIdx,A2975)-1)*SeasonAmp</f>
        <v/>
      </c>
      <c r="O2975" s="45">
        <f>IFERROR(INDEX(PSPct,MATCH(E2975&amp;"|"&amp;G2975,PSKey,0)),0)</f>
        <v/>
      </c>
      <c r="P2975" s="46">
        <f>INDEX(ChDoorVel,MATCH(E2975,ChName,0))*CalibScalar*(1+VelocityUplift)</f>
        <v/>
      </c>
      <c r="Q2975" s="46" t="n">
        <v>0</v>
      </c>
      <c r="R2975" s="46">
        <f>P2975*O2975*M2975*N2975*H2975</f>
        <v/>
      </c>
      <c r="S2975" s="46">
        <f>R2975*INDEX(FmtCansPerCase,MATCH(F2975,FmtName,0))</f>
        <v/>
      </c>
      <c r="T2975" s="46">
        <f>S2975/INDEX(FmtCansPerPack,MATCH(F2975,FmtName,0))</f>
        <v/>
      </c>
      <c r="U2975" s="47">
        <f>INDEX(ChBaseCP,MATCH(E2975,ChName,0))*(1+INDEX(ProvMod,MATCH(G2975,ProvCode,0)))*(1+PriceIndex)</f>
        <v/>
      </c>
      <c r="V2975" s="47">
        <f>R2975*U2975*INDEX(FmtBlendedPriceIdx,MATCH(F2975,FmtName,0))</f>
        <v/>
      </c>
      <c r="W2975" s="47">
        <f>T2975*INDEX(ProvSRP,MATCH(G2975,ProvCode,0))*(1+PriceIndex)</f>
        <v/>
      </c>
      <c r="X2975" s="47">
        <f>IF(GrossBasis="Wholesale",V2975,W2975)</f>
        <v/>
      </c>
      <c r="Y2975" s="47">
        <f>R2975*INDEX(FmtBlendedCogs,MATCH(F2975,FmtName,0))</f>
        <v/>
      </c>
      <c r="Z2975" s="47">
        <f>X2975-Y2975</f>
        <v/>
      </c>
    </row>
    <row r="2976">
      <c r="A2976" t="n">
        <v>7</v>
      </c>
      <c r="B2976" s="44">
        <f>FiscalStart+(A2976-1)*7</f>
        <v/>
      </c>
      <c r="C2976">
        <f>TEXT(B2976,"mmm yyyy")</f>
        <v/>
      </c>
      <c r="D2976">
        <f>"Q"&amp;(INT((A2976-1)/13)+1)</f>
        <v/>
      </c>
      <c r="E2976" t="inlineStr">
        <is>
          <t>Specialty</t>
        </is>
      </c>
      <c r="F2976">
        <f>IFERROR(INDEX(ChFormat,MATCH(E2976,ChName,0)),"")</f>
        <v/>
      </c>
      <c r="G2976" t="inlineStr">
        <is>
          <t>NB</t>
        </is>
      </c>
      <c r="H2976">
        <f>IF(A2976&lt;=NWeeks,1,0)</f>
        <v/>
      </c>
      <c r="I2976">
        <f>INDEX(ChLaunch,MATCH(E2976,ChName,0))</f>
        <v/>
      </c>
      <c r="J2976">
        <f>INDEX(ChWeeksFull,MATCH(E2976,ChName,0))</f>
        <v/>
      </c>
      <c r="K2976">
        <f>INDEX(ChRamp,MATCH(E2976,ChName,0))</f>
        <v/>
      </c>
      <c r="L2976" s="45">
        <f>MIN(1,MAX(0,(A2976-I2976+1)*RampSpeed/J2976))</f>
        <v/>
      </c>
      <c r="M2976" s="45">
        <f>IF(A2976&lt;I2976,0,IF(K2976="S-curve",L2976*L2976*(3-2*L2976),L2976))</f>
        <v/>
      </c>
      <c r="N2976" s="45">
        <f>1+(INDEX(SeasonIdx,A2976)-1)*SeasonAmp</f>
        <v/>
      </c>
      <c r="O2976" s="45">
        <f>IFERROR(INDEX(PSPct,MATCH(E2976&amp;"|"&amp;G2976,PSKey,0)),0)</f>
        <v/>
      </c>
      <c r="P2976" s="46">
        <f>INDEX(ChDoorVel,MATCH(E2976,ChName,0))*CalibScalar*(1+VelocityUplift)</f>
        <v/>
      </c>
      <c r="Q2976" s="46" t="n">
        <v>0</v>
      </c>
      <c r="R2976" s="46">
        <f>P2976*O2976*M2976*N2976*H2976</f>
        <v/>
      </c>
      <c r="S2976" s="46">
        <f>R2976*INDEX(FmtCansPerCase,MATCH(F2976,FmtName,0))</f>
        <v/>
      </c>
      <c r="T2976" s="46">
        <f>S2976/INDEX(FmtCansPerPack,MATCH(F2976,FmtName,0))</f>
        <v/>
      </c>
      <c r="U2976" s="47">
        <f>INDEX(ChBaseCP,MATCH(E2976,ChName,0))*(1+INDEX(ProvMod,MATCH(G2976,ProvCode,0)))*(1+PriceIndex)</f>
        <v/>
      </c>
      <c r="V2976" s="47">
        <f>R2976*U2976*INDEX(FmtBlendedPriceIdx,MATCH(F2976,FmtName,0))</f>
        <v/>
      </c>
      <c r="W2976" s="47">
        <f>T2976*INDEX(ProvSRP,MATCH(G2976,ProvCode,0))*(1+PriceIndex)</f>
        <v/>
      </c>
      <c r="X2976" s="47">
        <f>IF(GrossBasis="Wholesale",V2976,W2976)</f>
        <v/>
      </c>
      <c r="Y2976" s="47">
        <f>R2976*INDEX(FmtBlendedCogs,MATCH(F2976,FmtName,0))</f>
        <v/>
      </c>
      <c r="Z2976" s="47">
        <f>X2976-Y2976</f>
        <v/>
      </c>
    </row>
    <row r="2977">
      <c r="A2977" t="n">
        <v>8</v>
      </c>
      <c r="B2977" s="44">
        <f>FiscalStart+(A2977-1)*7</f>
        <v/>
      </c>
      <c r="C2977">
        <f>TEXT(B2977,"mmm yyyy")</f>
        <v/>
      </c>
      <c r="D2977">
        <f>"Q"&amp;(INT((A2977-1)/13)+1)</f>
        <v/>
      </c>
      <c r="E2977" t="inlineStr">
        <is>
          <t>Specialty</t>
        </is>
      </c>
      <c r="F2977">
        <f>IFERROR(INDEX(ChFormat,MATCH(E2977,ChName,0)),"")</f>
        <v/>
      </c>
      <c r="G2977" t="inlineStr">
        <is>
          <t>NB</t>
        </is>
      </c>
      <c r="H2977">
        <f>IF(A2977&lt;=NWeeks,1,0)</f>
        <v/>
      </c>
      <c r="I2977">
        <f>INDEX(ChLaunch,MATCH(E2977,ChName,0))</f>
        <v/>
      </c>
      <c r="J2977">
        <f>INDEX(ChWeeksFull,MATCH(E2977,ChName,0))</f>
        <v/>
      </c>
      <c r="K2977">
        <f>INDEX(ChRamp,MATCH(E2977,ChName,0))</f>
        <v/>
      </c>
      <c r="L2977" s="45">
        <f>MIN(1,MAX(0,(A2977-I2977+1)*RampSpeed/J2977))</f>
        <v/>
      </c>
      <c r="M2977" s="45">
        <f>IF(A2977&lt;I2977,0,IF(K2977="S-curve",L2977*L2977*(3-2*L2977),L2977))</f>
        <v/>
      </c>
      <c r="N2977" s="45">
        <f>1+(INDEX(SeasonIdx,A2977)-1)*SeasonAmp</f>
        <v/>
      </c>
      <c r="O2977" s="45">
        <f>IFERROR(INDEX(PSPct,MATCH(E2977&amp;"|"&amp;G2977,PSKey,0)),0)</f>
        <v/>
      </c>
      <c r="P2977" s="46">
        <f>INDEX(ChDoorVel,MATCH(E2977,ChName,0))*CalibScalar*(1+VelocityUplift)</f>
        <v/>
      </c>
      <c r="Q2977" s="46" t="n">
        <v>0</v>
      </c>
      <c r="R2977" s="46">
        <f>P2977*O2977*M2977*N2977*H2977</f>
        <v/>
      </c>
      <c r="S2977" s="46">
        <f>R2977*INDEX(FmtCansPerCase,MATCH(F2977,FmtName,0))</f>
        <v/>
      </c>
      <c r="T2977" s="46">
        <f>S2977/INDEX(FmtCansPerPack,MATCH(F2977,FmtName,0))</f>
        <v/>
      </c>
      <c r="U2977" s="47">
        <f>INDEX(ChBaseCP,MATCH(E2977,ChName,0))*(1+INDEX(ProvMod,MATCH(G2977,ProvCode,0)))*(1+PriceIndex)</f>
        <v/>
      </c>
      <c r="V2977" s="47">
        <f>R2977*U2977*INDEX(FmtBlendedPriceIdx,MATCH(F2977,FmtName,0))</f>
        <v/>
      </c>
      <c r="W2977" s="47">
        <f>T2977*INDEX(ProvSRP,MATCH(G2977,ProvCode,0))*(1+PriceIndex)</f>
        <v/>
      </c>
      <c r="X2977" s="47">
        <f>IF(GrossBasis="Wholesale",V2977,W2977)</f>
        <v/>
      </c>
      <c r="Y2977" s="47">
        <f>R2977*INDEX(FmtBlendedCogs,MATCH(F2977,FmtName,0))</f>
        <v/>
      </c>
      <c r="Z2977" s="47">
        <f>X2977-Y2977</f>
        <v/>
      </c>
    </row>
    <row r="2978">
      <c r="A2978" t="n">
        <v>9</v>
      </c>
      <c r="B2978" s="44">
        <f>FiscalStart+(A2978-1)*7</f>
        <v/>
      </c>
      <c r="C2978">
        <f>TEXT(B2978,"mmm yyyy")</f>
        <v/>
      </c>
      <c r="D2978">
        <f>"Q"&amp;(INT((A2978-1)/13)+1)</f>
        <v/>
      </c>
      <c r="E2978" t="inlineStr">
        <is>
          <t>Specialty</t>
        </is>
      </c>
      <c r="F2978">
        <f>IFERROR(INDEX(ChFormat,MATCH(E2978,ChName,0)),"")</f>
        <v/>
      </c>
      <c r="G2978" t="inlineStr">
        <is>
          <t>NB</t>
        </is>
      </c>
      <c r="H2978">
        <f>IF(A2978&lt;=NWeeks,1,0)</f>
        <v/>
      </c>
      <c r="I2978">
        <f>INDEX(ChLaunch,MATCH(E2978,ChName,0))</f>
        <v/>
      </c>
      <c r="J2978">
        <f>INDEX(ChWeeksFull,MATCH(E2978,ChName,0))</f>
        <v/>
      </c>
      <c r="K2978">
        <f>INDEX(ChRamp,MATCH(E2978,ChName,0))</f>
        <v/>
      </c>
      <c r="L2978" s="45">
        <f>MIN(1,MAX(0,(A2978-I2978+1)*RampSpeed/J2978))</f>
        <v/>
      </c>
      <c r="M2978" s="45">
        <f>IF(A2978&lt;I2978,0,IF(K2978="S-curve",L2978*L2978*(3-2*L2978),L2978))</f>
        <v/>
      </c>
      <c r="N2978" s="45">
        <f>1+(INDEX(SeasonIdx,A2978)-1)*SeasonAmp</f>
        <v/>
      </c>
      <c r="O2978" s="45">
        <f>IFERROR(INDEX(PSPct,MATCH(E2978&amp;"|"&amp;G2978,PSKey,0)),0)</f>
        <v/>
      </c>
      <c r="P2978" s="46">
        <f>INDEX(ChDoorVel,MATCH(E2978,ChName,0))*CalibScalar*(1+VelocityUplift)</f>
        <v/>
      </c>
      <c r="Q2978" s="46" t="n">
        <v>0</v>
      </c>
      <c r="R2978" s="46">
        <f>P2978*O2978*M2978*N2978*H2978</f>
        <v/>
      </c>
      <c r="S2978" s="46">
        <f>R2978*INDEX(FmtCansPerCase,MATCH(F2978,FmtName,0))</f>
        <v/>
      </c>
      <c r="T2978" s="46">
        <f>S2978/INDEX(FmtCansPerPack,MATCH(F2978,FmtName,0))</f>
        <v/>
      </c>
      <c r="U2978" s="47">
        <f>INDEX(ChBaseCP,MATCH(E2978,ChName,0))*(1+INDEX(ProvMod,MATCH(G2978,ProvCode,0)))*(1+PriceIndex)</f>
        <v/>
      </c>
      <c r="V2978" s="47">
        <f>R2978*U2978*INDEX(FmtBlendedPriceIdx,MATCH(F2978,FmtName,0))</f>
        <v/>
      </c>
      <c r="W2978" s="47">
        <f>T2978*INDEX(ProvSRP,MATCH(G2978,ProvCode,0))*(1+PriceIndex)</f>
        <v/>
      </c>
      <c r="X2978" s="47">
        <f>IF(GrossBasis="Wholesale",V2978,W2978)</f>
        <v/>
      </c>
      <c r="Y2978" s="47">
        <f>R2978*INDEX(FmtBlendedCogs,MATCH(F2978,FmtName,0))</f>
        <v/>
      </c>
      <c r="Z2978" s="47">
        <f>X2978-Y2978</f>
        <v/>
      </c>
    </row>
    <row r="2979">
      <c r="A2979" t="n">
        <v>10</v>
      </c>
      <c r="B2979" s="44">
        <f>FiscalStart+(A2979-1)*7</f>
        <v/>
      </c>
      <c r="C2979">
        <f>TEXT(B2979,"mmm yyyy")</f>
        <v/>
      </c>
      <c r="D2979">
        <f>"Q"&amp;(INT((A2979-1)/13)+1)</f>
        <v/>
      </c>
      <c r="E2979" t="inlineStr">
        <is>
          <t>Specialty</t>
        </is>
      </c>
      <c r="F2979">
        <f>IFERROR(INDEX(ChFormat,MATCH(E2979,ChName,0)),"")</f>
        <v/>
      </c>
      <c r="G2979" t="inlineStr">
        <is>
          <t>NB</t>
        </is>
      </c>
      <c r="H2979">
        <f>IF(A2979&lt;=NWeeks,1,0)</f>
        <v/>
      </c>
      <c r="I2979">
        <f>INDEX(ChLaunch,MATCH(E2979,ChName,0))</f>
        <v/>
      </c>
      <c r="J2979">
        <f>INDEX(ChWeeksFull,MATCH(E2979,ChName,0))</f>
        <v/>
      </c>
      <c r="K2979">
        <f>INDEX(ChRamp,MATCH(E2979,ChName,0))</f>
        <v/>
      </c>
      <c r="L2979" s="45">
        <f>MIN(1,MAX(0,(A2979-I2979+1)*RampSpeed/J2979))</f>
        <v/>
      </c>
      <c r="M2979" s="45">
        <f>IF(A2979&lt;I2979,0,IF(K2979="S-curve",L2979*L2979*(3-2*L2979),L2979))</f>
        <v/>
      </c>
      <c r="N2979" s="45">
        <f>1+(INDEX(SeasonIdx,A2979)-1)*SeasonAmp</f>
        <v/>
      </c>
      <c r="O2979" s="45">
        <f>IFERROR(INDEX(PSPct,MATCH(E2979&amp;"|"&amp;G2979,PSKey,0)),0)</f>
        <v/>
      </c>
      <c r="P2979" s="46">
        <f>INDEX(ChDoorVel,MATCH(E2979,ChName,0))*CalibScalar*(1+VelocityUplift)</f>
        <v/>
      </c>
      <c r="Q2979" s="46" t="n">
        <v>0</v>
      </c>
      <c r="R2979" s="46">
        <f>P2979*O2979*M2979*N2979*H2979</f>
        <v/>
      </c>
      <c r="S2979" s="46">
        <f>R2979*INDEX(FmtCansPerCase,MATCH(F2979,FmtName,0))</f>
        <v/>
      </c>
      <c r="T2979" s="46">
        <f>S2979/INDEX(FmtCansPerPack,MATCH(F2979,FmtName,0))</f>
        <v/>
      </c>
      <c r="U2979" s="47">
        <f>INDEX(ChBaseCP,MATCH(E2979,ChName,0))*(1+INDEX(ProvMod,MATCH(G2979,ProvCode,0)))*(1+PriceIndex)</f>
        <v/>
      </c>
      <c r="V2979" s="47">
        <f>R2979*U2979*INDEX(FmtBlendedPriceIdx,MATCH(F2979,FmtName,0))</f>
        <v/>
      </c>
      <c r="W2979" s="47">
        <f>T2979*INDEX(ProvSRP,MATCH(G2979,ProvCode,0))*(1+PriceIndex)</f>
        <v/>
      </c>
      <c r="X2979" s="47">
        <f>IF(GrossBasis="Wholesale",V2979,W2979)</f>
        <v/>
      </c>
      <c r="Y2979" s="47">
        <f>R2979*INDEX(FmtBlendedCogs,MATCH(F2979,FmtName,0))</f>
        <v/>
      </c>
      <c r="Z2979" s="47">
        <f>X2979-Y2979</f>
        <v/>
      </c>
    </row>
    <row r="2980">
      <c r="A2980" t="n">
        <v>11</v>
      </c>
      <c r="B2980" s="44">
        <f>FiscalStart+(A2980-1)*7</f>
        <v/>
      </c>
      <c r="C2980">
        <f>TEXT(B2980,"mmm yyyy")</f>
        <v/>
      </c>
      <c r="D2980">
        <f>"Q"&amp;(INT((A2980-1)/13)+1)</f>
        <v/>
      </c>
      <c r="E2980" t="inlineStr">
        <is>
          <t>Specialty</t>
        </is>
      </c>
      <c r="F2980">
        <f>IFERROR(INDEX(ChFormat,MATCH(E2980,ChName,0)),"")</f>
        <v/>
      </c>
      <c r="G2980" t="inlineStr">
        <is>
          <t>NB</t>
        </is>
      </c>
      <c r="H2980">
        <f>IF(A2980&lt;=NWeeks,1,0)</f>
        <v/>
      </c>
      <c r="I2980">
        <f>INDEX(ChLaunch,MATCH(E2980,ChName,0))</f>
        <v/>
      </c>
      <c r="J2980">
        <f>INDEX(ChWeeksFull,MATCH(E2980,ChName,0))</f>
        <v/>
      </c>
      <c r="K2980">
        <f>INDEX(ChRamp,MATCH(E2980,ChName,0))</f>
        <v/>
      </c>
      <c r="L2980" s="45">
        <f>MIN(1,MAX(0,(A2980-I2980+1)*RampSpeed/J2980))</f>
        <v/>
      </c>
      <c r="M2980" s="45">
        <f>IF(A2980&lt;I2980,0,IF(K2980="S-curve",L2980*L2980*(3-2*L2980),L2980))</f>
        <v/>
      </c>
      <c r="N2980" s="45">
        <f>1+(INDEX(SeasonIdx,A2980)-1)*SeasonAmp</f>
        <v/>
      </c>
      <c r="O2980" s="45">
        <f>IFERROR(INDEX(PSPct,MATCH(E2980&amp;"|"&amp;G2980,PSKey,0)),0)</f>
        <v/>
      </c>
      <c r="P2980" s="46">
        <f>INDEX(ChDoorVel,MATCH(E2980,ChName,0))*CalibScalar*(1+VelocityUplift)</f>
        <v/>
      </c>
      <c r="Q2980" s="46" t="n">
        <v>0</v>
      </c>
      <c r="R2980" s="46">
        <f>P2980*O2980*M2980*N2980*H2980</f>
        <v/>
      </c>
      <c r="S2980" s="46">
        <f>R2980*INDEX(FmtCansPerCase,MATCH(F2980,FmtName,0))</f>
        <v/>
      </c>
      <c r="T2980" s="46">
        <f>S2980/INDEX(FmtCansPerPack,MATCH(F2980,FmtName,0))</f>
        <v/>
      </c>
      <c r="U2980" s="47">
        <f>INDEX(ChBaseCP,MATCH(E2980,ChName,0))*(1+INDEX(ProvMod,MATCH(G2980,ProvCode,0)))*(1+PriceIndex)</f>
        <v/>
      </c>
      <c r="V2980" s="47">
        <f>R2980*U2980*INDEX(FmtBlendedPriceIdx,MATCH(F2980,FmtName,0))</f>
        <v/>
      </c>
      <c r="W2980" s="47">
        <f>T2980*INDEX(ProvSRP,MATCH(G2980,ProvCode,0))*(1+PriceIndex)</f>
        <v/>
      </c>
      <c r="X2980" s="47">
        <f>IF(GrossBasis="Wholesale",V2980,W2980)</f>
        <v/>
      </c>
      <c r="Y2980" s="47">
        <f>R2980*INDEX(FmtBlendedCogs,MATCH(F2980,FmtName,0))</f>
        <v/>
      </c>
      <c r="Z2980" s="47">
        <f>X2980-Y2980</f>
        <v/>
      </c>
    </row>
    <row r="2981">
      <c r="A2981" t="n">
        <v>12</v>
      </c>
      <c r="B2981" s="44">
        <f>FiscalStart+(A2981-1)*7</f>
        <v/>
      </c>
      <c r="C2981">
        <f>TEXT(B2981,"mmm yyyy")</f>
        <v/>
      </c>
      <c r="D2981">
        <f>"Q"&amp;(INT((A2981-1)/13)+1)</f>
        <v/>
      </c>
      <c r="E2981" t="inlineStr">
        <is>
          <t>Specialty</t>
        </is>
      </c>
      <c r="F2981">
        <f>IFERROR(INDEX(ChFormat,MATCH(E2981,ChName,0)),"")</f>
        <v/>
      </c>
      <c r="G2981" t="inlineStr">
        <is>
          <t>NB</t>
        </is>
      </c>
      <c r="H2981">
        <f>IF(A2981&lt;=NWeeks,1,0)</f>
        <v/>
      </c>
      <c r="I2981">
        <f>INDEX(ChLaunch,MATCH(E2981,ChName,0))</f>
        <v/>
      </c>
      <c r="J2981">
        <f>INDEX(ChWeeksFull,MATCH(E2981,ChName,0))</f>
        <v/>
      </c>
      <c r="K2981">
        <f>INDEX(ChRamp,MATCH(E2981,ChName,0))</f>
        <v/>
      </c>
      <c r="L2981" s="45">
        <f>MIN(1,MAX(0,(A2981-I2981+1)*RampSpeed/J2981))</f>
        <v/>
      </c>
      <c r="M2981" s="45">
        <f>IF(A2981&lt;I2981,0,IF(K2981="S-curve",L2981*L2981*(3-2*L2981),L2981))</f>
        <v/>
      </c>
      <c r="N2981" s="45">
        <f>1+(INDEX(SeasonIdx,A2981)-1)*SeasonAmp</f>
        <v/>
      </c>
      <c r="O2981" s="45">
        <f>IFERROR(INDEX(PSPct,MATCH(E2981&amp;"|"&amp;G2981,PSKey,0)),0)</f>
        <v/>
      </c>
      <c r="P2981" s="46">
        <f>INDEX(ChDoorVel,MATCH(E2981,ChName,0))*CalibScalar*(1+VelocityUplift)</f>
        <v/>
      </c>
      <c r="Q2981" s="46" t="n">
        <v>0</v>
      </c>
      <c r="R2981" s="46">
        <f>P2981*O2981*M2981*N2981*H2981</f>
        <v/>
      </c>
      <c r="S2981" s="46">
        <f>R2981*INDEX(FmtCansPerCase,MATCH(F2981,FmtName,0))</f>
        <v/>
      </c>
      <c r="T2981" s="46">
        <f>S2981/INDEX(FmtCansPerPack,MATCH(F2981,FmtName,0))</f>
        <v/>
      </c>
      <c r="U2981" s="47">
        <f>INDEX(ChBaseCP,MATCH(E2981,ChName,0))*(1+INDEX(ProvMod,MATCH(G2981,ProvCode,0)))*(1+PriceIndex)</f>
        <v/>
      </c>
      <c r="V2981" s="47">
        <f>R2981*U2981*INDEX(FmtBlendedPriceIdx,MATCH(F2981,FmtName,0))</f>
        <v/>
      </c>
      <c r="W2981" s="47">
        <f>T2981*INDEX(ProvSRP,MATCH(G2981,ProvCode,0))*(1+PriceIndex)</f>
        <v/>
      </c>
      <c r="X2981" s="47">
        <f>IF(GrossBasis="Wholesale",V2981,W2981)</f>
        <v/>
      </c>
      <c r="Y2981" s="47">
        <f>R2981*INDEX(FmtBlendedCogs,MATCH(F2981,FmtName,0))</f>
        <v/>
      </c>
      <c r="Z2981" s="47">
        <f>X2981-Y2981</f>
        <v/>
      </c>
    </row>
    <row r="2982">
      <c r="A2982" t="n">
        <v>13</v>
      </c>
      <c r="B2982" s="44">
        <f>FiscalStart+(A2982-1)*7</f>
        <v/>
      </c>
      <c r="C2982">
        <f>TEXT(B2982,"mmm yyyy")</f>
        <v/>
      </c>
      <c r="D2982">
        <f>"Q"&amp;(INT((A2982-1)/13)+1)</f>
        <v/>
      </c>
      <c r="E2982" t="inlineStr">
        <is>
          <t>Specialty</t>
        </is>
      </c>
      <c r="F2982">
        <f>IFERROR(INDEX(ChFormat,MATCH(E2982,ChName,0)),"")</f>
        <v/>
      </c>
      <c r="G2982" t="inlineStr">
        <is>
          <t>NB</t>
        </is>
      </c>
      <c r="H2982">
        <f>IF(A2982&lt;=NWeeks,1,0)</f>
        <v/>
      </c>
      <c r="I2982">
        <f>INDEX(ChLaunch,MATCH(E2982,ChName,0))</f>
        <v/>
      </c>
      <c r="J2982">
        <f>INDEX(ChWeeksFull,MATCH(E2982,ChName,0))</f>
        <v/>
      </c>
      <c r="K2982">
        <f>INDEX(ChRamp,MATCH(E2982,ChName,0))</f>
        <v/>
      </c>
      <c r="L2982" s="45">
        <f>MIN(1,MAX(0,(A2982-I2982+1)*RampSpeed/J2982))</f>
        <v/>
      </c>
      <c r="M2982" s="45">
        <f>IF(A2982&lt;I2982,0,IF(K2982="S-curve",L2982*L2982*(3-2*L2982),L2982))</f>
        <v/>
      </c>
      <c r="N2982" s="45">
        <f>1+(INDEX(SeasonIdx,A2982)-1)*SeasonAmp</f>
        <v/>
      </c>
      <c r="O2982" s="45">
        <f>IFERROR(INDEX(PSPct,MATCH(E2982&amp;"|"&amp;G2982,PSKey,0)),0)</f>
        <v/>
      </c>
      <c r="P2982" s="46">
        <f>INDEX(ChDoorVel,MATCH(E2982,ChName,0))*CalibScalar*(1+VelocityUplift)</f>
        <v/>
      </c>
      <c r="Q2982" s="46" t="n">
        <v>0</v>
      </c>
      <c r="R2982" s="46">
        <f>P2982*O2982*M2982*N2982*H2982</f>
        <v/>
      </c>
      <c r="S2982" s="46">
        <f>R2982*INDEX(FmtCansPerCase,MATCH(F2982,FmtName,0))</f>
        <v/>
      </c>
      <c r="T2982" s="46">
        <f>S2982/INDEX(FmtCansPerPack,MATCH(F2982,FmtName,0))</f>
        <v/>
      </c>
      <c r="U2982" s="47">
        <f>INDEX(ChBaseCP,MATCH(E2982,ChName,0))*(1+INDEX(ProvMod,MATCH(G2982,ProvCode,0)))*(1+PriceIndex)</f>
        <v/>
      </c>
      <c r="V2982" s="47">
        <f>R2982*U2982*INDEX(FmtBlendedPriceIdx,MATCH(F2982,FmtName,0))</f>
        <v/>
      </c>
      <c r="W2982" s="47">
        <f>T2982*INDEX(ProvSRP,MATCH(G2982,ProvCode,0))*(1+PriceIndex)</f>
        <v/>
      </c>
      <c r="X2982" s="47">
        <f>IF(GrossBasis="Wholesale",V2982,W2982)</f>
        <v/>
      </c>
      <c r="Y2982" s="47">
        <f>R2982*INDEX(FmtBlendedCogs,MATCH(F2982,FmtName,0))</f>
        <v/>
      </c>
      <c r="Z2982" s="47">
        <f>X2982-Y2982</f>
        <v/>
      </c>
    </row>
    <row r="2983">
      <c r="A2983" t="n">
        <v>14</v>
      </c>
      <c r="B2983" s="44">
        <f>FiscalStart+(A2983-1)*7</f>
        <v/>
      </c>
      <c r="C2983">
        <f>TEXT(B2983,"mmm yyyy")</f>
        <v/>
      </c>
      <c r="D2983">
        <f>"Q"&amp;(INT((A2983-1)/13)+1)</f>
        <v/>
      </c>
      <c r="E2983" t="inlineStr">
        <is>
          <t>Specialty</t>
        </is>
      </c>
      <c r="F2983">
        <f>IFERROR(INDEX(ChFormat,MATCH(E2983,ChName,0)),"")</f>
        <v/>
      </c>
      <c r="G2983" t="inlineStr">
        <is>
          <t>NB</t>
        </is>
      </c>
      <c r="H2983">
        <f>IF(A2983&lt;=NWeeks,1,0)</f>
        <v/>
      </c>
      <c r="I2983">
        <f>INDEX(ChLaunch,MATCH(E2983,ChName,0))</f>
        <v/>
      </c>
      <c r="J2983">
        <f>INDEX(ChWeeksFull,MATCH(E2983,ChName,0))</f>
        <v/>
      </c>
      <c r="K2983">
        <f>INDEX(ChRamp,MATCH(E2983,ChName,0))</f>
        <v/>
      </c>
      <c r="L2983" s="45">
        <f>MIN(1,MAX(0,(A2983-I2983+1)*RampSpeed/J2983))</f>
        <v/>
      </c>
      <c r="M2983" s="45">
        <f>IF(A2983&lt;I2983,0,IF(K2983="S-curve",L2983*L2983*(3-2*L2983),L2983))</f>
        <v/>
      </c>
      <c r="N2983" s="45">
        <f>1+(INDEX(SeasonIdx,A2983)-1)*SeasonAmp</f>
        <v/>
      </c>
      <c r="O2983" s="45">
        <f>IFERROR(INDEX(PSPct,MATCH(E2983&amp;"|"&amp;G2983,PSKey,0)),0)</f>
        <v/>
      </c>
      <c r="P2983" s="46">
        <f>INDEX(ChDoorVel,MATCH(E2983,ChName,0))*CalibScalar*(1+VelocityUplift)</f>
        <v/>
      </c>
      <c r="Q2983" s="46" t="n">
        <v>0</v>
      </c>
      <c r="R2983" s="46">
        <f>P2983*O2983*M2983*N2983*H2983</f>
        <v/>
      </c>
      <c r="S2983" s="46">
        <f>R2983*INDEX(FmtCansPerCase,MATCH(F2983,FmtName,0))</f>
        <v/>
      </c>
      <c r="T2983" s="46">
        <f>S2983/INDEX(FmtCansPerPack,MATCH(F2983,FmtName,0))</f>
        <v/>
      </c>
      <c r="U2983" s="47">
        <f>INDEX(ChBaseCP,MATCH(E2983,ChName,0))*(1+INDEX(ProvMod,MATCH(G2983,ProvCode,0)))*(1+PriceIndex)</f>
        <v/>
      </c>
      <c r="V2983" s="47">
        <f>R2983*U2983*INDEX(FmtBlendedPriceIdx,MATCH(F2983,FmtName,0))</f>
        <v/>
      </c>
      <c r="W2983" s="47">
        <f>T2983*INDEX(ProvSRP,MATCH(G2983,ProvCode,0))*(1+PriceIndex)</f>
        <v/>
      </c>
      <c r="X2983" s="47">
        <f>IF(GrossBasis="Wholesale",V2983,W2983)</f>
        <v/>
      </c>
      <c r="Y2983" s="47">
        <f>R2983*INDEX(FmtBlendedCogs,MATCH(F2983,FmtName,0))</f>
        <v/>
      </c>
      <c r="Z2983" s="47">
        <f>X2983-Y2983</f>
        <v/>
      </c>
    </row>
    <row r="2984">
      <c r="A2984" t="n">
        <v>15</v>
      </c>
      <c r="B2984" s="44">
        <f>FiscalStart+(A2984-1)*7</f>
        <v/>
      </c>
      <c r="C2984">
        <f>TEXT(B2984,"mmm yyyy")</f>
        <v/>
      </c>
      <c r="D2984">
        <f>"Q"&amp;(INT((A2984-1)/13)+1)</f>
        <v/>
      </c>
      <c r="E2984" t="inlineStr">
        <is>
          <t>Specialty</t>
        </is>
      </c>
      <c r="F2984">
        <f>IFERROR(INDEX(ChFormat,MATCH(E2984,ChName,0)),"")</f>
        <v/>
      </c>
      <c r="G2984" t="inlineStr">
        <is>
          <t>NB</t>
        </is>
      </c>
      <c r="H2984">
        <f>IF(A2984&lt;=NWeeks,1,0)</f>
        <v/>
      </c>
      <c r="I2984">
        <f>INDEX(ChLaunch,MATCH(E2984,ChName,0))</f>
        <v/>
      </c>
      <c r="J2984">
        <f>INDEX(ChWeeksFull,MATCH(E2984,ChName,0))</f>
        <v/>
      </c>
      <c r="K2984">
        <f>INDEX(ChRamp,MATCH(E2984,ChName,0))</f>
        <v/>
      </c>
      <c r="L2984" s="45">
        <f>MIN(1,MAX(0,(A2984-I2984+1)*RampSpeed/J2984))</f>
        <v/>
      </c>
      <c r="M2984" s="45">
        <f>IF(A2984&lt;I2984,0,IF(K2984="S-curve",L2984*L2984*(3-2*L2984),L2984))</f>
        <v/>
      </c>
      <c r="N2984" s="45">
        <f>1+(INDEX(SeasonIdx,A2984)-1)*SeasonAmp</f>
        <v/>
      </c>
      <c r="O2984" s="45">
        <f>IFERROR(INDEX(PSPct,MATCH(E2984&amp;"|"&amp;G2984,PSKey,0)),0)</f>
        <v/>
      </c>
      <c r="P2984" s="46">
        <f>INDEX(ChDoorVel,MATCH(E2984,ChName,0))*CalibScalar*(1+VelocityUplift)</f>
        <v/>
      </c>
      <c r="Q2984" s="46" t="n">
        <v>0</v>
      </c>
      <c r="R2984" s="46">
        <f>P2984*O2984*M2984*N2984*H2984</f>
        <v/>
      </c>
      <c r="S2984" s="46">
        <f>R2984*INDEX(FmtCansPerCase,MATCH(F2984,FmtName,0))</f>
        <v/>
      </c>
      <c r="T2984" s="46">
        <f>S2984/INDEX(FmtCansPerPack,MATCH(F2984,FmtName,0))</f>
        <v/>
      </c>
      <c r="U2984" s="47">
        <f>INDEX(ChBaseCP,MATCH(E2984,ChName,0))*(1+INDEX(ProvMod,MATCH(G2984,ProvCode,0)))*(1+PriceIndex)</f>
        <v/>
      </c>
      <c r="V2984" s="47">
        <f>R2984*U2984*INDEX(FmtBlendedPriceIdx,MATCH(F2984,FmtName,0))</f>
        <v/>
      </c>
      <c r="W2984" s="47">
        <f>T2984*INDEX(ProvSRP,MATCH(G2984,ProvCode,0))*(1+PriceIndex)</f>
        <v/>
      </c>
      <c r="X2984" s="47">
        <f>IF(GrossBasis="Wholesale",V2984,W2984)</f>
        <v/>
      </c>
      <c r="Y2984" s="47">
        <f>R2984*INDEX(FmtBlendedCogs,MATCH(F2984,FmtName,0))</f>
        <v/>
      </c>
      <c r="Z2984" s="47">
        <f>X2984-Y2984</f>
        <v/>
      </c>
    </row>
    <row r="2985">
      <c r="A2985" t="n">
        <v>16</v>
      </c>
      <c r="B2985" s="44">
        <f>FiscalStart+(A2985-1)*7</f>
        <v/>
      </c>
      <c r="C2985">
        <f>TEXT(B2985,"mmm yyyy")</f>
        <v/>
      </c>
      <c r="D2985">
        <f>"Q"&amp;(INT((A2985-1)/13)+1)</f>
        <v/>
      </c>
      <c r="E2985" t="inlineStr">
        <is>
          <t>Specialty</t>
        </is>
      </c>
      <c r="F2985">
        <f>IFERROR(INDEX(ChFormat,MATCH(E2985,ChName,0)),"")</f>
        <v/>
      </c>
      <c r="G2985" t="inlineStr">
        <is>
          <t>NB</t>
        </is>
      </c>
      <c r="H2985">
        <f>IF(A2985&lt;=NWeeks,1,0)</f>
        <v/>
      </c>
      <c r="I2985">
        <f>INDEX(ChLaunch,MATCH(E2985,ChName,0))</f>
        <v/>
      </c>
      <c r="J2985">
        <f>INDEX(ChWeeksFull,MATCH(E2985,ChName,0))</f>
        <v/>
      </c>
      <c r="K2985">
        <f>INDEX(ChRamp,MATCH(E2985,ChName,0))</f>
        <v/>
      </c>
      <c r="L2985" s="45">
        <f>MIN(1,MAX(0,(A2985-I2985+1)*RampSpeed/J2985))</f>
        <v/>
      </c>
      <c r="M2985" s="45">
        <f>IF(A2985&lt;I2985,0,IF(K2985="S-curve",L2985*L2985*(3-2*L2985),L2985))</f>
        <v/>
      </c>
      <c r="N2985" s="45">
        <f>1+(INDEX(SeasonIdx,A2985)-1)*SeasonAmp</f>
        <v/>
      </c>
      <c r="O2985" s="45">
        <f>IFERROR(INDEX(PSPct,MATCH(E2985&amp;"|"&amp;G2985,PSKey,0)),0)</f>
        <v/>
      </c>
      <c r="P2985" s="46">
        <f>INDEX(ChDoorVel,MATCH(E2985,ChName,0))*CalibScalar*(1+VelocityUplift)</f>
        <v/>
      </c>
      <c r="Q2985" s="46" t="n">
        <v>0</v>
      </c>
      <c r="R2985" s="46">
        <f>P2985*O2985*M2985*N2985*H2985</f>
        <v/>
      </c>
      <c r="S2985" s="46">
        <f>R2985*INDEX(FmtCansPerCase,MATCH(F2985,FmtName,0))</f>
        <v/>
      </c>
      <c r="T2985" s="46">
        <f>S2985/INDEX(FmtCansPerPack,MATCH(F2985,FmtName,0))</f>
        <v/>
      </c>
      <c r="U2985" s="47">
        <f>INDEX(ChBaseCP,MATCH(E2985,ChName,0))*(1+INDEX(ProvMod,MATCH(G2985,ProvCode,0)))*(1+PriceIndex)</f>
        <v/>
      </c>
      <c r="V2985" s="47">
        <f>R2985*U2985*INDEX(FmtBlendedPriceIdx,MATCH(F2985,FmtName,0))</f>
        <v/>
      </c>
      <c r="W2985" s="47">
        <f>T2985*INDEX(ProvSRP,MATCH(G2985,ProvCode,0))*(1+PriceIndex)</f>
        <v/>
      </c>
      <c r="X2985" s="47">
        <f>IF(GrossBasis="Wholesale",V2985,W2985)</f>
        <v/>
      </c>
      <c r="Y2985" s="47">
        <f>R2985*INDEX(FmtBlendedCogs,MATCH(F2985,FmtName,0))</f>
        <v/>
      </c>
      <c r="Z2985" s="47">
        <f>X2985-Y2985</f>
        <v/>
      </c>
    </row>
    <row r="2986">
      <c r="A2986" t="n">
        <v>17</v>
      </c>
      <c r="B2986" s="44">
        <f>FiscalStart+(A2986-1)*7</f>
        <v/>
      </c>
      <c r="C2986">
        <f>TEXT(B2986,"mmm yyyy")</f>
        <v/>
      </c>
      <c r="D2986">
        <f>"Q"&amp;(INT((A2986-1)/13)+1)</f>
        <v/>
      </c>
      <c r="E2986" t="inlineStr">
        <is>
          <t>Specialty</t>
        </is>
      </c>
      <c r="F2986">
        <f>IFERROR(INDEX(ChFormat,MATCH(E2986,ChName,0)),"")</f>
        <v/>
      </c>
      <c r="G2986" t="inlineStr">
        <is>
          <t>NB</t>
        </is>
      </c>
      <c r="H2986">
        <f>IF(A2986&lt;=NWeeks,1,0)</f>
        <v/>
      </c>
      <c r="I2986">
        <f>INDEX(ChLaunch,MATCH(E2986,ChName,0))</f>
        <v/>
      </c>
      <c r="J2986">
        <f>INDEX(ChWeeksFull,MATCH(E2986,ChName,0))</f>
        <v/>
      </c>
      <c r="K2986">
        <f>INDEX(ChRamp,MATCH(E2986,ChName,0))</f>
        <v/>
      </c>
      <c r="L2986" s="45">
        <f>MIN(1,MAX(0,(A2986-I2986+1)*RampSpeed/J2986))</f>
        <v/>
      </c>
      <c r="M2986" s="45">
        <f>IF(A2986&lt;I2986,0,IF(K2986="S-curve",L2986*L2986*(3-2*L2986),L2986))</f>
        <v/>
      </c>
      <c r="N2986" s="45">
        <f>1+(INDEX(SeasonIdx,A2986)-1)*SeasonAmp</f>
        <v/>
      </c>
      <c r="O2986" s="45">
        <f>IFERROR(INDEX(PSPct,MATCH(E2986&amp;"|"&amp;G2986,PSKey,0)),0)</f>
        <v/>
      </c>
      <c r="P2986" s="46">
        <f>INDEX(ChDoorVel,MATCH(E2986,ChName,0))*CalibScalar*(1+VelocityUplift)</f>
        <v/>
      </c>
      <c r="Q2986" s="46" t="n">
        <v>0</v>
      </c>
      <c r="R2986" s="46">
        <f>P2986*O2986*M2986*N2986*H2986</f>
        <v/>
      </c>
      <c r="S2986" s="46">
        <f>R2986*INDEX(FmtCansPerCase,MATCH(F2986,FmtName,0))</f>
        <v/>
      </c>
      <c r="T2986" s="46">
        <f>S2986/INDEX(FmtCansPerPack,MATCH(F2986,FmtName,0))</f>
        <v/>
      </c>
      <c r="U2986" s="47">
        <f>INDEX(ChBaseCP,MATCH(E2986,ChName,0))*(1+INDEX(ProvMod,MATCH(G2986,ProvCode,0)))*(1+PriceIndex)</f>
        <v/>
      </c>
      <c r="V2986" s="47">
        <f>R2986*U2986*INDEX(FmtBlendedPriceIdx,MATCH(F2986,FmtName,0))</f>
        <v/>
      </c>
      <c r="W2986" s="47">
        <f>T2986*INDEX(ProvSRP,MATCH(G2986,ProvCode,0))*(1+PriceIndex)</f>
        <v/>
      </c>
      <c r="X2986" s="47">
        <f>IF(GrossBasis="Wholesale",V2986,W2986)</f>
        <v/>
      </c>
      <c r="Y2986" s="47">
        <f>R2986*INDEX(FmtBlendedCogs,MATCH(F2986,FmtName,0))</f>
        <v/>
      </c>
      <c r="Z2986" s="47">
        <f>X2986-Y2986</f>
        <v/>
      </c>
    </row>
    <row r="2987">
      <c r="A2987" t="n">
        <v>18</v>
      </c>
      <c r="B2987" s="44">
        <f>FiscalStart+(A2987-1)*7</f>
        <v/>
      </c>
      <c r="C2987">
        <f>TEXT(B2987,"mmm yyyy")</f>
        <v/>
      </c>
      <c r="D2987">
        <f>"Q"&amp;(INT((A2987-1)/13)+1)</f>
        <v/>
      </c>
      <c r="E2987" t="inlineStr">
        <is>
          <t>Specialty</t>
        </is>
      </c>
      <c r="F2987">
        <f>IFERROR(INDEX(ChFormat,MATCH(E2987,ChName,0)),"")</f>
        <v/>
      </c>
      <c r="G2987" t="inlineStr">
        <is>
          <t>NB</t>
        </is>
      </c>
      <c r="H2987">
        <f>IF(A2987&lt;=NWeeks,1,0)</f>
        <v/>
      </c>
      <c r="I2987">
        <f>INDEX(ChLaunch,MATCH(E2987,ChName,0))</f>
        <v/>
      </c>
      <c r="J2987">
        <f>INDEX(ChWeeksFull,MATCH(E2987,ChName,0))</f>
        <v/>
      </c>
      <c r="K2987">
        <f>INDEX(ChRamp,MATCH(E2987,ChName,0))</f>
        <v/>
      </c>
      <c r="L2987" s="45">
        <f>MIN(1,MAX(0,(A2987-I2987+1)*RampSpeed/J2987))</f>
        <v/>
      </c>
      <c r="M2987" s="45">
        <f>IF(A2987&lt;I2987,0,IF(K2987="S-curve",L2987*L2987*(3-2*L2987),L2987))</f>
        <v/>
      </c>
      <c r="N2987" s="45">
        <f>1+(INDEX(SeasonIdx,A2987)-1)*SeasonAmp</f>
        <v/>
      </c>
      <c r="O2987" s="45">
        <f>IFERROR(INDEX(PSPct,MATCH(E2987&amp;"|"&amp;G2987,PSKey,0)),0)</f>
        <v/>
      </c>
      <c r="P2987" s="46">
        <f>INDEX(ChDoorVel,MATCH(E2987,ChName,0))*CalibScalar*(1+VelocityUplift)</f>
        <v/>
      </c>
      <c r="Q2987" s="46" t="n">
        <v>0</v>
      </c>
      <c r="R2987" s="46">
        <f>P2987*O2987*M2987*N2987*H2987</f>
        <v/>
      </c>
      <c r="S2987" s="46">
        <f>R2987*INDEX(FmtCansPerCase,MATCH(F2987,FmtName,0))</f>
        <v/>
      </c>
      <c r="T2987" s="46">
        <f>S2987/INDEX(FmtCansPerPack,MATCH(F2987,FmtName,0))</f>
        <v/>
      </c>
      <c r="U2987" s="47">
        <f>INDEX(ChBaseCP,MATCH(E2987,ChName,0))*(1+INDEX(ProvMod,MATCH(G2987,ProvCode,0)))*(1+PriceIndex)</f>
        <v/>
      </c>
      <c r="V2987" s="47">
        <f>R2987*U2987*INDEX(FmtBlendedPriceIdx,MATCH(F2987,FmtName,0))</f>
        <v/>
      </c>
      <c r="W2987" s="47">
        <f>T2987*INDEX(ProvSRP,MATCH(G2987,ProvCode,0))*(1+PriceIndex)</f>
        <v/>
      </c>
      <c r="X2987" s="47">
        <f>IF(GrossBasis="Wholesale",V2987,W2987)</f>
        <v/>
      </c>
      <c r="Y2987" s="47">
        <f>R2987*INDEX(FmtBlendedCogs,MATCH(F2987,FmtName,0))</f>
        <v/>
      </c>
      <c r="Z2987" s="47">
        <f>X2987-Y2987</f>
        <v/>
      </c>
    </row>
    <row r="2988">
      <c r="A2988" t="n">
        <v>19</v>
      </c>
      <c r="B2988" s="44">
        <f>FiscalStart+(A2988-1)*7</f>
        <v/>
      </c>
      <c r="C2988">
        <f>TEXT(B2988,"mmm yyyy")</f>
        <v/>
      </c>
      <c r="D2988">
        <f>"Q"&amp;(INT((A2988-1)/13)+1)</f>
        <v/>
      </c>
      <c r="E2988" t="inlineStr">
        <is>
          <t>Specialty</t>
        </is>
      </c>
      <c r="F2988">
        <f>IFERROR(INDEX(ChFormat,MATCH(E2988,ChName,0)),"")</f>
        <v/>
      </c>
      <c r="G2988" t="inlineStr">
        <is>
          <t>NB</t>
        </is>
      </c>
      <c r="H2988">
        <f>IF(A2988&lt;=NWeeks,1,0)</f>
        <v/>
      </c>
      <c r="I2988">
        <f>INDEX(ChLaunch,MATCH(E2988,ChName,0))</f>
        <v/>
      </c>
      <c r="J2988">
        <f>INDEX(ChWeeksFull,MATCH(E2988,ChName,0))</f>
        <v/>
      </c>
      <c r="K2988">
        <f>INDEX(ChRamp,MATCH(E2988,ChName,0))</f>
        <v/>
      </c>
      <c r="L2988" s="45">
        <f>MIN(1,MAX(0,(A2988-I2988+1)*RampSpeed/J2988))</f>
        <v/>
      </c>
      <c r="M2988" s="45">
        <f>IF(A2988&lt;I2988,0,IF(K2988="S-curve",L2988*L2988*(3-2*L2988),L2988))</f>
        <v/>
      </c>
      <c r="N2988" s="45">
        <f>1+(INDEX(SeasonIdx,A2988)-1)*SeasonAmp</f>
        <v/>
      </c>
      <c r="O2988" s="45">
        <f>IFERROR(INDEX(PSPct,MATCH(E2988&amp;"|"&amp;G2988,PSKey,0)),0)</f>
        <v/>
      </c>
      <c r="P2988" s="46">
        <f>INDEX(ChDoorVel,MATCH(E2988,ChName,0))*CalibScalar*(1+VelocityUplift)</f>
        <v/>
      </c>
      <c r="Q2988" s="46" t="n">
        <v>0</v>
      </c>
      <c r="R2988" s="46">
        <f>P2988*O2988*M2988*N2988*H2988</f>
        <v/>
      </c>
      <c r="S2988" s="46">
        <f>R2988*INDEX(FmtCansPerCase,MATCH(F2988,FmtName,0))</f>
        <v/>
      </c>
      <c r="T2988" s="46">
        <f>S2988/INDEX(FmtCansPerPack,MATCH(F2988,FmtName,0))</f>
        <v/>
      </c>
      <c r="U2988" s="47">
        <f>INDEX(ChBaseCP,MATCH(E2988,ChName,0))*(1+INDEX(ProvMod,MATCH(G2988,ProvCode,0)))*(1+PriceIndex)</f>
        <v/>
      </c>
      <c r="V2988" s="47">
        <f>R2988*U2988*INDEX(FmtBlendedPriceIdx,MATCH(F2988,FmtName,0))</f>
        <v/>
      </c>
      <c r="W2988" s="47">
        <f>T2988*INDEX(ProvSRP,MATCH(G2988,ProvCode,0))*(1+PriceIndex)</f>
        <v/>
      </c>
      <c r="X2988" s="47">
        <f>IF(GrossBasis="Wholesale",V2988,W2988)</f>
        <v/>
      </c>
      <c r="Y2988" s="47">
        <f>R2988*INDEX(FmtBlendedCogs,MATCH(F2988,FmtName,0))</f>
        <v/>
      </c>
      <c r="Z2988" s="47">
        <f>X2988-Y2988</f>
        <v/>
      </c>
    </row>
    <row r="2989">
      <c r="A2989" t="n">
        <v>20</v>
      </c>
      <c r="B2989" s="44">
        <f>FiscalStart+(A2989-1)*7</f>
        <v/>
      </c>
      <c r="C2989">
        <f>TEXT(B2989,"mmm yyyy")</f>
        <v/>
      </c>
      <c r="D2989">
        <f>"Q"&amp;(INT((A2989-1)/13)+1)</f>
        <v/>
      </c>
      <c r="E2989" t="inlineStr">
        <is>
          <t>Specialty</t>
        </is>
      </c>
      <c r="F2989">
        <f>IFERROR(INDEX(ChFormat,MATCH(E2989,ChName,0)),"")</f>
        <v/>
      </c>
      <c r="G2989" t="inlineStr">
        <is>
          <t>NB</t>
        </is>
      </c>
      <c r="H2989">
        <f>IF(A2989&lt;=NWeeks,1,0)</f>
        <v/>
      </c>
      <c r="I2989">
        <f>INDEX(ChLaunch,MATCH(E2989,ChName,0))</f>
        <v/>
      </c>
      <c r="J2989">
        <f>INDEX(ChWeeksFull,MATCH(E2989,ChName,0))</f>
        <v/>
      </c>
      <c r="K2989">
        <f>INDEX(ChRamp,MATCH(E2989,ChName,0))</f>
        <v/>
      </c>
      <c r="L2989" s="45">
        <f>MIN(1,MAX(0,(A2989-I2989+1)*RampSpeed/J2989))</f>
        <v/>
      </c>
      <c r="M2989" s="45">
        <f>IF(A2989&lt;I2989,0,IF(K2989="S-curve",L2989*L2989*(3-2*L2989),L2989))</f>
        <v/>
      </c>
      <c r="N2989" s="45">
        <f>1+(INDEX(SeasonIdx,A2989)-1)*SeasonAmp</f>
        <v/>
      </c>
      <c r="O2989" s="45">
        <f>IFERROR(INDEX(PSPct,MATCH(E2989&amp;"|"&amp;G2989,PSKey,0)),0)</f>
        <v/>
      </c>
      <c r="P2989" s="46">
        <f>INDEX(ChDoorVel,MATCH(E2989,ChName,0))*CalibScalar*(1+VelocityUplift)</f>
        <v/>
      </c>
      <c r="Q2989" s="46" t="n">
        <v>0</v>
      </c>
      <c r="R2989" s="46">
        <f>P2989*O2989*M2989*N2989*H2989</f>
        <v/>
      </c>
      <c r="S2989" s="46">
        <f>R2989*INDEX(FmtCansPerCase,MATCH(F2989,FmtName,0))</f>
        <v/>
      </c>
      <c r="T2989" s="46">
        <f>S2989/INDEX(FmtCansPerPack,MATCH(F2989,FmtName,0))</f>
        <v/>
      </c>
      <c r="U2989" s="47">
        <f>INDEX(ChBaseCP,MATCH(E2989,ChName,0))*(1+INDEX(ProvMod,MATCH(G2989,ProvCode,0)))*(1+PriceIndex)</f>
        <v/>
      </c>
      <c r="V2989" s="47">
        <f>R2989*U2989*INDEX(FmtBlendedPriceIdx,MATCH(F2989,FmtName,0))</f>
        <v/>
      </c>
      <c r="W2989" s="47">
        <f>T2989*INDEX(ProvSRP,MATCH(G2989,ProvCode,0))*(1+PriceIndex)</f>
        <v/>
      </c>
      <c r="X2989" s="47">
        <f>IF(GrossBasis="Wholesale",V2989,W2989)</f>
        <v/>
      </c>
      <c r="Y2989" s="47">
        <f>R2989*INDEX(FmtBlendedCogs,MATCH(F2989,FmtName,0))</f>
        <v/>
      </c>
      <c r="Z2989" s="47">
        <f>X2989-Y2989</f>
        <v/>
      </c>
    </row>
    <row r="2990">
      <c r="A2990" t="n">
        <v>21</v>
      </c>
      <c r="B2990" s="44">
        <f>FiscalStart+(A2990-1)*7</f>
        <v/>
      </c>
      <c r="C2990">
        <f>TEXT(B2990,"mmm yyyy")</f>
        <v/>
      </c>
      <c r="D2990">
        <f>"Q"&amp;(INT((A2990-1)/13)+1)</f>
        <v/>
      </c>
      <c r="E2990" t="inlineStr">
        <is>
          <t>Specialty</t>
        </is>
      </c>
      <c r="F2990">
        <f>IFERROR(INDEX(ChFormat,MATCH(E2990,ChName,0)),"")</f>
        <v/>
      </c>
      <c r="G2990" t="inlineStr">
        <is>
          <t>NB</t>
        </is>
      </c>
      <c r="H2990">
        <f>IF(A2990&lt;=NWeeks,1,0)</f>
        <v/>
      </c>
      <c r="I2990">
        <f>INDEX(ChLaunch,MATCH(E2990,ChName,0))</f>
        <v/>
      </c>
      <c r="J2990">
        <f>INDEX(ChWeeksFull,MATCH(E2990,ChName,0))</f>
        <v/>
      </c>
      <c r="K2990">
        <f>INDEX(ChRamp,MATCH(E2990,ChName,0))</f>
        <v/>
      </c>
      <c r="L2990" s="45">
        <f>MIN(1,MAX(0,(A2990-I2990+1)*RampSpeed/J2990))</f>
        <v/>
      </c>
      <c r="M2990" s="45">
        <f>IF(A2990&lt;I2990,0,IF(K2990="S-curve",L2990*L2990*(3-2*L2990),L2990))</f>
        <v/>
      </c>
      <c r="N2990" s="45">
        <f>1+(INDEX(SeasonIdx,A2990)-1)*SeasonAmp</f>
        <v/>
      </c>
      <c r="O2990" s="45">
        <f>IFERROR(INDEX(PSPct,MATCH(E2990&amp;"|"&amp;G2990,PSKey,0)),0)</f>
        <v/>
      </c>
      <c r="P2990" s="46">
        <f>INDEX(ChDoorVel,MATCH(E2990,ChName,0))*CalibScalar*(1+VelocityUplift)</f>
        <v/>
      </c>
      <c r="Q2990" s="46" t="n">
        <v>0</v>
      </c>
      <c r="R2990" s="46">
        <f>P2990*O2990*M2990*N2990*H2990</f>
        <v/>
      </c>
      <c r="S2990" s="46">
        <f>R2990*INDEX(FmtCansPerCase,MATCH(F2990,FmtName,0))</f>
        <v/>
      </c>
      <c r="T2990" s="46">
        <f>S2990/INDEX(FmtCansPerPack,MATCH(F2990,FmtName,0))</f>
        <v/>
      </c>
      <c r="U2990" s="47">
        <f>INDEX(ChBaseCP,MATCH(E2990,ChName,0))*(1+INDEX(ProvMod,MATCH(G2990,ProvCode,0)))*(1+PriceIndex)</f>
        <v/>
      </c>
      <c r="V2990" s="47">
        <f>R2990*U2990*INDEX(FmtBlendedPriceIdx,MATCH(F2990,FmtName,0))</f>
        <v/>
      </c>
      <c r="W2990" s="47">
        <f>T2990*INDEX(ProvSRP,MATCH(G2990,ProvCode,0))*(1+PriceIndex)</f>
        <v/>
      </c>
      <c r="X2990" s="47">
        <f>IF(GrossBasis="Wholesale",V2990,W2990)</f>
        <v/>
      </c>
      <c r="Y2990" s="47">
        <f>R2990*INDEX(FmtBlendedCogs,MATCH(F2990,FmtName,0))</f>
        <v/>
      </c>
      <c r="Z2990" s="47">
        <f>X2990-Y2990</f>
        <v/>
      </c>
    </row>
    <row r="2991">
      <c r="A2991" t="n">
        <v>22</v>
      </c>
      <c r="B2991" s="44">
        <f>FiscalStart+(A2991-1)*7</f>
        <v/>
      </c>
      <c r="C2991">
        <f>TEXT(B2991,"mmm yyyy")</f>
        <v/>
      </c>
      <c r="D2991">
        <f>"Q"&amp;(INT((A2991-1)/13)+1)</f>
        <v/>
      </c>
      <c r="E2991" t="inlineStr">
        <is>
          <t>Specialty</t>
        </is>
      </c>
      <c r="F2991">
        <f>IFERROR(INDEX(ChFormat,MATCH(E2991,ChName,0)),"")</f>
        <v/>
      </c>
      <c r="G2991" t="inlineStr">
        <is>
          <t>NB</t>
        </is>
      </c>
      <c r="H2991">
        <f>IF(A2991&lt;=NWeeks,1,0)</f>
        <v/>
      </c>
      <c r="I2991">
        <f>INDEX(ChLaunch,MATCH(E2991,ChName,0))</f>
        <v/>
      </c>
      <c r="J2991">
        <f>INDEX(ChWeeksFull,MATCH(E2991,ChName,0))</f>
        <v/>
      </c>
      <c r="K2991">
        <f>INDEX(ChRamp,MATCH(E2991,ChName,0))</f>
        <v/>
      </c>
      <c r="L2991" s="45">
        <f>MIN(1,MAX(0,(A2991-I2991+1)*RampSpeed/J2991))</f>
        <v/>
      </c>
      <c r="M2991" s="45">
        <f>IF(A2991&lt;I2991,0,IF(K2991="S-curve",L2991*L2991*(3-2*L2991),L2991))</f>
        <v/>
      </c>
      <c r="N2991" s="45">
        <f>1+(INDEX(SeasonIdx,A2991)-1)*SeasonAmp</f>
        <v/>
      </c>
      <c r="O2991" s="45">
        <f>IFERROR(INDEX(PSPct,MATCH(E2991&amp;"|"&amp;G2991,PSKey,0)),0)</f>
        <v/>
      </c>
      <c r="P2991" s="46">
        <f>INDEX(ChDoorVel,MATCH(E2991,ChName,0))*CalibScalar*(1+VelocityUplift)</f>
        <v/>
      </c>
      <c r="Q2991" s="46" t="n">
        <v>0</v>
      </c>
      <c r="R2991" s="46">
        <f>P2991*O2991*M2991*N2991*H2991</f>
        <v/>
      </c>
      <c r="S2991" s="46">
        <f>R2991*INDEX(FmtCansPerCase,MATCH(F2991,FmtName,0))</f>
        <v/>
      </c>
      <c r="T2991" s="46">
        <f>S2991/INDEX(FmtCansPerPack,MATCH(F2991,FmtName,0))</f>
        <v/>
      </c>
      <c r="U2991" s="47">
        <f>INDEX(ChBaseCP,MATCH(E2991,ChName,0))*(1+INDEX(ProvMod,MATCH(G2991,ProvCode,0)))*(1+PriceIndex)</f>
        <v/>
      </c>
      <c r="V2991" s="47">
        <f>R2991*U2991*INDEX(FmtBlendedPriceIdx,MATCH(F2991,FmtName,0))</f>
        <v/>
      </c>
      <c r="W2991" s="47">
        <f>T2991*INDEX(ProvSRP,MATCH(G2991,ProvCode,0))*(1+PriceIndex)</f>
        <v/>
      </c>
      <c r="X2991" s="47">
        <f>IF(GrossBasis="Wholesale",V2991,W2991)</f>
        <v/>
      </c>
      <c r="Y2991" s="47">
        <f>R2991*INDEX(FmtBlendedCogs,MATCH(F2991,FmtName,0))</f>
        <v/>
      </c>
      <c r="Z2991" s="47">
        <f>X2991-Y2991</f>
        <v/>
      </c>
    </row>
    <row r="2992">
      <c r="A2992" t="n">
        <v>23</v>
      </c>
      <c r="B2992" s="44">
        <f>FiscalStart+(A2992-1)*7</f>
        <v/>
      </c>
      <c r="C2992">
        <f>TEXT(B2992,"mmm yyyy")</f>
        <v/>
      </c>
      <c r="D2992">
        <f>"Q"&amp;(INT((A2992-1)/13)+1)</f>
        <v/>
      </c>
      <c r="E2992" t="inlineStr">
        <is>
          <t>Specialty</t>
        </is>
      </c>
      <c r="F2992">
        <f>IFERROR(INDEX(ChFormat,MATCH(E2992,ChName,0)),"")</f>
        <v/>
      </c>
      <c r="G2992" t="inlineStr">
        <is>
          <t>NB</t>
        </is>
      </c>
      <c r="H2992">
        <f>IF(A2992&lt;=NWeeks,1,0)</f>
        <v/>
      </c>
      <c r="I2992">
        <f>INDEX(ChLaunch,MATCH(E2992,ChName,0))</f>
        <v/>
      </c>
      <c r="J2992">
        <f>INDEX(ChWeeksFull,MATCH(E2992,ChName,0))</f>
        <v/>
      </c>
      <c r="K2992">
        <f>INDEX(ChRamp,MATCH(E2992,ChName,0))</f>
        <v/>
      </c>
      <c r="L2992" s="45">
        <f>MIN(1,MAX(0,(A2992-I2992+1)*RampSpeed/J2992))</f>
        <v/>
      </c>
      <c r="M2992" s="45">
        <f>IF(A2992&lt;I2992,0,IF(K2992="S-curve",L2992*L2992*(3-2*L2992),L2992))</f>
        <v/>
      </c>
      <c r="N2992" s="45">
        <f>1+(INDEX(SeasonIdx,A2992)-1)*SeasonAmp</f>
        <v/>
      </c>
      <c r="O2992" s="45">
        <f>IFERROR(INDEX(PSPct,MATCH(E2992&amp;"|"&amp;G2992,PSKey,0)),0)</f>
        <v/>
      </c>
      <c r="P2992" s="46">
        <f>INDEX(ChDoorVel,MATCH(E2992,ChName,0))*CalibScalar*(1+VelocityUplift)</f>
        <v/>
      </c>
      <c r="Q2992" s="46" t="n">
        <v>0</v>
      </c>
      <c r="R2992" s="46">
        <f>P2992*O2992*M2992*N2992*H2992</f>
        <v/>
      </c>
      <c r="S2992" s="46">
        <f>R2992*INDEX(FmtCansPerCase,MATCH(F2992,FmtName,0))</f>
        <v/>
      </c>
      <c r="T2992" s="46">
        <f>S2992/INDEX(FmtCansPerPack,MATCH(F2992,FmtName,0))</f>
        <v/>
      </c>
      <c r="U2992" s="47">
        <f>INDEX(ChBaseCP,MATCH(E2992,ChName,0))*(1+INDEX(ProvMod,MATCH(G2992,ProvCode,0)))*(1+PriceIndex)</f>
        <v/>
      </c>
      <c r="V2992" s="47">
        <f>R2992*U2992*INDEX(FmtBlendedPriceIdx,MATCH(F2992,FmtName,0))</f>
        <v/>
      </c>
      <c r="W2992" s="47">
        <f>T2992*INDEX(ProvSRP,MATCH(G2992,ProvCode,0))*(1+PriceIndex)</f>
        <v/>
      </c>
      <c r="X2992" s="47">
        <f>IF(GrossBasis="Wholesale",V2992,W2992)</f>
        <v/>
      </c>
      <c r="Y2992" s="47">
        <f>R2992*INDEX(FmtBlendedCogs,MATCH(F2992,FmtName,0))</f>
        <v/>
      </c>
      <c r="Z2992" s="47">
        <f>X2992-Y2992</f>
        <v/>
      </c>
    </row>
    <row r="2993">
      <c r="A2993" t="n">
        <v>24</v>
      </c>
      <c r="B2993" s="44">
        <f>FiscalStart+(A2993-1)*7</f>
        <v/>
      </c>
      <c r="C2993">
        <f>TEXT(B2993,"mmm yyyy")</f>
        <v/>
      </c>
      <c r="D2993">
        <f>"Q"&amp;(INT((A2993-1)/13)+1)</f>
        <v/>
      </c>
      <c r="E2993" t="inlineStr">
        <is>
          <t>Specialty</t>
        </is>
      </c>
      <c r="F2993">
        <f>IFERROR(INDEX(ChFormat,MATCH(E2993,ChName,0)),"")</f>
        <v/>
      </c>
      <c r="G2993" t="inlineStr">
        <is>
          <t>NB</t>
        </is>
      </c>
      <c r="H2993">
        <f>IF(A2993&lt;=NWeeks,1,0)</f>
        <v/>
      </c>
      <c r="I2993">
        <f>INDEX(ChLaunch,MATCH(E2993,ChName,0))</f>
        <v/>
      </c>
      <c r="J2993">
        <f>INDEX(ChWeeksFull,MATCH(E2993,ChName,0))</f>
        <v/>
      </c>
      <c r="K2993">
        <f>INDEX(ChRamp,MATCH(E2993,ChName,0))</f>
        <v/>
      </c>
      <c r="L2993" s="45">
        <f>MIN(1,MAX(0,(A2993-I2993+1)*RampSpeed/J2993))</f>
        <v/>
      </c>
      <c r="M2993" s="45">
        <f>IF(A2993&lt;I2993,0,IF(K2993="S-curve",L2993*L2993*(3-2*L2993),L2993))</f>
        <v/>
      </c>
      <c r="N2993" s="45">
        <f>1+(INDEX(SeasonIdx,A2993)-1)*SeasonAmp</f>
        <v/>
      </c>
      <c r="O2993" s="45">
        <f>IFERROR(INDEX(PSPct,MATCH(E2993&amp;"|"&amp;G2993,PSKey,0)),0)</f>
        <v/>
      </c>
      <c r="P2993" s="46">
        <f>INDEX(ChDoorVel,MATCH(E2993,ChName,0))*CalibScalar*(1+VelocityUplift)</f>
        <v/>
      </c>
      <c r="Q2993" s="46" t="n">
        <v>0</v>
      </c>
      <c r="R2993" s="46">
        <f>P2993*O2993*M2993*N2993*H2993</f>
        <v/>
      </c>
      <c r="S2993" s="46">
        <f>R2993*INDEX(FmtCansPerCase,MATCH(F2993,FmtName,0))</f>
        <v/>
      </c>
      <c r="T2993" s="46">
        <f>S2993/INDEX(FmtCansPerPack,MATCH(F2993,FmtName,0))</f>
        <v/>
      </c>
      <c r="U2993" s="47">
        <f>INDEX(ChBaseCP,MATCH(E2993,ChName,0))*(1+INDEX(ProvMod,MATCH(G2993,ProvCode,0)))*(1+PriceIndex)</f>
        <v/>
      </c>
      <c r="V2993" s="47">
        <f>R2993*U2993*INDEX(FmtBlendedPriceIdx,MATCH(F2993,FmtName,0))</f>
        <v/>
      </c>
      <c r="W2993" s="47">
        <f>T2993*INDEX(ProvSRP,MATCH(G2993,ProvCode,0))*(1+PriceIndex)</f>
        <v/>
      </c>
      <c r="X2993" s="47">
        <f>IF(GrossBasis="Wholesale",V2993,W2993)</f>
        <v/>
      </c>
      <c r="Y2993" s="47">
        <f>R2993*INDEX(FmtBlendedCogs,MATCH(F2993,FmtName,0))</f>
        <v/>
      </c>
      <c r="Z2993" s="47">
        <f>X2993-Y2993</f>
        <v/>
      </c>
    </row>
    <row r="2994">
      <c r="A2994" t="n">
        <v>25</v>
      </c>
      <c r="B2994" s="44">
        <f>FiscalStart+(A2994-1)*7</f>
        <v/>
      </c>
      <c r="C2994">
        <f>TEXT(B2994,"mmm yyyy")</f>
        <v/>
      </c>
      <c r="D2994">
        <f>"Q"&amp;(INT((A2994-1)/13)+1)</f>
        <v/>
      </c>
      <c r="E2994" t="inlineStr">
        <is>
          <t>Specialty</t>
        </is>
      </c>
      <c r="F2994">
        <f>IFERROR(INDEX(ChFormat,MATCH(E2994,ChName,0)),"")</f>
        <v/>
      </c>
      <c r="G2994" t="inlineStr">
        <is>
          <t>NB</t>
        </is>
      </c>
      <c r="H2994">
        <f>IF(A2994&lt;=NWeeks,1,0)</f>
        <v/>
      </c>
      <c r="I2994">
        <f>INDEX(ChLaunch,MATCH(E2994,ChName,0))</f>
        <v/>
      </c>
      <c r="J2994">
        <f>INDEX(ChWeeksFull,MATCH(E2994,ChName,0))</f>
        <v/>
      </c>
      <c r="K2994">
        <f>INDEX(ChRamp,MATCH(E2994,ChName,0))</f>
        <v/>
      </c>
      <c r="L2994" s="45">
        <f>MIN(1,MAX(0,(A2994-I2994+1)*RampSpeed/J2994))</f>
        <v/>
      </c>
      <c r="M2994" s="45">
        <f>IF(A2994&lt;I2994,0,IF(K2994="S-curve",L2994*L2994*(3-2*L2994),L2994))</f>
        <v/>
      </c>
      <c r="N2994" s="45">
        <f>1+(INDEX(SeasonIdx,A2994)-1)*SeasonAmp</f>
        <v/>
      </c>
      <c r="O2994" s="45">
        <f>IFERROR(INDEX(PSPct,MATCH(E2994&amp;"|"&amp;G2994,PSKey,0)),0)</f>
        <v/>
      </c>
      <c r="P2994" s="46">
        <f>INDEX(ChDoorVel,MATCH(E2994,ChName,0))*CalibScalar*(1+VelocityUplift)</f>
        <v/>
      </c>
      <c r="Q2994" s="46" t="n">
        <v>0</v>
      </c>
      <c r="R2994" s="46">
        <f>P2994*O2994*M2994*N2994*H2994</f>
        <v/>
      </c>
      <c r="S2994" s="46">
        <f>R2994*INDEX(FmtCansPerCase,MATCH(F2994,FmtName,0))</f>
        <v/>
      </c>
      <c r="T2994" s="46">
        <f>S2994/INDEX(FmtCansPerPack,MATCH(F2994,FmtName,0))</f>
        <v/>
      </c>
      <c r="U2994" s="47">
        <f>INDEX(ChBaseCP,MATCH(E2994,ChName,0))*(1+INDEX(ProvMod,MATCH(G2994,ProvCode,0)))*(1+PriceIndex)</f>
        <v/>
      </c>
      <c r="V2994" s="47">
        <f>R2994*U2994*INDEX(FmtBlendedPriceIdx,MATCH(F2994,FmtName,0))</f>
        <v/>
      </c>
      <c r="W2994" s="47">
        <f>T2994*INDEX(ProvSRP,MATCH(G2994,ProvCode,0))*(1+PriceIndex)</f>
        <v/>
      </c>
      <c r="X2994" s="47">
        <f>IF(GrossBasis="Wholesale",V2994,W2994)</f>
        <v/>
      </c>
      <c r="Y2994" s="47">
        <f>R2994*INDEX(FmtBlendedCogs,MATCH(F2994,FmtName,0))</f>
        <v/>
      </c>
      <c r="Z2994" s="47">
        <f>X2994-Y2994</f>
        <v/>
      </c>
    </row>
    <row r="2995">
      <c r="A2995" t="n">
        <v>26</v>
      </c>
      <c r="B2995" s="44">
        <f>FiscalStart+(A2995-1)*7</f>
        <v/>
      </c>
      <c r="C2995">
        <f>TEXT(B2995,"mmm yyyy")</f>
        <v/>
      </c>
      <c r="D2995">
        <f>"Q"&amp;(INT((A2995-1)/13)+1)</f>
        <v/>
      </c>
      <c r="E2995" t="inlineStr">
        <is>
          <t>Specialty</t>
        </is>
      </c>
      <c r="F2995">
        <f>IFERROR(INDEX(ChFormat,MATCH(E2995,ChName,0)),"")</f>
        <v/>
      </c>
      <c r="G2995" t="inlineStr">
        <is>
          <t>NB</t>
        </is>
      </c>
      <c r="H2995">
        <f>IF(A2995&lt;=NWeeks,1,0)</f>
        <v/>
      </c>
      <c r="I2995">
        <f>INDEX(ChLaunch,MATCH(E2995,ChName,0))</f>
        <v/>
      </c>
      <c r="J2995">
        <f>INDEX(ChWeeksFull,MATCH(E2995,ChName,0))</f>
        <v/>
      </c>
      <c r="K2995">
        <f>INDEX(ChRamp,MATCH(E2995,ChName,0))</f>
        <v/>
      </c>
      <c r="L2995" s="45">
        <f>MIN(1,MAX(0,(A2995-I2995+1)*RampSpeed/J2995))</f>
        <v/>
      </c>
      <c r="M2995" s="45">
        <f>IF(A2995&lt;I2995,0,IF(K2995="S-curve",L2995*L2995*(3-2*L2995),L2995))</f>
        <v/>
      </c>
      <c r="N2995" s="45">
        <f>1+(INDEX(SeasonIdx,A2995)-1)*SeasonAmp</f>
        <v/>
      </c>
      <c r="O2995" s="45">
        <f>IFERROR(INDEX(PSPct,MATCH(E2995&amp;"|"&amp;G2995,PSKey,0)),0)</f>
        <v/>
      </c>
      <c r="P2995" s="46">
        <f>INDEX(ChDoorVel,MATCH(E2995,ChName,0))*CalibScalar*(1+VelocityUplift)</f>
        <v/>
      </c>
      <c r="Q2995" s="46" t="n">
        <v>0</v>
      </c>
      <c r="R2995" s="46">
        <f>P2995*O2995*M2995*N2995*H2995</f>
        <v/>
      </c>
      <c r="S2995" s="46">
        <f>R2995*INDEX(FmtCansPerCase,MATCH(F2995,FmtName,0))</f>
        <v/>
      </c>
      <c r="T2995" s="46">
        <f>S2995/INDEX(FmtCansPerPack,MATCH(F2995,FmtName,0))</f>
        <v/>
      </c>
      <c r="U2995" s="47">
        <f>INDEX(ChBaseCP,MATCH(E2995,ChName,0))*(1+INDEX(ProvMod,MATCH(G2995,ProvCode,0)))*(1+PriceIndex)</f>
        <v/>
      </c>
      <c r="V2995" s="47">
        <f>R2995*U2995*INDEX(FmtBlendedPriceIdx,MATCH(F2995,FmtName,0))</f>
        <v/>
      </c>
      <c r="W2995" s="47">
        <f>T2995*INDEX(ProvSRP,MATCH(G2995,ProvCode,0))*(1+PriceIndex)</f>
        <v/>
      </c>
      <c r="X2995" s="47">
        <f>IF(GrossBasis="Wholesale",V2995,W2995)</f>
        <v/>
      </c>
      <c r="Y2995" s="47">
        <f>R2995*INDEX(FmtBlendedCogs,MATCH(F2995,FmtName,0))</f>
        <v/>
      </c>
      <c r="Z2995" s="47">
        <f>X2995-Y2995</f>
        <v/>
      </c>
    </row>
    <row r="2996">
      <c r="A2996" t="n">
        <v>27</v>
      </c>
      <c r="B2996" s="44">
        <f>FiscalStart+(A2996-1)*7</f>
        <v/>
      </c>
      <c r="C2996">
        <f>TEXT(B2996,"mmm yyyy")</f>
        <v/>
      </c>
      <c r="D2996">
        <f>"Q"&amp;(INT((A2996-1)/13)+1)</f>
        <v/>
      </c>
      <c r="E2996" t="inlineStr">
        <is>
          <t>Specialty</t>
        </is>
      </c>
      <c r="F2996">
        <f>IFERROR(INDEX(ChFormat,MATCH(E2996,ChName,0)),"")</f>
        <v/>
      </c>
      <c r="G2996" t="inlineStr">
        <is>
          <t>NB</t>
        </is>
      </c>
      <c r="H2996">
        <f>IF(A2996&lt;=NWeeks,1,0)</f>
        <v/>
      </c>
      <c r="I2996">
        <f>INDEX(ChLaunch,MATCH(E2996,ChName,0))</f>
        <v/>
      </c>
      <c r="J2996">
        <f>INDEX(ChWeeksFull,MATCH(E2996,ChName,0))</f>
        <v/>
      </c>
      <c r="K2996">
        <f>INDEX(ChRamp,MATCH(E2996,ChName,0))</f>
        <v/>
      </c>
      <c r="L2996" s="45">
        <f>MIN(1,MAX(0,(A2996-I2996+1)*RampSpeed/J2996))</f>
        <v/>
      </c>
      <c r="M2996" s="45">
        <f>IF(A2996&lt;I2996,0,IF(K2996="S-curve",L2996*L2996*(3-2*L2996),L2996))</f>
        <v/>
      </c>
      <c r="N2996" s="45">
        <f>1+(INDEX(SeasonIdx,A2996)-1)*SeasonAmp</f>
        <v/>
      </c>
      <c r="O2996" s="45">
        <f>IFERROR(INDEX(PSPct,MATCH(E2996&amp;"|"&amp;G2996,PSKey,0)),0)</f>
        <v/>
      </c>
      <c r="P2996" s="46">
        <f>INDEX(ChDoorVel,MATCH(E2996,ChName,0))*CalibScalar*(1+VelocityUplift)</f>
        <v/>
      </c>
      <c r="Q2996" s="46" t="n">
        <v>0</v>
      </c>
      <c r="R2996" s="46">
        <f>P2996*O2996*M2996*N2996*H2996</f>
        <v/>
      </c>
      <c r="S2996" s="46">
        <f>R2996*INDEX(FmtCansPerCase,MATCH(F2996,FmtName,0))</f>
        <v/>
      </c>
      <c r="T2996" s="46">
        <f>S2996/INDEX(FmtCansPerPack,MATCH(F2996,FmtName,0))</f>
        <v/>
      </c>
      <c r="U2996" s="47">
        <f>INDEX(ChBaseCP,MATCH(E2996,ChName,0))*(1+INDEX(ProvMod,MATCH(G2996,ProvCode,0)))*(1+PriceIndex)</f>
        <v/>
      </c>
      <c r="V2996" s="47">
        <f>R2996*U2996*INDEX(FmtBlendedPriceIdx,MATCH(F2996,FmtName,0))</f>
        <v/>
      </c>
      <c r="W2996" s="47">
        <f>T2996*INDEX(ProvSRP,MATCH(G2996,ProvCode,0))*(1+PriceIndex)</f>
        <v/>
      </c>
      <c r="X2996" s="47">
        <f>IF(GrossBasis="Wholesale",V2996,W2996)</f>
        <v/>
      </c>
      <c r="Y2996" s="47">
        <f>R2996*INDEX(FmtBlendedCogs,MATCH(F2996,FmtName,0))</f>
        <v/>
      </c>
      <c r="Z2996" s="47">
        <f>X2996-Y2996</f>
        <v/>
      </c>
    </row>
    <row r="2997">
      <c r="A2997" t="n">
        <v>28</v>
      </c>
      <c r="B2997" s="44">
        <f>FiscalStart+(A2997-1)*7</f>
        <v/>
      </c>
      <c r="C2997">
        <f>TEXT(B2997,"mmm yyyy")</f>
        <v/>
      </c>
      <c r="D2997">
        <f>"Q"&amp;(INT((A2997-1)/13)+1)</f>
        <v/>
      </c>
      <c r="E2997" t="inlineStr">
        <is>
          <t>Specialty</t>
        </is>
      </c>
      <c r="F2997">
        <f>IFERROR(INDEX(ChFormat,MATCH(E2997,ChName,0)),"")</f>
        <v/>
      </c>
      <c r="G2997" t="inlineStr">
        <is>
          <t>NB</t>
        </is>
      </c>
      <c r="H2997">
        <f>IF(A2997&lt;=NWeeks,1,0)</f>
        <v/>
      </c>
      <c r="I2997">
        <f>INDEX(ChLaunch,MATCH(E2997,ChName,0))</f>
        <v/>
      </c>
      <c r="J2997">
        <f>INDEX(ChWeeksFull,MATCH(E2997,ChName,0))</f>
        <v/>
      </c>
      <c r="K2997">
        <f>INDEX(ChRamp,MATCH(E2997,ChName,0))</f>
        <v/>
      </c>
      <c r="L2997" s="45">
        <f>MIN(1,MAX(0,(A2997-I2997+1)*RampSpeed/J2997))</f>
        <v/>
      </c>
      <c r="M2997" s="45">
        <f>IF(A2997&lt;I2997,0,IF(K2997="S-curve",L2997*L2997*(3-2*L2997),L2997))</f>
        <v/>
      </c>
      <c r="N2997" s="45">
        <f>1+(INDEX(SeasonIdx,A2997)-1)*SeasonAmp</f>
        <v/>
      </c>
      <c r="O2997" s="45">
        <f>IFERROR(INDEX(PSPct,MATCH(E2997&amp;"|"&amp;G2997,PSKey,0)),0)</f>
        <v/>
      </c>
      <c r="P2997" s="46">
        <f>INDEX(ChDoorVel,MATCH(E2997,ChName,0))*CalibScalar*(1+VelocityUplift)</f>
        <v/>
      </c>
      <c r="Q2997" s="46" t="n">
        <v>0</v>
      </c>
      <c r="R2997" s="46">
        <f>P2997*O2997*M2997*N2997*H2997</f>
        <v/>
      </c>
      <c r="S2997" s="46">
        <f>R2997*INDEX(FmtCansPerCase,MATCH(F2997,FmtName,0))</f>
        <v/>
      </c>
      <c r="T2997" s="46">
        <f>S2997/INDEX(FmtCansPerPack,MATCH(F2997,FmtName,0))</f>
        <v/>
      </c>
      <c r="U2997" s="47">
        <f>INDEX(ChBaseCP,MATCH(E2997,ChName,0))*(1+INDEX(ProvMod,MATCH(G2997,ProvCode,0)))*(1+PriceIndex)</f>
        <v/>
      </c>
      <c r="V2997" s="47">
        <f>R2997*U2997*INDEX(FmtBlendedPriceIdx,MATCH(F2997,FmtName,0))</f>
        <v/>
      </c>
      <c r="W2997" s="47">
        <f>T2997*INDEX(ProvSRP,MATCH(G2997,ProvCode,0))*(1+PriceIndex)</f>
        <v/>
      </c>
      <c r="X2997" s="47">
        <f>IF(GrossBasis="Wholesale",V2997,W2997)</f>
        <v/>
      </c>
      <c r="Y2997" s="47">
        <f>R2997*INDEX(FmtBlendedCogs,MATCH(F2997,FmtName,0))</f>
        <v/>
      </c>
      <c r="Z2997" s="47">
        <f>X2997-Y2997</f>
        <v/>
      </c>
    </row>
    <row r="2998">
      <c r="A2998" t="n">
        <v>29</v>
      </c>
      <c r="B2998" s="44">
        <f>FiscalStart+(A2998-1)*7</f>
        <v/>
      </c>
      <c r="C2998">
        <f>TEXT(B2998,"mmm yyyy")</f>
        <v/>
      </c>
      <c r="D2998">
        <f>"Q"&amp;(INT((A2998-1)/13)+1)</f>
        <v/>
      </c>
      <c r="E2998" t="inlineStr">
        <is>
          <t>Specialty</t>
        </is>
      </c>
      <c r="F2998">
        <f>IFERROR(INDEX(ChFormat,MATCH(E2998,ChName,0)),"")</f>
        <v/>
      </c>
      <c r="G2998" t="inlineStr">
        <is>
          <t>NB</t>
        </is>
      </c>
      <c r="H2998">
        <f>IF(A2998&lt;=NWeeks,1,0)</f>
        <v/>
      </c>
      <c r="I2998">
        <f>INDEX(ChLaunch,MATCH(E2998,ChName,0))</f>
        <v/>
      </c>
      <c r="J2998">
        <f>INDEX(ChWeeksFull,MATCH(E2998,ChName,0))</f>
        <v/>
      </c>
      <c r="K2998">
        <f>INDEX(ChRamp,MATCH(E2998,ChName,0))</f>
        <v/>
      </c>
      <c r="L2998" s="45">
        <f>MIN(1,MAX(0,(A2998-I2998+1)*RampSpeed/J2998))</f>
        <v/>
      </c>
      <c r="M2998" s="45">
        <f>IF(A2998&lt;I2998,0,IF(K2998="S-curve",L2998*L2998*(3-2*L2998),L2998))</f>
        <v/>
      </c>
      <c r="N2998" s="45">
        <f>1+(INDEX(SeasonIdx,A2998)-1)*SeasonAmp</f>
        <v/>
      </c>
      <c r="O2998" s="45">
        <f>IFERROR(INDEX(PSPct,MATCH(E2998&amp;"|"&amp;G2998,PSKey,0)),0)</f>
        <v/>
      </c>
      <c r="P2998" s="46">
        <f>INDEX(ChDoorVel,MATCH(E2998,ChName,0))*CalibScalar*(1+VelocityUplift)</f>
        <v/>
      </c>
      <c r="Q2998" s="46" t="n">
        <v>0</v>
      </c>
      <c r="R2998" s="46">
        <f>P2998*O2998*M2998*N2998*H2998</f>
        <v/>
      </c>
      <c r="S2998" s="46">
        <f>R2998*INDEX(FmtCansPerCase,MATCH(F2998,FmtName,0))</f>
        <v/>
      </c>
      <c r="T2998" s="46">
        <f>S2998/INDEX(FmtCansPerPack,MATCH(F2998,FmtName,0))</f>
        <v/>
      </c>
      <c r="U2998" s="47">
        <f>INDEX(ChBaseCP,MATCH(E2998,ChName,0))*(1+INDEX(ProvMod,MATCH(G2998,ProvCode,0)))*(1+PriceIndex)</f>
        <v/>
      </c>
      <c r="V2998" s="47">
        <f>R2998*U2998*INDEX(FmtBlendedPriceIdx,MATCH(F2998,FmtName,0))</f>
        <v/>
      </c>
      <c r="W2998" s="47">
        <f>T2998*INDEX(ProvSRP,MATCH(G2998,ProvCode,0))*(1+PriceIndex)</f>
        <v/>
      </c>
      <c r="X2998" s="47">
        <f>IF(GrossBasis="Wholesale",V2998,W2998)</f>
        <v/>
      </c>
      <c r="Y2998" s="47">
        <f>R2998*INDEX(FmtBlendedCogs,MATCH(F2998,FmtName,0))</f>
        <v/>
      </c>
      <c r="Z2998" s="47">
        <f>X2998-Y2998</f>
        <v/>
      </c>
    </row>
    <row r="2999">
      <c r="A2999" t="n">
        <v>30</v>
      </c>
      <c r="B2999" s="44">
        <f>FiscalStart+(A2999-1)*7</f>
        <v/>
      </c>
      <c r="C2999">
        <f>TEXT(B2999,"mmm yyyy")</f>
        <v/>
      </c>
      <c r="D2999">
        <f>"Q"&amp;(INT((A2999-1)/13)+1)</f>
        <v/>
      </c>
      <c r="E2999" t="inlineStr">
        <is>
          <t>Specialty</t>
        </is>
      </c>
      <c r="F2999">
        <f>IFERROR(INDEX(ChFormat,MATCH(E2999,ChName,0)),"")</f>
        <v/>
      </c>
      <c r="G2999" t="inlineStr">
        <is>
          <t>NB</t>
        </is>
      </c>
      <c r="H2999">
        <f>IF(A2999&lt;=NWeeks,1,0)</f>
        <v/>
      </c>
      <c r="I2999">
        <f>INDEX(ChLaunch,MATCH(E2999,ChName,0))</f>
        <v/>
      </c>
      <c r="J2999">
        <f>INDEX(ChWeeksFull,MATCH(E2999,ChName,0))</f>
        <v/>
      </c>
      <c r="K2999">
        <f>INDEX(ChRamp,MATCH(E2999,ChName,0))</f>
        <v/>
      </c>
      <c r="L2999" s="45">
        <f>MIN(1,MAX(0,(A2999-I2999+1)*RampSpeed/J2999))</f>
        <v/>
      </c>
      <c r="M2999" s="45">
        <f>IF(A2999&lt;I2999,0,IF(K2999="S-curve",L2999*L2999*(3-2*L2999),L2999))</f>
        <v/>
      </c>
      <c r="N2999" s="45">
        <f>1+(INDEX(SeasonIdx,A2999)-1)*SeasonAmp</f>
        <v/>
      </c>
      <c r="O2999" s="45">
        <f>IFERROR(INDEX(PSPct,MATCH(E2999&amp;"|"&amp;G2999,PSKey,0)),0)</f>
        <v/>
      </c>
      <c r="P2999" s="46">
        <f>INDEX(ChDoorVel,MATCH(E2999,ChName,0))*CalibScalar*(1+VelocityUplift)</f>
        <v/>
      </c>
      <c r="Q2999" s="46" t="n">
        <v>0</v>
      </c>
      <c r="R2999" s="46">
        <f>P2999*O2999*M2999*N2999*H2999</f>
        <v/>
      </c>
      <c r="S2999" s="46">
        <f>R2999*INDEX(FmtCansPerCase,MATCH(F2999,FmtName,0))</f>
        <v/>
      </c>
      <c r="T2999" s="46">
        <f>S2999/INDEX(FmtCansPerPack,MATCH(F2999,FmtName,0))</f>
        <v/>
      </c>
      <c r="U2999" s="47">
        <f>INDEX(ChBaseCP,MATCH(E2999,ChName,0))*(1+INDEX(ProvMod,MATCH(G2999,ProvCode,0)))*(1+PriceIndex)</f>
        <v/>
      </c>
      <c r="V2999" s="47">
        <f>R2999*U2999*INDEX(FmtBlendedPriceIdx,MATCH(F2999,FmtName,0))</f>
        <v/>
      </c>
      <c r="W2999" s="47">
        <f>T2999*INDEX(ProvSRP,MATCH(G2999,ProvCode,0))*(1+PriceIndex)</f>
        <v/>
      </c>
      <c r="X2999" s="47">
        <f>IF(GrossBasis="Wholesale",V2999,W2999)</f>
        <v/>
      </c>
      <c r="Y2999" s="47">
        <f>R2999*INDEX(FmtBlendedCogs,MATCH(F2999,FmtName,0))</f>
        <v/>
      </c>
      <c r="Z2999" s="47">
        <f>X2999-Y2999</f>
        <v/>
      </c>
    </row>
    <row r="3000">
      <c r="A3000" t="n">
        <v>31</v>
      </c>
      <c r="B3000" s="44">
        <f>FiscalStart+(A3000-1)*7</f>
        <v/>
      </c>
      <c r="C3000">
        <f>TEXT(B3000,"mmm yyyy")</f>
        <v/>
      </c>
      <c r="D3000">
        <f>"Q"&amp;(INT((A3000-1)/13)+1)</f>
        <v/>
      </c>
      <c r="E3000" t="inlineStr">
        <is>
          <t>Specialty</t>
        </is>
      </c>
      <c r="F3000">
        <f>IFERROR(INDEX(ChFormat,MATCH(E3000,ChName,0)),"")</f>
        <v/>
      </c>
      <c r="G3000" t="inlineStr">
        <is>
          <t>NB</t>
        </is>
      </c>
      <c r="H3000">
        <f>IF(A3000&lt;=NWeeks,1,0)</f>
        <v/>
      </c>
      <c r="I3000">
        <f>INDEX(ChLaunch,MATCH(E3000,ChName,0))</f>
        <v/>
      </c>
      <c r="J3000">
        <f>INDEX(ChWeeksFull,MATCH(E3000,ChName,0))</f>
        <v/>
      </c>
      <c r="K3000">
        <f>INDEX(ChRamp,MATCH(E3000,ChName,0))</f>
        <v/>
      </c>
      <c r="L3000" s="45">
        <f>MIN(1,MAX(0,(A3000-I3000+1)*RampSpeed/J3000))</f>
        <v/>
      </c>
      <c r="M3000" s="45">
        <f>IF(A3000&lt;I3000,0,IF(K3000="S-curve",L3000*L3000*(3-2*L3000),L3000))</f>
        <v/>
      </c>
      <c r="N3000" s="45">
        <f>1+(INDEX(SeasonIdx,A3000)-1)*SeasonAmp</f>
        <v/>
      </c>
      <c r="O3000" s="45">
        <f>IFERROR(INDEX(PSPct,MATCH(E3000&amp;"|"&amp;G3000,PSKey,0)),0)</f>
        <v/>
      </c>
      <c r="P3000" s="46">
        <f>INDEX(ChDoorVel,MATCH(E3000,ChName,0))*CalibScalar*(1+VelocityUplift)</f>
        <v/>
      </c>
      <c r="Q3000" s="46" t="n">
        <v>0</v>
      </c>
      <c r="R3000" s="46">
        <f>P3000*O3000*M3000*N3000*H3000</f>
        <v/>
      </c>
      <c r="S3000" s="46">
        <f>R3000*INDEX(FmtCansPerCase,MATCH(F3000,FmtName,0))</f>
        <v/>
      </c>
      <c r="T3000" s="46">
        <f>S3000/INDEX(FmtCansPerPack,MATCH(F3000,FmtName,0))</f>
        <v/>
      </c>
      <c r="U3000" s="47">
        <f>INDEX(ChBaseCP,MATCH(E3000,ChName,0))*(1+INDEX(ProvMod,MATCH(G3000,ProvCode,0)))*(1+PriceIndex)</f>
        <v/>
      </c>
      <c r="V3000" s="47">
        <f>R3000*U3000*INDEX(FmtBlendedPriceIdx,MATCH(F3000,FmtName,0))</f>
        <v/>
      </c>
      <c r="W3000" s="47">
        <f>T3000*INDEX(ProvSRP,MATCH(G3000,ProvCode,0))*(1+PriceIndex)</f>
        <v/>
      </c>
      <c r="X3000" s="47">
        <f>IF(GrossBasis="Wholesale",V3000,W3000)</f>
        <v/>
      </c>
      <c r="Y3000" s="47">
        <f>R3000*INDEX(FmtBlendedCogs,MATCH(F3000,FmtName,0))</f>
        <v/>
      </c>
      <c r="Z3000" s="47">
        <f>X3000-Y3000</f>
        <v/>
      </c>
    </row>
    <row r="3001">
      <c r="A3001" t="n">
        <v>32</v>
      </c>
      <c r="B3001" s="44">
        <f>FiscalStart+(A3001-1)*7</f>
        <v/>
      </c>
      <c r="C3001">
        <f>TEXT(B3001,"mmm yyyy")</f>
        <v/>
      </c>
      <c r="D3001">
        <f>"Q"&amp;(INT((A3001-1)/13)+1)</f>
        <v/>
      </c>
      <c r="E3001" t="inlineStr">
        <is>
          <t>Specialty</t>
        </is>
      </c>
      <c r="F3001">
        <f>IFERROR(INDEX(ChFormat,MATCH(E3001,ChName,0)),"")</f>
        <v/>
      </c>
      <c r="G3001" t="inlineStr">
        <is>
          <t>NB</t>
        </is>
      </c>
      <c r="H3001">
        <f>IF(A3001&lt;=NWeeks,1,0)</f>
        <v/>
      </c>
      <c r="I3001">
        <f>INDEX(ChLaunch,MATCH(E3001,ChName,0))</f>
        <v/>
      </c>
      <c r="J3001">
        <f>INDEX(ChWeeksFull,MATCH(E3001,ChName,0))</f>
        <v/>
      </c>
      <c r="K3001">
        <f>INDEX(ChRamp,MATCH(E3001,ChName,0))</f>
        <v/>
      </c>
      <c r="L3001" s="45">
        <f>MIN(1,MAX(0,(A3001-I3001+1)*RampSpeed/J3001))</f>
        <v/>
      </c>
      <c r="M3001" s="45">
        <f>IF(A3001&lt;I3001,0,IF(K3001="S-curve",L3001*L3001*(3-2*L3001),L3001))</f>
        <v/>
      </c>
      <c r="N3001" s="45">
        <f>1+(INDEX(SeasonIdx,A3001)-1)*SeasonAmp</f>
        <v/>
      </c>
      <c r="O3001" s="45">
        <f>IFERROR(INDEX(PSPct,MATCH(E3001&amp;"|"&amp;G3001,PSKey,0)),0)</f>
        <v/>
      </c>
      <c r="P3001" s="46">
        <f>INDEX(ChDoorVel,MATCH(E3001,ChName,0))*CalibScalar*(1+VelocityUplift)</f>
        <v/>
      </c>
      <c r="Q3001" s="46" t="n">
        <v>0</v>
      </c>
      <c r="R3001" s="46">
        <f>P3001*O3001*M3001*N3001*H3001</f>
        <v/>
      </c>
      <c r="S3001" s="46">
        <f>R3001*INDEX(FmtCansPerCase,MATCH(F3001,FmtName,0))</f>
        <v/>
      </c>
      <c r="T3001" s="46">
        <f>S3001/INDEX(FmtCansPerPack,MATCH(F3001,FmtName,0))</f>
        <v/>
      </c>
      <c r="U3001" s="47">
        <f>INDEX(ChBaseCP,MATCH(E3001,ChName,0))*(1+INDEX(ProvMod,MATCH(G3001,ProvCode,0)))*(1+PriceIndex)</f>
        <v/>
      </c>
      <c r="V3001" s="47">
        <f>R3001*U3001*INDEX(FmtBlendedPriceIdx,MATCH(F3001,FmtName,0))</f>
        <v/>
      </c>
      <c r="W3001" s="47">
        <f>T3001*INDEX(ProvSRP,MATCH(G3001,ProvCode,0))*(1+PriceIndex)</f>
        <v/>
      </c>
      <c r="X3001" s="47">
        <f>IF(GrossBasis="Wholesale",V3001,W3001)</f>
        <v/>
      </c>
      <c r="Y3001" s="47">
        <f>R3001*INDEX(FmtBlendedCogs,MATCH(F3001,FmtName,0))</f>
        <v/>
      </c>
      <c r="Z3001" s="47">
        <f>X3001-Y3001</f>
        <v/>
      </c>
    </row>
    <row r="3002">
      <c r="A3002" t="n">
        <v>33</v>
      </c>
      <c r="B3002" s="44">
        <f>FiscalStart+(A3002-1)*7</f>
        <v/>
      </c>
      <c r="C3002">
        <f>TEXT(B3002,"mmm yyyy")</f>
        <v/>
      </c>
      <c r="D3002">
        <f>"Q"&amp;(INT((A3002-1)/13)+1)</f>
        <v/>
      </c>
      <c r="E3002" t="inlineStr">
        <is>
          <t>Specialty</t>
        </is>
      </c>
      <c r="F3002">
        <f>IFERROR(INDEX(ChFormat,MATCH(E3002,ChName,0)),"")</f>
        <v/>
      </c>
      <c r="G3002" t="inlineStr">
        <is>
          <t>NB</t>
        </is>
      </c>
      <c r="H3002">
        <f>IF(A3002&lt;=NWeeks,1,0)</f>
        <v/>
      </c>
      <c r="I3002">
        <f>INDEX(ChLaunch,MATCH(E3002,ChName,0))</f>
        <v/>
      </c>
      <c r="J3002">
        <f>INDEX(ChWeeksFull,MATCH(E3002,ChName,0))</f>
        <v/>
      </c>
      <c r="K3002">
        <f>INDEX(ChRamp,MATCH(E3002,ChName,0))</f>
        <v/>
      </c>
      <c r="L3002" s="45">
        <f>MIN(1,MAX(0,(A3002-I3002+1)*RampSpeed/J3002))</f>
        <v/>
      </c>
      <c r="M3002" s="45">
        <f>IF(A3002&lt;I3002,0,IF(K3002="S-curve",L3002*L3002*(3-2*L3002),L3002))</f>
        <v/>
      </c>
      <c r="N3002" s="45">
        <f>1+(INDEX(SeasonIdx,A3002)-1)*SeasonAmp</f>
        <v/>
      </c>
      <c r="O3002" s="45">
        <f>IFERROR(INDEX(PSPct,MATCH(E3002&amp;"|"&amp;G3002,PSKey,0)),0)</f>
        <v/>
      </c>
      <c r="P3002" s="46">
        <f>INDEX(ChDoorVel,MATCH(E3002,ChName,0))*CalibScalar*(1+VelocityUplift)</f>
        <v/>
      </c>
      <c r="Q3002" s="46" t="n">
        <v>0</v>
      </c>
      <c r="R3002" s="46">
        <f>P3002*O3002*M3002*N3002*H3002</f>
        <v/>
      </c>
      <c r="S3002" s="46">
        <f>R3002*INDEX(FmtCansPerCase,MATCH(F3002,FmtName,0))</f>
        <v/>
      </c>
      <c r="T3002" s="46">
        <f>S3002/INDEX(FmtCansPerPack,MATCH(F3002,FmtName,0))</f>
        <v/>
      </c>
      <c r="U3002" s="47">
        <f>INDEX(ChBaseCP,MATCH(E3002,ChName,0))*(1+INDEX(ProvMod,MATCH(G3002,ProvCode,0)))*(1+PriceIndex)</f>
        <v/>
      </c>
      <c r="V3002" s="47">
        <f>R3002*U3002*INDEX(FmtBlendedPriceIdx,MATCH(F3002,FmtName,0))</f>
        <v/>
      </c>
      <c r="W3002" s="47">
        <f>T3002*INDEX(ProvSRP,MATCH(G3002,ProvCode,0))*(1+PriceIndex)</f>
        <v/>
      </c>
      <c r="X3002" s="47">
        <f>IF(GrossBasis="Wholesale",V3002,W3002)</f>
        <v/>
      </c>
      <c r="Y3002" s="47">
        <f>R3002*INDEX(FmtBlendedCogs,MATCH(F3002,FmtName,0))</f>
        <v/>
      </c>
      <c r="Z3002" s="47">
        <f>X3002-Y3002</f>
        <v/>
      </c>
    </row>
    <row r="3003">
      <c r="A3003" t="n">
        <v>34</v>
      </c>
      <c r="B3003" s="44">
        <f>FiscalStart+(A3003-1)*7</f>
        <v/>
      </c>
      <c r="C3003">
        <f>TEXT(B3003,"mmm yyyy")</f>
        <v/>
      </c>
      <c r="D3003">
        <f>"Q"&amp;(INT((A3003-1)/13)+1)</f>
        <v/>
      </c>
      <c r="E3003" t="inlineStr">
        <is>
          <t>Specialty</t>
        </is>
      </c>
      <c r="F3003">
        <f>IFERROR(INDEX(ChFormat,MATCH(E3003,ChName,0)),"")</f>
        <v/>
      </c>
      <c r="G3003" t="inlineStr">
        <is>
          <t>NB</t>
        </is>
      </c>
      <c r="H3003">
        <f>IF(A3003&lt;=NWeeks,1,0)</f>
        <v/>
      </c>
      <c r="I3003">
        <f>INDEX(ChLaunch,MATCH(E3003,ChName,0))</f>
        <v/>
      </c>
      <c r="J3003">
        <f>INDEX(ChWeeksFull,MATCH(E3003,ChName,0))</f>
        <v/>
      </c>
      <c r="K3003">
        <f>INDEX(ChRamp,MATCH(E3003,ChName,0))</f>
        <v/>
      </c>
      <c r="L3003" s="45">
        <f>MIN(1,MAX(0,(A3003-I3003+1)*RampSpeed/J3003))</f>
        <v/>
      </c>
      <c r="M3003" s="45">
        <f>IF(A3003&lt;I3003,0,IF(K3003="S-curve",L3003*L3003*(3-2*L3003),L3003))</f>
        <v/>
      </c>
      <c r="N3003" s="45">
        <f>1+(INDEX(SeasonIdx,A3003)-1)*SeasonAmp</f>
        <v/>
      </c>
      <c r="O3003" s="45">
        <f>IFERROR(INDEX(PSPct,MATCH(E3003&amp;"|"&amp;G3003,PSKey,0)),0)</f>
        <v/>
      </c>
      <c r="P3003" s="46">
        <f>INDEX(ChDoorVel,MATCH(E3003,ChName,0))*CalibScalar*(1+VelocityUplift)</f>
        <v/>
      </c>
      <c r="Q3003" s="46" t="n">
        <v>0</v>
      </c>
      <c r="R3003" s="46">
        <f>P3003*O3003*M3003*N3003*H3003</f>
        <v/>
      </c>
      <c r="S3003" s="46">
        <f>R3003*INDEX(FmtCansPerCase,MATCH(F3003,FmtName,0))</f>
        <v/>
      </c>
      <c r="T3003" s="46">
        <f>S3003/INDEX(FmtCansPerPack,MATCH(F3003,FmtName,0))</f>
        <v/>
      </c>
      <c r="U3003" s="47">
        <f>INDEX(ChBaseCP,MATCH(E3003,ChName,0))*(1+INDEX(ProvMod,MATCH(G3003,ProvCode,0)))*(1+PriceIndex)</f>
        <v/>
      </c>
      <c r="V3003" s="47">
        <f>R3003*U3003*INDEX(FmtBlendedPriceIdx,MATCH(F3003,FmtName,0))</f>
        <v/>
      </c>
      <c r="W3003" s="47">
        <f>T3003*INDEX(ProvSRP,MATCH(G3003,ProvCode,0))*(1+PriceIndex)</f>
        <v/>
      </c>
      <c r="X3003" s="47">
        <f>IF(GrossBasis="Wholesale",V3003,W3003)</f>
        <v/>
      </c>
      <c r="Y3003" s="47">
        <f>R3003*INDEX(FmtBlendedCogs,MATCH(F3003,FmtName,0))</f>
        <v/>
      </c>
      <c r="Z3003" s="47">
        <f>X3003-Y3003</f>
        <v/>
      </c>
    </row>
    <row r="3004">
      <c r="A3004" t="n">
        <v>35</v>
      </c>
      <c r="B3004" s="44">
        <f>FiscalStart+(A3004-1)*7</f>
        <v/>
      </c>
      <c r="C3004">
        <f>TEXT(B3004,"mmm yyyy")</f>
        <v/>
      </c>
      <c r="D3004">
        <f>"Q"&amp;(INT((A3004-1)/13)+1)</f>
        <v/>
      </c>
      <c r="E3004" t="inlineStr">
        <is>
          <t>Specialty</t>
        </is>
      </c>
      <c r="F3004">
        <f>IFERROR(INDEX(ChFormat,MATCH(E3004,ChName,0)),"")</f>
        <v/>
      </c>
      <c r="G3004" t="inlineStr">
        <is>
          <t>NB</t>
        </is>
      </c>
      <c r="H3004">
        <f>IF(A3004&lt;=NWeeks,1,0)</f>
        <v/>
      </c>
      <c r="I3004">
        <f>INDEX(ChLaunch,MATCH(E3004,ChName,0))</f>
        <v/>
      </c>
      <c r="J3004">
        <f>INDEX(ChWeeksFull,MATCH(E3004,ChName,0))</f>
        <v/>
      </c>
      <c r="K3004">
        <f>INDEX(ChRamp,MATCH(E3004,ChName,0))</f>
        <v/>
      </c>
      <c r="L3004" s="45">
        <f>MIN(1,MAX(0,(A3004-I3004+1)*RampSpeed/J3004))</f>
        <v/>
      </c>
      <c r="M3004" s="45">
        <f>IF(A3004&lt;I3004,0,IF(K3004="S-curve",L3004*L3004*(3-2*L3004),L3004))</f>
        <v/>
      </c>
      <c r="N3004" s="45">
        <f>1+(INDEX(SeasonIdx,A3004)-1)*SeasonAmp</f>
        <v/>
      </c>
      <c r="O3004" s="45">
        <f>IFERROR(INDEX(PSPct,MATCH(E3004&amp;"|"&amp;G3004,PSKey,0)),0)</f>
        <v/>
      </c>
      <c r="P3004" s="46">
        <f>INDEX(ChDoorVel,MATCH(E3004,ChName,0))*CalibScalar*(1+VelocityUplift)</f>
        <v/>
      </c>
      <c r="Q3004" s="46" t="n">
        <v>0</v>
      </c>
      <c r="R3004" s="46">
        <f>P3004*O3004*M3004*N3004*H3004</f>
        <v/>
      </c>
      <c r="S3004" s="46">
        <f>R3004*INDEX(FmtCansPerCase,MATCH(F3004,FmtName,0))</f>
        <v/>
      </c>
      <c r="T3004" s="46">
        <f>S3004/INDEX(FmtCansPerPack,MATCH(F3004,FmtName,0))</f>
        <v/>
      </c>
      <c r="U3004" s="47">
        <f>INDEX(ChBaseCP,MATCH(E3004,ChName,0))*(1+INDEX(ProvMod,MATCH(G3004,ProvCode,0)))*(1+PriceIndex)</f>
        <v/>
      </c>
      <c r="V3004" s="47">
        <f>R3004*U3004*INDEX(FmtBlendedPriceIdx,MATCH(F3004,FmtName,0))</f>
        <v/>
      </c>
      <c r="W3004" s="47">
        <f>T3004*INDEX(ProvSRP,MATCH(G3004,ProvCode,0))*(1+PriceIndex)</f>
        <v/>
      </c>
      <c r="X3004" s="47">
        <f>IF(GrossBasis="Wholesale",V3004,W3004)</f>
        <v/>
      </c>
      <c r="Y3004" s="47">
        <f>R3004*INDEX(FmtBlendedCogs,MATCH(F3004,FmtName,0))</f>
        <v/>
      </c>
      <c r="Z3004" s="47">
        <f>X3004-Y3004</f>
        <v/>
      </c>
    </row>
    <row r="3005">
      <c r="A3005" t="n">
        <v>36</v>
      </c>
      <c r="B3005" s="44">
        <f>FiscalStart+(A3005-1)*7</f>
        <v/>
      </c>
      <c r="C3005">
        <f>TEXT(B3005,"mmm yyyy")</f>
        <v/>
      </c>
      <c r="D3005">
        <f>"Q"&amp;(INT((A3005-1)/13)+1)</f>
        <v/>
      </c>
      <c r="E3005" t="inlineStr">
        <is>
          <t>Specialty</t>
        </is>
      </c>
      <c r="F3005">
        <f>IFERROR(INDEX(ChFormat,MATCH(E3005,ChName,0)),"")</f>
        <v/>
      </c>
      <c r="G3005" t="inlineStr">
        <is>
          <t>NB</t>
        </is>
      </c>
      <c r="H3005">
        <f>IF(A3005&lt;=NWeeks,1,0)</f>
        <v/>
      </c>
      <c r="I3005">
        <f>INDEX(ChLaunch,MATCH(E3005,ChName,0))</f>
        <v/>
      </c>
      <c r="J3005">
        <f>INDEX(ChWeeksFull,MATCH(E3005,ChName,0))</f>
        <v/>
      </c>
      <c r="K3005">
        <f>INDEX(ChRamp,MATCH(E3005,ChName,0))</f>
        <v/>
      </c>
      <c r="L3005" s="45">
        <f>MIN(1,MAX(0,(A3005-I3005+1)*RampSpeed/J3005))</f>
        <v/>
      </c>
      <c r="M3005" s="45">
        <f>IF(A3005&lt;I3005,0,IF(K3005="S-curve",L3005*L3005*(3-2*L3005),L3005))</f>
        <v/>
      </c>
      <c r="N3005" s="45">
        <f>1+(INDEX(SeasonIdx,A3005)-1)*SeasonAmp</f>
        <v/>
      </c>
      <c r="O3005" s="45">
        <f>IFERROR(INDEX(PSPct,MATCH(E3005&amp;"|"&amp;G3005,PSKey,0)),0)</f>
        <v/>
      </c>
      <c r="P3005" s="46">
        <f>INDEX(ChDoorVel,MATCH(E3005,ChName,0))*CalibScalar*(1+VelocityUplift)</f>
        <v/>
      </c>
      <c r="Q3005" s="46" t="n">
        <v>0</v>
      </c>
      <c r="R3005" s="46">
        <f>P3005*O3005*M3005*N3005*H3005</f>
        <v/>
      </c>
      <c r="S3005" s="46">
        <f>R3005*INDEX(FmtCansPerCase,MATCH(F3005,FmtName,0))</f>
        <v/>
      </c>
      <c r="T3005" s="46">
        <f>S3005/INDEX(FmtCansPerPack,MATCH(F3005,FmtName,0))</f>
        <v/>
      </c>
      <c r="U3005" s="47">
        <f>INDEX(ChBaseCP,MATCH(E3005,ChName,0))*(1+INDEX(ProvMod,MATCH(G3005,ProvCode,0)))*(1+PriceIndex)</f>
        <v/>
      </c>
      <c r="V3005" s="47">
        <f>R3005*U3005*INDEX(FmtBlendedPriceIdx,MATCH(F3005,FmtName,0))</f>
        <v/>
      </c>
      <c r="W3005" s="47">
        <f>T3005*INDEX(ProvSRP,MATCH(G3005,ProvCode,0))*(1+PriceIndex)</f>
        <v/>
      </c>
      <c r="X3005" s="47">
        <f>IF(GrossBasis="Wholesale",V3005,W3005)</f>
        <v/>
      </c>
      <c r="Y3005" s="47">
        <f>R3005*INDEX(FmtBlendedCogs,MATCH(F3005,FmtName,0))</f>
        <v/>
      </c>
      <c r="Z3005" s="47">
        <f>X3005-Y3005</f>
        <v/>
      </c>
    </row>
    <row r="3006">
      <c r="A3006" t="n">
        <v>37</v>
      </c>
      <c r="B3006" s="44">
        <f>FiscalStart+(A3006-1)*7</f>
        <v/>
      </c>
      <c r="C3006">
        <f>TEXT(B3006,"mmm yyyy")</f>
        <v/>
      </c>
      <c r="D3006">
        <f>"Q"&amp;(INT((A3006-1)/13)+1)</f>
        <v/>
      </c>
      <c r="E3006" t="inlineStr">
        <is>
          <t>Specialty</t>
        </is>
      </c>
      <c r="F3006">
        <f>IFERROR(INDEX(ChFormat,MATCH(E3006,ChName,0)),"")</f>
        <v/>
      </c>
      <c r="G3006" t="inlineStr">
        <is>
          <t>NB</t>
        </is>
      </c>
      <c r="H3006">
        <f>IF(A3006&lt;=NWeeks,1,0)</f>
        <v/>
      </c>
      <c r="I3006">
        <f>INDEX(ChLaunch,MATCH(E3006,ChName,0))</f>
        <v/>
      </c>
      <c r="J3006">
        <f>INDEX(ChWeeksFull,MATCH(E3006,ChName,0))</f>
        <v/>
      </c>
      <c r="K3006">
        <f>INDEX(ChRamp,MATCH(E3006,ChName,0))</f>
        <v/>
      </c>
      <c r="L3006" s="45">
        <f>MIN(1,MAX(0,(A3006-I3006+1)*RampSpeed/J3006))</f>
        <v/>
      </c>
      <c r="M3006" s="45">
        <f>IF(A3006&lt;I3006,0,IF(K3006="S-curve",L3006*L3006*(3-2*L3006),L3006))</f>
        <v/>
      </c>
      <c r="N3006" s="45">
        <f>1+(INDEX(SeasonIdx,A3006)-1)*SeasonAmp</f>
        <v/>
      </c>
      <c r="O3006" s="45">
        <f>IFERROR(INDEX(PSPct,MATCH(E3006&amp;"|"&amp;G3006,PSKey,0)),0)</f>
        <v/>
      </c>
      <c r="P3006" s="46">
        <f>INDEX(ChDoorVel,MATCH(E3006,ChName,0))*CalibScalar*(1+VelocityUplift)</f>
        <v/>
      </c>
      <c r="Q3006" s="46" t="n">
        <v>0</v>
      </c>
      <c r="R3006" s="46">
        <f>P3006*O3006*M3006*N3006*H3006</f>
        <v/>
      </c>
      <c r="S3006" s="46">
        <f>R3006*INDEX(FmtCansPerCase,MATCH(F3006,FmtName,0))</f>
        <v/>
      </c>
      <c r="T3006" s="46">
        <f>S3006/INDEX(FmtCansPerPack,MATCH(F3006,FmtName,0))</f>
        <v/>
      </c>
      <c r="U3006" s="47">
        <f>INDEX(ChBaseCP,MATCH(E3006,ChName,0))*(1+INDEX(ProvMod,MATCH(G3006,ProvCode,0)))*(1+PriceIndex)</f>
        <v/>
      </c>
      <c r="V3006" s="47">
        <f>R3006*U3006*INDEX(FmtBlendedPriceIdx,MATCH(F3006,FmtName,0))</f>
        <v/>
      </c>
      <c r="W3006" s="47">
        <f>T3006*INDEX(ProvSRP,MATCH(G3006,ProvCode,0))*(1+PriceIndex)</f>
        <v/>
      </c>
      <c r="X3006" s="47">
        <f>IF(GrossBasis="Wholesale",V3006,W3006)</f>
        <v/>
      </c>
      <c r="Y3006" s="47">
        <f>R3006*INDEX(FmtBlendedCogs,MATCH(F3006,FmtName,0))</f>
        <v/>
      </c>
      <c r="Z3006" s="47">
        <f>X3006-Y3006</f>
        <v/>
      </c>
    </row>
    <row r="3007">
      <c r="A3007" t="n">
        <v>38</v>
      </c>
      <c r="B3007" s="44">
        <f>FiscalStart+(A3007-1)*7</f>
        <v/>
      </c>
      <c r="C3007">
        <f>TEXT(B3007,"mmm yyyy")</f>
        <v/>
      </c>
      <c r="D3007">
        <f>"Q"&amp;(INT((A3007-1)/13)+1)</f>
        <v/>
      </c>
      <c r="E3007" t="inlineStr">
        <is>
          <t>Specialty</t>
        </is>
      </c>
      <c r="F3007">
        <f>IFERROR(INDEX(ChFormat,MATCH(E3007,ChName,0)),"")</f>
        <v/>
      </c>
      <c r="G3007" t="inlineStr">
        <is>
          <t>NB</t>
        </is>
      </c>
      <c r="H3007">
        <f>IF(A3007&lt;=NWeeks,1,0)</f>
        <v/>
      </c>
      <c r="I3007">
        <f>INDEX(ChLaunch,MATCH(E3007,ChName,0))</f>
        <v/>
      </c>
      <c r="J3007">
        <f>INDEX(ChWeeksFull,MATCH(E3007,ChName,0))</f>
        <v/>
      </c>
      <c r="K3007">
        <f>INDEX(ChRamp,MATCH(E3007,ChName,0))</f>
        <v/>
      </c>
      <c r="L3007" s="45">
        <f>MIN(1,MAX(0,(A3007-I3007+1)*RampSpeed/J3007))</f>
        <v/>
      </c>
      <c r="M3007" s="45">
        <f>IF(A3007&lt;I3007,0,IF(K3007="S-curve",L3007*L3007*(3-2*L3007),L3007))</f>
        <v/>
      </c>
      <c r="N3007" s="45">
        <f>1+(INDEX(SeasonIdx,A3007)-1)*SeasonAmp</f>
        <v/>
      </c>
      <c r="O3007" s="45">
        <f>IFERROR(INDEX(PSPct,MATCH(E3007&amp;"|"&amp;G3007,PSKey,0)),0)</f>
        <v/>
      </c>
      <c r="P3007" s="46">
        <f>INDEX(ChDoorVel,MATCH(E3007,ChName,0))*CalibScalar*(1+VelocityUplift)</f>
        <v/>
      </c>
      <c r="Q3007" s="46" t="n">
        <v>0</v>
      </c>
      <c r="R3007" s="46">
        <f>P3007*O3007*M3007*N3007*H3007</f>
        <v/>
      </c>
      <c r="S3007" s="46">
        <f>R3007*INDEX(FmtCansPerCase,MATCH(F3007,FmtName,0))</f>
        <v/>
      </c>
      <c r="T3007" s="46">
        <f>S3007/INDEX(FmtCansPerPack,MATCH(F3007,FmtName,0))</f>
        <v/>
      </c>
      <c r="U3007" s="47">
        <f>INDEX(ChBaseCP,MATCH(E3007,ChName,0))*(1+INDEX(ProvMod,MATCH(G3007,ProvCode,0)))*(1+PriceIndex)</f>
        <v/>
      </c>
      <c r="V3007" s="47">
        <f>R3007*U3007*INDEX(FmtBlendedPriceIdx,MATCH(F3007,FmtName,0))</f>
        <v/>
      </c>
      <c r="W3007" s="47">
        <f>T3007*INDEX(ProvSRP,MATCH(G3007,ProvCode,0))*(1+PriceIndex)</f>
        <v/>
      </c>
      <c r="X3007" s="47">
        <f>IF(GrossBasis="Wholesale",V3007,W3007)</f>
        <v/>
      </c>
      <c r="Y3007" s="47">
        <f>R3007*INDEX(FmtBlendedCogs,MATCH(F3007,FmtName,0))</f>
        <v/>
      </c>
      <c r="Z3007" s="47">
        <f>X3007-Y3007</f>
        <v/>
      </c>
    </row>
    <row r="3008">
      <c r="A3008" t="n">
        <v>39</v>
      </c>
      <c r="B3008" s="44">
        <f>FiscalStart+(A3008-1)*7</f>
        <v/>
      </c>
      <c r="C3008">
        <f>TEXT(B3008,"mmm yyyy")</f>
        <v/>
      </c>
      <c r="D3008">
        <f>"Q"&amp;(INT((A3008-1)/13)+1)</f>
        <v/>
      </c>
      <c r="E3008" t="inlineStr">
        <is>
          <t>Specialty</t>
        </is>
      </c>
      <c r="F3008">
        <f>IFERROR(INDEX(ChFormat,MATCH(E3008,ChName,0)),"")</f>
        <v/>
      </c>
      <c r="G3008" t="inlineStr">
        <is>
          <t>NB</t>
        </is>
      </c>
      <c r="H3008">
        <f>IF(A3008&lt;=NWeeks,1,0)</f>
        <v/>
      </c>
      <c r="I3008">
        <f>INDEX(ChLaunch,MATCH(E3008,ChName,0))</f>
        <v/>
      </c>
      <c r="J3008">
        <f>INDEX(ChWeeksFull,MATCH(E3008,ChName,0))</f>
        <v/>
      </c>
      <c r="K3008">
        <f>INDEX(ChRamp,MATCH(E3008,ChName,0))</f>
        <v/>
      </c>
      <c r="L3008" s="45">
        <f>MIN(1,MAX(0,(A3008-I3008+1)*RampSpeed/J3008))</f>
        <v/>
      </c>
      <c r="M3008" s="45">
        <f>IF(A3008&lt;I3008,0,IF(K3008="S-curve",L3008*L3008*(3-2*L3008),L3008))</f>
        <v/>
      </c>
      <c r="N3008" s="45">
        <f>1+(INDEX(SeasonIdx,A3008)-1)*SeasonAmp</f>
        <v/>
      </c>
      <c r="O3008" s="45">
        <f>IFERROR(INDEX(PSPct,MATCH(E3008&amp;"|"&amp;G3008,PSKey,0)),0)</f>
        <v/>
      </c>
      <c r="P3008" s="46">
        <f>INDEX(ChDoorVel,MATCH(E3008,ChName,0))*CalibScalar*(1+VelocityUplift)</f>
        <v/>
      </c>
      <c r="Q3008" s="46" t="n">
        <v>0</v>
      </c>
      <c r="R3008" s="46">
        <f>P3008*O3008*M3008*N3008*H3008</f>
        <v/>
      </c>
      <c r="S3008" s="46">
        <f>R3008*INDEX(FmtCansPerCase,MATCH(F3008,FmtName,0))</f>
        <v/>
      </c>
      <c r="T3008" s="46">
        <f>S3008/INDEX(FmtCansPerPack,MATCH(F3008,FmtName,0))</f>
        <v/>
      </c>
      <c r="U3008" s="47">
        <f>INDEX(ChBaseCP,MATCH(E3008,ChName,0))*(1+INDEX(ProvMod,MATCH(G3008,ProvCode,0)))*(1+PriceIndex)</f>
        <v/>
      </c>
      <c r="V3008" s="47">
        <f>R3008*U3008*INDEX(FmtBlendedPriceIdx,MATCH(F3008,FmtName,0))</f>
        <v/>
      </c>
      <c r="W3008" s="47">
        <f>T3008*INDEX(ProvSRP,MATCH(G3008,ProvCode,0))*(1+PriceIndex)</f>
        <v/>
      </c>
      <c r="X3008" s="47">
        <f>IF(GrossBasis="Wholesale",V3008,W3008)</f>
        <v/>
      </c>
      <c r="Y3008" s="47">
        <f>R3008*INDEX(FmtBlendedCogs,MATCH(F3008,FmtName,0))</f>
        <v/>
      </c>
      <c r="Z3008" s="47">
        <f>X3008-Y3008</f>
        <v/>
      </c>
    </row>
    <row r="3009">
      <c r="A3009" t="n">
        <v>40</v>
      </c>
      <c r="B3009" s="44">
        <f>FiscalStart+(A3009-1)*7</f>
        <v/>
      </c>
      <c r="C3009">
        <f>TEXT(B3009,"mmm yyyy")</f>
        <v/>
      </c>
      <c r="D3009">
        <f>"Q"&amp;(INT((A3009-1)/13)+1)</f>
        <v/>
      </c>
      <c r="E3009" t="inlineStr">
        <is>
          <t>Specialty</t>
        </is>
      </c>
      <c r="F3009">
        <f>IFERROR(INDEX(ChFormat,MATCH(E3009,ChName,0)),"")</f>
        <v/>
      </c>
      <c r="G3009" t="inlineStr">
        <is>
          <t>NB</t>
        </is>
      </c>
      <c r="H3009">
        <f>IF(A3009&lt;=NWeeks,1,0)</f>
        <v/>
      </c>
      <c r="I3009">
        <f>INDEX(ChLaunch,MATCH(E3009,ChName,0))</f>
        <v/>
      </c>
      <c r="J3009">
        <f>INDEX(ChWeeksFull,MATCH(E3009,ChName,0))</f>
        <v/>
      </c>
      <c r="K3009">
        <f>INDEX(ChRamp,MATCH(E3009,ChName,0))</f>
        <v/>
      </c>
      <c r="L3009" s="45">
        <f>MIN(1,MAX(0,(A3009-I3009+1)*RampSpeed/J3009))</f>
        <v/>
      </c>
      <c r="M3009" s="45">
        <f>IF(A3009&lt;I3009,0,IF(K3009="S-curve",L3009*L3009*(3-2*L3009),L3009))</f>
        <v/>
      </c>
      <c r="N3009" s="45">
        <f>1+(INDEX(SeasonIdx,A3009)-1)*SeasonAmp</f>
        <v/>
      </c>
      <c r="O3009" s="45">
        <f>IFERROR(INDEX(PSPct,MATCH(E3009&amp;"|"&amp;G3009,PSKey,0)),0)</f>
        <v/>
      </c>
      <c r="P3009" s="46">
        <f>INDEX(ChDoorVel,MATCH(E3009,ChName,0))*CalibScalar*(1+VelocityUplift)</f>
        <v/>
      </c>
      <c r="Q3009" s="46" t="n">
        <v>0</v>
      </c>
      <c r="R3009" s="46">
        <f>P3009*O3009*M3009*N3009*H3009</f>
        <v/>
      </c>
      <c r="S3009" s="46">
        <f>R3009*INDEX(FmtCansPerCase,MATCH(F3009,FmtName,0))</f>
        <v/>
      </c>
      <c r="T3009" s="46">
        <f>S3009/INDEX(FmtCansPerPack,MATCH(F3009,FmtName,0))</f>
        <v/>
      </c>
      <c r="U3009" s="47">
        <f>INDEX(ChBaseCP,MATCH(E3009,ChName,0))*(1+INDEX(ProvMod,MATCH(G3009,ProvCode,0)))*(1+PriceIndex)</f>
        <v/>
      </c>
      <c r="V3009" s="47">
        <f>R3009*U3009*INDEX(FmtBlendedPriceIdx,MATCH(F3009,FmtName,0))</f>
        <v/>
      </c>
      <c r="W3009" s="47">
        <f>T3009*INDEX(ProvSRP,MATCH(G3009,ProvCode,0))*(1+PriceIndex)</f>
        <v/>
      </c>
      <c r="X3009" s="47">
        <f>IF(GrossBasis="Wholesale",V3009,W3009)</f>
        <v/>
      </c>
      <c r="Y3009" s="47">
        <f>R3009*INDEX(FmtBlendedCogs,MATCH(F3009,FmtName,0))</f>
        <v/>
      </c>
      <c r="Z3009" s="47">
        <f>X3009-Y3009</f>
        <v/>
      </c>
    </row>
    <row r="3010">
      <c r="A3010" t="n">
        <v>41</v>
      </c>
      <c r="B3010" s="44">
        <f>FiscalStart+(A3010-1)*7</f>
        <v/>
      </c>
      <c r="C3010">
        <f>TEXT(B3010,"mmm yyyy")</f>
        <v/>
      </c>
      <c r="D3010">
        <f>"Q"&amp;(INT((A3010-1)/13)+1)</f>
        <v/>
      </c>
      <c r="E3010" t="inlineStr">
        <is>
          <t>Specialty</t>
        </is>
      </c>
      <c r="F3010">
        <f>IFERROR(INDEX(ChFormat,MATCH(E3010,ChName,0)),"")</f>
        <v/>
      </c>
      <c r="G3010" t="inlineStr">
        <is>
          <t>NB</t>
        </is>
      </c>
      <c r="H3010">
        <f>IF(A3010&lt;=NWeeks,1,0)</f>
        <v/>
      </c>
      <c r="I3010">
        <f>INDEX(ChLaunch,MATCH(E3010,ChName,0))</f>
        <v/>
      </c>
      <c r="J3010">
        <f>INDEX(ChWeeksFull,MATCH(E3010,ChName,0))</f>
        <v/>
      </c>
      <c r="K3010">
        <f>INDEX(ChRamp,MATCH(E3010,ChName,0))</f>
        <v/>
      </c>
      <c r="L3010" s="45">
        <f>MIN(1,MAX(0,(A3010-I3010+1)*RampSpeed/J3010))</f>
        <v/>
      </c>
      <c r="M3010" s="45">
        <f>IF(A3010&lt;I3010,0,IF(K3010="S-curve",L3010*L3010*(3-2*L3010),L3010))</f>
        <v/>
      </c>
      <c r="N3010" s="45">
        <f>1+(INDEX(SeasonIdx,A3010)-1)*SeasonAmp</f>
        <v/>
      </c>
      <c r="O3010" s="45">
        <f>IFERROR(INDEX(PSPct,MATCH(E3010&amp;"|"&amp;G3010,PSKey,0)),0)</f>
        <v/>
      </c>
      <c r="P3010" s="46">
        <f>INDEX(ChDoorVel,MATCH(E3010,ChName,0))*CalibScalar*(1+VelocityUplift)</f>
        <v/>
      </c>
      <c r="Q3010" s="46" t="n">
        <v>0</v>
      </c>
      <c r="R3010" s="46">
        <f>P3010*O3010*M3010*N3010*H3010</f>
        <v/>
      </c>
      <c r="S3010" s="46">
        <f>R3010*INDEX(FmtCansPerCase,MATCH(F3010,FmtName,0))</f>
        <v/>
      </c>
      <c r="T3010" s="46">
        <f>S3010/INDEX(FmtCansPerPack,MATCH(F3010,FmtName,0))</f>
        <v/>
      </c>
      <c r="U3010" s="47">
        <f>INDEX(ChBaseCP,MATCH(E3010,ChName,0))*(1+INDEX(ProvMod,MATCH(G3010,ProvCode,0)))*(1+PriceIndex)</f>
        <v/>
      </c>
      <c r="V3010" s="47">
        <f>R3010*U3010*INDEX(FmtBlendedPriceIdx,MATCH(F3010,FmtName,0))</f>
        <v/>
      </c>
      <c r="W3010" s="47">
        <f>T3010*INDEX(ProvSRP,MATCH(G3010,ProvCode,0))*(1+PriceIndex)</f>
        <v/>
      </c>
      <c r="X3010" s="47">
        <f>IF(GrossBasis="Wholesale",V3010,W3010)</f>
        <v/>
      </c>
      <c r="Y3010" s="47">
        <f>R3010*INDEX(FmtBlendedCogs,MATCH(F3010,FmtName,0))</f>
        <v/>
      </c>
      <c r="Z3010" s="47">
        <f>X3010-Y3010</f>
        <v/>
      </c>
    </row>
    <row r="3011">
      <c r="A3011" t="n">
        <v>42</v>
      </c>
      <c r="B3011" s="44">
        <f>FiscalStart+(A3011-1)*7</f>
        <v/>
      </c>
      <c r="C3011">
        <f>TEXT(B3011,"mmm yyyy")</f>
        <v/>
      </c>
      <c r="D3011">
        <f>"Q"&amp;(INT((A3011-1)/13)+1)</f>
        <v/>
      </c>
      <c r="E3011" t="inlineStr">
        <is>
          <t>Specialty</t>
        </is>
      </c>
      <c r="F3011">
        <f>IFERROR(INDEX(ChFormat,MATCH(E3011,ChName,0)),"")</f>
        <v/>
      </c>
      <c r="G3011" t="inlineStr">
        <is>
          <t>NB</t>
        </is>
      </c>
      <c r="H3011">
        <f>IF(A3011&lt;=NWeeks,1,0)</f>
        <v/>
      </c>
      <c r="I3011">
        <f>INDEX(ChLaunch,MATCH(E3011,ChName,0))</f>
        <v/>
      </c>
      <c r="J3011">
        <f>INDEX(ChWeeksFull,MATCH(E3011,ChName,0))</f>
        <v/>
      </c>
      <c r="K3011">
        <f>INDEX(ChRamp,MATCH(E3011,ChName,0))</f>
        <v/>
      </c>
      <c r="L3011" s="45">
        <f>MIN(1,MAX(0,(A3011-I3011+1)*RampSpeed/J3011))</f>
        <v/>
      </c>
      <c r="M3011" s="45">
        <f>IF(A3011&lt;I3011,0,IF(K3011="S-curve",L3011*L3011*(3-2*L3011),L3011))</f>
        <v/>
      </c>
      <c r="N3011" s="45">
        <f>1+(INDEX(SeasonIdx,A3011)-1)*SeasonAmp</f>
        <v/>
      </c>
      <c r="O3011" s="45">
        <f>IFERROR(INDEX(PSPct,MATCH(E3011&amp;"|"&amp;G3011,PSKey,0)),0)</f>
        <v/>
      </c>
      <c r="P3011" s="46">
        <f>INDEX(ChDoorVel,MATCH(E3011,ChName,0))*CalibScalar*(1+VelocityUplift)</f>
        <v/>
      </c>
      <c r="Q3011" s="46" t="n">
        <v>0</v>
      </c>
      <c r="R3011" s="46">
        <f>P3011*O3011*M3011*N3011*H3011</f>
        <v/>
      </c>
      <c r="S3011" s="46">
        <f>R3011*INDEX(FmtCansPerCase,MATCH(F3011,FmtName,0))</f>
        <v/>
      </c>
      <c r="T3011" s="46">
        <f>S3011/INDEX(FmtCansPerPack,MATCH(F3011,FmtName,0))</f>
        <v/>
      </c>
      <c r="U3011" s="47">
        <f>INDEX(ChBaseCP,MATCH(E3011,ChName,0))*(1+INDEX(ProvMod,MATCH(G3011,ProvCode,0)))*(1+PriceIndex)</f>
        <v/>
      </c>
      <c r="V3011" s="47">
        <f>R3011*U3011*INDEX(FmtBlendedPriceIdx,MATCH(F3011,FmtName,0))</f>
        <v/>
      </c>
      <c r="W3011" s="47">
        <f>T3011*INDEX(ProvSRP,MATCH(G3011,ProvCode,0))*(1+PriceIndex)</f>
        <v/>
      </c>
      <c r="X3011" s="47">
        <f>IF(GrossBasis="Wholesale",V3011,W3011)</f>
        <v/>
      </c>
      <c r="Y3011" s="47">
        <f>R3011*INDEX(FmtBlendedCogs,MATCH(F3011,FmtName,0))</f>
        <v/>
      </c>
      <c r="Z3011" s="47">
        <f>X3011-Y3011</f>
        <v/>
      </c>
    </row>
    <row r="3012">
      <c r="A3012" t="n">
        <v>43</v>
      </c>
      <c r="B3012" s="44">
        <f>FiscalStart+(A3012-1)*7</f>
        <v/>
      </c>
      <c r="C3012">
        <f>TEXT(B3012,"mmm yyyy")</f>
        <v/>
      </c>
      <c r="D3012">
        <f>"Q"&amp;(INT((A3012-1)/13)+1)</f>
        <v/>
      </c>
      <c r="E3012" t="inlineStr">
        <is>
          <t>Specialty</t>
        </is>
      </c>
      <c r="F3012">
        <f>IFERROR(INDEX(ChFormat,MATCH(E3012,ChName,0)),"")</f>
        <v/>
      </c>
      <c r="G3012" t="inlineStr">
        <is>
          <t>NB</t>
        </is>
      </c>
      <c r="H3012">
        <f>IF(A3012&lt;=NWeeks,1,0)</f>
        <v/>
      </c>
      <c r="I3012">
        <f>INDEX(ChLaunch,MATCH(E3012,ChName,0))</f>
        <v/>
      </c>
      <c r="J3012">
        <f>INDEX(ChWeeksFull,MATCH(E3012,ChName,0))</f>
        <v/>
      </c>
      <c r="K3012">
        <f>INDEX(ChRamp,MATCH(E3012,ChName,0))</f>
        <v/>
      </c>
      <c r="L3012" s="45">
        <f>MIN(1,MAX(0,(A3012-I3012+1)*RampSpeed/J3012))</f>
        <v/>
      </c>
      <c r="M3012" s="45">
        <f>IF(A3012&lt;I3012,0,IF(K3012="S-curve",L3012*L3012*(3-2*L3012),L3012))</f>
        <v/>
      </c>
      <c r="N3012" s="45">
        <f>1+(INDEX(SeasonIdx,A3012)-1)*SeasonAmp</f>
        <v/>
      </c>
      <c r="O3012" s="45">
        <f>IFERROR(INDEX(PSPct,MATCH(E3012&amp;"|"&amp;G3012,PSKey,0)),0)</f>
        <v/>
      </c>
      <c r="P3012" s="46">
        <f>INDEX(ChDoorVel,MATCH(E3012,ChName,0))*CalibScalar*(1+VelocityUplift)</f>
        <v/>
      </c>
      <c r="Q3012" s="46" t="n">
        <v>0</v>
      </c>
      <c r="R3012" s="46">
        <f>P3012*O3012*M3012*N3012*H3012</f>
        <v/>
      </c>
      <c r="S3012" s="46">
        <f>R3012*INDEX(FmtCansPerCase,MATCH(F3012,FmtName,0))</f>
        <v/>
      </c>
      <c r="T3012" s="46">
        <f>S3012/INDEX(FmtCansPerPack,MATCH(F3012,FmtName,0))</f>
        <v/>
      </c>
      <c r="U3012" s="47">
        <f>INDEX(ChBaseCP,MATCH(E3012,ChName,0))*(1+INDEX(ProvMod,MATCH(G3012,ProvCode,0)))*(1+PriceIndex)</f>
        <v/>
      </c>
      <c r="V3012" s="47">
        <f>R3012*U3012*INDEX(FmtBlendedPriceIdx,MATCH(F3012,FmtName,0))</f>
        <v/>
      </c>
      <c r="W3012" s="47">
        <f>T3012*INDEX(ProvSRP,MATCH(G3012,ProvCode,0))*(1+PriceIndex)</f>
        <v/>
      </c>
      <c r="X3012" s="47">
        <f>IF(GrossBasis="Wholesale",V3012,W3012)</f>
        <v/>
      </c>
      <c r="Y3012" s="47">
        <f>R3012*INDEX(FmtBlendedCogs,MATCH(F3012,FmtName,0))</f>
        <v/>
      </c>
      <c r="Z3012" s="47">
        <f>X3012-Y3012</f>
        <v/>
      </c>
    </row>
    <row r="3013">
      <c r="A3013" t="n">
        <v>44</v>
      </c>
      <c r="B3013" s="44">
        <f>FiscalStart+(A3013-1)*7</f>
        <v/>
      </c>
      <c r="C3013">
        <f>TEXT(B3013,"mmm yyyy")</f>
        <v/>
      </c>
      <c r="D3013">
        <f>"Q"&amp;(INT((A3013-1)/13)+1)</f>
        <v/>
      </c>
      <c r="E3013" t="inlineStr">
        <is>
          <t>Specialty</t>
        </is>
      </c>
      <c r="F3013">
        <f>IFERROR(INDEX(ChFormat,MATCH(E3013,ChName,0)),"")</f>
        <v/>
      </c>
      <c r="G3013" t="inlineStr">
        <is>
          <t>NB</t>
        </is>
      </c>
      <c r="H3013">
        <f>IF(A3013&lt;=NWeeks,1,0)</f>
        <v/>
      </c>
      <c r="I3013">
        <f>INDEX(ChLaunch,MATCH(E3013,ChName,0))</f>
        <v/>
      </c>
      <c r="J3013">
        <f>INDEX(ChWeeksFull,MATCH(E3013,ChName,0))</f>
        <v/>
      </c>
      <c r="K3013">
        <f>INDEX(ChRamp,MATCH(E3013,ChName,0))</f>
        <v/>
      </c>
      <c r="L3013" s="45">
        <f>MIN(1,MAX(0,(A3013-I3013+1)*RampSpeed/J3013))</f>
        <v/>
      </c>
      <c r="M3013" s="45">
        <f>IF(A3013&lt;I3013,0,IF(K3013="S-curve",L3013*L3013*(3-2*L3013),L3013))</f>
        <v/>
      </c>
      <c r="N3013" s="45">
        <f>1+(INDEX(SeasonIdx,A3013)-1)*SeasonAmp</f>
        <v/>
      </c>
      <c r="O3013" s="45">
        <f>IFERROR(INDEX(PSPct,MATCH(E3013&amp;"|"&amp;G3013,PSKey,0)),0)</f>
        <v/>
      </c>
      <c r="P3013" s="46">
        <f>INDEX(ChDoorVel,MATCH(E3013,ChName,0))*CalibScalar*(1+VelocityUplift)</f>
        <v/>
      </c>
      <c r="Q3013" s="46" t="n">
        <v>0</v>
      </c>
      <c r="R3013" s="46">
        <f>P3013*O3013*M3013*N3013*H3013</f>
        <v/>
      </c>
      <c r="S3013" s="46">
        <f>R3013*INDEX(FmtCansPerCase,MATCH(F3013,FmtName,0))</f>
        <v/>
      </c>
      <c r="T3013" s="46">
        <f>S3013/INDEX(FmtCansPerPack,MATCH(F3013,FmtName,0))</f>
        <v/>
      </c>
      <c r="U3013" s="47">
        <f>INDEX(ChBaseCP,MATCH(E3013,ChName,0))*(1+INDEX(ProvMod,MATCH(G3013,ProvCode,0)))*(1+PriceIndex)</f>
        <v/>
      </c>
      <c r="V3013" s="47">
        <f>R3013*U3013*INDEX(FmtBlendedPriceIdx,MATCH(F3013,FmtName,0))</f>
        <v/>
      </c>
      <c r="W3013" s="47">
        <f>T3013*INDEX(ProvSRP,MATCH(G3013,ProvCode,0))*(1+PriceIndex)</f>
        <v/>
      </c>
      <c r="X3013" s="47">
        <f>IF(GrossBasis="Wholesale",V3013,W3013)</f>
        <v/>
      </c>
      <c r="Y3013" s="47">
        <f>R3013*INDEX(FmtBlendedCogs,MATCH(F3013,FmtName,0))</f>
        <v/>
      </c>
      <c r="Z3013" s="47">
        <f>X3013-Y3013</f>
        <v/>
      </c>
    </row>
    <row r="3014">
      <c r="A3014" t="n">
        <v>45</v>
      </c>
      <c r="B3014" s="44">
        <f>FiscalStart+(A3014-1)*7</f>
        <v/>
      </c>
      <c r="C3014">
        <f>TEXT(B3014,"mmm yyyy")</f>
        <v/>
      </c>
      <c r="D3014">
        <f>"Q"&amp;(INT((A3014-1)/13)+1)</f>
        <v/>
      </c>
      <c r="E3014" t="inlineStr">
        <is>
          <t>Specialty</t>
        </is>
      </c>
      <c r="F3014">
        <f>IFERROR(INDEX(ChFormat,MATCH(E3014,ChName,0)),"")</f>
        <v/>
      </c>
      <c r="G3014" t="inlineStr">
        <is>
          <t>NB</t>
        </is>
      </c>
      <c r="H3014">
        <f>IF(A3014&lt;=NWeeks,1,0)</f>
        <v/>
      </c>
      <c r="I3014">
        <f>INDEX(ChLaunch,MATCH(E3014,ChName,0))</f>
        <v/>
      </c>
      <c r="J3014">
        <f>INDEX(ChWeeksFull,MATCH(E3014,ChName,0))</f>
        <v/>
      </c>
      <c r="K3014">
        <f>INDEX(ChRamp,MATCH(E3014,ChName,0))</f>
        <v/>
      </c>
      <c r="L3014" s="45">
        <f>MIN(1,MAX(0,(A3014-I3014+1)*RampSpeed/J3014))</f>
        <v/>
      </c>
      <c r="M3014" s="45">
        <f>IF(A3014&lt;I3014,0,IF(K3014="S-curve",L3014*L3014*(3-2*L3014),L3014))</f>
        <v/>
      </c>
      <c r="N3014" s="45">
        <f>1+(INDEX(SeasonIdx,A3014)-1)*SeasonAmp</f>
        <v/>
      </c>
      <c r="O3014" s="45">
        <f>IFERROR(INDEX(PSPct,MATCH(E3014&amp;"|"&amp;G3014,PSKey,0)),0)</f>
        <v/>
      </c>
      <c r="P3014" s="46">
        <f>INDEX(ChDoorVel,MATCH(E3014,ChName,0))*CalibScalar*(1+VelocityUplift)</f>
        <v/>
      </c>
      <c r="Q3014" s="46" t="n">
        <v>0</v>
      </c>
      <c r="R3014" s="46">
        <f>P3014*O3014*M3014*N3014*H3014</f>
        <v/>
      </c>
      <c r="S3014" s="46">
        <f>R3014*INDEX(FmtCansPerCase,MATCH(F3014,FmtName,0))</f>
        <v/>
      </c>
      <c r="T3014" s="46">
        <f>S3014/INDEX(FmtCansPerPack,MATCH(F3014,FmtName,0))</f>
        <v/>
      </c>
      <c r="U3014" s="47">
        <f>INDEX(ChBaseCP,MATCH(E3014,ChName,0))*(1+INDEX(ProvMod,MATCH(G3014,ProvCode,0)))*(1+PriceIndex)</f>
        <v/>
      </c>
      <c r="V3014" s="47">
        <f>R3014*U3014*INDEX(FmtBlendedPriceIdx,MATCH(F3014,FmtName,0))</f>
        <v/>
      </c>
      <c r="W3014" s="47">
        <f>T3014*INDEX(ProvSRP,MATCH(G3014,ProvCode,0))*(1+PriceIndex)</f>
        <v/>
      </c>
      <c r="X3014" s="47">
        <f>IF(GrossBasis="Wholesale",V3014,W3014)</f>
        <v/>
      </c>
      <c r="Y3014" s="47">
        <f>R3014*INDEX(FmtBlendedCogs,MATCH(F3014,FmtName,0))</f>
        <v/>
      </c>
      <c r="Z3014" s="47">
        <f>X3014-Y3014</f>
        <v/>
      </c>
    </row>
    <row r="3015">
      <c r="A3015" t="n">
        <v>46</v>
      </c>
      <c r="B3015" s="44">
        <f>FiscalStart+(A3015-1)*7</f>
        <v/>
      </c>
      <c r="C3015">
        <f>TEXT(B3015,"mmm yyyy")</f>
        <v/>
      </c>
      <c r="D3015">
        <f>"Q"&amp;(INT((A3015-1)/13)+1)</f>
        <v/>
      </c>
      <c r="E3015" t="inlineStr">
        <is>
          <t>Specialty</t>
        </is>
      </c>
      <c r="F3015">
        <f>IFERROR(INDEX(ChFormat,MATCH(E3015,ChName,0)),"")</f>
        <v/>
      </c>
      <c r="G3015" t="inlineStr">
        <is>
          <t>NB</t>
        </is>
      </c>
      <c r="H3015">
        <f>IF(A3015&lt;=NWeeks,1,0)</f>
        <v/>
      </c>
      <c r="I3015">
        <f>INDEX(ChLaunch,MATCH(E3015,ChName,0))</f>
        <v/>
      </c>
      <c r="J3015">
        <f>INDEX(ChWeeksFull,MATCH(E3015,ChName,0))</f>
        <v/>
      </c>
      <c r="K3015">
        <f>INDEX(ChRamp,MATCH(E3015,ChName,0))</f>
        <v/>
      </c>
      <c r="L3015" s="45">
        <f>MIN(1,MAX(0,(A3015-I3015+1)*RampSpeed/J3015))</f>
        <v/>
      </c>
      <c r="M3015" s="45">
        <f>IF(A3015&lt;I3015,0,IF(K3015="S-curve",L3015*L3015*(3-2*L3015),L3015))</f>
        <v/>
      </c>
      <c r="N3015" s="45">
        <f>1+(INDEX(SeasonIdx,A3015)-1)*SeasonAmp</f>
        <v/>
      </c>
      <c r="O3015" s="45">
        <f>IFERROR(INDEX(PSPct,MATCH(E3015&amp;"|"&amp;G3015,PSKey,0)),0)</f>
        <v/>
      </c>
      <c r="P3015" s="46">
        <f>INDEX(ChDoorVel,MATCH(E3015,ChName,0))*CalibScalar*(1+VelocityUplift)</f>
        <v/>
      </c>
      <c r="Q3015" s="46" t="n">
        <v>0</v>
      </c>
      <c r="R3015" s="46">
        <f>P3015*O3015*M3015*N3015*H3015</f>
        <v/>
      </c>
      <c r="S3015" s="46">
        <f>R3015*INDEX(FmtCansPerCase,MATCH(F3015,FmtName,0))</f>
        <v/>
      </c>
      <c r="T3015" s="46">
        <f>S3015/INDEX(FmtCansPerPack,MATCH(F3015,FmtName,0))</f>
        <v/>
      </c>
      <c r="U3015" s="47">
        <f>INDEX(ChBaseCP,MATCH(E3015,ChName,0))*(1+INDEX(ProvMod,MATCH(G3015,ProvCode,0)))*(1+PriceIndex)</f>
        <v/>
      </c>
      <c r="V3015" s="47">
        <f>R3015*U3015*INDEX(FmtBlendedPriceIdx,MATCH(F3015,FmtName,0))</f>
        <v/>
      </c>
      <c r="W3015" s="47">
        <f>T3015*INDEX(ProvSRP,MATCH(G3015,ProvCode,0))*(1+PriceIndex)</f>
        <v/>
      </c>
      <c r="X3015" s="47">
        <f>IF(GrossBasis="Wholesale",V3015,W3015)</f>
        <v/>
      </c>
      <c r="Y3015" s="47">
        <f>R3015*INDEX(FmtBlendedCogs,MATCH(F3015,FmtName,0))</f>
        <v/>
      </c>
      <c r="Z3015" s="47">
        <f>X3015-Y3015</f>
        <v/>
      </c>
    </row>
    <row r="3016">
      <c r="A3016" t="n">
        <v>47</v>
      </c>
      <c r="B3016" s="44">
        <f>FiscalStart+(A3016-1)*7</f>
        <v/>
      </c>
      <c r="C3016">
        <f>TEXT(B3016,"mmm yyyy")</f>
        <v/>
      </c>
      <c r="D3016">
        <f>"Q"&amp;(INT((A3016-1)/13)+1)</f>
        <v/>
      </c>
      <c r="E3016" t="inlineStr">
        <is>
          <t>Specialty</t>
        </is>
      </c>
      <c r="F3016">
        <f>IFERROR(INDEX(ChFormat,MATCH(E3016,ChName,0)),"")</f>
        <v/>
      </c>
      <c r="G3016" t="inlineStr">
        <is>
          <t>NB</t>
        </is>
      </c>
      <c r="H3016">
        <f>IF(A3016&lt;=NWeeks,1,0)</f>
        <v/>
      </c>
      <c r="I3016">
        <f>INDEX(ChLaunch,MATCH(E3016,ChName,0))</f>
        <v/>
      </c>
      <c r="J3016">
        <f>INDEX(ChWeeksFull,MATCH(E3016,ChName,0))</f>
        <v/>
      </c>
      <c r="K3016">
        <f>INDEX(ChRamp,MATCH(E3016,ChName,0))</f>
        <v/>
      </c>
      <c r="L3016" s="45">
        <f>MIN(1,MAX(0,(A3016-I3016+1)*RampSpeed/J3016))</f>
        <v/>
      </c>
      <c r="M3016" s="45">
        <f>IF(A3016&lt;I3016,0,IF(K3016="S-curve",L3016*L3016*(3-2*L3016),L3016))</f>
        <v/>
      </c>
      <c r="N3016" s="45">
        <f>1+(INDEX(SeasonIdx,A3016)-1)*SeasonAmp</f>
        <v/>
      </c>
      <c r="O3016" s="45">
        <f>IFERROR(INDEX(PSPct,MATCH(E3016&amp;"|"&amp;G3016,PSKey,0)),0)</f>
        <v/>
      </c>
      <c r="P3016" s="46">
        <f>INDEX(ChDoorVel,MATCH(E3016,ChName,0))*CalibScalar*(1+VelocityUplift)</f>
        <v/>
      </c>
      <c r="Q3016" s="46" t="n">
        <v>0</v>
      </c>
      <c r="R3016" s="46">
        <f>P3016*O3016*M3016*N3016*H3016</f>
        <v/>
      </c>
      <c r="S3016" s="46">
        <f>R3016*INDEX(FmtCansPerCase,MATCH(F3016,FmtName,0))</f>
        <v/>
      </c>
      <c r="T3016" s="46">
        <f>S3016/INDEX(FmtCansPerPack,MATCH(F3016,FmtName,0))</f>
        <v/>
      </c>
      <c r="U3016" s="47">
        <f>INDEX(ChBaseCP,MATCH(E3016,ChName,0))*(1+INDEX(ProvMod,MATCH(G3016,ProvCode,0)))*(1+PriceIndex)</f>
        <v/>
      </c>
      <c r="V3016" s="47">
        <f>R3016*U3016*INDEX(FmtBlendedPriceIdx,MATCH(F3016,FmtName,0))</f>
        <v/>
      </c>
      <c r="W3016" s="47">
        <f>T3016*INDEX(ProvSRP,MATCH(G3016,ProvCode,0))*(1+PriceIndex)</f>
        <v/>
      </c>
      <c r="X3016" s="47">
        <f>IF(GrossBasis="Wholesale",V3016,W3016)</f>
        <v/>
      </c>
      <c r="Y3016" s="47">
        <f>R3016*INDEX(FmtBlendedCogs,MATCH(F3016,FmtName,0))</f>
        <v/>
      </c>
      <c r="Z3016" s="47">
        <f>X3016-Y3016</f>
        <v/>
      </c>
    </row>
    <row r="3017">
      <c r="A3017" t="n">
        <v>48</v>
      </c>
      <c r="B3017" s="44">
        <f>FiscalStart+(A3017-1)*7</f>
        <v/>
      </c>
      <c r="C3017">
        <f>TEXT(B3017,"mmm yyyy")</f>
        <v/>
      </c>
      <c r="D3017">
        <f>"Q"&amp;(INT((A3017-1)/13)+1)</f>
        <v/>
      </c>
      <c r="E3017" t="inlineStr">
        <is>
          <t>Specialty</t>
        </is>
      </c>
      <c r="F3017">
        <f>IFERROR(INDEX(ChFormat,MATCH(E3017,ChName,0)),"")</f>
        <v/>
      </c>
      <c r="G3017" t="inlineStr">
        <is>
          <t>NB</t>
        </is>
      </c>
      <c r="H3017">
        <f>IF(A3017&lt;=NWeeks,1,0)</f>
        <v/>
      </c>
      <c r="I3017">
        <f>INDEX(ChLaunch,MATCH(E3017,ChName,0))</f>
        <v/>
      </c>
      <c r="J3017">
        <f>INDEX(ChWeeksFull,MATCH(E3017,ChName,0))</f>
        <v/>
      </c>
      <c r="K3017">
        <f>INDEX(ChRamp,MATCH(E3017,ChName,0))</f>
        <v/>
      </c>
      <c r="L3017" s="45">
        <f>MIN(1,MAX(0,(A3017-I3017+1)*RampSpeed/J3017))</f>
        <v/>
      </c>
      <c r="M3017" s="45">
        <f>IF(A3017&lt;I3017,0,IF(K3017="S-curve",L3017*L3017*(3-2*L3017),L3017))</f>
        <v/>
      </c>
      <c r="N3017" s="45">
        <f>1+(INDEX(SeasonIdx,A3017)-1)*SeasonAmp</f>
        <v/>
      </c>
      <c r="O3017" s="45">
        <f>IFERROR(INDEX(PSPct,MATCH(E3017&amp;"|"&amp;G3017,PSKey,0)),0)</f>
        <v/>
      </c>
      <c r="P3017" s="46">
        <f>INDEX(ChDoorVel,MATCH(E3017,ChName,0))*CalibScalar*(1+VelocityUplift)</f>
        <v/>
      </c>
      <c r="Q3017" s="46" t="n">
        <v>0</v>
      </c>
      <c r="R3017" s="46">
        <f>P3017*O3017*M3017*N3017*H3017</f>
        <v/>
      </c>
      <c r="S3017" s="46">
        <f>R3017*INDEX(FmtCansPerCase,MATCH(F3017,FmtName,0))</f>
        <v/>
      </c>
      <c r="T3017" s="46">
        <f>S3017/INDEX(FmtCansPerPack,MATCH(F3017,FmtName,0))</f>
        <v/>
      </c>
      <c r="U3017" s="47">
        <f>INDEX(ChBaseCP,MATCH(E3017,ChName,0))*(1+INDEX(ProvMod,MATCH(G3017,ProvCode,0)))*(1+PriceIndex)</f>
        <v/>
      </c>
      <c r="V3017" s="47">
        <f>R3017*U3017*INDEX(FmtBlendedPriceIdx,MATCH(F3017,FmtName,0))</f>
        <v/>
      </c>
      <c r="W3017" s="47">
        <f>T3017*INDEX(ProvSRP,MATCH(G3017,ProvCode,0))*(1+PriceIndex)</f>
        <v/>
      </c>
      <c r="X3017" s="47">
        <f>IF(GrossBasis="Wholesale",V3017,W3017)</f>
        <v/>
      </c>
      <c r="Y3017" s="47">
        <f>R3017*INDEX(FmtBlendedCogs,MATCH(F3017,FmtName,0))</f>
        <v/>
      </c>
      <c r="Z3017" s="47">
        <f>X3017-Y3017</f>
        <v/>
      </c>
    </row>
    <row r="3018">
      <c r="A3018" t="n">
        <v>49</v>
      </c>
      <c r="B3018" s="44">
        <f>FiscalStart+(A3018-1)*7</f>
        <v/>
      </c>
      <c r="C3018">
        <f>TEXT(B3018,"mmm yyyy")</f>
        <v/>
      </c>
      <c r="D3018">
        <f>"Q"&amp;(INT((A3018-1)/13)+1)</f>
        <v/>
      </c>
      <c r="E3018" t="inlineStr">
        <is>
          <t>Specialty</t>
        </is>
      </c>
      <c r="F3018">
        <f>IFERROR(INDEX(ChFormat,MATCH(E3018,ChName,0)),"")</f>
        <v/>
      </c>
      <c r="G3018" t="inlineStr">
        <is>
          <t>NB</t>
        </is>
      </c>
      <c r="H3018">
        <f>IF(A3018&lt;=NWeeks,1,0)</f>
        <v/>
      </c>
      <c r="I3018">
        <f>INDEX(ChLaunch,MATCH(E3018,ChName,0))</f>
        <v/>
      </c>
      <c r="J3018">
        <f>INDEX(ChWeeksFull,MATCH(E3018,ChName,0))</f>
        <v/>
      </c>
      <c r="K3018">
        <f>INDEX(ChRamp,MATCH(E3018,ChName,0))</f>
        <v/>
      </c>
      <c r="L3018" s="45">
        <f>MIN(1,MAX(0,(A3018-I3018+1)*RampSpeed/J3018))</f>
        <v/>
      </c>
      <c r="M3018" s="45">
        <f>IF(A3018&lt;I3018,0,IF(K3018="S-curve",L3018*L3018*(3-2*L3018),L3018))</f>
        <v/>
      </c>
      <c r="N3018" s="45">
        <f>1+(INDEX(SeasonIdx,A3018)-1)*SeasonAmp</f>
        <v/>
      </c>
      <c r="O3018" s="45">
        <f>IFERROR(INDEX(PSPct,MATCH(E3018&amp;"|"&amp;G3018,PSKey,0)),0)</f>
        <v/>
      </c>
      <c r="P3018" s="46">
        <f>INDEX(ChDoorVel,MATCH(E3018,ChName,0))*CalibScalar*(1+VelocityUplift)</f>
        <v/>
      </c>
      <c r="Q3018" s="46" t="n">
        <v>0</v>
      </c>
      <c r="R3018" s="46">
        <f>P3018*O3018*M3018*N3018*H3018</f>
        <v/>
      </c>
      <c r="S3018" s="46">
        <f>R3018*INDEX(FmtCansPerCase,MATCH(F3018,FmtName,0))</f>
        <v/>
      </c>
      <c r="T3018" s="46">
        <f>S3018/INDEX(FmtCansPerPack,MATCH(F3018,FmtName,0))</f>
        <v/>
      </c>
      <c r="U3018" s="47">
        <f>INDEX(ChBaseCP,MATCH(E3018,ChName,0))*(1+INDEX(ProvMod,MATCH(G3018,ProvCode,0)))*(1+PriceIndex)</f>
        <v/>
      </c>
      <c r="V3018" s="47">
        <f>R3018*U3018*INDEX(FmtBlendedPriceIdx,MATCH(F3018,FmtName,0))</f>
        <v/>
      </c>
      <c r="W3018" s="47">
        <f>T3018*INDEX(ProvSRP,MATCH(G3018,ProvCode,0))*(1+PriceIndex)</f>
        <v/>
      </c>
      <c r="X3018" s="47">
        <f>IF(GrossBasis="Wholesale",V3018,W3018)</f>
        <v/>
      </c>
      <c r="Y3018" s="47">
        <f>R3018*INDEX(FmtBlendedCogs,MATCH(F3018,FmtName,0))</f>
        <v/>
      </c>
      <c r="Z3018" s="47">
        <f>X3018-Y3018</f>
        <v/>
      </c>
    </row>
    <row r="3019">
      <c r="A3019" t="n">
        <v>50</v>
      </c>
      <c r="B3019" s="44">
        <f>FiscalStart+(A3019-1)*7</f>
        <v/>
      </c>
      <c r="C3019">
        <f>TEXT(B3019,"mmm yyyy")</f>
        <v/>
      </c>
      <c r="D3019">
        <f>"Q"&amp;(INT((A3019-1)/13)+1)</f>
        <v/>
      </c>
      <c r="E3019" t="inlineStr">
        <is>
          <t>Specialty</t>
        </is>
      </c>
      <c r="F3019">
        <f>IFERROR(INDEX(ChFormat,MATCH(E3019,ChName,0)),"")</f>
        <v/>
      </c>
      <c r="G3019" t="inlineStr">
        <is>
          <t>NB</t>
        </is>
      </c>
      <c r="H3019">
        <f>IF(A3019&lt;=NWeeks,1,0)</f>
        <v/>
      </c>
      <c r="I3019">
        <f>INDEX(ChLaunch,MATCH(E3019,ChName,0))</f>
        <v/>
      </c>
      <c r="J3019">
        <f>INDEX(ChWeeksFull,MATCH(E3019,ChName,0))</f>
        <v/>
      </c>
      <c r="K3019">
        <f>INDEX(ChRamp,MATCH(E3019,ChName,0))</f>
        <v/>
      </c>
      <c r="L3019" s="45">
        <f>MIN(1,MAX(0,(A3019-I3019+1)*RampSpeed/J3019))</f>
        <v/>
      </c>
      <c r="M3019" s="45">
        <f>IF(A3019&lt;I3019,0,IF(K3019="S-curve",L3019*L3019*(3-2*L3019),L3019))</f>
        <v/>
      </c>
      <c r="N3019" s="45">
        <f>1+(INDEX(SeasonIdx,A3019)-1)*SeasonAmp</f>
        <v/>
      </c>
      <c r="O3019" s="45">
        <f>IFERROR(INDEX(PSPct,MATCH(E3019&amp;"|"&amp;G3019,PSKey,0)),0)</f>
        <v/>
      </c>
      <c r="P3019" s="46">
        <f>INDEX(ChDoorVel,MATCH(E3019,ChName,0))*CalibScalar*(1+VelocityUplift)</f>
        <v/>
      </c>
      <c r="Q3019" s="46" t="n">
        <v>0</v>
      </c>
      <c r="R3019" s="46">
        <f>P3019*O3019*M3019*N3019*H3019</f>
        <v/>
      </c>
      <c r="S3019" s="46">
        <f>R3019*INDEX(FmtCansPerCase,MATCH(F3019,FmtName,0))</f>
        <v/>
      </c>
      <c r="T3019" s="46">
        <f>S3019/INDEX(FmtCansPerPack,MATCH(F3019,FmtName,0))</f>
        <v/>
      </c>
      <c r="U3019" s="47">
        <f>INDEX(ChBaseCP,MATCH(E3019,ChName,0))*(1+INDEX(ProvMod,MATCH(G3019,ProvCode,0)))*(1+PriceIndex)</f>
        <v/>
      </c>
      <c r="V3019" s="47">
        <f>R3019*U3019*INDEX(FmtBlendedPriceIdx,MATCH(F3019,FmtName,0))</f>
        <v/>
      </c>
      <c r="W3019" s="47">
        <f>T3019*INDEX(ProvSRP,MATCH(G3019,ProvCode,0))*(1+PriceIndex)</f>
        <v/>
      </c>
      <c r="X3019" s="47">
        <f>IF(GrossBasis="Wholesale",V3019,W3019)</f>
        <v/>
      </c>
      <c r="Y3019" s="47">
        <f>R3019*INDEX(FmtBlendedCogs,MATCH(F3019,FmtName,0))</f>
        <v/>
      </c>
      <c r="Z3019" s="47">
        <f>X3019-Y3019</f>
        <v/>
      </c>
    </row>
    <row r="3020">
      <c r="A3020" t="n">
        <v>51</v>
      </c>
      <c r="B3020" s="44">
        <f>FiscalStart+(A3020-1)*7</f>
        <v/>
      </c>
      <c r="C3020">
        <f>TEXT(B3020,"mmm yyyy")</f>
        <v/>
      </c>
      <c r="D3020">
        <f>"Q"&amp;(INT((A3020-1)/13)+1)</f>
        <v/>
      </c>
      <c r="E3020" t="inlineStr">
        <is>
          <t>Specialty</t>
        </is>
      </c>
      <c r="F3020">
        <f>IFERROR(INDEX(ChFormat,MATCH(E3020,ChName,0)),"")</f>
        <v/>
      </c>
      <c r="G3020" t="inlineStr">
        <is>
          <t>NB</t>
        </is>
      </c>
      <c r="H3020">
        <f>IF(A3020&lt;=NWeeks,1,0)</f>
        <v/>
      </c>
      <c r="I3020">
        <f>INDEX(ChLaunch,MATCH(E3020,ChName,0))</f>
        <v/>
      </c>
      <c r="J3020">
        <f>INDEX(ChWeeksFull,MATCH(E3020,ChName,0))</f>
        <v/>
      </c>
      <c r="K3020">
        <f>INDEX(ChRamp,MATCH(E3020,ChName,0))</f>
        <v/>
      </c>
      <c r="L3020" s="45">
        <f>MIN(1,MAX(0,(A3020-I3020+1)*RampSpeed/J3020))</f>
        <v/>
      </c>
      <c r="M3020" s="45">
        <f>IF(A3020&lt;I3020,0,IF(K3020="S-curve",L3020*L3020*(3-2*L3020),L3020))</f>
        <v/>
      </c>
      <c r="N3020" s="45">
        <f>1+(INDEX(SeasonIdx,A3020)-1)*SeasonAmp</f>
        <v/>
      </c>
      <c r="O3020" s="45">
        <f>IFERROR(INDEX(PSPct,MATCH(E3020&amp;"|"&amp;G3020,PSKey,0)),0)</f>
        <v/>
      </c>
      <c r="P3020" s="46">
        <f>INDEX(ChDoorVel,MATCH(E3020,ChName,0))*CalibScalar*(1+VelocityUplift)</f>
        <v/>
      </c>
      <c r="Q3020" s="46" t="n">
        <v>0</v>
      </c>
      <c r="R3020" s="46">
        <f>P3020*O3020*M3020*N3020*H3020</f>
        <v/>
      </c>
      <c r="S3020" s="46">
        <f>R3020*INDEX(FmtCansPerCase,MATCH(F3020,FmtName,0))</f>
        <v/>
      </c>
      <c r="T3020" s="46">
        <f>S3020/INDEX(FmtCansPerPack,MATCH(F3020,FmtName,0))</f>
        <v/>
      </c>
      <c r="U3020" s="47">
        <f>INDEX(ChBaseCP,MATCH(E3020,ChName,0))*(1+INDEX(ProvMod,MATCH(G3020,ProvCode,0)))*(1+PriceIndex)</f>
        <v/>
      </c>
      <c r="V3020" s="47">
        <f>R3020*U3020*INDEX(FmtBlendedPriceIdx,MATCH(F3020,FmtName,0))</f>
        <v/>
      </c>
      <c r="W3020" s="47">
        <f>T3020*INDEX(ProvSRP,MATCH(G3020,ProvCode,0))*(1+PriceIndex)</f>
        <v/>
      </c>
      <c r="X3020" s="47">
        <f>IF(GrossBasis="Wholesale",V3020,W3020)</f>
        <v/>
      </c>
      <c r="Y3020" s="47">
        <f>R3020*INDEX(FmtBlendedCogs,MATCH(F3020,FmtName,0))</f>
        <v/>
      </c>
      <c r="Z3020" s="47">
        <f>X3020-Y3020</f>
        <v/>
      </c>
    </row>
    <row r="3021">
      <c r="A3021" t="n">
        <v>52</v>
      </c>
      <c r="B3021" s="44">
        <f>FiscalStart+(A3021-1)*7</f>
        <v/>
      </c>
      <c r="C3021">
        <f>TEXT(B3021,"mmm yyyy")</f>
        <v/>
      </c>
      <c r="D3021">
        <f>"Q"&amp;(INT((A3021-1)/13)+1)</f>
        <v/>
      </c>
      <c r="E3021" t="inlineStr">
        <is>
          <t>Specialty</t>
        </is>
      </c>
      <c r="F3021">
        <f>IFERROR(INDEX(ChFormat,MATCH(E3021,ChName,0)),"")</f>
        <v/>
      </c>
      <c r="G3021" t="inlineStr">
        <is>
          <t>NB</t>
        </is>
      </c>
      <c r="H3021">
        <f>IF(A3021&lt;=NWeeks,1,0)</f>
        <v/>
      </c>
      <c r="I3021">
        <f>INDEX(ChLaunch,MATCH(E3021,ChName,0))</f>
        <v/>
      </c>
      <c r="J3021">
        <f>INDEX(ChWeeksFull,MATCH(E3021,ChName,0))</f>
        <v/>
      </c>
      <c r="K3021">
        <f>INDEX(ChRamp,MATCH(E3021,ChName,0))</f>
        <v/>
      </c>
      <c r="L3021" s="45">
        <f>MIN(1,MAX(0,(A3021-I3021+1)*RampSpeed/J3021))</f>
        <v/>
      </c>
      <c r="M3021" s="45">
        <f>IF(A3021&lt;I3021,0,IF(K3021="S-curve",L3021*L3021*(3-2*L3021),L3021))</f>
        <v/>
      </c>
      <c r="N3021" s="45">
        <f>1+(INDEX(SeasonIdx,A3021)-1)*SeasonAmp</f>
        <v/>
      </c>
      <c r="O3021" s="45">
        <f>IFERROR(INDEX(PSPct,MATCH(E3021&amp;"|"&amp;G3021,PSKey,0)),0)</f>
        <v/>
      </c>
      <c r="P3021" s="46">
        <f>INDEX(ChDoorVel,MATCH(E3021,ChName,0))*CalibScalar*(1+VelocityUplift)</f>
        <v/>
      </c>
      <c r="Q3021" s="46" t="n">
        <v>0</v>
      </c>
      <c r="R3021" s="46">
        <f>P3021*O3021*M3021*N3021*H3021</f>
        <v/>
      </c>
      <c r="S3021" s="46">
        <f>R3021*INDEX(FmtCansPerCase,MATCH(F3021,FmtName,0))</f>
        <v/>
      </c>
      <c r="T3021" s="46">
        <f>S3021/INDEX(FmtCansPerPack,MATCH(F3021,FmtName,0))</f>
        <v/>
      </c>
      <c r="U3021" s="47">
        <f>INDEX(ChBaseCP,MATCH(E3021,ChName,0))*(1+INDEX(ProvMod,MATCH(G3021,ProvCode,0)))*(1+PriceIndex)</f>
        <v/>
      </c>
      <c r="V3021" s="47">
        <f>R3021*U3021*INDEX(FmtBlendedPriceIdx,MATCH(F3021,FmtName,0))</f>
        <v/>
      </c>
      <c r="W3021" s="47">
        <f>T3021*INDEX(ProvSRP,MATCH(G3021,ProvCode,0))*(1+PriceIndex)</f>
        <v/>
      </c>
      <c r="X3021" s="47">
        <f>IF(GrossBasis="Wholesale",V3021,W3021)</f>
        <v/>
      </c>
      <c r="Y3021" s="47">
        <f>R3021*INDEX(FmtBlendedCogs,MATCH(F3021,FmtName,0))</f>
        <v/>
      </c>
      <c r="Z3021" s="47">
        <f>X3021-Y3021</f>
        <v/>
      </c>
    </row>
    <row r="3022">
      <c r="A3022" t="n">
        <v>53</v>
      </c>
      <c r="B3022" s="44">
        <f>FiscalStart+(A3022-1)*7</f>
        <v/>
      </c>
      <c r="C3022">
        <f>TEXT(B3022,"mmm yyyy")</f>
        <v/>
      </c>
      <c r="D3022">
        <f>"Q"&amp;(INT((A3022-1)/13)+1)</f>
        <v/>
      </c>
      <c r="E3022" t="inlineStr">
        <is>
          <t>Specialty</t>
        </is>
      </c>
      <c r="F3022">
        <f>IFERROR(INDEX(ChFormat,MATCH(E3022,ChName,0)),"")</f>
        <v/>
      </c>
      <c r="G3022" t="inlineStr">
        <is>
          <t>NB</t>
        </is>
      </c>
      <c r="H3022">
        <f>IF(A3022&lt;=NWeeks,1,0)</f>
        <v/>
      </c>
      <c r="I3022">
        <f>INDEX(ChLaunch,MATCH(E3022,ChName,0))</f>
        <v/>
      </c>
      <c r="J3022">
        <f>INDEX(ChWeeksFull,MATCH(E3022,ChName,0))</f>
        <v/>
      </c>
      <c r="K3022">
        <f>INDEX(ChRamp,MATCH(E3022,ChName,0))</f>
        <v/>
      </c>
      <c r="L3022" s="45">
        <f>MIN(1,MAX(0,(A3022-I3022+1)*RampSpeed/J3022))</f>
        <v/>
      </c>
      <c r="M3022" s="45">
        <f>IF(A3022&lt;I3022,0,IF(K3022="S-curve",L3022*L3022*(3-2*L3022),L3022))</f>
        <v/>
      </c>
      <c r="N3022" s="45">
        <f>1+(INDEX(SeasonIdx,A3022)-1)*SeasonAmp</f>
        <v/>
      </c>
      <c r="O3022" s="45">
        <f>IFERROR(INDEX(PSPct,MATCH(E3022&amp;"|"&amp;G3022,PSKey,0)),0)</f>
        <v/>
      </c>
      <c r="P3022" s="46">
        <f>INDEX(ChDoorVel,MATCH(E3022,ChName,0))*CalibScalar*(1+VelocityUplift)</f>
        <v/>
      </c>
      <c r="Q3022" s="46" t="n">
        <v>0</v>
      </c>
      <c r="R3022" s="46">
        <f>P3022*O3022*M3022*N3022*H3022</f>
        <v/>
      </c>
      <c r="S3022" s="46">
        <f>R3022*INDEX(FmtCansPerCase,MATCH(F3022,FmtName,0))</f>
        <v/>
      </c>
      <c r="T3022" s="46">
        <f>S3022/INDEX(FmtCansPerPack,MATCH(F3022,FmtName,0))</f>
        <v/>
      </c>
      <c r="U3022" s="47">
        <f>INDEX(ChBaseCP,MATCH(E3022,ChName,0))*(1+INDEX(ProvMod,MATCH(G3022,ProvCode,0)))*(1+PriceIndex)</f>
        <v/>
      </c>
      <c r="V3022" s="47">
        <f>R3022*U3022*INDEX(FmtBlendedPriceIdx,MATCH(F3022,FmtName,0))</f>
        <v/>
      </c>
      <c r="W3022" s="47">
        <f>T3022*INDEX(ProvSRP,MATCH(G3022,ProvCode,0))*(1+PriceIndex)</f>
        <v/>
      </c>
      <c r="X3022" s="47">
        <f>IF(GrossBasis="Wholesale",V3022,W3022)</f>
        <v/>
      </c>
      <c r="Y3022" s="47">
        <f>R3022*INDEX(FmtBlendedCogs,MATCH(F3022,FmtName,0))</f>
        <v/>
      </c>
      <c r="Z3022" s="47">
        <f>X3022-Y3022</f>
        <v/>
      </c>
    </row>
    <row r="3023">
      <c r="A3023" t="n">
        <v>1</v>
      </c>
      <c r="B3023" s="44">
        <f>FiscalStart+(A3023-1)*7</f>
        <v/>
      </c>
      <c r="C3023">
        <f>TEXT(B3023,"mmm yyyy")</f>
        <v/>
      </c>
      <c r="D3023">
        <f>"Q"&amp;(INT((A3023-1)/13)+1)</f>
        <v/>
      </c>
      <c r="E3023" t="inlineStr">
        <is>
          <t>Specialty</t>
        </is>
      </c>
      <c r="F3023">
        <f>IFERROR(INDEX(ChFormat,MATCH(E3023,ChName,0)),"")</f>
        <v/>
      </c>
      <c r="G3023" t="inlineStr">
        <is>
          <t>NS</t>
        </is>
      </c>
      <c r="H3023">
        <f>IF(A3023&lt;=NWeeks,1,0)</f>
        <v/>
      </c>
      <c r="I3023">
        <f>INDEX(ChLaunch,MATCH(E3023,ChName,0))</f>
        <v/>
      </c>
      <c r="J3023">
        <f>INDEX(ChWeeksFull,MATCH(E3023,ChName,0))</f>
        <v/>
      </c>
      <c r="K3023">
        <f>INDEX(ChRamp,MATCH(E3023,ChName,0))</f>
        <v/>
      </c>
      <c r="L3023" s="45">
        <f>MIN(1,MAX(0,(A3023-I3023+1)*RampSpeed/J3023))</f>
        <v/>
      </c>
      <c r="M3023" s="45">
        <f>IF(A3023&lt;I3023,0,IF(K3023="S-curve",L3023*L3023*(3-2*L3023),L3023))</f>
        <v/>
      </c>
      <c r="N3023" s="45">
        <f>1+(INDEX(SeasonIdx,A3023)-1)*SeasonAmp</f>
        <v/>
      </c>
      <c r="O3023" s="45">
        <f>IFERROR(INDEX(PSPct,MATCH(E3023&amp;"|"&amp;G3023,PSKey,0)),0)</f>
        <v/>
      </c>
      <c r="P3023" s="46">
        <f>INDEX(ChDoorVel,MATCH(E3023,ChName,0))*CalibScalar*(1+VelocityUplift)</f>
        <v/>
      </c>
      <c r="Q3023" s="46" t="n">
        <v>0</v>
      </c>
      <c r="R3023" s="46">
        <f>P3023*O3023*M3023*N3023*H3023</f>
        <v/>
      </c>
      <c r="S3023" s="46">
        <f>R3023*INDEX(FmtCansPerCase,MATCH(F3023,FmtName,0))</f>
        <v/>
      </c>
      <c r="T3023" s="46">
        <f>S3023/INDEX(FmtCansPerPack,MATCH(F3023,FmtName,0))</f>
        <v/>
      </c>
      <c r="U3023" s="47">
        <f>INDEX(ChBaseCP,MATCH(E3023,ChName,0))*(1+INDEX(ProvMod,MATCH(G3023,ProvCode,0)))*(1+PriceIndex)</f>
        <v/>
      </c>
      <c r="V3023" s="47">
        <f>R3023*U3023*INDEX(FmtBlendedPriceIdx,MATCH(F3023,FmtName,0))</f>
        <v/>
      </c>
      <c r="W3023" s="47">
        <f>T3023*INDEX(ProvSRP,MATCH(G3023,ProvCode,0))*(1+PriceIndex)</f>
        <v/>
      </c>
      <c r="X3023" s="47">
        <f>IF(GrossBasis="Wholesale",V3023,W3023)</f>
        <v/>
      </c>
      <c r="Y3023" s="47">
        <f>R3023*INDEX(FmtBlendedCogs,MATCH(F3023,FmtName,0))</f>
        <v/>
      </c>
      <c r="Z3023" s="47">
        <f>X3023-Y3023</f>
        <v/>
      </c>
    </row>
    <row r="3024">
      <c r="A3024" t="n">
        <v>2</v>
      </c>
      <c r="B3024" s="44">
        <f>FiscalStart+(A3024-1)*7</f>
        <v/>
      </c>
      <c r="C3024">
        <f>TEXT(B3024,"mmm yyyy")</f>
        <v/>
      </c>
      <c r="D3024">
        <f>"Q"&amp;(INT((A3024-1)/13)+1)</f>
        <v/>
      </c>
      <c r="E3024" t="inlineStr">
        <is>
          <t>Specialty</t>
        </is>
      </c>
      <c r="F3024">
        <f>IFERROR(INDEX(ChFormat,MATCH(E3024,ChName,0)),"")</f>
        <v/>
      </c>
      <c r="G3024" t="inlineStr">
        <is>
          <t>NS</t>
        </is>
      </c>
      <c r="H3024">
        <f>IF(A3024&lt;=NWeeks,1,0)</f>
        <v/>
      </c>
      <c r="I3024">
        <f>INDEX(ChLaunch,MATCH(E3024,ChName,0))</f>
        <v/>
      </c>
      <c r="J3024">
        <f>INDEX(ChWeeksFull,MATCH(E3024,ChName,0))</f>
        <v/>
      </c>
      <c r="K3024">
        <f>INDEX(ChRamp,MATCH(E3024,ChName,0))</f>
        <v/>
      </c>
      <c r="L3024" s="45">
        <f>MIN(1,MAX(0,(A3024-I3024+1)*RampSpeed/J3024))</f>
        <v/>
      </c>
      <c r="M3024" s="45">
        <f>IF(A3024&lt;I3024,0,IF(K3024="S-curve",L3024*L3024*(3-2*L3024),L3024))</f>
        <v/>
      </c>
      <c r="N3024" s="45">
        <f>1+(INDEX(SeasonIdx,A3024)-1)*SeasonAmp</f>
        <v/>
      </c>
      <c r="O3024" s="45">
        <f>IFERROR(INDEX(PSPct,MATCH(E3024&amp;"|"&amp;G3024,PSKey,0)),0)</f>
        <v/>
      </c>
      <c r="P3024" s="46">
        <f>INDEX(ChDoorVel,MATCH(E3024,ChName,0))*CalibScalar*(1+VelocityUplift)</f>
        <v/>
      </c>
      <c r="Q3024" s="46" t="n">
        <v>0</v>
      </c>
      <c r="R3024" s="46">
        <f>P3024*O3024*M3024*N3024*H3024</f>
        <v/>
      </c>
      <c r="S3024" s="46">
        <f>R3024*INDEX(FmtCansPerCase,MATCH(F3024,FmtName,0))</f>
        <v/>
      </c>
      <c r="T3024" s="46">
        <f>S3024/INDEX(FmtCansPerPack,MATCH(F3024,FmtName,0))</f>
        <v/>
      </c>
      <c r="U3024" s="47">
        <f>INDEX(ChBaseCP,MATCH(E3024,ChName,0))*(1+INDEX(ProvMod,MATCH(G3024,ProvCode,0)))*(1+PriceIndex)</f>
        <v/>
      </c>
      <c r="V3024" s="47">
        <f>R3024*U3024*INDEX(FmtBlendedPriceIdx,MATCH(F3024,FmtName,0))</f>
        <v/>
      </c>
      <c r="W3024" s="47">
        <f>T3024*INDEX(ProvSRP,MATCH(G3024,ProvCode,0))*(1+PriceIndex)</f>
        <v/>
      </c>
      <c r="X3024" s="47">
        <f>IF(GrossBasis="Wholesale",V3024,W3024)</f>
        <v/>
      </c>
      <c r="Y3024" s="47">
        <f>R3024*INDEX(FmtBlendedCogs,MATCH(F3024,FmtName,0))</f>
        <v/>
      </c>
      <c r="Z3024" s="47">
        <f>X3024-Y3024</f>
        <v/>
      </c>
    </row>
    <row r="3025">
      <c r="A3025" t="n">
        <v>3</v>
      </c>
      <c r="B3025" s="44">
        <f>FiscalStart+(A3025-1)*7</f>
        <v/>
      </c>
      <c r="C3025">
        <f>TEXT(B3025,"mmm yyyy")</f>
        <v/>
      </c>
      <c r="D3025">
        <f>"Q"&amp;(INT((A3025-1)/13)+1)</f>
        <v/>
      </c>
      <c r="E3025" t="inlineStr">
        <is>
          <t>Specialty</t>
        </is>
      </c>
      <c r="F3025">
        <f>IFERROR(INDEX(ChFormat,MATCH(E3025,ChName,0)),"")</f>
        <v/>
      </c>
      <c r="G3025" t="inlineStr">
        <is>
          <t>NS</t>
        </is>
      </c>
      <c r="H3025">
        <f>IF(A3025&lt;=NWeeks,1,0)</f>
        <v/>
      </c>
      <c r="I3025">
        <f>INDEX(ChLaunch,MATCH(E3025,ChName,0))</f>
        <v/>
      </c>
      <c r="J3025">
        <f>INDEX(ChWeeksFull,MATCH(E3025,ChName,0))</f>
        <v/>
      </c>
      <c r="K3025">
        <f>INDEX(ChRamp,MATCH(E3025,ChName,0))</f>
        <v/>
      </c>
      <c r="L3025" s="45">
        <f>MIN(1,MAX(0,(A3025-I3025+1)*RampSpeed/J3025))</f>
        <v/>
      </c>
      <c r="M3025" s="45">
        <f>IF(A3025&lt;I3025,0,IF(K3025="S-curve",L3025*L3025*(3-2*L3025),L3025))</f>
        <v/>
      </c>
      <c r="N3025" s="45">
        <f>1+(INDEX(SeasonIdx,A3025)-1)*SeasonAmp</f>
        <v/>
      </c>
      <c r="O3025" s="45">
        <f>IFERROR(INDEX(PSPct,MATCH(E3025&amp;"|"&amp;G3025,PSKey,0)),0)</f>
        <v/>
      </c>
      <c r="P3025" s="46">
        <f>INDEX(ChDoorVel,MATCH(E3025,ChName,0))*CalibScalar*(1+VelocityUplift)</f>
        <v/>
      </c>
      <c r="Q3025" s="46" t="n">
        <v>0</v>
      </c>
      <c r="R3025" s="46">
        <f>P3025*O3025*M3025*N3025*H3025</f>
        <v/>
      </c>
      <c r="S3025" s="46">
        <f>R3025*INDEX(FmtCansPerCase,MATCH(F3025,FmtName,0))</f>
        <v/>
      </c>
      <c r="T3025" s="46">
        <f>S3025/INDEX(FmtCansPerPack,MATCH(F3025,FmtName,0))</f>
        <v/>
      </c>
      <c r="U3025" s="47">
        <f>INDEX(ChBaseCP,MATCH(E3025,ChName,0))*(1+INDEX(ProvMod,MATCH(G3025,ProvCode,0)))*(1+PriceIndex)</f>
        <v/>
      </c>
      <c r="V3025" s="47">
        <f>R3025*U3025*INDEX(FmtBlendedPriceIdx,MATCH(F3025,FmtName,0))</f>
        <v/>
      </c>
      <c r="W3025" s="47">
        <f>T3025*INDEX(ProvSRP,MATCH(G3025,ProvCode,0))*(1+PriceIndex)</f>
        <v/>
      </c>
      <c r="X3025" s="47">
        <f>IF(GrossBasis="Wholesale",V3025,W3025)</f>
        <v/>
      </c>
      <c r="Y3025" s="47">
        <f>R3025*INDEX(FmtBlendedCogs,MATCH(F3025,FmtName,0))</f>
        <v/>
      </c>
      <c r="Z3025" s="47">
        <f>X3025-Y3025</f>
        <v/>
      </c>
    </row>
    <row r="3026">
      <c r="A3026" t="n">
        <v>4</v>
      </c>
      <c r="B3026" s="44">
        <f>FiscalStart+(A3026-1)*7</f>
        <v/>
      </c>
      <c r="C3026">
        <f>TEXT(B3026,"mmm yyyy")</f>
        <v/>
      </c>
      <c r="D3026">
        <f>"Q"&amp;(INT((A3026-1)/13)+1)</f>
        <v/>
      </c>
      <c r="E3026" t="inlineStr">
        <is>
          <t>Specialty</t>
        </is>
      </c>
      <c r="F3026">
        <f>IFERROR(INDEX(ChFormat,MATCH(E3026,ChName,0)),"")</f>
        <v/>
      </c>
      <c r="G3026" t="inlineStr">
        <is>
          <t>NS</t>
        </is>
      </c>
      <c r="H3026">
        <f>IF(A3026&lt;=NWeeks,1,0)</f>
        <v/>
      </c>
      <c r="I3026">
        <f>INDEX(ChLaunch,MATCH(E3026,ChName,0))</f>
        <v/>
      </c>
      <c r="J3026">
        <f>INDEX(ChWeeksFull,MATCH(E3026,ChName,0))</f>
        <v/>
      </c>
      <c r="K3026">
        <f>INDEX(ChRamp,MATCH(E3026,ChName,0))</f>
        <v/>
      </c>
      <c r="L3026" s="45">
        <f>MIN(1,MAX(0,(A3026-I3026+1)*RampSpeed/J3026))</f>
        <v/>
      </c>
      <c r="M3026" s="45">
        <f>IF(A3026&lt;I3026,0,IF(K3026="S-curve",L3026*L3026*(3-2*L3026),L3026))</f>
        <v/>
      </c>
      <c r="N3026" s="45">
        <f>1+(INDEX(SeasonIdx,A3026)-1)*SeasonAmp</f>
        <v/>
      </c>
      <c r="O3026" s="45">
        <f>IFERROR(INDEX(PSPct,MATCH(E3026&amp;"|"&amp;G3026,PSKey,0)),0)</f>
        <v/>
      </c>
      <c r="P3026" s="46">
        <f>INDEX(ChDoorVel,MATCH(E3026,ChName,0))*CalibScalar*(1+VelocityUplift)</f>
        <v/>
      </c>
      <c r="Q3026" s="46" t="n">
        <v>0</v>
      </c>
      <c r="R3026" s="46">
        <f>P3026*O3026*M3026*N3026*H3026</f>
        <v/>
      </c>
      <c r="S3026" s="46">
        <f>R3026*INDEX(FmtCansPerCase,MATCH(F3026,FmtName,0))</f>
        <v/>
      </c>
      <c r="T3026" s="46">
        <f>S3026/INDEX(FmtCansPerPack,MATCH(F3026,FmtName,0))</f>
        <v/>
      </c>
      <c r="U3026" s="47">
        <f>INDEX(ChBaseCP,MATCH(E3026,ChName,0))*(1+INDEX(ProvMod,MATCH(G3026,ProvCode,0)))*(1+PriceIndex)</f>
        <v/>
      </c>
      <c r="V3026" s="47">
        <f>R3026*U3026*INDEX(FmtBlendedPriceIdx,MATCH(F3026,FmtName,0))</f>
        <v/>
      </c>
      <c r="W3026" s="47">
        <f>T3026*INDEX(ProvSRP,MATCH(G3026,ProvCode,0))*(1+PriceIndex)</f>
        <v/>
      </c>
      <c r="X3026" s="47">
        <f>IF(GrossBasis="Wholesale",V3026,W3026)</f>
        <v/>
      </c>
      <c r="Y3026" s="47">
        <f>R3026*INDEX(FmtBlendedCogs,MATCH(F3026,FmtName,0))</f>
        <v/>
      </c>
      <c r="Z3026" s="47">
        <f>X3026-Y3026</f>
        <v/>
      </c>
    </row>
    <row r="3027">
      <c r="A3027" t="n">
        <v>5</v>
      </c>
      <c r="B3027" s="44">
        <f>FiscalStart+(A3027-1)*7</f>
        <v/>
      </c>
      <c r="C3027">
        <f>TEXT(B3027,"mmm yyyy")</f>
        <v/>
      </c>
      <c r="D3027">
        <f>"Q"&amp;(INT((A3027-1)/13)+1)</f>
        <v/>
      </c>
      <c r="E3027" t="inlineStr">
        <is>
          <t>Specialty</t>
        </is>
      </c>
      <c r="F3027">
        <f>IFERROR(INDEX(ChFormat,MATCH(E3027,ChName,0)),"")</f>
        <v/>
      </c>
      <c r="G3027" t="inlineStr">
        <is>
          <t>NS</t>
        </is>
      </c>
      <c r="H3027">
        <f>IF(A3027&lt;=NWeeks,1,0)</f>
        <v/>
      </c>
      <c r="I3027">
        <f>INDEX(ChLaunch,MATCH(E3027,ChName,0))</f>
        <v/>
      </c>
      <c r="J3027">
        <f>INDEX(ChWeeksFull,MATCH(E3027,ChName,0))</f>
        <v/>
      </c>
      <c r="K3027">
        <f>INDEX(ChRamp,MATCH(E3027,ChName,0))</f>
        <v/>
      </c>
      <c r="L3027" s="45">
        <f>MIN(1,MAX(0,(A3027-I3027+1)*RampSpeed/J3027))</f>
        <v/>
      </c>
      <c r="M3027" s="45">
        <f>IF(A3027&lt;I3027,0,IF(K3027="S-curve",L3027*L3027*(3-2*L3027),L3027))</f>
        <v/>
      </c>
      <c r="N3027" s="45">
        <f>1+(INDEX(SeasonIdx,A3027)-1)*SeasonAmp</f>
        <v/>
      </c>
      <c r="O3027" s="45">
        <f>IFERROR(INDEX(PSPct,MATCH(E3027&amp;"|"&amp;G3027,PSKey,0)),0)</f>
        <v/>
      </c>
      <c r="P3027" s="46">
        <f>INDEX(ChDoorVel,MATCH(E3027,ChName,0))*CalibScalar*(1+VelocityUplift)</f>
        <v/>
      </c>
      <c r="Q3027" s="46" t="n">
        <v>0</v>
      </c>
      <c r="R3027" s="46">
        <f>P3027*O3027*M3027*N3027*H3027</f>
        <v/>
      </c>
      <c r="S3027" s="46">
        <f>R3027*INDEX(FmtCansPerCase,MATCH(F3027,FmtName,0))</f>
        <v/>
      </c>
      <c r="T3027" s="46">
        <f>S3027/INDEX(FmtCansPerPack,MATCH(F3027,FmtName,0))</f>
        <v/>
      </c>
      <c r="U3027" s="47">
        <f>INDEX(ChBaseCP,MATCH(E3027,ChName,0))*(1+INDEX(ProvMod,MATCH(G3027,ProvCode,0)))*(1+PriceIndex)</f>
        <v/>
      </c>
      <c r="V3027" s="47">
        <f>R3027*U3027*INDEX(FmtBlendedPriceIdx,MATCH(F3027,FmtName,0))</f>
        <v/>
      </c>
      <c r="W3027" s="47">
        <f>T3027*INDEX(ProvSRP,MATCH(G3027,ProvCode,0))*(1+PriceIndex)</f>
        <v/>
      </c>
      <c r="X3027" s="47">
        <f>IF(GrossBasis="Wholesale",V3027,W3027)</f>
        <v/>
      </c>
      <c r="Y3027" s="47">
        <f>R3027*INDEX(FmtBlendedCogs,MATCH(F3027,FmtName,0))</f>
        <v/>
      </c>
      <c r="Z3027" s="47">
        <f>X3027-Y3027</f>
        <v/>
      </c>
    </row>
    <row r="3028">
      <c r="A3028" t="n">
        <v>6</v>
      </c>
      <c r="B3028" s="44">
        <f>FiscalStart+(A3028-1)*7</f>
        <v/>
      </c>
      <c r="C3028">
        <f>TEXT(B3028,"mmm yyyy")</f>
        <v/>
      </c>
      <c r="D3028">
        <f>"Q"&amp;(INT((A3028-1)/13)+1)</f>
        <v/>
      </c>
      <c r="E3028" t="inlineStr">
        <is>
          <t>Specialty</t>
        </is>
      </c>
      <c r="F3028">
        <f>IFERROR(INDEX(ChFormat,MATCH(E3028,ChName,0)),"")</f>
        <v/>
      </c>
      <c r="G3028" t="inlineStr">
        <is>
          <t>NS</t>
        </is>
      </c>
      <c r="H3028">
        <f>IF(A3028&lt;=NWeeks,1,0)</f>
        <v/>
      </c>
      <c r="I3028">
        <f>INDEX(ChLaunch,MATCH(E3028,ChName,0))</f>
        <v/>
      </c>
      <c r="J3028">
        <f>INDEX(ChWeeksFull,MATCH(E3028,ChName,0))</f>
        <v/>
      </c>
      <c r="K3028">
        <f>INDEX(ChRamp,MATCH(E3028,ChName,0))</f>
        <v/>
      </c>
      <c r="L3028" s="45">
        <f>MIN(1,MAX(0,(A3028-I3028+1)*RampSpeed/J3028))</f>
        <v/>
      </c>
      <c r="M3028" s="45">
        <f>IF(A3028&lt;I3028,0,IF(K3028="S-curve",L3028*L3028*(3-2*L3028),L3028))</f>
        <v/>
      </c>
      <c r="N3028" s="45">
        <f>1+(INDEX(SeasonIdx,A3028)-1)*SeasonAmp</f>
        <v/>
      </c>
      <c r="O3028" s="45">
        <f>IFERROR(INDEX(PSPct,MATCH(E3028&amp;"|"&amp;G3028,PSKey,0)),0)</f>
        <v/>
      </c>
      <c r="P3028" s="46">
        <f>INDEX(ChDoorVel,MATCH(E3028,ChName,0))*CalibScalar*(1+VelocityUplift)</f>
        <v/>
      </c>
      <c r="Q3028" s="46" t="n">
        <v>0</v>
      </c>
      <c r="R3028" s="46">
        <f>P3028*O3028*M3028*N3028*H3028</f>
        <v/>
      </c>
      <c r="S3028" s="46">
        <f>R3028*INDEX(FmtCansPerCase,MATCH(F3028,FmtName,0))</f>
        <v/>
      </c>
      <c r="T3028" s="46">
        <f>S3028/INDEX(FmtCansPerPack,MATCH(F3028,FmtName,0))</f>
        <v/>
      </c>
      <c r="U3028" s="47">
        <f>INDEX(ChBaseCP,MATCH(E3028,ChName,0))*(1+INDEX(ProvMod,MATCH(G3028,ProvCode,0)))*(1+PriceIndex)</f>
        <v/>
      </c>
      <c r="V3028" s="47">
        <f>R3028*U3028*INDEX(FmtBlendedPriceIdx,MATCH(F3028,FmtName,0))</f>
        <v/>
      </c>
      <c r="W3028" s="47">
        <f>T3028*INDEX(ProvSRP,MATCH(G3028,ProvCode,0))*(1+PriceIndex)</f>
        <v/>
      </c>
      <c r="X3028" s="47">
        <f>IF(GrossBasis="Wholesale",V3028,W3028)</f>
        <v/>
      </c>
      <c r="Y3028" s="47">
        <f>R3028*INDEX(FmtBlendedCogs,MATCH(F3028,FmtName,0))</f>
        <v/>
      </c>
      <c r="Z3028" s="47">
        <f>X3028-Y3028</f>
        <v/>
      </c>
    </row>
    <row r="3029">
      <c r="A3029" t="n">
        <v>7</v>
      </c>
      <c r="B3029" s="44">
        <f>FiscalStart+(A3029-1)*7</f>
        <v/>
      </c>
      <c r="C3029">
        <f>TEXT(B3029,"mmm yyyy")</f>
        <v/>
      </c>
      <c r="D3029">
        <f>"Q"&amp;(INT((A3029-1)/13)+1)</f>
        <v/>
      </c>
      <c r="E3029" t="inlineStr">
        <is>
          <t>Specialty</t>
        </is>
      </c>
      <c r="F3029">
        <f>IFERROR(INDEX(ChFormat,MATCH(E3029,ChName,0)),"")</f>
        <v/>
      </c>
      <c r="G3029" t="inlineStr">
        <is>
          <t>NS</t>
        </is>
      </c>
      <c r="H3029">
        <f>IF(A3029&lt;=NWeeks,1,0)</f>
        <v/>
      </c>
      <c r="I3029">
        <f>INDEX(ChLaunch,MATCH(E3029,ChName,0))</f>
        <v/>
      </c>
      <c r="J3029">
        <f>INDEX(ChWeeksFull,MATCH(E3029,ChName,0))</f>
        <v/>
      </c>
      <c r="K3029">
        <f>INDEX(ChRamp,MATCH(E3029,ChName,0))</f>
        <v/>
      </c>
      <c r="L3029" s="45">
        <f>MIN(1,MAX(0,(A3029-I3029+1)*RampSpeed/J3029))</f>
        <v/>
      </c>
      <c r="M3029" s="45">
        <f>IF(A3029&lt;I3029,0,IF(K3029="S-curve",L3029*L3029*(3-2*L3029),L3029))</f>
        <v/>
      </c>
      <c r="N3029" s="45">
        <f>1+(INDEX(SeasonIdx,A3029)-1)*SeasonAmp</f>
        <v/>
      </c>
      <c r="O3029" s="45">
        <f>IFERROR(INDEX(PSPct,MATCH(E3029&amp;"|"&amp;G3029,PSKey,0)),0)</f>
        <v/>
      </c>
      <c r="P3029" s="46">
        <f>INDEX(ChDoorVel,MATCH(E3029,ChName,0))*CalibScalar*(1+VelocityUplift)</f>
        <v/>
      </c>
      <c r="Q3029" s="46" t="n">
        <v>0</v>
      </c>
      <c r="R3029" s="46">
        <f>P3029*O3029*M3029*N3029*H3029</f>
        <v/>
      </c>
      <c r="S3029" s="46">
        <f>R3029*INDEX(FmtCansPerCase,MATCH(F3029,FmtName,0))</f>
        <v/>
      </c>
      <c r="T3029" s="46">
        <f>S3029/INDEX(FmtCansPerPack,MATCH(F3029,FmtName,0))</f>
        <v/>
      </c>
      <c r="U3029" s="47">
        <f>INDEX(ChBaseCP,MATCH(E3029,ChName,0))*(1+INDEX(ProvMod,MATCH(G3029,ProvCode,0)))*(1+PriceIndex)</f>
        <v/>
      </c>
      <c r="V3029" s="47">
        <f>R3029*U3029*INDEX(FmtBlendedPriceIdx,MATCH(F3029,FmtName,0))</f>
        <v/>
      </c>
      <c r="W3029" s="47">
        <f>T3029*INDEX(ProvSRP,MATCH(G3029,ProvCode,0))*(1+PriceIndex)</f>
        <v/>
      </c>
      <c r="X3029" s="47">
        <f>IF(GrossBasis="Wholesale",V3029,W3029)</f>
        <v/>
      </c>
      <c r="Y3029" s="47">
        <f>R3029*INDEX(FmtBlendedCogs,MATCH(F3029,FmtName,0))</f>
        <v/>
      </c>
      <c r="Z3029" s="47">
        <f>X3029-Y3029</f>
        <v/>
      </c>
    </row>
    <row r="3030">
      <c r="A3030" t="n">
        <v>8</v>
      </c>
      <c r="B3030" s="44">
        <f>FiscalStart+(A3030-1)*7</f>
        <v/>
      </c>
      <c r="C3030">
        <f>TEXT(B3030,"mmm yyyy")</f>
        <v/>
      </c>
      <c r="D3030">
        <f>"Q"&amp;(INT((A3030-1)/13)+1)</f>
        <v/>
      </c>
      <c r="E3030" t="inlineStr">
        <is>
          <t>Specialty</t>
        </is>
      </c>
      <c r="F3030">
        <f>IFERROR(INDEX(ChFormat,MATCH(E3030,ChName,0)),"")</f>
        <v/>
      </c>
      <c r="G3030" t="inlineStr">
        <is>
          <t>NS</t>
        </is>
      </c>
      <c r="H3030">
        <f>IF(A3030&lt;=NWeeks,1,0)</f>
        <v/>
      </c>
      <c r="I3030">
        <f>INDEX(ChLaunch,MATCH(E3030,ChName,0))</f>
        <v/>
      </c>
      <c r="J3030">
        <f>INDEX(ChWeeksFull,MATCH(E3030,ChName,0))</f>
        <v/>
      </c>
      <c r="K3030">
        <f>INDEX(ChRamp,MATCH(E3030,ChName,0))</f>
        <v/>
      </c>
      <c r="L3030" s="45">
        <f>MIN(1,MAX(0,(A3030-I3030+1)*RampSpeed/J3030))</f>
        <v/>
      </c>
      <c r="M3030" s="45">
        <f>IF(A3030&lt;I3030,0,IF(K3030="S-curve",L3030*L3030*(3-2*L3030),L3030))</f>
        <v/>
      </c>
      <c r="N3030" s="45">
        <f>1+(INDEX(SeasonIdx,A3030)-1)*SeasonAmp</f>
        <v/>
      </c>
      <c r="O3030" s="45">
        <f>IFERROR(INDEX(PSPct,MATCH(E3030&amp;"|"&amp;G3030,PSKey,0)),0)</f>
        <v/>
      </c>
      <c r="P3030" s="46">
        <f>INDEX(ChDoorVel,MATCH(E3030,ChName,0))*CalibScalar*(1+VelocityUplift)</f>
        <v/>
      </c>
      <c r="Q3030" s="46" t="n">
        <v>0</v>
      </c>
      <c r="R3030" s="46">
        <f>P3030*O3030*M3030*N3030*H3030</f>
        <v/>
      </c>
      <c r="S3030" s="46">
        <f>R3030*INDEX(FmtCansPerCase,MATCH(F3030,FmtName,0))</f>
        <v/>
      </c>
      <c r="T3030" s="46">
        <f>S3030/INDEX(FmtCansPerPack,MATCH(F3030,FmtName,0))</f>
        <v/>
      </c>
      <c r="U3030" s="47">
        <f>INDEX(ChBaseCP,MATCH(E3030,ChName,0))*(1+INDEX(ProvMod,MATCH(G3030,ProvCode,0)))*(1+PriceIndex)</f>
        <v/>
      </c>
      <c r="V3030" s="47">
        <f>R3030*U3030*INDEX(FmtBlendedPriceIdx,MATCH(F3030,FmtName,0))</f>
        <v/>
      </c>
      <c r="W3030" s="47">
        <f>T3030*INDEX(ProvSRP,MATCH(G3030,ProvCode,0))*(1+PriceIndex)</f>
        <v/>
      </c>
      <c r="X3030" s="47">
        <f>IF(GrossBasis="Wholesale",V3030,W3030)</f>
        <v/>
      </c>
      <c r="Y3030" s="47">
        <f>R3030*INDEX(FmtBlendedCogs,MATCH(F3030,FmtName,0))</f>
        <v/>
      </c>
      <c r="Z3030" s="47">
        <f>X3030-Y3030</f>
        <v/>
      </c>
    </row>
    <row r="3031">
      <c r="A3031" t="n">
        <v>9</v>
      </c>
      <c r="B3031" s="44">
        <f>FiscalStart+(A3031-1)*7</f>
        <v/>
      </c>
      <c r="C3031">
        <f>TEXT(B3031,"mmm yyyy")</f>
        <v/>
      </c>
      <c r="D3031">
        <f>"Q"&amp;(INT((A3031-1)/13)+1)</f>
        <v/>
      </c>
      <c r="E3031" t="inlineStr">
        <is>
          <t>Specialty</t>
        </is>
      </c>
      <c r="F3031">
        <f>IFERROR(INDEX(ChFormat,MATCH(E3031,ChName,0)),"")</f>
        <v/>
      </c>
      <c r="G3031" t="inlineStr">
        <is>
          <t>NS</t>
        </is>
      </c>
      <c r="H3031">
        <f>IF(A3031&lt;=NWeeks,1,0)</f>
        <v/>
      </c>
      <c r="I3031">
        <f>INDEX(ChLaunch,MATCH(E3031,ChName,0))</f>
        <v/>
      </c>
      <c r="J3031">
        <f>INDEX(ChWeeksFull,MATCH(E3031,ChName,0))</f>
        <v/>
      </c>
      <c r="K3031">
        <f>INDEX(ChRamp,MATCH(E3031,ChName,0))</f>
        <v/>
      </c>
      <c r="L3031" s="45">
        <f>MIN(1,MAX(0,(A3031-I3031+1)*RampSpeed/J3031))</f>
        <v/>
      </c>
      <c r="M3031" s="45">
        <f>IF(A3031&lt;I3031,0,IF(K3031="S-curve",L3031*L3031*(3-2*L3031),L3031))</f>
        <v/>
      </c>
      <c r="N3031" s="45">
        <f>1+(INDEX(SeasonIdx,A3031)-1)*SeasonAmp</f>
        <v/>
      </c>
      <c r="O3031" s="45">
        <f>IFERROR(INDEX(PSPct,MATCH(E3031&amp;"|"&amp;G3031,PSKey,0)),0)</f>
        <v/>
      </c>
      <c r="P3031" s="46">
        <f>INDEX(ChDoorVel,MATCH(E3031,ChName,0))*CalibScalar*(1+VelocityUplift)</f>
        <v/>
      </c>
      <c r="Q3031" s="46" t="n">
        <v>0</v>
      </c>
      <c r="R3031" s="46">
        <f>P3031*O3031*M3031*N3031*H3031</f>
        <v/>
      </c>
      <c r="S3031" s="46">
        <f>R3031*INDEX(FmtCansPerCase,MATCH(F3031,FmtName,0))</f>
        <v/>
      </c>
      <c r="T3031" s="46">
        <f>S3031/INDEX(FmtCansPerPack,MATCH(F3031,FmtName,0))</f>
        <v/>
      </c>
      <c r="U3031" s="47">
        <f>INDEX(ChBaseCP,MATCH(E3031,ChName,0))*(1+INDEX(ProvMod,MATCH(G3031,ProvCode,0)))*(1+PriceIndex)</f>
        <v/>
      </c>
      <c r="V3031" s="47">
        <f>R3031*U3031*INDEX(FmtBlendedPriceIdx,MATCH(F3031,FmtName,0))</f>
        <v/>
      </c>
      <c r="W3031" s="47">
        <f>T3031*INDEX(ProvSRP,MATCH(G3031,ProvCode,0))*(1+PriceIndex)</f>
        <v/>
      </c>
      <c r="X3031" s="47">
        <f>IF(GrossBasis="Wholesale",V3031,W3031)</f>
        <v/>
      </c>
      <c r="Y3031" s="47">
        <f>R3031*INDEX(FmtBlendedCogs,MATCH(F3031,FmtName,0))</f>
        <v/>
      </c>
      <c r="Z3031" s="47">
        <f>X3031-Y3031</f>
        <v/>
      </c>
    </row>
    <row r="3032">
      <c r="A3032" t="n">
        <v>10</v>
      </c>
      <c r="B3032" s="44">
        <f>FiscalStart+(A3032-1)*7</f>
        <v/>
      </c>
      <c r="C3032">
        <f>TEXT(B3032,"mmm yyyy")</f>
        <v/>
      </c>
      <c r="D3032">
        <f>"Q"&amp;(INT((A3032-1)/13)+1)</f>
        <v/>
      </c>
      <c r="E3032" t="inlineStr">
        <is>
          <t>Specialty</t>
        </is>
      </c>
      <c r="F3032">
        <f>IFERROR(INDEX(ChFormat,MATCH(E3032,ChName,0)),"")</f>
        <v/>
      </c>
      <c r="G3032" t="inlineStr">
        <is>
          <t>NS</t>
        </is>
      </c>
      <c r="H3032">
        <f>IF(A3032&lt;=NWeeks,1,0)</f>
        <v/>
      </c>
      <c r="I3032">
        <f>INDEX(ChLaunch,MATCH(E3032,ChName,0))</f>
        <v/>
      </c>
      <c r="J3032">
        <f>INDEX(ChWeeksFull,MATCH(E3032,ChName,0))</f>
        <v/>
      </c>
      <c r="K3032">
        <f>INDEX(ChRamp,MATCH(E3032,ChName,0))</f>
        <v/>
      </c>
      <c r="L3032" s="45">
        <f>MIN(1,MAX(0,(A3032-I3032+1)*RampSpeed/J3032))</f>
        <v/>
      </c>
      <c r="M3032" s="45">
        <f>IF(A3032&lt;I3032,0,IF(K3032="S-curve",L3032*L3032*(3-2*L3032),L3032))</f>
        <v/>
      </c>
      <c r="N3032" s="45">
        <f>1+(INDEX(SeasonIdx,A3032)-1)*SeasonAmp</f>
        <v/>
      </c>
      <c r="O3032" s="45">
        <f>IFERROR(INDEX(PSPct,MATCH(E3032&amp;"|"&amp;G3032,PSKey,0)),0)</f>
        <v/>
      </c>
      <c r="P3032" s="46">
        <f>INDEX(ChDoorVel,MATCH(E3032,ChName,0))*CalibScalar*(1+VelocityUplift)</f>
        <v/>
      </c>
      <c r="Q3032" s="46" t="n">
        <v>0</v>
      </c>
      <c r="R3032" s="46">
        <f>P3032*O3032*M3032*N3032*H3032</f>
        <v/>
      </c>
      <c r="S3032" s="46">
        <f>R3032*INDEX(FmtCansPerCase,MATCH(F3032,FmtName,0))</f>
        <v/>
      </c>
      <c r="T3032" s="46">
        <f>S3032/INDEX(FmtCansPerPack,MATCH(F3032,FmtName,0))</f>
        <v/>
      </c>
      <c r="U3032" s="47">
        <f>INDEX(ChBaseCP,MATCH(E3032,ChName,0))*(1+INDEX(ProvMod,MATCH(G3032,ProvCode,0)))*(1+PriceIndex)</f>
        <v/>
      </c>
      <c r="V3032" s="47">
        <f>R3032*U3032*INDEX(FmtBlendedPriceIdx,MATCH(F3032,FmtName,0))</f>
        <v/>
      </c>
      <c r="W3032" s="47">
        <f>T3032*INDEX(ProvSRP,MATCH(G3032,ProvCode,0))*(1+PriceIndex)</f>
        <v/>
      </c>
      <c r="X3032" s="47">
        <f>IF(GrossBasis="Wholesale",V3032,W3032)</f>
        <v/>
      </c>
      <c r="Y3032" s="47">
        <f>R3032*INDEX(FmtBlendedCogs,MATCH(F3032,FmtName,0))</f>
        <v/>
      </c>
      <c r="Z3032" s="47">
        <f>X3032-Y3032</f>
        <v/>
      </c>
    </row>
    <row r="3033">
      <c r="A3033" t="n">
        <v>11</v>
      </c>
      <c r="B3033" s="44">
        <f>FiscalStart+(A3033-1)*7</f>
        <v/>
      </c>
      <c r="C3033">
        <f>TEXT(B3033,"mmm yyyy")</f>
        <v/>
      </c>
      <c r="D3033">
        <f>"Q"&amp;(INT((A3033-1)/13)+1)</f>
        <v/>
      </c>
      <c r="E3033" t="inlineStr">
        <is>
          <t>Specialty</t>
        </is>
      </c>
      <c r="F3033">
        <f>IFERROR(INDEX(ChFormat,MATCH(E3033,ChName,0)),"")</f>
        <v/>
      </c>
      <c r="G3033" t="inlineStr">
        <is>
          <t>NS</t>
        </is>
      </c>
      <c r="H3033">
        <f>IF(A3033&lt;=NWeeks,1,0)</f>
        <v/>
      </c>
      <c r="I3033">
        <f>INDEX(ChLaunch,MATCH(E3033,ChName,0))</f>
        <v/>
      </c>
      <c r="J3033">
        <f>INDEX(ChWeeksFull,MATCH(E3033,ChName,0))</f>
        <v/>
      </c>
      <c r="K3033">
        <f>INDEX(ChRamp,MATCH(E3033,ChName,0))</f>
        <v/>
      </c>
      <c r="L3033" s="45">
        <f>MIN(1,MAX(0,(A3033-I3033+1)*RampSpeed/J3033))</f>
        <v/>
      </c>
      <c r="M3033" s="45">
        <f>IF(A3033&lt;I3033,0,IF(K3033="S-curve",L3033*L3033*(3-2*L3033),L3033))</f>
        <v/>
      </c>
      <c r="N3033" s="45">
        <f>1+(INDEX(SeasonIdx,A3033)-1)*SeasonAmp</f>
        <v/>
      </c>
      <c r="O3033" s="45">
        <f>IFERROR(INDEX(PSPct,MATCH(E3033&amp;"|"&amp;G3033,PSKey,0)),0)</f>
        <v/>
      </c>
      <c r="P3033" s="46">
        <f>INDEX(ChDoorVel,MATCH(E3033,ChName,0))*CalibScalar*(1+VelocityUplift)</f>
        <v/>
      </c>
      <c r="Q3033" s="46" t="n">
        <v>0</v>
      </c>
      <c r="R3033" s="46">
        <f>P3033*O3033*M3033*N3033*H3033</f>
        <v/>
      </c>
      <c r="S3033" s="46">
        <f>R3033*INDEX(FmtCansPerCase,MATCH(F3033,FmtName,0))</f>
        <v/>
      </c>
      <c r="T3033" s="46">
        <f>S3033/INDEX(FmtCansPerPack,MATCH(F3033,FmtName,0))</f>
        <v/>
      </c>
      <c r="U3033" s="47">
        <f>INDEX(ChBaseCP,MATCH(E3033,ChName,0))*(1+INDEX(ProvMod,MATCH(G3033,ProvCode,0)))*(1+PriceIndex)</f>
        <v/>
      </c>
      <c r="V3033" s="47">
        <f>R3033*U3033*INDEX(FmtBlendedPriceIdx,MATCH(F3033,FmtName,0))</f>
        <v/>
      </c>
      <c r="W3033" s="47">
        <f>T3033*INDEX(ProvSRP,MATCH(G3033,ProvCode,0))*(1+PriceIndex)</f>
        <v/>
      </c>
      <c r="X3033" s="47">
        <f>IF(GrossBasis="Wholesale",V3033,W3033)</f>
        <v/>
      </c>
      <c r="Y3033" s="47">
        <f>R3033*INDEX(FmtBlendedCogs,MATCH(F3033,FmtName,0))</f>
        <v/>
      </c>
      <c r="Z3033" s="47">
        <f>X3033-Y3033</f>
        <v/>
      </c>
    </row>
    <row r="3034">
      <c r="A3034" t="n">
        <v>12</v>
      </c>
      <c r="B3034" s="44">
        <f>FiscalStart+(A3034-1)*7</f>
        <v/>
      </c>
      <c r="C3034">
        <f>TEXT(B3034,"mmm yyyy")</f>
        <v/>
      </c>
      <c r="D3034">
        <f>"Q"&amp;(INT((A3034-1)/13)+1)</f>
        <v/>
      </c>
      <c r="E3034" t="inlineStr">
        <is>
          <t>Specialty</t>
        </is>
      </c>
      <c r="F3034">
        <f>IFERROR(INDEX(ChFormat,MATCH(E3034,ChName,0)),"")</f>
        <v/>
      </c>
      <c r="G3034" t="inlineStr">
        <is>
          <t>NS</t>
        </is>
      </c>
      <c r="H3034">
        <f>IF(A3034&lt;=NWeeks,1,0)</f>
        <v/>
      </c>
      <c r="I3034">
        <f>INDEX(ChLaunch,MATCH(E3034,ChName,0))</f>
        <v/>
      </c>
      <c r="J3034">
        <f>INDEX(ChWeeksFull,MATCH(E3034,ChName,0))</f>
        <v/>
      </c>
      <c r="K3034">
        <f>INDEX(ChRamp,MATCH(E3034,ChName,0))</f>
        <v/>
      </c>
      <c r="L3034" s="45">
        <f>MIN(1,MAX(0,(A3034-I3034+1)*RampSpeed/J3034))</f>
        <v/>
      </c>
      <c r="M3034" s="45">
        <f>IF(A3034&lt;I3034,0,IF(K3034="S-curve",L3034*L3034*(3-2*L3034),L3034))</f>
        <v/>
      </c>
      <c r="N3034" s="45">
        <f>1+(INDEX(SeasonIdx,A3034)-1)*SeasonAmp</f>
        <v/>
      </c>
      <c r="O3034" s="45">
        <f>IFERROR(INDEX(PSPct,MATCH(E3034&amp;"|"&amp;G3034,PSKey,0)),0)</f>
        <v/>
      </c>
      <c r="P3034" s="46">
        <f>INDEX(ChDoorVel,MATCH(E3034,ChName,0))*CalibScalar*(1+VelocityUplift)</f>
        <v/>
      </c>
      <c r="Q3034" s="46" t="n">
        <v>0</v>
      </c>
      <c r="R3034" s="46">
        <f>P3034*O3034*M3034*N3034*H3034</f>
        <v/>
      </c>
      <c r="S3034" s="46">
        <f>R3034*INDEX(FmtCansPerCase,MATCH(F3034,FmtName,0))</f>
        <v/>
      </c>
      <c r="T3034" s="46">
        <f>S3034/INDEX(FmtCansPerPack,MATCH(F3034,FmtName,0))</f>
        <v/>
      </c>
      <c r="U3034" s="47">
        <f>INDEX(ChBaseCP,MATCH(E3034,ChName,0))*(1+INDEX(ProvMod,MATCH(G3034,ProvCode,0)))*(1+PriceIndex)</f>
        <v/>
      </c>
      <c r="V3034" s="47">
        <f>R3034*U3034*INDEX(FmtBlendedPriceIdx,MATCH(F3034,FmtName,0))</f>
        <v/>
      </c>
      <c r="W3034" s="47">
        <f>T3034*INDEX(ProvSRP,MATCH(G3034,ProvCode,0))*(1+PriceIndex)</f>
        <v/>
      </c>
      <c r="X3034" s="47">
        <f>IF(GrossBasis="Wholesale",V3034,W3034)</f>
        <v/>
      </c>
      <c r="Y3034" s="47">
        <f>R3034*INDEX(FmtBlendedCogs,MATCH(F3034,FmtName,0))</f>
        <v/>
      </c>
      <c r="Z3034" s="47">
        <f>X3034-Y3034</f>
        <v/>
      </c>
    </row>
    <row r="3035">
      <c r="A3035" t="n">
        <v>13</v>
      </c>
      <c r="B3035" s="44">
        <f>FiscalStart+(A3035-1)*7</f>
        <v/>
      </c>
      <c r="C3035">
        <f>TEXT(B3035,"mmm yyyy")</f>
        <v/>
      </c>
      <c r="D3035">
        <f>"Q"&amp;(INT((A3035-1)/13)+1)</f>
        <v/>
      </c>
      <c r="E3035" t="inlineStr">
        <is>
          <t>Specialty</t>
        </is>
      </c>
      <c r="F3035">
        <f>IFERROR(INDEX(ChFormat,MATCH(E3035,ChName,0)),"")</f>
        <v/>
      </c>
      <c r="G3035" t="inlineStr">
        <is>
          <t>NS</t>
        </is>
      </c>
      <c r="H3035">
        <f>IF(A3035&lt;=NWeeks,1,0)</f>
        <v/>
      </c>
      <c r="I3035">
        <f>INDEX(ChLaunch,MATCH(E3035,ChName,0))</f>
        <v/>
      </c>
      <c r="J3035">
        <f>INDEX(ChWeeksFull,MATCH(E3035,ChName,0))</f>
        <v/>
      </c>
      <c r="K3035">
        <f>INDEX(ChRamp,MATCH(E3035,ChName,0))</f>
        <v/>
      </c>
      <c r="L3035" s="45">
        <f>MIN(1,MAX(0,(A3035-I3035+1)*RampSpeed/J3035))</f>
        <v/>
      </c>
      <c r="M3035" s="45">
        <f>IF(A3035&lt;I3035,0,IF(K3035="S-curve",L3035*L3035*(3-2*L3035),L3035))</f>
        <v/>
      </c>
      <c r="N3035" s="45">
        <f>1+(INDEX(SeasonIdx,A3035)-1)*SeasonAmp</f>
        <v/>
      </c>
      <c r="O3035" s="45">
        <f>IFERROR(INDEX(PSPct,MATCH(E3035&amp;"|"&amp;G3035,PSKey,0)),0)</f>
        <v/>
      </c>
      <c r="P3035" s="46">
        <f>INDEX(ChDoorVel,MATCH(E3035,ChName,0))*CalibScalar*(1+VelocityUplift)</f>
        <v/>
      </c>
      <c r="Q3035" s="46" t="n">
        <v>0</v>
      </c>
      <c r="R3035" s="46">
        <f>P3035*O3035*M3035*N3035*H3035</f>
        <v/>
      </c>
      <c r="S3035" s="46">
        <f>R3035*INDEX(FmtCansPerCase,MATCH(F3035,FmtName,0))</f>
        <v/>
      </c>
      <c r="T3035" s="46">
        <f>S3035/INDEX(FmtCansPerPack,MATCH(F3035,FmtName,0))</f>
        <v/>
      </c>
      <c r="U3035" s="47">
        <f>INDEX(ChBaseCP,MATCH(E3035,ChName,0))*(1+INDEX(ProvMod,MATCH(G3035,ProvCode,0)))*(1+PriceIndex)</f>
        <v/>
      </c>
      <c r="V3035" s="47">
        <f>R3035*U3035*INDEX(FmtBlendedPriceIdx,MATCH(F3035,FmtName,0))</f>
        <v/>
      </c>
      <c r="W3035" s="47">
        <f>T3035*INDEX(ProvSRP,MATCH(G3035,ProvCode,0))*(1+PriceIndex)</f>
        <v/>
      </c>
      <c r="X3035" s="47">
        <f>IF(GrossBasis="Wholesale",V3035,W3035)</f>
        <v/>
      </c>
      <c r="Y3035" s="47">
        <f>R3035*INDEX(FmtBlendedCogs,MATCH(F3035,FmtName,0))</f>
        <v/>
      </c>
      <c r="Z3035" s="47">
        <f>X3035-Y3035</f>
        <v/>
      </c>
    </row>
    <row r="3036">
      <c r="A3036" t="n">
        <v>14</v>
      </c>
      <c r="B3036" s="44">
        <f>FiscalStart+(A3036-1)*7</f>
        <v/>
      </c>
      <c r="C3036">
        <f>TEXT(B3036,"mmm yyyy")</f>
        <v/>
      </c>
      <c r="D3036">
        <f>"Q"&amp;(INT((A3036-1)/13)+1)</f>
        <v/>
      </c>
      <c r="E3036" t="inlineStr">
        <is>
          <t>Specialty</t>
        </is>
      </c>
      <c r="F3036">
        <f>IFERROR(INDEX(ChFormat,MATCH(E3036,ChName,0)),"")</f>
        <v/>
      </c>
      <c r="G3036" t="inlineStr">
        <is>
          <t>NS</t>
        </is>
      </c>
      <c r="H3036">
        <f>IF(A3036&lt;=NWeeks,1,0)</f>
        <v/>
      </c>
      <c r="I3036">
        <f>INDEX(ChLaunch,MATCH(E3036,ChName,0))</f>
        <v/>
      </c>
      <c r="J3036">
        <f>INDEX(ChWeeksFull,MATCH(E3036,ChName,0))</f>
        <v/>
      </c>
      <c r="K3036">
        <f>INDEX(ChRamp,MATCH(E3036,ChName,0))</f>
        <v/>
      </c>
      <c r="L3036" s="45">
        <f>MIN(1,MAX(0,(A3036-I3036+1)*RampSpeed/J3036))</f>
        <v/>
      </c>
      <c r="M3036" s="45">
        <f>IF(A3036&lt;I3036,0,IF(K3036="S-curve",L3036*L3036*(3-2*L3036),L3036))</f>
        <v/>
      </c>
      <c r="N3036" s="45">
        <f>1+(INDEX(SeasonIdx,A3036)-1)*SeasonAmp</f>
        <v/>
      </c>
      <c r="O3036" s="45">
        <f>IFERROR(INDEX(PSPct,MATCH(E3036&amp;"|"&amp;G3036,PSKey,0)),0)</f>
        <v/>
      </c>
      <c r="P3036" s="46">
        <f>INDEX(ChDoorVel,MATCH(E3036,ChName,0))*CalibScalar*(1+VelocityUplift)</f>
        <v/>
      </c>
      <c r="Q3036" s="46" t="n">
        <v>0</v>
      </c>
      <c r="R3036" s="46">
        <f>P3036*O3036*M3036*N3036*H3036</f>
        <v/>
      </c>
      <c r="S3036" s="46">
        <f>R3036*INDEX(FmtCansPerCase,MATCH(F3036,FmtName,0))</f>
        <v/>
      </c>
      <c r="T3036" s="46">
        <f>S3036/INDEX(FmtCansPerPack,MATCH(F3036,FmtName,0))</f>
        <v/>
      </c>
      <c r="U3036" s="47">
        <f>INDEX(ChBaseCP,MATCH(E3036,ChName,0))*(1+INDEX(ProvMod,MATCH(G3036,ProvCode,0)))*(1+PriceIndex)</f>
        <v/>
      </c>
      <c r="V3036" s="47">
        <f>R3036*U3036*INDEX(FmtBlendedPriceIdx,MATCH(F3036,FmtName,0))</f>
        <v/>
      </c>
      <c r="W3036" s="47">
        <f>T3036*INDEX(ProvSRP,MATCH(G3036,ProvCode,0))*(1+PriceIndex)</f>
        <v/>
      </c>
      <c r="X3036" s="47">
        <f>IF(GrossBasis="Wholesale",V3036,W3036)</f>
        <v/>
      </c>
      <c r="Y3036" s="47">
        <f>R3036*INDEX(FmtBlendedCogs,MATCH(F3036,FmtName,0))</f>
        <v/>
      </c>
      <c r="Z3036" s="47">
        <f>X3036-Y3036</f>
        <v/>
      </c>
    </row>
    <row r="3037">
      <c r="A3037" t="n">
        <v>15</v>
      </c>
      <c r="B3037" s="44">
        <f>FiscalStart+(A3037-1)*7</f>
        <v/>
      </c>
      <c r="C3037">
        <f>TEXT(B3037,"mmm yyyy")</f>
        <v/>
      </c>
      <c r="D3037">
        <f>"Q"&amp;(INT((A3037-1)/13)+1)</f>
        <v/>
      </c>
      <c r="E3037" t="inlineStr">
        <is>
          <t>Specialty</t>
        </is>
      </c>
      <c r="F3037">
        <f>IFERROR(INDEX(ChFormat,MATCH(E3037,ChName,0)),"")</f>
        <v/>
      </c>
      <c r="G3037" t="inlineStr">
        <is>
          <t>NS</t>
        </is>
      </c>
      <c r="H3037">
        <f>IF(A3037&lt;=NWeeks,1,0)</f>
        <v/>
      </c>
      <c r="I3037">
        <f>INDEX(ChLaunch,MATCH(E3037,ChName,0))</f>
        <v/>
      </c>
      <c r="J3037">
        <f>INDEX(ChWeeksFull,MATCH(E3037,ChName,0))</f>
        <v/>
      </c>
      <c r="K3037">
        <f>INDEX(ChRamp,MATCH(E3037,ChName,0))</f>
        <v/>
      </c>
      <c r="L3037" s="45">
        <f>MIN(1,MAX(0,(A3037-I3037+1)*RampSpeed/J3037))</f>
        <v/>
      </c>
      <c r="M3037" s="45">
        <f>IF(A3037&lt;I3037,0,IF(K3037="S-curve",L3037*L3037*(3-2*L3037),L3037))</f>
        <v/>
      </c>
      <c r="N3037" s="45">
        <f>1+(INDEX(SeasonIdx,A3037)-1)*SeasonAmp</f>
        <v/>
      </c>
      <c r="O3037" s="45">
        <f>IFERROR(INDEX(PSPct,MATCH(E3037&amp;"|"&amp;G3037,PSKey,0)),0)</f>
        <v/>
      </c>
      <c r="P3037" s="46">
        <f>INDEX(ChDoorVel,MATCH(E3037,ChName,0))*CalibScalar*(1+VelocityUplift)</f>
        <v/>
      </c>
      <c r="Q3037" s="46" t="n">
        <v>0</v>
      </c>
      <c r="R3037" s="46">
        <f>P3037*O3037*M3037*N3037*H3037</f>
        <v/>
      </c>
      <c r="S3037" s="46">
        <f>R3037*INDEX(FmtCansPerCase,MATCH(F3037,FmtName,0))</f>
        <v/>
      </c>
      <c r="T3037" s="46">
        <f>S3037/INDEX(FmtCansPerPack,MATCH(F3037,FmtName,0))</f>
        <v/>
      </c>
      <c r="U3037" s="47">
        <f>INDEX(ChBaseCP,MATCH(E3037,ChName,0))*(1+INDEX(ProvMod,MATCH(G3037,ProvCode,0)))*(1+PriceIndex)</f>
        <v/>
      </c>
      <c r="V3037" s="47">
        <f>R3037*U3037*INDEX(FmtBlendedPriceIdx,MATCH(F3037,FmtName,0))</f>
        <v/>
      </c>
      <c r="W3037" s="47">
        <f>T3037*INDEX(ProvSRP,MATCH(G3037,ProvCode,0))*(1+PriceIndex)</f>
        <v/>
      </c>
      <c r="X3037" s="47">
        <f>IF(GrossBasis="Wholesale",V3037,W3037)</f>
        <v/>
      </c>
      <c r="Y3037" s="47">
        <f>R3037*INDEX(FmtBlendedCogs,MATCH(F3037,FmtName,0))</f>
        <v/>
      </c>
      <c r="Z3037" s="47">
        <f>X3037-Y3037</f>
        <v/>
      </c>
    </row>
    <row r="3038">
      <c r="A3038" t="n">
        <v>16</v>
      </c>
      <c r="B3038" s="44">
        <f>FiscalStart+(A3038-1)*7</f>
        <v/>
      </c>
      <c r="C3038">
        <f>TEXT(B3038,"mmm yyyy")</f>
        <v/>
      </c>
      <c r="D3038">
        <f>"Q"&amp;(INT((A3038-1)/13)+1)</f>
        <v/>
      </c>
      <c r="E3038" t="inlineStr">
        <is>
          <t>Specialty</t>
        </is>
      </c>
      <c r="F3038">
        <f>IFERROR(INDEX(ChFormat,MATCH(E3038,ChName,0)),"")</f>
        <v/>
      </c>
      <c r="G3038" t="inlineStr">
        <is>
          <t>NS</t>
        </is>
      </c>
      <c r="H3038">
        <f>IF(A3038&lt;=NWeeks,1,0)</f>
        <v/>
      </c>
      <c r="I3038">
        <f>INDEX(ChLaunch,MATCH(E3038,ChName,0))</f>
        <v/>
      </c>
      <c r="J3038">
        <f>INDEX(ChWeeksFull,MATCH(E3038,ChName,0))</f>
        <v/>
      </c>
      <c r="K3038">
        <f>INDEX(ChRamp,MATCH(E3038,ChName,0))</f>
        <v/>
      </c>
      <c r="L3038" s="45">
        <f>MIN(1,MAX(0,(A3038-I3038+1)*RampSpeed/J3038))</f>
        <v/>
      </c>
      <c r="M3038" s="45">
        <f>IF(A3038&lt;I3038,0,IF(K3038="S-curve",L3038*L3038*(3-2*L3038),L3038))</f>
        <v/>
      </c>
      <c r="N3038" s="45">
        <f>1+(INDEX(SeasonIdx,A3038)-1)*SeasonAmp</f>
        <v/>
      </c>
      <c r="O3038" s="45">
        <f>IFERROR(INDEX(PSPct,MATCH(E3038&amp;"|"&amp;G3038,PSKey,0)),0)</f>
        <v/>
      </c>
      <c r="P3038" s="46">
        <f>INDEX(ChDoorVel,MATCH(E3038,ChName,0))*CalibScalar*(1+VelocityUplift)</f>
        <v/>
      </c>
      <c r="Q3038" s="46" t="n">
        <v>0</v>
      </c>
      <c r="R3038" s="46">
        <f>P3038*O3038*M3038*N3038*H3038</f>
        <v/>
      </c>
      <c r="S3038" s="46">
        <f>R3038*INDEX(FmtCansPerCase,MATCH(F3038,FmtName,0))</f>
        <v/>
      </c>
      <c r="T3038" s="46">
        <f>S3038/INDEX(FmtCansPerPack,MATCH(F3038,FmtName,0))</f>
        <v/>
      </c>
      <c r="U3038" s="47">
        <f>INDEX(ChBaseCP,MATCH(E3038,ChName,0))*(1+INDEX(ProvMod,MATCH(G3038,ProvCode,0)))*(1+PriceIndex)</f>
        <v/>
      </c>
      <c r="V3038" s="47">
        <f>R3038*U3038*INDEX(FmtBlendedPriceIdx,MATCH(F3038,FmtName,0))</f>
        <v/>
      </c>
      <c r="W3038" s="47">
        <f>T3038*INDEX(ProvSRP,MATCH(G3038,ProvCode,0))*(1+PriceIndex)</f>
        <v/>
      </c>
      <c r="X3038" s="47">
        <f>IF(GrossBasis="Wholesale",V3038,W3038)</f>
        <v/>
      </c>
      <c r="Y3038" s="47">
        <f>R3038*INDEX(FmtBlendedCogs,MATCH(F3038,FmtName,0))</f>
        <v/>
      </c>
      <c r="Z3038" s="47">
        <f>X3038-Y3038</f>
        <v/>
      </c>
    </row>
    <row r="3039">
      <c r="A3039" t="n">
        <v>17</v>
      </c>
      <c r="B3039" s="44">
        <f>FiscalStart+(A3039-1)*7</f>
        <v/>
      </c>
      <c r="C3039">
        <f>TEXT(B3039,"mmm yyyy")</f>
        <v/>
      </c>
      <c r="D3039">
        <f>"Q"&amp;(INT((A3039-1)/13)+1)</f>
        <v/>
      </c>
      <c r="E3039" t="inlineStr">
        <is>
          <t>Specialty</t>
        </is>
      </c>
      <c r="F3039">
        <f>IFERROR(INDEX(ChFormat,MATCH(E3039,ChName,0)),"")</f>
        <v/>
      </c>
      <c r="G3039" t="inlineStr">
        <is>
          <t>NS</t>
        </is>
      </c>
      <c r="H3039">
        <f>IF(A3039&lt;=NWeeks,1,0)</f>
        <v/>
      </c>
      <c r="I3039">
        <f>INDEX(ChLaunch,MATCH(E3039,ChName,0))</f>
        <v/>
      </c>
      <c r="J3039">
        <f>INDEX(ChWeeksFull,MATCH(E3039,ChName,0))</f>
        <v/>
      </c>
      <c r="K3039">
        <f>INDEX(ChRamp,MATCH(E3039,ChName,0))</f>
        <v/>
      </c>
      <c r="L3039" s="45">
        <f>MIN(1,MAX(0,(A3039-I3039+1)*RampSpeed/J3039))</f>
        <v/>
      </c>
      <c r="M3039" s="45">
        <f>IF(A3039&lt;I3039,0,IF(K3039="S-curve",L3039*L3039*(3-2*L3039),L3039))</f>
        <v/>
      </c>
      <c r="N3039" s="45">
        <f>1+(INDEX(SeasonIdx,A3039)-1)*SeasonAmp</f>
        <v/>
      </c>
      <c r="O3039" s="45">
        <f>IFERROR(INDEX(PSPct,MATCH(E3039&amp;"|"&amp;G3039,PSKey,0)),0)</f>
        <v/>
      </c>
      <c r="P3039" s="46">
        <f>INDEX(ChDoorVel,MATCH(E3039,ChName,0))*CalibScalar*(1+VelocityUplift)</f>
        <v/>
      </c>
      <c r="Q3039" s="46" t="n">
        <v>0</v>
      </c>
      <c r="R3039" s="46">
        <f>P3039*O3039*M3039*N3039*H3039</f>
        <v/>
      </c>
      <c r="S3039" s="46">
        <f>R3039*INDEX(FmtCansPerCase,MATCH(F3039,FmtName,0))</f>
        <v/>
      </c>
      <c r="T3039" s="46">
        <f>S3039/INDEX(FmtCansPerPack,MATCH(F3039,FmtName,0))</f>
        <v/>
      </c>
      <c r="U3039" s="47">
        <f>INDEX(ChBaseCP,MATCH(E3039,ChName,0))*(1+INDEX(ProvMod,MATCH(G3039,ProvCode,0)))*(1+PriceIndex)</f>
        <v/>
      </c>
      <c r="V3039" s="47">
        <f>R3039*U3039*INDEX(FmtBlendedPriceIdx,MATCH(F3039,FmtName,0))</f>
        <v/>
      </c>
      <c r="W3039" s="47">
        <f>T3039*INDEX(ProvSRP,MATCH(G3039,ProvCode,0))*(1+PriceIndex)</f>
        <v/>
      </c>
      <c r="X3039" s="47">
        <f>IF(GrossBasis="Wholesale",V3039,W3039)</f>
        <v/>
      </c>
      <c r="Y3039" s="47">
        <f>R3039*INDEX(FmtBlendedCogs,MATCH(F3039,FmtName,0))</f>
        <v/>
      </c>
      <c r="Z3039" s="47">
        <f>X3039-Y3039</f>
        <v/>
      </c>
    </row>
    <row r="3040">
      <c r="A3040" t="n">
        <v>18</v>
      </c>
      <c r="B3040" s="44">
        <f>FiscalStart+(A3040-1)*7</f>
        <v/>
      </c>
      <c r="C3040">
        <f>TEXT(B3040,"mmm yyyy")</f>
        <v/>
      </c>
      <c r="D3040">
        <f>"Q"&amp;(INT((A3040-1)/13)+1)</f>
        <v/>
      </c>
      <c r="E3040" t="inlineStr">
        <is>
          <t>Specialty</t>
        </is>
      </c>
      <c r="F3040">
        <f>IFERROR(INDEX(ChFormat,MATCH(E3040,ChName,0)),"")</f>
        <v/>
      </c>
      <c r="G3040" t="inlineStr">
        <is>
          <t>NS</t>
        </is>
      </c>
      <c r="H3040">
        <f>IF(A3040&lt;=NWeeks,1,0)</f>
        <v/>
      </c>
      <c r="I3040">
        <f>INDEX(ChLaunch,MATCH(E3040,ChName,0))</f>
        <v/>
      </c>
      <c r="J3040">
        <f>INDEX(ChWeeksFull,MATCH(E3040,ChName,0))</f>
        <v/>
      </c>
      <c r="K3040">
        <f>INDEX(ChRamp,MATCH(E3040,ChName,0))</f>
        <v/>
      </c>
      <c r="L3040" s="45">
        <f>MIN(1,MAX(0,(A3040-I3040+1)*RampSpeed/J3040))</f>
        <v/>
      </c>
      <c r="M3040" s="45">
        <f>IF(A3040&lt;I3040,0,IF(K3040="S-curve",L3040*L3040*(3-2*L3040),L3040))</f>
        <v/>
      </c>
      <c r="N3040" s="45">
        <f>1+(INDEX(SeasonIdx,A3040)-1)*SeasonAmp</f>
        <v/>
      </c>
      <c r="O3040" s="45">
        <f>IFERROR(INDEX(PSPct,MATCH(E3040&amp;"|"&amp;G3040,PSKey,0)),0)</f>
        <v/>
      </c>
      <c r="P3040" s="46">
        <f>INDEX(ChDoorVel,MATCH(E3040,ChName,0))*CalibScalar*(1+VelocityUplift)</f>
        <v/>
      </c>
      <c r="Q3040" s="46" t="n">
        <v>0</v>
      </c>
      <c r="R3040" s="46">
        <f>P3040*O3040*M3040*N3040*H3040</f>
        <v/>
      </c>
      <c r="S3040" s="46">
        <f>R3040*INDEX(FmtCansPerCase,MATCH(F3040,FmtName,0))</f>
        <v/>
      </c>
      <c r="T3040" s="46">
        <f>S3040/INDEX(FmtCansPerPack,MATCH(F3040,FmtName,0))</f>
        <v/>
      </c>
      <c r="U3040" s="47">
        <f>INDEX(ChBaseCP,MATCH(E3040,ChName,0))*(1+INDEX(ProvMod,MATCH(G3040,ProvCode,0)))*(1+PriceIndex)</f>
        <v/>
      </c>
      <c r="V3040" s="47">
        <f>R3040*U3040*INDEX(FmtBlendedPriceIdx,MATCH(F3040,FmtName,0))</f>
        <v/>
      </c>
      <c r="W3040" s="47">
        <f>T3040*INDEX(ProvSRP,MATCH(G3040,ProvCode,0))*(1+PriceIndex)</f>
        <v/>
      </c>
      <c r="X3040" s="47">
        <f>IF(GrossBasis="Wholesale",V3040,W3040)</f>
        <v/>
      </c>
      <c r="Y3040" s="47">
        <f>R3040*INDEX(FmtBlendedCogs,MATCH(F3040,FmtName,0))</f>
        <v/>
      </c>
      <c r="Z3040" s="47">
        <f>X3040-Y3040</f>
        <v/>
      </c>
    </row>
    <row r="3041">
      <c r="A3041" t="n">
        <v>19</v>
      </c>
      <c r="B3041" s="44">
        <f>FiscalStart+(A3041-1)*7</f>
        <v/>
      </c>
      <c r="C3041">
        <f>TEXT(B3041,"mmm yyyy")</f>
        <v/>
      </c>
      <c r="D3041">
        <f>"Q"&amp;(INT((A3041-1)/13)+1)</f>
        <v/>
      </c>
      <c r="E3041" t="inlineStr">
        <is>
          <t>Specialty</t>
        </is>
      </c>
      <c r="F3041">
        <f>IFERROR(INDEX(ChFormat,MATCH(E3041,ChName,0)),"")</f>
        <v/>
      </c>
      <c r="G3041" t="inlineStr">
        <is>
          <t>NS</t>
        </is>
      </c>
      <c r="H3041">
        <f>IF(A3041&lt;=NWeeks,1,0)</f>
        <v/>
      </c>
      <c r="I3041">
        <f>INDEX(ChLaunch,MATCH(E3041,ChName,0))</f>
        <v/>
      </c>
      <c r="J3041">
        <f>INDEX(ChWeeksFull,MATCH(E3041,ChName,0))</f>
        <v/>
      </c>
      <c r="K3041">
        <f>INDEX(ChRamp,MATCH(E3041,ChName,0))</f>
        <v/>
      </c>
      <c r="L3041" s="45">
        <f>MIN(1,MAX(0,(A3041-I3041+1)*RampSpeed/J3041))</f>
        <v/>
      </c>
      <c r="M3041" s="45">
        <f>IF(A3041&lt;I3041,0,IF(K3041="S-curve",L3041*L3041*(3-2*L3041),L3041))</f>
        <v/>
      </c>
      <c r="N3041" s="45">
        <f>1+(INDEX(SeasonIdx,A3041)-1)*SeasonAmp</f>
        <v/>
      </c>
      <c r="O3041" s="45">
        <f>IFERROR(INDEX(PSPct,MATCH(E3041&amp;"|"&amp;G3041,PSKey,0)),0)</f>
        <v/>
      </c>
      <c r="P3041" s="46">
        <f>INDEX(ChDoorVel,MATCH(E3041,ChName,0))*CalibScalar*(1+VelocityUplift)</f>
        <v/>
      </c>
      <c r="Q3041" s="46" t="n">
        <v>0</v>
      </c>
      <c r="R3041" s="46">
        <f>P3041*O3041*M3041*N3041*H3041</f>
        <v/>
      </c>
      <c r="S3041" s="46">
        <f>R3041*INDEX(FmtCansPerCase,MATCH(F3041,FmtName,0))</f>
        <v/>
      </c>
      <c r="T3041" s="46">
        <f>S3041/INDEX(FmtCansPerPack,MATCH(F3041,FmtName,0))</f>
        <v/>
      </c>
      <c r="U3041" s="47">
        <f>INDEX(ChBaseCP,MATCH(E3041,ChName,0))*(1+INDEX(ProvMod,MATCH(G3041,ProvCode,0)))*(1+PriceIndex)</f>
        <v/>
      </c>
      <c r="V3041" s="47">
        <f>R3041*U3041*INDEX(FmtBlendedPriceIdx,MATCH(F3041,FmtName,0))</f>
        <v/>
      </c>
      <c r="W3041" s="47">
        <f>T3041*INDEX(ProvSRP,MATCH(G3041,ProvCode,0))*(1+PriceIndex)</f>
        <v/>
      </c>
      <c r="X3041" s="47">
        <f>IF(GrossBasis="Wholesale",V3041,W3041)</f>
        <v/>
      </c>
      <c r="Y3041" s="47">
        <f>R3041*INDEX(FmtBlendedCogs,MATCH(F3041,FmtName,0))</f>
        <v/>
      </c>
      <c r="Z3041" s="47">
        <f>X3041-Y3041</f>
        <v/>
      </c>
    </row>
    <row r="3042">
      <c r="A3042" t="n">
        <v>20</v>
      </c>
      <c r="B3042" s="44">
        <f>FiscalStart+(A3042-1)*7</f>
        <v/>
      </c>
      <c r="C3042">
        <f>TEXT(B3042,"mmm yyyy")</f>
        <v/>
      </c>
      <c r="D3042">
        <f>"Q"&amp;(INT((A3042-1)/13)+1)</f>
        <v/>
      </c>
      <c r="E3042" t="inlineStr">
        <is>
          <t>Specialty</t>
        </is>
      </c>
      <c r="F3042">
        <f>IFERROR(INDEX(ChFormat,MATCH(E3042,ChName,0)),"")</f>
        <v/>
      </c>
      <c r="G3042" t="inlineStr">
        <is>
          <t>NS</t>
        </is>
      </c>
      <c r="H3042">
        <f>IF(A3042&lt;=NWeeks,1,0)</f>
        <v/>
      </c>
      <c r="I3042">
        <f>INDEX(ChLaunch,MATCH(E3042,ChName,0))</f>
        <v/>
      </c>
      <c r="J3042">
        <f>INDEX(ChWeeksFull,MATCH(E3042,ChName,0))</f>
        <v/>
      </c>
      <c r="K3042">
        <f>INDEX(ChRamp,MATCH(E3042,ChName,0))</f>
        <v/>
      </c>
      <c r="L3042" s="45">
        <f>MIN(1,MAX(0,(A3042-I3042+1)*RampSpeed/J3042))</f>
        <v/>
      </c>
      <c r="M3042" s="45">
        <f>IF(A3042&lt;I3042,0,IF(K3042="S-curve",L3042*L3042*(3-2*L3042),L3042))</f>
        <v/>
      </c>
      <c r="N3042" s="45">
        <f>1+(INDEX(SeasonIdx,A3042)-1)*SeasonAmp</f>
        <v/>
      </c>
      <c r="O3042" s="45">
        <f>IFERROR(INDEX(PSPct,MATCH(E3042&amp;"|"&amp;G3042,PSKey,0)),0)</f>
        <v/>
      </c>
      <c r="P3042" s="46">
        <f>INDEX(ChDoorVel,MATCH(E3042,ChName,0))*CalibScalar*(1+VelocityUplift)</f>
        <v/>
      </c>
      <c r="Q3042" s="46" t="n">
        <v>0</v>
      </c>
      <c r="R3042" s="46">
        <f>P3042*O3042*M3042*N3042*H3042</f>
        <v/>
      </c>
      <c r="S3042" s="46">
        <f>R3042*INDEX(FmtCansPerCase,MATCH(F3042,FmtName,0))</f>
        <v/>
      </c>
      <c r="T3042" s="46">
        <f>S3042/INDEX(FmtCansPerPack,MATCH(F3042,FmtName,0))</f>
        <v/>
      </c>
      <c r="U3042" s="47">
        <f>INDEX(ChBaseCP,MATCH(E3042,ChName,0))*(1+INDEX(ProvMod,MATCH(G3042,ProvCode,0)))*(1+PriceIndex)</f>
        <v/>
      </c>
      <c r="V3042" s="47">
        <f>R3042*U3042*INDEX(FmtBlendedPriceIdx,MATCH(F3042,FmtName,0))</f>
        <v/>
      </c>
      <c r="W3042" s="47">
        <f>T3042*INDEX(ProvSRP,MATCH(G3042,ProvCode,0))*(1+PriceIndex)</f>
        <v/>
      </c>
      <c r="X3042" s="47">
        <f>IF(GrossBasis="Wholesale",V3042,W3042)</f>
        <v/>
      </c>
      <c r="Y3042" s="47">
        <f>R3042*INDEX(FmtBlendedCogs,MATCH(F3042,FmtName,0))</f>
        <v/>
      </c>
      <c r="Z3042" s="47">
        <f>X3042-Y3042</f>
        <v/>
      </c>
    </row>
    <row r="3043">
      <c r="A3043" t="n">
        <v>21</v>
      </c>
      <c r="B3043" s="44">
        <f>FiscalStart+(A3043-1)*7</f>
        <v/>
      </c>
      <c r="C3043">
        <f>TEXT(B3043,"mmm yyyy")</f>
        <v/>
      </c>
      <c r="D3043">
        <f>"Q"&amp;(INT((A3043-1)/13)+1)</f>
        <v/>
      </c>
      <c r="E3043" t="inlineStr">
        <is>
          <t>Specialty</t>
        </is>
      </c>
      <c r="F3043">
        <f>IFERROR(INDEX(ChFormat,MATCH(E3043,ChName,0)),"")</f>
        <v/>
      </c>
      <c r="G3043" t="inlineStr">
        <is>
          <t>NS</t>
        </is>
      </c>
      <c r="H3043">
        <f>IF(A3043&lt;=NWeeks,1,0)</f>
        <v/>
      </c>
      <c r="I3043">
        <f>INDEX(ChLaunch,MATCH(E3043,ChName,0))</f>
        <v/>
      </c>
      <c r="J3043">
        <f>INDEX(ChWeeksFull,MATCH(E3043,ChName,0))</f>
        <v/>
      </c>
      <c r="K3043">
        <f>INDEX(ChRamp,MATCH(E3043,ChName,0))</f>
        <v/>
      </c>
      <c r="L3043" s="45">
        <f>MIN(1,MAX(0,(A3043-I3043+1)*RampSpeed/J3043))</f>
        <v/>
      </c>
      <c r="M3043" s="45">
        <f>IF(A3043&lt;I3043,0,IF(K3043="S-curve",L3043*L3043*(3-2*L3043),L3043))</f>
        <v/>
      </c>
      <c r="N3043" s="45">
        <f>1+(INDEX(SeasonIdx,A3043)-1)*SeasonAmp</f>
        <v/>
      </c>
      <c r="O3043" s="45">
        <f>IFERROR(INDEX(PSPct,MATCH(E3043&amp;"|"&amp;G3043,PSKey,0)),0)</f>
        <v/>
      </c>
      <c r="P3043" s="46">
        <f>INDEX(ChDoorVel,MATCH(E3043,ChName,0))*CalibScalar*(1+VelocityUplift)</f>
        <v/>
      </c>
      <c r="Q3043" s="46" t="n">
        <v>0</v>
      </c>
      <c r="R3043" s="46">
        <f>P3043*O3043*M3043*N3043*H3043</f>
        <v/>
      </c>
      <c r="S3043" s="46">
        <f>R3043*INDEX(FmtCansPerCase,MATCH(F3043,FmtName,0))</f>
        <v/>
      </c>
      <c r="T3043" s="46">
        <f>S3043/INDEX(FmtCansPerPack,MATCH(F3043,FmtName,0))</f>
        <v/>
      </c>
      <c r="U3043" s="47">
        <f>INDEX(ChBaseCP,MATCH(E3043,ChName,0))*(1+INDEX(ProvMod,MATCH(G3043,ProvCode,0)))*(1+PriceIndex)</f>
        <v/>
      </c>
      <c r="V3043" s="47">
        <f>R3043*U3043*INDEX(FmtBlendedPriceIdx,MATCH(F3043,FmtName,0))</f>
        <v/>
      </c>
      <c r="W3043" s="47">
        <f>T3043*INDEX(ProvSRP,MATCH(G3043,ProvCode,0))*(1+PriceIndex)</f>
        <v/>
      </c>
      <c r="X3043" s="47">
        <f>IF(GrossBasis="Wholesale",V3043,W3043)</f>
        <v/>
      </c>
      <c r="Y3043" s="47">
        <f>R3043*INDEX(FmtBlendedCogs,MATCH(F3043,FmtName,0))</f>
        <v/>
      </c>
      <c r="Z3043" s="47">
        <f>X3043-Y3043</f>
        <v/>
      </c>
    </row>
    <row r="3044">
      <c r="A3044" t="n">
        <v>22</v>
      </c>
      <c r="B3044" s="44">
        <f>FiscalStart+(A3044-1)*7</f>
        <v/>
      </c>
      <c r="C3044">
        <f>TEXT(B3044,"mmm yyyy")</f>
        <v/>
      </c>
      <c r="D3044">
        <f>"Q"&amp;(INT((A3044-1)/13)+1)</f>
        <v/>
      </c>
      <c r="E3044" t="inlineStr">
        <is>
          <t>Specialty</t>
        </is>
      </c>
      <c r="F3044">
        <f>IFERROR(INDEX(ChFormat,MATCH(E3044,ChName,0)),"")</f>
        <v/>
      </c>
      <c r="G3044" t="inlineStr">
        <is>
          <t>NS</t>
        </is>
      </c>
      <c r="H3044">
        <f>IF(A3044&lt;=NWeeks,1,0)</f>
        <v/>
      </c>
      <c r="I3044">
        <f>INDEX(ChLaunch,MATCH(E3044,ChName,0))</f>
        <v/>
      </c>
      <c r="J3044">
        <f>INDEX(ChWeeksFull,MATCH(E3044,ChName,0))</f>
        <v/>
      </c>
      <c r="K3044">
        <f>INDEX(ChRamp,MATCH(E3044,ChName,0))</f>
        <v/>
      </c>
      <c r="L3044" s="45">
        <f>MIN(1,MAX(0,(A3044-I3044+1)*RampSpeed/J3044))</f>
        <v/>
      </c>
      <c r="M3044" s="45">
        <f>IF(A3044&lt;I3044,0,IF(K3044="S-curve",L3044*L3044*(3-2*L3044),L3044))</f>
        <v/>
      </c>
      <c r="N3044" s="45">
        <f>1+(INDEX(SeasonIdx,A3044)-1)*SeasonAmp</f>
        <v/>
      </c>
      <c r="O3044" s="45">
        <f>IFERROR(INDEX(PSPct,MATCH(E3044&amp;"|"&amp;G3044,PSKey,0)),0)</f>
        <v/>
      </c>
      <c r="P3044" s="46">
        <f>INDEX(ChDoorVel,MATCH(E3044,ChName,0))*CalibScalar*(1+VelocityUplift)</f>
        <v/>
      </c>
      <c r="Q3044" s="46" t="n">
        <v>0</v>
      </c>
      <c r="R3044" s="46">
        <f>P3044*O3044*M3044*N3044*H3044</f>
        <v/>
      </c>
      <c r="S3044" s="46">
        <f>R3044*INDEX(FmtCansPerCase,MATCH(F3044,FmtName,0))</f>
        <v/>
      </c>
      <c r="T3044" s="46">
        <f>S3044/INDEX(FmtCansPerPack,MATCH(F3044,FmtName,0))</f>
        <v/>
      </c>
      <c r="U3044" s="47">
        <f>INDEX(ChBaseCP,MATCH(E3044,ChName,0))*(1+INDEX(ProvMod,MATCH(G3044,ProvCode,0)))*(1+PriceIndex)</f>
        <v/>
      </c>
      <c r="V3044" s="47">
        <f>R3044*U3044*INDEX(FmtBlendedPriceIdx,MATCH(F3044,FmtName,0))</f>
        <v/>
      </c>
      <c r="W3044" s="47">
        <f>T3044*INDEX(ProvSRP,MATCH(G3044,ProvCode,0))*(1+PriceIndex)</f>
        <v/>
      </c>
      <c r="X3044" s="47">
        <f>IF(GrossBasis="Wholesale",V3044,W3044)</f>
        <v/>
      </c>
      <c r="Y3044" s="47">
        <f>R3044*INDEX(FmtBlendedCogs,MATCH(F3044,FmtName,0))</f>
        <v/>
      </c>
      <c r="Z3044" s="47">
        <f>X3044-Y3044</f>
        <v/>
      </c>
    </row>
    <row r="3045">
      <c r="A3045" t="n">
        <v>23</v>
      </c>
      <c r="B3045" s="44">
        <f>FiscalStart+(A3045-1)*7</f>
        <v/>
      </c>
      <c r="C3045">
        <f>TEXT(B3045,"mmm yyyy")</f>
        <v/>
      </c>
      <c r="D3045">
        <f>"Q"&amp;(INT((A3045-1)/13)+1)</f>
        <v/>
      </c>
      <c r="E3045" t="inlineStr">
        <is>
          <t>Specialty</t>
        </is>
      </c>
      <c r="F3045">
        <f>IFERROR(INDEX(ChFormat,MATCH(E3045,ChName,0)),"")</f>
        <v/>
      </c>
      <c r="G3045" t="inlineStr">
        <is>
          <t>NS</t>
        </is>
      </c>
      <c r="H3045">
        <f>IF(A3045&lt;=NWeeks,1,0)</f>
        <v/>
      </c>
      <c r="I3045">
        <f>INDEX(ChLaunch,MATCH(E3045,ChName,0))</f>
        <v/>
      </c>
      <c r="J3045">
        <f>INDEX(ChWeeksFull,MATCH(E3045,ChName,0))</f>
        <v/>
      </c>
      <c r="K3045">
        <f>INDEX(ChRamp,MATCH(E3045,ChName,0))</f>
        <v/>
      </c>
      <c r="L3045" s="45">
        <f>MIN(1,MAX(0,(A3045-I3045+1)*RampSpeed/J3045))</f>
        <v/>
      </c>
      <c r="M3045" s="45">
        <f>IF(A3045&lt;I3045,0,IF(K3045="S-curve",L3045*L3045*(3-2*L3045),L3045))</f>
        <v/>
      </c>
      <c r="N3045" s="45">
        <f>1+(INDEX(SeasonIdx,A3045)-1)*SeasonAmp</f>
        <v/>
      </c>
      <c r="O3045" s="45">
        <f>IFERROR(INDEX(PSPct,MATCH(E3045&amp;"|"&amp;G3045,PSKey,0)),0)</f>
        <v/>
      </c>
      <c r="P3045" s="46">
        <f>INDEX(ChDoorVel,MATCH(E3045,ChName,0))*CalibScalar*(1+VelocityUplift)</f>
        <v/>
      </c>
      <c r="Q3045" s="46" t="n">
        <v>0</v>
      </c>
      <c r="R3045" s="46">
        <f>P3045*O3045*M3045*N3045*H3045</f>
        <v/>
      </c>
      <c r="S3045" s="46">
        <f>R3045*INDEX(FmtCansPerCase,MATCH(F3045,FmtName,0))</f>
        <v/>
      </c>
      <c r="T3045" s="46">
        <f>S3045/INDEX(FmtCansPerPack,MATCH(F3045,FmtName,0))</f>
        <v/>
      </c>
      <c r="U3045" s="47">
        <f>INDEX(ChBaseCP,MATCH(E3045,ChName,0))*(1+INDEX(ProvMod,MATCH(G3045,ProvCode,0)))*(1+PriceIndex)</f>
        <v/>
      </c>
      <c r="V3045" s="47">
        <f>R3045*U3045*INDEX(FmtBlendedPriceIdx,MATCH(F3045,FmtName,0))</f>
        <v/>
      </c>
      <c r="W3045" s="47">
        <f>T3045*INDEX(ProvSRP,MATCH(G3045,ProvCode,0))*(1+PriceIndex)</f>
        <v/>
      </c>
      <c r="X3045" s="47">
        <f>IF(GrossBasis="Wholesale",V3045,W3045)</f>
        <v/>
      </c>
      <c r="Y3045" s="47">
        <f>R3045*INDEX(FmtBlendedCogs,MATCH(F3045,FmtName,0))</f>
        <v/>
      </c>
      <c r="Z3045" s="47">
        <f>X3045-Y3045</f>
        <v/>
      </c>
    </row>
    <row r="3046">
      <c r="A3046" t="n">
        <v>24</v>
      </c>
      <c r="B3046" s="44">
        <f>FiscalStart+(A3046-1)*7</f>
        <v/>
      </c>
      <c r="C3046">
        <f>TEXT(B3046,"mmm yyyy")</f>
        <v/>
      </c>
      <c r="D3046">
        <f>"Q"&amp;(INT((A3046-1)/13)+1)</f>
        <v/>
      </c>
      <c r="E3046" t="inlineStr">
        <is>
          <t>Specialty</t>
        </is>
      </c>
      <c r="F3046">
        <f>IFERROR(INDEX(ChFormat,MATCH(E3046,ChName,0)),"")</f>
        <v/>
      </c>
      <c r="G3046" t="inlineStr">
        <is>
          <t>NS</t>
        </is>
      </c>
      <c r="H3046">
        <f>IF(A3046&lt;=NWeeks,1,0)</f>
        <v/>
      </c>
      <c r="I3046">
        <f>INDEX(ChLaunch,MATCH(E3046,ChName,0))</f>
        <v/>
      </c>
      <c r="J3046">
        <f>INDEX(ChWeeksFull,MATCH(E3046,ChName,0))</f>
        <v/>
      </c>
      <c r="K3046">
        <f>INDEX(ChRamp,MATCH(E3046,ChName,0))</f>
        <v/>
      </c>
      <c r="L3046" s="45">
        <f>MIN(1,MAX(0,(A3046-I3046+1)*RampSpeed/J3046))</f>
        <v/>
      </c>
      <c r="M3046" s="45">
        <f>IF(A3046&lt;I3046,0,IF(K3046="S-curve",L3046*L3046*(3-2*L3046),L3046))</f>
        <v/>
      </c>
      <c r="N3046" s="45">
        <f>1+(INDEX(SeasonIdx,A3046)-1)*SeasonAmp</f>
        <v/>
      </c>
      <c r="O3046" s="45">
        <f>IFERROR(INDEX(PSPct,MATCH(E3046&amp;"|"&amp;G3046,PSKey,0)),0)</f>
        <v/>
      </c>
      <c r="P3046" s="46">
        <f>INDEX(ChDoorVel,MATCH(E3046,ChName,0))*CalibScalar*(1+VelocityUplift)</f>
        <v/>
      </c>
      <c r="Q3046" s="46" t="n">
        <v>0</v>
      </c>
      <c r="R3046" s="46">
        <f>P3046*O3046*M3046*N3046*H3046</f>
        <v/>
      </c>
      <c r="S3046" s="46">
        <f>R3046*INDEX(FmtCansPerCase,MATCH(F3046,FmtName,0))</f>
        <v/>
      </c>
      <c r="T3046" s="46">
        <f>S3046/INDEX(FmtCansPerPack,MATCH(F3046,FmtName,0))</f>
        <v/>
      </c>
      <c r="U3046" s="47">
        <f>INDEX(ChBaseCP,MATCH(E3046,ChName,0))*(1+INDEX(ProvMod,MATCH(G3046,ProvCode,0)))*(1+PriceIndex)</f>
        <v/>
      </c>
      <c r="V3046" s="47">
        <f>R3046*U3046*INDEX(FmtBlendedPriceIdx,MATCH(F3046,FmtName,0))</f>
        <v/>
      </c>
      <c r="W3046" s="47">
        <f>T3046*INDEX(ProvSRP,MATCH(G3046,ProvCode,0))*(1+PriceIndex)</f>
        <v/>
      </c>
      <c r="X3046" s="47">
        <f>IF(GrossBasis="Wholesale",V3046,W3046)</f>
        <v/>
      </c>
      <c r="Y3046" s="47">
        <f>R3046*INDEX(FmtBlendedCogs,MATCH(F3046,FmtName,0))</f>
        <v/>
      </c>
      <c r="Z3046" s="47">
        <f>X3046-Y3046</f>
        <v/>
      </c>
    </row>
    <row r="3047">
      <c r="A3047" t="n">
        <v>25</v>
      </c>
      <c r="B3047" s="44">
        <f>FiscalStart+(A3047-1)*7</f>
        <v/>
      </c>
      <c r="C3047">
        <f>TEXT(B3047,"mmm yyyy")</f>
        <v/>
      </c>
      <c r="D3047">
        <f>"Q"&amp;(INT((A3047-1)/13)+1)</f>
        <v/>
      </c>
      <c r="E3047" t="inlineStr">
        <is>
          <t>Specialty</t>
        </is>
      </c>
      <c r="F3047">
        <f>IFERROR(INDEX(ChFormat,MATCH(E3047,ChName,0)),"")</f>
        <v/>
      </c>
      <c r="G3047" t="inlineStr">
        <is>
          <t>NS</t>
        </is>
      </c>
      <c r="H3047">
        <f>IF(A3047&lt;=NWeeks,1,0)</f>
        <v/>
      </c>
      <c r="I3047">
        <f>INDEX(ChLaunch,MATCH(E3047,ChName,0))</f>
        <v/>
      </c>
      <c r="J3047">
        <f>INDEX(ChWeeksFull,MATCH(E3047,ChName,0))</f>
        <v/>
      </c>
      <c r="K3047">
        <f>INDEX(ChRamp,MATCH(E3047,ChName,0))</f>
        <v/>
      </c>
      <c r="L3047" s="45">
        <f>MIN(1,MAX(0,(A3047-I3047+1)*RampSpeed/J3047))</f>
        <v/>
      </c>
      <c r="M3047" s="45">
        <f>IF(A3047&lt;I3047,0,IF(K3047="S-curve",L3047*L3047*(3-2*L3047),L3047))</f>
        <v/>
      </c>
      <c r="N3047" s="45">
        <f>1+(INDEX(SeasonIdx,A3047)-1)*SeasonAmp</f>
        <v/>
      </c>
      <c r="O3047" s="45">
        <f>IFERROR(INDEX(PSPct,MATCH(E3047&amp;"|"&amp;G3047,PSKey,0)),0)</f>
        <v/>
      </c>
      <c r="P3047" s="46">
        <f>INDEX(ChDoorVel,MATCH(E3047,ChName,0))*CalibScalar*(1+VelocityUplift)</f>
        <v/>
      </c>
      <c r="Q3047" s="46" t="n">
        <v>0</v>
      </c>
      <c r="R3047" s="46">
        <f>P3047*O3047*M3047*N3047*H3047</f>
        <v/>
      </c>
      <c r="S3047" s="46">
        <f>R3047*INDEX(FmtCansPerCase,MATCH(F3047,FmtName,0))</f>
        <v/>
      </c>
      <c r="T3047" s="46">
        <f>S3047/INDEX(FmtCansPerPack,MATCH(F3047,FmtName,0))</f>
        <v/>
      </c>
      <c r="U3047" s="47">
        <f>INDEX(ChBaseCP,MATCH(E3047,ChName,0))*(1+INDEX(ProvMod,MATCH(G3047,ProvCode,0)))*(1+PriceIndex)</f>
        <v/>
      </c>
      <c r="V3047" s="47">
        <f>R3047*U3047*INDEX(FmtBlendedPriceIdx,MATCH(F3047,FmtName,0))</f>
        <v/>
      </c>
      <c r="W3047" s="47">
        <f>T3047*INDEX(ProvSRP,MATCH(G3047,ProvCode,0))*(1+PriceIndex)</f>
        <v/>
      </c>
      <c r="X3047" s="47">
        <f>IF(GrossBasis="Wholesale",V3047,W3047)</f>
        <v/>
      </c>
      <c r="Y3047" s="47">
        <f>R3047*INDEX(FmtBlendedCogs,MATCH(F3047,FmtName,0))</f>
        <v/>
      </c>
      <c r="Z3047" s="47">
        <f>X3047-Y3047</f>
        <v/>
      </c>
    </row>
    <row r="3048">
      <c r="A3048" t="n">
        <v>26</v>
      </c>
      <c r="B3048" s="44">
        <f>FiscalStart+(A3048-1)*7</f>
        <v/>
      </c>
      <c r="C3048">
        <f>TEXT(B3048,"mmm yyyy")</f>
        <v/>
      </c>
      <c r="D3048">
        <f>"Q"&amp;(INT((A3048-1)/13)+1)</f>
        <v/>
      </c>
      <c r="E3048" t="inlineStr">
        <is>
          <t>Specialty</t>
        </is>
      </c>
      <c r="F3048">
        <f>IFERROR(INDEX(ChFormat,MATCH(E3048,ChName,0)),"")</f>
        <v/>
      </c>
      <c r="G3048" t="inlineStr">
        <is>
          <t>NS</t>
        </is>
      </c>
      <c r="H3048">
        <f>IF(A3048&lt;=NWeeks,1,0)</f>
        <v/>
      </c>
      <c r="I3048">
        <f>INDEX(ChLaunch,MATCH(E3048,ChName,0))</f>
        <v/>
      </c>
      <c r="J3048">
        <f>INDEX(ChWeeksFull,MATCH(E3048,ChName,0))</f>
        <v/>
      </c>
      <c r="K3048">
        <f>INDEX(ChRamp,MATCH(E3048,ChName,0))</f>
        <v/>
      </c>
      <c r="L3048" s="45">
        <f>MIN(1,MAX(0,(A3048-I3048+1)*RampSpeed/J3048))</f>
        <v/>
      </c>
      <c r="M3048" s="45">
        <f>IF(A3048&lt;I3048,0,IF(K3048="S-curve",L3048*L3048*(3-2*L3048),L3048))</f>
        <v/>
      </c>
      <c r="N3048" s="45">
        <f>1+(INDEX(SeasonIdx,A3048)-1)*SeasonAmp</f>
        <v/>
      </c>
      <c r="O3048" s="45">
        <f>IFERROR(INDEX(PSPct,MATCH(E3048&amp;"|"&amp;G3048,PSKey,0)),0)</f>
        <v/>
      </c>
      <c r="P3048" s="46">
        <f>INDEX(ChDoorVel,MATCH(E3048,ChName,0))*CalibScalar*(1+VelocityUplift)</f>
        <v/>
      </c>
      <c r="Q3048" s="46" t="n">
        <v>0</v>
      </c>
      <c r="R3048" s="46">
        <f>P3048*O3048*M3048*N3048*H3048</f>
        <v/>
      </c>
      <c r="S3048" s="46">
        <f>R3048*INDEX(FmtCansPerCase,MATCH(F3048,FmtName,0))</f>
        <v/>
      </c>
      <c r="T3048" s="46">
        <f>S3048/INDEX(FmtCansPerPack,MATCH(F3048,FmtName,0))</f>
        <v/>
      </c>
      <c r="U3048" s="47">
        <f>INDEX(ChBaseCP,MATCH(E3048,ChName,0))*(1+INDEX(ProvMod,MATCH(G3048,ProvCode,0)))*(1+PriceIndex)</f>
        <v/>
      </c>
      <c r="V3048" s="47">
        <f>R3048*U3048*INDEX(FmtBlendedPriceIdx,MATCH(F3048,FmtName,0))</f>
        <v/>
      </c>
      <c r="W3048" s="47">
        <f>T3048*INDEX(ProvSRP,MATCH(G3048,ProvCode,0))*(1+PriceIndex)</f>
        <v/>
      </c>
      <c r="X3048" s="47">
        <f>IF(GrossBasis="Wholesale",V3048,W3048)</f>
        <v/>
      </c>
      <c r="Y3048" s="47">
        <f>R3048*INDEX(FmtBlendedCogs,MATCH(F3048,FmtName,0))</f>
        <v/>
      </c>
      <c r="Z3048" s="47">
        <f>X3048-Y3048</f>
        <v/>
      </c>
    </row>
    <row r="3049">
      <c r="A3049" t="n">
        <v>27</v>
      </c>
      <c r="B3049" s="44">
        <f>FiscalStart+(A3049-1)*7</f>
        <v/>
      </c>
      <c r="C3049">
        <f>TEXT(B3049,"mmm yyyy")</f>
        <v/>
      </c>
      <c r="D3049">
        <f>"Q"&amp;(INT((A3049-1)/13)+1)</f>
        <v/>
      </c>
      <c r="E3049" t="inlineStr">
        <is>
          <t>Specialty</t>
        </is>
      </c>
      <c r="F3049">
        <f>IFERROR(INDEX(ChFormat,MATCH(E3049,ChName,0)),"")</f>
        <v/>
      </c>
      <c r="G3049" t="inlineStr">
        <is>
          <t>NS</t>
        </is>
      </c>
      <c r="H3049">
        <f>IF(A3049&lt;=NWeeks,1,0)</f>
        <v/>
      </c>
      <c r="I3049">
        <f>INDEX(ChLaunch,MATCH(E3049,ChName,0))</f>
        <v/>
      </c>
      <c r="J3049">
        <f>INDEX(ChWeeksFull,MATCH(E3049,ChName,0))</f>
        <v/>
      </c>
      <c r="K3049">
        <f>INDEX(ChRamp,MATCH(E3049,ChName,0))</f>
        <v/>
      </c>
      <c r="L3049" s="45">
        <f>MIN(1,MAX(0,(A3049-I3049+1)*RampSpeed/J3049))</f>
        <v/>
      </c>
      <c r="M3049" s="45">
        <f>IF(A3049&lt;I3049,0,IF(K3049="S-curve",L3049*L3049*(3-2*L3049),L3049))</f>
        <v/>
      </c>
      <c r="N3049" s="45">
        <f>1+(INDEX(SeasonIdx,A3049)-1)*SeasonAmp</f>
        <v/>
      </c>
      <c r="O3049" s="45">
        <f>IFERROR(INDEX(PSPct,MATCH(E3049&amp;"|"&amp;G3049,PSKey,0)),0)</f>
        <v/>
      </c>
      <c r="P3049" s="46">
        <f>INDEX(ChDoorVel,MATCH(E3049,ChName,0))*CalibScalar*(1+VelocityUplift)</f>
        <v/>
      </c>
      <c r="Q3049" s="46" t="n">
        <v>0</v>
      </c>
      <c r="R3049" s="46">
        <f>P3049*O3049*M3049*N3049*H3049</f>
        <v/>
      </c>
      <c r="S3049" s="46">
        <f>R3049*INDEX(FmtCansPerCase,MATCH(F3049,FmtName,0))</f>
        <v/>
      </c>
      <c r="T3049" s="46">
        <f>S3049/INDEX(FmtCansPerPack,MATCH(F3049,FmtName,0))</f>
        <v/>
      </c>
      <c r="U3049" s="47">
        <f>INDEX(ChBaseCP,MATCH(E3049,ChName,0))*(1+INDEX(ProvMod,MATCH(G3049,ProvCode,0)))*(1+PriceIndex)</f>
        <v/>
      </c>
      <c r="V3049" s="47">
        <f>R3049*U3049*INDEX(FmtBlendedPriceIdx,MATCH(F3049,FmtName,0))</f>
        <v/>
      </c>
      <c r="W3049" s="47">
        <f>T3049*INDEX(ProvSRP,MATCH(G3049,ProvCode,0))*(1+PriceIndex)</f>
        <v/>
      </c>
      <c r="X3049" s="47">
        <f>IF(GrossBasis="Wholesale",V3049,W3049)</f>
        <v/>
      </c>
      <c r="Y3049" s="47">
        <f>R3049*INDEX(FmtBlendedCogs,MATCH(F3049,FmtName,0))</f>
        <v/>
      </c>
      <c r="Z3049" s="47">
        <f>X3049-Y3049</f>
        <v/>
      </c>
    </row>
    <row r="3050">
      <c r="A3050" t="n">
        <v>28</v>
      </c>
      <c r="B3050" s="44">
        <f>FiscalStart+(A3050-1)*7</f>
        <v/>
      </c>
      <c r="C3050">
        <f>TEXT(B3050,"mmm yyyy")</f>
        <v/>
      </c>
      <c r="D3050">
        <f>"Q"&amp;(INT((A3050-1)/13)+1)</f>
        <v/>
      </c>
      <c r="E3050" t="inlineStr">
        <is>
          <t>Specialty</t>
        </is>
      </c>
      <c r="F3050">
        <f>IFERROR(INDEX(ChFormat,MATCH(E3050,ChName,0)),"")</f>
        <v/>
      </c>
      <c r="G3050" t="inlineStr">
        <is>
          <t>NS</t>
        </is>
      </c>
      <c r="H3050">
        <f>IF(A3050&lt;=NWeeks,1,0)</f>
        <v/>
      </c>
      <c r="I3050">
        <f>INDEX(ChLaunch,MATCH(E3050,ChName,0))</f>
        <v/>
      </c>
      <c r="J3050">
        <f>INDEX(ChWeeksFull,MATCH(E3050,ChName,0))</f>
        <v/>
      </c>
      <c r="K3050">
        <f>INDEX(ChRamp,MATCH(E3050,ChName,0))</f>
        <v/>
      </c>
      <c r="L3050" s="45">
        <f>MIN(1,MAX(0,(A3050-I3050+1)*RampSpeed/J3050))</f>
        <v/>
      </c>
      <c r="M3050" s="45">
        <f>IF(A3050&lt;I3050,0,IF(K3050="S-curve",L3050*L3050*(3-2*L3050),L3050))</f>
        <v/>
      </c>
      <c r="N3050" s="45">
        <f>1+(INDEX(SeasonIdx,A3050)-1)*SeasonAmp</f>
        <v/>
      </c>
      <c r="O3050" s="45">
        <f>IFERROR(INDEX(PSPct,MATCH(E3050&amp;"|"&amp;G3050,PSKey,0)),0)</f>
        <v/>
      </c>
      <c r="P3050" s="46">
        <f>INDEX(ChDoorVel,MATCH(E3050,ChName,0))*CalibScalar*(1+VelocityUplift)</f>
        <v/>
      </c>
      <c r="Q3050" s="46" t="n">
        <v>0</v>
      </c>
      <c r="R3050" s="46">
        <f>P3050*O3050*M3050*N3050*H3050</f>
        <v/>
      </c>
      <c r="S3050" s="46">
        <f>R3050*INDEX(FmtCansPerCase,MATCH(F3050,FmtName,0))</f>
        <v/>
      </c>
      <c r="T3050" s="46">
        <f>S3050/INDEX(FmtCansPerPack,MATCH(F3050,FmtName,0))</f>
        <v/>
      </c>
      <c r="U3050" s="47">
        <f>INDEX(ChBaseCP,MATCH(E3050,ChName,0))*(1+INDEX(ProvMod,MATCH(G3050,ProvCode,0)))*(1+PriceIndex)</f>
        <v/>
      </c>
      <c r="V3050" s="47">
        <f>R3050*U3050*INDEX(FmtBlendedPriceIdx,MATCH(F3050,FmtName,0))</f>
        <v/>
      </c>
      <c r="W3050" s="47">
        <f>T3050*INDEX(ProvSRP,MATCH(G3050,ProvCode,0))*(1+PriceIndex)</f>
        <v/>
      </c>
      <c r="X3050" s="47">
        <f>IF(GrossBasis="Wholesale",V3050,W3050)</f>
        <v/>
      </c>
      <c r="Y3050" s="47">
        <f>R3050*INDEX(FmtBlendedCogs,MATCH(F3050,FmtName,0))</f>
        <v/>
      </c>
      <c r="Z3050" s="47">
        <f>X3050-Y3050</f>
        <v/>
      </c>
    </row>
    <row r="3051">
      <c r="A3051" t="n">
        <v>29</v>
      </c>
      <c r="B3051" s="44">
        <f>FiscalStart+(A3051-1)*7</f>
        <v/>
      </c>
      <c r="C3051">
        <f>TEXT(B3051,"mmm yyyy")</f>
        <v/>
      </c>
      <c r="D3051">
        <f>"Q"&amp;(INT((A3051-1)/13)+1)</f>
        <v/>
      </c>
      <c r="E3051" t="inlineStr">
        <is>
          <t>Specialty</t>
        </is>
      </c>
      <c r="F3051">
        <f>IFERROR(INDEX(ChFormat,MATCH(E3051,ChName,0)),"")</f>
        <v/>
      </c>
      <c r="G3051" t="inlineStr">
        <is>
          <t>NS</t>
        </is>
      </c>
      <c r="H3051">
        <f>IF(A3051&lt;=NWeeks,1,0)</f>
        <v/>
      </c>
      <c r="I3051">
        <f>INDEX(ChLaunch,MATCH(E3051,ChName,0))</f>
        <v/>
      </c>
      <c r="J3051">
        <f>INDEX(ChWeeksFull,MATCH(E3051,ChName,0))</f>
        <v/>
      </c>
      <c r="K3051">
        <f>INDEX(ChRamp,MATCH(E3051,ChName,0))</f>
        <v/>
      </c>
      <c r="L3051" s="45">
        <f>MIN(1,MAX(0,(A3051-I3051+1)*RampSpeed/J3051))</f>
        <v/>
      </c>
      <c r="M3051" s="45">
        <f>IF(A3051&lt;I3051,0,IF(K3051="S-curve",L3051*L3051*(3-2*L3051),L3051))</f>
        <v/>
      </c>
      <c r="N3051" s="45">
        <f>1+(INDEX(SeasonIdx,A3051)-1)*SeasonAmp</f>
        <v/>
      </c>
      <c r="O3051" s="45">
        <f>IFERROR(INDEX(PSPct,MATCH(E3051&amp;"|"&amp;G3051,PSKey,0)),0)</f>
        <v/>
      </c>
      <c r="P3051" s="46">
        <f>INDEX(ChDoorVel,MATCH(E3051,ChName,0))*CalibScalar*(1+VelocityUplift)</f>
        <v/>
      </c>
      <c r="Q3051" s="46" t="n">
        <v>0</v>
      </c>
      <c r="R3051" s="46">
        <f>P3051*O3051*M3051*N3051*H3051</f>
        <v/>
      </c>
      <c r="S3051" s="46">
        <f>R3051*INDEX(FmtCansPerCase,MATCH(F3051,FmtName,0))</f>
        <v/>
      </c>
      <c r="T3051" s="46">
        <f>S3051/INDEX(FmtCansPerPack,MATCH(F3051,FmtName,0))</f>
        <v/>
      </c>
      <c r="U3051" s="47">
        <f>INDEX(ChBaseCP,MATCH(E3051,ChName,0))*(1+INDEX(ProvMod,MATCH(G3051,ProvCode,0)))*(1+PriceIndex)</f>
        <v/>
      </c>
      <c r="V3051" s="47">
        <f>R3051*U3051*INDEX(FmtBlendedPriceIdx,MATCH(F3051,FmtName,0))</f>
        <v/>
      </c>
      <c r="W3051" s="47">
        <f>T3051*INDEX(ProvSRP,MATCH(G3051,ProvCode,0))*(1+PriceIndex)</f>
        <v/>
      </c>
      <c r="X3051" s="47">
        <f>IF(GrossBasis="Wholesale",V3051,W3051)</f>
        <v/>
      </c>
      <c r="Y3051" s="47">
        <f>R3051*INDEX(FmtBlendedCogs,MATCH(F3051,FmtName,0))</f>
        <v/>
      </c>
      <c r="Z3051" s="47">
        <f>X3051-Y3051</f>
        <v/>
      </c>
    </row>
    <row r="3052">
      <c r="A3052" t="n">
        <v>30</v>
      </c>
      <c r="B3052" s="44">
        <f>FiscalStart+(A3052-1)*7</f>
        <v/>
      </c>
      <c r="C3052">
        <f>TEXT(B3052,"mmm yyyy")</f>
        <v/>
      </c>
      <c r="D3052">
        <f>"Q"&amp;(INT((A3052-1)/13)+1)</f>
        <v/>
      </c>
      <c r="E3052" t="inlineStr">
        <is>
          <t>Specialty</t>
        </is>
      </c>
      <c r="F3052">
        <f>IFERROR(INDEX(ChFormat,MATCH(E3052,ChName,0)),"")</f>
        <v/>
      </c>
      <c r="G3052" t="inlineStr">
        <is>
          <t>NS</t>
        </is>
      </c>
      <c r="H3052">
        <f>IF(A3052&lt;=NWeeks,1,0)</f>
        <v/>
      </c>
      <c r="I3052">
        <f>INDEX(ChLaunch,MATCH(E3052,ChName,0))</f>
        <v/>
      </c>
      <c r="J3052">
        <f>INDEX(ChWeeksFull,MATCH(E3052,ChName,0))</f>
        <v/>
      </c>
      <c r="K3052">
        <f>INDEX(ChRamp,MATCH(E3052,ChName,0))</f>
        <v/>
      </c>
      <c r="L3052" s="45">
        <f>MIN(1,MAX(0,(A3052-I3052+1)*RampSpeed/J3052))</f>
        <v/>
      </c>
      <c r="M3052" s="45">
        <f>IF(A3052&lt;I3052,0,IF(K3052="S-curve",L3052*L3052*(3-2*L3052),L3052))</f>
        <v/>
      </c>
      <c r="N3052" s="45">
        <f>1+(INDEX(SeasonIdx,A3052)-1)*SeasonAmp</f>
        <v/>
      </c>
      <c r="O3052" s="45">
        <f>IFERROR(INDEX(PSPct,MATCH(E3052&amp;"|"&amp;G3052,PSKey,0)),0)</f>
        <v/>
      </c>
      <c r="P3052" s="46">
        <f>INDEX(ChDoorVel,MATCH(E3052,ChName,0))*CalibScalar*(1+VelocityUplift)</f>
        <v/>
      </c>
      <c r="Q3052" s="46" t="n">
        <v>0</v>
      </c>
      <c r="R3052" s="46">
        <f>P3052*O3052*M3052*N3052*H3052</f>
        <v/>
      </c>
      <c r="S3052" s="46">
        <f>R3052*INDEX(FmtCansPerCase,MATCH(F3052,FmtName,0))</f>
        <v/>
      </c>
      <c r="T3052" s="46">
        <f>S3052/INDEX(FmtCansPerPack,MATCH(F3052,FmtName,0))</f>
        <v/>
      </c>
      <c r="U3052" s="47">
        <f>INDEX(ChBaseCP,MATCH(E3052,ChName,0))*(1+INDEX(ProvMod,MATCH(G3052,ProvCode,0)))*(1+PriceIndex)</f>
        <v/>
      </c>
      <c r="V3052" s="47">
        <f>R3052*U3052*INDEX(FmtBlendedPriceIdx,MATCH(F3052,FmtName,0))</f>
        <v/>
      </c>
      <c r="W3052" s="47">
        <f>T3052*INDEX(ProvSRP,MATCH(G3052,ProvCode,0))*(1+PriceIndex)</f>
        <v/>
      </c>
      <c r="X3052" s="47">
        <f>IF(GrossBasis="Wholesale",V3052,W3052)</f>
        <v/>
      </c>
      <c r="Y3052" s="47">
        <f>R3052*INDEX(FmtBlendedCogs,MATCH(F3052,FmtName,0))</f>
        <v/>
      </c>
      <c r="Z3052" s="47">
        <f>X3052-Y3052</f>
        <v/>
      </c>
    </row>
    <row r="3053">
      <c r="A3053" t="n">
        <v>31</v>
      </c>
      <c r="B3053" s="44">
        <f>FiscalStart+(A3053-1)*7</f>
        <v/>
      </c>
      <c r="C3053">
        <f>TEXT(B3053,"mmm yyyy")</f>
        <v/>
      </c>
      <c r="D3053">
        <f>"Q"&amp;(INT((A3053-1)/13)+1)</f>
        <v/>
      </c>
      <c r="E3053" t="inlineStr">
        <is>
          <t>Specialty</t>
        </is>
      </c>
      <c r="F3053">
        <f>IFERROR(INDEX(ChFormat,MATCH(E3053,ChName,0)),"")</f>
        <v/>
      </c>
      <c r="G3053" t="inlineStr">
        <is>
          <t>NS</t>
        </is>
      </c>
      <c r="H3053">
        <f>IF(A3053&lt;=NWeeks,1,0)</f>
        <v/>
      </c>
      <c r="I3053">
        <f>INDEX(ChLaunch,MATCH(E3053,ChName,0))</f>
        <v/>
      </c>
      <c r="J3053">
        <f>INDEX(ChWeeksFull,MATCH(E3053,ChName,0))</f>
        <v/>
      </c>
      <c r="K3053">
        <f>INDEX(ChRamp,MATCH(E3053,ChName,0))</f>
        <v/>
      </c>
      <c r="L3053" s="45">
        <f>MIN(1,MAX(0,(A3053-I3053+1)*RampSpeed/J3053))</f>
        <v/>
      </c>
      <c r="M3053" s="45">
        <f>IF(A3053&lt;I3053,0,IF(K3053="S-curve",L3053*L3053*(3-2*L3053),L3053))</f>
        <v/>
      </c>
      <c r="N3053" s="45">
        <f>1+(INDEX(SeasonIdx,A3053)-1)*SeasonAmp</f>
        <v/>
      </c>
      <c r="O3053" s="45">
        <f>IFERROR(INDEX(PSPct,MATCH(E3053&amp;"|"&amp;G3053,PSKey,0)),0)</f>
        <v/>
      </c>
      <c r="P3053" s="46">
        <f>INDEX(ChDoorVel,MATCH(E3053,ChName,0))*CalibScalar*(1+VelocityUplift)</f>
        <v/>
      </c>
      <c r="Q3053" s="46" t="n">
        <v>0</v>
      </c>
      <c r="R3053" s="46">
        <f>P3053*O3053*M3053*N3053*H3053</f>
        <v/>
      </c>
      <c r="S3053" s="46">
        <f>R3053*INDEX(FmtCansPerCase,MATCH(F3053,FmtName,0))</f>
        <v/>
      </c>
      <c r="T3053" s="46">
        <f>S3053/INDEX(FmtCansPerPack,MATCH(F3053,FmtName,0))</f>
        <v/>
      </c>
      <c r="U3053" s="47">
        <f>INDEX(ChBaseCP,MATCH(E3053,ChName,0))*(1+INDEX(ProvMod,MATCH(G3053,ProvCode,0)))*(1+PriceIndex)</f>
        <v/>
      </c>
      <c r="V3053" s="47">
        <f>R3053*U3053*INDEX(FmtBlendedPriceIdx,MATCH(F3053,FmtName,0))</f>
        <v/>
      </c>
      <c r="W3053" s="47">
        <f>T3053*INDEX(ProvSRP,MATCH(G3053,ProvCode,0))*(1+PriceIndex)</f>
        <v/>
      </c>
      <c r="X3053" s="47">
        <f>IF(GrossBasis="Wholesale",V3053,W3053)</f>
        <v/>
      </c>
      <c r="Y3053" s="47">
        <f>R3053*INDEX(FmtBlendedCogs,MATCH(F3053,FmtName,0))</f>
        <v/>
      </c>
      <c r="Z3053" s="47">
        <f>X3053-Y3053</f>
        <v/>
      </c>
    </row>
    <row r="3054">
      <c r="A3054" t="n">
        <v>32</v>
      </c>
      <c r="B3054" s="44">
        <f>FiscalStart+(A3054-1)*7</f>
        <v/>
      </c>
      <c r="C3054">
        <f>TEXT(B3054,"mmm yyyy")</f>
        <v/>
      </c>
      <c r="D3054">
        <f>"Q"&amp;(INT((A3054-1)/13)+1)</f>
        <v/>
      </c>
      <c r="E3054" t="inlineStr">
        <is>
          <t>Specialty</t>
        </is>
      </c>
      <c r="F3054">
        <f>IFERROR(INDEX(ChFormat,MATCH(E3054,ChName,0)),"")</f>
        <v/>
      </c>
      <c r="G3054" t="inlineStr">
        <is>
          <t>NS</t>
        </is>
      </c>
      <c r="H3054">
        <f>IF(A3054&lt;=NWeeks,1,0)</f>
        <v/>
      </c>
      <c r="I3054">
        <f>INDEX(ChLaunch,MATCH(E3054,ChName,0))</f>
        <v/>
      </c>
      <c r="J3054">
        <f>INDEX(ChWeeksFull,MATCH(E3054,ChName,0))</f>
        <v/>
      </c>
      <c r="K3054">
        <f>INDEX(ChRamp,MATCH(E3054,ChName,0))</f>
        <v/>
      </c>
      <c r="L3054" s="45">
        <f>MIN(1,MAX(0,(A3054-I3054+1)*RampSpeed/J3054))</f>
        <v/>
      </c>
      <c r="M3054" s="45">
        <f>IF(A3054&lt;I3054,0,IF(K3054="S-curve",L3054*L3054*(3-2*L3054),L3054))</f>
        <v/>
      </c>
      <c r="N3054" s="45">
        <f>1+(INDEX(SeasonIdx,A3054)-1)*SeasonAmp</f>
        <v/>
      </c>
      <c r="O3054" s="45">
        <f>IFERROR(INDEX(PSPct,MATCH(E3054&amp;"|"&amp;G3054,PSKey,0)),0)</f>
        <v/>
      </c>
      <c r="P3054" s="46">
        <f>INDEX(ChDoorVel,MATCH(E3054,ChName,0))*CalibScalar*(1+VelocityUplift)</f>
        <v/>
      </c>
      <c r="Q3054" s="46" t="n">
        <v>0</v>
      </c>
      <c r="R3054" s="46">
        <f>P3054*O3054*M3054*N3054*H3054</f>
        <v/>
      </c>
      <c r="S3054" s="46">
        <f>R3054*INDEX(FmtCansPerCase,MATCH(F3054,FmtName,0))</f>
        <v/>
      </c>
      <c r="T3054" s="46">
        <f>S3054/INDEX(FmtCansPerPack,MATCH(F3054,FmtName,0))</f>
        <v/>
      </c>
      <c r="U3054" s="47">
        <f>INDEX(ChBaseCP,MATCH(E3054,ChName,0))*(1+INDEX(ProvMod,MATCH(G3054,ProvCode,0)))*(1+PriceIndex)</f>
        <v/>
      </c>
      <c r="V3054" s="47">
        <f>R3054*U3054*INDEX(FmtBlendedPriceIdx,MATCH(F3054,FmtName,0))</f>
        <v/>
      </c>
      <c r="W3054" s="47">
        <f>T3054*INDEX(ProvSRP,MATCH(G3054,ProvCode,0))*(1+PriceIndex)</f>
        <v/>
      </c>
      <c r="X3054" s="47">
        <f>IF(GrossBasis="Wholesale",V3054,W3054)</f>
        <v/>
      </c>
      <c r="Y3054" s="47">
        <f>R3054*INDEX(FmtBlendedCogs,MATCH(F3054,FmtName,0))</f>
        <v/>
      </c>
      <c r="Z3054" s="47">
        <f>X3054-Y3054</f>
        <v/>
      </c>
    </row>
    <row r="3055">
      <c r="A3055" t="n">
        <v>33</v>
      </c>
      <c r="B3055" s="44">
        <f>FiscalStart+(A3055-1)*7</f>
        <v/>
      </c>
      <c r="C3055">
        <f>TEXT(B3055,"mmm yyyy")</f>
        <v/>
      </c>
      <c r="D3055">
        <f>"Q"&amp;(INT((A3055-1)/13)+1)</f>
        <v/>
      </c>
      <c r="E3055" t="inlineStr">
        <is>
          <t>Specialty</t>
        </is>
      </c>
      <c r="F3055">
        <f>IFERROR(INDEX(ChFormat,MATCH(E3055,ChName,0)),"")</f>
        <v/>
      </c>
      <c r="G3055" t="inlineStr">
        <is>
          <t>NS</t>
        </is>
      </c>
      <c r="H3055">
        <f>IF(A3055&lt;=NWeeks,1,0)</f>
        <v/>
      </c>
      <c r="I3055">
        <f>INDEX(ChLaunch,MATCH(E3055,ChName,0))</f>
        <v/>
      </c>
      <c r="J3055">
        <f>INDEX(ChWeeksFull,MATCH(E3055,ChName,0))</f>
        <v/>
      </c>
      <c r="K3055">
        <f>INDEX(ChRamp,MATCH(E3055,ChName,0))</f>
        <v/>
      </c>
      <c r="L3055" s="45">
        <f>MIN(1,MAX(0,(A3055-I3055+1)*RampSpeed/J3055))</f>
        <v/>
      </c>
      <c r="M3055" s="45">
        <f>IF(A3055&lt;I3055,0,IF(K3055="S-curve",L3055*L3055*(3-2*L3055),L3055))</f>
        <v/>
      </c>
      <c r="N3055" s="45">
        <f>1+(INDEX(SeasonIdx,A3055)-1)*SeasonAmp</f>
        <v/>
      </c>
      <c r="O3055" s="45">
        <f>IFERROR(INDEX(PSPct,MATCH(E3055&amp;"|"&amp;G3055,PSKey,0)),0)</f>
        <v/>
      </c>
      <c r="P3055" s="46">
        <f>INDEX(ChDoorVel,MATCH(E3055,ChName,0))*CalibScalar*(1+VelocityUplift)</f>
        <v/>
      </c>
      <c r="Q3055" s="46" t="n">
        <v>0</v>
      </c>
      <c r="R3055" s="46">
        <f>P3055*O3055*M3055*N3055*H3055</f>
        <v/>
      </c>
      <c r="S3055" s="46">
        <f>R3055*INDEX(FmtCansPerCase,MATCH(F3055,FmtName,0))</f>
        <v/>
      </c>
      <c r="T3055" s="46">
        <f>S3055/INDEX(FmtCansPerPack,MATCH(F3055,FmtName,0))</f>
        <v/>
      </c>
      <c r="U3055" s="47">
        <f>INDEX(ChBaseCP,MATCH(E3055,ChName,0))*(1+INDEX(ProvMod,MATCH(G3055,ProvCode,0)))*(1+PriceIndex)</f>
        <v/>
      </c>
      <c r="V3055" s="47">
        <f>R3055*U3055*INDEX(FmtBlendedPriceIdx,MATCH(F3055,FmtName,0))</f>
        <v/>
      </c>
      <c r="W3055" s="47">
        <f>T3055*INDEX(ProvSRP,MATCH(G3055,ProvCode,0))*(1+PriceIndex)</f>
        <v/>
      </c>
      <c r="X3055" s="47">
        <f>IF(GrossBasis="Wholesale",V3055,W3055)</f>
        <v/>
      </c>
      <c r="Y3055" s="47">
        <f>R3055*INDEX(FmtBlendedCogs,MATCH(F3055,FmtName,0))</f>
        <v/>
      </c>
      <c r="Z3055" s="47">
        <f>X3055-Y3055</f>
        <v/>
      </c>
    </row>
    <row r="3056">
      <c r="A3056" t="n">
        <v>34</v>
      </c>
      <c r="B3056" s="44">
        <f>FiscalStart+(A3056-1)*7</f>
        <v/>
      </c>
      <c r="C3056">
        <f>TEXT(B3056,"mmm yyyy")</f>
        <v/>
      </c>
      <c r="D3056">
        <f>"Q"&amp;(INT((A3056-1)/13)+1)</f>
        <v/>
      </c>
      <c r="E3056" t="inlineStr">
        <is>
          <t>Specialty</t>
        </is>
      </c>
      <c r="F3056">
        <f>IFERROR(INDEX(ChFormat,MATCH(E3056,ChName,0)),"")</f>
        <v/>
      </c>
      <c r="G3056" t="inlineStr">
        <is>
          <t>NS</t>
        </is>
      </c>
      <c r="H3056">
        <f>IF(A3056&lt;=NWeeks,1,0)</f>
        <v/>
      </c>
      <c r="I3056">
        <f>INDEX(ChLaunch,MATCH(E3056,ChName,0))</f>
        <v/>
      </c>
      <c r="J3056">
        <f>INDEX(ChWeeksFull,MATCH(E3056,ChName,0))</f>
        <v/>
      </c>
      <c r="K3056">
        <f>INDEX(ChRamp,MATCH(E3056,ChName,0))</f>
        <v/>
      </c>
      <c r="L3056" s="45">
        <f>MIN(1,MAX(0,(A3056-I3056+1)*RampSpeed/J3056))</f>
        <v/>
      </c>
      <c r="M3056" s="45">
        <f>IF(A3056&lt;I3056,0,IF(K3056="S-curve",L3056*L3056*(3-2*L3056),L3056))</f>
        <v/>
      </c>
      <c r="N3056" s="45">
        <f>1+(INDEX(SeasonIdx,A3056)-1)*SeasonAmp</f>
        <v/>
      </c>
      <c r="O3056" s="45">
        <f>IFERROR(INDEX(PSPct,MATCH(E3056&amp;"|"&amp;G3056,PSKey,0)),0)</f>
        <v/>
      </c>
      <c r="P3056" s="46">
        <f>INDEX(ChDoorVel,MATCH(E3056,ChName,0))*CalibScalar*(1+VelocityUplift)</f>
        <v/>
      </c>
      <c r="Q3056" s="46" t="n">
        <v>0</v>
      </c>
      <c r="R3056" s="46">
        <f>P3056*O3056*M3056*N3056*H3056</f>
        <v/>
      </c>
      <c r="S3056" s="46">
        <f>R3056*INDEX(FmtCansPerCase,MATCH(F3056,FmtName,0))</f>
        <v/>
      </c>
      <c r="T3056" s="46">
        <f>S3056/INDEX(FmtCansPerPack,MATCH(F3056,FmtName,0))</f>
        <v/>
      </c>
      <c r="U3056" s="47">
        <f>INDEX(ChBaseCP,MATCH(E3056,ChName,0))*(1+INDEX(ProvMod,MATCH(G3056,ProvCode,0)))*(1+PriceIndex)</f>
        <v/>
      </c>
      <c r="V3056" s="47">
        <f>R3056*U3056*INDEX(FmtBlendedPriceIdx,MATCH(F3056,FmtName,0))</f>
        <v/>
      </c>
      <c r="W3056" s="47">
        <f>T3056*INDEX(ProvSRP,MATCH(G3056,ProvCode,0))*(1+PriceIndex)</f>
        <v/>
      </c>
      <c r="X3056" s="47">
        <f>IF(GrossBasis="Wholesale",V3056,W3056)</f>
        <v/>
      </c>
      <c r="Y3056" s="47">
        <f>R3056*INDEX(FmtBlendedCogs,MATCH(F3056,FmtName,0))</f>
        <v/>
      </c>
      <c r="Z3056" s="47">
        <f>X3056-Y3056</f>
        <v/>
      </c>
    </row>
    <row r="3057">
      <c r="A3057" t="n">
        <v>35</v>
      </c>
      <c r="B3057" s="44">
        <f>FiscalStart+(A3057-1)*7</f>
        <v/>
      </c>
      <c r="C3057">
        <f>TEXT(B3057,"mmm yyyy")</f>
        <v/>
      </c>
      <c r="D3057">
        <f>"Q"&amp;(INT((A3057-1)/13)+1)</f>
        <v/>
      </c>
      <c r="E3057" t="inlineStr">
        <is>
          <t>Specialty</t>
        </is>
      </c>
      <c r="F3057">
        <f>IFERROR(INDEX(ChFormat,MATCH(E3057,ChName,0)),"")</f>
        <v/>
      </c>
      <c r="G3057" t="inlineStr">
        <is>
          <t>NS</t>
        </is>
      </c>
      <c r="H3057">
        <f>IF(A3057&lt;=NWeeks,1,0)</f>
        <v/>
      </c>
      <c r="I3057">
        <f>INDEX(ChLaunch,MATCH(E3057,ChName,0))</f>
        <v/>
      </c>
      <c r="J3057">
        <f>INDEX(ChWeeksFull,MATCH(E3057,ChName,0))</f>
        <v/>
      </c>
      <c r="K3057">
        <f>INDEX(ChRamp,MATCH(E3057,ChName,0))</f>
        <v/>
      </c>
      <c r="L3057" s="45">
        <f>MIN(1,MAX(0,(A3057-I3057+1)*RampSpeed/J3057))</f>
        <v/>
      </c>
      <c r="M3057" s="45">
        <f>IF(A3057&lt;I3057,0,IF(K3057="S-curve",L3057*L3057*(3-2*L3057),L3057))</f>
        <v/>
      </c>
      <c r="N3057" s="45">
        <f>1+(INDEX(SeasonIdx,A3057)-1)*SeasonAmp</f>
        <v/>
      </c>
      <c r="O3057" s="45">
        <f>IFERROR(INDEX(PSPct,MATCH(E3057&amp;"|"&amp;G3057,PSKey,0)),0)</f>
        <v/>
      </c>
      <c r="P3057" s="46">
        <f>INDEX(ChDoorVel,MATCH(E3057,ChName,0))*CalibScalar*(1+VelocityUplift)</f>
        <v/>
      </c>
      <c r="Q3057" s="46" t="n">
        <v>0</v>
      </c>
      <c r="R3057" s="46">
        <f>P3057*O3057*M3057*N3057*H3057</f>
        <v/>
      </c>
      <c r="S3057" s="46">
        <f>R3057*INDEX(FmtCansPerCase,MATCH(F3057,FmtName,0))</f>
        <v/>
      </c>
      <c r="T3057" s="46">
        <f>S3057/INDEX(FmtCansPerPack,MATCH(F3057,FmtName,0))</f>
        <v/>
      </c>
      <c r="U3057" s="47">
        <f>INDEX(ChBaseCP,MATCH(E3057,ChName,0))*(1+INDEX(ProvMod,MATCH(G3057,ProvCode,0)))*(1+PriceIndex)</f>
        <v/>
      </c>
      <c r="V3057" s="47">
        <f>R3057*U3057*INDEX(FmtBlendedPriceIdx,MATCH(F3057,FmtName,0))</f>
        <v/>
      </c>
      <c r="W3057" s="47">
        <f>T3057*INDEX(ProvSRP,MATCH(G3057,ProvCode,0))*(1+PriceIndex)</f>
        <v/>
      </c>
      <c r="X3057" s="47">
        <f>IF(GrossBasis="Wholesale",V3057,W3057)</f>
        <v/>
      </c>
      <c r="Y3057" s="47">
        <f>R3057*INDEX(FmtBlendedCogs,MATCH(F3057,FmtName,0))</f>
        <v/>
      </c>
      <c r="Z3057" s="47">
        <f>X3057-Y3057</f>
        <v/>
      </c>
    </row>
    <row r="3058">
      <c r="A3058" t="n">
        <v>36</v>
      </c>
      <c r="B3058" s="44">
        <f>FiscalStart+(A3058-1)*7</f>
        <v/>
      </c>
      <c r="C3058">
        <f>TEXT(B3058,"mmm yyyy")</f>
        <v/>
      </c>
      <c r="D3058">
        <f>"Q"&amp;(INT((A3058-1)/13)+1)</f>
        <v/>
      </c>
      <c r="E3058" t="inlineStr">
        <is>
          <t>Specialty</t>
        </is>
      </c>
      <c r="F3058">
        <f>IFERROR(INDEX(ChFormat,MATCH(E3058,ChName,0)),"")</f>
        <v/>
      </c>
      <c r="G3058" t="inlineStr">
        <is>
          <t>NS</t>
        </is>
      </c>
      <c r="H3058">
        <f>IF(A3058&lt;=NWeeks,1,0)</f>
        <v/>
      </c>
      <c r="I3058">
        <f>INDEX(ChLaunch,MATCH(E3058,ChName,0))</f>
        <v/>
      </c>
      <c r="J3058">
        <f>INDEX(ChWeeksFull,MATCH(E3058,ChName,0))</f>
        <v/>
      </c>
      <c r="K3058">
        <f>INDEX(ChRamp,MATCH(E3058,ChName,0))</f>
        <v/>
      </c>
      <c r="L3058" s="45">
        <f>MIN(1,MAX(0,(A3058-I3058+1)*RampSpeed/J3058))</f>
        <v/>
      </c>
      <c r="M3058" s="45">
        <f>IF(A3058&lt;I3058,0,IF(K3058="S-curve",L3058*L3058*(3-2*L3058),L3058))</f>
        <v/>
      </c>
      <c r="N3058" s="45">
        <f>1+(INDEX(SeasonIdx,A3058)-1)*SeasonAmp</f>
        <v/>
      </c>
      <c r="O3058" s="45">
        <f>IFERROR(INDEX(PSPct,MATCH(E3058&amp;"|"&amp;G3058,PSKey,0)),0)</f>
        <v/>
      </c>
      <c r="P3058" s="46">
        <f>INDEX(ChDoorVel,MATCH(E3058,ChName,0))*CalibScalar*(1+VelocityUplift)</f>
        <v/>
      </c>
      <c r="Q3058" s="46" t="n">
        <v>0</v>
      </c>
      <c r="R3058" s="46">
        <f>P3058*O3058*M3058*N3058*H3058</f>
        <v/>
      </c>
      <c r="S3058" s="46">
        <f>R3058*INDEX(FmtCansPerCase,MATCH(F3058,FmtName,0))</f>
        <v/>
      </c>
      <c r="T3058" s="46">
        <f>S3058/INDEX(FmtCansPerPack,MATCH(F3058,FmtName,0))</f>
        <v/>
      </c>
      <c r="U3058" s="47">
        <f>INDEX(ChBaseCP,MATCH(E3058,ChName,0))*(1+INDEX(ProvMod,MATCH(G3058,ProvCode,0)))*(1+PriceIndex)</f>
        <v/>
      </c>
      <c r="V3058" s="47">
        <f>R3058*U3058*INDEX(FmtBlendedPriceIdx,MATCH(F3058,FmtName,0))</f>
        <v/>
      </c>
      <c r="W3058" s="47">
        <f>T3058*INDEX(ProvSRP,MATCH(G3058,ProvCode,0))*(1+PriceIndex)</f>
        <v/>
      </c>
      <c r="X3058" s="47">
        <f>IF(GrossBasis="Wholesale",V3058,W3058)</f>
        <v/>
      </c>
      <c r="Y3058" s="47">
        <f>R3058*INDEX(FmtBlendedCogs,MATCH(F3058,FmtName,0))</f>
        <v/>
      </c>
      <c r="Z3058" s="47">
        <f>X3058-Y3058</f>
        <v/>
      </c>
    </row>
    <row r="3059">
      <c r="A3059" t="n">
        <v>37</v>
      </c>
      <c r="B3059" s="44">
        <f>FiscalStart+(A3059-1)*7</f>
        <v/>
      </c>
      <c r="C3059">
        <f>TEXT(B3059,"mmm yyyy")</f>
        <v/>
      </c>
      <c r="D3059">
        <f>"Q"&amp;(INT((A3059-1)/13)+1)</f>
        <v/>
      </c>
      <c r="E3059" t="inlineStr">
        <is>
          <t>Specialty</t>
        </is>
      </c>
      <c r="F3059">
        <f>IFERROR(INDEX(ChFormat,MATCH(E3059,ChName,0)),"")</f>
        <v/>
      </c>
      <c r="G3059" t="inlineStr">
        <is>
          <t>NS</t>
        </is>
      </c>
      <c r="H3059">
        <f>IF(A3059&lt;=NWeeks,1,0)</f>
        <v/>
      </c>
      <c r="I3059">
        <f>INDEX(ChLaunch,MATCH(E3059,ChName,0))</f>
        <v/>
      </c>
      <c r="J3059">
        <f>INDEX(ChWeeksFull,MATCH(E3059,ChName,0))</f>
        <v/>
      </c>
      <c r="K3059">
        <f>INDEX(ChRamp,MATCH(E3059,ChName,0))</f>
        <v/>
      </c>
      <c r="L3059" s="45">
        <f>MIN(1,MAX(0,(A3059-I3059+1)*RampSpeed/J3059))</f>
        <v/>
      </c>
      <c r="M3059" s="45">
        <f>IF(A3059&lt;I3059,0,IF(K3059="S-curve",L3059*L3059*(3-2*L3059),L3059))</f>
        <v/>
      </c>
      <c r="N3059" s="45">
        <f>1+(INDEX(SeasonIdx,A3059)-1)*SeasonAmp</f>
        <v/>
      </c>
      <c r="O3059" s="45">
        <f>IFERROR(INDEX(PSPct,MATCH(E3059&amp;"|"&amp;G3059,PSKey,0)),0)</f>
        <v/>
      </c>
      <c r="P3059" s="46">
        <f>INDEX(ChDoorVel,MATCH(E3059,ChName,0))*CalibScalar*(1+VelocityUplift)</f>
        <v/>
      </c>
      <c r="Q3059" s="46" t="n">
        <v>0</v>
      </c>
      <c r="R3059" s="46">
        <f>P3059*O3059*M3059*N3059*H3059</f>
        <v/>
      </c>
      <c r="S3059" s="46">
        <f>R3059*INDEX(FmtCansPerCase,MATCH(F3059,FmtName,0))</f>
        <v/>
      </c>
      <c r="T3059" s="46">
        <f>S3059/INDEX(FmtCansPerPack,MATCH(F3059,FmtName,0))</f>
        <v/>
      </c>
      <c r="U3059" s="47">
        <f>INDEX(ChBaseCP,MATCH(E3059,ChName,0))*(1+INDEX(ProvMod,MATCH(G3059,ProvCode,0)))*(1+PriceIndex)</f>
        <v/>
      </c>
      <c r="V3059" s="47">
        <f>R3059*U3059*INDEX(FmtBlendedPriceIdx,MATCH(F3059,FmtName,0))</f>
        <v/>
      </c>
      <c r="W3059" s="47">
        <f>T3059*INDEX(ProvSRP,MATCH(G3059,ProvCode,0))*(1+PriceIndex)</f>
        <v/>
      </c>
      <c r="X3059" s="47">
        <f>IF(GrossBasis="Wholesale",V3059,W3059)</f>
        <v/>
      </c>
      <c r="Y3059" s="47">
        <f>R3059*INDEX(FmtBlendedCogs,MATCH(F3059,FmtName,0))</f>
        <v/>
      </c>
      <c r="Z3059" s="47">
        <f>X3059-Y3059</f>
        <v/>
      </c>
    </row>
    <row r="3060">
      <c r="A3060" t="n">
        <v>38</v>
      </c>
      <c r="B3060" s="44">
        <f>FiscalStart+(A3060-1)*7</f>
        <v/>
      </c>
      <c r="C3060">
        <f>TEXT(B3060,"mmm yyyy")</f>
        <v/>
      </c>
      <c r="D3060">
        <f>"Q"&amp;(INT((A3060-1)/13)+1)</f>
        <v/>
      </c>
      <c r="E3060" t="inlineStr">
        <is>
          <t>Specialty</t>
        </is>
      </c>
      <c r="F3060">
        <f>IFERROR(INDEX(ChFormat,MATCH(E3060,ChName,0)),"")</f>
        <v/>
      </c>
      <c r="G3060" t="inlineStr">
        <is>
          <t>NS</t>
        </is>
      </c>
      <c r="H3060">
        <f>IF(A3060&lt;=NWeeks,1,0)</f>
        <v/>
      </c>
      <c r="I3060">
        <f>INDEX(ChLaunch,MATCH(E3060,ChName,0))</f>
        <v/>
      </c>
      <c r="J3060">
        <f>INDEX(ChWeeksFull,MATCH(E3060,ChName,0))</f>
        <v/>
      </c>
      <c r="K3060">
        <f>INDEX(ChRamp,MATCH(E3060,ChName,0))</f>
        <v/>
      </c>
      <c r="L3060" s="45">
        <f>MIN(1,MAX(0,(A3060-I3060+1)*RampSpeed/J3060))</f>
        <v/>
      </c>
      <c r="M3060" s="45">
        <f>IF(A3060&lt;I3060,0,IF(K3060="S-curve",L3060*L3060*(3-2*L3060),L3060))</f>
        <v/>
      </c>
      <c r="N3060" s="45">
        <f>1+(INDEX(SeasonIdx,A3060)-1)*SeasonAmp</f>
        <v/>
      </c>
      <c r="O3060" s="45">
        <f>IFERROR(INDEX(PSPct,MATCH(E3060&amp;"|"&amp;G3060,PSKey,0)),0)</f>
        <v/>
      </c>
      <c r="P3060" s="46">
        <f>INDEX(ChDoorVel,MATCH(E3060,ChName,0))*CalibScalar*(1+VelocityUplift)</f>
        <v/>
      </c>
      <c r="Q3060" s="46" t="n">
        <v>0</v>
      </c>
      <c r="R3060" s="46">
        <f>P3060*O3060*M3060*N3060*H3060</f>
        <v/>
      </c>
      <c r="S3060" s="46">
        <f>R3060*INDEX(FmtCansPerCase,MATCH(F3060,FmtName,0))</f>
        <v/>
      </c>
      <c r="T3060" s="46">
        <f>S3060/INDEX(FmtCansPerPack,MATCH(F3060,FmtName,0))</f>
        <v/>
      </c>
      <c r="U3060" s="47">
        <f>INDEX(ChBaseCP,MATCH(E3060,ChName,0))*(1+INDEX(ProvMod,MATCH(G3060,ProvCode,0)))*(1+PriceIndex)</f>
        <v/>
      </c>
      <c r="V3060" s="47">
        <f>R3060*U3060*INDEX(FmtBlendedPriceIdx,MATCH(F3060,FmtName,0))</f>
        <v/>
      </c>
      <c r="W3060" s="47">
        <f>T3060*INDEX(ProvSRP,MATCH(G3060,ProvCode,0))*(1+PriceIndex)</f>
        <v/>
      </c>
      <c r="X3060" s="47">
        <f>IF(GrossBasis="Wholesale",V3060,W3060)</f>
        <v/>
      </c>
      <c r="Y3060" s="47">
        <f>R3060*INDEX(FmtBlendedCogs,MATCH(F3060,FmtName,0))</f>
        <v/>
      </c>
      <c r="Z3060" s="47">
        <f>X3060-Y3060</f>
        <v/>
      </c>
    </row>
    <row r="3061">
      <c r="A3061" t="n">
        <v>39</v>
      </c>
      <c r="B3061" s="44">
        <f>FiscalStart+(A3061-1)*7</f>
        <v/>
      </c>
      <c r="C3061">
        <f>TEXT(B3061,"mmm yyyy")</f>
        <v/>
      </c>
      <c r="D3061">
        <f>"Q"&amp;(INT((A3061-1)/13)+1)</f>
        <v/>
      </c>
      <c r="E3061" t="inlineStr">
        <is>
          <t>Specialty</t>
        </is>
      </c>
      <c r="F3061">
        <f>IFERROR(INDEX(ChFormat,MATCH(E3061,ChName,0)),"")</f>
        <v/>
      </c>
      <c r="G3061" t="inlineStr">
        <is>
          <t>NS</t>
        </is>
      </c>
      <c r="H3061">
        <f>IF(A3061&lt;=NWeeks,1,0)</f>
        <v/>
      </c>
      <c r="I3061">
        <f>INDEX(ChLaunch,MATCH(E3061,ChName,0))</f>
        <v/>
      </c>
      <c r="J3061">
        <f>INDEX(ChWeeksFull,MATCH(E3061,ChName,0))</f>
        <v/>
      </c>
      <c r="K3061">
        <f>INDEX(ChRamp,MATCH(E3061,ChName,0))</f>
        <v/>
      </c>
      <c r="L3061" s="45">
        <f>MIN(1,MAX(0,(A3061-I3061+1)*RampSpeed/J3061))</f>
        <v/>
      </c>
      <c r="M3061" s="45">
        <f>IF(A3061&lt;I3061,0,IF(K3061="S-curve",L3061*L3061*(3-2*L3061),L3061))</f>
        <v/>
      </c>
      <c r="N3061" s="45">
        <f>1+(INDEX(SeasonIdx,A3061)-1)*SeasonAmp</f>
        <v/>
      </c>
      <c r="O3061" s="45">
        <f>IFERROR(INDEX(PSPct,MATCH(E3061&amp;"|"&amp;G3061,PSKey,0)),0)</f>
        <v/>
      </c>
      <c r="P3061" s="46">
        <f>INDEX(ChDoorVel,MATCH(E3061,ChName,0))*CalibScalar*(1+VelocityUplift)</f>
        <v/>
      </c>
      <c r="Q3061" s="46" t="n">
        <v>0</v>
      </c>
      <c r="R3061" s="46">
        <f>P3061*O3061*M3061*N3061*H3061</f>
        <v/>
      </c>
      <c r="S3061" s="46">
        <f>R3061*INDEX(FmtCansPerCase,MATCH(F3061,FmtName,0))</f>
        <v/>
      </c>
      <c r="T3061" s="46">
        <f>S3061/INDEX(FmtCansPerPack,MATCH(F3061,FmtName,0))</f>
        <v/>
      </c>
      <c r="U3061" s="47">
        <f>INDEX(ChBaseCP,MATCH(E3061,ChName,0))*(1+INDEX(ProvMod,MATCH(G3061,ProvCode,0)))*(1+PriceIndex)</f>
        <v/>
      </c>
      <c r="V3061" s="47">
        <f>R3061*U3061*INDEX(FmtBlendedPriceIdx,MATCH(F3061,FmtName,0))</f>
        <v/>
      </c>
      <c r="W3061" s="47">
        <f>T3061*INDEX(ProvSRP,MATCH(G3061,ProvCode,0))*(1+PriceIndex)</f>
        <v/>
      </c>
      <c r="X3061" s="47">
        <f>IF(GrossBasis="Wholesale",V3061,W3061)</f>
        <v/>
      </c>
      <c r="Y3061" s="47">
        <f>R3061*INDEX(FmtBlendedCogs,MATCH(F3061,FmtName,0))</f>
        <v/>
      </c>
      <c r="Z3061" s="47">
        <f>X3061-Y3061</f>
        <v/>
      </c>
    </row>
    <row r="3062">
      <c r="A3062" t="n">
        <v>40</v>
      </c>
      <c r="B3062" s="44">
        <f>FiscalStart+(A3062-1)*7</f>
        <v/>
      </c>
      <c r="C3062">
        <f>TEXT(B3062,"mmm yyyy")</f>
        <v/>
      </c>
      <c r="D3062">
        <f>"Q"&amp;(INT((A3062-1)/13)+1)</f>
        <v/>
      </c>
      <c r="E3062" t="inlineStr">
        <is>
          <t>Specialty</t>
        </is>
      </c>
      <c r="F3062">
        <f>IFERROR(INDEX(ChFormat,MATCH(E3062,ChName,0)),"")</f>
        <v/>
      </c>
      <c r="G3062" t="inlineStr">
        <is>
          <t>NS</t>
        </is>
      </c>
      <c r="H3062">
        <f>IF(A3062&lt;=NWeeks,1,0)</f>
        <v/>
      </c>
      <c r="I3062">
        <f>INDEX(ChLaunch,MATCH(E3062,ChName,0))</f>
        <v/>
      </c>
      <c r="J3062">
        <f>INDEX(ChWeeksFull,MATCH(E3062,ChName,0))</f>
        <v/>
      </c>
      <c r="K3062">
        <f>INDEX(ChRamp,MATCH(E3062,ChName,0))</f>
        <v/>
      </c>
      <c r="L3062" s="45">
        <f>MIN(1,MAX(0,(A3062-I3062+1)*RampSpeed/J3062))</f>
        <v/>
      </c>
      <c r="M3062" s="45">
        <f>IF(A3062&lt;I3062,0,IF(K3062="S-curve",L3062*L3062*(3-2*L3062),L3062))</f>
        <v/>
      </c>
      <c r="N3062" s="45">
        <f>1+(INDEX(SeasonIdx,A3062)-1)*SeasonAmp</f>
        <v/>
      </c>
      <c r="O3062" s="45">
        <f>IFERROR(INDEX(PSPct,MATCH(E3062&amp;"|"&amp;G3062,PSKey,0)),0)</f>
        <v/>
      </c>
      <c r="P3062" s="46">
        <f>INDEX(ChDoorVel,MATCH(E3062,ChName,0))*CalibScalar*(1+VelocityUplift)</f>
        <v/>
      </c>
      <c r="Q3062" s="46" t="n">
        <v>0</v>
      </c>
      <c r="R3062" s="46">
        <f>P3062*O3062*M3062*N3062*H3062</f>
        <v/>
      </c>
      <c r="S3062" s="46">
        <f>R3062*INDEX(FmtCansPerCase,MATCH(F3062,FmtName,0))</f>
        <v/>
      </c>
      <c r="T3062" s="46">
        <f>S3062/INDEX(FmtCansPerPack,MATCH(F3062,FmtName,0))</f>
        <v/>
      </c>
      <c r="U3062" s="47">
        <f>INDEX(ChBaseCP,MATCH(E3062,ChName,0))*(1+INDEX(ProvMod,MATCH(G3062,ProvCode,0)))*(1+PriceIndex)</f>
        <v/>
      </c>
      <c r="V3062" s="47">
        <f>R3062*U3062*INDEX(FmtBlendedPriceIdx,MATCH(F3062,FmtName,0))</f>
        <v/>
      </c>
      <c r="W3062" s="47">
        <f>T3062*INDEX(ProvSRP,MATCH(G3062,ProvCode,0))*(1+PriceIndex)</f>
        <v/>
      </c>
      <c r="X3062" s="47">
        <f>IF(GrossBasis="Wholesale",V3062,W3062)</f>
        <v/>
      </c>
      <c r="Y3062" s="47">
        <f>R3062*INDEX(FmtBlendedCogs,MATCH(F3062,FmtName,0))</f>
        <v/>
      </c>
      <c r="Z3062" s="47">
        <f>X3062-Y3062</f>
        <v/>
      </c>
    </row>
    <row r="3063">
      <c r="A3063" t="n">
        <v>41</v>
      </c>
      <c r="B3063" s="44">
        <f>FiscalStart+(A3063-1)*7</f>
        <v/>
      </c>
      <c r="C3063">
        <f>TEXT(B3063,"mmm yyyy")</f>
        <v/>
      </c>
      <c r="D3063">
        <f>"Q"&amp;(INT((A3063-1)/13)+1)</f>
        <v/>
      </c>
      <c r="E3063" t="inlineStr">
        <is>
          <t>Specialty</t>
        </is>
      </c>
      <c r="F3063">
        <f>IFERROR(INDEX(ChFormat,MATCH(E3063,ChName,0)),"")</f>
        <v/>
      </c>
      <c r="G3063" t="inlineStr">
        <is>
          <t>NS</t>
        </is>
      </c>
      <c r="H3063">
        <f>IF(A3063&lt;=NWeeks,1,0)</f>
        <v/>
      </c>
      <c r="I3063">
        <f>INDEX(ChLaunch,MATCH(E3063,ChName,0))</f>
        <v/>
      </c>
      <c r="J3063">
        <f>INDEX(ChWeeksFull,MATCH(E3063,ChName,0))</f>
        <v/>
      </c>
      <c r="K3063">
        <f>INDEX(ChRamp,MATCH(E3063,ChName,0))</f>
        <v/>
      </c>
      <c r="L3063" s="45">
        <f>MIN(1,MAX(0,(A3063-I3063+1)*RampSpeed/J3063))</f>
        <v/>
      </c>
      <c r="M3063" s="45">
        <f>IF(A3063&lt;I3063,0,IF(K3063="S-curve",L3063*L3063*(3-2*L3063),L3063))</f>
        <v/>
      </c>
      <c r="N3063" s="45">
        <f>1+(INDEX(SeasonIdx,A3063)-1)*SeasonAmp</f>
        <v/>
      </c>
      <c r="O3063" s="45">
        <f>IFERROR(INDEX(PSPct,MATCH(E3063&amp;"|"&amp;G3063,PSKey,0)),0)</f>
        <v/>
      </c>
      <c r="P3063" s="46">
        <f>INDEX(ChDoorVel,MATCH(E3063,ChName,0))*CalibScalar*(1+VelocityUplift)</f>
        <v/>
      </c>
      <c r="Q3063" s="46" t="n">
        <v>0</v>
      </c>
      <c r="R3063" s="46">
        <f>P3063*O3063*M3063*N3063*H3063</f>
        <v/>
      </c>
      <c r="S3063" s="46">
        <f>R3063*INDEX(FmtCansPerCase,MATCH(F3063,FmtName,0))</f>
        <v/>
      </c>
      <c r="T3063" s="46">
        <f>S3063/INDEX(FmtCansPerPack,MATCH(F3063,FmtName,0))</f>
        <v/>
      </c>
      <c r="U3063" s="47">
        <f>INDEX(ChBaseCP,MATCH(E3063,ChName,0))*(1+INDEX(ProvMod,MATCH(G3063,ProvCode,0)))*(1+PriceIndex)</f>
        <v/>
      </c>
      <c r="V3063" s="47">
        <f>R3063*U3063*INDEX(FmtBlendedPriceIdx,MATCH(F3063,FmtName,0))</f>
        <v/>
      </c>
      <c r="W3063" s="47">
        <f>T3063*INDEX(ProvSRP,MATCH(G3063,ProvCode,0))*(1+PriceIndex)</f>
        <v/>
      </c>
      <c r="X3063" s="47">
        <f>IF(GrossBasis="Wholesale",V3063,W3063)</f>
        <v/>
      </c>
      <c r="Y3063" s="47">
        <f>R3063*INDEX(FmtBlendedCogs,MATCH(F3063,FmtName,0))</f>
        <v/>
      </c>
      <c r="Z3063" s="47">
        <f>X3063-Y3063</f>
        <v/>
      </c>
    </row>
    <row r="3064">
      <c r="A3064" t="n">
        <v>42</v>
      </c>
      <c r="B3064" s="44">
        <f>FiscalStart+(A3064-1)*7</f>
        <v/>
      </c>
      <c r="C3064">
        <f>TEXT(B3064,"mmm yyyy")</f>
        <v/>
      </c>
      <c r="D3064">
        <f>"Q"&amp;(INT((A3064-1)/13)+1)</f>
        <v/>
      </c>
      <c r="E3064" t="inlineStr">
        <is>
          <t>Specialty</t>
        </is>
      </c>
      <c r="F3064">
        <f>IFERROR(INDEX(ChFormat,MATCH(E3064,ChName,0)),"")</f>
        <v/>
      </c>
      <c r="G3064" t="inlineStr">
        <is>
          <t>NS</t>
        </is>
      </c>
      <c r="H3064">
        <f>IF(A3064&lt;=NWeeks,1,0)</f>
        <v/>
      </c>
      <c r="I3064">
        <f>INDEX(ChLaunch,MATCH(E3064,ChName,0))</f>
        <v/>
      </c>
      <c r="J3064">
        <f>INDEX(ChWeeksFull,MATCH(E3064,ChName,0))</f>
        <v/>
      </c>
      <c r="K3064">
        <f>INDEX(ChRamp,MATCH(E3064,ChName,0))</f>
        <v/>
      </c>
      <c r="L3064" s="45">
        <f>MIN(1,MAX(0,(A3064-I3064+1)*RampSpeed/J3064))</f>
        <v/>
      </c>
      <c r="M3064" s="45">
        <f>IF(A3064&lt;I3064,0,IF(K3064="S-curve",L3064*L3064*(3-2*L3064),L3064))</f>
        <v/>
      </c>
      <c r="N3064" s="45">
        <f>1+(INDEX(SeasonIdx,A3064)-1)*SeasonAmp</f>
        <v/>
      </c>
      <c r="O3064" s="45">
        <f>IFERROR(INDEX(PSPct,MATCH(E3064&amp;"|"&amp;G3064,PSKey,0)),0)</f>
        <v/>
      </c>
      <c r="P3064" s="46">
        <f>INDEX(ChDoorVel,MATCH(E3064,ChName,0))*CalibScalar*(1+VelocityUplift)</f>
        <v/>
      </c>
      <c r="Q3064" s="46" t="n">
        <v>0</v>
      </c>
      <c r="R3064" s="46">
        <f>P3064*O3064*M3064*N3064*H3064</f>
        <v/>
      </c>
      <c r="S3064" s="46">
        <f>R3064*INDEX(FmtCansPerCase,MATCH(F3064,FmtName,0))</f>
        <v/>
      </c>
      <c r="T3064" s="46">
        <f>S3064/INDEX(FmtCansPerPack,MATCH(F3064,FmtName,0))</f>
        <v/>
      </c>
      <c r="U3064" s="47">
        <f>INDEX(ChBaseCP,MATCH(E3064,ChName,0))*(1+INDEX(ProvMod,MATCH(G3064,ProvCode,0)))*(1+PriceIndex)</f>
        <v/>
      </c>
      <c r="V3064" s="47">
        <f>R3064*U3064*INDEX(FmtBlendedPriceIdx,MATCH(F3064,FmtName,0))</f>
        <v/>
      </c>
      <c r="W3064" s="47">
        <f>T3064*INDEX(ProvSRP,MATCH(G3064,ProvCode,0))*(1+PriceIndex)</f>
        <v/>
      </c>
      <c r="X3064" s="47">
        <f>IF(GrossBasis="Wholesale",V3064,W3064)</f>
        <v/>
      </c>
      <c r="Y3064" s="47">
        <f>R3064*INDEX(FmtBlendedCogs,MATCH(F3064,FmtName,0))</f>
        <v/>
      </c>
      <c r="Z3064" s="47">
        <f>X3064-Y3064</f>
        <v/>
      </c>
    </row>
    <row r="3065">
      <c r="A3065" t="n">
        <v>43</v>
      </c>
      <c r="B3065" s="44">
        <f>FiscalStart+(A3065-1)*7</f>
        <v/>
      </c>
      <c r="C3065">
        <f>TEXT(B3065,"mmm yyyy")</f>
        <v/>
      </c>
      <c r="D3065">
        <f>"Q"&amp;(INT((A3065-1)/13)+1)</f>
        <v/>
      </c>
      <c r="E3065" t="inlineStr">
        <is>
          <t>Specialty</t>
        </is>
      </c>
      <c r="F3065">
        <f>IFERROR(INDEX(ChFormat,MATCH(E3065,ChName,0)),"")</f>
        <v/>
      </c>
      <c r="G3065" t="inlineStr">
        <is>
          <t>NS</t>
        </is>
      </c>
      <c r="H3065">
        <f>IF(A3065&lt;=NWeeks,1,0)</f>
        <v/>
      </c>
      <c r="I3065">
        <f>INDEX(ChLaunch,MATCH(E3065,ChName,0))</f>
        <v/>
      </c>
      <c r="J3065">
        <f>INDEX(ChWeeksFull,MATCH(E3065,ChName,0))</f>
        <v/>
      </c>
      <c r="K3065">
        <f>INDEX(ChRamp,MATCH(E3065,ChName,0))</f>
        <v/>
      </c>
      <c r="L3065" s="45">
        <f>MIN(1,MAX(0,(A3065-I3065+1)*RampSpeed/J3065))</f>
        <v/>
      </c>
      <c r="M3065" s="45">
        <f>IF(A3065&lt;I3065,0,IF(K3065="S-curve",L3065*L3065*(3-2*L3065),L3065))</f>
        <v/>
      </c>
      <c r="N3065" s="45">
        <f>1+(INDEX(SeasonIdx,A3065)-1)*SeasonAmp</f>
        <v/>
      </c>
      <c r="O3065" s="45">
        <f>IFERROR(INDEX(PSPct,MATCH(E3065&amp;"|"&amp;G3065,PSKey,0)),0)</f>
        <v/>
      </c>
      <c r="P3065" s="46">
        <f>INDEX(ChDoorVel,MATCH(E3065,ChName,0))*CalibScalar*(1+VelocityUplift)</f>
        <v/>
      </c>
      <c r="Q3065" s="46" t="n">
        <v>0</v>
      </c>
      <c r="R3065" s="46">
        <f>P3065*O3065*M3065*N3065*H3065</f>
        <v/>
      </c>
      <c r="S3065" s="46">
        <f>R3065*INDEX(FmtCansPerCase,MATCH(F3065,FmtName,0))</f>
        <v/>
      </c>
      <c r="T3065" s="46">
        <f>S3065/INDEX(FmtCansPerPack,MATCH(F3065,FmtName,0))</f>
        <v/>
      </c>
      <c r="U3065" s="47">
        <f>INDEX(ChBaseCP,MATCH(E3065,ChName,0))*(1+INDEX(ProvMod,MATCH(G3065,ProvCode,0)))*(1+PriceIndex)</f>
        <v/>
      </c>
      <c r="V3065" s="47">
        <f>R3065*U3065*INDEX(FmtBlendedPriceIdx,MATCH(F3065,FmtName,0))</f>
        <v/>
      </c>
      <c r="W3065" s="47">
        <f>T3065*INDEX(ProvSRP,MATCH(G3065,ProvCode,0))*(1+PriceIndex)</f>
        <v/>
      </c>
      <c r="X3065" s="47">
        <f>IF(GrossBasis="Wholesale",V3065,W3065)</f>
        <v/>
      </c>
      <c r="Y3065" s="47">
        <f>R3065*INDEX(FmtBlendedCogs,MATCH(F3065,FmtName,0))</f>
        <v/>
      </c>
      <c r="Z3065" s="47">
        <f>X3065-Y3065</f>
        <v/>
      </c>
    </row>
    <row r="3066">
      <c r="A3066" t="n">
        <v>44</v>
      </c>
      <c r="B3066" s="44">
        <f>FiscalStart+(A3066-1)*7</f>
        <v/>
      </c>
      <c r="C3066">
        <f>TEXT(B3066,"mmm yyyy")</f>
        <v/>
      </c>
      <c r="D3066">
        <f>"Q"&amp;(INT((A3066-1)/13)+1)</f>
        <v/>
      </c>
      <c r="E3066" t="inlineStr">
        <is>
          <t>Specialty</t>
        </is>
      </c>
      <c r="F3066">
        <f>IFERROR(INDEX(ChFormat,MATCH(E3066,ChName,0)),"")</f>
        <v/>
      </c>
      <c r="G3066" t="inlineStr">
        <is>
          <t>NS</t>
        </is>
      </c>
      <c r="H3066">
        <f>IF(A3066&lt;=NWeeks,1,0)</f>
        <v/>
      </c>
      <c r="I3066">
        <f>INDEX(ChLaunch,MATCH(E3066,ChName,0))</f>
        <v/>
      </c>
      <c r="J3066">
        <f>INDEX(ChWeeksFull,MATCH(E3066,ChName,0))</f>
        <v/>
      </c>
      <c r="K3066">
        <f>INDEX(ChRamp,MATCH(E3066,ChName,0))</f>
        <v/>
      </c>
      <c r="L3066" s="45">
        <f>MIN(1,MAX(0,(A3066-I3066+1)*RampSpeed/J3066))</f>
        <v/>
      </c>
      <c r="M3066" s="45">
        <f>IF(A3066&lt;I3066,0,IF(K3066="S-curve",L3066*L3066*(3-2*L3066),L3066))</f>
        <v/>
      </c>
      <c r="N3066" s="45">
        <f>1+(INDEX(SeasonIdx,A3066)-1)*SeasonAmp</f>
        <v/>
      </c>
      <c r="O3066" s="45">
        <f>IFERROR(INDEX(PSPct,MATCH(E3066&amp;"|"&amp;G3066,PSKey,0)),0)</f>
        <v/>
      </c>
      <c r="P3066" s="46">
        <f>INDEX(ChDoorVel,MATCH(E3066,ChName,0))*CalibScalar*(1+VelocityUplift)</f>
        <v/>
      </c>
      <c r="Q3066" s="46" t="n">
        <v>0</v>
      </c>
      <c r="R3066" s="46">
        <f>P3066*O3066*M3066*N3066*H3066</f>
        <v/>
      </c>
      <c r="S3066" s="46">
        <f>R3066*INDEX(FmtCansPerCase,MATCH(F3066,FmtName,0))</f>
        <v/>
      </c>
      <c r="T3066" s="46">
        <f>S3066/INDEX(FmtCansPerPack,MATCH(F3066,FmtName,0))</f>
        <v/>
      </c>
      <c r="U3066" s="47">
        <f>INDEX(ChBaseCP,MATCH(E3066,ChName,0))*(1+INDEX(ProvMod,MATCH(G3066,ProvCode,0)))*(1+PriceIndex)</f>
        <v/>
      </c>
      <c r="V3066" s="47">
        <f>R3066*U3066*INDEX(FmtBlendedPriceIdx,MATCH(F3066,FmtName,0))</f>
        <v/>
      </c>
      <c r="W3066" s="47">
        <f>T3066*INDEX(ProvSRP,MATCH(G3066,ProvCode,0))*(1+PriceIndex)</f>
        <v/>
      </c>
      <c r="X3066" s="47">
        <f>IF(GrossBasis="Wholesale",V3066,W3066)</f>
        <v/>
      </c>
      <c r="Y3066" s="47">
        <f>R3066*INDEX(FmtBlendedCogs,MATCH(F3066,FmtName,0))</f>
        <v/>
      </c>
      <c r="Z3066" s="47">
        <f>X3066-Y3066</f>
        <v/>
      </c>
    </row>
    <row r="3067">
      <c r="A3067" t="n">
        <v>45</v>
      </c>
      <c r="B3067" s="44">
        <f>FiscalStart+(A3067-1)*7</f>
        <v/>
      </c>
      <c r="C3067">
        <f>TEXT(B3067,"mmm yyyy")</f>
        <v/>
      </c>
      <c r="D3067">
        <f>"Q"&amp;(INT((A3067-1)/13)+1)</f>
        <v/>
      </c>
      <c r="E3067" t="inlineStr">
        <is>
          <t>Specialty</t>
        </is>
      </c>
      <c r="F3067">
        <f>IFERROR(INDEX(ChFormat,MATCH(E3067,ChName,0)),"")</f>
        <v/>
      </c>
      <c r="G3067" t="inlineStr">
        <is>
          <t>NS</t>
        </is>
      </c>
      <c r="H3067">
        <f>IF(A3067&lt;=NWeeks,1,0)</f>
        <v/>
      </c>
      <c r="I3067">
        <f>INDEX(ChLaunch,MATCH(E3067,ChName,0))</f>
        <v/>
      </c>
      <c r="J3067">
        <f>INDEX(ChWeeksFull,MATCH(E3067,ChName,0))</f>
        <v/>
      </c>
      <c r="K3067">
        <f>INDEX(ChRamp,MATCH(E3067,ChName,0))</f>
        <v/>
      </c>
      <c r="L3067" s="45">
        <f>MIN(1,MAX(0,(A3067-I3067+1)*RampSpeed/J3067))</f>
        <v/>
      </c>
      <c r="M3067" s="45">
        <f>IF(A3067&lt;I3067,0,IF(K3067="S-curve",L3067*L3067*(3-2*L3067),L3067))</f>
        <v/>
      </c>
      <c r="N3067" s="45">
        <f>1+(INDEX(SeasonIdx,A3067)-1)*SeasonAmp</f>
        <v/>
      </c>
      <c r="O3067" s="45">
        <f>IFERROR(INDEX(PSPct,MATCH(E3067&amp;"|"&amp;G3067,PSKey,0)),0)</f>
        <v/>
      </c>
      <c r="P3067" s="46">
        <f>INDEX(ChDoorVel,MATCH(E3067,ChName,0))*CalibScalar*(1+VelocityUplift)</f>
        <v/>
      </c>
      <c r="Q3067" s="46" t="n">
        <v>0</v>
      </c>
      <c r="R3067" s="46">
        <f>P3067*O3067*M3067*N3067*H3067</f>
        <v/>
      </c>
      <c r="S3067" s="46">
        <f>R3067*INDEX(FmtCansPerCase,MATCH(F3067,FmtName,0))</f>
        <v/>
      </c>
      <c r="T3067" s="46">
        <f>S3067/INDEX(FmtCansPerPack,MATCH(F3067,FmtName,0))</f>
        <v/>
      </c>
      <c r="U3067" s="47">
        <f>INDEX(ChBaseCP,MATCH(E3067,ChName,0))*(1+INDEX(ProvMod,MATCH(G3067,ProvCode,0)))*(1+PriceIndex)</f>
        <v/>
      </c>
      <c r="V3067" s="47">
        <f>R3067*U3067*INDEX(FmtBlendedPriceIdx,MATCH(F3067,FmtName,0))</f>
        <v/>
      </c>
      <c r="W3067" s="47">
        <f>T3067*INDEX(ProvSRP,MATCH(G3067,ProvCode,0))*(1+PriceIndex)</f>
        <v/>
      </c>
      <c r="X3067" s="47">
        <f>IF(GrossBasis="Wholesale",V3067,W3067)</f>
        <v/>
      </c>
      <c r="Y3067" s="47">
        <f>R3067*INDEX(FmtBlendedCogs,MATCH(F3067,FmtName,0))</f>
        <v/>
      </c>
      <c r="Z3067" s="47">
        <f>X3067-Y3067</f>
        <v/>
      </c>
    </row>
    <row r="3068">
      <c r="A3068" t="n">
        <v>46</v>
      </c>
      <c r="B3068" s="44">
        <f>FiscalStart+(A3068-1)*7</f>
        <v/>
      </c>
      <c r="C3068">
        <f>TEXT(B3068,"mmm yyyy")</f>
        <v/>
      </c>
      <c r="D3068">
        <f>"Q"&amp;(INT((A3068-1)/13)+1)</f>
        <v/>
      </c>
      <c r="E3068" t="inlineStr">
        <is>
          <t>Specialty</t>
        </is>
      </c>
      <c r="F3068">
        <f>IFERROR(INDEX(ChFormat,MATCH(E3068,ChName,0)),"")</f>
        <v/>
      </c>
      <c r="G3068" t="inlineStr">
        <is>
          <t>NS</t>
        </is>
      </c>
      <c r="H3068">
        <f>IF(A3068&lt;=NWeeks,1,0)</f>
        <v/>
      </c>
      <c r="I3068">
        <f>INDEX(ChLaunch,MATCH(E3068,ChName,0))</f>
        <v/>
      </c>
      <c r="J3068">
        <f>INDEX(ChWeeksFull,MATCH(E3068,ChName,0))</f>
        <v/>
      </c>
      <c r="K3068">
        <f>INDEX(ChRamp,MATCH(E3068,ChName,0))</f>
        <v/>
      </c>
      <c r="L3068" s="45">
        <f>MIN(1,MAX(0,(A3068-I3068+1)*RampSpeed/J3068))</f>
        <v/>
      </c>
      <c r="M3068" s="45">
        <f>IF(A3068&lt;I3068,0,IF(K3068="S-curve",L3068*L3068*(3-2*L3068),L3068))</f>
        <v/>
      </c>
      <c r="N3068" s="45">
        <f>1+(INDEX(SeasonIdx,A3068)-1)*SeasonAmp</f>
        <v/>
      </c>
      <c r="O3068" s="45">
        <f>IFERROR(INDEX(PSPct,MATCH(E3068&amp;"|"&amp;G3068,PSKey,0)),0)</f>
        <v/>
      </c>
      <c r="P3068" s="46">
        <f>INDEX(ChDoorVel,MATCH(E3068,ChName,0))*CalibScalar*(1+VelocityUplift)</f>
        <v/>
      </c>
      <c r="Q3068" s="46" t="n">
        <v>0</v>
      </c>
      <c r="R3068" s="46">
        <f>P3068*O3068*M3068*N3068*H3068</f>
        <v/>
      </c>
      <c r="S3068" s="46">
        <f>R3068*INDEX(FmtCansPerCase,MATCH(F3068,FmtName,0))</f>
        <v/>
      </c>
      <c r="T3068" s="46">
        <f>S3068/INDEX(FmtCansPerPack,MATCH(F3068,FmtName,0))</f>
        <v/>
      </c>
      <c r="U3068" s="47">
        <f>INDEX(ChBaseCP,MATCH(E3068,ChName,0))*(1+INDEX(ProvMod,MATCH(G3068,ProvCode,0)))*(1+PriceIndex)</f>
        <v/>
      </c>
      <c r="V3068" s="47">
        <f>R3068*U3068*INDEX(FmtBlendedPriceIdx,MATCH(F3068,FmtName,0))</f>
        <v/>
      </c>
      <c r="W3068" s="47">
        <f>T3068*INDEX(ProvSRP,MATCH(G3068,ProvCode,0))*(1+PriceIndex)</f>
        <v/>
      </c>
      <c r="X3068" s="47">
        <f>IF(GrossBasis="Wholesale",V3068,W3068)</f>
        <v/>
      </c>
      <c r="Y3068" s="47">
        <f>R3068*INDEX(FmtBlendedCogs,MATCH(F3068,FmtName,0))</f>
        <v/>
      </c>
      <c r="Z3068" s="47">
        <f>X3068-Y3068</f>
        <v/>
      </c>
    </row>
    <row r="3069">
      <c r="A3069" t="n">
        <v>47</v>
      </c>
      <c r="B3069" s="44">
        <f>FiscalStart+(A3069-1)*7</f>
        <v/>
      </c>
      <c r="C3069">
        <f>TEXT(B3069,"mmm yyyy")</f>
        <v/>
      </c>
      <c r="D3069">
        <f>"Q"&amp;(INT((A3069-1)/13)+1)</f>
        <v/>
      </c>
      <c r="E3069" t="inlineStr">
        <is>
          <t>Specialty</t>
        </is>
      </c>
      <c r="F3069">
        <f>IFERROR(INDEX(ChFormat,MATCH(E3069,ChName,0)),"")</f>
        <v/>
      </c>
      <c r="G3069" t="inlineStr">
        <is>
          <t>NS</t>
        </is>
      </c>
      <c r="H3069">
        <f>IF(A3069&lt;=NWeeks,1,0)</f>
        <v/>
      </c>
      <c r="I3069">
        <f>INDEX(ChLaunch,MATCH(E3069,ChName,0))</f>
        <v/>
      </c>
      <c r="J3069">
        <f>INDEX(ChWeeksFull,MATCH(E3069,ChName,0))</f>
        <v/>
      </c>
      <c r="K3069">
        <f>INDEX(ChRamp,MATCH(E3069,ChName,0))</f>
        <v/>
      </c>
      <c r="L3069" s="45">
        <f>MIN(1,MAX(0,(A3069-I3069+1)*RampSpeed/J3069))</f>
        <v/>
      </c>
      <c r="M3069" s="45">
        <f>IF(A3069&lt;I3069,0,IF(K3069="S-curve",L3069*L3069*(3-2*L3069),L3069))</f>
        <v/>
      </c>
      <c r="N3069" s="45">
        <f>1+(INDEX(SeasonIdx,A3069)-1)*SeasonAmp</f>
        <v/>
      </c>
      <c r="O3069" s="45">
        <f>IFERROR(INDEX(PSPct,MATCH(E3069&amp;"|"&amp;G3069,PSKey,0)),0)</f>
        <v/>
      </c>
      <c r="P3069" s="46">
        <f>INDEX(ChDoorVel,MATCH(E3069,ChName,0))*CalibScalar*(1+VelocityUplift)</f>
        <v/>
      </c>
      <c r="Q3069" s="46" t="n">
        <v>0</v>
      </c>
      <c r="R3069" s="46">
        <f>P3069*O3069*M3069*N3069*H3069</f>
        <v/>
      </c>
      <c r="S3069" s="46">
        <f>R3069*INDEX(FmtCansPerCase,MATCH(F3069,FmtName,0))</f>
        <v/>
      </c>
      <c r="T3069" s="46">
        <f>S3069/INDEX(FmtCansPerPack,MATCH(F3069,FmtName,0))</f>
        <v/>
      </c>
      <c r="U3069" s="47">
        <f>INDEX(ChBaseCP,MATCH(E3069,ChName,0))*(1+INDEX(ProvMod,MATCH(G3069,ProvCode,0)))*(1+PriceIndex)</f>
        <v/>
      </c>
      <c r="V3069" s="47">
        <f>R3069*U3069*INDEX(FmtBlendedPriceIdx,MATCH(F3069,FmtName,0))</f>
        <v/>
      </c>
      <c r="W3069" s="47">
        <f>T3069*INDEX(ProvSRP,MATCH(G3069,ProvCode,0))*(1+PriceIndex)</f>
        <v/>
      </c>
      <c r="X3069" s="47">
        <f>IF(GrossBasis="Wholesale",V3069,W3069)</f>
        <v/>
      </c>
      <c r="Y3069" s="47">
        <f>R3069*INDEX(FmtBlendedCogs,MATCH(F3069,FmtName,0))</f>
        <v/>
      </c>
      <c r="Z3069" s="47">
        <f>X3069-Y3069</f>
        <v/>
      </c>
    </row>
    <row r="3070">
      <c r="A3070" t="n">
        <v>48</v>
      </c>
      <c r="B3070" s="44">
        <f>FiscalStart+(A3070-1)*7</f>
        <v/>
      </c>
      <c r="C3070">
        <f>TEXT(B3070,"mmm yyyy")</f>
        <v/>
      </c>
      <c r="D3070">
        <f>"Q"&amp;(INT((A3070-1)/13)+1)</f>
        <v/>
      </c>
      <c r="E3070" t="inlineStr">
        <is>
          <t>Specialty</t>
        </is>
      </c>
      <c r="F3070">
        <f>IFERROR(INDEX(ChFormat,MATCH(E3070,ChName,0)),"")</f>
        <v/>
      </c>
      <c r="G3070" t="inlineStr">
        <is>
          <t>NS</t>
        </is>
      </c>
      <c r="H3070">
        <f>IF(A3070&lt;=NWeeks,1,0)</f>
        <v/>
      </c>
      <c r="I3070">
        <f>INDEX(ChLaunch,MATCH(E3070,ChName,0))</f>
        <v/>
      </c>
      <c r="J3070">
        <f>INDEX(ChWeeksFull,MATCH(E3070,ChName,0))</f>
        <v/>
      </c>
      <c r="K3070">
        <f>INDEX(ChRamp,MATCH(E3070,ChName,0))</f>
        <v/>
      </c>
      <c r="L3070" s="45">
        <f>MIN(1,MAX(0,(A3070-I3070+1)*RampSpeed/J3070))</f>
        <v/>
      </c>
      <c r="M3070" s="45">
        <f>IF(A3070&lt;I3070,0,IF(K3070="S-curve",L3070*L3070*(3-2*L3070),L3070))</f>
        <v/>
      </c>
      <c r="N3070" s="45">
        <f>1+(INDEX(SeasonIdx,A3070)-1)*SeasonAmp</f>
        <v/>
      </c>
      <c r="O3070" s="45">
        <f>IFERROR(INDEX(PSPct,MATCH(E3070&amp;"|"&amp;G3070,PSKey,0)),0)</f>
        <v/>
      </c>
      <c r="P3070" s="46">
        <f>INDEX(ChDoorVel,MATCH(E3070,ChName,0))*CalibScalar*(1+VelocityUplift)</f>
        <v/>
      </c>
      <c r="Q3070" s="46" t="n">
        <v>0</v>
      </c>
      <c r="R3070" s="46">
        <f>P3070*O3070*M3070*N3070*H3070</f>
        <v/>
      </c>
      <c r="S3070" s="46">
        <f>R3070*INDEX(FmtCansPerCase,MATCH(F3070,FmtName,0))</f>
        <v/>
      </c>
      <c r="T3070" s="46">
        <f>S3070/INDEX(FmtCansPerPack,MATCH(F3070,FmtName,0))</f>
        <v/>
      </c>
      <c r="U3070" s="47">
        <f>INDEX(ChBaseCP,MATCH(E3070,ChName,0))*(1+INDEX(ProvMod,MATCH(G3070,ProvCode,0)))*(1+PriceIndex)</f>
        <v/>
      </c>
      <c r="V3070" s="47">
        <f>R3070*U3070*INDEX(FmtBlendedPriceIdx,MATCH(F3070,FmtName,0))</f>
        <v/>
      </c>
      <c r="W3070" s="47">
        <f>T3070*INDEX(ProvSRP,MATCH(G3070,ProvCode,0))*(1+PriceIndex)</f>
        <v/>
      </c>
      <c r="X3070" s="47">
        <f>IF(GrossBasis="Wholesale",V3070,W3070)</f>
        <v/>
      </c>
      <c r="Y3070" s="47">
        <f>R3070*INDEX(FmtBlendedCogs,MATCH(F3070,FmtName,0))</f>
        <v/>
      </c>
      <c r="Z3070" s="47">
        <f>X3070-Y3070</f>
        <v/>
      </c>
    </row>
    <row r="3071">
      <c r="A3071" t="n">
        <v>49</v>
      </c>
      <c r="B3071" s="44">
        <f>FiscalStart+(A3071-1)*7</f>
        <v/>
      </c>
      <c r="C3071">
        <f>TEXT(B3071,"mmm yyyy")</f>
        <v/>
      </c>
      <c r="D3071">
        <f>"Q"&amp;(INT((A3071-1)/13)+1)</f>
        <v/>
      </c>
      <c r="E3071" t="inlineStr">
        <is>
          <t>Specialty</t>
        </is>
      </c>
      <c r="F3071">
        <f>IFERROR(INDEX(ChFormat,MATCH(E3071,ChName,0)),"")</f>
        <v/>
      </c>
      <c r="G3071" t="inlineStr">
        <is>
          <t>NS</t>
        </is>
      </c>
      <c r="H3071">
        <f>IF(A3071&lt;=NWeeks,1,0)</f>
        <v/>
      </c>
      <c r="I3071">
        <f>INDEX(ChLaunch,MATCH(E3071,ChName,0))</f>
        <v/>
      </c>
      <c r="J3071">
        <f>INDEX(ChWeeksFull,MATCH(E3071,ChName,0))</f>
        <v/>
      </c>
      <c r="K3071">
        <f>INDEX(ChRamp,MATCH(E3071,ChName,0))</f>
        <v/>
      </c>
      <c r="L3071" s="45">
        <f>MIN(1,MAX(0,(A3071-I3071+1)*RampSpeed/J3071))</f>
        <v/>
      </c>
      <c r="M3071" s="45">
        <f>IF(A3071&lt;I3071,0,IF(K3071="S-curve",L3071*L3071*(3-2*L3071),L3071))</f>
        <v/>
      </c>
      <c r="N3071" s="45">
        <f>1+(INDEX(SeasonIdx,A3071)-1)*SeasonAmp</f>
        <v/>
      </c>
      <c r="O3071" s="45">
        <f>IFERROR(INDEX(PSPct,MATCH(E3071&amp;"|"&amp;G3071,PSKey,0)),0)</f>
        <v/>
      </c>
      <c r="P3071" s="46">
        <f>INDEX(ChDoorVel,MATCH(E3071,ChName,0))*CalibScalar*(1+VelocityUplift)</f>
        <v/>
      </c>
      <c r="Q3071" s="46" t="n">
        <v>0</v>
      </c>
      <c r="R3071" s="46">
        <f>P3071*O3071*M3071*N3071*H3071</f>
        <v/>
      </c>
      <c r="S3071" s="46">
        <f>R3071*INDEX(FmtCansPerCase,MATCH(F3071,FmtName,0))</f>
        <v/>
      </c>
      <c r="T3071" s="46">
        <f>S3071/INDEX(FmtCansPerPack,MATCH(F3071,FmtName,0))</f>
        <v/>
      </c>
      <c r="U3071" s="47">
        <f>INDEX(ChBaseCP,MATCH(E3071,ChName,0))*(1+INDEX(ProvMod,MATCH(G3071,ProvCode,0)))*(1+PriceIndex)</f>
        <v/>
      </c>
      <c r="V3071" s="47">
        <f>R3071*U3071*INDEX(FmtBlendedPriceIdx,MATCH(F3071,FmtName,0))</f>
        <v/>
      </c>
      <c r="W3071" s="47">
        <f>T3071*INDEX(ProvSRP,MATCH(G3071,ProvCode,0))*(1+PriceIndex)</f>
        <v/>
      </c>
      <c r="X3071" s="47">
        <f>IF(GrossBasis="Wholesale",V3071,W3071)</f>
        <v/>
      </c>
      <c r="Y3071" s="47">
        <f>R3071*INDEX(FmtBlendedCogs,MATCH(F3071,FmtName,0))</f>
        <v/>
      </c>
      <c r="Z3071" s="47">
        <f>X3071-Y3071</f>
        <v/>
      </c>
    </row>
    <row r="3072">
      <c r="A3072" t="n">
        <v>50</v>
      </c>
      <c r="B3072" s="44">
        <f>FiscalStart+(A3072-1)*7</f>
        <v/>
      </c>
      <c r="C3072">
        <f>TEXT(B3072,"mmm yyyy")</f>
        <v/>
      </c>
      <c r="D3072">
        <f>"Q"&amp;(INT((A3072-1)/13)+1)</f>
        <v/>
      </c>
      <c r="E3072" t="inlineStr">
        <is>
          <t>Specialty</t>
        </is>
      </c>
      <c r="F3072">
        <f>IFERROR(INDEX(ChFormat,MATCH(E3072,ChName,0)),"")</f>
        <v/>
      </c>
      <c r="G3072" t="inlineStr">
        <is>
          <t>NS</t>
        </is>
      </c>
      <c r="H3072">
        <f>IF(A3072&lt;=NWeeks,1,0)</f>
        <v/>
      </c>
      <c r="I3072">
        <f>INDEX(ChLaunch,MATCH(E3072,ChName,0))</f>
        <v/>
      </c>
      <c r="J3072">
        <f>INDEX(ChWeeksFull,MATCH(E3072,ChName,0))</f>
        <v/>
      </c>
      <c r="K3072">
        <f>INDEX(ChRamp,MATCH(E3072,ChName,0))</f>
        <v/>
      </c>
      <c r="L3072" s="45">
        <f>MIN(1,MAX(0,(A3072-I3072+1)*RampSpeed/J3072))</f>
        <v/>
      </c>
      <c r="M3072" s="45">
        <f>IF(A3072&lt;I3072,0,IF(K3072="S-curve",L3072*L3072*(3-2*L3072),L3072))</f>
        <v/>
      </c>
      <c r="N3072" s="45">
        <f>1+(INDEX(SeasonIdx,A3072)-1)*SeasonAmp</f>
        <v/>
      </c>
      <c r="O3072" s="45">
        <f>IFERROR(INDEX(PSPct,MATCH(E3072&amp;"|"&amp;G3072,PSKey,0)),0)</f>
        <v/>
      </c>
      <c r="P3072" s="46">
        <f>INDEX(ChDoorVel,MATCH(E3072,ChName,0))*CalibScalar*(1+VelocityUplift)</f>
        <v/>
      </c>
      <c r="Q3072" s="46" t="n">
        <v>0</v>
      </c>
      <c r="R3072" s="46">
        <f>P3072*O3072*M3072*N3072*H3072</f>
        <v/>
      </c>
      <c r="S3072" s="46">
        <f>R3072*INDEX(FmtCansPerCase,MATCH(F3072,FmtName,0))</f>
        <v/>
      </c>
      <c r="T3072" s="46">
        <f>S3072/INDEX(FmtCansPerPack,MATCH(F3072,FmtName,0))</f>
        <v/>
      </c>
      <c r="U3072" s="47">
        <f>INDEX(ChBaseCP,MATCH(E3072,ChName,0))*(1+INDEX(ProvMod,MATCH(G3072,ProvCode,0)))*(1+PriceIndex)</f>
        <v/>
      </c>
      <c r="V3072" s="47">
        <f>R3072*U3072*INDEX(FmtBlendedPriceIdx,MATCH(F3072,FmtName,0))</f>
        <v/>
      </c>
      <c r="W3072" s="47">
        <f>T3072*INDEX(ProvSRP,MATCH(G3072,ProvCode,0))*(1+PriceIndex)</f>
        <v/>
      </c>
      <c r="X3072" s="47">
        <f>IF(GrossBasis="Wholesale",V3072,W3072)</f>
        <v/>
      </c>
      <c r="Y3072" s="47">
        <f>R3072*INDEX(FmtBlendedCogs,MATCH(F3072,FmtName,0))</f>
        <v/>
      </c>
      <c r="Z3072" s="47">
        <f>X3072-Y3072</f>
        <v/>
      </c>
    </row>
    <row r="3073">
      <c r="A3073" t="n">
        <v>51</v>
      </c>
      <c r="B3073" s="44">
        <f>FiscalStart+(A3073-1)*7</f>
        <v/>
      </c>
      <c r="C3073">
        <f>TEXT(B3073,"mmm yyyy")</f>
        <v/>
      </c>
      <c r="D3073">
        <f>"Q"&amp;(INT((A3073-1)/13)+1)</f>
        <v/>
      </c>
      <c r="E3073" t="inlineStr">
        <is>
          <t>Specialty</t>
        </is>
      </c>
      <c r="F3073">
        <f>IFERROR(INDEX(ChFormat,MATCH(E3073,ChName,0)),"")</f>
        <v/>
      </c>
      <c r="G3073" t="inlineStr">
        <is>
          <t>NS</t>
        </is>
      </c>
      <c r="H3073">
        <f>IF(A3073&lt;=NWeeks,1,0)</f>
        <v/>
      </c>
      <c r="I3073">
        <f>INDEX(ChLaunch,MATCH(E3073,ChName,0))</f>
        <v/>
      </c>
      <c r="J3073">
        <f>INDEX(ChWeeksFull,MATCH(E3073,ChName,0))</f>
        <v/>
      </c>
      <c r="K3073">
        <f>INDEX(ChRamp,MATCH(E3073,ChName,0))</f>
        <v/>
      </c>
      <c r="L3073" s="45">
        <f>MIN(1,MAX(0,(A3073-I3073+1)*RampSpeed/J3073))</f>
        <v/>
      </c>
      <c r="M3073" s="45">
        <f>IF(A3073&lt;I3073,0,IF(K3073="S-curve",L3073*L3073*(3-2*L3073),L3073))</f>
        <v/>
      </c>
      <c r="N3073" s="45">
        <f>1+(INDEX(SeasonIdx,A3073)-1)*SeasonAmp</f>
        <v/>
      </c>
      <c r="O3073" s="45">
        <f>IFERROR(INDEX(PSPct,MATCH(E3073&amp;"|"&amp;G3073,PSKey,0)),0)</f>
        <v/>
      </c>
      <c r="P3073" s="46">
        <f>INDEX(ChDoorVel,MATCH(E3073,ChName,0))*CalibScalar*(1+VelocityUplift)</f>
        <v/>
      </c>
      <c r="Q3073" s="46" t="n">
        <v>0</v>
      </c>
      <c r="R3073" s="46">
        <f>P3073*O3073*M3073*N3073*H3073</f>
        <v/>
      </c>
      <c r="S3073" s="46">
        <f>R3073*INDEX(FmtCansPerCase,MATCH(F3073,FmtName,0))</f>
        <v/>
      </c>
      <c r="T3073" s="46">
        <f>S3073/INDEX(FmtCansPerPack,MATCH(F3073,FmtName,0))</f>
        <v/>
      </c>
      <c r="U3073" s="47">
        <f>INDEX(ChBaseCP,MATCH(E3073,ChName,0))*(1+INDEX(ProvMod,MATCH(G3073,ProvCode,0)))*(1+PriceIndex)</f>
        <v/>
      </c>
      <c r="V3073" s="47">
        <f>R3073*U3073*INDEX(FmtBlendedPriceIdx,MATCH(F3073,FmtName,0))</f>
        <v/>
      </c>
      <c r="W3073" s="47">
        <f>T3073*INDEX(ProvSRP,MATCH(G3073,ProvCode,0))*(1+PriceIndex)</f>
        <v/>
      </c>
      <c r="X3073" s="47">
        <f>IF(GrossBasis="Wholesale",V3073,W3073)</f>
        <v/>
      </c>
      <c r="Y3073" s="47">
        <f>R3073*INDEX(FmtBlendedCogs,MATCH(F3073,FmtName,0))</f>
        <v/>
      </c>
      <c r="Z3073" s="47">
        <f>X3073-Y3073</f>
        <v/>
      </c>
    </row>
    <row r="3074">
      <c r="A3074" t="n">
        <v>52</v>
      </c>
      <c r="B3074" s="44">
        <f>FiscalStart+(A3074-1)*7</f>
        <v/>
      </c>
      <c r="C3074">
        <f>TEXT(B3074,"mmm yyyy")</f>
        <v/>
      </c>
      <c r="D3074">
        <f>"Q"&amp;(INT((A3074-1)/13)+1)</f>
        <v/>
      </c>
      <c r="E3074" t="inlineStr">
        <is>
          <t>Specialty</t>
        </is>
      </c>
      <c r="F3074">
        <f>IFERROR(INDEX(ChFormat,MATCH(E3074,ChName,0)),"")</f>
        <v/>
      </c>
      <c r="G3074" t="inlineStr">
        <is>
          <t>NS</t>
        </is>
      </c>
      <c r="H3074">
        <f>IF(A3074&lt;=NWeeks,1,0)</f>
        <v/>
      </c>
      <c r="I3074">
        <f>INDEX(ChLaunch,MATCH(E3074,ChName,0))</f>
        <v/>
      </c>
      <c r="J3074">
        <f>INDEX(ChWeeksFull,MATCH(E3074,ChName,0))</f>
        <v/>
      </c>
      <c r="K3074">
        <f>INDEX(ChRamp,MATCH(E3074,ChName,0))</f>
        <v/>
      </c>
      <c r="L3074" s="45">
        <f>MIN(1,MAX(0,(A3074-I3074+1)*RampSpeed/J3074))</f>
        <v/>
      </c>
      <c r="M3074" s="45">
        <f>IF(A3074&lt;I3074,0,IF(K3074="S-curve",L3074*L3074*(3-2*L3074),L3074))</f>
        <v/>
      </c>
      <c r="N3074" s="45">
        <f>1+(INDEX(SeasonIdx,A3074)-1)*SeasonAmp</f>
        <v/>
      </c>
      <c r="O3074" s="45">
        <f>IFERROR(INDEX(PSPct,MATCH(E3074&amp;"|"&amp;G3074,PSKey,0)),0)</f>
        <v/>
      </c>
      <c r="P3074" s="46">
        <f>INDEX(ChDoorVel,MATCH(E3074,ChName,0))*CalibScalar*(1+VelocityUplift)</f>
        <v/>
      </c>
      <c r="Q3074" s="46" t="n">
        <v>0</v>
      </c>
      <c r="R3074" s="46">
        <f>P3074*O3074*M3074*N3074*H3074</f>
        <v/>
      </c>
      <c r="S3074" s="46">
        <f>R3074*INDEX(FmtCansPerCase,MATCH(F3074,FmtName,0))</f>
        <v/>
      </c>
      <c r="T3074" s="46">
        <f>S3074/INDEX(FmtCansPerPack,MATCH(F3074,FmtName,0))</f>
        <v/>
      </c>
      <c r="U3074" s="47">
        <f>INDEX(ChBaseCP,MATCH(E3074,ChName,0))*(1+INDEX(ProvMod,MATCH(G3074,ProvCode,0)))*(1+PriceIndex)</f>
        <v/>
      </c>
      <c r="V3074" s="47">
        <f>R3074*U3074*INDEX(FmtBlendedPriceIdx,MATCH(F3074,FmtName,0))</f>
        <v/>
      </c>
      <c r="W3074" s="47">
        <f>T3074*INDEX(ProvSRP,MATCH(G3074,ProvCode,0))*(1+PriceIndex)</f>
        <v/>
      </c>
      <c r="X3074" s="47">
        <f>IF(GrossBasis="Wholesale",V3074,W3074)</f>
        <v/>
      </c>
      <c r="Y3074" s="47">
        <f>R3074*INDEX(FmtBlendedCogs,MATCH(F3074,FmtName,0))</f>
        <v/>
      </c>
      <c r="Z3074" s="47">
        <f>X3074-Y3074</f>
        <v/>
      </c>
    </row>
    <row r="3075">
      <c r="A3075" t="n">
        <v>53</v>
      </c>
      <c r="B3075" s="44">
        <f>FiscalStart+(A3075-1)*7</f>
        <v/>
      </c>
      <c r="C3075">
        <f>TEXT(B3075,"mmm yyyy")</f>
        <v/>
      </c>
      <c r="D3075">
        <f>"Q"&amp;(INT((A3075-1)/13)+1)</f>
        <v/>
      </c>
      <c r="E3075" t="inlineStr">
        <is>
          <t>Specialty</t>
        </is>
      </c>
      <c r="F3075">
        <f>IFERROR(INDEX(ChFormat,MATCH(E3075,ChName,0)),"")</f>
        <v/>
      </c>
      <c r="G3075" t="inlineStr">
        <is>
          <t>NS</t>
        </is>
      </c>
      <c r="H3075">
        <f>IF(A3075&lt;=NWeeks,1,0)</f>
        <v/>
      </c>
      <c r="I3075">
        <f>INDEX(ChLaunch,MATCH(E3075,ChName,0))</f>
        <v/>
      </c>
      <c r="J3075">
        <f>INDEX(ChWeeksFull,MATCH(E3075,ChName,0))</f>
        <v/>
      </c>
      <c r="K3075">
        <f>INDEX(ChRamp,MATCH(E3075,ChName,0))</f>
        <v/>
      </c>
      <c r="L3075" s="45">
        <f>MIN(1,MAX(0,(A3075-I3075+1)*RampSpeed/J3075))</f>
        <v/>
      </c>
      <c r="M3075" s="45">
        <f>IF(A3075&lt;I3075,0,IF(K3075="S-curve",L3075*L3075*(3-2*L3075),L3075))</f>
        <v/>
      </c>
      <c r="N3075" s="45">
        <f>1+(INDEX(SeasonIdx,A3075)-1)*SeasonAmp</f>
        <v/>
      </c>
      <c r="O3075" s="45">
        <f>IFERROR(INDEX(PSPct,MATCH(E3075&amp;"|"&amp;G3075,PSKey,0)),0)</f>
        <v/>
      </c>
      <c r="P3075" s="46">
        <f>INDEX(ChDoorVel,MATCH(E3075,ChName,0))*CalibScalar*(1+VelocityUplift)</f>
        <v/>
      </c>
      <c r="Q3075" s="46" t="n">
        <v>0</v>
      </c>
      <c r="R3075" s="46">
        <f>P3075*O3075*M3075*N3075*H3075</f>
        <v/>
      </c>
      <c r="S3075" s="46">
        <f>R3075*INDEX(FmtCansPerCase,MATCH(F3075,FmtName,0))</f>
        <v/>
      </c>
      <c r="T3075" s="46">
        <f>S3075/INDEX(FmtCansPerPack,MATCH(F3075,FmtName,0))</f>
        <v/>
      </c>
      <c r="U3075" s="47">
        <f>INDEX(ChBaseCP,MATCH(E3075,ChName,0))*(1+INDEX(ProvMod,MATCH(G3075,ProvCode,0)))*(1+PriceIndex)</f>
        <v/>
      </c>
      <c r="V3075" s="47">
        <f>R3075*U3075*INDEX(FmtBlendedPriceIdx,MATCH(F3075,FmtName,0))</f>
        <v/>
      </c>
      <c r="W3075" s="47">
        <f>T3075*INDEX(ProvSRP,MATCH(G3075,ProvCode,0))*(1+PriceIndex)</f>
        <v/>
      </c>
      <c r="X3075" s="47">
        <f>IF(GrossBasis="Wholesale",V3075,W3075)</f>
        <v/>
      </c>
      <c r="Y3075" s="47">
        <f>R3075*INDEX(FmtBlendedCogs,MATCH(F3075,FmtName,0))</f>
        <v/>
      </c>
      <c r="Z3075" s="47">
        <f>X3075-Y3075</f>
        <v/>
      </c>
    </row>
    <row r="3076">
      <c r="A3076" t="n">
        <v>1</v>
      </c>
      <c r="B3076" s="44">
        <f>FiscalStart+(A3076-1)*7</f>
        <v/>
      </c>
      <c r="C3076">
        <f>TEXT(B3076,"mmm yyyy")</f>
        <v/>
      </c>
      <c r="D3076">
        <f>"Q"&amp;(INT((A3076-1)/13)+1)</f>
        <v/>
      </c>
      <c r="E3076" t="inlineStr">
        <is>
          <t>Specialty</t>
        </is>
      </c>
      <c r="F3076">
        <f>IFERROR(INDEX(ChFormat,MATCH(E3076,ChName,0)),"")</f>
        <v/>
      </c>
      <c r="G3076" t="inlineStr">
        <is>
          <t>PE</t>
        </is>
      </c>
      <c r="H3076">
        <f>IF(A3076&lt;=NWeeks,1,0)</f>
        <v/>
      </c>
      <c r="I3076">
        <f>INDEX(ChLaunch,MATCH(E3076,ChName,0))</f>
        <v/>
      </c>
      <c r="J3076">
        <f>INDEX(ChWeeksFull,MATCH(E3076,ChName,0))</f>
        <v/>
      </c>
      <c r="K3076">
        <f>INDEX(ChRamp,MATCH(E3076,ChName,0))</f>
        <v/>
      </c>
      <c r="L3076" s="45">
        <f>MIN(1,MAX(0,(A3076-I3076+1)*RampSpeed/J3076))</f>
        <v/>
      </c>
      <c r="M3076" s="45">
        <f>IF(A3076&lt;I3076,0,IF(K3076="S-curve",L3076*L3076*(3-2*L3076),L3076))</f>
        <v/>
      </c>
      <c r="N3076" s="45">
        <f>1+(INDEX(SeasonIdx,A3076)-1)*SeasonAmp</f>
        <v/>
      </c>
      <c r="O3076" s="45">
        <f>IFERROR(INDEX(PSPct,MATCH(E3076&amp;"|"&amp;G3076,PSKey,0)),0)</f>
        <v/>
      </c>
      <c r="P3076" s="46">
        <f>INDEX(ChDoorVel,MATCH(E3076,ChName,0))*CalibScalar*(1+VelocityUplift)</f>
        <v/>
      </c>
      <c r="Q3076" s="46" t="n">
        <v>0</v>
      </c>
      <c r="R3076" s="46">
        <f>P3076*O3076*M3076*N3076*H3076</f>
        <v/>
      </c>
      <c r="S3076" s="46">
        <f>R3076*INDEX(FmtCansPerCase,MATCH(F3076,FmtName,0))</f>
        <v/>
      </c>
      <c r="T3076" s="46">
        <f>S3076/INDEX(FmtCansPerPack,MATCH(F3076,FmtName,0))</f>
        <v/>
      </c>
      <c r="U3076" s="47">
        <f>INDEX(ChBaseCP,MATCH(E3076,ChName,0))*(1+INDEX(ProvMod,MATCH(G3076,ProvCode,0)))*(1+PriceIndex)</f>
        <v/>
      </c>
      <c r="V3076" s="47">
        <f>R3076*U3076*INDEX(FmtBlendedPriceIdx,MATCH(F3076,FmtName,0))</f>
        <v/>
      </c>
      <c r="W3076" s="47">
        <f>T3076*INDEX(ProvSRP,MATCH(G3076,ProvCode,0))*(1+PriceIndex)</f>
        <v/>
      </c>
      <c r="X3076" s="47">
        <f>IF(GrossBasis="Wholesale",V3076,W3076)</f>
        <v/>
      </c>
      <c r="Y3076" s="47">
        <f>R3076*INDEX(FmtBlendedCogs,MATCH(F3076,FmtName,0))</f>
        <v/>
      </c>
      <c r="Z3076" s="47">
        <f>X3076-Y3076</f>
        <v/>
      </c>
    </row>
    <row r="3077">
      <c r="A3077" t="n">
        <v>2</v>
      </c>
      <c r="B3077" s="44">
        <f>FiscalStart+(A3077-1)*7</f>
        <v/>
      </c>
      <c r="C3077">
        <f>TEXT(B3077,"mmm yyyy")</f>
        <v/>
      </c>
      <c r="D3077">
        <f>"Q"&amp;(INT((A3077-1)/13)+1)</f>
        <v/>
      </c>
      <c r="E3077" t="inlineStr">
        <is>
          <t>Specialty</t>
        </is>
      </c>
      <c r="F3077">
        <f>IFERROR(INDEX(ChFormat,MATCH(E3077,ChName,0)),"")</f>
        <v/>
      </c>
      <c r="G3077" t="inlineStr">
        <is>
          <t>PE</t>
        </is>
      </c>
      <c r="H3077">
        <f>IF(A3077&lt;=NWeeks,1,0)</f>
        <v/>
      </c>
      <c r="I3077">
        <f>INDEX(ChLaunch,MATCH(E3077,ChName,0))</f>
        <v/>
      </c>
      <c r="J3077">
        <f>INDEX(ChWeeksFull,MATCH(E3077,ChName,0))</f>
        <v/>
      </c>
      <c r="K3077">
        <f>INDEX(ChRamp,MATCH(E3077,ChName,0))</f>
        <v/>
      </c>
      <c r="L3077" s="45">
        <f>MIN(1,MAX(0,(A3077-I3077+1)*RampSpeed/J3077))</f>
        <v/>
      </c>
      <c r="M3077" s="45">
        <f>IF(A3077&lt;I3077,0,IF(K3077="S-curve",L3077*L3077*(3-2*L3077),L3077))</f>
        <v/>
      </c>
      <c r="N3077" s="45">
        <f>1+(INDEX(SeasonIdx,A3077)-1)*SeasonAmp</f>
        <v/>
      </c>
      <c r="O3077" s="45">
        <f>IFERROR(INDEX(PSPct,MATCH(E3077&amp;"|"&amp;G3077,PSKey,0)),0)</f>
        <v/>
      </c>
      <c r="P3077" s="46">
        <f>INDEX(ChDoorVel,MATCH(E3077,ChName,0))*CalibScalar*(1+VelocityUplift)</f>
        <v/>
      </c>
      <c r="Q3077" s="46" t="n">
        <v>0</v>
      </c>
      <c r="R3077" s="46">
        <f>P3077*O3077*M3077*N3077*H3077</f>
        <v/>
      </c>
      <c r="S3077" s="46">
        <f>R3077*INDEX(FmtCansPerCase,MATCH(F3077,FmtName,0))</f>
        <v/>
      </c>
      <c r="T3077" s="46">
        <f>S3077/INDEX(FmtCansPerPack,MATCH(F3077,FmtName,0))</f>
        <v/>
      </c>
      <c r="U3077" s="47">
        <f>INDEX(ChBaseCP,MATCH(E3077,ChName,0))*(1+INDEX(ProvMod,MATCH(G3077,ProvCode,0)))*(1+PriceIndex)</f>
        <v/>
      </c>
      <c r="V3077" s="47">
        <f>R3077*U3077*INDEX(FmtBlendedPriceIdx,MATCH(F3077,FmtName,0))</f>
        <v/>
      </c>
      <c r="W3077" s="47">
        <f>T3077*INDEX(ProvSRP,MATCH(G3077,ProvCode,0))*(1+PriceIndex)</f>
        <v/>
      </c>
      <c r="X3077" s="47">
        <f>IF(GrossBasis="Wholesale",V3077,W3077)</f>
        <v/>
      </c>
      <c r="Y3077" s="47">
        <f>R3077*INDEX(FmtBlendedCogs,MATCH(F3077,FmtName,0))</f>
        <v/>
      </c>
      <c r="Z3077" s="47">
        <f>X3077-Y3077</f>
        <v/>
      </c>
    </row>
    <row r="3078">
      <c r="A3078" t="n">
        <v>3</v>
      </c>
      <c r="B3078" s="44">
        <f>FiscalStart+(A3078-1)*7</f>
        <v/>
      </c>
      <c r="C3078">
        <f>TEXT(B3078,"mmm yyyy")</f>
        <v/>
      </c>
      <c r="D3078">
        <f>"Q"&amp;(INT((A3078-1)/13)+1)</f>
        <v/>
      </c>
      <c r="E3078" t="inlineStr">
        <is>
          <t>Specialty</t>
        </is>
      </c>
      <c r="F3078">
        <f>IFERROR(INDEX(ChFormat,MATCH(E3078,ChName,0)),"")</f>
        <v/>
      </c>
      <c r="G3078" t="inlineStr">
        <is>
          <t>PE</t>
        </is>
      </c>
      <c r="H3078">
        <f>IF(A3078&lt;=NWeeks,1,0)</f>
        <v/>
      </c>
      <c r="I3078">
        <f>INDEX(ChLaunch,MATCH(E3078,ChName,0))</f>
        <v/>
      </c>
      <c r="J3078">
        <f>INDEX(ChWeeksFull,MATCH(E3078,ChName,0))</f>
        <v/>
      </c>
      <c r="K3078">
        <f>INDEX(ChRamp,MATCH(E3078,ChName,0))</f>
        <v/>
      </c>
      <c r="L3078" s="45">
        <f>MIN(1,MAX(0,(A3078-I3078+1)*RampSpeed/J3078))</f>
        <v/>
      </c>
      <c r="M3078" s="45">
        <f>IF(A3078&lt;I3078,0,IF(K3078="S-curve",L3078*L3078*(3-2*L3078),L3078))</f>
        <v/>
      </c>
      <c r="N3078" s="45">
        <f>1+(INDEX(SeasonIdx,A3078)-1)*SeasonAmp</f>
        <v/>
      </c>
      <c r="O3078" s="45">
        <f>IFERROR(INDEX(PSPct,MATCH(E3078&amp;"|"&amp;G3078,PSKey,0)),0)</f>
        <v/>
      </c>
      <c r="P3078" s="46">
        <f>INDEX(ChDoorVel,MATCH(E3078,ChName,0))*CalibScalar*(1+VelocityUplift)</f>
        <v/>
      </c>
      <c r="Q3078" s="46" t="n">
        <v>0</v>
      </c>
      <c r="R3078" s="46">
        <f>P3078*O3078*M3078*N3078*H3078</f>
        <v/>
      </c>
      <c r="S3078" s="46">
        <f>R3078*INDEX(FmtCansPerCase,MATCH(F3078,FmtName,0))</f>
        <v/>
      </c>
      <c r="T3078" s="46">
        <f>S3078/INDEX(FmtCansPerPack,MATCH(F3078,FmtName,0))</f>
        <v/>
      </c>
      <c r="U3078" s="47">
        <f>INDEX(ChBaseCP,MATCH(E3078,ChName,0))*(1+INDEX(ProvMod,MATCH(G3078,ProvCode,0)))*(1+PriceIndex)</f>
        <v/>
      </c>
      <c r="V3078" s="47">
        <f>R3078*U3078*INDEX(FmtBlendedPriceIdx,MATCH(F3078,FmtName,0))</f>
        <v/>
      </c>
      <c r="W3078" s="47">
        <f>T3078*INDEX(ProvSRP,MATCH(G3078,ProvCode,0))*(1+PriceIndex)</f>
        <v/>
      </c>
      <c r="X3078" s="47">
        <f>IF(GrossBasis="Wholesale",V3078,W3078)</f>
        <v/>
      </c>
      <c r="Y3078" s="47">
        <f>R3078*INDEX(FmtBlendedCogs,MATCH(F3078,FmtName,0))</f>
        <v/>
      </c>
      <c r="Z3078" s="47">
        <f>X3078-Y3078</f>
        <v/>
      </c>
    </row>
    <row r="3079">
      <c r="A3079" t="n">
        <v>4</v>
      </c>
      <c r="B3079" s="44">
        <f>FiscalStart+(A3079-1)*7</f>
        <v/>
      </c>
      <c r="C3079">
        <f>TEXT(B3079,"mmm yyyy")</f>
        <v/>
      </c>
      <c r="D3079">
        <f>"Q"&amp;(INT((A3079-1)/13)+1)</f>
        <v/>
      </c>
      <c r="E3079" t="inlineStr">
        <is>
          <t>Specialty</t>
        </is>
      </c>
      <c r="F3079">
        <f>IFERROR(INDEX(ChFormat,MATCH(E3079,ChName,0)),"")</f>
        <v/>
      </c>
      <c r="G3079" t="inlineStr">
        <is>
          <t>PE</t>
        </is>
      </c>
      <c r="H3079">
        <f>IF(A3079&lt;=NWeeks,1,0)</f>
        <v/>
      </c>
      <c r="I3079">
        <f>INDEX(ChLaunch,MATCH(E3079,ChName,0))</f>
        <v/>
      </c>
      <c r="J3079">
        <f>INDEX(ChWeeksFull,MATCH(E3079,ChName,0))</f>
        <v/>
      </c>
      <c r="K3079">
        <f>INDEX(ChRamp,MATCH(E3079,ChName,0))</f>
        <v/>
      </c>
      <c r="L3079" s="45">
        <f>MIN(1,MAX(0,(A3079-I3079+1)*RampSpeed/J3079))</f>
        <v/>
      </c>
      <c r="M3079" s="45">
        <f>IF(A3079&lt;I3079,0,IF(K3079="S-curve",L3079*L3079*(3-2*L3079),L3079))</f>
        <v/>
      </c>
      <c r="N3079" s="45">
        <f>1+(INDEX(SeasonIdx,A3079)-1)*SeasonAmp</f>
        <v/>
      </c>
      <c r="O3079" s="45">
        <f>IFERROR(INDEX(PSPct,MATCH(E3079&amp;"|"&amp;G3079,PSKey,0)),0)</f>
        <v/>
      </c>
      <c r="P3079" s="46">
        <f>INDEX(ChDoorVel,MATCH(E3079,ChName,0))*CalibScalar*(1+VelocityUplift)</f>
        <v/>
      </c>
      <c r="Q3079" s="46" t="n">
        <v>0</v>
      </c>
      <c r="R3079" s="46">
        <f>P3079*O3079*M3079*N3079*H3079</f>
        <v/>
      </c>
      <c r="S3079" s="46">
        <f>R3079*INDEX(FmtCansPerCase,MATCH(F3079,FmtName,0))</f>
        <v/>
      </c>
      <c r="T3079" s="46">
        <f>S3079/INDEX(FmtCansPerPack,MATCH(F3079,FmtName,0))</f>
        <v/>
      </c>
      <c r="U3079" s="47">
        <f>INDEX(ChBaseCP,MATCH(E3079,ChName,0))*(1+INDEX(ProvMod,MATCH(G3079,ProvCode,0)))*(1+PriceIndex)</f>
        <v/>
      </c>
      <c r="V3079" s="47">
        <f>R3079*U3079*INDEX(FmtBlendedPriceIdx,MATCH(F3079,FmtName,0))</f>
        <v/>
      </c>
      <c r="W3079" s="47">
        <f>T3079*INDEX(ProvSRP,MATCH(G3079,ProvCode,0))*(1+PriceIndex)</f>
        <v/>
      </c>
      <c r="X3079" s="47">
        <f>IF(GrossBasis="Wholesale",V3079,W3079)</f>
        <v/>
      </c>
      <c r="Y3079" s="47">
        <f>R3079*INDEX(FmtBlendedCogs,MATCH(F3079,FmtName,0))</f>
        <v/>
      </c>
      <c r="Z3079" s="47">
        <f>X3079-Y3079</f>
        <v/>
      </c>
    </row>
    <row r="3080">
      <c r="A3080" t="n">
        <v>5</v>
      </c>
      <c r="B3080" s="44">
        <f>FiscalStart+(A3080-1)*7</f>
        <v/>
      </c>
      <c r="C3080">
        <f>TEXT(B3080,"mmm yyyy")</f>
        <v/>
      </c>
      <c r="D3080">
        <f>"Q"&amp;(INT((A3080-1)/13)+1)</f>
        <v/>
      </c>
      <c r="E3080" t="inlineStr">
        <is>
          <t>Specialty</t>
        </is>
      </c>
      <c r="F3080">
        <f>IFERROR(INDEX(ChFormat,MATCH(E3080,ChName,0)),"")</f>
        <v/>
      </c>
      <c r="G3080" t="inlineStr">
        <is>
          <t>PE</t>
        </is>
      </c>
      <c r="H3080">
        <f>IF(A3080&lt;=NWeeks,1,0)</f>
        <v/>
      </c>
      <c r="I3080">
        <f>INDEX(ChLaunch,MATCH(E3080,ChName,0))</f>
        <v/>
      </c>
      <c r="J3080">
        <f>INDEX(ChWeeksFull,MATCH(E3080,ChName,0))</f>
        <v/>
      </c>
      <c r="K3080">
        <f>INDEX(ChRamp,MATCH(E3080,ChName,0))</f>
        <v/>
      </c>
      <c r="L3080" s="45">
        <f>MIN(1,MAX(0,(A3080-I3080+1)*RampSpeed/J3080))</f>
        <v/>
      </c>
      <c r="M3080" s="45">
        <f>IF(A3080&lt;I3080,0,IF(K3080="S-curve",L3080*L3080*(3-2*L3080),L3080))</f>
        <v/>
      </c>
      <c r="N3080" s="45">
        <f>1+(INDEX(SeasonIdx,A3080)-1)*SeasonAmp</f>
        <v/>
      </c>
      <c r="O3080" s="45">
        <f>IFERROR(INDEX(PSPct,MATCH(E3080&amp;"|"&amp;G3080,PSKey,0)),0)</f>
        <v/>
      </c>
      <c r="P3080" s="46">
        <f>INDEX(ChDoorVel,MATCH(E3080,ChName,0))*CalibScalar*(1+VelocityUplift)</f>
        <v/>
      </c>
      <c r="Q3080" s="46" t="n">
        <v>0</v>
      </c>
      <c r="R3080" s="46">
        <f>P3080*O3080*M3080*N3080*H3080</f>
        <v/>
      </c>
      <c r="S3080" s="46">
        <f>R3080*INDEX(FmtCansPerCase,MATCH(F3080,FmtName,0))</f>
        <v/>
      </c>
      <c r="T3080" s="46">
        <f>S3080/INDEX(FmtCansPerPack,MATCH(F3080,FmtName,0))</f>
        <v/>
      </c>
      <c r="U3080" s="47">
        <f>INDEX(ChBaseCP,MATCH(E3080,ChName,0))*(1+INDEX(ProvMod,MATCH(G3080,ProvCode,0)))*(1+PriceIndex)</f>
        <v/>
      </c>
      <c r="V3080" s="47">
        <f>R3080*U3080*INDEX(FmtBlendedPriceIdx,MATCH(F3080,FmtName,0))</f>
        <v/>
      </c>
      <c r="W3080" s="47">
        <f>T3080*INDEX(ProvSRP,MATCH(G3080,ProvCode,0))*(1+PriceIndex)</f>
        <v/>
      </c>
      <c r="X3080" s="47">
        <f>IF(GrossBasis="Wholesale",V3080,W3080)</f>
        <v/>
      </c>
      <c r="Y3080" s="47">
        <f>R3080*INDEX(FmtBlendedCogs,MATCH(F3080,FmtName,0))</f>
        <v/>
      </c>
      <c r="Z3080" s="47">
        <f>X3080-Y3080</f>
        <v/>
      </c>
    </row>
    <row r="3081">
      <c r="A3081" t="n">
        <v>6</v>
      </c>
      <c r="B3081" s="44">
        <f>FiscalStart+(A3081-1)*7</f>
        <v/>
      </c>
      <c r="C3081">
        <f>TEXT(B3081,"mmm yyyy")</f>
        <v/>
      </c>
      <c r="D3081">
        <f>"Q"&amp;(INT((A3081-1)/13)+1)</f>
        <v/>
      </c>
      <c r="E3081" t="inlineStr">
        <is>
          <t>Specialty</t>
        </is>
      </c>
      <c r="F3081">
        <f>IFERROR(INDEX(ChFormat,MATCH(E3081,ChName,0)),"")</f>
        <v/>
      </c>
      <c r="G3081" t="inlineStr">
        <is>
          <t>PE</t>
        </is>
      </c>
      <c r="H3081">
        <f>IF(A3081&lt;=NWeeks,1,0)</f>
        <v/>
      </c>
      <c r="I3081">
        <f>INDEX(ChLaunch,MATCH(E3081,ChName,0))</f>
        <v/>
      </c>
      <c r="J3081">
        <f>INDEX(ChWeeksFull,MATCH(E3081,ChName,0))</f>
        <v/>
      </c>
      <c r="K3081">
        <f>INDEX(ChRamp,MATCH(E3081,ChName,0))</f>
        <v/>
      </c>
      <c r="L3081" s="45">
        <f>MIN(1,MAX(0,(A3081-I3081+1)*RampSpeed/J3081))</f>
        <v/>
      </c>
      <c r="M3081" s="45">
        <f>IF(A3081&lt;I3081,0,IF(K3081="S-curve",L3081*L3081*(3-2*L3081),L3081))</f>
        <v/>
      </c>
      <c r="N3081" s="45">
        <f>1+(INDEX(SeasonIdx,A3081)-1)*SeasonAmp</f>
        <v/>
      </c>
      <c r="O3081" s="45">
        <f>IFERROR(INDEX(PSPct,MATCH(E3081&amp;"|"&amp;G3081,PSKey,0)),0)</f>
        <v/>
      </c>
      <c r="P3081" s="46">
        <f>INDEX(ChDoorVel,MATCH(E3081,ChName,0))*CalibScalar*(1+VelocityUplift)</f>
        <v/>
      </c>
      <c r="Q3081" s="46" t="n">
        <v>0</v>
      </c>
      <c r="R3081" s="46">
        <f>P3081*O3081*M3081*N3081*H3081</f>
        <v/>
      </c>
      <c r="S3081" s="46">
        <f>R3081*INDEX(FmtCansPerCase,MATCH(F3081,FmtName,0))</f>
        <v/>
      </c>
      <c r="T3081" s="46">
        <f>S3081/INDEX(FmtCansPerPack,MATCH(F3081,FmtName,0))</f>
        <v/>
      </c>
      <c r="U3081" s="47">
        <f>INDEX(ChBaseCP,MATCH(E3081,ChName,0))*(1+INDEX(ProvMod,MATCH(G3081,ProvCode,0)))*(1+PriceIndex)</f>
        <v/>
      </c>
      <c r="V3081" s="47">
        <f>R3081*U3081*INDEX(FmtBlendedPriceIdx,MATCH(F3081,FmtName,0))</f>
        <v/>
      </c>
      <c r="W3081" s="47">
        <f>T3081*INDEX(ProvSRP,MATCH(G3081,ProvCode,0))*(1+PriceIndex)</f>
        <v/>
      </c>
      <c r="X3081" s="47">
        <f>IF(GrossBasis="Wholesale",V3081,W3081)</f>
        <v/>
      </c>
      <c r="Y3081" s="47">
        <f>R3081*INDEX(FmtBlendedCogs,MATCH(F3081,FmtName,0))</f>
        <v/>
      </c>
      <c r="Z3081" s="47">
        <f>X3081-Y3081</f>
        <v/>
      </c>
    </row>
    <row r="3082">
      <c r="A3082" t="n">
        <v>7</v>
      </c>
      <c r="B3082" s="44">
        <f>FiscalStart+(A3082-1)*7</f>
        <v/>
      </c>
      <c r="C3082">
        <f>TEXT(B3082,"mmm yyyy")</f>
        <v/>
      </c>
      <c r="D3082">
        <f>"Q"&amp;(INT((A3082-1)/13)+1)</f>
        <v/>
      </c>
      <c r="E3082" t="inlineStr">
        <is>
          <t>Specialty</t>
        </is>
      </c>
      <c r="F3082">
        <f>IFERROR(INDEX(ChFormat,MATCH(E3082,ChName,0)),"")</f>
        <v/>
      </c>
      <c r="G3082" t="inlineStr">
        <is>
          <t>PE</t>
        </is>
      </c>
      <c r="H3082">
        <f>IF(A3082&lt;=NWeeks,1,0)</f>
        <v/>
      </c>
      <c r="I3082">
        <f>INDEX(ChLaunch,MATCH(E3082,ChName,0))</f>
        <v/>
      </c>
      <c r="J3082">
        <f>INDEX(ChWeeksFull,MATCH(E3082,ChName,0))</f>
        <v/>
      </c>
      <c r="K3082">
        <f>INDEX(ChRamp,MATCH(E3082,ChName,0))</f>
        <v/>
      </c>
      <c r="L3082" s="45">
        <f>MIN(1,MAX(0,(A3082-I3082+1)*RampSpeed/J3082))</f>
        <v/>
      </c>
      <c r="M3082" s="45">
        <f>IF(A3082&lt;I3082,0,IF(K3082="S-curve",L3082*L3082*(3-2*L3082),L3082))</f>
        <v/>
      </c>
      <c r="N3082" s="45">
        <f>1+(INDEX(SeasonIdx,A3082)-1)*SeasonAmp</f>
        <v/>
      </c>
      <c r="O3082" s="45">
        <f>IFERROR(INDEX(PSPct,MATCH(E3082&amp;"|"&amp;G3082,PSKey,0)),0)</f>
        <v/>
      </c>
      <c r="P3082" s="46">
        <f>INDEX(ChDoorVel,MATCH(E3082,ChName,0))*CalibScalar*(1+VelocityUplift)</f>
        <v/>
      </c>
      <c r="Q3082" s="46" t="n">
        <v>0</v>
      </c>
      <c r="R3082" s="46">
        <f>P3082*O3082*M3082*N3082*H3082</f>
        <v/>
      </c>
      <c r="S3082" s="46">
        <f>R3082*INDEX(FmtCansPerCase,MATCH(F3082,FmtName,0))</f>
        <v/>
      </c>
      <c r="T3082" s="46">
        <f>S3082/INDEX(FmtCansPerPack,MATCH(F3082,FmtName,0))</f>
        <v/>
      </c>
      <c r="U3082" s="47">
        <f>INDEX(ChBaseCP,MATCH(E3082,ChName,0))*(1+INDEX(ProvMod,MATCH(G3082,ProvCode,0)))*(1+PriceIndex)</f>
        <v/>
      </c>
      <c r="V3082" s="47">
        <f>R3082*U3082*INDEX(FmtBlendedPriceIdx,MATCH(F3082,FmtName,0))</f>
        <v/>
      </c>
      <c r="W3082" s="47">
        <f>T3082*INDEX(ProvSRP,MATCH(G3082,ProvCode,0))*(1+PriceIndex)</f>
        <v/>
      </c>
      <c r="X3082" s="47">
        <f>IF(GrossBasis="Wholesale",V3082,W3082)</f>
        <v/>
      </c>
      <c r="Y3082" s="47">
        <f>R3082*INDEX(FmtBlendedCogs,MATCH(F3082,FmtName,0))</f>
        <v/>
      </c>
      <c r="Z3082" s="47">
        <f>X3082-Y3082</f>
        <v/>
      </c>
    </row>
    <row r="3083">
      <c r="A3083" t="n">
        <v>8</v>
      </c>
      <c r="B3083" s="44">
        <f>FiscalStart+(A3083-1)*7</f>
        <v/>
      </c>
      <c r="C3083">
        <f>TEXT(B3083,"mmm yyyy")</f>
        <v/>
      </c>
      <c r="D3083">
        <f>"Q"&amp;(INT((A3083-1)/13)+1)</f>
        <v/>
      </c>
      <c r="E3083" t="inlineStr">
        <is>
          <t>Specialty</t>
        </is>
      </c>
      <c r="F3083">
        <f>IFERROR(INDEX(ChFormat,MATCH(E3083,ChName,0)),"")</f>
        <v/>
      </c>
      <c r="G3083" t="inlineStr">
        <is>
          <t>PE</t>
        </is>
      </c>
      <c r="H3083">
        <f>IF(A3083&lt;=NWeeks,1,0)</f>
        <v/>
      </c>
      <c r="I3083">
        <f>INDEX(ChLaunch,MATCH(E3083,ChName,0))</f>
        <v/>
      </c>
      <c r="J3083">
        <f>INDEX(ChWeeksFull,MATCH(E3083,ChName,0))</f>
        <v/>
      </c>
      <c r="K3083">
        <f>INDEX(ChRamp,MATCH(E3083,ChName,0))</f>
        <v/>
      </c>
      <c r="L3083" s="45">
        <f>MIN(1,MAX(0,(A3083-I3083+1)*RampSpeed/J3083))</f>
        <v/>
      </c>
      <c r="M3083" s="45">
        <f>IF(A3083&lt;I3083,0,IF(K3083="S-curve",L3083*L3083*(3-2*L3083),L3083))</f>
        <v/>
      </c>
      <c r="N3083" s="45">
        <f>1+(INDEX(SeasonIdx,A3083)-1)*SeasonAmp</f>
        <v/>
      </c>
      <c r="O3083" s="45">
        <f>IFERROR(INDEX(PSPct,MATCH(E3083&amp;"|"&amp;G3083,PSKey,0)),0)</f>
        <v/>
      </c>
      <c r="P3083" s="46">
        <f>INDEX(ChDoorVel,MATCH(E3083,ChName,0))*CalibScalar*(1+VelocityUplift)</f>
        <v/>
      </c>
      <c r="Q3083" s="46" t="n">
        <v>0</v>
      </c>
      <c r="R3083" s="46">
        <f>P3083*O3083*M3083*N3083*H3083</f>
        <v/>
      </c>
      <c r="S3083" s="46">
        <f>R3083*INDEX(FmtCansPerCase,MATCH(F3083,FmtName,0))</f>
        <v/>
      </c>
      <c r="T3083" s="46">
        <f>S3083/INDEX(FmtCansPerPack,MATCH(F3083,FmtName,0))</f>
        <v/>
      </c>
      <c r="U3083" s="47">
        <f>INDEX(ChBaseCP,MATCH(E3083,ChName,0))*(1+INDEX(ProvMod,MATCH(G3083,ProvCode,0)))*(1+PriceIndex)</f>
        <v/>
      </c>
      <c r="V3083" s="47">
        <f>R3083*U3083*INDEX(FmtBlendedPriceIdx,MATCH(F3083,FmtName,0))</f>
        <v/>
      </c>
      <c r="W3083" s="47">
        <f>T3083*INDEX(ProvSRP,MATCH(G3083,ProvCode,0))*(1+PriceIndex)</f>
        <v/>
      </c>
      <c r="X3083" s="47">
        <f>IF(GrossBasis="Wholesale",V3083,W3083)</f>
        <v/>
      </c>
      <c r="Y3083" s="47">
        <f>R3083*INDEX(FmtBlendedCogs,MATCH(F3083,FmtName,0))</f>
        <v/>
      </c>
      <c r="Z3083" s="47">
        <f>X3083-Y3083</f>
        <v/>
      </c>
    </row>
    <row r="3084">
      <c r="A3084" t="n">
        <v>9</v>
      </c>
      <c r="B3084" s="44">
        <f>FiscalStart+(A3084-1)*7</f>
        <v/>
      </c>
      <c r="C3084">
        <f>TEXT(B3084,"mmm yyyy")</f>
        <v/>
      </c>
      <c r="D3084">
        <f>"Q"&amp;(INT((A3084-1)/13)+1)</f>
        <v/>
      </c>
      <c r="E3084" t="inlineStr">
        <is>
          <t>Specialty</t>
        </is>
      </c>
      <c r="F3084">
        <f>IFERROR(INDEX(ChFormat,MATCH(E3084,ChName,0)),"")</f>
        <v/>
      </c>
      <c r="G3084" t="inlineStr">
        <is>
          <t>PE</t>
        </is>
      </c>
      <c r="H3084">
        <f>IF(A3084&lt;=NWeeks,1,0)</f>
        <v/>
      </c>
      <c r="I3084">
        <f>INDEX(ChLaunch,MATCH(E3084,ChName,0))</f>
        <v/>
      </c>
      <c r="J3084">
        <f>INDEX(ChWeeksFull,MATCH(E3084,ChName,0))</f>
        <v/>
      </c>
      <c r="K3084">
        <f>INDEX(ChRamp,MATCH(E3084,ChName,0))</f>
        <v/>
      </c>
      <c r="L3084" s="45">
        <f>MIN(1,MAX(0,(A3084-I3084+1)*RampSpeed/J3084))</f>
        <v/>
      </c>
      <c r="M3084" s="45">
        <f>IF(A3084&lt;I3084,0,IF(K3084="S-curve",L3084*L3084*(3-2*L3084),L3084))</f>
        <v/>
      </c>
      <c r="N3084" s="45">
        <f>1+(INDEX(SeasonIdx,A3084)-1)*SeasonAmp</f>
        <v/>
      </c>
      <c r="O3084" s="45">
        <f>IFERROR(INDEX(PSPct,MATCH(E3084&amp;"|"&amp;G3084,PSKey,0)),0)</f>
        <v/>
      </c>
      <c r="P3084" s="46">
        <f>INDEX(ChDoorVel,MATCH(E3084,ChName,0))*CalibScalar*(1+VelocityUplift)</f>
        <v/>
      </c>
      <c r="Q3084" s="46" t="n">
        <v>0</v>
      </c>
      <c r="R3084" s="46">
        <f>P3084*O3084*M3084*N3084*H3084</f>
        <v/>
      </c>
      <c r="S3084" s="46">
        <f>R3084*INDEX(FmtCansPerCase,MATCH(F3084,FmtName,0))</f>
        <v/>
      </c>
      <c r="T3084" s="46">
        <f>S3084/INDEX(FmtCansPerPack,MATCH(F3084,FmtName,0))</f>
        <v/>
      </c>
      <c r="U3084" s="47">
        <f>INDEX(ChBaseCP,MATCH(E3084,ChName,0))*(1+INDEX(ProvMod,MATCH(G3084,ProvCode,0)))*(1+PriceIndex)</f>
        <v/>
      </c>
      <c r="V3084" s="47">
        <f>R3084*U3084*INDEX(FmtBlendedPriceIdx,MATCH(F3084,FmtName,0))</f>
        <v/>
      </c>
      <c r="W3084" s="47">
        <f>T3084*INDEX(ProvSRP,MATCH(G3084,ProvCode,0))*(1+PriceIndex)</f>
        <v/>
      </c>
      <c r="X3084" s="47">
        <f>IF(GrossBasis="Wholesale",V3084,W3084)</f>
        <v/>
      </c>
      <c r="Y3084" s="47">
        <f>R3084*INDEX(FmtBlendedCogs,MATCH(F3084,FmtName,0))</f>
        <v/>
      </c>
      <c r="Z3084" s="47">
        <f>X3084-Y3084</f>
        <v/>
      </c>
    </row>
    <row r="3085">
      <c r="A3085" t="n">
        <v>10</v>
      </c>
      <c r="B3085" s="44">
        <f>FiscalStart+(A3085-1)*7</f>
        <v/>
      </c>
      <c r="C3085">
        <f>TEXT(B3085,"mmm yyyy")</f>
        <v/>
      </c>
      <c r="D3085">
        <f>"Q"&amp;(INT((A3085-1)/13)+1)</f>
        <v/>
      </c>
      <c r="E3085" t="inlineStr">
        <is>
          <t>Specialty</t>
        </is>
      </c>
      <c r="F3085">
        <f>IFERROR(INDEX(ChFormat,MATCH(E3085,ChName,0)),"")</f>
        <v/>
      </c>
      <c r="G3085" t="inlineStr">
        <is>
          <t>PE</t>
        </is>
      </c>
      <c r="H3085">
        <f>IF(A3085&lt;=NWeeks,1,0)</f>
        <v/>
      </c>
      <c r="I3085">
        <f>INDEX(ChLaunch,MATCH(E3085,ChName,0))</f>
        <v/>
      </c>
      <c r="J3085">
        <f>INDEX(ChWeeksFull,MATCH(E3085,ChName,0))</f>
        <v/>
      </c>
      <c r="K3085">
        <f>INDEX(ChRamp,MATCH(E3085,ChName,0))</f>
        <v/>
      </c>
      <c r="L3085" s="45">
        <f>MIN(1,MAX(0,(A3085-I3085+1)*RampSpeed/J3085))</f>
        <v/>
      </c>
      <c r="M3085" s="45">
        <f>IF(A3085&lt;I3085,0,IF(K3085="S-curve",L3085*L3085*(3-2*L3085),L3085))</f>
        <v/>
      </c>
      <c r="N3085" s="45">
        <f>1+(INDEX(SeasonIdx,A3085)-1)*SeasonAmp</f>
        <v/>
      </c>
      <c r="O3085" s="45">
        <f>IFERROR(INDEX(PSPct,MATCH(E3085&amp;"|"&amp;G3085,PSKey,0)),0)</f>
        <v/>
      </c>
      <c r="P3085" s="46">
        <f>INDEX(ChDoorVel,MATCH(E3085,ChName,0))*CalibScalar*(1+VelocityUplift)</f>
        <v/>
      </c>
      <c r="Q3085" s="46" t="n">
        <v>0</v>
      </c>
      <c r="R3085" s="46">
        <f>P3085*O3085*M3085*N3085*H3085</f>
        <v/>
      </c>
      <c r="S3085" s="46">
        <f>R3085*INDEX(FmtCansPerCase,MATCH(F3085,FmtName,0))</f>
        <v/>
      </c>
      <c r="T3085" s="46">
        <f>S3085/INDEX(FmtCansPerPack,MATCH(F3085,FmtName,0))</f>
        <v/>
      </c>
      <c r="U3085" s="47">
        <f>INDEX(ChBaseCP,MATCH(E3085,ChName,0))*(1+INDEX(ProvMod,MATCH(G3085,ProvCode,0)))*(1+PriceIndex)</f>
        <v/>
      </c>
      <c r="V3085" s="47">
        <f>R3085*U3085*INDEX(FmtBlendedPriceIdx,MATCH(F3085,FmtName,0))</f>
        <v/>
      </c>
      <c r="W3085" s="47">
        <f>T3085*INDEX(ProvSRP,MATCH(G3085,ProvCode,0))*(1+PriceIndex)</f>
        <v/>
      </c>
      <c r="X3085" s="47">
        <f>IF(GrossBasis="Wholesale",V3085,W3085)</f>
        <v/>
      </c>
      <c r="Y3085" s="47">
        <f>R3085*INDEX(FmtBlendedCogs,MATCH(F3085,FmtName,0))</f>
        <v/>
      </c>
      <c r="Z3085" s="47">
        <f>X3085-Y3085</f>
        <v/>
      </c>
    </row>
    <row r="3086">
      <c r="A3086" t="n">
        <v>11</v>
      </c>
      <c r="B3086" s="44">
        <f>FiscalStart+(A3086-1)*7</f>
        <v/>
      </c>
      <c r="C3086">
        <f>TEXT(B3086,"mmm yyyy")</f>
        <v/>
      </c>
      <c r="D3086">
        <f>"Q"&amp;(INT((A3086-1)/13)+1)</f>
        <v/>
      </c>
      <c r="E3086" t="inlineStr">
        <is>
          <t>Specialty</t>
        </is>
      </c>
      <c r="F3086">
        <f>IFERROR(INDEX(ChFormat,MATCH(E3086,ChName,0)),"")</f>
        <v/>
      </c>
      <c r="G3086" t="inlineStr">
        <is>
          <t>PE</t>
        </is>
      </c>
      <c r="H3086">
        <f>IF(A3086&lt;=NWeeks,1,0)</f>
        <v/>
      </c>
      <c r="I3086">
        <f>INDEX(ChLaunch,MATCH(E3086,ChName,0))</f>
        <v/>
      </c>
      <c r="J3086">
        <f>INDEX(ChWeeksFull,MATCH(E3086,ChName,0))</f>
        <v/>
      </c>
      <c r="K3086">
        <f>INDEX(ChRamp,MATCH(E3086,ChName,0))</f>
        <v/>
      </c>
      <c r="L3086" s="45">
        <f>MIN(1,MAX(0,(A3086-I3086+1)*RampSpeed/J3086))</f>
        <v/>
      </c>
      <c r="M3086" s="45">
        <f>IF(A3086&lt;I3086,0,IF(K3086="S-curve",L3086*L3086*(3-2*L3086),L3086))</f>
        <v/>
      </c>
      <c r="N3086" s="45">
        <f>1+(INDEX(SeasonIdx,A3086)-1)*SeasonAmp</f>
        <v/>
      </c>
      <c r="O3086" s="45">
        <f>IFERROR(INDEX(PSPct,MATCH(E3086&amp;"|"&amp;G3086,PSKey,0)),0)</f>
        <v/>
      </c>
      <c r="P3086" s="46">
        <f>INDEX(ChDoorVel,MATCH(E3086,ChName,0))*CalibScalar*(1+VelocityUplift)</f>
        <v/>
      </c>
      <c r="Q3086" s="46" t="n">
        <v>0</v>
      </c>
      <c r="R3086" s="46">
        <f>P3086*O3086*M3086*N3086*H3086</f>
        <v/>
      </c>
      <c r="S3086" s="46">
        <f>R3086*INDEX(FmtCansPerCase,MATCH(F3086,FmtName,0))</f>
        <v/>
      </c>
      <c r="T3086" s="46">
        <f>S3086/INDEX(FmtCansPerPack,MATCH(F3086,FmtName,0))</f>
        <v/>
      </c>
      <c r="U3086" s="47">
        <f>INDEX(ChBaseCP,MATCH(E3086,ChName,0))*(1+INDEX(ProvMod,MATCH(G3086,ProvCode,0)))*(1+PriceIndex)</f>
        <v/>
      </c>
      <c r="V3086" s="47">
        <f>R3086*U3086*INDEX(FmtBlendedPriceIdx,MATCH(F3086,FmtName,0))</f>
        <v/>
      </c>
      <c r="W3086" s="47">
        <f>T3086*INDEX(ProvSRP,MATCH(G3086,ProvCode,0))*(1+PriceIndex)</f>
        <v/>
      </c>
      <c r="X3086" s="47">
        <f>IF(GrossBasis="Wholesale",V3086,W3086)</f>
        <v/>
      </c>
      <c r="Y3086" s="47">
        <f>R3086*INDEX(FmtBlendedCogs,MATCH(F3086,FmtName,0))</f>
        <v/>
      </c>
      <c r="Z3086" s="47">
        <f>X3086-Y3086</f>
        <v/>
      </c>
    </row>
    <row r="3087">
      <c r="A3087" t="n">
        <v>12</v>
      </c>
      <c r="B3087" s="44">
        <f>FiscalStart+(A3087-1)*7</f>
        <v/>
      </c>
      <c r="C3087">
        <f>TEXT(B3087,"mmm yyyy")</f>
        <v/>
      </c>
      <c r="D3087">
        <f>"Q"&amp;(INT((A3087-1)/13)+1)</f>
        <v/>
      </c>
      <c r="E3087" t="inlineStr">
        <is>
          <t>Specialty</t>
        </is>
      </c>
      <c r="F3087">
        <f>IFERROR(INDEX(ChFormat,MATCH(E3087,ChName,0)),"")</f>
        <v/>
      </c>
      <c r="G3087" t="inlineStr">
        <is>
          <t>PE</t>
        </is>
      </c>
      <c r="H3087">
        <f>IF(A3087&lt;=NWeeks,1,0)</f>
        <v/>
      </c>
      <c r="I3087">
        <f>INDEX(ChLaunch,MATCH(E3087,ChName,0))</f>
        <v/>
      </c>
      <c r="J3087">
        <f>INDEX(ChWeeksFull,MATCH(E3087,ChName,0))</f>
        <v/>
      </c>
      <c r="K3087">
        <f>INDEX(ChRamp,MATCH(E3087,ChName,0))</f>
        <v/>
      </c>
      <c r="L3087" s="45">
        <f>MIN(1,MAX(0,(A3087-I3087+1)*RampSpeed/J3087))</f>
        <v/>
      </c>
      <c r="M3087" s="45">
        <f>IF(A3087&lt;I3087,0,IF(K3087="S-curve",L3087*L3087*(3-2*L3087),L3087))</f>
        <v/>
      </c>
      <c r="N3087" s="45">
        <f>1+(INDEX(SeasonIdx,A3087)-1)*SeasonAmp</f>
        <v/>
      </c>
      <c r="O3087" s="45">
        <f>IFERROR(INDEX(PSPct,MATCH(E3087&amp;"|"&amp;G3087,PSKey,0)),0)</f>
        <v/>
      </c>
      <c r="P3087" s="46">
        <f>INDEX(ChDoorVel,MATCH(E3087,ChName,0))*CalibScalar*(1+VelocityUplift)</f>
        <v/>
      </c>
      <c r="Q3087" s="46" t="n">
        <v>0</v>
      </c>
      <c r="R3087" s="46">
        <f>P3087*O3087*M3087*N3087*H3087</f>
        <v/>
      </c>
      <c r="S3087" s="46">
        <f>R3087*INDEX(FmtCansPerCase,MATCH(F3087,FmtName,0))</f>
        <v/>
      </c>
      <c r="T3087" s="46">
        <f>S3087/INDEX(FmtCansPerPack,MATCH(F3087,FmtName,0))</f>
        <v/>
      </c>
      <c r="U3087" s="47">
        <f>INDEX(ChBaseCP,MATCH(E3087,ChName,0))*(1+INDEX(ProvMod,MATCH(G3087,ProvCode,0)))*(1+PriceIndex)</f>
        <v/>
      </c>
      <c r="V3087" s="47">
        <f>R3087*U3087*INDEX(FmtBlendedPriceIdx,MATCH(F3087,FmtName,0))</f>
        <v/>
      </c>
      <c r="W3087" s="47">
        <f>T3087*INDEX(ProvSRP,MATCH(G3087,ProvCode,0))*(1+PriceIndex)</f>
        <v/>
      </c>
      <c r="X3087" s="47">
        <f>IF(GrossBasis="Wholesale",V3087,W3087)</f>
        <v/>
      </c>
      <c r="Y3087" s="47">
        <f>R3087*INDEX(FmtBlendedCogs,MATCH(F3087,FmtName,0))</f>
        <v/>
      </c>
      <c r="Z3087" s="47">
        <f>X3087-Y3087</f>
        <v/>
      </c>
    </row>
    <row r="3088">
      <c r="A3088" t="n">
        <v>13</v>
      </c>
      <c r="B3088" s="44">
        <f>FiscalStart+(A3088-1)*7</f>
        <v/>
      </c>
      <c r="C3088">
        <f>TEXT(B3088,"mmm yyyy")</f>
        <v/>
      </c>
      <c r="D3088">
        <f>"Q"&amp;(INT((A3088-1)/13)+1)</f>
        <v/>
      </c>
      <c r="E3088" t="inlineStr">
        <is>
          <t>Specialty</t>
        </is>
      </c>
      <c r="F3088">
        <f>IFERROR(INDEX(ChFormat,MATCH(E3088,ChName,0)),"")</f>
        <v/>
      </c>
      <c r="G3088" t="inlineStr">
        <is>
          <t>PE</t>
        </is>
      </c>
      <c r="H3088">
        <f>IF(A3088&lt;=NWeeks,1,0)</f>
        <v/>
      </c>
      <c r="I3088">
        <f>INDEX(ChLaunch,MATCH(E3088,ChName,0))</f>
        <v/>
      </c>
      <c r="J3088">
        <f>INDEX(ChWeeksFull,MATCH(E3088,ChName,0))</f>
        <v/>
      </c>
      <c r="K3088">
        <f>INDEX(ChRamp,MATCH(E3088,ChName,0))</f>
        <v/>
      </c>
      <c r="L3088" s="45">
        <f>MIN(1,MAX(0,(A3088-I3088+1)*RampSpeed/J3088))</f>
        <v/>
      </c>
      <c r="M3088" s="45">
        <f>IF(A3088&lt;I3088,0,IF(K3088="S-curve",L3088*L3088*(3-2*L3088),L3088))</f>
        <v/>
      </c>
      <c r="N3088" s="45">
        <f>1+(INDEX(SeasonIdx,A3088)-1)*SeasonAmp</f>
        <v/>
      </c>
      <c r="O3088" s="45">
        <f>IFERROR(INDEX(PSPct,MATCH(E3088&amp;"|"&amp;G3088,PSKey,0)),0)</f>
        <v/>
      </c>
      <c r="P3088" s="46">
        <f>INDEX(ChDoorVel,MATCH(E3088,ChName,0))*CalibScalar*(1+VelocityUplift)</f>
        <v/>
      </c>
      <c r="Q3088" s="46" t="n">
        <v>0</v>
      </c>
      <c r="R3088" s="46">
        <f>P3088*O3088*M3088*N3088*H3088</f>
        <v/>
      </c>
      <c r="S3088" s="46">
        <f>R3088*INDEX(FmtCansPerCase,MATCH(F3088,FmtName,0))</f>
        <v/>
      </c>
      <c r="T3088" s="46">
        <f>S3088/INDEX(FmtCansPerPack,MATCH(F3088,FmtName,0))</f>
        <v/>
      </c>
      <c r="U3088" s="47">
        <f>INDEX(ChBaseCP,MATCH(E3088,ChName,0))*(1+INDEX(ProvMod,MATCH(G3088,ProvCode,0)))*(1+PriceIndex)</f>
        <v/>
      </c>
      <c r="V3088" s="47">
        <f>R3088*U3088*INDEX(FmtBlendedPriceIdx,MATCH(F3088,FmtName,0))</f>
        <v/>
      </c>
      <c r="W3088" s="47">
        <f>T3088*INDEX(ProvSRP,MATCH(G3088,ProvCode,0))*(1+PriceIndex)</f>
        <v/>
      </c>
      <c r="X3088" s="47">
        <f>IF(GrossBasis="Wholesale",V3088,W3088)</f>
        <v/>
      </c>
      <c r="Y3088" s="47">
        <f>R3088*INDEX(FmtBlendedCogs,MATCH(F3088,FmtName,0))</f>
        <v/>
      </c>
      <c r="Z3088" s="47">
        <f>X3088-Y3088</f>
        <v/>
      </c>
    </row>
    <row r="3089">
      <c r="A3089" t="n">
        <v>14</v>
      </c>
      <c r="B3089" s="44">
        <f>FiscalStart+(A3089-1)*7</f>
        <v/>
      </c>
      <c r="C3089">
        <f>TEXT(B3089,"mmm yyyy")</f>
        <v/>
      </c>
      <c r="D3089">
        <f>"Q"&amp;(INT((A3089-1)/13)+1)</f>
        <v/>
      </c>
      <c r="E3089" t="inlineStr">
        <is>
          <t>Specialty</t>
        </is>
      </c>
      <c r="F3089">
        <f>IFERROR(INDEX(ChFormat,MATCH(E3089,ChName,0)),"")</f>
        <v/>
      </c>
      <c r="G3089" t="inlineStr">
        <is>
          <t>PE</t>
        </is>
      </c>
      <c r="H3089">
        <f>IF(A3089&lt;=NWeeks,1,0)</f>
        <v/>
      </c>
      <c r="I3089">
        <f>INDEX(ChLaunch,MATCH(E3089,ChName,0))</f>
        <v/>
      </c>
      <c r="J3089">
        <f>INDEX(ChWeeksFull,MATCH(E3089,ChName,0))</f>
        <v/>
      </c>
      <c r="K3089">
        <f>INDEX(ChRamp,MATCH(E3089,ChName,0))</f>
        <v/>
      </c>
      <c r="L3089" s="45">
        <f>MIN(1,MAX(0,(A3089-I3089+1)*RampSpeed/J3089))</f>
        <v/>
      </c>
      <c r="M3089" s="45">
        <f>IF(A3089&lt;I3089,0,IF(K3089="S-curve",L3089*L3089*(3-2*L3089),L3089))</f>
        <v/>
      </c>
      <c r="N3089" s="45">
        <f>1+(INDEX(SeasonIdx,A3089)-1)*SeasonAmp</f>
        <v/>
      </c>
      <c r="O3089" s="45">
        <f>IFERROR(INDEX(PSPct,MATCH(E3089&amp;"|"&amp;G3089,PSKey,0)),0)</f>
        <v/>
      </c>
      <c r="P3089" s="46">
        <f>INDEX(ChDoorVel,MATCH(E3089,ChName,0))*CalibScalar*(1+VelocityUplift)</f>
        <v/>
      </c>
      <c r="Q3089" s="46" t="n">
        <v>0</v>
      </c>
      <c r="R3089" s="46">
        <f>P3089*O3089*M3089*N3089*H3089</f>
        <v/>
      </c>
      <c r="S3089" s="46">
        <f>R3089*INDEX(FmtCansPerCase,MATCH(F3089,FmtName,0))</f>
        <v/>
      </c>
      <c r="T3089" s="46">
        <f>S3089/INDEX(FmtCansPerPack,MATCH(F3089,FmtName,0))</f>
        <v/>
      </c>
      <c r="U3089" s="47">
        <f>INDEX(ChBaseCP,MATCH(E3089,ChName,0))*(1+INDEX(ProvMod,MATCH(G3089,ProvCode,0)))*(1+PriceIndex)</f>
        <v/>
      </c>
      <c r="V3089" s="47">
        <f>R3089*U3089*INDEX(FmtBlendedPriceIdx,MATCH(F3089,FmtName,0))</f>
        <v/>
      </c>
      <c r="W3089" s="47">
        <f>T3089*INDEX(ProvSRP,MATCH(G3089,ProvCode,0))*(1+PriceIndex)</f>
        <v/>
      </c>
      <c r="X3089" s="47">
        <f>IF(GrossBasis="Wholesale",V3089,W3089)</f>
        <v/>
      </c>
      <c r="Y3089" s="47">
        <f>R3089*INDEX(FmtBlendedCogs,MATCH(F3089,FmtName,0))</f>
        <v/>
      </c>
      <c r="Z3089" s="47">
        <f>X3089-Y3089</f>
        <v/>
      </c>
    </row>
    <row r="3090">
      <c r="A3090" t="n">
        <v>15</v>
      </c>
      <c r="B3090" s="44">
        <f>FiscalStart+(A3090-1)*7</f>
        <v/>
      </c>
      <c r="C3090">
        <f>TEXT(B3090,"mmm yyyy")</f>
        <v/>
      </c>
      <c r="D3090">
        <f>"Q"&amp;(INT((A3090-1)/13)+1)</f>
        <v/>
      </c>
      <c r="E3090" t="inlineStr">
        <is>
          <t>Specialty</t>
        </is>
      </c>
      <c r="F3090">
        <f>IFERROR(INDEX(ChFormat,MATCH(E3090,ChName,0)),"")</f>
        <v/>
      </c>
      <c r="G3090" t="inlineStr">
        <is>
          <t>PE</t>
        </is>
      </c>
      <c r="H3090">
        <f>IF(A3090&lt;=NWeeks,1,0)</f>
        <v/>
      </c>
      <c r="I3090">
        <f>INDEX(ChLaunch,MATCH(E3090,ChName,0))</f>
        <v/>
      </c>
      <c r="J3090">
        <f>INDEX(ChWeeksFull,MATCH(E3090,ChName,0))</f>
        <v/>
      </c>
      <c r="K3090">
        <f>INDEX(ChRamp,MATCH(E3090,ChName,0))</f>
        <v/>
      </c>
      <c r="L3090" s="45">
        <f>MIN(1,MAX(0,(A3090-I3090+1)*RampSpeed/J3090))</f>
        <v/>
      </c>
      <c r="M3090" s="45">
        <f>IF(A3090&lt;I3090,0,IF(K3090="S-curve",L3090*L3090*(3-2*L3090),L3090))</f>
        <v/>
      </c>
      <c r="N3090" s="45">
        <f>1+(INDEX(SeasonIdx,A3090)-1)*SeasonAmp</f>
        <v/>
      </c>
      <c r="O3090" s="45">
        <f>IFERROR(INDEX(PSPct,MATCH(E3090&amp;"|"&amp;G3090,PSKey,0)),0)</f>
        <v/>
      </c>
      <c r="P3090" s="46">
        <f>INDEX(ChDoorVel,MATCH(E3090,ChName,0))*CalibScalar*(1+VelocityUplift)</f>
        <v/>
      </c>
      <c r="Q3090" s="46" t="n">
        <v>0</v>
      </c>
      <c r="R3090" s="46">
        <f>P3090*O3090*M3090*N3090*H3090</f>
        <v/>
      </c>
      <c r="S3090" s="46">
        <f>R3090*INDEX(FmtCansPerCase,MATCH(F3090,FmtName,0))</f>
        <v/>
      </c>
      <c r="T3090" s="46">
        <f>S3090/INDEX(FmtCansPerPack,MATCH(F3090,FmtName,0))</f>
        <v/>
      </c>
      <c r="U3090" s="47">
        <f>INDEX(ChBaseCP,MATCH(E3090,ChName,0))*(1+INDEX(ProvMod,MATCH(G3090,ProvCode,0)))*(1+PriceIndex)</f>
        <v/>
      </c>
      <c r="V3090" s="47">
        <f>R3090*U3090*INDEX(FmtBlendedPriceIdx,MATCH(F3090,FmtName,0))</f>
        <v/>
      </c>
      <c r="W3090" s="47">
        <f>T3090*INDEX(ProvSRP,MATCH(G3090,ProvCode,0))*(1+PriceIndex)</f>
        <v/>
      </c>
      <c r="X3090" s="47">
        <f>IF(GrossBasis="Wholesale",V3090,W3090)</f>
        <v/>
      </c>
      <c r="Y3090" s="47">
        <f>R3090*INDEX(FmtBlendedCogs,MATCH(F3090,FmtName,0))</f>
        <v/>
      </c>
      <c r="Z3090" s="47">
        <f>X3090-Y3090</f>
        <v/>
      </c>
    </row>
    <row r="3091">
      <c r="A3091" t="n">
        <v>16</v>
      </c>
      <c r="B3091" s="44">
        <f>FiscalStart+(A3091-1)*7</f>
        <v/>
      </c>
      <c r="C3091">
        <f>TEXT(B3091,"mmm yyyy")</f>
        <v/>
      </c>
      <c r="D3091">
        <f>"Q"&amp;(INT((A3091-1)/13)+1)</f>
        <v/>
      </c>
      <c r="E3091" t="inlineStr">
        <is>
          <t>Specialty</t>
        </is>
      </c>
      <c r="F3091">
        <f>IFERROR(INDEX(ChFormat,MATCH(E3091,ChName,0)),"")</f>
        <v/>
      </c>
      <c r="G3091" t="inlineStr">
        <is>
          <t>PE</t>
        </is>
      </c>
      <c r="H3091">
        <f>IF(A3091&lt;=NWeeks,1,0)</f>
        <v/>
      </c>
      <c r="I3091">
        <f>INDEX(ChLaunch,MATCH(E3091,ChName,0))</f>
        <v/>
      </c>
      <c r="J3091">
        <f>INDEX(ChWeeksFull,MATCH(E3091,ChName,0))</f>
        <v/>
      </c>
      <c r="K3091">
        <f>INDEX(ChRamp,MATCH(E3091,ChName,0))</f>
        <v/>
      </c>
      <c r="L3091" s="45">
        <f>MIN(1,MAX(0,(A3091-I3091+1)*RampSpeed/J3091))</f>
        <v/>
      </c>
      <c r="M3091" s="45">
        <f>IF(A3091&lt;I3091,0,IF(K3091="S-curve",L3091*L3091*(3-2*L3091),L3091))</f>
        <v/>
      </c>
      <c r="N3091" s="45">
        <f>1+(INDEX(SeasonIdx,A3091)-1)*SeasonAmp</f>
        <v/>
      </c>
      <c r="O3091" s="45">
        <f>IFERROR(INDEX(PSPct,MATCH(E3091&amp;"|"&amp;G3091,PSKey,0)),0)</f>
        <v/>
      </c>
      <c r="P3091" s="46">
        <f>INDEX(ChDoorVel,MATCH(E3091,ChName,0))*CalibScalar*(1+VelocityUplift)</f>
        <v/>
      </c>
      <c r="Q3091" s="46" t="n">
        <v>0</v>
      </c>
      <c r="R3091" s="46">
        <f>P3091*O3091*M3091*N3091*H3091</f>
        <v/>
      </c>
      <c r="S3091" s="46">
        <f>R3091*INDEX(FmtCansPerCase,MATCH(F3091,FmtName,0))</f>
        <v/>
      </c>
      <c r="T3091" s="46">
        <f>S3091/INDEX(FmtCansPerPack,MATCH(F3091,FmtName,0))</f>
        <v/>
      </c>
      <c r="U3091" s="47">
        <f>INDEX(ChBaseCP,MATCH(E3091,ChName,0))*(1+INDEX(ProvMod,MATCH(G3091,ProvCode,0)))*(1+PriceIndex)</f>
        <v/>
      </c>
      <c r="V3091" s="47">
        <f>R3091*U3091*INDEX(FmtBlendedPriceIdx,MATCH(F3091,FmtName,0))</f>
        <v/>
      </c>
      <c r="W3091" s="47">
        <f>T3091*INDEX(ProvSRP,MATCH(G3091,ProvCode,0))*(1+PriceIndex)</f>
        <v/>
      </c>
      <c r="X3091" s="47">
        <f>IF(GrossBasis="Wholesale",V3091,W3091)</f>
        <v/>
      </c>
      <c r="Y3091" s="47">
        <f>R3091*INDEX(FmtBlendedCogs,MATCH(F3091,FmtName,0))</f>
        <v/>
      </c>
      <c r="Z3091" s="47">
        <f>X3091-Y3091</f>
        <v/>
      </c>
    </row>
    <row r="3092">
      <c r="A3092" t="n">
        <v>17</v>
      </c>
      <c r="B3092" s="44">
        <f>FiscalStart+(A3092-1)*7</f>
        <v/>
      </c>
      <c r="C3092">
        <f>TEXT(B3092,"mmm yyyy")</f>
        <v/>
      </c>
      <c r="D3092">
        <f>"Q"&amp;(INT((A3092-1)/13)+1)</f>
        <v/>
      </c>
      <c r="E3092" t="inlineStr">
        <is>
          <t>Specialty</t>
        </is>
      </c>
      <c r="F3092">
        <f>IFERROR(INDEX(ChFormat,MATCH(E3092,ChName,0)),"")</f>
        <v/>
      </c>
      <c r="G3092" t="inlineStr">
        <is>
          <t>PE</t>
        </is>
      </c>
      <c r="H3092">
        <f>IF(A3092&lt;=NWeeks,1,0)</f>
        <v/>
      </c>
      <c r="I3092">
        <f>INDEX(ChLaunch,MATCH(E3092,ChName,0))</f>
        <v/>
      </c>
      <c r="J3092">
        <f>INDEX(ChWeeksFull,MATCH(E3092,ChName,0))</f>
        <v/>
      </c>
      <c r="K3092">
        <f>INDEX(ChRamp,MATCH(E3092,ChName,0))</f>
        <v/>
      </c>
      <c r="L3092" s="45">
        <f>MIN(1,MAX(0,(A3092-I3092+1)*RampSpeed/J3092))</f>
        <v/>
      </c>
      <c r="M3092" s="45">
        <f>IF(A3092&lt;I3092,0,IF(K3092="S-curve",L3092*L3092*(3-2*L3092),L3092))</f>
        <v/>
      </c>
      <c r="N3092" s="45">
        <f>1+(INDEX(SeasonIdx,A3092)-1)*SeasonAmp</f>
        <v/>
      </c>
      <c r="O3092" s="45">
        <f>IFERROR(INDEX(PSPct,MATCH(E3092&amp;"|"&amp;G3092,PSKey,0)),0)</f>
        <v/>
      </c>
      <c r="P3092" s="46">
        <f>INDEX(ChDoorVel,MATCH(E3092,ChName,0))*CalibScalar*(1+VelocityUplift)</f>
        <v/>
      </c>
      <c r="Q3092" s="46" t="n">
        <v>0</v>
      </c>
      <c r="R3092" s="46">
        <f>P3092*O3092*M3092*N3092*H3092</f>
        <v/>
      </c>
      <c r="S3092" s="46">
        <f>R3092*INDEX(FmtCansPerCase,MATCH(F3092,FmtName,0))</f>
        <v/>
      </c>
      <c r="T3092" s="46">
        <f>S3092/INDEX(FmtCansPerPack,MATCH(F3092,FmtName,0))</f>
        <v/>
      </c>
      <c r="U3092" s="47">
        <f>INDEX(ChBaseCP,MATCH(E3092,ChName,0))*(1+INDEX(ProvMod,MATCH(G3092,ProvCode,0)))*(1+PriceIndex)</f>
        <v/>
      </c>
      <c r="V3092" s="47">
        <f>R3092*U3092*INDEX(FmtBlendedPriceIdx,MATCH(F3092,FmtName,0))</f>
        <v/>
      </c>
      <c r="W3092" s="47">
        <f>T3092*INDEX(ProvSRP,MATCH(G3092,ProvCode,0))*(1+PriceIndex)</f>
        <v/>
      </c>
      <c r="X3092" s="47">
        <f>IF(GrossBasis="Wholesale",V3092,W3092)</f>
        <v/>
      </c>
      <c r="Y3092" s="47">
        <f>R3092*INDEX(FmtBlendedCogs,MATCH(F3092,FmtName,0))</f>
        <v/>
      </c>
      <c r="Z3092" s="47">
        <f>X3092-Y3092</f>
        <v/>
      </c>
    </row>
    <row r="3093">
      <c r="A3093" t="n">
        <v>18</v>
      </c>
      <c r="B3093" s="44">
        <f>FiscalStart+(A3093-1)*7</f>
        <v/>
      </c>
      <c r="C3093">
        <f>TEXT(B3093,"mmm yyyy")</f>
        <v/>
      </c>
      <c r="D3093">
        <f>"Q"&amp;(INT((A3093-1)/13)+1)</f>
        <v/>
      </c>
      <c r="E3093" t="inlineStr">
        <is>
          <t>Specialty</t>
        </is>
      </c>
      <c r="F3093">
        <f>IFERROR(INDEX(ChFormat,MATCH(E3093,ChName,0)),"")</f>
        <v/>
      </c>
      <c r="G3093" t="inlineStr">
        <is>
          <t>PE</t>
        </is>
      </c>
      <c r="H3093">
        <f>IF(A3093&lt;=NWeeks,1,0)</f>
        <v/>
      </c>
      <c r="I3093">
        <f>INDEX(ChLaunch,MATCH(E3093,ChName,0))</f>
        <v/>
      </c>
      <c r="J3093">
        <f>INDEX(ChWeeksFull,MATCH(E3093,ChName,0))</f>
        <v/>
      </c>
      <c r="K3093">
        <f>INDEX(ChRamp,MATCH(E3093,ChName,0))</f>
        <v/>
      </c>
      <c r="L3093" s="45">
        <f>MIN(1,MAX(0,(A3093-I3093+1)*RampSpeed/J3093))</f>
        <v/>
      </c>
      <c r="M3093" s="45">
        <f>IF(A3093&lt;I3093,0,IF(K3093="S-curve",L3093*L3093*(3-2*L3093),L3093))</f>
        <v/>
      </c>
      <c r="N3093" s="45">
        <f>1+(INDEX(SeasonIdx,A3093)-1)*SeasonAmp</f>
        <v/>
      </c>
      <c r="O3093" s="45">
        <f>IFERROR(INDEX(PSPct,MATCH(E3093&amp;"|"&amp;G3093,PSKey,0)),0)</f>
        <v/>
      </c>
      <c r="P3093" s="46">
        <f>INDEX(ChDoorVel,MATCH(E3093,ChName,0))*CalibScalar*(1+VelocityUplift)</f>
        <v/>
      </c>
      <c r="Q3093" s="46" t="n">
        <v>0</v>
      </c>
      <c r="R3093" s="46">
        <f>P3093*O3093*M3093*N3093*H3093</f>
        <v/>
      </c>
      <c r="S3093" s="46">
        <f>R3093*INDEX(FmtCansPerCase,MATCH(F3093,FmtName,0))</f>
        <v/>
      </c>
      <c r="T3093" s="46">
        <f>S3093/INDEX(FmtCansPerPack,MATCH(F3093,FmtName,0))</f>
        <v/>
      </c>
      <c r="U3093" s="47">
        <f>INDEX(ChBaseCP,MATCH(E3093,ChName,0))*(1+INDEX(ProvMod,MATCH(G3093,ProvCode,0)))*(1+PriceIndex)</f>
        <v/>
      </c>
      <c r="V3093" s="47">
        <f>R3093*U3093*INDEX(FmtBlendedPriceIdx,MATCH(F3093,FmtName,0))</f>
        <v/>
      </c>
      <c r="W3093" s="47">
        <f>T3093*INDEX(ProvSRP,MATCH(G3093,ProvCode,0))*(1+PriceIndex)</f>
        <v/>
      </c>
      <c r="X3093" s="47">
        <f>IF(GrossBasis="Wholesale",V3093,W3093)</f>
        <v/>
      </c>
      <c r="Y3093" s="47">
        <f>R3093*INDEX(FmtBlendedCogs,MATCH(F3093,FmtName,0))</f>
        <v/>
      </c>
      <c r="Z3093" s="47">
        <f>X3093-Y3093</f>
        <v/>
      </c>
    </row>
    <row r="3094">
      <c r="A3094" t="n">
        <v>19</v>
      </c>
      <c r="B3094" s="44">
        <f>FiscalStart+(A3094-1)*7</f>
        <v/>
      </c>
      <c r="C3094">
        <f>TEXT(B3094,"mmm yyyy")</f>
        <v/>
      </c>
      <c r="D3094">
        <f>"Q"&amp;(INT((A3094-1)/13)+1)</f>
        <v/>
      </c>
      <c r="E3094" t="inlineStr">
        <is>
          <t>Specialty</t>
        </is>
      </c>
      <c r="F3094">
        <f>IFERROR(INDEX(ChFormat,MATCH(E3094,ChName,0)),"")</f>
        <v/>
      </c>
      <c r="G3094" t="inlineStr">
        <is>
          <t>PE</t>
        </is>
      </c>
      <c r="H3094">
        <f>IF(A3094&lt;=NWeeks,1,0)</f>
        <v/>
      </c>
      <c r="I3094">
        <f>INDEX(ChLaunch,MATCH(E3094,ChName,0))</f>
        <v/>
      </c>
      <c r="J3094">
        <f>INDEX(ChWeeksFull,MATCH(E3094,ChName,0))</f>
        <v/>
      </c>
      <c r="K3094">
        <f>INDEX(ChRamp,MATCH(E3094,ChName,0))</f>
        <v/>
      </c>
      <c r="L3094" s="45">
        <f>MIN(1,MAX(0,(A3094-I3094+1)*RampSpeed/J3094))</f>
        <v/>
      </c>
      <c r="M3094" s="45">
        <f>IF(A3094&lt;I3094,0,IF(K3094="S-curve",L3094*L3094*(3-2*L3094),L3094))</f>
        <v/>
      </c>
      <c r="N3094" s="45">
        <f>1+(INDEX(SeasonIdx,A3094)-1)*SeasonAmp</f>
        <v/>
      </c>
      <c r="O3094" s="45">
        <f>IFERROR(INDEX(PSPct,MATCH(E3094&amp;"|"&amp;G3094,PSKey,0)),0)</f>
        <v/>
      </c>
      <c r="P3094" s="46">
        <f>INDEX(ChDoorVel,MATCH(E3094,ChName,0))*CalibScalar*(1+VelocityUplift)</f>
        <v/>
      </c>
      <c r="Q3094" s="46" t="n">
        <v>0</v>
      </c>
      <c r="R3094" s="46">
        <f>P3094*O3094*M3094*N3094*H3094</f>
        <v/>
      </c>
      <c r="S3094" s="46">
        <f>R3094*INDEX(FmtCansPerCase,MATCH(F3094,FmtName,0))</f>
        <v/>
      </c>
      <c r="T3094" s="46">
        <f>S3094/INDEX(FmtCansPerPack,MATCH(F3094,FmtName,0))</f>
        <v/>
      </c>
      <c r="U3094" s="47">
        <f>INDEX(ChBaseCP,MATCH(E3094,ChName,0))*(1+INDEX(ProvMod,MATCH(G3094,ProvCode,0)))*(1+PriceIndex)</f>
        <v/>
      </c>
      <c r="V3094" s="47">
        <f>R3094*U3094*INDEX(FmtBlendedPriceIdx,MATCH(F3094,FmtName,0))</f>
        <v/>
      </c>
      <c r="W3094" s="47">
        <f>T3094*INDEX(ProvSRP,MATCH(G3094,ProvCode,0))*(1+PriceIndex)</f>
        <v/>
      </c>
      <c r="X3094" s="47">
        <f>IF(GrossBasis="Wholesale",V3094,W3094)</f>
        <v/>
      </c>
      <c r="Y3094" s="47">
        <f>R3094*INDEX(FmtBlendedCogs,MATCH(F3094,FmtName,0))</f>
        <v/>
      </c>
      <c r="Z3094" s="47">
        <f>X3094-Y3094</f>
        <v/>
      </c>
    </row>
    <row r="3095">
      <c r="A3095" t="n">
        <v>20</v>
      </c>
      <c r="B3095" s="44">
        <f>FiscalStart+(A3095-1)*7</f>
        <v/>
      </c>
      <c r="C3095">
        <f>TEXT(B3095,"mmm yyyy")</f>
        <v/>
      </c>
      <c r="D3095">
        <f>"Q"&amp;(INT((A3095-1)/13)+1)</f>
        <v/>
      </c>
      <c r="E3095" t="inlineStr">
        <is>
          <t>Specialty</t>
        </is>
      </c>
      <c r="F3095">
        <f>IFERROR(INDEX(ChFormat,MATCH(E3095,ChName,0)),"")</f>
        <v/>
      </c>
      <c r="G3095" t="inlineStr">
        <is>
          <t>PE</t>
        </is>
      </c>
      <c r="H3095">
        <f>IF(A3095&lt;=NWeeks,1,0)</f>
        <v/>
      </c>
      <c r="I3095">
        <f>INDEX(ChLaunch,MATCH(E3095,ChName,0))</f>
        <v/>
      </c>
      <c r="J3095">
        <f>INDEX(ChWeeksFull,MATCH(E3095,ChName,0))</f>
        <v/>
      </c>
      <c r="K3095">
        <f>INDEX(ChRamp,MATCH(E3095,ChName,0))</f>
        <v/>
      </c>
      <c r="L3095" s="45">
        <f>MIN(1,MAX(0,(A3095-I3095+1)*RampSpeed/J3095))</f>
        <v/>
      </c>
      <c r="M3095" s="45">
        <f>IF(A3095&lt;I3095,0,IF(K3095="S-curve",L3095*L3095*(3-2*L3095),L3095))</f>
        <v/>
      </c>
      <c r="N3095" s="45">
        <f>1+(INDEX(SeasonIdx,A3095)-1)*SeasonAmp</f>
        <v/>
      </c>
      <c r="O3095" s="45">
        <f>IFERROR(INDEX(PSPct,MATCH(E3095&amp;"|"&amp;G3095,PSKey,0)),0)</f>
        <v/>
      </c>
      <c r="P3095" s="46">
        <f>INDEX(ChDoorVel,MATCH(E3095,ChName,0))*CalibScalar*(1+VelocityUplift)</f>
        <v/>
      </c>
      <c r="Q3095" s="46" t="n">
        <v>0</v>
      </c>
      <c r="R3095" s="46">
        <f>P3095*O3095*M3095*N3095*H3095</f>
        <v/>
      </c>
      <c r="S3095" s="46">
        <f>R3095*INDEX(FmtCansPerCase,MATCH(F3095,FmtName,0))</f>
        <v/>
      </c>
      <c r="T3095" s="46">
        <f>S3095/INDEX(FmtCansPerPack,MATCH(F3095,FmtName,0))</f>
        <v/>
      </c>
      <c r="U3095" s="47">
        <f>INDEX(ChBaseCP,MATCH(E3095,ChName,0))*(1+INDEX(ProvMod,MATCH(G3095,ProvCode,0)))*(1+PriceIndex)</f>
        <v/>
      </c>
      <c r="V3095" s="47">
        <f>R3095*U3095*INDEX(FmtBlendedPriceIdx,MATCH(F3095,FmtName,0))</f>
        <v/>
      </c>
      <c r="W3095" s="47">
        <f>T3095*INDEX(ProvSRP,MATCH(G3095,ProvCode,0))*(1+PriceIndex)</f>
        <v/>
      </c>
      <c r="X3095" s="47">
        <f>IF(GrossBasis="Wholesale",V3095,W3095)</f>
        <v/>
      </c>
      <c r="Y3095" s="47">
        <f>R3095*INDEX(FmtBlendedCogs,MATCH(F3095,FmtName,0))</f>
        <v/>
      </c>
      <c r="Z3095" s="47">
        <f>X3095-Y3095</f>
        <v/>
      </c>
    </row>
    <row r="3096">
      <c r="A3096" t="n">
        <v>21</v>
      </c>
      <c r="B3096" s="44">
        <f>FiscalStart+(A3096-1)*7</f>
        <v/>
      </c>
      <c r="C3096">
        <f>TEXT(B3096,"mmm yyyy")</f>
        <v/>
      </c>
      <c r="D3096">
        <f>"Q"&amp;(INT((A3096-1)/13)+1)</f>
        <v/>
      </c>
      <c r="E3096" t="inlineStr">
        <is>
          <t>Specialty</t>
        </is>
      </c>
      <c r="F3096">
        <f>IFERROR(INDEX(ChFormat,MATCH(E3096,ChName,0)),"")</f>
        <v/>
      </c>
      <c r="G3096" t="inlineStr">
        <is>
          <t>PE</t>
        </is>
      </c>
      <c r="H3096">
        <f>IF(A3096&lt;=NWeeks,1,0)</f>
        <v/>
      </c>
      <c r="I3096">
        <f>INDEX(ChLaunch,MATCH(E3096,ChName,0))</f>
        <v/>
      </c>
      <c r="J3096">
        <f>INDEX(ChWeeksFull,MATCH(E3096,ChName,0))</f>
        <v/>
      </c>
      <c r="K3096">
        <f>INDEX(ChRamp,MATCH(E3096,ChName,0))</f>
        <v/>
      </c>
      <c r="L3096" s="45">
        <f>MIN(1,MAX(0,(A3096-I3096+1)*RampSpeed/J3096))</f>
        <v/>
      </c>
      <c r="M3096" s="45">
        <f>IF(A3096&lt;I3096,0,IF(K3096="S-curve",L3096*L3096*(3-2*L3096),L3096))</f>
        <v/>
      </c>
      <c r="N3096" s="45">
        <f>1+(INDEX(SeasonIdx,A3096)-1)*SeasonAmp</f>
        <v/>
      </c>
      <c r="O3096" s="45">
        <f>IFERROR(INDEX(PSPct,MATCH(E3096&amp;"|"&amp;G3096,PSKey,0)),0)</f>
        <v/>
      </c>
      <c r="P3096" s="46">
        <f>INDEX(ChDoorVel,MATCH(E3096,ChName,0))*CalibScalar*(1+VelocityUplift)</f>
        <v/>
      </c>
      <c r="Q3096" s="46" t="n">
        <v>0</v>
      </c>
      <c r="R3096" s="46">
        <f>P3096*O3096*M3096*N3096*H3096</f>
        <v/>
      </c>
      <c r="S3096" s="46">
        <f>R3096*INDEX(FmtCansPerCase,MATCH(F3096,FmtName,0))</f>
        <v/>
      </c>
      <c r="T3096" s="46">
        <f>S3096/INDEX(FmtCansPerPack,MATCH(F3096,FmtName,0))</f>
        <v/>
      </c>
      <c r="U3096" s="47">
        <f>INDEX(ChBaseCP,MATCH(E3096,ChName,0))*(1+INDEX(ProvMod,MATCH(G3096,ProvCode,0)))*(1+PriceIndex)</f>
        <v/>
      </c>
      <c r="V3096" s="47">
        <f>R3096*U3096*INDEX(FmtBlendedPriceIdx,MATCH(F3096,FmtName,0))</f>
        <v/>
      </c>
      <c r="W3096" s="47">
        <f>T3096*INDEX(ProvSRP,MATCH(G3096,ProvCode,0))*(1+PriceIndex)</f>
        <v/>
      </c>
      <c r="X3096" s="47">
        <f>IF(GrossBasis="Wholesale",V3096,W3096)</f>
        <v/>
      </c>
      <c r="Y3096" s="47">
        <f>R3096*INDEX(FmtBlendedCogs,MATCH(F3096,FmtName,0))</f>
        <v/>
      </c>
      <c r="Z3096" s="47">
        <f>X3096-Y3096</f>
        <v/>
      </c>
    </row>
    <row r="3097">
      <c r="A3097" t="n">
        <v>22</v>
      </c>
      <c r="B3097" s="44">
        <f>FiscalStart+(A3097-1)*7</f>
        <v/>
      </c>
      <c r="C3097">
        <f>TEXT(B3097,"mmm yyyy")</f>
        <v/>
      </c>
      <c r="D3097">
        <f>"Q"&amp;(INT((A3097-1)/13)+1)</f>
        <v/>
      </c>
      <c r="E3097" t="inlineStr">
        <is>
          <t>Specialty</t>
        </is>
      </c>
      <c r="F3097">
        <f>IFERROR(INDEX(ChFormat,MATCH(E3097,ChName,0)),"")</f>
        <v/>
      </c>
      <c r="G3097" t="inlineStr">
        <is>
          <t>PE</t>
        </is>
      </c>
      <c r="H3097">
        <f>IF(A3097&lt;=NWeeks,1,0)</f>
        <v/>
      </c>
      <c r="I3097">
        <f>INDEX(ChLaunch,MATCH(E3097,ChName,0))</f>
        <v/>
      </c>
      <c r="J3097">
        <f>INDEX(ChWeeksFull,MATCH(E3097,ChName,0))</f>
        <v/>
      </c>
      <c r="K3097">
        <f>INDEX(ChRamp,MATCH(E3097,ChName,0))</f>
        <v/>
      </c>
      <c r="L3097" s="45">
        <f>MIN(1,MAX(0,(A3097-I3097+1)*RampSpeed/J3097))</f>
        <v/>
      </c>
      <c r="M3097" s="45">
        <f>IF(A3097&lt;I3097,0,IF(K3097="S-curve",L3097*L3097*(3-2*L3097),L3097))</f>
        <v/>
      </c>
      <c r="N3097" s="45">
        <f>1+(INDEX(SeasonIdx,A3097)-1)*SeasonAmp</f>
        <v/>
      </c>
      <c r="O3097" s="45">
        <f>IFERROR(INDEX(PSPct,MATCH(E3097&amp;"|"&amp;G3097,PSKey,0)),0)</f>
        <v/>
      </c>
      <c r="P3097" s="46">
        <f>INDEX(ChDoorVel,MATCH(E3097,ChName,0))*CalibScalar*(1+VelocityUplift)</f>
        <v/>
      </c>
      <c r="Q3097" s="46" t="n">
        <v>0</v>
      </c>
      <c r="R3097" s="46">
        <f>P3097*O3097*M3097*N3097*H3097</f>
        <v/>
      </c>
      <c r="S3097" s="46">
        <f>R3097*INDEX(FmtCansPerCase,MATCH(F3097,FmtName,0))</f>
        <v/>
      </c>
      <c r="T3097" s="46">
        <f>S3097/INDEX(FmtCansPerPack,MATCH(F3097,FmtName,0))</f>
        <v/>
      </c>
      <c r="U3097" s="47">
        <f>INDEX(ChBaseCP,MATCH(E3097,ChName,0))*(1+INDEX(ProvMod,MATCH(G3097,ProvCode,0)))*(1+PriceIndex)</f>
        <v/>
      </c>
      <c r="V3097" s="47">
        <f>R3097*U3097*INDEX(FmtBlendedPriceIdx,MATCH(F3097,FmtName,0))</f>
        <v/>
      </c>
      <c r="W3097" s="47">
        <f>T3097*INDEX(ProvSRP,MATCH(G3097,ProvCode,0))*(1+PriceIndex)</f>
        <v/>
      </c>
      <c r="X3097" s="47">
        <f>IF(GrossBasis="Wholesale",V3097,W3097)</f>
        <v/>
      </c>
      <c r="Y3097" s="47">
        <f>R3097*INDEX(FmtBlendedCogs,MATCH(F3097,FmtName,0))</f>
        <v/>
      </c>
      <c r="Z3097" s="47">
        <f>X3097-Y3097</f>
        <v/>
      </c>
    </row>
    <row r="3098">
      <c r="A3098" t="n">
        <v>23</v>
      </c>
      <c r="B3098" s="44">
        <f>FiscalStart+(A3098-1)*7</f>
        <v/>
      </c>
      <c r="C3098">
        <f>TEXT(B3098,"mmm yyyy")</f>
        <v/>
      </c>
      <c r="D3098">
        <f>"Q"&amp;(INT((A3098-1)/13)+1)</f>
        <v/>
      </c>
      <c r="E3098" t="inlineStr">
        <is>
          <t>Specialty</t>
        </is>
      </c>
      <c r="F3098">
        <f>IFERROR(INDEX(ChFormat,MATCH(E3098,ChName,0)),"")</f>
        <v/>
      </c>
      <c r="G3098" t="inlineStr">
        <is>
          <t>PE</t>
        </is>
      </c>
      <c r="H3098">
        <f>IF(A3098&lt;=NWeeks,1,0)</f>
        <v/>
      </c>
      <c r="I3098">
        <f>INDEX(ChLaunch,MATCH(E3098,ChName,0))</f>
        <v/>
      </c>
      <c r="J3098">
        <f>INDEX(ChWeeksFull,MATCH(E3098,ChName,0))</f>
        <v/>
      </c>
      <c r="K3098">
        <f>INDEX(ChRamp,MATCH(E3098,ChName,0))</f>
        <v/>
      </c>
      <c r="L3098" s="45">
        <f>MIN(1,MAX(0,(A3098-I3098+1)*RampSpeed/J3098))</f>
        <v/>
      </c>
      <c r="M3098" s="45">
        <f>IF(A3098&lt;I3098,0,IF(K3098="S-curve",L3098*L3098*(3-2*L3098),L3098))</f>
        <v/>
      </c>
      <c r="N3098" s="45">
        <f>1+(INDEX(SeasonIdx,A3098)-1)*SeasonAmp</f>
        <v/>
      </c>
      <c r="O3098" s="45">
        <f>IFERROR(INDEX(PSPct,MATCH(E3098&amp;"|"&amp;G3098,PSKey,0)),0)</f>
        <v/>
      </c>
      <c r="P3098" s="46">
        <f>INDEX(ChDoorVel,MATCH(E3098,ChName,0))*CalibScalar*(1+VelocityUplift)</f>
        <v/>
      </c>
      <c r="Q3098" s="46" t="n">
        <v>0</v>
      </c>
      <c r="R3098" s="46">
        <f>P3098*O3098*M3098*N3098*H3098</f>
        <v/>
      </c>
      <c r="S3098" s="46">
        <f>R3098*INDEX(FmtCansPerCase,MATCH(F3098,FmtName,0))</f>
        <v/>
      </c>
      <c r="T3098" s="46">
        <f>S3098/INDEX(FmtCansPerPack,MATCH(F3098,FmtName,0))</f>
        <v/>
      </c>
      <c r="U3098" s="47">
        <f>INDEX(ChBaseCP,MATCH(E3098,ChName,0))*(1+INDEX(ProvMod,MATCH(G3098,ProvCode,0)))*(1+PriceIndex)</f>
        <v/>
      </c>
      <c r="V3098" s="47">
        <f>R3098*U3098*INDEX(FmtBlendedPriceIdx,MATCH(F3098,FmtName,0))</f>
        <v/>
      </c>
      <c r="W3098" s="47">
        <f>T3098*INDEX(ProvSRP,MATCH(G3098,ProvCode,0))*(1+PriceIndex)</f>
        <v/>
      </c>
      <c r="X3098" s="47">
        <f>IF(GrossBasis="Wholesale",V3098,W3098)</f>
        <v/>
      </c>
      <c r="Y3098" s="47">
        <f>R3098*INDEX(FmtBlendedCogs,MATCH(F3098,FmtName,0))</f>
        <v/>
      </c>
      <c r="Z3098" s="47">
        <f>X3098-Y3098</f>
        <v/>
      </c>
    </row>
    <row r="3099">
      <c r="A3099" t="n">
        <v>24</v>
      </c>
      <c r="B3099" s="44">
        <f>FiscalStart+(A3099-1)*7</f>
        <v/>
      </c>
      <c r="C3099">
        <f>TEXT(B3099,"mmm yyyy")</f>
        <v/>
      </c>
      <c r="D3099">
        <f>"Q"&amp;(INT((A3099-1)/13)+1)</f>
        <v/>
      </c>
      <c r="E3099" t="inlineStr">
        <is>
          <t>Specialty</t>
        </is>
      </c>
      <c r="F3099">
        <f>IFERROR(INDEX(ChFormat,MATCH(E3099,ChName,0)),"")</f>
        <v/>
      </c>
      <c r="G3099" t="inlineStr">
        <is>
          <t>PE</t>
        </is>
      </c>
      <c r="H3099">
        <f>IF(A3099&lt;=NWeeks,1,0)</f>
        <v/>
      </c>
      <c r="I3099">
        <f>INDEX(ChLaunch,MATCH(E3099,ChName,0))</f>
        <v/>
      </c>
      <c r="J3099">
        <f>INDEX(ChWeeksFull,MATCH(E3099,ChName,0))</f>
        <v/>
      </c>
      <c r="K3099">
        <f>INDEX(ChRamp,MATCH(E3099,ChName,0))</f>
        <v/>
      </c>
      <c r="L3099" s="45">
        <f>MIN(1,MAX(0,(A3099-I3099+1)*RampSpeed/J3099))</f>
        <v/>
      </c>
      <c r="M3099" s="45">
        <f>IF(A3099&lt;I3099,0,IF(K3099="S-curve",L3099*L3099*(3-2*L3099),L3099))</f>
        <v/>
      </c>
      <c r="N3099" s="45">
        <f>1+(INDEX(SeasonIdx,A3099)-1)*SeasonAmp</f>
        <v/>
      </c>
      <c r="O3099" s="45">
        <f>IFERROR(INDEX(PSPct,MATCH(E3099&amp;"|"&amp;G3099,PSKey,0)),0)</f>
        <v/>
      </c>
      <c r="P3099" s="46">
        <f>INDEX(ChDoorVel,MATCH(E3099,ChName,0))*CalibScalar*(1+VelocityUplift)</f>
        <v/>
      </c>
      <c r="Q3099" s="46" t="n">
        <v>0</v>
      </c>
      <c r="R3099" s="46">
        <f>P3099*O3099*M3099*N3099*H3099</f>
        <v/>
      </c>
      <c r="S3099" s="46">
        <f>R3099*INDEX(FmtCansPerCase,MATCH(F3099,FmtName,0))</f>
        <v/>
      </c>
      <c r="T3099" s="46">
        <f>S3099/INDEX(FmtCansPerPack,MATCH(F3099,FmtName,0))</f>
        <v/>
      </c>
      <c r="U3099" s="47">
        <f>INDEX(ChBaseCP,MATCH(E3099,ChName,0))*(1+INDEX(ProvMod,MATCH(G3099,ProvCode,0)))*(1+PriceIndex)</f>
        <v/>
      </c>
      <c r="V3099" s="47">
        <f>R3099*U3099*INDEX(FmtBlendedPriceIdx,MATCH(F3099,FmtName,0))</f>
        <v/>
      </c>
      <c r="W3099" s="47">
        <f>T3099*INDEX(ProvSRP,MATCH(G3099,ProvCode,0))*(1+PriceIndex)</f>
        <v/>
      </c>
      <c r="X3099" s="47">
        <f>IF(GrossBasis="Wholesale",V3099,W3099)</f>
        <v/>
      </c>
      <c r="Y3099" s="47">
        <f>R3099*INDEX(FmtBlendedCogs,MATCH(F3099,FmtName,0))</f>
        <v/>
      </c>
      <c r="Z3099" s="47">
        <f>X3099-Y3099</f>
        <v/>
      </c>
    </row>
    <row r="3100">
      <c r="A3100" t="n">
        <v>25</v>
      </c>
      <c r="B3100" s="44">
        <f>FiscalStart+(A3100-1)*7</f>
        <v/>
      </c>
      <c r="C3100">
        <f>TEXT(B3100,"mmm yyyy")</f>
        <v/>
      </c>
      <c r="D3100">
        <f>"Q"&amp;(INT((A3100-1)/13)+1)</f>
        <v/>
      </c>
      <c r="E3100" t="inlineStr">
        <is>
          <t>Specialty</t>
        </is>
      </c>
      <c r="F3100">
        <f>IFERROR(INDEX(ChFormat,MATCH(E3100,ChName,0)),"")</f>
        <v/>
      </c>
      <c r="G3100" t="inlineStr">
        <is>
          <t>PE</t>
        </is>
      </c>
      <c r="H3100">
        <f>IF(A3100&lt;=NWeeks,1,0)</f>
        <v/>
      </c>
      <c r="I3100">
        <f>INDEX(ChLaunch,MATCH(E3100,ChName,0))</f>
        <v/>
      </c>
      <c r="J3100">
        <f>INDEX(ChWeeksFull,MATCH(E3100,ChName,0))</f>
        <v/>
      </c>
      <c r="K3100">
        <f>INDEX(ChRamp,MATCH(E3100,ChName,0))</f>
        <v/>
      </c>
      <c r="L3100" s="45">
        <f>MIN(1,MAX(0,(A3100-I3100+1)*RampSpeed/J3100))</f>
        <v/>
      </c>
      <c r="M3100" s="45">
        <f>IF(A3100&lt;I3100,0,IF(K3100="S-curve",L3100*L3100*(3-2*L3100),L3100))</f>
        <v/>
      </c>
      <c r="N3100" s="45">
        <f>1+(INDEX(SeasonIdx,A3100)-1)*SeasonAmp</f>
        <v/>
      </c>
      <c r="O3100" s="45">
        <f>IFERROR(INDEX(PSPct,MATCH(E3100&amp;"|"&amp;G3100,PSKey,0)),0)</f>
        <v/>
      </c>
      <c r="P3100" s="46">
        <f>INDEX(ChDoorVel,MATCH(E3100,ChName,0))*CalibScalar*(1+VelocityUplift)</f>
        <v/>
      </c>
      <c r="Q3100" s="46" t="n">
        <v>0</v>
      </c>
      <c r="R3100" s="46">
        <f>P3100*O3100*M3100*N3100*H3100</f>
        <v/>
      </c>
      <c r="S3100" s="46">
        <f>R3100*INDEX(FmtCansPerCase,MATCH(F3100,FmtName,0))</f>
        <v/>
      </c>
      <c r="T3100" s="46">
        <f>S3100/INDEX(FmtCansPerPack,MATCH(F3100,FmtName,0))</f>
        <v/>
      </c>
      <c r="U3100" s="47">
        <f>INDEX(ChBaseCP,MATCH(E3100,ChName,0))*(1+INDEX(ProvMod,MATCH(G3100,ProvCode,0)))*(1+PriceIndex)</f>
        <v/>
      </c>
      <c r="V3100" s="47">
        <f>R3100*U3100*INDEX(FmtBlendedPriceIdx,MATCH(F3100,FmtName,0))</f>
        <v/>
      </c>
      <c r="W3100" s="47">
        <f>T3100*INDEX(ProvSRP,MATCH(G3100,ProvCode,0))*(1+PriceIndex)</f>
        <v/>
      </c>
      <c r="X3100" s="47">
        <f>IF(GrossBasis="Wholesale",V3100,W3100)</f>
        <v/>
      </c>
      <c r="Y3100" s="47">
        <f>R3100*INDEX(FmtBlendedCogs,MATCH(F3100,FmtName,0))</f>
        <v/>
      </c>
      <c r="Z3100" s="47">
        <f>X3100-Y3100</f>
        <v/>
      </c>
    </row>
    <row r="3101">
      <c r="A3101" t="n">
        <v>26</v>
      </c>
      <c r="B3101" s="44">
        <f>FiscalStart+(A3101-1)*7</f>
        <v/>
      </c>
      <c r="C3101">
        <f>TEXT(B3101,"mmm yyyy")</f>
        <v/>
      </c>
      <c r="D3101">
        <f>"Q"&amp;(INT((A3101-1)/13)+1)</f>
        <v/>
      </c>
      <c r="E3101" t="inlineStr">
        <is>
          <t>Specialty</t>
        </is>
      </c>
      <c r="F3101">
        <f>IFERROR(INDEX(ChFormat,MATCH(E3101,ChName,0)),"")</f>
        <v/>
      </c>
      <c r="G3101" t="inlineStr">
        <is>
          <t>PE</t>
        </is>
      </c>
      <c r="H3101">
        <f>IF(A3101&lt;=NWeeks,1,0)</f>
        <v/>
      </c>
      <c r="I3101">
        <f>INDEX(ChLaunch,MATCH(E3101,ChName,0))</f>
        <v/>
      </c>
      <c r="J3101">
        <f>INDEX(ChWeeksFull,MATCH(E3101,ChName,0))</f>
        <v/>
      </c>
      <c r="K3101">
        <f>INDEX(ChRamp,MATCH(E3101,ChName,0))</f>
        <v/>
      </c>
      <c r="L3101" s="45">
        <f>MIN(1,MAX(0,(A3101-I3101+1)*RampSpeed/J3101))</f>
        <v/>
      </c>
      <c r="M3101" s="45">
        <f>IF(A3101&lt;I3101,0,IF(K3101="S-curve",L3101*L3101*(3-2*L3101),L3101))</f>
        <v/>
      </c>
      <c r="N3101" s="45">
        <f>1+(INDEX(SeasonIdx,A3101)-1)*SeasonAmp</f>
        <v/>
      </c>
      <c r="O3101" s="45">
        <f>IFERROR(INDEX(PSPct,MATCH(E3101&amp;"|"&amp;G3101,PSKey,0)),0)</f>
        <v/>
      </c>
      <c r="P3101" s="46">
        <f>INDEX(ChDoorVel,MATCH(E3101,ChName,0))*CalibScalar*(1+VelocityUplift)</f>
        <v/>
      </c>
      <c r="Q3101" s="46" t="n">
        <v>0</v>
      </c>
      <c r="R3101" s="46">
        <f>P3101*O3101*M3101*N3101*H3101</f>
        <v/>
      </c>
      <c r="S3101" s="46">
        <f>R3101*INDEX(FmtCansPerCase,MATCH(F3101,FmtName,0))</f>
        <v/>
      </c>
      <c r="T3101" s="46">
        <f>S3101/INDEX(FmtCansPerPack,MATCH(F3101,FmtName,0))</f>
        <v/>
      </c>
      <c r="U3101" s="47">
        <f>INDEX(ChBaseCP,MATCH(E3101,ChName,0))*(1+INDEX(ProvMod,MATCH(G3101,ProvCode,0)))*(1+PriceIndex)</f>
        <v/>
      </c>
      <c r="V3101" s="47">
        <f>R3101*U3101*INDEX(FmtBlendedPriceIdx,MATCH(F3101,FmtName,0))</f>
        <v/>
      </c>
      <c r="W3101" s="47">
        <f>T3101*INDEX(ProvSRP,MATCH(G3101,ProvCode,0))*(1+PriceIndex)</f>
        <v/>
      </c>
      <c r="X3101" s="47">
        <f>IF(GrossBasis="Wholesale",V3101,W3101)</f>
        <v/>
      </c>
      <c r="Y3101" s="47">
        <f>R3101*INDEX(FmtBlendedCogs,MATCH(F3101,FmtName,0))</f>
        <v/>
      </c>
      <c r="Z3101" s="47">
        <f>X3101-Y3101</f>
        <v/>
      </c>
    </row>
    <row r="3102">
      <c r="A3102" t="n">
        <v>27</v>
      </c>
      <c r="B3102" s="44">
        <f>FiscalStart+(A3102-1)*7</f>
        <v/>
      </c>
      <c r="C3102">
        <f>TEXT(B3102,"mmm yyyy")</f>
        <v/>
      </c>
      <c r="D3102">
        <f>"Q"&amp;(INT((A3102-1)/13)+1)</f>
        <v/>
      </c>
      <c r="E3102" t="inlineStr">
        <is>
          <t>Specialty</t>
        </is>
      </c>
      <c r="F3102">
        <f>IFERROR(INDEX(ChFormat,MATCH(E3102,ChName,0)),"")</f>
        <v/>
      </c>
      <c r="G3102" t="inlineStr">
        <is>
          <t>PE</t>
        </is>
      </c>
      <c r="H3102">
        <f>IF(A3102&lt;=NWeeks,1,0)</f>
        <v/>
      </c>
      <c r="I3102">
        <f>INDEX(ChLaunch,MATCH(E3102,ChName,0))</f>
        <v/>
      </c>
      <c r="J3102">
        <f>INDEX(ChWeeksFull,MATCH(E3102,ChName,0))</f>
        <v/>
      </c>
      <c r="K3102">
        <f>INDEX(ChRamp,MATCH(E3102,ChName,0))</f>
        <v/>
      </c>
      <c r="L3102" s="45">
        <f>MIN(1,MAX(0,(A3102-I3102+1)*RampSpeed/J3102))</f>
        <v/>
      </c>
      <c r="M3102" s="45">
        <f>IF(A3102&lt;I3102,0,IF(K3102="S-curve",L3102*L3102*(3-2*L3102),L3102))</f>
        <v/>
      </c>
      <c r="N3102" s="45">
        <f>1+(INDEX(SeasonIdx,A3102)-1)*SeasonAmp</f>
        <v/>
      </c>
      <c r="O3102" s="45">
        <f>IFERROR(INDEX(PSPct,MATCH(E3102&amp;"|"&amp;G3102,PSKey,0)),0)</f>
        <v/>
      </c>
      <c r="P3102" s="46">
        <f>INDEX(ChDoorVel,MATCH(E3102,ChName,0))*CalibScalar*(1+VelocityUplift)</f>
        <v/>
      </c>
      <c r="Q3102" s="46" t="n">
        <v>0</v>
      </c>
      <c r="R3102" s="46">
        <f>P3102*O3102*M3102*N3102*H3102</f>
        <v/>
      </c>
      <c r="S3102" s="46">
        <f>R3102*INDEX(FmtCansPerCase,MATCH(F3102,FmtName,0))</f>
        <v/>
      </c>
      <c r="T3102" s="46">
        <f>S3102/INDEX(FmtCansPerPack,MATCH(F3102,FmtName,0))</f>
        <v/>
      </c>
      <c r="U3102" s="47">
        <f>INDEX(ChBaseCP,MATCH(E3102,ChName,0))*(1+INDEX(ProvMod,MATCH(G3102,ProvCode,0)))*(1+PriceIndex)</f>
        <v/>
      </c>
      <c r="V3102" s="47">
        <f>R3102*U3102*INDEX(FmtBlendedPriceIdx,MATCH(F3102,FmtName,0))</f>
        <v/>
      </c>
      <c r="W3102" s="47">
        <f>T3102*INDEX(ProvSRP,MATCH(G3102,ProvCode,0))*(1+PriceIndex)</f>
        <v/>
      </c>
      <c r="X3102" s="47">
        <f>IF(GrossBasis="Wholesale",V3102,W3102)</f>
        <v/>
      </c>
      <c r="Y3102" s="47">
        <f>R3102*INDEX(FmtBlendedCogs,MATCH(F3102,FmtName,0))</f>
        <v/>
      </c>
      <c r="Z3102" s="47">
        <f>X3102-Y3102</f>
        <v/>
      </c>
    </row>
    <row r="3103">
      <c r="A3103" t="n">
        <v>28</v>
      </c>
      <c r="B3103" s="44">
        <f>FiscalStart+(A3103-1)*7</f>
        <v/>
      </c>
      <c r="C3103">
        <f>TEXT(B3103,"mmm yyyy")</f>
        <v/>
      </c>
      <c r="D3103">
        <f>"Q"&amp;(INT((A3103-1)/13)+1)</f>
        <v/>
      </c>
      <c r="E3103" t="inlineStr">
        <is>
          <t>Specialty</t>
        </is>
      </c>
      <c r="F3103">
        <f>IFERROR(INDEX(ChFormat,MATCH(E3103,ChName,0)),"")</f>
        <v/>
      </c>
      <c r="G3103" t="inlineStr">
        <is>
          <t>PE</t>
        </is>
      </c>
      <c r="H3103">
        <f>IF(A3103&lt;=NWeeks,1,0)</f>
        <v/>
      </c>
      <c r="I3103">
        <f>INDEX(ChLaunch,MATCH(E3103,ChName,0))</f>
        <v/>
      </c>
      <c r="J3103">
        <f>INDEX(ChWeeksFull,MATCH(E3103,ChName,0))</f>
        <v/>
      </c>
      <c r="K3103">
        <f>INDEX(ChRamp,MATCH(E3103,ChName,0))</f>
        <v/>
      </c>
      <c r="L3103" s="45">
        <f>MIN(1,MAX(0,(A3103-I3103+1)*RampSpeed/J3103))</f>
        <v/>
      </c>
      <c r="M3103" s="45">
        <f>IF(A3103&lt;I3103,0,IF(K3103="S-curve",L3103*L3103*(3-2*L3103),L3103))</f>
        <v/>
      </c>
      <c r="N3103" s="45">
        <f>1+(INDEX(SeasonIdx,A3103)-1)*SeasonAmp</f>
        <v/>
      </c>
      <c r="O3103" s="45">
        <f>IFERROR(INDEX(PSPct,MATCH(E3103&amp;"|"&amp;G3103,PSKey,0)),0)</f>
        <v/>
      </c>
      <c r="P3103" s="46">
        <f>INDEX(ChDoorVel,MATCH(E3103,ChName,0))*CalibScalar*(1+VelocityUplift)</f>
        <v/>
      </c>
      <c r="Q3103" s="46" t="n">
        <v>0</v>
      </c>
      <c r="R3103" s="46">
        <f>P3103*O3103*M3103*N3103*H3103</f>
        <v/>
      </c>
      <c r="S3103" s="46">
        <f>R3103*INDEX(FmtCansPerCase,MATCH(F3103,FmtName,0))</f>
        <v/>
      </c>
      <c r="T3103" s="46">
        <f>S3103/INDEX(FmtCansPerPack,MATCH(F3103,FmtName,0))</f>
        <v/>
      </c>
      <c r="U3103" s="47">
        <f>INDEX(ChBaseCP,MATCH(E3103,ChName,0))*(1+INDEX(ProvMod,MATCH(G3103,ProvCode,0)))*(1+PriceIndex)</f>
        <v/>
      </c>
      <c r="V3103" s="47">
        <f>R3103*U3103*INDEX(FmtBlendedPriceIdx,MATCH(F3103,FmtName,0))</f>
        <v/>
      </c>
      <c r="W3103" s="47">
        <f>T3103*INDEX(ProvSRP,MATCH(G3103,ProvCode,0))*(1+PriceIndex)</f>
        <v/>
      </c>
      <c r="X3103" s="47">
        <f>IF(GrossBasis="Wholesale",V3103,W3103)</f>
        <v/>
      </c>
      <c r="Y3103" s="47">
        <f>R3103*INDEX(FmtBlendedCogs,MATCH(F3103,FmtName,0))</f>
        <v/>
      </c>
      <c r="Z3103" s="47">
        <f>X3103-Y3103</f>
        <v/>
      </c>
    </row>
    <row r="3104">
      <c r="A3104" t="n">
        <v>29</v>
      </c>
      <c r="B3104" s="44">
        <f>FiscalStart+(A3104-1)*7</f>
        <v/>
      </c>
      <c r="C3104">
        <f>TEXT(B3104,"mmm yyyy")</f>
        <v/>
      </c>
      <c r="D3104">
        <f>"Q"&amp;(INT((A3104-1)/13)+1)</f>
        <v/>
      </c>
      <c r="E3104" t="inlineStr">
        <is>
          <t>Specialty</t>
        </is>
      </c>
      <c r="F3104">
        <f>IFERROR(INDEX(ChFormat,MATCH(E3104,ChName,0)),"")</f>
        <v/>
      </c>
      <c r="G3104" t="inlineStr">
        <is>
          <t>PE</t>
        </is>
      </c>
      <c r="H3104">
        <f>IF(A3104&lt;=NWeeks,1,0)</f>
        <v/>
      </c>
      <c r="I3104">
        <f>INDEX(ChLaunch,MATCH(E3104,ChName,0))</f>
        <v/>
      </c>
      <c r="J3104">
        <f>INDEX(ChWeeksFull,MATCH(E3104,ChName,0))</f>
        <v/>
      </c>
      <c r="K3104">
        <f>INDEX(ChRamp,MATCH(E3104,ChName,0))</f>
        <v/>
      </c>
      <c r="L3104" s="45">
        <f>MIN(1,MAX(0,(A3104-I3104+1)*RampSpeed/J3104))</f>
        <v/>
      </c>
      <c r="M3104" s="45">
        <f>IF(A3104&lt;I3104,0,IF(K3104="S-curve",L3104*L3104*(3-2*L3104),L3104))</f>
        <v/>
      </c>
      <c r="N3104" s="45">
        <f>1+(INDEX(SeasonIdx,A3104)-1)*SeasonAmp</f>
        <v/>
      </c>
      <c r="O3104" s="45">
        <f>IFERROR(INDEX(PSPct,MATCH(E3104&amp;"|"&amp;G3104,PSKey,0)),0)</f>
        <v/>
      </c>
      <c r="P3104" s="46">
        <f>INDEX(ChDoorVel,MATCH(E3104,ChName,0))*CalibScalar*(1+VelocityUplift)</f>
        <v/>
      </c>
      <c r="Q3104" s="46" t="n">
        <v>0</v>
      </c>
      <c r="R3104" s="46">
        <f>P3104*O3104*M3104*N3104*H3104</f>
        <v/>
      </c>
      <c r="S3104" s="46">
        <f>R3104*INDEX(FmtCansPerCase,MATCH(F3104,FmtName,0))</f>
        <v/>
      </c>
      <c r="T3104" s="46">
        <f>S3104/INDEX(FmtCansPerPack,MATCH(F3104,FmtName,0))</f>
        <v/>
      </c>
      <c r="U3104" s="47">
        <f>INDEX(ChBaseCP,MATCH(E3104,ChName,0))*(1+INDEX(ProvMod,MATCH(G3104,ProvCode,0)))*(1+PriceIndex)</f>
        <v/>
      </c>
      <c r="V3104" s="47">
        <f>R3104*U3104*INDEX(FmtBlendedPriceIdx,MATCH(F3104,FmtName,0))</f>
        <v/>
      </c>
      <c r="W3104" s="47">
        <f>T3104*INDEX(ProvSRP,MATCH(G3104,ProvCode,0))*(1+PriceIndex)</f>
        <v/>
      </c>
      <c r="X3104" s="47">
        <f>IF(GrossBasis="Wholesale",V3104,W3104)</f>
        <v/>
      </c>
      <c r="Y3104" s="47">
        <f>R3104*INDEX(FmtBlendedCogs,MATCH(F3104,FmtName,0))</f>
        <v/>
      </c>
      <c r="Z3104" s="47">
        <f>X3104-Y3104</f>
        <v/>
      </c>
    </row>
    <row r="3105">
      <c r="A3105" t="n">
        <v>30</v>
      </c>
      <c r="B3105" s="44">
        <f>FiscalStart+(A3105-1)*7</f>
        <v/>
      </c>
      <c r="C3105">
        <f>TEXT(B3105,"mmm yyyy")</f>
        <v/>
      </c>
      <c r="D3105">
        <f>"Q"&amp;(INT((A3105-1)/13)+1)</f>
        <v/>
      </c>
      <c r="E3105" t="inlineStr">
        <is>
          <t>Specialty</t>
        </is>
      </c>
      <c r="F3105">
        <f>IFERROR(INDEX(ChFormat,MATCH(E3105,ChName,0)),"")</f>
        <v/>
      </c>
      <c r="G3105" t="inlineStr">
        <is>
          <t>PE</t>
        </is>
      </c>
      <c r="H3105">
        <f>IF(A3105&lt;=NWeeks,1,0)</f>
        <v/>
      </c>
      <c r="I3105">
        <f>INDEX(ChLaunch,MATCH(E3105,ChName,0))</f>
        <v/>
      </c>
      <c r="J3105">
        <f>INDEX(ChWeeksFull,MATCH(E3105,ChName,0))</f>
        <v/>
      </c>
      <c r="K3105">
        <f>INDEX(ChRamp,MATCH(E3105,ChName,0))</f>
        <v/>
      </c>
      <c r="L3105" s="45">
        <f>MIN(1,MAX(0,(A3105-I3105+1)*RampSpeed/J3105))</f>
        <v/>
      </c>
      <c r="M3105" s="45">
        <f>IF(A3105&lt;I3105,0,IF(K3105="S-curve",L3105*L3105*(3-2*L3105),L3105))</f>
        <v/>
      </c>
      <c r="N3105" s="45">
        <f>1+(INDEX(SeasonIdx,A3105)-1)*SeasonAmp</f>
        <v/>
      </c>
      <c r="O3105" s="45">
        <f>IFERROR(INDEX(PSPct,MATCH(E3105&amp;"|"&amp;G3105,PSKey,0)),0)</f>
        <v/>
      </c>
      <c r="P3105" s="46">
        <f>INDEX(ChDoorVel,MATCH(E3105,ChName,0))*CalibScalar*(1+VelocityUplift)</f>
        <v/>
      </c>
      <c r="Q3105" s="46" t="n">
        <v>0</v>
      </c>
      <c r="R3105" s="46">
        <f>P3105*O3105*M3105*N3105*H3105</f>
        <v/>
      </c>
      <c r="S3105" s="46">
        <f>R3105*INDEX(FmtCansPerCase,MATCH(F3105,FmtName,0))</f>
        <v/>
      </c>
      <c r="T3105" s="46">
        <f>S3105/INDEX(FmtCansPerPack,MATCH(F3105,FmtName,0))</f>
        <v/>
      </c>
      <c r="U3105" s="47">
        <f>INDEX(ChBaseCP,MATCH(E3105,ChName,0))*(1+INDEX(ProvMod,MATCH(G3105,ProvCode,0)))*(1+PriceIndex)</f>
        <v/>
      </c>
      <c r="V3105" s="47">
        <f>R3105*U3105*INDEX(FmtBlendedPriceIdx,MATCH(F3105,FmtName,0))</f>
        <v/>
      </c>
      <c r="W3105" s="47">
        <f>T3105*INDEX(ProvSRP,MATCH(G3105,ProvCode,0))*(1+PriceIndex)</f>
        <v/>
      </c>
      <c r="X3105" s="47">
        <f>IF(GrossBasis="Wholesale",V3105,W3105)</f>
        <v/>
      </c>
      <c r="Y3105" s="47">
        <f>R3105*INDEX(FmtBlendedCogs,MATCH(F3105,FmtName,0))</f>
        <v/>
      </c>
      <c r="Z3105" s="47">
        <f>X3105-Y3105</f>
        <v/>
      </c>
    </row>
    <row r="3106">
      <c r="A3106" t="n">
        <v>31</v>
      </c>
      <c r="B3106" s="44">
        <f>FiscalStart+(A3106-1)*7</f>
        <v/>
      </c>
      <c r="C3106">
        <f>TEXT(B3106,"mmm yyyy")</f>
        <v/>
      </c>
      <c r="D3106">
        <f>"Q"&amp;(INT((A3106-1)/13)+1)</f>
        <v/>
      </c>
      <c r="E3106" t="inlineStr">
        <is>
          <t>Specialty</t>
        </is>
      </c>
      <c r="F3106">
        <f>IFERROR(INDEX(ChFormat,MATCH(E3106,ChName,0)),"")</f>
        <v/>
      </c>
      <c r="G3106" t="inlineStr">
        <is>
          <t>PE</t>
        </is>
      </c>
      <c r="H3106">
        <f>IF(A3106&lt;=NWeeks,1,0)</f>
        <v/>
      </c>
      <c r="I3106">
        <f>INDEX(ChLaunch,MATCH(E3106,ChName,0))</f>
        <v/>
      </c>
      <c r="J3106">
        <f>INDEX(ChWeeksFull,MATCH(E3106,ChName,0))</f>
        <v/>
      </c>
      <c r="K3106">
        <f>INDEX(ChRamp,MATCH(E3106,ChName,0))</f>
        <v/>
      </c>
      <c r="L3106" s="45">
        <f>MIN(1,MAX(0,(A3106-I3106+1)*RampSpeed/J3106))</f>
        <v/>
      </c>
      <c r="M3106" s="45">
        <f>IF(A3106&lt;I3106,0,IF(K3106="S-curve",L3106*L3106*(3-2*L3106),L3106))</f>
        <v/>
      </c>
      <c r="N3106" s="45">
        <f>1+(INDEX(SeasonIdx,A3106)-1)*SeasonAmp</f>
        <v/>
      </c>
      <c r="O3106" s="45">
        <f>IFERROR(INDEX(PSPct,MATCH(E3106&amp;"|"&amp;G3106,PSKey,0)),0)</f>
        <v/>
      </c>
      <c r="P3106" s="46">
        <f>INDEX(ChDoorVel,MATCH(E3106,ChName,0))*CalibScalar*(1+VelocityUplift)</f>
        <v/>
      </c>
      <c r="Q3106" s="46" t="n">
        <v>0</v>
      </c>
      <c r="R3106" s="46">
        <f>P3106*O3106*M3106*N3106*H3106</f>
        <v/>
      </c>
      <c r="S3106" s="46">
        <f>R3106*INDEX(FmtCansPerCase,MATCH(F3106,FmtName,0))</f>
        <v/>
      </c>
      <c r="T3106" s="46">
        <f>S3106/INDEX(FmtCansPerPack,MATCH(F3106,FmtName,0))</f>
        <v/>
      </c>
      <c r="U3106" s="47">
        <f>INDEX(ChBaseCP,MATCH(E3106,ChName,0))*(1+INDEX(ProvMod,MATCH(G3106,ProvCode,0)))*(1+PriceIndex)</f>
        <v/>
      </c>
      <c r="V3106" s="47">
        <f>R3106*U3106*INDEX(FmtBlendedPriceIdx,MATCH(F3106,FmtName,0))</f>
        <v/>
      </c>
      <c r="W3106" s="47">
        <f>T3106*INDEX(ProvSRP,MATCH(G3106,ProvCode,0))*(1+PriceIndex)</f>
        <v/>
      </c>
      <c r="X3106" s="47">
        <f>IF(GrossBasis="Wholesale",V3106,W3106)</f>
        <v/>
      </c>
      <c r="Y3106" s="47">
        <f>R3106*INDEX(FmtBlendedCogs,MATCH(F3106,FmtName,0))</f>
        <v/>
      </c>
      <c r="Z3106" s="47">
        <f>X3106-Y3106</f>
        <v/>
      </c>
    </row>
    <row r="3107">
      <c r="A3107" t="n">
        <v>32</v>
      </c>
      <c r="B3107" s="44">
        <f>FiscalStart+(A3107-1)*7</f>
        <v/>
      </c>
      <c r="C3107">
        <f>TEXT(B3107,"mmm yyyy")</f>
        <v/>
      </c>
      <c r="D3107">
        <f>"Q"&amp;(INT((A3107-1)/13)+1)</f>
        <v/>
      </c>
      <c r="E3107" t="inlineStr">
        <is>
          <t>Specialty</t>
        </is>
      </c>
      <c r="F3107">
        <f>IFERROR(INDEX(ChFormat,MATCH(E3107,ChName,0)),"")</f>
        <v/>
      </c>
      <c r="G3107" t="inlineStr">
        <is>
          <t>PE</t>
        </is>
      </c>
      <c r="H3107">
        <f>IF(A3107&lt;=NWeeks,1,0)</f>
        <v/>
      </c>
      <c r="I3107">
        <f>INDEX(ChLaunch,MATCH(E3107,ChName,0))</f>
        <v/>
      </c>
      <c r="J3107">
        <f>INDEX(ChWeeksFull,MATCH(E3107,ChName,0))</f>
        <v/>
      </c>
      <c r="K3107">
        <f>INDEX(ChRamp,MATCH(E3107,ChName,0))</f>
        <v/>
      </c>
      <c r="L3107" s="45">
        <f>MIN(1,MAX(0,(A3107-I3107+1)*RampSpeed/J3107))</f>
        <v/>
      </c>
      <c r="M3107" s="45">
        <f>IF(A3107&lt;I3107,0,IF(K3107="S-curve",L3107*L3107*(3-2*L3107),L3107))</f>
        <v/>
      </c>
      <c r="N3107" s="45">
        <f>1+(INDEX(SeasonIdx,A3107)-1)*SeasonAmp</f>
        <v/>
      </c>
      <c r="O3107" s="45">
        <f>IFERROR(INDEX(PSPct,MATCH(E3107&amp;"|"&amp;G3107,PSKey,0)),0)</f>
        <v/>
      </c>
      <c r="P3107" s="46">
        <f>INDEX(ChDoorVel,MATCH(E3107,ChName,0))*CalibScalar*(1+VelocityUplift)</f>
        <v/>
      </c>
      <c r="Q3107" s="46" t="n">
        <v>0</v>
      </c>
      <c r="R3107" s="46">
        <f>P3107*O3107*M3107*N3107*H3107</f>
        <v/>
      </c>
      <c r="S3107" s="46">
        <f>R3107*INDEX(FmtCansPerCase,MATCH(F3107,FmtName,0))</f>
        <v/>
      </c>
      <c r="T3107" s="46">
        <f>S3107/INDEX(FmtCansPerPack,MATCH(F3107,FmtName,0))</f>
        <v/>
      </c>
      <c r="U3107" s="47">
        <f>INDEX(ChBaseCP,MATCH(E3107,ChName,0))*(1+INDEX(ProvMod,MATCH(G3107,ProvCode,0)))*(1+PriceIndex)</f>
        <v/>
      </c>
      <c r="V3107" s="47">
        <f>R3107*U3107*INDEX(FmtBlendedPriceIdx,MATCH(F3107,FmtName,0))</f>
        <v/>
      </c>
      <c r="W3107" s="47">
        <f>T3107*INDEX(ProvSRP,MATCH(G3107,ProvCode,0))*(1+PriceIndex)</f>
        <v/>
      </c>
      <c r="X3107" s="47">
        <f>IF(GrossBasis="Wholesale",V3107,W3107)</f>
        <v/>
      </c>
      <c r="Y3107" s="47">
        <f>R3107*INDEX(FmtBlendedCogs,MATCH(F3107,FmtName,0))</f>
        <v/>
      </c>
      <c r="Z3107" s="47">
        <f>X3107-Y3107</f>
        <v/>
      </c>
    </row>
    <row r="3108">
      <c r="A3108" t="n">
        <v>33</v>
      </c>
      <c r="B3108" s="44">
        <f>FiscalStart+(A3108-1)*7</f>
        <v/>
      </c>
      <c r="C3108">
        <f>TEXT(B3108,"mmm yyyy")</f>
        <v/>
      </c>
      <c r="D3108">
        <f>"Q"&amp;(INT((A3108-1)/13)+1)</f>
        <v/>
      </c>
      <c r="E3108" t="inlineStr">
        <is>
          <t>Specialty</t>
        </is>
      </c>
      <c r="F3108">
        <f>IFERROR(INDEX(ChFormat,MATCH(E3108,ChName,0)),"")</f>
        <v/>
      </c>
      <c r="G3108" t="inlineStr">
        <is>
          <t>PE</t>
        </is>
      </c>
      <c r="H3108">
        <f>IF(A3108&lt;=NWeeks,1,0)</f>
        <v/>
      </c>
      <c r="I3108">
        <f>INDEX(ChLaunch,MATCH(E3108,ChName,0))</f>
        <v/>
      </c>
      <c r="J3108">
        <f>INDEX(ChWeeksFull,MATCH(E3108,ChName,0))</f>
        <v/>
      </c>
      <c r="K3108">
        <f>INDEX(ChRamp,MATCH(E3108,ChName,0))</f>
        <v/>
      </c>
      <c r="L3108" s="45">
        <f>MIN(1,MAX(0,(A3108-I3108+1)*RampSpeed/J3108))</f>
        <v/>
      </c>
      <c r="M3108" s="45">
        <f>IF(A3108&lt;I3108,0,IF(K3108="S-curve",L3108*L3108*(3-2*L3108),L3108))</f>
        <v/>
      </c>
      <c r="N3108" s="45">
        <f>1+(INDEX(SeasonIdx,A3108)-1)*SeasonAmp</f>
        <v/>
      </c>
      <c r="O3108" s="45">
        <f>IFERROR(INDEX(PSPct,MATCH(E3108&amp;"|"&amp;G3108,PSKey,0)),0)</f>
        <v/>
      </c>
      <c r="P3108" s="46">
        <f>INDEX(ChDoorVel,MATCH(E3108,ChName,0))*CalibScalar*(1+VelocityUplift)</f>
        <v/>
      </c>
      <c r="Q3108" s="46" t="n">
        <v>0</v>
      </c>
      <c r="R3108" s="46">
        <f>P3108*O3108*M3108*N3108*H3108</f>
        <v/>
      </c>
      <c r="S3108" s="46">
        <f>R3108*INDEX(FmtCansPerCase,MATCH(F3108,FmtName,0))</f>
        <v/>
      </c>
      <c r="T3108" s="46">
        <f>S3108/INDEX(FmtCansPerPack,MATCH(F3108,FmtName,0))</f>
        <v/>
      </c>
      <c r="U3108" s="47">
        <f>INDEX(ChBaseCP,MATCH(E3108,ChName,0))*(1+INDEX(ProvMod,MATCH(G3108,ProvCode,0)))*(1+PriceIndex)</f>
        <v/>
      </c>
      <c r="V3108" s="47">
        <f>R3108*U3108*INDEX(FmtBlendedPriceIdx,MATCH(F3108,FmtName,0))</f>
        <v/>
      </c>
      <c r="W3108" s="47">
        <f>T3108*INDEX(ProvSRP,MATCH(G3108,ProvCode,0))*(1+PriceIndex)</f>
        <v/>
      </c>
      <c r="X3108" s="47">
        <f>IF(GrossBasis="Wholesale",V3108,W3108)</f>
        <v/>
      </c>
      <c r="Y3108" s="47">
        <f>R3108*INDEX(FmtBlendedCogs,MATCH(F3108,FmtName,0))</f>
        <v/>
      </c>
      <c r="Z3108" s="47">
        <f>X3108-Y3108</f>
        <v/>
      </c>
    </row>
    <row r="3109">
      <c r="A3109" t="n">
        <v>34</v>
      </c>
      <c r="B3109" s="44">
        <f>FiscalStart+(A3109-1)*7</f>
        <v/>
      </c>
      <c r="C3109">
        <f>TEXT(B3109,"mmm yyyy")</f>
        <v/>
      </c>
      <c r="D3109">
        <f>"Q"&amp;(INT((A3109-1)/13)+1)</f>
        <v/>
      </c>
      <c r="E3109" t="inlineStr">
        <is>
          <t>Specialty</t>
        </is>
      </c>
      <c r="F3109">
        <f>IFERROR(INDEX(ChFormat,MATCH(E3109,ChName,0)),"")</f>
        <v/>
      </c>
      <c r="G3109" t="inlineStr">
        <is>
          <t>PE</t>
        </is>
      </c>
      <c r="H3109">
        <f>IF(A3109&lt;=NWeeks,1,0)</f>
        <v/>
      </c>
      <c r="I3109">
        <f>INDEX(ChLaunch,MATCH(E3109,ChName,0))</f>
        <v/>
      </c>
      <c r="J3109">
        <f>INDEX(ChWeeksFull,MATCH(E3109,ChName,0))</f>
        <v/>
      </c>
      <c r="K3109">
        <f>INDEX(ChRamp,MATCH(E3109,ChName,0))</f>
        <v/>
      </c>
      <c r="L3109" s="45">
        <f>MIN(1,MAX(0,(A3109-I3109+1)*RampSpeed/J3109))</f>
        <v/>
      </c>
      <c r="M3109" s="45">
        <f>IF(A3109&lt;I3109,0,IF(K3109="S-curve",L3109*L3109*(3-2*L3109),L3109))</f>
        <v/>
      </c>
      <c r="N3109" s="45">
        <f>1+(INDEX(SeasonIdx,A3109)-1)*SeasonAmp</f>
        <v/>
      </c>
      <c r="O3109" s="45">
        <f>IFERROR(INDEX(PSPct,MATCH(E3109&amp;"|"&amp;G3109,PSKey,0)),0)</f>
        <v/>
      </c>
      <c r="P3109" s="46">
        <f>INDEX(ChDoorVel,MATCH(E3109,ChName,0))*CalibScalar*(1+VelocityUplift)</f>
        <v/>
      </c>
      <c r="Q3109" s="46" t="n">
        <v>0</v>
      </c>
      <c r="R3109" s="46">
        <f>P3109*O3109*M3109*N3109*H3109</f>
        <v/>
      </c>
      <c r="S3109" s="46">
        <f>R3109*INDEX(FmtCansPerCase,MATCH(F3109,FmtName,0))</f>
        <v/>
      </c>
      <c r="T3109" s="46">
        <f>S3109/INDEX(FmtCansPerPack,MATCH(F3109,FmtName,0))</f>
        <v/>
      </c>
      <c r="U3109" s="47">
        <f>INDEX(ChBaseCP,MATCH(E3109,ChName,0))*(1+INDEX(ProvMod,MATCH(G3109,ProvCode,0)))*(1+PriceIndex)</f>
        <v/>
      </c>
      <c r="V3109" s="47">
        <f>R3109*U3109*INDEX(FmtBlendedPriceIdx,MATCH(F3109,FmtName,0))</f>
        <v/>
      </c>
      <c r="W3109" s="47">
        <f>T3109*INDEX(ProvSRP,MATCH(G3109,ProvCode,0))*(1+PriceIndex)</f>
        <v/>
      </c>
      <c r="X3109" s="47">
        <f>IF(GrossBasis="Wholesale",V3109,W3109)</f>
        <v/>
      </c>
      <c r="Y3109" s="47">
        <f>R3109*INDEX(FmtBlendedCogs,MATCH(F3109,FmtName,0))</f>
        <v/>
      </c>
      <c r="Z3109" s="47">
        <f>X3109-Y3109</f>
        <v/>
      </c>
    </row>
    <row r="3110">
      <c r="A3110" t="n">
        <v>35</v>
      </c>
      <c r="B3110" s="44">
        <f>FiscalStart+(A3110-1)*7</f>
        <v/>
      </c>
      <c r="C3110">
        <f>TEXT(B3110,"mmm yyyy")</f>
        <v/>
      </c>
      <c r="D3110">
        <f>"Q"&amp;(INT((A3110-1)/13)+1)</f>
        <v/>
      </c>
      <c r="E3110" t="inlineStr">
        <is>
          <t>Specialty</t>
        </is>
      </c>
      <c r="F3110">
        <f>IFERROR(INDEX(ChFormat,MATCH(E3110,ChName,0)),"")</f>
        <v/>
      </c>
      <c r="G3110" t="inlineStr">
        <is>
          <t>PE</t>
        </is>
      </c>
      <c r="H3110">
        <f>IF(A3110&lt;=NWeeks,1,0)</f>
        <v/>
      </c>
      <c r="I3110">
        <f>INDEX(ChLaunch,MATCH(E3110,ChName,0))</f>
        <v/>
      </c>
      <c r="J3110">
        <f>INDEX(ChWeeksFull,MATCH(E3110,ChName,0))</f>
        <v/>
      </c>
      <c r="K3110">
        <f>INDEX(ChRamp,MATCH(E3110,ChName,0))</f>
        <v/>
      </c>
      <c r="L3110" s="45">
        <f>MIN(1,MAX(0,(A3110-I3110+1)*RampSpeed/J3110))</f>
        <v/>
      </c>
      <c r="M3110" s="45">
        <f>IF(A3110&lt;I3110,0,IF(K3110="S-curve",L3110*L3110*(3-2*L3110),L3110))</f>
        <v/>
      </c>
      <c r="N3110" s="45">
        <f>1+(INDEX(SeasonIdx,A3110)-1)*SeasonAmp</f>
        <v/>
      </c>
      <c r="O3110" s="45">
        <f>IFERROR(INDEX(PSPct,MATCH(E3110&amp;"|"&amp;G3110,PSKey,0)),0)</f>
        <v/>
      </c>
      <c r="P3110" s="46">
        <f>INDEX(ChDoorVel,MATCH(E3110,ChName,0))*CalibScalar*(1+VelocityUplift)</f>
        <v/>
      </c>
      <c r="Q3110" s="46" t="n">
        <v>0</v>
      </c>
      <c r="R3110" s="46">
        <f>P3110*O3110*M3110*N3110*H3110</f>
        <v/>
      </c>
      <c r="S3110" s="46">
        <f>R3110*INDEX(FmtCansPerCase,MATCH(F3110,FmtName,0))</f>
        <v/>
      </c>
      <c r="T3110" s="46">
        <f>S3110/INDEX(FmtCansPerPack,MATCH(F3110,FmtName,0))</f>
        <v/>
      </c>
      <c r="U3110" s="47">
        <f>INDEX(ChBaseCP,MATCH(E3110,ChName,0))*(1+INDEX(ProvMod,MATCH(G3110,ProvCode,0)))*(1+PriceIndex)</f>
        <v/>
      </c>
      <c r="V3110" s="47">
        <f>R3110*U3110*INDEX(FmtBlendedPriceIdx,MATCH(F3110,FmtName,0))</f>
        <v/>
      </c>
      <c r="W3110" s="47">
        <f>T3110*INDEX(ProvSRP,MATCH(G3110,ProvCode,0))*(1+PriceIndex)</f>
        <v/>
      </c>
      <c r="X3110" s="47">
        <f>IF(GrossBasis="Wholesale",V3110,W3110)</f>
        <v/>
      </c>
      <c r="Y3110" s="47">
        <f>R3110*INDEX(FmtBlendedCogs,MATCH(F3110,FmtName,0))</f>
        <v/>
      </c>
      <c r="Z3110" s="47">
        <f>X3110-Y3110</f>
        <v/>
      </c>
    </row>
    <row r="3111">
      <c r="A3111" t="n">
        <v>36</v>
      </c>
      <c r="B3111" s="44">
        <f>FiscalStart+(A3111-1)*7</f>
        <v/>
      </c>
      <c r="C3111">
        <f>TEXT(B3111,"mmm yyyy")</f>
        <v/>
      </c>
      <c r="D3111">
        <f>"Q"&amp;(INT((A3111-1)/13)+1)</f>
        <v/>
      </c>
      <c r="E3111" t="inlineStr">
        <is>
          <t>Specialty</t>
        </is>
      </c>
      <c r="F3111">
        <f>IFERROR(INDEX(ChFormat,MATCH(E3111,ChName,0)),"")</f>
        <v/>
      </c>
      <c r="G3111" t="inlineStr">
        <is>
          <t>PE</t>
        </is>
      </c>
      <c r="H3111">
        <f>IF(A3111&lt;=NWeeks,1,0)</f>
        <v/>
      </c>
      <c r="I3111">
        <f>INDEX(ChLaunch,MATCH(E3111,ChName,0))</f>
        <v/>
      </c>
      <c r="J3111">
        <f>INDEX(ChWeeksFull,MATCH(E3111,ChName,0))</f>
        <v/>
      </c>
      <c r="K3111">
        <f>INDEX(ChRamp,MATCH(E3111,ChName,0))</f>
        <v/>
      </c>
      <c r="L3111" s="45">
        <f>MIN(1,MAX(0,(A3111-I3111+1)*RampSpeed/J3111))</f>
        <v/>
      </c>
      <c r="M3111" s="45">
        <f>IF(A3111&lt;I3111,0,IF(K3111="S-curve",L3111*L3111*(3-2*L3111),L3111))</f>
        <v/>
      </c>
      <c r="N3111" s="45">
        <f>1+(INDEX(SeasonIdx,A3111)-1)*SeasonAmp</f>
        <v/>
      </c>
      <c r="O3111" s="45">
        <f>IFERROR(INDEX(PSPct,MATCH(E3111&amp;"|"&amp;G3111,PSKey,0)),0)</f>
        <v/>
      </c>
      <c r="P3111" s="46">
        <f>INDEX(ChDoorVel,MATCH(E3111,ChName,0))*CalibScalar*(1+VelocityUplift)</f>
        <v/>
      </c>
      <c r="Q3111" s="46" t="n">
        <v>0</v>
      </c>
      <c r="R3111" s="46">
        <f>P3111*O3111*M3111*N3111*H3111</f>
        <v/>
      </c>
      <c r="S3111" s="46">
        <f>R3111*INDEX(FmtCansPerCase,MATCH(F3111,FmtName,0))</f>
        <v/>
      </c>
      <c r="T3111" s="46">
        <f>S3111/INDEX(FmtCansPerPack,MATCH(F3111,FmtName,0))</f>
        <v/>
      </c>
      <c r="U3111" s="47">
        <f>INDEX(ChBaseCP,MATCH(E3111,ChName,0))*(1+INDEX(ProvMod,MATCH(G3111,ProvCode,0)))*(1+PriceIndex)</f>
        <v/>
      </c>
      <c r="V3111" s="47">
        <f>R3111*U3111*INDEX(FmtBlendedPriceIdx,MATCH(F3111,FmtName,0))</f>
        <v/>
      </c>
      <c r="W3111" s="47">
        <f>T3111*INDEX(ProvSRP,MATCH(G3111,ProvCode,0))*(1+PriceIndex)</f>
        <v/>
      </c>
      <c r="X3111" s="47">
        <f>IF(GrossBasis="Wholesale",V3111,W3111)</f>
        <v/>
      </c>
      <c r="Y3111" s="47">
        <f>R3111*INDEX(FmtBlendedCogs,MATCH(F3111,FmtName,0))</f>
        <v/>
      </c>
      <c r="Z3111" s="47">
        <f>X3111-Y3111</f>
        <v/>
      </c>
    </row>
    <row r="3112">
      <c r="A3112" t="n">
        <v>37</v>
      </c>
      <c r="B3112" s="44">
        <f>FiscalStart+(A3112-1)*7</f>
        <v/>
      </c>
      <c r="C3112">
        <f>TEXT(B3112,"mmm yyyy")</f>
        <v/>
      </c>
      <c r="D3112">
        <f>"Q"&amp;(INT((A3112-1)/13)+1)</f>
        <v/>
      </c>
      <c r="E3112" t="inlineStr">
        <is>
          <t>Specialty</t>
        </is>
      </c>
      <c r="F3112">
        <f>IFERROR(INDEX(ChFormat,MATCH(E3112,ChName,0)),"")</f>
        <v/>
      </c>
      <c r="G3112" t="inlineStr">
        <is>
          <t>PE</t>
        </is>
      </c>
      <c r="H3112">
        <f>IF(A3112&lt;=NWeeks,1,0)</f>
        <v/>
      </c>
      <c r="I3112">
        <f>INDEX(ChLaunch,MATCH(E3112,ChName,0))</f>
        <v/>
      </c>
      <c r="J3112">
        <f>INDEX(ChWeeksFull,MATCH(E3112,ChName,0))</f>
        <v/>
      </c>
      <c r="K3112">
        <f>INDEX(ChRamp,MATCH(E3112,ChName,0))</f>
        <v/>
      </c>
      <c r="L3112" s="45">
        <f>MIN(1,MAX(0,(A3112-I3112+1)*RampSpeed/J3112))</f>
        <v/>
      </c>
      <c r="M3112" s="45">
        <f>IF(A3112&lt;I3112,0,IF(K3112="S-curve",L3112*L3112*(3-2*L3112),L3112))</f>
        <v/>
      </c>
      <c r="N3112" s="45">
        <f>1+(INDEX(SeasonIdx,A3112)-1)*SeasonAmp</f>
        <v/>
      </c>
      <c r="O3112" s="45">
        <f>IFERROR(INDEX(PSPct,MATCH(E3112&amp;"|"&amp;G3112,PSKey,0)),0)</f>
        <v/>
      </c>
      <c r="P3112" s="46">
        <f>INDEX(ChDoorVel,MATCH(E3112,ChName,0))*CalibScalar*(1+VelocityUplift)</f>
        <v/>
      </c>
      <c r="Q3112" s="46" t="n">
        <v>0</v>
      </c>
      <c r="R3112" s="46">
        <f>P3112*O3112*M3112*N3112*H3112</f>
        <v/>
      </c>
      <c r="S3112" s="46">
        <f>R3112*INDEX(FmtCansPerCase,MATCH(F3112,FmtName,0))</f>
        <v/>
      </c>
      <c r="T3112" s="46">
        <f>S3112/INDEX(FmtCansPerPack,MATCH(F3112,FmtName,0))</f>
        <v/>
      </c>
      <c r="U3112" s="47">
        <f>INDEX(ChBaseCP,MATCH(E3112,ChName,0))*(1+INDEX(ProvMod,MATCH(G3112,ProvCode,0)))*(1+PriceIndex)</f>
        <v/>
      </c>
      <c r="V3112" s="47">
        <f>R3112*U3112*INDEX(FmtBlendedPriceIdx,MATCH(F3112,FmtName,0))</f>
        <v/>
      </c>
      <c r="W3112" s="47">
        <f>T3112*INDEX(ProvSRP,MATCH(G3112,ProvCode,0))*(1+PriceIndex)</f>
        <v/>
      </c>
      <c r="X3112" s="47">
        <f>IF(GrossBasis="Wholesale",V3112,W3112)</f>
        <v/>
      </c>
      <c r="Y3112" s="47">
        <f>R3112*INDEX(FmtBlendedCogs,MATCH(F3112,FmtName,0))</f>
        <v/>
      </c>
      <c r="Z3112" s="47">
        <f>X3112-Y3112</f>
        <v/>
      </c>
    </row>
    <row r="3113">
      <c r="A3113" t="n">
        <v>38</v>
      </c>
      <c r="B3113" s="44">
        <f>FiscalStart+(A3113-1)*7</f>
        <v/>
      </c>
      <c r="C3113">
        <f>TEXT(B3113,"mmm yyyy")</f>
        <v/>
      </c>
      <c r="D3113">
        <f>"Q"&amp;(INT((A3113-1)/13)+1)</f>
        <v/>
      </c>
      <c r="E3113" t="inlineStr">
        <is>
          <t>Specialty</t>
        </is>
      </c>
      <c r="F3113">
        <f>IFERROR(INDEX(ChFormat,MATCH(E3113,ChName,0)),"")</f>
        <v/>
      </c>
      <c r="G3113" t="inlineStr">
        <is>
          <t>PE</t>
        </is>
      </c>
      <c r="H3113">
        <f>IF(A3113&lt;=NWeeks,1,0)</f>
        <v/>
      </c>
      <c r="I3113">
        <f>INDEX(ChLaunch,MATCH(E3113,ChName,0))</f>
        <v/>
      </c>
      <c r="J3113">
        <f>INDEX(ChWeeksFull,MATCH(E3113,ChName,0))</f>
        <v/>
      </c>
      <c r="K3113">
        <f>INDEX(ChRamp,MATCH(E3113,ChName,0))</f>
        <v/>
      </c>
      <c r="L3113" s="45">
        <f>MIN(1,MAX(0,(A3113-I3113+1)*RampSpeed/J3113))</f>
        <v/>
      </c>
      <c r="M3113" s="45">
        <f>IF(A3113&lt;I3113,0,IF(K3113="S-curve",L3113*L3113*(3-2*L3113),L3113))</f>
        <v/>
      </c>
      <c r="N3113" s="45">
        <f>1+(INDEX(SeasonIdx,A3113)-1)*SeasonAmp</f>
        <v/>
      </c>
      <c r="O3113" s="45">
        <f>IFERROR(INDEX(PSPct,MATCH(E3113&amp;"|"&amp;G3113,PSKey,0)),0)</f>
        <v/>
      </c>
      <c r="P3113" s="46">
        <f>INDEX(ChDoorVel,MATCH(E3113,ChName,0))*CalibScalar*(1+VelocityUplift)</f>
        <v/>
      </c>
      <c r="Q3113" s="46" t="n">
        <v>0</v>
      </c>
      <c r="R3113" s="46">
        <f>P3113*O3113*M3113*N3113*H3113</f>
        <v/>
      </c>
      <c r="S3113" s="46">
        <f>R3113*INDEX(FmtCansPerCase,MATCH(F3113,FmtName,0))</f>
        <v/>
      </c>
      <c r="T3113" s="46">
        <f>S3113/INDEX(FmtCansPerPack,MATCH(F3113,FmtName,0))</f>
        <v/>
      </c>
      <c r="U3113" s="47">
        <f>INDEX(ChBaseCP,MATCH(E3113,ChName,0))*(1+INDEX(ProvMod,MATCH(G3113,ProvCode,0)))*(1+PriceIndex)</f>
        <v/>
      </c>
      <c r="V3113" s="47">
        <f>R3113*U3113*INDEX(FmtBlendedPriceIdx,MATCH(F3113,FmtName,0))</f>
        <v/>
      </c>
      <c r="W3113" s="47">
        <f>T3113*INDEX(ProvSRP,MATCH(G3113,ProvCode,0))*(1+PriceIndex)</f>
        <v/>
      </c>
      <c r="X3113" s="47">
        <f>IF(GrossBasis="Wholesale",V3113,W3113)</f>
        <v/>
      </c>
      <c r="Y3113" s="47">
        <f>R3113*INDEX(FmtBlendedCogs,MATCH(F3113,FmtName,0))</f>
        <v/>
      </c>
      <c r="Z3113" s="47">
        <f>X3113-Y3113</f>
        <v/>
      </c>
    </row>
    <row r="3114">
      <c r="A3114" t="n">
        <v>39</v>
      </c>
      <c r="B3114" s="44">
        <f>FiscalStart+(A3114-1)*7</f>
        <v/>
      </c>
      <c r="C3114">
        <f>TEXT(B3114,"mmm yyyy")</f>
        <v/>
      </c>
      <c r="D3114">
        <f>"Q"&amp;(INT((A3114-1)/13)+1)</f>
        <v/>
      </c>
      <c r="E3114" t="inlineStr">
        <is>
          <t>Specialty</t>
        </is>
      </c>
      <c r="F3114">
        <f>IFERROR(INDEX(ChFormat,MATCH(E3114,ChName,0)),"")</f>
        <v/>
      </c>
      <c r="G3114" t="inlineStr">
        <is>
          <t>PE</t>
        </is>
      </c>
      <c r="H3114">
        <f>IF(A3114&lt;=NWeeks,1,0)</f>
        <v/>
      </c>
      <c r="I3114">
        <f>INDEX(ChLaunch,MATCH(E3114,ChName,0))</f>
        <v/>
      </c>
      <c r="J3114">
        <f>INDEX(ChWeeksFull,MATCH(E3114,ChName,0))</f>
        <v/>
      </c>
      <c r="K3114">
        <f>INDEX(ChRamp,MATCH(E3114,ChName,0))</f>
        <v/>
      </c>
      <c r="L3114" s="45">
        <f>MIN(1,MAX(0,(A3114-I3114+1)*RampSpeed/J3114))</f>
        <v/>
      </c>
      <c r="M3114" s="45">
        <f>IF(A3114&lt;I3114,0,IF(K3114="S-curve",L3114*L3114*(3-2*L3114),L3114))</f>
        <v/>
      </c>
      <c r="N3114" s="45">
        <f>1+(INDEX(SeasonIdx,A3114)-1)*SeasonAmp</f>
        <v/>
      </c>
      <c r="O3114" s="45">
        <f>IFERROR(INDEX(PSPct,MATCH(E3114&amp;"|"&amp;G3114,PSKey,0)),0)</f>
        <v/>
      </c>
      <c r="P3114" s="46">
        <f>INDEX(ChDoorVel,MATCH(E3114,ChName,0))*CalibScalar*(1+VelocityUplift)</f>
        <v/>
      </c>
      <c r="Q3114" s="46" t="n">
        <v>0</v>
      </c>
      <c r="R3114" s="46">
        <f>P3114*O3114*M3114*N3114*H3114</f>
        <v/>
      </c>
      <c r="S3114" s="46">
        <f>R3114*INDEX(FmtCansPerCase,MATCH(F3114,FmtName,0))</f>
        <v/>
      </c>
      <c r="T3114" s="46">
        <f>S3114/INDEX(FmtCansPerPack,MATCH(F3114,FmtName,0))</f>
        <v/>
      </c>
      <c r="U3114" s="47">
        <f>INDEX(ChBaseCP,MATCH(E3114,ChName,0))*(1+INDEX(ProvMod,MATCH(G3114,ProvCode,0)))*(1+PriceIndex)</f>
        <v/>
      </c>
      <c r="V3114" s="47">
        <f>R3114*U3114*INDEX(FmtBlendedPriceIdx,MATCH(F3114,FmtName,0))</f>
        <v/>
      </c>
      <c r="W3114" s="47">
        <f>T3114*INDEX(ProvSRP,MATCH(G3114,ProvCode,0))*(1+PriceIndex)</f>
        <v/>
      </c>
      <c r="X3114" s="47">
        <f>IF(GrossBasis="Wholesale",V3114,W3114)</f>
        <v/>
      </c>
      <c r="Y3114" s="47">
        <f>R3114*INDEX(FmtBlendedCogs,MATCH(F3114,FmtName,0))</f>
        <v/>
      </c>
      <c r="Z3114" s="47">
        <f>X3114-Y3114</f>
        <v/>
      </c>
    </row>
    <row r="3115">
      <c r="A3115" t="n">
        <v>40</v>
      </c>
      <c r="B3115" s="44">
        <f>FiscalStart+(A3115-1)*7</f>
        <v/>
      </c>
      <c r="C3115">
        <f>TEXT(B3115,"mmm yyyy")</f>
        <v/>
      </c>
      <c r="D3115">
        <f>"Q"&amp;(INT((A3115-1)/13)+1)</f>
        <v/>
      </c>
      <c r="E3115" t="inlineStr">
        <is>
          <t>Specialty</t>
        </is>
      </c>
      <c r="F3115">
        <f>IFERROR(INDEX(ChFormat,MATCH(E3115,ChName,0)),"")</f>
        <v/>
      </c>
      <c r="G3115" t="inlineStr">
        <is>
          <t>PE</t>
        </is>
      </c>
      <c r="H3115">
        <f>IF(A3115&lt;=NWeeks,1,0)</f>
        <v/>
      </c>
      <c r="I3115">
        <f>INDEX(ChLaunch,MATCH(E3115,ChName,0))</f>
        <v/>
      </c>
      <c r="J3115">
        <f>INDEX(ChWeeksFull,MATCH(E3115,ChName,0))</f>
        <v/>
      </c>
      <c r="K3115">
        <f>INDEX(ChRamp,MATCH(E3115,ChName,0))</f>
        <v/>
      </c>
      <c r="L3115" s="45">
        <f>MIN(1,MAX(0,(A3115-I3115+1)*RampSpeed/J3115))</f>
        <v/>
      </c>
      <c r="M3115" s="45">
        <f>IF(A3115&lt;I3115,0,IF(K3115="S-curve",L3115*L3115*(3-2*L3115),L3115))</f>
        <v/>
      </c>
      <c r="N3115" s="45">
        <f>1+(INDEX(SeasonIdx,A3115)-1)*SeasonAmp</f>
        <v/>
      </c>
      <c r="O3115" s="45">
        <f>IFERROR(INDEX(PSPct,MATCH(E3115&amp;"|"&amp;G3115,PSKey,0)),0)</f>
        <v/>
      </c>
      <c r="P3115" s="46">
        <f>INDEX(ChDoorVel,MATCH(E3115,ChName,0))*CalibScalar*(1+VelocityUplift)</f>
        <v/>
      </c>
      <c r="Q3115" s="46" t="n">
        <v>0</v>
      </c>
      <c r="R3115" s="46">
        <f>P3115*O3115*M3115*N3115*H3115</f>
        <v/>
      </c>
      <c r="S3115" s="46">
        <f>R3115*INDEX(FmtCansPerCase,MATCH(F3115,FmtName,0))</f>
        <v/>
      </c>
      <c r="T3115" s="46">
        <f>S3115/INDEX(FmtCansPerPack,MATCH(F3115,FmtName,0))</f>
        <v/>
      </c>
      <c r="U3115" s="47">
        <f>INDEX(ChBaseCP,MATCH(E3115,ChName,0))*(1+INDEX(ProvMod,MATCH(G3115,ProvCode,0)))*(1+PriceIndex)</f>
        <v/>
      </c>
      <c r="V3115" s="47">
        <f>R3115*U3115*INDEX(FmtBlendedPriceIdx,MATCH(F3115,FmtName,0))</f>
        <v/>
      </c>
      <c r="W3115" s="47">
        <f>T3115*INDEX(ProvSRP,MATCH(G3115,ProvCode,0))*(1+PriceIndex)</f>
        <v/>
      </c>
      <c r="X3115" s="47">
        <f>IF(GrossBasis="Wholesale",V3115,W3115)</f>
        <v/>
      </c>
      <c r="Y3115" s="47">
        <f>R3115*INDEX(FmtBlendedCogs,MATCH(F3115,FmtName,0))</f>
        <v/>
      </c>
      <c r="Z3115" s="47">
        <f>X3115-Y3115</f>
        <v/>
      </c>
    </row>
    <row r="3116">
      <c r="A3116" t="n">
        <v>41</v>
      </c>
      <c r="B3116" s="44">
        <f>FiscalStart+(A3116-1)*7</f>
        <v/>
      </c>
      <c r="C3116">
        <f>TEXT(B3116,"mmm yyyy")</f>
        <v/>
      </c>
      <c r="D3116">
        <f>"Q"&amp;(INT((A3116-1)/13)+1)</f>
        <v/>
      </c>
      <c r="E3116" t="inlineStr">
        <is>
          <t>Specialty</t>
        </is>
      </c>
      <c r="F3116">
        <f>IFERROR(INDEX(ChFormat,MATCH(E3116,ChName,0)),"")</f>
        <v/>
      </c>
      <c r="G3116" t="inlineStr">
        <is>
          <t>PE</t>
        </is>
      </c>
      <c r="H3116">
        <f>IF(A3116&lt;=NWeeks,1,0)</f>
        <v/>
      </c>
      <c r="I3116">
        <f>INDEX(ChLaunch,MATCH(E3116,ChName,0))</f>
        <v/>
      </c>
      <c r="J3116">
        <f>INDEX(ChWeeksFull,MATCH(E3116,ChName,0))</f>
        <v/>
      </c>
      <c r="K3116">
        <f>INDEX(ChRamp,MATCH(E3116,ChName,0))</f>
        <v/>
      </c>
      <c r="L3116" s="45">
        <f>MIN(1,MAX(0,(A3116-I3116+1)*RampSpeed/J3116))</f>
        <v/>
      </c>
      <c r="M3116" s="45">
        <f>IF(A3116&lt;I3116,0,IF(K3116="S-curve",L3116*L3116*(3-2*L3116),L3116))</f>
        <v/>
      </c>
      <c r="N3116" s="45">
        <f>1+(INDEX(SeasonIdx,A3116)-1)*SeasonAmp</f>
        <v/>
      </c>
      <c r="O3116" s="45">
        <f>IFERROR(INDEX(PSPct,MATCH(E3116&amp;"|"&amp;G3116,PSKey,0)),0)</f>
        <v/>
      </c>
      <c r="P3116" s="46">
        <f>INDEX(ChDoorVel,MATCH(E3116,ChName,0))*CalibScalar*(1+VelocityUplift)</f>
        <v/>
      </c>
      <c r="Q3116" s="46" t="n">
        <v>0</v>
      </c>
      <c r="R3116" s="46">
        <f>P3116*O3116*M3116*N3116*H3116</f>
        <v/>
      </c>
      <c r="S3116" s="46">
        <f>R3116*INDEX(FmtCansPerCase,MATCH(F3116,FmtName,0))</f>
        <v/>
      </c>
      <c r="T3116" s="46">
        <f>S3116/INDEX(FmtCansPerPack,MATCH(F3116,FmtName,0))</f>
        <v/>
      </c>
      <c r="U3116" s="47">
        <f>INDEX(ChBaseCP,MATCH(E3116,ChName,0))*(1+INDEX(ProvMod,MATCH(G3116,ProvCode,0)))*(1+PriceIndex)</f>
        <v/>
      </c>
      <c r="V3116" s="47">
        <f>R3116*U3116*INDEX(FmtBlendedPriceIdx,MATCH(F3116,FmtName,0))</f>
        <v/>
      </c>
      <c r="W3116" s="47">
        <f>T3116*INDEX(ProvSRP,MATCH(G3116,ProvCode,0))*(1+PriceIndex)</f>
        <v/>
      </c>
      <c r="X3116" s="47">
        <f>IF(GrossBasis="Wholesale",V3116,W3116)</f>
        <v/>
      </c>
      <c r="Y3116" s="47">
        <f>R3116*INDEX(FmtBlendedCogs,MATCH(F3116,FmtName,0))</f>
        <v/>
      </c>
      <c r="Z3116" s="47">
        <f>X3116-Y3116</f>
        <v/>
      </c>
    </row>
    <row r="3117">
      <c r="A3117" t="n">
        <v>42</v>
      </c>
      <c r="B3117" s="44">
        <f>FiscalStart+(A3117-1)*7</f>
        <v/>
      </c>
      <c r="C3117">
        <f>TEXT(B3117,"mmm yyyy")</f>
        <v/>
      </c>
      <c r="D3117">
        <f>"Q"&amp;(INT((A3117-1)/13)+1)</f>
        <v/>
      </c>
      <c r="E3117" t="inlineStr">
        <is>
          <t>Specialty</t>
        </is>
      </c>
      <c r="F3117">
        <f>IFERROR(INDEX(ChFormat,MATCH(E3117,ChName,0)),"")</f>
        <v/>
      </c>
      <c r="G3117" t="inlineStr">
        <is>
          <t>PE</t>
        </is>
      </c>
      <c r="H3117">
        <f>IF(A3117&lt;=NWeeks,1,0)</f>
        <v/>
      </c>
      <c r="I3117">
        <f>INDEX(ChLaunch,MATCH(E3117,ChName,0))</f>
        <v/>
      </c>
      <c r="J3117">
        <f>INDEX(ChWeeksFull,MATCH(E3117,ChName,0))</f>
        <v/>
      </c>
      <c r="K3117">
        <f>INDEX(ChRamp,MATCH(E3117,ChName,0))</f>
        <v/>
      </c>
      <c r="L3117" s="45">
        <f>MIN(1,MAX(0,(A3117-I3117+1)*RampSpeed/J3117))</f>
        <v/>
      </c>
      <c r="M3117" s="45">
        <f>IF(A3117&lt;I3117,0,IF(K3117="S-curve",L3117*L3117*(3-2*L3117),L3117))</f>
        <v/>
      </c>
      <c r="N3117" s="45">
        <f>1+(INDEX(SeasonIdx,A3117)-1)*SeasonAmp</f>
        <v/>
      </c>
      <c r="O3117" s="45">
        <f>IFERROR(INDEX(PSPct,MATCH(E3117&amp;"|"&amp;G3117,PSKey,0)),0)</f>
        <v/>
      </c>
      <c r="P3117" s="46">
        <f>INDEX(ChDoorVel,MATCH(E3117,ChName,0))*CalibScalar*(1+VelocityUplift)</f>
        <v/>
      </c>
      <c r="Q3117" s="46" t="n">
        <v>0</v>
      </c>
      <c r="R3117" s="46">
        <f>P3117*O3117*M3117*N3117*H3117</f>
        <v/>
      </c>
      <c r="S3117" s="46">
        <f>R3117*INDEX(FmtCansPerCase,MATCH(F3117,FmtName,0))</f>
        <v/>
      </c>
      <c r="T3117" s="46">
        <f>S3117/INDEX(FmtCansPerPack,MATCH(F3117,FmtName,0))</f>
        <v/>
      </c>
      <c r="U3117" s="47">
        <f>INDEX(ChBaseCP,MATCH(E3117,ChName,0))*(1+INDEX(ProvMod,MATCH(G3117,ProvCode,0)))*(1+PriceIndex)</f>
        <v/>
      </c>
      <c r="V3117" s="47">
        <f>R3117*U3117*INDEX(FmtBlendedPriceIdx,MATCH(F3117,FmtName,0))</f>
        <v/>
      </c>
      <c r="W3117" s="47">
        <f>T3117*INDEX(ProvSRP,MATCH(G3117,ProvCode,0))*(1+PriceIndex)</f>
        <v/>
      </c>
      <c r="X3117" s="47">
        <f>IF(GrossBasis="Wholesale",V3117,W3117)</f>
        <v/>
      </c>
      <c r="Y3117" s="47">
        <f>R3117*INDEX(FmtBlendedCogs,MATCH(F3117,FmtName,0))</f>
        <v/>
      </c>
      <c r="Z3117" s="47">
        <f>X3117-Y3117</f>
        <v/>
      </c>
    </row>
    <row r="3118">
      <c r="A3118" t="n">
        <v>43</v>
      </c>
      <c r="B3118" s="44">
        <f>FiscalStart+(A3118-1)*7</f>
        <v/>
      </c>
      <c r="C3118">
        <f>TEXT(B3118,"mmm yyyy")</f>
        <v/>
      </c>
      <c r="D3118">
        <f>"Q"&amp;(INT((A3118-1)/13)+1)</f>
        <v/>
      </c>
      <c r="E3118" t="inlineStr">
        <is>
          <t>Specialty</t>
        </is>
      </c>
      <c r="F3118">
        <f>IFERROR(INDEX(ChFormat,MATCH(E3118,ChName,0)),"")</f>
        <v/>
      </c>
      <c r="G3118" t="inlineStr">
        <is>
          <t>PE</t>
        </is>
      </c>
      <c r="H3118">
        <f>IF(A3118&lt;=NWeeks,1,0)</f>
        <v/>
      </c>
      <c r="I3118">
        <f>INDEX(ChLaunch,MATCH(E3118,ChName,0))</f>
        <v/>
      </c>
      <c r="J3118">
        <f>INDEX(ChWeeksFull,MATCH(E3118,ChName,0))</f>
        <v/>
      </c>
      <c r="K3118">
        <f>INDEX(ChRamp,MATCH(E3118,ChName,0))</f>
        <v/>
      </c>
      <c r="L3118" s="45">
        <f>MIN(1,MAX(0,(A3118-I3118+1)*RampSpeed/J3118))</f>
        <v/>
      </c>
      <c r="M3118" s="45">
        <f>IF(A3118&lt;I3118,0,IF(K3118="S-curve",L3118*L3118*(3-2*L3118),L3118))</f>
        <v/>
      </c>
      <c r="N3118" s="45">
        <f>1+(INDEX(SeasonIdx,A3118)-1)*SeasonAmp</f>
        <v/>
      </c>
      <c r="O3118" s="45">
        <f>IFERROR(INDEX(PSPct,MATCH(E3118&amp;"|"&amp;G3118,PSKey,0)),0)</f>
        <v/>
      </c>
      <c r="P3118" s="46">
        <f>INDEX(ChDoorVel,MATCH(E3118,ChName,0))*CalibScalar*(1+VelocityUplift)</f>
        <v/>
      </c>
      <c r="Q3118" s="46" t="n">
        <v>0</v>
      </c>
      <c r="R3118" s="46">
        <f>P3118*O3118*M3118*N3118*H3118</f>
        <v/>
      </c>
      <c r="S3118" s="46">
        <f>R3118*INDEX(FmtCansPerCase,MATCH(F3118,FmtName,0))</f>
        <v/>
      </c>
      <c r="T3118" s="46">
        <f>S3118/INDEX(FmtCansPerPack,MATCH(F3118,FmtName,0))</f>
        <v/>
      </c>
      <c r="U3118" s="47">
        <f>INDEX(ChBaseCP,MATCH(E3118,ChName,0))*(1+INDEX(ProvMod,MATCH(G3118,ProvCode,0)))*(1+PriceIndex)</f>
        <v/>
      </c>
      <c r="V3118" s="47">
        <f>R3118*U3118*INDEX(FmtBlendedPriceIdx,MATCH(F3118,FmtName,0))</f>
        <v/>
      </c>
      <c r="W3118" s="47">
        <f>T3118*INDEX(ProvSRP,MATCH(G3118,ProvCode,0))*(1+PriceIndex)</f>
        <v/>
      </c>
      <c r="X3118" s="47">
        <f>IF(GrossBasis="Wholesale",V3118,W3118)</f>
        <v/>
      </c>
      <c r="Y3118" s="47">
        <f>R3118*INDEX(FmtBlendedCogs,MATCH(F3118,FmtName,0))</f>
        <v/>
      </c>
      <c r="Z3118" s="47">
        <f>X3118-Y3118</f>
        <v/>
      </c>
    </row>
    <row r="3119">
      <c r="A3119" t="n">
        <v>44</v>
      </c>
      <c r="B3119" s="44">
        <f>FiscalStart+(A3119-1)*7</f>
        <v/>
      </c>
      <c r="C3119">
        <f>TEXT(B3119,"mmm yyyy")</f>
        <v/>
      </c>
      <c r="D3119">
        <f>"Q"&amp;(INT((A3119-1)/13)+1)</f>
        <v/>
      </c>
      <c r="E3119" t="inlineStr">
        <is>
          <t>Specialty</t>
        </is>
      </c>
      <c r="F3119">
        <f>IFERROR(INDEX(ChFormat,MATCH(E3119,ChName,0)),"")</f>
        <v/>
      </c>
      <c r="G3119" t="inlineStr">
        <is>
          <t>PE</t>
        </is>
      </c>
      <c r="H3119">
        <f>IF(A3119&lt;=NWeeks,1,0)</f>
        <v/>
      </c>
      <c r="I3119">
        <f>INDEX(ChLaunch,MATCH(E3119,ChName,0))</f>
        <v/>
      </c>
      <c r="J3119">
        <f>INDEX(ChWeeksFull,MATCH(E3119,ChName,0))</f>
        <v/>
      </c>
      <c r="K3119">
        <f>INDEX(ChRamp,MATCH(E3119,ChName,0))</f>
        <v/>
      </c>
      <c r="L3119" s="45">
        <f>MIN(1,MAX(0,(A3119-I3119+1)*RampSpeed/J3119))</f>
        <v/>
      </c>
      <c r="M3119" s="45">
        <f>IF(A3119&lt;I3119,0,IF(K3119="S-curve",L3119*L3119*(3-2*L3119),L3119))</f>
        <v/>
      </c>
      <c r="N3119" s="45">
        <f>1+(INDEX(SeasonIdx,A3119)-1)*SeasonAmp</f>
        <v/>
      </c>
      <c r="O3119" s="45">
        <f>IFERROR(INDEX(PSPct,MATCH(E3119&amp;"|"&amp;G3119,PSKey,0)),0)</f>
        <v/>
      </c>
      <c r="P3119" s="46">
        <f>INDEX(ChDoorVel,MATCH(E3119,ChName,0))*CalibScalar*(1+VelocityUplift)</f>
        <v/>
      </c>
      <c r="Q3119" s="46" t="n">
        <v>0</v>
      </c>
      <c r="R3119" s="46">
        <f>P3119*O3119*M3119*N3119*H3119</f>
        <v/>
      </c>
      <c r="S3119" s="46">
        <f>R3119*INDEX(FmtCansPerCase,MATCH(F3119,FmtName,0))</f>
        <v/>
      </c>
      <c r="T3119" s="46">
        <f>S3119/INDEX(FmtCansPerPack,MATCH(F3119,FmtName,0))</f>
        <v/>
      </c>
      <c r="U3119" s="47">
        <f>INDEX(ChBaseCP,MATCH(E3119,ChName,0))*(1+INDEX(ProvMod,MATCH(G3119,ProvCode,0)))*(1+PriceIndex)</f>
        <v/>
      </c>
      <c r="V3119" s="47">
        <f>R3119*U3119*INDEX(FmtBlendedPriceIdx,MATCH(F3119,FmtName,0))</f>
        <v/>
      </c>
      <c r="W3119" s="47">
        <f>T3119*INDEX(ProvSRP,MATCH(G3119,ProvCode,0))*(1+PriceIndex)</f>
        <v/>
      </c>
      <c r="X3119" s="47">
        <f>IF(GrossBasis="Wholesale",V3119,W3119)</f>
        <v/>
      </c>
      <c r="Y3119" s="47">
        <f>R3119*INDEX(FmtBlendedCogs,MATCH(F3119,FmtName,0))</f>
        <v/>
      </c>
      <c r="Z3119" s="47">
        <f>X3119-Y3119</f>
        <v/>
      </c>
    </row>
    <row r="3120">
      <c r="A3120" t="n">
        <v>45</v>
      </c>
      <c r="B3120" s="44">
        <f>FiscalStart+(A3120-1)*7</f>
        <v/>
      </c>
      <c r="C3120">
        <f>TEXT(B3120,"mmm yyyy")</f>
        <v/>
      </c>
      <c r="D3120">
        <f>"Q"&amp;(INT((A3120-1)/13)+1)</f>
        <v/>
      </c>
      <c r="E3120" t="inlineStr">
        <is>
          <t>Specialty</t>
        </is>
      </c>
      <c r="F3120">
        <f>IFERROR(INDEX(ChFormat,MATCH(E3120,ChName,0)),"")</f>
        <v/>
      </c>
      <c r="G3120" t="inlineStr">
        <is>
          <t>PE</t>
        </is>
      </c>
      <c r="H3120">
        <f>IF(A3120&lt;=NWeeks,1,0)</f>
        <v/>
      </c>
      <c r="I3120">
        <f>INDEX(ChLaunch,MATCH(E3120,ChName,0))</f>
        <v/>
      </c>
      <c r="J3120">
        <f>INDEX(ChWeeksFull,MATCH(E3120,ChName,0))</f>
        <v/>
      </c>
      <c r="K3120">
        <f>INDEX(ChRamp,MATCH(E3120,ChName,0))</f>
        <v/>
      </c>
      <c r="L3120" s="45">
        <f>MIN(1,MAX(0,(A3120-I3120+1)*RampSpeed/J3120))</f>
        <v/>
      </c>
      <c r="M3120" s="45">
        <f>IF(A3120&lt;I3120,0,IF(K3120="S-curve",L3120*L3120*(3-2*L3120),L3120))</f>
        <v/>
      </c>
      <c r="N3120" s="45">
        <f>1+(INDEX(SeasonIdx,A3120)-1)*SeasonAmp</f>
        <v/>
      </c>
      <c r="O3120" s="45">
        <f>IFERROR(INDEX(PSPct,MATCH(E3120&amp;"|"&amp;G3120,PSKey,0)),0)</f>
        <v/>
      </c>
      <c r="P3120" s="46">
        <f>INDEX(ChDoorVel,MATCH(E3120,ChName,0))*CalibScalar*(1+VelocityUplift)</f>
        <v/>
      </c>
      <c r="Q3120" s="46" t="n">
        <v>0</v>
      </c>
      <c r="R3120" s="46">
        <f>P3120*O3120*M3120*N3120*H3120</f>
        <v/>
      </c>
      <c r="S3120" s="46">
        <f>R3120*INDEX(FmtCansPerCase,MATCH(F3120,FmtName,0))</f>
        <v/>
      </c>
      <c r="T3120" s="46">
        <f>S3120/INDEX(FmtCansPerPack,MATCH(F3120,FmtName,0))</f>
        <v/>
      </c>
      <c r="U3120" s="47">
        <f>INDEX(ChBaseCP,MATCH(E3120,ChName,0))*(1+INDEX(ProvMod,MATCH(G3120,ProvCode,0)))*(1+PriceIndex)</f>
        <v/>
      </c>
      <c r="V3120" s="47">
        <f>R3120*U3120*INDEX(FmtBlendedPriceIdx,MATCH(F3120,FmtName,0))</f>
        <v/>
      </c>
      <c r="W3120" s="47">
        <f>T3120*INDEX(ProvSRP,MATCH(G3120,ProvCode,0))*(1+PriceIndex)</f>
        <v/>
      </c>
      <c r="X3120" s="47">
        <f>IF(GrossBasis="Wholesale",V3120,W3120)</f>
        <v/>
      </c>
      <c r="Y3120" s="47">
        <f>R3120*INDEX(FmtBlendedCogs,MATCH(F3120,FmtName,0))</f>
        <v/>
      </c>
      <c r="Z3120" s="47">
        <f>X3120-Y3120</f>
        <v/>
      </c>
    </row>
    <row r="3121">
      <c r="A3121" t="n">
        <v>46</v>
      </c>
      <c r="B3121" s="44">
        <f>FiscalStart+(A3121-1)*7</f>
        <v/>
      </c>
      <c r="C3121">
        <f>TEXT(B3121,"mmm yyyy")</f>
        <v/>
      </c>
      <c r="D3121">
        <f>"Q"&amp;(INT((A3121-1)/13)+1)</f>
        <v/>
      </c>
      <c r="E3121" t="inlineStr">
        <is>
          <t>Specialty</t>
        </is>
      </c>
      <c r="F3121">
        <f>IFERROR(INDEX(ChFormat,MATCH(E3121,ChName,0)),"")</f>
        <v/>
      </c>
      <c r="G3121" t="inlineStr">
        <is>
          <t>PE</t>
        </is>
      </c>
      <c r="H3121">
        <f>IF(A3121&lt;=NWeeks,1,0)</f>
        <v/>
      </c>
      <c r="I3121">
        <f>INDEX(ChLaunch,MATCH(E3121,ChName,0))</f>
        <v/>
      </c>
      <c r="J3121">
        <f>INDEX(ChWeeksFull,MATCH(E3121,ChName,0))</f>
        <v/>
      </c>
      <c r="K3121">
        <f>INDEX(ChRamp,MATCH(E3121,ChName,0))</f>
        <v/>
      </c>
      <c r="L3121" s="45">
        <f>MIN(1,MAX(0,(A3121-I3121+1)*RampSpeed/J3121))</f>
        <v/>
      </c>
      <c r="M3121" s="45">
        <f>IF(A3121&lt;I3121,0,IF(K3121="S-curve",L3121*L3121*(3-2*L3121),L3121))</f>
        <v/>
      </c>
      <c r="N3121" s="45">
        <f>1+(INDEX(SeasonIdx,A3121)-1)*SeasonAmp</f>
        <v/>
      </c>
      <c r="O3121" s="45">
        <f>IFERROR(INDEX(PSPct,MATCH(E3121&amp;"|"&amp;G3121,PSKey,0)),0)</f>
        <v/>
      </c>
      <c r="P3121" s="46">
        <f>INDEX(ChDoorVel,MATCH(E3121,ChName,0))*CalibScalar*(1+VelocityUplift)</f>
        <v/>
      </c>
      <c r="Q3121" s="46" t="n">
        <v>0</v>
      </c>
      <c r="R3121" s="46">
        <f>P3121*O3121*M3121*N3121*H3121</f>
        <v/>
      </c>
      <c r="S3121" s="46">
        <f>R3121*INDEX(FmtCansPerCase,MATCH(F3121,FmtName,0))</f>
        <v/>
      </c>
      <c r="T3121" s="46">
        <f>S3121/INDEX(FmtCansPerPack,MATCH(F3121,FmtName,0))</f>
        <v/>
      </c>
      <c r="U3121" s="47">
        <f>INDEX(ChBaseCP,MATCH(E3121,ChName,0))*(1+INDEX(ProvMod,MATCH(G3121,ProvCode,0)))*(1+PriceIndex)</f>
        <v/>
      </c>
      <c r="V3121" s="47">
        <f>R3121*U3121*INDEX(FmtBlendedPriceIdx,MATCH(F3121,FmtName,0))</f>
        <v/>
      </c>
      <c r="W3121" s="47">
        <f>T3121*INDEX(ProvSRP,MATCH(G3121,ProvCode,0))*(1+PriceIndex)</f>
        <v/>
      </c>
      <c r="X3121" s="47">
        <f>IF(GrossBasis="Wholesale",V3121,W3121)</f>
        <v/>
      </c>
      <c r="Y3121" s="47">
        <f>R3121*INDEX(FmtBlendedCogs,MATCH(F3121,FmtName,0))</f>
        <v/>
      </c>
      <c r="Z3121" s="47">
        <f>X3121-Y3121</f>
        <v/>
      </c>
    </row>
    <row r="3122">
      <c r="A3122" t="n">
        <v>47</v>
      </c>
      <c r="B3122" s="44">
        <f>FiscalStart+(A3122-1)*7</f>
        <v/>
      </c>
      <c r="C3122">
        <f>TEXT(B3122,"mmm yyyy")</f>
        <v/>
      </c>
      <c r="D3122">
        <f>"Q"&amp;(INT((A3122-1)/13)+1)</f>
        <v/>
      </c>
      <c r="E3122" t="inlineStr">
        <is>
          <t>Specialty</t>
        </is>
      </c>
      <c r="F3122">
        <f>IFERROR(INDEX(ChFormat,MATCH(E3122,ChName,0)),"")</f>
        <v/>
      </c>
      <c r="G3122" t="inlineStr">
        <is>
          <t>PE</t>
        </is>
      </c>
      <c r="H3122">
        <f>IF(A3122&lt;=NWeeks,1,0)</f>
        <v/>
      </c>
      <c r="I3122">
        <f>INDEX(ChLaunch,MATCH(E3122,ChName,0))</f>
        <v/>
      </c>
      <c r="J3122">
        <f>INDEX(ChWeeksFull,MATCH(E3122,ChName,0))</f>
        <v/>
      </c>
      <c r="K3122">
        <f>INDEX(ChRamp,MATCH(E3122,ChName,0))</f>
        <v/>
      </c>
      <c r="L3122" s="45">
        <f>MIN(1,MAX(0,(A3122-I3122+1)*RampSpeed/J3122))</f>
        <v/>
      </c>
      <c r="M3122" s="45">
        <f>IF(A3122&lt;I3122,0,IF(K3122="S-curve",L3122*L3122*(3-2*L3122),L3122))</f>
        <v/>
      </c>
      <c r="N3122" s="45">
        <f>1+(INDEX(SeasonIdx,A3122)-1)*SeasonAmp</f>
        <v/>
      </c>
      <c r="O3122" s="45">
        <f>IFERROR(INDEX(PSPct,MATCH(E3122&amp;"|"&amp;G3122,PSKey,0)),0)</f>
        <v/>
      </c>
      <c r="P3122" s="46">
        <f>INDEX(ChDoorVel,MATCH(E3122,ChName,0))*CalibScalar*(1+VelocityUplift)</f>
        <v/>
      </c>
      <c r="Q3122" s="46" t="n">
        <v>0</v>
      </c>
      <c r="R3122" s="46">
        <f>P3122*O3122*M3122*N3122*H3122</f>
        <v/>
      </c>
      <c r="S3122" s="46">
        <f>R3122*INDEX(FmtCansPerCase,MATCH(F3122,FmtName,0))</f>
        <v/>
      </c>
      <c r="T3122" s="46">
        <f>S3122/INDEX(FmtCansPerPack,MATCH(F3122,FmtName,0))</f>
        <v/>
      </c>
      <c r="U3122" s="47">
        <f>INDEX(ChBaseCP,MATCH(E3122,ChName,0))*(1+INDEX(ProvMod,MATCH(G3122,ProvCode,0)))*(1+PriceIndex)</f>
        <v/>
      </c>
      <c r="V3122" s="47">
        <f>R3122*U3122*INDEX(FmtBlendedPriceIdx,MATCH(F3122,FmtName,0))</f>
        <v/>
      </c>
      <c r="W3122" s="47">
        <f>T3122*INDEX(ProvSRP,MATCH(G3122,ProvCode,0))*(1+PriceIndex)</f>
        <v/>
      </c>
      <c r="X3122" s="47">
        <f>IF(GrossBasis="Wholesale",V3122,W3122)</f>
        <v/>
      </c>
      <c r="Y3122" s="47">
        <f>R3122*INDEX(FmtBlendedCogs,MATCH(F3122,FmtName,0))</f>
        <v/>
      </c>
      <c r="Z3122" s="47">
        <f>X3122-Y3122</f>
        <v/>
      </c>
    </row>
    <row r="3123">
      <c r="A3123" t="n">
        <v>48</v>
      </c>
      <c r="B3123" s="44">
        <f>FiscalStart+(A3123-1)*7</f>
        <v/>
      </c>
      <c r="C3123">
        <f>TEXT(B3123,"mmm yyyy")</f>
        <v/>
      </c>
      <c r="D3123">
        <f>"Q"&amp;(INT((A3123-1)/13)+1)</f>
        <v/>
      </c>
      <c r="E3123" t="inlineStr">
        <is>
          <t>Specialty</t>
        </is>
      </c>
      <c r="F3123">
        <f>IFERROR(INDEX(ChFormat,MATCH(E3123,ChName,0)),"")</f>
        <v/>
      </c>
      <c r="G3123" t="inlineStr">
        <is>
          <t>PE</t>
        </is>
      </c>
      <c r="H3123">
        <f>IF(A3123&lt;=NWeeks,1,0)</f>
        <v/>
      </c>
      <c r="I3123">
        <f>INDEX(ChLaunch,MATCH(E3123,ChName,0))</f>
        <v/>
      </c>
      <c r="J3123">
        <f>INDEX(ChWeeksFull,MATCH(E3123,ChName,0))</f>
        <v/>
      </c>
      <c r="K3123">
        <f>INDEX(ChRamp,MATCH(E3123,ChName,0))</f>
        <v/>
      </c>
      <c r="L3123" s="45">
        <f>MIN(1,MAX(0,(A3123-I3123+1)*RampSpeed/J3123))</f>
        <v/>
      </c>
      <c r="M3123" s="45">
        <f>IF(A3123&lt;I3123,0,IF(K3123="S-curve",L3123*L3123*(3-2*L3123),L3123))</f>
        <v/>
      </c>
      <c r="N3123" s="45">
        <f>1+(INDEX(SeasonIdx,A3123)-1)*SeasonAmp</f>
        <v/>
      </c>
      <c r="O3123" s="45">
        <f>IFERROR(INDEX(PSPct,MATCH(E3123&amp;"|"&amp;G3123,PSKey,0)),0)</f>
        <v/>
      </c>
      <c r="P3123" s="46">
        <f>INDEX(ChDoorVel,MATCH(E3123,ChName,0))*CalibScalar*(1+VelocityUplift)</f>
        <v/>
      </c>
      <c r="Q3123" s="46" t="n">
        <v>0</v>
      </c>
      <c r="R3123" s="46">
        <f>P3123*O3123*M3123*N3123*H3123</f>
        <v/>
      </c>
      <c r="S3123" s="46">
        <f>R3123*INDEX(FmtCansPerCase,MATCH(F3123,FmtName,0))</f>
        <v/>
      </c>
      <c r="T3123" s="46">
        <f>S3123/INDEX(FmtCansPerPack,MATCH(F3123,FmtName,0))</f>
        <v/>
      </c>
      <c r="U3123" s="47">
        <f>INDEX(ChBaseCP,MATCH(E3123,ChName,0))*(1+INDEX(ProvMod,MATCH(G3123,ProvCode,0)))*(1+PriceIndex)</f>
        <v/>
      </c>
      <c r="V3123" s="47">
        <f>R3123*U3123*INDEX(FmtBlendedPriceIdx,MATCH(F3123,FmtName,0))</f>
        <v/>
      </c>
      <c r="W3123" s="47">
        <f>T3123*INDEX(ProvSRP,MATCH(G3123,ProvCode,0))*(1+PriceIndex)</f>
        <v/>
      </c>
      <c r="X3123" s="47">
        <f>IF(GrossBasis="Wholesale",V3123,W3123)</f>
        <v/>
      </c>
      <c r="Y3123" s="47">
        <f>R3123*INDEX(FmtBlendedCogs,MATCH(F3123,FmtName,0))</f>
        <v/>
      </c>
      <c r="Z3123" s="47">
        <f>X3123-Y3123</f>
        <v/>
      </c>
    </row>
    <row r="3124">
      <c r="A3124" t="n">
        <v>49</v>
      </c>
      <c r="B3124" s="44">
        <f>FiscalStart+(A3124-1)*7</f>
        <v/>
      </c>
      <c r="C3124">
        <f>TEXT(B3124,"mmm yyyy")</f>
        <v/>
      </c>
      <c r="D3124">
        <f>"Q"&amp;(INT((A3124-1)/13)+1)</f>
        <v/>
      </c>
      <c r="E3124" t="inlineStr">
        <is>
          <t>Specialty</t>
        </is>
      </c>
      <c r="F3124">
        <f>IFERROR(INDEX(ChFormat,MATCH(E3124,ChName,0)),"")</f>
        <v/>
      </c>
      <c r="G3124" t="inlineStr">
        <is>
          <t>PE</t>
        </is>
      </c>
      <c r="H3124">
        <f>IF(A3124&lt;=NWeeks,1,0)</f>
        <v/>
      </c>
      <c r="I3124">
        <f>INDEX(ChLaunch,MATCH(E3124,ChName,0))</f>
        <v/>
      </c>
      <c r="J3124">
        <f>INDEX(ChWeeksFull,MATCH(E3124,ChName,0))</f>
        <v/>
      </c>
      <c r="K3124">
        <f>INDEX(ChRamp,MATCH(E3124,ChName,0))</f>
        <v/>
      </c>
      <c r="L3124" s="45">
        <f>MIN(1,MAX(0,(A3124-I3124+1)*RampSpeed/J3124))</f>
        <v/>
      </c>
      <c r="M3124" s="45">
        <f>IF(A3124&lt;I3124,0,IF(K3124="S-curve",L3124*L3124*(3-2*L3124),L3124))</f>
        <v/>
      </c>
      <c r="N3124" s="45">
        <f>1+(INDEX(SeasonIdx,A3124)-1)*SeasonAmp</f>
        <v/>
      </c>
      <c r="O3124" s="45">
        <f>IFERROR(INDEX(PSPct,MATCH(E3124&amp;"|"&amp;G3124,PSKey,0)),0)</f>
        <v/>
      </c>
      <c r="P3124" s="46">
        <f>INDEX(ChDoorVel,MATCH(E3124,ChName,0))*CalibScalar*(1+VelocityUplift)</f>
        <v/>
      </c>
      <c r="Q3124" s="46" t="n">
        <v>0</v>
      </c>
      <c r="R3124" s="46">
        <f>P3124*O3124*M3124*N3124*H3124</f>
        <v/>
      </c>
      <c r="S3124" s="46">
        <f>R3124*INDEX(FmtCansPerCase,MATCH(F3124,FmtName,0))</f>
        <v/>
      </c>
      <c r="T3124" s="46">
        <f>S3124/INDEX(FmtCansPerPack,MATCH(F3124,FmtName,0))</f>
        <v/>
      </c>
      <c r="U3124" s="47">
        <f>INDEX(ChBaseCP,MATCH(E3124,ChName,0))*(1+INDEX(ProvMod,MATCH(G3124,ProvCode,0)))*(1+PriceIndex)</f>
        <v/>
      </c>
      <c r="V3124" s="47">
        <f>R3124*U3124*INDEX(FmtBlendedPriceIdx,MATCH(F3124,FmtName,0))</f>
        <v/>
      </c>
      <c r="W3124" s="47">
        <f>T3124*INDEX(ProvSRP,MATCH(G3124,ProvCode,0))*(1+PriceIndex)</f>
        <v/>
      </c>
      <c r="X3124" s="47">
        <f>IF(GrossBasis="Wholesale",V3124,W3124)</f>
        <v/>
      </c>
      <c r="Y3124" s="47">
        <f>R3124*INDEX(FmtBlendedCogs,MATCH(F3124,FmtName,0))</f>
        <v/>
      </c>
      <c r="Z3124" s="47">
        <f>X3124-Y3124</f>
        <v/>
      </c>
    </row>
    <row r="3125">
      <c r="A3125" t="n">
        <v>50</v>
      </c>
      <c r="B3125" s="44">
        <f>FiscalStart+(A3125-1)*7</f>
        <v/>
      </c>
      <c r="C3125">
        <f>TEXT(B3125,"mmm yyyy")</f>
        <v/>
      </c>
      <c r="D3125">
        <f>"Q"&amp;(INT((A3125-1)/13)+1)</f>
        <v/>
      </c>
      <c r="E3125" t="inlineStr">
        <is>
          <t>Specialty</t>
        </is>
      </c>
      <c r="F3125">
        <f>IFERROR(INDEX(ChFormat,MATCH(E3125,ChName,0)),"")</f>
        <v/>
      </c>
      <c r="G3125" t="inlineStr">
        <is>
          <t>PE</t>
        </is>
      </c>
      <c r="H3125">
        <f>IF(A3125&lt;=NWeeks,1,0)</f>
        <v/>
      </c>
      <c r="I3125">
        <f>INDEX(ChLaunch,MATCH(E3125,ChName,0))</f>
        <v/>
      </c>
      <c r="J3125">
        <f>INDEX(ChWeeksFull,MATCH(E3125,ChName,0))</f>
        <v/>
      </c>
      <c r="K3125">
        <f>INDEX(ChRamp,MATCH(E3125,ChName,0))</f>
        <v/>
      </c>
      <c r="L3125" s="45">
        <f>MIN(1,MAX(0,(A3125-I3125+1)*RampSpeed/J3125))</f>
        <v/>
      </c>
      <c r="M3125" s="45">
        <f>IF(A3125&lt;I3125,0,IF(K3125="S-curve",L3125*L3125*(3-2*L3125),L3125))</f>
        <v/>
      </c>
      <c r="N3125" s="45">
        <f>1+(INDEX(SeasonIdx,A3125)-1)*SeasonAmp</f>
        <v/>
      </c>
      <c r="O3125" s="45">
        <f>IFERROR(INDEX(PSPct,MATCH(E3125&amp;"|"&amp;G3125,PSKey,0)),0)</f>
        <v/>
      </c>
      <c r="P3125" s="46">
        <f>INDEX(ChDoorVel,MATCH(E3125,ChName,0))*CalibScalar*(1+VelocityUplift)</f>
        <v/>
      </c>
      <c r="Q3125" s="46" t="n">
        <v>0</v>
      </c>
      <c r="R3125" s="46">
        <f>P3125*O3125*M3125*N3125*H3125</f>
        <v/>
      </c>
      <c r="S3125" s="46">
        <f>R3125*INDEX(FmtCansPerCase,MATCH(F3125,FmtName,0))</f>
        <v/>
      </c>
      <c r="T3125" s="46">
        <f>S3125/INDEX(FmtCansPerPack,MATCH(F3125,FmtName,0))</f>
        <v/>
      </c>
      <c r="U3125" s="47">
        <f>INDEX(ChBaseCP,MATCH(E3125,ChName,0))*(1+INDEX(ProvMod,MATCH(G3125,ProvCode,0)))*(1+PriceIndex)</f>
        <v/>
      </c>
      <c r="V3125" s="47">
        <f>R3125*U3125*INDEX(FmtBlendedPriceIdx,MATCH(F3125,FmtName,0))</f>
        <v/>
      </c>
      <c r="W3125" s="47">
        <f>T3125*INDEX(ProvSRP,MATCH(G3125,ProvCode,0))*(1+PriceIndex)</f>
        <v/>
      </c>
      <c r="X3125" s="47">
        <f>IF(GrossBasis="Wholesale",V3125,W3125)</f>
        <v/>
      </c>
      <c r="Y3125" s="47">
        <f>R3125*INDEX(FmtBlendedCogs,MATCH(F3125,FmtName,0))</f>
        <v/>
      </c>
      <c r="Z3125" s="47">
        <f>X3125-Y3125</f>
        <v/>
      </c>
    </row>
    <row r="3126">
      <c r="A3126" t="n">
        <v>51</v>
      </c>
      <c r="B3126" s="44">
        <f>FiscalStart+(A3126-1)*7</f>
        <v/>
      </c>
      <c r="C3126">
        <f>TEXT(B3126,"mmm yyyy")</f>
        <v/>
      </c>
      <c r="D3126">
        <f>"Q"&amp;(INT((A3126-1)/13)+1)</f>
        <v/>
      </c>
      <c r="E3126" t="inlineStr">
        <is>
          <t>Specialty</t>
        </is>
      </c>
      <c r="F3126">
        <f>IFERROR(INDEX(ChFormat,MATCH(E3126,ChName,0)),"")</f>
        <v/>
      </c>
      <c r="G3126" t="inlineStr">
        <is>
          <t>PE</t>
        </is>
      </c>
      <c r="H3126">
        <f>IF(A3126&lt;=NWeeks,1,0)</f>
        <v/>
      </c>
      <c r="I3126">
        <f>INDEX(ChLaunch,MATCH(E3126,ChName,0))</f>
        <v/>
      </c>
      <c r="J3126">
        <f>INDEX(ChWeeksFull,MATCH(E3126,ChName,0))</f>
        <v/>
      </c>
      <c r="K3126">
        <f>INDEX(ChRamp,MATCH(E3126,ChName,0))</f>
        <v/>
      </c>
      <c r="L3126" s="45">
        <f>MIN(1,MAX(0,(A3126-I3126+1)*RampSpeed/J3126))</f>
        <v/>
      </c>
      <c r="M3126" s="45">
        <f>IF(A3126&lt;I3126,0,IF(K3126="S-curve",L3126*L3126*(3-2*L3126),L3126))</f>
        <v/>
      </c>
      <c r="N3126" s="45">
        <f>1+(INDEX(SeasonIdx,A3126)-1)*SeasonAmp</f>
        <v/>
      </c>
      <c r="O3126" s="45">
        <f>IFERROR(INDEX(PSPct,MATCH(E3126&amp;"|"&amp;G3126,PSKey,0)),0)</f>
        <v/>
      </c>
      <c r="P3126" s="46">
        <f>INDEX(ChDoorVel,MATCH(E3126,ChName,0))*CalibScalar*(1+VelocityUplift)</f>
        <v/>
      </c>
      <c r="Q3126" s="46" t="n">
        <v>0</v>
      </c>
      <c r="R3126" s="46">
        <f>P3126*O3126*M3126*N3126*H3126</f>
        <v/>
      </c>
      <c r="S3126" s="46">
        <f>R3126*INDEX(FmtCansPerCase,MATCH(F3126,FmtName,0))</f>
        <v/>
      </c>
      <c r="T3126" s="46">
        <f>S3126/INDEX(FmtCansPerPack,MATCH(F3126,FmtName,0))</f>
        <v/>
      </c>
      <c r="U3126" s="47">
        <f>INDEX(ChBaseCP,MATCH(E3126,ChName,0))*(1+INDEX(ProvMod,MATCH(G3126,ProvCode,0)))*(1+PriceIndex)</f>
        <v/>
      </c>
      <c r="V3126" s="47">
        <f>R3126*U3126*INDEX(FmtBlendedPriceIdx,MATCH(F3126,FmtName,0))</f>
        <v/>
      </c>
      <c r="W3126" s="47">
        <f>T3126*INDEX(ProvSRP,MATCH(G3126,ProvCode,0))*(1+PriceIndex)</f>
        <v/>
      </c>
      <c r="X3126" s="47">
        <f>IF(GrossBasis="Wholesale",V3126,W3126)</f>
        <v/>
      </c>
      <c r="Y3126" s="47">
        <f>R3126*INDEX(FmtBlendedCogs,MATCH(F3126,FmtName,0))</f>
        <v/>
      </c>
      <c r="Z3126" s="47">
        <f>X3126-Y3126</f>
        <v/>
      </c>
    </row>
    <row r="3127">
      <c r="A3127" t="n">
        <v>52</v>
      </c>
      <c r="B3127" s="44">
        <f>FiscalStart+(A3127-1)*7</f>
        <v/>
      </c>
      <c r="C3127">
        <f>TEXT(B3127,"mmm yyyy")</f>
        <v/>
      </c>
      <c r="D3127">
        <f>"Q"&amp;(INT((A3127-1)/13)+1)</f>
        <v/>
      </c>
      <c r="E3127" t="inlineStr">
        <is>
          <t>Specialty</t>
        </is>
      </c>
      <c r="F3127">
        <f>IFERROR(INDEX(ChFormat,MATCH(E3127,ChName,0)),"")</f>
        <v/>
      </c>
      <c r="G3127" t="inlineStr">
        <is>
          <t>PE</t>
        </is>
      </c>
      <c r="H3127">
        <f>IF(A3127&lt;=NWeeks,1,0)</f>
        <v/>
      </c>
      <c r="I3127">
        <f>INDEX(ChLaunch,MATCH(E3127,ChName,0))</f>
        <v/>
      </c>
      <c r="J3127">
        <f>INDEX(ChWeeksFull,MATCH(E3127,ChName,0))</f>
        <v/>
      </c>
      <c r="K3127">
        <f>INDEX(ChRamp,MATCH(E3127,ChName,0))</f>
        <v/>
      </c>
      <c r="L3127" s="45">
        <f>MIN(1,MAX(0,(A3127-I3127+1)*RampSpeed/J3127))</f>
        <v/>
      </c>
      <c r="M3127" s="45">
        <f>IF(A3127&lt;I3127,0,IF(K3127="S-curve",L3127*L3127*(3-2*L3127),L3127))</f>
        <v/>
      </c>
      <c r="N3127" s="45">
        <f>1+(INDEX(SeasonIdx,A3127)-1)*SeasonAmp</f>
        <v/>
      </c>
      <c r="O3127" s="45">
        <f>IFERROR(INDEX(PSPct,MATCH(E3127&amp;"|"&amp;G3127,PSKey,0)),0)</f>
        <v/>
      </c>
      <c r="P3127" s="46">
        <f>INDEX(ChDoorVel,MATCH(E3127,ChName,0))*CalibScalar*(1+VelocityUplift)</f>
        <v/>
      </c>
      <c r="Q3127" s="46" t="n">
        <v>0</v>
      </c>
      <c r="R3127" s="46">
        <f>P3127*O3127*M3127*N3127*H3127</f>
        <v/>
      </c>
      <c r="S3127" s="46">
        <f>R3127*INDEX(FmtCansPerCase,MATCH(F3127,FmtName,0))</f>
        <v/>
      </c>
      <c r="T3127" s="46">
        <f>S3127/INDEX(FmtCansPerPack,MATCH(F3127,FmtName,0))</f>
        <v/>
      </c>
      <c r="U3127" s="47">
        <f>INDEX(ChBaseCP,MATCH(E3127,ChName,0))*(1+INDEX(ProvMod,MATCH(G3127,ProvCode,0)))*(1+PriceIndex)</f>
        <v/>
      </c>
      <c r="V3127" s="47">
        <f>R3127*U3127*INDEX(FmtBlendedPriceIdx,MATCH(F3127,FmtName,0))</f>
        <v/>
      </c>
      <c r="W3127" s="47">
        <f>T3127*INDEX(ProvSRP,MATCH(G3127,ProvCode,0))*(1+PriceIndex)</f>
        <v/>
      </c>
      <c r="X3127" s="47">
        <f>IF(GrossBasis="Wholesale",V3127,W3127)</f>
        <v/>
      </c>
      <c r="Y3127" s="47">
        <f>R3127*INDEX(FmtBlendedCogs,MATCH(F3127,FmtName,0))</f>
        <v/>
      </c>
      <c r="Z3127" s="47">
        <f>X3127-Y3127</f>
        <v/>
      </c>
    </row>
    <row r="3128">
      <c r="A3128" t="n">
        <v>53</v>
      </c>
      <c r="B3128" s="44">
        <f>FiscalStart+(A3128-1)*7</f>
        <v/>
      </c>
      <c r="C3128">
        <f>TEXT(B3128,"mmm yyyy")</f>
        <v/>
      </c>
      <c r="D3128">
        <f>"Q"&amp;(INT((A3128-1)/13)+1)</f>
        <v/>
      </c>
      <c r="E3128" t="inlineStr">
        <is>
          <t>Specialty</t>
        </is>
      </c>
      <c r="F3128">
        <f>IFERROR(INDEX(ChFormat,MATCH(E3128,ChName,0)),"")</f>
        <v/>
      </c>
      <c r="G3128" t="inlineStr">
        <is>
          <t>PE</t>
        </is>
      </c>
      <c r="H3128">
        <f>IF(A3128&lt;=NWeeks,1,0)</f>
        <v/>
      </c>
      <c r="I3128">
        <f>INDEX(ChLaunch,MATCH(E3128,ChName,0))</f>
        <v/>
      </c>
      <c r="J3128">
        <f>INDEX(ChWeeksFull,MATCH(E3128,ChName,0))</f>
        <v/>
      </c>
      <c r="K3128">
        <f>INDEX(ChRamp,MATCH(E3128,ChName,0))</f>
        <v/>
      </c>
      <c r="L3128" s="45">
        <f>MIN(1,MAX(0,(A3128-I3128+1)*RampSpeed/J3128))</f>
        <v/>
      </c>
      <c r="M3128" s="45">
        <f>IF(A3128&lt;I3128,0,IF(K3128="S-curve",L3128*L3128*(3-2*L3128),L3128))</f>
        <v/>
      </c>
      <c r="N3128" s="45">
        <f>1+(INDEX(SeasonIdx,A3128)-1)*SeasonAmp</f>
        <v/>
      </c>
      <c r="O3128" s="45">
        <f>IFERROR(INDEX(PSPct,MATCH(E3128&amp;"|"&amp;G3128,PSKey,0)),0)</f>
        <v/>
      </c>
      <c r="P3128" s="46">
        <f>INDEX(ChDoorVel,MATCH(E3128,ChName,0))*CalibScalar*(1+VelocityUplift)</f>
        <v/>
      </c>
      <c r="Q3128" s="46" t="n">
        <v>0</v>
      </c>
      <c r="R3128" s="46">
        <f>P3128*O3128*M3128*N3128*H3128</f>
        <v/>
      </c>
      <c r="S3128" s="46">
        <f>R3128*INDEX(FmtCansPerCase,MATCH(F3128,FmtName,0))</f>
        <v/>
      </c>
      <c r="T3128" s="46">
        <f>S3128/INDEX(FmtCansPerPack,MATCH(F3128,FmtName,0))</f>
        <v/>
      </c>
      <c r="U3128" s="47">
        <f>INDEX(ChBaseCP,MATCH(E3128,ChName,0))*(1+INDEX(ProvMod,MATCH(G3128,ProvCode,0)))*(1+PriceIndex)</f>
        <v/>
      </c>
      <c r="V3128" s="47">
        <f>R3128*U3128*INDEX(FmtBlendedPriceIdx,MATCH(F3128,FmtName,0))</f>
        <v/>
      </c>
      <c r="W3128" s="47">
        <f>T3128*INDEX(ProvSRP,MATCH(G3128,ProvCode,0))*(1+PriceIndex)</f>
        <v/>
      </c>
      <c r="X3128" s="47">
        <f>IF(GrossBasis="Wholesale",V3128,W3128)</f>
        <v/>
      </c>
      <c r="Y3128" s="47">
        <f>R3128*INDEX(FmtBlendedCogs,MATCH(F3128,FmtName,0))</f>
        <v/>
      </c>
      <c r="Z3128" s="47">
        <f>X3128-Y3128</f>
        <v/>
      </c>
    </row>
    <row r="3129">
      <c r="A3129" t="n">
        <v>1</v>
      </c>
      <c r="B3129" s="44">
        <f>FiscalStart+(A3129-1)*7</f>
        <v/>
      </c>
      <c r="C3129">
        <f>TEXT(B3129,"mmm yyyy")</f>
        <v/>
      </c>
      <c r="D3129">
        <f>"Q"&amp;(INT((A3129-1)/13)+1)</f>
        <v/>
      </c>
      <c r="E3129" t="inlineStr">
        <is>
          <t>Specialty</t>
        </is>
      </c>
      <c r="F3129">
        <f>IFERROR(INDEX(ChFormat,MATCH(E3129,ChName,0)),"")</f>
        <v/>
      </c>
      <c r="G3129" t="inlineStr">
        <is>
          <t>NL</t>
        </is>
      </c>
      <c r="H3129">
        <f>IF(A3129&lt;=NWeeks,1,0)</f>
        <v/>
      </c>
      <c r="I3129">
        <f>INDEX(ChLaunch,MATCH(E3129,ChName,0))</f>
        <v/>
      </c>
      <c r="J3129">
        <f>INDEX(ChWeeksFull,MATCH(E3129,ChName,0))</f>
        <v/>
      </c>
      <c r="K3129">
        <f>INDEX(ChRamp,MATCH(E3129,ChName,0))</f>
        <v/>
      </c>
      <c r="L3129" s="45">
        <f>MIN(1,MAX(0,(A3129-I3129+1)*RampSpeed/J3129))</f>
        <v/>
      </c>
      <c r="M3129" s="45">
        <f>IF(A3129&lt;I3129,0,IF(K3129="S-curve",L3129*L3129*(3-2*L3129),L3129))</f>
        <v/>
      </c>
      <c r="N3129" s="45">
        <f>1+(INDEX(SeasonIdx,A3129)-1)*SeasonAmp</f>
        <v/>
      </c>
      <c r="O3129" s="45">
        <f>IFERROR(INDEX(PSPct,MATCH(E3129&amp;"|"&amp;G3129,PSKey,0)),0)</f>
        <v/>
      </c>
      <c r="P3129" s="46">
        <f>INDEX(ChDoorVel,MATCH(E3129,ChName,0))*CalibScalar*(1+VelocityUplift)</f>
        <v/>
      </c>
      <c r="Q3129" s="46" t="n">
        <v>0</v>
      </c>
      <c r="R3129" s="46">
        <f>P3129*O3129*M3129*N3129*H3129</f>
        <v/>
      </c>
      <c r="S3129" s="46">
        <f>R3129*INDEX(FmtCansPerCase,MATCH(F3129,FmtName,0))</f>
        <v/>
      </c>
      <c r="T3129" s="46">
        <f>S3129/INDEX(FmtCansPerPack,MATCH(F3129,FmtName,0))</f>
        <v/>
      </c>
      <c r="U3129" s="47">
        <f>INDEX(ChBaseCP,MATCH(E3129,ChName,0))*(1+INDEX(ProvMod,MATCH(G3129,ProvCode,0)))*(1+PriceIndex)</f>
        <v/>
      </c>
      <c r="V3129" s="47">
        <f>R3129*U3129*INDEX(FmtBlendedPriceIdx,MATCH(F3129,FmtName,0))</f>
        <v/>
      </c>
      <c r="W3129" s="47">
        <f>T3129*INDEX(ProvSRP,MATCH(G3129,ProvCode,0))*(1+PriceIndex)</f>
        <v/>
      </c>
      <c r="X3129" s="47">
        <f>IF(GrossBasis="Wholesale",V3129,W3129)</f>
        <v/>
      </c>
      <c r="Y3129" s="47">
        <f>R3129*INDEX(FmtBlendedCogs,MATCH(F3129,FmtName,0))</f>
        <v/>
      </c>
      <c r="Z3129" s="47">
        <f>X3129-Y3129</f>
        <v/>
      </c>
    </row>
    <row r="3130">
      <c r="A3130" t="n">
        <v>2</v>
      </c>
      <c r="B3130" s="44">
        <f>FiscalStart+(A3130-1)*7</f>
        <v/>
      </c>
      <c r="C3130">
        <f>TEXT(B3130,"mmm yyyy")</f>
        <v/>
      </c>
      <c r="D3130">
        <f>"Q"&amp;(INT((A3130-1)/13)+1)</f>
        <v/>
      </c>
      <c r="E3130" t="inlineStr">
        <is>
          <t>Specialty</t>
        </is>
      </c>
      <c r="F3130">
        <f>IFERROR(INDEX(ChFormat,MATCH(E3130,ChName,0)),"")</f>
        <v/>
      </c>
      <c r="G3130" t="inlineStr">
        <is>
          <t>NL</t>
        </is>
      </c>
      <c r="H3130">
        <f>IF(A3130&lt;=NWeeks,1,0)</f>
        <v/>
      </c>
      <c r="I3130">
        <f>INDEX(ChLaunch,MATCH(E3130,ChName,0))</f>
        <v/>
      </c>
      <c r="J3130">
        <f>INDEX(ChWeeksFull,MATCH(E3130,ChName,0))</f>
        <v/>
      </c>
      <c r="K3130">
        <f>INDEX(ChRamp,MATCH(E3130,ChName,0))</f>
        <v/>
      </c>
      <c r="L3130" s="45">
        <f>MIN(1,MAX(0,(A3130-I3130+1)*RampSpeed/J3130))</f>
        <v/>
      </c>
      <c r="M3130" s="45">
        <f>IF(A3130&lt;I3130,0,IF(K3130="S-curve",L3130*L3130*(3-2*L3130),L3130))</f>
        <v/>
      </c>
      <c r="N3130" s="45">
        <f>1+(INDEX(SeasonIdx,A3130)-1)*SeasonAmp</f>
        <v/>
      </c>
      <c r="O3130" s="45">
        <f>IFERROR(INDEX(PSPct,MATCH(E3130&amp;"|"&amp;G3130,PSKey,0)),0)</f>
        <v/>
      </c>
      <c r="P3130" s="46">
        <f>INDEX(ChDoorVel,MATCH(E3130,ChName,0))*CalibScalar*(1+VelocityUplift)</f>
        <v/>
      </c>
      <c r="Q3130" s="46" t="n">
        <v>0</v>
      </c>
      <c r="R3130" s="46">
        <f>P3130*O3130*M3130*N3130*H3130</f>
        <v/>
      </c>
      <c r="S3130" s="46">
        <f>R3130*INDEX(FmtCansPerCase,MATCH(F3130,FmtName,0))</f>
        <v/>
      </c>
      <c r="T3130" s="46">
        <f>S3130/INDEX(FmtCansPerPack,MATCH(F3130,FmtName,0))</f>
        <v/>
      </c>
      <c r="U3130" s="47">
        <f>INDEX(ChBaseCP,MATCH(E3130,ChName,0))*(1+INDEX(ProvMod,MATCH(G3130,ProvCode,0)))*(1+PriceIndex)</f>
        <v/>
      </c>
      <c r="V3130" s="47">
        <f>R3130*U3130*INDEX(FmtBlendedPriceIdx,MATCH(F3130,FmtName,0))</f>
        <v/>
      </c>
      <c r="W3130" s="47">
        <f>T3130*INDEX(ProvSRP,MATCH(G3130,ProvCode,0))*(1+PriceIndex)</f>
        <v/>
      </c>
      <c r="X3130" s="47">
        <f>IF(GrossBasis="Wholesale",V3130,W3130)</f>
        <v/>
      </c>
      <c r="Y3130" s="47">
        <f>R3130*INDEX(FmtBlendedCogs,MATCH(F3130,FmtName,0))</f>
        <v/>
      </c>
      <c r="Z3130" s="47">
        <f>X3130-Y3130</f>
        <v/>
      </c>
    </row>
    <row r="3131">
      <c r="A3131" t="n">
        <v>3</v>
      </c>
      <c r="B3131" s="44">
        <f>FiscalStart+(A3131-1)*7</f>
        <v/>
      </c>
      <c r="C3131">
        <f>TEXT(B3131,"mmm yyyy")</f>
        <v/>
      </c>
      <c r="D3131">
        <f>"Q"&amp;(INT((A3131-1)/13)+1)</f>
        <v/>
      </c>
      <c r="E3131" t="inlineStr">
        <is>
          <t>Specialty</t>
        </is>
      </c>
      <c r="F3131">
        <f>IFERROR(INDEX(ChFormat,MATCH(E3131,ChName,0)),"")</f>
        <v/>
      </c>
      <c r="G3131" t="inlineStr">
        <is>
          <t>NL</t>
        </is>
      </c>
      <c r="H3131">
        <f>IF(A3131&lt;=NWeeks,1,0)</f>
        <v/>
      </c>
      <c r="I3131">
        <f>INDEX(ChLaunch,MATCH(E3131,ChName,0))</f>
        <v/>
      </c>
      <c r="J3131">
        <f>INDEX(ChWeeksFull,MATCH(E3131,ChName,0))</f>
        <v/>
      </c>
      <c r="K3131">
        <f>INDEX(ChRamp,MATCH(E3131,ChName,0))</f>
        <v/>
      </c>
      <c r="L3131" s="45">
        <f>MIN(1,MAX(0,(A3131-I3131+1)*RampSpeed/J3131))</f>
        <v/>
      </c>
      <c r="M3131" s="45">
        <f>IF(A3131&lt;I3131,0,IF(K3131="S-curve",L3131*L3131*(3-2*L3131),L3131))</f>
        <v/>
      </c>
      <c r="N3131" s="45">
        <f>1+(INDEX(SeasonIdx,A3131)-1)*SeasonAmp</f>
        <v/>
      </c>
      <c r="O3131" s="45">
        <f>IFERROR(INDEX(PSPct,MATCH(E3131&amp;"|"&amp;G3131,PSKey,0)),0)</f>
        <v/>
      </c>
      <c r="P3131" s="46">
        <f>INDEX(ChDoorVel,MATCH(E3131,ChName,0))*CalibScalar*(1+VelocityUplift)</f>
        <v/>
      </c>
      <c r="Q3131" s="46" t="n">
        <v>0</v>
      </c>
      <c r="R3131" s="46">
        <f>P3131*O3131*M3131*N3131*H3131</f>
        <v/>
      </c>
      <c r="S3131" s="46">
        <f>R3131*INDEX(FmtCansPerCase,MATCH(F3131,FmtName,0))</f>
        <v/>
      </c>
      <c r="T3131" s="46">
        <f>S3131/INDEX(FmtCansPerPack,MATCH(F3131,FmtName,0))</f>
        <v/>
      </c>
      <c r="U3131" s="47">
        <f>INDEX(ChBaseCP,MATCH(E3131,ChName,0))*(1+INDEX(ProvMod,MATCH(G3131,ProvCode,0)))*(1+PriceIndex)</f>
        <v/>
      </c>
      <c r="V3131" s="47">
        <f>R3131*U3131*INDEX(FmtBlendedPriceIdx,MATCH(F3131,FmtName,0))</f>
        <v/>
      </c>
      <c r="W3131" s="47">
        <f>T3131*INDEX(ProvSRP,MATCH(G3131,ProvCode,0))*(1+PriceIndex)</f>
        <v/>
      </c>
      <c r="X3131" s="47">
        <f>IF(GrossBasis="Wholesale",V3131,W3131)</f>
        <v/>
      </c>
      <c r="Y3131" s="47">
        <f>R3131*INDEX(FmtBlendedCogs,MATCH(F3131,FmtName,0))</f>
        <v/>
      </c>
      <c r="Z3131" s="47">
        <f>X3131-Y3131</f>
        <v/>
      </c>
    </row>
    <row r="3132">
      <c r="A3132" t="n">
        <v>4</v>
      </c>
      <c r="B3132" s="44">
        <f>FiscalStart+(A3132-1)*7</f>
        <v/>
      </c>
      <c r="C3132">
        <f>TEXT(B3132,"mmm yyyy")</f>
        <v/>
      </c>
      <c r="D3132">
        <f>"Q"&amp;(INT((A3132-1)/13)+1)</f>
        <v/>
      </c>
      <c r="E3132" t="inlineStr">
        <is>
          <t>Specialty</t>
        </is>
      </c>
      <c r="F3132">
        <f>IFERROR(INDEX(ChFormat,MATCH(E3132,ChName,0)),"")</f>
        <v/>
      </c>
      <c r="G3132" t="inlineStr">
        <is>
          <t>NL</t>
        </is>
      </c>
      <c r="H3132">
        <f>IF(A3132&lt;=NWeeks,1,0)</f>
        <v/>
      </c>
      <c r="I3132">
        <f>INDEX(ChLaunch,MATCH(E3132,ChName,0))</f>
        <v/>
      </c>
      <c r="J3132">
        <f>INDEX(ChWeeksFull,MATCH(E3132,ChName,0))</f>
        <v/>
      </c>
      <c r="K3132">
        <f>INDEX(ChRamp,MATCH(E3132,ChName,0))</f>
        <v/>
      </c>
      <c r="L3132" s="45">
        <f>MIN(1,MAX(0,(A3132-I3132+1)*RampSpeed/J3132))</f>
        <v/>
      </c>
      <c r="M3132" s="45">
        <f>IF(A3132&lt;I3132,0,IF(K3132="S-curve",L3132*L3132*(3-2*L3132),L3132))</f>
        <v/>
      </c>
      <c r="N3132" s="45">
        <f>1+(INDEX(SeasonIdx,A3132)-1)*SeasonAmp</f>
        <v/>
      </c>
      <c r="O3132" s="45">
        <f>IFERROR(INDEX(PSPct,MATCH(E3132&amp;"|"&amp;G3132,PSKey,0)),0)</f>
        <v/>
      </c>
      <c r="P3132" s="46">
        <f>INDEX(ChDoorVel,MATCH(E3132,ChName,0))*CalibScalar*(1+VelocityUplift)</f>
        <v/>
      </c>
      <c r="Q3132" s="46" t="n">
        <v>0</v>
      </c>
      <c r="R3132" s="46">
        <f>P3132*O3132*M3132*N3132*H3132</f>
        <v/>
      </c>
      <c r="S3132" s="46">
        <f>R3132*INDEX(FmtCansPerCase,MATCH(F3132,FmtName,0))</f>
        <v/>
      </c>
      <c r="T3132" s="46">
        <f>S3132/INDEX(FmtCansPerPack,MATCH(F3132,FmtName,0))</f>
        <v/>
      </c>
      <c r="U3132" s="47">
        <f>INDEX(ChBaseCP,MATCH(E3132,ChName,0))*(1+INDEX(ProvMod,MATCH(G3132,ProvCode,0)))*(1+PriceIndex)</f>
        <v/>
      </c>
      <c r="V3132" s="47">
        <f>R3132*U3132*INDEX(FmtBlendedPriceIdx,MATCH(F3132,FmtName,0))</f>
        <v/>
      </c>
      <c r="W3132" s="47">
        <f>T3132*INDEX(ProvSRP,MATCH(G3132,ProvCode,0))*(1+PriceIndex)</f>
        <v/>
      </c>
      <c r="X3132" s="47">
        <f>IF(GrossBasis="Wholesale",V3132,W3132)</f>
        <v/>
      </c>
      <c r="Y3132" s="47">
        <f>R3132*INDEX(FmtBlendedCogs,MATCH(F3132,FmtName,0))</f>
        <v/>
      </c>
      <c r="Z3132" s="47">
        <f>X3132-Y3132</f>
        <v/>
      </c>
    </row>
    <row r="3133">
      <c r="A3133" t="n">
        <v>5</v>
      </c>
      <c r="B3133" s="44">
        <f>FiscalStart+(A3133-1)*7</f>
        <v/>
      </c>
      <c r="C3133">
        <f>TEXT(B3133,"mmm yyyy")</f>
        <v/>
      </c>
      <c r="D3133">
        <f>"Q"&amp;(INT((A3133-1)/13)+1)</f>
        <v/>
      </c>
      <c r="E3133" t="inlineStr">
        <is>
          <t>Specialty</t>
        </is>
      </c>
      <c r="F3133">
        <f>IFERROR(INDEX(ChFormat,MATCH(E3133,ChName,0)),"")</f>
        <v/>
      </c>
      <c r="G3133" t="inlineStr">
        <is>
          <t>NL</t>
        </is>
      </c>
      <c r="H3133">
        <f>IF(A3133&lt;=NWeeks,1,0)</f>
        <v/>
      </c>
      <c r="I3133">
        <f>INDEX(ChLaunch,MATCH(E3133,ChName,0))</f>
        <v/>
      </c>
      <c r="J3133">
        <f>INDEX(ChWeeksFull,MATCH(E3133,ChName,0))</f>
        <v/>
      </c>
      <c r="K3133">
        <f>INDEX(ChRamp,MATCH(E3133,ChName,0))</f>
        <v/>
      </c>
      <c r="L3133" s="45">
        <f>MIN(1,MAX(0,(A3133-I3133+1)*RampSpeed/J3133))</f>
        <v/>
      </c>
      <c r="M3133" s="45">
        <f>IF(A3133&lt;I3133,0,IF(K3133="S-curve",L3133*L3133*(3-2*L3133),L3133))</f>
        <v/>
      </c>
      <c r="N3133" s="45">
        <f>1+(INDEX(SeasonIdx,A3133)-1)*SeasonAmp</f>
        <v/>
      </c>
      <c r="O3133" s="45">
        <f>IFERROR(INDEX(PSPct,MATCH(E3133&amp;"|"&amp;G3133,PSKey,0)),0)</f>
        <v/>
      </c>
      <c r="P3133" s="46">
        <f>INDEX(ChDoorVel,MATCH(E3133,ChName,0))*CalibScalar*(1+VelocityUplift)</f>
        <v/>
      </c>
      <c r="Q3133" s="46" t="n">
        <v>0</v>
      </c>
      <c r="R3133" s="46">
        <f>P3133*O3133*M3133*N3133*H3133</f>
        <v/>
      </c>
      <c r="S3133" s="46">
        <f>R3133*INDEX(FmtCansPerCase,MATCH(F3133,FmtName,0))</f>
        <v/>
      </c>
      <c r="T3133" s="46">
        <f>S3133/INDEX(FmtCansPerPack,MATCH(F3133,FmtName,0))</f>
        <v/>
      </c>
      <c r="U3133" s="47">
        <f>INDEX(ChBaseCP,MATCH(E3133,ChName,0))*(1+INDEX(ProvMod,MATCH(G3133,ProvCode,0)))*(1+PriceIndex)</f>
        <v/>
      </c>
      <c r="V3133" s="47">
        <f>R3133*U3133*INDEX(FmtBlendedPriceIdx,MATCH(F3133,FmtName,0))</f>
        <v/>
      </c>
      <c r="W3133" s="47">
        <f>T3133*INDEX(ProvSRP,MATCH(G3133,ProvCode,0))*(1+PriceIndex)</f>
        <v/>
      </c>
      <c r="X3133" s="47">
        <f>IF(GrossBasis="Wholesale",V3133,W3133)</f>
        <v/>
      </c>
      <c r="Y3133" s="47">
        <f>R3133*INDEX(FmtBlendedCogs,MATCH(F3133,FmtName,0))</f>
        <v/>
      </c>
      <c r="Z3133" s="47">
        <f>X3133-Y3133</f>
        <v/>
      </c>
    </row>
    <row r="3134">
      <c r="A3134" t="n">
        <v>6</v>
      </c>
      <c r="B3134" s="44">
        <f>FiscalStart+(A3134-1)*7</f>
        <v/>
      </c>
      <c r="C3134">
        <f>TEXT(B3134,"mmm yyyy")</f>
        <v/>
      </c>
      <c r="D3134">
        <f>"Q"&amp;(INT((A3134-1)/13)+1)</f>
        <v/>
      </c>
      <c r="E3134" t="inlineStr">
        <is>
          <t>Specialty</t>
        </is>
      </c>
      <c r="F3134">
        <f>IFERROR(INDEX(ChFormat,MATCH(E3134,ChName,0)),"")</f>
        <v/>
      </c>
      <c r="G3134" t="inlineStr">
        <is>
          <t>NL</t>
        </is>
      </c>
      <c r="H3134">
        <f>IF(A3134&lt;=NWeeks,1,0)</f>
        <v/>
      </c>
      <c r="I3134">
        <f>INDEX(ChLaunch,MATCH(E3134,ChName,0))</f>
        <v/>
      </c>
      <c r="J3134">
        <f>INDEX(ChWeeksFull,MATCH(E3134,ChName,0))</f>
        <v/>
      </c>
      <c r="K3134">
        <f>INDEX(ChRamp,MATCH(E3134,ChName,0))</f>
        <v/>
      </c>
      <c r="L3134" s="45">
        <f>MIN(1,MAX(0,(A3134-I3134+1)*RampSpeed/J3134))</f>
        <v/>
      </c>
      <c r="M3134" s="45">
        <f>IF(A3134&lt;I3134,0,IF(K3134="S-curve",L3134*L3134*(3-2*L3134),L3134))</f>
        <v/>
      </c>
      <c r="N3134" s="45">
        <f>1+(INDEX(SeasonIdx,A3134)-1)*SeasonAmp</f>
        <v/>
      </c>
      <c r="O3134" s="45">
        <f>IFERROR(INDEX(PSPct,MATCH(E3134&amp;"|"&amp;G3134,PSKey,0)),0)</f>
        <v/>
      </c>
      <c r="P3134" s="46">
        <f>INDEX(ChDoorVel,MATCH(E3134,ChName,0))*CalibScalar*(1+VelocityUplift)</f>
        <v/>
      </c>
      <c r="Q3134" s="46" t="n">
        <v>0</v>
      </c>
      <c r="R3134" s="46">
        <f>P3134*O3134*M3134*N3134*H3134</f>
        <v/>
      </c>
      <c r="S3134" s="46">
        <f>R3134*INDEX(FmtCansPerCase,MATCH(F3134,FmtName,0))</f>
        <v/>
      </c>
      <c r="T3134" s="46">
        <f>S3134/INDEX(FmtCansPerPack,MATCH(F3134,FmtName,0))</f>
        <v/>
      </c>
      <c r="U3134" s="47">
        <f>INDEX(ChBaseCP,MATCH(E3134,ChName,0))*(1+INDEX(ProvMod,MATCH(G3134,ProvCode,0)))*(1+PriceIndex)</f>
        <v/>
      </c>
      <c r="V3134" s="47">
        <f>R3134*U3134*INDEX(FmtBlendedPriceIdx,MATCH(F3134,FmtName,0))</f>
        <v/>
      </c>
      <c r="W3134" s="47">
        <f>T3134*INDEX(ProvSRP,MATCH(G3134,ProvCode,0))*(1+PriceIndex)</f>
        <v/>
      </c>
      <c r="X3134" s="47">
        <f>IF(GrossBasis="Wholesale",V3134,W3134)</f>
        <v/>
      </c>
      <c r="Y3134" s="47">
        <f>R3134*INDEX(FmtBlendedCogs,MATCH(F3134,FmtName,0))</f>
        <v/>
      </c>
      <c r="Z3134" s="47">
        <f>X3134-Y3134</f>
        <v/>
      </c>
    </row>
    <row r="3135">
      <c r="A3135" t="n">
        <v>7</v>
      </c>
      <c r="B3135" s="44">
        <f>FiscalStart+(A3135-1)*7</f>
        <v/>
      </c>
      <c r="C3135">
        <f>TEXT(B3135,"mmm yyyy")</f>
        <v/>
      </c>
      <c r="D3135">
        <f>"Q"&amp;(INT((A3135-1)/13)+1)</f>
        <v/>
      </c>
      <c r="E3135" t="inlineStr">
        <is>
          <t>Specialty</t>
        </is>
      </c>
      <c r="F3135">
        <f>IFERROR(INDEX(ChFormat,MATCH(E3135,ChName,0)),"")</f>
        <v/>
      </c>
      <c r="G3135" t="inlineStr">
        <is>
          <t>NL</t>
        </is>
      </c>
      <c r="H3135">
        <f>IF(A3135&lt;=NWeeks,1,0)</f>
        <v/>
      </c>
      <c r="I3135">
        <f>INDEX(ChLaunch,MATCH(E3135,ChName,0))</f>
        <v/>
      </c>
      <c r="J3135">
        <f>INDEX(ChWeeksFull,MATCH(E3135,ChName,0))</f>
        <v/>
      </c>
      <c r="K3135">
        <f>INDEX(ChRamp,MATCH(E3135,ChName,0))</f>
        <v/>
      </c>
      <c r="L3135" s="45">
        <f>MIN(1,MAX(0,(A3135-I3135+1)*RampSpeed/J3135))</f>
        <v/>
      </c>
      <c r="M3135" s="45">
        <f>IF(A3135&lt;I3135,0,IF(K3135="S-curve",L3135*L3135*(3-2*L3135),L3135))</f>
        <v/>
      </c>
      <c r="N3135" s="45">
        <f>1+(INDEX(SeasonIdx,A3135)-1)*SeasonAmp</f>
        <v/>
      </c>
      <c r="O3135" s="45">
        <f>IFERROR(INDEX(PSPct,MATCH(E3135&amp;"|"&amp;G3135,PSKey,0)),0)</f>
        <v/>
      </c>
      <c r="P3135" s="46">
        <f>INDEX(ChDoorVel,MATCH(E3135,ChName,0))*CalibScalar*(1+VelocityUplift)</f>
        <v/>
      </c>
      <c r="Q3135" s="46" t="n">
        <v>0</v>
      </c>
      <c r="R3135" s="46">
        <f>P3135*O3135*M3135*N3135*H3135</f>
        <v/>
      </c>
      <c r="S3135" s="46">
        <f>R3135*INDEX(FmtCansPerCase,MATCH(F3135,FmtName,0))</f>
        <v/>
      </c>
      <c r="T3135" s="46">
        <f>S3135/INDEX(FmtCansPerPack,MATCH(F3135,FmtName,0))</f>
        <v/>
      </c>
      <c r="U3135" s="47">
        <f>INDEX(ChBaseCP,MATCH(E3135,ChName,0))*(1+INDEX(ProvMod,MATCH(G3135,ProvCode,0)))*(1+PriceIndex)</f>
        <v/>
      </c>
      <c r="V3135" s="47">
        <f>R3135*U3135*INDEX(FmtBlendedPriceIdx,MATCH(F3135,FmtName,0))</f>
        <v/>
      </c>
      <c r="W3135" s="47">
        <f>T3135*INDEX(ProvSRP,MATCH(G3135,ProvCode,0))*(1+PriceIndex)</f>
        <v/>
      </c>
      <c r="X3135" s="47">
        <f>IF(GrossBasis="Wholesale",V3135,W3135)</f>
        <v/>
      </c>
      <c r="Y3135" s="47">
        <f>R3135*INDEX(FmtBlendedCogs,MATCH(F3135,FmtName,0))</f>
        <v/>
      </c>
      <c r="Z3135" s="47">
        <f>X3135-Y3135</f>
        <v/>
      </c>
    </row>
    <row r="3136">
      <c r="A3136" t="n">
        <v>8</v>
      </c>
      <c r="B3136" s="44">
        <f>FiscalStart+(A3136-1)*7</f>
        <v/>
      </c>
      <c r="C3136">
        <f>TEXT(B3136,"mmm yyyy")</f>
        <v/>
      </c>
      <c r="D3136">
        <f>"Q"&amp;(INT((A3136-1)/13)+1)</f>
        <v/>
      </c>
      <c r="E3136" t="inlineStr">
        <is>
          <t>Specialty</t>
        </is>
      </c>
      <c r="F3136">
        <f>IFERROR(INDEX(ChFormat,MATCH(E3136,ChName,0)),"")</f>
        <v/>
      </c>
      <c r="G3136" t="inlineStr">
        <is>
          <t>NL</t>
        </is>
      </c>
      <c r="H3136">
        <f>IF(A3136&lt;=NWeeks,1,0)</f>
        <v/>
      </c>
      <c r="I3136">
        <f>INDEX(ChLaunch,MATCH(E3136,ChName,0))</f>
        <v/>
      </c>
      <c r="J3136">
        <f>INDEX(ChWeeksFull,MATCH(E3136,ChName,0))</f>
        <v/>
      </c>
      <c r="K3136">
        <f>INDEX(ChRamp,MATCH(E3136,ChName,0))</f>
        <v/>
      </c>
      <c r="L3136" s="45">
        <f>MIN(1,MAX(0,(A3136-I3136+1)*RampSpeed/J3136))</f>
        <v/>
      </c>
      <c r="M3136" s="45">
        <f>IF(A3136&lt;I3136,0,IF(K3136="S-curve",L3136*L3136*(3-2*L3136),L3136))</f>
        <v/>
      </c>
      <c r="N3136" s="45">
        <f>1+(INDEX(SeasonIdx,A3136)-1)*SeasonAmp</f>
        <v/>
      </c>
      <c r="O3136" s="45">
        <f>IFERROR(INDEX(PSPct,MATCH(E3136&amp;"|"&amp;G3136,PSKey,0)),0)</f>
        <v/>
      </c>
      <c r="P3136" s="46">
        <f>INDEX(ChDoorVel,MATCH(E3136,ChName,0))*CalibScalar*(1+VelocityUplift)</f>
        <v/>
      </c>
      <c r="Q3136" s="46" t="n">
        <v>0</v>
      </c>
      <c r="R3136" s="46">
        <f>P3136*O3136*M3136*N3136*H3136</f>
        <v/>
      </c>
      <c r="S3136" s="46">
        <f>R3136*INDEX(FmtCansPerCase,MATCH(F3136,FmtName,0))</f>
        <v/>
      </c>
      <c r="T3136" s="46">
        <f>S3136/INDEX(FmtCansPerPack,MATCH(F3136,FmtName,0))</f>
        <v/>
      </c>
      <c r="U3136" s="47">
        <f>INDEX(ChBaseCP,MATCH(E3136,ChName,0))*(1+INDEX(ProvMod,MATCH(G3136,ProvCode,0)))*(1+PriceIndex)</f>
        <v/>
      </c>
      <c r="V3136" s="47">
        <f>R3136*U3136*INDEX(FmtBlendedPriceIdx,MATCH(F3136,FmtName,0))</f>
        <v/>
      </c>
      <c r="W3136" s="47">
        <f>T3136*INDEX(ProvSRP,MATCH(G3136,ProvCode,0))*(1+PriceIndex)</f>
        <v/>
      </c>
      <c r="X3136" s="47">
        <f>IF(GrossBasis="Wholesale",V3136,W3136)</f>
        <v/>
      </c>
      <c r="Y3136" s="47">
        <f>R3136*INDEX(FmtBlendedCogs,MATCH(F3136,FmtName,0))</f>
        <v/>
      </c>
      <c r="Z3136" s="47">
        <f>X3136-Y3136</f>
        <v/>
      </c>
    </row>
    <row r="3137">
      <c r="A3137" t="n">
        <v>9</v>
      </c>
      <c r="B3137" s="44">
        <f>FiscalStart+(A3137-1)*7</f>
        <v/>
      </c>
      <c r="C3137">
        <f>TEXT(B3137,"mmm yyyy")</f>
        <v/>
      </c>
      <c r="D3137">
        <f>"Q"&amp;(INT((A3137-1)/13)+1)</f>
        <v/>
      </c>
      <c r="E3137" t="inlineStr">
        <is>
          <t>Specialty</t>
        </is>
      </c>
      <c r="F3137">
        <f>IFERROR(INDEX(ChFormat,MATCH(E3137,ChName,0)),"")</f>
        <v/>
      </c>
      <c r="G3137" t="inlineStr">
        <is>
          <t>NL</t>
        </is>
      </c>
      <c r="H3137">
        <f>IF(A3137&lt;=NWeeks,1,0)</f>
        <v/>
      </c>
      <c r="I3137">
        <f>INDEX(ChLaunch,MATCH(E3137,ChName,0))</f>
        <v/>
      </c>
      <c r="J3137">
        <f>INDEX(ChWeeksFull,MATCH(E3137,ChName,0))</f>
        <v/>
      </c>
      <c r="K3137">
        <f>INDEX(ChRamp,MATCH(E3137,ChName,0))</f>
        <v/>
      </c>
      <c r="L3137" s="45">
        <f>MIN(1,MAX(0,(A3137-I3137+1)*RampSpeed/J3137))</f>
        <v/>
      </c>
      <c r="M3137" s="45">
        <f>IF(A3137&lt;I3137,0,IF(K3137="S-curve",L3137*L3137*(3-2*L3137),L3137))</f>
        <v/>
      </c>
      <c r="N3137" s="45">
        <f>1+(INDEX(SeasonIdx,A3137)-1)*SeasonAmp</f>
        <v/>
      </c>
      <c r="O3137" s="45">
        <f>IFERROR(INDEX(PSPct,MATCH(E3137&amp;"|"&amp;G3137,PSKey,0)),0)</f>
        <v/>
      </c>
      <c r="P3137" s="46">
        <f>INDEX(ChDoorVel,MATCH(E3137,ChName,0))*CalibScalar*(1+VelocityUplift)</f>
        <v/>
      </c>
      <c r="Q3137" s="46" t="n">
        <v>0</v>
      </c>
      <c r="R3137" s="46">
        <f>P3137*O3137*M3137*N3137*H3137</f>
        <v/>
      </c>
      <c r="S3137" s="46">
        <f>R3137*INDEX(FmtCansPerCase,MATCH(F3137,FmtName,0))</f>
        <v/>
      </c>
      <c r="T3137" s="46">
        <f>S3137/INDEX(FmtCansPerPack,MATCH(F3137,FmtName,0))</f>
        <v/>
      </c>
      <c r="U3137" s="47">
        <f>INDEX(ChBaseCP,MATCH(E3137,ChName,0))*(1+INDEX(ProvMod,MATCH(G3137,ProvCode,0)))*(1+PriceIndex)</f>
        <v/>
      </c>
      <c r="V3137" s="47">
        <f>R3137*U3137*INDEX(FmtBlendedPriceIdx,MATCH(F3137,FmtName,0))</f>
        <v/>
      </c>
      <c r="W3137" s="47">
        <f>T3137*INDEX(ProvSRP,MATCH(G3137,ProvCode,0))*(1+PriceIndex)</f>
        <v/>
      </c>
      <c r="X3137" s="47">
        <f>IF(GrossBasis="Wholesale",V3137,W3137)</f>
        <v/>
      </c>
      <c r="Y3137" s="47">
        <f>R3137*INDEX(FmtBlendedCogs,MATCH(F3137,FmtName,0))</f>
        <v/>
      </c>
      <c r="Z3137" s="47">
        <f>X3137-Y3137</f>
        <v/>
      </c>
    </row>
    <row r="3138">
      <c r="A3138" t="n">
        <v>10</v>
      </c>
      <c r="B3138" s="44">
        <f>FiscalStart+(A3138-1)*7</f>
        <v/>
      </c>
      <c r="C3138">
        <f>TEXT(B3138,"mmm yyyy")</f>
        <v/>
      </c>
      <c r="D3138">
        <f>"Q"&amp;(INT((A3138-1)/13)+1)</f>
        <v/>
      </c>
      <c r="E3138" t="inlineStr">
        <is>
          <t>Specialty</t>
        </is>
      </c>
      <c r="F3138">
        <f>IFERROR(INDEX(ChFormat,MATCH(E3138,ChName,0)),"")</f>
        <v/>
      </c>
      <c r="G3138" t="inlineStr">
        <is>
          <t>NL</t>
        </is>
      </c>
      <c r="H3138">
        <f>IF(A3138&lt;=NWeeks,1,0)</f>
        <v/>
      </c>
      <c r="I3138">
        <f>INDEX(ChLaunch,MATCH(E3138,ChName,0))</f>
        <v/>
      </c>
      <c r="J3138">
        <f>INDEX(ChWeeksFull,MATCH(E3138,ChName,0))</f>
        <v/>
      </c>
      <c r="K3138">
        <f>INDEX(ChRamp,MATCH(E3138,ChName,0))</f>
        <v/>
      </c>
      <c r="L3138" s="45">
        <f>MIN(1,MAX(0,(A3138-I3138+1)*RampSpeed/J3138))</f>
        <v/>
      </c>
      <c r="M3138" s="45">
        <f>IF(A3138&lt;I3138,0,IF(K3138="S-curve",L3138*L3138*(3-2*L3138),L3138))</f>
        <v/>
      </c>
      <c r="N3138" s="45">
        <f>1+(INDEX(SeasonIdx,A3138)-1)*SeasonAmp</f>
        <v/>
      </c>
      <c r="O3138" s="45">
        <f>IFERROR(INDEX(PSPct,MATCH(E3138&amp;"|"&amp;G3138,PSKey,0)),0)</f>
        <v/>
      </c>
      <c r="P3138" s="46">
        <f>INDEX(ChDoorVel,MATCH(E3138,ChName,0))*CalibScalar*(1+VelocityUplift)</f>
        <v/>
      </c>
      <c r="Q3138" s="46" t="n">
        <v>0</v>
      </c>
      <c r="R3138" s="46">
        <f>P3138*O3138*M3138*N3138*H3138</f>
        <v/>
      </c>
      <c r="S3138" s="46">
        <f>R3138*INDEX(FmtCansPerCase,MATCH(F3138,FmtName,0))</f>
        <v/>
      </c>
      <c r="T3138" s="46">
        <f>S3138/INDEX(FmtCansPerPack,MATCH(F3138,FmtName,0))</f>
        <v/>
      </c>
      <c r="U3138" s="47">
        <f>INDEX(ChBaseCP,MATCH(E3138,ChName,0))*(1+INDEX(ProvMod,MATCH(G3138,ProvCode,0)))*(1+PriceIndex)</f>
        <v/>
      </c>
      <c r="V3138" s="47">
        <f>R3138*U3138*INDEX(FmtBlendedPriceIdx,MATCH(F3138,FmtName,0))</f>
        <v/>
      </c>
      <c r="W3138" s="47">
        <f>T3138*INDEX(ProvSRP,MATCH(G3138,ProvCode,0))*(1+PriceIndex)</f>
        <v/>
      </c>
      <c r="X3138" s="47">
        <f>IF(GrossBasis="Wholesale",V3138,W3138)</f>
        <v/>
      </c>
      <c r="Y3138" s="47">
        <f>R3138*INDEX(FmtBlendedCogs,MATCH(F3138,FmtName,0))</f>
        <v/>
      </c>
      <c r="Z3138" s="47">
        <f>X3138-Y3138</f>
        <v/>
      </c>
    </row>
    <row r="3139">
      <c r="A3139" t="n">
        <v>11</v>
      </c>
      <c r="B3139" s="44">
        <f>FiscalStart+(A3139-1)*7</f>
        <v/>
      </c>
      <c r="C3139">
        <f>TEXT(B3139,"mmm yyyy")</f>
        <v/>
      </c>
      <c r="D3139">
        <f>"Q"&amp;(INT((A3139-1)/13)+1)</f>
        <v/>
      </c>
      <c r="E3139" t="inlineStr">
        <is>
          <t>Specialty</t>
        </is>
      </c>
      <c r="F3139">
        <f>IFERROR(INDEX(ChFormat,MATCH(E3139,ChName,0)),"")</f>
        <v/>
      </c>
      <c r="G3139" t="inlineStr">
        <is>
          <t>NL</t>
        </is>
      </c>
      <c r="H3139">
        <f>IF(A3139&lt;=NWeeks,1,0)</f>
        <v/>
      </c>
      <c r="I3139">
        <f>INDEX(ChLaunch,MATCH(E3139,ChName,0))</f>
        <v/>
      </c>
      <c r="J3139">
        <f>INDEX(ChWeeksFull,MATCH(E3139,ChName,0))</f>
        <v/>
      </c>
      <c r="K3139">
        <f>INDEX(ChRamp,MATCH(E3139,ChName,0))</f>
        <v/>
      </c>
      <c r="L3139" s="45">
        <f>MIN(1,MAX(0,(A3139-I3139+1)*RampSpeed/J3139))</f>
        <v/>
      </c>
      <c r="M3139" s="45">
        <f>IF(A3139&lt;I3139,0,IF(K3139="S-curve",L3139*L3139*(3-2*L3139),L3139))</f>
        <v/>
      </c>
      <c r="N3139" s="45">
        <f>1+(INDEX(SeasonIdx,A3139)-1)*SeasonAmp</f>
        <v/>
      </c>
      <c r="O3139" s="45">
        <f>IFERROR(INDEX(PSPct,MATCH(E3139&amp;"|"&amp;G3139,PSKey,0)),0)</f>
        <v/>
      </c>
      <c r="P3139" s="46">
        <f>INDEX(ChDoorVel,MATCH(E3139,ChName,0))*CalibScalar*(1+VelocityUplift)</f>
        <v/>
      </c>
      <c r="Q3139" s="46" t="n">
        <v>0</v>
      </c>
      <c r="R3139" s="46">
        <f>P3139*O3139*M3139*N3139*H3139</f>
        <v/>
      </c>
      <c r="S3139" s="46">
        <f>R3139*INDEX(FmtCansPerCase,MATCH(F3139,FmtName,0))</f>
        <v/>
      </c>
      <c r="T3139" s="46">
        <f>S3139/INDEX(FmtCansPerPack,MATCH(F3139,FmtName,0))</f>
        <v/>
      </c>
      <c r="U3139" s="47">
        <f>INDEX(ChBaseCP,MATCH(E3139,ChName,0))*(1+INDEX(ProvMod,MATCH(G3139,ProvCode,0)))*(1+PriceIndex)</f>
        <v/>
      </c>
      <c r="V3139" s="47">
        <f>R3139*U3139*INDEX(FmtBlendedPriceIdx,MATCH(F3139,FmtName,0))</f>
        <v/>
      </c>
      <c r="W3139" s="47">
        <f>T3139*INDEX(ProvSRP,MATCH(G3139,ProvCode,0))*(1+PriceIndex)</f>
        <v/>
      </c>
      <c r="X3139" s="47">
        <f>IF(GrossBasis="Wholesale",V3139,W3139)</f>
        <v/>
      </c>
      <c r="Y3139" s="47">
        <f>R3139*INDEX(FmtBlendedCogs,MATCH(F3139,FmtName,0))</f>
        <v/>
      </c>
      <c r="Z3139" s="47">
        <f>X3139-Y3139</f>
        <v/>
      </c>
    </row>
    <row r="3140">
      <c r="A3140" t="n">
        <v>12</v>
      </c>
      <c r="B3140" s="44">
        <f>FiscalStart+(A3140-1)*7</f>
        <v/>
      </c>
      <c r="C3140">
        <f>TEXT(B3140,"mmm yyyy")</f>
        <v/>
      </c>
      <c r="D3140">
        <f>"Q"&amp;(INT((A3140-1)/13)+1)</f>
        <v/>
      </c>
      <c r="E3140" t="inlineStr">
        <is>
          <t>Specialty</t>
        </is>
      </c>
      <c r="F3140">
        <f>IFERROR(INDEX(ChFormat,MATCH(E3140,ChName,0)),"")</f>
        <v/>
      </c>
      <c r="G3140" t="inlineStr">
        <is>
          <t>NL</t>
        </is>
      </c>
      <c r="H3140">
        <f>IF(A3140&lt;=NWeeks,1,0)</f>
        <v/>
      </c>
      <c r="I3140">
        <f>INDEX(ChLaunch,MATCH(E3140,ChName,0))</f>
        <v/>
      </c>
      <c r="J3140">
        <f>INDEX(ChWeeksFull,MATCH(E3140,ChName,0))</f>
        <v/>
      </c>
      <c r="K3140">
        <f>INDEX(ChRamp,MATCH(E3140,ChName,0))</f>
        <v/>
      </c>
      <c r="L3140" s="45">
        <f>MIN(1,MAX(0,(A3140-I3140+1)*RampSpeed/J3140))</f>
        <v/>
      </c>
      <c r="M3140" s="45">
        <f>IF(A3140&lt;I3140,0,IF(K3140="S-curve",L3140*L3140*(3-2*L3140),L3140))</f>
        <v/>
      </c>
      <c r="N3140" s="45">
        <f>1+(INDEX(SeasonIdx,A3140)-1)*SeasonAmp</f>
        <v/>
      </c>
      <c r="O3140" s="45">
        <f>IFERROR(INDEX(PSPct,MATCH(E3140&amp;"|"&amp;G3140,PSKey,0)),0)</f>
        <v/>
      </c>
      <c r="P3140" s="46">
        <f>INDEX(ChDoorVel,MATCH(E3140,ChName,0))*CalibScalar*(1+VelocityUplift)</f>
        <v/>
      </c>
      <c r="Q3140" s="46" t="n">
        <v>0</v>
      </c>
      <c r="R3140" s="46">
        <f>P3140*O3140*M3140*N3140*H3140</f>
        <v/>
      </c>
      <c r="S3140" s="46">
        <f>R3140*INDEX(FmtCansPerCase,MATCH(F3140,FmtName,0))</f>
        <v/>
      </c>
      <c r="T3140" s="46">
        <f>S3140/INDEX(FmtCansPerPack,MATCH(F3140,FmtName,0))</f>
        <v/>
      </c>
      <c r="U3140" s="47">
        <f>INDEX(ChBaseCP,MATCH(E3140,ChName,0))*(1+INDEX(ProvMod,MATCH(G3140,ProvCode,0)))*(1+PriceIndex)</f>
        <v/>
      </c>
      <c r="V3140" s="47">
        <f>R3140*U3140*INDEX(FmtBlendedPriceIdx,MATCH(F3140,FmtName,0))</f>
        <v/>
      </c>
      <c r="W3140" s="47">
        <f>T3140*INDEX(ProvSRP,MATCH(G3140,ProvCode,0))*(1+PriceIndex)</f>
        <v/>
      </c>
      <c r="X3140" s="47">
        <f>IF(GrossBasis="Wholesale",V3140,W3140)</f>
        <v/>
      </c>
      <c r="Y3140" s="47">
        <f>R3140*INDEX(FmtBlendedCogs,MATCH(F3140,FmtName,0))</f>
        <v/>
      </c>
      <c r="Z3140" s="47">
        <f>X3140-Y3140</f>
        <v/>
      </c>
    </row>
    <row r="3141">
      <c r="A3141" t="n">
        <v>13</v>
      </c>
      <c r="B3141" s="44">
        <f>FiscalStart+(A3141-1)*7</f>
        <v/>
      </c>
      <c r="C3141">
        <f>TEXT(B3141,"mmm yyyy")</f>
        <v/>
      </c>
      <c r="D3141">
        <f>"Q"&amp;(INT((A3141-1)/13)+1)</f>
        <v/>
      </c>
      <c r="E3141" t="inlineStr">
        <is>
          <t>Specialty</t>
        </is>
      </c>
      <c r="F3141">
        <f>IFERROR(INDEX(ChFormat,MATCH(E3141,ChName,0)),"")</f>
        <v/>
      </c>
      <c r="G3141" t="inlineStr">
        <is>
          <t>NL</t>
        </is>
      </c>
      <c r="H3141">
        <f>IF(A3141&lt;=NWeeks,1,0)</f>
        <v/>
      </c>
      <c r="I3141">
        <f>INDEX(ChLaunch,MATCH(E3141,ChName,0))</f>
        <v/>
      </c>
      <c r="J3141">
        <f>INDEX(ChWeeksFull,MATCH(E3141,ChName,0))</f>
        <v/>
      </c>
      <c r="K3141">
        <f>INDEX(ChRamp,MATCH(E3141,ChName,0))</f>
        <v/>
      </c>
      <c r="L3141" s="45">
        <f>MIN(1,MAX(0,(A3141-I3141+1)*RampSpeed/J3141))</f>
        <v/>
      </c>
      <c r="M3141" s="45">
        <f>IF(A3141&lt;I3141,0,IF(K3141="S-curve",L3141*L3141*(3-2*L3141),L3141))</f>
        <v/>
      </c>
      <c r="N3141" s="45">
        <f>1+(INDEX(SeasonIdx,A3141)-1)*SeasonAmp</f>
        <v/>
      </c>
      <c r="O3141" s="45">
        <f>IFERROR(INDEX(PSPct,MATCH(E3141&amp;"|"&amp;G3141,PSKey,0)),0)</f>
        <v/>
      </c>
      <c r="P3141" s="46">
        <f>INDEX(ChDoorVel,MATCH(E3141,ChName,0))*CalibScalar*(1+VelocityUplift)</f>
        <v/>
      </c>
      <c r="Q3141" s="46" t="n">
        <v>0</v>
      </c>
      <c r="R3141" s="46">
        <f>P3141*O3141*M3141*N3141*H3141</f>
        <v/>
      </c>
      <c r="S3141" s="46">
        <f>R3141*INDEX(FmtCansPerCase,MATCH(F3141,FmtName,0))</f>
        <v/>
      </c>
      <c r="T3141" s="46">
        <f>S3141/INDEX(FmtCansPerPack,MATCH(F3141,FmtName,0))</f>
        <v/>
      </c>
      <c r="U3141" s="47">
        <f>INDEX(ChBaseCP,MATCH(E3141,ChName,0))*(1+INDEX(ProvMod,MATCH(G3141,ProvCode,0)))*(1+PriceIndex)</f>
        <v/>
      </c>
      <c r="V3141" s="47">
        <f>R3141*U3141*INDEX(FmtBlendedPriceIdx,MATCH(F3141,FmtName,0))</f>
        <v/>
      </c>
      <c r="W3141" s="47">
        <f>T3141*INDEX(ProvSRP,MATCH(G3141,ProvCode,0))*(1+PriceIndex)</f>
        <v/>
      </c>
      <c r="X3141" s="47">
        <f>IF(GrossBasis="Wholesale",V3141,W3141)</f>
        <v/>
      </c>
      <c r="Y3141" s="47">
        <f>R3141*INDEX(FmtBlendedCogs,MATCH(F3141,FmtName,0))</f>
        <v/>
      </c>
      <c r="Z3141" s="47">
        <f>X3141-Y3141</f>
        <v/>
      </c>
    </row>
    <row r="3142">
      <c r="A3142" t="n">
        <v>14</v>
      </c>
      <c r="B3142" s="44">
        <f>FiscalStart+(A3142-1)*7</f>
        <v/>
      </c>
      <c r="C3142">
        <f>TEXT(B3142,"mmm yyyy")</f>
        <v/>
      </c>
      <c r="D3142">
        <f>"Q"&amp;(INT((A3142-1)/13)+1)</f>
        <v/>
      </c>
      <c r="E3142" t="inlineStr">
        <is>
          <t>Specialty</t>
        </is>
      </c>
      <c r="F3142">
        <f>IFERROR(INDEX(ChFormat,MATCH(E3142,ChName,0)),"")</f>
        <v/>
      </c>
      <c r="G3142" t="inlineStr">
        <is>
          <t>NL</t>
        </is>
      </c>
      <c r="H3142">
        <f>IF(A3142&lt;=NWeeks,1,0)</f>
        <v/>
      </c>
      <c r="I3142">
        <f>INDEX(ChLaunch,MATCH(E3142,ChName,0))</f>
        <v/>
      </c>
      <c r="J3142">
        <f>INDEX(ChWeeksFull,MATCH(E3142,ChName,0))</f>
        <v/>
      </c>
      <c r="K3142">
        <f>INDEX(ChRamp,MATCH(E3142,ChName,0))</f>
        <v/>
      </c>
      <c r="L3142" s="45">
        <f>MIN(1,MAX(0,(A3142-I3142+1)*RampSpeed/J3142))</f>
        <v/>
      </c>
      <c r="M3142" s="45">
        <f>IF(A3142&lt;I3142,0,IF(K3142="S-curve",L3142*L3142*(3-2*L3142),L3142))</f>
        <v/>
      </c>
      <c r="N3142" s="45">
        <f>1+(INDEX(SeasonIdx,A3142)-1)*SeasonAmp</f>
        <v/>
      </c>
      <c r="O3142" s="45">
        <f>IFERROR(INDEX(PSPct,MATCH(E3142&amp;"|"&amp;G3142,PSKey,0)),0)</f>
        <v/>
      </c>
      <c r="P3142" s="46">
        <f>INDEX(ChDoorVel,MATCH(E3142,ChName,0))*CalibScalar*(1+VelocityUplift)</f>
        <v/>
      </c>
      <c r="Q3142" s="46" t="n">
        <v>0</v>
      </c>
      <c r="R3142" s="46">
        <f>P3142*O3142*M3142*N3142*H3142</f>
        <v/>
      </c>
      <c r="S3142" s="46">
        <f>R3142*INDEX(FmtCansPerCase,MATCH(F3142,FmtName,0))</f>
        <v/>
      </c>
      <c r="T3142" s="46">
        <f>S3142/INDEX(FmtCansPerPack,MATCH(F3142,FmtName,0))</f>
        <v/>
      </c>
      <c r="U3142" s="47">
        <f>INDEX(ChBaseCP,MATCH(E3142,ChName,0))*(1+INDEX(ProvMod,MATCH(G3142,ProvCode,0)))*(1+PriceIndex)</f>
        <v/>
      </c>
      <c r="V3142" s="47">
        <f>R3142*U3142*INDEX(FmtBlendedPriceIdx,MATCH(F3142,FmtName,0))</f>
        <v/>
      </c>
      <c r="W3142" s="47">
        <f>T3142*INDEX(ProvSRP,MATCH(G3142,ProvCode,0))*(1+PriceIndex)</f>
        <v/>
      </c>
      <c r="X3142" s="47">
        <f>IF(GrossBasis="Wholesale",V3142,W3142)</f>
        <v/>
      </c>
      <c r="Y3142" s="47">
        <f>R3142*INDEX(FmtBlendedCogs,MATCH(F3142,FmtName,0))</f>
        <v/>
      </c>
      <c r="Z3142" s="47">
        <f>X3142-Y3142</f>
        <v/>
      </c>
    </row>
    <row r="3143">
      <c r="A3143" t="n">
        <v>15</v>
      </c>
      <c r="B3143" s="44">
        <f>FiscalStart+(A3143-1)*7</f>
        <v/>
      </c>
      <c r="C3143">
        <f>TEXT(B3143,"mmm yyyy")</f>
        <v/>
      </c>
      <c r="D3143">
        <f>"Q"&amp;(INT((A3143-1)/13)+1)</f>
        <v/>
      </c>
      <c r="E3143" t="inlineStr">
        <is>
          <t>Specialty</t>
        </is>
      </c>
      <c r="F3143">
        <f>IFERROR(INDEX(ChFormat,MATCH(E3143,ChName,0)),"")</f>
        <v/>
      </c>
      <c r="G3143" t="inlineStr">
        <is>
          <t>NL</t>
        </is>
      </c>
      <c r="H3143">
        <f>IF(A3143&lt;=NWeeks,1,0)</f>
        <v/>
      </c>
      <c r="I3143">
        <f>INDEX(ChLaunch,MATCH(E3143,ChName,0))</f>
        <v/>
      </c>
      <c r="J3143">
        <f>INDEX(ChWeeksFull,MATCH(E3143,ChName,0))</f>
        <v/>
      </c>
      <c r="K3143">
        <f>INDEX(ChRamp,MATCH(E3143,ChName,0))</f>
        <v/>
      </c>
      <c r="L3143" s="45">
        <f>MIN(1,MAX(0,(A3143-I3143+1)*RampSpeed/J3143))</f>
        <v/>
      </c>
      <c r="M3143" s="45">
        <f>IF(A3143&lt;I3143,0,IF(K3143="S-curve",L3143*L3143*(3-2*L3143),L3143))</f>
        <v/>
      </c>
      <c r="N3143" s="45">
        <f>1+(INDEX(SeasonIdx,A3143)-1)*SeasonAmp</f>
        <v/>
      </c>
      <c r="O3143" s="45">
        <f>IFERROR(INDEX(PSPct,MATCH(E3143&amp;"|"&amp;G3143,PSKey,0)),0)</f>
        <v/>
      </c>
      <c r="P3143" s="46">
        <f>INDEX(ChDoorVel,MATCH(E3143,ChName,0))*CalibScalar*(1+VelocityUplift)</f>
        <v/>
      </c>
      <c r="Q3143" s="46" t="n">
        <v>0</v>
      </c>
      <c r="R3143" s="46">
        <f>P3143*O3143*M3143*N3143*H3143</f>
        <v/>
      </c>
      <c r="S3143" s="46">
        <f>R3143*INDEX(FmtCansPerCase,MATCH(F3143,FmtName,0))</f>
        <v/>
      </c>
      <c r="T3143" s="46">
        <f>S3143/INDEX(FmtCansPerPack,MATCH(F3143,FmtName,0))</f>
        <v/>
      </c>
      <c r="U3143" s="47">
        <f>INDEX(ChBaseCP,MATCH(E3143,ChName,0))*(1+INDEX(ProvMod,MATCH(G3143,ProvCode,0)))*(1+PriceIndex)</f>
        <v/>
      </c>
      <c r="V3143" s="47">
        <f>R3143*U3143*INDEX(FmtBlendedPriceIdx,MATCH(F3143,FmtName,0))</f>
        <v/>
      </c>
      <c r="W3143" s="47">
        <f>T3143*INDEX(ProvSRP,MATCH(G3143,ProvCode,0))*(1+PriceIndex)</f>
        <v/>
      </c>
      <c r="X3143" s="47">
        <f>IF(GrossBasis="Wholesale",V3143,W3143)</f>
        <v/>
      </c>
      <c r="Y3143" s="47">
        <f>R3143*INDEX(FmtBlendedCogs,MATCH(F3143,FmtName,0))</f>
        <v/>
      </c>
      <c r="Z3143" s="47">
        <f>X3143-Y3143</f>
        <v/>
      </c>
    </row>
    <row r="3144">
      <c r="A3144" t="n">
        <v>16</v>
      </c>
      <c r="B3144" s="44">
        <f>FiscalStart+(A3144-1)*7</f>
        <v/>
      </c>
      <c r="C3144">
        <f>TEXT(B3144,"mmm yyyy")</f>
        <v/>
      </c>
      <c r="D3144">
        <f>"Q"&amp;(INT((A3144-1)/13)+1)</f>
        <v/>
      </c>
      <c r="E3144" t="inlineStr">
        <is>
          <t>Specialty</t>
        </is>
      </c>
      <c r="F3144">
        <f>IFERROR(INDEX(ChFormat,MATCH(E3144,ChName,0)),"")</f>
        <v/>
      </c>
      <c r="G3144" t="inlineStr">
        <is>
          <t>NL</t>
        </is>
      </c>
      <c r="H3144">
        <f>IF(A3144&lt;=NWeeks,1,0)</f>
        <v/>
      </c>
      <c r="I3144">
        <f>INDEX(ChLaunch,MATCH(E3144,ChName,0))</f>
        <v/>
      </c>
      <c r="J3144">
        <f>INDEX(ChWeeksFull,MATCH(E3144,ChName,0))</f>
        <v/>
      </c>
      <c r="K3144">
        <f>INDEX(ChRamp,MATCH(E3144,ChName,0))</f>
        <v/>
      </c>
      <c r="L3144" s="45">
        <f>MIN(1,MAX(0,(A3144-I3144+1)*RampSpeed/J3144))</f>
        <v/>
      </c>
      <c r="M3144" s="45">
        <f>IF(A3144&lt;I3144,0,IF(K3144="S-curve",L3144*L3144*(3-2*L3144),L3144))</f>
        <v/>
      </c>
      <c r="N3144" s="45">
        <f>1+(INDEX(SeasonIdx,A3144)-1)*SeasonAmp</f>
        <v/>
      </c>
      <c r="O3144" s="45">
        <f>IFERROR(INDEX(PSPct,MATCH(E3144&amp;"|"&amp;G3144,PSKey,0)),0)</f>
        <v/>
      </c>
      <c r="P3144" s="46">
        <f>INDEX(ChDoorVel,MATCH(E3144,ChName,0))*CalibScalar*(1+VelocityUplift)</f>
        <v/>
      </c>
      <c r="Q3144" s="46" t="n">
        <v>0</v>
      </c>
      <c r="R3144" s="46">
        <f>P3144*O3144*M3144*N3144*H3144</f>
        <v/>
      </c>
      <c r="S3144" s="46">
        <f>R3144*INDEX(FmtCansPerCase,MATCH(F3144,FmtName,0))</f>
        <v/>
      </c>
      <c r="T3144" s="46">
        <f>S3144/INDEX(FmtCansPerPack,MATCH(F3144,FmtName,0))</f>
        <v/>
      </c>
      <c r="U3144" s="47">
        <f>INDEX(ChBaseCP,MATCH(E3144,ChName,0))*(1+INDEX(ProvMod,MATCH(G3144,ProvCode,0)))*(1+PriceIndex)</f>
        <v/>
      </c>
      <c r="V3144" s="47">
        <f>R3144*U3144*INDEX(FmtBlendedPriceIdx,MATCH(F3144,FmtName,0))</f>
        <v/>
      </c>
      <c r="W3144" s="47">
        <f>T3144*INDEX(ProvSRP,MATCH(G3144,ProvCode,0))*(1+PriceIndex)</f>
        <v/>
      </c>
      <c r="X3144" s="47">
        <f>IF(GrossBasis="Wholesale",V3144,W3144)</f>
        <v/>
      </c>
      <c r="Y3144" s="47">
        <f>R3144*INDEX(FmtBlendedCogs,MATCH(F3144,FmtName,0))</f>
        <v/>
      </c>
      <c r="Z3144" s="47">
        <f>X3144-Y3144</f>
        <v/>
      </c>
    </row>
    <row r="3145">
      <c r="A3145" t="n">
        <v>17</v>
      </c>
      <c r="B3145" s="44">
        <f>FiscalStart+(A3145-1)*7</f>
        <v/>
      </c>
      <c r="C3145">
        <f>TEXT(B3145,"mmm yyyy")</f>
        <v/>
      </c>
      <c r="D3145">
        <f>"Q"&amp;(INT((A3145-1)/13)+1)</f>
        <v/>
      </c>
      <c r="E3145" t="inlineStr">
        <is>
          <t>Specialty</t>
        </is>
      </c>
      <c r="F3145">
        <f>IFERROR(INDEX(ChFormat,MATCH(E3145,ChName,0)),"")</f>
        <v/>
      </c>
      <c r="G3145" t="inlineStr">
        <is>
          <t>NL</t>
        </is>
      </c>
      <c r="H3145">
        <f>IF(A3145&lt;=NWeeks,1,0)</f>
        <v/>
      </c>
      <c r="I3145">
        <f>INDEX(ChLaunch,MATCH(E3145,ChName,0))</f>
        <v/>
      </c>
      <c r="J3145">
        <f>INDEX(ChWeeksFull,MATCH(E3145,ChName,0))</f>
        <v/>
      </c>
      <c r="K3145">
        <f>INDEX(ChRamp,MATCH(E3145,ChName,0))</f>
        <v/>
      </c>
      <c r="L3145" s="45">
        <f>MIN(1,MAX(0,(A3145-I3145+1)*RampSpeed/J3145))</f>
        <v/>
      </c>
      <c r="M3145" s="45">
        <f>IF(A3145&lt;I3145,0,IF(K3145="S-curve",L3145*L3145*(3-2*L3145),L3145))</f>
        <v/>
      </c>
      <c r="N3145" s="45">
        <f>1+(INDEX(SeasonIdx,A3145)-1)*SeasonAmp</f>
        <v/>
      </c>
      <c r="O3145" s="45">
        <f>IFERROR(INDEX(PSPct,MATCH(E3145&amp;"|"&amp;G3145,PSKey,0)),0)</f>
        <v/>
      </c>
      <c r="P3145" s="46">
        <f>INDEX(ChDoorVel,MATCH(E3145,ChName,0))*CalibScalar*(1+VelocityUplift)</f>
        <v/>
      </c>
      <c r="Q3145" s="46" t="n">
        <v>0</v>
      </c>
      <c r="R3145" s="46">
        <f>P3145*O3145*M3145*N3145*H3145</f>
        <v/>
      </c>
      <c r="S3145" s="46">
        <f>R3145*INDEX(FmtCansPerCase,MATCH(F3145,FmtName,0))</f>
        <v/>
      </c>
      <c r="T3145" s="46">
        <f>S3145/INDEX(FmtCansPerPack,MATCH(F3145,FmtName,0))</f>
        <v/>
      </c>
      <c r="U3145" s="47">
        <f>INDEX(ChBaseCP,MATCH(E3145,ChName,0))*(1+INDEX(ProvMod,MATCH(G3145,ProvCode,0)))*(1+PriceIndex)</f>
        <v/>
      </c>
      <c r="V3145" s="47">
        <f>R3145*U3145*INDEX(FmtBlendedPriceIdx,MATCH(F3145,FmtName,0))</f>
        <v/>
      </c>
      <c r="W3145" s="47">
        <f>T3145*INDEX(ProvSRP,MATCH(G3145,ProvCode,0))*(1+PriceIndex)</f>
        <v/>
      </c>
      <c r="X3145" s="47">
        <f>IF(GrossBasis="Wholesale",V3145,W3145)</f>
        <v/>
      </c>
      <c r="Y3145" s="47">
        <f>R3145*INDEX(FmtBlendedCogs,MATCH(F3145,FmtName,0))</f>
        <v/>
      </c>
      <c r="Z3145" s="47">
        <f>X3145-Y3145</f>
        <v/>
      </c>
    </row>
    <row r="3146">
      <c r="A3146" t="n">
        <v>18</v>
      </c>
      <c r="B3146" s="44">
        <f>FiscalStart+(A3146-1)*7</f>
        <v/>
      </c>
      <c r="C3146">
        <f>TEXT(B3146,"mmm yyyy")</f>
        <v/>
      </c>
      <c r="D3146">
        <f>"Q"&amp;(INT((A3146-1)/13)+1)</f>
        <v/>
      </c>
      <c r="E3146" t="inlineStr">
        <is>
          <t>Specialty</t>
        </is>
      </c>
      <c r="F3146">
        <f>IFERROR(INDEX(ChFormat,MATCH(E3146,ChName,0)),"")</f>
        <v/>
      </c>
      <c r="G3146" t="inlineStr">
        <is>
          <t>NL</t>
        </is>
      </c>
      <c r="H3146">
        <f>IF(A3146&lt;=NWeeks,1,0)</f>
        <v/>
      </c>
      <c r="I3146">
        <f>INDEX(ChLaunch,MATCH(E3146,ChName,0))</f>
        <v/>
      </c>
      <c r="J3146">
        <f>INDEX(ChWeeksFull,MATCH(E3146,ChName,0))</f>
        <v/>
      </c>
      <c r="K3146">
        <f>INDEX(ChRamp,MATCH(E3146,ChName,0))</f>
        <v/>
      </c>
      <c r="L3146" s="45">
        <f>MIN(1,MAX(0,(A3146-I3146+1)*RampSpeed/J3146))</f>
        <v/>
      </c>
      <c r="M3146" s="45">
        <f>IF(A3146&lt;I3146,0,IF(K3146="S-curve",L3146*L3146*(3-2*L3146),L3146))</f>
        <v/>
      </c>
      <c r="N3146" s="45">
        <f>1+(INDEX(SeasonIdx,A3146)-1)*SeasonAmp</f>
        <v/>
      </c>
      <c r="O3146" s="45">
        <f>IFERROR(INDEX(PSPct,MATCH(E3146&amp;"|"&amp;G3146,PSKey,0)),0)</f>
        <v/>
      </c>
      <c r="P3146" s="46">
        <f>INDEX(ChDoorVel,MATCH(E3146,ChName,0))*CalibScalar*(1+VelocityUplift)</f>
        <v/>
      </c>
      <c r="Q3146" s="46" t="n">
        <v>0</v>
      </c>
      <c r="R3146" s="46">
        <f>P3146*O3146*M3146*N3146*H3146</f>
        <v/>
      </c>
      <c r="S3146" s="46">
        <f>R3146*INDEX(FmtCansPerCase,MATCH(F3146,FmtName,0))</f>
        <v/>
      </c>
      <c r="T3146" s="46">
        <f>S3146/INDEX(FmtCansPerPack,MATCH(F3146,FmtName,0))</f>
        <v/>
      </c>
      <c r="U3146" s="47">
        <f>INDEX(ChBaseCP,MATCH(E3146,ChName,0))*(1+INDEX(ProvMod,MATCH(G3146,ProvCode,0)))*(1+PriceIndex)</f>
        <v/>
      </c>
      <c r="V3146" s="47">
        <f>R3146*U3146*INDEX(FmtBlendedPriceIdx,MATCH(F3146,FmtName,0))</f>
        <v/>
      </c>
      <c r="W3146" s="47">
        <f>T3146*INDEX(ProvSRP,MATCH(G3146,ProvCode,0))*(1+PriceIndex)</f>
        <v/>
      </c>
      <c r="X3146" s="47">
        <f>IF(GrossBasis="Wholesale",V3146,W3146)</f>
        <v/>
      </c>
      <c r="Y3146" s="47">
        <f>R3146*INDEX(FmtBlendedCogs,MATCH(F3146,FmtName,0))</f>
        <v/>
      </c>
      <c r="Z3146" s="47">
        <f>X3146-Y3146</f>
        <v/>
      </c>
    </row>
    <row r="3147">
      <c r="A3147" t="n">
        <v>19</v>
      </c>
      <c r="B3147" s="44">
        <f>FiscalStart+(A3147-1)*7</f>
        <v/>
      </c>
      <c r="C3147">
        <f>TEXT(B3147,"mmm yyyy")</f>
        <v/>
      </c>
      <c r="D3147">
        <f>"Q"&amp;(INT((A3147-1)/13)+1)</f>
        <v/>
      </c>
      <c r="E3147" t="inlineStr">
        <is>
          <t>Specialty</t>
        </is>
      </c>
      <c r="F3147">
        <f>IFERROR(INDEX(ChFormat,MATCH(E3147,ChName,0)),"")</f>
        <v/>
      </c>
      <c r="G3147" t="inlineStr">
        <is>
          <t>NL</t>
        </is>
      </c>
      <c r="H3147">
        <f>IF(A3147&lt;=NWeeks,1,0)</f>
        <v/>
      </c>
      <c r="I3147">
        <f>INDEX(ChLaunch,MATCH(E3147,ChName,0))</f>
        <v/>
      </c>
      <c r="J3147">
        <f>INDEX(ChWeeksFull,MATCH(E3147,ChName,0))</f>
        <v/>
      </c>
      <c r="K3147">
        <f>INDEX(ChRamp,MATCH(E3147,ChName,0))</f>
        <v/>
      </c>
      <c r="L3147" s="45">
        <f>MIN(1,MAX(0,(A3147-I3147+1)*RampSpeed/J3147))</f>
        <v/>
      </c>
      <c r="M3147" s="45">
        <f>IF(A3147&lt;I3147,0,IF(K3147="S-curve",L3147*L3147*(3-2*L3147),L3147))</f>
        <v/>
      </c>
      <c r="N3147" s="45">
        <f>1+(INDEX(SeasonIdx,A3147)-1)*SeasonAmp</f>
        <v/>
      </c>
      <c r="O3147" s="45">
        <f>IFERROR(INDEX(PSPct,MATCH(E3147&amp;"|"&amp;G3147,PSKey,0)),0)</f>
        <v/>
      </c>
      <c r="P3147" s="46">
        <f>INDEX(ChDoorVel,MATCH(E3147,ChName,0))*CalibScalar*(1+VelocityUplift)</f>
        <v/>
      </c>
      <c r="Q3147" s="46" t="n">
        <v>0</v>
      </c>
      <c r="R3147" s="46">
        <f>P3147*O3147*M3147*N3147*H3147</f>
        <v/>
      </c>
      <c r="S3147" s="46">
        <f>R3147*INDEX(FmtCansPerCase,MATCH(F3147,FmtName,0))</f>
        <v/>
      </c>
      <c r="T3147" s="46">
        <f>S3147/INDEX(FmtCansPerPack,MATCH(F3147,FmtName,0))</f>
        <v/>
      </c>
      <c r="U3147" s="47">
        <f>INDEX(ChBaseCP,MATCH(E3147,ChName,0))*(1+INDEX(ProvMod,MATCH(G3147,ProvCode,0)))*(1+PriceIndex)</f>
        <v/>
      </c>
      <c r="V3147" s="47">
        <f>R3147*U3147*INDEX(FmtBlendedPriceIdx,MATCH(F3147,FmtName,0))</f>
        <v/>
      </c>
      <c r="W3147" s="47">
        <f>T3147*INDEX(ProvSRP,MATCH(G3147,ProvCode,0))*(1+PriceIndex)</f>
        <v/>
      </c>
      <c r="X3147" s="47">
        <f>IF(GrossBasis="Wholesale",V3147,W3147)</f>
        <v/>
      </c>
      <c r="Y3147" s="47">
        <f>R3147*INDEX(FmtBlendedCogs,MATCH(F3147,FmtName,0))</f>
        <v/>
      </c>
      <c r="Z3147" s="47">
        <f>X3147-Y3147</f>
        <v/>
      </c>
    </row>
    <row r="3148">
      <c r="A3148" t="n">
        <v>20</v>
      </c>
      <c r="B3148" s="44">
        <f>FiscalStart+(A3148-1)*7</f>
        <v/>
      </c>
      <c r="C3148">
        <f>TEXT(B3148,"mmm yyyy")</f>
        <v/>
      </c>
      <c r="D3148">
        <f>"Q"&amp;(INT((A3148-1)/13)+1)</f>
        <v/>
      </c>
      <c r="E3148" t="inlineStr">
        <is>
          <t>Specialty</t>
        </is>
      </c>
      <c r="F3148">
        <f>IFERROR(INDEX(ChFormat,MATCH(E3148,ChName,0)),"")</f>
        <v/>
      </c>
      <c r="G3148" t="inlineStr">
        <is>
          <t>NL</t>
        </is>
      </c>
      <c r="H3148">
        <f>IF(A3148&lt;=NWeeks,1,0)</f>
        <v/>
      </c>
      <c r="I3148">
        <f>INDEX(ChLaunch,MATCH(E3148,ChName,0))</f>
        <v/>
      </c>
      <c r="J3148">
        <f>INDEX(ChWeeksFull,MATCH(E3148,ChName,0))</f>
        <v/>
      </c>
      <c r="K3148">
        <f>INDEX(ChRamp,MATCH(E3148,ChName,0))</f>
        <v/>
      </c>
      <c r="L3148" s="45">
        <f>MIN(1,MAX(0,(A3148-I3148+1)*RampSpeed/J3148))</f>
        <v/>
      </c>
      <c r="M3148" s="45">
        <f>IF(A3148&lt;I3148,0,IF(K3148="S-curve",L3148*L3148*(3-2*L3148),L3148))</f>
        <v/>
      </c>
      <c r="N3148" s="45">
        <f>1+(INDEX(SeasonIdx,A3148)-1)*SeasonAmp</f>
        <v/>
      </c>
      <c r="O3148" s="45">
        <f>IFERROR(INDEX(PSPct,MATCH(E3148&amp;"|"&amp;G3148,PSKey,0)),0)</f>
        <v/>
      </c>
      <c r="P3148" s="46">
        <f>INDEX(ChDoorVel,MATCH(E3148,ChName,0))*CalibScalar*(1+VelocityUplift)</f>
        <v/>
      </c>
      <c r="Q3148" s="46" t="n">
        <v>0</v>
      </c>
      <c r="R3148" s="46">
        <f>P3148*O3148*M3148*N3148*H3148</f>
        <v/>
      </c>
      <c r="S3148" s="46">
        <f>R3148*INDEX(FmtCansPerCase,MATCH(F3148,FmtName,0))</f>
        <v/>
      </c>
      <c r="T3148" s="46">
        <f>S3148/INDEX(FmtCansPerPack,MATCH(F3148,FmtName,0))</f>
        <v/>
      </c>
      <c r="U3148" s="47">
        <f>INDEX(ChBaseCP,MATCH(E3148,ChName,0))*(1+INDEX(ProvMod,MATCH(G3148,ProvCode,0)))*(1+PriceIndex)</f>
        <v/>
      </c>
      <c r="V3148" s="47">
        <f>R3148*U3148*INDEX(FmtBlendedPriceIdx,MATCH(F3148,FmtName,0))</f>
        <v/>
      </c>
      <c r="W3148" s="47">
        <f>T3148*INDEX(ProvSRP,MATCH(G3148,ProvCode,0))*(1+PriceIndex)</f>
        <v/>
      </c>
      <c r="X3148" s="47">
        <f>IF(GrossBasis="Wholesale",V3148,W3148)</f>
        <v/>
      </c>
      <c r="Y3148" s="47">
        <f>R3148*INDEX(FmtBlendedCogs,MATCH(F3148,FmtName,0))</f>
        <v/>
      </c>
      <c r="Z3148" s="47">
        <f>X3148-Y3148</f>
        <v/>
      </c>
    </row>
    <row r="3149">
      <c r="A3149" t="n">
        <v>21</v>
      </c>
      <c r="B3149" s="44">
        <f>FiscalStart+(A3149-1)*7</f>
        <v/>
      </c>
      <c r="C3149">
        <f>TEXT(B3149,"mmm yyyy")</f>
        <v/>
      </c>
      <c r="D3149">
        <f>"Q"&amp;(INT((A3149-1)/13)+1)</f>
        <v/>
      </c>
      <c r="E3149" t="inlineStr">
        <is>
          <t>Specialty</t>
        </is>
      </c>
      <c r="F3149">
        <f>IFERROR(INDEX(ChFormat,MATCH(E3149,ChName,0)),"")</f>
        <v/>
      </c>
      <c r="G3149" t="inlineStr">
        <is>
          <t>NL</t>
        </is>
      </c>
      <c r="H3149">
        <f>IF(A3149&lt;=NWeeks,1,0)</f>
        <v/>
      </c>
      <c r="I3149">
        <f>INDEX(ChLaunch,MATCH(E3149,ChName,0))</f>
        <v/>
      </c>
      <c r="J3149">
        <f>INDEX(ChWeeksFull,MATCH(E3149,ChName,0))</f>
        <v/>
      </c>
      <c r="K3149">
        <f>INDEX(ChRamp,MATCH(E3149,ChName,0))</f>
        <v/>
      </c>
      <c r="L3149" s="45">
        <f>MIN(1,MAX(0,(A3149-I3149+1)*RampSpeed/J3149))</f>
        <v/>
      </c>
      <c r="M3149" s="45">
        <f>IF(A3149&lt;I3149,0,IF(K3149="S-curve",L3149*L3149*(3-2*L3149),L3149))</f>
        <v/>
      </c>
      <c r="N3149" s="45">
        <f>1+(INDEX(SeasonIdx,A3149)-1)*SeasonAmp</f>
        <v/>
      </c>
      <c r="O3149" s="45">
        <f>IFERROR(INDEX(PSPct,MATCH(E3149&amp;"|"&amp;G3149,PSKey,0)),0)</f>
        <v/>
      </c>
      <c r="P3149" s="46">
        <f>INDEX(ChDoorVel,MATCH(E3149,ChName,0))*CalibScalar*(1+VelocityUplift)</f>
        <v/>
      </c>
      <c r="Q3149" s="46" t="n">
        <v>0</v>
      </c>
      <c r="R3149" s="46">
        <f>P3149*O3149*M3149*N3149*H3149</f>
        <v/>
      </c>
      <c r="S3149" s="46">
        <f>R3149*INDEX(FmtCansPerCase,MATCH(F3149,FmtName,0))</f>
        <v/>
      </c>
      <c r="T3149" s="46">
        <f>S3149/INDEX(FmtCansPerPack,MATCH(F3149,FmtName,0))</f>
        <v/>
      </c>
      <c r="U3149" s="47">
        <f>INDEX(ChBaseCP,MATCH(E3149,ChName,0))*(1+INDEX(ProvMod,MATCH(G3149,ProvCode,0)))*(1+PriceIndex)</f>
        <v/>
      </c>
      <c r="V3149" s="47">
        <f>R3149*U3149*INDEX(FmtBlendedPriceIdx,MATCH(F3149,FmtName,0))</f>
        <v/>
      </c>
      <c r="W3149" s="47">
        <f>T3149*INDEX(ProvSRP,MATCH(G3149,ProvCode,0))*(1+PriceIndex)</f>
        <v/>
      </c>
      <c r="X3149" s="47">
        <f>IF(GrossBasis="Wholesale",V3149,W3149)</f>
        <v/>
      </c>
      <c r="Y3149" s="47">
        <f>R3149*INDEX(FmtBlendedCogs,MATCH(F3149,FmtName,0))</f>
        <v/>
      </c>
      <c r="Z3149" s="47">
        <f>X3149-Y3149</f>
        <v/>
      </c>
    </row>
    <row r="3150">
      <c r="A3150" t="n">
        <v>22</v>
      </c>
      <c r="B3150" s="44">
        <f>FiscalStart+(A3150-1)*7</f>
        <v/>
      </c>
      <c r="C3150">
        <f>TEXT(B3150,"mmm yyyy")</f>
        <v/>
      </c>
      <c r="D3150">
        <f>"Q"&amp;(INT((A3150-1)/13)+1)</f>
        <v/>
      </c>
      <c r="E3150" t="inlineStr">
        <is>
          <t>Specialty</t>
        </is>
      </c>
      <c r="F3150">
        <f>IFERROR(INDEX(ChFormat,MATCH(E3150,ChName,0)),"")</f>
        <v/>
      </c>
      <c r="G3150" t="inlineStr">
        <is>
          <t>NL</t>
        </is>
      </c>
      <c r="H3150">
        <f>IF(A3150&lt;=NWeeks,1,0)</f>
        <v/>
      </c>
      <c r="I3150">
        <f>INDEX(ChLaunch,MATCH(E3150,ChName,0))</f>
        <v/>
      </c>
      <c r="J3150">
        <f>INDEX(ChWeeksFull,MATCH(E3150,ChName,0))</f>
        <v/>
      </c>
      <c r="K3150">
        <f>INDEX(ChRamp,MATCH(E3150,ChName,0))</f>
        <v/>
      </c>
      <c r="L3150" s="45">
        <f>MIN(1,MAX(0,(A3150-I3150+1)*RampSpeed/J3150))</f>
        <v/>
      </c>
      <c r="M3150" s="45">
        <f>IF(A3150&lt;I3150,0,IF(K3150="S-curve",L3150*L3150*(3-2*L3150),L3150))</f>
        <v/>
      </c>
      <c r="N3150" s="45">
        <f>1+(INDEX(SeasonIdx,A3150)-1)*SeasonAmp</f>
        <v/>
      </c>
      <c r="O3150" s="45">
        <f>IFERROR(INDEX(PSPct,MATCH(E3150&amp;"|"&amp;G3150,PSKey,0)),0)</f>
        <v/>
      </c>
      <c r="P3150" s="46">
        <f>INDEX(ChDoorVel,MATCH(E3150,ChName,0))*CalibScalar*(1+VelocityUplift)</f>
        <v/>
      </c>
      <c r="Q3150" s="46" t="n">
        <v>0</v>
      </c>
      <c r="R3150" s="46">
        <f>P3150*O3150*M3150*N3150*H3150</f>
        <v/>
      </c>
      <c r="S3150" s="46">
        <f>R3150*INDEX(FmtCansPerCase,MATCH(F3150,FmtName,0))</f>
        <v/>
      </c>
      <c r="T3150" s="46">
        <f>S3150/INDEX(FmtCansPerPack,MATCH(F3150,FmtName,0))</f>
        <v/>
      </c>
      <c r="U3150" s="47">
        <f>INDEX(ChBaseCP,MATCH(E3150,ChName,0))*(1+INDEX(ProvMod,MATCH(G3150,ProvCode,0)))*(1+PriceIndex)</f>
        <v/>
      </c>
      <c r="V3150" s="47">
        <f>R3150*U3150*INDEX(FmtBlendedPriceIdx,MATCH(F3150,FmtName,0))</f>
        <v/>
      </c>
      <c r="W3150" s="47">
        <f>T3150*INDEX(ProvSRP,MATCH(G3150,ProvCode,0))*(1+PriceIndex)</f>
        <v/>
      </c>
      <c r="X3150" s="47">
        <f>IF(GrossBasis="Wholesale",V3150,W3150)</f>
        <v/>
      </c>
      <c r="Y3150" s="47">
        <f>R3150*INDEX(FmtBlendedCogs,MATCH(F3150,FmtName,0))</f>
        <v/>
      </c>
      <c r="Z3150" s="47">
        <f>X3150-Y3150</f>
        <v/>
      </c>
    </row>
    <row r="3151">
      <c r="A3151" t="n">
        <v>23</v>
      </c>
      <c r="B3151" s="44">
        <f>FiscalStart+(A3151-1)*7</f>
        <v/>
      </c>
      <c r="C3151">
        <f>TEXT(B3151,"mmm yyyy")</f>
        <v/>
      </c>
      <c r="D3151">
        <f>"Q"&amp;(INT((A3151-1)/13)+1)</f>
        <v/>
      </c>
      <c r="E3151" t="inlineStr">
        <is>
          <t>Specialty</t>
        </is>
      </c>
      <c r="F3151">
        <f>IFERROR(INDEX(ChFormat,MATCH(E3151,ChName,0)),"")</f>
        <v/>
      </c>
      <c r="G3151" t="inlineStr">
        <is>
          <t>NL</t>
        </is>
      </c>
      <c r="H3151">
        <f>IF(A3151&lt;=NWeeks,1,0)</f>
        <v/>
      </c>
      <c r="I3151">
        <f>INDEX(ChLaunch,MATCH(E3151,ChName,0))</f>
        <v/>
      </c>
      <c r="J3151">
        <f>INDEX(ChWeeksFull,MATCH(E3151,ChName,0))</f>
        <v/>
      </c>
      <c r="K3151">
        <f>INDEX(ChRamp,MATCH(E3151,ChName,0))</f>
        <v/>
      </c>
      <c r="L3151" s="45">
        <f>MIN(1,MAX(0,(A3151-I3151+1)*RampSpeed/J3151))</f>
        <v/>
      </c>
      <c r="M3151" s="45">
        <f>IF(A3151&lt;I3151,0,IF(K3151="S-curve",L3151*L3151*(3-2*L3151),L3151))</f>
        <v/>
      </c>
      <c r="N3151" s="45">
        <f>1+(INDEX(SeasonIdx,A3151)-1)*SeasonAmp</f>
        <v/>
      </c>
      <c r="O3151" s="45">
        <f>IFERROR(INDEX(PSPct,MATCH(E3151&amp;"|"&amp;G3151,PSKey,0)),0)</f>
        <v/>
      </c>
      <c r="P3151" s="46">
        <f>INDEX(ChDoorVel,MATCH(E3151,ChName,0))*CalibScalar*(1+VelocityUplift)</f>
        <v/>
      </c>
      <c r="Q3151" s="46" t="n">
        <v>0</v>
      </c>
      <c r="R3151" s="46">
        <f>P3151*O3151*M3151*N3151*H3151</f>
        <v/>
      </c>
      <c r="S3151" s="46">
        <f>R3151*INDEX(FmtCansPerCase,MATCH(F3151,FmtName,0))</f>
        <v/>
      </c>
      <c r="T3151" s="46">
        <f>S3151/INDEX(FmtCansPerPack,MATCH(F3151,FmtName,0))</f>
        <v/>
      </c>
      <c r="U3151" s="47">
        <f>INDEX(ChBaseCP,MATCH(E3151,ChName,0))*(1+INDEX(ProvMod,MATCH(G3151,ProvCode,0)))*(1+PriceIndex)</f>
        <v/>
      </c>
      <c r="V3151" s="47">
        <f>R3151*U3151*INDEX(FmtBlendedPriceIdx,MATCH(F3151,FmtName,0))</f>
        <v/>
      </c>
      <c r="W3151" s="47">
        <f>T3151*INDEX(ProvSRP,MATCH(G3151,ProvCode,0))*(1+PriceIndex)</f>
        <v/>
      </c>
      <c r="X3151" s="47">
        <f>IF(GrossBasis="Wholesale",V3151,W3151)</f>
        <v/>
      </c>
      <c r="Y3151" s="47">
        <f>R3151*INDEX(FmtBlendedCogs,MATCH(F3151,FmtName,0))</f>
        <v/>
      </c>
      <c r="Z3151" s="47">
        <f>X3151-Y3151</f>
        <v/>
      </c>
    </row>
    <row r="3152">
      <c r="A3152" t="n">
        <v>24</v>
      </c>
      <c r="B3152" s="44">
        <f>FiscalStart+(A3152-1)*7</f>
        <v/>
      </c>
      <c r="C3152">
        <f>TEXT(B3152,"mmm yyyy")</f>
        <v/>
      </c>
      <c r="D3152">
        <f>"Q"&amp;(INT((A3152-1)/13)+1)</f>
        <v/>
      </c>
      <c r="E3152" t="inlineStr">
        <is>
          <t>Specialty</t>
        </is>
      </c>
      <c r="F3152">
        <f>IFERROR(INDEX(ChFormat,MATCH(E3152,ChName,0)),"")</f>
        <v/>
      </c>
      <c r="G3152" t="inlineStr">
        <is>
          <t>NL</t>
        </is>
      </c>
      <c r="H3152">
        <f>IF(A3152&lt;=NWeeks,1,0)</f>
        <v/>
      </c>
      <c r="I3152">
        <f>INDEX(ChLaunch,MATCH(E3152,ChName,0))</f>
        <v/>
      </c>
      <c r="J3152">
        <f>INDEX(ChWeeksFull,MATCH(E3152,ChName,0))</f>
        <v/>
      </c>
      <c r="K3152">
        <f>INDEX(ChRamp,MATCH(E3152,ChName,0))</f>
        <v/>
      </c>
      <c r="L3152" s="45">
        <f>MIN(1,MAX(0,(A3152-I3152+1)*RampSpeed/J3152))</f>
        <v/>
      </c>
      <c r="M3152" s="45">
        <f>IF(A3152&lt;I3152,0,IF(K3152="S-curve",L3152*L3152*(3-2*L3152),L3152))</f>
        <v/>
      </c>
      <c r="N3152" s="45">
        <f>1+(INDEX(SeasonIdx,A3152)-1)*SeasonAmp</f>
        <v/>
      </c>
      <c r="O3152" s="45">
        <f>IFERROR(INDEX(PSPct,MATCH(E3152&amp;"|"&amp;G3152,PSKey,0)),0)</f>
        <v/>
      </c>
      <c r="P3152" s="46">
        <f>INDEX(ChDoorVel,MATCH(E3152,ChName,0))*CalibScalar*(1+VelocityUplift)</f>
        <v/>
      </c>
      <c r="Q3152" s="46" t="n">
        <v>0</v>
      </c>
      <c r="R3152" s="46">
        <f>P3152*O3152*M3152*N3152*H3152</f>
        <v/>
      </c>
      <c r="S3152" s="46">
        <f>R3152*INDEX(FmtCansPerCase,MATCH(F3152,FmtName,0))</f>
        <v/>
      </c>
      <c r="T3152" s="46">
        <f>S3152/INDEX(FmtCansPerPack,MATCH(F3152,FmtName,0))</f>
        <v/>
      </c>
      <c r="U3152" s="47">
        <f>INDEX(ChBaseCP,MATCH(E3152,ChName,0))*(1+INDEX(ProvMod,MATCH(G3152,ProvCode,0)))*(1+PriceIndex)</f>
        <v/>
      </c>
      <c r="V3152" s="47">
        <f>R3152*U3152*INDEX(FmtBlendedPriceIdx,MATCH(F3152,FmtName,0))</f>
        <v/>
      </c>
      <c r="W3152" s="47">
        <f>T3152*INDEX(ProvSRP,MATCH(G3152,ProvCode,0))*(1+PriceIndex)</f>
        <v/>
      </c>
      <c r="X3152" s="47">
        <f>IF(GrossBasis="Wholesale",V3152,W3152)</f>
        <v/>
      </c>
      <c r="Y3152" s="47">
        <f>R3152*INDEX(FmtBlendedCogs,MATCH(F3152,FmtName,0))</f>
        <v/>
      </c>
      <c r="Z3152" s="47">
        <f>X3152-Y3152</f>
        <v/>
      </c>
    </row>
    <row r="3153">
      <c r="A3153" t="n">
        <v>25</v>
      </c>
      <c r="B3153" s="44">
        <f>FiscalStart+(A3153-1)*7</f>
        <v/>
      </c>
      <c r="C3153">
        <f>TEXT(B3153,"mmm yyyy")</f>
        <v/>
      </c>
      <c r="D3153">
        <f>"Q"&amp;(INT((A3153-1)/13)+1)</f>
        <v/>
      </c>
      <c r="E3153" t="inlineStr">
        <is>
          <t>Specialty</t>
        </is>
      </c>
      <c r="F3153">
        <f>IFERROR(INDEX(ChFormat,MATCH(E3153,ChName,0)),"")</f>
        <v/>
      </c>
      <c r="G3153" t="inlineStr">
        <is>
          <t>NL</t>
        </is>
      </c>
      <c r="H3153">
        <f>IF(A3153&lt;=NWeeks,1,0)</f>
        <v/>
      </c>
      <c r="I3153">
        <f>INDEX(ChLaunch,MATCH(E3153,ChName,0))</f>
        <v/>
      </c>
      <c r="J3153">
        <f>INDEX(ChWeeksFull,MATCH(E3153,ChName,0))</f>
        <v/>
      </c>
      <c r="K3153">
        <f>INDEX(ChRamp,MATCH(E3153,ChName,0))</f>
        <v/>
      </c>
      <c r="L3153" s="45">
        <f>MIN(1,MAX(0,(A3153-I3153+1)*RampSpeed/J3153))</f>
        <v/>
      </c>
      <c r="M3153" s="45">
        <f>IF(A3153&lt;I3153,0,IF(K3153="S-curve",L3153*L3153*(3-2*L3153),L3153))</f>
        <v/>
      </c>
      <c r="N3153" s="45">
        <f>1+(INDEX(SeasonIdx,A3153)-1)*SeasonAmp</f>
        <v/>
      </c>
      <c r="O3153" s="45">
        <f>IFERROR(INDEX(PSPct,MATCH(E3153&amp;"|"&amp;G3153,PSKey,0)),0)</f>
        <v/>
      </c>
      <c r="P3153" s="46">
        <f>INDEX(ChDoorVel,MATCH(E3153,ChName,0))*CalibScalar*(1+VelocityUplift)</f>
        <v/>
      </c>
      <c r="Q3153" s="46" t="n">
        <v>0</v>
      </c>
      <c r="R3153" s="46">
        <f>P3153*O3153*M3153*N3153*H3153</f>
        <v/>
      </c>
      <c r="S3153" s="46">
        <f>R3153*INDEX(FmtCansPerCase,MATCH(F3153,FmtName,0))</f>
        <v/>
      </c>
      <c r="T3153" s="46">
        <f>S3153/INDEX(FmtCansPerPack,MATCH(F3153,FmtName,0))</f>
        <v/>
      </c>
      <c r="U3153" s="47">
        <f>INDEX(ChBaseCP,MATCH(E3153,ChName,0))*(1+INDEX(ProvMod,MATCH(G3153,ProvCode,0)))*(1+PriceIndex)</f>
        <v/>
      </c>
      <c r="V3153" s="47">
        <f>R3153*U3153*INDEX(FmtBlendedPriceIdx,MATCH(F3153,FmtName,0))</f>
        <v/>
      </c>
      <c r="W3153" s="47">
        <f>T3153*INDEX(ProvSRP,MATCH(G3153,ProvCode,0))*(1+PriceIndex)</f>
        <v/>
      </c>
      <c r="X3153" s="47">
        <f>IF(GrossBasis="Wholesale",V3153,W3153)</f>
        <v/>
      </c>
      <c r="Y3153" s="47">
        <f>R3153*INDEX(FmtBlendedCogs,MATCH(F3153,FmtName,0))</f>
        <v/>
      </c>
      <c r="Z3153" s="47">
        <f>X3153-Y3153</f>
        <v/>
      </c>
    </row>
    <row r="3154">
      <c r="A3154" t="n">
        <v>26</v>
      </c>
      <c r="B3154" s="44">
        <f>FiscalStart+(A3154-1)*7</f>
        <v/>
      </c>
      <c r="C3154">
        <f>TEXT(B3154,"mmm yyyy")</f>
        <v/>
      </c>
      <c r="D3154">
        <f>"Q"&amp;(INT((A3154-1)/13)+1)</f>
        <v/>
      </c>
      <c r="E3154" t="inlineStr">
        <is>
          <t>Specialty</t>
        </is>
      </c>
      <c r="F3154">
        <f>IFERROR(INDEX(ChFormat,MATCH(E3154,ChName,0)),"")</f>
        <v/>
      </c>
      <c r="G3154" t="inlineStr">
        <is>
          <t>NL</t>
        </is>
      </c>
      <c r="H3154">
        <f>IF(A3154&lt;=NWeeks,1,0)</f>
        <v/>
      </c>
      <c r="I3154">
        <f>INDEX(ChLaunch,MATCH(E3154,ChName,0))</f>
        <v/>
      </c>
      <c r="J3154">
        <f>INDEX(ChWeeksFull,MATCH(E3154,ChName,0))</f>
        <v/>
      </c>
      <c r="K3154">
        <f>INDEX(ChRamp,MATCH(E3154,ChName,0))</f>
        <v/>
      </c>
      <c r="L3154" s="45">
        <f>MIN(1,MAX(0,(A3154-I3154+1)*RampSpeed/J3154))</f>
        <v/>
      </c>
      <c r="M3154" s="45">
        <f>IF(A3154&lt;I3154,0,IF(K3154="S-curve",L3154*L3154*(3-2*L3154),L3154))</f>
        <v/>
      </c>
      <c r="N3154" s="45">
        <f>1+(INDEX(SeasonIdx,A3154)-1)*SeasonAmp</f>
        <v/>
      </c>
      <c r="O3154" s="45">
        <f>IFERROR(INDEX(PSPct,MATCH(E3154&amp;"|"&amp;G3154,PSKey,0)),0)</f>
        <v/>
      </c>
      <c r="P3154" s="46">
        <f>INDEX(ChDoorVel,MATCH(E3154,ChName,0))*CalibScalar*(1+VelocityUplift)</f>
        <v/>
      </c>
      <c r="Q3154" s="46" t="n">
        <v>0</v>
      </c>
      <c r="R3154" s="46">
        <f>P3154*O3154*M3154*N3154*H3154</f>
        <v/>
      </c>
      <c r="S3154" s="46">
        <f>R3154*INDEX(FmtCansPerCase,MATCH(F3154,FmtName,0))</f>
        <v/>
      </c>
      <c r="T3154" s="46">
        <f>S3154/INDEX(FmtCansPerPack,MATCH(F3154,FmtName,0))</f>
        <v/>
      </c>
      <c r="U3154" s="47">
        <f>INDEX(ChBaseCP,MATCH(E3154,ChName,0))*(1+INDEX(ProvMod,MATCH(G3154,ProvCode,0)))*(1+PriceIndex)</f>
        <v/>
      </c>
      <c r="V3154" s="47">
        <f>R3154*U3154*INDEX(FmtBlendedPriceIdx,MATCH(F3154,FmtName,0))</f>
        <v/>
      </c>
      <c r="W3154" s="47">
        <f>T3154*INDEX(ProvSRP,MATCH(G3154,ProvCode,0))*(1+PriceIndex)</f>
        <v/>
      </c>
      <c r="X3154" s="47">
        <f>IF(GrossBasis="Wholesale",V3154,W3154)</f>
        <v/>
      </c>
      <c r="Y3154" s="47">
        <f>R3154*INDEX(FmtBlendedCogs,MATCH(F3154,FmtName,0))</f>
        <v/>
      </c>
      <c r="Z3154" s="47">
        <f>X3154-Y3154</f>
        <v/>
      </c>
    </row>
    <row r="3155">
      <c r="A3155" t="n">
        <v>27</v>
      </c>
      <c r="B3155" s="44">
        <f>FiscalStart+(A3155-1)*7</f>
        <v/>
      </c>
      <c r="C3155">
        <f>TEXT(B3155,"mmm yyyy")</f>
        <v/>
      </c>
      <c r="D3155">
        <f>"Q"&amp;(INT((A3155-1)/13)+1)</f>
        <v/>
      </c>
      <c r="E3155" t="inlineStr">
        <is>
          <t>Specialty</t>
        </is>
      </c>
      <c r="F3155">
        <f>IFERROR(INDEX(ChFormat,MATCH(E3155,ChName,0)),"")</f>
        <v/>
      </c>
      <c r="G3155" t="inlineStr">
        <is>
          <t>NL</t>
        </is>
      </c>
      <c r="H3155">
        <f>IF(A3155&lt;=NWeeks,1,0)</f>
        <v/>
      </c>
      <c r="I3155">
        <f>INDEX(ChLaunch,MATCH(E3155,ChName,0))</f>
        <v/>
      </c>
      <c r="J3155">
        <f>INDEX(ChWeeksFull,MATCH(E3155,ChName,0))</f>
        <v/>
      </c>
      <c r="K3155">
        <f>INDEX(ChRamp,MATCH(E3155,ChName,0))</f>
        <v/>
      </c>
      <c r="L3155" s="45">
        <f>MIN(1,MAX(0,(A3155-I3155+1)*RampSpeed/J3155))</f>
        <v/>
      </c>
      <c r="M3155" s="45">
        <f>IF(A3155&lt;I3155,0,IF(K3155="S-curve",L3155*L3155*(3-2*L3155),L3155))</f>
        <v/>
      </c>
      <c r="N3155" s="45">
        <f>1+(INDEX(SeasonIdx,A3155)-1)*SeasonAmp</f>
        <v/>
      </c>
      <c r="O3155" s="45">
        <f>IFERROR(INDEX(PSPct,MATCH(E3155&amp;"|"&amp;G3155,PSKey,0)),0)</f>
        <v/>
      </c>
      <c r="P3155" s="46">
        <f>INDEX(ChDoorVel,MATCH(E3155,ChName,0))*CalibScalar*(1+VelocityUplift)</f>
        <v/>
      </c>
      <c r="Q3155" s="46" t="n">
        <v>0</v>
      </c>
      <c r="R3155" s="46">
        <f>P3155*O3155*M3155*N3155*H3155</f>
        <v/>
      </c>
      <c r="S3155" s="46">
        <f>R3155*INDEX(FmtCansPerCase,MATCH(F3155,FmtName,0))</f>
        <v/>
      </c>
      <c r="T3155" s="46">
        <f>S3155/INDEX(FmtCansPerPack,MATCH(F3155,FmtName,0))</f>
        <v/>
      </c>
      <c r="U3155" s="47">
        <f>INDEX(ChBaseCP,MATCH(E3155,ChName,0))*(1+INDEX(ProvMod,MATCH(G3155,ProvCode,0)))*(1+PriceIndex)</f>
        <v/>
      </c>
      <c r="V3155" s="47">
        <f>R3155*U3155*INDEX(FmtBlendedPriceIdx,MATCH(F3155,FmtName,0))</f>
        <v/>
      </c>
      <c r="W3155" s="47">
        <f>T3155*INDEX(ProvSRP,MATCH(G3155,ProvCode,0))*(1+PriceIndex)</f>
        <v/>
      </c>
      <c r="X3155" s="47">
        <f>IF(GrossBasis="Wholesale",V3155,W3155)</f>
        <v/>
      </c>
      <c r="Y3155" s="47">
        <f>R3155*INDEX(FmtBlendedCogs,MATCH(F3155,FmtName,0))</f>
        <v/>
      </c>
      <c r="Z3155" s="47">
        <f>X3155-Y3155</f>
        <v/>
      </c>
    </row>
    <row r="3156">
      <c r="A3156" t="n">
        <v>28</v>
      </c>
      <c r="B3156" s="44">
        <f>FiscalStart+(A3156-1)*7</f>
        <v/>
      </c>
      <c r="C3156">
        <f>TEXT(B3156,"mmm yyyy")</f>
        <v/>
      </c>
      <c r="D3156">
        <f>"Q"&amp;(INT((A3156-1)/13)+1)</f>
        <v/>
      </c>
      <c r="E3156" t="inlineStr">
        <is>
          <t>Specialty</t>
        </is>
      </c>
      <c r="F3156">
        <f>IFERROR(INDEX(ChFormat,MATCH(E3156,ChName,0)),"")</f>
        <v/>
      </c>
      <c r="G3156" t="inlineStr">
        <is>
          <t>NL</t>
        </is>
      </c>
      <c r="H3156">
        <f>IF(A3156&lt;=NWeeks,1,0)</f>
        <v/>
      </c>
      <c r="I3156">
        <f>INDEX(ChLaunch,MATCH(E3156,ChName,0))</f>
        <v/>
      </c>
      <c r="J3156">
        <f>INDEX(ChWeeksFull,MATCH(E3156,ChName,0))</f>
        <v/>
      </c>
      <c r="K3156">
        <f>INDEX(ChRamp,MATCH(E3156,ChName,0))</f>
        <v/>
      </c>
      <c r="L3156" s="45">
        <f>MIN(1,MAX(0,(A3156-I3156+1)*RampSpeed/J3156))</f>
        <v/>
      </c>
      <c r="M3156" s="45">
        <f>IF(A3156&lt;I3156,0,IF(K3156="S-curve",L3156*L3156*(3-2*L3156),L3156))</f>
        <v/>
      </c>
      <c r="N3156" s="45">
        <f>1+(INDEX(SeasonIdx,A3156)-1)*SeasonAmp</f>
        <v/>
      </c>
      <c r="O3156" s="45">
        <f>IFERROR(INDEX(PSPct,MATCH(E3156&amp;"|"&amp;G3156,PSKey,0)),0)</f>
        <v/>
      </c>
      <c r="P3156" s="46">
        <f>INDEX(ChDoorVel,MATCH(E3156,ChName,0))*CalibScalar*(1+VelocityUplift)</f>
        <v/>
      </c>
      <c r="Q3156" s="46" t="n">
        <v>0</v>
      </c>
      <c r="R3156" s="46">
        <f>P3156*O3156*M3156*N3156*H3156</f>
        <v/>
      </c>
      <c r="S3156" s="46">
        <f>R3156*INDEX(FmtCansPerCase,MATCH(F3156,FmtName,0))</f>
        <v/>
      </c>
      <c r="T3156" s="46">
        <f>S3156/INDEX(FmtCansPerPack,MATCH(F3156,FmtName,0))</f>
        <v/>
      </c>
      <c r="U3156" s="47">
        <f>INDEX(ChBaseCP,MATCH(E3156,ChName,0))*(1+INDEX(ProvMod,MATCH(G3156,ProvCode,0)))*(1+PriceIndex)</f>
        <v/>
      </c>
      <c r="V3156" s="47">
        <f>R3156*U3156*INDEX(FmtBlendedPriceIdx,MATCH(F3156,FmtName,0))</f>
        <v/>
      </c>
      <c r="W3156" s="47">
        <f>T3156*INDEX(ProvSRP,MATCH(G3156,ProvCode,0))*(1+PriceIndex)</f>
        <v/>
      </c>
      <c r="X3156" s="47">
        <f>IF(GrossBasis="Wholesale",V3156,W3156)</f>
        <v/>
      </c>
      <c r="Y3156" s="47">
        <f>R3156*INDEX(FmtBlendedCogs,MATCH(F3156,FmtName,0))</f>
        <v/>
      </c>
      <c r="Z3156" s="47">
        <f>X3156-Y3156</f>
        <v/>
      </c>
    </row>
    <row r="3157">
      <c r="A3157" t="n">
        <v>29</v>
      </c>
      <c r="B3157" s="44">
        <f>FiscalStart+(A3157-1)*7</f>
        <v/>
      </c>
      <c r="C3157">
        <f>TEXT(B3157,"mmm yyyy")</f>
        <v/>
      </c>
      <c r="D3157">
        <f>"Q"&amp;(INT((A3157-1)/13)+1)</f>
        <v/>
      </c>
      <c r="E3157" t="inlineStr">
        <is>
          <t>Specialty</t>
        </is>
      </c>
      <c r="F3157">
        <f>IFERROR(INDEX(ChFormat,MATCH(E3157,ChName,0)),"")</f>
        <v/>
      </c>
      <c r="G3157" t="inlineStr">
        <is>
          <t>NL</t>
        </is>
      </c>
      <c r="H3157">
        <f>IF(A3157&lt;=NWeeks,1,0)</f>
        <v/>
      </c>
      <c r="I3157">
        <f>INDEX(ChLaunch,MATCH(E3157,ChName,0))</f>
        <v/>
      </c>
      <c r="J3157">
        <f>INDEX(ChWeeksFull,MATCH(E3157,ChName,0))</f>
        <v/>
      </c>
      <c r="K3157">
        <f>INDEX(ChRamp,MATCH(E3157,ChName,0))</f>
        <v/>
      </c>
      <c r="L3157" s="45">
        <f>MIN(1,MAX(0,(A3157-I3157+1)*RampSpeed/J3157))</f>
        <v/>
      </c>
      <c r="M3157" s="45">
        <f>IF(A3157&lt;I3157,0,IF(K3157="S-curve",L3157*L3157*(3-2*L3157),L3157))</f>
        <v/>
      </c>
      <c r="N3157" s="45">
        <f>1+(INDEX(SeasonIdx,A3157)-1)*SeasonAmp</f>
        <v/>
      </c>
      <c r="O3157" s="45">
        <f>IFERROR(INDEX(PSPct,MATCH(E3157&amp;"|"&amp;G3157,PSKey,0)),0)</f>
        <v/>
      </c>
      <c r="P3157" s="46">
        <f>INDEX(ChDoorVel,MATCH(E3157,ChName,0))*CalibScalar*(1+VelocityUplift)</f>
        <v/>
      </c>
      <c r="Q3157" s="46" t="n">
        <v>0</v>
      </c>
      <c r="R3157" s="46">
        <f>P3157*O3157*M3157*N3157*H3157</f>
        <v/>
      </c>
      <c r="S3157" s="46">
        <f>R3157*INDEX(FmtCansPerCase,MATCH(F3157,FmtName,0))</f>
        <v/>
      </c>
      <c r="T3157" s="46">
        <f>S3157/INDEX(FmtCansPerPack,MATCH(F3157,FmtName,0))</f>
        <v/>
      </c>
      <c r="U3157" s="47">
        <f>INDEX(ChBaseCP,MATCH(E3157,ChName,0))*(1+INDEX(ProvMod,MATCH(G3157,ProvCode,0)))*(1+PriceIndex)</f>
        <v/>
      </c>
      <c r="V3157" s="47">
        <f>R3157*U3157*INDEX(FmtBlendedPriceIdx,MATCH(F3157,FmtName,0))</f>
        <v/>
      </c>
      <c r="W3157" s="47">
        <f>T3157*INDEX(ProvSRP,MATCH(G3157,ProvCode,0))*(1+PriceIndex)</f>
        <v/>
      </c>
      <c r="X3157" s="47">
        <f>IF(GrossBasis="Wholesale",V3157,W3157)</f>
        <v/>
      </c>
      <c r="Y3157" s="47">
        <f>R3157*INDEX(FmtBlendedCogs,MATCH(F3157,FmtName,0))</f>
        <v/>
      </c>
      <c r="Z3157" s="47">
        <f>X3157-Y3157</f>
        <v/>
      </c>
    </row>
    <row r="3158">
      <c r="A3158" t="n">
        <v>30</v>
      </c>
      <c r="B3158" s="44">
        <f>FiscalStart+(A3158-1)*7</f>
        <v/>
      </c>
      <c r="C3158">
        <f>TEXT(B3158,"mmm yyyy")</f>
        <v/>
      </c>
      <c r="D3158">
        <f>"Q"&amp;(INT((A3158-1)/13)+1)</f>
        <v/>
      </c>
      <c r="E3158" t="inlineStr">
        <is>
          <t>Specialty</t>
        </is>
      </c>
      <c r="F3158">
        <f>IFERROR(INDEX(ChFormat,MATCH(E3158,ChName,0)),"")</f>
        <v/>
      </c>
      <c r="G3158" t="inlineStr">
        <is>
          <t>NL</t>
        </is>
      </c>
      <c r="H3158">
        <f>IF(A3158&lt;=NWeeks,1,0)</f>
        <v/>
      </c>
      <c r="I3158">
        <f>INDEX(ChLaunch,MATCH(E3158,ChName,0))</f>
        <v/>
      </c>
      <c r="J3158">
        <f>INDEX(ChWeeksFull,MATCH(E3158,ChName,0))</f>
        <v/>
      </c>
      <c r="K3158">
        <f>INDEX(ChRamp,MATCH(E3158,ChName,0))</f>
        <v/>
      </c>
      <c r="L3158" s="45">
        <f>MIN(1,MAX(0,(A3158-I3158+1)*RampSpeed/J3158))</f>
        <v/>
      </c>
      <c r="M3158" s="45">
        <f>IF(A3158&lt;I3158,0,IF(K3158="S-curve",L3158*L3158*(3-2*L3158),L3158))</f>
        <v/>
      </c>
      <c r="N3158" s="45">
        <f>1+(INDEX(SeasonIdx,A3158)-1)*SeasonAmp</f>
        <v/>
      </c>
      <c r="O3158" s="45">
        <f>IFERROR(INDEX(PSPct,MATCH(E3158&amp;"|"&amp;G3158,PSKey,0)),0)</f>
        <v/>
      </c>
      <c r="P3158" s="46">
        <f>INDEX(ChDoorVel,MATCH(E3158,ChName,0))*CalibScalar*(1+VelocityUplift)</f>
        <v/>
      </c>
      <c r="Q3158" s="46" t="n">
        <v>0</v>
      </c>
      <c r="R3158" s="46">
        <f>P3158*O3158*M3158*N3158*H3158</f>
        <v/>
      </c>
      <c r="S3158" s="46">
        <f>R3158*INDEX(FmtCansPerCase,MATCH(F3158,FmtName,0))</f>
        <v/>
      </c>
      <c r="T3158" s="46">
        <f>S3158/INDEX(FmtCansPerPack,MATCH(F3158,FmtName,0))</f>
        <v/>
      </c>
      <c r="U3158" s="47">
        <f>INDEX(ChBaseCP,MATCH(E3158,ChName,0))*(1+INDEX(ProvMod,MATCH(G3158,ProvCode,0)))*(1+PriceIndex)</f>
        <v/>
      </c>
      <c r="V3158" s="47">
        <f>R3158*U3158*INDEX(FmtBlendedPriceIdx,MATCH(F3158,FmtName,0))</f>
        <v/>
      </c>
      <c r="W3158" s="47">
        <f>T3158*INDEX(ProvSRP,MATCH(G3158,ProvCode,0))*(1+PriceIndex)</f>
        <v/>
      </c>
      <c r="X3158" s="47">
        <f>IF(GrossBasis="Wholesale",V3158,W3158)</f>
        <v/>
      </c>
      <c r="Y3158" s="47">
        <f>R3158*INDEX(FmtBlendedCogs,MATCH(F3158,FmtName,0))</f>
        <v/>
      </c>
      <c r="Z3158" s="47">
        <f>X3158-Y3158</f>
        <v/>
      </c>
    </row>
    <row r="3159">
      <c r="A3159" t="n">
        <v>31</v>
      </c>
      <c r="B3159" s="44">
        <f>FiscalStart+(A3159-1)*7</f>
        <v/>
      </c>
      <c r="C3159">
        <f>TEXT(B3159,"mmm yyyy")</f>
        <v/>
      </c>
      <c r="D3159">
        <f>"Q"&amp;(INT((A3159-1)/13)+1)</f>
        <v/>
      </c>
      <c r="E3159" t="inlineStr">
        <is>
          <t>Specialty</t>
        </is>
      </c>
      <c r="F3159">
        <f>IFERROR(INDEX(ChFormat,MATCH(E3159,ChName,0)),"")</f>
        <v/>
      </c>
      <c r="G3159" t="inlineStr">
        <is>
          <t>NL</t>
        </is>
      </c>
      <c r="H3159">
        <f>IF(A3159&lt;=NWeeks,1,0)</f>
        <v/>
      </c>
      <c r="I3159">
        <f>INDEX(ChLaunch,MATCH(E3159,ChName,0))</f>
        <v/>
      </c>
      <c r="J3159">
        <f>INDEX(ChWeeksFull,MATCH(E3159,ChName,0))</f>
        <v/>
      </c>
      <c r="K3159">
        <f>INDEX(ChRamp,MATCH(E3159,ChName,0))</f>
        <v/>
      </c>
      <c r="L3159" s="45">
        <f>MIN(1,MAX(0,(A3159-I3159+1)*RampSpeed/J3159))</f>
        <v/>
      </c>
      <c r="M3159" s="45">
        <f>IF(A3159&lt;I3159,0,IF(K3159="S-curve",L3159*L3159*(3-2*L3159),L3159))</f>
        <v/>
      </c>
      <c r="N3159" s="45">
        <f>1+(INDEX(SeasonIdx,A3159)-1)*SeasonAmp</f>
        <v/>
      </c>
      <c r="O3159" s="45">
        <f>IFERROR(INDEX(PSPct,MATCH(E3159&amp;"|"&amp;G3159,PSKey,0)),0)</f>
        <v/>
      </c>
      <c r="P3159" s="46">
        <f>INDEX(ChDoorVel,MATCH(E3159,ChName,0))*CalibScalar*(1+VelocityUplift)</f>
        <v/>
      </c>
      <c r="Q3159" s="46" t="n">
        <v>0</v>
      </c>
      <c r="R3159" s="46">
        <f>P3159*O3159*M3159*N3159*H3159</f>
        <v/>
      </c>
      <c r="S3159" s="46">
        <f>R3159*INDEX(FmtCansPerCase,MATCH(F3159,FmtName,0))</f>
        <v/>
      </c>
      <c r="T3159" s="46">
        <f>S3159/INDEX(FmtCansPerPack,MATCH(F3159,FmtName,0))</f>
        <v/>
      </c>
      <c r="U3159" s="47">
        <f>INDEX(ChBaseCP,MATCH(E3159,ChName,0))*(1+INDEX(ProvMod,MATCH(G3159,ProvCode,0)))*(1+PriceIndex)</f>
        <v/>
      </c>
      <c r="V3159" s="47">
        <f>R3159*U3159*INDEX(FmtBlendedPriceIdx,MATCH(F3159,FmtName,0))</f>
        <v/>
      </c>
      <c r="W3159" s="47">
        <f>T3159*INDEX(ProvSRP,MATCH(G3159,ProvCode,0))*(1+PriceIndex)</f>
        <v/>
      </c>
      <c r="X3159" s="47">
        <f>IF(GrossBasis="Wholesale",V3159,W3159)</f>
        <v/>
      </c>
      <c r="Y3159" s="47">
        <f>R3159*INDEX(FmtBlendedCogs,MATCH(F3159,FmtName,0))</f>
        <v/>
      </c>
      <c r="Z3159" s="47">
        <f>X3159-Y3159</f>
        <v/>
      </c>
    </row>
    <row r="3160">
      <c r="A3160" t="n">
        <v>32</v>
      </c>
      <c r="B3160" s="44">
        <f>FiscalStart+(A3160-1)*7</f>
        <v/>
      </c>
      <c r="C3160">
        <f>TEXT(B3160,"mmm yyyy")</f>
        <v/>
      </c>
      <c r="D3160">
        <f>"Q"&amp;(INT((A3160-1)/13)+1)</f>
        <v/>
      </c>
      <c r="E3160" t="inlineStr">
        <is>
          <t>Specialty</t>
        </is>
      </c>
      <c r="F3160">
        <f>IFERROR(INDEX(ChFormat,MATCH(E3160,ChName,0)),"")</f>
        <v/>
      </c>
      <c r="G3160" t="inlineStr">
        <is>
          <t>NL</t>
        </is>
      </c>
      <c r="H3160">
        <f>IF(A3160&lt;=NWeeks,1,0)</f>
        <v/>
      </c>
      <c r="I3160">
        <f>INDEX(ChLaunch,MATCH(E3160,ChName,0))</f>
        <v/>
      </c>
      <c r="J3160">
        <f>INDEX(ChWeeksFull,MATCH(E3160,ChName,0))</f>
        <v/>
      </c>
      <c r="K3160">
        <f>INDEX(ChRamp,MATCH(E3160,ChName,0))</f>
        <v/>
      </c>
      <c r="L3160" s="45">
        <f>MIN(1,MAX(0,(A3160-I3160+1)*RampSpeed/J3160))</f>
        <v/>
      </c>
      <c r="M3160" s="45">
        <f>IF(A3160&lt;I3160,0,IF(K3160="S-curve",L3160*L3160*(3-2*L3160),L3160))</f>
        <v/>
      </c>
      <c r="N3160" s="45">
        <f>1+(INDEX(SeasonIdx,A3160)-1)*SeasonAmp</f>
        <v/>
      </c>
      <c r="O3160" s="45">
        <f>IFERROR(INDEX(PSPct,MATCH(E3160&amp;"|"&amp;G3160,PSKey,0)),0)</f>
        <v/>
      </c>
      <c r="P3160" s="46">
        <f>INDEX(ChDoorVel,MATCH(E3160,ChName,0))*CalibScalar*(1+VelocityUplift)</f>
        <v/>
      </c>
      <c r="Q3160" s="46" t="n">
        <v>0</v>
      </c>
      <c r="R3160" s="46">
        <f>P3160*O3160*M3160*N3160*H3160</f>
        <v/>
      </c>
      <c r="S3160" s="46">
        <f>R3160*INDEX(FmtCansPerCase,MATCH(F3160,FmtName,0))</f>
        <v/>
      </c>
      <c r="T3160" s="46">
        <f>S3160/INDEX(FmtCansPerPack,MATCH(F3160,FmtName,0))</f>
        <v/>
      </c>
      <c r="U3160" s="47">
        <f>INDEX(ChBaseCP,MATCH(E3160,ChName,0))*(1+INDEX(ProvMod,MATCH(G3160,ProvCode,0)))*(1+PriceIndex)</f>
        <v/>
      </c>
      <c r="V3160" s="47">
        <f>R3160*U3160*INDEX(FmtBlendedPriceIdx,MATCH(F3160,FmtName,0))</f>
        <v/>
      </c>
      <c r="W3160" s="47">
        <f>T3160*INDEX(ProvSRP,MATCH(G3160,ProvCode,0))*(1+PriceIndex)</f>
        <v/>
      </c>
      <c r="X3160" s="47">
        <f>IF(GrossBasis="Wholesale",V3160,W3160)</f>
        <v/>
      </c>
      <c r="Y3160" s="47">
        <f>R3160*INDEX(FmtBlendedCogs,MATCH(F3160,FmtName,0))</f>
        <v/>
      </c>
      <c r="Z3160" s="47">
        <f>X3160-Y3160</f>
        <v/>
      </c>
    </row>
    <row r="3161">
      <c r="A3161" t="n">
        <v>33</v>
      </c>
      <c r="B3161" s="44">
        <f>FiscalStart+(A3161-1)*7</f>
        <v/>
      </c>
      <c r="C3161">
        <f>TEXT(B3161,"mmm yyyy")</f>
        <v/>
      </c>
      <c r="D3161">
        <f>"Q"&amp;(INT((A3161-1)/13)+1)</f>
        <v/>
      </c>
      <c r="E3161" t="inlineStr">
        <is>
          <t>Specialty</t>
        </is>
      </c>
      <c r="F3161">
        <f>IFERROR(INDEX(ChFormat,MATCH(E3161,ChName,0)),"")</f>
        <v/>
      </c>
      <c r="G3161" t="inlineStr">
        <is>
          <t>NL</t>
        </is>
      </c>
      <c r="H3161">
        <f>IF(A3161&lt;=NWeeks,1,0)</f>
        <v/>
      </c>
      <c r="I3161">
        <f>INDEX(ChLaunch,MATCH(E3161,ChName,0))</f>
        <v/>
      </c>
      <c r="J3161">
        <f>INDEX(ChWeeksFull,MATCH(E3161,ChName,0))</f>
        <v/>
      </c>
      <c r="K3161">
        <f>INDEX(ChRamp,MATCH(E3161,ChName,0))</f>
        <v/>
      </c>
      <c r="L3161" s="45">
        <f>MIN(1,MAX(0,(A3161-I3161+1)*RampSpeed/J3161))</f>
        <v/>
      </c>
      <c r="M3161" s="45">
        <f>IF(A3161&lt;I3161,0,IF(K3161="S-curve",L3161*L3161*(3-2*L3161),L3161))</f>
        <v/>
      </c>
      <c r="N3161" s="45">
        <f>1+(INDEX(SeasonIdx,A3161)-1)*SeasonAmp</f>
        <v/>
      </c>
      <c r="O3161" s="45">
        <f>IFERROR(INDEX(PSPct,MATCH(E3161&amp;"|"&amp;G3161,PSKey,0)),0)</f>
        <v/>
      </c>
      <c r="P3161" s="46">
        <f>INDEX(ChDoorVel,MATCH(E3161,ChName,0))*CalibScalar*(1+VelocityUplift)</f>
        <v/>
      </c>
      <c r="Q3161" s="46" t="n">
        <v>0</v>
      </c>
      <c r="R3161" s="46">
        <f>P3161*O3161*M3161*N3161*H3161</f>
        <v/>
      </c>
      <c r="S3161" s="46">
        <f>R3161*INDEX(FmtCansPerCase,MATCH(F3161,FmtName,0))</f>
        <v/>
      </c>
      <c r="T3161" s="46">
        <f>S3161/INDEX(FmtCansPerPack,MATCH(F3161,FmtName,0))</f>
        <v/>
      </c>
      <c r="U3161" s="47">
        <f>INDEX(ChBaseCP,MATCH(E3161,ChName,0))*(1+INDEX(ProvMod,MATCH(G3161,ProvCode,0)))*(1+PriceIndex)</f>
        <v/>
      </c>
      <c r="V3161" s="47">
        <f>R3161*U3161*INDEX(FmtBlendedPriceIdx,MATCH(F3161,FmtName,0))</f>
        <v/>
      </c>
      <c r="W3161" s="47">
        <f>T3161*INDEX(ProvSRP,MATCH(G3161,ProvCode,0))*(1+PriceIndex)</f>
        <v/>
      </c>
      <c r="X3161" s="47">
        <f>IF(GrossBasis="Wholesale",V3161,W3161)</f>
        <v/>
      </c>
      <c r="Y3161" s="47">
        <f>R3161*INDEX(FmtBlendedCogs,MATCH(F3161,FmtName,0))</f>
        <v/>
      </c>
      <c r="Z3161" s="47">
        <f>X3161-Y3161</f>
        <v/>
      </c>
    </row>
    <row r="3162">
      <c r="A3162" t="n">
        <v>34</v>
      </c>
      <c r="B3162" s="44">
        <f>FiscalStart+(A3162-1)*7</f>
        <v/>
      </c>
      <c r="C3162">
        <f>TEXT(B3162,"mmm yyyy")</f>
        <v/>
      </c>
      <c r="D3162">
        <f>"Q"&amp;(INT((A3162-1)/13)+1)</f>
        <v/>
      </c>
      <c r="E3162" t="inlineStr">
        <is>
          <t>Specialty</t>
        </is>
      </c>
      <c r="F3162">
        <f>IFERROR(INDEX(ChFormat,MATCH(E3162,ChName,0)),"")</f>
        <v/>
      </c>
      <c r="G3162" t="inlineStr">
        <is>
          <t>NL</t>
        </is>
      </c>
      <c r="H3162">
        <f>IF(A3162&lt;=NWeeks,1,0)</f>
        <v/>
      </c>
      <c r="I3162">
        <f>INDEX(ChLaunch,MATCH(E3162,ChName,0))</f>
        <v/>
      </c>
      <c r="J3162">
        <f>INDEX(ChWeeksFull,MATCH(E3162,ChName,0))</f>
        <v/>
      </c>
      <c r="K3162">
        <f>INDEX(ChRamp,MATCH(E3162,ChName,0))</f>
        <v/>
      </c>
      <c r="L3162" s="45">
        <f>MIN(1,MAX(0,(A3162-I3162+1)*RampSpeed/J3162))</f>
        <v/>
      </c>
      <c r="M3162" s="45">
        <f>IF(A3162&lt;I3162,0,IF(K3162="S-curve",L3162*L3162*(3-2*L3162),L3162))</f>
        <v/>
      </c>
      <c r="N3162" s="45">
        <f>1+(INDEX(SeasonIdx,A3162)-1)*SeasonAmp</f>
        <v/>
      </c>
      <c r="O3162" s="45">
        <f>IFERROR(INDEX(PSPct,MATCH(E3162&amp;"|"&amp;G3162,PSKey,0)),0)</f>
        <v/>
      </c>
      <c r="P3162" s="46">
        <f>INDEX(ChDoorVel,MATCH(E3162,ChName,0))*CalibScalar*(1+VelocityUplift)</f>
        <v/>
      </c>
      <c r="Q3162" s="46" t="n">
        <v>0</v>
      </c>
      <c r="R3162" s="46">
        <f>P3162*O3162*M3162*N3162*H3162</f>
        <v/>
      </c>
      <c r="S3162" s="46">
        <f>R3162*INDEX(FmtCansPerCase,MATCH(F3162,FmtName,0))</f>
        <v/>
      </c>
      <c r="T3162" s="46">
        <f>S3162/INDEX(FmtCansPerPack,MATCH(F3162,FmtName,0))</f>
        <v/>
      </c>
      <c r="U3162" s="47">
        <f>INDEX(ChBaseCP,MATCH(E3162,ChName,0))*(1+INDEX(ProvMod,MATCH(G3162,ProvCode,0)))*(1+PriceIndex)</f>
        <v/>
      </c>
      <c r="V3162" s="47">
        <f>R3162*U3162*INDEX(FmtBlendedPriceIdx,MATCH(F3162,FmtName,0))</f>
        <v/>
      </c>
      <c r="W3162" s="47">
        <f>T3162*INDEX(ProvSRP,MATCH(G3162,ProvCode,0))*(1+PriceIndex)</f>
        <v/>
      </c>
      <c r="X3162" s="47">
        <f>IF(GrossBasis="Wholesale",V3162,W3162)</f>
        <v/>
      </c>
      <c r="Y3162" s="47">
        <f>R3162*INDEX(FmtBlendedCogs,MATCH(F3162,FmtName,0))</f>
        <v/>
      </c>
      <c r="Z3162" s="47">
        <f>X3162-Y3162</f>
        <v/>
      </c>
    </row>
    <row r="3163">
      <c r="A3163" t="n">
        <v>35</v>
      </c>
      <c r="B3163" s="44">
        <f>FiscalStart+(A3163-1)*7</f>
        <v/>
      </c>
      <c r="C3163">
        <f>TEXT(B3163,"mmm yyyy")</f>
        <v/>
      </c>
      <c r="D3163">
        <f>"Q"&amp;(INT((A3163-1)/13)+1)</f>
        <v/>
      </c>
      <c r="E3163" t="inlineStr">
        <is>
          <t>Specialty</t>
        </is>
      </c>
      <c r="F3163">
        <f>IFERROR(INDEX(ChFormat,MATCH(E3163,ChName,0)),"")</f>
        <v/>
      </c>
      <c r="G3163" t="inlineStr">
        <is>
          <t>NL</t>
        </is>
      </c>
      <c r="H3163">
        <f>IF(A3163&lt;=NWeeks,1,0)</f>
        <v/>
      </c>
      <c r="I3163">
        <f>INDEX(ChLaunch,MATCH(E3163,ChName,0))</f>
        <v/>
      </c>
      <c r="J3163">
        <f>INDEX(ChWeeksFull,MATCH(E3163,ChName,0))</f>
        <v/>
      </c>
      <c r="K3163">
        <f>INDEX(ChRamp,MATCH(E3163,ChName,0))</f>
        <v/>
      </c>
      <c r="L3163" s="45">
        <f>MIN(1,MAX(0,(A3163-I3163+1)*RampSpeed/J3163))</f>
        <v/>
      </c>
      <c r="M3163" s="45">
        <f>IF(A3163&lt;I3163,0,IF(K3163="S-curve",L3163*L3163*(3-2*L3163),L3163))</f>
        <v/>
      </c>
      <c r="N3163" s="45">
        <f>1+(INDEX(SeasonIdx,A3163)-1)*SeasonAmp</f>
        <v/>
      </c>
      <c r="O3163" s="45">
        <f>IFERROR(INDEX(PSPct,MATCH(E3163&amp;"|"&amp;G3163,PSKey,0)),0)</f>
        <v/>
      </c>
      <c r="P3163" s="46">
        <f>INDEX(ChDoorVel,MATCH(E3163,ChName,0))*CalibScalar*(1+VelocityUplift)</f>
        <v/>
      </c>
      <c r="Q3163" s="46" t="n">
        <v>0</v>
      </c>
      <c r="R3163" s="46">
        <f>P3163*O3163*M3163*N3163*H3163</f>
        <v/>
      </c>
      <c r="S3163" s="46">
        <f>R3163*INDEX(FmtCansPerCase,MATCH(F3163,FmtName,0))</f>
        <v/>
      </c>
      <c r="T3163" s="46">
        <f>S3163/INDEX(FmtCansPerPack,MATCH(F3163,FmtName,0))</f>
        <v/>
      </c>
      <c r="U3163" s="47">
        <f>INDEX(ChBaseCP,MATCH(E3163,ChName,0))*(1+INDEX(ProvMod,MATCH(G3163,ProvCode,0)))*(1+PriceIndex)</f>
        <v/>
      </c>
      <c r="V3163" s="47">
        <f>R3163*U3163*INDEX(FmtBlendedPriceIdx,MATCH(F3163,FmtName,0))</f>
        <v/>
      </c>
      <c r="W3163" s="47">
        <f>T3163*INDEX(ProvSRP,MATCH(G3163,ProvCode,0))*(1+PriceIndex)</f>
        <v/>
      </c>
      <c r="X3163" s="47">
        <f>IF(GrossBasis="Wholesale",V3163,W3163)</f>
        <v/>
      </c>
      <c r="Y3163" s="47">
        <f>R3163*INDEX(FmtBlendedCogs,MATCH(F3163,FmtName,0))</f>
        <v/>
      </c>
      <c r="Z3163" s="47">
        <f>X3163-Y3163</f>
        <v/>
      </c>
    </row>
    <row r="3164">
      <c r="A3164" t="n">
        <v>36</v>
      </c>
      <c r="B3164" s="44">
        <f>FiscalStart+(A3164-1)*7</f>
        <v/>
      </c>
      <c r="C3164">
        <f>TEXT(B3164,"mmm yyyy")</f>
        <v/>
      </c>
      <c r="D3164">
        <f>"Q"&amp;(INT((A3164-1)/13)+1)</f>
        <v/>
      </c>
      <c r="E3164" t="inlineStr">
        <is>
          <t>Specialty</t>
        </is>
      </c>
      <c r="F3164">
        <f>IFERROR(INDEX(ChFormat,MATCH(E3164,ChName,0)),"")</f>
        <v/>
      </c>
      <c r="G3164" t="inlineStr">
        <is>
          <t>NL</t>
        </is>
      </c>
      <c r="H3164">
        <f>IF(A3164&lt;=NWeeks,1,0)</f>
        <v/>
      </c>
      <c r="I3164">
        <f>INDEX(ChLaunch,MATCH(E3164,ChName,0))</f>
        <v/>
      </c>
      <c r="J3164">
        <f>INDEX(ChWeeksFull,MATCH(E3164,ChName,0))</f>
        <v/>
      </c>
      <c r="K3164">
        <f>INDEX(ChRamp,MATCH(E3164,ChName,0))</f>
        <v/>
      </c>
      <c r="L3164" s="45">
        <f>MIN(1,MAX(0,(A3164-I3164+1)*RampSpeed/J3164))</f>
        <v/>
      </c>
      <c r="M3164" s="45">
        <f>IF(A3164&lt;I3164,0,IF(K3164="S-curve",L3164*L3164*(3-2*L3164),L3164))</f>
        <v/>
      </c>
      <c r="N3164" s="45">
        <f>1+(INDEX(SeasonIdx,A3164)-1)*SeasonAmp</f>
        <v/>
      </c>
      <c r="O3164" s="45">
        <f>IFERROR(INDEX(PSPct,MATCH(E3164&amp;"|"&amp;G3164,PSKey,0)),0)</f>
        <v/>
      </c>
      <c r="P3164" s="46">
        <f>INDEX(ChDoorVel,MATCH(E3164,ChName,0))*CalibScalar*(1+VelocityUplift)</f>
        <v/>
      </c>
      <c r="Q3164" s="46" t="n">
        <v>0</v>
      </c>
      <c r="R3164" s="46">
        <f>P3164*O3164*M3164*N3164*H3164</f>
        <v/>
      </c>
      <c r="S3164" s="46">
        <f>R3164*INDEX(FmtCansPerCase,MATCH(F3164,FmtName,0))</f>
        <v/>
      </c>
      <c r="T3164" s="46">
        <f>S3164/INDEX(FmtCansPerPack,MATCH(F3164,FmtName,0))</f>
        <v/>
      </c>
      <c r="U3164" s="47">
        <f>INDEX(ChBaseCP,MATCH(E3164,ChName,0))*(1+INDEX(ProvMod,MATCH(G3164,ProvCode,0)))*(1+PriceIndex)</f>
        <v/>
      </c>
      <c r="V3164" s="47">
        <f>R3164*U3164*INDEX(FmtBlendedPriceIdx,MATCH(F3164,FmtName,0))</f>
        <v/>
      </c>
      <c r="W3164" s="47">
        <f>T3164*INDEX(ProvSRP,MATCH(G3164,ProvCode,0))*(1+PriceIndex)</f>
        <v/>
      </c>
      <c r="X3164" s="47">
        <f>IF(GrossBasis="Wholesale",V3164,W3164)</f>
        <v/>
      </c>
      <c r="Y3164" s="47">
        <f>R3164*INDEX(FmtBlendedCogs,MATCH(F3164,FmtName,0))</f>
        <v/>
      </c>
      <c r="Z3164" s="47">
        <f>X3164-Y3164</f>
        <v/>
      </c>
    </row>
    <row r="3165">
      <c r="A3165" t="n">
        <v>37</v>
      </c>
      <c r="B3165" s="44">
        <f>FiscalStart+(A3165-1)*7</f>
        <v/>
      </c>
      <c r="C3165">
        <f>TEXT(B3165,"mmm yyyy")</f>
        <v/>
      </c>
      <c r="D3165">
        <f>"Q"&amp;(INT((A3165-1)/13)+1)</f>
        <v/>
      </c>
      <c r="E3165" t="inlineStr">
        <is>
          <t>Specialty</t>
        </is>
      </c>
      <c r="F3165">
        <f>IFERROR(INDEX(ChFormat,MATCH(E3165,ChName,0)),"")</f>
        <v/>
      </c>
      <c r="G3165" t="inlineStr">
        <is>
          <t>NL</t>
        </is>
      </c>
      <c r="H3165">
        <f>IF(A3165&lt;=NWeeks,1,0)</f>
        <v/>
      </c>
      <c r="I3165">
        <f>INDEX(ChLaunch,MATCH(E3165,ChName,0))</f>
        <v/>
      </c>
      <c r="J3165">
        <f>INDEX(ChWeeksFull,MATCH(E3165,ChName,0))</f>
        <v/>
      </c>
      <c r="K3165">
        <f>INDEX(ChRamp,MATCH(E3165,ChName,0))</f>
        <v/>
      </c>
      <c r="L3165" s="45">
        <f>MIN(1,MAX(0,(A3165-I3165+1)*RampSpeed/J3165))</f>
        <v/>
      </c>
      <c r="M3165" s="45">
        <f>IF(A3165&lt;I3165,0,IF(K3165="S-curve",L3165*L3165*(3-2*L3165),L3165))</f>
        <v/>
      </c>
      <c r="N3165" s="45">
        <f>1+(INDEX(SeasonIdx,A3165)-1)*SeasonAmp</f>
        <v/>
      </c>
      <c r="O3165" s="45">
        <f>IFERROR(INDEX(PSPct,MATCH(E3165&amp;"|"&amp;G3165,PSKey,0)),0)</f>
        <v/>
      </c>
      <c r="P3165" s="46">
        <f>INDEX(ChDoorVel,MATCH(E3165,ChName,0))*CalibScalar*(1+VelocityUplift)</f>
        <v/>
      </c>
      <c r="Q3165" s="46" t="n">
        <v>0</v>
      </c>
      <c r="R3165" s="46">
        <f>P3165*O3165*M3165*N3165*H3165</f>
        <v/>
      </c>
      <c r="S3165" s="46">
        <f>R3165*INDEX(FmtCansPerCase,MATCH(F3165,FmtName,0))</f>
        <v/>
      </c>
      <c r="T3165" s="46">
        <f>S3165/INDEX(FmtCansPerPack,MATCH(F3165,FmtName,0))</f>
        <v/>
      </c>
      <c r="U3165" s="47">
        <f>INDEX(ChBaseCP,MATCH(E3165,ChName,0))*(1+INDEX(ProvMod,MATCH(G3165,ProvCode,0)))*(1+PriceIndex)</f>
        <v/>
      </c>
      <c r="V3165" s="47">
        <f>R3165*U3165*INDEX(FmtBlendedPriceIdx,MATCH(F3165,FmtName,0))</f>
        <v/>
      </c>
      <c r="W3165" s="47">
        <f>T3165*INDEX(ProvSRP,MATCH(G3165,ProvCode,0))*(1+PriceIndex)</f>
        <v/>
      </c>
      <c r="X3165" s="47">
        <f>IF(GrossBasis="Wholesale",V3165,W3165)</f>
        <v/>
      </c>
      <c r="Y3165" s="47">
        <f>R3165*INDEX(FmtBlendedCogs,MATCH(F3165,FmtName,0))</f>
        <v/>
      </c>
      <c r="Z3165" s="47">
        <f>X3165-Y3165</f>
        <v/>
      </c>
    </row>
    <row r="3166">
      <c r="A3166" t="n">
        <v>38</v>
      </c>
      <c r="B3166" s="44">
        <f>FiscalStart+(A3166-1)*7</f>
        <v/>
      </c>
      <c r="C3166">
        <f>TEXT(B3166,"mmm yyyy")</f>
        <v/>
      </c>
      <c r="D3166">
        <f>"Q"&amp;(INT((A3166-1)/13)+1)</f>
        <v/>
      </c>
      <c r="E3166" t="inlineStr">
        <is>
          <t>Specialty</t>
        </is>
      </c>
      <c r="F3166">
        <f>IFERROR(INDEX(ChFormat,MATCH(E3166,ChName,0)),"")</f>
        <v/>
      </c>
      <c r="G3166" t="inlineStr">
        <is>
          <t>NL</t>
        </is>
      </c>
      <c r="H3166">
        <f>IF(A3166&lt;=NWeeks,1,0)</f>
        <v/>
      </c>
      <c r="I3166">
        <f>INDEX(ChLaunch,MATCH(E3166,ChName,0))</f>
        <v/>
      </c>
      <c r="J3166">
        <f>INDEX(ChWeeksFull,MATCH(E3166,ChName,0))</f>
        <v/>
      </c>
      <c r="K3166">
        <f>INDEX(ChRamp,MATCH(E3166,ChName,0))</f>
        <v/>
      </c>
      <c r="L3166" s="45">
        <f>MIN(1,MAX(0,(A3166-I3166+1)*RampSpeed/J3166))</f>
        <v/>
      </c>
      <c r="M3166" s="45">
        <f>IF(A3166&lt;I3166,0,IF(K3166="S-curve",L3166*L3166*(3-2*L3166),L3166))</f>
        <v/>
      </c>
      <c r="N3166" s="45">
        <f>1+(INDEX(SeasonIdx,A3166)-1)*SeasonAmp</f>
        <v/>
      </c>
      <c r="O3166" s="45">
        <f>IFERROR(INDEX(PSPct,MATCH(E3166&amp;"|"&amp;G3166,PSKey,0)),0)</f>
        <v/>
      </c>
      <c r="P3166" s="46">
        <f>INDEX(ChDoorVel,MATCH(E3166,ChName,0))*CalibScalar*(1+VelocityUplift)</f>
        <v/>
      </c>
      <c r="Q3166" s="46" t="n">
        <v>0</v>
      </c>
      <c r="R3166" s="46">
        <f>P3166*O3166*M3166*N3166*H3166</f>
        <v/>
      </c>
      <c r="S3166" s="46">
        <f>R3166*INDEX(FmtCansPerCase,MATCH(F3166,FmtName,0))</f>
        <v/>
      </c>
      <c r="T3166" s="46">
        <f>S3166/INDEX(FmtCansPerPack,MATCH(F3166,FmtName,0))</f>
        <v/>
      </c>
      <c r="U3166" s="47">
        <f>INDEX(ChBaseCP,MATCH(E3166,ChName,0))*(1+INDEX(ProvMod,MATCH(G3166,ProvCode,0)))*(1+PriceIndex)</f>
        <v/>
      </c>
      <c r="V3166" s="47">
        <f>R3166*U3166*INDEX(FmtBlendedPriceIdx,MATCH(F3166,FmtName,0))</f>
        <v/>
      </c>
      <c r="W3166" s="47">
        <f>T3166*INDEX(ProvSRP,MATCH(G3166,ProvCode,0))*(1+PriceIndex)</f>
        <v/>
      </c>
      <c r="X3166" s="47">
        <f>IF(GrossBasis="Wholesale",V3166,W3166)</f>
        <v/>
      </c>
      <c r="Y3166" s="47">
        <f>R3166*INDEX(FmtBlendedCogs,MATCH(F3166,FmtName,0))</f>
        <v/>
      </c>
      <c r="Z3166" s="47">
        <f>X3166-Y3166</f>
        <v/>
      </c>
    </row>
    <row r="3167">
      <c r="A3167" t="n">
        <v>39</v>
      </c>
      <c r="B3167" s="44">
        <f>FiscalStart+(A3167-1)*7</f>
        <v/>
      </c>
      <c r="C3167">
        <f>TEXT(B3167,"mmm yyyy")</f>
        <v/>
      </c>
      <c r="D3167">
        <f>"Q"&amp;(INT((A3167-1)/13)+1)</f>
        <v/>
      </c>
      <c r="E3167" t="inlineStr">
        <is>
          <t>Specialty</t>
        </is>
      </c>
      <c r="F3167">
        <f>IFERROR(INDEX(ChFormat,MATCH(E3167,ChName,0)),"")</f>
        <v/>
      </c>
      <c r="G3167" t="inlineStr">
        <is>
          <t>NL</t>
        </is>
      </c>
      <c r="H3167">
        <f>IF(A3167&lt;=NWeeks,1,0)</f>
        <v/>
      </c>
      <c r="I3167">
        <f>INDEX(ChLaunch,MATCH(E3167,ChName,0))</f>
        <v/>
      </c>
      <c r="J3167">
        <f>INDEX(ChWeeksFull,MATCH(E3167,ChName,0))</f>
        <v/>
      </c>
      <c r="K3167">
        <f>INDEX(ChRamp,MATCH(E3167,ChName,0))</f>
        <v/>
      </c>
      <c r="L3167" s="45">
        <f>MIN(1,MAX(0,(A3167-I3167+1)*RampSpeed/J3167))</f>
        <v/>
      </c>
      <c r="M3167" s="45">
        <f>IF(A3167&lt;I3167,0,IF(K3167="S-curve",L3167*L3167*(3-2*L3167),L3167))</f>
        <v/>
      </c>
      <c r="N3167" s="45">
        <f>1+(INDEX(SeasonIdx,A3167)-1)*SeasonAmp</f>
        <v/>
      </c>
      <c r="O3167" s="45">
        <f>IFERROR(INDEX(PSPct,MATCH(E3167&amp;"|"&amp;G3167,PSKey,0)),0)</f>
        <v/>
      </c>
      <c r="P3167" s="46">
        <f>INDEX(ChDoorVel,MATCH(E3167,ChName,0))*CalibScalar*(1+VelocityUplift)</f>
        <v/>
      </c>
      <c r="Q3167" s="46" t="n">
        <v>0</v>
      </c>
      <c r="R3167" s="46">
        <f>P3167*O3167*M3167*N3167*H3167</f>
        <v/>
      </c>
      <c r="S3167" s="46">
        <f>R3167*INDEX(FmtCansPerCase,MATCH(F3167,FmtName,0))</f>
        <v/>
      </c>
      <c r="T3167" s="46">
        <f>S3167/INDEX(FmtCansPerPack,MATCH(F3167,FmtName,0))</f>
        <v/>
      </c>
      <c r="U3167" s="47">
        <f>INDEX(ChBaseCP,MATCH(E3167,ChName,0))*(1+INDEX(ProvMod,MATCH(G3167,ProvCode,0)))*(1+PriceIndex)</f>
        <v/>
      </c>
      <c r="V3167" s="47">
        <f>R3167*U3167*INDEX(FmtBlendedPriceIdx,MATCH(F3167,FmtName,0))</f>
        <v/>
      </c>
      <c r="W3167" s="47">
        <f>T3167*INDEX(ProvSRP,MATCH(G3167,ProvCode,0))*(1+PriceIndex)</f>
        <v/>
      </c>
      <c r="X3167" s="47">
        <f>IF(GrossBasis="Wholesale",V3167,W3167)</f>
        <v/>
      </c>
      <c r="Y3167" s="47">
        <f>R3167*INDEX(FmtBlendedCogs,MATCH(F3167,FmtName,0))</f>
        <v/>
      </c>
      <c r="Z3167" s="47">
        <f>X3167-Y3167</f>
        <v/>
      </c>
    </row>
    <row r="3168">
      <c r="A3168" t="n">
        <v>40</v>
      </c>
      <c r="B3168" s="44">
        <f>FiscalStart+(A3168-1)*7</f>
        <v/>
      </c>
      <c r="C3168">
        <f>TEXT(B3168,"mmm yyyy")</f>
        <v/>
      </c>
      <c r="D3168">
        <f>"Q"&amp;(INT((A3168-1)/13)+1)</f>
        <v/>
      </c>
      <c r="E3168" t="inlineStr">
        <is>
          <t>Specialty</t>
        </is>
      </c>
      <c r="F3168">
        <f>IFERROR(INDEX(ChFormat,MATCH(E3168,ChName,0)),"")</f>
        <v/>
      </c>
      <c r="G3168" t="inlineStr">
        <is>
          <t>NL</t>
        </is>
      </c>
      <c r="H3168">
        <f>IF(A3168&lt;=NWeeks,1,0)</f>
        <v/>
      </c>
      <c r="I3168">
        <f>INDEX(ChLaunch,MATCH(E3168,ChName,0))</f>
        <v/>
      </c>
      <c r="J3168">
        <f>INDEX(ChWeeksFull,MATCH(E3168,ChName,0))</f>
        <v/>
      </c>
      <c r="K3168">
        <f>INDEX(ChRamp,MATCH(E3168,ChName,0))</f>
        <v/>
      </c>
      <c r="L3168" s="45">
        <f>MIN(1,MAX(0,(A3168-I3168+1)*RampSpeed/J3168))</f>
        <v/>
      </c>
      <c r="M3168" s="45">
        <f>IF(A3168&lt;I3168,0,IF(K3168="S-curve",L3168*L3168*(3-2*L3168),L3168))</f>
        <v/>
      </c>
      <c r="N3168" s="45">
        <f>1+(INDEX(SeasonIdx,A3168)-1)*SeasonAmp</f>
        <v/>
      </c>
      <c r="O3168" s="45">
        <f>IFERROR(INDEX(PSPct,MATCH(E3168&amp;"|"&amp;G3168,PSKey,0)),0)</f>
        <v/>
      </c>
      <c r="P3168" s="46">
        <f>INDEX(ChDoorVel,MATCH(E3168,ChName,0))*CalibScalar*(1+VelocityUplift)</f>
        <v/>
      </c>
      <c r="Q3168" s="46" t="n">
        <v>0</v>
      </c>
      <c r="R3168" s="46">
        <f>P3168*O3168*M3168*N3168*H3168</f>
        <v/>
      </c>
      <c r="S3168" s="46">
        <f>R3168*INDEX(FmtCansPerCase,MATCH(F3168,FmtName,0))</f>
        <v/>
      </c>
      <c r="T3168" s="46">
        <f>S3168/INDEX(FmtCansPerPack,MATCH(F3168,FmtName,0))</f>
        <v/>
      </c>
      <c r="U3168" s="47">
        <f>INDEX(ChBaseCP,MATCH(E3168,ChName,0))*(1+INDEX(ProvMod,MATCH(G3168,ProvCode,0)))*(1+PriceIndex)</f>
        <v/>
      </c>
      <c r="V3168" s="47">
        <f>R3168*U3168*INDEX(FmtBlendedPriceIdx,MATCH(F3168,FmtName,0))</f>
        <v/>
      </c>
      <c r="W3168" s="47">
        <f>T3168*INDEX(ProvSRP,MATCH(G3168,ProvCode,0))*(1+PriceIndex)</f>
        <v/>
      </c>
      <c r="X3168" s="47">
        <f>IF(GrossBasis="Wholesale",V3168,W3168)</f>
        <v/>
      </c>
      <c r="Y3168" s="47">
        <f>R3168*INDEX(FmtBlendedCogs,MATCH(F3168,FmtName,0))</f>
        <v/>
      </c>
      <c r="Z3168" s="47">
        <f>X3168-Y3168</f>
        <v/>
      </c>
    </row>
    <row r="3169">
      <c r="A3169" t="n">
        <v>41</v>
      </c>
      <c r="B3169" s="44">
        <f>FiscalStart+(A3169-1)*7</f>
        <v/>
      </c>
      <c r="C3169">
        <f>TEXT(B3169,"mmm yyyy")</f>
        <v/>
      </c>
      <c r="D3169">
        <f>"Q"&amp;(INT((A3169-1)/13)+1)</f>
        <v/>
      </c>
      <c r="E3169" t="inlineStr">
        <is>
          <t>Specialty</t>
        </is>
      </c>
      <c r="F3169">
        <f>IFERROR(INDEX(ChFormat,MATCH(E3169,ChName,0)),"")</f>
        <v/>
      </c>
      <c r="G3169" t="inlineStr">
        <is>
          <t>NL</t>
        </is>
      </c>
      <c r="H3169">
        <f>IF(A3169&lt;=NWeeks,1,0)</f>
        <v/>
      </c>
      <c r="I3169">
        <f>INDEX(ChLaunch,MATCH(E3169,ChName,0))</f>
        <v/>
      </c>
      <c r="J3169">
        <f>INDEX(ChWeeksFull,MATCH(E3169,ChName,0))</f>
        <v/>
      </c>
      <c r="K3169">
        <f>INDEX(ChRamp,MATCH(E3169,ChName,0))</f>
        <v/>
      </c>
      <c r="L3169" s="45">
        <f>MIN(1,MAX(0,(A3169-I3169+1)*RampSpeed/J3169))</f>
        <v/>
      </c>
      <c r="M3169" s="45">
        <f>IF(A3169&lt;I3169,0,IF(K3169="S-curve",L3169*L3169*(3-2*L3169),L3169))</f>
        <v/>
      </c>
      <c r="N3169" s="45">
        <f>1+(INDEX(SeasonIdx,A3169)-1)*SeasonAmp</f>
        <v/>
      </c>
      <c r="O3169" s="45">
        <f>IFERROR(INDEX(PSPct,MATCH(E3169&amp;"|"&amp;G3169,PSKey,0)),0)</f>
        <v/>
      </c>
      <c r="P3169" s="46">
        <f>INDEX(ChDoorVel,MATCH(E3169,ChName,0))*CalibScalar*(1+VelocityUplift)</f>
        <v/>
      </c>
      <c r="Q3169" s="46" t="n">
        <v>0</v>
      </c>
      <c r="R3169" s="46">
        <f>P3169*O3169*M3169*N3169*H3169</f>
        <v/>
      </c>
      <c r="S3169" s="46">
        <f>R3169*INDEX(FmtCansPerCase,MATCH(F3169,FmtName,0))</f>
        <v/>
      </c>
      <c r="T3169" s="46">
        <f>S3169/INDEX(FmtCansPerPack,MATCH(F3169,FmtName,0))</f>
        <v/>
      </c>
      <c r="U3169" s="47">
        <f>INDEX(ChBaseCP,MATCH(E3169,ChName,0))*(1+INDEX(ProvMod,MATCH(G3169,ProvCode,0)))*(1+PriceIndex)</f>
        <v/>
      </c>
      <c r="V3169" s="47">
        <f>R3169*U3169*INDEX(FmtBlendedPriceIdx,MATCH(F3169,FmtName,0))</f>
        <v/>
      </c>
      <c r="W3169" s="47">
        <f>T3169*INDEX(ProvSRP,MATCH(G3169,ProvCode,0))*(1+PriceIndex)</f>
        <v/>
      </c>
      <c r="X3169" s="47">
        <f>IF(GrossBasis="Wholesale",V3169,W3169)</f>
        <v/>
      </c>
      <c r="Y3169" s="47">
        <f>R3169*INDEX(FmtBlendedCogs,MATCH(F3169,FmtName,0))</f>
        <v/>
      </c>
      <c r="Z3169" s="47">
        <f>X3169-Y3169</f>
        <v/>
      </c>
    </row>
    <row r="3170">
      <c r="A3170" t="n">
        <v>42</v>
      </c>
      <c r="B3170" s="44">
        <f>FiscalStart+(A3170-1)*7</f>
        <v/>
      </c>
      <c r="C3170">
        <f>TEXT(B3170,"mmm yyyy")</f>
        <v/>
      </c>
      <c r="D3170">
        <f>"Q"&amp;(INT((A3170-1)/13)+1)</f>
        <v/>
      </c>
      <c r="E3170" t="inlineStr">
        <is>
          <t>Specialty</t>
        </is>
      </c>
      <c r="F3170">
        <f>IFERROR(INDEX(ChFormat,MATCH(E3170,ChName,0)),"")</f>
        <v/>
      </c>
      <c r="G3170" t="inlineStr">
        <is>
          <t>NL</t>
        </is>
      </c>
      <c r="H3170">
        <f>IF(A3170&lt;=NWeeks,1,0)</f>
        <v/>
      </c>
      <c r="I3170">
        <f>INDEX(ChLaunch,MATCH(E3170,ChName,0))</f>
        <v/>
      </c>
      <c r="J3170">
        <f>INDEX(ChWeeksFull,MATCH(E3170,ChName,0))</f>
        <v/>
      </c>
      <c r="K3170">
        <f>INDEX(ChRamp,MATCH(E3170,ChName,0))</f>
        <v/>
      </c>
      <c r="L3170" s="45">
        <f>MIN(1,MAX(0,(A3170-I3170+1)*RampSpeed/J3170))</f>
        <v/>
      </c>
      <c r="M3170" s="45">
        <f>IF(A3170&lt;I3170,0,IF(K3170="S-curve",L3170*L3170*(3-2*L3170),L3170))</f>
        <v/>
      </c>
      <c r="N3170" s="45">
        <f>1+(INDEX(SeasonIdx,A3170)-1)*SeasonAmp</f>
        <v/>
      </c>
      <c r="O3170" s="45">
        <f>IFERROR(INDEX(PSPct,MATCH(E3170&amp;"|"&amp;G3170,PSKey,0)),0)</f>
        <v/>
      </c>
      <c r="P3170" s="46">
        <f>INDEX(ChDoorVel,MATCH(E3170,ChName,0))*CalibScalar*(1+VelocityUplift)</f>
        <v/>
      </c>
      <c r="Q3170" s="46" t="n">
        <v>0</v>
      </c>
      <c r="R3170" s="46">
        <f>P3170*O3170*M3170*N3170*H3170</f>
        <v/>
      </c>
      <c r="S3170" s="46">
        <f>R3170*INDEX(FmtCansPerCase,MATCH(F3170,FmtName,0))</f>
        <v/>
      </c>
      <c r="T3170" s="46">
        <f>S3170/INDEX(FmtCansPerPack,MATCH(F3170,FmtName,0))</f>
        <v/>
      </c>
      <c r="U3170" s="47">
        <f>INDEX(ChBaseCP,MATCH(E3170,ChName,0))*(1+INDEX(ProvMod,MATCH(G3170,ProvCode,0)))*(1+PriceIndex)</f>
        <v/>
      </c>
      <c r="V3170" s="47">
        <f>R3170*U3170*INDEX(FmtBlendedPriceIdx,MATCH(F3170,FmtName,0))</f>
        <v/>
      </c>
      <c r="W3170" s="47">
        <f>T3170*INDEX(ProvSRP,MATCH(G3170,ProvCode,0))*(1+PriceIndex)</f>
        <v/>
      </c>
      <c r="X3170" s="47">
        <f>IF(GrossBasis="Wholesale",V3170,W3170)</f>
        <v/>
      </c>
      <c r="Y3170" s="47">
        <f>R3170*INDEX(FmtBlendedCogs,MATCH(F3170,FmtName,0))</f>
        <v/>
      </c>
      <c r="Z3170" s="47">
        <f>X3170-Y3170</f>
        <v/>
      </c>
    </row>
    <row r="3171">
      <c r="A3171" t="n">
        <v>43</v>
      </c>
      <c r="B3171" s="44">
        <f>FiscalStart+(A3171-1)*7</f>
        <v/>
      </c>
      <c r="C3171">
        <f>TEXT(B3171,"mmm yyyy")</f>
        <v/>
      </c>
      <c r="D3171">
        <f>"Q"&amp;(INT((A3171-1)/13)+1)</f>
        <v/>
      </c>
      <c r="E3171" t="inlineStr">
        <is>
          <t>Specialty</t>
        </is>
      </c>
      <c r="F3171">
        <f>IFERROR(INDEX(ChFormat,MATCH(E3171,ChName,0)),"")</f>
        <v/>
      </c>
      <c r="G3171" t="inlineStr">
        <is>
          <t>NL</t>
        </is>
      </c>
      <c r="H3171">
        <f>IF(A3171&lt;=NWeeks,1,0)</f>
        <v/>
      </c>
      <c r="I3171">
        <f>INDEX(ChLaunch,MATCH(E3171,ChName,0))</f>
        <v/>
      </c>
      <c r="J3171">
        <f>INDEX(ChWeeksFull,MATCH(E3171,ChName,0))</f>
        <v/>
      </c>
      <c r="K3171">
        <f>INDEX(ChRamp,MATCH(E3171,ChName,0))</f>
        <v/>
      </c>
      <c r="L3171" s="45">
        <f>MIN(1,MAX(0,(A3171-I3171+1)*RampSpeed/J3171))</f>
        <v/>
      </c>
      <c r="M3171" s="45">
        <f>IF(A3171&lt;I3171,0,IF(K3171="S-curve",L3171*L3171*(3-2*L3171),L3171))</f>
        <v/>
      </c>
      <c r="N3171" s="45">
        <f>1+(INDEX(SeasonIdx,A3171)-1)*SeasonAmp</f>
        <v/>
      </c>
      <c r="O3171" s="45">
        <f>IFERROR(INDEX(PSPct,MATCH(E3171&amp;"|"&amp;G3171,PSKey,0)),0)</f>
        <v/>
      </c>
      <c r="P3171" s="46">
        <f>INDEX(ChDoorVel,MATCH(E3171,ChName,0))*CalibScalar*(1+VelocityUplift)</f>
        <v/>
      </c>
      <c r="Q3171" s="46" t="n">
        <v>0</v>
      </c>
      <c r="R3171" s="46">
        <f>P3171*O3171*M3171*N3171*H3171</f>
        <v/>
      </c>
      <c r="S3171" s="46">
        <f>R3171*INDEX(FmtCansPerCase,MATCH(F3171,FmtName,0))</f>
        <v/>
      </c>
      <c r="T3171" s="46">
        <f>S3171/INDEX(FmtCansPerPack,MATCH(F3171,FmtName,0))</f>
        <v/>
      </c>
      <c r="U3171" s="47">
        <f>INDEX(ChBaseCP,MATCH(E3171,ChName,0))*(1+INDEX(ProvMod,MATCH(G3171,ProvCode,0)))*(1+PriceIndex)</f>
        <v/>
      </c>
      <c r="V3171" s="47">
        <f>R3171*U3171*INDEX(FmtBlendedPriceIdx,MATCH(F3171,FmtName,0))</f>
        <v/>
      </c>
      <c r="W3171" s="47">
        <f>T3171*INDEX(ProvSRP,MATCH(G3171,ProvCode,0))*(1+PriceIndex)</f>
        <v/>
      </c>
      <c r="X3171" s="47">
        <f>IF(GrossBasis="Wholesale",V3171,W3171)</f>
        <v/>
      </c>
      <c r="Y3171" s="47">
        <f>R3171*INDEX(FmtBlendedCogs,MATCH(F3171,FmtName,0))</f>
        <v/>
      </c>
      <c r="Z3171" s="47">
        <f>X3171-Y3171</f>
        <v/>
      </c>
    </row>
    <row r="3172">
      <c r="A3172" t="n">
        <v>44</v>
      </c>
      <c r="B3172" s="44">
        <f>FiscalStart+(A3172-1)*7</f>
        <v/>
      </c>
      <c r="C3172">
        <f>TEXT(B3172,"mmm yyyy")</f>
        <v/>
      </c>
      <c r="D3172">
        <f>"Q"&amp;(INT((A3172-1)/13)+1)</f>
        <v/>
      </c>
      <c r="E3172" t="inlineStr">
        <is>
          <t>Specialty</t>
        </is>
      </c>
      <c r="F3172">
        <f>IFERROR(INDEX(ChFormat,MATCH(E3172,ChName,0)),"")</f>
        <v/>
      </c>
      <c r="G3172" t="inlineStr">
        <is>
          <t>NL</t>
        </is>
      </c>
      <c r="H3172">
        <f>IF(A3172&lt;=NWeeks,1,0)</f>
        <v/>
      </c>
      <c r="I3172">
        <f>INDEX(ChLaunch,MATCH(E3172,ChName,0))</f>
        <v/>
      </c>
      <c r="J3172">
        <f>INDEX(ChWeeksFull,MATCH(E3172,ChName,0))</f>
        <v/>
      </c>
      <c r="K3172">
        <f>INDEX(ChRamp,MATCH(E3172,ChName,0))</f>
        <v/>
      </c>
      <c r="L3172" s="45">
        <f>MIN(1,MAX(0,(A3172-I3172+1)*RampSpeed/J3172))</f>
        <v/>
      </c>
      <c r="M3172" s="45">
        <f>IF(A3172&lt;I3172,0,IF(K3172="S-curve",L3172*L3172*(3-2*L3172),L3172))</f>
        <v/>
      </c>
      <c r="N3172" s="45">
        <f>1+(INDEX(SeasonIdx,A3172)-1)*SeasonAmp</f>
        <v/>
      </c>
      <c r="O3172" s="45">
        <f>IFERROR(INDEX(PSPct,MATCH(E3172&amp;"|"&amp;G3172,PSKey,0)),0)</f>
        <v/>
      </c>
      <c r="P3172" s="46">
        <f>INDEX(ChDoorVel,MATCH(E3172,ChName,0))*CalibScalar*(1+VelocityUplift)</f>
        <v/>
      </c>
      <c r="Q3172" s="46" t="n">
        <v>0</v>
      </c>
      <c r="R3172" s="46">
        <f>P3172*O3172*M3172*N3172*H3172</f>
        <v/>
      </c>
      <c r="S3172" s="46">
        <f>R3172*INDEX(FmtCansPerCase,MATCH(F3172,FmtName,0))</f>
        <v/>
      </c>
      <c r="T3172" s="46">
        <f>S3172/INDEX(FmtCansPerPack,MATCH(F3172,FmtName,0))</f>
        <v/>
      </c>
      <c r="U3172" s="47">
        <f>INDEX(ChBaseCP,MATCH(E3172,ChName,0))*(1+INDEX(ProvMod,MATCH(G3172,ProvCode,0)))*(1+PriceIndex)</f>
        <v/>
      </c>
      <c r="V3172" s="47">
        <f>R3172*U3172*INDEX(FmtBlendedPriceIdx,MATCH(F3172,FmtName,0))</f>
        <v/>
      </c>
      <c r="W3172" s="47">
        <f>T3172*INDEX(ProvSRP,MATCH(G3172,ProvCode,0))*(1+PriceIndex)</f>
        <v/>
      </c>
      <c r="X3172" s="47">
        <f>IF(GrossBasis="Wholesale",V3172,W3172)</f>
        <v/>
      </c>
      <c r="Y3172" s="47">
        <f>R3172*INDEX(FmtBlendedCogs,MATCH(F3172,FmtName,0))</f>
        <v/>
      </c>
      <c r="Z3172" s="47">
        <f>X3172-Y3172</f>
        <v/>
      </c>
    </row>
    <row r="3173">
      <c r="A3173" t="n">
        <v>45</v>
      </c>
      <c r="B3173" s="44">
        <f>FiscalStart+(A3173-1)*7</f>
        <v/>
      </c>
      <c r="C3173">
        <f>TEXT(B3173,"mmm yyyy")</f>
        <v/>
      </c>
      <c r="D3173">
        <f>"Q"&amp;(INT((A3173-1)/13)+1)</f>
        <v/>
      </c>
      <c r="E3173" t="inlineStr">
        <is>
          <t>Specialty</t>
        </is>
      </c>
      <c r="F3173">
        <f>IFERROR(INDEX(ChFormat,MATCH(E3173,ChName,0)),"")</f>
        <v/>
      </c>
      <c r="G3173" t="inlineStr">
        <is>
          <t>NL</t>
        </is>
      </c>
      <c r="H3173">
        <f>IF(A3173&lt;=NWeeks,1,0)</f>
        <v/>
      </c>
      <c r="I3173">
        <f>INDEX(ChLaunch,MATCH(E3173,ChName,0))</f>
        <v/>
      </c>
      <c r="J3173">
        <f>INDEX(ChWeeksFull,MATCH(E3173,ChName,0))</f>
        <v/>
      </c>
      <c r="K3173">
        <f>INDEX(ChRamp,MATCH(E3173,ChName,0))</f>
        <v/>
      </c>
      <c r="L3173" s="45">
        <f>MIN(1,MAX(0,(A3173-I3173+1)*RampSpeed/J3173))</f>
        <v/>
      </c>
      <c r="M3173" s="45">
        <f>IF(A3173&lt;I3173,0,IF(K3173="S-curve",L3173*L3173*(3-2*L3173),L3173))</f>
        <v/>
      </c>
      <c r="N3173" s="45">
        <f>1+(INDEX(SeasonIdx,A3173)-1)*SeasonAmp</f>
        <v/>
      </c>
      <c r="O3173" s="45">
        <f>IFERROR(INDEX(PSPct,MATCH(E3173&amp;"|"&amp;G3173,PSKey,0)),0)</f>
        <v/>
      </c>
      <c r="P3173" s="46">
        <f>INDEX(ChDoorVel,MATCH(E3173,ChName,0))*CalibScalar*(1+VelocityUplift)</f>
        <v/>
      </c>
      <c r="Q3173" s="46" t="n">
        <v>0</v>
      </c>
      <c r="R3173" s="46">
        <f>P3173*O3173*M3173*N3173*H3173</f>
        <v/>
      </c>
      <c r="S3173" s="46">
        <f>R3173*INDEX(FmtCansPerCase,MATCH(F3173,FmtName,0))</f>
        <v/>
      </c>
      <c r="T3173" s="46">
        <f>S3173/INDEX(FmtCansPerPack,MATCH(F3173,FmtName,0))</f>
        <v/>
      </c>
      <c r="U3173" s="47">
        <f>INDEX(ChBaseCP,MATCH(E3173,ChName,0))*(1+INDEX(ProvMod,MATCH(G3173,ProvCode,0)))*(1+PriceIndex)</f>
        <v/>
      </c>
      <c r="V3173" s="47">
        <f>R3173*U3173*INDEX(FmtBlendedPriceIdx,MATCH(F3173,FmtName,0))</f>
        <v/>
      </c>
      <c r="W3173" s="47">
        <f>T3173*INDEX(ProvSRP,MATCH(G3173,ProvCode,0))*(1+PriceIndex)</f>
        <v/>
      </c>
      <c r="X3173" s="47">
        <f>IF(GrossBasis="Wholesale",V3173,W3173)</f>
        <v/>
      </c>
      <c r="Y3173" s="47">
        <f>R3173*INDEX(FmtBlendedCogs,MATCH(F3173,FmtName,0))</f>
        <v/>
      </c>
      <c r="Z3173" s="47">
        <f>X3173-Y3173</f>
        <v/>
      </c>
    </row>
    <row r="3174">
      <c r="A3174" t="n">
        <v>46</v>
      </c>
      <c r="B3174" s="44">
        <f>FiscalStart+(A3174-1)*7</f>
        <v/>
      </c>
      <c r="C3174">
        <f>TEXT(B3174,"mmm yyyy")</f>
        <v/>
      </c>
      <c r="D3174">
        <f>"Q"&amp;(INT((A3174-1)/13)+1)</f>
        <v/>
      </c>
      <c r="E3174" t="inlineStr">
        <is>
          <t>Specialty</t>
        </is>
      </c>
      <c r="F3174">
        <f>IFERROR(INDEX(ChFormat,MATCH(E3174,ChName,0)),"")</f>
        <v/>
      </c>
      <c r="G3174" t="inlineStr">
        <is>
          <t>NL</t>
        </is>
      </c>
      <c r="H3174">
        <f>IF(A3174&lt;=NWeeks,1,0)</f>
        <v/>
      </c>
      <c r="I3174">
        <f>INDEX(ChLaunch,MATCH(E3174,ChName,0))</f>
        <v/>
      </c>
      <c r="J3174">
        <f>INDEX(ChWeeksFull,MATCH(E3174,ChName,0))</f>
        <v/>
      </c>
      <c r="K3174">
        <f>INDEX(ChRamp,MATCH(E3174,ChName,0))</f>
        <v/>
      </c>
      <c r="L3174" s="45">
        <f>MIN(1,MAX(0,(A3174-I3174+1)*RampSpeed/J3174))</f>
        <v/>
      </c>
      <c r="M3174" s="45">
        <f>IF(A3174&lt;I3174,0,IF(K3174="S-curve",L3174*L3174*(3-2*L3174),L3174))</f>
        <v/>
      </c>
      <c r="N3174" s="45">
        <f>1+(INDEX(SeasonIdx,A3174)-1)*SeasonAmp</f>
        <v/>
      </c>
      <c r="O3174" s="45">
        <f>IFERROR(INDEX(PSPct,MATCH(E3174&amp;"|"&amp;G3174,PSKey,0)),0)</f>
        <v/>
      </c>
      <c r="P3174" s="46">
        <f>INDEX(ChDoorVel,MATCH(E3174,ChName,0))*CalibScalar*(1+VelocityUplift)</f>
        <v/>
      </c>
      <c r="Q3174" s="46" t="n">
        <v>0</v>
      </c>
      <c r="R3174" s="46">
        <f>P3174*O3174*M3174*N3174*H3174</f>
        <v/>
      </c>
      <c r="S3174" s="46">
        <f>R3174*INDEX(FmtCansPerCase,MATCH(F3174,FmtName,0))</f>
        <v/>
      </c>
      <c r="T3174" s="46">
        <f>S3174/INDEX(FmtCansPerPack,MATCH(F3174,FmtName,0))</f>
        <v/>
      </c>
      <c r="U3174" s="47">
        <f>INDEX(ChBaseCP,MATCH(E3174,ChName,0))*(1+INDEX(ProvMod,MATCH(G3174,ProvCode,0)))*(1+PriceIndex)</f>
        <v/>
      </c>
      <c r="V3174" s="47">
        <f>R3174*U3174*INDEX(FmtBlendedPriceIdx,MATCH(F3174,FmtName,0))</f>
        <v/>
      </c>
      <c r="W3174" s="47">
        <f>T3174*INDEX(ProvSRP,MATCH(G3174,ProvCode,0))*(1+PriceIndex)</f>
        <v/>
      </c>
      <c r="X3174" s="47">
        <f>IF(GrossBasis="Wholesale",V3174,W3174)</f>
        <v/>
      </c>
      <c r="Y3174" s="47">
        <f>R3174*INDEX(FmtBlendedCogs,MATCH(F3174,FmtName,0))</f>
        <v/>
      </c>
      <c r="Z3174" s="47">
        <f>X3174-Y3174</f>
        <v/>
      </c>
    </row>
    <row r="3175">
      <c r="A3175" t="n">
        <v>47</v>
      </c>
      <c r="B3175" s="44">
        <f>FiscalStart+(A3175-1)*7</f>
        <v/>
      </c>
      <c r="C3175">
        <f>TEXT(B3175,"mmm yyyy")</f>
        <v/>
      </c>
      <c r="D3175">
        <f>"Q"&amp;(INT((A3175-1)/13)+1)</f>
        <v/>
      </c>
      <c r="E3175" t="inlineStr">
        <is>
          <t>Specialty</t>
        </is>
      </c>
      <c r="F3175">
        <f>IFERROR(INDEX(ChFormat,MATCH(E3175,ChName,0)),"")</f>
        <v/>
      </c>
      <c r="G3175" t="inlineStr">
        <is>
          <t>NL</t>
        </is>
      </c>
      <c r="H3175">
        <f>IF(A3175&lt;=NWeeks,1,0)</f>
        <v/>
      </c>
      <c r="I3175">
        <f>INDEX(ChLaunch,MATCH(E3175,ChName,0))</f>
        <v/>
      </c>
      <c r="J3175">
        <f>INDEX(ChWeeksFull,MATCH(E3175,ChName,0))</f>
        <v/>
      </c>
      <c r="K3175">
        <f>INDEX(ChRamp,MATCH(E3175,ChName,0))</f>
        <v/>
      </c>
      <c r="L3175" s="45">
        <f>MIN(1,MAX(0,(A3175-I3175+1)*RampSpeed/J3175))</f>
        <v/>
      </c>
      <c r="M3175" s="45">
        <f>IF(A3175&lt;I3175,0,IF(K3175="S-curve",L3175*L3175*(3-2*L3175),L3175))</f>
        <v/>
      </c>
      <c r="N3175" s="45">
        <f>1+(INDEX(SeasonIdx,A3175)-1)*SeasonAmp</f>
        <v/>
      </c>
      <c r="O3175" s="45">
        <f>IFERROR(INDEX(PSPct,MATCH(E3175&amp;"|"&amp;G3175,PSKey,0)),0)</f>
        <v/>
      </c>
      <c r="P3175" s="46">
        <f>INDEX(ChDoorVel,MATCH(E3175,ChName,0))*CalibScalar*(1+VelocityUplift)</f>
        <v/>
      </c>
      <c r="Q3175" s="46" t="n">
        <v>0</v>
      </c>
      <c r="R3175" s="46">
        <f>P3175*O3175*M3175*N3175*H3175</f>
        <v/>
      </c>
      <c r="S3175" s="46">
        <f>R3175*INDEX(FmtCansPerCase,MATCH(F3175,FmtName,0))</f>
        <v/>
      </c>
      <c r="T3175" s="46">
        <f>S3175/INDEX(FmtCansPerPack,MATCH(F3175,FmtName,0))</f>
        <v/>
      </c>
      <c r="U3175" s="47">
        <f>INDEX(ChBaseCP,MATCH(E3175,ChName,0))*(1+INDEX(ProvMod,MATCH(G3175,ProvCode,0)))*(1+PriceIndex)</f>
        <v/>
      </c>
      <c r="V3175" s="47">
        <f>R3175*U3175*INDEX(FmtBlendedPriceIdx,MATCH(F3175,FmtName,0))</f>
        <v/>
      </c>
      <c r="W3175" s="47">
        <f>T3175*INDEX(ProvSRP,MATCH(G3175,ProvCode,0))*(1+PriceIndex)</f>
        <v/>
      </c>
      <c r="X3175" s="47">
        <f>IF(GrossBasis="Wholesale",V3175,W3175)</f>
        <v/>
      </c>
      <c r="Y3175" s="47">
        <f>R3175*INDEX(FmtBlendedCogs,MATCH(F3175,FmtName,0))</f>
        <v/>
      </c>
      <c r="Z3175" s="47">
        <f>X3175-Y3175</f>
        <v/>
      </c>
    </row>
    <row r="3176">
      <c r="A3176" t="n">
        <v>48</v>
      </c>
      <c r="B3176" s="44">
        <f>FiscalStart+(A3176-1)*7</f>
        <v/>
      </c>
      <c r="C3176">
        <f>TEXT(B3176,"mmm yyyy")</f>
        <v/>
      </c>
      <c r="D3176">
        <f>"Q"&amp;(INT((A3176-1)/13)+1)</f>
        <v/>
      </c>
      <c r="E3176" t="inlineStr">
        <is>
          <t>Specialty</t>
        </is>
      </c>
      <c r="F3176">
        <f>IFERROR(INDEX(ChFormat,MATCH(E3176,ChName,0)),"")</f>
        <v/>
      </c>
      <c r="G3176" t="inlineStr">
        <is>
          <t>NL</t>
        </is>
      </c>
      <c r="H3176">
        <f>IF(A3176&lt;=NWeeks,1,0)</f>
        <v/>
      </c>
      <c r="I3176">
        <f>INDEX(ChLaunch,MATCH(E3176,ChName,0))</f>
        <v/>
      </c>
      <c r="J3176">
        <f>INDEX(ChWeeksFull,MATCH(E3176,ChName,0))</f>
        <v/>
      </c>
      <c r="K3176">
        <f>INDEX(ChRamp,MATCH(E3176,ChName,0))</f>
        <v/>
      </c>
      <c r="L3176" s="45">
        <f>MIN(1,MAX(0,(A3176-I3176+1)*RampSpeed/J3176))</f>
        <v/>
      </c>
      <c r="M3176" s="45">
        <f>IF(A3176&lt;I3176,0,IF(K3176="S-curve",L3176*L3176*(3-2*L3176),L3176))</f>
        <v/>
      </c>
      <c r="N3176" s="45">
        <f>1+(INDEX(SeasonIdx,A3176)-1)*SeasonAmp</f>
        <v/>
      </c>
      <c r="O3176" s="45">
        <f>IFERROR(INDEX(PSPct,MATCH(E3176&amp;"|"&amp;G3176,PSKey,0)),0)</f>
        <v/>
      </c>
      <c r="P3176" s="46">
        <f>INDEX(ChDoorVel,MATCH(E3176,ChName,0))*CalibScalar*(1+VelocityUplift)</f>
        <v/>
      </c>
      <c r="Q3176" s="46" t="n">
        <v>0</v>
      </c>
      <c r="R3176" s="46">
        <f>P3176*O3176*M3176*N3176*H3176</f>
        <v/>
      </c>
      <c r="S3176" s="46">
        <f>R3176*INDEX(FmtCansPerCase,MATCH(F3176,FmtName,0))</f>
        <v/>
      </c>
      <c r="T3176" s="46">
        <f>S3176/INDEX(FmtCansPerPack,MATCH(F3176,FmtName,0))</f>
        <v/>
      </c>
      <c r="U3176" s="47">
        <f>INDEX(ChBaseCP,MATCH(E3176,ChName,0))*(1+INDEX(ProvMod,MATCH(G3176,ProvCode,0)))*(1+PriceIndex)</f>
        <v/>
      </c>
      <c r="V3176" s="47">
        <f>R3176*U3176*INDEX(FmtBlendedPriceIdx,MATCH(F3176,FmtName,0))</f>
        <v/>
      </c>
      <c r="W3176" s="47">
        <f>T3176*INDEX(ProvSRP,MATCH(G3176,ProvCode,0))*(1+PriceIndex)</f>
        <v/>
      </c>
      <c r="X3176" s="47">
        <f>IF(GrossBasis="Wholesale",V3176,W3176)</f>
        <v/>
      </c>
      <c r="Y3176" s="47">
        <f>R3176*INDEX(FmtBlendedCogs,MATCH(F3176,FmtName,0))</f>
        <v/>
      </c>
      <c r="Z3176" s="47">
        <f>X3176-Y3176</f>
        <v/>
      </c>
    </row>
    <row r="3177">
      <c r="A3177" t="n">
        <v>49</v>
      </c>
      <c r="B3177" s="44">
        <f>FiscalStart+(A3177-1)*7</f>
        <v/>
      </c>
      <c r="C3177">
        <f>TEXT(B3177,"mmm yyyy")</f>
        <v/>
      </c>
      <c r="D3177">
        <f>"Q"&amp;(INT((A3177-1)/13)+1)</f>
        <v/>
      </c>
      <c r="E3177" t="inlineStr">
        <is>
          <t>Specialty</t>
        </is>
      </c>
      <c r="F3177">
        <f>IFERROR(INDEX(ChFormat,MATCH(E3177,ChName,0)),"")</f>
        <v/>
      </c>
      <c r="G3177" t="inlineStr">
        <is>
          <t>NL</t>
        </is>
      </c>
      <c r="H3177">
        <f>IF(A3177&lt;=NWeeks,1,0)</f>
        <v/>
      </c>
      <c r="I3177">
        <f>INDEX(ChLaunch,MATCH(E3177,ChName,0))</f>
        <v/>
      </c>
      <c r="J3177">
        <f>INDEX(ChWeeksFull,MATCH(E3177,ChName,0))</f>
        <v/>
      </c>
      <c r="K3177">
        <f>INDEX(ChRamp,MATCH(E3177,ChName,0))</f>
        <v/>
      </c>
      <c r="L3177" s="45">
        <f>MIN(1,MAX(0,(A3177-I3177+1)*RampSpeed/J3177))</f>
        <v/>
      </c>
      <c r="M3177" s="45">
        <f>IF(A3177&lt;I3177,0,IF(K3177="S-curve",L3177*L3177*(3-2*L3177),L3177))</f>
        <v/>
      </c>
      <c r="N3177" s="45">
        <f>1+(INDEX(SeasonIdx,A3177)-1)*SeasonAmp</f>
        <v/>
      </c>
      <c r="O3177" s="45">
        <f>IFERROR(INDEX(PSPct,MATCH(E3177&amp;"|"&amp;G3177,PSKey,0)),0)</f>
        <v/>
      </c>
      <c r="P3177" s="46">
        <f>INDEX(ChDoorVel,MATCH(E3177,ChName,0))*CalibScalar*(1+VelocityUplift)</f>
        <v/>
      </c>
      <c r="Q3177" s="46" t="n">
        <v>0</v>
      </c>
      <c r="R3177" s="46">
        <f>P3177*O3177*M3177*N3177*H3177</f>
        <v/>
      </c>
      <c r="S3177" s="46">
        <f>R3177*INDEX(FmtCansPerCase,MATCH(F3177,FmtName,0))</f>
        <v/>
      </c>
      <c r="T3177" s="46">
        <f>S3177/INDEX(FmtCansPerPack,MATCH(F3177,FmtName,0))</f>
        <v/>
      </c>
      <c r="U3177" s="47">
        <f>INDEX(ChBaseCP,MATCH(E3177,ChName,0))*(1+INDEX(ProvMod,MATCH(G3177,ProvCode,0)))*(1+PriceIndex)</f>
        <v/>
      </c>
      <c r="V3177" s="47">
        <f>R3177*U3177*INDEX(FmtBlendedPriceIdx,MATCH(F3177,FmtName,0))</f>
        <v/>
      </c>
      <c r="W3177" s="47">
        <f>T3177*INDEX(ProvSRP,MATCH(G3177,ProvCode,0))*(1+PriceIndex)</f>
        <v/>
      </c>
      <c r="X3177" s="47">
        <f>IF(GrossBasis="Wholesale",V3177,W3177)</f>
        <v/>
      </c>
      <c r="Y3177" s="47">
        <f>R3177*INDEX(FmtBlendedCogs,MATCH(F3177,FmtName,0))</f>
        <v/>
      </c>
      <c r="Z3177" s="47">
        <f>X3177-Y3177</f>
        <v/>
      </c>
    </row>
    <row r="3178">
      <c r="A3178" t="n">
        <v>50</v>
      </c>
      <c r="B3178" s="44">
        <f>FiscalStart+(A3178-1)*7</f>
        <v/>
      </c>
      <c r="C3178">
        <f>TEXT(B3178,"mmm yyyy")</f>
        <v/>
      </c>
      <c r="D3178">
        <f>"Q"&amp;(INT((A3178-1)/13)+1)</f>
        <v/>
      </c>
      <c r="E3178" t="inlineStr">
        <is>
          <t>Specialty</t>
        </is>
      </c>
      <c r="F3178">
        <f>IFERROR(INDEX(ChFormat,MATCH(E3178,ChName,0)),"")</f>
        <v/>
      </c>
      <c r="G3178" t="inlineStr">
        <is>
          <t>NL</t>
        </is>
      </c>
      <c r="H3178">
        <f>IF(A3178&lt;=NWeeks,1,0)</f>
        <v/>
      </c>
      <c r="I3178">
        <f>INDEX(ChLaunch,MATCH(E3178,ChName,0))</f>
        <v/>
      </c>
      <c r="J3178">
        <f>INDEX(ChWeeksFull,MATCH(E3178,ChName,0))</f>
        <v/>
      </c>
      <c r="K3178">
        <f>INDEX(ChRamp,MATCH(E3178,ChName,0))</f>
        <v/>
      </c>
      <c r="L3178" s="45">
        <f>MIN(1,MAX(0,(A3178-I3178+1)*RampSpeed/J3178))</f>
        <v/>
      </c>
      <c r="M3178" s="45">
        <f>IF(A3178&lt;I3178,0,IF(K3178="S-curve",L3178*L3178*(3-2*L3178),L3178))</f>
        <v/>
      </c>
      <c r="N3178" s="45">
        <f>1+(INDEX(SeasonIdx,A3178)-1)*SeasonAmp</f>
        <v/>
      </c>
      <c r="O3178" s="45">
        <f>IFERROR(INDEX(PSPct,MATCH(E3178&amp;"|"&amp;G3178,PSKey,0)),0)</f>
        <v/>
      </c>
      <c r="P3178" s="46">
        <f>INDEX(ChDoorVel,MATCH(E3178,ChName,0))*CalibScalar*(1+VelocityUplift)</f>
        <v/>
      </c>
      <c r="Q3178" s="46" t="n">
        <v>0</v>
      </c>
      <c r="R3178" s="46">
        <f>P3178*O3178*M3178*N3178*H3178</f>
        <v/>
      </c>
      <c r="S3178" s="46">
        <f>R3178*INDEX(FmtCansPerCase,MATCH(F3178,FmtName,0))</f>
        <v/>
      </c>
      <c r="T3178" s="46">
        <f>S3178/INDEX(FmtCansPerPack,MATCH(F3178,FmtName,0))</f>
        <v/>
      </c>
      <c r="U3178" s="47">
        <f>INDEX(ChBaseCP,MATCH(E3178,ChName,0))*(1+INDEX(ProvMod,MATCH(G3178,ProvCode,0)))*(1+PriceIndex)</f>
        <v/>
      </c>
      <c r="V3178" s="47">
        <f>R3178*U3178*INDEX(FmtBlendedPriceIdx,MATCH(F3178,FmtName,0))</f>
        <v/>
      </c>
      <c r="W3178" s="47">
        <f>T3178*INDEX(ProvSRP,MATCH(G3178,ProvCode,0))*(1+PriceIndex)</f>
        <v/>
      </c>
      <c r="X3178" s="47">
        <f>IF(GrossBasis="Wholesale",V3178,W3178)</f>
        <v/>
      </c>
      <c r="Y3178" s="47">
        <f>R3178*INDEX(FmtBlendedCogs,MATCH(F3178,FmtName,0))</f>
        <v/>
      </c>
      <c r="Z3178" s="47">
        <f>X3178-Y3178</f>
        <v/>
      </c>
    </row>
    <row r="3179">
      <c r="A3179" t="n">
        <v>51</v>
      </c>
      <c r="B3179" s="44">
        <f>FiscalStart+(A3179-1)*7</f>
        <v/>
      </c>
      <c r="C3179">
        <f>TEXT(B3179,"mmm yyyy")</f>
        <v/>
      </c>
      <c r="D3179">
        <f>"Q"&amp;(INT((A3179-1)/13)+1)</f>
        <v/>
      </c>
      <c r="E3179" t="inlineStr">
        <is>
          <t>Specialty</t>
        </is>
      </c>
      <c r="F3179">
        <f>IFERROR(INDEX(ChFormat,MATCH(E3179,ChName,0)),"")</f>
        <v/>
      </c>
      <c r="G3179" t="inlineStr">
        <is>
          <t>NL</t>
        </is>
      </c>
      <c r="H3179">
        <f>IF(A3179&lt;=NWeeks,1,0)</f>
        <v/>
      </c>
      <c r="I3179">
        <f>INDEX(ChLaunch,MATCH(E3179,ChName,0))</f>
        <v/>
      </c>
      <c r="J3179">
        <f>INDEX(ChWeeksFull,MATCH(E3179,ChName,0))</f>
        <v/>
      </c>
      <c r="K3179">
        <f>INDEX(ChRamp,MATCH(E3179,ChName,0))</f>
        <v/>
      </c>
      <c r="L3179" s="45">
        <f>MIN(1,MAX(0,(A3179-I3179+1)*RampSpeed/J3179))</f>
        <v/>
      </c>
      <c r="M3179" s="45">
        <f>IF(A3179&lt;I3179,0,IF(K3179="S-curve",L3179*L3179*(3-2*L3179),L3179))</f>
        <v/>
      </c>
      <c r="N3179" s="45">
        <f>1+(INDEX(SeasonIdx,A3179)-1)*SeasonAmp</f>
        <v/>
      </c>
      <c r="O3179" s="45">
        <f>IFERROR(INDEX(PSPct,MATCH(E3179&amp;"|"&amp;G3179,PSKey,0)),0)</f>
        <v/>
      </c>
      <c r="P3179" s="46">
        <f>INDEX(ChDoorVel,MATCH(E3179,ChName,0))*CalibScalar*(1+VelocityUplift)</f>
        <v/>
      </c>
      <c r="Q3179" s="46" t="n">
        <v>0</v>
      </c>
      <c r="R3179" s="46">
        <f>P3179*O3179*M3179*N3179*H3179</f>
        <v/>
      </c>
      <c r="S3179" s="46">
        <f>R3179*INDEX(FmtCansPerCase,MATCH(F3179,FmtName,0))</f>
        <v/>
      </c>
      <c r="T3179" s="46">
        <f>S3179/INDEX(FmtCansPerPack,MATCH(F3179,FmtName,0))</f>
        <v/>
      </c>
      <c r="U3179" s="47">
        <f>INDEX(ChBaseCP,MATCH(E3179,ChName,0))*(1+INDEX(ProvMod,MATCH(G3179,ProvCode,0)))*(1+PriceIndex)</f>
        <v/>
      </c>
      <c r="V3179" s="47">
        <f>R3179*U3179*INDEX(FmtBlendedPriceIdx,MATCH(F3179,FmtName,0))</f>
        <v/>
      </c>
      <c r="W3179" s="47">
        <f>T3179*INDEX(ProvSRP,MATCH(G3179,ProvCode,0))*(1+PriceIndex)</f>
        <v/>
      </c>
      <c r="X3179" s="47">
        <f>IF(GrossBasis="Wholesale",V3179,W3179)</f>
        <v/>
      </c>
      <c r="Y3179" s="47">
        <f>R3179*INDEX(FmtBlendedCogs,MATCH(F3179,FmtName,0))</f>
        <v/>
      </c>
      <c r="Z3179" s="47">
        <f>X3179-Y3179</f>
        <v/>
      </c>
    </row>
    <row r="3180">
      <c r="A3180" t="n">
        <v>52</v>
      </c>
      <c r="B3180" s="44">
        <f>FiscalStart+(A3180-1)*7</f>
        <v/>
      </c>
      <c r="C3180">
        <f>TEXT(B3180,"mmm yyyy")</f>
        <v/>
      </c>
      <c r="D3180">
        <f>"Q"&amp;(INT((A3180-1)/13)+1)</f>
        <v/>
      </c>
      <c r="E3180" t="inlineStr">
        <is>
          <t>Specialty</t>
        </is>
      </c>
      <c r="F3180">
        <f>IFERROR(INDEX(ChFormat,MATCH(E3180,ChName,0)),"")</f>
        <v/>
      </c>
      <c r="G3180" t="inlineStr">
        <is>
          <t>NL</t>
        </is>
      </c>
      <c r="H3180">
        <f>IF(A3180&lt;=NWeeks,1,0)</f>
        <v/>
      </c>
      <c r="I3180">
        <f>INDEX(ChLaunch,MATCH(E3180,ChName,0))</f>
        <v/>
      </c>
      <c r="J3180">
        <f>INDEX(ChWeeksFull,MATCH(E3180,ChName,0))</f>
        <v/>
      </c>
      <c r="K3180">
        <f>INDEX(ChRamp,MATCH(E3180,ChName,0))</f>
        <v/>
      </c>
      <c r="L3180" s="45">
        <f>MIN(1,MAX(0,(A3180-I3180+1)*RampSpeed/J3180))</f>
        <v/>
      </c>
      <c r="M3180" s="45">
        <f>IF(A3180&lt;I3180,0,IF(K3180="S-curve",L3180*L3180*(3-2*L3180),L3180))</f>
        <v/>
      </c>
      <c r="N3180" s="45">
        <f>1+(INDEX(SeasonIdx,A3180)-1)*SeasonAmp</f>
        <v/>
      </c>
      <c r="O3180" s="45">
        <f>IFERROR(INDEX(PSPct,MATCH(E3180&amp;"|"&amp;G3180,PSKey,0)),0)</f>
        <v/>
      </c>
      <c r="P3180" s="46">
        <f>INDEX(ChDoorVel,MATCH(E3180,ChName,0))*CalibScalar*(1+VelocityUplift)</f>
        <v/>
      </c>
      <c r="Q3180" s="46" t="n">
        <v>0</v>
      </c>
      <c r="R3180" s="46">
        <f>P3180*O3180*M3180*N3180*H3180</f>
        <v/>
      </c>
      <c r="S3180" s="46">
        <f>R3180*INDEX(FmtCansPerCase,MATCH(F3180,FmtName,0))</f>
        <v/>
      </c>
      <c r="T3180" s="46">
        <f>S3180/INDEX(FmtCansPerPack,MATCH(F3180,FmtName,0))</f>
        <v/>
      </c>
      <c r="U3180" s="47">
        <f>INDEX(ChBaseCP,MATCH(E3180,ChName,0))*(1+INDEX(ProvMod,MATCH(G3180,ProvCode,0)))*(1+PriceIndex)</f>
        <v/>
      </c>
      <c r="V3180" s="47">
        <f>R3180*U3180*INDEX(FmtBlendedPriceIdx,MATCH(F3180,FmtName,0))</f>
        <v/>
      </c>
      <c r="W3180" s="47">
        <f>T3180*INDEX(ProvSRP,MATCH(G3180,ProvCode,0))*(1+PriceIndex)</f>
        <v/>
      </c>
      <c r="X3180" s="47">
        <f>IF(GrossBasis="Wholesale",V3180,W3180)</f>
        <v/>
      </c>
      <c r="Y3180" s="47">
        <f>R3180*INDEX(FmtBlendedCogs,MATCH(F3180,FmtName,0))</f>
        <v/>
      </c>
      <c r="Z3180" s="47">
        <f>X3180-Y3180</f>
        <v/>
      </c>
    </row>
    <row r="3181">
      <c r="A3181" t="n">
        <v>53</v>
      </c>
      <c r="B3181" s="44">
        <f>FiscalStart+(A3181-1)*7</f>
        <v/>
      </c>
      <c r="C3181">
        <f>TEXT(B3181,"mmm yyyy")</f>
        <v/>
      </c>
      <c r="D3181">
        <f>"Q"&amp;(INT((A3181-1)/13)+1)</f>
        <v/>
      </c>
      <c r="E3181" t="inlineStr">
        <is>
          <t>Specialty</t>
        </is>
      </c>
      <c r="F3181">
        <f>IFERROR(INDEX(ChFormat,MATCH(E3181,ChName,0)),"")</f>
        <v/>
      </c>
      <c r="G3181" t="inlineStr">
        <is>
          <t>NL</t>
        </is>
      </c>
      <c r="H3181">
        <f>IF(A3181&lt;=NWeeks,1,0)</f>
        <v/>
      </c>
      <c r="I3181">
        <f>INDEX(ChLaunch,MATCH(E3181,ChName,0))</f>
        <v/>
      </c>
      <c r="J3181">
        <f>INDEX(ChWeeksFull,MATCH(E3181,ChName,0))</f>
        <v/>
      </c>
      <c r="K3181">
        <f>INDEX(ChRamp,MATCH(E3181,ChName,0))</f>
        <v/>
      </c>
      <c r="L3181" s="45">
        <f>MIN(1,MAX(0,(A3181-I3181+1)*RampSpeed/J3181))</f>
        <v/>
      </c>
      <c r="M3181" s="45">
        <f>IF(A3181&lt;I3181,0,IF(K3181="S-curve",L3181*L3181*(3-2*L3181),L3181))</f>
        <v/>
      </c>
      <c r="N3181" s="45">
        <f>1+(INDEX(SeasonIdx,A3181)-1)*SeasonAmp</f>
        <v/>
      </c>
      <c r="O3181" s="45">
        <f>IFERROR(INDEX(PSPct,MATCH(E3181&amp;"|"&amp;G3181,PSKey,0)),0)</f>
        <v/>
      </c>
      <c r="P3181" s="46">
        <f>INDEX(ChDoorVel,MATCH(E3181,ChName,0))*CalibScalar*(1+VelocityUplift)</f>
        <v/>
      </c>
      <c r="Q3181" s="46" t="n">
        <v>0</v>
      </c>
      <c r="R3181" s="46">
        <f>P3181*O3181*M3181*N3181*H3181</f>
        <v/>
      </c>
      <c r="S3181" s="46">
        <f>R3181*INDEX(FmtCansPerCase,MATCH(F3181,FmtName,0))</f>
        <v/>
      </c>
      <c r="T3181" s="46">
        <f>S3181/INDEX(FmtCansPerPack,MATCH(F3181,FmtName,0))</f>
        <v/>
      </c>
      <c r="U3181" s="47">
        <f>INDEX(ChBaseCP,MATCH(E3181,ChName,0))*(1+INDEX(ProvMod,MATCH(G3181,ProvCode,0)))*(1+PriceIndex)</f>
        <v/>
      </c>
      <c r="V3181" s="47">
        <f>R3181*U3181*INDEX(FmtBlendedPriceIdx,MATCH(F3181,FmtName,0))</f>
        <v/>
      </c>
      <c r="W3181" s="47">
        <f>T3181*INDEX(ProvSRP,MATCH(G3181,ProvCode,0))*(1+PriceIndex)</f>
        <v/>
      </c>
      <c r="X3181" s="47">
        <f>IF(GrossBasis="Wholesale",V3181,W3181)</f>
        <v/>
      </c>
      <c r="Y3181" s="47">
        <f>R3181*INDEX(FmtBlendedCogs,MATCH(F3181,FmtName,0))</f>
        <v/>
      </c>
      <c r="Z3181" s="47">
        <f>X3181-Y3181</f>
        <v/>
      </c>
    </row>
    <row r="3182">
      <c r="A3182" t="n">
        <v>1</v>
      </c>
      <c r="B3182" s="44">
        <f>FiscalStart+(A3182-1)*7</f>
        <v/>
      </c>
      <c r="C3182">
        <f>TEXT(B3182,"mmm yyyy")</f>
        <v/>
      </c>
      <c r="D3182">
        <f>"Q"&amp;(INT((A3182-1)/13)+1)</f>
        <v/>
      </c>
      <c r="E3182" t="inlineStr">
        <is>
          <t>Online</t>
        </is>
      </c>
      <c r="F3182">
        <f>IFERROR(INDEX(ChFormat,MATCH(E3182,ChName,0)),"")</f>
        <v/>
      </c>
      <c r="G3182" t="inlineStr">
        <is>
          <t>BC</t>
        </is>
      </c>
      <c r="H3182">
        <f>IF(A3182&lt;=NWeeks,1,0)</f>
        <v/>
      </c>
      <c r="I3182">
        <f>INDEX(ChLaunch,MATCH(E3182,ChName,0))</f>
        <v/>
      </c>
      <c r="J3182">
        <f>INDEX(ChWeeksFull,MATCH(E3182,ChName,0))</f>
        <v/>
      </c>
      <c r="K3182">
        <f>INDEX(ChRamp,MATCH(E3182,ChName,0))</f>
        <v/>
      </c>
      <c r="L3182" s="45">
        <f>MIN(1,MAX(0,(A3182-I3182+1)*RampSpeed/J3182))</f>
        <v/>
      </c>
      <c r="M3182" s="45">
        <f>IF(A3182&lt;I3182,0,IF(K3182="S-curve",L3182*L3182*(3-2*L3182),L3182))</f>
        <v/>
      </c>
      <c r="N3182" s="45">
        <f>1+(INDEX(SeasonIdx,A3182)-1)*SeasonAmp</f>
        <v/>
      </c>
      <c r="O3182" s="45">
        <f>IFERROR(INDEX(PSPct,MATCH(E3182&amp;"|"&amp;G3182,PSKey,0)),0)</f>
        <v/>
      </c>
      <c r="P3182" s="46" t="n">
        <v>0</v>
      </c>
      <c r="Q3182" s="46">
        <f>INDEX(OnlineUnitsCol,A3182)*O3182*(1+OnlineGrowth)*N3182*H3182*IF(A3182&gt;=I3182,1,0)</f>
        <v/>
      </c>
      <c r="R3182" s="46">
        <f>Q3182*INDEX(FmtCansPerPack,MATCH(F3182,FmtName,0))/INDEX(FmtCansPerCase,MATCH(F3182,FmtName,0))</f>
        <v/>
      </c>
      <c r="S3182" s="46">
        <f>R3182*INDEX(FmtCansPerCase,MATCH(F3182,FmtName,0))</f>
        <v/>
      </c>
      <c r="T3182" s="46">
        <f>S3182/INDEX(FmtCansPerPack,MATCH(F3182,FmtName,0))</f>
        <v/>
      </c>
      <c r="U3182" s="47">
        <f>INDEX(ProvOnline,MATCH(G3182,ProvCode,0))*(1+PriceIndex)</f>
        <v/>
      </c>
      <c r="V3182" s="47">
        <f>Q3182*U3182*INDEX(FmtBlendedPriceIdx,MATCH(F3182,FmtName,0))</f>
        <v/>
      </c>
      <c r="W3182" s="47">
        <f>V3182</f>
        <v/>
      </c>
      <c r="X3182" s="47">
        <f>IF(GrossBasis="Wholesale",V3182,W3182)</f>
        <v/>
      </c>
      <c r="Y3182" s="47">
        <f>R3182*INDEX(FmtBlendedCogs,MATCH(F3182,FmtName,0))</f>
        <v/>
      </c>
      <c r="Z3182" s="47">
        <f>X3182-Y3182</f>
        <v/>
      </c>
    </row>
    <row r="3183">
      <c r="A3183" t="n">
        <v>2</v>
      </c>
      <c r="B3183" s="44">
        <f>FiscalStart+(A3183-1)*7</f>
        <v/>
      </c>
      <c r="C3183">
        <f>TEXT(B3183,"mmm yyyy")</f>
        <v/>
      </c>
      <c r="D3183">
        <f>"Q"&amp;(INT((A3183-1)/13)+1)</f>
        <v/>
      </c>
      <c r="E3183" t="inlineStr">
        <is>
          <t>Online</t>
        </is>
      </c>
      <c r="F3183">
        <f>IFERROR(INDEX(ChFormat,MATCH(E3183,ChName,0)),"")</f>
        <v/>
      </c>
      <c r="G3183" t="inlineStr">
        <is>
          <t>BC</t>
        </is>
      </c>
      <c r="H3183">
        <f>IF(A3183&lt;=NWeeks,1,0)</f>
        <v/>
      </c>
      <c r="I3183">
        <f>INDEX(ChLaunch,MATCH(E3183,ChName,0))</f>
        <v/>
      </c>
      <c r="J3183">
        <f>INDEX(ChWeeksFull,MATCH(E3183,ChName,0))</f>
        <v/>
      </c>
      <c r="K3183">
        <f>INDEX(ChRamp,MATCH(E3183,ChName,0))</f>
        <v/>
      </c>
      <c r="L3183" s="45">
        <f>MIN(1,MAX(0,(A3183-I3183+1)*RampSpeed/J3183))</f>
        <v/>
      </c>
      <c r="M3183" s="45">
        <f>IF(A3183&lt;I3183,0,IF(K3183="S-curve",L3183*L3183*(3-2*L3183),L3183))</f>
        <v/>
      </c>
      <c r="N3183" s="45">
        <f>1+(INDEX(SeasonIdx,A3183)-1)*SeasonAmp</f>
        <v/>
      </c>
      <c r="O3183" s="45">
        <f>IFERROR(INDEX(PSPct,MATCH(E3183&amp;"|"&amp;G3183,PSKey,0)),0)</f>
        <v/>
      </c>
      <c r="P3183" s="46" t="n">
        <v>0</v>
      </c>
      <c r="Q3183" s="46">
        <f>INDEX(OnlineUnitsCol,A3183)*O3183*(1+OnlineGrowth)*N3183*H3183*IF(A3183&gt;=I3183,1,0)</f>
        <v/>
      </c>
      <c r="R3183" s="46">
        <f>Q3183*INDEX(FmtCansPerPack,MATCH(F3183,FmtName,0))/INDEX(FmtCansPerCase,MATCH(F3183,FmtName,0))</f>
        <v/>
      </c>
      <c r="S3183" s="46">
        <f>R3183*INDEX(FmtCansPerCase,MATCH(F3183,FmtName,0))</f>
        <v/>
      </c>
      <c r="T3183" s="46">
        <f>S3183/INDEX(FmtCansPerPack,MATCH(F3183,FmtName,0))</f>
        <v/>
      </c>
      <c r="U3183" s="47">
        <f>INDEX(ProvOnline,MATCH(G3183,ProvCode,0))*(1+PriceIndex)</f>
        <v/>
      </c>
      <c r="V3183" s="47">
        <f>Q3183*U3183*INDEX(FmtBlendedPriceIdx,MATCH(F3183,FmtName,0))</f>
        <v/>
      </c>
      <c r="W3183" s="47">
        <f>V3183</f>
        <v/>
      </c>
      <c r="X3183" s="47">
        <f>IF(GrossBasis="Wholesale",V3183,W3183)</f>
        <v/>
      </c>
      <c r="Y3183" s="47">
        <f>R3183*INDEX(FmtBlendedCogs,MATCH(F3183,FmtName,0))</f>
        <v/>
      </c>
      <c r="Z3183" s="47">
        <f>X3183-Y3183</f>
        <v/>
      </c>
    </row>
    <row r="3184">
      <c r="A3184" t="n">
        <v>3</v>
      </c>
      <c r="B3184" s="44">
        <f>FiscalStart+(A3184-1)*7</f>
        <v/>
      </c>
      <c r="C3184">
        <f>TEXT(B3184,"mmm yyyy")</f>
        <v/>
      </c>
      <c r="D3184">
        <f>"Q"&amp;(INT((A3184-1)/13)+1)</f>
        <v/>
      </c>
      <c r="E3184" t="inlineStr">
        <is>
          <t>Online</t>
        </is>
      </c>
      <c r="F3184">
        <f>IFERROR(INDEX(ChFormat,MATCH(E3184,ChName,0)),"")</f>
        <v/>
      </c>
      <c r="G3184" t="inlineStr">
        <is>
          <t>BC</t>
        </is>
      </c>
      <c r="H3184">
        <f>IF(A3184&lt;=NWeeks,1,0)</f>
        <v/>
      </c>
      <c r="I3184">
        <f>INDEX(ChLaunch,MATCH(E3184,ChName,0))</f>
        <v/>
      </c>
      <c r="J3184">
        <f>INDEX(ChWeeksFull,MATCH(E3184,ChName,0))</f>
        <v/>
      </c>
      <c r="K3184">
        <f>INDEX(ChRamp,MATCH(E3184,ChName,0))</f>
        <v/>
      </c>
      <c r="L3184" s="45">
        <f>MIN(1,MAX(0,(A3184-I3184+1)*RampSpeed/J3184))</f>
        <v/>
      </c>
      <c r="M3184" s="45">
        <f>IF(A3184&lt;I3184,0,IF(K3184="S-curve",L3184*L3184*(3-2*L3184),L3184))</f>
        <v/>
      </c>
      <c r="N3184" s="45">
        <f>1+(INDEX(SeasonIdx,A3184)-1)*SeasonAmp</f>
        <v/>
      </c>
      <c r="O3184" s="45">
        <f>IFERROR(INDEX(PSPct,MATCH(E3184&amp;"|"&amp;G3184,PSKey,0)),0)</f>
        <v/>
      </c>
      <c r="P3184" s="46" t="n">
        <v>0</v>
      </c>
      <c r="Q3184" s="46">
        <f>INDEX(OnlineUnitsCol,A3184)*O3184*(1+OnlineGrowth)*N3184*H3184*IF(A3184&gt;=I3184,1,0)</f>
        <v/>
      </c>
      <c r="R3184" s="46">
        <f>Q3184*INDEX(FmtCansPerPack,MATCH(F3184,FmtName,0))/INDEX(FmtCansPerCase,MATCH(F3184,FmtName,0))</f>
        <v/>
      </c>
      <c r="S3184" s="46">
        <f>R3184*INDEX(FmtCansPerCase,MATCH(F3184,FmtName,0))</f>
        <v/>
      </c>
      <c r="T3184" s="46">
        <f>S3184/INDEX(FmtCansPerPack,MATCH(F3184,FmtName,0))</f>
        <v/>
      </c>
      <c r="U3184" s="47">
        <f>INDEX(ProvOnline,MATCH(G3184,ProvCode,0))*(1+PriceIndex)</f>
        <v/>
      </c>
      <c r="V3184" s="47">
        <f>Q3184*U3184*INDEX(FmtBlendedPriceIdx,MATCH(F3184,FmtName,0))</f>
        <v/>
      </c>
      <c r="W3184" s="47">
        <f>V3184</f>
        <v/>
      </c>
      <c r="X3184" s="47">
        <f>IF(GrossBasis="Wholesale",V3184,W3184)</f>
        <v/>
      </c>
      <c r="Y3184" s="47">
        <f>R3184*INDEX(FmtBlendedCogs,MATCH(F3184,FmtName,0))</f>
        <v/>
      </c>
      <c r="Z3184" s="47">
        <f>X3184-Y3184</f>
        <v/>
      </c>
    </row>
    <row r="3185">
      <c r="A3185" t="n">
        <v>4</v>
      </c>
      <c r="B3185" s="44">
        <f>FiscalStart+(A3185-1)*7</f>
        <v/>
      </c>
      <c r="C3185">
        <f>TEXT(B3185,"mmm yyyy")</f>
        <v/>
      </c>
      <c r="D3185">
        <f>"Q"&amp;(INT((A3185-1)/13)+1)</f>
        <v/>
      </c>
      <c r="E3185" t="inlineStr">
        <is>
          <t>Online</t>
        </is>
      </c>
      <c r="F3185">
        <f>IFERROR(INDEX(ChFormat,MATCH(E3185,ChName,0)),"")</f>
        <v/>
      </c>
      <c r="G3185" t="inlineStr">
        <is>
          <t>BC</t>
        </is>
      </c>
      <c r="H3185">
        <f>IF(A3185&lt;=NWeeks,1,0)</f>
        <v/>
      </c>
      <c r="I3185">
        <f>INDEX(ChLaunch,MATCH(E3185,ChName,0))</f>
        <v/>
      </c>
      <c r="J3185">
        <f>INDEX(ChWeeksFull,MATCH(E3185,ChName,0))</f>
        <v/>
      </c>
      <c r="K3185">
        <f>INDEX(ChRamp,MATCH(E3185,ChName,0))</f>
        <v/>
      </c>
      <c r="L3185" s="45">
        <f>MIN(1,MAX(0,(A3185-I3185+1)*RampSpeed/J3185))</f>
        <v/>
      </c>
      <c r="M3185" s="45">
        <f>IF(A3185&lt;I3185,0,IF(K3185="S-curve",L3185*L3185*(3-2*L3185),L3185))</f>
        <v/>
      </c>
      <c r="N3185" s="45">
        <f>1+(INDEX(SeasonIdx,A3185)-1)*SeasonAmp</f>
        <v/>
      </c>
      <c r="O3185" s="45">
        <f>IFERROR(INDEX(PSPct,MATCH(E3185&amp;"|"&amp;G3185,PSKey,0)),0)</f>
        <v/>
      </c>
      <c r="P3185" s="46" t="n">
        <v>0</v>
      </c>
      <c r="Q3185" s="46">
        <f>INDEX(OnlineUnitsCol,A3185)*O3185*(1+OnlineGrowth)*N3185*H3185*IF(A3185&gt;=I3185,1,0)</f>
        <v/>
      </c>
      <c r="R3185" s="46">
        <f>Q3185*INDEX(FmtCansPerPack,MATCH(F3185,FmtName,0))/INDEX(FmtCansPerCase,MATCH(F3185,FmtName,0))</f>
        <v/>
      </c>
      <c r="S3185" s="46">
        <f>R3185*INDEX(FmtCansPerCase,MATCH(F3185,FmtName,0))</f>
        <v/>
      </c>
      <c r="T3185" s="46">
        <f>S3185/INDEX(FmtCansPerPack,MATCH(F3185,FmtName,0))</f>
        <v/>
      </c>
      <c r="U3185" s="47">
        <f>INDEX(ProvOnline,MATCH(G3185,ProvCode,0))*(1+PriceIndex)</f>
        <v/>
      </c>
      <c r="V3185" s="47">
        <f>Q3185*U3185*INDEX(FmtBlendedPriceIdx,MATCH(F3185,FmtName,0))</f>
        <v/>
      </c>
      <c r="W3185" s="47">
        <f>V3185</f>
        <v/>
      </c>
      <c r="X3185" s="47">
        <f>IF(GrossBasis="Wholesale",V3185,W3185)</f>
        <v/>
      </c>
      <c r="Y3185" s="47">
        <f>R3185*INDEX(FmtBlendedCogs,MATCH(F3185,FmtName,0))</f>
        <v/>
      </c>
      <c r="Z3185" s="47">
        <f>X3185-Y3185</f>
        <v/>
      </c>
    </row>
    <row r="3186">
      <c r="A3186" t="n">
        <v>5</v>
      </c>
      <c r="B3186" s="44">
        <f>FiscalStart+(A3186-1)*7</f>
        <v/>
      </c>
      <c r="C3186">
        <f>TEXT(B3186,"mmm yyyy")</f>
        <v/>
      </c>
      <c r="D3186">
        <f>"Q"&amp;(INT((A3186-1)/13)+1)</f>
        <v/>
      </c>
      <c r="E3186" t="inlineStr">
        <is>
          <t>Online</t>
        </is>
      </c>
      <c r="F3186">
        <f>IFERROR(INDEX(ChFormat,MATCH(E3186,ChName,0)),"")</f>
        <v/>
      </c>
      <c r="G3186" t="inlineStr">
        <is>
          <t>BC</t>
        </is>
      </c>
      <c r="H3186">
        <f>IF(A3186&lt;=NWeeks,1,0)</f>
        <v/>
      </c>
      <c r="I3186">
        <f>INDEX(ChLaunch,MATCH(E3186,ChName,0))</f>
        <v/>
      </c>
      <c r="J3186">
        <f>INDEX(ChWeeksFull,MATCH(E3186,ChName,0))</f>
        <v/>
      </c>
      <c r="K3186">
        <f>INDEX(ChRamp,MATCH(E3186,ChName,0))</f>
        <v/>
      </c>
      <c r="L3186" s="45">
        <f>MIN(1,MAX(0,(A3186-I3186+1)*RampSpeed/J3186))</f>
        <v/>
      </c>
      <c r="M3186" s="45">
        <f>IF(A3186&lt;I3186,0,IF(K3186="S-curve",L3186*L3186*(3-2*L3186),L3186))</f>
        <v/>
      </c>
      <c r="N3186" s="45">
        <f>1+(INDEX(SeasonIdx,A3186)-1)*SeasonAmp</f>
        <v/>
      </c>
      <c r="O3186" s="45">
        <f>IFERROR(INDEX(PSPct,MATCH(E3186&amp;"|"&amp;G3186,PSKey,0)),0)</f>
        <v/>
      </c>
      <c r="P3186" s="46" t="n">
        <v>0</v>
      </c>
      <c r="Q3186" s="46">
        <f>INDEX(OnlineUnitsCol,A3186)*O3186*(1+OnlineGrowth)*N3186*H3186*IF(A3186&gt;=I3186,1,0)</f>
        <v/>
      </c>
      <c r="R3186" s="46">
        <f>Q3186*INDEX(FmtCansPerPack,MATCH(F3186,FmtName,0))/INDEX(FmtCansPerCase,MATCH(F3186,FmtName,0))</f>
        <v/>
      </c>
      <c r="S3186" s="46">
        <f>R3186*INDEX(FmtCansPerCase,MATCH(F3186,FmtName,0))</f>
        <v/>
      </c>
      <c r="T3186" s="46">
        <f>S3186/INDEX(FmtCansPerPack,MATCH(F3186,FmtName,0))</f>
        <v/>
      </c>
      <c r="U3186" s="47">
        <f>INDEX(ProvOnline,MATCH(G3186,ProvCode,0))*(1+PriceIndex)</f>
        <v/>
      </c>
      <c r="V3186" s="47">
        <f>Q3186*U3186*INDEX(FmtBlendedPriceIdx,MATCH(F3186,FmtName,0))</f>
        <v/>
      </c>
      <c r="W3186" s="47">
        <f>V3186</f>
        <v/>
      </c>
      <c r="X3186" s="47">
        <f>IF(GrossBasis="Wholesale",V3186,W3186)</f>
        <v/>
      </c>
      <c r="Y3186" s="47">
        <f>R3186*INDEX(FmtBlendedCogs,MATCH(F3186,FmtName,0))</f>
        <v/>
      </c>
      <c r="Z3186" s="47">
        <f>X3186-Y3186</f>
        <v/>
      </c>
    </row>
    <row r="3187">
      <c r="A3187" t="n">
        <v>6</v>
      </c>
      <c r="B3187" s="44">
        <f>FiscalStart+(A3187-1)*7</f>
        <v/>
      </c>
      <c r="C3187">
        <f>TEXT(B3187,"mmm yyyy")</f>
        <v/>
      </c>
      <c r="D3187">
        <f>"Q"&amp;(INT((A3187-1)/13)+1)</f>
        <v/>
      </c>
      <c r="E3187" t="inlineStr">
        <is>
          <t>Online</t>
        </is>
      </c>
      <c r="F3187">
        <f>IFERROR(INDEX(ChFormat,MATCH(E3187,ChName,0)),"")</f>
        <v/>
      </c>
      <c r="G3187" t="inlineStr">
        <is>
          <t>BC</t>
        </is>
      </c>
      <c r="H3187">
        <f>IF(A3187&lt;=NWeeks,1,0)</f>
        <v/>
      </c>
      <c r="I3187">
        <f>INDEX(ChLaunch,MATCH(E3187,ChName,0))</f>
        <v/>
      </c>
      <c r="J3187">
        <f>INDEX(ChWeeksFull,MATCH(E3187,ChName,0))</f>
        <v/>
      </c>
      <c r="K3187">
        <f>INDEX(ChRamp,MATCH(E3187,ChName,0))</f>
        <v/>
      </c>
      <c r="L3187" s="45">
        <f>MIN(1,MAX(0,(A3187-I3187+1)*RampSpeed/J3187))</f>
        <v/>
      </c>
      <c r="M3187" s="45">
        <f>IF(A3187&lt;I3187,0,IF(K3187="S-curve",L3187*L3187*(3-2*L3187),L3187))</f>
        <v/>
      </c>
      <c r="N3187" s="45">
        <f>1+(INDEX(SeasonIdx,A3187)-1)*SeasonAmp</f>
        <v/>
      </c>
      <c r="O3187" s="45">
        <f>IFERROR(INDEX(PSPct,MATCH(E3187&amp;"|"&amp;G3187,PSKey,0)),0)</f>
        <v/>
      </c>
      <c r="P3187" s="46" t="n">
        <v>0</v>
      </c>
      <c r="Q3187" s="46">
        <f>INDEX(OnlineUnitsCol,A3187)*O3187*(1+OnlineGrowth)*N3187*H3187*IF(A3187&gt;=I3187,1,0)</f>
        <v/>
      </c>
      <c r="R3187" s="46">
        <f>Q3187*INDEX(FmtCansPerPack,MATCH(F3187,FmtName,0))/INDEX(FmtCansPerCase,MATCH(F3187,FmtName,0))</f>
        <v/>
      </c>
      <c r="S3187" s="46">
        <f>R3187*INDEX(FmtCansPerCase,MATCH(F3187,FmtName,0))</f>
        <v/>
      </c>
      <c r="T3187" s="46">
        <f>S3187/INDEX(FmtCansPerPack,MATCH(F3187,FmtName,0))</f>
        <v/>
      </c>
      <c r="U3187" s="47">
        <f>INDEX(ProvOnline,MATCH(G3187,ProvCode,0))*(1+PriceIndex)</f>
        <v/>
      </c>
      <c r="V3187" s="47">
        <f>Q3187*U3187*INDEX(FmtBlendedPriceIdx,MATCH(F3187,FmtName,0))</f>
        <v/>
      </c>
      <c r="W3187" s="47">
        <f>V3187</f>
        <v/>
      </c>
      <c r="X3187" s="47">
        <f>IF(GrossBasis="Wholesale",V3187,W3187)</f>
        <v/>
      </c>
      <c r="Y3187" s="47">
        <f>R3187*INDEX(FmtBlendedCogs,MATCH(F3187,FmtName,0))</f>
        <v/>
      </c>
      <c r="Z3187" s="47">
        <f>X3187-Y3187</f>
        <v/>
      </c>
    </row>
    <row r="3188">
      <c r="A3188" t="n">
        <v>7</v>
      </c>
      <c r="B3188" s="44">
        <f>FiscalStart+(A3188-1)*7</f>
        <v/>
      </c>
      <c r="C3188">
        <f>TEXT(B3188,"mmm yyyy")</f>
        <v/>
      </c>
      <c r="D3188">
        <f>"Q"&amp;(INT((A3188-1)/13)+1)</f>
        <v/>
      </c>
      <c r="E3188" t="inlineStr">
        <is>
          <t>Online</t>
        </is>
      </c>
      <c r="F3188">
        <f>IFERROR(INDEX(ChFormat,MATCH(E3188,ChName,0)),"")</f>
        <v/>
      </c>
      <c r="G3188" t="inlineStr">
        <is>
          <t>BC</t>
        </is>
      </c>
      <c r="H3188">
        <f>IF(A3188&lt;=NWeeks,1,0)</f>
        <v/>
      </c>
      <c r="I3188">
        <f>INDEX(ChLaunch,MATCH(E3188,ChName,0))</f>
        <v/>
      </c>
      <c r="J3188">
        <f>INDEX(ChWeeksFull,MATCH(E3188,ChName,0))</f>
        <v/>
      </c>
      <c r="K3188">
        <f>INDEX(ChRamp,MATCH(E3188,ChName,0))</f>
        <v/>
      </c>
      <c r="L3188" s="45">
        <f>MIN(1,MAX(0,(A3188-I3188+1)*RampSpeed/J3188))</f>
        <v/>
      </c>
      <c r="M3188" s="45">
        <f>IF(A3188&lt;I3188,0,IF(K3188="S-curve",L3188*L3188*(3-2*L3188),L3188))</f>
        <v/>
      </c>
      <c r="N3188" s="45">
        <f>1+(INDEX(SeasonIdx,A3188)-1)*SeasonAmp</f>
        <v/>
      </c>
      <c r="O3188" s="45">
        <f>IFERROR(INDEX(PSPct,MATCH(E3188&amp;"|"&amp;G3188,PSKey,0)),0)</f>
        <v/>
      </c>
      <c r="P3188" s="46" t="n">
        <v>0</v>
      </c>
      <c r="Q3188" s="46">
        <f>INDEX(OnlineUnitsCol,A3188)*O3188*(1+OnlineGrowth)*N3188*H3188*IF(A3188&gt;=I3188,1,0)</f>
        <v/>
      </c>
      <c r="R3188" s="46">
        <f>Q3188*INDEX(FmtCansPerPack,MATCH(F3188,FmtName,0))/INDEX(FmtCansPerCase,MATCH(F3188,FmtName,0))</f>
        <v/>
      </c>
      <c r="S3188" s="46">
        <f>R3188*INDEX(FmtCansPerCase,MATCH(F3188,FmtName,0))</f>
        <v/>
      </c>
      <c r="T3188" s="46">
        <f>S3188/INDEX(FmtCansPerPack,MATCH(F3188,FmtName,0))</f>
        <v/>
      </c>
      <c r="U3188" s="47">
        <f>INDEX(ProvOnline,MATCH(G3188,ProvCode,0))*(1+PriceIndex)</f>
        <v/>
      </c>
      <c r="V3188" s="47">
        <f>Q3188*U3188*INDEX(FmtBlendedPriceIdx,MATCH(F3188,FmtName,0))</f>
        <v/>
      </c>
      <c r="W3188" s="47">
        <f>V3188</f>
        <v/>
      </c>
      <c r="X3188" s="47">
        <f>IF(GrossBasis="Wholesale",V3188,W3188)</f>
        <v/>
      </c>
      <c r="Y3188" s="47">
        <f>R3188*INDEX(FmtBlendedCogs,MATCH(F3188,FmtName,0))</f>
        <v/>
      </c>
      <c r="Z3188" s="47">
        <f>X3188-Y3188</f>
        <v/>
      </c>
    </row>
    <row r="3189">
      <c r="A3189" t="n">
        <v>8</v>
      </c>
      <c r="B3189" s="44">
        <f>FiscalStart+(A3189-1)*7</f>
        <v/>
      </c>
      <c r="C3189">
        <f>TEXT(B3189,"mmm yyyy")</f>
        <v/>
      </c>
      <c r="D3189">
        <f>"Q"&amp;(INT((A3189-1)/13)+1)</f>
        <v/>
      </c>
      <c r="E3189" t="inlineStr">
        <is>
          <t>Online</t>
        </is>
      </c>
      <c r="F3189">
        <f>IFERROR(INDEX(ChFormat,MATCH(E3189,ChName,0)),"")</f>
        <v/>
      </c>
      <c r="G3189" t="inlineStr">
        <is>
          <t>BC</t>
        </is>
      </c>
      <c r="H3189">
        <f>IF(A3189&lt;=NWeeks,1,0)</f>
        <v/>
      </c>
      <c r="I3189">
        <f>INDEX(ChLaunch,MATCH(E3189,ChName,0))</f>
        <v/>
      </c>
      <c r="J3189">
        <f>INDEX(ChWeeksFull,MATCH(E3189,ChName,0))</f>
        <v/>
      </c>
      <c r="K3189">
        <f>INDEX(ChRamp,MATCH(E3189,ChName,0))</f>
        <v/>
      </c>
      <c r="L3189" s="45">
        <f>MIN(1,MAX(0,(A3189-I3189+1)*RampSpeed/J3189))</f>
        <v/>
      </c>
      <c r="M3189" s="45">
        <f>IF(A3189&lt;I3189,0,IF(K3189="S-curve",L3189*L3189*(3-2*L3189),L3189))</f>
        <v/>
      </c>
      <c r="N3189" s="45">
        <f>1+(INDEX(SeasonIdx,A3189)-1)*SeasonAmp</f>
        <v/>
      </c>
      <c r="O3189" s="45">
        <f>IFERROR(INDEX(PSPct,MATCH(E3189&amp;"|"&amp;G3189,PSKey,0)),0)</f>
        <v/>
      </c>
      <c r="P3189" s="46" t="n">
        <v>0</v>
      </c>
      <c r="Q3189" s="46">
        <f>INDEX(OnlineUnitsCol,A3189)*O3189*(1+OnlineGrowth)*N3189*H3189*IF(A3189&gt;=I3189,1,0)</f>
        <v/>
      </c>
      <c r="R3189" s="46">
        <f>Q3189*INDEX(FmtCansPerPack,MATCH(F3189,FmtName,0))/INDEX(FmtCansPerCase,MATCH(F3189,FmtName,0))</f>
        <v/>
      </c>
      <c r="S3189" s="46">
        <f>R3189*INDEX(FmtCansPerCase,MATCH(F3189,FmtName,0))</f>
        <v/>
      </c>
      <c r="T3189" s="46">
        <f>S3189/INDEX(FmtCansPerPack,MATCH(F3189,FmtName,0))</f>
        <v/>
      </c>
      <c r="U3189" s="47">
        <f>INDEX(ProvOnline,MATCH(G3189,ProvCode,0))*(1+PriceIndex)</f>
        <v/>
      </c>
      <c r="V3189" s="47">
        <f>Q3189*U3189*INDEX(FmtBlendedPriceIdx,MATCH(F3189,FmtName,0))</f>
        <v/>
      </c>
      <c r="W3189" s="47">
        <f>V3189</f>
        <v/>
      </c>
      <c r="X3189" s="47">
        <f>IF(GrossBasis="Wholesale",V3189,W3189)</f>
        <v/>
      </c>
      <c r="Y3189" s="47">
        <f>R3189*INDEX(FmtBlendedCogs,MATCH(F3189,FmtName,0))</f>
        <v/>
      </c>
      <c r="Z3189" s="47">
        <f>X3189-Y3189</f>
        <v/>
      </c>
    </row>
    <row r="3190">
      <c r="A3190" t="n">
        <v>9</v>
      </c>
      <c r="B3190" s="44">
        <f>FiscalStart+(A3190-1)*7</f>
        <v/>
      </c>
      <c r="C3190">
        <f>TEXT(B3190,"mmm yyyy")</f>
        <v/>
      </c>
      <c r="D3190">
        <f>"Q"&amp;(INT((A3190-1)/13)+1)</f>
        <v/>
      </c>
      <c r="E3190" t="inlineStr">
        <is>
          <t>Online</t>
        </is>
      </c>
      <c r="F3190">
        <f>IFERROR(INDEX(ChFormat,MATCH(E3190,ChName,0)),"")</f>
        <v/>
      </c>
      <c r="G3190" t="inlineStr">
        <is>
          <t>BC</t>
        </is>
      </c>
      <c r="H3190">
        <f>IF(A3190&lt;=NWeeks,1,0)</f>
        <v/>
      </c>
      <c r="I3190">
        <f>INDEX(ChLaunch,MATCH(E3190,ChName,0))</f>
        <v/>
      </c>
      <c r="J3190">
        <f>INDEX(ChWeeksFull,MATCH(E3190,ChName,0))</f>
        <v/>
      </c>
      <c r="K3190">
        <f>INDEX(ChRamp,MATCH(E3190,ChName,0))</f>
        <v/>
      </c>
      <c r="L3190" s="45">
        <f>MIN(1,MAX(0,(A3190-I3190+1)*RampSpeed/J3190))</f>
        <v/>
      </c>
      <c r="M3190" s="45">
        <f>IF(A3190&lt;I3190,0,IF(K3190="S-curve",L3190*L3190*(3-2*L3190),L3190))</f>
        <v/>
      </c>
      <c r="N3190" s="45">
        <f>1+(INDEX(SeasonIdx,A3190)-1)*SeasonAmp</f>
        <v/>
      </c>
      <c r="O3190" s="45">
        <f>IFERROR(INDEX(PSPct,MATCH(E3190&amp;"|"&amp;G3190,PSKey,0)),0)</f>
        <v/>
      </c>
      <c r="P3190" s="46" t="n">
        <v>0</v>
      </c>
      <c r="Q3190" s="46">
        <f>INDEX(OnlineUnitsCol,A3190)*O3190*(1+OnlineGrowth)*N3190*H3190*IF(A3190&gt;=I3190,1,0)</f>
        <v/>
      </c>
      <c r="R3190" s="46">
        <f>Q3190*INDEX(FmtCansPerPack,MATCH(F3190,FmtName,0))/INDEX(FmtCansPerCase,MATCH(F3190,FmtName,0))</f>
        <v/>
      </c>
      <c r="S3190" s="46">
        <f>R3190*INDEX(FmtCansPerCase,MATCH(F3190,FmtName,0))</f>
        <v/>
      </c>
      <c r="T3190" s="46">
        <f>S3190/INDEX(FmtCansPerPack,MATCH(F3190,FmtName,0))</f>
        <v/>
      </c>
      <c r="U3190" s="47">
        <f>INDEX(ProvOnline,MATCH(G3190,ProvCode,0))*(1+PriceIndex)</f>
        <v/>
      </c>
      <c r="V3190" s="47">
        <f>Q3190*U3190*INDEX(FmtBlendedPriceIdx,MATCH(F3190,FmtName,0))</f>
        <v/>
      </c>
      <c r="W3190" s="47">
        <f>V3190</f>
        <v/>
      </c>
      <c r="X3190" s="47">
        <f>IF(GrossBasis="Wholesale",V3190,W3190)</f>
        <v/>
      </c>
      <c r="Y3190" s="47">
        <f>R3190*INDEX(FmtBlendedCogs,MATCH(F3190,FmtName,0))</f>
        <v/>
      </c>
      <c r="Z3190" s="47">
        <f>X3190-Y3190</f>
        <v/>
      </c>
    </row>
    <row r="3191">
      <c r="A3191" t="n">
        <v>10</v>
      </c>
      <c r="B3191" s="44">
        <f>FiscalStart+(A3191-1)*7</f>
        <v/>
      </c>
      <c r="C3191">
        <f>TEXT(B3191,"mmm yyyy")</f>
        <v/>
      </c>
      <c r="D3191">
        <f>"Q"&amp;(INT((A3191-1)/13)+1)</f>
        <v/>
      </c>
      <c r="E3191" t="inlineStr">
        <is>
          <t>Online</t>
        </is>
      </c>
      <c r="F3191">
        <f>IFERROR(INDEX(ChFormat,MATCH(E3191,ChName,0)),"")</f>
        <v/>
      </c>
      <c r="G3191" t="inlineStr">
        <is>
          <t>BC</t>
        </is>
      </c>
      <c r="H3191">
        <f>IF(A3191&lt;=NWeeks,1,0)</f>
        <v/>
      </c>
      <c r="I3191">
        <f>INDEX(ChLaunch,MATCH(E3191,ChName,0))</f>
        <v/>
      </c>
      <c r="J3191">
        <f>INDEX(ChWeeksFull,MATCH(E3191,ChName,0))</f>
        <v/>
      </c>
      <c r="K3191">
        <f>INDEX(ChRamp,MATCH(E3191,ChName,0))</f>
        <v/>
      </c>
      <c r="L3191" s="45">
        <f>MIN(1,MAX(0,(A3191-I3191+1)*RampSpeed/J3191))</f>
        <v/>
      </c>
      <c r="M3191" s="45">
        <f>IF(A3191&lt;I3191,0,IF(K3191="S-curve",L3191*L3191*(3-2*L3191),L3191))</f>
        <v/>
      </c>
      <c r="N3191" s="45">
        <f>1+(INDEX(SeasonIdx,A3191)-1)*SeasonAmp</f>
        <v/>
      </c>
      <c r="O3191" s="45">
        <f>IFERROR(INDEX(PSPct,MATCH(E3191&amp;"|"&amp;G3191,PSKey,0)),0)</f>
        <v/>
      </c>
      <c r="P3191" s="46" t="n">
        <v>0</v>
      </c>
      <c r="Q3191" s="46">
        <f>INDEX(OnlineUnitsCol,A3191)*O3191*(1+OnlineGrowth)*N3191*H3191*IF(A3191&gt;=I3191,1,0)</f>
        <v/>
      </c>
      <c r="R3191" s="46">
        <f>Q3191*INDEX(FmtCansPerPack,MATCH(F3191,FmtName,0))/INDEX(FmtCansPerCase,MATCH(F3191,FmtName,0))</f>
        <v/>
      </c>
      <c r="S3191" s="46">
        <f>R3191*INDEX(FmtCansPerCase,MATCH(F3191,FmtName,0))</f>
        <v/>
      </c>
      <c r="T3191" s="46">
        <f>S3191/INDEX(FmtCansPerPack,MATCH(F3191,FmtName,0))</f>
        <v/>
      </c>
      <c r="U3191" s="47">
        <f>INDEX(ProvOnline,MATCH(G3191,ProvCode,0))*(1+PriceIndex)</f>
        <v/>
      </c>
      <c r="V3191" s="47">
        <f>Q3191*U3191*INDEX(FmtBlendedPriceIdx,MATCH(F3191,FmtName,0))</f>
        <v/>
      </c>
      <c r="W3191" s="47">
        <f>V3191</f>
        <v/>
      </c>
      <c r="X3191" s="47">
        <f>IF(GrossBasis="Wholesale",V3191,W3191)</f>
        <v/>
      </c>
      <c r="Y3191" s="47">
        <f>R3191*INDEX(FmtBlendedCogs,MATCH(F3191,FmtName,0))</f>
        <v/>
      </c>
      <c r="Z3191" s="47">
        <f>X3191-Y3191</f>
        <v/>
      </c>
    </row>
    <row r="3192">
      <c r="A3192" t="n">
        <v>11</v>
      </c>
      <c r="B3192" s="44">
        <f>FiscalStart+(A3192-1)*7</f>
        <v/>
      </c>
      <c r="C3192">
        <f>TEXT(B3192,"mmm yyyy")</f>
        <v/>
      </c>
      <c r="D3192">
        <f>"Q"&amp;(INT((A3192-1)/13)+1)</f>
        <v/>
      </c>
      <c r="E3192" t="inlineStr">
        <is>
          <t>Online</t>
        </is>
      </c>
      <c r="F3192">
        <f>IFERROR(INDEX(ChFormat,MATCH(E3192,ChName,0)),"")</f>
        <v/>
      </c>
      <c r="G3192" t="inlineStr">
        <is>
          <t>BC</t>
        </is>
      </c>
      <c r="H3192">
        <f>IF(A3192&lt;=NWeeks,1,0)</f>
        <v/>
      </c>
      <c r="I3192">
        <f>INDEX(ChLaunch,MATCH(E3192,ChName,0))</f>
        <v/>
      </c>
      <c r="J3192">
        <f>INDEX(ChWeeksFull,MATCH(E3192,ChName,0))</f>
        <v/>
      </c>
      <c r="K3192">
        <f>INDEX(ChRamp,MATCH(E3192,ChName,0))</f>
        <v/>
      </c>
      <c r="L3192" s="45">
        <f>MIN(1,MAX(0,(A3192-I3192+1)*RampSpeed/J3192))</f>
        <v/>
      </c>
      <c r="M3192" s="45">
        <f>IF(A3192&lt;I3192,0,IF(K3192="S-curve",L3192*L3192*(3-2*L3192),L3192))</f>
        <v/>
      </c>
      <c r="N3192" s="45">
        <f>1+(INDEX(SeasonIdx,A3192)-1)*SeasonAmp</f>
        <v/>
      </c>
      <c r="O3192" s="45">
        <f>IFERROR(INDEX(PSPct,MATCH(E3192&amp;"|"&amp;G3192,PSKey,0)),0)</f>
        <v/>
      </c>
      <c r="P3192" s="46" t="n">
        <v>0</v>
      </c>
      <c r="Q3192" s="46">
        <f>INDEX(OnlineUnitsCol,A3192)*O3192*(1+OnlineGrowth)*N3192*H3192*IF(A3192&gt;=I3192,1,0)</f>
        <v/>
      </c>
      <c r="R3192" s="46">
        <f>Q3192*INDEX(FmtCansPerPack,MATCH(F3192,FmtName,0))/INDEX(FmtCansPerCase,MATCH(F3192,FmtName,0))</f>
        <v/>
      </c>
      <c r="S3192" s="46">
        <f>R3192*INDEX(FmtCansPerCase,MATCH(F3192,FmtName,0))</f>
        <v/>
      </c>
      <c r="T3192" s="46">
        <f>S3192/INDEX(FmtCansPerPack,MATCH(F3192,FmtName,0))</f>
        <v/>
      </c>
      <c r="U3192" s="47">
        <f>INDEX(ProvOnline,MATCH(G3192,ProvCode,0))*(1+PriceIndex)</f>
        <v/>
      </c>
      <c r="V3192" s="47">
        <f>Q3192*U3192*INDEX(FmtBlendedPriceIdx,MATCH(F3192,FmtName,0))</f>
        <v/>
      </c>
      <c r="W3192" s="47">
        <f>V3192</f>
        <v/>
      </c>
      <c r="X3192" s="47">
        <f>IF(GrossBasis="Wholesale",V3192,W3192)</f>
        <v/>
      </c>
      <c r="Y3192" s="47">
        <f>R3192*INDEX(FmtBlendedCogs,MATCH(F3192,FmtName,0))</f>
        <v/>
      </c>
      <c r="Z3192" s="47">
        <f>X3192-Y3192</f>
        <v/>
      </c>
    </row>
    <row r="3193">
      <c r="A3193" t="n">
        <v>12</v>
      </c>
      <c r="B3193" s="44">
        <f>FiscalStart+(A3193-1)*7</f>
        <v/>
      </c>
      <c r="C3193">
        <f>TEXT(B3193,"mmm yyyy")</f>
        <v/>
      </c>
      <c r="D3193">
        <f>"Q"&amp;(INT((A3193-1)/13)+1)</f>
        <v/>
      </c>
      <c r="E3193" t="inlineStr">
        <is>
          <t>Online</t>
        </is>
      </c>
      <c r="F3193">
        <f>IFERROR(INDEX(ChFormat,MATCH(E3193,ChName,0)),"")</f>
        <v/>
      </c>
      <c r="G3193" t="inlineStr">
        <is>
          <t>BC</t>
        </is>
      </c>
      <c r="H3193">
        <f>IF(A3193&lt;=NWeeks,1,0)</f>
        <v/>
      </c>
      <c r="I3193">
        <f>INDEX(ChLaunch,MATCH(E3193,ChName,0))</f>
        <v/>
      </c>
      <c r="J3193">
        <f>INDEX(ChWeeksFull,MATCH(E3193,ChName,0))</f>
        <v/>
      </c>
      <c r="K3193">
        <f>INDEX(ChRamp,MATCH(E3193,ChName,0))</f>
        <v/>
      </c>
      <c r="L3193" s="45">
        <f>MIN(1,MAX(0,(A3193-I3193+1)*RampSpeed/J3193))</f>
        <v/>
      </c>
      <c r="M3193" s="45">
        <f>IF(A3193&lt;I3193,0,IF(K3193="S-curve",L3193*L3193*(3-2*L3193),L3193))</f>
        <v/>
      </c>
      <c r="N3193" s="45">
        <f>1+(INDEX(SeasonIdx,A3193)-1)*SeasonAmp</f>
        <v/>
      </c>
      <c r="O3193" s="45">
        <f>IFERROR(INDEX(PSPct,MATCH(E3193&amp;"|"&amp;G3193,PSKey,0)),0)</f>
        <v/>
      </c>
      <c r="P3193" s="46" t="n">
        <v>0</v>
      </c>
      <c r="Q3193" s="46">
        <f>INDEX(OnlineUnitsCol,A3193)*O3193*(1+OnlineGrowth)*N3193*H3193*IF(A3193&gt;=I3193,1,0)</f>
        <v/>
      </c>
      <c r="R3193" s="46">
        <f>Q3193*INDEX(FmtCansPerPack,MATCH(F3193,FmtName,0))/INDEX(FmtCansPerCase,MATCH(F3193,FmtName,0))</f>
        <v/>
      </c>
      <c r="S3193" s="46">
        <f>R3193*INDEX(FmtCansPerCase,MATCH(F3193,FmtName,0))</f>
        <v/>
      </c>
      <c r="T3193" s="46">
        <f>S3193/INDEX(FmtCansPerPack,MATCH(F3193,FmtName,0))</f>
        <v/>
      </c>
      <c r="U3193" s="47">
        <f>INDEX(ProvOnline,MATCH(G3193,ProvCode,0))*(1+PriceIndex)</f>
        <v/>
      </c>
      <c r="V3193" s="47">
        <f>Q3193*U3193*INDEX(FmtBlendedPriceIdx,MATCH(F3193,FmtName,0))</f>
        <v/>
      </c>
      <c r="W3193" s="47">
        <f>V3193</f>
        <v/>
      </c>
      <c r="X3193" s="47">
        <f>IF(GrossBasis="Wholesale",V3193,W3193)</f>
        <v/>
      </c>
      <c r="Y3193" s="47">
        <f>R3193*INDEX(FmtBlendedCogs,MATCH(F3193,FmtName,0))</f>
        <v/>
      </c>
      <c r="Z3193" s="47">
        <f>X3193-Y3193</f>
        <v/>
      </c>
    </row>
    <row r="3194">
      <c r="A3194" t="n">
        <v>13</v>
      </c>
      <c r="B3194" s="44">
        <f>FiscalStart+(A3194-1)*7</f>
        <v/>
      </c>
      <c r="C3194">
        <f>TEXT(B3194,"mmm yyyy")</f>
        <v/>
      </c>
      <c r="D3194">
        <f>"Q"&amp;(INT((A3194-1)/13)+1)</f>
        <v/>
      </c>
      <c r="E3194" t="inlineStr">
        <is>
          <t>Online</t>
        </is>
      </c>
      <c r="F3194">
        <f>IFERROR(INDEX(ChFormat,MATCH(E3194,ChName,0)),"")</f>
        <v/>
      </c>
      <c r="G3194" t="inlineStr">
        <is>
          <t>BC</t>
        </is>
      </c>
      <c r="H3194">
        <f>IF(A3194&lt;=NWeeks,1,0)</f>
        <v/>
      </c>
      <c r="I3194">
        <f>INDEX(ChLaunch,MATCH(E3194,ChName,0))</f>
        <v/>
      </c>
      <c r="J3194">
        <f>INDEX(ChWeeksFull,MATCH(E3194,ChName,0))</f>
        <v/>
      </c>
      <c r="K3194">
        <f>INDEX(ChRamp,MATCH(E3194,ChName,0))</f>
        <v/>
      </c>
      <c r="L3194" s="45">
        <f>MIN(1,MAX(0,(A3194-I3194+1)*RampSpeed/J3194))</f>
        <v/>
      </c>
      <c r="M3194" s="45">
        <f>IF(A3194&lt;I3194,0,IF(K3194="S-curve",L3194*L3194*(3-2*L3194),L3194))</f>
        <v/>
      </c>
      <c r="N3194" s="45">
        <f>1+(INDEX(SeasonIdx,A3194)-1)*SeasonAmp</f>
        <v/>
      </c>
      <c r="O3194" s="45">
        <f>IFERROR(INDEX(PSPct,MATCH(E3194&amp;"|"&amp;G3194,PSKey,0)),0)</f>
        <v/>
      </c>
      <c r="P3194" s="46" t="n">
        <v>0</v>
      </c>
      <c r="Q3194" s="46">
        <f>INDEX(OnlineUnitsCol,A3194)*O3194*(1+OnlineGrowth)*N3194*H3194*IF(A3194&gt;=I3194,1,0)</f>
        <v/>
      </c>
      <c r="R3194" s="46">
        <f>Q3194*INDEX(FmtCansPerPack,MATCH(F3194,FmtName,0))/INDEX(FmtCansPerCase,MATCH(F3194,FmtName,0))</f>
        <v/>
      </c>
      <c r="S3194" s="46">
        <f>R3194*INDEX(FmtCansPerCase,MATCH(F3194,FmtName,0))</f>
        <v/>
      </c>
      <c r="T3194" s="46">
        <f>S3194/INDEX(FmtCansPerPack,MATCH(F3194,FmtName,0))</f>
        <v/>
      </c>
      <c r="U3194" s="47">
        <f>INDEX(ProvOnline,MATCH(G3194,ProvCode,0))*(1+PriceIndex)</f>
        <v/>
      </c>
      <c r="V3194" s="47">
        <f>Q3194*U3194*INDEX(FmtBlendedPriceIdx,MATCH(F3194,FmtName,0))</f>
        <v/>
      </c>
      <c r="W3194" s="47">
        <f>V3194</f>
        <v/>
      </c>
      <c r="X3194" s="47">
        <f>IF(GrossBasis="Wholesale",V3194,W3194)</f>
        <v/>
      </c>
      <c r="Y3194" s="47">
        <f>R3194*INDEX(FmtBlendedCogs,MATCH(F3194,FmtName,0))</f>
        <v/>
      </c>
      <c r="Z3194" s="47">
        <f>X3194-Y3194</f>
        <v/>
      </c>
    </row>
    <row r="3195">
      <c r="A3195" t="n">
        <v>14</v>
      </c>
      <c r="B3195" s="44">
        <f>FiscalStart+(A3195-1)*7</f>
        <v/>
      </c>
      <c r="C3195">
        <f>TEXT(B3195,"mmm yyyy")</f>
        <v/>
      </c>
      <c r="D3195">
        <f>"Q"&amp;(INT((A3195-1)/13)+1)</f>
        <v/>
      </c>
      <c r="E3195" t="inlineStr">
        <is>
          <t>Online</t>
        </is>
      </c>
      <c r="F3195">
        <f>IFERROR(INDEX(ChFormat,MATCH(E3195,ChName,0)),"")</f>
        <v/>
      </c>
      <c r="G3195" t="inlineStr">
        <is>
          <t>BC</t>
        </is>
      </c>
      <c r="H3195">
        <f>IF(A3195&lt;=NWeeks,1,0)</f>
        <v/>
      </c>
      <c r="I3195">
        <f>INDEX(ChLaunch,MATCH(E3195,ChName,0))</f>
        <v/>
      </c>
      <c r="J3195">
        <f>INDEX(ChWeeksFull,MATCH(E3195,ChName,0))</f>
        <v/>
      </c>
      <c r="K3195">
        <f>INDEX(ChRamp,MATCH(E3195,ChName,0))</f>
        <v/>
      </c>
      <c r="L3195" s="45">
        <f>MIN(1,MAX(0,(A3195-I3195+1)*RampSpeed/J3195))</f>
        <v/>
      </c>
      <c r="M3195" s="45">
        <f>IF(A3195&lt;I3195,0,IF(K3195="S-curve",L3195*L3195*(3-2*L3195),L3195))</f>
        <v/>
      </c>
      <c r="N3195" s="45">
        <f>1+(INDEX(SeasonIdx,A3195)-1)*SeasonAmp</f>
        <v/>
      </c>
      <c r="O3195" s="45">
        <f>IFERROR(INDEX(PSPct,MATCH(E3195&amp;"|"&amp;G3195,PSKey,0)),0)</f>
        <v/>
      </c>
      <c r="P3195" s="46" t="n">
        <v>0</v>
      </c>
      <c r="Q3195" s="46">
        <f>INDEX(OnlineUnitsCol,A3195)*O3195*(1+OnlineGrowth)*N3195*H3195*IF(A3195&gt;=I3195,1,0)</f>
        <v/>
      </c>
      <c r="R3195" s="46">
        <f>Q3195*INDEX(FmtCansPerPack,MATCH(F3195,FmtName,0))/INDEX(FmtCansPerCase,MATCH(F3195,FmtName,0))</f>
        <v/>
      </c>
      <c r="S3195" s="46">
        <f>R3195*INDEX(FmtCansPerCase,MATCH(F3195,FmtName,0))</f>
        <v/>
      </c>
      <c r="T3195" s="46">
        <f>S3195/INDEX(FmtCansPerPack,MATCH(F3195,FmtName,0))</f>
        <v/>
      </c>
      <c r="U3195" s="47">
        <f>INDEX(ProvOnline,MATCH(G3195,ProvCode,0))*(1+PriceIndex)</f>
        <v/>
      </c>
      <c r="V3195" s="47">
        <f>Q3195*U3195*INDEX(FmtBlendedPriceIdx,MATCH(F3195,FmtName,0))</f>
        <v/>
      </c>
      <c r="W3195" s="47">
        <f>V3195</f>
        <v/>
      </c>
      <c r="X3195" s="47">
        <f>IF(GrossBasis="Wholesale",V3195,W3195)</f>
        <v/>
      </c>
      <c r="Y3195" s="47">
        <f>R3195*INDEX(FmtBlendedCogs,MATCH(F3195,FmtName,0))</f>
        <v/>
      </c>
      <c r="Z3195" s="47">
        <f>X3195-Y3195</f>
        <v/>
      </c>
    </row>
    <row r="3196">
      <c r="A3196" t="n">
        <v>15</v>
      </c>
      <c r="B3196" s="44">
        <f>FiscalStart+(A3196-1)*7</f>
        <v/>
      </c>
      <c r="C3196">
        <f>TEXT(B3196,"mmm yyyy")</f>
        <v/>
      </c>
      <c r="D3196">
        <f>"Q"&amp;(INT((A3196-1)/13)+1)</f>
        <v/>
      </c>
      <c r="E3196" t="inlineStr">
        <is>
          <t>Online</t>
        </is>
      </c>
      <c r="F3196">
        <f>IFERROR(INDEX(ChFormat,MATCH(E3196,ChName,0)),"")</f>
        <v/>
      </c>
      <c r="G3196" t="inlineStr">
        <is>
          <t>BC</t>
        </is>
      </c>
      <c r="H3196">
        <f>IF(A3196&lt;=NWeeks,1,0)</f>
        <v/>
      </c>
      <c r="I3196">
        <f>INDEX(ChLaunch,MATCH(E3196,ChName,0))</f>
        <v/>
      </c>
      <c r="J3196">
        <f>INDEX(ChWeeksFull,MATCH(E3196,ChName,0))</f>
        <v/>
      </c>
      <c r="K3196">
        <f>INDEX(ChRamp,MATCH(E3196,ChName,0))</f>
        <v/>
      </c>
      <c r="L3196" s="45">
        <f>MIN(1,MAX(0,(A3196-I3196+1)*RampSpeed/J3196))</f>
        <v/>
      </c>
      <c r="M3196" s="45">
        <f>IF(A3196&lt;I3196,0,IF(K3196="S-curve",L3196*L3196*(3-2*L3196),L3196))</f>
        <v/>
      </c>
      <c r="N3196" s="45">
        <f>1+(INDEX(SeasonIdx,A3196)-1)*SeasonAmp</f>
        <v/>
      </c>
      <c r="O3196" s="45">
        <f>IFERROR(INDEX(PSPct,MATCH(E3196&amp;"|"&amp;G3196,PSKey,0)),0)</f>
        <v/>
      </c>
      <c r="P3196" s="46" t="n">
        <v>0</v>
      </c>
      <c r="Q3196" s="46">
        <f>INDEX(OnlineUnitsCol,A3196)*O3196*(1+OnlineGrowth)*N3196*H3196*IF(A3196&gt;=I3196,1,0)</f>
        <v/>
      </c>
      <c r="R3196" s="46">
        <f>Q3196*INDEX(FmtCansPerPack,MATCH(F3196,FmtName,0))/INDEX(FmtCansPerCase,MATCH(F3196,FmtName,0))</f>
        <v/>
      </c>
      <c r="S3196" s="46">
        <f>R3196*INDEX(FmtCansPerCase,MATCH(F3196,FmtName,0))</f>
        <v/>
      </c>
      <c r="T3196" s="46">
        <f>S3196/INDEX(FmtCansPerPack,MATCH(F3196,FmtName,0))</f>
        <v/>
      </c>
      <c r="U3196" s="47">
        <f>INDEX(ProvOnline,MATCH(G3196,ProvCode,0))*(1+PriceIndex)</f>
        <v/>
      </c>
      <c r="V3196" s="47">
        <f>Q3196*U3196*INDEX(FmtBlendedPriceIdx,MATCH(F3196,FmtName,0))</f>
        <v/>
      </c>
      <c r="W3196" s="47">
        <f>V3196</f>
        <v/>
      </c>
      <c r="X3196" s="47">
        <f>IF(GrossBasis="Wholesale",V3196,W3196)</f>
        <v/>
      </c>
      <c r="Y3196" s="47">
        <f>R3196*INDEX(FmtBlendedCogs,MATCH(F3196,FmtName,0))</f>
        <v/>
      </c>
      <c r="Z3196" s="47">
        <f>X3196-Y3196</f>
        <v/>
      </c>
    </row>
    <row r="3197">
      <c r="A3197" t="n">
        <v>16</v>
      </c>
      <c r="B3197" s="44">
        <f>FiscalStart+(A3197-1)*7</f>
        <v/>
      </c>
      <c r="C3197">
        <f>TEXT(B3197,"mmm yyyy")</f>
        <v/>
      </c>
      <c r="D3197">
        <f>"Q"&amp;(INT((A3197-1)/13)+1)</f>
        <v/>
      </c>
      <c r="E3197" t="inlineStr">
        <is>
          <t>Online</t>
        </is>
      </c>
      <c r="F3197">
        <f>IFERROR(INDEX(ChFormat,MATCH(E3197,ChName,0)),"")</f>
        <v/>
      </c>
      <c r="G3197" t="inlineStr">
        <is>
          <t>BC</t>
        </is>
      </c>
      <c r="H3197">
        <f>IF(A3197&lt;=NWeeks,1,0)</f>
        <v/>
      </c>
      <c r="I3197">
        <f>INDEX(ChLaunch,MATCH(E3197,ChName,0))</f>
        <v/>
      </c>
      <c r="J3197">
        <f>INDEX(ChWeeksFull,MATCH(E3197,ChName,0))</f>
        <v/>
      </c>
      <c r="K3197">
        <f>INDEX(ChRamp,MATCH(E3197,ChName,0))</f>
        <v/>
      </c>
      <c r="L3197" s="45">
        <f>MIN(1,MAX(0,(A3197-I3197+1)*RampSpeed/J3197))</f>
        <v/>
      </c>
      <c r="M3197" s="45">
        <f>IF(A3197&lt;I3197,0,IF(K3197="S-curve",L3197*L3197*(3-2*L3197),L3197))</f>
        <v/>
      </c>
      <c r="N3197" s="45">
        <f>1+(INDEX(SeasonIdx,A3197)-1)*SeasonAmp</f>
        <v/>
      </c>
      <c r="O3197" s="45">
        <f>IFERROR(INDEX(PSPct,MATCH(E3197&amp;"|"&amp;G3197,PSKey,0)),0)</f>
        <v/>
      </c>
      <c r="P3197" s="46" t="n">
        <v>0</v>
      </c>
      <c r="Q3197" s="46">
        <f>INDEX(OnlineUnitsCol,A3197)*O3197*(1+OnlineGrowth)*N3197*H3197*IF(A3197&gt;=I3197,1,0)</f>
        <v/>
      </c>
      <c r="R3197" s="46">
        <f>Q3197*INDEX(FmtCansPerPack,MATCH(F3197,FmtName,0))/INDEX(FmtCansPerCase,MATCH(F3197,FmtName,0))</f>
        <v/>
      </c>
      <c r="S3197" s="46">
        <f>R3197*INDEX(FmtCansPerCase,MATCH(F3197,FmtName,0))</f>
        <v/>
      </c>
      <c r="T3197" s="46">
        <f>S3197/INDEX(FmtCansPerPack,MATCH(F3197,FmtName,0))</f>
        <v/>
      </c>
      <c r="U3197" s="47">
        <f>INDEX(ProvOnline,MATCH(G3197,ProvCode,0))*(1+PriceIndex)</f>
        <v/>
      </c>
      <c r="V3197" s="47">
        <f>Q3197*U3197*INDEX(FmtBlendedPriceIdx,MATCH(F3197,FmtName,0))</f>
        <v/>
      </c>
      <c r="W3197" s="47">
        <f>V3197</f>
        <v/>
      </c>
      <c r="X3197" s="47">
        <f>IF(GrossBasis="Wholesale",V3197,W3197)</f>
        <v/>
      </c>
      <c r="Y3197" s="47">
        <f>R3197*INDEX(FmtBlendedCogs,MATCH(F3197,FmtName,0))</f>
        <v/>
      </c>
      <c r="Z3197" s="47">
        <f>X3197-Y3197</f>
        <v/>
      </c>
    </row>
    <row r="3198">
      <c r="A3198" t="n">
        <v>17</v>
      </c>
      <c r="B3198" s="44">
        <f>FiscalStart+(A3198-1)*7</f>
        <v/>
      </c>
      <c r="C3198">
        <f>TEXT(B3198,"mmm yyyy")</f>
        <v/>
      </c>
      <c r="D3198">
        <f>"Q"&amp;(INT((A3198-1)/13)+1)</f>
        <v/>
      </c>
      <c r="E3198" t="inlineStr">
        <is>
          <t>Online</t>
        </is>
      </c>
      <c r="F3198">
        <f>IFERROR(INDEX(ChFormat,MATCH(E3198,ChName,0)),"")</f>
        <v/>
      </c>
      <c r="G3198" t="inlineStr">
        <is>
          <t>BC</t>
        </is>
      </c>
      <c r="H3198">
        <f>IF(A3198&lt;=NWeeks,1,0)</f>
        <v/>
      </c>
      <c r="I3198">
        <f>INDEX(ChLaunch,MATCH(E3198,ChName,0))</f>
        <v/>
      </c>
      <c r="J3198">
        <f>INDEX(ChWeeksFull,MATCH(E3198,ChName,0))</f>
        <v/>
      </c>
      <c r="K3198">
        <f>INDEX(ChRamp,MATCH(E3198,ChName,0))</f>
        <v/>
      </c>
      <c r="L3198" s="45">
        <f>MIN(1,MAX(0,(A3198-I3198+1)*RampSpeed/J3198))</f>
        <v/>
      </c>
      <c r="M3198" s="45">
        <f>IF(A3198&lt;I3198,0,IF(K3198="S-curve",L3198*L3198*(3-2*L3198),L3198))</f>
        <v/>
      </c>
      <c r="N3198" s="45">
        <f>1+(INDEX(SeasonIdx,A3198)-1)*SeasonAmp</f>
        <v/>
      </c>
      <c r="O3198" s="45">
        <f>IFERROR(INDEX(PSPct,MATCH(E3198&amp;"|"&amp;G3198,PSKey,0)),0)</f>
        <v/>
      </c>
      <c r="P3198" s="46" t="n">
        <v>0</v>
      </c>
      <c r="Q3198" s="46">
        <f>INDEX(OnlineUnitsCol,A3198)*O3198*(1+OnlineGrowth)*N3198*H3198*IF(A3198&gt;=I3198,1,0)</f>
        <v/>
      </c>
      <c r="R3198" s="46">
        <f>Q3198*INDEX(FmtCansPerPack,MATCH(F3198,FmtName,0))/INDEX(FmtCansPerCase,MATCH(F3198,FmtName,0))</f>
        <v/>
      </c>
      <c r="S3198" s="46">
        <f>R3198*INDEX(FmtCansPerCase,MATCH(F3198,FmtName,0))</f>
        <v/>
      </c>
      <c r="T3198" s="46">
        <f>S3198/INDEX(FmtCansPerPack,MATCH(F3198,FmtName,0))</f>
        <v/>
      </c>
      <c r="U3198" s="47">
        <f>INDEX(ProvOnline,MATCH(G3198,ProvCode,0))*(1+PriceIndex)</f>
        <v/>
      </c>
      <c r="V3198" s="47">
        <f>Q3198*U3198*INDEX(FmtBlendedPriceIdx,MATCH(F3198,FmtName,0))</f>
        <v/>
      </c>
      <c r="W3198" s="47">
        <f>V3198</f>
        <v/>
      </c>
      <c r="X3198" s="47">
        <f>IF(GrossBasis="Wholesale",V3198,W3198)</f>
        <v/>
      </c>
      <c r="Y3198" s="47">
        <f>R3198*INDEX(FmtBlendedCogs,MATCH(F3198,FmtName,0))</f>
        <v/>
      </c>
      <c r="Z3198" s="47">
        <f>X3198-Y3198</f>
        <v/>
      </c>
    </row>
    <row r="3199">
      <c r="A3199" t="n">
        <v>18</v>
      </c>
      <c r="B3199" s="44">
        <f>FiscalStart+(A3199-1)*7</f>
        <v/>
      </c>
      <c r="C3199">
        <f>TEXT(B3199,"mmm yyyy")</f>
        <v/>
      </c>
      <c r="D3199">
        <f>"Q"&amp;(INT((A3199-1)/13)+1)</f>
        <v/>
      </c>
      <c r="E3199" t="inlineStr">
        <is>
          <t>Online</t>
        </is>
      </c>
      <c r="F3199">
        <f>IFERROR(INDEX(ChFormat,MATCH(E3199,ChName,0)),"")</f>
        <v/>
      </c>
      <c r="G3199" t="inlineStr">
        <is>
          <t>BC</t>
        </is>
      </c>
      <c r="H3199">
        <f>IF(A3199&lt;=NWeeks,1,0)</f>
        <v/>
      </c>
      <c r="I3199">
        <f>INDEX(ChLaunch,MATCH(E3199,ChName,0))</f>
        <v/>
      </c>
      <c r="J3199">
        <f>INDEX(ChWeeksFull,MATCH(E3199,ChName,0))</f>
        <v/>
      </c>
      <c r="K3199">
        <f>INDEX(ChRamp,MATCH(E3199,ChName,0))</f>
        <v/>
      </c>
      <c r="L3199" s="45">
        <f>MIN(1,MAX(0,(A3199-I3199+1)*RampSpeed/J3199))</f>
        <v/>
      </c>
      <c r="M3199" s="45">
        <f>IF(A3199&lt;I3199,0,IF(K3199="S-curve",L3199*L3199*(3-2*L3199),L3199))</f>
        <v/>
      </c>
      <c r="N3199" s="45">
        <f>1+(INDEX(SeasonIdx,A3199)-1)*SeasonAmp</f>
        <v/>
      </c>
      <c r="O3199" s="45">
        <f>IFERROR(INDEX(PSPct,MATCH(E3199&amp;"|"&amp;G3199,PSKey,0)),0)</f>
        <v/>
      </c>
      <c r="P3199" s="46" t="n">
        <v>0</v>
      </c>
      <c r="Q3199" s="46">
        <f>INDEX(OnlineUnitsCol,A3199)*O3199*(1+OnlineGrowth)*N3199*H3199*IF(A3199&gt;=I3199,1,0)</f>
        <v/>
      </c>
      <c r="R3199" s="46">
        <f>Q3199*INDEX(FmtCansPerPack,MATCH(F3199,FmtName,0))/INDEX(FmtCansPerCase,MATCH(F3199,FmtName,0))</f>
        <v/>
      </c>
      <c r="S3199" s="46">
        <f>R3199*INDEX(FmtCansPerCase,MATCH(F3199,FmtName,0))</f>
        <v/>
      </c>
      <c r="T3199" s="46">
        <f>S3199/INDEX(FmtCansPerPack,MATCH(F3199,FmtName,0))</f>
        <v/>
      </c>
      <c r="U3199" s="47">
        <f>INDEX(ProvOnline,MATCH(G3199,ProvCode,0))*(1+PriceIndex)</f>
        <v/>
      </c>
      <c r="V3199" s="47">
        <f>Q3199*U3199*INDEX(FmtBlendedPriceIdx,MATCH(F3199,FmtName,0))</f>
        <v/>
      </c>
      <c r="W3199" s="47">
        <f>V3199</f>
        <v/>
      </c>
      <c r="X3199" s="47">
        <f>IF(GrossBasis="Wholesale",V3199,W3199)</f>
        <v/>
      </c>
      <c r="Y3199" s="47">
        <f>R3199*INDEX(FmtBlendedCogs,MATCH(F3199,FmtName,0))</f>
        <v/>
      </c>
      <c r="Z3199" s="47">
        <f>X3199-Y3199</f>
        <v/>
      </c>
    </row>
    <row r="3200">
      <c r="A3200" t="n">
        <v>19</v>
      </c>
      <c r="B3200" s="44">
        <f>FiscalStart+(A3200-1)*7</f>
        <v/>
      </c>
      <c r="C3200">
        <f>TEXT(B3200,"mmm yyyy")</f>
        <v/>
      </c>
      <c r="D3200">
        <f>"Q"&amp;(INT((A3200-1)/13)+1)</f>
        <v/>
      </c>
      <c r="E3200" t="inlineStr">
        <is>
          <t>Online</t>
        </is>
      </c>
      <c r="F3200">
        <f>IFERROR(INDEX(ChFormat,MATCH(E3200,ChName,0)),"")</f>
        <v/>
      </c>
      <c r="G3200" t="inlineStr">
        <is>
          <t>BC</t>
        </is>
      </c>
      <c r="H3200">
        <f>IF(A3200&lt;=NWeeks,1,0)</f>
        <v/>
      </c>
      <c r="I3200">
        <f>INDEX(ChLaunch,MATCH(E3200,ChName,0))</f>
        <v/>
      </c>
      <c r="J3200">
        <f>INDEX(ChWeeksFull,MATCH(E3200,ChName,0))</f>
        <v/>
      </c>
      <c r="K3200">
        <f>INDEX(ChRamp,MATCH(E3200,ChName,0))</f>
        <v/>
      </c>
      <c r="L3200" s="45">
        <f>MIN(1,MAX(0,(A3200-I3200+1)*RampSpeed/J3200))</f>
        <v/>
      </c>
      <c r="M3200" s="45">
        <f>IF(A3200&lt;I3200,0,IF(K3200="S-curve",L3200*L3200*(3-2*L3200),L3200))</f>
        <v/>
      </c>
      <c r="N3200" s="45">
        <f>1+(INDEX(SeasonIdx,A3200)-1)*SeasonAmp</f>
        <v/>
      </c>
      <c r="O3200" s="45">
        <f>IFERROR(INDEX(PSPct,MATCH(E3200&amp;"|"&amp;G3200,PSKey,0)),0)</f>
        <v/>
      </c>
      <c r="P3200" s="46" t="n">
        <v>0</v>
      </c>
      <c r="Q3200" s="46">
        <f>INDEX(OnlineUnitsCol,A3200)*O3200*(1+OnlineGrowth)*N3200*H3200*IF(A3200&gt;=I3200,1,0)</f>
        <v/>
      </c>
      <c r="R3200" s="46">
        <f>Q3200*INDEX(FmtCansPerPack,MATCH(F3200,FmtName,0))/INDEX(FmtCansPerCase,MATCH(F3200,FmtName,0))</f>
        <v/>
      </c>
      <c r="S3200" s="46">
        <f>R3200*INDEX(FmtCansPerCase,MATCH(F3200,FmtName,0))</f>
        <v/>
      </c>
      <c r="T3200" s="46">
        <f>S3200/INDEX(FmtCansPerPack,MATCH(F3200,FmtName,0))</f>
        <v/>
      </c>
      <c r="U3200" s="47">
        <f>INDEX(ProvOnline,MATCH(G3200,ProvCode,0))*(1+PriceIndex)</f>
        <v/>
      </c>
      <c r="V3200" s="47">
        <f>Q3200*U3200*INDEX(FmtBlendedPriceIdx,MATCH(F3200,FmtName,0))</f>
        <v/>
      </c>
      <c r="W3200" s="47">
        <f>V3200</f>
        <v/>
      </c>
      <c r="X3200" s="47">
        <f>IF(GrossBasis="Wholesale",V3200,W3200)</f>
        <v/>
      </c>
      <c r="Y3200" s="47">
        <f>R3200*INDEX(FmtBlendedCogs,MATCH(F3200,FmtName,0))</f>
        <v/>
      </c>
      <c r="Z3200" s="47">
        <f>X3200-Y3200</f>
        <v/>
      </c>
    </row>
    <row r="3201">
      <c r="A3201" t="n">
        <v>20</v>
      </c>
      <c r="B3201" s="44">
        <f>FiscalStart+(A3201-1)*7</f>
        <v/>
      </c>
      <c r="C3201">
        <f>TEXT(B3201,"mmm yyyy")</f>
        <v/>
      </c>
      <c r="D3201">
        <f>"Q"&amp;(INT((A3201-1)/13)+1)</f>
        <v/>
      </c>
      <c r="E3201" t="inlineStr">
        <is>
          <t>Online</t>
        </is>
      </c>
      <c r="F3201">
        <f>IFERROR(INDEX(ChFormat,MATCH(E3201,ChName,0)),"")</f>
        <v/>
      </c>
      <c r="G3201" t="inlineStr">
        <is>
          <t>BC</t>
        </is>
      </c>
      <c r="H3201">
        <f>IF(A3201&lt;=NWeeks,1,0)</f>
        <v/>
      </c>
      <c r="I3201">
        <f>INDEX(ChLaunch,MATCH(E3201,ChName,0))</f>
        <v/>
      </c>
      <c r="J3201">
        <f>INDEX(ChWeeksFull,MATCH(E3201,ChName,0))</f>
        <v/>
      </c>
      <c r="K3201">
        <f>INDEX(ChRamp,MATCH(E3201,ChName,0))</f>
        <v/>
      </c>
      <c r="L3201" s="45">
        <f>MIN(1,MAX(0,(A3201-I3201+1)*RampSpeed/J3201))</f>
        <v/>
      </c>
      <c r="M3201" s="45">
        <f>IF(A3201&lt;I3201,0,IF(K3201="S-curve",L3201*L3201*(3-2*L3201),L3201))</f>
        <v/>
      </c>
      <c r="N3201" s="45">
        <f>1+(INDEX(SeasonIdx,A3201)-1)*SeasonAmp</f>
        <v/>
      </c>
      <c r="O3201" s="45">
        <f>IFERROR(INDEX(PSPct,MATCH(E3201&amp;"|"&amp;G3201,PSKey,0)),0)</f>
        <v/>
      </c>
      <c r="P3201" s="46" t="n">
        <v>0</v>
      </c>
      <c r="Q3201" s="46">
        <f>INDEX(OnlineUnitsCol,A3201)*O3201*(1+OnlineGrowth)*N3201*H3201*IF(A3201&gt;=I3201,1,0)</f>
        <v/>
      </c>
      <c r="R3201" s="46">
        <f>Q3201*INDEX(FmtCansPerPack,MATCH(F3201,FmtName,0))/INDEX(FmtCansPerCase,MATCH(F3201,FmtName,0))</f>
        <v/>
      </c>
      <c r="S3201" s="46">
        <f>R3201*INDEX(FmtCansPerCase,MATCH(F3201,FmtName,0))</f>
        <v/>
      </c>
      <c r="T3201" s="46">
        <f>S3201/INDEX(FmtCansPerPack,MATCH(F3201,FmtName,0))</f>
        <v/>
      </c>
      <c r="U3201" s="47">
        <f>INDEX(ProvOnline,MATCH(G3201,ProvCode,0))*(1+PriceIndex)</f>
        <v/>
      </c>
      <c r="V3201" s="47">
        <f>Q3201*U3201*INDEX(FmtBlendedPriceIdx,MATCH(F3201,FmtName,0))</f>
        <v/>
      </c>
      <c r="W3201" s="47">
        <f>V3201</f>
        <v/>
      </c>
      <c r="X3201" s="47">
        <f>IF(GrossBasis="Wholesale",V3201,W3201)</f>
        <v/>
      </c>
      <c r="Y3201" s="47">
        <f>R3201*INDEX(FmtBlendedCogs,MATCH(F3201,FmtName,0))</f>
        <v/>
      </c>
      <c r="Z3201" s="47">
        <f>X3201-Y3201</f>
        <v/>
      </c>
    </row>
    <row r="3202">
      <c r="A3202" t="n">
        <v>21</v>
      </c>
      <c r="B3202" s="44">
        <f>FiscalStart+(A3202-1)*7</f>
        <v/>
      </c>
      <c r="C3202">
        <f>TEXT(B3202,"mmm yyyy")</f>
        <v/>
      </c>
      <c r="D3202">
        <f>"Q"&amp;(INT((A3202-1)/13)+1)</f>
        <v/>
      </c>
      <c r="E3202" t="inlineStr">
        <is>
          <t>Online</t>
        </is>
      </c>
      <c r="F3202">
        <f>IFERROR(INDEX(ChFormat,MATCH(E3202,ChName,0)),"")</f>
        <v/>
      </c>
      <c r="G3202" t="inlineStr">
        <is>
          <t>BC</t>
        </is>
      </c>
      <c r="H3202">
        <f>IF(A3202&lt;=NWeeks,1,0)</f>
        <v/>
      </c>
      <c r="I3202">
        <f>INDEX(ChLaunch,MATCH(E3202,ChName,0))</f>
        <v/>
      </c>
      <c r="J3202">
        <f>INDEX(ChWeeksFull,MATCH(E3202,ChName,0))</f>
        <v/>
      </c>
      <c r="K3202">
        <f>INDEX(ChRamp,MATCH(E3202,ChName,0))</f>
        <v/>
      </c>
      <c r="L3202" s="45">
        <f>MIN(1,MAX(0,(A3202-I3202+1)*RampSpeed/J3202))</f>
        <v/>
      </c>
      <c r="M3202" s="45">
        <f>IF(A3202&lt;I3202,0,IF(K3202="S-curve",L3202*L3202*(3-2*L3202),L3202))</f>
        <v/>
      </c>
      <c r="N3202" s="45">
        <f>1+(INDEX(SeasonIdx,A3202)-1)*SeasonAmp</f>
        <v/>
      </c>
      <c r="O3202" s="45">
        <f>IFERROR(INDEX(PSPct,MATCH(E3202&amp;"|"&amp;G3202,PSKey,0)),0)</f>
        <v/>
      </c>
      <c r="P3202" s="46" t="n">
        <v>0</v>
      </c>
      <c r="Q3202" s="46">
        <f>INDEX(OnlineUnitsCol,A3202)*O3202*(1+OnlineGrowth)*N3202*H3202*IF(A3202&gt;=I3202,1,0)</f>
        <v/>
      </c>
      <c r="R3202" s="46">
        <f>Q3202*INDEX(FmtCansPerPack,MATCH(F3202,FmtName,0))/INDEX(FmtCansPerCase,MATCH(F3202,FmtName,0))</f>
        <v/>
      </c>
      <c r="S3202" s="46">
        <f>R3202*INDEX(FmtCansPerCase,MATCH(F3202,FmtName,0))</f>
        <v/>
      </c>
      <c r="T3202" s="46">
        <f>S3202/INDEX(FmtCansPerPack,MATCH(F3202,FmtName,0))</f>
        <v/>
      </c>
      <c r="U3202" s="47">
        <f>INDEX(ProvOnline,MATCH(G3202,ProvCode,0))*(1+PriceIndex)</f>
        <v/>
      </c>
      <c r="V3202" s="47">
        <f>Q3202*U3202*INDEX(FmtBlendedPriceIdx,MATCH(F3202,FmtName,0))</f>
        <v/>
      </c>
      <c r="W3202" s="47">
        <f>V3202</f>
        <v/>
      </c>
      <c r="X3202" s="47">
        <f>IF(GrossBasis="Wholesale",V3202,W3202)</f>
        <v/>
      </c>
      <c r="Y3202" s="47">
        <f>R3202*INDEX(FmtBlendedCogs,MATCH(F3202,FmtName,0))</f>
        <v/>
      </c>
      <c r="Z3202" s="47">
        <f>X3202-Y3202</f>
        <v/>
      </c>
    </row>
    <row r="3203">
      <c r="A3203" t="n">
        <v>22</v>
      </c>
      <c r="B3203" s="44">
        <f>FiscalStart+(A3203-1)*7</f>
        <v/>
      </c>
      <c r="C3203">
        <f>TEXT(B3203,"mmm yyyy")</f>
        <v/>
      </c>
      <c r="D3203">
        <f>"Q"&amp;(INT((A3203-1)/13)+1)</f>
        <v/>
      </c>
      <c r="E3203" t="inlineStr">
        <is>
          <t>Online</t>
        </is>
      </c>
      <c r="F3203">
        <f>IFERROR(INDEX(ChFormat,MATCH(E3203,ChName,0)),"")</f>
        <v/>
      </c>
      <c r="G3203" t="inlineStr">
        <is>
          <t>BC</t>
        </is>
      </c>
      <c r="H3203">
        <f>IF(A3203&lt;=NWeeks,1,0)</f>
        <v/>
      </c>
      <c r="I3203">
        <f>INDEX(ChLaunch,MATCH(E3203,ChName,0))</f>
        <v/>
      </c>
      <c r="J3203">
        <f>INDEX(ChWeeksFull,MATCH(E3203,ChName,0))</f>
        <v/>
      </c>
      <c r="K3203">
        <f>INDEX(ChRamp,MATCH(E3203,ChName,0))</f>
        <v/>
      </c>
      <c r="L3203" s="45">
        <f>MIN(1,MAX(0,(A3203-I3203+1)*RampSpeed/J3203))</f>
        <v/>
      </c>
      <c r="M3203" s="45">
        <f>IF(A3203&lt;I3203,0,IF(K3203="S-curve",L3203*L3203*(3-2*L3203),L3203))</f>
        <v/>
      </c>
      <c r="N3203" s="45">
        <f>1+(INDEX(SeasonIdx,A3203)-1)*SeasonAmp</f>
        <v/>
      </c>
      <c r="O3203" s="45">
        <f>IFERROR(INDEX(PSPct,MATCH(E3203&amp;"|"&amp;G3203,PSKey,0)),0)</f>
        <v/>
      </c>
      <c r="P3203" s="46" t="n">
        <v>0</v>
      </c>
      <c r="Q3203" s="46">
        <f>INDEX(OnlineUnitsCol,A3203)*O3203*(1+OnlineGrowth)*N3203*H3203*IF(A3203&gt;=I3203,1,0)</f>
        <v/>
      </c>
      <c r="R3203" s="46">
        <f>Q3203*INDEX(FmtCansPerPack,MATCH(F3203,FmtName,0))/INDEX(FmtCansPerCase,MATCH(F3203,FmtName,0))</f>
        <v/>
      </c>
      <c r="S3203" s="46">
        <f>R3203*INDEX(FmtCansPerCase,MATCH(F3203,FmtName,0))</f>
        <v/>
      </c>
      <c r="T3203" s="46">
        <f>S3203/INDEX(FmtCansPerPack,MATCH(F3203,FmtName,0))</f>
        <v/>
      </c>
      <c r="U3203" s="47">
        <f>INDEX(ProvOnline,MATCH(G3203,ProvCode,0))*(1+PriceIndex)</f>
        <v/>
      </c>
      <c r="V3203" s="47">
        <f>Q3203*U3203*INDEX(FmtBlendedPriceIdx,MATCH(F3203,FmtName,0))</f>
        <v/>
      </c>
      <c r="W3203" s="47">
        <f>V3203</f>
        <v/>
      </c>
      <c r="X3203" s="47">
        <f>IF(GrossBasis="Wholesale",V3203,W3203)</f>
        <v/>
      </c>
      <c r="Y3203" s="47">
        <f>R3203*INDEX(FmtBlendedCogs,MATCH(F3203,FmtName,0))</f>
        <v/>
      </c>
      <c r="Z3203" s="47">
        <f>X3203-Y3203</f>
        <v/>
      </c>
    </row>
    <row r="3204">
      <c r="A3204" t="n">
        <v>23</v>
      </c>
      <c r="B3204" s="44">
        <f>FiscalStart+(A3204-1)*7</f>
        <v/>
      </c>
      <c r="C3204">
        <f>TEXT(B3204,"mmm yyyy")</f>
        <v/>
      </c>
      <c r="D3204">
        <f>"Q"&amp;(INT((A3204-1)/13)+1)</f>
        <v/>
      </c>
      <c r="E3204" t="inlineStr">
        <is>
          <t>Online</t>
        </is>
      </c>
      <c r="F3204">
        <f>IFERROR(INDEX(ChFormat,MATCH(E3204,ChName,0)),"")</f>
        <v/>
      </c>
      <c r="G3204" t="inlineStr">
        <is>
          <t>BC</t>
        </is>
      </c>
      <c r="H3204">
        <f>IF(A3204&lt;=NWeeks,1,0)</f>
        <v/>
      </c>
      <c r="I3204">
        <f>INDEX(ChLaunch,MATCH(E3204,ChName,0))</f>
        <v/>
      </c>
      <c r="J3204">
        <f>INDEX(ChWeeksFull,MATCH(E3204,ChName,0))</f>
        <v/>
      </c>
      <c r="K3204">
        <f>INDEX(ChRamp,MATCH(E3204,ChName,0))</f>
        <v/>
      </c>
      <c r="L3204" s="45">
        <f>MIN(1,MAX(0,(A3204-I3204+1)*RampSpeed/J3204))</f>
        <v/>
      </c>
      <c r="M3204" s="45">
        <f>IF(A3204&lt;I3204,0,IF(K3204="S-curve",L3204*L3204*(3-2*L3204),L3204))</f>
        <v/>
      </c>
      <c r="N3204" s="45">
        <f>1+(INDEX(SeasonIdx,A3204)-1)*SeasonAmp</f>
        <v/>
      </c>
      <c r="O3204" s="45">
        <f>IFERROR(INDEX(PSPct,MATCH(E3204&amp;"|"&amp;G3204,PSKey,0)),0)</f>
        <v/>
      </c>
      <c r="P3204" s="46" t="n">
        <v>0</v>
      </c>
      <c r="Q3204" s="46">
        <f>INDEX(OnlineUnitsCol,A3204)*O3204*(1+OnlineGrowth)*N3204*H3204*IF(A3204&gt;=I3204,1,0)</f>
        <v/>
      </c>
      <c r="R3204" s="46">
        <f>Q3204*INDEX(FmtCansPerPack,MATCH(F3204,FmtName,0))/INDEX(FmtCansPerCase,MATCH(F3204,FmtName,0))</f>
        <v/>
      </c>
      <c r="S3204" s="46">
        <f>R3204*INDEX(FmtCansPerCase,MATCH(F3204,FmtName,0))</f>
        <v/>
      </c>
      <c r="T3204" s="46">
        <f>S3204/INDEX(FmtCansPerPack,MATCH(F3204,FmtName,0))</f>
        <v/>
      </c>
      <c r="U3204" s="47">
        <f>INDEX(ProvOnline,MATCH(G3204,ProvCode,0))*(1+PriceIndex)</f>
        <v/>
      </c>
      <c r="V3204" s="47">
        <f>Q3204*U3204*INDEX(FmtBlendedPriceIdx,MATCH(F3204,FmtName,0))</f>
        <v/>
      </c>
      <c r="W3204" s="47">
        <f>V3204</f>
        <v/>
      </c>
      <c r="X3204" s="47">
        <f>IF(GrossBasis="Wholesale",V3204,W3204)</f>
        <v/>
      </c>
      <c r="Y3204" s="47">
        <f>R3204*INDEX(FmtBlendedCogs,MATCH(F3204,FmtName,0))</f>
        <v/>
      </c>
      <c r="Z3204" s="47">
        <f>X3204-Y3204</f>
        <v/>
      </c>
    </row>
    <row r="3205">
      <c r="A3205" t="n">
        <v>24</v>
      </c>
      <c r="B3205" s="44">
        <f>FiscalStart+(A3205-1)*7</f>
        <v/>
      </c>
      <c r="C3205">
        <f>TEXT(B3205,"mmm yyyy")</f>
        <v/>
      </c>
      <c r="D3205">
        <f>"Q"&amp;(INT((A3205-1)/13)+1)</f>
        <v/>
      </c>
      <c r="E3205" t="inlineStr">
        <is>
          <t>Online</t>
        </is>
      </c>
      <c r="F3205">
        <f>IFERROR(INDEX(ChFormat,MATCH(E3205,ChName,0)),"")</f>
        <v/>
      </c>
      <c r="G3205" t="inlineStr">
        <is>
          <t>BC</t>
        </is>
      </c>
      <c r="H3205">
        <f>IF(A3205&lt;=NWeeks,1,0)</f>
        <v/>
      </c>
      <c r="I3205">
        <f>INDEX(ChLaunch,MATCH(E3205,ChName,0))</f>
        <v/>
      </c>
      <c r="J3205">
        <f>INDEX(ChWeeksFull,MATCH(E3205,ChName,0))</f>
        <v/>
      </c>
      <c r="K3205">
        <f>INDEX(ChRamp,MATCH(E3205,ChName,0))</f>
        <v/>
      </c>
      <c r="L3205" s="45">
        <f>MIN(1,MAX(0,(A3205-I3205+1)*RampSpeed/J3205))</f>
        <v/>
      </c>
      <c r="M3205" s="45">
        <f>IF(A3205&lt;I3205,0,IF(K3205="S-curve",L3205*L3205*(3-2*L3205),L3205))</f>
        <v/>
      </c>
      <c r="N3205" s="45">
        <f>1+(INDEX(SeasonIdx,A3205)-1)*SeasonAmp</f>
        <v/>
      </c>
      <c r="O3205" s="45">
        <f>IFERROR(INDEX(PSPct,MATCH(E3205&amp;"|"&amp;G3205,PSKey,0)),0)</f>
        <v/>
      </c>
      <c r="P3205" s="46" t="n">
        <v>0</v>
      </c>
      <c r="Q3205" s="46">
        <f>INDEX(OnlineUnitsCol,A3205)*O3205*(1+OnlineGrowth)*N3205*H3205*IF(A3205&gt;=I3205,1,0)</f>
        <v/>
      </c>
      <c r="R3205" s="46">
        <f>Q3205*INDEX(FmtCansPerPack,MATCH(F3205,FmtName,0))/INDEX(FmtCansPerCase,MATCH(F3205,FmtName,0))</f>
        <v/>
      </c>
      <c r="S3205" s="46">
        <f>R3205*INDEX(FmtCansPerCase,MATCH(F3205,FmtName,0))</f>
        <v/>
      </c>
      <c r="T3205" s="46">
        <f>S3205/INDEX(FmtCansPerPack,MATCH(F3205,FmtName,0))</f>
        <v/>
      </c>
      <c r="U3205" s="47">
        <f>INDEX(ProvOnline,MATCH(G3205,ProvCode,0))*(1+PriceIndex)</f>
        <v/>
      </c>
      <c r="V3205" s="47">
        <f>Q3205*U3205*INDEX(FmtBlendedPriceIdx,MATCH(F3205,FmtName,0))</f>
        <v/>
      </c>
      <c r="W3205" s="47">
        <f>V3205</f>
        <v/>
      </c>
      <c r="X3205" s="47">
        <f>IF(GrossBasis="Wholesale",V3205,W3205)</f>
        <v/>
      </c>
      <c r="Y3205" s="47">
        <f>R3205*INDEX(FmtBlendedCogs,MATCH(F3205,FmtName,0))</f>
        <v/>
      </c>
      <c r="Z3205" s="47">
        <f>X3205-Y3205</f>
        <v/>
      </c>
    </row>
    <row r="3206">
      <c r="A3206" t="n">
        <v>25</v>
      </c>
      <c r="B3206" s="44">
        <f>FiscalStart+(A3206-1)*7</f>
        <v/>
      </c>
      <c r="C3206">
        <f>TEXT(B3206,"mmm yyyy")</f>
        <v/>
      </c>
      <c r="D3206">
        <f>"Q"&amp;(INT((A3206-1)/13)+1)</f>
        <v/>
      </c>
      <c r="E3206" t="inlineStr">
        <is>
          <t>Online</t>
        </is>
      </c>
      <c r="F3206">
        <f>IFERROR(INDEX(ChFormat,MATCH(E3206,ChName,0)),"")</f>
        <v/>
      </c>
      <c r="G3206" t="inlineStr">
        <is>
          <t>BC</t>
        </is>
      </c>
      <c r="H3206">
        <f>IF(A3206&lt;=NWeeks,1,0)</f>
        <v/>
      </c>
      <c r="I3206">
        <f>INDEX(ChLaunch,MATCH(E3206,ChName,0))</f>
        <v/>
      </c>
      <c r="J3206">
        <f>INDEX(ChWeeksFull,MATCH(E3206,ChName,0))</f>
        <v/>
      </c>
      <c r="K3206">
        <f>INDEX(ChRamp,MATCH(E3206,ChName,0))</f>
        <v/>
      </c>
      <c r="L3206" s="45">
        <f>MIN(1,MAX(0,(A3206-I3206+1)*RampSpeed/J3206))</f>
        <v/>
      </c>
      <c r="M3206" s="45">
        <f>IF(A3206&lt;I3206,0,IF(K3206="S-curve",L3206*L3206*(3-2*L3206),L3206))</f>
        <v/>
      </c>
      <c r="N3206" s="45">
        <f>1+(INDEX(SeasonIdx,A3206)-1)*SeasonAmp</f>
        <v/>
      </c>
      <c r="O3206" s="45">
        <f>IFERROR(INDEX(PSPct,MATCH(E3206&amp;"|"&amp;G3206,PSKey,0)),0)</f>
        <v/>
      </c>
      <c r="P3206" s="46" t="n">
        <v>0</v>
      </c>
      <c r="Q3206" s="46">
        <f>INDEX(OnlineUnitsCol,A3206)*O3206*(1+OnlineGrowth)*N3206*H3206*IF(A3206&gt;=I3206,1,0)</f>
        <v/>
      </c>
      <c r="R3206" s="46">
        <f>Q3206*INDEX(FmtCansPerPack,MATCH(F3206,FmtName,0))/INDEX(FmtCansPerCase,MATCH(F3206,FmtName,0))</f>
        <v/>
      </c>
      <c r="S3206" s="46">
        <f>R3206*INDEX(FmtCansPerCase,MATCH(F3206,FmtName,0))</f>
        <v/>
      </c>
      <c r="T3206" s="46">
        <f>S3206/INDEX(FmtCansPerPack,MATCH(F3206,FmtName,0))</f>
        <v/>
      </c>
      <c r="U3206" s="47">
        <f>INDEX(ProvOnline,MATCH(G3206,ProvCode,0))*(1+PriceIndex)</f>
        <v/>
      </c>
      <c r="V3206" s="47">
        <f>Q3206*U3206*INDEX(FmtBlendedPriceIdx,MATCH(F3206,FmtName,0))</f>
        <v/>
      </c>
      <c r="W3206" s="47">
        <f>V3206</f>
        <v/>
      </c>
      <c r="X3206" s="47">
        <f>IF(GrossBasis="Wholesale",V3206,W3206)</f>
        <v/>
      </c>
      <c r="Y3206" s="47">
        <f>R3206*INDEX(FmtBlendedCogs,MATCH(F3206,FmtName,0))</f>
        <v/>
      </c>
      <c r="Z3206" s="47">
        <f>X3206-Y3206</f>
        <v/>
      </c>
    </row>
    <row r="3207">
      <c r="A3207" t="n">
        <v>26</v>
      </c>
      <c r="B3207" s="44">
        <f>FiscalStart+(A3207-1)*7</f>
        <v/>
      </c>
      <c r="C3207">
        <f>TEXT(B3207,"mmm yyyy")</f>
        <v/>
      </c>
      <c r="D3207">
        <f>"Q"&amp;(INT((A3207-1)/13)+1)</f>
        <v/>
      </c>
      <c r="E3207" t="inlineStr">
        <is>
          <t>Online</t>
        </is>
      </c>
      <c r="F3207">
        <f>IFERROR(INDEX(ChFormat,MATCH(E3207,ChName,0)),"")</f>
        <v/>
      </c>
      <c r="G3207" t="inlineStr">
        <is>
          <t>BC</t>
        </is>
      </c>
      <c r="H3207">
        <f>IF(A3207&lt;=NWeeks,1,0)</f>
        <v/>
      </c>
      <c r="I3207">
        <f>INDEX(ChLaunch,MATCH(E3207,ChName,0))</f>
        <v/>
      </c>
      <c r="J3207">
        <f>INDEX(ChWeeksFull,MATCH(E3207,ChName,0))</f>
        <v/>
      </c>
      <c r="K3207">
        <f>INDEX(ChRamp,MATCH(E3207,ChName,0))</f>
        <v/>
      </c>
      <c r="L3207" s="45">
        <f>MIN(1,MAX(0,(A3207-I3207+1)*RampSpeed/J3207))</f>
        <v/>
      </c>
      <c r="M3207" s="45">
        <f>IF(A3207&lt;I3207,0,IF(K3207="S-curve",L3207*L3207*(3-2*L3207),L3207))</f>
        <v/>
      </c>
      <c r="N3207" s="45">
        <f>1+(INDEX(SeasonIdx,A3207)-1)*SeasonAmp</f>
        <v/>
      </c>
      <c r="O3207" s="45">
        <f>IFERROR(INDEX(PSPct,MATCH(E3207&amp;"|"&amp;G3207,PSKey,0)),0)</f>
        <v/>
      </c>
      <c r="P3207" s="46" t="n">
        <v>0</v>
      </c>
      <c r="Q3207" s="46">
        <f>INDEX(OnlineUnitsCol,A3207)*O3207*(1+OnlineGrowth)*N3207*H3207*IF(A3207&gt;=I3207,1,0)</f>
        <v/>
      </c>
      <c r="R3207" s="46">
        <f>Q3207*INDEX(FmtCansPerPack,MATCH(F3207,FmtName,0))/INDEX(FmtCansPerCase,MATCH(F3207,FmtName,0))</f>
        <v/>
      </c>
      <c r="S3207" s="46">
        <f>R3207*INDEX(FmtCansPerCase,MATCH(F3207,FmtName,0))</f>
        <v/>
      </c>
      <c r="T3207" s="46">
        <f>S3207/INDEX(FmtCansPerPack,MATCH(F3207,FmtName,0))</f>
        <v/>
      </c>
      <c r="U3207" s="47">
        <f>INDEX(ProvOnline,MATCH(G3207,ProvCode,0))*(1+PriceIndex)</f>
        <v/>
      </c>
      <c r="V3207" s="47">
        <f>Q3207*U3207*INDEX(FmtBlendedPriceIdx,MATCH(F3207,FmtName,0))</f>
        <v/>
      </c>
      <c r="W3207" s="47">
        <f>V3207</f>
        <v/>
      </c>
      <c r="X3207" s="47">
        <f>IF(GrossBasis="Wholesale",V3207,W3207)</f>
        <v/>
      </c>
      <c r="Y3207" s="47">
        <f>R3207*INDEX(FmtBlendedCogs,MATCH(F3207,FmtName,0))</f>
        <v/>
      </c>
      <c r="Z3207" s="47">
        <f>X3207-Y3207</f>
        <v/>
      </c>
    </row>
    <row r="3208">
      <c r="A3208" t="n">
        <v>27</v>
      </c>
      <c r="B3208" s="44">
        <f>FiscalStart+(A3208-1)*7</f>
        <v/>
      </c>
      <c r="C3208">
        <f>TEXT(B3208,"mmm yyyy")</f>
        <v/>
      </c>
      <c r="D3208">
        <f>"Q"&amp;(INT((A3208-1)/13)+1)</f>
        <v/>
      </c>
      <c r="E3208" t="inlineStr">
        <is>
          <t>Online</t>
        </is>
      </c>
      <c r="F3208">
        <f>IFERROR(INDEX(ChFormat,MATCH(E3208,ChName,0)),"")</f>
        <v/>
      </c>
      <c r="G3208" t="inlineStr">
        <is>
          <t>BC</t>
        </is>
      </c>
      <c r="H3208">
        <f>IF(A3208&lt;=NWeeks,1,0)</f>
        <v/>
      </c>
      <c r="I3208">
        <f>INDEX(ChLaunch,MATCH(E3208,ChName,0))</f>
        <v/>
      </c>
      <c r="J3208">
        <f>INDEX(ChWeeksFull,MATCH(E3208,ChName,0))</f>
        <v/>
      </c>
      <c r="K3208">
        <f>INDEX(ChRamp,MATCH(E3208,ChName,0))</f>
        <v/>
      </c>
      <c r="L3208" s="45">
        <f>MIN(1,MAX(0,(A3208-I3208+1)*RampSpeed/J3208))</f>
        <v/>
      </c>
      <c r="M3208" s="45">
        <f>IF(A3208&lt;I3208,0,IF(K3208="S-curve",L3208*L3208*(3-2*L3208),L3208))</f>
        <v/>
      </c>
      <c r="N3208" s="45">
        <f>1+(INDEX(SeasonIdx,A3208)-1)*SeasonAmp</f>
        <v/>
      </c>
      <c r="O3208" s="45">
        <f>IFERROR(INDEX(PSPct,MATCH(E3208&amp;"|"&amp;G3208,PSKey,0)),0)</f>
        <v/>
      </c>
      <c r="P3208" s="46" t="n">
        <v>0</v>
      </c>
      <c r="Q3208" s="46">
        <f>INDEX(OnlineUnitsCol,A3208)*O3208*(1+OnlineGrowth)*N3208*H3208*IF(A3208&gt;=I3208,1,0)</f>
        <v/>
      </c>
      <c r="R3208" s="46">
        <f>Q3208*INDEX(FmtCansPerPack,MATCH(F3208,FmtName,0))/INDEX(FmtCansPerCase,MATCH(F3208,FmtName,0))</f>
        <v/>
      </c>
      <c r="S3208" s="46">
        <f>R3208*INDEX(FmtCansPerCase,MATCH(F3208,FmtName,0))</f>
        <v/>
      </c>
      <c r="T3208" s="46">
        <f>S3208/INDEX(FmtCansPerPack,MATCH(F3208,FmtName,0))</f>
        <v/>
      </c>
      <c r="U3208" s="47">
        <f>INDEX(ProvOnline,MATCH(G3208,ProvCode,0))*(1+PriceIndex)</f>
        <v/>
      </c>
      <c r="V3208" s="47">
        <f>Q3208*U3208*INDEX(FmtBlendedPriceIdx,MATCH(F3208,FmtName,0))</f>
        <v/>
      </c>
      <c r="W3208" s="47">
        <f>V3208</f>
        <v/>
      </c>
      <c r="X3208" s="47">
        <f>IF(GrossBasis="Wholesale",V3208,W3208)</f>
        <v/>
      </c>
      <c r="Y3208" s="47">
        <f>R3208*INDEX(FmtBlendedCogs,MATCH(F3208,FmtName,0))</f>
        <v/>
      </c>
      <c r="Z3208" s="47">
        <f>X3208-Y3208</f>
        <v/>
      </c>
    </row>
    <row r="3209">
      <c r="A3209" t="n">
        <v>28</v>
      </c>
      <c r="B3209" s="44">
        <f>FiscalStart+(A3209-1)*7</f>
        <v/>
      </c>
      <c r="C3209">
        <f>TEXT(B3209,"mmm yyyy")</f>
        <v/>
      </c>
      <c r="D3209">
        <f>"Q"&amp;(INT((A3209-1)/13)+1)</f>
        <v/>
      </c>
      <c r="E3209" t="inlineStr">
        <is>
          <t>Online</t>
        </is>
      </c>
      <c r="F3209">
        <f>IFERROR(INDEX(ChFormat,MATCH(E3209,ChName,0)),"")</f>
        <v/>
      </c>
      <c r="G3209" t="inlineStr">
        <is>
          <t>BC</t>
        </is>
      </c>
      <c r="H3209">
        <f>IF(A3209&lt;=NWeeks,1,0)</f>
        <v/>
      </c>
      <c r="I3209">
        <f>INDEX(ChLaunch,MATCH(E3209,ChName,0))</f>
        <v/>
      </c>
      <c r="J3209">
        <f>INDEX(ChWeeksFull,MATCH(E3209,ChName,0))</f>
        <v/>
      </c>
      <c r="K3209">
        <f>INDEX(ChRamp,MATCH(E3209,ChName,0))</f>
        <v/>
      </c>
      <c r="L3209" s="45">
        <f>MIN(1,MAX(0,(A3209-I3209+1)*RampSpeed/J3209))</f>
        <v/>
      </c>
      <c r="M3209" s="45">
        <f>IF(A3209&lt;I3209,0,IF(K3209="S-curve",L3209*L3209*(3-2*L3209),L3209))</f>
        <v/>
      </c>
      <c r="N3209" s="45">
        <f>1+(INDEX(SeasonIdx,A3209)-1)*SeasonAmp</f>
        <v/>
      </c>
      <c r="O3209" s="45">
        <f>IFERROR(INDEX(PSPct,MATCH(E3209&amp;"|"&amp;G3209,PSKey,0)),0)</f>
        <v/>
      </c>
      <c r="P3209" s="46" t="n">
        <v>0</v>
      </c>
      <c r="Q3209" s="46">
        <f>INDEX(OnlineUnitsCol,A3209)*O3209*(1+OnlineGrowth)*N3209*H3209*IF(A3209&gt;=I3209,1,0)</f>
        <v/>
      </c>
      <c r="R3209" s="46">
        <f>Q3209*INDEX(FmtCansPerPack,MATCH(F3209,FmtName,0))/INDEX(FmtCansPerCase,MATCH(F3209,FmtName,0))</f>
        <v/>
      </c>
      <c r="S3209" s="46">
        <f>R3209*INDEX(FmtCansPerCase,MATCH(F3209,FmtName,0))</f>
        <v/>
      </c>
      <c r="T3209" s="46">
        <f>S3209/INDEX(FmtCansPerPack,MATCH(F3209,FmtName,0))</f>
        <v/>
      </c>
      <c r="U3209" s="47">
        <f>INDEX(ProvOnline,MATCH(G3209,ProvCode,0))*(1+PriceIndex)</f>
        <v/>
      </c>
      <c r="V3209" s="47">
        <f>Q3209*U3209*INDEX(FmtBlendedPriceIdx,MATCH(F3209,FmtName,0))</f>
        <v/>
      </c>
      <c r="W3209" s="47">
        <f>V3209</f>
        <v/>
      </c>
      <c r="X3209" s="47">
        <f>IF(GrossBasis="Wholesale",V3209,W3209)</f>
        <v/>
      </c>
      <c r="Y3209" s="47">
        <f>R3209*INDEX(FmtBlendedCogs,MATCH(F3209,FmtName,0))</f>
        <v/>
      </c>
      <c r="Z3209" s="47">
        <f>X3209-Y3209</f>
        <v/>
      </c>
    </row>
    <row r="3210">
      <c r="A3210" t="n">
        <v>29</v>
      </c>
      <c r="B3210" s="44">
        <f>FiscalStart+(A3210-1)*7</f>
        <v/>
      </c>
      <c r="C3210">
        <f>TEXT(B3210,"mmm yyyy")</f>
        <v/>
      </c>
      <c r="D3210">
        <f>"Q"&amp;(INT((A3210-1)/13)+1)</f>
        <v/>
      </c>
      <c r="E3210" t="inlineStr">
        <is>
          <t>Online</t>
        </is>
      </c>
      <c r="F3210">
        <f>IFERROR(INDEX(ChFormat,MATCH(E3210,ChName,0)),"")</f>
        <v/>
      </c>
      <c r="G3210" t="inlineStr">
        <is>
          <t>BC</t>
        </is>
      </c>
      <c r="H3210">
        <f>IF(A3210&lt;=NWeeks,1,0)</f>
        <v/>
      </c>
      <c r="I3210">
        <f>INDEX(ChLaunch,MATCH(E3210,ChName,0))</f>
        <v/>
      </c>
      <c r="J3210">
        <f>INDEX(ChWeeksFull,MATCH(E3210,ChName,0))</f>
        <v/>
      </c>
      <c r="K3210">
        <f>INDEX(ChRamp,MATCH(E3210,ChName,0))</f>
        <v/>
      </c>
      <c r="L3210" s="45">
        <f>MIN(1,MAX(0,(A3210-I3210+1)*RampSpeed/J3210))</f>
        <v/>
      </c>
      <c r="M3210" s="45">
        <f>IF(A3210&lt;I3210,0,IF(K3210="S-curve",L3210*L3210*(3-2*L3210),L3210))</f>
        <v/>
      </c>
      <c r="N3210" s="45">
        <f>1+(INDEX(SeasonIdx,A3210)-1)*SeasonAmp</f>
        <v/>
      </c>
      <c r="O3210" s="45">
        <f>IFERROR(INDEX(PSPct,MATCH(E3210&amp;"|"&amp;G3210,PSKey,0)),0)</f>
        <v/>
      </c>
      <c r="P3210" s="46" t="n">
        <v>0</v>
      </c>
      <c r="Q3210" s="46">
        <f>INDEX(OnlineUnitsCol,A3210)*O3210*(1+OnlineGrowth)*N3210*H3210*IF(A3210&gt;=I3210,1,0)</f>
        <v/>
      </c>
      <c r="R3210" s="46">
        <f>Q3210*INDEX(FmtCansPerPack,MATCH(F3210,FmtName,0))/INDEX(FmtCansPerCase,MATCH(F3210,FmtName,0))</f>
        <v/>
      </c>
      <c r="S3210" s="46">
        <f>R3210*INDEX(FmtCansPerCase,MATCH(F3210,FmtName,0))</f>
        <v/>
      </c>
      <c r="T3210" s="46">
        <f>S3210/INDEX(FmtCansPerPack,MATCH(F3210,FmtName,0))</f>
        <v/>
      </c>
      <c r="U3210" s="47">
        <f>INDEX(ProvOnline,MATCH(G3210,ProvCode,0))*(1+PriceIndex)</f>
        <v/>
      </c>
      <c r="V3210" s="47">
        <f>Q3210*U3210*INDEX(FmtBlendedPriceIdx,MATCH(F3210,FmtName,0))</f>
        <v/>
      </c>
      <c r="W3210" s="47">
        <f>V3210</f>
        <v/>
      </c>
      <c r="X3210" s="47">
        <f>IF(GrossBasis="Wholesale",V3210,W3210)</f>
        <v/>
      </c>
      <c r="Y3210" s="47">
        <f>R3210*INDEX(FmtBlendedCogs,MATCH(F3210,FmtName,0))</f>
        <v/>
      </c>
      <c r="Z3210" s="47">
        <f>X3210-Y3210</f>
        <v/>
      </c>
    </row>
    <row r="3211">
      <c r="A3211" t="n">
        <v>30</v>
      </c>
      <c r="B3211" s="44">
        <f>FiscalStart+(A3211-1)*7</f>
        <v/>
      </c>
      <c r="C3211">
        <f>TEXT(B3211,"mmm yyyy")</f>
        <v/>
      </c>
      <c r="D3211">
        <f>"Q"&amp;(INT((A3211-1)/13)+1)</f>
        <v/>
      </c>
      <c r="E3211" t="inlineStr">
        <is>
          <t>Online</t>
        </is>
      </c>
      <c r="F3211">
        <f>IFERROR(INDEX(ChFormat,MATCH(E3211,ChName,0)),"")</f>
        <v/>
      </c>
      <c r="G3211" t="inlineStr">
        <is>
          <t>BC</t>
        </is>
      </c>
      <c r="H3211">
        <f>IF(A3211&lt;=NWeeks,1,0)</f>
        <v/>
      </c>
      <c r="I3211">
        <f>INDEX(ChLaunch,MATCH(E3211,ChName,0))</f>
        <v/>
      </c>
      <c r="J3211">
        <f>INDEX(ChWeeksFull,MATCH(E3211,ChName,0))</f>
        <v/>
      </c>
      <c r="K3211">
        <f>INDEX(ChRamp,MATCH(E3211,ChName,0))</f>
        <v/>
      </c>
      <c r="L3211" s="45">
        <f>MIN(1,MAX(0,(A3211-I3211+1)*RampSpeed/J3211))</f>
        <v/>
      </c>
      <c r="M3211" s="45">
        <f>IF(A3211&lt;I3211,0,IF(K3211="S-curve",L3211*L3211*(3-2*L3211),L3211))</f>
        <v/>
      </c>
      <c r="N3211" s="45">
        <f>1+(INDEX(SeasonIdx,A3211)-1)*SeasonAmp</f>
        <v/>
      </c>
      <c r="O3211" s="45">
        <f>IFERROR(INDEX(PSPct,MATCH(E3211&amp;"|"&amp;G3211,PSKey,0)),0)</f>
        <v/>
      </c>
      <c r="P3211" s="46" t="n">
        <v>0</v>
      </c>
      <c r="Q3211" s="46">
        <f>INDEX(OnlineUnitsCol,A3211)*O3211*(1+OnlineGrowth)*N3211*H3211*IF(A3211&gt;=I3211,1,0)</f>
        <v/>
      </c>
      <c r="R3211" s="46">
        <f>Q3211*INDEX(FmtCansPerPack,MATCH(F3211,FmtName,0))/INDEX(FmtCansPerCase,MATCH(F3211,FmtName,0))</f>
        <v/>
      </c>
      <c r="S3211" s="46">
        <f>R3211*INDEX(FmtCansPerCase,MATCH(F3211,FmtName,0))</f>
        <v/>
      </c>
      <c r="T3211" s="46">
        <f>S3211/INDEX(FmtCansPerPack,MATCH(F3211,FmtName,0))</f>
        <v/>
      </c>
      <c r="U3211" s="47">
        <f>INDEX(ProvOnline,MATCH(G3211,ProvCode,0))*(1+PriceIndex)</f>
        <v/>
      </c>
      <c r="V3211" s="47">
        <f>Q3211*U3211*INDEX(FmtBlendedPriceIdx,MATCH(F3211,FmtName,0))</f>
        <v/>
      </c>
      <c r="W3211" s="47">
        <f>V3211</f>
        <v/>
      </c>
      <c r="X3211" s="47">
        <f>IF(GrossBasis="Wholesale",V3211,W3211)</f>
        <v/>
      </c>
      <c r="Y3211" s="47">
        <f>R3211*INDEX(FmtBlendedCogs,MATCH(F3211,FmtName,0))</f>
        <v/>
      </c>
      <c r="Z3211" s="47">
        <f>X3211-Y3211</f>
        <v/>
      </c>
    </row>
    <row r="3212">
      <c r="A3212" t="n">
        <v>31</v>
      </c>
      <c r="B3212" s="44">
        <f>FiscalStart+(A3212-1)*7</f>
        <v/>
      </c>
      <c r="C3212">
        <f>TEXT(B3212,"mmm yyyy")</f>
        <v/>
      </c>
      <c r="D3212">
        <f>"Q"&amp;(INT((A3212-1)/13)+1)</f>
        <v/>
      </c>
      <c r="E3212" t="inlineStr">
        <is>
          <t>Online</t>
        </is>
      </c>
      <c r="F3212">
        <f>IFERROR(INDEX(ChFormat,MATCH(E3212,ChName,0)),"")</f>
        <v/>
      </c>
      <c r="G3212" t="inlineStr">
        <is>
          <t>BC</t>
        </is>
      </c>
      <c r="H3212">
        <f>IF(A3212&lt;=NWeeks,1,0)</f>
        <v/>
      </c>
      <c r="I3212">
        <f>INDEX(ChLaunch,MATCH(E3212,ChName,0))</f>
        <v/>
      </c>
      <c r="J3212">
        <f>INDEX(ChWeeksFull,MATCH(E3212,ChName,0))</f>
        <v/>
      </c>
      <c r="K3212">
        <f>INDEX(ChRamp,MATCH(E3212,ChName,0))</f>
        <v/>
      </c>
      <c r="L3212" s="45">
        <f>MIN(1,MAX(0,(A3212-I3212+1)*RampSpeed/J3212))</f>
        <v/>
      </c>
      <c r="M3212" s="45">
        <f>IF(A3212&lt;I3212,0,IF(K3212="S-curve",L3212*L3212*(3-2*L3212),L3212))</f>
        <v/>
      </c>
      <c r="N3212" s="45">
        <f>1+(INDEX(SeasonIdx,A3212)-1)*SeasonAmp</f>
        <v/>
      </c>
      <c r="O3212" s="45">
        <f>IFERROR(INDEX(PSPct,MATCH(E3212&amp;"|"&amp;G3212,PSKey,0)),0)</f>
        <v/>
      </c>
      <c r="P3212" s="46" t="n">
        <v>0</v>
      </c>
      <c r="Q3212" s="46">
        <f>INDEX(OnlineUnitsCol,A3212)*O3212*(1+OnlineGrowth)*N3212*H3212*IF(A3212&gt;=I3212,1,0)</f>
        <v/>
      </c>
      <c r="R3212" s="46">
        <f>Q3212*INDEX(FmtCansPerPack,MATCH(F3212,FmtName,0))/INDEX(FmtCansPerCase,MATCH(F3212,FmtName,0))</f>
        <v/>
      </c>
      <c r="S3212" s="46">
        <f>R3212*INDEX(FmtCansPerCase,MATCH(F3212,FmtName,0))</f>
        <v/>
      </c>
      <c r="T3212" s="46">
        <f>S3212/INDEX(FmtCansPerPack,MATCH(F3212,FmtName,0))</f>
        <v/>
      </c>
      <c r="U3212" s="47">
        <f>INDEX(ProvOnline,MATCH(G3212,ProvCode,0))*(1+PriceIndex)</f>
        <v/>
      </c>
      <c r="V3212" s="47">
        <f>Q3212*U3212*INDEX(FmtBlendedPriceIdx,MATCH(F3212,FmtName,0))</f>
        <v/>
      </c>
      <c r="W3212" s="47">
        <f>V3212</f>
        <v/>
      </c>
      <c r="X3212" s="47">
        <f>IF(GrossBasis="Wholesale",V3212,W3212)</f>
        <v/>
      </c>
      <c r="Y3212" s="47">
        <f>R3212*INDEX(FmtBlendedCogs,MATCH(F3212,FmtName,0))</f>
        <v/>
      </c>
      <c r="Z3212" s="47">
        <f>X3212-Y3212</f>
        <v/>
      </c>
    </row>
    <row r="3213">
      <c r="A3213" t="n">
        <v>32</v>
      </c>
      <c r="B3213" s="44">
        <f>FiscalStart+(A3213-1)*7</f>
        <v/>
      </c>
      <c r="C3213">
        <f>TEXT(B3213,"mmm yyyy")</f>
        <v/>
      </c>
      <c r="D3213">
        <f>"Q"&amp;(INT((A3213-1)/13)+1)</f>
        <v/>
      </c>
      <c r="E3213" t="inlineStr">
        <is>
          <t>Online</t>
        </is>
      </c>
      <c r="F3213">
        <f>IFERROR(INDEX(ChFormat,MATCH(E3213,ChName,0)),"")</f>
        <v/>
      </c>
      <c r="G3213" t="inlineStr">
        <is>
          <t>BC</t>
        </is>
      </c>
      <c r="H3213">
        <f>IF(A3213&lt;=NWeeks,1,0)</f>
        <v/>
      </c>
      <c r="I3213">
        <f>INDEX(ChLaunch,MATCH(E3213,ChName,0))</f>
        <v/>
      </c>
      <c r="J3213">
        <f>INDEX(ChWeeksFull,MATCH(E3213,ChName,0))</f>
        <v/>
      </c>
      <c r="K3213">
        <f>INDEX(ChRamp,MATCH(E3213,ChName,0))</f>
        <v/>
      </c>
      <c r="L3213" s="45">
        <f>MIN(1,MAX(0,(A3213-I3213+1)*RampSpeed/J3213))</f>
        <v/>
      </c>
      <c r="M3213" s="45">
        <f>IF(A3213&lt;I3213,0,IF(K3213="S-curve",L3213*L3213*(3-2*L3213),L3213))</f>
        <v/>
      </c>
      <c r="N3213" s="45">
        <f>1+(INDEX(SeasonIdx,A3213)-1)*SeasonAmp</f>
        <v/>
      </c>
      <c r="O3213" s="45">
        <f>IFERROR(INDEX(PSPct,MATCH(E3213&amp;"|"&amp;G3213,PSKey,0)),0)</f>
        <v/>
      </c>
      <c r="P3213" s="46" t="n">
        <v>0</v>
      </c>
      <c r="Q3213" s="46">
        <f>INDEX(OnlineUnitsCol,A3213)*O3213*(1+OnlineGrowth)*N3213*H3213*IF(A3213&gt;=I3213,1,0)</f>
        <v/>
      </c>
      <c r="R3213" s="46">
        <f>Q3213*INDEX(FmtCansPerPack,MATCH(F3213,FmtName,0))/INDEX(FmtCansPerCase,MATCH(F3213,FmtName,0))</f>
        <v/>
      </c>
      <c r="S3213" s="46">
        <f>R3213*INDEX(FmtCansPerCase,MATCH(F3213,FmtName,0))</f>
        <v/>
      </c>
      <c r="T3213" s="46">
        <f>S3213/INDEX(FmtCansPerPack,MATCH(F3213,FmtName,0))</f>
        <v/>
      </c>
      <c r="U3213" s="47">
        <f>INDEX(ProvOnline,MATCH(G3213,ProvCode,0))*(1+PriceIndex)</f>
        <v/>
      </c>
      <c r="V3213" s="47">
        <f>Q3213*U3213*INDEX(FmtBlendedPriceIdx,MATCH(F3213,FmtName,0))</f>
        <v/>
      </c>
      <c r="W3213" s="47">
        <f>V3213</f>
        <v/>
      </c>
      <c r="X3213" s="47">
        <f>IF(GrossBasis="Wholesale",V3213,W3213)</f>
        <v/>
      </c>
      <c r="Y3213" s="47">
        <f>R3213*INDEX(FmtBlendedCogs,MATCH(F3213,FmtName,0))</f>
        <v/>
      </c>
      <c r="Z3213" s="47">
        <f>X3213-Y3213</f>
        <v/>
      </c>
    </row>
    <row r="3214">
      <c r="A3214" t="n">
        <v>33</v>
      </c>
      <c r="B3214" s="44">
        <f>FiscalStart+(A3214-1)*7</f>
        <v/>
      </c>
      <c r="C3214">
        <f>TEXT(B3214,"mmm yyyy")</f>
        <v/>
      </c>
      <c r="D3214">
        <f>"Q"&amp;(INT((A3214-1)/13)+1)</f>
        <v/>
      </c>
      <c r="E3214" t="inlineStr">
        <is>
          <t>Online</t>
        </is>
      </c>
      <c r="F3214">
        <f>IFERROR(INDEX(ChFormat,MATCH(E3214,ChName,0)),"")</f>
        <v/>
      </c>
      <c r="G3214" t="inlineStr">
        <is>
          <t>BC</t>
        </is>
      </c>
      <c r="H3214">
        <f>IF(A3214&lt;=NWeeks,1,0)</f>
        <v/>
      </c>
      <c r="I3214">
        <f>INDEX(ChLaunch,MATCH(E3214,ChName,0))</f>
        <v/>
      </c>
      <c r="J3214">
        <f>INDEX(ChWeeksFull,MATCH(E3214,ChName,0))</f>
        <v/>
      </c>
      <c r="K3214">
        <f>INDEX(ChRamp,MATCH(E3214,ChName,0))</f>
        <v/>
      </c>
      <c r="L3214" s="45">
        <f>MIN(1,MAX(0,(A3214-I3214+1)*RampSpeed/J3214))</f>
        <v/>
      </c>
      <c r="M3214" s="45">
        <f>IF(A3214&lt;I3214,0,IF(K3214="S-curve",L3214*L3214*(3-2*L3214),L3214))</f>
        <v/>
      </c>
      <c r="N3214" s="45">
        <f>1+(INDEX(SeasonIdx,A3214)-1)*SeasonAmp</f>
        <v/>
      </c>
      <c r="O3214" s="45">
        <f>IFERROR(INDEX(PSPct,MATCH(E3214&amp;"|"&amp;G3214,PSKey,0)),0)</f>
        <v/>
      </c>
      <c r="P3214" s="46" t="n">
        <v>0</v>
      </c>
      <c r="Q3214" s="46">
        <f>INDEX(OnlineUnitsCol,A3214)*O3214*(1+OnlineGrowth)*N3214*H3214*IF(A3214&gt;=I3214,1,0)</f>
        <v/>
      </c>
      <c r="R3214" s="46">
        <f>Q3214*INDEX(FmtCansPerPack,MATCH(F3214,FmtName,0))/INDEX(FmtCansPerCase,MATCH(F3214,FmtName,0))</f>
        <v/>
      </c>
      <c r="S3214" s="46">
        <f>R3214*INDEX(FmtCansPerCase,MATCH(F3214,FmtName,0))</f>
        <v/>
      </c>
      <c r="T3214" s="46">
        <f>S3214/INDEX(FmtCansPerPack,MATCH(F3214,FmtName,0))</f>
        <v/>
      </c>
      <c r="U3214" s="47">
        <f>INDEX(ProvOnline,MATCH(G3214,ProvCode,0))*(1+PriceIndex)</f>
        <v/>
      </c>
      <c r="V3214" s="47">
        <f>Q3214*U3214*INDEX(FmtBlendedPriceIdx,MATCH(F3214,FmtName,0))</f>
        <v/>
      </c>
      <c r="W3214" s="47">
        <f>V3214</f>
        <v/>
      </c>
      <c r="X3214" s="47">
        <f>IF(GrossBasis="Wholesale",V3214,W3214)</f>
        <v/>
      </c>
      <c r="Y3214" s="47">
        <f>R3214*INDEX(FmtBlendedCogs,MATCH(F3214,FmtName,0))</f>
        <v/>
      </c>
      <c r="Z3214" s="47">
        <f>X3214-Y3214</f>
        <v/>
      </c>
    </row>
    <row r="3215">
      <c r="A3215" t="n">
        <v>34</v>
      </c>
      <c r="B3215" s="44">
        <f>FiscalStart+(A3215-1)*7</f>
        <v/>
      </c>
      <c r="C3215">
        <f>TEXT(B3215,"mmm yyyy")</f>
        <v/>
      </c>
      <c r="D3215">
        <f>"Q"&amp;(INT((A3215-1)/13)+1)</f>
        <v/>
      </c>
      <c r="E3215" t="inlineStr">
        <is>
          <t>Online</t>
        </is>
      </c>
      <c r="F3215">
        <f>IFERROR(INDEX(ChFormat,MATCH(E3215,ChName,0)),"")</f>
        <v/>
      </c>
      <c r="G3215" t="inlineStr">
        <is>
          <t>BC</t>
        </is>
      </c>
      <c r="H3215">
        <f>IF(A3215&lt;=NWeeks,1,0)</f>
        <v/>
      </c>
      <c r="I3215">
        <f>INDEX(ChLaunch,MATCH(E3215,ChName,0))</f>
        <v/>
      </c>
      <c r="J3215">
        <f>INDEX(ChWeeksFull,MATCH(E3215,ChName,0))</f>
        <v/>
      </c>
      <c r="K3215">
        <f>INDEX(ChRamp,MATCH(E3215,ChName,0))</f>
        <v/>
      </c>
      <c r="L3215" s="45">
        <f>MIN(1,MAX(0,(A3215-I3215+1)*RampSpeed/J3215))</f>
        <v/>
      </c>
      <c r="M3215" s="45">
        <f>IF(A3215&lt;I3215,0,IF(K3215="S-curve",L3215*L3215*(3-2*L3215),L3215))</f>
        <v/>
      </c>
      <c r="N3215" s="45">
        <f>1+(INDEX(SeasonIdx,A3215)-1)*SeasonAmp</f>
        <v/>
      </c>
      <c r="O3215" s="45">
        <f>IFERROR(INDEX(PSPct,MATCH(E3215&amp;"|"&amp;G3215,PSKey,0)),0)</f>
        <v/>
      </c>
      <c r="P3215" s="46" t="n">
        <v>0</v>
      </c>
      <c r="Q3215" s="46">
        <f>INDEX(OnlineUnitsCol,A3215)*O3215*(1+OnlineGrowth)*N3215*H3215*IF(A3215&gt;=I3215,1,0)</f>
        <v/>
      </c>
      <c r="R3215" s="46">
        <f>Q3215*INDEX(FmtCansPerPack,MATCH(F3215,FmtName,0))/INDEX(FmtCansPerCase,MATCH(F3215,FmtName,0))</f>
        <v/>
      </c>
      <c r="S3215" s="46">
        <f>R3215*INDEX(FmtCansPerCase,MATCH(F3215,FmtName,0))</f>
        <v/>
      </c>
      <c r="T3215" s="46">
        <f>S3215/INDEX(FmtCansPerPack,MATCH(F3215,FmtName,0))</f>
        <v/>
      </c>
      <c r="U3215" s="47">
        <f>INDEX(ProvOnline,MATCH(G3215,ProvCode,0))*(1+PriceIndex)</f>
        <v/>
      </c>
      <c r="V3215" s="47">
        <f>Q3215*U3215*INDEX(FmtBlendedPriceIdx,MATCH(F3215,FmtName,0))</f>
        <v/>
      </c>
      <c r="W3215" s="47">
        <f>V3215</f>
        <v/>
      </c>
      <c r="X3215" s="47">
        <f>IF(GrossBasis="Wholesale",V3215,W3215)</f>
        <v/>
      </c>
      <c r="Y3215" s="47">
        <f>R3215*INDEX(FmtBlendedCogs,MATCH(F3215,FmtName,0))</f>
        <v/>
      </c>
      <c r="Z3215" s="47">
        <f>X3215-Y3215</f>
        <v/>
      </c>
    </row>
    <row r="3216">
      <c r="A3216" t="n">
        <v>35</v>
      </c>
      <c r="B3216" s="44">
        <f>FiscalStart+(A3216-1)*7</f>
        <v/>
      </c>
      <c r="C3216">
        <f>TEXT(B3216,"mmm yyyy")</f>
        <v/>
      </c>
      <c r="D3216">
        <f>"Q"&amp;(INT((A3216-1)/13)+1)</f>
        <v/>
      </c>
      <c r="E3216" t="inlineStr">
        <is>
          <t>Online</t>
        </is>
      </c>
      <c r="F3216">
        <f>IFERROR(INDEX(ChFormat,MATCH(E3216,ChName,0)),"")</f>
        <v/>
      </c>
      <c r="G3216" t="inlineStr">
        <is>
          <t>BC</t>
        </is>
      </c>
      <c r="H3216">
        <f>IF(A3216&lt;=NWeeks,1,0)</f>
        <v/>
      </c>
      <c r="I3216">
        <f>INDEX(ChLaunch,MATCH(E3216,ChName,0))</f>
        <v/>
      </c>
      <c r="J3216">
        <f>INDEX(ChWeeksFull,MATCH(E3216,ChName,0))</f>
        <v/>
      </c>
      <c r="K3216">
        <f>INDEX(ChRamp,MATCH(E3216,ChName,0))</f>
        <v/>
      </c>
      <c r="L3216" s="45">
        <f>MIN(1,MAX(0,(A3216-I3216+1)*RampSpeed/J3216))</f>
        <v/>
      </c>
      <c r="M3216" s="45">
        <f>IF(A3216&lt;I3216,0,IF(K3216="S-curve",L3216*L3216*(3-2*L3216),L3216))</f>
        <v/>
      </c>
      <c r="N3216" s="45">
        <f>1+(INDEX(SeasonIdx,A3216)-1)*SeasonAmp</f>
        <v/>
      </c>
      <c r="O3216" s="45">
        <f>IFERROR(INDEX(PSPct,MATCH(E3216&amp;"|"&amp;G3216,PSKey,0)),0)</f>
        <v/>
      </c>
      <c r="P3216" s="46" t="n">
        <v>0</v>
      </c>
      <c r="Q3216" s="46">
        <f>INDEX(OnlineUnitsCol,A3216)*O3216*(1+OnlineGrowth)*N3216*H3216*IF(A3216&gt;=I3216,1,0)</f>
        <v/>
      </c>
      <c r="R3216" s="46">
        <f>Q3216*INDEX(FmtCansPerPack,MATCH(F3216,FmtName,0))/INDEX(FmtCansPerCase,MATCH(F3216,FmtName,0))</f>
        <v/>
      </c>
      <c r="S3216" s="46">
        <f>R3216*INDEX(FmtCansPerCase,MATCH(F3216,FmtName,0))</f>
        <v/>
      </c>
      <c r="T3216" s="46">
        <f>S3216/INDEX(FmtCansPerPack,MATCH(F3216,FmtName,0))</f>
        <v/>
      </c>
      <c r="U3216" s="47">
        <f>INDEX(ProvOnline,MATCH(G3216,ProvCode,0))*(1+PriceIndex)</f>
        <v/>
      </c>
      <c r="V3216" s="47">
        <f>Q3216*U3216*INDEX(FmtBlendedPriceIdx,MATCH(F3216,FmtName,0))</f>
        <v/>
      </c>
      <c r="W3216" s="47">
        <f>V3216</f>
        <v/>
      </c>
      <c r="X3216" s="47">
        <f>IF(GrossBasis="Wholesale",V3216,W3216)</f>
        <v/>
      </c>
      <c r="Y3216" s="47">
        <f>R3216*INDEX(FmtBlendedCogs,MATCH(F3216,FmtName,0))</f>
        <v/>
      </c>
      <c r="Z3216" s="47">
        <f>X3216-Y3216</f>
        <v/>
      </c>
    </row>
    <row r="3217">
      <c r="A3217" t="n">
        <v>36</v>
      </c>
      <c r="B3217" s="44">
        <f>FiscalStart+(A3217-1)*7</f>
        <v/>
      </c>
      <c r="C3217">
        <f>TEXT(B3217,"mmm yyyy")</f>
        <v/>
      </c>
      <c r="D3217">
        <f>"Q"&amp;(INT((A3217-1)/13)+1)</f>
        <v/>
      </c>
      <c r="E3217" t="inlineStr">
        <is>
          <t>Online</t>
        </is>
      </c>
      <c r="F3217">
        <f>IFERROR(INDEX(ChFormat,MATCH(E3217,ChName,0)),"")</f>
        <v/>
      </c>
      <c r="G3217" t="inlineStr">
        <is>
          <t>BC</t>
        </is>
      </c>
      <c r="H3217">
        <f>IF(A3217&lt;=NWeeks,1,0)</f>
        <v/>
      </c>
      <c r="I3217">
        <f>INDEX(ChLaunch,MATCH(E3217,ChName,0))</f>
        <v/>
      </c>
      <c r="J3217">
        <f>INDEX(ChWeeksFull,MATCH(E3217,ChName,0))</f>
        <v/>
      </c>
      <c r="K3217">
        <f>INDEX(ChRamp,MATCH(E3217,ChName,0))</f>
        <v/>
      </c>
      <c r="L3217" s="45">
        <f>MIN(1,MAX(0,(A3217-I3217+1)*RampSpeed/J3217))</f>
        <v/>
      </c>
      <c r="M3217" s="45">
        <f>IF(A3217&lt;I3217,0,IF(K3217="S-curve",L3217*L3217*(3-2*L3217),L3217))</f>
        <v/>
      </c>
      <c r="N3217" s="45">
        <f>1+(INDEX(SeasonIdx,A3217)-1)*SeasonAmp</f>
        <v/>
      </c>
      <c r="O3217" s="45">
        <f>IFERROR(INDEX(PSPct,MATCH(E3217&amp;"|"&amp;G3217,PSKey,0)),0)</f>
        <v/>
      </c>
      <c r="P3217" s="46" t="n">
        <v>0</v>
      </c>
      <c r="Q3217" s="46">
        <f>INDEX(OnlineUnitsCol,A3217)*O3217*(1+OnlineGrowth)*N3217*H3217*IF(A3217&gt;=I3217,1,0)</f>
        <v/>
      </c>
      <c r="R3217" s="46">
        <f>Q3217*INDEX(FmtCansPerPack,MATCH(F3217,FmtName,0))/INDEX(FmtCansPerCase,MATCH(F3217,FmtName,0))</f>
        <v/>
      </c>
      <c r="S3217" s="46">
        <f>R3217*INDEX(FmtCansPerCase,MATCH(F3217,FmtName,0))</f>
        <v/>
      </c>
      <c r="T3217" s="46">
        <f>S3217/INDEX(FmtCansPerPack,MATCH(F3217,FmtName,0))</f>
        <v/>
      </c>
      <c r="U3217" s="47">
        <f>INDEX(ProvOnline,MATCH(G3217,ProvCode,0))*(1+PriceIndex)</f>
        <v/>
      </c>
      <c r="V3217" s="47">
        <f>Q3217*U3217*INDEX(FmtBlendedPriceIdx,MATCH(F3217,FmtName,0))</f>
        <v/>
      </c>
      <c r="W3217" s="47">
        <f>V3217</f>
        <v/>
      </c>
      <c r="X3217" s="47">
        <f>IF(GrossBasis="Wholesale",V3217,W3217)</f>
        <v/>
      </c>
      <c r="Y3217" s="47">
        <f>R3217*INDEX(FmtBlendedCogs,MATCH(F3217,FmtName,0))</f>
        <v/>
      </c>
      <c r="Z3217" s="47">
        <f>X3217-Y3217</f>
        <v/>
      </c>
    </row>
    <row r="3218">
      <c r="A3218" t="n">
        <v>37</v>
      </c>
      <c r="B3218" s="44">
        <f>FiscalStart+(A3218-1)*7</f>
        <v/>
      </c>
      <c r="C3218">
        <f>TEXT(B3218,"mmm yyyy")</f>
        <v/>
      </c>
      <c r="D3218">
        <f>"Q"&amp;(INT((A3218-1)/13)+1)</f>
        <v/>
      </c>
      <c r="E3218" t="inlineStr">
        <is>
          <t>Online</t>
        </is>
      </c>
      <c r="F3218">
        <f>IFERROR(INDEX(ChFormat,MATCH(E3218,ChName,0)),"")</f>
        <v/>
      </c>
      <c r="G3218" t="inlineStr">
        <is>
          <t>BC</t>
        </is>
      </c>
      <c r="H3218">
        <f>IF(A3218&lt;=NWeeks,1,0)</f>
        <v/>
      </c>
      <c r="I3218">
        <f>INDEX(ChLaunch,MATCH(E3218,ChName,0))</f>
        <v/>
      </c>
      <c r="J3218">
        <f>INDEX(ChWeeksFull,MATCH(E3218,ChName,0))</f>
        <v/>
      </c>
      <c r="K3218">
        <f>INDEX(ChRamp,MATCH(E3218,ChName,0))</f>
        <v/>
      </c>
      <c r="L3218" s="45">
        <f>MIN(1,MAX(0,(A3218-I3218+1)*RampSpeed/J3218))</f>
        <v/>
      </c>
      <c r="M3218" s="45">
        <f>IF(A3218&lt;I3218,0,IF(K3218="S-curve",L3218*L3218*(3-2*L3218),L3218))</f>
        <v/>
      </c>
      <c r="N3218" s="45">
        <f>1+(INDEX(SeasonIdx,A3218)-1)*SeasonAmp</f>
        <v/>
      </c>
      <c r="O3218" s="45">
        <f>IFERROR(INDEX(PSPct,MATCH(E3218&amp;"|"&amp;G3218,PSKey,0)),0)</f>
        <v/>
      </c>
      <c r="P3218" s="46" t="n">
        <v>0</v>
      </c>
      <c r="Q3218" s="46">
        <f>INDEX(OnlineUnitsCol,A3218)*O3218*(1+OnlineGrowth)*N3218*H3218*IF(A3218&gt;=I3218,1,0)</f>
        <v/>
      </c>
      <c r="R3218" s="46">
        <f>Q3218*INDEX(FmtCansPerPack,MATCH(F3218,FmtName,0))/INDEX(FmtCansPerCase,MATCH(F3218,FmtName,0))</f>
        <v/>
      </c>
      <c r="S3218" s="46">
        <f>R3218*INDEX(FmtCansPerCase,MATCH(F3218,FmtName,0))</f>
        <v/>
      </c>
      <c r="T3218" s="46">
        <f>S3218/INDEX(FmtCansPerPack,MATCH(F3218,FmtName,0))</f>
        <v/>
      </c>
      <c r="U3218" s="47">
        <f>INDEX(ProvOnline,MATCH(G3218,ProvCode,0))*(1+PriceIndex)</f>
        <v/>
      </c>
      <c r="V3218" s="47">
        <f>Q3218*U3218*INDEX(FmtBlendedPriceIdx,MATCH(F3218,FmtName,0))</f>
        <v/>
      </c>
      <c r="W3218" s="47">
        <f>V3218</f>
        <v/>
      </c>
      <c r="X3218" s="47">
        <f>IF(GrossBasis="Wholesale",V3218,W3218)</f>
        <v/>
      </c>
      <c r="Y3218" s="47">
        <f>R3218*INDEX(FmtBlendedCogs,MATCH(F3218,FmtName,0))</f>
        <v/>
      </c>
      <c r="Z3218" s="47">
        <f>X3218-Y3218</f>
        <v/>
      </c>
    </row>
    <row r="3219">
      <c r="A3219" t="n">
        <v>38</v>
      </c>
      <c r="B3219" s="44">
        <f>FiscalStart+(A3219-1)*7</f>
        <v/>
      </c>
      <c r="C3219">
        <f>TEXT(B3219,"mmm yyyy")</f>
        <v/>
      </c>
      <c r="D3219">
        <f>"Q"&amp;(INT((A3219-1)/13)+1)</f>
        <v/>
      </c>
      <c r="E3219" t="inlineStr">
        <is>
          <t>Online</t>
        </is>
      </c>
      <c r="F3219">
        <f>IFERROR(INDEX(ChFormat,MATCH(E3219,ChName,0)),"")</f>
        <v/>
      </c>
      <c r="G3219" t="inlineStr">
        <is>
          <t>BC</t>
        </is>
      </c>
      <c r="H3219">
        <f>IF(A3219&lt;=NWeeks,1,0)</f>
        <v/>
      </c>
      <c r="I3219">
        <f>INDEX(ChLaunch,MATCH(E3219,ChName,0))</f>
        <v/>
      </c>
      <c r="J3219">
        <f>INDEX(ChWeeksFull,MATCH(E3219,ChName,0))</f>
        <v/>
      </c>
      <c r="K3219">
        <f>INDEX(ChRamp,MATCH(E3219,ChName,0))</f>
        <v/>
      </c>
      <c r="L3219" s="45">
        <f>MIN(1,MAX(0,(A3219-I3219+1)*RampSpeed/J3219))</f>
        <v/>
      </c>
      <c r="M3219" s="45">
        <f>IF(A3219&lt;I3219,0,IF(K3219="S-curve",L3219*L3219*(3-2*L3219),L3219))</f>
        <v/>
      </c>
      <c r="N3219" s="45">
        <f>1+(INDEX(SeasonIdx,A3219)-1)*SeasonAmp</f>
        <v/>
      </c>
      <c r="O3219" s="45">
        <f>IFERROR(INDEX(PSPct,MATCH(E3219&amp;"|"&amp;G3219,PSKey,0)),0)</f>
        <v/>
      </c>
      <c r="P3219" s="46" t="n">
        <v>0</v>
      </c>
      <c r="Q3219" s="46">
        <f>INDEX(OnlineUnitsCol,A3219)*O3219*(1+OnlineGrowth)*N3219*H3219*IF(A3219&gt;=I3219,1,0)</f>
        <v/>
      </c>
      <c r="R3219" s="46">
        <f>Q3219*INDEX(FmtCansPerPack,MATCH(F3219,FmtName,0))/INDEX(FmtCansPerCase,MATCH(F3219,FmtName,0))</f>
        <v/>
      </c>
      <c r="S3219" s="46">
        <f>R3219*INDEX(FmtCansPerCase,MATCH(F3219,FmtName,0))</f>
        <v/>
      </c>
      <c r="T3219" s="46">
        <f>S3219/INDEX(FmtCansPerPack,MATCH(F3219,FmtName,0))</f>
        <v/>
      </c>
      <c r="U3219" s="47">
        <f>INDEX(ProvOnline,MATCH(G3219,ProvCode,0))*(1+PriceIndex)</f>
        <v/>
      </c>
      <c r="V3219" s="47">
        <f>Q3219*U3219*INDEX(FmtBlendedPriceIdx,MATCH(F3219,FmtName,0))</f>
        <v/>
      </c>
      <c r="W3219" s="47">
        <f>V3219</f>
        <v/>
      </c>
      <c r="X3219" s="47">
        <f>IF(GrossBasis="Wholesale",V3219,W3219)</f>
        <v/>
      </c>
      <c r="Y3219" s="47">
        <f>R3219*INDEX(FmtBlendedCogs,MATCH(F3219,FmtName,0))</f>
        <v/>
      </c>
      <c r="Z3219" s="47">
        <f>X3219-Y3219</f>
        <v/>
      </c>
    </row>
    <row r="3220">
      <c r="A3220" t="n">
        <v>39</v>
      </c>
      <c r="B3220" s="44">
        <f>FiscalStart+(A3220-1)*7</f>
        <v/>
      </c>
      <c r="C3220">
        <f>TEXT(B3220,"mmm yyyy")</f>
        <v/>
      </c>
      <c r="D3220">
        <f>"Q"&amp;(INT((A3220-1)/13)+1)</f>
        <v/>
      </c>
      <c r="E3220" t="inlineStr">
        <is>
          <t>Online</t>
        </is>
      </c>
      <c r="F3220">
        <f>IFERROR(INDEX(ChFormat,MATCH(E3220,ChName,0)),"")</f>
        <v/>
      </c>
      <c r="G3220" t="inlineStr">
        <is>
          <t>BC</t>
        </is>
      </c>
      <c r="H3220">
        <f>IF(A3220&lt;=NWeeks,1,0)</f>
        <v/>
      </c>
      <c r="I3220">
        <f>INDEX(ChLaunch,MATCH(E3220,ChName,0))</f>
        <v/>
      </c>
      <c r="J3220">
        <f>INDEX(ChWeeksFull,MATCH(E3220,ChName,0))</f>
        <v/>
      </c>
      <c r="K3220">
        <f>INDEX(ChRamp,MATCH(E3220,ChName,0))</f>
        <v/>
      </c>
      <c r="L3220" s="45">
        <f>MIN(1,MAX(0,(A3220-I3220+1)*RampSpeed/J3220))</f>
        <v/>
      </c>
      <c r="M3220" s="45">
        <f>IF(A3220&lt;I3220,0,IF(K3220="S-curve",L3220*L3220*(3-2*L3220),L3220))</f>
        <v/>
      </c>
      <c r="N3220" s="45">
        <f>1+(INDEX(SeasonIdx,A3220)-1)*SeasonAmp</f>
        <v/>
      </c>
      <c r="O3220" s="45">
        <f>IFERROR(INDEX(PSPct,MATCH(E3220&amp;"|"&amp;G3220,PSKey,0)),0)</f>
        <v/>
      </c>
      <c r="P3220" s="46" t="n">
        <v>0</v>
      </c>
      <c r="Q3220" s="46">
        <f>INDEX(OnlineUnitsCol,A3220)*O3220*(1+OnlineGrowth)*N3220*H3220*IF(A3220&gt;=I3220,1,0)</f>
        <v/>
      </c>
      <c r="R3220" s="46">
        <f>Q3220*INDEX(FmtCansPerPack,MATCH(F3220,FmtName,0))/INDEX(FmtCansPerCase,MATCH(F3220,FmtName,0))</f>
        <v/>
      </c>
      <c r="S3220" s="46">
        <f>R3220*INDEX(FmtCansPerCase,MATCH(F3220,FmtName,0))</f>
        <v/>
      </c>
      <c r="T3220" s="46">
        <f>S3220/INDEX(FmtCansPerPack,MATCH(F3220,FmtName,0))</f>
        <v/>
      </c>
      <c r="U3220" s="47">
        <f>INDEX(ProvOnline,MATCH(G3220,ProvCode,0))*(1+PriceIndex)</f>
        <v/>
      </c>
      <c r="V3220" s="47">
        <f>Q3220*U3220*INDEX(FmtBlendedPriceIdx,MATCH(F3220,FmtName,0))</f>
        <v/>
      </c>
      <c r="W3220" s="47">
        <f>V3220</f>
        <v/>
      </c>
      <c r="X3220" s="47">
        <f>IF(GrossBasis="Wholesale",V3220,W3220)</f>
        <v/>
      </c>
      <c r="Y3220" s="47">
        <f>R3220*INDEX(FmtBlendedCogs,MATCH(F3220,FmtName,0))</f>
        <v/>
      </c>
      <c r="Z3220" s="47">
        <f>X3220-Y3220</f>
        <v/>
      </c>
    </row>
    <row r="3221">
      <c r="A3221" t="n">
        <v>40</v>
      </c>
      <c r="B3221" s="44">
        <f>FiscalStart+(A3221-1)*7</f>
        <v/>
      </c>
      <c r="C3221">
        <f>TEXT(B3221,"mmm yyyy")</f>
        <v/>
      </c>
      <c r="D3221">
        <f>"Q"&amp;(INT((A3221-1)/13)+1)</f>
        <v/>
      </c>
      <c r="E3221" t="inlineStr">
        <is>
          <t>Online</t>
        </is>
      </c>
      <c r="F3221">
        <f>IFERROR(INDEX(ChFormat,MATCH(E3221,ChName,0)),"")</f>
        <v/>
      </c>
      <c r="G3221" t="inlineStr">
        <is>
          <t>BC</t>
        </is>
      </c>
      <c r="H3221">
        <f>IF(A3221&lt;=NWeeks,1,0)</f>
        <v/>
      </c>
      <c r="I3221">
        <f>INDEX(ChLaunch,MATCH(E3221,ChName,0))</f>
        <v/>
      </c>
      <c r="J3221">
        <f>INDEX(ChWeeksFull,MATCH(E3221,ChName,0))</f>
        <v/>
      </c>
      <c r="K3221">
        <f>INDEX(ChRamp,MATCH(E3221,ChName,0))</f>
        <v/>
      </c>
      <c r="L3221" s="45">
        <f>MIN(1,MAX(0,(A3221-I3221+1)*RampSpeed/J3221))</f>
        <v/>
      </c>
      <c r="M3221" s="45">
        <f>IF(A3221&lt;I3221,0,IF(K3221="S-curve",L3221*L3221*(3-2*L3221),L3221))</f>
        <v/>
      </c>
      <c r="N3221" s="45">
        <f>1+(INDEX(SeasonIdx,A3221)-1)*SeasonAmp</f>
        <v/>
      </c>
      <c r="O3221" s="45">
        <f>IFERROR(INDEX(PSPct,MATCH(E3221&amp;"|"&amp;G3221,PSKey,0)),0)</f>
        <v/>
      </c>
      <c r="P3221" s="46" t="n">
        <v>0</v>
      </c>
      <c r="Q3221" s="46">
        <f>INDEX(OnlineUnitsCol,A3221)*O3221*(1+OnlineGrowth)*N3221*H3221*IF(A3221&gt;=I3221,1,0)</f>
        <v/>
      </c>
      <c r="R3221" s="46">
        <f>Q3221*INDEX(FmtCansPerPack,MATCH(F3221,FmtName,0))/INDEX(FmtCansPerCase,MATCH(F3221,FmtName,0))</f>
        <v/>
      </c>
      <c r="S3221" s="46">
        <f>R3221*INDEX(FmtCansPerCase,MATCH(F3221,FmtName,0))</f>
        <v/>
      </c>
      <c r="T3221" s="46">
        <f>S3221/INDEX(FmtCansPerPack,MATCH(F3221,FmtName,0))</f>
        <v/>
      </c>
      <c r="U3221" s="47">
        <f>INDEX(ProvOnline,MATCH(G3221,ProvCode,0))*(1+PriceIndex)</f>
        <v/>
      </c>
      <c r="V3221" s="47">
        <f>Q3221*U3221*INDEX(FmtBlendedPriceIdx,MATCH(F3221,FmtName,0))</f>
        <v/>
      </c>
      <c r="W3221" s="47">
        <f>V3221</f>
        <v/>
      </c>
      <c r="X3221" s="47">
        <f>IF(GrossBasis="Wholesale",V3221,W3221)</f>
        <v/>
      </c>
      <c r="Y3221" s="47">
        <f>R3221*INDEX(FmtBlendedCogs,MATCH(F3221,FmtName,0))</f>
        <v/>
      </c>
      <c r="Z3221" s="47">
        <f>X3221-Y3221</f>
        <v/>
      </c>
    </row>
    <row r="3222">
      <c r="A3222" t="n">
        <v>41</v>
      </c>
      <c r="B3222" s="44">
        <f>FiscalStart+(A3222-1)*7</f>
        <v/>
      </c>
      <c r="C3222">
        <f>TEXT(B3222,"mmm yyyy")</f>
        <v/>
      </c>
      <c r="D3222">
        <f>"Q"&amp;(INT((A3222-1)/13)+1)</f>
        <v/>
      </c>
      <c r="E3222" t="inlineStr">
        <is>
          <t>Online</t>
        </is>
      </c>
      <c r="F3222">
        <f>IFERROR(INDEX(ChFormat,MATCH(E3222,ChName,0)),"")</f>
        <v/>
      </c>
      <c r="G3222" t="inlineStr">
        <is>
          <t>BC</t>
        </is>
      </c>
      <c r="H3222">
        <f>IF(A3222&lt;=NWeeks,1,0)</f>
        <v/>
      </c>
      <c r="I3222">
        <f>INDEX(ChLaunch,MATCH(E3222,ChName,0))</f>
        <v/>
      </c>
      <c r="J3222">
        <f>INDEX(ChWeeksFull,MATCH(E3222,ChName,0))</f>
        <v/>
      </c>
      <c r="K3222">
        <f>INDEX(ChRamp,MATCH(E3222,ChName,0))</f>
        <v/>
      </c>
      <c r="L3222" s="45">
        <f>MIN(1,MAX(0,(A3222-I3222+1)*RampSpeed/J3222))</f>
        <v/>
      </c>
      <c r="M3222" s="45">
        <f>IF(A3222&lt;I3222,0,IF(K3222="S-curve",L3222*L3222*(3-2*L3222),L3222))</f>
        <v/>
      </c>
      <c r="N3222" s="45">
        <f>1+(INDEX(SeasonIdx,A3222)-1)*SeasonAmp</f>
        <v/>
      </c>
      <c r="O3222" s="45">
        <f>IFERROR(INDEX(PSPct,MATCH(E3222&amp;"|"&amp;G3222,PSKey,0)),0)</f>
        <v/>
      </c>
      <c r="P3222" s="46" t="n">
        <v>0</v>
      </c>
      <c r="Q3222" s="46">
        <f>INDEX(OnlineUnitsCol,A3222)*O3222*(1+OnlineGrowth)*N3222*H3222*IF(A3222&gt;=I3222,1,0)</f>
        <v/>
      </c>
      <c r="R3222" s="46">
        <f>Q3222*INDEX(FmtCansPerPack,MATCH(F3222,FmtName,0))/INDEX(FmtCansPerCase,MATCH(F3222,FmtName,0))</f>
        <v/>
      </c>
      <c r="S3222" s="46">
        <f>R3222*INDEX(FmtCansPerCase,MATCH(F3222,FmtName,0))</f>
        <v/>
      </c>
      <c r="T3222" s="46">
        <f>S3222/INDEX(FmtCansPerPack,MATCH(F3222,FmtName,0))</f>
        <v/>
      </c>
      <c r="U3222" s="47">
        <f>INDEX(ProvOnline,MATCH(G3222,ProvCode,0))*(1+PriceIndex)</f>
        <v/>
      </c>
      <c r="V3222" s="47">
        <f>Q3222*U3222*INDEX(FmtBlendedPriceIdx,MATCH(F3222,FmtName,0))</f>
        <v/>
      </c>
      <c r="W3222" s="47">
        <f>V3222</f>
        <v/>
      </c>
      <c r="X3222" s="47">
        <f>IF(GrossBasis="Wholesale",V3222,W3222)</f>
        <v/>
      </c>
      <c r="Y3222" s="47">
        <f>R3222*INDEX(FmtBlendedCogs,MATCH(F3222,FmtName,0))</f>
        <v/>
      </c>
      <c r="Z3222" s="47">
        <f>X3222-Y3222</f>
        <v/>
      </c>
    </row>
    <row r="3223">
      <c r="A3223" t="n">
        <v>42</v>
      </c>
      <c r="B3223" s="44">
        <f>FiscalStart+(A3223-1)*7</f>
        <v/>
      </c>
      <c r="C3223">
        <f>TEXT(B3223,"mmm yyyy")</f>
        <v/>
      </c>
      <c r="D3223">
        <f>"Q"&amp;(INT((A3223-1)/13)+1)</f>
        <v/>
      </c>
      <c r="E3223" t="inlineStr">
        <is>
          <t>Online</t>
        </is>
      </c>
      <c r="F3223">
        <f>IFERROR(INDEX(ChFormat,MATCH(E3223,ChName,0)),"")</f>
        <v/>
      </c>
      <c r="G3223" t="inlineStr">
        <is>
          <t>BC</t>
        </is>
      </c>
      <c r="H3223">
        <f>IF(A3223&lt;=NWeeks,1,0)</f>
        <v/>
      </c>
      <c r="I3223">
        <f>INDEX(ChLaunch,MATCH(E3223,ChName,0))</f>
        <v/>
      </c>
      <c r="J3223">
        <f>INDEX(ChWeeksFull,MATCH(E3223,ChName,0))</f>
        <v/>
      </c>
      <c r="K3223">
        <f>INDEX(ChRamp,MATCH(E3223,ChName,0))</f>
        <v/>
      </c>
      <c r="L3223" s="45">
        <f>MIN(1,MAX(0,(A3223-I3223+1)*RampSpeed/J3223))</f>
        <v/>
      </c>
      <c r="M3223" s="45">
        <f>IF(A3223&lt;I3223,0,IF(K3223="S-curve",L3223*L3223*(3-2*L3223),L3223))</f>
        <v/>
      </c>
      <c r="N3223" s="45">
        <f>1+(INDEX(SeasonIdx,A3223)-1)*SeasonAmp</f>
        <v/>
      </c>
      <c r="O3223" s="45">
        <f>IFERROR(INDEX(PSPct,MATCH(E3223&amp;"|"&amp;G3223,PSKey,0)),0)</f>
        <v/>
      </c>
      <c r="P3223" s="46" t="n">
        <v>0</v>
      </c>
      <c r="Q3223" s="46">
        <f>INDEX(OnlineUnitsCol,A3223)*O3223*(1+OnlineGrowth)*N3223*H3223*IF(A3223&gt;=I3223,1,0)</f>
        <v/>
      </c>
      <c r="R3223" s="46">
        <f>Q3223*INDEX(FmtCansPerPack,MATCH(F3223,FmtName,0))/INDEX(FmtCansPerCase,MATCH(F3223,FmtName,0))</f>
        <v/>
      </c>
      <c r="S3223" s="46">
        <f>R3223*INDEX(FmtCansPerCase,MATCH(F3223,FmtName,0))</f>
        <v/>
      </c>
      <c r="T3223" s="46">
        <f>S3223/INDEX(FmtCansPerPack,MATCH(F3223,FmtName,0))</f>
        <v/>
      </c>
      <c r="U3223" s="47">
        <f>INDEX(ProvOnline,MATCH(G3223,ProvCode,0))*(1+PriceIndex)</f>
        <v/>
      </c>
      <c r="V3223" s="47">
        <f>Q3223*U3223*INDEX(FmtBlendedPriceIdx,MATCH(F3223,FmtName,0))</f>
        <v/>
      </c>
      <c r="W3223" s="47">
        <f>V3223</f>
        <v/>
      </c>
      <c r="X3223" s="47">
        <f>IF(GrossBasis="Wholesale",V3223,W3223)</f>
        <v/>
      </c>
      <c r="Y3223" s="47">
        <f>R3223*INDEX(FmtBlendedCogs,MATCH(F3223,FmtName,0))</f>
        <v/>
      </c>
      <c r="Z3223" s="47">
        <f>X3223-Y3223</f>
        <v/>
      </c>
    </row>
    <row r="3224">
      <c r="A3224" t="n">
        <v>43</v>
      </c>
      <c r="B3224" s="44">
        <f>FiscalStart+(A3224-1)*7</f>
        <v/>
      </c>
      <c r="C3224">
        <f>TEXT(B3224,"mmm yyyy")</f>
        <v/>
      </c>
      <c r="D3224">
        <f>"Q"&amp;(INT((A3224-1)/13)+1)</f>
        <v/>
      </c>
      <c r="E3224" t="inlineStr">
        <is>
          <t>Online</t>
        </is>
      </c>
      <c r="F3224">
        <f>IFERROR(INDEX(ChFormat,MATCH(E3224,ChName,0)),"")</f>
        <v/>
      </c>
      <c r="G3224" t="inlineStr">
        <is>
          <t>BC</t>
        </is>
      </c>
      <c r="H3224">
        <f>IF(A3224&lt;=NWeeks,1,0)</f>
        <v/>
      </c>
      <c r="I3224">
        <f>INDEX(ChLaunch,MATCH(E3224,ChName,0))</f>
        <v/>
      </c>
      <c r="J3224">
        <f>INDEX(ChWeeksFull,MATCH(E3224,ChName,0))</f>
        <v/>
      </c>
      <c r="K3224">
        <f>INDEX(ChRamp,MATCH(E3224,ChName,0))</f>
        <v/>
      </c>
      <c r="L3224" s="45">
        <f>MIN(1,MAX(0,(A3224-I3224+1)*RampSpeed/J3224))</f>
        <v/>
      </c>
      <c r="M3224" s="45">
        <f>IF(A3224&lt;I3224,0,IF(K3224="S-curve",L3224*L3224*(3-2*L3224),L3224))</f>
        <v/>
      </c>
      <c r="N3224" s="45">
        <f>1+(INDEX(SeasonIdx,A3224)-1)*SeasonAmp</f>
        <v/>
      </c>
      <c r="O3224" s="45">
        <f>IFERROR(INDEX(PSPct,MATCH(E3224&amp;"|"&amp;G3224,PSKey,0)),0)</f>
        <v/>
      </c>
      <c r="P3224" s="46" t="n">
        <v>0</v>
      </c>
      <c r="Q3224" s="46">
        <f>INDEX(OnlineUnitsCol,A3224)*O3224*(1+OnlineGrowth)*N3224*H3224*IF(A3224&gt;=I3224,1,0)</f>
        <v/>
      </c>
      <c r="R3224" s="46">
        <f>Q3224*INDEX(FmtCansPerPack,MATCH(F3224,FmtName,0))/INDEX(FmtCansPerCase,MATCH(F3224,FmtName,0))</f>
        <v/>
      </c>
      <c r="S3224" s="46">
        <f>R3224*INDEX(FmtCansPerCase,MATCH(F3224,FmtName,0))</f>
        <v/>
      </c>
      <c r="T3224" s="46">
        <f>S3224/INDEX(FmtCansPerPack,MATCH(F3224,FmtName,0))</f>
        <v/>
      </c>
      <c r="U3224" s="47">
        <f>INDEX(ProvOnline,MATCH(G3224,ProvCode,0))*(1+PriceIndex)</f>
        <v/>
      </c>
      <c r="V3224" s="47">
        <f>Q3224*U3224*INDEX(FmtBlendedPriceIdx,MATCH(F3224,FmtName,0))</f>
        <v/>
      </c>
      <c r="W3224" s="47">
        <f>V3224</f>
        <v/>
      </c>
      <c r="X3224" s="47">
        <f>IF(GrossBasis="Wholesale",V3224,W3224)</f>
        <v/>
      </c>
      <c r="Y3224" s="47">
        <f>R3224*INDEX(FmtBlendedCogs,MATCH(F3224,FmtName,0))</f>
        <v/>
      </c>
      <c r="Z3224" s="47">
        <f>X3224-Y3224</f>
        <v/>
      </c>
    </row>
    <row r="3225">
      <c r="A3225" t="n">
        <v>44</v>
      </c>
      <c r="B3225" s="44">
        <f>FiscalStart+(A3225-1)*7</f>
        <v/>
      </c>
      <c r="C3225">
        <f>TEXT(B3225,"mmm yyyy")</f>
        <v/>
      </c>
      <c r="D3225">
        <f>"Q"&amp;(INT((A3225-1)/13)+1)</f>
        <v/>
      </c>
      <c r="E3225" t="inlineStr">
        <is>
          <t>Online</t>
        </is>
      </c>
      <c r="F3225">
        <f>IFERROR(INDEX(ChFormat,MATCH(E3225,ChName,0)),"")</f>
        <v/>
      </c>
      <c r="G3225" t="inlineStr">
        <is>
          <t>BC</t>
        </is>
      </c>
      <c r="H3225">
        <f>IF(A3225&lt;=NWeeks,1,0)</f>
        <v/>
      </c>
      <c r="I3225">
        <f>INDEX(ChLaunch,MATCH(E3225,ChName,0))</f>
        <v/>
      </c>
      <c r="J3225">
        <f>INDEX(ChWeeksFull,MATCH(E3225,ChName,0))</f>
        <v/>
      </c>
      <c r="K3225">
        <f>INDEX(ChRamp,MATCH(E3225,ChName,0))</f>
        <v/>
      </c>
      <c r="L3225" s="45">
        <f>MIN(1,MAX(0,(A3225-I3225+1)*RampSpeed/J3225))</f>
        <v/>
      </c>
      <c r="M3225" s="45">
        <f>IF(A3225&lt;I3225,0,IF(K3225="S-curve",L3225*L3225*(3-2*L3225),L3225))</f>
        <v/>
      </c>
      <c r="N3225" s="45">
        <f>1+(INDEX(SeasonIdx,A3225)-1)*SeasonAmp</f>
        <v/>
      </c>
      <c r="O3225" s="45">
        <f>IFERROR(INDEX(PSPct,MATCH(E3225&amp;"|"&amp;G3225,PSKey,0)),0)</f>
        <v/>
      </c>
      <c r="P3225" s="46" t="n">
        <v>0</v>
      </c>
      <c r="Q3225" s="46">
        <f>INDEX(OnlineUnitsCol,A3225)*O3225*(1+OnlineGrowth)*N3225*H3225*IF(A3225&gt;=I3225,1,0)</f>
        <v/>
      </c>
      <c r="R3225" s="46">
        <f>Q3225*INDEX(FmtCansPerPack,MATCH(F3225,FmtName,0))/INDEX(FmtCansPerCase,MATCH(F3225,FmtName,0))</f>
        <v/>
      </c>
      <c r="S3225" s="46">
        <f>R3225*INDEX(FmtCansPerCase,MATCH(F3225,FmtName,0))</f>
        <v/>
      </c>
      <c r="T3225" s="46">
        <f>S3225/INDEX(FmtCansPerPack,MATCH(F3225,FmtName,0))</f>
        <v/>
      </c>
      <c r="U3225" s="47">
        <f>INDEX(ProvOnline,MATCH(G3225,ProvCode,0))*(1+PriceIndex)</f>
        <v/>
      </c>
      <c r="V3225" s="47">
        <f>Q3225*U3225*INDEX(FmtBlendedPriceIdx,MATCH(F3225,FmtName,0))</f>
        <v/>
      </c>
      <c r="W3225" s="47">
        <f>V3225</f>
        <v/>
      </c>
      <c r="X3225" s="47">
        <f>IF(GrossBasis="Wholesale",V3225,W3225)</f>
        <v/>
      </c>
      <c r="Y3225" s="47">
        <f>R3225*INDEX(FmtBlendedCogs,MATCH(F3225,FmtName,0))</f>
        <v/>
      </c>
      <c r="Z3225" s="47">
        <f>X3225-Y3225</f>
        <v/>
      </c>
    </row>
    <row r="3226">
      <c r="A3226" t="n">
        <v>45</v>
      </c>
      <c r="B3226" s="44">
        <f>FiscalStart+(A3226-1)*7</f>
        <v/>
      </c>
      <c r="C3226">
        <f>TEXT(B3226,"mmm yyyy")</f>
        <v/>
      </c>
      <c r="D3226">
        <f>"Q"&amp;(INT((A3226-1)/13)+1)</f>
        <v/>
      </c>
      <c r="E3226" t="inlineStr">
        <is>
          <t>Online</t>
        </is>
      </c>
      <c r="F3226">
        <f>IFERROR(INDEX(ChFormat,MATCH(E3226,ChName,0)),"")</f>
        <v/>
      </c>
      <c r="G3226" t="inlineStr">
        <is>
          <t>BC</t>
        </is>
      </c>
      <c r="H3226">
        <f>IF(A3226&lt;=NWeeks,1,0)</f>
        <v/>
      </c>
      <c r="I3226">
        <f>INDEX(ChLaunch,MATCH(E3226,ChName,0))</f>
        <v/>
      </c>
      <c r="J3226">
        <f>INDEX(ChWeeksFull,MATCH(E3226,ChName,0))</f>
        <v/>
      </c>
      <c r="K3226">
        <f>INDEX(ChRamp,MATCH(E3226,ChName,0))</f>
        <v/>
      </c>
      <c r="L3226" s="45">
        <f>MIN(1,MAX(0,(A3226-I3226+1)*RampSpeed/J3226))</f>
        <v/>
      </c>
      <c r="M3226" s="45">
        <f>IF(A3226&lt;I3226,0,IF(K3226="S-curve",L3226*L3226*(3-2*L3226),L3226))</f>
        <v/>
      </c>
      <c r="N3226" s="45">
        <f>1+(INDEX(SeasonIdx,A3226)-1)*SeasonAmp</f>
        <v/>
      </c>
      <c r="O3226" s="45">
        <f>IFERROR(INDEX(PSPct,MATCH(E3226&amp;"|"&amp;G3226,PSKey,0)),0)</f>
        <v/>
      </c>
      <c r="P3226" s="46" t="n">
        <v>0</v>
      </c>
      <c r="Q3226" s="46">
        <f>INDEX(OnlineUnitsCol,A3226)*O3226*(1+OnlineGrowth)*N3226*H3226*IF(A3226&gt;=I3226,1,0)</f>
        <v/>
      </c>
      <c r="R3226" s="46">
        <f>Q3226*INDEX(FmtCansPerPack,MATCH(F3226,FmtName,0))/INDEX(FmtCansPerCase,MATCH(F3226,FmtName,0))</f>
        <v/>
      </c>
      <c r="S3226" s="46">
        <f>R3226*INDEX(FmtCansPerCase,MATCH(F3226,FmtName,0))</f>
        <v/>
      </c>
      <c r="T3226" s="46">
        <f>S3226/INDEX(FmtCansPerPack,MATCH(F3226,FmtName,0))</f>
        <v/>
      </c>
      <c r="U3226" s="47">
        <f>INDEX(ProvOnline,MATCH(G3226,ProvCode,0))*(1+PriceIndex)</f>
        <v/>
      </c>
      <c r="V3226" s="47">
        <f>Q3226*U3226*INDEX(FmtBlendedPriceIdx,MATCH(F3226,FmtName,0))</f>
        <v/>
      </c>
      <c r="W3226" s="47">
        <f>V3226</f>
        <v/>
      </c>
      <c r="X3226" s="47">
        <f>IF(GrossBasis="Wholesale",V3226,W3226)</f>
        <v/>
      </c>
      <c r="Y3226" s="47">
        <f>R3226*INDEX(FmtBlendedCogs,MATCH(F3226,FmtName,0))</f>
        <v/>
      </c>
      <c r="Z3226" s="47">
        <f>X3226-Y3226</f>
        <v/>
      </c>
    </row>
    <row r="3227">
      <c r="A3227" t="n">
        <v>46</v>
      </c>
      <c r="B3227" s="44">
        <f>FiscalStart+(A3227-1)*7</f>
        <v/>
      </c>
      <c r="C3227">
        <f>TEXT(B3227,"mmm yyyy")</f>
        <v/>
      </c>
      <c r="D3227">
        <f>"Q"&amp;(INT((A3227-1)/13)+1)</f>
        <v/>
      </c>
      <c r="E3227" t="inlineStr">
        <is>
          <t>Online</t>
        </is>
      </c>
      <c r="F3227">
        <f>IFERROR(INDEX(ChFormat,MATCH(E3227,ChName,0)),"")</f>
        <v/>
      </c>
      <c r="G3227" t="inlineStr">
        <is>
          <t>BC</t>
        </is>
      </c>
      <c r="H3227">
        <f>IF(A3227&lt;=NWeeks,1,0)</f>
        <v/>
      </c>
      <c r="I3227">
        <f>INDEX(ChLaunch,MATCH(E3227,ChName,0))</f>
        <v/>
      </c>
      <c r="J3227">
        <f>INDEX(ChWeeksFull,MATCH(E3227,ChName,0))</f>
        <v/>
      </c>
      <c r="K3227">
        <f>INDEX(ChRamp,MATCH(E3227,ChName,0))</f>
        <v/>
      </c>
      <c r="L3227" s="45">
        <f>MIN(1,MAX(0,(A3227-I3227+1)*RampSpeed/J3227))</f>
        <v/>
      </c>
      <c r="M3227" s="45">
        <f>IF(A3227&lt;I3227,0,IF(K3227="S-curve",L3227*L3227*(3-2*L3227),L3227))</f>
        <v/>
      </c>
      <c r="N3227" s="45">
        <f>1+(INDEX(SeasonIdx,A3227)-1)*SeasonAmp</f>
        <v/>
      </c>
      <c r="O3227" s="45">
        <f>IFERROR(INDEX(PSPct,MATCH(E3227&amp;"|"&amp;G3227,PSKey,0)),0)</f>
        <v/>
      </c>
      <c r="P3227" s="46" t="n">
        <v>0</v>
      </c>
      <c r="Q3227" s="46">
        <f>INDEX(OnlineUnitsCol,A3227)*O3227*(1+OnlineGrowth)*N3227*H3227*IF(A3227&gt;=I3227,1,0)</f>
        <v/>
      </c>
      <c r="R3227" s="46">
        <f>Q3227*INDEX(FmtCansPerPack,MATCH(F3227,FmtName,0))/INDEX(FmtCansPerCase,MATCH(F3227,FmtName,0))</f>
        <v/>
      </c>
      <c r="S3227" s="46">
        <f>R3227*INDEX(FmtCansPerCase,MATCH(F3227,FmtName,0))</f>
        <v/>
      </c>
      <c r="T3227" s="46">
        <f>S3227/INDEX(FmtCansPerPack,MATCH(F3227,FmtName,0))</f>
        <v/>
      </c>
      <c r="U3227" s="47">
        <f>INDEX(ProvOnline,MATCH(G3227,ProvCode,0))*(1+PriceIndex)</f>
        <v/>
      </c>
      <c r="V3227" s="47">
        <f>Q3227*U3227*INDEX(FmtBlendedPriceIdx,MATCH(F3227,FmtName,0))</f>
        <v/>
      </c>
      <c r="W3227" s="47">
        <f>V3227</f>
        <v/>
      </c>
      <c r="X3227" s="47">
        <f>IF(GrossBasis="Wholesale",V3227,W3227)</f>
        <v/>
      </c>
      <c r="Y3227" s="47">
        <f>R3227*INDEX(FmtBlendedCogs,MATCH(F3227,FmtName,0))</f>
        <v/>
      </c>
      <c r="Z3227" s="47">
        <f>X3227-Y3227</f>
        <v/>
      </c>
    </row>
    <row r="3228">
      <c r="A3228" t="n">
        <v>47</v>
      </c>
      <c r="B3228" s="44">
        <f>FiscalStart+(A3228-1)*7</f>
        <v/>
      </c>
      <c r="C3228">
        <f>TEXT(B3228,"mmm yyyy")</f>
        <v/>
      </c>
      <c r="D3228">
        <f>"Q"&amp;(INT((A3228-1)/13)+1)</f>
        <v/>
      </c>
      <c r="E3228" t="inlineStr">
        <is>
          <t>Online</t>
        </is>
      </c>
      <c r="F3228">
        <f>IFERROR(INDEX(ChFormat,MATCH(E3228,ChName,0)),"")</f>
        <v/>
      </c>
      <c r="G3228" t="inlineStr">
        <is>
          <t>BC</t>
        </is>
      </c>
      <c r="H3228">
        <f>IF(A3228&lt;=NWeeks,1,0)</f>
        <v/>
      </c>
      <c r="I3228">
        <f>INDEX(ChLaunch,MATCH(E3228,ChName,0))</f>
        <v/>
      </c>
      <c r="J3228">
        <f>INDEX(ChWeeksFull,MATCH(E3228,ChName,0))</f>
        <v/>
      </c>
      <c r="K3228">
        <f>INDEX(ChRamp,MATCH(E3228,ChName,0))</f>
        <v/>
      </c>
      <c r="L3228" s="45">
        <f>MIN(1,MAX(0,(A3228-I3228+1)*RampSpeed/J3228))</f>
        <v/>
      </c>
      <c r="M3228" s="45">
        <f>IF(A3228&lt;I3228,0,IF(K3228="S-curve",L3228*L3228*(3-2*L3228),L3228))</f>
        <v/>
      </c>
      <c r="N3228" s="45">
        <f>1+(INDEX(SeasonIdx,A3228)-1)*SeasonAmp</f>
        <v/>
      </c>
      <c r="O3228" s="45">
        <f>IFERROR(INDEX(PSPct,MATCH(E3228&amp;"|"&amp;G3228,PSKey,0)),0)</f>
        <v/>
      </c>
      <c r="P3228" s="46" t="n">
        <v>0</v>
      </c>
      <c r="Q3228" s="46">
        <f>INDEX(OnlineUnitsCol,A3228)*O3228*(1+OnlineGrowth)*N3228*H3228*IF(A3228&gt;=I3228,1,0)</f>
        <v/>
      </c>
      <c r="R3228" s="46">
        <f>Q3228*INDEX(FmtCansPerPack,MATCH(F3228,FmtName,0))/INDEX(FmtCansPerCase,MATCH(F3228,FmtName,0))</f>
        <v/>
      </c>
      <c r="S3228" s="46">
        <f>R3228*INDEX(FmtCansPerCase,MATCH(F3228,FmtName,0))</f>
        <v/>
      </c>
      <c r="T3228" s="46">
        <f>S3228/INDEX(FmtCansPerPack,MATCH(F3228,FmtName,0))</f>
        <v/>
      </c>
      <c r="U3228" s="47">
        <f>INDEX(ProvOnline,MATCH(G3228,ProvCode,0))*(1+PriceIndex)</f>
        <v/>
      </c>
      <c r="V3228" s="47">
        <f>Q3228*U3228*INDEX(FmtBlendedPriceIdx,MATCH(F3228,FmtName,0))</f>
        <v/>
      </c>
      <c r="W3228" s="47">
        <f>V3228</f>
        <v/>
      </c>
      <c r="X3228" s="47">
        <f>IF(GrossBasis="Wholesale",V3228,W3228)</f>
        <v/>
      </c>
      <c r="Y3228" s="47">
        <f>R3228*INDEX(FmtBlendedCogs,MATCH(F3228,FmtName,0))</f>
        <v/>
      </c>
      <c r="Z3228" s="47">
        <f>X3228-Y3228</f>
        <v/>
      </c>
    </row>
    <row r="3229">
      <c r="A3229" t="n">
        <v>48</v>
      </c>
      <c r="B3229" s="44">
        <f>FiscalStart+(A3229-1)*7</f>
        <v/>
      </c>
      <c r="C3229">
        <f>TEXT(B3229,"mmm yyyy")</f>
        <v/>
      </c>
      <c r="D3229">
        <f>"Q"&amp;(INT((A3229-1)/13)+1)</f>
        <v/>
      </c>
      <c r="E3229" t="inlineStr">
        <is>
          <t>Online</t>
        </is>
      </c>
      <c r="F3229">
        <f>IFERROR(INDEX(ChFormat,MATCH(E3229,ChName,0)),"")</f>
        <v/>
      </c>
      <c r="G3229" t="inlineStr">
        <is>
          <t>BC</t>
        </is>
      </c>
      <c r="H3229">
        <f>IF(A3229&lt;=NWeeks,1,0)</f>
        <v/>
      </c>
      <c r="I3229">
        <f>INDEX(ChLaunch,MATCH(E3229,ChName,0))</f>
        <v/>
      </c>
      <c r="J3229">
        <f>INDEX(ChWeeksFull,MATCH(E3229,ChName,0))</f>
        <v/>
      </c>
      <c r="K3229">
        <f>INDEX(ChRamp,MATCH(E3229,ChName,0))</f>
        <v/>
      </c>
      <c r="L3229" s="45">
        <f>MIN(1,MAX(0,(A3229-I3229+1)*RampSpeed/J3229))</f>
        <v/>
      </c>
      <c r="M3229" s="45">
        <f>IF(A3229&lt;I3229,0,IF(K3229="S-curve",L3229*L3229*(3-2*L3229),L3229))</f>
        <v/>
      </c>
      <c r="N3229" s="45">
        <f>1+(INDEX(SeasonIdx,A3229)-1)*SeasonAmp</f>
        <v/>
      </c>
      <c r="O3229" s="45">
        <f>IFERROR(INDEX(PSPct,MATCH(E3229&amp;"|"&amp;G3229,PSKey,0)),0)</f>
        <v/>
      </c>
      <c r="P3229" s="46" t="n">
        <v>0</v>
      </c>
      <c r="Q3229" s="46">
        <f>INDEX(OnlineUnitsCol,A3229)*O3229*(1+OnlineGrowth)*N3229*H3229*IF(A3229&gt;=I3229,1,0)</f>
        <v/>
      </c>
      <c r="R3229" s="46">
        <f>Q3229*INDEX(FmtCansPerPack,MATCH(F3229,FmtName,0))/INDEX(FmtCansPerCase,MATCH(F3229,FmtName,0))</f>
        <v/>
      </c>
      <c r="S3229" s="46">
        <f>R3229*INDEX(FmtCansPerCase,MATCH(F3229,FmtName,0))</f>
        <v/>
      </c>
      <c r="T3229" s="46">
        <f>S3229/INDEX(FmtCansPerPack,MATCH(F3229,FmtName,0))</f>
        <v/>
      </c>
      <c r="U3229" s="47">
        <f>INDEX(ProvOnline,MATCH(G3229,ProvCode,0))*(1+PriceIndex)</f>
        <v/>
      </c>
      <c r="V3229" s="47">
        <f>Q3229*U3229*INDEX(FmtBlendedPriceIdx,MATCH(F3229,FmtName,0))</f>
        <v/>
      </c>
      <c r="W3229" s="47">
        <f>V3229</f>
        <v/>
      </c>
      <c r="X3229" s="47">
        <f>IF(GrossBasis="Wholesale",V3229,W3229)</f>
        <v/>
      </c>
      <c r="Y3229" s="47">
        <f>R3229*INDEX(FmtBlendedCogs,MATCH(F3229,FmtName,0))</f>
        <v/>
      </c>
      <c r="Z3229" s="47">
        <f>X3229-Y3229</f>
        <v/>
      </c>
    </row>
    <row r="3230">
      <c r="A3230" t="n">
        <v>49</v>
      </c>
      <c r="B3230" s="44">
        <f>FiscalStart+(A3230-1)*7</f>
        <v/>
      </c>
      <c r="C3230">
        <f>TEXT(B3230,"mmm yyyy")</f>
        <v/>
      </c>
      <c r="D3230">
        <f>"Q"&amp;(INT((A3230-1)/13)+1)</f>
        <v/>
      </c>
      <c r="E3230" t="inlineStr">
        <is>
          <t>Online</t>
        </is>
      </c>
      <c r="F3230">
        <f>IFERROR(INDEX(ChFormat,MATCH(E3230,ChName,0)),"")</f>
        <v/>
      </c>
      <c r="G3230" t="inlineStr">
        <is>
          <t>BC</t>
        </is>
      </c>
      <c r="H3230">
        <f>IF(A3230&lt;=NWeeks,1,0)</f>
        <v/>
      </c>
      <c r="I3230">
        <f>INDEX(ChLaunch,MATCH(E3230,ChName,0))</f>
        <v/>
      </c>
      <c r="J3230">
        <f>INDEX(ChWeeksFull,MATCH(E3230,ChName,0))</f>
        <v/>
      </c>
      <c r="K3230">
        <f>INDEX(ChRamp,MATCH(E3230,ChName,0))</f>
        <v/>
      </c>
      <c r="L3230" s="45">
        <f>MIN(1,MAX(0,(A3230-I3230+1)*RampSpeed/J3230))</f>
        <v/>
      </c>
      <c r="M3230" s="45">
        <f>IF(A3230&lt;I3230,0,IF(K3230="S-curve",L3230*L3230*(3-2*L3230),L3230))</f>
        <v/>
      </c>
      <c r="N3230" s="45">
        <f>1+(INDEX(SeasonIdx,A3230)-1)*SeasonAmp</f>
        <v/>
      </c>
      <c r="O3230" s="45">
        <f>IFERROR(INDEX(PSPct,MATCH(E3230&amp;"|"&amp;G3230,PSKey,0)),0)</f>
        <v/>
      </c>
      <c r="P3230" s="46" t="n">
        <v>0</v>
      </c>
      <c r="Q3230" s="46">
        <f>INDEX(OnlineUnitsCol,A3230)*O3230*(1+OnlineGrowth)*N3230*H3230*IF(A3230&gt;=I3230,1,0)</f>
        <v/>
      </c>
      <c r="R3230" s="46">
        <f>Q3230*INDEX(FmtCansPerPack,MATCH(F3230,FmtName,0))/INDEX(FmtCansPerCase,MATCH(F3230,FmtName,0))</f>
        <v/>
      </c>
      <c r="S3230" s="46">
        <f>R3230*INDEX(FmtCansPerCase,MATCH(F3230,FmtName,0))</f>
        <v/>
      </c>
      <c r="T3230" s="46">
        <f>S3230/INDEX(FmtCansPerPack,MATCH(F3230,FmtName,0))</f>
        <v/>
      </c>
      <c r="U3230" s="47">
        <f>INDEX(ProvOnline,MATCH(G3230,ProvCode,0))*(1+PriceIndex)</f>
        <v/>
      </c>
      <c r="V3230" s="47">
        <f>Q3230*U3230*INDEX(FmtBlendedPriceIdx,MATCH(F3230,FmtName,0))</f>
        <v/>
      </c>
      <c r="W3230" s="47">
        <f>V3230</f>
        <v/>
      </c>
      <c r="X3230" s="47">
        <f>IF(GrossBasis="Wholesale",V3230,W3230)</f>
        <v/>
      </c>
      <c r="Y3230" s="47">
        <f>R3230*INDEX(FmtBlendedCogs,MATCH(F3230,FmtName,0))</f>
        <v/>
      </c>
      <c r="Z3230" s="47">
        <f>X3230-Y3230</f>
        <v/>
      </c>
    </row>
    <row r="3231">
      <c r="A3231" t="n">
        <v>50</v>
      </c>
      <c r="B3231" s="44">
        <f>FiscalStart+(A3231-1)*7</f>
        <v/>
      </c>
      <c r="C3231">
        <f>TEXT(B3231,"mmm yyyy")</f>
        <v/>
      </c>
      <c r="D3231">
        <f>"Q"&amp;(INT((A3231-1)/13)+1)</f>
        <v/>
      </c>
      <c r="E3231" t="inlineStr">
        <is>
          <t>Online</t>
        </is>
      </c>
      <c r="F3231">
        <f>IFERROR(INDEX(ChFormat,MATCH(E3231,ChName,0)),"")</f>
        <v/>
      </c>
      <c r="G3231" t="inlineStr">
        <is>
          <t>BC</t>
        </is>
      </c>
      <c r="H3231">
        <f>IF(A3231&lt;=NWeeks,1,0)</f>
        <v/>
      </c>
      <c r="I3231">
        <f>INDEX(ChLaunch,MATCH(E3231,ChName,0))</f>
        <v/>
      </c>
      <c r="J3231">
        <f>INDEX(ChWeeksFull,MATCH(E3231,ChName,0))</f>
        <v/>
      </c>
      <c r="K3231">
        <f>INDEX(ChRamp,MATCH(E3231,ChName,0))</f>
        <v/>
      </c>
      <c r="L3231" s="45">
        <f>MIN(1,MAX(0,(A3231-I3231+1)*RampSpeed/J3231))</f>
        <v/>
      </c>
      <c r="M3231" s="45">
        <f>IF(A3231&lt;I3231,0,IF(K3231="S-curve",L3231*L3231*(3-2*L3231),L3231))</f>
        <v/>
      </c>
      <c r="N3231" s="45">
        <f>1+(INDEX(SeasonIdx,A3231)-1)*SeasonAmp</f>
        <v/>
      </c>
      <c r="O3231" s="45">
        <f>IFERROR(INDEX(PSPct,MATCH(E3231&amp;"|"&amp;G3231,PSKey,0)),0)</f>
        <v/>
      </c>
      <c r="P3231" s="46" t="n">
        <v>0</v>
      </c>
      <c r="Q3231" s="46">
        <f>INDEX(OnlineUnitsCol,A3231)*O3231*(1+OnlineGrowth)*N3231*H3231*IF(A3231&gt;=I3231,1,0)</f>
        <v/>
      </c>
      <c r="R3231" s="46">
        <f>Q3231*INDEX(FmtCansPerPack,MATCH(F3231,FmtName,0))/INDEX(FmtCansPerCase,MATCH(F3231,FmtName,0))</f>
        <v/>
      </c>
      <c r="S3231" s="46">
        <f>R3231*INDEX(FmtCansPerCase,MATCH(F3231,FmtName,0))</f>
        <v/>
      </c>
      <c r="T3231" s="46">
        <f>S3231/INDEX(FmtCansPerPack,MATCH(F3231,FmtName,0))</f>
        <v/>
      </c>
      <c r="U3231" s="47">
        <f>INDEX(ProvOnline,MATCH(G3231,ProvCode,0))*(1+PriceIndex)</f>
        <v/>
      </c>
      <c r="V3231" s="47">
        <f>Q3231*U3231*INDEX(FmtBlendedPriceIdx,MATCH(F3231,FmtName,0))</f>
        <v/>
      </c>
      <c r="W3231" s="47">
        <f>V3231</f>
        <v/>
      </c>
      <c r="X3231" s="47">
        <f>IF(GrossBasis="Wholesale",V3231,W3231)</f>
        <v/>
      </c>
      <c r="Y3231" s="47">
        <f>R3231*INDEX(FmtBlendedCogs,MATCH(F3231,FmtName,0))</f>
        <v/>
      </c>
      <c r="Z3231" s="47">
        <f>X3231-Y3231</f>
        <v/>
      </c>
    </row>
    <row r="3232">
      <c r="A3232" t="n">
        <v>51</v>
      </c>
      <c r="B3232" s="44">
        <f>FiscalStart+(A3232-1)*7</f>
        <v/>
      </c>
      <c r="C3232">
        <f>TEXT(B3232,"mmm yyyy")</f>
        <v/>
      </c>
      <c r="D3232">
        <f>"Q"&amp;(INT((A3232-1)/13)+1)</f>
        <v/>
      </c>
      <c r="E3232" t="inlineStr">
        <is>
          <t>Online</t>
        </is>
      </c>
      <c r="F3232">
        <f>IFERROR(INDEX(ChFormat,MATCH(E3232,ChName,0)),"")</f>
        <v/>
      </c>
      <c r="G3232" t="inlineStr">
        <is>
          <t>BC</t>
        </is>
      </c>
      <c r="H3232">
        <f>IF(A3232&lt;=NWeeks,1,0)</f>
        <v/>
      </c>
      <c r="I3232">
        <f>INDEX(ChLaunch,MATCH(E3232,ChName,0))</f>
        <v/>
      </c>
      <c r="J3232">
        <f>INDEX(ChWeeksFull,MATCH(E3232,ChName,0))</f>
        <v/>
      </c>
      <c r="K3232">
        <f>INDEX(ChRamp,MATCH(E3232,ChName,0))</f>
        <v/>
      </c>
      <c r="L3232" s="45">
        <f>MIN(1,MAX(0,(A3232-I3232+1)*RampSpeed/J3232))</f>
        <v/>
      </c>
      <c r="M3232" s="45">
        <f>IF(A3232&lt;I3232,0,IF(K3232="S-curve",L3232*L3232*(3-2*L3232),L3232))</f>
        <v/>
      </c>
      <c r="N3232" s="45">
        <f>1+(INDEX(SeasonIdx,A3232)-1)*SeasonAmp</f>
        <v/>
      </c>
      <c r="O3232" s="45">
        <f>IFERROR(INDEX(PSPct,MATCH(E3232&amp;"|"&amp;G3232,PSKey,0)),0)</f>
        <v/>
      </c>
      <c r="P3232" s="46" t="n">
        <v>0</v>
      </c>
      <c r="Q3232" s="46">
        <f>INDEX(OnlineUnitsCol,A3232)*O3232*(1+OnlineGrowth)*N3232*H3232*IF(A3232&gt;=I3232,1,0)</f>
        <v/>
      </c>
      <c r="R3232" s="46">
        <f>Q3232*INDEX(FmtCansPerPack,MATCH(F3232,FmtName,0))/INDEX(FmtCansPerCase,MATCH(F3232,FmtName,0))</f>
        <v/>
      </c>
      <c r="S3232" s="46">
        <f>R3232*INDEX(FmtCansPerCase,MATCH(F3232,FmtName,0))</f>
        <v/>
      </c>
      <c r="T3232" s="46">
        <f>S3232/INDEX(FmtCansPerPack,MATCH(F3232,FmtName,0))</f>
        <v/>
      </c>
      <c r="U3232" s="47">
        <f>INDEX(ProvOnline,MATCH(G3232,ProvCode,0))*(1+PriceIndex)</f>
        <v/>
      </c>
      <c r="V3232" s="47">
        <f>Q3232*U3232*INDEX(FmtBlendedPriceIdx,MATCH(F3232,FmtName,0))</f>
        <v/>
      </c>
      <c r="W3232" s="47">
        <f>V3232</f>
        <v/>
      </c>
      <c r="X3232" s="47">
        <f>IF(GrossBasis="Wholesale",V3232,W3232)</f>
        <v/>
      </c>
      <c r="Y3232" s="47">
        <f>R3232*INDEX(FmtBlendedCogs,MATCH(F3232,FmtName,0))</f>
        <v/>
      </c>
      <c r="Z3232" s="47">
        <f>X3232-Y3232</f>
        <v/>
      </c>
    </row>
    <row r="3233">
      <c r="A3233" t="n">
        <v>52</v>
      </c>
      <c r="B3233" s="44">
        <f>FiscalStart+(A3233-1)*7</f>
        <v/>
      </c>
      <c r="C3233">
        <f>TEXT(B3233,"mmm yyyy")</f>
        <v/>
      </c>
      <c r="D3233">
        <f>"Q"&amp;(INT((A3233-1)/13)+1)</f>
        <v/>
      </c>
      <c r="E3233" t="inlineStr">
        <is>
          <t>Online</t>
        </is>
      </c>
      <c r="F3233">
        <f>IFERROR(INDEX(ChFormat,MATCH(E3233,ChName,0)),"")</f>
        <v/>
      </c>
      <c r="G3233" t="inlineStr">
        <is>
          <t>BC</t>
        </is>
      </c>
      <c r="H3233">
        <f>IF(A3233&lt;=NWeeks,1,0)</f>
        <v/>
      </c>
      <c r="I3233">
        <f>INDEX(ChLaunch,MATCH(E3233,ChName,0))</f>
        <v/>
      </c>
      <c r="J3233">
        <f>INDEX(ChWeeksFull,MATCH(E3233,ChName,0))</f>
        <v/>
      </c>
      <c r="K3233">
        <f>INDEX(ChRamp,MATCH(E3233,ChName,0))</f>
        <v/>
      </c>
      <c r="L3233" s="45">
        <f>MIN(1,MAX(0,(A3233-I3233+1)*RampSpeed/J3233))</f>
        <v/>
      </c>
      <c r="M3233" s="45">
        <f>IF(A3233&lt;I3233,0,IF(K3233="S-curve",L3233*L3233*(3-2*L3233),L3233))</f>
        <v/>
      </c>
      <c r="N3233" s="45">
        <f>1+(INDEX(SeasonIdx,A3233)-1)*SeasonAmp</f>
        <v/>
      </c>
      <c r="O3233" s="45">
        <f>IFERROR(INDEX(PSPct,MATCH(E3233&amp;"|"&amp;G3233,PSKey,0)),0)</f>
        <v/>
      </c>
      <c r="P3233" s="46" t="n">
        <v>0</v>
      </c>
      <c r="Q3233" s="46">
        <f>INDEX(OnlineUnitsCol,A3233)*O3233*(1+OnlineGrowth)*N3233*H3233*IF(A3233&gt;=I3233,1,0)</f>
        <v/>
      </c>
      <c r="R3233" s="46">
        <f>Q3233*INDEX(FmtCansPerPack,MATCH(F3233,FmtName,0))/INDEX(FmtCansPerCase,MATCH(F3233,FmtName,0))</f>
        <v/>
      </c>
      <c r="S3233" s="46">
        <f>R3233*INDEX(FmtCansPerCase,MATCH(F3233,FmtName,0))</f>
        <v/>
      </c>
      <c r="T3233" s="46">
        <f>S3233/INDEX(FmtCansPerPack,MATCH(F3233,FmtName,0))</f>
        <v/>
      </c>
      <c r="U3233" s="47">
        <f>INDEX(ProvOnline,MATCH(G3233,ProvCode,0))*(1+PriceIndex)</f>
        <v/>
      </c>
      <c r="V3233" s="47">
        <f>Q3233*U3233*INDEX(FmtBlendedPriceIdx,MATCH(F3233,FmtName,0))</f>
        <v/>
      </c>
      <c r="W3233" s="47">
        <f>V3233</f>
        <v/>
      </c>
      <c r="X3233" s="47">
        <f>IF(GrossBasis="Wholesale",V3233,W3233)</f>
        <v/>
      </c>
      <c r="Y3233" s="47">
        <f>R3233*INDEX(FmtBlendedCogs,MATCH(F3233,FmtName,0))</f>
        <v/>
      </c>
      <c r="Z3233" s="47">
        <f>X3233-Y3233</f>
        <v/>
      </c>
    </row>
    <row r="3234">
      <c r="A3234" t="n">
        <v>53</v>
      </c>
      <c r="B3234" s="44">
        <f>FiscalStart+(A3234-1)*7</f>
        <v/>
      </c>
      <c r="C3234">
        <f>TEXT(B3234,"mmm yyyy")</f>
        <v/>
      </c>
      <c r="D3234">
        <f>"Q"&amp;(INT((A3234-1)/13)+1)</f>
        <v/>
      </c>
      <c r="E3234" t="inlineStr">
        <is>
          <t>Online</t>
        </is>
      </c>
      <c r="F3234">
        <f>IFERROR(INDEX(ChFormat,MATCH(E3234,ChName,0)),"")</f>
        <v/>
      </c>
      <c r="G3234" t="inlineStr">
        <is>
          <t>BC</t>
        </is>
      </c>
      <c r="H3234">
        <f>IF(A3234&lt;=NWeeks,1,0)</f>
        <v/>
      </c>
      <c r="I3234">
        <f>INDEX(ChLaunch,MATCH(E3234,ChName,0))</f>
        <v/>
      </c>
      <c r="J3234">
        <f>INDEX(ChWeeksFull,MATCH(E3234,ChName,0))</f>
        <v/>
      </c>
      <c r="K3234">
        <f>INDEX(ChRamp,MATCH(E3234,ChName,0))</f>
        <v/>
      </c>
      <c r="L3234" s="45">
        <f>MIN(1,MAX(0,(A3234-I3234+1)*RampSpeed/J3234))</f>
        <v/>
      </c>
      <c r="M3234" s="45">
        <f>IF(A3234&lt;I3234,0,IF(K3234="S-curve",L3234*L3234*(3-2*L3234),L3234))</f>
        <v/>
      </c>
      <c r="N3234" s="45">
        <f>1+(INDEX(SeasonIdx,A3234)-1)*SeasonAmp</f>
        <v/>
      </c>
      <c r="O3234" s="45">
        <f>IFERROR(INDEX(PSPct,MATCH(E3234&amp;"|"&amp;G3234,PSKey,0)),0)</f>
        <v/>
      </c>
      <c r="P3234" s="46" t="n">
        <v>0</v>
      </c>
      <c r="Q3234" s="46">
        <f>INDEX(OnlineUnitsCol,A3234)*O3234*(1+OnlineGrowth)*N3234*H3234*IF(A3234&gt;=I3234,1,0)</f>
        <v/>
      </c>
      <c r="R3234" s="46">
        <f>Q3234*INDEX(FmtCansPerPack,MATCH(F3234,FmtName,0))/INDEX(FmtCansPerCase,MATCH(F3234,FmtName,0))</f>
        <v/>
      </c>
      <c r="S3234" s="46">
        <f>R3234*INDEX(FmtCansPerCase,MATCH(F3234,FmtName,0))</f>
        <v/>
      </c>
      <c r="T3234" s="46">
        <f>S3234/INDEX(FmtCansPerPack,MATCH(F3234,FmtName,0))</f>
        <v/>
      </c>
      <c r="U3234" s="47">
        <f>INDEX(ProvOnline,MATCH(G3234,ProvCode,0))*(1+PriceIndex)</f>
        <v/>
      </c>
      <c r="V3234" s="47">
        <f>Q3234*U3234*INDEX(FmtBlendedPriceIdx,MATCH(F3234,FmtName,0))</f>
        <v/>
      </c>
      <c r="W3234" s="47">
        <f>V3234</f>
        <v/>
      </c>
      <c r="X3234" s="47">
        <f>IF(GrossBasis="Wholesale",V3234,W3234)</f>
        <v/>
      </c>
      <c r="Y3234" s="47">
        <f>R3234*INDEX(FmtBlendedCogs,MATCH(F3234,FmtName,0))</f>
        <v/>
      </c>
      <c r="Z3234" s="47">
        <f>X3234-Y3234</f>
        <v/>
      </c>
    </row>
    <row r="3235">
      <c r="A3235" t="n">
        <v>1</v>
      </c>
      <c r="B3235" s="44">
        <f>FiscalStart+(A3235-1)*7</f>
        <v/>
      </c>
      <c r="C3235">
        <f>TEXT(B3235,"mmm yyyy")</f>
        <v/>
      </c>
      <c r="D3235">
        <f>"Q"&amp;(INT((A3235-1)/13)+1)</f>
        <v/>
      </c>
      <c r="E3235" t="inlineStr">
        <is>
          <t>Online</t>
        </is>
      </c>
      <c r="F3235">
        <f>IFERROR(INDEX(ChFormat,MATCH(E3235,ChName,0)),"")</f>
        <v/>
      </c>
      <c r="G3235" t="inlineStr">
        <is>
          <t>AB</t>
        </is>
      </c>
      <c r="H3235">
        <f>IF(A3235&lt;=NWeeks,1,0)</f>
        <v/>
      </c>
      <c r="I3235">
        <f>INDEX(ChLaunch,MATCH(E3235,ChName,0))</f>
        <v/>
      </c>
      <c r="J3235">
        <f>INDEX(ChWeeksFull,MATCH(E3235,ChName,0))</f>
        <v/>
      </c>
      <c r="K3235">
        <f>INDEX(ChRamp,MATCH(E3235,ChName,0))</f>
        <v/>
      </c>
      <c r="L3235" s="45">
        <f>MIN(1,MAX(0,(A3235-I3235+1)*RampSpeed/J3235))</f>
        <v/>
      </c>
      <c r="M3235" s="45">
        <f>IF(A3235&lt;I3235,0,IF(K3235="S-curve",L3235*L3235*(3-2*L3235),L3235))</f>
        <v/>
      </c>
      <c r="N3235" s="45">
        <f>1+(INDEX(SeasonIdx,A3235)-1)*SeasonAmp</f>
        <v/>
      </c>
      <c r="O3235" s="45">
        <f>IFERROR(INDEX(PSPct,MATCH(E3235&amp;"|"&amp;G3235,PSKey,0)),0)</f>
        <v/>
      </c>
      <c r="P3235" s="46" t="n">
        <v>0</v>
      </c>
      <c r="Q3235" s="46">
        <f>INDEX(OnlineUnitsCol,A3235)*O3235*(1+OnlineGrowth)*N3235*H3235*IF(A3235&gt;=I3235,1,0)</f>
        <v/>
      </c>
      <c r="R3235" s="46">
        <f>Q3235*INDEX(FmtCansPerPack,MATCH(F3235,FmtName,0))/INDEX(FmtCansPerCase,MATCH(F3235,FmtName,0))</f>
        <v/>
      </c>
      <c r="S3235" s="46">
        <f>R3235*INDEX(FmtCansPerCase,MATCH(F3235,FmtName,0))</f>
        <v/>
      </c>
      <c r="T3235" s="46">
        <f>S3235/INDEX(FmtCansPerPack,MATCH(F3235,FmtName,0))</f>
        <v/>
      </c>
      <c r="U3235" s="47">
        <f>INDEX(ProvOnline,MATCH(G3235,ProvCode,0))*(1+PriceIndex)</f>
        <v/>
      </c>
      <c r="V3235" s="47">
        <f>Q3235*U3235*INDEX(FmtBlendedPriceIdx,MATCH(F3235,FmtName,0))</f>
        <v/>
      </c>
      <c r="W3235" s="47">
        <f>V3235</f>
        <v/>
      </c>
      <c r="X3235" s="47">
        <f>IF(GrossBasis="Wholesale",V3235,W3235)</f>
        <v/>
      </c>
      <c r="Y3235" s="47">
        <f>R3235*INDEX(FmtBlendedCogs,MATCH(F3235,FmtName,0))</f>
        <v/>
      </c>
      <c r="Z3235" s="47">
        <f>X3235-Y3235</f>
        <v/>
      </c>
    </row>
    <row r="3236">
      <c r="A3236" t="n">
        <v>2</v>
      </c>
      <c r="B3236" s="44">
        <f>FiscalStart+(A3236-1)*7</f>
        <v/>
      </c>
      <c r="C3236">
        <f>TEXT(B3236,"mmm yyyy")</f>
        <v/>
      </c>
      <c r="D3236">
        <f>"Q"&amp;(INT((A3236-1)/13)+1)</f>
        <v/>
      </c>
      <c r="E3236" t="inlineStr">
        <is>
          <t>Online</t>
        </is>
      </c>
      <c r="F3236">
        <f>IFERROR(INDEX(ChFormat,MATCH(E3236,ChName,0)),"")</f>
        <v/>
      </c>
      <c r="G3236" t="inlineStr">
        <is>
          <t>AB</t>
        </is>
      </c>
      <c r="H3236">
        <f>IF(A3236&lt;=NWeeks,1,0)</f>
        <v/>
      </c>
      <c r="I3236">
        <f>INDEX(ChLaunch,MATCH(E3236,ChName,0))</f>
        <v/>
      </c>
      <c r="J3236">
        <f>INDEX(ChWeeksFull,MATCH(E3236,ChName,0))</f>
        <v/>
      </c>
      <c r="K3236">
        <f>INDEX(ChRamp,MATCH(E3236,ChName,0))</f>
        <v/>
      </c>
      <c r="L3236" s="45">
        <f>MIN(1,MAX(0,(A3236-I3236+1)*RampSpeed/J3236))</f>
        <v/>
      </c>
      <c r="M3236" s="45">
        <f>IF(A3236&lt;I3236,0,IF(K3236="S-curve",L3236*L3236*(3-2*L3236),L3236))</f>
        <v/>
      </c>
      <c r="N3236" s="45">
        <f>1+(INDEX(SeasonIdx,A3236)-1)*SeasonAmp</f>
        <v/>
      </c>
      <c r="O3236" s="45">
        <f>IFERROR(INDEX(PSPct,MATCH(E3236&amp;"|"&amp;G3236,PSKey,0)),0)</f>
        <v/>
      </c>
      <c r="P3236" s="46" t="n">
        <v>0</v>
      </c>
      <c r="Q3236" s="46">
        <f>INDEX(OnlineUnitsCol,A3236)*O3236*(1+OnlineGrowth)*N3236*H3236*IF(A3236&gt;=I3236,1,0)</f>
        <v/>
      </c>
      <c r="R3236" s="46">
        <f>Q3236*INDEX(FmtCansPerPack,MATCH(F3236,FmtName,0))/INDEX(FmtCansPerCase,MATCH(F3236,FmtName,0))</f>
        <v/>
      </c>
      <c r="S3236" s="46">
        <f>R3236*INDEX(FmtCansPerCase,MATCH(F3236,FmtName,0))</f>
        <v/>
      </c>
      <c r="T3236" s="46">
        <f>S3236/INDEX(FmtCansPerPack,MATCH(F3236,FmtName,0))</f>
        <v/>
      </c>
      <c r="U3236" s="47">
        <f>INDEX(ProvOnline,MATCH(G3236,ProvCode,0))*(1+PriceIndex)</f>
        <v/>
      </c>
      <c r="V3236" s="47">
        <f>Q3236*U3236*INDEX(FmtBlendedPriceIdx,MATCH(F3236,FmtName,0))</f>
        <v/>
      </c>
      <c r="W3236" s="47">
        <f>V3236</f>
        <v/>
      </c>
      <c r="X3236" s="47">
        <f>IF(GrossBasis="Wholesale",V3236,W3236)</f>
        <v/>
      </c>
      <c r="Y3236" s="47">
        <f>R3236*INDEX(FmtBlendedCogs,MATCH(F3236,FmtName,0))</f>
        <v/>
      </c>
      <c r="Z3236" s="47">
        <f>X3236-Y3236</f>
        <v/>
      </c>
    </row>
    <row r="3237">
      <c r="A3237" t="n">
        <v>3</v>
      </c>
      <c r="B3237" s="44">
        <f>FiscalStart+(A3237-1)*7</f>
        <v/>
      </c>
      <c r="C3237">
        <f>TEXT(B3237,"mmm yyyy")</f>
        <v/>
      </c>
      <c r="D3237">
        <f>"Q"&amp;(INT((A3237-1)/13)+1)</f>
        <v/>
      </c>
      <c r="E3237" t="inlineStr">
        <is>
          <t>Online</t>
        </is>
      </c>
      <c r="F3237">
        <f>IFERROR(INDEX(ChFormat,MATCH(E3237,ChName,0)),"")</f>
        <v/>
      </c>
      <c r="G3237" t="inlineStr">
        <is>
          <t>AB</t>
        </is>
      </c>
      <c r="H3237">
        <f>IF(A3237&lt;=NWeeks,1,0)</f>
        <v/>
      </c>
      <c r="I3237">
        <f>INDEX(ChLaunch,MATCH(E3237,ChName,0))</f>
        <v/>
      </c>
      <c r="J3237">
        <f>INDEX(ChWeeksFull,MATCH(E3237,ChName,0))</f>
        <v/>
      </c>
      <c r="K3237">
        <f>INDEX(ChRamp,MATCH(E3237,ChName,0))</f>
        <v/>
      </c>
      <c r="L3237" s="45">
        <f>MIN(1,MAX(0,(A3237-I3237+1)*RampSpeed/J3237))</f>
        <v/>
      </c>
      <c r="M3237" s="45">
        <f>IF(A3237&lt;I3237,0,IF(K3237="S-curve",L3237*L3237*(3-2*L3237),L3237))</f>
        <v/>
      </c>
      <c r="N3237" s="45">
        <f>1+(INDEX(SeasonIdx,A3237)-1)*SeasonAmp</f>
        <v/>
      </c>
      <c r="O3237" s="45">
        <f>IFERROR(INDEX(PSPct,MATCH(E3237&amp;"|"&amp;G3237,PSKey,0)),0)</f>
        <v/>
      </c>
      <c r="P3237" s="46" t="n">
        <v>0</v>
      </c>
      <c r="Q3237" s="46">
        <f>INDEX(OnlineUnitsCol,A3237)*O3237*(1+OnlineGrowth)*N3237*H3237*IF(A3237&gt;=I3237,1,0)</f>
        <v/>
      </c>
      <c r="R3237" s="46">
        <f>Q3237*INDEX(FmtCansPerPack,MATCH(F3237,FmtName,0))/INDEX(FmtCansPerCase,MATCH(F3237,FmtName,0))</f>
        <v/>
      </c>
      <c r="S3237" s="46">
        <f>R3237*INDEX(FmtCansPerCase,MATCH(F3237,FmtName,0))</f>
        <v/>
      </c>
      <c r="T3237" s="46">
        <f>S3237/INDEX(FmtCansPerPack,MATCH(F3237,FmtName,0))</f>
        <v/>
      </c>
      <c r="U3237" s="47">
        <f>INDEX(ProvOnline,MATCH(G3237,ProvCode,0))*(1+PriceIndex)</f>
        <v/>
      </c>
      <c r="V3237" s="47">
        <f>Q3237*U3237*INDEX(FmtBlendedPriceIdx,MATCH(F3237,FmtName,0))</f>
        <v/>
      </c>
      <c r="W3237" s="47">
        <f>V3237</f>
        <v/>
      </c>
      <c r="X3237" s="47">
        <f>IF(GrossBasis="Wholesale",V3237,W3237)</f>
        <v/>
      </c>
      <c r="Y3237" s="47">
        <f>R3237*INDEX(FmtBlendedCogs,MATCH(F3237,FmtName,0))</f>
        <v/>
      </c>
      <c r="Z3237" s="47">
        <f>X3237-Y3237</f>
        <v/>
      </c>
    </row>
    <row r="3238">
      <c r="A3238" t="n">
        <v>4</v>
      </c>
      <c r="B3238" s="44">
        <f>FiscalStart+(A3238-1)*7</f>
        <v/>
      </c>
      <c r="C3238">
        <f>TEXT(B3238,"mmm yyyy")</f>
        <v/>
      </c>
      <c r="D3238">
        <f>"Q"&amp;(INT((A3238-1)/13)+1)</f>
        <v/>
      </c>
      <c r="E3238" t="inlineStr">
        <is>
          <t>Online</t>
        </is>
      </c>
      <c r="F3238">
        <f>IFERROR(INDEX(ChFormat,MATCH(E3238,ChName,0)),"")</f>
        <v/>
      </c>
      <c r="G3238" t="inlineStr">
        <is>
          <t>AB</t>
        </is>
      </c>
      <c r="H3238">
        <f>IF(A3238&lt;=NWeeks,1,0)</f>
        <v/>
      </c>
      <c r="I3238">
        <f>INDEX(ChLaunch,MATCH(E3238,ChName,0))</f>
        <v/>
      </c>
      <c r="J3238">
        <f>INDEX(ChWeeksFull,MATCH(E3238,ChName,0))</f>
        <v/>
      </c>
      <c r="K3238">
        <f>INDEX(ChRamp,MATCH(E3238,ChName,0))</f>
        <v/>
      </c>
      <c r="L3238" s="45">
        <f>MIN(1,MAX(0,(A3238-I3238+1)*RampSpeed/J3238))</f>
        <v/>
      </c>
      <c r="M3238" s="45">
        <f>IF(A3238&lt;I3238,0,IF(K3238="S-curve",L3238*L3238*(3-2*L3238),L3238))</f>
        <v/>
      </c>
      <c r="N3238" s="45">
        <f>1+(INDEX(SeasonIdx,A3238)-1)*SeasonAmp</f>
        <v/>
      </c>
      <c r="O3238" s="45">
        <f>IFERROR(INDEX(PSPct,MATCH(E3238&amp;"|"&amp;G3238,PSKey,0)),0)</f>
        <v/>
      </c>
      <c r="P3238" s="46" t="n">
        <v>0</v>
      </c>
      <c r="Q3238" s="46">
        <f>INDEX(OnlineUnitsCol,A3238)*O3238*(1+OnlineGrowth)*N3238*H3238*IF(A3238&gt;=I3238,1,0)</f>
        <v/>
      </c>
      <c r="R3238" s="46">
        <f>Q3238*INDEX(FmtCansPerPack,MATCH(F3238,FmtName,0))/INDEX(FmtCansPerCase,MATCH(F3238,FmtName,0))</f>
        <v/>
      </c>
      <c r="S3238" s="46">
        <f>R3238*INDEX(FmtCansPerCase,MATCH(F3238,FmtName,0))</f>
        <v/>
      </c>
      <c r="T3238" s="46">
        <f>S3238/INDEX(FmtCansPerPack,MATCH(F3238,FmtName,0))</f>
        <v/>
      </c>
      <c r="U3238" s="47">
        <f>INDEX(ProvOnline,MATCH(G3238,ProvCode,0))*(1+PriceIndex)</f>
        <v/>
      </c>
      <c r="V3238" s="47">
        <f>Q3238*U3238*INDEX(FmtBlendedPriceIdx,MATCH(F3238,FmtName,0))</f>
        <v/>
      </c>
      <c r="W3238" s="47">
        <f>V3238</f>
        <v/>
      </c>
      <c r="X3238" s="47">
        <f>IF(GrossBasis="Wholesale",V3238,W3238)</f>
        <v/>
      </c>
      <c r="Y3238" s="47">
        <f>R3238*INDEX(FmtBlendedCogs,MATCH(F3238,FmtName,0))</f>
        <v/>
      </c>
      <c r="Z3238" s="47">
        <f>X3238-Y3238</f>
        <v/>
      </c>
    </row>
    <row r="3239">
      <c r="A3239" t="n">
        <v>5</v>
      </c>
      <c r="B3239" s="44">
        <f>FiscalStart+(A3239-1)*7</f>
        <v/>
      </c>
      <c r="C3239">
        <f>TEXT(B3239,"mmm yyyy")</f>
        <v/>
      </c>
      <c r="D3239">
        <f>"Q"&amp;(INT((A3239-1)/13)+1)</f>
        <v/>
      </c>
      <c r="E3239" t="inlineStr">
        <is>
          <t>Online</t>
        </is>
      </c>
      <c r="F3239">
        <f>IFERROR(INDEX(ChFormat,MATCH(E3239,ChName,0)),"")</f>
        <v/>
      </c>
      <c r="G3239" t="inlineStr">
        <is>
          <t>AB</t>
        </is>
      </c>
      <c r="H3239">
        <f>IF(A3239&lt;=NWeeks,1,0)</f>
        <v/>
      </c>
      <c r="I3239">
        <f>INDEX(ChLaunch,MATCH(E3239,ChName,0))</f>
        <v/>
      </c>
      <c r="J3239">
        <f>INDEX(ChWeeksFull,MATCH(E3239,ChName,0))</f>
        <v/>
      </c>
      <c r="K3239">
        <f>INDEX(ChRamp,MATCH(E3239,ChName,0))</f>
        <v/>
      </c>
      <c r="L3239" s="45">
        <f>MIN(1,MAX(0,(A3239-I3239+1)*RampSpeed/J3239))</f>
        <v/>
      </c>
      <c r="M3239" s="45">
        <f>IF(A3239&lt;I3239,0,IF(K3239="S-curve",L3239*L3239*(3-2*L3239),L3239))</f>
        <v/>
      </c>
      <c r="N3239" s="45">
        <f>1+(INDEX(SeasonIdx,A3239)-1)*SeasonAmp</f>
        <v/>
      </c>
      <c r="O3239" s="45">
        <f>IFERROR(INDEX(PSPct,MATCH(E3239&amp;"|"&amp;G3239,PSKey,0)),0)</f>
        <v/>
      </c>
      <c r="P3239" s="46" t="n">
        <v>0</v>
      </c>
      <c r="Q3239" s="46">
        <f>INDEX(OnlineUnitsCol,A3239)*O3239*(1+OnlineGrowth)*N3239*H3239*IF(A3239&gt;=I3239,1,0)</f>
        <v/>
      </c>
      <c r="R3239" s="46">
        <f>Q3239*INDEX(FmtCansPerPack,MATCH(F3239,FmtName,0))/INDEX(FmtCansPerCase,MATCH(F3239,FmtName,0))</f>
        <v/>
      </c>
      <c r="S3239" s="46">
        <f>R3239*INDEX(FmtCansPerCase,MATCH(F3239,FmtName,0))</f>
        <v/>
      </c>
      <c r="T3239" s="46">
        <f>S3239/INDEX(FmtCansPerPack,MATCH(F3239,FmtName,0))</f>
        <v/>
      </c>
      <c r="U3239" s="47">
        <f>INDEX(ProvOnline,MATCH(G3239,ProvCode,0))*(1+PriceIndex)</f>
        <v/>
      </c>
      <c r="V3239" s="47">
        <f>Q3239*U3239*INDEX(FmtBlendedPriceIdx,MATCH(F3239,FmtName,0))</f>
        <v/>
      </c>
      <c r="W3239" s="47">
        <f>V3239</f>
        <v/>
      </c>
      <c r="X3239" s="47">
        <f>IF(GrossBasis="Wholesale",V3239,W3239)</f>
        <v/>
      </c>
      <c r="Y3239" s="47">
        <f>R3239*INDEX(FmtBlendedCogs,MATCH(F3239,FmtName,0))</f>
        <v/>
      </c>
      <c r="Z3239" s="47">
        <f>X3239-Y3239</f>
        <v/>
      </c>
    </row>
    <row r="3240">
      <c r="A3240" t="n">
        <v>6</v>
      </c>
      <c r="B3240" s="44">
        <f>FiscalStart+(A3240-1)*7</f>
        <v/>
      </c>
      <c r="C3240">
        <f>TEXT(B3240,"mmm yyyy")</f>
        <v/>
      </c>
      <c r="D3240">
        <f>"Q"&amp;(INT((A3240-1)/13)+1)</f>
        <v/>
      </c>
      <c r="E3240" t="inlineStr">
        <is>
          <t>Online</t>
        </is>
      </c>
      <c r="F3240">
        <f>IFERROR(INDEX(ChFormat,MATCH(E3240,ChName,0)),"")</f>
        <v/>
      </c>
      <c r="G3240" t="inlineStr">
        <is>
          <t>AB</t>
        </is>
      </c>
      <c r="H3240">
        <f>IF(A3240&lt;=NWeeks,1,0)</f>
        <v/>
      </c>
      <c r="I3240">
        <f>INDEX(ChLaunch,MATCH(E3240,ChName,0))</f>
        <v/>
      </c>
      <c r="J3240">
        <f>INDEX(ChWeeksFull,MATCH(E3240,ChName,0))</f>
        <v/>
      </c>
      <c r="K3240">
        <f>INDEX(ChRamp,MATCH(E3240,ChName,0))</f>
        <v/>
      </c>
      <c r="L3240" s="45">
        <f>MIN(1,MAX(0,(A3240-I3240+1)*RampSpeed/J3240))</f>
        <v/>
      </c>
      <c r="M3240" s="45">
        <f>IF(A3240&lt;I3240,0,IF(K3240="S-curve",L3240*L3240*(3-2*L3240),L3240))</f>
        <v/>
      </c>
      <c r="N3240" s="45">
        <f>1+(INDEX(SeasonIdx,A3240)-1)*SeasonAmp</f>
        <v/>
      </c>
      <c r="O3240" s="45">
        <f>IFERROR(INDEX(PSPct,MATCH(E3240&amp;"|"&amp;G3240,PSKey,0)),0)</f>
        <v/>
      </c>
      <c r="P3240" s="46" t="n">
        <v>0</v>
      </c>
      <c r="Q3240" s="46">
        <f>INDEX(OnlineUnitsCol,A3240)*O3240*(1+OnlineGrowth)*N3240*H3240*IF(A3240&gt;=I3240,1,0)</f>
        <v/>
      </c>
      <c r="R3240" s="46">
        <f>Q3240*INDEX(FmtCansPerPack,MATCH(F3240,FmtName,0))/INDEX(FmtCansPerCase,MATCH(F3240,FmtName,0))</f>
        <v/>
      </c>
      <c r="S3240" s="46">
        <f>R3240*INDEX(FmtCansPerCase,MATCH(F3240,FmtName,0))</f>
        <v/>
      </c>
      <c r="T3240" s="46">
        <f>S3240/INDEX(FmtCansPerPack,MATCH(F3240,FmtName,0))</f>
        <v/>
      </c>
      <c r="U3240" s="47">
        <f>INDEX(ProvOnline,MATCH(G3240,ProvCode,0))*(1+PriceIndex)</f>
        <v/>
      </c>
      <c r="V3240" s="47">
        <f>Q3240*U3240*INDEX(FmtBlendedPriceIdx,MATCH(F3240,FmtName,0))</f>
        <v/>
      </c>
      <c r="W3240" s="47">
        <f>V3240</f>
        <v/>
      </c>
      <c r="X3240" s="47">
        <f>IF(GrossBasis="Wholesale",V3240,W3240)</f>
        <v/>
      </c>
      <c r="Y3240" s="47">
        <f>R3240*INDEX(FmtBlendedCogs,MATCH(F3240,FmtName,0))</f>
        <v/>
      </c>
      <c r="Z3240" s="47">
        <f>X3240-Y3240</f>
        <v/>
      </c>
    </row>
    <row r="3241">
      <c r="A3241" t="n">
        <v>7</v>
      </c>
      <c r="B3241" s="44">
        <f>FiscalStart+(A3241-1)*7</f>
        <v/>
      </c>
      <c r="C3241">
        <f>TEXT(B3241,"mmm yyyy")</f>
        <v/>
      </c>
      <c r="D3241">
        <f>"Q"&amp;(INT((A3241-1)/13)+1)</f>
        <v/>
      </c>
      <c r="E3241" t="inlineStr">
        <is>
          <t>Online</t>
        </is>
      </c>
      <c r="F3241">
        <f>IFERROR(INDEX(ChFormat,MATCH(E3241,ChName,0)),"")</f>
        <v/>
      </c>
      <c r="G3241" t="inlineStr">
        <is>
          <t>AB</t>
        </is>
      </c>
      <c r="H3241">
        <f>IF(A3241&lt;=NWeeks,1,0)</f>
        <v/>
      </c>
      <c r="I3241">
        <f>INDEX(ChLaunch,MATCH(E3241,ChName,0))</f>
        <v/>
      </c>
      <c r="J3241">
        <f>INDEX(ChWeeksFull,MATCH(E3241,ChName,0))</f>
        <v/>
      </c>
      <c r="K3241">
        <f>INDEX(ChRamp,MATCH(E3241,ChName,0))</f>
        <v/>
      </c>
      <c r="L3241" s="45">
        <f>MIN(1,MAX(0,(A3241-I3241+1)*RampSpeed/J3241))</f>
        <v/>
      </c>
      <c r="M3241" s="45">
        <f>IF(A3241&lt;I3241,0,IF(K3241="S-curve",L3241*L3241*(3-2*L3241),L3241))</f>
        <v/>
      </c>
      <c r="N3241" s="45">
        <f>1+(INDEX(SeasonIdx,A3241)-1)*SeasonAmp</f>
        <v/>
      </c>
      <c r="O3241" s="45">
        <f>IFERROR(INDEX(PSPct,MATCH(E3241&amp;"|"&amp;G3241,PSKey,0)),0)</f>
        <v/>
      </c>
      <c r="P3241" s="46" t="n">
        <v>0</v>
      </c>
      <c r="Q3241" s="46">
        <f>INDEX(OnlineUnitsCol,A3241)*O3241*(1+OnlineGrowth)*N3241*H3241*IF(A3241&gt;=I3241,1,0)</f>
        <v/>
      </c>
      <c r="R3241" s="46">
        <f>Q3241*INDEX(FmtCansPerPack,MATCH(F3241,FmtName,0))/INDEX(FmtCansPerCase,MATCH(F3241,FmtName,0))</f>
        <v/>
      </c>
      <c r="S3241" s="46">
        <f>R3241*INDEX(FmtCansPerCase,MATCH(F3241,FmtName,0))</f>
        <v/>
      </c>
      <c r="T3241" s="46">
        <f>S3241/INDEX(FmtCansPerPack,MATCH(F3241,FmtName,0))</f>
        <v/>
      </c>
      <c r="U3241" s="47">
        <f>INDEX(ProvOnline,MATCH(G3241,ProvCode,0))*(1+PriceIndex)</f>
        <v/>
      </c>
      <c r="V3241" s="47">
        <f>Q3241*U3241*INDEX(FmtBlendedPriceIdx,MATCH(F3241,FmtName,0))</f>
        <v/>
      </c>
      <c r="W3241" s="47">
        <f>V3241</f>
        <v/>
      </c>
      <c r="X3241" s="47">
        <f>IF(GrossBasis="Wholesale",V3241,W3241)</f>
        <v/>
      </c>
      <c r="Y3241" s="47">
        <f>R3241*INDEX(FmtBlendedCogs,MATCH(F3241,FmtName,0))</f>
        <v/>
      </c>
      <c r="Z3241" s="47">
        <f>X3241-Y3241</f>
        <v/>
      </c>
    </row>
    <row r="3242">
      <c r="A3242" t="n">
        <v>8</v>
      </c>
      <c r="B3242" s="44">
        <f>FiscalStart+(A3242-1)*7</f>
        <v/>
      </c>
      <c r="C3242">
        <f>TEXT(B3242,"mmm yyyy")</f>
        <v/>
      </c>
      <c r="D3242">
        <f>"Q"&amp;(INT((A3242-1)/13)+1)</f>
        <v/>
      </c>
      <c r="E3242" t="inlineStr">
        <is>
          <t>Online</t>
        </is>
      </c>
      <c r="F3242">
        <f>IFERROR(INDEX(ChFormat,MATCH(E3242,ChName,0)),"")</f>
        <v/>
      </c>
      <c r="G3242" t="inlineStr">
        <is>
          <t>AB</t>
        </is>
      </c>
      <c r="H3242">
        <f>IF(A3242&lt;=NWeeks,1,0)</f>
        <v/>
      </c>
      <c r="I3242">
        <f>INDEX(ChLaunch,MATCH(E3242,ChName,0))</f>
        <v/>
      </c>
      <c r="J3242">
        <f>INDEX(ChWeeksFull,MATCH(E3242,ChName,0))</f>
        <v/>
      </c>
      <c r="K3242">
        <f>INDEX(ChRamp,MATCH(E3242,ChName,0))</f>
        <v/>
      </c>
      <c r="L3242" s="45">
        <f>MIN(1,MAX(0,(A3242-I3242+1)*RampSpeed/J3242))</f>
        <v/>
      </c>
      <c r="M3242" s="45">
        <f>IF(A3242&lt;I3242,0,IF(K3242="S-curve",L3242*L3242*(3-2*L3242),L3242))</f>
        <v/>
      </c>
      <c r="N3242" s="45">
        <f>1+(INDEX(SeasonIdx,A3242)-1)*SeasonAmp</f>
        <v/>
      </c>
      <c r="O3242" s="45">
        <f>IFERROR(INDEX(PSPct,MATCH(E3242&amp;"|"&amp;G3242,PSKey,0)),0)</f>
        <v/>
      </c>
      <c r="P3242" s="46" t="n">
        <v>0</v>
      </c>
      <c r="Q3242" s="46">
        <f>INDEX(OnlineUnitsCol,A3242)*O3242*(1+OnlineGrowth)*N3242*H3242*IF(A3242&gt;=I3242,1,0)</f>
        <v/>
      </c>
      <c r="R3242" s="46">
        <f>Q3242*INDEX(FmtCansPerPack,MATCH(F3242,FmtName,0))/INDEX(FmtCansPerCase,MATCH(F3242,FmtName,0))</f>
        <v/>
      </c>
      <c r="S3242" s="46">
        <f>R3242*INDEX(FmtCansPerCase,MATCH(F3242,FmtName,0))</f>
        <v/>
      </c>
      <c r="T3242" s="46">
        <f>S3242/INDEX(FmtCansPerPack,MATCH(F3242,FmtName,0))</f>
        <v/>
      </c>
      <c r="U3242" s="47">
        <f>INDEX(ProvOnline,MATCH(G3242,ProvCode,0))*(1+PriceIndex)</f>
        <v/>
      </c>
      <c r="V3242" s="47">
        <f>Q3242*U3242*INDEX(FmtBlendedPriceIdx,MATCH(F3242,FmtName,0))</f>
        <v/>
      </c>
      <c r="W3242" s="47">
        <f>V3242</f>
        <v/>
      </c>
      <c r="X3242" s="47">
        <f>IF(GrossBasis="Wholesale",V3242,W3242)</f>
        <v/>
      </c>
      <c r="Y3242" s="47">
        <f>R3242*INDEX(FmtBlendedCogs,MATCH(F3242,FmtName,0))</f>
        <v/>
      </c>
      <c r="Z3242" s="47">
        <f>X3242-Y3242</f>
        <v/>
      </c>
    </row>
    <row r="3243">
      <c r="A3243" t="n">
        <v>9</v>
      </c>
      <c r="B3243" s="44">
        <f>FiscalStart+(A3243-1)*7</f>
        <v/>
      </c>
      <c r="C3243">
        <f>TEXT(B3243,"mmm yyyy")</f>
        <v/>
      </c>
      <c r="D3243">
        <f>"Q"&amp;(INT((A3243-1)/13)+1)</f>
        <v/>
      </c>
      <c r="E3243" t="inlineStr">
        <is>
          <t>Online</t>
        </is>
      </c>
      <c r="F3243">
        <f>IFERROR(INDEX(ChFormat,MATCH(E3243,ChName,0)),"")</f>
        <v/>
      </c>
      <c r="G3243" t="inlineStr">
        <is>
          <t>AB</t>
        </is>
      </c>
      <c r="H3243">
        <f>IF(A3243&lt;=NWeeks,1,0)</f>
        <v/>
      </c>
      <c r="I3243">
        <f>INDEX(ChLaunch,MATCH(E3243,ChName,0))</f>
        <v/>
      </c>
      <c r="J3243">
        <f>INDEX(ChWeeksFull,MATCH(E3243,ChName,0))</f>
        <v/>
      </c>
      <c r="K3243">
        <f>INDEX(ChRamp,MATCH(E3243,ChName,0))</f>
        <v/>
      </c>
      <c r="L3243" s="45">
        <f>MIN(1,MAX(0,(A3243-I3243+1)*RampSpeed/J3243))</f>
        <v/>
      </c>
      <c r="M3243" s="45">
        <f>IF(A3243&lt;I3243,0,IF(K3243="S-curve",L3243*L3243*(3-2*L3243),L3243))</f>
        <v/>
      </c>
      <c r="N3243" s="45">
        <f>1+(INDEX(SeasonIdx,A3243)-1)*SeasonAmp</f>
        <v/>
      </c>
      <c r="O3243" s="45">
        <f>IFERROR(INDEX(PSPct,MATCH(E3243&amp;"|"&amp;G3243,PSKey,0)),0)</f>
        <v/>
      </c>
      <c r="P3243" s="46" t="n">
        <v>0</v>
      </c>
      <c r="Q3243" s="46">
        <f>INDEX(OnlineUnitsCol,A3243)*O3243*(1+OnlineGrowth)*N3243*H3243*IF(A3243&gt;=I3243,1,0)</f>
        <v/>
      </c>
      <c r="R3243" s="46">
        <f>Q3243*INDEX(FmtCansPerPack,MATCH(F3243,FmtName,0))/INDEX(FmtCansPerCase,MATCH(F3243,FmtName,0))</f>
        <v/>
      </c>
      <c r="S3243" s="46">
        <f>R3243*INDEX(FmtCansPerCase,MATCH(F3243,FmtName,0))</f>
        <v/>
      </c>
      <c r="T3243" s="46">
        <f>S3243/INDEX(FmtCansPerPack,MATCH(F3243,FmtName,0))</f>
        <v/>
      </c>
      <c r="U3243" s="47">
        <f>INDEX(ProvOnline,MATCH(G3243,ProvCode,0))*(1+PriceIndex)</f>
        <v/>
      </c>
      <c r="V3243" s="47">
        <f>Q3243*U3243*INDEX(FmtBlendedPriceIdx,MATCH(F3243,FmtName,0))</f>
        <v/>
      </c>
      <c r="W3243" s="47">
        <f>V3243</f>
        <v/>
      </c>
      <c r="X3243" s="47">
        <f>IF(GrossBasis="Wholesale",V3243,W3243)</f>
        <v/>
      </c>
      <c r="Y3243" s="47">
        <f>R3243*INDEX(FmtBlendedCogs,MATCH(F3243,FmtName,0))</f>
        <v/>
      </c>
      <c r="Z3243" s="47">
        <f>X3243-Y3243</f>
        <v/>
      </c>
    </row>
    <row r="3244">
      <c r="A3244" t="n">
        <v>10</v>
      </c>
      <c r="B3244" s="44">
        <f>FiscalStart+(A3244-1)*7</f>
        <v/>
      </c>
      <c r="C3244">
        <f>TEXT(B3244,"mmm yyyy")</f>
        <v/>
      </c>
      <c r="D3244">
        <f>"Q"&amp;(INT((A3244-1)/13)+1)</f>
        <v/>
      </c>
      <c r="E3244" t="inlineStr">
        <is>
          <t>Online</t>
        </is>
      </c>
      <c r="F3244">
        <f>IFERROR(INDEX(ChFormat,MATCH(E3244,ChName,0)),"")</f>
        <v/>
      </c>
      <c r="G3244" t="inlineStr">
        <is>
          <t>AB</t>
        </is>
      </c>
      <c r="H3244">
        <f>IF(A3244&lt;=NWeeks,1,0)</f>
        <v/>
      </c>
      <c r="I3244">
        <f>INDEX(ChLaunch,MATCH(E3244,ChName,0))</f>
        <v/>
      </c>
      <c r="J3244">
        <f>INDEX(ChWeeksFull,MATCH(E3244,ChName,0))</f>
        <v/>
      </c>
      <c r="K3244">
        <f>INDEX(ChRamp,MATCH(E3244,ChName,0))</f>
        <v/>
      </c>
      <c r="L3244" s="45">
        <f>MIN(1,MAX(0,(A3244-I3244+1)*RampSpeed/J3244))</f>
        <v/>
      </c>
      <c r="M3244" s="45">
        <f>IF(A3244&lt;I3244,0,IF(K3244="S-curve",L3244*L3244*(3-2*L3244),L3244))</f>
        <v/>
      </c>
      <c r="N3244" s="45">
        <f>1+(INDEX(SeasonIdx,A3244)-1)*SeasonAmp</f>
        <v/>
      </c>
      <c r="O3244" s="45">
        <f>IFERROR(INDEX(PSPct,MATCH(E3244&amp;"|"&amp;G3244,PSKey,0)),0)</f>
        <v/>
      </c>
      <c r="P3244" s="46" t="n">
        <v>0</v>
      </c>
      <c r="Q3244" s="46">
        <f>INDEX(OnlineUnitsCol,A3244)*O3244*(1+OnlineGrowth)*N3244*H3244*IF(A3244&gt;=I3244,1,0)</f>
        <v/>
      </c>
      <c r="R3244" s="46">
        <f>Q3244*INDEX(FmtCansPerPack,MATCH(F3244,FmtName,0))/INDEX(FmtCansPerCase,MATCH(F3244,FmtName,0))</f>
        <v/>
      </c>
      <c r="S3244" s="46">
        <f>R3244*INDEX(FmtCansPerCase,MATCH(F3244,FmtName,0))</f>
        <v/>
      </c>
      <c r="T3244" s="46">
        <f>S3244/INDEX(FmtCansPerPack,MATCH(F3244,FmtName,0))</f>
        <v/>
      </c>
      <c r="U3244" s="47">
        <f>INDEX(ProvOnline,MATCH(G3244,ProvCode,0))*(1+PriceIndex)</f>
        <v/>
      </c>
      <c r="V3244" s="47">
        <f>Q3244*U3244*INDEX(FmtBlendedPriceIdx,MATCH(F3244,FmtName,0))</f>
        <v/>
      </c>
      <c r="W3244" s="47">
        <f>V3244</f>
        <v/>
      </c>
      <c r="X3244" s="47">
        <f>IF(GrossBasis="Wholesale",V3244,W3244)</f>
        <v/>
      </c>
      <c r="Y3244" s="47">
        <f>R3244*INDEX(FmtBlendedCogs,MATCH(F3244,FmtName,0))</f>
        <v/>
      </c>
      <c r="Z3244" s="47">
        <f>X3244-Y3244</f>
        <v/>
      </c>
    </row>
    <row r="3245">
      <c r="A3245" t="n">
        <v>11</v>
      </c>
      <c r="B3245" s="44">
        <f>FiscalStart+(A3245-1)*7</f>
        <v/>
      </c>
      <c r="C3245">
        <f>TEXT(B3245,"mmm yyyy")</f>
        <v/>
      </c>
      <c r="D3245">
        <f>"Q"&amp;(INT((A3245-1)/13)+1)</f>
        <v/>
      </c>
      <c r="E3245" t="inlineStr">
        <is>
          <t>Online</t>
        </is>
      </c>
      <c r="F3245">
        <f>IFERROR(INDEX(ChFormat,MATCH(E3245,ChName,0)),"")</f>
        <v/>
      </c>
      <c r="G3245" t="inlineStr">
        <is>
          <t>AB</t>
        </is>
      </c>
      <c r="H3245">
        <f>IF(A3245&lt;=NWeeks,1,0)</f>
        <v/>
      </c>
      <c r="I3245">
        <f>INDEX(ChLaunch,MATCH(E3245,ChName,0))</f>
        <v/>
      </c>
      <c r="J3245">
        <f>INDEX(ChWeeksFull,MATCH(E3245,ChName,0))</f>
        <v/>
      </c>
      <c r="K3245">
        <f>INDEX(ChRamp,MATCH(E3245,ChName,0))</f>
        <v/>
      </c>
      <c r="L3245" s="45">
        <f>MIN(1,MAX(0,(A3245-I3245+1)*RampSpeed/J3245))</f>
        <v/>
      </c>
      <c r="M3245" s="45">
        <f>IF(A3245&lt;I3245,0,IF(K3245="S-curve",L3245*L3245*(3-2*L3245),L3245))</f>
        <v/>
      </c>
      <c r="N3245" s="45">
        <f>1+(INDEX(SeasonIdx,A3245)-1)*SeasonAmp</f>
        <v/>
      </c>
      <c r="O3245" s="45">
        <f>IFERROR(INDEX(PSPct,MATCH(E3245&amp;"|"&amp;G3245,PSKey,0)),0)</f>
        <v/>
      </c>
      <c r="P3245" s="46" t="n">
        <v>0</v>
      </c>
      <c r="Q3245" s="46">
        <f>INDEX(OnlineUnitsCol,A3245)*O3245*(1+OnlineGrowth)*N3245*H3245*IF(A3245&gt;=I3245,1,0)</f>
        <v/>
      </c>
      <c r="R3245" s="46">
        <f>Q3245*INDEX(FmtCansPerPack,MATCH(F3245,FmtName,0))/INDEX(FmtCansPerCase,MATCH(F3245,FmtName,0))</f>
        <v/>
      </c>
      <c r="S3245" s="46">
        <f>R3245*INDEX(FmtCansPerCase,MATCH(F3245,FmtName,0))</f>
        <v/>
      </c>
      <c r="T3245" s="46">
        <f>S3245/INDEX(FmtCansPerPack,MATCH(F3245,FmtName,0))</f>
        <v/>
      </c>
      <c r="U3245" s="47">
        <f>INDEX(ProvOnline,MATCH(G3245,ProvCode,0))*(1+PriceIndex)</f>
        <v/>
      </c>
      <c r="V3245" s="47">
        <f>Q3245*U3245*INDEX(FmtBlendedPriceIdx,MATCH(F3245,FmtName,0))</f>
        <v/>
      </c>
      <c r="W3245" s="47">
        <f>V3245</f>
        <v/>
      </c>
      <c r="X3245" s="47">
        <f>IF(GrossBasis="Wholesale",V3245,W3245)</f>
        <v/>
      </c>
      <c r="Y3245" s="47">
        <f>R3245*INDEX(FmtBlendedCogs,MATCH(F3245,FmtName,0))</f>
        <v/>
      </c>
      <c r="Z3245" s="47">
        <f>X3245-Y3245</f>
        <v/>
      </c>
    </row>
    <row r="3246">
      <c r="A3246" t="n">
        <v>12</v>
      </c>
      <c r="B3246" s="44">
        <f>FiscalStart+(A3246-1)*7</f>
        <v/>
      </c>
      <c r="C3246">
        <f>TEXT(B3246,"mmm yyyy")</f>
        <v/>
      </c>
      <c r="D3246">
        <f>"Q"&amp;(INT((A3246-1)/13)+1)</f>
        <v/>
      </c>
      <c r="E3246" t="inlineStr">
        <is>
          <t>Online</t>
        </is>
      </c>
      <c r="F3246">
        <f>IFERROR(INDEX(ChFormat,MATCH(E3246,ChName,0)),"")</f>
        <v/>
      </c>
      <c r="G3246" t="inlineStr">
        <is>
          <t>AB</t>
        </is>
      </c>
      <c r="H3246">
        <f>IF(A3246&lt;=NWeeks,1,0)</f>
        <v/>
      </c>
      <c r="I3246">
        <f>INDEX(ChLaunch,MATCH(E3246,ChName,0))</f>
        <v/>
      </c>
      <c r="J3246">
        <f>INDEX(ChWeeksFull,MATCH(E3246,ChName,0))</f>
        <v/>
      </c>
      <c r="K3246">
        <f>INDEX(ChRamp,MATCH(E3246,ChName,0))</f>
        <v/>
      </c>
      <c r="L3246" s="45">
        <f>MIN(1,MAX(0,(A3246-I3246+1)*RampSpeed/J3246))</f>
        <v/>
      </c>
      <c r="M3246" s="45">
        <f>IF(A3246&lt;I3246,0,IF(K3246="S-curve",L3246*L3246*(3-2*L3246),L3246))</f>
        <v/>
      </c>
      <c r="N3246" s="45">
        <f>1+(INDEX(SeasonIdx,A3246)-1)*SeasonAmp</f>
        <v/>
      </c>
      <c r="O3246" s="45">
        <f>IFERROR(INDEX(PSPct,MATCH(E3246&amp;"|"&amp;G3246,PSKey,0)),0)</f>
        <v/>
      </c>
      <c r="P3246" s="46" t="n">
        <v>0</v>
      </c>
      <c r="Q3246" s="46">
        <f>INDEX(OnlineUnitsCol,A3246)*O3246*(1+OnlineGrowth)*N3246*H3246*IF(A3246&gt;=I3246,1,0)</f>
        <v/>
      </c>
      <c r="R3246" s="46">
        <f>Q3246*INDEX(FmtCansPerPack,MATCH(F3246,FmtName,0))/INDEX(FmtCansPerCase,MATCH(F3246,FmtName,0))</f>
        <v/>
      </c>
      <c r="S3246" s="46">
        <f>R3246*INDEX(FmtCansPerCase,MATCH(F3246,FmtName,0))</f>
        <v/>
      </c>
      <c r="T3246" s="46">
        <f>S3246/INDEX(FmtCansPerPack,MATCH(F3246,FmtName,0))</f>
        <v/>
      </c>
      <c r="U3246" s="47">
        <f>INDEX(ProvOnline,MATCH(G3246,ProvCode,0))*(1+PriceIndex)</f>
        <v/>
      </c>
      <c r="V3246" s="47">
        <f>Q3246*U3246*INDEX(FmtBlendedPriceIdx,MATCH(F3246,FmtName,0))</f>
        <v/>
      </c>
      <c r="W3246" s="47">
        <f>V3246</f>
        <v/>
      </c>
      <c r="X3246" s="47">
        <f>IF(GrossBasis="Wholesale",V3246,W3246)</f>
        <v/>
      </c>
      <c r="Y3246" s="47">
        <f>R3246*INDEX(FmtBlendedCogs,MATCH(F3246,FmtName,0))</f>
        <v/>
      </c>
      <c r="Z3246" s="47">
        <f>X3246-Y3246</f>
        <v/>
      </c>
    </row>
    <row r="3247">
      <c r="A3247" t="n">
        <v>13</v>
      </c>
      <c r="B3247" s="44">
        <f>FiscalStart+(A3247-1)*7</f>
        <v/>
      </c>
      <c r="C3247">
        <f>TEXT(B3247,"mmm yyyy")</f>
        <v/>
      </c>
      <c r="D3247">
        <f>"Q"&amp;(INT((A3247-1)/13)+1)</f>
        <v/>
      </c>
      <c r="E3247" t="inlineStr">
        <is>
          <t>Online</t>
        </is>
      </c>
      <c r="F3247">
        <f>IFERROR(INDEX(ChFormat,MATCH(E3247,ChName,0)),"")</f>
        <v/>
      </c>
      <c r="G3247" t="inlineStr">
        <is>
          <t>AB</t>
        </is>
      </c>
      <c r="H3247">
        <f>IF(A3247&lt;=NWeeks,1,0)</f>
        <v/>
      </c>
      <c r="I3247">
        <f>INDEX(ChLaunch,MATCH(E3247,ChName,0))</f>
        <v/>
      </c>
      <c r="J3247">
        <f>INDEX(ChWeeksFull,MATCH(E3247,ChName,0))</f>
        <v/>
      </c>
      <c r="K3247">
        <f>INDEX(ChRamp,MATCH(E3247,ChName,0))</f>
        <v/>
      </c>
      <c r="L3247" s="45">
        <f>MIN(1,MAX(0,(A3247-I3247+1)*RampSpeed/J3247))</f>
        <v/>
      </c>
      <c r="M3247" s="45">
        <f>IF(A3247&lt;I3247,0,IF(K3247="S-curve",L3247*L3247*(3-2*L3247),L3247))</f>
        <v/>
      </c>
      <c r="N3247" s="45">
        <f>1+(INDEX(SeasonIdx,A3247)-1)*SeasonAmp</f>
        <v/>
      </c>
      <c r="O3247" s="45">
        <f>IFERROR(INDEX(PSPct,MATCH(E3247&amp;"|"&amp;G3247,PSKey,0)),0)</f>
        <v/>
      </c>
      <c r="P3247" s="46" t="n">
        <v>0</v>
      </c>
      <c r="Q3247" s="46">
        <f>INDEX(OnlineUnitsCol,A3247)*O3247*(1+OnlineGrowth)*N3247*H3247*IF(A3247&gt;=I3247,1,0)</f>
        <v/>
      </c>
      <c r="R3247" s="46">
        <f>Q3247*INDEX(FmtCansPerPack,MATCH(F3247,FmtName,0))/INDEX(FmtCansPerCase,MATCH(F3247,FmtName,0))</f>
        <v/>
      </c>
      <c r="S3247" s="46">
        <f>R3247*INDEX(FmtCansPerCase,MATCH(F3247,FmtName,0))</f>
        <v/>
      </c>
      <c r="T3247" s="46">
        <f>S3247/INDEX(FmtCansPerPack,MATCH(F3247,FmtName,0))</f>
        <v/>
      </c>
      <c r="U3247" s="47">
        <f>INDEX(ProvOnline,MATCH(G3247,ProvCode,0))*(1+PriceIndex)</f>
        <v/>
      </c>
      <c r="V3247" s="47">
        <f>Q3247*U3247*INDEX(FmtBlendedPriceIdx,MATCH(F3247,FmtName,0))</f>
        <v/>
      </c>
      <c r="W3247" s="47">
        <f>V3247</f>
        <v/>
      </c>
      <c r="X3247" s="47">
        <f>IF(GrossBasis="Wholesale",V3247,W3247)</f>
        <v/>
      </c>
      <c r="Y3247" s="47">
        <f>R3247*INDEX(FmtBlendedCogs,MATCH(F3247,FmtName,0))</f>
        <v/>
      </c>
      <c r="Z3247" s="47">
        <f>X3247-Y3247</f>
        <v/>
      </c>
    </row>
    <row r="3248">
      <c r="A3248" t="n">
        <v>14</v>
      </c>
      <c r="B3248" s="44">
        <f>FiscalStart+(A3248-1)*7</f>
        <v/>
      </c>
      <c r="C3248">
        <f>TEXT(B3248,"mmm yyyy")</f>
        <v/>
      </c>
      <c r="D3248">
        <f>"Q"&amp;(INT((A3248-1)/13)+1)</f>
        <v/>
      </c>
      <c r="E3248" t="inlineStr">
        <is>
          <t>Online</t>
        </is>
      </c>
      <c r="F3248">
        <f>IFERROR(INDEX(ChFormat,MATCH(E3248,ChName,0)),"")</f>
        <v/>
      </c>
      <c r="G3248" t="inlineStr">
        <is>
          <t>AB</t>
        </is>
      </c>
      <c r="H3248">
        <f>IF(A3248&lt;=NWeeks,1,0)</f>
        <v/>
      </c>
      <c r="I3248">
        <f>INDEX(ChLaunch,MATCH(E3248,ChName,0))</f>
        <v/>
      </c>
      <c r="J3248">
        <f>INDEX(ChWeeksFull,MATCH(E3248,ChName,0))</f>
        <v/>
      </c>
      <c r="K3248">
        <f>INDEX(ChRamp,MATCH(E3248,ChName,0))</f>
        <v/>
      </c>
      <c r="L3248" s="45">
        <f>MIN(1,MAX(0,(A3248-I3248+1)*RampSpeed/J3248))</f>
        <v/>
      </c>
      <c r="M3248" s="45">
        <f>IF(A3248&lt;I3248,0,IF(K3248="S-curve",L3248*L3248*(3-2*L3248),L3248))</f>
        <v/>
      </c>
      <c r="N3248" s="45">
        <f>1+(INDEX(SeasonIdx,A3248)-1)*SeasonAmp</f>
        <v/>
      </c>
      <c r="O3248" s="45">
        <f>IFERROR(INDEX(PSPct,MATCH(E3248&amp;"|"&amp;G3248,PSKey,0)),0)</f>
        <v/>
      </c>
      <c r="P3248" s="46" t="n">
        <v>0</v>
      </c>
      <c r="Q3248" s="46">
        <f>INDEX(OnlineUnitsCol,A3248)*O3248*(1+OnlineGrowth)*N3248*H3248*IF(A3248&gt;=I3248,1,0)</f>
        <v/>
      </c>
      <c r="R3248" s="46">
        <f>Q3248*INDEX(FmtCansPerPack,MATCH(F3248,FmtName,0))/INDEX(FmtCansPerCase,MATCH(F3248,FmtName,0))</f>
        <v/>
      </c>
      <c r="S3248" s="46">
        <f>R3248*INDEX(FmtCansPerCase,MATCH(F3248,FmtName,0))</f>
        <v/>
      </c>
      <c r="T3248" s="46">
        <f>S3248/INDEX(FmtCansPerPack,MATCH(F3248,FmtName,0))</f>
        <v/>
      </c>
      <c r="U3248" s="47">
        <f>INDEX(ProvOnline,MATCH(G3248,ProvCode,0))*(1+PriceIndex)</f>
        <v/>
      </c>
      <c r="V3248" s="47">
        <f>Q3248*U3248*INDEX(FmtBlendedPriceIdx,MATCH(F3248,FmtName,0))</f>
        <v/>
      </c>
      <c r="W3248" s="47">
        <f>V3248</f>
        <v/>
      </c>
      <c r="X3248" s="47">
        <f>IF(GrossBasis="Wholesale",V3248,W3248)</f>
        <v/>
      </c>
      <c r="Y3248" s="47">
        <f>R3248*INDEX(FmtBlendedCogs,MATCH(F3248,FmtName,0))</f>
        <v/>
      </c>
      <c r="Z3248" s="47">
        <f>X3248-Y3248</f>
        <v/>
      </c>
    </row>
    <row r="3249">
      <c r="A3249" t="n">
        <v>15</v>
      </c>
      <c r="B3249" s="44">
        <f>FiscalStart+(A3249-1)*7</f>
        <v/>
      </c>
      <c r="C3249">
        <f>TEXT(B3249,"mmm yyyy")</f>
        <v/>
      </c>
      <c r="D3249">
        <f>"Q"&amp;(INT((A3249-1)/13)+1)</f>
        <v/>
      </c>
      <c r="E3249" t="inlineStr">
        <is>
          <t>Online</t>
        </is>
      </c>
      <c r="F3249">
        <f>IFERROR(INDEX(ChFormat,MATCH(E3249,ChName,0)),"")</f>
        <v/>
      </c>
      <c r="G3249" t="inlineStr">
        <is>
          <t>AB</t>
        </is>
      </c>
      <c r="H3249">
        <f>IF(A3249&lt;=NWeeks,1,0)</f>
        <v/>
      </c>
      <c r="I3249">
        <f>INDEX(ChLaunch,MATCH(E3249,ChName,0))</f>
        <v/>
      </c>
      <c r="J3249">
        <f>INDEX(ChWeeksFull,MATCH(E3249,ChName,0))</f>
        <v/>
      </c>
      <c r="K3249">
        <f>INDEX(ChRamp,MATCH(E3249,ChName,0))</f>
        <v/>
      </c>
      <c r="L3249" s="45">
        <f>MIN(1,MAX(0,(A3249-I3249+1)*RampSpeed/J3249))</f>
        <v/>
      </c>
      <c r="M3249" s="45">
        <f>IF(A3249&lt;I3249,0,IF(K3249="S-curve",L3249*L3249*(3-2*L3249),L3249))</f>
        <v/>
      </c>
      <c r="N3249" s="45">
        <f>1+(INDEX(SeasonIdx,A3249)-1)*SeasonAmp</f>
        <v/>
      </c>
      <c r="O3249" s="45">
        <f>IFERROR(INDEX(PSPct,MATCH(E3249&amp;"|"&amp;G3249,PSKey,0)),0)</f>
        <v/>
      </c>
      <c r="P3249" s="46" t="n">
        <v>0</v>
      </c>
      <c r="Q3249" s="46">
        <f>INDEX(OnlineUnitsCol,A3249)*O3249*(1+OnlineGrowth)*N3249*H3249*IF(A3249&gt;=I3249,1,0)</f>
        <v/>
      </c>
      <c r="R3249" s="46">
        <f>Q3249*INDEX(FmtCansPerPack,MATCH(F3249,FmtName,0))/INDEX(FmtCansPerCase,MATCH(F3249,FmtName,0))</f>
        <v/>
      </c>
      <c r="S3249" s="46">
        <f>R3249*INDEX(FmtCansPerCase,MATCH(F3249,FmtName,0))</f>
        <v/>
      </c>
      <c r="T3249" s="46">
        <f>S3249/INDEX(FmtCansPerPack,MATCH(F3249,FmtName,0))</f>
        <v/>
      </c>
      <c r="U3249" s="47">
        <f>INDEX(ProvOnline,MATCH(G3249,ProvCode,0))*(1+PriceIndex)</f>
        <v/>
      </c>
      <c r="V3249" s="47">
        <f>Q3249*U3249*INDEX(FmtBlendedPriceIdx,MATCH(F3249,FmtName,0))</f>
        <v/>
      </c>
      <c r="W3249" s="47">
        <f>V3249</f>
        <v/>
      </c>
      <c r="X3249" s="47">
        <f>IF(GrossBasis="Wholesale",V3249,W3249)</f>
        <v/>
      </c>
      <c r="Y3249" s="47">
        <f>R3249*INDEX(FmtBlendedCogs,MATCH(F3249,FmtName,0))</f>
        <v/>
      </c>
      <c r="Z3249" s="47">
        <f>X3249-Y3249</f>
        <v/>
      </c>
    </row>
    <row r="3250">
      <c r="A3250" t="n">
        <v>16</v>
      </c>
      <c r="B3250" s="44">
        <f>FiscalStart+(A3250-1)*7</f>
        <v/>
      </c>
      <c r="C3250">
        <f>TEXT(B3250,"mmm yyyy")</f>
        <v/>
      </c>
      <c r="D3250">
        <f>"Q"&amp;(INT((A3250-1)/13)+1)</f>
        <v/>
      </c>
      <c r="E3250" t="inlineStr">
        <is>
          <t>Online</t>
        </is>
      </c>
      <c r="F3250">
        <f>IFERROR(INDEX(ChFormat,MATCH(E3250,ChName,0)),"")</f>
        <v/>
      </c>
      <c r="G3250" t="inlineStr">
        <is>
          <t>AB</t>
        </is>
      </c>
      <c r="H3250">
        <f>IF(A3250&lt;=NWeeks,1,0)</f>
        <v/>
      </c>
      <c r="I3250">
        <f>INDEX(ChLaunch,MATCH(E3250,ChName,0))</f>
        <v/>
      </c>
      <c r="J3250">
        <f>INDEX(ChWeeksFull,MATCH(E3250,ChName,0))</f>
        <v/>
      </c>
      <c r="K3250">
        <f>INDEX(ChRamp,MATCH(E3250,ChName,0))</f>
        <v/>
      </c>
      <c r="L3250" s="45">
        <f>MIN(1,MAX(0,(A3250-I3250+1)*RampSpeed/J3250))</f>
        <v/>
      </c>
      <c r="M3250" s="45">
        <f>IF(A3250&lt;I3250,0,IF(K3250="S-curve",L3250*L3250*(3-2*L3250),L3250))</f>
        <v/>
      </c>
      <c r="N3250" s="45">
        <f>1+(INDEX(SeasonIdx,A3250)-1)*SeasonAmp</f>
        <v/>
      </c>
      <c r="O3250" s="45">
        <f>IFERROR(INDEX(PSPct,MATCH(E3250&amp;"|"&amp;G3250,PSKey,0)),0)</f>
        <v/>
      </c>
      <c r="P3250" s="46" t="n">
        <v>0</v>
      </c>
      <c r="Q3250" s="46">
        <f>INDEX(OnlineUnitsCol,A3250)*O3250*(1+OnlineGrowth)*N3250*H3250*IF(A3250&gt;=I3250,1,0)</f>
        <v/>
      </c>
      <c r="R3250" s="46">
        <f>Q3250*INDEX(FmtCansPerPack,MATCH(F3250,FmtName,0))/INDEX(FmtCansPerCase,MATCH(F3250,FmtName,0))</f>
        <v/>
      </c>
      <c r="S3250" s="46">
        <f>R3250*INDEX(FmtCansPerCase,MATCH(F3250,FmtName,0))</f>
        <v/>
      </c>
      <c r="T3250" s="46">
        <f>S3250/INDEX(FmtCansPerPack,MATCH(F3250,FmtName,0))</f>
        <v/>
      </c>
      <c r="U3250" s="47">
        <f>INDEX(ProvOnline,MATCH(G3250,ProvCode,0))*(1+PriceIndex)</f>
        <v/>
      </c>
      <c r="V3250" s="47">
        <f>Q3250*U3250*INDEX(FmtBlendedPriceIdx,MATCH(F3250,FmtName,0))</f>
        <v/>
      </c>
      <c r="W3250" s="47">
        <f>V3250</f>
        <v/>
      </c>
      <c r="X3250" s="47">
        <f>IF(GrossBasis="Wholesale",V3250,W3250)</f>
        <v/>
      </c>
      <c r="Y3250" s="47">
        <f>R3250*INDEX(FmtBlendedCogs,MATCH(F3250,FmtName,0))</f>
        <v/>
      </c>
      <c r="Z3250" s="47">
        <f>X3250-Y3250</f>
        <v/>
      </c>
    </row>
    <row r="3251">
      <c r="A3251" t="n">
        <v>17</v>
      </c>
      <c r="B3251" s="44">
        <f>FiscalStart+(A3251-1)*7</f>
        <v/>
      </c>
      <c r="C3251">
        <f>TEXT(B3251,"mmm yyyy")</f>
        <v/>
      </c>
      <c r="D3251">
        <f>"Q"&amp;(INT((A3251-1)/13)+1)</f>
        <v/>
      </c>
      <c r="E3251" t="inlineStr">
        <is>
          <t>Online</t>
        </is>
      </c>
      <c r="F3251">
        <f>IFERROR(INDEX(ChFormat,MATCH(E3251,ChName,0)),"")</f>
        <v/>
      </c>
      <c r="G3251" t="inlineStr">
        <is>
          <t>AB</t>
        </is>
      </c>
      <c r="H3251">
        <f>IF(A3251&lt;=NWeeks,1,0)</f>
        <v/>
      </c>
      <c r="I3251">
        <f>INDEX(ChLaunch,MATCH(E3251,ChName,0))</f>
        <v/>
      </c>
      <c r="J3251">
        <f>INDEX(ChWeeksFull,MATCH(E3251,ChName,0))</f>
        <v/>
      </c>
      <c r="K3251">
        <f>INDEX(ChRamp,MATCH(E3251,ChName,0))</f>
        <v/>
      </c>
      <c r="L3251" s="45">
        <f>MIN(1,MAX(0,(A3251-I3251+1)*RampSpeed/J3251))</f>
        <v/>
      </c>
      <c r="M3251" s="45">
        <f>IF(A3251&lt;I3251,0,IF(K3251="S-curve",L3251*L3251*(3-2*L3251),L3251))</f>
        <v/>
      </c>
      <c r="N3251" s="45">
        <f>1+(INDEX(SeasonIdx,A3251)-1)*SeasonAmp</f>
        <v/>
      </c>
      <c r="O3251" s="45">
        <f>IFERROR(INDEX(PSPct,MATCH(E3251&amp;"|"&amp;G3251,PSKey,0)),0)</f>
        <v/>
      </c>
      <c r="P3251" s="46" t="n">
        <v>0</v>
      </c>
      <c r="Q3251" s="46">
        <f>INDEX(OnlineUnitsCol,A3251)*O3251*(1+OnlineGrowth)*N3251*H3251*IF(A3251&gt;=I3251,1,0)</f>
        <v/>
      </c>
      <c r="R3251" s="46">
        <f>Q3251*INDEX(FmtCansPerPack,MATCH(F3251,FmtName,0))/INDEX(FmtCansPerCase,MATCH(F3251,FmtName,0))</f>
        <v/>
      </c>
      <c r="S3251" s="46">
        <f>R3251*INDEX(FmtCansPerCase,MATCH(F3251,FmtName,0))</f>
        <v/>
      </c>
      <c r="T3251" s="46">
        <f>S3251/INDEX(FmtCansPerPack,MATCH(F3251,FmtName,0))</f>
        <v/>
      </c>
      <c r="U3251" s="47">
        <f>INDEX(ProvOnline,MATCH(G3251,ProvCode,0))*(1+PriceIndex)</f>
        <v/>
      </c>
      <c r="V3251" s="47">
        <f>Q3251*U3251*INDEX(FmtBlendedPriceIdx,MATCH(F3251,FmtName,0))</f>
        <v/>
      </c>
      <c r="W3251" s="47">
        <f>V3251</f>
        <v/>
      </c>
      <c r="X3251" s="47">
        <f>IF(GrossBasis="Wholesale",V3251,W3251)</f>
        <v/>
      </c>
      <c r="Y3251" s="47">
        <f>R3251*INDEX(FmtBlendedCogs,MATCH(F3251,FmtName,0))</f>
        <v/>
      </c>
      <c r="Z3251" s="47">
        <f>X3251-Y3251</f>
        <v/>
      </c>
    </row>
    <row r="3252">
      <c r="A3252" t="n">
        <v>18</v>
      </c>
      <c r="B3252" s="44">
        <f>FiscalStart+(A3252-1)*7</f>
        <v/>
      </c>
      <c r="C3252">
        <f>TEXT(B3252,"mmm yyyy")</f>
        <v/>
      </c>
      <c r="D3252">
        <f>"Q"&amp;(INT((A3252-1)/13)+1)</f>
        <v/>
      </c>
      <c r="E3252" t="inlineStr">
        <is>
          <t>Online</t>
        </is>
      </c>
      <c r="F3252">
        <f>IFERROR(INDEX(ChFormat,MATCH(E3252,ChName,0)),"")</f>
        <v/>
      </c>
      <c r="G3252" t="inlineStr">
        <is>
          <t>AB</t>
        </is>
      </c>
      <c r="H3252">
        <f>IF(A3252&lt;=NWeeks,1,0)</f>
        <v/>
      </c>
      <c r="I3252">
        <f>INDEX(ChLaunch,MATCH(E3252,ChName,0))</f>
        <v/>
      </c>
      <c r="J3252">
        <f>INDEX(ChWeeksFull,MATCH(E3252,ChName,0))</f>
        <v/>
      </c>
      <c r="K3252">
        <f>INDEX(ChRamp,MATCH(E3252,ChName,0))</f>
        <v/>
      </c>
      <c r="L3252" s="45">
        <f>MIN(1,MAX(0,(A3252-I3252+1)*RampSpeed/J3252))</f>
        <v/>
      </c>
      <c r="M3252" s="45">
        <f>IF(A3252&lt;I3252,0,IF(K3252="S-curve",L3252*L3252*(3-2*L3252),L3252))</f>
        <v/>
      </c>
      <c r="N3252" s="45">
        <f>1+(INDEX(SeasonIdx,A3252)-1)*SeasonAmp</f>
        <v/>
      </c>
      <c r="O3252" s="45">
        <f>IFERROR(INDEX(PSPct,MATCH(E3252&amp;"|"&amp;G3252,PSKey,0)),0)</f>
        <v/>
      </c>
      <c r="P3252" s="46" t="n">
        <v>0</v>
      </c>
      <c r="Q3252" s="46">
        <f>INDEX(OnlineUnitsCol,A3252)*O3252*(1+OnlineGrowth)*N3252*H3252*IF(A3252&gt;=I3252,1,0)</f>
        <v/>
      </c>
      <c r="R3252" s="46">
        <f>Q3252*INDEX(FmtCansPerPack,MATCH(F3252,FmtName,0))/INDEX(FmtCansPerCase,MATCH(F3252,FmtName,0))</f>
        <v/>
      </c>
      <c r="S3252" s="46">
        <f>R3252*INDEX(FmtCansPerCase,MATCH(F3252,FmtName,0))</f>
        <v/>
      </c>
      <c r="T3252" s="46">
        <f>S3252/INDEX(FmtCansPerPack,MATCH(F3252,FmtName,0))</f>
        <v/>
      </c>
      <c r="U3252" s="47">
        <f>INDEX(ProvOnline,MATCH(G3252,ProvCode,0))*(1+PriceIndex)</f>
        <v/>
      </c>
      <c r="V3252" s="47">
        <f>Q3252*U3252*INDEX(FmtBlendedPriceIdx,MATCH(F3252,FmtName,0))</f>
        <v/>
      </c>
      <c r="W3252" s="47">
        <f>V3252</f>
        <v/>
      </c>
      <c r="X3252" s="47">
        <f>IF(GrossBasis="Wholesale",V3252,W3252)</f>
        <v/>
      </c>
      <c r="Y3252" s="47">
        <f>R3252*INDEX(FmtBlendedCogs,MATCH(F3252,FmtName,0))</f>
        <v/>
      </c>
      <c r="Z3252" s="47">
        <f>X3252-Y3252</f>
        <v/>
      </c>
    </row>
    <row r="3253">
      <c r="A3253" t="n">
        <v>19</v>
      </c>
      <c r="B3253" s="44">
        <f>FiscalStart+(A3253-1)*7</f>
        <v/>
      </c>
      <c r="C3253">
        <f>TEXT(B3253,"mmm yyyy")</f>
        <v/>
      </c>
      <c r="D3253">
        <f>"Q"&amp;(INT((A3253-1)/13)+1)</f>
        <v/>
      </c>
      <c r="E3253" t="inlineStr">
        <is>
          <t>Online</t>
        </is>
      </c>
      <c r="F3253">
        <f>IFERROR(INDEX(ChFormat,MATCH(E3253,ChName,0)),"")</f>
        <v/>
      </c>
      <c r="G3253" t="inlineStr">
        <is>
          <t>AB</t>
        </is>
      </c>
      <c r="H3253">
        <f>IF(A3253&lt;=NWeeks,1,0)</f>
        <v/>
      </c>
      <c r="I3253">
        <f>INDEX(ChLaunch,MATCH(E3253,ChName,0))</f>
        <v/>
      </c>
      <c r="J3253">
        <f>INDEX(ChWeeksFull,MATCH(E3253,ChName,0))</f>
        <v/>
      </c>
      <c r="K3253">
        <f>INDEX(ChRamp,MATCH(E3253,ChName,0))</f>
        <v/>
      </c>
      <c r="L3253" s="45">
        <f>MIN(1,MAX(0,(A3253-I3253+1)*RampSpeed/J3253))</f>
        <v/>
      </c>
      <c r="M3253" s="45">
        <f>IF(A3253&lt;I3253,0,IF(K3253="S-curve",L3253*L3253*(3-2*L3253),L3253))</f>
        <v/>
      </c>
      <c r="N3253" s="45">
        <f>1+(INDEX(SeasonIdx,A3253)-1)*SeasonAmp</f>
        <v/>
      </c>
      <c r="O3253" s="45">
        <f>IFERROR(INDEX(PSPct,MATCH(E3253&amp;"|"&amp;G3253,PSKey,0)),0)</f>
        <v/>
      </c>
      <c r="P3253" s="46" t="n">
        <v>0</v>
      </c>
      <c r="Q3253" s="46">
        <f>INDEX(OnlineUnitsCol,A3253)*O3253*(1+OnlineGrowth)*N3253*H3253*IF(A3253&gt;=I3253,1,0)</f>
        <v/>
      </c>
      <c r="R3253" s="46">
        <f>Q3253*INDEX(FmtCansPerPack,MATCH(F3253,FmtName,0))/INDEX(FmtCansPerCase,MATCH(F3253,FmtName,0))</f>
        <v/>
      </c>
      <c r="S3253" s="46">
        <f>R3253*INDEX(FmtCansPerCase,MATCH(F3253,FmtName,0))</f>
        <v/>
      </c>
      <c r="T3253" s="46">
        <f>S3253/INDEX(FmtCansPerPack,MATCH(F3253,FmtName,0))</f>
        <v/>
      </c>
      <c r="U3253" s="47">
        <f>INDEX(ProvOnline,MATCH(G3253,ProvCode,0))*(1+PriceIndex)</f>
        <v/>
      </c>
      <c r="V3253" s="47">
        <f>Q3253*U3253*INDEX(FmtBlendedPriceIdx,MATCH(F3253,FmtName,0))</f>
        <v/>
      </c>
      <c r="W3253" s="47">
        <f>V3253</f>
        <v/>
      </c>
      <c r="X3253" s="47">
        <f>IF(GrossBasis="Wholesale",V3253,W3253)</f>
        <v/>
      </c>
      <c r="Y3253" s="47">
        <f>R3253*INDEX(FmtBlendedCogs,MATCH(F3253,FmtName,0))</f>
        <v/>
      </c>
      <c r="Z3253" s="47">
        <f>X3253-Y3253</f>
        <v/>
      </c>
    </row>
    <row r="3254">
      <c r="A3254" t="n">
        <v>20</v>
      </c>
      <c r="B3254" s="44">
        <f>FiscalStart+(A3254-1)*7</f>
        <v/>
      </c>
      <c r="C3254">
        <f>TEXT(B3254,"mmm yyyy")</f>
        <v/>
      </c>
      <c r="D3254">
        <f>"Q"&amp;(INT((A3254-1)/13)+1)</f>
        <v/>
      </c>
      <c r="E3254" t="inlineStr">
        <is>
          <t>Online</t>
        </is>
      </c>
      <c r="F3254">
        <f>IFERROR(INDEX(ChFormat,MATCH(E3254,ChName,0)),"")</f>
        <v/>
      </c>
      <c r="G3254" t="inlineStr">
        <is>
          <t>AB</t>
        </is>
      </c>
      <c r="H3254">
        <f>IF(A3254&lt;=NWeeks,1,0)</f>
        <v/>
      </c>
      <c r="I3254">
        <f>INDEX(ChLaunch,MATCH(E3254,ChName,0))</f>
        <v/>
      </c>
      <c r="J3254">
        <f>INDEX(ChWeeksFull,MATCH(E3254,ChName,0))</f>
        <v/>
      </c>
      <c r="K3254">
        <f>INDEX(ChRamp,MATCH(E3254,ChName,0))</f>
        <v/>
      </c>
      <c r="L3254" s="45">
        <f>MIN(1,MAX(0,(A3254-I3254+1)*RampSpeed/J3254))</f>
        <v/>
      </c>
      <c r="M3254" s="45">
        <f>IF(A3254&lt;I3254,0,IF(K3254="S-curve",L3254*L3254*(3-2*L3254),L3254))</f>
        <v/>
      </c>
      <c r="N3254" s="45">
        <f>1+(INDEX(SeasonIdx,A3254)-1)*SeasonAmp</f>
        <v/>
      </c>
      <c r="O3254" s="45">
        <f>IFERROR(INDEX(PSPct,MATCH(E3254&amp;"|"&amp;G3254,PSKey,0)),0)</f>
        <v/>
      </c>
      <c r="P3254" s="46" t="n">
        <v>0</v>
      </c>
      <c r="Q3254" s="46">
        <f>INDEX(OnlineUnitsCol,A3254)*O3254*(1+OnlineGrowth)*N3254*H3254*IF(A3254&gt;=I3254,1,0)</f>
        <v/>
      </c>
      <c r="R3254" s="46">
        <f>Q3254*INDEX(FmtCansPerPack,MATCH(F3254,FmtName,0))/INDEX(FmtCansPerCase,MATCH(F3254,FmtName,0))</f>
        <v/>
      </c>
      <c r="S3254" s="46">
        <f>R3254*INDEX(FmtCansPerCase,MATCH(F3254,FmtName,0))</f>
        <v/>
      </c>
      <c r="T3254" s="46">
        <f>S3254/INDEX(FmtCansPerPack,MATCH(F3254,FmtName,0))</f>
        <v/>
      </c>
      <c r="U3254" s="47">
        <f>INDEX(ProvOnline,MATCH(G3254,ProvCode,0))*(1+PriceIndex)</f>
        <v/>
      </c>
      <c r="V3254" s="47">
        <f>Q3254*U3254*INDEX(FmtBlendedPriceIdx,MATCH(F3254,FmtName,0))</f>
        <v/>
      </c>
      <c r="W3254" s="47">
        <f>V3254</f>
        <v/>
      </c>
      <c r="X3254" s="47">
        <f>IF(GrossBasis="Wholesale",V3254,W3254)</f>
        <v/>
      </c>
      <c r="Y3254" s="47">
        <f>R3254*INDEX(FmtBlendedCogs,MATCH(F3254,FmtName,0))</f>
        <v/>
      </c>
      <c r="Z3254" s="47">
        <f>X3254-Y3254</f>
        <v/>
      </c>
    </row>
    <row r="3255">
      <c r="A3255" t="n">
        <v>21</v>
      </c>
      <c r="B3255" s="44">
        <f>FiscalStart+(A3255-1)*7</f>
        <v/>
      </c>
      <c r="C3255">
        <f>TEXT(B3255,"mmm yyyy")</f>
        <v/>
      </c>
      <c r="D3255">
        <f>"Q"&amp;(INT((A3255-1)/13)+1)</f>
        <v/>
      </c>
      <c r="E3255" t="inlineStr">
        <is>
          <t>Online</t>
        </is>
      </c>
      <c r="F3255">
        <f>IFERROR(INDEX(ChFormat,MATCH(E3255,ChName,0)),"")</f>
        <v/>
      </c>
      <c r="G3255" t="inlineStr">
        <is>
          <t>AB</t>
        </is>
      </c>
      <c r="H3255">
        <f>IF(A3255&lt;=NWeeks,1,0)</f>
        <v/>
      </c>
      <c r="I3255">
        <f>INDEX(ChLaunch,MATCH(E3255,ChName,0))</f>
        <v/>
      </c>
      <c r="J3255">
        <f>INDEX(ChWeeksFull,MATCH(E3255,ChName,0))</f>
        <v/>
      </c>
      <c r="K3255">
        <f>INDEX(ChRamp,MATCH(E3255,ChName,0))</f>
        <v/>
      </c>
      <c r="L3255" s="45">
        <f>MIN(1,MAX(0,(A3255-I3255+1)*RampSpeed/J3255))</f>
        <v/>
      </c>
      <c r="M3255" s="45">
        <f>IF(A3255&lt;I3255,0,IF(K3255="S-curve",L3255*L3255*(3-2*L3255),L3255))</f>
        <v/>
      </c>
      <c r="N3255" s="45">
        <f>1+(INDEX(SeasonIdx,A3255)-1)*SeasonAmp</f>
        <v/>
      </c>
      <c r="O3255" s="45">
        <f>IFERROR(INDEX(PSPct,MATCH(E3255&amp;"|"&amp;G3255,PSKey,0)),0)</f>
        <v/>
      </c>
      <c r="P3255" s="46" t="n">
        <v>0</v>
      </c>
      <c r="Q3255" s="46">
        <f>INDEX(OnlineUnitsCol,A3255)*O3255*(1+OnlineGrowth)*N3255*H3255*IF(A3255&gt;=I3255,1,0)</f>
        <v/>
      </c>
      <c r="R3255" s="46">
        <f>Q3255*INDEX(FmtCansPerPack,MATCH(F3255,FmtName,0))/INDEX(FmtCansPerCase,MATCH(F3255,FmtName,0))</f>
        <v/>
      </c>
      <c r="S3255" s="46">
        <f>R3255*INDEX(FmtCansPerCase,MATCH(F3255,FmtName,0))</f>
        <v/>
      </c>
      <c r="T3255" s="46">
        <f>S3255/INDEX(FmtCansPerPack,MATCH(F3255,FmtName,0))</f>
        <v/>
      </c>
      <c r="U3255" s="47">
        <f>INDEX(ProvOnline,MATCH(G3255,ProvCode,0))*(1+PriceIndex)</f>
        <v/>
      </c>
      <c r="V3255" s="47">
        <f>Q3255*U3255*INDEX(FmtBlendedPriceIdx,MATCH(F3255,FmtName,0))</f>
        <v/>
      </c>
      <c r="W3255" s="47">
        <f>V3255</f>
        <v/>
      </c>
      <c r="X3255" s="47">
        <f>IF(GrossBasis="Wholesale",V3255,W3255)</f>
        <v/>
      </c>
      <c r="Y3255" s="47">
        <f>R3255*INDEX(FmtBlendedCogs,MATCH(F3255,FmtName,0))</f>
        <v/>
      </c>
      <c r="Z3255" s="47">
        <f>X3255-Y3255</f>
        <v/>
      </c>
    </row>
    <row r="3256">
      <c r="A3256" t="n">
        <v>22</v>
      </c>
      <c r="B3256" s="44">
        <f>FiscalStart+(A3256-1)*7</f>
        <v/>
      </c>
      <c r="C3256">
        <f>TEXT(B3256,"mmm yyyy")</f>
        <v/>
      </c>
      <c r="D3256">
        <f>"Q"&amp;(INT((A3256-1)/13)+1)</f>
        <v/>
      </c>
      <c r="E3256" t="inlineStr">
        <is>
          <t>Online</t>
        </is>
      </c>
      <c r="F3256">
        <f>IFERROR(INDEX(ChFormat,MATCH(E3256,ChName,0)),"")</f>
        <v/>
      </c>
      <c r="G3256" t="inlineStr">
        <is>
          <t>AB</t>
        </is>
      </c>
      <c r="H3256">
        <f>IF(A3256&lt;=NWeeks,1,0)</f>
        <v/>
      </c>
      <c r="I3256">
        <f>INDEX(ChLaunch,MATCH(E3256,ChName,0))</f>
        <v/>
      </c>
      <c r="J3256">
        <f>INDEX(ChWeeksFull,MATCH(E3256,ChName,0))</f>
        <v/>
      </c>
      <c r="K3256">
        <f>INDEX(ChRamp,MATCH(E3256,ChName,0))</f>
        <v/>
      </c>
      <c r="L3256" s="45">
        <f>MIN(1,MAX(0,(A3256-I3256+1)*RampSpeed/J3256))</f>
        <v/>
      </c>
      <c r="M3256" s="45">
        <f>IF(A3256&lt;I3256,0,IF(K3256="S-curve",L3256*L3256*(3-2*L3256),L3256))</f>
        <v/>
      </c>
      <c r="N3256" s="45">
        <f>1+(INDEX(SeasonIdx,A3256)-1)*SeasonAmp</f>
        <v/>
      </c>
      <c r="O3256" s="45">
        <f>IFERROR(INDEX(PSPct,MATCH(E3256&amp;"|"&amp;G3256,PSKey,0)),0)</f>
        <v/>
      </c>
      <c r="P3256" s="46" t="n">
        <v>0</v>
      </c>
      <c r="Q3256" s="46">
        <f>INDEX(OnlineUnitsCol,A3256)*O3256*(1+OnlineGrowth)*N3256*H3256*IF(A3256&gt;=I3256,1,0)</f>
        <v/>
      </c>
      <c r="R3256" s="46">
        <f>Q3256*INDEX(FmtCansPerPack,MATCH(F3256,FmtName,0))/INDEX(FmtCansPerCase,MATCH(F3256,FmtName,0))</f>
        <v/>
      </c>
      <c r="S3256" s="46">
        <f>R3256*INDEX(FmtCansPerCase,MATCH(F3256,FmtName,0))</f>
        <v/>
      </c>
      <c r="T3256" s="46">
        <f>S3256/INDEX(FmtCansPerPack,MATCH(F3256,FmtName,0))</f>
        <v/>
      </c>
      <c r="U3256" s="47">
        <f>INDEX(ProvOnline,MATCH(G3256,ProvCode,0))*(1+PriceIndex)</f>
        <v/>
      </c>
      <c r="V3256" s="47">
        <f>Q3256*U3256*INDEX(FmtBlendedPriceIdx,MATCH(F3256,FmtName,0))</f>
        <v/>
      </c>
      <c r="W3256" s="47">
        <f>V3256</f>
        <v/>
      </c>
      <c r="X3256" s="47">
        <f>IF(GrossBasis="Wholesale",V3256,W3256)</f>
        <v/>
      </c>
      <c r="Y3256" s="47">
        <f>R3256*INDEX(FmtBlendedCogs,MATCH(F3256,FmtName,0))</f>
        <v/>
      </c>
      <c r="Z3256" s="47">
        <f>X3256-Y3256</f>
        <v/>
      </c>
    </row>
    <row r="3257">
      <c r="A3257" t="n">
        <v>23</v>
      </c>
      <c r="B3257" s="44">
        <f>FiscalStart+(A3257-1)*7</f>
        <v/>
      </c>
      <c r="C3257">
        <f>TEXT(B3257,"mmm yyyy")</f>
        <v/>
      </c>
      <c r="D3257">
        <f>"Q"&amp;(INT((A3257-1)/13)+1)</f>
        <v/>
      </c>
      <c r="E3257" t="inlineStr">
        <is>
          <t>Online</t>
        </is>
      </c>
      <c r="F3257">
        <f>IFERROR(INDEX(ChFormat,MATCH(E3257,ChName,0)),"")</f>
        <v/>
      </c>
      <c r="G3257" t="inlineStr">
        <is>
          <t>AB</t>
        </is>
      </c>
      <c r="H3257">
        <f>IF(A3257&lt;=NWeeks,1,0)</f>
        <v/>
      </c>
      <c r="I3257">
        <f>INDEX(ChLaunch,MATCH(E3257,ChName,0))</f>
        <v/>
      </c>
      <c r="J3257">
        <f>INDEX(ChWeeksFull,MATCH(E3257,ChName,0))</f>
        <v/>
      </c>
      <c r="K3257">
        <f>INDEX(ChRamp,MATCH(E3257,ChName,0))</f>
        <v/>
      </c>
      <c r="L3257" s="45">
        <f>MIN(1,MAX(0,(A3257-I3257+1)*RampSpeed/J3257))</f>
        <v/>
      </c>
      <c r="M3257" s="45">
        <f>IF(A3257&lt;I3257,0,IF(K3257="S-curve",L3257*L3257*(3-2*L3257),L3257))</f>
        <v/>
      </c>
      <c r="N3257" s="45">
        <f>1+(INDEX(SeasonIdx,A3257)-1)*SeasonAmp</f>
        <v/>
      </c>
      <c r="O3257" s="45">
        <f>IFERROR(INDEX(PSPct,MATCH(E3257&amp;"|"&amp;G3257,PSKey,0)),0)</f>
        <v/>
      </c>
      <c r="P3257" s="46" t="n">
        <v>0</v>
      </c>
      <c r="Q3257" s="46">
        <f>INDEX(OnlineUnitsCol,A3257)*O3257*(1+OnlineGrowth)*N3257*H3257*IF(A3257&gt;=I3257,1,0)</f>
        <v/>
      </c>
      <c r="R3257" s="46">
        <f>Q3257*INDEX(FmtCansPerPack,MATCH(F3257,FmtName,0))/INDEX(FmtCansPerCase,MATCH(F3257,FmtName,0))</f>
        <v/>
      </c>
      <c r="S3257" s="46">
        <f>R3257*INDEX(FmtCansPerCase,MATCH(F3257,FmtName,0))</f>
        <v/>
      </c>
      <c r="T3257" s="46">
        <f>S3257/INDEX(FmtCansPerPack,MATCH(F3257,FmtName,0))</f>
        <v/>
      </c>
      <c r="U3257" s="47">
        <f>INDEX(ProvOnline,MATCH(G3257,ProvCode,0))*(1+PriceIndex)</f>
        <v/>
      </c>
      <c r="V3257" s="47">
        <f>Q3257*U3257*INDEX(FmtBlendedPriceIdx,MATCH(F3257,FmtName,0))</f>
        <v/>
      </c>
      <c r="W3257" s="47">
        <f>V3257</f>
        <v/>
      </c>
      <c r="X3257" s="47">
        <f>IF(GrossBasis="Wholesale",V3257,W3257)</f>
        <v/>
      </c>
      <c r="Y3257" s="47">
        <f>R3257*INDEX(FmtBlendedCogs,MATCH(F3257,FmtName,0))</f>
        <v/>
      </c>
      <c r="Z3257" s="47">
        <f>X3257-Y3257</f>
        <v/>
      </c>
    </row>
    <row r="3258">
      <c r="A3258" t="n">
        <v>24</v>
      </c>
      <c r="B3258" s="44">
        <f>FiscalStart+(A3258-1)*7</f>
        <v/>
      </c>
      <c r="C3258">
        <f>TEXT(B3258,"mmm yyyy")</f>
        <v/>
      </c>
      <c r="D3258">
        <f>"Q"&amp;(INT((A3258-1)/13)+1)</f>
        <v/>
      </c>
      <c r="E3258" t="inlineStr">
        <is>
          <t>Online</t>
        </is>
      </c>
      <c r="F3258">
        <f>IFERROR(INDEX(ChFormat,MATCH(E3258,ChName,0)),"")</f>
        <v/>
      </c>
      <c r="G3258" t="inlineStr">
        <is>
          <t>AB</t>
        </is>
      </c>
      <c r="H3258">
        <f>IF(A3258&lt;=NWeeks,1,0)</f>
        <v/>
      </c>
      <c r="I3258">
        <f>INDEX(ChLaunch,MATCH(E3258,ChName,0))</f>
        <v/>
      </c>
      <c r="J3258">
        <f>INDEX(ChWeeksFull,MATCH(E3258,ChName,0))</f>
        <v/>
      </c>
      <c r="K3258">
        <f>INDEX(ChRamp,MATCH(E3258,ChName,0))</f>
        <v/>
      </c>
      <c r="L3258" s="45">
        <f>MIN(1,MAX(0,(A3258-I3258+1)*RampSpeed/J3258))</f>
        <v/>
      </c>
      <c r="M3258" s="45">
        <f>IF(A3258&lt;I3258,0,IF(K3258="S-curve",L3258*L3258*(3-2*L3258),L3258))</f>
        <v/>
      </c>
      <c r="N3258" s="45">
        <f>1+(INDEX(SeasonIdx,A3258)-1)*SeasonAmp</f>
        <v/>
      </c>
      <c r="O3258" s="45">
        <f>IFERROR(INDEX(PSPct,MATCH(E3258&amp;"|"&amp;G3258,PSKey,0)),0)</f>
        <v/>
      </c>
      <c r="P3258" s="46" t="n">
        <v>0</v>
      </c>
      <c r="Q3258" s="46">
        <f>INDEX(OnlineUnitsCol,A3258)*O3258*(1+OnlineGrowth)*N3258*H3258*IF(A3258&gt;=I3258,1,0)</f>
        <v/>
      </c>
      <c r="R3258" s="46">
        <f>Q3258*INDEX(FmtCansPerPack,MATCH(F3258,FmtName,0))/INDEX(FmtCansPerCase,MATCH(F3258,FmtName,0))</f>
        <v/>
      </c>
      <c r="S3258" s="46">
        <f>R3258*INDEX(FmtCansPerCase,MATCH(F3258,FmtName,0))</f>
        <v/>
      </c>
      <c r="T3258" s="46">
        <f>S3258/INDEX(FmtCansPerPack,MATCH(F3258,FmtName,0))</f>
        <v/>
      </c>
      <c r="U3258" s="47">
        <f>INDEX(ProvOnline,MATCH(G3258,ProvCode,0))*(1+PriceIndex)</f>
        <v/>
      </c>
      <c r="V3258" s="47">
        <f>Q3258*U3258*INDEX(FmtBlendedPriceIdx,MATCH(F3258,FmtName,0))</f>
        <v/>
      </c>
      <c r="W3258" s="47">
        <f>V3258</f>
        <v/>
      </c>
      <c r="X3258" s="47">
        <f>IF(GrossBasis="Wholesale",V3258,W3258)</f>
        <v/>
      </c>
      <c r="Y3258" s="47">
        <f>R3258*INDEX(FmtBlendedCogs,MATCH(F3258,FmtName,0))</f>
        <v/>
      </c>
      <c r="Z3258" s="47">
        <f>X3258-Y3258</f>
        <v/>
      </c>
    </row>
    <row r="3259">
      <c r="A3259" t="n">
        <v>25</v>
      </c>
      <c r="B3259" s="44">
        <f>FiscalStart+(A3259-1)*7</f>
        <v/>
      </c>
      <c r="C3259">
        <f>TEXT(B3259,"mmm yyyy")</f>
        <v/>
      </c>
      <c r="D3259">
        <f>"Q"&amp;(INT((A3259-1)/13)+1)</f>
        <v/>
      </c>
      <c r="E3259" t="inlineStr">
        <is>
          <t>Online</t>
        </is>
      </c>
      <c r="F3259">
        <f>IFERROR(INDEX(ChFormat,MATCH(E3259,ChName,0)),"")</f>
        <v/>
      </c>
      <c r="G3259" t="inlineStr">
        <is>
          <t>AB</t>
        </is>
      </c>
      <c r="H3259">
        <f>IF(A3259&lt;=NWeeks,1,0)</f>
        <v/>
      </c>
      <c r="I3259">
        <f>INDEX(ChLaunch,MATCH(E3259,ChName,0))</f>
        <v/>
      </c>
      <c r="J3259">
        <f>INDEX(ChWeeksFull,MATCH(E3259,ChName,0))</f>
        <v/>
      </c>
      <c r="K3259">
        <f>INDEX(ChRamp,MATCH(E3259,ChName,0))</f>
        <v/>
      </c>
      <c r="L3259" s="45">
        <f>MIN(1,MAX(0,(A3259-I3259+1)*RampSpeed/J3259))</f>
        <v/>
      </c>
      <c r="M3259" s="45">
        <f>IF(A3259&lt;I3259,0,IF(K3259="S-curve",L3259*L3259*(3-2*L3259),L3259))</f>
        <v/>
      </c>
      <c r="N3259" s="45">
        <f>1+(INDEX(SeasonIdx,A3259)-1)*SeasonAmp</f>
        <v/>
      </c>
      <c r="O3259" s="45">
        <f>IFERROR(INDEX(PSPct,MATCH(E3259&amp;"|"&amp;G3259,PSKey,0)),0)</f>
        <v/>
      </c>
      <c r="P3259" s="46" t="n">
        <v>0</v>
      </c>
      <c r="Q3259" s="46">
        <f>INDEX(OnlineUnitsCol,A3259)*O3259*(1+OnlineGrowth)*N3259*H3259*IF(A3259&gt;=I3259,1,0)</f>
        <v/>
      </c>
      <c r="R3259" s="46">
        <f>Q3259*INDEX(FmtCansPerPack,MATCH(F3259,FmtName,0))/INDEX(FmtCansPerCase,MATCH(F3259,FmtName,0))</f>
        <v/>
      </c>
      <c r="S3259" s="46">
        <f>R3259*INDEX(FmtCansPerCase,MATCH(F3259,FmtName,0))</f>
        <v/>
      </c>
      <c r="T3259" s="46">
        <f>S3259/INDEX(FmtCansPerPack,MATCH(F3259,FmtName,0))</f>
        <v/>
      </c>
      <c r="U3259" s="47">
        <f>INDEX(ProvOnline,MATCH(G3259,ProvCode,0))*(1+PriceIndex)</f>
        <v/>
      </c>
      <c r="V3259" s="47">
        <f>Q3259*U3259*INDEX(FmtBlendedPriceIdx,MATCH(F3259,FmtName,0))</f>
        <v/>
      </c>
      <c r="W3259" s="47">
        <f>V3259</f>
        <v/>
      </c>
      <c r="X3259" s="47">
        <f>IF(GrossBasis="Wholesale",V3259,W3259)</f>
        <v/>
      </c>
      <c r="Y3259" s="47">
        <f>R3259*INDEX(FmtBlendedCogs,MATCH(F3259,FmtName,0))</f>
        <v/>
      </c>
      <c r="Z3259" s="47">
        <f>X3259-Y3259</f>
        <v/>
      </c>
    </row>
    <row r="3260">
      <c r="A3260" t="n">
        <v>26</v>
      </c>
      <c r="B3260" s="44">
        <f>FiscalStart+(A3260-1)*7</f>
        <v/>
      </c>
      <c r="C3260">
        <f>TEXT(B3260,"mmm yyyy")</f>
        <v/>
      </c>
      <c r="D3260">
        <f>"Q"&amp;(INT((A3260-1)/13)+1)</f>
        <v/>
      </c>
      <c r="E3260" t="inlineStr">
        <is>
          <t>Online</t>
        </is>
      </c>
      <c r="F3260">
        <f>IFERROR(INDEX(ChFormat,MATCH(E3260,ChName,0)),"")</f>
        <v/>
      </c>
      <c r="G3260" t="inlineStr">
        <is>
          <t>AB</t>
        </is>
      </c>
      <c r="H3260">
        <f>IF(A3260&lt;=NWeeks,1,0)</f>
        <v/>
      </c>
      <c r="I3260">
        <f>INDEX(ChLaunch,MATCH(E3260,ChName,0))</f>
        <v/>
      </c>
      <c r="J3260">
        <f>INDEX(ChWeeksFull,MATCH(E3260,ChName,0))</f>
        <v/>
      </c>
      <c r="K3260">
        <f>INDEX(ChRamp,MATCH(E3260,ChName,0))</f>
        <v/>
      </c>
      <c r="L3260" s="45">
        <f>MIN(1,MAX(0,(A3260-I3260+1)*RampSpeed/J3260))</f>
        <v/>
      </c>
      <c r="M3260" s="45">
        <f>IF(A3260&lt;I3260,0,IF(K3260="S-curve",L3260*L3260*(3-2*L3260),L3260))</f>
        <v/>
      </c>
      <c r="N3260" s="45">
        <f>1+(INDEX(SeasonIdx,A3260)-1)*SeasonAmp</f>
        <v/>
      </c>
      <c r="O3260" s="45">
        <f>IFERROR(INDEX(PSPct,MATCH(E3260&amp;"|"&amp;G3260,PSKey,0)),0)</f>
        <v/>
      </c>
      <c r="P3260" s="46" t="n">
        <v>0</v>
      </c>
      <c r="Q3260" s="46">
        <f>INDEX(OnlineUnitsCol,A3260)*O3260*(1+OnlineGrowth)*N3260*H3260*IF(A3260&gt;=I3260,1,0)</f>
        <v/>
      </c>
      <c r="R3260" s="46">
        <f>Q3260*INDEX(FmtCansPerPack,MATCH(F3260,FmtName,0))/INDEX(FmtCansPerCase,MATCH(F3260,FmtName,0))</f>
        <v/>
      </c>
      <c r="S3260" s="46">
        <f>R3260*INDEX(FmtCansPerCase,MATCH(F3260,FmtName,0))</f>
        <v/>
      </c>
      <c r="T3260" s="46">
        <f>S3260/INDEX(FmtCansPerPack,MATCH(F3260,FmtName,0))</f>
        <v/>
      </c>
      <c r="U3260" s="47">
        <f>INDEX(ProvOnline,MATCH(G3260,ProvCode,0))*(1+PriceIndex)</f>
        <v/>
      </c>
      <c r="V3260" s="47">
        <f>Q3260*U3260*INDEX(FmtBlendedPriceIdx,MATCH(F3260,FmtName,0))</f>
        <v/>
      </c>
      <c r="W3260" s="47">
        <f>V3260</f>
        <v/>
      </c>
      <c r="X3260" s="47">
        <f>IF(GrossBasis="Wholesale",V3260,W3260)</f>
        <v/>
      </c>
      <c r="Y3260" s="47">
        <f>R3260*INDEX(FmtBlendedCogs,MATCH(F3260,FmtName,0))</f>
        <v/>
      </c>
      <c r="Z3260" s="47">
        <f>X3260-Y3260</f>
        <v/>
      </c>
    </row>
    <row r="3261">
      <c r="A3261" t="n">
        <v>27</v>
      </c>
      <c r="B3261" s="44">
        <f>FiscalStart+(A3261-1)*7</f>
        <v/>
      </c>
      <c r="C3261">
        <f>TEXT(B3261,"mmm yyyy")</f>
        <v/>
      </c>
      <c r="D3261">
        <f>"Q"&amp;(INT((A3261-1)/13)+1)</f>
        <v/>
      </c>
      <c r="E3261" t="inlineStr">
        <is>
          <t>Online</t>
        </is>
      </c>
      <c r="F3261">
        <f>IFERROR(INDEX(ChFormat,MATCH(E3261,ChName,0)),"")</f>
        <v/>
      </c>
      <c r="G3261" t="inlineStr">
        <is>
          <t>AB</t>
        </is>
      </c>
      <c r="H3261">
        <f>IF(A3261&lt;=NWeeks,1,0)</f>
        <v/>
      </c>
      <c r="I3261">
        <f>INDEX(ChLaunch,MATCH(E3261,ChName,0))</f>
        <v/>
      </c>
      <c r="J3261">
        <f>INDEX(ChWeeksFull,MATCH(E3261,ChName,0))</f>
        <v/>
      </c>
      <c r="K3261">
        <f>INDEX(ChRamp,MATCH(E3261,ChName,0))</f>
        <v/>
      </c>
      <c r="L3261" s="45">
        <f>MIN(1,MAX(0,(A3261-I3261+1)*RampSpeed/J3261))</f>
        <v/>
      </c>
      <c r="M3261" s="45">
        <f>IF(A3261&lt;I3261,0,IF(K3261="S-curve",L3261*L3261*(3-2*L3261),L3261))</f>
        <v/>
      </c>
      <c r="N3261" s="45">
        <f>1+(INDEX(SeasonIdx,A3261)-1)*SeasonAmp</f>
        <v/>
      </c>
      <c r="O3261" s="45">
        <f>IFERROR(INDEX(PSPct,MATCH(E3261&amp;"|"&amp;G3261,PSKey,0)),0)</f>
        <v/>
      </c>
      <c r="P3261" s="46" t="n">
        <v>0</v>
      </c>
      <c r="Q3261" s="46">
        <f>INDEX(OnlineUnitsCol,A3261)*O3261*(1+OnlineGrowth)*N3261*H3261*IF(A3261&gt;=I3261,1,0)</f>
        <v/>
      </c>
      <c r="R3261" s="46">
        <f>Q3261*INDEX(FmtCansPerPack,MATCH(F3261,FmtName,0))/INDEX(FmtCansPerCase,MATCH(F3261,FmtName,0))</f>
        <v/>
      </c>
      <c r="S3261" s="46">
        <f>R3261*INDEX(FmtCansPerCase,MATCH(F3261,FmtName,0))</f>
        <v/>
      </c>
      <c r="T3261" s="46">
        <f>S3261/INDEX(FmtCansPerPack,MATCH(F3261,FmtName,0))</f>
        <v/>
      </c>
      <c r="U3261" s="47">
        <f>INDEX(ProvOnline,MATCH(G3261,ProvCode,0))*(1+PriceIndex)</f>
        <v/>
      </c>
      <c r="V3261" s="47">
        <f>Q3261*U3261*INDEX(FmtBlendedPriceIdx,MATCH(F3261,FmtName,0))</f>
        <v/>
      </c>
      <c r="W3261" s="47">
        <f>V3261</f>
        <v/>
      </c>
      <c r="X3261" s="47">
        <f>IF(GrossBasis="Wholesale",V3261,W3261)</f>
        <v/>
      </c>
      <c r="Y3261" s="47">
        <f>R3261*INDEX(FmtBlendedCogs,MATCH(F3261,FmtName,0))</f>
        <v/>
      </c>
      <c r="Z3261" s="47">
        <f>X3261-Y3261</f>
        <v/>
      </c>
    </row>
    <row r="3262">
      <c r="A3262" t="n">
        <v>28</v>
      </c>
      <c r="B3262" s="44">
        <f>FiscalStart+(A3262-1)*7</f>
        <v/>
      </c>
      <c r="C3262">
        <f>TEXT(B3262,"mmm yyyy")</f>
        <v/>
      </c>
      <c r="D3262">
        <f>"Q"&amp;(INT((A3262-1)/13)+1)</f>
        <v/>
      </c>
      <c r="E3262" t="inlineStr">
        <is>
          <t>Online</t>
        </is>
      </c>
      <c r="F3262">
        <f>IFERROR(INDEX(ChFormat,MATCH(E3262,ChName,0)),"")</f>
        <v/>
      </c>
      <c r="G3262" t="inlineStr">
        <is>
          <t>AB</t>
        </is>
      </c>
      <c r="H3262">
        <f>IF(A3262&lt;=NWeeks,1,0)</f>
        <v/>
      </c>
      <c r="I3262">
        <f>INDEX(ChLaunch,MATCH(E3262,ChName,0))</f>
        <v/>
      </c>
      <c r="J3262">
        <f>INDEX(ChWeeksFull,MATCH(E3262,ChName,0))</f>
        <v/>
      </c>
      <c r="K3262">
        <f>INDEX(ChRamp,MATCH(E3262,ChName,0))</f>
        <v/>
      </c>
      <c r="L3262" s="45">
        <f>MIN(1,MAX(0,(A3262-I3262+1)*RampSpeed/J3262))</f>
        <v/>
      </c>
      <c r="M3262" s="45">
        <f>IF(A3262&lt;I3262,0,IF(K3262="S-curve",L3262*L3262*(3-2*L3262),L3262))</f>
        <v/>
      </c>
      <c r="N3262" s="45">
        <f>1+(INDEX(SeasonIdx,A3262)-1)*SeasonAmp</f>
        <v/>
      </c>
      <c r="O3262" s="45">
        <f>IFERROR(INDEX(PSPct,MATCH(E3262&amp;"|"&amp;G3262,PSKey,0)),0)</f>
        <v/>
      </c>
      <c r="P3262" s="46" t="n">
        <v>0</v>
      </c>
      <c r="Q3262" s="46">
        <f>INDEX(OnlineUnitsCol,A3262)*O3262*(1+OnlineGrowth)*N3262*H3262*IF(A3262&gt;=I3262,1,0)</f>
        <v/>
      </c>
      <c r="R3262" s="46">
        <f>Q3262*INDEX(FmtCansPerPack,MATCH(F3262,FmtName,0))/INDEX(FmtCansPerCase,MATCH(F3262,FmtName,0))</f>
        <v/>
      </c>
      <c r="S3262" s="46">
        <f>R3262*INDEX(FmtCansPerCase,MATCH(F3262,FmtName,0))</f>
        <v/>
      </c>
      <c r="T3262" s="46">
        <f>S3262/INDEX(FmtCansPerPack,MATCH(F3262,FmtName,0))</f>
        <v/>
      </c>
      <c r="U3262" s="47">
        <f>INDEX(ProvOnline,MATCH(G3262,ProvCode,0))*(1+PriceIndex)</f>
        <v/>
      </c>
      <c r="V3262" s="47">
        <f>Q3262*U3262*INDEX(FmtBlendedPriceIdx,MATCH(F3262,FmtName,0))</f>
        <v/>
      </c>
      <c r="W3262" s="47">
        <f>V3262</f>
        <v/>
      </c>
      <c r="X3262" s="47">
        <f>IF(GrossBasis="Wholesale",V3262,W3262)</f>
        <v/>
      </c>
      <c r="Y3262" s="47">
        <f>R3262*INDEX(FmtBlendedCogs,MATCH(F3262,FmtName,0))</f>
        <v/>
      </c>
      <c r="Z3262" s="47">
        <f>X3262-Y3262</f>
        <v/>
      </c>
    </row>
    <row r="3263">
      <c r="A3263" t="n">
        <v>29</v>
      </c>
      <c r="B3263" s="44">
        <f>FiscalStart+(A3263-1)*7</f>
        <v/>
      </c>
      <c r="C3263">
        <f>TEXT(B3263,"mmm yyyy")</f>
        <v/>
      </c>
      <c r="D3263">
        <f>"Q"&amp;(INT((A3263-1)/13)+1)</f>
        <v/>
      </c>
      <c r="E3263" t="inlineStr">
        <is>
          <t>Online</t>
        </is>
      </c>
      <c r="F3263">
        <f>IFERROR(INDEX(ChFormat,MATCH(E3263,ChName,0)),"")</f>
        <v/>
      </c>
      <c r="G3263" t="inlineStr">
        <is>
          <t>AB</t>
        </is>
      </c>
      <c r="H3263">
        <f>IF(A3263&lt;=NWeeks,1,0)</f>
        <v/>
      </c>
      <c r="I3263">
        <f>INDEX(ChLaunch,MATCH(E3263,ChName,0))</f>
        <v/>
      </c>
      <c r="J3263">
        <f>INDEX(ChWeeksFull,MATCH(E3263,ChName,0))</f>
        <v/>
      </c>
      <c r="K3263">
        <f>INDEX(ChRamp,MATCH(E3263,ChName,0))</f>
        <v/>
      </c>
      <c r="L3263" s="45">
        <f>MIN(1,MAX(0,(A3263-I3263+1)*RampSpeed/J3263))</f>
        <v/>
      </c>
      <c r="M3263" s="45">
        <f>IF(A3263&lt;I3263,0,IF(K3263="S-curve",L3263*L3263*(3-2*L3263),L3263))</f>
        <v/>
      </c>
      <c r="N3263" s="45">
        <f>1+(INDEX(SeasonIdx,A3263)-1)*SeasonAmp</f>
        <v/>
      </c>
      <c r="O3263" s="45">
        <f>IFERROR(INDEX(PSPct,MATCH(E3263&amp;"|"&amp;G3263,PSKey,0)),0)</f>
        <v/>
      </c>
      <c r="P3263" s="46" t="n">
        <v>0</v>
      </c>
      <c r="Q3263" s="46">
        <f>INDEX(OnlineUnitsCol,A3263)*O3263*(1+OnlineGrowth)*N3263*H3263*IF(A3263&gt;=I3263,1,0)</f>
        <v/>
      </c>
      <c r="R3263" s="46">
        <f>Q3263*INDEX(FmtCansPerPack,MATCH(F3263,FmtName,0))/INDEX(FmtCansPerCase,MATCH(F3263,FmtName,0))</f>
        <v/>
      </c>
      <c r="S3263" s="46">
        <f>R3263*INDEX(FmtCansPerCase,MATCH(F3263,FmtName,0))</f>
        <v/>
      </c>
      <c r="T3263" s="46">
        <f>S3263/INDEX(FmtCansPerPack,MATCH(F3263,FmtName,0))</f>
        <v/>
      </c>
      <c r="U3263" s="47">
        <f>INDEX(ProvOnline,MATCH(G3263,ProvCode,0))*(1+PriceIndex)</f>
        <v/>
      </c>
      <c r="V3263" s="47">
        <f>Q3263*U3263*INDEX(FmtBlendedPriceIdx,MATCH(F3263,FmtName,0))</f>
        <v/>
      </c>
      <c r="W3263" s="47">
        <f>V3263</f>
        <v/>
      </c>
      <c r="X3263" s="47">
        <f>IF(GrossBasis="Wholesale",V3263,W3263)</f>
        <v/>
      </c>
      <c r="Y3263" s="47">
        <f>R3263*INDEX(FmtBlendedCogs,MATCH(F3263,FmtName,0))</f>
        <v/>
      </c>
      <c r="Z3263" s="47">
        <f>X3263-Y3263</f>
        <v/>
      </c>
    </row>
    <row r="3264">
      <c r="A3264" t="n">
        <v>30</v>
      </c>
      <c r="B3264" s="44">
        <f>FiscalStart+(A3264-1)*7</f>
        <v/>
      </c>
      <c r="C3264">
        <f>TEXT(B3264,"mmm yyyy")</f>
        <v/>
      </c>
      <c r="D3264">
        <f>"Q"&amp;(INT((A3264-1)/13)+1)</f>
        <v/>
      </c>
      <c r="E3264" t="inlineStr">
        <is>
          <t>Online</t>
        </is>
      </c>
      <c r="F3264">
        <f>IFERROR(INDEX(ChFormat,MATCH(E3264,ChName,0)),"")</f>
        <v/>
      </c>
      <c r="G3264" t="inlineStr">
        <is>
          <t>AB</t>
        </is>
      </c>
      <c r="H3264">
        <f>IF(A3264&lt;=NWeeks,1,0)</f>
        <v/>
      </c>
      <c r="I3264">
        <f>INDEX(ChLaunch,MATCH(E3264,ChName,0))</f>
        <v/>
      </c>
      <c r="J3264">
        <f>INDEX(ChWeeksFull,MATCH(E3264,ChName,0))</f>
        <v/>
      </c>
      <c r="K3264">
        <f>INDEX(ChRamp,MATCH(E3264,ChName,0))</f>
        <v/>
      </c>
      <c r="L3264" s="45">
        <f>MIN(1,MAX(0,(A3264-I3264+1)*RampSpeed/J3264))</f>
        <v/>
      </c>
      <c r="M3264" s="45">
        <f>IF(A3264&lt;I3264,0,IF(K3264="S-curve",L3264*L3264*(3-2*L3264),L3264))</f>
        <v/>
      </c>
      <c r="N3264" s="45">
        <f>1+(INDEX(SeasonIdx,A3264)-1)*SeasonAmp</f>
        <v/>
      </c>
      <c r="O3264" s="45">
        <f>IFERROR(INDEX(PSPct,MATCH(E3264&amp;"|"&amp;G3264,PSKey,0)),0)</f>
        <v/>
      </c>
      <c r="P3264" s="46" t="n">
        <v>0</v>
      </c>
      <c r="Q3264" s="46">
        <f>INDEX(OnlineUnitsCol,A3264)*O3264*(1+OnlineGrowth)*N3264*H3264*IF(A3264&gt;=I3264,1,0)</f>
        <v/>
      </c>
      <c r="R3264" s="46">
        <f>Q3264*INDEX(FmtCansPerPack,MATCH(F3264,FmtName,0))/INDEX(FmtCansPerCase,MATCH(F3264,FmtName,0))</f>
        <v/>
      </c>
      <c r="S3264" s="46">
        <f>R3264*INDEX(FmtCansPerCase,MATCH(F3264,FmtName,0))</f>
        <v/>
      </c>
      <c r="T3264" s="46">
        <f>S3264/INDEX(FmtCansPerPack,MATCH(F3264,FmtName,0))</f>
        <v/>
      </c>
      <c r="U3264" s="47">
        <f>INDEX(ProvOnline,MATCH(G3264,ProvCode,0))*(1+PriceIndex)</f>
        <v/>
      </c>
      <c r="V3264" s="47">
        <f>Q3264*U3264*INDEX(FmtBlendedPriceIdx,MATCH(F3264,FmtName,0))</f>
        <v/>
      </c>
      <c r="W3264" s="47">
        <f>V3264</f>
        <v/>
      </c>
      <c r="X3264" s="47">
        <f>IF(GrossBasis="Wholesale",V3264,W3264)</f>
        <v/>
      </c>
      <c r="Y3264" s="47">
        <f>R3264*INDEX(FmtBlendedCogs,MATCH(F3264,FmtName,0))</f>
        <v/>
      </c>
      <c r="Z3264" s="47">
        <f>X3264-Y3264</f>
        <v/>
      </c>
    </row>
    <row r="3265">
      <c r="A3265" t="n">
        <v>31</v>
      </c>
      <c r="B3265" s="44">
        <f>FiscalStart+(A3265-1)*7</f>
        <v/>
      </c>
      <c r="C3265">
        <f>TEXT(B3265,"mmm yyyy")</f>
        <v/>
      </c>
      <c r="D3265">
        <f>"Q"&amp;(INT((A3265-1)/13)+1)</f>
        <v/>
      </c>
      <c r="E3265" t="inlineStr">
        <is>
          <t>Online</t>
        </is>
      </c>
      <c r="F3265">
        <f>IFERROR(INDEX(ChFormat,MATCH(E3265,ChName,0)),"")</f>
        <v/>
      </c>
      <c r="G3265" t="inlineStr">
        <is>
          <t>AB</t>
        </is>
      </c>
      <c r="H3265">
        <f>IF(A3265&lt;=NWeeks,1,0)</f>
        <v/>
      </c>
      <c r="I3265">
        <f>INDEX(ChLaunch,MATCH(E3265,ChName,0))</f>
        <v/>
      </c>
      <c r="J3265">
        <f>INDEX(ChWeeksFull,MATCH(E3265,ChName,0))</f>
        <v/>
      </c>
      <c r="K3265">
        <f>INDEX(ChRamp,MATCH(E3265,ChName,0))</f>
        <v/>
      </c>
      <c r="L3265" s="45">
        <f>MIN(1,MAX(0,(A3265-I3265+1)*RampSpeed/J3265))</f>
        <v/>
      </c>
      <c r="M3265" s="45">
        <f>IF(A3265&lt;I3265,0,IF(K3265="S-curve",L3265*L3265*(3-2*L3265),L3265))</f>
        <v/>
      </c>
      <c r="N3265" s="45">
        <f>1+(INDEX(SeasonIdx,A3265)-1)*SeasonAmp</f>
        <v/>
      </c>
      <c r="O3265" s="45">
        <f>IFERROR(INDEX(PSPct,MATCH(E3265&amp;"|"&amp;G3265,PSKey,0)),0)</f>
        <v/>
      </c>
      <c r="P3265" s="46" t="n">
        <v>0</v>
      </c>
      <c r="Q3265" s="46">
        <f>INDEX(OnlineUnitsCol,A3265)*O3265*(1+OnlineGrowth)*N3265*H3265*IF(A3265&gt;=I3265,1,0)</f>
        <v/>
      </c>
      <c r="R3265" s="46">
        <f>Q3265*INDEX(FmtCansPerPack,MATCH(F3265,FmtName,0))/INDEX(FmtCansPerCase,MATCH(F3265,FmtName,0))</f>
        <v/>
      </c>
      <c r="S3265" s="46">
        <f>R3265*INDEX(FmtCansPerCase,MATCH(F3265,FmtName,0))</f>
        <v/>
      </c>
      <c r="T3265" s="46">
        <f>S3265/INDEX(FmtCansPerPack,MATCH(F3265,FmtName,0))</f>
        <v/>
      </c>
      <c r="U3265" s="47">
        <f>INDEX(ProvOnline,MATCH(G3265,ProvCode,0))*(1+PriceIndex)</f>
        <v/>
      </c>
      <c r="V3265" s="47">
        <f>Q3265*U3265*INDEX(FmtBlendedPriceIdx,MATCH(F3265,FmtName,0))</f>
        <v/>
      </c>
      <c r="W3265" s="47">
        <f>V3265</f>
        <v/>
      </c>
      <c r="X3265" s="47">
        <f>IF(GrossBasis="Wholesale",V3265,W3265)</f>
        <v/>
      </c>
      <c r="Y3265" s="47">
        <f>R3265*INDEX(FmtBlendedCogs,MATCH(F3265,FmtName,0))</f>
        <v/>
      </c>
      <c r="Z3265" s="47">
        <f>X3265-Y3265</f>
        <v/>
      </c>
    </row>
    <row r="3266">
      <c r="A3266" t="n">
        <v>32</v>
      </c>
      <c r="B3266" s="44">
        <f>FiscalStart+(A3266-1)*7</f>
        <v/>
      </c>
      <c r="C3266">
        <f>TEXT(B3266,"mmm yyyy")</f>
        <v/>
      </c>
      <c r="D3266">
        <f>"Q"&amp;(INT((A3266-1)/13)+1)</f>
        <v/>
      </c>
      <c r="E3266" t="inlineStr">
        <is>
          <t>Online</t>
        </is>
      </c>
      <c r="F3266">
        <f>IFERROR(INDEX(ChFormat,MATCH(E3266,ChName,0)),"")</f>
        <v/>
      </c>
      <c r="G3266" t="inlineStr">
        <is>
          <t>AB</t>
        </is>
      </c>
      <c r="H3266">
        <f>IF(A3266&lt;=NWeeks,1,0)</f>
        <v/>
      </c>
      <c r="I3266">
        <f>INDEX(ChLaunch,MATCH(E3266,ChName,0))</f>
        <v/>
      </c>
      <c r="J3266">
        <f>INDEX(ChWeeksFull,MATCH(E3266,ChName,0))</f>
        <v/>
      </c>
      <c r="K3266">
        <f>INDEX(ChRamp,MATCH(E3266,ChName,0))</f>
        <v/>
      </c>
      <c r="L3266" s="45">
        <f>MIN(1,MAX(0,(A3266-I3266+1)*RampSpeed/J3266))</f>
        <v/>
      </c>
      <c r="M3266" s="45">
        <f>IF(A3266&lt;I3266,0,IF(K3266="S-curve",L3266*L3266*(3-2*L3266),L3266))</f>
        <v/>
      </c>
      <c r="N3266" s="45">
        <f>1+(INDEX(SeasonIdx,A3266)-1)*SeasonAmp</f>
        <v/>
      </c>
      <c r="O3266" s="45">
        <f>IFERROR(INDEX(PSPct,MATCH(E3266&amp;"|"&amp;G3266,PSKey,0)),0)</f>
        <v/>
      </c>
      <c r="P3266" s="46" t="n">
        <v>0</v>
      </c>
      <c r="Q3266" s="46">
        <f>INDEX(OnlineUnitsCol,A3266)*O3266*(1+OnlineGrowth)*N3266*H3266*IF(A3266&gt;=I3266,1,0)</f>
        <v/>
      </c>
      <c r="R3266" s="46">
        <f>Q3266*INDEX(FmtCansPerPack,MATCH(F3266,FmtName,0))/INDEX(FmtCansPerCase,MATCH(F3266,FmtName,0))</f>
        <v/>
      </c>
      <c r="S3266" s="46">
        <f>R3266*INDEX(FmtCansPerCase,MATCH(F3266,FmtName,0))</f>
        <v/>
      </c>
      <c r="T3266" s="46">
        <f>S3266/INDEX(FmtCansPerPack,MATCH(F3266,FmtName,0))</f>
        <v/>
      </c>
      <c r="U3266" s="47">
        <f>INDEX(ProvOnline,MATCH(G3266,ProvCode,0))*(1+PriceIndex)</f>
        <v/>
      </c>
      <c r="V3266" s="47">
        <f>Q3266*U3266*INDEX(FmtBlendedPriceIdx,MATCH(F3266,FmtName,0))</f>
        <v/>
      </c>
      <c r="W3266" s="47">
        <f>V3266</f>
        <v/>
      </c>
      <c r="X3266" s="47">
        <f>IF(GrossBasis="Wholesale",V3266,W3266)</f>
        <v/>
      </c>
      <c r="Y3266" s="47">
        <f>R3266*INDEX(FmtBlendedCogs,MATCH(F3266,FmtName,0))</f>
        <v/>
      </c>
      <c r="Z3266" s="47">
        <f>X3266-Y3266</f>
        <v/>
      </c>
    </row>
    <row r="3267">
      <c r="A3267" t="n">
        <v>33</v>
      </c>
      <c r="B3267" s="44">
        <f>FiscalStart+(A3267-1)*7</f>
        <v/>
      </c>
      <c r="C3267">
        <f>TEXT(B3267,"mmm yyyy")</f>
        <v/>
      </c>
      <c r="D3267">
        <f>"Q"&amp;(INT((A3267-1)/13)+1)</f>
        <v/>
      </c>
      <c r="E3267" t="inlineStr">
        <is>
          <t>Online</t>
        </is>
      </c>
      <c r="F3267">
        <f>IFERROR(INDEX(ChFormat,MATCH(E3267,ChName,0)),"")</f>
        <v/>
      </c>
      <c r="G3267" t="inlineStr">
        <is>
          <t>AB</t>
        </is>
      </c>
      <c r="H3267">
        <f>IF(A3267&lt;=NWeeks,1,0)</f>
        <v/>
      </c>
      <c r="I3267">
        <f>INDEX(ChLaunch,MATCH(E3267,ChName,0))</f>
        <v/>
      </c>
      <c r="J3267">
        <f>INDEX(ChWeeksFull,MATCH(E3267,ChName,0))</f>
        <v/>
      </c>
      <c r="K3267">
        <f>INDEX(ChRamp,MATCH(E3267,ChName,0))</f>
        <v/>
      </c>
      <c r="L3267" s="45">
        <f>MIN(1,MAX(0,(A3267-I3267+1)*RampSpeed/J3267))</f>
        <v/>
      </c>
      <c r="M3267" s="45">
        <f>IF(A3267&lt;I3267,0,IF(K3267="S-curve",L3267*L3267*(3-2*L3267),L3267))</f>
        <v/>
      </c>
      <c r="N3267" s="45">
        <f>1+(INDEX(SeasonIdx,A3267)-1)*SeasonAmp</f>
        <v/>
      </c>
      <c r="O3267" s="45">
        <f>IFERROR(INDEX(PSPct,MATCH(E3267&amp;"|"&amp;G3267,PSKey,0)),0)</f>
        <v/>
      </c>
      <c r="P3267" s="46" t="n">
        <v>0</v>
      </c>
      <c r="Q3267" s="46">
        <f>INDEX(OnlineUnitsCol,A3267)*O3267*(1+OnlineGrowth)*N3267*H3267*IF(A3267&gt;=I3267,1,0)</f>
        <v/>
      </c>
      <c r="R3267" s="46">
        <f>Q3267*INDEX(FmtCansPerPack,MATCH(F3267,FmtName,0))/INDEX(FmtCansPerCase,MATCH(F3267,FmtName,0))</f>
        <v/>
      </c>
      <c r="S3267" s="46">
        <f>R3267*INDEX(FmtCansPerCase,MATCH(F3267,FmtName,0))</f>
        <v/>
      </c>
      <c r="T3267" s="46">
        <f>S3267/INDEX(FmtCansPerPack,MATCH(F3267,FmtName,0))</f>
        <v/>
      </c>
      <c r="U3267" s="47">
        <f>INDEX(ProvOnline,MATCH(G3267,ProvCode,0))*(1+PriceIndex)</f>
        <v/>
      </c>
      <c r="V3267" s="47">
        <f>Q3267*U3267*INDEX(FmtBlendedPriceIdx,MATCH(F3267,FmtName,0))</f>
        <v/>
      </c>
      <c r="W3267" s="47">
        <f>V3267</f>
        <v/>
      </c>
      <c r="X3267" s="47">
        <f>IF(GrossBasis="Wholesale",V3267,W3267)</f>
        <v/>
      </c>
      <c r="Y3267" s="47">
        <f>R3267*INDEX(FmtBlendedCogs,MATCH(F3267,FmtName,0))</f>
        <v/>
      </c>
      <c r="Z3267" s="47">
        <f>X3267-Y3267</f>
        <v/>
      </c>
    </row>
    <row r="3268">
      <c r="A3268" t="n">
        <v>34</v>
      </c>
      <c r="B3268" s="44">
        <f>FiscalStart+(A3268-1)*7</f>
        <v/>
      </c>
      <c r="C3268">
        <f>TEXT(B3268,"mmm yyyy")</f>
        <v/>
      </c>
      <c r="D3268">
        <f>"Q"&amp;(INT((A3268-1)/13)+1)</f>
        <v/>
      </c>
      <c r="E3268" t="inlineStr">
        <is>
          <t>Online</t>
        </is>
      </c>
      <c r="F3268">
        <f>IFERROR(INDEX(ChFormat,MATCH(E3268,ChName,0)),"")</f>
        <v/>
      </c>
      <c r="G3268" t="inlineStr">
        <is>
          <t>AB</t>
        </is>
      </c>
      <c r="H3268">
        <f>IF(A3268&lt;=NWeeks,1,0)</f>
        <v/>
      </c>
      <c r="I3268">
        <f>INDEX(ChLaunch,MATCH(E3268,ChName,0))</f>
        <v/>
      </c>
      <c r="J3268">
        <f>INDEX(ChWeeksFull,MATCH(E3268,ChName,0))</f>
        <v/>
      </c>
      <c r="K3268">
        <f>INDEX(ChRamp,MATCH(E3268,ChName,0))</f>
        <v/>
      </c>
      <c r="L3268" s="45">
        <f>MIN(1,MAX(0,(A3268-I3268+1)*RampSpeed/J3268))</f>
        <v/>
      </c>
      <c r="M3268" s="45">
        <f>IF(A3268&lt;I3268,0,IF(K3268="S-curve",L3268*L3268*(3-2*L3268),L3268))</f>
        <v/>
      </c>
      <c r="N3268" s="45">
        <f>1+(INDEX(SeasonIdx,A3268)-1)*SeasonAmp</f>
        <v/>
      </c>
      <c r="O3268" s="45">
        <f>IFERROR(INDEX(PSPct,MATCH(E3268&amp;"|"&amp;G3268,PSKey,0)),0)</f>
        <v/>
      </c>
      <c r="P3268" s="46" t="n">
        <v>0</v>
      </c>
      <c r="Q3268" s="46">
        <f>INDEX(OnlineUnitsCol,A3268)*O3268*(1+OnlineGrowth)*N3268*H3268*IF(A3268&gt;=I3268,1,0)</f>
        <v/>
      </c>
      <c r="R3268" s="46">
        <f>Q3268*INDEX(FmtCansPerPack,MATCH(F3268,FmtName,0))/INDEX(FmtCansPerCase,MATCH(F3268,FmtName,0))</f>
        <v/>
      </c>
      <c r="S3268" s="46">
        <f>R3268*INDEX(FmtCansPerCase,MATCH(F3268,FmtName,0))</f>
        <v/>
      </c>
      <c r="T3268" s="46">
        <f>S3268/INDEX(FmtCansPerPack,MATCH(F3268,FmtName,0))</f>
        <v/>
      </c>
      <c r="U3268" s="47">
        <f>INDEX(ProvOnline,MATCH(G3268,ProvCode,0))*(1+PriceIndex)</f>
        <v/>
      </c>
      <c r="V3268" s="47">
        <f>Q3268*U3268*INDEX(FmtBlendedPriceIdx,MATCH(F3268,FmtName,0))</f>
        <v/>
      </c>
      <c r="W3268" s="47">
        <f>V3268</f>
        <v/>
      </c>
      <c r="X3268" s="47">
        <f>IF(GrossBasis="Wholesale",V3268,W3268)</f>
        <v/>
      </c>
      <c r="Y3268" s="47">
        <f>R3268*INDEX(FmtBlendedCogs,MATCH(F3268,FmtName,0))</f>
        <v/>
      </c>
      <c r="Z3268" s="47">
        <f>X3268-Y3268</f>
        <v/>
      </c>
    </row>
    <row r="3269">
      <c r="A3269" t="n">
        <v>35</v>
      </c>
      <c r="B3269" s="44">
        <f>FiscalStart+(A3269-1)*7</f>
        <v/>
      </c>
      <c r="C3269">
        <f>TEXT(B3269,"mmm yyyy")</f>
        <v/>
      </c>
      <c r="D3269">
        <f>"Q"&amp;(INT((A3269-1)/13)+1)</f>
        <v/>
      </c>
      <c r="E3269" t="inlineStr">
        <is>
          <t>Online</t>
        </is>
      </c>
      <c r="F3269">
        <f>IFERROR(INDEX(ChFormat,MATCH(E3269,ChName,0)),"")</f>
        <v/>
      </c>
      <c r="G3269" t="inlineStr">
        <is>
          <t>AB</t>
        </is>
      </c>
      <c r="H3269">
        <f>IF(A3269&lt;=NWeeks,1,0)</f>
        <v/>
      </c>
      <c r="I3269">
        <f>INDEX(ChLaunch,MATCH(E3269,ChName,0))</f>
        <v/>
      </c>
      <c r="J3269">
        <f>INDEX(ChWeeksFull,MATCH(E3269,ChName,0))</f>
        <v/>
      </c>
      <c r="K3269">
        <f>INDEX(ChRamp,MATCH(E3269,ChName,0))</f>
        <v/>
      </c>
      <c r="L3269" s="45">
        <f>MIN(1,MAX(0,(A3269-I3269+1)*RampSpeed/J3269))</f>
        <v/>
      </c>
      <c r="M3269" s="45">
        <f>IF(A3269&lt;I3269,0,IF(K3269="S-curve",L3269*L3269*(3-2*L3269),L3269))</f>
        <v/>
      </c>
      <c r="N3269" s="45">
        <f>1+(INDEX(SeasonIdx,A3269)-1)*SeasonAmp</f>
        <v/>
      </c>
      <c r="O3269" s="45">
        <f>IFERROR(INDEX(PSPct,MATCH(E3269&amp;"|"&amp;G3269,PSKey,0)),0)</f>
        <v/>
      </c>
      <c r="P3269" s="46" t="n">
        <v>0</v>
      </c>
      <c r="Q3269" s="46">
        <f>INDEX(OnlineUnitsCol,A3269)*O3269*(1+OnlineGrowth)*N3269*H3269*IF(A3269&gt;=I3269,1,0)</f>
        <v/>
      </c>
      <c r="R3269" s="46">
        <f>Q3269*INDEX(FmtCansPerPack,MATCH(F3269,FmtName,0))/INDEX(FmtCansPerCase,MATCH(F3269,FmtName,0))</f>
        <v/>
      </c>
      <c r="S3269" s="46">
        <f>R3269*INDEX(FmtCansPerCase,MATCH(F3269,FmtName,0))</f>
        <v/>
      </c>
      <c r="T3269" s="46">
        <f>S3269/INDEX(FmtCansPerPack,MATCH(F3269,FmtName,0))</f>
        <v/>
      </c>
      <c r="U3269" s="47">
        <f>INDEX(ProvOnline,MATCH(G3269,ProvCode,0))*(1+PriceIndex)</f>
        <v/>
      </c>
      <c r="V3269" s="47">
        <f>Q3269*U3269*INDEX(FmtBlendedPriceIdx,MATCH(F3269,FmtName,0))</f>
        <v/>
      </c>
      <c r="W3269" s="47">
        <f>V3269</f>
        <v/>
      </c>
      <c r="X3269" s="47">
        <f>IF(GrossBasis="Wholesale",V3269,W3269)</f>
        <v/>
      </c>
      <c r="Y3269" s="47">
        <f>R3269*INDEX(FmtBlendedCogs,MATCH(F3269,FmtName,0))</f>
        <v/>
      </c>
      <c r="Z3269" s="47">
        <f>X3269-Y3269</f>
        <v/>
      </c>
    </row>
    <row r="3270">
      <c r="A3270" t="n">
        <v>36</v>
      </c>
      <c r="B3270" s="44">
        <f>FiscalStart+(A3270-1)*7</f>
        <v/>
      </c>
      <c r="C3270">
        <f>TEXT(B3270,"mmm yyyy")</f>
        <v/>
      </c>
      <c r="D3270">
        <f>"Q"&amp;(INT((A3270-1)/13)+1)</f>
        <v/>
      </c>
      <c r="E3270" t="inlineStr">
        <is>
          <t>Online</t>
        </is>
      </c>
      <c r="F3270">
        <f>IFERROR(INDEX(ChFormat,MATCH(E3270,ChName,0)),"")</f>
        <v/>
      </c>
      <c r="G3270" t="inlineStr">
        <is>
          <t>AB</t>
        </is>
      </c>
      <c r="H3270">
        <f>IF(A3270&lt;=NWeeks,1,0)</f>
        <v/>
      </c>
      <c r="I3270">
        <f>INDEX(ChLaunch,MATCH(E3270,ChName,0))</f>
        <v/>
      </c>
      <c r="J3270">
        <f>INDEX(ChWeeksFull,MATCH(E3270,ChName,0))</f>
        <v/>
      </c>
      <c r="K3270">
        <f>INDEX(ChRamp,MATCH(E3270,ChName,0))</f>
        <v/>
      </c>
      <c r="L3270" s="45">
        <f>MIN(1,MAX(0,(A3270-I3270+1)*RampSpeed/J3270))</f>
        <v/>
      </c>
      <c r="M3270" s="45">
        <f>IF(A3270&lt;I3270,0,IF(K3270="S-curve",L3270*L3270*(3-2*L3270),L3270))</f>
        <v/>
      </c>
      <c r="N3270" s="45">
        <f>1+(INDEX(SeasonIdx,A3270)-1)*SeasonAmp</f>
        <v/>
      </c>
      <c r="O3270" s="45">
        <f>IFERROR(INDEX(PSPct,MATCH(E3270&amp;"|"&amp;G3270,PSKey,0)),0)</f>
        <v/>
      </c>
      <c r="P3270" s="46" t="n">
        <v>0</v>
      </c>
      <c r="Q3270" s="46">
        <f>INDEX(OnlineUnitsCol,A3270)*O3270*(1+OnlineGrowth)*N3270*H3270*IF(A3270&gt;=I3270,1,0)</f>
        <v/>
      </c>
      <c r="R3270" s="46">
        <f>Q3270*INDEX(FmtCansPerPack,MATCH(F3270,FmtName,0))/INDEX(FmtCansPerCase,MATCH(F3270,FmtName,0))</f>
        <v/>
      </c>
      <c r="S3270" s="46">
        <f>R3270*INDEX(FmtCansPerCase,MATCH(F3270,FmtName,0))</f>
        <v/>
      </c>
      <c r="T3270" s="46">
        <f>S3270/INDEX(FmtCansPerPack,MATCH(F3270,FmtName,0))</f>
        <v/>
      </c>
      <c r="U3270" s="47">
        <f>INDEX(ProvOnline,MATCH(G3270,ProvCode,0))*(1+PriceIndex)</f>
        <v/>
      </c>
      <c r="V3270" s="47">
        <f>Q3270*U3270*INDEX(FmtBlendedPriceIdx,MATCH(F3270,FmtName,0))</f>
        <v/>
      </c>
      <c r="W3270" s="47">
        <f>V3270</f>
        <v/>
      </c>
      <c r="X3270" s="47">
        <f>IF(GrossBasis="Wholesale",V3270,W3270)</f>
        <v/>
      </c>
      <c r="Y3270" s="47">
        <f>R3270*INDEX(FmtBlendedCogs,MATCH(F3270,FmtName,0))</f>
        <v/>
      </c>
      <c r="Z3270" s="47">
        <f>X3270-Y3270</f>
        <v/>
      </c>
    </row>
    <row r="3271">
      <c r="A3271" t="n">
        <v>37</v>
      </c>
      <c r="B3271" s="44">
        <f>FiscalStart+(A3271-1)*7</f>
        <v/>
      </c>
      <c r="C3271">
        <f>TEXT(B3271,"mmm yyyy")</f>
        <v/>
      </c>
      <c r="D3271">
        <f>"Q"&amp;(INT((A3271-1)/13)+1)</f>
        <v/>
      </c>
      <c r="E3271" t="inlineStr">
        <is>
          <t>Online</t>
        </is>
      </c>
      <c r="F3271">
        <f>IFERROR(INDEX(ChFormat,MATCH(E3271,ChName,0)),"")</f>
        <v/>
      </c>
      <c r="G3271" t="inlineStr">
        <is>
          <t>AB</t>
        </is>
      </c>
      <c r="H3271">
        <f>IF(A3271&lt;=NWeeks,1,0)</f>
        <v/>
      </c>
      <c r="I3271">
        <f>INDEX(ChLaunch,MATCH(E3271,ChName,0))</f>
        <v/>
      </c>
      <c r="J3271">
        <f>INDEX(ChWeeksFull,MATCH(E3271,ChName,0))</f>
        <v/>
      </c>
      <c r="K3271">
        <f>INDEX(ChRamp,MATCH(E3271,ChName,0))</f>
        <v/>
      </c>
      <c r="L3271" s="45">
        <f>MIN(1,MAX(0,(A3271-I3271+1)*RampSpeed/J3271))</f>
        <v/>
      </c>
      <c r="M3271" s="45">
        <f>IF(A3271&lt;I3271,0,IF(K3271="S-curve",L3271*L3271*(3-2*L3271),L3271))</f>
        <v/>
      </c>
      <c r="N3271" s="45">
        <f>1+(INDEX(SeasonIdx,A3271)-1)*SeasonAmp</f>
        <v/>
      </c>
      <c r="O3271" s="45">
        <f>IFERROR(INDEX(PSPct,MATCH(E3271&amp;"|"&amp;G3271,PSKey,0)),0)</f>
        <v/>
      </c>
      <c r="P3271" s="46" t="n">
        <v>0</v>
      </c>
      <c r="Q3271" s="46">
        <f>INDEX(OnlineUnitsCol,A3271)*O3271*(1+OnlineGrowth)*N3271*H3271*IF(A3271&gt;=I3271,1,0)</f>
        <v/>
      </c>
      <c r="R3271" s="46">
        <f>Q3271*INDEX(FmtCansPerPack,MATCH(F3271,FmtName,0))/INDEX(FmtCansPerCase,MATCH(F3271,FmtName,0))</f>
        <v/>
      </c>
      <c r="S3271" s="46">
        <f>R3271*INDEX(FmtCansPerCase,MATCH(F3271,FmtName,0))</f>
        <v/>
      </c>
      <c r="T3271" s="46">
        <f>S3271/INDEX(FmtCansPerPack,MATCH(F3271,FmtName,0))</f>
        <v/>
      </c>
      <c r="U3271" s="47">
        <f>INDEX(ProvOnline,MATCH(G3271,ProvCode,0))*(1+PriceIndex)</f>
        <v/>
      </c>
      <c r="V3271" s="47">
        <f>Q3271*U3271*INDEX(FmtBlendedPriceIdx,MATCH(F3271,FmtName,0))</f>
        <v/>
      </c>
      <c r="W3271" s="47">
        <f>V3271</f>
        <v/>
      </c>
      <c r="X3271" s="47">
        <f>IF(GrossBasis="Wholesale",V3271,W3271)</f>
        <v/>
      </c>
      <c r="Y3271" s="47">
        <f>R3271*INDEX(FmtBlendedCogs,MATCH(F3271,FmtName,0))</f>
        <v/>
      </c>
      <c r="Z3271" s="47">
        <f>X3271-Y3271</f>
        <v/>
      </c>
    </row>
    <row r="3272">
      <c r="A3272" t="n">
        <v>38</v>
      </c>
      <c r="B3272" s="44">
        <f>FiscalStart+(A3272-1)*7</f>
        <v/>
      </c>
      <c r="C3272">
        <f>TEXT(B3272,"mmm yyyy")</f>
        <v/>
      </c>
      <c r="D3272">
        <f>"Q"&amp;(INT((A3272-1)/13)+1)</f>
        <v/>
      </c>
      <c r="E3272" t="inlineStr">
        <is>
          <t>Online</t>
        </is>
      </c>
      <c r="F3272">
        <f>IFERROR(INDEX(ChFormat,MATCH(E3272,ChName,0)),"")</f>
        <v/>
      </c>
      <c r="G3272" t="inlineStr">
        <is>
          <t>AB</t>
        </is>
      </c>
      <c r="H3272">
        <f>IF(A3272&lt;=NWeeks,1,0)</f>
        <v/>
      </c>
      <c r="I3272">
        <f>INDEX(ChLaunch,MATCH(E3272,ChName,0))</f>
        <v/>
      </c>
      <c r="J3272">
        <f>INDEX(ChWeeksFull,MATCH(E3272,ChName,0))</f>
        <v/>
      </c>
      <c r="K3272">
        <f>INDEX(ChRamp,MATCH(E3272,ChName,0))</f>
        <v/>
      </c>
      <c r="L3272" s="45">
        <f>MIN(1,MAX(0,(A3272-I3272+1)*RampSpeed/J3272))</f>
        <v/>
      </c>
      <c r="M3272" s="45">
        <f>IF(A3272&lt;I3272,0,IF(K3272="S-curve",L3272*L3272*(3-2*L3272),L3272))</f>
        <v/>
      </c>
      <c r="N3272" s="45">
        <f>1+(INDEX(SeasonIdx,A3272)-1)*SeasonAmp</f>
        <v/>
      </c>
      <c r="O3272" s="45">
        <f>IFERROR(INDEX(PSPct,MATCH(E3272&amp;"|"&amp;G3272,PSKey,0)),0)</f>
        <v/>
      </c>
      <c r="P3272" s="46" t="n">
        <v>0</v>
      </c>
      <c r="Q3272" s="46">
        <f>INDEX(OnlineUnitsCol,A3272)*O3272*(1+OnlineGrowth)*N3272*H3272*IF(A3272&gt;=I3272,1,0)</f>
        <v/>
      </c>
      <c r="R3272" s="46">
        <f>Q3272*INDEX(FmtCansPerPack,MATCH(F3272,FmtName,0))/INDEX(FmtCansPerCase,MATCH(F3272,FmtName,0))</f>
        <v/>
      </c>
      <c r="S3272" s="46">
        <f>R3272*INDEX(FmtCansPerCase,MATCH(F3272,FmtName,0))</f>
        <v/>
      </c>
      <c r="T3272" s="46">
        <f>S3272/INDEX(FmtCansPerPack,MATCH(F3272,FmtName,0))</f>
        <v/>
      </c>
      <c r="U3272" s="47">
        <f>INDEX(ProvOnline,MATCH(G3272,ProvCode,0))*(1+PriceIndex)</f>
        <v/>
      </c>
      <c r="V3272" s="47">
        <f>Q3272*U3272*INDEX(FmtBlendedPriceIdx,MATCH(F3272,FmtName,0))</f>
        <v/>
      </c>
      <c r="W3272" s="47">
        <f>V3272</f>
        <v/>
      </c>
      <c r="X3272" s="47">
        <f>IF(GrossBasis="Wholesale",V3272,W3272)</f>
        <v/>
      </c>
      <c r="Y3272" s="47">
        <f>R3272*INDEX(FmtBlendedCogs,MATCH(F3272,FmtName,0))</f>
        <v/>
      </c>
      <c r="Z3272" s="47">
        <f>X3272-Y3272</f>
        <v/>
      </c>
    </row>
    <row r="3273">
      <c r="A3273" t="n">
        <v>39</v>
      </c>
      <c r="B3273" s="44">
        <f>FiscalStart+(A3273-1)*7</f>
        <v/>
      </c>
      <c r="C3273">
        <f>TEXT(B3273,"mmm yyyy")</f>
        <v/>
      </c>
      <c r="D3273">
        <f>"Q"&amp;(INT((A3273-1)/13)+1)</f>
        <v/>
      </c>
      <c r="E3273" t="inlineStr">
        <is>
          <t>Online</t>
        </is>
      </c>
      <c r="F3273">
        <f>IFERROR(INDEX(ChFormat,MATCH(E3273,ChName,0)),"")</f>
        <v/>
      </c>
      <c r="G3273" t="inlineStr">
        <is>
          <t>AB</t>
        </is>
      </c>
      <c r="H3273">
        <f>IF(A3273&lt;=NWeeks,1,0)</f>
        <v/>
      </c>
      <c r="I3273">
        <f>INDEX(ChLaunch,MATCH(E3273,ChName,0))</f>
        <v/>
      </c>
      <c r="J3273">
        <f>INDEX(ChWeeksFull,MATCH(E3273,ChName,0))</f>
        <v/>
      </c>
      <c r="K3273">
        <f>INDEX(ChRamp,MATCH(E3273,ChName,0))</f>
        <v/>
      </c>
      <c r="L3273" s="45">
        <f>MIN(1,MAX(0,(A3273-I3273+1)*RampSpeed/J3273))</f>
        <v/>
      </c>
      <c r="M3273" s="45">
        <f>IF(A3273&lt;I3273,0,IF(K3273="S-curve",L3273*L3273*(3-2*L3273),L3273))</f>
        <v/>
      </c>
      <c r="N3273" s="45">
        <f>1+(INDEX(SeasonIdx,A3273)-1)*SeasonAmp</f>
        <v/>
      </c>
      <c r="O3273" s="45">
        <f>IFERROR(INDEX(PSPct,MATCH(E3273&amp;"|"&amp;G3273,PSKey,0)),0)</f>
        <v/>
      </c>
      <c r="P3273" s="46" t="n">
        <v>0</v>
      </c>
      <c r="Q3273" s="46">
        <f>INDEX(OnlineUnitsCol,A3273)*O3273*(1+OnlineGrowth)*N3273*H3273*IF(A3273&gt;=I3273,1,0)</f>
        <v/>
      </c>
      <c r="R3273" s="46">
        <f>Q3273*INDEX(FmtCansPerPack,MATCH(F3273,FmtName,0))/INDEX(FmtCansPerCase,MATCH(F3273,FmtName,0))</f>
        <v/>
      </c>
      <c r="S3273" s="46">
        <f>R3273*INDEX(FmtCansPerCase,MATCH(F3273,FmtName,0))</f>
        <v/>
      </c>
      <c r="T3273" s="46">
        <f>S3273/INDEX(FmtCansPerPack,MATCH(F3273,FmtName,0))</f>
        <v/>
      </c>
      <c r="U3273" s="47">
        <f>INDEX(ProvOnline,MATCH(G3273,ProvCode,0))*(1+PriceIndex)</f>
        <v/>
      </c>
      <c r="V3273" s="47">
        <f>Q3273*U3273*INDEX(FmtBlendedPriceIdx,MATCH(F3273,FmtName,0))</f>
        <v/>
      </c>
      <c r="W3273" s="47">
        <f>V3273</f>
        <v/>
      </c>
      <c r="X3273" s="47">
        <f>IF(GrossBasis="Wholesale",V3273,W3273)</f>
        <v/>
      </c>
      <c r="Y3273" s="47">
        <f>R3273*INDEX(FmtBlendedCogs,MATCH(F3273,FmtName,0))</f>
        <v/>
      </c>
      <c r="Z3273" s="47">
        <f>X3273-Y3273</f>
        <v/>
      </c>
    </row>
    <row r="3274">
      <c r="A3274" t="n">
        <v>40</v>
      </c>
      <c r="B3274" s="44">
        <f>FiscalStart+(A3274-1)*7</f>
        <v/>
      </c>
      <c r="C3274">
        <f>TEXT(B3274,"mmm yyyy")</f>
        <v/>
      </c>
      <c r="D3274">
        <f>"Q"&amp;(INT((A3274-1)/13)+1)</f>
        <v/>
      </c>
      <c r="E3274" t="inlineStr">
        <is>
          <t>Online</t>
        </is>
      </c>
      <c r="F3274">
        <f>IFERROR(INDEX(ChFormat,MATCH(E3274,ChName,0)),"")</f>
        <v/>
      </c>
      <c r="G3274" t="inlineStr">
        <is>
          <t>AB</t>
        </is>
      </c>
      <c r="H3274">
        <f>IF(A3274&lt;=NWeeks,1,0)</f>
        <v/>
      </c>
      <c r="I3274">
        <f>INDEX(ChLaunch,MATCH(E3274,ChName,0))</f>
        <v/>
      </c>
      <c r="J3274">
        <f>INDEX(ChWeeksFull,MATCH(E3274,ChName,0))</f>
        <v/>
      </c>
      <c r="K3274">
        <f>INDEX(ChRamp,MATCH(E3274,ChName,0))</f>
        <v/>
      </c>
      <c r="L3274" s="45">
        <f>MIN(1,MAX(0,(A3274-I3274+1)*RampSpeed/J3274))</f>
        <v/>
      </c>
      <c r="M3274" s="45">
        <f>IF(A3274&lt;I3274,0,IF(K3274="S-curve",L3274*L3274*(3-2*L3274),L3274))</f>
        <v/>
      </c>
      <c r="N3274" s="45">
        <f>1+(INDEX(SeasonIdx,A3274)-1)*SeasonAmp</f>
        <v/>
      </c>
      <c r="O3274" s="45">
        <f>IFERROR(INDEX(PSPct,MATCH(E3274&amp;"|"&amp;G3274,PSKey,0)),0)</f>
        <v/>
      </c>
      <c r="P3274" s="46" t="n">
        <v>0</v>
      </c>
      <c r="Q3274" s="46">
        <f>INDEX(OnlineUnitsCol,A3274)*O3274*(1+OnlineGrowth)*N3274*H3274*IF(A3274&gt;=I3274,1,0)</f>
        <v/>
      </c>
      <c r="R3274" s="46">
        <f>Q3274*INDEX(FmtCansPerPack,MATCH(F3274,FmtName,0))/INDEX(FmtCansPerCase,MATCH(F3274,FmtName,0))</f>
        <v/>
      </c>
      <c r="S3274" s="46">
        <f>R3274*INDEX(FmtCansPerCase,MATCH(F3274,FmtName,0))</f>
        <v/>
      </c>
      <c r="T3274" s="46">
        <f>S3274/INDEX(FmtCansPerPack,MATCH(F3274,FmtName,0))</f>
        <v/>
      </c>
      <c r="U3274" s="47">
        <f>INDEX(ProvOnline,MATCH(G3274,ProvCode,0))*(1+PriceIndex)</f>
        <v/>
      </c>
      <c r="V3274" s="47">
        <f>Q3274*U3274*INDEX(FmtBlendedPriceIdx,MATCH(F3274,FmtName,0))</f>
        <v/>
      </c>
      <c r="W3274" s="47">
        <f>V3274</f>
        <v/>
      </c>
      <c r="X3274" s="47">
        <f>IF(GrossBasis="Wholesale",V3274,W3274)</f>
        <v/>
      </c>
      <c r="Y3274" s="47">
        <f>R3274*INDEX(FmtBlendedCogs,MATCH(F3274,FmtName,0))</f>
        <v/>
      </c>
      <c r="Z3274" s="47">
        <f>X3274-Y3274</f>
        <v/>
      </c>
    </row>
    <row r="3275">
      <c r="A3275" t="n">
        <v>41</v>
      </c>
      <c r="B3275" s="44">
        <f>FiscalStart+(A3275-1)*7</f>
        <v/>
      </c>
      <c r="C3275">
        <f>TEXT(B3275,"mmm yyyy")</f>
        <v/>
      </c>
      <c r="D3275">
        <f>"Q"&amp;(INT((A3275-1)/13)+1)</f>
        <v/>
      </c>
      <c r="E3275" t="inlineStr">
        <is>
          <t>Online</t>
        </is>
      </c>
      <c r="F3275">
        <f>IFERROR(INDEX(ChFormat,MATCH(E3275,ChName,0)),"")</f>
        <v/>
      </c>
      <c r="G3275" t="inlineStr">
        <is>
          <t>AB</t>
        </is>
      </c>
      <c r="H3275">
        <f>IF(A3275&lt;=NWeeks,1,0)</f>
        <v/>
      </c>
      <c r="I3275">
        <f>INDEX(ChLaunch,MATCH(E3275,ChName,0))</f>
        <v/>
      </c>
      <c r="J3275">
        <f>INDEX(ChWeeksFull,MATCH(E3275,ChName,0))</f>
        <v/>
      </c>
      <c r="K3275">
        <f>INDEX(ChRamp,MATCH(E3275,ChName,0))</f>
        <v/>
      </c>
      <c r="L3275" s="45">
        <f>MIN(1,MAX(0,(A3275-I3275+1)*RampSpeed/J3275))</f>
        <v/>
      </c>
      <c r="M3275" s="45">
        <f>IF(A3275&lt;I3275,0,IF(K3275="S-curve",L3275*L3275*(3-2*L3275),L3275))</f>
        <v/>
      </c>
      <c r="N3275" s="45">
        <f>1+(INDEX(SeasonIdx,A3275)-1)*SeasonAmp</f>
        <v/>
      </c>
      <c r="O3275" s="45">
        <f>IFERROR(INDEX(PSPct,MATCH(E3275&amp;"|"&amp;G3275,PSKey,0)),0)</f>
        <v/>
      </c>
      <c r="P3275" s="46" t="n">
        <v>0</v>
      </c>
      <c r="Q3275" s="46">
        <f>INDEX(OnlineUnitsCol,A3275)*O3275*(1+OnlineGrowth)*N3275*H3275*IF(A3275&gt;=I3275,1,0)</f>
        <v/>
      </c>
      <c r="R3275" s="46">
        <f>Q3275*INDEX(FmtCansPerPack,MATCH(F3275,FmtName,0))/INDEX(FmtCansPerCase,MATCH(F3275,FmtName,0))</f>
        <v/>
      </c>
      <c r="S3275" s="46">
        <f>R3275*INDEX(FmtCansPerCase,MATCH(F3275,FmtName,0))</f>
        <v/>
      </c>
      <c r="T3275" s="46">
        <f>S3275/INDEX(FmtCansPerPack,MATCH(F3275,FmtName,0))</f>
        <v/>
      </c>
      <c r="U3275" s="47">
        <f>INDEX(ProvOnline,MATCH(G3275,ProvCode,0))*(1+PriceIndex)</f>
        <v/>
      </c>
      <c r="V3275" s="47">
        <f>Q3275*U3275*INDEX(FmtBlendedPriceIdx,MATCH(F3275,FmtName,0))</f>
        <v/>
      </c>
      <c r="W3275" s="47">
        <f>V3275</f>
        <v/>
      </c>
      <c r="X3275" s="47">
        <f>IF(GrossBasis="Wholesale",V3275,W3275)</f>
        <v/>
      </c>
      <c r="Y3275" s="47">
        <f>R3275*INDEX(FmtBlendedCogs,MATCH(F3275,FmtName,0))</f>
        <v/>
      </c>
      <c r="Z3275" s="47">
        <f>X3275-Y3275</f>
        <v/>
      </c>
    </row>
    <row r="3276">
      <c r="A3276" t="n">
        <v>42</v>
      </c>
      <c r="B3276" s="44">
        <f>FiscalStart+(A3276-1)*7</f>
        <v/>
      </c>
      <c r="C3276">
        <f>TEXT(B3276,"mmm yyyy")</f>
        <v/>
      </c>
      <c r="D3276">
        <f>"Q"&amp;(INT((A3276-1)/13)+1)</f>
        <v/>
      </c>
      <c r="E3276" t="inlineStr">
        <is>
          <t>Online</t>
        </is>
      </c>
      <c r="F3276">
        <f>IFERROR(INDEX(ChFormat,MATCH(E3276,ChName,0)),"")</f>
        <v/>
      </c>
      <c r="G3276" t="inlineStr">
        <is>
          <t>AB</t>
        </is>
      </c>
      <c r="H3276">
        <f>IF(A3276&lt;=NWeeks,1,0)</f>
        <v/>
      </c>
      <c r="I3276">
        <f>INDEX(ChLaunch,MATCH(E3276,ChName,0))</f>
        <v/>
      </c>
      <c r="J3276">
        <f>INDEX(ChWeeksFull,MATCH(E3276,ChName,0))</f>
        <v/>
      </c>
      <c r="K3276">
        <f>INDEX(ChRamp,MATCH(E3276,ChName,0))</f>
        <v/>
      </c>
      <c r="L3276" s="45">
        <f>MIN(1,MAX(0,(A3276-I3276+1)*RampSpeed/J3276))</f>
        <v/>
      </c>
      <c r="M3276" s="45">
        <f>IF(A3276&lt;I3276,0,IF(K3276="S-curve",L3276*L3276*(3-2*L3276),L3276))</f>
        <v/>
      </c>
      <c r="N3276" s="45">
        <f>1+(INDEX(SeasonIdx,A3276)-1)*SeasonAmp</f>
        <v/>
      </c>
      <c r="O3276" s="45">
        <f>IFERROR(INDEX(PSPct,MATCH(E3276&amp;"|"&amp;G3276,PSKey,0)),0)</f>
        <v/>
      </c>
      <c r="P3276" s="46" t="n">
        <v>0</v>
      </c>
      <c r="Q3276" s="46">
        <f>INDEX(OnlineUnitsCol,A3276)*O3276*(1+OnlineGrowth)*N3276*H3276*IF(A3276&gt;=I3276,1,0)</f>
        <v/>
      </c>
      <c r="R3276" s="46">
        <f>Q3276*INDEX(FmtCansPerPack,MATCH(F3276,FmtName,0))/INDEX(FmtCansPerCase,MATCH(F3276,FmtName,0))</f>
        <v/>
      </c>
      <c r="S3276" s="46">
        <f>R3276*INDEX(FmtCansPerCase,MATCH(F3276,FmtName,0))</f>
        <v/>
      </c>
      <c r="T3276" s="46">
        <f>S3276/INDEX(FmtCansPerPack,MATCH(F3276,FmtName,0))</f>
        <v/>
      </c>
      <c r="U3276" s="47">
        <f>INDEX(ProvOnline,MATCH(G3276,ProvCode,0))*(1+PriceIndex)</f>
        <v/>
      </c>
      <c r="V3276" s="47">
        <f>Q3276*U3276*INDEX(FmtBlendedPriceIdx,MATCH(F3276,FmtName,0))</f>
        <v/>
      </c>
      <c r="W3276" s="47">
        <f>V3276</f>
        <v/>
      </c>
      <c r="X3276" s="47">
        <f>IF(GrossBasis="Wholesale",V3276,W3276)</f>
        <v/>
      </c>
      <c r="Y3276" s="47">
        <f>R3276*INDEX(FmtBlendedCogs,MATCH(F3276,FmtName,0))</f>
        <v/>
      </c>
      <c r="Z3276" s="47">
        <f>X3276-Y3276</f>
        <v/>
      </c>
    </row>
    <row r="3277">
      <c r="A3277" t="n">
        <v>43</v>
      </c>
      <c r="B3277" s="44">
        <f>FiscalStart+(A3277-1)*7</f>
        <v/>
      </c>
      <c r="C3277">
        <f>TEXT(B3277,"mmm yyyy")</f>
        <v/>
      </c>
      <c r="D3277">
        <f>"Q"&amp;(INT((A3277-1)/13)+1)</f>
        <v/>
      </c>
      <c r="E3277" t="inlineStr">
        <is>
          <t>Online</t>
        </is>
      </c>
      <c r="F3277">
        <f>IFERROR(INDEX(ChFormat,MATCH(E3277,ChName,0)),"")</f>
        <v/>
      </c>
      <c r="G3277" t="inlineStr">
        <is>
          <t>AB</t>
        </is>
      </c>
      <c r="H3277">
        <f>IF(A3277&lt;=NWeeks,1,0)</f>
        <v/>
      </c>
      <c r="I3277">
        <f>INDEX(ChLaunch,MATCH(E3277,ChName,0))</f>
        <v/>
      </c>
      <c r="J3277">
        <f>INDEX(ChWeeksFull,MATCH(E3277,ChName,0))</f>
        <v/>
      </c>
      <c r="K3277">
        <f>INDEX(ChRamp,MATCH(E3277,ChName,0))</f>
        <v/>
      </c>
      <c r="L3277" s="45">
        <f>MIN(1,MAX(0,(A3277-I3277+1)*RampSpeed/J3277))</f>
        <v/>
      </c>
      <c r="M3277" s="45">
        <f>IF(A3277&lt;I3277,0,IF(K3277="S-curve",L3277*L3277*(3-2*L3277),L3277))</f>
        <v/>
      </c>
      <c r="N3277" s="45">
        <f>1+(INDEX(SeasonIdx,A3277)-1)*SeasonAmp</f>
        <v/>
      </c>
      <c r="O3277" s="45">
        <f>IFERROR(INDEX(PSPct,MATCH(E3277&amp;"|"&amp;G3277,PSKey,0)),0)</f>
        <v/>
      </c>
      <c r="P3277" s="46" t="n">
        <v>0</v>
      </c>
      <c r="Q3277" s="46">
        <f>INDEX(OnlineUnitsCol,A3277)*O3277*(1+OnlineGrowth)*N3277*H3277*IF(A3277&gt;=I3277,1,0)</f>
        <v/>
      </c>
      <c r="R3277" s="46">
        <f>Q3277*INDEX(FmtCansPerPack,MATCH(F3277,FmtName,0))/INDEX(FmtCansPerCase,MATCH(F3277,FmtName,0))</f>
        <v/>
      </c>
      <c r="S3277" s="46">
        <f>R3277*INDEX(FmtCansPerCase,MATCH(F3277,FmtName,0))</f>
        <v/>
      </c>
      <c r="T3277" s="46">
        <f>S3277/INDEX(FmtCansPerPack,MATCH(F3277,FmtName,0))</f>
        <v/>
      </c>
      <c r="U3277" s="47">
        <f>INDEX(ProvOnline,MATCH(G3277,ProvCode,0))*(1+PriceIndex)</f>
        <v/>
      </c>
      <c r="V3277" s="47">
        <f>Q3277*U3277*INDEX(FmtBlendedPriceIdx,MATCH(F3277,FmtName,0))</f>
        <v/>
      </c>
      <c r="W3277" s="47">
        <f>V3277</f>
        <v/>
      </c>
      <c r="X3277" s="47">
        <f>IF(GrossBasis="Wholesale",V3277,W3277)</f>
        <v/>
      </c>
      <c r="Y3277" s="47">
        <f>R3277*INDEX(FmtBlendedCogs,MATCH(F3277,FmtName,0))</f>
        <v/>
      </c>
      <c r="Z3277" s="47">
        <f>X3277-Y3277</f>
        <v/>
      </c>
    </row>
    <row r="3278">
      <c r="A3278" t="n">
        <v>44</v>
      </c>
      <c r="B3278" s="44">
        <f>FiscalStart+(A3278-1)*7</f>
        <v/>
      </c>
      <c r="C3278">
        <f>TEXT(B3278,"mmm yyyy")</f>
        <v/>
      </c>
      <c r="D3278">
        <f>"Q"&amp;(INT((A3278-1)/13)+1)</f>
        <v/>
      </c>
      <c r="E3278" t="inlineStr">
        <is>
          <t>Online</t>
        </is>
      </c>
      <c r="F3278">
        <f>IFERROR(INDEX(ChFormat,MATCH(E3278,ChName,0)),"")</f>
        <v/>
      </c>
      <c r="G3278" t="inlineStr">
        <is>
          <t>AB</t>
        </is>
      </c>
      <c r="H3278">
        <f>IF(A3278&lt;=NWeeks,1,0)</f>
        <v/>
      </c>
      <c r="I3278">
        <f>INDEX(ChLaunch,MATCH(E3278,ChName,0))</f>
        <v/>
      </c>
      <c r="J3278">
        <f>INDEX(ChWeeksFull,MATCH(E3278,ChName,0))</f>
        <v/>
      </c>
      <c r="K3278">
        <f>INDEX(ChRamp,MATCH(E3278,ChName,0))</f>
        <v/>
      </c>
      <c r="L3278" s="45">
        <f>MIN(1,MAX(0,(A3278-I3278+1)*RampSpeed/J3278))</f>
        <v/>
      </c>
      <c r="M3278" s="45">
        <f>IF(A3278&lt;I3278,0,IF(K3278="S-curve",L3278*L3278*(3-2*L3278),L3278))</f>
        <v/>
      </c>
      <c r="N3278" s="45">
        <f>1+(INDEX(SeasonIdx,A3278)-1)*SeasonAmp</f>
        <v/>
      </c>
      <c r="O3278" s="45">
        <f>IFERROR(INDEX(PSPct,MATCH(E3278&amp;"|"&amp;G3278,PSKey,0)),0)</f>
        <v/>
      </c>
      <c r="P3278" s="46" t="n">
        <v>0</v>
      </c>
      <c r="Q3278" s="46">
        <f>INDEX(OnlineUnitsCol,A3278)*O3278*(1+OnlineGrowth)*N3278*H3278*IF(A3278&gt;=I3278,1,0)</f>
        <v/>
      </c>
      <c r="R3278" s="46">
        <f>Q3278*INDEX(FmtCansPerPack,MATCH(F3278,FmtName,0))/INDEX(FmtCansPerCase,MATCH(F3278,FmtName,0))</f>
        <v/>
      </c>
      <c r="S3278" s="46">
        <f>R3278*INDEX(FmtCansPerCase,MATCH(F3278,FmtName,0))</f>
        <v/>
      </c>
      <c r="T3278" s="46">
        <f>S3278/INDEX(FmtCansPerPack,MATCH(F3278,FmtName,0))</f>
        <v/>
      </c>
      <c r="U3278" s="47">
        <f>INDEX(ProvOnline,MATCH(G3278,ProvCode,0))*(1+PriceIndex)</f>
        <v/>
      </c>
      <c r="V3278" s="47">
        <f>Q3278*U3278*INDEX(FmtBlendedPriceIdx,MATCH(F3278,FmtName,0))</f>
        <v/>
      </c>
      <c r="W3278" s="47">
        <f>V3278</f>
        <v/>
      </c>
      <c r="X3278" s="47">
        <f>IF(GrossBasis="Wholesale",V3278,W3278)</f>
        <v/>
      </c>
      <c r="Y3278" s="47">
        <f>R3278*INDEX(FmtBlendedCogs,MATCH(F3278,FmtName,0))</f>
        <v/>
      </c>
      <c r="Z3278" s="47">
        <f>X3278-Y3278</f>
        <v/>
      </c>
    </row>
    <row r="3279">
      <c r="A3279" t="n">
        <v>45</v>
      </c>
      <c r="B3279" s="44">
        <f>FiscalStart+(A3279-1)*7</f>
        <v/>
      </c>
      <c r="C3279">
        <f>TEXT(B3279,"mmm yyyy")</f>
        <v/>
      </c>
      <c r="D3279">
        <f>"Q"&amp;(INT((A3279-1)/13)+1)</f>
        <v/>
      </c>
      <c r="E3279" t="inlineStr">
        <is>
          <t>Online</t>
        </is>
      </c>
      <c r="F3279">
        <f>IFERROR(INDEX(ChFormat,MATCH(E3279,ChName,0)),"")</f>
        <v/>
      </c>
      <c r="G3279" t="inlineStr">
        <is>
          <t>AB</t>
        </is>
      </c>
      <c r="H3279">
        <f>IF(A3279&lt;=NWeeks,1,0)</f>
        <v/>
      </c>
      <c r="I3279">
        <f>INDEX(ChLaunch,MATCH(E3279,ChName,0))</f>
        <v/>
      </c>
      <c r="J3279">
        <f>INDEX(ChWeeksFull,MATCH(E3279,ChName,0))</f>
        <v/>
      </c>
      <c r="K3279">
        <f>INDEX(ChRamp,MATCH(E3279,ChName,0))</f>
        <v/>
      </c>
      <c r="L3279" s="45">
        <f>MIN(1,MAX(0,(A3279-I3279+1)*RampSpeed/J3279))</f>
        <v/>
      </c>
      <c r="M3279" s="45">
        <f>IF(A3279&lt;I3279,0,IF(K3279="S-curve",L3279*L3279*(3-2*L3279),L3279))</f>
        <v/>
      </c>
      <c r="N3279" s="45">
        <f>1+(INDEX(SeasonIdx,A3279)-1)*SeasonAmp</f>
        <v/>
      </c>
      <c r="O3279" s="45">
        <f>IFERROR(INDEX(PSPct,MATCH(E3279&amp;"|"&amp;G3279,PSKey,0)),0)</f>
        <v/>
      </c>
      <c r="P3279" s="46" t="n">
        <v>0</v>
      </c>
      <c r="Q3279" s="46">
        <f>INDEX(OnlineUnitsCol,A3279)*O3279*(1+OnlineGrowth)*N3279*H3279*IF(A3279&gt;=I3279,1,0)</f>
        <v/>
      </c>
      <c r="R3279" s="46">
        <f>Q3279*INDEX(FmtCansPerPack,MATCH(F3279,FmtName,0))/INDEX(FmtCansPerCase,MATCH(F3279,FmtName,0))</f>
        <v/>
      </c>
      <c r="S3279" s="46">
        <f>R3279*INDEX(FmtCansPerCase,MATCH(F3279,FmtName,0))</f>
        <v/>
      </c>
      <c r="T3279" s="46">
        <f>S3279/INDEX(FmtCansPerPack,MATCH(F3279,FmtName,0))</f>
        <v/>
      </c>
      <c r="U3279" s="47">
        <f>INDEX(ProvOnline,MATCH(G3279,ProvCode,0))*(1+PriceIndex)</f>
        <v/>
      </c>
      <c r="V3279" s="47">
        <f>Q3279*U3279*INDEX(FmtBlendedPriceIdx,MATCH(F3279,FmtName,0))</f>
        <v/>
      </c>
      <c r="W3279" s="47">
        <f>V3279</f>
        <v/>
      </c>
      <c r="X3279" s="47">
        <f>IF(GrossBasis="Wholesale",V3279,W3279)</f>
        <v/>
      </c>
      <c r="Y3279" s="47">
        <f>R3279*INDEX(FmtBlendedCogs,MATCH(F3279,FmtName,0))</f>
        <v/>
      </c>
      <c r="Z3279" s="47">
        <f>X3279-Y3279</f>
        <v/>
      </c>
    </row>
    <row r="3280">
      <c r="A3280" t="n">
        <v>46</v>
      </c>
      <c r="B3280" s="44">
        <f>FiscalStart+(A3280-1)*7</f>
        <v/>
      </c>
      <c r="C3280">
        <f>TEXT(B3280,"mmm yyyy")</f>
        <v/>
      </c>
      <c r="D3280">
        <f>"Q"&amp;(INT((A3280-1)/13)+1)</f>
        <v/>
      </c>
      <c r="E3280" t="inlineStr">
        <is>
          <t>Online</t>
        </is>
      </c>
      <c r="F3280">
        <f>IFERROR(INDEX(ChFormat,MATCH(E3280,ChName,0)),"")</f>
        <v/>
      </c>
      <c r="G3280" t="inlineStr">
        <is>
          <t>AB</t>
        </is>
      </c>
      <c r="H3280">
        <f>IF(A3280&lt;=NWeeks,1,0)</f>
        <v/>
      </c>
      <c r="I3280">
        <f>INDEX(ChLaunch,MATCH(E3280,ChName,0))</f>
        <v/>
      </c>
      <c r="J3280">
        <f>INDEX(ChWeeksFull,MATCH(E3280,ChName,0))</f>
        <v/>
      </c>
      <c r="K3280">
        <f>INDEX(ChRamp,MATCH(E3280,ChName,0))</f>
        <v/>
      </c>
      <c r="L3280" s="45">
        <f>MIN(1,MAX(0,(A3280-I3280+1)*RampSpeed/J3280))</f>
        <v/>
      </c>
      <c r="M3280" s="45">
        <f>IF(A3280&lt;I3280,0,IF(K3280="S-curve",L3280*L3280*(3-2*L3280),L3280))</f>
        <v/>
      </c>
      <c r="N3280" s="45">
        <f>1+(INDEX(SeasonIdx,A3280)-1)*SeasonAmp</f>
        <v/>
      </c>
      <c r="O3280" s="45">
        <f>IFERROR(INDEX(PSPct,MATCH(E3280&amp;"|"&amp;G3280,PSKey,0)),0)</f>
        <v/>
      </c>
      <c r="P3280" s="46" t="n">
        <v>0</v>
      </c>
      <c r="Q3280" s="46">
        <f>INDEX(OnlineUnitsCol,A3280)*O3280*(1+OnlineGrowth)*N3280*H3280*IF(A3280&gt;=I3280,1,0)</f>
        <v/>
      </c>
      <c r="R3280" s="46">
        <f>Q3280*INDEX(FmtCansPerPack,MATCH(F3280,FmtName,0))/INDEX(FmtCansPerCase,MATCH(F3280,FmtName,0))</f>
        <v/>
      </c>
      <c r="S3280" s="46">
        <f>R3280*INDEX(FmtCansPerCase,MATCH(F3280,FmtName,0))</f>
        <v/>
      </c>
      <c r="T3280" s="46">
        <f>S3280/INDEX(FmtCansPerPack,MATCH(F3280,FmtName,0))</f>
        <v/>
      </c>
      <c r="U3280" s="47">
        <f>INDEX(ProvOnline,MATCH(G3280,ProvCode,0))*(1+PriceIndex)</f>
        <v/>
      </c>
      <c r="V3280" s="47">
        <f>Q3280*U3280*INDEX(FmtBlendedPriceIdx,MATCH(F3280,FmtName,0))</f>
        <v/>
      </c>
      <c r="W3280" s="47">
        <f>V3280</f>
        <v/>
      </c>
      <c r="X3280" s="47">
        <f>IF(GrossBasis="Wholesale",V3280,W3280)</f>
        <v/>
      </c>
      <c r="Y3280" s="47">
        <f>R3280*INDEX(FmtBlendedCogs,MATCH(F3280,FmtName,0))</f>
        <v/>
      </c>
      <c r="Z3280" s="47">
        <f>X3280-Y3280</f>
        <v/>
      </c>
    </row>
    <row r="3281">
      <c r="A3281" t="n">
        <v>47</v>
      </c>
      <c r="B3281" s="44">
        <f>FiscalStart+(A3281-1)*7</f>
        <v/>
      </c>
      <c r="C3281">
        <f>TEXT(B3281,"mmm yyyy")</f>
        <v/>
      </c>
      <c r="D3281">
        <f>"Q"&amp;(INT((A3281-1)/13)+1)</f>
        <v/>
      </c>
      <c r="E3281" t="inlineStr">
        <is>
          <t>Online</t>
        </is>
      </c>
      <c r="F3281">
        <f>IFERROR(INDEX(ChFormat,MATCH(E3281,ChName,0)),"")</f>
        <v/>
      </c>
      <c r="G3281" t="inlineStr">
        <is>
          <t>AB</t>
        </is>
      </c>
      <c r="H3281">
        <f>IF(A3281&lt;=NWeeks,1,0)</f>
        <v/>
      </c>
      <c r="I3281">
        <f>INDEX(ChLaunch,MATCH(E3281,ChName,0))</f>
        <v/>
      </c>
      <c r="J3281">
        <f>INDEX(ChWeeksFull,MATCH(E3281,ChName,0))</f>
        <v/>
      </c>
      <c r="K3281">
        <f>INDEX(ChRamp,MATCH(E3281,ChName,0))</f>
        <v/>
      </c>
      <c r="L3281" s="45">
        <f>MIN(1,MAX(0,(A3281-I3281+1)*RampSpeed/J3281))</f>
        <v/>
      </c>
      <c r="M3281" s="45">
        <f>IF(A3281&lt;I3281,0,IF(K3281="S-curve",L3281*L3281*(3-2*L3281),L3281))</f>
        <v/>
      </c>
      <c r="N3281" s="45">
        <f>1+(INDEX(SeasonIdx,A3281)-1)*SeasonAmp</f>
        <v/>
      </c>
      <c r="O3281" s="45">
        <f>IFERROR(INDEX(PSPct,MATCH(E3281&amp;"|"&amp;G3281,PSKey,0)),0)</f>
        <v/>
      </c>
      <c r="P3281" s="46" t="n">
        <v>0</v>
      </c>
      <c r="Q3281" s="46">
        <f>INDEX(OnlineUnitsCol,A3281)*O3281*(1+OnlineGrowth)*N3281*H3281*IF(A3281&gt;=I3281,1,0)</f>
        <v/>
      </c>
      <c r="R3281" s="46">
        <f>Q3281*INDEX(FmtCansPerPack,MATCH(F3281,FmtName,0))/INDEX(FmtCansPerCase,MATCH(F3281,FmtName,0))</f>
        <v/>
      </c>
      <c r="S3281" s="46">
        <f>R3281*INDEX(FmtCansPerCase,MATCH(F3281,FmtName,0))</f>
        <v/>
      </c>
      <c r="T3281" s="46">
        <f>S3281/INDEX(FmtCansPerPack,MATCH(F3281,FmtName,0))</f>
        <v/>
      </c>
      <c r="U3281" s="47">
        <f>INDEX(ProvOnline,MATCH(G3281,ProvCode,0))*(1+PriceIndex)</f>
        <v/>
      </c>
      <c r="V3281" s="47">
        <f>Q3281*U3281*INDEX(FmtBlendedPriceIdx,MATCH(F3281,FmtName,0))</f>
        <v/>
      </c>
      <c r="W3281" s="47">
        <f>V3281</f>
        <v/>
      </c>
      <c r="X3281" s="47">
        <f>IF(GrossBasis="Wholesale",V3281,W3281)</f>
        <v/>
      </c>
      <c r="Y3281" s="47">
        <f>R3281*INDEX(FmtBlendedCogs,MATCH(F3281,FmtName,0))</f>
        <v/>
      </c>
      <c r="Z3281" s="47">
        <f>X3281-Y3281</f>
        <v/>
      </c>
    </row>
    <row r="3282">
      <c r="A3282" t="n">
        <v>48</v>
      </c>
      <c r="B3282" s="44">
        <f>FiscalStart+(A3282-1)*7</f>
        <v/>
      </c>
      <c r="C3282">
        <f>TEXT(B3282,"mmm yyyy")</f>
        <v/>
      </c>
      <c r="D3282">
        <f>"Q"&amp;(INT((A3282-1)/13)+1)</f>
        <v/>
      </c>
      <c r="E3282" t="inlineStr">
        <is>
          <t>Online</t>
        </is>
      </c>
      <c r="F3282">
        <f>IFERROR(INDEX(ChFormat,MATCH(E3282,ChName,0)),"")</f>
        <v/>
      </c>
      <c r="G3282" t="inlineStr">
        <is>
          <t>AB</t>
        </is>
      </c>
      <c r="H3282">
        <f>IF(A3282&lt;=NWeeks,1,0)</f>
        <v/>
      </c>
      <c r="I3282">
        <f>INDEX(ChLaunch,MATCH(E3282,ChName,0))</f>
        <v/>
      </c>
      <c r="J3282">
        <f>INDEX(ChWeeksFull,MATCH(E3282,ChName,0))</f>
        <v/>
      </c>
      <c r="K3282">
        <f>INDEX(ChRamp,MATCH(E3282,ChName,0))</f>
        <v/>
      </c>
      <c r="L3282" s="45">
        <f>MIN(1,MAX(0,(A3282-I3282+1)*RampSpeed/J3282))</f>
        <v/>
      </c>
      <c r="M3282" s="45">
        <f>IF(A3282&lt;I3282,0,IF(K3282="S-curve",L3282*L3282*(3-2*L3282),L3282))</f>
        <v/>
      </c>
      <c r="N3282" s="45">
        <f>1+(INDEX(SeasonIdx,A3282)-1)*SeasonAmp</f>
        <v/>
      </c>
      <c r="O3282" s="45">
        <f>IFERROR(INDEX(PSPct,MATCH(E3282&amp;"|"&amp;G3282,PSKey,0)),0)</f>
        <v/>
      </c>
      <c r="P3282" s="46" t="n">
        <v>0</v>
      </c>
      <c r="Q3282" s="46">
        <f>INDEX(OnlineUnitsCol,A3282)*O3282*(1+OnlineGrowth)*N3282*H3282*IF(A3282&gt;=I3282,1,0)</f>
        <v/>
      </c>
      <c r="R3282" s="46">
        <f>Q3282*INDEX(FmtCansPerPack,MATCH(F3282,FmtName,0))/INDEX(FmtCansPerCase,MATCH(F3282,FmtName,0))</f>
        <v/>
      </c>
      <c r="S3282" s="46">
        <f>R3282*INDEX(FmtCansPerCase,MATCH(F3282,FmtName,0))</f>
        <v/>
      </c>
      <c r="T3282" s="46">
        <f>S3282/INDEX(FmtCansPerPack,MATCH(F3282,FmtName,0))</f>
        <v/>
      </c>
      <c r="U3282" s="47">
        <f>INDEX(ProvOnline,MATCH(G3282,ProvCode,0))*(1+PriceIndex)</f>
        <v/>
      </c>
      <c r="V3282" s="47">
        <f>Q3282*U3282*INDEX(FmtBlendedPriceIdx,MATCH(F3282,FmtName,0))</f>
        <v/>
      </c>
      <c r="W3282" s="47">
        <f>V3282</f>
        <v/>
      </c>
      <c r="X3282" s="47">
        <f>IF(GrossBasis="Wholesale",V3282,W3282)</f>
        <v/>
      </c>
      <c r="Y3282" s="47">
        <f>R3282*INDEX(FmtBlendedCogs,MATCH(F3282,FmtName,0))</f>
        <v/>
      </c>
      <c r="Z3282" s="47">
        <f>X3282-Y3282</f>
        <v/>
      </c>
    </row>
    <row r="3283">
      <c r="A3283" t="n">
        <v>49</v>
      </c>
      <c r="B3283" s="44">
        <f>FiscalStart+(A3283-1)*7</f>
        <v/>
      </c>
      <c r="C3283">
        <f>TEXT(B3283,"mmm yyyy")</f>
        <v/>
      </c>
      <c r="D3283">
        <f>"Q"&amp;(INT((A3283-1)/13)+1)</f>
        <v/>
      </c>
      <c r="E3283" t="inlineStr">
        <is>
          <t>Online</t>
        </is>
      </c>
      <c r="F3283">
        <f>IFERROR(INDEX(ChFormat,MATCH(E3283,ChName,0)),"")</f>
        <v/>
      </c>
      <c r="G3283" t="inlineStr">
        <is>
          <t>AB</t>
        </is>
      </c>
      <c r="H3283">
        <f>IF(A3283&lt;=NWeeks,1,0)</f>
        <v/>
      </c>
      <c r="I3283">
        <f>INDEX(ChLaunch,MATCH(E3283,ChName,0))</f>
        <v/>
      </c>
      <c r="J3283">
        <f>INDEX(ChWeeksFull,MATCH(E3283,ChName,0))</f>
        <v/>
      </c>
      <c r="K3283">
        <f>INDEX(ChRamp,MATCH(E3283,ChName,0))</f>
        <v/>
      </c>
      <c r="L3283" s="45">
        <f>MIN(1,MAX(0,(A3283-I3283+1)*RampSpeed/J3283))</f>
        <v/>
      </c>
      <c r="M3283" s="45">
        <f>IF(A3283&lt;I3283,0,IF(K3283="S-curve",L3283*L3283*(3-2*L3283),L3283))</f>
        <v/>
      </c>
      <c r="N3283" s="45">
        <f>1+(INDEX(SeasonIdx,A3283)-1)*SeasonAmp</f>
        <v/>
      </c>
      <c r="O3283" s="45">
        <f>IFERROR(INDEX(PSPct,MATCH(E3283&amp;"|"&amp;G3283,PSKey,0)),0)</f>
        <v/>
      </c>
      <c r="P3283" s="46" t="n">
        <v>0</v>
      </c>
      <c r="Q3283" s="46">
        <f>INDEX(OnlineUnitsCol,A3283)*O3283*(1+OnlineGrowth)*N3283*H3283*IF(A3283&gt;=I3283,1,0)</f>
        <v/>
      </c>
      <c r="R3283" s="46">
        <f>Q3283*INDEX(FmtCansPerPack,MATCH(F3283,FmtName,0))/INDEX(FmtCansPerCase,MATCH(F3283,FmtName,0))</f>
        <v/>
      </c>
      <c r="S3283" s="46">
        <f>R3283*INDEX(FmtCansPerCase,MATCH(F3283,FmtName,0))</f>
        <v/>
      </c>
      <c r="T3283" s="46">
        <f>S3283/INDEX(FmtCansPerPack,MATCH(F3283,FmtName,0))</f>
        <v/>
      </c>
      <c r="U3283" s="47">
        <f>INDEX(ProvOnline,MATCH(G3283,ProvCode,0))*(1+PriceIndex)</f>
        <v/>
      </c>
      <c r="V3283" s="47">
        <f>Q3283*U3283*INDEX(FmtBlendedPriceIdx,MATCH(F3283,FmtName,0))</f>
        <v/>
      </c>
      <c r="W3283" s="47">
        <f>V3283</f>
        <v/>
      </c>
      <c r="X3283" s="47">
        <f>IF(GrossBasis="Wholesale",V3283,W3283)</f>
        <v/>
      </c>
      <c r="Y3283" s="47">
        <f>R3283*INDEX(FmtBlendedCogs,MATCH(F3283,FmtName,0))</f>
        <v/>
      </c>
      <c r="Z3283" s="47">
        <f>X3283-Y3283</f>
        <v/>
      </c>
    </row>
    <row r="3284">
      <c r="A3284" t="n">
        <v>50</v>
      </c>
      <c r="B3284" s="44">
        <f>FiscalStart+(A3284-1)*7</f>
        <v/>
      </c>
      <c r="C3284">
        <f>TEXT(B3284,"mmm yyyy")</f>
        <v/>
      </c>
      <c r="D3284">
        <f>"Q"&amp;(INT((A3284-1)/13)+1)</f>
        <v/>
      </c>
      <c r="E3284" t="inlineStr">
        <is>
          <t>Online</t>
        </is>
      </c>
      <c r="F3284">
        <f>IFERROR(INDEX(ChFormat,MATCH(E3284,ChName,0)),"")</f>
        <v/>
      </c>
      <c r="G3284" t="inlineStr">
        <is>
          <t>AB</t>
        </is>
      </c>
      <c r="H3284">
        <f>IF(A3284&lt;=NWeeks,1,0)</f>
        <v/>
      </c>
      <c r="I3284">
        <f>INDEX(ChLaunch,MATCH(E3284,ChName,0))</f>
        <v/>
      </c>
      <c r="J3284">
        <f>INDEX(ChWeeksFull,MATCH(E3284,ChName,0))</f>
        <v/>
      </c>
      <c r="K3284">
        <f>INDEX(ChRamp,MATCH(E3284,ChName,0))</f>
        <v/>
      </c>
      <c r="L3284" s="45">
        <f>MIN(1,MAX(0,(A3284-I3284+1)*RampSpeed/J3284))</f>
        <v/>
      </c>
      <c r="M3284" s="45">
        <f>IF(A3284&lt;I3284,0,IF(K3284="S-curve",L3284*L3284*(3-2*L3284),L3284))</f>
        <v/>
      </c>
      <c r="N3284" s="45">
        <f>1+(INDEX(SeasonIdx,A3284)-1)*SeasonAmp</f>
        <v/>
      </c>
      <c r="O3284" s="45">
        <f>IFERROR(INDEX(PSPct,MATCH(E3284&amp;"|"&amp;G3284,PSKey,0)),0)</f>
        <v/>
      </c>
      <c r="P3284" s="46" t="n">
        <v>0</v>
      </c>
      <c r="Q3284" s="46">
        <f>INDEX(OnlineUnitsCol,A3284)*O3284*(1+OnlineGrowth)*N3284*H3284*IF(A3284&gt;=I3284,1,0)</f>
        <v/>
      </c>
      <c r="R3284" s="46">
        <f>Q3284*INDEX(FmtCansPerPack,MATCH(F3284,FmtName,0))/INDEX(FmtCansPerCase,MATCH(F3284,FmtName,0))</f>
        <v/>
      </c>
      <c r="S3284" s="46">
        <f>R3284*INDEX(FmtCansPerCase,MATCH(F3284,FmtName,0))</f>
        <v/>
      </c>
      <c r="T3284" s="46">
        <f>S3284/INDEX(FmtCansPerPack,MATCH(F3284,FmtName,0))</f>
        <v/>
      </c>
      <c r="U3284" s="47">
        <f>INDEX(ProvOnline,MATCH(G3284,ProvCode,0))*(1+PriceIndex)</f>
        <v/>
      </c>
      <c r="V3284" s="47">
        <f>Q3284*U3284*INDEX(FmtBlendedPriceIdx,MATCH(F3284,FmtName,0))</f>
        <v/>
      </c>
      <c r="W3284" s="47">
        <f>V3284</f>
        <v/>
      </c>
      <c r="X3284" s="47">
        <f>IF(GrossBasis="Wholesale",V3284,W3284)</f>
        <v/>
      </c>
      <c r="Y3284" s="47">
        <f>R3284*INDEX(FmtBlendedCogs,MATCH(F3284,FmtName,0))</f>
        <v/>
      </c>
      <c r="Z3284" s="47">
        <f>X3284-Y3284</f>
        <v/>
      </c>
    </row>
    <row r="3285">
      <c r="A3285" t="n">
        <v>51</v>
      </c>
      <c r="B3285" s="44">
        <f>FiscalStart+(A3285-1)*7</f>
        <v/>
      </c>
      <c r="C3285">
        <f>TEXT(B3285,"mmm yyyy")</f>
        <v/>
      </c>
      <c r="D3285">
        <f>"Q"&amp;(INT((A3285-1)/13)+1)</f>
        <v/>
      </c>
      <c r="E3285" t="inlineStr">
        <is>
          <t>Online</t>
        </is>
      </c>
      <c r="F3285">
        <f>IFERROR(INDEX(ChFormat,MATCH(E3285,ChName,0)),"")</f>
        <v/>
      </c>
      <c r="G3285" t="inlineStr">
        <is>
          <t>AB</t>
        </is>
      </c>
      <c r="H3285">
        <f>IF(A3285&lt;=NWeeks,1,0)</f>
        <v/>
      </c>
      <c r="I3285">
        <f>INDEX(ChLaunch,MATCH(E3285,ChName,0))</f>
        <v/>
      </c>
      <c r="J3285">
        <f>INDEX(ChWeeksFull,MATCH(E3285,ChName,0))</f>
        <v/>
      </c>
      <c r="K3285">
        <f>INDEX(ChRamp,MATCH(E3285,ChName,0))</f>
        <v/>
      </c>
      <c r="L3285" s="45">
        <f>MIN(1,MAX(0,(A3285-I3285+1)*RampSpeed/J3285))</f>
        <v/>
      </c>
      <c r="M3285" s="45">
        <f>IF(A3285&lt;I3285,0,IF(K3285="S-curve",L3285*L3285*(3-2*L3285),L3285))</f>
        <v/>
      </c>
      <c r="N3285" s="45">
        <f>1+(INDEX(SeasonIdx,A3285)-1)*SeasonAmp</f>
        <v/>
      </c>
      <c r="O3285" s="45">
        <f>IFERROR(INDEX(PSPct,MATCH(E3285&amp;"|"&amp;G3285,PSKey,0)),0)</f>
        <v/>
      </c>
      <c r="P3285" s="46" t="n">
        <v>0</v>
      </c>
      <c r="Q3285" s="46">
        <f>INDEX(OnlineUnitsCol,A3285)*O3285*(1+OnlineGrowth)*N3285*H3285*IF(A3285&gt;=I3285,1,0)</f>
        <v/>
      </c>
      <c r="R3285" s="46">
        <f>Q3285*INDEX(FmtCansPerPack,MATCH(F3285,FmtName,0))/INDEX(FmtCansPerCase,MATCH(F3285,FmtName,0))</f>
        <v/>
      </c>
      <c r="S3285" s="46">
        <f>R3285*INDEX(FmtCansPerCase,MATCH(F3285,FmtName,0))</f>
        <v/>
      </c>
      <c r="T3285" s="46">
        <f>S3285/INDEX(FmtCansPerPack,MATCH(F3285,FmtName,0))</f>
        <v/>
      </c>
      <c r="U3285" s="47">
        <f>INDEX(ProvOnline,MATCH(G3285,ProvCode,0))*(1+PriceIndex)</f>
        <v/>
      </c>
      <c r="V3285" s="47">
        <f>Q3285*U3285*INDEX(FmtBlendedPriceIdx,MATCH(F3285,FmtName,0))</f>
        <v/>
      </c>
      <c r="W3285" s="47">
        <f>V3285</f>
        <v/>
      </c>
      <c r="X3285" s="47">
        <f>IF(GrossBasis="Wholesale",V3285,W3285)</f>
        <v/>
      </c>
      <c r="Y3285" s="47">
        <f>R3285*INDEX(FmtBlendedCogs,MATCH(F3285,FmtName,0))</f>
        <v/>
      </c>
      <c r="Z3285" s="47">
        <f>X3285-Y3285</f>
        <v/>
      </c>
    </row>
    <row r="3286">
      <c r="A3286" t="n">
        <v>52</v>
      </c>
      <c r="B3286" s="44">
        <f>FiscalStart+(A3286-1)*7</f>
        <v/>
      </c>
      <c r="C3286">
        <f>TEXT(B3286,"mmm yyyy")</f>
        <v/>
      </c>
      <c r="D3286">
        <f>"Q"&amp;(INT((A3286-1)/13)+1)</f>
        <v/>
      </c>
      <c r="E3286" t="inlineStr">
        <is>
          <t>Online</t>
        </is>
      </c>
      <c r="F3286">
        <f>IFERROR(INDEX(ChFormat,MATCH(E3286,ChName,0)),"")</f>
        <v/>
      </c>
      <c r="G3286" t="inlineStr">
        <is>
          <t>AB</t>
        </is>
      </c>
      <c r="H3286">
        <f>IF(A3286&lt;=NWeeks,1,0)</f>
        <v/>
      </c>
      <c r="I3286">
        <f>INDEX(ChLaunch,MATCH(E3286,ChName,0))</f>
        <v/>
      </c>
      <c r="J3286">
        <f>INDEX(ChWeeksFull,MATCH(E3286,ChName,0))</f>
        <v/>
      </c>
      <c r="K3286">
        <f>INDEX(ChRamp,MATCH(E3286,ChName,0))</f>
        <v/>
      </c>
      <c r="L3286" s="45">
        <f>MIN(1,MAX(0,(A3286-I3286+1)*RampSpeed/J3286))</f>
        <v/>
      </c>
      <c r="M3286" s="45">
        <f>IF(A3286&lt;I3286,0,IF(K3286="S-curve",L3286*L3286*(3-2*L3286),L3286))</f>
        <v/>
      </c>
      <c r="N3286" s="45">
        <f>1+(INDEX(SeasonIdx,A3286)-1)*SeasonAmp</f>
        <v/>
      </c>
      <c r="O3286" s="45">
        <f>IFERROR(INDEX(PSPct,MATCH(E3286&amp;"|"&amp;G3286,PSKey,0)),0)</f>
        <v/>
      </c>
      <c r="P3286" s="46" t="n">
        <v>0</v>
      </c>
      <c r="Q3286" s="46">
        <f>INDEX(OnlineUnitsCol,A3286)*O3286*(1+OnlineGrowth)*N3286*H3286*IF(A3286&gt;=I3286,1,0)</f>
        <v/>
      </c>
      <c r="R3286" s="46">
        <f>Q3286*INDEX(FmtCansPerPack,MATCH(F3286,FmtName,0))/INDEX(FmtCansPerCase,MATCH(F3286,FmtName,0))</f>
        <v/>
      </c>
      <c r="S3286" s="46">
        <f>R3286*INDEX(FmtCansPerCase,MATCH(F3286,FmtName,0))</f>
        <v/>
      </c>
      <c r="T3286" s="46">
        <f>S3286/INDEX(FmtCansPerPack,MATCH(F3286,FmtName,0))</f>
        <v/>
      </c>
      <c r="U3286" s="47">
        <f>INDEX(ProvOnline,MATCH(G3286,ProvCode,0))*(1+PriceIndex)</f>
        <v/>
      </c>
      <c r="V3286" s="47">
        <f>Q3286*U3286*INDEX(FmtBlendedPriceIdx,MATCH(F3286,FmtName,0))</f>
        <v/>
      </c>
      <c r="W3286" s="47">
        <f>V3286</f>
        <v/>
      </c>
      <c r="X3286" s="47">
        <f>IF(GrossBasis="Wholesale",V3286,W3286)</f>
        <v/>
      </c>
      <c r="Y3286" s="47">
        <f>R3286*INDEX(FmtBlendedCogs,MATCH(F3286,FmtName,0))</f>
        <v/>
      </c>
      <c r="Z3286" s="47">
        <f>X3286-Y3286</f>
        <v/>
      </c>
    </row>
    <row r="3287">
      <c r="A3287" t="n">
        <v>53</v>
      </c>
      <c r="B3287" s="44">
        <f>FiscalStart+(A3287-1)*7</f>
        <v/>
      </c>
      <c r="C3287">
        <f>TEXT(B3287,"mmm yyyy")</f>
        <v/>
      </c>
      <c r="D3287">
        <f>"Q"&amp;(INT((A3287-1)/13)+1)</f>
        <v/>
      </c>
      <c r="E3287" t="inlineStr">
        <is>
          <t>Online</t>
        </is>
      </c>
      <c r="F3287">
        <f>IFERROR(INDEX(ChFormat,MATCH(E3287,ChName,0)),"")</f>
        <v/>
      </c>
      <c r="G3287" t="inlineStr">
        <is>
          <t>AB</t>
        </is>
      </c>
      <c r="H3287">
        <f>IF(A3287&lt;=NWeeks,1,0)</f>
        <v/>
      </c>
      <c r="I3287">
        <f>INDEX(ChLaunch,MATCH(E3287,ChName,0))</f>
        <v/>
      </c>
      <c r="J3287">
        <f>INDEX(ChWeeksFull,MATCH(E3287,ChName,0))</f>
        <v/>
      </c>
      <c r="K3287">
        <f>INDEX(ChRamp,MATCH(E3287,ChName,0))</f>
        <v/>
      </c>
      <c r="L3287" s="45">
        <f>MIN(1,MAX(0,(A3287-I3287+1)*RampSpeed/J3287))</f>
        <v/>
      </c>
      <c r="M3287" s="45">
        <f>IF(A3287&lt;I3287,0,IF(K3287="S-curve",L3287*L3287*(3-2*L3287),L3287))</f>
        <v/>
      </c>
      <c r="N3287" s="45">
        <f>1+(INDEX(SeasonIdx,A3287)-1)*SeasonAmp</f>
        <v/>
      </c>
      <c r="O3287" s="45">
        <f>IFERROR(INDEX(PSPct,MATCH(E3287&amp;"|"&amp;G3287,PSKey,0)),0)</f>
        <v/>
      </c>
      <c r="P3287" s="46" t="n">
        <v>0</v>
      </c>
      <c r="Q3287" s="46">
        <f>INDEX(OnlineUnitsCol,A3287)*O3287*(1+OnlineGrowth)*N3287*H3287*IF(A3287&gt;=I3287,1,0)</f>
        <v/>
      </c>
      <c r="R3287" s="46">
        <f>Q3287*INDEX(FmtCansPerPack,MATCH(F3287,FmtName,0))/INDEX(FmtCansPerCase,MATCH(F3287,FmtName,0))</f>
        <v/>
      </c>
      <c r="S3287" s="46">
        <f>R3287*INDEX(FmtCansPerCase,MATCH(F3287,FmtName,0))</f>
        <v/>
      </c>
      <c r="T3287" s="46">
        <f>S3287/INDEX(FmtCansPerPack,MATCH(F3287,FmtName,0))</f>
        <v/>
      </c>
      <c r="U3287" s="47">
        <f>INDEX(ProvOnline,MATCH(G3287,ProvCode,0))*(1+PriceIndex)</f>
        <v/>
      </c>
      <c r="V3287" s="47">
        <f>Q3287*U3287*INDEX(FmtBlendedPriceIdx,MATCH(F3287,FmtName,0))</f>
        <v/>
      </c>
      <c r="W3287" s="47">
        <f>V3287</f>
        <v/>
      </c>
      <c r="X3287" s="47">
        <f>IF(GrossBasis="Wholesale",V3287,W3287)</f>
        <v/>
      </c>
      <c r="Y3287" s="47">
        <f>R3287*INDEX(FmtBlendedCogs,MATCH(F3287,FmtName,0))</f>
        <v/>
      </c>
      <c r="Z3287" s="47">
        <f>X3287-Y3287</f>
        <v/>
      </c>
    </row>
    <row r="3288">
      <c r="A3288" t="n">
        <v>1</v>
      </c>
      <c r="B3288" s="44">
        <f>FiscalStart+(A3288-1)*7</f>
        <v/>
      </c>
      <c r="C3288">
        <f>TEXT(B3288,"mmm yyyy")</f>
        <v/>
      </c>
      <c r="D3288">
        <f>"Q"&amp;(INT((A3288-1)/13)+1)</f>
        <v/>
      </c>
      <c r="E3288" t="inlineStr">
        <is>
          <t>Online</t>
        </is>
      </c>
      <c r="F3288">
        <f>IFERROR(INDEX(ChFormat,MATCH(E3288,ChName,0)),"")</f>
        <v/>
      </c>
      <c r="G3288" t="inlineStr">
        <is>
          <t>SK</t>
        </is>
      </c>
      <c r="H3288">
        <f>IF(A3288&lt;=NWeeks,1,0)</f>
        <v/>
      </c>
      <c r="I3288">
        <f>INDEX(ChLaunch,MATCH(E3288,ChName,0))</f>
        <v/>
      </c>
      <c r="J3288">
        <f>INDEX(ChWeeksFull,MATCH(E3288,ChName,0))</f>
        <v/>
      </c>
      <c r="K3288">
        <f>INDEX(ChRamp,MATCH(E3288,ChName,0))</f>
        <v/>
      </c>
      <c r="L3288" s="45">
        <f>MIN(1,MAX(0,(A3288-I3288+1)*RampSpeed/J3288))</f>
        <v/>
      </c>
      <c r="M3288" s="45">
        <f>IF(A3288&lt;I3288,0,IF(K3288="S-curve",L3288*L3288*(3-2*L3288),L3288))</f>
        <v/>
      </c>
      <c r="N3288" s="45">
        <f>1+(INDEX(SeasonIdx,A3288)-1)*SeasonAmp</f>
        <v/>
      </c>
      <c r="O3288" s="45">
        <f>IFERROR(INDEX(PSPct,MATCH(E3288&amp;"|"&amp;G3288,PSKey,0)),0)</f>
        <v/>
      </c>
      <c r="P3288" s="46" t="n">
        <v>0</v>
      </c>
      <c r="Q3288" s="46">
        <f>INDEX(OnlineUnitsCol,A3288)*O3288*(1+OnlineGrowth)*N3288*H3288*IF(A3288&gt;=I3288,1,0)</f>
        <v/>
      </c>
      <c r="R3288" s="46">
        <f>Q3288*INDEX(FmtCansPerPack,MATCH(F3288,FmtName,0))/INDEX(FmtCansPerCase,MATCH(F3288,FmtName,0))</f>
        <v/>
      </c>
      <c r="S3288" s="46">
        <f>R3288*INDEX(FmtCansPerCase,MATCH(F3288,FmtName,0))</f>
        <v/>
      </c>
      <c r="T3288" s="46">
        <f>S3288/INDEX(FmtCansPerPack,MATCH(F3288,FmtName,0))</f>
        <v/>
      </c>
      <c r="U3288" s="47">
        <f>INDEX(ProvOnline,MATCH(G3288,ProvCode,0))*(1+PriceIndex)</f>
        <v/>
      </c>
      <c r="V3288" s="47">
        <f>Q3288*U3288*INDEX(FmtBlendedPriceIdx,MATCH(F3288,FmtName,0))</f>
        <v/>
      </c>
      <c r="W3288" s="47">
        <f>V3288</f>
        <v/>
      </c>
      <c r="X3288" s="47">
        <f>IF(GrossBasis="Wholesale",V3288,W3288)</f>
        <v/>
      </c>
      <c r="Y3288" s="47">
        <f>R3288*INDEX(FmtBlendedCogs,MATCH(F3288,FmtName,0))</f>
        <v/>
      </c>
      <c r="Z3288" s="47">
        <f>X3288-Y3288</f>
        <v/>
      </c>
    </row>
    <row r="3289">
      <c r="A3289" t="n">
        <v>2</v>
      </c>
      <c r="B3289" s="44">
        <f>FiscalStart+(A3289-1)*7</f>
        <v/>
      </c>
      <c r="C3289">
        <f>TEXT(B3289,"mmm yyyy")</f>
        <v/>
      </c>
      <c r="D3289">
        <f>"Q"&amp;(INT((A3289-1)/13)+1)</f>
        <v/>
      </c>
      <c r="E3289" t="inlineStr">
        <is>
          <t>Online</t>
        </is>
      </c>
      <c r="F3289">
        <f>IFERROR(INDEX(ChFormat,MATCH(E3289,ChName,0)),"")</f>
        <v/>
      </c>
      <c r="G3289" t="inlineStr">
        <is>
          <t>SK</t>
        </is>
      </c>
      <c r="H3289">
        <f>IF(A3289&lt;=NWeeks,1,0)</f>
        <v/>
      </c>
      <c r="I3289">
        <f>INDEX(ChLaunch,MATCH(E3289,ChName,0))</f>
        <v/>
      </c>
      <c r="J3289">
        <f>INDEX(ChWeeksFull,MATCH(E3289,ChName,0))</f>
        <v/>
      </c>
      <c r="K3289">
        <f>INDEX(ChRamp,MATCH(E3289,ChName,0))</f>
        <v/>
      </c>
      <c r="L3289" s="45">
        <f>MIN(1,MAX(0,(A3289-I3289+1)*RampSpeed/J3289))</f>
        <v/>
      </c>
      <c r="M3289" s="45">
        <f>IF(A3289&lt;I3289,0,IF(K3289="S-curve",L3289*L3289*(3-2*L3289),L3289))</f>
        <v/>
      </c>
      <c r="N3289" s="45">
        <f>1+(INDEX(SeasonIdx,A3289)-1)*SeasonAmp</f>
        <v/>
      </c>
      <c r="O3289" s="45">
        <f>IFERROR(INDEX(PSPct,MATCH(E3289&amp;"|"&amp;G3289,PSKey,0)),0)</f>
        <v/>
      </c>
      <c r="P3289" s="46" t="n">
        <v>0</v>
      </c>
      <c r="Q3289" s="46">
        <f>INDEX(OnlineUnitsCol,A3289)*O3289*(1+OnlineGrowth)*N3289*H3289*IF(A3289&gt;=I3289,1,0)</f>
        <v/>
      </c>
      <c r="R3289" s="46">
        <f>Q3289*INDEX(FmtCansPerPack,MATCH(F3289,FmtName,0))/INDEX(FmtCansPerCase,MATCH(F3289,FmtName,0))</f>
        <v/>
      </c>
      <c r="S3289" s="46">
        <f>R3289*INDEX(FmtCansPerCase,MATCH(F3289,FmtName,0))</f>
        <v/>
      </c>
      <c r="T3289" s="46">
        <f>S3289/INDEX(FmtCansPerPack,MATCH(F3289,FmtName,0))</f>
        <v/>
      </c>
      <c r="U3289" s="47">
        <f>INDEX(ProvOnline,MATCH(G3289,ProvCode,0))*(1+PriceIndex)</f>
        <v/>
      </c>
      <c r="V3289" s="47">
        <f>Q3289*U3289*INDEX(FmtBlendedPriceIdx,MATCH(F3289,FmtName,0))</f>
        <v/>
      </c>
      <c r="W3289" s="47">
        <f>V3289</f>
        <v/>
      </c>
      <c r="X3289" s="47">
        <f>IF(GrossBasis="Wholesale",V3289,W3289)</f>
        <v/>
      </c>
      <c r="Y3289" s="47">
        <f>R3289*INDEX(FmtBlendedCogs,MATCH(F3289,FmtName,0))</f>
        <v/>
      </c>
      <c r="Z3289" s="47">
        <f>X3289-Y3289</f>
        <v/>
      </c>
    </row>
    <row r="3290">
      <c r="A3290" t="n">
        <v>3</v>
      </c>
      <c r="B3290" s="44">
        <f>FiscalStart+(A3290-1)*7</f>
        <v/>
      </c>
      <c r="C3290">
        <f>TEXT(B3290,"mmm yyyy")</f>
        <v/>
      </c>
      <c r="D3290">
        <f>"Q"&amp;(INT((A3290-1)/13)+1)</f>
        <v/>
      </c>
      <c r="E3290" t="inlineStr">
        <is>
          <t>Online</t>
        </is>
      </c>
      <c r="F3290">
        <f>IFERROR(INDEX(ChFormat,MATCH(E3290,ChName,0)),"")</f>
        <v/>
      </c>
      <c r="G3290" t="inlineStr">
        <is>
          <t>SK</t>
        </is>
      </c>
      <c r="H3290">
        <f>IF(A3290&lt;=NWeeks,1,0)</f>
        <v/>
      </c>
      <c r="I3290">
        <f>INDEX(ChLaunch,MATCH(E3290,ChName,0))</f>
        <v/>
      </c>
      <c r="J3290">
        <f>INDEX(ChWeeksFull,MATCH(E3290,ChName,0))</f>
        <v/>
      </c>
      <c r="K3290">
        <f>INDEX(ChRamp,MATCH(E3290,ChName,0))</f>
        <v/>
      </c>
      <c r="L3290" s="45">
        <f>MIN(1,MAX(0,(A3290-I3290+1)*RampSpeed/J3290))</f>
        <v/>
      </c>
      <c r="M3290" s="45">
        <f>IF(A3290&lt;I3290,0,IF(K3290="S-curve",L3290*L3290*(3-2*L3290),L3290))</f>
        <v/>
      </c>
      <c r="N3290" s="45">
        <f>1+(INDEX(SeasonIdx,A3290)-1)*SeasonAmp</f>
        <v/>
      </c>
      <c r="O3290" s="45">
        <f>IFERROR(INDEX(PSPct,MATCH(E3290&amp;"|"&amp;G3290,PSKey,0)),0)</f>
        <v/>
      </c>
      <c r="P3290" s="46" t="n">
        <v>0</v>
      </c>
      <c r="Q3290" s="46">
        <f>INDEX(OnlineUnitsCol,A3290)*O3290*(1+OnlineGrowth)*N3290*H3290*IF(A3290&gt;=I3290,1,0)</f>
        <v/>
      </c>
      <c r="R3290" s="46">
        <f>Q3290*INDEX(FmtCansPerPack,MATCH(F3290,FmtName,0))/INDEX(FmtCansPerCase,MATCH(F3290,FmtName,0))</f>
        <v/>
      </c>
      <c r="S3290" s="46">
        <f>R3290*INDEX(FmtCansPerCase,MATCH(F3290,FmtName,0))</f>
        <v/>
      </c>
      <c r="T3290" s="46">
        <f>S3290/INDEX(FmtCansPerPack,MATCH(F3290,FmtName,0))</f>
        <v/>
      </c>
      <c r="U3290" s="47">
        <f>INDEX(ProvOnline,MATCH(G3290,ProvCode,0))*(1+PriceIndex)</f>
        <v/>
      </c>
      <c r="V3290" s="47">
        <f>Q3290*U3290*INDEX(FmtBlendedPriceIdx,MATCH(F3290,FmtName,0))</f>
        <v/>
      </c>
      <c r="W3290" s="47">
        <f>V3290</f>
        <v/>
      </c>
      <c r="X3290" s="47">
        <f>IF(GrossBasis="Wholesale",V3290,W3290)</f>
        <v/>
      </c>
      <c r="Y3290" s="47">
        <f>R3290*INDEX(FmtBlendedCogs,MATCH(F3290,FmtName,0))</f>
        <v/>
      </c>
      <c r="Z3290" s="47">
        <f>X3290-Y3290</f>
        <v/>
      </c>
    </row>
    <row r="3291">
      <c r="A3291" t="n">
        <v>4</v>
      </c>
      <c r="B3291" s="44">
        <f>FiscalStart+(A3291-1)*7</f>
        <v/>
      </c>
      <c r="C3291">
        <f>TEXT(B3291,"mmm yyyy")</f>
        <v/>
      </c>
      <c r="D3291">
        <f>"Q"&amp;(INT((A3291-1)/13)+1)</f>
        <v/>
      </c>
      <c r="E3291" t="inlineStr">
        <is>
          <t>Online</t>
        </is>
      </c>
      <c r="F3291">
        <f>IFERROR(INDEX(ChFormat,MATCH(E3291,ChName,0)),"")</f>
        <v/>
      </c>
      <c r="G3291" t="inlineStr">
        <is>
          <t>SK</t>
        </is>
      </c>
      <c r="H3291">
        <f>IF(A3291&lt;=NWeeks,1,0)</f>
        <v/>
      </c>
      <c r="I3291">
        <f>INDEX(ChLaunch,MATCH(E3291,ChName,0))</f>
        <v/>
      </c>
      <c r="J3291">
        <f>INDEX(ChWeeksFull,MATCH(E3291,ChName,0))</f>
        <v/>
      </c>
      <c r="K3291">
        <f>INDEX(ChRamp,MATCH(E3291,ChName,0))</f>
        <v/>
      </c>
      <c r="L3291" s="45">
        <f>MIN(1,MAX(0,(A3291-I3291+1)*RampSpeed/J3291))</f>
        <v/>
      </c>
      <c r="M3291" s="45">
        <f>IF(A3291&lt;I3291,0,IF(K3291="S-curve",L3291*L3291*(3-2*L3291),L3291))</f>
        <v/>
      </c>
      <c r="N3291" s="45">
        <f>1+(INDEX(SeasonIdx,A3291)-1)*SeasonAmp</f>
        <v/>
      </c>
      <c r="O3291" s="45">
        <f>IFERROR(INDEX(PSPct,MATCH(E3291&amp;"|"&amp;G3291,PSKey,0)),0)</f>
        <v/>
      </c>
      <c r="P3291" s="46" t="n">
        <v>0</v>
      </c>
      <c r="Q3291" s="46">
        <f>INDEX(OnlineUnitsCol,A3291)*O3291*(1+OnlineGrowth)*N3291*H3291*IF(A3291&gt;=I3291,1,0)</f>
        <v/>
      </c>
      <c r="R3291" s="46">
        <f>Q3291*INDEX(FmtCansPerPack,MATCH(F3291,FmtName,0))/INDEX(FmtCansPerCase,MATCH(F3291,FmtName,0))</f>
        <v/>
      </c>
      <c r="S3291" s="46">
        <f>R3291*INDEX(FmtCansPerCase,MATCH(F3291,FmtName,0))</f>
        <v/>
      </c>
      <c r="T3291" s="46">
        <f>S3291/INDEX(FmtCansPerPack,MATCH(F3291,FmtName,0))</f>
        <v/>
      </c>
      <c r="U3291" s="47">
        <f>INDEX(ProvOnline,MATCH(G3291,ProvCode,0))*(1+PriceIndex)</f>
        <v/>
      </c>
      <c r="V3291" s="47">
        <f>Q3291*U3291*INDEX(FmtBlendedPriceIdx,MATCH(F3291,FmtName,0))</f>
        <v/>
      </c>
      <c r="W3291" s="47">
        <f>V3291</f>
        <v/>
      </c>
      <c r="X3291" s="47">
        <f>IF(GrossBasis="Wholesale",V3291,W3291)</f>
        <v/>
      </c>
      <c r="Y3291" s="47">
        <f>R3291*INDEX(FmtBlendedCogs,MATCH(F3291,FmtName,0))</f>
        <v/>
      </c>
      <c r="Z3291" s="47">
        <f>X3291-Y3291</f>
        <v/>
      </c>
    </row>
    <row r="3292">
      <c r="A3292" t="n">
        <v>5</v>
      </c>
      <c r="B3292" s="44">
        <f>FiscalStart+(A3292-1)*7</f>
        <v/>
      </c>
      <c r="C3292">
        <f>TEXT(B3292,"mmm yyyy")</f>
        <v/>
      </c>
      <c r="D3292">
        <f>"Q"&amp;(INT((A3292-1)/13)+1)</f>
        <v/>
      </c>
      <c r="E3292" t="inlineStr">
        <is>
          <t>Online</t>
        </is>
      </c>
      <c r="F3292">
        <f>IFERROR(INDEX(ChFormat,MATCH(E3292,ChName,0)),"")</f>
        <v/>
      </c>
      <c r="G3292" t="inlineStr">
        <is>
          <t>SK</t>
        </is>
      </c>
      <c r="H3292">
        <f>IF(A3292&lt;=NWeeks,1,0)</f>
        <v/>
      </c>
      <c r="I3292">
        <f>INDEX(ChLaunch,MATCH(E3292,ChName,0))</f>
        <v/>
      </c>
      <c r="J3292">
        <f>INDEX(ChWeeksFull,MATCH(E3292,ChName,0))</f>
        <v/>
      </c>
      <c r="K3292">
        <f>INDEX(ChRamp,MATCH(E3292,ChName,0))</f>
        <v/>
      </c>
      <c r="L3292" s="45">
        <f>MIN(1,MAX(0,(A3292-I3292+1)*RampSpeed/J3292))</f>
        <v/>
      </c>
      <c r="M3292" s="45">
        <f>IF(A3292&lt;I3292,0,IF(K3292="S-curve",L3292*L3292*(3-2*L3292),L3292))</f>
        <v/>
      </c>
      <c r="N3292" s="45">
        <f>1+(INDEX(SeasonIdx,A3292)-1)*SeasonAmp</f>
        <v/>
      </c>
      <c r="O3292" s="45">
        <f>IFERROR(INDEX(PSPct,MATCH(E3292&amp;"|"&amp;G3292,PSKey,0)),0)</f>
        <v/>
      </c>
      <c r="P3292" s="46" t="n">
        <v>0</v>
      </c>
      <c r="Q3292" s="46">
        <f>INDEX(OnlineUnitsCol,A3292)*O3292*(1+OnlineGrowth)*N3292*H3292*IF(A3292&gt;=I3292,1,0)</f>
        <v/>
      </c>
      <c r="R3292" s="46">
        <f>Q3292*INDEX(FmtCansPerPack,MATCH(F3292,FmtName,0))/INDEX(FmtCansPerCase,MATCH(F3292,FmtName,0))</f>
        <v/>
      </c>
      <c r="S3292" s="46">
        <f>R3292*INDEX(FmtCansPerCase,MATCH(F3292,FmtName,0))</f>
        <v/>
      </c>
      <c r="T3292" s="46">
        <f>S3292/INDEX(FmtCansPerPack,MATCH(F3292,FmtName,0))</f>
        <v/>
      </c>
      <c r="U3292" s="47">
        <f>INDEX(ProvOnline,MATCH(G3292,ProvCode,0))*(1+PriceIndex)</f>
        <v/>
      </c>
      <c r="V3292" s="47">
        <f>Q3292*U3292*INDEX(FmtBlendedPriceIdx,MATCH(F3292,FmtName,0))</f>
        <v/>
      </c>
      <c r="W3292" s="47">
        <f>V3292</f>
        <v/>
      </c>
      <c r="X3292" s="47">
        <f>IF(GrossBasis="Wholesale",V3292,W3292)</f>
        <v/>
      </c>
      <c r="Y3292" s="47">
        <f>R3292*INDEX(FmtBlendedCogs,MATCH(F3292,FmtName,0))</f>
        <v/>
      </c>
      <c r="Z3292" s="47">
        <f>X3292-Y3292</f>
        <v/>
      </c>
    </row>
    <row r="3293">
      <c r="A3293" t="n">
        <v>6</v>
      </c>
      <c r="B3293" s="44">
        <f>FiscalStart+(A3293-1)*7</f>
        <v/>
      </c>
      <c r="C3293">
        <f>TEXT(B3293,"mmm yyyy")</f>
        <v/>
      </c>
      <c r="D3293">
        <f>"Q"&amp;(INT((A3293-1)/13)+1)</f>
        <v/>
      </c>
      <c r="E3293" t="inlineStr">
        <is>
          <t>Online</t>
        </is>
      </c>
      <c r="F3293">
        <f>IFERROR(INDEX(ChFormat,MATCH(E3293,ChName,0)),"")</f>
        <v/>
      </c>
      <c r="G3293" t="inlineStr">
        <is>
          <t>SK</t>
        </is>
      </c>
      <c r="H3293">
        <f>IF(A3293&lt;=NWeeks,1,0)</f>
        <v/>
      </c>
      <c r="I3293">
        <f>INDEX(ChLaunch,MATCH(E3293,ChName,0))</f>
        <v/>
      </c>
      <c r="J3293">
        <f>INDEX(ChWeeksFull,MATCH(E3293,ChName,0))</f>
        <v/>
      </c>
      <c r="K3293">
        <f>INDEX(ChRamp,MATCH(E3293,ChName,0))</f>
        <v/>
      </c>
      <c r="L3293" s="45">
        <f>MIN(1,MAX(0,(A3293-I3293+1)*RampSpeed/J3293))</f>
        <v/>
      </c>
      <c r="M3293" s="45">
        <f>IF(A3293&lt;I3293,0,IF(K3293="S-curve",L3293*L3293*(3-2*L3293),L3293))</f>
        <v/>
      </c>
      <c r="N3293" s="45">
        <f>1+(INDEX(SeasonIdx,A3293)-1)*SeasonAmp</f>
        <v/>
      </c>
      <c r="O3293" s="45">
        <f>IFERROR(INDEX(PSPct,MATCH(E3293&amp;"|"&amp;G3293,PSKey,0)),0)</f>
        <v/>
      </c>
      <c r="P3293" s="46" t="n">
        <v>0</v>
      </c>
      <c r="Q3293" s="46">
        <f>INDEX(OnlineUnitsCol,A3293)*O3293*(1+OnlineGrowth)*N3293*H3293*IF(A3293&gt;=I3293,1,0)</f>
        <v/>
      </c>
      <c r="R3293" s="46">
        <f>Q3293*INDEX(FmtCansPerPack,MATCH(F3293,FmtName,0))/INDEX(FmtCansPerCase,MATCH(F3293,FmtName,0))</f>
        <v/>
      </c>
      <c r="S3293" s="46">
        <f>R3293*INDEX(FmtCansPerCase,MATCH(F3293,FmtName,0))</f>
        <v/>
      </c>
      <c r="T3293" s="46">
        <f>S3293/INDEX(FmtCansPerPack,MATCH(F3293,FmtName,0))</f>
        <v/>
      </c>
      <c r="U3293" s="47">
        <f>INDEX(ProvOnline,MATCH(G3293,ProvCode,0))*(1+PriceIndex)</f>
        <v/>
      </c>
      <c r="V3293" s="47">
        <f>Q3293*U3293*INDEX(FmtBlendedPriceIdx,MATCH(F3293,FmtName,0))</f>
        <v/>
      </c>
      <c r="W3293" s="47">
        <f>V3293</f>
        <v/>
      </c>
      <c r="X3293" s="47">
        <f>IF(GrossBasis="Wholesale",V3293,W3293)</f>
        <v/>
      </c>
      <c r="Y3293" s="47">
        <f>R3293*INDEX(FmtBlendedCogs,MATCH(F3293,FmtName,0))</f>
        <v/>
      </c>
      <c r="Z3293" s="47">
        <f>X3293-Y3293</f>
        <v/>
      </c>
    </row>
    <row r="3294">
      <c r="A3294" t="n">
        <v>7</v>
      </c>
      <c r="B3294" s="44">
        <f>FiscalStart+(A3294-1)*7</f>
        <v/>
      </c>
      <c r="C3294">
        <f>TEXT(B3294,"mmm yyyy")</f>
        <v/>
      </c>
      <c r="D3294">
        <f>"Q"&amp;(INT((A3294-1)/13)+1)</f>
        <v/>
      </c>
      <c r="E3294" t="inlineStr">
        <is>
          <t>Online</t>
        </is>
      </c>
      <c r="F3294">
        <f>IFERROR(INDEX(ChFormat,MATCH(E3294,ChName,0)),"")</f>
        <v/>
      </c>
      <c r="G3294" t="inlineStr">
        <is>
          <t>SK</t>
        </is>
      </c>
      <c r="H3294">
        <f>IF(A3294&lt;=NWeeks,1,0)</f>
        <v/>
      </c>
      <c r="I3294">
        <f>INDEX(ChLaunch,MATCH(E3294,ChName,0))</f>
        <v/>
      </c>
      <c r="J3294">
        <f>INDEX(ChWeeksFull,MATCH(E3294,ChName,0))</f>
        <v/>
      </c>
      <c r="K3294">
        <f>INDEX(ChRamp,MATCH(E3294,ChName,0))</f>
        <v/>
      </c>
      <c r="L3294" s="45">
        <f>MIN(1,MAX(0,(A3294-I3294+1)*RampSpeed/J3294))</f>
        <v/>
      </c>
      <c r="M3294" s="45">
        <f>IF(A3294&lt;I3294,0,IF(K3294="S-curve",L3294*L3294*(3-2*L3294),L3294))</f>
        <v/>
      </c>
      <c r="N3294" s="45">
        <f>1+(INDEX(SeasonIdx,A3294)-1)*SeasonAmp</f>
        <v/>
      </c>
      <c r="O3294" s="45">
        <f>IFERROR(INDEX(PSPct,MATCH(E3294&amp;"|"&amp;G3294,PSKey,0)),0)</f>
        <v/>
      </c>
      <c r="P3294" s="46" t="n">
        <v>0</v>
      </c>
      <c r="Q3294" s="46">
        <f>INDEX(OnlineUnitsCol,A3294)*O3294*(1+OnlineGrowth)*N3294*H3294*IF(A3294&gt;=I3294,1,0)</f>
        <v/>
      </c>
      <c r="R3294" s="46">
        <f>Q3294*INDEX(FmtCansPerPack,MATCH(F3294,FmtName,0))/INDEX(FmtCansPerCase,MATCH(F3294,FmtName,0))</f>
        <v/>
      </c>
      <c r="S3294" s="46">
        <f>R3294*INDEX(FmtCansPerCase,MATCH(F3294,FmtName,0))</f>
        <v/>
      </c>
      <c r="T3294" s="46">
        <f>S3294/INDEX(FmtCansPerPack,MATCH(F3294,FmtName,0))</f>
        <v/>
      </c>
      <c r="U3294" s="47">
        <f>INDEX(ProvOnline,MATCH(G3294,ProvCode,0))*(1+PriceIndex)</f>
        <v/>
      </c>
      <c r="V3294" s="47">
        <f>Q3294*U3294*INDEX(FmtBlendedPriceIdx,MATCH(F3294,FmtName,0))</f>
        <v/>
      </c>
      <c r="W3294" s="47">
        <f>V3294</f>
        <v/>
      </c>
      <c r="X3294" s="47">
        <f>IF(GrossBasis="Wholesale",V3294,W3294)</f>
        <v/>
      </c>
      <c r="Y3294" s="47">
        <f>R3294*INDEX(FmtBlendedCogs,MATCH(F3294,FmtName,0))</f>
        <v/>
      </c>
      <c r="Z3294" s="47">
        <f>X3294-Y3294</f>
        <v/>
      </c>
    </row>
    <row r="3295">
      <c r="A3295" t="n">
        <v>8</v>
      </c>
      <c r="B3295" s="44">
        <f>FiscalStart+(A3295-1)*7</f>
        <v/>
      </c>
      <c r="C3295">
        <f>TEXT(B3295,"mmm yyyy")</f>
        <v/>
      </c>
      <c r="D3295">
        <f>"Q"&amp;(INT((A3295-1)/13)+1)</f>
        <v/>
      </c>
      <c r="E3295" t="inlineStr">
        <is>
          <t>Online</t>
        </is>
      </c>
      <c r="F3295">
        <f>IFERROR(INDEX(ChFormat,MATCH(E3295,ChName,0)),"")</f>
        <v/>
      </c>
      <c r="G3295" t="inlineStr">
        <is>
          <t>SK</t>
        </is>
      </c>
      <c r="H3295">
        <f>IF(A3295&lt;=NWeeks,1,0)</f>
        <v/>
      </c>
      <c r="I3295">
        <f>INDEX(ChLaunch,MATCH(E3295,ChName,0))</f>
        <v/>
      </c>
      <c r="J3295">
        <f>INDEX(ChWeeksFull,MATCH(E3295,ChName,0))</f>
        <v/>
      </c>
      <c r="K3295">
        <f>INDEX(ChRamp,MATCH(E3295,ChName,0))</f>
        <v/>
      </c>
      <c r="L3295" s="45">
        <f>MIN(1,MAX(0,(A3295-I3295+1)*RampSpeed/J3295))</f>
        <v/>
      </c>
      <c r="M3295" s="45">
        <f>IF(A3295&lt;I3295,0,IF(K3295="S-curve",L3295*L3295*(3-2*L3295),L3295))</f>
        <v/>
      </c>
      <c r="N3295" s="45">
        <f>1+(INDEX(SeasonIdx,A3295)-1)*SeasonAmp</f>
        <v/>
      </c>
      <c r="O3295" s="45">
        <f>IFERROR(INDEX(PSPct,MATCH(E3295&amp;"|"&amp;G3295,PSKey,0)),0)</f>
        <v/>
      </c>
      <c r="P3295" s="46" t="n">
        <v>0</v>
      </c>
      <c r="Q3295" s="46">
        <f>INDEX(OnlineUnitsCol,A3295)*O3295*(1+OnlineGrowth)*N3295*H3295*IF(A3295&gt;=I3295,1,0)</f>
        <v/>
      </c>
      <c r="R3295" s="46">
        <f>Q3295*INDEX(FmtCansPerPack,MATCH(F3295,FmtName,0))/INDEX(FmtCansPerCase,MATCH(F3295,FmtName,0))</f>
        <v/>
      </c>
      <c r="S3295" s="46">
        <f>R3295*INDEX(FmtCansPerCase,MATCH(F3295,FmtName,0))</f>
        <v/>
      </c>
      <c r="T3295" s="46">
        <f>S3295/INDEX(FmtCansPerPack,MATCH(F3295,FmtName,0))</f>
        <v/>
      </c>
      <c r="U3295" s="47">
        <f>INDEX(ProvOnline,MATCH(G3295,ProvCode,0))*(1+PriceIndex)</f>
        <v/>
      </c>
      <c r="V3295" s="47">
        <f>Q3295*U3295*INDEX(FmtBlendedPriceIdx,MATCH(F3295,FmtName,0))</f>
        <v/>
      </c>
      <c r="W3295" s="47">
        <f>V3295</f>
        <v/>
      </c>
      <c r="X3295" s="47">
        <f>IF(GrossBasis="Wholesale",V3295,W3295)</f>
        <v/>
      </c>
      <c r="Y3295" s="47">
        <f>R3295*INDEX(FmtBlendedCogs,MATCH(F3295,FmtName,0))</f>
        <v/>
      </c>
      <c r="Z3295" s="47">
        <f>X3295-Y3295</f>
        <v/>
      </c>
    </row>
    <row r="3296">
      <c r="A3296" t="n">
        <v>9</v>
      </c>
      <c r="B3296" s="44">
        <f>FiscalStart+(A3296-1)*7</f>
        <v/>
      </c>
      <c r="C3296">
        <f>TEXT(B3296,"mmm yyyy")</f>
        <v/>
      </c>
      <c r="D3296">
        <f>"Q"&amp;(INT((A3296-1)/13)+1)</f>
        <v/>
      </c>
      <c r="E3296" t="inlineStr">
        <is>
          <t>Online</t>
        </is>
      </c>
      <c r="F3296">
        <f>IFERROR(INDEX(ChFormat,MATCH(E3296,ChName,0)),"")</f>
        <v/>
      </c>
      <c r="G3296" t="inlineStr">
        <is>
          <t>SK</t>
        </is>
      </c>
      <c r="H3296">
        <f>IF(A3296&lt;=NWeeks,1,0)</f>
        <v/>
      </c>
      <c r="I3296">
        <f>INDEX(ChLaunch,MATCH(E3296,ChName,0))</f>
        <v/>
      </c>
      <c r="J3296">
        <f>INDEX(ChWeeksFull,MATCH(E3296,ChName,0))</f>
        <v/>
      </c>
      <c r="K3296">
        <f>INDEX(ChRamp,MATCH(E3296,ChName,0))</f>
        <v/>
      </c>
      <c r="L3296" s="45">
        <f>MIN(1,MAX(0,(A3296-I3296+1)*RampSpeed/J3296))</f>
        <v/>
      </c>
      <c r="M3296" s="45">
        <f>IF(A3296&lt;I3296,0,IF(K3296="S-curve",L3296*L3296*(3-2*L3296),L3296))</f>
        <v/>
      </c>
      <c r="N3296" s="45">
        <f>1+(INDEX(SeasonIdx,A3296)-1)*SeasonAmp</f>
        <v/>
      </c>
      <c r="O3296" s="45">
        <f>IFERROR(INDEX(PSPct,MATCH(E3296&amp;"|"&amp;G3296,PSKey,0)),0)</f>
        <v/>
      </c>
      <c r="P3296" s="46" t="n">
        <v>0</v>
      </c>
      <c r="Q3296" s="46">
        <f>INDEX(OnlineUnitsCol,A3296)*O3296*(1+OnlineGrowth)*N3296*H3296*IF(A3296&gt;=I3296,1,0)</f>
        <v/>
      </c>
      <c r="R3296" s="46">
        <f>Q3296*INDEX(FmtCansPerPack,MATCH(F3296,FmtName,0))/INDEX(FmtCansPerCase,MATCH(F3296,FmtName,0))</f>
        <v/>
      </c>
      <c r="S3296" s="46">
        <f>R3296*INDEX(FmtCansPerCase,MATCH(F3296,FmtName,0))</f>
        <v/>
      </c>
      <c r="T3296" s="46">
        <f>S3296/INDEX(FmtCansPerPack,MATCH(F3296,FmtName,0))</f>
        <v/>
      </c>
      <c r="U3296" s="47">
        <f>INDEX(ProvOnline,MATCH(G3296,ProvCode,0))*(1+PriceIndex)</f>
        <v/>
      </c>
      <c r="V3296" s="47">
        <f>Q3296*U3296*INDEX(FmtBlendedPriceIdx,MATCH(F3296,FmtName,0))</f>
        <v/>
      </c>
      <c r="W3296" s="47">
        <f>V3296</f>
        <v/>
      </c>
      <c r="X3296" s="47">
        <f>IF(GrossBasis="Wholesale",V3296,W3296)</f>
        <v/>
      </c>
      <c r="Y3296" s="47">
        <f>R3296*INDEX(FmtBlendedCogs,MATCH(F3296,FmtName,0))</f>
        <v/>
      </c>
      <c r="Z3296" s="47">
        <f>X3296-Y3296</f>
        <v/>
      </c>
    </row>
    <row r="3297">
      <c r="A3297" t="n">
        <v>10</v>
      </c>
      <c r="B3297" s="44">
        <f>FiscalStart+(A3297-1)*7</f>
        <v/>
      </c>
      <c r="C3297">
        <f>TEXT(B3297,"mmm yyyy")</f>
        <v/>
      </c>
      <c r="D3297">
        <f>"Q"&amp;(INT((A3297-1)/13)+1)</f>
        <v/>
      </c>
      <c r="E3297" t="inlineStr">
        <is>
          <t>Online</t>
        </is>
      </c>
      <c r="F3297">
        <f>IFERROR(INDEX(ChFormat,MATCH(E3297,ChName,0)),"")</f>
        <v/>
      </c>
      <c r="G3297" t="inlineStr">
        <is>
          <t>SK</t>
        </is>
      </c>
      <c r="H3297">
        <f>IF(A3297&lt;=NWeeks,1,0)</f>
        <v/>
      </c>
      <c r="I3297">
        <f>INDEX(ChLaunch,MATCH(E3297,ChName,0))</f>
        <v/>
      </c>
      <c r="J3297">
        <f>INDEX(ChWeeksFull,MATCH(E3297,ChName,0))</f>
        <v/>
      </c>
      <c r="K3297">
        <f>INDEX(ChRamp,MATCH(E3297,ChName,0))</f>
        <v/>
      </c>
      <c r="L3297" s="45">
        <f>MIN(1,MAX(0,(A3297-I3297+1)*RampSpeed/J3297))</f>
        <v/>
      </c>
      <c r="M3297" s="45">
        <f>IF(A3297&lt;I3297,0,IF(K3297="S-curve",L3297*L3297*(3-2*L3297),L3297))</f>
        <v/>
      </c>
      <c r="N3297" s="45">
        <f>1+(INDEX(SeasonIdx,A3297)-1)*SeasonAmp</f>
        <v/>
      </c>
      <c r="O3297" s="45">
        <f>IFERROR(INDEX(PSPct,MATCH(E3297&amp;"|"&amp;G3297,PSKey,0)),0)</f>
        <v/>
      </c>
      <c r="P3297" s="46" t="n">
        <v>0</v>
      </c>
      <c r="Q3297" s="46">
        <f>INDEX(OnlineUnitsCol,A3297)*O3297*(1+OnlineGrowth)*N3297*H3297*IF(A3297&gt;=I3297,1,0)</f>
        <v/>
      </c>
      <c r="R3297" s="46">
        <f>Q3297*INDEX(FmtCansPerPack,MATCH(F3297,FmtName,0))/INDEX(FmtCansPerCase,MATCH(F3297,FmtName,0))</f>
        <v/>
      </c>
      <c r="S3297" s="46">
        <f>R3297*INDEX(FmtCansPerCase,MATCH(F3297,FmtName,0))</f>
        <v/>
      </c>
      <c r="T3297" s="46">
        <f>S3297/INDEX(FmtCansPerPack,MATCH(F3297,FmtName,0))</f>
        <v/>
      </c>
      <c r="U3297" s="47">
        <f>INDEX(ProvOnline,MATCH(G3297,ProvCode,0))*(1+PriceIndex)</f>
        <v/>
      </c>
      <c r="V3297" s="47">
        <f>Q3297*U3297*INDEX(FmtBlendedPriceIdx,MATCH(F3297,FmtName,0))</f>
        <v/>
      </c>
      <c r="W3297" s="47">
        <f>V3297</f>
        <v/>
      </c>
      <c r="X3297" s="47">
        <f>IF(GrossBasis="Wholesale",V3297,W3297)</f>
        <v/>
      </c>
      <c r="Y3297" s="47">
        <f>R3297*INDEX(FmtBlendedCogs,MATCH(F3297,FmtName,0))</f>
        <v/>
      </c>
      <c r="Z3297" s="47">
        <f>X3297-Y3297</f>
        <v/>
      </c>
    </row>
    <row r="3298">
      <c r="A3298" t="n">
        <v>11</v>
      </c>
      <c r="B3298" s="44">
        <f>FiscalStart+(A3298-1)*7</f>
        <v/>
      </c>
      <c r="C3298">
        <f>TEXT(B3298,"mmm yyyy")</f>
        <v/>
      </c>
      <c r="D3298">
        <f>"Q"&amp;(INT((A3298-1)/13)+1)</f>
        <v/>
      </c>
      <c r="E3298" t="inlineStr">
        <is>
          <t>Online</t>
        </is>
      </c>
      <c r="F3298">
        <f>IFERROR(INDEX(ChFormat,MATCH(E3298,ChName,0)),"")</f>
        <v/>
      </c>
      <c r="G3298" t="inlineStr">
        <is>
          <t>SK</t>
        </is>
      </c>
      <c r="H3298">
        <f>IF(A3298&lt;=NWeeks,1,0)</f>
        <v/>
      </c>
      <c r="I3298">
        <f>INDEX(ChLaunch,MATCH(E3298,ChName,0))</f>
        <v/>
      </c>
      <c r="J3298">
        <f>INDEX(ChWeeksFull,MATCH(E3298,ChName,0))</f>
        <v/>
      </c>
      <c r="K3298">
        <f>INDEX(ChRamp,MATCH(E3298,ChName,0))</f>
        <v/>
      </c>
      <c r="L3298" s="45">
        <f>MIN(1,MAX(0,(A3298-I3298+1)*RampSpeed/J3298))</f>
        <v/>
      </c>
      <c r="M3298" s="45">
        <f>IF(A3298&lt;I3298,0,IF(K3298="S-curve",L3298*L3298*(3-2*L3298),L3298))</f>
        <v/>
      </c>
      <c r="N3298" s="45">
        <f>1+(INDEX(SeasonIdx,A3298)-1)*SeasonAmp</f>
        <v/>
      </c>
      <c r="O3298" s="45">
        <f>IFERROR(INDEX(PSPct,MATCH(E3298&amp;"|"&amp;G3298,PSKey,0)),0)</f>
        <v/>
      </c>
      <c r="P3298" s="46" t="n">
        <v>0</v>
      </c>
      <c r="Q3298" s="46">
        <f>INDEX(OnlineUnitsCol,A3298)*O3298*(1+OnlineGrowth)*N3298*H3298*IF(A3298&gt;=I3298,1,0)</f>
        <v/>
      </c>
      <c r="R3298" s="46">
        <f>Q3298*INDEX(FmtCansPerPack,MATCH(F3298,FmtName,0))/INDEX(FmtCansPerCase,MATCH(F3298,FmtName,0))</f>
        <v/>
      </c>
      <c r="S3298" s="46">
        <f>R3298*INDEX(FmtCansPerCase,MATCH(F3298,FmtName,0))</f>
        <v/>
      </c>
      <c r="T3298" s="46">
        <f>S3298/INDEX(FmtCansPerPack,MATCH(F3298,FmtName,0))</f>
        <v/>
      </c>
      <c r="U3298" s="47">
        <f>INDEX(ProvOnline,MATCH(G3298,ProvCode,0))*(1+PriceIndex)</f>
        <v/>
      </c>
      <c r="V3298" s="47">
        <f>Q3298*U3298*INDEX(FmtBlendedPriceIdx,MATCH(F3298,FmtName,0))</f>
        <v/>
      </c>
      <c r="W3298" s="47">
        <f>V3298</f>
        <v/>
      </c>
      <c r="X3298" s="47">
        <f>IF(GrossBasis="Wholesale",V3298,W3298)</f>
        <v/>
      </c>
      <c r="Y3298" s="47">
        <f>R3298*INDEX(FmtBlendedCogs,MATCH(F3298,FmtName,0))</f>
        <v/>
      </c>
      <c r="Z3298" s="47">
        <f>X3298-Y3298</f>
        <v/>
      </c>
    </row>
    <row r="3299">
      <c r="A3299" t="n">
        <v>12</v>
      </c>
      <c r="B3299" s="44">
        <f>FiscalStart+(A3299-1)*7</f>
        <v/>
      </c>
      <c r="C3299">
        <f>TEXT(B3299,"mmm yyyy")</f>
        <v/>
      </c>
      <c r="D3299">
        <f>"Q"&amp;(INT((A3299-1)/13)+1)</f>
        <v/>
      </c>
      <c r="E3299" t="inlineStr">
        <is>
          <t>Online</t>
        </is>
      </c>
      <c r="F3299">
        <f>IFERROR(INDEX(ChFormat,MATCH(E3299,ChName,0)),"")</f>
        <v/>
      </c>
      <c r="G3299" t="inlineStr">
        <is>
          <t>SK</t>
        </is>
      </c>
      <c r="H3299">
        <f>IF(A3299&lt;=NWeeks,1,0)</f>
        <v/>
      </c>
      <c r="I3299">
        <f>INDEX(ChLaunch,MATCH(E3299,ChName,0))</f>
        <v/>
      </c>
      <c r="J3299">
        <f>INDEX(ChWeeksFull,MATCH(E3299,ChName,0))</f>
        <v/>
      </c>
      <c r="K3299">
        <f>INDEX(ChRamp,MATCH(E3299,ChName,0))</f>
        <v/>
      </c>
      <c r="L3299" s="45">
        <f>MIN(1,MAX(0,(A3299-I3299+1)*RampSpeed/J3299))</f>
        <v/>
      </c>
      <c r="M3299" s="45">
        <f>IF(A3299&lt;I3299,0,IF(K3299="S-curve",L3299*L3299*(3-2*L3299),L3299))</f>
        <v/>
      </c>
      <c r="N3299" s="45">
        <f>1+(INDEX(SeasonIdx,A3299)-1)*SeasonAmp</f>
        <v/>
      </c>
      <c r="O3299" s="45">
        <f>IFERROR(INDEX(PSPct,MATCH(E3299&amp;"|"&amp;G3299,PSKey,0)),0)</f>
        <v/>
      </c>
      <c r="P3299" s="46" t="n">
        <v>0</v>
      </c>
      <c r="Q3299" s="46">
        <f>INDEX(OnlineUnitsCol,A3299)*O3299*(1+OnlineGrowth)*N3299*H3299*IF(A3299&gt;=I3299,1,0)</f>
        <v/>
      </c>
      <c r="R3299" s="46">
        <f>Q3299*INDEX(FmtCansPerPack,MATCH(F3299,FmtName,0))/INDEX(FmtCansPerCase,MATCH(F3299,FmtName,0))</f>
        <v/>
      </c>
      <c r="S3299" s="46">
        <f>R3299*INDEX(FmtCansPerCase,MATCH(F3299,FmtName,0))</f>
        <v/>
      </c>
      <c r="T3299" s="46">
        <f>S3299/INDEX(FmtCansPerPack,MATCH(F3299,FmtName,0))</f>
        <v/>
      </c>
      <c r="U3299" s="47">
        <f>INDEX(ProvOnline,MATCH(G3299,ProvCode,0))*(1+PriceIndex)</f>
        <v/>
      </c>
      <c r="V3299" s="47">
        <f>Q3299*U3299*INDEX(FmtBlendedPriceIdx,MATCH(F3299,FmtName,0))</f>
        <v/>
      </c>
      <c r="W3299" s="47">
        <f>V3299</f>
        <v/>
      </c>
      <c r="X3299" s="47">
        <f>IF(GrossBasis="Wholesale",V3299,W3299)</f>
        <v/>
      </c>
      <c r="Y3299" s="47">
        <f>R3299*INDEX(FmtBlendedCogs,MATCH(F3299,FmtName,0))</f>
        <v/>
      </c>
      <c r="Z3299" s="47">
        <f>X3299-Y3299</f>
        <v/>
      </c>
    </row>
    <row r="3300">
      <c r="A3300" t="n">
        <v>13</v>
      </c>
      <c r="B3300" s="44">
        <f>FiscalStart+(A3300-1)*7</f>
        <v/>
      </c>
      <c r="C3300">
        <f>TEXT(B3300,"mmm yyyy")</f>
        <v/>
      </c>
      <c r="D3300">
        <f>"Q"&amp;(INT((A3300-1)/13)+1)</f>
        <v/>
      </c>
      <c r="E3300" t="inlineStr">
        <is>
          <t>Online</t>
        </is>
      </c>
      <c r="F3300">
        <f>IFERROR(INDEX(ChFormat,MATCH(E3300,ChName,0)),"")</f>
        <v/>
      </c>
      <c r="G3300" t="inlineStr">
        <is>
          <t>SK</t>
        </is>
      </c>
      <c r="H3300">
        <f>IF(A3300&lt;=NWeeks,1,0)</f>
        <v/>
      </c>
      <c r="I3300">
        <f>INDEX(ChLaunch,MATCH(E3300,ChName,0))</f>
        <v/>
      </c>
      <c r="J3300">
        <f>INDEX(ChWeeksFull,MATCH(E3300,ChName,0))</f>
        <v/>
      </c>
      <c r="K3300">
        <f>INDEX(ChRamp,MATCH(E3300,ChName,0))</f>
        <v/>
      </c>
      <c r="L3300" s="45">
        <f>MIN(1,MAX(0,(A3300-I3300+1)*RampSpeed/J3300))</f>
        <v/>
      </c>
      <c r="M3300" s="45">
        <f>IF(A3300&lt;I3300,0,IF(K3300="S-curve",L3300*L3300*(3-2*L3300),L3300))</f>
        <v/>
      </c>
      <c r="N3300" s="45">
        <f>1+(INDEX(SeasonIdx,A3300)-1)*SeasonAmp</f>
        <v/>
      </c>
      <c r="O3300" s="45">
        <f>IFERROR(INDEX(PSPct,MATCH(E3300&amp;"|"&amp;G3300,PSKey,0)),0)</f>
        <v/>
      </c>
      <c r="P3300" s="46" t="n">
        <v>0</v>
      </c>
      <c r="Q3300" s="46">
        <f>INDEX(OnlineUnitsCol,A3300)*O3300*(1+OnlineGrowth)*N3300*H3300*IF(A3300&gt;=I3300,1,0)</f>
        <v/>
      </c>
      <c r="R3300" s="46">
        <f>Q3300*INDEX(FmtCansPerPack,MATCH(F3300,FmtName,0))/INDEX(FmtCansPerCase,MATCH(F3300,FmtName,0))</f>
        <v/>
      </c>
      <c r="S3300" s="46">
        <f>R3300*INDEX(FmtCansPerCase,MATCH(F3300,FmtName,0))</f>
        <v/>
      </c>
      <c r="T3300" s="46">
        <f>S3300/INDEX(FmtCansPerPack,MATCH(F3300,FmtName,0))</f>
        <v/>
      </c>
      <c r="U3300" s="47">
        <f>INDEX(ProvOnline,MATCH(G3300,ProvCode,0))*(1+PriceIndex)</f>
        <v/>
      </c>
      <c r="V3300" s="47">
        <f>Q3300*U3300*INDEX(FmtBlendedPriceIdx,MATCH(F3300,FmtName,0))</f>
        <v/>
      </c>
      <c r="W3300" s="47">
        <f>V3300</f>
        <v/>
      </c>
      <c r="X3300" s="47">
        <f>IF(GrossBasis="Wholesale",V3300,W3300)</f>
        <v/>
      </c>
      <c r="Y3300" s="47">
        <f>R3300*INDEX(FmtBlendedCogs,MATCH(F3300,FmtName,0))</f>
        <v/>
      </c>
      <c r="Z3300" s="47">
        <f>X3300-Y3300</f>
        <v/>
      </c>
    </row>
    <row r="3301">
      <c r="A3301" t="n">
        <v>14</v>
      </c>
      <c r="B3301" s="44">
        <f>FiscalStart+(A3301-1)*7</f>
        <v/>
      </c>
      <c r="C3301">
        <f>TEXT(B3301,"mmm yyyy")</f>
        <v/>
      </c>
      <c r="D3301">
        <f>"Q"&amp;(INT((A3301-1)/13)+1)</f>
        <v/>
      </c>
      <c r="E3301" t="inlineStr">
        <is>
          <t>Online</t>
        </is>
      </c>
      <c r="F3301">
        <f>IFERROR(INDEX(ChFormat,MATCH(E3301,ChName,0)),"")</f>
        <v/>
      </c>
      <c r="G3301" t="inlineStr">
        <is>
          <t>SK</t>
        </is>
      </c>
      <c r="H3301">
        <f>IF(A3301&lt;=NWeeks,1,0)</f>
        <v/>
      </c>
      <c r="I3301">
        <f>INDEX(ChLaunch,MATCH(E3301,ChName,0))</f>
        <v/>
      </c>
      <c r="J3301">
        <f>INDEX(ChWeeksFull,MATCH(E3301,ChName,0))</f>
        <v/>
      </c>
      <c r="K3301">
        <f>INDEX(ChRamp,MATCH(E3301,ChName,0))</f>
        <v/>
      </c>
      <c r="L3301" s="45">
        <f>MIN(1,MAX(0,(A3301-I3301+1)*RampSpeed/J3301))</f>
        <v/>
      </c>
      <c r="M3301" s="45">
        <f>IF(A3301&lt;I3301,0,IF(K3301="S-curve",L3301*L3301*(3-2*L3301),L3301))</f>
        <v/>
      </c>
      <c r="N3301" s="45">
        <f>1+(INDEX(SeasonIdx,A3301)-1)*SeasonAmp</f>
        <v/>
      </c>
      <c r="O3301" s="45">
        <f>IFERROR(INDEX(PSPct,MATCH(E3301&amp;"|"&amp;G3301,PSKey,0)),0)</f>
        <v/>
      </c>
      <c r="P3301" s="46" t="n">
        <v>0</v>
      </c>
      <c r="Q3301" s="46">
        <f>INDEX(OnlineUnitsCol,A3301)*O3301*(1+OnlineGrowth)*N3301*H3301*IF(A3301&gt;=I3301,1,0)</f>
        <v/>
      </c>
      <c r="R3301" s="46">
        <f>Q3301*INDEX(FmtCansPerPack,MATCH(F3301,FmtName,0))/INDEX(FmtCansPerCase,MATCH(F3301,FmtName,0))</f>
        <v/>
      </c>
      <c r="S3301" s="46">
        <f>R3301*INDEX(FmtCansPerCase,MATCH(F3301,FmtName,0))</f>
        <v/>
      </c>
      <c r="T3301" s="46">
        <f>S3301/INDEX(FmtCansPerPack,MATCH(F3301,FmtName,0))</f>
        <v/>
      </c>
      <c r="U3301" s="47">
        <f>INDEX(ProvOnline,MATCH(G3301,ProvCode,0))*(1+PriceIndex)</f>
        <v/>
      </c>
      <c r="V3301" s="47">
        <f>Q3301*U3301*INDEX(FmtBlendedPriceIdx,MATCH(F3301,FmtName,0))</f>
        <v/>
      </c>
      <c r="W3301" s="47">
        <f>V3301</f>
        <v/>
      </c>
      <c r="X3301" s="47">
        <f>IF(GrossBasis="Wholesale",V3301,W3301)</f>
        <v/>
      </c>
      <c r="Y3301" s="47">
        <f>R3301*INDEX(FmtBlendedCogs,MATCH(F3301,FmtName,0))</f>
        <v/>
      </c>
      <c r="Z3301" s="47">
        <f>X3301-Y3301</f>
        <v/>
      </c>
    </row>
    <row r="3302">
      <c r="A3302" t="n">
        <v>15</v>
      </c>
      <c r="B3302" s="44">
        <f>FiscalStart+(A3302-1)*7</f>
        <v/>
      </c>
      <c r="C3302">
        <f>TEXT(B3302,"mmm yyyy")</f>
        <v/>
      </c>
      <c r="D3302">
        <f>"Q"&amp;(INT((A3302-1)/13)+1)</f>
        <v/>
      </c>
      <c r="E3302" t="inlineStr">
        <is>
          <t>Online</t>
        </is>
      </c>
      <c r="F3302">
        <f>IFERROR(INDEX(ChFormat,MATCH(E3302,ChName,0)),"")</f>
        <v/>
      </c>
      <c r="G3302" t="inlineStr">
        <is>
          <t>SK</t>
        </is>
      </c>
      <c r="H3302">
        <f>IF(A3302&lt;=NWeeks,1,0)</f>
        <v/>
      </c>
      <c r="I3302">
        <f>INDEX(ChLaunch,MATCH(E3302,ChName,0))</f>
        <v/>
      </c>
      <c r="J3302">
        <f>INDEX(ChWeeksFull,MATCH(E3302,ChName,0))</f>
        <v/>
      </c>
      <c r="K3302">
        <f>INDEX(ChRamp,MATCH(E3302,ChName,0))</f>
        <v/>
      </c>
      <c r="L3302" s="45">
        <f>MIN(1,MAX(0,(A3302-I3302+1)*RampSpeed/J3302))</f>
        <v/>
      </c>
      <c r="M3302" s="45">
        <f>IF(A3302&lt;I3302,0,IF(K3302="S-curve",L3302*L3302*(3-2*L3302),L3302))</f>
        <v/>
      </c>
      <c r="N3302" s="45">
        <f>1+(INDEX(SeasonIdx,A3302)-1)*SeasonAmp</f>
        <v/>
      </c>
      <c r="O3302" s="45">
        <f>IFERROR(INDEX(PSPct,MATCH(E3302&amp;"|"&amp;G3302,PSKey,0)),0)</f>
        <v/>
      </c>
      <c r="P3302" s="46" t="n">
        <v>0</v>
      </c>
      <c r="Q3302" s="46">
        <f>INDEX(OnlineUnitsCol,A3302)*O3302*(1+OnlineGrowth)*N3302*H3302*IF(A3302&gt;=I3302,1,0)</f>
        <v/>
      </c>
      <c r="R3302" s="46">
        <f>Q3302*INDEX(FmtCansPerPack,MATCH(F3302,FmtName,0))/INDEX(FmtCansPerCase,MATCH(F3302,FmtName,0))</f>
        <v/>
      </c>
      <c r="S3302" s="46">
        <f>R3302*INDEX(FmtCansPerCase,MATCH(F3302,FmtName,0))</f>
        <v/>
      </c>
      <c r="T3302" s="46">
        <f>S3302/INDEX(FmtCansPerPack,MATCH(F3302,FmtName,0))</f>
        <v/>
      </c>
      <c r="U3302" s="47">
        <f>INDEX(ProvOnline,MATCH(G3302,ProvCode,0))*(1+PriceIndex)</f>
        <v/>
      </c>
      <c r="V3302" s="47">
        <f>Q3302*U3302*INDEX(FmtBlendedPriceIdx,MATCH(F3302,FmtName,0))</f>
        <v/>
      </c>
      <c r="W3302" s="47">
        <f>V3302</f>
        <v/>
      </c>
      <c r="X3302" s="47">
        <f>IF(GrossBasis="Wholesale",V3302,W3302)</f>
        <v/>
      </c>
      <c r="Y3302" s="47">
        <f>R3302*INDEX(FmtBlendedCogs,MATCH(F3302,FmtName,0))</f>
        <v/>
      </c>
      <c r="Z3302" s="47">
        <f>X3302-Y3302</f>
        <v/>
      </c>
    </row>
    <row r="3303">
      <c r="A3303" t="n">
        <v>16</v>
      </c>
      <c r="B3303" s="44">
        <f>FiscalStart+(A3303-1)*7</f>
        <v/>
      </c>
      <c r="C3303">
        <f>TEXT(B3303,"mmm yyyy")</f>
        <v/>
      </c>
      <c r="D3303">
        <f>"Q"&amp;(INT((A3303-1)/13)+1)</f>
        <v/>
      </c>
      <c r="E3303" t="inlineStr">
        <is>
          <t>Online</t>
        </is>
      </c>
      <c r="F3303">
        <f>IFERROR(INDEX(ChFormat,MATCH(E3303,ChName,0)),"")</f>
        <v/>
      </c>
      <c r="G3303" t="inlineStr">
        <is>
          <t>SK</t>
        </is>
      </c>
      <c r="H3303">
        <f>IF(A3303&lt;=NWeeks,1,0)</f>
        <v/>
      </c>
      <c r="I3303">
        <f>INDEX(ChLaunch,MATCH(E3303,ChName,0))</f>
        <v/>
      </c>
      <c r="J3303">
        <f>INDEX(ChWeeksFull,MATCH(E3303,ChName,0))</f>
        <v/>
      </c>
      <c r="K3303">
        <f>INDEX(ChRamp,MATCH(E3303,ChName,0))</f>
        <v/>
      </c>
      <c r="L3303" s="45">
        <f>MIN(1,MAX(0,(A3303-I3303+1)*RampSpeed/J3303))</f>
        <v/>
      </c>
      <c r="M3303" s="45">
        <f>IF(A3303&lt;I3303,0,IF(K3303="S-curve",L3303*L3303*(3-2*L3303),L3303))</f>
        <v/>
      </c>
      <c r="N3303" s="45">
        <f>1+(INDEX(SeasonIdx,A3303)-1)*SeasonAmp</f>
        <v/>
      </c>
      <c r="O3303" s="45">
        <f>IFERROR(INDEX(PSPct,MATCH(E3303&amp;"|"&amp;G3303,PSKey,0)),0)</f>
        <v/>
      </c>
      <c r="P3303" s="46" t="n">
        <v>0</v>
      </c>
      <c r="Q3303" s="46">
        <f>INDEX(OnlineUnitsCol,A3303)*O3303*(1+OnlineGrowth)*N3303*H3303*IF(A3303&gt;=I3303,1,0)</f>
        <v/>
      </c>
      <c r="R3303" s="46">
        <f>Q3303*INDEX(FmtCansPerPack,MATCH(F3303,FmtName,0))/INDEX(FmtCansPerCase,MATCH(F3303,FmtName,0))</f>
        <v/>
      </c>
      <c r="S3303" s="46">
        <f>R3303*INDEX(FmtCansPerCase,MATCH(F3303,FmtName,0))</f>
        <v/>
      </c>
      <c r="T3303" s="46">
        <f>S3303/INDEX(FmtCansPerPack,MATCH(F3303,FmtName,0))</f>
        <v/>
      </c>
      <c r="U3303" s="47">
        <f>INDEX(ProvOnline,MATCH(G3303,ProvCode,0))*(1+PriceIndex)</f>
        <v/>
      </c>
      <c r="V3303" s="47">
        <f>Q3303*U3303*INDEX(FmtBlendedPriceIdx,MATCH(F3303,FmtName,0))</f>
        <v/>
      </c>
      <c r="W3303" s="47">
        <f>V3303</f>
        <v/>
      </c>
      <c r="X3303" s="47">
        <f>IF(GrossBasis="Wholesale",V3303,W3303)</f>
        <v/>
      </c>
      <c r="Y3303" s="47">
        <f>R3303*INDEX(FmtBlendedCogs,MATCH(F3303,FmtName,0))</f>
        <v/>
      </c>
      <c r="Z3303" s="47">
        <f>X3303-Y3303</f>
        <v/>
      </c>
    </row>
    <row r="3304">
      <c r="A3304" t="n">
        <v>17</v>
      </c>
      <c r="B3304" s="44">
        <f>FiscalStart+(A3304-1)*7</f>
        <v/>
      </c>
      <c r="C3304">
        <f>TEXT(B3304,"mmm yyyy")</f>
        <v/>
      </c>
      <c r="D3304">
        <f>"Q"&amp;(INT((A3304-1)/13)+1)</f>
        <v/>
      </c>
      <c r="E3304" t="inlineStr">
        <is>
          <t>Online</t>
        </is>
      </c>
      <c r="F3304">
        <f>IFERROR(INDEX(ChFormat,MATCH(E3304,ChName,0)),"")</f>
        <v/>
      </c>
      <c r="G3304" t="inlineStr">
        <is>
          <t>SK</t>
        </is>
      </c>
      <c r="H3304">
        <f>IF(A3304&lt;=NWeeks,1,0)</f>
        <v/>
      </c>
      <c r="I3304">
        <f>INDEX(ChLaunch,MATCH(E3304,ChName,0))</f>
        <v/>
      </c>
      <c r="J3304">
        <f>INDEX(ChWeeksFull,MATCH(E3304,ChName,0))</f>
        <v/>
      </c>
      <c r="K3304">
        <f>INDEX(ChRamp,MATCH(E3304,ChName,0))</f>
        <v/>
      </c>
      <c r="L3304" s="45">
        <f>MIN(1,MAX(0,(A3304-I3304+1)*RampSpeed/J3304))</f>
        <v/>
      </c>
      <c r="M3304" s="45">
        <f>IF(A3304&lt;I3304,0,IF(K3304="S-curve",L3304*L3304*(3-2*L3304),L3304))</f>
        <v/>
      </c>
      <c r="N3304" s="45">
        <f>1+(INDEX(SeasonIdx,A3304)-1)*SeasonAmp</f>
        <v/>
      </c>
      <c r="O3304" s="45">
        <f>IFERROR(INDEX(PSPct,MATCH(E3304&amp;"|"&amp;G3304,PSKey,0)),0)</f>
        <v/>
      </c>
      <c r="P3304" s="46" t="n">
        <v>0</v>
      </c>
      <c r="Q3304" s="46">
        <f>INDEX(OnlineUnitsCol,A3304)*O3304*(1+OnlineGrowth)*N3304*H3304*IF(A3304&gt;=I3304,1,0)</f>
        <v/>
      </c>
      <c r="R3304" s="46">
        <f>Q3304*INDEX(FmtCansPerPack,MATCH(F3304,FmtName,0))/INDEX(FmtCansPerCase,MATCH(F3304,FmtName,0))</f>
        <v/>
      </c>
      <c r="S3304" s="46">
        <f>R3304*INDEX(FmtCansPerCase,MATCH(F3304,FmtName,0))</f>
        <v/>
      </c>
      <c r="T3304" s="46">
        <f>S3304/INDEX(FmtCansPerPack,MATCH(F3304,FmtName,0))</f>
        <v/>
      </c>
      <c r="U3304" s="47">
        <f>INDEX(ProvOnline,MATCH(G3304,ProvCode,0))*(1+PriceIndex)</f>
        <v/>
      </c>
      <c r="V3304" s="47">
        <f>Q3304*U3304*INDEX(FmtBlendedPriceIdx,MATCH(F3304,FmtName,0))</f>
        <v/>
      </c>
      <c r="W3304" s="47">
        <f>V3304</f>
        <v/>
      </c>
      <c r="X3304" s="47">
        <f>IF(GrossBasis="Wholesale",V3304,W3304)</f>
        <v/>
      </c>
      <c r="Y3304" s="47">
        <f>R3304*INDEX(FmtBlendedCogs,MATCH(F3304,FmtName,0))</f>
        <v/>
      </c>
      <c r="Z3304" s="47">
        <f>X3304-Y3304</f>
        <v/>
      </c>
    </row>
    <row r="3305">
      <c r="A3305" t="n">
        <v>18</v>
      </c>
      <c r="B3305" s="44">
        <f>FiscalStart+(A3305-1)*7</f>
        <v/>
      </c>
      <c r="C3305">
        <f>TEXT(B3305,"mmm yyyy")</f>
        <v/>
      </c>
      <c r="D3305">
        <f>"Q"&amp;(INT((A3305-1)/13)+1)</f>
        <v/>
      </c>
      <c r="E3305" t="inlineStr">
        <is>
          <t>Online</t>
        </is>
      </c>
      <c r="F3305">
        <f>IFERROR(INDEX(ChFormat,MATCH(E3305,ChName,0)),"")</f>
        <v/>
      </c>
      <c r="G3305" t="inlineStr">
        <is>
          <t>SK</t>
        </is>
      </c>
      <c r="H3305">
        <f>IF(A3305&lt;=NWeeks,1,0)</f>
        <v/>
      </c>
      <c r="I3305">
        <f>INDEX(ChLaunch,MATCH(E3305,ChName,0))</f>
        <v/>
      </c>
      <c r="J3305">
        <f>INDEX(ChWeeksFull,MATCH(E3305,ChName,0))</f>
        <v/>
      </c>
      <c r="K3305">
        <f>INDEX(ChRamp,MATCH(E3305,ChName,0))</f>
        <v/>
      </c>
      <c r="L3305" s="45">
        <f>MIN(1,MAX(0,(A3305-I3305+1)*RampSpeed/J3305))</f>
        <v/>
      </c>
      <c r="M3305" s="45">
        <f>IF(A3305&lt;I3305,0,IF(K3305="S-curve",L3305*L3305*(3-2*L3305),L3305))</f>
        <v/>
      </c>
      <c r="N3305" s="45">
        <f>1+(INDEX(SeasonIdx,A3305)-1)*SeasonAmp</f>
        <v/>
      </c>
      <c r="O3305" s="45">
        <f>IFERROR(INDEX(PSPct,MATCH(E3305&amp;"|"&amp;G3305,PSKey,0)),0)</f>
        <v/>
      </c>
      <c r="P3305" s="46" t="n">
        <v>0</v>
      </c>
      <c r="Q3305" s="46">
        <f>INDEX(OnlineUnitsCol,A3305)*O3305*(1+OnlineGrowth)*N3305*H3305*IF(A3305&gt;=I3305,1,0)</f>
        <v/>
      </c>
      <c r="R3305" s="46">
        <f>Q3305*INDEX(FmtCansPerPack,MATCH(F3305,FmtName,0))/INDEX(FmtCansPerCase,MATCH(F3305,FmtName,0))</f>
        <v/>
      </c>
      <c r="S3305" s="46">
        <f>R3305*INDEX(FmtCansPerCase,MATCH(F3305,FmtName,0))</f>
        <v/>
      </c>
      <c r="T3305" s="46">
        <f>S3305/INDEX(FmtCansPerPack,MATCH(F3305,FmtName,0))</f>
        <v/>
      </c>
      <c r="U3305" s="47">
        <f>INDEX(ProvOnline,MATCH(G3305,ProvCode,0))*(1+PriceIndex)</f>
        <v/>
      </c>
      <c r="V3305" s="47">
        <f>Q3305*U3305*INDEX(FmtBlendedPriceIdx,MATCH(F3305,FmtName,0))</f>
        <v/>
      </c>
      <c r="W3305" s="47">
        <f>V3305</f>
        <v/>
      </c>
      <c r="X3305" s="47">
        <f>IF(GrossBasis="Wholesale",V3305,W3305)</f>
        <v/>
      </c>
      <c r="Y3305" s="47">
        <f>R3305*INDEX(FmtBlendedCogs,MATCH(F3305,FmtName,0))</f>
        <v/>
      </c>
      <c r="Z3305" s="47">
        <f>X3305-Y3305</f>
        <v/>
      </c>
    </row>
    <row r="3306">
      <c r="A3306" t="n">
        <v>19</v>
      </c>
      <c r="B3306" s="44">
        <f>FiscalStart+(A3306-1)*7</f>
        <v/>
      </c>
      <c r="C3306">
        <f>TEXT(B3306,"mmm yyyy")</f>
        <v/>
      </c>
      <c r="D3306">
        <f>"Q"&amp;(INT((A3306-1)/13)+1)</f>
        <v/>
      </c>
      <c r="E3306" t="inlineStr">
        <is>
          <t>Online</t>
        </is>
      </c>
      <c r="F3306">
        <f>IFERROR(INDEX(ChFormat,MATCH(E3306,ChName,0)),"")</f>
        <v/>
      </c>
      <c r="G3306" t="inlineStr">
        <is>
          <t>SK</t>
        </is>
      </c>
      <c r="H3306">
        <f>IF(A3306&lt;=NWeeks,1,0)</f>
        <v/>
      </c>
      <c r="I3306">
        <f>INDEX(ChLaunch,MATCH(E3306,ChName,0))</f>
        <v/>
      </c>
      <c r="J3306">
        <f>INDEX(ChWeeksFull,MATCH(E3306,ChName,0))</f>
        <v/>
      </c>
      <c r="K3306">
        <f>INDEX(ChRamp,MATCH(E3306,ChName,0))</f>
        <v/>
      </c>
      <c r="L3306" s="45">
        <f>MIN(1,MAX(0,(A3306-I3306+1)*RampSpeed/J3306))</f>
        <v/>
      </c>
      <c r="M3306" s="45">
        <f>IF(A3306&lt;I3306,0,IF(K3306="S-curve",L3306*L3306*(3-2*L3306),L3306))</f>
        <v/>
      </c>
      <c r="N3306" s="45">
        <f>1+(INDEX(SeasonIdx,A3306)-1)*SeasonAmp</f>
        <v/>
      </c>
      <c r="O3306" s="45">
        <f>IFERROR(INDEX(PSPct,MATCH(E3306&amp;"|"&amp;G3306,PSKey,0)),0)</f>
        <v/>
      </c>
      <c r="P3306" s="46" t="n">
        <v>0</v>
      </c>
      <c r="Q3306" s="46">
        <f>INDEX(OnlineUnitsCol,A3306)*O3306*(1+OnlineGrowth)*N3306*H3306*IF(A3306&gt;=I3306,1,0)</f>
        <v/>
      </c>
      <c r="R3306" s="46">
        <f>Q3306*INDEX(FmtCansPerPack,MATCH(F3306,FmtName,0))/INDEX(FmtCansPerCase,MATCH(F3306,FmtName,0))</f>
        <v/>
      </c>
      <c r="S3306" s="46">
        <f>R3306*INDEX(FmtCansPerCase,MATCH(F3306,FmtName,0))</f>
        <v/>
      </c>
      <c r="T3306" s="46">
        <f>S3306/INDEX(FmtCansPerPack,MATCH(F3306,FmtName,0))</f>
        <v/>
      </c>
      <c r="U3306" s="47">
        <f>INDEX(ProvOnline,MATCH(G3306,ProvCode,0))*(1+PriceIndex)</f>
        <v/>
      </c>
      <c r="V3306" s="47">
        <f>Q3306*U3306*INDEX(FmtBlendedPriceIdx,MATCH(F3306,FmtName,0))</f>
        <v/>
      </c>
      <c r="W3306" s="47">
        <f>V3306</f>
        <v/>
      </c>
      <c r="X3306" s="47">
        <f>IF(GrossBasis="Wholesale",V3306,W3306)</f>
        <v/>
      </c>
      <c r="Y3306" s="47">
        <f>R3306*INDEX(FmtBlendedCogs,MATCH(F3306,FmtName,0))</f>
        <v/>
      </c>
      <c r="Z3306" s="47">
        <f>X3306-Y3306</f>
        <v/>
      </c>
    </row>
    <row r="3307">
      <c r="A3307" t="n">
        <v>20</v>
      </c>
      <c r="B3307" s="44">
        <f>FiscalStart+(A3307-1)*7</f>
        <v/>
      </c>
      <c r="C3307">
        <f>TEXT(B3307,"mmm yyyy")</f>
        <v/>
      </c>
      <c r="D3307">
        <f>"Q"&amp;(INT((A3307-1)/13)+1)</f>
        <v/>
      </c>
      <c r="E3307" t="inlineStr">
        <is>
          <t>Online</t>
        </is>
      </c>
      <c r="F3307">
        <f>IFERROR(INDEX(ChFormat,MATCH(E3307,ChName,0)),"")</f>
        <v/>
      </c>
      <c r="G3307" t="inlineStr">
        <is>
          <t>SK</t>
        </is>
      </c>
      <c r="H3307">
        <f>IF(A3307&lt;=NWeeks,1,0)</f>
        <v/>
      </c>
      <c r="I3307">
        <f>INDEX(ChLaunch,MATCH(E3307,ChName,0))</f>
        <v/>
      </c>
      <c r="J3307">
        <f>INDEX(ChWeeksFull,MATCH(E3307,ChName,0))</f>
        <v/>
      </c>
      <c r="K3307">
        <f>INDEX(ChRamp,MATCH(E3307,ChName,0))</f>
        <v/>
      </c>
      <c r="L3307" s="45">
        <f>MIN(1,MAX(0,(A3307-I3307+1)*RampSpeed/J3307))</f>
        <v/>
      </c>
      <c r="M3307" s="45">
        <f>IF(A3307&lt;I3307,0,IF(K3307="S-curve",L3307*L3307*(3-2*L3307),L3307))</f>
        <v/>
      </c>
      <c r="N3307" s="45">
        <f>1+(INDEX(SeasonIdx,A3307)-1)*SeasonAmp</f>
        <v/>
      </c>
      <c r="O3307" s="45">
        <f>IFERROR(INDEX(PSPct,MATCH(E3307&amp;"|"&amp;G3307,PSKey,0)),0)</f>
        <v/>
      </c>
      <c r="P3307" s="46" t="n">
        <v>0</v>
      </c>
      <c r="Q3307" s="46">
        <f>INDEX(OnlineUnitsCol,A3307)*O3307*(1+OnlineGrowth)*N3307*H3307*IF(A3307&gt;=I3307,1,0)</f>
        <v/>
      </c>
      <c r="R3307" s="46">
        <f>Q3307*INDEX(FmtCansPerPack,MATCH(F3307,FmtName,0))/INDEX(FmtCansPerCase,MATCH(F3307,FmtName,0))</f>
        <v/>
      </c>
      <c r="S3307" s="46">
        <f>R3307*INDEX(FmtCansPerCase,MATCH(F3307,FmtName,0))</f>
        <v/>
      </c>
      <c r="T3307" s="46">
        <f>S3307/INDEX(FmtCansPerPack,MATCH(F3307,FmtName,0))</f>
        <v/>
      </c>
      <c r="U3307" s="47">
        <f>INDEX(ProvOnline,MATCH(G3307,ProvCode,0))*(1+PriceIndex)</f>
        <v/>
      </c>
      <c r="V3307" s="47">
        <f>Q3307*U3307*INDEX(FmtBlendedPriceIdx,MATCH(F3307,FmtName,0))</f>
        <v/>
      </c>
      <c r="W3307" s="47">
        <f>V3307</f>
        <v/>
      </c>
      <c r="X3307" s="47">
        <f>IF(GrossBasis="Wholesale",V3307,W3307)</f>
        <v/>
      </c>
      <c r="Y3307" s="47">
        <f>R3307*INDEX(FmtBlendedCogs,MATCH(F3307,FmtName,0))</f>
        <v/>
      </c>
      <c r="Z3307" s="47">
        <f>X3307-Y3307</f>
        <v/>
      </c>
    </row>
    <row r="3308">
      <c r="A3308" t="n">
        <v>21</v>
      </c>
      <c r="B3308" s="44">
        <f>FiscalStart+(A3308-1)*7</f>
        <v/>
      </c>
      <c r="C3308">
        <f>TEXT(B3308,"mmm yyyy")</f>
        <v/>
      </c>
      <c r="D3308">
        <f>"Q"&amp;(INT((A3308-1)/13)+1)</f>
        <v/>
      </c>
      <c r="E3308" t="inlineStr">
        <is>
          <t>Online</t>
        </is>
      </c>
      <c r="F3308">
        <f>IFERROR(INDEX(ChFormat,MATCH(E3308,ChName,0)),"")</f>
        <v/>
      </c>
      <c r="G3308" t="inlineStr">
        <is>
          <t>SK</t>
        </is>
      </c>
      <c r="H3308">
        <f>IF(A3308&lt;=NWeeks,1,0)</f>
        <v/>
      </c>
      <c r="I3308">
        <f>INDEX(ChLaunch,MATCH(E3308,ChName,0))</f>
        <v/>
      </c>
      <c r="J3308">
        <f>INDEX(ChWeeksFull,MATCH(E3308,ChName,0))</f>
        <v/>
      </c>
      <c r="K3308">
        <f>INDEX(ChRamp,MATCH(E3308,ChName,0))</f>
        <v/>
      </c>
      <c r="L3308" s="45">
        <f>MIN(1,MAX(0,(A3308-I3308+1)*RampSpeed/J3308))</f>
        <v/>
      </c>
      <c r="M3308" s="45">
        <f>IF(A3308&lt;I3308,0,IF(K3308="S-curve",L3308*L3308*(3-2*L3308),L3308))</f>
        <v/>
      </c>
      <c r="N3308" s="45">
        <f>1+(INDEX(SeasonIdx,A3308)-1)*SeasonAmp</f>
        <v/>
      </c>
      <c r="O3308" s="45">
        <f>IFERROR(INDEX(PSPct,MATCH(E3308&amp;"|"&amp;G3308,PSKey,0)),0)</f>
        <v/>
      </c>
      <c r="P3308" s="46" t="n">
        <v>0</v>
      </c>
      <c r="Q3308" s="46">
        <f>INDEX(OnlineUnitsCol,A3308)*O3308*(1+OnlineGrowth)*N3308*H3308*IF(A3308&gt;=I3308,1,0)</f>
        <v/>
      </c>
      <c r="R3308" s="46">
        <f>Q3308*INDEX(FmtCansPerPack,MATCH(F3308,FmtName,0))/INDEX(FmtCansPerCase,MATCH(F3308,FmtName,0))</f>
        <v/>
      </c>
      <c r="S3308" s="46">
        <f>R3308*INDEX(FmtCansPerCase,MATCH(F3308,FmtName,0))</f>
        <v/>
      </c>
      <c r="T3308" s="46">
        <f>S3308/INDEX(FmtCansPerPack,MATCH(F3308,FmtName,0))</f>
        <v/>
      </c>
      <c r="U3308" s="47">
        <f>INDEX(ProvOnline,MATCH(G3308,ProvCode,0))*(1+PriceIndex)</f>
        <v/>
      </c>
      <c r="V3308" s="47">
        <f>Q3308*U3308*INDEX(FmtBlendedPriceIdx,MATCH(F3308,FmtName,0))</f>
        <v/>
      </c>
      <c r="W3308" s="47">
        <f>V3308</f>
        <v/>
      </c>
      <c r="X3308" s="47">
        <f>IF(GrossBasis="Wholesale",V3308,W3308)</f>
        <v/>
      </c>
      <c r="Y3308" s="47">
        <f>R3308*INDEX(FmtBlendedCogs,MATCH(F3308,FmtName,0))</f>
        <v/>
      </c>
      <c r="Z3308" s="47">
        <f>X3308-Y3308</f>
        <v/>
      </c>
    </row>
    <row r="3309">
      <c r="A3309" t="n">
        <v>22</v>
      </c>
      <c r="B3309" s="44">
        <f>FiscalStart+(A3309-1)*7</f>
        <v/>
      </c>
      <c r="C3309">
        <f>TEXT(B3309,"mmm yyyy")</f>
        <v/>
      </c>
      <c r="D3309">
        <f>"Q"&amp;(INT((A3309-1)/13)+1)</f>
        <v/>
      </c>
      <c r="E3309" t="inlineStr">
        <is>
          <t>Online</t>
        </is>
      </c>
      <c r="F3309">
        <f>IFERROR(INDEX(ChFormat,MATCH(E3309,ChName,0)),"")</f>
        <v/>
      </c>
      <c r="G3309" t="inlineStr">
        <is>
          <t>SK</t>
        </is>
      </c>
      <c r="H3309">
        <f>IF(A3309&lt;=NWeeks,1,0)</f>
        <v/>
      </c>
      <c r="I3309">
        <f>INDEX(ChLaunch,MATCH(E3309,ChName,0))</f>
        <v/>
      </c>
      <c r="J3309">
        <f>INDEX(ChWeeksFull,MATCH(E3309,ChName,0))</f>
        <v/>
      </c>
      <c r="K3309">
        <f>INDEX(ChRamp,MATCH(E3309,ChName,0))</f>
        <v/>
      </c>
      <c r="L3309" s="45">
        <f>MIN(1,MAX(0,(A3309-I3309+1)*RampSpeed/J3309))</f>
        <v/>
      </c>
      <c r="M3309" s="45">
        <f>IF(A3309&lt;I3309,0,IF(K3309="S-curve",L3309*L3309*(3-2*L3309),L3309))</f>
        <v/>
      </c>
      <c r="N3309" s="45">
        <f>1+(INDEX(SeasonIdx,A3309)-1)*SeasonAmp</f>
        <v/>
      </c>
      <c r="O3309" s="45">
        <f>IFERROR(INDEX(PSPct,MATCH(E3309&amp;"|"&amp;G3309,PSKey,0)),0)</f>
        <v/>
      </c>
      <c r="P3309" s="46" t="n">
        <v>0</v>
      </c>
      <c r="Q3309" s="46">
        <f>INDEX(OnlineUnitsCol,A3309)*O3309*(1+OnlineGrowth)*N3309*H3309*IF(A3309&gt;=I3309,1,0)</f>
        <v/>
      </c>
      <c r="R3309" s="46">
        <f>Q3309*INDEX(FmtCansPerPack,MATCH(F3309,FmtName,0))/INDEX(FmtCansPerCase,MATCH(F3309,FmtName,0))</f>
        <v/>
      </c>
      <c r="S3309" s="46">
        <f>R3309*INDEX(FmtCansPerCase,MATCH(F3309,FmtName,0))</f>
        <v/>
      </c>
      <c r="T3309" s="46">
        <f>S3309/INDEX(FmtCansPerPack,MATCH(F3309,FmtName,0))</f>
        <v/>
      </c>
      <c r="U3309" s="47">
        <f>INDEX(ProvOnline,MATCH(G3309,ProvCode,0))*(1+PriceIndex)</f>
        <v/>
      </c>
      <c r="V3309" s="47">
        <f>Q3309*U3309*INDEX(FmtBlendedPriceIdx,MATCH(F3309,FmtName,0))</f>
        <v/>
      </c>
      <c r="W3309" s="47">
        <f>V3309</f>
        <v/>
      </c>
      <c r="X3309" s="47">
        <f>IF(GrossBasis="Wholesale",V3309,W3309)</f>
        <v/>
      </c>
      <c r="Y3309" s="47">
        <f>R3309*INDEX(FmtBlendedCogs,MATCH(F3309,FmtName,0))</f>
        <v/>
      </c>
      <c r="Z3309" s="47">
        <f>X3309-Y3309</f>
        <v/>
      </c>
    </row>
    <row r="3310">
      <c r="A3310" t="n">
        <v>23</v>
      </c>
      <c r="B3310" s="44">
        <f>FiscalStart+(A3310-1)*7</f>
        <v/>
      </c>
      <c r="C3310">
        <f>TEXT(B3310,"mmm yyyy")</f>
        <v/>
      </c>
      <c r="D3310">
        <f>"Q"&amp;(INT((A3310-1)/13)+1)</f>
        <v/>
      </c>
      <c r="E3310" t="inlineStr">
        <is>
          <t>Online</t>
        </is>
      </c>
      <c r="F3310">
        <f>IFERROR(INDEX(ChFormat,MATCH(E3310,ChName,0)),"")</f>
        <v/>
      </c>
      <c r="G3310" t="inlineStr">
        <is>
          <t>SK</t>
        </is>
      </c>
      <c r="H3310">
        <f>IF(A3310&lt;=NWeeks,1,0)</f>
        <v/>
      </c>
      <c r="I3310">
        <f>INDEX(ChLaunch,MATCH(E3310,ChName,0))</f>
        <v/>
      </c>
      <c r="J3310">
        <f>INDEX(ChWeeksFull,MATCH(E3310,ChName,0))</f>
        <v/>
      </c>
      <c r="K3310">
        <f>INDEX(ChRamp,MATCH(E3310,ChName,0))</f>
        <v/>
      </c>
      <c r="L3310" s="45">
        <f>MIN(1,MAX(0,(A3310-I3310+1)*RampSpeed/J3310))</f>
        <v/>
      </c>
      <c r="M3310" s="45">
        <f>IF(A3310&lt;I3310,0,IF(K3310="S-curve",L3310*L3310*(3-2*L3310),L3310))</f>
        <v/>
      </c>
      <c r="N3310" s="45">
        <f>1+(INDEX(SeasonIdx,A3310)-1)*SeasonAmp</f>
        <v/>
      </c>
      <c r="O3310" s="45">
        <f>IFERROR(INDEX(PSPct,MATCH(E3310&amp;"|"&amp;G3310,PSKey,0)),0)</f>
        <v/>
      </c>
      <c r="P3310" s="46" t="n">
        <v>0</v>
      </c>
      <c r="Q3310" s="46">
        <f>INDEX(OnlineUnitsCol,A3310)*O3310*(1+OnlineGrowth)*N3310*H3310*IF(A3310&gt;=I3310,1,0)</f>
        <v/>
      </c>
      <c r="R3310" s="46">
        <f>Q3310*INDEX(FmtCansPerPack,MATCH(F3310,FmtName,0))/INDEX(FmtCansPerCase,MATCH(F3310,FmtName,0))</f>
        <v/>
      </c>
      <c r="S3310" s="46">
        <f>R3310*INDEX(FmtCansPerCase,MATCH(F3310,FmtName,0))</f>
        <v/>
      </c>
      <c r="T3310" s="46">
        <f>S3310/INDEX(FmtCansPerPack,MATCH(F3310,FmtName,0))</f>
        <v/>
      </c>
      <c r="U3310" s="47">
        <f>INDEX(ProvOnline,MATCH(G3310,ProvCode,0))*(1+PriceIndex)</f>
        <v/>
      </c>
      <c r="V3310" s="47">
        <f>Q3310*U3310*INDEX(FmtBlendedPriceIdx,MATCH(F3310,FmtName,0))</f>
        <v/>
      </c>
      <c r="W3310" s="47">
        <f>V3310</f>
        <v/>
      </c>
      <c r="X3310" s="47">
        <f>IF(GrossBasis="Wholesale",V3310,W3310)</f>
        <v/>
      </c>
      <c r="Y3310" s="47">
        <f>R3310*INDEX(FmtBlendedCogs,MATCH(F3310,FmtName,0))</f>
        <v/>
      </c>
      <c r="Z3310" s="47">
        <f>X3310-Y3310</f>
        <v/>
      </c>
    </row>
    <row r="3311">
      <c r="A3311" t="n">
        <v>24</v>
      </c>
      <c r="B3311" s="44">
        <f>FiscalStart+(A3311-1)*7</f>
        <v/>
      </c>
      <c r="C3311">
        <f>TEXT(B3311,"mmm yyyy")</f>
        <v/>
      </c>
      <c r="D3311">
        <f>"Q"&amp;(INT((A3311-1)/13)+1)</f>
        <v/>
      </c>
      <c r="E3311" t="inlineStr">
        <is>
          <t>Online</t>
        </is>
      </c>
      <c r="F3311">
        <f>IFERROR(INDEX(ChFormat,MATCH(E3311,ChName,0)),"")</f>
        <v/>
      </c>
      <c r="G3311" t="inlineStr">
        <is>
          <t>SK</t>
        </is>
      </c>
      <c r="H3311">
        <f>IF(A3311&lt;=NWeeks,1,0)</f>
        <v/>
      </c>
      <c r="I3311">
        <f>INDEX(ChLaunch,MATCH(E3311,ChName,0))</f>
        <v/>
      </c>
      <c r="J3311">
        <f>INDEX(ChWeeksFull,MATCH(E3311,ChName,0))</f>
        <v/>
      </c>
      <c r="K3311">
        <f>INDEX(ChRamp,MATCH(E3311,ChName,0))</f>
        <v/>
      </c>
      <c r="L3311" s="45">
        <f>MIN(1,MAX(0,(A3311-I3311+1)*RampSpeed/J3311))</f>
        <v/>
      </c>
      <c r="M3311" s="45">
        <f>IF(A3311&lt;I3311,0,IF(K3311="S-curve",L3311*L3311*(3-2*L3311),L3311))</f>
        <v/>
      </c>
      <c r="N3311" s="45">
        <f>1+(INDEX(SeasonIdx,A3311)-1)*SeasonAmp</f>
        <v/>
      </c>
      <c r="O3311" s="45">
        <f>IFERROR(INDEX(PSPct,MATCH(E3311&amp;"|"&amp;G3311,PSKey,0)),0)</f>
        <v/>
      </c>
      <c r="P3311" s="46" t="n">
        <v>0</v>
      </c>
      <c r="Q3311" s="46">
        <f>INDEX(OnlineUnitsCol,A3311)*O3311*(1+OnlineGrowth)*N3311*H3311*IF(A3311&gt;=I3311,1,0)</f>
        <v/>
      </c>
      <c r="R3311" s="46">
        <f>Q3311*INDEX(FmtCansPerPack,MATCH(F3311,FmtName,0))/INDEX(FmtCansPerCase,MATCH(F3311,FmtName,0))</f>
        <v/>
      </c>
      <c r="S3311" s="46">
        <f>R3311*INDEX(FmtCansPerCase,MATCH(F3311,FmtName,0))</f>
        <v/>
      </c>
      <c r="T3311" s="46">
        <f>S3311/INDEX(FmtCansPerPack,MATCH(F3311,FmtName,0))</f>
        <v/>
      </c>
      <c r="U3311" s="47">
        <f>INDEX(ProvOnline,MATCH(G3311,ProvCode,0))*(1+PriceIndex)</f>
        <v/>
      </c>
      <c r="V3311" s="47">
        <f>Q3311*U3311*INDEX(FmtBlendedPriceIdx,MATCH(F3311,FmtName,0))</f>
        <v/>
      </c>
      <c r="W3311" s="47">
        <f>V3311</f>
        <v/>
      </c>
      <c r="X3311" s="47">
        <f>IF(GrossBasis="Wholesale",V3311,W3311)</f>
        <v/>
      </c>
      <c r="Y3311" s="47">
        <f>R3311*INDEX(FmtBlendedCogs,MATCH(F3311,FmtName,0))</f>
        <v/>
      </c>
      <c r="Z3311" s="47">
        <f>X3311-Y3311</f>
        <v/>
      </c>
    </row>
    <row r="3312">
      <c r="A3312" t="n">
        <v>25</v>
      </c>
      <c r="B3312" s="44">
        <f>FiscalStart+(A3312-1)*7</f>
        <v/>
      </c>
      <c r="C3312">
        <f>TEXT(B3312,"mmm yyyy")</f>
        <v/>
      </c>
      <c r="D3312">
        <f>"Q"&amp;(INT((A3312-1)/13)+1)</f>
        <v/>
      </c>
      <c r="E3312" t="inlineStr">
        <is>
          <t>Online</t>
        </is>
      </c>
      <c r="F3312">
        <f>IFERROR(INDEX(ChFormat,MATCH(E3312,ChName,0)),"")</f>
        <v/>
      </c>
      <c r="G3312" t="inlineStr">
        <is>
          <t>SK</t>
        </is>
      </c>
      <c r="H3312">
        <f>IF(A3312&lt;=NWeeks,1,0)</f>
        <v/>
      </c>
      <c r="I3312">
        <f>INDEX(ChLaunch,MATCH(E3312,ChName,0))</f>
        <v/>
      </c>
      <c r="J3312">
        <f>INDEX(ChWeeksFull,MATCH(E3312,ChName,0))</f>
        <v/>
      </c>
      <c r="K3312">
        <f>INDEX(ChRamp,MATCH(E3312,ChName,0))</f>
        <v/>
      </c>
      <c r="L3312" s="45">
        <f>MIN(1,MAX(0,(A3312-I3312+1)*RampSpeed/J3312))</f>
        <v/>
      </c>
      <c r="M3312" s="45">
        <f>IF(A3312&lt;I3312,0,IF(K3312="S-curve",L3312*L3312*(3-2*L3312),L3312))</f>
        <v/>
      </c>
      <c r="N3312" s="45">
        <f>1+(INDEX(SeasonIdx,A3312)-1)*SeasonAmp</f>
        <v/>
      </c>
      <c r="O3312" s="45">
        <f>IFERROR(INDEX(PSPct,MATCH(E3312&amp;"|"&amp;G3312,PSKey,0)),0)</f>
        <v/>
      </c>
      <c r="P3312" s="46" t="n">
        <v>0</v>
      </c>
      <c r="Q3312" s="46">
        <f>INDEX(OnlineUnitsCol,A3312)*O3312*(1+OnlineGrowth)*N3312*H3312*IF(A3312&gt;=I3312,1,0)</f>
        <v/>
      </c>
      <c r="R3312" s="46">
        <f>Q3312*INDEX(FmtCansPerPack,MATCH(F3312,FmtName,0))/INDEX(FmtCansPerCase,MATCH(F3312,FmtName,0))</f>
        <v/>
      </c>
      <c r="S3312" s="46">
        <f>R3312*INDEX(FmtCansPerCase,MATCH(F3312,FmtName,0))</f>
        <v/>
      </c>
      <c r="T3312" s="46">
        <f>S3312/INDEX(FmtCansPerPack,MATCH(F3312,FmtName,0))</f>
        <v/>
      </c>
      <c r="U3312" s="47">
        <f>INDEX(ProvOnline,MATCH(G3312,ProvCode,0))*(1+PriceIndex)</f>
        <v/>
      </c>
      <c r="V3312" s="47">
        <f>Q3312*U3312*INDEX(FmtBlendedPriceIdx,MATCH(F3312,FmtName,0))</f>
        <v/>
      </c>
      <c r="W3312" s="47">
        <f>V3312</f>
        <v/>
      </c>
      <c r="X3312" s="47">
        <f>IF(GrossBasis="Wholesale",V3312,W3312)</f>
        <v/>
      </c>
      <c r="Y3312" s="47">
        <f>R3312*INDEX(FmtBlendedCogs,MATCH(F3312,FmtName,0))</f>
        <v/>
      </c>
      <c r="Z3312" s="47">
        <f>X3312-Y3312</f>
        <v/>
      </c>
    </row>
    <row r="3313">
      <c r="A3313" t="n">
        <v>26</v>
      </c>
      <c r="B3313" s="44">
        <f>FiscalStart+(A3313-1)*7</f>
        <v/>
      </c>
      <c r="C3313">
        <f>TEXT(B3313,"mmm yyyy")</f>
        <v/>
      </c>
      <c r="D3313">
        <f>"Q"&amp;(INT((A3313-1)/13)+1)</f>
        <v/>
      </c>
      <c r="E3313" t="inlineStr">
        <is>
          <t>Online</t>
        </is>
      </c>
      <c r="F3313">
        <f>IFERROR(INDEX(ChFormat,MATCH(E3313,ChName,0)),"")</f>
        <v/>
      </c>
      <c r="G3313" t="inlineStr">
        <is>
          <t>SK</t>
        </is>
      </c>
      <c r="H3313">
        <f>IF(A3313&lt;=NWeeks,1,0)</f>
        <v/>
      </c>
      <c r="I3313">
        <f>INDEX(ChLaunch,MATCH(E3313,ChName,0))</f>
        <v/>
      </c>
      <c r="J3313">
        <f>INDEX(ChWeeksFull,MATCH(E3313,ChName,0))</f>
        <v/>
      </c>
      <c r="K3313">
        <f>INDEX(ChRamp,MATCH(E3313,ChName,0))</f>
        <v/>
      </c>
      <c r="L3313" s="45">
        <f>MIN(1,MAX(0,(A3313-I3313+1)*RampSpeed/J3313))</f>
        <v/>
      </c>
      <c r="M3313" s="45">
        <f>IF(A3313&lt;I3313,0,IF(K3313="S-curve",L3313*L3313*(3-2*L3313),L3313))</f>
        <v/>
      </c>
      <c r="N3313" s="45">
        <f>1+(INDEX(SeasonIdx,A3313)-1)*SeasonAmp</f>
        <v/>
      </c>
      <c r="O3313" s="45">
        <f>IFERROR(INDEX(PSPct,MATCH(E3313&amp;"|"&amp;G3313,PSKey,0)),0)</f>
        <v/>
      </c>
      <c r="P3313" s="46" t="n">
        <v>0</v>
      </c>
      <c r="Q3313" s="46">
        <f>INDEX(OnlineUnitsCol,A3313)*O3313*(1+OnlineGrowth)*N3313*H3313*IF(A3313&gt;=I3313,1,0)</f>
        <v/>
      </c>
      <c r="R3313" s="46">
        <f>Q3313*INDEX(FmtCansPerPack,MATCH(F3313,FmtName,0))/INDEX(FmtCansPerCase,MATCH(F3313,FmtName,0))</f>
        <v/>
      </c>
      <c r="S3313" s="46">
        <f>R3313*INDEX(FmtCansPerCase,MATCH(F3313,FmtName,0))</f>
        <v/>
      </c>
      <c r="T3313" s="46">
        <f>S3313/INDEX(FmtCansPerPack,MATCH(F3313,FmtName,0))</f>
        <v/>
      </c>
      <c r="U3313" s="47">
        <f>INDEX(ProvOnline,MATCH(G3313,ProvCode,0))*(1+PriceIndex)</f>
        <v/>
      </c>
      <c r="V3313" s="47">
        <f>Q3313*U3313*INDEX(FmtBlendedPriceIdx,MATCH(F3313,FmtName,0))</f>
        <v/>
      </c>
      <c r="W3313" s="47">
        <f>V3313</f>
        <v/>
      </c>
      <c r="X3313" s="47">
        <f>IF(GrossBasis="Wholesale",V3313,W3313)</f>
        <v/>
      </c>
      <c r="Y3313" s="47">
        <f>R3313*INDEX(FmtBlendedCogs,MATCH(F3313,FmtName,0))</f>
        <v/>
      </c>
      <c r="Z3313" s="47">
        <f>X3313-Y3313</f>
        <v/>
      </c>
    </row>
    <row r="3314">
      <c r="A3314" t="n">
        <v>27</v>
      </c>
      <c r="B3314" s="44">
        <f>FiscalStart+(A3314-1)*7</f>
        <v/>
      </c>
      <c r="C3314">
        <f>TEXT(B3314,"mmm yyyy")</f>
        <v/>
      </c>
      <c r="D3314">
        <f>"Q"&amp;(INT((A3314-1)/13)+1)</f>
        <v/>
      </c>
      <c r="E3314" t="inlineStr">
        <is>
          <t>Online</t>
        </is>
      </c>
      <c r="F3314">
        <f>IFERROR(INDEX(ChFormat,MATCH(E3314,ChName,0)),"")</f>
        <v/>
      </c>
      <c r="G3314" t="inlineStr">
        <is>
          <t>SK</t>
        </is>
      </c>
      <c r="H3314">
        <f>IF(A3314&lt;=NWeeks,1,0)</f>
        <v/>
      </c>
      <c r="I3314">
        <f>INDEX(ChLaunch,MATCH(E3314,ChName,0))</f>
        <v/>
      </c>
      <c r="J3314">
        <f>INDEX(ChWeeksFull,MATCH(E3314,ChName,0))</f>
        <v/>
      </c>
      <c r="K3314">
        <f>INDEX(ChRamp,MATCH(E3314,ChName,0))</f>
        <v/>
      </c>
      <c r="L3314" s="45">
        <f>MIN(1,MAX(0,(A3314-I3314+1)*RampSpeed/J3314))</f>
        <v/>
      </c>
      <c r="M3314" s="45">
        <f>IF(A3314&lt;I3314,0,IF(K3314="S-curve",L3314*L3314*(3-2*L3314),L3314))</f>
        <v/>
      </c>
      <c r="N3314" s="45">
        <f>1+(INDEX(SeasonIdx,A3314)-1)*SeasonAmp</f>
        <v/>
      </c>
      <c r="O3314" s="45">
        <f>IFERROR(INDEX(PSPct,MATCH(E3314&amp;"|"&amp;G3314,PSKey,0)),0)</f>
        <v/>
      </c>
      <c r="P3314" s="46" t="n">
        <v>0</v>
      </c>
      <c r="Q3314" s="46">
        <f>INDEX(OnlineUnitsCol,A3314)*O3314*(1+OnlineGrowth)*N3314*H3314*IF(A3314&gt;=I3314,1,0)</f>
        <v/>
      </c>
      <c r="R3314" s="46">
        <f>Q3314*INDEX(FmtCansPerPack,MATCH(F3314,FmtName,0))/INDEX(FmtCansPerCase,MATCH(F3314,FmtName,0))</f>
        <v/>
      </c>
      <c r="S3314" s="46">
        <f>R3314*INDEX(FmtCansPerCase,MATCH(F3314,FmtName,0))</f>
        <v/>
      </c>
      <c r="T3314" s="46">
        <f>S3314/INDEX(FmtCansPerPack,MATCH(F3314,FmtName,0))</f>
        <v/>
      </c>
      <c r="U3314" s="47">
        <f>INDEX(ProvOnline,MATCH(G3314,ProvCode,0))*(1+PriceIndex)</f>
        <v/>
      </c>
      <c r="V3314" s="47">
        <f>Q3314*U3314*INDEX(FmtBlendedPriceIdx,MATCH(F3314,FmtName,0))</f>
        <v/>
      </c>
      <c r="W3314" s="47">
        <f>V3314</f>
        <v/>
      </c>
      <c r="X3314" s="47">
        <f>IF(GrossBasis="Wholesale",V3314,W3314)</f>
        <v/>
      </c>
      <c r="Y3314" s="47">
        <f>R3314*INDEX(FmtBlendedCogs,MATCH(F3314,FmtName,0))</f>
        <v/>
      </c>
      <c r="Z3314" s="47">
        <f>X3314-Y3314</f>
        <v/>
      </c>
    </row>
    <row r="3315">
      <c r="A3315" t="n">
        <v>28</v>
      </c>
      <c r="B3315" s="44">
        <f>FiscalStart+(A3315-1)*7</f>
        <v/>
      </c>
      <c r="C3315">
        <f>TEXT(B3315,"mmm yyyy")</f>
        <v/>
      </c>
      <c r="D3315">
        <f>"Q"&amp;(INT((A3315-1)/13)+1)</f>
        <v/>
      </c>
      <c r="E3315" t="inlineStr">
        <is>
          <t>Online</t>
        </is>
      </c>
      <c r="F3315">
        <f>IFERROR(INDEX(ChFormat,MATCH(E3315,ChName,0)),"")</f>
        <v/>
      </c>
      <c r="G3315" t="inlineStr">
        <is>
          <t>SK</t>
        </is>
      </c>
      <c r="H3315">
        <f>IF(A3315&lt;=NWeeks,1,0)</f>
        <v/>
      </c>
      <c r="I3315">
        <f>INDEX(ChLaunch,MATCH(E3315,ChName,0))</f>
        <v/>
      </c>
      <c r="J3315">
        <f>INDEX(ChWeeksFull,MATCH(E3315,ChName,0))</f>
        <v/>
      </c>
      <c r="K3315">
        <f>INDEX(ChRamp,MATCH(E3315,ChName,0))</f>
        <v/>
      </c>
      <c r="L3315" s="45">
        <f>MIN(1,MAX(0,(A3315-I3315+1)*RampSpeed/J3315))</f>
        <v/>
      </c>
      <c r="M3315" s="45">
        <f>IF(A3315&lt;I3315,0,IF(K3315="S-curve",L3315*L3315*(3-2*L3315),L3315))</f>
        <v/>
      </c>
      <c r="N3315" s="45">
        <f>1+(INDEX(SeasonIdx,A3315)-1)*SeasonAmp</f>
        <v/>
      </c>
      <c r="O3315" s="45">
        <f>IFERROR(INDEX(PSPct,MATCH(E3315&amp;"|"&amp;G3315,PSKey,0)),0)</f>
        <v/>
      </c>
      <c r="P3315" s="46" t="n">
        <v>0</v>
      </c>
      <c r="Q3315" s="46">
        <f>INDEX(OnlineUnitsCol,A3315)*O3315*(1+OnlineGrowth)*N3315*H3315*IF(A3315&gt;=I3315,1,0)</f>
        <v/>
      </c>
      <c r="R3315" s="46">
        <f>Q3315*INDEX(FmtCansPerPack,MATCH(F3315,FmtName,0))/INDEX(FmtCansPerCase,MATCH(F3315,FmtName,0))</f>
        <v/>
      </c>
      <c r="S3315" s="46">
        <f>R3315*INDEX(FmtCansPerCase,MATCH(F3315,FmtName,0))</f>
        <v/>
      </c>
      <c r="T3315" s="46">
        <f>S3315/INDEX(FmtCansPerPack,MATCH(F3315,FmtName,0))</f>
        <v/>
      </c>
      <c r="U3315" s="47">
        <f>INDEX(ProvOnline,MATCH(G3315,ProvCode,0))*(1+PriceIndex)</f>
        <v/>
      </c>
      <c r="V3315" s="47">
        <f>Q3315*U3315*INDEX(FmtBlendedPriceIdx,MATCH(F3315,FmtName,0))</f>
        <v/>
      </c>
      <c r="W3315" s="47">
        <f>V3315</f>
        <v/>
      </c>
      <c r="X3315" s="47">
        <f>IF(GrossBasis="Wholesale",V3315,W3315)</f>
        <v/>
      </c>
      <c r="Y3315" s="47">
        <f>R3315*INDEX(FmtBlendedCogs,MATCH(F3315,FmtName,0))</f>
        <v/>
      </c>
      <c r="Z3315" s="47">
        <f>X3315-Y3315</f>
        <v/>
      </c>
    </row>
    <row r="3316">
      <c r="A3316" t="n">
        <v>29</v>
      </c>
      <c r="B3316" s="44">
        <f>FiscalStart+(A3316-1)*7</f>
        <v/>
      </c>
      <c r="C3316">
        <f>TEXT(B3316,"mmm yyyy")</f>
        <v/>
      </c>
      <c r="D3316">
        <f>"Q"&amp;(INT((A3316-1)/13)+1)</f>
        <v/>
      </c>
      <c r="E3316" t="inlineStr">
        <is>
          <t>Online</t>
        </is>
      </c>
      <c r="F3316">
        <f>IFERROR(INDEX(ChFormat,MATCH(E3316,ChName,0)),"")</f>
        <v/>
      </c>
      <c r="G3316" t="inlineStr">
        <is>
          <t>SK</t>
        </is>
      </c>
      <c r="H3316">
        <f>IF(A3316&lt;=NWeeks,1,0)</f>
        <v/>
      </c>
      <c r="I3316">
        <f>INDEX(ChLaunch,MATCH(E3316,ChName,0))</f>
        <v/>
      </c>
      <c r="J3316">
        <f>INDEX(ChWeeksFull,MATCH(E3316,ChName,0))</f>
        <v/>
      </c>
      <c r="K3316">
        <f>INDEX(ChRamp,MATCH(E3316,ChName,0))</f>
        <v/>
      </c>
      <c r="L3316" s="45">
        <f>MIN(1,MAX(0,(A3316-I3316+1)*RampSpeed/J3316))</f>
        <v/>
      </c>
      <c r="M3316" s="45">
        <f>IF(A3316&lt;I3316,0,IF(K3316="S-curve",L3316*L3316*(3-2*L3316),L3316))</f>
        <v/>
      </c>
      <c r="N3316" s="45">
        <f>1+(INDEX(SeasonIdx,A3316)-1)*SeasonAmp</f>
        <v/>
      </c>
      <c r="O3316" s="45">
        <f>IFERROR(INDEX(PSPct,MATCH(E3316&amp;"|"&amp;G3316,PSKey,0)),0)</f>
        <v/>
      </c>
      <c r="P3316" s="46" t="n">
        <v>0</v>
      </c>
      <c r="Q3316" s="46">
        <f>INDEX(OnlineUnitsCol,A3316)*O3316*(1+OnlineGrowth)*N3316*H3316*IF(A3316&gt;=I3316,1,0)</f>
        <v/>
      </c>
      <c r="R3316" s="46">
        <f>Q3316*INDEX(FmtCansPerPack,MATCH(F3316,FmtName,0))/INDEX(FmtCansPerCase,MATCH(F3316,FmtName,0))</f>
        <v/>
      </c>
      <c r="S3316" s="46">
        <f>R3316*INDEX(FmtCansPerCase,MATCH(F3316,FmtName,0))</f>
        <v/>
      </c>
      <c r="T3316" s="46">
        <f>S3316/INDEX(FmtCansPerPack,MATCH(F3316,FmtName,0))</f>
        <v/>
      </c>
      <c r="U3316" s="47">
        <f>INDEX(ProvOnline,MATCH(G3316,ProvCode,0))*(1+PriceIndex)</f>
        <v/>
      </c>
      <c r="V3316" s="47">
        <f>Q3316*U3316*INDEX(FmtBlendedPriceIdx,MATCH(F3316,FmtName,0))</f>
        <v/>
      </c>
      <c r="W3316" s="47">
        <f>V3316</f>
        <v/>
      </c>
      <c r="X3316" s="47">
        <f>IF(GrossBasis="Wholesale",V3316,W3316)</f>
        <v/>
      </c>
      <c r="Y3316" s="47">
        <f>R3316*INDEX(FmtBlendedCogs,MATCH(F3316,FmtName,0))</f>
        <v/>
      </c>
      <c r="Z3316" s="47">
        <f>X3316-Y3316</f>
        <v/>
      </c>
    </row>
    <row r="3317">
      <c r="A3317" t="n">
        <v>30</v>
      </c>
      <c r="B3317" s="44">
        <f>FiscalStart+(A3317-1)*7</f>
        <v/>
      </c>
      <c r="C3317">
        <f>TEXT(B3317,"mmm yyyy")</f>
        <v/>
      </c>
      <c r="D3317">
        <f>"Q"&amp;(INT((A3317-1)/13)+1)</f>
        <v/>
      </c>
      <c r="E3317" t="inlineStr">
        <is>
          <t>Online</t>
        </is>
      </c>
      <c r="F3317">
        <f>IFERROR(INDEX(ChFormat,MATCH(E3317,ChName,0)),"")</f>
        <v/>
      </c>
      <c r="G3317" t="inlineStr">
        <is>
          <t>SK</t>
        </is>
      </c>
      <c r="H3317">
        <f>IF(A3317&lt;=NWeeks,1,0)</f>
        <v/>
      </c>
      <c r="I3317">
        <f>INDEX(ChLaunch,MATCH(E3317,ChName,0))</f>
        <v/>
      </c>
      <c r="J3317">
        <f>INDEX(ChWeeksFull,MATCH(E3317,ChName,0))</f>
        <v/>
      </c>
      <c r="K3317">
        <f>INDEX(ChRamp,MATCH(E3317,ChName,0))</f>
        <v/>
      </c>
      <c r="L3317" s="45">
        <f>MIN(1,MAX(0,(A3317-I3317+1)*RampSpeed/J3317))</f>
        <v/>
      </c>
      <c r="M3317" s="45">
        <f>IF(A3317&lt;I3317,0,IF(K3317="S-curve",L3317*L3317*(3-2*L3317),L3317))</f>
        <v/>
      </c>
      <c r="N3317" s="45">
        <f>1+(INDEX(SeasonIdx,A3317)-1)*SeasonAmp</f>
        <v/>
      </c>
      <c r="O3317" s="45">
        <f>IFERROR(INDEX(PSPct,MATCH(E3317&amp;"|"&amp;G3317,PSKey,0)),0)</f>
        <v/>
      </c>
      <c r="P3317" s="46" t="n">
        <v>0</v>
      </c>
      <c r="Q3317" s="46">
        <f>INDEX(OnlineUnitsCol,A3317)*O3317*(1+OnlineGrowth)*N3317*H3317*IF(A3317&gt;=I3317,1,0)</f>
        <v/>
      </c>
      <c r="R3317" s="46">
        <f>Q3317*INDEX(FmtCansPerPack,MATCH(F3317,FmtName,0))/INDEX(FmtCansPerCase,MATCH(F3317,FmtName,0))</f>
        <v/>
      </c>
      <c r="S3317" s="46">
        <f>R3317*INDEX(FmtCansPerCase,MATCH(F3317,FmtName,0))</f>
        <v/>
      </c>
      <c r="T3317" s="46">
        <f>S3317/INDEX(FmtCansPerPack,MATCH(F3317,FmtName,0))</f>
        <v/>
      </c>
      <c r="U3317" s="47">
        <f>INDEX(ProvOnline,MATCH(G3317,ProvCode,0))*(1+PriceIndex)</f>
        <v/>
      </c>
      <c r="V3317" s="47">
        <f>Q3317*U3317*INDEX(FmtBlendedPriceIdx,MATCH(F3317,FmtName,0))</f>
        <v/>
      </c>
      <c r="W3317" s="47">
        <f>V3317</f>
        <v/>
      </c>
      <c r="X3317" s="47">
        <f>IF(GrossBasis="Wholesale",V3317,W3317)</f>
        <v/>
      </c>
      <c r="Y3317" s="47">
        <f>R3317*INDEX(FmtBlendedCogs,MATCH(F3317,FmtName,0))</f>
        <v/>
      </c>
      <c r="Z3317" s="47">
        <f>X3317-Y3317</f>
        <v/>
      </c>
    </row>
    <row r="3318">
      <c r="A3318" t="n">
        <v>31</v>
      </c>
      <c r="B3318" s="44">
        <f>FiscalStart+(A3318-1)*7</f>
        <v/>
      </c>
      <c r="C3318">
        <f>TEXT(B3318,"mmm yyyy")</f>
        <v/>
      </c>
      <c r="D3318">
        <f>"Q"&amp;(INT((A3318-1)/13)+1)</f>
        <v/>
      </c>
      <c r="E3318" t="inlineStr">
        <is>
          <t>Online</t>
        </is>
      </c>
      <c r="F3318">
        <f>IFERROR(INDEX(ChFormat,MATCH(E3318,ChName,0)),"")</f>
        <v/>
      </c>
      <c r="G3318" t="inlineStr">
        <is>
          <t>SK</t>
        </is>
      </c>
      <c r="H3318">
        <f>IF(A3318&lt;=NWeeks,1,0)</f>
        <v/>
      </c>
      <c r="I3318">
        <f>INDEX(ChLaunch,MATCH(E3318,ChName,0))</f>
        <v/>
      </c>
      <c r="J3318">
        <f>INDEX(ChWeeksFull,MATCH(E3318,ChName,0))</f>
        <v/>
      </c>
      <c r="K3318">
        <f>INDEX(ChRamp,MATCH(E3318,ChName,0))</f>
        <v/>
      </c>
      <c r="L3318" s="45">
        <f>MIN(1,MAX(0,(A3318-I3318+1)*RampSpeed/J3318))</f>
        <v/>
      </c>
      <c r="M3318" s="45">
        <f>IF(A3318&lt;I3318,0,IF(K3318="S-curve",L3318*L3318*(3-2*L3318),L3318))</f>
        <v/>
      </c>
      <c r="N3318" s="45">
        <f>1+(INDEX(SeasonIdx,A3318)-1)*SeasonAmp</f>
        <v/>
      </c>
      <c r="O3318" s="45">
        <f>IFERROR(INDEX(PSPct,MATCH(E3318&amp;"|"&amp;G3318,PSKey,0)),0)</f>
        <v/>
      </c>
      <c r="P3318" s="46" t="n">
        <v>0</v>
      </c>
      <c r="Q3318" s="46">
        <f>INDEX(OnlineUnitsCol,A3318)*O3318*(1+OnlineGrowth)*N3318*H3318*IF(A3318&gt;=I3318,1,0)</f>
        <v/>
      </c>
      <c r="R3318" s="46">
        <f>Q3318*INDEX(FmtCansPerPack,MATCH(F3318,FmtName,0))/INDEX(FmtCansPerCase,MATCH(F3318,FmtName,0))</f>
        <v/>
      </c>
      <c r="S3318" s="46">
        <f>R3318*INDEX(FmtCansPerCase,MATCH(F3318,FmtName,0))</f>
        <v/>
      </c>
      <c r="T3318" s="46">
        <f>S3318/INDEX(FmtCansPerPack,MATCH(F3318,FmtName,0))</f>
        <v/>
      </c>
      <c r="U3318" s="47">
        <f>INDEX(ProvOnline,MATCH(G3318,ProvCode,0))*(1+PriceIndex)</f>
        <v/>
      </c>
      <c r="V3318" s="47">
        <f>Q3318*U3318*INDEX(FmtBlendedPriceIdx,MATCH(F3318,FmtName,0))</f>
        <v/>
      </c>
      <c r="W3318" s="47">
        <f>V3318</f>
        <v/>
      </c>
      <c r="X3318" s="47">
        <f>IF(GrossBasis="Wholesale",V3318,W3318)</f>
        <v/>
      </c>
      <c r="Y3318" s="47">
        <f>R3318*INDEX(FmtBlendedCogs,MATCH(F3318,FmtName,0))</f>
        <v/>
      </c>
      <c r="Z3318" s="47">
        <f>X3318-Y3318</f>
        <v/>
      </c>
    </row>
    <row r="3319">
      <c r="A3319" t="n">
        <v>32</v>
      </c>
      <c r="B3319" s="44">
        <f>FiscalStart+(A3319-1)*7</f>
        <v/>
      </c>
      <c r="C3319">
        <f>TEXT(B3319,"mmm yyyy")</f>
        <v/>
      </c>
      <c r="D3319">
        <f>"Q"&amp;(INT((A3319-1)/13)+1)</f>
        <v/>
      </c>
      <c r="E3319" t="inlineStr">
        <is>
          <t>Online</t>
        </is>
      </c>
      <c r="F3319">
        <f>IFERROR(INDEX(ChFormat,MATCH(E3319,ChName,0)),"")</f>
        <v/>
      </c>
      <c r="G3319" t="inlineStr">
        <is>
          <t>SK</t>
        </is>
      </c>
      <c r="H3319">
        <f>IF(A3319&lt;=NWeeks,1,0)</f>
        <v/>
      </c>
      <c r="I3319">
        <f>INDEX(ChLaunch,MATCH(E3319,ChName,0))</f>
        <v/>
      </c>
      <c r="J3319">
        <f>INDEX(ChWeeksFull,MATCH(E3319,ChName,0))</f>
        <v/>
      </c>
      <c r="K3319">
        <f>INDEX(ChRamp,MATCH(E3319,ChName,0))</f>
        <v/>
      </c>
      <c r="L3319" s="45">
        <f>MIN(1,MAX(0,(A3319-I3319+1)*RampSpeed/J3319))</f>
        <v/>
      </c>
      <c r="M3319" s="45">
        <f>IF(A3319&lt;I3319,0,IF(K3319="S-curve",L3319*L3319*(3-2*L3319),L3319))</f>
        <v/>
      </c>
      <c r="N3319" s="45">
        <f>1+(INDEX(SeasonIdx,A3319)-1)*SeasonAmp</f>
        <v/>
      </c>
      <c r="O3319" s="45">
        <f>IFERROR(INDEX(PSPct,MATCH(E3319&amp;"|"&amp;G3319,PSKey,0)),0)</f>
        <v/>
      </c>
      <c r="P3319" s="46" t="n">
        <v>0</v>
      </c>
      <c r="Q3319" s="46">
        <f>INDEX(OnlineUnitsCol,A3319)*O3319*(1+OnlineGrowth)*N3319*H3319*IF(A3319&gt;=I3319,1,0)</f>
        <v/>
      </c>
      <c r="R3319" s="46">
        <f>Q3319*INDEX(FmtCansPerPack,MATCH(F3319,FmtName,0))/INDEX(FmtCansPerCase,MATCH(F3319,FmtName,0))</f>
        <v/>
      </c>
      <c r="S3319" s="46">
        <f>R3319*INDEX(FmtCansPerCase,MATCH(F3319,FmtName,0))</f>
        <v/>
      </c>
      <c r="T3319" s="46">
        <f>S3319/INDEX(FmtCansPerPack,MATCH(F3319,FmtName,0))</f>
        <v/>
      </c>
      <c r="U3319" s="47">
        <f>INDEX(ProvOnline,MATCH(G3319,ProvCode,0))*(1+PriceIndex)</f>
        <v/>
      </c>
      <c r="V3319" s="47">
        <f>Q3319*U3319*INDEX(FmtBlendedPriceIdx,MATCH(F3319,FmtName,0))</f>
        <v/>
      </c>
      <c r="W3319" s="47">
        <f>V3319</f>
        <v/>
      </c>
      <c r="X3319" s="47">
        <f>IF(GrossBasis="Wholesale",V3319,W3319)</f>
        <v/>
      </c>
      <c r="Y3319" s="47">
        <f>R3319*INDEX(FmtBlendedCogs,MATCH(F3319,FmtName,0))</f>
        <v/>
      </c>
      <c r="Z3319" s="47">
        <f>X3319-Y3319</f>
        <v/>
      </c>
    </row>
    <row r="3320">
      <c r="A3320" t="n">
        <v>33</v>
      </c>
      <c r="B3320" s="44">
        <f>FiscalStart+(A3320-1)*7</f>
        <v/>
      </c>
      <c r="C3320">
        <f>TEXT(B3320,"mmm yyyy")</f>
        <v/>
      </c>
      <c r="D3320">
        <f>"Q"&amp;(INT((A3320-1)/13)+1)</f>
        <v/>
      </c>
      <c r="E3320" t="inlineStr">
        <is>
          <t>Online</t>
        </is>
      </c>
      <c r="F3320">
        <f>IFERROR(INDEX(ChFormat,MATCH(E3320,ChName,0)),"")</f>
        <v/>
      </c>
      <c r="G3320" t="inlineStr">
        <is>
          <t>SK</t>
        </is>
      </c>
      <c r="H3320">
        <f>IF(A3320&lt;=NWeeks,1,0)</f>
        <v/>
      </c>
      <c r="I3320">
        <f>INDEX(ChLaunch,MATCH(E3320,ChName,0))</f>
        <v/>
      </c>
      <c r="J3320">
        <f>INDEX(ChWeeksFull,MATCH(E3320,ChName,0))</f>
        <v/>
      </c>
      <c r="K3320">
        <f>INDEX(ChRamp,MATCH(E3320,ChName,0))</f>
        <v/>
      </c>
      <c r="L3320" s="45">
        <f>MIN(1,MAX(0,(A3320-I3320+1)*RampSpeed/J3320))</f>
        <v/>
      </c>
      <c r="M3320" s="45">
        <f>IF(A3320&lt;I3320,0,IF(K3320="S-curve",L3320*L3320*(3-2*L3320),L3320))</f>
        <v/>
      </c>
      <c r="N3320" s="45">
        <f>1+(INDEX(SeasonIdx,A3320)-1)*SeasonAmp</f>
        <v/>
      </c>
      <c r="O3320" s="45">
        <f>IFERROR(INDEX(PSPct,MATCH(E3320&amp;"|"&amp;G3320,PSKey,0)),0)</f>
        <v/>
      </c>
      <c r="P3320" s="46" t="n">
        <v>0</v>
      </c>
      <c r="Q3320" s="46">
        <f>INDEX(OnlineUnitsCol,A3320)*O3320*(1+OnlineGrowth)*N3320*H3320*IF(A3320&gt;=I3320,1,0)</f>
        <v/>
      </c>
      <c r="R3320" s="46">
        <f>Q3320*INDEX(FmtCansPerPack,MATCH(F3320,FmtName,0))/INDEX(FmtCansPerCase,MATCH(F3320,FmtName,0))</f>
        <v/>
      </c>
      <c r="S3320" s="46">
        <f>R3320*INDEX(FmtCansPerCase,MATCH(F3320,FmtName,0))</f>
        <v/>
      </c>
      <c r="T3320" s="46">
        <f>S3320/INDEX(FmtCansPerPack,MATCH(F3320,FmtName,0))</f>
        <v/>
      </c>
      <c r="U3320" s="47">
        <f>INDEX(ProvOnline,MATCH(G3320,ProvCode,0))*(1+PriceIndex)</f>
        <v/>
      </c>
      <c r="V3320" s="47">
        <f>Q3320*U3320*INDEX(FmtBlendedPriceIdx,MATCH(F3320,FmtName,0))</f>
        <v/>
      </c>
      <c r="W3320" s="47">
        <f>V3320</f>
        <v/>
      </c>
      <c r="X3320" s="47">
        <f>IF(GrossBasis="Wholesale",V3320,W3320)</f>
        <v/>
      </c>
      <c r="Y3320" s="47">
        <f>R3320*INDEX(FmtBlendedCogs,MATCH(F3320,FmtName,0))</f>
        <v/>
      </c>
      <c r="Z3320" s="47">
        <f>X3320-Y3320</f>
        <v/>
      </c>
    </row>
    <row r="3321">
      <c r="A3321" t="n">
        <v>34</v>
      </c>
      <c r="B3321" s="44">
        <f>FiscalStart+(A3321-1)*7</f>
        <v/>
      </c>
      <c r="C3321">
        <f>TEXT(B3321,"mmm yyyy")</f>
        <v/>
      </c>
      <c r="D3321">
        <f>"Q"&amp;(INT((A3321-1)/13)+1)</f>
        <v/>
      </c>
      <c r="E3321" t="inlineStr">
        <is>
          <t>Online</t>
        </is>
      </c>
      <c r="F3321">
        <f>IFERROR(INDEX(ChFormat,MATCH(E3321,ChName,0)),"")</f>
        <v/>
      </c>
      <c r="G3321" t="inlineStr">
        <is>
          <t>SK</t>
        </is>
      </c>
      <c r="H3321">
        <f>IF(A3321&lt;=NWeeks,1,0)</f>
        <v/>
      </c>
      <c r="I3321">
        <f>INDEX(ChLaunch,MATCH(E3321,ChName,0))</f>
        <v/>
      </c>
      <c r="J3321">
        <f>INDEX(ChWeeksFull,MATCH(E3321,ChName,0))</f>
        <v/>
      </c>
      <c r="K3321">
        <f>INDEX(ChRamp,MATCH(E3321,ChName,0))</f>
        <v/>
      </c>
      <c r="L3321" s="45">
        <f>MIN(1,MAX(0,(A3321-I3321+1)*RampSpeed/J3321))</f>
        <v/>
      </c>
      <c r="M3321" s="45">
        <f>IF(A3321&lt;I3321,0,IF(K3321="S-curve",L3321*L3321*(3-2*L3321),L3321))</f>
        <v/>
      </c>
      <c r="N3321" s="45">
        <f>1+(INDEX(SeasonIdx,A3321)-1)*SeasonAmp</f>
        <v/>
      </c>
      <c r="O3321" s="45">
        <f>IFERROR(INDEX(PSPct,MATCH(E3321&amp;"|"&amp;G3321,PSKey,0)),0)</f>
        <v/>
      </c>
      <c r="P3321" s="46" t="n">
        <v>0</v>
      </c>
      <c r="Q3321" s="46">
        <f>INDEX(OnlineUnitsCol,A3321)*O3321*(1+OnlineGrowth)*N3321*H3321*IF(A3321&gt;=I3321,1,0)</f>
        <v/>
      </c>
      <c r="R3321" s="46">
        <f>Q3321*INDEX(FmtCansPerPack,MATCH(F3321,FmtName,0))/INDEX(FmtCansPerCase,MATCH(F3321,FmtName,0))</f>
        <v/>
      </c>
      <c r="S3321" s="46">
        <f>R3321*INDEX(FmtCansPerCase,MATCH(F3321,FmtName,0))</f>
        <v/>
      </c>
      <c r="T3321" s="46">
        <f>S3321/INDEX(FmtCansPerPack,MATCH(F3321,FmtName,0))</f>
        <v/>
      </c>
      <c r="U3321" s="47">
        <f>INDEX(ProvOnline,MATCH(G3321,ProvCode,0))*(1+PriceIndex)</f>
        <v/>
      </c>
      <c r="V3321" s="47">
        <f>Q3321*U3321*INDEX(FmtBlendedPriceIdx,MATCH(F3321,FmtName,0))</f>
        <v/>
      </c>
      <c r="W3321" s="47">
        <f>V3321</f>
        <v/>
      </c>
      <c r="X3321" s="47">
        <f>IF(GrossBasis="Wholesale",V3321,W3321)</f>
        <v/>
      </c>
      <c r="Y3321" s="47">
        <f>R3321*INDEX(FmtBlendedCogs,MATCH(F3321,FmtName,0))</f>
        <v/>
      </c>
      <c r="Z3321" s="47">
        <f>X3321-Y3321</f>
        <v/>
      </c>
    </row>
    <row r="3322">
      <c r="A3322" t="n">
        <v>35</v>
      </c>
      <c r="B3322" s="44">
        <f>FiscalStart+(A3322-1)*7</f>
        <v/>
      </c>
      <c r="C3322">
        <f>TEXT(B3322,"mmm yyyy")</f>
        <v/>
      </c>
      <c r="D3322">
        <f>"Q"&amp;(INT((A3322-1)/13)+1)</f>
        <v/>
      </c>
      <c r="E3322" t="inlineStr">
        <is>
          <t>Online</t>
        </is>
      </c>
      <c r="F3322">
        <f>IFERROR(INDEX(ChFormat,MATCH(E3322,ChName,0)),"")</f>
        <v/>
      </c>
      <c r="G3322" t="inlineStr">
        <is>
          <t>SK</t>
        </is>
      </c>
      <c r="H3322">
        <f>IF(A3322&lt;=NWeeks,1,0)</f>
        <v/>
      </c>
      <c r="I3322">
        <f>INDEX(ChLaunch,MATCH(E3322,ChName,0))</f>
        <v/>
      </c>
      <c r="J3322">
        <f>INDEX(ChWeeksFull,MATCH(E3322,ChName,0))</f>
        <v/>
      </c>
      <c r="K3322">
        <f>INDEX(ChRamp,MATCH(E3322,ChName,0))</f>
        <v/>
      </c>
      <c r="L3322" s="45">
        <f>MIN(1,MAX(0,(A3322-I3322+1)*RampSpeed/J3322))</f>
        <v/>
      </c>
      <c r="M3322" s="45">
        <f>IF(A3322&lt;I3322,0,IF(K3322="S-curve",L3322*L3322*(3-2*L3322),L3322))</f>
        <v/>
      </c>
      <c r="N3322" s="45">
        <f>1+(INDEX(SeasonIdx,A3322)-1)*SeasonAmp</f>
        <v/>
      </c>
      <c r="O3322" s="45">
        <f>IFERROR(INDEX(PSPct,MATCH(E3322&amp;"|"&amp;G3322,PSKey,0)),0)</f>
        <v/>
      </c>
      <c r="P3322" s="46" t="n">
        <v>0</v>
      </c>
      <c r="Q3322" s="46">
        <f>INDEX(OnlineUnitsCol,A3322)*O3322*(1+OnlineGrowth)*N3322*H3322*IF(A3322&gt;=I3322,1,0)</f>
        <v/>
      </c>
      <c r="R3322" s="46">
        <f>Q3322*INDEX(FmtCansPerPack,MATCH(F3322,FmtName,0))/INDEX(FmtCansPerCase,MATCH(F3322,FmtName,0))</f>
        <v/>
      </c>
      <c r="S3322" s="46">
        <f>R3322*INDEX(FmtCansPerCase,MATCH(F3322,FmtName,0))</f>
        <v/>
      </c>
      <c r="T3322" s="46">
        <f>S3322/INDEX(FmtCansPerPack,MATCH(F3322,FmtName,0))</f>
        <v/>
      </c>
      <c r="U3322" s="47">
        <f>INDEX(ProvOnline,MATCH(G3322,ProvCode,0))*(1+PriceIndex)</f>
        <v/>
      </c>
      <c r="V3322" s="47">
        <f>Q3322*U3322*INDEX(FmtBlendedPriceIdx,MATCH(F3322,FmtName,0))</f>
        <v/>
      </c>
      <c r="W3322" s="47">
        <f>V3322</f>
        <v/>
      </c>
      <c r="X3322" s="47">
        <f>IF(GrossBasis="Wholesale",V3322,W3322)</f>
        <v/>
      </c>
      <c r="Y3322" s="47">
        <f>R3322*INDEX(FmtBlendedCogs,MATCH(F3322,FmtName,0))</f>
        <v/>
      </c>
      <c r="Z3322" s="47">
        <f>X3322-Y3322</f>
        <v/>
      </c>
    </row>
    <row r="3323">
      <c r="A3323" t="n">
        <v>36</v>
      </c>
      <c r="B3323" s="44">
        <f>FiscalStart+(A3323-1)*7</f>
        <v/>
      </c>
      <c r="C3323">
        <f>TEXT(B3323,"mmm yyyy")</f>
        <v/>
      </c>
      <c r="D3323">
        <f>"Q"&amp;(INT((A3323-1)/13)+1)</f>
        <v/>
      </c>
      <c r="E3323" t="inlineStr">
        <is>
          <t>Online</t>
        </is>
      </c>
      <c r="F3323">
        <f>IFERROR(INDEX(ChFormat,MATCH(E3323,ChName,0)),"")</f>
        <v/>
      </c>
      <c r="G3323" t="inlineStr">
        <is>
          <t>SK</t>
        </is>
      </c>
      <c r="H3323">
        <f>IF(A3323&lt;=NWeeks,1,0)</f>
        <v/>
      </c>
      <c r="I3323">
        <f>INDEX(ChLaunch,MATCH(E3323,ChName,0))</f>
        <v/>
      </c>
      <c r="J3323">
        <f>INDEX(ChWeeksFull,MATCH(E3323,ChName,0))</f>
        <v/>
      </c>
      <c r="K3323">
        <f>INDEX(ChRamp,MATCH(E3323,ChName,0))</f>
        <v/>
      </c>
      <c r="L3323" s="45">
        <f>MIN(1,MAX(0,(A3323-I3323+1)*RampSpeed/J3323))</f>
        <v/>
      </c>
      <c r="M3323" s="45">
        <f>IF(A3323&lt;I3323,0,IF(K3323="S-curve",L3323*L3323*(3-2*L3323),L3323))</f>
        <v/>
      </c>
      <c r="N3323" s="45">
        <f>1+(INDEX(SeasonIdx,A3323)-1)*SeasonAmp</f>
        <v/>
      </c>
      <c r="O3323" s="45">
        <f>IFERROR(INDEX(PSPct,MATCH(E3323&amp;"|"&amp;G3323,PSKey,0)),0)</f>
        <v/>
      </c>
      <c r="P3323" s="46" t="n">
        <v>0</v>
      </c>
      <c r="Q3323" s="46">
        <f>INDEX(OnlineUnitsCol,A3323)*O3323*(1+OnlineGrowth)*N3323*H3323*IF(A3323&gt;=I3323,1,0)</f>
        <v/>
      </c>
      <c r="R3323" s="46">
        <f>Q3323*INDEX(FmtCansPerPack,MATCH(F3323,FmtName,0))/INDEX(FmtCansPerCase,MATCH(F3323,FmtName,0))</f>
        <v/>
      </c>
      <c r="S3323" s="46">
        <f>R3323*INDEX(FmtCansPerCase,MATCH(F3323,FmtName,0))</f>
        <v/>
      </c>
      <c r="T3323" s="46">
        <f>S3323/INDEX(FmtCansPerPack,MATCH(F3323,FmtName,0))</f>
        <v/>
      </c>
      <c r="U3323" s="47">
        <f>INDEX(ProvOnline,MATCH(G3323,ProvCode,0))*(1+PriceIndex)</f>
        <v/>
      </c>
      <c r="V3323" s="47">
        <f>Q3323*U3323*INDEX(FmtBlendedPriceIdx,MATCH(F3323,FmtName,0))</f>
        <v/>
      </c>
      <c r="W3323" s="47">
        <f>V3323</f>
        <v/>
      </c>
      <c r="X3323" s="47">
        <f>IF(GrossBasis="Wholesale",V3323,W3323)</f>
        <v/>
      </c>
      <c r="Y3323" s="47">
        <f>R3323*INDEX(FmtBlendedCogs,MATCH(F3323,FmtName,0))</f>
        <v/>
      </c>
      <c r="Z3323" s="47">
        <f>X3323-Y3323</f>
        <v/>
      </c>
    </row>
    <row r="3324">
      <c r="A3324" t="n">
        <v>37</v>
      </c>
      <c r="B3324" s="44">
        <f>FiscalStart+(A3324-1)*7</f>
        <v/>
      </c>
      <c r="C3324">
        <f>TEXT(B3324,"mmm yyyy")</f>
        <v/>
      </c>
      <c r="D3324">
        <f>"Q"&amp;(INT((A3324-1)/13)+1)</f>
        <v/>
      </c>
      <c r="E3324" t="inlineStr">
        <is>
          <t>Online</t>
        </is>
      </c>
      <c r="F3324">
        <f>IFERROR(INDEX(ChFormat,MATCH(E3324,ChName,0)),"")</f>
        <v/>
      </c>
      <c r="G3324" t="inlineStr">
        <is>
          <t>SK</t>
        </is>
      </c>
      <c r="H3324">
        <f>IF(A3324&lt;=NWeeks,1,0)</f>
        <v/>
      </c>
      <c r="I3324">
        <f>INDEX(ChLaunch,MATCH(E3324,ChName,0))</f>
        <v/>
      </c>
      <c r="J3324">
        <f>INDEX(ChWeeksFull,MATCH(E3324,ChName,0))</f>
        <v/>
      </c>
      <c r="K3324">
        <f>INDEX(ChRamp,MATCH(E3324,ChName,0))</f>
        <v/>
      </c>
      <c r="L3324" s="45">
        <f>MIN(1,MAX(0,(A3324-I3324+1)*RampSpeed/J3324))</f>
        <v/>
      </c>
      <c r="M3324" s="45">
        <f>IF(A3324&lt;I3324,0,IF(K3324="S-curve",L3324*L3324*(3-2*L3324),L3324))</f>
        <v/>
      </c>
      <c r="N3324" s="45">
        <f>1+(INDEX(SeasonIdx,A3324)-1)*SeasonAmp</f>
        <v/>
      </c>
      <c r="O3324" s="45">
        <f>IFERROR(INDEX(PSPct,MATCH(E3324&amp;"|"&amp;G3324,PSKey,0)),0)</f>
        <v/>
      </c>
      <c r="P3324" s="46" t="n">
        <v>0</v>
      </c>
      <c r="Q3324" s="46">
        <f>INDEX(OnlineUnitsCol,A3324)*O3324*(1+OnlineGrowth)*N3324*H3324*IF(A3324&gt;=I3324,1,0)</f>
        <v/>
      </c>
      <c r="R3324" s="46">
        <f>Q3324*INDEX(FmtCansPerPack,MATCH(F3324,FmtName,0))/INDEX(FmtCansPerCase,MATCH(F3324,FmtName,0))</f>
        <v/>
      </c>
      <c r="S3324" s="46">
        <f>R3324*INDEX(FmtCansPerCase,MATCH(F3324,FmtName,0))</f>
        <v/>
      </c>
      <c r="T3324" s="46">
        <f>S3324/INDEX(FmtCansPerPack,MATCH(F3324,FmtName,0))</f>
        <v/>
      </c>
      <c r="U3324" s="47">
        <f>INDEX(ProvOnline,MATCH(G3324,ProvCode,0))*(1+PriceIndex)</f>
        <v/>
      </c>
      <c r="V3324" s="47">
        <f>Q3324*U3324*INDEX(FmtBlendedPriceIdx,MATCH(F3324,FmtName,0))</f>
        <v/>
      </c>
      <c r="W3324" s="47">
        <f>V3324</f>
        <v/>
      </c>
      <c r="X3324" s="47">
        <f>IF(GrossBasis="Wholesale",V3324,W3324)</f>
        <v/>
      </c>
      <c r="Y3324" s="47">
        <f>R3324*INDEX(FmtBlendedCogs,MATCH(F3324,FmtName,0))</f>
        <v/>
      </c>
      <c r="Z3324" s="47">
        <f>X3324-Y3324</f>
        <v/>
      </c>
    </row>
    <row r="3325">
      <c r="A3325" t="n">
        <v>38</v>
      </c>
      <c r="B3325" s="44">
        <f>FiscalStart+(A3325-1)*7</f>
        <v/>
      </c>
      <c r="C3325">
        <f>TEXT(B3325,"mmm yyyy")</f>
        <v/>
      </c>
      <c r="D3325">
        <f>"Q"&amp;(INT((A3325-1)/13)+1)</f>
        <v/>
      </c>
      <c r="E3325" t="inlineStr">
        <is>
          <t>Online</t>
        </is>
      </c>
      <c r="F3325">
        <f>IFERROR(INDEX(ChFormat,MATCH(E3325,ChName,0)),"")</f>
        <v/>
      </c>
      <c r="G3325" t="inlineStr">
        <is>
          <t>SK</t>
        </is>
      </c>
      <c r="H3325">
        <f>IF(A3325&lt;=NWeeks,1,0)</f>
        <v/>
      </c>
      <c r="I3325">
        <f>INDEX(ChLaunch,MATCH(E3325,ChName,0))</f>
        <v/>
      </c>
      <c r="J3325">
        <f>INDEX(ChWeeksFull,MATCH(E3325,ChName,0))</f>
        <v/>
      </c>
      <c r="K3325">
        <f>INDEX(ChRamp,MATCH(E3325,ChName,0))</f>
        <v/>
      </c>
      <c r="L3325" s="45">
        <f>MIN(1,MAX(0,(A3325-I3325+1)*RampSpeed/J3325))</f>
        <v/>
      </c>
      <c r="M3325" s="45">
        <f>IF(A3325&lt;I3325,0,IF(K3325="S-curve",L3325*L3325*(3-2*L3325),L3325))</f>
        <v/>
      </c>
      <c r="N3325" s="45">
        <f>1+(INDEX(SeasonIdx,A3325)-1)*SeasonAmp</f>
        <v/>
      </c>
      <c r="O3325" s="45">
        <f>IFERROR(INDEX(PSPct,MATCH(E3325&amp;"|"&amp;G3325,PSKey,0)),0)</f>
        <v/>
      </c>
      <c r="P3325" s="46" t="n">
        <v>0</v>
      </c>
      <c r="Q3325" s="46">
        <f>INDEX(OnlineUnitsCol,A3325)*O3325*(1+OnlineGrowth)*N3325*H3325*IF(A3325&gt;=I3325,1,0)</f>
        <v/>
      </c>
      <c r="R3325" s="46">
        <f>Q3325*INDEX(FmtCansPerPack,MATCH(F3325,FmtName,0))/INDEX(FmtCansPerCase,MATCH(F3325,FmtName,0))</f>
        <v/>
      </c>
      <c r="S3325" s="46">
        <f>R3325*INDEX(FmtCansPerCase,MATCH(F3325,FmtName,0))</f>
        <v/>
      </c>
      <c r="T3325" s="46">
        <f>S3325/INDEX(FmtCansPerPack,MATCH(F3325,FmtName,0))</f>
        <v/>
      </c>
      <c r="U3325" s="47">
        <f>INDEX(ProvOnline,MATCH(G3325,ProvCode,0))*(1+PriceIndex)</f>
        <v/>
      </c>
      <c r="V3325" s="47">
        <f>Q3325*U3325*INDEX(FmtBlendedPriceIdx,MATCH(F3325,FmtName,0))</f>
        <v/>
      </c>
      <c r="W3325" s="47">
        <f>V3325</f>
        <v/>
      </c>
      <c r="X3325" s="47">
        <f>IF(GrossBasis="Wholesale",V3325,W3325)</f>
        <v/>
      </c>
      <c r="Y3325" s="47">
        <f>R3325*INDEX(FmtBlendedCogs,MATCH(F3325,FmtName,0))</f>
        <v/>
      </c>
      <c r="Z3325" s="47">
        <f>X3325-Y3325</f>
        <v/>
      </c>
    </row>
    <row r="3326">
      <c r="A3326" t="n">
        <v>39</v>
      </c>
      <c r="B3326" s="44">
        <f>FiscalStart+(A3326-1)*7</f>
        <v/>
      </c>
      <c r="C3326">
        <f>TEXT(B3326,"mmm yyyy")</f>
        <v/>
      </c>
      <c r="D3326">
        <f>"Q"&amp;(INT((A3326-1)/13)+1)</f>
        <v/>
      </c>
      <c r="E3326" t="inlineStr">
        <is>
          <t>Online</t>
        </is>
      </c>
      <c r="F3326">
        <f>IFERROR(INDEX(ChFormat,MATCH(E3326,ChName,0)),"")</f>
        <v/>
      </c>
      <c r="G3326" t="inlineStr">
        <is>
          <t>SK</t>
        </is>
      </c>
      <c r="H3326">
        <f>IF(A3326&lt;=NWeeks,1,0)</f>
        <v/>
      </c>
      <c r="I3326">
        <f>INDEX(ChLaunch,MATCH(E3326,ChName,0))</f>
        <v/>
      </c>
      <c r="J3326">
        <f>INDEX(ChWeeksFull,MATCH(E3326,ChName,0))</f>
        <v/>
      </c>
      <c r="K3326">
        <f>INDEX(ChRamp,MATCH(E3326,ChName,0))</f>
        <v/>
      </c>
      <c r="L3326" s="45">
        <f>MIN(1,MAX(0,(A3326-I3326+1)*RampSpeed/J3326))</f>
        <v/>
      </c>
      <c r="M3326" s="45">
        <f>IF(A3326&lt;I3326,0,IF(K3326="S-curve",L3326*L3326*(3-2*L3326),L3326))</f>
        <v/>
      </c>
      <c r="N3326" s="45">
        <f>1+(INDEX(SeasonIdx,A3326)-1)*SeasonAmp</f>
        <v/>
      </c>
      <c r="O3326" s="45">
        <f>IFERROR(INDEX(PSPct,MATCH(E3326&amp;"|"&amp;G3326,PSKey,0)),0)</f>
        <v/>
      </c>
      <c r="P3326" s="46" t="n">
        <v>0</v>
      </c>
      <c r="Q3326" s="46">
        <f>INDEX(OnlineUnitsCol,A3326)*O3326*(1+OnlineGrowth)*N3326*H3326*IF(A3326&gt;=I3326,1,0)</f>
        <v/>
      </c>
      <c r="R3326" s="46">
        <f>Q3326*INDEX(FmtCansPerPack,MATCH(F3326,FmtName,0))/INDEX(FmtCansPerCase,MATCH(F3326,FmtName,0))</f>
        <v/>
      </c>
      <c r="S3326" s="46">
        <f>R3326*INDEX(FmtCansPerCase,MATCH(F3326,FmtName,0))</f>
        <v/>
      </c>
      <c r="T3326" s="46">
        <f>S3326/INDEX(FmtCansPerPack,MATCH(F3326,FmtName,0))</f>
        <v/>
      </c>
      <c r="U3326" s="47">
        <f>INDEX(ProvOnline,MATCH(G3326,ProvCode,0))*(1+PriceIndex)</f>
        <v/>
      </c>
      <c r="V3326" s="47">
        <f>Q3326*U3326*INDEX(FmtBlendedPriceIdx,MATCH(F3326,FmtName,0))</f>
        <v/>
      </c>
      <c r="W3326" s="47">
        <f>V3326</f>
        <v/>
      </c>
      <c r="X3326" s="47">
        <f>IF(GrossBasis="Wholesale",V3326,W3326)</f>
        <v/>
      </c>
      <c r="Y3326" s="47">
        <f>R3326*INDEX(FmtBlendedCogs,MATCH(F3326,FmtName,0))</f>
        <v/>
      </c>
      <c r="Z3326" s="47">
        <f>X3326-Y3326</f>
        <v/>
      </c>
    </row>
    <row r="3327">
      <c r="A3327" t="n">
        <v>40</v>
      </c>
      <c r="B3327" s="44">
        <f>FiscalStart+(A3327-1)*7</f>
        <v/>
      </c>
      <c r="C3327">
        <f>TEXT(B3327,"mmm yyyy")</f>
        <v/>
      </c>
      <c r="D3327">
        <f>"Q"&amp;(INT((A3327-1)/13)+1)</f>
        <v/>
      </c>
      <c r="E3327" t="inlineStr">
        <is>
          <t>Online</t>
        </is>
      </c>
      <c r="F3327">
        <f>IFERROR(INDEX(ChFormat,MATCH(E3327,ChName,0)),"")</f>
        <v/>
      </c>
      <c r="G3327" t="inlineStr">
        <is>
          <t>SK</t>
        </is>
      </c>
      <c r="H3327">
        <f>IF(A3327&lt;=NWeeks,1,0)</f>
        <v/>
      </c>
      <c r="I3327">
        <f>INDEX(ChLaunch,MATCH(E3327,ChName,0))</f>
        <v/>
      </c>
      <c r="J3327">
        <f>INDEX(ChWeeksFull,MATCH(E3327,ChName,0))</f>
        <v/>
      </c>
      <c r="K3327">
        <f>INDEX(ChRamp,MATCH(E3327,ChName,0))</f>
        <v/>
      </c>
      <c r="L3327" s="45">
        <f>MIN(1,MAX(0,(A3327-I3327+1)*RampSpeed/J3327))</f>
        <v/>
      </c>
      <c r="M3327" s="45">
        <f>IF(A3327&lt;I3327,0,IF(K3327="S-curve",L3327*L3327*(3-2*L3327),L3327))</f>
        <v/>
      </c>
      <c r="N3327" s="45">
        <f>1+(INDEX(SeasonIdx,A3327)-1)*SeasonAmp</f>
        <v/>
      </c>
      <c r="O3327" s="45">
        <f>IFERROR(INDEX(PSPct,MATCH(E3327&amp;"|"&amp;G3327,PSKey,0)),0)</f>
        <v/>
      </c>
      <c r="P3327" s="46" t="n">
        <v>0</v>
      </c>
      <c r="Q3327" s="46">
        <f>INDEX(OnlineUnitsCol,A3327)*O3327*(1+OnlineGrowth)*N3327*H3327*IF(A3327&gt;=I3327,1,0)</f>
        <v/>
      </c>
      <c r="R3327" s="46">
        <f>Q3327*INDEX(FmtCansPerPack,MATCH(F3327,FmtName,0))/INDEX(FmtCansPerCase,MATCH(F3327,FmtName,0))</f>
        <v/>
      </c>
      <c r="S3327" s="46">
        <f>R3327*INDEX(FmtCansPerCase,MATCH(F3327,FmtName,0))</f>
        <v/>
      </c>
      <c r="T3327" s="46">
        <f>S3327/INDEX(FmtCansPerPack,MATCH(F3327,FmtName,0))</f>
        <v/>
      </c>
      <c r="U3327" s="47">
        <f>INDEX(ProvOnline,MATCH(G3327,ProvCode,0))*(1+PriceIndex)</f>
        <v/>
      </c>
      <c r="V3327" s="47">
        <f>Q3327*U3327*INDEX(FmtBlendedPriceIdx,MATCH(F3327,FmtName,0))</f>
        <v/>
      </c>
      <c r="W3327" s="47">
        <f>V3327</f>
        <v/>
      </c>
      <c r="X3327" s="47">
        <f>IF(GrossBasis="Wholesale",V3327,W3327)</f>
        <v/>
      </c>
      <c r="Y3327" s="47">
        <f>R3327*INDEX(FmtBlendedCogs,MATCH(F3327,FmtName,0))</f>
        <v/>
      </c>
      <c r="Z3327" s="47">
        <f>X3327-Y3327</f>
        <v/>
      </c>
    </row>
    <row r="3328">
      <c r="A3328" t="n">
        <v>41</v>
      </c>
      <c r="B3328" s="44">
        <f>FiscalStart+(A3328-1)*7</f>
        <v/>
      </c>
      <c r="C3328">
        <f>TEXT(B3328,"mmm yyyy")</f>
        <v/>
      </c>
      <c r="D3328">
        <f>"Q"&amp;(INT((A3328-1)/13)+1)</f>
        <v/>
      </c>
      <c r="E3328" t="inlineStr">
        <is>
          <t>Online</t>
        </is>
      </c>
      <c r="F3328">
        <f>IFERROR(INDEX(ChFormat,MATCH(E3328,ChName,0)),"")</f>
        <v/>
      </c>
      <c r="G3328" t="inlineStr">
        <is>
          <t>SK</t>
        </is>
      </c>
      <c r="H3328">
        <f>IF(A3328&lt;=NWeeks,1,0)</f>
        <v/>
      </c>
      <c r="I3328">
        <f>INDEX(ChLaunch,MATCH(E3328,ChName,0))</f>
        <v/>
      </c>
      <c r="J3328">
        <f>INDEX(ChWeeksFull,MATCH(E3328,ChName,0))</f>
        <v/>
      </c>
      <c r="K3328">
        <f>INDEX(ChRamp,MATCH(E3328,ChName,0))</f>
        <v/>
      </c>
      <c r="L3328" s="45">
        <f>MIN(1,MAX(0,(A3328-I3328+1)*RampSpeed/J3328))</f>
        <v/>
      </c>
      <c r="M3328" s="45">
        <f>IF(A3328&lt;I3328,0,IF(K3328="S-curve",L3328*L3328*(3-2*L3328),L3328))</f>
        <v/>
      </c>
      <c r="N3328" s="45">
        <f>1+(INDEX(SeasonIdx,A3328)-1)*SeasonAmp</f>
        <v/>
      </c>
      <c r="O3328" s="45">
        <f>IFERROR(INDEX(PSPct,MATCH(E3328&amp;"|"&amp;G3328,PSKey,0)),0)</f>
        <v/>
      </c>
      <c r="P3328" s="46" t="n">
        <v>0</v>
      </c>
      <c r="Q3328" s="46">
        <f>INDEX(OnlineUnitsCol,A3328)*O3328*(1+OnlineGrowth)*N3328*H3328*IF(A3328&gt;=I3328,1,0)</f>
        <v/>
      </c>
      <c r="R3328" s="46">
        <f>Q3328*INDEX(FmtCansPerPack,MATCH(F3328,FmtName,0))/INDEX(FmtCansPerCase,MATCH(F3328,FmtName,0))</f>
        <v/>
      </c>
      <c r="S3328" s="46">
        <f>R3328*INDEX(FmtCansPerCase,MATCH(F3328,FmtName,0))</f>
        <v/>
      </c>
      <c r="T3328" s="46">
        <f>S3328/INDEX(FmtCansPerPack,MATCH(F3328,FmtName,0))</f>
        <v/>
      </c>
      <c r="U3328" s="47">
        <f>INDEX(ProvOnline,MATCH(G3328,ProvCode,0))*(1+PriceIndex)</f>
        <v/>
      </c>
      <c r="V3328" s="47">
        <f>Q3328*U3328*INDEX(FmtBlendedPriceIdx,MATCH(F3328,FmtName,0))</f>
        <v/>
      </c>
      <c r="W3328" s="47">
        <f>V3328</f>
        <v/>
      </c>
      <c r="X3328" s="47">
        <f>IF(GrossBasis="Wholesale",V3328,W3328)</f>
        <v/>
      </c>
      <c r="Y3328" s="47">
        <f>R3328*INDEX(FmtBlendedCogs,MATCH(F3328,FmtName,0))</f>
        <v/>
      </c>
      <c r="Z3328" s="47">
        <f>X3328-Y3328</f>
        <v/>
      </c>
    </row>
    <row r="3329">
      <c r="A3329" t="n">
        <v>42</v>
      </c>
      <c r="B3329" s="44">
        <f>FiscalStart+(A3329-1)*7</f>
        <v/>
      </c>
      <c r="C3329">
        <f>TEXT(B3329,"mmm yyyy")</f>
        <v/>
      </c>
      <c r="D3329">
        <f>"Q"&amp;(INT((A3329-1)/13)+1)</f>
        <v/>
      </c>
      <c r="E3329" t="inlineStr">
        <is>
          <t>Online</t>
        </is>
      </c>
      <c r="F3329">
        <f>IFERROR(INDEX(ChFormat,MATCH(E3329,ChName,0)),"")</f>
        <v/>
      </c>
      <c r="G3329" t="inlineStr">
        <is>
          <t>SK</t>
        </is>
      </c>
      <c r="H3329">
        <f>IF(A3329&lt;=NWeeks,1,0)</f>
        <v/>
      </c>
      <c r="I3329">
        <f>INDEX(ChLaunch,MATCH(E3329,ChName,0))</f>
        <v/>
      </c>
      <c r="J3329">
        <f>INDEX(ChWeeksFull,MATCH(E3329,ChName,0))</f>
        <v/>
      </c>
      <c r="K3329">
        <f>INDEX(ChRamp,MATCH(E3329,ChName,0))</f>
        <v/>
      </c>
      <c r="L3329" s="45">
        <f>MIN(1,MAX(0,(A3329-I3329+1)*RampSpeed/J3329))</f>
        <v/>
      </c>
      <c r="M3329" s="45">
        <f>IF(A3329&lt;I3329,0,IF(K3329="S-curve",L3329*L3329*(3-2*L3329),L3329))</f>
        <v/>
      </c>
      <c r="N3329" s="45">
        <f>1+(INDEX(SeasonIdx,A3329)-1)*SeasonAmp</f>
        <v/>
      </c>
      <c r="O3329" s="45">
        <f>IFERROR(INDEX(PSPct,MATCH(E3329&amp;"|"&amp;G3329,PSKey,0)),0)</f>
        <v/>
      </c>
      <c r="P3329" s="46" t="n">
        <v>0</v>
      </c>
      <c r="Q3329" s="46">
        <f>INDEX(OnlineUnitsCol,A3329)*O3329*(1+OnlineGrowth)*N3329*H3329*IF(A3329&gt;=I3329,1,0)</f>
        <v/>
      </c>
      <c r="R3329" s="46">
        <f>Q3329*INDEX(FmtCansPerPack,MATCH(F3329,FmtName,0))/INDEX(FmtCansPerCase,MATCH(F3329,FmtName,0))</f>
        <v/>
      </c>
      <c r="S3329" s="46">
        <f>R3329*INDEX(FmtCansPerCase,MATCH(F3329,FmtName,0))</f>
        <v/>
      </c>
      <c r="T3329" s="46">
        <f>S3329/INDEX(FmtCansPerPack,MATCH(F3329,FmtName,0))</f>
        <v/>
      </c>
      <c r="U3329" s="47">
        <f>INDEX(ProvOnline,MATCH(G3329,ProvCode,0))*(1+PriceIndex)</f>
        <v/>
      </c>
      <c r="V3329" s="47">
        <f>Q3329*U3329*INDEX(FmtBlendedPriceIdx,MATCH(F3329,FmtName,0))</f>
        <v/>
      </c>
      <c r="W3329" s="47">
        <f>V3329</f>
        <v/>
      </c>
      <c r="X3329" s="47">
        <f>IF(GrossBasis="Wholesale",V3329,W3329)</f>
        <v/>
      </c>
      <c r="Y3329" s="47">
        <f>R3329*INDEX(FmtBlendedCogs,MATCH(F3329,FmtName,0))</f>
        <v/>
      </c>
      <c r="Z3329" s="47">
        <f>X3329-Y3329</f>
        <v/>
      </c>
    </row>
    <row r="3330">
      <c r="A3330" t="n">
        <v>43</v>
      </c>
      <c r="B3330" s="44">
        <f>FiscalStart+(A3330-1)*7</f>
        <v/>
      </c>
      <c r="C3330">
        <f>TEXT(B3330,"mmm yyyy")</f>
        <v/>
      </c>
      <c r="D3330">
        <f>"Q"&amp;(INT((A3330-1)/13)+1)</f>
        <v/>
      </c>
      <c r="E3330" t="inlineStr">
        <is>
          <t>Online</t>
        </is>
      </c>
      <c r="F3330">
        <f>IFERROR(INDEX(ChFormat,MATCH(E3330,ChName,0)),"")</f>
        <v/>
      </c>
      <c r="G3330" t="inlineStr">
        <is>
          <t>SK</t>
        </is>
      </c>
      <c r="H3330">
        <f>IF(A3330&lt;=NWeeks,1,0)</f>
        <v/>
      </c>
      <c r="I3330">
        <f>INDEX(ChLaunch,MATCH(E3330,ChName,0))</f>
        <v/>
      </c>
      <c r="J3330">
        <f>INDEX(ChWeeksFull,MATCH(E3330,ChName,0))</f>
        <v/>
      </c>
      <c r="K3330">
        <f>INDEX(ChRamp,MATCH(E3330,ChName,0))</f>
        <v/>
      </c>
      <c r="L3330" s="45">
        <f>MIN(1,MAX(0,(A3330-I3330+1)*RampSpeed/J3330))</f>
        <v/>
      </c>
      <c r="M3330" s="45">
        <f>IF(A3330&lt;I3330,0,IF(K3330="S-curve",L3330*L3330*(3-2*L3330),L3330))</f>
        <v/>
      </c>
      <c r="N3330" s="45">
        <f>1+(INDEX(SeasonIdx,A3330)-1)*SeasonAmp</f>
        <v/>
      </c>
      <c r="O3330" s="45">
        <f>IFERROR(INDEX(PSPct,MATCH(E3330&amp;"|"&amp;G3330,PSKey,0)),0)</f>
        <v/>
      </c>
      <c r="P3330" s="46" t="n">
        <v>0</v>
      </c>
      <c r="Q3330" s="46">
        <f>INDEX(OnlineUnitsCol,A3330)*O3330*(1+OnlineGrowth)*N3330*H3330*IF(A3330&gt;=I3330,1,0)</f>
        <v/>
      </c>
      <c r="R3330" s="46">
        <f>Q3330*INDEX(FmtCansPerPack,MATCH(F3330,FmtName,0))/INDEX(FmtCansPerCase,MATCH(F3330,FmtName,0))</f>
        <v/>
      </c>
      <c r="S3330" s="46">
        <f>R3330*INDEX(FmtCansPerCase,MATCH(F3330,FmtName,0))</f>
        <v/>
      </c>
      <c r="T3330" s="46">
        <f>S3330/INDEX(FmtCansPerPack,MATCH(F3330,FmtName,0))</f>
        <v/>
      </c>
      <c r="U3330" s="47">
        <f>INDEX(ProvOnline,MATCH(G3330,ProvCode,0))*(1+PriceIndex)</f>
        <v/>
      </c>
      <c r="V3330" s="47">
        <f>Q3330*U3330*INDEX(FmtBlendedPriceIdx,MATCH(F3330,FmtName,0))</f>
        <v/>
      </c>
      <c r="W3330" s="47">
        <f>V3330</f>
        <v/>
      </c>
      <c r="X3330" s="47">
        <f>IF(GrossBasis="Wholesale",V3330,W3330)</f>
        <v/>
      </c>
      <c r="Y3330" s="47">
        <f>R3330*INDEX(FmtBlendedCogs,MATCH(F3330,FmtName,0))</f>
        <v/>
      </c>
      <c r="Z3330" s="47">
        <f>X3330-Y3330</f>
        <v/>
      </c>
    </row>
    <row r="3331">
      <c r="A3331" t="n">
        <v>44</v>
      </c>
      <c r="B3331" s="44">
        <f>FiscalStart+(A3331-1)*7</f>
        <v/>
      </c>
      <c r="C3331">
        <f>TEXT(B3331,"mmm yyyy")</f>
        <v/>
      </c>
      <c r="D3331">
        <f>"Q"&amp;(INT((A3331-1)/13)+1)</f>
        <v/>
      </c>
      <c r="E3331" t="inlineStr">
        <is>
          <t>Online</t>
        </is>
      </c>
      <c r="F3331">
        <f>IFERROR(INDEX(ChFormat,MATCH(E3331,ChName,0)),"")</f>
        <v/>
      </c>
      <c r="G3331" t="inlineStr">
        <is>
          <t>SK</t>
        </is>
      </c>
      <c r="H3331">
        <f>IF(A3331&lt;=NWeeks,1,0)</f>
        <v/>
      </c>
      <c r="I3331">
        <f>INDEX(ChLaunch,MATCH(E3331,ChName,0))</f>
        <v/>
      </c>
      <c r="J3331">
        <f>INDEX(ChWeeksFull,MATCH(E3331,ChName,0))</f>
        <v/>
      </c>
      <c r="K3331">
        <f>INDEX(ChRamp,MATCH(E3331,ChName,0))</f>
        <v/>
      </c>
      <c r="L3331" s="45">
        <f>MIN(1,MAX(0,(A3331-I3331+1)*RampSpeed/J3331))</f>
        <v/>
      </c>
      <c r="M3331" s="45">
        <f>IF(A3331&lt;I3331,0,IF(K3331="S-curve",L3331*L3331*(3-2*L3331),L3331))</f>
        <v/>
      </c>
      <c r="N3331" s="45">
        <f>1+(INDEX(SeasonIdx,A3331)-1)*SeasonAmp</f>
        <v/>
      </c>
      <c r="O3331" s="45">
        <f>IFERROR(INDEX(PSPct,MATCH(E3331&amp;"|"&amp;G3331,PSKey,0)),0)</f>
        <v/>
      </c>
      <c r="P3331" s="46" t="n">
        <v>0</v>
      </c>
      <c r="Q3331" s="46">
        <f>INDEX(OnlineUnitsCol,A3331)*O3331*(1+OnlineGrowth)*N3331*H3331*IF(A3331&gt;=I3331,1,0)</f>
        <v/>
      </c>
      <c r="R3331" s="46">
        <f>Q3331*INDEX(FmtCansPerPack,MATCH(F3331,FmtName,0))/INDEX(FmtCansPerCase,MATCH(F3331,FmtName,0))</f>
        <v/>
      </c>
      <c r="S3331" s="46">
        <f>R3331*INDEX(FmtCansPerCase,MATCH(F3331,FmtName,0))</f>
        <v/>
      </c>
      <c r="T3331" s="46">
        <f>S3331/INDEX(FmtCansPerPack,MATCH(F3331,FmtName,0))</f>
        <v/>
      </c>
      <c r="U3331" s="47">
        <f>INDEX(ProvOnline,MATCH(G3331,ProvCode,0))*(1+PriceIndex)</f>
        <v/>
      </c>
      <c r="V3331" s="47">
        <f>Q3331*U3331*INDEX(FmtBlendedPriceIdx,MATCH(F3331,FmtName,0))</f>
        <v/>
      </c>
      <c r="W3331" s="47">
        <f>V3331</f>
        <v/>
      </c>
      <c r="X3331" s="47">
        <f>IF(GrossBasis="Wholesale",V3331,W3331)</f>
        <v/>
      </c>
      <c r="Y3331" s="47">
        <f>R3331*INDEX(FmtBlendedCogs,MATCH(F3331,FmtName,0))</f>
        <v/>
      </c>
      <c r="Z3331" s="47">
        <f>X3331-Y3331</f>
        <v/>
      </c>
    </row>
    <row r="3332">
      <c r="A3332" t="n">
        <v>45</v>
      </c>
      <c r="B3332" s="44">
        <f>FiscalStart+(A3332-1)*7</f>
        <v/>
      </c>
      <c r="C3332">
        <f>TEXT(B3332,"mmm yyyy")</f>
        <v/>
      </c>
      <c r="D3332">
        <f>"Q"&amp;(INT((A3332-1)/13)+1)</f>
        <v/>
      </c>
      <c r="E3332" t="inlineStr">
        <is>
          <t>Online</t>
        </is>
      </c>
      <c r="F3332">
        <f>IFERROR(INDEX(ChFormat,MATCH(E3332,ChName,0)),"")</f>
        <v/>
      </c>
      <c r="G3332" t="inlineStr">
        <is>
          <t>SK</t>
        </is>
      </c>
      <c r="H3332">
        <f>IF(A3332&lt;=NWeeks,1,0)</f>
        <v/>
      </c>
      <c r="I3332">
        <f>INDEX(ChLaunch,MATCH(E3332,ChName,0))</f>
        <v/>
      </c>
      <c r="J3332">
        <f>INDEX(ChWeeksFull,MATCH(E3332,ChName,0))</f>
        <v/>
      </c>
      <c r="K3332">
        <f>INDEX(ChRamp,MATCH(E3332,ChName,0))</f>
        <v/>
      </c>
      <c r="L3332" s="45">
        <f>MIN(1,MAX(0,(A3332-I3332+1)*RampSpeed/J3332))</f>
        <v/>
      </c>
      <c r="M3332" s="45">
        <f>IF(A3332&lt;I3332,0,IF(K3332="S-curve",L3332*L3332*(3-2*L3332),L3332))</f>
        <v/>
      </c>
      <c r="N3332" s="45">
        <f>1+(INDEX(SeasonIdx,A3332)-1)*SeasonAmp</f>
        <v/>
      </c>
      <c r="O3332" s="45">
        <f>IFERROR(INDEX(PSPct,MATCH(E3332&amp;"|"&amp;G3332,PSKey,0)),0)</f>
        <v/>
      </c>
      <c r="P3332" s="46" t="n">
        <v>0</v>
      </c>
      <c r="Q3332" s="46">
        <f>INDEX(OnlineUnitsCol,A3332)*O3332*(1+OnlineGrowth)*N3332*H3332*IF(A3332&gt;=I3332,1,0)</f>
        <v/>
      </c>
      <c r="R3332" s="46">
        <f>Q3332*INDEX(FmtCansPerPack,MATCH(F3332,FmtName,0))/INDEX(FmtCansPerCase,MATCH(F3332,FmtName,0))</f>
        <v/>
      </c>
      <c r="S3332" s="46">
        <f>R3332*INDEX(FmtCansPerCase,MATCH(F3332,FmtName,0))</f>
        <v/>
      </c>
      <c r="T3332" s="46">
        <f>S3332/INDEX(FmtCansPerPack,MATCH(F3332,FmtName,0))</f>
        <v/>
      </c>
      <c r="U3332" s="47">
        <f>INDEX(ProvOnline,MATCH(G3332,ProvCode,0))*(1+PriceIndex)</f>
        <v/>
      </c>
      <c r="V3332" s="47">
        <f>Q3332*U3332*INDEX(FmtBlendedPriceIdx,MATCH(F3332,FmtName,0))</f>
        <v/>
      </c>
      <c r="W3332" s="47">
        <f>V3332</f>
        <v/>
      </c>
      <c r="X3332" s="47">
        <f>IF(GrossBasis="Wholesale",V3332,W3332)</f>
        <v/>
      </c>
      <c r="Y3332" s="47">
        <f>R3332*INDEX(FmtBlendedCogs,MATCH(F3332,FmtName,0))</f>
        <v/>
      </c>
      <c r="Z3332" s="47">
        <f>X3332-Y3332</f>
        <v/>
      </c>
    </row>
    <row r="3333">
      <c r="A3333" t="n">
        <v>46</v>
      </c>
      <c r="B3333" s="44">
        <f>FiscalStart+(A3333-1)*7</f>
        <v/>
      </c>
      <c r="C3333">
        <f>TEXT(B3333,"mmm yyyy")</f>
        <v/>
      </c>
      <c r="D3333">
        <f>"Q"&amp;(INT((A3333-1)/13)+1)</f>
        <v/>
      </c>
      <c r="E3333" t="inlineStr">
        <is>
          <t>Online</t>
        </is>
      </c>
      <c r="F3333">
        <f>IFERROR(INDEX(ChFormat,MATCH(E3333,ChName,0)),"")</f>
        <v/>
      </c>
      <c r="G3333" t="inlineStr">
        <is>
          <t>SK</t>
        </is>
      </c>
      <c r="H3333">
        <f>IF(A3333&lt;=NWeeks,1,0)</f>
        <v/>
      </c>
      <c r="I3333">
        <f>INDEX(ChLaunch,MATCH(E3333,ChName,0))</f>
        <v/>
      </c>
      <c r="J3333">
        <f>INDEX(ChWeeksFull,MATCH(E3333,ChName,0))</f>
        <v/>
      </c>
      <c r="K3333">
        <f>INDEX(ChRamp,MATCH(E3333,ChName,0))</f>
        <v/>
      </c>
      <c r="L3333" s="45">
        <f>MIN(1,MAX(0,(A3333-I3333+1)*RampSpeed/J3333))</f>
        <v/>
      </c>
      <c r="M3333" s="45">
        <f>IF(A3333&lt;I3333,0,IF(K3333="S-curve",L3333*L3333*(3-2*L3333),L3333))</f>
        <v/>
      </c>
      <c r="N3333" s="45">
        <f>1+(INDEX(SeasonIdx,A3333)-1)*SeasonAmp</f>
        <v/>
      </c>
      <c r="O3333" s="45">
        <f>IFERROR(INDEX(PSPct,MATCH(E3333&amp;"|"&amp;G3333,PSKey,0)),0)</f>
        <v/>
      </c>
      <c r="P3333" s="46" t="n">
        <v>0</v>
      </c>
      <c r="Q3333" s="46">
        <f>INDEX(OnlineUnitsCol,A3333)*O3333*(1+OnlineGrowth)*N3333*H3333*IF(A3333&gt;=I3333,1,0)</f>
        <v/>
      </c>
      <c r="R3333" s="46">
        <f>Q3333*INDEX(FmtCansPerPack,MATCH(F3333,FmtName,0))/INDEX(FmtCansPerCase,MATCH(F3333,FmtName,0))</f>
        <v/>
      </c>
      <c r="S3333" s="46">
        <f>R3333*INDEX(FmtCansPerCase,MATCH(F3333,FmtName,0))</f>
        <v/>
      </c>
      <c r="T3333" s="46">
        <f>S3333/INDEX(FmtCansPerPack,MATCH(F3333,FmtName,0))</f>
        <v/>
      </c>
      <c r="U3333" s="47">
        <f>INDEX(ProvOnline,MATCH(G3333,ProvCode,0))*(1+PriceIndex)</f>
        <v/>
      </c>
      <c r="V3333" s="47">
        <f>Q3333*U3333*INDEX(FmtBlendedPriceIdx,MATCH(F3333,FmtName,0))</f>
        <v/>
      </c>
      <c r="W3333" s="47">
        <f>V3333</f>
        <v/>
      </c>
      <c r="X3333" s="47">
        <f>IF(GrossBasis="Wholesale",V3333,W3333)</f>
        <v/>
      </c>
      <c r="Y3333" s="47">
        <f>R3333*INDEX(FmtBlendedCogs,MATCH(F3333,FmtName,0))</f>
        <v/>
      </c>
      <c r="Z3333" s="47">
        <f>X3333-Y3333</f>
        <v/>
      </c>
    </row>
    <row r="3334">
      <c r="A3334" t="n">
        <v>47</v>
      </c>
      <c r="B3334" s="44">
        <f>FiscalStart+(A3334-1)*7</f>
        <v/>
      </c>
      <c r="C3334">
        <f>TEXT(B3334,"mmm yyyy")</f>
        <v/>
      </c>
      <c r="D3334">
        <f>"Q"&amp;(INT((A3334-1)/13)+1)</f>
        <v/>
      </c>
      <c r="E3334" t="inlineStr">
        <is>
          <t>Online</t>
        </is>
      </c>
      <c r="F3334">
        <f>IFERROR(INDEX(ChFormat,MATCH(E3334,ChName,0)),"")</f>
        <v/>
      </c>
      <c r="G3334" t="inlineStr">
        <is>
          <t>SK</t>
        </is>
      </c>
      <c r="H3334">
        <f>IF(A3334&lt;=NWeeks,1,0)</f>
        <v/>
      </c>
      <c r="I3334">
        <f>INDEX(ChLaunch,MATCH(E3334,ChName,0))</f>
        <v/>
      </c>
      <c r="J3334">
        <f>INDEX(ChWeeksFull,MATCH(E3334,ChName,0))</f>
        <v/>
      </c>
      <c r="K3334">
        <f>INDEX(ChRamp,MATCH(E3334,ChName,0))</f>
        <v/>
      </c>
      <c r="L3334" s="45">
        <f>MIN(1,MAX(0,(A3334-I3334+1)*RampSpeed/J3334))</f>
        <v/>
      </c>
      <c r="M3334" s="45">
        <f>IF(A3334&lt;I3334,0,IF(K3334="S-curve",L3334*L3334*(3-2*L3334),L3334))</f>
        <v/>
      </c>
      <c r="N3334" s="45">
        <f>1+(INDEX(SeasonIdx,A3334)-1)*SeasonAmp</f>
        <v/>
      </c>
      <c r="O3334" s="45">
        <f>IFERROR(INDEX(PSPct,MATCH(E3334&amp;"|"&amp;G3334,PSKey,0)),0)</f>
        <v/>
      </c>
      <c r="P3334" s="46" t="n">
        <v>0</v>
      </c>
      <c r="Q3334" s="46">
        <f>INDEX(OnlineUnitsCol,A3334)*O3334*(1+OnlineGrowth)*N3334*H3334*IF(A3334&gt;=I3334,1,0)</f>
        <v/>
      </c>
      <c r="R3334" s="46">
        <f>Q3334*INDEX(FmtCansPerPack,MATCH(F3334,FmtName,0))/INDEX(FmtCansPerCase,MATCH(F3334,FmtName,0))</f>
        <v/>
      </c>
      <c r="S3334" s="46">
        <f>R3334*INDEX(FmtCansPerCase,MATCH(F3334,FmtName,0))</f>
        <v/>
      </c>
      <c r="T3334" s="46">
        <f>S3334/INDEX(FmtCansPerPack,MATCH(F3334,FmtName,0))</f>
        <v/>
      </c>
      <c r="U3334" s="47">
        <f>INDEX(ProvOnline,MATCH(G3334,ProvCode,0))*(1+PriceIndex)</f>
        <v/>
      </c>
      <c r="V3334" s="47">
        <f>Q3334*U3334*INDEX(FmtBlendedPriceIdx,MATCH(F3334,FmtName,0))</f>
        <v/>
      </c>
      <c r="W3334" s="47">
        <f>V3334</f>
        <v/>
      </c>
      <c r="X3334" s="47">
        <f>IF(GrossBasis="Wholesale",V3334,W3334)</f>
        <v/>
      </c>
      <c r="Y3334" s="47">
        <f>R3334*INDEX(FmtBlendedCogs,MATCH(F3334,FmtName,0))</f>
        <v/>
      </c>
      <c r="Z3334" s="47">
        <f>X3334-Y3334</f>
        <v/>
      </c>
    </row>
    <row r="3335">
      <c r="A3335" t="n">
        <v>48</v>
      </c>
      <c r="B3335" s="44">
        <f>FiscalStart+(A3335-1)*7</f>
        <v/>
      </c>
      <c r="C3335">
        <f>TEXT(B3335,"mmm yyyy")</f>
        <v/>
      </c>
      <c r="D3335">
        <f>"Q"&amp;(INT((A3335-1)/13)+1)</f>
        <v/>
      </c>
      <c r="E3335" t="inlineStr">
        <is>
          <t>Online</t>
        </is>
      </c>
      <c r="F3335">
        <f>IFERROR(INDEX(ChFormat,MATCH(E3335,ChName,0)),"")</f>
        <v/>
      </c>
      <c r="G3335" t="inlineStr">
        <is>
          <t>SK</t>
        </is>
      </c>
      <c r="H3335">
        <f>IF(A3335&lt;=NWeeks,1,0)</f>
        <v/>
      </c>
      <c r="I3335">
        <f>INDEX(ChLaunch,MATCH(E3335,ChName,0))</f>
        <v/>
      </c>
      <c r="J3335">
        <f>INDEX(ChWeeksFull,MATCH(E3335,ChName,0))</f>
        <v/>
      </c>
      <c r="K3335">
        <f>INDEX(ChRamp,MATCH(E3335,ChName,0))</f>
        <v/>
      </c>
      <c r="L3335" s="45">
        <f>MIN(1,MAX(0,(A3335-I3335+1)*RampSpeed/J3335))</f>
        <v/>
      </c>
      <c r="M3335" s="45">
        <f>IF(A3335&lt;I3335,0,IF(K3335="S-curve",L3335*L3335*(3-2*L3335),L3335))</f>
        <v/>
      </c>
      <c r="N3335" s="45">
        <f>1+(INDEX(SeasonIdx,A3335)-1)*SeasonAmp</f>
        <v/>
      </c>
      <c r="O3335" s="45">
        <f>IFERROR(INDEX(PSPct,MATCH(E3335&amp;"|"&amp;G3335,PSKey,0)),0)</f>
        <v/>
      </c>
      <c r="P3335" s="46" t="n">
        <v>0</v>
      </c>
      <c r="Q3335" s="46">
        <f>INDEX(OnlineUnitsCol,A3335)*O3335*(1+OnlineGrowth)*N3335*H3335*IF(A3335&gt;=I3335,1,0)</f>
        <v/>
      </c>
      <c r="R3335" s="46">
        <f>Q3335*INDEX(FmtCansPerPack,MATCH(F3335,FmtName,0))/INDEX(FmtCansPerCase,MATCH(F3335,FmtName,0))</f>
        <v/>
      </c>
      <c r="S3335" s="46">
        <f>R3335*INDEX(FmtCansPerCase,MATCH(F3335,FmtName,0))</f>
        <v/>
      </c>
      <c r="T3335" s="46">
        <f>S3335/INDEX(FmtCansPerPack,MATCH(F3335,FmtName,0))</f>
        <v/>
      </c>
      <c r="U3335" s="47">
        <f>INDEX(ProvOnline,MATCH(G3335,ProvCode,0))*(1+PriceIndex)</f>
        <v/>
      </c>
      <c r="V3335" s="47">
        <f>Q3335*U3335*INDEX(FmtBlendedPriceIdx,MATCH(F3335,FmtName,0))</f>
        <v/>
      </c>
      <c r="W3335" s="47">
        <f>V3335</f>
        <v/>
      </c>
      <c r="X3335" s="47">
        <f>IF(GrossBasis="Wholesale",V3335,W3335)</f>
        <v/>
      </c>
      <c r="Y3335" s="47">
        <f>R3335*INDEX(FmtBlendedCogs,MATCH(F3335,FmtName,0))</f>
        <v/>
      </c>
      <c r="Z3335" s="47">
        <f>X3335-Y3335</f>
        <v/>
      </c>
    </row>
    <row r="3336">
      <c r="A3336" t="n">
        <v>49</v>
      </c>
      <c r="B3336" s="44">
        <f>FiscalStart+(A3336-1)*7</f>
        <v/>
      </c>
      <c r="C3336">
        <f>TEXT(B3336,"mmm yyyy")</f>
        <v/>
      </c>
      <c r="D3336">
        <f>"Q"&amp;(INT((A3336-1)/13)+1)</f>
        <v/>
      </c>
      <c r="E3336" t="inlineStr">
        <is>
          <t>Online</t>
        </is>
      </c>
      <c r="F3336">
        <f>IFERROR(INDEX(ChFormat,MATCH(E3336,ChName,0)),"")</f>
        <v/>
      </c>
      <c r="G3336" t="inlineStr">
        <is>
          <t>SK</t>
        </is>
      </c>
      <c r="H3336">
        <f>IF(A3336&lt;=NWeeks,1,0)</f>
        <v/>
      </c>
      <c r="I3336">
        <f>INDEX(ChLaunch,MATCH(E3336,ChName,0))</f>
        <v/>
      </c>
      <c r="J3336">
        <f>INDEX(ChWeeksFull,MATCH(E3336,ChName,0))</f>
        <v/>
      </c>
      <c r="K3336">
        <f>INDEX(ChRamp,MATCH(E3336,ChName,0))</f>
        <v/>
      </c>
      <c r="L3336" s="45">
        <f>MIN(1,MAX(0,(A3336-I3336+1)*RampSpeed/J3336))</f>
        <v/>
      </c>
      <c r="M3336" s="45">
        <f>IF(A3336&lt;I3336,0,IF(K3336="S-curve",L3336*L3336*(3-2*L3336),L3336))</f>
        <v/>
      </c>
      <c r="N3336" s="45">
        <f>1+(INDEX(SeasonIdx,A3336)-1)*SeasonAmp</f>
        <v/>
      </c>
      <c r="O3336" s="45">
        <f>IFERROR(INDEX(PSPct,MATCH(E3336&amp;"|"&amp;G3336,PSKey,0)),0)</f>
        <v/>
      </c>
      <c r="P3336" s="46" t="n">
        <v>0</v>
      </c>
      <c r="Q3336" s="46">
        <f>INDEX(OnlineUnitsCol,A3336)*O3336*(1+OnlineGrowth)*N3336*H3336*IF(A3336&gt;=I3336,1,0)</f>
        <v/>
      </c>
      <c r="R3336" s="46">
        <f>Q3336*INDEX(FmtCansPerPack,MATCH(F3336,FmtName,0))/INDEX(FmtCansPerCase,MATCH(F3336,FmtName,0))</f>
        <v/>
      </c>
      <c r="S3336" s="46">
        <f>R3336*INDEX(FmtCansPerCase,MATCH(F3336,FmtName,0))</f>
        <v/>
      </c>
      <c r="T3336" s="46">
        <f>S3336/INDEX(FmtCansPerPack,MATCH(F3336,FmtName,0))</f>
        <v/>
      </c>
      <c r="U3336" s="47">
        <f>INDEX(ProvOnline,MATCH(G3336,ProvCode,0))*(1+PriceIndex)</f>
        <v/>
      </c>
      <c r="V3336" s="47">
        <f>Q3336*U3336*INDEX(FmtBlendedPriceIdx,MATCH(F3336,FmtName,0))</f>
        <v/>
      </c>
      <c r="W3336" s="47">
        <f>V3336</f>
        <v/>
      </c>
      <c r="X3336" s="47">
        <f>IF(GrossBasis="Wholesale",V3336,W3336)</f>
        <v/>
      </c>
      <c r="Y3336" s="47">
        <f>R3336*INDEX(FmtBlendedCogs,MATCH(F3336,FmtName,0))</f>
        <v/>
      </c>
      <c r="Z3336" s="47">
        <f>X3336-Y3336</f>
        <v/>
      </c>
    </row>
    <row r="3337">
      <c r="A3337" t="n">
        <v>50</v>
      </c>
      <c r="B3337" s="44">
        <f>FiscalStart+(A3337-1)*7</f>
        <v/>
      </c>
      <c r="C3337">
        <f>TEXT(B3337,"mmm yyyy")</f>
        <v/>
      </c>
      <c r="D3337">
        <f>"Q"&amp;(INT((A3337-1)/13)+1)</f>
        <v/>
      </c>
      <c r="E3337" t="inlineStr">
        <is>
          <t>Online</t>
        </is>
      </c>
      <c r="F3337">
        <f>IFERROR(INDEX(ChFormat,MATCH(E3337,ChName,0)),"")</f>
        <v/>
      </c>
      <c r="G3337" t="inlineStr">
        <is>
          <t>SK</t>
        </is>
      </c>
      <c r="H3337">
        <f>IF(A3337&lt;=NWeeks,1,0)</f>
        <v/>
      </c>
      <c r="I3337">
        <f>INDEX(ChLaunch,MATCH(E3337,ChName,0))</f>
        <v/>
      </c>
      <c r="J3337">
        <f>INDEX(ChWeeksFull,MATCH(E3337,ChName,0))</f>
        <v/>
      </c>
      <c r="K3337">
        <f>INDEX(ChRamp,MATCH(E3337,ChName,0))</f>
        <v/>
      </c>
      <c r="L3337" s="45">
        <f>MIN(1,MAX(0,(A3337-I3337+1)*RampSpeed/J3337))</f>
        <v/>
      </c>
      <c r="M3337" s="45">
        <f>IF(A3337&lt;I3337,0,IF(K3337="S-curve",L3337*L3337*(3-2*L3337),L3337))</f>
        <v/>
      </c>
      <c r="N3337" s="45">
        <f>1+(INDEX(SeasonIdx,A3337)-1)*SeasonAmp</f>
        <v/>
      </c>
      <c r="O3337" s="45">
        <f>IFERROR(INDEX(PSPct,MATCH(E3337&amp;"|"&amp;G3337,PSKey,0)),0)</f>
        <v/>
      </c>
      <c r="P3337" s="46" t="n">
        <v>0</v>
      </c>
      <c r="Q3337" s="46">
        <f>INDEX(OnlineUnitsCol,A3337)*O3337*(1+OnlineGrowth)*N3337*H3337*IF(A3337&gt;=I3337,1,0)</f>
        <v/>
      </c>
      <c r="R3337" s="46">
        <f>Q3337*INDEX(FmtCansPerPack,MATCH(F3337,FmtName,0))/INDEX(FmtCansPerCase,MATCH(F3337,FmtName,0))</f>
        <v/>
      </c>
      <c r="S3337" s="46">
        <f>R3337*INDEX(FmtCansPerCase,MATCH(F3337,FmtName,0))</f>
        <v/>
      </c>
      <c r="T3337" s="46">
        <f>S3337/INDEX(FmtCansPerPack,MATCH(F3337,FmtName,0))</f>
        <v/>
      </c>
      <c r="U3337" s="47">
        <f>INDEX(ProvOnline,MATCH(G3337,ProvCode,0))*(1+PriceIndex)</f>
        <v/>
      </c>
      <c r="V3337" s="47">
        <f>Q3337*U3337*INDEX(FmtBlendedPriceIdx,MATCH(F3337,FmtName,0))</f>
        <v/>
      </c>
      <c r="W3337" s="47">
        <f>V3337</f>
        <v/>
      </c>
      <c r="X3337" s="47">
        <f>IF(GrossBasis="Wholesale",V3337,W3337)</f>
        <v/>
      </c>
      <c r="Y3337" s="47">
        <f>R3337*INDEX(FmtBlendedCogs,MATCH(F3337,FmtName,0))</f>
        <v/>
      </c>
      <c r="Z3337" s="47">
        <f>X3337-Y3337</f>
        <v/>
      </c>
    </row>
    <row r="3338">
      <c r="A3338" t="n">
        <v>51</v>
      </c>
      <c r="B3338" s="44">
        <f>FiscalStart+(A3338-1)*7</f>
        <v/>
      </c>
      <c r="C3338">
        <f>TEXT(B3338,"mmm yyyy")</f>
        <v/>
      </c>
      <c r="D3338">
        <f>"Q"&amp;(INT((A3338-1)/13)+1)</f>
        <v/>
      </c>
      <c r="E3338" t="inlineStr">
        <is>
          <t>Online</t>
        </is>
      </c>
      <c r="F3338">
        <f>IFERROR(INDEX(ChFormat,MATCH(E3338,ChName,0)),"")</f>
        <v/>
      </c>
      <c r="G3338" t="inlineStr">
        <is>
          <t>SK</t>
        </is>
      </c>
      <c r="H3338">
        <f>IF(A3338&lt;=NWeeks,1,0)</f>
        <v/>
      </c>
      <c r="I3338">
        <f>INDEX(ChLaunch,MATCH(E3338,ChName,0))</f>
        <v/>
      </c>
      <c r="J3338">
        <f>INDEX(ChWeeksFull,MATCH(E3338,ChName,0))</f>
        <v/>
      </c>
      <c r="K3338">
        <f>INDEX(ChRamp,MATCH(E3338,ChName,0))</f>
        <v/>
      </c>
      <c r="L3338" s="45">
        <f>MIN(1,MAX(0,(A3338-I3338+1)*RampSpeed/J3338))</f>
        <v/>
      </c>
      <c r="M3338" s="45">
        <f>IF(A3338&lt;I3338,0,IF(K3338="S-curve",L3338*L3338*(3-2*L3338),L3338))</f>
        <v/>
      </c>
      <c r="N3338" s="45">
        <f>1+(INDEX(SeasonIdx,A3338)-1)*SeasonAmp</f>
        <v/>
      </c>
      <c r="O3338" s="45">
        <f>IFERROR(INDEX(PSPct,MATCH(E3338&amp;"|"&amp;G3338,PSKey,0)),0)</f>
        <v/>
      </c>
      <c r="P3338" s="46" t="n">
        <v>0</v>
      </c>
      <c r="Q3338" s="46">
        <f>INDEX(OnlineUnitsCol,A3338)*O3338*(1+OnlineGrowth)*N3338*H3338*IF(A3338&gt;=I3338,1,0)</f>
        <v/>
      </c>
      <c r="R3338" s="46">
        <f>Q3338*INDEX(FmtCansPerPack,MATCH(F3338,FmtName,0))/INDEX(FmtCansPerCase,MATCH(F3338,FmtName,0))</f>
        <v/>
      </c>
      <c r="S3338" s="46">
        <f>R3338*INDEX(FmtCansPerCase,MATCH(F3338,FmtName,0))</f>
        <v/>
      </c>
      <c r="T3338" s="46">
        <f>S3338/INDEX(FmtCansPerPack,MATCH(F3338,FmtName,0))</f>
        <v/>
      </c>
      <c r="U3338" s="47">
        <f>INDEX(ProvOnline,MATCH(G3338,ProvCode,0))*(1+PriceIndex)</f>
        <v/>
      </c>
      <c r="V3338" s="47">
        <f>Q3338*U3338*INDEX(FmtBlendedPriceIdx,MATCH(F3338,FmtName,0))</f>
        <v/>
      </c>
      <c r="W3338" s="47">
        <f>V3338</f>
        <v/>
      </c>
      <c r="X3338" s="47">
        <f>IF(GrossBasis="Wholesale",V3338,W3338)</f>
        <v/>
      </c>
      <c r="Y3338" s="47">
        <f>R3338*INDEX(FmtBlendedCogs,MATCH(F3338,FmtName,0))</f>
        <v/>
      </c>
      <c r="Z3338" s="47">
        <f>X3338-Y3338</f>
        <v/>
      </c>
    </row>
    <row r="3339">
      <c r="A3339" t="n">
        <v>52</v>
      </c>
      <c r="B3339" s="44">
        <f>FiscalStart+(A3339-1)*7</f>
        <v/>
      </c>
      <c r="C3339">
        <f>TEXT(B3339,"mmm yyyy")</f>
        <v/>
      </c>
      <c r="D3339">
        <f>"Q"&amp;(INT((A3339-1)/13)+1)</f>
        <v/>
      </c>
      <c r="E3339" t="inlineStr">
        <is>
          <t>Online</t>
        </is>
      </c>
      <c r="F3339">
        <f>IFERROR(INDEX(ChFormat,MATCH(E3339,ChName,0)),"")</f>
        <v/>
      </c>
      <c r="G3339" t="inlineStr">
        <is>
          <t>SK</t>
        </is>
      </c>
      <c r="H3339">
        <f>IF(A3339&lt;=NWeeks,1,0)</f>
        <v/>
      </c>
      <c r="I3339">
        <f>INDEX(ChLaunch,MATCH(E3339,ChName,0))</f>
        <v/>
      </c>
      <c r="J3339">
        <f>INDEX(ChWeeksFull,MATCH(E3339,ChName,0))</f>
        <v/>
      </c>
      <c r="K3339">
        <f>INDEX(ChRamp,MATCH(E3339,ChName,0))</f>
        <v/>
      </c>
      <c r="L3339" s="45">
        <f>MIN(1,MAX(0,(A3339-I3339+1)*RampSpeed/J3339))</f>
        <v/>
      </c>
      <c r="M3339" s="45">
        <f>IF(A3339&lt;I3339,0,IF(K3339="S-curve",L3339*L3339*(3-2*L3339),L3339))</f>
        <v/>
      </c>
      <c r="N3339" s="45">
        <f>1+(INDEX(SeasonIdx,A3339)-1)*SeasonAmp</f>
        <v/>
      </c>
      <c r="O3339" s="45">
        <f>IFERROR(INDEX(PSPct,MATCH(E3339&amp;"|"&amp;G3339,PSKey,0)),0)</f>
        <v/>
      </c>
      <c r="P3339" s="46" t="n">
        <v>0</v>
      </c>
      <c r="Q3339" s="46">
        <f>INDEX(OnlineUnitsCol,A3339)*O3339*(1+OnlineGrowth)*N3339*H3339*IF(A3339&gt;=I3339,1,0)</f>
        <v/>
      </c>
      <c r="R3339" s="46">
        <f>Q3339*INDEX(FmtCansPerPack,MATCH(F3339,FmtName,0))/INDEX(FmtCansPerCase,MATCH(F3339,FmtName,0))</f>
        <v/>
      </c>
      <c r="S3339" s="46">
        <f>R3339*INDEX(FmtCansPerCase,MATCH(F3339,FmtName,0))</f>
        <v/>
      </c>
      <c r="T3339" s="46">
        <f>S3339/INDEX(FmtCansPerPack,MATCH(F3339,FmtName,0))</f>
        <v/>
      </c>
      <c r="U3339" s="47">
        <f>INDEX(ProvOnline,MATCH(G3339,ProvCode,0))*(1+PriceIndex)</f>
        <v/>
      </c>
      <c r="V3339" s="47">
        <f>Q3339*U3339*INDEX(FmtBlendedPriceIdx,MATCH(F3339,FmtName,0))</f>
        <v/>
      </c>
      <c r="W3339" s="47">
        <f>V3339</f>
        <v/>
      </c>
      <c r="X3339" s="47">
        <f>IF(GrossBasis="Wholesale",V3339,W3339)</f>
        <v/>
      </c>
      <c r="Y3339" s="47">
        <f>R3339*INDEX(FmtBlendedCogs,MATCH(F3339,FmtName,0))</f>
        <v/>
      </c>
      <c r="Z3339" s="47">
        <f>X3339-Y3339</f>
        <v/>
      </c>
    </row>
    <row r="3340">
      <c r="A3340" t="n">
        <v>53</v>
      </c>
      <c r="B3340" s="44">
        <f>FiscalStart+(A3340-1)*7</f>
        <v/>
      </c>
      <c r="C3340">
        <f>TEXT(B3340,"mmm yyyy")</f>
        <v/>
      </c>
      <c r="D3340">
        <f>"Q"&amp;(INT((A3340-1)/13)+1)</f>
        <v/>
      </c>
      <c r="E3340" t="inlineStr">
        <is>
          <t>Online</t>
        </is>
      </c>
      <c r="F3340">
        <f>IFERROR(INDEX(ChFormat,MATCH(E3340,ChName,0)),"")</f>
        <v/>
      </c>
      <c r="G3340" t="inlineStr">
        <is>
          <t>SK</t>
        </is>
      </c>
      <c r="H3340">
        <f>IF(A3340&lt;=NWeeks,1,0)</f>
        <v/>
      </c>
      <c r="I3340">
        <f>INDEX(ChLaunch,MATCH(E3340,ChName,0))</f>
        <v/>
      </c>
      <c r="J3340">
        <f>INDEX(ChWeeksFull,MATCH(E3340,ChName,0))</f>
        <v/>
      </c>
      <c r="K3340">
        <f>INDEX(ChRamp,MATCH(E3340,ChName,0))</f>
        <v/>
      </c>
      <c r="L3340" s="45">
        <f>MIN(1,MAX(0,(A3340-I3340+1)*RampSpeed/J3340))</f>
        <v/>
      </c>
      <c r="M3340" s="45">
        <f>IF(A3340&lt;I3340,0,IF(K3340="S-curve",L3340*L3340*(3-2*L3340),L3340))</f>
        <v/>
      </c>
      <c r="N3340" s="45">
        <f>1+(INDEX(SeasonIdx,A3340)-1)*SeasonAmp</f>
        <v/>
      </c>
      <c r="O3340" s="45">
        <f>IFERROR(INDEX(PSPct,MATCH(E3340&amp;"|"&amp;G3340,PSKey,0)),0)</f>
        <v/>
      </c>
      <c r="P3340" s="46" t="n">
        <v>0</v>
      </c>
      <c r="Q3340" s="46">
        <f>INDEX(OnlineUnitsCol,A3340)*O3340*(1+OnlineGrowth)*N3340*H3340*IF(A3340&gt;=I3340,1,0)</f>
        <v/>
      </c>
      <c r="R3340" s="46">
        <f>Q3340*INDEX(FmtCansPerPack,MATCH(F3340,FmtName,0))/INDEX(FmtCansPerCase,MATCH(F3340,FmtName,0))</f>
        <v/>
      </c>
      <c r="S3340" s="46">
        <f>R3340*INDEX(FmtCansPerCase,MATCH(F3340,FmtName,0))</f>
        <v/>
      </c>
      <c r="T3340" s="46">
        <f>S3340/INDEX(FmtCansPerPack,MATCH(F3340,FmtName,0))</f>
        <v/>
      </c>
      <c r="U3340" s="47">
        <f>INDEX(ProvOnline,MATCH(G3340,ProvCode,0))*(1+PriceIndex)</f>
        <v/>
      </c>
      <c r="V3340" s="47">
        <f>Q3340*U3340*INDEX(FmtBlendedPriceIdx,MATCH(F3340,FmtName,0))</f>
        <v/>
      </c>
      <c r="W3340" s="47">
        <f>V3340</f>
        <v/>
      </c>
      <c r="X3340" s="47">
        <f>IF(GrossBasis="Wholesale",V3340,W3340)</f>
        <v/>
      </c>
      <c r="Y3340" s="47">
        <f>R3340*INDEX(FmtBlendedCogs,MATCH(F3340,FmtName,0))</f>
        <v/>
      </c>
      <c r="Z3340" s="47">
        <f>X3340-Y3340</f>
        <v/>
      </c>
    </row>
    <row r="3341">
      <c r="A3341" t="n">
        <v>1</v>
      </c>
      <c r="B3341" s="44">
        <f>FiscalStart+(A3341-1)*7</f>
        <v/>
      </c>
      <c r="C3341">
        <f>TEXT(B3341,"mmm yyyy")</f>
        <v/>
      </c>
      <c r="D3341">
        <f>"Q"&amp;(INT((A3341-1)/13)+1)</f>
        <v/>
      </c>
      <c r="E3341" t="inlineStr">
        <is>
          <t>Online</t>
        </is>
      </c>
      <c r="F3341">
        <f>IFERROR(INDEX(ChFormat,MATCH(E3341,ChName,0)),"")</f>
        <v/>
      </c>
      <c r="G3341" t="inlineStr">
        <is>
          <t>MB</t>
        </is>
      </c>
      <c r="H3341">
        <f>IF(A3341&lt;=NWeeks,1,0)</f>
        <v/>
      </c>
      <c r="I3341">
        <f>INDEX(ChLaunch,MATCH(E3341,ChName,0))</f>
        <v/>
      </c>
      <c r="J3341">
        <f>INDEX(ChWeeksFull,MATCH(E3341,ChName,0))</f>
        <v/>
      </c>
      <c r="K3341">
        <f>INDEX(ChRamp,MATCH(E3341,ChName,0))</f>
        <v/>
      </c>
      <c r="L3341" s="45">
        <f>MIN(1,MAX(0,(A3341-I3341+1)*RampSpeed/J3341))</f>
        <v/>
      </c>
      <c r="M3341" s="45">
        <f>IF(A3341&lt;I3341,0,IF(K3341="S-curve",L3341*L3341*(3-2*L3341),L3341))</f>
        <v/>
      </c>
      <c r="N3341" s="45">
        <f>1+(INDEX(SeasonIdx,A3341)-1)*SeasonAmp</f>
        <v/>
      </c>
      <c r="O3341" s="45">
        <f>IFERROR(INDEX(PSPct,MATCH(E3341&amp;"|"&amp;G3341,PSKey,0)),0)</f>
        <v/>
      </c>
      <c r="P3341" s="46" t="n">
        <v>0</v>
      </c>
      <c r="Q3341" s="46">
        <f>INDEX(OnlineUnitsCol,A3341)*O3341*(1+OnlineGrowth)*N3341*H3341*IF(A3341&gt;=I3341,1,0)</f>
        <v/>
      </c>
      <c r="R3341" s="46">
        <f>Q3341*INDEX(FmtCansPerPack,MATCH(F3341,FmtName,0))/INDEX(FmtCansPerCase,MATCH(F3341,FmtName,0))</f>
        <v/>
      </c>
      <c r="S3341" s="46">
        <f>R3341*INDEX(FmtCansPerCase,MATCH(F3341,FmtName,0))</f>
        <v/>
      </c>
      <c r="T3341" s="46">
        <f>S3341/INDEX(FmtCansPerPack,MATCH(F3341,FmtName,0))</f>
        <v/>
      </c>
      <c r="U3341" s="47">
        <f>INDEX(ProvOnline,MATCH(G3341,ProvCode,0))*(1+PriceIndex)</f>
        <v/>
      </c>
      <c r="V3341" s="47">
        <f>Q3341*U3341*INDEX(FmtBlendedPriceIdx,MATCH(F3341,FmtName,0))</f>
        <v/>
      </c>
      <c r="W3341" s="47">
        <f>V3341</f>
        <v/>
      </c>
      <c r="X3341" s="47">
        <f>IF(GrossBasis="Wholesale",V3341,W3341)</f>
        <v/>
      </c>
      <c r="Y3341" s="47">
        <f>R3341*INDEX(FmtBlendedCogs,MATCH(F3341,FmtName,0))</f>
        <v/>
      </c>
      <c r="Z3341" s="47">
        <f>X3341-Y3341</f>
        <v/>
      </c>
    </row>
    <row r="3342">
      <c r="A3342" t="n">
        <v>2</v>
      </c>
      <c r="B3342" s="44">
        <f>FiscalStart+(A3342-1)*7</f>
        <v/>
      </c>
      <c r="C3342">
        <f>TEXT(B3342,"mmm yyyy")</f>
        <v/>
      </c>
      <c r="D3342">
        <f>"Q"&amp;(INT((A3342-1)/13)+1)</f>
        <v/>
      </c>
      <c r="E3342" t="inlineStr">
        <is>
          <t>Online</t>
        </is>
      </c>
      <c r="F3342">
        <f>IFERROR(INDEX(ChFormat,MATCH(E3342,ChName,0)),"")</f>
        <v/>
      </c>
      <c r="G3342" t="inlineStr">
        <is>
          <t>MB</t>
        </is>
      </c>
      <c r="H3342">
        <f>IF(A3342&lt;=NWeeks,1,0)</f>
        <v/>
      </c>
      <c r="I3342">
        <f>INDEX(ChLaunch,MATCH(E3342,ChName,0))</f>
        <v/>
      </c>
      <c r="J3342">
        <f>INDEX(ChWeeksFull,MATCH(E3342,ChName,0))</f>
        <v/>
      </c>
      <c r="K3342">
        <f>INDEX(ChRamp,MATCH(E3342,ChName,0))</f>
        <v/>
      </c>
      <c r="L3342" s="45">
        <f>MIN(1,MAX(0,(A3342-I3342+1)*RampSpeed/J3342))</f>
        <v/>
      </c>
      <c r="M3342" s="45">
        <f>IF(A3342&lt;I3342,0,IF(K3342="S-curve",L3342*L3342*(3-2*L3342),L3342))</f>
        <v/>
      </c>
      <c r="N3342" s="45">
        <f>1+(INDEX(SeasonIdx,A3342)-1)*SeasonAmp</f>
        <v/>
      </c>
      <c r="O3342" s="45">
        <f>IFERROR(INDEX(PSPct,MATCH(E3342&amp;"|"&amp;G3342,PSKey,0)),0)</f>
        <v/>
      </c>
      <c r="P3342" s="46" t="n">
        <v>0</v>
      </c>
      <c r="Q3342" s="46">
        <f>INDEX(OnlineUnitsCol,A3342)*O3342*(1+OnlineGrowth)*N3342*H3342*IF(A3342&gt;=I3342,1,0)</f>
        <v/>
      </c>
      <c r="R3342" s="46">
        <f>Q3342*INDEX(FmtCansPerPack,MATCH(F3342,FmtName,0))/INDEX(FmtCansPerCase,MATCH(F3342,FmtName,0))</f>
        <v/>
      </c>
      <c r="S3342" s="46">
        <f>R3342*INDEX(FmtCansPerCase,MATCH(F3342,FmtName,0))</f>
        <v/>
      </c>
      <c r="T3342" s="46">
        <f>S3342/INDEX(FmtCansPerPack,MATCH(F3342,FmtName,0))</f>
        <v/>
      </c>
      <c r="U3342" s="47">
        <f>INDEX(ProvOnline,MATCH(G3342,ProvCode,0))*(1+PriceIndex)</f>
        <v/>
      </c>
      <c r="V3342" s="47">
        <f>Q3342*U3342*INDEX(FmtBlendedPriceIdx,MATCH(F3342,FmtName,0))</f>
        <v/>
      </c>
      <c r="W3342" s="47">
        <f>V3342</f>
        <v/>
      </c>
      <c r="X3342" s="47">
        <f>IF(GrossBasis="Wholesale",V3342,W3342)</f>
        <v/>
      </c>
      <c r="Y3342" s="47">
        <f>R3342*INDEX(FmtBlendedCogs,MATCH(F3342,FmtName,0))</f>
        <v/>
      </c>
      <c r="Z3342" s="47">
        <f>X3342-Y3342</f>
        <v/>
      </c>
    </row>
    <row r="3343">
      <c r="A3343" t="n">
        <v>3</v>
      </c>
      <c r="B3343" s="44">
        <f>FiscalStart+(A3343-1)*7</f>
        <v/>
      </c>
      <c r="C3343">
        <f>TEXT(B3343,"mmm yyyy")</f>
        <v/>
      </c>
      <c r="D3343">
        <f>"Q"&amp;(INT((A3343-1)/13)+1)</f>
        <v/>
      </c>
      <c r="E3343" t="inlineStr">
        <is>
          <t>Online</t>
        </is>
      </c>
      <c r="F3343">
        <f>IFERROR(INDEX(ChFormat,MATCH(E3343,ChName,0)),"")</f>
        <v/>
      </c>
      <c r="G3343" t="inlineStr">
        <is>
          <t>MB</t>
        </is>
      </c>
      <c r="H3343">
        <f>IF(A3343&lt;=NWeeks,1,0)</f>
        <v/>
      </c>
      <c r="I3343">
        <f>INDEX(ChLaunch,MATCH(E3343,ChName,0))</f>
        <v/>
      </c>
      <c r="J3343">
        <f>INDEX(ChWeeksFull,MATCH(E3343,ChName,0))</f>
        <v/>
      </c>
      <c r="K3343">
        <f>INDEX(ChRamp,MATCH(E3343,ChName,0))</f>
        <v/>
      </c>
      <c r="L3343" s="45">
        <f>MIN(1,MAX(0,(A3343-I3343+1)*RampSpeed/J3343))</f>
        <v/>
      </c>
      <c r="M3343" s="45">
        <f>IF(A3343&lt;I3343,0,IF(K3343="S-curve",L3343*L3343*(3-2*L3343),L3343))</f>
        <v/>
      </c>
      <c r="N3343" s="45">
        <f>1+(INDEX(SeasonIdx,A3343)-1)*SeasonAmp</f>
        <v/>
      </c>
      <c r="O3343" s="45">
        <f>IFERROR(INDEX(PSPct,MATCH(E3343&amp;"|"&amp;G3343,PSKey,0)),0)</f>
        <v/>
      </c>
      <c r="P3343" s="46" t="n">
        <v>0</v>
      </c>
      <c r="Q3343" s="46">
        <f>INDEX(OnlineUnitsCol,A3343)*O3343*(1+OnlineGrowth)*N3343*H3343*IF(A3343&gt;=I3343,1,0)</f>
        <v/>
      </c>
      <c r="R3343" s="46">
        <f>Q3343*INDEX(FmtCansPerPack,MATCH(F3343,FmtName,0))/INDEX(FmtCansPerCase,MATCH(F3343,FmtName,0))</f>
        <v/>
      </c>
      <c r="S3343" s="46">
        <f>R3343*INDEX(FmtCansPerCase,MATCH(F3343,FmtName,0))</f>
        <v/>
      </c>
      <c r="T3343" s="46">
        <f>S3343/INDEX(FmtCansPerPack,MATCH(F3343,FmtName,0))</f>
        <v/>
      </c>
      <c r="U3343" s="47">
        <f>INDEX(ProvOnline,MATCH(G3343,ProvCode,0))*(1+PriceIndex)</f>
        <v/>
      </c>
      <c r="V3343" s="47">
        <f>Q3343*U3343*INDEX(FmtBlendedPriceIdx,MATCH(F3343,FmtName,0))</f>
        <v/>
      </c>
      <c r="W3343" s="47">
        <f>V3343</f>
        <v/>
      </c>
      <c r="X3343" s="47">
        <f>IF(GrossBasis="Wholesale",V3343,W3343)</f>
        <v/>
      </c>
      <c r="Y3343" s="47">
        <f>R3343*INDEX(FmtBlendedCogs,MATCH(F3343,FmtName,0))</f>
        <v/>
      </c>
      <c r="Z3343" s="47">
        <f>X3343-Y3343</f>
        <v/>
      </c>
    </row>
    <row r="3344">
      <c r="A3344" t="n">
        <v>4</v>
      </c>
      <c r="B3344" s="44">
        <f>FiscalStart+(A3344-1)*7</f>
        <v/>
      </c>
      <c r="C3344">
        <f>TEXT(B3344,"mmm yyyy")</f>
        <v/>
      </c>
      <c r="D3344">
        <f>"Q"&amp;(INT((A3344-1)/13)+1)</f>
        <v/>
      </c>
      <c r="E3344" t="inlineStr">
        <is>
          <t>Online</t>
        </is>
      </c>
      <c r="F3344">
        <f>IFERROR(INDEX(ChFormat,MATCH(E3344,ChName,0)),"")</f>
        <v/>
      </c>
      <c r="G3344" t="inlineStr">
        <is>
          <t>MB</t>
        </is>
      </c>
      <c r="H3344">
        <f>IF(A3344&lt;=NWeeks,1,0)</f>
        <v/>
      </c>
      <c r="I3344">
        <f>INDEX(ChLaunch,MATCH(E3344,ChName,0))</f>
        <v/>
      </c>
      <c r="J3344">
        <f>INDEX(ChWeeksFull,MATCH(E3344,ChName,0))</f>
        <v/>
      </c>
      <c r="K3344">
        <f>INDEX(ChRamp,MATCH(E3344,ChName,0))</f>
        <v/>
      </c>
      <c r="L3344" s="45">
        <f>MIN(1,MAX(0,(A3344-I3344+1)*RampSpeed/J3344))</f>
        <v/>
      </c>
      <c r="M3344" s="45">
        <f>IF(A3344&lt;I3344,0,IF(K3344="S-curve",L3344*L3344*(3-2*L3344),L3344))</f>
        <v/>
      </c>
      <c r="N3344" s="45">
        <f>1+(INDEX(SeasonIdx,A3344)-1)*SeasonAmp</f>
        <v/>
      </c>
      <c r="O3344" s="45">
        <f>IFERROR(INDEX(PSPct,MATCH(E3344&amp;"|"&amp;G3344,PSKey,0)),0)</f>
        <v/>
      </c>
      <c r="P3344" s="46" t="n">
        <v>0</v>
      </c>
      <c r="Q3344" s="46">
        <f>INDEX(OnlineUnitsCol,A3344)*O3344*(1+OnlineGrowth)*N3344*H3344*IF(A3344&gt;=I3344,1,0)</f>
        <v/>
      </c>
      <c r="R3344" s="46">
        <f>Q3344*INDEX(FmtCansPerPack,MATCH(F3344,FmtName,0))/INDEX(FmtCansPerCase,MATCH(F3344,FmtName,0))</f>
        <v/>
      </c>
      <c r="S3344" s="46">
        <f>R3344*INDEX(FmtCansPerCase,MATCH(F3344,FmtName,0))</f>
        <v/>
      </c>
      <c r="T3344" s="46">
        <f>S3344/INDEX(FmtCansPerPack,MATCH(F3344,FmtName,0))</f>
        <v/>
      </c>
      <c r="U3344" s="47">
        <f>INDEX(ProvOnline,MATCH(G3344,ProvCode,0))*(1+PriceIndex)</f>
        <v/>
      </c>
      <c r="V3344" s="47">
        <f>Q3344*U3344*INDEX(FmtBlendedPriceIdx,MATCH(F3344,FmtName,0))</f>
        <v/>
      </c>
      <c r="W3344" s="47">
        <f>V3344</f>
        <v/>
      </c>
      <c r="X3344" s="47">
        <f>IF(GrossBasis="Wholesale",V3344,W3344)</f>
        <v/>
      </c>
      <c r="Y3344" s="47">
        <f>R3344*INDEX(FmtBlendedCogs,MATCH(F3344,FmtName,0))</f>
        <v/>
      </c>
      <c r="Z3344" s="47">
        <f>X3344-Y3344</f>
        <v/>
      </c>
    </row>
    <row r="3345">
      <c r="A3345" t="n">
        <v>5</v>
      </c>
      <c r="B3345" s="44">
        <f>FiscalStart+(A3345-1)*7</f>
        <v/>
      </c>
      <c r="C3345">
        <f>TEXT(B3345,"mmm yyyy")</f>
        <v/>
      </c>
      <c r="D3345">
        <f>"Q"&amp;(INT((A3345-1)/13)+1)</f>
        <v/>
      </c>
      <c r="E3345" t="inlineStr">
        <is>
          <t>Online</t>
        </is>
      </c>
      <c r="F3345">
        <f>IFERROR(INDEX(ChFormat,MATCH(E3345,ChName,0)),"")</f>
        <v/>
      </c>
      <c r="G3345" t="inlineStr">
        <is>
          <t>MB</t>
        </is>
      </c>
      <c r="H3345">
        <f>IF(A3345&lt;=NWeeks,1,0)</f>
        <v/>
      </c>
      <c r="I3345">
        <f>INDEX(ChLaunch,MATCH(E3345,ChName,0))</f>
        <v/>
      </c>
      <c r="J3345">
        <f>INDEX(ChWeeksFull,MATCH(E3345,ChName,0))</f>
        <v/>
      </c>
      <c r="K3345">
        <f>INDEX(ChRamp,MATCH(E3345,ChName,0))</f>
        <v/>
      </c>
      <c r="L3345" s="45">
        <f>MIN(1,MAX(0,(A3345-I3345+1)*RampSpeed/J3345))</f>
        <v/>
      </c>
      <c r="M3345" s="45">
        <f>IF(A3345&lt;I3345,0,IF(K3345="S-curve",L3345*L3345*(3-2*L3345),L3345))</f>
        <v/>
      </c>
      <c r="N3345" s="45">
        <f>1+(INDEX(SeasonIdx,A3345)-1)*SeasonAmp</f>
        <v/>
      </c>
      <c r="O3345" s="45">
        <f>IFERROR(INDEX(PSPct,MATCH(E3345&amp;"|"&amp;G3345,PSKey,0)),0)</f>
        <v/>
      </c>
      <c r="P3345" s="46" t="n">
        <v>0</v>
      </c>
      <c r="Q3345" s="46">
        <f>INDEX(OnlineUnitsCol,A3345)*O3345*(1+OnlineGrowth)*N3345*H3345*IF(A3345&gt;=I3345,1,0)</f>
        <v/>
      </c>
      <c r="R3345" s="46">
        <f>Q3345*INDEX(FmtCansPerPack,MATCH(F3345,FmtName,0))/INDEX(FmtCansPerCase,MATCH(F3345,FmtName,0))</f>
        <v/>
      </c>
      <c r="S3345" s="46">
        <f>R3345*INDEX(FmtCansPerCase,MATCH(F3345,FmtName,0))</f>
        <v/>
      </c>
      <c r="T3345" s="46">
        <f>S3345/INDEX(FmtCansPerPack,MATCH(F3345,FmtName,0))</f>
        <v/>
      </c>
      <c r="U3345" s="47">
        <f>INDEX(ProvOnline,MATCH(G3345,ProvCode,0))*(1+PriceIndex)</f>
        <v/>
      </c>
      <c r="V3345" s="47">
        <f>Q3345*U3345*INDEX(FmtBlendedPriceIdx,MATCH(F3345,FmtName,0))</f>
        <v/>
      </c>
      <c r="W3345" s="47">
        <f>V3345</f>
        <v/>
      </c>
      <c r="X3345" s="47">
        <f>IF(GrossBasis="Wholesale",V3345,W3345)</f>
        <v/>
      </c>
      <c r="Y3345" s="47">
        <f>R3345*INDEX(FmtBlendedCogs,MATCH(F3345,FmtName,0))</f>
        <v/>
      </c>
      <c r="Z3345" s="47">
        <f>X3345-Y3345</f>
        <v/>
      </c>
    </row>
    <row r="3346">
      <c r="A3346" t="n">
        <v>6</v>
      </c>
      <c r="B3346" s="44">
        <f>FiscalStart+(A3346-1)*7</f>
        <v/>
      </c>
      <c r="C3346">
        <f>TEXT(B3346,"mmm yyyy")</f>
        <v/>
      </c>
      <c r="D3346">
        <f>"Q"&amp;(INT((A3346-1)/13)+1)</f>
        <v/>
      </c>
      <c r="E3346" t="inlineStr">
        <is>
          <t>Online</t>
        </is>
      </c>
      <c r="F3346">
        <f>IFERROR(INDEX(ChFormat,MATCH(E3346,ChName,0)),"")</f>
        <v/>
      </c>
      <c r="G3346" t="inlineStr">
        <is>
          <t>MB</t>
        </is>
      </c>
      <c r="H3346">
        <f>IF(A3346&lt;=NWeeks,1,0)</f>
        <v/>
      </c>
      <c r="I3346">
        <f>INDEX(ChLaunch,MATCH(E3346,ChName,0))</f>
        <v/>
      </c>
      <c r="J3346">
        <f>INDEX(ChWeeksFull,MATCH(E3346,ChName,0))</f>
        <v/>
      </c>
      <c r="K3346">
        <f>INDEX(ChRamp,MATCH(E3346,ChName,0))</f>
        <v/>
      </c>
      <c r="L3346" s="45">
        <f>MIN(1,MAX(0,(A3346-I3346+1)*RampSpeed/J3346))</f>
        <v/>
      </c>
      <c r="M3346" s="45">
        <f>IF(A3346&lt;I3346,0,IF(K3346="S-curve",L3346*L3346*(3-2*L3346),L3346))</f>
        <v/>
      </c>
      <c r="N3346" s="45">
        <f>1+(INDEX(SeasonIdx,A3346)-1)*SeasonAmp</f>
        <v/>
      </c>
      <c r="O3346" s="45">
        <f>IFERROR(INDEX(PSPct,MATCH(E3346&amp;"|"&amp;G3346,PSKey,0)),0)</f>
        <v/>
      </c>
      <c r="P3346" s="46" t="n">
        <v>0</v>
      </c>
      <c r="Q3346" s="46">
        <f>INDEX(OnlineUnitsCol,A3346)*O3346*(1+OnlineGrowth)*N3346*H3346*IF(A3346&gt;=I3346,1,0)</f>
        <v/>
      </c>
      <c r="R3346" s="46">
        <f>Q3346*INDEX(FmtCansPerPack,MATCH(F3346,FmtName,0))/INDEX(FmtCansPerCase,MATCH(F3346,FmtName,0))</f>
        <v/>
      </c>
      <c r="S3346" s="46">
        <f>R3346*INDEX(FmtCansPerCase,MATCH(F3346,FmtName,0))</f>
        <v/>
      </c>
      <c r="T3346" s="46">
        <f>S3346/INDEX(FmtCansPerPack,MATCH(F3346,FmtName,0))</f>
        <v/>
      </c>
      <c r="U3346" s="47">
        <f>INDEX(ProvOnline,MATCH(G3346,ProvCode,0))*(1+PriceIndex)</f>
        <v/>
      </c>
      <c r="V3346" s="47">
        <f>Q3346*U3346*INDEX(FmtBlendedPriceIdx,MATCH(F3346,FmtName,0))</f>
        <v/>
      </c>
      <c r="W3346" s="47">
        <f>V3346</f>
        <v/>
      </c>
      <c r="X3346" s="47">
        <f>IF(GrossBasis="Wholesale",V3346,W3346)</f>
        <v/>
      </c>
      <c r="Y3346" s="47">
        <f>R3346*INDEX(FmtBlendedCogs,MATCH(F3346,FmtName,0))</f>
        <v/>
      </c>
      <c r="Z3346" s="47">
        <f>X3346-Y3346</f>
        <v/>
      </c>
    </row>
    <row r="3347">
      <c r="A3347" t="n">
        <v>7</v>
      </c>
      <c r="B3347" s="44">
        <f>FiscalStart+(A3347-1)*7</f>
        <v/>
      </c>
      <c r="C3347">
        <f>TEXT(B3347,"mmm yyyy")</f>
        <v/>
      </c>
      <c r="D3347">
        <f>"Q"&amp;(INT((A3347-1)/13)+1)</f>
        <v/>
      </c>
      <c r="E3347" t="inlineStr">
        <is>
          <t>Online</t>
        </is>
      </c>
      <c r="F3347">
        <f>IFERROR(INDEX(ChFormat,MATCH(E3347,ChName,0)),"")</f>
        <v/>
      </c>
      <c r="G3347" t="inlineStr">
        <is>
          <t>MB</t>
        </is>
      </c>
      <c r="H3347">
        <f>IF(A3347&lt;=NWeeks,1,0)</f>
        <v/>
      </c>
      <c r="I3347">
        <f>INDEX(ChLaunch,MATCH(E3347,ChName,0))</f>
        <v/>
      </c>
      <c r="J3347">
        <f>INDEX(ChWeeksFull,MATCH(E3347,ChName,0))</f>
        <v/>
      </c>
      <c r="K3347">
        <f>INDEX(ChRamp,MATCH(E3347,ChName,0))</f>
        <v/>
      </c>
      <c r="L3347" s="45">
        <f>MIN(1,MAX(0,(A3347-I3347+1)*RampSpeed/J3347))</f>
        <v/>
      </c>
      <c r="M3347" s="45">
        <f>IF(A3347&lt;I3347,0,IF(K3347="S-curve",L3347*L3347*(3-2*L3347),L3347))</f>
        <v/>
      </c>
      <c r="N3347" s="45">
        <f>1+(INDEX(SeasonIdx,A3347)-1)*SeasonAmp</f>
        <v/>
      </c>
      <c r="O3347" s="45">
        <f>IFERROR(INDEX(PSPct,MATCH(E3347&amp;"|"&amp;G3347,PSKey,0)),0)</f>
        <v/>
      </c>
      <c r="P3347" s="46" t="n">
        <v>0</v>
      </c>
      <c r="Q3347" s="46">
        <f>INDEX(OnlineUnitsCol,A3347)*O3347*(1+OnlineGrowth)*N3347*H3347*IF(A3347&gt;=I3347,1,0)</f>
        <v/>
      </c>
      <c r="R3347" s="46">
        <f>Q3347*INDEX(FmtCansPerPack,MATCH(F3347,FmtName,0))/INDEX(FmtCansPerCase,MATCH(F3347,FmtName,0))</f>
        <v/>
      </c>
      <c r="S3347" s="46">
        <f>R3347*INDEX(FmtCansPerCase,MATCH(F3347,FmtName,0))</f>
        <v/>
      </c>
      <c r="T3347" s="46">
        <f>S3347/INDEX(FmtCansPerPack,MATCH(F3347,FmtName,0))</f>
        <v/>
      </c>
      <c r="U3347" s="47">
        <f>INDEX(ProvOnline,MATCH(G3347,ProvCode,0))*(1+PriceIndex)</f>
        <v/>
      </c>
      <c r="V3347" s="47">
        <f>Q3347*U3347*INDEX(FmtBlendedPriceIdx,MATCH(F3347,FmtName,0))</f>
        <v/>
      </c>
      <c r="W3347" s="47">
        <f>V3347</f>
        <v/>
      </c>
      <c r="X3347" s="47">
        <f>IF(GrossBasis="Wholesale",V3347,W3347)</f>
        <v/>
      </c>
      <c r="Y3347" s="47">
        <f>R3347*INDEX(FmtBlendedCogs,MATCH(F3347,FmtName,0))</f>
        <v/>
      </c>
      <c r="Z3347" s="47">
        <f>X3347-Y3347</f>
        <v/>
      </c>
    </row>
    <row r="3348">
      <c r="A3348" t="n">
        <v>8</v>
      </c>
      <c r="B3348" s="44">
        <f>FiscalStart+(A3348-1)*7</f>
        <v/>
      </c>
      <c r="C3348">
        <f>TEXT(B3348,"mmm yyyy")</f>
        <v/>
      </c>
      <c r="D3348">
        <f>"Q"&amp;(INT((A3348-1)/13)+1)</f>
        <v/>
      </c>
      <c r="E3348" t="inlineStr">
        <is>
          <t>Online</t>
        </is>
      </c>
      <c r="F3348">
        <f>IFERROR(INDEX(ChFormat,MATCH(E3348,ChName,0)),"")</f>
        <v/>
      </c>
      <c r="G3348" t="inlineStr">
        <is>
          <t>MB</t>
        </is>
      </c>
      <c r="H3348">
        <f>IF(A3348&lt;=NWeeks,1,0)</f>
        <v/>
      </c>
      <c r="I3348">
        <f>INDEX(ChLaunch,MATCH(E3348,ChName,0))</f>
        <v/>
      </c>
      <c r="J3348">
        <f>INDEX(ChWeeksFull,MATCH(E3348,ChName,0))</f>
        <v/>
      </c>
      <c r="K3348">
        <f>INDEX(ChRamp,MATCH(E3348,ChName,0))</f>
        <v/>
      </c>
      <c r="L3348" s="45">
        <f>MIN(1,MAX(0,(A3348-I3348+1)*RampSpeed/J3348))</f>
        <v/>
      </c>
      <c r="M3348" s="45">
        <f>IF(A3348&lt;I3348,0,IF(K3348="S-curve",L3348*L3348*(3-2*L3348),L3348))</f>
        <v/>
      </c>
      <c r="N3348" s="45">
        <f>1+(INDEX(SeasonIdx,A3348)-1)*SeasonAmp</f>
        <v/>
      </c>
      <c r="O3348" s="45">
        <f>IFERROR(INDEX(PSPct,MATCH(E3348&amp;"|"&amp;G3348,PSKey,0)),0)</f>
        <v/>
      </c>
      <c r="P3348" s="46" t="n">
        <v>0</v>
      </c>
      <c r="Q3348" s="46">
        <f>INDEX(OnlineUnitsCol,A3348)*O3348*(1+OnlineGrowth)*N3348*H3348*IF(A3348&gt;=I3348,1,0)</f>
        <v/>
      </c>
      <c r="R3348" s="46">
        <f>Q3348*INDEX(FmtCansPerPack,MATCH(F3348,FmtName,0))/INDEX(FmtCansPerCase,MATCH(F3348,FmtName,0))</f>
        <v/>
      </c>
      <c r="S3348" s="46">
        <f>R3348*INDEX(FmtCansPerCase,MATCH(F3348,FmtName,0))</f>
        <v/>
      </c>
      <c r="T3348" s="46">
        <f>S3348/INDEX(FmtCansPerPack,MATCH(F3348,FmtName,0))</f>
        <v/>
      </c>
      <c r="U3348" s="47">
        <f>INDEX(ProvOnline,MATCH(G3348,ProvCode,0))*(1+PriceIndex)</f>
        <v/>
      </c>
      <c r="V3348" s="47">
        <f>Q3348*U3348*INDEX(FmtBlendedPriceIdx,MATCH(F3348,FmtName,0))</f>
        <v/>
      </c>
      <c r="W3348" s="47">
        <f>V3348</f>
        <v/>
      </c>
      <c r="X3348" s="47">
        <f>IF(GrossBasis="Wholesale",V3348,W3348)</f>
        <v/>
      </c>
      <c r="Y3348" s="47">
        <f>R3348*INDEX(FmtBlendedCogs,MATCH(F3348,FmtName,0))</f>
        <v/>
      </c>
      <c r="Z3348" s="47">
        <f>X3348-Y3348</f>
        <v/>
      </c>
    </row>
    <row r="3349">
      <c r="A3349" t="n">
        <v>9</v>
      </c>
      <c r="B3349" s="44">
        <f>FiscalStart+(A3349-1)*7</f>
        <v/>
      </c>
      <c r="C3349">
        <f>TEXT(B3349,"mmm yyyy")</f>
        <v/>
      </c>
      <c r="D3349">
        <f>"Q"&amp;(INT((A3349-1)/13)+1)</f>
        <v/>
      </c>
      <c r="E3349" t="inlineStr">
        <is>
          <t>Online</t>
        </is>
      </c>
      <c r="F3349">
        <f>IFERROR(INDEX(ChFormat,MATCH(E3349,ChName,0)),"")</f>
        <v/>
      </c>
      <c r="G3349" t="inlineStr">
        <is>
          <t>MB</t>
        </is>
      </c>
      <c r="H3349">
        <f>IF(A3349&lt;=NWeeks,1,0)</f>
        <v/>
      </c>
      <c r="I3349">
        <f>INDEX(ChLaunch,MATCH(E3349,ChName,0))</f>
        <v/>
      </c>
      <c r="J3349">
        <f>INDEX(ChWeeksFull,MATCH(E3349,ChName,0))</f>
        <v/>
      </c>
      <c r="K3349">
        <f>INDEX(ChRamp,MATCH(E3349,ChName,0))</f>
        <v/>
      </c>
      <c r="L3349" s="45">
        <f>MIN(1,MAX(0,(A3349-I3349+1)*RampSpeed/J3349))</f>
        <v/>
      </c>
      <c r="M3349" s="45">
        <f>IF(A3349&lt;I3349,0,IF(K3349="S-curve",L3349*L3349*(3-2*L3349),L3349))</f>
        <v/>
      </c>
      <c r="N3349" s="45">
        <f>1+(INDEX(SeasonIdx,A3349)-1)*SeasonAmp</f>
        <v/>
      </c>
      <c r="O3349" s="45">
        <f>IFERROR(INDEX(PSPct,MATCH(E3349&amp;"|"&amp;G3349,PSKey,0)),0)</f>
        <v/>
      </c>
      <c r="P3349" s="46" t="n">
        <v>0</v>
      </c>
      <c r="Q3349" s="46">
        <f>INDEX(OnlineUnitsCol,A3349)*O3349*(1+OnlineGrowth)*N3349*H3349*IF(A3349&gt;=I3349,1,0)</f>
        <v/>
      </c>
      <c r="R3349" s="46">
        <f>Q3349*INDEX(FmtCansPerPack,MATCH(F3349,FmtName,0))/INDEX(FmtCansPerCase,MATCH(F3349,FmtName,0))</f>
        <v/>
      </c>
      <c r="S3349" s="46">
        <f>R3349*INDEX(FmtCansPerCase,MATCH(F3349,FmtName,0))</f>
        <v/>
      </c>
      <c r="T3349" s="46">
        <f>S3349/INDEX(FmtCansPerPack,MATCH(F3349,FmtName,0))</f>
        <v/>
      </c>
      <c r="U3349" s="47">
        <f>INDEX(ProvOnline,MATCH(G3349,ProvCode,0))*(1+PriceIndex)</f>
        <v/>
      </c>
      <c r="V3349" s="47">
        <f>Q3349*U3349*INDEX(FmtBlendedPriceIdx,MATCH(F3349,FmtName,0))</f>
        <v/>
      </c>
      <c r="W3349" s="47">
        <f>V3349</f>
        <v/>
      </c>
      <c r="X3349" s="47">
        <f>IF(GrossBasis="Wholesale",V3349,W3349)</f>
        <v/>
      </c>
      <c r="Y3349" s="47">
        <f>R3349*INDEX(FmtBlendedCogs,MATCH(F3349,FmtName,0))</f>
        <v/>
      </c>
      <c r="Z3349" s="47">
        <f>X3349-Y3349</f>
        <v/>
      </c>
    </row>
    <row r="3350">
      <c r="A3350" t="n">
        <v>10</v>
      </c>
      <c r="B3350" s="44">
        <f>FiscalStart+(A3350-1)*7</f>
        <v/>
      </c>
      <c r="C3350">
        <f>TEXT(B3350,"mmm yyyy")</f>
        <v/>
      </c>
      <c r="D3350">
        <f>"Q"&amp;(INT((A3350-1)/13)+1)</f>
        <v/>
      </c>
      <c r="E3350" t="inlineStr">
        <is>
          <t>Online</t>
        </is>
      </c>
      <c r="F3350">
        <f>IFERROR(INDEX(ChFormat,MATCH(E3350,ChName,0)),"")</f>
        <v/>
      </c>
      <c r="G3350" t="inlineStr">
        <is>
          <t>MB</t>
        </is>
      </c>
      <c r="H3350">
        <f>IF(A3350&lt;=NWeeks,1,0)</f>
        <v/>
      </c>
      <c r="I3350">
        <f>INDEX(ChLaunch,MATCH(E3350,ChName,0))</f>
        <v/>
      </c>
      <c r="J3350">
        <f>INDEX(ChWeeksFull,MATCH(E3350,ChName,0))</f>
        <v/>
      </c>
      <c r="K3350">
        <f>INDEX(ChRamp,MATCH(E3350,ChName,0))</f>
        <v/>
      </c>
      <c r="L3350" s="45">
        <f>MIN(1,MAX(0,(A3350-I3350+1)*RampSpeed/J3350))</f>
        <v/>
      </c>
      <c r="M3350" s="45">
        <f>IF(A3350&lt;I3350,0,IF(K3350="S-curve",L3350*L3350*(3-2*L3350),L3350))</f>
        <v/>
      </c>
      <c r="N3350" s="45">
        <f>1+(INDEX(SeasonIdx,A3350)-1)*SeasonAmp</f>
        <v/>
      </c>
      <c r="O3350" s="45">
        <f>IFERROR(INDEX(PSPct,MATCH(E3350&amp;"|"&amp;G3350,PSKey,0)),0)</f>
        <v/>
      </c>
      <c r="P3350" s="46" t="n">
        <v>0</v>
      </c>
      <c r="Q3350" s="46">
        <f>INDEX(OnlineUnitsCol,A3350)*O3350*(1+OnlineGrowth)*N3350*H3350*IF(A3350&gt;=I3350,1,0)</f>
        <v/>
      </c>
      <c r="R3350" s="46">
        <f>Q3350*INDEX(FmtCansPerPack,MATCH(F3350,FmtName,0))/INDEX(FmtCansPerCase,MATCH(F3350,FmtName,0))</f>
        <v/>
      </c>
      <c r="S3350" s="46">
        <f>R3350*INDEX(FmtCansPerCase,MATCH(F3350,FmtName,0))</f>
        <v/>
      </c>
      <c r="T3350" s="46">
        <f>S3350/INDEX(FmtCansPerPack,MATCH(F3350,FmtName,0))</f>
        <v/>
      </c>
      <c r="U3350" s="47">
        <f>INDEX(ProvOnline,MATCH(G3350,ProvCode,0))*(1+PriceIndex)</f>
        <v/>
      </c>
      <c r="V3350" s="47">
        <f>Q3350*U3350*INDEX(FmtBlendedPriceIdx,MATCH(F3350,FmtName,0))</f>
        <v/>
      </c>
      <c r="W3350" s="47">
        <f>V3350</f>
        <v/>
      </c>
      <c r="X3350" s="47">
        <f>IF(GrossBasis="Wholesale",V3350,W3350)</f>
        <v/>
      </c>
      <c r="Y3350" s="47">
        <f>R3350*INDEX(FmtBlendedCogs,MATCH(F3350,FmtName,0))</f>
        <v/>
      </c>
      <c r="Z3350" s="47">
        <f>X3350-Y3350</f>
        <v/>
      </c>
    </row>
    <row r="3351">
      <c r="A3351" t="n">
        <v>11</v>
      </c>
      <c r="B3351" s="44">
        <f>FiscalStart+(A3351-1)*7</f>
        <v/>
      </c>
      <c r="C3351">
        <f>TEXT(B3351,"mmm yyyy")</f>
        <v/>
      </c>
      <c r="D3351">
        <f>"Q"&amp;(INT((A3351-1)/13)+1)</f>
        <v/>
      </c>
      <c r="E3351" t="inlineStr">
        <is>
          <t>Online</t>
        </is>
      </c>
      <c r="F3351">
        <f>IFERROR(INDEX(ChFormat,MATCH(E3351,ChName,0)),"")</f>
        <v/>
      </c>
      <c r="G3351" t="inlineStr">
        <is>
          <t>MB</t>
        </is>
      </c>
      <c r="H3351">
        <f>IF(A3351&lt;=NWeeks,1,0)</f>
        <v/>
      </c>
      <c r="I3351">
        <f>INDEX(ChLaunch,MATCH(E3351,ChName,0))</f>
        <v/>
      </c>
      <c r="J3351">
        <f>INDEX(ChWeeksFull,MATCH(E3351,ChName,0))</f>
        <v/>
      </c>
      <c r="K3351">
        <f>INDEX(ChRamp,MATCH(E3351,ChName,0))</f>
        <v/>
      </c>
      <c r="L3351" s="45">
        <f>MIN(1,MAX(0,(A3351-I3351+1)*RampSpeed/J3351))</f>
        <v/>
      </c>
      <c r="M3351" s="45">
        <f>IF(A3351&lt;I3351,0,IF(K3351="S-curve",L3351*L3351*(3-2*L3351),L3351))</f>
        <v/>
      </c>
      <c r="N3351" s="45">
        <f>1+(INDEX(SeasonIdx,A3351)-1)*SeasonAmp</f>
        <v/>
      </c>
      <c r="O3351" s="45">
        <f>IFERROR(INDEX(PSPct,MATCH(E3351&amp;"|"&amp;G3351,PSKey,0)),0)</f>
        <v/>
      </c>
      <c r="P3351" s="46" t="n">
        <v>0</v>
      </c>
      <c r="Q3351" s="46">
        <f>INDEX(OnlineUnitsCol,A3351)*O3351*(1+OnlineGrowth)*N3351*H3351*IF(A3351&gt;=I3351,1,0)</f>
        <v/>
      </c>
      <c r="R3351" s="46">
        <f>Q3351*INDEX(FmtCansPerPack,MATCH(F3351,FmtName,0))/INDEX(FmtCansPerCase,MATCH(F3351,FmtName,0))</f>
        <v/>
      </c>
      <c r="S3351" s="46">
        <f>R3351*INDEX(FmtCansPerCase,MATCH(F3351,FmtName,0))</f>
        <v/>
      </c>
      <c r="T3351" s="46">
        <f>S3351/INDEX(FmtCansPerPack,MATCH(F3351,FmtName,0))</f>
        <v/>
      </c>
      <c r="U3351" s="47">
        <f>INDEX(ProvOnline,MATCH(G3351,ProvCode,0))*(1+PriceIndex)</f>
        <v/>
      </c>
      <c r="V3351" s="47">
        <f>Q3351*U3351*INDEX(FmtBlendedPriceIdx,MATCH(F3351,FmtName,0))</f>
        <v/>
      </c>
      <c r="W3351" s="47">
        <f>V3351</f>
        <v/>
      </c>
      <c r="X3351" s="47">
        <f>IF(GrossBasis="Wholesale",V3351,W3351)</f>
        <v/>
      </c>
      <c r="Y3351" s="47">
        <f>R3351*INDEX(FmtBlendedCogs,MATCH(F3351,FmtName,0))</f>
        <v/>
      </c>
      <c r="Z3351" s="47">
        <f>X3351-Y3351</f>
        <v/>
      </c>
    </row>
    <row r="3352">
      <c r="A3352" t="n">
        <v>12</v>
      </c>
      <c r="B3352" s="44">
        <f>FiscalStart+(A3352-1)*7</f>
        <v/>
      </c>
      <c r="C3352">
        <f>TEXT(B3352,"mmm yyyy")</f>
        <v/>
      </c>
      <c r="D3352">
        <f>"Q"&amp;(INT((A3352-1)/13)+1)</f>
        <v/>
      </c>
      <c r="E3352" t="inlineStr">
        <is>
          <t>Online</t>
        </is>
      </c>
      <c r="F3352">
        <f>IFERROR(INDEX(ChFormat,MATCH(E3352,ChName,0)),"")</f>
        <v/>
      </c>
      <c r="G3352" t="inlineStr">
        <is>
          <t>MB</t>
        </is>
      </c>
      <c r="H3352">
        <f>IF(A3352&lt;=NWeeks,1,0)</f>
        <v/>
      </c>
      <c r="I3352">
        <f>INDEX(ChLaunch,MATCH(E3352,ChName,0))</f>
        <v/>
      </c>
      <c r="J3352">
        <f>INDEX(ChWeeksFull,MATCH(E3352,ChName,0))</f>
        <v/>
      </c>
      <c r="K3352">
        <f>INDEX(ChRamp,MATCH(E3352,ChName,0))</f>
        <v/>
      </c>
      <c r="L3352" s="45">
        <f>MIN(1,MAX(0,(A3352-I3352+1)*RampSpeed/J3352))</f>
        <v/>
      </c>
      <c r="M3352" s="45">
        <f>IF(A3352&lt;I3352,0,IF(K3352="S-curve",L3352*L3352*(3-2*L3352),L3352))</f>
        <v/>
      </c>
      <c r="N3352" s="45">
        <f>1+(INDEX(SeasonIdx,A3352)-1)*SeasonAmp</f>
        <v/>
      </c>
      <c r="O3352" s="45">
        <f>IFERROR(INDEX(PSPct,MATCH(E3352&amp;"|"&amp;G3352,PSKey,0)),0)</f>
        <v/>
      </c>
      <c r="P3352" s="46" t="n">
        <v>0</v>
      </c>
      <c r="Q3352" s="46">
        <f>INDEX(OnlineUnitsCol,A3352)*O3352*(1+OnlineGrowth)*N3352*H3352*IF(A3352&gt;=I3352,1,0)</f>
        <v/>
      </c>
      <c r="R3352" s="46">
        <f>Q3352*INDEX(FmtCansPerPack,MATCH(F3352,FmtName,0))/INDEX(FmtCansPerCase,MATCH(F3352,FmtName,0))</f>
        <v/>
      </c>
      <c r="S3352" s="46">
        <f>R3352*INDEX(FmtCansPerCase,MATCH(F3352,FmtName,0))</f>
        <v/>
      </c>
      <c r="T3352" s="46">
        <f>S3352/INDEX(FmtCansPerPack,MATCH(F3352,FmtName,0))</f>
        <v/>
      </c>
      <c r="U3352" s="47">
        <f>INDEX(ProvOnline,MATCH(G3352,ProvCode,0))*(1+PriceIndex)</f>
        <v/>
      </c>
      <c r="V3352" s="47">
        <f>Q3352*U3352*INDEX(FmtBlendedPriceIdx,MATCH(F3352,FmtName,0))</f>
        <v/>
      </c>
      <c r="W3352" s="47">
        <f>V3352</f>
        <v/>
      </c>
      <c r="X3352" s="47">
        <f>IF(GrossBasis="Wholesale",V3352,W3352)</f>
        <v/>
      </c>
      <c r="Y3352" s="47">
        <f>R3352*INDEX(FmtBlendedCogs,MATCH(F3352,FmtName,0))</f>
        <v/>
      </c>
      <c r="Z3352" s="47">
        <f>X3352-Y3352</f>
        <v/>
      </c>
    </row>
    <row r="3353">
      <c r="A3353" t="n">
        <v>13</v>
      </c>
      <c r="B3353" s="44">
        <f>FiscalStart+(A3353-1)*7</f>
        <v/>
      </c>
      <c r="C3353">
        <f>TEXT(B3353,"mmm yyyy")</f>
        <v/>
      </c>
      <c r="D3353">
        <f>"Q"&amp;(INT((A3353-1)/13)+1)</f>
        <v/>
      </c>
      <c r="E3353" t="inlineStr">
        <is>
          <t>Online</t>
        </is>
      </c>
      <c r="F3353">
        <f>IFERROR(INDEX(ChFormat,MATCH(E3353,ChName,0)),"")</f>
        <v/>
      </c>
      <c r="G3353" t="inlineStr">
        <is>
          <t>MB</t>
        </is>
      </c>
      <c r="H3353">
        <f>IF(A3353&lt;=NWeeks,1,0)</f>
        <v/>
      </c>
      <c r="I3353">
        <f>INDEX(ChLaunch,MATCH(E3353,ChName,0))</f>
        <v/>
      </c>
      <c r="J3353">
        <f>INDEX(ChWeeksFull,MATCH(E3353,ChName,0))</f>
        <v/>
      </c>
      <c r="K3353">
        <f>INDEX(ChRamp,MATCH(E3353,ChName,0))</f>
        <v/>
      </c>
      <c r="L3353" s="45">
        <f>MIN(1,MAX(0,(A3353-I3353+1)*RampSpeed/J3353))</f>
        <v/>
      </c>
      <c r="M3353" s="45">
        <f>IF(A3353&lt;I3353,0,IF(K3353="S-curve",L3353*L3353*(3-2*L3353),L3353))</f>
        <v/>
      </c>
      <c r="N3353" s="45">
        <f>1+(INDEX(SeasonIdx,A3353)-1)*SeasonAmp</f>
        <v/>
      </c>
      <c r="O3353" s="45">
        <f>IFERROR(INDEX(PSPct,MATCH(E3353&amp;"|"&amp;G3353,PSKey,0)),0)</f>
        <v/>
      </c>
      <c r="P3353" s="46" t="n">
        <v>0</v>
      </c>
      <c r="Q3353" s="46">
        <f>INDEX(OnlineUnitsCol,A3353)*O3353*(1+OnlineGrowth)*N3353*H3353*IF(A3353&gt;=I3353,1,0)</f>
        <v/>
      </c>
      <c r="R3353" s="46">
        <f>Q3353*INDEX(FmtCansPerPack,MATCH(F3353,FmtName,0))/INDEX(FmtCansPerCase,MATCH(F3353,FmtName,0))</f>
        <v/>
      </c>
      <c r="S3353" s="46">
        <f>R3353*INDEX(FmtCansPerCase,MATCH(F3353,FmtName,0))</f>
        <v/>
      </c>
      <c r="T3353" s="46">
        <f>S3353/INDEX(FmtCansPerPack,MATCH(F3353,FmtName,0))</f>
        <v/>
      </c>
      <c r="U3353" s="47">
        <f>INDEX(ProvOnline,MATCH(G3353,ProvCode,0))*(1+PriceIndex)</f>
        <v/>
      </c>
      <c r="V3353" s="47">
        <f>Q3353*U3353*INDEX(FmtBlendedPriceIdx,MATCH(F3353,FmtName,0))</f>
        <v/>
      </c>
      <c r="W3353" s="47">
        <f>V3353</f>
        <v/>
      </c>
      <c r="X3353" s="47">
        <f>IF(GrossBasis="Wholesale",V3353,W3353)</f>
        <v/>
      </c>
      <c r="Y3353" s="47">
        <f>R3353*INDEX(FmtBlendedCogs,MATCH(F3353,FmtName,0))</f>
        <v/>
      </c>
      <c r="Z3353" s="47">
        <f>X3353-Y3353</f>
        <v/>
      </c>
    </row>
    <row r="3354">
      <c r="A3354" t="n">
        <v>14</v>
      </c>
      <c r="B3354" s="44">
        <f>FiscalStart+(A3354-1)*7</f>
        <v/>
      </c>
      <c r="C3354">
        <f>TEXT(B3354,"mmm yyyy")</f>
        <v/>
      </c>
      <c r="D3354">
        <f>"Q"&amp;(INT((A3354-1)/13)+1)</f>
        <v/>
      </c>
      <c r="E3354" t="inlineStr">
        <is>
          <t>Online</t>
        </is>
      </c>
      <c r="F3354">
        <f>IFERROR(INDEX(ChFormat,MATCH(E3354,ChName,0)),"")</f>
        <v/>
      </c>
      <c r="G3354" t="inlineStr">
        <is>
          <t>MB</t>
        </is>
      </c>
      <c r="H3354">
        <f>IF(A3354&lt;=NWeeks,1,0)</f>
        <v/>
      </c>
      <c r="I3354">
        <f>INDEX(ChLaunch,MATCH(E3354,ChName,0))</f>
        <v/>
      </c>
      <c r="J3354">
        <f>INDEX(ChWeeksFull,MATCH(E3354,ChName,0))</f>
        <v/>
      </c>
      <c r="K3354">
        <f>INDEX(ChRamp,MATCH(E3354,ChName,0))</f>
        <v/>
      </c>
      <c r="L3354" s="45">
        <f>MIN(1,MAX(0,(A3354-I3354+1)*RampSpeed/J3354))</f>
        <v/>
      </c>
      <c r="M3354" s="45">
        <f>IF(A3354&lt;I3354,0,IF(K3354="S-curve",L3354*L3354*(3-2*L3354),L3354))</f>
        <v/>
      </c>
      <c r="N3354" s="45">
        <f>1+(INDEX(SeasonIdx,A3354)-1)*SeasonAmp</f>
        <v/>
      </c>
      <c r="O3354" s="45">
        <f>IFERROR(INDEX(PSPct,MATCH(E3354&amp;"|"&amp;G3354,PSKey,0)),0)</f>
        <v/>
      </c>
      <c r="P3354" s="46" t="n">
        <v>0</v>
      </c>
      <c r="Q3354" s="46">
        <f>INDEX(OnlineUnitsCol,A3354)*O3354*(1+OnlineGrowth)*N3354*H3354*IF(A3354&gt;=I3354,1,0)</f>
        <v/>
      </c>
      <c r="R3354" s="46">
        <f>Q3354*INDEX(FmtCansPerPack,MATCH(F3354,FmtName,0))/INDEX(FmtCansPerCase,MATCH(F3354,FmtName,0))</f>
        <v/>
      </c>
      <c r="S3354" s="46">
        <f>R3354*INDEX(FmtCansPerCase,MATCH(F3354,FmtName,0))</f>
        <v/>
      </c>
      <c r="T3354" s="46">
        <f>S3354/INDEX(FmtCansPerPack,MATCH(F3354,FmtName,0))</f>
        <v/>
      </c>
      <c r="U3354" s="47">
        <f>INDEX(ProvOnline,MATCH(G3354,ProvCode,0))*(1+PriceIndex)</f>
        <v/>
      </c>
      <c r="V3354" s="47">
        <f>Q3354*U3354*INDEX(FmtBlendedPriceIdx,MATCH(F3354,FmtName,0))</f>
        <v/>
      </c>
      <c r="W3354" s="47">
        <f>V3354</f>
        <v/>
      </c>
      <c r="X3354" s="47">
        <f>IF(GrossBasis="Wholesale",V3354,W3354)</f>
        <v/>
      </c>
      <c r="Y3354" s="47">
        <f>R3354*INDEX(FmtBlendedCogs,MATCH(F3354,FmtName,0))</f>
        <v/>
      </c>
      <c r="Z3354" s="47">
        <f>X3354-Y3354</f>
        <v/>
      </c>
    </row>
    <row r="3355">
      <c r="A3355" t="n">
        <v>15</v>
      </c>
      <c r="B3355" s="44">
        <f>FiscalStart+(A3355-1)*7</f>
        <v/>
      </c>
      <c r="C3355">
        <f>TEXT(B3355,"mmm yyyy")</f>
        <v/>
      </c>
      <c r="D3355">
        <f>"Q"&amp;(INT((A3355-1)/13)+1)</f>
        <v/>
      </c>
      <c r="E3355" t="inlineStr">
        <is>
          <t>Online</t>
        </is>
      </c>
      <c r="F3355">
        <f>IFERROR(INDEX(ChFormat,MATCH(E3355,ChName,0)),"")</f>
        <v/>
      </c>
      <c r="G3355" t="inlineStr">
        <is>
          <t>MB</t>
        </is>
      </c>
      <c r="H3355">
        <f>IF(A3355&lt;=NWeeks,1,0)</f>
        <v/>
      </c>
      <c r="I3355">
        <f>INDEX(ChLaunch,MATCH(E3355,ChName,0))</f>
        <v/>
      </c>
      <c r="J3355">
        <f>INDEX(ChWeeksFull,MATCH(E3355,ChName,0))</f>
        <v/>
      </c>
      <c r="K3355">
        <f>INDEX(ChRamp,MATCH(E3355,ChName,0))</f>
        <v/>
      </c>
      <c r="L3355" s="45">
        <f>MIN(1,MAX(0,(A3355-I3355+1)*RampSpeed/J3355))</f>
        <v/>
      </c>
      <c r="M3355" s="45">
        <f>IF(A3355&lt;I3355,0,IF(K3355="S-curve",L3355*L3355*(3-2*L3355),L3355))</f>
        <v/>
      </c>
      <c r="N3355" s="45">
        <f>1+(INDEX(SeasonIdx,A3355)-1)*SeasonAmp</f>
        <v/>
      </c>
      <c r="O3355" s="45">
        <f>IFERROR(INDEX(PSPct,MATCH(E3355&amp;"|"&amp;G3355,PSKey,0)),0)</f>
        <v/>
      </c>
      <c r="P3355" s="46" t="n">
        <v>0</v>
      </c>
      <c r="Q3355" s="46">
        <f>INDEX(OnlineUnitsCol,A3355)*O3355*(1+OnlineGrowth)*N3355*H3355*IF(A3355&gt;=I3355,1,0)</f>
        <v/>
      </c>
      <c r="R3355" s="46">
        <f>Q3355*INDEX(FmtCansPerPack,MATCH(F3355,FmtName,0))/INDEX(FmtCansPerCase,MATCH(F3355,FmtName,0))</f>
        <v/>
      </c>
      <c r="S3355" s="46">
        <f>R3355*INDEX(FmtCansPerCase,MATCH(F3355,FmtName,0))</f>
        <v/>
      </c>
      <c r="T3355" s="46">
        <f>S3355/INDEX(FmtCansPerPack,MATCH(F3355,FmtName,0))</f>
        <v/>
      </c>
      <c r="U3355" s="47">
        <f>INDEX(ProvOnline,MATCH(G3355,ProvCode,0))*(1+PriceIndex)</f>
        <v/>
      </c>
      <c r="V3355" s="47">
        <f>Q3355*U3355*INDEX(FmtBlendedPriceIdx,MATCH(F3355,FmtName,0))</f>
        <v/>
      </c>
      <c r="W3355" s="47">
        <f>V3355</f>
        <v/>
      </c>
      <c r="X3355" s="47">
        <f>IF(GrossBasis="Wholesale",V3355,W3355)</f>
        <v/>
      </c>
      <c r="Y3355" s="47">
        <f>R3355*INDEX(FmtBlendedCogs,MATCH(F3355,FmtName,0))</f>
        <v/>
      </c>
      <c r="Z3355" s="47">
        <f>X3355-Y3355</f>
        <v/>
      </c>
    </row>
    <row r="3356">
      <c r="A3356" t="n">
        <v>16</v>
      </c>
      <c r="B3356" s="44">
        <f>FiscalStart+(A3356-1)*7</f>
        <v/>
      </c>
      <c r="C3356">
        <f>TEXT(B3356,"mmm yyyy")</f>
        <v/>
      </c>
      <c r="D3356">
        <f>"Q"&amp;(INT((A3356-1)/13)+1)</f>
        <v/>
      </c>
      <c r="E3356" t="inlineStr">
        <is>
          <t>Online</t>
        </is>
      </c>
      <c r="F3356">
        <f>IFERROR(INDEX(ChFormat,MATCH(E3356,ChName,0)),"")</f>
        <v/>
      </c>
      <c r="G3356" t="inlineStr">
        <is>
          <t>MB</t>
        </is>
      </c>
      <c r="H3356">
        <f>IF(A3356&lt;=NWeeks,1,0)</f>
        <v/>
      </c>
      <c r="I3356">
        <f>INDEX(ChLaunch,MATCH(E3356,ChName,0))</f>
        <v/>
      </c>
      <c r="J3356">
        <f>INDEX(ChWeeksFull,MATCH(E3356,ChName,0))</f>
        <v/>
      </c>
      <c r="K3356">
        <f>INDEX(ChRamp,MATCH(E3356,ChName,0))</f>
        <v/>
      </c>
      <c r="L3356" s="45">
        <f>MIN(1,MAX(0,(A3356-I3356+1)*RampSpeed/J3356))</f>
        <v/>
      </c>
      <c r="M3356" s="45">
        <f>IF(A3356&lt;I3356,0,IF(K3356="S-curve",L3356*L3356*(3-2*L3356),L3356))</f>
        <v/>
      </c>
      <c r="N3356" s="45">
        <f>1+(INDEX(SeasonIdx,A3356)-1)*SeasonAmp</f>
        <v/>
      </c>
      <c r="O3356" s="45">
        <f>IFERROR(INDEX(PSPct,MATCH(E3356&amp;"|"&amp;G3356,PSKey,0)),0)</f>
        <v/>
      </c>
      <c r="P3356" s="46" t="n">
        <v>0</v>
      </c>
      <c r="Q3356" s="46">
        <f>INDEX(OnlineUnitsCol,A3356)*O3356*(1+OnlineGrowth)*N3356*H3356*IF(A3356&gt;=I3356,1,0)</f>
        <v/>
      </c>
      <c r="R3356" s="46">
        <f>Q3356*INDEX(FmtCansPerPack,MATCH(F3356,FmtName,0))/INDEX(FmtCansPerCase,MATCH(F3356,FmtName,0))</f>
        <v/>
      </c>
      <c r="S3356" s="46">
        <f>R3356*INDEX(FmtCansPerCase,MATCH(F3356,FmtName,0))</f>
        <v/>
      </c>
      <c r="T3356" s="46">
        <f>S3356/INDEX(FmtCansPerPack,MATCH(F3356,FmtName,0))</f>
        <v/>
      </c>
      <c r="U3356" s="47">
        <f>INDEX(ProvOnline,MATCH(G3356,ProvCode,0))*(1+PriceIndex)</f>
        <v/>
      </c>
      <c r="V3356" s="47">
        <f>Q3356*U3356*INDEX(FmtBlendedPriceIdx,MATCH(F3356,FmtName,0))</f>
        <v/>
      </c>
      <c r="W3356" s="47">
        <f>V3356</f>
        <v/>
      </c>
      <c r="X3356" s="47">
        <f>IF(GrossBasis="Wholesale",V3356,W3356)</f>
        <v/>
      </c>
      <c r="Y3356" s="47">
        <f>R3356*INDEX(FmtBlendedCogs,MATCH(F3356,FmtName,0))</f>
        <v/>
      </c>
      <c r="Z3356" s="47">
        <f>X3356-Y3356</f>
        <v/>
      </c>
    </row>
    <row r="3357">
      <c r="A3357" t="n">
        <v>17</v>
      </c>
      <c r="B3357" s="44">
        <f>FiscalStart+(A3357-1)*7</f>
        <v/>
      </c>
      <c r="C3357">
        <f>TEXT(B3357,"mmm yyyy")</f>
        <v/>
      </c>
      <c r="D3357">
        <f>"Q"&amp;(INT((A3357-1)/13)+1)</f>
        <v/>
      </c>
      <c r="E3357" t="inlineStr">
        <is>
          <t>Online</t>
        </is>
      </c>
      <c r="F3357">
        <f>IFERROR(INDEX(ChFormat,MATCH(E3357,ChName,0)),"")</f>
        <v/>
      </c>
      <c r="G3357" t="inlineStr">
        <is>
          <t>MB</t>
        </is>
      </c>
      <c r="H3357">
        <f>IF(A3357&lt;=NWeeks,1,0)</f>
        <v/>
      </c>
      <c r="I3357">
        <f>INDEX(ChLaunch,MATCH(E3357,ChName,0))</f>
        <v/>
      </c>
      <c r="J3357">
        <f>INDEX(ChWeeksFull,MATCH(E3357,ChName,0))</f>
        <v/>
      </c>
      <c r="K3357">
        <f>INDEX(ChRamp,MATCH(E3357,ChName,0))</f>
        <v/>
      </c>
      <c r="L3357" s="45">
        <f>MIN(1,MAX(0,(A3357-I3357+1)*RampSpeed/J3357))</f>
        <v/>
      </c>
      <c r="M3357" s="45">
        <f>IF(A3357&lt;I3357,0,IF(K3357="S-curve",L3357*L3357*(3-2*L3357),L3357))</f>
        <v/>
      </c>
      <c r="N3357" s="45">
        <f>1+(INDEX(SeasonIdx,A3357)-1)*SeasonAmp</f>
        <v/>
      </c>
      <c r="O3357" s="45">
        <f>IFERROR(INDEX(PSPct,MATCH(E3357&amp;"|"&amp;G3357,PSKey,0)),0)</f>
        <v/>
      </c>
      <c r="P3357" s="46" t="n">
        <v>0</v>
      </c>
      <c r="Q3357" s="46">
        <f>INDEX(OnlineUnitsCol,A3357)*O3357*(1+OnlineGrowth)*N3357*H3357*IF(A3357&gt;=I3357,1,0)</f>
        <v/>
      </c>
      <c r="R3357" s="46">
        <f>Q3357*INDEX(FmtCansPerPack,MATCH(F3357,FmtName,0))/INDEX(FmtCansPerCase,MATCH(F3357,FmtName,0))</f>
        <v/>
      </c>
      <c r="S3357" s="46">
        <f>R3357*INDEX(FmtCansPerCase,MATCH(F3357,FmtName,0))</f>
        <v/>
      </c>
      <c r="T3357" s="46">
        <f>S3357/INDEX(FmtCansPerPack,MATCH(F3357,FmtName,0))</f>
        <v/>
      </c>
      <c r="U3357" s="47">
        <f>INDEX(ProvOnline,MATCH(G3357,ProvCode,0))*(1+PriceIndex)</f>
        <v/>
      </c>
      <c r="V3357" s="47">
        <f>Q3357*U3357*INDEX(FmtBlendedPriceIdx,MATCH(F3357,FmtName,0))</f>
        <v/>
      </c>
      <c r="W3357" s="47">
        <f>V3357</f>
        <v/>
      </c>
      <c r="X3357" s="47">
        <f>IF(GrossBasis="Wholesale",V3357,W3357)</f>
        <v/>
      </c>
      <c r="Y3357" s="47">
        <f>R3357*INDEX(FmtBlendedCogs,MATCH(F3357,FmtName,0))</f>
        <v/>
      </c>
      <c r="Z3357" s="47">
        <f>X3357-Y3357</f>
        <v/>
      </c>
    </row>
    <row r="3358">
      <c r="A3358" t="n">
        <v>18</v>
      </c>
      <c r="B3358" s="44">
        <f>FiscalStart+(A3358-1)*7</f>
        <v/>
      </c>
      <c r="C3358">
        <f>TEXT(B3358,"mmm yyyy")</f>
        <v/>
      </c>
      <c r="D3358">
        <f>"Q"&amp;(INT((A3358-1)/13)+1)</f>
        <v/>
      </c>
      <c r="E3358" t="inlineStr">
        <is>
          <t>Online</t>
        </is>
      </c>
      <c r="F3358">
        <f>IFERROR(INDEX(ChFormat,MATCH(E3358,ChName,0)),"")</f>
        <v/>
      </c>
      <c r="G3358" t="inlineStr">
        <is>
          <t>MB</t>
        </is>
      </c>
      <c r="H3358">
        <f>IF(A3358&lt;=NWeeks,1,0)</f>
        <v/>
      </c>
      <c r="I3358">
        <f>INDEX(ChLaunch,MATCH(E3358,ChName,0))</f>
        <v/>
      </c>
      <c r="J3358">
        <f>INDEX(ChWeeksFull,MATCH(E3358,ChName,0))</f>
        <v/>
      </c>
      <c r="K3358">
        <f>INDEX(ChRamp,MATCH(E3358,ChName,0))</f>
        <v/>
      </c>
      <c r="L3358" s="45">
        <f>MIN(1,MAX(0,(A3358-I3358+1)*RampSpeed/J3358))</f>
        <v/>
      </c>
      <c r="M3358" s="45">
        <f>IF(A3358&lt;I3358,0,IF(K3358="S-curve",L3358*L3358*(3-2*L3358),L3358))</f>
        <v/>
      </c>
      <c r="N3358" s="45">
        <f>1+(INDEX(SeasonIdx,A3358)-1)*SeasonAmp</f>
        <v/>
      </c>
      <c r="O3358" s="45">
        <f>IFERROR(INDEX(PSPct,MATCH(E3358&amp;"|"&amp;G3358,PSKey,0)),0)</f>
        <v/>
      </c>
      <c r="P3358" s="46" t="n">
        <v>0</v>
      </c>
      <c r="Q3358" s="46">
        <f>INDEX(OnlineUnitsCol,A3358)*O3358*(1+OnlineGrowth)*N3358*H3358*IF(A3358&gt;=I3358,1,0)</f>
        <v/>
      </c>
      <c r="R3358" s="46">
        <f>Q3358*INDEX(FmtCansPerPack,MATCH(F3358,FmtName,0))/INDEX(FmtCansPerCase,MATCH(F3358,FmtName,0))</f>
        <v/>
      </c>
      <c r="S3358" s="46">
        <f>R3358*INDEX(FmtCansPerCase,MATCH(F3358,FmtName,0))</f>
        <v/>
      </c>
      <c r="T3358" s="46">
        <f>S3358/INDEX(FmtCansPerPack,MATCH(F3358,FmtName,0))</f>
        <v/>
      </c>
      <c r="U3358" s="47">
        <f>INDEX(ProvOnline,MATCH(G3358,ProvCode,0))*(1+PriceIndex)</f>
        <v/>
      </c>
      <c r="V3358" s="47">
        <f>Q3358*U3358*INDEX(FmtBlendedPriceIdx,MATCH(F3358,FmtName,0))</f>
        <v/>
      </c>
      <c r="W3358" s="47">
        <f>V3358</f>
        <v/>
      </c>
      <c r="X3358" s="47">
        <f>IF(GrossBasis="Wholesale",V3358,W3358)</f>
        <v/>
      </c>
      <c r="Y3358" s="47">
        <f>R3358*INDEX(FmtBlendedCogs,MATCH(F3358,FmtName,0))</f>
        <v/>
      </c>
      <c r="Z3358" s="47">
        <f>X3358-Y3358</f>
        <v/>
      </c>
    </row>
    <row r="3359">
      <c r="A3359" t="n">
        <v>19</v>
      </c>
      <c r="B3359" s="44">
        <f>FiscalStart+(A3359-1)*7</f>
        <v/>
      </c>
      <c r="C3359">
        <f>TEXT(B3359,"mmm yyyy")</f>
        <v/>
      </c>
      <c r="D3359">
        <f>"Q"&amp;(INT((A3359-1)/13)+1)</f>
        <v/>
      </c>
      <c r="E3359" t="inlineStr">
        <is>
          <t>Online</t>
        </is>
      </c>
      <c r="F3359">
        <f>IFERROR(INDEX(ChFormat,MATCH(E3359,ChName,0)),"")</f>
        <v/>
      </c>
      <c r="G3359" t="inlineStr">
        <is>
          <t>MB</t>
        </is>
      </c>
      <c r="H3359">
        <f>IF(A3359&lt;=NWeeks,1,0)</f>
        <v/>
      </c>
      <c r="I3359">
        <f>INDEX(ChLaunch,MATCH(E3359,ChName,0))</f>
        <v/>
      </c>
      <c r="J3359">
        <f>INDEX(ChWeeksFull,MATCH(E3359,ChName,0))</f>
        <v/>
      </c>
      <c r="K3359">
        <f>INDEX(ChRamp,MATCH(E3359,ChName,0))</f>
        <v/>
      </c>
      <c r="L3359" s="45">
        <f>MIN(1,MAX(0,(A3359-I3359+1)*RampSpeed/J3359))</f>
        <v/>
      </c>
      <c r="M3359" s="45">
        <f>IF(A3359&lt;I3359,0,IF(K3359="S-curve",L3359*L3359*(3-2*L3359),L3359))</f>
        <v/>
      </c>
      <c r="N3359" s="45">
        <f>1+(INDEX(SeasonIdx,A3359)-1)*SeasonAmp</f>
        <v/>
      </c>
      <c r="O3359" s="45">
        <f>IFERROR(INDEX(PSPct,MATCH(E3359&amp;"|"&amp;G3359,PSKey,0)),0)</f>
        <v/>
      </c>
      <c r="P3359" s="46" t="n">
        <v>0</v>
      </c>
      <c r="Q3359" s="46">
        <f>INDEX(OnlineUnitsCol,A3359)*O3359*(1+OnlineGrowth)*N3359*H3359*IF(A3359&gt;=I3359,1,0)</f>
        <v/>
      </c>
      <c r="R3359" s="46">
        <f>Q3359*INDEX(FmtCansPerPack,MATCH(F3359,FmtName,0))/INDEX(FmtCansPerCase,MATCH(F3359,FmtName,0))</f>
        <v/>
      </c>
      <c r="S3359" s="46">
        <f>R3359*INDEX(FmtCansPerCase,MATCH(F3359,FmtName,0))</f>
        <v/>
      </c>
      <c r="T3359" s="46">
        <f>S3359/INDEX(FmtCansPerPack,MATCH(F3359,FmtName,0))</f>
        <v/>
      </c>
      <c r="U3359" s="47">
        <f>INDEX(ProvOnline,MATCH(G3359,ProvCode,0))*(1+PriceIndex)</f>
        <v/>
      </c>
      <c r="V3359" s="47">
        <f>Q3359*U3359*INDEX(FmtBlendedPriceIdx,MATCH(F3359,FmtName,0))</f>
        <v/>
      </c>
      <c r="W3359" s="47">
        <f>V3359</f>
        <v/>
      </c>
      <c r="X3359" s="47">
        <f>IF(GrossBasis="Wholesale",V3359,W3359)</f>
        <v/>
      </c>
      <c r="Y3359" s="47">
        <f>R3359*INDEX(FmtBlendedCogs,MATCH(F3359,FmtName,0))</f>
        <v/>
      </c>
      <c r="Z3359" s="47">
        <f>X3359-Y3359</f>
        <v/>
      </c>
    </row>
    <row r="3360">
      <c r="A3360" t="n">
        <v>20</v>
      </c>
      <c r="B3360" s="44">
        <f>FiscalStart+(A3360-1)*7</f>
        <v/>
      </c>
      <c r="C3360">
        <f>TEXT(B3360,"mmm yyyy")</f>
        <v/>
      </c>
      <c r="D3360">
        <f>"Q"&amp;(INT((A3360-1)/13)+1)</f>
        <v/>
      </c>
      <c r="E3360" t="inlineStr">
        <is>
          <t>Online</t>
        </is>
      </c>
      <c r="F3360">
        <f>IFERROR(INDEX(ChFormat,MATCH(E3360,ChName,0)),"")</f>
        <v/>
      </c>
      <c r="G3360" t="inlineStr">
        <is>
          <t>MB</t>
        </is>
      </c>
      <c r="H3360">
        <f>IF(A3360&lt;=NWeeks,1,0)</f>
        <v/>
      </c>
      <c r="I3360">
        <f>INDEX(ChLaunch,MATCH(E3360,ChName,0))</f>
        <v/>
      </c>
      <c r="J3360">
        <f>INDEX(ChWeeksFull,MATCH(E3360,ChName,0))</f>
        <v/>
      </c>
      <c r="K3360">
        <f>INDEX(ChRamp,MATCH(E3360,ChName,0))</f>
        <v/>
      </c>
      <c r="L3360" s="45">
        <f>MIN(1,MAX(0,(A3360-I3360+1)*RampSpeed/J3360))</f>
        <v/>
      </c>
      <c r="M3360" s="45">
        <f>IF(A3360&lt;I3360,0,IF(K3360="S-curve",L3360*L3360*(3-2*L3360),L3360))</f>
        <v/>
      </c>
      <c r="N3360" s="45">
        <f>1+(INDEX(SeasonIdx,A3360)-1)*SeasonAmp</f>
        <v/>
      </c>
      <c r="O3360" s="45">
        <f>IFERROR(INDEX(PSPct,MATCH(E3360&amp;"|"&amp;G3360,PSKey,0)),0)</f>
        <v/>
      </c>
      <c r="P3360" s="46" t="n">
        <v>0</v>
      </c>
      <c r="Q3360" s="46">
        <f>INDEX(OnlineUnitsCol,A3360)*O3360*(1+OnlineGrowth)*N3360*H3360*IF(A3360&gt;=I3360,1,0)</f>
        <v/>
      </c>
      <c r="R3360" s="46">
        <f>Q3360*INDEX(FmtCansPerPack,MATCH(F3360,FmtName,0))/INDEX(FmtCansPerCase,MATCH(F3360,FmtName,0))</f>
        <v/>
      </c>
      <c r="S3360" s="46">
        <f>R3360*INDEX(FmtCansPerCase,MATCH(F3360,FmtName,0))</f>
        <v/>
      </c>
      <c r="T3360" s="46">
        <f>S3360/INDEX(FmtCansPerPack,MATCH(F3360,FmtName,0))</f>
        <v/>
      </c>
      <c r="U3360" s="47">
        <f>INDEX(ProvOnline,MATCH(G3360,ProvCode,0))*(1+PriceIndex)</f>
        <v/>
      </c>
      <c r="V3360" s="47">
        <f>Q3360*U3360*INDEX(FmtBlendedPriceIdx,MATCH(F3360,FmtName,0))</f>
        <v/>
      </c>
      <c r="W3360" s="47">
        <f>V3360</f>
        <v/>
      </c>
      <c r="X3360" s="47">
        <f>IF(GrossBasis="Wholesale",V3360,W3360)</f>
        <v/>
      </c>
      <c r="Y3360" s="47">
        <f>R3360*INDEX(FmtBlendedCogs,MATCH(F3360,FmtName,0))</f>
        <v/>
      </c>
      <c r="Z3360" s="47">
        <f>X3360-Y3360</f>
        <v/>
      </c>
    </row>
    <row r="3361">
      <c r="A3361" t="n">
        <v>21</v>
      </c>
      <c r="B3361" s="44">
        <f>FiscalStart+(A3361-1)*7</f>
        <v/>
      </c>
      <c r="C3361">
        <f>TEXT(B3361,"mmm yyyy")</f>
        <v/>
      </c>
      <c r="D3361">
        <f>"Q"&amp;(INT((A3361-1)/13)+1)</f>
        <v/>
      </c>
      <c r="E3361" t="inlineStr">
        <is>
          <t>Online</t>
        </is>
      </c>
      <c r="F3361">
        <f>IFERROR(INDEX(ChFormat,MATCH(E3361,ChName,0)),"")</f>
        <v/>
      </c>
      <c r="G3361" t="inlineStr">
        <is>
          <t>MB</t>
        </is>
      </c>
      <c r="H3361">
        <f>IF(A3361&lt;=NWeeks,1,0)</f>
        <v/>
      </c>
      <c r="I3361">
        <f>INDEX(ChLaunch,MATCH(E3361,ChName,0))</f>
        <v/>
      </c>
      <c r="J3361">
        <f>INDEX(ChWeeksFull,MATCH(E3361,ChName,0))</f>
        <v/>
      </c>
      <c r="K3361">
        <f>INDEX(ChRamp,MATCH(E3361,ChName,0))</f>
        <v/>
      </c>
      <c r="L3361" s="45">
        <f>MIN(1,MAX(0,(A3361-I3361+1)*RampSpeed/J3361))</f>
        <v/>
      </c>
      <c r="M3361" s="45">
        <f>IF(A3361&lt;I3361,0,IF(K3361="S-curve",L3361*L3361*(3-2*L3361),L3361))</f>
        <v/>
      </c>
      <c r="N3361" s="45">
        <f>1+(INDEX(SeasonIdx,A3361)-1)*SeasonAmp</f>
        <v/>
      </c>
      <c r="O3361" s="45">
        <f>IFERROR(INDEX(PSPct,MATCH(E3361&amp;"|"&amp;G3361,PSKey,0)),0)</f>
        <v/>
      </c>
      <c r="P3361" s="46" t="n">
        <v>0</v>
      </c>
      <c r="Q3361" s="46">
        <f>INDEX(OnlineUnitsCol,A3361)*O3361*(1+OnlineGrowth)*N3361*H3361*IF(A3361&gt;=I3361,1,0)</f>
        <v/>
      </c>
      <c r="R3361" s="46">
        <f>Q3361*INDEX(FmtCansPerPack,MATCH(F3361,FmtName,0))/INDEX(FmtCansPerCase,MATCH(F3361,FmtName,0))</f>
        <v/>
      </c>
      <c r="S3361" s="46">
        <f>R3361*INDEX(FmtCansPerCase,MATCH(F3361,FmtName,0))</f>
        <v/>
      </c>
      <c r="T3361" s="46">
        <f>S3361/INDEX(FmtCansPerPack,MATCH(F3361,FmtName,0))</f>
        <v/>
      </c>
      <c r="U3361" s="47">
        <f>INDEX(ProvOnline,MATCH(G3361,ProvCode,0))*(1+PriceIndex)</f>
        <v/>
      </c>
      <c r="V3361" s="47">
        <f>Q3361*U3361*INDEX(FmtBlendedPriceIdx,MATCH(F3361,FmtName,0))</f>
        <v/>
      </c>
      <c r="W3361" s="47">
        <f>V3361</f>
        <v/>
      </c>
      <c r="X3361" s="47">
        <f>IF(GrossBasis="Wholesale",V3361,W3361)</f>
        <v/>
      </c>
      <c r="Y3361" s="47">
        <f>R3361*INDEX(FmtBlendedCogs,MATCH(F3361,FmtName,0))</f>
        <v/>
      </c>
      <c r="Z3361" s="47">
        <f>X3361-Y3361</f>
        <v/>
      </c>
    </row>
    <row r="3362">
      <c r="A3362" t="n">
        <v>22</v>
      </c>
      <c r="B3362" s="44">
        <f>FiscalStart+(A3362-1)*7</f>
        <v/>
      </c>
      <c r="C3362">
        <f>TEXT(B3362,"mmm yyyy")</f>
        <v/>
      </c>
      <c r="D3362">
        <f>"Q"&amp;(INT((A3362-1)/13)+1)</f>
        <v/>
      </c>
      <c r="E3362" t="inlineStr">
        <is>
          <t>Online</t>
        </is>
      </c>
      <c r="F3362">
        <f>IFERROR(INDEX(ChFormat,MATCH(E3362,ChName,0)),"")</f>
        <v/>
      </c>
      <c r="G3362" t="inlineStr">
        <is>
          <t>MB</t>
        </is>
      </c>
      <c r="H3362">
        <f>IF(A3362&lt;=NWeeks,1,0)</f>
        <v/>
      </c>
      <c r="I3362">
        <f>INDEX(ChLaunch,MATCH(E3362,ChName,0))</f>
        <v/>
      </c>
      <c r="J3362">
        <f>INDEX(ChWeeksFull,MATCH(E3362,ChName,0))</f>
        <v/>
      </c>
      <c r="K3362">
        <f>INDEX(ChRamp,MATCH(E3362,ChName,0))</f>
        <v/>
      </c>
      <c r="L3362" s="45">
        <f>MIN(1,MAX(0,(A3362-I3362+1)*RampSpeed/J3362))</f>
        <v/>
      </c>
      <c r="M3362" s="45">
        <f>IF(A3362&lt;I3362,0,IF(K3362="S-curve",L3362*L3362*(3-2*L3362),L3362))</f>
        <v/>
      </c>
      <c r="N3362" s="45">
        <f>1+(INDEX(SeasonIdx,A3362)-1)*SeasonAmp</f>
        <v/>
      </c>
      <c r="O3362" s="45">
        <f>IFERROR(INDEX(PSPct,MATCH(E3362&amp;"|"&amp;G3362,PSKey,0)),0)</f>
        <v/>
      </c>
      <c r="P3362" s="46" t="n">
        <v>0</v>
      </c>
      <c r="Q3362" s="46">
        <f>INDEX(OnlineUnitsCol,A3362)*O3362*(1+OnlineGrowth)*N3362*H3362*IF(A3362&gt;=I3362,1,0)</f>
        <v/>
      </c>
      <c r="R3362" s="46">
        <f>Q3362*INDEX(FmtCansPerPack,MATCH(F3362,FmtName,0))/INDEX(FmtCansPerCase,MATCH(F3362,FmtName,0))</f>
        <v/>
      </c>
      <c r="S3362" s="46">
        <f>R3362*INDEX(FmtCansPerCase,MATCH(F3362,FmtName,0))</f>
        <v/>
      </c>
      <c r="T3362" s="46">
        <f>S3362/INDEX(FmtCansPerPack,MATCH(F3362,FmtName,0))</f>
        <v/>
      </c>
      <c r="U3362" s="47">
        <f>INDEX(ProvOnline,MATCH(G3362,ProvCode,0))*(1+PriceIndex)</f>
        <v/>
      </c>
      <c r="V3362" s="47">
        <f>Q3362*U3362*INDEX(FmtBlendedPriceIdx,MATCH(F3362,FmtName,0))</f>
        <v/>
      </c>
      <c r="W3362" s="47">
        <f>V3362</f>
        <v/>
      </c>
      <c r="X3362" s="47">
        <f>IF(GrossBasis="Wholesale",V3362,W3362)</f>
        <v/>
      </c>
      <c r="Y3362" s="47">
        <f>R3362*INDEX(FmtBlendedCogs,MATCH(F3362,FmtName,0))</f>
        <v/>
      </c>
      <c r="Z3362" s="47">
        <f>X3362-Y3362</f>
        <v/>
      </c>
    </row>
    <row r="3363">
      <c r="A3363" t="n">
        <v>23</v>
      </c>
      <c r="B3363" s="44">
        <f>FiscalStart+(A3363-1)*7</f>
        <v/>
      </c>
      <c r="C3363">
        <f>TEXT(B3363,"mmm yyyy")</f>
        <v/>
      </c>
      <c r="D3363">
        <f>"Q"&amp;(INT((A3363-1)/13)+1)</f>
        <v/>
      </c>
      <c r="E3363" t="inlineStr">
        <is>
          <t>Online</t>
        </is>
      </c>
      <c r="F3363">
        <f>IFERROR(INDEX(ChFormat,MATCH(E3363,ChName,0)),"")</f>
        <v/>
      </c>
      <c r="G3363" t="inlineStr">
        <is>
          <t>MB</t>
        </is>
      </c>
      <c r="H3363">
        <f>IF(A3363&lt;=NWeeks,1,0)</f>
        <v/>
      </c>
      <c r="I3363">
        <f>INDEX(ChLaunch,MATCH(E3363,ChName,0))</f>
        <v/>
      </c>
      <c r="J3363">
        <f>INDEX(ChWeeksFull,MATCH(E3363,ChName,0))</f>
        <v/>
      </c>
      <c r="K3363">
        <f>INDEX(ChRamp,MATCH(E3363,ChName,0))</f>
        <v/>
      </c>
      <c r="L3363" s="45">
        <f>MIN(1,MAX(0,(A3363-I3363+1)*RampSpeed/J3363))</f>
        <v/>
      </c>
      <c r="M3363" s="45">
        <f>IF(A3363&lt;I3363,0,IF(K3363="S-curve",L3363*L3363*(3-2*L3363),L3363))</f>
        <v/>
      </c>
      <c r="N3363" s="45">
        <f>1+(INDEX(SeasonIdx,A3363)-1)*SeasonAmp</f>
        <v/>
      </c>
      <c r="O3363" s="45">
        <f>IFERROR(INDEX(PSPct,MATCH(E3363&amp;"|"&amp;G3363,PSKey,0)),0)</f>
        <v/>
      </c>
      <c r="P3363" s="46" t="n">
        <v>0</v>
      </c>
      <c r="Q3363" s="46">
        <f>INDEX(OnlineUnitsCol,A3363)*O3363*(1+OnlineGrowth)*N3363*H3363*IF(A3363&gt;=I3363,1,0)</f>
        <v/>
      </c>
      <c r="R3363" s="46">
        <f>Q3363*INDEX(FmtCansPerPack,MATCH(F3363,FmtName,0))/INDEX(FmtCansPerCase,MATCH(F3363,FmtName,0))</f>
        <v/>
      </c>
      <c r="S3363" s="46">
        <f>R3363*INDEX(FmtCansPerCase,MATCH(F3363,FmtName,0))</f>
        <v/>
      </c>
      <c r="T3363" s="46">
        <f>S3363/INDEX(FmtCansPerPack,MATCH(F3363,FmtName,0))</f>
        <v/>
      </c>
      <c r="U3363" s="47">
        <f>INDEX(ProvOnline,MATCH(G3363,ProvCode,0))*(1+PriceIndex)</f>
        <v/>
      </c>
      <c r="V3363" s="47">
        <f>Q3363*U3363*INDEX(FmtBlendedPriceIdx,MATCH(F3363,FmtName,0))</f>
        <v/>
      </c>
      <c r="W3363" s="47">
        <f>V3363</f>
        <v/>
      </c>
      <c r="X3363" s="47">
        <f>IF(GrossBasis="Wholesale",V3363,W3363)</f>
        <v/>
      </c>
      <c r="Y3363" s="47">
        <f>R3363*INDEX(FmtBlendedCogs,MATCH(F3363,FmtName,0))</f>
        <v/>
      </c>
      <c r="Z3363" s="47">
        <f>X3363-Y3363</f>
        <v/>
      </c>
    </row>
    <row r="3364">
      <c r="A3364" t="n">
        <v>24</v>
      </c>
      <c r="B3364" s="44">
        <f>FiscalStart+(A3364-1)*7</f>
        <v/>
      </c>
      <c r="C3364">
        <f>TEXT(B3364,"mmm yyyy")</f>
        <v/>
      </c>
      <c r="D3364">
        <f>"Q"&amp;(INT((A3364-1)/13)+1)</f>
        <v/>
      </c>
      <c r="E3364" t="inlineStr">
        <is>
          <t>Online</t>
        </is>
      </c>
      <c r="F3364">
        <f>IFERROR(INDEX(ChFormat,MATCH(E3364,ChName,0)),"")</f>
        <v/>
      </c>
      <c r="G3364" t="inlineStr">
        <is>
          <t>MB</t>
        </is>
      </c>
      <c r="H3364">
        <f>IF(A3364&lt;=NWeeks,1,0)</f>
        <v/>
      </c>
      <c r="I3364">
        <f>INDEX(ChLaunch,MATCH(E3364,ChName,0))</f>
        <v/>
      </c>
      <c r="J3364">
        <f>INDEX(ChWeeksFull,MATCH(E3364,ChName,0))</f>
        <v/>
      </c>
      <c r="K3364">
        <f>INDEX(ChRamp,MATCH(E3364,ChName,0))</f>
        <v/>
      </c>
      <c r="L3364" s="45">
        <f>MIN(1,MAX(0,(A3364-I3364+1)*RampSpeed/J3364))</f>
        <v/>
      </c>
      <c r="M3364" s="45">
        <f>IF(A3364&lt;I3364,0,IF(K3364="S-curve",L3364*L3364*(3-2*L3364),L3364))</f>
        <v/>
      </c>
      <c r="N3364" s="45">
        <f>1+(INDEX(SeasonIdx,A3364)-1)*SeasonAmp</f>
        <v/>
      </c>
      <c r="O3364" s="45">
        <f>IFERROR(INDEX(PSPct,MATCH(E3364&amp;"|"&amp;G3364,PSKey,0)),0)</f>
        <v/>
      </c>
      <c r="P3364" s="46" t="n">
        <v>0</v>
      </c>
      <c r="Q3364" s="46">
        <f>INDEX(OnlineUnitsCol,A3364)*O3364*(1+OnlineGrowth)*N3364*H3364*IF(A3364&gt;=I3364,1,0)</f>
        <v/>
      </c>
      <c r="R3364" s="46">
        <f>Q3364*INDEX(FmtCansPerPack,MATCH(F3364,FmtName,0))/INDEX(FmtCansPerCase,MATCH(F3364,FmtName,0))</f>
        <v/>
      </c>
      <c r="S3364" s="46">
        <f>R3364*INDEX(FmtCansPerCase,MATCH(F3364,FmtName,0))</f>
        <v/>
      </c>
      <c r="T3364" s="46">
        <f>S3364/INDEX(FmtCansPerPack,MATCH(F3364,FmtName,0))</f>
        <v/>
      </c>
      <c r="U3364" s="47">
        <f>INDEX(ProvOnline,MATCH(G3364,ProvCode,0))*(1+PriceIndex)</f>
        <v/>
      </c>
      <c r="V3364" s="47">
        <f>Q3364*U3364*INDEX(FmtBlendedPriceIdx,MATCH(F3364,FmtName,0))</f>
        <v/>
      </c>
      <c r="W3364" s="47">
        <f>V3364</f>
        <v/>
      </c>
      <c r="X3364" s="47">
        <f>IF(GrossBasis="Wholesale",V3364,W3364)</f>
        <v/>
      </c>
      <c r="Y3364" s="47">
        <f>R3364*INDEX(FmtBlendedCogs,MATCH(F3364,FmtName,0))</f>
        <v/>
      </c>
      <c r="Z3364" s="47">
        <f>X3364-Y3364</f>
        <v/>
      </c>
    </row>
    <row r="3365">
      <c r="A3365" t="n">
        <v>25</v>
      </c>
      <c r="B3365" s="44">
        <f>FiscalStart+(A3365-1)*7</f>
        <v/>
      </c>
      <c r="C3365">
        <f>TEXT(B3365,"mmm yyyy")</f>
        <v/>
      </c>
      <c r="D3365">
        <f>"Q"&amp;(INT((A3365-1)/13)+1)</f>
        <v/>
      </c>
      <c r="E3365" t="inlineStr">
        <is>
          <t>Online</t>
        </is>
      </c>
      <c r="F3365">
        <f>IFERROR(INDEX(ChFormat,MATCH(E3365,ChName,0)),"")</f>
        <v/>
      </c>
      <c r="G3365" t="inlineStr">
        <is>
          <t>MB</t>
        </is>
      </c>
      <c r="H3365">
        <f>IF(A3365&lt;=NWeeks,1,0)</f>
        <v/>
      </c>
      <c r="I3365">
        <f>INDEX(ChLaunch,MATCH(E3365,ChName,0))</f>
        <v/>
      </c>
      <c r="J3365">
        <f>INDEX(ChWeeksFull,MATCH(E3365,ChName,0))</f>
        <v/>
      </c>
      <c r="K3365">
        <f>INDEX(ChRamp,MATCH(E3365,ChName,0))</f>
        <v/>
      </c>
      <c r="L3365" s="45">
        <f>MIN(1,MAX(0,(A3365-I3365+1)*RampSpeed/J3365))</f>
        <v/>
      </c>
      <c r="M3365" s="45">
        <f>IF(A3365&lt;I3365,0,IF(K3365="S-curve",L3365*L3365*(3-2*L3365),L3365))</f>
        <v/>
      </c>
      <c r="N3365" s="45">
        <f>1+(INDEX(SeasonIdx,A3365)-1)*SeasonAmp</f>
        <v/>
      </c>
      <c r="O3365" s="45">
        <f>IFERROR(INDEX(PSPct,MATCH(E3365&amp;"|"&amp;G3365,PSKey,0)),0)</f>
        <v/>
      </c>
      <c r="P3365" s="46" t="n">
        <v>0</v>
      </c>
      <c r="Q3365" s="46">
        <f>INDEX(OnlineUnitsCol,A3365)*O3365*(1+OnlineGrowth)*N3365*H3365*IF(A3365&gt;=I3365,1,0)</f>
        <v/>
      </c>
      <c r="R3365" s="46">
        <f>Q3365*INDEX(FmtCansPerPack,MATCH(F3365,FmtName,0))/INDEX(FmtCansPerCase,MATCH(F3365,FmtName,0))</f>
        <v/>
      </c>
      <c r="S3365" s="46">
        <f>R3365*INDEX(FmtCansPerCase,MATCH(F3365,FmtName,0))</f>
        <v/>
      </c>
      <c r="T3365" s="46">
        <f>S3365/INDEX(FmtCansPerPack,MATCH(F3365,FmtName,0))</f>
        <v/>
      </c>
      <c r="U3365" s="47">
        <f>INDEX(ProvOnline,MATCH(G3365,ProvCode,0))*(1+PriceIndex)</f>
        <v/>
      </c>
      <c r="V3365" s="47">
        <f>Q3365*U3365*INDEX(FmtBlendedPriceIdx,MATCH(F3365,FmtName,0))</f>
        <v/>
      </c>
      <c r="W3365" s="47">
        <f>V3365</f>
        <v/>
      </c>
      <c r="X3365" s="47">
        <f>IF(GrossBasis="Wholesale",V3365,W3365)</f>
        <v/>
      </c>
      <c r="Y3365" s="47">
        <f>R3365*INDEX(FmtBlendedCogs,MATCH(F3365,FmtName,0))</f>
        <v/>
      </c>
      <c r="Z3365" s="47">
        <f>X3365-Y3365</f>
        <v/>
      </c>
    </row>
    <row r="3366">
      <c r="A3366" t="n">
        <v>26</v>
      </c>
      <c r="B3366" s="44">
        <f>FiscalStart+(A3366-1)*7</f>
        <v/>
      </c>
      <c r="C3366">
        <f>TEXT(B3366,"mmm yyyy")</f>
        <v/>
      </c>
      <c r="D3366">
        <f>"Q"&amp;(INT((A3366-1)/13)+1)</f>
        <v/>
      </c>
      <c r="E3366" t="inlineStr">
        <is>
          <t>Online</t>
        </is>
      </c>
      <c r="F3366">
        <f>IFERROR(INDEX(ChFormat,MATCH(E3366,ChName,0)),"")</f>
        <v/>
      </c>
      <c r="G3366" t="inlineStr">
        <is>
          <t>MB</t>
        </is>
      </c>
      <c r="H3366">
        <f>IF(A3366&lt;=NWeeks,1,0)</f>
        <v/>
      </c>
      <c r="I3366">
        <f>INDEX(ChLaunch,MATCH(E3366,ChName,0))</f>
        <v/>
      </c>
      <c r="J3366">
        <f>INDEX(ChWeeksFull,MATCH(E3366,ChName,0))</f>
        <v/>
      </c>
      <c r="K3366">
        <f>INDEX(ChRamp,MATCH(E3366,ChName,0))</f>
        <v/>
      </c>
      <c r="L3366" s="45">
        <f>MIN(1,MAX(0,(A3366-I3366+1)*RampSpeed/J3366))</f>
        <v/>
      </c>
      <c r="M3366" s="45">
        <f>IF(A3366&lt;I3366,0,IF(K3366="S-curve",L3366*L3366*(3-2*L3366),L3366))</f>
        <v/>
      </c>
      <c r="N3366" s="45">
        <f>1+(INDEX(SeasonIdx,A3366)-1)*SeasonAmp</f>
        <v/>
      </c>
      <c r="O3366" s="45">
        <f>IFERROR(INDEX(PSPct,MATCH(E3366&amp;"|"&amp;G3366,PSKey,0)),0)</f>
        <v/>
      </c>
      <c r="P3366" s="46" t="n">
        <v>0</v>
      </c>
      <c r="Q3366" s="46">
        <f>INDEX(OnlineUnitsCol,A3366)*O3366*(1+OnlineGrowth)*N3366*H3366*IF(A3366&gt;=I3366,1,0)</f>
        <v/>
      </c>
      <c r="R3366" s="46">
        <f>Q3366*INDEX(FmtCansPerPack,MATCH(F3366,FmtName,0))/INDEX(FmtCansPerCase,MATCH(F3366,FmtName,0))</f>
        <v/>
      </c>
      <c r="S3366" s="46">
        <f>R3366*INDEX(FmtCansPerCase,MATCH(F3366,FmtName,0))</f>
        <v/>
      </c>
      <c r="T3366" s="46">
        <f>S3366/INDEX(FmtCansPerPack,MATCH(F3366,FmtName,0))</f>
        <v/>
      </c>
      <c r="U3366" s="47">
        <f>INDEX(ProvOnline,MATCH(G3366,ProvCode,0))*(1+PriceIndex)</f>
        <v/>
      </c>
      <c r="V3366" s="47">
        <f>Q3366*U3366*INDEX(FmtBlendedPriceIdx,MATCH(F3366,FmtName,0))</f>
        <v/>
      </c>
      <c r="W3366" s="47">
        <f>V3366</f>
        <v/>
      </c>
      <c r="X3366" s="47">
        <f>IF(GrossBasis="Wholesale",V3366,W3366)</f>
        <v/>
      </c>
      <c r="Y3366" s="47">
        <f>R3366*INDEX(FmtBlendedCogs,MATCH(F3366,FmtName,0))</f>
        <v/>
      </c>
      <c r="Z3366" s="47">
        <f>X3366-Y3366</f>
        <v/>
      </c>
    </row>
    <row r="3367">
      <c r="A3367" t="n">
        <v>27</v>
      </c>
      <c r="B3367" s="44">
        <f>FiscalStart+(A3367-1)*7</f>
        <v/>
      </c>
      <c r="C3367">
        <f>TEXT(B3367,"mmm yyyy")</f>
        <v/>
      </c>
      <c r="D3367">
        <f>"Q"&amp;(INT((A3367-1)/13)+1)</f>
        <v/>
      </c>
      <c r="E3367" t="inlineStr">
        <is>
          <t>Online</t>
        </is>
      </c>
      <c r="F3367">
        <f>IFERROR(INDEX(ChFormat,MATCH(E3367,ChName,0)),"")</f>
        <v/>
      </c>
      <c r="G3367" t="inlineStr">
        <is>
          <t>MB</t>
        </is>
      </c>
      <c r="H3367">
        <f>IF(A3367&lt;=NWeeks,1,0)</f>
        <v/>
      </c>
      <c r="I3367">
        <f>INDEX(ChLaunch,MATCH(E3367,ChName,0))</f>
        <v/>
      </c>
      <c r="J3367">
        <f>INDEX(ChWeeksFull,MATCH(E3367,ChName,0))</f>
        <v/>
      </c>
      <c r="K3367">
        <f>INDEX(ChRamp,MATCH(E3367,ChName,0))</f>
        <v/>
      </c>
      <c r="L3367" s="45">
        <f>MIN(1,MAX(0,(A3367-I3367+1)*RampSpeed/J3367))</f>
        <v/>
      </c>
      <c r="M3367" s="45">
        <f>IF(A3367&lt;I3367,0,IF(K3367="S-curve",L3367*L3367*(3-2*L3367),L3367))</f>
        <v/>
      </c>
      <c r="N3367" s="45">
        <f>1+(INDEX(SeasonIdx,A3367)-1)*SeasonAmp</f>
        <v/>
      </c>
      <c r="O3367" s="45">
        <f>IFERROR(INDEX(PSPct,MATCH(E3367&amp;"|"&amp;G3367,PSKey,0)),0)</f>
        <v/>
      </c>
      <c r="P3367" s="46" t="n">
        <v>0</v>
      </c>
      <c r="Q3367" s="46">
        <f>INDEX(OnlineUnitsCol,A3367)*O3367*(1+OnlineGrowth)*N3367*H3367*IF(A3367&gt;=I3367,1,0)</f>
        <v/>
      </c>
      <c r="R3367" s="46">
        <f>Q3367*INDEX(FmtCansPerPack,MATCH(F3367,FmtName,0))/INDEX(FmtCansPerCase,MATCH(F3367,FmtName,0))</f>
        <v/>
      </c>
      <c r="S3367" s="46">
        <f>R3367*INDEX(FmtCansPerCase,MATCH(F3367,FmtName,0))</f>
        <v/>
      </c>
      <c r="T3367" s="46">
        <f>S3367/INDEX(FmtCansPerPack,MATCH(F3367,FmtName,0))</f>
        <v/>
      </c>
      <c r="U3367" s="47">
        <f>INDEX(ProvOnline,MATCH(G3367,ProvCode,0))*(1+PriceIndex)</f>
        <v/>
      </c>
      <c r="V3367" s="47">
        <f>Q3367*U3367*INDEX(FmtBlendedPriceIdx,MATCH(F3367,FmtName,0))</f>
        <v/>
      </c>
      <c r="W3367" s="47">
        <f>V3367</f>
        <v/>
      </c>
      <c r="X3367" s="47">
        <f>IF(GrossBasis="Wholesale",V3367,W3367)</f>
        <v/>
      </c>
      <c r="Y3367" s="47">
        <f>R3367*INDEX(FmtBlendedCogs,MATCH(F3367,FmtName,0))</f>
        <v/>
      </c>
      <c r="Z3367" s="47">
        <f>X3367-Y3367</f>
        <v/>
      </c>
    </row>
    <row r="3368">
      <c r="A3368" t="n">
        <v>28</v>
      </c>
      <c r="B3368" s="44">
        <f>FiscalStart+(A3368-1)*7</f>
        <v/>
      </c>
      <c r="C3368">
        <f>TEXT(B3368,"mmm yyyy")</f>
        <v/>
      </c>
      <c r="D3368">
        <f>"Q"&amp;(INT((A3368-1)/13)+1)</f>
        <v/>
      </c>
      <c r="E3368" t="inlineStr">
        <is>
          <t>Online</t>
        </is>
      </c>
      <c r="F3368">
        <f>IFERROR(INDEX(ChFormat,MATCH(E3368,ChName,0)),"")</f>
        <v/>
      </c>
      <c r="G3368" t="inlineStr">
        <is>
          <t>MB</t>
        </is>
      </c>
      <c r="H3368">
        <f>IF(A3368&lt;=NWeeks,1,0)</f>
        <v/>
      </c>
      <c r="I3368">
        <f>INDEX(ChLaunch,MATCH(E3368,ChName,0))</f>
        <v/>
      </c>
      <c r="J3368">
        <f>INDEX(ChWeeksFull,MATCH(E3368,ChName,0))</f>
        <v/>
      </c>
      <c r="K3368">
        <f>INDEX(ChRamp,MATCH(E3368,ChName,0))</f>
        <v/>
      </c>
      <c r="L3368" s="45">
        <f>MIN(1,MAX(0,(A3368-I3368+1)*RampSpeed/J3368))</f>
        <v/>
      </c>
      <c r="M3368" s="45">
        <f>IF(A3368&lt;I3368,0,IF(K3368="S-curve",L3368*L3368*(3-2*L3368),L3368))</f>
        <v/>
      </c>
      <c r="N3368" s="45">
        <f>1+(INDEX(SeasonIdx,A3368)-1)*SeasonAmp</f>
        <v/>
      </c>
      <c r="O3368" s="45">
        <f>IFERROR(INDEX(PSPct,MATCH(E3368&amp;"|"&amp;G3368,PSKey,0)),0)</f>
        <v/>
      </c>
      <c r="P3368" s="46" t="n">
        <v>0</v>
      </c>
      <c r="Q3368" s="46">
        <f>INDEX(OnlineUnitsCol,A3368)*O3368*(1+OnlineGrowth)*N3368*H3368*IF(A3368&gt;=I3368,1,0)</f>
        <v/>
      </c>
      <c r="R3368" s="46">
        <f>Q3368*INDEX(FmtCansPerPack,MATCH(F3368,FmtName,0))/INDEX(FmtCansPerCase,MATCH(F3368,FmtName,0))</f>
        <v/>
      </c>
      <c r="S3368" s="46">
        <f>R3368*INDEX(FmtCansPerCase,MATCH(F3368,FmtName,0))</f>
        <v/>
      </c>
      <c r="T3368" s="46">
        <f>S3368/INDEX(FmtCansPerPack,MATCH(F3368,FmtName,0))</f>
        <v/>
      </c>
      <c r="U3368" s="47">
        <f>INDEX(ProvOnline,MATCH(G3368,ProvCode,0))*(1+PriceIndex)</f>
        <v/>
      </c>
      <c r="V3368" s="47">
        <f>Q3368*U3368*INDEX(FmtBlendedPriceIdx,MATCH(F3368,FmtName,0))</f>
        <v/>
      </c>
      <c r="W3368" s="47">
        <f>V3368</f>
        <v/>
      </c>
      <c r="X3368" s="47">
        <f>IF(GrossBasis="Wholesale",V3368,W3368)</f>
        <v/>
      </c>
      <c r="Y3368" s="47">
        <f>R3368*INDEX(FmtBlendedCogs,MATCH(F3368,FmtName,0))</f>
        <v/>
      </c>
      <c r="Z3368" s="47">
        <f>X3368-Y3368</f>
        <v/>
      </c>
    </row>
    <row r="3369">
      <c r="A3369" t="n">
        <v>29</v>
      </c>
      <c r="B3369" s="44">
        <f>FiscalStart+(A3369-1)*7</f>
        <v/>
      </c>
      <c r="C3369">
        <f>TEXT(B3369,"mmm yyyy")</f>
        <v/>
      </c>
      <c r="D3369">
        <f>"Q"&amp;(INT((A3369-1)/13)+1)</f>
        <v/>
      </c>
      <c r="E3369" t="inlineStr">
        <is>
          <t>Online</t>
        </is>
      </c>
      <c r="F3369">
        <f>IFERROR(INDEX(ChFormat,MATCH(E3369,ChName,0)),"")</f>
        <v/>
      </c>
      <c r="G3369" t="inlineStr">
        <is>
          <t>MB</t>
        </is>
      </c>
      <c r="H3369">
        <f>IF(A3369&lt;=NWeeks,1,0)</f>
        <v/>
      </c>
      <c r="I3369">
        <f>INDEX(ChLaunch,MATCH(E3369,ChName,0))</f>
        <v/>
      </c>
      <c r="J3369">
        <f>INDEX(ChWeeksFull,MATCH(E3369,ChName,0))</f>
        <v/>
      </c>
      <c r="K3369">
        <f>INDEX(ChRamp,MATCH(E3369,ChName,0))</f>
        <v/>
      </c>
      <c r="L3369" s="45">
        <f>MIN(1,MAX(0,(A3369-I3369+1)*RampSpeed/J3369))</f>
        <v/>
      </c>
      <c r="M3369" s="45">
        <f>IF(A3369&lt;I3369,0,IF(K3369="S-curve",L3369*L3369*(3-2*L3369),L3369))</f>
        <v/>
      </c>
      <c r="N3369" s="45">
        <f>1+(INDEX(SeasonIdx,A3369)-1)*SeasonAmp</f>
        <v/>
      </c>
      <c r="O3369" s="45">
        <f>IFERROR(INDEX(PSPct,MATCH(E3369&amp;"|"&amp;G3369,PSKey,0)),0)</f>
        <v/>
      </c>
      <c r="P3369" s="46" t="n">
        <v>0</v>
      </c>
      <c r="Q3369" s="46">
        <f>INDEX(OnlineUnitsCol,A3369)*O3369*(1+OnlineGrowth)*N3369*H3369*IF(A3369&gt;=I3369,1,0)</f>
        <v/>
      </c>
      <c r="R3369" s="46">
        <f>Q3369*INDEX(FmtCansPerPack,MATCH(F3369,FmtName,0))/INDEX(FmtCansPerCase,MATCH(F3369,FmtName,0))</f>
        <v/>
      </c>
      <c r="S3369" s="46">
        <f>R3369*INDEX(FmtCansPerCase,MATCH(F3369,FmtName,0))</f>
        <v/>
      </c>
      <c r="T3369" s="46">
        <f>S3369/INDEX(FmtCansPerPack,MATCH(F3369,FmtName,0))</f>
        <v/>
      </c>
      <c r="U3369" s="47">
        <f>INDEX(ProvOnline,MATCH(G3369,ProvCode,0))*(1+PriceIndex)</f>
        <v/>
      </c>
      <c r="V3369" s="47">
        <f>Q3369*U3369*INDEX(FmtBlendedPriceIdx,MATCH(F3369,FmtName,0))</f>
        <v/>
      </c>
      <c r="W3369" s="47">
        <f>V3369</f>
        <v/>
      </c>
      <c r="X3369" s="47">
        <f>IF(GrossBasis="Wholesale",V3369,W3369)</f>
        <v/>
      </c>
      <c r="Y3369" s="47">
        <f>R3369*INDEX(FmtBlendedCogs,MATCH(F3369,FmtName,0))</f>
        <v/>
      </c>
      <c r="Z3369" s="47">
        <f>X3369-Y3369</f>
        <v/>
      </c>
    </row>
    <row r="3370">
      <c r="A3370" t="n">
        <v>30</v>
      </c>
      <c r="B3370" s="44">
        <f>FiscalStart+(A3370-1)*7</f>
        <v/>
      </c>
      <c r="C3370">
        <f>TEXT(B3370,"mmm yyyy")</f>
        <v/>
      </c>
      <c r="D3370">
        <f>"Q"&amp;(INT((A3370-1)/13)+1)</f>
        <v/>
      </c>
      <c r="E3370" t="inlineStr">
        <is>
          <t>Online</t>
        </is>
      </c>
      <c r="F3370">
        <f>IFERROR(INDEX(ChFormat,MATCH(E3370,ChName,0)),"")</f>
        <v/>
      </c>
      <c r="G3370" t="inlineStr">
        <is>
          <t>MB</t>
        </is>
      </c>
      <c r="H3370">
        <f>IF(A3370&lt;=NWeeks,1,0)</f>
        <v/>
      </c>
      <c r="I3370">
        <f>INDEX(ChLaunch,MATCH(E3370,ChName,0))</f>
        <v/>
      </c>
      <c r="J3370">
        <f>INDEX(ChWeeksFull,MATCH(E3370,ChName,0))</f>
        <v/>
      </c>
      <c r="K3370">
        <f>INDEX(ChRamp,MATCH(E3370,ChName,0))</f>
        <v/>
      </c>
      <c r="L3370" s="45">
        <f>MIN(1,MAX(0,(A3370-I3370+1)*RampSpeed/J3370))</f>
        <v/>
      </c>
      <c r="M3370" s="45">
        <f>IF(A3370&lt;I3370,0,IF(K3370="S-curve",L3370*L3370*(3-2*L3370),L3370))</f>
        <v/>
      </c>
      <c r="N3370" s="45">
        <f>1+(INDEX(SeasonIdx,A3370)-1)*SeasonAmp</f>
        <v/>
      </c>
      <c r="O3370" s="45">
        <f>IFERROR(INDEX(PSPct,MATCH(E3370&amp;"|"&amp;G3370,PSKey,0)),0)</f>
        <v/>
      </c>
      <c r="P3370" s="46" t="n">
        <v>0</v>
      </c>
      <c r="Q3370" s="46">
        <f>INDEX(OnlineUnitsCol,A3370)*O3370*(1+OnlineGrowth)*N3370*H3370*IF(A3370&gt;=I3370,1,0)</f>
        <v/>
      </c>
      <c r="R3370" s="46">
        <f>Q3370*INDEX(FmtCansPerPack,MATCH(F3370,FmtName,0))/INDEX(FmtCansPerCase,MATCH(F3370,FmtName,0))</f>
        <v/>
      </c>
      <c r="S3370" s="46">
        <f>R3370*INDEX(FmtCansPerCase,MATCH(F3370,FmtName,0))</f>
        <v/>
      </c>
      <c r="T3370" s="46">
        <f>S3370/INDEX(FmtCansPerPack,MATCH(F3370,FmtName,0))</f>
        <v/>
      </c>
      <c r="U3370" s="47">
        <f>INDEX(ProvOnline,MATCH(G3370,ProvCode,0))*(1+PriceIndex)</f>
        <v/>
      </c>
      <c r="V3370" s="47">
        <f>Q3370*U3370*INDEX(FmtBlendedPriceIdx,MATCH(F3370,FmtName,0))</f>
        <v/>
      </c>
      <c r="W3370" s="47">
        <f>V3370</f>
        <v/>
      </c>
      <c r="X3370" s="47">
        <f>IF(GrossBasis="Wholesale",V3370,W3370)</f>
        <v/>
      </c>
      <c r="Y3370" s="47">
        <f>R3370*INDEX(FmtBlendedCogs,MATCH(F3370,FmtName,0))</f>
        <v/>
      </c>
      <c r="Z3370" s="47">
        <f>X3370-Y3370</f>
        <v/>
      </c>
    </row>
    <row r="3371">
      <c r="A3371" t="n">
        <v>31</v>
      </c>
      <c r="B3371" s="44">
        <f>FiscalStart+(A3371-1)*7</f>
        <v/>
      </c>
      <c r="C3371">
        <f>TEXT(B3371,"mmm yyyy")</f>
        <v/>
      </c>
      <c r="D3371">
        <f>"Q"&amp;(INT((A3371-1)/13)+1)</f>
        <v/>
      </c>
      <c r="E3371" t="inlineStr">
        <is>
          <t>Online</t>
        </is>
      </c>
      <c r="F3371">
        <f>IFERROR(INDEX(ChFormat,MATCH(E3371,ChName,0)),"")</f>
        <v/>
      </c>
      <c r="G3371" t="inlineStr">
        <is>
          <t>MB</t>
        </is>
      </c>
      <c r="H3371">
        <f>IF(A3371&lt;=NWeeks,1,0)</f>
        <v/>
      </c>
      <c r="I3371">
        <f>INDEX(ChLaunch,MATCH(E3371,ChName,0))</f>
        <v/>
      </c>
      <c r="J3371">
        <f>INDEX(ChWeeksFull,MATCH(E3371,ChName,0))</f>
        <v/>
      </c>
      <c r="K3371">
        <f>INDEX(ChRamp,MATCH(E3371,ChName,0))</f>
        <v/>
      </c>
      <c r="L3371" s="45">
        <f>MIN(1,MAX(0,(A3371-I3371+1)*RampSpeed/J3371))</f>
        <v/>
      </c>
      <c r="M3371" s="45">
        <f>IF(A3371&lt;I3371,0,IF(K3371="S-curve",L3371*L3371*(3-2*L3371),L3371))</f>
        <v/>
      </c>
      <c r="N3371" s="45">
        <f>1+(INDEX(SeasonIdx,A3371)-1)*SeasonAmp</f>
        <v/>
      </c>
      <c r="O3371" s="45">
        <f>IFERROR(INDEX(PSPct,MATCH(E3371&amp;"|"&amp;G3371,PSKey,0)),0)</f>
        <v/>
      </c>
      <c r="P3371" s="46" t="n">
        <v>0</v>
      </c>
      <c r="Q3371" s="46">
        <f>INDEX(OnlineUnitsCol,A3371)*O3371*(1+OnlineGrowth)*N3371*H3371*IF(A3371&gt;=I3371,1,0)</f>
        <v/>
      </c>
      <c r="R3371" s="46">
        <f>Q3371*INDEX(FmtCansPerPack,MATCH(F3371,FmtName,0))/INDEX(FmtCansPerCase,MATCH(F3371,FmtName,0))</f>
        <v/>
      </c>
      <c r="S3371" s="46">
        <f>R3371*INDEX(FmtCansPerCase,MATCH(F3371,FmtName,0))</f>
        <v/>
      </c>
      <c r="T3371" s="46">
        <f>S3371/INDEX(FmtCansPerPack,MATCH(F3371,FmtName,0))</f>
        <v/>
      </c>
      <c r="U3371" s="47">
        <f>INDEX(ProvOnline,MATCH(G3371,ProvCode,0))*(1+PriceIndex)</f>
        <v/>
      </c>
      <c r="V3371" s="47">
        <f>Q3371*U3371*INDEX(FmtBlendedPriceIdx,MATCH(F3371,FmtName,0))</f>
        <v/>
      </c>
      <c r="W3371" s="47">
        <f>V3371</f>
        <v/>
      </c>
      <c r="X3371" s="47">
        <f>IF(GrossBasis="Wholesale",V3371,W3371)</f>
        <v/>
      </c>
      <c r="Y3371" s="47">
        <f>R3371*INDEX(FmtBlendedCogs,MATCH(F3371,FmtName,0))</f>
        <v/>
      </c>
      <c r="Z3371" s="47">
        <f>X3371-Y3371</f>
        <v/>
      </c>
    </row>
    <row r="3372">
      <c r="A3372" t="n">
        <v>32</v>
      </c>
      <c r="B3372" s="44">
        <f>FiscalStart+(A3372-1)*7</f>
        <v/>
      </c>
      <c r="C3372">
        <f>TEXT(B3372,"mmm yyyy")</f>
        <v/>
      </c>
      <c r="D3372">
        <f>"Q"&amp;(INT((A3372-1)/13)+1)</f>
        <v/>
      </c>
      <c r="E3372" t="inlineStr">
        <is>
          <t>Online</t>
        </is>
      </c>
      <c r="F3372">
        <f>IFERROR(INDEX(ChFormat,MATCH(E3372,ChName,0)),"")</f>
        <v/>
      </c>
      <c r="G3372" t="inlineStr">
        <is>
          <t>MB</t>
        </is>
      </c>
      <c r="H3372">
        <f>IF(A3372&lt;=NWeeks,1,0)</f>
        <v/>
      </c>
      <c r="I3372">
        <f>INDEX(ChLaunch,MATCH(E3372,ChName,0))</f>
        <v/>
      </c>
      <c r="J3372">
        <f>INDEX(ChWeeksFull,MATCH(E3372,ChName,0))</f>
        <v/>
      </c>
      <c r="K3372">
        <f>INDEX(ChRamp,MATCH(E3372,ChName,0))</f>
        <v/>
      </c>
      <c r="L3372" s="45">
        <f>MIN(1,MAX(0,(A3372-I3372+1)*RampSpeed/J3372))</f>
        <v/>
      </c>
      <c r="M3372" s="45">
        <f>IF(A3372&lt;I3372,0,IF(K3372="S-curve",L3372*L3372*(3-2*L3372),L3372))</f>
        <v/>
      </c>
      <c r="N3372" s="45">
        <f>1+(INDEX(SeasonIdx,A3372)-1)*SeasonAmp</f>
        <v/>
      </c>
      <c r="O3372" s="45">
        <f>IFERROR(INDEX(PSPct,MATCH(E3372&amp;"|"&amp;G3372,PSKey,0)),0)</f>
        <v/>
      </c>
      <c r="P3372" s="46" t="n">
        <v>0</v>
      </c>
      <c r="Q3372" s="46">
        <f>INDEX(OnlineUnitsCol,A3372)*O3372*(1+OnlineGrowth)*N3372*H3372*IF(A3372&gt;=I3372,1,0)</f>
        <v/>
      </c>
      <c r="R3372" s="46">
        <f>Q3372*INDEX(FmtCansPerPack,MATCH(F3372,FmtName,0))/INDEX(FmtCansPerCase,MATCH(F3372,FmtName,0))</f>
        <v/>
      </c>
      <c r="S3372" s="46">
        <f>R3372*INDEX(FmtCansPerCase,MATCH(F3372,FmtName,0))</f>
        <v/>
      </c>
      <c r="T3372" s="46">
        <f>S3372/INDEX(FmtCansPerPack,MATCH(F3372,FmtName,0))</f>
        <v/>
      </c>
      <c r="U3372" s="47">
        <f>INDEX(ProvOnline,MATCH(G3372,ProvCode,0))*(1+PriceIndex)</f>
        <v/>
      </c>
      <c r="V3372" s="47">
        <f>Q3372*U3372*INDEX(FmtBlendedPriceIdx,MATCH(F3372,FmtName,0))</f>
        <v/>
      </c>
      <c r="W3372" s="47">
        <f>V3372</f>
        <v/>
      </c>
      <c r="X3372" s="47">
        <f>IF(GrossBasis="Wholesale",V3372,W3372)</f>
        <v/>
      </c>
      <c r="Y3372" s="47">
        <f>R3372*INDEX(FmtBlendedCogs,MATCH(F3372,FmtName,0))</f>
        <v/>
      </c>
      <c r="Z3372" s="47">
        <f>X3372-Y3372</f>
        <v/>
      </c>
    </row>
    <row r="3373">
      <c r="A3373" t="n">
        <v>33</v>
      </c>
      <c r="B3373" s="44">
        <f>FiscalStart+(A3373-1)*7</f>
        <v/>
      </c>
      <c r="C3373">
        <f>TEXT(B3373,"mmm yyyy")</f>
        <v/>
      </c>
      <c r="D3373">
        <f>"Q"&amp;(INT((A3373-1)/13)+1)</f>
        <v/>
      </c>
      <c r="E3373" t="inlineStr">
        <is>
          <t>Online</t>
        </is>
      </c>
      <c r="F3373">
        <f>IFERROR(INDEX(ChFormat,MATCH(E3373,ChName,0)),"")</f>
        <v/>
      </c>
      <c r="G3373" t="inlineStr">
        <is>
          <t>MB</t>
        </is>
      </c>
      <c r="H3373">
        <f>IF(A3373&lt;=NWeeks,1,0)</f>
        <v/>
      </c>
      <c r="I3373">
        <f>INDEX(ChLaunch,MATCH(E3373,ChName,0))</f>
        <v/>
      </c>
      <c r="J3373">
        <f>INDEX(ChWeeksFull,MATCH(E3373,ChName,0))</f>
        <v/>
      </c>
      <c r="K3373">
        <f>INDEX(ChRamp,MATCH(E3373,ChName,0))</f>
        <v/>
      </c>
      <c r="L3373" s="45">
        <f>MIN(1,MAX(0,(A3373-I3373+1)*RampSpeed/J3373))</f>
        <v/>
      </c>
      <c r="M3373" s="45">
        <f>IF(A3373&lt;I3373,0,IF(K3373="S-curve",L3373*L3373*(3-2*L3373),L3373))</f>
        <v/>
      </c>
      <c r="N3373" s="45">
        <f>1+(INDEX(SeasonIdx,A3373)-1)*SeasonAmp</f>
        <v/>
      </c>
      <c r="O3373" s="45">
        <f>IFERROR(INDEX(PSPct,MATCH(E3373&amp;"|"&amp;G3373,PSKey,0)),0)</f>
        <v/>
      </c>
      <c r="P3373" s="46" t="n">
        <v>0</v>
      </c>
      <c r="Q3373" s="46">
        <f>INDEX(OnlineUnitsCol,A3373)*O3373*(1+OnlineGrowth)*N3373*H3373*IF(A3373&gt;=I3373,1,0)</f>
        <v/>
      </c>
      <c r="R3373" s="46">
        <f>Q3373*INDEX(FmtCansPerPack,MATCH(F3373,FmtName,0))/INDEX(FmtCansPerCase,MATCH(F3373,FmtName,0))</f>
        <v/>
      </c>
      <c r="S3373" s="46">
        <f>R3373*INDEX(FmtCansPerCase,MATCH(F3373,FmtName,0))</f>
        <v/>
      </c>
      <c r="T3373" s="46">
        <f>S3373/INDEX(FmtCansPerPack,MATCH(F3373,FmtName,0))</f>
        <v/>
      </c>
      <c r="U3373" s="47">
        <f>INDEX(ProvOnline,MATCH(G3373,ProvCode,0))*(1+PriceIndex)</f>
        <v/>
      </c>
      <c r="V3373" s="47">
        <f>Q3373*U3373*INDEX(FmtBlendedPriceIdx,MATCH(F3373,FmtName,0))</f>
        <v/>
      </c>
      <c r="W3373" s="47">
        <f>V3373</f>
        <v/>
      </c>
      <c r="X3373" s="47">
        <f>IF(GrossBasis="Wholesale",V3373,W3373)</f>
        <v/>
      </c>
      <c r="Y3373" s="47">
        <f>R3373*INDEX(FmtBlendedCogs,MATCH(F3373,FmtName,0))</f>
        <v/>
      </c>
      <c r="Z3373" s="47">
        <f>X3373-Y3373</f>
        <v/>
      </c>
    </row>
    <row r="3374">
      <c r="A3374" t="n">
        <v>34</v>
      </c>
      <c r="B3374" s="44">
        <f>FiscalStart+(A3374-1)*7</f>
        <v/>
      </c>
      <c r="C3374">
        <f>TEXT(B3374,"mmm yyyy")</f>
        <v/>
      </c>
      <c r="D3374">
        <f>"Q"&amp;(INT((A3374-1)/13)+1)</f>
        <v/>
      </c>
      <c r="E3374" t="inlineStr">
        <is>
          <t>Online</t>
        </is>
      </c>
      <c r="F3374">
        <f>IFERROR(INDEX(ChFormat,MATCH(E3374,ChName,0)),"")</f>
        <v/>
      </c>
      <c r="G3374" t="inlineStr">
        <is>
          <t>MB</t>
        </is>
      </c>
      <c r="H3374">
        <f>IF(A3374&lt;=NWeeks,1,0)</f>
        <v/>
      </c>
      <c r="I3374">
        <f>INDEX(ChLaunch,MATCH(E3374,ChName,0))</f>
        <v/>
      </c>
      <c r="J3374">
        <f>INDEX(ChWeeksFull,MATCH(E3374,ChName,0))</f>
        <v/>
      </c>
      <c r="K3374">
        <f>INDEX(ChRamp,MATCH(E3374,ChName,0))</f>
        <v/>
      </c>
      <c r="L3374" s="45">
        <f>MIN(1,MAX(0,(A3374-I3374+1)*RampSpeed/J3374))</f>
        <v/>
      </c>
      <c r="M3374" s="45">
        <f>IF(A3374&lt;I3374,0,IF(K3374="S-curve",L3374*L3374*(3-2*L3374),L3374))</f>
        <v/>
      </c>
      <c r="N3374" s="45">
        <f>1+(INDEX(SeasonIdx,A3374)-1)*SeasonAmp</f>
        <v/>
      </c>
      <c r="O3374" s="45">
        <f>IFERROR(INDEX(PSPct,MATCH(E3374&amp;"|"&amp;G3374,PSKey,0)),0)</f>
        <v/>
      </c>
      <c r="P3374" s="46" t="n">
        <v>0</v>
      </c>
      <c r="Q3374" s="46">
        <f>INDEX(OnlineUnitsCol,A3374)*O3374*(1+OnlineGrowth)*N3374*H3374*IF(A3374&gt;=I3374,1,0)</f>
        <v/>
      </c>
      <c r="R3374" s="46">
        <f>Q3374*INDEX(FmtCansPerPack,MATCH(F3374,FmtName,0))/INDEX(FmtCansPerCase,MATCH(F3374,FmtName,0))</f>
        <v/>
      </c>
      <c r="S3374" s="46">
        <f>R3374*INDEX(FmtCansPerCase,MATCH(F3374,FmtName,0))</f>
        <v/>
      </c>
      <c r="T3374" s="46">
        <f>S3374/INDEX(FmtCansPerPack,MATCH(F3374,FmtName,0))</f>
        <v/>
      </c>
      <c r="U3374" s="47">
        <f>INDEX(ProvOnline,MATCH(G3374,ProvCode,0))*(1+PriceIndex)</f>
        <v/>
      </c>
      <c r="V3374" s="47">
        <f>Q3374*U3374*INDEX(FmtBlendedPriceIdx,MATCH(F3374,FmtName,0))</f>
        <v/>
      </c>
      <c r="W3374" s="47">
        <f>V3374</f>
        <v/>
      </c>
      <c r="X3374" s="47">
        <f>IF(GrossBasis="Wholesale",V3374,W3374)</f>
        <v/>
      </c>
      <c r="Y3374" s="47">
        <f>R3374*INDEX(FmtBlendedCogs,MATCH(F3374,FmtName,0))</f>
        <v/>
      </c>
      <c r="Z3374" s="47">
        <f>X3374-Y3374</f>
        <v/>
      </c>
    </row>
    <row r="3375">
      <c r="A3375" t="n">
        <v>35</v>
      </c>
      <c r="B3375" s="44">
        <f>FiscalStart+(A3375-1)*7</f>
        <v/>
      </c>
      <c r="C3375">
        <f>TEXT(B3375,"mmm yyyy")</f>
        <v/>
      </c>
      <c r="D3375">
        <f>"Q"&amp;(INT((A3375-1)/13)+1)</f>
        <v/>
      </c>
      <c r="E3375" t="inlineStr">
        <is>
          <t>Online</t>
        </is>
      </c>
      <c r="F3375">
        <f>IFERROR(INDEX(ChFormat,MATCH(E3375,ChName,0)),"")</f>
        <v/>
      </c>
      <c r="G3375" t="inlineStr">
        <is>
          <t>MB</t>
        </is>
      </c>
      <c r="H3375">
        <f>IF(A3375&lt;=NWeeks,1,0)</f>
        <v/>
      </c>
      <c r="I3375">
        <f>INDEX(ChLaunch,MATCH(E3375,ChName,0))</f>
        <v/>
      </c>
      <c r="J3375">
        <f>INDEX(ChWeeksFull,MATCH(E3375,ChName,0))</f>
        <v/>
      </c>
      <c r="K3375">
        <f>INDEX(ChRamp,MATCH(E3375,ChName,0))</f>
        <v/>
      </c>
      <c r="L3375" s="45">
        <f>MIN(1,MAX(0,(A3375-I3375+1)*RampSpeed/J3375))</f>
        <v/>
      </c>
      <c r="M3375" s="45">
        <f>IF(A3375&lt;I3375,0,IF(K3375="S-curve",L3375*L3375*(3-2*L3375),L3375))</f>
        <v/>
      </c>
      <c r="N3375" s="45">
        <f>1+(INDEX(SeasonIdx,A3375)-1)*SeasonAmp</f>
        <v/>
      </c>
      <c r="O3375" s="45">
        <f>IFERROR(INDEX(PSPct,MATCH(E3375&amp;"|"&amp;G3375,PSKey,0)),0)</f>
        <v/>
      </c>
      <c r="P3375" s="46" t="n">
        <v>0</v>
      </c>
      <c r="Q3375" s="46">
        <f>INDEX(OnlineUnitsCol,A3375)*O3375*(1+OnlineGrowth)*N3375*H3375*IF(A3375&gt;=I3375,1,0)</f>
        <v/>
      </c>
      <c r="R3375" s="46">
        <f>Q3375*INDEX(FmtCansPerPack,MATCH(F3375,FmtName,0))/INDEX(FmtCansPerCase,MATCH(F3375,FmtName,0))</f>
        <v/>
      </c>
      <c r="S3375" s="46">
        <f>R3375*INDEX(FmtCansPerCase,MATCH(F3375,FmtName,0))</f>
        <v/>
      </c>
      <c r="T3375" s="46">
        <f>S3375/INDEX(FmtCansPerPack,MATCH(F3375,FmtName,0))</f>
        <v/>
      </c>
      <c r="U3375" s="47">
        <f>INDEX(ProvOnline,MATCH(G3375,ProvCode,0))*(1+PriceIndex)</f>
        <v/>
      </c>
      <c r="V3375" s="47">
        <f>Q3375*U3375*INDEX(FmtBlendedPriceIdx,MATCH(F3375,FmtName,0))</f>
        <v/>
      </c>
      <c r="W3375" s="47">
        <f>V3375</f>
        <v/>
      </c>
      <c r="X3375" s="47">
        <f>IF(GrossBasis="Wholesale",V3375,W3375)</f>
        <v/>
      </c>
      <c r="Y3375" s="47">
        <f>R3375*INDEX(FmtBlendedCogs,MATCH(F3375,FmtName,0))</f>
        <v/>
      </c>
      <c r="Z3375" s="47">
        <f>X3375-Y3375</f>
        <v/>
      </c>
    </row>
    <row r="3376">
      <c r="A3376" t="n">
        <v>36</v>
      </c>
      <c r="B3376" s="44">
        <f>FiscalStart+(A3376-1)*7</f>
        <v/>
      </c>
      <c r="C3376">
        <f>TEXT(B3376,"mmm yyyy")</f>
        <v/>
      </c>
      <c r="D3376">
        <f>"Q"&amp;(INT((A3376-1)/13)+1)</f>
        <v/>
      </c>
      <c r="E3376" t="inlineStr">
        <is>
          <t>Online</t>
        </is>
      </c>
      <c r="F3376">
        <f>IFERROR(INDEX(ChFormat,MATCH(E3376,ChName,0)),"")</f>
        <v/>
      </c>
      <c r="G3376" t="inlineStr">
        <is>
          <t>MB</t>
        </is>
      </c>
      <c r="H3376">
        <f>IF(A3376&lt;=NWeeks,1,0)</f>
        <v/>
      </c>
      <c r="I3376">
        <f>INDEX(ChLaunch,MATCH(E3376,ChName,0))</f>
        <v/>
      </c>
      <c r="J3376">
        <f>INDEX(ChWeeksFull,MATCH(E3376,ChName,0))</f>
        <v/>
      </c>
      <c r="K3376">
        <f>INDEX(ChRamp,MATCH(E3376,ChName,0))</f>
        <v/>
      </c>
      <c r="L3376" s="45">
        <f>MIN(1,MAX(0,(A3376-I3376+1)*RampSpeed/J3376))</f>
        <v/>
      </c>
      <c r="M3376" s="45">
        <f>IF(A3376&lt;I3376,0,IF(K3376="S-curve",L3376*L3376*(3-2*L3376),L3376))</f>
        <v/>
      </c>
      <c r="N3376" s="45">
        <f>1+(INDEX(SeasonIdx,A3376)-1)*SeasonAmp</f>
        <v/>
      </c>
      <c r="O3376" s="45">
        <f>IFERROR(INDEX(PSPct,MATCH(E3376&amp;"|"&amp;G3376,PSKey,0)),0)</f>
        <v/>
      </c>
      <c r="P3376" s="46" t="n">
        <v>0</v>
      </c>
      <c r="Q3376" s="46">
        <f>INDEX(OnlineUnitsCol,A3376)*O3376*(1+OnlineGrowth)*N3376*H3376*IF(A3376&gt;=I3376,1,0)</f>
        <v/>
      </c>
      <c r="R3376" s="46">
        <f>Q3376*INDEX(FmtCansPerPack,MATCH(F3376,FmtName,0))/INDEX(FmtCansPerCase,MATCH(F3376,FmtName,0))</f>
        <v/>
      </c>
      <c r="S3376" s="46">
        <f>R3376*INDEX(FmtCansPerCase,MATCH(F3376,FmtName,0))</f>
        <v/>
      </c>
      <c r="T3376" s="46">
        <f>S3376/INDEX(FmtCansPerPack,MATCH(F3376,FmtName,0))</f>
        <v/>
      </c>
      <c r="U3376" s="47">
        <f>INDEX(ProvOnline,MATCH(G3376,ProvCode,0))*(1+PriceIndex)</f>
        <v/>
      </c>
      <c r="V3376" s="47">
        <f>Q3376*U3376*INDEX(FmtBlendedPriceIdx,MATCH(F3376,FmtName,0))</f>
        <v/>
      </c>
      <c r="W3376" s="47">
        <f>V3376</f>
        <v/>
      </c>
      <c r="X3376" s="47">
        <f>IF(GrossBasis="Wholesale",V3376,W3376)</f>
        <v/>
      </c>
      <c r="Y3376" s="47">
        <f>R3376*INDEX(FmtBlendedCogs,MATCH(F3376,FmtName,0))</f>
        <v/>
      </c>
      <c r="Z3376" s="47">
        <f>X3376-Y3376</f>
        <v/>
      </c>
    </row>
    <row r="3377">
      <c r="A3377" t="n">
        <v>37</v>
      </c>
      <c r="B3377" s="44">
        <f>FiscalStart+(A3377-1)*7</f>
        <v/>
      </c>
      <c r="C3377">
        <f>TEXT(B3377,"mmm yyyy")</f>
        <v/>
      </c>
      <c r="D3377">
        <f>"Q"&amp;(INT((A3377-1)/13)+1)</f>
        <v/>
      </c>
      <c r="E3377" t="inlineStr">
        <is>
          <t>Online</t>
        </is>
      </c>
      <c r="F3377">
        <f>IFERROR(INDEX(ChFormat,MATCH(E3377,ChName,0)),"")</f>
        <v/>
      </c>
      <c r="G3377" t="inlineStr">
        <is>
          <t>MB</t>
        </is>
      </c>
      <c r="H3377">
        <f>IF(A3377&lt;=NWeeks,1,0)</f>
        <v/>
      </c>
      <c r="I3377">
        <f>INDEX(ChLaunch,MATCH(E3377,ChName,0))</f>
        <v/>
      </c>
      <c r="J3377">
        <f>INDEX(ChWeeksFull,MATCH(E3377,ChName,0))</f>
        <v/>
      </c>
      <c r="K3377">
        <f>INDEX(ChRamp,MATCH(E3377,ChName,0))</f>
        <v/>
      </c>
      <c r="L3377" s="45">
        <f>MIN(1,MAX(0,(A3377-I3377+1)*RampSpeed/J3377))</f>
        <v/>
      </c>
      <c r="M3377" s="45">
        <f>IF(A3377&lt;I3377,0,IF(K3377="S-curve",L3377*L3377*(3-2*L3377),L3377))</f>
        <v/>
      </c>
      <c r="N3377" s="45">
        <f>1+(INDEX(SeasonIdx,A3377)-1)*SeasonAmp</f>
        <v/>
      </c>
      <c r="O3377" s="45">
        <f>IFERROR(INDEX(PSPct,MATCH(E3377&amp;"|"&amp;G3377,PSKey,0)),0)</f>
        <v/>
      </c>
      <c r="P3377" s="46" t="n">
        <v>0</v>
      </c>
      <c r="Q3377" s="46">
        <f>INDEX(OnlineUnitsCol,A3377)*O3377*(1+OnlineGrowth)*N3377*H3377*IF(A3377&gt;=I3377,1,0)</f>
        <v/>
      </c>
      <c r="R3377" s="46">
        <f>Q3377*INDEX(FmtCansPerPack,MATCH(F3377,FmtName,0))/INDEX(FmtCansPerCase,MATCH(F3377,FmtName,0))</f>
        <v/>
      </c>
      <c r="S3377" s="46">
        <f>R3377*INDEX(FmtCansPerCase,MATCH(F3377,FmtName,0))</f>
        <v/>
      </c>
      <c r="T3377" s="46">
        <f>S3377/INDEX(FmtCansPerPack,MATCH(F3377,FmtName,0))</f>
        <v/>
      </c>
      <c r="U3377" s="47">
        <f>INDEX(ProvOnline,MATCH(G3377,ProvCode,0))*(1+PriceIndex)</f>
        <v/>
      </c>
      <c r="V3377" s="47">
        <f>Q3377*U3377*INDEX(FmtBlendedPriceIdx,MATCH(F3377,FmtName,0))</f>
        <v/>
      </c>
      <c r="W3377" s="47">
        <f>V3377</f>
        <v/>
      </c>
      <c r="X3377" s="47">
        <f>IF(GrossBasis="Wholesale",V3377,W3377)</f>
        <v/>
      </c>
      <c r="Y3377" s="47">
        <f>R3377*INDEX(FmtBlendedCogs,MATCH(F3377,FmtName,0))</f>
        <v/>
      </c>
      <c r="Z3377" s="47">
        <f>X3377-Y3377</f>
        <v/>
      </c>
    </row>
    <row r="3378">
      <c r="A3378" t="n">
        <v>38</v>
      </c>
      <c r="B3378" s="44">
        <f>FiscalStart+(A3378-1)*7</f>
        <v/>
      </c>
      <c r="C3378">
        <f>TEXT(B3378,"mmm yyyy")</f>
        <v/>
      </c>
      <c r="D3378">
        <f>"Q"&amp;(INT((A3378-1)/13)+1)</f>
        <v/>
      </c>
      <c r="E3378" t="inlineStr">
        <is>
          <t>Online</t>
        </is>
      </c>
      <c r="F3378">
        <f>IFERROR(INDEX(ChFormat,MATCH(E3378,ChName,0)),"")</f>
        <v/>
      </c>
      <c r="G3378" t="inlineStr">
        <is>
          <t>MB</t>
        </is>
      </c>
      <c r="H3378">
        <f>IF(A3378&lt;=NWeeks,1,0)</f>
        <v/>
      </c>
      <c r="I3378">
        <f>INDEX(ChLaunch,MATCH(E3378,ChName,0))</f>
        <v/>
      </c>
      <c r="J3378">
        <f>INDEX(ChWeeksFull,MATCH(E3378,ChName,0))</f>
        <v/>
      </c>
      <c r="K3378">
        <f>INDEX(ChRamp,MATCH(E3378,ChName,0))</f>
        <v/>
      </c>
      <c r="L3378" s="45">
        <f>MIN(1,MAX(0,(A3378-I3378+1)*RampSpeed/J3378))</f>
        <v/>
      </c>
      <c r="M3378" s="45">
        <f>IF(A3378&lt;I3378,0,IF(K3378="S-curve",L3378*L3378*(3-2*L3378),L3378))</f>
        <v/>
      </c>
      <c r="N3378" s="45">
        <f>1+(INDEX(SeasonIdx,A3378)-1)*SeasonAmp</f>
        <v/>
      </c>
      <c r="O3378" s="45">
        <f>IFERROR(INDEX(PSPct,MATCH(E3378&amp;"|"&amp;G3378,PSKey,0)),0)</f>
        <v/>
      </c>
      <c r="P3378" s="46" t="n">
        <v>0</v>
      </c>
      <c r="Q3378" s="46">
        <f>INDEX(OnlineUnitsCol,A3378)*O3378*(1+OnlineGrowth)*N3378*H3378*IF(A3378&gt;=I3378,1,0)</f>
        <v/>
      </c>
      <c r="R3378" s="46">
        <f>Q3378*INDEX(FmtCansPerPack,MATCH(F3378,FmtName,0))/INDEX(FmtCansPerCase,MATCH(F3378,FmtName,0))</f>
        <v/>
      </c>
      <c r="S3378" s="46">
        <f>R3378*INDEX(FmtCansPerCase,MATCH(F3378,FmtName,0))</f>
        <v/>
      </c>
      <c r="T3378" s="46">
        <f>S3378/INDEX(FmtCansPerPack,MATCH(F3378,FmtName,0))</f>
        <v/>
      </c>
      <c r="U3378" s="47">
        <f>INDEX(ProvOnline,MATCH(G3378,ProvCode,0))*(1+PriceIndex)</f>
        <v/>
      </c>
      <c r="V3378" s="47">
        <f>Q3378*U3378*INDEX(FmtBlendedPriceIdx,MATCH(F3378,FmtName,0))</f>
        <v/>
      </c>
      <c r="W3378" s="47">
        <f>V3378</f>
        <v/>
      </c>
      <c r="X3378" s="47">
        <f>IF(GrossBasis="Wholesale",V3378,W3378)</f>
        <v/>
      </c>
      <c r="Y3378" s="47">
        <f>R3378*INDEX(FmtBlendedCogs,MATCH(F3378,FmtName,0))</f>
        <v/>
      </c>
      <c r="Z3378" s="47">
        <f>X3378-Y3378</f>
        <v/>
      </c>
    </row>
    <row r="3379">
      <c r="A3379" t="n">
        <v>39</v>
      </c>
      <c r="B3379" s="44">
        <f>FiscalStart+(A3379-1)*7</f>
        <v/>
      </c>
      <c r="C3379">
        <f>TEXT(B3379,"mmm yyyy")</f>
        <v/>
      </c>
      <c r="D3379">
        <f>"Q"&amp;(INT((A3379-1)/13)+1)</f>
        <v/>
      </c>
      <c r="E3379" t="inlineStr">
        <is>
          <t>Online</t>
        </is>
      </c>
      <c r="F3379">
        <f>IFERROR(INDEX(ChFormat,MATCH(E3379,ChName,0)),"")</f>
        <v/>
      </c>
      <c r="G3379" t="inlineStr">
        <is>
          <t>MB</t>
        </is>
      </c>
      <c r="H3379">
        <f>IF(A3379&lt;=NWeeks,1,0)</f>
        <v/>
      </c>
      <c r="I3379">
        <f>INDEX(ChLaunch,MATCH(E3379,ChName,0))</f>
        <v/>
      </c>
      <c r="J3379">
        <f>INDEX(ChWeeksFull,MATCH(E3379,ChName,0))</f>
        <v/>
      </c>
      <c r="K3379">
        <f>INDEX(ChRamp,MATCH(E3379,ChName,0))</f>
        <v/>
      </c>
      <c r="L3379" s="45">
        <f>MIN(1,MAX(0,(A3379-I3379+1)*RampSpeed/J3379))</f>
        <v/>
      </c>
      <c r="M3379" s="45">
        <f>IF(A3379&lt;I3379,0,IF(K3379="S-curve",L3379*L3379*(3-2*L3379),L3379))</f>
        <v/>
      </c>
      <c r="N3379" s="45">
        <f>1+(INDEX(SeasonIdx,A3379)-1)*SeasonAmp</f>
        <v/>
      </c>
      <c r="O3379" s="45">
        <f>IFERROR(INDEX(PSPct,MATCH(E3379&amp;"|"&amp;G3379,PSKey,0)),0)</f>
        <v/>
      </c>
      <c r="P3379" s="46" t="n">
        <v>0</v>
      </c>
      <c r="Q3379" s="46">
        <f>INDEX(OnlineUnitsCol,A3379)*O3379*(1+OnlineGrowth)*N3379*H3379*IF(A3379&gt;=I3379,1,0)</f>
        <v/>
      </c>
      <c r="R3379" s="46">
        <f>Q3379*INDEX(FmtCansPerPack,MATCH(F3379,FmtName,0))/INDEX(FmtCansPerCase,MATCH(F3379,FmtName,0))</f>
        <v/>
      </c>
      <c r="S3379" s="46">
        <f>R3379*INDEX(FmtCansPerCase,MATCH(F3379,FmtName,0))</f>
        <v/>
      </c>
      <c r="T3379" s="46">
        <f>S3379/INDEX(FmtCansPerPack,MATCH(F3379,FmtName,0))</f>
        <v/>
      </c>
      <c r="U3379" s="47">
        <f>INDEX(ProvOnline,MATCH(G3379,ProvCode,0))*(1+PriceIndex)</f>
        <v/>
      </c>
      <c r="V3379" s="47">
        <f>Q3379*U3379*INDEX(FmtBlendedPriceIdx,MATCH(F3379,FmtName,0))</f>
        <v/>
      </c>
      <c r="W3379" s="47">
        <f>V3379</f>
        <v/>
      </c>
      <c r="X3379" s="47">
        <f>IF(GrossBasis="Wholesale",V3379,W3379)</f>
        <v/>
      </c>
      <c r="Y3379" s="47">
        <f>R3379*INDEX(FmtBlendedCogs,MATCH(F3379,FmtName,0))</f>
        <v/>
      </c>
      <c r="Z3379" s="47">
        <f>X3379-Y3379</f>
        <v/>
      </c>
    </row>
    <row r="3380">
      <c r="A3380" t="n">
        <v>40</v>
      </c>
      <c r="B3380" s="44">
        <f>FiscalStart+(A3380-1)*7</f>
        <v/>
      </c>
      <c r="C3380">
        <f>TEXT(B3380,"mmm yyyy")</f>
        <v/>
      </c>
      <c r="D3380">
        <f>"Q"&amp;(INT((A3380-1)/13)+1)</f>
        <v/>
      </c>
      <c r="E3380" t="inlineStr">
        <is>
          <t>Online</t>
        </is>
      </c>
      <c r="F3380">
        <f>IFERROR(INDEX(ChFormat,MATCH(E3380,ChName,0)),"")</f>
        <v/>
      </c>
      <c r="G3380" t="inlineStr">
        <is>
          <t>MB</t>
        </is>
      </c>
      <c r="H3380">
        <f>IF(A3380&lt;=NWeeks,1,0)</f>
        <v/>
      </c>
      <c r="I3380">
        <f>INDEX(ChLaunch,MATCH(E3380,ChName,0))</f>
        <v/>
      </c>
      <c r="J3380">
        <f>INDEX(ChWeeksFull,MATCH(E3380,ChName,0))</f>
        <v/>
      </c>
      <c r="K3380">
        <f>INDEX(ChRamp,MATCH(E3380,ChName,0))</f>
        <v/>
      </c>
      <c r="L3380" s="45">
        <f>MIN(1,MAX(0,(A3380-I3380+1)*RampSpeed/J3380))</f>
        <v/>
      </c>
      <c r="M3380" s="45">
        <f>IF(A3380&lt;I3380,0,IF(K3380="S-curve",L3380*L3380*(3-2*L3380),L3380))</f>
        <v/>
      </c>
      <c r="N3380" s="45">
        <f>1+(INDEX(SeasonIdx,A3380)-1)*SeasonAmp</f>
        <v/>
      </c>
      <c r="O3380" s="45">
        <f>IFERROR(INDEX(PSPct,MATCH(E3380&amp;"|"&amp;G3380,PSKey,0)),0)</f>
        <v/>
      </c>
      <c r="P3380" s="46" t="n">
        <v>0</v>
      </c>
      <c r="Q3380" s="46">
        <f>INDEX(OnlineUnitsCol,A3380)*O3380*(1+OnlineGrowth)*N3380*H3380*IF(A3380&gt;=I3380,1,0)</f>
        <v/>
      </c>
      <c r="R3380" s="46">
        <f>Q3380*INDEX(FmtCansPerPack,MATCH(F3380,FmtName,0))/INDEX(FmtCansPerCase,MATCH(F3380,FmtName,0))</f>
        <v/>
      </c>
      <c r="S3380" s="46">
        <f>R3380*INDEX(FmtCansPerCase,MATCH(F3380,FmtName,0))</f>
        <v/>
      </c>
      <c r="T3380" s="46">
        <f>S3380/INDEX(FmtCansPerPack,MATCH(F3380,FmtName,0))</f>
        <v/>
      </c>
      <c r="U3380" s="47">
        <f>INDEX(ProvOnline,MATCH(G3380,ProvCode,0))*(1+PriceIndex)</f>
        <v/>
      </c>
      <c r="V3380" s="47">
        <f>Q3380*U3380*INDEX(FmtBlendedPriceIdx,MATCH(F3380,FmtName,0))</f>
        <v/>
      </c>
      <c r="W3380" s="47">
        <f>V3380</f>
        <v/>
      </c>
      <c r="X3380" s="47">
        <f>IF(GrossBasis="Wholesale",V3380,W3380)</f>
        <v/>
      </c>
      <c r="Y3380" s="47">
        <f>R3380*INDEX(FmtBlendedCogs,MATCH(F3380,FmtName,0))</f>
        <v/>
      </c>
      <c r="Z3380" s="47">
        <f>X3380-Y3380</f>
        <v/>
      </c>
    </row>
    <row r="3381">
      <c r="A3381" t="n">
        <v>41</v>
      </c>
      <c r="B3381" s="44">
        <f>FiscalStart+(A3381-1)*7</f>
        <v/>
      </c>
      <c r="C3381">
        <f>TEXT(B3381,"mmm yyyy")</f>
        <v/>
      </c>
      <c r="D3381">
        <f>"Q"&amp;(INT((A3381-1)/13)+1)</f>
        <v/>
      </c>
      <c r="E3381" t="inlineStr">
        <is>
          <t>Online</t>
        </is>
      </c>
      <c r="F3381">
        <f>IFERROR(INDEX(ChFormat,MATCH(E3381,ChName,0)),"")</f>
        <v/>
      </c>
      <c r="G3381" t="inlineStr">
        <is>
          <t>MB</t>
        </is>
      </c>
      <c r="H3381">
        <f>IF(A3381&lt;=NWeeks,1,0)</f>
        <v/>
      </c>
      <c r="I3381">
        <f>INDEX(ChLaunch,MATCH(E3381,ChName,0))</f>
        <v/>
      </c>
      <c r="J3381">
        <f>INDEX(ChWeeksFull,MATCH(E3381,ChName,0))</f>
        <v/>
      </c>
      <c r="K3381">
        <f>INDEX(ChRamp,MATCH(E3381,ChName,0))</f>
        <v/>
      </c>
      <c r="L3381" s="45">
        <f>MIN(1,MAX(0,(A3381-I3381+1)*RampSpeed/J3381))</f>
        <v/>
      </c>
      <c r="M3381" s="45">
        <f>IF(A3381&lt;I3381,0,IF(K3381="S-curve",L3381*L3381*(3-2*L3381),L3381))</f>
        <v/>
      </c>
      <c r="N3381" s="45">
        <f>1+(INDEX(SeasonIdx,A3381)-1)*SeasonAmp</f>
        <v/>
      </c>
      <c r="O3381" s="45">
        <f>IFERROR(INDEX(PSPct,MATCH(E3381&amp;"|"&amp;G3381,PSKey,0)),0)</f>
        <v/>
      </c>
      <c r="P3381" s="46" t="n">
        <v>0</v>
      </c>
      <c r="Q3381" s="46">
        <f>INDEX(OnlineUnitsCol,A3381)*O3381*(1+OnlineGrowth)*N3381*H3381*IF(A3381&gt;=I3381,1,0)</f>
        <v/>
      </c>
      <c r="R3381" s="46">
        <f>Q3381*INDEX(FmtCansPerPack,MATCH(F3381,FmtName,0))/INDEX(FmtCansPerCase,MATCH(F3381,FmtName,0))</f>
        <v/>
      </c>
      <c r="S3381" s="46">
        <f>R3381*INDEX(FmtCansPerCase,MATCH(F3381,FmtName,0))</f>
        <v/>
      </c>
      <c r="T3381" s="46">
        <f>S3381/INDEX(FmtCansPerPack,MATCH(F3381,FmtName,0))</f>
        <v/>
      </c>
      <c r="U3381" s="47">
        <f>INDEX(ProvOnline,MATCH(G3381,ProvCode,0))*(1+PriceIndex)</f>
        <v/>
      </c>
      <c r="V3381" s="47">
        <f>Q3381*U3381*INDEX(FmtBlendedPriceIdx,MATCH(F3381,FmtName,0))</f>
        <v/>
      </c>
      <c r="W3381" s="47">
        <f>V3381</f>
        <v/>
      </c>
      <c r="X3381" s="47">
        <f>IF(GrossBasis="Wholesale",V3381,W3381)</f>
        <v/>
      </c>
      <c r="Y3381" s="47">
        <f>R3381*INDEX(FmtBlendedCogs,MATCH(F3381,FmtName,0))</f>
        <v/>
      </c>
      <c r="Z3381" s="47">
        <f>X3381-Y3381</f>
        <v/>
      </c>
    </row>
    <row r="3382">
      <c r="A3382" t="n">
        <v>42</v>
      </c>
      <c r="B3382" s="44">
        <f>FiscalStart+(A3382-1)*7</f>
        <v/>
      </c>
      <c r="C3382">
        <f>TEXT(B3382,"mmm yyyy")</f>
        <v/>
      </c>
      <c r="D3382">
        <f>"Q"&amp;(INT((A3382-1)/13)+1)</f>
        <v/>
      </c>
      <c r="E3382" t="inlineStr">
        <is>
          <t>Online</t>
        </is>
      </c>
      <c r="F3382">
        <f>IFERROR(INDEX(ChFormat,MATCH(E3382,ChName,0)),"")</f>
        <v/>
      </c>
      <c r="G3382" t="inlineStr">
        <is>
          <t>MB</t>
        </is>
      </c>
      <c r="H3382">
        <f>IF(A3382&lt;=NWeeks,1,0)</f>
        <v/>
      </c>
      <c r="I3382">
        <f>INDEX(ChLaunch,MATCH(E3382,ChName,0))</f>
        <v/>
      </c>
      <c r="J3382">
        <f>INDEX(ChWeeksFull,MATCH(E3382,ChName,0))</f>
        <v/>
      </c>
      <c r="K3382">
        <f>INDEX(ChRamp,MATCH(E3382,ChName,0))</f>
        <v/>
      </c>
      <c r="L3382" s="45">
        <f>MIN(1,MAX(0,(A3382-I3382+1)*RampSpeed/J3382))</f>
        <v/>
      </c>
      <c r="M3382" s="45">
        <f>IF(A3382&lt;I3382,0,IF(K3382="S-curve",L3382*L3382*(3-2*L3382),L3382))</f>
        <v/>
      </c>
      <c r="N3382" s="45">
        <f>1+(INDEX(SeasonIdx,A3382)-1)*SeasonAmp</f>
        <v/>
      </c>
      <c r="O3382" s="45">
        <f>IFERROR(INDEX(PSPct,MATCH(E3382&amp;"|"&amp;G3382,PSKey,0)),0)</f>
        <v/>
      </c>
      <c r="P3382" s="46" t="n">
        <v>0</v>
      </c>
      <c r="Q3382" s="46">
        <f>INDEX(OnlineUnitsCol,A3382)*O3382*(1+OnlineGrowth)*N3382*H3382*IF(A3382&gt;=I3382,1,0)</f>
        <v/>
      </c>
      <c r="R3382" s="46">
        <f>Q3382*INDEX(FmtCansPerPack,MATCH(F3382,FmtName,0))/INDEX(FmtCansPerCase,MATCH(F3382,FmtName,0))</f>
        <v/>
      </c>
      <c r="S3382" s="46">
        <f>R3382*INDEX(FmtCansPerCase,MATCH(F3382,FmtName,0))</f>
        <v/>
      </c>
      <c r="T3382" s="46">
        <f>S3382/INDEX(FmtCansPerPack,MATCH(F3382,FmtName,0))</f>
        <v/>
      </c>
      <c r="U3382" s="47">
        <f>INDEX(ProvOnline,MATCH(G3382,ProvCode,0))*(1+PriceIndex)</f>
        <v/>
      </c>
      <c r="V3382" s="47">
        <f>Q3382*U3382*INDEX(FmtBlendedPriceIdx,MATCH(F3382,FmtName,0))</f>
        <v/>
      </c>
      <c r="W3382" s="47">
        <f>V3382</f>
        <v/>
      </c>
      <c r="X3382" s="47">
        <f>IF(GrossBasis="Wholesale",V3382,W3382)</f>
        <v/>
      </c>
      <c r="Y3382" s="47">
        <f>R3382*INDEX(FmtBlendedCogs,MATCH(F3382,FmtName,0))</f>
        <v/>
      </c>
      <c r="Z3382" s="47">
        <f>X3382-Y3382</f>
        <v/>
      </c>
    </row>
    <row r="3383">
      <c r="A3383" t="n">
        <v>43</v>
      </c>
      <c r="B3383" s="44">
        <f>FiscalStart+(A3383-1)*7</f>
        <v/>
      </c>
      <c r="C3383">
        <f>TEXT(B3383,"mmm yyyy")</f>
        <v/>
      </c>
      <c r="D3383">
        <f>"Q"&amp;(INT((A3383-1)/13)+1)</f>
        <v/>
      </c>
      <c r="E3383" t="inlineStr">
        <is>
          <t>Online</t>
        </is>
      </c>
      <c r="F3383">
        <f>IFERROR(INDEX(ChFormat,MATCH(E3383,ChName,0)),"")</f>
        <v/>
      </c>
      <c r="G3383" t="inlineStr">
        <is>
          <t>MB</t>
        </is>
      </c>
      <c r="H3383">
        <f>IF(A3383&lt;=NWeeks,1,0)</f>
        <v/>
      </c>
      <c r="I3383">
        <f>INDEX(ChLaunch,MATCH(E3383,ChName,0))</f>
        <v/>
      </c>
      <c r="J3383">
        <f>INDEX(ChWeeksFull,MATCH(E3383,ChName,0))</f>
        <v/>
      </c>
      <c r="K3383">
        <f>INDEX(ChRamp,MATCH(E3383,ChName,0))</f>
        <v/>
      </c>
      <c r="L3383" s="45">
        <f>MIN(1,MAX(0,(A3383-I3383+1)*RampSpeed/J3383))</f>
        <v/>
      </c>
      <c r="M3383" s="45">
        <f>IF(A3383&lt;I3383,0,IF(K3383="S-curve",L3383*L3383*(3-2*L3383),L3383))</f>
        <v/>
      </c>
      <c r="N3383" s="45">
        <f>1+(INDEX(SeasonIdx,A3383)-1)*SeasonAmp</f>
        <v/>
      </c>
      <c r="O3383" s="45">
        <f>IFERROR(INDEX(PSPct,MATCH(E3383&amp;"|"&amp;G3383,PSKey,0)),0)</f>
        <v/>
      </c>
      <c r="P3383" s="46" t="n">
        <v>0</v>
      </c>
      <c r="Q3383" s="46">
        <f>INDEX(OnlineUnitsCol,A3383)*O3383*(1+OnlineGrowth)*N3383*H3383*IF(A3383&gt;=I3383,1,0)</f>
        <v/>
      </c>
      <c r="R3383" s="46">
        <f>Q3383*INDEX(FmtCansPerPack,MATCH(F3383,FmtName,0))/INDEX(FmtCansPerCase,MATCH(F3383,FmtName,0))</f>
        <v/>
      </c>
      <c r="S3383" s="46">
        <f>R3383*INDEX(FmtCansPerCase,MATCH(F3383,FmtName,0))</f>
        <v/>
      </c>
      <c r="T3383" s="46">
        <f>S3383/INDEX(FmtCansPerPack,MATCH(F3383,FmtName,0))</f>
        <v/>
      </c>
      <c r="U3383" s="47">
        <f>INDEX(ProvOnline,MATCH(G3383,ProvCode,0))*(1+PriceIndex)</f>
        <v/>
      </c>
      <c r="V3383" s="47">
        <f>Q3383*U3383*INDEX(FmtBlendedPriceIdx,MATCH(F3383,FmtName,0))</f>
        <v/>
      </c>
      <c r="W3383" s="47">
        <f>V3383</f>
        <v/>
      </c>
      <c r="X3383" s="47">
        <f>IF(GrossBasis="Wholesale",V3383,W3383)</f>
        <v/>
      </c>
      <c r="Y3383" s="47">
        <f>R3383*INDEX(FmtBlendedCogs,MATCH(F3383,FmtName,0))</f>
        <v/>
      </c>
      <c r="Z3383" s="47">
        <f>X3383-Y3383</f>
        <v/>
      </c>
    </row>
    <row r="3384">
      <c r="A3384" t="n">
        <v>44</v>
      </c>
      <c r="B3384" s="44">
        <f>FiscalStart+(A3384-1)*7</f>
        <v/>
      </c>
      <c r="C3384">
        <f>TEXT(B3384,"mmm yyyy")</f>
        <v/>
      </c>
      <c r="D3384">
        <f>"Q"&amp;(INT((A3384-1)/13)+1)</f>
        <v/>
      </c>
      <c r="E3384" t="inlineStr">
        <is>
          <t>Online</t>
        </is>
      </c>
      <c r="F3384">
        <f>IFERROR(INDEX(ChFormat,MATCH(E3384,ChName,0)),"")</f>
        <v/>
      </c>
      <c r="G3384" t="inlineStr">
        <is>
          <t>MB</t>
        </is>
      </c>
      <c r="H3384">
        <f>IF(A3384&lt;=NWeeks,1,0)</f>
        <v/>
      </c>
      <c r="I3384">
        <f>INDEX(ChLaunch,MATCH(E3384,ChName,0))</f>
        <v/>
      </c>
      <c r="J3384">
        <f>INDEX(ChWeeksFull,MATCH(E3384,ChName,0))</f>
        <v/>
      </c>
      <c r="K3384">
        <f>INDEX(ChRamp,MATCH(E3384,ChName,0))</f>
        <v/>
      </c>
      <c r="L3384" s="45">
        <f>MIN(1,MAX(0,(A3384-I3384+1)*RampSpeed/J3384))</f>
        <v/>
      </c>
      <c r="M3384" s="45">
        <f>IF(A3384&lt;I3384,0,IF(K3384="S-curve",L3384*L3384*(3-2*L3384),L3384))</f>
        <v/>
      </c>
      <c r="N3384" s="45">
        <f>1+(INDEX(SeasonIdx,A3384)-1)*SeasonAmp</f>
        <v/>
      </c>
      <c r="O3384" s="45">
        <f>IFERROR(INDEX(PSPct,MATCH(E3384&amp;"|"&amp;G3384,PSKey,0)),0)</f>
        <v/>
      </c>
      <c r="P3384" s="46" t="n">
        <v>0</v>
      </c>
      <c r="Q3384" s="46">
        <f>INDEX(OnlineUnitsCol,A3384)*O3384*(1+OnlineGrowth)*N3384*H3384*IF(A3384&gt;=I3384,1,0)</f>
        <v/>
      </c>
      <c r="R3384" s="46">
        <f>Q3384*INDEX(FmtCansPerPack,MATCH(F3384,FmtName,0))/INDEX(FmtCansPerCase,MATCH(F3384,FmtName,0))</f>
        <v/>
      </c>
      <c r="S3384" s="46">
        <f>R3384*INDEX(FmtCansPerCase,MATCH(F3384,FmtName,0))</f>
        <v/>
      </c>
      <c r="T3384" s="46">
        <f>S3384/INDEX(FmtCansPerPack,MATCH(F3384,FmtName,0))</f>
        <v/>
      </c>
      <c r="U3384" s="47">
        <f>INDEX(ProvOnline,MATCH(G3384,ProvCode,0))*(1+PriceIndex)</f>
        <v/>
      </c>
      <c r="V3384" s="47">
        <f>Q3384*U3384*INDEX(FmtBlendedPriceIdx,MATCH(F3384,FmtName,0))</f>
        <v/>
      </c>
      <c r="W3384" s="47">
        <f>V3384</f>
        <v/>
      </c>
      <c r="X3384" s="47">
        <f>IF(GrossBasis="Wholesale",V3384,W3384)</f>
        <v/>
      </c>
      <c r="Y3384" s="47">
        <f>R3384*INDEX(FmtBlendedCogs,MATCH(F3384,FmtName,0))</f>
        <v/>
      </c>
      <c r="Z3384" s="47">
        <f>X3384-Y3384</f>
        <v/>
      </c>
    </row>
    <row r="3385">
      <c r="A3385" t="n">
        <v>45</v>
      </c>
      <c r="B3385" s="44">
        <f>FiscalStart+(A3385-1)*7</f>
        <v/>
      </c>
      <c r="C3385">
        <f>TEXT(B3385,"mmm yyyy")</f>
        <v/>
      </c>
      <c r="D3385">
        <f>"Q"&amp;(INT((A3385-1)/13)+1)</f>
        <v/>
      </c>
      <c r="E3385" t="inlineStr">
        <is>
          <t>Online</t>
        </is>
      </c>
      <c r="F3385">
        <f>IFERROR(INDEX(ChFormat,MATCH(E3385,ChName,0)),"")</f>
        <v/>
      </c>
      <c r="G3385" t="inlineStr">
        <is>
          <t>MB</t>
        </is>
      </c>
      <c r="H3385">
        <f>IF(A3385&lt;=NWeeks,1,0)</f>
        <v/>
      </c>
      <c r="I3385">
        <f>INDEX(ChLaunch,MATCH(E3385,ChName,0))</f>
        <v/>
      </c>
      <c r="J3385">
        <f>INDEX(ChWeeksFull,MATCH(E3385,ChName,0))</f>
        <v/>
      </c>
      <c r="K3385">
        <f>INDEX(ChRamp,MATCH(E3385,ChName,0))</f>
        <v/>
      </c>
      <c r="L3385" s="45">
        <f>MIN(1,MAX(0,(A3385-I3385+1)*RampSpeed/J3385))</f>
        <v/>
      </c>
      <c r="M3385" s="45">
        <f>IF(A3385&lt;I3385,0,IF(K3385="S-curve",L3385*L3385*(3-2*L3385),L3385))</f>
        <v/>
      </c>
      <c r="N3385" s="45">
        <f>1+(INDEX(SeasonIdx,A3385)-1)*SeasonAmp</f>
        <v/>
      </c>
      <c r="O3385" s="45">
        <f>IFERROR(INDEX(PSPct,MATCH(E3385&amp;"|"&amp;G3385,PSKey,0)),0)</f>
        <v/>
      </c>
      <c r="P3385" s="46" t="n">
        <v>0</v>
      </c>
      <c r="Q3385" s="46">
        <f>INDEX(OnlineUnitsCol,A3385)*O3385*(1+OnlineGrowth)*N3385*H3385*IF(A3385&gt;=I3385,1,0)</f>
        <v/>
      </c>
      <c r="R3385" s="46">
        <f>Q3385*INDEX(FmtCansPerPack,MATCH(F3385,FmtName,0))/INDEX(FmtCansPerCase,MATCH(F3385,FmtName,0))</f>
        <v/>
      </c>
      <c r="S3385" s="46">
        <f>R3385*INDEX(FmtCansPerCase,MATCH(F3385,FmtName,0))</f>
        <v/>
      </c>
      <c r="T3385" s="46">
        <f>S3385/INDEX(FmtCansPerPack,MATCH(F3385,FmtName,0))</f>
        <v/>
      </c>
      <c r="U3385" s="47">
        <f>INDEX(ProvOnline,MATCH(G3385,ProvCode,0))*(1+PriceIndex)</f>
        <v/>
      </c>
      <c r="V3385" s="47">
        <f>Q3385*U3385*INDEX(FmtBlendedPriceIdx,MATCH(F3385,FmtName,0))</f>
        <v/>
      </c>
      <c r="W3385" s="47">
        <f>V3385</f>
        <v/>
      </c>
      <c r="X3385" s="47">
        <f>IF(GrossBasis="Wholesale",V3385,W3385)</f>
        <v/>
      </c>
      <c r="Y3385" s="47">
        <f>R3385*INDEX(FmtBlendedCogs,MATCH(F3385,FmtName,0))</f>
        <v/>
      </c>
      <c r="Z3385" s="47">
        <f>X3385-Y3385</f>
        <v/>
      </c>
    </row>
    <row r="3386">
      <c r="A3386" t="n">
        <v>46</v>
      </c>
      <c r="B3386" s="44">
        <f>FiscalStart+(A3386-1)*7</f>
        <v/>
      </c>
      <c r="C3386">
        <f>TEXT(B3386,"mmm yyyy")</f>
        <v/>
      </c>
      <c r="D3386">
        <f>"Q"&amp;(INT((A3386-1)/13)+1)</f>
        <v/>
      </c>
      <c r="E3386" t="inlineStr">
        <is>
          <t>Online</t>
        </is>
      </c>
      <c r="F3386">
        <f>IFERROR(INDEX(ChFormat,MATCH(E3386,ChName,0)),"")</f>
        <v/>
      </c>
      <c r="G3386" t="inlineStr">
        <is>
          <t>MB</t>
        </is>
      </c>
      <c r="H3386">
        <f>IF(A3386&lt;=NWeeks,1,0)</f>
        <v/>
      </c>
      <c r="I3386">
        <f>INDEX(ChLaunch,MATCH(E3386,ChName,0))</f>
        <v/>
      </c>
      <c r="J3386">
        <f>INDEX(ChWeeksFull,MATCH(E3386,ChName,0))</f>
        <v/>
      </c>
      <c r="K3386">
        <f>INDEX(ChRamp,MATCH(E3386,ChName,0))</f>
        <v/>
      </c>
      <c r="L3386" s="45">
        <f>MIN(1,MAX(0,(A3386-I3386+1)*RampSpeed/J3386))</f>
        <v/>
      </c>
      <c r="M3386" s="45">
        <f>IF(A3386&lt;I3386,0,IF(K3386="S-curve",L3386*L3386*(3-2*L3386),L3386))</f>
        <v/>
      </c>
      <c r="N3386" s="45">
        <f>1+(INDEX(SeasonIdx,A3386)-1)*SeasonAmp</f>
        <v/>
      </c>
      <c r="O3386" s="45">
        <f>IFERROR(INDEX(PSPct,MATCH(E3386&amp;"|"&amp;G3386,PSKey,0)),0)</f>
        <v/>
      </c>
      <c r="P3386" s="46" t="n">
        <v>0</v>
      </c>
      <c r="Q3386" s="46">
        <f>INDEX(OnlineUnitsCol,A3386)*O3386*(1+OnlineGrowth)*N3386*H3386*IF(A3386&gt;=I3386,1,0)</f>
        <v/>
      </c>
      <c r="R3386" s="46">
        <f>Q3386*INDEX(FmtCansPerPack,MATCH(F3386,FmtName,0))/INDEX(FmtCansPerCase,MATCH(F3386,FmtName,0))</f>
        <v/>
      </c>
      <c r="S3386" s="46">
        <f>R3386*INDEX(FmtCansPerCase,MATCH(F3386,FmtName,0))</f>
        <v/>
      </c>
      <c r="T3386" s="46">
        <f>S3386/INDEX(FmtCansPerPack,MATCH(F3386,FmtName,0))</f>
        <v/>
      </c>
      <c r="U3386" s="47">
        <f>INDEX(ProvOnline,MATCH(G3386,ProvCode,0))*(1+PriceIndex)</f>
        <v/>
      </c>
      <c r="V3386" s="47">
        <f>Q3386*U3386*INDEX(FmtBlendedPriceIdx,MATCH(F3386,FmtName,0))</f>
        <v/>
      </c>
      <c r="W3386" s="47">
        <f>V3386</f>
        <v/>
      </c>
      <c r="X3386" s="47">
        <f>IF(GrossBasis="Wholesale",V3386,W3386)</f>
        <v/>
      </c>
      <c r="Y3386" s="47">
        <f>R3386*INDEX(FmtBlendedCogs,MATCH(F3386,FmtName,0))</f>
        <v/>
      </c>
      <c r="Z3386" s="47">
        <f>X3386-Y3386</f>
        <v/>
      </c>
    </row>
    <row r="3387">
      <c r="A3387" t="n">
        <v>47</v>
      </c>
      <c r="B3387" s="44">
        <f>FiscalStart+(A3387-1)*7</f>
        <v/>
      </c>
      <c r="C3387">
        <f>TEXT(B3387,"mmm yyyy")</f>
        <v/>
      </c>
      <c r="D3387">
        <f>"Q"&amp;(INT((A3387-1)/13)+1)</f>
        <v/>
      </c>
      <c r="E3387" t="inlineStr">
        <is>
          <t>Online</t>
        </is>
      </c>
      <c r="F3387">
        <f>IFERROR(INDEX(ChFormat,MATCH(E3387,ChName,0)),"")</f>
        <v/>
      </c>
      <c r="G3387" t="inlineStr">
        <is>
          <t>MB</t>
        </is>
      </c>
      <c r="H3387">
        <f>IF(A3387&lt;=NWeeks,1,0)</f>
        <v/>
      </c>
      <c r="I3387">
        <f>INDEX(ChLaunch,MATCH(E3387,ChName,0))</f>
        <v/>
      </c>
      <c r="J3387">
        <f>INDEX(ChWeeksFull,MATCH(E3387,ChName,0))</f>
        <v/>
      </c>
      <c r="K3387">
        <f>INDEX(ChRamp,MATCH(E3387,ChName,0))</f>
        <v/>
      </c>
      <c r="L3387" s="45">
        <f>MIN(1,MAX(0,(A3387-I3387+1)*RampSpeed/J3387))</f>
        <v/>
      </c>
      <c r="M3387" s="45">
        <f>IF(A3387&lt;I3387,0,IF(K3387="S-curve",L3387*L3387*(3-2*L3387),L3387))</f>
        <v/>
      </c>
      <c r="N3387" s="45">
        <f>1+(INDEX(SeasonIdx,A3387)-1)*SeasonAmp</f>
        <v/>
      </c>
      <c r="O3387" s="45">
        <f>IFERROR(INDEX(PSPct,MATCH(E3387&amp;"|"&amp;G3387,PSKey,0)),0)</f>
        <v/>
      </c>
      <c r="P3387" s="46" t="n">
        <v>0</v>
      </c>
      <c r="Q3387" s="46">
        <f>INDEX(OnlineUnitsCol,A3387)*O3387*(1+OnlineGrowth)*N3387*H3387*IF(A3387&gt;=I3387,1,0)</f>
        <v/>
      </c>
      <c r="R3387" s="46">
        <f>Q3387*INDEX(FmtCansPerPack,MATCH(F3387,FmtName,0))/INDEX(FmtCansPerCase,MATCH(F3387,FmtName,0))</f>
        <v/>
      </c>
      <c r="S3387" s="46">
        <f>R3387*INDEX(FmtCansPerCase,MATCH(F3387,FmtName,0))</f>
        <v/>
      </c>
      <c r="T3387" s="46">
        <f>S3387/INDEX(FmtCansPerPack,MATCH(F3387,FmtName,0))</f>
        <v/>
      </c>
      <c r="U3387" s="47">
        <f>INDEX(ProvOnline,MATCH(G3387,ProvCode,0))*(1+PriceIndex)</f>
        <v/>
      </c>
      <c r="V3387" s="47">
        <f>Q3387*U3387*INDEX(FmtBlendedPriceIdx,MATCH(F3387,FmtName,0))</f>
        <v/>
      </c>
      <c r="W3387" s="47">
        <f>V3387</f>
        <v/>
      </c>
      <c r="X3387" s="47">
        <f>IF(GrossBasis="Wholesale",V3387,W3387)</f>
        <v/>
      </c>
      <c r="Y3387" s="47">
        <f>R3387*INDEX(FmtBlendedCogs,MATCH(F3387,FmtName,0))</f>
        <v/>
      </c>
      <c r="Z3387" s="47">
        <f>X3387-Y3387</f>
        <v/>
      </c>
    </row>
    <row r="3388">
      <c r="A3388" t="n">
        <v>48</v>
      </c>
      <c r="B3388" s="44">
        <f>FiscalStart+(A3388-1)*7</f>
        <v/>
      </c>
      <c r="C3388">
        <f>TEXT(B3388,"mmm yyyy")</f>
        <v/>
      </c>
      <c r="D3388">
        <f>"Q"&amp;(INT((A3388-1)/13)+1)</f>
        <v/>
      </c>
      <c r="E3388" t="inlineStr">
        <is>
          <t>Online</t>
        </is>
      </c>
      <c r="F3388">
        <f>IFERROR(INDEX(ChFormat,MATCH(E3388,ChName,0)),"")</f>
        <v/>
      </c>
      <c r="G3388" t="inlineStr">
        <is>
          <t>MB</t>
        </is>
      </c>
      <c r="H3388">
        <f>IF(A3388&lt;=NWeeks,1,0)</f>
        <v/>
      </c>
      <c r="I3388">
        <f>INDEX(ChLaunch,MATCH(E3388,ChName,0))</f>
        <v/>
      </c>
      <c r="J3388">
        <f>INDEX(ChWeeksFull,MATCH(E3388,ChName,0))</f>
        <v/>
      </c>
      <c r="K3388">
        <f>INDEX(ChRamp,MATCH(E3388,ChName,0))</f>
        <v/>
      </c>
      <c r="L3388" s="45">
        <f>MIN(1,MAX(0,(A3388-I3388+1)*RampSpeed/J3388))</f>
        <v/>
      </c>
      <c r="M3388" s="45">
        <f>IF(A3388&lt;I3388,0,IF(K3388="S-curve",L3388*L3388*(3-2*L3388),L3388))</f>
        <v/>
      </c>
      <c r="N3388" s="45">
        <f>1+(INDEX(SeasonIdx,A3388)-1)*SeasonAmp</f>
        <v/>
      </c>
      <c r="O3388" s="45">
        <f>IFERROR(INDEX(PSPct,MATCH(E3388&amp;"|"&amp;G3388,PSKey,0)),0)</f>
        <v/>
      </c>
      <c r="P3388" s="46" t="n">
        <v>0</v>
      </c>
      <c r="Q3388" s="46">
        <f>INDEX(OnlineUnitsCol,A3388)*O3388*(1+OnlineGrowth)*N3388*H3388*IF(A3388&gt;=I3388,1,0)</f>
        <v/>
      </c>
      <c r="R3388" s="46">
        <f>Q3388*INDEX(FmtCansPerPack,MATCH(F3388,FmtName,0))/INDEX(FmtCansPerCase,MATCH(F3388,FmtName,0))</f>
        <v/>
      </c>
      <c r="S3388" s="46">
        <f>R3388*INDEX(FmtCansPerCase,MATCH(F3388,FmtName,0))</f>
        <v/>
      </c>
      <c r="T3388" s="46">
        <f>S3388/INDEX(FmtCansPerPack,MATCH(F3388,FmtName,0))</f>
        <v/>
      </c>
      <c r="U3388" s="47">
        <f>INDEX(ProvOnline,MATCH(G3388,ProvCode,0))*(1+PriceIndex)</f>
        <v/>
      </c>
      <c r="V3388" s="47">
        <f>Q3388*U3388*INDEX(FmtBlendedPriceIdx,MATCH(F3388,FmtName,0))</f>
        <v/>
      </c>
      <c r="W3388" s="47">
        <f>V3388</f>
        <v/>
      </c>
      <c r="X3388" s="47">
        <f>IF(GrossBasis="Wholesale",V3388,W3388)</f>
        <v/>
      </c>
      <c r="Y3388" s="47">
        <f>R3388*INDEX(FmtBlendedCogs,MATCH(F3388,FmtName,0))</f>
        <v/>
      </c>
      <c r="Z3388" s="47">
        <f>X3388-Y3388</f>
        <v/>
      </c>
    </row>
    <row r="3389">
      <c r="A3389" t="n">
        <v>49</v>
      </c>
      <c r="B3389" s="44">
        <f>FiscalStart+(A3389-1)*7</f>
        <v/>
      </c>
      <c r="C3389">
        <f>TEXT(B3389,"mmm yyyy")</f>
        <v/>
      </c>
      <c r="D3389">
        <f>"Q"&amp;(INT((A3389-1)/13)+1)</f>
        <v/>
      </c>
      <c r="E3389" t="inlineStr">
        <is>
          <t>Online</t>
        </is>
      </c>
      <c r="F3389">
        <f>IFERROR(INDEX(ChFormat,MATCH(E3389,ChName,0)),"")</f>
        <v/>
      </c>
      <c r="G3389" t="inlineStr">
        <is>
          <t>MB</t>
        </is>
      </c>
      <c r="H3389">
        <f>IF(A3389&lt;=NWeeks,1,0)</f>
        <v/>
      </c>
      <c r="I3389">
        <f>INDEX(ChLaunch,MATCH(E3389,ChName,0))</f>
        <v/>
      </c>
      <c r="J3389">
        <f>INDEX(ChWeeksFull,MATCH(E3389,ChName,0))</f>
        <v/>
      </c>
      <c r="K3389">
        <f>INDEX(ChRamp,MATCH(E3389,ChName,0))</f>
        <v/>
      </c>
      <c r="L3389" s="45">
        <f>MIN(1,MAX(0,(A3389-I3389+1)*RampSpeed/J3389))</f>
        <v/>
      </c>
      <c r="M3389" s="45">
        <f>IF(A3389&lt;I3389,0,IF(K3389="S-curve",L3389*L3389*(3-2*L3389),L3389))</f>
        <v/>
      </c>
      <c r="N3389" s="45">
        <f>1+(INDEX(SeasonIdx,A3389)-1)*SeasonAmp</f>
        <v/>
      </c>
      <c r="O3389" s="45">
        <f>IFERROR(INDEX(PSPct,MATCH(E3389&amp;"|"&amp;G3389,PSKey,0)),0)</f>
        <v/>
      </c>
      <c r="P3389" s="46" t="n">
        <v>0</v>
      </c>
      <c r="Q3389" s="46">
        <f>INDEX(OnlineUnitsCol,A3389)*O3389*(1+OnlineGrowth)*N3389*H3389*IF(A3389&gt;=I3389,1,0)</f>
        <v/>
      </c>
      <c r="R3389" s="46">
        <f>Q3389*INDEX(FmtCansPerPack,MATCH(F3389,FmtName,0))/INDEX(FmtCansPerCase,MATCH(F3389,FmtName,0))</f>
        <v/>
      </c>
      <c r="S3389" s="46">
        <f>R3389*INDEX(FmtCansPerCase,MATCH(F3389,FmtName,0))</f>
        <v/>
      </c>
      <c r="T3389" s="46">
        <f>S3389/INDEX(FmtCansPerPack,MATCH(F3389,FmtName,0))</f>
        <v/>
      </c>
      <c r="U3389" s="47">
        <f>INDEX(ProvOnline,MATCH(G3389,ProvCode,0))*(1+PriceIndex)</f>
        <v/>
      </c>
      <c r="V3389" s="47">
        <f>Q3389*U3389*INDEX(FmtBlendedPriceIdx,MATCH(F3389,FmtName,0))</f>
        <v/>
      </c>
      <c r="W3389" s="47">
        <f>V3389</f>
        <v/>
      </c>
      <c r="X3389" s="47">
        <f>IF(GrossBasis="Wholesale",V3389,W3389)</f>
        <v/>
      </c>
      <c r="Y3389" s="47">
        <f>R3389*INDEX(FmtBlendedCogs,MATCH(F3389,FmtName,0))</f>
        <v/>
      </c>
      <c r="Z3389" s="47">
        <f>X3389-Y3389</f>
        <v/>
      </c>
    </row>
    <row r="3390">
      <c r="A3390" t="n">
        <v>50</v>
      </c>
      <c r="B3390" s="44">
        <f>FiscalStart+(A3390-1)*7</f>
        <v/>
      </c>
      <c r="C3390">
        <f>TEXT(B3390,"mmm yyyy")</f>
        <v/>
      </c>
      <c r="D3390">
        <f>"Q"&amp;(INT((A3390-1)/13)+1)</f>
        <v/>
      </c>
      <c r="E3390" t="inlineStr">
        <is>
          <t>Online</t>
        </is>
      </c>
      <c r="F3390">
        <f>IFERROR(INDEX(ChFormat,MATCH(E3390,ChName,0)),"")</f>
        <v/>
      </c>
      <c r="G3390" t="inlineStr">
        <is>
          <t>MB</t>
        </is>
      </c>
      <c r="H3390">
        <f>IF(A3390&lt;=NWeeks,1,0)</f>
        <v/>
      </c>
      <c r="I3390">
        <f>INDEX(ChLaunch,MATCH(E3390,ChName,0))</f>
        <v/>
      </c>
      <c r="J3390">
        <f>INDEX(ChWeeksFull,MATCH(E3390,ChName,0))</f>
        <v/>
      </c>
      <c r="K3390">
        <f>INDEX(ChRamp,MATCH(E3390,ChName,0))</f>
        <v/>
      </c>
      <c r="L3390" s="45">
        <f>MIN(1,MAX(0,(A3390-I3390+1)*RampSpeed/J3390))</f>
        <v/>
      </c>
      <c r="M3390" s="45">
        <f>IF(A3390&lt;I3390,0,IF(K3390="S-curve",L3390*L3390*(3-2*L3390),L3390))</f>
        <v/>
      </c>
      <c r="N3390" s="45">
        <f>1+(INDEX(SeasonIdx,A3390)-1)*SeasonAmp</f>
        <v/>
      </c>
      <c r="O3390" s="45">
        <f>IFERROR(INDEX(PSPct,MATCH(E3390&amp;"|"&amp;G3390,PSKey,0)),0)</f>
        <v/>
      </c>
      <c r="P3390" s="46" t="n">
        <v>0</v>
      </c>
      <c r="Q3390" s="46">
        <f>INDEX(OnlineUnitsCol,A3390)*O3390*(1+OnlineGrowth)*N3390*H3390*IF(A3390&gt;=I3390,1,0)</f>
        <v/>
      </c>
      <c r="R3390" s="46">
        <f>Q3390*INDEX(FmtCansPerPack,MATCH(F3390,FmtName,0))/INDEX(FmtCansPerCase,MATCH(F3390,FmtName,0))</f>
        <v/>
      </c>
      <c r="S3390" s="46">
        <f>R3390*INDEX(FmtCansPerCase,MATCH(F3390,FmtName,0))</f>
        <v/>
      </c>
      <c r="T3390" s="46">
        <f>S3390/INDEX(FmtCansPerPack,MATCH(F3390,FmtName,0))</f>
        <v/>
      </c>
      <c r="U3390" s="47">
        <f>INDEX(ProvOnline,MATCH(G3390,ProvCode,0))*(1+PriceIndex)</f>
        <v/>
      </c>
      <c r="V3390" s="47">
        <f>Q3390*U3390*INDEX(FmtBlendedPriceIdx,MATCH(F3390,FmtName,0))</f>
        <v/>
      </c>
      <c r="W3390" s="47">
        <f>V3390</f>
        <v/>
      </c>
      <c r="X3390" s="47">
        <f>IF(GrossBasis="Wholesale",V3390,W3390)</f>
        <v/>
      </c>
      <c r="Y3390" s="47">
        <f>R3390*INDEX(FmtBlendedCogs,MATCH(F3390,FmtName,0))</f>
        <v/>
      </c>
      <c r="Z3390" s="47">
        <f>X3390-Y3390</f>
        <v/>
      </c>
    </row>
    <row r="3391">
      <c r="A3391" t="n">
        <v>51</v>
      </c>
      <c r="B3391" s="44">
        <f>FiscalStart+(A3391-1)*7</f>
        <v/>
      </c>
      <c r="C3391">
        <f>TEXT(B3391,"mmm yyyy")</f>
        <v/>
      </c>
      <c r="D3391">
        <f>"Q"&amp;(INT((A3391-1)/13)+1)</f>
        <v/>
      </c>
      <c r="E3391" t="inlineStr">
        <is>
          <t>Online</t>
        </is>
      </c>
      <c r="F3391">
        <f>IFERROR(INDEX(ChFormat,MATCH(E3391,ChName,0)),"")</f>
        <v/>
      </c>
      <c r="G3391" t="inlineStr">
        <is>
          <t>MB</t>
        </is>
      </c>
      <c r="H3391">
        <f>IF(A3391&lt;=NWeeks,1,0)</f>
        <v/>
      </c>
      <c r="I3391">
        <f>INDEX(ChLaunch,MATCH(E3391,ChName,0))</f>
        <v/>
      </c>
      <c r="J3391">
        <f>INDEX(ChWeeksFull,MATCH(E3391,ChName,0))</f>
        <v/>
      </c>
      <c r="K3391">
        <f>INDEX(ChRamp,MATCH(E3391,ChName,0))</f>
        <v/>
      </c>
      <c r="L3391" s="45">
        <f>MIN(1,MAX(0,(A3391-I3391+1)*RampSpeed/J3391))</f>
        <v/>
      </c>
      <c r="M3391" s="45">
        <f>IF(A3391&lt;I3391,0,IF(K3391="S-curve",L3391*L3391*(3-2*L3391),L3391))</f>
        <v/>
      </c>
      <c r="N3391" s="45">
        <f>1+(INDEX(SeasonIdx,A3391)-1)*SeasonAmp</f>
        <v/>
      </c>
      <c r="O3391" s="45">
        <f>IFERROR(INDEX(PSPct,MATCH(E3391&amp;"|"&amp;G3391,PSKey,0)),0)</f>
        <v/>
      </c>
      <c r="P3391" s="46" t="n">
        <v>0</v>
      </c>
      <c r="Q3391" s="46">
        <f>INDEX(OnlineUnitsCol,A3391)*O3391*(1+OnlineGrowth)*N3391*H3391*IF(A3391&gt;=I3391,1,0)</f>
        <v/>
      </c>
      <c r="R3391" s="46">
        <f>Q3391*INDEX(FmtCansPerPack,MATCH(F3391,FmtName,0))/INDEX(FmtCansPerCase,MATCH(F3391,FmtName,0))</f>
        <v/>
      </c>
      <c r="S3391" s="46">
        <f>R3391*INDEX(FmtCansPerCase,MATCH(F3391,FmtName,0))</f>
        <v/>
      </c>
      <c r="T3391" s="46">
        <f>S3391/INDEX(FmtCansPerPack,MATCH(F3391,FmtName,0))</f>
        <v/>
      </c>
      <c r="U3391" s="47">
        <f>INDEX(ProvOnline,MATCH(G3391,ProvCode,0))*(1+PriceIndex)</f>
        <v/>
      </c>
      <c r="V3391" s="47">
        <f>Q3391*U3391*INDEX(FmtBlendedPriceIdx,MATCH(F3391,FmtName,0))</f>
        <v/>
      </c>
      <c r="W3391" s="47">
        <f>V3391</f>
        <v/>
      </c>
      <c r="X3391" s="47">
        <f>IF(GrossBasis="Wholesale",V3391,W3391)</f>
        <v/>
      </c>
      <c r="Y3391" s="47">
        <f>R3391*INDEX(FmtBlendedCogs,MATCH(F3391,FmtName,0))</f>
        <v/>
      </c>
      <c r="Z3391" s="47">
        <f>X3391-Y3391</f>
        <v/>
      </c>
    </row>
    <row r="3392">
      <c r="A3392" t="n">
        <v>52</v>
      </c>
      <c r="B3392" s="44">
        <f>FiscalStart+(A3392-1)*7</f>
        <v/>
      </c>
      <c r="C3392">
        <f>TEXT(B3392,"mmm yyyy")</f>
        <v/>
      </c>
      <c r="D3392">
        <f>"Q"&amp;(INT((A3392-1)/13)+1)</f>
        <v/>
      </c>
      <c r="E3392" t="inlineStr">
        <is>
          <t>Online</t>
        </is>
      </c>
      <c r="F3392">
        <f>IFERROR(INDEX(ChFormat,MATCH(E3392,ChName,0)),"")</f>
        <v/>
      </c>
      <c r="G3392" t="inlineStr">
        <is>
          <t>MB</t>
        </is>
      </c>
      <c r="H3392">
        <f>IF(A3392&lt;=NWeeks,1,0)</f>
        <v/>
      </c>
      <c r="I3392">
        <f>INDEX(ChLaunch,MATCH(E3392,ChName,0))</f>
        <v/>
      </c>
      <c r="J3392">
        <f>INDEX(ChWeeksFull,MATCH(E3392,ChName,0))</f>
        <v/>
      </c>
      <c r="K3392">
        <f>INDEX(ChRamp,MATCH(E3392,ChName,0))</f>
        <v/>
      </c>
      <c r="L3392" s="45">
        <f>MIN(1,MAX(0,(A3392-I3392+1)*RampSpeed/J3392))</f>
        <v/>
      </c>
      <c r="M3392" s="45">
        <f>IF(A3392&lt;I3392,0,IF(K3392="S-curve",L3392*L3392*(3-2*L3392),L3392))</f>
        <v/>
      </c>
      <c r="N3392" s="45">
        <f>1+(INDEX(SeasonIdx,A3392)-1)*SeasonAmp</f>
        <v/>
      </c>
      <c r="O3392" s="45">
        <f>IFERROR(INDEX(PSPct,MATCH(E3392&amp;"|"&amp;G3392,PSKey,0)),0)</f>
        <v/>
      </c>
      <c r="P3392" s="46" t="n">
        <v>0</v>
      </c>
      <c r="Q3392" s="46">
        <f>INDEX(OnlineUnitsCol,A3392)*O3392*(1+OnlineGrowth)*N3392*H3392*IF(A3392&gt;=I3392,1,0)</f>
        <v/>
      </c>
      <c r="R3392" s="46">
        <f>Q3392*INDEX(FmtCansPerPack,MATCH(F3392,FmtName,0))/INDEX(FmtCansPerCase,MATCH(F3392,FmtName,0))</f>
        <v/>
      </c>
      <c r="S3392" s="46">
        <f>R3392*INDEX(FmtCansPerCase,MATCH(F3392,FmtName,0))</f>
        <v/>
      </c>
      <c r="T3392" s="46">
        <f>S3392/INDEX(FmtCansPerPack,MATCH(F3392,FmtName,0))</f>
        <v/>
      </c>
      <c r="U3392" s="47">
        <f>INDEX(ProvOnline,MATCH(G3392,ProvCode,0))*(1+PriceIndex)</f>
        <v/>
      </c>
      <c r="V3392" s="47">
        <f>Q3392*U3392*INDEX(FmtBlendedPriceIdx,MATCH(F3392,FmtName,0))</f>
        <v/>
      </c>
      <c r="W3392" s="47">
        <f>V3392</f>
        <v/>
      </c>
      <c r="X3392" s="47">
        <f>IF(GrossBasis="Wholesale",V3392,W3392)</f>
        <v/>
      </c>
      <c r="Y3392" s="47">
        <f>R3392*INDEX(FmtBlendedCogs,MATCH(F3392,FmtName,0))</f>
        <v/>
      </c>
      <c r="Z3392" s="47">
        <f>X3392-Y3392</f>
        <v/>
      </c>
    </row>
    <row r="3393">
      <c r="A3393" t="n">
        <v>53</v>
      </c>
      <c r="B3393" s="44">
        <f>FiscalStart+(A3393-1)*7</f>
        <v/>
      </c>
      <c r="C3393">
        <f>TEXT(B3393,"mmm yyyy")</f>
        <v/>
      </c>
      <c r="D3393">
        <f>"Q"&amp;(INT((A3393-1)/13)+1)</f>
        <v/>
      </c>
      <c r="E3393" t="inlineStr">
        <is>
          <t>Online</t>
        </is>
      </c>
      <c r="F3393">
        <f>IFERROR(INDEX(ChFormat,MATCH(E3393,ChName,0)),"")</f>
        <v/>
      </c>
      <c r="G3393" t="inlineStr">
        <is>
          <t>MB</t>
        </is>
      </c>
      <c r="H3393">
        <f>IF(A3393&lt;=NWeeks,1,0)</f>
        <v/>
      </c>
      <c r="I3393">
        <f>INDEX(ChLaunch,MATCH(E3393,ChName,0))</f>
        <v/>
      </c>
      <c r="J3393">
        <f>INDEX(ChWeeksFull,MATCH(E3393,ChName,0))</f>
        <v/>
      </c>
      <c r="K3393">
        <f>INDEX(ChRamp,MATCH(E3393,ChName,0))</f>
        <v/>
      </c>
      <c r="L3393" s="45">
        <f>MIN(1,MAX(0,(A3393-I3393+1)*RampSpeed/J3393))</f>
        <v/>
      </c>
      <c r="M3393" s="45">
        <f>IF(A3393&lt;I3393,0,IF(K3393="S-curve",L3393*L3393*(3-2*L3393),L3393))</f>
        <v/>
      </c>
      <c r="N3393" s="45">
        <f>1+(INDEX(SeasonIdx,A3393)-1)*SeasonAmp</f>
        <v/>
      </c>
      <c r="O3393" s="45">
        <f>IFERROR(INDEX(PSPct,MATCH(E3393&amp;"|"&amp;G3393,PSKey,0)),0)</f>
        <v/>
      </c>
      <c r="P3393" s="46" t="n">
        <v>0</v>
      </c>
      <c r="Q3393" s="46">
        <f>INDEX(OnlineUnitsCol,A3393)*O3393*(1+OnlineGrowth)*N3393*H3393*IF(A3393&gt;=I3393,1,0)</f>
        <v/>
      </c>
      <c r="R3393" s="46">
        <f>Q3393*INDEX(FmtCansPerPack,MATCH(F3393,FmtName,0))/INDEX(FmtCansPerCase,MATCH(F3393,FmtName,0))</f>
        <v/>
      </c>
      <c r="S3393" s="46">
        <f>R3393*INDEX(FmtCansPerCase,MATCH(F3393,FmtName,0))</f>
        <v/>
      </c>
      <c r="T3393" s="46">
        <f>S3393/INDEX(FmtCansPerPack,MATCH(F3393,FmtName,0))</f>
        <v/>
      </c>
      <c r="U3393" s="47">
        <f>INDEX(ProvOnline,MATCH(G3393,ProvCode,0))*(1+PriceIndex)</f>
        <v/>
      </c>
      <c r="V3393" s="47">
        <f>Q3393*U3393*INDEX(FmtBlendedPriceIdx,MATCH(F3393,FmtName,0))</f>
        <v/>
      </c>
      <c r="W3393" s="47">
        <f>V3393</f>
        <v/>
      </c>
      <c r="X3393" s="47">
        <f>IF(GrossBasis="Wholesale",V3393,W3393)</f>
        <v/>
      </c>
      <c r="Y3393" s="47">
        <f>R3393*INDEX(FmtBlendedCogs,MATCH(F3393,FmtName,0))</f>
        <v/>
      </c>
      <c r="Z3393" s="47">
        <f>X3393-Y3393</f>
        <v/>
      </c>
    </row>
    <row r="3394">
      <c r="A3394" t="n">
        <v>1</v>
      </c>
      <c r="B3394" s="44">
        <f>FiscalStart+(A3394-1)*7</f>
        <v/>
      </c>
      <c r="C3394">
        <f>TEXT(B3394,"mmm yyyy")</f>
        <v/>
      </c>
      <c r="D3394">
        <f>"Q"&amp;(INT((A3394-1)/13)+1)</f>
        <v/>
      </c>
      <c r="E3394" t="inlineStr">
        <is>
          <t>Online</t>
        </is>
      </c>
      <c r="F3394">
        <f>IFERROR(INDEX(ChFormat,MATCH(E3394,ChName,0)),"")</f>
        <v/>
      </c>
      <c r="G3394" t="inlineStr">
        <is>
          <t>ON</t>
        </is>
      </c>
      <c r="H3394">
        <f>IF(A3394&lt;=NWeeks,1,0)</f>
        <v/>
      </c>
      <c r="I3394">
        <f>INDEX(ChLaunch,MATCH(E3394,ChName,0))</f>
        <v/>
      </c>
      <c r="J3394">
        <f>INDEX(ChWeeksFull,MATCH(E3394,ChName,0))</f>
        <v/>
      </c>
      <c r="K3394">
        <f>INDEX(ChRamp,MATCH(E3394,ChName,0))</f>
        <v/>
      </c>
      <c r="L3394" s="45">
        <f>MIN(1,MAX(0,(A3394-I3394+1)*RampSpeed/J3394))</f>
        <v/>
      </c>
      <c r="M3394" s="45">
        <f>IF(A3394&lt;I3394,0,IF(K3394="S-curve",L3394*L3394*(3-2*L3394),L3394))</f>
        <v/>
      </c>
      <c r="N3394" s="45">
        <f>1+(INDEX(SeasonIdx,A3394)-1)*SeasonAmp</f>
        <v/>
      </c>
      <c r="O3394" s="45">
        <f>IFERROR(INDEX(PSPct,MATCH(E3394&amp;"|"&amp;G3394,PSKey,0)),0)</f>
        <v/>
      </c>
      <c r="P3394" s="46" t="n">
        <v>0</v>
      </c>
      <c r="Q3394" s="46">
        <f>INDEX(OnlineUnitsCol,A3394)*O3394*(1+OnlineGrowth)*N3394*H3394*IF(A3394&gt;=I3394,1,0)</f>
        <v/>
      </c>
      <c r="R3394" s="46">
        <f>Q3394*INDEX(FmtCansPerPack,MATCH(F3394,FmtName,0))/INDEX(FmtCansPerCase,MATCH(F3394,FmtName,0))</f>
        <v/>
      </c>
      <c r="S3394" s="46">
        <f>R3394*INDEX(FmtCansPerCase,MATCH(F3394,FmtName,0))</f>
        <v/>
      </c>
      <c r="T3394" s="46">
        <f>S3394/INDEX(FmtCansPerPack,MATCH(F3394,FmtName,0))</f>
        <v/>
      </c>
      <c r="U3394" s="47">
        <f>INDEX(ProvOnline,MATCH(G3394,ProvCode,0))*(1+PriceIndex)</f>
        <v/>
      </c>
      <c r="V3394" s="47">
        <f>Q3394*U3394*INDEX(FmtBlendedPriceIdx,MATCH(F3394,FmtName,0))</f>
        <v/>
      </c>
      <c r="W3394" s="47">
        <f>V3394</f>
        <v/>
      </c>
      <c r="X3394" s="47">
        <f>IF(GrossBasis="Wholesale",V3394,W3394)</f>
        <v/>
      </c>
      <c r="Y3394" s="47">
        <f>R3394*INDEX(FmtBlendedCogs,MATCH(F3394,FmtName,0))</f>
        <v/>
      </c>
      <c r="Z3394" s="47">
        <f>X3394-Y3394</f>
        <v/>
      </c>
    </row>
    <row r="3395">
      <c r="A3395" t="n">
        <v>2</v>
      </c>
      <c r="B3395" s="44">
        <f>FiscalStart+(A3395-1)*7</f>
        <v/>
      </c>
      <c r="C3395">
        <f>TEXT(B3395,"mmm yyyy")</f>
        <v/>
      </c>
      <c r="D3395">
        <f>"Q"&amp;(INT((A3395-1)/13)+1)</f>
        <v/>
      </c>
      <c r="E3395" t="inlineStr">
        <is>
          <t>Online</t>
        </is>
      </c>
      <c r="F3395">
        <f>IFERROR(INDEX(ChFormat,MATCH(E3395,ChName,0)),"")</f>
        <v/>
      </c>
      <c r="G3395" t="inlineStr">
        <is>
          <t>ON</t>
        </is>
      </c>
      <c r="H3395">
        <f>IF(A3395&lt;=NWeeks,1,0)</f>
        <v/>
      </c>
      <c r="I3395">
        <f>INDEX(ChLaunch,MATCH(E3395,ChName,0))</f>
        <v/>
      </c>
      <c r="J3395">
        <f>INDEX(ChWeeksFull,MATCH(E3395,ChName,0))</f>
        <v/>
      </c>
      <c r="K3395">
        <f>INDEX(ChRamp,MATCH(E3395,ChName,0))</f>
        <v/>
      </c>
      <c r="L3395" s="45">
        <f>MIN(1,MAX(0,(A3395-I3395+1)*RampSpeed/J3395))</f>
        <v/>
      </c>
      <c r="M3395" s="45">
        <f>IF(A3395&lt;I3395,0,IF(K3395="S-curve",L3395*L3395*(3-2*L3395),L3395))</f>
        <v/>
      </c>
      <c r="N3395" s="45">
        <f>1+(INDEX(SeasonIdx,A3395)-1)*SeasonAmp</f>
        <v/>
      </c>
      <c r="O3395" s="45">
        <f>IFERROR(INDEX(PSPct,MATCH(E3395&amp;"|"&amp;G3395,PSKey,0)),0)</f>
        <v/>
      </c>
      <c r="P3395" s="46" t="n">
        <v>0</v>
      </c>
      <c r="Q3395" s="46">
        <f>INDEX(OnlineUnitsCol,A3395)*O3395*(1+OnlineGrowth)*N3395*H3395*IF(A3395&gt;=I3395,1,0)</f>
        <v/>
      </c>
      <c r="R3395" s="46">
        <f>Q3395*INDEX(FmtCansPerPack,MATCH(F3395,FmtName,0))/INDEX(FmtCansPerCase,MATCH(F3395,FmtName,0))</f>
        <v/>
      </c>
      <c r="S3395" s="46">
        <f>R3395*INDEX(FmtCansPerCase,MATCH(F3395,FmtName,0))</f>
        <v/>
      </c>
      <c r="T3395" s="46">
        <f>S3395/INDEX(FmtCansPerPack,MATCH(F3395,FmtName,0))</f>
        <v/>
      </c>
      <c r="U3395" s="47">
        <f>INDEX(ProvOnline,MATCH(G3395,ProvCode,0))*(1+PriceIndex)</f>
        <v/>
      </c>
      <c r="V3395" s="47">
        <f>Q3395*U3395*INDEX(FmtBlendedPriceIdx,MATCH(F3395,FmtName,0))</f>
        <v/>
      </c>
      <c r="W3395" s="47">
        <f>V3395</f>
        <v/>
      </c>
      <c r="X3395" s="47">
        <f>IF(GrossBasis="Wholesale",V3395,W3395)</f>
        <v/>
      </c>
      <c r="Y3395" s="47">
        <f>R3395*INDEX(FmtBlendedCogs,MATCH(F3395,FmtName,0))</f>
        <v/>
      </c>
      <c r="Z3395" s="47">
        <f>X3395-Y3395</f>
        <v/>
      </c>
    </row>
    <row r="3396">
      <c r="A3396" t="n">
        <v>3</v>
      </c>
      <c r="B3396" s="44">
        <f>FiscalStart+(A3396-1)*7</f>
        <v/>
      </c>
      <c r="C3396">
        <f>TEXT(B3396,"mmm yyyy")</f>
        <v/>
      </c>
      <c r="D3396">
        <f>"Q"&amp;(INT((A3396-1)/13)+1)</f>
        <v/>
      </c>
      <c r="E3396" t="inlineStr">
        <is>
          <t>Online</t>
        </is>
      </c>
      <c r="F3396">
        <f>IFERROR(INDEX(ChFormat,MATCH(E3396,ChName,0)),"")</f>
        <v/>
      </c>
      <c r="G3396" t="inlineStr">
        <is>
          <t>ON</t>
        </is>
      </c>
      <c r="H3396">
        <f>IF(A3396&lt;=NWeeks,1,0)</f>
        <v/>
      </c>
      <c r="I3396">
        <f>INDEX(ChLaunch,MATCH(E3396,ChName,0))</f>
        <v/>
      </c>
      <c r="J3396">
        <f>INDEX(ChWeeksFull,MATCH(E3396,ChName,0))</f>
        <v/>
      </c>
      <c r="K3396">
        <f>INDEX(ChRamp,MATCH(E3396,ChName,0))</f>
        <v/>
      </c>
      <c r="L3396" s="45">
        <f>MIN(1,MAX(0,(A3396-I3396+1)*RampSpeed/J3396))</f>
        <v/>
      </c>
      <c r="M3396" s="45">
        <f>IF(A3396&lt;I3396,0,IF(K3396="S-curve",L3396*L3396*(3-2*L3396),L3396))</f>
        <v/>
      </c>
      <c r="N3396" s="45">
        <f>1+(INDEX(SeasonIdx,A3396)-1)*SeasonAmp</f>
        <v/>
      </c>
      <c r="O3396" s="45">
        <f>IFERROR(INDEX(PSPct,MATCH(E3396&amp;"|"&amp;G3396,PSKey,0)),0)</f>
        <v/>
      </c>
      <c r="P3396" s="46" t="n">
        <v>0</v>
      </c>
      <c r="Q3396" s="46">
        <f>INDEX(OnlineUnitsCol,A3396)*O3396*(1+OnlineGrowth)*N3396*H3396*IF(A3396&gt;=I3396,1,0)</f>
        <v/>
      </c>
      <c r="R3396" s="46">
        <f>Q3396*INDEX(FmtCansPerPack,MATCH(F3396,FmtName,0))/INDEX(FmtCansPerCase,MATCH(F3396,FmtName,0))</f>
        <v/>
      </c>
      <c r="S3396" s="46">
        <f>R3396*INDEX(FmtCansPerCase,MATCH(F3396,FmtName,0))</f>
        <v/>
      </c>
      <c r="T3396" s="46">
        <f>S3396/INDEX(FmtCansPerPack,MATCH(F3396,FmtName,0))</f>
        <v/>
      </c>
      <c r="U3396" s="47">
        <f>INDEX(ProvOnline,MATCH(G3396,ProvCode,0))*(1+PriceIndex)</f>
        <v/>
      </c>
      <c r="V3396" s="47">
        <f>Q3396*U3396*INDEX(FmtBlendedPriceIdx,MATCH(F3396,FmtName,0))</f>
        <v/>
      </c>
      <c r="W3396" s="47">
        <f>V3396</f>
        <v/>
      </c>
      <c r="X3396" s="47">
        <f>IF(GrossBasis="Wholesale",V3396,W3396)</f>
        <v/>
      </c>
      <c r="Y3396" s="47">
        <f>R3396*INDEX(FmtBlendedCogs,MATCH(F3396,FmtName,0))</f>
        <v/>
      </c>
      <c r="Z3396" s="47">
        <f>X3396-Y3396</f>
        <v/>
      </c>
    </row>
    <row r="3397">
      <c r="A3397" t="n">
        <v>4</v>
      </c>
      <c r="B3397" s="44">
        <f>FiscalStart+(A3397-1)*7</f>
        <v/>
      </c>
      <c r="C3397">
        <f>TEXT(B3397,"mmm yyyy")</f>
        <v/>
      </c>
      <c r="D3397">
        <f>"Q"&amp;(INT((A3397-1)/13)+1)</f>
        <v/>
      </c>
      <c r="E3397" t="inlineStr">
        <is>
          <t>Online</t>
        </is>
      </c>
      <c r="F3397">
        <f>IFERROR(INDEX(ChFormat,MATCH(E3397,ChName,0)),"")</f>
        <v/>
      </c>
      <c r="G3397" t="inlineStr">
        <is>
          <t>ON</t>
        </is>
      </c>
      <c r="H3397">
        <f>IF(A3397&lt;=NWeeks,1,0)</f>
        <v/>
      </c>
      <c r="I3397">
        <f>INDEX(ChLaunch,MATCH(E3397,ChName,0))</f>
        <v/>
      </c>
      <c r="J3397">
        <f>INDEX(ChWeeksFull,MATCH(E3397,ChName,0))</f>
        <v/>
      </c>
      <c r="K3397">
        <f>INDEX(ChRamp,MATCH(E3397,ChName,0))</f>
        <v/>
      </c>
      <c r="L3397" s="45">
        <f>MIN(1,MAX(0,(A3397-I3397+1)*RampSpeed/J3397))</f>
        <v/>
      </c>
      <c r="M3397" s="45">
        <f>IF(A3397&lt;I3397,0,IF(K3397="S-curve",L3397*L3397*(3-2*L3397),L3397))</f>
        <v/>
      </c>
      <c r="N3397" s="45">
        <f>1+(INDEX(SeasonIdx,A3397)-1)*SeasonAmp</f>
        <v/>
      </c>
      <c r="O3397" s="45">
        <f>IFERROR(INDEX(PSPct,MATCH(E3397&amp;"|"&amp;G3397,PSKey,0)),0)</f>
        <v/>
      </c>
      <c r="P3397" s="46" t="n">
        <v>0</v>
      </c>
      <c r="Q3397" s="46">
        <f>INDEX(OnlineUnitsCol,A3397)*O3397*(1+OnlineGrowth)*N3397*H3397*IF(A3397&gt;=I3397,1,0)</f>
        <v/>
      </c>
      <c r="R3397" s="46">
        <f>Q3397*INDEX(FmtCansPerPack,MATCH(F3397,FmtName,0))/INDEX(FmtCansPerCase,MATCH(F3397,FmtName,0))</f>
        <v/>
      </c>
      <c r="S3397" s="46">
        <f>R3397*INDEX(FmtCansPerCase,MATCH(F3397,FmtName,0))</f>
        <v/>
      </c>
      <c r="T3397" s="46">
        <f>S3397/INDEX(FmtCansPerPack,MATCH(F3397,FmtName,0))</f>
        <v/>
      </c>
      <c r="U3397" s="47">
        <f>INDEX(ProvOnline,MATCH(G3397,ProvCode,0))*(1+PriceIndex)</f>
        <v/>
      </c>
      <c r="V3397" s="47">
        <f>Q3397*U3397*INDEX(FmtBlendedPriceIdx,MATCH(F3397,FmtName,0))</f>
        <v/>
      </c>
      <c r="W3397" s="47">
        <f>V3397</f>
        <v/>
      </c>
      <c r="X3397" s="47">
        <f>IF(GrossBasis="Wholesale",V3397,W3397)</f>
        <v/>
      </c>
      <c r="Y3397" s="47">
        <f>R3397*INDEX(FmtBlendedCogs,MATCH(F3397,FmtName,0))</f>
        <v/>
      </c>
      <c r="Z3397" s="47">
        <f>X3397-Y3397</f>
        <v/>
      </c>
    </row>
    <row r="3398">
      <c r="A3398" t="n">
        <v>5</v>
      </c>
      <c r="B3398" s="44">
        <f>FiscalStart+(A3398-1)*7</f>
        <v/>
      </c>
      <c r="C3398">
        <f>TEXT(B3398,"mmm yyyy")</f>
        <v/>
      </c>
      <c r="D3398">
        <f>"Q"&amp;(INT((A3398-1)/13)+1)</f>
        <v/>
      </c>
      <c r="E3398" t="inlineStr">
        <is>
          <t>Online</t>
        </is>
      </c>
      <c r="F3398">
        <f>IFERROR(INDEX(ChFormat,MATCH(E3398,ChName,0)),"")</f>
        <v/>
      </c>
      <c r="G3398" t="inlineStr">
        <is>
          <t>ON</t>
        </is>
      </c>
      <c r="H3398">
        <f>IF(A3398&lt;=NWeeks,1,0)</f>
        <v/>
      </c>
      <c r="I3398">
        <f>INDEX(ChLaunch,MATCH(E3398,ChName,0))</f>
        <v/>
      </c>
      <c r="J3398">
        <f>INDEX(ChWeeksFull,MATCH(E3398,ChName,0))</f>
        <v/>
      </c>
      <c r="K3398">
        <f>INDEX(ChRamp,MATCH(E3398,ChName,0))</f>
        <v/>
      </c>
      <c r="L3398" s="45">
        <f>MIN(1,MAX(0,(A3398-I3398+1)*RampSpeed/J3398))</f>
        <v/>
      </c>
      <c r="M3398" s="45">
        <f>IF(A3398&lt;I3398,0,IF(K3398="S-curve",L3398*L3398*(3-2*L3398),L3398))</f>
        <v/>
      </c>
      <c r="N3398" s="45">
        <f>1+(INDEX(SeasonIdx,A3398)-1)*SeasonAmp</f>
        <v/>
      </c>
      <c r="O3398" s="45">
        <f>IFERROR(INDEX(PSPct,MATCH(E3398&amp;"|"&amp;G3398,PSKey,0)),0)</f>
        <v/>
      </c>
      <c r="P3398" s="46" t="n">
        <v>0</v>
      </c>
      <c r="Q3398" s="46">
        <f>INDEX(OnlineUnitsCol,A3398)*O3398*(1+OnlineGrowth)*N3398*H3398*IF(A3398&gt;=I3398,1,0)</f>
        <v/>
      </c>
      <c r="R3398" s="46">
        <f>Q3398*INDEX(FmtCansPerPack,MATCH(F3398,FmtName,0))/INDEX(FmtCansPerCase,MATCH(F3398,FmtName,0))</f>
        <v/>
      </c>
      <c r="S3398" s="46">
        <f>R3398*INDEX(FmtCansPerCase,MATCH(F3398,FmtName,0))</f>
        <v/>
      </c>
      <c r="T3398" s="46">
        <f>S3398/INDEX(FmtCansPerPack,MATCH(F3398,FmtName,0))</f>
        <v/>
      </c>
      <c r="U3398" s="47">
        <f>INDEX(ProvOnline,MATCH(G3398,ProvCode,0))*(1+PriceIndex)</f>
        <v/>
      </c>
      <c r="V3398" s="47">
        <f>Q3398*U3398*INDEX(FmtBlendedPriceIdx,MATCH(F3398,FmtName,0))</f>
        <v/>
      </c>
      <c r="W3398" s="47">
        <f>V3398</f>
        <v/>
      </c>
      <c r="X3398" s="47">
        <f>IF(GrossBasis="Wholesale",V3398,W3398)</f>
        <v/>
      </c>
      <c r="Y3398" s="47">
        <f>R3398*INDEX(FmtBlendedCogs,MATCH(F3398,FmtName,0))</f>
        <v/>
      </c>
      <c r="Z3398" s="47">
        <f>X3398-Y3398</f>
        <v/>
      </c>
    </row>
    <row r="3399">
      <c r="A3399" t="n">
        <v>6</v>
      </c>
      <c r="B3399" s="44">
        <f>FiscalStart+(A3399-1)*7</f>
        <v/>
      </c>
      <c r="C3399">
        <f>TEXT(B3399,"mmm yyyy")</f>
        <v/>
      </c>
      <c r="D3399">
        <f>"Q"&amp;(INT((A3399-1)/13)+1)</f>
        <v/>
      </c>
      <c r="E3399" t="inlineStr">
        <is>
          <t>Online</t>
        </is>
      </c>
      <c r="F3399">
        <f>IFERROR(INDEX(ChFormat,MATCH(E3399,ChName,0)),"")</f>
        <v/>
      </c>
      <c r="G3399" t="inlineStr">
        <is>
          <t>ON</t>
        </is>
      </c>
      <c r="H3399">
        <f>IF(A3399&lt;=NWeeks,1,0)</f>
        <v/>
      </c>
      <c r="I3399">
        <f>INDEX(ChLaunch,MATCH(E3399,ChName,0))</f>
        <v/>
      </c>
      <c r="J3399">
        <f>INDEX(ChWeeksFull,MATCH(E3399,ChName,0))</f>
        <v/>
      </c>
      <c r="K3399">
        <f>INDEX(ChRamp,MATCH(E3399,ChName,0))</f>
        <v/>
      </c>
      <c r="L3399" s="45">
        <f>MIN(1,MAX(0,(A3399-I3399+1)*RampSpeed/J3399))</f>
        <v/>
      </c>
      <c r="M3399" s="45">
        <f>IF(A3399&lt;I3399,0,IF(K3399="S-curve",L3399*L3399*(3-2*L3399),L3399))</f>
        <v/>
      </c>
      <c r="N3399" s="45">
        <f>1+(INDEX(SeasonIdx,A3399)-1)*SeasonAmp</f>
        <v/>
      </c>
      <c r="O3399" s="45">
        <f>IFERROR(INDEX(PSPct,MATCH(E3399&amp;"|"&amp;G3399,PSKey,0)),0)</f>
        <v/>
      </c>
      <c r="P3399" s="46" t="n">
        <v>0</v>
      </c>
      <c r="Q3399" s="46">
        <f>INDEX(OnlineUnitsCol,A3399)*O3399*(1+OnlineGrowth)*N3399*H3399*IF(A3399&gt;=I3399,1,0)</f>
        <v/>
      </c>
      <c r="R3399" s="46">
        <f>Q3399*INDEX(FmtCansPerPack,MATCH(F3399,FmtName,0))/INDEX(FmtCansPerCase,MATCH(F3399,FmtName,0))</f>
        <v/>
      </c>
      <c r="S3399" s="46">
        <f>R3399*INDEX(FmtCansPerCase,MATCH(F3399,FmtName,0))</f>
        <v/>
      </c>
      <c r="T3399" s="46">
        <f>S3399/INDEX(FmtCansPerPack,MATCH(F3399,FmtName,0))</f>
        <v/>
      </c>
      <c r="U3399" s="47">
        <f>INDEX(ProvOnline,MATCH(G3399,ProvCode,0))*(1+PriceIndex)</f>
        <v/>
      </c>
      <c r="V3399" s="47">
        <f>Q3399*U3399*INDEX(FmtBlendedPriceIdx,MATCH(F3399,FmtName,0))</f>
        <v/>
      </c>
      <c r="W3399" s="47">
        <f>V3399</f>
        <v/>
      </c>
      <c r="X3399" s="47">
        <f>IF(GrossBasis="Wholesale",V3399,W3399)</f>
        <v/>
      </c>
      <c r="Y3399" s="47">
        <f>R3399*INDEX(FmtBlendedCogs,MATCH(F3399,FmtName,0))</f>
        <v/>
      </c>
      <c r="Z3399" s="47">
        <f>X3399-Y3399</f>
        <v/>
      </c>
    </row>
    <row r="3400">
      <c r="A3400" t="n">
        <v>7</v>
      </c>
      <c r="B3400" s="44">
        <f>FiscalStart+(A3400-1)*7</f>
        <v/>
      </c>
      <c r="C3400">
        <f>TEXT(B3400,"mmm yyyy")</f>
        <v/>
      </c>
      <c r="D3400">
        <f>"Q"&amp;(INT((A3400-1)/13)+1)</f>
        <v/>
      </c>
      <c r="E3400" t="inlineStr">
        <is>
          <t>Online</t>
        </is>
      </c>
      <c r="F3400">
        <f>IFERROR(INDEX(ChFormat,MATCH(E3400,ChName,0)),"")</f>
        <v/>
      </c>
      <c r="G3400" t="inlineStr">
        <is>
          <t>ON</t>
        </is>
      </c>
      <c r="H3400">
        <f>IF(A3400&lt;=NWeeks,1,0)</f>
        <v/>
      </c>
      <c r="I3400">
        <f>INDEX(ChLaunch,MATCH(E3400,ChName,0))</f>
        <v/>
      </c>
      <c r="J3400">
        <f>INDEX(ChWeeksFull,MATCH(E3400,ChName,0))</f>
        <v/>
      </c>
      <c r="K3400">
        <f>INDEX(ChRamp,MATCH(E3400,ChName,0))</f>
        <v/>
      </c>
      <c r="L3400" s="45">
        <f>MIN(1,MAX(0,(A3400-I3400+1)*RampSpeed/J3400))</f>
        <v/>
      </c>
      <c r="M3400" s="45">
        <f>IF(A3400&lt;I3400,0,IF(K3400="S-curve",L3400*L3400*(3-2*L3400),L3400))</f>
        <v/>
      </c>
      <c r="N3400" s="45">
        <f>1+(INDEX(SeasonIdx,A3400)-1)*SeasonAmp</f>
        <v/>
      </c>
      <c r="O3400" s="45">
        <f>IFERROR(INDEX(PSPct,MATCH(E3400&amp;"|"&amp;G3400,PSKey,0)),0)</f>
        <v/>
      </c>
      <c r="P3400" s="46" t="n">
        <v>0</v>
      </c>
      <c r="Q3400" s="46">
        <f>INDEX(OnlineUnitsCol,A3400)*O3400*(1+OnlineGrowth)*N3400*H3400*IF(A3400&gt;=I3400,1,0)</f>
        <v/>
      </c>
      <c r="R3400" s="46">
        <f>Q3400*INDEX(FmtCansPerPack,MATCH(F3400,FmtName,0))/INDEX(FmtCansPerCase,MATCH(F3400,FmtName,0))</f>
        <v/>
      </c>
      <c r="S3400" s="46">
        <f>R3400*INDEX(FmtCansPerCase,MATCH(F3400,FmtName,0))</f>
        <v/>
      </c>
      <c r="T3400" s="46">
        <f>S3400/INDEX(FmtCansPerPack,MATCH(F3400,FmtName,0))</f>
        <v/>
      </c>
      <c r="U3400" s="47">
        <f>INDEX(ProvOnline,MATCH(G3400,ProvCode,0))*(1+PriceIndex)</f>
        <v/>
      </c>
      <c r="V3400" s="47">
        <f>Q3400*U3400*INDEX(FmtBlendedPriceIdx,MATCH(F3400,FmtName,0))</f>
        <v/>
      </c>
      <c r="W3400" s="47">
        <f>V3400</f>
        <v/>
      </c>
      <c r="X3400" s="47">
        <f>IF(GrossBasis="Wholesale",V3400,W3400)</f>
        <v/>
      </c>
      <c r="Y3400" s="47">
        <f>R3400*INDEX(FmtBlendedCogs,MATCH(F3400,FmtName,0))</f>
        <v/>
      </c>
      <c r="Z3400" s="47">
        <f>X3400-Y3400</f>
        <v/>
      </c>
    </row>
    <row r="3401">
      <c r="A3401" t="n">
        <v>8</v>
      </c>
      <c r="B3401" s="44">
        <f>FiscalStart+(A3401-1)*7</f>
        <v/>
      </c>
      <c r="C3401">
        <f>TEXT(B3401,"mmm yyyy")</f>
        <v/>
      </c>
      <c r="D3401">
        <f>"Q"&amp;(INT((A3401-1)/13)+1)</f>
        <v/>
      </c>
      <c r="E3401" t="inlineStr">
        <is>
          <t>Online</t>
        </is>
      </c>
      <c r="F3401">
        <f>IFERROR(INDEX(ChFormat,MATCH(E3401,ChName,0)),"")</f>
        <v/>
      </c>
      <c r="G3401" t="inlineStr">
        <is>
          <t>ON</t>
        </is>
      </c>
      <c r="H3401">
        <f>IF(A3401&lt;=NWeeks,1,0)</f>
        <v/>
      </c>
      <c r="I3401">
        <f>INDEX(ChLaunch,MATCH(E3401,ChName,0))</f>
        <v/>
      </c>
      <c r="J3401">
        <f>INDEX(ChWeeksFull,MATCH(E3401,ChName,0))</f>
        <v/>
      </c>
      <c r="K3401">
        <f>INDEX(ChRamp,MATCH(E3401,ChName,0))</f>
        <v/>
      </c>
      <c r="L3401" s="45">
        <f>MIN(1,MAX(0,(A3401-I3401+1)*RampSpeed/J3401))</f>
        <v/>
      </c>
      <c r="M3401" s="45">
        <f>IF(A3401&lt;I3401,0,IF(K3401="S-curve",L3401*L3401*(3-2*L3401),L3401))</f>
        <v/>
      </c>
      <c r="N3401" s="45">
        <f>1+(INDEX(SeasonIdx,A3401)-1)*SeasonAmp</f>
        <v/>
      </c>
      <c r="O3401" s="45">
        <f>IFERROR(INDEX(PSPct,MATCH(E3401&amp;"|"&amp;G3401,PSKey,0)),0)</f>
        <v/>
      </c>
      <c r="P3401" s="46" t="n">
        <v>0</v>
      </c>
      <c r="Q3401" s="46">
        <f>INDEX(OnlineUnitsCol,A3401)*O3401*(1+OnlineGrowth)*N3401*H3401*IF(A3401&gt;=I3401,1,0)</f>
        <v/>
      </c>
      <c r="R3401" s="46">
        <f>Q3401*INDEX(FmtCansPerPack,MATCH(F3401,FmtName,0))/INDEX(FmtCansPerCase,MATCH(F3401,FmtName,0))</f>
        <v/>
      </c>
      <c r="S3401" s="46">
        <f>R3401*INDEX(FmtCansPerCase,MATCH(F3401,FmtName,0))</f>
        <v/>
      </c>
      <c r="T3401" s="46">
        <f>S3401/INDEX(FmtCansPerPack,MATCH(F3401,FmtName,0))</f>
        <v/>
      </c>
      <c r="U3401" s="47">
        <f>INDEX(ProvOnline,MATCH(G3401,ProvCode,0))*(1+PriceIndex)</f>
        <v/>
      </c>
      <c r="V3401" s="47">
        <f>Q3401*U3401*INDEX(FmtBlendedPriceIdx,MATCH(F3401,FmtName,0))</f>
        <v/>
      </c>
      <c r="W3401" s="47">
        <f>V3401</f>
        <v/>
      </c>
      <c r="X3401" s="47">
        <f>IF(GrossBasis="Wholesale",V3401,W3401)</f>
        <v/>
      </c>
      <c r="Y3401" s="47">
        <f>R3401*INDEX(FmtBlendedCogs,MATCH(F3401,FmtName,0))</f>
        <v/>
      </c>
      <c r="Z3401" s="47">
        <f>X3401-Y3401</f>
        <v/>
      </c>
    </row>
    <row r="3402">
      <c r="A3402" t="n">
        <v>9</v>
      </c>
      <c r="B3402" s="44">
        <f>FiscalStart+(A3402-1)*7</f>
        <v/>
      </c>
      <c r="C3402">
        <f>TEXT(B3402,"mmm yyyy")</f>
        <v/>
      </c>
      <c r="D3402">
        <f>"Q"&amp;(INT((A3402-1)/13)+1)</f>
        <v/>
      </c>
      <c r="E3402" t="inlineStr">
        <is>
          <t>Online</t>
        </is>
      </c>
      <c r="F3402">
        <f>IFERROR(INDEX(ChFormat,MATCH(E3402,ChName,0)),"")</f>
        <v/>
      </c>
      <c r="G3402" t="inlineStr">
        <is>
          <t>ON</t>
        </is>
      </c>
      <c r="H3402">
        <f>IF(A3402&lt;=NWeeks,1,0)</f>
        <v/>
      </c>
      <c r="I3402">
        <f>INDEX(ChLaunch,MATCH(E3402,ChName,0))</f>
        <v/>
      </c>
      <c r="J3402">
        <f>INDEX(ChWeeksFull,MATCH(E3402,ChName,0))</f>
        <v/>
      </c>
      <c r="K3402">
        <f>INDEX(ChRamp,MATCH(E3402,ChName,0))</f>
        <v/>
      </c>
      <c r="L3402" s="45">
        <f>MIN(1,MAX(0,(A3402-I3402+1)*RampSpeed/J3402))</f>
        <v/>
      </c>
      <c r="M3402" s="45">
        <f>IF(A3402&lt;I3402,0,IF(K3402="S-curve",L3402*L3402*(3-2*L3402),L3402))</f>
        <v/>
      </c>
      <c r="N3402" s="45">
        <f>1+(INDEX(SeasonIdx,A3402)-1)*SeasonAmp</f>
        <v/>
      </c>
      <c r="O3402" s="45">
        <f>IFERROR(INDEX(PSPct,MATCH(E3402&amp;"|"&amp;G3402,PSKey,0)),0)</f>
        <v/>
      </c>
      <c r="P3402" s="46" t="n">
        <v>0</v>
      </c>
      <c r="Q3402" s="46">
        <f>INDEX(OnlineUnitsCol,A3402)*O3402*(1+OnlineGrowth)*N3402*H3402*IF(A3402&gt;=I3402,1,0)</f>
        <v/>
      </c>
      <c r="R3402" s="46">
        <f>Q3402*INDEX(FmtCansPerPack,MATCH(F3402,FmtName,0))/INDEX(FmtCansPerCase,MATCH(F3402,FmtName,0))</f>
        <v/>
      </c>
      <c r="S3402" s="46">
        <f>R3402*INDEX(FmtCansPerCase,MATCH(F3402,FmtName,0))</f>
        <v/>
      </c>
      <c r="T3402" s="46">
        <f>S3402/INDEX(FmtCansPerPack,MATCH(F3402,FmtName,0))</f>
        <v/>
      </c>
      <c r="U3402" s="47">
        <f>INDEX(ProvOnline,MATCH(G3402,ProvCode,0))*(1+PriceIndex)</f>
        <v/>
      </c>
      <c r="V3402" s="47">
        <f>Q3402*U3402*INDEX(FmtBlendedPriceIdx,MATCH(F3402,FmtName,0))</f>
        <v/>
      </c>
      <c r="W3402" s="47">
        <f>V3402</f>
        <v/>
      </c>
      <c r="X3402" s="47">
        <f>IF(GrossBasis="Wholesale",V3402,W3402)</f>
        <v/>
      </c>
      <c r="Y3402" s="47">
        <f>R3402*INDEX(FmtBlendedCogs,MATCH(F3402,FmtName,0))</f>
        <v/>
      </c>
      <c r="Z3402" s="47">
        <f>X3402-Y3402</f>
        <v/>
      </c>
    </row>
    <row r="3403">
      <c r="A3403" t="n">
        <v>10</v>
      </c>
      <c r="B3403" s="44">
        <f>FiscalStart+(A3403-1)*7</f>
        <v/>
      </c>
      <c r="C3403">
        <f>TEXT(B3403,"mmm yyyy")</f>
        <v/>
      </c>
      <c r="D3403">
        <f>"Q"&amp;(INT((A3403-1)/13)+1)</f>
        <v/>
      </c>
      <c r="E3403" t="inlineStr">
        <is>
          <t>Online</t>
        </is>
      </c>
      <c r="F3403">
        <f>IFERROR(INDEX(ChFormat,MATCH(E3403,ChName,0)),"")</f>
        <v/>
      </c>
      <c r="G3403" t="inlineStr">
        <is>
          <t>ON</t>
        </is>
      </c>
      <c r="H3403">
        <f>IF(A3403&lt;=NWeeks,1,0)</f>
        <v/>
      </c>
      <c r="I3403">
        <f>INDEX(ChLaunch,MATCH(E3403,ChName,0))</f>
        <v/>
      </c>
      <c r="J3403">
        <f>INDEX(ChWeeksFull,MATCH(E3403,ChName,0))</f>
        <v/>
      </c>
      <c r="K3403">
        <f>INDEX(ChRamp,MATCH(E3403,ChName,0))</f>
        <v/>
      </c>
      <c r="L3403" s="45">
        <f>MIN(1,MAX(0,(A3403-I3403+1)*RampSpeed/J3403))</f>
        <v/>
      </c>
      <c r="M3403" s="45">
        <f>IF(A3403&lt;I3403,0,IF(K3403="S-curve",L3403*L3403*(3-2*L3403),L3403))</f>
        <v/>
      </c>
      <c r="N3403" s="45">
        <f>1+(INDEX(SeasonIdx,A3403)-1)*SeasonAmp</f>
        <v/>
      </c>
      <c r="O3403" s="45">
        <f>IFERROR(INDEX(PSPct,MATCH(E3403&amp;"|"&amp;G3403,PSKey,0)),0)</f>
        <v/>
      </c>
      <c r="P3403" s="46" t="n">
        <v>0</v>
      </c>
      <c r="Q3403" s="46">
        <f>INDEX(OnlineUnitsCol,A3403)*O3403*(1+OnlineGrowth)*N3403*H3403*IF(A3403&gt;=I3403,1,0)</f>
        <v/>
      </c>
      <c r="R3403" s="46">
        <f>Q3403*INDEX(FmtCansPerPack,MATCH(F3403,FmtName,0))/INDEX(FmtCansPerCase,MATCH(F3403,FmtName,0))</f>
        <v/>
      </c>
      <c r="S3403" s="46">
        <f>R3403*INDEX(FmtCansPerCase,MATCH(F3403,FmtName,0))</f>
        <v/>
      </c>
      <c r="T3403" s="46">
        <f>S3403/INDEX(FmtCansPerPack,MATCH(F3403,FmtName,0))</f>
        <v/>
      </c>
      <c r="U3403" s="47">
        <f>INDEX(ProvOnline,MATCH(G3403,ProvCode,0))*(1+PriceIndex)</f>
        <v/>
      </c>
      <c r="V3403" s="47">
        <f>Q3403*U3403*INDEX(FmtBlendedPriceIdx,MATCH(F3403,FmtName,0))</f>
        <v/>
      </c>
      <c r="W3403" s="47">
        <f>V3403</f>
        <v/>
      </c>
      <c r="X3403" s="47">
        <f>IF(GrossBasis="Wholesale",V3403,W3403)</f>
        <v/>
      </c>
      <c r="Y3403" s="47">
        <f>R3403*INDEX(FmtBlendedCogs,MATCH(F3403,FmtName,0))</f>
        <v/>
      </c>
      <c r="Z3403" s="47">
        <f>X3403-Y3403</f>
        <v/>
      </c>
    </row>
    <row r="3404">
      <c r="A3404" t="n">
        <v>11</v>
      </c>
      <c r="B3404" s="44">
        <f>FiscalStart+(A3404-1)*7</f>
        <v/>
      </c>
      <c r="C3404">
        <f>TEXT(B3404,"mmm yyyy")</f>
        <v/>
      </c>
      <c r="D3404">
        <f>"Q"&amp;(INT((A3404-1)/13)+1)</f>
        <v/>
      </c>
      <c r="E3404" t="inlineStr">
        <is>
          <t>Online</t>
        </is>
      </c>
      <c r="F3404">
        <f>IFERROR(INDEX(ChFormat,MATCH(E3404,ChName,0)),"")</f>
        <v/>
      </c>
      <c r="G3404" t="inlineStr">
        <is>
          <t>ON</t>
        </is>
      </c>
      <c r="H3404">
        <f>IF(A3404&lt;=NWeeks,1,0)</f>
        <v/>
      </c>
      <c r="I3404">
        <f>INDEX(ChLaunch,MATCH(E3404,ChName,0))</f>
        <v/>
      </c>
      <c r="J3404">
        <f>INDEX(ChWeeksFull,MATCH(E3404,ChName,0))</f>
        <v/>
      </c>
      <c r="K3404">
        <f>INDEX(ChRamp,MATCH(E3404,ChName,0))</f>
        <v/>
      </c>
      <c r="L3404" s="45">
        <f>MIN(1,MAX(0,(A3404-I3404+1)*RampSpeed/J3404))</f>
        <v/>
      </c>
      <c r="M3404" s="45">
        <f>IF(A3404&lt;I3404,0,IF(K3404="S-curve",L3404*L3404*(3-2*L3404),L3404))</f>
        <v/>
      </c>
      <c r="N3404" s="45">
        <f>1+(INDEX(SeasonIdx,A3404)-1)*SeasonAmp</f>
        <v/>
      </c>
      <c r="O3404" s="45">
        <f>IFERROR(INDEX(PSPct,MATCH(E3404&amp;"|"&amp;G3404,PSKey,0)),0)</f>
        <v/>
      </c>
      <c r="P3404" s="46" t="n">
        <v>0</v>
      </c>
      <c r="Q3404" s="46">
        <f>INDEX(OnlineUnitsCol,A3404)*O3404*(1+OnlineGrowth)*N3404*H3404*IF(A3404&gt;=I3404,1,0)</f>
        <v/>
      </c>
      <c r="R3404" s="46">
        <f>Q3404*INDEX(FmtCansPerPack,MATCH(F3404,FmtName,0))/INDEX(FmtCansPerCase,MATCH(F3404,FmtName,0))</f>
        <v/>
      </c>
      <c r="S3404" s="46">
        <f>R3404*INDEX(FmtCansPerCase,MATCH(F3404,FmtName,0))</f>
        <v/>
      </c>
      <c r="T3404" s="46">
        <f>S3404/INDEX(FmtCansPerPack,MATCH(F3404,FmtName,0))</f>
        <v/>
      </c>
      <c r="U3404" s="47">
        <f>INDEX(ProvOnline,MATCH(G3404,ProvCode,0))*(1+PriceIndex)</f>
        <v/>
      </c>
      <c r="V3404" s="47">
        <f>Q3404*U3404*INDEX(FmtBlendedPriceIdx,MATCH(F3404,FmtName,0))</f>
        <v/>
      </c>
      <c r="W3404" s="47">
        <f>V3404</f>
        <v/>
      </c>
      <c r="X3404" s="47">
        <f>IF(GrossBasis="Wholesale",V3404,W3404)</f>
        <v/>
      </c>
      <c r="Y3404" s="47">
        <f>R3404*INDEX(FmtBlendedCogs,MATCH(F3404,FmtName,0))</f>
        <v/>
      </c>
      <c r="Z3404" s="47">
        <f>X3404-Y3404</f>
        <v/>
      </c>
    </row>
    <row r="3405">
      <c r="A3405" t="n">
        <v>12</v>
      </c>
      <c r="B3405" s="44">
        <f>FiscalStart+(A3405-1)*7</f>
        <v/>
      </c>
      <c r="C3405">
        <f>TEXT(B3405,"mmm yyyy")</f>
        <v/>
      </c>
      <c r="D3405">
        <f>"Q"&amp;(INT((A3405-1)/13)+1)</f>
        <v/>
      </c>
      <c r="E3405" t="inlineStr">
        <is>
          <t>Online</t>
        </is>
      </c>
      <c r="F3405">
        <f>IFERROR(INDEX(ChFormat,MATCH(E3405,ChName,0)),"")</f>
        <v/>
      </c>
      <c r="G3405" t="inlineStr">
        <is>
          <t>ON</t>
        </is>
      </c>
      <c r="H3405">
        <f>IF(A3405&lt;=NWeeks,1,0)</f>
        <v/>
      </c>
      <c r="I3405">
        <f>INDEX(ChLaunch,MATCH(E3405,ChName,0))</f>
        <v/>
      </c>
      <c r="J3405">
        <f>INDEX(ChWeeksFull,MATCH(E3405,ChName,0))</f>
        <v/>
      </c>
      <c r="K3405">
        <f>INDEX(ChRamp,MATCH(E3405,ChName,0))</f>
        <v/>
      </c>
      <c r="L3405" s="45">
        <f>MIN(1,MAX(0,(A3405-I3405+1)*RampSpeed/J3405))</f>
        <v/>
      </c>
      <c r="M3405" s="45">
        <f>IF(A3405&lt;I3405,0,IF(K3405="S-curve",L3405*L3405*(3-2*L3405),L3405))</f>
        <v/>
      </c>
      <c r="N3405" s="45">
        <f>1+(INDEX(SeasonIdx,A3405)-1)*SeasonAmp</f>
        <v/>
      </c>
      <c r="O3405" s="45">
        <f>IFERROR(INDEX(PSPct,MATCH(E3405&amp;"|"&amp;G3405,PSKey,0)),0)</f>
        <v/>
      </c>
      <c r="P3405" s="46" t="n">
        <v>0</v>
      </c>
      <c r="Q3405" s="46">
        <f>INDEX(OnlineUnitsCol,A3405)*O3405*(1+OnlineGrowth)*N3405*H3405*IF(A3405&gt;=I3405,1,0)</f>
        <v/>
      </c>
      <c r="R3405" s="46">
        <f>Q3405*INDEX(FmtCansPerPack,MATCH(F3405,FmtName,0))/INDEX(FmtCansPerCase,MATCH(F3405,FmtName,0))</f>
        <v/>
      </c>
      <c r="S3405" s="46">
        <f>R3405*INDEX(FmtCansPerCase,MATCH(F3405,FmtName,0))</f>
        <v/>
      </c>
      <c r="T3405" s="46">
        <f>S3405/INDEX(FmtCansPerPack,MATCH(F3405,FmtName,0))</f>
        <v/>
      </c>
      <c r="U3405" s="47">
        <f>INDEX(ProvOnline,MATCH(G3405,ProvCode,0))*(1+PriceIndex)</f>
        <v/>
      </c>
      <c r="V3405" s="47">
        <f>Q3405*U3405*INDEX(FmtBlendedPriceIdx,MATCH(F3405,FmtName,0))</f>
        <v/>
      </c>
      <c r="W3405" s="47">
        <f>V3405</f>
        <v/>
      </c>
      <c r="X3405" s="47">
        <f>IF(GrossBasis="Wholesale",V3405,W3405)</f>
        <v/>
      </c>
      <c r="Y3405" s="47">
        <f>R3405*INDEX(FmtBlendedCogs,MATCH(F3405,FmtName,0))</f>
        <v/>
      </c>
      <c r="Z3405" s="47">
        <f>X3405-Y3405</f>
        <v/>
      </c>
    </row>
    <row r="3406">
      <c r="A3406" t="n">
        <v>13</v>
      </c>
      <c r="B3406" s="44">
        <f>FiscalStart+(A3406-1)*7</f>
        <v/>
      </c>
      <c r="C3406">
        <f>TEXT(B3406,"mmm yyyy")</f>
        <v/>
      </c>
      <c r="D3406">
        <f>"Q"&amp;(INT((A3406-1)/13)+1)</f>
        <v/>
      </c>
      <c r="E3406" t="inlineStr">
        <is>
          <t>Online</t>
        </is>
      </c>
      <c r="F3406">
        <f>IFERROR(INDEX(ChFormat,MATCH(E3406,ChName,0)),"")</f>
        <v/>
      </c>
      <c r="G3406" t="inlineStr">
        <is>
          <t>ON</t>
        </is>
      </c>
      <c r="H3406">
        <f>IF(A3406&lt;=NWeeks,1,0)</f>
        <v/>
      </c>
      <c r="I3406">
        <f>INDEX(ChLaunch,MATCH(E3406,ChName,0))</f>
        <v/>
      </c>
      <c r="J3406">
        <f>INDEX(ChWeeksFull,MATCH(E3406,ChName,0))</f>
        <v/>
      </c>
      <c r="K3406">
        <f>INDEX(ChRamp,MATCH(E3406,ChName,0))</f>
        <v/>
      </c>
      <c r="L3406" s="45">
        <f>MIN(1,MAX(0,(A3406-I3406+1)*RampSpeed/J3406))</f>
        <v/>
      </c>
      <c r="M3406" s="45">
        <f>IF(A3406&lt;I3406,0,IF(K3406="S-curve",L3406*L3406*(3-2*L3406),L3406))</f>
        <v/>
      </c>
      <c r="N3406" s="45">
        <f>1+(INDEX(SeasonIdx,A3406)-1)*SeasonAmp</f>
        <v/>
      </c>
      <c r="O3406" s="45">
        <f>IFERROR(INDEX(PSPct,MATCH(E3406&amp;"|"&amp;G3406,PSKey,0)),0)</f>
        <v/>
      </c>
      <c r="P3406" s="46" t="n">
        <v>0</v>
      </c>
      <c r="Q3406" s="46">
        <f>INDEX(OnlineUnitsCol,A3406)*O3406*(1+OnlineGrowth)*N3406*H3406*IF(A3406&gt;=I3406,1,0)</f>
        <v/>
      </c>
      <c r="R3406" s="46">
        <f>Q3406*INDEX(FmtCansPerPack,MATCH(F3406,FmtName,0))/INDEX(FmtCansPerCase,MATCH(F3406,FmtName,0))</f>
        <v/>
      </c>
      <c r="S3406" s="46">
        <f>R3406*INDEX(FmtCansPerCase,MATCH(F3406,FmtName,0))</f>
        <v/>
      </c>
      <c r="T3406" s="46">
        <f>S3406/INDEX(FmtCansPerPack,MATCH(F3406,FmtName,0))</f>
        <v/>
      </c>
      <c r="U3406" s="47">
        <f>INDEX(ProvOnline,MATCH(G3406,ProvCode,0))*(1+PriceIndex)</f>
        <v/>
      </c>
      <c r="V3406" s="47">
        <f>Q3406*U3406*INDEX(FmtBlendedPriceIdx,MATCH(F3406,FmtName,0))</f>
        <v/>
      </c>
      <c r="W3406" s="47">
        <f>V3406</f>
        <v/>
      </c>
      <c r="X3406" s="47">
        <f>IF(GrossBasis="Wholesale",V3406,W3406)</f>
        <v/>
      </c>
      <c r="Y3406" s="47">
        <f>R3406*INDEX(FmtBlendedCogs,MATCH(F3406,FmtName,0))</f>
        <v/>
      </c>
      <c r="Z3406" s="47">
        <f>X3406-Y3406</f>
        <v/>
      </c>
    </row>
    <row r="3407">
      <c r="A3407" t="n">
        <v>14</v>
      </c>
      <c r="B3407" s="44">
        <f>FiscalStart+(A3407-1)*7</f>
        <v/>
      </c>
      <c r="C3407">
        <f>TEXT(B3407,"mmm yyyy")</f>
        <v/>
      </c>
      <c r="D3407">
        <f>"Q"&amp;(INT((A3407-1)/13)+1)</f>
        <v/>
      </c>
      <c r="E3407" t="inlineStr">
        <is>
          <t>Online</t>
        </is>
      </c>
      <c r="F3407">
        <f>IFERROR(INDEX(ChFormat,MATCH(E3407,ChName,0)),"")</f>
        <v/>
      </c>
      <c r="G3407" t="inlineStr">
        <is>
          <t>ON</t>
        </is>
      </c>
      <c r="H3407">
        <f>IF(A3407&lt;=NWeeks,1,0)</f>
        <v/>
      </c>
      <c r="I3407">
        <f>INDEX(ChLaunch,MATCH(E3407,ChName,0))</f>
        <v/>
      </c>
      <c r="J3407">
        <f>INDEX(ChWeeksFull,MATCH(E3407,ChName,0))</f>
        <v/>
      </c>
      <c r="K3407">
        <f>INDEX(ChRamp,MATCH(E3407,ChName,0))</f>
        <v/>
      </c>
      <c r="L3407" s="45">
        <f>MIN(1,MAX(0,(A3407-I3407+1)*RampSpeed/J3407))</f>
        <v/>
      </c>
      <c r="M3407" s="45">
        <f>IF(A3407&lt;I3407,0,IF(K3407="S-curve",L3407*L3407*(3-2*L3407),L3407))</f>
        <v/>
      </c>
      <c r="N3407" s="45">
        <f>1+(INDEX(SeasonIdx,A3407)-1)*SeasonAmp</f>
        <v/>
      </c>
      <c r="O3407" s="45">
        <f>IFERROR(INDEX(PSPct,MATCH(E3407&amp;"|"&amp;G3407,PSKey,0)),0)</f>
        <v/>
      </c>
      <c r="P3407" s="46" t="n">
        <v>0</v>
      </c>
      <c r="Q3407" s="46">
        <f>INDEX(OnlineUnitsCol,A3407)*O3407*(1+OnlineGrowth)*N3407*H3407*IF(A3407&gt;=I3407,1,0)</f>
        <v/>
      </c>
      <c r="R3407" s="46">
        <f>Q3407*INDEX(FmtCansPerPack,MATCH(F3407,FmtName,0))/INDEX(FmtCansPerCase,MATCH(F3407,FmtName,0))</f>
        <v/>
      </c>
      <c r="S3407" s="46">
        <f>R3407*INDEX(FmtCansPerCase,MATCH(F3407,FmtName,0))</f>
        <v/>
      </c>
      <c r="T3407" s="46">
        <f>S3407/INDEX(FmtCansPerPack,MATCH(F3407,FmtName,0))</f>
        <v/>
      </c>
      <c r="U3407" s="47">
        <f>INDEX(ProvOnline,MATCH(G3407,ProvCode,0))*(1+PriceIndex)</f>
        <v/>
      </c>
      <c r="V3407" s="47">
        <f>Q3407*U3407*INDEX(FmtBlendedPriceIdx,MATCH(F3407,FmtName,0))</f>
        <v/>
      </c>
      <c r="W3407" s="47">
        <f>V3407</f>
        <v/>
      </c>
      <c r="X3407" s="47">
        <f>IF(GrossBasis="Wholesale",V3407,W3407)</f>
        <v/>
      </c>
      <c r="Y3407" s="47">
        <f>R3407*INDEX(FmtBlendedCogs,MATCH(F3407,FmtName,0))</f>
        <v/>
      </c>
      <c r="Z3407" s="47">
        <f>X3407-Y3407</f>
        <v/>
      </c>
    </row>
    <row r="3408">
      <c r="A3408" t="n">
        <v>15</v>
      </c>
      <c r="B3408" s="44">
        <f>FiscalStart+(A3408-1)*7</f>
        <v/>
      </c>
      <c r="C3408">
        <f>TEXT(B3408,"mmm yyyy")</f>
        <v/>
      </c>
      <c r="D3408">
        <f>"Q"&amp;(INT((A3408-1)/13)+1)</f>
        <v/>
      </c>
      <c r="E3408" t="inlineStr">
        <is>
          <t>Online</t>
        </is>
      </c>
      <c r="F3408">
        <f>IFERROR(INDEX(ChFormat,MATCH(E3408,ChName,0)),"")</f>
        <v/>
      </c>
      <c r="G3408" t="inlineStr">
        <is>
          <t>ON</t>
        </is>
      </c>
      <c r="H3408">
        <f>IF(A3408&lt;=NWeeks,1,0)</f>
        <v/>
      </c>
      <c r="I3408">
        <f>INDEX(ChLaunch,MATCH(E3408,ChName,0))</f>
        <v/>
      </c>
      <c r="J3408">
        <f>INDEX(ChWeeksFull,MATCH(E3408,ChName,0))</f>
        <v/>
      </c>
      <c r="K3408">
        <f>INDEX(ChRamp,MATCH(E3408,ChName,0))</f>
        <v/>
      </c>
      <c r="L3408" s="45">
        <f>MIN(1,MAX(0,(A3408-I3408+1)*RampSpeed/J3408))</f>
        <v/>
      </c>
      <c r="M3408" s="45">
        <f>IF(A3408&lt;I3408,0,IF(K3408="S-curve",L3408*L3408*(3-2*L3408),L3408))</f>
        <v/>
      </c>
      <c r="N3408" s="45">
        <f>1+(INDEX(SeasonIdx,A3408)-1)*SeasonAmp</f>
        <v/>
      </c>
      <c r="O3408" s="45">
        <f>IFERROR(INDEX(PSPct,MATCH(E3408&amp;"|"&amp;G3408,PSKey,0)),0)</f>
        <v/>
      </c>
      <c r="P3408" s="46" t="n">
        <v>0</v>
      </c>
      <c r="Q3408" s="46">
        <f>INDEX(OnlineUnitsCol,A3408)*O3408*(1+OnlineGrowth)*N3408*H3408*IF(A3408&gt;=I3408,1,0)</f>
        <v/>
      </c>
      <c r="R3408" s="46">
        <f>Q3408*INDEX(FmtCansPerPack,MATCH(F3408,FmtName,0))/INDEX(FmtCansPerCase,MATCH(F3408,FmtName,0))</f>
        <v/>
      </c>
      <c r="S3408" s="46">
        <f>R3408*INDEX(FmtCansPerCase,MATCH(F3408,FmtName,0))</f>
        <v/>
      </c>
      <c r="T3408" s="46">
        <f>S3408/INDEX(FmtCansPerPack,MATCH(F3408,FmtName,0))</f>
        <v/>
      </c>
      <c r="U3408" s="47">
        <f>INDEX(ProvOnline,MATCH(G3408,ProvCode,0))*(1+PriceIndex)</f>
        <v/>
      </c>
      <c r="V3408" s="47">
        <f>Q3408*U3408*INDEX(FmtBlendedPriceIdx,MATCH(F3408,FmtName,0))</f>
        <v/>
      </c>
      <c r="W3408" s="47">
        <f>V3408</f>
        <v/>
      </c>
      <c r="X3408" s="47">
        <f>IF(GrossBasis="Wholesale",V3408,W3408)</f>
        <v/>
      </c>
      <c r="Y3408" s="47">
        <f>R3408*INDEX(FmtBlendedCogs,MATCH(F3408,FmtName,0))</f>
        <v/>
      </c>
      <c r="Z3408" s="47">
        <f>X3408-Y3408</f>
        <v/>
      </c>
    </row>
    <row r="3409">
      <c r="A3409" t="n">
        <v>16</v>
      </c>
      <c r="B3409" s="44">
        <f>FiscalStart+(A3409-1)*7</f>
        <v/>
      </c>
      <c r="C3409">
        <f>TEXT(B3409,"mmm yyyy")</f>
        <v/>
      </c>
      <c r="D3409">
        <f>"Q"&amp;(INT((A3409-1)/13)+1)</f>
        <v/>
      </c>
      <c r="E3409" t="inlineStr">
        <is>
          <t>Online</t>
        </is>
      </c>
      <c r="F3409">
        <f>IFERROR(INDEX(ChFormat,MATCH(E3409,ChName,0)),"")</f>
        <v/>
      </c>
      <c r="G3409" t="inlineStr">
        <is>
          <t>ON</t>
        </is>
      </c>
      <c r="H3409">
        <f>IF(A3409&lt;=NWeeks,1,0)</f>
        <v/>
      </c>
      <c r="I3409">
        <f>INDEX(ChLaunch,MATCH(E3409,ChName,0))</f>
        <v/>
      </c>
      <c r="J3409">
        <f>INDEX(ChWeeksFull,MATCH(E3409,ChName,0))</f>
        <v/>
      </c>
      <c r="K3409">
        <f>INDEX(ChRamp,MATCH(E3409,ChName,0))</f>
        <v/>
      </c>
      <c r="L3409" s="45">
        <f>MIN(1,MAX(0,(A3409-I3409+1)*RampSpeed/J3409))</f>
        <v/>
      </c>
      <c r="M3409" s="45">
        <f>IF(A3409&lt;I3409,0,IF(K3409="S-curve",L3409*L3409*(3-2*L3409),L3409))</f>
        <v/>
      </c>
      <c r="N3409" s="45">
        <f>1+(INDEX(SeasonIdx,A3409)-1)*SeasonAmp</f>
        <v/>
      </c>
      <c r="O3409" s="45">
        <f>IFERROR(INDEX(PSPct,MATCH(E3409&amp;"|"&amp;G3409,PSKey,0)),0)</f>
        <v/>
      </c>
      <c r="P3409" s="46" t="n">
        <v>0</v>
      </c>
      <c r="Q3409" s="46">
        <f>INDEX(OnlineUnitsCol,A3409)*O3409*(1+OnlineGrowth)*N3409*H3409*IF(A3409&gt;=I3409,1,0)</f>
        <v/>
      </c>
      <c r="R3409" s="46">
        <f>Q3409*INDEX(FmtCansPerPack,MATCH(F3409,FmtName,0))/INDEX(FmtCansPerCase,MATCH(F3409,FmtName,0))</f>
        <v/>
      </c>
      <c r="S3409" s="46">
        <f>R3409*INDEX(FmtCansPerCase,MATCH(F3409,FmtName,0))</f>
        <v/>
      </c>
      <c r="T3409" s="46">
        <f>S3409/INDEX(FmtCansPerPack,MATCH(F3409,FmtName,0))</f>
        <v/>
      </c>
      <c r="U3409" s="47">
        <f>INDEX(ProvOnline,MATCH(G3409,ProvCode,0))*(1+PriceIndex)</f>
        <v/>
      </c>
      <c r="V3409" s="47">
        <f>Q3409*U3409*INDEX(FmtBlendedPriceIdx,MATCH(F3409,FmtName,0))</f>
        <v/>
      </c>
      <c r="W3409" s="47">
        <f>V3409</f>
        <v/>
      </c>
      <c r="X3409" s="47">
        <f>IF(GrossBasis="Wholesale",V3409,W3409)</f>
        <v/>
      </c>
      <c r="Y3409" s="47">
        <f>R3409*INDEX(FmtBlendedCogs,MATCH(F3409,FmtName,0))</f>
        <v/>
      </c>
      <c r="Z3409" s="47">
        <f>X3409-Y3409</f>
        <v/>
      </c>
    </row>
    <row r="3410">
      <c r="A3410" t="n">
        <v>17</v>
      </c>
      <c r="B3410" s="44">
        <f>FiscalStart+(A3410-1)*7</f>
        <v/>
      </c>
      <c r="C3410">
        <f>TEXT(B3410,"mmm yyyy")</f>
        <v/>
      </c>
      <c r="D3410">
        <f>"Q"&amp;(INT((A3410-1)/13)+1)</f>
        <v/>
      </c>
      <c r="E3410" t="inlineStr">
        <is>
          <t>Online</t>
        </is>
      </c>
      <c r="F3410">
        <f>IFERROR(INDEX(ChFormat,MATCH(E3410,ChName,0)),"")</f>
        <v/>
      </c>
      <c r="G3410" t="inlineStr">
        <is>
          <t>ON</t>
        </is>
      </c>
      <c r="H3410">
        <f>IF(A3410&lt;=NWeeks,1,0)</f>
        <v/>
      </c>
      <c r="I3410">
        <f>INDEX(ChLaunch,MATCH(E3410,ChName,0))</f>
        <v/>
      </c>
      <c r="J3410">
        <f>INDEX(ChWeeksFull,MATCH(E3410,ChName,0))</f>
        <v/>
      </c>
      <c r="K3410">
        <f>INDEX(ChRamp,MATCH(E3410,ChName,0))</f>
        <v/>
      </c>
      <c r="L3410" s="45">
        <f>MIN(1,MAX(0,(A3410-I3410+1)*RampSpeed/J3410))</f>
        <v/>
      </c>
      <c r="M3410" s="45">
        <f>IF(A3410&lt;I3410,0,IF(K3410="S-curve",L3410*L3410*(3-2*L3410),L3410))</f>
        <v/>
      </c>
      <c r="N3410" s="45">
        <f>1+(INDEX(SeasonIdx,A3410)-1)*SeasonAmp</f>
        <v/>
      </c>
      <c r="O3410" s="45">
        <f>IFERROR(INDEX(PSPct,MATCH(E3410&amp;"|"&amp;G3410,PSKey,0)),0)</f>
        <v/>
      </c>
      <c r="P3410" s="46" t="n">
        <v>0</v>
      </c>
      <c r="Q3410" s="46">
        <f>INDEX(OnlineUnitsCol,A3410)*O3410*(1+OnlineGrowth)*N3410*H3410*IF(A3410&gt;=I3410,1,0)</f>
        <v/>
      </c>
      <c r="R3410" s="46">
        <f>Q3410*INDEX(FmtCansPerPack,MATCH(F3410,FmtName,0))/INDEX(FmtCansPerCase,MATCH(F3410,FmtName,0))</f>
        <v/>
      </c>
      <c r="S3410" s="46">
        <f>R3410*INDEX(FmtCansPerCase,MATCH(F3410,FmtName,0))</f>
        <v/>
      </c>
      <c r="T3410" s="46">
        <f>S3410/INDEX(FmtCansPerPack,MATCH(F3410,FmtName,0))</f>
        <v/>
      </c>
      <c r="U3410" s="47">
        <f>INDEX(ProvOnline,MATCH(G3410,ProvCode,0))*(1+PriceIndex)</f>
        <v/>
      </c>
      <c r="V3410" s="47">
        <f>Q3410*U3410*INDEX(FmtBlendedPriceIdx,MATCH(F3410,FmtName,0))</f>
        <v/>
      </c>
      <c r="W3410" s="47">
        <f>V3410</f>
        <v/>
      </c>
      <c r="X3410" s="47">
        <f>IF(GrossBasis="Wholesale",V3410,W3410)</f>
        <v/>
      </c>
      <c r="Y3410" s="47">
        <f>R3410*INDEX(FmtBlendedCogs,MATCH(F3410,FmtName,0))</f>
        <v/>
      </c>
      <c r="Z3410" s="47">
        <f>X3410-Y3410</f>
        <v/>
      </c>
    </row>
    <row r="3411">
      <c r="A3411" t="n">
        <v>18</v>
      </c>
      <c r="B3411" s="44">
        <f>FiscalStart+(A3411-1)*7</f>
        <v/>
      </c>
      <c r="C3411">
        <f>TEXT(B3411,"mmm yyyy")</f>
        <v/>
      </c>
      <c r="D3411">
        <f>"Q"&amp;(INT((A3411-1)/13)+1)</f>
        <v/>
      </c>
      <c r="E3411" t="inlineStr">
        <is>
          <t>Online</t>
        </is>
      </c>
      <c r="F3411">
        <f>IFERROR(INDEX(ChFormat,MATCH(E3411,ChName,0)),"")</f>
        <v/>
      </c>
      <c r="G3411" t="inlineStr">
        <is>
          <t>ON</t>
        </is>
      </c>
      <c r="H3411">
        <f>IF(A3411&lt;=NWeeks,1,0)</f>
        <v/>
      </c>
      <c r="I3411">
        <f>INDEX(ChLaunch,MATCH(E3411,ChName,0))</f>
        <v/>
      </c>
      <c r="J3411">
        <f>INDEX(ChWeeksFull,MATCH(E3411,ChName,0))</f>
        <v/>
      </c>
      <c r="K3411">
        <f>INDEX(ChRamp,MATCH(E3411,ChName,0))</f>
        <v/>
      </c>
      <c r="L3411" s="45">
        <f>MIN(1,MAX(0,(A3411-I3411+1)*RampSpeed/J3411))</f>
        <v/>
      </c>
      <c r="M3411" s="45">
        <f>IF(A3411&lt;I3411,0,IF(K3411="S-curve",L3411*L3411*(3-2*L3411),L3411))</f>
        <v/>
      </c>
      <c r="N3411" s="45">
        <f>1+(INDEX(SeasonIdx,A3411)-1)*SeasonAmp</f>
        <v/>
      </c>
      <c r="O3411" s="45">
        <f>IFERROR(INDEX(PSPct,MATCH(E3411&amp;"|"&amp;G3411,PSKey,0)),0)</f>
        <v/>
      </c>
      <c r="P3411" s="46" t="n">
        <v>0</v>
      </c>
      <c r="Q3411" s="46">
        <f>INDEX(OnlineUnitsCol,A3411)*O3411*(1+OnlineGrowth)*N3411*H3411*IF(A3411&gt;=I3411,1,0)</f>
        <v/>
      </c>
      <c r="R3411" s="46">
        <f>Q3411*INDEX(FmtCansPerPack,MATCH(F3411,FmtName,0))/INDEX(FmtCansPerCase,MATCH(F3411,FmtName,0))</f>
        <v/>
      </c>
      <c r="S3411" s="46">
        <f>R3411*INDEX(FmtCansPerCase,MATCH(F3411,FmtName,0))</f>
        <v/>
      </c>
      <c r="T3411" s="46">
        <f>S3411/INDEX(FmtCansPerPack,MATCH(F3411,FmtName,0))</f>
        <v/>
      </c>
      <c r="U3411" s="47">
        <f>INDEX(ProvOnline,MATCH(G3411,ProvCode,0))*(1+PriceIndex)</f>
        <v/>
      </c>
      <c r="V3411" s="47">
        <f>Q3411*U3411*INDEX(FmtBlendedPriceIdx,MATCH(F3411,FmtName,0))</f>
        <v/>
      </c>
      <c r="W3411" s="47">
        <f>V3411</f>
        <v/>
      </c>
      <c r="X3411" s="47">
        <f>IF(GrossBasis="Wholesale",V3411,W3411)</f>
        <v/>
      </c>
      <c r="Y3411" s="47">
        <f>R3411*INDEX(FmtBlendedCogs,MATCH(F3411,FmtName,0))</f>
        <v/>
      </c>
      <c r="Z3411" s="47">
        <f>X3411-Y3411</f>
        <v/>
      </c>
    </row>
    <row r="3412">
      <c r="A3412" t="n">
        <v>19</v>
      </c>
      <c r="B3412" s="44">
        <f>FiscalStart+(A3412-1)*7</f>
        <v/>
      </c>
      <c r="C3412">
        <f>TEXT(B3412,"mmm yyyy")</f>
        <v/>
      </c>
      <c r="D3412">
        <f>"Q"&amp;(INT((A3412-1)/13)+1)</f>
        <v/>
      </c>
      <c r="E3412" t="inlineStr">
        <is>
          <t>Online</t>
        </is>
      </c>
      <c r="F3412">
        <f>IFERROR(INDEX(ChFormat,MATCH(E3412,ChName,0)),"")</f>
        <v/>
      </c>
      <c r="G3412" t="inlineStr">
        <is>
          <t>ON</t>
        </is>
      </c>
      <c r="H3412">
        <f>IF(A3412&lt;=NWeeks,1,0)</f>
        <v/>
      </c>
      <c r="I3412">
        <f>INDEX(ChLaunch,MATCH(E3412,ChName,0))</f>
        <v/>
      </c>
      <c r="J3412">
        <f>INDEX(ChWeeksFull,MATCH(E3412,ChName,0))</f>
        <v/>
      </c>
      <c r="K3412">
        <f>INDEX(ChRamp,MATCH(E3412,ChName,0))</f>
        <v/>
      </c>
      <c r="L3412" s="45">
        <f>MIN(1,MAX(0,(A3412-I3412+1)*RampSpeed/J3412))</f>
        <v/>
      </c>
      <c r="M3412" s="45">
        <f>IF(A3412&lt;I3412,0,IF(K3412="S-curve",L3412*L3412*(3-2*L3412),L3412))</f>
        <v/>
      </c>
      <c r="N3412" s="45">
        <f>1+(INDEX(SeasonIdx,A3412)-1)*SeasonAmp</f>
        <v/>
      </c>
      <c r="O3412" s="45">
        <f>IFERROR(INDEX(PSPct,MATCH(E3412&amp;"|"&amp;G3412,PSKey,0)),0)</f>
        <v/>
      </c>
      <c r="P3412" s="46" t="n">
        <v>0</v>
      </c>
      <c r="Q3412" s="46">
        <f>INDEX(OnlineUnitsCol,A3412)*O3412*(1+OnlineGrowth)*N3412*H3412*IF(A3412&gt;=I3412,1,0)</f>
        <v/>
      </c>
      <c r="R3412" s="46">
        <f>Q3412*INDEX(FmtCansPerPack,MATCH(F3412,FmtName,0))/INDEX(FmtCansPerCase,MATCH(F3412,FmtName,0))</f>
        <v/>
      </c>
      <c r="S3412" s="46">
        <f>R3412*INDEX(FmtCansPerCase,MATCH(F3412,FmtName,0))</f>
        <v/>
      </c>
      <c r="T3412" s="46">
        <f>S3412/INDEX(FmtCansPerPack,MATCH(F3412,FmtName,0))</f>
        <v/>
      </c>
      <c r="U3412" s="47">
        <f>INDEX(ProvOnline,MATCH(G3412,ProvCode,0))*(1+PriceIndex)</f>
        <v/>
      </c>
      <c r="V3412" s="47">
        <f>Q3412*U3412*INDEX(FmtBlendedPriceIdx,MATCH(F3412,FmtName,0))</f>
        <v/>
      </c>
      <c r="W3412" s="47">
        <f>V3412</f>
        <v/>
      </c>
      <c r="X3412" s="47">
        <f>IF(GrossBasis="Wholesale",V3412,W3412)</f>
        <v/>
      </c>
      <c r="Y3412" s="47">
        <f>R3412*INDEX(FmtBlendedCogs,MATCH(F3412,FmtName,0))</f>
        <v/>
      </c>
      <c r="Z3412" s="47">
        <f>X3412-Y3412</f>
        <v/>
      </c>
    </row>
    <row r="3413">
      <c r="A3413" t="n">
        <v>20</v>
      </c>
      <c r="B3413" s="44">
        <f>FiscalStart+(A3413-1)*7</f>
        <v/>
      </c>
      <c r="C3413">
        <f>TEXT(B3413,"mmm yyyy")</f>
        <v/>
      </c>
      <c r="D3413">
        <f>"Q"&amp;(INT((A3413-1)/13)+1)</f>
        <v/>
      </c>
      <c r="E3413" t="inlineStr">
        <is>
          <t>Online</t>
        </is>
      </c>
      <c r="F3413">
        <f>IFERROR(INDEX(ChFormat,MATCH(E3413,ChName,0)),"")</f>
        <v/>
      </c>
      <c r="G3413" t="inlineStr">
        <is>
          <t>ON</t>
        </is>
      </c>
      <c r="H3413">
        <f>IF(A3413&lt;=NWeeks,1,0)</f>
        <v/>
      </c>
      <c r="I3413">
        <f>INDEX(ChLaunch,MATCH(E3413,ChName,0))</f>
        <v/>
      </c>
      <c r="J3413">
        <f>INDEX(ChWeeksFull,MATCH(E3413,ChName,0))</f>
        <v/>
      </c>
      <c r="K3413">
        <f>INDEX(ChRamp,MATCH(E3413,ChName,0))</f>
        <v/>
      </c>
      <c r="L3413" s="45">
        <f>MIN(1,MAX(0,(A3413-I3413+1)*RampSpeed/J3413))</f>
        <v/>
      </c>
      <c r="M3413" s="45">
        <f>IF(A3413&lt;I3413,0,IF(K3413="S-curve",L3413*L3413*(3-2*L3413),L3413))</f>
        <v/>
      </c>
      <c r="N3413" s="45">
        <f>1+(INDEX(SeasonIdx,A3413)-1)*SeasonAmp</f>
        <v/>
      </c>
      <c r="O3413" s="45">
        <f>IFERROR(INDEX(PSPct,MATCH(E3413&amp;"|"&amp;G3413,PSKey,0)),0)</f>
        <v/>
      </c>
      <c r="P3413" s="46" t="n">
        <v>0</v>
      </c>
      <c r="Q3413" s="46">
        <f>INDEX(OnlineUnitsCol,A3413)*O3413*(1+OnlineGrowth)*N3413*H3413*IF(A3413&gt;=I3413,1,0)</f>
        <v/>
      </c>
      <c r="R3413" s="46">
        <f>Q3413*INDEX(FmtCansPerPack,MATCH(F3413,FmtName,0))/INDEX(FmtCansPerCase,MATCH(F3413,FmtName,0))</f>
        <v/>
      </c>
      <c r="S3413" s="46">
        <f>R3413*INDEX(FmtCansPerCase,MATCH(F3413,FmtName,0))</f>
        <v/>
      </c>
      <c r="T3413" s="46">
        <f>S3413/INDEX(FmtCansPerPack,MATCH(F3413,FmtName,0))</f>
        <v/>
      </c>
      <c r="U3413" s="47">
        <f>INDEX(ProvOnline,MATCH(G3413,ProvCode,0))*(1+PriceIndex)</f>
        <v/>
      </c>
      <c r="V3413" s="47">
        <f>Q3413*U3413*INDEX(FmtBlendedPriceIdx,MATCH(F3413,FmtName,0))</f>
        <v/>
      </c>
      <c r="W3413" s="47">
        <f>V3413</f>
        <v/>
      </c>
      <c r="X3413" s="47">
        <f>IF(GrossBasis="Wholesale",V3413,W3413)</f>
        <v/>
      </c>
      <c r="Y3413" s="47">
        <f>R3413*INDEX(FmtBlendedCogs,MATCH(F3413,FmtName,0))</f>
        <v/>
      </c>
      <c r="Z3413" s="47">
        <f>X3413-Y3413</f>
        <v/>
      </c>
    </row>
    <row r="3414">
      <c r="A3414" t="n">
        <v>21</v>
      </c>
      <c r="B3414" s="44">
        <f>FiscalStart+(A3414-1)*7</f>
        <v/>
      </c>
      <c r="C3414">
        <f>TEXT(B3414,"mmm yyyy")</f>
        <v/>
      </c>
      <c r="D3414">
        <f>"Q"&amp;(INT((A3414-1)/13)+1)</f>
        <v/>
      </c>
      <c r="E3414" t="inlineStr">
        <is>
          <t>Online</t>
        </is>
      </c>
      <c r="F3414">
        <f>IFERROR(INDEX(ChFormat,MATCH(E3414,ChName,0)),"")</f>
        <v/>
      </c>
      <c r="G3414" t="inlineStr">
        <is>
          <t>ON</t>
        </is>
      </c>
      <c r="H3414">
        <f>IF(A3414&lt;=NWeeks,1,0)</f>
        <v/>
      </c>
      <c r="I3414">
        <f>INDEX(ChLaunch,MATCH(E3414,ChName,0))</f>
        <v/>
      </c>
      <c r="J3414">
        <f>INDEX(ChWeeksFull,MATCH(E3414,ChName,0))</f>
        <v/>
      </c>
      <c r="K3414">
        <f>INDEX(ChRamp,MATCH(E3414,ChName,0))</f>
        <v/>
      </c>
      <c r="L3414" s="45">
        <f>MIN(1,MAX(0,(A3414-I3414+1)*RampSpeed/J3414))</f>
        <v/>
      </c>
      <c r="M3414" s="45">
        <f>IF(A3414&lt;I3414,0,IF(K3414="S-curve",L3414*L3414*(3-2*L3414),L3414))</f>
        <v/>
      </c>
      <c r="N3414" s="45">
        <f>1+(INDEX(SeasonIdx,A3414)-1)*SeasonAmp</f>
        <v/>
      </c>
      <c r="O3414" s="45">
        <f>IFERROR(INDEX(PSPct,MATCH(E3414&amp;"|"&amp;G3414,PSKey,0)),0)</f>
        <v/>
      </c>
      <c r="P3414" s="46" t="n">
        <v>0</v>
      </c>
      <c r="Q3414" s="46">
        <f>INDEX(OnlineUnitsCol,A3414)*O3414*(1+OnlineGrowth)*N3414*H3414*IF(A3414&gt;=I3414,1,0)</f>
        <v/>
      </c>
      <c r="R3414" s="46">
        <f>Q3414*INDEX(FmtCansPerPack,MATCH(F3414,FmtName,0))/INDEX(FmtCansPerCase,MATCH(F3414,FmtName,0))</f>
        <v/>
      </c>
      <c r="S3414" s="46">
        <f>R3414*INDEX(FmtCansPerCase,MATCH(F3414,FmtName,0))</f>
        <v/>
      </c>
      <c r="T3414" s="46">
        <f>S3414/INDEX(FmtCansPerPack,MATCH(F3414,FmtName,0))</f>
        <v/>
      </c>
      <c r="U3414" s="47">
        <f>INDEX(ProvOnline,MATCH(G3414,ProvCode,0))*(1+PriceIndex)</f>
        <v/>
      </c>
      <c r="V3414" s="47">
        <f>Q3414*U3414*INDEX(FmtBlendedPriceIdx,MATCH(F3414,FmtName,0))</f>
        <v/>
      </c>
      <c r="W3414" s="47">
        <f>V3414</f>
        <v/>
      </c>
      <c r="X3414" s="47">
        <f>IF(GrossBasis="Wholesale",V3414,W3414)</f>
        <v/>
      </c>
      <c r="Y3414" s="47">
        <f>R3414*INDEX(FmtBlendedCogs,MATCH(F3414,FmtName,0))</f>
        <v/>
      </c>
      <c r="Z3414" s="47">
        <f>X3414-Y3414</f>
        <v/>
      </c>
    </row>
    <row r="3415">
      <c r="A3415" t="n">
        <v>22</v>
      </c>
      <c r="B3415" s="44">
        <f>FiscalStart+(A3415-1)*7</f>
        <v/>
      </c>
      <c r="C3415">
        <f>TEXT(B3415,"mmm yyyy")</f>
        <v/>
      </c>
      <c r="D3415">
        <f>"Q"&amp;(INT((A3415-1)/13)+1)</f>
        <v/>
      </c>
      <c r="E3415" t="inlineStr">
        <is>
          <t>Online</t>
        </is>
      </c>
      <c r="F3415">
        <f>IFERROR(INDEX(ChFormat,MATCH(E3415,ChName,0)),"")</f>
        <v/>
      </c>
      <c r="G3415" t="inlineStr">
        <is>
          <t>ON</t>
        </is>
      </c>
      <c r="H3415">
        <f>IF(A3415&lt;=NWeeks,1,0)</f>
        <v/>
      </c>
      <c r="I3415">
        <f>INDEX(ChLaunch,MATCH(E3415,ChName,0))</f>
        <v/>
      </c>
      <c r="J3415">
        <f>INDEX(ChWeeksFull,MATCH(E3415,ChName,0))</f>
        <v/>
      </c>
      <c r="K3415">
        <f>INDEX(ChRamp,MATCH(E3415,ChName,0))</f>
        <v/>
      </c>
      <c r="L3415" s="45">
        <f>MIN(1,MAX(0,(A3415-I3415+1)*RampSpeed/J3415))</f>
        <v/>
      </c>
      <c r="M3415" s="45">
        <f>IF(A3415&lt;I3415,0,IF(K3415="S-curve",L3415*L3415*(3-2*L3415),L3415))</f>
        <v/>
      </c>
      <c r="N3415" s="45">
        <f>1+(INDEX(SeasonIdx,A3415)-1)*SeasonAmp</f>
        <v/>
      </c>
      <c r="O3415" s="45">
        <f>IFERROR(INDEX(PSPct,MATCH(E3415&amp;"|"&amp;G3415,PSKey,0)),0)</f>
        <v/>
      </c>
      <c r="P3415" s="46" t="n">
        <v>0</v>
      </c>
      <c r="Q3415" s="46">
        <f>INDEX(OnlineUnitsCol,A3415)*O3415*(1+OnlineGrowth)*N3415*H3415*IF(A3415&gt;=I3415,1,0)</f>
        <v/>
      </c>
      <c r="R3415" s="46">
        <f>Q3415*INDEX(FmtCansPerPack,MATCH(F3415,FmtName,0))/INDEX(FmtCansPerCase,MATCH(F3415,FmtName,0))</f>
        <v/>
      </c>
      <c r="S3415" s="46">
        <f>R3415*INDEX(FmtCansPerCase,MATCH(F3415,FmtName,0))</f>
        <v/>
      </c>
      <c r="T3415" s="46">
        <f>S3415/INDEX(FmtCansPerPack,MATCH(F3415,FmtName,0))</f>
        <v/>
      </c>
      <c r="U3415" s="47">
        <f>INDEX(ProvOnline,MATCH(G3415,ProvCode,0))*(1+PriceIndex)</f>
        <v/>
      </c>
      <c r="V3415" s="47">
        <f>Q3415*U3415*INDEX(FmtBlendedPriceIdx,MATCH(F3415,FmtName,0))</f>
        <v/>
      </c>
      <c r="W3415" s="47">
        <f>V3415</f>
        <v/>
      </c>
      <c r="X3415" s="47">
        <f>IF(GrossBasis="Wholesale",V3415,W3415)</f>
        <v/>
      </c>
      <c r="Y3415" s="47">
        <f>R3415*INDEX(FmtBlendedCogs,MATCH(F3415,FmtName,0))</f>
        <v/>
      </c>
      <c r="Z3415" s="47">
        <f>X3415-Y3415</f>
        <v/>
      </c>
    </row>
    <row r="3416">
      <c r="A3416" t="n">
        <v>23</v>
      </c>
      <c r="B3416" s="44">
        <f>FiscalStart+(A3416-1)*7</f>
        <v/>
      </c>
      <c r="C3416">
        <f>TEXT(B3416,"mmm yyyy")</f>
        <v/>
      </c>
      <c r="D3416">
        <f>"Q"&amp;(INT((A3416-1)/13)+1)</f>
        <v/>
      </c>
      <c r="E3416" t="inlineStr">
        <is>
          <t>Online</t>
        </is>
      </c>
      <c r="F3416">
        <f>IFERROR(INDEX(ChFormat,MATCH(E3416,ChName,0)),"")</f>
        <v/>
      </c>
      <c r="G3416" t="inlineStr">
        <is>
          <t>ON</t>
        </is>
      </c>
      <c r="H3416">
        <f>IF(A3416&lt;=NWeeks,1,0)</f>
        <v/>
      </c>
      <c r="I3416">
        <f>INDEX(ChLaunch,MATCH(E3416,ChName,0))</f>
        <v/>
      </c>
      <c r="J3416">
        <f>INDEX(ChWeeksFull,MATCH(E3416,ChName,0))</f>
        <v/>
      </c>
      <c r="K3416">
        <f>INDEX(ChRamp,MATCH(E3416,ChName,0))</f>
        <v/>
      </c>
      <c r="L3416" s="45">
        <f>MIN(1,MAX(0,(A3416-I3416+1)*RampSpeed/J3416))</f>
        <v/>
      </c>
      <c r="M3416" s="45">
        <f>IF(A3416&lt;I3416,0,IF(K3416="S-curve",L3416*L3416*(3-2*L3416),L3416))</f>
        <v/>
      </c>
      <c r="N3416" s="45">
        <f>1+(INDEX(SeasonIdx,A3416)-1)*SeasonAmp</f>
        <v/>
      </c>
      <c r="O3416" s="45">
        <f>IFERROR(INDEX(PSPct,MATCH(E3416&amp;"|"&amp;G3416,PSKey,0)),0)</f>
        <v/>
      </c>
      <c r="P3416" s="46" t="n">
        <v>0</v>
      </c>
      <c r="Q3416" s="46">
        <f>INDEX(OnlineUnitsCol,A3416)*O3416*(1+OnlineGrowth)*N3416*H3416*IF(A3416&gt;=I3416,1,0)</f>
        <v/>
      </c>
      <c r="R3416" s="46">
        <f>Q3416*INDEX(FmtCansPerPack,MATCH(F3416,FmtName,0))/INDEX(FmtCansPerCase,MATCH(F3416,FmtName,0))</f>
        <v/>
      </c>
      <c r="S3416" s="46">
        <f>R3416*INDEX(FmtCansPerCase,MATCH(F3416,FmtName,0))</f>
        <v/>
      </c>
      <c r="T3416" s="46">
        <f>S3416/INDEX(FmtCansPerPack,MATCH(F3416,FmtName,0))</f>
        <v/>
      </c>
      <c r="U3416" s="47">
        <f>INDEX(ProvOnline,MATCH(G3416,ProvCode,0))*(1+PriceIndex)</f>
        <v/>
      </c>
      <c r="V3416" s="47">
        <f>Q3416*U3416*INDEX(FmtBlendedPriceIdx,MATCH(F3416,FmtName,0))</f>
        <v/>
      </c>
      <c r="W3416" s="47">
        <f>V3416</f>
        <v/>
      </c>
      <c r="X3416" s="47">
        <f>IF(GrossBasis="Wholesale",V3416,W3416)</f>
        <v/>
      </c>
      <c r="Y3416" s="47">
        <f>R3416*INDEX(FmtBlendedCogs,MATCH(F3416,FmtName,0))</f>
        <v/>
      </c>
      <c r="Z3416" s="47">
        <f>X3416-Y3416</f>
        <v/>
      </c>
    </row>
    <row r="3417">
      <c r="A3417" t="n">
        <v>24</v>
      </c>
      <c r="B3417" s="44">
        <f>FiscalStart+(A3417-1)*7</f>
        <v/>
      </c>
      <c r="C3417">
        <f>TEXT(B3417,"mmm yyyy")</f>
        <v/>
      </c>
      <c r="D3417">
        <f>"Q"&amp;(INT((A3417-1)/13)+1)</f>
        <v/>
      </c>
      <c r="E3417" t="inlineStr">
        <is>
          <t>Online</t>
        </is>
      </c>
      <c r="F3417">
        <f>IFERROR(INDEX(ChFormat,MATCH(E3417,ChName,0)),"")</f>
        <v/>
      </c>
      <c r="G3417" t="inlineStr">
        <is>
          <t>ON</t>
        </is>
      </c>
      <c r="H3417">
        <f>IF(A3417&lt;=NWeeks,1,0)</f>
        <v/>
      </c>
      <c r="I3417">
        <f>INDEX(ChLaunch,MATCH(E3417,ChName,0))</f>
        <v/>
      </c>
      <c r="J3417">
        <f>INDEX(ChWeeksFull,MATCH(E3417,ChName,0))</f>
        <v/>
      </c>
      <c r="K3417">
        <f>INDEX(ChRamp,MATCH(E3417,ChName,0))</f>
        <v/>
      </c>
      <c r="L3417" s="45">
        <f>MIN(1,MAX(0,(A3417-I3417+1)*RampSpeed/J3417))</f>
        <v/>
      </c>
      <c r="M3417" s="45">
        <f>IF(A3417&lt;I3417,0,IF(K3417="S-curve",L3417*L3417*(3-2*L3417),L3417))</f>
        <v/>
      </c>
      <c r="N3417" s="45">
        <f>1+(INDEX(SeasonIdx,A3417)-1)*SeasonAmp</f>
        <v/>
      </c>
      <c r="O3417" s="45">
        <f>IFERROR(INDEX(PSPct,MATCH(E3417&amp;"|"&amp;G3417,PSKey,0)),0)</f>
        <v/>
      </c>
      <c r="P3417" s="46" t="n">
        <v>0</v>
      </c>
      <c r="Q3417" s="46">
        <f>INDEX(OnlineUnitsCol,A3417)*O3417*(1+OnlineGrowth)*N3417*H3417*IF(A3417&gt;=I3417,1,0)</f>
        <v/>
      </c>
      <c r="R3417" s="46">
        <f>Q3417*INDEX(FmtCansPerPack,MATCH(F3417,FmtName,0))/INDEX(FmtCansPerCase,MATCH(F3417,FmtName,0))</f>
        <v/>
      </c>
      <c r="S3417" s="46">
        <f>R3417*INDEX(FmtCansPerCase,MATCH(F3417,FmtName,0))</f>
        <v/>
      </c>
      <c r="T3417" s="46">
        <f>S3417/INDEX(FmtCansPerPack,MATCH(F3417,FmtName,0))</f>
        <v/>
      </c>
      <c r="U3417" s="47">
        <f>INDEX(ProvOnline,MATCH(G3417,ProvCode,0))*(1+PriceIndex)</f>
        <v/>
      </c>
      <c r="V3417" s="47">
        <f>Q3417*U3417*INDEX(FmtBlendedPriceIdx,MATCH(F3417,FmtName,0))</f>
        <v/>
      </c>
      <c r="W3417" s="47">
        <f>V3417</f>
        <v/>
      </c>
      <c r="X3417" s="47">
        <f>IF(GrossBasis="Wholesale",V3417,W3417)</f>
        <v/>
      </c>
      <c r="Y3417" s="47">
        <f>R3417*INDEX(FmtBlendedCogs,MATCH(F3417,FmtName,0))</f>
        <v/>
      </c>
      <c r="Z3417" s="47">
        <f>X3417-Y3417</f>
        <v/>
      </c>
    </row>
    <row r="3418">
      <c r="A3418" t="n">
        <v>25</v>
      </c>
      <c r="B3418" s="44">
        <f>FiscalStart+(A3418-1)*7</f>
        <v/>
      </c>
      <c r="C3418">
        <f>TEXT(B3418,"mmm yyyy")</f>
        <v/>
      </c>
      <c r="D3418">
        <f>"Q"&amp;(INT((A3418-1)/13)+1)</f>
        <v/>
      </c>
      <c r="E3418" t="inlineStr">
        <is>
          <t>Online</t>
        </is>
      </c>
      <c r="F3418">
        <f>IFERROR(INDEX(ChFormat,MATCH(E3418,ChName,0)),"")</f>
        <v/>
      </c>
      <c r="G3418" t="inlineStr">
        <is>
          <t>ON</t>
        </is>
      </c>
      <c r="H3418">
        <f>IF(A3418&lt;=NWeeks,1,0)</f>
        <v/>
      </c>
      <c r="I3418">
        <f>INDEX(ChLaunch,MATCH(E3418,ChName,0))</f>
        <v/>
      </c>
      <c r="J3418">
        <f>INDEX(ChWeeksFull,MATCH(E3418,ChName,0))</f>
        <v/>
      </c>
      <c r="K3418">
        <f>INDEX(ChRamp,MATCH(E3418,ChName,0))</f>
        <v/>
      </c>
      <c r="L3418" s="45">
        <f>MIN(1,MAX(0,(A3418-I3418+1)*RampSpeed/J3418))</f>
        <v/>
      </c>
      <c r="M3418" s="45">
        <f>IF(A3418&lt;I3418,0,IF(K3418="S-curve",L3418*L3418*(3-2*L3418),L3418))</f>
        <v/>
      </c>
      <c r="N3418" s="45">
        <f>1+(INDEX(SeasonIdx,A3418)-1)*SeasonAmp</f>
        <v/>
      </c>
      <c r="O3418" s="45">
        <f>IFERROR(INDEX(PSPct,MATCH(E3418&amp;"|"&amp;G3418,PSKey,0)),0)</f>
        <v/>
      </c>
      <c r="P3418" s="46" t="n">
        <v>0</v>
      </c>
      <c r="Q3418" s="46">
        <f>INDEX(OnlineUnitsCol,A3418)*O3418*(1+OnlineGrowth)*N3418*H3418*IF(A3418&gt;=I3418,1,0)</f>
        <v/>
      </c>
      <c r="R3418" s="46">
        <f>Q3418*INDEX(FmtCansPerPack,MATCH(F3418,FmtName,0))/INDEX(FmtCansPerCase,MATCH(F3418,FmtName,0))</f>
        <v/>
      </c>
      <c r="S3418" s="46">
        <f>R3418*INDEX(FmtCansPerCase,MATCH(F3418,FmtName,0))</f>
        <v/>
      </c>
      <c r="T3418" s="46">
        <f>S3418/INDEX(FmtCansPerPack,MATCH(F3418,FmtName,0))</f>
        <v/>
      </c>
      <c r="U3418" s="47">
        <f>INDEX(ProvOnline,MATCH(G3418,ProvCode,0))*(1+PriceIndex)</f>
        <v/>
      </c>
      <c r="V3418" s="47">
        <f>Q3418*U3418*INDEX(FmtBlendedPriceIdx,MATCH(F3418,FmtName,0))</f>
        <v/>
      </c>
      <c r="W3418" s="47">
        <f>V3418</f>
        <v/>
      </c>
      <c r="X3418" s="47">
        <f>IF(GrossBasis="Wholesale",V3418,W3418)</f>
        <v/>
      </c>
      <c r="Y3418" s="47">
        <f>R3418*INDEX(FmtBlendedCogs,MATCH(F3418,FmtName,0))</f>
        <v/>
      </c>
      <c r="Z3418" s="47">
        <f>X3418-Y3418</f>
        <v/>
      </c>
    </row>
    <row r="3419">
      <c r="A3419" t="n">
        <v>26</v>
      </c>
      <c r="B3419" s="44">
        <f>FiscalStart+(A3419-1)*7</f>
        <v/>
      </c>
      <c r="C3419">
        <f>TEXT(B3419,"mmm yyyy")</f>
        <v/>
      </c>
      <c r="D3419">
        <f>"Q"&amp;(INT((A3419-1)/13)+1)</f>
        <v/>
      </c>
      <c r="E3419" t="inlineStr">
        <is>
          <t>Online</t>
        </is>
      </c>
      <c r="F3419">
        <f>IFERROR(INDEX(ChFormat,MATCH(E3419,ChName,0)),"")</f>
        <v/>
      </c>
      <c r="G3419" t="inlineStr">
        <is>
          <t>ON</t>
        </is>
      </c>
      <c r="H3419">
        <f>IF(A3419&lt;=NWeeks,1,0)</f>
        <v/>
      </c>
      <c r="I3419">
        <f>INDEX(ChLaunch,MATCH(E3419,ChName,0))</f>
        <v/>
      </c>
      <c r="J3419">
        <f>INDEX(ChWeeksFull,MATCH(E3419,ChName,0))</f>
        <v/>
      </c>
      <c r="K3419">
        <f>INDEX(ChRamp,MATCH(E3419,ChName,0))</f>
        <v/>
      </c>
      <c r="L3419" s="45">
        <f>MIN(1,MAX(0,(A3419-I3419+1)*RampSpeed/J3419))</f>
        <v/>
      </c>
      <c r="M3419" s="45">
        <f>IF(A3419&lt;I3419,0,IF(K3419="S-curve",L3419*L3419*(3-2*L3419),L3419))</f>
        <v/>
      </c>
      <c r="N3419" s="45">
        <f>1+(INDEX(SeasonIdx,A3419)-1)*SeasonAmp</f>
        <v/>
      </c>
      <c r="O3419" s="45">
        <f>IFERROR(INDEX(PSPct,MATCH(E3419&amp;"|"&amp;G3419,PSKey,0)),0)</f>
        <v/>
      </c>
      <c r="P3419" s="46" t="n">
        <v>0</v>
      </c>
      <c r="Q3419" s="46">
        <f>INDEX(OnlineUnitsCol,A3419)*O3419*(1+OnlineGrowth)*N3419*H3419*IF(A3419&gt;=I3419,1,0)</f>
        <v/>
      </c>
      <c r="R3419" s="46">
        <f>Q3419*INDEX(FmtCansPerPack,MATCH(F3419,FmtName,0))/INDEX(FmtCansPerCase,MATCH(F3419,FmtName,0))</f>
        <v/>
      </c>
      <c r="S3419" s="46">
        <f>R3419*INDEX(FmtCansPerCase,MATCH(F3419,FmtName,0))</f>
        <v/>
      </c>
      <c r="T3419" s="46">
        <f>S3419/INDEX(FmtCansPerPack,MATCH(F3419,FmtName,0))</f>
        <v/>
      </c>
      <c r="U3419" s="47">
        <f>INDEX(ProvOnline,MATCH(G3419,ProvCode,0))*(1+PriceIndex)</f>
        <v/>
      </c>
      <c r="V3419" s="47">
        <f>Q3419*U3419*INDEX(FmtBlendedPriceIdx,MATCH(F3419,FmtName,0))</f>
        <v/>
      </c>
      <c r="W3419" s="47">
        <f>V3419</f>
        <v/>
      </c>
      <c r="X3419" s="47">
        <f>IF(GrossBasis="Wholesale",V3419,W3419)</f>
        <v/>
      </c>
      <c r="Y3419" s="47">
        <f>R3419*INDEX(FmtBlendedCogs,MATCH(F3419,FmtName,0))</f>
        <v/>
      </c>
      <c r="Z3419" s="47">
        <f>X3419-Y3419</f>
        <v/>
      </c>
    </row>
    <row r="3420">
      <c r="A3420" t="n">
        <v>27</v>
      </c>
      <c r="B3420" s="44">
        <f>FiscalStart+(A3420-1)*7</f>
        <v/>
      </c>
      <c r="C3420">
        <f>TEXT(B3420,"mmm yyyy")</f>
        <v/>
      </c>
      <c r="D3420">
        <f>"Q"&amp;(INT((A3420-1)/13)+1)</f>
        <v/>
      </c>
      <c r="E3420" t="inlineStr">
        <is>
          <t>Online</t>
        </is>
      </c>
      <c r="F3420">
        <f>IFERROR(INDEX(ChFormat,MATCH(E3420,ChName,0)),"")</f>
        <v/>
      </c>
      <c r="G3420" t="inlineStr">
        <is>
          <t>ON</t>
        </is>
      </c>
      <c r="H3420">
        <f>IF(A3420&lt;=NWeeks,1,0)</f>
        <v/>
      </c>
      <c r="I3420">
        <f>INDEX(ChLaunch,MATCH(E3420,ChName,0))</f>
        <v/>
      </c>
      <c r="J3420">
        <f>INDEX(ChWeeksFull,MATCH(E3420,ChName,0))</f>
        <v/>
      </c>
      <c r="K3420">
        <f>INDEX(ChRamp,MATCH(E3420,ChName,0))</f>
        <v/>
      </c>
      <c r="L3420" s="45">
        <f>MIN(1,MAX(0,(A3420-I3420+1)*RampSpeed/J3420))</f>
        <v/>
      </c>
      <c r="M3420" s="45">
        <f>IF(A3420&lt;I3420,0,IF(K3420="S-curve",L3420*L3420*(3-2*L3420),L3420))</f>
        <v/>
      </c>
      <c r="N3420" s="45">
        <f>1+(INDEX(SeasonIdx,A3420)-1)*SeasonAmp</f>
        <v/>
      </c>
      <c r="O3420" s="45">
        <f>IFERROR(INDEX(PSPct,MATCH(E3420&amp;"|"&amp;G3420,PSKey,0)),0)</f>
        <v/>
      </c>
      <c r="P3420" s="46" t="n">
        <v>0</v>
      </c>
      <c r="Q3420" s="46">
        <f>INDEX(OnlineUnitsCol,A3420)*O3420*(1+OnlineGrowth)*N3420*H3420*IF(A3420&gt;=I3420,1,0)</f>
        <v/>
      </c>
      <c r="R3420" s="46">
        <f>Q3420*INDEX(FmtCansPerPack,MATCH(F3420,FmtName,0))/INDEX(FmtCansPerCase,MATCH(F3420,FmtName,0))</f>
        <v/>
      </c>
      <c r="S3420" s="46">
        <f>R3420*INDEX(FmtCansPerCase,MATCH(F3420,FmtName,0))</f>
        <v/>
      </c>
      <c r="T3420" s="46">
        <f>S3420/INDEX(FmtCansPerPack,MATCH(F3420,FmtName,0))</f>
        <v/>
      </c>
      <c r="U3420" s="47">
        <f>INDEX(ProvOnline,MATCH(G3420,ProvCode,0))*(1+PriceIndex)</f>
        <v/>
      </c>
      <c r="V3420" s="47">
        <f>Q3420*U3420*INDEX(FmtBlendedPriceIdx,MATCH(F3420,FmtName,0))</f>
        <v/>
      </c>
      <c r="W3420" s="47">
        <f>V3420</f>
        <v/>
      </c>
      <c r="X3420" s="47">
        <f>IF(GrossBasis="Wholesale",V3420,W3420)</f>
        <v/>
      </c>
      <c r="Y3420" s="47">
        <f>R3420*INDEX(FmtBlendedCogs,MATCH(F3420,FmtName,0))</f>
        <v/>
      </c>
      <c r="Z3420" s="47">
        <f>X3420-Y3420</f>
        <v/>
      </c>
    </row>
    <row r="3421">
      <c r="A3421" t="n">
        <v>28</v>
      </c>
      <c r="B3421" s="44">
        <f>FiscalStart+(A3421-1)*7</f>
        <v/>
      </c>
      <c r="C3421">
        <f>TEXT(B3421,"mmm yyyy")</f>
        <v/>
      </c>
      <c r="D3421">
        <f>"Q"&amp;(INT((A3421-1)/13)+1)</f>
        <v/>
      </c>
      <c r="E3421" t="inlineStr">
        <is>
          <t>Online</t>
        </is>
      </c>
      <c r="F3421">
        <f>IFERROR(INDEX(ChFormat,MATCH(E3421,ChName,0)),"")</f>
        <v/>
      </c>
      <c r="G3421" t="inlineStr">
        <is>
          <t>ON</t>
        </is>
      </c>
      <c r="H3421">
        <f>IF(A3421&lt;=NWeeks,1,0)</f>
        <v/>
      </c>
      <c r="I3421">
        <f>INDEX(ChLaunch,MATCH(E3421,ChName,0))</f>
        <v/>
      </c>
      <c r="J3421">
        <f>INDEX(ChWeeksFull,MATCH(E3421,ChName,0))</f>
        <v/>
      </c>
      <c r="K3421">
        <f>INDEX(ChRamp,MATCH(E3421,ChName,0))</f>
        <v/>
      </c>
      <c r="L3421" s="45">
        <f>MIN(1,MAX(0,(A3421-I3421+1)*RampSpeed/J3421))</f>
        <v/>
      </c>
      <c r="M3421" s="45">
        <f>IF(A3421&lt;I3421,0,IF(K3421="S-curve",L3421*L3421*(3-2*L3421),L3421))</f>
        <v/>
      </c>
      <c r="N3421" s="45">
        <f>1+(INDEX(SeasonIdx,A3421)-1)*SeasonAmp</f>
        <v/>
      </c>
      <c r="O3421" s="45">
        <f>IFERROR(INDEX(PSPct,MATCH(E3421&amp;"|"&amp;G3421,PSKey,0)),0)</f>
        <v/>
      </c>
      <c r="P3421" s="46" t="n">
        <v>0</v>
      </c>
      <c r="Q3421" s="46">
        <f>INDEX(OnlineUnitsCol,A3421)*O3421*(1+OnlineGrowth)*N3421*H3421*IF(A3421&gt;=I3421,1,0)</f>
        <v/>
      </c>
      <c r="R3421" s="46">
        <f>Q3421*INDEX(FmtCansPerPack,MATCH(F3421,FmtName,0))/INDEX(FmtCansPerCase,MATCH(F3421,FmtName,0))</f>
        <v/>
      </c>
      <c r="S3421" s="46">
        <f>R3421*INDEX(FmtCansPerCase,MATCH(F3421,FmtName,0))</f>
        <v/>
      </c>
      <c r="T3421" s="46">
        <f>S3421/INDEX(FmtCansPerPack,MATCH(F3421,FmtName,0))</f>
        <v/>
      </c>
      <c r="U3421" s="47">
        <f>INDEX(ProvOnline,MATCH(G3421,ProvCode,0))*(1+PriceIndex)</f>
        <v/>
      </c>
      <c r="V3421" s="47">
        <f>Q3421*U3421*INDEX(FmtBlendedPriceIdx,MATCH(F3421,FmtName,0))</f>
        <v/>
      </c>
      <c r="W3421" s="47">
        <f>V3421</f>
        <v/>
      </c>
      <c r="X3421" s="47">
        <f>IF(GrossBasis="Wholesale",V3421,W3421)</f>
        <v/>
      </c>
      <c r="Y3421" s="47">
        <f>R3421*INDEX(FmtBlendedCogs,MATCH(F3421,FmtName,0))</f>
        <v/>
      </c>
      <c r="Z3421" s="47">
        <f>X3421-Y3421</f>
        <v/>
      </c>
    </row>
    <row r="3422">
      <c r="A3422" t="n">
        <v>29</v>
      </c>
      <c r="B3422" s="44">
        <f>FiscalStart+(A3422-1)*7</f>
        <v/>
      </c>
      <c r="C3422">
        <f>TEXT(B3422,"mmm yyyy")</f>
        <v/>
      </c>
      <c r="D3422">
        <f>"Q"&amp;(INT((A3422-1)/13)+1)</f>
        <v/>
      </c>
      <c r="E3422" t="inlineStr">
        <is>
          <t>Online</t>
        </is>
      </c>
      <c r="F3422">
        <f>IFERROR(INDEX(ChFormat,MATCH(E3422,ChName,0)),"")</f>
        <v/>
      </c>
      <c r="G3422" t="inlineStr">
        <is>
          <t>ON</t>
        </is>
      </c>
      <c r="H3422">
        <f>IF(A3422&lt;=NWeeks,1,0)</f>
        <v/>
      </c>
      <c r="I3422">
        <f>INDEX(ChLaunch,MATCH(E3422,ChName,0))</f>
        <v/>
      </c>
      <c r="J3422">
        <f>INDEX(ChWeeksFull,MATCH(E3422,ChName,0))</f>
        <v/>
      </c>
      <c r="K3422">
        <f>INDEX(ChRamp,MATCH(E3422,ChName,0))</f>
        <v/>
      </c>
      <c r="L3422" s="45">
        <f>MIN(1,MAX(0,(A3422-I3422+1)*RampSpeed/J3422))</f>
        <v/>
      </c>
      <c r="M3422" s="45">
        <f>IF(A3422&lt;I3422,0,IF(K3422="S-curve",L3422*L3422*(3-2*L3422),L3422))</f>
        <v/>
      </c>
      <c r="N3422" s="45">
        <f>1+(INDEX(SeasonIdx,A3422)-1)*SeasonAmp</f>
        <v/>
      </c>
      <c r="O3422" s="45">
        <f>IFERROR(INDEX(PSPct,MATCH(E3422&amp;"|"&amp;G3422,PSKey,0)),0)</f>
        <v/>
      </c>
      <c r="P3422" s="46" t="n">
        <v>0</v>
      </c>
      <c r="Q3422" s="46">
        <f>INDEX(OnlineUnitsCol,A3422)*O3422*(1+OnlineGrowth)*N3422*H3422*IF(A3422&gt;=I3422,1,0)</f>
        <v/>
      </c>
      <c r="R3422" s="46">
        <f>Q3422*INDEX(FmtCansPerPack,MATCH(F3422,FmtName,0))/INDEX(FmtCansPerCase,MATCH(F3422,FmtName,0))</f>
        <v/>
      </c>
      <c r="S3422" s="46">
        <f>R3422*INDEX(FmtCansPerCase,MATCH(F3422,FmtName,0))</f>
        <v/>
      </c>
      <c r="T3422" s="46">
        <f>S3422/INDEX(FmtCansPerPack,MATCH(F3422,FmtName,0))</f>
        <v/>
      </c>
      <c r="U3422" s="47">
        <f>INDEX(ProvOnline,MATCH(G3422,ProvCode,0))*(1+PriceIndex)</f>
        <v/>
      </c>
      <c r="V3422" s="47">
        <f>Q3422*U3422*INDEX(FmtBlendedPriceIdx,MATCH(F3422,FmtName,0))</f>
        <v/>
      </c>
      <c r="W3422" s="47">
        <f>V3422</f>
        <v/>
      </c>
      <c r="X3422" s="47">
        <f>IF(GrossBasis="Wholesale",V3422,W3422)</f>
        <v/>
      </c>
      <c r="Y3422" s="47">
        <f>R3422*INDEX(FmtBlendedCogs,MATCH(F3422,FmtName,0))</f>
        <v/>
      </c>
      <c r="Z3422" s="47">
        <f>X3422-Y3422</f>
        <v/>
      </c>
    </row>
    <row r="3423">
      <c r="A3423" t="n">
        <v>30</v>
      </c>
      <c r="B3423" s="44">
        <f>FiscalStart+(A3423-1)*7</f>
        <v/>
      </c>
      <c r="C3423">
        <f>TEXT(B3423,"mmm yyyy")</f>
        <v/>
      </c>
      <c r="D3423">
        <f>"Q"&amp;(INT((A3423-1)/13)+1)</f>
        <v/>
      </c>
      <c r="E3423" t="inlineStr">
        <is>
          <t>Online</t>
        </is>
      </c>
      <c r="F3423">
        <f>IFERROR(INDEX(ChFormat,MATCH(E3423,ChName,0)),"")</f>
        <v/>
      </c>
      <c r="G3423" t="inlineStr">
        <is>
          <t>ON</t>
        </is>
      </c>
      <c r="H3423">
        <f>IF(A3423&lt;=NWeeks,1,0)</f>
        <v/>
      </c>
      <c r="I3423">
        <f>INDEX(ChLaunch,MATCH(E3423,ChName,0))</f>
        <v/>
      </c>
      <c r="J3423">
        <f>INDEX(ChWeeksFull,MATCH(E3423,ChName,0))</f>
        <v/>
      </c>
      <c r="K3423">
        <f>INDEX(ChRamp,MATCH(E3423,ChName,0))</f>
        <v/>
      </c>
      <c r="L3423" s="45">
        <f>MIN(1,MAX(0,(A3423-I3423+1)*RampSpeed/J3423))</f>
        <v/>
      </c>
      <c r="M3423" s="45">
        <f>IF(A3423&lt;I3423,0,IF(K3423="S-curve",L3423*L3423*(3-2*L3423),L3423))</f>
        <v/>
      </c>
      <c r="N3423" s="45">
        <f>1+(INDEX(SeasonIdx,A3423)-1)*SeasonAmp</f>
        <v/>
      </c>
      <c r="O3423" s="45">
        <f>IFERROR(INDEX(PSPct,MATCH(E3423&amp;"|"&amp;G3423,PSKey,0)),0)</f>
        <v/>
      </c>
      <c r="P3423" s="46" t="n">
        <v>0</v>
      </c>
      <c r="Q3423" s="46">
        <f>INDEX(OnlineUnitsCol,A3423)*O3423*(1+OnlineGrowth)*N3423*H3423*IF(A3423&gt;=I3423,1,0)</f>
        <v/>
      </c>
      <c r="R3423" s="46">
        <f>Q3423*INDEX(FmtCansPerPack,MATCH(F3423,FmtName,0))/INDEX(FmtCansPerCase,MATCH(F3423,FmtName,0))</f>
        <v/>
      </c>
      <c r="S3423" s="46">
        <f>R3423*INDEX(FmtCansPerCase,MATCH(F3423,FmtName,0))</f>
        <v/>
      </c>
      <c r="T3423" s="46">
        <f>S3423/INDEX(FmtCansPerPack,MATCH(F3423,FmtName,0))</f>
        <v/>
      </c>
      <c r="U3423" s="47">
        <f>INDEX(ProvOnline,MATCH(G3423,ProvCode,0))*(1+PriceIndex)</f>
        <v/>
      </c>
      <c r="V3423" s="47">
        <f>Q3423*U3423*INDEX(FmtBlendedPriceIdx,MATCH(F3423,FmtName,0))</f>
        <v/>
      </c>
      <c r="W3423" s="47">
        <f>V3423</f>
        <v/>
      </c>
      <c r="X3423" s="47">
        <f>IF(GrossBasis="Wholesale",V3423,W3423)</f>
        <v/>
      </c>
      <c r="Y3423" s="47">
        <f>R3423*INDEX(FmtBlendedCogs,MATCH(F3423,FmtName,0))</f>
        <v/>
      </c>
      <c r="Z3423" s="47">
        <f>X3423-Y3423</f>
        <v/>
      </c>
    </row>
    <row r="3424">
      <c r="A3424" t="n">
        <v>31</v>
      </c>
      <c r="B3424" s="44">
        <f>FiscalStart+(A3424-1)*7</f>
        <v/>
      </c>
      <c r="C3424">
        <f>TEXT(B3424,"mmm yyyy")</f>
        <v/>
      </c>
      <c r="D3424">
        <f>"Q"&amp;(INT((A3424-1)/13)+1)</f>
        <v/>
      </c>
      <c r="E3424" t="inlineStr">
        <is>
          <t>Online</t>
        </is>
      </c>
      <c r="F3424">
        <f>IFERROR(INDEX(ChFormat,MATCH(E3424,ChName,0)),"")</f>
        <v/>
      </c>
      <c r="G3424" t="inlineStr">
        <is>
          <t>ON</t>
        </is>
      </c>
      <c r="H3424">
        <f>IF(A3424&lt;=NWeeks,1,0)</f>
        <v/>
      </c>
      <c r="I3424">
        <f>INDEX(ChLaunch,MATCH(E3424,ChName,0))</f>
        <v/>
      </c>
      <c r="J3424">
        <f>INDEX(ChWeeksFull,MATCH(E3424,ChName,0))</f>
        <v/>
      </c>
      <c r="K3424">
        <f>INDEX(ChRamp,MATCH(E3424,ChName,0))</f>
        <v/>
      </c>
      <c r="L3424" s="45">
        <f>MIN(1,MAX(0,(A3424-I3424+1)*RampSpeed/J3424))</f>
        <v/>
      </c>
      <c r="M3424" s="45">
        <f>IF(A3424&lt;I3424,0,IF(K3424="S-curve",L3424*L3424*(3-2*L3424),L3424))</f>
        <v/>
      </c>
      <c r="N3424" s="45">
        <f>1+(INDEX(SeasonIdx,A3424)-1)*SeasonAmp</f>
        <v/>
      </c>
      <c r="O3424" s="45">
        <f>IFERROR(INDEX(PSPct,MATCH(E3424&amp;"|"&amp;G3424,PSKey,0)),0)</f>
        <v/>
      </c>
      <c r="P3424" s="46" t="n">
        <v>0</v>
      </c>
      <c r="Q3424" s="46">
        <f>INDEX(OnlineUnitsCol,A3424)*O3424*(1+OnlineGrowth)*N3424*H3424*IF(A3424&gt;=I3424,1,0)</f>
        <v/>
      </c>
      <c r="R3424" s="46">
        <f>Q3424*INDEX(FmtCansPerPack,MATCH(F3424,FmtName,0))/INDEX(FmtCansPerCase,MATCH(F3424,FmtName,0))</f>
        <v/>
      </c>
      <c r="S3424" s="46">
        <f>R3424*INDEX(FmtCansPerCase,MATCH(F3424,FmtName,0))</f>
        <v/>
      </c>
      <c r="T3424" s="46">
        <f>S3424/INDEX(FmtCansPerPack,MATCH(F3424,FmtName,0))</f>
        <v/>
      </c>
      <c r="U3424" s="47">
        <f>INDEX(ProvOnline,MATCH(G3424,ProvCode,0))*(1+PriceIndex)</f>
        <v/>
      </c>
      <c r="V3424" s="47">
        <f>Q3424*U3424*INDEX(FmtBlendedPriceIdx,MATCH(F3424,FmtName,0))</f>
        <v/>
      </c>
      <c r="W3424" s="47">
        <f>V3424</f>
        <v/>
      </c>
      <c r="X3424" s="47">
        <f>IF(GrossBasis="Wholesale",V3424,W3424)</f>
        <v/>
      </c>
      <c r="Y3424" s="47">
        <f>R3424*INDEX(FmtBlendedCogs,MATCH(F3424,FmtName,0))</f>
        <v/>
      </c>
      <c r="Z3424" s="47">
        <f>X3424-Y3424</f>
        <v/>
      </c>
    </row>
    <row r="3425">
      <c r="A3425" t="n">
        <v>32</v>
      </c>
      <c r="B3425" s="44">
        <f>FiscalStart+(A3425-1)*7</f>
        <v/>
      </c>
      <c r="C3425">
        <f>TEXT(B3425,"mmm yyyy")</f>
        <v/>
      </c>
      <c r="D3425">
        <f>"Q"&amp;(INT((A3425-1)/13)+1)</f>
        <v/>
      </c>
      <c r="E3425" t="inlineStr">
        <is>
          <t>Online</t>
        </is>
      </c>
      <c r="F3425">
        <f>IFERROR(INDEX(ChFormat,MATCH(E3425,ChName,0)),"")</f>
        <v/>
      </c>
      <c r="G3425" t="inlineStr">
        <is>
          <t>ON</t>
        </is>
      </c>
      <c r="H3425">
        <f>IF(A3425&lt;=NWeeks,1,0)</f>
        <v/>
      </c>
      <c r="I3425">
        <f>INDEX(ChLaunch,MATCH(E3425,ChName,0))</f>
        <v/>
      </c>
      <c r="J3425">
        <f>INDEX(ChWeeksFull,MATCH(E3425,ChName,0))</f>
        <v/>
      </c>
      <c r="K3425">
        <f>INDEX(ChRamp,MATCH(E3425,ChName,0))</f>
        <v/>
      </c>
      <c r="L3425" s="45">
        <f>MIN(1,MAX(0,(A3425-I3425+1)*RampSpeed/J3425))</f>
        <v/>
      </c>
      <c r="M3425" s="45">
        <f>IF(A3425&lt;I3425,0,IF(K3425="S-curve",L3425*L3425*(3-2*L3425),L3425))</f>
        <v/>
      </c>
      <c r="N3425" s="45">
        <f>1+(INDEX(SeasonIdx,A3425)-1)*SeasonAmp</f>
        <v/>
      </c>
      <c r="O3425" s="45">
        <f>IFERROR(INDEX(PSPct,MATCH(E3425&amp;"|"&amp;G3425,PSKey,0)),0)</f>
        <v/>
      </c>
      <c r="P3425" s="46" t="n">
        <v>0</v>
      </c>
      <c r="Q3425" s="46">
        <f>INDEX(OnlineUnitsCol,A3425)*O3425*(1+OnlineGrowth)*N3425*H3425*IF(A3425&gt;=I3425,1,0)</f>
        <v/>
      </c>
      <c r="R3425" s="46">
        <f>Q3425*INDEX(FmtCansPerPack,MATCH(F3425,FmtName,0))/INDEX(FmtCansPerCase,MATCH(F3425,FmtName,0))</f>
        <v/>
      </c>
      <c r="S3425" s="46">
        <f>R3425*INDEX(FmtCansPerCase,MATCH(F3425,FmtName,0))</f>
        <v/>
      </c>
      <c r="T3425" s="46">
        <f>S3425/INDEX(FmtCansPerPack,MATCH(F3425,FmtName,0))</f>
        <v/>
      </c>
      <c r="U3425" s="47">
        <f>INDEX(ProvOnline,MATCH(G3425,ProvCode,0))*(1+PriceIndex)</f>
        <v/>
      </c>
      <c r="V3425" s="47">
        <f>Q3425*U3425*INDEX(FmtBlendedPriceIdx,MATCH(F3425,FmtName,0))</f>
        <v/>
      </c>
      <c r="W3425" s="47">
        <f>V3425</f>
        <v/>
      </c>
      <c r="X3425" s="47">
        <f>IF(GrossBasis="Wholesale",V3425,W3425)</f>
        <v/>
      </c>
      <c r="Y3425" s="47">
        <f>R3425*INDEX(FmtBlendedCogs,MATCH(F3425,FmtName,0))</f>
        <v/>
      </c>
      <c r="Z3425" s="47">
        <f>X3425-Y3425</f>
        <v/>
      </c>
    </row>
    <row r="3426">
      <c r="A3426" t="n">
        <v>33</v>
      </c>
      <c r="B3426" s="44">
        <f>FiscalStart+(A3426-1)*7</f>
        <v/>
      </c>
      <c r="C3426">
        <f>TEXT(B3426,"mmm yyyy")</f>
        <v/>
      </c>
      <c r="D3426">
        <f>"Q"&amp;(INT((A3426-1)/13)+1)</f>
        <v/>
      </c>
      <c r="E3426" t="inlineStr">
        <is>
          <t>Online</t>
        </is>
      </c>
      <c r="F3426">
        <f>IFERROR(INDEX(ChFormat,MATCH(E3426,ChName,0)),"")</f>
        <v/>
      </c>
      <c r="G3426" t="inlineStr">
        <is>
          <t>ON</t>
        </is>
      </c>
      <c r="H3426">
        <f>IF(A3426&lt;=NWeeks,1,0)</f>
        <v/>
      </c>
      <c r="I3426">
        <f>INDEX(ChLaunch,MATCH(E3426,ChName,0))</f>
        <v/>
      </c>
      <c r="J3426">
        <f>INDEX(ChWeeksFull,MATCH(E3426,ChName,0))</f>
        <v/>
      </c>
      <c r="K3426">
        <f>INDEX(ChRamp,MATCH(E3426,ChName,0))</f>
        <v/>
      </c>
      <c r="L3426" s="45">
        <f>MIN(1,MAX(0,(A3426-I3426+1)*RampSpeed/J3426))</f>
        <v/>
      </c>
      <c r="M3426" s="45">
        <f>IF(A3426&lt;I3426,0,IF(K3426="S-curve",L3426*L3426*(3-2*L3426),L3426))</f>
        <v/>
      </c>
      <c r="N3426" s="45">
        <f>1+(INDEX(SeasonIdx,A3426)-1)*SeasonAmp</f>
        <v/>
      </c>
      <c r="O3426" s="45">
        <f>IFERROR(INDEX(PSPct,MATCH(E3426&amp;"|"&amp;G3426,PSKey,0)),0)</f>
        <v/>
      </c>
      <c r="P3426" s="46" t="n">
        <v>0</v>
      </c>
      <c r="Q3426" s="46">
        <f>INDEX(OnlineUnitsCol,A3426)*O3426*(1+OnlineGrowth)*N3426*H3426*IF(A3426&gt;=I3426,1,0)</f>
        <v/>
      </c>
      <c r="R3426" s="46">
        <f>Q3426*INDEX(FmtCansPerPack,MATCH(F3426,FmtName,0))/INDEX(FmtCansPerCase,MATCH(F3426,FmtName,0))</f>
        <v/>
      </c>
      <c r="S3426" s="46">
        <f>R3426*INDEX(FmtCansPerCase,MATCH(F3426,FmtName,0))</f>
        <v/>
      </c>
      <c r="T3426" s="46">
        <f>S3426/INDEX(FmtCansPerPack,MATCH(F3426,FmtName,0))</f>
        <v/>
      </c>
      <c r="U3426" s="47">
        <f>INDEX(ProvOnline,MATCH(G3426,ProvCode,0))*(1+PriceIndex)</f>
        <v/>
      </c>
      <c r="V3426" s="47">
        <f>Q3426*U3426*INDEX(FmtBlendedPriceIdx,MATCH(F3426,FmtName,0))</f>
        <v/>
      </c>
      <c r="W3426" s="47">
        <f>V3426</f>
        <v/>
      </c>
      <c r="X3426" s="47">
        <f>IF(GrossBasis="Wholesale",V3426,W3426)</f>
        <v/>
      </c>
      <c r="Y3426" s="47">
        <f>R3426*INDEX(FmtBlendedCogs,MATCH(F3426,FmtName,0))</f>
        <v/>
      </c>
      <c r="Z3426" s="47">
        <f>X3426-Y3426</f>
        <v/>
      </c>
    </row>
    <row r="3427">
      <c r="A3427" t="n">
        <v>34</v>
      </c>
      <c r="B3427" s="44">
        <f>FiscalStart+(A3427-1)*7</f>
        <v/>
      </c>
      <c r="C3427">
        <f>TEXT(B3427,"mmm yyyy")</f>
        <v/>
      </c>
      <c r="D3427">
        <f>"Q"&amp;(INT((A3427-1)/13)+1)</f>
        <v/>
      </c>
      <c r="E3427" t="inlineStr">
        <is>
          <t>Online</t>
        </is>
      </c>
      <c r="F3427">
        <f>IFERROR(INDEX(ChFormat,MATCH(E3427,ChName,0)),"")</f>
        <v/>
      </c>
      <c r="G3427" t="inlineStr">
        <is>
          <t>ON</t>
        </is>
      </c>
      <c r="H3427">
        <f>IF(A3427&lt;=NWeeks,1,0)</f>
        <v/>
      </c>
      <c r="I3427">
        <f>INDEX(ChLaunch,MATCH(E3427,ChName,0))</f>
        <v/>
      </c>
      <c r="J3427">
        <f>INDEX(ChWeeksFull,MATCH(E3427,ChName,0))</f>
        <v/>
      </c>
      <c r="K3427">
        <f>INDEX(ChRamp,MATCH(E3427,ChName,0))</f>
        <v/>
      </c>
      <c r="L3427" s="45">
        <f>MIN(1,MAX(0,(A3427-I3427+1)*RampSpeed/J3427))</f>
        <v/>
      </c>
      <c r="M3427" s="45">
        <f>IF(A3427&lt;I3427,0,IF(K3427="S-curve",L3427*L3427*(3-2*L3427),L3427))</f>
        <v/>
      </c>
      <c r="N3427" s="45">
        <f>1+(INDEX(SeasonIdx,A3427)-1)*SeasonAmp</f>
        <v/>
      </c>
      <c r="O3427" s="45">
        <f>IFERROR(INDEX(PSPct,MATCH(E3427&amp;"|"&amp;G3427,PSKey,0)),0)</f>
        <v/>
      </c>
      <c r="P3427" s="46" t="n">
        <v>0</v>
      </c>
      <c r="Q3427" s="46">
        <f>INDEX(OnlineUnitsCol,A3427)*O3427*(1+OnlineGrowth)*N3427*H3427*IF(A3427&gt;=I3427,1,0)</f>
        <v/>
      </c>
      <c r="R3427" s="46">
        <f>Q3427*INDEX(FmtCansPerPack,MATCH(F3427,FmtName,0))/INDEX(FmtCansPerCase,MATCH(F3427,FmtName,0))</f>
        <v/>
      </c>
      <c r="S3427" s="46">
        <f>R3427*INDEX(FmtCansPerCase,MATCH(F3427,FmtName,0))</f>
        <v/>
      </c>
      <c r="T3427" s="46">
        <f>S3427/INDEX(FmtCansPerPack,MATCH(F3427,FmtName,0))</f>
        <v/>
      </c>
      <c r="U3427" s="47">
        <f>INDEX(ProvOnline,MATCH(G3427,ProvCode,0))*(1+PriceIndex)</f>
        <v/>
      </c>
      <c r="V3427" s="47">
        <f>Q3427*U3427*INDEX(FmtBlendedPriceIdx,MATCH(F3427,FmtName,0))</f>
        <v/>
      </c>
      <c r="W3427" s="47">
        <f>V3427</f>
        <v/>
      </c>
      <c r="X3427" s="47">
        <f>IF(GrossBasis="Wholesale",V3427,W3427)</f>
        <v/>
      </c>
      <c r="Y3427" s="47">
        <f>R3427*INDEX(FmtBlendedCogs,MATCH(F3427,FmtName,0))</f>
        <v/>
      </c>
      <c r="Z3427" s="47">
        <f>X3427-Y3427</f>
        <v/>
      </c>
    </row>
    <row r="3428">
      <c r="A3428" t="n">
        <v>35</v>
      </c>
      <c r="B3428" s="44">
        <f>FiscalStart+(A3428-1)*7</f>
        <v/>
      </c>
      <c r="C3428">
        <f>TEXT(B3428,"mmm yyyy")</f>
        <v/>
      </c>
      <c r="D3428">
        <f>"Q"&amp;(INT((A3428-1)/13)+1)</f>
        <v/>
      </c>
      <c r="E3428" t="inlineStr">
        <is>
          <t>Online</t>
        </is>
      </c>
      <c r="F3428">
        <f>IFERROR(INDEX(ChFormat,MATCH(E3428,ChName,0)),"")</f>
        <v/>
      </c>
      <c r="G3428" t="inlineStr">
        <is>
          <t>ON</t>
        </is>
      </c>
      <c r="H3428">
        <f>IF(A3428&lt;=NWeeks,1,0)</f>
        <v/>
      </c>
      <c r="I3428">
        <f>INDEX(ChLaunch,MATCH(E3428,ChName,0))</f>
        <v/>
      </c>
      <c r="J3428">
        <f>INDEX(ChWeeksFull,MATCH(E3428,ChName,0))</f>
        <v/>
      </c>
      <c r="K3428">
        <f>INDEX(ChRamp,MATCH(E3428,ChName,0))</f>
        <v/>
      </c>
      <c r="L3428" s="45">
        <f>MIN(1,MAX(0,(A3428-I3428+1)*RampSpeed/J3428))</f>
        <v/>
      </c>
      <c r="M3428" s="45">
        <f>IF(A3428&lt;I3428,0,IF(K3428="S-curve",L3428*L3428*(3-2*L3428),L3428))</f>
        <v/>
      </c>
      <c r="N3428" s="45">
        <f>1+(INDEX(SeasonIdx,A3428)-1)*SeasonAmp</f>
        <v/>
      </c>
      <c r="O3428" s="45">
        <f>IFERROR(INDEX(PSPct,MATCH(E3428&amp;"|"&amp;G3428,PSKey,0)),0)</f>
        <v/>
      </c>
      <c r="P3428" s="46" t="n">
        <v>0</v>
      </c>
      <c r="Q3428" s="46">
        <f>INDEX(OnlineUnitsCol,A3428)*O3428*(1+OnlineGrowth)*N3428*H3428*IF(A3428&gt;=I3428,1,0)</f>
        <v/>
      </c>
      <c r="R3428" s="46">
        <f>Q3428*INDEX(FmtCansPerPack,MATCH(F3428,FmtName,0))/INDEX(FmtCansPerCase,MATCH(F3428,FmtName,0))</f>
        <v/>
      </c>
      <c r="S3428" s="46">
        <f>R3428*INDEX(FmtCansPerCase,MATCH(F3428,FmtName,0))</f>
        <v/>
      </c>
      <c r="T3428" s="46">
        <f>S3428/INDEX(FmtCansPerPack,MATCH(F3428,FmtName,0))</f>
        <v/>
      </c>
      <c r="U3428" s="47">
        <f>INDEX(ProvOnline,MATCH(G3428,ProvCode,0))*(1+PriceIndex)</f>
        <v/>
      </c>
      <c r="V3428" s="47">
        <f>Q3428*U3428*INDEX(FmtBlendedPriceIdx,MATCH(F3428,FmtName,0))</f>
        <v/>
      </c>
      <c r="W3428" s="47">
        <f>V3428</f>
        <v/>
      </c>
      <c r="X3428" s="47">
        <f>IF(GrossBasis="Wholesale",V3428,W3428)</f>
        <v/>
      </c>
      <c r="Y3428" s="47">
        <f>R3428*INDEX(FmtBlendedCogs,MATCH(F3428,FmtName,0))</f>
        <v/>
      </c>
      <c r="Z3428" s="47">
        <f>X3428-Y3428</f>
        <v/>
      </c>
    </row>
    <row r="3429">
      <c r="A3429" t="n">
        <v>36</v>
      </c>
      <c r="B3429" s="44">
        <f>FiscalStart+(A3429-1)*7</f>
        <v/>
      </c>
      <c r="C3429">
        <f>TEXT(B3429,"mmm yyyy")</f>
        <v/>
      </c>
      <c r="D3429">
        <f>"Q"&amp;(INT((A3429-1)/13)+1)</f>
        <v/>
      </c>
      <c r="E3429" t="inlineStr">
        <is>
          <t>Online</t>
        </is>
      </c>
      <c r="F3429">
        <f>IFERROR(INDEX(ChFormat,MATCH(E3429,ChName,0)),"")</f>
        <v/>
      </c>
      <c r="G3429" t="inlineStr">
        <is>
          <t>ON</t>
        </is>
      </c>
      <c r="H3429">
        <f>IF(A3429&lt;=NWeeks,1,0)</f>
        <v/>
      </c>
      <c r="I3429">
        <f>INDEX(ChLaunch,MATCH(E3429,ChName,0))</f>
        <v/>
      </c>
      <c r="J3429">
        <f>INDEX(ChWeeksFull,MATCH(E3429,ChName,0))</f>
        <v/>
      </c>
      <c r="K3429">
        <f>INDEX(ChRamp,MATCH(E3429,ChName,0))</f>
        <v/>
      </c>
      <c r="L3429" s="45">
        <f>MIN(1,MAX(0,(A3429-I3429+1)*RampSpeed/J3429))</f>
        <v/>
      </c>
      <c r="M3429" s="45">
        <f>IF(A3429&lt;I3429,0,IF(K3429="S-curve",L3429*L3429*(3-2*L3429),L3429))</f>
        <v/>
      </c>
      <c r="N3429" s="45">
        <f>1+(INDEX(SeasonIdx,A3429)-1)*SeasonAmp</f>
        <v/>
      </c>
      <c r="O3429" s="45">
        <f>IFERROR(INDEX(PSPct,MATCH(E3429&amp;"|"&amp;G3429,PSKey,0)),0)</f>
        <v/>
      </c>
      <c r="P3429" s="46" t="n">
        <v>0</v>
      </c>
      <c r="Q3429" s="46">
        <f>INDEX(OnlineUnitsCol,A3429)*O3429*(1+OnlineGrowth)*N3429*H3429*IF(A3429&gt;=I3429,1,0)</f>
        <v/>
      </c>
      <c r="R3429" s="46">
        <f>Q3429*INDEX(FmtCansPerPack,MATCH(F3429,FmtName,0))/INDEX(FmtCansPerCase,MATCH(F3429,FmtName,0))</f>
        <v/>
      </c>
      <c r="S3429" s="46">
        <f>R3429*INDEX(FmtCansPerCase,MATCH(F3429,FmtName,0))</f>
        <v/>
      </c>
      <c r="T3429" s="46">
        <f>S3429/INDEX(FmtCansPerPack,MATCH(F3429,FmtName,0))</f>
        <v/>
      </c>
      <c r="U3429" s="47">
        <f>INDEX(ProvOnline,MATCH(G3429,ProvCode,0))*(1+PriceIndex)</f>
        <v/>
      </c>
      <c r="V3429" s="47">
        <f>Q3429*U3429*INDEX(FmtBlendedPriceIdx,MATCH(F3429,FmtName,0))</f>
        <v/>
      </c>
      <c r="W3429" s="47">
        <f>V3429</f>
        <v/>
      </c>
      <c r="X3429" s="47">
        <f>IF(GrossBasis="Wholesale",V3429,W3429)</f>
        <v/>
      </c>
      <c r="Y3429" s="47">
        <f>R3429*INDEX(FmtBlendedCogs,MATCH(F3429,FmtName,0))</f>
        <v/>
      </c>
      <c r="Z3429" s="47">
        <f>X3429-Y3429</f>
        <v/>
      </c>
    </row>
    <row r="3430">
      <c r="A3430" t="n">
        <v>37</v>
      </c>
      <c r="B3430" s="44">
        <f>FiscalStart+(A3430-1)*7</f>
        <v/>
      </c>
      <c r="C3430">
        <f>TEXT(B3430,"mmm yyyy")</f>
        <v/>
      </c>
      <c r="D3430">
        <f>"Q"&amp;(INT((A3430-1)/13)+1)</f>
        <v/>
      </c>
      <c r="E3430" t="inlineStr">
        <is>
          <t>Online</t>
        </is>
      </c>
      <c r="F3430">
        <f>IFERROR(INDEX(ChFormat,MATCH(E3430,ChName,0)),"")</f>
        <v/>
      </c>
      <c r="G3430" t="inlineStr">
        <is>
          <t>ON</t>
        </is>
      </c>
      <c r="H3430">
        <f>IF(A3430&lt;=NWeeks,1,0)</f>
        <v/>
      </c>
      <c r="I3430">
        <f>INDEX(ChLaunch,MATCH(E3430,ChName,0))</f>
        <v/>
      </c>
      <c r="J3430">
        <f>INDEX(ChWeeksFull,MATCH(E3430,ChName,0))</f>
        <v/>
      </c>
      <c r="K3430">
        <f>INDEX(ChRamp,MATCH(E3430,ChName,0))</f>
        <v/>
      </c>
      <c r="L3430" s="45">
        <f>MIN(1,MAX(0,(A3430-I3430+1)*RampSpeed/J3430))</f>
        <v/>
      </c>
      <c r="M3430" s="45">
        <f>IF(A3430&lt;I3430,0,IF(K3430="S-curve",L3430*L3430*(3-2*L3430),L3430))</f>
        <v/>
      </c>
      <c r="N3430" s="45">
        <f>1+(INDEX(SeasonIdx,A3430)-1)*SeasonAmp</f>
        <v/>
      </c>
      <c r="O3430" s="45">
        <f>IFERROR(INDEX(PSPct,MATCH(E3430&amp;"|"&amp;G3430,PSKey,0)),0)</f>
        <v/>
      </c>
      <c r="P3430" s="46" t="n">
        <v>0</v>
      </c>
      <c r="Q3430" s="46">
        <f>INDEX(OnlineUnitsCol,A3430)*O3430*(1+OnlineGrowth)*N3430*H3430*IF(A3430&gt;=I3430,1,0)</f>
        <v/>
      </c>
      <c r="R3430" s="46">
        <f>Q3430*INDEX(FmtCansPerPack,MATCH(F3430,FmtName,0))/INDEX(FmtCansPerCase,MATCH(F3430,FmtName,0))</f>
        <v/>
      </c>
      <c r="S3430" s="46">
        <f>R3430*INDEX(FmtCansPerCase,MATCH(F3430,FmtName,0))</f>
        <v/>
      </c>
      <c r="T3430" s="46">
        <f>S3430/INDEX(FmtCansPerPack,MATCH(F3430,FmtName,0))</f>
        <v/>
      </c>
      <c r="U3430" s="47">
        <f>INDEX(ProvOnline,MATCH(G3430,ProvCode,0))*(1+PriceIndex)</f>
        <v/>
      </c>
      <c r="V3430" s="47">
        <f>Q3430*U3430*INDEX(FmtBlendedPriceIdx,MATCH(F3430,FmtName,0))</f>
        <v/>
      </c>
      <c r="W3430" s="47">
        <f>V3430</f>
        <v/>
      </c>
      <c r="X3430" s="47">
        <f>IF(GrossBasis="Wholesale",V3430,W3430)</f>
        <v/>
      </c>
      <c r="Y3430" s="47">
        <f>R3430*INDEX(FmtBlendedCogs,MATCH(F3430,FmtName,0))</f>
        <v/>
      </c>
      <c r="Z3430" s="47">
        <f>X3430-Y3430</f>
        <v/>
      </c>
    </row>
    <row r="3431">
      <c r="A3431" t="n">
        <v>38</v>
      </c>
      <c r="B3431" s="44">
        <f>FiscalStart+(A3431-1)*7</f>
        <v/>
      </c>
      <c r="C3431">
        <f>TEXT(B3431,"mmm yyyy")</f>
        <v/>
      </c>
      <c r="D3431">
        <f>"Q"&amp;(INT((A3431-1)/13)+1)</f>
        <v/>
      </c>
      <c r="E3431" t="inlineStr">
        <is>
          <t>Online</t>
        </is>
      </c>
      <c r="F3431">
        <f>IFERROR(INDEX(ChFormat,MATCH(E3431,ChName,0)),"")</f>
        <v/>
      </c>
      <c r="G3431" t="inlineStr">
        <is>
          <t>ON</t>
        </is>
      </c>
      <c r="H3431">
        <f>IF(A3431&lt;=NWeeks,1,0)</f>
        <v/>
      </c>
      <c r="I3431">
        <f>INDEX(ChLaunch,MATCH(E3431,ChName,0))</f>
        <v/>
      </c>
      <c r="J3431">
        <f>INDEX(ChWeeksFull,MATCH(E3431,ChName,0))</f>
        <v/>
      </c>
      <c r="K3431">
        <f>INDEX(ChRamp,MATCH(E3431,ChName,0))</f>
        <v/>
      </c>
      <c r="L3431" s="45">
        <f>MIN(1,MAX(0,(A3431-I3431+1)*RampSpeed/J3431))</f>
        <v/>
      </c>
      <c r="M3431" s="45">
        <f>IF(A3431&lt;I3431,0,IF(K3431="S-curve",L3431*L3431*(3-2*L3431),L3431))</f>
        <v/>
      </c>
      <c r="N3431" s="45">
        <f>1+(INDEX(SeasonIdx,A3431)-1)*SeasonAmp</f>
        <v/>
      </c>
      <c r="O3431" s="45">
        <f>IFERROR(INDEX(PSPct,MATCH(E3431&amp;"|"&amp;G3431,PSKey,0)),0)</f>
        <v/>
      </c>
      <c r="P3431" s="46" t="n">
        <v>0</v>
      </c>
      <c r="Q3431" s="46">
        <f>INDEX(OnlineUnitsCol,A3431)*O3431*(1+OnlineGrowth)*N3431*H3431*IF(A3431&gt;=I3431,1,0)</f>
        <v/>
      </c>
      <c r="R3431" s="46">
        <f>Q3431*INDEX(FmtCansPerPack,MATCH(F3431,FmtName,0))/INDEX(FmtCansPerCase,MATCH(F3431,FmtName,0))</f>
        <v/>
      </c>
      <c r="S3431" s="46">
        <f>R3431*INDEX(FmtCansPerCase,MATCH(F3431,FmtName,0))</f>
        <v/>
      </c>
      <c r="T3431" s="46">
        <f>S3431/INDEX(FmtCansPerPack,MATCH(F3431,FmtName,0))</f>
        <v/>
      </c>
      <c r="U3431" s="47">
        <f>INDEX(ProvOnline,MATCH(G3431,ProvCode,0))*(1+PriceIndex)</f>
        <v/>
      </c>
      <c r="V3431" s="47">
        <f>Q3431*U3431*INDEX(FmtBlendedPriceIdx,MATCH(F3431,FmtName,0))</f>
        <v/>
      </c>
      <c r="W3431" s="47">
        <f>V3431</f>
        <v/>
      </c>
      <c r="X3431" s="47">
        <f>IF(GrossBasis="Wholesale",V3431,W3431)</f>
        <v/>
      </c>
      <c r="Y3431" s="47">
        <f>R3431*INDEX(FmtBlendedCogs,MATCH(F3431,FmtName,0))</f>
        <v/>
      </c>
      <c r="Z3431" s="47">
        <f>X3431-Y3431</f>
        <v/>
      </c>
    </row>
    <row r="3432">
      <c r="A3432" t="n">
        <v>39</v>
      </c>
      <c r="B3432" s="44">
        <f>FiscalStart+(A3432-1)*7</f>
        <v/>
      </c>
      <c r="C3432">
        <f>TEXT(B3432,"mmm yyyy")</f>
        <v/>
      </c>
      <c r="D3432">
        <f>"Q"&amp;(INT((A3432-1)/13)+1)</f>
        <v/>
      </c>
      <c r="E3432" t="inlineStr">
        <is>
          <t>Online</t>
        </is>
      </c>
      <c r="F3432">
        <f>IFERROR(INDEX(ChFormat,MATCH(E3432,ChName,0)),"")</f>
        <v/>
      </c>
      <c r="G3432" t="inlineStr">
        <is>
          <t>ON</t>
        </is>
      </c>
      <c r="H3432">
        <f>IF(A3432&lt;=NWeeks,1,0)</f>
        <v/>
      </c>
      <c r="I3432">
        <f>INDEX(ChLaunch,MATCH(E3432,ChName,0))</f>
        <v/>
      </c>
      <c r="J3432">
        <f>INDEX(ChWeeksFull,MATCH(E3432,ChName,0))</f>
        <v/>
      </c>
      <c r="K3432">
        <f>INDEX(ChRamp,MATCH(E3432,ChName,0))</f>
        <v/>
      </c>
      <c r="L3432" s="45">
        <f>MIN(1,MAX(0,(A3432-I3432+1)*RampSpeed/J3432))</f>
        <v/>
      </c>
      <c r="M3432" s="45">
        <f>IF(A3432&lt;I3432,0,IF(K3432="S-curve",L3432*L3432*(3-2*L3432),L3432))</f>
        <v/>
      </c>
      <c r="N3432" s="45">
        <f>1+(INDEX(SeasonIdx,A3432)-1)*SeasonAmp</f>
        <v/>
      </c>
      <c r="O3432" s="45">
        <f>IFERROR(INDEX(PSPct,MATCH(E3432&amp;"|"&amp;G3432,PSKey,0)),0)</f>
        <v/>
      </c>
      <c r="P3432" s="46" t="n">
        <v>0</v>
      </c>
      <c r="Q3432" s="46">
        <f>INDEX(OnlineUnitsCol,A3432)*O3432*(1+OnlineGrowth)*N3432*H3432*IF(A3432&gt;=I3432,1,0)</f>
        <v/>
      </c>
      <c r="R3432" s="46">
        <f>Q3432*INDEX(FmtCansPerPack,MATCH(F3432,FmtName,0))/INDEX(FmtCansPerCase,MATCH(F3432,FmtName,0))</f>
        <v/>
      </c>
      <c r="S3432" s="46">
        <f>R3432*INDEX(FmtCansPerCase,MATCH(F3432,FmtName,0))</f>
        <v/>
      </c>
      <c r="T3432" s="46">
        <f>S3432/INDEX(FmtCansPerPack,MATCH(F3432,FmtName,0))</f>
        <v/>
      </c>
      <c r="U3432" s="47">
        <f>INDEX(ProvOnline,MATCH(G3432,ProvCode,0))*(1+PriceIndex)</f>
        <v/>
      </c>
      <c r="V3432" s="47">
        <f>Q3432*U3432*INDEX(FmtBlendedPriceIdx,MATCH(F3432,FmtName,0))</f>
        <v/>
      </c>
      <c r="W3432" s="47">
        <f>V3432</f>
        <v/>
      </c>
      <c r="X3432" s="47">
        <f>IF(GrossBasis="Wholesale",V3432,W3432)</f>
        <v/>
      </c>
      <c r="Y3432" s="47">
        <f>R3432*INDEX(FmtBlendedCogs,MATCH(F3432,FmtName,0))</f>
        <v/>
      </c>
      <c r="Z3432" s="47">
        <f>X3432-Y3432</f>
        <v/>
      </c>
    </row>
    <row r="3433">
      <c r="A3433" t="n">
        <v>40</v>
      </c>
      <c r="B3433" s="44">
        <f>FiscalStart+(A3433-1)*7</f>
        <v/>
      </c>
      <c r="C3433">
        <f>TEXT(B3433,"mmm yyyy")</f>
        <v/>
      </c>
      <c r="D3433">
        <f>"Q"&amp;(INT((A3433-1)/13)+1)</f>
        <v/>
      </c>
      <c r="E3433" t="inlineStr">
        <is>
          <t>Online</t>
        </is>
      </c>
      <c r="F3433">
        <f>IFERROR(INDEX(ChFormat,MATCH(E3433,ChName,0)),"")</f>
        <v/>
      </c>
      <c r="G3433" t="inlineStr">
        <is>
          <t>ON</t>
        </is>
      </c>
      <c r="H3433">
        <f>IF(A3433&lt;=NWeeks,1,0)</f>
        <v/>
      </c>
      <c r="I3433">
        <f>INDEX(ChLaunch,MATCH(E3433,ChName,0))</f>
        <v/>
      </c>
      <c r="J3433">
        <f>INDEX(ChWeeksFull,MATCH(E3433,ChName,0))</f>
        <v/>
      </c>
      <c r="K3433">
        <f>INDEX(ChRamp,MATCH(E3433,ChName,0))</f>
        <v/>
      </c>
      <c r="L3433" s="45">
        <f>MIN(1,MAX(0,(A3433-I3433+1)*RampSpeed/J3433))</f>
        <v/>
      </c>
      <c r="M3433" s="45">
        <f>IF(A3433&lt;I3433,0,IF(K3433="S-curve",L3433*L3433*(3-2*L3433),L3433))</f>
        <v/>
      </c>
      <c r="N3433" s="45">
        <f>1+(INDEX(SeasonIdx,A3433)-1)*SeasonAmp</f>
        <v/>
      </c>
      <c r="O3433" s="45">
        <f>IFERROR(INDEX(PSPct,MATCH(E3433&amp;"|"&amp;G3433,PSKey,0)),0)</f>
        <v/>
      </c>
      <c r="P3433" s="46" t="n">
        <v>0</v>
      </c>
      <c r="Q3433" s="46">
        <f>INDEX(OnlineUnitsCol,A3433)*O3433*(1+OnlineGrowth)*N3433*H3433*IF(A3433&gt;=I3433,1,0)</f>
        <v/>
      </c>
      <c r="R3433" s="46">
        <f>Q3433*INDEX(FmtCansPerPack,MATCH(F3433,FmtName,0))/INDEX(FmtCansPerCase,MATCH(F3433,FmtName,0))</f>
        <v/>
      </c>
      <c r="S3433" s="46">
        <f>R3433*INDEX(FmtCansPerCase,MATCH(F3433,FmtName,0))</f>
        <v/>
      </c>
      <c r="T3433" s="46">
        <f>S3433/INDEX(FmtCansPerPack,MATCH(F3433,FmtName,0))</f>
        <v/>
      </c>
      <c r="U3433" s="47">
        <f>INDEX(ProvOnline,MATCH(G3433,ProvCode,0))*(1+PriceIndex)</f>
        <v/>
      </c>
      <c r="V3433" s="47">
        <f>Q3433*U3433*INDEX(FmtBlendedPriceIdx,MATCH(F3433,FmtName,0))</f>
        <v/>
      </c>
      <c r="W3433" s="47">
        <f>V3433</f>
        <v/>
      </c>
      <c r="X3433" s="47">
        <f>IF(GrossBasis="Wholesale",V3433,W3433)</f>
        <v/>
      </c>
      <c r="Y3433" s="47">
        <f>R3433*INDEX(FmtBlendedCogs,MATCH(F3433,FmtName,0))</f>
        <v/>
      </c>
      <c r="Z3433" s="47">
        <f>X3433-Y3433</f>
        <v/>
      </c>
    </row>
    <row r="3434">
      <c r="A3434" t="n">
        <v>41</v>
      </c>
      <c r="B3434" s="44">
        <f>FiscalStart+(A3434-1)*7</f>
        <v/>
      </c>
      <c r="C3434">
        <f>TEXT(B3434,"mmm yyyy")</f>
        <v/>
      </c>
      <c r="D3434">
        <f>"Q"&amp;(INT((A3434-1)/13)+1)</f>
        <v/>
      </c>
      <c r="E3434" t="inlineStr">
        <is>
          <t>Online</t>
        </is>
      </c>
      <c r="F3434">
        <f>IFERROR(INDEX(ChFormat,MATCH(E3434,ChName,0)),"")</f>
        <v/>
      </c>
      <c r="G3434" t="inlineStr">
        <is>
          <t>ON</t>
        </is>
      </c>
      <c r="H3434">
        <f>IF(A3434&lt;=NWeeks,1,0)</f>
        <v/>
      </c>
      <c r="I3434">
        <f>INDEX(ChLaunch,MATCH(E3434,ChName,0))</f>
        <v/>
      </c>
      <c r="J3434">
        <f>INDEX(ChWeeksFull,MATCH(E3434,ChName,0))</f>
        <v/>
      </c>
      <c r="K3434">
        <f>INDEX(ChRamp,MATCH(E3434,ChName,0))</f>
        <v/>
      </c>
      <c r="L3434" s="45">
        <f>MIN(1,MAX(0,(A3434-I3434+1)*RampSpeed/J3434))</f>
        <v/>
      </c>
      <c r="M3434" s="45">
        <f>IF(A3434&lt;I3434,0,IF(K3434="S-curve",L3434*L3434*(3-2*L3434),L3434))</f>
        <v/>
      </c>
      <c r="N3434" s="45">
        <f>1+(INDEX(SeasonIdx,A3434)-1)*SeasonAmp</f>
        <v/>
      </c>
      <c r="O3434" s="45">
        <f>IFERROR(INDEX(PSPct,MATCH(E3434&amp;"|"&amp;G3434,PSKey,0)),0)</f>
        <v/>
      </c>
      <c r="P3434" s="46" t="n">
        <v>0</v>
      </c>
      <c r="Q3434" s="46">
        <f>INDEX(OnlineUnitsCol,A3434)*O3434*(1+OnlineGrowth)*N3434*H3434*IF(A3434&gt;=I3434,1,0)</f>
        <v/>
      </c>
      <c r="R3434" s="46">
        <f>Q3434*INDEX(FmtCansPerPack,MATCH(F3434,FmtName,0))/INDEX(FmtCansPerCase,MATCH(F3434,FmtName,0))</f>
        <v/>
      </c>
      <c r="S3434" s="46">
        <f>R3434*INDEX(FmtCansPerCase,MATCH(F3434,FmtName,0))</f>
        <v/>
      </c>
      <c r="T3434" s="46">
        <f>S3434/INDEX(FmtCansPerPack,MATCH(F3434,FmtName,0))</f>
        <v/>
      </c>
      <c r="U3434" s="47">
        <f>INDEX(ProvOnline,MATCH(G3434,ProvCode,0))*(1+PriceIndex)</f>
        <v/>
      </c>
      <c r="V3434" s="47">
        <f>Q3434*U3434*INDEX(FmtBlendedPriceIdx,MATCH(F3434,FmtName,0))</f>
        <v/>
      </c>
      <c r="W3434" s="47">
        <f>V3434</f>
        <v/>
      </c>
      <c r="X3434" s="47">
        <f>IF(GrossBasis="Wholesale",V3434,W3434)</f>
        <v/>
      </c>
      <c r="Y3434" s="47">
        <f>R3434*INDEX(FmtBlendedCogs,MATCH(F3434,FmtName,0))</f>
        <v/>
      </c>
      <c r="Z3434" s="47">
        <f>X3434-Y3434</f>
        <v/>
      </c>
    </row>
    <row r="3435">
      <c r="A3435" t="n">
        <v>42</v>
      </c>
      <c r="B3435" s="44">
        <f>FiscalStart+(A3435-1)*7</f>
        <v/>
      </c>
      <c r="C3435">
        <f>TEXT(B3435,"mmm yyyy")</f>
        <v/>
      </c>
      <c r="D3435">
        <f>"Q"&amp;(INT((A3435-1)/13)+1)</f>
        <v/>
      </c>
      <c r="E3435" t="inlineStr">
        <is>
          <t>Online</t>
        </is>
      </c>
      <c r="F3435">
        <f>IFERROR(INDEX(ChFormat,MATCH(E3435,ChName,0)),"")</f>
        <v/>
      </c>
      <c r="G3435" t="inlineStr">
        <is>
          <t>ON</t>
        </is>
      </c>
      <c r="H3435">
        <f>IF(A3435&lt;=NWeeks,1,0)</f>
        <v/>
      </c>
      <c r="I3435">
        <f>INDEX(ChLaunch,MATCH(E3435,ChName,0))</f>
        <v/>
      </c>
      <c r="J3435">
        <f>INDEX(ChWeeksFull,MATCH(E3435,ChName,0))</f>
        <v/>
      </c>
      <c r="K3435">
        <f>INDEX(ChRamp,MATCH(E3435,ChName,0))</f>
        <v/>
      </c>
      <c r="L3435" s="45">
        <f>MIN(1,MAX(0,(A3435-I3435+1)*RampSpeed/J3435))</f>
        <v/>
      </c>
      <c r="M3435" s="45">
        <f>IF(A3435&lt;I3435,0,IF(K3435="S-curve",L3435*L3435*(3-2*L3435),L3435))</f>
        <v/>
      </c>
      <c r="N3435" s="45">
        <f>1+(INDEX(SeasonIdx,A3435)-1)*SeasonAmp</f>
        <v/>
      </c>
      <c r="O3435" s="45">
        <f>IFERROR(INDEX(PSPct,MATCH(E3435&amp;"|"&amp;G3435,PSKey,0)),0)</f>
        <v/>
      </c>
      <c r="P3435" s="46" t="n">
        <v>0</v>
      </c>
      <c r="Q3435" s="46">
        <f>INDEX(OnlineUnitsCol,A3435)*O3435*(1+OnlineGrowth)*N3435*H3435*IF(A3435&gt;=I3435,1,0)</f>
        <v/>
      </c>
      <c r="R3435" s="46">
        <f>Q3435*INDEX(FmtCansPerPack,MATCH(F3435,FmtName,0))/INDEX(FmtCansPerCase,MATCH(F3435,FmtName,0))</f>
        <v/>
      </c>
      <c r="S3435" s="46">
        <f>R3435*INDEX(FmtCansPerCase,MATCH(F3435,FmtName,0))</f>
        <v/>
      </c>
      <c r="T3435" s="46">
        <f>S3435/INDEX(FmtCansPerPack,MATCH(F3435,FmtName,0))</f>
        <v/>
      </c>
      <c r="U3435" s="47">
        <f>INDEX(ProvOnline,MATCH(G3435,ProvCode,0))*(1+PriceIndex)</f>
        <v/>
      </c>
      <c r="V3435" s="47">
        <f>Q3435*U3435*INDEX(FmtBlendedPriceIdx,MATCH(F3435,FmtName,0))</f>
        <v/>
      </c>
      <c r="W3435" s="47">
        <f>V3435</f>
        <v/>
      </c>
      <c r="X3435" s="47">
        <f>IF(GrossBasis="Wholesale",V3435,W3435)</f>
        <v/>
      </c>
      <c r="Y3435" s="47">
        <f>R3435*INDEX(FmtBlendedCogs,MATCH(F3435,FmtName,0))</f>
        <v/>
      </c>
      <c r="Z3435" s="47">
        <f>X3435-Y3435</f>
        <v/>
      </c>
    </row>
    <row r="3436">
      <c r="A3436" t="n">
        <v>43</v>
      </c>
      <c r="B3436" s="44">
        <f>FiscalStart+(A3436-1)*7</f>
        <v/>
      </c>
      <c r="C3436">
        <f>TEXT(B3436,"mmm yyyy")</f>
        <v/>
      </c>
      <c r="D3436">
        <f>"Q"&amp;(INT((A3436-1)/13)+1)</f>
        <v/>
      </c>
      <c r="E3436" t="inlineStr">
        <is>
          <t>Online</t>
        </is>
      </c>
      <c r="F3436">
        <f>IFERROR(INDEX(ChFormat,MATCH(E3436,ChName,0)),"")</f>
        <v/>
      </c>
      <c r="G3436" t="inlineStr">
        <is>
          <t>ON</t>
        </is>
      </c>
      <c r="H3436">
        <f>IF(A3436&lt;=NWeeks,1,0)</f>
        <v/>
      </c>
      <c r="I3436">
        <f>INDEX(ChLaunch,MATCH(E3436,ChName,0))</f>
        <v/>
      </c>
      <c r="J3436">
        <f>INDEX(ChWeeksFull,MATCH(E3436,ChName,0))</f>
        <v/>
      </c>
      <c r="K3436">
        <f>INDEX(ChRamp,MATCH(E3436,ChName,0))</f>
        <v/>
      </c>
      <c r="L3436" s="45">
        <f>MIN(1,MAX(0,(A3436-I3436+1)*RampSpeed/J3436))</f>
        <v/>
      </c>
      <c r="M3436" s="45">
        <f>IF(A3436&lt;I3436,0,IF(K3436="S-curve",L3436*L3436*(3-2*L3436),L3436))</f>
        <v/>
      </c>
      <c r="N3436" s="45">
        <f>1+(INDEX(SeasonIdx,A3436)-1)*SeasonAmp</f>
        <v/>
      </c>
      <c r="O3436" s="45">
        <f>IFERROR(INDEX(PSPct,MATCH(E3436&amp;"|"&amp;G3436,PSKey,0)),0)</f>
        <v/>
      </c>
      <c r="P3436" s="46" t="n">
        <v>0</v>
      </c>
      <c r="Q3436" s="46">
        <f>INDEX(OnlineUnitsCol,A3436)*O3436*(1+OnlineGrowth)*N3436*H3436*IF(A3436&gt;=I3436,1,0)</f>
        <v/>
      </c>
      <c r="R3436" s="46">
        <f>Q3436*INDEX(FmtCansPerPack,MATCH(F3436,FmtName,0))/INDEX(FmtCansPerCase,MATCH(F3436,FmtName,0))</f>
        <v/>
      </c>
      <c r="S3436" s="46">
        <f>R3436*INDEX(FmtCansPerCase,MATCH(F3436,FmtName,0))</f>
        <v/>
      </c>
      <c r="T3436" s="46">
        <f>S3436/INDEX(FmtCansPerPack,MATCH(F3436,FmtName,0))</f>
        <v/>
      </c>
      <c r="U3436" s="47">
        <f>INDEX(ProvOnline,MATCH(G3436,ProvCode,0))*(1+PriceIndex)</f>
        <v/>
      </c>
      <c r="V3436" s="47">
        <f>Q3436*U3436*INDEX(FmtBlendedPriceIdx,MATCH(F3436,FmtName,0))</f>
        <v/>
      </c>
      <c r="W3436" s="47">
        <f>V3436</f>
        <v/>
      </c>
      <c r="X3436" s="47">
        <f>IF(GrossBasis="Wholesale",V3436,W3436)</f>
        <v/>
      </c>
      <c r="Y3436" s="47">
        <f>R3436*INDEX(FmtBlendedCogs,MATCH(F3436,FmtName,0))</f>
        <v/>
      </c>
      <c r="Z3436" s="47">
        <f>X3436-Y3436</f>
        <v/>
      </c>
    </row>
    <row r="3437">
      <c r="A3437" t="n">
        <v>44</v>
      </c>
      <c r="B3437" s="44">
        <f>FiscalStart+(A3437-1)*7</f>
        <v/>
      </c>
      <c r="C3437">
        <f>TEXT(B3437,"mmm yyyy")</f>
        <v/>
      </c>
      <c r="D3437">
        <f>"Q"&amp;(INT((A3437-1)/13)+1)</f>
        <v/>
      </c>
      <c r="E3437" t="inlineStr">
        <is>
          <t>Online</t>
        </is>
      </c>
      <c r="F3437">
        <f>IFERROR(INDEX(ChFormat,MATCH(E3437,ChName,0)),"")</f>
        <v/>
      </c>
      <c r="G3437" t="inlineStr">
        <is>
          <t>ON</t>
        </is>
      </c>
      <c r="H3437">
        <f>IF(A3437&lt;=NWeeks,1,0)</f>
        <v/>
      </c>
      <c r="I3437">
        <f>INDEX(ChLaunch,MATCH(E3437,ChName,0))</f>
        <v/>
      </c>
      <c r="J3437">
        <f>INDEX(ChWeeksFull,MATCH(E3437,ChName,0))</f>
        <v/>
      </c>
      <c r="K3437">
        <f>INDEX(ChRamp,MATCH(E3437,ChName,0))</f>
        <v/>
      </c>
      <c r="L3437" s="45">
        <f>MIN(1,MAX(0,(A3437-I3437+1)*RampSpeed/J3437))</f>
        <v/>
      </c>
      <c r="M3437" s="45">
        <f>IF(A3437&lt;I3437,0,IF(K3437="S-curve",L3437*L3437*(3-2*L3437),L3437))</f>
        <v/>
      </c>
      <c r="N3437" s="45">
        <f>1+(INDEX(SeasonIdx,A3437)-1)*SeasonAmp</f>
        <v/>
      </c>
      <c r="O3437" s="45">
        <f>IFERROR(INDEX(PSPct,MATCH(E3437&amp;"|"&amp;G3437,PSKey,0)),0)</f>
        <v/>
      </c>
      <c r="P3437" s="46" t="n">
        <v>0</v>
      </c>
      <c r="Q3437" s="46">
        <f>INDEX(OnlineUnitsCol,A3437)*O3437*(1+OnlineGrowth)*N3437*H3437*IF(A3437&gt;=I3437,1,0)</f>
        <v/>
      </c>
      <c r="R3437" s="46">
        <f>Q3437*INDEX(FmtCansPerPack,MATCH(F3437,FmtName,0))/INDEX(FmtCansPerCase,MATCH(F3437,FmtName,0))</f>
        <v/>
      </c>
      <c r="S3437" s="46">
        <f>R3437*INDEX(FmtCansPerCase,MATCH(F3437,FmtName,0))</f>
        <v/>
      </c>
      <c r="T3437" s="46">
        <f>S3437/INDEX(FmtCansPerPack,MATCH(F3437,FmtName,0))</f>
        <v/>
      </c>
      <c r="U3437" s="47">
        <f>INDEX(ProvOnline,MATCH(G3437,ProvCode,0))*(1+PriceIndex)</f>
        <v/>
      </c>
      <c r="V3437" s="47">
        <f>Q3437*U3437*INDEX(FmtBlendedPriceIdx,MATCH(F3437,FmtName,0))</f>
        <v/>
      </c>
      <c r="W3437" s="47">
        <f>V3437</f>
        <v/>
      </c>
      <c r="X3437" s="47">
        <f>IF(GrossBasis="Wholesale",V3437,W3437)</f>
        <v/>
      </c>
      <c r="Y3437" s="47">
        <f>R3437*INDEX(FmtBlendedCogs,MATCH(F3437,FmtName,0))</f>
        <v/>
      </c>
      <c r="Z3437" s="47">
        <f>X3437-Y3437</f>
        <v/>
      </c>
    </row>
    <row r="3438">
      <c r="A3438" t="n">
        <v>45</v>
      </c>
      <c r="B3438" s="44">
        <f>FiscalStart+(A3438-1)*7</f>
        <v/>
      </c>
      <c r="C3438">
        <f>TEXT(B3438,"mmm yyyy")</f>
        <v/>
      </c>
      <c r="D3438">
        <f>"Q"&amp;(INT((A3438-1)/13)+1)</f>
        <v/>
      </c>
      <c r="E3438" t="inlineStr">
        <is>
          <t>Online</t>
        </is>
      </c>
      <c r="F3438">
        <f>IFERROR(INDEX(ChFormat,MATCH(E3438,ChName,0)),"")</f>
        <v/>
      </c>
      <c r="G3438" t="inlineStr">
        <is>
          <t>ON</t>
        </is>
      </c>
      <c r="H3438">
        <f>IF(A3438&lt;=NWeeks,1,0)</f>
        <v/>
      </c>
      <c r="I3438">
        <f>INDEX(ChLaunch,MATCH(E3438,ChName,0))</f>
        <v/>
      </c>
      <c r="J3438">
        <f>INDEX(ChWeeksFull,MATCH(E3438,ChName,0))</f>
        <v/>
      </c>
      <c r="K3438">
        <f>INDEX(ChRamp,MATCH(E3438,ChName,0))</f>
        <v/>
      </c>
      <c r="L3438" s="45">
        <f>MIN(1,MAX(0,(A3438-I3438+1)*RampSpeed/J3438))</f>
        <v/>
      </c>
      <c r="M3438" s="45">
        <f>IF(A3438&lt;I3438,0,IF(K3438="S-curve",L3438*L3438*(3-2*L3438),L3438))</f>
        <v/>
      </c>
      <c r="N3438" s="45">
        <f>1+(INDEX(SeasonIdx,A3438)-1)*SeasonAmp</f>
        <v/>
      </c>
      <c r="O3438" s="45">
        <f>IFERROR(INDEX(PSPct,MATCH(E3438&amp;"|"&amp;G3438,PSKey,0)),0)</f>
        <v/>
      </c>
      <c r="P3438" s="46" t="n">
        <v>0</v>
      </c>
      <c r="Q3438" s="46">
        <f>INDEX(OnlineUnitsCol,A3438)*O3438*(1+OnlineGrowth)*N3438*H3438*IF(A3438&gt;=I3438,1,0)</f>
        <v/>
      </c>
      <c r="R3438" s="46">
        <f>Q3438*INDEX(FmtCansPerPack,MATCH(F3438,FmtName,0))/INDEX(FmtCansPerCase,MATCH(F3438,FmtName,0))</f>
        <v/>
      </c>
      <c r="S3438" s="46">
        <f>R3438*INDEX(FmtCansPerCase,MATCH(F3438,FmtName,0))</f>
        <v/>
      </c>
      <c r="T3438" s="46">
        <f>S3438/INDEX(FmtCansPerPack,MATCH(F3438,FmtName,0))</f>
        <v/>
      </c>
      <c r="U3438" s="47">
        <f>INDEX(ProvOnline,MATCH(G3438,ProvCode,0))*(1+PriceIndex)</f>
        <v/>
      </c>
      <c r="V3438" s="47">
        <f>Q3438*U3438*INDEX(FmtBlendedPriceIdx,MATCH(F3438,FmtName,0))</f>
        <v/>
      </c>
      <c r="W3438" s="47">
        <f>V3438</f>
        <v/>
      </c>
      <c r="X3438" s="47">
        <f>IF(GrossBasis="Wholesale",V3438,W3438)</f>
        <v/>
      </c>
      <c r="Y3438" s="47">
        <f>R3438*INDEX(FmtBlendedCogs,MATCH(F3438,FmtName,0))</f>
        <v/>
      </c>
      <c r="Z3438" s="47">
        <f>X3438-Y3438</f>
        <v/>
      </c>
    </row>
    <row r="3439">
      <c r="A3439" t="n">
        <v>46</v>
      </c>
      <c r="B3439" s="44">
        <f>FiscalStart+(A3439-1)*7</f>
        <v/>
      </c>
      <c r="C3439">
        <f>TEXT(B3439,"mmm yyyy")</f>
        <v/>
      </c>
      <c r="D3439">
        <f>"Q"&amp;(INT((A3439-1)/13)+1)</f>
        <v/>
      </c>
      <c r="E3439" t="inlineStr">
        <is>
          <t>Online</t>
        </is>
      </c>
      <c r="F3439">
        <f>IFERROR(INDEX(ChFormat,MATCH(E3439,ChName,0)),"")</f>
        <v/>
      </c>
      <c r="G3439" t="inlineStr">
        <is>
          <t>ON</t>
        </is>
      </c>
      <c r="H3439">
        <f>IF(A3439&lt;=NWeeks,1,0)</f>
        <v/>
      </c>
      <c r="I3439">
        <f>INDEX(ChLaunch,MATCH(E3439,ChName,0))</f>
        <v/>
      </c>
      <c r="J3439">
        <f>INDEX(ChWeeksFull,MATCH(E3439,ChName,0))</f>
        <v/>
      </c>
      <c r="K3439">
        <f>INDEX(ChRamp,MATCH(E3439,ChName,0))</f>
        <v/>
      </c>
      <c r="L3439" s="45">
        <f>MIN(1,MAX(0,(A3439-I3439+1)*RampSpeed/J3439))</f>
        <v/>
      </c>
      <c r="M3439" s="45">
        <f>IF(A3439&lt;I3439,0,IF(K3439="S-curve",L3439*L3439*(3-2*L3439),L3439))</f>
        <v/>
      </c>
      <c r="N3439" s="45">
        <f>1+(INDEX(SeasonIdx,A3439)-1)*SeasonAmp</f>
        <v/>
      </c>
      <c r="O3439" s="45">
        <f>IFERROR(INDEX(PSPct,MATCH(E3439&amp;"|"&amp;G3439,PSKey,0)),0)</f>
        <v/>
      </c>
      <c r="P3439" s="46" t="n">
        <v>0</v>
      </c>
      <c r="Q3439" s="46">
        <f>INDEX(OnlineUnitsCol,A3439)*O3439*(1+OnlineGrowth)*N3439*H3439*IF(A3439&gt;=I3439,1,0)</f>
        <v/>
      </c>
      <c r="R3439" s="46">
        <f>Q3439*INDEX(FmtCansPerPack,MATCH(F3439,FmtName,0))/INDEX(FmtCansPerCase,MATCH(F3439,FmtName,0))</f>
        <v/>
      </c>
      <c r="S3439" s="46">
        <f>R3439*INDEX(FmtCansPerCase,MATCH(F3439,FmtName,0))</f>
        <v/>
      </c>
      <c r="T3439" s="46">
        <f>S3439/INDEX(FmtCansPerPack,MATCH(F3439,FmtName,0))</f>
        <v/>
      </c>
      <c r="U3439" s="47">
        <f>INDEX(ProvOnline,MATCH(G3439,ProvCode,0))*(1+PriceIndex)</f>
        <v/>
      </c>
      <c r="V3439" s="47">
        <f>Q3439*U3439*INDEX(FmtBlendedPriceIdx,MATCH(F3439,FmtName,0))</f>
        <v/>
      </c>
      <c r="W3439" s="47">
        <f>V3439</f>
        <v/>
      </c>
      <c r="X3439" s="47">
        <f>IF(GrossBasis="Wholesale",V3439,W3439)</f>
        <v/>
      </c>
      <c r="Y3439" s="47">
        <f>R3439*INDEX(FmtBlendedCogs,MATCH(F3439,FmtName,0))</f>
        <v/>
      </c>
      <c r="Z3439" s="47">
        <f>X3439-Y3439</f>
        <v/>
      </c>
    </row>
    <row r="3440">
      <c r="A3440" t="n">
        <v>47</v>
      </c>
      <c r="B3440" s="44">
        <f>FiscalStart+(A3440-1)*7</f>
        <v/>
      </c>
      <c r="C3440">
        <f>TEXT(B3440,"mmm yyyy")</f>
        <v/>
      </c>
      <c r="D3440">
        <f>"Q"&amp;(INT((A3440-1)/13)+1)</f>
        <v/>
      </c>
      <c r="E3440" t="inlineStr">
        <is>
          <t>Online</t>
        </is>
      </c>
      <c r="F3440">
        <f>IFERROR(INDEX(ChFormat,MATCH(E3440,ChName,0)),"")</f>
        <v/>
      </c>
      <c r="G3440" t="inlineStr">
        <is>
          <t>ON</t>
        </is>
      </c>
      <c r="H3440">
        <f>IF(A3440&lt;=NWeeks,1,0)</f>
        <v/>
      </c>
      <c r="I3440">
        <f>INDEX(ChLaunch,MATCH(E3440,ChName,0))</f>
        <v/>
      </c>
      <c r="J3440">
        <f>INDEX(ChWeeksFull,MATCH(E3440,ChName,0))</f>
        <v/>
      </c>
      <c r="K3440">
        <f>INDEX(ChRamp,MATCH(E3440,ChName,0))</f>
        <v/>
      </c>
      <c r="L3440" s="45">
        <f>MIN(1,MAX(0,(A3440-I3440+1)*RampSpeed/J3440))</f>
        <v/>
      </c>
      <c r="M3440" s="45">
        <f>IF(A3440&lt;I3440,0,IF(K3440="S-curve",L3440*L3440*(3-2*L3440),L3440))</f>
        <v/>
      </c>
      <c r="N3440" s="45">
        <f>1+(INDEX(SeasonIdx,A3440)-1)*SeasonAmp</f>
        <v/>
      </c>
      <c r="O3440" s="45">
        <f>IFERROR(INDEX(PSPct,MATCH(E3440&amp;"|"&amp;G3440,PSKey,0)),0)</f>
        <v/>
      </c>
      <c r="P3440" s="46" t="n">
        <v>0</v>
      </c>
      <c r="Q3440" s="46">
        <f>INDEX(OnlineUnitsCol,A3440)*O3440*(1+OnlineGrowth)*N3440*H3440*IF(A3440&gt;=I3440,1,0)</f>
        <v/>
      </c>
      <c r="R3440" s="46">
        <f>Q3440*INDEX(FmtCansPerPack,MATCH(F3440,FmtName,0))/INDEX(FmtCansPerCase,MATCH(F3440,FmtName,0))</f>
        <v/>
      </c>
      <c r="S3440" s="46">
        <f>R3440*INDEX(FmtCansPerCase,MATCH(F3440,FmtName,0))</f>
        <v/>
      </c>
      <c r="T3440" s="46">
        <f>S3440/INDEX(FmtCansPerPack,MATCH(F3440,FmtName,0))</f>
        <v/>
      </c>
      <c r="U3440" s="47">
        <f>INDEX(ProvOnline,MATCH(G3440,ProvCode,0))*(1+PriceIndex)</f>
        <v/>
      </c>
      <c r="V3440" s="47">
        <f>Q3440*U3440*INDEX(FmtBlendedPriceIdx,MATCH(F3440,FmtName,0))</f>
        <v/>
      </c>
      <c r="W3440" s="47">
        <f>V3440</f>
        <v/>
      </c>
      <c r="X3440" s="47">
        <f>IF(GrossBasis="Wholesale",V3440,W3440)</f>
        <v/>
      </c>
      <c r="Y3440" s="47">
        <f>R3440*INDEX(FmtBlendedCogs,MATCH(F3440,FmtName,0))</f>
        <v/>
      </c>
      <c r="Z3440" s="47">
        <f>X3440-Y3440</f>
        <v/>
      </c>
    </row>
    <row r="3441">
      <c r="A3441" t="n">
        <v>48</v>
      </c>
      <c r="B3441" s="44">
        <f>FiscalStart+(A3441-1)*7</f>
        <v/>
      </c>
      <c r="C3441">
        <f>TEXT(B3441,"mmm yyyy")</f>
        <v/>
      </c>
      <c r="D3441">
        <f>"Q"&amp;(INT((A3441-1)/13)+1)</f>
        <v/>
      </c>
      <c r="E3441" t="inlineStr">
        <is>
          <t>Online</t>
        </is>
      </c>
      <c r="F3441">
        <f>IFERROR(INDEX(ChFormat,MATCH(E3441,ChName,0)),"")</f>
        <v/>
      </c>
      <c r="G3441" t="inlineStr">
        <is>
          <t>ON</t>
        </is>
      </c>
      <c r="H3441">
        <f>IF(A3441&lt;=NWeeks,1,0)</f>
        <v/>
      </c>
      <c r="I3441">
        <f>INDEX(ChLaunch,MATCH(E3441,ChName,0))</f>
        <v/>
      </c>
      <c r="J3441">
        <f>INDEX(ChWeeksFull,MATCH(E3441,ChName,0))</f>
        <v/>
      </c>
      <c r="K3441">
        <f>INDEX(ChRamp,MATCH(E3441,ChName,0))</f>
        <v/>
      </c>
      <c r="L3441" s="45">
        <f>MIN(1,MAX(0,(A3441-I3441+1)*RampSpeed/J3441))</f>
        <v/>
      </c>
      <c r="M3441" s="45">
        <f>IF(A3441&lt;I3441,0,IF(K3441="S-curve",L3441*L3441*(3-2*L3441),L3441))</f>
        <v/>
      </c>
      <c r="N3441" s="45">
        <f>1+(INDEX(SeasonIdx,A3441)-1)*SeasonAmp</f>
        <v/>
      </c>
      <c r="O3441" s="45">
        <f>IFERROR(INDEX(PSPct,MATCH(E3441&amp;"|"&amp;G3441,PSKey,0)),0)</f>
        <v/>
      </c>
      <c r="P3441" s="46" t="n">
        <v>0</v>
      </c>
      <c r="Q3441" s="46">
        <f>INDEX(OnlineUnitsCol,A3441)*O3441*(1+OnlineGrowth)*N3441*H3441*IF(A3441&gt;=I3441,1,0)</f>
        <v/>
      </c>
      <c r="R3441" s="46">
        <f>Q3441*INDEX(FmtCansPerPack,MATCH(F3441,FmtName,0))/INDEX(FmtCansPerCase,MATCH(F3441,FmtName,0))</f>
        <v/>
      </c>
      <c r="S3441" s="46">
        <f>R3441*INDEX(FmtCansPerCase,MATCH(F3441,FmtName,0))</f>
        <v/>
      </c>
      <c r="T3441" s="46">
        <f>S3441/INDEX(FmtCansPerPack,MATCH(F3441,FmtName,0))</f>
        <v/>
      </c>
      <c r="U3441" s="47">
        <f>INDEX(ProvOnline,MATCH(G3441,ProvCode,0))*(1+PriceIndex)</f>
        <v/>
      </c>
      <c r="V3441" s="47">
        <f>Q3441*U3441*INDEX(FmtBlendedPriceIdx,MATCH(F3441,FmtName,0))</f>
        <v/>
      </c>
      <c r="W3441" s="47">
        <f>V3441</f>
        <v/>
      </c>
      <c r="X3441" s="47">
        <f>IF(GrossBasis="Wholesale",V3441,W3441)</f>
        <v/>
      </c>
      <c r="Y3441" s="47">
        <f>R3441*INDEX(FmtBlendedCogs,MATCH(F3441,FmtName,0))</f>
        <v/>
      </c>
      <c r="Z3441" s="47">
        <f>X3441-Y3441</f>
        <v/>
      </c>
    </row>
    <row r="3442">
      <c r="A3442" t="n">
        <v>49</v>
      </c>
      <c r="B3442" s="44">
        <f>FiscalStart+(A3442-1)*7</f>
        <v/>
      </c>
      <c r="C3442">
        <f>TEXT(B3442,"mmm yyyy")</f>
        <v/>
      </c>
      <c r="D3442">
        <f>"Q"&amp;(INT((A3442-1)/13)+1)</f>
        <v/>
      </c>
      <c r="E3442" t="inlineStr">
        <is>
          <t>Online</t>
        </is>
      </c>
      <c r="F3442">
        <f>IFERROR(INDEX(ChFormat,MATCH(E3442,ChName,0)),"")</f>
        <v/>
      </c>
      <c r="G3442" t="inlineStr">
        <is>
          <t>ON</t>
        </is>
      </c>
      <c r="H3442">
        <f>IF(A3442&lt;=NWeeks,1,0)</f>
        <v/>
      </c>
      <c r="I3442">
        <f>INDEX(ChLaunch,MATCH(E3442,ChName,0))</f>
        <v/>
      </c>
      <c r="J3442">
        <f>INDEX(ChWeeksFull,MATCH(E3442,ChName,0))</f>
        <v/>
      </c>
      <c r="K3442">
        <f>INDEX(ChRamp,MATCH(E3442,ChName,0))</f>
        <v/>
      </c>
      <c r="L3442" s="45">
        <f>MIN(1,MAX(0,(A3442-I3442+1)*RampSpeed/J3442))</f>
        <v/>
      </c>
      <c r="M3442" s="45">
        <f>IF(A3442&lt;I3442,0,IF(K3442="S-curve",L3442*L3442*(3-2*L3442),L3442))</f>
        <v/>
      </c>
      <c r="N3442" s="45">
        <f>1+(INDEX(SeasonIdx,A3442)-1)*SeasonAmp</f>
        <v/>
      </c>
      <c r="O3442" s="45">
        <f>IFERROR(INDEX(PSPct,MATCH(E3442&amp;"|"&amp;G3442,PSKey,0)),0)</f>
        <v/>
      </c>
      <c r="P3442" s="46" t="n">
        <v>0</v>
      </c>
      <c r="Q3442" s="46">
        <f>INDEX(OnlineUnitsCol,A3442)*O3442*(1+OnlineGrowth)*N3442*H3442*IF(A3442&gt;=I3442,1,0)</f>
        <v/>
      </c>
      <c r="R3442" s="46">
        <f>Q3442*INDEX(FmtCansPerPack,MATCH(F3442,FmtName,0))/INDEX(FmtCansPerCase,MATCH(F3442,FmtName,0))</f>
        <v/>
      </c>
      <c r="S3442" s="46">
        <f>R3442*INDEX(FmtCansPerCase,MATCH(F3442,FmtName,0))</f>
        <v/>
      </c>
      <c r="T3442" s="46">
        <f>S3442/INDEX(FmtCansPerPack,MATCH(F3442,FmtName,0))</f>
        <v/>
      </c>
      <c r="U3442" s="47">
        <f>INDEX(ProvOnline,MATCH(G3442,ProvCode,0))*(1+PriceIndex)</f>
        <v/>
      </c>
      <c r="V3442" s="47">
        <f>Q3442*U3442*INDEX(FmtBlendedPriceIdx,MATCH(F3442,FmtName,0))</f>
        <v/>
      </c>
      <c r="W3442" s="47">
        <f>V3442</f>
        <v/>
      </c>
      <c r="X3442" s="47">
        <f>IF(GrossBasis="Wholesale",V3442,W3442)</f>
        <v/>
      </c>
      <c r="Y3442" s="47">
        <f>R3442*INDEX(FmtBlendedCogs,MATCH(F3442,FmtName,0))</f>
        <v/>
      </c>
      <c r="Z3442" s="47">
        <f>X3442-Y3442</f>
        <v/>
      </c>
    </row>
    <row r="3443">
      <c r="A3443" t="n">
        <v>50</v>
      </c>
      <c r="B3443" s="44">
        <f>FiscalStart+(A3443-1)*7</f>
        <v/>
      </c>
      <c r="C3443">
        <f>TEXT(B3443,"mmm yyyy")</f>
        <v/>
      </c>
      <c r="D3443">
        <f>"Q"&amp;(INT((A3443-1)/13)+1)</f>
        <v/>
      </c>
      <c r="E3443" t="inlineStr">
        <is>
          <t>Online</t>
        </is>
      </c>
      <c r="F3443">
        <f>IFERROR(INDEX(ChFormat,MATCH(E3443,ChName,0)),"")</f>
        <v/>
      </c>
      <c r="G3443" t="inlineStr">
        <is>
          <t>ON</t>
        </is>
      </c>
      <c r="H3443">
        <f>IF(A3443&lt;=NWeeks,1,0)</f>
        <v/>
      </c>
      <c r="I3443">
        <f>INDEX(ChLaunch,MATCH(E3443,ChName,0))</f>
        <v/>
      </c>
      <c r="J3443">
        <f>INDEX(ChWeeksFull,MATCH(E3443,ChName,0))</f>
        <v/>
      </c>
      <c r="K3443">
        <f>INDEX(ChRamp,MATCH(E3443,ChName,0))</f>
        <v/>
      </c>
      <c r="L3443" s="45">
        <f>MIN(1,MAX(0,(A3443-I3443+1)*RampSpeed/J3443))</f>
        <v/>
      </c>
      <c r="M3443" s="45">
        <f>IF(A3443&lt;I3443,0,IF(K3443="S-curve",L3443*L3443*(3-2*L3443),L3443))</f>
        <v/>
      </c>
      <c r="N3443" s="45">
        <f>1+(INDEX(SeasonIdx,A3443)-1)*SeasonAmp</f>
        <v/>
      </c>
      <c r="O3443" s="45">
        <f>IFERROR(INDEX(PSPct,MATCH(E3443&amp;"|"&amp;G3443,PSKey,0)),0)</f>
        <v/>
      </c>
      <c r="P3443" s="46" t="n">
        <v>0</v>
      </c>
      <c r="Q3443" s="46">
        <f>INDEX(OnlineUnitsCol,A3443)*O3443*(1+OnlineGrowth)*N3443*H3443*IF(A3443&gt;=I3443,1,0)</f>
        <v/>
      </c>
      <c r="R3443" s="46">
        <f>Q3443*INDEX(FmtCansPerPack,MATCH(F3443,FmtName,0))/INDEX(FmtCansPerCase,MATCH(F3443,FmtName,0))</f>
        <v/>
      </c>
      <c r="S3443" s="46">
        <f>R3443*INDEX(FmtCansPerCase,MATCH(F3443,FmtName,0))</f>
        <v/>
      </c>
      <c r="T3443" s="46">
        <f>S3443/INDEX(FmtCansPerPack,MATCH(F3443,FmtName,0))</f>
        <v/>
      </c>
      <c r="U3443" s="47">
        <f>INDEX(ProvOnline,MATCH(G3443,ProvCode,0))*(1+PriceIndex)</f>
        <v/>
      </c>
      <c r="V3443" s="47">
        <f>Q3443*U3443*INDEX(FmtBlendedPriceIdx,MATCH(F3443,FmtName,0))</f>
        <v/>
      </c>
      <c r="W3443" s="47">
        <f>V3443</f>
        <v/>
      </c>
      <c r="X3443" s="47">
        <f>IF(GrossBasis="Wholesale",V3443,W3443)</f>
        <v/>
      </c>
      <c r="Y3443" s="47">
        <f>R3443*INDEX(FmtBlendedCogs,MATCH(F3443,FmtName,0))</f>
        <v/>
      </c>
      <c r="Z3443" s="47">
        <f>X3443-Y3443</f>
        <v/>
      </c>
    </row>
    <row r="3444">
      <c r="A3444" t="n">
        <v>51</v>
      </c>
      <c r="B3444" s="44">
        <f>FiscalStart+(A3444-1)*7</f>
        <v/>
      </c>
      <c r="C3444">
        <f>TEXT(B3444,"mmm yyyy")</f>
        <v/>
      </c>
      <c r="D3444">
        <f>"Q"&amp;(INT((A3444-1)/13)+1)</f>
        <v/>
      </c>
      <c r="E3444" t="inlineStr">
        <is>
          <t>Online</t>
        </is>
      </c>
      <c r="F3444">
        <f>IFERROR(INDEX(ChFormat,MATCH(E3444,ChName,0)),"")</f>
        <v/>
      </c>
      <c r="G3444" t="inlineStr">
        <is>
          <t>ON</t>
        </is>
      </c>
      <c r="H3444">
        <f>IF(A3444&lt;=NWeeks,1,0)</f>
        <v/>
      </c>
      <c r="I3444">
        <f>INDEX(ChLaunch,MATCH(E3444,ChName,0))</f>
        <v/>
      </c>
      <c r="J3444">
        <f>INDEX(ChWeeksFull,MATCH(E3444,ChName,0))</f>
        <v/>
      </c>
      <c r="K3444">
        <f>INDEX(ChRamp,MATCH(E3444,ChName,0))</f>
        <v/>
      </c>
      <c r="L3444" s="45">
        <f>MIN(1,MAX(0,(A3444-I3444+1)*RampSpeed/J3444))</f>
        <v/>
      </c>
      <c r="M3444" s="45">
        <f>IF(A3444&lt;I3444,0,IF(K3444="S-curve",L3444*L3444*(3-2*L3444),L3444))</f>
        <v/>
      </c>
      <c r="N3444" s="45">
        <f>1+(INDEX(SeasonIdx,A3444)-1)*SeasonAmp</f>
        <v/>
      </c>
      <c r="O3444" s="45">
        <f>IFERROR(INDEX(PSPct,MATCH(E3444&amp;"|"&amp;G3444,PSKey,0)),0)</f>
        <v/>
      </c>
      <c r="P3444" s="46" t="n">
        <v>0</v>
      </c>
      <c r="Q3444" s="46">
        <f>INDEX(OnlineUnitsCol,A3444)*O3444*(1+OnlineGrowth)*N3444*H3444*IF(A3444&gt;=I3444,1,0)</f>
        <v/>
      </c>
      <c r="R3444" s="46">
        <f>Q3444*INDEX(FmtCansPerPack,MATCH(F3444,FmtName,0))/INDEX(FmtCansPerCase,MATCH(F3444,FmtName,0))</f>
        <v/>
      </c>
      <c r="S3444" s="46">
        <f>R3444*INDEX(FmtCansPerCase,MATCH(F3444,FmtName,0))</f>
        <v/>
      </c>
      <c r="T3444" s="46">
        <f>S3444/INDEX(FmtCansPerPack,MATCH(F3444,FmtName,0))</f>
        <v/>
      </c>
      <c r="U3444" s="47">
        <f>INDEX(ProvOnline,MATCH(G3444,ProvCode,0))*(1+PriceIndex)</f>
        <v/>
      </c>
      <c r="V3444" s="47">
        <f>Q3444*U3444*INDEX(FmtBlendedPriceIdx,MATCH(F3444,FmtName,0))</f>
        <v/>
      </c>
      <c r="W3444" s="47">
        <f>V3444</f>
        <v/>
      </c>
      <c r="X3444" s="47">
        <f>IF(GrossBasis="Wholesale",V3444,W3444)</f>
        <v/>
      </c>
      <c r="Y3444" s="47">
        <f>R3444*INDEX(FmtBlendedCogs,MATCH(F3444,FmtName,0))</f>
        <v/>
      </c>
      <c r="Z3444" s="47">
        <f>X3444-Y3444</f>
        <v/>
      </c>
    </row>
    <row r="3445">
      <c r="A3445" t="n">
        <v>52</v>
      </c>
      <c r="B3445" s="44">
        <f>FiscalStart+(A3445-1)*7</f>
        <v/>
      </c>
      <c r="C3445">
        <f>TEXT(B3445,"mmm yyyy")</f>
        <v/>
      </c>
      <c r="D3445">
        <f>"Q"&amp;(INT((A3445-1)/13)+1)</f>
        <v/>
      </c>
      <c r="E3445" t="inlineStr">
        <is>
          <t>Online</t>
        </is>
      </c>
      <c r="F3445">
        <f>IFERROR(INDEX(ChFormat,MATCH(E3445,ChName,0)),"")</f>
        <v/>
      </c>
      <c r="G3445" t="inlineStr">
        <is>
          <t>ON</t>
        </is>
      </c>
      <c r="H3445">
        <f>IF(A3445&lt;=NWeeks,1,0)</f>
        <v/>
      </c>
      <c r="I3445">
        <f>INDEX(ChLaunch,MATCH(E3445,ChName,0))</f>
        <v/>
      </c>
      <c r="J3445">
        <f>INDEX(ChWeeksFull,MATCH(E3445,ChName,0))</f>
        <v/>
      </c>
      <c r="K3445">
        <f>INDEX(ChRamp,MATCH(E3445,ChName,0))</f>
        <v/>
      </c>
      <c r="L3445" s="45">
        <f>MIN(1,MAX(0,(A3445-I3445+1)*RampSpeed/J3445))</f>
        <v/>
      </c>
      <c r="M3445" s="45">
        <f>IF(A3445&lt;I3445,0,IF(K3445="S-curve",L3445*L3445*(3-2*L3445),L3445))</f>
        <v/>
      </c>
      <c r="N3445" s="45">
        <f>1+(INDEX(SeasonIdx,A3445)-1)*SeasonAmp</f>
        <v/>
      </c>
      <c r="O3445" s="45">
        <f>IFERROR(INDEX(PSPct,MATCH(E3445&amp;"|"&amp;G3445,PSKey,0)),0)</f>
        <v/>
      </c>
      <c r="P3445" s="46" t="n">
        <v>0</v>
      </c>
      <c r="Q3445" s="46">
        <f>INDEX(OnlineUnitsCol,A3445)*O3445*(1+OnlineGrowth)*N3445*H3445*IF(A3445&gt;=I3445,1,0)</f>
        <v/>
      </c>
      <c r="R3445" s="46">
        <f>Q3445*INDEX(FmtCansPerPack,MATCH(F3445,FmtName,0))/INDEX(FmtCansPerCase,MATCH(F3445,FmtName,0))</f>
        <v/>
      </c>
      <c r="S3445" s="46">
        <f>R3445*INDEX(FmtCansPerCase,MATCH(F3445,FmtName,0))</f>
        <v/>
      </c>
      <c r="T3445" s="46">
        <f>S3445/INDEX(FmtCansPerPack,MATCH(F3445,FmtName,0))</f>
        <v/>
      </c>
      <c r="U3445" s="47">
        <f>INDEX(ProvOnline,MATCH(G3445,ProvCode,0))*(1+PriceIndex)</f>
        <v/>
      </c>
      <c r="V3445" s="47">
        <f>Q3445*U3445*INDEX(FmtBlendedPriceIdx,MATCH(F3445,FmtName,0))</f>
        <v/>
      </c>
      <c r="W3445" s="47">
        <f>V3445</f>
        <v/>
      </c>
      <c r="X3445" s="47">
        <f>IF(GrossBasis="Wholesale",V3445,W3445)</f>
        <v/>
      </c>
      <c r="Y3445" s="47">
        <f>R3445*INDEX(FmtBlendedCogs,MATCH(F3445,FmtName,0))</f>
        <v/>
      </c>
      <c r="Z3445" s="47">
        <f>X3445-Y3445</f>
        <v/>
      </c>
    </row>
    <row r="3446">
      <c r="A3446" t="n">
        <v>53</v>
      </c>
      <c r="B3446" s="44">
        <f>FiscalStart+(A3446-1)*7</f>
        <v/>
      </c>
      <c r="C3446">
        <f>TEXT(B3446,"mmm yyyy")</f>
        <v/>
      </c>
      <c r="D3446">
        <f>"Q"&amp;(INT((A3446-1)/13)+1)</f>
        <v/>
      </c>
      <c r="E3446" t="inlineStr">
        <is>
          <t>Online</t>
        </is>
      </c>
      <c r="F3446">
        <f>IFERROR(INDEX(ChFormat,MATCH(E3446,ChName,0)),"")</f>
        <v/>
      </c>
      <c r="G3446" t="inlineStr">
        <is>
          <t>ON</t>
        </is>
      </c>
      <c r="H3446">
        <f>IF(A3446&lt;=NWeeks,1,0)</f>
        <v/>
      </c>
      <c r="I3446">
        <f>INDEX(ChLaunch,MATCH(E3446,ChName,0))</f>
        <v/>
      </c>
      <c r="J3446">
        <f>INDEX(ChWeeksFull,MATCH(E3446,ChName,0))</f>
        <v/>
      </c>
      <c r="K3446">
        <f>INDEX(ChRamp,MATCH(E3446,ChName,0))</f>
        <v/>
      </c>
      <c r="L3446" s="45">
        <f>MIN(1,MAX(0,(A3446-I3446+1)*RampSpeed/J3446))</f>
        <v/>
      </c>
      <c r="M3446" s="45">
        <f>IF(A3446&lt;I3446,0,IF(K3446="S-curve",L3446*L3446*(3-2*L3446),L3446))</f>
        <v/>
      </c>
      <c r="N3446" s="45">
        <f>1+(INDEX(SeasonIdx,A3446)-1)*SeasonAmp</f>
        <v/>
      </c>
      <c r="O3446" s="45">
        <f>IFERROR(INDEX(PSPct,MATCH(E3446&amp;"|"&amp;G3446,PSKey,0)),0)</f>
        <v/>
      </c>
      <c r="P3446" s="46" t="n">
        <v>0</v>
      </c>
      <c r="Q3446" s="46">
        <f>INDEX(OnlineUnitsCol,A3446)*O3446*(1+OnlineGrowth)*N3446*H3446*IF(A3446&gt;=I3446,1,0)</f>
        <v/>
      </c>
      <c r="R3446" s="46">
        <f>Q3446*INDEX(FmtCansPerPack,MATCH(F3446,FmtName,0))/INDEX(FmtCansPerCase,MATCH(F3446,FmtName,0))</f>
        <v/>
      </c>
      <c r="S3446" s="46">
        <f>R3446*INDEX(FmtCansPerCase,MATCH(F3446,FmtName,0))</f>
        <v/>
      </c>
      <c r="T3446" s="46">
        <f>S3446/INDEX(FmtCansPerPack,MATCH(F3446,FmtName,0))</f>
        <v/>
      </c>
      <c r="U3446" s="47">
        <f>INDEX(ProvOnline,MATCH(G3446,ProvCode,0))*(1+PriceIndex)</f>
        <v/>
      </c>
      <c r="V3446" s="47">
        <f>Q3446*U3446*INDEX(FmtBlendedPriceIdx,MATCH(F3446,FmtName,0))</f>
        <v/>
      </c>
      <c r="W3446" s="47">
        <f>V3446</f>
        <v/>
      </c>
      <c r="X3446" s="47">
        <f>IF(GrossBasis="Wholesale",V3446,W3446)</f>
        <v/>
      </c>
      <c r="Y3446" s="47">
        <f>R3446*INDEX(FmtBlendedCogs,MATCH(F3446,FmtName,0))</f>
        <v/>
      </c>
      <c r="Z3446" s="47">
        <f>X3446-Y3446</f>
        <v/>
      </c>
    </row>
    <row r="3447">
      <c r="A3447" t="n">
        <v>1</v>
      </c>
      <c r="B3447" s="44">
        <f>FiscalStart+(A3447-1)*7</f>
        <v/>
      </c>
      <c r="C3447">
        <f>TEXT(B3447,"mmm yyyy")</f>
        <v/>
      </c>
      <c r="D3447">
        <f>"Q"&amp;(INT((A3447-1)/13)+1)</f>
        <v/>
      </c>
      <c r="E3447" t="inlineStr">
        <is>
          <t>Online</t>
        </is>
      </c>
      <c r="F3447">
        <f>IFERROR(INDEX(ChFormat,MATCH(E3447,ChName,0)),"")</f>
        <v/>
      </c>
      <c r="G3447" t="inlineStr">
        <is>
          <t>QC</t>
        </is>
      </c>
      <c r="H3447">
        <f>IF(A3447&lt;=NWeeks,1,0)</f>
        <v/>
      </c>
      <c r="I3447">
        <f>INDEX(ChLaunch,MATCH(E3447,ChName,0))</f>
        <v/>
      </c>
      <c r="J3447">
        <f>INDEX(ChWeeksFull,MATCH(E3447,ChName,0))</f>
        <v/>
      </c>
      <c r="K3447">
        <f>INDEX(ChRamp,MATCH(E3447,ChName,0))</f>
        <v/>
      </c>
      <c r="L3447" s="45">
        <f>MIN(1,MAX(0,(A3447-I3447+1)*RampSpeed/J3447))</f>
        <v/>
      </c>
      <c r="M3447" s="45">
        <f>IF(A3447&lt;I3447,0,IF(K3447="S-curve",L3447*L3447*(3-2*L3447),L3447))</f>
        <v/>
      </c>
      <c r="N3447" s="45">
        <f>1+(INDEX(SeasonIdx,A3447)-1)*SeasonAmp</f>
        <v/>
      </c>
      <c r="O3447" s="45">
        <f>IFERROR(INDEX(PSPct,MATCH(E3447&amp;"|"&amp;G3447,PSKey,0)),0)</f>
        <v/>
      </c>
      <c r="P3447" s="46" t="n">
        <v>0</v>
      </c>
      <c r="Q3447" s="46">
        <f>INDEX(OnlineUnitsCol,A3447)*O3447*(1+OnlineGrowth)*N3447*H3447*IF(A3447&gt;=I3447,1,0)</f>
        <v/>
      </c>
      <c r="R3447" s="46">
        <f>Q3447*INDEX(FmtCansPerPack,MATCH(F3447,FmtName,0))/INDEX(FmtCansPerCase,MATCH(F3447,FmtName,0))</f>
        <v/>
      </c>
      <c r="S3447" s="46">
        <f>R3447*INDEX(FmtCansPerCase,MATCH(F3447,FmtName,0))</f>
        <v/>
      </c>
      <c r="T3447" s="46">
        <f>S3447/INDEX(FmtCansPerPack,MATCH(F3447,FmtName,0))</f>
        <v/>
      </c>
      <c r="U3447" s="47">
        <f>INDEX(ProvOnline,MATCH(G3447,ProvCode,0))*(1+PriceIndex)</f>
        <v/>
      </c>
      <c r="V3447" s="47">
        <f>Q3447*U3447*INDEX(FmtBlendedPriceIdx,MATCH(F3447,FmtName,0))</f>
        <v/>
      </c>
      <c r="W3447" s="47">
        <f>V3447</f>
        <v/>
      </c>
      <c r="X3447" s="47">
        <f>IF(GrossBasis="Wholesale",V3447,W3447)</f>
        <v/>
      </c>
      <c r="Y3447" s="47">
        <f>R3447*INDEX(FmtBlendedCogs,MATCH(F3447,FmtName,0))</f>
        <v/>
      </c>
      <c r="Z3447" s="47">
        <f>X3447-Y3447</f>
        <v/>
      </c>
    </row>
    <row r="3448">
      <c r="A3448" t="n">
        <v>2</v>
      </c>
      <c r="B3448" s="44">
        <f>FiscalStart+(A3448-1)*7</f>
        <v/>
      </c>
      <c r="C3448">
        <f>TEXT(B3448,"mmm yyyy")</f>
        <v/>
      </c>
      <c r="D3448">
        <f>"Q"&amp;(INT((A3448-1)/13)+1)</f>
        <v/>
      </c>
      <c r="E3448" t="inlineStr">
        <is>
          <t>Online</t>
        </is>
      </c>
      <c r="F3448">
        <f>IFERROR(INDEX(ChFormat,MATCH(E3448,ChName,0)),"")</f>
        <v/>
      </c>
      <c r="G3448" t="inlineStr">
        <is>
          <t>QC</t>
        </is>
      </c>
      <c r="H3448">
        <f>IF(A3448&lt;=NWeeks,1,0)</f>
        <v/>
      </c>
      <c r="I3448">
        <f>INDEX(ChLaunch,MATCH(E3448,ChName,0))</f>
        <v/>
      </c>
      <c r="J3448">
        <f>INDEX(ChWeeksFull,MATCH(E3448,ChName,0))</f>
        <v/>
      </c>
      <c r="K3448">
        <f>INDEX(ChRamp,MATCH(E3448,ChName,0))</f>
        <v/>
      </c>
      <c r="L3448" s="45">
        <f>MIN(1,MAX(0,(A3448-I3448+1)*RampSpeed/J3448))</f>
        <v/>
      </c>
      <c r="M3448" s="45">
        <f>IF(A3448&lt;I3448,0,IF(K3448="S-curve",L3448*L3448*(3-2*L3448),L3448))</f>
        <v/>
      </c>
      <c r="N3448" s="45">
        <f>1+(INDEX(SeasonIdx,A3448)-1)*SeasonAmp</f>
        <v/>
      </c>
      <c r="O3448" s="45">
        <f>IFERROR(INDEX(PSPct,MATCH(E3448&amp;"|"&amp;G3448,PSKey,0)),0)</f>
        <v/>
      </c>
      <c r="P3448" s="46" t="n">
        <v>0</v>
      </c>
      <c r="Q3448" s="46">
        <f>INDEX(OnlineUnitsCol,A3448)*O3448*(1+OnlineGrowth)*N3448*H3448*IF(A3448&gt;=I3448,1,0)</f>
        <v/>
      </c>
      <c r="R3448" s="46">
        <f>Q3448*INDEX(FmtCansPerPack,MATCH(F3448,FmtName,0))/INDEX(FmtCansPerCase,MATCH(F3448,FmtName,0))</f>
        <v/>
      </c>
      <c r="S3448" s="46">
        <f>R3448*INDEX(FmtCansPerCase,MATCH(F3448,FmtName,0))</f>
        <v/>
      </c>
      <c r="T3448" s="46">
        <f>S3448/INDEX(FmtCansPerPack,MATCH(F3448,FmtName,0))</f>
        <v/>
      </c>
      <c r="U3448" s="47">
        <f>INDEX(ProvOnline,MATCH(G3448,ProvCode,0))*(1+PriceIndex)</f>
        <v/>
      </c>
      <c r="V3448" s="47">
        <f>Q3448*U3448*INDEX(FmtBlendedPriceIdx,MATCH(F3448,FmtName,0))</f>
        <v/>
      </c>
      <c r="W3448" s="47">
        <f>V3448</f>
        <v/>
      </c>
      <c r="X3448" s="47">
        <f>IF(GrossBasis="Wholesale",V3448,W3448)</f>
        <v/>
      </c>
      <c r="Y3448" s="47">
        <f>R3448*INDEX(FmtBlendedCogs,MATCH(F3448,FmtName,0))</f>
        <v/>
      </c>
      <c r="Z3448" s="47">
        <f>X3448-Y3448</f>
        <v/>
      </c>
    </row>
    <row r="3449">
      <c r="A3449" t="n">
        <v>3</v>
      </c>
      <c r="B3449" s="44">
        <f>FiscalStart+(A3449-1)*7</f>
        <v/>
      </c>
      <c r="C3449">
        <f>TEXT(B3449,"mmm yyyy")</f>
        <v/>
      </c>
      <c r="D3449">
        <f>"Q"&amp;(INT((A3449-1)/13)+1)</f>
        <v/>
      </c>
      <c r="E3449" t="inlineStr">
        <is>
          <t>Online</t>
        </is>
      </c>
      <c r="F3449">
        <f>IFERROR(INDEX(ChFormat,MATCH(E3449,ChName,0)),"")</f>
        <v/>
      </c>
      <c r="G3449" t="inlineStr">
        <is>
          <t>QC</t>
        </is>
      </c>
      <c r="H3449">
        <f>IF(A3449&lt;=NWeeks,1,0)</f>
        <v/>
      </c>
      <c r="I3449">
        <f>INDEX(ChLaunch,MATCH(E3449,ChName,0))</f>
        <v/>
      </c>
      <c r="J3449">
        <f>INDEX(ChWeeksFull,MATCH(E3449,ChName,0))</f>
        <v/>
      </c>
      <c r="K3449">
        <f>INDEX(ChRamp,MATCH(E3449,ChName,0))</f>
        <v/>
      </c>
      <c r="L3449" s="45">
        <f>MIN(1,MAX(0,(A3449-I3449+1)*RampSpeed/J3449))</f>
        <v/>
      </c>
      <c r="M3449" s="45">
        <f>IF(A3449&lt;I3449,0,IF(K3449="S-curve",L3449*L3449*(3-2*L3449),L3449))</f>
        <v/>
      </c>
      <c r="N3449" s="45">
        <f>1+(INDEX(SeasonIdx,A3449)-1)*SeasonAmp</f>
        <v/>
      </c>
      <c r="O3449" s="45">
        <f>IFERROR(INDEX(PSPct,MATCH(E3449&amp;"|"&amp;G3449,PSKey,0)),0)</f>
        <v/>
      </c>
      <c r="P3449" s="46" t="n">
        <v>0</v>
      </c>
      <c r="Q3449" s="46">
        <f>INDEX(OnlineUnitsCol,A3449)*O3449*(1+OnlineGrowth)*N3449*H3449*IF(A3449&gt;=I3449,1,0)</f>
        <v/>
      </c>
      <c r="R3449" s="46">
        <f>Q3449*INDEX(FmtCansPerPack,MATCH(F3449,FmtName,0))/INDEX(FmtCansPerCase,MATCH(F3449,FmtName,0))</f>
        <v/>
      </c>
      <c r="S3449" s="46">
        <f>R3449*INDEX(FmtCansPerCase,MATCH(F3449,FmtName,0))</f>
        <v/>
      </c>
      <c r="T3449" s="46">
        <f>S3449/INDEX(FmtCansPerPack,MATCH(F3449,FmtName,0))</f>
        <v/>
      </c>
      <c r="U3449" s="47">
        <f>INDEX(ProvOnline,MATCH(G3449,ProvCode,0))*(1+PriceIndex)</f>
        <v/>
      </c>
      <c r="V3449" s="47">
        <f>Q3449*U3449*INDEX(FmtBlendedPriceIdx,MATCH(F3449,FmtName,0))</f>
        <v/>
      </c>
      <c r="W3449" s="47">
        <f>V3449</f>
        <v/>
      </c>
      <c r="X3449" s="47">
        <f>IF(GrossBasis="Wholesale",V3449,W3449)</f>
        <v/>
      </c>
      <c r="Y3449" s="47">
        <f>R3449*INDEX(FmtBlendedCogs,MATCH(F3449,FmtName,0))</f>
        <v/>
      </c>
      <c r="Z3449" s="47">
        <f>X3449-Y3449</f>
        <v/>
      </c>
    </row>
    <row r="3450">
      <c r="A3450" t="n">
        <v>4</v>
      </c>
      <c r="B3450" s="44">
        <f>FiscalStart+(A3450-1)*7</f>
        <v/>
      </c>
      <c r="C3450">
        <f>TEXT(B3450,"mmm yyyy")</f>
        <v/>
      </c>
      <c r="D3450">
        <f>"Q"&amp;(INT((A3450-1)/13)+1)</f>
        <v/>
      </c>
      <c r="E3450" t="inlineStr">
        <is>
          <t>Online</t>
        </is>
      </c>
      <c r="F3450">
        <f>IFERROR(INDEX(ChFormat,MATCH(E3450,ChName,0)),"")</f>
        <v/>
      </c>
      <c r="G3450" t="inlineStr">
        <is>
          <t>QC</t>
        </is>
      </c>
      <c r="H3450">
        <f>IF(A3450&lt;=NWeeks,1,0)</f>
        <v/>
      </c>
      <c r="I3450">
        <f>INDEX(ChLaunch,MATCH(E3450,ChName,0))</f>
        <v/>
      </c>
      <c r="J3450">
        <f>INDEX(ChWeeksFull,MATCH(E3450,ChName,0))</f>
        <v/>
      </c>
      <c r="K3450">
        <f>INDEX(ChRamp,MATCH(E3450,ChName,0))</f>
        <v/>
      </c>
      <c r="L3450" s="45">
        <f>MIN(1,MAX(0,(A3450-I3450+1)*RampSpeed/J3450))</f>
        <v/>
      </c>
      <c r="M3450" s="45">
        <f>IF(A3450&lt;I3450,0,IF(K3450="S-curve",L3450*L3450*(3-2*L3450),L3450))</f>
        <v/>
      </c>
      <c r="N3450" s="45">
        <f>1+(INDEX(SeasonIdx,A3450)-1)*SeasonAmp</f>
        <v/>
      </c>
      <c r="O3450" s="45">
        <f>IFERROR(INDEX(PSPct,MATCH(E3450&amp;"|"&amp;G3450,PSKey,0)),0)</f>
        <v/>
      </c>
      <c r="P3450" s="46" t="n">
        <v>0</v>
      </c>
      <c r="Q3450" s="46">
        <f>INDEX(OnlineUnitsCol,A3450)*O3450*(1+OnlineGrowth)*N3450*H3450*IF(A3450&gt;=I3450,1,0)</f>
        <v/>
      </c>
      <c r="R3450" s="46">
        <f>Q3450*INDEX(FmtCansPerPack,MATCH(F3450,FmtName,0))/INDEX(FmtCansPerCase,MATCH(F3450,FmtName,0))</f>
        <v/>
      </c>
      <c r="S3450" s="46">
        <f>R3450*INDEX(FmtCansPerCase,MATCH(F3450,FmtName,0))</f>
        <v/>
      </c>
      <c r="T3450" s="46">
        <f>S3450/INDEX(FmtCansPerPack,MATCH(F3450,FmtName,0))</f>
        <v/>
      </c>
      <c r="U3450" s="47">
        <f>INDEX(ProvOnline,MATCH(G3450,ProvCode,0))*(1+PriceIndex)</f>
        <v/>
      </c>
      <c r="V3450" s="47">
        <f>Q3450*U3450*INDEX(FmtBlendedPriceIdx,MATCH(F3450,FmtName,0))</f>
        <v/>
      </c>
      <c r="W3450" s="47">
        <f>V3450</f>
        <v/>
      </c>
      <c r="X3450" s="47">
        <f>IF(GrossBasis="Wholesale",V3450,W3450)</f>
        <v/>
      </c>
      <c r="Y3450" s="47">
        <f>R3450*INDEX(FmtBlendedCogs,MATCH(F3450,FmtName,0))</f>
        <v/>
      </c>
      <c r="Z3450" s="47">
        <f>X3450-Y3450</f>
        <v/>
      </c>
    </row>
    <row r="3451">
      <c r="A3451" t="n">
        <v>5</v>
      </c>
      <c r="B3451" s="44">
        <f>FiscalStart+(A3451-1)*7</f>
        <v/>
      </c>
      <c r="C3451">
        <f>TEXT(B3451,"mmm yyyy")</f>
        <v/>
      </c>
      <c r="D3451">
        <f>"Q"&amp;(INT((A3451-1)/13)+1)</f>
        <v/>
      </c>
      <c r="E3451" t="inlineStr">
        <is>
          <t>Online</t>
        </is>
      </c>
      <c r="F3451">
        <f>IFERROR(INDEX(ChFormat,MATCH(E3451,ChName,0)),"")</f>
        <v/>
      </c>
      <c r="G3451" t="inlineStr">
        <is>
          <t>QC</t>
        </is>
      </c>
      <c r="H3451">
        <f>IF(A3451&lt;=NWeeks,1,0)</f>
        <v/>
      </c>
      <c r="I3451">
        <f>INDEX(ChLaunch,MATCH(E3451,ChName,0))</f>
        <v/>
      </c>
      <c r="J3451">
        <f>INDEX(ChWeeksFull,MATCH(E3451,ChName,0))</f>
        <v/>
      </c>
      <c r="K3451">
        <f>INDEX(ChRamp,MATCH(E3451,ChName,0))</f>
        <v/>
      </c>
      <c r="L3451" s="45">
        <f>MIN(1,MAX(0,(A3451-I3451+1)*RampSpeed/J3451))</f>
        <v/>
      </c>
      <c r="M3451" s="45">
        <f>IF(A3451&lt;I3451,0,IF(K3451="S-curve",L3451*L3451*(3-2*L3451),L3451))</f>
        <v/>
      </c>
      <c r="N3451" s="45">
        <f>1+(INDEX(SeasonIdx,A3451)-1)*SeasonAmp</f>
        <v/>
      </c>
      <c r="O3451" s="45">
        <f>IFERROR(INDEX(PSPct,MATCH(E3451&amp;"|"&amp;G3451,PSKey,0)),0)</f>
        <v/>
      </c>
      <c r="P3451" s="46" t="n">
        <v>0</v>
      </c>
      <c r="Q3451" s="46">
        <f>INDEX(OnlineUnitsCol,A3451)*O3451*(1+OnlineGrowth)*N3451*H3451*IF(A3451&gt;=I3451,1,0)</f>
        <v/>
      </c>
      <c r="R3451" s="46">
        <f>Q3451*INDEX(FmtCansPerPack,MATCH(F3451,FmtName,0))/INDEX(FmtCansPerCase,MATCH(F3451,FmtName,0))</f>
        <v/>
      </c>
      <c r="S3451" s="46">
        <f>R3451*INDEX(FmtCansPerCase,MATCH(F3451,FmtName,0))</f>
        <v/>
      </c>
      <c r="T3451" s="46">
        <f>S3451/INDEX(FmtCansPerPack,MATCH(F3451,FmtName,0))</f>
        <v/>
      </c>
      <c r="U3451" s="47">
        <f>INDEX(ProvOnline,MATCH(G3451,ProvCode,0))*(1+PriceIndex)</f>
        <v/>
      </c>
      <c r="V3451" s="47">
        <f>Q3451*U3451*INDEX(FmtBlendedPriceIdx,MATCH(F3451,FmtName,0))</f>
        <v/>
      </c>
      <c r="W3451" s="47">
        <f>V3451</f>
        <v/>
      </c>
      <c r="X3451" s="47">
        <f>IF(GrossBasis="Wholesale",V3451,W3451)</f>
        <v/>
      </c>
      <c r="Y3451" s="47">
        <f>R3451*INDEX(FmtBlendedCogs,MATCH(F3451,FmtName,0))</f>
        <v/>
      </c>
      <c r="Z3451" s="47">
        <f>X3451-Y3451</f>
        <v/>
      </c>
    </row>
    <row r="3452">
      <c r="A3452" t="n">
        <v>6</v>
      </c>
      <c r="B3452" s="44">
        <f>FiscalStart+(A3452-1)*7</f>
        <v/>
      </c>
      <c r="C3452">
        <f>TEXT(B3452,"mmm yyyy")</f>
        <v/>
      </c>
      <c r="D3452">
        <f>"Q"&amp;(INT((A3452-1)/13)+1)</f>
        <v/>
      </c>
      <c r="E3452" t="inlineStr">
        <is>
          <t>Online</t>
        </is>
      </c>
      <c r="F3452">
        <f>IFERROR(INDEX(ChFormat,MATCH(E3452,ChName,0)),"")</f>
        <v/>
      </c>
      <c r="G3452" t="inlineStr">
        <is>
          <t>QC</t>
        </is>
      </c>
      <c r="H3452">
        <f>IF(A3452&lt;=NWeeks,1,0)</f>
        <v/>
      </c>
      <c r="I3452">
        <f>INDEX(ChLaunch,MATCH(E3452,ChName,0))</f>
        <v/>
      </c>
      <c r="J3452">
        <f>INDEX(ChWeeksFull,MATCH(E3452,ChName,0))</f>
        <v/>
      </c>
      <c r="K3452">
        <f>INDEX(ChRamp,MATCH(E3452,ChName,0))</f>
        <v/>
      </c>
      <c r="L3452" s="45">
        <f>MIN(1,MAX(0,(A3452-I3452+1)*RampSpeed/J3452))</f>
        <v/>
      </c>
      <c r="M3452" s="45">
        <f>IF(A3452&lt;I3452,0,IF(K3452="S-curve",L3452*L3452*(3-2*L3452),L3452))</f>
        <v/>
      </c>
      <c r="N3452" s="45">
        <f>1+(INDEX(SeasonIdx,A3452)-1)*SeasonAmp</f>
        <v/>
      </c>
      <c r="O3452" s="45">
        <f>IFERROR(INDEX(PSPct,MATCH(E3452&amp;"|"&amp;G3452,PSKey,0)),0)</f>
        <v/>
      </c>
      <c r="P3452" s="46" t="n">
        <v>0</v>
      </c>
      <c r="Q3452" s="46">
        <f>INDEX(OnlineUnitsCol,A3452)*O3452*(1+OnlineGrowth)*N3452*H3452*IF(A3452&gt;=I3452,1,0)</f>
        <v/>
      </c>
      <c r="R3452" s="46">
        <f>Q3452*INDEX(FmtCansPerPack,MATCH(F3452,FmtName,0))/INDEX(FmtCansPerCase,MATCH(F3452,FmtName,0))</f>
        <v/>
      </c>
      <c r="S3452" s="46">
        <f>R3452*INDEX(FmtCansPerCase,MATCH(F3452,FmtName,0))</f>
        <v/>
      </c>
      <c r="T3452" s="46">
        <f>S3452/INDEX(FmtCansPerPack,MATCH(F3452,FmtName,0))</f>
        <v/>
      </c>
      <c r="U3452" s="47">
        <f>INDEX(ProvOnline,MATCH(G3452,ProvCode,0))*(1+PriceIndex)</f>
        <v/>
      </c>
      <c r="V3452" s="47">
        <f>Q3452*U3452*INDEX(FmtBlendedPriceIdx,MATCH(F3452,FmtName,0))</f>
        <v/>
      </c>
      <c r="W3452" s="47">
        <f>V3452</f>
        <v/>
      </c>
      <c r="X3452" s="47">
        <f>IF(GrossBasis="Wholesale",V3452,W3452)</f>
        <v/>
      </c>
      <c r="Y3452" s="47">
        <f>R3452*INDEX(FmtBlendedCogs,MATCH(F3452,FmtName,0))</f>
        <v/>
      </c>
      <c r="Z3452" s="47">
        <f>X3452-Y3452</f>
        <v/>
      </c>
    </row>
    <row r="3453">
      <c r="A3453" t="n">
        <v>7</v>
      </c>
      <c r="B3453" s="44">
        <f>FiscalStart+(A3453-1)*7</f>
        <v/>
      </c>
      <c r="C3453">
        <f>TEXT(B3453,"mmm yyyy")</f>
        <v/>
      </c>
      <c r="D3453">
        <f>"Q"&amp;(INT((A3453-1)/13)+1)</f>
        <v/>
      </c>
      <c r="E3453" t="inlineStr">
        <is>
          <t>Online</t>
        </is>
      </c>
      <c r="F3453">
        <f>IFERROR(INDEX(ChFormat,MATCH(E3453,ChName,0)),"")</f>
        <v/>
      </c>
      <c r="G3453" t="inlineStr">
        <is>
          <t>QC</t>
        </is>
      </c>
      <c r="H3453">
        <f>IF(A3453&lt;=NWeeks,1,0)</f>
        <v/>
      </c>
      <c r="I3453">
        <f>INDEX(ChLaunch,MATCH(E3453,ChName,0))</f>
        <v/>
      </c>
      <c r="J3453">
        <f>INDEX(ChWeeksFull,MATCH(E3453,ChName,0))</f>
        <v/>
      </c>
      <c r="K3453">
        <f>INDEX(ChRamp,MATCH(E3453,ChName,0))</f>
        <v/>
      </c>
      <c r="L3453" s="45">
        <f>MIN(1,MAX(0,(A3453-I3453+1)*RampSpeed/J3453))</f>
        <v/>
      </c>
      <c r="M3453" s="45">
        <f>IF(A3453&lt;I3453,0,IF(K3453="S-curve",L3453*L3453*(3-2*L3453),L3453))</f>
        <v/>
      </c>
      <c r="N3453" s="45">
        <f>1+(INDEX(SeasonIdx,A3453)-1)*SeasonAmp</f>
        <v/>
      </c>
      <c r="O3453" s="45">
        <f>IFERROR(INDEX(PSPct,MATCH(E3453&amp;"|"&amp;G3453,PSKey,0)),0)</f>
        <v/>
      </c>
      <c r="P3453" s="46" t="n">
        <v>0</v>
      </c>
      <c r="Q3453" s="46">
        <f>INDEX(OnlineUnitsCol,A3453)*O3453*(1+OnlineGrowth)*N3453*H3453*IF(A3453&gt;=I3453,1,0)</f>
        <v/>
      </c>
      <c r="R3453" s="46">
        <f>Q3453*INDEX(FmtCansPerPack,MATCH(F3453,FmtName,0))/INDEX(FmtCansPerCase,MATCH(F3453,FmtName,0))</f>
        <v/>
      </c>
      <c r="S3453" s="46">
        <f>R3453*INDEX(FmtCansPerCase,MATCH(F3453,FmtName,0))</f>
        <v/>
      </c>
      <c r="T3453" s="46">
        <f>S3453/INDEX(FmtCansPerPack,MATCH(F3453,FmtName,0))</f>
        <v/>
      </c>
      <c r="U3453" s="47">
        <f>INDEX(ProvOnline,MATCH(G3453,ProvCode,0))*(1+PriceIndex)</f>
        <v/>
      </c>
      <c r="V3453" s="47">
        <f>Q3453*U3453*INDEX(FmtBlendedPriceIdx,MATCH(F3453,FmtName,0))</f>
        <v/>
      </c>
      <c r="W3453" s="47">
        <f>V3453</f>
        <v/>
      </c>
      <c r="X3453" s="47">
        <f>IF(GrossBasis="Wholesale",V3453,W3453)</f>
        <v/>
      </c>
      <c r="Y3453" s="47">
        <f>R3453*INDEX(FmtBlendedCogs,MATCH(F3453,FmtName,0))</f>
        <v/>
      </c>
      <c r="Z3453" s="47">
        <f>X3453-Y3453</f>
        <v/>
      </c>
    </row>
    <row r="3454">
      <c r="A3454" t="n">
        <v>8</v>
      </c>
      <c r="B3454" s="44">
        <f>FiscalStart+(A3454-1)*7</f>
        <v/>
      </c>
      <c r="C3454">
        <f>TEXT(B3454,"mmm yyyy")</f>
        <v/>
      </c>
      <c r="D3454">
        <f>"Q"&amp;(INT((A3454-1)/13)+1)</f>
        <v/>
      </c>
      <c r="E3454" t="inlineStr">
        <is>
          <t>Online</t>
        </is>
      </c>
      <c r="F3454">
        <f>IFERROR(INDEX(ChFormat,MATCH(E3454,ChName,0)),"")</f>
        <v/>
      </c>
      <c r="G3454" t="inlineStr">
        <is>
          <t>QC</t>
        </is>
      </c>
      <c r="H3454">
        <f>IF(A3454&lt;=NWeeks,1,0)</f>
        <v/>
      </c>
      <c r="I3454">
        <f>INDEX(ChLaunch,MATCH(E3454,ChName,0))</f>
        <v/>
      </c>
      <c r="J3454">
        <f>INDEX(ChWeeksFull,MATCH(E3454,ChName,0))</f>
        <v/>
      </c>
      <c r="K3454">
        <f>INDEX(ChRamp,MATCH(E3454,ChName,0))</f>
        <v/>
      </c>
      <c r="L3454" s="45">
        <f>MIN(1,MAX(0,(A3454-I3454+1)*RampSpeed/J3454))</f>
        <v/>
      </c>
      <c r="M3454" s="45">
        <f>IF(A3454&lt;I3454,0,IF(K3454="S-curve",L3454*L3454*(3-2*L3454),L3454))</f>
        <v/>
      </c>
      <c r="N3454" s="45">
        <f>1+(INDEX(SeasonIdx,A3454)-1)*SeasonAmp</f>
        <v/>
      </c>
      <c r="O3454" s="45">
        <f>IFERROR(INDEX(PSPct,MATCH(E3454&amp;"|"&amp;G3454,PSKey,0)),0)</f>
        <v/>
      </c>
      <c r="P3454" s="46" t="n">
        <v>0</v>
      </c>
      <c r="Q3454" s="46">
        <f>INDEX(OnlineUnitsCol,A3454)*O3454*(1+OnlineGrowth)*N3454*H3454*IF(A3454&gt;=I3454,1,0)</f>
        <v/>
      </c>
      <c r="R3454" s="46">
        <f>Q3454*INDEX(FmtCansPerPack,MATCH(F3454,FmtName,0))/INDEX(FmtCansPerCase,MATCH(F3454,FmtName,0))</f>
        <v/>
      </c>
      <c r="S3454" s="46">
        <f>R3454*INDEX(FmtCansPerCase,MATCH(F3454,FmtName,0))</f>
        <v/>
      </c>
      <c r="T3454" s="46">
        <f>S3454/INDEX(FmtCansPerPack,MATCH(F3454,FmtName,0))</f>
        <v/>
      </c>
      <c r="U3454" s="47">
        <f>INDEX(ProvOnline,MATCH(G3454,ProvCode,0))*(1+PriceIndex)</f>
        <v/>
      </c>
      <c r="V3454" s="47">
        <f>Q3454*U3454*INDEX(FmtBlendedPriceIdx,MATCH(F3454,FmtName,0))</f>
        <v/>
      </c>
      <c r="W3454" s="47">
        <f>V3454</f>
        <v/>
      </c>
      <c r="X3454" s="47">
        <f>IF(GrossBasis="Wholesale",V3454,W3454)</f>
        <v/>
      </c>
      <c r="Y3454" s="47">
        <f>R3454*INDEX(FmtBlendedCogs,MATCH(F3454,FmtName,0))</f>
        <v/>
      </c>
      <c r="Z3454" s="47">
        <f>X3454-Y3454</f>
        <v/>
      </c>
    </row>
    <row r="3455">
      <c r="A3455" t="n">
        <v>9</v>
      </c>
      <c r="B3455" s="44">
        <f>FiscalStart+(A3455-1)*7</f>
        <v/>
      </c>
      <c r="C3455">
        <f>TEXT(B3455,"mmm yyyy")</f>
        <v/>
      </c>
      <c r="D3455">
        <f>"Q"&amp;(INT((A3455-1)/13)+1)</f>
        <v/>
      </c>
      <c r="E3455" t="inlineStr">
        <is>
          <t>Online</t>
        </is>
      </c>
      <c r="F3455">
        <f>IFERROR(INDEX(ChFormat,MATCH(E3455,ChName,0)),"")</f>
        <v/>
      </c>
      <c r="G3455" t="inlineStr">
        <is>
          <t>QC</t>
        </is>
      </c>
      <c r="H3455">
        <f>IF(A3455&lt;=NWeeks,1,0)</f>
        <v/>
      </c>
      <c r="I3455">
        <f>INDEX(ChLaunch,MATCH(E3455,ChName,0))</f>
        <v/>
      </c>
      <c r="J3455">
        <f>INDEX(ChWeeksFull,MATCH(E3455,ChName,0))</f>
        <v/>
      </c>
      <c r="K3455">
        <f>INDEX(ChRamp,MATCH(E3455,ChName,0))</f>
        <v/>
      </c>
      <c r="L3455" s="45">
        <f>MIN(1,MAX(0,(A3455-I3455+1)*RampSpeed/J3455))</f>
        <v/>
      </c>
      <c r="M3455" s="45">
        <f>IF(A3455&lt;I3455,0,IF(K3455="S-curve",L3455*L3455*(3-2*L3455),L3455))</f>
        <v/>
      </c>
      <c r="N3455" s="45">
        <f>1+(INDEX(SeasonIdx,A3455)-1)*SeasonAmp</f>
        <v/>
      </c>
      <c r="O3455" s="45">
        <f>IFERROR(INDEX(PSPct,MATCH(E3455&amp;"|"&amp;G3455,PSKey,0)),0)</f>
        <v/>
      </c>
      <c r="P3455" s="46" t="n">
        <v>0</v>
      </c>
      <c r="Q3455" s="46">
        <f>INDEX(OnlineUnitsCol,A3455)*O3455*(1+OnlineGrowth)*N3455*H3455*IF(A3455&gt;=I3455,1,0)</f>
        <v/>
      </c>
      <c r="R3455" s="46">
        <f>Q3455*INDEX(FmtCansPerPack,MATCH(F3455,FmtName,0))/INDEX(FmtCansPerCase,MATCH(F3455,FmtName,0))</f>
        <v/>
      </c>
      <c r="S3455" s="46">
        <f>R3455*INDEX(FmtCansPerCase,MATCH(F3455,FmtName,0))</f>
        <v/>
      </c>
      <c r="T3455" s="46">
        <f>S3455/INDEX(FmtCansPerPack,MATCH(F3455,FmtName,0))</f>
        <v/>
      </c>
      <c r="U3455" s="47">
        <f>INDEX(ProvOnline,MATCH(G3455,ProvCode,0))*(1+PriceIndex)</f>
        <v/>
      </c>
      <c r="V3455" s="47">
        <f>Q3455*U3455*INDEX(FmtBlendedPriceIdx,MATCH(F3455,FmtName,0))</f>
        <v/>
      </c>
      <c r="W3455" s="47">
        <f>V3455</f>
        <v/>
      </c>
      <c r="X3455" s="47">
        <f>IF(GrossBasis="Wholesale",V3455,W3455)</f>
        <v/>
      </c>
      <c r="Y3455" s="47">
        <f>R3455*INDEX(FmtBlendedCogs,MATCH(F3455,FmtName,0))</f>
        <v/>
      </c>
      <c r="Z3455" s="47">
        <f>X3455-Y3455</f>
        <v/>
      </c>
    </row>
    <row r="3456">
      <c r="A3456" t="n">
        <v>10</v>
      </c>
      <c r="B3456" s="44">
        <f>FiscalStart+(A3456-1)*7</f>
        <v/>
      </c>
      <c r="C3456">
        <f>TEXT(B3456,"mmm yyyy")</f>
        <v/>
      </c>
      <c r="D3456">
        <f>"Q"&amp;(INT((A3456-1)/13)+1)</f>
        <v/>
      </c>
      <c r="E3456" t="inlineStr">
        <is>
          <t>Online</t>
        </is>
      </c>
      <c r="F3456">
        <f>IFERROR(INDEX(ChFormat,MATCH(E3456,ChName,0)),"")</f>
        <v/>
      </c>
      <c r="G3456" t="inlineStr">
        <is>
          <t>QC</t>
        </is>
      </c>
      <c r="H3456">
        <f>IF(A3456&lt;=NWeeks,1,0)</f>
        <v/>
      </c>
      <c r="I3456">
        <f>INDEX(ChLaunch,MATCH(E3456,ChName,0))</f>
        <v/>
      </c>
      <c r="J3456">
        <f>INDEX(ChWeeksFull,MATCH(E3456,ChName,0))</f>
        <v/>
      </c>
      <c r="K3456">
        <f>INDEX(ChRamp,MATCH(E3456,ChName,0))</f>
        <v/>
      </c>
      <c r="L3456" s="45">
        <f>MIN(1,MAX(0,(A3456-I3456+1)*RampSpeed/J3456))</f>
        <v/>
      </c>
      <c r="M3456" s="45">
        <f>IF(A3456&lt;I3456,0,IF(K3456="S-curve",L3456*L3456*(3-2*L3456),L3456))</f>
        <v/>
      </c>
      <c r="N3456" s="45">
        <f>1+(INDEX(SeasonIdx,A3456)-1)*SeasonAmp</f>
        <v/>
      </c>
      <c r="O3456" s="45">
        <f>IFERROR(INDEX(PSPct,MATCH(E3456&amp;"|"&amp;G3456,PSKey,0)),0)</f>
        <v/>
      </c>
      <c r="P3456" s="46" t="n">
        <v>0</v>
      </c>
      <c r="Q3456" s="46">
        <f>INDEX(OnlineUnitsCol,A3456)*O3456*(1+OnlineGrowth)*N3456*H3456*IF(A3456&gt;=I3456,1,0)</f>
        <v/>
      </c>
      <c r="R3456" s="46">
        <f>Q3456*INDEX(FmtCansPerPack,MATCH(F3456,FmtName,0))/INDEX(FmtCansPerCase,MATCH(F3456,FmtName,0))</f>
        <v/>
      </c>
      <c r="S3456" s="46">
        <f>R3456*INDEX(FmtCansPerCase,MATCH(F3456,FmtName,0))</f>
        <v/>
      </c>
      <c r="T3456" s="46">
        <f>S3456/INDEX(FmtCansPerPack,MATCH(F3456,FmtName,0))</f>
        <v/>
      </c>
      <c r="U3456" s="47">
        <f>INDEX(ProvOnline,MATCH(G3456,ProvCode,0))*(1+PriceIndex)</f>
        <v/>
      </c>
      <c r="V3456" s="47">
        <f>Q3456*U3456*INDEX(FmtBlendedPriceIdx,MATCH(F3456,FmtName,0))</f>
        <v/>
      </c>
      <c r="W3456" s="47">
        <f>V3456</f>
        <v/>
      </c>
      <c r="X3456" s="47">
        <f>IF(GrossBasis="Wholesale",V3456,W3456)</f>
        <v/>
      </c>
      <c r="Y3456" s="47">
        <f>R3456*INDEX(FmtBlendedCogs,MATCH(F3456,FmtName,0))</f>
        <v/>
      </c>
      <c r="Z3456" s="47">
        <f>X3456-Y3456</f>
        <v/>
      </c>
    </row>
    <row r="3457">
      <c r="A3457" t="n">
        <v>11</v>
      </c>
      <c r="B3457" s="44">
        <f>FiscalStart+(A3457-1)*7</f>
        <v/>
      </c>
      <c r="C3457">
        <f>TEXT(B3457,"mmm yyyy")</f>
        <v/>
      </c>
      <c r="D3457">
        <f>"Q"&amp;(INT((A3457-1)/13)+1)</f>
        <v/>
      </c>
      <c r="E3457" t="inlineStr">
        <is>
          <t>Online</t>
        </is>
      </c>
      <c r="F3457">
        <f>IFERROR(INDEX(ChFormat,MATCH(E3457,ChName,0)),"")</f>
        <v/>
      </c>
      <c r="G3457" t="inlineStr">
        <is>
          <t>QC</t>
        </is>
      </c>
      <c r="H3457">
        <f>IF(A3457&lt;=NWeeks,1,0)</f>
        <v/>
      </c>
      <c r="I3457">
        <f>INDEX(ChLaunch,MATCH(E3457,ChName,0))</f>
        <v/>
      </c>
      <c r="J3457">
        <f>INDEX(ChWeeksFull,MATCH(E3457,ChName,0))</f>
        <v/>
      </c>
      <c r="K3457">
        <f>INDEX(ChRamp,MATCH(E3457,ChName,0))</f>
        <v/>
      </c>
      <c r="L3457" s="45">
        <f>MIN(1,MAX(0,(A3457-I3457+1)*RampSpeed/J3457))</f>
        <v/>
      </c>
      <c r="M3457" s="45">
        <f>IF(A3457&lt;I3457,0,IF(K3457="S-curve",L3457*L3457*(3-2*L3457),L3457))</f>
        <v/>
      </c>
      <c r="N3457" s="45">
        <f>1+(INDEX(SeasonIdx,A3457)-1)*SeasonAmp</f>
        <v/>
      </c>
      <c r="O3457" s="45">
        <f>IFERROR(INDEX(PSPct,MATCH(E3457&amp;"|"&amp;G3457,PSKey,0)),0)</f>
        <v/>
      </c>
      <c r="P3457" s="46" t="n">
        <v>0</v>
      </c>
      <c r="Q3457" s="46">
        <f>INDEX(OnlineUnitsCol,A3457)*O3457*(1+OnlineGrowth)*N3457*H3457*IF(A3457&gt;=I3457,1,0)</f>
        <v/>
      </c>
      <c r="R3457" s="46">
        <f>Q3457*INDEX(FmtCansPerPack,MATCH(F3457,FmtName,0))/INDEX(FmtCansPerCase,MATCH(F3457,FmtName,0))</f>
        <v/>
      </c>
      <c r="S3457" s="46">
        <f>R3457*INDEX(FmtCansPerCase,MATCH(F3457,FmtName,0))</f>
        <v/>
      </c>
      <c r="T3457" s="46">
        <f>S3457/INDEX(FmtCansPerPack,MATCH(F3457,FmtName,0))</f>
        <v/>
      </c>
      <c r="U3457" s="47">
        <f>INDEX(ProvOnline,MATCH(G3457,ProvCode,0))*(1+PriceIndex)</f>
        <v/>
      </c>
      <c r="V3457" s="47">
        <f>Q3457*U3457*INDEX(FmtBlendedPriceIdx,MATCH(F3457,FmtName,0))</f>
        <v/>
      </c>
      <c r="W3457" s="47">
        <f>V3457</f>
        <v/>
      </c>
      <c r="X3457" s="47">
        <f>IF(GrossBasis="Wholesale",V3457,W3457)</f>
        <v/>
      </c>
      <c r="Y3457" s="47">
        <f>R3457*INDEX(FmtBlendedCogs,MATCH(F3457,FmtName,0))</f>
        <v/>
      </c>
      <c r="Z3457" s="47">
        <f>X3457-Y3457</f>
        <v/>
      </c>
    </row>
    <row r="3458">
      <c r="A3458" t="n">
        <v>12</v>
      </c>
      <c r="B3458" s="44">
        <f>FiscalStart+(A3458-1)*7</f>
        <v/>
      </c>
      <c r="C3458">
        <f>TEXT(B3458,"mmm yyyy")</f>
        <v/>
      </c>
      <c r="D3458">
        <f>"Q"&amp;(INT((A3458-1)/13)+1)</f>
        <v/>
      </c>
      <c r="E3458" t="inlineStr">
        <is>
          <t>Online</t>
        </is>
      </c>
      <c r="F3458">
        <f>IFERROR(INDEX(ChFormat,MATCH(E3458,ChName,0)),"")</f>
        <v/>
      </c>
      <c r="G3458" t="inlineStr">
        <is>
          <t>QC</t>
        </is>
      </c>
      <c r="H3458">
        <f>IF(A3458&lt;=NWeeks,1,0)</f>
        <v/>
      </c>
      <c r="I3458">
        <f>INDEX(ChLaunch,MATCH(E3458,ChName,0))</f>
        <v/>
      </c>
      <c r="J3458">
        <f>INDEX(ChWeeksFull,MATCH(E3458,ChName,0))</f>
        <v/>
      </c>
      <c r="K3458">
        <f>INDEX(ChRamp,MATCH(E3458,ChName,0))</f>
        <v/>
      </c>
      <c r="L3458" s="45">
        <f>MIN(1,MAX(0,(A3458-I3458+1)*RampSpeed/J3458))</f>
        <v/>
      </c>
      <c r="M3458" s="45">
        <f>IF(A3458&lt;I3458,0,IF(K3458="S-curve",L3458*L3458*(3-2*L3458),L3458))</f>
        <v/>
      </c>
      <c r="N3458" s="45">
        <f>1+(INDEX(SeasonIdx,A3458)-1)*SeasonAmp</f>
        <v/>
      </c>
      <c r="O3458" s="45">
        <f>IFERROR(INDEX(PSPct,MATCH(E3458&amp;"|"&amp;G3458,PSKey,0)),0)</f>
        <v/>
      </c>
      <c r="P3458" s="46" t="n">
        <v>0</v>
      </c>
      <c r="Q3458" s="46">
        <f>INDEX(OnlineUnitsCol,A3458)*O3458*(1+OnlineGrowth)*N3458*H3458*IF(A3458&gt;=I3458,1,0)</f>
        <v/>
      </c>
      <c r="R3458" s="46">
        <f>Q3458*INDEX(FmtCansPerPack,MATCH(F3458,FmtName,0))/INDEX(FmtCansPerCase,MATCH(F3458,FmtName,0))</f>
        <v/>
      </c>
      <c r="S3458" s="46">
        <f>R3458*INDEX(FmtCansPerCase,MATCH(F3458,FmtName,0))</f>
        <v/>
      </c>
      <c r="T3458" s="46">
        <f>S3458/INDEX(FmtCansPerPack,MATCH(F3458,FmtName,0))</f>
        <v/>
      </c>
      <c r="U3458" s="47">
        <f>INDEX(ProvOnline,MATCH(G3458,ProvCode,0))*(1+PriceIndex)</f>
        <v/>
      </c>
      <c r="V3458" s="47">
        <f>Q3458*U3458*INDEX(FmtBlendedPriceIdx,MATCH(F3458,FmtName,0))</f>
        <v/>
      </c>
      <c r="W3458" s="47">
        <f>V3458</f>
        <v/>
      </c>
      <c r="X3458" s="47">
        <f>IF(GrossBasis="Wholesale",V3458,W3458)</f>
        <v/>
      </c>
      <c r="Y3458" s="47">
        <f>R3458*INDEX(FmtBlendedCogs,MATCH(F3458,FmtName,0))</f>
        <v/>
      </c>
      <c r="Z3458" s="47">
        <f>X3458-Y3458</f>
        <v/>
      </c>
    </row>
    <row r="3459">
      <c r="A3459" t="n">
        <v>13</v>
      </c>
      <c r="B3459" s="44">
        <f>FiscalStart+(A3459-1)*7</f>
        <v/>
      </c>
      <c r="C3459">
        <f>TEXT(B3459,"mmm yyyy")</f>
        <v/>
      </c>
      <c r="D3459">
        <f>"Q"&amp;(INT((A3459-1)/13)+1)</f>
        <v/>
      </c>
      <c r="E3459" t="inlineStr">
        <is>
          <t>Online</t>
        </is>
      </c>
      <c r="F3459">
        <f>IFERROR(INDEX(ChFormat,MATCH(E3459,ChName,0)),"")</f>
        <v/>
      </c>
      <c r="G3459" t="inlineStr">
        <is>
          <t>QC</t>
        </is>
      </c>
      <c r="H3459">
        <f>IF(A3459&lt;=NWeeks,1,0)</f>
        <v/>
      </c>
      <c r="I3459">
        <f>INDEX(ChLaunch,MATCH(E3459,ChName,0))</f>
        <v/>
      </c>
      <c r="J3459">
        <f>INDEX(ChWeeksFull,MATCH(E3459,ChName,0))</f>
        <v/>
      </c>
      <c r="K3459">
        <f>INDEX(ChRamp,MATCH(E3459,ChName,0))</f>
        <v/>
      </c>
      <c r="L3459" s="45">
        <f>MIN(1,MAX(0,(A3459-I3459+1)*RampSpeed/J3459))</f>
        <v/>
      </c>
      <c r="M3459" s="45">
        <f>IF(A3459&lt;I3459,0,IF(K3459="S-curve",L3459*L3459*(3-2*L3459),L3459))</f>
        <v/>
      </c>
      <c r="N3459" s="45">
        <f>1+(INDEX(SeasonIdx,A3459)-1)*SeasonAmp</f>
        <v/>
      </c>
      <c r="O3459" s="45">
        <f>IFERROR(INDEX(PSPct,MATCH(E3459&amp;"|"&amp;G3459,PSKey,0)),0)</f>
        <v/>
      </c>
      <c r="P3459" s="46" t="n">
        <v>0</v>
      </c>
      <c r="Q3459" s="46">
        <f>INDEX(OnlineUnitsCol,A3459)*O3459*(1+OnlineGrowth)*N3459*H3459*IF(A3459&gt;=I3459,1,0)</f>
        <v/>
      </c>
      <c r="R3459" s="46">
        <f>Q3459*INDEX(FmtCansPerPack,MATCH(F3459,FmtName,0))/INDEX(FmtCansPerCase,MATCH(F3459,FmtName,0))</f>
        <v/>
      </c>
      <c r="S3459" s="46">
        <f>R3459*INDEX(FmtCansPerCase,MATCH(F3459,FmtName,0))</f>
        <v/>
      </c>
      <c r="T3459" s="46">
        <f>S3459/INDEX(FmtCansPerPack,MATCH(F3459,FmtName,0))</f>
        <v/>
      </c>
      <c r="U3459" s="47">
        <f>INDEX(ProvOnline,MATCH(G3459,ProvCode,0))*(1+PriceIndex)</f>
        <v/>
      </c>
      <c r="V3459" s="47">
        <f>Q3459*U3459*INDEX(FmtBlendedPriceIdx,MATCH(F3459,FmtName,0))</f>
        <v/>
      </c>
      <c r="W3459" s="47">
        <f>V3459</f>
        <v/>
      </c>
      <c r="X3459" s="47">
        <f>IF(GrossBasis="Wholesale",V3459,W3459)</f>
        <v/>
      </c>
      <c r="Y3459" s="47">
        <f>R3459*INDEX(FmtBlendedCogs,MATCH(F3459,FmtName,0))</f>
        <v/>
      </c>
      <c r="Z3459" s="47">
        <f>X3459-Y3459</f>
        <v/>
      </c>
    </row>
    <row r="3460">
      <c r="A3460" t="n">
        <v>14</v>
      </c>
      <c r="B3460" s="44">
        <f>FiscalStart+(A3460-1)*7</f>
        <v/>
      </c>
      <c r="C3460">
        <f>TEXT(B3460,"mmm yyyy")</f>
        <v/>
      </c>
      <c r="D3460">
        <f>"Q"&amp;(INT((A3460-1)/13)+1)</f>
        <v/>
      </c>
      <c r="E3460" t="inlineStr">
        <is>
          <t>Online</t>
        </is>
      </c>
      <c r="F3460">
        <f>IFERROR(INDEX(ChFormat,MATCH(E3460,ChName,0)),"")</f>
        <v/>
      </c>
      <c r="G3460" t="inlineStr">
        <is>
          <t>QC</t>
        </is>
      </c>
      <c r="H3460">
        <f>IF(A3460&lt;=NWeeks,1,0)</f>
        <v/>
      </c>
      <c r="I3460">
        <f>INDEX(ChLaunch,MATCH(E3460,ChName,0))</f>
        <v/>
      </c>
      <c r="J3460">
        <f>INDEX(ChWeeksFull,MATCH(E3460,ChName,0))</f>
        <v/>
      </c>
      <c r="K3460">
        <f>INDEX(ChRamp,MATCH(E3460,ChName,0))</f>
        <v/>
      </c>
      <c r="L3460" s="45">
        <f>MIN(1,MAX(0,(A3460-I3460+1)*RampSpeed/J3460))</f>
        <v/>
      </c>
      <c r="M3460" s="45">
        <f>IF(A3460&lt;I3460,0,IF(K3460="S-curve",L3460*L3460*(3-2*L3460),L3460))</f>
        <v/>
      </c>
      <c r="N3460" s="45">
        <f>1+(INDEX(SeasonIdx,A3460)-1)*SeasonAmp</f>
        <v/>
      </c>
      <c r="O3460" s="45">
        <f>IFERROR(INDEX(PSPct,MATCH(E3460&amp;"|"&amp;G3460,PSKey,0)),0)</f>
        <v/>
      </c>
      <c r="P3460" s="46" t="n">
        <v>0</v>
      </c>
      <c r="Q3460" s="46">
        <f>INDEX(OnlineUnitsCol,A3460)*O3460*(1+OnlineGrowth)*N3460*H3460*IF(A3460&gt;=I3460,1,0)</f>
        <v/>
      </c>
      <c r="R3460" s="46">
        <f>Q3460*INDEX(FmtCansPerPack,MATCH(F3460,FmtName,0))/INDEX(FmtCansPerCase,MATCH(F3460,FmtName,0))</f>
        <v/>
      </c>
      <c r="S3460" s="46">
        <f>R3460*INDEX(FmtCansPerCase,MATCH(F3460,FmtName,0))</f>
        <v/>
      </c>
      <c r="T3460" s="46">
        <f>S3460/INDEX(FmtCansPerPack,MATCH(F3460,FmtName,0))</f>
        <v/>
      </c>
      <c r="U3460" s="47">
        <f>INDEX(ProvOnline,MATCH(G3460,ProvCode,0))*(1+PriceIndex)</f>
        <v/>
      </c>
      <c r="V3460" s="47">
        <f>Q3460*U3460*INDEX(FmtBlendedPriceIdx,MATCH(F3460,FmtName,0))</f>
        <v/>
      </c>
      <c r="W3460" s="47">
        <f>V3460</f>
        <v/>
      </c>
      <c r="X3460" s="47">
        <f>IF(GrossBasis="Wholesale",V3460,W3460)</f>
        <v/>
      </c>
      <c r="Y3460" s="47">
        <f>R3460*INDEX(FmtBlendedCogs,MATCH(F3460,FmtName,0))</f>
        <v/>
      </c>
      <c r="Z3460" s="47">
        <f>X3460-Y3460</f>
        <v/>
      </c>
    </row>
    <row r="3461">
      <c r="A3461" t="n">
        <v>15</v>
      </c>
      <c r="B3461" s="44">
        <f>FiscalStart+(A3461-1)*7</f>
        <v/>
      </c>
      <c r="C3461">
        <f>TEXT(B3461,"mmm yyyy")</f>
        <v/>
      </c>
      <c r="D3461">
        <f>"Q"&amp;(INT((A3461-1)/13)+1)</f>
        <v/>
      </c>
      <c r="E3461" t="inlineStr">
        <is>
          <t>Online</t>
        </is>
      </c>
      <c r="F3461">
        <f>IFERROR(INDEX(ChFormat,MATCH(E3461,ChName,0)),"")</f>
        <v/>
      </c>
      <c r="G3461" t="inlineStr">
        <is>
          <t>QC</t>
        </is>
      </c>
      <c r="H3461">
        <f>IF(A3461&lt;=NWeeks,1,0)</f>
        <v/>
      </c>
      <c r="I3461">
        <f>INDEX(ChLaunch,MATCH(E3461,ChName,0))</f>
        <v/>
      </c>
      <c r="J3461">
        <f>INDEX(ChWeeksFull,MATCH(E3461,ChName,0))</f>
        <v/>
      </c>
      <c r="K3461">
        <f>INDEX(ChRamp,MATCH(E3461,ChName,0))</f>
        <v/>
      </c>
      <c r="L3461" s="45">
        <f>MIN(1,MAX(0,(A3461-I3461+1)*RampSpeed/J3461))</f>
        <v/>
      </c>
      <c r="M3461" s="45">
        <f>IF(A3461&lt;I3461,0,IF(K3461="S-curve",L3461*L3461*(3-2*L3461),L3461))</f>
        <v/>
      </c>
      <c r="N3461" s="45">
        <f>1+(INDEX(SeasonIdx,A3461)-1)*SeasonAmp</f>
        <v/>
      </c>
      <c r="O3461" s="45">
        <f>IFERROR(INDEX(PSPct,MATCH(E3461&amp;"|"&amp;G3461,PSKey,0)),0)</f>
        <v/>
      </c>
      <c r="P3461" s="46" t="n">
        <v>0</v>
      </c>
      <c r="Q3461" s="46">
        <f>INDEX(OnlineUnitsCol,A3461)*O3461*(1+OnlineGrowth)*N3461*H3461*IF(A3461&gt;=I3461,1,0)</f>
        <v/>
      </c>
      <c r="R3461" s="46">
        <f>Q3461*INDEX(FmtCansPerPack,MATCH(F3461,FmtName,0))/INDEX(FmtCansPerCase,MATCH(F3461,FmtName,0))</f>
        <v/>
      </c>
      <c r="S3461" s="46">
        <f>R3461*INDEX(FmtCansPerCase,MATCH(F3461,FmtName,0))</f>
        <v/>
      </c>
      <c r="T3461" s="46">
        <f>S3461/INDEX(FmtCansPerPack,MATCH(F3461,FmtName,0))</f>
        <v/>
      </c>
      <c r="U3461" s="47">
        <f>INDEX(ProvOnline,MATCH(G3461,ProvCode,0))*(1+PriceIndex)</f>
        <v/>
      </c>
      <c r="V3461" s="47">
        <f>Q3461*U3461*INDEX(FmtBlendedPriceIdx,MATCH(F3461,FmtName,0))</f>
        <v/>
      </c>
      <c r="W3461" s="47">
        <f>V3461</f>
        <v/>
      </c>
      <c r="X3461" s="47">
        <f>IF(GrossBasis="Wholesale",V3461,W3461)</f>
        <v/>
      </c>
      <c r="Y3461" s="47">
        <f>R3461*INDEX(FmtBlendedCogs,MATCH(F3461,FmtName,0))</f>
        <v/>
      </c>
      <c r="Z3461" s="47">
        <f>X3461-Y3461</f>
        <v/>
      </c>
    </row>
    <row r="3462">
      <c r="A3462" t="n">
        <v>16</v>
      </c>
      <c r="B3462" s="44">
        <f>FiscalStart+(A3462-1)*7</f>
        <v/>
      </c>
      <c r="C3462">
        <f>TEXT(B3462,"mmm yyyy")</f>
        <v/>
      </c>
      <c r="D3462">
        <f>"Q"&amp;(INT((A3462-1)/13)+1)</f>
        <v/>
      </c>
      <c r="E3462" t="inlineStr">
        <is>
          <t>Online</t>
        </is>
      </c>
      <c r="F3462">
        <f>IFERROR(INDEX(ChFormat,MATCH(E3462,ChName,0)),"")</f>
        <v/>
      </c>
      <c r="G3462" t="inlineStr">
        <is>
          <t>QC</t>
        </is>
      </c>
      <c r="H3462">
        <f>IF(A3462&lt;=NWeeks,1,0)</f>
        <v/>
      </c>
      <c r="I3462">
        <f>INDEX(ChLaunch,MATCH(E3462,ChName,0))</f>
        <v/>
      </c>
      <c r="J3462">
        <f>INDEX(ChWeeksFull,MATCH(E3462,ChName,0))</f>
        <v/>
      </c>
      <c r="K3462">
        <f>INDEX(ChRamp,MATCH(E3462,ChName,0))</f>
        <v/>
      </c>
      <c r="L3462" s="45">
        <f>MIN(1,MAX(0,(A3462-I3462+1)*RampSpeed/J3462))</f>
        <v/>
      </c>
      <c r="M3462" s="45">
        <f>IF(A3462&lt;I3462,0,IF(K3462="S-curve",L3462*L3462*(3-2*L3462),L3462))</f>
        <v/>
      </c>
      <c r="N3462" s="45">
        <f>1+(INDEX(SeasonIdx,A3462)-1)*SeasonAmp</f>
        <v/>
      </c>
      <c r="O3462" s="45">
        <f>IFERROR(INDEX(PSPct,MATCH(E3462&amp;"|"&amp;G3462,PSKey,0)),0)</f>
        <v/>
      </c>
      <c r="P3462" s="46" t="n">
        <v>0</v>
      </c>
      <c r="Q3462" s="46">
        <f>INDEX(OnlineUnitsCol,A3462)*O3462*(1+OnlineGrowth)*N3462*H3462*IF(A3462&gt;=I3462,1,0)</f>
        <v/>
      </c>
      <c r="R3462" s="46">
        <f>Q3462*INDEX(FmtCansPerPack,MATCH(F3462,FmtName,0))/INDEX(FmtCansPerCase,MATCH(F3462,FmtName,0))</f>
        <v/>
      </c>
      <c r="S3462" s="46">
        <f>R3462*INDEX(FmtCansPerCase,MATCH(F3462,FmtName,0))</f>
        <v/>
      </c>
      <c r="T3462" s="46">
        <f>S3462/INDEX(FmtCansPerPack,MATCH(F3462,FmtName,0))</f>
        <v/>
      </c>
      <c r="U3462" s="47">
        <f>INDEX(ProvOnline,MATCH(G3462,ProvCode,0))*(1+PriceIndex)</f>
        <v/>
      </c>
      <c r="V3462" s="47">
        <f>Q3462*U3462*INDEX(FmtBlendedPriceIdx,MATCH(F3462,FmtName,0))</f>
        <v/>
      </c>
      <c r="W3462" s="47">
        <f>V3462</f>
        <v/>
      </c>
      <c r="X3462" s="47">
        <f>IF(GrossBasis="Wholesale",V3462,W3462)</f>
        <v/>
      </c>
      <c r="Y3462" s="47">
        <f>R3462*INDEX(FmtBlendedCogs,MATCH(F3462,FmtName,0))</f>
        <v/>
      </c>
      <c r="Z3462" s="47">
        <f>X3462-Y3462</f>
        <v/>
      </c>
    </row>
    <row r="3463">
      <c r="A3463" t="n">
        <v>17</v>
      </c>
      <c r="B3463" s="44">
        <f>FiscalStart+(A3463-1)*7</f>
        <v/>
      </c>
      <c r="C3463">
        <f>TEXT(B3463,"mmm yyyy")</f>
        <v/>
      </c>
      <c r="D3463">
        <f>"Q"&amp;(INT((A3463-1)/13)+1)</f>
        <v/>
      </c>
      <c r="E3463" t="inlineStr">
        <is>
          <t>Online</t>
        </is>
      </c>
      <c r="F3463">
        <f>IFERROR(INDEX(ChFormat,MATCH(E3463,ChName,0)),"")</f>
        <v/>
      </c>
      <c r="G3463" t="inlineStr">
        <is>
          <t>QC</t>
        </is>
      </c>
      <c r="H3463">
        <f>IF(A3463&lt;=NWeeks,1,0)</f>
        <v/>
      </c>
      <c r="I3463">
        <f>INDEX(ChLaunch,MATCH(E3463,ChName,0))</f>
        <v/>
      </c>
      <c r="J3463">
        <f>INDEX(ChWeeksFull,MATCH(E3463,ChName,0))</f>
        <v/>
      </c>
      <c r="K3463">
        <f>INDEX(ChRamp,MATCH(E3463,ChName,0))</f>
        <v/>
      </c>
      <c r="L3463" s="45">
        <f>MIN(1,MAX(0,(A3463-I3463+1)*RampSpeed/J3463))</f>
        <v/>
      </c>
      <c r="M3463" s="45">
        <f>IF(A3463&lt;I3463,0,IF(K3463="S-curve",L3463*L3463*(3-2*L3463),L3463))</f>
        <v/>
      </c>
      <c r="N3463" s="45">
        <f>1+(INDEX(SeasonIdx,A3463)-1)*SeasonAmp</f>
        <v/>
      </c>
      <c r="O3463" s="45">
        <f>IFERROR(INDEX(PSPct,MATCH(E3463&amp;"|"&amp;G3463,PSKey,0)),0)</f>
        <v/>
      </c>
      <c r="P3463" s="46" t="n">
        <v>0</v>
      </c>
      <c r="Q3463" s="46">
        <f>INDEX(OnlineUnitsCol,A3463)*O3463*(1+OnlineGrowth)*N3463*H3463*IF(A3463&gt;=I3463,1,0)</f>
        <v/>
      </c>
      <c r="R3463" s="46">
        <f>Q3463*INDEX(FmtCansPerPack,MATCH(F3463,FmtName,0))/INDEX(FmtCansPerCase,MATCH(F3463,FmtName,0))</f>
        <v/>
      </c>
      <c r="S3463" s="46">
        <f>R3463*INDEX(FmtCansPerCase,MATCH(F3463,FmtName,0))</f>
        <v/>
      </c>
      <c r="T3463" s="46">
        <f>S3463/INDEX(FmtCansPerPack,MATCH(F3463,FmtName,0))</f>
        <v/>
      </c>
      <c r="U3463" s="47">
        <f>INDEX(ProvOnline,MATCH(G3463,ProvCode,0))*(1+PriceIndex)</f>
        <v/>
      </c>
      <c r="V3463" s="47">
        <f>Q3463*U3463*INDEX(FmtBlendedPriceIdx,MATCH(F3463,FmtName,0))</f>
        <v/>
      </c>
      <c r="W3463" s="47">
        <f>V3463</f>
        <v/>
      </c>
      <c r="X3463" s="47">
        <f>IF(GrossBasis="Wholesale",V3463,W3463)</f>
        <v/>
      </c>
      <c r="Y3463" s="47">
        <f>R3463*INDEX(FmtBlendedCogs,MATCH(F3463,FmtName,0))</f>
        <v/>
      </c>
      <c r="Z3463" s="47">
        <f>X3463-Y3463</f>
        <v/>
      </c>
    </row>
    <row r="3464">
      <c r="A3464" t="n">
        <v>18</v>
      </c>
      <c r="B3464" s="44">
        <f>FiscalStart+(A3464-1)*7</f>
        <v/>
      </c>
      <c r="C3464">
        <f>TEXT(B3464,"mmm yyyy")</f>
        <v/>
      </c>
      <c r="D3464">
        <f>"Q"&amp;(INT((A3464-1)/13)+1)</f>
        <v/>
      </c>
      <c r="E3464" t="inlineStr">
        <is>
          <t>Online</t>
        </is>
      </c>
      <c r="F3464">
        <f>IFERROR(INDEX(ChFormat,MATCH(E3464,ChName,0)),"")</f>
        <v/>
      </c>
      <c r="G3464" t="inlineStr">
        <is>
          <t>QC</t>
        </is>
      </c>
      <c r="H3464">
        <f>IF(A3464&lt;=NWeeks,1,0)</f>
        <v/>
      </c>
      <c r="I3464">
        <f>INDEX(ChLaunch,MATCH(E3464,ChName,0))</f>
        <v/>
      </c>
      <c r="J3464">
        <f>INDEX(ChWeeksFull,MATCH(E3464,ChName,0))</f>
        <v/>
      </c>
      <c r="K3464">
        <f>INDEX(ChRamp,MATCH(E3464,ChName,0))</f>
        <v/>
      </c>
      <c r="L3464" s="45">
        <f>MIN(1,MAX(0,(A3464-I3464+1)*RampSpeed/J3464))</f>
        <v/>
      </c>
      <c r="M3464" s="45">
        <f>IF(A3464&lt;I3464,0,IF(K3464="S-curve",L3464*L3464*(3-2*L3464),L3464))</f>
        <v/>
      </c>
      <c r="N3464" s="45">
        <f>1+(INDEX(SeasonIdx,A3464)-1)*SeasonAmp</f>
        <v/>
      </c>
      <c r="O3464" s="45">
        <f>IFERROR(INDEX(PSPct,MATCH(E3464&amp;"|"&amp;G3464,PSKey,0)),0)</f>
        <v/>
      </c>
      <c r="P3464" s="46" t="n">
        <v>0</v>
      </c>
      <c r="Q3464" s="46">
        <f>INDEX(OnlineUnitsCol,A3464)*O3464*(1+OnlineGrowth)*N3464*H3464*IF(A3464&gt;=I3464,1,0)</f>
        <v/>
      </c>
      <c r="R3464" s="46">
        <f>Q3464*INDEX(FmtCansPerPack,MATCH(F3464,FmtName,0))/INDEX(FmtCansPerCase,MATCH(F3464,FmtName,0))</f>
        <v/>
      </c>
      <c r="S3464" s="46">
        <f>R3464*INDEX(FmtCansPerCase,MATCH(F3464,FmtName,0))</f>
        <v/>
      </c>
      <c r="T3464" s="46">
        <f>S3464/INDEX(FmtCansPerPack,MATCH(F3464,FmtName,0))</f>
        <v/>
      </c>
      <c r="U3464" s="47">
        <f>INDEX(ProvOnline,MATCH(G3464,ProvCode,0))*(1+PriceIndex)</f>
        <v/>
      </c>
      <c r="V3464" s="47">
        <f>Q3464*U3464*INDEX(FmtBlendedPriceIdx,MATCH(F3464,FmtName,0))</f>
        <v/>
      </c>
      <c r="W3464" s="47">
        <f>V3464</f>
        <v/>
      </c>
      <c r="X3464" s="47">
        <f>IF(GrossBasis="Wholesale",V3464,W3464)</f>
        <v/>
      </c>
      <c r="Y3464" s="47">
        <f>R3464*INDEX(FmtBlendedCogs,MATCH(F3464,FmtName,0))</f>
        <v/>
      </c>
      <c r="Z3464" s="47">
        <f>X3464-Y3464</f>
        <v/>
      </c>
    </row>
    <row r="3465">
      <c r="A3465" t="n">
        <v>19</v>
      </c>
      <c r="B3465" s="44">
        <f>FiscalStart+(A3465-1)*7</f>
        <v/>
      </c>
      <c r="C3465">
        <f>TEXT(B3465,"mmm yyyy")</f>
        <v/>
      </c>
      <c r="D3465">
        <f>"Q"&amp;(INT((A3465-1)/13)+1)</f>
        <v/>
      </c>
      <c r="E3465" t="inlineStr">
        <is>
          <t>Online</t>
        </is>
      </c>
      <c r="F3465">
        <f>IFERROR(INDEX(ChFormat,MATCH(E3465,ChName,0)),"")</f>
        <v/>
      </c>
      <c r="G3465" t="inlineStr">
        <is>
          <t>QC</t>
        </is>
      </c>
      <c r="H3465">
        <f>IF(A3465&lt;=NWeeks,1,0)</f>
        <v/>
      </c>
      <c r="I3465">
        <f>INDEX(ChLaunch,MATCH(E3465,ChName,0))</f>
        <v/>
      </c>
      <c r="J3465">
        <f>INDEX(ChWeeksFull,MATCH(E3465,ChName,0))</f>
        <v/>
      </c>
      <c r="K3465">
        <f>INDEX(ChRamp,MATCH(E3465,ChName,0))</f>
        <v/>
      </c>
      <c r="L3465" s="45">
        <f>MIN(1,MAX(0,(A3465-I3465+1)*RampSpeed/J3465))</f>
        <v/>
      </c>
      <c r="M3465" s="45">
        <f>IF(A3465&lt;I3465,0,IF(K3465="S-curve",L3465*L3465*(3-2*L3465),L3465))</f>
        <v/>
      </c>
      <c r="N3465" s="45">
        <f>1+(INDEX(SeasonIdx,A3465)-1)*SeasonAmp</f>
        <v/>
      </c>
      <c r="O3465" s="45">
        <f>IFERROR(INDEX(PSPct,MATCH(E3465&amp;"|"&amp;G3465,PSKey,0)),0)</f>
        <v/>
      </c>
      <c r="P3465" s="46" t="n">
        <v>0</v>
      </c>
      <c r="Q3465" s="46">
        <f>INDEX(OnlineUnitsCol,A3465)*O3465*(1+OnlineGrowth)*N3465*H3465*IF(A3465&gt;=I3465,1,0)</f>
        <v/>
      </c>
      <c r="R3465" s="46">
        <f>Q3465*INDEX(FmtCansPerPack,MATCH(F3465,FmtName,0))/INDEX(FmtCansPerCase,MATCH(F3465,FmtName,0))</f>
        <v/>
      </c>
      <c r="S3465" s="46">
        <f>R3465*INDEX(FmtCansPerCase,MATCH(F3465,FmtName,0))</f>
        <v/>
      </c>
      <c r="T3465" s="46">
        <f>S3465/INDEX(FmtCansPerPack,MATCH(F3465,FmtName,0))</f>
        <v/>
      </c>
      <c r="U3465" s="47">
        <f>INDEX(ProvOnline,MATCH(G3465,ProvCode,0))*(1+PriceIndex)</f>
        <v/>
      </c>
      <c r="V3465" s="47">
        <f>Q3465*U3465*INDEX(FmtBlendedPriceIdx,MATCH(F3465,FmtName,0))</f>
        <v/>
      </c>
      <c r="W3465" s="47">
        <f>V3465</f>
        <v/>
      </c>
      <c r="X3465" s="47">
        <f>IF(GrossBasis="Wholesale",V3465,W3465)</f>
        <v/>
      </c>
      <c r="Y3465" s="47">
        <f>R3465*INDEX(FmtBlendedCogs,MATCH(F3465,FmtName,0))</f>
        <v/>
      </c>
      <c r="Z3465" s="47">
        <f>X3465-Y3465</f>
        <v/>
      </c>
    </row>
    <row r="3466">
      <c r="A3466" t="n">
        <v>20</v>
      </c>
      <c r="B3466" s="44">
        <f>FiscalStart+(A3466-1)*7</f>
        <v/>
      </c>
      <c r="C3466">
        <f>TEXT(B3466,"mmm yyyy")</f>
        <v/>
      </c>
      <c r="D3466">
        <f>"Q"&amp;(INT((A3466-1)/13)+1)</f>
        <v/>
      </c>
      <c r="E3466" t="inlineStr">
        <is>
          <t>Online</t>
        </is>
      </c>
      <c r="F3466">
        <f>IFERROR(INDEX(ChFormat,MATCH(E3466,ChName,0)),"")</f>
        <v/>
      </c>
      <c r="G3466" t="inlineStr">
        <is>
          <t>QC</t>
        </is>
      </c>
      <c r="H3466">
        <f>IF(A3466&lt;=NWeeks,1,0)</f>
        <v/>
      </c>
      <c r="I3466">
        <f>INDEX(ChLaunch,MATCH(E3466,ChName,0))</f>
        <v/>
      </c>
      <c r="J3466">
        <f>INDEX(ChWeeksFull,MATCH(E3466,ChName,0))</f>
        <v/>
      </c>
      <c r="K3466">
        <f>INDEX(ChRamp,MATCH(E3466,ChName,0))</f>
        <v/>
      </c>
      <c r="L3466" s="45">
        <f>MIN(1,MAX(0,(A3466-I3466+1)*RampSpeed/J3466))</f>
        <v/>
      </c>
      <c r="M3466" s="45">
        <f>IF(A3466&lt;I3466,0,IF(K3466="S-curve",L3466*L3466*(3-2*L3466),L3466))</f>
        <v/>
      </c>
      <c r="N3466" s="45">
        <f>1+(INDEX(SeasonIdx,A3466)-1)*SeasonAmp</f>
        <v/>
      </c>
      <c r="O3466" s="45">
        <f>IFERROR(INDEX(PSPct,MATCH(E3466&amp;"|"&amp;G3466,PSKey,0)),0)</f>
        <v/>
      </c>
      <c r="P3466" s="46" t="n">
        <v>0</v>
      </c>
      <c r="Q3466" s="46">
        <f>INDEX(OnlineUnitsCol,A3466)*O3466*(1+OnlineGrowth)*N3466*H3466*IF(A3466&gt;=I3466,1,0)</f>
        <v/>
      </c>
      <c r="R3466" s="46">
        <f>Q3466*INDEX(FmtCansPerPack,MATCH(F3466,FmtName,0))/INDEX(FmtCansPerCase,MATCH(F3466,FmtName,0))</f>
        <v/>
      </c>
      <c r="S3466" s="46">
        <f>R3466*INDEX(FmtCansPerCase,MATCH(F3466,FmtName,0))</f>
        <v/>
      </c>
      <c r="T3466" s="46">
        <f>S3466/INDEX(FmtCansPerPack,MATCH(F3466,FmtName,0))</f>
        <v/>
      </c>
      <c r="U3466" s="47">
        <f>INDEX(ProvOnline,MATCH(G3466,ProvCode,0))*(1+PriceIndex)</f>
        <v/>
      </c>
      <c r="V3466" s="47">
        <f>Q3466*U3466*INDEX(FmtBlendedPriceIdx,MATCH(F3466,FmtName,0))</f>
        <v/>
      </c>
      <c r="W3466" s="47">
        <f>V3466</f>
        <v/>
      </c>
      <c r="X3466" s="47">
        <f>IF(GrossBasis="Wholesale",V3466,W3466)</f>
        <v/>
      </c>
      <c r="Y3466" s="47">
        <f>R3466*INDEX(FmtBlendedCogs,MATCH(F3466,FmtName,0))</f>
        <v/>
      </c>
      <c r="Z3466" s="47">
        <f>X3466-Y3466</f>
        <v/>
      </c>
    </row>
    <row r="3467">
      <c r="A3467" t="n">
        <v>21</v>
      </c>
      <c r="B3467" s="44">
        <f>FiscalStart+(A3467-1)*7</f>
        <v/>
      </c>
      <c r="C3467">
        <f>TEXT(B3467,"mmm yyyy")</f>
        <v/>
      </c>
      <c r="D3467">
        <f>"Q"&amp;(INT((A3467-1)/13)+1)</f>
        <v/>
      </c>
      <c r="E3467" t="inlineStr">
        <is>
          <t>Online</t>
        </is>
      </c>
      <c r="F3467">
        <f>IFERROR(INDEX(ChFormat,MATCH(E3467,ChName,0)),"")</f>
        <v/>
      </c>
      <c r="G3467" t="inlineStr">
        <is>
          <t>QC</t>
        </is>
      </c>
      <c r="H3467">
        <f>IF(A3467&lt;=NWeeks,1,0)</f>
        <v/>
      </c>
      <c r="I3467">
        <f>INDEX(ChLaunch,MATCH(E3467,ChName,0))</f>
        <v/>
      </c>
      <c r="J3467">
        <f>INDEX(ChWeeksFull,MATCH(E3467,ChName,0))</f>
        <v/>
      </c>
      <c r="K3467">
        <f>INDEX(ChRamp,MATCH(E3467,ChName,0))</f>
        <v/>
      </c>
      <c r="L3467" s="45">
        <f>MIN(1,MAX(0,(A3467-I3467+1)*RampSpeed/J3467))</f>
        <v/>
      </c>
      <c r="M3467" s="45">
        <f>IF(A3467&lt;I3467,0,IF(K3467="S-curve",L3467*L3467*(3-2*L3467),L3467))</f>
        <v/>
      </c>
      <c r="N3467" s="45">
        <f>1+(INDEX(SeasonIdx,A3467)-1)*SeasonAmp</f>
        <v/>
      </c>
      <c r="O3467" s="45">
        <f>IFERROR(INDEX(PSPct,MATCH(E3467&amp;"|"&amp;G3467,PSKey,0)),0)</f>
        <v/>
      </c>
      <c r="P3467" s="46" t="n">
        <v>0</v>
      </c>
      <c r="Q3467" s="46">
        <f>INDEX(OnlineUnitsCol,A3467)*O3467*(1+OnlineGrowth)*N3467*H3467*IF(A3467&gt;=I3467,1,0)</f>
        <v/>
      </c>
      <c r="R3467" s="46">
        <f>Q3467*INDEX(FmtCansPerPack,MATCH(F3467,FmtName,0))/INDEX(FmtCansPerCase,MATCH(F3467,FmtName,0))</f>
        <v/>
      </c>
      <c r="S3467" s="46">
        <f>R3467*INDEX(FmtCansPerCase,MATCH(F3467,FmtName,0))</f>
        <v/>
      </c>
      <c r="T3467" s="46">
        <f>S3467/INDEX(FmtCansPerPack,MATCH(F3467,FmtName,0))</f>
        <v/>
      </c>
      <c r="U3467" s="47">
        <f>INDEX(ProvOnline,MATCH(G3467,ProvCode,0))*(1+PriceIndex)</f>
        <v/>
      </c>
      <c r="V3467" s="47">
        <f>Q3467*U3467*INDEX(FmtBlendedPriceIdx,MATCH(F3467,FmtName,0))</f>
        <v/>
      </c>
      <c r="W3467" s="47">
        <f>V3467</f>
        <v/>
      </c>
      <c r="X3467" s="47">
        <f>IF(GrossBasis="Wholesale",V3467,W3467)</f>
        <v/>
      </c>
      <c r="Y3467" s="47">
        <f>R3467*INDEX(FmtBlendedCogs,MATCH(F3467,FmtName,0))</f>
        <v/>
      </c>
      <c r="Z3467" s="47">
        <f>X3467-Y3467</f>
        <v/>
      </c>
    </row>
    <row r="3468">
      <c r="A3468" t="n">
        <v>22</v>
      </c>
      <c r="B3468" s="44">
        <f>FiscalStart+(A3468-1)*7</f>
        <v/>
      </c>
      <c r="C3468">
        <f>TEXT(B3468,"mmm yyyy")</f>
        <v/>
      </c>
      <c r="D3468">
        <f>"Q"&amp;(INT((A3468-1)/13)+1)</f>
        <v/>
      </c>
      <c r="E3468" t="inlineStr">
        <is>
          <t>Online</t>
        </is>
      </c>
      <c r="F3468">
        <f>IFERROR(INDEX(ChFormat,MATCH(E3468,ChName,0)),"")</f>
        <v/>
      </c>
      <c r="G3468" t="inlineStr">
        <is>
          <t>QC</t>
        </is>
      </c>
      <c r="H3468">
        <f>IF(A3468&lt;=NWeeks,1,0)</f>
        <v/>
      </c>
      <c r="I3468">
        <f>INDEX(ChLaunch,MATCH(E3468,ChName,0))</f>
        <v/>
      </c>
      <c r="J3468">
        <f>INDEX(ChWeeksFull,MATCH(E3468,ChName,0))</f>
        <v/>
      </c>
      <c r="K3468">
        <f>INDEX(ChRamp,MATCH(E3468,ChName,0))</f>
        <v/>
      </c>
      <c r="L3468" s="45">
        <f>MIN(1,MAX(0,(A3468-I3468+1)*RampSpeed/J3468))</f>
        <v/>
      </c>
      <c r="M3468" s="45">
        <f>IF(A3468&lt;I3468,0,IF(K3468="S-curve",L3468*L3468*(3-2*L3468),L3468))</f>
        <v/>
      </c>
      <c r="N3468" s="45">
        <f>1+(INDEX(SeasonIdx,A3468)-1)*SeasonAmp</f>
        <v/>
      </c>
      <c r="O3468" s="45">
        <f>IFERROR(INDEX(PSPct,MATCH(E3468&amp;"|"&amp;G3468,PSKey,0)),0)</f>
        <v/>
      </c>
      <c r="P3468" s="46" t="n">
        <v>0</v>
      </c>
      <c r="Q3468" s="46">
        <f>INDEX(OnlineUnitsCol,A3468)*O3468*(1+OnlineGrowth)*N3468*H3468*IF(A3468&gt;=I3468,1,0)</f>
        <v/>
      </c>
      <c r="R3468" s="46">
        <f>Q3468*INDEX(FmtCansPerPack,MATCH(F3468,FmtName,0))/INDEX(FmtCansPerCase,MATCH(F3468,FmtName,0))</f>
        <v/>
      </c>
      <c r="S3468" s="46">
        <f>R3468*INDEX(FmtCansPerCase,MATCH(F3468,FmtName,0))</f>
        <v/>
      </c>
      <c r="T3468" s="46">
        <f>S3468/INDEX(FmtCansPerPack,MATCH(F3468,FmtName,0))</f>
        <v/>
      </c>
      <c r="U3468" s="47">
        <f>INDEX(ProvOnline,MATCH(G3468,ProvCode,0))*(1+PriceIndex)</f>
        <v/>
      </c>
      <c r="V3468" s="47">
        <f>Q3468*U3468*INDEX(FmtBlendedPriceIdx,MATCH(F3468,FmtName,0))</f>
        <v/>
      </c>
      <c r="W3468" s="47">
        <f>V3468</f>
        <v/>
      </c>
      <c r="X3468" s="47">
        <f>IF(GrossBasis="Wholesale",V3468,W3468)</f>
        <v/>
      </c>
      <c r="Y3468" s="47">
        <f>R3468*INDEX(FmtBlendedCogs,MATCH(F3468,FmtName,0))</f>
        <v/>
      </c>
      <c r="Z3468" s="47">
        <f>X3468-Y3468</f>
        <v/>
      </c>
    </row>
    <row r="3469">
      <c r="A3469" t="n">
        <v>23</v>
      </c>
      <c r="B3469" s="44">
        <f>FiscalStart+(A3469-1)*7</f>
        <v/>
      </c>
      <c r="C3469">
        <f>TEXT(B3469,"mmm yyyy")</f>
        <v/>
      </c>
      <c r="D3469">
        <f>"Q"&amp;(INT((A3469-1)/13)+1)</f>
        <v/>
      </c>
      <c r="E3469" t="inlineStr">
        <is>
          <t>Online</t>
        </is>
      </c>
      <c r="F3469">
        <f>IFERROR(INDEX(ChFormat,MATCH(E3469,ChName,0)),"")</f>
        <v/>
      </c>
      <c r="G3469" t="inlineStr">
        <is>
          <t>QC</t>
        </is>
      </c>
      <c r="H3469">
        <f>IF(A3469&lt;=NWeeks,1,0)</f>
        <v/>
      </c>
      <c r="I3469">
        <f>INDEX(ChLaunch,MATCH(E3469,ChName,0))</f>
        <v/>
      </c>
      <c r="J3469">
        <f>INDEX(ChWeeksFull,MATCH(E3469,ChName,0))</f>
        <v/>
      </c>
      <c r="K3469">
        <f>INDEX(ChRamp,MATCH(E3469,ChName,0))</f>
        <v/>
      </c>
      <c r="L3469" s="45">
        <f>MIN(1,MAX(0,(A3469-I3469+1)*RampSpeed/J3469))</f>
        <v/>
      </c>
      <c r="M3469" s="45">
        <f>IF(A3469&lt;I3469,0,IF(K3469="S-curve",L3469*L3469*(3-2*L3469),L3469))</f>
        <v/>
      </c>
      <c r="N3469" s="45">
        <f>1+(INDEX(SeasonIdx,A3469)-1)*SeasonAmp</f>
        <v/>
      </c>
      <c r="O3469" s="45">
        <f>IFERROR(INDEX(PSPct,MATCH(E3469&amp;"|"&amp;G3469,PSKey,0)),0)</f>
        <v/>
      </c>
      <c r="P3469" s="46" t="n">
        <v>0</v>
      </c>
      <c r="Q3469" s="46">
        <f>INDEX(OnlineUnitsCol,A3469)*O3469*(1+OnlineGrowth)*N3469*H3469*IF(A3469&gt;=I3469,1,0)</f>
        <v/>
      </c>
      <c r="R3469" s="46">
        <f>Q3469*INDEX(FmtCansPerPack,MATCH(F3469,FmtName,0))/INDEX(FmtCansPerCase,MATCH(F3469,FmtName,0))</f>
        <v/>
      </c>
      <c r="S3469" s="46">
        <f>R3469*INDEX(FmtCansPerCase,MATCH(F3469,FmtName,0))</f>
        <v/>
      </c>
      <c r="T3469" s="46">
        <f>S3469/INDEX(FmtCansPerPack,MATCH(F3469,FmtName,0))</f>
        <v/>
      </c>
      <c r="U3469" s="47">
        <f>INDEX(ProvOnline,MATCH(G3469,ProvCode,0))*(1+PriceIndex)</f>
        <v/>
      </c>
      <c r="V3469" s="47">
        <f>Q3469*U3469*INDEX(FmtBlendedPriceIdx,MATCH(F3469,FmtName,0))</f>
        <v/>
      </c>
      <c r="W3469" s="47">
        <f>V3469</f>
        <v/>
      </c>
      <c r="X3469" s="47">
        <f>IF(GrossBasis="Wholesale",V3469,W3469)</f>
        <v/>
      </c>
      <c r="Y3469" s="47">
        <f>R3469*INDEX(FmtBlendedCogs,MATCH(F3469,FmtName,0))</f>
        <v/>
      </c>
      <c r="Z3469" s="47">
        <f>X3469-Y3469</f>
        <v/>
      </c>
    </row>
    <row r="3470">
      <c r="A3470" t="n">
        <v>24</v>
      </c>
      <c r="B3470" s="44">
        <f>FiscalStart+(A3470-1)*7</f>
        <v/>
      </c>
      <c r="C3470">
        <f>TEXT(B3470,"mmm yyyy")</f>
        <v/>
      </c>
      <c r="D3470">
        <f>"Q"&amp;(INT((A3470-1)/13)+1)</f>
        <v/>
      </c>
      <c r="E3470" t="inlineStr">
        <is>
          <t>Online</t>
        </is>
      </c>
      <c r="F3470">
        <f>IFERROR(INDEX(ChFormat,MATCH(E3470,ChName,0)),"")</f>
        <v/>
      </c>
      <c r="G3470" t="inlineStr">
        <is>
          <t>QC</t>
        </is>
      </c>
      <c r="H3470">
        <f>IF(A3470&lt;=NWeeks,1,0)</f>
        <v/>
      </c>
      <c r="I3470">
        <f>INDEX(ChLaunch,MATCH(E3470,ChName,0))</f>
        <v/>
      </c>
      <c r="J3470">
        <f>INDEX(ChWeeksFull,MATCH(E3470,ChName,0))</f>
        <v/>
      </c>
      <c r="K3470">
        <f>INDEX(ChRamp,MATCH(E3470,ChName,0))</f>
        <v/>
      </c>
      <c r="L3470" s="45">
        <f>MIN(1,MAX(0,(A3470-I3470+1)*RampSpeed/J3470))</f>
        <v/>
      </c>
      <c r="M3470" s="45">
        <f>IF(A3470&lt;I3470,0,IF(K3470="S-curve",L3470*L3470*(3-2*L3470),L3470))</f>
        <v/>
      </c>
      <c r="N3470" s="45">
        <f>1+(INDEX(SeasonIdx,A3470)-1)*SeasonAmp</f>
        <v/>
      </c>
      <c r="O3470" s="45">
        <f>IFERROR(INDEX(PSPct,MATCH(E3470&amp;"|"&amp;G3470,PSKey,0)),0)</f>
        <v/>
      </c>
      <c r="P3470" s="46" t="n">
        <v>0</v>
      </c>
      <c r="Q3470" s="46">
        <f>INDEX(OnlineUnitsCol,A3470)*O3470*(1+OnlineGrowth)*N3470*H3470*IF(A3470&gt;=I3470,1,0)</f>
        <v/>
      </c>
      <c r="R3470" s="46">
        <f>Q3470*INDEX(FmtCansPerPack,MATCH(F3470,FmtName,0))/INDEX(FmtCansPerCase,MATCH(F3470,FmtName,0))</f>
        <v/>
      </c>
      <c r="S3470" s="46">
        <f>R3470*INDEX(FmtCansPerCase,MATCH(F3470,FmtName,0))</f>
        <v/>
      </c>
      <c r="T3470" s="46">
        <f>S3470/INDEX(FmtCansPerPack,MATCH(F3470,FmtName,0))</f>
        <v/>
      </c>
      <c r="U3470" s="47">
        <f>INDEX(ProvOnline,MATCH(G3470,ProvCode,0))*(1+PriceIndex)</f>
        <v/>
      </c>
      <c r="V3470" s="47">
        <f>Q3470*U3470*INDEX(FmtBlendedPriceIdx,MATCH(F3470,FmtName,0))</f>
        <v/>
      </c>
      <c r="W3470" s="47">
        <f>V3470</f>
        <v/>
      </c>
      <c r="X3470" s="47">
        <f>IF(GrossBasis="Wholesale",V3470,W3470)</f>
        <v/>
      </c>
      <c r="Y3470" s="47">
        <f>R3470*INDEX(FmtBlendedCogs,MATCH(F3470,FmtName,0))</f>
        <v/>
      </c>
      <c r="Z3470" s="47">
        <f>X3470-Y3470</f>
        <v/>
      </c>
    </row>
    <row r="3471">
      <c r="A3471" t="n">
        <v>25</v>
      </c>
      <c r="B3471" s="44">
        <f>FiscalStart+(A3471-1)*7</f>
        <v/>
      </c>
      <c r="C3471">
        <f>TEXT(B3471,"mmm yyyy")</f>
        <v/>
      </c>
      <c r="D3471">
        <f>"Q"&amp;(INT((A3471-1)/13)+1)</f>
        <v/>
      </c>
      <c r="E3471" t="inlineStr">
        <is>
          <t>Online</t>
        </is>
      </c>
      <c r="F3471">
        <f>IFERROR(INDEX(ChFormat,MATCH(E3471,ChName,0)),"")</f>
        <v/>
      </c>
      <c r="G3471" t="inlineStr">
        <is>
          <t>QC</t>
        </is>
      </c>
      <c r="H3471">
        <f>IF(A3471&lt;=NWeeks,1,0)</f>
        <v/>
      </c>
      <c r="I3471">
        <f>INDEX(ChLaunch,MATCH(E3471,ChName,0))</f>
        <v/>
      </c>
      <c r="J3471">
        <f>INDEX(ChWeeksFull,MATCH(E3471,ChName,0))</f>
        <v/>
      </c>
      <c r="K3471">
        <f>INDEX(ChRamp,MATCH(E3471,ChName,0))</f>
        <v/>
      </c>
      <c r="L3471" s="45">
        <f>MIN(1,MAX(0,(A3471-I3471+1)*RampSpeed/J3471))</f>
        <v/>
      </c>
      <c r="M3471" s="45">
        <f>IF(A3471&lt;I3471,0,IF(K3471="S-curve",L3471*L3471*(3-2*L3471),L3471))</f>
        <v/>
      </c>
      <c r="N3471" s="45">
        <f>1+(INDEX(SeasonIdx,A3471)-1)*SeasonAmp</f>
        <v/>
      </c>
      <c r="O3471" s="45">
        <f>IFERROR(INDEX(PSPct,MATCH(E3471&amp;"|"&amp;G3471,PSKey,0)),0)</f>
        <v/>
      </c>
      <c r="P3471" s="46" t="n">
        <v>0</v>
      </c>
      <c r="Q3471" s="46">
        <f>INDEX(OnlineUnitsCol,A3471)*O3471*(1+OnlineGrowth)*N3471*H3471*IF(A3471&gt;=I3471,1,0)</f>
        <v/>
      </c>
      <c r="R3471" s="46">
        <f>Q3471*INDEX(FmtCansPerPack,MATCH(F3471,FmtName,0))/INDEX(FmtCansPerCase,MATCH(F3471,FmtName,0))</f>
        <v/>
      </c>
      <c r="S3471" s="46">
        <f>R3471*INDEX(FmtCansPerCase,MATCH(F3471,FmtName,0))</f>
        <v/>
      </c>
      <c r="T3471" s="46">
        <f>S3471/INDEX(FmtCansPerPack,MATCH(F3471,FmtName,0))</f>
        <v/>
      </c>
      <c r="U3471" s="47">
        <f>INDEX(ProvOnline,MATCH(G3471,ProvCode,0))*(1+PriceIndex)</f>
        <v/>
      </c>
      <c r="V3471" s="47">
        <f>Q3471*U3471*INDEX(FmtBlendedPriceIdx,MATCH(F3471,FmtName,0))</f>
        <v/>
      </c>
      <c r="W3471" s="47">
        <f>V3471</f>
        <v/>
      </c>
      <c r="X3471" s="47">
        <f>IF(GrossBasis="Wholesale",V3471,W3471)</f>
        <v/>
      </c>
      <c r="Y3471" s="47">
        <f>R3471*INDEX(FmtBlendedCogs,MATCH(F3471,FmtName,0))</f>
        <v/>
      </c>
      <c r="Z3471" s="47">
        <f>X3471-Y3471</f>
        <v/>
      </c>
    </row>
    <row r="3472">
      <c r="A3472" t="n">
        <v>26</v>
      </c>
      <c r="B3472" s="44">
        <f>FiscalStart+(A3472-1)*7</f>
        <v/>
      </c>
      <c r="C3472">
        <f>TEXT(B3472,"mmm yyyy")</f>
        <v/>
      </c>
      <c r="D3472">
        <f>"Q"&amp;(INT((A3472-1)/13)+1)</f>
        <v/>
      </c>
      <c r="E3472" t="inlineStr">
        <is>
          <t>Online</t>
        </is>
      </c>
      <c r="F3472">
        <f>IFERROR(INDEX(ChFormat,MATCH(E3472,ChName,0)),"")</f>
        <v/>
      </c>
      <c r="G3472" t="inlineStr">
        <is>
          <t>QC</t>
        </is>
      </c>
      <c r="H3472">
        <f>IF(A3472&lt;=NWeeks,1,0)</f>
        <v/>
      </c>
      <c r="I3472">
        <f>INDEX(ChLaunch,MATCH(E3472,ChName,0))</f>
        <v/>
      </c>
      <c r="J3472">
        <f>INDEX(ChWeeksFull,MATCH(E3472,ChName,0))</f>
        <v/>
      </c>
      <c r="K3472">
        <f>INDEX(ChRamp,MATCH(E3472,ChName,0))</f>
        <v/>
      </c>
      <c r="L3472" s="45">
        <f>MIN(1,MAX(0,(A3472-I3472+1)*RampSpeed/J3472))</f>
        <v/>
      </c>
      <c r="M3472" s="45">
        <f>IF(A3472&lt;I3472,0,IF(K3472="S-curve",L3472*L3472*(3-2*L3472),L3472))</f>
        <v/>
      </c>
      <c r="N3472" s="45">
        <f>1+(INDEX(SeasonIdx,A3472)-1)*SeasonAmp</f>
        <v/>
      </c>
      <c r="O3472" s="45">
        <f>IFERROR(INDEX(PSPct,MATCH(E3472&amp;"|"&amp;G3472,PSKey,0)),0)</f>
        <v/>
      </c>
      <c r="P3472" s="46" t="n">
        <v>0</v>
      </c>
      <c r="Q3472" s="46">
        <f>INDEX(OnlineUnitsCol,A3472)*O3472*(1+OnlineGrowth)*N3472*H3472*IF(A3472&gt;=I3472,1,0)</f>
        <v/>
      </c>
      <c r="R3472" s="46">
        <f>Q3472*INDEX(FmtCansPerPack,MATCH(F3472,FmtName,0))/INDEX(FmtCansPerCase,MATCH(F3472,FmtName,0))</f>
        <v/>
      </c>
      <c r="S3472" s="46">
        <f>R3472*INDEX(FmtCansPerCase,MATCH(F3472,FmtName,0))</f>
        <v/>
      </c>
      <c r="T3472" s="46">
        <f>S3472/INDEX(FmtCansPerPack,MATCH(F3472,FmtName,0))</f>
        <v/>
      </c>
      <c r="U3472" s="47">
        <f>INDEX(ProvOnline,MATCH(G3472,ProvCode,0))*(1+PriceIndex)</f>
        <v/>
      </c>
      <c r="V3472" s="47">
        <f>Q3472*U3472*INDEX(FmtBlendedPriceIdx,MATCH(F3472,FmtName,0))</f>
        <v/>
      </c>
      <c r="W3472" s="47">
        <f>V3472</f>
        <v/>
      </c>
      <c r="X3472" s="47">
        <f>IF(GrossBasis="Wholesale",V3472,W3472)</f>
        <v/>
      </c>
      <c r="Y3472" s="47">
        <f>R3472*INDEX(FmtBlendedCogs,MATCH(F3472,FmtName,0))</f>
        <v/>
      </c>
      <c r="Z3472" s="47">
        <f>X3472-Y3472</f>
        <v/>
      </c>
    </row>
    <row r="3473">
      <c r="A3473" t="n">
        <v>27</v>
      </c>
      <c r="B3473" s="44">
        <f>FiscalStart+(A3473-1)*7</f>
        <v/>
      </c>
      <c r="C3473">
        <f>TEXT(B3473,"mmm yyyy")</f>
        <v/>
      </c>
      <c r="D3473">
        <f>"Q"&amp;(INT((A3473-1)/13)+1)</f>
        <v/>
      </c>
      <c r="E3473" t="inlineStr">
        <is>
          <t>Online</t>
        </is>
      </c>
      <c r="F3473">
        <f>IFERROR(INDEX(ChFormat,MATCH(E3473,ChName,0)),"")</f>
        <v/>
      </c>
      <c r="G3473" t="inlineStr">
        <is>
          <t>QC</t>
        </is>
      </c>
      <c r="H3473">
        <f>IF(A3473&lt;=NWeeks,1,0)</f>
        <v/>
      </c>
      <c r="I3473">
        <f>INDEX(ChLaunch,MATCH(E3473,ChName,0))</f>
        <v/>
      </c>
      <c r="J3473">
        <f>INDEX(ChWeeksFull,MATCH(E3473,ChName,0))</f>
        <v/>
      </c>
      <c r="K3473">
        <f>INDEX(ChRamp,MATCH(E3473,ChName,0))</f>
        <v/>
      </c>
      <c r="L3473" s="45">
        <f>MIN(1,MAX(0,(A3473-I3473+1)*RampSpeed/J3473))</f>
        <v/>
      </c>
      <c r="M3473" s="45">
        <f>IF(A3473&lt;I3473,0,IF(K3473="S-curve",L3473*L3473*(3-2*L3473),L3473))</f>
        <v/>
      </c>
      <c r="N3473" s="45">
        <f>1+(INDEX(SeasonIdx,A3473)-1)*SeasonAmp</f>
        <v/>
      </c>
      <c r="O3473" s="45">
        <f>IFERROR(INDEX(PSPct,MATCH(E3473&amp;"|"&amp;G3473,PSKey,0)),0)</f>
        <v/>
      </c>
      <c r="P3473" s="46" t="n">
        <v>0</v>
      </c>
      <c r="Q3473" s="46">
        <f>INDEX(OnlineUnitsCol,A3473)*O3473*(1+OnlineGrowth)*N3473*H3473*IF(A3473&gt;=I3473,1,0)</f>
        <v/>
      </c>
      <c r="R3473" s="46">
        <f>Q3473*INDEX(FmtCansPerPack,MATCH(F3473,FmtName,0))/INDEX(FmtCansPerCase,MATCH(F3473,FmtName,0))</f>
        <v/>
      </c>
      <c r="S3473" s="46">
        <f>R3473*INDEX(FmtCansPerCase,MATCH(F3473,FmtName,0))</f>
        <v/>
      </c>
      <c r="T3473" s="46">
        <f>S3473/INDEX(FmtCansPerPack,MATCH(F3473,FmtName,0))</f>
        <v/>
      </c>
      <c r="U3473" s="47">
        <f>INDEX(ProvOnline,MATCH(G3473,ProvCode,0))*(1+PriceIndex)</f>
        <v/>
      </c>
      <c r="V3473" s="47">
        <f>Q3473*U3473*INDEX(FmtBlendedPriceIdx,MATCH(F3473,FmtName,0))</f>
        <v/>
      </c>
      <c r="W3473" s="47">
        <f>V3473</f>
        <v/>
      </c>
      <c r="X3473" s="47">
        <f>IF(GrossBasis="Wholesale",V3473,W3473)</f>
        <v/>
      </c>
      <c r="Y3473" s="47">
        <f>R3473*INDEX(FmtBlendedCogs,MATCH(F3473,FmtName,0))</f>
        <v/>
      </c>
      <c r="Z3473" s="47">
        <f>X3473-Y3473</f>
        <v/>
      </c>
    </row>
    <row r="3474">
      <c r="A3474" t="n">
        <v>28</v>
      </c>
      <c r="B3474" s="44">
        <f>FiscalStart+(A3474-1)*7</f>
        <v/>
      </c>
      <c r="C3474">
        <f>TEXT(B3474,"mmm yyyy")</f>
        <v/>
      </c>
      <c r="D3474">
        <f>"Q"&amp;(INT((A3474-1)/13)+1)</f>
        <v/>
      </c>
      <c r="E3474" t="inlineStr">
        <is>
          <t>Online</t>
        </is>
      </c>
      <c r="F3474">
        <f>IFERROR(INDEX(ChFormat,MATCH(E3474,ChName,0)),"")</f>
        <v/>
      </c>
      <c r="G3474" t="inlineStr">
        <is>
          <t>QC</t>
        </is>
      </c>
      <c r="H3474">
        <f>IF(A3474&lt;=NWeeks,1,0)</f>
        <v/>
      </c>
      <c r="I3474">
        <f>INDEX(ChLaunch,MATCH(E3474,ChName,0))</f>
        <v/>
      </c>
      <c r="J3474">
        <f>INDEX(ChWeeksFull,MATCH(E3474,ChName,0))</f>
        <v/>
      </c>
      <c r="K3474">
        <f>INDEX(ChRamp,MATCH(E3474,ChName,0))</f>
        <v/>
      </c>
      <c r="L3474" s="45">
        <f>MIN(1,MAX(0,(A3474-I3474+1)*RampSpeed/J3474))</f>
        <v/>
      </c>
      <c r="M3474" s="45">
        <f>IF(A3474&lt;I3474,0,IF(K3474="S-curve",L3474*L3474*(3-2*L3474),L3474))</f>
        <v/>
      </c>
      <c r="N3474" s="45">
        <f>1+(INDEX(SeasonIdx,A3474)-1)*SeasonAmp</f>
        <v/>
      </c>
      <c r="O3474" s="45">
        <f>IFERROR(INDEX(PSPct,MATCH(E3474&amp;"|"&amp;G3474,PSKey,0)),0)</f>
        <v/>
      </c>
      <c r="P3474" s="46" t="n">
        <v>0</v>
      </c>
      <c r="Q3474" s="46">
        <f>INDEX(OnlineUnitsCol,A3474)*O3474*(1+OnlineGrowth)*N3474*H3474*IF(A3474&gt;=I3474,1,0)</f>
        <v/>
      </c>
      <c r="R3474" s="46">
        <f>Q3474*INDEX(FmtCansPerPack,MATCH(F3474,FmtName,0))/INDEX(FmtCansPerCase,MATCH(F3474,FmtName,0))</f>
        <v/>
      </c>
      <c r="S3474" s="46">
        <f>R3474*INDEX(FmtCansPerCase,MATCH(F3474,FmtName,0))</f>
        <v/>
      </c>
      <c r="T3474" s="46">
        <f>S3474/INDEX(FmtCansPerPack,MATCH(F3474,FmtName,0))</f>
        <v/>
      </c>
      <c r="U3474" s="47">
        <f>INDEX(ProvOnline,MATCH(G3474,ProvCode,0))*(1+PriceIndex)</f>
        <v/>
      </c>
      <c r="V3474" s="47">
        <f>Q3474*U3474*INDEX(FmtBlendedPriceIdx,MATCH(F3474,FmtName,0))</f>
        <v/>
      </c>
      <c r="W3474" s="47">
        <f>V3474</f>
        <v/>
      </c>
      <c r="X3474" s="47">
        <f>IF(GrossBasis="Wholesale",V3474,W3474)</f>
        <v/>
      </c>
      <c r="Y3474" s="47">
        <f>R3474*INDEX(FmtBlendedCogs,MATCH(F3474,FmtName,0))</f>
        <v/>
      </c>
      <c r="Z3474" s="47">
        <f>X3474-Y3474</f>
        <v/>
      </c>
    </row>
    <row r="3475">
      <c r="A3475" t="n">
        <v>29</v>
      </c>
      <c r="B3475" s="44">
        <f>FiscalStart+(A3475-1)*7</f>
        <v/>
      </c>
      <c r="C3475">
        <f>TEXT(B3475,"mmm yyyy")</f>
        <v/>
      </c>
      <c r="D3475">
        <f>"Q"&amp;(INT((A3475-1)/13)+1)</f>
        <v/>
      </c>
      <c r="E3475" t="inlineStr">
        <is>
          <t>Online</t>
        </is>
      </c>
      <c r="F3475">
        <f>IFERROR(INDEX(ChFormat,MATCH(E3475,ChName,0)),"")</f>
        <v/>
      </c>
      <c r="G3475" t="inlineStr">
        <is>
          <t>QC</t>
        </is>
      </c>
      <c r="H3475">
        <f>IF(A3475&lt;=NWeeks,1,0)</f>
        <v/>
      </c>
      <c r="I3475">
        <f>INDEX(ChLaunch,MATCH(E3475,ChName,0))</f>
        <v/>
      </c>
      <c r="J3475">
        <f>INDEX(ChWeeksFull,MATCH(E3475,ChName,0))</f>
        <v/>
      </c>
      <c r="K3475">
        <f>INDEX(ChRamp,MATCH(E3475,ChName,0))</f>
        <v/>
      </c>
      <c r="L3475" s="45">
        <f>MIN(1,MAX(0,(A3475-I3475+1)*RampSpeed/J3475))</f>
        <v/>
      </c>
      <c r="M3475" s="45">
        <f>IF(A3475&lt;I3475,0,IF(K3475="S-curve",L3475*L3475*(3-2*L3475),L3475))</f>
        <v/>
      </c>
      <c r="N3475" s="45">
        <f>1+(INDEX(SeasonIdx,A3475)-1)*SeasonAmp</f>
        <v/>
      </c>
      <c r="O3475" s="45">
        <f>IFERROR(INDEX(PSPct,MATCH(E3475&amp;"|"&amp;G3475,PSKey,0)),0)</f>
        <v/>
      </c>
      <c r="P3475" s="46" t="n">
        <v>0</v>
      </c>
      <c r="Q3475" s="46">
        <f>INDEX(OnlineUnitsCol,A3475)*O3475*(1+OnlineGrowth)*N3475*H3475*IF(A3475&gt;=I3475,1,0)</f>
        <v/>
      </c>
      <c r="R3475" s="46">
        <f>Q3475*INDEX(FmtCansPerPack,MATCH(F3475,FmtName,0))/INDEX(FmtCansPerCase,MATCH(F3475,FmtName,0))</f>
        <v/>
      </c>
      <c r="S3475" s="46">
        <f>R3475*INDEX(FmtCansPerCase,MATCH(F3475,FmtName,0))</f>
        <v/>
      </c>
      <c r="T3475" s="46">
        <f>S3475/INDEX(FmtCansPerPack,MATCH(F3475,FmtName,0))</f>
        <v/>
      </c>
      <c r="U3475" s="47">
        <f>INDEX(ProvOnline,MATCH(G3475,ProvCode,0))*(1+PriceIndex)</f>
        <v/>
      </c>
      <c r="V3475" s="47">
        <f>Q3475*U3475*INDEX(FmtBlendedPriceIdx,MATCH(F3475,FmtName,0))</f>
        <v/>
      </c>
      <c r="W3475" s="47">
        <f>V3475</f>
        <v/>
      </c>
      <c r="X3475" s="47">
        <f>IF(GrossBasis="Wholesale",V3475,W3475)</f>
        <v/>
      </c>
      <c r="Y3475" s="47">
        <f>R3475*INDEX(FmtBlendedCogs,MATCH(F3475,FmtName,0))</f>
        <v/>
      </c>
      <c r="Z3475" s="47">
        <f>X3475-Y3475</f>
        <v/>
      </c>
    </row>
    <row r="3476">
      <c r="A3476" t="n">
        <v>30</v>
      </c>
      <c r="B3476" s="44">
        <f>FiscalStart+(A3476-1)*7</f>
        <v/>
      </c>
      <c r="C3476">
        <f>TEXT(B3476,"mmm yyyy")</f>
        <v/>
      </c>
      <c r="D3476">
        <f>"Q"&amp;(INT((A3476-1)/13)+1)</f>
        <v/>
      </c>
      <c r="E3476" t="inlineStr">
        <is>
          <t>Online</t>
        </is>
      </c>
      <c r="F3476">
        <f>IFERROR(INDEX(ChFormat,MATCH(E3476,ChName,0)),"")</f>
        <v/>
      </c>
      <c r="G3476" t="inlineStr">
        <is>
          <t>QC</t>
        </is>
      </c>
      <c r="H3476">
        <f>IF(A3476&lt;=NWeeks,1,0)</f>
        <v/>
      </c>
      <c r="I3476">
        <f>INDEX(ChLaunch,MATCH(E3476,ChName,0))</f>
        <v/>
      </c>
      <c r="J3476">
        <f>INDEX(ChWeeksFull,MATCH(E3476,ChName,0))</f>
        <v/>
      </c>
      <c r="K3476">
        <f>INDEX(ChRamp,MATCH(E3476,ChName,0))</f>
        <v/>
      </c>
      <c r="L3476" s="45">
        <f>MIN(1,MAX(0,(A3476-I3476+1)*RampSpeed/J3476))</f>
        <v/>
      </c>
      <c r="M3476" s="45">
        <f>IF(A3476&lt;I3476,0,IF(K3476="S-curve",L3476*L3476*(3-2*L3476),L3476))</f>
        <v/>
      </c>
      <c r="N3476" s="45">
        <f>1+(INDEX(SeasonIdx,A3476)-1)*SeasonAmp</f>
        <v/>
      </c>
      <c r="O3476" s="45">
        <f>IFERROR(INDEX(PSPct,MATCH(E3476&amp;"|"&amp;G3476,PSKey,0)),0)</f>
        <v/>
      </c>
      <c r="P3476" s="46" t="n">
        <v>0</v>
      </c>
      <c r="Q3476" s="46">
        <f>INDEX(OnlineUnitsCol,A3476)*O3476*(1+OnlineGrowth)*N3476*H3476*IF(A3476&gt;=I3476,1,0)</f>
        <v/>
      </c>
      <c r="R3476" s="46">
        <f>Q3476*INDEX(FmtCansPerPack,MATCH(F3476,FmtName,0))/INDEX(FmtCansPerCase,MATCH(F3476,FmtName,0))</f>
        <v/>
      </c>
      <c r="S3476" s="46">
        <f>R3476*INDEX(FmtCansPerCase,MATCH(F3476,FmtName,0))</f>
        <v/>
      </c>
      <c r="T3476" s="46">
        <f>S3476/INDEX(FmtCansPerPack,MATCH(F3476,FmtName,0))</f>
        <v/>
      </c>
      <c r="U3476" s="47">
        <f>INDEX(ProvOnline,MATCH(G3476,ProvCode,0))*(1+PriceIndex)</f>
        <v/>
      </c>
      <c r="V3476" s="47">
        <f>Q3476*U3476*INDEX(FmtBlendedPriceIdx,MATCH(F3476,FmtName,0))</f>
        <v/>
      </c>
      <c r="W3476" s="47">
        <f>V3476</f>
        <v/>
      </c>
      <c r="X3476" s="47">
        <f>IF(GrossBasis="Wholesale",V3476,W3476)</f>
        <v/>
      </c>
      <c r="Y3476" s="47">
        <f>R3476*INDEX(FmtBlendedCogs,MATCH(F3476,FmtName,0))</f>
        <v/>
      </c>
      <c r="Z3476" s="47">
        <f>X3476-Y3476</f>
        <v/>
      </c>
    </row>
    <row r="3477">
      <c r="A3477" t="n">
        <v>31</v>
      </c>
      <c r="B3477" s="44">
        <f>FiscalStart+(A3477-1)*7</f>
        <v/>
      </c>
      <c r="C3477">
        <f>TEXT(B3477,"mmm yyyy")</f>
        <v/>
      </c>
      <c r="D3477">
        <f>"Q"&amp;(INT((A3477-1)/13)+1)</f>
        <v/>
      </c>
      <c r="E3477" t="inlineStr">
        <is>
          <t>Online</t>
        </is>
      </c>
      <c r="F3477">
        <f>IFERROR(INDEX(ChFormat,MATCH(E3477,ChName,0)),"")</f>
        <v/>
      </c>
      <c r="G3477" t="inlineStr">
        <is>
          <t>QC</t>
        </is>
      </c>
      <c r="H3477">
        <f>IF(A3477&lt;=NWeeks,1,0)</f>
        <v/>
      </c>
      <c r="I3477">
        <f>INDEX(ChLaunch,MATCH(E3477,ChName,0))</f>
        <v/>
      </c>
      <c r="J3477">
        <f>INDEX(ChWeeksFull,MATCH(E3477,ChName,0))</f>
        <v/>
      </c>
      <c r="K3477">
        <f>INDEX(ChRamp,MATCH(E3477,ChName,0))</f>
        <v/>
      </c>
      <c r="L3477" s="45">
        <f>MIN(1,MAX(0,(A3477-I3477+1)*RampSpeed/J3477))</f>
        <v/>
      </c>
      <c r="M3477" s="45">
        <f>IF(A3477&lt;I3477,0,IF(K3477="S-curve",L3477*L3477*(3-2*L3477),L3477))</f>
        <v/>
      </c>
      <c r="N3477" s="45">
        <f>1+(INDEX(SeasonIdx,A3477)-1)*SeasonAmp</f>
        <v/>
      </c>
      <c r="O3477" s="45">
        <f>IFERROR(INDEX(PSPct,MATCH(E3477&amp;"|"&amp;G3477,PSKey,0)),0)</f>
        <v/>
      </c>
      <c r="P3477" s="46" t="n">
        <v>0</v>
      </c>
      <c r="Q3477" s="46">
        <f>INDEX(OnlineUnitsCol,A3477)*O3477*(1+OnlineGrowth)*N3477*H3477*IF(A3477&gt;=I3477,1,0)</f>
        <v/>
      </c>
      <c r="R3477" s="46">
        <f>Q3477*INDEX(FmtCansPerPack,MATCH(F3477,FmtName,0))/INDEX(FmtCansPerCase,MATCH(F3477,FmtName,0))</f>
        <v/>
      </c>
      <c r="S3477" s="46">
        <f>R3477*INDEX(FmtCansPerCase,MATCH(F3477,FmtName,0))</f>
        <v/>
      </c>
      <c r="T3477" s="46">
        <f>S3477/INDEX(FmtCansPerPack,MATCH(F3477,FmtName,0))</f>
        <v/>
      </c>
      <c r="U3477" s="47">
        <f>INDEX(ProvOnline,MATCH(G3477,ProvCode,0))*(1+PriceIndex)</f>
        <v/>
      </c>
      <c r="V3477" s="47">
        <f>Q3477*U3477*INDEX(FmtBlendedPriceIdx,MATCH(F3477,FmtName,0))</f>
        <v/>
      </c>
      <c r="W3477" s="47">
        <f>V3477</f>
        <v/>
      </c>
      <c r="X3477" s="47">
        <f>IF(GrossBasis="Wholesale",V3477,W3477)</f>
        <v/>
      </c>
      <c r="Y3477" s="47">
        <f>R3477*INDEX(FmtBlendedCogs,MATCH(F3477,FmtName,0))</f>
        <v/>
      </c>
      <c r="Z3477" s="47">
        <f>X3477-Y3477</f>
        <v/>
      </c>
    </row>
    <row r="3478">
      <c r="A3478" t="n">
        <v>32</v>
      </c>
      <c r="B3478" s="44">
        <f>FiscalStart+(A3478-1)*7</f>
        <v/>
      </c>
      <c r="C3478">
        <f>TEXT(B3478,"mmm yyyy")</f>
        <v/>
      </c>
      <c r="D3478">
        <f>"Q"&amp;(INT((A3478-1)/13)+1)</f>
        <v/>
      </c>
      <c r="E3478" t="inlineStr">
        <is>
          <t>Online</t>
        </is>
      </c>
      <c r="F3478">
        <f>IFERROR(INDEX(ChFormat,MATCH(E3478,ChName,0)),"")</f>
        <v/>
      </c>
      <c r="G3478" t="inlineStr">
        <is>
          <t>QC</t>
        </is>
      </c>
      <c r="H3478">
        <f>IF(A3478&lt;=NWeeks,1,0)</f>
        <v/>
      </c>
      <c r="I3478">
        <f>INDEX(ChLaunch,MATCH(E3478,ChName,0))</f>
        <v/>
      </c>
      <c r="J3478">
        <f>INDEX(ChWeeksFull,MATCH(E3478,ChName,0))</f>
        <v/>
      </c>
      <c r="K3478">
        <f>INDEX(ChRamp,MATCH(E3478,ChName,0))</f>
        <v/>
      </c>
      <c r="L3478" s="45">
        <f>MIN(1,MAX(0,(A3478-I3478+1)*RampSpeed/J3478))</f>
        <v/>
      </c>
      <c r="M3478" s="45">
        <f>IF(A3478&lt;I3478,0,IF(K3478="S-curve",L3478*L3478*(3-2*L3478),L3478))</f>
        <v/>
      </c>
      <c r="N3478" s="45">
        <f>1+(INDEX(SeasonIdx,A3478)-1)*SeasonAmp</f>
        <v/>
      </c>
      <c r="O3478" s="45">
        <f>IFERROR(INDEX(PSPct,MATCH(E3478&amp;"|"&amp;G3478,PSKey,0)),0)</f>
        <v/>
      </c>
      <c r="P3478" s="46" t="n">
        <v>0</v>
      </c>
      <c r="Q3478" s="46">
        <f>INDEX(OnlineUnitsCol,A3478)*O3478*(1+OnlineGrowth)*N3478*H3478*IF(A3478&gt;=I3478,1,0)</f>
        <v/>
      </c>
      <c r="R3478" s="46">
        <f>Q3478*INDEX(FmtCansPerPack,MATCH(F3478,FmtName,0))/INDEX(FmtCansPerCase,MATCH(F3478,FmtName,0))</f>
        <v/>
      </c>
      <c r="S3478" s="46">
        <f>R3478*INDEX(FmtCansPerCase,MATCH(F3478,FmtName,0))</f>
        <v/>
      </c>
      <c r="T3478" s="46">
        <f>S3478/INDEX(FmtCansPerPack,MATCH(F3478,FmtName,0))</f>
        <v/>
      </c>
      <c r="U3478" s="47">
        <f>INDEX(ProvOnline,MATCH(G3478,ProvCode,0))*(1+PriceIndex)</f>
        <v/>
      </c>
      <c r="V3478" s="47">
        <f>Q3478*U3478*INDEX(FmtBlendedPriceIdx,MATCH(F3478,FmtName,0))</f>
        <v/>
      </c>
      <c r="W3478" s="47">
        <f>V3478</f>
        <v/>
      </c>
      <c r="X3478" s="47">
        <f>IF(GrossBasis="Wholesale",V3478,W3478)</f>
        <v/>
      </c>
      <c r="Y3478" s="47">
        <f>R3478*INDEX(FmtBlendedCogs,MATCH(F3478,FmtName,0))</f>
        <v/>
      </c>
      <c r="Z3478" s="47">
        <f>X3478-Y3478</f>
        <v/>
      </c>
    </row>
    <row r="3479">
      <c r="A3479" t="n">
        <v>33</v>
      </c>
      <c r="B3479" s="44">
        <f>FiscalStart+(A3479-1)*7</f>
        <v/>
      </c>
      <c r="C3479">
        <f>TEXT(B3479,"mmm yyyy")</f>
        <v/>
      </c>
      <c r="D3479">
        <f>"Q"&amp;(INT((A3479-1)/13)+1)</f>
        <v/>
      </c>
      <c r="E3479" t="inlineStr">
        <is>
          <t>Online</t>
        </is>
      </c>
      <c r="F3479">
        <f>IFERROR(INDEX(ChFormat,MATCH(E3479,ChName,0)),"")</f>
        <v/>
      </c>
      <c r="G3479" t="inlineStr">
        <is>
          <t>QC</t>
        </is>
      </c>
      <c r="H3479">
        <f>IF(A3479&lt;=NWeeks,1,0)</f>
        <v/>
      </c>
      <c r="I3479">
        <f>INDEX(ChLaunch,MATCH(E3479,ChName,0))</f>
        <v/>
      </c>
      <c r="J3479">
        <f>INDEX(ChWeeksFull,MATCH(E3479,ChName,0))</f>
        <v/>
      </c>
      <c r="K3479">
        <f>INDEX(ChRamp,MATCH(E3479,ChName,0))</f>
        <v/>
      </c>
      <c r="L3479" s="45">
        <f>MIN(1,MAX(0,(A3479-I3479+1)*RampSpeed/J3479))</f>
        <v/>
      </c>
      <c r="M3479" s="45">
        <f>IF(A3479&lt;I3479,0,IF(K3479="S-curve",L3479*L3479*(3-2*L3479),L3479))</f>
        <v/>
      </c>
      <c r="N3479" s="45">
        <f>1+(INDEX(SeasonIdx,A3479)-1)*SeasonAmp</f>
        <v/>
      </c>
      <c r="O3479" s="45">
        <f>IFERROR(INDEX(PSPct,MATCH(E3479&amp;"|"&amp;G3479,PSKey,0)),0)</f>
        <v/>
      </c>
      <c r="P3479" s="46" t="n">
        <v>0</v>
      </c>
      <c r="Q3479" s="46">
        <f>INDEX(OnlineUnitsCol,A3479)*O3479*(1+OnlineGrowth)*N3479*H3479*IF(A3479&gt;=I3479,1,0)</f>
        <v/>
      </c>
      <c r="R3479" s="46">
        <f>Q3479*INDEX(FmtCansPerPack,MATCH(F3479,FmtName,0))/INDEX(FmtCansPerCase,MATCH(F3479,FmtName,0))</f>
        <v/>
      </c>
      <c r="S3479" s="46">
        <f>R3479*INDEX(FmtCansPerCase,MATCH(F3479,FmtName,0))</f>
        <v/>
      </c>
      <c r="T3479" s="46">
        <f>S3479/INDEX(FmtCansPerPack,MATCH(F3479,FmtName,0))</f>
        <v/>
      </c>
      <c r="U3479" s="47">
        <f>INDEX(ProvOnline,MATCH(G3479,ProvCode,0))*(1+PriceIndex)</f>
        <v/>
      </c>
      <c r="V3479" s="47">
        <f>Q3479*U3479*INDEX(FmtBlendedPriceIdx,MATCH(F3479,FmtName,0))</f>
        <v/>
      </c>
      <c r="W3479" s="47">
        <f>V3479</f>
        <v/>
      </c>
      <c r="X3479" s="47">
        <f>IF(GrossBasis="Wholesale",V3479,W3479)</f>
        <v/>
      </c>
      <c r="Y3479" s="47">
        <f>R3479*INDEX(FmtBlendedCogs,MATCH(F3479,FmtName,0))</f>
        <v/>
      </c>
      <c r="Z3479" s="47">
        <f>X3479-Y3479</f>
        <v/>
      </c>
    </row>
    <row r="3480">
      <c r="A3480" t="n">
        <v>34</v>
      </c>
      <c r="B3480" s="44">
        <f>FiscalStart+(A3480-1)*7</f>
        <v/>
      </c>
      <c r="C3480">
        <f>TEXT(B3480,"mmm yyyy")</f>
        <v/>
      </c>
      <c r="D3480">
        <f>"Q"&amp;(INT((A3480-1)/13)+1)</f>
        <v/>
      </c>
      <c r="E3480" t="inlineStr">
        <is>
          <t>Online</t>
        </is>
      </c>
      <c r="F3480">
        <f>IFERROR(INDEX(ChFormat,MATCH(E3480,ChName,0)),"")</f>
        <v/>
      </c>
      <c r="G3480" t="inlineStr">
        <is>
          <t>QC</t>
        </is>
      </c>
      <c r="H3480">
        <f>IF(A3480&lt;=NWeeks,1,0)</f>
        <v/>
      </c>
      <c r="I3480">
        <f>INDEX(ChLaunch,MATCH(E3480,ChName,0))</f>
        <v/>
      </c>
      <c r="J3480">
        <f>INDEX(ChWeeksFull,MATCH(E3480,ChName,0))</f>
        <v/>
      </c>
      <c r="K3480">
        <f>INDEX(ChRamp,MATCH(E3480,ChName,0))</f>
        <v/>
      </c>
      <c r="L3480" s="45">
        <f>MIN(1,MAX(0,(A3480-I3480+1)*RampSpeed/J3480))</f>
        <v/>
      </c>
      <c r="M3480" s="45">
        <f>IF(A3480&lt;I3480,0,IF(K3480="S-curve",L3480*L3480*(3-2*L3480),L3480))</f>
        <v/>
      </c>
      <c r="N3480" s="45">
        <f>1+(INDEX(SeasonIdx,A3480)-1)*SeasonAmp</f>
        <v/>
      </c>
      <c r="O3480" s="45">
        <f>IFERROR(INDEX(PSPct,MATCH(E3480&amp;"|"&amp;G3480,PSKey,0)),0)</f>
        <v/>
      </c>
      <c r="P3480" s="46" t="n">
        <v>0</v>
      </c>
      <c r="Q3480" s="46">
        <f>INDEX(OnlineUnitsCol,A3480)*O3480*(1+OnlineGrowth)*N3480*H3480*IF(A3480&gt;=I3480,1,0)</f>
        <v/>
      </c>
      <c r="R3480" s="46">
        <f>Q3480*INDEX(FmtCansPerPack,MATCH(F3480,FmtName,0))/INDEX(FmtCansPerCase,MATCH(F3480,FmtName,0))</f>
        <v/>
      </c>
      <c r="S3480" s="46">
        <f>R3480*INDEX(FmtCansPerCase,MATCH(F3480,FmtName,0))</f>
        <v/>
      </c>
      <c r="T3480" s="46">
        <f>S3480/INDEX(FmtCansPerPack,MATCH(F3480,FmtName,0))</f>
        <v/>
      </c>
      <c r="U3480" s="47">
        <f>INDEX(ProvOnline,MATCH(G3480,ProvCode,0))*(1+PriceIndex)</f>
        <v/>
      </c>
      <c r="V3480" s="47">
        <f>Q3480*U3480*INDEX(FmtBlendedPriceIdx,MATCH(F3480,FmtName,0))</f>
        <v/>
      </c>
      <c r="W3480" s="47">
        <f>V3480</f>
        <v/>
      </c>
      <c r="X3480" s="47">
        <f>IF(GrossBasis="Wholesale",V3480,W3480)</f>
        <v/>
      </c>
      <c r="Y3480" s="47">
        <f>R3480*INDEX(FmtBlendedCogs,MATCH(F3480,FmtName,0))</f>
        <v/>
      </c>
      <c r="Z3480" s="47">
        <f>X3480-Y3480</f>
        <v/>
      </c>
    </row>
    <row r="3481">
      <c r="A3481" t="n">
        <v>35</v>
      </c>
      <c r="B3481" s="44">
        <f>FiscalStart+(A3481-1)*7</f>
        <v/>
      </c>
      <c r="C3481">
        <f>TEXT(B3481,"mmm yyyy")</f>
        <v/>
      </c>
      <c r="D3481">
        <f>"Q"&amp;(INT((A3481-1)/13)+1)</f>
        <v/>
      </c>
      <c r="E3481" t="inlineStr">
        <is>
          <t>Online</t>
        </is>
      </c>
      <c r="F3481">
        <f>IFERROR(INDEX(ChFormat,MATCH(E3481,ChName,0)),"")</f>
        <v/>
      </c>
      <c r="G3481" t="inlineStr">
        <is>
          <t>QC</t>
        </is>
      </c>
      <c r="H3481">
        <f>IF(A3481&lt;=NWeeks,1,0)</f>
        <v/>
      </c>
      <c r="I3481">
        <f>INDEX(ChLaunch,MATCH(E3481,ChName,0))</f>
        <v/>
      </c>
      <c r="J3481">
        <f>INDEX(ChWeeksFull,MATCH(E3481,ChName,0))</f>
        <v/>
      </c>
      <c r="K3481">
        <f>INDEX(ChRamp,MATCH(E3481,ChName,0))</f>
        <v/>
      </c>
      <c r="L3481" s="45">
        <f>MIN(1,MAX(0,(A3481-I3481+1)*RampSpeed/J3481))</f>
        <v/>
      </c>
      <c r="M3481" s="45">
        <f>IF(A3481&lt;I3481,0,IF(K3481="S-curve",L3481*L3481*(3-2*L3481),L3481))</f>
        <v/>
      </c>
      <c r="N3481" s="45">
        <f>1+(INDEX(SeasonIdx,A3481)-1)*SeasonAmp</f>
        <v/>
      </c>
      <c r="O3481" s="45">
        <f>IFERROR(INDEX(PSPct,MATCH(E3481&amp;"|"&amp;G3481,PSKey,0)),0)</f>
        <v/>
      </c>
      <c r="P3481" s="46" t="n">
        <v>0</v>
      </c>
      <c r="Q3481" s="46">
        <f>INDEX(OnlineUnitsCol,A3481)*O3481*(1+OnlineGrowth)*N3481*H3481*IF(A3481&gt;=I3481,1,0)</f>
        <v/>
      </c>
      <c r="R3481" s="46">
        <f>Q3481*INDEX(FmtCansPerPack,MATCH(F3481,FmtName,0))/INDEX(FmtCansPerCase,MATCH(F3481,FmtName,0))</f>
        <v/>
      </c>
      <c r="S3481" s="46">
        <f>R3481*INDEX(FmtCansPerCase,MATCH(F3481,FmtName,0))</f>
        <v/>
      </c>
      <c r="T3481" s="46">
        <f>S3481/INDEX(FmtCansPerPack,MATCH(F3481,FmtName,0))</f>
        <v/>
      </c>
      <c r="U3481" s="47">
        <f>INDEX(ProvOnline,MATCH(G3481,ProvCode,0))*(1+PriceIndex)</f>
        <v/>
      </c>
      <c r="V3481" s="47">
        <f>Q3481*U3481*INDEX(FmtBlendedPriceIdx,MATCH(F3481,FmtName,0))</f>
        <v/>
      </c>
      <c r="W3481" s="47">
        <f>V3481</f>
        <v/>
      </c>
      <c r="X3481" s="47">
        <f>IF(GrossBasis="Wholesale",V3481,W3481)</f>
        <v/>
      </c>
      <c r="Y3481" s="47">
        <f>R3481*INDEX(FmtBlendedCogs,MATCH(F3481,FmtName,0))</f>
        <v/>
      </c>
      <c r="Z3481" s="47">
        <f>X3481-Y3481</f>
        <v/>
      </c>
    </row>
    <row r="3482">
      <c r="A3482" t="n">
        <v>36</v>
      </c>
      <c r="B3482" s="44">
        <f>FiscalStart+(A3482-1)*7</f>
        <v/>
      </c>
      <c r="C3482">
        <f>TEXT(B3482,"mmm yyyy")</f>
        <v/>
      </c>
      <c r="D3482">
        <f>"Q"&amp;(INT((A3482-1)/13)+1)</f>
        <v/>
      </c>
      <c r="E3482" t="inlineStr">
        <is>
          <t>Online</t>
        </is>
      </c>
      <c r="F3482">
        <f>IFERROR(INDEX(ChFormat,MATCH(E3482,ChName,0)),"")</f>
        <v/>
      </c>
      <c r="G3482" t="inlineStr">
        <is>
          <t>QC</t>
        </is>
      </c>
      <c r="H3482">
        <f>IF(A3482&lt;=NWeeks,1,0)</f>
        <v/>
      </c>
      <c r="I3482">
        <f>INDEX(ChLaunch,MATCH(E3482,ChName,0))</f>
        <v/>
      </c>
      <c r="J3482">
        <f>INDEX(ChWeeksFull,MATCH(E3482,ChName,0))</f>
        <v/>
      </c>
      <c r="K3482">
        <f>INDEX(ChRamp,MATCH(E3482,ChName,0))</f>
        <v/>
      </c>
      <c r="L3482" s="45">
        <f>MIN(1,MAX(0,(A3482-I3482+1)*RampSpeed/J3482))</f>
        <v/>
      </c>
      <c r="M3482" s="45">
        <f>IF(A3482&lt;I3482,0,IF(K3482="S-curve",L3482*L3482*(3-2*L3482),L3482))</f>
        <v/>
      </c>
      <c r="N3482" s="45">
        <f>1+(INDEX(SeasonIdx,A3482)-1)*SeasonAmp</f>
        <v/>
      </c>
      <c r="O3482" s="45">
        <f>IFERROR(INDEX(PSPct,MATCH(E3482&amp;"|"&amp;G3482,PSKey,0)),0)</f>
        <v/>
      </c>
      <c r="P3482" s="46" t="n">
        <v>0</v>
      </c>
      <c r="Q3482" s="46">
        <f>INDEX(OnlineUnitsCol,A3482)*O3482*(1+OnlineGrowth)*N3482*H3482*IF(A3482&gt;=I3482,1,0)</f>
        <v/>
      </c>
      <c r="R3482" s="46">
        <f>Q3482*INDEX(FmtCansPerPack,MATCH(F3482,FmtName,0))/INDEX(FmtCansPerCase,MATCH(F3482,FmtName,0))</f>
        <v/>
      </c>
      <c r="S3482" s="46">
        <f>R3482*INDEX(FmtCansPerCase,MATCH(F3482,FmtName,0))</f>
        <v/>
      </c>
      <c r="T3482" s="46">
        <f>S3482/INDEX(FmtCansPerPack,MATCH(F3482,FmtName,0))</f>
        <v/>
      </c>
      <c r="U3482" s="47">
        <f>INDEX(ProvOnline,MATCH(G3482,ProvCode,0))*(1+PriceIndex)</f>
        <v/>
      </c>
      <c r="V3482" s="47">
        <f>Q3482*U3482*INDEX(FmtBlendedPriceIdx,MATCH(F3482,FmtName,0))</f>
        <v/>
      </c>
      <c r="W3482" s="47">
        <f>V3482</f>
        <v/>
      </c>
      <c r="X3482" s="47">
        <f>IF(GrossBasis="Wholesale",V3482,W3482)</f>
        <v/>
      </c>
      <c r="Y3482" s="47">
        <f>R3482*INDEX(FmtBlendedCogs,MATCH(F3482,FmtName,0))</f>
        <v/>
      </c>
      <c r="Z3482" s="47">
        <f>X3482-Y3482</f>
        <v/>
      </c>
    </row>
    <row r="3483">
      <c r="A3483" t="n">
        <v>37</v>
      </c>
      <c r="B3483" s="44">
        <f>FiscalStart+(A3483-1)*7</f>
        <v/>
      </c>
      <c r="C3483">
        <f>TEXT(B3483,"mmm yyyy")</f>
        <v/>
      </c>
      <c r="D3483">
        <f>"Q"&amp;(INT((A3483-1)/13)+1)</f>
        <v/>
      </c>
      <c r="E3483" t="inlineStr">
        <is>
          <t>Online</t>
        </is>
      </c>
      <c r="F3483">
        <f>IFERROR(INDEX(ChFormat,MATCH(E3483,ChName,0)),"")</f>
        <v/>
      </c>
      <c r="G3483" t="inlineStr">
        <is>
          <t>QC</t>
        </is>
      </c>
      <c r="H3483">
        <f>IF(A3483&lt;=NWeeks,1,0)</f>
        <v/>
      </c>
      <c r="I3483">
        <f>INDEX(ChLaunch,MATCH(E3483,ChName,0))</f>
        <v/>
      </c>
      <c r="J3483">
        <f>INDEX(ChWeeksFull,MATCH(E3483,ChName,0))</f>
        <v/>
      </c>
      <c r="K3483">
        <f>INDEX(ChRamp,MATCH(E3483,ChName,0))</f>
        <v/>
      </c>
      <c r="L3483" s="45">
        <f>MIN(1,MAX(0,(A3483-I3483+1)*RampSpeed/J3483))</f>
        <v/>
      </c>
      <c r="M3483" s="45">
        <f>IF(A3483&lt;I3483,0,IF(K3483="S-curve",L3483*L3483*(3-2*L3483),L3483))</f>
        <v/>
      </c>
      <c r="N3483" s="45">
        <f>1+(INDEX(SeasonIdx,A3483)-1)*SeasonAmp</f>
        <v/>
      </c>
      <c r="O3483" s="45">
        <f>IFERROR(INDEX(PSPct,MATCH(E3483&amp;"|"&amp;G3483,PSKey,0)),0)</f>
        <v/>
      </c>
      <c r="P3483" s="46" t="n">
        <v>0</v>
      </c>
      <c r="Q3483" s="46">
        <f>INDEX(OnlineUnitsCol,A3483)*O3483*(1+OnlineGrowth)*N3483*H3483*IF(A3483&gt;=I3483,1,0)</f>
        <v/>
      </c>
      <c r="R3483" s="46">
        <f>Q3483*INDEX(FmtCansPerPack,MATCH(F3483,FmtName,0))/INDEX(FmtCansPerCase,MATCH(F3483,FmtName,0))</f>
        <v/>
      </c>
      <c r="S3483" s="46">
        <f>R3483*INDEX(FmtCansPerCase,MATCH(F3483,FmtName,0))</f>
        <v/>
      </c>
      <c r="T3483" s="46">
        <f>S3483/INDEX(FmtCansPerPack,MATCH(F3483,FmtName,0))</f>
        <v/>
      </c>
      <c r="U3483" s="47">
        <f>INDEX(ProvOnline,MATCH(G3483,ProvCode,0))*(1+PriceIndex)</f>
        <v/>
      </c>
      <c r="V3483" s="47">
        <f>Q3483*U3483*INDEX(FmtBlendedPriceIdx,MATCH(F3483,FmtName,0))</f>
        <v/>
      </c>
      <c r="W3483" s="47">
        <f>V3483</f>
        <v/>
      </c>
      <c r="X3483" s="47">
        <f>IF(GrossBasis="Wholesale",V3483,W3483)</f>
        <v/>
      </c>
      <c r="Y3483" s="47">
        <f>R3483*INDEX(FmtBlendedCogs,MATCH(F3483,FmtName,0))</f>
        <v/>
      </c>
      <c r="Z3483" s="47">
        <f>X3483-Y3483</f>
        <v/>
      </c>
    </row>
    <row r="3484">
      <c r="A3484" t="n">
        <v>38</v>
      </c>
      <c r="B3484" s="44">
        <f>FiscalStart+(A3484-1)*7</f>
        <v/>
      </c>
      <c r="C3484">
        <f>TEXT(B3484,"mmm yyyy")</f>
        <v/>
      </c>
      <c r="D3484">
        <f>"Q"&amp;(INT((A3484-1)/13)+1)</f>
        <v/>
      </c>
      <c r="E3484" t="inlineStr">
        <is>
          <t>Online</t>
        </is>
      </c>
      <c r="F3484">
        <f>IFERROR(INDEX(ChFormat,MATCH(E3484,ChName,0)),"")</f>
        <v/>
      </c>
      <c r="G3484" t="inlineStr">
        <is>
          <t>QC</t>
        </is>
      </c>
      <c r="H3484">
        <f>IF(A3484&lt;=NWeeks,1,0)</f>
        <v/>
      </c>
      <c r="I3484">
        <f>INDEX(ChLaunch,MATCH(E3484,ChName,0))</f>
        <v/>
      </c>
      <c r="J3484">
        <f>INDEX(ChWeeksFull,MATCH(E3484,ChName,0))</f>
        <v/>
      </c>
      <c r="K3484">
        <f>INDEX(ChRamp,MATCH(E3484,ChName,0))</f>
        <v/>
      </c>
      <c r="L3484" s="45">
        <f>MIN(1,MAX(0,(A3484-I3484+1)*RampSpeed/J3484))</f>
        <v/>
      </c>
      <c r="M3484" s="45">
        <f>IF(A3484&lt;I3484,0,IF(K3484="S-curve",L3484*L3484*(3-2*L3484),L3484))</f>
        <v/>
      </c>
      <c r="N3484" s="45">
        <f>1+(INDEX(SeasonIdx,A3484)-1)*SeasonAmp</f>
        <v/>
      </c>
      <c r="O3484" s="45">
        <f>IFERROR(INDEX(PSPct,MATCH(E3484&amp;"|"&amp;G3484,PSKey,0)),0)</f>
        <v/>
      </c>
      <c r="P3484" s="46" t="n">
        <v>0</v>
      </c>
      <c r="Q3484" s="46">
        <f>INDEX(OnlineUnitsCol,A3484)*O3484*(1+OnlineGrowth)*N3484*H3484*IF(A3484&gt;=I3484,1,0)</f>
        <v/>
      </c>
      <c r="R3484" s="46">
        <f>Q3484*INDEX(FmtCansPerPack,MATCH(F3484,FmtName,0))/INDEX(FmtCansPerCase,MATCH(F3484,FmtName,0))</f>
        <v/>
      </c>
      <c r="S3484" s="46">
        <f>R3484*INDEX(FmtCansPerCase,MATCH(F3484,FmtName,0))</f>
        <v/>
      </c>
      <c r="T3484" s="46">
        <f>S3484/INDEX(FmtCansPerPack,MATCH(F3484,FmtName,0))</f>
        <v/>
      </c>
      <c r="U3484" s="47">
        <f>INDEX(ProvOnline,MATCH(G3484,ProvCode,0))*(1+PriceIndex)</f>
        <v/>
      </c>
      <c r="V3484" s="47">
        <f>Q3484*U3484*INDEX(FmtBlendedPriceIdx,MATCH(F3484,FmtName,0))</f>
        <v/>
      </c>
      <c r="W3484" s="47">
        <f>V3484</f>
        <v/>
      </c>
      <c r="X3484" s="47">
        <f>IF(GrossBasis="Wholesale",V3484,W3484)</f>
        <v/>
      </c>
      <c r="Y3484" s="47">
        <f>R3484*INDEX(FmtBlendedCogs,MATCH(F3484,FmtName,0))</f>
        <v/>
      </c>
      <c r="Z3484" s="47">
        <f>X3484-Y3484</f>
        <v/>
      </c>
    </row>
    <row r="3485">
      <c r="A3485" t="n">
        <v>39</v>
      </c>
      <c r="B3485" s="44">
        <f>FiscalStart+(A3485-1)*7</f>
        <v/>
      </c>
      <c r="C3485">
        <f>TEXT(B3485,"mmm yyyy")</f>
        <v/>
      </c>
      <c r="D3485">
        <f>"Q"&amp;(INT((A3485-1)/13)+1)</f>
        <v/>
      </c>
      <c r="E3485" t="inlineStr">
        <is>
          <t>Online</t>
        </is>
      </c>
      <c r="F3485">
        <f>IFERROR(INDEX(ChFormat,MATCH(E3485,ChName,0)),"")</f>
        <v/>
      </c>
      <c r="G3485" t="inlineStr">
        <is>
          <t>QC</t>
        </is>
      </c>
      <c r="H3485">
        <f>IF(A3485&lt;=NWeeks,1,0)</f>
        <v/>
      </c>
      <c r="I3485">
        <f>INDEX(ChLaunch,MATCH(E3485,ChName,0))</f>
        <v/>
      </c>
      <c r="J3485">
        <f>INDEX(ChWeeksFull,MATCH(E3485,ChName,0))</f>
        <v/>
      </c>
      <c r="K3485">
        <f>INDEX(ChRamp,MATCH(E3485,ChName,0))</f>
        <v/>
      </c>
      <c r="L3485" s="45">
        <f>MIN(1,MAX(0,(A3485-I3485+1)*RampSpeed/J3485))</f>
        <v/>
      </c>
      <c r="M3485" s="45">
        <f>IF(A3485&lt;I3485,0,IF(K3485="S-curve",L3485*L3485*(3-2*L3485),L3485))</f>
        <v/>
      </c>
      <c r="N3485" s="45">
        <f>1+(INDEX(SeasonIdx,A3485)-1)*SeasonAmp</f>
        <v/>
      </c>
      <c r="O3485" s="45">
        <f>IFERROR(INDEX(PSPct,MATCH(E3485&amp;"|"&amp;G3485,PSKey,0)),0)</f>
        <v/>
      </c>
      <c r="P3485" s="46" t="n">
        <v>0</v>
      </c>
      <c r="Q3485" s="46">
        <f>INDEX(OnlineUnitsCol,A3485)*O3485*(1+OnlineGrowth)*N3485*H3485*IF(A3485&gt;=I3485,1,0)</f>
        <v/>
      </c>
      <c r="R3485" s="46">
        <f>Q3485*INDEX(FmtCansPerPack,MATCH(F3485,FmtName,0))/INDEX(FmtCansPerCase,MATCH(F3485,FmtName,0))</f>
        <v/>
      </c>
      <c r="S3485" s="46">
        <f>R3485*INDEX(FmtCansPerCase,MATCH(F3485,FmtName,0))</f>
        <v/>
      </c>
      <c r="T3485" s="46">
        <f>S3485/INDEX(FmtCansPerPack,MATCH(F3485,FmtName,0))</f>
        <v/>
      </c>
      <c r="U3485" s="47">
        <f>INDEX(ProvOnline,MATCH(G3485,ProvCode,0))*(1+PriceIndex)</f>
        <v/>
      </c>
      <c r="V3485" s="47">
        <f>Q3485*U3485*INDEX(FmtBlendedPriceIdx,MATCH(F3485,FmtName,0))</f>
        <v/>
      </c>
      <c r="W3485" s="47">
        <f>V3485</f>
        <v/>
      </c>
      <c r="X3485" s="47">
        <f>IF(GrossBasis="Wholesale",V3485,W3485)</f>
        <v/>
      </c>
      <c r="Y3485" s="47">
        <f>R3485*INDEX(FmtBlendedCogs,MATCH(F3485,FmtName,0))</f>
        <v/>
      </c>
      <c r="Z3485" s="47">
        <f>X3485-Y3485</f>
        <v/>
      </c>
    </row>
    <row r="3486">
      <c r="A3486" t="n">
        <v>40</v>
      </c>
      <c r="B3486" s="44">
        <f>FiscalStart+(A3486-1)*7</f>
        <v/>
      </c>
      <c r="C3486">
        <f>TEXT(B3486,"mmm yyyy")</f>
        <v/>
      </c>
      <c r="D3486">
        <f>"Q"&amp;(INT((A3486-1)/13)+1)</f>
        <v/>
      </c>
      <c r="E3486" t="inlineStr">
        <is>
          <t>Online</t>
        </is>
      </c>
      <c r="F3486">
        <f>IFERROR(INDEX(ChFormat,MATCH(E3486,ChName,0)),"")</f>
        <v/>
      </c>
      <c r="G3486" t="inlineStr">
        <is>
          <t>QC</t>
        </is>
      </c>
      <c r="H3486">
        <f>IF(A3486&lt;=NWeeks,1,0)</f>
        <v/>
      </c>
      <c r="I3486">
        <f>INDEX(ChLaunch,MATCH(E3486,ChName,0))</f>
        <v/>
      </c>
      <c r="J3486">
        <f>INDEX(ChWeeksFull,MATCH(E3486,ChName,0))</f>
        <v/>
      </c>
      <c r="K3486">
        <f>INDEX(ChRamp,MATCH(E3486,ChName,0))</f>
        <v/>
      </c>
      <c r="L3486" s="45">
        <f>MIN(1,MAX(0,(A3486-I3486+1)*RampSpeed/J3486))</f>
        <v/>
      </c>
      <c r="M3486" s="45">
        <f>IF(A3486&lt;I3486,0,IF(K3486="S-curve",L3486*L3486*(3-2*L3486),L3486))</f>
        <v/>
      </c>
      <c r="N3486" s="45">
        <f>1+(INDEX(SeasonIdx,A3486)-1)*SeasonAmp</f>
        <v/>
      </c>
      <c r="O3486" s="45">
        <f>IFERROR(INDEX(PSPct,MATCH(E3486&amp;"|"&amp;G3486,PSKey,0)),0)</f>
        <v/>
      </c>
      <c r="P3486" s="46" t="n">
        <v>0</v>
      </c>
      <c r="Q3486" s="46">
        <f>INDEX(OnlineUnitsCol,A3486)*O3486*(1+OnlineGrowth)*N3486*H3486*IF(A3486&gt;=I3486,1,0)</f>
        <v/>
      </c>
      <c r="R3486" s="46">
        <f>Q3486*INDEX(FmtCansPerPack,MATCH(F3486,FmtName,0))/INDEX(FmtCansPerCase,MATCH(F3486,FmtName,0))</f>
        <v/>
      </c>
      <c r="S3486" s="46">
        <f>R3486*INDEX(FmtCansPerCase,MATCH(F3486,FmtName,0))</f>
        <v/>
      </c>
      <c r="T3486" s="46">
        <f>S3486/INDEX(FmtCansPerPack,MATCH(F3486,FmtName,0))</f>
        <v/>
      </c>
      <c r="U3486" s="47">
        <f>INDEX(ProvOnline,MATCH(G3486,ProvCode,0))*(1+PriceIndex)</f>
        <v/>
      </c>
      <c r="V3486" s="47">
        <f>Q3486*U3486*INDEX(FmtBlendedPriceIdx,MATCH(F3486,FmtName,0))</f>
        <v/>
      </c>
      <c r="W3486" s="47">
        <f>V3486</f>
        <v/>
      </c>
      <c r="X3486" s="47">
        <f>IF(GrossBasis="Wholesale",V3486,W3486)</f>
        <v/>
      </c>
      <c r="Y3486" s="47">
        <f>R3486*INDEX(FmtBlendedCogs,MATCH(F3486,FmtName,0))</f>
        <v/>
      </c>
      <c r="Z3486" s="47">
        <f>X3486-Y3486</f>
        <v/>
      </c>
    </row>
    <row r="3487">
      <c r="A3487" t="n">
        <v>41</v>
      </c>
      <c r="B3487" s="44">
        <f>FiscalStart+(A3487-1)*7</f>
        <v/>
      </c>
      <c r="C3487">
        <f>TEXT(B3487,"mmm yyyy")</f>
        <v/>
      </c>
      <c r="D3487">
        <f>"Q"&amp;(INT((A3487-1)/13)+1)</f>
        <v/>
      </c>
      <c r="E3487" t="inlineStr">
        <is>
          <t>Online</t>
        </is>
      </c>
      <c r="F3487">
        <f>IFERROR(INDEX(ChFormat,MATCH(E3487,ChName,0)),"")</f>
        <v/>
      </c>
      <c r="G3487" t="inlineStr">
        <is>
          <t>QC</t>
        </is>
      </c>
      <c r="H3487">
        <f>IF(A3487&lt;=NWeeks,1,0)</f>
        <v/>
      </c>
      <c r="I3487">
        <f>INDEX(ChLaunch,MATCH(E3487,ChName,0))</f>
        <v/>
      </c>
      <c r="J3487">
        <f>INDEX(ChWeeksFull,MATCH(E3487,ChName,0))</f>
        <v/>
      </c>
      <c r="K3487">
        <f>INDEX(ChRamp,MATCH(E3487,ChName,0))</f>
        <v/>
      </c>
      <c r="L3487" s="45">
        <f>MIN(1,MAX(0,(A3487-I3487+1)*RampSpeed/J3487))</f>
        <v/>
      </c>
      <c r="M3487" s="45">
        <f>IF(A3487&lt;I3487,0,IF(K3487="S-curve",L3487*L3487*(3-2*L3487),L3487))</f>
        <v/>
      </c>
      <c r="N3487" s="45">
        <f>1+(INDEX(SeasonIdx,A3487)-1)*SeasonAmp</f>
        <v/>
      </c>
      <c r="O3487" s="45">
        <f>IFERROR(INDEX(PSPct,MATCH(E3487&amp;"|"&amp;G3487,PSKey,0)),0)</f>
        <v/>
      </c>
      <c r="P3487" s="46" t="n">
        <v>0</v>
      </c>
      <c r="Q3487" s="46">
        <f>INDEX(OnlineUnitsCol,A3487)*O3487*(1+OnlineGrowth)*N3487*H3487*IF(A3487&gt;=I3487,1,0)</f>
        <v/>
      </c>
      <c r="R3487" s="46">
        <f>Q3487*INDEX(FmtCansPerPack,MATCH(F3487,FmtName,0))/INDEX(FmtCansPerCase,MATCH(F3487,FmtName,0))</f>
        <v/>
      </c>
      <c r="S3487" s="46">
        <f>R3487*INDEX(FmtCansPerCase,MATCH(F3487,FmtName,0))</f>
        <v/>
      </c>
      <c r="T3487" s="46">
        <f>S3487/INDEX(FmtCansPerPack,MATCH(F3487,FmtName,0))</f>
        <v/>
      </c>
      <c r="U3487" s="47">
        <f>INDEX(ProvOnline,MATCH(G3487,ProvCode,0))*(1+PriceIndex)</f>
        <v/>
      </c>
      <c r="V3487" s="47">
        <f>Q3487*U3487*INDEX(FmtBlendedPriceIdx,MATCH(F3487,FmtName,0))</f>
        <v/>
      </c>
      <c r="W3487" s="47">
        <f>V3487</f>
        <v/>
      </c>
      <c r="X3487" s="47">
        <f>IF(GrossBasis="Wholesale",V3487,W3487)</f>
        <v/>
      </c>
      <c r="Y3487" s="47">
        <f>R3487*INDEX(FmtBlendedCogs,MATCH(F3487,FmtName,0))</f>
        <v/>
      </c>
      <c r="Z3487" s="47">
        <f>X3487-Y3487</f>
        <v/>
      </c>
    </row>
    <row r="3488">
      <c r="A3488" t="n">
        <v>42</v>
      </c>
      <c r="B3488" s="44">
        <f>FiscalStart+(A3488-1)*7</f>
        <v/>
      </c>
      <c r="C3488">
        <f>TEXT(B3488,"mmm yyyy")</f>
        <v/>
      </c>
      <c r="D3488">
        <f>"Q"&amp;(INT((A3488-1)/13)+1)</f>
        <v/>
      </c>
      <c r="E3488" t="inlineStr">
        <is>
          <t>Online</t>
        </is>
      </c>
      <c r="F3488">
        <f>IFERROR(INDEX(ChFormat,MATCH(E3488,ChName,0)),"")</f>
        <v/>
      </c>
      <c r="G3488" t="inlineStr">
        <is>
          <t>QC</t>
        </is>
      </c>
      <c r="H3488">
        <f>IF(A3488&lt;=NWeeks,1,0)</f>
        <v/>
      </c>
      <c r="I3488">
        <f>INDEX(ChLaunch,MATCH(E3488,ChName,0))</f>
        <v/>
      </c>
      <c r="J3488">
        <f>INDEX(ChWeeksFull,MATCH(E3488,ChName,0))</f>
        <v/>
      </c>
      <c r="K3488">
        <f>INDEX(ChRamp,MATCH(E3488,ChName,0))</f>
        <v/>
      </c>
      <c r="L3488" s="45">
        <f>MIN(1,MAX(0,(A3488-I3488+1)*RampSpeed/J3488))</f>
        <v/>
      </c>
      <c r="M3488" s="45">
        <f>IF(A3488&lt;I3488,0,IF(K3488="S-curve",L3488*L3488*(3-2*L3488),L3488))</f>
        <v/>
      </c>
      <c r="N3488" s="45">
        <f>1+(INDEX(SeasonIdx,A3488)-1)*SeasonAmp</f>
        <v/>
      </c>
      <c r="O3488" s="45">
        <f>IFERROR(INDEX(PSPct,MATCH(E3488&amp;"|"&amp;G3488,PSKey,0)),0)</f>
        <v/>
      </c>
      <c r="P3488" s="46" t="n">
        <v>0</v>
      </c>
      <c r="Q3488" s="46">
        <f>INDEX(OnlineUnitsCol,A3488)*O3488*(1+OnlineGrowth)*N3488*H3488*IF(A3488&gt;=I3488,1,0)</f>
        <v/>
      </c>
      <c r="R3488" s="46">
        <f>Q3488*INDEX(FmtCansPerPack,MATCH(F3488,FmtName,0))/INDEX(FmtCansPerCase,MATCH(F3488,FmtName,0))</f>
        <v/>
      </c>
      <c r="S3488" s="46">
        <f>R3488*INDEX(FmtCansPerCase,MATCH(F3488,FmtName,0))</f>
        <v/>
      </c>
      <c r="T3488" s="46">
        <f>S3488/INDEX(FmtCansPerPack,MATCH(F3488,FmtName,0))</f>
        <v/>
      </c>
      <c r="U3488" s="47">
        <f>INDEX(ProvOnline,MATCH(G3488,ProvCode,0))*(1+PriceIndex)</f>
        <v/>
      </c>
      <c r="V3488" s="47">
        <f>Q3488*U3488*INDEX(FmtBlendedPriceIdx,MATCH(F3488,FmtName,0))</f>
        <v/>
      </c>
      <c r="W3488" s="47">
        <f>V3488</f>
        <v/>
      </c>
      <c r="X3488" s="47">
        <f>IF(GrossBasis="Wholesale",V3488,W3488)</f>
        <v/>
      </c>
      <c r="Y3488" s="47">
        <f>R3488*INDEX(FmtBlendedCogs,MATCH(F3488,FmtName,0))</f>
        <v/>
      </c>
      <c r="Z3488" s="47">
        <f>X3488-Y3488</f>
        <v/>
      </c>
    </row>
    <row r="3489">
      <c r="A3489" t="n">
        <v>43</v>
      </c>
      <c r="B3489" s="44">
        <f>FiscalStart+(A3489-1)*7</f>
        <v/>
      </c>
      <c r="C3489">
        <f>TEXT(B3489,"mmm yyyy")</f>
        <v/>
      </c>
      <c r="D3489">
        <f>"Q"&amp;(INT((A3489-1)/13)+1)</f>
        <v/>
      </c>
      <c r="E3489" t="inlineStr">
        <is>
          <t>Online</t>
        </is>
      </c>
      <c r="F3489">
        <f>IFERROR(INDEX(ChFormat,MATCH(E3489,ChName,0)),"")</f>
        <v/>
      </c>
      <c r="G3489" t="inlineStr">
        <is>
          <t>QC</t>
        </is>
      </c>
      <c r="H3489">
        <f>IF(A3489&lt;=NWeeks,1,0)</f>
        <v/>
      </c>
      <c r="I3489">
        <f>INDEX(ChLaunch,MATCH(E3489,ChName,0))</f>
        <v/>
      </c>
      <c r="J3489">
        <f>INDEX(ChWeeksFull,MATCH(E3489,ChName,0))</f>
        <v/>
      </c>
      <c r="K3489">
        <f>INDEX(ChRamp,MATCH(E3489,ChName,0))</f>
        <v/>
      </c>
      <c r="L3489" s="45">
        <f>MIN(1,MAX(0,(A3489-I3489+1)*RampSpeed/J3489))</f>
        <v/>
      </c>
      <c r="M3489" s="45">
        <f>IF(A3489&lt;I3489,0,IF(K3489="S-curve",L3489*L3489*(3-2*L3489),L3489))</f>
        <v/>
      </c>
      <c r="N3489" s="45">
        <f>1+(INDEX(SeasonIdx,A3489)-1)*SeasonAmp</f>
        <v/>
      </c>
      <c r="O3489" s="45">
        <f>IFERROR(INDEX(PSPct,MATCH(E3489&amp;"|"&amp;G3489,PSKey,0)),0)</f>
        <v/>
      </c>
      <c r="P3489" s="46" t="n">
        <v>0</v>
      </c>
      <c r="Q3489" s="46">
        <f>INDEX(OnlineUnitsCol,A3489)*O3489*(1+OnlineGrowth)*N3489*H3489*IF(A3489&gt;=I3489,1,0)</f>
        <v/>
      </c>
      <c r="R3489" s="46">
        <f>Q3489*INDEX(FmtCansPerPack,MATCH(F3489,FmtName,0))/INDEX(FmtCansPerCase,MATCH(F3489,FmtName,0))</f>
        <v/>
      </c>
      <c r="S3489" s="46">
        <f>R3489*INDEX(FmtCansPerCase,MATCH(F3489,FmtName,0))</f>
        <v/>
      </c>
      <c r="T3489" s="46">
        <f>S3489/INDEX(FmtCansPerPack,MATCH(F3489,FmtName,0))</f>
        <v/>
      </c>
      <c r="U3489" s="47">
        <f>INDEX(ProvOnline,MATCH(G3489,ProvCode,0))*(1+PriceIndex)</f>
        <v/>
      </c>
      <c r="V3489" s="47">
        <f>Q3489*U3489*INDEX(FmtBlendedPriceIdx,MATCH(F3489,FmtName,0))</f>
        <v/>
      </c>
      <c r="W3489" s="47">
        <f>V3489</f>
        <v/>
      </c>
      <c r="X3489" s="47">
        <f>IF(GrossBasis="Wholesale",V3489,W3489)</f>
        <v/>
      </c>
      <c r="Y3489" s="47">
        <f>R3489*INDEX(FmtBlendedCogs,MATCH(F3489,FmtName,0))</f>
        <v/>
      </c>
      <c r="Z3489" s="47">
        <f>X3489-Y3489</f>
        <v/>
      </c>
    </row>
    <row r="3490">
      <c r="A3490" t="n">
        <v>44</v>
      </c>
      <c r="B3490" s="44">
        <f>FiscalStart+(A3490-1)*7</f>
        <v/>
      </c>
      <c r="C3490">
        <f>TEXT(B3490,"mmm yyyy")</f>
        <v/>
      </c>
      <c r="D3490">
        <f>"Q"&amp;(INT((A3490-1)/13)+1)</f>
        <v/>
      </c>
      <c r="E3490" t="inlineStr">
        <is>
          <t>Online</t>
        </is>
      </c>
      <c r="F3490">
        <f>IFERROR(INDEX(ChFormat,MATCH(E3490,ChName,0)),"")</f>
        <v/>
      </c>
      <c r="G3490" t="inlineStr">
        <is>
          <t>QC</t>
        </is>
      </c>
      <c r="H3490">
        <f>IF(A3490&lt;=NWeeks,1,0)</f>
        <v/>
      </c>
      <c r="I3490">
        <f>INDEX(ChLaunch,MATCH(E3490,ChName,0))</f>
        <v/>
      </c>
      <c r="J3490">
        <f>INDEX(ChWeeksFull,MATCH(E3490,ChName,0))</f>
        <v/>
      </c>
      <c r="K3490">
        <f>INDEX(ChRamp,MATCH(E3490,ChName,0))</f>
        <v/>
      </c>
      <c r="L3490" s="45">
        <f>MIN(1,MAX(0,(A3490-I3490+1)*RampSpeed/J3490))</f>
        <v/>
      </c>
      <c r="M3490" s="45">
        <f>IF(A3490&lt;I3490,0,IF(K3490="S-curve",L3490*L3490*(3-2*L3490),L3490))</f>
        <v/>
      </c>
      <c r="N3490" s="45">
        <f>1+(INDEX(SeasonIdx,A3490)-1)*SeasonAmp</f>
        <v/>
      </c>
      <c r="O3490" s="45">
        <f>IFERROR(INDEX(PSPct,MATCH(E3490&amp;"|"&amp;G3490,PSKey,0)),0)</f>
        <v/>
      </c>
      <c r="P3490" s="46" t="n">
        <v>0</v>
      </c>
      <c r="Q3490" s="46">
        <f>INDEX(OnlineUnitsCol,A3490)*O3490*(1+OnlineGrowth)*N3490*H3490*IF(A3490&gt;=I3490,1,0)</f>
        <v/>
      </c>
      <c r="R3490" s="46">
        <f>Q3490*INDEX(FmtCansPerPack,MATCH(F3490,FmtName,0))/INDEX(FmtCansPerCase,MATCH(F3490,FmtName,0))</f>
        <v/>
      </c>
      <c r="S3490" s="46">
        <f>R3490*INDEX(FmtCansPerCase,MATCH(F3490,FmtName,0))</f>
        <v/>
      </c>
      <c r="T3490" s="46">
        <f>S3490/INDEX(FmtCansPerPack,MATCH(F3490,FmtName,0))</f>
        <v/>
      </c>
      <c r="U3490" s="47">
        <f>INDEX(ProvOnline,MATCH(G3490,ProvCode,0))*(1+PriceIndex)</f>
        <v/>
      </c>
      <c r="V3490" s="47">
        <f>Q3490*U3490*INDEX(FmtBlendedPriceIdx,MATCH(F3490,FmtName,0))</f>
        <v/>
      </c>
      <c r="W3490" s="47">
        <f>V3490</f>
        <v/>
      </c>
      <c r="X3490" s="47">
        <f>IF(GrossBasis="Wholesale",V3490,W3490)</f>
        <v/>
      </c>
      <c r="Y3490" s="47">
        <f>R3490*INDEX(FmtBlendedCogs,MATCH(F3490,FmtName,0))</f>
        <v/>
      </c>
      <c r="Z3490" s="47">
        <f>X3490-Y3490</f>
        <v/>
      </c>
    </row>
    <row r="3491">
      <c r="A3491" t="n">
        <v>45</v>
      </c>
      <c r="B3491" s="44">
        <f>FiscalStart+(A3491-1)*7</f>
        <v/>
      </c>
      <c r="C3491">
        <f>TEXT(B3491,"mmm yyyy")</f>
        <v/>
      </c>
      <c r="D3491">
        <f>"Q"&amp;(INT((A3491-1)/13)+1)</f>
        <v/>
      </c>
      <c r="E3491" t="inlineStr">
        <is>
          <t>Online</t>
        </is>
      </c>
      <c r="F3491">
        <f>IFERROR(INDEX(ChFormat,MATCH(E3491,ChName,0)),"")</f>
        <v/>
      </c>
      <c r="G3491" t="inlineStr">
        <is>
          <t>QC</t>
        </is>
      </c>
      <c r="H3491">
        <f>IF(A3491&lt;=NWeeks,1,0)</f>
        <v/>
      </c>
      <c r="I3491">
        <f>INDEX(ChLaunch,MATCH(E3491,ChName,0))</f>
        <v/>
      </c>
      <c r="J3491">
        <f>INDEX(ChWeeksFull,MATCH(E3491,ChName,0))</f>
        <v/>
      </c>
      <c r="K3491">
        <f>INDEX(ChRamp,MATCH(E3491,ChName,0))</f>
        <v/>
      </c>
      <c r="L3491" s="45">
        <f>MIN(1,MAX(0,(A3491-I3491+1)*RampSpeed/J3491))</f>
        <v/>
      </c>
      <c r="M3491" s="45">
        <f>IF(A3491&lt;I3491,0,IF(K3491="S-curve",L3491*L3491*(3-2*L3491),L3491))</f>
        <v/>
      </c>
      <c r="N3491" s="45">
        <f>1+(INDEX(SeasonIdx,A3491)-1)*SeasonAmp</f>
        <v/>
      </c>
      <c r="O3491" s="45">
        <f>IFERROR(INDEX(PSPct,MATCH(E3491&amp;"|"&amp;G3491,PSKey,0)),0)</f>
        <v/>
      </c>
      <c r="P3491" s="46" t="n">
        <v>0</v>
      </c>
      <c r="Q3491" s="46">
        <f>INDEX(OnlineUnitsCol,A3491)*O3491*(1+OnlineGrowth)*N3491*H3491*IF(A3491&gt;=I3491,1,0)</f>
        <v/>
      </c>
      <c r="R3491" s="46">
        <f>Q3491*INDEX(FmtCansPerPack,MATCH(F3491,FmtName,0))/INDEX(FmtCansPerCase,MATCH(F3491,FmtName,0))</f>
        <v/>
      </c>
      <c r="S3491" s="46">
        <f>R3491*INDEX(FmtCansPerCase,MATCH(F3491,FmtName,0))</f>
        <v/>
      </c>
      <c r="T3491" s="46">
        <f>S3491/INDEX(FmtCansPerPack,MATCH(F3491,FmtName,0))</f>
        <v/>
      </c>
      <c r="U3491" s="47">
        <f>INDEX(ProvOnline,MATCH(G3491,ProvCode,0))*(1+PriceIndex)</f>
        <v/>
      </c>
      <c r="V3491" s="47">
        <f>Q3491*U3491*INDEX(FmtBlendedPriceIdx,MATCH(F3491,FmtName,0))</f>
        <v/>
      </c>
      <c r="W3491" s="47">
        <f>V3491</f>
        <v/>
      </c>
      <c r="X3491" s="47">
        <f>IF(GrossBasis="Wholesale",V3491,W3491)</f>
        <v/>
      </c>
      <c r="Y3491" s="47">
        <f>R3491*INDEX(FmtBlendedCogs,MATCH(F3491,FmtName,0))</f>
        <v/>
      </c>
      <c r="Z3491" s="47">
        <f>X3491-Y3491</f>
        <v/>
      </c>
    </row>
    <row r="3492">
      <c r="A3492" t="n">
        <v>46</v>
      </c>
      <c r="B3492" s="44">
        <f>FiscalStart+(A3492-1)*7</f>
        <v/>
      </c>
      <c r="C3492">
        <f>TEXT(B3492,"mmm yyyy")</f>
        <v/>
      </c>
      <c r="D3492">
        <f>"Q"&amp;(INT((A3492-1)/13)+1)</f>
        <v/>
      </c>
      <c r="E3492" t="inlineStr">
        <is>
          <t>Online</t>
        </is>
      </c>
      <c r="F3492">
        <f>IFERROR(INDEX(ChFormat,MATCH(E3492,ChName,0)),"")</f>
        <v/>
      </c>
      <c r="G3492" t="inlineStr">
        <is>
          <t>QC</t>
        </is>
      </c>
      <c r="H3492">
        <f>IF(A3492&lt;=NWeeks,1,0)</f>
        <v/>
      </c>
      <c r="I3492">
        <f>INDEX(ChLaunch,MATCH(E3492,ChName,0))</f>
        <v/>
      </c>
      <c r="J3492">
        <f>INDEX(ChWeeksFull,MATCH(E3492,ChName,0))</f>
        <v/>
      </c>
      <c r="K3492">
        <f>INDEX(ChRamp,MATCH(E3492,ChName,0))</f>
        <v/>
      </c>
      <c r="L3492" s="45">
        <f>MIN(1,MAX(0,(A3492-I3492+1)*RampSpeed/J3492))</f>
        <v/>
      </c>
      <c r="M3492" s="45">
        <f>IF(A3492&lt;I3492,0,IF(K3492="S-curve",L3492*L3492*(3-2*L3492),L3492))</f>
        <v/>
      </c>
      <c r="N3492" s="45">
        <f>1+(INDEX(SeasonIdx,A3492)-1)*SeasonAmp</f>
        <v/>
      </c>
      <c r="O3492" s="45">
        <f>IFERROR(INDEX(PSPct,MATCH(E3492&amp;"|"&amp;G3492,PSKey,0)),0)</f>
        <v/>
      </c>
      <c r="P3492" s="46" t="n">
        <v>0</v>
      </c>
      <c r="Q3492" s="46">
        <f>INDEX(OnlineUnitsCol,A3492)*O3492*(1+OnlineGrowth)*N3492*H3492*IF(A3492&gt;=I3492,1,0)</f>
        <v/>
      </c>
      <c r="R3492" s="46">
        <f>Q3492*INDEX(FmtCansPerPack,MATCH(F3492,FmtName,0))/INDEX(FmtCansPerCase,MATCH(F3492,FmtName,0))</f>
        <v/>
      </c>
      <c r="S3492" s="46">
        <f>R3492*INDEX(FmtCansPerCase,MATCH(F3492,FmtName,0))</f>
        <v/>
      </c>
      <c r="T3492" s="46">
        <f>S3492/INDEX(FmtCansPerPack,MATCH(F3492,FmtName,0))</f>
        <v/>
      </c>
      <c r="U3492" s="47">
        <f>INDEX(ProvOnline,MATCH(G3492,ProvCode,0))*(1+PriceIndex)</f>
        <v/>
      </c>
      <c r="V3492" s="47">
        <f>Q3492*U3492*INDEX(FmtBlendedPriceIdx,MATCH(F3492,FmtName,0))</f>
        <v/>
      </c>
      <c r="W3492" s="47">
        <f>V3492</f>
        <v/>
      </c>
      <c r="X3492" s="47">
        <f>IF(GrossBasis="Wholesale",V3492,W3492)</f>
        <v/>
      </c>
      <c r="Y3492" s="47">
        <f>R3492*INDEX(FmtBlendedCogs,MATCH(F3492,FmtName,0))</f>
        <v/>
      </c>
      <c r="Z3492" s="47">
        <f>X3492-Y3492</f>
        <v/>
      </c>
    </row>
    <row r="3493">
      <c r="A3493" t="n">
        <v>47</v>
      </c>
      <c r="B3493" s="44">
        <f>FiscalStart+(A3493-1)*7</f>
        <v/>
      </c>
      <c r="C3493">
        <f>TEXT(B3493,"mmm yyyy")</f>
        <v/>
      </c>
      <c r="D3493">
        <f>"Q"&amp;(INT((A3493-1)/13)+1)</f>
        <v/>
      </c>
      <c r="E3493" t="inlineStr">
        <is>
          <t>Online</t>
        </is>
      </c>
      <c r="F3493">
        <f>IFERROR(INDEX(ChFormat,MATCH(E3493,ChName,0)),"")</f>
        <v/>
      </c>
      <c r="G3493" t="inlineStr">
        <is>
          <t>QC</t>
        </is>
      </c>
      <c r="H3493">
        <f>IF(A3493&lt;=NWeeks,1,0)</f>
        <v/>
      </c>
      <c r="I3493">
        <f>INDEX(ChLaunch,MATCH(E3493,ChName,0))</f>
        <v/>
      </c>
      <c r="J3493">
        <f>INDEX(ChWeeksFull,MATCH(E3493,ChName,0))</f>
        <v/>
      </c>
      <c r="K3493">
        <f>INDEX(ChRamp,MATCH(E3493,ChName,0))</f>
        <v/>
      </c>
      <c r="L3493" s="45">
        <f>MIN(1,MAX(0,(A3493-I3493+1)*RampSpeed/J3493))</f>
        <v/>
      </c>
      <c r="M3493" s="45">
        <f>IF(A3493&lt;I3493,0,IF(K3493="S-curve",L3493*L3493*(3-2*L3493),L3493))</f>
        <v/>
      </c>
      <c r="N3493" s="45">
        <f>1+(INDEX(SeasonIdx,A3493)-1)*SeasonAmp</f>
        <v/>
      </c>
      <c r="O3493" s="45">
        <f>IFERROR(INDEX(PSPct,MATCH(E3493&amp;"|"&amp;G3493,PSKey,0)),0)</f>
        <v/>
      </c>
      <c r="P3493" s="46" t="n">
        <v>0</v>
      </c>
      <c r="Q3493" s="46">
        <f>INDEX(OnlineUnitsCol,A3493)*O3493*(1+OnlineGrowth)*N3493*H3493*IF(A3493&gt;=I3493,1,0)</f>
        <v/>
      </c>
      <c r="R3493" s="46">
        <f>Q3493*INDEX(FmtCansPerPack,MATCH(F3493,FmtName,0))/INDEX(FmtCansPerCase,MATCH(F3493,FmtName,0))</f>
        <v/>
      </c>
      <c r="S3493" s="46">
        <f>R3493*INDEX(FmtCansPerCase,MATCH(F3493,FmtName,0))</f>
        <v/>
      </c>
      <c r="T3493" s="46">
        <f>S3493/INDEX(FmtCansPerPack,MATCH(F3493,FmtName,0))</f>
        <v/>
      </c>
      <c r="U3493" s="47">
        <f>INDEX(ProvOnline,MATCH(G3493,ProvCode,0))*(1+PriceIndex)</f>
        <v/>
      </c>
      <c r="V3493" s="47">
        <f>Q3493*U3493*INDEX(FmtBlendedPriceIdx,MATCH(F3493,FmtName,0))</f>
        <v/>
      </c>
      <c r="W3493" s="47">
        <f>V3493</f>
        <v/>
      </c>
      <c r="X3493" s="47">
        <f>IF(GrossBasis="Wholesale",V3493,W3493)</f>
        <v/>
      </c>
      <c r="Y3493" s="47">
        <f>R3493*INDEX(FmtBlendedCogs,MATCH(F3493,FmtName,0))</f>
        <v/>
      </c>
      <c r="Z3493" s="47">
        <f>X3493-Y3493</f>
        <v/>
      </c>
    </row>
    <row r="3494">
      <c r="A3494" t="n">
        <v>48</v>
      </c>
      <c r="B3494" s="44">
        <f>FiscalStart+(A3494-1)*7</f>
        <v/>
      </c>
      <c r="C3494">
        <f>TEXT(B3494,"mmm yyyy")</f>
        <v/>
      </c>
      <c r="D3494">
        <f>"Q"&amp;(INT((A3494-1)/13)+1)</f>
        <v/>
      </c>
      <c r="E3494" t="inlineStr">
        <is>
          <t>Online</t>
        </is>
      </c>
      <c r="F3494">
        <f>IFERROR(INDEX(ChFormat,MATCH(E3494,ChName,0)),"")</f>
        <v/>
      </c>
      <c r="G3494" t="inlineStr">
        <is>
          <t>QC</t>
        </is>
      </c>
      <c r="H3494">
        <f>IF(A3494&lt;=NWeeks,1,0)</f>
        <v/>
      </c>
      <c r="I3494">
        <f>INDEX(ChLaunch,MATCH(E3494,ChName,0))</f>
        <v/>
      </c>
      <c r="J3494">
        <f>INDEX(ChWeeksFull,MATCH(E3494,ChName,0))</f>
        <v/>
      </c>
      <c r="K3494">
        <f>INDEX(ChRamp,MATCH(E3494,ChName,0))</f>
        <v/>
      </c>
      <c r="L3494" s="45">
        <f>MIN(1,MAX(0,(A3494-I3494+1)*RampSpeed/J3494))</f>
        <v/>
      </c>
      <c r="M3494" s="45">
        <f>IF(A3494&lt;I3494,0,IF(K3494="S-curve",L3494*L3494*(3-2*L3494),L3494))</f>
        <v/>
      </c>
      <c r="N3494" s="45">
        <f>1+(INDEX(SeasonIdx,A3494)-1)*SeasonAmp</f>
        <v/>
      </c>
      <c r="O3494" s="45">
        <f>IFERROR(INDEX(PSPct,MATCH(E3494&amp;"|"&amp;G3494,PSKey,0)),0)</f>
        <v/>
      </c>
      <c r="P3494" s="46" t="n">
        <v>0</v>
      </c>
      <c r="Q3494" s="46">
        <f>INDEX(OnlineUnitsCol,A3494)*O3494*(1+OnlineGrowth)*N3494*H3494*IF(A3494&gt;=I3494,1,0)</f>
        <v/>
      </c>
      <c r="R3494" s="46">
        <f>Q3494*INDEX(FmtCansPerPack,MATCH(F3494,FmtName,0))/INDEX(FmtCansPerCase,MATCH(F3494,FmtName,0))</f>
        <v/>
      </c>
      <c r="S3494" s="46">
        <f>R3494*INDEX(FmtCansPerCase,MATCH(F3494,FmtName,0))</f>
        <v/>
      </c>
      <c r="T3494" s="46">
        <f>S3494/INDEX(FmtCansPerPack,MATCH(F3494,FmtName,0))</f>
        <v/>
      </c>
      <c r="U3494" s="47">
        <f>INDEX(ProvOnline,MATCH(G3494,ProvCode,0))*(1+PriceIndex)</f>
        <v/>
      </c>
      <c r="V3494" s="47">
        <f>Q3494*U3494*INDEX(FmtBlendedPriceIdx,MATCH(F3494,FmtName,0))</f>
        <v/>
      </c>
      <c r="W3494" s="47">
        <f>V3494</f>
        <v/>
      </c>
      <c r="X3494" s="47">
        <f>IF(GrossBasis="Wholesale",V3494,W3494)</f>
        <v/>
      </c>
      <c r="Y3494" s="47">
        <f>R3494*INDEX(FmtBlendedCogs,MATCH(F3494,FmtName,0))</f>
        <v/>
      </c>
      <c r="Z3494" s="47">
        <f>X3494-Y3494</f>
        <v/>
      </c>
    </row>
    <row r="3495">
      <c r="A3495" t="n">
        <v>49</v>
      </c>
      <c r="B3495" s="44">
        <f>FiscalStart+(A3495-1)*7</f>
        <v/>
      </c>
      <c r="C3495">
        <f>TEXT(B3495,"mmm yyyy")</f>
        <v/>
      </c>
      <c r="D3495">
        <f>"Q"&amp;(INT((A3495-1)/13)+1)</f>
        <v/>
      </c>
      <c r="E3495" t="inlineStr">
        <is>
          <t>Online</t>
        </is>
      </c>
      <c r="F3495">
        <f>IFERROR(INDEX(ChFormat,MATCH(E3495,ChName,0)),"")</f>
        <v/>
      </c>
      <c r="G3495" t="inlineStr">
        <is>
          <t>QC</t>
        </is>
      </c>
      <c r="H3495">
        <f>IF(A3495&lt;=NWeeks,1,0)</f>
        <v/>
      </c>
      <c r="I3495">
        <f>INDEX(ChLaunch,MATCH(E3495,ChName,0))</f>
        <v/>
      </c>
      <c r="J3495">
        <f>INDEX(ChWeeksFull,MATCH(E3495,ChName,0))</f>
        <v/>
      </c>
      <c r="K3495">
        <f>INDEX(ChRamp,MATCH(E3495,ChName,0))</f>
        <v/>
      </c>
      <c r="L3495" s="45">
        <f>MIN(1,MAX(0,(A3495-I3495+1)*RampSpeed/J3495))</f>
        <v/>
      </c>
      <c r="M3495" s="45">
        <f>IF(A3495&lt;I3495,0,IF(K3495="S-curve",L3495*L3495*(3-2*L3495),L3495))</f>
        <v/>
      </c>
      <c r="N3495" s="45">
        <f>1+(INDEX(SeasonIdx,A3495)-1)*SeasonAmp</f>
        <v/>
      </c>
      <c r="O3495" s="45">
        <f>IFERROR(INDEX(PSPct,MATCH(E3495&amp;"|"&amp;G3495,PSKey,0)),0)</f>
        <v/>
      </c>
      <c r="P3495" s="46" t="n">
        <v>0</v>
      </c>
      <c r="Q3495" s="46">
        <f>INDEX(OnlineUnitsCol,A3495)*O3495*(1+OnlineGrowth)*N3495*H3495*IF(A3495&gt;=I3495,1,0)</f>
        <v/>
      </c>
      <c r="R3495" s="46">
        <f>Q3495*INDEX(FmtCansPerPack,MATCH(F3495,FmtName,0))/INDEX(FmtCansPerCase,MATCH(F3495,FmtName,0))</f>
        <v/>
      </c>
      <c r="S3495" s="46">
        <f>R3495*INDEX(FmtCansPerCase,MATCH(F3495,FmtName,0))</f>
        <v/>
      </c>
      <c r="T3495" s="46">
        <f>S3495/INDEX(FmtCansPerPack,MATCH(F3495,FmtName,0))</f>
        <v/>
      </c>
      <c r="U3495" s="47">
        <f>INDEX(ProvOnline,MATCH(G3495,ProvCode,0))*(1+PriceIndex)</f>
        <v/>
      </c>
      <c r="V3495" s="47">
        <f>Q3495*U3495*INDEX(FmtBlendedPriceIdx,MATCH(F3495,FmtName,0))</f>
        <v/>
      </c>
      <c r="W3495" s="47">
        <f>V3495</f>
        <v/>
      </c>
      <c r="X3495" s="47">
        <f>IF(GrossBasis="Wholesale",V3495,W3495)</f>
        <v/>
      </c>
      <c r="Y3495" s="47">
        <f>R3495*INDEX(FmtBlendedCogs,MATCH(F3495,FmtName,0))</f>
        <v/>
      </c>
      <c r="Z3495" s="47">
        <f>X3495-Y3495</f>
        <v/>
      </c>
    </row>
    <row r="3496">
      <c r="A3496" t="n">
        <v>50</v>
      </c>
      <c r="B3496" s="44">
        <f>FiscalStart+(A3496-1)*7</f>
        <v/>
      </c>
      <c r="C3496">
        <f>TEXT(B3496,"mmm yyyy")</f>
        <v/>
      </c>
      <c r="D3496">
        <f>"Q"&amp;(INT((A3496-1)/13)+1)</f>
        <v/>
      </c>
      <c r="E3496" t="inlineStr">
        <is>
          <t>Online</t>
        </is>
      </c>
      <c r="F3496">
        <f>IFERROR(INDEX(ChFormat,MATCH(E3496,ChName,0)),"")</f>
        <v/>
      </c>
      <c r="G3496" t="inlineStr">
        <is>
          <t>QC</t>
        </is>
      </c>
      <c r="H3496">
        <f>IF(A3496&lt;=NWeeks,1,0)</f>
        <v/>
      </c>
      <c r="I3496">
        <f>INDEX(ChLaunch,MATCH(E3496,ChName,0))</f>
        <v/>
      </c>
      <c r="J3496">
        <f>INDEX(ChWeeksFull,MATCH(E3496,ChName,0))</f>
        <v/>
      </c>
      <c r="K3496">
        <f>INDEX(ChRamp,MATCH(E3496,ChName,0))</f>
        <v/>
      </c>
      <c r="L3496" s="45">
        <f>MIN(1,MAX(0,(A3496-I3496+1)*RampSpeed/J3496))</f>
        <v/>
      </c>
      <c r="M3496" s="45">
        <f>IF(A3496&lt;I3496,0,IF(K3496="S-curve",L3496*L3496*(3-2*L3496),L3496))</f>
        <v/>
      </c>
      <c r="N3496" s="45">
        <f>1+(INDEX(SeasonIdx,A3496)-1)*SeasonAmp</f>
        <v/>
      </c>
      <c r="O3496" s="45">
        <f>IFERROR(INDEX(PSPct,MATCH(E3496&amp;"|"&amp;G3496,PSKey,0)),0)</f>
        <v/>
      </c>
      <c r="P3496" s="46" t="n">
        <v>0</v>
      </c>
      <c r="Q3496" s="46">
        <f>INDEX(OnlineUnitsCol,A3496)*O3496*(1+OnlineGrowth)*N3496*H3496*IF(A3496&gt;=I3496,1,0)</f>
        <v/>
      </c>
      <c r="R3496" s="46">
        <f>Q3496*INDEX(FmtCansPerPack,MATCH(F3496,FmtName,0))/INDEX(FmtCansPerCase,MATCH(F3496,FmtName,0))</f>
        <v/>
      </c>
      <c r="S3496" s="46">
        <f>R3496*INDEX(FmtCansPerCase,MATCH(F3496,FmtName,0))</f>
        <v/>
      </c>
      <c r="T3496" s="46">
        <f>S3496/INDEX(FmtCansPerPack,MATCH(F3496,FmtName,0))</f>
        <v/>
      </c>
      <c r="U3496" s="47">
        <f>INDEX(ProvOnline,MATCH(G3496,ProvCode,0))*(1+PriceIndex)</f>
        <v/>
      </c>
      <c r="V3496" s="47">
        <f>Q3496*U3496*INDEX(FmtBlendedPriceIdx,MATCH(F3496,FmtName,0))</f>
        <v/>
      </c>
      <c r="W3496" s="47">
        <f>V3496</f>
        <v/>
      </c>
      <c r="X3496" s="47">
        <f>IF(GrossBasis="Wholesale",V3496,W3496)</f>
        <v/>
      </c>
      <c r="Y3496" s="47">
        <f>R3496*INDEX(FmtBlendedCogs,MATCH(F3496,FmtName,0))</f>
        <v/>
      </c>
      <c r="Z3496" s="47">
        <f>X3496-Y3496</f>
        <v/>
      </c>
    </row>
    <row r="3497">
      <c r="A3497" t="n">
        <v>51</v>
      </c>
      <c r="B3497" s="44">
        <f>FiscalStart+(A3497-1)*7</f>
        <v/>
      </c>
      <c r="C3497">
        <f>TEXT(B3497,"mmm yyyy")</f>
        <v/>
      </c>
      <c r="D3497">
        <f>"Q"&amp;(INT((A3497-1)/13)+1)</f>
        <v/>
      </c>
      <c r="E3497" t="inlineStr">
        <is>
          <t>Online</t>
        </is>
      </c>
      <c r="F3497">
        <f>IFERROR(INDEX(ChFormat,MATCH(E3497,ChName,0)),"")</f>
        <v/>
      </c>
      <c r="G3497" t="inlineStr">
        <is>
          <t>QC</t>
        </is>
      </c>
      <c r="H3497">
        <f>IF(A3497&lt;=NWeeks,1,0)</f>
        <v/>
      </c>
      <c r="I3497">
        <f>INDEX(ChLaunch,MATCH(E3497,ChName,0))</f>
        <v/>
      </c>
      <c r="J3497">
        <f>INDEX(ChWeeksFull,MATCH(E3497,ChName,0))</f>
        <v/>
      </c>
      <c r="K3497">
        <f>INDEX(ChRamp,MATCH(E3497,ChName,0))</f>
        <v/>
      </c>
      <c r="L3497" s="45">
        <f>MIN(1,MAX(0,(A3497-I3497+1)*RampSpeed/J3497))</f>
        <v/>
      </c>
      <c r="M3497" s="45">
        <f>IF(A3497&lt;I3497,0,IF(K3497="S-curve",L3497*L3497*(3-2*L3497),L3497))</f>
        <v/>
      </c>
      <c r="N3497" s="45">
        <f>1+(INDEX(SeasonIdx,A3497)-1)*SeasonAmp</f>
        <v/>
      </c>
      <c r="O3497" s="45">
        <f>IFERROR(INDEX(PSPct,MATCH(E3497&amp;"|"&amp;G3497,PSKey,0)),0)</f>
        <v/>
      </c>
      <c r="P3497" s="46" t="n">
        <v>0</v>
      </c>
      <c r="Q3497" s="46">
        <f>INDEX(OnlineUnitsCol,A3497)*O3497*(1+OnlineGrowth)*N3497*H3497*IF(A3497&gt;=I3497,1,0)</f>
        <v/>
      </c>
      <c r="R3497" s="46">
        <f>Q3497*INDEX(FmtCansPerPack,MATCH(F3497,FmtName,0))/INDEX(FmtCansPerCase,MATCH(F3497,FmtName,0))</f>
        <v/>
      </c>
      <c r="S3497" s="46">
        <f>R3497*INDEX(FmtCansPerCase,MATCH(F3497,FmtName,0))</f>
        <v/>
      </c>
      <c r="T3497" s="46">
        <f>S3497/INDEX(FmtCansPerPack,MATCH(F3497,FmtName,0))</f>
        <v/>
      </c>
      <c r="U3497" s="47">
        <f>INDEX(ProvOnline,MATCH(G3497,ProvCode,0))*(1+PriceIndex)</f>
        <v/>
      </c>
      <c r="V3497" s="47">
        <f>Q3497*U3497*INDEX(FmtBlendedPriceIdx,MATCH(F3497,FmtName,0))</f>
        <v/>
      </c>
      <c r="W3497" s="47">
        <f>V3497</f>
        <v/>
      </c>
      <c r="X3497" s="47">
        <f>IF(GrossBasis="Wholesale",V3497,W3497)</f>
        <v/>
      </c>
      <c r="Y3497" s="47">
        <f>R3497*INDEX(FmtBlendedCogs,MATCH(F3497,FmtName,0))</f>
        <v/>
      </c>
      <c r="Z3497" s="47">
        <f>X3497-Y3497</f>
        <v/>
      </c>
    </row>
    <row r="3498">
      <c r="A3498" t="n">
        <v>52</v>
      </c>
      <c r="B3498" s="44">
        <f>FiscalStart+(A3498-1)*7</f>
        <v/>
      </c>
      <c r="C3498">
        <f>TEXT(B3498,"mmm yyyy")</f>
        <v/>
      </c>
      <c r="D3498">
        <f>"Q"&amp;(INT((A3498-1)/13)+1)</f>
        <v/>
      </c>
      <c r="E3498" t="inlineStr">
        <is>
          <t>Online</t>
        </is>
      </c>
      <c r="F3498">
        <f>IFERROR(INDEX(ChFormat,MATCH(E3498,ChName,0)),"")</f>
        <v/>
      </c>
      <c r="G3498" t="inlineStr">
        <is>
          <t>QC</t>
        </is>
      </c>
      <c r="H3498">
        <f>IF(A3498&lt;=NWeeks,1,0)</f>
        <v/>
      </c>
      <c r="I3498">
        <f>INDEX(ChLaunch,MATCH(E3498,ChName,0))</f>
        <v/>
      </c>
      <c r="J3498">
        <f>INDEX(ChWeeksFull,MATCH(E3498,ChName,0))</f>
        <v/>
      </c>
      <c r="K3498">
        <f>INDEX(ChRamp,MATCH(E3498,ChName,0))</f>
        <v/>
      </c>
      <c r="L3498" s="45">
        <f>MIN(1,MAX(0,(A3498-I3498+1)*RampSpeed/J3498))</f>
        <v/>
      </c>
      <c r="M3498" s="45">
        <f>IF(A3498&lt;I3498,0,IF(K3498="S-curve",L3498*L3498*(3-2*L3498),L3498))</f>
        <v/>
      </c>
      <c r="N3498" s="45">
        <f>1+(INDEX(SeasonIdx,A3498)-1)*SeasonAmp</f>
        <v/>
      </c>
      <c r="O3498" s="45">
        <f>IFERROR(INDEX(PSPct,MATCH(E3498&amp;"|"&amp;G3498,PSKey,0)),0)</f>
        <v/>
      </c>
      <c r="P3498" s="46" t="n">
        <v>0</v>
      </c>
      <c r="Q3498" s="46">
        <f>INDEX(OnlineUnitsCol,A3498)*O3498*(1+OnlineGrowth)*N3498*H3498*IF(A3498&gt;=I3498,1,0)</f>
        <v/>
      </c>
      <c r="R3498" s="46">
        <f>Q3498*INDEX(FmtCansPerPack,MATCH(F3498,FmtName,0))/INDEX(FmtCansPerCase,MATCH(F3498,FmtName,0))</f>
        <v/>
      </c>
      <c r="S3498" s="46">
        <f>R3498*INDEX(FmtCansPerCase,MATCH(F3498,FmtName,0))</f>
        <v/>
      </c>
      <c r="T3498" s="46">
        <f>S3498/INDEX(FmtCansPerPack,MATCH(F3498,FmtName,0))</f>
        <v/>
      </c>
      <c r="U3498" s="47">
        <f>INDEX(ProvOnline,MATCH(G3498,ProvCode,0))*(1+PriceIndex)</f>
        <v/>
      </c>
      <c r="V3498" s="47">
        <f>Q3498*U3498*INDEX(FmtBlendedPriceIdx,MATCH(F3498,FmtName,0))</f>
        <v/>
      </c>
      <c r="W3498" s="47">
        <f>V3498</f>
        <v/>
      </c>
      <c r="X3498" s="47">
        <f>IF(GrossBasis="Wholesale",V3498,W3498)</f>
        <v/>
      </c>
      <c r="Y3498" s="47">
        <f>R3498*INDEX(FmtBlendedCogs,MATCH(F3498,FmtName,0))</f>
        <v/>
      </c>
      <c r="Z3498" s="47">
        <f>X3498-Y3498</f>
        <v/>
      </c>
    </row>
    <row r="3499">
      <c r="A3499" t="n">
        <v>53</v>
      </c>
      <c r="B3499" s="44">
        <f>FiscalStart+(A3499-1)*7</f>
        <v/>
      </c>
      <c r="C3499">
        <f>TEXT(B3499,"mmm yyyy")</f>
        <v/>
      </c>
      <c r="D3499">
        <f>"Q"&amp;(INT((A3499-1)/13)+1)</f>
        <v/>
      </c>
      <c r="E3499" t="inlineStr">
        <is>
          <t>Online</t>
        </is>
      </c>
      <c r="F3499">
        <f>IFERROR(INDEX(ChFormat,MATCH(E3499,ChName,0)),"")</f>
        <v/>
      </c>
      <c r="G3499" t="inlineStr">
        <is>
          <t>QC</t>
        </is>
      </c>
      <c r="H3499">
        <f>IF(A3499&lt;=NWeeks,1,0)</f>
        <v/>
      </c>
      <c r="I3499">
        <f>INDEX(ChLaunch,MATCH(E3499,ChName,0))</f>
        <v/>
      </c>
      <c r="J3499">
        <f>INDEX(ChWeeksFull,MATCH(E3499,ChName,0))</f>
        <v/>
      </c>
      <c r="K3499">
        <f>INDEX(ChRamp,MATCH(E3499,ChName,0))</f>
        <v/>
      </c>
      <c r="L3499" s="45">
        <f>MIN(1,MAX(0,(A3499-I3499+1)*RampSpeed/J3499))</f>
        <v/>
      </c>
      <c r="M3499" s="45">
        <f>IF(A3499&lt;I3499,0,IF(K3499="S-curve",L3499*L3499*(3-2*L3499),L3499))</f>
        <v/>
      </c>
      <c r="N3499" s="45">
        <f>1+(INDEX(SeasonIdx,A3499)-1)*SeasonAmp</f>
        <v/>
      </c>
      <c r="O3499" s="45">
        <f>IFERROR(INDEX(PSPct,MATCH(E3499&amp;"|"&amp;G3499,PSKey,0)),0)</f>
        <v/>
      </c>
      <c r="P3499" s="46" t="n">
        <v>0</v>
      </c>
      <c r="Q3499" s="46">
        <f>INDEX(OnlineUnitsCol,A3499)*O3499*(1+OnlineGrowth)*N3499*H3499*IF(A3499&gt;=I3499,1,0)</f>
        <v/>
      </c>
      <c r="R3499" s="46">
        <f>Q3499*INDEX(FmtCansPerPack,MATCH(F3499,FmtName,0))/INDEX(FmtCansPerCase,MATCH(F3499,FmtName,0))</f>
        <v/>
      </c>
      <c r="S3499" s="46">
        <f>R3499*INDEX(FmtCansPerCase,MATCH(F3499,FmtName,0))</f>
        <v/>
      </c>
      <c r="T3499" s="46">
        <f>S3499/INDEX(FmtCansPerPack,MATCH(F3499,FmtName,0))</f>
        <v/>
      </c>
      <c r="U3499" s="47">
        <f>INDEX(ProvOnline,MATCH(G3499,ProvCode,0))*(1+PriceIndex)</f>
        <v/>
      </c>
      <c r="V3499" s="47">
        <f>Q3499*U3499*INDEX(FmtBlendedPriceIdx,MATCH(F3499,FmtName,0))</f>
        <v/>
      </c>
      <c r="W3499" s="47">
        <f>V3499</f>
        <v/>
      </c>
      <c r="X3499" s="47">
        <f>IF(GrossBasis="Wholesale",V3499,W3499)</f>
        <v/>
      </c>
      <c r="Y3499" s="47">
        <f>R3499*INDEX(FmtBlendedCogs,MATCH(F3499,FmtName,0))</f>
        <v/>
      </c>
      <c r="Z3499" s="47">
        <f>X3499-Y3499</f>
        <v/>
      </c>
    </row>
    <row r="3500">
      <c r="A3500" t="n">
        <v>1</v>
      </c>
      <c r="B3500" s="44">
        <f>FiscalStart+(A3500-1)*7</f>
        <v/>
      </c>
      <c r="C3500">
        <f>TEXT(B3500,"mmm yyyy")</f>
        <v/>
      </c>
      <c r="D3500">
        <f>"Q"&amp;(INT((A3500-1)/13)+1)</f>
        <v/>
      </c>
      <c r="E3500" t="inlineStr">
        <is>
          <t>Online</t>
        </is>
      </c>
      <c r="F3500">
        <f>IFERROR(INDEX(ChFormat,MATCH(E3500,ChName,0)),"")</f>
        <v/>
      </c>
      <c r="G3500" t="inlineStr">
        <is>
          <t>NB</t>
        </is>
      </c>
      <c r="H3500">
        <f>IF(A3500&lt;=NWeeks,1,0)</f>
        <v/>
      </c>
      <c r="I3500">
        <f>INDEX(ChLaunch,MATCH(E3500,ChName,0))</f>
        <v/>
      </c>
      <c r="J3500">
        <f>INDEX(ChWeeksFull,MATCH(E3500,ChName,0))</f>
        <v/>
      </c>
      <c r="K3500">
        <f>INDEX(ChRamp,MATCH(E3500,ChName,0))</f>
        <v/>
      </c>
      <c r="L3500" s="45">
        <f>MIN(1,MAX(0,(A3500-I3500+1)*RampSpeed/J3500))</f>
        <v/>
      </c>
      <c r="M3500" s="45">
        <f>IF(A3500&lt;I3500,0,IF(K3500="S-curve",L3500*L3500*(3-2*L3500),L3500))</f>
        <v/>
      </c>
      <c r="N3500" s="45">
        <f>1+(INDEX(SeasonIdx,A3500)-1)*SeasonAmp</f>
        <v/>
      </c>
      <c r="O3500" s="45">
        <f>IFERROR(INDEX(PSPct,MATCH(E3500&amp;"|"&amp;G3500,PSKey,0)),0)</f>
        <v/>
      </c>
      <c r="P3500" s="46" t="n">
        <v>0</v>
      </c>
      <c r="Q3500" s="46">
        <f>INDEX(OnlineUnitsCol,A3500)*O3500*(1+OnlineGrowth)*N3500*H3500*IF(A3500&gt;=I3500,1,0)</f>
        <v/>
      </c>
      <c r="R3500" s="46">
        <f>Q3500*INDEX(FmtCansPerPack,MATCH(F3500,FmtName,0))/INDEX(FmtCansPerCase,MATCH(F3500,FmtName,0))</f>
        <v/>
      </c>
      <c r="S3500" s="46">
        <f>R3500*INDEX(FmtCansPerCase,MATCH(F3500,FmtName,0))</f>
        <v/>
      </c>
      <c r="T3500" s="46">
        <f>S3500/INDEX(FmtCansPerPack,MATCH(F3500,FmtName,0))</f>
        <v/>
      </c>
      <c r="U3500" s="47">
        <f>INDEX(ProvOnline,MATCH(G3500,ProvCode,0))*(1+PriceIndex)</f>
        <v/>
      </c>
      <c r="V3500" s="47">
        <f>Q3500*U3500*INDEX(FmtBlendedPriceIdx,MATCH(F3500,FmtName,0))</f>
        <v/>
      </c>
      <c r="W3500" s="47">
        <f>V3500</f>
        <v/>
      </c>
      <c r="X3500" s="47">
        <f>IF(GrossBasis="Wholesale",V3500,W3500)</f>
        <v/>
      </c>
      <c r="Y3500" s="47">
        <f>R3500*INDEX(FmtBlendedCogs,MATCH(F3500,FmtName,0))</f>
        <v/>
      </c>
      <c r="Z3500" s="47">
        <f>X3500-Y3500</f>
        <v/>
      </c>
    </row>
    <row r="3501">
      <c r="A3501" t="n">
        <v>2</v>
      </c>
      <c r="B3501" s="44">
        <f>FiscalStart+(A3501-1)*7</f>
        <v/>
      </c>
      <c r="C3501">
        <f>TEXT(B3501,"mmm yyyy")</f>
        <v/>
      </c>
      <c r="D3501">
        <f>"Q"&amp;(INT((A3501-1)/13)+1)</f>
        <v/>
      </c>
      <c r="E3501" t="inlineStr">
        <is>
          <t>Online</t>
        </is>
      </c>
      <c r="F3501">
        <f>IFERROR(INDEX(ChFormat,MATCH(E3501,ChName,0)),"")</f>
        <v/>
      </c>
      <c r="G3501" t="inlineStr">
        <is>
          <t>NB</t>
        </is>
      </c>
      <c r="H3501">
        <f>IF(A3501&lt;=NWeeks,1,0)</f>
        <v/>
      </c>
      <c r="I3501">
        <f>INDEX(ChLaunch,MATCH(E3501,ChName,0))</f>
        <v/>
      </c>
      <c r="J3501">
        <f>INDEX(ChWeeksFull,MATCH(E3501,ChName,0))</f>
        <v/>
      </c>
      <c r="K3501">
        <f>INDEX(ChRamp,MATCH(E3501,ChName,0))</f>
        <v/>
      </c>
      <c r="L3501" s="45">
        <f>MIN(1,MAX(0,(A3501-I3501+1)*RampSpeed/J3501))</f>
        <v/>
      </c>
      <c r="M3501" s="45">
        <f>IF(A3501&lt;I3501,0,IF(K3501="S-curve",L3501*L3501*(3-2*L3501),L3501))</f>
        <v/>
      </c>
      <c r="N3501" s="45">
        <f>1+(INDEX(SeasonIdx,A3501)-1)*SeasonAmp</f>
        <v/>
      </c>
      <c r="O3501" s="45">
        <f>IFERROR(INDEX(PSPct,MATCH(E3501&amp;"|"&amp;G3501,PSKey,0)),0)</f>
        <v/>
      </c>
      <c r="P3501" s="46" t="n">
        <v>0</v>
      </c>
      <c r="Q3501" s="46">
        <f>INDEX(OnlineUnitsCol,A3501)*O3501*(1+OnlineGrowth)*N3501*H3501*IF(A3501&gt;=I3501,1,0)</f>
        <v/>
      </c>
      <c r="R3501" s="46">
        <f>Q3501*INDEX(FmtCansPerPack,MATCH(F3501,FmtName,0))/INDEX(FmtCansPerCase,MATCH(F3501,FmtName,0))</f>
        <v/>
      </c>
      <c r="S3501" s="46">
        <f>R3501*INDEX(FmtCansPerCase,MATCH(F3501,FmtName,0))</f>
        <v/>
      </c>
      <c r="T3501" s="46">
        <f>S3501/INDEX(FmtCansPerPack,MATCH(F3501,FmtName,0))</f>
        <v/>
      </c>
      <c r="U3501" s="47">
        <f>INDEX(ProvOnline,MATCH(G3501,ProvCode,0))*(1+PriceIndex)</f>
        <v/>
      </c>
      <c r="V3501" s="47">
        <f>Q3501*U3501*INDEX(FmtBlendedPriceIdx,MATCH(F3501,FmtName,0))</f>
        <v/>
      </c>
      <c r="W3501" s="47">
        <f>V3501</f>
        <v/>
      </c>
      <c r="X3501" s="47">
        <f>IF(GrossBasis="Wholesale",V3501,W3501)</f>
        <v/>
      </c>
      <c r="Y3501" s="47">
        <f>R3501*INDEX(FmtBlendedCogs,MATCH(F3501,FmtName,0))</f>
        <v/>
      </c>
      <c r="Z3501" s="47">
        <f>X3501-Y3501</f>
        <v/>
      </c>
    </row>
    <row r="3502">
      <c r="A3502" t="n">
        <v>3</v>
      </c>
      <c r="B3502" s="44">
        <f>FiscalStart+(A3502-1)*7</f>
        <v/>
      </c>
      <c r="C3502">
        <f>TEXT(B3502,"mmm yyyy")</f>
        <v/>
      </c>
      <c r="D3502">
        <f>"Q"&amp;(INT((A3502-1)/13)+1)</f>
        <v/>
      </c>
      <c r="E3502" t="inlineStr">
        <is>
          <t>Online</t>
        </is>
      </c>
      <c r="F3502">
        <f>IFERROR(INDEX(ChFormat,MATCH(E3502,ChName,0)),"")</f>
        <v/>
      </c>
      <c r="G3502" t="inlineStr">
        <is>
          <t>NB</t>
        </is>
      </c>
      <c r="H3502">
        <f>IF(A3502&lt;=NWeeks,1,0)</f>
        <v/>
      </c>
      <c r="I3502">
        <f>INDEX(ChLaunch,MATCH(E3502,ChName,0))</f>
        <v/>
      </c>
      <c r="J3502">
        <f>INDEX(ChWeeksFull,MATCH(E3502,ChName,0))</f>
        <v/>
      </c>
      <c r="K3502">
        <f>INDEX(ChRamp,MATCH(E3502,ChName,0))</f>
        <v/>
      </c>
      <c r="L3502" s="45">
        <f>MIN(1,MAX(0,(A3502-I3502+1)*RampSpeed/J3502))</f>
        <v/>
      </c>
      <c r="M3502" s="45">
        <f>IF(A3502&lt;I3502,0,IF(K3502="S-curve",L3502*L3502*(3-2*L3502),L3502))</f>
        <v/>
      </c>
      <c r="N3502" s="45">
        <f>1+(INDEX(SeasonIdx,A3502)-1)*SeasonAmp</f>
        <v/>
      </c>
      <c r="O3502" s="45">
        <f>IFERROR(INDEX(PSPct,MATCH(E3502&amp;"|"&amp;G3502,PSKey,0)),0)</f>
        <v/>
      </c>
      <c r="P3502" s="46" t="n">
        <v>0</v>
      </c>
      <c r="Q3502" s="46">
        <f>INDEX(OnlineUnitsCol,A3502)*O3502*(1+OnlineGrowth)*N3502*H3502*IF(A3502&gt;=I3502,1,0)</f>
        <v/>
      </c>
      <c r="R3502" s="46">
        <f>Q3502*INDEX(FmtCansPerPack,MATCH(F3502,FmtName,0))/INDEX(FmtCansPerCase,MATCH(F3502,FmtName,0))</f>
        <v/>
      </c>
      <c r="S3502" s="46">
        <f>R3502*INDEX(FmtCansPerCase,MATCH(F3502,FmtName,0))</f>
        <v/>
      </c>
      <c r="T3502" s="46">
        <f>S3502/INDEX(FmtCansPerPack,MATCH(F3502,FmtName,0))</f>
        <v/>
      </c>
      <c r="U3502" s="47">
        <f>INDEX(ProvOnline,MATCH(G3502,ProvCode,0))*(1+PriceIndex)</f>
        <v/>
      </c>
      <c r="V3502" s="47">
        <f>Q3502*U3502*INDEX(FmtBlendedPriceIdx,MATCH(F3502,FmtName,0))</f>
        <v/>
      </c>
      <c r="W3502" s="47">
        <f>V3502</f>
        <v/>
      </c>
      <c r="X3502" s="47">
        <f>IF(GrossBasis="Wholesale",V3502,W3502)</f>
        <v/>
      </c>
      <c r="Y3502" s="47">
        <f>R3502*INDEX(FmtBlendedCogs,MATCH(F3502,FmtName,0))</f>
        <v/>
      </c>
      <c r="Z3502" s="47">
        <f>X3502-Y3502</f>
        <v/>
      </c>
    </row>
    <row r="3503">
      <c r="A3503" t="n">
        <v>4</v>
      </c>
      <c r="B3503" s="44">
        <f>FiscalStart+(A3503-1)*7</f>
        <v/>
      </c>
      <c r="C3503">
        <f>TEXT(B3503,"mmm yyyy")</f>
        <v/>
      </c>
      <c r="D3503">
        <f>"Q"&amp;(INT((A3503-1)/13)+1)</f>
        <v/>
      </c>
      <c r="E3503" t="inlineStr">
        <is>
          <t>Online</t>
        </is>
      </c>
      <c r="F3503">
        <f>IFERROR(INDEX(ChFormat,MATCH(E3503,ChName,0)),"")</f>
        <v/>
      </c>
      <c r="G3503" t="inlineStr">
        <is>
          <t>NB</t>
        </is>
      </c>
      <c r="H3503">
        <f>IF(A3503&lt;=NWeeks,1,0)</f>
        <v/>
      </c>
      <c r="I3503">
        <f>INDEX(ChLaunch,MATCH(E3503,ChName,0))</f>
        <v/>
      </c>
      <c r="J3503">
        <f>INDEX(ChWeeksFull,MATCH(E3503,ChName,0))</f>
        <v/>
      </c>
      <c r="K3503">
        <f>INDEX(ChRamp,MATCH(E3503,ChName,0))</f>
        <v/>
      </c>
      <c r="L3503" s="45">
        <f>MIN(1,MAX(0,(A3503-I3503+1)*RampSpeed/J3503))</f>
        <v/>
      </c>
      <c r="M3503" s="45">
        <f>IF(A3503&lt;I3503,0,IF(K3503="S-curve",L3503*L3503*(3-2*L3503),L3503))</f>
        <v/>
      </c>
      <c r="N3503" s="45">
        <f>1+(INDEX(SeasonIdx,A3503)-1)*SeasonAmp</f>
        <v/>
      </c>
      <c r="O3503" s="45">
        <f>IFERROR(INDEX(PSPct,MATCH(E3503&amp;"|"&amp;G3503,PSKey,0)),0)</f>
        <v/>
      </c>
      <c r="P3503" s="46" t="n">
        <v>0</v>
      </c>
      <c r="Q3503" s="46">
        <f>INDEX(OnlineUnitsCol,A3503)*O3503*(1+OnlineGrowth)*N3503*H3503*IF(A3503&gt;=I3503,1,0)</f>
        <v/>
      </c>
      <c r="R3503" s="46">
        <f>Q3503*INDEX(FmtCansPerPack,MATCH(F3503,FmtName,0))/INDEX(FmtCansPerCase,MATCH(F3503,FmtName,0))</f>
        <v/>
      </c>
      <c r="S3503" s="46">
        <f>R3503*INDEX(FmtCansPerCase,MATCH(F3503,FmtName,0))</f>
        <v/>
      </c>
      <c r="T3503" s="46">
        <f>S3503/INDEX(FmtCansPerPack,MATCH(F3503,FmtName,0))</f>
        <v/>
      </c>
      <c r="U3503" s="47">
        <f>INDEX(ProvOnline,MATCH(G3503,ProvCode,0))*(1+PriceIndex)</f>
        <v/>
      </c>
      <c r="V3503" s="47">
        <f>Q3503*U3503*INDEX(FmtBlendedPriceIdx,MATCH(F3503,FmtName,0))</f>
        <v/>
      </c>
      <c r="W3503" s="47">
        <f>V3503</f>
        <v/>
      </c>
      <c r="X3503" s="47">
        <f>IF(GrossBasis="Wholesale",V3503,W3503)</f>
        <v/>
      </c>
      <c r="Y3503" s="47">
        <f>R3503*INDEX(FmtBlendedCogs,MATCH(F3503,FmtName,0))</f>
        <v/>
      </c>
      <c r="Z3503" s="47">
        <f>X3503-Y3503</f>
        <v/>
      </c>
    </row>
    <row r="3504">
      <c r="A3504" t="n">
        <v>5</v>
      </c>
      <c r="B3504" s="44">
        <f>FiscalStart+(A3504-1)*7</f>
        <v/>
      </c>
      <c r="C3504">
        <f>TEXT(B3504,"mmm yyyy")</f>
        <v/>
      </c>
      <c r="D3504">
        <f>"Q"&amp;(INT((A3504-1)/13)+1)</f>
        <v/>
      </c>
      <c r="E3504" t="inlineStr">
        <is>
          <t>Online</t>
        </is>
      </c>
      <c r="F3504">
        <f>IFERROR(INDEX(ChFormat,MATCH(E3504,ChName,0)),"")</f>
        <v/>
      </c>
      <c r="G3504" t="inlineStr">
        <is>
          <t>NB</t>
        </is>
      </c>
      <c r="H3504">
        <f>IF(A3504&lt;=NWeeks,1,0)</f>
        <v/>
      </c>
      <c r="I3504">
        <f>INDEX(ChLaunch,MATCH(E3504,ChName,0))</f>
        <v/>
      </c>
      <c r="J3504">
        <f>INDEX(ChWeeksFull,MATCH(E3504,ChName,0))</f>
        <v/>
      </c>
      <c r="K3504">
        <f>INDEX(ChRamp,MATCH(E3504,ChName,0))</f>
        <v/>
      </c>
      <c r="L3504" s="45">
        <f>MIN(1,MAX(0,(A3504-I3504+1)*RampSpeed/J3504))</f>
        <v/>
      </c>
      <c r="M3504" s="45">
        <f>IF(A3504&lt;I3504,0,IF(K3504="S-curve",L3504*L3504*(3-2*L3504),L3504))</f>
        <v/>
      </c>
      <c r="N3504" s="45">
        <f>1+(INDEX(SeasonIdx,A3504)-1)*SeasonAmp</f>
        <v/>
      </c>
      <c r="O3504" s="45">
        <f>IFERROR(INDEX(PSPct,MATCH(E3504&amp;"|"&amp;G3504,PSKey,0)),0)</f>
        <v/>
      </c>
      <c r="P3504" s="46" t="n">
        <v>0</v>
      </c>
      <c r="Q3504" s="46">
        <f>INDEX(OnlineUnitsCol,A3504)*O3504*(1+OnlineGrowth)*N3504*H3504*IF(A3504&gt;=I3504,1,0)</f>
        <v/>
      </c>
      <c r="R3504" s="46">
        <f>Q3504*INDEX(FmtCansPerPack,MATCH(F3504,FmtName,0))/INDEX(FmtCansPerCase,MATCH(F3504,FmtName,0))</f>
        <v/>
      </c>
      <c r="S3504" s="46">
        <f>R3504*INDEX(FmtCansPerCase,MATCH(F3504,FmtName,0))</f>
        <v/>
      </c>
      <c r="T3504" s="46">
        <f>S3504/INDEX(FmtCansPerPack,MATCH(F3504,FmtName,0))</f>
        <v/>
      </c>
      <c r="U3504" s="47">
        <f>INDEX(ProvOnline,MATCH(G3504,ProvCode,0))*(1+PriceIndex)</f>
        <v/>
      </c>
      <c r="V3504" s="47">
        <f>Q3504*U3504*INDEX(FmtBlendedPriceIdx,MATCH(F3504,FmtName,0))</f>
        <v/>
      </c>
      <c r="W3504" s="47">
        <f>V3504</f>
        <v/>
      </c>
      <c r="X3504" s="47">
        <f>IF(GrossBasis="Wholesale",V3504,W3504)</f>
        <v/>
      </c>
      <c r="Y3504" s="47">
        <f>R3504*INDEX(FmtBlendedCogs,MATCH(F3504,FmtName,0))</f>
        <v/>
      </c>
      <c r="Z3504" s="47">
        <f>X3504-Y3504</f>
        <v/>
      </c>
    </row>
    <row r="3505">
      <c r="A3505" t="n">
        <v>6</v>
      </c>
      <c r="B3505" s="44">
        <f>FiscalStart+(A3505-1)*7</f>
        <v/>
      </c>
      <c r="C3505">
        <f>TEXT(B3505,"mmm yyyy")</f>
        <v/>
      </c>
      <c r="D3505">
        <f>"Q"&amp;(INT((A3505-1)/13)+1)</f>
        <v/>
      </c>
      <c r="E3505" t="inlineStr">
        <is>
          <t>Online</t>
        </is>
      </c>
      <c r="F3505">
        <f>IFERROR(INDEX(ChFormat,MATCH(E3505,ChName,0)),"")</f>
        <v/>
      </c>
      <c r="G3505" t="inlineStr">
        <is>
          <t>NB</t>
        </is>
      </c>
      <c r="H3505">
        <f>IF(A3505&lt;=NWeeks,1,0)</f>
        <v/>
      </c>
      <c r="I3505">
        <f>INDEX(ChLaunch,MATCH(E3505,ChName,0))</f>
        <v/>
      </c>
      <c r="J3505">
        <f>INDEX(ChWeeksFull,MATCH(E3505,ChName,0))</f>
        <v/>
      </c>
      <c r="K3505">
        <f>INDEX(ChRamp,MATCH(E3505,ChName,0))</f>
        <v/>
      </c>
      <c r="L3505" s="45">
        <f>MIN(1,MAX(0,(A3505-I3505+1)*RampSpeed/J3505))</f>
        <v/>
      </c>
      <c r="M3505" s="45">
        <f>IF(A3505&lt;I3505,0,IF(K3505="S-curve",L3505*L3505*(3-2*L3505),L3505))</f>
        <v/>
      </c>
      <c r="N3505" s="45">
        <f>1+(INDEX(SeasonIdx,A3505)-1)*SeasonAmp</f>
        <v/>
      </c>
      <c r="O3505" s="45">
        <f>IFERROR(INDEX(PSPct,MATCH(E3505&amp;"|"&amp;G3505,PSKey,0)),0)</f>
        <v/>
      </c>
      <c r="P3505" s="46" t="n">
        <v>0</v>
      </c>
      <c r="Q3505" s="46">
        <f>INDEX(OnlineUnitsCol,A3505)*O3505*(1+OnlineGrowth)*N3505*H3505*IF(A3505&gt;=I3505,1,0)</f>
        <v/>
      </c>
      <c r="R3505" s="46">
        <f>Q3505*INDEX(FmtCansPerPack,MATCH(F3505,FmtName,0))/INDEX(FmtCansPerCase,MATCH(F3505,FmtName,0))</f>
        <v/>
      </c>
      <c r="S3505" s="46">
        <f>R3505*INDEX(FmtCansPerCase,MATCH(F3505,FmtName,0))</f>
        <v/>
      </c>
      <c r="T3505" s="46">
        <f>S3505/INDEX(FmtCansPerPack,MATCH(F3505,FmtName,0))</f>
        <v/>
      </c>
      <c r="U3505" s="47">
        <f>INDEX(ProvOnline,MATCH(G3505,ProvCode,0))*(1+PriceIndex)</f>
        <v/>
      </c>
      <c r="V3505" s="47">
        <f>Q3505*U3505*INDEX(FmtBlendedPriceIdx,MATCH(F3505,FmtName,0))</f>
        <v/>
      </c>
      <c r="W3505" s="47">
        <f>V3505</f>
        <v/>
      </c>
      <c r="X3505" s="47">
        <f>IF(GrossBasis="Wholesale",V3505,W3505)</f>
        <v/>
      </c>
      <c r="Y3505" s="47">
        <f>R3505*INDEX(FmtBlendedCogs,MATCH(F3505,FmtName,0))</f>
        <v/>
      </c>
      <c r="Z3505" s="47">
        <f>X3505-Y3505</f>
        <v/>
      </c>
    </row>
    <row r="3506">
      <c r="A3506" t="n">
        <v>7</v>
      </c>
      <c r="B3506" s="44">
        <f>FiscalStart+(A3506-1)*7</f>
        <v/>
      </c>
      <c r="C3506">
        <f>TEXT(B3506,"mmm yyyy")</f>
        <v/>
      </c>
      <c r="D3506">
        <f>"Q"&amp;(INT((A3506-1)/13)+1)</f>
        <v/>
      </c>
      <c r="E3506" t="inlineStr">
        <is>
          <t>Online</t>
        </is>
      </c>
      <c r="F3506">
        <f>IFERROR(INDEX(ChFormat,MATCH(E3506,ChName,0)),"")</f>
        <v/>
      </c>
      <c r="G3506" t="inlineStr">
        <is>
          <t>NB</t>
        </is>
      </c>
      <c r="H3506">
        <f>IF(A3506&lt;=NWeeks,1,0)</f>
        <v/>
      </c>
      <c r="I3506">
        <f>INDEX(ChLaunch,MATCH(E3506,ChName,0))</f>
        <v/>
      </c>
      <c r="J3506">
        <f>INDEX(ChWeeksFull,MATCH(E3506,ChName,0))</f>
        <v/>
      </c>
      <c r="K3506">
        <f>INDEX(ChRamp,MATCH(E3506,ChName,0))</f>
        <v/>
      </c>
      <c r="L3506" s="45">
        <f>MIN(1,MAX(0,(A3506-I3506+1)*RampSpeed/J3506))</f>
        <v/>
      </c>
      <c r="M3506" s="45">
        <f>IF(A3506&lt;I3506,0,IF(K3506="S-curve",L3506*L3506*(3-2*L3506),L3506))</f>
        <v/>
      </c>
      <c r="N3506" s="45">
        <f>1+(INDEX(SeasonIdx,A3506)-1)*SeasonAmp</f>
        <v/>
      </c>
      <c r="O3506" s="45">
        <f>IFERROR(INDEX(PSPct,MATCH(E3506&amp;"|"&amp;G3506,PSKey,0)),0)</f>
        <v/>
      </c>
      <c r="P3506" s="46" t="n">
        <v>0</v>
      </c>
      <c r="Q3506" s="46">
        <f>INDEX(OnlineUnitsCol,A3506)*O3506*(1+OnlineGrowth)*N3506*H3506*IF(A3506&gt;=I3506,1,0)</f>
        <v/>
      </c>
      <c r="R3506" s="46">
        <f>Q3506*INDEX(FmtCansPerPack,MATCH(F3506,FmtName,0))/INDEX(FmtCansPerCase,MATCH(F3506,FmtName,0))</f>
        <v/>
      </c>
      <c r="S3506" s="46">
        <f>R3506*INDEX(FmtCansPerCase,MATCH(F3506,FmtName,0))</f>
        <v/>
      </c>
      <c r="T3506" s="46">
        <f>S3506/INDEX(FmtCansPerPack,MATCH(F3506,FmtName,0))</f>
        <v/>
      </c>
      <c r="U3506" s="47">
        <f>INDEX(ProvOnline,MATCH(G3506,ProvCode,0))*(1+PriceIndex)</f>
        <v/>
      </c>
      <c r="V3506" s="47">
        <f>Q3506*U3506*INDEX(FmtBlendedPriceIdx,MATCH(F3506,FmtName,0))</f>
        <v/>
      </c>
      <c r="W3506" s="47">
        <f>V3506</f>
        <v/>
      </c>
      <c r="X3506" s="47">
        <f>IF(GrossBasis="Wholesale",V3506,W3506)</f>
        <v/>
      </c>
      <c r="Y3506" s="47">
        <f>R3506*INDEX(FmtBlendedCogs,MATCH(F3506,FmtName,0))</f>
        <v/>
      </c>
      <c r="Z3506" s="47">
        <f>X3506-Y3506</f>
        <v/>
      </c>
    </row>
    <row r="3507">
      <c r="A3507" t="n">
        <v>8</v>
      </c>
      <c r="B3507" s="44">
        <f>FiscalStart+(A3507-1)*7</f>
        <v/>
      </c>
      <c r="C3507">
        <f>TEXT(B3507,"mmm yyyy")</f>
        <v/>
      </c>
      <c r="D3507">
        <f>"Q"&amp;(INT((A3507-1)/13)+1)</f>
        <v/>
      </c>
      <c r="E3507" t="inlineStr">
        <is>
          <t>Online</t>
        </is>
      </c>
      <c r="F3507">
        <f>IFERROR(INDEX(ChFormat,MATCH(E3507,ChName,0)),"")</f>
        <v/>
      </c>
      <c r="G3507" t="inlineStr">
        <is>
          <t>NB</t>
        </is>
      </c>
      <c r="H3507">
        <f>IF(A3507&lt;=NWeeks,1,0)</f>
        <v/>
      </c>
      <c r="I3507">
        <f>INDEX(ChLaunch,MATCH(E3507,ChName,0))</f>
        <v/>
      </c>
      <c r="J3507">
        <f>INDEX(ChWeeksFull,MATCH(E3507,ChName,0))</f>
        <v/>
      </c>
      <c r="K3507">
        <f>INDEX(ChRamp,MATCH(E3507,ChName,0))</f>
        <v/>
      </c>
      <c r="L3507" s="45">
        <f>MIN(1,MAX(0,(A3507-I3507+1)*RampSpeed/J3507))</f>
        <v/>
      </c>
      <c r="M3507" s="45">
        <f>IF(A3507&lt;I3507,0,IF(K3507="S-curve",L3507*L3507*(3-2*L3507),L3507))</f>
        <v/>
      </c>
      <c r="N3507" s="45">
        <f>1+(INDEX(SeasonIdx,A3507)-1)*SeasonAmp</f>
        <v/>
      </c>
      <c r="O3507" s="45">
        <f>IFERROR(INDEX(PSPct,MATCH(E3507&amp;"|"&amp;G3507,PSKey,0)),0)</f>
        <v/>
      </c>
      <c r="P3507" s="46" t="n">
        <v>0</v>
      </c>
      <c r="Q3507" s="46">
        <f>INDEX(OnlineUnitsCol,A3507)*O3507*(1+OnlineGrowth)*N3507*H3507*IF(A3507&gt;=I3507,1,0)</f>
        <v/>
      </c>
      <c r="R3507" s="46">
        <f>Q3507*INDEX(FmtCansPerPack,MATCH(F3507,FmtName,0))/INDEX(FmtCansPerCase,MATCH(F3507,FmtName,0))</f>
        <v/>
      </c>
      <c r="S3507" s="46">
        <f>R3507*INDEX(FmtCansPerCase,MATCH(F3507,FmtName,0))</f>
        <v/>
      </c>
      <c r="T3507" s="46">
        <f>S3507/INDEX(FmtCansPerPack,MATCH(F3507,FmtName,0))</f>
        <v/>
      </c>
      <c r="U3507" s="47">
        <f>INDEX(ProvOnline,MATCH(G3507,ProvCode,0))*(1+PriceIndex)</f>
        <v/>
      </c>
      <c r="V3507" s="47">
        <f>Q3507*U3507*INDEX(FmtBlendedPriceIdx,MATCH(F3507,FmtName,0))</f>
        <v/>
      </c>
      <c r="W3507" s="47">
        <f>V3507</f>
        <v/>
      </c>
      <c r="X3507" s="47">
        <f>IF(GrossBasis="Wholesale",V3507,W3507)</f>
        <v/>
      </c>
      <c r="Y3507" s="47">
        <f>R3507*INDEX(FmtBlendedCogs,MATCH(F3507,FmtName,0))</f>
        <v/>
      </c>
      <c r="Z3507" s="47">
        <f>X3507-Y3507</f>
        <v/>
      </c>
    </row>
    <row r="3508">
      <c r="A3508" t="n">
        <v>9</v>
      </c>
      <c r="B3508" s="44">
        <f>FiscalStart+(A3508-1)*7</f>
        <v/>
      </c>
      <c r="C3508">
        <f>TEXT(B3508,"mmm yyyy")</f>
        <v/>
      </c>
      <c r="D3508">
        <f>"Q"&amp;(INT((A3508-1)/13)+1)</f>
        <v/>
      </c>
      <c r="E3508" t="inlineStr">
        <is>
          <t>Online</t>
        </is>
      </c>
      <c r="F3508">
        <f>IFERROR(INDEX(ChFormat,MATCH(E3508,ChName,0)),"")</f>
        <v/>
      </c>
      <c r="G3508" t="inlineStr">
        <is>
          <t>NB</t>
        </is>
      </c>
      <c r="H3508">
        <f>IF(A3508&lt;=NWeeks,1,0)</f>
        <v/>
      </c>
      <c r="I3508">
        <f>INDEX(ChLaunch,MATCH(E3508,ChName,0))</f>
        <v/>
      </c>
      <c r="J3508">
        <f>INDEX(ChWeeksFull,MATCH(E3508,ChName,0))</f>
        <v/>
      </c>
      <c r="K3508">
        <f>INDEX(ChRamp,MATCH(E3508,ChName,0))</f>
        <v/>
      </c>
      <c r="L3508" s="45">
        <f>MIN(1,MAX(0,(A3508-I3508+1)*RampSpeed/J3508))</f>
        <v/>
      </c>
      <c r="M3508" s="45">
        <f>IF(A3508&lt;I3508,0,IF(K3508="S-curve",L3508*L3508*(3-2*L3508),L3508))</f>
        <v/>
      </c>
      <c r="N3508" s="45">
        <f>1+(INDEX(SeasonIdx,A3508)-1)*SeasonAmp</f>
        <v/>
      </c>
      <c r="O3508" s="45">
        <f>IFERROR(INDEX(PSPct,MATCH(E3508&amp;"|"&amp;G3508,PSKey,0)),0)</f>
        <v/>
      </c>
      <c r="P3508" s="46" t="n">
        <v>0</v>
      </c>
      <c r="Q3508" s="46">
        <f>INDEX(OnlineUnitsCol,A3508)*O3508*(1+OnlineGrowth)*N3508*H3508*IF(A3508&gt;=I3508,1,0)</f>
        <v/>
      </c>
      <c r="R3508" s="46">
        <f>Q3508*INDEX(FmtCansPerPack,MATCH(F3508,FmtName,0))/INDEX(FmtCansPerCase,MATCH(F3508,FmtName,0))</f>
        <v/>
      </c>
      <c r="S3508" s="46">
        <f>R3508*INDEX(FmtCansPerCase,MATCH(F3508,FmtName,0))</f>
        <v/>
      </c>
      <c r="T3508" s="46">
        <f>S3508/INDEX(FmtCansPerPack,MATCH(F3508,FmtName,0))</f>
        <v/>
      </c>
      <c r="U3508" s="47">
        <f>INDEX(ProvOnline,MATCH(G3508,ProvCode,0))*(1+PriceIndex)</f>
        <v/>
      </c>
      <c r="V3508" s="47">
        <f>Q3508*U3508*INDEX(FmtBlendedPriceIdx,MATCH(F3508,FmtName,0))</f>
        <v/>
      </c>
      <c r="W3508" s="47">
        <f>V3508</f>
        <v/>
      </c>
      <c r="X3508" s="47">
        <f>IF(GrossBasis="Wholesale",V3508,W3508)</f>
        <v/>
      </c>
      <c r="Y3508" s="47">
        <f>R3508*INDEX(FmtBlendedCogs,MATCH(F3508,FmtName,0))</f>
        <v/>
      </c>
      <c r="Z3508" s="47">
        <f>X3508-Y3508</f>
        <v/>
      </c>
    </row>
    <row r="3509">
      <c r="A3509" t="n">
        <v>10</v>
      </c>
      <c r="B3509" s="44">
        <f>FiscalStart+(A3509-1)*7</f>
        <v/>
      </c>
      <c r="C3509">
        <f>TEXT(B3509,"mmm yyyy")</f>
        <v/>
      </c>
      <c r="D3509">
        <f>"Q"&amp;(INT((A3509-1)/13)+1)</f>
        <v/>
      </c>
      <c r="E3509" t="inlineStr">
        <is>
          <t>Online</t>
        </is>
      </c>
      <c r="F3509">
        <f>IFERROR(INDEX(ChFormat,MATCH(E3509,ChName,0)),"")</f>
        <v/>
      </c>
      <c r="G3509" t="inlineStr">
        <is>
          <t>NB</t>
        </is>
      </c>
      <c r="H3509">
        <f>IF(A3509&lt;=NWeeks,1,0)</f>
        <v/>
      </c>
      <c r="I3509">
        <f>INDEX(ChLaunch,MATCH(E3509,ChName,0))</f>
        <v/>
      </c>
      <c r="J3509">
        <f>INDEX(ChWeeksFull,MATCH(E3509,ChName,0))</f>
        <v/>
      </c>
      <c r="K3509">
        <f>INDEX(ChRamp,MATCH(E3509,ChName,0))</f>
        <v/>
      </c>
      <c r="L3509" s="45">
        <f>MIN(1,MAX(0,(A3509-I3509+1)*RampSpeed/J3509))</f>
        <v/>
      </c>
      <c r="M3509" s="45">
        <f>IF(A3509&lt;I3509,0,IF(K3509="S-curve",L3509*L3509*(3-2*L3509),L3509))</f>
        <v/>
      </c>
      <c r="N3509" s="45">
        <f>1+(INDEX(SeasonIdx,A3509)-1)*SeasonAmp</f>
        <v/>
      </c>
      <c r="O3509" s="45">
        <f>IFERROR(INDEX(PSPct,MATCH(E3509&amp;"|"&amp;G3509,PSKey,0)),0)</f>
        <v/>
      </c>
      <c r="P3509" s="46" t="n">
        <v>0</v>
      </c>
      <c r="Q3509" s="46">
        <f>INDEX(OnlineUnitsCol,A3509)*O3509*(1+OnlineGrowth)*N3509*H3509*IF(A3509&gt;=I3509,1,0)</f>
        <v/>
      </c>
      <c r="R3509" s="46">
        <f>Q3509*INDEX(FmtCansPerPack,MATCH(F3509,FmtName,0))/INDEX(FmtCansPerCase,MATCH(F3509,FmtName,0))</f>
        <v/>
      </c>
      <c r="S3509" s="46">
        <f>R3509*INDEX(FmtCansPerCase,MATCH(F3509,FmtName,0))</f>
        <v/>
      </c>
      <c r="T3509" s="46">
        <f>S3509/INDEX(FmtCansPerPack,MATCH(F3509,FmtName,0))</f>
        <v/>
      </c>
      <c r="U3509" s="47">
        <f>INDEX(ProvOnline,MATCH(G3509,ProvCode,0))*(1+PriceIndex)</f>
        <v/>
      </c>
      <c r="V3509" s="47">
        <f>Q3509*U3509*INDEX(FmtBlendedPriceIdx,MATCH(F3509,FmtName,0))</f>
        <v/>
      </c>
      <c r="W3509" s="47">
        <f>V3509</f>
        <v/>
      </c>
      <c r="X3509" s="47">
        <f>IF(GrossBasis="Wholesale",V3509,W3509)</f>
        <v/>
      </c>
      <c r="Y3509" s="47">
        <f>R3509*INDEX(FmtBlendedCogs,MATCH(F3509,FmtName,0))</f>
        <v/>
      </c>
      <c r="Z3509" s="47">
        <f>X3509-Y3509</f>
        <v/>
      </c>
    </row>
    <row r="3510">
      <c r="A3510" t="n">
        <v>11</v>
      </c>
      <c r="B3510" s="44">
        <f>FiscalStart+(A3510-1)*7</f>
        <v/>
      </c>
      <c r="C3510">
        <f>TEXT(B3510,"mmm yyyy")</f>
        <v/>
      </c>
      <c r="D3510">
        <f>"Q"&amp;(INT((A3510-1)/13)+1)</f>
        <v/>
      </c>
      <c r="E3510" t="inlineStr">
        <is>
          <t>Online</t>
        </is>
      </c>
      <c r="F3510">
        <f>IFERROR(INDEX(ChFormat,MATCH(E3510,ChName,0)),"")</f>
        <v/>
      </c>
      <c r="G3510" t="inlineStr">
        <is>
          <t>NB</t>
        </is>
      </c>
      <c r="H3510">
        <f>IF(A3510&lt;=NWeeks,1,0)</f>
        <v/>
      </c>
      <c r="I3510">
        <f>INDEX(ChLaunch,MATCH(E3510,ChName,0))</f>
        <v/>
      </c>
      <c r="J3510">
        <f>INDEX(ChWeeksFull,MATCH(E3510,ChName,0))</f>
        <v/>
      </c>
      <c r="K3510">
        <f>INDEX(ChRamp,MATCH(E3510,ChName,0))</f>
        <v/>
      </c>
      <c r="L3510" s="45">
        <f>MIN(1,MAX(0,(A3510-I3510+1)*RampSpeed/J3510))</f>
        <v/>
      </c>
      <c r="M3510" s="45">
        <f>IF(A3510&lt;I3510,0,IF(K3510="S-curve",L3510*L3510*(3-2*L3510),L3510))</f>
        <v/>
      </c>
      <c r="N3510" s="45">
        <f>1+(INDEX(SeasonIdx,A3510)-1)*SeasonAmp</f>
        <v/>
      </c>
      <c r="O3510" s="45">
        <f>IFERROR(INDEX(PSPct,MATCH(E3510&amp;"|"&amp;G3510,PSKey,0)),0)</f>
        <v/>
      </c>
      <c r="P3510" s="46" t="n">
        <v>0</v>
      </c>
      <c r="Q3510" s="46">
        <f>INDEX(OnlineUnitsCol,A3510)*O3510*(1+OnlineGrowth)*N3510*H3510*IF(A3510&gt;=I3510,1,0)</f>
        <v/>
      </c>
      <c r="R3510" s="46">
        <f>Q3510*INDEX(FmtCansPerPack,MATCH(F3510,FmtName,0))/INDEX(FmtCansPerCase,MATCH(F3510,FmtName,0))</f>
        <v/>
      </c>
      <c r="S3510" s="46">
        <f>R3510*INDEX(FmtCansPerCase,MATCH(F3510,FmtName,0))</f>
        <v/>
      </c>
      <c r="T3510" s="46">
        <f>S3510/INDEX(FmtCansPerPack,MATCH(F3510,FmtName,0))</f>
        <v/>
      </c>
      <c r="U3510" s="47">
        <f>INDEX(ProvOnline,MATCH(G3510,ProvCode,0))*(1+PriceIndex)</f>
        <v/>
      </c>
      <c r="V3510" s="47">
        <f>Q3510*U3510*INDEX(FmtBlendedPriceIdx,MATCH(F3510,FmtName,0))</f>
        <v/>
      </c>
      <c r="W3510" s="47">
        <f>V3510</f>
        <v/>
      </c>
      <c r="X3510" s="47">
        <f>IF(GrossBasis="Wholesale",V3510,W3510)</f>
        <v/>
      </c>
      <c r="Y3510" s="47">
        <f>R3510*INDEX(FmtBlendedCogs,MATCH(F3510,FmtName,0))</f>
        <v/>
      </c>
      <c r="Z3510" s="47">
        <f>X3510-Y3510</f>
        <v/>
      </c>
    </row>
    <row r="3511">
      <c r="A3511" t="n">
        <v>12</v>
      </c>
      <c r="B3511" s="44">
        <f>FiscalStart+(A3511-1)*7</f>
        <v/>
      </c>
      <c r="C3511">
        <f>TEXT(B3511,"mmm yyyy")</f>
        <v/>
      </c>
      <c r="D3511">
        <f>"Q"&amp;(INT((A3511-1)/13)+1)</f>
        <v/>
      </c>
      <c r="E3511" t="inlineStr">
        <is>
          <t>Online</t>
        </is>
      </c>
      <c r="F3511">
        <f>IFERROR(INDEX(ChFormat,MATCH(E3511,ChName,0)),"")</f>
        <v/>
      </c>
      <c r="G3511" t="inlineStr">
        <is>
          <t>NB</t>
        </is>
      </c>
      <c r="H3511">
        <f>IF(A3511&lt;=NWeeks,1,0)</f>
        <v/>
      </c>
      <c r="I3511">
        <f>INDEX(ChLaunch,MATCH(E3511,ChName,0))</f>
        <v/>
      </c>
      <c r="J3511">
        <f>INDEX(ChWeeksFull,MATCH(E3511,ChName,0))</f>
        <v/>
      </c>
      <c r="K3511">
        <f>INDEX(ChRamp,MATCH(E3511,ChName,0))</f>
        <v/>
      </c>
      <c r="L3511" s="45">
        <f>MIN(1,MAX(0,(A3511-I3511+1)*RampSpeed/J3511))</f>
        <v/>
      </c>
      <c r="M3511" s="45">
        <f>IF(A3511&lt;I3511,0,IF(K3511="S-curve",L3511*L3511*(3-2*L3511),L3511))</f>
        <v/>
      </c>
      <c r="N3511" s="45">
        <f>1+(INDEX(SeasonIdx,A3511)-1)*SeasonAmp</f>
        <v/>
      </c>
      <c r="O3511" s="45">
        <f>IFERROR(INDEX(PSPct,MATCH(E3511&amp;"|"&amp;G3511,PSKey,0)),0)</f>
        <v/>
      </c>
      <c r="P3511" s="46" t="n">
        <v>0</v>
      </c>
      <c r="Q3511" s="46">
        <f>INDEX(OnlineUnitsCol,A3511)*O3511*(1+OnlineGrowth)*N3511*H3511*IF(A3511&gt;=I3511,1,0)</f>
        <v/>
      </c>
      <c r="R3511" s="46">
        <f>Q3511*INDEX(FmtCansPerPack,MATCH(F3511,FmtName,0))/INDEX(FmtCansPerCase,MATCH(F3511,FmtName,0))</f>
        <v/>
      </c>
      <c r="S3511" s="46">
        <f>R3511*INDEX(FmtCansPerCase,MATCH(F3511,FmtName,0))</f>
        <v/>
      </c>
      <c r="T3511" s="46">
        <f>S3511/INDEX(FmtCansPerPack,MATCH(F3511,FmtName,0))</f>
        <v/>
      </c>
      <c r="U3511" s="47">
        <f>INDEX(ProvOnline,MATCH(G3511,ProvCode,0))*(1+PriceIndex)</f>
        <v/>
      </c>
      <c r="V3511" s="47">
        <f>Q3511*U3511*INDEX(FmtBlendedPriceIdx,MATCH(F3511,FmtName,0))</f>
        <v/>
      </c>
      <c r="W3511" s="47">
        <f>V3511</f>
        <v/>
      </c>
      <c r="X3511" s="47">
        <f>IF(GrossBasis="Wholesale",V3511,W3511)</f>
        <v/>
      </c>
      <c r="Y3511" s="47">
        <f>R3511*INDEX(FmtBlendedCogs,MATCH(F3511,FmtName,0))</f>
        <v/>
      </c>
      <c r="Z3511" s="47">
        <f>X3511-Y3511</f>
        <v/>
      </c>
    </row>
    <row r="3512">
      <c r="A3512" t="n">
        <v>13</v>
      </c>
      <c r="B3512" s="44">
        <f>FiscalStart+(A3512-1)*7</f>
        <v/>
      </c>
      <c r="C3512">
        <f>TEXT(B3512,"mmm yyyy")</f>
        <v/>
      </c>
      <c r="D3512">
        <f>"Q"&amp;(INT((A3512-1)/13)+1)</f>
        <v/>
      </c>
      <c r="E3512" t="inlineStr">
        <is>
          <t>Online</t>
        </is>
      </c>
      <c r="F3512">
        <f>IFERROR(INDEX(ChFormat,MATCH(E3512,ChName,0)),"")</f>
        <v/>
      </c>
      <c r="G3512" t="inlineStr">
        <is>
          <t>NB</t>
        </is>
      </c>
      <c r="H3512">
        <f>IF(A3512&lt;=NWeeks,1,0)</f>
        <v/>
      </c>
      <c r="I3512">
        <f>INDEX(ChLaunch,MATCH(E3512,ChName,0))</f>
        <v/>
      </c>
      <c r="J3512">
        <f>INDEX(ChWeeksFull,MATCH(E3512,ChName,0))</f>
        <v/>
      </c>
      <c r="K3512">
        <f>INDEX(ChRamp,MATCH(E3512,ChName,0))</f>
        <v/>
      </c>
      <c r="L3512" s="45">
        <f>MIN(1,MAX(0,(A3512-I3512+1)*RampSpeed/J3512))</f>
        <v/>
      </c>
      <c r="M3512" s="45">
        <f>IF(A3512&lt;I3512,0,IF(K3512="S-curve",L3512*L3512*(3-2*L3512),L3512))</f>
        <v/>
      </c>
      <c r="N3512" s="45">
        <f>1+(INDEX(SeasonIdx,A3512)-1)*SeasonAmp</f>
        <v/>
      </c>
      <c r="O3512" s="45">
        <f>IFERROR(INDEX(PSPct,MATCH(E3512&amp;"|"&amp;G3512,PSKey,0)),0)</f>
        <v/>
      </c>
      <c r="P3512" s="46" t="n">
        <v>0</v>
      </c>
      <c r="Q3512" s="46">
        <f>INDEX(OnlineUnitsCol,A3512)*O3512*(1+OnlineGrowth)*N3512*H3512*IF(A3512&gt;=I3512,1,0)</f>
        <v/>
      </c>
      <c r="R3512" s="46">
        <f>Q3512*INDEX(FmtCansPerPack,MATCH(F3512,FmtName,0))/INDEX(FmtCansPerCase,MATCH(F3512,FmtName,0))</f>
        <v/>
      </c>
      <c r="S3512" s="46">
        <f>R3512*INDEX(FmtCansPerCase,MATCH(F3512,FmtName,0))</f>
        <v/>
      </c>
      <c r="T3512" s="46">
        <f>S3512/INDEX(FmtCansPerPack,MATCH(F3512,FmtName,0))</f>
        <v/>
      </c>
      <c r="U3512" s="47">
        <f>INDEX(ProvOnline,MATCH(G3512,ProvCode,0))*(1+PriceIndex)</f>
        <v/>
      </c>
      <c r="V3512" s="47">
        <f>Q3512*U3512*INDEX(FmtBlendedPriceIdx,MATCH(F3512,FmtName,0))</f>
        <v/>
      </c>
      <c r="W3512" s="47">
        <f>V3512</f>
        <v/>
      </c>
      <c r="X3512" s="47">
        <f>IF(GrossBasis="Wholesale",V3512,W3512)</f>
        <v/>
      </c>
      <c r="Y3512" s="47">
        <f>R3512*INDEX(FmtBlendedCogs,MATCH(F3512,FmtName,0))</f>
        <v/>
      </c>
      <c r="Z3512" s="47">
        <f>X3512-Y3512</f>
        <v/>
      </c>
    </row>
    <row r="3513">
      <c r="A3513" t="n">
        <v>14</v>
      </c>
      <c r="B3513" s="44">
        <f>FiscalStart+(A3513-1)*7</f>
        <v/>
      </c>
      <c r="C3513">
        <f>TEXT(B3513,"mmm yyyy")</f>
        <v/>
      </c>
      <c r="D3513">
        <f>"Q"&amp;(INT((A3513-1)/13)+1)</f>
        <v/>
      </c>
      <c r="E3513" t="inlineStr">
        <is>
          <t>Online</t>
        </is>
      </c>
      <c r="F3513">
        <f>IFERROR(INDEX(ChFormat,MATCH(E3513,ChName,0)),"")</f>
        <v/>
      </c>
      <c r="G3513" t="inlineStr">
        <is>
          <t>NB</t>
        </is>
      </c>
      <c r="H3513">
        <f>IF(A3513&lt;=NWeeks,1,0)</f>
        <v/>
      </c>
      <c r="I3513">
        <f>INDEX(ChLaunch,MATCH(E3513,ChName,0))</f>
        <v/>
      </c>
      <c r="J3513">
        <f>INDEX(ChWeeksFull,MATCH(E3513,ChName,0))</f>
        <v/>
      </c>
      <c r="K3513">
        <f>INDEX(ChRamp,MATCH(E3513,ChName,0))</f>
        <v/>
      </c>
      <c r="L3513" s="45">
        <f>MIN(1,MAX(0,(A3513-I3513+1)*RampSpeed/J3513))</f>
        <v/>
      </c>
      <c r="M3513" s="45">
        <f>IF(A3513&lt;I3513,0,IF(K3513="S-curve",L3513*L3513*(3-2*L3513),L3513))</f>
        <v/>
      </c>
      <c r="N3513" s="45">
        <f>1+(INDEX(SeasonIdx,A3513)-1)*SeasonAmp</f>
        <v/>
      </c>
      <c r="O3513" s="45">
        <f>IFERROR(INDEX(PSPct,MATCH(E3513&amp;"|"&amp;G3513,PSKey,0)),0)</f>
        <v/>
      </c>
      <c r="P3513" s="46" t="n">
        <v>0</v>
      </c>
      <c r="Q3513" s="46">
        <f>INDEX(OnlineUnitsCol,A3513)*O3513*(1+OnlineGrowth)*N3513*H3513*IF(A3513&gt;=I3513,1,0)</f>
        <v/>
      </c>
      <c r="R3513" s="46">
        <f>Q3513*INDEX(FmtCansPerPack,MATCH(F3513,FmtName,0))/INDEX(FmtCansPerCase,MATCH(F3513,FmtName,0))</f>
        <v/>
      </c>
      <c r="S3513" s="46">
        <f>R3513*INDEX(FmtCansPerCase,MATCH(F3513,FmtName,0))</f>
        <v/>
      </c>
      <c r="T3513" s="46">
        <f>S3513/INDEX(FmtCansPerPack,MATCH(F3513,FmtName,0))</f>
        <v/>
      </c>
      <c r="U3513" s="47">
        <f>INDEX(ProvOnline,MATCH(G3513,ProvCode,0))*(1+PriceIndex)</f>
        <v/>
      </c>
      <c r="V3513" s="47">
        <f>Q3513*U3513*INDEX(FmtBlendedPriceIdx,MATCH(F3513,FmtName,0))</f>
        <v/>
      </c>
      <c r="W3513" s="47">
        <f>V3513</f>
        <v/>
      </c>
      <c r="X3513" s="47">
        <f>IF(GrossBasis="Wholesale",V3513,W3513)</f>
        <v/>
      </c>
      <c r="Y3513" s="47">
        <f>R3513*INDEX(FmtBlendedCogs,MATCH(F3513,FmtName,0))</f>
        <v/>
      </c>
      <c r="Z3513" s="47">
        <f>X3513-Y3513</f>
        <v/>
      </c>
    </row>
    <row r="3514">
      <c r="A3514" t="n">
        <v>15</v>
      </c>
      <c r="B3514" s="44">
        <f>FiscalStart+(A3514-1)*7</f>
        <v/>
      </c>
      <c r="C3514">
        <f>TEXT(B3514,"mmm yyyy")</f>
        <v/>
      </c>
      <c r="D3514">
        <f>"Q"&amp;(INT((A3514-1)/13)+1)</f>
        <v/>
      </c>
      <c r="E3514" t="inlineStr">
        <is>
          <t>Online</t>
        </is>
      </c>
      <c r="F3514">
        <f>IFERROR(INDEX(ChFormat,MATCH(E3514,ChName,0)),"")</f>
        <v/>
      </c>
      <c r="G3514" t="inlineStr">
        <is>
          <t>NB</t>
        </is>
      </c>
      <c r="H3514">
        <f>IF(A3514&lt;=NWeeks,1,0)</f>
        <v/>
      </c>
      <c r="I3514">
        <f>INDEX(ChLaunch,MATCH(E3514,ChName,0))</f>
        <v/>
      </c>
      <c r="J3514">
        <f>INDEX(ChWeeksFull,MATCH(E3514,ChName,0))</f>
        <v/>
      </c>
      <c r="K3514">
        <f>INDEX(ChRamp,MATCH(E3514,ChName,0))</f>
        <v/>
      </c>
      <c r="L3514" s="45">
        <f>MIN(1,MAX(0,(A3514-I3514+1)*RampSpeed/J3514))</f>
        <v/>
      </c>
      <c r="M3514" s="45">
        <f>IF(A3514&lt;I3514,0,IF(K3514="S-curve",L3514*L3514*(3-2*L3514),L3514))</f>
        <v/>
      </c>
      <c r="N3514" s="45">
        <f>1+(INDEX(SeasonIdx,A3514)-1)*SeasonAmp</f>
        <v/>
      </c>
      <c r="O3514" s="45">
        <f>IFERROR(INDEX(PSPct,MATCH(E3514&amp;"|"&amp;G3514,PSKey,0)),0)</f>
        <v/>
      </c>
      <c r="P3514" s="46" t="n">
        <v>0</v>
      </c>
      <c r="Q3514" s="46">
        <f>INDEX(OnlineUnitsCol,A3514)*O3514*(1+OnlineGrowth)*N3514*H3514*IF(A3514&gt;=I3514,1,0)</f>
        <v/>
      </c>
      <c r="R3514" s="46">
        <f>Q3514*INDEX(FmtCansPerPack,MATCH(F3514,FmtName,0))/INDEX(FmtCansPerCase,MATCH(F3514,FmtName,0))</f>
        <v/>
      </c>
      <c r="S3514" s="46">
        <f>R3514*INDEX(FmtCansPerCase,MATCH(F3514,FmtName,0))</f>
        <v/>
      </c>
      <c r="T3514" s="46">
        <f>S3514/INDEX(FmtCansPerPack,MATCH(F3514,FmtName,0))</f>
        <v/>
      </c>
      <c r="U3514" s="47">
        <f>INDEX(ProvOnline,MATCH(G3514,ProvCode,0))*(1+PriceIndex)</f>
        <v/>
      </c>
      <c r="V3514" s="47">
        <f>Q3514*U3514*INDEX(FmtBlendedPriceIdx,MATCH(F3514,FmtName,0))</f>
        <v/>
      </c>
      <c r="W3514" s="47">
        <f>V3514</f>
        <v/>
      </c>
      <c r="X3514" s="47">
        <f>IF(GrossBasis="Wholesale",V3514,W3514)</f>
        <v/>
      </c>
      <c r="Y3514" s="47">
        <f>R3514*INDEX(FmtBlendedCogs,MATCH(F3514,FmtName,0))</f>
        <v/>
      </c>
      <c r="Z3514" s="47">
        <f>X3514-Y3514</f>
        <v/>
      </c>
    </row>
    <row r="3515">
      <c r="A3515" t="n">
        <v>16</v>
      </c>
      <c r="B3515" s="44">
        <f>FiscalStart+(A3515-1)*7</f>
        <v/>
      </c>
      <c r="C3515">
        <f>TEXT(B3515,"mmm yyyy")</f>
        <v/>
      </c>
      <c r="D3515">
        <f>"Q"&amp;(INT((A3515-1)/13)+1)</f>
        <v/>
      </c>
      <c r="E3515" t="inlineStr">
        <is>
          <t>Online</t>
        </is>
      </c>
      <c r="F3515">
        <f>IFERROR(INDEX(ChFormat,MATCH(E3515,ChName,0)),"")</f>
        <v/>
      </c>
      <c r="G3515" t="inlineStr">
        <is>
          <t>NB</t>
        </is>
      </c>
      <c r="H3515">
        <f>IF(A3515&lt;=NWeeks,1,0)</f>
        <v/>
      </c>
      <c r="I3515">
        <f>INDEX(ChLaunch,MATCH(E3515,ChName,0))</f>
        <v/>
      </c>
      <c r="J3515">
        <f>INDEX(ChWeeksFull,MATCH(E3515,ChName,0))</f>
        <v/>
      </c>
      <c r="K3515">
        <f>INDEX(ChRamp,MATCH(E3515,ChName,0))</f>
        <v/>
      </c>
      <c r="L3515" s="45">
        <f>MIN(1,MAX(0,(A3515-I3515+1)*RampSpeed/J3515))</f>
        <v/>
      </c>
      <c r="M3515" s="45">
        <f>IF(A3515&lt;I3515,0,IF(K3515="S-curve",L3515*L3515*(3-2*L3515),L3515))</f>
        <v/>
      </c>
      <c r="N3515" s="45">
        <f>1+(INDEX(SeasonIdx,A3515)-1)*SeasonAmp</f>
        <v/>
      </c>
      <c r="O3515" s="45">
        <f>IFERROR(INDEX(PSPct,MATCH(E3515&amp;"|"&amp;G3515,PSKey,0)),0)</f>
        <v/>
      </c>
      <c r="P3515" s="46" t="n">
        <v>0</v>
      </c>
      <c r="Q3515" s="46">
        <f>INDEX(OnlineUnitsCol,A3515)*O3515*(1+OnlineGrowth)*N3515*H3515*IF(A3515&gt;=I3515,1,0)</f>
        <v/>
      </c>
      <c r="R3515" s="46">
        <f>Q3515*INDEX(FmtCansPerPack,MATCH(F3515,FmtName,0))/INDEX(FmtCansPerCase,MATCH(F3515,FmtName,0))</f>
        <v/>
      </c>
      <c r="S3515" s="46">
        <f>R3515*INDEX(FmtCansPerCase,MATCH(F3515,FmtName,0))</f>
        <v/>
      </c>
      <c r="T3515" s="46">
        <f>S3515/INDEX(FmtCansPerPack,MATCH(F3515,FmtName,0))</f>
        <v/>
      </c>
      <c r="U3515" s="47">
        <f>INDEX(ProvOnline,MATCH(G3515,ProvCode,0))*(1+PriceIndex)</f>
        <v/>
      </c>
      <c r="V3515" s="47">
        <f>Q3515*U3515*INDEX(FmtBlendedPriceIdx,MATCH(F3515,FmtName,0))</f>
        <v/>
      </c>
      <c r="W3515" s="47">
        <f>V3515</f>
        <v/>
      </c>
      <c r="X3515" s="47">
        <f>IF(GrossBasis="Wholesale",V3515,W3515)</f>
        <v/>
      </c>
      <c r="Y3515" s="47">
        <f>R3515*INDEX(FmtBlendedCogs,MATCH(F3515,FmtName,0))</f>
        <v/>
      </c>
      <c r="Z3515" s="47">
        <f>X3515-Y3515</f>
        <v/>
      </c>
    </row>
    <row r="3516">
      <c r="A3516" t="n">
        <v>17</v>
      </c>
      <c r="B3516" s="44">
        <f>FiscalStart+(A3516-1)*7</f>
        <v/>
      </c>
      <c r="C3516">
        <f>TEXT(B3516,"mmm yyyy")</f>
        <v/>
      </c>
      <c r="D3516">
        <f>"Q"&amp;(INT((A3516-1)/13)+1)</f>
        <v/>
      </c>
      <c r="E3516" t="inlineStr">
        <is>
          <t>Online</t>
        </is>
      </c>
      <c r="F3516">
        <f>IFERROR(INDEX(ChFormat,MATCH(E3516,ChName,0)),"")</f>
        <v/>
      </c>
      <c r="G3516" t="inlineStr">
        <is>
          <t>NB</t>
        </is>
      </c>
      <c r="H3516">
        <f>IF(A3516&lt;=NWeeks,1,0)</f>
        <v/>
      </c>
      <c r="I3516">
        <f>INDEX(ChLaunch,MATCH(E3516,ChName,0))</f>
        <v/>
      </c>
      <c r="J3516">
        <f>INDEX(ChWeeksFull,MATCH(E3516,ChName,0))</f>
        <v/>
      </c>
      <c r="K3516">
        <f>INDEX(ChRamp,MATCH(E3516,ChName,0))</f>
        <v/>
      </c>
      <c r="L3516" s="45">
        <f>MIN(1,MAX(0,(A3516-I3516+1)*RampSpeed/J3516))</f>
        <v/>
      </c>
      <c r="M3516" s="45">
        <f>IF(A3516&lt;I3516,0,IF(K3516="S-curve",L3516*L3516*(3-2*L3516),L3516))</f>
        <v/>
      </c>
      <c r="N3516" s="45">
        <f>1+(INDEX(SeasonIdx,A3516)-1)*SeasonAmp</f>
        <v/>
      </c>
      <c r="O3516" s="45">
        <f>IFERROR(INDEX(PSPct,MATCH(E3516&amp;"|"&amp;G3516,PSKey,0)),0)</f>
        <v/>
      </c>
      <c r="P3516" s="46" t="n">
        <v>0</v>
      </c>
      <c r="Q3516" s="46">
        <f>INDEX(OnlineUnitsCol,A3516)*O3516*(1+OnlineGrowth)*N3516*H3516*IF(A3516&gt;=I3516,1,0)</f>
        <v/>
      </c>
      <c r="R3516" s="46">
        <f>Q3516*INDEX(FmtCansPerPack,MATCH(F3516,FmtName,0))/INDEX(FmtCansPerCase,MATCH(F3516,FmtName,0))</f>
        <v/>
      </c>
      <c r="S3516" s="46">
        <f>R3516*INDEX(FmtCansPerCase,MATCH(F3516,FmtName,0))</f>
        <v/>
      </c>
      <c r="T3516" s="46">
        <f>S3516/INDEX(FmtCansPerPack,MATCH(F3516,FmtName,0))</f>
        <v/>
      </c>
      <c r="U3516" s="47">
        <f>INDEX(ProvOnline,MATCH(G3516,ProvCode,0))*(1+PriceIndex)</f>
        <v/>
      </c>
      <c r="V3516" s="47">
        <f>Q3516*U3516*INDEX(FmtBlendedPriceIdx,MATCH(F3516,FmtName,0))</f>
        <v/>
      </c>
      <c r="W3516" s="47">
        <f>V3516</f>
        <v/>
      </c>
      <c r="X3516" s="47">
        <f>IF(GrossBasis="Wholesale",V3516,W3516)</f>
        <v/>
      </c>
      <c r="Y3516" s="47">
        <f>R3516*INDEX(FmtBlendedCogs,MATCH(F3516,FmtName,0))</f>
        <v/>
      </c>
      <c r="Z3516" s="47">
        <f>X3516-Y3516</f>
        <v/>
      </c>
    </row>
    <row r="3517">
      <c r="A3517" t="n">
        <v>18</v>
      </c>
      <c r="B3517" s="44">
        <f>FiscalStart+(A3517-1)*7</f>
        <v/>
      </c>
      <c r="C3517">
        <f>TEXT(B3517,"mmm yyyy")</f>
        <v/>
      </c>
      <c r="D3517">
        <f>"Q"&amp;(INT((A3517-1)/13)+1)</f>
        <v/>
      </c>
      <c r="E3517" t="inlineStr">
        <is>
          <t>Online</t>
        </is>
      </c>
      <c r="F3517">
        <f>IFERROR(INDEX(ChFormat,MATCH(E3517,ChName,0)),"")</f>
        <v/>
      </c>
      <c r="G3517" t="inlineStr">
        <is>
          <t>NB</t>
        </is>
      </c>
      <c r="H3517">
        <f>IF(A3517&lt;=NWeeks,1,0)</f>
        <v/>
      </c>
      <c r="I3517">
        <f>INDEX(ChLaunch,MATCH(E3517,ChName,0))</f>
        <v/>
      </c>
      <c r="J3517">
        <f>INDEX(ChWeeksFull,MATCH(E3517,ChName,0))</f>
        <v/>
      </c>
      <c r="K3517">
        <f>INDEX(ChRamp,MATCH(E3517,ChName,0))</f>
        <v/>
      </c>
      <c r="L3517" s="45">
        <f>MIN(1,MAX(0,(A3517-I3517+1)*RampSpeed/J3517))</f>
        <v/>
      </c>
      <c r="M3517" s="45">
        <f>IF(A3517&lt;I3517,0,IF(K3517="S-curve",L3517*L3517*(3-2*L3517),L3517))</f>
        <v/>
      </c>
      <c r="N3517" s="45">
        <f>1+(INDEX(SeasonIdx,A3517)-1)*SeasonAmp</f>
        <v/>
      </c>
      <c r="O3517" s="45">
        <f>IFERROR(INDEX(PSPct,MATCH(E3517&amp;"|"&amp;G3517,PSKey,0)),0)</f>
        <v/>
      </c>
      <c r="P3517" s="46" t="n">
        <v>0</v>
      </c>
      <c r="Q3517" s="46">
        <f>INDEX(OnlineUnitsCol,A3517)*O3517*(1+OnlineGrowth)*N3517*H3517*IF(A3517&gt;=I3517,1,0)</f>
        <v/>
      </c>
      <c r="R3517" s="46">
        <f>Q3517*INDEX(FmtCansPerPack,MATCH(F3517,FmtName,0))/INDEX(FmtCansPerCase,MATCH(F3517,FmtName,0))</f>
        <v/>
      </c>
      <c r="S3517" s="46">
        <f>R3517*INDEX(FmtCansPerCase,MATCH(F3517,FmtName,0))</f>
        <v/>
      </c>
      <c r="T3517" s="46">
        <f>S3517/INDEX(FmtCansPerPack,MATCH(F3517,FmtName,0))</f>
        <v/>
      </c>
      <c r="U3517" s="47">
        <f>INDEX(ProvOnline,MATCH(G3517,ProvCode,0))*(1+PriceIndex)</f>
        <v/>
      </c>
      <c r="V3517" s="47">
        <f>Q3517*U3517*INDEX(FmtBlendedPriceIdx,MATCH(F3517,FmtName,0))</f>
        <v/>
      </c>
      <c r="W3517" s="47">
        <f>V3517</f>
        <v/>
      </c>
      <c r="X3517" s="47">
        <f>IF(GrossBasis="Wholesale",V3517,W3517)</f>
        <v/>
      </c>
      <c r="Y3517" s="47">
        <f>R3517*INDEX(FmtBlendedCogs,MATCH(F3517,FmtName,0))</f>
        <v/>
      </c>
      <c r="Z3517" s="47">
        <f>X3517-Y3517</f>
        <v/>
      </c>
    </row>
    <row r="3518">
      <c r="A3518" t="n">
        <v>19</v>
      </c>
      <c r="B3518" s="44">
        <f>FiscalStart+(A3518-1)*7</f>
        <v/>
      </c>
      <c r="C3518">
        <f>TEXT(B3518,"mmm yyyy")</f>
        <v/>
      </c>
      <c r="D3518">
        <f>"Q"&amp;(INT((A3518-1)/13)+1)</f>
        <v/>
      </c>
      <c r="E3518" t="inlineStr">
        <is>
          <t>Online</t>
        </is>
      </c>
      <c r="F3518">
        <f>IFERROR(INDEX(ChFormat,MATCH(E3518,ChName,0)),"")</f>
        <v/>
      </c>
      <c r="G3518" t="inlineStr">
        <is>
          <t>NB</t>
        </is>
      </c>
      <c r="H3518">
        <f>IF(A3518&lt;=NWeeks,1,0)</f>
        <v/>
      </c>
      <c r="I3518">
        <f>INDEX(ChLaunch,MATCH(E3518,ChName,0))</f>
        <v/>
      </c>
      <c r="J3518">
        <f>INDEX(ChWeeksFull,MATCH(E3518,ChName,0))</f>
        <v/>
      </c>
      <c r="K3518">
        <f>INDEX(ChRamp,MATCH(E3518,ChName,0))</f>
        <v/>
      </c>
      <c r="L3518" s="45">
        <f>MIN(1,MAX(0,(A3518-I3518+1)*RampSpeed/J3518))</f>
        <v/>
      </c>
      <c r="M3518" s="45">
        <f>IF(A3518&lt;I3518,0,IF(K3518="S-curve",L3518*L3518*(3-2*L3518),L3518))</f>
        <v/>
      </c>
      <c r="N3518" s="45">
        <f>1+(INDEX(SeasonIdx,A3518)-1)*SeasonAmp</f>
        <v/>
      </c>
      <c r="O3518" s="45">
        <f>IFERROR(INDEX(PSPct,MATCH(E3518&amp;"|"&amp;G3518,PSKey,0)),0)</f>
        <v/>
      </c>
      <c r="P3518" s="46" t="n">
        <v>0</v>
      </c>
      <c r="Q3518" s="46">
        <f>INDEX(OnlineUnitsCol,A3518)*O3518*(1+OnlineGrowth)*N3518*H3518*IF(A3518&gt;=I3518,1,0)</f>
        <v/>
      </c>
      <c r="R3518" s="46">
        <f>Q3518*INDEX(FmtCansPerPack,MATCH(F3518,FmtName,0))/INDEX(FmtCansPerCase,MATCH(F3518,FmtName,0))</f>
        <v/>
      </c>
      <c r="S3518" s="46">
        <f>R3518*INDEX(FmtCansPerCase,MATCH(F3518,FmtName,0))</f>
        <v/>
      </c>
      <c r="T3518" s="46">
        <f>S3518/INDEX(FmtCansPerPack,MATCH(F3518,FmtName,0))</f>
        <v/>
      </c>
      <c r="U3518" s="47">
        <f>INDEX(ProvOnline,MATCH(G3518,ProvCode,0))*(1+PriceIndex)</f>
        <v/>
      </c>
      <c r="V3518" s="47">
        <f>Q3518*U3518*INDEX(FmtBlendedPriceIdx,MATCH(F3518,FmtName,0))</f>
        <v/>
      </c>
      <c r="W3518" s="47">
        <f>V3518</f>
        <v/>
      </c>
      <c r="X3518" s="47">
        <f>IF(GrossBasis="Wholesale",V3518,W3518)</f>
        <v/>
      </c>
      <c r="Y3518" s="47">
        <f>R3518*INDEX(FmtBlendedCogs,MATCH(F3518,FmtName,0))</f>
        <v/>
      </c>
      <c r="Z3518" s="47">
        <f>X3518-Y3518</f>
        <v/>
      </c>
    </row>
    <row r="3519">
      <c r="A3519" t="n">
        <v>20</v>
      </c>
      <c r="B3519" s="44">
        <f>FiscalStart+(A3519-1)*7</f>
        <v/>
      </c>
      <c r="C3519">
        <f>TEXT(B3519,"mmm yyyy")</f>
        <v/>
      </c>
      <c r="D3519">
        <f>"Q"&amp;(INT((A3519-1)/13)+1)</f>
        <v/>
      </c>
      <c r="E3519" t="inlineStr">
        <is>
          <t>Online</t>
        </is>
      </c>
      <c r="F3519">
        <f>IFERROR(INDEX(ChFormat,MATCH(E3519,ChName,0)),"")</f>
        <v/>
      </c>
      <c r="G3519" t="inlineStr">
        <is>
          <t>NB</t>
        </is>
      </c>
      <c r="H3519">
        <f>IF(A3519&lt;=NWeeks,1,0)</f>
        <v/>
      </c>
      <c r="I3519">
        <f>INDEX(ChLaunch,MATCH(E3519,ChName,0))</f>
        <v/>
      </c>
      <c r="J3519">
        <f>INDEX(ChWeeksFull,MATCH(E3519,ChName,0))</f>
        <v/>
      </c>
      <c r="K3519">
        <f>INDEX(ChRamp,MATCH(E3519,ChName,0))</f>
        <v/>
      </c>
      <c r="L3519" s="45">
        <f>MIN(1,MAX(0,(A3519-I3519+1)*RampSpeed/J3519))</f>
        <v/>
      </c>
      <c r="M3519" s="45">
        <f>IF(A3519&lt;I3519,0,IF(K3519="S-curve",L3519*L3519*(3-2*L3519),L3519))</f>
        <v/>
      </c>
      <c r="N3519" s="45">
        <f>1+(INDEX(SeasonIdx,A3519)-1)*SeasonAmp</f>
        <v/>
      </c>
      <c r="O3519" s="45">
        <f>IFERROR(INDEX(PSPct,MATCH(E3519&amp;"|"&amp;G3519,PSKey,0)),0)</f>
        <v/>
      </c>
      <c r="P3519" s="46" t="n">
        <v>0</v>
      </c>
      <c r="Q3519" s="46">
        <f>INDEX(OnlineUnitsCol,A3519)*O3519*(1+OnlineGrowth)*N3519*H3519*IF(A3519&gt;=I3519,1,0)</f>
        <v/>
      </c>
      <c r="R3519" s="46">
        <f>Q3519*INDEX(FmtCansPerPack,MATCH(F3519,FmtName,0))/INDEX(FmtCansPerCase,MATCH(F3519,FmtName,0))</f>
        <v/>
      </c>
      <c r="S3519" s="46">
        <f>R3519*INDEX(FmtCansPerCase,MATCH(F3519,FmtName,0))</f>
        <v/>
      </c>
      <c r="T3519" s="46">
        <f>S3519/INDEX(FmtCansPerPack,MATCH(F3519,FmtName,0))</f>
        <v/>
      </c>
      <c r="U3519" s="47">
        <f>INDEX(ProvOnline,MATCH(G3519,ProvCode,0))*(1+PriceIndex)</f>
        <v/>
      </c>
      <c r="V3519" s="47">
        <f>Q3519*U3519*INDEX(FmtBlendedPriceIdx,MATCH(F3519,FmtName,0))</f>
        <v/>
      </c>
      <c r="W3519" s="47">
        <f>V3519</f>
        <v/>
      </c>
      <c r="X3519" s="47">
        <f>IF(GrossBasis="Wholesale",V3519,W3519)</f>
        <v/>
      </c>
      <c r="Y3519" s="47">
        <f>R3519*INDEX(FmtBlendedCogs,MATCH(F3519,FmtName,0))</f>
        <v/>
      </c>
      <c r="Z3519" s="47">
        <f>X3519-Y3519</f>
        <v/>
      </c>
    </row>
    <row r="3520">
      <c r="A3520" t="n">
        <v>21</v>
      </c>
      <c r="B3520" s="44">
        <f>FiscalStart+(A3520-1)*7</f>
        <v/>
      </c>
      <c r="C3520">
        <f>TEXT(B3520,"mmm yyyy")</f>
        <v/>
      </c>
      <c r="D3520">
        <f>"Q"&amp;(INT((A3520-1)/13)+1)</f>
        <v/>
      </c>
      <c r="E3520" t="inlineStr">
        <is>
          <t>Online</t>
        </is>
      </c>
      <c r="F3520">
        <f>IFERROR(INDEX(ChFormat,MATCH(E3520,ChName,0)),"")</f>
        <v/>
      </c>
      <c r="G3520" t="inlineStr">
        <is>
          <t>NB</t>
        </is>
      </c>
      <c r="H3520">
        <f>IF(A3520&lt;=NWeeks,1,0)</f>
        <v/>
      </c>
      <c r="I3520">
        <f>INDEX(ChLaunch,MATCH(E3520,ChName,0))</f>
        <v/>
      </c>
      <c r="J3520">
        <f>INDEX(ChWeeksFull,MATCH(E3520,ChName,0))</f>
        <v/>
      </c>
      <c r="K3520">
        <f>INDEX(ChRamp,MATCH(E3520,ChName,0))</f>
        <v/>
      </c>
      <c r="L3520" s="45">
        <f>MIN(1,MAX(0,(A3520-I3520+1)*RampSpeed/J3520))</f>
        <v/>
      </c>
      <c r="M3520" s="45">
        <f>IF(A3520&lt;I3520,0,IF(K3520="S-curve",L3520*L3520*(3-2*L3520),L3520))</f>
        <v/>
      </c>
      <c r="N3520" s="45">
        <f>1+(INDEX(SeasonIdx,A3520)-1)*SeasonAmp</f>
        <v/>
      </c>
      <c r="O3520" s="45">
        <f>IFERROR(INDEX(PSPct,MATCH(E3520&amp;"|"&amp;G3520,PSKey,0)),0)</f>
        <v/>
      </c>
      <c r="P3520" s="46" t="n">
        <v>0</v>
      </c>
      <c r="Q3520" s="46">
        <f>INDEX(OnlineUnitsCol,A3520)*O3520*(1+OnlineGrowth)*N3520*H3520*IF(A3520&gt;=I3520,1,0)</f>
        <v/>
      </c>
      <c r="R3520" s="46">
        <f>Q3520*INDEX(FmtCansPerPack,MATCH(F3520,FmtName,0))/INDEX(FmtCansPerCase,MATCH(F3520,FmtName,0))</f>
        <v/>
      </c>
      <c r="S3520" s="46">
        <f>R3520*INDEX(FmtCansPerCase,MATCH(F3520,FmtName,0))</f>
        <v/>
      </c>
      <c r="T3520" s="46">
        <f>S3520/INDEX(FmtCansPerPack,MATCH(F3520,FmtName,0))</f>
        <v/>
      </c>
      <c r="U3520" s="47">
        <f>INDEX(ProvOnline,MATCH(G3520,ProvCode,0))*(1+PriceIndex)</f>
        <v/>
      </c>
      <c r="V3520" s="47">
        <f>Q3520*U3520*INDEX(FmtBlendedPriceIdx,MATCH(F3520,FmtName,0))</f>
        <v/>
      </c>
      <c r="W3520" s="47">
        <f>V3520</f>
        <v/>
      </c>
      <c r="X3520" s="47">
        <f>IF(GrossBasis="Wholesale",V3520,W3520)</f>
        <v/>
      </c>
      <c r="Y3520" s="47">
        <f>R3520*INDEX(FmtBlendedCogs,MATCH(F3520,FmtName,0))</f>
        <v/>
      </c>
      <c r="Z3520" s="47">
        <f>X3520-Y3520</f>
        <v/>
      </c>
    </row>
    <row r="3521">
      <c r="A3521" t="n">
        <v>22</v>
      </c>
      <c r="B3521" s="44">
        <f>FiscalStart+(A3521-1)*7</f>
        <v/>
      </c>
      <c r="C3521">
        <f>TEXT(B3521,"mmm yyyy")</f>
        <v/>
      </c>
      <c r="D3521">
        <f>"Q"&amp;(INT((A3521-1)/13)+1)</f>
        <v/>
      </c>
      <c r="E3521" t="inlineStr">
        <is>
          <t>Online</t>
        </is>
      </c>
      <c r="F3521">
        <f>IFERROR(INDEX(ChFormat,MATCH(E3521,ChName,0)),"")</f>
        <v/>
      </c>
      <c r="G3521" t="inlineStr">
        <is>
          <t>NB</t>
        </is>
      </c>
      <c r="H3521">
        <f>IF(A3521&lt;=NWeeks,1,0)</f>
        <v/>
      </c>
      <c r="I3521">
        <f>INDEX(ChLaunch,MATCH(E3521,ChName,0))</f>
        <v/>
      </c>
      <c r="J3521">
        <f>INDEX(ChWeeksFull,MATCH(E3521,ChName,0))</f>
        <v/>
      </c>
      <c r="K3521">
        <f>INDEX(ChRamp,MATCH(E3521,ChName,0))</f>
        <v/>
      </c>
      <c r="L3521" s="45">
        <f>MIN(1,MAX(0,(A3521-I3521+1)*RampSpeed/J3521))</f>
        <v/>
      </c>
      <c r="M3521" s="45">
        <f>IF(A3521&lt;I3521,0,IF(K3521="S-curve",L3521*L3521*(3-2*L3521),L3521))</f>
        <v/>
      </c>
      <c r="N3521" s="45">
        <f>1+(INDEX(SeasonIdx,A3521)-1)*SeasonAmp</f>
        <v/>
      </c>
      <c r="O3521" s="45">
        <f>IFERROR(INDEX(PSPct,MATCH(E3521&amp;"|"&amp;G3521,PSKey,0)),0)</f>
        <v/>
      </c>
      <c r="P3521" s="46" t="n">
        <v>0</v>
      </c>
      <c r="Q3521" s="46">
        <f>INDEX(OnlineUnitsCol,A3521)*O3521*(1+OnlineGrowth)*N3521*H3521*IF(A3521&gt;=I3521,1,0)</f>
        <v/>
      </c>
      <c r="R3521" s="46">
        <f>Q3521*INDEX(FmtCansPerPack,MATCH(F3521,FmtName,0))/INDEX(FmtCansPerCase,MATCH(F3521,FmtName,0))</f>
        <v/>
      </c>
      <c r="S3521" s="46">
        <f>R3521*INDEX(FmtCansPerCase,MATCH(F3521,FmtName,0))</f>
        <v/>
      </c>
      <c r="T3521" s="46">
        <f>S3521/INDEX(FmtCansPerPack,MATCH(F3521,FmtName,0))</f>
        <v/>
      </c>
      <c r="U3521" s="47">
        <f>INDEX(ProvOnline,MATCH(G3521,ProvCode,0))*(1+PriceIndex)</f>
        <v/>
      </c>
      <c r="V3521" s="47">
        <f>Q3521*U3521*INDEX(FmtBlendedPriceIdx,MATCH(F3521,FmtName,0))</f>
        <v/>
      </c>
      <c r="W3521" s="47">
        <f>V3521</f>
        <v/>
      </c>
      <c r="X3521" s="47">
        <f>IF(GrossBasis="Wholesale",V3521,W3521)</f>
        <v/>
      </c>
      <c r="Y3521" s="47">
        <f>R3521*INDEX(FmtBlendedCogs,MATCH(F3521,FmtName,0))</f>
        <v/>
      </c>
      <c r="Z3521" s="47">
        <f>X3521-Y3521</f>
        <v/>
      </c>
    </row>
    <row r="3522">
      <c r="A3522" t="n">
        <v>23</v>
      </c>
      <c r="B3522" s="44">
        <f>FiscalStart+(A3522-1)*7</f>
        <v/>
      </c>
      <c r="C3522">
        <f>TEXT(B3522,"mmm yyyy")</f>
        <v/>
      </c>
      <c r="D3522">
        <f>"Q"&amp;(INT((A3522-1)/13)+1)</f>
        <v/>
      </c>
      <c r="E3522" t="inlineStr">
        <is>
          <t>Online</t>
        </is>
      </c>
      <c r="F3522">
        <f>IFERROR(INDEX(ChFormat,MATCH(E3522,ChName,0)),"")</f>
        <v/>
      </c>
      <c r="G3522" t="inlineStr">
        <is>
          <t>NB</t>
        </is>
      </c>
      <c r="H3522">
        <f>IF(A3522&lt;=NWeeks,1,0)</f>
        <v/>
      </c>
      <c r="I3522">
        <f>INDEX(ChLaunch,MATCH(E3522,ChName,0))</f>
        <v/>
      </c>
      <c r="J3522">
        <f>INDEX(ChWeeksFull,MATCH(E3522,ChName,0))</f>
        <v/>
      </c>
      <c r="K3522">
        <f>INDEX(ChRamp,MATCH(E3522,ChName,0))</f>
        <v/>
      </c>
      <c r="L3522" s="45">
        <f>MIN(1,MAX(0,(A3522-I3522+1)*RampSpeed/J3522))</f>
        <v/>
      </c>
      <c r="M3522" s="45">
        <f>IF(A3522&lt;I3522,0,IF(K3522="S-curve",L3522*L3522*(3-2*L3522),L3522))</f>
        <v/>
      </c>
      <c r="N3522" s="45">
        <f>1+(INDEX(SeasonIdx,A3522)-1)*SeasonAmp</f>
        <v/>
      </c>
      <c r="O3522" s="45">
        <f>IFERROR(INDEX(PSPct,MATCH(E3522&amp;"|"&amp;G3522,PSKey,0)),0)</f>
        <v/>
      </c>
      <c r="P3522" s="46" t="n">
        <v>0</v>
      </c>
      <c r="Q3522" s="46">
        <f>INDEX(OnlineUnitsCol,A3522)*O3522*(1+OnlineGrowth)*N3522*H3522*IF(A3522&gt;=I3522,1,0)</f>
        <v/>
      </c>
      <c r="R3522" s="46">
        <f>Q3522*INDEX(FmtCansPerPack,MATCH(F3522,FmtName,0))/INDEX(FmtCansPerCase,MATCH(F3522,FmtName,0))</f>
        <v/>
      </c>
      <c r="S3522" s="46">
        <f>R3522*INDEX(FmtCansPerCase,MATCH(F3522,FmtName,0))</f>
        <v/>
      </c>
      <c r="T3522" s="46">
        <f>S3522/INDEX(FmtCansPerPack,MATCH(F3522,FmtName,0))</f>
        <v/>
      </c>
      <c r="U3522" s="47">
        <f>INDEX(ProvOnline,MATCH(G3522,ProvCode,0))*(1+PriceIndex)</f>
        <v/>
      </c>
      <c r="V3522" s="47">
        <f>Q3522*U3522*INDEX(FmtBlendedPriceIdx,MATCH(F3522,FmtName,0))</f>
        <v/>
      </c>
      <c r="W3522" s="47">
        <f>V3522</f>
        <v/>
      </c>
      <c r="X3522" s="47">
        <f>IF(GrossBasis="Wholesale",V3522,W3522)</f>
        <v/>
      </c>
      <c r="Y3522" s="47">
        <f>R3522*INDEX(FmtBlendedCogs,MATCH(F3522,FmtName,0))</f>
        <v/>
      </c>
      <c r="Z3522" s="47">
        <f>X3522-Y3522</f>
        <v/>
      </c>
    </row>
    <row r="3523">
      <c r="A3523" t="n">
        <v>24</v>
      </c>
      <c r="B3523" s="44">
        <f>FiscalStart+(A3523-1)*7</f>
        <v/>
      </c>
      <c r="C3523">
        <f>TEXT(B3523,"mmm yyyy")</f>
        <v/>
      </c>
      <c r="D3523">
        <f>"Q"&amp;(INT((A3523-1)/13)+1)</f>
        <v/>
      </c>
      <c r="E3523" t="inlineStr">
        <is>
          <t>Online</t>
        </is>
      </c>
      <c r="F3523">
        <f>IFERROR(INDEX(ChFormat,MATCH(E3523,ChName,0)),"")</f>
        <v/>
      </c>
      <c r="G3523" t="inlineStr">
        <is>
          <t>NB</t>
        </is>
      </c>
      <c r="H3523">
        <f>IF(A3523&lt;=NWeeks,1,0)</f>
        <v/>
      </c>
      <c r="I3523">
        <f>INDEX(ChLaunch,MATCH(E3523,ChName,0))</f>
        <v/>
      </c>
      <c r="J3523">
        <f>INDEX(ChWeeksFull,MATCH(E3523,ChName,0))</f>
        <v/>
      </c>
      <c r="K3523">
        <f>INDEX(ChRamp,MATCH(E3523,ChName,0))</f>
        <v/>
      </c>
      <c r="L3523" s="45">
        <f>MIN(1,MAX(0,(A3523-I3523+1)*RampSpeed/J3523))</f>
        <v/>
      </c>
      <c r="M3523" s="45">
        <f>IF(A3523&lt;I3523,0,IF(K3523="S-curve",L3523*L3523*(3-2*L3523),L3523))</f>
        <v/>
      </c>
      <c r="N3523" s="45">
        <f>1+(INDEX(SeasonIdx,A3523)-1)*SeasonAmp</f>
        <v/>
      </c>
      <c r="O3523" s="45">
        <f>IFERROR(INDEX(PSPct,MATCH(E3523&amp;"|"&amp;G3523,PSKey,0)),0)</f>
        <v/>
      </c>
      <c r="P3523" s="46" t="n">
        <v>0</v>
      </c>
      <c r="Q3523" s="46">
        <f>INDEX(OnlineUnitsCol,A3523)*O3523*(1+OnlineGrowth)*N3523*H3523*IF(A3523&gt;=I3523,1,0)</f>
        <v/>
      </c>
      <c r="R3523" s="46">
        <f>Q3523*INDEX(FmtCansPerPack,MATCH(F3523,FmtName,0))/INDEX(FmtCansPerCase,MATCH(F3523,FmtName,0))</f>
        <v/>
      </c>
      <c r="S3523" s="46">
        <f>R3523*INDEX(FmtCansPerCase,MATCH(F3523,FmtName,0))</f>
        <v/>
      </c>
      <c r="T3523" s="46">
        <f>S3523/INDEX(FmtCansPerPack,MATCH(F3523,FmtName,0))</f>
        <v/>
      </c>
      <c r="U3523" s="47">
        <f>INDEX(ProvOnline,MATCH(G3523,ProvCode,0))*(1+PriceIndex)</f>
        <v/>
      </c>
      <c r="V3523" s="47">
        <f>Q3523*U3523*INDEX(FmtBlendedPriceIdx,MATCH(F3523,FmtName,0))</f>
        <v/>
      </c>
      <c r="W3523" s="47">
        <f>V3523</f>
        <v/>
      </c>
      <c r="X3523" s="47">
        <f>IF(GrossBasis="Wholesale",V3523,W3523)</f>
        <v/>
      </c>
      <c r="Y3523" s="47">
        <f>R3523*INDEX(FmtBlendedCogs,MATCH(F3523,FmtName,0))</f>
        <v/>
      </c>
      <c r="Z3523" s="47">
        <f>X3523-Y3523</f>
        <v/>
      </c>
    </row>
    <row r="3524">
      <c r="A3524" t="n">
        <v>25</v>
      </c>
      <c r="B3524" s="44">
        <f>FiscalStart+(A3524-1)*7</f>
        <v/>
      </c>
      <c r="C3524">
        <f>TEXT(B3524,"mmm yyyy")</f>
        <v/>
      </c>
      <c r="D3524">
        <f>"Q"&amp;(INT((A3524-1)/13)+1)</f>
        <v/>
      </c>
      <c r="E3524" t="inlineStr">
        <is>
          <t>Online</t>
        </is>
      </c>
      <c r="F3524">
        <f>IFERROR(INDEX(ChFormat,MATCH(E3524,ChName,0)),"")</f>
        <v/>
      </c>
      <c r="G3524" t="inlineStr">
        <is>
          <t>NB</t>
        </is>
      </c>
      <c r="H3524">
        <f>IF(A3524&lt;=NWeeks,1,0)</f>
        <v/>
      </c>
      <c r="I3524">
        <f>INDEX(ChLaunch,MATCH(E3524,ChName,0))</f>
        <v/>
      </c>
      <c r="J3524">
        <f>INDEX(ChWeeksFull,MATCH(E3524,ChName,0))</f>
        <v/>
      </c>
      <c r="K3524">
        <f>INDEX(ChRamp,MATCH(E3524,ChName,0))</f>
        <v/>
      </c>
      <c r="L3524" s="45">
        <f>MIN(1,MAX(0,(A3524-I3524+1)*RampSpeed/J3524))</f>
        <v/>
      </c>
      <c r="M3524" s="45">
        <f>IF(A3524&lt;I3524,0,IF(K3524="S-curve",L3524*L3524*(3-2*L3524),L3524))</f>
        <v/>
      </c>
      <c r="N3524" s="45">
        <f>1+(INDEX(SeasonIdx,A3524)-1)*SeasonAmp</f>
        <v/>
      </c>
      <c r="O3524" s="45">
        <f>IFERROR(INDEX(PSPct,MATCH(E3524&amp;"|"&amp;G3524,PSKey,0)),0)</f>
        <v/>
      </c>
      <c r="P3524" s="46" t="n">
        <v>0</v>
      </c>
      <c r="Q3524" s="46">
        <f>INDEX(OnlineUnitsCol,A3524)*O3524*(1+OnlineGrowth)*N3524*H3524*IF(A3524&gt;=I3524,1,0)</f>
        <v/>
      </c>
      <c r="R3524" s="46">
        <f>Q3524*INDEX(FmtCansPerPack,MATCH(F3524,FmtName,0))/INDEX(FmtCansPerCase,MATCH(F3524,FmtName,0))</f>
        <v/>
      </c>
      <c r="S3524" s="46">
        <f>R3524*INDEX(FmtCansPerCase,MATCH(F3524,FmtName,0))</f>
        <v/>
      </c>
      <c r="T3524" s="46">
        <f>S3524/INDEX(FmtCansPerPack,MATCH(F3524,FmtName,0))</f>
        <v/>
      </c>
      <c r="U3524" s="47">
        <f>INDEX(ProvOnline,MATCH(G3524,ProvCode,0))*(1+PriceIndex)</f>
        <v/>
      </c>
      <c r="V3524" s="47">
        <f>Q3524*U3524*INDEX(FmtBlendedPriceIdx,MATCH(F3524,FmtName,0))</f>
        <v/>
      </c>
      <c r="W3524" s="47">
        <f>V3524</f>
        <v/>
      </c>
      <c r="X3524" s="47">
        <f>IF(GrossBasis="Wholesale",V3524,W3524)</f>
        <v/>
      </c>
      <c r="Y3524" s="47">
        <f>R3524*INDEX(FmtBlendedCogs,MATCH(F3524,FmtName,0))</f>
        <v/>
      </c>
      <c r="Z3524" s="47">
        <f>X3524-Y3524</f>
        <v/>
      </c>
    </row>
    <row r="3525">
      <c r="A3525" t="n">
        <v>26</v>
      </c>
      <c r="B3525" s="44">
        <f>FiscalStart+(A3525-1)*7</f>
        <v/>
      </c>
      <c r="C3525">
        <f>TEXT(B3525,"mmm yyyy")</f>
        <v/>
      </c>
      <c r="D3525">
        <f>"Q"&amp;(INT((A3525-1)/13)+1)</f>
        <v/>
      </c>
      <c r="E3525" t="inlineStr">
        <is>
          <t>Online</t>
        </is>
      </c>
      <c r="F3525">
        <f>IFERROR(INDEX(ChFormat,MATCH(E3525,ChName,0)),"")</f>
        <v/>
      </c>
      <c r="G3525" t="inlineStr">
        <is>
          <t>NB</t>
        </is>
      </c>
      <c r="H3525">
        <f>IF(A3525&lt;=NWeeks,1,0)</f>
        <v/>
      </c>
      <c r="I3525">
        <f>INDEX(ChLaunch,MATCH(E3525,ChName,0))</f>
        <v/>
      </c>
      <c r="J3525">
        <f>INDEX(ChWeeksFull,MATCH(E3525,ChName,0))</f>
        <v/>
      </c>
      <c r="K3525">
        <f>INDEX(ChRamp,MATCH(E3525,ChName,0))</f>
        <v/>
      </c>
      <c r="L3525" s="45">
        <f>MIN(1,MAX(0,(A3525-I3525+1)*RampSpeed/J3525))</f>
        <v/>
      </c>
      <c r="M3525" s="45">
        <f>IF(A3525&lt;I3525,0,IF(K3525="S-curve",L3525*L3525*(3-2*L3525),L3525))</f>
        <v/>
      </c>
      <c r="N3525" s="45">
        <f>1+(INDEX(SeasonIdx,A3525)-1)*SeasonAmp</f>
        <v/>
      </c>
      <c r="O3525" s="45">
        <f>IFERROR(INDEX(PSPct,MATCH(E3525&amp;"|"&amp;G3525,PSKey,0)),0)</f>
        <v/>
      </c>
      <c r="P3525" s="46" t="n">
        <v>0</v>
      </c>
      <c r="Q3525" s="46">
        <f>INDEX(OnlineUnitsCol,A3525)*O3525*(1+OnlineGrowth)*N3525*H3525*IF(A3525&gt;=I3525,1,0)</f>
        <v/>
      </c>
      <c r="R3525" s="46">
        <f>Q3525*INDEX(FmtCansPerPack,MATCH(F3525,FmtName,0))/INDEX(FmtCansPerCase,MATCH(F3525,FmtName,0))</f>
        <v/>
      </c>
      <c r="S3525" s="46">
        <f>R3525*INDEX(FmtCansPerCase,MATCH(F3525,FmtName,0))</f>
        <v/>
      </c>
      <c r="T3525" s="46">
        <f>S3525/INDEX(FmtCansPerPack,MATCH(F3525,FmtName,0))</f>
        <v/>
      </c>
      <c r="U3525" s="47">
        <f>INDEX(ProvOnline,MATCH(G3525,ProvCode,0))*(1+PriceIndex)</f>
        <v/>
      </c>
      <c r="V3525" s="47">
        <f>Q3525*U3525*INDEX(FmtBlendedPriceIdx,MATCH(F3525,FmtName,0))</f>
        <v/>
      </c>
      <c r="W3525" s="47">
        <f>V3525</f>
        <v/>
      </c>
      <c r="X3525" s="47">
        <f>IF(GrossBasis="Wholesale",V3525,W3525)</f>
        <v/>
      </c>
      <c r="Y3525" s="47">
        <f>R3525*INDEX(FmtBlendedCogs,MATCH(F3525,FmtName,0))</f>
        <v/>
      </c>
      <c r="Z3525" s="47">
        <f>X3525-Y3525</f>
        <v/>
      </c>
    </row>
    <row r="3526">
      <c r="A3526" t="n">
        <v>27</v>
      </c>
      <c r="B3526" s="44">
        <f>FiscalStart+(A3526-1)*7</f>
        <v/>
      </c>
      <c r="C3526">
        <f>TEXT(B3526,"mmm yyyy")</f>
        <v/>
      </c>
      <c r="D3526">
        <f>"Q"&amp;(INT((A3526-1)/13)+1)</f>
        <v/>
      </c>
      <c r="E3526" t="inlineStr">
        <is>
          <t>Online</t>
        </is>
      </c>
      <c r="F3526">
        <f>IFERROR(INDEX(ChFormat,MATCH(E3526,ChName,0)),"")</f>
        <v/>
      </c>
      <c r="G3526" t="inlineStr">
        <is>
          <t>NB</t>
        </is>
      </c>
      <c r="H3526">
        <f>IF(A3526&lt;=NWeeks,1,0)</f>
        <v/>
      </c>
      <c r="I3526">
        <f>INDEX(ChLaunch,MATCH(E3526,ChName,0))</f>
        <v/>
      </c>
      <c r="J3526">
        <f>INDEX(ChWeeksFull,MATCH(E3526,ChName,0))</f>
        <v/>
      </c>
      <c r="K3526">
        <f>INDEX(ChRamp,MATCH(E3526,ChName,0))</f>
        <v/>
      </c>
      <c r="L3526" s="45">
        <f>MIN(1,MAX(0,(A3526-I3526+1)*RampSpeed/J3526))</f>
        <v/>
      </c>
      <c r="M3526" s="45">
        <f>IF(A3526&lt;I3526,0,IF(K3526="S-curve",L3526*L3526*(3-2*L3526),L3526))</f>
        <v/>
      </c>
      <c r="N3526" s="45">
        <f>1+(INDEX(SeasonIdx,A3526)-1)*SeasonAmp</f>
        <v/>
      </c>
      <c r="O3526" s="45">
        <f>IFERROR(INDEX(PSPct,MATCH(E3526&amp;"|"&amp;G3526,PSKey,0)),0)</f>
        <v/>
      </c>
      <c r="P3526" s="46" t="n">
        <v>0</v>
      </c>
      <c r="Q3526" s="46">
        <f>INDEX(OnlineUnitsCol,A3526)*O3526*(1+OnlineGrowth)*N3526*H3526*IF(A3526&gt;=I3526,1,0)</f>
        <v/>
      </c>
      <c r="R3526" s="46">
        <f>Q3526*INDEX(FmtCansPerPack,MATCH(F3526,FmtName,0))/INDEX(FmtCansPerCase,MATCH(F3526,FmtName,0))</f>
        <v/>
      </c>
      <c r="S3526" s="46">
        <f>R3526*INDEX(FmtCansPerCase,MATCH(F3526,FmtName,0))</f>
        <v/>
      </c>
      <c r="T3526" s="46">
        <f>S3526/INDEX(FmtCansPerPack,MATCH(F3526,FmtName,0))</f>
        <v/>
      </c>
      <c r="U3526" s="47">
        <f>INDEX(ProvOnline,MATCH(G3526,ProvCode,0))*(1+PriceIndex)</f>
        <v/>
      </c>
      <c r="V3526" s="47">
        <f>Q3526*U3526*INDEX(FmtBlendedPriceIdx,MATCH(F3526,FmtName,0))</f>
        <v/>
      </c>
      <c r="W3526" s="47">
        <f>V3526</f>
        <v/>
      </c>
      <c r="X3526" s="47">
        <f>IF(GrossBasis="Wholesale",V3526,W3526)</f>
        <v/>
      </c>
      <c r="Y3526" s="47">
        <f>R3526*INDEX(FmtBlendedCogs,MATCH(F3526,FmtName,0))</f>
        <v/>
      </c>
      <c r="Z3526" s="47">
        <f>X3526-Y3526</f>
        <v/>
      </c>
    </row>
    <row r="3527">
      <c r="A3527" t="n">
        <v>28</v>
      </c>
      <c r="B3527" s="44">
        <f>FiscalStart+(A3527-1)*7</f>
        <v/>
      </c>
      <c r="C3527">
        <f>TEXT(B3527,"mmm yyyy")</f>
        <v/>
      </c>
      <c r="D3527">
        <f>"Q"&amp;(INT((A3527-1)/13)+1)</f>
        <v/>
      </c>
      <c r="E3527" t="inlineStr">
        <is>
          <t>Online</t>
        </is>
      </c>
      <c r="F3527">
        <f>IFERROR(INDEX(ChFormat,MATCH(E3527,ChName,0)),"")</f>
        <v/>
      </c>
      <c r="G3527" t="inlineStr">
        <is>
          <t>NB</t>
        </is>
      </c>
      <c r="H3527">
        <f>IF(A3527&lt;=NWeeks,1,0)</f>
        <v/>
      </c>
      <c r="I3527">
        <f>INDEX(ChLaunch,MATCH(E3527,ChName,0))</f>
        <v/>
      </c>
      <c r="J3527">
        <f>INDEX(ChWeeksFull,MATCH(E3527,ChName,0))</f>
        <v/>
      </c>
      <c r="K3527">
        <f>INDEX(ChRamp,MATCH(E3527,ChName,0))</f>
        <v/>
      </c>
      <c r="L3527" s="45">
        <f>MIN(1,MAX(0,(A3527-I3527+1)*RampSpeed/J3527))</f>
        <v/>
      </c>
      <c r="M3527" s="45">
        <f>IF(A3527&lt;I3527,0,IF(K3527="S-curve",L3527*L3527*(3-2*L3527),L3527))</f>
        <v/>
      </c>
      <c r="N3527" s="45">
        <f>1+(INDEX(SeasonIdx,A3527)-1)*SeasonAmp</f>
        <v/>
      </c>
      <c r="O3527" s="45">
        <f>IFERROR(INDEX(PSPct,MATCH(E3527&amp;"|"&amp;G3527,PSKey,0)),0)</f>
        <v/>
      </c>
      <c r="P3527" s="46" t="n">
        <v>0</v>
      </c>
      <c r="Q3527" s="46">
        <f>INDEX(OnlineUnitsCol,A3527)*O3527*(1+OnlineGrowth)*N3527*H3527*IF(A3527&gt;=I3527,1,0)</f>
        <v/>
      </c>
      <c r="R3527" s="46">
        <f>Q3527*INDEX(FmtCansPerPack,MATCH(F3527,FmtName,0))/INDEX(FmtCansPerCase,MATCH(F3527,FmtName,0))</f>
        <v/>
      </c>
      <c r="S3527" s="46">
        <f>R3527*INDEX(FmtCansPerCase,MATCH(F3527,FmtName,0))</f>
        <v/>
      </c>
      <c r="T3527" s="46">
        <f>S3527/INDEX(FmtCansPerPack,MATCH(F3527,FmtName,0))</f>
        <v/>
      </c>
      <c r="U3527" s="47">
        <f>INDEX(ProvOnline,MATCH(G3527,ProvCode,0))*(1+PriceIndex)</f>
        <v/>
      </c>
      <c r="V3527" s="47">
        <f>Q3527*U3527*INDEX(FmtBlendedPriceIdx,MATCH(F3527,FmtName,0))</f>
        <v/>
      </c>
      <c r="W3527" s="47">
        <f>V3527</f>
        <v/>
      </c>
      <c r="X3527" s="47">
        <f>IF(GrossBasis="Wholesale",V3527,W3527)</f>
        <v/>
      </c>
      <c r="Y3527" s="47">
        <f>R3527*INDEX(FmtBlendedCogs,MATCH(F3527,FmtName,0))</f>
        <v/>
      </c>
      <c r="Z3527" s="47">
        <f>X3527-Y3527</f>
        <v/>
      </c>
    </row>
    <row r="3528">
      <c r="A3528" t="n">
        <v>29</v>
      </c>
      <c r="B3528" s="44">
        <f>FiscalStart+(A3528-1)*7</f>
        <v/>
      </c>
      <c r="C3528">
        <f>TEXT(B3528,"mmm yyyy")</f>
        <v/>
      </c>
      <c r="D3528">
        <f>"Q"&amp;(INT((A3528-1)/13)+1)</f>
        <v/>
      </c>
      <c r="E3528" t="inlineStr">
        <is>
          <t>Online</t>
        </is>
      </c>
      <c r="F3528">
        <f>IFERROR(INDEX(ChFormat,MATCH(E3528,ChName,0)),"")</f>
        <v/>
      </c>
      <c r="G3528" t="inlineStr">
        <is>
          <t>NB</t>
        </is>
      </c>
      <c r="H3528">
        <f>IF(A3528&lt;=NWeeks,1,0)</f>
        <v/>
      </c>
      <c r="I3528">
        <f>INDEX(ChLaunch,MATCH(E3528,ChName,0))</f>
        <v/>
      </c>
      <c r="J3528">
        <f>INDEX(ChWeeksFull,MATCH(E3528,ChName,0))</f>
        <v/>
      </c>
      <c r="K3528">
        <f>INDEX(ChRamp,MATCH(E3528,ChName,0))</f>
        <v/>
      </c>
      <c r="L3528" s="45">
        <f>MIN(1,MAX(0,(A3528-I3528+1)*RampSpeed/J3528))</f>
        <v/>
      </c>
      <c r="M3528" s="45">
        <f>IF(A3528&lt;I3528,0,IF(K3528="S-curve",L3528*L3528*(3-2*L3528),L3528))</f>
        <v/>
      </c>
      <c r="N3528" s="45">
        <f>1+(INDEX(SeasonIdx,A3528)-1)*SeasonAmp</f>
        <v/>
      </c>
      <c r="O3528" s="45">
        <f>IFERROR(INDEX(PSPct,MATCH(E3528&amp;"|"&amp;G3528,PSKey,0)),0)</f>
        <v/>
      </c>
      <c r="P3528" s="46" t="n">
        <v>0</v>
      </c>
      <c r="Q3528" s="46">
        <f>INDEX(OnlineUnitsCol,A3528)*O3528*(1+OnlineGrowth)*N3528*H3528*IF(A3528&gt;=I3528,1,0)</f>
        <v/>
      </c>
      <c r="R3528" s="46">
        <f>Q3528*INDEX(FmtCansPerPack,MATCH(F3528,FmtName,0))/INDEX(FmtCansPerCase,MATCH(F3528,FmtName,0))</f>
        <v/>
      </c>
      <c r="S3528" s="46">
        <f>R3528*INDEX(FmtCansPerCase,MATCH(F3528,FmtName,0))</f>
        <v/>
      </c>
      <c r="T3528" s="46">
        <f>S3528/INDEX(FmtCansPerPack,MATCH(F3528,FmtName,0))</f>
        <v/>
      </c>
      <c r="U3528" s="47">
        <f>INDEX(ProvOnline,MATCH(G3528,ProvCode,0))*(1+PriceIndex)</f>
        <v/>
      </c>
      <c r="V3528" s="47">
        <f>Q3528*U3528*INDEX(FmtBlendedPriceIdx,MATCH(F3528,FmtName,0))</f>
        <v/>
      </c>
      <c r="W3528" s="47">
        <f>V3528</f>
        <v/>
      </c>
      <c r="X3528" s="47">
        <f>IF(GrossBasis="Wholesale",V3528,W3528)</f>
        <v/>
      </c>
      <c r="Y3528" s="47">
        <f>R3528*INDEX(FmtBlendedCogs,MATCH(F3528,FmtName,0))</f>
        <v/>
      </c>
      <c r="Z3528" s="47">
        <f>X3528-Y3528</f>
        <v/>
      </c>
    </row>
    <row r="3529">
      <c r="A3529" t="n">
        <v>30</v>
      </c>
      <c r="B3529" s="44">
        <f>FiscalStart+(A3529-1)*7</f>
        <v/>
      </c>
      <c r="C3529">
        <f>TEXT(B3529,"mmm yyyy")</f>
        <v/>
      </c>
      <c r="D3529">
        <f>"Q"&amp;(INT((A3529-1)/13)+1)</f>
        <v/>
      </c>
      <c r="E3529" t="inlineStr">
        <is>
          <t>Online</t>
        </is>
      </c>
      <c r="F3529">
        <f>IFERROR(INDEX(ChFormat,MATCH(E3529,ChName,0)),"")</f>
        <v/>
      </c>
      <c r="G3529" t="inlineStr">
        <is>
          <t>NB</t>
        </is>
      </c>
      <c r="H3529">
        <f>IF(A3529&lt;=NWeeks,1,0)</f>
        <v/>
      </c>
      <c r="I3529">
        <f>INDEX(ChLaunch,MATCH(E3529,ChName,0))</f>
        <v/>
      </c>
      <c r="J3529">
        <f>INDEX(ChWeeksFull,MATCH(E3529,ChName,0))</f>
        <v/>
      </c>
      <c r="K3529">
        <f>INDEX(ChRamp,MATCH(E3529,ChName,0))</f>
        <v/>
      </c>
      <c r="L3529" s="45">
        <f>MIN(1,MAX(0,(A3529-I3529+1)*RampSpeed/J3529))</f>
        <v/>
      </c>
      <c r="M3529" s="45">
        <f>IF(A3529&lt;I3529,0,IF(K3529="S-curve",L3529*L3529*(3-2*L3529),L3529))</f>
        <v/>
      </c>
      <c r="N3529" s="45">
        <f>1+(INDEX(SeasonIdx,A3529)-1)*SeasonAmp</f>
        <v/>
      </c>
      <c r="O3529" s="45">
        <f>IFERROR(INDEX(PSPct,MATCH(E3529&amp;"|"&amp;G3529,PSKey,0)),0)</f>
        <v/>
      </c>
      <c r="P3529" s="46" t="n">
        <v>0</v>
      </c>
      <c r="Q3529" s="46">
        <f>INDEX(OnlineUnitsCol,A3529)*O3529*(1+OnlineGrowth)*N3529*H3529*IF(A3529&gt;=I3529,1,0)</f>
        <v/>
      </c>
      <c r="R3529" s="46">
        <f>Q3529*INDEX(FmtCansPerPack,MATCH(F3529,FmtName,0))/INDEX(FmtCansPerCase,MATCH(F3529,FmtName,0))</f>
        <v/>
      </c>
      <c r="S3529" s="46">
        <f>R3529*INDEX(FmtCansPerCase,MATCH(F3529,FmtName,0))</f>
        <v/>
      </c>
      <c r="T3529" s="46">
        <f>S3529/INDEX(FmtCansPerPack,MATCH(F3529,FmtName,0))</f>
        <v/>
      </c>
      <c r="U3529" s="47">
        <f>INDEX(ProvOnline,MATCH(G3529,ProvCode,0))*(1+PriceIndex)</f>
        <v/>
      </c>
      <c r="V3529" s="47">
        <f>Q3529*U3529*INDEX(FmtBlendedPriceIdx,MATCH(F3529,FmtName,0))</f>
        <v/>
      </c>
      <c r="W3529" s="47">
        <f>V3529</f>
        <v/>
      </c>
      <c r="X3529" s="47">
        <f>IF(GrossBasis="Wholesale",V3529,W3529)</f>
        <v/>
      </c>
      <c r="Y3529" s="47">
        <f>R3529*INDEX(FmtBlendedCogs,MATCH(F3529,FmtName,0))</f>
        <v/>
      </c>
      <c r="Z3529" s="47">
        <f>X3529-Y3529</f>
        <v/>
      </c>
    </row>
    <row r="3530">
      <c r="A3530" t="n">
        <v>31</v>
      </c>
      <c r="B3530" s="44">
        <f>FiscalStart+(A3530-1)*7</f>
        <v/>
      </c>
      <c r="C3530">
        <f>TEXT(B3530,"mmm yyyy")</f>
        <v/>
      </c>
      <c r="D3530">
        <f>"Q"&amp;(INT((A3530-1)/13)+1)</f>
        <v/>
      </c>
      <c r="E3530" t="inlineStr">
        <is>
          <t>Online</t>
        </is>
      </c>
      <c r="F3530">
        <f>IFERROR(INDEX(ChFormat,MATCH(E3530,ChName,0)),"")</f>
        <v/>
      </c>
      <c r="G3530" t="inlineStr">
        <is>
          <t>NB</t>
        </is>
      </c>
      <c r="H3530">
        <f>IF(A3530&lt;=NWeeks,1,0)</f>
        <v/>
      </c>
      <c r="I3530">
        <f>INDEX(ChLaunch,MATCH(E3530,ChName,0))</f>
        <v/>
      </c>
      <c r="J3530">
        <f>INDEX(ChWeeksFull,MATCH(E3530,ChName,0))</f>
        <v/>
      </c>
      <c r="K3530">
        <f>INDEX(ChRamp,MATCH(E3530,ChName,0))</f>
        <v/>
      </c>
      <c r="L3530" s="45">
        <f>MIN(1,MAX(0,(A3530-I3530+1)*RampSpeed/J3530))</f>
        <v/>
      </c>
      <c r="M3530" s="45">
        <f>IF(A3530&lt;I3530,0,IF(K3530="S-curve",L3530*L3530*(3-2*L3530),L3530))</f>
        <v/>
      </c>
      <c r="N3530" s="45">
        <f>1+(INDEX(SeasonIdx,A3530)-1)*SeasonAmp</f>
        <v/>
      </c>
      <c r="O3530" s="45">
        <f>IFERROR(INDEX(PSPct,MATCH(E3530&amp;"|"&amp;G3530,PSKey,0)),0)</f>
        <v/>
      </c>
      <c r="P3530" s="46" t="n">
        <v>0</v>
      </c>
      <c r="Q3530" s="46">
        <f>INDEX(OnlineUnitsCol,A3530)*O3530*(1+OnlineGrowth)*N3530*H3530*IF(A3530&gt;=I3530,1,0)</f>
        <v/>
      </c>
      <c r="R3530" s="46">
        <f>Q3530*INDEX(FmtCansPerPack,MATCH(F3530,FmtName,0))/INDEX(FmtCansPerCase,MATCH(F3530,FmtName,0))</f>
        <v/>
      </c>
      <c r="S3530" s="46">
        <f>R3530*INDEX(FmtCansPerCase,MATCH(F3530,FmtName,0))</f>
        <v/>
      </c>
      <c r="T3530" s="46">
        <f>S3530/INDEX(FmtCansPerPack,MATCH(F3530,FmtName,0))</f>
        <v/>
      </c>
      <c r="U3530" s="47">
        <f>INDEX(ProvOnline,MATCH(G3530,ProvCode,0))*(1+PriceIndex)</f>
        <v/>
      </c>
      <c r="V3530" s="47">
        <f>Q3530*U3530*INDEX(FmtBlendedPriceIdx,MATCH(F3530,FmtName,0))</f>
        <v/>
      </c>
      <c r="W3530" s="47">
        <f>V3530</f>
        <v/>
      </c>
      <c r="X3530" s="47">
        <f>IF(GrossBasis="Wholesale",V3530,W3530)</f>
        <v/>
      </c>
      <c r="Y3530" s="47">
        <f>R3530*INDEX(FmtBlendedCogs,MATCH(F3530,FmtName,0))</f>
        <v/>
      </c>
      <c r="Z3530" s="47">
        <f>X3530-Y3530</f>
        <v/>
      </c>
    </row>
    <row r="3531">
      <c r="A3531" t="n">
        <v>32</v>
      </c>
      <c r="B3531" s="44">
        <f>FiscalStart+(A3531-1)*7</f>
        <v/>
      </c>
      <c r="C3531">
        <f>TEXT(B3531,"mmm yyyy")</f>
        <v/>
      </c>
      <c r="D3531">
        <f>"Q"&amp;(INT((A3531-1)/13)+1)</f>
        <v/>
      </c>
      <c r="E3531" t="inlineStr">
        <is>
          <t>Online</t>
        </is>
      </c>
      <c r="F3531">
        <f>IFERROR(INDEX(ChFormat,MATCH(E3531,ChName,0)),"")</f>
        <v/>
      </c>
      <c r="G3531" t="inlineStr">
        <is>
          <t>NB</t>
        </is>
      </c>
      <c r="H3531">
        <f>IF(A3531&lt;=NWeeks,1,0)</f>
        <v/>
      </c>
      <c r="I3531">
        <f>INDEX(ChLaunch,MATCH(E3531,ChName,0))</f>
        <v/>
      </c>
      <c r="J3531">
        <f>INDEX(ChWeeksFull,MATCH(E3531,ChName,0))</f>
        <v/>
      </c>
      <c r="K3531">
        <f>INDEX(ChRamp,MATCH(E3531,ChName,0))</f>
        <v/>
      </c>
      <c r="L3531" s="45">
        <f>MIN(1,MAX(0,(A3531-I3531+1)*RampSpeed/J3531))</f>
        <v/>
      </c>
      <c r="M3531" s="45">
        <f>IF(A3531&lt;I3531,0,IF(K3531="S-curve",L3531*L3531*(3-2*L3531),L3531))</f>
        <v/>
      </c>
      <c r="N3531" s="45">
        <f>1+(INDEX(SeasonIdx,A3531)-1)*SeasonAmp</f>
        <v/>
      </c>
      <c r="O3531" s="45">
        <f>IFERROR(INDEX(PSPct,MATCH(E3531&amp;"|"&amp;G3531,PSKey,0)),0)</f>
        <v/>
      </c>
      <c r="P3531" s="46" t="n">
        <v>0</v>
      </c>
      <c r="Q3531" s="46">
        <f>INDEX(OnlineUnitsCol,A3531)*O3531*(1+OnlineGrowth)*N3531*H3531*IF(A3531&gt;=I3531,1,0)</f>
        <v/>
      </c>
      <c r="R3531" s="46">
        <f>Q3531*INDEX(FmtCansPerPack,MATCH(F3531,FmtName,0))/INDEX(FmtCansPerCase,MATCH(F3531,FmtName,0))</f>
        <v/>
      </c>
      <c r="S3531" s="46">
        <f>R3531*INDEX(FmtCansPerCase,MATCH(F3531,FmtName,0))</f>
        <v/>
      </c>
      <c r="T3531" s="46">
        <f>S3531/INDEX(FmtCansPerPack,MATCH(F3531,FmtName,0))</f>
        <v/>
      </c>
      <c r="U3531" s="47">
        <f>INDEX(ProvOnline,MATCH(G3531,ProvCode,0))*(1+PriceIndex)</f>
        <v/>
      </c>
      <c r="V3531" s="47">
        <f>Q3531*U3531*INDEX(FmtBlendedPriceIdx,MATCH(F3531,FmtName,0))</f>
        <v/>
      </c>
      <c r="W3531" s="47">
        <f>V3531</f>
        <v/>
      </c>
      <c r="X3531" s="47">
        <f>IF(GrossBasis="Wholesale",V3531,W3531)</f>
        <v/>
      </c>
      <c r="Y3531" s="47">
        <f>R3531*INDEX(FmtBlendedCogs,MATCH(F3531,FmtName,0))</f>
        <v/>
      </c>
      <c r="Z3531" s="47">
        <f>X3531-Y3531</f>
        <v/>
      </c>
    </row>
    <row r="3532">
      <c r="A3532" t="n">
        <v>33</v>
      </c>
      <c r="B3532" s="44">
        <f>FiscalStart+(A3532-1)*7</f>
        <v/>
      </c>
      <c r="C3532">
        <f>TEXT(B3532,"mmm yyyy")</f>
        <v/>
      </c>
      <c r="D3532">
        <f>"Q"&amp;(INT((A3532-1)/13)+1)</f>
        <v/>
      </c>
      <c r="E3532" t="inlineStr">
        <is>
          <t>Online</t>
        </is>
      </c>
      <c r="F3532">
        <f>IFERROR(INDEX(ChFormat,MATCH(E3532,ChName,0)),"")</f>
        <v/>
      </c>
      <c r="G3532" t="inlineStr">
        <is>
          <t>NB</t>
        </is>
      </c>
      <c r="H3532">
        <f>IF(A3532&lt;=NWeeks,1,0)</f>
        <v/>
      </c>
      <c r="I3532">
        <f>INDEX(ChLaunch,MATCH(E3532,ChName,0))</f>
        <v/>
      </c>
      <c r="J3532">
        <f>INDEX(ChWeeksFull,MATCH(E3532,ChName,0))</f>
        <v/>
      </c>
      <c r="K3532">
        <f>INDEX(ChRamp,MATCH(E3532,ChName,0))</f>
        <v/>
      </c>
      <c r="L3532" s="45">
        <f>MIN(1,MAX(0,(A3532-I3532+1)*RampSpeed/J3532))</f>
        <v/>
      </c>
      <c r="M3532" s="45">
        <f>IF(A3532&lt;I3532,0,IF(K3532="S-curve",L3532*L3532*(3-2*L3532),L3532))</f>
        <v/>
      </c>
      <c r="N3532" s="45">
        <f>1+(INDEX(SeasonIdx,A3532)-1)*SeasonAmp</f>
        <v/>
      </c>
      <c r="O3532" s="45">
        <f>IFERROR(INDEX(PSPct,MATCH(E3532&amp;"|"&amp;G3532,PSKey,0)),0)</f>
        <v/>
      </c>
      <c r="P3532" s="46" t="n">
        <v>0</v>
      </c>
      <c r="Q3532" s="46">
        <f>INDEX(OnlineUnitsCol,A3532)*O3532*(1+OnlineGrowth)*N3532*H3532*IF(A3532&gt;=I3532,1,0)</f>
        <v/>
      </c>
      <c r="R3532" s="46">
        <f>Q3532*INDEX(FmtCansPerPack,MATCH(F3532,FmtName,0))/INDEX(FmtCansPerCase,MATCH(F3532,FmtName,0))</f>
        <v/>
      </c>
      <c r="S3532" s="46">
        <f>R3532*INDEX(FmtCansPerCase,MATCH(F3532,FmtName,0))</f>
        <v/>
      </c>
      <c r="T3532" s="46">
        <f>S3532/INDEX(FmtCansPerPack,MATCH(F3532,FmtName,0))</f>
        <v/>
      </c>
      <c r="U3532" s="47">
        <f>INDEX(ProvOnline,MATCH(G3532,ProvCode,0))*(1+PriceIndex)</f>
        <v/>
      </c>
      <c r="V3532" s="47">
        <f>Q3532*U3532*INDEX(FmtBlendedPriceIdx,MATCH(F3532,FmtName,0))</f>
        <v/>
      </c>
      <c r="W3532" s="47">
        <f>V3532</f>
        <v/>
      </c>
      <c r="X3532" s="47">
        <f>IF(GrossBasis="Wholesale",V3532,W3532)</f>
        <v/>
      </c>
      <c r="Y3532" s="47">
        <f>R3532*INDEX(FmtBlendedCogs,MATCH(F3532,FmtName,0))</f>
        <v/>
      </c>
      <c r="Z3532" s="47">
        <f>X3532-Y3532</f>
        <v/>
      </c>
    </row>
    <row r="3533">
      <c r="A3533" t="n">
        <v>34</v>
      </c>
      <c r="B3533" s="44">
        <f>FiscalStart+(A3533-1)*7</f>
        <v/>
      </c>
      <c r="C3533">
        <f>TEXT(B3533,"mmm yyyy")</f>
        <v/>
      </c>
      <c r="D3533">
        <f>"Q"&amp;(INT((A3533-1)/13)+1)</f>
        <v/>
      </c>
      <c r="E3533" t="inlineStr">
        <is>
          <t>Online</t>
        </is>
      </c>
      <c r="F3533">
        <f>IFERROR(INDEX(ChFormat,MATCH(E3533,ChName,0)),"")</f>
        <v/>
      </c>
      <c r="G3533" t="inlineStr">
        <is>
          <t>NB</t>
        </is>
      </c>
      <c r="H3533">
        <f>IF(A3533&lt;=NWeeks,1,0)</f>
        <v/>
      </c>
      <c r="I3533">
        <f>INDEX(ChLaunch,MATCH(E3533,ChName,0))</f>
        <v/>
      </c>
      <c r="J3533">
        <f>INDEX(ChWeeksFull,MATCH(E3533,ChName,0))</f>
        <v/>
      </c>
      <c r="K3533">
        <f>INDEX(ChRamp,MATCH(E3533,ChName,0))</f>
        <v/>
      </c>
      <c r="L3533" s="45">
        <f>MIN(1,MAX(0,(A3533-I3533+1)*RampSpeed/J3533))</f>
        <v/>
      </c>
      <c r="M3533" s="45">
        <f>IF(A3533&lt;I3533,0,IF(K3533="S-curve",L3533*L3533*(3-2*L3533),L3533))</f>
        <v/>
      </c>
      <c r="N3533" s="45">
        <f>1+(INDEX(SeasonIdx,A3533)-1)*SeasonAmp</f>
        <v/>
      </c>
      <c r="O3533" s="45">
        <f>IFERROR(INDEX(PSPct,MATCH(E3533&amp;"|"&amp;G3533,PSKey,0)),0)</f>
        <v/>
      </c>
      <c r="P3533" s="46" t="n">
        <v>0</v>
      </c>
      <c r="Q3533" s="46">
        <f>INDEX(OnlineUnitsCol,A3533)*O3533*(1+OnlineGrowth)*N3533*H3533*IF(A3533&gt;=I3533,1,0)</f>
        <v/>
      </c>
      <c r="R3533" s="46">
        <f>Q3533*INDEX(FmtCansPerPack,MATCH(F3533,FmtName,0))/INDEX(FmtCansPerCase,MATCH(F3533,FmtName,0))</f>
        <v/>
      </c>
      <c r="S3533" s="46">
        <f>R3533*INDEX(FmtCansPerCase,MATCH(F3533,FmtName,0))</f>
        <v/>
      </c>
      <c r="T3533" s="46">
        <f>S3533/INDEX(FmtCansPerPack,MATCH(F3533,FmtName,0))</f>
        <v/>
      </c>
      <c r="U3533" s="47">
        <f>INDEX(ProvOnline,MATCH(G3533,ProvCode,0))*(1+PriceIndex)</f>
        <v/>
      </c>
      <c r="V3533" s="47">
        <f>Q3533*U3533*INDEX(FmtBlendedPriceIdx,MATCH(F3533,FmtName,0))</f>
        <v/>
      </c>
      <c r="W3533" s="47">
        <f>V3533</f>
        <v/>
      </c>
      <c r="X3533" s="47">
        <f>IF(GrossBasis="Wholesale",V3533,W3533)</f>
        <v/>
      </c>
      <c r="Y3533" s="47">
        <f>R3533*INDEX(FmtBlendedCogs,MATCH(F3533,FmtName,0))</f>
        <v/>
      </c>
      <c r="Z3533" s="47">
        <f>X3533-Y3533</f>
        <v/>
      </c>
    </row>
    <row r="3534">
      <c r="A3534" t="n">
        <v>35</v>
      </c>
      <c r="B3534" s="44">
        <f>FiscalStart+(A3534-1)*7</f>
        <v/>
      </c>
      <c r="C3534">
        <f>TEXT(B3534,"mmm yyyy")</f>
        <v/>
      </c>
      <c r="D3534">
        <f>"Q"&amp;(INT((A3534-1)/13)+1)</f>
        <v/>
      </c>
      <c r="E3534" t="inlineStr">
        <is>
          <t>Online</t>
        </is>
      </c>
      <c r="F3534">
        <f>IFERROR(INDEX(ChFormat,MATCH(E3534,ChName,0)),"")</f>
        <v/>
      </c>
      <c r="G3534" t="inlineStr">
        <is>
          <t>NB</t>
        </is>
      </c>
      <c r="H3534">
        <f>IF(A3534&lt;=NWeeks,1,0)</f>
        <v/>
      </c>
      <c r="I3534">
        <f>INDEX(ChLaunch,MATCH(E3534,ChName,0))</f>
        <v/>
      </c>
      <c r="J3534">
        <f>INDEX(ChWeeksFull,MATCH(E3534,ChName,0))</f>
        <v/>
      </c>
      <c r="K3534">
        <f>INDEX(ChRamp,MATCH(E3534,ChName,0))</f>
        <v/>
      </c>
      <c r="L3534" s="45">
        <f>MIN(1,MAX(0,(A3534-I3534+1)*RampSpeed/J3534))</f>
        <v/>
      </c>
      <c r="M3534" s="45">
        <f>IF(A3534&lt;I3534,0,IF(K3534="S-curve",L3534*L3534*(3-2*L3534),L3534))</f>
        <v/>
      </c>
      <c r="N3534" s="45">
        <f>1+(INDEX(SeasonIdx,A3534)-1)*SeasonAmp</f>
        <v/>
      </c>
      <c r="O3534" s="45">
        <f>IFERROR(INDEX(PSPct,MATCH(E3534&amp;"|"&amp;G3534,PSKey,0)),0)</f>
        <v/>
      </c>
      <c r="P3534" s="46" t="n">
        <v>0</v>
      </c>
      <c r="Q3534" s="46">
        <f>INDEX(OnlineUnitsCol,A3534)*O3534*(1+OnlineGrowth)*N3534*H3534*IF(A3534&gt;=I3534,1,0)</f>
        <v/>
      </c>
      <c r="R3534" s="46">
        <f>Q3534*INDEX(FmtCansPerPack,MATCH(F3534,FmtName,0))/INDEX(FmtCansPerCase,MATCH(F3534,FmtName,0))</f>
        <v/>
      </c>
      <c r="S3534" s="46">
        <f>R3534*INDEX(FmtCansPerCase,MATCH(F3534,FmtName,0))</f>
        <v/>
      </c>
      <c r="T3534" s="46">
        <f>S3534/INDEX(FmtCansPerPack,MATCH(F3534,FmtName,0))</f>
        <v/>
      </c>
      <c r="U3534" s="47">
        <f>INDEX(ProvOnline,MATCH(G3534,ProvCode,0))*(1+PriceIndex)</f>
        <v/>
      </c>
      <c r="V3534" s="47">
        <f>Q3534*U3534*INDEX(FmtBlendedPriceIdx,MATCH(F3534,FmtName,0))</f>
        <v/>
      </c>
      <c r="W3534" s="47">
        <f>V3534</f>
        <v/>
      </c>
      <c r="X3534" s="47">
        <f>IF(GrossBasis="Wholesale",V3534,W3534)</f>
        <v/>
      </c>
      <c r="Y3534" s="47">
        <f>R3534*INDEX(FmtBlendedCogs,MATCH(F3534,FmtName,0))</f>
        <v/>
      </c>
      <c r="Z3534" s="47">
        <f>X3534-Y3534</f>
        <v/>
      </c>
    </row>
    <row r="3535">
      <c r="A3535" t="n">
        <v>36</v>
      </c>
      <c r="B3535" s="44">
        <f>FiscalStart+(A3535-1)*7</f>
        <v/>
      </c>
      <c r="C3535">
        <f>TEXT(B3535,"mmm yyyy")</f>
        <v/>
      </c>
      <c r="D3535">
        <f>"Q"&amp;(INT((A3535-1)/13)+1)</f>
        <v/>
      </c>
      <c r="E3535" t="inlineStr">
        <is>
          <t>Online</t>
        </is>
      </c>
      <c r="F3535">
        <f>IFERROR(INDEX(ChFormat,MATCH(E3535,ChName,0)),"")</f>
        <v/>
      </c>
      <c r="G3535" t="inlineStr">
        <is>
          <t>NB</t>
        </is>
      </c>
      <c r="H3535">
        <f>IF(A3535&lt;=NWeeks,1,0)</f>
        <v/>
      </c>
      <c r="I3535">
        <f>INDEX(ChLaunch,MATCH(E3535,ChName,0))</f>
        <v/>
      </c>
      <c r="J3535">
        <f>INDEX(ChWeeksFull,MATCH(E3535,ChName,0))</f>
        <v/>
      </c>
      <c r="K3535">
        <f>INDEX(ChRamp,MATCH(E3535,ChName,0))</f>
        <v/>
      </c>
      <c r="L3535" s="45">
        <f>MIN(1,MAX(0,(A3535-I3535+1)*RampSpeed/J3535))</f>
        <v/>
      </c>
      <c r="M3535" s="45">
        <f>IF(A3535&lt;I3535,0,IF(K3535="S-curve",L3535*L3535*(3-2*L3535),L3535))</f>
        <v/>
      </c>
      <c r="N3535" s="45">
        <f>1+(INDEX(SeasonIdx,A3535)-1)*SeasonAmp</f>
        <v/>
      </c>
      <c r="O3535" s="45">
        <f>IFERROR(INDEX(PSPct,MATCH(E3535&amp;"|"&amp;G3535,PSKey,0)),0)</f>
        <v/>
      </c>
      <c r="P3535" s="46" t="n">
        <v>0</v>
      </c>
      <c r="Q3535" s="46">
        <f>INDEX(OnlineUnitsCol,A3535)*O3535*(1+OnlineGrowth)*N3535*H3535*IF(A3535&gt;=I3535,1,0)</f>
        <v/>
      </c>
      <c r="R3535" s="46">
        <f>Q3535*INDEX(FmtCansPerPack,MATCH(F3535,FmtName,0))/INDEX(FmtCansPerCase,MATCH(F3535,FmtName,0))</f>
        <v/>
      </c>
      <c r="S3535" s="46">
        <f>R3535*INDEX(FmtCansPerCase,MATCH(F3535,FmtName,0))</f>
        <v/>
      </c>
      <c r="T3535" s="46">
        <f>S3535/INDEX(FmtCansPerPack,MATCH(F3535,FmtName,0))</f>
        <v/>
      </c>
      <c r="U3535" s="47">
        <f>INDEX(ProvOnline,MATCH(G3535,ProvCode,0))*(1+PriceIndex)</f>
        <v/>
      </c>
      <c r="V3535" s="47">
        <f>Q3535*U3535*INDEX(FmtBlendedPriceIdx,MATCH(F3535,FmtName,0))</f>
        <v/>
      </c>
      <c r="W3535" s="47">
        <f>V3535</f>
        <v/>
      </c>
      <c r="X3535" s="47">
        <f>IF(GrossBasis="Wholesale",V3535,W3535)</f>
        <v/>
      </c>
      <c r="Y3535" s="47">
        <f>R3535*INDEX(FmtBlendedCogs,MATCH(F3535,FmtName,0))</f>
        <v/>
      </c>
      <c r="Z3535" s="47">
        <f>X3535-Y3535</f>
        <v/>
      </c>
    </row>
    <row r="3536">
      <c r="A3536" t="n">
        <v>37</v>
      </c>
      <c r="B3536" s="44">
        <f>FiscalStart+(A3536-1)*7</f>
        <v/>
      </c>
      <c r="C3536">
        <f>TEXT(B3536,"mmm yyyy")</f>
        <v/>
      </c>
      <c r="D3536">
        <f>"Q"&amp;(INT((A3536-1)/13)+1)</f>
        <v/>
      </c>
      <c r="E3536" t="inlineStr">
        <is>
          <t>Online</t>
        </is>
      </c>
      <c r="F3536">
        <f>IFERROR(INDEX(ChFormat,MATCH(E3536,ChName,0)),"")</f>
        <v/>
      </c>
      <c r="G3536" t="inlineStr">
        <is>
          <t>NB</t>
        </is>
      </c>
      <c r="H3536">
        <f>IF(A3536&lt;=NWeeks,1,0)</f>
        <v/>
      </c>
      <c r="I3536">
        <f>INDEX(ChLaunch,MATCH(E3536,ChName,0))</f>
        <v/>
      </c>
      <c r="J3536">
        <f>INDEX(ChWeeksFull,MATCH(E3536,ChName,0))</f>
        <v/>
      </c>
      <c r="K3536">
        <f>INDEX(ChRamp,MATCH(E3536,ChName,0))</f>
        <v/>
      </c>
      <c r="L3536" s="45">
        <f>MIN(1,MAX(0,(A3536-I3536+1)*RampSpeed/J3536))</f>
        <v/>
      </c>
      <c r="M3536" s="45">
        <f>IF(A3536&lt;I3536,0,IF(K3536="S-curve",L3536*L3536*(3-2*L3536),L3536))</f>
        <v/>
      </c>
      <c r="N3536" s="45">
        <f>1+(INDEX(SeasonIdx,A3536)-1)*SeasonAmp</f>
        <v/>
      </c>
      <c r="O3536" s="45">
        <f>IFERROR(INDEX(PSPct,MATCH(E3536&amp;"|"&amp;G3536,PSKey,0)),0)</f>
        <v/>
      </c>
      <c r="P3536" s="46" t="n">
        <v>0</v>
      </c>
      <c r="Q3536" s="46">
        <f>INDEX(OnlineUnitsCol,A3536)*O3536*(1+OnlineGrowth)*N3536*H3536*IF(A3536&gt;=I3536,1,0)</f>
        <v/>
      </c>
      <c r="R3536" s="46">
        <f>Q3536*INDEX(FmtCansPerPack,MATCH(F3536,FmtName,0))/INDEX(FmtCansPerCase,MATCH(F3536,FmtName,0))</f>
        <v/>
      </c>
      <c r="S3536" s="46">
        <f>R3536*INDEX(FmtCansPerCase,MATCH(F3536,FmtName,0))</f>
        <v/>
      </c>
      <c r="T3536" s="46">
        <f>S3536/INDEX(FmtCansPerPack,MATCH(F3536,FmtName,0))</f>
        <v/>
      </c>
      <c r="U3536" s="47">
        <f>INDEX(ProvOnline,MATCH(G3536,ProvCode,0))*(1+PriceIndex)</f>
        <v/>
      </c>
      <c r="V3536" s="47">
        <f>Q3536*U3536*INDEX(FmtBlendedPriceIdx,MATCH(F3536,FmtName,0))</f>
        <v/>
      </c>
      <c r="W3536" s="47">
        <f>V3536</f>
        <v/>
      </c>
      <c r="X3536" s="47">
        <f>IF(GrossBasis="Wholesale",V3536,W3536)</f>
        <v/>
      </c>
      <c r="Y3536" s="47">
        <f>R3536*INDEX(FmtBlendedCogs,MATCH(F3536,FmtName,0))</f>
        <v/>
      </c>
      <c r="Z3536" s="47">
        <f>X3536-Y3536</f>
        <v/>
      </c>
    </row>
    <row r="3537">
      <c r="A3537" t="n">
        <v>38</v>
      </c>
      <c r="B3537" s="44">
        <f>FiscalStart+(A3537-1)*7</f>
        <v/>
      </c>
      <c r="C3537">
        <f>TEXT(B3537,"mmm yyyy")</f>
        <v/>
      </c>
      <c r="D3537">
        <f>"Q"&amp;(INT((A3537-1)/13)+1)</f>
        <v/>
      </c>
      <c r="E3537" t="inlineStr">
        <is>
          <t>Online</t>
        </is>
      </c>
      <c r="F3537">
        <f>IFERROR(INDEX(ChFormat,MATCH(E3537,ChName,0)),"")</f>
        <v/>
      </c>
      <c r="G3537" t="inlineStr">
        <is>
          <t>NB</t>
        </is>
      </c>
      <c r="H3537">
        <f>IF(A3537&lt;=NWeeks,1,0)</f>
        <v/>
      </c>
      <c r="I3537">
        <f>INDEX(ChLaunch,MATCH(E3537,ChName,0))</f>
        <v/>
      </c>
      <c r="J3537">
        <f>INDEX(ChWeeksFull,MATCH(E3537,ChName,0))</f>
        <v/>
      </c>
      <c r="K3537">
        <f>INDEX(ChRamp,MATCH(E3537,ChName,0))</f>
        <v/>
      </c>
      <c r="L3537" s="45">
        <f>MIN(1,MAX(0,(A3537-I3537+1)*RampSpeed/J3537))</f>
        <v/>
      </c>
      <c r="M3537" s="45">
        <f>IF(A3537&lt;I3537,0,IF(K3537="S-curve",L3537*L3537*(3-2*L3537),L3537))</f>
        <v/>
      </c>
      <c r="N3537" s="45">
        <f>1+(INDEX(SeasonIdx,A3537)-1)*SeasonAmp</f>
        <v/>
      </c>
      <c r="O3537" s="45">
        <f>IFERROR(INDEX(PSPct,MATCH(E3537&amp;"|"&amp;G3537,PSKey,0)),0)</f>
        <v/>
      </c>
      <c r="P3537" s="46" t="n">
        <v>0</v>
      </c>
      <c r="Q3537" s="46">
        <f>INDEX(OnlineUnitsCol,A3537)*O3537*(1+OnlineGrowth)*N3537*H3537*IF(A3537&gt;=I3537,1,0)</f>
        <v/>
      </c>
      <c r="R3537" s="46">
        <f>Q3537*INDEX(FmtCansPerPack,MATCH(F3537,FmtName,0))/INDEX(FmtCansPerCase,MATCH(F3537,FmtName,0))</f>
        <v/>
      </c>
      <c r="S3537" s="46">
        <f>R3537*INDEX(FmtCansPerCase,MATCH(F3537,FmtName,0))</f>
        <v/>
      </c>
      <c r="T3537" s="46">
        <f>S3537/INDEX(FmtCansPerPack,MATCH(F3537,FmtName,0))</f>
        <v/>
      </c>
      <c r="U3537" s="47">
        <f>INDEX(ProvOnline,MATCH(G3537,ProvCode,0))*(1+PriceIndex)</f>
        <v/>
      </c>
      <c r="V3537" s="47">
        <f>Q3537*U3537*INDEX(FmtBlendedPriceIdx,MATCH(F3537,FmtName,0))</f>
        <v/>
      </c>
      <c r="W3537" s="47">
        <f>V3537</f>
        <v/>
      </c>
      <c r="X3537" s="47">
        <f>IF(GrossBasis="Wholesale",V3537,W3537)</f>
        <v/>
      </c>
      <c r="Y3537" s="47">
        <f>R3537*INDEX(FmtBlendedCogs,MATCH(F3537,FmtName,0))</f>
        <v/>
      </c>
      <c r="Z3537" s="47">
        <f>X3537-Y3537</f>
        <v/>
      </c>
    </row>
    <row r="3538">
      <c r="A3538" t="n">
        <v>39</v>
      </c>
      <c r="B3538" s="44">
        <f>FiscalStart+(A3538-1)*7</f>
        <v/>
      </c>
      <c r="C3538">
        <f>TEXT(B3538,"mmm yyyy")</f>
        <v/>
      </c>
      <c r="D3538">
        <f>"Q"&amp;(INT((A3538-1)/13)+1)</f>
        <v/>
      </c>
      <c r="E3538" t="inlineStr">
        <is>
          <t>Online</t>
        </is>
      </c>
      <c r="F3538">
        <f>IFERROR(INDEX(ChFormat,MATCH(E3538,ChName,0)),"")</f>
        <v/>
      </c>
      <c r="G3538" t="inlineStr">
        <is>
          <t>NB</t>
        </is>
      </c>
      <c r="H3538">
        <f>IF(A3538&lt;=NWeeks,1,0)</f>
        <v/>
      </c>
      <c r="I3538">
        <f>INDEX(ChLaunch,MATCH(E3538,ChName,0))</f>
        <v/>
      </c>
      <c r="J3538">
        <f>INDEX(ChWeeksFull,MATCH(E3538,ChName,0))</f>
        <v/>
      </c>
      <c r="K3538">
        <f>INDEX(ChRamp,MATCH(E3538,ChName,0))</f>
        <v/>
      </c>
      <c r="L3538" s="45">
        <f>MIN(1,MAX(0,(A3538-I3538+1)*RampSpeed/J3538))</f>
        <v/>
      </c>
      <c r="M3538" s="45">
        <f>IF(A3538&lt;I3538,0,IF(K3538="S-curve",L3538*L3538*(3-2*L3538),L3538))</f>
        <v/>
      </c>
      <c r="N3538" s="45">
        <f>1+(INDEX(SeasonIdx,A3538)-1)*SeasonAmp</f>
        <v/>
      </c>
      <c r="O3538" s="45">
        <f>IFERROR(INDEX(PSPct,MATCH(E3538&amp;"|"&amp;G3538,PSKey,0)),0)</f>
        <v/>
      </c>
      <c r="P3538" s="46" t="n">
        <v>0</v>
      </c>
      <c r="Q3538" s="46">
        <f>INDEX(OnlineUnitsCol,A3538)*O3538*(1+OnlineGrowth)*N3538*H3538*IF(A3538&gt;=I3538,1,0)</f>
        <v/>
      </c>
      <c r="R3538" s="46">
        <f>Q3538*INDEX(FmtCansPerPack,MATCH(F3538,FmtName,0))/INDEX(FmtCansPerCase,MATCH(F3538,FmtName,0))</f>
        <v/>
      </c>
      <c r="S3538" s="46">
        <f>R3538*INDEX(FmtCansPerCase,MATCH(F3538,FmtName,0))</f>
        <v/>
      </c>
      <c r="T3538" s="46">
        <f>S3538/INDEX(FmtCansPerPack,MATCH(F3538,FmtName,0))</f>
        <v/>
      </c>
      <c r="U3538" s="47">
        <f>INDEX(ProvOnline,MATCH(G3538,ProvCode,0))*(1+PriceIndex)</f>
        <v/>
      </c>
      <c r="V3538" s="47">
        <f>Q3538*U3538*INDEX(FmtBlendedPriceIdx,MATCH(F3538,FmtName,0))</f>
        <v/>
      </c>
      <c r="W3538" s="47">
        <f>V3538</f>
        <v/>
      </c>
      <c r="X3538" s="47">
        <f>IF(GrossBasis="Wholesale",V3538,W3538)</f>
        <v/>
      </c>
      <c r="Y3538" s="47">
        <f>R3538*INDEX(FmtBlendedCogs,MATCH(F3538,FmtName,0))</f>
        <v/>
      </c>
      <c r="Z3538" s="47">
        <f>X3538-Y3538</f>
        <v/>
      </c>
    </row>
    <row r="3539">
      <c r="A3539" t="n">
        <v>40</v>
      </c>
      <c r="B3539" s="44">
        <f>FiscalStart+(A3539-1)*7</f>
        <v/>
      </c>
      <c r="C3539">
        <f>TEXT(B3539,"mmm yyyy")</f>
        <v/>
      </c>
      <c r="D3539">
        <f>"Q"&amp;(INT((A3539-1)/13)+1)</f>
        <v/>
      </c>
      <c r="E3539" t="inlineStr">
        <is>
          <t>Online</t>
        </is>
      </c>
      <c r="F3539">
        <f>IFERROR(INDEX(ChFormat,MATCH(E3539,ChName,0)),"")</f>
        <v/>
      </c>
      <c r="G3539" t="inlineStr">
        <is>
          <t>NB</t>
        </is>
      </c>
      <c r="H3539">
        <f>IF(A3539&lt;=NWeeks,1,0)</f>
        <v/>
      </c>
      <c r="I3539">
        <f>INDEX(ChLaunch,MATCH(E3539,ChName,0))</f>
        <v/>
      </c>
      <c r="J3539">
        <f>INDEX(ChWeeksFull,MATCH(E3539,ChName,0))</f>
        <v/>
      </c>
      <c r="K3539">
        <f>INDEX(ChRamp,MATCH(E3539,ChName,0))</f>
        <v/>
      </c>
      <c r="L3539" s="45">
        <f>MIN(1,MAX(0,(A3539-I3539+1)*RampSpeed/J3539))</f>
        <v/>
      </c>
      <c r="M3539" s="45">
        <f>IF(A3539&lt;I3539,0,IF(K3539="S-curve",L3539*L3539*(3-2*L3539),L3539))</f>
        <v/>
      </c>
      <c r="N3539" s="45">
        <f>1+(INDEX(SeasonIdx,A3539)-1)*SeasonAmp</f>
        <v/>
      </c>
      <c r="O3539" s="45">
        <f>IFERROR(INDEX(PSPct,MATCH(E3539&amp;"|"&amp;G3539,PSKey,0)),0)</f>
        <v/>
      </c>
      <c r="P3539" s="46" t="n">
        <v>0</v>
      </c>
      <c r="Q3539" s="46">
        <f>INDEX(OnlineUnitsCol,A3539)*O3539*(1+OnlineGrowth)*N3539*H3539*IF(A3539&gt;=I3539,1,0)</f>
        <v/>
      </c>
      <c r="R3539" s="46">
        <f>Q3539*INDEX(FmtCansPerPack,MATCH(F3539,FmtName,0))/INDEX(FmtCansPerCase,MATCH(F3539,FmtName,0))</f>
        <v/>
      </c>
      <c r="S3539" s="46">
        <f>R3539*INDEX(FmtCansPerCase,MATCH(F3539,FmtName,0))</f>
        <v/>
      </c>
      <c r="T3539" s="46">
        <f>S3539/INDEX(FmtCansPerPack,MATCH(F3539,FmtName,0))</f>
        <v/>
      </c>
      <c r="U3539" s="47">
        <f>INDEX(ProvOnline,MATCH(G3539,ProvCode,0))*(1+PriceIndex)</f>
        <v/>
      </c>
      <c r="V3539" s="47">
        <f>Q3539*U3539*INDEX(FmtBlendedPriceIdx,MATCH(F3539,FmtName,0))</f>
        <v/>
      </c>
      <c r="W3539" s="47">
        <f>V3539</f>
        <v/>
      </c>
      <c r="X3539" s="47">
        <f>IF(GrossBasis="Wholesale",V3539,W3539)</f>
        <v/>
      </c>
      <c r="Y3539" s="47">
        <f>R3539*INDEX(FmtBlendedCogs,MATCH(F3539,FmtName,0))</f>
        <v/>
      </c>
      <c r="Z3539" s="47">
        <f>X3539-Y3539</f>
        <v/>
      </c>
    </row>
    <row r="3540">
      <c r="A3540" t="n">
        <v>41</v>
      </c>
      <c r="B3540" s="44">
        <f>FiscalStart+(A3540-1)*7</f>
        <v/>
      </c>
      <c r="C3540">
        <f>TEXT(B3540,"mmm yyyy")</f>
        <v/>
      </c>
      <c r="D3540">
        <f>"Q"&amp;(INT((A3540-1)/13)+1)</f>
        <v/>
      </c>
      <c r="E3540" t="inlineStr">
        <is>
          <t>Online</t>
        </is>
      </c>
      <c r="F3540">
        <f>IFERROR(INDEX(ChFormat,MATCH(E3540,ChName,0)),"")</f>
        <v/>
      </c>
      <c r="G3540" t="inlineStr">
        <is>
          <t>NB</t>
        </is>
      </c>
      <c r="H3540">
        <f>IF(A3540&lt;=NWeeks,1,0)</f>
        <v/>
      </c>
      <c r="I3540">
        <f>INDEX(ChLaunch,MATCH(E3540,ChName,0))</f>
        <v/>
      </c>
      <c r="J3540">
        <f>INDEX(ChWeeksFull,MATCH(E3540,ChName,0))</f>
        <v/>
      </c>
      <c r="K3540">
        <f>INDEX(ChRamp,MATCH(E3540,ChName,0))</f>
        <v/>
      </c>
      <c r="L3540" s="45">
        <f>MIN(1,MAX(0,(A3540-I3540+1)*RampSpeed/J3540))</f>
        <v/>
      </c>
      <c r="M3540" s="45">
        <f>IF(A3540&lt;I3540,0,IF(K3540="S-curve",L3540*L3540*(3-2*L3540),L3540))</f>
        <v/>
      </c>
      <c r="N3540" s="45">
        <f>1+(INDEX(SeasonIdx,A3540)-1)*SeasonAmp</f>
        <v/>
      </c>
      <c r="O3540" s="45">
        <f>IFERROR(INDEX(PSPct,MATCH(E3540&amp;"|"&amp;G3540,PSKey,0)),0)</f>
        <v/>
      </c>
      <c r="P3540" s="46" t="n">
        <v>0</v>
      </c>
      <c r="Q3540" s="46">
        <f>INDEX(OnlineUnitsCol,A3540)*O3540*(1+OnlineGrowth)*N3540*H3540*IF(A3540&gt;=I3540,1,0)</f>
        <v/>
      </c>
      <c r="R3540" s="46">
        <f>Q3540*INDEX(FmtCansPerPack,MATCH(F3540,FmtName,0))/INDEX(FmtCansPerCase,MATCH(F3540,FmtName,0))</f>
        <v/>
      </c>
      <c r="S3540" s="46">
        <f>R3540*INDEX(FmtCansPerCase,MATCH(F3540,FmtName,0))</f>
        <v/>
      </c>
      <c r="T3540" s="46">
        <f>S3540/INDEX(FmtCansPerPack,MATCH(F3540,FmtName,0))</f>
        <v/>
      </c>
      <c r="U3540" s="47">
        <f>INDEX(ProvOnline,MATCH(G3540,ProvCode,0))*(1+PriceIndex)</f>
        <v/>
      </c>
      <c r="V3540" s="47">
        <f>Q3540*U3540*INDEX(FmtBlendedPriceIdx,MATCH(F3540,FmtName,0))</f>
        <v/>
      </c>
      <c r="W3540" s="47">
        <f>V3540</f>
        <v/>
      </c>
      <c r="X3540" s="47">
        <f>IF(GrossBasis="Wholesale",V3540,W3540)</f>
        <v/>
      </c>
      <c r="Y3540" s="47">
        <f>R3540*INDEX(FmtBlendedCogs,MATCH(F3540,FmtName,0))</f>
        <v/>
      </c>
      <c r="Z3540" s="47">
        <f>X3540-Y3540</f>
        <v/>
      </c>
    </row>
    <row r="3541">
      <c r="A3541" t="n">
        <v>42</v>
      </c>
      <c r="B3541" s="44">
        <f>FiscalStart+(A3541-1)*7</f>
        <v/>
      </c>
      <c r="C3541">
        <f>TEXT(B3541,"mmm yyyy")</f>
        <v/>
      </c>
      <c r="D3541">
        <f>"Q"&amp;(INT((A3541-1)/13)+1)</f>
        <v/>
      </c>
      <c r="E3541" t="inlineStr">
        <is>
          <t>Online</t>
        </is>
      </c>
      <c r="F3541">
        <f>IFERROR(INDEX(ChFormat,MATCH(E3541,ChName,0)),"")</f>
        <v/>
      </c>
      <c r="G3541" t="inlineStr">
        <is>
          <t>NB</t>
        </is>
      </c>
      <c r="H3541">
        <f>IF(A3541&lt;=NWeeks,1,0)</f>
        <v/>
      </c>
      <c r="I3541">
        <f>INDEX(ChLaunch,MATCH(E3541,ChName,0))</f>
        <v/>
      </c>
      <c r="J3541">
        <f>INDEX(ChWeeksFull,MATCH(E3541,ChName,0))</f>
        <v/>
      </c>
      <c r="K3541">
        <f>INDEX(ChRamp,MATCH(E3541,ChName,0))</f>
        <v/>
      </c>
      <c r="L3541" s="45">
        <f>MIN(1,MAX(0,(A3541-I3541+1)*RampSpeed/J3541))</f>
        <v/>
      </c>
      <c r="M3541" s="45">
        <f>IF(A3541&lt;I3541,0,IF(K3541="S-curve",L3541*L3541*(3-2*L3541),L3541))</f>
        <v/>
      </c>
      <c r="N3541" s="45">
        <f>1+(INDEX(SeasonIdx,A3541)-1)*SeasonAmp</f>
        <v/>
      </c>
      <c r="O3541" s="45">
        <f>IFERROR(INDEX(PSPct,MATCH(E3541&amp;"|"&amp;G3541,PSKey,0)),0)</f>
        <v/>
      </c>
      <c r="P3541" s="46" t="n">
        <v>0</v>
      </c>
      <c r="Q3541" s="46">
        <f>INDEX(OnlineUnitsCol,A3541)*O3541*(1+OnlineGrowth)*N3541*H3541*IF(A3541&gt;=I3541,1,0)</f>
        <v/>
      </c>
      <c r="R3541" s="46">
        <f>Q3541*INDEX(FmtCansPerPack,MATCH(F3541,FmtName,0))/INDEX(FmtCansPerCase,MATCH(F3541,FmtName,0))</f>
        <v/>
      </c>
      <c r="S3541" s="46">
        <f>R3541*INDEX(FmtCansPerCase,MATCH(F3541,FmtName,0))</f>
        <v/>
      </c>
      <c r="T3541" s="46">
        <f>S3541/INDEX(FmtCansPerPack,MATCH(F3541,FmtName,0))</f>
        <v/>
      </c>
      <c r="U3541" s="47">
        <f>INDEX(ProvOnline,MATCH(G3541,ProvCode,0))*(1+PriceIndex)</f>
        <v/>
      </c>
      <c r="V3541" s="47">
        <f>Q3541*U3541*INDEX(FmtBlendedPriceIdx,MATCH(F3541,FmtName,0))</f>
        <v/>
      </c>
      <c r="W3541" s="47">
        <f>V3541</f>
        <v/>
      </c>
      <c r="X3541" s="47">
        <f>IF(GrossBasis="Wholesale",V3541,W3541)</f>
        <v/>
      </c>
      <c r="Y3541" s="47">
        <f>R3541*INDEX(FmtBlendedCogs,MATCH(F3541,FmtName,0))</f>
        <v/>
      </c>
      <c r="Z3541" s="47">
        <f>X3541-Y3541</f>
        <v/>
      </c>
    </row>
    <row r="3542">
      <c r="A3542" t="n">
        <v>43</v>
      </c>
      <c r="B3542" s="44">
        <f>FiscalStart+(A3542-1)*7</f>
        <v/>
      </c>
      <c r="C3542">
        <f>TEXT(B3542,"mmm yyyy")</f>
        <v/>
      </c>
      <c r="D3542">
        <f>"Q"&amp;(INT((A3542-1)/13)+1)</f>
        <v/>
      </c>
      <c r="E3542" t="inlineStr">
        <is>
          <t>Online</t>
        </is>
      </c>
      <c r="F3542">
        <f>IFERROR(INDEX(ChFormat,MATCH(E3542,ChName,0)),"")</f>
        <v/>
      </c>
      <c r="G3542" t="inlineStr">
        <is>
          <t>NB</t>
        </is>
      </c>
      <c r="H3542">
        <f>IF(A3542&lt;=NWeeks,1,0)</f>
        <v/>
      </c>
      <c r="I3542">
        <f>INDEX(ChLaunch,MATCH(E3542,ChName,0))</f>
        <v/>
      </c>
      <c r="J3542">
        <f>INDEX(ChWeeksFull,MATCH(E3542,ChName,0))</f>
        <v/>
      </c>
      <c r="K3542">
        <f>INDEX(ChRamp,MATCH(E3542,ChName,0))</f>
        <v/>
      </c>
      <c r="L3542" s="45">
        <f>MIN(1,MAX(0,(A3542-I3542+1)*RampSpeed/J3542))</f>
        <v/>
      </c>
      <c r="M3542" s="45">
        <f>IF(A3542&lt;I3542,0,IF(K3542="S-curve",L3542*L3542*(3-2*L3542),L3542))</f>
        <v/>
      </c>
      <c r="N3542" s="45">
        <f>1+(INDEX(SeasonIdx,A3542)-1)*SeasonAmp</f>
        <v/>
      </c>
      <c r="O3542" s="45">
        <f>IFERROR(INDEX(PSPct,MATCH(E3542&amp;"|"&amp;G3542,PSKey,0)),0)</f>
        <v/>
      </c>
      <c r="P3542" s="46" t="n">
        <v>0</v>
      </c>
      <c r="Q3542" s="46">
        <f>INDEX(OnlineUnitsCol,A3542)*O3542*(1+OnlineGrowth)*N3542*H3542*IF(A3542&gt;=I3542,1,0)</f>
        <v/>
      </c>
      <c r="R3542" s="46">
        <f>Q3542*INDEX(FmtCansPerPack,MATCH(F3542,FmtName,0))/INDEX(FmtCansPerCase,MATCH(F3542,FmtName,0))</f>
        <v/>
      </c>
      <c r="S3542" s="46">
        <f>R3542*INDEX(FmtCansPerCase,MATCH(F3542,FmtName,0))</f>
        <v/>
      </c>
      <c r="T3542" s="46">
        <f>S3542/INDEX(FmtCansPerPack,MATCH(F3542,FmtName,0))</f>
        <v/>
      </c>
      <c r="U3542" s="47">
        <f>INDEX(ProvOnline,MATCH(G3542,ProvCode,0))*(1+PriceIndex)</f>
        <v/>
      </c>
      <c r="V3542" s="47">
        <f>Q3542*U3542*INDEX(FmtBlendedPriceIdx,MATCH(F3542,FmtName,0))</f>
        <v/>
      </c>
      <c r="W3542" s="47">
        <f>V3542</f>
        <v/>
      </c>
      <c r="X3542" s="47">
        <f>IF(GrossBasis="Wholesale",V3542,W3542)</f>
        <v/>
      </c>
      <c r="Y3542" s="47">
        <f>R3542*INDEX(FmtBlendedCogs,MATCH(F3542,FmtName,0))</f>
        <v/>
      </c>
      <c r="Z3542" s="47">
        <f>X3542-Y3542</f>
        <v/>
      </c>
    </row>
    <row r="3543">
      <c r="A3543" t="n">
        <v>44</v>
      </c>
      <c r="B3543" s="44">
        <f>FiscalStart+(A3543-1)*7</f>
        <v/>
      </c>
      <c r="C3543">
        <f>TEXT(B3543,"mmm yyyy")</f>
        <v/>
      </c>
      <c r="D3543">
        <f>"Q"&amp;(INT((A3543-1)/13)+1)</f>
        <v/>
      </c>
      <c r="E3543" t="inlineStr">
        <is>
          <t>Online</t>
        </is>
      </c>
      <c r="F3543">
        <f>IFERROR(INDEX(ChFormat,MATCH(E3543,ChName,0)),"")</f>
        <v/>
      </c>
      <c r="G3543" t="inlineStr">
        <is>
          <t>NB</t>
        </is>
      </c>
      <c r="H3543">
        <f>IF(A3543&lt;=NWeeks,1,0)</f>
        <v/>
      </c>
      <c r="I3543">
        <f>INDEX(ChLaunch,MATCH(E3543,ChName,0))</f>
        <v/>
      </c>
      <c r="J3543">
        <f>INDEX(ChWeeksFull,MATCH(E3543,ChName,0))</f>
        <v/>
      </c>
      <c r="K3543">
        <f>INDEX(ChRamp,MATCH(E3543,ChName,0))</f>
        <v/>
      </c>
      <c r="L3543" s="45">
        <f>MIN(1,MAX(0,(A3543-I3543+1)*RampSpeed/J3543))</f>
        <v/>
      </c>
      <c r="M3543" s="45">
        <f>IF(A3543&lt;I3543,0,IF(K3543="S-curve",L3543*L3543*(3-2*L3543),L3543))</f>
        <v/>
      </c>
      <c r="N3543" s="45">
        <f>1+(INDEX(SeasonIdx,A3543)-1)*SeasonAmp</f>
        <v/>
      </c>
      <c r="O3543" s="45">
        <f>IFERROR(INDEX(PSPct,MATCH(E3543&amp;"|"&amp;G3543,PSKey,0)),0)</f>
        <v/>
      </c>
      <c r="P3543" s="46" t="n">
        <v>0</v>
      </c>
      <c r="Q3543" s="46">
        <f>INDEX(OnlineUnitsCol,A3543)*O3543*(1+OnlineGrowth)*N3543*H3543*IF(A3543&gt;=I3543,1,0)</f>
        <v/>
      </c>
      <c r="R3543" s="46">
        <f>Q3543*INDEX(FmtCansPerPack,MATCH(F3543,FmtName,0))/INDEX(FmtCansPerCase,MATCH(F3543,FmtName,0))</f>
        <v/>
      </c>
      <c r="S3543" s="46">
        <f>R3543*INDEX(FmtCansPerCase,MATCH(F3543,FmtName,0))</f>
        <v/>
      </c>
      <c r="T3543" s="46">
        <f>S3543/INDEX(FmtCansPerPack,MATCH(F3543,FmtName,0))</f>
        <v/>
      </c>
      <c r="U3543" s="47">
        <f>INDEX(ProvOnline,MATCH(G3543,ProvCode,0))*(1+PriceIndex)</f>
        <v/>
      </c>
      <c r="V3543" s="47">
        <f>Q3543*U3543*INDEX(FmtBlendedPriceIdx,MATCH(F3543,FmtName,0))</f>
        <v/>
      </c>
      <c r="W3543" s="47">
        <f>V3543</f>
        <v/>
      </c>
      <c r="X3543" s="47">
        <f>IF(GrossBasis="Wholesale",V3543,W3543)</f>
        <v/>
      </c>
      <c r="Y3543" s="47">
        <f>R3543*INDEX(FmtBlendedCogs,MATCH(F3543,FmtName,0))</f>
        <v/>
      </c>
      <c r="Z3543" s="47">
        <f>X3543-Y3543</f>
        <v/>
      </c>
    </row>
    <row r="3544">
      <c r="A3544" t="n">
        <v>45</v>
      </c>
      <c r="B3544" s="44">
        <f>FiscalStart+(A3544-1)*7</f>
        <v/>
      </c>
      <c r="C3544">
        <f>TEXT(B3544,"mmm yyyy")</f>
        <v/>
      </c>
      <c r="D3544">
        <f>"Q"&amp;(INT((A3544-1)/13)+1)</f>
        <v/>
      </c>
      <c r="E3544" t="inlineStr">
        <is>
          <t>Online</t>
        </is>
      </c>
      <c r="F3544">
        <f>IFERROR(INDEX(ChFormat,MATCH(E3544,ChName,0)),"")</f>
        <v/>
      </c>
      <c r="G3544" t="inlineStr">
        <is>
          <t>NB</t>
        </is>
      </c>
      <c r="H3544">
        <f>IF(A3544&lt;=NWeeks,1,0)</f>
        <v/>
      </c>
      <c r="I3544">
        <f>INDEX(ChLaunch,MATCH(E3544,ChName,0))</f>
        <v/>
      </c>
      <c r="J3544">
        <f>INDEX(ChWeeksFull,MATCH(E3544,ChName,0))</f>
        <v/>
      </c>
      <c r="K3544">
        <f>INDEX(ChRamp,MATCH(E3544,ChName,0))</f>
        <v/>
      </c>
      <c r="L3544" s="45">
        <f>MIN(1,MAX(0,(A3544-I3544+1)*RampSpeed/J3544))</f>
        <v/>
      </c>
      <c r="M3544" s="45">
        <f>IF(A3544&lt;I3544,0,IF(K3544="S-curve",L3544*L3544*(3-2*L3544),L3544))</f>
        <v/>
      </c>
      <c r="N3544" s="45">
        <f>1+(INDEX(SeasonIdx,A3544)-1)*SeasonAmp</f>
        <v/>
      </c>
      <c r="O3544" s="45">
        <f>IFERROR(INDEX(PSPct,MATCH(E3544&amp;"|"&amp;G3544,PSKey,0)),0)</f>
        <v/>
      </c>
      <c r="P3544" s="46" t="n">
        <v>0</v>
      </c>
      <c r="Q3544" s="46">
        <f>INDEX(OnlineUnitsCol,A3544)*O3544*(1+OnlineGrowth)*N3544*H3544*IF(A3544&gt;=I3544,1,0)</f>
        <v/>
      </c>
      <c r="R3544" s="46">
        <f>Q3544*INDEX(FmtCansPerPack,MATCH(F3544,FmtName,0))/INDEX(FmtCansPerCase,MATCH(F3544,FmtName,0))</f>
        <v/>
      </c>
      <c r="S3544" s="46">
        <f>R3544*INDEX(FmtCansPerCase,MATCH(F3544,FmtName,0))</f>
        <v/>
      </c>
      <c r="T3544" s="46">
        <f>S3544/INDEX(FmtCansPerPack,MATCH(F3544,FmtName,0))</f>
        <v/>
      </c>
      <c r="U3544" s="47">
        <f>INDEX(ProvOnline,MATCH(G3544,ProvCode,0))*(1+PriceIndex)</f>
        <v/>
      </c>
      <c r="V3544" s="47">
        <f>Q3544*U3544*INDEX(FmtBlendedPriceIdx,MATCH(F3544,FmtName,0))</f>
        <v/>
      </c>
      <c r="W3544" s="47">
        <f>V3544</f>
        <v/>
      </c>
      <c r="X3544" s="47">
        <f>IF(GrossBasis="Wholesale",V3544,W3544)</f>
        <v/>
      </c>
      <c r="Y3544" s="47">
        <f>R3544*INDEX(FmtBlendedCogs,MATCH(F3544,FmtName,0))</f>
        <v/>
      </c>
      <c r="Z3544" s="47">
        <f>X3544-Y3544</f>
        <v/>
      </c>
    </row>
    <row r="3545">
      <c r="A3545" t="n">
        <v>46</v>
      </c>
      <c r="B3545" s="44">
        <f>FiscalStart+(A3545-1)*7</f>
        <v/>
      </c>
      <c r="C3545">
        <f>TEXT(B3545,"mmm yyyy")</f>
        <v/>
      </c>
      <c r="D3545">
        <f>"Q"&amp;(INT((A3545-1)/13)+1)</f>
        <v/>
      </c>
      <c r="E3545" t="inlineStr">
        <is>
          <t>Online</t>
        </is>
      </c>
      <c r="F3545">
        <f>IFERROR(INDEX(ChFormat,MATCH(E3545,ChName,0)),"")</f>
        <v/>
      </c>
      <c r="G3545" t="inlineStr">
        <is>
          <t>NB</t>
        </is>
      </c>
      <c r="H3545">
        <f>IF(A3545&lt;=NWeeks,1,0)</f>
        <v/>
      </c>
      <c r="I3545">
        <f>INDEX(ChLaunch,MATCH(E3545,ChName,0))</f>
        <v/>
      </c>
      <c r="J3545">
        <f>INDEX(ChWeeksFull,MATCH(E3545,ChName,0))</f>
        <v/>
      </c>
      <c r="K3545">
        <f>INDEX(ChRamp,MATCH(E3545,ChName,0))</f>
        <v/>
      </c>
      <c r="L3545" s="45">
        <f>MIN(1,MAX(0,(A3545-I3545+1)*RampSpeed/J3545))</f>
        <v/>
      </c>
      <c r="M3545" s="45">
        <f>IF(A3545&lt;I3545,0,IF(K3545="S-curve",L3545*L3545*(3-2*L3545),L3545))</f>
        <v/>
      </c>
      <c r="N3545" s="45">
        <f>1+(INDEX(SeasonIdx,A3545)-1)*SeasonAmp</f>
        <v/>
      </c>
      <c r="O3545" s="45">
        <f>IFERROR(INDEX(PSPct,MATCH(E3545&amp;"|"&amp;G3545,PSKey,0)),0)</f>
        <v/>
      </c>
      <c r="P3545" s="46" t="n">
        <v>0</v>
      </c>
      <c r="Q3545" s="46">
        <f>INDEX(OnlineUnitsCol,A3545)*O3545*(1+OnlineGrowth)*N3545*H3545*IF(A3545&gt;=I3545,1,0)</f>
        <v/>
      </c>
      <c r="R3545" s="46">
        <f>Q3545*INDEX(FmtCansPerPack,MATCH(F3545,FmtName,0))/INDEX(FmtCansPerCase,MATCH(F3545,FmtName,0))</f>
        <v/>
      </c>
      <c r="S3545" s="46">
        <f>R3545*INDEX(FmtCansPerCase,MATCH(F3545,FmtName,0))</f>
        <v/>
      </c>
      <c r="T3545" s="46">
        <f>S3545/INDEX(FmtCansPerPack,MATCH(F3545,FmtName,0))</f>
        <v/>
      </c>
      <c r="U3545" s="47">
        <f>INDEX(ProvOnline,MATCH(G3545,ProvCode,0))*(1+PriceIndex)</f>
        <v/>
      </c>
      <c r="V3545" s="47">
        <f>Q3545*U3545*INDEX(FmtBlendedPriceIdx,MATCH(F3545,FmtName,0))</f>
        <v/>
      </c>
      <c r="W3545" s="47">
        <f>V3545</f>
        <v/>
      </c>
      <c r="X3545" s="47">
        <f>IF(GrossBasis="Wholesale",V3545,W3545)</f>
        <v/>
      </c>
      <c r="Y3545" s="47">
        <f>R3545*INDEX(FmtBlendedCogs,MATCH(F3545,FmtName,0))</f>
        <v/>
      </c>
      <c r="Z3545" s="47">
        <f>X3545-Y3545</f>
        <v/>
      </c>
    </row>
    <row r="3546">
      <c r="A3546" t="n">
        <v>47</v>
      </c>
      <c r="B3546" s="44">
        <f>FiscalStart+(A3546-1)*7</f>
        <v/>
      </c>
      <c r="C3546">
        <f>TEXT(B3546,"mmm yyyy")</f>
        <v/>
      </c>
      <c r="D3546">
        <f>"Q"&amp;(INT((A3546-1)/13)+1)</f>
        <v/>
      </c>
      <c r="E3546" t="inlineStr">
        <is>
          <t>Online</t>
        </is>
      </c>
      <c r="F3546">
        <f>IFERROR(INDEX(ChFormat,MATCH(E3546,ChName,0)),"")</f>
        <v/>
      </c>
      <c r="G3546" t="inlineStr">
        <is>
          <t>NB</t>
        </is>
      </c>
      <c r="H3546">
        <f>IF(A3546&lt;=NWeeks,1,0)</f>
        <v/>
      </c>
      <c r="I3546">
        <f>INDEX(ChLaunch,MATCH(E3546,ChName,0))</f>
        <v/>
      </c>
      <c r="J3546">
        <f>INDEX(ChWeeksFull,MATCH(E3546,ChName,0))</f>
        <v/>
      </c>
      <c r="K3546">
        <f>INDEX(ChRamp,MATCH(E3546,ChName,0))</f>
        <v/>
      </c>
      <c r="L3546" s="45">
        <f>MIN(1,MAX(0,(A3546-I3546+1)*RampSpeed/J3546))</f>
        <v/>
      </c>
      <c r="M3546" s="45">
        <f>IF(A3546&lt;I3546,0,IF(K3546="S-curve",L3546*L3546*(3-2*L3546),L3546))</f>
        <v/>
      </c>
      <c r="N3546" s="45">
        <f>1+(INDEX(SeasonIdx,A3546)-1)*SeasonAmp</f>
        <v/>
      </c>
      <c r="O3546" s="45">
        <f>IFERROR(INDEX(PSPct,MATCH(E3546&amp;"|"&amp;G3546,PSKey,0)),0)</f>
        <v/>
      </c>
      <c r="P3546" s="46" t="n">
        <v>0</v>
      </c>
      <c r="Q3546" s="46">
        <f>INDEX(OnlineUnitsCol,A3546)*O3546*(1+OnlineGrowth)*N3546*H3546*IF(A3546&gt;=I3546,1,0)</f>
        <v/>
      </c>
      <c r="R3546" s="46">
        <f>Q3546*INDEX(FmtCansPerPack,MATCH(F3546,FmtName,0))/INDEX(FmtCansPerCase,MATCH(F3546,FmtName,0))</f>
        <v/>
      </c>
      <c r="S3546" s="46">
        <f>R3546*INDEX(FmtCansPerCase,MATCH(F3546,FmtName,0))</f>
        <v/>
      </c>
      <c r="T3546" s="46">
        <f>S3546/INDEX(FmtCansPerPack,MATCH(F3546,FmtName,0))</f>
        <v/>
      </c>
      <c r="U3546" s="47">
        <f>INDEX(ProvOnline,MATCH(G3546,ProvCode,0))*(1+PriceIndex)</f>
        <v/>
      </c>
      <c r="V3546" s="47">
        <f>Q3546*U3546*INDEX(FmtBlendedPriceIdx,MATCH(F3546,FmtName,0))</f>
        <v/>
      </c>
      <c r="W3546" s="47">
        <f>V3546</f>
        <v/>
      </c>
      <c r="X3546" s="47">
        <f>IF(GrossBasis="Wholesale",V3546,W3546)</f>
        <v/>
      </c>
      <c r="Y3546" s="47">
        <f>R3546*INDEX(FmtBlendedCogs,MATCH(F3546,FmtName,0))</f>
        <v/>
      </c>
      <c r="Z3546" s="47">
        <f>X3546-Y3546</f>
        <v/>
      </c>
    </row>
    <row r="3547">
      <c r="A3547" t="n">
        <v>48</v>
      </c>
      <c r="B3547" s="44">
        <f>FiscalStart+(A3547-1)*7</f>
        <v/>
      </c>
      <c r="C3547">
        <f>TEXT(B3547,"mmm yyyy")</f>
        <v/>
      </c>
      <c r="D3547">
        <f>"Q"&amp;(INT((A3547-1)/13)+1)</f>
        <v/>
      </c>
      <c r="E3547" t="inlineStr">
        <is>
          <t>Online</t>
        </is>
      </c>
      <c r="F3547">
        <f>IFERROR(INDEX(ChFormat,MATCH(E3547,ChName,0)),"")</f>
        <v/>
      </c>
      <c r="G3547" t="inlineStr">
        <is>
          <t>NB</t>
        </is>
      </c>
      <c r="H3547">
        <f>IF(A3547&lt;=NWeeks,1,0)</f>
        <v/>
      </c>
      <c r="I3547">
        <f>INDEX(ChLaunch,MATCH(E3547,ChName,0))</f>
        <v/>
      </c>
      <c r="J3547">
        <f>INDEX(ChWeeksFull,MATCH(E3547,ChName,0))</f>
        <v/>
      </c>
      <c r="K3547">
        <f>INDEX(ChRamp,MATCH(E3547,ChName,0))</f>
        <v/>
      </c>
      <c r="L3547" s="45">
        <f>MIN(1,MAX(0,(A3547-I3547+1)*RampSpeed/J3547))</f>
        <v/>
      </c>
      <c r="M3547" s="45">
        <f>IF(A3547&lt;I3547,0,IF(K3547="S-curve",L3547*L3547*(3-2*L3547),L3547))</f>
        <v/>
      </c>
      <c r="N3547" s="45">
        <f>1+(INDEX(SeasonIdx,A3547)-1)*SeasonAmp</f>
        <v/>
      </c>
      <c r="O3547" s="45">
        <f>IFERROR(INDEX(PSPct,MATCH(E3547&amp;"|"&amp;G3547,PSKey,0)),0)</f>
        <v/>
      </c>
      <c r="P3547" s="46" t="n">
        <v>0</v>
      </c>
      <c r="Q3547" s="46">
        <f>INDEX(OnlineUnitsCol,A3547)*O3547*(1+OnlineGrowth)*N3547*H3547*IF(A3547&gt;=I3547,1,0)</f>
        <v/>
      </c>
      <c r="R3547" s="46">
        <f>Q3547*INDEX(FmtCansPerPack,MATCH(F3547,FmtName,0))/INDEX(FmtCansPerCase,MATCH(F3547,FmtName,0))</f>
        <v/>
      </c>
      <c r="S3547" s="46">
        <f>R3547*INDEX(FmtCansPerCase,MATCH(F3547,FmtName,0))</f>
        <v/>
      </c>
      <c r="T3547" s="46">
        <f>S3547/INDEX(FmtCansPerPack,MATCH(F3547,FmtName,0))</f>
        <v/>
      </c>
      <c r="U3547" s="47">
        <f>INDEX(ProvOnline,MATCH(G3547,ProvCode,0))*(1+PriceIndex)</f>
        <v/>
      </c>
      <c r="V3547" s="47">
        <f>Q3547*U3547*INDEX(FmtBlendedPriceIdx,MATCH(F3547,FmtName,0))</f>
        <v/>
      </c>
      <c r="W3547" s="47">
        <f>V3547</f>
        <v/>
      </c>
      <c r="X3547" s="47">
        <f>IF(GrossBasis="Wholesale",V3547,W3547)</f>
        <v/>
      </c>
      <c r="Y3547" s="47">
        <f>R3547*INDEX(FmtBlendedCogs,MATCH(F3547,FmtName,0))</f>
        <v/>
      </c>
      <c r="Z3547" s="47">
        <f>X3547-Y3547</f>
        <v/>
      </c>
    </row>
    <row r="3548">
      <c r="A3548" t="n">
        <v>49</v>
      </c>
      <c r="B3548" s="44">
        <f>FiscalStart+(A3548-1)*7</f>
        <v/>
      </c>
      <c r="C3548">
        <f>TEXT(B3548,"mmm yyyy")</f>
        <v/>
      </c>
      <c r="D3548">
        <f>"Q"&amp;(INT((A3548-1)/13)+1)</f>
        <v/>
      </c>
      <c r="E3548" t="inlineStr">
        <is>
          <t>Online</t>
        </is>
      </c>
      <c r="F3548">
        <f>IFERROR(INDEX(ChFormat,MATCH(E3548,ChName,0)),"")</f>
        <v/>
      </c>
      <c r="G3548" t="inlineStr">
        <is>
          <t>NB</t>
        </is>
      </c>
      <c r="H3548">
        <f>IF(A3548&lt;=NWeeks,1,0)</f>
        <v/>
      </c>
      <c r="I3548">
        <f>INDEX(ChLaunch,MATCH(E3548,ChName,0))</f>
        <v/>
      </c>
      <c r="J3548">
        <f>INDEX(ChWeeksFull,MATCH(E3548,ChName,0))</f>
        <v/>
      </c>
      <c r="K3548">
        <f>INDEX(ChRamp,MATCH(E3548,ChName,0))</f>
        <v/>
      </c>
      <c r="L3548" s="45">
        <f>MIN(1,MAX(0,(A3548-I3548+1)*RampSpeed/J3548))</f>
        <v/>
      </c>
      <c r="M3548" s="45">
        <f>IF(A3548&lt;I3548,0,IF(K3548="S-curve",L3548*L3548*(3-2*L3548),L3548))</f>
        <v/>
      </c>
      <c r="N3548" s="45">
        <f>1+(INDEX(SeasonIdx,A3548)-1)*SeasonAmp</f>
        <v/>
      </c>
      <c r="O3548" s="45">
        <f>IFERROR(INDEX(PSPct,MATCH(E3548&amp;"|"&amp;G3548,PSKey,0)),0)</f>
        <v/>
      </c>
      <c r="P3548" s="46" t="n">
        <v>0</v>
      </c>
      <c r="Q3548" s="46">
        <f>INDEX(OnlineUnitsCol,A3548)*O3548*(1+OnlineGrowth)*N3548*H3548*IF(A3548&gt;=I3548,1,0)</f>
        <v/>
      </c>
      <c r="R3548" s="46">
        <f>Q3548*INDEX(FmtCansPerPack,MATCH(F3548,FmtName,0))/INDEX(FmtCansPerCase,MATCH(F3548,FmtName,0))</f>
        <v/>
      </c>
      <c r="S3548" s="46">
        <f>R3548*INDEX(FmtCansPerCase,MATCH(F3548,FmtName,0))</f>
        <v/>
      </c>
      <c r="T3548" s="46">
        <f>S3548/INDEX(FmtCansPerPack,MATCH(F3548,FmtName,0))</f>
        <v/>
      </c>
      <c r="U3548" s="47">
        <f>INDEX(ProvOnline,MATCH(G3548,ProvCode,0))*(1+PriceIndex)</f>
        <v/>
      </c>
      <c r="V3548" s="47">
        <f>Q3548*U3548*INDEX(FmtBlendedPriceIdx,MATCH(F3548,FmtName,0))</f>
        <v/>
      </c>
      <c r="W3548" s="47">
        <f>V3548</f>
        <v/>
      </c>
      <c r="X3548" s="47">
        <f>IF(GrossBasis="Wholesale",V3548,W3548)</f>
        <v/>
      </c>
      <c r="Y3548" s="47">
        <f>R3548*INDEX(FmtBlendedCogs,MATCH(F3548,FmtName,0))</f>
        <v/>
      </c>
      <c r="Z3548" s="47">
        <f>X3548-Y3548</f>
        <v/>
      </c>
    </row>
    <row r="3549">
      <c r="A3549" t="n">
        <v>50</v>
      </c>
      <c r="B3549" s="44">
        <f>FiscalStart+(A3549-1)*7</f>
        <v/>
      </c>
      <c r="C3549">
        <f>TEXT(B3549,"mmm yyyy")</f>
        <v/>
      </c>
      <c r="D3549">
        <f>"Q"&amp;(INT((A3549-1)/13)+1)</f>
        <v/>
      </c>
      <c r="E3549" t="inlineStr">
        <is>
          <t>Online</t>
        </is>
      </c>
      <c r="F3549">
        <f>IFERROR(INDEX(ChFormat,MATCH(E3549,ChName,0)),"")</f>
        <v/>
      </c>
      <c r="G3549" t="inlineStr">
        <is>
          <t>NB</t>
        </is>
      </c>
      <c r="H3549">
        <f>IF(A3549&lt;=NWeeks,1,0)</f>
        <v/>
      </c>
      <c r="I3549">
        <f>INDEX(ChLaunch,MATCH(E3549,ChName,0))</f>
        <v/>
      </c>
      <c r="J3549">
        <f>INDEX(ChWeeksFull,MATCH(E3549,ChName,0))</f>
        <v/>
      </c>
      <c r="K3549">
        <f>INDEX(ChRamp,MATCH(E3549,ChName,0))</f>
        <v/>
      </c>
      <c r="L3549" s="45">
        <f>MIN(1,MAX(0,(A3549-I3549+1)*RampSpeed/J3549))</f>
        <v/>
      </c>
      <c r="M3549" s="45">
        <f>IF(A3549&lt;I3549,0,IF(K3549="S-curve",L3549*L3549*(3-2*L3549),L3549))</f>
        <v/>
      </c>
      <c r="N3549" s="45">
        <f>1+(INDEX(SeasonIdx,A3549)-1)*SeasonAmp</f>
        <v/>
      </c>
      <c r="O3549" s="45">
        <f>IFERROR(INDEX(PSPct,MATCH(E3549&amp;"|"&amp;G3549,PSKey,0)),0)</f>
        <v/>
      </c>
      <c r="P3549" s="46" t="n">
        <v>0</v>
      </c>
      <c r="Q3549" s="46">
        <f>INDEX(OnlineUnitsCol,A3549)*O3549*(1+OnlineGrowth)*N3549*H3549*IF(A3549&gt;=I3549,1,0)</f>
        <v/>
      </c>
      <c r="R3549" s="46">
        <f>Q3549*INDEX(FmtCansPerPack,MATCH(F3549,FmtName,0))/INDEX(FmtCansPerCase,MATCH(F3549,FmtName,0))</f>
        <v/>
      </c>
      <c r="S3549" s="46">
        <f>R3549*INDEX(FmtCansPerCase,MATCH(F3549,FmtName,0))</f>
        <v/>
      </c>
      <c r="T3549" s="46">
        <f>S3549/INDEX(FmtCansPerPack,MATCH(F3549,FmtName,0))</f>
        <v/>
      </c>
      <c r="U3549" s="47">
        <f>INDEX(ProvOnline,MATCH(G3549,ProvCode,0))*(1+PriceIndex)</f>
        <v/>
      </c>
      <c r="V3549" s="47">
        <f>Q3549*U3549*INDEX(FmtBlendedPriceIdx,MATCH(F3549,FmtName,0))</f>
        <v/>
      </c>
      <c r="W3549" s="47">
        <f>V3549</f>
        <v/>
      </c>
      <c r="X3549" s="47">
        <f>IF(GrossBasis="Wholesale",V3549,W3549)</f>
        <v/>
      </c>
      <c r="Y3549" s="47">
        <f>R3549*INDEX(FmtBlendedCogs,MATCH(F3549,FmtName,0))</f>
        <v/>
      </c>
      <c r="Z3549" s="47">
        <f>X3549-Y3549</f>
        <v/>
      </c>
    </row>
    <row r="3550">
      <c r="A3550" t="n">
        <v>51</v>
      </c>
      <c r="B3550" s="44">
        <f>FiscalStart+(A3550-1)*7</f>
        <v/>
      </c>
      <c r="C3550">
        <f>TEXT(B3550,"mmm yyyy")</f>
        <v/>
      </c>
      <c r="D3550">
        <f>"Q"&amp;(INT((A3550-1)/13)+1)</f>
        <v/>
      </c>
      <c r="E3550" t="inlineStr">
        <is>
          <t>Online</t>
        </is>
      </c>
      <c r="F3550">
        <f>IFERROR(INDEX(ChFormat,MATCH(E3550,ChName,0)),"")</f>
        <v/>
      </c>
      <c r="G3550" t="inlineStr">
        <is>
          <t>NB</t>
        </is>
      </c>
      <c r="H3550">
        <f>IF(A3550&lt;=NWeeks,1,0)</f>
        <v/>
      </c>
      <c r="I3550">
        <f>INDEX(ChLaunch,MATCH(E3550,ChName,0))</f>
        <v/>
      </c>
      <c r="J3550">
        <f>INDEX(ChWeeksFull,MATCH(E3550,ChName,0))</f>
        <v/>
      </c>
      <c r="K3550">
        <f>INDEX(ChRamp,MATCH(E3550,ChName,0))</f>
        <v/>
      </c>
      <c r="L3550" s="45">
        <f>MIN(1,MAX(0,(A3550-I3550+1)*RampSpeed/J3550))</f>
        <v/>
      </c>
      <c r="M3550" s="45">
        <f>IF(A3550&lt;I3550,0,IF(K3550="S-curve",L3550*L3550*(3-2*L3550),L3550))</f>
        <v/>
      </c>
      <c r="N3550" s="45">
        <f>1+(INDEX(SeasonIdx,A3550)-1)*SeasonAmp</f>
        <v/>
      </c>
      <c r="O3550" s="45">
        <f>IFERROR(INDEX(PSPct,MATCH(E3550&amp;"|"&amp;G3550,PSKey,0)),0)</f>
        <v/>
      </c>
      <c r="P3550" s="46" t="n">
        <v>0</v>
      </c>
      <c r="Q3550" s="46">
        <f>INDEX(OnlineUnitsCol,A3550)*O3550*(1+OnlineGrowth)*N3550*H3550*IF(A3550&gt;=I3550,1,0)</f>
        <v/>
      </c>
      <c r="R3550" s="46">
        <f>Q3550*INDEX(FmtCansPerPack,MATCH(F3550,FmtName,0))/INDEX(FmtCansPerCase,MATCH(F3550,FmtName,0))</f>
        <v/>
      </c>
      <c r="S3550" s="46">
        <f>R3550*INDEX(FmtCansPerCase,MATCH(F3550,FmtName,0))</f>
        <v/>
      </c>
      <c r="T3550" s="46">
        <f>S3550/INDEX(FmtCansPerPack,MATCH(F3550,FmtName,0))</f>
        <v/>
      </c>
      <c r="U3550" s="47">
        <f>INDEX(ProvOnline,MATCH(G3550,ProvCode,0))*(1+PriceIndex)</f>
        <v/>
      </c>
      <c r="V3550" s="47">
        <f>Q3550*U3550*INDEX(FmtBlendedPriceIdx,MATCH(F3550,FmtName,0))</f>
        <v/>
      </c>
      <c r="W3550" s="47">
        <f>V3550</f>
        <v/>
      </c>
      <c r="X3550" s="47">
        <f>IF(GrossBasis="Wholesale",V3550,W3550)</f>
        <v/>
      </c>
      <c r="Y3550" s="47">
        <f>R3550*INDEX(FmtBlendedCogs,MATCH(F3550,FmtName,0))</f>
        <v/>
      </c>
      <c r="Z3550" s="47">
        <f>X3550-Y3550</f>
        <v/>
      </c>
    </row>
    <row r="3551">
      <c r="A3551" t="n">
        <v>52</v>
      </c>
      <c r="B3551" s="44">
        <f>FiscalStart+(A3551-1)*7</f>
        <v/>
      </c>
      <c r="C3551">
        <f>TEXT(B3551,"mmm yyyy")</f>
        <v/>
      </c>
      <c r="D3551">
        <f>"Q"&amp;(INT((A3551-1)/13)+1)</f>
        <v/>
      </c>
      <c r="E3551" t="inlineStr">
        <is>
          <t>Online</t>
        </is>
      </c>
      <c r="F3551">
        <f>IFERROR(INDEX(ChFormat,MATCH(E3551,ChName,0)),"")</f>
        <v/>
      </c>
      <c r="G3551" t="inlineStr">
        <is>
          <t>NB</t>
        </is>
      </c>
      <c r="H3551">
        <f>IF(A3551&lt;=NWeeks,1,0)</f>
        <v/>
      </c>
      <c r="I3551">
        <f>INDEX(ChLaunch,MATCH(E3551,ChName,0))</f>
        <v/>
      </c>
      <c r="J3551">
        <f>INDEX(ChWeeksFull,MATCH(E3551,ChName,0))</f>
        <v/>
      </c>
      <c r="K3551">
        <f>INDEX(ChRamp,MATCH(E3551,ChName,0))</f>
        <v/>
      </c>
      <c r="L3551" s="45">
        <f>MIN(1,MAX(0,(A3551-I3551+1)*RampSpeed/J3551))</f>
        <v/>
      </c>
      <c r="M3551" s="45">
        <f>IF(A3551&lt;I3551,0,IF(K3551="S-curve",L3551*L3551*(3-2*L3551),L3551))</f>
        <v/>
      </c>
      <c r="N3551" s="45">
        <f>1+(INDEX(SeasonIdx,A3551)-1)*SeasonAmp</f>
        <v/>
      </c>
      <c r="O3551" s="45">
        <f>IFERROR(INDEX(PSPct,MATCH(E3551&amp;"|"&amp;G3551,PSKey,0)),0)</f>
        <v/>
      </c>
      <c r="P3551" s="46" t="n">
        <v>0</v>
      </c>
      <c r="Q3551" s="46">
        <f>INDEX(OnlineUnitsCol,A3551)*O3551*(1+OnlineGrowth)*N3551*H3551*IF(A3551&gt;=I3551,1,0)</f>
        <v/>
      </c>
      <c r="R3551" s="46">
        <f>Q3551*INDEX(FmtCansPerPack,MATCH(F3551,FmtName,0))/INDEX(FmtCansPerCase,MATCH(F3551,FmtName,0))</f>
        <v/>
      </c>
      <c r="S3551" s="46">
        <f>R3551*INDEX(FmtCansPerCase,MATCH(F3551,FmtName,0))</f>
        <v/>
      </c>
      <c r="T3551" s="46">
        <f>S3551/INDEX(FmtCansPerPack,MATCH(F3551,FmtName,0))</f>
        <v/>
      </c>
      <c r="U3551" s="47">
        <f>INDEX(ProvOnline,MATCH(G3551,ProvCode,0))*(1+PriceIndex)</f>
        <v/>
      </c>
      <c r="V3551" s="47">
        <f>Q3551*U3551*INDEX(FmtBlendedPriceIdx,MATCH(F3551,FmtName,0))</f>
        <v/>
      </c>
      <c r="W3551" s="47">
        <f>V3551</f>
        <v/>
      </c>
      <c r="X3551" s="47">
        <f>IF(GrossBasis="Wholesale",V3551,W3551)</f>
        <v/>
      </c>
      <c r="Y3551" s="47">
        <f>R3551*INDEX(FmtBlendedCogs,MATCH(F3551,FmtName,0))</f>
        <v/>
      </c>
      <c r="Z3551" s="47">
        <f>X3551-Y3551</f>
        <v/>
      </c>
    </row>
    <row r="3552">
      <c r="A3552" t="n">
        <v>53</v>
      </c>
      <c r="B3552" s="44">
        <f>FiscalStart+(A3552-1)*7</f>
        <v/>
      </c>
      <c r="C3552">
        <f>TEXT(B3552,"mmm yyyy")</f>
        <v/>
      </c>
      <c r="D3552">
        <f>"Q"&amp;(INT((A3552-1)/13)+1)</f>
        <v/>
      </c>
      <c r="E3552" t="inlineStr">
        <is>
          <t>Online</t>
        </is>
      </c>
      <c r="F3552">
        <f>IFERROR(INDEX(ChFormat,MATCH(E3552,ChName,0)),"")</f>
        <v/>
      </c>
      <c r="G3552" t="inlineStr">
        <is>
          <t>NB</t>
        </is>
      </c>
      <c r="H3552">
        <f>IF(A3552&lt;=NWeeks,1,0)</f>
        <v/>
      </c>
      <c r="I3552">
        <f>INDEX(ChLaunch,MATCH(E3552,ChName,0))</f>
        <v/>
      </c>
      <c r="J3552">
        <f>INDEX(ChWeeksFull,MATCH(E3552,ChName,0))</f>
        <v/>
      </c>
      <c r="K3552">
        <f>INDEX(ChRamp,MATCH(E3552,ChName,0))</f>
        <v/>
      </c>
      <c r="L3552" s="45">
        <f>MIN(1,MAX(0,(A3552-I3552+1)*RampSpeed/J3552))</f>
        <v/>
      </c>
      <c r="M3552" s="45">
        <f>IF(A3552&lt;I3552,0,IF(K3552="S-curve",L3552*L3552*(3-2*L3552),L3552))</f>
        <v/>
      </c>
      <c r="N3552" s="45">
        <f>1+(INDEX(SeasonIdx,A3552)-1)*SeasonAmp</f>
        <v/>
      </c>
      <c r="O3552" s="45">
        <f>IFERROR(INDEX(PSPct,MATCH(E3552&amp;"|"&amp;G3552,PSKey,0)),0)</f>
        <v/>
      </c>
      <c r="P3552" s="46" t="n">
        <v>0</v>
      </c>
      <c r="Q3552" s="46">
        <f>INDEX(OnlineUnitsCol,A3552)*O3552*(1+OnlineGrowth)*N3552*H3552*IF(A3552&gt;=I3552,1,0)</f>
        <v/>
      </c>
      <c r="R3552" s="46">
        <f>Q3552*INDEX(FmtCansPerPack,MATCH(F3552,FmtName,0))/INDEX(FmtCansPerCase,MATCH(F3552,FmtName,0))</f>
        <v/>
      </c>
      <c r="S3552" s="46">
        <f>R3552*INDEX(FmtCansPerCase,MATCH(F3552,FmtName,0))</f>
        <v/>
      </c>
      <c r="T3552" s="46">
        <f>S3552/INDEX(FmtCansPerPack,MATCH(F3552,FmtName,0))</f>
        <v/>
      </c>
      <c r="U3552" s="47">
        <f>INDEX(ProvOnline,MATCH(G3552,ProvCode,0))*(1+PriceIndex)</f>
        <v/>
      </c>
      <c r="V3552" s="47">
        <f>Q3552*U3552*INDEX(FmtBlendedPriceIdx,MATCH(F3552,FmtName,0))</f>
        <v/>
      </c>
      <c r="W3552" s="47">
        <f>V3552</f>
        <v/>
      </c>
      <c r="X3552" s="47">
        <f>IF(GrossBasis="Wholesale",V3552,W3552)</f>
        <v/>
      </c>
      <c r="Y3552" s="47">
        <f>R3552*INDEX(FmtBlendedCogs,MATCH(F3552,FmtName,0))</f>
        <v/>
      </c>
      <c r="Z3552" s="47">
        <f>X3552-Y3552</f>
        <v/>
      </c>
    </row>
    <row r="3553">
      <c r="A3553" t="n">
        <v>1</v>
      </c>
      <c r="B3553" s="44">
        <f>FiscalStart+(A3553-1)*7</f>
        <v/>
      </c>
      <c r="C3553">
        <f>TEXT(B3553,"mmm yyyy")</f>
        <v/>
      </c>
      <c r="D3553">
        <f>"Q"&amp;(INT((A3553-1)/13)+1)</f>
        <v/>
      </c>
      <c r="E3553" t="inlineStr">
        <is>
          <t>Online</t>
        </is>
      </c>
      <c r="F3553">
        <f>IFERROR(INDEX(ChFormat,MATCH(E3553,ChName,0)),"")</f>
        <v/>
      </c>
      <c r="G3553" t="inlineStr">
        <is>
          <t>NS</t>
        </is>
      </c>
      <c r="H3553">
        <f>IF(A3553&lt;=NWeeks,1,0)</f>
        <v/>
      </c>
      <c r="I3553">
        <f>INDEX(ChLaunch,MATCH(E3553,ChName,0))</f>
        <v/>
      </c>
      <c r="J3553">
        <f>INDEX(ChWeeksFull,MATCH(E3553,ChName,0))</f>
        <v/>
      </c>
      <c r="K3553">
        <f>INDEX(ChRamp,MATCH(E3553,ChName,0))</f>
        <v/>
      </c>
      <c r="L3553" s="45">
        <f>MIN(1,MAX(0,(A3553-I3553+1)*RampSpeed/J3553))</f>
        <v/>
      </c>
      <c r="M3553" s="45">
        <f>IF(A3553&lt;I3553,0,IF(K3553="S-curve",L3553*L3553*(3-2*L3553),L3553))</f>
        <v/>
      </c>
      <c r="N3553" s="45">
        <f>1+(INDEX(SeasonIdx,A3553)-1)*SeasonAmp</f>
        <v/>
      </c>
      <c r="O3553" s="45">
        <f>IFERROR(INDEX(PSPct,MATCH(E3553&amp;"|"&amp;G3553,PSKey,0)),0)</f>
        <v/>
      </c>
      <c r="P3553" s="46" t="n">
        <v>0</v>
      </c>
      <c r="Q3553" s="46">
        <f>INDEX(OnlineUnitsCol,A3553)*O3553*(1+OnlineGrowth)*N3553*H3553*IF(A3553&gt;=I3553,1,0)</f>
        <v/>
      </c>
      <c r="R3553" s="46">
        <f>Q3553*INDEX(FmtCansPerPack,MATCH(F3553,FmtName,0))/INDEX(FmtCansPerCase,MATCH(F3553,FmtName,0))</f>
        <v/>
      </c>
      <c r="S3553" s="46">
        <f>R3553*INDEX(FmtCansPerCase,MATCH(F3553,FmtName,0))</f>
        <v/>
      </c>
      <c r="T3553" s="46">
        <f>S3553/INDEX(FmtCansPerPack,MATCH(F3553,FmtName,0))</f>
        <v/>
      </c>
      <c r="U3553" s="47">
        <f>INDEX(ProvOnline,MATCH(G3553,ProvCode,0))*(1+PriceIndex)</f>
        <v/>
      </c>
      <c r="V3553" s="47">
        <f>Q3553*U3553*INDEX(FmtBlendedPriceIdx,MATCH(F3553,FmtName,0))</f>
        <v/>
      </c>
      <c r="W3553" s="47">
        <f>V3553</f>
        <v/>
      </c>
      <c r="X3553" s="47">
        <f>IF(GrossBasis="Wholesale",V3553,W3553)</f>
        <v/>
      </c>
      <c r="Y3553" s="47">
        <f>R3553*INDEX(FmtBlendedCogs,MATCH(F3553,FmtName,0))</f>
        <v/>
      </c>
      <c r="Z3553" s="47">
        <f>X3553-Y3553</f>
        <v/>
      </c>
    </row>
    <row r="3554">
      <c r="A3554" t="n">
        <v>2</v>
      </c>
      <c r="B3554" s="44">
        <f>FiscalStart+(A3554-1)*7</f>
        <v/>
      </c>
      <c r="C3554">
        <f>TEXT(B3554,"mmm yyyy")</f>
        <v/>
      </c>
      <c r="D3554">
        <f>"Q"&amp;(INT((A3554-1)/13)+1)</f>
        <v/>
      </c>
      <c r="E3554" t="inlineStr">
        <is>
          <t>Online</t>
        </is>
      </c>
      <c r="F3554">
        <f>IFERROR(INDEX(ChFormat,MATCH(E3554,ChName,0)),"")</f>
        <v/>
      </c>
      <c r="G3554" t="inlineStr">
        <is>
          <t>NS</t>
        </is>
      </c>
      <c r="H3554">
        <f>IF(A3554&lt;=NWeeks,1,0)</f>
        <v/>
      </c>
      <c r="I3554">
        <f>INDEX(ChLaunch,MATCH(E3554,ChName,0))</f>
        <v/>
      </c>
      <c r="J3554">
        <f>INDEX(ChWeeksFull,MATCH(E3554,ChName,0))</f>
        <v/>
      </c>
      <c r="K3554">
        <f>INDEX(ChRamp,MATCH(E3554,ChName,0))</f>
        <v/>
      </c>
      <c r="L3554" s="45">
        <f>MIN(1,MAX(0,(A3554-I3554+1)*RampSpeed/J3554))</f>
        <v/>
      </c>
      <c r="M3554" s="45">
        <f>IF(A3554&lt;I3554,0,IF(K3554="S-curve",L3554*L3554*(3-2*L3554),L3554))</f>
        <v/>
      </c>
      <c r="N3554" s="45">
        <f>1+(INDEX(SeasonIdx,A3554)-1)*SeasonAmp</f>
        <v/>
      </c>
      <c r="O3554" s="45">
        <f>IFERROR(INDEX(PSPct,MATCH(E3554&amp;"|"&amp;G3554,PSKey,0)),0)</f>
        <v/>
      </c>
      <c r="P3554" s="46" t="n">
        <v>0</v>
      </c>
      <c r="Q3554" s="46">
        <f>INDEX(OnlineUnitsCol,A3554)*O3554*(1+OnlineGrowth)*N3554*H3554*IF(A3554&gt;=I3554,1,0)</f>
        <v/>
      </c>
      <c r="R3554" s="46">
        <f>Q3554*INDEX(FmtCansPerPack,MATCH(F3554,FmtName,0))/INDEX(FmtCansPerCase,MATCH(F3554,FmtName,0))</f>
        <v/>
      </c>
      <c r="S3554" s="46">
        <f>R3554*INDEX(FmtCansPerCase,MATCH(F3554,FmtName,0))</f>
        <v/>
      </c>
      <c r="T3554" s="46">
        <f>S3554/INDEX(FmtCansPerPack,MATCH(F3554,FmtName,0))</f>
        <v/>
      </c>
      <c r="U3554" s="47">
        <f>INDEX(ProvOnline,MATCH(G3554,ProvCode,0))*(1+PriceIndex)</f>
        <v/>
      </c>
      <c r="V3554" s="47">
        <f>Q3554*U3554*INDEX(FmtBlendedPriceIdx,MATCH(F3554,FmtName,0))</f>
        <v/>
      </c>
      <c r="W3554" s="47">
        <f>V3554</f>
        <v/>
      </c>
      <c r="X3554" s="47">
        <f>IF(GrossBasis="Wholesale",V3554,W3554)</f>
        <v/>
      </c>
      <c r="Y3554" s="47">
        <f>R3554*INDEX(FmtBlendedCogs,MATCH(F3554,FmtName,0))</f>
        <v/>
      </c>
      <c r="Z3554" s="47">
        <f>X3554-Y3554</f>
        <v/>
      </c>
    </row>
    <row r="3555">
      <c r="A3555" t="n">
        <v>3</v>
      </c>
      <c r="B3555" s="44">
        <f>FiscalStart+(A3555-1)*7</f>
        <v/>
      </c>
      <c r="C3555">
        <f>TEXT(B3555,"mmm yyyy")</f>
        <v/>
      </c>
      <c r="D3555">
        <f>"Q"&amp;(INT((A3555-1)/13)+1)</f>
        <v/>
      </c>
      <c r="E3555" t="inlineStr">
        <is>
          <t>Online</t>
        </is>
      </c>
      <c r="F3555">
        <f>IFERROR(INDEX(ChFormat,MATCH(E3555,ChName,0)),"")</f>
        <v/>
      </c>
      <c r="G3555" t="inlineStr">
        <is>
          <t>NS</t>
        </is>
      </c>
      <c r="H3555">
        <f>IF(A3555&lt;=NWeeks,1,0)</f>
        <v/>
      </c>
      <c r="I3555">
        <f>INDEX(ChLaunch,MATCH(E3555,ChName,0))</f>
        <v/>
      </c>
      <c r="J3555">
        <f>INDEX(ChWeeksFull,MATCH(E3555,ChName,0))</f>
        <v/>
      </c>
      <c r="K3555">
        <f>INDEX(ChRamp,MATCH(E3555,ChName,0))</f>
        <v/>
      </c>
      <c r="L3555" s="45">
        <f>MIN(1,MAX(0,(A3555-I3555+1)*RampSpeed/J3555))</f>
        <v/>
      </c>
      <c r="M3555" s="45">
        <f>IF(A3555&lt;I3555,0,IF(K3555="S-curve",L3555*L3555*(3-2*L3555),L3555))</f>
        <v/>
      </c>
      <c r="N3555" s="45">
        <f>1+(INDEX(SeasonIdx,A3555)-1)*SeasonAmp</f>
        <v/>
      </c>
      <c r="O3555" s="45">
        <f>IFERROR(INDEX(PSPct,MATCH(E3555&amp;"|"&amp;G3555,PSKey,0)),0)</f>
        <v/>
      </c>
      <c r="P3555" s="46" t="n">
        <v>0</v>
      </c>
      <c r="Q3555" s="46">
        <f>INDEX(OnlineUnitsCol,A3555)*O3555*(1+OnlineGrowth)*N3555*H3555*IF(A3555&gt;=I3555,1,0)</f>
        <v/>
      </c>
      <c r="R3555" s="46">
        <f>Q3555*INDEX(FmtCansPerPack,MATCH(F3555,FmtName,0))/INDEX(FmtCansPerCase,MATCH(F3555,FmtName,0))</f>
        <v/>
      </c>
      <c r="S3555" s="46">
        <f>R3555*INDEX(FmtCansPerCase,MATCH(F3555,FmtName,0))</f>
        <v/>
      </c>
      <c r="T3555" s="46">
        <f>S3555/INDEX(FmtCansPerPack,MATCH(F3555,FmtName,0))</f>
        <v/>
      </c>
      <c r="U3555" s="47">
        <f>INDEX(ProvOnline,MATCH(G3555,ProvCode,0))*(1+PriceIndex)</f>
        <v/>
      </c>
      <c r="V3555" s="47">
        <f>Q3555*U3555*INDEX(FmtBlendedPriceIdx,MATCH(F3555,FmtName,0))</f>
        <v/>
      </c>
      <c r="W3555" s="47">
        <f>V3555</f>
        <v/>
      </c>
      <c r="X3555" s="47">
        <f>IF(GrossBasis="Wholesale",V3555,W3555)</f>
        <v/>
      </c>
      <c r="Y3555" s="47">
        <f>R3555*INDEX(FmtBlendedCogs,MATCH(F3555,FmtName,0))</f>
        <v/>
      </c>
      <c r="Z3555" s="47">
        <f>X3555-Y3555</f>
        <v/>
      </c>
    </row>
    <row r="3556">
      <c r="A3556" t="n">
        <v>4</v>
      </c>
      <c r="B3556" s="44">
        <f>FiscalStart+(A3556-1)*7</f>
        <v/>
      </c>
      <c r="C3556">
        <f>TEXT(B3556,"mmm yyyy")</f>
        <v/>
      </c>
      <c r="D3556">
        <f>"Q"&amp;(INT((A3556-1)/13)+1)</f>
        <v/>
      </c>
      <c r="E3556" t="inlineStr">
        <is>
          <t>Online</t>
        </is>
      </c>
      <c r="F3556">
        <f>IFERROR(INDEX(ChFormat,MATCH(E3556,ChName,0)),"")</f>
        <v/>
      </c>
      <c r="G3556" t="inlineStr">
        <is>
          <t>NS</t>
        </is>
      </c>
      <c r="H3556">
        <f>IF(A3556&lt;=NWeeks,1,0)</f>
        <v/>
      </c>
      <c r="I3556">
        <f>INDEX(ChLaunch,MATCH(E3556,ChName,0))</f>
        <v/>
      </c>
      <c r="J3556">
        <f>INDEX(ChWeeksFull,MATCH(E3556,ChName,0))</f>
        <v/>
      </c>
      <c r="K3556">
        <f>INDEX(ChRamp,MATCH(E3556,ChName,0))</f>
        <v/>
      </c>
      <c r="L3556" s="45">
        <f>MIN(1,MAX(0,(A3556-I3556+1)*RampSpeed/J3556))</f>
        <v/>
      </c>
      <c r="M3556" s="45">
        <f>IF(A3556&lt;I3556,0,IF(K3556="S-curve",L3556*L3556*(3-2*L3556),L3556))</f>
        <v/>
      </c>
      <c r="N3556" s="45">
        <f>1+(INDEX(SeasonIdx,A3556)-1)*SeasonAmp</f>
        <v/>
      </c>
      <c r="O3556" s="45">
        <f>IFERROR(INDEX(PSPct,MATCH(E3556&amp;"|"&amp;G3556,PSKey,0)),0)</f>
        <v/>
      </c>
      <c r="P3556" s="46" t="n">
        <v>0</v>
      </c>
      <c r="Q3556" s="46">
        <f>INDEX(OnlineUnitsCol,A3556)*O3556*(1+OnlineGrowth)*N3556*H3556*IF(A3556&gt;=I3556,1,0)</f>
        <v/>
      </c>
      <c r="R3556" s="46">
        <f>Q3556*INDEX(FmtCansPerPack,MATCH(F3556,FmtName,0))/INDEX(FmtCansPerCase,MATCH(F3556,FmtName,0))</f>
        <v/>
      </c>
      <c r="S3556" s="46">
        <f>R3556*INDEX(FmtCansPerCase,MATCH(F3556,FmtName,0))</f>
        <v/>
      </c>
      <c r="T3556" s="46">
        <f>S3556/INDEX(FmtCansPerPack,MATCH(F3556,FmtName,0))</f>
        <v/>
      </c>
      <c r="U3556" s="47">
        <f>INDEX(ProvOnline,MATCH(G3556,ProvCode,0))*(1+PriceIndex)</f>
        <v/>
      </c>
      <c r="V3556" s="47">
        <f>Q3556*U3556*INDEX(FmtBlendedPriceIdx,MATCH(F3556,FmtName,0))</f>
        <v/>
      </c>
      <c r="W3556" s="47">
        <f>V3556</f>
        <v/>
      </c>
      <c r="X3556" s="47">
        <f>IF(GrossBasis="Wholesale",V3556,W3556)</f>
        <v/>
      </c>
      <c r="Y3556" s="47">
        <f>R3556*INDEX(FmtBlendedCogs,MATCH(F3556,FmtName,0))</f>
        <v/>
      </c>
      <c r="Z3556" s="47">
        <f>X3556-Y3556</f>
        <v/>
      </c>
    </row>
    <row r="3557">
      <c r="A3557" t="n">
        <v>5</v>
      </c>
      <c r="B3557" s="44">
        <f>FiscalStart+(A3557-1)*7</f>
        <v/>
      </c>
      <c r="C3557">
        <f>TEXT(B3557,"mmm yyyy")</f>
        <v/>
      </c>
      <c r="D3557">
        <f>"Q"&amp;(INT((A3557-1)/13)+1)</f>
        <v/>
      </c>
      <c r="E3557" t="inlineStr">
        <is>
          <t>Online</t>
        </is>
      </c>
      <c r="F3557">
        <f>IFERROR(INDEX(ChFormat,MATCH(E3557,ChName,0)),"")</f>
        <v/>
      </c>
      <c r="G3557" t="inlineStr">
        <is>
          <t>NS</t>
        </is>
      </c>
      <c r="H3557">
        <f>IF(A3557&lt;=NWeeks,1,0)</f>
        <v/>
      </c>
      <c r="I3557">
        <f>INDEX(ChLaunch,MATCH(E3557,ChName,0))</f>
        <v/>
      </c>
      <c r="J3557">
        <f>INDEX(ChWeeksFull,MATCH(E3557,ChName,0))</f>
        <v/>
      </c>
      <c r="K3557">
        <f>INDEX(ChRamp,MATCH(E3557,ChName,0))</f>
        <v/>
      </c>
      <c r="L3557" s="45">
        <f>MIN(1,MAX(0,(A3557-I3557+1)*RampSpeed/J3557))</f>
        <v/>
      </c>
      <c r="M3557" s="45">
        <f>IF(A3557&lt;I3557,0,IF(K3557="S-curve",L3557*L3557*(3-2*L3557),L3557))</f>
        <v/>
      </c>
      <c r="N3557" s="45">
        <f>1+(INDEX(SeasonIdx,A3557)-1)*SeasonAmp</f>
        <v/>
      </c>
      <c r="O3557" s="45">
        <f>IFERROR(INDEX(PSPct,MATCH(E3557&amp;"|"&amp;G3557,PSKey,0)),0)</f>
        <v/>
      </c>
      <c r="P3557" s="46" t="n">
        <v>0</v>
      </c>
      <c r="Q3557" s="46">
        <f>INDEX(OnlineUnitsCol,A3557)*O3557*(1+OnlineGrowth)*N3557*H3557*IF(A3557&gt;=I3557,1,0)</f>
        <v/>
      </c>
      <c r="R3557" s="46">
        <f>Q3557*INDEX(FmtCansPerPack,MATCH(F3557,FmtName,0))/INDEX(FmtCansPerCase,MATCH(F3557,FmtName,0))</f>
        <v/>
      </c>
      <c r="S3557" s="46">
        <f>R3557*INDEX(FmtCansPerCase,MATCH(F3557,FmtName,0))</f>
        <v/>
      </c>
      <c r="T3557" s="46">
        <f>S3557/INDEX(FmtCansPerPack,MATCH(F3557,FmtName,0))</f>
        <v/>
      </c>
      <c r="U3557" s="47">
        <f>INDEX(ProvOnline,MATCH(G3557,ProvCode,0))*(1+PriceIndex)</f>
        <v/>
      </c>
      <c r="V3557" s="47">
        <f>Q3557*U3557*INDEX(FmtBlendedPriceIdx,MATCH(F3557,FmtName,0))</f>
        <v/>
      </c>
      <c r="W3557" s="47">
        <f>V3557</f>
        <v/>
      </c>
      <c r="X3557" s="47">
        <f>IF(GrossBasis="Wholesale",V3557,W3557)</f>
        <v/>
      </c>
      <c r="Y3557" s="47">
        <f>R3557*INDEX(FmtBlendedCogs,MATCH(F3557,FmtName,0))</f>
        <v/>
      </c>
      <c r="Z3557" s="47">
        <f>X3557-Y3557</f>
        <v/>
      </c>
    </row>
    <row r="3558">
      <c r="A3558" t="n">
        <v>6</v>
      </c>
      <c r="B3558" s="44">
        <f>FiscalStart+(A3558-1)*7</f>
        <v/>
      </c>
      <c r="C3558">
        <f>TEXT(B3558,"mmm yyyy")</f>
        <v/>
      </c>
      <c r="D3558">
        <f>"Q"&amp;(INT((A3558-1)/13)+1)</f>
        <v/>
      </c>
      <c r="E3558" t="inlineStr">
        <is>
          <t>Online</t>
        </is>
      </c>
      <c r="F3558">
        <f>IFERROR(INDEX(ChFormat,MATCH(E3558,ChName,0)),"")</f>
        <v/>
      </c>
      <c r="G3558" t="inlineStr">
        <is>
          <t>NS</t>
        </is>
      </c>
      <c r="H3558">
        <f>IF(A3558&lt;=NWeeks,1,0)</f>
        <v/>
      </c>
      <c r="I3558">
        <f>INDEX(ChLaunch,MATCH(E3558,ChName,0))</f>
        <v/>
      </c>
      <c r="J3558">
        <f>INDEX(ChWeeksFull,MATCH(E3558,ChName,0))</f>
        <v/>
      </c>
      <c r="K3558">
        <f>INDEX(ChRamp,MATCH(E3558,ChName,0))</f>
        <v/>
      </c>
      <c r="L3558" s="45">
        <f>MIN(1,MAX(0,(A3558-I3558+1)*RampSpeed/J3558))</f>
        <v/>
      </c>
      <c r="M3558" s="45">
        <f>IF(A3558&lt;I3558,0,IF(K3558="S-curve",L3558*L3558*(3-2*L3558),L3558))</f>
        <v/>
      </c>
      <c r="N3558" s="45">
        <f>1+(INDEX(SeasonIdx,A3558)-1)*SeasonAmp</f>
        <v/>
      </c>
      <c r="O3558" s="45">
        <f>IFERROR(INDEX(PSPct,MATCH(E3558&amp;"|"&amp;G3558,PSKey,0)),0)</f>
        <v/>
      </c>
      <c r="P3558" s="46" t="n">
        <v>0</v>
      </c>
      <c r="Q3558" s="46">
        <f>INDEX(OnlineUnitsCol,A3558)*O3558*(1+OnlineGrowth)*N3558*H3558*IF(A3558&gt;=I3558,1,0)</f>
        <v/>
      </c>
      <c r="R3558" s="46">
        <f>Q3558*INDEX(FmtCansPerPack,MATCH(F3558,FmtName,0))/INDEX(FmtCansPerCase,MATCH(F3558,FmtName,0))</f>
        <v/>
      </c>
      <c r="S3558" s="46">
        <f>R3558*INDEX(FmtCansPerCase,MATCH(F3558,FmtName,0))</f>
        <v/>
      </c>
      <c r="T3558" s="46">
        <f>S3558/INDEX(FmtCansPerPack,MATCH(F3558,FmtName,0))</f>
        <v/>
      </c>
      <c r="U3558" s="47">
        <f>INDEX(ProvOnline,MATCH(G3558,ProvCode,0))*(1+PriceIndex)</f>
        <v/>
      </c>
      <c r="V3558" s="47">
        <f>Q3558*U3558*INDEX(FmtBlendedPriceIdx,MATCH(F3558,FmtName,0))</f>
        <v/>
      </c>
      <c r="W3558" s="47">
        <f>V3558</f>
        <v/>
      </c>
      <c r="X3558" s="47">
        <f>IF(GrossBasis="Wholesale",V3558,W3558)</f>
        <v/>
      </c>
      <c r="Y3558" s="47">
        <f>R3558*INDEX(FmtBlendedCogs,MATCH(F3558,FmtName,0))</f>
        <v/>
      </c>
      <c r="Z3558" s="47">
        <f>X3558-Y3558</f>
        <v/>
      </c>
    </row>
    <row r="3559">
      <c r="A3559" t="n">
        <v>7</v>
      </c>
      <c r="B3559" s="44">
        <f>FiscalStart+(A3559-1)*7</f>
        <v/>
      </c>
      <c r="C3559">
        <f>TEXT(B3559,"mmm yyyy")</f>
        <v/>
      </c>
      <c r="D3559">
        <f>"Q"&amp;(INT((A3559-1)/13)+1)</f>
        <v/>
      </c>
      <c r="E3559" t="inlineStr">
        <is>
          <t>Online</t>
        </is>
      </c>
      <c r="F3559">
        <f>IFERROR(INDEX(ChFormat,MATCH(E3559,ChName,0)),"")</f>
        <v/>
      </c>
      <c r="G3559" t="inlineStr">
        <is>
          <t>NS</t>
        </is>
      </c>
      <c r="H3559">
        <f>IF(A3559&lt;=NWeeks,1,0)</f>
        <v/>
      </c>
      <c r="I3559">
        <f>INDEX(ChLaunch,MATCH(E3559,ChName,0))</f>
        <v/>
      </c>
      <c r="J3559">
        <f>INDEX(ChWeeksFull,MATCH(E3559,ChName,0))</f>
        <v/>
      </c>
      <c r="K3559">
        <f>INDEX(ChRamp,MATCH(E3559,ChName,0))</f>
        <v/>
      </c>
      <c r="L3559" s="45">
        <f>MIN(1,MAX(0,(A3559-I3559+1)*RampSpeed/J3559))</f>
        <v/>
      </c>
      <c r="M3559" s="45">
        <f>IF(A3559&lt;I3559,0,IF(K3559="S-curve",L3559*L3559*(3-2*L3559),L3559))</f>
        <v/>
      </c>
      <c r="N3559" s="45">
        <f>1+(INDEX(SeasonIdx,A3559)-1)*SeasonAmp</f>
        <v/>
      </c>
      <c r="O3559" s="45">
        <f>IFERROR(INDEX(PSPct,MATCH(E3559&amp;"|"&amp;G3559,PSKey,0)),0)</f>
        <v/>
      </c>
      <c r="P3559" s="46" t="n">
        <v>0</v>
      </c>
      <c r="Q3559" s="46">
        <f>INDEX(OnlineUnitsCol,A3559)*O3559*(1+OnlineGrowth)*N3559*H3559*IF(A3559&gt;=I3559,1,0)</f>
        <v/>
      </c>
      <c r="R3559" s="46">
        <f>Q3559*INDEX(FmtCansPerPack,MATCH(F3559,FmtName,0))/INDEX(FmtCansPerCase,MATCH(F3559,FmtName,0))</f>
        <v/>
      </c>
      <c r="S3559" s="46">
        <f>R3559*INDEX(FmtCansPerCase,MATCH(F3559,FmtName,0))</f>
        <v/>
      </c>
      <c r="T3559" s="46">
        <f>S3559/INDEX(FmtCansPerPack,MATCH(F3559,FmtName,0))</f>
        <v/>
      </c>
      <c r="U3559" s="47">
        <f>INDEX(ProvOnline,MATCH(G3559,ProvCode,0))*(1+PriceIndex)</f>
        <v/>
      </c>
      <c r="V3559" s="47">
        <f>Q3559*U3559*INDEX(FmtBlendedPriceIdx,MATCH(F3559,FmtName,0))</f>
        <v/>
      </c>
      <c r="W3559" s="47">
        <f>V3559</f>
        <v/>
      </c>
      <c r="X3559" s="47">
        <f>IF(GrossBasis="Wholesale",V3559,W3559)</f>
        <v/>
      </c>
      <c r="Y3559" s="47">
        <f>R3559*INDEX(FmtBlendedCogs,MATCH(F3559,FmtName,0))</f>
        <v/>
      </c>
      <c r="Z3559" s="47">
        <f>X3559-Y3559</f>
        <v/>
      </c>
    </row>
    <row r="3560">
      <c r="A3560" t="n">
        <v>8</v>
      </c>
      <c r="B3560" s="44">
        <f>FiscalStart+(A3560-1)*7</f>
        <v/>
      </c>
      <c r="C3560">
        <f>TEXT(B3560,"mmm yyyy")</f>
        <v/>
      </c>
      <c r="D3560">
        <f>"Q"&amp;(INT((A3560-1)/13)+1)</f>
        <v/>
      </c>
      <c r="E3560" t="inlineStr">
        <is>
          <t>Online</t>
        </is>
      </c>
      <c r="F3560">
        <f>IFERROR(INDEX(ChFormat,MATCH(E3560,ChName,0)),"")</f>
        <v/>
      </c>
      <c r="G3560" t="inlineStr">
        <is>
          <t>NS</t>
        </is>
      </c>
      <c r="H3560">
        <f>IF(A3560&lt;=NWeeks,1,0)</f>
        <v/>
      </c>
      <c r="I3560">
        <f>INDEX(ChLaunch,MATCH(E3560,ChName,0))</f>
        <v/>
      </c>
      <c r="J3560">
        <f>INDEX(ChWeeksFull,MATCH(E3560,ChName,0))</f>
        <v/>
      </c>
      <c r="K3560">
        <f>INDEX(ChRamp,MATCH(E3560,ChName,0))</f>
        <v/>
      </c>
      <c r="L3560" s="45">
        <f>MIN(1,MAX(0,(A3560-I3560+1)*RampSpeed/J3560))</f>
        <v/>
      </c>
      <c r="M3560" s="45">
        <f>IF(A3560&lt;I3560,0,IF(K3560="S-curve",L3560*L3560*(3-2*L3560),L3560))</f>
        <v/>
      </c>
      <c r="N3560" s="45">
        <f>1+(INDEX(SeasonIdx,A3560)-1)*SeasonAmp</f>
        <v/>
      </c>
      <c r="O3560" s="45">
        <f>IFERROR(INDEX(PSPct,MATCH(E3560&amp;"|"&amp;G3560,PSKey,0)),0)</f>
        <v/>
      </c>
      <c r="P3560" s="46" t="n">
        <v>0</v>
      </c>
      <c r="Q3560" s="46">
        <f>INDEX(OnlineUnitsCol,A3560)*O3560*(1+OnlineGrowth)*N3560*H3560*IF(A3560&gt;=I3560,1,0)</f>
        <v/>
      </c>
      <c r="R3560" s="46">
        <f>Q3560*INDEX(FmtCansPerPack,MATCH(F3560,FmtName,0))/INDEX(FmtCansPerCase,MATCH(F3560,FmtName,0))</f>
        <v/>
      </c>
      <c r="S3560" s="46">
        <f>R3560*INDEX(FmtCansPerCase,MATCH(F3560,FmtName,0))</f>
        <v/>
      </c>
      <c r="T3560" s="46">
        <f>S3560/INDEX(FmtCansPerPack,MATCH(F3560,FmtName,0))</f>
        <v/>
      </c>
      <c r="U3560" s="47">
        <f>INDEX(ProvOnline,MATCH(G3560,ProvCode,0))*(1+PriceIndex)</f>
        <v/>
      </c>
      <c r="V3560" s="47">
        <f>Q3560*U3560*INDEX(FmtBlendedPriceIdx,MATCH(F3560,FmtName,0))</f>
        <v/>
      </c>
      <c r="W3560" s="47">
        <f>V3560</f>
        <v/>
      </c>
      <c r="X3560" s="47">
        <f>IF(GrossBasis="Wholesale",V3560,W3560)</f>
        <v/>
      </c>
      <c r="Y3560" s="47">
        <f>R3560*INDEX(FmtBlendedCogs,MATCH(F3560,FmtName,0))</f>
        <v/>
      </c>
      <c r="Z3560" s="47">
        <f>X3560-Y3560</f>
        <v/>
      </c>
    </row>
    <row r="3561">
      <c r="A3561" t="n">
        <v>9</v>
      </c>
      <c r="B3561" s="44">
        <f>FiscalStart+(A3561-1)*7</f>
        <v/>
      </c>
      <c r="C3561">
        <f>TEXT(B3561,"mmm yyyy")</f>
        <v/>
      </c>
      <c r="D3561">
        <f>"Q"&amp;(INT((A3561-1)/13)+1)</f>
        <v/>
      </c>
      <c r="E3561" t="inlineStr">
        <is>
          <t>Online</t>
        </is>
      </c>
      <c r="F3561">
        <f>IFERROR(INDEX(ChFormat,MATCH(E3561,ChName,0)),"")</f>
        <v/>
      </c>
      <c r="G3561" t="inlineStr">
        <is>
          <t>NS</t>
        </is>
      </c>
      <c r="H3561">
        <f>IF(A3561&lt;=NWeeks,1,0)</f>
        <v/>
      </c>
      <c r="I3561">
        <f>INDEX(ChLaunch,MATCH(E3561,ChName,0))</f>
        <v/>
      </c>
      <c r="J3561">
        <f>INDEX(ChWeeksFull,MATCH(E3561,ChName,0))</f>
        <v/>
      </c>
      <c r="K3561">
        <f>INDEX(ChRamp,MATCH(E3561,ChName,0))</f>
        <v/>
      </c>
      <c r="L3561" s="45">
        <f>MIN(1,MAX(0,(A3561-I3561+1)*RampSpeed/J3561))</f>
        <v/>
      </c>
      <c r="M3561" s="45">
        <f>IF(A3561&lt;I3561,0,IF(K3561="S-curve",L3561*L3561*(3-2*L3561),L3561))</f>
        <v/>
      </c>
      <c r="N3561" s="45">
        <f>1+(INDEX(SeasonIdx,A3561)-1)*SeasonAmp</f>
        <v/>
      </c>
      <c r="O3561" s="45">
        <f>IFERROR(INDEX(PSPct,MATCH(E3561&amp;"|"&amp;G3561,PSKey,0)),0)</f>
        <v/>
      </c>
      <c r="P3561" s="46" t="n">
        <v>0</v>
      </c>
      <c r="Q3561" s="46">
        <f>INDEX(OnlineUnitsCol,A3561)*O3561*(1+OnlineGrowth)*N3561*H3561*IF(A3561&gt;=I3561,1,0)</f>
        <v/>
      </c>
      <c r="R3561" s="46">
        <f>Q3561*INDEX(FmtCansPerPack,MATCH(F3561,FmtName,0))/INDEX(FmtCansPerCase,MATCH(F3561,FmtName,0))</f>
        <v/>
      </c>
      <c r="S3561" s="46">
        <f>R3561*INDEX(FmtCansPerCase,MATCH(F3561,FmtName,0))</f>
        <v/>
      </c>
      <c r="T3561" s="46">
        <f>S3561/INDEX(FmtCansPerPack,MATCH(F3561,FmtName,0))</f>
        <v/>
      </c>
      <c r="U3561" s="47">
        <f>INDEX(ProvOnline,MATCH(G3561,ProvCode,0))*(1+PriceIndex)</f>
        <v/>
      </c>
      <c r="V3561" s="47">
        <f>Q3561*U3561*INDEX(FmtBlendedPriceIdx,MATCH(F3561,FmtName,0))</f>
        <v/>
      </c>
      <c r="W3561" s="47">
        <f>V3561</f>
        <v/>
      </c>
      <c r="X3561" s="47">
        <f>IF(GrossBasis="Wholesale",V3561,W3561)</f>
        <v/>
      </c>
      <c r="Y3561" s="47">
        <f>R3561*INDEX(FmtBlendedCogs,MATCH(F3561,FmtName,0))</f>
        <v/>
      </c>
      <c r="Z3561" s="47">
        <f>X3561-Y3561</f>
        <v/>
      </c>
    </row>
    <row r="3562">
      <c r="A3562" t="n">
        <v>10</v>
      </c>
      <c r="B3562" s="44">
        <f>FiscalStart+(A3562-1)*7</f>
        <v/>
      </c>
      <c r="C3562">
        <f>TEXT(B3562,"mmm yyyy")</f>
        <v/>
      </c>
      <c r="D3562">
        <f>"Q"&amp;(INT((A3562-1)/13)+1)</f>
        <v/>
      </c>
      <c r="E3562" t="inlineStr">
        <is>
          <t>Online</t>
        </is>
      </c>
      <c r="F3562">
        <f>IFERROR(INDEX(ChFormat,MATCH(E3562,ChName,0)),"")</f>
        <v/>
      </c>
      <c r="G3562" t="inlineStr">
        <is>
          <t>NS</t>
        </is>
      </c>
      <c r="H3562">
        <f>IF(A3562&lt;=NWeeks,1,0)</f>
        <v/>
      </c>
      <c r="I3562">
        <f>INDEX(ChLaunch,MATCH(E3562,ChName,0))</f>
        <v/>
      </c>
      <c r="J3562">
        <f>INDEX(ChWeeksFull,MATCH(E3562,ChName,0))</f>
        <v/>
      </c>
      <c r="K3562">
        <f>INDEX(ChRamp,MATCH(E3562,ChName,0))</f>
        <v/>
      </c>
      <c r="L3562" s="45">
        <f>MIN(1,MAX(0,(A3562-I3562+1)*RampSpeed/J3562))</f>
        <v/>
      </c>
      <c r="M3562" s="45">
        <f>IF(A3562&lt;I3562,0,IF(K3562="S-curve",L3562*L3562*(3-2*L3562),L3562))</f>
        <v/>
      </c>
      <c r="N3562" s="45">
        <f>1+(INDEX(SeasonIdx,A3562)-1)*SeasonAmp</f>
        <v/>
      </c>
      <c r="O3562" s="45">
        <f>IFERROR(INDEX(PSPct,MATCH(E3562&amp;"|"&amp;G3562,PSKey,0)),0)</f>
        <v/>
      </c>
      <c r="P3562" s="46" t="n">
        <v>0</v>
      </c>
      <c r="Q3562" s="46">
        <f>INDEX(OnlineUnitsCol,A3562)*O3562*(1+OnlineGrowth)*N3562*H3562*IF(A3562&gt;=I3562,1,0)</f>
        <v/>
      </c>
      <c r="R3562" s="46">
        <f>Q3562*INDEX(FmtCansPerPack,MATCH(F3562,FmtName,0))/INDEX(FmtCansPerCase,MATCH(F3562,FmtName,0))</f>
        <v/>
      </c>
      <c r="S3562" s="46">
        <f>R3562*INDEX(FmtCansPerCase,MATCH(F3562,FmtName,0))</f>
        <v/>
      </c>
      <c r="T3562" s="46">
        <f>S3562/INDEX(FmtCansPerPack,MATCH(F3562,FmtName,0))</f>
        <v/>
      </c>
      <c r="U3562" s="47">
        <f>INDEX(ProvOnline,MATCH(G3562,ProvCode,0))*(1+PriceIndex)</f>
        <v/>
      </c>
      <c r="V3562" s="47">
        <f>Q3562*U3562*INDEX(FmtBlendedPriceIdx,MATCH(F3562,FmtName,0))</f>
        <v/>
      </c>
      <c r="W3562" s="47">
        <f>V3562</f>
        <v/>
      </c>
      <c r="X3562" s="47">
        <f>IF(GrossBasis="Wholesale",V3562,W3562)</f>
        <v/>
      </c>
      <c r="Y3562" s="47">
        <f>R3562*INDEX(FmtBlendedCogs,MATCH(F3562,FmtName,0))</f>
        <v/>
      </c>
      <c r="Z3562" s="47">
        <f>X3562-Y3562</f>
        <v/>
      </c>
    </row>
    <row r="3563">
      <c r="A3563" t="n">
        <v>11</v>
      </c>
      <c r="B3563" s="44">
        <f>FiscalStart+(A3563-1)*7</f>
        <v/>
      </c>
      <c r="C3563">
        <f>TEXT(B3563,"mmm yyyy")</f>
        <v/>
      </c>
      <c r="D3563">
        <f>"Q"&amp;(INT((A3563-1)/13)+1)</f>
        <v/>
      </c>
      <c r="E3563" t="inlineStr">
        <is>
          <t>Online</t>
        </is>
      </c>
      <c r="F3563">
        <f>IFERROR(INDEX(ChFormat,MATCH(E3563,ChName,0)),"")</f>
        <v/>
      </c>
      <c r="G3563" t="inlineStr">
        <is>
          <t>NS</t>
        </is>
      </c>
      <c r="H3563">
        <f>IF(A3563&lt;=NWeeks,1,0)</f>
        <v/>
      </c>
      <c r="I3563">
        <f>INDEX(ChLaunch,MATCH(E3563,ChName,0))</f>
        <v/>
      </c>
      <c r="J3563">
        <f>INDEX(ChWeeksFull,MATCH(E3563,ChName,0))</f>
        <v/>
      </c>
      <c r="K3563">
        <f>INDEX(ChRamp,MATCH(E3563,ChName,0))</f>
        <v/>
      </c>
      <c r="L3563" s="45">
        <f>MIN(1,MAX(0,(A3563-I3563+1)*RampSpeed/J3563))</f>
        <v/>
      </c>
      <c r="M3563" s="45">
        <f>IF(A3563&lt;I3563,0,IF(K3563="S-curve",L3563*L3563*(3-2*L3563),L3563))</f>
        <v/>
      </c>
      <c r="N3563" s="45">
        <f>1+(INDEX(SeasonIdx,A3563)-1)*SeasonAmp</f>
        <v/>
      </c>
      <c r="O3563" s="45">
        <f>IFERROR(INDEX(PSPct,MATCH(E3563&amp;"|"&amp;G3563,PSKey,0)),0)</f>
        <v/>
      </c>
      <c r="P3563" s="46" t="n">
        <v>0</v>
      </c>
      <c r="Q3563" s="46">
        <f>INDEX(OnlineUnitsCol,A3563)*O3563*(1+OnlineGrowth)*N3563*H3563*IF(A3563&gt;=I3563,1,0)</f>
        <v/>
      </c>
      <c r="R3563" s="46">
        <f>Q3563*INDEX(FmtCansPerPack,MATCH(F3563,FmtName,0))/INDEX(FmtCansPerCase,MATCH(F3563,FmtName,0))</f>
        <v/>
      </c>
      <c r="S3563" s="46">
        <f>R3563*INDEX(FmtCansPerCase,MATCH(F3563,FmtName,0))</f>
        <v/>
      </c>
      <c r="T3563" s="46">
        <f>S3563/INDEX(FmtCansPerPack,MATCH(F3563,FmtName,0))</f>
        <v/>
      </c>
      <c r="U3563" s="47">
        <f>INDEX(ProvOnline,MATCH(G3563,ProvCode,0))*(1+PriceIndex)</f>
        <v/>
      </c>
      <c r="V3563" s="47">
        <f>Q3563*U3563*INDEX(FmtBlendedPriceIdx,MATCH(F3563,FmtName,0))</f>
        <v/>
      </c>
      <c r="W3563" s="47">
        <f>V3563</f>
        <v/>
      </c>
      <c r="X3563" s="47">
        <f>IF(GrossBasis="Wholesale",V3563,W3563)</f>
        <v/>
      </c>
      <c r="Y3563" s="47">
        <f>R3563*INDEX(FmtBlendedCogs,MATCH(F3563,FmtName,0))</f>
        <v/>
      </c>
      <c r="Z3563" s="47">
        <f>X3563-Y3563</f>
        <v/>
      </c>
    </row>
    <row r="3564">
      <c r="A3564" t="n">
        <v>12</v>
      </c>
      <c r="B3564" s="44">
        <f>FiscalStart+(A3564-1)*7</f>
        <v/>
      </c>
      <c r="C3564">
        <f>TEXT(B3564,"mmm yyyy")</f>
        <v/>
      </c>
      <c r="D3564">
        <f>"Q"&amp;(INT((A3564-1)/13)+1)</f>
        <v/>
      </c>
      <c r="E3564" t="inlineStr">
        <is>
          <t>Online</t>
        </is>
      </c>
      <c r="F3564">
        <f>IFERROR(INDEX(ChFormat,MATCH(E3564,ChName,0)),"")</f>
        <v/>
      </c>
      <c r="G3564" t="inlineStr">
        <is>
          <t>NS</t>
        </is>
      </c>
      <c r="H3564">
        <f>IF(A3564&lt;=NWeeks,1,0)</f>
        <v/>
      </c>
      <c r="I3564">
        <f>INDEX(ChLaunch,MATCH(E3564,ChName,0))</f>
        <v/>
      </c>
      <c r="J3564">
        <f>INDEX(ChWeeksFull,MATCH(E3564,ChName,0))</f>
        <v/>
      </c>
      <c r="K3564">
        <f>INDEX(ChRamp,MATCH(E3564,ChName,0))</f>
        <v/>
      </c>
      <c r="L3564" s="45">
        <f>MIN(1,MAX(0,(A3564-I3564+1)*RampSpeed/J3564))</f>
        <v/>
      </c>
      <c r="M3564" s="45">
        <f>IF(A3564&lt;I3564,0,IF(K3564="S-curve",L3564*L3564*(3-2*L3564),L3564))</f>
        <v/>
      </c>
      <c r="N3564" s="45">
        <f>1+(INDEX(SeasonIdx,A3564)-1)*SeasonAmp</f>
        <v/>
      </c>
      <c r="O3564" s="45">
        <f>IFERROR(INDEX(PSPct,MATCH(E3564&amp;"|"&amp;G3564,PSKey,0)),0)</f>
        <v/>
      </c>
      <c r="P3564" s="46" t="n">
        <v>0</v>
      </c>
      <c r="Q3564" s="46">
        <f>INDEX(OnlineUnitsCol,A3564)*O3564*(1+OnlineGrowth)*N3564*H3564*IF(A3564&gt;=I3564,1,0)</f>
        <v/>
      </c>
      <c r="R3564" s="46">
        <f>Q3564*INDEX(FmtCansPerPack,MATCH(F3564,FmtName,0))/INDEX(FmtCansPerCase,MATCH(F3564,FmtName,0))</f>
        <v/>
      </c>
      <c r="S3564" s="46">
        <f>R3564*INDEX(FmtCansPerCase,MATCH(F3564,FmtName,0))</f>
        <v/>
      </c>
      <c r="T3564" s="46">
        <f>S3564/INDEX(FmtCansPerPack,MATCH(F3564,FmtName,0))</f>
        <v/>
      </c>
      <c r="U3564" s="47">
        <f>INDEX(ProvOnline,MATCH(G3564,ProvCode,0))*(1+PriceIndex)</f>
        <v/>
      </c>
      <c r="V3564" s="47">
        <f>Q3564*U3564*INDEX(FmtBlendedPriceIdx,MATCH(F3564,FmtName,0))</f>
        <v/>
      </c>
      <c r="W3564" s="47">
        <f>V3564</f>
        <v/>
      </c>
      <c r="X3564" s="47">
        <f>IF(GrossBasis="Wholesale",V3564,W3564)</f>
        <v/>
      </c>
      <c r="Y3564" s="47">
        <f>R3564*INDEX(FmtBlendedCogs,MATCH(F3564,FmtName,0))</f>
        <v/>
      </c>
      <c r="Z3564" s="47">
        <f>X3564-Y3564</f>
        <v/>
      </c>
    </row>
    <row r="3565">
      <c r="A3565" t="n">
        <v>13</v>
      </c>
      <c r="B3565" s="44">
        <f>FiscalStart+(A3565-1)*7</f>
        <v/>
      </c>
      <c r="C3565">
        <f>TEXT(B3565,"mmm yyyy")</f>
        <v/>
      </c>
      <c r="D3565">
        <f>"Q"&amp;(INT((A3565-1)/13)+1)</f>
        <v/>
      </c>
      <c r="E3565" t="inlineStr">
        <is>
          <t>Online</t>
        </is>
      </c>
      <c r="F3565">
        <f>IFERROR(INDEX(ChFormat,MATCH(E3565,ChName,0)),"")</f>
        <v/>
      </c>
      <c r="G3565" t="inlineStr">
        <is>
          <t>NS</t>
        </is>
      </c>
      <c r="H3565">
        <f>IF(A3565&lt;=NWeeks,1,0)</f>
        <v/>
      </c>
      <c r="I3565">
        <f>INDEX(ChLaunch,MATCH(E3565,ChName,0))</f>
        <v/>
      </c>
      <c r="J3565">
        <f>INDEX(ChWeeksFull,MATCH(E3565,ChName,0))</f>
        <v/>
      </c>
      <c r="K3565">
        <f>INDEX(ChRamp,MATCH(E3565,ChName,0))</f>
        <v/>
      </c>
      <c r="L3565" s="45">
        <f>MIN(1,MAX(0,(A3565-I3565+1)*RampSpeed/J3565))</f>
        <v/>
      </c>
      <c r="M3565" s="45">
        <f>IF(A3565&lt;I3565,0,IF(K3565="S-curve",L3565*L3565*(3-2*L3565),L3565))</f>
        <v/>
      </c>
      <c r="N3565" s="45">
        <f>1+(INDEX(SeasonIdx,A3565)-1)*SeasonAmp</f>
        <v/>
      </c>
      <c r="O3565" s="45">
        <f>IFERROR(INDEX(PSPct,MATCH(E3565&amp;"|"&amp;G3565,PSKey,0)),0)</f>
        <v/>
      </c>
      <c r="P3565" s="46" t="n">
        <v>0</v>
      </c>
      <c r="Q3565" s="46">
        <f>INDEX(OnlineUnitsCol,A3565)*O3565*(1+OnlineGrowth)*N3565*H3565*IF(A3565&gt;=I3565,1,0)</f>
        <v/>
      </c>
      <c r="R3565" s="46">
        <f>Q3565*INDEX(FmtCansPerPack,MATCH(F3565,FmtName,0))/INDEX(FmtCansPerCase,MATCH(F3565,FmtName,0))</f>
        <v/>
      </c>
      <c r="S3565" s="46">
        <f>R3565*INDEX(FmtCansPerCase,MATCH(F3565,FmtName,0))</f>
        <v/>
      </c>
      <c r="T3565" s="46">
        <f>S3565/INDEX(FmtCansPerPack,MATCH(F3565,FmtName,0))</f>
        <v/>
      </c>
      <c r="U3565" s="47">
        <f>INDEX(ProvOnline,MATCH(G3565,ProvCode,0))*(1+PriceIndex)</f>
        <v/>
      </c>
      <c r="V3565" s="47">
        <f>Q3565*U3565*INDEX(FmtBlendedPriceIdx,MATCH(F3565,FmtName,0))</f>
        <v/>
      </c>
      <c r="W3565" s="47">
        <f>V3565</f>
        <v/>
      </c>
      <c r="X3565" s="47">
        <f>IF(GrossBasis="Wholesale",V3565,W3565)</f>
        <v/>
      </c>
      <c r="Y3565" s="47">
        <f>R3565*INDEX(FmtBlendedCogs,MATCH(F3565,FmtName,0))</f>
        <v/>
      </c>
      <c r="Z3565" s="47">
        <f>X3565-Y3565</f>
        <v/>
      </c>
    </row>
    <row r="3566">
      <c r="A3566" t="n">
        <v>14</v>
      </c>
      <c r="B3566" s="44">
        <f>FiscalStart+(A3566-1)*7</f>
        <v/>
      </c>
      <c r="C3566">
        <f>TEXT(B3566,"mmm yyyy")</f>
        <v/>
      </c>
      <c r="D3566">
        <f>"Q"&amp;(INT((A3566-1)/13)+1)</f>
        <v/>
      </c>
      <c r="E3566" t="inlineStr">
        <is>
          <t>Online</t>
        </is>
      </c>
      <c r="F3566">
        <f>IFERROR(INDEX(ChFormat,MATCH(E3566,ChName,0)),"")</f>
        <v/>
      </c>
      <c r="G3566" t="inlineStr">
        <is>
          <t>NS</t>
        </is>
      </c>
      <c r="H3566">
        <f>IF(A3566&lt;=NWeeks,1,0)</f>
        <v/>
      </c>
      <c r="I3566">
        <f>INDEX(ChLaunch,MATCH(E3566,ChName,0))</f>
        <v/>
      </c>
      <c r="J3566">
        <f>INDEX(ChWeeksFull,MATCH(E3566,ChName,0))</f>
        <v/>
      </c>
      <c r="K3566">
        <f>INDEX(ChRamp,MATCH(E3566,ChName,0))</f>
        <v/>
      </c>
      <c r="L3566" s="45">
        <f>MIN(1,MAX(0,(A3566-I3566+1)*RampSpeed/J3566))</f>
        <v/>
      </c>
      <c r="M3566" s="45">
        <f>IF(A3566&lt;I3566,0,IF(K3566="S-curve",L3566*L3566*(3-2*L3566),L3566))</f>
        <v/>
      </c>
      <c r="N3566" s="45">
        <f>1+(INDEX(SeasonIdx,A3566)-1)*SeasonAmp</f>
        <v/>
      </c>
      <c r="O3566" s="45">
        <f>IFERROR(INDEX(PSPct,MATCH(E3566&amp;"|"&amp;G3566,PSKey,0)),0)</f>
        <v/>
      </c>
      <c r="P3566" s="46" t="n">
        <v>0</v>
      </c>
      <c r="Q3566" s="46">
        <f>INDEX(OnlineUnitsCol,A3566)*O3566*(1+OnlineGrowth)*N3566*H3566*IF(A3566&gt;=I3566,1,0)</f>
        <v/>
      </c>
      <c r="R3566" s="46">
        <f>Q3566*INDEX(FmtCansPerPack,MATCH(F3566,FmtName,0))/INDEX(FmtCansPerCase,MATCH(F3566,FmtName,0))</f>
        <v/>
      </c>
      <c r="S3566" s="46">
        <f>R3566*INDEX(FmtCansPerCase,MATCH(F3566,FmtName,0))</f>
        <v/>
      </c>
      <c r="T3566" s="46">
        <f>S3566/INDEX(FmtCansPerPack,MATCH(F3566,FmtName,0))</f>
        <v/>
      </c>
      <c r="U3566" s="47">
        <f>INDEX(ProvOnline,MATCH(G3566,ProvCode,0))*(1+PriceIndex)</f>
        <v/>
      </c>
      <c r="V3566" s="47">
        <f>Q3566*U3566*INDEX(FmtBlendedPriceIdx,MATCH(F3566,FmtName,0))</f>
        <v/>
      </c>
      <c r="W3566" s="47">
        <f>V3566</f>
        <v/>
      </c>
      <c r="X3566" s="47">
        <f>IF(GrossBasis="Wholesale",V3566,W3566)</f>
        <v/>
      </c>
      <c r="Y3566" s="47">
        <f>R3566*INDEX(FmtBlendedCogs,MATCH(F3566,FmtName,0))</f>
        <v/>
      </c>
      <c r="Z3566" s="47">
        <f>X3566-Y3566</f>
        <v/>
      </c>
    </row>
    <row r="3567">
      <c r="A3567" t="n">
        <v>15</v>
      </c>
      <c r="B3567" s="44">
        <f>FiscalStart+(A3567-1)*7</f>
        <v/>
      </c>
      <c r="C3567">
        <f>TEXT(B3567,"mmm yyyy")</f>
        <v/>
      </c>
      <c r="D3567">
        <f>"Q"&amp;(INT((A3567-1)/13)+1)</f>
        <v/>
      </c>
      <c r="E3567" t="inlineStr">
        <is>
          <t>Online</t>
        </is>
      </c>
      <c r="F3567">
        <f>IFERROR(INDEX(ChFormat,MATCH(E3567,ChName,0)),"")</f>
        <v/>
      </c>
      <c r="G3567" t="inlineStr">
        <is>
          <t>NS</t>
        </is>
      </c>
      <c r="H3567">
        <f>IF(A3567&lt;=NWeeks,1,0)</f>
        <v/>
      </c>
      <c r="I3567">
        <f>INDEX(ChLaunch,MATCH(E3567,ChName,0))</f>
        <v/>
      </c>
      <c r="J3567">
        <f>INDEX(ChWeeksFull,MATCH(E3567,ChName,0))</f>
        <v/>
      </c>
      <c r="K3567">
        <f>INDEX(ChRamp,MATCH(E3567,ChName,0))</f>
        <v/>
      </c>
      <c r="L3567" s="45">
        <f>MIN(1,MAX(0,(A3567-I3567+1)*RampSpeed/J3567))</f>
        <v/>
      </c>
      <c r="M3567" s="45">
        <f>IF(A3567&lt;I3567,0,IF(K3567="S-curve",L3567*L3567*(3-2*L3567),L3567))</f>
        <v/>
      </c>
      <c r="N3567" s="45">
        <f>1+(INDEX(SeasonIdx,A3567)-1)*SeasonAmp</f>
        <v/>
      </c>
      <c r="O3567" s="45">
        <f>IFERROR(INDEX(PSPct,MATCH(E3567&amp;"|"&amp;G3567,PSKey,0)),0)</f>
        <v/>
      </c>
      <c r="P3567" s="46" t="n">
        <v>0</v>
      </c>
      <c r="Q3567" s="46">
        <f>INDEX(OnlineUnitsCol,A3567)*O3567*(1+OnlineGrowth)*N3567*H3567*IF(A3567&gt;=I3567,1,0)</f>
        <v/>
      </c>
      <c r="R3567" s="46">
        <f>Q3567*INDEX(FmtCansPerPack,MATCH(F3567,FmtName,0))/INDEX(FmtCansPerCase,MATCH(F3567,FmtName,0))</f>
        <v/>
      </c>
      <c r="S3567" s="46">
        <f>R3567*INDEX(FmtCansPerCase,MATCH(F3567,FmtName,0))</f>
        <v/>
      </c>
      <c r="T3567" s="46">
        <f>S3567/INDEX(FmtCansPerPack,MATCH(F3567,FmtName,0))</f>
        <v/>
      </c>
      <c r="U3567" s="47">
        <f>INDEX(ProvOnline,MATCH(G3567,ProvCode,0))*(1+PriceIndex)</f>
        <v/>
      </c>
      <c r="V3567" s="47">
        <f>Q3567*U3567*INDEX(FmtBlendedPriceIdx,MATCH(F3567,FmtName,0))</f>
        <v/>
      </c>
      <c r="W3567" s="47">
        <f>V3567</f>
        <v/>
      </c>
      <c r="X3567" s="47">
        <f>IF(GrossBasis="Wholesale",V3567,W3567)</f>
        <v/>
      </c>
      <c r="Y3567" s="47">
        <f>R3567*INDEX(FmtBlendedCogs,MATCH(F3567,FmtName,0))</f>
        <v/>
      </c>
      <c r="Z3567" s="47">
        <f>X3567-Y3567</f>
        <v/>
      </c>
    </row>
    <row r="3568">
      <c r="A3568" t="n">
        <v>16</v>
      </c>
      <c r="B3568" s="44">
        <f>FiscalStart+(A3568-1)*7</f>
        <v/>
      </c>
      <c r="C3568">
        <f>TEXT(B3568,"mmm yyyy")</f>
        <v/>
      </c>
      <c r="D3568">
        <f>"Q"&amp;(INT((A3568-1)/13)+1)</f>
        <v/>
      </c>
      <c r="E3568" t="inlineStr">
        <is>
          <t>Online</t>
        </is>
      </c>
      <c r="F3568">
        <f>IFERROR(INDEX(ChFormat,MATCH(E3568,ChName,0)),"")</f>
        <v/>
      </c>
      <c r="G3568" t="inlineStr">
        <is>
          <t>NS</t>
        </is>
      </c>
      <c r="H3568">
        <f>IF(A3568&lt;=NWeeks,1,0)</f>
        <v/>
      </c>
      <c r="I3568">
        <f>INDEX(ChLaunch,MATCH(E3568,ChName,0))</f>
        <v/>
      </c>
      <c r="J3568">
        <f>INDEX(ChWeeksFull,MATCH(E3568,ChName,0))</f>
        <v/>
      </c>
      <c r="K3568">
        <f>INDEX(ChRamp,MATCH(E3568,ChName,0))</f>
        <v/>
      </c>
      <c r="L3568" s="45">
        <f>MIN(1,MAX(0,(A3568-I3568+1)*RampSpeed/J3568))</f>
        <v/>
      </c>
      <c r="M3568" s="45">
        <f>IF(A3568&lt;I3568,0,IF(K3568="S-curve",L3568*L3568*(3-2*L3568),L3568))</f>
        <v/>
      </c>
      <c r="N3568" s="45">
        <f>1+(INDEX(SeasonIdx,A3568)-1)*SeasonAmp</f>
        <v/>
      </c>
      <c r="O3568" s="45">
        <f>IFERROR(INDEX(PSPct,MATCH(E3568&amp;"|"&amp;G3568,PSKey,0)),0)</f>
        <v/>
      </c>
      <c r="P3568" s="46" t="n">
        <v>0</v>
      </c>
      <c r="Q3568" s="46">
        <f>INDEX(OnlineUnitsCol,A3568)*O3568*(1+OnlineGrowth)*N3568*H3568*IF(A3568&gt;=I3568,1,0)</f>
        <v/>
      </c>
      <c r="R3568" s="46">
        <f>Q3568*INDEX(FmtCansPerPack,MATCH(F3568,FmtName,0))/INDEX(FmtCansPerCase,MATCH(F3568,FmtName,0))</f>
        <v/>
      </c>
      <c r="S3568" s="46">
        <f>R3568*INDEX(FmtCansPerCase,MATCH(F3568,FmtName,0))</f>
        <v/>
      </c>
      <c r="T3568" s="46">
        <f>S3568/INDEX(FmtCansPerPack,MATCH(F3568,FmtName,0))</f>
        <v/>
      </c>
      <c r="U3568" s="47">
        <f>INDEX(ProvOnline,MATCH(G3568,ProvCode,0))*(1+PriceIndex)</f>
        <v/>
      </c>
      <c r="V3568" s="47">
        <f>Q3568*U3568*INDEX(FmtBlendedPriceIdx,MATCH(F3568,FmtName,0))</f>
        <v/>
      </c>
      <c r="W3568" s="47">
        <f>V3568</f>
        <v/>
      </c>
      <c r="X3568" s="47">
        <f>IF(GrossBasis="Wholesale",V3568,W3568)</f>
        <v/>
      </c>
      <c r="Y3568" s="47">
        <f>R3568*INDEX(FmtBlendedCogs,MATCH(F3568,FmtName,0))</f>
        <v/>
      </c>
      <c r="Z3568" s="47">
        <f>X3568-Y3568</f>
        <v/>
      </c>
    </row>
    <row r="3569">
      <c r="A3569" t="n">
        <v>17</v>
      </c>
      <c r="B3569" s="44">
        <f>FiscalStart+(A3569-1)*7</f>
        <v/>
      </c>
      <c r="C3569">
        <f>TEXT(B3569,"mmm yyyy")</f>
        <v/>
      </c>
      <c r="D3569">
        <f>"Q"&amp;(INT((A3569-1)/13)+1)</f>
        <v/>
      </c>
      <c r="E3569" t="inlineStr">
        <is>
          <t>Online</t>
        </is>
      </c>
      <c r="F3569">
        <f>IFERROR(INDEX(ChFormat,MATCH(E3569,ChName,0)),"")</f>
        <v/>
      </c>
      <c r="G3569" t="inlineStr">
        <is>
          <t>NS</t>
        </is>
      </c>
      <c r="H3569">
        <f>IF(A3569&lt;=NWeeks,1,0)</f>
        <v/>
      </c>
      <c r="I3569">
        <f>INDEX(ChLaunch,MATCH(E3569,ChName,0))</f>
        <v/>
      </c>
      <c r="J3569">
        <f>INDEX(ChWeeksFull,MATCH(E3569,ChName,0))</f>
        <v/>
      </c>
      <c r="K3569">
        <f>INDEX(ChRamp,MATCH(E3569,ChName,0))</f>
        <v/>
      </c>
      <c r="L3569" s="45">
        <f>MIN(1,MAX(0,(A3569-I3569+1)*RampSpeed/J3569))</f>
        <v/>
      </c>
      <c r="M3569" s="45">
        <f>IF(A3569&lt;I3569,0,IF(K3569="S-curve",L3569*L3569*(3-2*L3569),L3569))</f>
        <v/>
      </c>
      <c r="N3569" s="45">
        <f>1+(INDEX(SeasonIdx,A3569)-1)*SeasonAmp</f>
        <v/>
      </c>
      <c r="O3569" s="45">
        <f>IFERROR(INDEX(PSPct,MATCH(E3569&amp;"|"&amp;G3569,PSKey,0)),0)</f>
        <v/>
      </c>
      <c r="P3569" s="46" t="n">
        <v>0</v>
      </c>
      <c r="Q3569" s="46">
        <f>INDEX(OnlineUnitsCol,A3569)*O3569*(1+OnlineGrowth)*N3569*H3569*IF(A3569&gt;=I3569,1,0)</f>
        <v/>
      </c>
      <c r="R3569" s="46">
        <f>Q3569*INDEX(FmtCansPerPack,MATCH(F3569,FmtName,0))/INDEX(FmtCansPerCase,MATCH(F3569,FmtName,0))</f>
        <v/>
      </c>
      <c r="S3569" s="46">
        <f>R3569*INDEX(FmtCansPerCase,MATCH(F3569,FmtName,0))</f>
        <v/>
      </c>
      <c r="T3569" s="46">
        <f>S3569/INDEX(FmtCansPerPack,MATCH(F3569,FmtName,0))</f>
        <v/>
      </c>
      <c r="U3569" s="47">
        <f>INDEX(ProvOnline,MATCH(G3569,ProvCode,0))*(1+PriceIndex)</f>
        <v/>
      </c>
      <c r="V3569" s="47">
        <f>Q3569*U3569*INDEX(FmtBlendedPriceIdx,MATCH(F3569,FmtName,0))</f>
        <v/>
      </c>
      <c r="W3569" s="47">
        <f>V3569</f>
        <v/>
      </c>
      <c r="X3569" s="47">
        <f>IF(GrossBasis="Wholesale",V3569,W3569)</f>
        <v/>
      </c>
      <c r="Y3569" s="47">
        <f>R3569*INDEX(FmtBlendedCogs,MATCH(F3569,FmtName,0))</f>
        <v/>
      </c>
      <c r="Z3569" s="47">
        <f>X3569-Y3569</f>
        <v/>
      </c>
    </row>
    <row r="3570">
      <c r="A3570" t="n">
        <v>18</v>
      </c>
      <c r="B3570" s="44">
        <f>FiscalStart+(A3570-1)*7</f>
        <v/>
      </c>
      <c r="C3570">
        <f>TEXT(B3570,"mmm yyyy")</f>
        <v/>
      </c>
      <c r="D3570">
        <f>"Q"&amp;(INT((A3570-1)/13)+1)</f>
        <v/>
      </c>
      <c r="E3570" t="inlineStr">
        <is>
          <t>Online</t>
        </is>
      </c>
      <c r="F3570">
        <f>IFERROR(INDEX(ChFormat,MATCH(E3570,ChName,0)),"")</f>
        <v/>
      </c>
      <c r="G3570" t="inlineStr">
        <is>
          <t>NS</t>
        </is>
      </c>
      <c r="H3570">
        <f>IF(A3570&lt;=NWeeks,1,0)</f>
        <v/>
      </c>
      <c r="I3570">
        <f>INDEX(ChLaunch,MATCH(E3570,ChName,0))</f>
        <v/>
      </c>
      <c r="J3570">
        <f>INDEX(ChWeeksFull,MATCH(E3570,ChName,0))</f>
        <v/>
      </c>
      <c r="K3570">
        <f>INDEX(ChRamp,MATCH(E3570,ChName,0))</f>
        <v/>
      </c>
      <c r="L3570" s="45">
        <f>MIN(1,MAX(0,(A3570-I3570+1)*RampSpeed/J3570))</f>
        <v/>
      </c>
      <c r="M3570" s="45">
        <f>IF(A3570&lt;I3570,0,IF(K3570="S-curve",L3570*L3570*(3-2*L3570),L3570))</f>
        <v/>
      </c>
      <c r="N3570" s="45">
        <f>1+(INDEX(SeasonIdx,A3570)-1)*SeasonAmp</f>
        <v/>
      </c>
      <c r="O3570" s="45">
        <f>IFERROR(INDEX(PSPct,MATCH(E3570&amp;"|"&amp;G3570,PSKey,0)),0)</f>
        <v/>
      </c>
      <c r="P3570" s="46" t="n">
        <v>0</v>
      </c>
      <c r="Q3570" s="46">
        <f>INDEX(OnlineUnitsCol,A3570)*O3570*(1+OnlineGrowth)*N3570*H3570*IF(A3570&gt;=I3570,1,0)</f>
        <v/>
      </c>
      <c r="R3570" s="46">
        <f>Q3570*INDEX(FmtCansPerPack,MATCH(F3570,FmtName,0))/INDEX(FmtCansPerCase,MATCH(F3570,FmtName,0))</f>
        <v/>
      </c>
      <c r="S3570" s="46">
        <f>R3570*INDEX(FmtCansPerCase,MATCH(F3570,FmtName,0))</f>
        <v/>
      </c>
      <c r="T3570" s="46">
        <f>S3570/INDEX(FmtCansPerPack,MATCH(F3570,FmtName,0))</f>
        <v/>
      </c>
      <c r="U3570" s="47">
        <f>INDEX(ProvOnline,MATCH(G3570,ProvCode,0))*(1+PriceIndex)</f>
        <v/>
      </c>
      <c r="V3570" s="47">
        <f>Q3570*U3570*INDEX(FmtBlendedPriceIdx,MATCH(F3570,FmtName,0))</f>
        <v/>
      </c>
      <c r="W3570" s="47">
        <f>V3570</f>
        <v/>
      </c>
      <c r="X3570" s="47">
        <f>IF(GrossBasis="Wholesale",V3570,W3570)</f>
        <v/>
      </c>
      <c r="Y3570" s="47">
        <f>R3570*INDEX(FmtBlendedCogs,MATCH(F3570,FmtName,0))</f>
        <v/>
      </c>
      <c r="Z3570" s="47">
        <f>X3570-Y3570</f>
        <v/>
      </c>
    </row>
    <row r="3571">
      <c r="A3571" t="n">
        <v>19</v>
      </c>
      <c r="B3571" s="44">
        <f>FiscalStart+(A3571-1)*7</f>
        <v/>
      </c>
      <c r="C3571">
        <f>TEXT(B3571,"mmm yyyy")</f>
        <v/>
      </c>
      <c r="D3571">
        <f>"Q"&amp;(INT((A3571-1)/13)+1)</f>
        <v/>
      </c>
      <c r="E3571" t="inlineStr">
        <is>
          <t>Online</t>
        </is>
      </c>
      <c r="F3571">
        <f>IFERROR(INDEX(ChFormat,MATCH(E3571,ChName,0)),"")</f>
        <v/>
      </c>
      <c r="G3571" t="inlineStr">
        <is>
          <t>NS</t>
        </is>
      </c>
      <c r="H3571">
        <f>IF(A3571&lt;=NWeeks,1,0)</f>
        <v/>
      </c>
      <c r="I3571">
        <f>INDEX(ChLaunch,MATCH(E3571,ChName,0))</f>
        <v/>
      </c>
      <c r="J3571">
        <f>INDEX(ChWeeksFull,MATCH(E3571,ChName,0))</f>
        <v/>
      </c>
      <c r="K3571">
        <f>INDEX(ChRamp,MATCH(E3571,ChName,0))</f>
        <v/>
      </c>
      <c r="L3571" s="45">
        <f>MIN(1,MAX(0,(A3571-I3571+1)*RampSpeed/J3571))</f>
        <v/>
      </c>
      <c r="M3571" s="45">
        <f>IF(A3571&lt;I3571,0,IF(K3571="S-curve",L3571*L3571*(3-2*L3571),L3571))</f>
        <v/>
      </c>
      <c r="N3571" s="45">
        <f>1+(INDEX(SeasonIdx,A3571)-1)*SeasonAmp</f>
        <v/>
      </c>
      <c r="O3571" s="45">
        <f>IFERROR(INDEX(PSPct,MATCH(E3571&amp;"|"&amp;G3571,PSKey,0)),0)</f>
        <v/>
      </c>
      <c r="P3571" s="46" t="n">
        <v>0</v>
      </c>
      <c r="Q3571" s="46">
        <f>INDEX(OnlineUnitsCol,A3571)*O3571*(1+OnlineGrowth)*N3571*H3571*IF(A3571&gt;=I3571,1,0)</f>
        <v/>
      </c>
      <c r="R3571" s="46">
        <f>Q3571*INDEX(FmtCansPerPack,MATCH(F3571,FmtName,0))/INDEX(FmtCansPerCase,MATCH(F3571,FmtName,0))</f>
        <v/>
      </c>
      <c r="S3571" s="46">
        <f>R3571*INDEX(FmtCansPerCase,MATCH(F3571,FmtName,0))</f>
        <v/>
      </c>
      <c r="T3571" s="46">
        <f>S3571/INDEX(FmtCansPerPack,MATCH(F3571,FmtName,0))</f>
        <v/>
      </c>
      <c r="U3571" s="47">
        <f>INDEX(ProvOnline,MATCH(G3571,ProvCode,0))*(1+PriceIndex)</f>
        <v/>
      </c>
      <c r="V3571" s="47">
        <f>Q3571*U3571*INDEX(FmtBlendedPriceIdx,MATCH(F3571,FmtName,0))</f>
        <v/>
      </c>
      <c r="W3571" s="47">
        <f>V3571</f>
        <v/>
      </c>
      <c r="X3571" s="47">
        <f>IF(GrossBasis="Wholesale",V3571,W3571)</f>
        <v/>
      </c>
      <c r="Y3571" s="47">
        <f>R3571*INDEX(FmtBlendedCogs,MATCH(F3571,FmtName,0))</f>
        <v/>
      </c>
      <c r="Z3571" s="47">
        <f>X3571-Y3571</f>
        <v/>
      </c>
    </row>
    <row r="3572">
      <c r="A3572" t="n">
        <v>20</v>
      </c>
      <c r="B3572" s="44">
        <f>FiscalStart+(A3572-1)*7</f>
        <v/>
      </c>
      <c r="C3572">
        <f>TEXT(B3572,"mmm yyyy")</f>
        <v/>
      </c>
      <c r="D3572">
        <f>"Q"&amp;(INT((A3572-1)/13)+1)</f>
        <v/>
      </c>
      <c r="E3572" t="inlineStr">
        <is>
          <t>Online</t>
        </is>
      </c>
      <c r="F3572">
        <f>IFERROR(INDEX(ChFormat,MATCH(E3572,ChName,0)),"")</f>
        <v/>
      </c>
      <c r="G3572" t="inlineStr">
        <is>
          <t>NS</t>
        </is>
      </c>
      <c r="H3572">
        <f>IF(A3572&lt;=NWeeks,1,0)</f>
        <v/>
      </c>
      <c r="I3572">
        <f>INDEX(ChLaunch,MATCH(E3572,ChName,0))</f>
        <v/>
      </c>
      <c r="J3572">
        <f>INDEX(ChWeeksFull,MATCH(E3572,ChName,0))</f>
        <v/>
      </c>
      <c r="K3572">
        <f>INDEX(ChRamp,MATCH(E3572,ChName,0))</f>
        <v/>
      </c>
      <c r="L3572" s="45">
        <f>MIN(1,MAX(0,(A3572-I3572+1)*RampSpeed/J3572))</f>
        <v/>
      </c>
      <c r="M3572" s="45">
        <f>IF(A3572&lt;I3572,0,IF(K3572="S-curve",L3572*L3572*(3-2*L3572),L3572))</f>
        <v/>
      </c>
      <c r="N3572" s="45">
        <f>1+(INDEX(SeasonIdx,A3572)-1)*SeasonAmp</f>
        <v/>
      </c>
      <c r="O3572" s="45">
        <f>IFERROR(INDEX(PSPct,MATCH(E3572&amp;"|"&amp;G3572,PSKey,0)),0)</f>
        <v/>
      </c>
      <c r="P3572" s="46" t="n">
        <v>0</v>
      </c>
      <c r="Q3572" s="46">
        <f>INDEX(OnlineUnitsCol,A3572)*O3572*(1+OnlineGrowth)*N3572*H3572*IF(A3572&gt;=I3572,1,0)</f>
        <v/>
      </c>
      <c r="R3572" s="46">
        <f>Q3572*INDEX(FmtCansPerPack,MATCH(F3572,FmtName,0))/INDEX(FmtCansPerCase,MATCH(F3572,FmtName,0))</f>
        <v/>
      </c>
      <c r="S3572" s="46">
        <f>R3572*INDEX(FmtCansPerCase,MATCH(F3572,FmtName,0))</f>
        <v/>
      </c>
      <c r="T3572" s="46">
        <f>S3572/INDEX(FmtCansPerPack,MATCH(F3572,FmtName,0))</f>
        <v/>
      </c>
      <c r="U3572" s="47">
        <f>INDEX(ProvOnline,MATCH(G3572,ProvCode,0))*(1+PriceIndex)</f>
        <v/>
      </c>
      <c r="V3572" s="47">
        <f>Q3572*U3572*INDEX(FmtBlendedPriceIdx,MATCH(F3572,FmtName,0))</f>
        <v/>
      </c>
      <c r="W3572" s="47">
        <f>V3572</f>
        <v/>
      </c>
      <c r="X3572" s="47">
        <f>IF(GrossBasis="Wholesale",V3572,W3572)</f>
        <v/>
      </c>
      <c r="Y3572" s="47">
        <f>R3572*INDEX(FmtBlendedCogs,MATCH(F3572,FmtName,0))</f>
        <v/>
      </c>
      <c r="Z3572" s="47">
        <f>X3572-Y3572</f>
        <v/>
      </c>
    </row>
    <row r="3573">
      <c r="A3573" t="n">
        <v>21</v>
      </c>
      <c r="B3573" s="44">
        <f>FiscalStart+(A3573-1)*7</f>
        <v/>
      </c>
      <c r="C3573">
        <f>TEXT(B3573,"mmm yyyy")</f>
        <v/>
      </c>
      <c r="D3573">
        <f>"Q"&amp;(INT((A3573-1)/13)+1)</f>
        <v/>
      </c>
      <c r="E3573" t="inlineStr">
        <is>
          <t>Online</t>
        </is>
      </c>
      <c r="F3573">
        <f>IFERROR(INDEX(ChFormat,MATCH(E3573,ChName,0)),"")</f>
        <v/>
      </c>
      <c r="G3573" t="inlineStr">
        <is>
          <t>NS</t>
        </is>
      </c>
      <c r="H3573">
        <f>IF(A3573&lt;=NWeeks,1,0)</f>
        <v/>
      </c>
      <c r="I3573">
        <f>INDEX(ChLaunch,MATCH(E3573,ChName,0))</f>
        <v/>
      </c>
      <c r="J3573">
        <f>INDEX(ChWeeksFull,MATCH(E3573,ChName,0))</f>
        <v/>
      </c>
      <c r="K3573">
        <f>INDEX(ChRamp,MATCH(E3573,ChName,0))</f>
        <v/>
      </c>
      <c r="L3573" s="45">
        <f>MIN(1,MAX(0,(A3573-I3573+1)*RampSpeed/J3573))</f>
        <v/>
      </c>
      <c r="M3573" s="45">
        <f>IF(A3573&lt;I3573,0,IF(K3573="S-curve",L3573*L3573*(3-2*L3573),L3573))</f>
        <v/>
      </c>
      <c r="N3573" s="45">
        <f>1+(INDEX(SeasonIdx,A3573)-1)*SeasonAmp</f>
        <v/>
      </c>
      <c r="O3573" s="45">
        <f>IFERROR(INDEX(PSPct,MATCH(E3573&amp;"|"&amp;G3573,PSKey,0)),0)</f>
        <v/>
      </c>
      <c r="P3573" s="46" t="n">
        <v>0</v>
      </c>
      <c r="Q3573" s="46">
        <f>INDEX(OnlineUnitsCol,A3573)*O3573*(1+OnlineGrowth)*N3573*H3573*IF(A3573&gt;=I3573,1,0)</f>
        <v/>
      </c>
      <c r="R3573" s="46">
        <f>Q3573*INDEX(FmtCansPerPack,MATCH(F3573,FmtName,0))/INDEX(FmtCansPerCase,MATCH(F3573,FmtName,0))</f>
        <v/>
      </c>
      <c r="S3573" s="46">
        <f>R3573*INDEX(FmtCansPerCase,MATCH(F3573,FmtName,0))</f>
        <v/>
      </c>
      <c r="T3573" s="46">
        <f>S3573/INDEX(FmtCansPerPack,MATCH(F3573,FmtName,0))</f>
        <v/>
      </c>
      <c r="U3573" s="47">
        <f>INDEX(ProvOnline,MATCH(G3573,ProvCode,0))*(1+PriceIndex)</f>
        <v/>
      </c>
      <c r="V3573" s="47">
        <f>Q3573*U3573*INDEX(FmtBlendedPriceIdx,MATCH(F3573,FmtName,0))</f>
        <v/>
      </c>
      <c r="W3573" s="47">
        <f>V3573</f>
        <v/>
      </c>
      <c r="X3573" s="47">
        <f>IF(GrossBasis="Wholesale",V3573,W3573)</f>
        <v/>
      </c>
      <c r="Y3573" s="47">
        <f>R3573*INDEX(FmtBlendedCogs,MATCH(F3573,FmtName,0))</f>
        <v/>
      </c>
      <c r="Z3573" s="47">
        <f>X3573-Y3573</f>
        <v/>
      </c>
    </row>
    <row r="3574">
      <c r="A3574" t="n">
        <v>22</v>
      </c>
      <c r="B3574" s="44">
        <f>FiscalStart+(A3574-1)*7</f>
        <v/>
      </c>
      <c r="C3574">
        <f>TEXT(B3574,"mmm yyyy")</f>
        <v/>
      </c>
      <c r="D3574">
        <f>"Q"&amp;(INT((A3574-1)/13)+1)</f>
        <v/>
      </c>
      <c r="E3574" t="inlineStr">
        <is>
          <t>Online</t>
        </is>
      </c>
      <c r="F3574">
        <f>IFERROR(INDEX(ChFormat,MATCH(E3574,ChName,0)),"")</f>
        <v/>
      </c>
      <c r="G3574" t="inlineStr">
        <is>
          <t>NS</t>
        </is>
      </c>
      <c r="H3574">
        <f>IF(A3574&lt;=NWeeks,1,0)</f>
        <v/>
      </c>
      <c r="I3574">
        <f>INDEX(ChLaunch,MATCH(E3574,ChName,0))</f>
        <v/>
      </c>
      <c r="J3574">
        <f>INDEX(ChWeeksFull,MATCH(E3574,ChName,0))</f>
        <v/>
      </c>
      <c r="K3574">
        <f>INDEX(ChRamp,MATCH(E3574,ChName,0))</f>
        <v/>
      </c>
      <c r="L3574" s="45">
        <f>MIN(1,MAX(0,(A3574-I3574+1)*RampSpeed/J3574))</f>
        <v/>
      </c>
      <c r="M3574" s="45">
        <f>IF(A3574&lt;I3574,0,IF(K3574="S-curve",L3574*L3574*(3-2*L3574),L3574))</f>
        <v/>
      </c>
      <c r="N3574" s="45">
        <f>1+(INDEX(SeasonIdx,A3574)-1)*SeasonAmp</f>
        <v/>
      </c>
      <c r="O3574" s="45">
        <f>IFERROR(INDEX(PSPct,MATCH(E3574&amp;"|"&amp;G3574,PSKey,0)),0)</f>
        <v/>
      </c>
      <c r="P3574" s="46" t="n">
        <v>0</v>
      </c>
      <c r="Q3574" s="46">
        <f>INDEX(OnlineUnitsCol,A3574)*O3574*(1+OnlineGrowth)*N3574*H3574*IF(A3574&gt;=I3574,1,0)</f>
        <v/>
      </c>
      <c r="R3574" s="46">
        <f>Q3574*INDEX(FmtCansPerPack,MATCH(F3574,FmtName,0))/INDEX(FmtCansPerCase,MATCH(F3574,FmtName,0))</f>
        <v/>
      </c>
      <c r="S3574" s="46">
        <f>R3574*INDEX(FmtCansPerCase,MATCH(F3574,FmtName,0))</f>
        <v/>
      </c>
      <c r="T3574" s="46">
        <f>S3574/INDEX(FmtCansPerPack,MATCH(F3574,FmtName,0))</f>
        <v/>
      </c>
      <c r="U3574" s="47">
        <f>INDEX(ProvOnline,MATCH(G3574,ProvCode,0))*(1+PriceIndex)</f>
        <v/>
      </c>
      <c r="V3574" s="47">
        <f>Q3574*U3574*INDEX(FmtBlendedPriceIdx,MATCH(F3574,FmtName,0))</f>
        <v/>
      </c>
      <c r="W3574" s="47">
        <f>V3574</f>
        <v/>
      </c>
      <c r="X3574" s="47">
        <f>IF(GrossBasis="Wholesale",V3574,W3574)</f>
        <v/>
      </c>
      <c r="Y3574" s="47">
        <f>R3574*INDEX(FmtBlendedCogs,MATCH(F3574,FmtName,0))</f>
        <v/>
      </c>
      <c r="Z3574" s="47">
        <f>X3574-Y3574</f>
        <v/>
      </c>
    </row>
    <row r="3575">
      <c r="A3575" t="n">
        <v>23</v>
      </c>
      <c r="B3575" s="44">
        <f>FiscalStart+(A3575-1)*7</f>
        <v/>
      </c>
      <c r="C3575">
        <f>TEXT(B3575,"mmm yyyy")</f>
        <v/>
      </c>
      <c r="D3575">
        <f>"Q"&amp;(INT((A3575-1)/13)+1)</f>
        <v/>
      </c>
      <c r="E3575" t="inlineStr">
        <is>
          <t>Online</t>
        </is>
      </c>
      <c r="F3575">
        <f>IFERROR(INDEX(ChFormat,MATCH(E3575,ChName,0)),"")</f>
        <v/>
      </c>
      <c r="G3575" t="inlineStr">
        <is>
          <t>NS</t>
        </is>
      </c>
      <c r="H3575">
        <f>IF(A3575&lt;=NWeeks,1,0)</f>
        <v/>
      </c>
      <c r="I3575">
        <f>INDEX(ChLaunch,MATCH(E3575,ChName,0))</f>
        <v/>
      </c>
      <c r="J3575">
        <f>INDEX(ChWeeksFull,MATCH(E3575,ChName,0))</f>
        <v/>
      </c>
      <c r="K3575">
        <f>INDEX(ChRamp,MATCH(E3575,ChName,0))</f>
        <v/>
      </c>
      <c r="L3575" s="45">
        <f>MIN(1,MAX(0,(A3575-I3575+1)*RampSpeed/J3575))</f>
        <v/>
      </c>
      <c r="M3575" s="45">
        <f>IF(A3575&lt;I3575,0,IF(K3575="S-curve",L3575*L3575*(3-2*L3575),L3575))</f>
        <v/>
      </c>
      <c r="N3575" s="45">
        <f>1+(INDEX(SeasonIdx,A3575)-1)*SeasonAmp</f>
        <v/>
      </c>
      <c r="O3575" s="45">
        <f>IFERROR(INDEX(PSPct,MATCH(E3575&amp;"|"&amp;G3575,PSKey,0)),0)</f>
        <v/>
      </c>
      <c r="P3575" s="46" t="n">
        <v>0</v>
      </c>
      <c r="Q3575" s="46">
        <f>INDEX(OnlineUnitsCol,A3575)*O3575*(1+OnlineGrowth)*N3575*H3575*IF(A3575&gt;=I3575,1,0)</f>
        <v/>
      </c>
      <c r="R3575" s="46">
        <f>Q3575*INDEX(FmtCansPerPack,MATCH(F3575,FmtName,0))/INDEX(FmtCansPerCase,MATCH(F3575,FmtName,0))</f>
        <v/>
      </c>
      <c r="S3575" s="46">
        <f>R3575*INDEX(FmtCansPerCase,MATCH(F3575,FmtName,0))</f>
        <v/>
      </c>
      <c r="T3575" s="46">
        <f>S3575/INDEX(FmtCansPerPack,MATCH(F3575,FmtName,0))</f>
        <v/>
      </c>
      <c r="U3575" s="47">
        <f>INDEX(ProvOnline,MATCH(G3575,ProvCode,0))*(1+PriceIndex)</f>
        <v/>
      </c>
      <c r="V3575" s="47">
        <f>Q3575*U3575*INDEX(FmtBlendedPriceIdx,MATCH(F3575,FmtName,0))</f>
        <v/>
      </c>
      <c r="W3575" s="47">
        <f>V3575</f>
        <v/>
      </c>
      <c r="X3575" s="47">
        <f>IF(GrossBasis="Wholesale",V3575,W3575)</f>
        <v/>
      </c>
      <c r="Y3575" s="47">
        <f>R3575*INDEX(FmtBlendedCogs,MATCH(F3575,FmtName,0))</f>
        <v/>
      </c>
      <c r="Z3575" s="47">
        <f>X3575-Y3575</f>
        <v/>
      </c>
    </row>
    <row r="3576">
      <c r="A3576" t="n">
        <v>24</v>
      </c>
      <c r="B3576" s="44">
        <f>FiscalStart+(A3576-1)*7</f>
        <v/>
      </c>
      <c r="C3576">
        <f>TEXT(B3576,"mmm yyyy")</f>
        <v/>
      </c>
      <c r="D3576">
        <f>"Q"&amp;(INT((A3576-1)/13)+1)</f>
        <v/>
      </c>
      <c r="E3576" t="inlineStr">
        <is>
          <t>Online</t>
        </is>
      </c>
      <c r="F3576">
        <f>IFERROR(INDEX(ChFormat,MATCH(E3576,ChName,0)),"")</f>
        <v/>
      </c>
      <c r="G3576" t="inlineStr">
        <is>
          <t>NS</t>
        </is>
      </c>
      <c r="H3576">
        <f>IF(A3576&lt;=NWeeks,1,0)</f>
        <v/>
      </c>
      <c r="I3576">
        <f>INDEX(ChLaunch,MATCH(E3576,ChName,0))</f>
        <v/>
      </c>
      <c r="J3576">
        <f>INDEX(ChWeeksFull,MATCH(E3576,ChName,0))</f>
        <v/>
      </c>
      <c r="K3576">
        <f>INDEX(ChRamp,MATCH(E3576,ChName,0))</f>
        <v/>
      </c>
      <c r="L3576" s="45">
        <f>MIN(1,MAX(0,(A3576-I3576+1)*RampSpeed/J3576))</f>
        <v/>
      </c>
      <c r="M3576" s="45">
        <f>IF(A3576&lt;I3576,0,IF(K3576="S-curve",L3576*L3576*(3-2*L3576),L3576))</f>
        <v/>
      </c>
      <c r="N3576" s="45">
        <f>1+(INDEX(SeasonIdx,A3576)-1)*SeasonAmp</f>
        <v/>
      </c>
      <c r="O3576" s="45">
        <f>IFERROR(INDEX(PSPct,MATCH(E3576&amp;"|"&amp;G3576,PSKey,0)),0)</f>
        <v/>
      </c>
      <c r="P3576" s="46" t="n">
        <v>0</v>
      </c>
      <c r="Q3576" s="46">
        <f>INDEX(OnlineUnitsCol,A3576)*O3576*(1+OnlineGrowth)*N3576*H3576*IF(A3576&gt;=I3576,1,0)</f>
        <v/>
      </c>
      <c r="R3576" s="46">
        <f>Q3576*INDEX(FmtCansPerPack,MATCH(F3576,FmtName,0))/INDEX(FmtCansPerCase,MATCH(F3576,FmtName,0))</f>
        <v/>
      </c>
      <c r="S3576" s="46">
        <f>R3576*INDEX(FmtCansPerCase,MATCH(F3576,FmtName,0))</f>
        <v/>
      </c>
      <c r="T3576" s="46">
        <f>S3576/INDEX(FmtCansPerPack,MATCH(F3576,FmtName,0))</f>
        <v/>
      </c>
      <c r="U3576" s="47">
        <f>INDEX(ProvOnline,MATCH(G3576,ProvCode,0))*(1+PriceIndex)</f>
        <v/>
      </c>
      <c r="V3576" s="47">
        <f>Q3576*U3576*INDEX(FmtBlendedPriceIdx,MATCH(F3576,FmtName,0))</f>
        <v/>
      </c>
      <c r="W3576" s="47">
        <f>V3576</f>
        <v/>
      </c>
      <c r="X3576" s="47">
        <f>IF(GrossBasis="Wholesale",V3576,W3576)</f>
        <v/>
      </c>
      <c r="Y3576" s="47">
        <f>R3576*INDEX(FmtBlendedCogs,MATCH(F3576,FmtName,0))</f>
        <v/>
      </c>
      <c r="Z3576" s="47">
        <f>X3576-Y3576</f>
        <v/>
      </c>
    </row>
    <row r="3577">
      <c r="A3577" t="n">
        <v>25</v>
      </c>
      <c r="B3577" s="44">
        <f>FiscalStart+(A3577-1)*7</f>
        <v/>
      </c>
      <c r="C3577">
        <f>TEXT(B3577,"mmm yyyy")</f>
        <v/>
      </c>
      <c r="D3577">
        <f>"Q"&amp;(INT((A3577-1)/13)+1)</f>
        <v/>
      </c>
      <c r="E3577" t="inlineStr">
        <is>
          <t>Online</t>
        </is>
      </c>
      <c r="F3577">
        <f>IFERROR(INDEX(ChFormat,MATCH(E3577,ChName,0)),"")</f>
        <v/>
      </c>
      <c r="G3577" t="inlineStr">
        <is>
          <t>NS</t>
        </is>
      </c>
      <c r="H3577">
        <f>IF(A3577&lt;=NWeeks,1,0)</f>
        <v/>
      </c>
      <c r="I3577">
        <f>INDEX(ChLaunch,MATCH(E3577,ChName,0))</f>
        <v/>
      </c>
      <c r="J3577">
        <f>INDEX(ChWeeksFull,MATCH(E3577,ChName,0))</f>
        <v/>
      </c>
      <c r="K3577">
        <f>INDEX(ChRamp,MATCH(E3577,ChName,0))</f>
        <v/>
      </c>
      <c r="L3577" s="45">
        <f>MIN(1,MAX(0,(A3577-I3577+1)*RampSpeed/J3577))</f>
        <v/>
      </c>
      <c r="M3577" s="45">
        <f>IF(A3577&lt;I3577,0,IF(K3577="S-curve",L3577*L3577*(3-2*L3577),L3577))</f>
        <v/>
      </c>
      <c r="N3577" s="45">
        <f>1+(INDEX(SeasonIdx,A3577)-1)*SeasonAmp</f>
        <v/>
      </c>
      <c r="O3577" s="45">
        <f>IFERROR(INDEX(PSPct,MATCH(E3577&amp;"|"&amp;G3577,PSKey,0)),0)</f>
        <v/>
      </c>
      <c r="P3577" s="46" t="n">
        <v>0</v>
      </c>
      <c r="Q3577" s="46">
        <f>INDEX(OnlineUnitsCol,A3577)*O3577*(1+OnlineGrowth)*N3577*H3577*IF(A3577&gt;=I3577,1,0)</f>
        <v/>
      </c>
      <c r="R3577" s="46">
        <f>Q3577*INDEX(FmtCansPerPack,MATCH(F3577,FmtName,0))/INDEX(FmtCansPerCase,MATCH(F3577,FmtName,0))</f>
        <v/>
      </c>
      <c r="S3577" s="46">
        <f>R3577*INDEX(FmtCansPerCase,MATCH(F3577,FmtName,0))</f>
        <v/>
      </c>
      <c r="T3577" s="46">
        <f>S3577/INDEX(FmtCansPerPack,MATCH(F3577,FmtName,0))</f>
        <v/>
      </c>
      <c r="U3577" s="47">
        <f>INDEX(ProvOnline,MATCH(G3577,ProvCode,0))*(1+PriceIndex)</f>
        <v/>
      </c>
      <c r="V3577" s="47">
        <f>Q3577*U3577*INDEX(FmtBlendedPriceIdx,MATCH(F3577,FmtName,0))</f>
        <v/>
      </c>
      <c r="W3577" s="47">
        <f>V3577</f>
        <v/>
      </c>
      <c r="X3577" s="47">
        <f>IF(GrossBasis="Wholesale",V3577,W3577)</f>
        <v/>
      </c>
      <c r="Y3577" s="47">
        <f>R3577*INDEX(FmtBlendedCogs,MATCH(F3577,FmtName,0))</f>
        <v/>
      </c>
      <c r="Z3577" s="47">
        <f>X3577-Y3577</f>
        <v/>
      </c>
    </row>
    <row r="3578">
      <c r="A3578" t="n">
        <v>26</v>
      </c>
      <c r="B3578" s="44">
        <f>FiscalStart+(A3578-1)*7</f>
        <v/>
      </c>
      <c r="C3578">
        <f>TEXT(B3578,"mmm yyyy")</f>
        <v/>
      </c>
      <c r="D3578">
        <f>"Q"&amp;(INT((A3578-1)/13)+1)</f>
        <v/>
      </c>
      <c r="E3578" t="inlineStr">
        <is>
          <t>Online</t>
        </is>
      </c>
      <c r="F3578">
        <f>IFERROR(INDEX(ChFormat,MATCH(E3578,ChName,0)),"")</f>
        <v/>
      </c>
      <c r="G3578" t="inlineStr">
        <is>
          <t>NS</t>
        </is>
      </c>
      <c r="H3578">
        <f>IF(A3578&lt;=NWeeks,1,0)</f>
        <v/>
      </c>
      <c r="I3578">
        <f>INDEX(ChLaunch,MATCH(E3578,ChName,0))</f>
        <v/>
      </c>
      <c r="J3578">
        <f>INDEX(ChWeeksFull,MATCH(E3578,ChName,0))</f>
        <v/>
      </c>
      <c r="K3578">
        <f>INDEX(ChRamp,MATCH(E3578,ChName,0))</f>
        <v/>
      </c>
      <c r="L3578" s="45">
        <f>MIN(1,MAX(0,(A3578-I3578+1)*RampSpeed/J3578))</f>
        <v/>
      </c>
      <c r="M3578" s="45">
        <f>IF(A3578&lt;I3578,0,IF(K3578="S-curve",L3578*L3578*(3-2*L3578),L3578))</f>
        <v/>
      </c>
      <c r="N3578" s="45">
        <f>1+(INDEX(SeasonIdx,A3578)-1)*SeasonAmp</f>
        <v/>
      </c>
      <c r="O3578" s="45">
        <f>IFERROR(INDEX(PSPct,MATCH(E3578&amp;"|"&amp;G3578,PSKey,0)),0)</f>
        <v/>
      </c>
      <c r="P3578" s="46" t="n">
        <v>0</v>
      </c>
      <c r="Q3578" s="46">
        <f>INDEX(OnlineUnitsCol,A3578)*O3578*(1+OnlineGrowth)*N3578*H3578*IF(A3578&gt;=I3578,1,0)</f>
        <v/>
      </c>
      <c r="R3578" s="46">
        <f>Q3578*INDEX(FmtCansPerPack,MATCH(F3578,FmtName,0))/INDEX(FmtCansPerCase,MATCH(F3578,FmtName,0))</f>
        <v/>
      </c>
      <c r="S3578" s="46">
        <f>R3578*INDEX(FmtCansPerCase,MATCH(F3578,FmtName,0))</f>
        <v/>
      </c>
      <c r="T3578" s="46">
        <f>S3578/INDEX(FmtCansPerPack,MATCH(F3578,FmtName,0))</f>
        <v/>
      </c>
      <c r="U3578" s="47">
        <f>INDEX(ProvOnline,MATCH(G3578,ProvCode,0))*(1+PriceIndex)</f>
        <v/>
      </c>
      <c r="V3578" s="47">
        <f>Q3578*U3578*INDEX(FmtBlendedPriceIdx,MATCH(F3578,FmtName,0))</f>
        <v/>
      </c>
      <c r="W3578" s="47">
        <f>V3578</f>
        <v/>
      </c>
      <c r="X3578" s="47">
        <f>IF(GrossBasis="Wholesale",V3578,W3578)</f>
        <v/>
      </c>
      <c r="Y3578" s="47">
        <f>R3578*INDEX(FmtBlendedCogs,MATCH(F3578,FmtName,0))</f>
        <v/>
      </c>
      <c r="Z3578" s="47">
        <f>X3578-Y3578</f>
        <v/>
      </c>
    </row>
    <row r="3579">
      <c r="A3579" t="n">
        <v>27</v>
      </c>
      <c r="B3579" s="44">
        <f>FiscalStart+(A3579-1)*7</f>
        <v/>
      </c>
      <c r="C3579">
        <f>TEXT(B3579,"mmm yyyy")</f>
        <v/>
      </c>
      <c r="D3579">
        <f>"Q"&amp;(INT((A3579-1)/13)+1)</f>
        <v/>
      </c>
      <c r="E3579" t="inlineStr">
        <is>
          <t>Online</t>
        </is>
      </c>
      <c r="F3579">
        <f>IFERROR(INDEX(ChFormat,MATCH(E3579,ChName,0)),"")</f>
        <v/>
      </c>
      <c r="G3579" t="inlineStr">
        <is>
          <t>NS</t>
        </is>
      </c>
      <c r="H3579">
        <f>IF(A3579&lt;=NWeeks,1,0)</f>
        <v/>
      </c>
      <c r="I3579">
        <f>INDEX(ChLaunch,MATCH(E3579,ChName,0))</f>
        <v/>
      </c>
      <c r="J3579">
        <f>INDEX(ChWeeksFull,MATCH(E3579,ChName,0))</f>
        <v/>
      </c>
      <c r="K3579">
        <f>INDEX(ChRamp,MATCH(E3579,ChName,0))</f>
        <v/>
      </c>
      <c r="L3579" s="45">
        <f>MIN(1,MAX(0,(A3579-I3579+1)*RampSpeed/J3579))</f>
        <v/>
      </c>
      <c r="M3579" s="45">
        <f>IF(A3579&lt;I3579,0,IF(K3579="S-curve",L3579*L3579*(3-2*L3579),L3579))</f>
        <v/>
      </c>
      <c r="N3579" s="45">
        <f>1+(INDEX(SeasonIdx,A3579)-1)*SeasonAmp</f>
        <v/>
      </c>
      <c r="O3579" s="45">
        <f>IFERROR(INDEX(PSPct,MATCH(E3579&amp;"|"&amp;G3579,PSKey,0)),0)</f>
        <v/>
      </c>
      <c r="P3579" s="46" t="n">
        <v>0</v>
      </c>
      <c r="Q3579" s="46">
        <f>INDEX(OnlineUnitsCol,A3579)*O3579*(1+OnlineGrowth)*N3579*H3579*IF(A3579&gt;=I3579,1,0)</f>
        <v/>
      </c>
      <c r="R3579" s="46">
        <f>Q3579*INDEX(FmtCansPerPack,MATCH(F3579,FmtName,0))/INDEX(FmtCansPerCase,MATCH(F3579,FmtName,0))</f>
        <v/>
      </c>
      <c r="S3579" s="46">
        <f>R3579*INDEX(FmtCansPerCase,MATCH(F3579,FmtName,0))</f>
        <v/>
      </c>
      <c r="T3579" s="46">
        <f>S3579/INDEX(FmtCansPerPack,MATCH(F3579,FmtName,0))</f>
        <v/>
      </c>
      <c r="U3579" s="47">
        <f>INDEX(ProvOnline,MATCH(G3579,ProvCode,0))*(1+PriceIndex)</f>
        <v/>
      </c>
      <c r="V3579" s="47">
        <f>Q3579*U3579*INDEX(FmtBlendedPriceIdx,MATCH(F3579,FmtName,0))</f>
        <v/>
      </c>
      <c r="W3579" s="47">
        <f>V3579</f>
        <v/>
      </c>
      <c r="X3579" s="47">
        <f>IF(GrossBasis="Wholesale",V3579,W3579)</f>
        <v/>
      </c>
      <c r="Y3579" s="47">
        <f>R3579*INDEX(FmtBlendedCogs,MATCH(F3579,FmtName,0))</f>
        <v/>
      </c>
      <c r="Z3579" s="47">
        <f>X3579-Y3579</f>
        <v/>
      </c>
    </row>
    <row r="3580">
      <c r="A3580" t="n">
        <v>28</v>
      </c>
      <c r="B3580" s="44">
        <f>FiscalStart+(A3580-1)*7</f>
        <v/>
      </c>
      <c r="C3580">
        <f>TEXT(B3580,"mmm yyyy")</f>
        <v/>
      </c>
      <c r="D3580">
        <f>"Q"&amp;(INT((A3580-1)/13)+1)</f>
        <v/>
      </c>
      <c r="E3580" t="inlineStr">
        <is>
          <t>Online</t>
        </is>
      </c>
      <c r="F3580">
        <f>IFERROR(INDEX(ChFormat,MATCH(E3580,ChName,0)),"")</f>
        <v/>
      </c>
      <c r="G3580" t="inlineStr">
        <is>
          <t>NS</t>
        </is>
      </c>
      <c r="H3580">
        <f>IF(A3580&lt;=NWeeks,1,0)</f>
        <v/>
      </c>
      <c r="I3580">
        <f>INDEX(ChLaunch,MATCH(E3580,ChName,0))</f>
        <v/>
      </c>
      <c r="J3580">
        <f>INDEX(ChWeeksFull,MATCH(E3580,ChName,0))</f>
        <v/>
      </c>
      <c r="K3580">
        <f>INDEX(ChRamp,MATCH(E3580,ChName,0))</f>
        <v/>
      </c>
      <c r="L3580" s="45">
        <f>MIN(1,MAX(0,(A3580-I3580+1)*RampSpeed/J3580))</f>
        <v/>
      </c>
      <c r="M3580" s="45">
        <f>IF(A3580&lt;I3580,0,IF(K3580="S-curve",L3580*L3580*(3-2*L3580),L3580))</f>
        <v/>
      </c>
      <c r="N3580" s="45">
        <f>1+(INDEX(SeasonIdx,A3580)-1)*SeasonAmp</f>
        <v/>
      </c>
      <c r="O3580" s="45">
        <f>IFERROR(INDEX(PSPct,MATCH(E3580&amp;"|"&amp;G3580,PSKey,0)),0)</f>
        <v/>
      </c>
      <c r="P3580" s="46" t="n">
        <v>0</v>
      </c>
      <c r="Q3580" s="46">
        <f>INDEX(OnlineUnitsCol,A3580)*O3580*(1+OnlineGrowth)*N3580*H3580*IF(A3580&gt;=I3580,1,0)</f>
        <v/>
      </c>
      <c r="R3580" s="46">
        <f>Q3580*INDEX(FmtCansPerPack,MATCH(F3580,FmtName,0))/INDEX(FmtCansPerCase,MATCH(F3580,FmtName,0))</f>
        <v/>
      </c>
      <c r="S3580" s="46">
        <f>R3580*INDEX(FmtCansPerCase,MATCH(F3580,FmtName,0))</f>
        <v/>
      </c>
      <c r="T3580" s="46">
        <f>S3580/INDEX(FmtCansPerPack,MATCH(F3580,FmtName,0))</f>
        <v/>
      </c>
      <c r="U3580" s="47">
        <f>INDEX(ProvOnline,MATCH(G3580,ProvCode,0))*(1+PriceIndex)</f>
        <v/>
      </c>
      <c r="V3580" s="47">
        <f>Q3580*U3580*INDEX(FmtBlendedPriceIdx,MATCH(F3580,FmtName,0))</f>
        <v/>
      </c>
      <c r="W3580" s="47">
        <f>V3580</f>
        <v/>
      </c>
      <c r="X3580" s="47">
        <f>IF(GrossBasis="Wholesale",V3580,W3580)</f>
        <v/>
      </c>
      <c r="Y3580" s="47">
        <f>R3580*INDEX(FmtBlendedCogs,MATCH(F3580,FmtName,0))</f>
        <v/>
      </c>
      <c r="Z3580" s="47">
        <f>X3580-Y3580</f>
        <v/>
      </c>
    </row>
    <row r="3581">
      <c r="A3581" t="n">
        <v>29</v>
      </c>
      <c r="B3581" s="44">
        <f>FiscalStart+(A3581-1)*7</f>
        <v/>
      </c>
      <c r="C3581">
        <f>TEXT(B3581,"mmm yyyy")</f>
        <v/>
      </c>
      <c r="D3581">
        <f>"Q"&amp;(INT((A3581-1)/13)+1)</f>
        <v/>
      </c>
      <c r="E3581" t="inlineStr">
        <is>
          <t>Online</t>
        </is>
      </c>
      <c r="F3581">
        <f>IFERROR(INDEX(ChFormat,MATCH(E3581,ChName,0)),"")</f>
        <v/>
      </c>
      <c r="G3581" t="inlineStr">
        <is>
          <t>NS</t>
        </is>
      </c>
      <c r="H3581">
        <f>IF(A3581&lt;=NWeeks,1,0)</f>
        <v/>
      </c>
      <c r="I3581">
        <f>INDEX(ChLaunch,MATCH(E3581,ChName,0))</f>
        <v/>
      </c>
      <c r="J3581">
        <f>INDEX(ChWeeksFull,MATCH(E3581,ChName,0))</f>
        <v/>
      </c>
      <c r="K3581">
        <f>INDEX(ChRamp,MATCH(E3581,ChName,0))</f>
        <v/>
      </c>
      <c r="L3581" s="45">
        <f>MIN(1,MAX(0,(A3581-I3581+1)*RampSpeed/J3581))</f>
        <v/>
      </c>
      <c r="M3581" s="45">
        <f>IF(A3581&lt;I3581,0,IF(K3581="S-curve",L3581*L3581*(3-2*L3581),L3581))</f>
        <v/>
      </c>
      <c r="N3581" s="45">
        <f>1+(INDEX(SeasonIdx,A3581)-1)*SeasonAmp</f>
        <v/>
      </c>
      <c r="O3581" s="45">
        <f>IFERROR(INDEX(PSPct,MATCH(E3581&amp;"|"&amp;G3581,PSKey,0)),0)</f>
        <v/>
      </c>
      <c r="P3581" s="46" t="n">
        <v>0</v>
      </c>
      <c r="Q3581" s="46">
        <f>INDEX(OnlineUnitsCol,A3581)*O3581*(1+OnlineGrowth)*N3581*H3581*IF(A3581&gt;=I3581,1,0)</f>
        <v/>
      </c>
      <c r="R3581" s="46">
        <f>Q3581*INDEX(FmtCansPerPack,MATCH(F3581,FmtName,0))/INDEX(FmtCansPerCase,MATCH(F3581,FmtName,0))</f>
        <v/>
      </c>
      <c r="S3581" s="46">
        <f>R3581*INDEX(FmtCansPerCase,MATCH(F3581,FmtName,0))</f>
        <v/>
      </c>
      <c r="T3581" s="46">
        <f>S3581/INDEX(FmtCansPerPack,MATCH(F3581,FmtName,0))</f>
        <v/>
      </c>
      <c r="U3581" s="47">
        <f>INDEX(ProvOnline,MATCH(G3581,ProvCode,0))*(1+PriceIndex)</f>
        <v/>
      </c>
      <c r="V3581" s="47">
        <f>Q3581*U3581*INDEX(FmtBlendedPriceIdx,MATCH(F3581,FmtName,0))</f>
        <v/>
      </c>
      <c r="W3581" s="47">
        <f>V3581</f>
        <v/>
      </c>
      <c r="X3581" s="47">
        <f>IF(GrossBasis="Wholesale",V3581,W3581)</f>
        <v/>
      </c>
      <c r="Y3581" s="47">
        <f>R3581*INDEX(FmtBlendedCogs,MATCH(F3581,FmtName,0))</f>
        <v/>
      </c>
      <c r="Z3581" s="47">
        <f>X3581-Y3581</f>
        <v/>
      </c>
    </row>
    <row r="3582">
      <c r="A3582" t="n">
        <v>30</v>
      </c>
      <c r="B3582" s="44">
        <f>FiscalStart+(A3582-1)*7</f>
        <v/>
      </c>
      <c r="C3582">
        <f>TEXT(B3582,"mmm yyyy")</f>
        <v/>
      </c>
      <c r="D3582">
        <f>"Q"&amp;(INT((A3582-1)/13)+1)</f>
        <v/>
      </c>
      <c r="E3582" t="inlineStr">
        <is>
          <t>Online</t>
        </is>
      </c>
      <c r="F3582">
        <f>IFERROR(INDEX(ChFormat,MATCH(E3582,ChName,0)),"")</f>
        <v/>
      </c>
      <c r="G3582" t="inlineStr">
        <is>
          <t>NS</t>
        </is>
      </c>
      <c r="H3582">
        <f>IF(A3582&lt;=NWeeks,1,0)</f>
        <v/>
      </c>
      <c r="I3582">
        <f>INDEX(ChLaunch,MATCH(E3582,ChName,0))</f>
        <v/>
      </c>
      <c r="J3582">
        <f>INDEX(ChWeeksFull,MATCH(E3582,ChName,0))</f>
        <v/>
      </c>
      <c r="K3582">
        <f>INDEX(ChRamp,MATCH(E3582,ChName,0))</f>
        <v/>
      </c>
      <c r="L3582" s="45">
        <f>MIN(1,MAX(0,(A3582-I3582+1)*RampSpeed/J3582))</f>
        <v/>
      </c>
      <c r="M3582" s="45">
        <f>IF(A3582&lt;I3582,0,IF(K3582="S-curve",L3582*L3582*(3-2*L3582),L3582))</f>
        <v/>
      </c>
      <c r="N3582" s="45">
        <f>1+(INDEX(SeasonIdx,A3582)-1)*SeasonAmp</f>
        <v/>
      </c>
      <c r="O3582" s="45">
        <f>IFERROR(INDEX(PSPct,MATCH(E3582&amp;"|"&amp;G3582,PSKey,0)),0)</f>
        <v/>
      </c>
      <c r="P3582" s="46" t="n">
        <v>0</v>
      </c>
      <c r="Q3582" s="46">
        <f>INDEX(OnlineUnitsCol,A3582)*O3582*(1+OnlineGrowth)*N3582*H3582*IF(A3582&gt;=I3582,1,0)</f>
        <v/>
      </c>
      <c r="R3582" s="46">
        <f>Q3582*INDEX(FmtCansPerPack,MATCH(F3582,FmtName,0))/INDEX(FmtCansPerCase,MATCH(F3582,FmtName,0))</f>
        <v/>
      </c>
      <c r="S3582" s="46">
        <f>R3582*INDEX(FmtCansPerCase,MATCH(F3582,FmtName,0))</f>
        <v/>
      </c>
      <c r="T3582" s="46">
        <f>S3582/INDEX(FmtCansPerPack,MATCH(F3582,FmtName,0))</f>
        <v/>
      </c>
      <c r="U3582" s="47">
        <f>INDEX(ProvOnline,MATCH(G3582,ProvCode,0))*(1+PriceIndex)</f>
        <v/>
      </c>
      <c r="V3582" s="47">
        <f>Q3582*U3582*INDEX(FmtBlendedPriceIdx,MATCH(F3582,FmtName,0))</f>
        <v/>
      </c>
      <c r="W3582" s="47">
        <f>V3582</f>
        <v/>
      </c>
      <c r="X3582" s="47">
        <f>IF(GrossBasis="Wholesale",V3582,W3582)</f>
        <v/>
      </c>
      <c r="Y3582" s="47">
        <f>R3582*INDEX(FmtBlendedCogs,MATCH(F3582,FmtName,0))</f>
        <v/>
      </c>
      <c r="Z3582" s="47">
        <f>X3582-Y3582</f>
        <v/>
      </c>
    </row>
    <row r="3583">
      <c r="A3583" t="n">
        <v>31</v>
      </c>
      <c r="B3583" s="44">
        <f>FiscalStart+(A3583-1)*7</f>
        <v/>
      </c>
      <c r="C3583">
        <f>TEXT(B3583,"mmm yyyy")</f>
        <v/>
      </c>
      <c r="D3583">
        <f>"Q"&amp;(INT((A3583-1)/13)+1)</f>
        <v/>
      </c>
      <c r="E3583" t="inlineStr">
        <is>
          <t>Online</t>
        </is>
      </c>
      <c r="F3583">
        <f>IFERROR(INDEX(ChFormat,MATCH(E3583,ChName,0)),"")</f>
        <v/>
      </c>
      <c r="G3583" t="inlineStr">
        <is>
          <t>NS</t>
        </is>
      </c>
      <c r="H3583">
        <f>IF(A3583&lt;=NWeeks,1,0)</f>
        <v/>
      </c>
      <c r="I3583">
        <f>INDEX(ChLaunch,MATCH(E3583,ChName,0))</f>
        <v/>
      </c>
      <c r="J3583">
        <f>INDEX(ChWeeksFull,MATCH(E3583,ChName,0))</f>
        <v/>
      </c>
      <c r="K3583">
        <f>INDEX(ChRamp,MATCH(E3583,ChName,0))</f>
        <v/>
      </c>
      <c r="L3583" s="45">
        <f>MIN(1,MAX(0,(A3583-I3583+1)*RampSpeed/J3583))</f>
        <v/>
      </c>
      <c r="M3583" s="45">
        <f>IF(A3583&lt;I3583,0,IF(K3583="S-curve",L3583*L3583*(3-2*L3583),L3583))</f>
        <v/>
      </c>
      <c r="N3583" s="45">
        <f>1+(INDEX(SeasonIdx,A3583)-1)*SeasonAmp</f>
        <v/>
      </c>
      <c r="O3583" s="45">
        <f>IFERROR(INDEX(PSPct,MATCH(E3583&amp;"|"&amp;G3583,PSKey,0)),0)</f>
        <v/>
      </c>
      <c r="P3583" s="46" t="n">
        <v>0</v>
      </c>
      <c r="Q3583" s="46">
        <f>INDEX(OnlineUnitsCol,A3583)*O3583*(1+OnlineGrowth)*N3583*H3583*IF(A3583&gt;=I3583,1,0)</f>
        <v/>
      </c>
      <c r="R3583" s="46">
        <f>Q3583*INDEX(FmtCansPerPack,MATCH(F3583,FmtName,0))/INDEX(FmtCansPerCase,MATCH(F3583,FmtName,0))</f>
        <v/>
      </c>
      <c r="S3583" s="46">
        <f>R3583*INDEX(FmtCansPerCase,MATCH(F3583,FmtName,0))</f>
        <v/>
      </c>
      <c r="T3583" s="46">
        <f>S3583/INDEX(FmtCansPerPack,MATCH(F3583,FmtName,0))</f>
        <v/>
      </c>
      <c r="U3583" s="47">
        <f>INDEX(ProvOnline,MATCH(G3583,ProvCode,0))*(1+PriceIndex)</f>
        <v/>
      </c>
      <c r="V3583" s="47">
        <f>Q3583*U3583*INDEX(FmtBlendedPriceIdx,MATCH(F3583,FmtName,0))</f>
        <v/>
      </c>
      <c r="W3583" s="47">
        <f>V3583</f>
        <v/>
      </c>
      <c r="X3583" s="47">
        <f>IF(GrossBasis="Wholesale",V3583,W3583)</f>
        <v/>
      </c>
      <c r="Y3583" s="47">
        <f>R3583*INDEX(FmtBlendedCogs,MATCH(F3583,FmtName,0))</f>
        <v/>
      </c>
      <c r="Z3583" s="47">
        <f>X3583-Y3583</f>
        <v/>
      </c>
    </row>
    <row r="3584">
      <c r="A3584" t="n">
        <v>32</v>
      </c>
      <c r="B3584" s="44">
        <f>FiscalStart+(A3584-1)*7</f>
        <v/>
      </c>
      <c r="C3584">
        <f>TEXT(B3584,"mmm yyyy")</f>
        <v/>
      </c>
      <c r="D3584">
        <f>"Q"&amp;(INT((A3584-1)/13)+1)</f>
        <v/>
      </c>
      <c r="E3584" t="inlineStr">
        <is>
          <t>Online</t>
        </is>
      </c>
      <c r="F3584">
        <f>IFERROR(INDEX(ChFormat,MATCH(E3584,ChName,0)),"")</f>
        <v/>
      </c>
      <c r="G3584" t="inlineStr">
        <is>
          <t>NS</t>
        </is>
      </c>
      <c r="H3584">
        <f>IF(A3584&lt;=NWeeks,1,0)</f>
        <v/>
      </c>
      <c r="I3584">
        <f>INDEX(ChLaunch,MATCH(E3584,ChName,0))</f>
        <v/>
      </c>
      <c r="J3584">
        <f>INDEX(ChWeeksFull,MATCH(E3584,ChName,0))</f>
        <v/>
      </c>
      <c r="K3584">
        <f>INDEX(ChRamp,MATCH(E3584,ChName,0))</f>
        <v/>
      </c>
      <c r="L3584" s="45">
        <f>MIN(1,MAX(0,(A3584-I3584+1)*RampSpeed/J3584))</f>
        <v/>
      </c>
      <c r="M3584" s="45">
        <f>IF(A3584&lt;I3584,0,IF(K3584="S-curve",L3584*L3584*(3-2*L3584),L3584))</f>
        <v/>
      </c>
      <c r="N3584" s="45">
        <f>1+(INDEX(SeasonIdx,A3584)-1)*SeasonAmp</f>
        <v/>
      </c>
      <c r="O3584" s="45">
        <f>IFERROR(INDEX(PSPct,MATCH(E3584&amp;"|"&amp;G3584,PSKey,0)),0)</f>
        <v/>
      </c>
      <c r="P3584" s="46" t="n">
        <v>0</v>
      </c>
      <c r="Q3584" s="46">
        <f>INDEX(OnlineUnitsCol,A3584)*O3584*(1+OnlineGrowth)*N3584*H3584*IF(A3584&gt;=I3584,1,0)</f>
        <v/>
      </c>
      <c r="R3584" s="46">
        <f>Q3584*INDEX(FmtCansPerPack,MATCH(F3584,FmtName,0))/INDEX(FmtCansPerCase,MATCH(F3584,FmtName,0))</f>
        <v/>
      </c>
      <c r="S3584" s="46">
        <f>R3584*INDEX(FmtCansPerCase,MATCH(F3584,FmtName,0))</f>
        <v/>
      </c>
      <c r="T3584" s="46">
        <f>S3584/INDEX(FmtCansPerPack,MATCH(F3584,FmtName,0))</f>
        <v/>
      </c>
      <c r="U3584" s="47">
        <f>INDEX(ProvOnline,MATCH(G3584,ProvCode,0))*(1+PriceIndex)</f>
        <v/>
      </c>
      <c r="V3584" s="47">
        <f>Q3584*U3584*INDEX(FmtBlendedPriceIdx,MATCH(F3584,FmtName,0))</f>
        <v/>
      </c>
      <c r="W3584" s="47">
        <f>V3584</f>
        <v/>
      </c>
      <c r="X3584" s="47">
        <f>IF(GrossBasis="Wholesale",V3584,W3584)</f>
        <v/>
      </c>
      <c r="Y3584" s="47">
        <f>R3584*INDEX(FmtBlendedCogs,MATCH(F3584,FmtName,0))</f>
        <v/>
      </c>
      <c r="Z3584" s="47">
        <f>X3584-Y3584</f>
        <v/>
      </c>
    </row>
    <row r="3585">
      <c r="A3585" t="n">
        <v>33</v>
      </c>
      <c r="B3585" s="44">
        <f>FiscalStart+(A3585-1)*7</f>
        <v/>
      </c>
      <c r="C3585">
        <f>TEXT(B3585,"mmm yyyy")</f>
        <v/>
      </c>
      <c r="D3585">
        <f>"Q"&amp;(INT((A3585-1)/13)+1)</f>
        <v/>
      </c>
      <c r="E3585" t="inlineStr">
        <is>
          <t>Online</t>
        </is>
      </c>
      <c r="F3585">
        <f>IFERROR(INDEX(ChFormat,MATCH(E3585,ChName,0)),"")</f>
        <v/>
      </c>
      <c r="G3585" t="inlineStr">
        <is>
          <t>NS</t>
        </is>
      </c>
      <c r="H3585">
        <f>IF(A3585&lt;=NWeeks,1,0)</f>
        <v/>
      </c>
      <c r="I3585">
        <f>INDEX(ChLaunch,MATCH(E3585,ChName,0))</f>
        <v/>
      </c>
      <c r="J3585">
        <f>INDEX(ChWeeksFull,MATCH(E3585,ChName,0))</f>
        <v/>
      </c>
      <c r="K3585">
        <f>INDEX(ChRamp,MATCH(E3585,ChName,0))</f>
        <v/>
      </c>
      <c r="L3585" s="45">
        <f>MIN(1,MAX(0,(A3585-I3585+1)*RampSpeed/J3585))</f>
        <v/>
      </c>
      <c r="M3585" s="45">
        <f>IF(A3585&lt;I3585,0,IF(K3585="S-curve",L3585*L3585*(3-2*L3585),L3585))</f>
        <v/>
      </c>
      <c r="N3585" s="45">
        <f>1+(INDEX(SeasonIdx,A3585)-1)*SeasonAmp</f>
        <v/>
      </c>
      <c r="O3585" s="45">
        <f>IFERROR(INDEX(PSPct,MATCH(E3585&amp;"|"&amp;G3585,PSKey,0)),0)</f>
        <v/>
      </c>
      <c r="P3585" s="46" t="n">
        <v>0</v>
      </c>
      <c r="Q3585" s="46">
        <f>INDEX(OnlineUnitsCol,A3585)*O3585*(1+OnlineGrowth)*N3585*H3585*IF(A3585&gt;=I3585,1,0)</f>
        <v/>
      </c>
      <c r="R3585" s="46">
        <f>Q3585*INDEX(FmtCansPerPack,MATCH(F3585,FmtName,0))/INDEX(FmtCansPerCase,MATCH(F3585,FmtName,0))</f>
        <v/>
      </c>
      <c r="S3585" s="46">
        <f>R3585*INDEX(FmtCansPerCase,MATCH(F3585,FmtName,0))</f>
        <v/>
      </c>
      <c r="T3585" s="46">
        <f>S3585/INDEX(FmtCansPerPack,MATCH(F3585,FmtName,0))</f>
        <v/>
      </c>
      <c r="U3585" s="47">
        <f>INDEX(ProvOnline,MATCH(G3585,ProvCode,0))*(1+PriceIndex)</f>
        <v/>
      </c>
      <c r="V3585" s="47">
        <f>Q3585*U3585*INDEX(FmtBlendedPriceIdx,MATCH(F3585,FmtName,0))</f>
        <v/>
      </c>
      <c r="W3585" s="47">
        <f>V3585</f>
        <v/>
      </c>
      <c r="X3585" s="47">
        <f>IF(GrossBasis="Wholesale",V3585,W3585)</f>
        <v/>
      </c>
      <c r="Y3585" s="47">
        <f>R3585*INDEX(FmtBlendedCogs,MATCH(F3585,FmtName,0))</f>
        <v/>
      </c>
      <c r="Z3585" s="47">
        <f>X3585-Y3585</f>
        <v/>
      </c>
    </row>
    <row r="3586">
      <c r="A3586" t="n">
        <v>34</v>
      </c>
      <c r="B3586" s="44">
        <f>FiscalStart+(A3586-1)*7</f>
        <v/>
      </c>
      <c r="C3586">
        <f>TEXT(B3586,"mmm yyyy")</f>
        <v/>
      </c>
      <c r="D3586">
        <f>"Q"&amp;(INT((A3586-1)/13)+1)</f>
        <v/>
      </c>
      <c r="E3586" t="inlineStr">
        <is>
          <t>Online</t>
        </is>
      </c>
      <c r="F3586">
        <f>IFERROR(INDEX(ChFormat,MATCH(E3586,ChName,0)),"")</f>
        <v/>
      </c>
      <c r="G3586" t="inlineStr">
        <is>
          <t>NS</t>
        </is>
      </c>
      <c r="H3586">
        <f>IF(A3586&lt;=NWeeks,1,0)</f>
        <v/>
      </c>
      <c r="I3586">
        <f>INDEX(ChLaunch,MATCH(E3586,ChName,0))</f>
        <v/>
      </c>
      <c r="J3586">
        <f>INDEX(ChWeeksFull,MATCH(E3586,ChName,0))</f>
        <v/>
      </c>
      <c r="K3586">
        <f>INDEX(ChRamp,MATCH(E3586,ChName,0))</f>
        <v/>
      </c>
      <c r="L3586" s="45">
        <f>MIN(1,MAX(0,(A3586-I3586+1)*RampSpeed/J3586))</f>
        <v/>
      </c>
      <c r="M3586" s="45">
        <f>IF(A3586&lt;I3586,0,IF(K3586="S-curve",L3586*L3586*(3-2*L3586),L3586))</f>
        <v/>
      </c>
      <c r="N3586" s="45">
        <f>1+(INDEX(SeasonIdx,A3586)-1)*SeasonAmp</f>
        <v/>
      </c>
      <c r="O3586" s="45">
        <f>IFERROR(INDEX(PSPct,MATCH(E3586&amp;"|"&amp;G3586,PSKey,0)),0)</f>
        <v/>
      </c>
      <c r="P3586" s="46" t="n">
        <v>0</v>
      </c>
      <c r="Q3586" s="46">
        <f>INDEX(OnlineUnitsCol,A3586)*O3586*(1+OnlineGrowth)*N3586*H3586*IF(A3586&gt;=I3586,1,0)</f>
        <v/>
      </c>
      <c r="R3586" s="46">
        <f>Q3586*INDEX(FmtCansPerPack,MATCH(F3586,FmtName,0))/INDEX(FmtCansPerCase,MATCH(F3586,FmtName,0))</f>
        <v/>
      </c>
      <c r="S3586" s="46">
        <f>R3586*INDEX(FmtCansPerCase,MATCH(F3586,FmtName,0))</f>
        <v/>
      </c>
      <c r="T3586" s="46">
        <f>S3586/INDEX(FmtCansPerPack,MATCH(F3586,FmtName,0))</f>
        <v/>
      </c>
      <c r="U3586" s="47">
        <f>INDEX(ProvOnline,MATCH(G3586,ProvCode,0))*(1+PriceIndex)</f>
        <v/>
      </c>
      <c r="V3586" s="47">
        <f>Q3586*U3586*INDEX(FmtBlendedPriceIdx,MATCH(F3586,FmtName,0))</f>
        <v/>
      </c>
      <c r="W3586" s="47">
        <f>V3586</f>
        <v/>
      </c>
      <c r="X3586" s="47">
        <f>IF(GrossBasis="Wholesale",V3586,W3586)</f>
        <v/>
      </c>
      <c r="Y3586" s="47">
        <f>R3586*INDEX(FmtBlendedCogs,MATCH(F3586,FmtName,0))</f>
        <v/>
      </c>
      <c r="Z3586" s="47">
        <f>X3586-Y3586</f>
        <v/>
      </c>
    </row>
    <row r="3587">
      <c r="A3587" t="n">
        <v>35</v>
      </c>
      <c r="B3587" s="44">
        <f>FiscalStart+(A3587-1)*7</f>
        <v/>
      </c>
      <c r="C3587">
        <f>TEXT(B3587,"mmm yyyy")</f>
        <v/>
      </c>
      <c r="D3587">
        <f>"Q"&amp;(INT((A3587-1)/13)+1)</f>
        <v/>
      </c>
      <c r="E3587" t="inlineStr">
        <is>
          <t>Online</t>
        </is>
      </c>
      <c r="F3587">
        <f>IFERROR(INDEX(ChFormat,MATCH(E3587,ChName,0)),"")</f>
        <v/>
      </c>
      <c r="G3587" t="inlineStr">
        <is>
          <t>NS</t>
        </is>
      </c>
      <c r="H3587">
        <f>IF(A3587&lt;=NWeeks,1,0)</f>
        <v/>
      </c>
      <c r="I3587">
        <f>INDEX(ChLaunch,MATCH(E3587,ChName,0))</f>
        <v/>
      </c>
      <c r="J3587">
        <f>INDEX(ChWeeksFull,MATCH(E3587,ChName,0))</f>
        <v/>
      </c>
      <c r="K3587">
        <f>INDEX(ChRamp,MATCH(E3587,ChName,0))</f>
        <v/>
      </c>
      <c r="L3587" s="45">
        <f>MIN(1,MAX(0,(A3587-I3587+1)*RampSpeed/J3587))</f>
        <v/>
      </c>
      <c r="M3587" s="45">
        <f>IF(A3587&lt;I3587,0,IF(K3587="S-curve",L3587*L3587*(3-2*L3587),L3587))</f>
        <v/>
      </c>
      <c r="N3587" s="45">
        <f>1+(INDEX(SeasonIdx,A3587)-1)*SeasonAmp</f>
        <v/>
      </c>
      <c r="O3587" s="45">
        <f>IFERROR(INDEX(PSPct,MATCH(E3587&amp;"|"&amp;G3587,PSKey,0)),0)</f>
        <v/>
      </c>
      <c r="P3587" s="46" t="n">
        <v>0</v>
      </c>
      <c r="Q3587" s="46">
        <f>INDEX(OnlineUnitsCol,A3587)*O3587*(1+OnlineGrowth)*N3587*H3587*IF(A3587&gt;=I3587,1,0)</f>
        <v/>
      </c>
      <c r="R3587" s="46">
        <f>Q3587*INDEX(FmtCansPerPack,MATCH(F3587,FmtName,0))/INDEX(FmtCansPerCase,MATCH(F3587,FmtName,0))</f>
        <v/>
      </c>
      <c r="S3587" s="46">
        <f>R3587*INDEX(FmtCansPerCase,MATCH(F3587,FmtName,0))</f>
        <v/>
      </c>
      <c r="T3587" s="46">
        <f>S3587/INDEX(FmtCansPerPack,MATCH(F3587,FmtName,0))</f>
        <v/>
      </c>
      <c r="U3587" s="47">
        <f>INDEX(ProvOnline,MATCH(G3587,ProvCode,0))*(1+PriceIndex)</f>
        <v/>
      </c>
      <c r="V3587" s="47">
        <f>Q3587*U3587*INDEX(FmtBlendedPriceIdx,MATCH(F3587,FmtName,0))</f>
        <v/>
      </c>
      <c r="W3587" s="47">
        <f>V3587</f>
        <v/>
      </c>
      <c r="X3587" s="47">
        <f>IF(GrossBasis="Wholesale",V3587,W3587)</f>
        <v/>
      </c>
      <c r="Y3587" s="47">
        <f>R3587*INDEX(FmtBlendedCogs,MATCH(F3587,FmtName,0))</f>
        <v/>
      </c>
      <c r="Z3587" s="47">
        <f>X3587-Y3587</f>
        <v/>
      </c>
    </row>
    <row r="3588">
      <c r="A3588" t="n">
        <v>36</v>
      </c>
      <c r="B3588" s="44">
        <f>FiscalStart+(A3588-1)*7</f>
        <v/>
      </c>
      <c r="C3588">
        <f>TEXT(B3588,"mmm yyyy")</f>
        <v/>
      </c>
      <c r="D3588">
        <f>"Q"&amp;(INT((A3588-1)/13)+1)</f>
        <v/>
      </c>
      <c r="E3588" t="inlineStr">
        <is>
          <t>Online</t>
        </is>
      </c>
      <c r="F3588">
        <f>IFERROR(INDEX(ChFormat,MATCH(E3588,ChName,0)),"")</f>
        <v/>
      </c>
      <c r="G3588" t="inlineStr">
        <is>
          <t>NS</t>
        </is>
      </c>
      <c r="H3588">
        <f>IF(A3588&lt;=NWeeks,1,0)</f>
        <v/>
      </c>
      <c r="I3588">
        <f>INDEX(ChLaunch,MATCH(E3588,ChName,0))</f>
        <v/>
      </c>
      <c r="J3588">
        <f>INDEX(ChWeeksFull,MATCH(E3588,ChName,0))</f>
        <v/>
      </c>
      <c r="K3588">
        <f>INDEX(ChRamp,MATCH(E3588,ChName,0))</f>
        <v/>
      </c>
      <c r="L3588" s="45">
        <f>MIN(1,MAX(0,(A3588-I3588+1)*RampSpeed/J3588))</f>
        <v/>
      </c>
      <c r="M3588" s="45">
        <f>IF(A3588&lt;I3588,0,IF(K3588="S-curve",L3588*L3588*(3-2*L3588),L3588))</f>
        <v/>
      </c>
      <c r="N3588" s="45">
        <f>1+(INDEX(SeasonIdx,A3588)-1)*SeasonAmp</f>
        <v/>
      </c>
      <c r="O3588" s="45">
        <f>IFERROR(INDEX(PSPct,MATCH(E3588&amp;"|"&amp;G3588,PSKey,0)),0)</f>
        <v/>
      </c>
      <c r="P3588" s="46" t="n">
        <v>0</v>
      </c>
      <c r="Q3588" s="46">
        <f>INDEX(OnlineUnitsCol,A3588)*O3588*(1+OnlineGrowth)*N3588*H3588*IF(A3588&gt;=I3588,1,0)</f>
        <v/>
      </c>
      <c r="R3588" s="46">
        <f>Q3588*INDEX(FmtCansPerPack,MATCH(F3588,FmtName,0))/INDEX(FmtCansPerCase,MATCH(F3588,FmtName,0))</f>
        <v/>
      </c>
      <c r="S3588" s="46">
        <f>R3588*INDEX(FmtCansPerCase,MATCH(F3588,FmtName,0))</f>
        <v/>
      </c>
      <c r="T3588" s="46">
        <f>S3588/INDEX(FmtCansPerPack,MATCH(F3588,FmtName,0))</f>
        <v/>
      </c>
      <c r="U3588" s="47">
        <f>INDEX(ProvOnline,MATCH(G3588,ProvCode,0))*(1+PriceIndex)</f>
        <v/>
      </c>
      <c r="V3588" s="47">
        <f>Q3588*U3588*INDEX(FmtBlendedPriceIdx,MATCH(F3588,FmtName,0))</f>
        <v/>
      </c>
      <c r="W3588" s="47">
        <f>V3588</f>
        <v/>
      </c>
      <c r="X3588" s="47">
        <f>IF(GrossBasis="Wholesale",V3588,W3588)</f>
        <v/>
      </c>
      <c r="Y3588" s="47">
        <f>R3588*INDEX(FmtBlendedCogs,MATCH(F3588,FmtName,0))</f>
        <v/>
      </c>
      <c r="Z3588" s="47">
        <f>X3588-Y3588</f>
        <v/>
      </c>
    </row>
    <row r="3589">
      <c r="A3589" t="n">
        <v>37</v>
      </c>
      <c r="B3589" s="44">
        <f>FiscalStart+(A3589-1)*7</f>
        <v/>
      </c>
      <c r="C3589">
        <f>TEXT(B3589,"mmm yyyy")</f>
        <v/>
      </c>
      <c r="D3589">
        <f>"Q"&amp;(INT((A3589-1)/13)+1)</f>
        <v/>
      </c>
      <c r="E3589" t="inlineStr">
        <is>
          <t>Online</t>
        </is>
      </c>
      <c r="F3589">
        <f>IFERROR(INDEX(ChFormat,MATCH(E3589,ChName,0)),"")</f>
        <v/>
      </c>
      <c r="G3589" t="inlineStr">
        <is>
          <t>NS</t>
        </is>
      </c>
      <c r="H3589">
        <f>IF(A3589&lt;=NWeeks,1,0)</f>
        <v/>
      </c>
      <c r="I3589">
        <f>INDEX(ChLaunch,MATCH(E3589,ChName,0))</f>
        <v/>
      </c>
      <c r="J3589">
        <f>INDEX(ChWeeksFull,MATCH(E3589,ChName,0))</f>
        <v/>
      </c>
      <c r="K3589">
        <f>INDEX(ChRamp,MATCH(E3589,ChName,0))</f>
        <v/>
      </c>
      <c r="L3589" s="45">
        <f>MIN(1,MAX(0,(A3589-I3589+1)*RampSpeed/J3589))</f>
        <v/>
      </c>
      <c r="M3589" s="45">
        <f>IF(A3589&lt;I3589,0,IF(K3589="S-curve",L3589*L3589*(3-2*L3589),L3589))</f>
        <v/>
      </c>
      <c r="N3589" s="45">
        <f>1+(INDEX(SeasonIdx,A3589)-1)*SeasonAmp</f>
        <v/>
      </c>
      <c r="O3589" s="45">
        <f>IFERROR(INDEX(PSPct,MATCH(E3589&amp;"|"&amp;G3589,PSKey,0)),0)</f>
        <v/>
      </c>
      <c r="P3589" s="46" t="n">
        <v>0</v>
      </c>
      <c r="Q3589" s="46">
        <f>INDEX(OnlineUnitsCol,A3589)*O3589*(1+OnlineGrowth)*N3589*H3589*IF(A3589&gt;=I3589,1,0)</f>
        <v/>
      </c>
      <c r="R3589" s="46">
        <f>Q3589*INDEX(FmtCansPerPack,MATCH(F3589,FmtName,0))/INDEX(FmtCansPerCase,MATCH(F3589,FmtName,0))</f>
        <v/>
      </c>
      <c r="S3589" s="46">
        <f>R3589*INDEX(FmtCansPerCase,MATCH(F3589,FmtName,0))</f>
        <v/>
      </c>
      <c r="T3589" s="46">
        <f>S3589/INDEX(FmtCansPerPack,MATCH(F3589,FmtName,0))</f>
        <v/>
      </c>
      <c r="U3589" s="47">
        <f>INDEX(ProvOnline,MATCH(G3589,ProvCode,0))*(1+PriceIndex)</f>
        <v/>
      </c>
      <c r="V3589" s="47">
        <f>Q3589*U3589*INDEX(FmtBlendedPriceIdx,MATCH(F3589,FmtName,0))</f>
        <v/>
      </c>
      <c r="W3589" s="47">
        <f>V3589</f>
        <v/>
      </c>
      <c r="X3589" s="47">
        <f>IF(GrossBasis="Wholesale",V3589,W3589)</f>
        <v/>
      </c>
      <c r="Y3589" s="47">
        <f>R3589*INDEX(FmtBlendedCogs,MATCH(F3589,FmtName,0))</f>
        <v/>
      </c>
      <c r="Z3589" s="47">
        <f>X3589-Y3589</f>
        <v/>
      </c>
    </row>
    <row r="3590">
      <c r="A3590" t="n">
        <v>38</v>
      </c>
      <c r="B3590" s="44">
        <f>FiscalStart+(A3590-1)*7</f>
        <v/>
      </c>
      <c r="C3590">
        <f>TEXT(B3590,"mmm yyyy")</f>
        <v/>
      </c>
      <c r="D3590">
        <f>"Q"&amp;(INT((A3590-1)/13)+1)</f>
        <v/>
      </c>
      <c r="E3590" t="inlineStr">
        <is>
          <t>Online</t>
        </is>
      </c>
      <c r="F3590">
        <f>IFERROR(INDEX(ChFormat,MATCH(E3590,ChName,0)),"")</f>
        <v/>
      </c>
      <c r="G3590" t="inlineStr">
        <is>
          <t>NS</t>
        </is>
      </c>
      <c r="H3590">
        <f>IF(A3590&lt;=NWeeks,1,0)</f>
        <v/>
      </c>
      <c r="I3590">
        <f>INDEX(ChLaunch,MATCH(E3590,ChName,0))</f>
        <v/>
      </c>
      <c r="J3590">
        <f>INDEX(ChWeeksFull,MATCH(E3590,ChName,0))</f>
        <v/>
      </c>
      <c r="K3590">
        <f>INDEX(ChRamp,MATCH(E3590,ChName,0))</f>
        <v/>
      </c>
      <c r="L3590" s="45">
        <f>MIN(1,MAX(0,(A3590-I3590+1)*RampSpeed/J3590))</f>
        <v/>
      </c>
      <c r="M3590" s="45">
        <f>IF(A3590&lt;I3590,0,IF(K3590="S-curve",L3590*L3590*(3-2*L3590),L3590))</f>
        <v/>
      </c>
      <c r="N3590" s="45">
        <f>1+(INDEX(SeasonIdx,A3590)-1)*SeasonAmp</f>
        <v/>
      </c>
      <c r="O3590" s="45">
        <f>IFERROR(INDEX(PSPct,MATCH(E3590&amp;"|"&amp;G3590,PSKey,0)),0)</f>
        <v/>
      </c>
      <c r="P3590" s="46" t="n">
        <v>0</v>
      </c>
      <c r="Q3590" s="46">
        <f>INDEX(OnlineUnitsCol,A3590)*O3590*(1+OnlineGrowth)*N3590*H3590*IF(A3590&gt;=I3590,1,0)</f>
        <v/>
      </c>
      <c r="R3590" s="46">
        <f>Q3590*INDEX(FmtCansPerPack,MATCH(F3590,FmtName,0))/INDEX(FmtCansPerCase,MATCH(F3590,FmtName,0))</f>
        <v/>
      </c>
      <c r="S3590" s="46">
        <f>R3590*INDEX(FmtCansPerCase,MATCH(F3590,FmtName,0))</f>
        <v/>
      </c>
      <c r="T3590" s="46">
        <f>S3590/INDEX(FmtCansPerPack,MATCH(F3590,FmtName,0))</f>
        <v/>
      </c>
      <c r="U3590" s="47">
        <f>INDEX(ProvOnline,MATCH(G3590,ProvCode,0))*(1+PriceIndex)</f>
        <v/>
      </c>
      <c r="V3590" s="47">
        <f>Q3590*U3590*INDEX(FmtBlendedPriceIdx,MATCH(F3590,FmtName,0))</f>
        <v/>
      </c>
      <c r="W3590" s="47">
        <f>V3590</f>
        <v/>
      </c>
      <c r="X3590" s="47">
        <f>IF(GrossBasis="Wholesale",V3590,W3590)</f>
        <v/>
      </c>
      <c r="Y3590" s="47">
        <f>R3590*INDEX(FmtBlendedCogs,MATCH(F3590,FmtName,0))</f>
        <v/>
      </c>
      <c r="Z3590" s="47">
        <f>X3590-Y3590</f>
        <v/>
      </c>
    </row>
    <row r="3591">
      <c r="A3591" t="n">
        <v>39</v>
      </c>
      <c r="B3591" s="44">
        <f>FiscalStart+(A3591-1)*7</f>
        <v/>
      </c>
      <c r="C3591">
        <f>TEXT(B3591,"mmm yyyy")</f>
        <v/>
      </c>
      <c r="D3591">
        <f>"Q"&amp;(INT((A3591-1)/13)+1)</f>
        <v/>
      </c>
      <c r="E3591" t="inlineStr">
        <is>
          <t>Online</t>
        </is>
      </c>
      <c r="F3591">
        <f>IFERROR(INDEX(ChFormat,MATCH(E3591,ChName,0)),"")</f>
        <v/>
      </c>
      <c r="G3591" t="inlineStr">
        <is>
          <t>NS</t>
        </is>
      </c>
      <c r="H3591">
        <f>IF(A3591&lt;=NWeeks,1,0)</f>
        <v/>
      </c>
      <c r="I3591">
        <f>INDEX(ChLaunch,MATCH(E3591,ChName,0))</f>
        <v/>
      </c>
      <c r="J3591">
        <f>INDEX(ChWeeksFull,MATCH(E3591,ChName,0))</f>
        <v/>
      </c>
      <c r="K3591">
        <f>INDEX(ChRamp,MATCH(E3591,ChName,0))</f>
        <v/>
      </c>
      <c r="L3591" s="45">
        <f>MIN(1,MAX(0,(A3591-I3591+1)*RampSpeed/J3591))</f>
        <v/>
      </c>
      <c r="M3591" s="45">
        <f>IF(A3591&lt;I3591,0,IF(K3591="S-curve",L3591*L3591*(3-2*L3591),L3591))</f>
        <v/>
      </c>
      <c r="N3591" s="45">
        <f>1+(INDEX(SeasonIdx,A3591)-1)*SeasonAmp</f>
        <v/>
      </c>
      <c r="O3591" s="45">
        <f>IFERROR(INDEX(PSPct,MATCH(E3591&amp;"|"&amp;G3591,PSKey,0)),0)</f>
        <v/>
      </c>
      <c r="P3591" s="46" t="n">
        <v>0</v>
      </c>
      <c r="Q3591" s="46">
        <f>INDEX(OnlineUnitsCol,A3591)*O3591*(1+OnlineGrowth)*N3591*H3591*IF(A3591&gt;=I3591,1,0)</f>
        <v/>
      </c>
      <c r="R3591" s="46">
        <f>Q3591*INDEX(FmtCansPerPack,MATCH(F3591,FmtName,0))/INDEX(FmtCansPerCase,MATCH(F3591,FmtName,0))</f>
        <v/>
      </c>
      <c r="S3591" s="46">
        <f>R3591*INDEX(FmtCansPerCase,MATCH(F3591,FmtName,0))</f>
        <v/>
      </c>
      <c r="T3591" s="46">
        <f>S3591/INDEX(FmtCansPerPack,MATCH(F3591,FmtName,0))</f>
        <v/>
      </c>
      <c r="U3591" s="47">
        <f>INDEX(ProvOnline,MATCH(G3591,ProvCode,0))*(1+PriceIndex)</f>
        <v/>
      </c>
      <c r="V3591" s="47">
        <f>Q3591*U3591*INDEX(FmtBlendedPriceIdx,MATCH(F3591,FmtName,0))</f>
        <v/>
      </c>
      <c r="W3591" s="47">
        <f>V3591</f>
        <v/>
      </c>
      <c r="X3591" s="47">
        <f>IF(GrossBasis="Wholesale",V3591,W3591)</f>
        <v/>
      </c>
      <c r="Y3591" s="47">
        <f>R3591*INDEX(FmtBlendedCogs,MATCH(F3591,FmtName,0))</f>
        <v/>
      </c>
      <c r="Z3591" s="47">
        <f>X3591-Y3591</f>
        <v/>
      </c>
    </row>
    <row r="3592">
      <c r="A3592" t="n">
        <v>40</v>
      </c>
      <c r="B3592" s="44">
        <f>FiscalStart+(A3592-1)*7</f>
        <v/>
      </c>
      <c r="C3592">
        <f>TEXT(B3592,"mmm yyyy")</f>
        <v/>
      </c>
      <c r="D3592">
        <f>"Q"&amp;(INT((A3592-1)/13)+1)</f>
        <v/>
      </c>
      <c r="E3592" t="inlineStr">
        <is>
          <t>Online</t>
        </is>
      </c>
      <c r="F3592">
        <f>IFERROR(INDEX(ChFormat,MATCH(E3592,ChName,0)),"")</f>
        <v/>
      </c>
      <c r="G3592" t="inlineStr">
        <is>
          <t>NS</t>
        </is>
      </c>
      <c r="H3592">
        <f>IF(A3592&lt;=NWeeks,1,0)</f>
        <v/>
      </c>
      <c r="I3592">
        <f>INDEX(ChLaunch,MATCH(E3592,ChName,0))</f>
        <v/>
      </c>
      <c r="J3592">
        <f>INDEX(ChWeeksFull,MATCH(E3592,ChName,0))</f>
        <v/>
      </c>
      <c r="K3592">
        <f>INDEX(ChRamp,MATCH(E3592,ChName,0))</f>
        <v/>
      </c>
      <c r="L3592" s="45">
        <f>MIN(1,MAX(0,(A3592-I3592+1)*RampSpeed/J3592))</f>
        <v/>
      </c>
      <c r="M3592" s="45">
        <f>IF(A3592&lt;I3592,0,IF(K3592="S-curve",L3592*L3592*(3-2*L3592),L3592))</f>
        <v/>
      </c>
      <c r="N3592" s="45">
        <f>1+(INDEX(SeasonIdx,A3592)-1)*SeasonAmp</f>
        <v/>
      </c>
      <c r="O3592" s="45">
        <f>IFERROR(INDEX(PSPct,MATCH(E3592&amp;"|"&amp;G3592,PSKey,0)),0)</f>
        <v/>
      </c>
      <c r="P3592" s="46" t="n">
        <v>0</v>
      </c>
      <c r="Q3592" s="46">
        <f>INDEX(OnlineUnitsCol,A3592)*O3592*(1+OnlineGrowth)*N3592*H3592*IF(A3592&gt;=I3592,1,0)</f>
        <v/>
      </c>
      <c r="R3592" s="46">
        <f>Q3592*INDEX(FmtCansPerPack,MATCH(F3592,FmtName,0))/INDEX(FmtCansPerCase,MATCH(F3592,FmtName,0))</f>
        <v/>
      </c>
      <c r="S3592" s="46">
        <f>R3592*INDEX(FmtCansPerCase,MATCH(F3592,FmtName,0))</f>
        <v/>
      </c>
      <c r="T3592" s="46">
        <f>S3592/INDEX(FmtCansPerPack,MATCH(F3592,FmtName,0))</f>
        <v/>
      </c>
      <c r="U3592" s="47">
        <f>INDEX(ProvOnline,MATCH(G3592,ProvCode,0))*(1+PriceIndex)</f>
        <v/>
      </c>
      <c r="V3592" s="47">
        <f>Q3592*U3592*INDEX(FmtBlendedPriceIdx,MATCH(F3592,FmtName,0))</f>
        <v/>
      </c>
      <c r="W3592" s="47">
        <f>V3592</f>
        <v/>
      </c>
      <c r="X3592" s="47">
        <f>IF(GrossBasis="Wholesale",V3592,W3592)</f>
        <v/>
      </c>
      <c r="Y3592" s="47">
        <f>R3592*INDEX(FmtBlendedCogs,MATCH(F3592,FmtName,0))</f>
        <v/>
      </c>
      <c r="Z3592" s="47">
        <f>X3592-Y3592</f>
        <v/>
      </c>
    </row>
    <row r="3593">
      <c r="A3593" t="n">
        <v>41</v>
      </c>
      <c r="B3593" s="44">
        <f>FiscalStart+(A3593-1)*7</f>
        <v/>
      </c>
      <c r="C3593">
        <f>TEXT(B3593,"mmm yyyy")</f>
        <v/>
      </c>
      <c r="D3593">
        <f>"Q"&amp;(INT((A3593-1)/13)+1)</f>
        <v/>
      </c>
      <c r="E3593" t="inlineStr">
        <is>
          <t>Online</t>
        </is>
      </c>
      <c r="F3593">
        <f>IFERROR(INDEX(ChFormat,MATCH(E3593,ChName,0)),"")</f>
        <v/>
      </c>
      <c r="G3593" t="inlineStr">
        <is>
          <t>NS</t>
        </is>
      </c>
      <c r="H3593">
        <f>IF(A3593&lt;=NWeeks,1,0)</f>
        <v/>
      </c>
      <c r="I3593">
        <f>INDEX(ChLaunch,MATCH(E3593,ChName,0))</f>
        <v/>
      </c>
      <c r="J3593">
        <f>INDEX(ChWeeksFull,MATCH(E3593,ChName,0))</f>
        <v/>
      </c>
      <c r="K3593">
        <f>INDEX(ChRamp,MATCH(E3593,ChName,0))</f>
        <v/>
      </c>
      <c r="L3593" s="45">
        <f>MIN(1,MAX(0,(A3593-I3593+1)*RampSpeed/J3593))</f>
        <v/>
      </c>
      <c r="M3593" s="45">
        <f>IF(A3593&lt;I3593,0,IF(K3593="S-curve",L3593*L3593*(3-2*L3593),L3593))</f>
        <v/>
      </c>
      <c r="N3593" s="45">
        <f>1+(INDEX(SeasonIdx,A3593)-1)*SeasonAmp</f>
        <v/>
      </c>
      <c r="O3593" s="45">
        <f>IFERROR(INDEX(PSPct,MATCH(E3593&amp;"|"&amp;G3593,PSKey,0)),0)</f>
        <v/>
      </c>
      <c r="P3593" s="46" t="n">
        <v>0</v>
      </c>
      <c r="Q3593" s="46">
        <f>INDEX(OnlineUnitsCol,A3593)*O3593*(1+OnlineGrowth)*N3593*H3593*IF(A3593&gt;=I3593,1,0)</f>
        <v/>
      </c>
      <c r="R3593" s="46">
        <f>Q3593*INDEX(FmtCansPerPack,MATCH(F3593,FmtName,0))/INDEX(FmtCansPerCase,MATCH(F3593,FmtName,0))</f>
        <v/>
      </c>
      <c r="S3593" s="46">
        <f>R3593*INDEX(FmtCansPerCase,MATCH(F3593,FmtName,0))</f>
        <v/>
      </c>
      <c r="T3593" s="46">
        <f>S3593/INDEX(FmtCansPerPack,MATCH(F3593,FmtName,0))</f>
        <v/>
      </c>
      <c r="U3593" s="47">
        <f>INDEX(ProvOnline,MATCH(G3593,ProvCode,0))*(1+PriceIndex)</f>
        <v/>
      </c>
      <c r="V3593" s="47">
        <f>Q3593*U3593*INDEX(FmtBlendedPriceIdx,MATCH(F3593,FmtName,0))</f>
        <v/>
      </c>
      <c r="W3593" s="47">
        <f>V3593</f>
        <v/>
      </c>
      <c r="X3593" s="47">
        <f>IF(GrossBasis="Wholesale",V3593,W3593)</f>
        <v/>
      </c>
      <c r="Y3593" s="47">
        <f>R3593*INDEX(FmtBlendedCogs,MATCH(F3593,FmtName,0))</f>
        <v/>
      </c>
      <c r="Z3593" s="47">
        <f>X3593-Y3593</f>
        <v/>
      </c>
    </row>
    <row r="3594">
      <c r="A3594" t="n">
        <v>42</v>
      </c>
      <c r="B3594" s="44">
        <f>FiscalStart+(A3594-1)*7</f>
        <v/>
      </c>
      <c r="C3594">
        <f>TEXT(B3594,"mmm yyyy")</f>
        <v/>
      </c>
      <c r="D3594">
        <f>"Q"&amp;(INT((A3594-1)/13)+1)</f>
        <v/>
      </c>
      <c r="E3594" t="inlineStr">
        <is>
          <t>Online</t>
        </is>
      </c>
      <c r="F3594">
        <f>IFERROR(INDEX(ChFormat,MATCH(E3594,ChName,0)),"")</f>
        <v/>
      </c>
      <c r="G3594" t="inlineStr">
        <is>
          <t>NS</t>
        </is>
      </c>
      <c r="H3594">
        <f>IF(A3594&lt;=NWeeks,1,0)</f>
        <v/>
      </c>
      <c r="I3594">
        <f>INDEX(ChLaunch,MATCH(E3594,ChName,0))</f>
        <v/>
      </c>
      <c r="J3594">
        <f>INDEX(ChWeeksFull,MATCH(E3594,ChName,0))</f>
        <v/>
      </c>
      <c r="K3594">
        <f>INDEX(ChRamp,MATCH(E3594,ChName,0))</f>
        <v/>
      </c>
      <c r="L3594" s="45">
        <f>MIN(1,MAX(0,(A3594-I3594+1)*RampSpeed/J3594))</f>
        <v/>
      </c>
      <c r="M3594" s="45">
        <f>IF(A3594&lt;I3594,0,IF(K3594="S-curve",L3594*L3594*(3-2*L3594),L3594))</f>
        <v/>
      </c>
      <c r="N3594" s="45">
        <f>1+(INDEX(SeasonIdx,A3594)-1)*SeasonAmp</f>
        <v/>
      </c>
      <c r="O3594" s="45">
        <f>IFERROR(INDEX(PSPct,MATCH(E3594&amp;"|"&amp;G3594,PSKey,0)),0)</f>
        <v/>
      </c>
      <c r="P3594" s="46" t="n">
        <v>0</v>
      </c>
      <c r="Q3594" s="46">
        <f>INDEX(OnlineUnitsCol,A3594)*O3594*(1+OnlineGrowth)*N3594*H3594*IF(A3594&gt;=I3594,1,0)</f>
        <v/>
      </c>
      <c r="R3594" s="46">
        <f>Q3594*INDEX(FmtCansPerPack,MATCH(F3594,FmtName,0))/INDEX(FmtCansPerCase,MATCH(F3594,FmtName,0))</f>
        <v/>
      </c>
      <c r="S3594" s="46">
        <f>R3594*INDEX(FmtCansPerCase,MATCH(F3594,FmtName,0))</f>
        <v/>
      </c>
      <c r="T3594" s="46">
        <f>S3594/INDEX(FmtCansPerPack,MATCH(F3594,FmtName,0))</f>
        <v/>
      </c>
      <c r="U3594" s="47">
        <f>INDEX(ProvOnline,MATCH(G3594,ProvCode,0))*(1+PriceIndex)</f>
        <v/>
      </c>
      <c r="V3594" s="47">
        <f>Q3594*U3594*INDEX(FmtBlendedPriceIdx,MATCH(F3594,FmtName,0))</f>
        <v/>
      </c>
      <c r="W3594" s="47">
        <f>V3594</f>
        <v/>
      </c>
      <c r="X3594" s="47">
        <f>IF(GrossBasis="Wholesale",V3594,W3594)</f>
        <v/>
      </c>
      <c r="Y3594" s="47">
        <f>R3594*INDEX(FmtBlendedCogs,MATCH(F3594,FmtName,0))</f>
        <v/>
      </c>
      <c r="Z3594" s="47">
        <f>X3594-Y3594</f>
        <v/>
      </c>
    </row>
    <row r="3595">
      <c r="A3595" t="n">
        <v>43</v>
      </c>
      <c r="B3595" s="44">
        <f>FiscalStart+(A3595-1)*7</f>
        <v/>
      </c>
      <c r="C3595">
        <f>TEXT(B3595,"mmm yyyy")</f>
        <v/>
      </c>
      <c r="D3595">
        <f>"Q"&amp;(INT((A3595-1)/13)+1)</f>
        <v/>
      </c>
      <c r="E3595" t="inlineStr">
        <is>
          <t>Online</t>
        </is>
      </c>
      <c r="F3595">
        <f>IFERROR(INDEX(ChFormat,MATCH(E3595,ChName,0)),"")</f>
        <v/>
      </c>
      <c r="G3595" t="inlineStr">
        <is>
          <t>NS</t>
        </is>
      </c>
      <c r="H3595">
        <f>IF(A3595&lt;=NWeeks,1,0)</f>
        <v/>
      </c>
      <c r="I3595">
        <f>INDEX(ChLaunch,MATCH(E3595,ChName,0))</f>
        <v/>
      </c>
      <c r="J3595">
        <f>INDEX(ChWeeksFull,MATCH(E3595,ChName,0))</f>
        <v/>
      </c>
      <c r="K3595">
        <f>INDEX(ChRamp,MATCH(E3595,ChName,0))</f>
        <v/>
      </c>
      <c r="L3595" s="45">
        <f>MIN(1,MAX(0,(A3595-I3595+1)*RampSpeed/J3595))</f>
        <v/>
      </c>
      <c r="M3595" s="45">
        <f>IF(A3595&lt;I3595,0,IF(K3595="S-curve",L3595*L3595*(3-2*L3595),L3595))</f>
        <v/>
      </c>
      <c r="N3595" s="45">
        <f>1+(INDEX(SeasonIdx,A3595)-1)*SeasonAmp</f>
        <v/>
      </c>
      <c r="O3595" s="45">
        <f>IFERROR(INDEX(PSPct,MATCH(E3595&amp;"|"&amp;G3595,PSKey,0)),0)</f>
        <v/>
      </c>
      <c r="P3595" s="46" t="n">
        <v>0</v>
      </c>
      <c r="Q3595" s="46">
        <f>INDEX(OnlineUnitsCol,A3595)*O3595*(1+OnlineGrowth)*N3595*H3595*IF(A3595&gt;=I3595,1,0)</f>
        <v/>
      </c>
      <c r="R3595" s="46">
        <f>Q3595*INDEX(FmtCansPerPack,MATCH(F3595,FmtName,0))/INDEX(FmtCansPerCase,MATCH(F3595,FmtName,0))</f>
        <v/>
      </c>
      <c r="S3595" s="46">
        <f>R3595*INDEX(FmtCansPerCase,MATCH(F3595,FmtName,0))</f>
        <v/>
      </c>
      <c r="T3595" s="46">
        <f>S3595/INDEX(FmtCansPerPack,MATCH(F3595,FmtName,0))</f>
        <v/>
      </c>
      <c r="U3595" s="47">
        <f>INDEX(ProvOnline,MATCH(G3595,ProvCode,0))*(1+PriceIndex)</f>
        <v/>
      </c>
      <c r="V3595" s="47">
        <f>Q3595*U3595*INDEX(FmtBlendedPriceIdx,MATCH(F3595,FmtName,0))</f>
        <v/>
      </c>
      <c r="W3595" s="47">
        <f>V3595</f>
        <v/>
      </c>
      <c r="X3595" s="47">
        <f>IF(GrossBasis="Wholesale",V3595,W3595)</f>
        <v/>
      </c>
      <c r="Y3595" s="47">
        <f>R3595*INDEX(FmtBlendedCogs,MATCH(F3595,FmtName,0))</f>
        <v/>
      </c>
      <c r="Z3595" s="47">
        <f>X3595-Y3595</f>
        <v/>
      </c>
    </row>
    <row r="3596">
      <c r="A3596" t="n">
        <v>44</v>
      </c>
      <c r="B3596" s="44">
        <f>FiscalStart+(A3596-1)*7</f>
        <v/>
      </c>
      <c r="C3596">
        <f>TEXT(B3596,"mmm yyyy")</f>
        <v/>
      </c>
      <c r="D3596">
        <f>"Q"&amp;(INT((A3596-1)/13)+1)</f>
        <v/>
      </c>
      <c r="E3596" t="inlineStr">
        <is>
          <t>Online</t>
        </is>
      </c>
      <c r="F3596">
        <f>IFERROR(INDEX(ChFormat,MATCH(E3596,ChName,0)),"")</f>
        <v/>
      </c>
      <c r="G3596" t="inlineStr">
        <is>
          <t>NS</t>
        </is>
      </c>
      <c r="H3596">
        <f>IF(A3596&lt;=NWeeks,1,0)</f>
        <v/>
      </c>
      <c r="I3596">
        <f>INDEX(ChLaunch,MATCH(E3596,ChName,0))</f>
        <v/>
      </c>
      <c r="J3596">
        <f>INDEX(ChWeeksFull,MATCH(E3596,ChName,0))</f>
        <v/>
      </c>
      <c r="K3596">
        <f>INDEX(ChRamp,MATCH(E3596,ChName,0))</f>
        <v/>
      </c>
      <c r="L3596" s="45">
        <f>MIN(1,MAX(0,(A3596-I3596+1)*RampSpeed/J3596))</f>
        <v/>
      </c>
      <c r="M3596" s="45">
        <f>IF(A3596&lt;I3596,0,IF(K3596="S-curve",L3596*L3596*(3-2*L3596),L3596))</f>
        <v/>
      </c>
      <c r="N3596" s="45">
        <f>1+(INDEX(SeasonIdx,A3596)-1)*SeasonAmp</f>
        <v/>
      </c>
      <c r="O3596" s="45">
        <f>IFERROR(INDEX(PSPct,MATCH(E3596&amp;"|"&amp;G3596,PSKey,0)),0)</f>
        <v/>
      </c>
      <c r="P3596" s="46" t="n">
        <v>0</v>
      </c>
      <c r="Q3596" s="46">
        <f>INDEX(OnlineUnitsCol,A3596)*O3596*(1+OnlineGrowth)*N3596*H3596*IF(A3596&gt;=I3596,1,0)</f>
        <v/>
      </c>
      <c r="R3596" s="46">
        <f>Q3596*INDEX(FmtCansPerPack,MATCH(F3596,FmtName,0))/INDEX(FmtCansPerCase,MATCH(F3596,FmtName,0))</f>
        <v/>
      </c>
      <c r="S3596" s="46">
        <f>R3596*INDEX(FmtCansPerCase,MATCH(F3596,FmtName,0))</f>
        <v/>
      </c>
      <c r="T3596" s="46">
        <f>S3596/INDEX(FmtCansPerPack,MATCH(F3596,FmtName,0))</f>
        <v/>
      </c>
      <c r="U3596" s="47">
        <f>INDEX(ProvOnline,MATCH(G3596,ProvCode,0))*(1+PriceIndex)</f>
        <v/>
      </c>
      <c r="V3596" s="47">
        <f>Q3596*U3596*INDEX(FmtBlendedPriceIdx,MATCH(F3596,FmtName,0))</f>
        <v/>
      </c>
      <c r="W3596" s="47">
        <f>V3596</f>
        <v/>
      </c>
      <c r="X3596" s="47">
        <f>IF(GrossBasis="Wholesale",V3596,W3596)</f>
        <v/>
      </c>
      <c r="Y3596" s="47">
        <f>R3596*INDEX(FmtBlendedCogs,MATCH(F3596,FmtName,0))</f>
        <v/>
      </c>
      <c r="Z3596" s="47">
        <f>X3596-Y3596</f>
        <v/>
      </c>
    </row>
    <row r="3597">
      <c r="A3597" t="n">
        <v>45</v>
      </c>
      <c r="B3597" s="44">
        <f>FiscalStart+(A3597-1)*7</f>
        <v/>
      </c>
      <c r="C3597">
        <f>TEXT(B3597,"mmm yyyy")</f>
        <v/>
      </c>
      <c r="D3597">
        <f>"Q"&amp;(INT((A3597-1)/13)+1)</f>
        <v/>
      </c>
      <c r="E3597" t="inlineStr">
        <is>
          <t>Online</t>
        </is>
      </c>
      <c r="F3597">
        <f>IFERROR(INDEX(ChFormat,MATCH(E3597,ChName,0)),"")</f>
        <v/>
      </c>
      <c r="G3597" t="inlineStr">
        <is>
          <t>NS</t>
        </is>
      </c>
      <c r="H3597">
        <f>IF(A3597&lt;=NWeeks,1,0)</f>
        <v/>
      </c>
      <c r="I3597">
        <f>INDEX(ChLaunch,MATCH(E3597,ChName,0))</f>
        <v/>
      </c>
      <c r="J3597">
        <f>INDEX(ChWeeksFull,MATCH(E3597,ChName,0))</f>
        <v/>
      </c>
      <c r="K3597">
        <f>INDEX(ChRamp,MATCH(E3597,ChName,0))</f>
        <v/>
      </c>
      <c r="L3597" s="45">
        <f>MIN(1,MAX(0,(A3597-I3597+1)*RampSpeed/J3597))</f>
        <v/>
      </c>
      <c r="M3597" s="45">
        <f>IF(A3597&lt;I3597,0,IF(K3597="S-curve",L3597*L3597*(3-2*L3597),L3597))</f>
        <v/>
      </c>
      <c r="N3597" s="45">
        <f>1+(INDEX(SeasonIdx,A3597)-1)*SeasonAmp</f>
        <v/>
      </c>
      <c r="O3597" s="45">
        <f>IFERROR(INDEX(PSPct,MATCH(E3597&amp;"|"&amp;G3597,PSKey,0)),0)</f>
        <v/>
      </c>
      <c r="P3597" s="46" t="n">
        <v>0</v>
      </c>
      <c r="Q3597" s="46">
        <f>INDEX(OnlineUnitsCol,A3597)*O3597*(1+OnlineGrowth)*N3597*H3597*IF(A3597&gt;=I3597,1,0)</f>
        <v/>
      </c>
      <c r="R3597" s="46">
        <f>Q3597*INDEX(FmtCansPerPack,MATCH(F3597,FmtName,0))/INDEX(FmtCansPerCase,MATCH(F3597,FmtName,0))</f>
        <v/>
      </c>
      <c r="S3597" s="46">
        <f>R3597*INDEX(FmtCansPerCase,MATCH(F3597,FmtName,0))</f>
        <v/>
      </c>
      <c r="T3597" s="46">
        <f>S3597/INDEX(FmtCansPerPack,MATCH(F3597,FmtName,0))</f>
        <v/>
      </c>
      <c r="U3597" s="47">
        <f>INDEX(ProvOnline,MATCH(G3597,ProvCode,0))*(1+PriceIndex)</f>
        <v/>
      </c>
      <c r="V3597" s="47">
        <f>Q3597*U3597*INDEX(FmtBlendedPriceIdx,MATCH(F3597,FmtName,0))</f>
        <v/>
      </c>
      <c r="W3597" s="47">
        <f>V3597</f>
        <v/>
      </c>
      <c r="X3597" s="47">
        <f>IF(GrossBasis="Wholesale",V3597,W3597)</f>
        <v/>
      </c>
      <c r="Y3597" s="47">
        <f>R3597*INDEX(FmtBlendedCogs,MATCH(F3597,FmtName,0))</f>
        <v/>
      </c>
      <c r="Z3597" s="47">
        <f>X3597-Y3597</f>
        <v/>
      </c>
    </row>
    <row r="3598">
      <c r="A3598" t="n">
        <v>46</v>
      </c>
      <c r="B3598" s="44">
        <f>FiscalStart+(A3598-1)*7</f>
        <v/>
      </c>
      <c r="C3598">
        <f>TEXT(B3598,"mmm yyyy")</f>
        <v/>
      </c>
      <c r="D3598">
        <f>"Q"&amp;(INT((A3598-1)/13)+1)</f>
        <v/>
      </c>
      <c r="E3598" t="inlineStr">
        <is>
          <t>Online</t>
        </is>
      </c>
      <c r="F3598">
        <f>IFERROR(INDEX(ChFormat,MATCH(E3598,ChName,0)),"")</f>
        <v/>
      </c>
      <c r="G3598" t="inlineStr">
        <is>
          <t>NS</t>
        </is>
      </c>
      <c r="H3598">
        <f>IF(A3598&lt;=NWeeks,1,0)</f>
        <v/>
      </c>
      <c r="I3598">
        <f>INDEX(ChLaunch,MATCH(E3598,ChName,0))</f>
        <v/>
      </c>
      <c r="J3598">
        <f>INDEX(ChWeeksFull,MATCH(E3598,ChName,0))</f>
        <v/>
      </c>
      <c r="K3598">
        <f>INDEX(ChRamp,MATCH(E3598,ChName,0))</f>
        <v/>
      </c>
      <c r="L3598" s="45">
        <f>MIN(1,MAX(0,(A3598-I3598+1)*RampSpeed/J3598))</f>
        <v/>
      </c>
      <c r="M3598" s="45">
        <f>IF(A3598&lt;I3598,0,IF(K3598="S-curve",L3598*L3598*(3-2*L3598),L3598))</f>
        <v/>
      </c>
      <c r="N3598" s="45">
        <f>1+(INDEX(SeasonIdx,A3598)-1)*SeasonAmp</f>
        <v/>
      </c>
      <c r="O3598" s="45">
        <f>IFERROR(INDEX(PSPct,MATCH(E3598&amp;"|"&amp;G3598,PSKey,0)),0)</f>
        <v/>
      </c>
      <c r="P3598" s="46" t="n">
        <v>0</v>
      </c>
      <c r="Q3598" s="46">
        <f>INDEX(OnlineUnitsCol,A3598)*O3598*(1+OnlineGrowth)*N3598*H3598*IF(A3598&gt;=I3598,1,0)</f>
        <v/>
      </c>
      <c r="R3598" s="46">
        <f>Q3598*INDEX(FmtCansPerPack,MATCH(F3598,FmtName,0))/INDEX(FmtCansPerCase,MATCH(F3598,FmtName,0))</f>
        <v/>
      </c>
      <c r="S3598" s="46">
        <f>R3598*INDEX(FmtCansPerCase,MATCH(F3598,FmtName,0))</f>
        <v/>
      </c>
      <c r="T3598" s="46">
        <f>S3598/INDEX(FmtCansPerPack,MATCH(F3598,FmtName,0))</f>
        <v/>
      </c>
      <c r="U3598" s="47">
        <f>INDEX(ProvOnline,MATCH(G3598,ProvCode,0))*(1+PriceIndex)</f>
        <v/>
      </c>
      <c r="V3598" s="47">
        <f>Q3598*U3598*INDEX(FmtBlendedPriceIdx,MATCH(F3598,FmtName,0))</f>
        <v/>
      </c>
      <c r="W3598" s="47">
        <f>V3598</f>
        <v/>
      </c>
      <c r="X3598" s="47">
        <f>IF(GrossBasis="Wholesale",V3598,W3598)</f>
        <v/>
      </c>
      <c r="Y3598" s="47">
        <f>R3598*INDEX(FmtBlendedCogs,MATCH(F3598,FmtName,0))</f>
        <v/>
      </c>
      <c r="Z3598" s="47">
        <f>X3598-Y3598</f>
        <v/>
      </c>
    </row>
    <row r="3599">
      <c r="A3599" t="n">
        <v>47</v>
      </c>
      <c r="B3599" s="44">
        <f>FiscalStart+(A3599-1)*7</f>
        <v/>
      </c>
      <c r="C3599">
        <f>TEXT(B3599,"mmm yyyy")</f>
        <v/>
      </c>
      <c r="D3599">
        <f>"Q"&amp;(INT((A3599-1)/13)+1)</f>
        <v/>
      </c>
      <c r="E3599" t="inlineStr">
        <is>
          <t>Online</t>
        </is>
      </c>
      <c r="F3599">
        <f>IFERROR(INDEX(ChFormat,MATCH(E3599,ChName,0)),"")</f>
        <v/>
      </c>
      <c r="G3599" t="inlineStr">
        <is>
          <t>NS</t>
        </is>
      </c>
      <c r="H3599">
        <f>IF(A3599&lt;=NWeeks,1,0)</f>
        <v/>
      </c>
      <c r="I3599">
        <f>INDEX(ChLaunch,MATCH(E3599,ChName,0))</f>
        <v/>
      </c>
      <c r="J3599">
        <f>INDEX(ChWeeksFull,MATCH(E3599,ChName,0))</f>
        <v/>
      </c>
      <c r="K3599">
        <f>INDEX(ChRamp,MATCH(E3599,ChName,0))</f>
        <v/>
      </c>
      <c r="L3599" s="45">
        <f>MIN(1,MAX(0,(A3599-I3599+1)*RampSpeed/J3599))</f>
        <v/>
      </c>
      <c r="M3599" s="45">
        <f>IF(A3599&lt;I3599,0,IF(K3599="S-curve",L3599*L3599*(3-2*L3599),L3599))</f>
        <v/>
      </c>
      <c r="N3599" s="45">
        <f>1+(INDEX(SeasonIdx,A3599)-1)*SeasonAmp</f>
        <v/>
      </c>
      <c r="O3599" s="45">
        <f>IFERROR(INDEX(PSPct,MATCH(E3599&amp;"|"&amp;G3599,PSKey,0)),0)</f>
        <v/>
      </c>
      <c r="P3599" s="46" t="n">
        <v>0</v>
      </c>
      <c r="Q3599" s="46">
        <f>INDEX(OnlineUnitsCol,A3599)*O3599*(1+OnlineGrowth)*N3599*H3599*IF(A3599&gt;=I3599,1,0)</f>
        <v/>
      </c>
      <c r="R3599" s="46">
        <f>Q3599*INDEX(FmtCansPerPack,MATCH(F3599,FmtName,0))/INDEX(FmtCansPerCase,MATCH(F3599,FmtName,0))</f>
        <v/>
      </c>
      <c r="S3599" s="46">
        <f>R3599*INDEX(FmtCansPerCase,MATCH(F3599,FmtName,0))</f>
        <v/>
      </c>
      <c r="T3599" s="46">
        <f>S3599/INDEX(FmtCansPerPack,MATCH(F3599,FmtName,0))</f>
        <v/>
      </c>
      <c r="U3599" s="47">
        <f>INDEX(ProvOnline,MATCH(G3599,ProvCode,0))*(1+PriceIndex)</f>
        <v/>
      </c>
      <c r="V3599" s="47">
        <f>Q3599*U3599*INDEX(FmtBlendedPriceIdx,MATCH(F3599,FmtName,0))</f>
        <v/>
      </c>
      <c r="W3599" s="47">
        <f>V3599</f>
        <v/>
      </c>
      <c r="X3599" s="47">
        <f>IF(GrossBasis="Wholesale",V3599,W3599)</f>
        <v/>
      </c>
      <c r="Y3599" s="47">
        <f>R3599*INDEX(FmtBlendedCogs,MATCH(F3599,FmtName,0))</f>
        <v/>
      </c>
      <c r="Z3599" s="47">
        <f>X3599-Y3599</f>
        <v/>
      </c>
    </row>
    <row r="3600">
      <c r="A3600" t="n">
        <v>48</v>
      </c>
      <c r="B3600" s="44">
        <f>FiscalStart+(A3600-1)*7</f>
        <v/>
      </c>
      <c r="C3600">
        <f>TEXT(B3600,"mmm yyyy")</f>
        <v/>
      </c>
      <c r="D3600">
        <f>"Q"&amp;(INT((A3600-1)/13)+1)</f>
        <v/>
      </c>
      <c r="E3600" t="inlineStr">
        <is>
          <t>Online</t>
        </is>
      </c>
      <c r="F3600">
        <f>IFERROR(INDEX(ChFormat,MATCH(E3600,ChName,0)),"")</f>
        <v/>
      </c>
      <c r="G3600" t="inlineStr">
        <is>
          <t>NS</t>
        </is>
      </c>
      <c r="H3600">
        <f>IF(A3600&lt;=NWeeks,1,0)</f>
        <v/>
      </c>
      <c r="I3600">
        <f>INDEX(ChLaunch,MATCH(E3600,ChName,0))</f>
        <v/>
      </c>
      <c r="J3600">
        <f>INDEX(ChWeeksFull,MATCH(E3600,ChName,0))</f>
        <v/>
      </c>
      <c r="K3600">
        <f>INDEX(ChRamp,MATCH(E3600,ChName,0))</f>
        <v/>
      </c>
      <c r="L3600" s="45">
        <f>MIN(1,MAX(0,(A3600-I3600+1)*RampSpeed/J3600))</f>
        <v/>
      </c>
      <c r="M3600" s="45">
        <f>IF(A3600&lt;I3600,0,IF(K3600="S-curve",L3600*L3600*(3-2*L3600),L3600))</f>
        <v/>
      </c>
      <c r="N3600" s="45">
        <f>1+(INDEX(SeasonIdx,A3600)-1)*SeasonAmp</f>
        <v/>
      </c>
      <c r="O3600" s="45">
        <f>IFERROR(INDEX(PSPct,MATCH(E3600&amp;"|"&amp;G3600,PSKey,0)),0)</f>
        <v/>
      </c>
      <c r="P3600" s="46" t="n">
        <v>0</v>
      </c>
      <c r="Q3600" s="46">
        <f>INDEX(OnlineUnitsCol,A3600)*O3600*(1+OnlineGrowth)*N3600*H3600*IF(A3600&gt;=I3600,1,0)</f>
        <v/>
      </c>
      <c r="R3600" s="46">
        <f>Q3600*INDEX(FmtCansPerPack,MATCH(F3600,FmtName,0))/INDEX(FmtCansPerCase,MATCH(F3600,FmtName,0))</f>
        <v/>
      </c>
      <c r="S3600" s="46">
        <f>R3600*INDEX(FmtCansPerCase,MATCH(F3600,FmtName,0))</f>
        <v/>
      </c>
      <c r="T3600" s="46">
        <f>S3600/INDEX(FmtCansPerPack,MATCH(F3600,FmtName,0))</f>
        <v/>
      </c>
      <c r="U3600" s="47">
        <f>INDEX(ProvOnline,MATCH(G3600,ProvCode,0))*(1+PriceIndex)</f>
        <v/>
      </c>
      <c r="V3600" s="47">
        <f>Q3600*U3600*INDEX(FmtBlendedPriceIdx,MATCH(F3600,FmtName,0))</f>
        <v/>
      </c>
      <c r="W3600" s="47">
        <f>V3600</f>
        <v/>
      </c>
      <c r="X3600" s="47">
        <f>IF(GrossBasis="Wholesale",V3600,W3600)</f>
        <v/>
      </c>
      <c r="Y3600" s="47">
        <f>R3600*INDEX(FmtBlendedCogs,MATCH(F3600,FmtName,0))</f>
        <v/>
      </c>
      <c r="Z3600" s="47">
        <f>X3600-Y3600</f>
        <v/>
      </c>
    </row>
    <row r="3601">
      <c r="A3601" t="n">
        <v>49</v>
      </c>
      <c r="B3601" s="44">
        <f>FiscalStart+(A3601-1)*7</f>
        <v/>
      </c>
      <c r="C3601">
        <f>TEXT(B3601,"mmm yyyy")</f>
        <v/>
      </c>
      <c r="D3601">
        <f>"Q"&amp;(INT((A3601-1)/13)+1)</f>
        <v/>
      </c>
      <c r="E3601" t="inlineStr">
        <is>
          <t>Online</t>
        </is>
      </c>
      <c r="F3601">
        <f>IFERROR(INDEX(ChFormat,MATCH(E3601,ChName,0)),"")</f>
        <v/>
      </c>
      <c r="G3601" t="inlineStr">
        <is>
          <t>NS</t>
        </is>
      </c>
      <c r="H3601">
        <f>IF(A3601&lt;=NWeeks,1,0)</f>
        <v/>
      </c>
      <c r="I3601">
        <f>INDEX(ChLaunch,MATCH(E3601,ChName,0))</f>
        <v/>
      </c>
      <c r="J3601">
        <f>INDEX(ChWeeksFull,MATCH(E3601,ChName,0))</f>
        <v/>
      </c>
      <c r="K3601">
        <f>INDEX(ChRamp,MATCH(E3601,ChName,0))</f>
        <v/>
      </c>
      <c r="L3601" s="45">
        <f>MIN(1,MAX(0,(A3601-I3601+1)*RampSpeed/J3601))</f>
        <v/>
      </c>
      <c r="M3601" s="45">
        <f>IF(A3601&lt;I3601,0,IF(K3601="S-curve",L3601*L3601*(3-2*L3601),L3601))</f>
        <v/>
      </c>
      <c r="N3601" s="45">
        <f>1+(INDEX(SeasonIdx,A3601)-1)*SeasonAmp</f>
        <v/>
      </c>
      <c r="O3601" s="45">
        <f>IFERROR(INDEX(PSPct,MATCH(E3601&amp;"|"&amp;G3601,PSKey,0)),0)</f>
        <v/>
      </c>
      <c r="P3601" s="46" t="n">
        <v>0</v>
      </c>
      <c r="Q3601" s="46">
        <f>INDEX(OnlineUnitsCol,A3601)*O3601*(1+OnlineGrowth)*N3601*H3601*IF(A3601&gt;=I3601,1,0)</f>
        <v/>
      </c>
      <c r="R3601" s="46">
        <f>Q3601*INDEX(FmtCansPerPack,MATCH(F3601,FmtName,0))/INDEX(FmtCansPerCase,MATCH(F3601,FmtName,0))</f>
        <v/>
      </c>
      <c r="S3601" s="46">
        <f>R3601*INDEX(FmtCansPerCase,MATCH(F3601,FmtName,0))</f>
        <v/>
      </c>
      <c r="T3601" s="46">
        <f>S3601/INDEX(FmtCansPerPack,MATCH(F3601,FmtName,0))</f>
        <v/>
      </c>
      <c r="U3601" s="47">
        <f>INDEX(ProvOnline,MATCH(G3601,ProvCode,0))*(1+PriceIndex)</f>
        <v/>
      </c>
      <c r="V3601" s="47">
        <f>Q3601*U3601*INDEX(FmtBlendedPriceIdx,MATCH(F3601,FmtName,0))</f>
        <v/>
      </c>
      <c r="W3601" s="47">
        <f>V3601</f>
        <v/>
      </c>
      <c r="X3601" s="47">
        <f>IF(GrossBasis="Wholesale",V3601,W3601)</f>
        <v/>
      </c>
      <c r="Y3601" s="47">
        <f>R3601*INDEX(FmtBlendedCogs,MATCH(F3601,FmtName,0))</f>
        <v/>
      </c>
      <c r="Z3601" s="47">
        <f>X3601-Y3601</f>
        <v/>
      </c>
    </row>
    <row r="3602">
      <c r="A3602" t="n">
        <v>50</v>
      </c>
      <c r="B3602" s="44">
        <f>FiscalStart+(A3602-1)*7</f>
        <v/>
      </c>
      <c r="C3602">
        <f>TEXT(B3602,"mmm yyyy")</f>
        <v/>
      </c>
      <c r="D3602">
        <f>"Q"&amp;(INT((A3602-1)/13)+1)</f>
        <v/>
      </c>
      <c r="E3602" t="inlineStr">
        <is>
          <t>Online</t>
        </is>
      </c>
      <c r="F3602">
        <f>IFERROR(INDEX(ChFormat,MATCH(E3602,ChName,0)),"")</f>
        <v/>
      </c>
      <c r="G3602" t="inlineStr">
        <is>
          <t>NS</t>
        </is>
      </c>
      <c r="H3602">
        <f>IF(A3602&lt;=NWeeks,1,0)</f>
        <v/>
      </c>
      <c r="I3602">
        <f>INDEX(ChLaunch,MATCH(E3602,ChName,0))</f>
        <v/>
      </c>
      <c r="J3602">
        <f>INDEX(ChWeeksFull,MATCH(E3602,ChName,0))</f>
        <v/>
      </c>
      <c r="K3602">
        <f>INDEX(ChRamp,MATCH(E3602,ChName,0))</f>
        <v/>
      </c>
      <c r="L3602" s="45">
        <f>MIN(1,MAX(0,(A3602-I3602+1)*RampSpeed/J3602))</f>
        <v/>
      </c>
      <c r="M3602" s="45">
        <f>IF(A3602&lt;I3602,0,IF(K3602="S-curve",L3602*L3602*(3-2*L3602),L3602))</f>
        <v/>
      </c>
      <c r="N3602" s="45">
        <f>1+(INDEX(SeasonIdx,A3602)-1)*SeasonAmp</f>
        <v/>
      </c>
      <c r="O3602" s="45">
        <f>IFERROR(INDEX(PSPct,MATCH(E3602&amp;"|"&amp;G3602,PSKey,0)),0)</f>
        <v/>
      </c>
      <c r="P3602" s="46" t="n">
        <v>0</v>
      </c>
      <c r="Q3602" s="46">
        <f>INDEX(OnlineUnitsCol,A3602)*O3602*(1+OnlineGrowth)*N3602*H3602*IF(A3602&gt;=I3602,1,0)</f>
        <v/>
      </c>
      <c r="R3602" s="46">
        <f>Q3602*INDEX(FmtCansPerPack,MATCH(F3602,FmtName,0))/INDEX(FmtCansPerCase,MATCH(F3602,FmtName,0))</f>
        <v/>
      </c>
      <c r="S3602" s="46">
        <f>R3602*INDEX(FmtCansPerCase,MATCH(F3602,FmtName,0))</f>
        <v/>
      </c>
      <c r="T3602" s="46">
        <f>S3602/INDEX(FmtCansPerPack,MATCH(F3602,FmtName,0))</f>
        <v/>
      </c>
      <c r="U3602" s="47">
        <f>INDEX(ProvOnline,MATCH(G3602,ProvCode,0))*(1+PriceIndex)</f>
        <v/>
      </c>
      <c r="V3602" s="47">
        <f>Q3602*U3602*INDEX(FmtBlendedPriceIdx,MATCH(F3602,FmtName,0))</f>
        <v/>
      </c>
      <c r="W3602" s="47">
        <f>V3602</f>
        <v/>
      </c>
      <c r="X3602" s="47">
        <f>IF(GrossBasis="Wholesale",V3602,W3602)</f>
        <v/>
      </c>
      <c r="Y3602" s="47">
        <f>R3602*INDEX(FmtBlendedCogs,MATCH(F3602,FmtName,0))</f>
        <v/>
      </c>
      <c r="Z3602" s="47">
        <f>X3602-Y3602</f>
        <v/>
      </c>
    </row>
    <row r="3603">
      <c r="A3603" t="n">
        <v>51</v>
      </c>
      <c r="B3603" s="44">
        <f>FiscalStart+(A3603-1)*7</f>
        <v/>
      </c>
      <c r="C3603">
        <f>TEXT(B3603,"mmm yyyy")</f>
        <v/>
      </c>
      <c r="D3603">
        <f>"Q"&amp;(INT((A3603-1)/13)+1)</f>
        <v/>
      </c>
      <c r="E3603" t="inlineStr">
        <is>
          <t>Online</t>
        </is>
      </c>
      <c r="F3603">
        <f>IFERROR(INDEX(ChFormat,MATCH(E3603,ChName,0)),"")</f>
        <v/>
      </c>
      <c r="G3603" t="inlineStr">
        <is>
          <t>NS</t>
        </is>
      </c>
      <c r="H3603">
        <f>IF(A3603&lt;=NWeeks,1,0)</f>
        <v/>
      </c>
      <c r="I3603">
        <f>INDEX(ChLaunch,MATCH(E3603,ChName,0))</f>
        <v/>
      </c>
      <c r="J3603">
        <f>INDEX(ChWeeksFull,MATCH(E3603,ChName,0))</f>
        <v/>
      </c>
      <c r="K3603">
        <f>INDEX(ChRamp,MATCH(E3603,ChName,0))</f>
        <v/>
      </c>
      <c r="L3603" s="45">
        <f>MIN(1,MAX(0,(A3603-I3603+1)*RampSpeed/J3603))</f>
        <v/>
      </c>
      <c r="M3603" s="45">
        <f>IF(A3603&lt;I3603,0,IF(K3603="S-curve",L3603*L3603*(3-2*L3603),L3603))</f>
        <v/>
      </c>
      <c r="N3603" s="45">
        <f>1+(INDEX(SeasonIdx,A3603)-1)*SeasonAmp</f>
        <v/>
      </c>
      <c r="O3603" s="45">
        <f>IFERROR(INDEX(PSPct,MATCH(E3603&amp;"|"&amp;G3603,PSKey,0)),0)</f>
        <v/>
      </c>
      <c r="P3603" s="46" t="n">
        <v>0</v>
      </c>
      <c r="Q3603" s="46">
        <f>INDEX(OnlineUnitsCol,A3603)*O3603*(1+OnlineGrowth)*N3603*H3603*IF(A3603&gt;=I3603,1,0)</f>
        <v/>
      </c>
      <c r="R3603" s="46">
        <f>Q3603*INDEX(FmtCansPerPack,MATCH(F3603,FmtName,0))/INDEX(FmtCansPerCase,MATCH(F3603,FmtName,0))</f>
        <v/>
      </c>
      <c r="S3603" s="46">
        <f>R3603*INDEX(FmtCansPerCase,MATCH(F3603,FmtName,0))</f>
        <v/>
      </c>
      <c r="T3603" s="46">
        <f>S3603/INDEX(FmtCansPerPack,MATCH(F3603,FmtName,0))</f>
        <v/>
      </c>
      <c r="U3603" s="47">
        <f>INDEX(ProvOnline,MATCH(G3603,ProvCode,0))*(1+PriceIndex)</f>
        <v/>
      </c>
      <c r="V3603" s="47">
        <f>Q3603*U3603*INDEX(FmtBlendedPriceIdx,MATCH(F3603,FmtName,0))</f>
        <v/>
      </c>
      <c r="W3603" s="47">
        <f>V3603</f>
        <v/>
      </c>
      <c r="X3603" s="47">
        <f>IF(GrossBasis="Wholesale",V3603,W3603)</f>
        <v/>
      </c>
      <c r="Y3603" s="47">
        <f>R3603*INDEX(FmtBlendedCogs,MATCH(F3603,FmtName,0))</f>
        <v/>
      </c>
      <c r="Z3603" s="47">
        <f>X3603-Y3603</f>
        <v/>
      </c>
    </row>
    <row r="3604">
      <c r="A3604" t="n">
        <v>52</v>
      </c>
      <c r="B3604" s="44">
        <f>FiscalStart+(A3604-1)*7</f>
        <v/>
      </c>
      <c r="C3604">
        <f>TEXT(B3604,"mmm yyyy")</f>
        <v/>
      </c>
      <c r="D3604">
        <f>"Q"&amp;(INT((A3604-1)/13)+1)</f>
        <v/>
      </c>
      <c r="E3604" t="inlineStr">
        <is>
          <t>Online</t>
        </is>
      </c>
      <c r="F3604">
        <f>IFERROR(INDEX(ChFormat,MATCH(E3604,ChName,0)),"")</f>
        <v/>
      </c>
      <c r="G3604" t="inlineStr">
        <is>
          <t>NS</t>
        </is>
      </c>
      <c r="H3604">
        <f>IF(A3604&lt;=NWeeks,1,0)</f>
        <v/>
      </c>
      <c r="I3604">
        <f>INDEX(ChLaunch,MATCH(E3604,ChName,0))</f>
        <v/>
      </c>
      <c r="J3604">
        <f>INDEX(ChWeeksFull,MATCH(E3604,ChName,0))</f>
        <v/>
      </c>
      <c r="K3604">
        <f>INDEX(ChRamp,MATCH(E3604,ChName,0))</f>
        <v/>
      </c>
      <c r="L3604" s="45">
        <f>MIN(1,MAX(0,(A3604-I3604+1)*RampSpeed/J3604))</f>
        <v/>
      </c>
      <c r="M3604" s="45">
        <f>IF(A3604&lt;I3604,0,IF(K3604="S-curve",L3604*L3604*(3-2*L3604),L3604))</f>
        <v/>
      </c>
      <c r="N3604" s="45">
        <f>1+(INDEX(SeasonIdx,A3604)-1)*SeasonAmp</f>
        <v/>
      </c>
      <c r="O3604" s="45">
        <f>IFERROR(INDEX(PSPct,MATCH(E3604&amp;"|"&amp;G3604,PSKey,0)),0)</f>
        <v/>
      </c>
      <c r="P3604" s="46" t="n">
        <v>0</v>
      </c>
      <c r="Q3604" s="46">
        <f>INDEX(OnlineUnitsCol,A3604)*O3604*(1+OnlineGrowth)*N3604*H3604*IF(A3604&gt;=I3604,1,0)</f>
        <v/>
      </c>
      <c r="R3604" s="46">
        <f>Q3604*INDEX(FmtCansPerPack,MATCH(F3604,FmtName,0))/INDEX(FmtCansPerCase,MATCH(F3604,FmtName,0))</f>
        <v/>
      </c>
      <c r="S3604" s="46">
        <f>R3604*INDEX(FmtCansPerCase,MATCH(F3604,FmtName,0))</f>
        <v/>
      </c>
      <c r="T3604" s="46">
        <f>S3604/INDEX(FmtCansPerPack,MATCH(F3604,FmtName,0))</f>
        <v/>
      </c>
      <c r="U3604" s="47">
        <f>INDEX(ProvOnline,MATCH(G3604,ProvCode,0))*(1+PriceIndex)</f>
        <v/>
      </c>
      <c r="V3604" s="47">
        <f>Q3604*U3604*INDEX(FmtBlendedPriceIdx,MATCH(F3604,FmtName,0))</f>
        <v/>
      </c>
      <c r="W3604" s="47">
        <f>V3604</f>
        <v/>
      </c>
      <c r="X3604" s="47">
        <f>IF(GrossBasis="Wholesale",V3604,W3604)</f>
        <v/>
      </c>
      <c r="Y3604" s="47">
        <f>R3604*INDEX(FmtBlendedCogs,MATCH(F3604,FmtName,0))</f>
        <v/>
      </c>
      <c r="Z3604" s="47">
        <f>X3604-Y3604</f>
        <v/>
      </c>
    </row>
    <row r="3605">
      <c r="A3605" t="n">
        <v>53</v>
      </c>
      <c r="B3605" s="44">
        <f>FiscalStart+(A3605-1)*7</f>
        <v/>
      </c>
      <c r="C3605">
        <f>TEXT(B3605,"mmm yyyy")</f>
        <v/>
      </c>
      <c r="D3605">
        <f>"Q"&amp;(INT((A3605-1)/13)+1)</f>
        <v/>
      </c>
      <c r="E3605" t="inlineStr">
        <is>
          <t>Online</t>
        </is>
      </c>
      <c r="F3605">
        <f>IFERROR(INDEX(ChFormat,MATCH(E3605,ChName,0)),"")</f>
        <v/>
      </c>
      <c r="G3605" t="inlineStr">
        <is>
          <t>NS</t>
        </is>
      </c>
      <c r="H3605">
        <f>IF(A3605&lt;=NWeeks,1,0)</f>
        <v/>
      </c>
      <c r="I3605">
        <f>INDEX(ChLaunch,MATCH(E3605,ChName,0))</f>
        <v/>
      </c>
      <c r="J3605">
        <f>INDEX(ChWeeksFull,MATCH(E3605,ChName,0))</f>
        <v/>
      </c>
      <c r="K3605">
        <f>INDEX(ChRamp,MATCH(E3605,ChName,0))</f>
        <v/>
      </c>
      <c r="L3605" s="45">
        <f>MIN(1,MAX(0,(A3605-I3605+1)*RampSpeed/J3605))</f>
        <v/>
      </c>
      <c r="M3605" s="45">
        <f>IF(A3605&lt;I3605,0,IF(K3605="S-curve",L3605*L3605*(3-2*L3605),L3605))</f>
        <v/>
      </c>
      <c r="N3605" s="45">
        <f>1+(INDEX(SeasonIdx,A3605)-1)*SeasonAmp</f>
        <v/>
      </c>
      <c r="O3605" s="45">
        <f>IFERROR(INDEX(PSPct,MATCH(E3605&amp;"|"&amp;G3605,PSKey,0)),0)</f>
        <v/>
      </c>
      <c r="P3605" s="46" t="n">
        <v>0</v>
      </c>
      <c r="Q3605" s="46">
        <f>INDEX(OnlineUnitsCol,A3605)*O3605*(1+OnlineGrowth)*N3605*H3605*IF(A3605&gt;=I3605,1,0)</f>
        <v/>
      </c>
      <c r="R3605" s="46">
        <f>Q3605*INDEX(FmtCansPerPack,MATCH(F3605,FmtName,0))/INDEX(FmtCansPerCase,MATCH(F3605,FmtName,0))</f>
        <v/>
      </c>
      <c r="S3605" s="46">
        <f>R3605*INDEX(FmtCansPerCase,MATCH(F3605,FmtName,0))</f>
        <v/>
      </c>
      <c r="T3605" s="46">
        <f>S3605/INDEX(FmtCansPerPack,MATCH(F3605,FmtName,0))</f>
        <v/>
      </c>
      <c r="U3605" s="47">
        <f>INDEX(ProvOnline,MATCH(G3605,ProvCode,0))*(1+PriceIndex)</f>
        <v/>
      </c>
      <c r="V3605" s="47">
        <f>Q3605*U3605*INDEX(FmtBlendedPriceIdx,MATCH(F3605,FmtName,0))</f>
        <v/>
      </c>
      <c r="W3605" s="47">
        <f>V3605</f>
        <v/>
      </c>
      <c r="X3605" s="47">
        <f>IF(GrossBasis="Wholesale",V3605,W3605)</f>
        <v/>
      </c>
      <c r="Y3605" s="47">
        <f>R3605*INDEX(FmtBlendedCogs,MATCH(F3605,FmtName,0))</f>
        <v/>
      </c>
      <c r="Z3605" s="47">
        <f>X3605-Y3605</f>
        <v/>
      </c>
    </row>
    <row r="3606">
      <c r="A3606" t="n">
        <v>1</v>
      </c>
      <c r="B3606" s="44">
        <f>FiscalStart+(A3606-1)*7</f>
        <v/>
      </c>
      <c r="C3606">
        <f>TEXT(B3606,"mmm yyyy")</f>
        <v/>
      </c>
      <c r="D3606">
        <f>"Q"&amp;(INT((A3606-1)/13)+1)</f>
        <v/>
      </c>
      <c r="E3606" t="inlineStr">
        <is>
          <t>Online</t>
        </is>
      </c>
      <c r="F3606">
        <f>IFERROR(INDEX(ChFormat,MATCH(E3606,ChName,0)),"")</f>
        <v/>
      </c>
      <c r="G3606" t="inlineStr">
        <is>
          <t>PE</t>
        </is>
      </c>
      <c r="H3606">
        <f>IF(A3606&lt;=NWeeks,1,0)</f>
        <v/>
      </c>
      <c r="I3606">
        <f>INDEX(ChLaunch,MATCH(E3606,ChName,0))</f>
        <v/>
      </c>
      <c r="J3606">
        <f>INDEX(ChWeeksFull,MATCH(E3606,ChName,0))</f>
        <v/>
      </c>
      <c r="K3606">
        <f>INDEX(ChRamp,MATCH(E3606,ChName,0))</f>
        <v/>
      </c>
      <c r="L3606" s="45">
        <f>MIN(1,MAX(0,(A3606-I3606+1)*RampSpeed/J3606))</f>
        <v/>
      </c>
      <c r="M3606" s="45">
        <f>IF(A3606&lt;I3606,0,IF(K3606="S-curve",L3606*L3606*(3-2*L3606),L3606))</f>
        <v/>
      </c>
      <c r="N3606" s="45">
        <f>1+(INDEX(SeasonIdx,A3606)-1)*SeasonAmp</f>
        <v/>
      </c>
      <c r="O3606" s="45">
        <f>IFERROR(INDEX(PSPct,MATCH(E3606&amp;"|"&amp;G3606,PSKey,0)),0)</f>
        <v/>
      </c>
      <c r="P3606" s="46" t="n">
        <v>0</v>
      </c>
      <c r="Q3606" s="46">
        <f>INDEX(OnlineUnitsCol,A3606)*O3606*(1+OnlineGrowth)*N3606*H3606*IF(A3606&gt;=I3606,1,0)</f>
        <v/>
      </c>
      <c r="R3606" s="46">
        <f>Q3606*INDEX(FmtCansPerPack,MATCH(F3606,FmtName,0))/INDEX(FmtCansPerCase,MATCH(F3606,FmtName,0))</f>
        <v/>
      </c>
      <c r="S3606" s="46">
        <f>R3606*INDEX(FmtCansPerCase,MATCH(F3606,FmtName,0))</f>
        <v/>
      </c>
      <c r="T3606" s="46">
        <f>S3606/INDEX(FmtCansPerPack,MATCH(F3606,FmtName,0))</f>
        <v/>
      </c>
      <c r="U3606" s="47">
        <f>INDEX(ProvOnline,MATCH(G3606,ProvCode,0))*(1+PriceIndex)</f>
        <v/>
      </c>
      <c r="V3606" s="47">
        <f>Q3606*U3606*INDEX(FmtBlendedPriceIdx,MATCH(F3606,FmtName,0))</f>
        <v/>
      </c>
      <c r="W3606" s="47">
        <f>V3606</f>
        <v/>
      </c>
      <c r="X3606" s="47">
        <f>IF(GrossBasis="Wholesale",V3606,W3606)</f>
        <v/>
      </c>
      <c r="Y3606" s="47">
        <f>R3606*INDEX(FmtBlendedCogs,MATCH(F3606,FmtName,0))</f>
        <v/>
      </c>
      <c r="Z3606" s="47">
        <f>X3606-Y3606</f>
        <v/>
      </c>
    </row>
    <row r="3607">
      <c r="A3607" t="n">
        <v>2</v>
      </c>
      <c r="B3607" s="44">
        <f>FiscalStart+(A3607-1)*7</f>
        <v/>
      </c>
      <c r="C3607">
        <f>TEXT(B3607,"mmm yyyy")</f>
        <v/>
      </c>
      <c r="D3607">
        <f>"Q"&amp;(INT((A3607-1)/13)+1)</f>
        <v/>
      </c>
      <c r="E3607" t="inlineStr">
        <is>
          <t>Online</t>
        </is>
      </c>
      <c r="F3607">
        <f>IFERROR(INDEX(ChFormat,MATCH(E3607,ChName,0)),"")</f>
        <v/>
      </c>
      <c r="G3607" t="inlineStr">
        <is>
          <t>PE</t>
        </is>
      </c>
      <c r="H3607">
        <f>IF(A3607&lt;=NWeeks,1,0)</f>
        <v/>
      </c>
      <c r="I3607">
        <f>INDEX(ChLaunch,MATCH(E3607,ChName,0))</f>
        <v/>
      </c>
      <c r="J3607">
        <f>INDEX(ChWeeksFull,MATCH(E3607,ChName,0))</f>
        <v/>
      </c>
      <c r="K3607">
        <f>INDEX(ChRamp,MATCH(E3607,ChName,0))</f>
        <v/>
      </c>
      <c r="L3607" s="45">
        <f>MIN(1,MAX(0,(A3607-I3607+1)*RampSpeed/J3607))</f>
        <v/>
      </c>
      <c r="M3607" s="45">
        <f>IF(A3607&lt;I3607,0,IF(K3607="S-curve",L3607*L3607*(3-2*L3607),L3607))</f>
        <v/>
      </c>
      <c r="N3607" s="45">
        <f>1+(INDEX(SeasonIdx,A3607)-1)*SeasonAmp</f>
        <v/>
      </c>
      <c r="O3607" s="45">
        <f>IFERROR(INDEX(PSPct,MATCH(E3607&amp;"|"&amp;G3607,PSKey,0)),0)</f>
        <v/>
      </c>
      <c r="P3607" s="46" t="n">
        <v>0</v>
      </c>
      <c r="Q3607" s="46">
        <f>INDEX(OnlineUnitsCol,A3607)*O3607*(1+OnlineGrowth)*N3607*H3607*IF(A3607&gt;=I3607,1,0)</f>
        <v/>
      </c>
      <c r="R3607" s="46">
        <f>Q3607*INDEX(FmtCansPerPack,MATCH(F3607,FmtName,0))/INDEX(FmtCansPerCase,MATCH(F3607,FmtName,0))</f>
        <v/>
      </c>
      <c r="S3607" s="46">
        <f>R3607*INDEX(FmtCansPerCase,MATCH(F3607,FmtName,0))</f>
        <v/>
      </c>
      <c r="T3607" s="46">
        <f>S3607/INDEX(FmtCansPerPack,MATCH(F3607,FmtName,0))</f>
        <v/>
      </c>
      <c r="U3607" s="47">
        <f>INDEX(ProvOnline,MATCH(G3607,ProvCode,0))*(1+PriceIndex)</f>
        <v/>
      </c>
      <c r="V3607" s="47">
        <f>Q3607*U3607*INDEX(FmtBlendedPriceIdx,MATCH(F3607,FmtName,0))</f>
        <v/>
      </c>
      <c r="W3607" s="47">
        <f>V3607</f>
        <v/>
      </c>
      <c r="X3607" s="47">
        <f>IF(GrossBasis="Wholesale",V3607,W3607)</f>
        <v/>
      </c>
      <c r="Y3607" s="47">
        <f>R3607*INDEX(FmtBlendedCogs,MATCH(F3607,FmtName,0))</f>
        <v/>
      </c>
      <c r="Z3607" s="47">
        <f>X3607-Y3607</f>
        <v/>
      </c>
    </row>
    <row r="3608">
      <c r="A3608" t="n">
        <v>3</v>
      </c>
      <c r="B3608" s="44">
        <f>FiscalStart+(A3608-1)*7</f>
        <v/>
      </c>
      <c r="C3608">
        <f>TEXT(B3608,"mmm yyyy")</f>
        <v/>
      </c>
      <c r="D3608">
        <f>"Q"&amp;(INT((A3608-1)/13)+1)</f>
        <v/>
      </c>
      <c r="E3608" t="inlineStr">
        <is>
          <t>Online</t>
        </is>
      </c>
      <c r="F3608">
        <f>IFERROR(INDEX(ChFormat,MATCH(E3608,ChName,0)),"")</f>
        <v/>
      </c>
      <c r="G3608" t="inlineStr">
        <is>
          <t>PE</t>
        </is>
      </c>
      <c r="H3608">
        <f>IF(A3608&lt;=NWeeks,1,0)</f>
        <v/>
      </c>
      <c r="I3608">
        <f>INDEX(ChLaunch,MATCH(E3608,ChName,0))</f>
        <v/>
      </c>
      <c r="J3608">
        <f>INDEX(ChWeeksFull,MATCH(E3608,ChName,0))</f>
        <v/>
      </c>
      <c r="K3608">
        <f>INDEX(ChRamp,MATCH(E3608,ChName,0))</f>
        <v/>
      </c>
      <c r="L3608" s="45">
        <f>MIN(1,MAX(0,(A3608-I3608+1)*RampSpeed/J3608))</f>
        <v/>
      </c>
      <c r="M3608" s="45">
        <f>IF(A3608&lt;I3608,0,IF(K3608="S-curve",L3608*L3608*(3-2*L3608),L3608))</f>
        <v/>
      </c>
      <c r="N3608" s="45">
        <f>1+(INDEX(SeasonIdx,A3608)-1)*SeasonAmp</f>
        <v/>
      </c>
      <c r="O3608" s="45">
        <f>IFERROR(INDEX(PSPct,MATCH(E3608&amp;"|"&amp;G3608,PSKey,0)),0)</f>
        <v/>
      </c>
      <c r="P3608" s="46" t="n">
        <v>0</v>
      </c>
      <c r="Q3608" s="46">
        <f>INDEX(OnlineUnitsCol,A3608)*O3608*(1+OnlineGrowth)*N3608*H3608*IF(A3608&gt;=I3608,1,0)</f>
        <v/>
      </c>
      <c r="R3608" s="46">
        <f>Q3608*INDEX(FmtCansPerPack,MATCH(F3608,FmtName,0))/INDEX(FmtCansPerCase,MATCH(F3608,FmtName,0))</f>
        <v/>
      </c>
      <c r="S3608" s="46">
        <f>R3608*INDEX(FmtCansPerCase,MATCH(F3608,FmtName,0))</f>
        <v/>
      </c>
      <c r="T3608" s="46">
        <f>S3608/INDEX(FmtCansPerPack,MATCH(F3608,FmtName,0))</f>
        <v/>
      </c>
      <c r="U3608" s="47">
        <f>INDEX(ProvOnline,MATCH(G3608,ProvCode,0))*(1+PriceIndex)</f>
        <v/>
      </c>
      <c r="V3608" s="47">
        <f>Q3608*U3608*INDEX(FmtBlendedPriceIdx,MATCH(F3608,FmtName,0))</f>
        <v/>
      </c>
      <c r="W3608" s="47">
        <f>V3608</f>
        <v/>
      </c>
      <c r="X3608" s="47">
        <f>IF(GrossBasis="Wholesale",V3608,W3608)</f>
        <v/>
      </c>
      <c r="Y3608" s="47">
        <f>R3608*INDEX(FmtBlendedCogs,MATCH(F3608,FmtName,0))</f>
        <v/>
      </c>
      <c r="Z3608" s="47">
        <f>X3608-Y3608</f>
        <v/>
      </c>
    </row>
    <row r="3609">
      <c r="A3609" t="n">
        <v>4</v>
      </c>
      <c r="B3609" s="44">
        <f>FiscalStart+(A3609-1)*7</f>
        <v/>
      </c>
      <c r="C3609">
        <f>TEXT(B3609,"mmm yyyy")</f>
        <v/>
      </c>
      <c r="D3609">
        <f>"Q"&amp;(INT((A3609-1)/13)+1)</f>
        <v/>
      </c>
      <c r="E3609" t="inlineStr">
        <is>
          <t>Online</t>
        </is>
      </c>
      <c r="F3609">
        <f>IFERROR(INDEX(ChFormat,MATCH(E3609,ChName,0)),"")</f>
        <v/>
      </c>
      <c r="G3609" t="inlineStr">
        <is>
          <t>PE</t>
        </is>
      </c>
      <c r="H3609">
        <f>IF(A3609&lt;=NWeeks,1,0)</f>
        <v/>
      </c>
      <c r="I3609">
        <f>INDEX(ChLaunch,MATCH(E3609,ChName,0))</f>
        <v/>
      </c>
      <c r="J3609">
        <f>INDEX(ChWeeksFull,MATCH(E3609,ChName,0))</f>
        <v/>
      </c>
      <c r="K3609">
        <f>INDEX(ChRamp,MATCH(E3609,ChName,0))</f>
        <v/>
      </c>
      <c r="L3609" s="45">
        <f>MIN(1,MAX(0,(A3609-I3609+1)*RampSpeed/J3609))</f>
        <v/>
      </c>
      <c r="M3609" s="45">
        <f>IF(A3609&lt;I3609,0,IF(K3609="S-curve",L3609*L3609*(3-2*L3609),L3609))</f>
        <v/>
      </c>
      <c r="N3609" s="45">
        <f>1+(INDEX(SeasonIdx,A3609)-1)*SeasonAmp</f>
        <v/>
      </c>
      <c r="O3609" s="45">
        <f>IFERROR(INDEX(PSPct,MATCH(E3609&amp;"|"&amp;G3609,PSKey,0)),0)</f>
        <v/>
      </c>
      <c r="P3609" s="46" t="n">
        <v>0</v>
      </c>
      <c r="Q3609" s="46">
        <f>INDEX(OnlineUnitsCol,A3609)*O3609*(1+OnlineGrowth)*N3609*H3609*IF(A3609&gt;=I3609,1,0)</f>
        <v/>
      </c>
      <c r="R3609" s="46">
        <f>Q3609*INDEX(FmtCansPerPack,MATCH(F3609,FmtName,0))/INDEX(FmtCansPerCase,MATCH(F3609,FmtName,0))</f>
        <v/>
      </c>
      <c r="S3609" s="46">
        <f>R3609*INDEX(FmtCansPerCase,MATCH(F3609,FmtName,0))</f>
        <v/>
      </c>
      <c r="T3609" s="46">
        <f>S3609/INDEX(FmtCansPerPack,MATCH(F3609,FmtName,0))</f>
        <v/>
      </c>
      <c r="U3609" s="47">
        <f>INDEX(ProvOnline,MATCH(G3609,ProvCode,0))*(1+PriceIndex)</f>
        <v/>
      </c>
      <c r="V3609" s="47">
        <f>Q3609*U3609*INDEX(FmtBlendedPriceIdx,MATCH(F3609,FmtName,0))</f>
        <v/>
      </c>
      <c r="W3609" s="47">
        <f>V3609</f>
        <v/>
      </c>
      <c r="X3609" s="47">
        <f>IF(GrossBasis="Wholesale",V3609,W3609)</f>
        <v/>
      </c>
      <c r="Y3609" s="47">
        <f>R3609*INDEX(FmtBlendedCogs,MATCH(F3609,FmtName,0))</f>
        <v/>
      </c>
      <c r="Z3609" s="47">
        <f>X3609-Y3609</f>
        <v/>
      </c>
    </row>
    <row r="3610">
      <c r="A3610" t="n">
        <v>5</v>
      </c>
      <c r="B3610" s="44">
        <f>FiscalStart+(A3610-1)*7</f>
        <v/>
      </c>
      <c r="C3610">
        <f>TEXT(B3610,"mmm yyyy")</f>
        <v/>
      </c>
      <c r="D3610">
        <f>"Q"&amp;(INT((A3610-1)/13)+1)</f>
        <v/>
      </c>
      <c r="E3610" t="inlineStr">
        <is>
          <t>Online</t>
        </is>
      </c>
      <c r="F3610">
        <f>IFERROR(INDEX(ChFormat,MATCH(E3610,ChName,0)),"")</f>
        <v/>
      </c>
      <c r="G3610" t="inlineStr">
        <is>
          <t>PE</t>
        </is>
      </c>
      <c r="H3610">
        <f>IF(A3610&lt;=NWeeks,1,0)</f>
        <v/>
      </c>
      <c r="I3610">
        <f>INDEX(ChLaunch,MATCH(E3610,ChName,0))</f>
        <v/>
      </c>
      <c r="J3610">
        <f>INDEX(ChWeeksFull,MATCH(E3610,ChName,0))</f>
        <v/>
      </c>
      <c r="K3610">
        <f>INDEX(ChRamp,MATCH(E3610,ChName,0))</f>
        <v/>
      </c>
      <c r="L3610" s="45">
        <f>MIN(1,MAX(0,(A3610-I3610+1)*RampSpeed/J3610))</f>
        <v/>
      </c>
      <c r="M3610" s="45">
        <f>IF(A3610&lt;I3610,0,IF(K3610="S-curve",L3610*L3610*(3-2*L3610),L3610))</f>
        <v/>
      </c>
      <c r="N3610" s="45">
        <f>1+(INDEX(SeasonIdx,A3610)-1)*SeasonAmp</f>
        <v/>
      </c>
      <c r="O3610" s="45">
        <f>IFERROR(INDEX(PSPct,MATCH(E3610&amp;"|"&amp;G3610,PSKey,0)),0)</f>
        <v/>
      </c>
      <c r="P3610" s="46" t="n">
        <v>0</v>
      </c>
      <c r="Q3610" s="46">
        <f>INDEX(OnlineUnitsCol,A3610)*O3610*(1+OnlineGrowth)*N3610*H3610*IF(A3610&gt;=I3610,1,0)</f>
        <v/>
      </c>
      <c r="R3610" s="46">
        <f>Q3610*INDEX(FmtCansPerPack,MATCH(F3610,FmtName,0))/INDEX(FmtCansPerCase,MATCH(F3610,FmtName,0))</f>
        <v/>
      </c>
      <c r="S3610" s="46">
        <f>R3610*INDEX(FmtCansPerCase,MATCH(F3610,FmtName,0))</f>
        <v/>
      </c>
      <c r="T3610" s="46">
        <f>S3610/INDEX(FmtCansPerPack,MATCH(F3610,FmtName,0))</f>
        <v/>
      </c>
      <c r="U3610" s="47">
        <f>INDEX(ProvOnline,MATCH(G3610,ProvCode,0))*(1+PriceIndex)</f>
        <v/>
      </c>
      <c r="V3610" s="47">
        <f>Q3610*U3610*INDEX(FmtBlendedPriceIdx,MATCH(F3610,FmtName,0))</f>
        <v/>
      </c>
      <c r="W3610" s="47">
        <f>V3610</f>
        <v/>
      </c>
      <c r="X3610" s="47">
        <f>IF(GrossBasis="Wholesale",V3610,W3610)</f>
        <v/>
      </c>
      <c r="Y3610" s="47">
        <f>R3610*INDEX(FmtBlendedCogs,MATCH(F3610,FmtName,0))</f>
        <v/>
      </c>
      <c r="Z3610" s="47">
        <f>X3610-Y3610</f>
        <v/>
      </c>
    </row>
    <row r="3611">
      <c r="A3611" t="n">
        <v>6</v>
      </c>
      <c r="B3611" s="44">
        <f>FiscalStart+(A3611-1)*7</f>
        <v/>
      </c>
      <c r="C3611">
        <f>TEXT(B3611,"mmm yyyy")</f>
        <v/>
      </c>
      <c r="D3611">
        <f>"Q"&amp;(INT((A3611-1)/13)+1)</f>
        <v/>
      </c>
      <c r="E3611" t="inlineStr">
        <is>
          <t>Online</t>
        </is>
      </c>
      <c r="F3611">
        <f>IFERROR(INDEX(ChFormat,MATCH(E3611,ChName,0)),"")</f>
        <v/>
      </c>
      <c r="G3611" t="inlineStr">
        <is>
          <t>PE</t>
        </is>
      </c>
      <c r="H3611">
        <f>IF(A3611&lt;=NWeeks,1,0)</f>
        <v/>
      </c>
      <c r="I3611">
        <f>INDEX(ChLaunch,MATCH(E3611,ChName,0))</f>
        <v/>
      </c>
      <c r="J3611">
        <f>INDEX(ChWeeksFull,MATCH(E3611,ChName,0))</f>
        <v/>
      </c>
      <c r="K3611">
        <f>INDEX(ChRamp,MATCH(E3611,ChName,0))</f>
        <v/>
      </c>
      <c r="L3611" s="45">
        <f>MIN(1,MAX(0,(A3611-I3611+1)*RampSpeed/J3611))</f>
        <v/>
      </c>
      <c r="M3611" s="45">
        <f>IF(A3611&lt;I3611,0,IF(K3611="S-curve",L3611*L3611*(3-2*L3611),L3611))</f>
        <v/>
      </c>
      <c r="N3611" s="45">
        <f>1+(INDEX(SeasonIdx,A3611)-1)*SeasonAmp</f>
        <v/>
      </c>
      <c r="O3611" s="45">
        <f>IFERROR(INDEX(PSPct,MATCH(E3611&amp;"|"&amp;G3611,PSKey,0)),0)</f>
        <v/>
      </c>
      <c r="P3611" s="46" t="n">
        <v>0</v>
      </c>
      <c r="Q3611" s="46">
        <f>INDEX(OnlineUnitsCol,A3611)*O3611*(1+OnlineGrowth)*N3611*H3611*IF(A3611&gt;=I3611,1,0)</f>
        <v/>
      </c>
      <c r="R3611" s="46">
        <f>Q3611*INDEX(FmtCansPerPack,MATCH(F3611,FmtName,0))/INDEX(FmtCansPerCase,MATCH(F3611,FmtName,0))</f>
        <v/>
      </c>
      <c r="S3611" s="46">
        <f>R3611*INDEX(FmtCansPerCase,MATCH(F3611,FmtName,0))</f>
        <v/>
      </c>
      <c r="T3611" s="46">
        <f>S3611/INDEX(FmtCansPerPack,MATCH(F3611,FmtName,0))</f>
        <v/>
      </c>
      <c r="U3611" s="47">
        <f>INDEX(ProvOnline,MATCH(G3611,ProvCode,0))*(1+PriceIndex)</f>
        <v/>
      </c>
      <c r="V3611" s="47">
        <f>Q3611*U3611*INDEX(FmtBlendedPriceIdx,MATCH(F3611,FmtName,0))</f>
        <v/>
      </c>
      <c r="W3611" s="47">
        <f>V3611</f>
        <v/>
      </c>
      <c r="X3611" s="47">
        <f>IF(GrossBasis="Wholesale",V3611,W3611)</f>
        <v/>
      </c>
      <c r="Y3611" s="47">
        <f>R3611*INDEX(FmtBlendedCogs,MATCH(F3611,FmtName,0))</f>
        <v/>
      </c>
      <c r="Z3611" s="47">
        <f>X3611-Y3611</f>
        <v/>
      </c>
    </row>
    <row r="3612">
      <c r="A3612" t="n">
        <v>7</v>
      </c>
      <c r="B3612" s="44">
        <f>FiscalStart+(A3612-1)*7</f>
        <v/>
      </c>
      <c r="C3612">
        <f>TEXT(B3612,"mmm yyyy")</f>
        <v/>
      </c>
      <c r="D3612">
        <f>"Q"&amp;(INT((A3612-1)/13)+1)</f>
        <v/>
      </c>
      <c r="E3612" t="inlineStr">
        <is>
          <t>Online</t>
        </is>
      </c>
      <c r="F3612">
        <f>IFERROR(INDEX(ChFormat,MATCH(E3612,ChName,0)),"")</f>
        <v/>
      </c>
      <c r="G3612" t="inlineStr">
        <is>
          <t>PE</t>
        </is>
      </c>
      <c r="H3612">
        <f>IF(A3612&lt;=NWeeks,1,0)</f>
        <v/>
      </c>
      <c r="I3612">
        <f>INDEX(ChLaunch,MATCH(E3612,ChName,0))</f>
        <v/>
      </c>
      <c r="J3612">
        <f>INDEX(ChWeeksFull,MATCH(E3612,ChName,0))</f>
        <v/>
      </c>
      <c r="K3612">
        <f>INDEX(ChRamp,MATCH(E3612,ChName,0))</f>
        <v/>
      </c>
      <c r="L3612" s="45">
        <f>MIN(1,MAX(0,(A3612-I3612+1)*RampSpeed/J3612))</f>
        <v/>
      </c>
      <c r="M3612" s="45">
        <f>IF(A3612&lt;I3612,0,IF(K3612="S-curve",L3612*L3612*(3-2*L3612),L3612))</f>
        <v/>
      </c>
      <c r="N3612" s="45">
        <f>1+(INDEX(SeasonIdx,A3612)-1)*SeasonAmp</f>
        <v/>
      </c>
      <c r="O3612" s="45">
        <f>IFERROR(INDEX(PSPct,MATCH(E3612&amp;"|"&amp;G3612,PSKey,0)),0)</f>
        <v/>
      </c>
      <c r="P3612" s="46" t="n">
        <v>0</v>
      </c>
      <c r="Q3612" s="46">
        <f>INDEX(OnlineUnitsCol,A3612)*O3612*(1+OnlineGrowth)*N3612*H3612*IF(A3612&gt;=I3612,1,0)</f>
        <v/>
      </c>
      <c r="R3612" s="46">
        <f>Q3612*INDEX(FmtCansPerPack,MATCH(F3612,FmtName,0))/INDEX(FmtCansPerCase,MATCH(F3612,FmtName,0))</f>
        <v/>
      </c>
      <c r="S3612" s="46">
        <f>R3612*INDEX(FmtCansPerCase,MATCH(F3612,FmtName,0))</f>
        <v/>
      </c>
      <c r="T3612" s="46">
        <f>S3612/INDEX(FmtCansPerPack,MATCH(F3612,FmtName,0))</f>
        <v/>
      </c>
      <c r="U3612" s="47">
        <f>INDEX(ProvOnline,MATCH(G3612,ProvCode,0))*(1+PriceIndex)</f>
        <v/>
      </c>
      <c r="V3612" s="47">
        <f>Q3612*U3612*INDEX(FmtBlendedPriceIdx,MATCH(F3612,FmtName,0))</f>
        <v/>
      </c>
      <c r="W3612" s="47">
        <f>V3612</f>
        <v/>
      </c>
      <c r="X3612" s="47">
        <f>IF(GrossBasis="Wholesale",V3612,W3612)</f>
        <v/>
      </c>
      <c r="Y3612" s="47">
        <f>R3612*INDEX(FmtBlendedCogs,MATCH(F3612,FmtName,0))</f>
        <v/>
      </c>
      <c r="Z3612" s="47">
        <f>X3612-Y3612</f>
        <v/>
      </c>
    </row>
    <row r="3613">
      <c r="A3613" t="n">
        <v>8</v>
      </c>
      <c r="B3613" s="44">
        <f>FiscalStart+(A3613-1)*7</f>
        <v/>
      </c>
      <c r="C3613">
        <f>TEXT(B3613,"mmm yyyy")</f>
        <v/>
      </c>
      <c r="D3613">
        <f>"Q"&amp;(INT((A3613-1)/13)+1)</f>
        <v/>
      </c>
      <c r="E3613" t="inlineStr">
        <is>
          <t>Online</t>
        </is>
      </c>
      <c r="F3613">
        <f>IFERROR(INDEX(ChFormat,MATCH(E3613,ChName,0)),"")</f>
        <v/>
      </c>
      <c r="G3613" t="inlineStr">
        <is>
          <t>PE</t>
        </is>
      </c>
      <c r="H3613">
        <f>IF(A3613&lt;=NWeeks,1,0)</f>
        <v/>
      </c>
      <c r="I3613">
        <f>INDEX(ChLaunch,MATCH(E3613,ChName,0))</f>
        <v/>
      </c>
      <c r="J3613">
        <f>INDEX(ChWeeksFull,MATCH(E3613,ChName,0))</f>
        <v/>
      </c>
      <c r="K3613">
        <f>INDEX(ChRamp,MATCH(E3613,ChName,0))</f>
        <v/>
      </c>
      <c r="L3613" s="45">
        <f>MIN(1,MAX(0,(A3613-I3613+1)*RampSpeed/J3613))</f>
        <v/>
      </c>
      <c r="M3613" s="45">
        <f>IF(A3613&lt;I3613,0,IF(K3613="S-curve",L3613*L3613*(3-2*L3613),L3613))</f>
        <v/>
      </c>
      <c r="N3613" s="45">
        <f>1+(INDEX(SeasonIdx,A3613)-1)*SeasonAmp</f>
        <v/>
      </c>
      <c r="O3613" s="45">
        <f>IFERROR(INDEX(PSPct,MATCH(E3613&amp;"|"&amp;G3613,PSKey,0)),0)</f>
        <v/>
      </c>
      <c r="P3613" s="46" t="n">
        <v>0</v>
      </c>
      <c r="Q3613" s="46">
        <f>INDEX(OnlineUnitsCol,A3613)*O3613*(1+OnlineGrowth)*N3613*H3613*IF(A3613&gt;=I3613,1,0)</f>
        <v/>
      </c>
      <c r="R3613" s="46">
        <f>Q3613*INDEX(FmtCansPerPack,MATCH(F3613,FmtName,0))/INDEX(FmtCansPerCase,MATCH(F3613,FmtName,0))</f>
        <v/>
      </c>
      <c r="S3613" s="46">
        <f>R3613*INDEX(FmtCansPerCase,MATCH(F3613,FmtName,0))</f>
        <v/>
      </c>
      <c r="T3613" s="46">
        <f>S3613/INDEX(FmtCansPerPack,MATCH(F3613,FmtName,0))</f>
        <v/>
      </c>
      <c r="U3613" s="47">
        <f>INDEX(ProvOnline,MATCH(G3613,ProvCode,0))*(1+PriceIndex)</f>
        <v/>
      </c>
      <c r="V3613" s="47">
        <f>Q3613*U3613*INDEX(FmtBlendedPriceIdx,MATCH(F3613,FmtName,0))</f>
        <v/>
      </c>
      <c r="W3613" s="47">
        <f>V3613</f>
        <v/>
      </c>
      <c r="X3613" s="47">
        <f>IF(GrossBasis="Wholesale",V3613,W3613)</f>
        <v/>
      </c>
      <c r="Y3613" s="47">
        <f>R3613*INDEX(FmtBlendedCogs,MATCH(F3613,FmtName,0))</f>
        <v/>
      </c>
      <c r="Z3613" s="47">
        <f>X3613-Y3613</f>
        <v/>
      </c>
    </row>
    <row r="3614">
      <c r="A3614" t="n">
        <v>9</v>
      </c>
      <c r="B3614" s="44">
        <f>FiscalStart+(A3614-1)*7</f>
        <v/>
      </c>
      <c r="C3614">
        <f>TEXT(B3614,"mmm yyyy")</f>
        <v/>
      </c>
      <c r="D3614">
        <f>"Q"&amp;(INT((A3614-1)/13)+1)</f>
        <v/>
      </c>
      <c r="E3614" t="inlineStr">
        <is>
          <t>Online</t>
        </is>
      </c>
      <c r="F3614">
        <f>IFERROR(INDEX(ChFormat,MATCH(E3614,ChName,0)),"")</f>
        <v/>
      </c>
      <c r="G3614" t="inlineStr">
        <is>
          <t>PE</t>
        </is>
      </c>
      <c r="H3614">
        <f>IF(A3614&lt;=NWeeks,1,0)</f>
        <v/>
      </c>
      <c r="I3614">
        <f>INDEX(ChLaunch,MATCH(E3614,ChName,0))</f>
        <v/>
      </c>
      <c r="J3614">
        <f>INDEX(ChWeeksFull,MATCH(E3614,ChName,0))</f>
        <v/>
      </c>
      <c r="K3614">
        <f>INDEX(ChRamp,MATCH(E3614,ChName,0))</f>
        <v/>
      </c>
      <c r="L3614" s="45">
        <f>MIN(1,MAX(0,(A3614-I3614+1)*RampSpeed/J3614))</f>
        <v/>
      </c>
      <c r="M3614" s="45">
        <f>IF(A3614&lt;I3614,0,IF(K3614="S-curve",L3614*L3614*(3-2*L3614),L3614))</f>
        <v/>
      </c>
      <c r="N3614" s="45">
        <f>1+(INDEX(SeasonIdx,A3614)-1)*SeasonAmp</f>
        <v/>
      </c>
      <c r="O3614" s="45">
        <f>IFERROR(INDEX(PSPct,MATCH(E3614&amp;"|"&amp;G3614,PSKey,0)),0)</f>
        <v/>
      </c>
      <c r="P3614" s="46" t="n">
        <v>0</v>
      </c>
      <c r="Q3614" s="46">
        <f>INDEX(OnlineUnitsCol,A3614)*O3614*(1+OnlineGrowth)*N3614*H3614*IF(A3614&gt;=I3614,1,0)</f>
        <v/>
      </c>
      <c r="R3614" s="46">
        <f>Q3614*INDEX(FmtCansPerPack,MATCH(F3614,FmtName,0))/INDEX(FmtCansPerCase,MATCH(F3614,FmtName,0))</f>
        <v/>
      </c>
      <c r="S3614" s="46">
        <f>R3614*INDEX(FmtCansPerCase,MATCH(F3614,FmtName,0))</f>
        <v/>
      </c>
      <c r="T3614" s="46">
        <f>S3614/INDEX(FmtCansPerPack,MATCH(F3614,FmtName,0))</f>
        <v/>
      </c>
      <c r="U3614" s="47">
        <f>INDEX(ProvOnline,MATCH(G3614,ProvCode,0))*(1+PriceIndex)</f>
        <v/>
      </c>
      <c r="V3614" s="47">
        <f>Q3614*U3614*INDEX(FmtBlendedPriceIdx,MATCH(F3614,FmtName,0))</f>
        <v/>
      </c>
      <c r="W3614" s="47">
        <f>V3614</f>
        <v/>
      </c>
      <c r="X3614" s="47">
        <f>IF(GrossBasis="Wholesale",V3614,W3614)</f>
        <v/>
      </c>
      <c r="Y3614" s="47">
        <f>R3614*INDEX(FmtBlendedCogs,MATCH(F3614,FmtName,0))</f>
        <v/>
      </c>
      <c r="Z3614" s="47">
        <f>X3614-Y3614</f>
        <v/>
      </c>
    </row>
    <row r="3615">
      <c r="A3615" t="n">
        <v>10</v>
      </c>
      <c r="B3615" s="44">
        <f>FiscalStart+(A3615-1)*7</f>
        <v/>
      </c>
      <c r="C3615">
        <f>TEXT(B3615,"mmm yyyy")</f>
        <v/>
      </c>
      <c r="D3615">
        <f>"Q"&amp;(INT((A3615-1)/13)+1)</f>
        <v/>
      </c>
      <c r="E3615" t="inlineStr">
        <is>
          <t>Online</t>
        </is>
      </c>
      <c r="F3615">
        <f>IFERROR(INDEX(ChFormat,MATCH(E3615,ChName,0)),"")</f>
        <v/>
      </c>
      <c r="G3615" t="inlineStr">
        <is>
          <t>PE</t>
        </is>
      </c>
      <c r="H3615">
        <f>IF(A3615&lt;=NWeeks,1,0)</f>
        <v/>
      </c>
      <c r="I3615">
        <f>INDEX(ChLaunch,MATCH(E3615,ChName,0))</f>
        <v/>
      </c>
      <c r="J3615">
        <f>INDEX(ChWeeksFull,MATCH(E3615,ChName,0))</f>
        <v/>
      </c>
      <c r="K3615">
        <f>INDEX(ChRamp,MATCH(E3615,ChName,0))</f>
        <v/>
      </c>
      <c r="L3615" s="45">
        <f>MIN(1,MAX(0,(A3615-I3615+1)*RampSpeed/J3615))</f>
        <v/>
      </c>
      <c r="M3615" s="45">
        <f>IF(A3615&lt;I3615,0,IF(K3615="S-curve",L3615*L3615*(3-2*L3615),L3615))</f>
        <v/>
      </c>
      <c r="N3615" s="45">
        <f>1+(INDEX(SeasonIdx,A3615)-1)*SeasonAmp</f>
        <v/>
      </c>
      <c r="O3615" s="45">
        <f>IFERROR(INDEX(PSPct,MATCH(E3615&amp;"|"&amp;G3615,PSKey,0)),0)</f>
        <v/>
      </c>
      <c r="P3615" s="46" t="n">
        <v>0</v>
      </c>
      <c r="Q3615" s="46">
        <f>INDEX(OnlineUnitsCol,A3615)*O3615*(1+OnlineGrowth)*N3615*H3615*IF(A3615&gt;=I3615,1,0)</f>
        <v/>
      </c>
      <c r="R3615" s="46">
        <f>Q3615*INDEX(FmtCansPerPack,MATCH(F3615,FmtName,0))/INDEX(FmtCansPerCase,MATCH(F3615,FmtName,0))</f>
        <v/>
      </c>
      <c r="S3615" s="46">
        <f>R3615*INDEX(FmtCansPerCase,MATCH(F3615,FmtName,0))</f>
        <v/>
      </c>
      <c r="T3615" s="46">
        <f>S3615/INDEX(FmtCansPerPack,MATCH(F3615,FmtName,0))</f>
        <v/>
      </c>
      <c r="U3615" s="47">
        <f>INDEX(ProvOnline,MATCH(G3615,ProvCode,0))*(1+PriceIndex)</f>
        <v/>
      </c>
      <c r="V3615" s="47">
        <f>Q3615*U3615*INDEX(FmtBlendedPriceIdx,MATCH(F3615,FmtName,0))</f>
        <v/>
      </c>
      <c r="W3615" s="47">
        <f>V3615</f>
        <v/>
      </c>
      <c r="X3615" s="47">
        <f>IF(GrossBasis="Wholesale",V3615,W3615)</f>
        <v/>
      </c>
      <c r="Y3615" s="47">
        <f>R3615*INDEX(FmtBlendedCogs,MATCH(F3615,FmtName,0))</f>
        <v/>
      </c>
      <c r="Z3615" s="47">
        <f>X3615-Y3615</f>
        <v/>
      </c>
    </row>
    <row r="3616">
      <c r="A3616" t="n">
        <v>11</v>
      </c>
      <c r="B3616" s="44">
        <f>FiscalStart+(A3616-1)*7</f>
        <v/>
      </c>
      <c r="C3616">
        <f>TEXT(B3616,"mmm yyyy")</f>
        <v/>
      </c>
      <c r="D3616">
        <f>"Q"&amp;(INT((A3616-1)/13)+1)</f>
        <v/>
      </c>
      <c r="E3616" t="inlineStr">
        <is>
          <t>Online</t>
        </is>
      </c>
      <c r="F3616">
        <f>IFERROR(INDEX(ChFormat,MATCH(E3616,ChName,0)),"")</f>
        <v/>
      </c>
      <c r="G3616" t="inlineStr">
        <is>
          <t>PE</t>
        </is>
      </c>
      <c r="H3616">
        <f>IF(A3616&lt;=NWeeks,1,0)</f>
        <v/>
      </c>
      <c r="I3616">
        <f>INDEX(ChLaunch,MATCH(E3616,ChName,0))</f>
        <v/>
      </c>
      <c r="J3616">
        <f>INDEX(ChWeeksFull,MATCH(E3616,ChName,0))</f>
        <v/>
      </c>
      <c r="K3616">
        <f>INDEX(ChRamp,MATCH(E3616,ChName,0))</f>
        <v/>
      </c>
      <c r="L3616" s="45">
        <f>MIN(1,MAX(0,(A3616-I3616+1)*RampSpeed/J3616))</f>
        <v/>
      </c>
      <c r="M3616" s="45">
        <f>IF(A3616&lt;I3616,0,IF(K3616="S-curve",L3616*L3616*(3-2*L3616),L3616))</f>
        <v/>
      </c>
      <c r="N3616" s="45">
        <f>1+(INDEX(SeasonIdx,A3616)-1)*SeasonAmp</f>
        <v/>
      </c>
      <c r="O3616" s="45">
        <f>IFERROR(INDEX(PSPct,MATCH(E3616&amp;"|"&amp;G3616,PSKey,0)),0)</f>
        <v/>
      </c>
      <c r="P3616" s="46" t="n">
        <v>0</v>
      </c>
      <c r="Q3616" s="46">
        <f>INDEX(OnlineUnitsCol,A3616)*O3616*(1+OnlineGrowth)*N3616*H3616*IF(A3616&gt;=I3616,1,0)</f>
        <v/>
      </c>
      <c r="R3616" s="46">
        <f>Q3616*INDEX(FmtCansPerPack,MATCH(F3616,FmtName,0))/INDEX(FmtCansPerCase,MATCH(F3616,FmtName,0))</f>
        <v/>
      </c>
      <c r="S3616" s="46">
        <f>R3616*INDEX(FmtCansPerCase,MATCH(F3616,FmtName,0))</f>
        <v/>
      </c>
      <c r="T3616" s="46">
        <f>S3616/INDEX(FmtCansPerPack,MATCH(F3616,FmtName,0))</f>
        <v/>
      </c>
      <c r="U3616" s="47">
        <f>INDEX(ProvOnline,MATCH(G3616,ProvCode,0))*(1+PriceIndex)</f>
        <v/>
      </c>
      <c r="V3616" s="47">
        <f>Q3616*U3616*INDEX(FmtBlendedPriceIdx,MATCH(F3616,FmtName,0))</f>
        <v/>
      </c>
      <c r="W3616" s="47">
        <f>V3616</f>
        <v/>
      </c>
      <c r="X3616" s="47">
        <f>IF(GrossBasis="Wholesale",V3616,W3616)</f>
        <v/>
      </c>
      <c r="Y3616" s="47">
        <f>R3616*INDEX(FmtBlendedCogs,MATCH(F3616,FmtName,0))</f>
        <v/>
      </c>
      <c r="Z3616" s="47">
        <f>X3616-Y3616</f>
        <v/>
      </c>
    </row>
    <row r="3617">
      <c r="A3617" t="n">
        <v>12</v>
      </c>
      <c r="B3617" s="44">
        <f>FiscalStart+(A3617-1)*7</f>
        <v/>
      </c>
      <c r="C3617">
        <f>TEXT(B3617,"mmm yyyy")</f>
        <v/>
      </c>
      <c r="D3617">
        <f>"Q"&amp;(INT((A3617-1)/13)+1)</f>
        <v/>
      </c>
      <c r="E3617" t="inlineStr">
        <is>
          <t>Online</t>
        </is>
      </c>
      <c r="F3617">
        <f>IFERROR(INDEX(ChFormat,MATCH(E3617,ChName,0)),"")</f>
        <v/>
      </c>
      <c r="G3617" t="inlineStr">
        <is>
          <t>PE</t>
        </is>
      </c>
      <c r="H3617">
        <f>IF(A3617&lt;=NWeeks,1,0)</f>
        <v/>
      </c>
      <c r="I3617">
        <f>INDEX(ChLaunch,MATCH(E3617,ChName,0))</f>
        <v/>
      </c>
      <c r="J3617">
        <f>INDEX(ChWeeksFull,MATCH(E3617,ChName,0))</f>
        <v/>
      </c>
      <c r="K3617">
        <f>INDEX(ChRamp,MATCH(E3617,ChName,0))</f>
        <v/>
      </c>
      <c r="L3617" s="45">
        <f>MIN(1,MAX(0,(A3617-I3617+1)*RampSpeed/J3617))</f>
        <v/>
      </c>
      <c r="M3617" s="45">
        <f>IF(A3617&lt;I3617,0,IF(K3617="S-curve",L3617*L3617*(3-2*L3617),L3617))</f>
        <v/>
      </c>
      <c r="N3617" s="45">
        <f>1+(INDEX(SeasonIdx,A3617)-1)*SeasonAmp</f>
        <v/>
      </c>
      <c r="O3617" s="45">
        <f>IFERROR(INDEX(PSPct,MATCH(E3617&amp;"|"&amp;G3617,PSKey,0)),0)</f>
        <v/>
      </c>
      <c r="P3617" s="46" t="n">
        <v>0</v>
      </c>
      <c r="Q3617" s="46">
        <f>INDEX(OnlineUnitsCol,A3617)*O3617*(1+OnlineGrowth)*N3617*H3617*IF(A3617&gt;=I3617,1,0)</f>
        <v/>
      </c>
      <c r="R3617" s="46">
        <f>Q3617*INDEX(FmtCansPerPack,MATCH(F3617,FmtName,0))/INDEX(FmtCansPerCase,MATCH(F3617,FmtName,0))</f>
        <v/>
      </c>
      <c r="S3617" s="46">
        <f>R3617*INDEX(FmtCansPerCase,MATCH(F3617,FmtName,0))</f>
        <v/>
      </c>
      <c r="T3617" s="46">
        <f>S3617/INDEX(FmtCansPerPack,MATCH(F3617,FmtName,0))</f>
        <v/>
      </c>
      <c r="U3617" s="47">
        <f>INDEX(ProvOnline,MATCH(G3617,ProvCode,0))*(1+PriceIndex)</f>
        <v/>
      </c>
      <c r="V3617" s="47">
        <f>Q3617*U3617*INDEX(FmtBlendedPriceIdx,MATCH(F3617,FmtName,0))</f>
        <v/>
      </c>
      <c r="W3617" s="47">
        <f>V3617</f>
        <v/>
      </c>
      <c r="X3617" s="47">
        <f>IF(GrossBasis="Wholesale",V3617,W3617)</f>
        <v/>
      </c>
      <c r="Y3617" s="47">
        <f>R3617*INDEX(FmtBlendedCogs,MATCH(F3617,FmtName,0))</f>
        <v/>
      </c>
      <c r="Z3617" s="47">
        <f>X3617-Y3617</f>
        <v/>
      </c>
    </row>
    <row r="3618">
      <c r="A3618" t="n">
        <v>13</v>
      </c>
      <c r="B3618" s="44">
        <f>FiscalStart+(A3618-1)*7</f>
        <v/>
      </c>
      <c r="C3618">
        <f>TEXT(B3618,"mmm yyyy")</f>
        <v/>
      </c>
      <c r="D3618">
        <f>"Q"&amp;(INT((A3618-1)/13)+1)</f>
        <v/>
      </c>
      <c r="E3618" t="inlineStr">
        <is>
          <t>Online</t>
        </is>
      </c>
      <c r="F3618">
        <f>IFERROR(INDEX(ChFormat,MATCH(E3618,ChName,0)),"")</f>
        <v/>
      </c>
      <c r="G3618" t="inlineStr">
        <is>
          <t>PE</t>
        </is>
      </c>
      <c r="H3618">
        <f>IF(A3618&lt;=NWeeks,1,0)</f>
        <v/>
      </c>
      <c r="I3618">
        <f>INDEX(ChLaunch,MATCH(E3618,ChName,0))</f>
        <v/>
      </c>
      <c r="J3618">
        <f>INDEX(ChWeeksFull,MATCH(E3618,ChName,0))</f>
        <v/>
      </c>
      <c r="K3618">
        <f>INDEX(ChRamp,MATCH(E3618,ChName,0))</f>
        <v/>
      </c>
      <c r="L3618" s="45">
        <f>MIN(1,MAX(0,(A3618-I3618+1)*RampSpeed/J3618))</f>
        <v/>
      </c>
      <c r="M3618" s="45">
        <f>IF(A3618&lt;I3618,0,IF(K3618="S-curve",L3618*L3618*(3-2*L3618),L3618))</f>
        <v/>
      </c>
      <c r="N3618" s="45">
        <f>1+(INDEX(SeasonIdx,A3618)-1)*SeasonAmp</f>
        <v/>
      </c>
      <c r="O3618" s="45">
        <f>IFERROR(INDEX(PSPct,MATCH(E3618&amp;"|"&amp;G3618,PSKey,0)),0)</f>
        <v/>
      </c>
      <c r="P3618" s="46" t="n">
        <v>0</v>
      </c>
      <c r="Q3618" s="46">
        <f>INDEX(OnlineUnitsCol,A3618)*O3618*(1+OnlineGrowth)*N3618*H3618*IF(A3618&gt;=I3618,1,0)</f>
        <v/>
      </c>
      <c r="R3618" s="46">
        <f>Q3618*INDEX(FmtCansPerPack,MATCH(F3618,FmtName,0))/INDEX(FmtCansPerCase,MATCH(F3618,FmtName,0))</f>
        <v/>
      </c>
      <c r="S3618" s="46">
        <f>R3618*INDEX(FmtCansPerCase,MATCH(F3618,FmtName,0))</f>
        <v/>
      </c>
      <c r="T3618" s="46">
        <f>S3618/INDEX(FmtCansPerPack,MATCH(F3618,FmtName,0))</f>
        <v/>
      </c>
      <c r="U3618" s="47">
        <f>INDEX(ProvOnline,MATCH(G3618,ProvCode,0))*(1+PriceIndex)</f>
        <v/>
      </c>
      <c r="V3618" s="47">
        <f>Q3618*U3618*INDEX(FmtBlendedPriceIdx,MATCH(F3618,FmtName,0))</f>
        <v/>
      </c>
      <c r="W3618" s="47">
        <f>V3618</f>
        <v/>
      </c>
      <c r="X3618" s="47">
        <f>IF(GrossBasis="Wholesale",V3618,W3618)</f>
        <v/>
      </c>
      <c r="Y3618" s="47">
        <f>R3618*INDEX(FmtBlendedCogs,MATCH(F3618,FmtName,0))</f>
        <v/>
      </c>
      <c r="Z3618" s="47">
        <f>X3618-Y3618</f>
        <v/>
      </c>
    </row>
    <row r="3619">
      <c r="A3619" t="n">
        <v>14</v>
      </c>
      <c r="B3619" s="44">
        <f>FiscalStart+(A3619-1)*7</f>
        <v/>
      </c>
      <c r="C3619">
        <f>TEXT(B3619,"mmm yyyy")</f>
        <v/>
      </c>
      <c r="D3619">
        <f>"Q"&amp;(INT((A3619-1)/13)+1)</f>
        <v/>
      </c>
      <c r="E3619" t="inlineStr">
        <is>
          <t>Online</t>
        </is>
      </c>
      <c r="F3619">
        <f>IFERROR(INDEX(ChFormat,MATCH(E3619,ChName,0)),"")</f>
        <v/>
      </c>
      <c r="G3619" t="inlineStr">
        <is>
          <t>PE</t>
        </is>
      </c>
      <c r="H3619">
        <f>IF(A3619&lt;=NWeeks,1,0)</f>
        <v/>
      </c>
      <c r="I3619">
        <f>INDEX(ChLaunch,MATCH(E3619,ChName,0))</f>
        <v/>
      </c>
      <c r="J3619">
        <f>INDEX(ChWeeksFull,MATCH(E3619,ChName,0))</f>
        <v/>
      </c>
      <c r="K3619">
        <f>INDEX(ChRamp,MATCH(E3619,ChName,0))</f>
        <v/>
      </c>
      <c r="L3619" s="45">
        <f>MIN(1,MAX(0,(A3619-I3619+1)*RampSpeed/J3619))</f>
        <v/>
      </c>
      <c r="M3619" s="45">
        <f>IF(A3619&lt;I3619,0,IF(K3619="S-curve",L3619*L3619*(3-2*L3619),L3619))</f>
        <v/>
      </c>
      <c r="N3619" s="45">
        <f>1+(INDEX(SeasonIdx,A3619)-1)*SeasonAmp</f>
        <v/>
      </c>
      <c r="O3619" s="45">
        <f>IFERROR(INDEX(PSPct,MATCH(E3619&amp;"|"&amp;G3619,PSKey,0)),0)</f>
        <v/>
      </c>
      <c r="P3619" s="46" t="n">
        <v>0</v>
      </c>
      <c r="Q3619" s="46">
        <f>INDEX(OnlineUnitsCol,A3619)*O3619*(1+OnlineGrowth)*N3619*H3619*IF(A3619&gt;=I3619,1,0)</f>
        <v/>
      </c>
      <c r="R3619" s="46">
        <f>Q3619*INDEX(FmtCansPerPack,MATCH(F3619,FmtName,0))/INDEX(FmtCansPerCase,MATCH(F3619,FmtName,0))</f>
        <v/>
      </c>
      <c r="S3619" s="46">
        <f>R3619*INDEX(FmtCansPerCase,MATCH(F3619,FmtName,0))</f>
        <v/>
      </c>
      <c r="T3619" s="46">
        <f>S3619/INDEX(FmtCansPerPack,MATCH(F3619,FmtName,0))</f>
        <v/>
      </c>
      <c r="U3619" s="47">
        <f>INDEX(ProvOnline,MATCH(G3619,ProvCode,0))*(1+PriceIndex)</f>
        <v/>
      </c>
      <c r="V3619" s="47">
        <f>Q3619*U3619*INDEX(FmtBlendedPriceIdx,MATCH(F3619,FmtName,0))</f>
        <v/>
      </c>
      <c r="W3619" s="47">
        <f>V3619</f>
        <v/>
      </c>
      <c r="X3619" s="47">
        <f>IF(GrossBasis="Wholesale",V3619,W3619)</f>
        <v/>
      </c>
      <c r="Y3619" s="47">
        <f>R3619*INDEX(FmtBlendedCogs,MATCH(F3619,FmtName,0))</f>
        <v/>
      </c>
      <c r="Z3619" s="47">
        <f>X3619-Y3619</f>
        <v/>
      </c>
    </row>
    <row r="3620">
      <c r="A3620" t="n">
        <v>15</v>
      </c>
      <c r="B3620" s="44">
        <f>FiscalStart+(A3620-1)*7</f>
        <v/>
      </c>
      <c r="C3620">
        <f>TEXT(B3620,"mmm yyyy")</f>
        <v/>
      </c>
      <c r="D3620">
        <f>"Q"&amp;(INT((A3620-1)/13)+1)</f>
        <v/>
      </c>
      <c r="E3620" t="inlineStr">
        <is>
          <t>Online</t>
        </is>
      </c>
      <c r="F3620">
        <f>IFERROR(INDEX(ChFormat,MATCH(E3620,ChName,0)),"")</f>
        <v/>
      </c>
      <c r="G3620" t="inlineStr">
        <is>
          <t>PE</t>
        </is>
      </c>
      <c r="H3620">
        <f>IF(A3620&lt;=NWeeks,1,0)</f>
        <v/>
      </c>
      <c r="I3620">
        <f>INDEX(ChLaunch,MATCH(E3620,ChName,0))</f>
        <v/>
      </c>
      <c r="J3620">
        <f>INDEX(ChWeeksFull,MATCH(E3620,ChName,0))</f>
        <v/>
      </c>
      <c r="K3620">
        <f>INDEX(ChRamp,MATCH(E3620,ChName,0))</f>
        <v/>
      </c>
      <c r="L3620" s="45">
        <f>MIN(1,MAX(0,(A3620-I3620+1)*RampSpeed/J3620))</f>
        <v/>
      </c>
      <c r="M3620" s="45">
        <f>IF(A3620&lt;I3620,0,IF(K3620="S-curve",L3620*L3620*(3-2*L3620),L3620))</f>
        <v/>
      </c>
      <c r="N3620" s="45">
        <f>1+(INDEX(SeasonIdx,A3620)-1)*SeasonAmp</f>
        <v/>
      </c>
      <c r="O3620" s="45">
        <f>IFERROR(INDEX(PSPct,MATCH(E3620&amp;"|"&amp;G3620,PSKey,0)),0)</f>
        <v/>
      </c>
      <c r="P3620" s="46" t="n">
        <v>0</v>
      </c>
      <c r="Q3620" s="46">
        <f>INDEX(OnlineUnitsCol,A3620)*O3620*(1+OnlineGrowth)*N3620*H3620*IF(A3620&gt;=I3620,1,0)</f>
        <v/>
      </c>
      <c r="R3620" s="46">
        <f>Q3620*INDEX(FmtCansPerPack,MATCH(F3620,FmtName,0))/INDEX(FmtCansPerCase,MATCH(F3620,FmtName,0))</f>
        <v/>
      </c>
      <c r="S3620" s="46">
        <f>R3620*INDEX(FmtCansPerCase,MATCH(F3620,FmtName,0))</f>
        <v/>
      </c>
      <c r="T3620" s="46">
        <f>S3620/INDEX(FmtCansPerPack,MATCH(F3620,FmtName,0))</f>
        <v/>
      </c>
      <c r="U3620" s="47">
        <f>INDEX(ProvOnline,MATCH(G3620,ProvCode,0))*(1+PriceIndex)</f>
        <v/>
      </c>
      <c r="V3620" s="47">
        <f>Q3620*U3620*INDEX(FmtBlendedPriceIdx,MATCH(F3620,FmtName,0))</f>
        <v/>
      </c>
      <c r="W3620" s="47">
        <f>V3620</f>
        <v/>
      </c>
      <c r="X3620" s="47">
        <f>IF(GrossBasis="Wholesale",V3620,W3620)</f>
        <v/>
      </c>
      <c r="Y3620" s="47">
        <f>R3620*INDEX(FmtBlendedCogs,MATCH(F3620,FmtName,0))</f>
        <v/>
      </c>
      <c r="Z3620" s="47">
        <f>X3620-Y3620</f>
        <v/>
      </c>
    </row>
    <row r="3621">
      <c r="A3621" t="n">
        <v>16</v>
      </c>
      <c r="B3621" s="44">
        <f>FiscalStart+(A3621-1)*7</f>
        <v/>
      </c>
      <c r="C3621">
        <f>TEXT(B3621,"mmm yyyy")</f>
        <v/>
      </c>
      <c r="D3621">
        <f>"Q"&amp;(INT((A3621-1)/13)+1)</f>
        <v/>
      </c>
      <c r="E3621" t="inlineStr">
        <is>
          <t>Online</t>
        </is>
      </c>
      <c r="F3621">
        <f>IFERROR(INDEX(ChFormat,MATCH(E3621,ChName,0)),"")</f>
        <v/>
      </c>
      <c r="G3621" t="inlineStr">
        <is>
          <t>PE</t>
        </is>
      </c>
      <c r="H3621">
        <f>IF(A3621&lt;=NWeeks,1,0)</f>
        <v/>
      </c>
      <c r="I3621">
        <f>INDEX(ChLaunch,MATCH(E3621,ChName,0))</f>
        <v/>
      </c>
      <c r="J3621">
        <f>INDEX(ChWeeksFull,MATCH(E3621,ChName,0))</f>
        <v/>
      </c>
      <c r="K3621">
        <f>INDEX(ChRamp,MATCH(E3621,ChName,0))</f>
        <v/>
      </c>
      <c r="L3621" s="45">
        <f>MIN(1,MAX(0,(A3621-I3621+1)*RampSpeed/J3621))</f>
        <v/>
      </c>
      <c r="M3621" s="45">
        <f>IF(A3621&lt;I3621,0,IF(K3621="S-curve",L3621*L3621*(3-2*L3621),L3621))</f>
        <v/>
      </c>
      <c r="N3621" s="45">
        <f>1+(INDEX(SeasonIdx,A3621)-1)*SeasonAmp</f>
        <v/>
      </c>
      <c r="O3621" s="45">
        <f>IFERROR(INDEX(PSPct,MATCH(E3621&amp;"|"&amp;G3621,PSKey,0)),0)</f>
        <v/>
      </c>
      <c r="P3621" s="46" t="n">
        <v>0</v>
      </c>
      <c r="Q3621" s="46">
        <f>INDEX(OnlineUnitsCol,A3621)*O3621*(1+OnlineGrowth)*N3621*H3621*IF(A3621&gt;=I3621,1,0)</f>
        <v/>
      </c>
      <c r="R3621" s="46">
        <f>Q3621*INDEX(FmtCansPerPack,MATCH(F3621,FmtName,0))/INDEX(FmtCansPerCase,MATCH(F3621,FmtName,0))</f>
        <v/>
      </c>
      <c r="S3621" s="46">
        <f>R3621*INDEX(FmtCansPerCase,MATCH(F3621,FmtName,0))</f>
        <v/>
      </c>
      <c r="T3621" s="46">
        <f>S3621/INDEX(FmtCansPerPack,MATCH(F3621,FmtName,0))</f>
        <v/>
      </c>
      <c r="U3621" s="47">
        <f>INDEX(ProvOnline,MATCH(G3621,ProvCode,0))*(1+PriceIndex)</f>
        <v/>
      </c>
      <c r="V3621" s="47">
        <f>Q3621*U3621*INDEX(FmtBlendedPriceIdx,MATCH(F3621,FmtName,0))</f>
        <v/>
      </c>
      <c r="W3621" s="47">
        <f>V3621</f>
        <v/>
      </c>
      <c r="X3621" s="47">
        <f>IF(GrossBasis="Wholesale",V3621,W3621)</f>
        <v/>
      </c>
      <c r="Y3621" s="47">
        <f>R3621*INDEX(FmtBlendedCogs,MATCH(F3621,FmtName,0))</f>
        <v/>
      </c>
      <c r="Z3621" s="47">
        <f>X3621-Y3621</f>
        <v/>
      </c>
    </row>
    <row r="3622">
      <c r="A3622" t="n">
        <v>17</v>
      </c>
      <c r="B3622" s="44">
        <f>FiscalStart+(A3622-1)*7</f>
        <v/>
      </c>
      <c r="C3622">
        <f>TEXT(B3622,"mmm yyyy")</f>
        <v/>
      </c>
      <c r="D3622">
        <f>"Q"&amp;(INT((A3622-1)/13)+1)</f>
        <v/>
      </c>
      <c r="E3622" t="inlineStr">
        <is>
          <t>Online</t>
        </is>
      </c>
      <c r="F3622">
        <f>IFERROR(INDEX(ChFormat,MATCH(E3622,ChName,0)),"")</f>
        <v/>
      </c>
      <c r="G3622" t="inlineStr">
        <is>
          <t>PE</t>
        </is>
      </c>
      <c r="H3622">
        <f>IF(A3622&lt;=NWeeks,1,0)</f>
        <v/>
      </c>
      <c r="I3622">
        <f>INDEX(ChLaunch,MATCH(E3622,ChName,0))</f>
        <v/>
      </c>
      <c r="J3622">
        <f>INDEX(ChWeeksFull,MATCH(E3622,ChName,0))</f>
        <v/>
      </c>
      <c r="K3622">
        <f>INDEX(ChRamp,MATCH(E3622,ChName,0))</f>
        <v/>
      </c>
      <c r="L3622" s="45">
        <f>MIN(1,MAX(0,(A3622-I3622+1)*RampSpeed/J3622))</f>
        <v/>
      </c>
      <c r="M3622" s="45">
        <f>IF(A3622&lt;I3622,0,IF(K3622="S-curve",L3622*L3622*(3-2*L3622),L3622))</f>
        <v/>
      </c>
      <c r="N3622" s="45">
        <f>1+(INDEX(SeasonIdx,A3622)-1)*SeasonAmp</f>
        <v/>
      </c>
      <c r="O3622" s="45">
        <f>IFERROR(INDEX(PSPct,MATCH(E3622&amp;"|"&amp;G3622,PSKey,0)),0)</f>
        <v/>
      </c>
      <c r="P3622" s="46" t="n">
        <v>0</v>
      </c>
      <c r="Q3622" s="46">
        <f>INDEX(OnlineUnitsCol,A3622)*O3622*(1+OnlineGrowth)*N3622*H3622*IF(A3622&gt;=I3622,1,0)</f>
        <v/>
      </c>
      <c r="R3622" s="46">
        <f>Q3622*INDEX(FmtCansPerPack,MATCH(F3622,FmtName,0))/INDEX(FmtCansPerCase,MATCH(F3622,FmtName,0))</f>
        <v/>
      </c>
      <c r="S3622" s="46">
        <f>R3622*INDEX(FmtCansPerCase,MATCH(F3622,FmtName,0))</f>
        <v/>
      </c>
      <c r="T3622" s="46">
        <f>S3622/INDEX(FmtCansPerPack,MATCH(F3622,FmtName,0))</f>
        <v/>
      </c>
      <c r="U3622" s="47">
        <f>INDEX(ProvOnline,MATCH(G3622,ProvCode,0))*(1+PriceIndex)</f>
        <v/>
      </c>
      <c r="V3622" s="47">
        <f>Q3622*U3622*INDEX(FmtBlendedPriceIdx,MATCH(F3622,FmtName,0))</f>
        <v/>
      </c>
      <c r="W3622" s="47">
        <f>V3622</f>
        <v/>
      </c>
      <c r="X3622" s="47">
        <f>IF(GrossBasis="Wholesale",V3622,W3622)</f>
        <v/>
      </c>
      <c r="Y3622" s="47">
        <f>R3622*INDEX(FmtBlendedCogs,MATCH(F3622,FmtName,0))</f>
        <v/>
      </c>
      <c r="Z3622" s="47">
        <f>X3622-Y3622</f>
        <v/>
      </c>
    </row>
    <row r="3623">
      <c r="A3623" t="n">
        <v>18</v>
      </c>
      <c r="B3623" s="44">
        <f>FiscalStart+(A3623-1)*7</f>
        <v/>
      </c>
      <c r="C3623">
        <f>TEXT(B3623,"mmm yyyy")</f>
        <v/>
      </c>
      <c r="D3623">
        <f>"Q"&amp;(INT((A3623-1)/13)+1)</f>
        <v/>
      </c>
      <c r="E3623" t="inlineStr">
        <is>
          <t>Online</t>
        </is>
      </c>
      <c r="F3623">
        <f>IFERROR(INDEX(ChFormat,MATCH(E3623,ChName,0)),"")</f>
        <v/>
      </c>
      <c r="G3623" t="inlineStr">
        <is>
          <t>PE</t>
        </is>
      </c>
      <c r="H3623">
        <f>IF(A3623&lt;=NWeeks,1,0)</f>
        <v/>
      </c>
      <c r="I3623">
        <f>INDEX(ChLaunch,MATCH(E3623,ChName,0))</f>
        <v/>
      </c>
      <c r="J3623">
        <f>INDEX(ChWeeksFull,MATCH(E3623,ChName,0))</f>
        <v/>
      </c>
      <c r="K3623">
        <f>INDEX(ChRamp,MATCH(E3623,ChName,0))</f>
        <v/>
      </c>
      <c r="L3623" s="45">
        <f>MIN(1,MAX(0,(A3623-I3623+1)*RampSpeed/J3623))</f>
        <v/>
      </c>
      <c r="M3623" s="45">
        <f>IF(A3623&lt;I3623,0,IF(K3623="S-curve",L3623*L3623*(3-2*L3623),L3623))</f>
        <v/>
      </c>
      <c r="N3623" s="45">
        <f>1+(INDEX(SeasonIdx,A3623)-1)*SeasonAmp</f>
        <v/>
      </c>
      <c r="O3623" s="45">
        <f>IFERROR(INDEX(PSPct,MATCH(E3623&amp;"|"&amp;G3623,PSKey,0)),0)</f>
        <v/>
      </c>
      <c r="P3623" s="46" t="n">
        <v>0</v>
      </c>
      <c r="Q3623" s="46">
        <f>INDEX(OnlineUnitsCol,A3623)*O3623*(1+OnlineGrowth)*N3623*H3623*IF(A3623&gt;=I3623,1,0)</f>
        <v/>
      </c>
      <c r="R3623" s="46">
        <f>Q3623*INDEX(FmtCansPerPack,MATCH(F3623,FmtName,0))/INDEX(FmtCansPerCase,MATCH(F3623,FmtName,0))</f>
        <v/>
      </c>
      <c r="S3623" s="46">
        <f>R3623*INDEX(FmtCansPerCase,MATCH(F3623,FmtName,0))</f>
        <v/>
      </c>
      <c r="T3623" s="46">
        <f>S3623/INDEX(FmtCansPerPack,MATCH(F3623,FmtName,0))</f>
        <v/>
      </c>
      <c r="U3623" s="47">
        <f>INDEX(ProvOnline,MATCH(G3623,ProvCode,0))*(1+PriceIndex)</f>
        <v/>
      </c>
      <c r="V3623" s="47">
        <f>Q3623*U3623*INDEX(FmtBlendedPriceIdx,MATCH(F3623,FmtName,0))</f>
        <v/>
      </c>
      <c r="W3623" s="47">
        <f>V3623</f>
        <v/>
      </c>
      <c r="X3623" s="47">
        <f>IF(GrossBasis="Wholesale",V3623,W3623)</f>
        <v/>
      </c>
      <c r="Y3623" s="47">
        <f>R3623*INDEX(FmtBlendedCogs,MATCH(F3623,FmtName,0))</f>
        <v/>
      </c>
      <c r="Z3623" s="47">
        <f>X3623-Y3623</f>
        <v/>
      </c>
    </row>
    <row r="3624">
      <c r="A3624" t="n">
        <v>19</v>
      </c>
      <c r="B3624" s="44">
        <f>FiscalStart+(A3624-1)*7</f>
        <v/>
      </c>
      <c r="C3624">
        <f>TEXT(B3624,"mmm yyyy")</f>
        <v/>
      </c>
      <c r="D3624">
        <f>"Q"&amp;(INT((A3624-1)/13)+1)</f>
        <v/>
      </c>
      <c r="E3624" t="inlineStr">
        <is>
          <t>Online</t>
        </is>
      </c>
      <c r="F3624">
        <f>IFERROR(INDEX(ChFormat,MATCH(E3624,ChName,0)),"")</f>
        <v/>
      </c>
      <c r="G3624" t="inlineStr">
        <is>
          <t>PE</t>
        </is>
      </c>
      <c r="H3624">
        <f>IF(A3624&lt;=NWeeks,1,0)</f>
        <v/>
      </c>
      <c r="I3624">
        <f>INDEX(ChLaunch,MATCH(E3624,ChName,0))</f>
        <v/>
      </c>
      <c r="J3624">
        <f>INDEX(ChWeeksFull,MATCH(E3624,ChName,0))</f>
        <v/>
      </c>
      <c r="K3624">
        <f>INDEX(ChRamp,MATCH(E3624,ChName,0))</f>
        <v/>
      </c>
      <c r="L3624" s="45">
        <f>MIN(1,MAX(0,(A3624-I3624+1)*RampSpeed/J3624))</f>
        <v/>
      </c>
      <c r="M3624" s="45">
        <f>IF(A3624&lt;I3624,0,IF(K3624="S-curve",L3624*L3624*(3-2*L3624),L3624))</f>
        <v/>
      </c>
      <c r="N3624" s="45">
        <f>1+(INDEX(SeasonIdx,A3624)-1)*SeasonAmp</f>
        <v/>
      </c>
      <c r="O3624" s="45">
        <f>IFERROR(INDEX(PSPct,MATCH(E3624&amp;"|"&amp;G3624,PSKey,0)),0)</f>
        <v/>
      </c>
      <c r="P3624" s="46" t="n">
        <v>0</v>
      </c>
      <c r="Q3624" s="46">
        <f>INDEX(OnlineUnitsCol,A3624)*O3624*(1+OnlineGrowth)*N3624*H3624*IF(A3624&gt;=I3624,1,0)</f>
        <v/>
      </c>
      <c r="R3624" s="46">
        <f>Q3624*INDEX(FmtCansPerPack,MATCH(F3624,FmtName,0))/INDEX(FmtCansPerCase,MATCH(F3624,FmtName,0))</f>
        <v/>
      </c>
      <c r="S3624" s="46">
        <f>R3624*INDEX(FmtCansPerCase,MATCH(F3624,FmtName,0))</f>
        <v/>
      </c>
      <c r="T3624" s="46">
        <f>S3624/INDEX(FmtCansPerPack,MATCH(F3624,FmtName,0))</f>
        <v/>
      </c>
      <c r="U3624" s="47">
        <f>INDEX(ProvOnline,MATCH(G3624,ProvCode,0))*(1+PriceIndex)</f>
        <v/>
      </c>
      <c r="V3624" s="47">
        <f>Q3624*U3624*INDEX(FmtBlendedPriceIdx,MATCH(F3624,FmtName,0))</f>
        <v/>
      </c>
      <c r="W3624" s="47">
        <f>V3624</f>
        <v/>
      </c>
      <c r="X3624" s="47">
        <f>IF(GrossBasis="Wholesale",V3624,W3624)</f>
        <v/>
      </c>
      <c r="Y3624" s="47">
        <f>R3624*INDEX(FmtBlendedCogs,MATCH(F3624,FmtName,0))</f>
        <v/>
      </c>
      <c r="Z3624" s="47">
        <f>X3624-Y3624</f>
        <v/>
      </c>
    </row>
    <row r="3625">
      <c r="A3625" t="n">
        <v>20</v>
      </c>
      <c r="B3625" s="44">
        <f>FiscalStart+(A3625-1)*7</f>
        <v/>
      </c>
      <c r="C3625">
        <f>TEXT(B3625,"mmm yyyy")</f>
        <v/>
      </c>
      <c r="D3625">
        <f>"Q"&amp;(INT((A3625-1)/13)+1)</f>
        <v/>
      </c>
      <c r="E3625" t="inlineStr">
        <is>
          <t>Online</t>
        </is>
      </c>
      <c r="F3625">
        <f>IFERROR(INDEX(ChFormat,MATCH(E3625,ChName,0)),"")</f>
        <v/>
      </c>
      <c r="G3625" t="inlineStr">
        <is>
          <t>PE</t>
        </is>
      </c>
      <c r="H3625">
        <f>IF(A3625&lt;=NWeeks,1,0)</f>
        <v/>
      </c>
      <c r="I3625">
        <f>INDEX(ChLaunch,MATCH(E3625,ChName,0))</f>
        <v/>
      </c>
      <c r="J3625">
        <f>INDEX(ChWeeksFull,MATCH(E3625,ChName,0))</f>
        <v/>
      </c>
      <c r="K3625">
        <f>INDEX(ChRamp,MATCH(E3625,ChName,0))</f>
        <v/>
      </c>
      <c r="L3625" s="45">
        <f>MIN(1,MAX(0,(A3625-I3625+1)*RampSpeed/J3625))</f>
        <v/>
      </c>
      <c r="M3625" s="45">
        <f>IF(A3625&lt;I3625,0,IF(K3625="S-curve",L3625*L3625*(3-2*L3625),L3625))</f>
        <v/>
      </c>
      <c r="N3625" s="45">
        <f>1+(INDEX(SeasonIdx,A3625)-1)*SeasonAmp</f>
        <v/>
      </c>
      <c r="O3625" s="45">
        <f>IFERROR(INDEX(PSPct,MATCH(E3625&amp;"|"&amp;G3625,PSKey,0)),0)</f>
        <v/>
      </c>
      <c r="P3625" s="46" t="n">
        <v>0</v>
      </c>
      <c r="Q3625" s="46">
        <f>INDEX(OnlineUnitsCol,A3625)*O3625*(1+OnlineGrowth)*N3625*H3625*IF(A3625&gt;=I3625,1,0)</f>
        <v/>
      </c>
      <c r="R3625" s="46">
        <f>Q3625*INDEX(FmtCansPerPack,MATCH(F3625,FmtName,0))/INDEX(FmtCansPerCase,MATCH(F3625,FmtName,0))</f>
        <v/>
      </c>
      <c r="S3625" s="46">
        <f>R3625*INDEX(FmtCansPerCase,MATCH(F3625,FmtName,0))</f>
        <v/>
      </c>
      <c r="T3625" s="46">
        <f>S3625/INDEX(FmtCansPerPack,MATCH(F3625,FmtName,0))</f>
        <v/>
      </c>
      <c r="U3625" s="47">
        <f>INDEX(ProvOnline,MATCH(G3625,ProvCode,0))*(1+PriceIndex)</f>
        <v/>
      </c>
      <c r="V3625" s="47">
        <f>Q3625*U3625*INDEX(FmtBlendedPriceIdx,MATCH(F3625,FmtName,0))</f>
        <v/>
      </c>
      <c r="W3625" s="47">
        <f>V3625</f>
        <v/>
      </c>
      <c r="X3625" s="47">
        <f>IF(GrossBasis="Wholesale",V3625,W3625)</f>
        <v/>
      </c>
      <c r="Y3625" s="47">
        <f>R3625*INDEX(FmtBlendedCogs,MATCH(F3625,FmtName,0))</f>
        <v/>
      </c>
      <c r="Z3625" s="47">
        <f>X3625-Y3625</f>
        <v/>
      </c>
    </row>
    <row r="3626">
      <c r="A3626" t="n">
        <v>21</v>
      </c>
      <c r="B3626" s="44">
        <f>FiscalStart+(A3626-1)*7</f>
        <v/>
      </c>
      <c r="C3626">
        <f>TEXT(B3626,"mmm yyyy")</f>
        <v/>
      </c>
      <c r="D3626">
        <f>"Q"&amp;(INT((A3626-1)/13)+1)</f>
        <v/>
      </c>
      <c r="E3626" t="inlineStr">
        <is>
          <t>Online</t>
        </is>
      </c>
      <c r="F3626">
        <f>IFERROR(INDEX(ChFormat,MATCH(E3626,ChName,0)),"")</f>
        <v/>
      </c>
      <c r="G3626" t="inlineStr">
        <is>
          <t>PE</t>
        </is>
      </c>
      <c r="H3626">
        <f>IF(A3626&lt;=NWeeks,1,0)</f>
        <v/>
      </c>
      <c r="I3626">
        <f>INDEX(ChLaunch,MATCH(E3626,ChName,0))</f>
        <v/>
      </c>
      <c r="J3626">
        <f>INDEX(ChWeeksFull,MATCH(E3626,ChName,0))</f>
        <v/>
      </c>
      <c r="K3626">
        <f>INDEX(ChRamp,MATCH(E3626,ChName,0))</f>
        <v/>
      </c>
      <c r="L3626" s="45">
        <f>MIN(1,MAX(0,(A3626-I3626+1)*RampSpeed/J3626))</f>
        <v/>
      </c>
      <c r="M3626" s="45">
        <f>IF(A3626&lt;I3626,0,IF(K3626="S-curve",L3626*L3626*(3-2*L3626),L3626))</f>
        <v/>
      </c>
      <c r="N3626" s="45">
        <f>1+(INDEX(SeasonIdx,A3626)-1)*SeasonAmp</f>
        <v/>
      </c>
      <c r="O3626" s="45">
        <f>IFERROR(INDEX(PSPct,MATCH(E3626&amp;"|"&amp;G3626,PSKey,0)),0)</f>
        <v/>
      </c>
      <c r="P3626" s="46" t="n">
        <v>0</v>
      </c>
      <c r="Q3626" s="46">
        <f>INDEX(OnlineUnitsCol,A3626)*O3626*(1+OnlineGrowth)*N3626*H3626*IF(A3626&gt;=I3626,1,0)</f>
        <v/>
      </c>
      <c r="R3626" s="46">
        <f>Q3626*INDEX(FmtCansPerPack,MATCH(F3626,FmtName,0))/INDEX(FmtCansPerCase,MATCH(F3626,FmtName,0))</f>
        <v/>
      </c>
      <c r="S3626" s="46">
        <f>R3626*INDEX(FmtCansPerCase,MATCH(F3626,FmtName,0))</f>
        <v/>
      </c>
      <c r="T3626" s="46">
        <f>S3626/INDEX(FmtCansPerPack,MATCH(F3626,FmtName,0))</f>
        <v/>
      </c>
      <c r="U3626" s="47">
        <f>INDEX(ProvOnline,MATCH(G3626,ProvCode,0))*(1+PriceIndex)</f>
        <v/>
      </c>
      <c r="V3626" s="47">
        <f>Q3626*U3626*INDEX(FmtBlendedPriceIdx,MATCH(F3626,FmtName,0))</f>
        <v/>
      </c>
      <c r="W3626" s="47">
        <f>V3626</f>
        <v/>
      </c>
      <c r="X3626" s="47">
        <f>IF(GrossBasis="Wholesale",V3626,W3626)</f>
        <v/>
      </c>
      <c r="Y3626" s="47">
        <f>R3626*INDEX(FmtBlendedCogs,MATCH(F3626,FmtName,0))</f>
        <v/>
      </c>
      <c r="Z3626" s="47">
        <f>X3626-Y3626</f>
        <v/>
      </c>
    </row>
    <row r="3627">
      <c r="A3627" t="n">
        <v>22</v>
      </c>
      <c r="B3627" s="44">
        <f>FiscalStart+(A3627-1)*7</f>
        <v/>
      </c>
      <c r="C3627">
        <f>TEXT(B3627,"mmm yyyy")</f>
        <v/>
      </c>
      <c r="D3627">
        <f>"Q"&amp;(INT((A3627-1)/13)+1)</f>
        <v/>
      </c>
      <c r="E3627" t="inlineStr">
        <is>
          <t>Online</t>
        </is>
      </c>
      <c r="F3627">
        <f>IFERROR(INDEX(ChFormat,MATCH(E3627,ChName,0)),"")</f>
        <v/>
      </c>
      <c r="G3627" t="inlineStr">
        <is>
          <t>PE</t>
        </is>
      </c>
      <c r="H3627">
        <f>IF(A3627&lt;=NWeeks,1,0)</f>
        <v/>
      </c>
      <c r="I3627">
        <f>INDEX(ChLaunch,MATCH(E3627,ChName,0))</f>
        <v/>
      </c>
      <c r="J3627">
        <f>INDEX(ChWeeksFull,MATCH(E3627,ChName,0))</f>
        <v/>
      </c>
      <c r="K3627">
        <f>INDEX(ChRamp,MATCH(E3627,ChName,0))</f>
        <v/>
      </c>
      <c r="L3627" s="45">
        <f>MIN(1,MAX(0,(A3627-I3627+1)*RampSpeed/J3627))</f>
        <v/>
      </c>
      <c r="M3627" s="45">
        <f>IF(A3627&lt;I3627,0,IF(K3627="S-curve",L3627*L3627*(3-2*L3627),L3627))</f>
        <v/>
      </c>
      <c r="N3627" s="45">
        <f>1+(INDEX(SeasonIdx,A3627)-1)*SeasonAmp</f>
        <v/>
      </c>
      <c r="O3627" s="45">
        <f>IFERROR(INDEX(PSPct,MATCH(E3627&amp;"|"&amp;G3627,PSKey,0)),0)</f>
        <v/>
      </c>
      <c r="P3627" s="46" t="n">
        <v>0</v>
      </c>
      <c r="Q3627" s="46">
        <f>INDEX(OnlineUnitsCol,A3627)*O3627*(1+OnlineGrowth)*N3627*H3627*IF(A3627&gt;=I3627,1,0)</f>
        <v/>
      </c>
      <c r="R3627" s="46">
        <f>Q3627*INDEX(FmtCansPerPack,MATCH(F3627,FmtName,0))/INDEX(FmtCansPerCase,MATCH(F3627,FmtName,0))</f>
        <v/>
      </c>
      <c r="S3627" s="46">
        <f>R3627*INDEX(FmtCansPerCase,MATCH(F3627,FmtName,0))</f>
        <v/>
      </c>
      <c r="T3627" s="46">
        <f>S3627/INDEX(FmtCansPerPack,MATCH(F3627,FmtName,0))</f>
        <v/>
      </c>
      <c r="U3627" s="47">
        <f>INDEX(ProvOnline,MATCH(G3627,ProvCode,0))*(1+PriceIndex)</f>
        <v/>
      </c>
      <c r="V3627" s="47">
        <f>Q3627*U3627*INDEX(FmtBlendedPriceIdx,MATCH(F3627,FmtName,0))</f>
        <v/>
      </c>
      <c r="W3627" s="47">
        <f>V3627</f>
        <v/>
      </c>
      <c r="X3627" s="47">
        <f>IF(GrossBasis="Wholesale",V3627,W3627)</f>
        <v/>
      </c>
      <c r="Y3627" s="47">
        <f>R3627*INDEX(FmtBlendedCogs,MATCH(F3627,FmtName,0))</f>
        <v/>
      </c>
      <c r="Z3627" s="47">
        <f>X3627-Y3627</f>
        <v/>
      </c>
    </row>
    <row r="3628">
      <c r="A3628" t="n">
        <v>23</v>
      </c>
      <c r="B3628" s="44">
        <f>FiscalStart+(A3628-1)*7</f>
        <v/>
      </c>
      <c r="C3628">
        <f>TEXT(B3628,"mmm yyyy")</f>
        <v/>
      </c>
      <c r="D3628">
        <f>"Q"&amp;(INT((A3628-1)/13)+1)</f>
        <v/>
      </c>
      <c r="E3628" t="inlineStr">
        <is>
          <t>Online</t>
        </is>
      </c>
      <c r="F3628">
        <f>IFERROR(INDEX(ChFormat,MATCH(E3628,ChName,0)),"")</f>
        <v/>
      </c>
      <c r="G3628" t="inlineStr">
        <is>
          <t>PE</t>
        </is>
      </c>
      <c r="H3628">
        <f>IF(A3628&lt;=NWeeks,1,0)</f>
        <v/>
      </c>
      <c r="I3628">
        <f>INDEX(ChLaunch,MATCH(E3628,ChName,0))</f>
        <v/>
      </c>
      <c r="J3628">
        <f>INDEX(ChWeeksFull,MATCH(E3628,ChName,0))</f>
        <v/>
      </c>
      <c r="K3628">
        <f>INDEX(ChRamp,MATCH(E3628,ChName,0))</f>
        <v/>
      </c>
      <c r="L3628" s="45">
        <f>MIN(1,MAX(0,(A3628-I3628+1)*RampSpeed/J3628))</f>
        <v/>
      </c>
      <c r="M3628" s="45">
        <f>IF(A3628&lt;I3628,0,IF(K3628="S-curve",L3628*L3628*(3-2*L3628),L3628))</f>
        <v/>
      </c>
      <c r="N3628" s="45">
        <f>1+(INDEX(SeasonIdx,A3628)-1)*SeasonAmp</f>
        <v/>
      </c>
      <c r="O3628" s="45">
        <f>IFERROR(INDEX(PSPct,MATCH(E3628&amp;"|"&amp;G3628,PSKey,0)),0)</f>
        <v/>
      </c>
      <c r="P3628" s="46" t="n">
        <v>0</v>
      </c>
      <c r="Q3628" s="46">
        <f>INDEX(OnlineUnitsCol,A3628)*O3628*(1+OnlineGrowth)*N3628*H3628*IF(A3628&gt;=I3628,1,0)</f>
        <v/>
      </c>
      <c r="R3628" s="46">
        <f>Q3628*INDEX(FmtCansPerPack,MATCH(F3628,FmtName,0))/INDEX(FmtCansPerCase,MATCH(F3628,FmtName,0))</f>
        <v/>
      </c>
      <c r="S3628" s="46">
        <f>R3628*INDEX(FmtCansPerCase,MATCH(F3628,FmtName,0))</f>
        <v/>
      </c>
      <c r="T3628" s="46">
        <f>S3628/INDEX(FmtCansPerPack,MATCH(F3628,FmtName,0))</f>
        <v/>
      </c>
      <c r="U3628" s="47">
        <f>INDEX(ProvOnline,MATCH(G3628,ProvCode,0))*(1+PriceIndex)</f>
        <v/>
      </c>
      <c r="V3628" s="47">
        <f>Q3628*U3628*INDEX(FmtBlendedPriceIdx,MATCH(F3628,FmtName,0))</f>
        <v/>
      </c>
      <c r="W3628" s="47">
        <f>V3628</f>
        <v/>
      </c>
      <c r="X3628" s="47">
        <f>IF(GrossBasis="Wholesale",V3628,W3628)</f>
        <v/>
      </c>
      <c r="Y3628" s="47">
        <f>R3628*INDEX(FmtBlendedCogs,MATCH(F3628,FmtName,0))</f>
        <v/>
      </c>
      <c r="Z3628" s="47">
        <f>X3628-Y3628</f>
        <v/>
      </c>
    </row>
    <row r="3629">
      <c r="A3629" t="n">
        <v>24</v>
      </c>
      <c r="B3629" s="44">
        <f>FiscalStart+(A3629-1)*7</f>
        <v/>
      </c>
      <c r="C3629">
        <f>TEXT(B3629,"mmm yyyy")</f>
        <v/>
      </c>
      <c r="D3629">
        <f>"Q"&amp;(INT((A3629-1)/13)+1)</f>
        <v/>
      </c>
      <c r="E3629" t="inlineStr">
        <is>
          <t>Online</t>
        </is>
      </c>
      <c r="F3629">
        <f>IFERROR(INDEX(ChFormat,MATCH(E3629,ChName,0)),"")</f>
        <v/>
      </c>
      <c r="G3629" t="inlineStr">
        <is>
          <t>PE</t>
        </is>
      </c>
      <c r="H3629">
        <f>IF(A3629&lt;=NWeeks,1,0)</f>
        <v/>
      </c>
      <c r="I3629">
        <f>INDEX(ChLaunch,MATCH(E3629,ChName,0))</f>
        <v/>
      </c>
      <c r="J3629">
        <f>INDEX(ChWeeksFull,MATCH(E3629,ChName,0))</f>
        <v/>
      </c>
      <c r="K3629">
        <f>INDEX(ChRamp,MATCH(E3629,ChName,0))</f>
        <v/>
      </c>
      <c r="L3629" s="45">
        <f>MIN(1,MAX(0,(A3629-I3629+1)*RampSpeed/J3629))</f>
        <v/>
      </c>
      <c r="M3629" s="45">
        <f>IF(A3629&lt;I3629,0,IF(K3629="S-curve",L3629*L3629*(3-2*L3629),L3629))</f>
        <v/>
      </c>
      <c r="N3629" s="45">
        <f>1+(INDEX(SeasonIdx,A3629)-1)*SeasonAmp</f>
        <v/>
      </c>
      <c r="O3629" s="45">
        <f>IFERROR(INDEX(PSPct,MATCH(E3629&amp;"|"&amp;G3629,PSKey,0)),0)</f>
        <v/>
      </c>
      <c r="P3629" s="46" t="n">
        <v>0</v>
      </c>
      <c r="Q3629" s="46">
        <f>INDEX(OnlineUnitsCol,A3629)*O3629*(1+OnlineGrowth)*N3629*H3629*IF(A3629&gt;=I3629,1,0)</f>
        <v/>
      </c>
      <c r="R3629" s="46">
        <f>Q3629*INDEX(FmtCansPerPack,MATCH(F3629,FmtName,0))/INDEX(FmtCansPerCase,MATCH(F3629,FmtName,0))</f>
        <v/>
      </c>
      <c r="S3629" s="46">
        <f>R3629*INDEX(FmtCansPerCase,MATCH(F3629,FmtName,0))</f>
        <v/>
      </c>
      <c r="T3629" s="46">
        <f>S3629/INDEX(FmtCansPerPack,MATCH(F3629,FmtName,0))</f>
        <v/>
      </c>
      <c r="U3629" s="47">
        <f>INDEX(ProvOnline,MATCH(G3629,ProvCode,0))*(1+PriceIndex)</f>
        <v/>
      </c>
      <c r="V3629" s="47">
        <f>Q3629*U3629*INDEX(FmtBlendedPriceIdx,MATCH(F3629,FmtName,0))</f>
        <v/>
      </c>
      <c r="W3629" s="47">
        <f>V3629</f>
        <v/>
      </c>
      <c r="X3629" s="47">
        <f>IF(GrossBasis="Wholesale",V3629,W3629)</f>
        <v/>
      </c>
      <c r="Y3629" s="47">
        <f>R3629*INDEX(FmtBlendedCogs,MATCH(F3629,FmtName,0))</f>
        <v/>
      </c>
      <c r="Z3629" s="47">
        <f>X3629-Y3629</f>
        <v/>
      </c>
    </row>
    <row r="3630">
      <c r="A3630" t="n">
        <v>25</v>
      </c>
      <c r="B3630" s="44">
        <f>FiscalStart+(A3630-1)*7</f>
        <v/>
      </c>
      <c r="C3630">
        <f>TEXT(B3630,"mmm yyyy")</f>
        <v/>
      </c>
      <c r="D3630">
        <f>"Q"&amp;(INT((A3630-1)/13)+1)</f>
        <v/>
      </c>
      <c r="E3630" t="inlineStr">
        <is>
          <t>Online</t>
        </is>
      </c>
      <c r="F3630">
        <f>IFERROR(INDEX(ChFormat,MATCH(E3630,ChName,0)),"")</f>
        <v/>
      </c>
      <c r="G3630" t="inlineStr">
        <is>
          <t>PE</t>
        </is>
      </c>
      <c r="H3630">
        <f>IF(A3630&lt;=NWeeks,1,0)</f>
        <v/>
      </c>
      <c r="I3630">
        <f>INDEX(ChLaunch,MATCH(E3630,ChName,0))</f>
        <v/>
      </c>
      <c r="J3630">
        <f>INDEX(ChWeeksFull,MATCH(E3630,ChName,0))</f>
        <v/>
      </c>
      <c r="K3630">
        <f>INDEX(ChRamp,MATCH(E3630,ChName,0))</f>
        <v/>
      </c>
      <c r="L3630" s="45">
        <f>MIN(1,MAX(0,(A3630-I3630+1)*RampSpeed/J3630))</f>
        <v/>
      </c>
      <c r="M3630" s="45">
        <f>IF(A3630&lt;I3630,0,IF(K3630="S-curve",L3630*L3630*(3-2*L3630),L3630))</f>
        <v/>
      </c>
      <c r="N3630" s="45">
        <f>1+(INDEX(SeasonIdx,A3630)-1)*SeasonAmp</f>
        <v/>
      </c>
      <c r="O3630" s="45">
        <f>IFERROR(INDEX(PSPct,MATCH(E3630&amp;"|"&amp;G3630,PSKey,0)),0)</f>
        <v/>
      </c>
      <c r="P3630" s="46" t="n">
        <v>0</v>
      </c>
      <c r="Q3630" s="46">
        <f>INDEX(OnlineUnitsCol,A3630)*O3630*(1+OnlineGrowth)*N3630*H3630*IF(A3630&gt;=I3630,1,0)</f>
        <v/>
      </c>
      <c r="R3630" s="46">
        <f>Q3630*INDEX(FmtCansPerPack,MATCH(F3630,FmtName,0))/INDEX(FmtCansPerCase,MATCH(F3630,FmtName,0))</f>
        <v/>
      </c>
      <c r="S3630" s="46">
        <f>R3630*INDEX(FmtCansPerCase,MATCH(F3630,FmtName,0))</f>
        <v/>
      </c>
      <c r="T3630" s="46">
        <f>S3630/INDEX(FmtCansPerPack,MATCH(F3630,FmtName,0))</f>
        <v/>
      </c>
      <c r="U3630" s="47">
        <f>INDEX(ProvOnline,MATCH(G3630,ProvCode,0))*(1+PriceIndex)</f>
        <v/>
      </c>
      <c r="V3630" s="47">
        <f>Q3630*U3630*INDEX(FmtBlendedPriceIdx,MATCH(F3630,FmtName,0))</f>
        <v/>
      </c>
      <c r="W3630" s="47">
        <f>V3630</f>
        <v/>
      </c>
      <c r="X3630" s="47">
        <f>IF(GrossBasis="Wholesale",V3630,W3630)</f>
        <v/>
      </c>
      <c r="Y3630" s="47">
        <f>R3630*INDEX(FmtBlendedCogs,MATCH(F3630,FmtName,0))</f>
        <v/>
      </c>
      <c r="Z3630" s="47">
        <f>X3630-Y3630</f>
        <v/>
      </c>
    </row>
    <row r="3631">
      <c r="A3631" t="n">
        <v>26</v>
      </c>
      <c r="B3631" s="44">
        <f>FiscalStart+(A3631-1)*7</f>
        <v/>
      </c>
      <c r="C3631">
        <f>TEXT(B3631,"mmm yyyy")</f>
        <v/>
      </c>
      <c r="D3631">
        <f>"Q"&amp;(INT((A3631-1)/13)+1)</f>
        <v/>
      </c>
      <c r="E3631" t="inlineStr">
        <is>
          <t>Online</t>
        </is>
      </c>
      <c r="F3631">
        <f>IFERROR(INDEX(ChFormat,MATCH(E3631,ChName,0)),"")</f>
        <v/>
      </c>
      <c r="G3631" t="inlineStr">
        <is>
          <t>PE</t>
        </is>
      </c>
      <c r="H3631">
        <f>IF(A3631&lt;=NWeeks,1,0)</f>
        <v/>
      </c>
      <c r="I3631">
        <f>INDEX(ChLaunch,MATCH(E3631,ChName,0))</f>
        <v/>
      </c>
      <c r="J3631">
        <f>INDEX(ChWeeksFull,MATCH(E3631,ChName,0))</f>
        <v/>
      </c>
      <c r="K3631">
        <f>INDEX(ChRamp,MATCH(E3631,ChName,0))</f>
        <v/>
      </c>
      <c r="L3631" s="45">
        <f>MIN(1,MAX(0,(A3631-I3631+1)*RampSpeed/J3631))</f>
        <v/>
      </c>
      <c r="M3631" s="45">
        <f>IF(A3631&lt;I3631,0,IF(K3631="S-curve",L3631*L3631*(3-2*L3631),L3631))</f>
        <v/>
      </c>
      <c r="N3631" s="45">
        <f>1+(INDEX(SeasonIdx,A3631)-1)*SeasonAmp</f>
        <v/>
      </c>
      <c r="O3631" s="45">
        <f>IFERROR(INDEX(PSPct,MATCH(E3631&amp;"|"&amp;G3631,PSKey,0)),0)</f>
        <v/>
      </c>
      <c r="P3631" s="46" t="n">
        <v>0</v>
      </c>
      <c r="Q3631" s="46">
        <f>INDEX(OnlineUnitsCol,A3631)*O3631*(1+OnlineGrowth)*N3631*H3631*IF(A3631&gt;=I3631,1,0)</f>
        <v/>
      </c>
      <c r="R3631" s="46">
        <f>Q3631*INDEX(FmtCansPerPack,MATCH(F3631,FmtName,0))/INDEX(FmtCansPerCase,MATCH(F3631,FmtName,0))</f>
        <v/>
      </c>
      <c r="S3631" s="46">
        <f>R3631*INDEX(FmtCansPerCase,MATCH(F3631,FmtName,0))</f>
        <v/>
      </c>
      <c r="T3631" s="46">
        <f>S3631/INDEX(FmtCansPerPack,MATCH(F3631,FmtName,0))</f>
        <v/>
      </c>
      <c r="U3631" s="47">
        <f>INDEX(ProvOnline,MATCH(G3631,ProvCode,0))*(1+PriceIndex)</f>
        <v/>
      </c>
      <c r="V3631" s="47">
        <f>Q3631*U3631*INDEX(FmtBlendedPriceIdx,MATCH(F3631,FmtName,0))</f>
        <v/>
      </c>
      <c r="W3631" s="47">
        <f>V3631</f>
        <v/>
      </c>
      <c r="X3631" s="47">
        <f>IF(GrossBasis="Wholesale",V3631,W3631)</f>
        <v/>
      </c>
      <c r="Y3631" s="47">
        <f>R3631*INDEX(FmtBlendedCogs,MATCH(F3631,FmtName,0))</f>
        <v/>
      </c>
      <c r="Z3631" s="47">
        <f>X3631-Y3631</f>
        <v/>
      </c>
    </row>
    <row r="3632">
      <c r="A3632" t="n">
        <v>27</v>
      </c>
      <c r="B3632" s="44">
        <f>FiscalStart+(A3632-1)*7</f>
        <v/>
      </c>
      <c r="C3632">
        <f>TEXT(B3632,"mmm yyyy")</f>
        <v/>
      </c>
      <c r="D3632">
        <f>"Q"&amp;(INT((A3632-1)/13)+1)</f>
        <v/>
      </c>
      <c r="E3632" t="inlineStr">
        <is>
          <t>Online</t>
        </is>
      </c>
      <c r="F3632">
        <f>IFERROR(INDEX(ChFormat,MATCH(E3632,ChName,0)),"")</f>
        <v/>
      </c>
      <c r="G3632" t="inlineStr">
        <is>
          <t>PE</t>
        </is>
      </c>
      <c r="H3632">
        <f>IF(A3632&lt;=NWeeks,1,0)</f>
        <v/>
      </c>
      <c r="I3632">
        <f>INDEX(ChLaunch,MATCH(E3632,ChName,0))</f>
        <v/>
      </c>
      <c r="J3632">
        <f>INDEX(ChWeeksFull,MATCH(E3632,ChName,0))</f>
        <v/>
      </c>
      <c r="K3632">
        <f>INDEX(ChRamp,MATCH(E3632,ChName,0))</f>
        <v/>
      </c>
      <c r="L3632" s="45">
        <f>MIN(1,MAX(0,(A3632-I3632+1)*RampSpeed/J3632))</f>
        <v/>
      </c>
      <c r="M3632" s="45">
        <f>IF(A3632&lt;I3632,0,IF(K3632="S-curve",L3632*L3632*(3-2*L3632),L3632))</f>
        <v/>
      </c>
      <c r="N3632" s="45">
        <f>1+(INDEX(SeasonIdx,A3632)-1)*SeasonAmp</f>
        <v/>
      </c>
      <c r="O3632" s="45">
        <f>IFERROR(INDEX(PSPct,MATCH(E3632&amp;"|"&amp;G3632,PSKey,0)),0)</f>
        <v/>
      </c>
      <c r="P3632" s="46" t="n">
        <v>0</v>
      </c>
      <c r="Q3632" s="46">
        <f>INDEX(OnlineUnitsCol,A3632)*O3632*(1+OnlineGrowth)*N3632*H3632*IF(A3632&gt;=I3632,1,0)</f>
        <v/>
      </c>
      <c r="R3632" s="46">
        <f>Q3632*INDEX(FmtCansPerPack,MATCH(F3632,FmtName,0))/INDEX(FmtCansPerCase,MATCH(F3632,FmtName,0))</f>
        <v/>
      </c>
      <c r="S3632" s="46">
        <f>R3632*INDEX(FmtCansPerCase,MATCH(F3632,FmtName,0))</f>
        <v/>
      </c>
      <c r="T3632" s="46">
        <f>S3632/INDEX(FmtCansPerPack,MATCH(F3632,FmtName,0))</f>
        <v/>
      </c>
      <c r="U3632" s="47">
        <f>INDEX(ProvOnline,MATCH(G3632,ProvCode,0))*(1+PriceIndex)</f>
        <v/>
      </c>
      <c r="V3632" s="47">
        <f>Q3632*U3632*INDEX(FmtBlendedPriceIdx,MATCH(F3632,FmtName,0))</f>
        <v/>
      </c>
      <c r="W3632" s="47">
        <f>V3632</f>
        <v/>
      </c>
      <c r="X3632" s="47">
        <f>IF(GrossBasis="Wholesale",V3632,W3632)</f>
        <v/>
      </c>
      <c r="Y3632" s="47">
        <f>R3632*INDEX(FmtBlendedCogs,MATCH(F3632,FmtName,0))</f>
        <v/>
      </c>
      <c r="Z3632" s="47">
        <f>X3632-Y3632</f>
        <v/>
      </c>
    </row>
    <row r="3633">
      <c r="A3633" t="n">
        <v>28</v>
      </c>
      <c r="B3633" s="44">
        <f>FiscalStart+(A3633-1)*7</f>
        <v/>
      </c>
      <c r="C3633">
        <f>TEXT(B3633,"mmm yyyy")</f>
        <v/>
      </c>
      <c r="D3633">
        <f>"Q"&amp;(INT((A3633-1)/13)+1)</f>
        <v/>
      </c>
      <c r="E3633" t="inlineStr">
        <is>
          <t>Online</t>
        </is>
      </c>
      <c r="F3633">
        <f>IFERROR(INDEX(ChFormat,MATCH(E3633,ChName,0)),"")</f>
        <v/>
      </c>
      <c r="G3633" t="inlineStr">
        <is>
          <t>PE</t>
        </is>
      </c>
      <c r="H3633">
        <f>IF(A3633&lt;=NWeeks,1,0)</f>
        <v/>
      </c>
      <c r="I3633">
        <f>INDEX(ChLaunch,MATCH(E3633,ChName,0))</f>
        <v/>
      </c>
      <c r="J3633">
        <f>INDEX(ChWeeksFull,MATCH(E3633,ChName,0))</f>
        <v/>
      </c>
      <c r="K3633">
        <f>INDEX(ChRamp,MATCH(E3633,ChName,0))</f>
        <v/>
      </c>
      <c r="L3633" s="45">
        <f>MIN(1,MAX(0,(A3633-I3633+1)*RampSpeed/J3633))</f>
        <v/>
      </c>
      <c r="M3633" s="45">
        <f>IF(A3633&lt;I3633,0,IF(K3633="S-curve",L3633*L3633*(3-2*L3633),L3633))</f>
        <v/>
      </c>
      <c r="N3633" s="45">
        <f>1+(INDEX(SeasonIdx,A3633)-1)*SeasonAmp</f>
        <v/>
      </c>
      <c r="O3633" s="45">
        <f>IFERROR(INDEX(PSPct,MATCH(E3633&amp;"|"&amp;G3633,PSKey,0)),0)</f>
        <v/>
      </c>
      <c r="P3633" s="46" t="n">
        <v>0</v>
      </c>
      <c r="Q3633" s="46">
        <f>INDEX(OnlineUnitsCol,A3633)*O3633*(1+OnlineGrowth)*N3633*H3633*IF(A3633&gt;=I3633,1,0)</f>
        <v/>
      </c>
      <c r="R3633" s="46">
        <f>Q3633*INDEX(FmtCansPerPack,MATCH(F3633,FmtName,0))/INDEX(FmtCansPerCase,MATCH(F3633,FmtName,0))</f>
        <v/>
      </c>
      <c r="S3633" s="46">
        <f>R3633*INDEX(FmtCansPerCase,MATCH(F3633,FmtName,0))</f>
        <v/>
      </c>
      <c r="T3633" s="46">
        <f>S3633/INDEX(FmtCansPerPack,MATCH(F3633,FmtName,0))</f>
        <v/>
      </c>
      <c r="U3633" s="47">
        <f>INDEX(ProvOnline,MATCH(G3633,ProvCode,0))*(1+PriceIndex)</f>
        <v/>
      </c>
      <c r="V3633" s="47">
        <f>Q3633*U3633*INDEX(FmtBlendedPriceIdx,MATCH(F3633,FmtName,0))</f>
        <v/>
      </c>
      <c r="W3633" s="47">
        <f>V3633</f>
        <v/>
      </c>
      <c r="X3633" s="47">
        <f>IF(GrossBasis="Wholesale",V3633,W3633)</f>
        <v/>
      </c>
      <c r="Y3633" s="47">
        <f>R3633*INDEX(FmtBlendedCogs,MATCH(F3633,FmtName,0))</f>
        <v/>
      </c>
      <c r="Z3633" s="47">
        <f>X3633-Y3633</f>
        <v/>
      </c>
    </row>
    <row r="3634">
      <c r="A3634" t="n">
        <v>29</v>
      </c>
      <c r="B3634" s="44">
        <f>FiscalStart+(A3634-1)*7</f>
        <v/>
      </c>
      <c r="C3634">
        <f>TEXT(B3634,"mmm yyyy")</f>
        <v/>
      </c>
      <c r="D3634">
        <f>"Q"&amp;(INT((A3634-1)/13)+1)</f>
        <v/>
      </c>
      <c r="E3634" t="inlineStr">
        <is>
          <t>Online</t>
        </is>
      </c>
      <c r="F3634">
        <f>IFERROR(INDEX(ChFormat,MATCH(E3634,ChName,0)),"")</f>
        <v/>
      </c>
      <c r="G3634" t="inlineStr">
        <is>
          <t>PE</t>
        </is>
      </c>
      <c r="H3634">
        <f>IF(A3634&lt;=NWeeks,1,0)</f>
        <v/>
      </c>
      <c r="I3634">
        <f>INDEX(ChLaunch,MATCH(E3634,ChName,0))</f>
        <v/>
      </c>
      <c r="J3634">
        <f>INDEX(ChWeeksFull,MATCH(E3634,ChName,0))</f>
        <v/>
      </c>
      <c r="K3634">
        <f>INDEX(ChRamp,MATCH(E3634,ChName,0))</f>
        <v/>
      </c>
      <c r="L3634" s="45">
        <f>MIN(1,MAX(0,(A3634-I3634+1)*RampSpeed/J3634))</f>
        <v/>
      </c>
      <c r="M3634" s="45">
        <f>IF(A3634&lt;I3634,0,IF(K3634="S-curve",L3634*L3634*(3-2*L3634),L3634))</f>
        <v/>
      </c>
      <c r="N3634" s="45">
        <f>1+(INDEX(SeasonIdx,A3634)-1)*SeasonAmp</f>
        <v/>
      </c>
      <c r="O3634" s="45">
        <f>IFERROR(INDEX(PSPct,MATCH(E3634&amp;"|"&amp;G3634,PSKey,0)),0)</f>
        <v/>
      </c>
      <c r="P3634" s="46" t="n">
        <v>0</v>
      </c>
      <c r="Q3634" s="46">
        <f>INDEX(OnlineUnitsCol,A3634)*O3634*(1+OnlineGrowth)*N3634*H3634*IF(A3634&gt;=I3634,1,0)</f>
        <v/>
      </c>
      <c r="R3634" s="46">
        <f>Q3634*INDEX(FmtCansPerPack,MATCH(F3634,FmtName,0))/INDEX(FmtCansPerCase,MATCH(F3634,FmtName,0))</f>
        <v/>
      </c>
      <c r="S3634" s="46">
        <f>R3634*INDEX(FmtCansPerCase,MATCH(F3634,FmtName,0))</f>
        <v/>
      </c>
      <c r="T3634" s="46">
        <f>S3634/INDEX(FmtCansPerPack,MATCH(F3634,FmtName,0))</f>
        <v/>
      </c>
      <c r="U3634" s="47">
        <f>INDEX(ProvOnline,MATCH(G3634,ProvCode,0))*(1+PriceIndex)</f>
        <v/>
      </c>
      <c r="V3634" s="47">
        <f>Q3634*U3634*INDEX(FmtBlendedPriceIdx,MATCH(F3634,FmtName,0))</f>
        <v/>
      </c>
      <c r="W3634" s="47">
        <f>V3634</f>
        <v/>
      </c>
      <c r="X3634" s="47">
        <f>IF(GrossBasis="Wholesale",V3634,W3634)</f>
        <v/>
      </c>
      <c r="Y3634" s="47">
        <f>R3634*INDEX(FmtBlendedCogs,MATCH(F3634,FmtName,0))</f>
        <v/>
      </c>
      <c r="Z3634" s="47">
        <f>X3634-Y3634</f>
        <v/>
      </c>
    </row>
    <row r="3635">
      <c r="A3635" t="n">
        <v>30</v>
      </c>
      <c r="B3635" s="44">
        <f>FiscalStart+(A3635-1)*7</f>
        <v/>
      </c>
      <c r="C3635">
        <f>TEXT(B3635,"mmm yyyy")</f>
        <v/>
      </c>
      <c r="D3635">
        <f>"Q"&amp;(INT((A3635-1)/13)+1)</f>
        <v/>
      </c>
      <c r="E3635" t="inlineStr">
        <is>
          <t>Online</t>
        </is>
      </c>
      <c r="F3635">
        <f>IFERROR(INDEX(ChFormat,MATCH(E3635,ChName,0)),"")</f>
        <v/>
      </c>
      <c r="G3635" t="inlineStr">
        <is>
          <t>PE</t>
        </is>
      </c>
      <c r="H3635">
        <f>IF(A3635&lt;=NWeeks,1,0)</f>
        <v/>
      </c>
      <c r="I3635">
        <f>INDEX(ChLaunch,MATCH(E3635,ChName,0))</f>
        <v/>
      </c>
      <c r="J3635">
        <f>INDEX(ChWeeksFull,MATCH(E3635,ChName,0))</f>
        <v/>
      </c>
      <c r="K3635">
        <f>INDEX(ChRamp,MATCH(E3635,ChName,0))</f>
        <v/>
      </c>
      <c r="L3635" s="45">
        <f>MIN(1,MAX(0,(A3635-I3635+1)*RampSpeed/J3635))</f>
        <v/>
      </c>
      <c r="M3635" s="45">
        <f>IF(A3635&lt;I3635,0,IF(K3635="S-curve",L3635*L3635*(3-2*L3635),L3635))</f>
        <v/>
      </c>
      <c r="N3635" s="45">
        <f>1+(INDEX(SeasonIdx,A3635)-1)*SeasonAmp</f>
        <v/>
      </c>
      <c r="O3635" s="45">
        <f>IFERROR(INDEX(PSPct,MATCH(E3635&amp;"|"&amp;G3635,PSKey,0)),0)</f>
        <v/>
      </c>
      <c r="P3635" s="46" t="n">
        <v>0</v>
      </c>
      <c r="Q3635" s="46">
        <f>INDEX(OnlineUnitsCol,A3635)*O3635*(1+OnlineGrowth)*N3635*H3635*IF(A3635&gt;=I3635,1,0)</f>
        <v/>
      </c>
      <c r="R3635" s="46">
        <f>Q3635*INDEX(FmtCansPerPack,MATCH(F3635,FmtName,0))/INDEX(FmtCansPerCase,MATCH(F3635,FmtName,0))</f>
        <v/>
      </c>
      <c r="S3635" s="46">
        <f>R3635*INDEX(FmtCansPerCase,MATCH(F3635,FmtName,0))</f>
        <v/>
      </c>
      <c r="T3635" s="46">
        <f>S3635/INDEX(FmtCansPerPack,MATCH(F3635,FmtName,0))</f>
        <v/>
      </c>
      <c r="U3635" s="47">
        <f>INDEX(ProvOnline,MATCH(G3635,ProvCode,0))*(1+PriceIndex)</f>
        <v/>
      </c>
      <c r="V3635" s="47">
        <f>Q3635*U3635*INDEX(FmtBlendedPriceIdx,MATCH(F3635,FmtName,0))</f>
        <v/>
      </c>
      <c r="W3635" s="47">
        <f>V3635</f>
        <v/>
      </c>
      <c r="X3635" s="47">
        <f>IF(GrossBasis="Wholesale",V3635,W3635)</f>
        <v/>
      </c>
      <c r="Y3635" s="47">
        <f>R3635*INDEX(FmtBlendedCogs,MATCH(F3635,FmtName,0))</f>
        <v/>
      </c>
      <c r="Z3635" s="47">
        <f>X3635-Y3635</f>
        <v/>
      </c>
    </row>
    <row r="3636">
      <c r="A3636" t="n">
        <v>31</v>
      </c>
      <c r="B3636" s="44">
        <f>FiscalStart+(A3636-1)*7</f>
        <v/>
      </c>
      <c r="C3636">
        <f>TEXT(B3636,"mmm yyyy")</f>
        <v/>
      </c>
      <c r="D3636">
        <f>"Q"&amp;(INT((A3636-1)/13)+1)</f>
        <v/>
      </c>
      <c r="E3636" t="inlineStr">
        <is>
          <t>Online</t>
        </is>
      </c>
      <c r="F3636">
        <f>IFERROR(INDEX(ChFormat,MATCH(E3636,ChName,0)),"")</f>
        <v/>
      </c>
      <c r="G3636" t="inlineStr">
        <is>
          <t>PE</t>
        </is>
      </c>
      <c r="H3636">
        <f>IF(A3636&lt;=NWeeks,1,0)</f>
        <v/>
      </c>
      <c r="I3636">
        <f>INDEX(ChLaunch,MATCH(E3636,ChName,0))</f>
        <v/>
      </c>
      <c r="J3636">
        <f>INDEX(ChWeeksFull,MATCH(E3636,ChName,0))</f>
        <v/>
      </c>
      <c r="K3636">
        <f>INDEX(ChRamp,MATCH(E3636,ChName,0))</f>
        <v/>
      </c>
      <c r="L3636" s="45">
        <f>MIN(1,MAX(0,(A3636-I3636+1)*RampSpeed/J3636))</f>
        <v/>
      </c>
      <c r="M3636" s="45">
        <f>IF(A3636&lt;I3636,0,IF(K3636="S-curve",L3636*L3636*(3-2*L3636),L3636))</f>
        <v/>
      </c>
      <c r="N3636" s="45">
        <f>1+(INDEX(SeasonIdx,A3636)-1)*SeasonAmp</f>
        <v/>
      </c>
      <c r="O3636" s="45">
        <f>IFERROR(INDEX(PSPct,MATCH(E3636&amp;"|"&amp;G3636,PSKey,0)),0)</f>
        <v/>
      </c>
      <c r="P3636" s="46" t="n">
        <v>0</v>
      </c>
      <c r="Q3636" s="46">
        <f>INDEX(OnlineUnitsCol,A3636)*O3636*(1+OnlineGrowth)*N3636*H3636*IF(A3636&gt;=I3636,1,0)</f>
        <v/>
      </c>
      <c r="R3636" s="46">
        <f>Q3636*INDEX(FmtCansPerPack,MATCH(F3636,FmtName,0))/INDEX(FmtCansPerCase,MATCH(F3636,FmtName,0))</f>
        <v/>
      </c>
      <c r="S3636" s="46">
        <f>R3636*INDEX(FmtCansPerCase,MATCH(F3636,FmtName,0))</f>
        <v/>
      </c>
      <c r="T3636" s="46">
        <f>S3636/INDEX(FmtCansPerPack,MATCH(F3636,FmtName,0))</f>
        <v/>
      </c>
      <c r="U3636" s="47">
        <f>INDEX(ProvOnline,MATCH(G3636,ProvCode,0))*(1+PriceIndex)</f>
        <v/>
      </c>
      <c r="V3636" s="47">
        <f>Q3636*U3636*INDEX(FmtBlendedPriceIdx,MATCH(F3636,FmtName,0))</f>
        <v/>
      </c>
      <c r="W3636" s="47">
        <f>V3636</f>
        <v/>
      </c>
      <c r="X3636" s="47">
        <f>IF(GrossBasis="Wholesale",V3636,W3636)</f>
        <v/>
      </c>
      <c r="Y3636" s="47">
        <f>R3636*INDEX(FmtBlendedCogs,MATCH(F3636,FmtName,0))</f>
        <v/>
      </c>
      <c r="Z3636" s="47">
        <f>X3636-Y3636</f>
        <v/>
      </c>
    </row>
    <row r="3637">
      <c r="A3637" t="n">
        <v>32</v>
      </c>
      <c r="B3637" s="44">
        <f>FiscalStart+(A3637-1)*7</f>
        <v/>
      </c>
      <c r="C3637">
        <f>TEXT(B3637,"mmm yyyy")</f>
        <v/>
      </c>
      <c r="D3637">
        <f>"Q"&amp;(INT((A3637-1)/13)+1)</f>
        <v/>
      </c>
      <c r="E3637" t="inlineStr">
        <is>
          <t>Online</t>
        </is>
      </c>
      <c r="F3637">
        <f>IFERROR(INDEX(ChFormat,MATCH(E3637,ChName,0)),"")</f>
        <v/>
      </c>
      <c r="G3637" t="inlineStr">
        <is>
          <t>PE</t>
        </is>
      </c>
      <c r="H3637">
        <f>IF(A3637&lt;=NWeeks,1,0)</f>
        <v/>
      </c>
      <c r="I3637">
        <f>INDEX(ChLaunch,MATCH(E3637,ChName,0))</f>
        <v/>
      </c>
      <c r="J3637">
        <f>INDEX(ChWeeksFull,MATCH(E3637,ChName,0))</f>
        <v/>
      </c>
      <c r="K3637">
        <f>INDEX(ChRamp,MATCH(E3637,ChName,0))</f>
        <v/>
      </c>
      <c r="L3637" s="45">
        <f>MIN(1,MAX(0,(A3637-I3637+1)*RampSpeed/J3637))</f>
        <v/>
      </c>
      <c r="M3637" s="45">
        <f>IF(A3637&lt;I3637,0,IF(K3637="S-curve",L3637*L3637*(3-2*L3637),L3637))</f>
        <v/>
      </c>
      <c r="N3637" s="45">
        <f>1+(INDEX(SeasonIdx,A3637)-1)*SeasonAmp</f>
        <v/>
      </c>
      <c r="O3637" s="45">
        <f>IFERROR(INDEX(PSPct,MATCH(E3637&amp;"|"&amp;G3637,PSKey,0)),0)</f>
        <v/>
      </c>
      <c r="P3637" s="46" t="n">
        <v>0</v>
      </c>
      <c r="Q3637" s="46">
        <f>INDEX(OnlineUnitsCol,A3637)*O3637*(1+OnlineGrowth)*N3637*H3637*IF(A3637&gt;=I3637,1,0)</f>
        <v/>
      </c>
      <c r="R3637" s="46">
        <f>Q3637*INDEX(FmtCansPerPack,MATCH(F3637,FmtName,0))/INDEX(FmtCansPerCase,MATCH(F3637,FmtName,0))</f>
        <v/>
      </c>
      <c r="S3637" s="46">
        <f>R3637*INDEX(FmtCansPerCase,MATCH(F3637,FmtName,0))</f>
        <v/>
      </c>
      <c r="T3637" s="46">
        <f>S3637/INDEX(FmtCansPerPack,MATCH(F3637,FmtName,0))</f>
        <v/>
      </c>
      <c r="U3637" s="47">
        <f>INDEX(ProvOnline,MATCH(G3637,ProvCode,0))*(1+PriceIndex)</f>
        <v/>
      </c>
      <c r="V3637" s="47">
        <f>Q3637*U3637*INDEX(FmtBlendedPriceIdx,MATCH(F3637,FmtName,0))</f>
        <v/>
      </c>
      <c r="W3637" s="47">
        <f>V3637</f>
        <v/>
      </c>
      <c r="X3637" s="47">
        <f>IF(GrossBasis="Wholesale",V3637,W3637)</f>
        <v/>
      </c>
      <c r="Y3637" s="47">
        <f>R3637*INDEX(FmtBlendedCogs,MATCH(F3637,FmtName,0))</f>
        <v/>
      </c>
      <c r="Z3637" s="47">
        <f>X3637-Y3637</f>
        <v/>
      </c>
    </row>
    <row r="3638">
      <c r="A3638" t="n">
        <v>33</v>
      </c>
      <c r="B3638" s="44">
        <f>FiscalStart+(A3638-1)*7</f>
        <v/>
      </c>
      <c r="C3638">
        <f>TEXT(B3638,"mmm yyyy")</f>
        <v/>
      </c>
      <c r="D3638">
        <f>"Q"&amp;(INT((A3638-1)/13)+1)</f>
        <v/>
      </c>
      <c r="E3638" t="inlineStr">
        <is>
          <t>Online</t>
        </is>
      </c>
      <c r="F3638">
        <f>IFERROR(INDEX(ChFormat,MATCH(E3638,ChName,0)),"")</f>
        <v/>
      </c>
      <c r="G3638" t="inlineStr">
        <is>
          <t>PE</t>
        </is>
      </c>
      <c r="H3638">
        <f>IF(A3638&lt;=NWeeks,1,0)</f>
        <v/>
      </c>
      <c r="I3638">
        <f>INDEX(ChLaunch,MATCH(E3638,ChName,0))</f>
        <v/>
      </c>
      <c r="J3638">
        <f>INDEX(ChWeeksFull,MATCH(E3638,ChName,0))</f>
        <v/>
      </c>
      <c r="K3638">
        <f>INDEX(ChRamp,MATCH(E3638,ChName,0))</f>
        <v/>
      </c>
      <c r="L3638" s="45">
        <f>MIN(1,MAX(0,(A3638-I3638+1)*RampSpeed/J3638))</f>
        <v/>
      </c>
      <c r="M3638" s="45">
        <f>IF(A3638&lt;I3638,0,IF(K3638="S-curve",L3638*L3638*(3-2*L3638),L3638))</f>
        <v/>
      </c>
      <c r="N3638" s="45">
        <f>1+(INDEX(SeasonIdx,A3638)-1)*SeasonAmp</f>
        <v/>
      </c>
      <c r="O3638" s="45">
        <f>IFERROR(INDEX(PSPct,MATCH(E3638&amp;"|"&amp;G3638,PSKey,0)),0)</f>
        <v/>
      </c>
      <c r="P3638" s="46" t="n">
        <v>0</v>
      </c>
      <c r="Q3638" s="46">
        <f>INDEX(OnlineUnitsCol,A3638)*O3638*(1+OnlineGrowth)*N3638*H3638*IF(A3638&gt;=I3638,1,0)</f>
        <v/>
      </c>
      <c r="R3638" s="46">
        <f>Q3638*INDEX(FmtCansPerPack,MATCH(F3638,FmtName,0))/INDEX(FmtCansPerCase,MATCH(F3638,FmtName,0))</f>
        <v/>
      </c>
      <c r="S3638" s="46">
        <f>R3638*INDEX(FmtCansPerCase,MATCH(F3638,FmtName,0))</f>
        <v/>
      </c>
      <c r="T3638" s="46">
        <f>S3638/INDEX(FmtCansPerPack,MATCH(F3638,FmtName,0))</f>
        <v/>
      </c>
      <c r="U3638" s="47">
        <f>INDEX(ProvOnline,MATCH(G3638,ProvCode,0))*(1+PriceIndex)</f>
        <v/>
      </c>
      <c r="V3638" s="47">
        <f>Q3638*U3638*INDEX(FmtBlendedPriceIdx,MATCH(F3638,FmtName,0))</f>
        <v/>
      </c>
      <c r="W3638" s="47">
        <f>V3638</f>
        <v/>
      </c>
      <c r="X3638" s="47">
        <f>IF(GrossBasis="Wholesale",V3638,W3638)</f>
        <v/>
      </c>
      <c r="Y3638" s="47">
        <f>R3638*INDEX(FmtBlendedCogs,MATCH(F3638,FmtName,0))</f>
        <v/>
      </c>
      <c r="Z3638" s="47">
        <f>X3638-Y3638</f>
        <v/>
      </c>
    </row>
    <row r="3639">
      <c r="A3639" t="n">
        <v>34</v>
      </c>
      <c r="B3639" s="44">
        <f>FiscalStart+(A3639-1)*7</f>
        <v/>
      </c>
      <c r="C3639">
        <f>TEXT(B3639,"mmm yyyy")</f>
        <v/>
      </c>
      <c r="D3639">
        <f>"Q"&amp;(INT((A3639-1)/13)+1)</f>
        <v/>
      </c>
      <c r="E3639" t="inlineStr">
        <is>
          <t>Online</t>
        </is>
      </c>
      <c r="F3639">
        <f>IFERROR(INDEX(ChFormat,MATCH(E3639,ChName,0)),"")</f>
        <v/>
      </c>
      <c r="G3639" t="inlineStr">
        <is>
          <t>PE</t>
        </is>
      </c>
      <c r="H3639">
        <f>IF(A3639&lt;=NWeeks,1,0)</f>
        <v/>
      </c>
      <c r="I3639">
        <f>INDEX(ChLaunch,MATCH(E3639,ChName,0))</f>
        <v/>
      </c>
      <c r="J3639">
        <f>INDEX(ChWeeksFull,MATCH(E3639,ChName,0))</f>
        <v/>
      </c>
      <c r="K3639">
        <f>INDEX(ChRamp,MATCH(E3639,ChName,0))</f>
        <v/>
      </c>
      <c r="L3639" s="45">
        <f>MIN(1,MAX(0,(A3639-I3639+1)*RampSpeed/J3639))</f>
        <v/>
      </c>
      <c r="M3639" s="45">
        <f>IF(A3639&lt;I3639,0,IF(K3639="S-curve",L3639*L3639*(3-2*L3639),L3639))</f>
        <v/>
      </c>
      <c r="N3639" s="45">
        <f>1+(INDEX(SeasonIdx,A3639)-1)*SeasonAmp</f>
        <v/>
      </c>
      <c r="O3639" s="45">
        <f>IFERROR(INDEX(PSPct,MATCH(E3639&amp;"|"&amp;G3639,PSKey,0)),0)</f>
        <v/>
      </c>
      <c r="P3639" s="46" t="n">
        <v>0</v>
      </c>
      <c r="Q3639" s="46">
        <f>INDEX(OnlineUnitsCol,A3639)*O3639*(1+OnlineGrowth)*N3639*H3639*IF(A3639&gt;=I3639,1,0)</f>
        <v/>
      </c>
      <c r="R3639" s="46">
        <f>Q3639*INDEX(FmtCansPerPack,MATCH(F3639,FmtName,0))/INDEX(FmtCansPerCase,MATCH(F3639,FmtName,0))</f>
        <v/>
      </c>
      <c r="S3639" s="46">
        <f>R3639*INDEX(FmtCansPerCase,MATCH(F3639,FmtName,0))</f>
        <v/>
      </c>
      <c r="T3639" s="46">
        <f>S3639/INDEX(FmtCansPerPack,MATCH(F3639,FmtName,0))</f>
        <v/>
      </c>
      <c r="U3639" s="47">
        <f>INDEX(ProvOnline,MATCH(G3639,ProvCode,0))*(1+PriceIndex)</f>
        <v/>
      </c>
      <c r="V3639" s="47">
        <f>Q3639*U3639*INDEX(FmtBlendedPriceIdx,MATCH(F3639,FmtName,0))</f>
        <v/>
      </c>
      <c r="W3639" s="47">
        <f>V3639</f>
        <v/>
      </c>
      <c r="X3639" s="47">
        <f>IF(GrossBasis="Wholesale",V3639,W3639)</f>
        <v/>
      </c>
      <c r="Y3639" s="47">
        <f>R3639*INDEX(FmtBlendedCogs,MATCH(F3639,FmtName,0))</f>
        <v/>
      </c>
      <c r="Z3639" s="47">
        <f>X3639-Y3639</f>
        <v/>
      </c>
    </row>
    <row r="3640">
      <c r="A3640" t="n">
        <v>35</v>
      </c>
      <c r="B3640" s="44">
        <f>FiscalStart+(A3640-1)*7</f>
        <v/>
      </c>
      <c r="C3640">
        <f>TEXT(B3640,"mmm yyyy")</f>
        <v/>
      </c>
      <c r="D3640">
        <f>"Q"&amp;(INT((A3640-1)/13)+1)</f>
        <v/>
      </c>
      <c r="E3640" t="inlineStr">
        <is>
          <t>Online</t>
        </is>
      </c>
      <c r="F3640">
        <f>IFERROR(INDEX(ChFormat,MATCH(E3640,ChName,0)),"")</f>
        <v/>
      </c>
      <c r="G3640" t="inlineStr">
        <is>
          <t>PE</t>
        </is>
      </c>
      <c r="H3640">
        <f>IF(A3640&lt;=NWeeks,1,0)</f>
        <v/>
      </c>
      <c r="I3640">
        <f>INDEX(ChLaunch,MATCH(E3640,ChName,0))</f>
        <v/>
      </c>
      <c r="J3640">
        <f>INDEX(ChWeeksFull,MATCH(E3640,ChName,0))</f>
        <v/>
      </c>
      <c r="K3640">
        <f>INDEX(ChRamp,MATCH(E3640,ChName,0))</f>
        <v/>
      </c>
      <c r="L3640" s="45">
        <f>MIN(1,MAX(0,(A3640-I3640+1)*RampSpeed/J3640))</f>
        <v/>
      </c>
      <c r="M3640" s="45">
        <f>IF(A3640&lt;I3640,0,IF(K3640="S-curve",L3640*L3640*(3-2*L3640),L3640))</f>
        <v/>
      </c>
      <c r="N3640" s="45">
        <f>1+(INDEX(SeasonIdx,A3640)-1)*SeasonAmp</f>
        <v/>
      </c>
      <c r="O3640" s="45">
        <f>IFERROR(INDEX(PSPct,MATCH(E3640&amp;"|"&amp;G3640,PSKey,0)),0)</f>
        <v/>
      </c>
      <c r="P3640" s="46" t="n">
        <v>0</v>
      </c>
      <c r="Q3640" s="46">
        <f>INDEX(OnlineUnitsCol,A3640)*O3640*(1+OnlineGrowth)*N3640*H3640*IF(A3640&gt;=I3640,1,0)</f>
        <v/>
      </c>
      <c r="R3640" s="46">
        <f>Q3640*INDEX(FmtCansPerPack,MATCH(F3640,FmtName,0))/INDEX(FmtCansPerCase,MATCH(F3640,FmtName,0))</f>
        <v/>
      </c>
      <c r="S3640" s="46">
        <f>R3640*INDEX(FmtCansPerCase,MATCH(F3640,FmtName,0))</f>
        <v/>
      </c>
      <c r="T3640" s="46">
        <f>S3640/INDEX(FmtCansPerPack,MATCH(F3640,FmtName,0))</f>
        <v/>
      </c>
      <c r="U3640" s="47">
        <f>INDEX(ProvOnline,MATCH(G3640,ProvCode,0))*(1+PriceIndex)</f>
        <v/>
      </c>
      <c r="V3640" s="47">
        <f>Q3640*U3640*INDEX(FmtBlendedPriceIdx,MATCH(F3640,FmtName,0))</f>
        <v/>
      </c>
      <c r="W3640" s="47">
        <f>V3640</f>
        <v/>
      </c>
      <c r="X3640" s="47">
        <f>IF(GrossBasis="Wholesale",V3640,W3640)</f>
        <v/>
      </c>
      <c r="Y3640" s="47">
        <f>R3640*INDEX(FmtBlendedCogs,MATCH(F3640,FmtName,0))</f>
        <v/>
      </c>
      <c r="Z3640" s="47">
        <f>X3640-Y3640</f>
        <v/>
      </c>
    </row>
    <row r="3641">
      <c r="A3641" t="n">
        <v>36</v>
      </c>
      <c r="B3641" s="44">
        <f>FiscalStart+(A3641-1)*7</f>
        <v/>
      </c>
      <c r="C3641">
        <f>TEXT(B3641,"mmm yyyy")</f>
        <v/>
      </c>
      <c r="D3641">
        <f>"Q"&amp;(INT((A3641-1)/13)+1)</f>
        <v/>
      </c>
      <c r="E3641" t="inlineStr">
        <is>
          <t>Online</t>
        </is>
      </c>
      <c r="F3641">
        <f>IFERROR(INDEX(ChFormat,MATCH(E3641,ChName,0)),"")</f>
        <v/>
      </c>
      <c r="G3641" t="inlineStr">
        <is>
          <t>PE</t>
        </is>
      </c>
      <c r="H3641">
        <f>IF(A3641&lt;=NWeeks,1,0)</f>
        <v/>
      </c>
      <c r="I3641">
        <f>INDEX(ChLaunch,MATCH(E3641,ChName,0))</f>
        <v/>
      </c>
      <c r="J3641">
        <f>INDEX(ChWeeksFull,MATCH(E3641,ChName,0))</f>
        <v/>
      </c>
      <c r="K3641">
        <f>INDEX(ChRamp,MATCH(E3641,ChName,0))</f>
        <v/>
      </c>
      <c r="L3641" s="45">
        <f>MIN(1,MAX(0,(A3641-I3641+1)*RampSpeed/J3641))</f>
        <v/>
      </c>
      <c r="M3641" s="45">
        <f>IF(A3641&lt;I3641,0,IF(K3641="S-curve",L3641*L3641*(3-2*L3641),L3641))</f>
        <v/>
      </c>
      <c r="N3641" s="45">
        <f>1+(INDEX(SeasonIdx,A3641)-1)*SeasonAmp</f>
        <v/>
      </c>
      <c r="O3641" s="45">
        <f>IFERROR(INDEX(PSPct,MATCH(E3641&amp;"|"&amp;G3641,PSKey,0)),0)</f>
        <v/>
      </c>
      <c r="P3641" s="46" t="n">
        <v>0</v>
      </c>
      <c r="Q3641" s="46">
        <f>INDEX(OnlineUnitsCol,A3641)*O3641*(1+OnlineGrowth)*N3641*H3641*IF(A3641&gt;=I3641,1,0)</f>
        <v/>
      </c>
      <c r="R3641" s="46">
        <f>Q3641*INDEX(FmtCansPerPack,MATCH(F3641,FmtName,0))/INDEX(FmtCansPerCase,MATCH(F3641,FmtName,0))</f>
        <v/>
      </c>
      <c r="S3641" s="46">
        <f>R3641*INDEX(FmtCansPerCase,MATCH(F3641,FmtName,0))</f>
        <v/>
      </c>
      <c r="T3641" s="46">
        <f>S3641/INDEX(FmtCansPerPack,MATCH(F3641,FmtName,0))</f>
        <v/>
      </c>
      <c r="U3641" s="47">
        <f>INDEX(ProvOnline,MATCH(G3641,ProvCode,0))*(1+PriceIndex)</f>
        <v/>
      </c>
      <c r="V3641" s="47">
        <f>Q3641*U3641*INDEX(FmtBlendedPriceIdx,MATCH(F3641,FmtName,0))</f>
        <v/>
      </c>
      <c r="W3641" s="47">
        <f>V3641</f>
        <v/>
      </c>
      <c r="X3641" s="47">
        <f>IF(GrossBasis="Wholesale",V3641,W3641)</f>
        <v/>
      </c>
      <c r="Y3641" s="47">
        <f>R3641*INDEX(FmtBlendedCogs,MATCH(F3641,FmtName,0))</f>
        <v/>
      </c>
      <c r="Z3641" s="47">
        <f>X3641-Y3641</f>
        <v/>
      </c>
    </row>
    <row r="3642">
      <c r="A3642" t="n">
        <v>37</v>
      </c>
      <c r="B3642" s="44">
        <f>FiscalStart+(A3642-1)*7</f>
        <v/>
      </c>
      <c r="C3642">
        <f>TEXT(B3642,"mmm yyyy")</f>
        <v/>
      </c>
      <c r="D3642">
        <f>"Q"&amp;(INT((A3642-1)/13)+1)</f>
        <v/>
      </c>
      <c r="E3642" t="inlineStr">
        <is>
          <t>Online</t>
        </is>
      </c>
      <c r="F3642">
        <f>IFERROR(INDEX(ChFormat,MATCH(E3642,ChName,0)),"")</f>
        <v/>
      </c>
      <c r="G3642" t="inlineStr">
        <is>
          <t>PE</t>
        </is>
      </c>
      <c r="H3642">
        <f>IF(A3642&lt;=NWeeks,1,0)</f>
        <v/>
      </c>
      <c r="I3642">
        <f>INDEX(ChLaunch,MATCH(E3642,ChName,0))</f>
        <v/>
      </c>
      <c r="J3642">
        <f>INDEX(ChWeeksFull,MATCH(E3642,ChName,0))</f>
        <v/>
      </c>
      <c r="K3642">
        <f>INDEX(ChRamp,MATCH(E3642,ChName,0))</f>
        <v/>
      </c>
      <c r="L3642" s="45">
        <f>MIN(1,MAX(0,(A3642-I3642+1)*RampSpeed/J3642))</f>
        <v/>
      </c>
      <c r="M3642" s="45">
        <f>IF(A3642&lt;I3642,0,IF(K3642="S-curve",L3642*L3642*(3-2*L3642),L3642))</f>
        <v/>
      </c>
      <c r="N3642" s="45">
        <f>1+(INDEX(SeasonIdx,A3642)-1)*SeasonAmp</f>
        <v/>
      </c>
      <c r="O3642" s="45">
        <f>IFERROR(INDEX(PSPct,MATCH(E3642&amp;"|"&amp;G3642,PSKey,0)),0)</f>
        <v/>
      </c>
      <c r="P3642" s="46" t="n">
        <v>0</v>
      </c>
      <c r="Q3642" s="46">
        <f>INDEX(OnlineUnitsCol,A3642)*O3642*(1+OnlineGrowth)*N3642*H3642*IF(A3642&gt;=I3642,1,0)</f>
        <v/>
      </c>
      <c r="R3642" s="46">
        <f>Q3642*INDEX(FmtCansPerPack,MATCH(F3642,FmtName,0))/INDEX(FmtCansPerCase,MATCH(F3642,FmtName,0))</f>
        <v/>
      </c>
      <c r="S3642" s="46">
        <f>R3642*INDEX(FmtCansPerCase,MATCH(F3642,FmtName,0))</f>
        <v/>
      </c>
      <c r="T3642" s="46">
        <f>S3642/INDEX(FmtCansPerPack,MATCH(F3642,FmtName,0))</f>
        <v/>
      </c>
      <c r="U3642" s="47">
        <f>INDEX(ProvOnline,MATCH(G3642,ProvCode,0))*(1+PriceIndex)</f>
        <v/>
      </c>
      <c r="V3642" s="47">
        <f>Q3642*U3642*INDEX(FmtBlendedPriceIdx,MATCH(F3642,FmtName,0))</f>
        <v/>
      </c>
      <c r="W3642" s="47">
        <f>V3642</f>
        <v/>
      </c>
      <c r="X3642" s="47">
        <f>IF(GrossBasis="Wholesale",V3642,W3642)</f>
        <v/>
      </c>
      <c r="Y3642" s="47">
        <f>R3642*INDEX(FmtBlendedCogs,MATCH(F3642,FmtName,0))</f>
        <v/>
      </c>
      <c r="Z3642" s="47">
        <f>X3642-Y3642</f>
        <v/>
      </c>
    </row>
    <row r="3643">
      <c r="A3643" t="n">
        <v>38</v>
      </c>
      <c r="B3643" s="44">
        <f>FiscalStart+(A3643-1)*7</f>
        <v/>
      </c>
      <c r="C3643">
        <f>TEXT(B3643,"mmm yyyy")</f>
        <v/>
      </c>
      <c r="D3643">
        <f>"Q"&amp;(INT((A3643-1)/13)+1)</f>
        <v/>
      </c>
      <c r="E3643" t="inlineStr">
        <is>
          <t>Online</t>
        </is>
      </c>
      <c r="F3643">
        <f>IFERROR(INDEX(ChFormat,MATCH(E3643,ChName,0)),"")</f>
        <v/>
      </c>
      <c r="G3643" t="inlineStr">
        <is>
          <t>PE</t>
        </is>
      </c>
      <c r="H3643">
        <f>IF(A3643&lt;=NWeeks,1,0)</f>
        <v/>
      </c>
      <c r="I3643">
        <f>INDEX(ChLaunch,MATCH(E3643,ChName,0))</f>
        <v/>
      </c>
      <c r="J3643">
        <f>INDEX(ChWeeksFull,MATCH(E3643,ChName,0))</f>
        <v/>
      </c>
      <c r="K3643">
        <f>INDEX(ChRamp,MATCH(E3643,ChName,0))</f>
        <v/>
      </c>
      <c r="L3643" s="45">
        <f>MIN(1,MAX(0,(A3643-I3643+1)*RampSpeed/J3643))</f>
        <v/>
      </c>
      <c r="M3643" s="45">
        <f>IF(A3643&lt;I3643,0,IF(K3643="S-curve",L3643*L3643*(3-2*L3643),L3643))</f>
        <v/>
      </c>
      <c r="N3643" s="45">
        <f>1+(INDEX(SeasonIdx,A3643)-1)*SeasonAmp</f>
        <v/>
      </c>
      <c r="O3643" s="45">
        <f>IFERROR(INDEX(PSPct,MATCH(E3643&amp;"|"&amp;G3643,PSKey,0)),0)</f>
        <v/>
      </c>
      <c r="P3643" s="46" t="n">
        <v>0</v>
      </c>
      <c r="Q3643" s="46">
        <f>INDEX(OnlineUnitsCol,A3643)*O3643*(1+OnlineGrowth)*N3643*H3643*IF(A3643&gt;=I3643,1,0)</f>
        <v/>
      </c>
      <c r="R3643" s="46">
        <f>Q3643*INDEX(FmtCansPerPack,MATCH(F3643,FmtName,0))/INDEX(FmtCansPerCase,MATCH(F3643,FmtName,0))</f>
        <v/>
      </c>
      <c r="S3643" s="46">
        <f>R3643*INDEX(FmtCansPerCase,MATCH(F3643,FmtName,0))</f>
        <v/>
      </c>
      <c r="T3643" s="46">
        <f>S3643/INDEX(FmtCansPerPack,MATCH(F3643,FmtName,0))</f>
        <v/>
      </c>
      <c r="U3643" s="47">
        <f>INDEX(ProvOnline,MATCH(G3643,ProvCode,0))*(1+PriceIndex)</f>
        <v/>
      </c>
      <c r="V3643" s="47">
        <f>Q3643*U3643*INDEX(FmtBlendedPriceIdx,MATCH(F3643,FmtName,0))</f>
        <v/>
      </c>
      <c r="W3643" s="47">
        <f>V3643</f>
        <v/>
      </c>
      <c r="X3643" s="47">
        <f>IF(GrossBasis="Wholesale",V3643,W3643)</f>
        <v/>
      </c>
      <c r="Y3643" s="47">
        <f>R3643*INDEX(FmtBlendedCogs,MATCH(F3643,FmtName,0))</f>
        <v/>
      </c>
      <c r="Z3643" s="47">
        <f>X3643-Y3643</f>
        <v/>
      </c>
    </row>
    <row r="3644">
      <c r="A3644" t="n">
        <v>39</v>
      </c>
      <c r="B3644" s="44">
        <f>FiscalStart+(A3644-1)*7</f>
        <v/>
      </c>
      <c r="C3644">
        <f>TEXT(B3644,"mmm yyyy")</f>
        <v/>
      </c>
      <c r="D3644">
        <f>"Q"&amp;(INT((A3644-1)/13)+1)</f>
        <v/>
      </c>
      <c r="E3644" t="inlineStr">
        <is>
          <t>Online</t>
        </is>
      </c>
      <c r="F3644">
        <f>IFERROR(INDEX(ChFormat,MATCH(E3644,ChName,0)),"")</f>
        <v/>
      </c>
      <c r="G3644" t="inlineStr">
        <is>
          <t>PE</t>
        </is>
      </c>
      <c r="H3644">
        <f>IF(A3644&lt;=NWeeks,1,0)</f>
        <v/>
      </c>
      <c r="I3644">
        <f>INDEX(ChLaunch,MATCH(E3644,ChName,0))</f>
        <v/>
      </c>
      <c r="J3644">
        <f>INDEX(ChWeeksFull,MATCH(E3644,ChName,0))</f>
        <v/>
      </c>
      <c r="K3644">
        <f>INDEX(ChRamp,MATCH(E3644,ChName,0))</f>
        <v/>
      </c>
      <c r="L3644" s="45">
        <f>MIN(1,MAX(0,(A3644-I3644+1)*RampSpeed/J3644))</f>
        <v/>
      </c>
      <c r="M3644" s="45">
        <f>IF(A3644&lt;I3644,0,IF(K3644="S-curve",L3644*L3644*(3-2*L3644),L3644))</f>
        <v/>
      </c>
      <c r="N3644" s="45">
        <f>1+(INDEX(SeasonIdx,A3644)-1)*SeasonAmp</f>
        <v/>
      </c>
      <c r="O3644" s="45">
        <f>IFERROR(INDEX(PSPct,MATCH(E3644&amp;"|"&amp;G3644,PSKey,0)),0)</f>
        <v/>
      </c>
      <c r="P3644" s="46" t="n">
        <v>0</v>
      </c>
      <c r="Q3644" s="46">
        <f>INDEX(OnlineUnitsCol,A3644)*O3644*(1+OnlineGrowth)*N3644*H3644*IF(A3644&gt;=I3644,1,0)</f>
        <v/>
      </c>
      <c r="R3644" s="46">
        <f>Q3644*INDEX(FmtCansPerPack,MATCH(F3644,FmtName,0))/INDEX(FmtCansPerCase,MATCH(F3644,FmtName,0))</f>
        <v/>
      </c>
      <c r="S3644" s="46">
        <f>R3644*INDEX(FmtCansPerCase,MATCH(F3644,FmtName,0))</f>
        <v/>
      </c>
      <c r="T3644" s="46">
        <f>S3644/INDEX(FmtCansPerPack,MATCH(F3644,FmtName,0))</f>
        <v/>
      </c>
      <c r="U3644" s="47">
        <f>INDEX(ProvOnline,MATCH(G3644,ProvCode,0))*(1+PriceIndex)</f>
        <v/>
      </c>
      <c r="V3644" s="47">
        <f>Q3644*U3644*INDEX(FmtBlendedPriceIdx,MATCH(F3644,FmtName,0))</f>
        <v/>
      </c>
      <c r="W3644" s="47">
        <f>V3644</f>
        <v/>
      </c>
      <c r="X3644" s="47">
        <f>IF(GrossBasis="Wholesale",V3644,W3644)</f>
        <v/>
      </c>
      <c r="Y3644" s="47">
        <f>R3644*INDEX(FmtBlendedCogs,MATCH(F3644,FmtName,0))</f>
        <v/>
      </c>
      <c r="Z3644" s="47">
        <f>X3644-Y3644</f>
        <v/>
      </c>
    </row>
    <row r="3645">
      <c r="A3645" t="n">
        <v>40</v>
      </c>
      <c r="B3645" s="44">
        <f>FiscalStart+(A3645-1)*7</f>
        <v/>
      </c>
      <c r="C3645">
        <f>TEXT(B3645,"mmm yyyy")</f>
        <v/>
      </c>
      <c r="D3645">
        <f>"Q"&amp;(INT((A3645-1)/13)+1)</f>
        <v/>
      </c>
      <c r="E3645" t="inlineStr">
        <is>
          <t>Online</t>
        </is>
      </c>
      <c r="F3645">
        <f>IFERROR(INDEX(ChFormat,MATCH(E3645,ChName,0)),"")</f>
        <v/>
      </c>
      <c r="G3645" t="inlineStr">
        <is>
          <t>PE</t>
        </is>
      </c>
      <c r="H3645">
        <f>IF(A3645&lt;=NWeeks,1,0)</f>
        <v/>
      </c>
      <c r="I3645">
        <f>INDEX(ChLaunch,MATCH(E3645,ChName,0))</f>
        <v/>
      </c>
      <c r="J3645">
        <f>INDEX(ChWeeksFull,MATCH(E3645,ChName,0))</f>
        <v/>
      </c>
      <c r="K3645">
        <f>INDEX(ChRamp,MATCH(E3645,ChName,0))</f>
        <v/>
      </c>
      <c r="L3645" s="45">
        <f>MIN(1,MAX(0,(A3645-I3645+1)*RampSpeed/J3645))</f>
        <v/>
      </c>
      <c r="M3645" s="45">
        <f>IF(A3645&lt;I3645,0,IF(K3645="S-curve",L3645*L3645*(3-2*L3645),L3645))</f>
        <v/>
      </c>
      <c r="N3645" s="45">
        <f>1+(INDEX(SeasonIdx,A3645)-1)*SeasonAmp</f>
        <v/>
      </c>
      <c r="O3645" s="45">
        <f>IFERROR(INDEX(PSPct,MATCH(E3645&amp;"|"&amp;G3645,PSKey,0)),0)</f>
        <v/>
      </c>
      <c r="P3645" s="46" t="n">
        <v>0</v>
      </c>
      <c r="Q3645" s="46">
        <f>INDEX(OnlineUnitsCol,A3645)*O3645*(1+OnlineGrowth)*N3645*H3645*IF(A3645&gt;=I3645,1,0)</f>
        <v/>
      </c>
      <c r="R3645" s="46">
        <f>Q3645*INDEX(FmtCansPerPack,MATCH(F3645,FmtName,0))/INDEX(FmtCansPerCase,MATCH(F3645,FmtName,0))</f>
        <v/>
      </c>
      <c r="S3645" s="46">
        <f>R3645*INDEX(FmtCansPerCase,MATCH(F3645,FmtName,0))</f>
        <v/>
      </c>
      <c r="T3645" s="46">
        <f>S3645/INDEX(FmtCansPerPack,MATCH(F3645,FmtName,0))</f>
        <v/>
      </c>
      <c r="U3645" s="47">
        <f>INDEX(ProvOnline,MATCH(G3645,ProvCode,0))*(1+PriceIndex)</f>
        <v/>
      </c>
      <c r="V3645" s="47">
        <f>Q3645*U3645*INDEX(FmtBlendedPriceIdx,MATCH(F3645,FmtName,0))</f>
        <v/>
      </c>
      <c r="W3645" s="47">
        <f>V3645</f>
        <v/>
      </c>
      <c r="X3645" s="47">
        <f>IF(GrossBasis="Wholesale",V3645,W3645)</f>
        <v/>
      </c>
      <c r="Y3645" s="47">
        <f>R3645*INDEX(FmtBlendedCogs,MATCH(F3645,FmtName,0))</f>
        <v/>
      </c>
      <c r="Z3645" s="47">
        <f>X3645-Y3645</f>
        <v/>
      </c>
    </row>
    <row r="3646">
      <c r="A3646" t="n">
        <v>41</v>
      </c>
      <c r="B3646" s="44">
        <f>FiscalStart+(A3646-1)*7</f>
        <v/>
      </c>
      <c r="C3646">
        <f>TEXT(B3646,"mmm yyyy")</f>
        <v/>
      </c>
      <c r="D3646">
        <f>"Q"&amp;(INT((A3646-1)/13)+1)</f>
        <v/>
      </c>
      <c r="E3646" t="inlineStr">
        <is>
          <t>Online</t>
        </is>
      </c>
      <c r="F3646">
        <f>IFERROR(INDEX(ChFormat,MATCH(E3646,ChName,0)),"")</f>
        <v/>
      </c>
      <c r="G3646" t="inlineStr">
        <is>
          <t>PE</t>
        </is>
      </c>
      <c r="H3646">
        <f>IF(A3646&lt;=NWeeks,1,0)</f>
        <v/>
      </c>
      <c r="I3646">
        <f>INDEX(ChLaunch,MATCH(E3646,ChName,0))</f>
        <v/>
      </c>
      <c r="J3646">
        <f>INDEX(ChWeeksFull,MATCH(E3646,ChName,0))</f>
        <v/>
      </c>
      <c r="K3646">
        <f>INDEX(ChRamp,MATCH(E3646,ChName,0))</f>
        <v/>
      </c>
      <c r="L3646" s="45">
        <f>MIN(1,MAX(0,(A3646-I3646+1)*RampSpeed/J3646))</f>
        <v/>
      </c>
      <c r="M3646" s="45">
        <f>IF(A3646&lt;I3646,0,IF(K3646="S-curve",L3646*L3646*(3-2*L3646),L3646))</f>
        <v/>
      </c>
      <c r="N3646" s="45">
        <f>1+(INDEX(SeasonIdx,A3646)-1)*SeasonAmp</f>
        <v/>
      </c>
      <c r="O3646" s="45">
        <f>IFERROR(INDEX(PSPct,MATCH(E3646&amp;"|"&amp;G3646,PSKey,0)),0)</f>
        <v/>
      </c>
      <c r="P3646" s="46" t="n">
        <v>0</v>
      </c>
      <c r="Q3646" s="46">
        <f>INDEX(OnlineUnitsCol,A3646)*O3646*(1+OnlineGrowth)*N3646*H3646*IF(A3646&gt;=I3646,1,0)</f>
        <v/>
      </c>
      <c r="R3646" s="46">
        <f>Q3646*INDEX(FmtCansPerPack,MATCH(F3646,FmtName,0))/INDEX(FmtCansPerCase,MATCH(F3646,FmtName,0))</f>
        <v/>
      </c>
      <c r="S3646" s="46">
        <f>R3646*INDEX(FmtCansPerCase,MATCH(F3646,FmtName,0))</f>
        <v/>
      </c>
      <c r="T3646" s="46">
        <f>S3646/INDEX(FmtCansPerPack,MATCH(F3646,FmtName,0))</f>
        <v/>
      </c>
      <c r="U3646" s="47">
        <f>INDEX(ProvOnline,MATCH(G3646,ProvCode,0))*(1+PriceIndex)</f>
        <v/>
      </c>
      <c r="V3646" s="47">
        <f>Q3646*U3646*INDEX(FmtBlendedPriceIdx,MATCH(F3646,FmtName,0))</f>
        <v/>
      </c>
      <c r="W3646" s="47">
        <f>V3646</f>
        <v/>
      </c>
      <c r="X3646" s="47">
        <f>IF(GrossBasis="Wholesale",V3646,W3646)</f>
        <v/>
      </c>
      <c r="Y3646" s="47">
        <f>R3646*INDEX(FmtBlendedCogs,MATCH(F3646,FmtName,0))</f>
        <v/>
      </c>
      <c r="Z3646" s="47">
        <f>X3646-Y3646</f>
        <v/>
      </c>
    </row>
    <row r="3647">
      <c r="A3647" t="n">
        <v>42</v>
      </c>
      <c r="B3647" s="44">
        <f>FiscalStart+(A3647-1)*7</f>
        <v/>
      </c>
      <c r="C3647">
        <f>TEXT(B3647,"mmm yyyy")</f>
        <v/>
      </c>
      <c r="D3647">
        <f>"Q"&amp;(INT((A3647-1)/13)+1)</f>
        <v/>
      </c>
      <c r="E3647" t="inlineStr">
        <is>
          <t>Online</t>
        </is>
      </c>
      <c r="F3647">
        <f>IFERROR(INDEX(ChFormat,MATCH(E3647,ChName,0)),"")</f>
        <v/>
      </c>
      <c r="G3647" t="inlineStr">
        <is>
          <t>PE</t>
        </is>
      </c>
      <c r="H3647">
        <f>IF(A3647&lt;=NWeeks,1,0)</f>
        <v/>
      </c>
      <c r="I3647">
        <f>INDEX(ChLaunch,MATCH(E3647,ChName,0))</f>
        <v/>
      </c>
      <c r="J3647">
        <f>INDEX(ChWeeksFull,MATCH(E3647,ChName,0))</f>
        <v/>
      </c>
      <c r="K3647">
        <f>INDEX(ChRamp,MATCH(E3647,ChName,0))</f>
        <v/>
      </c>
      <c r="L3647" s="45">
        <f>MIN(1,MAX(0,(A3647-I3647+1)*RampSpeed/J3647))</f>
        <v/>
      </c>
      <c r="M3647" s="45">
        <f>IF(A3647&lt;I3647,0,IF(K3647="S-curve",L3647*L3647*(3-2*L3647),L3647))</f>
        <v/>
      </c>
      <c r="N3647" s="45">
        <f>1+(INDEX(SeasonIdx,A3647)-1)*SeasonAmp</f>
        <v/>
      </c>
      <c r="O3647" s="45">
        <f>IFERROR(INDEX(PSPct,MATCH(E3647&amp;"|"&amp;G3647,PSKey,0)),0)</f>
        <v/>
      </c>
      <c r="P3647" s="46" t="n">
        <v>0</v>
      </c>
      <c r="Q3647" s="46">
        <f>INDEX(OnlineUnitsCol,A3647)*O3647*(1+OnlineGrowth)*N3647*H3647*IF(A3647&gt;=I3647,1,0)</f>
        <v/>
      </c>
      <c r="R3647" s="46">
        <f>Q3647*INDEX(FmtCansPerPack,MATCH(F3647,FmtName,0))/INDEX(FmtCansPerCase,MATCH(F3647,FmtName,0))</f>
        <v/>
      </c>
      <c r="S3647" s="46">
        <f>R3647*INDEX(FmtCansPerCase,MATCH(F3647,FmtName,0))</f>
        <v/>
      </c>
      <c r="T3647" s="46">
        <f>S3647/INDEX(FmtCansPerPack,MATCH(F3647,FmtName,0))</f>
        <v/>
      </c>
      <c r="U3647" s="47">
        <f>INDEX(ProvOnline,MATCH(G3647,ProvCode,0))*(1+PriceIndex)</f>
        <v/>
      </c>
      <c r="V3647" s="47">
        <f>Q3647*U3647*INDEX(FmtBlendedPriceIdx,MATCH(F3647,FmtName,0))</f>
        <v/>
      </c>
      <c r="W3647" s="47">
        <f>V3647</f>
        <v/>
      </c>
      <c r="X3647" s="47">
        <f>IF(GrossBasis="Wholesale",V3647,W3647)</f>
        <v/>
      </c>
      <c r="Y3647" s="47">
        <f>R3647*INDEX(FmtBlendedCogs,MATCH(F3647,FmtName,0))</f>
        <v/>
      </c>
      <c r="Z3647" s="47">
        <f>X3647-Y3647</f>
        <v/>
      </c>
    </row>
    <row r="3648">
      <c r="A3648" t="n">
        <v>43</v>
      </c>
      <c r="B3648" s="44">
        <f>FiscalStart+(A3648-1)*7</f>
        <v/>
      </c>
      <c r="C3648">
        <f>TEXT(B3648,"mmm yyyy")</f>
        <v/>
      </c>
      <c r="D3648">
        <f>"Q"&amp;(INT((A3648-1)/13)+1)</f>
        <v/>
      </c>
      <c r="E3648" t="inlineStr">
        <is>
          <t>Online</t>
        </is>
      </c>
      <c r="F3648">
        <f>IFERROR(INDEX(ChFormat,MATCH(E3648,ChName,0)),"")</f>
        <v/>
      </c>
      <c r="G3648" t="inlineStr">
        <is>
          <t>PE</t>
        </is>
      </c>
      <c r="H3648">
        <f>IF(A3648&lt;=NWeeks,1,0)</f>
        <v/>
      </c>
      <c r="I3648">
        <f>INDEX(ChLaunch,MATCH(E3648,ChName,0))</f>
        <v/>
      </c>
      <c r="J3648">
        <f>INDEX(ChWeeksFull,MATCH(E3648,ChName,0))</f>
        <v/>
      </c>
      <c r="K3648">
        <f>INDEX(ChRamp,MATCH(E3648,ChName,0))</f>
        <v/>
      </c>
      <c r="L3648" s="45">
        <f>MIN(1,MAX(0,(A3648-I3648+1)*RampSpeed/J3648))</f>
        <v/>
      </c>
      <c r="M3648" s="45">
        <f>IF(A3648&lt;I3648,0,IF(K3648="S-curve",L3648*L3648*(3-2*L3648),L3648))</f>
        <v/>
      </c>
      <c r="N3648" s="45">
        <f>1+(INDEX(SeasonIdx,A3648)-1)*SeasonAmp</f>
        <v/>
      </c>
      <c r="O3648" s="45">
        <f>IFERROR(INDEX(PSPct,MATCH(E3648&amp;"|"&amp;G3648,PSKey,0)),0)</f>
        <v/>
      </c>
      <c r="P3648" s="46" t="n">
        <v>0</v>
      </c>
      <c r="Q3648" s="46">
        <f>INDEX(OnlineUnitsCol,A3648)*O3648*(1+OnlineGrowth)*N3648*H3648*IF(A3648&gt;=I3648,1,0)</f>
        <v/>
      </c>
      <c r="R3648" s="46">
        <f>Q3648*INDEX(FmtCansPerPack,MATCH(F3648,FmtName,0))/INDEX(FmtCansPerCase,MATCH(F3648,FmtName,0))</f>
        <v/>
      </c>
      <c r="S3648" s="46">
        <f>R3648*INDEX(FmtCansPerCase,MATCH(F3648,FmtName,0))</f>
        <v/>
      </c>
      <c r="T3648" s="46">
        <f>S3648/INDEX(FmtCansPerPack,MATCH(F3648,FmtName,0))</f>
        <v/>
      </c>
      <c r="U3648" s="47">
        <f>INDEX(ProvOnline,MATCH(G3648,ProvCode,0))*(1+PriceIndex)</f>
        <v/>
      </c>
      <c r="V3648" s="47">
        <f>Q3648*U3648*INDEX(FmtBlendedPriceIdx,MATCH(F3648,FmtName,0))</f>
        <v/>
      </c>
      <c r="W3648" s="47">
        <f>V3648</f>
        <v/>
      </c>
      <c r="X3648" s="47">
        <f>IF(GrossBasis="Wholesale",V3648,W3648)</f>
        <v/>
      </c>
      <c r="Y3648" s="47">
        <f>R3648*INDEX(FmtBlendedCogs,MATCH(F3648,FmtName,0))</f>
        <v/>
      </c>
      <c r="Z3648" s="47">
        <f>X3648-Y3648</f>
        <v/>
      </c>
    </row>
    <row r="3649">
      <c r="A3649" t="n">
        <v>44</v>
      </c>
      <c r="B3649" s="44">
        <f>FiscalStart+(A3649-1)*7</f>
        <v/>
      </c>
      <c r="C3649">
        <f>TEXT(B3649,"mmm yyyy")</f>
        <v/>
      </c>
      <c r="D3649">
        <f>"Q"&amp;(INT((A3649-1)/13)+1)</f>
        <v/>
      </c>
      <c r="E3649" t="inlineStr">
        <is>
          <t>Online</t>
        </is>
      </c>
      <c r="F3649">
        <f>IFERROR(INDEX(ChFormat,MATCH(E3649,ChName,0)),"")</f>
        <v/>
      </c>
      <c r="G3649" t="inlineStr">
        <is>
          <t>PE</t>
        </is>
      </c>
      <c r="H3649">
        <f>IF(A3649&lt;=NWeeks,1,0)</f>
        <v/>
      </c>
      <c r="I3649">
        <f>INDEX(ChLaunch,MATCH(E3649,ChName,0))</f>
        <v/>
      </c>
      <c r="J3649">
        <f>INDEX(ChWeeksFull,MATCH(E3649,ChName,0))</f>
        <v/>
      </c>
      <c r="K3649">
        <f>INDEX(ChRamp,MATCH(E3649,ChName,0))</f>
        <v/>
      </c>
      <c r="L3649" s="45">
        <f>MIN(1,MAX(0,(A3649-I3649+1)*RampSpeed/J3649))</f>
        <v/>
      </c>
      <c r="M3649" s="45">
        <f>IF(A3649&lt;I3649,0,IF(K3649="S-curve",L3649*L3649*(3-2*L3649),L3649))</f>
        <v/>
      </c>
      <c r="N3649" s="45">
        <f>1+(INDEX(SeasonIdx,A3649)-1)*SeasonAmp</f>
        <v/>
      </c>
      <c r="O3649" s="45">
        <f>IFERROR(INDEX(PSPct,MATCH(E3649&amp;"|"&amp;G3649,PSKey,0)),0)</f>
        <v/>
      </c>
      <c r="P3649" s="46" t="n">
        <v>0</v>
      </c>
      <c r="Q3649" s="46">
        <f>INDEX(OnlineUnitsCol,A3649)*O3649*(1+OnlineGrowth)*N3649*H3649*IF(A3649&gt;=I3649,1,0)</f>
        <v/>
      </c>
      <c r="R3649" s="46">
        <f>Q3649*INDEX(FmtCansPerPack,MATCH(F3649,FmtName,0))/INDEX(FmtCansPerCase,MATCH(F3649,FmtName,0))</f>
        <v/>
      </c>
      <c r="S3649" s="46">
        <f>R3649*INDEX(FmtCansPerCase,MATCH(F3649,FmtName,0))</f>
        <v/>
      </c>
      <c r="T3649" s="46">
        <f>S3649/INDEX(FmtCansPerPack,MATCH(F3649,FmtName,0))</f>
        <v/>
      </c>
      <c r="U3649" s="47">
        <f>INDEX(ProvOnline,MATCH(G3649,ProvCode,0))*(1+PriceIndex)</f>
        <v/>
      </c>
      <c r="V3649" s="47">
        <f>Q3649*U3649*INDEX(FmtBlendedPriceIdx,MATCH(F3649,FmtName,0))</f>
        <v/>
      </c>
      <c r="W3649" s="47">
        <f>V3649</f>
        <v/>
      </c>
      <c r="X3649" s="47">
        <f>IF(GrossBasis="Wholesale",V3649,W3649)</f>
        <v/>
      </c>
      <c r="Y3649" s="47">
        <f>R3649*INDEX(FmtBlendedCogs,MATCH(F3649,FmtName,0))</f>
        <v/>
      </c>
      <c r="Z3649" s="47">
        <f>X3649-Y3649</f>
        <v/>
      </c>
    </row>
    <row r="3650">
      <c r="A3650" t="n">
        <v>45</v>
      </c>
      <c r="B3650" s="44">
        <f>FiscalStart+(A3650-1)*7</f>
        <v/>
      </c>
      <c r="C3650">
        <f>TEXT(B3650,"mmm yyyy")</f>
        <v/>
      </c>
      <c r="D3650">
        <f>"Q"&amp;(INT((A3650-1)/13)+1)</f>
        <v/>
      </c>
      <c r="E3650" t="inlineStr">
        <is>
          <t>Online</t>
        </is>
      </c>
      <c r="F3650">
        <f>IFERROR(INDEX(ChFormat,MATCH(E3650,ChName,0)),"")</f>
        <v/>
      </c>
      <c r="G3650" t="inlineStr">
        <is>
          <t>PE</t>
        </is>
      </c>
      <c r="H3650">
        <f>IF(A3650&lt;=NWeeks,1,0)</f>
        <v/>
      </c>
      <c r="I3650">
        <f>INDEX(ChLaunch,MATCH(E3650,ChName,0))</f>
        <v/>
      </c>
      <c r="J3650">
        <f>INDEX(ChWeeksFull,MATCH(E3650,ChName,0))</f>
        <v/>
      </c>
      <c r="K3650">
        <f>INDEX(ChRamp,MATCH(E3650,ChName,0))</f>
        <v/>
      </c>
      <c r="L3650" s="45">
        <f>MIN(1,MAX(0,(A3650-I3650+1)*RampSpeed/J3650))</f>
        <v/>
      </c>
      <c r="M3650" s="45">
        <f>IF(A3650&lt;I3650,0,IF(K3650="S-curve",L3650*L3650*(3-2*L3650),L3650))</f>
        <v/>
      </c>
      <c r="N3650" s="45">
        <f>1+(INDEX(SeasonIdx,A3650)-1)*SeasonAmp</f>
        <v/>
      </c>
      <c r="O3650" s="45">
        <f>IFERROR(INDEX(PSPct,MATCH(E3650&amp;"|"&amp;G3650,PSKey,0)),0)</f>
        <v/>
      </c>
      <c r="P3650" s="46" t="n">
        <v>0</v>
      </c>
      <c r="Q3650" s="46">
        <f>INDEX(OnlineUnitsCol,A3650)*O3650*(1+OnlineGrowth)*N3650*H3650*IF(A3650&gt;=I3650,1,0)</f>
        <v/>
      </c>
      <c r="R3650" s="46">
        <f>Q3650*INDEX(FmtCansPerPack,MATCH(F3650,FmtName,0))/INDEX(FmtCansPerCase,MATCH(F3650,FmtName,0))</f>
        <v/>
      </c>
      <c r="S3650" s="46">
        <f>R3650*INDEX(FmtCansPerCase,MATCH(F3650,FmtName,0))</f>
        <v/>
      </c>
      <c r="T3650" s="46">
        <f>S3650/INDEX(FmtCansPerPack,MATCH(F3650,FmtName,0))</f>
        <v/>
      </c>
      <c r="U3650" s="47">
        <f>INDEX(ProvOnline,MATCH(G3650,ProvCode,0))*(1+PriceIndex)</f>
        <v/>
      </c>
      <c r="V3650" s="47">
        <f>Q3650*U3650*INDEX(FmtBlendedPriceIdx,MATCH(F3650,FmtName,0))</f>
        <v/>
      </c>
      <c r="W3650" s="47">
        <f>V3650</f>
        <v/>
      </c>
      <c r="X3650" s="47">
        <f>IF(GrossBasis="Wholesale",V3650,W3650)</f>
        <v/>
      </c>
      <c r="Y3650" s="47">
        <f>R3650*INDEX(FmtBlendedCogs,MATCH(F3650,FmtName,0))</f>
        <v/>
      </c>
      <c r="Z3650" s="47">
        <f>X3650-Y3650</f>
        <v/>
      </c>
    </row>
    <row r="3651">
      <c r="A3651" t="n">
        <v>46</v>
      </c>
      <c r="B3651" s="44">
        <f>FiscalStart+(A3651-1)*7</f>
        <v/>
      </c>
      <c r="C3651">
        <f>TEXT(B3651,"mmm yyyy")</f>
        <v/>
      </c>
      <c r="D3651">
        <f>"Q"&amp;(INT((A3651-1)/13)+1)</f>
        <v/>
      </c>
      <c r="E3651" t="inlineStr">
        <is>
          <t>Online</t>
        </is>
      </c>
      <c r="F3651">
        <f>IFERROR(INDEX(ChFormat,MATCH(E3651,ChName,0)),"")</f>
        <v/>
      </c>
      <c r="G3651" t="inlineStr">
        <is>
          <t>PE</t>
        </is>
      </c>
      <c r="H3651">
        <f>IF(A3651&lt;=NWeeks,1,0)</f>
        <v/>
      </c>
      <c r="I3651">
        <f>INDEX(ChLaunch,MATCH(E3651,ChName,0))</f>
        <v/>
      </c>
      <c r="J3651">
        <f>INDEX(ChWeeksFull,MATCH(E3651,ChName,0))</f>
        <v/>
      </c>
      <c r="K3651">
        <f>INDEX(ChRamp,MATCH(E3651,ChName,0))</f>
        <v/>
      </c>
      <c r="L3651" s="45">
        <f>MIN(1,MAX(0,(A3651-I3651+1)*RampSpeed/J3651))</f>
        <v/>
      </c>
      <c r="M3651" s="45">
        <f>IF(A3651&lt;I3651,0,IF(K3651="S-curve",L3651*L3651*(3-2*L3651),L3651))</f>
        <v/>
      </c>
      <c r="N3651" s="45">
        <f>1+(INDEX(SeasonIdx,A3651)-1)*SeasonAmp</f>
        <v/>
      </c>
      <c r="O3651" s="45">
        <f>IFERROR(INDEX(PSPct,MATCH(E3651&amp;"|"&amp;G3651,PSKey,0)),0)</f>
        <v/>
      </c>
      <c r="P3651" s="46" t="n">
        <v>0</v>
      </c>
      <c r="Q3651" s="46">
        <f>INDEX(OnlineUnitsCol,A3651)*O3651*(1+OnlineGrowth)*N3651*H3651*IF(A3651&gt;=I3651,1,0)</f>
        <v/>
      </c>
      <c r="R3651" s="46">
        <f>Q3651*INDEX(FmtCansPerPack,MATCH(F3651,FmtName,0))/INDEX(FmtCansPerCase,MATCH(F3651,FmtName,0))</f>
        <v/>
      </c>
      <c r="S3651" s="46">
        <f>R3651*INDEX(FmtCansPerCase,MATCH(F3651,FmtName,0))</f>
        <v/>
      </c>
      <c r="T3651" s="46">
        <f>S3651/INDEX(FmtCansPerPack,MATCH(F3651,FmtName,0))</f>
        <v/>
      </c>
      <c r="U3651" s="47">
        <f>INDEX(ProvOnline,MATCH(G3651,ProvCode,0))*(1+PriceIndex)</f>
        <v/>
      </c>
      <c r="V3651" s="47">
        <f>Q3651*U3651*INDEX(FmtBlendedPriceIdx,MATCH(F3651,FmtName,0))</f>
        <v/>
      </c>
      <c r="W3651" s="47">
        <f>V3651</f>
        <v/>
      </c>
      <c r="X3651" s="47">
        <f>IF(GrossBasis="Wholesale",V3651,W3651)</f>
        <v/>
      </c>
      <c r="Y3651" s="47">
        <f>R3651*INDEX(FmtBlendedCogs,MATCH(F3651,FmtName,0))</f>
        <v/>
      </c>
      <c r="Z3651" s="47">
        <f>X3651-Y3651</f>
        <v/>
      </c>
    </row>
    <row r="3652">
      <c r="A3652" t="n">
        <v>47</v>
      </c>
      <c r="B3652" s="44">
        <f>FiscalStart+(A3652-1)*7</f>
        <v/>
      </c>
      <c r="C3652">
        <f>TEXT(B3652,"mmm yyyy")</f>
        <v/>
      </c>
      <c r="D3652">
        <f>"Q"&amp;(INT((A3652-1)/13)+1)</f>
        <v/>
      </c>
      <c r="E3652" t="inlineStr">
        <is>
          <t>Online</t>
        </is>
      </c>
      <c r="F3652">
        <f>IFERROR(INDEX(ChFormat,MATCH(E3652,ChName,0)),"")</f>
        <v/>
      </c>
      <c r="G3652" t="inlineStr">
        <is>
          <t>PE</t>
        </is>
      </c>
      <c r="H3652">
        <f>IF(A3652&lt;=NWeeks,1,0)</f>
        <v/>
      </c>
      <c r="I3652">
        <f>INDEX(ChLaunch,MATCH(E3652,ChName,0))</f>
        <v/>
      </c>
      <c r="J3652">
        <f>INDEX(ChWeeksFull,MATCH(E3652,ChName,0))</f>
        <v/>
      </c>
      <c r="K3652">
        <f>INDEX(ChRamp,MATCH(E3652,ChName,0))</f>
        <v/>
      </c>
      <c r="L3652" s="45">
        <f>MIN(1,MAX(0,(A3652-I3652+1)*RampSpeed/J3652))</f>
        <v/>
      </c>
      <c r="M3652" s="45">
        <f>IF(A3652&lt;I3652,0,IF(K3652="S-curve",L3652*L3652*(3-2*L3652),L3652))</f>
        <v/>
      </c>
      <c r="N3652" s="45">
        <f>1+(INDEX(SeasonIdx,A3652)-1)*SeasonAmp</f>
        <v/>
      </c>
      <c r="O3652" s="45">
        <f>IFERROR(INDEX(PSPct,MATCH(E3652&amp;"|"&amp;G3652,PSKey,0)),0)</f>
        <v/>
      </c>
      <c r="P3652" s="46" t="n">
        <v>0</v>
      </c>
      <c r="Q3652" s="46">
        <f>INDEX(OnlineUnitsCol,A3652)*O3652*(1+OnlineGrowth)*N3652*H3652*IF(A3652&gt;=I3652,1,0)</f>
        <v/>
      </c>
      <c r="R3652" s="46">
        <f>Q3652*INDEX(FmtCansPerPack,MATCH(F3652,FmtName,0))/INDEX(FmtCansPerCase,MATCH(F3652,FmtName,0))</f>
        <v/>
      </c>
      <c r="S3652" s="46">
        <f>R3652*INDEX(FmtCansPerCase,MATCH(F3652,FmtName,0))</f>
        <v/>
      </c>
      <c r="T3652" s="46">
        <f>S3652/INDEX(FmtCansPerPack,MATCH(F3652,FmtName,0))</f>
        <v/>
      </c>
      <c r="U3652" s="47">
        <f>INDEX(ProvOnline,MATCH(G3652,ProvCode,0))*(1+PriceIndex)</f>
        <v/>
      </c>
      <c r="V3652" s="47">
        <f>Q3652*U3652*INDEX(FmtBlendedPriceIdx,MATCH(F3652,FmtName,0))</f>
        <v/>
      </c>
      <c r="W3652" s="47">
        <f>V3652</f>
        <v/>
      </c>
      <c r="X3652" s="47">
        <f>IF(GrossBasis="Wholesale",V3652,W3652)</f>
        <v/>
      </c>
      <c r="Y3652" s="47">
        <f>R3652*INDEX(FmtBlendedCogs,MATCH(F3652,FmtName,0))</f>
        <v/>
      </c>
      <c r="Z3652" s="47">
        <f>X3652-Y3652</f>
        <v/>
      </c>
    </row>
    <row r="3653">
      <c r="A3653" t="n">
        <v>48</v>
      </c>
      <c r="B3653" s="44">
        <f>FiscalStart+(A3653-1)*7</f>
        <v/>
      </c>
      <c r="C3653">
        <f>TEXT(B3653,"mmm yyyy")</f>
        <v/>
      </c>
      <c r="D3653">
        <f>"Q"&amp;(INT((A3653-1)/13)+1)</f>
        <v/>
      </c>
      <c r="E3653" t="inlineStr">
        <is>
          <t>Online</t>
        </is>
      </c>
      <c r="F3653">
        <f>IFERROR(INDEX(ChFormat,MATCH(E3653,ChName,0)),"")</f>
        <v/>
      </c>
      <c r="G3653" t="inlineStr">
        <is>
          <t>PE</t>
        </is>
      </c>
      <c r="H3653">
        <f>IF(A3653&lt;=NWeeks,1,0)</f>
        <v/>
      </c>
      <c r="I3653">
        <f>INDEX(ChLaunch,MATCH(E3653,ChName,0))</f>
        <v/>
      </c>
      <c r="J3653">
        <f>INDEX(ChWeeksFull,MATCH(E3653,ChName,0))</f>
        <v/>
      </c>
      <c r="K3653">
        <f>INDEX(ChRamp,MATCH(E3653,ChName,0))</f>
        <v/>
      </c>
      <c r="L3653" s="45">
        <f>MIN(1,MAX(0,(A3653-I3653+1)*RampSpeed/J3653))</f>
        <v/>
      </c>
      <c r="M3653" s="45">
        <f>IF(A3653&lt;I3653,0,IF(K3653="S-curve",L3653*L3653*(3-2*L3653),L3653))</f>
        <v/>
      </c>
      <c r="N3653" s="45">
        <f>1+(INDEX(SeasonIdx,A3653)-1)*SeasonAmp</f>
        <v/>
      </c>
      <c r="O3653" s="45">
        <f>IFERROR(INDEX(PSPct,MATCH(E3653&amp;"|"&amp;G3653,PSKey,0)),0)</f>
        <v/>
      </c>
      <c r="P3653" s="46" t="n">
        <v>0</v>
      </c>
      <c r="Q3653" s="46">
        <f>INDEX(OnlineUnitsCol,A3653)*O3653*(1+OnlineGrowth)*N3653*H3653*IF(A3653&gt;=I3653,1,0)</f>
        <v/>
      </c>
      <c r="R3653" s="46">
        <f>Q3653*INDEX(FmtCansPerPack,MATCH(F3653,FmtName,0))/INDEX(FmtCansPerCase,MATCH(F3653,FmtName,0))</f>
        <v/>
      </c>
      <c r="S3653" s="46">
        <f>R3653*INDEX(FmtCansPerCase,MATCH(F3653,FmtName,0))</f>
        <v/>
      </c>
      <c r="T3653" s="46">
        <f>S3653/INDEX(FmtCansPerPack,MATCH(F3653,FmtName,0))</f>
        <v/>
      </c>
      <c r="U3653" s="47">
        <f>INDEX(ProvOnline,MATCH(G3653,ProvCode,0))*(1+PriceIndex)</f>
        <v/>
      </c>
      <c r="V3653" s="47">
        <f>Q3653*U3653*INDEX(FmtBlendedPriceIdx,MATCH(F3653,FmtName,0))</f>
        <v/>
      </c>
      <c r="W3653" s="47">
        <f>V3653</f>
        <v/>
      </c>
      <c r="X3653" s="47">
        <f>IF(GrossBasis="Wholesale",V3653,W3653)</f>
        <v/>
      </c>
      <c r="Y3653" s="47">
        <f>R3653*INDEX(FmtBlendedCogs,MATCH(F3653,FmtName,0))</f>
        <v/>
      </c>
      <c r="Z3653" s="47">
        <f>X3653-Y3653</f>
        <v/>
      </c>
    </row>
    <row r="3654">
      <c r="A3654" t="n">
        <v>49</v>
      </c>
      <c r="B3654" s="44">
        <f>FiscalStart+(A3654-1)*7</f>
        <v/>
      </c>
      <c r="C3654">
        <f>TEXT(B3654,"mmm yyyy")</f>
        <v/>
      </c>
      <c r="D3654">
        <f>"Q"&amp;(INT((A3654-1)/13)+1)</f>
        <v/>
      </c>
      <c r="E3654" t="inlineStr">
        <is>
          <t>Online</t>
        </is>
      </c>
      <c r="F3654">
        <f>IFERROR(INDEX(ChFormat,MATCH(E3654,ChName,0)),"")</f>
        <v/>
      </c>
      <c r="G3654" t="inlineStr">
        <is>
          <t>PE</t>
        </is>
      </c>
      <c r="H3654">
        <f>IF(A3654&lt;=NWeeks,1,0)</f>
        <v/>
      </c>
      <c r="I3654">
        <f>INDEX(ChLaunch,MATCH(E3654,ChName,0))</f>
        <v/>
      </c>
      <c r="J3654">
        <f>INDEX(ChWeeksFull,MATCH(E3654,ChName,0))</f>
        <v/>
      </c>
      <c r="K3654">
        <f>INDEX(ChRamp,MATCH(E3654,ChName,0))</f>
        <v/>
      </c>
      <c r="L3654" s="45">
        <f>MIN(1,MAX(0,(A3654-I3654+1)*RampSpeed/J3654))</f>
        <v/>
      </c>
      <c r="M3654" s="45">
        <f>IF(A3654&lt;I3654,0,IF(K3654="S-curve",L3654*L3654*(3-2*L3654),L3654))</f>
        <v/>
      </c>
      <c r="N3654" s="45">
        <f>1+(INDEX(SeasonIdx,A3654)-1)*SeasonAmp</f>
        <v/>
      </c>
      <c r="O3654" s="45">
        <f>IFERROR(INDEX(PSPct,MATCH(E3654&amp;"|"&amp;G3654,PSKey,0)),0)</f>
        <v/>
      </c>
      <c r="P3654" s="46" t="n">
        <v>0</v>
      </c>
      <c r="Q3654" s="46">
        <f>INDEX(OnlineUnitsCol,A3654)*O3654*(1+OnlineGrowth)*N3654*H3654*IF(A3654&gt;=I3654,1,0)</f>
        <v/>
      </c>
      <c r="R3654" s="46">
        <f>Q3654*INDEX(FmtCansPerPack,MATCH(F3654,FmtName,0))/INDEX(FmtCansPerCase,MATCH(F3654,FmtName,0))</f>
        <v/>
      </c>
      <c r="S3654" s="46">
        <f>R3654*INDEX(FmtCansPerCase,MATCH(F3654,FmtName,0))</f>
        <v/>
      </c>
      <c r="T3654" s="46">
        <f>S3654/INDEX(FmtCansPerPack,MATCH(F3654,FmtName,0))</f>
        <v/>
      </c>
      <c r="U3654" s="47">
        <f>INDEX(ProvOnline,MATCH(G3654,ProvCode,0))*(1+PriceIndex)</f>
        <v/>
      </c>
      <c r="V3654" s="47">
        <f>Q3654*U3654*INDEX(FmtBlendedPriceIdx,MATCH(F3654,FmtName,0))</f>
        <v/>
      </c>
      <c r="W3654" s="47">
        <f>V3654</f>
        <v/>
      </c>
      <c r="X3654" s="47">
        <f>IF(GrossBasis="Wholesale",V3654,W3654)</f>
        <v/>
      </c>
      <c r="Y3654" s="47">
        <f>R3654*INDEX(FmtBlendedCogs,MATCH(F3654,FmtName,0))</f>
        <v/>
      </c>
      <c r="Z3654" s="47">
        <f>X3654-Y3654</f>
        <v/>
      </c>
    </row>
    <row r="3655">
      <c r="A3655" t="n">
        <v>50</v>
      </c>
      <c r="B3655" s="44">
        <f>FiscalStart+(A3655-1)*7</f>
        <v/>
      </c>
      <c r="C3655">
        <f>TEXT(B3655,"mmm yyyy")</f>
        <v/>
      </c>
      <c r="D3655">
        <f>"Q"&amp;(INT((A3655-1)/13)+1)</f>
        <v/>
      </c>
      <c r="E3655" t="inlineStr">
        <is>
          <t>Online</t>
        </is>
      </c>
      <c r="F3655">
        <f>IFERROR(INDEX(ChFormat,MATCH(E3655,ChName,0)),"")</f>
        <v/>
      </c>
      <c r="G3655" t="inlineStr">
        <is>
          <t>PE</t>
        </is>
      </c>
      <c r="H3655">
        <f>IF(A3655&lt;=NWeeks,1,0)</f>
        <v/>
      </c>
      <c r="I3655">
        <f>INDEX(ChLaunch,MATCH(E3655,ChName,0))</f>
        <v/>
      </c>
      <c r="J3655">
        <f>INDEX(ChWeeksFull,MATCH(E3655,ChName,0))</f>
        <v/>
      </c>
      <c r="K3655">
        <f>INDEX(ChRamp,MATCH(E3655,ChName,0))</f>
        <v/>
      </c>
      <c r="L3655" s="45">
        <f>MIN(1,MAX(0,(A3655-I3655+1)*RampSpeed/J3655))</f>
        <v/>
      </c>
      <c r="M3655" s="45">
        <f>IF(A3655&lt;I3655,0,IF(K3655="S-curve",L3655*L3655*(3-2*L3655),L3655))</f>
        <v/>
      </c>
      <c r="N3655" s="45">
        <f>1+(INDEX(SeasonIdx,A3655)-1)*SeasonAmp</f>
        <v/>
      </c>
      <c r="O3655" s="45">
        <f>IFERROR(INDEX(PSPct,MATCH(E3655&amp;"|"&amp;G3655,PSKey,0)),0)</f>
        <v/>
      </c>
      <c r="P3655" s="46" t="n">
        <v>0</v>
      </c>
      <c r="Q3655" s="46">
        <f>INDEX(OnlineUnitsCol,A3655)*O3655*(1+OnlineGrowth)*N3655*H3655*IF(A3655&gt;=I3655,1,0)</f>
        <v/>
      </c>
      <c r="R3655" s="46">
        <f>Q3655*INDEX(FmtCansPerPack,MATCH(F3655,FmtName,0))/INDEX(FmtCansPerCase,MATCH(F3655,FmtName,0))</f>
        <v/>
      </c>
      <c r="S3655" s="46">
        <f>R3655*INDEX(FmtCansPerCase,MATCH(F3655,FmtName,0))</f>
        <v/>
      </c>
      <c r="T3655" s="46">
        <f>S3655/INDEX(FmtCansPerPack,MATCH(F3655,FmtName,0))</f>
        <v/>
      </c>
      <c r="U3655" s="47">
        <f>INDEX(ProvOnline,MATCH(G3655,ProvCode,0))*(1+PriceIndex)</f>
        <v/>
      </c>
      <c r="V3655" s="47">
        <f>Q3655*U3655*INDEX(FmtBlendedPriceIdx,MATCH(F3655,FmtName,0))</f>
        <v/>
      </c>
      <c r="W3655" s="47">
        <f>V3655</f>
        <v/>
      </c>
      <c r="X3655" s="47">
        <f>IF(GrossBasis="Wholesale",V3655,W3655)</f>
        <v/>
      </c>
      <c r="Y3655" s="47">
        <f>R3655*INDEX(FmtBlendedCogs,MATCH(F3655,FmtName,0))</f>
        <v/>
      </c>
      <c r="Z3655" s="47">
        <f>X3655-Y3655</f>
        <v/>
      </c>
    </row>
    <row r="3656">
      <c r="A3656" t="n">
        <v>51</v>
      </c>
      <c r="B3656" s="44">
        <f>FiscalStart+(A3656-1)*7</f>
        <v/>
      </c>
      <c r="C3656">
        <f>TEXT(B3656,"mmm yyyy")</f>
        <v/>
      </c>
      <c r="D3656">
        <f>"Q"&amp;(INT((A3656-1)/13)+1)</f>
        <v/>
      </c>
      <c r="E3656" t="inlineStr">
        <is>
          <t>Online</t>
        </is>
      </c>
      <c r="F3656">
        <f>IFERROR(INDEX(ChFormat,MATCH(E3656,ChName,0)),"")</f>
        <v/>
      </c>
      <c r="G3656" t="inlineStr">
        <is>
          <t>PE</t>
        </is>
      </c>
      <c r="H3656">
        <f>IF(A3656&lt;=NWeeks,1,0)</f>
        <v/>
      </c>
      <c r="I3656">
        <f>INDEX(ChLaunch,MATCH(E3656,ChName,0))</f>
        <v/>
      </c>
      <c r="J3656">
        <f>INDEX(ChWeeksFull,MATCH(E3656,ChName,0))</f>
        <v/>
      </c>
      <c r="K3656">
        <f>INDEX(ChRamp,MATCH(E3656,ChName,0))</f>
        <v/>
      </c>
      <c r="L3656" s="45">
        <f>MIN(1,MAX(0,(A3656-I3656+1)*RampSpeed/J3656))</f>
        <v/>
      </c>
      <c r="M3656" s="45">
        <f>IF(A3656&lt;I3656,0,IF(K3656="S-curve",L3656*L3656*(3-2*L3656),L3656))</f>
        <v/>
      </c>
      <c r="N3656" s="45">
        <f>1+(INDEX(SeasonIdx,A3656)-1)*SeasonAmp</f>
        <v/>
      </c>
      <c r="O3656" s="45">
        <f>IFERROR(INDEX(PSPct,MATCH(E3656&amp;"|"&amp;G3656,PSKey,0)),0)</f>
        <v/>
      </c>
      <c r="P3656" s="46" t="n">
        <v>0</v>
      </c>
      <c r="Q3656" s="46">
        <f>INDEX(OnlineUnitsCol,A3656)*O3656*(1+OnlineGrowth)*N3656*H3656*IF(A3656&gt;=I3656,1,0)</f>
        <v/>
      </c>
      <c r="R3656" s="46">
        <f>Q3656*INDEX(FmtCansPerPack,MATCH(F3656,FmtName,0))/INDEX(FmtCansPerCase,MATCH(F3656,FmtName,0))</f>
        <v/>
      </c>
      <c r="S3656" s="46">
        <f>R3656*INDEX(FmtCansPerCase,MATCH(F3656,FmtName,0))</f>
        <v/>
      </c>
      <c r="T3656" s="46">
        <f>S3656/INDEX(FmtCansPerPack,MATCH(F3656,FmtName,0))</f>
        <v/>
      </c>
      <c r="U3656" s="47">
        <f>INDEX(ProvOnline,MATCH(G3656,ProvCode,0))*(1+PriceIndex)</f>
        <v/>
      </c>
      <c r="V3656" s="47">
        <f>Q3656*U3656*INDEX(FmtBlendedPriceIdx,MATCH(F3656,FmtName,0))</f>
        <v/>
      </c>
      <c r="W3656" s="47">
        <f>V3656</f>
        <v/>
      </c>
      <c r="X3656" s="47">
        <f>IF(GrossBasis="Wholesale",V3656,W3656)</f>
        <v/>
      </c>
      <c r="Y3656" s="47">
        <f>R3656*INDEX(FmtBlendedCogs,MATCH(F3656,FmtName,0))</f>
        <v/>
      </c>
      <c r="Z3656" s="47">
        <f>X3656-Y3656</f>
        <v/>
      </c>
    </row>
    <row r="3657">
      <c r="A3657" t="n">
        <v>52</v>
      </c>
      <c r="B3657" s="44">
        <f>FiscalStart+(A3657-1)*7</f>
        <v/>
      </c>
      <c r="C3657">
        <f>TEXT(B3657,"mmm yyyy")</f>
        <v/>
      </c>
      <c r="D3657">
        <f>"Q"&amp;(INT((A3657-1)/13)+1)</f>
        <v/>
      </c>
      <c r="E3657" t="inlineStr">
        <is>
          <t>Online</t>
        </is>
      </c>
      <c r="F3657">
        <f>IFERROR(INDEX(ChFormat,MATCH(E3657,ChName,0)),"")</f>
        <v/>
      </c>
      <c r="G3657" t="inlineStr">
        <is>
          <t>PE</t>
        </is>
      </c>
      <c r="H3657">
        <f>IF(A3657&lt;=NWeeks,1,0)</f>
        <v/>
      </c>
      <c r="I3657">
        <f>INDEX(ChLaunch,MATCH(E3657,ChName,0))</f>
        <v/>
      </c>
      <c r="J3657">
        <f>INDEX(ChWeeksFull,MATCH(E3657,ChName,0))</f>
        <v/>
      </c>
      <c r="K3657">
        <f>INDEX(ChRamp,MATCH(E3657,ChName,0))</f>
        <v/>
      </c>
      <c r="L3657" s="45">
        <f>MIN(1,MAX(0,(A3657-I3657+1)*RampSpeed/J3657))</f>
        <v/>
      </c>
      <c r="M3657" s="45">
        <f>IF(A3657&lt;I3657,0,IF(K3657="S-curve",L3657*L3657*(3-2*L3657),L3657))</f>
        <v/>
      </c>
      <c r="N3657" s="45">
        <f>1+(INDEX(SeasonIdx,A3657)-1)*SeasonAmp</f>
        <v/>
      </c>
      <c r="O3657" s="45">
        <f>IFERROR(INDEX(PSPct,MATCH(E3657&amp;"|"&amp;G3657,PSKey,0)),0)</f>
        <v/>
      </c>
      <c r="P3657" s="46" t="n">
        <v>0</v>
      </c>
      <c r="Q3657" s="46">
        <f>INDEX(OnlineUnitsCol,A3657)*O3657*(1+OnlineGrowth)*N3657*H3657*IF(A3657&gt;=I3657,1,0)</f>
        <v/>
      </c>
      <c r="R3657" s="46">
        <f>Q3657*INDEX(FmtCansPerPack,MATCH(F3657,FmtName,0))/INDEX(FmtCansPerCase,MATCH(F3657,FmtName,0))</f>
        <v/>
      </c>
      <c r="S3657" s="46">
        <f>R3657*INDEX(FmtCansPerCase,MATCH(F3657,FmtName,0))</f>
        <v/>
      </c>
      <c r="T3657" s="46">
        <f>S3657/INDEX(FmtCansPerPack,MATCH(F3657,FmtName,0))</f>
        <v/>
      </c>
      <c r="U3657" s="47">
        <f>INDEX(ProvOnline,MATCH(G3657,ProvCode,0))*(1+PriceIndex)</f>
        <v/>
      </c>
      <c r="V3657" s="47">
        <f>Q3657*U3657*INDEX(FmtBlendedPriceIdx,MATCH(F3657,FmtName,0))</f>
        <v/>
      </c>
      <c r="W3657" s="47">
        <f>V3657</f>
        <v/>
      </c>
      <c r="X3657" s="47">
        <f>IF(GrossBasis="Wholesale",V3657,W3657)</f>
        <v/>
      </c>
      <c r="Y3657" s="47">
        <f>R3657*INDEX(FmtBlendedCogs,MATCH(F3657,FmtName,0))</f>
        <v/>
      </c>
      <c r="Z3657" s="47">
        <f>X3657-Y3657</f>
        <v/>
      </c>
    </row>
    <row r="3658">
      <c r="A3658" t="n">
        <v>53</v>
      </c>
      <c r="B3658" s="44">
        <f>FiscalStart+(A3658-1)*7</f>
        <v/>
      </c>
      <c r="C3658">
        <f>TEXT(B3658,"mmm yyyy")</f>
        <v/>
      </c>
      <c r="D3658">
        <f>"Q"&amp;(INT((A3658-1)/13)+1)</f>
        <v/>
      </c>
      <c r="E3658" t="inlineStr">
        <is>
          <t>Online</t>
        </is>
      </c>
      <c r="F3658">
        <f>IFERROR(INDEX(ChFormat,MATCH(E3658,ChName,0)),"")</f>
        <v/>
      </c>
      <c r="G3658" t="inlineStr">
        <is>
          <t>PE</t>
        </is>
      </c>
      <c r="H3658">
        <f>IF(A3658&lt;=NWeeks,1,0)</f>
        <v/>
      </c>
      <c r="I3658">
        <f>INDEX(ChLaunch,MATCH(E3658,ChName,0))</f>
        <v/>
      </c>
      <c r="J3658">
        <f>INDEX(ChWeeksFull,MATCH(E3658,ChName,0))</f>
        <v/>
      </c>
      <c r="K3658">
        <f>INDEX(ChRamp,MATCH(E3658,ChName,0))</f>
        <v/>
      </c>
      <c r="L3658" s="45">
        <f>MIN(1,MAX(0,(A3658-I3658+1)*RampSpeed/J3658))</f>
        <v/>
      </c>
      <c r="M3658" s="45">
        <f>IF(A3658&lt;I3658,0,IF(K3658="S-curve",L3658*L3658*(3-2*L3658),L3658))</f>
        <v/>
      </c>
      <c r="N3658" s="45">
        <f>1+(INDEX(SeasonIdx,A3658)-1)*SeasonAmp</f>
        <v/>
      </c>
      <c r="O3658" s="45">
        <f>IFERROR(INDEX(PSPct,MATCH(E3658&amp;"|"&amp;G3658,PSKey,0)),0)</f>
        <v/>
      </c>
      <c r="P3658" s="46" t="n">
        <v>0</v>
      </c>
      <c r="Q3658" s="46">
        <f>INDEX(OnlineUnitsCol,A3658)*O3658*(1+OnlineGrowth)*N3658*H3658*IF(A3658&gt;=I3658,1,0)</f>
        <v/>
      </c>
      <c r="R3658" s="46">
        <f>Q3658*INDEX(FmtCansPerPack,MATCH(F3658,FmtName,0))/INDEX(FmtCansPerCase,MATCH(F3658,FmtName,0))</f>
        <v/>
      </c>
      <c r="S3658" s="46">
        <f>R3658*INDEX(FmtCansPerCase,MATCH(F3658,FmtName,0))</f>
        <v/>
      </c>
      <c r="T3658" s="46">
        <f>S3658/INDEX(FmtCansPerPack,MATCH(F3658,FmtName,0))</f>
        <v/>
      </c>
      <c r="U3658" s="47">
        <f>INDEX(ProvOnline,MATCH(G3658,ProvCode,0))*(1+PriceIndex)</f>
        <v/>
      </c>
      <c r="V3658" s="47">
        <f>Q3658*U3658*INDEX(FmtBlendedPriceIdx,MATCH(F3658,FmtName,0))</f>
        <v/>
      </c>
      <c r="W3658" s="47">
        <f>V3658</f>
        <v/>
      </c>
      <c r="X3658" s="47">
        <f>IF(GrossBasis="Wholesale",V3658,W3658)</f>
        <v/>
      </c>
      <c r="Y3658" s="47">
        <f>R3658*INDEX(FmtBlendedCogs,MATCH(F3658,FmtName,0))</f>
        <v/>
      </c>
      <c r="Z3658" s="47">
        <f>X3658-Y3658</f>
        <v/>
      </c>
    </row>
    <row r="3659">
      <c r="A3659" t="n">
        <v>1</v>
      </c>
      <c r="B3659" s="44">
        <f>FiscalStart+(A3659-1)*7</f>
        <v/>
      </c>
      <c r="C3659">
        <f>TEXT(B3659,"mmm yyyy")</f>
        <v/>
      </c>
      <c r="D3659">
        <f>"Q"&amp;(INT((A3659-1)/13)+1)</f>
        <v/>
      </c>
      <c r="E3659" t="inlineStr">
        <is>
          <t>Online</t>
        </is>
      </c>
      <c r="F3659">
        <f>IFERROR(INDEX(ChFormat,MATCH(E3659,ChName,0)),"")</f>
        <v/>
      </c>
      <c r="G3659" t="inlineStr">
        <is>
          <t>NL</t>
        </is>
      </c>
      <c r="H3659">
        <f>IF(A3659&lt;=NWeeks,1,0)</f>
        <v/>
      </c>
      <c r="I3659">
        <f>INDEX(ChLaunch,MATCH(E3659,ChName,0))</f>
        <v/>
      </c>
      <c r="J3659">
        <f>INDEX(ChWeeksFull,MATCH(E3659,ChName,0))</f>
        <v/>
      </c>
      <c r="K3659">
        <f>INDEX(ChRamp,MATCH(E3659,ChName,0))</f>
        <v/>
      </c>
      <c r="L3659" s="45">
        <f>MIN(1,MAX(0,(A3659-I3659+1)*RampSpeed/J3659))</f>
        <v/>
      </c>
      <c r="M3659" s="45">
        <f>IF(A3659&lt;I3659,0,IF(K3659="S-curve",L3659*L3659*(3-2*L3659),L3659))</f>
        <v/>
      </c>
      <c r="N3659" s="45">
        <f>1+(INDEX(SeasonIdx,A3659)-1)*SeasonAmp</f>
        <v/>
      </c>
      <c r="O3659" s="45">
        <f>IFERROR(INDEX(PSPct,MATCH(E3659&amp;"|"&amp;G3659,PSKey,0)),0)</f>
        <v/>
      </c>
      <c r="P3659" s="46" t="n">
        <v>0</v>
      </c>
      <c r="Q3659" s="46">
        <f>INDEX(OnlineUnitsCol,A3659)*O3659*(1+OnlineGrowth)*N3659*H3659*IF(A3659&gt;=I3659,1,0)</f>
        <v/>
      </c>
      <c r="R3659" s="46">
        <f>Q3659*INDEX(FmtCansPerPack,MATCH(F3659,FmtName,0))/INDEX(FmtCansPerCase,MATCH(F3659,FmtName,0))</f>
        <v/>
      </c>
      <c r="S3659" s="46">
        <f>R3659*INDEX(FmtCansPerCase,MATCH(F3659,FmtName,0))</f>
        <v/>
      </c>
      <c r="T3659" s="46">
        <f>S3659/INDEX(FmtCansPerPack,MATCH(F3659,FmtName,0))</f>
        <v/>
      </c>
      <c r="U3659" s="47">
        <f>INDEX(ProvOnline,MATCH(G3659,ProvCode,0))*(1+PriceIndex)</f>
        <v/>
      </c>
      <c r="V3659" s="47">
        <f>Q3659*U3659*INDEX(FmtBlendedPriceIdx,MATCH(F3659,FmtName,0))</f>
        <v/>
      </c>
      <c r="W3659" s="47">
        <f>V3659</f>
        <v/>
      </c>
      <c r="X3659" s="47">
        <f>IF(GrossBasis="Wholesale",V3659,W3659)</f>
        <v/>
      </c>
      <c r="Y3659" s="47">
        <f>R3659*INDEX(FmtBlendedCogs,MATCH(F3659,FmtName,0))</f>
        <v/>
      </c>
      <c r="Z3659" s="47">
        <f>X3659-Y3659</f>
        <v/>
      </c>
    </row>
    <row r="3660">
      <c r="A3660" t="n">
        <v>2</v>
      </c>
      <c r="B3660" s="44">
        <f>FiscalStart+(A3660-1)*7</f>
        <v/>
      </c>
      <c r="C3660">
        <f>TEXT(B3660,"mmm yyyy")</f>
        <v/>
      </c>
      <c r="D3660">
        <f>"Q"&amp;(INT((A3660-1)/13)+1)</f>
        <v/>
      </c>
      <c r="E3660" t="inlineStr">
        <is>
          <t>Online</t>
        </is>
      </c>
      <c r="F3660">
        <f>IFERROR(INDEX(ChFormat,MATCH(E3660,ChName,0)),"")</f>
        <v/>
      </c>
      <c r="G3660" t="inlineStr">
        <is>
          <t>NL</t>
        </is>
      </c>
      <c r="H3660">
        <f>IF(A3660&lt;=NWeeks,1,0)</f>
        <v/>
      </c>
      <c r="I3660">
        <f>INDEX(ChLaunch,MATCH(E3660,ChName,0))</f>
        <v/>
      </c>
      <c r="J3660">
        <f>INDEX(ChWeeksFull,MATCH(E3660,ChName,0))</f>
        <v/>
      </c>
      <c r="K3660">
        <f>INDEX(ChRamp,MATCH(E3660,ChName,0))</f>
        <v/>
      </c>
      <c r="L3660" s="45">
        <f>MIN(1,MAX(0,(A3660-I3660+1)*RampSpeed/J3660))</f>
        <v/>
      </c>
      <c r="M3660" s="45">
        <f>IF(A3660&lt;I3660,0,IF(K3660="S-curve",L3660*L3660*(3-2*L3660),L3660))</f>
        <v/>
      </c>
      <c r="N3660" s="45">
        <f>1+(INDEX(SeasonIdx,A3660)-1)*SeasonAmp</f>
        <v/>
      </c>
      <c r="O3660" s="45">
        <f>IFERROR(INDEX(PSPct,MATCH(E3660&amp;"|"&amp;G3660,PSKey,0)),0)</f>
        <v/>
      </c>
      <c r="P3660" s="46" t="n">
        <v>0</v>
      </c>
      <c r="Q3660" s="46">
        <f>INDEX(OnlineUnitsCol,A3660)*O3660*(1+OnlineGrowth)*N3660*H3660*IF(A3660&gt;=I3660,1,0)</f>
        <v/>
      </c>
      <c r="R3660" s="46">
        <f>Q3660*INDEX(FmtCansPerPack,MATCH(F3660,FmtName,0))/INDEX(FmtCansPerCase,MATCH(F3660,FmtName,0))</f>
        <v/>
      </c>
      <c r="S3660" s="46">
        <f>R3660*INDEX(FmtCansPerCase,MATCH(F3660,FmtName,0))</f>
        <v/>
      </c>
      <c r="T3660" s="46">
        <f>S3660/INDEX(FmtCansPerPack,MATCH(F3660,FmtName,0))</f>
        <v/>
      </c>
      <c r="U3660" s="47">
        <f>INDEX(ProvOnline,MATCH(G3660,ProvCode,0))*(1+PriceIndex)</f>
        <v/>
      </c>
      <c r="V3660" s="47">
        <f>Q3660*U3660*INDEX(FmtBlendedPriceIdx,MATCH(F3660,FmtName,0))</f>
        <v/>
      </c>
      <c r="W3660" s="47">
        <f>V3660</f>
        <v/>
      </c>
      <c r="X3660" s="47">
        <f>IF(GrossBasis="Wholesale",V3660,W3660)</f>
        <v/>
      </c>
      <c r="Y3660" s="47">
        <f>R3660*INDEX(FmtBlendedCogs,MATCH(F3660,FmtName,0))</f>
        <v/>
      </c>
      <c r="Z3660" s="47">
        <f>X3660-Y3660</f>
        <v/>
      </c>
    </row>
    <row r="3661">
      <c r="A3661" t="n">
        <v>3</v>
      </c>
      <c r="B3661" s="44">
        <f>FiscalStart+(A3661-1)*7</f>
        <v/>
      </c>
      <c r="C3661">
        <f>TEXT(B3661,"mmm yyyy")</f>
        <v/>
      </c>
      <c r="D3661">
        <f>"Q"&amp;(INT((A3661-1)/13)+1)</f>
        <v/>
      </c>
      <c r="E3661" t="inlineStr">
        <is>
          <t>Online</t>
        </is>
      </c>
      <c r="F3661">
        <f>IFERROR(INDEX(ChFormat,MATCH(E3661,ChName,0)),"")</f>
        <v/>
      </c>
      <c r="G3661" t="inlineStr">
        <is>
          <t>NL</t>
        </is>
      </c>
      <c r="H3661">
        <f>IF(A3661&lt;=NWeeks,1,0)</f>
        <v/>
      </c>
      <c r="I3661">
        <f>INDEX(ChLaunch,MATCH(E3661,ChName,0))</f>
        <v/>
      </c>
      <c r="J3661">
        <f>INDEX(ChWeeksFull,MATCH(E3661,ChName,0))</f>
        <v/>
      </c>
      <c r="K3661">
        <f>INDEX(ChRamp,MATCH(E3661,ChName,0))</f>
        <v/>
      </c>
      <c r="L3661" s="45">
        <f>MIN(1,MAX(0,(A3661-I3661+1)*RampSpeed/J3661))</f>
        <v/>
      </c>
      <c r="M3661" s="45">
        <f>IF(A3661&lt;I3661,0,IF(K3661="S-curve",L3661*L3661*(3-2*L3661),L3661))</f>
        <v/>
      </c>
      <c r="N3661" s="45">
        <f>1+(INDEX(SeasonIdx,A3661)-1)*SeasonAmp</f>
        <v/>
      </c>
      <c r="O3661" s="45">
        <f>IFERROR(INDEX(PSPct,MATCH(E3661&amp;"|"&amp;G3661,PSKey,0)),0)</f>
        <v/>
      </c>
      <c r="P3661" s="46" t="n">
        <v>0</v>
      </c>
      <c r="Q3661" s="46">
        <f>INDEX(OnlineUnitsCol,A3661)*O3661*(1+OnlineGrowth)*N3661*H3661*IF(A3661&gt;=I3661,1,0)</f>
        <v/>
      </c>
      <c r="R3661" s="46">
        <f>Q3661*INDEX(FmtCansPerPack,MATCH(F3661,FmtName,0))/INDEX(FmtCansPerCase,MATCH(F3661,FmtName,0))</f>
        <v/>
      </c>
      <c r="S3661" s="46">
        <f>R3661*INDEX(FmtCansPerCase,MATCH(F3661,FmtName,0))</f>
        <v/>
      </c>
      <c r="T3661" s="46">
        <f>S3661/INDEX(FmtCansPerPack,MATCH(F3661,FmtName,0))</f>
        <v/>
      </c>
      <c r="U3661" s="47">
        <f>INDEX(ProvOnline,MATCH(G3661,ProvCode,0))*(1+PriceIndex)</f>
        <v/>
      </c>
      <c r="V3661" s="47">
        <f>Q3661*U3661*INDEX(FmtBlendedPriceIdx,MATCH(F3661,FmtName,0))</f>
        <v/>
      </c>
      <c r="W3661" s="47">
        <f>V3661</f>
        <v/>
      </c>
      <c r="X3661" s="47">
        <f>IF(GrossBasis="Wholesale",V3661,W3661)</f>
        <v/>
      </c>
      <c r="Y3661" s="47">
        <f>R3661*INDEX(FmtBlendedCogs,MATCH(F3661,FmtName,0))</f>
        <v/>
      </c>
      <c r="Z3661" s="47">
        <f>X3661-Y3661</f>
        <v/>
      </c>
    </row>
    <row r="3662">
      <c r="A3662" t="n">
        <v>4</v>
      </c>
      <c r="B3662" s="44">
        <f>FiscalStart+(A3662-1)*7</f>
        <v/>
      </c>
      <c r="C3662">
        <f>TEXT(B3662,"mmm yyyy")</f>
        <v/>
      </c>
      <c r="D3662">
        <f>"Q"&amp;(INT((A3662-1)/13)+1)</f>
        <v/>
      </c>
      <c r="E3662" t="inlineStr">
        <is>
          <t>Online</t>
        </is>
      </c>
      <c r="F3662">
        <f>IFERROR(INDEX(ChFormat,MATCH(E3662,ChName,0)),"")</f>
        <v/>
      </c>
      <c r="G3662" t="inlineStr">
        <is>
          <t>NL</t>
        </is>
      </c>
      <c r="H3662">
        <f>IF(A3662&lt;=NWeeks,1,0)</f>
        <v/>
      </c>
      <c r="I3662">
        <f>INDEX(ChLaunch,MATCH(E3662,ChName,0))</f>
        <v/>
      </c>
      <c r="J3662">
        <f>INDEX(ChWeeksFull,MATCH(E3662,ChName,0))</f>
        <v/>
      </c>
      <c r="K3662">
        <f>INDEX(ChRamp,MATCH(E3662,ChName,0))</f>
        <v/>
      </c>
      <c r="L3662" s="45">
        <f>MIN(1,MAX(0,(A3662-I3662+1)*RampSpeed/J3662))</f>
        <v/>
      </c>
      <c r="M3662" s="45">
        <f>IF(A3662&lt;I3662,0,IF(K3662="S-curve",L3662*L3662*(3-2*L3662),L3662))</f>
        <v/>
      </c>
      <c r="N3662" s="45">
        <f>1+(INDEX(SeasonIdx,A3662)-1)*SeasonAmp</f>
        <v/>
      </c>
      <c r="O3662" s="45">
        <f>IFERROR(INDEX(PSPct,MATCH(E3662&amp;"|"&amp;G3662,PSKey,0)),0)</f>
        <v/>
      </c>
      <c r="P3662" s="46" t="n">
        <v>0</v>
      </c>
      <c r="Q3662" s="46">
        <f>INDEX(OnlineUnitsCol,A3662)*O3662*(1+OnlineGrowth)*N3662*H3662*IF(A3662&gt;=I3662,1,0)</f>
        <v/>
      </c>
      <c r="R3662" s="46">
        <f>Q3662*INDEX(FmtCansPerPack,MATCH(F3662,FmtName,0))/INDEX(FmtCansPerCase,MATCH(F3662,FmtName,0))</f>
        <v/>
      </c>
      <c r="S3662" s="46">
        <f>R3662*INDEX(FmtCansPerCase,MATCH(F3662,FmtName,0))</f>
        <v/>
      </c>
      <c r="T3662" s="46">
        <f>S3662/INDEX(FmtCansPerPack,MATCH(F3662,FmtName,0))</f>
        <v/>
      </c>
      <c r="U3662" s="47">
        <f>INDEX(ProvOnline,MATCH(G3662,ProvCode,0))*(1+PriceIndex)</f>
        <v/>
      </c>
      <c r="V3662" s="47">
        <f>Q3662*U3662*INDEX(FmtBlendedPriceIdx,MATCH(F3662,FmtName,0))</f>
        <v/>
      </c>
      <c r="W3662" s="47">
        <f>V3662</f>
        <v/>
      </c>
      <c r="X3662" s="47">
        <f>IF(GrossBasis="Wholesale",V3662,W3662)</f>
        <v/>
      </c>
      <c r="Y3662" s="47">
        <f>R3662*INDEX(FmtBlendedCogs,MATCH(F3662,FmtName,0))</f>
        <v/>
      </c>
      <c r="Z3662" s="47">
        <f>X3662-Y3662</f>
        <v/>
      </c>
    </row>
    <row r="3663">
      <c r="A3663" t="n">
        <v>5</v>
      </c>
      <c r="B3663" s="44">
        <f>FiscalStart+(A3663-1)*7</f>
        <v/>
      </c>
      <c r="C3663">
        <f>TEXT(B3663,"mmm yyyy")</f>
        <v/>
      </c>
      <c r="D3663">
        <f>"Q"&amp;(INT((A3663-1)/13)+1)</f>
        <v/>
      </c>
      <c r="E3663" t="inlineStr">
        <is>
          <t>Online</t>
        </is>
      </c>
      <c r="F3663">
        <f>IFERROR(INDEX(ChFormat,MATCH(E3663,ChName,0)),"")</f>
        <v/>
      </c>
      <c r="G3663" t="inlineStr">
        <is>
          <t>NL</t>
        </is>
      </c>
      <c r="H3663">
        <f>IF(A3663&lt;=NWeeks,1,0)</f>
        <v/>
      </c>
      <c r="I3663">
        <f>INDEX(ChLaunch,MATCH(E3663,ChName,0))</f>
        <v/>
      </c>
      <c r="J3663">
        <f>INDEX(ChWeeksFull,MATCH(E3663,ChName,0))</f>
        <v/>
      </c>
      <c r="K3663">
        <f>INDEX(ChRamp,MATCH(E3663,ChName,0))</f>
        <v/>
      </c>
      <c r="L3663" s="45">
        <f>MIN(1,MAX(0,(A3663-I3663+1)*RampSpeed/J3663))</f>
        <v/>
      </c>
      <c r="M3663" s="45">
        <f>IF(A3663&lt;I3663,0,IF(K3663="S-curve",L3663*L3663*(3-2*L3663),L3663))</f>
        <v/>
      </c>
      <c r="N3663" s="45">
        <f>1+(INDEX(SeasonIdx,A3663)-1)*SeasonAmp</f>
        <v/>
      </c>
      <c r="O3663" s="45">
        <f>IFERROR(INDEX(PSPct,MATCH(E3663&amp;"|"&amp;G3663,PSKey,0)),0)</f>
        <v/>
      </c>
      <c r="P3663" s="46" t="n">
        <v>0</v>
      </c>
      <c r="Q3663" s="46">
        <f>INDEX(OnlineUnitsCol,A3663)*O3663*(1+OnlineGrowth)*N3663*H3663*IF(A3663&gt;=I3663,1,0)</f>
        <v/>
      </c>
      <c r="R3663" s="46">
        <f>Q3663*INDEX(FmtCansPerPack,MATCH(F3663,FmtName,0))/INDEX(FmtCansPerCase,MATCH(F3663,FmtName,0))</f>
        <v/>
      </c>
      <c r="S3663" s="46">
        <f>R3663*INDEX(FmtCansPerCase,MATCH(F3663,FmtName,0))</f>
        <v/>
      </c>
      <c r="T3663" s="46">
        <f>S3663/INDEX(FmtCansPerPack,MATCH(F3663,FmtName,0))</f>
        <v/>
      </c>
      <c r="U3663" s="47">
        <f>INDEX(ProvOnline,MATCH(G3663,ProvCode,0))*(1+PriceIndex)</f>
        <v/>
      </c>
      <c r="V3663" s="47">
        <f>Q3663*U3663*INDEX(FmtBlendedPriceIdx,MATCH(F3663,FmtName,0))</f>
        <v/>
      </c>
      <c r="W3663" s="47">
        <f>V3663</f>
        <v/>
      </c>
      <c r="X3663" s="47">
        <f>IF(GrossBasis="Wholesale",V3663,W3663)</f>
        <v/>
      </c>
      <c r="Y3663" s="47">
        <f>R3663*INDEX(FmtBlendedCogs,MATCH(F3663,FmtName,0))</f>
        <v/>
      </c>
      <c r="Z3663" s="47">
        <f>X3663-Y3663</f>
        <v/>
      </c>
    </row>
    <row r="3664">
      <c r="A3664" t="n">
        <v>6</v>
      </c>
      <c r="B3664" s="44">
        <f>FiscalStart+(A3664-1)*7</f>
        <v/>
      </c>
      <c r="C3664">
        <f>TEXT(B3664,"mmm yyyy")</f>
        <v/>
      </c>
      <c r="D3664">
        <f>"Q"&amp;(INT((A3664-1)/13)+1)</f>
        <v/>
      </c>
      <c r="E3664" t="inlineStr">
        <is>
          <t>Online</t>
        </is>
      </c>
      <c r="F3664">
        <f>IFERROR(INDEX(ChFormat,MATCH(E3664,ChName,0)),"")</f>
        <v/>
      </c>
      <c r="G3664" t="inlineStr">
        <is>
          <t>NL</t>
        </is>
      </c>
      <c r="H3664">
        <f>IF(A3664&lt;=NWeeks,1,0)</f>
        <v/>
      </c>
      <c r="I3664">
        <f>INDEX(ChLaunch,MATCH(E3664,ChName,0))</f>
        <v/>
      </c>
      <c r="J3664">
        <f>INDEX(ChWeeksFull,MATCH(E3664,ChName,0))</f>
        <v/>
      </c>
      <c r="K3664">
        <f>INDEX(ChRamp,MATCH(E3664,ChName,0))</f>
        <v/>
      </c>
      <c r="L3664" s="45">
        <f>MIN(1,MAX(0,(A3664-I3664+1)*RampSpeed/J3664))</f>
        <v/>
      </c>
      <c r="M3664" s="45">
        <f>IF(A3664&lt;I3664,0,IF(K3664="S-curve",L3664*L3664*(3-2*L3664),L3664))</f>
        <v/>
      </c>
      <c r="N3664" s="45">
        <f>1+(INDEX(SeasonIdx,A3664)-1)*SeasonAmp</f>
        <v/>
      </c>
      <c r="O3664" s="45">
        <f>IFERROR(INDEX(PSPct,MATCH(E3664&amp;"|"&amp;G3664,PSKey,0)),0)</f>
        <v/>
      </c>
      <c r="P3664" s="46" t="n">
        <v>0</v>
      </c>
      <c r="Q3664" s="46">
        <f>INDEX(OnlineUnitsCol,A3664)*O3664*(1+OnlineGrowth)*N3664*H3664*IF(A3664&gt;=I3664,1,0)</f>
        <v/>
      </c>
      <c r="R3664" s="46">
        <f>Q3664*INDEX(FmtCansPerPack,MATCH(F3664,FmtName,0))/INDEX(FmtCansPerCase,MATCH(F3664,FmtName,0))</f>
        <v/>
      </c>
      <c r="S3664" s="46">
        <f>R3664*INDEX(FmtCansPerCase,MATCH(F3664,FmtName,0))</f>
        <v/>
      </c>
      <c r="T3664" s="46">
        <f>S3664/INDEX(FmtCansPerPack,MATCH(F3664,FmtName,0))</f>
        <v/>
      </c>
      <c r="U3664" s="47">
        <f>INDEX(ProvOnline,MATCH(G3664,ProvCode,0))*(1+PriceIndex)</f>
        <v/>
      </c>
      <c r="V3664" s="47">
        <f>Q3664*U3664*INDEX(FmtBlendedPriceIdx,MATCH(F3664,FmtName,0))</f>
        <v/>
      </c>
      <c r="W3664" s="47">
        <f>V3664</f>
        <v/>
      </c>
      <c r="X3664" s="47">
        <f>IF(GrossBasis="Wholesale",V3664,W3664)</f>
        <v/>
      </c>
      <c r="Y3664" s="47">
        <f>R3664*INDEX(FmtBlendedCogs,MATCH(F3664,FmtName,0))</f>
        <v/>
      </c>
      <c r="Z3664" s="47">
        <f>X3664-Y3664</f>
        <v/>
      </c>
    </row>
    <row r="3665">
      <c r="A3665" t="n">
        <v>7</v>
      </c>
      <c r="B3665" s="44">
        <f>FiscalStart+(A3665-1)*7</f>
        <v/>
      </c>
      <c r="C3665">
        <f>TEXT(B3665,"mmm yyyy")</f>
        <v/>
      </c>
      <c r="D3665">
        <f>"Q"&amp;(INT((A3665-1)/13)+1)</f>
        <v/>
      </c>
      <c r="E3665" t="inlineStr">
        <is>
          <t>Online</t>
        </is>
      </c>
      <c r="F3665">
        <f>IFERROR(INDEX(ChFormat,MATCH(E3665,ChName,0)),"")</f>
        <v/>
      </c>
      <c r="G3665" t="inlineStr">
        <is>
          <t>NL</t>
        </is>
      </c>
      <c r="H3665">
        <f>IF(A3665&lt;=NWeeks,1,0)</f>
        <v/>
      </c>
      <c r="I3665">
        <f>INDEX(ChLaunch,MATCH(E3665,ChName,0))</f>
        <v/>
      </c>
      <c r="J3665">
        <f>INDEX(ChWeeksFull,MATCH(E3665,ChName,0))</f>
        <v/>
      </c>
      <c r="K3665">
        <f>INDEX(ChRamp,MATCH(E3665,ChName,0))</f>
        <v/>
      </c>
      <c r="L3665" s="45">
        <f>MIN(1,MAX(0,(A3665-I3665+1)*RampSpeed/J3665))</f>
        <v/>
      </c>
      <c r="M3665" s="45">
        <f>IF(A3665&lt;I3665,0,IF(K3665="S-curve",L3665*L3665*(3-2*L3665),L3665))</f>
        <v/>
      </c>
      <c r="N3665" s="45">
        <f>1+(INDEX(SeasonIdx,A3665)-1)*SeasonAmp</f>
        <v/>
      </c>
      <c r="O3665" s="45">
        <f>IFERROR(INDEX(PSPct,MATCH(E3665&amp;"|"&amp;G3665,PSKey,0)),0)</f>
        <v/>
      </c>
      <c r="P3665" s="46" t="n">
        <v>0</v>
      </c>
      <c r="Q3665" s="46">
        <f>INDEX(OnlineUnitsCol,A3665)*O3665*(1+OnlineGrowth)*N3665*H3665*IF(A3665&gt;=I3665,1,0)</f>
        <v/>
      </c>
      <c r="R3665" s="46">
        <f>Q3665*INDEX(FmtCansPerPack,MATCH(F3665,FmtName,0))/INDEX(FmtCansPerCase,MATCH(F3665,FmtName,0))</f>
        <v/>
      </c>
      <c r="S3665" s="46">
        <f>R3665*INDEX(FmtCansPerCase,MATCH(F3665,FmtName,0))</f>
        <v/>
      </c>
      <c r="T3665" s="46">
        <f>S3665/INDEX(FmtCansPerPack,MATCH(F3665,FmtName,0))</f>
        <v/>
      </c>
      <c r="U3665" s="47">
        <f>INDEX(ProvOnline,MATCH(G3665,ProvCode,0))*(1+PriceIndex)</f>
        <v/>
      </c>
      <c r="V3665" s="47">
        <f>Q3665*U3665*INDEX(FmtBlendedPriceIdx,MATCH(F3665,FmtName,0))</f>
        <v/>
      </c>
      <c r="W3665" s="47">
        <f>V3665</f>
        <v/>
      </c>
      <c r="X3665" s="47">
        <f>IF(GrossBasis="Wholesale",V3665,W3665)</f>
        <v/>
      </c>
      <c r="Y3665" s="47">
        <f>R3665*INDEX(FmtBlendedCogs,MATCH(F3665,FmtName,0))</f>
        <v/>
      </c>
      <c r="Z3665" s="47">
        <f>X3665-Y3665</f>
        <v/>
      </c>
    </row>
    <row r="3666">
      <c r="A3666" t="n">
        <v>8</v>
      </c>
      <c r="B3666" s="44">
        <f>FiscalStart+(A3666-1)*7</f>
        <v/>
      </c>
      <c r="C3666">
        <f>TEXT(B3666,"mmm yyyy")</f>
        <v/>
      </c>
      <c r="D3666">
        <f>"Q"&amp;(INT((A3666-1)/13)+1)</f>
        <v/>
      </c>
      <c r="E3666" t="inlineStr">
        <is>
          <t>Online</t>
        </is>
      </c>
      <c r="F3666">
        <f>IFERROR(INDEX(ChFormat,MATCH(E3666,ChName,0)),"")</f>
        <v/>
      </c>
      <c r="G3666" t="inlineStr">
        <is>
          <t>NL</t>
        </is>
      </c>
      <c r="H3666">
        <f>IF(A3666&lt;=NWeeks,1,0)</f>
        <v/>
      </c>
      <c r="I3666">
        <f>INDEX(ChLaunch,MATCH(E3666,ChName,0))</f>
        <v/>
      </c>
      <c r="J3666">
        <f>INDEX(ChWeeksFull,MATCH(E3666,ChName,0))</f>
        <v/>
      </c>
      <c r="K3666">
        <f>INDEX(ChRamp,MATCH(E3666,ChName,0))</f>
        <v/>
      </c>
      <c r="L3666" s="45">
        <f>MIN(1,MAX(0,(A3666-I3666+1)*RampSpeed/J3666))</f>
        <v/>
      </c>
      <c r="M3666" s="45">
        <f>IF(A3666&lt;I3666,0,IF(K3666="S-curve",L3666*L3666*(3-2*L3666),L3666))</f>
        <v/>
      </c>
      <c r="N3666" s="45">
        <f>1+(INDEX(SeasonIdx,A3666)-1)*SeasonAmp</f>
        <v/>
      </c>
      <c r="O3666" s="45">
        <f>IFERROR(INDEX(PSPct,MATCH(E3666&amp;"|"&amp;G3666,PSKey,0)),0)</f>
        <v/>
      </c>
      <c r="P3666" s="46" t="n">
        <v>0</v>
      </c>
      <c r="Q3666" s="46">
        <f>INDEX(OnlineUnitsCol,A3666)*O3666*(1+OnlineGrowth)*N3666*H3666*IF(A3666&gt;=I3666,1,0)</f>
        <v/>
      </c>
      <c r="R3666" s="46">
        <f>Q3666*INDEX(FmtCansPerPack,MATCH(F3666,FmtName,0))/INDEX(FmtCansPerCase,MATCH(F3666,FmtName,0))</f>
        <v/>
      </c>
      <c r="S3666" s="46">
        <f>R3666*INDEX(FmtCansPerCase,MATCH(F3666,FmtName,0))</f>
        <v/>
      </c>
      <c r="T3666" s="46">
        <f>S3666/INDEX(FmtCansPerPack,MATCH(F3666,FmtName,0))</f>
        <v/>
      </c>
      <c r="U3666" s="47">
        <f>INDEX(ProvOnline,MATCH(G3666,ProvCode,0))*(1+PriceIndex)</f>
        <v/>
      </c>
      <c r="V3666" s="47">
        <f>Q3666*U3666*INDEX(FmtBlendedPriceIdx,MATCH(F3666,FmtName,0))</f>
        <v/>
      </c>
      <c r="W3666" s="47">
        <f>V3666</f>
        <v/>
      </c>
      <c r="X3666" s="47">
        <f>IF(GrossBasis="Wholesale",V3666,W3666)</f>
        <v/>
      </c>
      <c r="Y3666" s="47">
        <f>R3666*INDEX(FmtBlendedCogs,MATCH(F3666,FmtName,0))</f>
        <v/>
      </c>
      <c r="Z3666" s="47">
        <f>X3666-Y3666</f>
        <v/>
      </c>
    </row>
    <row r="3667">
      <c r="A3667" t="n">
        <v>9</v>
      </c>
      <c r="B3667" s="44">
        <f>FiscalStart+(A3667-1)*7</f>
        <v/>
      </c>
      <c r="C3667">
        <f>TEXT(B3667,"mmm yyyy")</f>
        <v/>
      </c>
      <c r="D3667">
        <f>"Q"&amp;(INT((A3667-1)/13)+1)</f>
        <v/>
      </c>
      <c r="E3667" t="inlineStr">
        <is>
          <t>Online</t>
        </is>
      </c>
      <c r="F3667">
        <f>IFERROR(INDEX(ChFormat,MATCH(E3667,ChName,0)),"")</f>
        <v/>
      </c>
      <c r="G3667" t="inlineStr">
        <is>
          <t>NL</t>
        </is>
      </c>
      <c r="H3667">
        <f>IF(A3667&lt;=NWeeks,1,0)</f>
        <v/>
      </c>
      <c r="I3667">
        <f>INDEX(ChLaunch,MATCH(E3667,ChName,0))</f>
        <v/>
      </c>
      <c r="J3667">
        <f>INDEX(ChWeeksFull,MATCH(E3667,ChName,0))</f>
        <v/>
      </c>
      <c r="K3667">
        <f>INDEX(ChRamp,MATCH(E3667,ChName,0))</f>
        <v/>
      </c>
      <c r="L3667" s="45">
        <f>MIN(1,MAX(0,(A3667-I3667+1)*RampSpeed/J3667))</f>
        <v/>
      </c>
      <c r="M3667" s="45">
        <f>IF(A3667&lt;I3667,0,IF(K3667="S-curve",L3667*L3667*(3-2*L3667),L3667))</f>
        <v/>
      </c>
      <c r="N3667" s="45">
        <f>1+(INDEX(SeasonIdx,A3667)-1)*SeasonAmp</f>
        <v/>
      </c>
      <c r="O3667" s="45">
        <f>IFERROR(INDEX(PSPct,MATCH(E3667&amp;"|"&amp;G3667,PSKey,0)),0)</f>
        <v/>
      </c>
      <c r="P3667" s="46" t="n">
        <v>0</v>
      </c>
      <c r="Q3667" s="46">
        <f>INDEX(OnlineUnitsCol,A3667)*O3667*(1+OnlineGrowth)*N3667*H3667*IF(A3667&gt;=I3667,1,0)</f>
        <v/>
      </c>
      <c r="R3667" s="46">
        <f>Q3667*INDEX(FmtCansPerPack,MATCH(F3667,FmtName,0))/INDEX(FmtCansPerCase,MATCH(F3667,FmtName,0))</f>
        <v/>
      </c>
      <c r="S3667" s="46">
        <f>R3667*INDEX(FmtCansPerCase,MATCH(F3667,FmtName,0))</f>
        <v/>
      </c>
      <c r="T3667" s="46">
        <f>S3667/INDEX(FmtCansPerPack,MATCH(F3667,FmtName,0))</f>
        <v/>
      </c>
      <c r="U3667" s="47">
        <f>INDEX(ProvOnline,MATCH(G3667,ProvCode,0))*(1+PriceIndex)</f>
        <v/>
      </c>
      <c r="V3667" s="47">
        <f>Q3667*U3667*INDEX(FmtBlendedPriceIdx,MATCH(F3667,FmtName,0))</f>
        <v/>
      </c>
      <c r="W3667" s="47">
        <f>V3667</f>
        <v/>
      </c>
      <c r="X3667" s="47">
        <f>IF(GrossBasis="Wholesale",V3667,W3667)</f>
        <v/>
      </c>
      <c r="Y3667" s="47">
        <f>R3667*INDEX(FmtBlendedCogs,MATCH(F3667,FmtName,0))</f>
        <v/>
      </c>
      <c r="Z3667" s="47">
        <f>X3667-Y3667</f>
        <v/>
      </c>
    </row>
    <row r="3668">
      <c r="A3668" t="n">
        <v>10</v>
      </c>
      <c r="B3668" s="44">
        <f>FiscalStart+(A3668-1)*7</f>
        <v/>
      </c>
      <c r="C3668">
        <f>TEXT(B3668,"mmm yyyy")</f>
        <v/>
      </c>
      <c r="D3668">
        <f>"Q"&amp;(INT((A3668-1)/13)+1)</f>
        <v/>
      </c>
      <c r="E3668" t="inlineStr">
        <is>
          <t>Online</t>
        </is>
      </c>
      <c r="F3668">
        <f>IFERROR(INDEX(ChFormat,MATCH(E3668,ChName,0)),"")</f>
        <v/>
      </c>
      <c r="G3668" t="inlineStr">
        <is>
          <t>NL</t>
        </is>
      </c>
      <c r="H3668">
        <f>IF(A3668&lt;=NWeeks,1,0)</f>
        <v/>
      </c>
      <c r="I3668">
        <f>INDEX(ChLaunch,MATCH(E3668,ChName,0))</f>
        <v/>
      </c>
      <c r="J3668">
        <f>INDEX(ChWeeksFull,MATCH(E3668,ChName,0))</f>
        <v/>
      </c>
      <c r="K3668">
        <f>INDEX(ChRamp,MATCH(E3668,ChName,0))</f>
        <v/>
      </c>
      <c r="L3668" s="45">
        <f>MIN(1,MAX(0,(A3668-I3668+1)*RampSpeed/J3668))</f>
        <v/>
      </c>
      <c r="M3668" s="45">
        <f>IF(A3668&lt;I3668,0,IF(K3668="S-curve",L3668*L3668*(3-2*L3668),L3668))</f>
        <v/>
      </c>
      <c r="N3668" s="45">
        <f>1+(INDEX(SeasonIdx,A3668)-1)*SeasonAmp</f>
        <v/>
      </c>
      <c r="O3668" s="45">
        <f>IFERROR(INDEX(PSPct,MATCH(E3668&amp;"|"&amp;G3668,PSKey,0)),0)</f>
        <v/>
      </c>
      <c r="P3668" s="46" t="n">
        <v>0</v>
      </c>
      <c r="Q3668" s="46">
        <f>INDEX(OnlineUnitsCol,A3668)*O3668*(1+OnlineGrowth)*N3668*H3668*IF(A3668&gt;=I3668,1,0)</f>
        <v/>
      </c>
      <c r="R3668" s="46">
        <f>Q3668*INDEX(FmtCansPerPack,MATCH(F3668,FmtName,0))/INDEX(FmtCansPerCase,MATCH(F3668,FmtName,0))</f>
        <v/>
      </c>
      <c r="S3668" s="46">
        <f>R3668*INDEX(FmtCansPerCase,MATCH(F3668,FmtName,0))</f>
        <v/>
      </c>
      <c r="T3668" s="46">
        <f>S3668/INDEX(FmtCansPerPack,MATCH(F3668,FmtName,0))</f>
        <v/>
      </c>
      <c r="U3668" s="47">
        <f>INDEX(ProvOnline,MATCH(G3668,ProvCode,0))*(1+PriceIndex)</f>
        <v/>
      </c>
      <c r="V3668" s="47">
        <f>Q3668*U3668*INDEX(FmtBlendedPriceIdx,MATCH(F3668,FmtName,0))</f>
        <v/>
      </c>
      <c r="W3668" s="47">
        <f>V3668</f>
        <v/>
      </c>
      <c r="X3668" s="47">
        <f>IF(GrossBasis="Wholesale",V3668,W3668)</f>
        <v/>
      </c>
      <c r="Y3668" s="47">
        <f>R3668*INDEX(FmtBlendedCogs,MATCH(F3668,FmtName,0))</f>
        <v/>
      </c>
      <c r="Z3668" s="47">
        <f>X3668-Y3668</f>
        <v/>
      </c>
    </row>
    <row r="3669">
      <c r="A3669" t="n">
        <v>11</v>
      </c>
      <c r="B3669" s="44">
        <f>FiscalStart+(A3669-1)*7</f>
        <v/>
      </c>
      <c r="C3669">
        <f>TEXT(B3669,"mmm yyyy")</f>
        <v/>
      </c>
      <c r="D3669">
        <f>"Q"&amp;(INT((A3669-1)/13)+1)</f>
        <v/>
      </c>
      <c r="E3669" t="inlineStr">
        <is>
          <t>Online</t>
        </is>
      </c>
      <c r="F3669">
        <f>IFERROR(INDEX(ChFormat,MATCH(E3669,ChName,0)),"")</f>
        <v/>
      </c>
      <c r="G3669" t="inlineStr">
        <is>
          <t>NL</t>
        </is>
      </c>
      <c r="H3669">
        <f>IF(A3669&lt;=NWeeks,1,0)</f>
        <v/>
      </c>
      <c r="I3669">
        <f>INDEX(ChLaunch,MATCH(E3669,ChName,0))</f>
        <v/>
      </c>
      <c r="J3669">
        <f>INDEX(ChWeeksFull,MATCH(E3669,ChName,0))</f>
        <v/>
      </c>
      <c r="K3669">
        <f>INDEX(ChRamp,MATCH(E3669,ChName,0))</f>
        <v/>
      </c>
      <c r="L3669" s="45">
        <f>MIN(1,MAX(0,(A3669-I3669+1)*RampSpeed/J3669))</f>
        <v/>
      </c>
      <c r="M3669" s="45">
        <f>IF(A3669&lt;I3669,0,IF(K3669="S-curve",L3669*L3669*(3-2*L3669),L3669))</f>
        <v/>
      </c>
      <c r="N3669" s="45">
        <f>1+(INDEX(SeasonIdx,A3669)-1)*SeasonAmp</f>
        <v/>
      </c>
      <c r="O3669" s="45">
        <f>IFERROR(INDEX(PSPct,MATCH(E3669&amp;"|"&amp;G3669,PSKey,0)),0)</f>
        <v/>
      </c>
      <c r="P3669" s="46" t="n">
        <v>0</v>
      </c>
      <c r="Q3669" s="46">
        <f>INDEX(OnlineUnitsCol,A3669)*O3669*(1+OnlineGrowth)*N3669*H3669*IF(A3669&gt;=I3669,1,0)</f>
        <v/>
      </c>
      <c r="R3669" s="46">
        <f>Q3669*INDEX(FmtCansPerPack,MATCH(F3669,FmtName,0))/INDEX(FmtCansPerCase,MATCH(F3669,FmtName,0))</f>
        <v/>
      </c>
      <c r="S3669" s="46">
        <f>R3669*INDEX(FmtCansPerCase,MATCH(F3669,FmtName,0))</f>
        <v/>
      </c>
      <c r="T3669" s="46">
        <f>S3669/INDEX(FmtCansPerPack,MATCH(F3669,FmtName,0))</f>
        <v/>
      </c>
      <c r="U3669" s="47">
        <f>INDEX(ProvOnline,MATCH(G3669,ProvCode,0))*(1+PriceIndex)</f>
        <v/>
      </c>
      <c r="V3669" s="47">
        <f>Q3669*U3669*INDEX(FmtBlendedPriceIdx,MATCH(F3669,FmtName,0))</f>
        <v/>
      </c>
      <c r="W3669" s="47">
        <f>V3669</f>
        <v/>
      </c>
      <c r="X3669" s="47">
        <f>IF(GrossBasis="Wholesale",V3669,W3669)</f>
        <v/>
      </c>
      <c r="Y3669" s="47">
        <f>R3669*INDEX(FmtBlendedCogs,MATCH(F3669,FmtName,0))</f>
        <v/>
      </c>
      <c r="Z3669" s="47">
        <f>X3669-Y3669</f>
        <v/>
      </c>
    </row>
    <row r="3670">
      <c r="A3670" t="n">
        <v>12</v>
      </c>
      <c r="B3670" s="44">
        <f>FiscalStart+(A3670-1)*7</f>
        <v/>
      </c>
      <c r="C3670">
        <f>TEXT(B3670,"mmm yyyy")</f>
        <v/>
      </c>
      <c r="D3670">
        <f>"Q"&amp;(INT((A3670-1)/13)+1)</f>
        <v/>
      </c>
      <c r="E3670" t="inlineStr">
        <is>
          <t>Online</t>
        </is>
      </c>
      <c r="F3670">
        <f>IFERROR(INDEX(ChFormat,MATCH(E3670,ChName,0)),"")</f>
        <v/>
      </c>
      <c r="G3670" t="inlineStr">
        <is>
          <t>NL</t>
        </is>
      </c>
      <c r="H3670">
        <f>IF(A3670&lt;=NWeeks,1,0)</f>
        <v/>
      </c>
      <c r="I3670">
        <f>INDEX(ChLaunch,MATCH(E3670,ChName,0))</f>
        <v/>
      </c>
      <c r="J3670">
        <f>INDEX(ChWeeksFull,MATCH(E3670,ChName,0))</f>
        <v/>
      </c>
      <c r="K3670">
        <f>INDEX(ChRamp,MATCH(E3670,ChName,0))</f>
        <v/>
      </c>
      <c r="L3670" s="45">
        <f>MIN(1,MAX(0,(A3670-I3670+1)*RampSpeed/J3670))</f>
        <v/>
      </c>
      <c r="M3670" s="45">
        <f>IF(A3670&lt;I3670,0,IF(K3670="S-curve",L3670*L3670*(3-2*L3670),L3670))</f>
        <v/>
      </c>
      <c r="N3670" s="45">
        <f>1+(INDEX(SeasonIdx,A3670)-1)*SeasonAmp</f>
        <v/>
      </c>
      <c r="O3670" s="45">
        <f>IFERROR(INDEX(PSPct,MATCH(E3670&amp;"|"&amp;G3670,PSKey,0)),0)</f>
        <v/>
      </c>
      <c r="P3670" s="46" t="n">
        <v>0</v>
      </c>
      <c r="Q3670" s="46">
        <f>INDEX(OnlineUnitsCol,A3670)*O3670*(1+OnlineGrowth)*N3670*H3670*IF(A3670&gt;=I3670,1,0)</f>
        <v/>
      </c>
      <c r="R3670" s="46">
        <f>Q3670*INDEX(FmtCansPerPack,MATCH(F3670,FmtName,0))/INDEX(FmtCansPerCase,MATCH(F3670,FmtName,0))</f>
        <v/>
      </c>
      <c r="S3670" s="46">
        <f>R3670*INDEX(FmtCansPerCase,MATCH(F3670,FmtName,0))</f>
        <v/>
      </c>
      <c r="T3670" s="46">
        <f>S3670/INDEX(FmtCansPerPack,MATCH(F3670,FmtName,0))</f>
        <v/>
      </c>
      <c r="U3670" s="47">
        <f>INDEX(ProvOnline,MATCH(G3670,ProvCode,0))*(1+PriceIndex)</f>
        <v/>
      </c>
      <c r="V3670" s="47">
        <f>Q3670*U3670*INDEX(FmtBlendedPriceIdx,MATCH(F3670,FmtName,0))</f>
        <v/>
      </c>
      <c r="W3670" s="47">
        <f>V3670</f>
        <v/>
      </c>
      <c r="X3670" s="47">
        <f>IF(GrossBasis="Wholesale",V3670,W3670)</f>
        <v/>
      </c>
      <c r="Y3670" s="47">
        <f>R3670*INDEX(FmtBlendedCogs,MATCH(F3670,FmtName,0))</f>
        <v/>
      </c>
      <c r="Z3670" s="47">
        <f>X3670-Y3670</f>
        <v/>
      </c>
    </row>
    <row r="3671">
      <c r="A3671" t="n">
        <v>13</v>
      </c>
      <c r="B3671" s="44">
        <f>FiscalStart+(A3671-1)*7</f>
        <v/>
      </c>
      <c r="C3671">
        <f>TEXT(B3671,"mmm yyyy")</f>
        <v/>
      </c>
      <c r="D3671">
        <f>"Q"&amp;(INT((A3671-1)/13)+1)</f>
        <v/>
      </c>
      <c r="E3671" t="inlineStr">
        <is>
          <t>Online</t>
        </is>
      </c>
      <c r="F3671">
        <f>IFERROR(INDEX(ChFormat,MATCH(E3671,ChName,0)),"")</f>
        <v/>
      </c>
      <c r="G3671" t="inlineStr">
        <is>
          <t>NL</t>
        </is>
      </c>
      <c r="H3671">
        <f>IF(A3671&lt;=NWeeks,1,0)</f>
        <v/>
      </c>
      <c r="I3671">
        <f>INDEX(ChLaunch,MATCH(E3671,ChName,0))</f>
        <v/>
      </c>
      <c r="J3671">
        <f>INDEX(ChWeeksFull,MATCH(E3671,ChName,0))</f>
        <v/>
      </c>
      <c r="K3671">
        <f>INDEX(ChRamp,MATCH(E3671,ChName,0))</f>
        <v/>
      </c>
      <c r="L3671" s="45">
        <f>MIN(1,MAX(0,(A3671-I3671+1)*RampSpeed/J3671))</f>
        <v/>
      </c>
      <c r="M3671" s="45">
        <f>IF(A3671&lt;I3671,0,IF(K3671="S-curve",L3671*L3671*(3-2*L3671),L3671))</f>
        <v/>
      </c>
      <c r="N3671" s="45">
        <f>1+(INDEX(SeasonIdx,A3671)-1)*SeasonAmp</f>
        <v/>
      </c>
      <c r="O3671" s="45">
        <f>IFERROR(INDEX(PSPct,MATCH(E3671&amp;"|"&amp;G3671,PSKey,0)),0)</f>
        <v/>
      </c>
      <c r="P3671" s="46" t="n">
        <v>0</v>
      </c>
      <c r="Q3671" s="46">
        <f>INDEX(OnlineUnitsCol,A3671)*O3671*(1+OnlineGrowth)*N3671*H3671*IF(A3671&gt;=I3671,1,0)</f>
        <v/>
      </c>
      <c r="R3671" s="46">
        <f>Q3671*INDEX(FmtCansPerPack,MATCH(F3671,FmtName,0))/INDEX(FmtCansPerCase,MATCH(F3671,FmtName,0))</f>
        <v/>
      </c>
      <c r="S3671" s="46">
        <f>R3671*INDEX(FmtCansPerCase,MATCH(F3671,FmtName,0))</f>
        <v/>
      </c>
      <c r="T3671" s="46">
        <f>S3671/INDEX(FmtCansPerPack,MATCH(F3671,FmtName,0))</f>
        <v/>
      </c>
      <c r="U3671" s="47">
        <f>INDEX(ProvOnline,MATCH(G3671,ProvCode,0))*(1+PriceIndex)</f>
        <v/>
      </c>
      <c r="V3671" s="47">
        <f>Q3671*U3671*INDEX(FmtBlendedPriceIdx,MATCH(F3671,FmtName,0))</f>
        <v/>
      </c>
      <c r="W3671" s="47">
        <f>V3671</f>
        <v/>
      </c>
      <c r="X3671" s="47">
        <f>IF(GrossBasis="Wholesale",V3671,W3671)</f>
        <v/>
      </c>
      <c r="Y3671" s="47">
        <f>R3671*INDEX(FmtBlendedCogs,MATCH(F3671,FmtName,0))</f>
        <v/>
      </c>
      <c r="Z3671" s="47">
        <f>X3671-Y3671</f>
        <v/>
      </c>
    </row>
    <row r="3672">
      <c r="A3672" t="n">
        <v>14</v>
      </c>
      <c r="B3672" s="44">
        <f>FiscalStart+(A3672-1)*7</f>
        <v/>
      </c>
      <c r="C3672">
        <f>TEXT(B3672,"mmm yyyy")</f>
        <v/>
      </c>
      <c r="D3672">
        <f>"Q"&amp;(INT((A3672-1)/13)+1)</f>
        <v/>
      </c>
      <c r="E3672" t="inlineStr">
        <is>
          <t>Online</t>
        </is>
      </c>
      <c r="F3672">
        <f>IFERROR(INDEX(ChFormat,MATCH(E3672,ChName,0)),"")</f>
        <v/>
      </c>
      <c r="G3672" t="inlineStr">
        <is>
          <t>NL</t>
        </is>
      </c>
      <c r="H3672">
        <f>IF(A3672&lt;=NWeeks,1,0)</f>
        <v/>
      </c>
      <c r="I3672">
        <f>INDEX(ChLaunch,MATCH(E3672,ChName,0))</f>
        <v/>
      </c>
      <c r="J3672">
        <f>INDEX(ChWeeksFull,MATCH(E3672,ChName,0))</f>
        <v/>
      </c>
      <c r="K3672">
        <f>INDEX(ChRamp,MATCH(E3672,ChName,0))</f>
        <v/>
      </c>
      <c r="L3672" s="45">
        <f>MIN(1,MAX(0,(A3672-I3672+1)*RampSpeed/J3672))</f>
        <v/>
      </c>
      <c r="M3672" s="45">
        <f>IF(A3672&lt;I3672,0,IF(K3672="S-curve",L3672*L3672*(3-2*L3672),L3672))</f>
        <v/>
      </c>
      <c r="N3672" s="45">
        <f>1+(INDEX(SeasonIdx,A3672)-1)*SeasonAmp</f>
        <v/>
      </c>
      <c r="O3672" s="45">
        <f>IFERROR(INDEX(PSPct,MATCH(E3672&amp;"|"&amp;G3672,PSKey,0)),0)</f>
        <v/>
      </c>
      <c r="P3672" s="46" t="n">
        <v>0</v>
      </c>
      <c r="Q3672" s="46">
        <f>INDEX(OnlineUnitsCol,A3672)*O3672*(1+OnlineGrowth)*N3672*H3672*IF(A3672&gt;=I3672,1,0)</f>
        <v/>
      </c>
      <c r="R3672" s="46">
        <f>Q3672*INDEX(FmtCansPerPack,MATCH(F3672,FmtName,0))/INDEX(FmtCansPerCase,MATCH(F3672,FmtName,0))</f>
        <v/>
      </c>
      <c r="S3672" s="46">
        <f>R3672*INDEX(FmtCansPerCase,MATCH(F3672,FmtName,0))</f>
        <v/>
      </c>
      <c r="T3672" s="46">
        <f>S3672/INDEX(FmtCansPerPack,MATCH(F3672,FmtName,0))</f>
        <v/>
      </c>
      <c r="U3672" s="47">
        <f>INDEX(ProvOnline,MATCH(G3672,ProvCode,0))*(1+PriceIndex)</f>
        <v/>
      </c>
      <c r="V3672" s="47">
        <f>Q3672*U3672*INDEX(FmtBlendedPriceIdx,MATCH(F3672,FmtName,0))</f>
        <v/>
      </c>
      <c r="W3672" s="47">
        <f>V3672</f>
        <v/>
      </c>
      <c r="X3672" s="47">
        <f>IF(GrossBasis="Wholesale",V3672,W3672)</f>
        <v/>
      </c>
      <c r="Y3672" s="47">
        <f>R3672*INDEX(FmtBlendedCogs,MATCH(F3672,FmtName,0))</f>
        <v/>
      </c>
      <c r="Z3672" s="47">
        <f>X3672-Y3672</f>
        <v/>
      </c>
    </row>
    <row r="3673">
      <c r="A3673" t="n">
        <v>15</v>
      </c>
      <c r="B3673" s="44">
        <f>FiscalStart+(A3673-1)*7</f>
        <v/>
      </c>
      <c r="C3673">
        <f>TEXT(B3673,"mmm yyyy")</f>
        <v/>
      </c>
      <c r="D3673">
        <f>"Q"&amp;(INT((A3673-1)/13)+1)</f>
        <v/>
      </c>
      <c r="E3673" t="inlineStr">
        <is>
          <t>Online</t>
        </is>
      </c>
      <c r="F3673">
        <f>IFERROR(INDEX(ChFormat,MATCH(E3673,ChName,0)),"")</f>
        <v/>
      </c>
      <c r="G3673" t="inlineStr">
        <is>
          <t>NL</t>
        </is>
      </c>
      <c r="H3673">
        <f>IF(A3673&lt;=NWeeks,1,0)</f>
        <v/>
      </c>
      <c r="I3673">
        <f>INDEX(ChLaunch,MATCH(E3673,ChName,0))</f>
        <v/>
      </c>
      <c r="J3673">
        <f>INDEX(ChWeeksFull,MATCH(E3673,ChName,0))</f>
        <v/>
      </c>
      <c r="K3673">
        <f>INDEX(ChRamp,MATCH(E3673,ChName,0))</f>
        <v/>
      </c>
      <c r="L3673" s="45">
        <f>MIN(1,MAX(0,(A3673-I3673+1)*RampSpeed/J3673))</f>
        <v/>
      </c>
      <c r="M3673" s="45">
        <f>IF(A3673&lt;I3673,0,IF(K3673="S-curve",L3673*L3673*(3-2*L3673),L3673))</f>
        <v/>
      </c>
      <c r="N3673" s="45">
        <f>1+(INDEX(SeasonIdx,A3673)-1)*SeasonAmp</f>
        <v/>
      </c>
      <c r="O3673" s="45">
        <f>IFERROR(INDEX(PSPct,MATCH(E3673&amp;"|"&amp;G3673,PSKey,0)),0)</f>
        <v/>
      </c>
      <c r="P3673" s="46" t="n">
        <v>0</v>
      </c>
      <c r="Q3673" s="46">
        <f>INDEX(OnlineUnitsCol,A3673)*O3673*(1+OnlineGrowth)*N3673*H3673*IF(A3673&gt;=I3673,1,0)</f>
        <v/>
      </c>
      <c r="R3673" s="46">
        <f>Q3673*INDEX(FmtCansPerPack,MATCH(F3673,FmtName,0))/INDEX(FmtCansPerCase,MATCH(F3673,FmtName,0))</f>
        <v/>
      </c>
      <c r="S3673" s="46">
        <f>R3673*INDEX(FmtCansPerCase,MATCH(F3673,FmtName,0))</f>
        <v/>
      </c>
      <c r="T3673" s="46">
        <f>S3673/INDEX(FmtCansPerPack,MATCH(F3673,FmtName,0))</f>
        <v/>
      </c>
      <c r="U3673" s="47">
        <f>INDEX(ProvOnline,MATCH(G3673,ProvCode,0))*(1+PriceIndex)</f>
        <v/>
      </c>
      <c r="V3673" s="47">
        <f>Q3673*U3673*INDEX(FmtBlendedPriceIdx,MATCH(F3673,FmtName,0))</f>
        <v/>
      </c>
      <c r="W3673" s="47">
        <f>V3673</f>
        <v/>
      </c>
      <c r="X3673" s="47">
        <f>IF(GrossBasis="Wholesale",V3673,W3673)</f>
        <v/>
      </c>
      <c r="Y3673" s="47">
        <f>R3673*INDEX(FmtBlendedCogs,MATCH(F3673,FmtName,0))</f>
        <v/>
      </c>
      <c r="Z3673" s="47">
        <f>X3673-Y3673</f>
        <v/>
      </c>
    </row>
    <row r="3674">
      <c r="A3674" t="n">
        <v>16</v>
      </c>
      <c r="B3674" s="44">
        <f>FiscalStart+(A3674-1)*7</f>
        <v/>
      </c>
      <c r="C3674">
        <f>TEXT(B3674,"mmm yyyy")</f>
        <v/>
      </c>
      <c r="D3674">
        <f>"Q"&amp;(INT((A3674-1)/13)+1)</f>
        <v/>
      </c>
      <c r="E3674" t="inlineStr">
        <is>
          <t>Online</t>
        </is>
      </c>
      <c r="F3674">
        <f>IFERROR(INDEX(ChFormat,MATCH(E3674,ChName,0)),"")</f>
        <v/>
      </c>
      <c r="G3674" t="inlineStr">
        <is>
          <t>NL</t>
        </is>
      </c>
      <c r="H3674">
        <f>IF(A3674&lt;=NWeeks,1,0)</f>
        <v/>
      </c>
      <c r="I3674">
        <f>INDEX(ChLaunch,MATCH(E3674,ChName,0))</f>
        <v/>
      </c>
      <c r="J3674">
        <f>INDEX(ChWeeksFull,MATCH(E3674,ChName,0))</f>
        <v/>
      </c>
      <c r="K3674">
        <f>INDEX(ChRamp,MATCH(E3674,ChName,0))</f>
        <v/>
      </c>
      <c r="L3674" s="45">
        <f>MIN(1,MAX(0,(A3674-I3674+1)*RampSpeed/J3674))</f>
        <v/>
      </c>
      <c r="M3674" s="45">
        <f>IF(A3674&lt;I3674,0,IF(K3674="S-curve",L3674*L3674*(3-2*L3674),L3674))</f>
        <v/>
      </c>
      <c r="N3674" s="45">
        <f>1+(INDEX(SeasonIdx,A3674)-1)*SeasonAmp</f>
        <v/>
      </c>
      <c r="O3674" s="45">
        <f>IFERROR(INDEX(PSPct,MATCH(E3674&amp;"|"&amp;G3674,PSKey,0)),0)</f>
        <v/>
      </c>
      <c r="P3674" s="46" t="n">
        <v>0</v>
      </c>
      <c r="Q3674" s="46">
        <f>INDEX(OnlineUnitsCol,A3674)*O3674*(1+OnlineGrowth)*N3674*H3674*IF(A3674&gt;=I3674,1,0)</f>
        <v/>
      </c>
      <c r="R3674" s="46">
        <f>Q3674*INDEX(FmtCansPerPack,MATCH(F3674,FmtName,0))/INDEX(FmtCansPerCase,MATCH(F3674,FmtName,0))</f>
        <v/>
      </c>
      <c r="S3674" s="46">
        <f>R3674*INDEX(FmtCansPerCase,MATCH(F3674,FmtName,0))</f>
        <v/>
      </c>
      <c r="T3674" s="46">
        <f>S3674/INDEX(FmtCansPerPack,MATCH(F3674,FmtName,0))</f>
        <v/>
      </c>
      <c r="U3674" s="47">
        <f>INDEX(ProvOnline,MATCH(G3674,ProvCode,0))*(1+PriceIndex)</f>
        <v/>
      </c>
      <c r="V3674" s="47">
        <f>Q3674*U3674*INDEX(FmtBlendedPriceIdx,MATCH(F3674,FmtName,0))</f>
        <v/>
      </c>
      <c r="W3674" s="47">
        <f>V3674</f>
        <v/>
      </c>
      <c r="X3674" s="47">
        <f>IF(GrossBasis="Wholesale",V3674,W3674)</f>
        <v/>
      </c>
      <c r="Y3674" s="47">
        <f>R3674*INDEX(FmtBlendedCogs,MATCH(F3674,FmtName,0))</f>
        <v/>
      </c>
      <c r="Z3674" s="47">
        <f>X3674-Y3674</f>
        <v/>
      </c>
    </row>
    <row r="3675">
      <c r="A3675" t="n">
        <v>17</v>
      </c>
      <c r="B3675" s="44">
        <f>FiscalStart+(A3675-1)*7</f>
        <v/>
      </c>
      <c r="C3675">
        <f>TEXT(B3675,"mmm yyyy")</f>
        <v/>
      </c>
      <c r="D3675">
        <f>"Q"&amp;(INT((A3675-1)/13)+1)</f>
        <v/>
      </c>
      <c r="E3675" t="inlineStr">
        <is>
          <t>Online</t>
        </is>
      </c>
      <c r="F3675">
        <f>IFERROR(INDEX(ChFormat,MATCH(E3675,ChName,0)),"")</f>
        <v/>
      </c>
      <c r="G3675" t="inlineStr">
        <is>
          <t>NL</t>
        </is>
      </c>
      <c r="H3675">
        <f>IF(A3675&lt;=NWeeks,1,0)</f>
        <v/>
      </c>
      <c r="I3675">
        <f>INDEX(ChLaunch,MATCH(E3675,ChName,0))</f>
        <v/>
      </c>
      <c r="J3675">
        <f>INDEX(ChWeeksFull,MATCH(E3675,ChName,0))</f>
        <v/>
      </c>
      <c r="K3675">
        <f>INDEX(ChRamp,MATCH(E3675,ChName,0))</f>
        <v/>
      </c>
      <c r="L3675" s="45">
        <f>MIN(1,MAX(0,(A3675-I3675+1)*RampSpeed/J3675))</f>
        <v/>
      </c>
      <c r="M3675" s="45">
        <f>IF(A3675&lt;I3675,0,IF(K3675="S-curve",L3675*L3675*(3-2*L3675),L3675))</f>
        <v/>
      </c>
      <c r="N3675" s="45">
        <f>1+(INDEX(SeasonIdx,A3675)-1)*SeasonAmp</f>
        <v/>
      </c>
      <c r="O3675" s="45">
        <f>IFERROR(INDEX(PSPct,MATCH(E3675&amp;"|"&amp;G3675,PSKey,0)),0)</f>
        <v/>
      </c>
      <c r="P3675" s="46" t="n">
        <v>0</v>
      </c>
      <c r="Q3675" s="46">
        <f>INDEX(OnlineUnitsCol,A3675)*O3675*(1+OnlineGrowth)*N3675*H3675*IF(A3675&gt;=I3675,1,0)</f>
        <v/>
      </c>
      <c r="R3675" s="46">
        <f>Q3675*INDEX(FmtCansPerPack,MATCH(F3675,FmtName,0))/INDEX(FmtCansPerCase,MATCH(F3675,FmtName,0))</f>
        <v/>
      </c>
      <c r="S3675" s="46">
        <f>R3675*INDEX(FmtCansPerCase,MATCH(F3675,FmtName,0))</f>
        <v/>
      </c>
      <c r="T3675" s="46">
        <f>S3675/INDEX(FmtCansPerPack,MATCH(F3675,FmtName,0))</f>
        <v/>
      </c>
      <c r="U3675" s="47">
        <f>INDEX(ProvOnline,MATCH(G3675,ProvCode,0))*(1+PriceIndex)</f>
        <v/>
      </c>
      <c r="V3675" s="47">
        <f>Q3675*U3675*INDEX(FmtBlendedPriceIdx,MATCH(F3675,FmtName,0))</f>
        <v/>
      </c>
      <c r="W3675" s="47">
        <f>V3675</f>
        <v/>
      </c>
      <c r="X3675" s="47">
        <f>IF(GrossBasis="Wholesale",V3675,W3675)</f>
        <v/>
      </c>
      <c r="Y3675" s="47">
        <f>R3675*INDEX(FmtBlendedCogs,MATCH(F3675,FmtName,0))</f>
        <v/>
      </c>
      <c r="Z3675" s="47">
        <f>X3675-Y3675</f>
        <v/>
      </c>
    </row>
    <row r="3676">
      <c r="A3676" t="n">
        <v>18</v>
      </c>
      <c r="B3676" s="44">
        <f>FiscalStart+(A3676-1)*7</f>
        <v/>
      </c>
      <c r="C3676">
        <f>TEXT(B3676,"mmm yyyy")</f>
        <v/>
      </c>
      <c r="D3676">
        <f>"Q"&amp;(INT((A3676-1)/13)+1)</f>
        <v/>
      </c>
      <c r="E3676" t="inlineStr">
        <is>
          <t>Online</t>
        </is>
      </c>
      <c r="F3676">
        <f>IFERROR(INDEX(ChFormat,MATCH(E3676,ChName,0)),"")</f>
        <v/>
      </c>
      <c r="G3676" t="inlineStr">
        <is>
          <t>NL</t>
        </is>
      </c>
      <c r="H3676">
        <f>IF(A3676&lt;=NWeeks,1,0)</f>
        <v/>
      </c>
      <c r="I3676">
        <f>INDEX(ChLaunch,MATCH(E3676,ChName,0))</f>
        <v/>
      </c>
      <c r="J3676">
        <f>INDEX(ChWeeksFull,MATCH(E3676,ChName,0))</f>
        <v/>
      </c>
      <c r="K3676">
        <f>INDEX(ChRamp,MATCH(E3676,ChName,0))</f>
        <v/>
      </c>
      <c r="L3676" s="45">
        <f>MIN(1,MAX(0,(A3676-I3676+1)*RampSpeed/J3676))</f>
        <v/>
      </c>
      <c r="M3676" s="45">
        <f>IF(A3676&lt;I3676,0,IF(K3676="S-curve",L3676*L3676*(3-2*L3676),L3676))</f>
        <v/>
      </c>
      <c r="N3676" s="45">
        <f>1+(INDEX(SeasonIdx,A3676)-1)*SeasonAmp</f>
        <v/>
      </c>
      <c r="O3676" s="45">
        <f>IFERROR(INDEX(PSPct,MATCH(E3676&amp;"|"&amp;G3676,PSKey,0)),0)</f>
        <v/>
      </c>
      <c r="P3676" s="46" t="n">
        <v>0</v>
      </c>
      <c r="Q3676" s="46">
        <f>INDEX(OnlineUnitsCol,A3676)*O3676*(1+OnlineGrowth)*N3676*H3676*IF(A3676&gt;=I3676,1,0)</f>
        <v/>
      </c>
      <c r="R3676" s="46">
        <f>Q3676*INDEX(FmtCansPerPack,MATCH(F3676,FmtName,0))/INDEX(FmtCansPerCase,MATCH(F3676,FmtName,0))</f>
        <v/>
      </c>
      <c r="S3676" s="46">
        <f>R3676*INDEX(FmtCansPerCase,MATCH(F3676,FmtName,0))</f>
        <v/>
      </c>
      <c r="T3676" s="46">
        <f>S3676/INDEX(FmtCansPerPack,MATCH(F3676,FmtName,0))</f>
        <v/>
      </c>
      <c r="U3676" s="47">
        <f>INDEX(ProvOnline,MATCH(G3676,ProvCode,0))*(1+PriceIndex)</f>
        <v/>
      </c>
      <c r="V3676" s="47">
        <f>Q3676*U3676*INDEX(FmtBlendedPriceIdx,MATCH(F3676,FmtName,0))</f>
        <v/>
      </c>
      <c r="W3676" s="47">
        <f>V3676</f>
        <v/>
      </c>
      <c r="X3676" s="47">
        <f>IF(GrossBasis="Wholesale",V3676,W3676)</f>
        <v/>
      </c>
      <c r="Y3676" s="47">
        <f>R3676*INDEX(FmtBlendedCogs,MATCH(F3676,FmtName,0))</f>
        <v/>
      </c>
      <c r="Z3676" s="47">
        <f>X3676-Y3676</f>
        <v/>
      </c>
    </row>
    <row r="3677">
      <c r="A3677" t="n">
        <v>19</v>
      </c>
      <c r="B3677" s="44">
        <f>FiscalStart+(A3677-1)*7</f>
        <v/>
      </c>
      <c r="C3677">
        <f>TEXT(B3677,"mmm yyyy")</f>
        <v/>
      </c>
      <c r="D3677">
        <f>"Q"&amp;(INT((A3677-1)/13)+1)</f>
        <v/>
      </c>
      <c r="E3677" t="inlineStr">
        <is>
          <t>Online</t>
        </is>
      </c>
      <c r="F3677">
        <f>IFERROR(INDEX(ChFormat,MATCH(E3677,ChName,0)),"")</f>
        <v/>
      </c>
      <c r="G3677" t="inlineStr">
        <is>
          <t>NL</t>
        </is>
      </c>
      <c r="H3677">
        <f>IF(A3677&lt;=NWeeks,1,0)</f>
        <v/>
      </c>
      <c r="I3677">
        <f>INDEX(ChLaunch,MATCH(E3677,ChName,0))</f>
        <v/>
      </c>
      <c r="J3677">
        <f>INDEX(ChWeeksFull,MATCH(E3677,ChName,0))</f>
        <v/>
      </c>
      <c r="K3677">
        <f>INDEX(ChRamp,MATCH(E3677,ChName,0))</f>
        <v/>
      </c>
      <c r="L3677" s="45">
        <f>MIN(1,MAX(0,(A3677-I3677+1)*RampSpeed/J3677))</f>
        <v/>
      </c>
      <c r="M3677" s="45">
        <f>IF(A3677&lt;I3677,0,IF(K3677="S-curve",L3677*L3677*(3-2*L3677),L3677))</f>
        <v/>
      </c>
      <c r="N3677" s="45">
        <f>1+(INDEX(SeasonIdx,A3677)-1)*SeasonAmp</f>
        <v/>
      </c>
      <c r="O3677" s="45">
        <f>IFERROR(INDEX(PSPct,MATCH(E3677&amp;"|"&amp;G3677,PSKey,0)),0)</f>
        <v/>
      </c>
      <c r="P3677" s="46" t="n">
        <v>0</v>
      </c>
      <c r="Q3677" s="46">
        <f>INDEX(OnlineUnitsCol,A3677)*O3677*(1+OnlineGrowth)*N3677*H3677*IF(A3677&gt;=I3677,1,0)</f>
        <v/>
      </c>
      <c r="R3677" s="46">
        <f>Q3677*INDEX(FmtCansPerPack,MATCH(F3677,FmtName,0))/INDEX(FmtCansPerCase,MATCH(F3677,FmtName,0))</f>
        <v/>
      </c>
      <c r="S3677" s="46">
        <f>R3677*INDEX(FmtCansPerCase,MATCH(F3677,FmtName,0))</f>
        <v/>
      </c>
      <c r="T3677" s="46">
        <f>S3677/INDEX(FmtCansPerPack,MATCH(F3677,FmtName,0))</f>
        <v/>
      </c>
      <c r="U3677" s="47">
        <f>INDEX(ProvOnline,MATCH(G3677,ProvCode,0))*(1+PriceIndex)</f>
        <v/>
      </c>
      <c r="V3677" s="47">
        <f>Q3677*U3677*INDEX(FmtBlendedPriceIdx,MATCH(F3677,FmtName,0))</f>
        <v/>
      </c>
      <c r="W3677" s="47">
        <f>V3677</f>
        <v/>
      </c>
      <c r="X3677" s="47">
        <f>IF(GrossBasis="Wholesale",V3677,W3677)</f>
        <v/>
      </c>
      <c r="Y3677" s="47">
        <f>R3677*INDEX(FmtBlendedCogs,MATCH(F3677,FmtName,0))</f>
        <v/>
      </c>
      <c r="Z3677" s="47">
        <f>X3677-Y3677</f>
        <v/>
      </c>
    </row>
    <row r="3678">
      <c r="A3678" t="n">
        <v>20</v>
      </c>
      <c r="B3678" s="44">
        <f>FiscalStart+(A3678-1)*7</f>
        <v/>
      </c>
      <c r="C3678">
        <f>TEXT(B3678,"mmm yyyy")</f>
        <v/>
      </c>
      <c r="D3678">
        <f>"Q"&amp;(INT((A3678-1)/13)+1)</f>
        <v/>
      </c>
      <c r="E3678" t="inlineStr">
        <is>
          <t>Online</t>
        </is>
      </c>
      <c r="F3678">
        <f>IFERROR(INDEX(ChFormat,MATCH(E3678,ChName,0)),"")</f>
        <v/>
      </c>
      <c r="G3678" t="inlineStr">
        <is>
          <t>NL</t>
        </is>
      </c>
      <c r="H3678">
        <f>IF(A3678&lt;=NWeeks,1,0)</f>
        <v/>
      </c>
      <c r="I3678">
        <f>INDEX(ChLaunch,MATCH(E3678,ChName,0))</f>
        <v/>
      </c>
      <c r="J3678">
        <f>INDEX(ChWeeksFull,MATCH(E3678,ChName,0))</f>
        <v/>
      </c>
      <c r="K3678">
        <f>INDEX(ChRamp,MATCH(E3678,ChName,0))</f>
        <v/>
      </c>
      <c r="L3678" s="45">
        <f>MIN(1,MAX(0,(A3678-I3678+1)*RampSpeed/J3678))</f>
        <v/>
      </c>
      <c r="M3678" s="45">
        <f>IF(A3678&lt;I3678,0,IF(K3678="S-curve",L3678*L3678*(3-2*L3678),L3678))</f>
        <v/>
      </c>
      <c r="N3678" s="45">
        <f>1+(INDEX(SeasonIdx,A3678)-1)*SeasonAmp</f>
        <v/>
      </c>
      <c r="O3678" s="45">
        <f>IFERROR(INDEX(PSPct,MATCH(E3678&amp;"|"&amp;G3678,PSKey,0)),0)</f>
        <v/>
      </c>
      <c r="P3678" s="46" t="n">
        <v>0</v>
      </c>
      <c r="Q3678" s="46">
        <f>INDEX(OnlineUnitsCol,A3678)*O3678*(1+OnlineGrowth)*N3678*H3678*IF(A3678&gt;=I3678,1,0)</f>
        <v/>
      </c>
      <c r="R3678" s="46">
        <f>Q3678*INDEX(FmtCansPerPack,MATCH(F3678,FmtName,0))/INDEX(FmtCansPerCase,MATCH(F3678,FmtName,0))</f>
        <v/>
      </c>
      <c r="S3678" s="46">
        <f>R3678*INDEX(FmtCansPerCase,MATCH(F3678,FmtName,0))</f>
        <v/>
      </c>
      <c r="T3678" s="46">
        <f>S3678/INDEX(FmtCansPerPack,MATCH(F3678,FmtName,0))</f>
        <v/>
      </c>
      <c r="U3678" s="47">
        <f>INDEX(ProvOnline,MATCH(G3678,ProvCode,0))*(1+PriceIndex)</f>
        <v/>
      </c>
      <c r="V3678" s="47">
        <f>Q3678*U3678*INDEX(FmtBlendedPriceIdx,MATCH(F3678,FmtName,0))</f>
        <v/>
      </c>
      <c r="W3678" s="47">
        <f>V3678</f>
        <v/>
      </c>
      <c r="X3678" s="47">
        <f>IF(GrossBasis="Wholesale",V3678,W3678)</f>
        <v/>
      </c>
      <c r="Y3678" s="47">
        <f>R3678*INDEX(FmtBlendedCogs,MATCH(F3678,FmtName,0))</f>
        <v/>
      </c>
      <c r="Z3678" s="47">
        <f>X3678-Y3678</f>
        <v/>
      </c>
    </row>
    <row r="3679">
      <c r="A3679" t="n">
        <v>21</v>
      </c>
      <c r="B3679" s="44">
        <f>FiscalStart+(A3679-1)*7</f>
        <v/>
      </c>
      <c r="C3679">
        <f>TEXT(B3679,"mmm yyyy")</f>
        <v/>
      </c>
      <c r="D3679">
        <f>"Q"&amp;(INT((A3679-1)/13)+1)</f>
        <v/>
      </c>
      <c r="E3679" t="inlineStr">
        <is>
          <t>Online</t>
        </is>
      </c>
      <c r="F3679">
        <f>IFERROR(INDEX(ChFormat,MATCH(E3679,ChName,0)),"")</f>
        <v/>
      </c>
      <c r="G3679" t="inlineStr">
        <is>
          <t>NL</t>
        </is>
      </c>
      <c r="H3679">
        <f>IF(A3679&lt;=NWeeks,1,0)</f>
        <v/>
      </c>
      <c r="I3679">
        <f>INDEX(ChLaunch,MATCH(E3679,ChName,0))</f>
        <v/>
      </c>
      <c r="J3679">
        <f>INDEX(ChWeeksFull,MATCH(E3679,ChName,0))</f>
        <v/>
      </c>
      <c r="K3679">
        <f>INDEX(ChRamp,MATCH(E3679,ChName,0))</f>
        <v/>
      </c>
      <c r="L3679" s="45">
        <f>MIN(1,MAX(0,(A3679-I3679+1)*RampSpeed/J3679))</f>
        <v/>
      </c>
      <c r="M3679" s="45">
        <f>IF(A3679&lt;I3679,0,IF(K3679="S-curve",L3679*L3679*(3-2*L3679),L3679))</f>
        <v/>
      </c>
      <c r="N3679" s="45">
        <f>1+(INDEX(SeasonIdx,A3679)-1)*SeasonAmp</f>
        <v/>
      </c>
      <c r="O3679" s="45">
        <f>IFERROR(INDEX(PSPct,MATCH(E3679&amp;"|"&amp;G3679,PSKey,0)),0)</f>
        <v/>
      </c>
      <c r="P3679" s="46" t="n">
        <v>0</v>
      </c>
      <c r="Q3679" s="46">
        <f>INDEX(OnlineUnitsCol,A3679)*O3679*(1+OnlineGrowth)*N3679*H3679*IF(A3679&gt;=I3679,1,0)</f>
        <v/>
      </c>
      <c r="R3679" s="46">
        <f>Q3679*INDEX(FmtCansPerPack,MATCH(F3679,FmtName,0))/INDEX(FmtCansPerCase,MATCH(F3679,FmtName,0))</f>
        <v/>
      </c>
      <c r="S3679" s="46">
        <f>R3679*INDEX(FmtCansPerCase,MATCH(F3679,FmtName,0))</f>
        <v/>
      </c>
      <c r="T3679" s="46">
        <f>S3679/INDEX(FmtCansPerPack,MATCH(F3679,FmtName,0))</f>
        <v/>
      </c>
      <c r="U3679" s="47">
        <f>INDEX(ProvOnline,MATCH(G3679,ProvCode,0))*(1+PriceIndex)</f>
        <v/>
      </c>
      <c r="V3679" s="47">
        <f>Q3679*U3679*INDEX(FmtBlendedPriceIdx,MATCH(F3679,FmtName,0))</f>
        <v/>
      </c>
      <c r="W3679" s="47">
        <f>V3679</f>
        <v/>
      </c>
      <c r="X3679" s="47">
        <f>IF(GrossBasis="Wholesale",V3679,W3679)</f>
        <v/>
      </c>
      <c r="Y3679" s="47">
        <f>R3679*INDEX(FmtBlendedCogs,MATCH(F3679,FmtName,0))</f>
        <v/>
      </c>
      <c r="Z3679" s="47">
        <f>X3679-Y3679</f>
        <v/>
      </c>
    </row>
    <row r="3680">
      <c r="A3680" t="n">
        <v>22</v>
      </c>
      <c r="B3680" s="44">
        <f>FiscalStart+(A3680-1)*7</f>
        <v/>
      </c>
      <c r="C3680">
        <f>TEXT(B3680,"mmm yyyy")</f>
        <v/>
      </c>
      <c r="D3680">
        <f>"Q"&amp;(INT((A3680-1)/13)+1)</f>
        <v/>
      </c>
      <c r="E3680" t="inlineStr">
        <is>
          <t>Online</t>
        </is>
      </c>
      <c r="F3680">
        <f>IFERROR(INDEX(ChFormat,MATCH(E3680,ChName,0)),"")</f>
        <v/>
      </c>
      <c r="G3680" t="inlineStr">
        <is>
          <t>NL</t>
        </is>
      </c>
      <c r="H3680">
        <f>IF(A3680&lt;=NWeeks,1,0)</f>
        <v/>
      </c>
      <c r="I3680">
        <f>INDEX(ChLaunch,MATCH(E3680,ChName,0))</f>
        <v/>
      </c>
      <c r="J3680">
        <f>INDEX(ChWeeksFull,MATCH(E3680,ChName,0))</f>
        <v/>
      </c>
      <c r="K3680">
        <f>INDEX(ChRamp,MATCH(E3680,ChName,0))</f>
        <v/>
      </c>
      <c r="L3680" s="45">
        <f>MIN(1,MAX(0,(A3680-I3680+1)*RampSpeed/J3680))</f>
        <v/>
      </c>
      <c r="M3680" s="45">
        <f>IF(A3680&lt;I3680,0,IF(K3680="S-curve",L3680*L3680*(3-2*L3680),L3680))</f>
        <v/>
      </c>
      <c r="N3680" s="45">
        <f>1+(INDEX(SeasonIdx,A3680)-1)*SeasonAmp</f>
        <v/>
      </c>
      <c r="O3680" s="45">
        <f>IFERROR(INDEX(PSPct,MATCH(E3680&amp;"|"&amp;G3680,PSKey,0)),0)</f>
        <v/>
      </c>
      <c r="P3680" s="46" t="n">
        <v>0</v>
      </c>
      <c r="Q3680" s="46">
        <f>INDEX(OnlineUnitsCol,A3680)*O3680*(1+OnlineGrowth)*N3680*H3680*IF(A3680&gt;=I3680,1,0)</f>
        <v/>
      </c>
      <c r="R3680" s="46">
        <f>Q3680*INDEX(FmtCansPerPack,MATCH(F3680,FmtName,0))/INDEX(FmtCansPerCase,MATCH(F3680,FmtName,0))</f>
        <v/>
      </c>
      <c r="S3680" s="46">
        <f>R3680*INDEX(FmtCansPerCase,MATCH(F3680,FmtName,0))</f>
        <v/>
      </c>
      <c r="T3680" s="46">
        <f>S3680/INDEX(FmtCansPerPack,MATCH(F3680,FmtName,0))</f>
        <v/>
      </c>
      <c r="U3680" s="47">
        <f>INDEX(ProvOnline,MATCH(G3680,ProvCode,0))*(1+PriceIndex)</f>
        <v/>
      </c>
      <c r="V3680" s="47">
        <f>Q3680*U3680*INDEX(FmtBlendedPriceIdx,MATCH(F3680,FmtName,0))</f>
        <v/>
      </c>
      <c r="W3680" s="47">
        <f>V3680</f>
        <v/>
      </c>
      <c r="X3680" s="47">
        <f>IF(GrossBasis="Wholesale",V3680,W3680)</f>
        <v/>
      </c>
      <c r="Y3680" s="47">
        <f>R3680*INDEX(FmtBlendedCogs,MATCH(F3680,FmtName,0))</f>
        <v/>
      </c>
      <c r="Z3680" s="47">
        <f>X3680-Y3680</f>
        <v/>
      </c>
    </row>
    <row r="3681">
      <c r="A3681" t="n">
        <v>23</v>
      </c>
      <c r="B3681" s="44">
        <f>FiscalStart+(A3681-1)*7</f>
        <v/>
      </c>
      <c r="C3681">
        <f>TEXT(B3681,"mmm yyyy")</f>
        <v/>
      </c>
      <c r="D3681">
        <f>"Q"&amp;(INT((A3681-1)/13)+1)</f>
        <v/>
      </c>
      <c r="E3681" t="inlineStr">
        <is>
          <t>Online</t>
        </is>
      </c>
      <c r="F3681">
        <f>IFERROR(INDEX(ChFormat,MATCH(E3681,ChName,0)),"")</f>
        <v/>
      </c>
      <c r="G3681" t="inlineStr">
        <is>
          <t>NL</t>
        </is>
      </c>
      <c r="H3681">
        <f>IF(A3681&lt;=NWeeks,1,0)</f>
        <v/>
      </c>
      <c r="I3681">
        <f>INDEX(ChLaunch,MATCH(E3681,ChName,0))</f>
        <v/>
      </c>
      <c r="J3681">
        <f>INDEX(ChWeeksFull,MATCH(E3681,ChName,0))</f>
        <v/>
      </c>
      <c r="K3681">
        <f>INDEX(ChRamp,MATCH(E3681,ChName,0))</f>
        <v/>
      </c>
      <c r="L3681" s="45">
        <f>MIN(1,MAX(0,(A3681-I3681+1)*RampSpeed/J3681))</f>
        <v/>
      </c>
      <c r="M3681" s="45">
        <f>IF(A3681&lt;I3681,0,IF(K3681="S-curve",L3681*L3681*(3-2*L3681),L3681))</f>
        <v/>
      </c>
      <c r="N3681" s="45">
        <f>1+(INDEX(SeasonIdx,A3681)-1)*SeasonAmp</f>
        <v/>
      </c>
      <c r="O3681" s="45">
        <f>IFERROR(INDEX(PSPct,MATCH(E3681&amp;"|"&amp;G3681,PSKey,0)),0)</f>
        <v/>
      </c>
      <c r="P3681" s="46" t="n">
        <v>0</v>
      </c>
      <c r="Q3681" s="46">
        <f>INDEX(OnlineUnitsCol,A3681)*O3681*(1+OnlineGrowth)*N3681*H3681*IF(A3681&gt;=I3681,1,0)</f>
        <v/>
      </c>
      <c r="R3681" s="46">
        <f>Q3681*INDEX(FmtCansPerPack,MATCH(F3681,FmtName,0))/INDEX(FmtCansPerCase,MATCH(F3681,FmtName,0))</f>
        <v/>
      </c>
      <c r="S3681" s="46">
        <f>R3681*INDEX(FmtCansPerCase,MATCH(F3681,FmtName,0))</f>
        <v/>
      </c>
      <c r="T3681" s="46">
        <f>S3681/INDEX(FmtCansPerPack,MATCH(F3681,FmtName,0))</f>
        <v/>
      </c>
      <c r="U3681" s="47">
        <f>INDEX(ProvOnline,MATCH(G3681,ProvCode,0))*(1+PriceIndex)</f>
        <v/>
      </c>
      <c r="V3681" s="47">
        <f>Q3681*U3681*INDEX(FmtBlendedPriceIdx,MATCH(F3681,FmtName,0))</f>
        <v/>
      </c>
      <c r="W3681" s="47">
        <f>V3681</f>
        <v/>
      </c>
      <c r="X3681" s="47">
        <f>IF(GrossBasis="Wholesale",V3681,W3681)</f>
        <v/>
      </c>
      <c r="Y3681" s="47">
        <f>R3681*INDEX(FmtBlendedCogs,MATCH(F3681,FmtName,0))</f>
        <v/>
      </c>
      <c r="Z3681" s="47">
        <f>X3681-Y3681</f>
        <v/>
      </c>
    </row>
    <row r="3682">
      <c r="A3682" t="n">
        <v>24</v>
      </c>
      <c r="B3682" s="44">
        <f>FiscalStart+(A3682-1)*7</f>
        <v/>
      </c>
      <c r="C3682">
        <f>TEXT(B3682,"mmm yyyy")</f>
        <v/>
      </c>
      <c r="D3682">
        <f>"Q"&amp;(INT((A3682-1)/13)+1)</f>
        <v/>
      </c>
      <c r="E3682" t="inlineStr">
        <is>
          <t>Online</t>
        </is>
      </c>
      <c r="F3682">
        <f>IFERROR(INDEX(ChFormat,MATCH(E3682,ChName,0)),"")</f>
        <v/>
      </c>
      <c r="G3682" t="inlineStr">
        <is>
          <t>NL</t>
        </is>
      </c>
      <c r="H3682">
        <f>IF(A3682&lt;=NWeeks,1,0)</f>
        <v/>
      </c>
      <c r="I3682">
        <f>INDEX(ChLaunch,MATCH(E3682,ChName,0))</f>
        <v/>
      </c>
      <c r="J3682">
        <f>INDEX(ChWeeksFull,MATCH(E3682,ChName,0))</f>
        <v/>
      </c>
      <c r="K3682">
        <f>INDEX(ChRamp,MATCH(E3682,ChName,0))</f>
        <v/>
      </c>
      <c r="L3682" s="45">
        <f>MIN(1,MAX(0,(A3682-I3682+1)*RampSpeed/J3682))</f>
        <v/>
      </c>
      <c r="M3682" s="45">
        <f>IF(A3682&lt;I3682,0,IF(K3682="S-curve",L3682*L3682*(3-2*L3682),L3682))</f>
        <v/>
      </c>
      <c r="N3682" s="45">
        <f>1+(INDEX(SeasonIdx,A3682)-1)*SeasonAmp</f>
        <v/>
      </c>
      <c r="O3682" s="45">
        <f>IFERROR(INDEX(PSPct,MATCH(E3682&amp;"|"&amp;G3682,PSKey,0)),0)</f>
        <v/>
      </c>
      <c r="P3682" s="46" t="n">
        <v>0</v>
      </c>
      <c r="Q3682" s="46">
        <f>INDEX(OnlineUnitsCol,A3682)*O3682*(1+OnlineGrowth)*N3682*H3682*IF(A3682&gt;=I3682,1,0)</f>
        <v/>
      </c>
      <c r="R3682" s="46">
        <f>Q3682*INDEX(FmtCansPerPack,MATCH(F3682,FmtName,0))/INDEX(FmtCansPerCase,MATCH(F3682,FmtName,0))</f>
        <v/>
      </c>
      <c r="S3682" s="46">
        <f>R3682*INDEX(FmtCansPerCase,MATCH(F3682,FmtName,0))</f>
        <v/>
      </c>
      <c r="T3682" s="46">
        <f>S3682/INDEX(FmtCansPerPack,MATCH(F3682,FmtName,0))</f>
        <v/>
      </c>
      <c r="U3682" s="47">
        <f>INDEX(ProvOnline,MATCH(G3682,ProvCode,0))*(1+PriceIndex)</f>
        <v/>
      </c>
      <c r="V3682" s="47">
        <f>Q3682*U3682*INDEX(FmtBlendedPriceIdx,MATCH(F3682,FmtName,0))</f>
        <v/>
      </c>
      <c r="W3682" s="47">
        <f>V3682</f>
        <v/>
      </c>
      <c r="X3682" s="47">
        <f>IF(GrossBasis="Wholesale",V3682,W3682)</f>
        <v/>
      </c>
      <c r="Y3682" s="47">
        <f>R3682*INDEX(FmtBlendedCogs,MATCH(F3682,FmtName,0))</f>
        <v/>
      </c>
      <c r="Z3682" s="47">
        <f>X3682-Y3682</f>
        <v/>
      </c>
    </row>
    <row r="3683">
      <c r="A3683" t="n">
        <v>25</v>
      </c>
      <c r="B3683" s="44">
        <f>FiscalStart+(A3683-1)*7</f>
        <v/>
      </c>
      <c r="C3683">
        <f>TEXT(B3683,"mmm yyyy")</f>
        <v/>
      </c>
      <c r="D3683">
        <f>"Q"&amp;(INT((A3683-1)/13)+1)</f>
        <v/>
      </c>
      <c r="E3683" t="inlineStr">
        <is>
          <t>Online</t>
        </is>
      </c>
      <c r="F3683">
        <f>IFERROR(INDEX(ChFormat,MATCH(E3683,ChName,0)),"")</f>
        <v/>
      </c>
      <c r="G3683" t="inlineStr">
        <is>
          <t>NL</t>
        </is>
      </c>
      <c r="H3683">
        <f>IF(A3683&lt;=NWeeks,1,0)</f>
        <v/>
      </c>
      <c r="I3683">
        <f>INDEX(ChLaunch,MATCH(E3683,ChName,0))</f>
        <v/>
      </c>
      <c r="J3683">
        <f>INDEX(ChWeeksFull,MATCH(E3683,ChName,0))</f>
        <v/>
      </c>
      <c r="K3683">
        <f>INDEX(ChRamp,MATCH(E3683,ChName,0))</f>
        <v/>
      </c>
      <c r="L3683" s="45">
        <f>MIN(1,MAX(0,(A3683-I3683+1)*RampSpeed/J3683))</f>
        <v/>
      </c>
      <c r="M3683" s="45">
        <f>IF(A3683&lt;I3683,0,IF(K3683="S-curve",L3683*L3683*(3-2*L3683),L3683))</f>
        <v/>
      </c>
      <c r="N3683" s="45">
        <f>1+(INDEX(SeasonIdx,A3683)-1)*SeasonAmp</f>
        <v/>
      </c>
      <c r="O3683" s="45">
        <f>IFERROR(INDEX(PSPct,MATCH(E3683&amp;"|"&amp;G3683,PSKey,0)),0)</f>
        <v/>
      </c>
      <c r="P3683" s="46" t="n">
        <v>0</v>
      </c>
      <c r="Q3683" s="46">
        <f>INDEX(OnlineUnitsCol,A3683)*O3683*(1+OnlineGrowth)*N3683*H3683*IF(A3683&gt;=I3683,1,0)</f>
        <v/>
      </c>
      <c r="R3683" s="46">
        <f>Q3683*INDEX(FmtCansPerPack,MATCH(F3683,FmtName,0))/INDEX(FmtCansPerCase,MATCH(F3683,FmtName,0))</f>
        <v/>
      </c>
      <c r="S3683" s="46">
        <f>R3683*INDEX(FmtCansPerCase,MATCH(F3683,FmtName,0))</f>
        <v/>
      </c>
      <c r="T3683" s="46">
        <f>S3683/INDEX(FmtCansPerPack,MATCH(F3683,FmtName,0))</f>
        <v/>
      </c>
      <c r="U3683" s="47">
        <f>INDEX(ProvOnline,MATCH(G3683,ProvCode,0))*(1+PriceIndex)</f>
        <v/>
      </c>
      <c r="V3683" s="47">
        <f>Q3683*U3683*INDEX(FmtBlendedPriceIdx,MATCH(F3683,FmtName,0))</f>
        <v/>
      </c>
      <c r="W3683" s="47">
        <f>V3683</f>
        <v/>
      </c>
      <c r="X3683" s="47">
        <f>IF(GrossBasis="Wholesale",V3683,W3683)</f>
        <v/>
      </c>
      <c r="Y3683" s="47">
        <f>R3683*INDEX(FmtBlendedCogs,MATCH(F3683,FmtName,0))</f>
        <v/>
      </c>
      <c r="Z3683" s="47">
        <f>X3683-Y3683</f>
        <v/>
      </c>
    </row>
    <row r="3684">
      <c r="A3684" t="n">
        <v>26</v>
      </c>
      <c r="B3684" s="44">
        <f>FiscalStart+(A3684-1)*7</f>
        <v/>
      </c>
      <c r="C3684">
        <f>TEXT(B3684,"mmm yyyy")</f>
        <v/>
      </c>
      <c r="D3684">
        <f>"Q"&amp;(INT((A3684-1)/13)+1)</f>
        <v/>
      </c>
      <c r="E3684" t="inlineStr">
        <is>
          <t>Online</t>
        </is>
      </c>
      <c r="F3684">
        <f>IFERROR(INDEX(ChFormat,MATCH(E3684,ChName,0)),"")</f>
        <v/>
      </c>
      <c r="G3684" t="inlineStr">
        <is>
          <t>NL</t>
        </is>
      </c>
      <c r="H3684">
        <f>IF(A3684&lt;=NWeeks,1,0)</f>
        <v/>
      </c>
      <c r="I3684">
        <f>INDEX(ChLaunch,MATCH(E3684,ChName,0))</f>
        <v/>
      </c>
      <c r="J3684">
        <f>INDEX(ChWeeksFull,MATCH(E3684,ChName,0))</f>
        <v/>
      </c>
      <c r="K3684">
        <f>INDEX(ChRamp,MATCH(E3684,ChName,0))</f>
        <v/>
      </c>
      <c r="L3684" s="45">
        <f>MIN(1,MAX(0,(A3684-I3684+1)*RampSpeed/J3684))</f>
        <v/>
      </c>
      <c r="M3684" s="45">
        <f>IF(A3684&lt;I3684,0,IF(K3684="S-curve",L3684*L3684*(3-2*L3684),L3684))</f>
        <v/>
      </c>
      <c r="N3684" s="45">
        <f>1+(INDEX(SeasonIdx,A3684)-1)*SeasonAmp</f>
        <v/>
      </c>
      <c r="O3684" s="45">
        <f>IFERROR(INDEX(PSPct,MATCH(E3684&amp;"|"&amp;G3684,PSKey,0)),0)</f>
        <v/>
      </c>
      <c r="P3684" s="46" t="n">
        <v>0</v>
      </c>
      <c r="Q3684" s="46">
        <f>INDEX(OnlineUnitsCol,A3684)*O3684*(1+OnlineGrowth)*N3684*H3684*IF(A3684&gt;=I3684,1,0)</f>
        <v/>
      </c>
      <c r="R3684" s="46">
        <f>Q3684*INDEX(FmtCansPerPack,MATCH(F3684,FmtName,0))/INDEX(FmtCansPerCase,MATCH(F3684,FmtName,0))</f>
        <v/>
      </c>
      <c r="S3684" s="46">
        <f>R3684*INDEX(FmtCansPerCase,MATCH(F3684,FmtName,0))</f>
        <v/>
      </c>
      <c r="T3684" s="46">
        <f>S3684/INDEX(FmtCansPerPack,MATCH(F3684,FmtName,0))</f>
        <v/>
      </c>
      <c r="U3684" s="47">
        <f>INDEX(ProvOnline,MATCH(G3684,ProvCode,0))*(1+PriceIndex)</f>
        <v/>
      </c>
      <c r="V3684" s="47">
        <f>Q3684*U3684*INDEX(FmtBlendedPriceIdx,MATCH(F3684,FmtName,0))</f>
        <v/>
      </c>
      <c r="W3684" s="47">
        <f>V3684</f>
        <v/>
      </c>
      <c r="X3684" s="47">
        <f>IF(GrossBasis="Wholesale",V3684,W3684)</f>
        <v/>
      </c>
      <c r="Y3684" s="47">
        <f>R3684*INDEX(FmtBlendedCogs,MATCH(F3684,FmtName,0))</f>
        <v/>
      </c>
      <c r="Z3684" s="47">
        <f>X3684-Y3684</f>
        <v/>
      </c>
    </row>
    <row r="3685">
      <c r="A3685" t="n">
        <v>27</v>
      </c>
      <c r="B3685" s="44">
        <f>FiscalStart+(A3685-1)*7</f>
        <v/>
      </c>
      <c r="C3685">
        <f>TEXT(B3685,"mmm yyyy")</f>
        <v/>
      </c>
      <c r="D3685">
        <f>"Q"&amp;(INT((A3685-1)/13)+1)</f>
        <v/>
      </c>
      <c r="E3685" t="inlineStr">
        <is>
          <t>Online</t>
        </is>
      </c>
      <c r="F3685">
        <f>IFERROR(INDEX(ChFormat,MATCH(E3685,ChName,0)),"")</f>
        <v/>
      </c>
      <c r="G3685" t="inlineStr">
        <is>
          <t>NL</t>
        </is>
      </c>
      <c r="H3685">
        <f>IF(A3685&lt;=NWeeks,1,0)</f>
        <v/>
      </c>
      <c r="I3685">
        <f>INDEX(ChLaunch,MATCH(E3685,ChName,0))</f>
        <v/>
      </c>
      <c r="J3685">
        <f>INDEX(ChWeeksFull,MATCH(E3685,ChName,0))</f>
        <v/>
      </c>
      <c r="K3685">
        <f>INDEX(ChRamp,MATCH(E3685,ChName,0))</f>
        <v/>
      </c>
      <c r="L3685" s="45">
        <f>MIN(1,MAX(0,(A3685-I3685+1)*RampSpeed/J3685))</f>
        <v/>
      </c>
      <c r="M3685" s="45">
        <f>IF(A3685&lt;I3685,0,IF(K3685="S-curve",L3685*L3685*(3-2*L3685),L3685))</f>
        <v/>
      </c>
      <c r="N3685" s="45">
        <f>1+(INDEX(SeasonIdx,A3685)-1)*SeasonAmp</f>
        <v/>
      </c>
      <c r="O3685" s="45">
        <f>IFERROR(INDEX(PSPct,MATCH(E3685&amp;"|"&amp;G3685,PSKey,0)),0)</f>
        <v/>
      </c>
      <c r="P3685" s="46" t="n">
        <v>0</v>
      </c>
      <c r="Q3685" s="46">
        <f>INDEX(OnlineUnitsCol,A3685)*O3685*(1+OnlineGrowth)*N3685*H3685*IF(A3685&gt;=I3685,1,0)</f>
        <v/>
      </c>
      <c r="R3685" s="46">
        <f>Q3685*INDEX(FmtCansPerPack,MATCH(F3685,FmtName,0))/INDEX(FmtCansPerCase,MATCH(F3685,FmtName,0))</f>
        <v/>
      </c>
      <c r="S3685" s="46">
        <f>R3685*INDEX(FmtCansPerCase,MATCH(F3685,FmtName,0))</f>
        <v/>
      </c>
      <c r="T3685" s="46">
        <f>S3685/INDEX(FmtCansPerPack,MATCH(F3685,FmtName,0))</f>
        <v/>
      </c>
      <c r="U3685" s="47">
        <f>INDEX(ProvOnline,MATCH(G3685,ProvCode,0))*(1+PriceIndex)</f>
        <v/>
      </c>
      <c r="V3685" s="47">
        <f>Q3685*U3685*INDEX(FmtBlendedPriceIdx,MATCH(F3685,FmtName,0))</f>
        <v/>
      </c>
      <c r="W3685" s="47">
        <f>V3685</f>
        <v/>
      </c>
      <c r="X3685" s="47">
        <f>IF(GrossBasis="Wholesale",V3685,W3685)</f>
        <v/>
      </c>
      <c r="Y3685" s="47">
        <f>R3685*INDEX(FmtBlendedCogs,MATCH(F3685,FmtName,0))</f>
        <v/>
      </c>
      <c r="Z3685" s="47">
        <f>X3685-Y3685</f>
        <v/>
      </c>
    </row>
    <row r="3686">
      <c r="A3686" t="n">
        <v>28</v>
      </c>
      <c r="B3686" s="44">
        <f>FiscalStart+(A3686-1)*7</f>
        <v/>
      </c>
      <c r="C3686">
        <f>TEXT(B3686,"mmm yyyy")</f>
        <v/>
      </c>
      <c r="D3686">
        <f>"Q"&amp;(INT((A3686-1)/13)+1)</f>
        <v/>
      </c>
      <c r="E3686" t="inlineStr">
        <is>
          <t>Online</t>
        </is>
      </c>
      <c r="F3686">
        <f>IFERROR(INDEX(ChFormat,MATCH(E3686,ChName,0)),"")</f>
        <v/>
      </c>
      <c r="G3686" t="inlineStr">
        <is>
          <t>NL</t>
        </is>
      </c>
      <c r="H3686">
        <f>IF(A3686&lt;=NWeeks,1,0)</f>
        <v/>
      </c>
      <c r="I3686">
        <f>INDEX(ChLaunch,MATCH(E3686,ChName,0))</f>
        <v/>
      </c>
      <c r="J3686">
        <f>INDEX(ChWeeksFull,MATCH(E3686,ChName,0))</f>
        <v/>
      </c>
      <c r="K3686">
        <f>INDEX(ChRamp,MATCH(E3686,ChName,0))</f>
        <v/>
      </c>
      <c r="L3686" s="45">
        <f>MIN(1,MAX(0,(A3686-I3686+1)*RampSpeed/J3686))</f>
        <v/>
      </c>
      <c r="M3686" s="45">
        <f>IF(A3686&lt;I3686,0,IF(K3686="S-curve",L3686*L3686*(3-2*L3686),L3686))</f>
        <v/>
      </c>
      <c r="N3686" s="45">
        <f>1+(INDEX(SeasonIdx,A3686)-1)*SeasonAmp</f>
        <v/>
      </c>
      <c r="O3686" s="45">
        <f>IFERROR(INDEX(PSPct,MATCH(E3686&amp;"|"&amp;G3686,PSKey,0)),0)</f>
        <v/>
      </c>
      <c r="P3686" s="46" t="n">
        <v>0</v>
      </c>
      <c r="Q3686" s="46">
        <f>INDEX(OnlineUnitsCol,A3686)*O3686*(1+OnlineGrowth)*N3686*H3686*IF(A3686&gt;=I3686,1,0)</f>
        <v/>
      </c>
      <c r="R3686" s="46">
        <f>Q3686*INDEX(FmtCansPerPack,MATCH(F3686,FmtName,0))/INDEX(FmtCansPerCase,MATCH(F3686,FmtName,0))</f>
        <v/>
      </c>
      <c r="S3686" s="46">
        <f>R3686*INDEX(FmtCansPerCase,MATCH(F3686,FmtName,0))</f>
        <v/>
      </c>
      <c r="T3686" s="46">
        <f>S3686/INDEX(FmtCansPerPack,MATCH(F3686,FmtName,0))</f>
        <v/>
      </c>
      <c r="U3686" s="47">
        <f>INDEX(ProvOnline,MATCH(G3686,ProvCode,0))*(1+PriceIndex)</f>
        <v/>
      </c>
      <c r="V3686" s="47">
        <f>Q3686*U3686*INDEX(FmtBlendedPriceIdx,MATCH(F3686,FmtName,0))</f>
        <v/>
      </c>
      <c r="W3686" s="47">
        <f>V3686</f>
        <v/>
      </c>
      <c r="X3686" s="47">
        <f>IF(GrossBasis="Wholesale",V3686,W3686)</f>
        <v/>
      </c>
      <c r="Y3686" s="47">
        <f>R3686*INDEX(FmtBlendedCogs,MATCH(F3686,FmtName,0))</f>
        <v/>
      </c>
      <c r="Z3686" s="47">
        <f>X3686-Y3686</f>
        <v/>
      </c>
    </row>
    <row r="3687">
      <c r="A3687" t="n">
        <v>29</v>
      </c>
      <c r="B3687" s="44">
        <f>FiscalStart+(A3687-1)*7</f>
        <v/>
      </c>
      <c r="C3687">
        <f>TEXT(B3687,"mmm yyyy")</f>
        <v/>
      </c>
      <c r="D3687">
        <f>"Q"&amp;(INT((A3687-1)/13)+1)</f>
        <v/>
      </c>
      <c r="E3687" t="inlineStr">
        <is>
          <t>Online</t>
        </is>
      </c>
      <c r="F3687">
        <f>IFERROR(INDEX(ChFormat,MATCH(E3687,ChName,0)),"")</f>
        <v/>
      </c>
      <c r="G3687" t="inlineStr">
        <is>
          <t>NL</t>
        </is>
      </c>
      <c r="H3687">
        <f>IF(A3687&lt;=NWeeks,1,0)</f>
        <v/>
      </c>
      <c r="I3687">
        <f>INDEX(ChLaunch,MATCH(E3687,ChName,0))</f>
        <v/>
      </c>
      <c r="J3687">
        <f>INDEX(ChWeeksFull,MATCH(E3687,ChName,0))</f>
        <v/>
      </c>
      <c r="K3687">
        <f>INDEX(ChRamp,MATCH(E3687,ChName,0))</f>
        <v/>
      </c>
      <c r="L3687" s="45">
        <f>MIN(1,MAX(0,(A3687-I3687+1)*RampSpeed/J3687))</f>
        <v/>
      </c>
      <c r="M3687" s="45">
        <f>IF(A3687&lt;I3687,0,IF(K3687="S-curve",L3687*L3687*(3-2*L3687),L3687))</f>
        <v/>
      </c>
      <c r="N3687" s="45">
        <f>1+(INDEX(SeasonIdx,A3687)-1)*SeasonAmp</f>
        <v/>
      </c>
      <c r="O3687" s="45">
        <f>IFERROR(INDEX(PSPct,MATCH(E3687&amp;"|"&amp;G3687,PSKey,0)),0)</f>
        <v/>
      </c>
      <c r="P3687" s="46" t="n">
        <v>0</v>
      </c>
      <c r="Q3687" s="46">
        <f>INDEX(OnlineUnitsCol,A3687)*O3687*(1+OnlineGrowth)*N3687*H3687*IF(A3687&gt;=I3687,1,0)</f>
        <v/>
      </c>
      <c r="R3687" s="46">
        <f>Q3687*INDEX(FmtCansPerPack,MATCH(F3687,FmtName,0))/INDEX(FmtCansPerCase,MATCH(F3687,FmtName,0))</f>
        <v/>
      </c>
      <c r="S3687" s="46">
        <f>R3687*INDEX(FmtCansPerCase,MATCH(F3687,FmtName,0))</f>
        <v/>
      </c>
      <c r="T3687" s="46">
        <f>S3687/INDEX(FmtCansPerPack,MATCH(F3687,FmtName,0))</f>
        <v/>
      </c>
      <c r="U3687" s="47">
        <f>INDEX(ProvOnline,MATCH(G3687,ProvCode,0))*(1+PriceIndex)</f>
        <v/>
      </c>
      <c r="V3687" s="47">
        <f>Q3687*U3687*INDEX(FmtBlendedPriceIdx,MATCH(F3687,FmtName,0))</f>
        <v/>
      </c>
      <c r="W3687" s="47">
        <f>V3687</f>
        <v/>
      </c>
      <c r="X3687" s="47">
        <f>IF(GrossBasis="Wholesale",V3687,W3687)</f>
        <v/>
      </c>
      <c r="Y3687" s="47">
        <f>R3687*INDEX(FmtBlendedCogs,MATCH(F3687,FmtName,0))</f>
        <v/>
      </c>
      <c r="Z3687" s="47">
        <f>X3687-Y3687</f>
        <v/>
      </c>
    </row>
    <row r="3688">
      <c r="A3688" t="n">
        <v>30</v>
      </c>
      <c r="B3688" s="44">
        <f>FiscalStart+(A3688-1)*7</f>
        <v/>
      </c>
      <c r="C3688">
        <f>TEXT(B3688,"mmm yyyy")</f>
        <v/>
      </c>
      <c r="D3688">
        <f>"Q"&amp;(INT((A3688-1)/13)+1)</f>
        <v/>
      </c>
      <c r="E3688" t="inlineStr">
        <is>
          <t>Online</t>
        </is>
      </c>
      <c r="F3688">
        <f>IFERROR(INDEX(ChFormat,MATCH(E3688,ChName,0)),"")</f>
        <v/>
      </c>
      <c r="G3688" t="inlineStr">
        <is>
          <t>NL</t>
        </is>
      </c>
      <c r="H3688">
        <f>IF(A3688&lt;=NWeeks,1,0)</f>
        <v/>
      </c>
      <c r="I3688">
        <f>INDEX(ChLaunch,MATCH(E3688,ChName,0))</f>
        <v/>
      </c>
      <c r="J3688">
        <f>INDEX(ChWeeksFull,MATCH(E3688,ChName,0))</f>
        <v/>
      </c>
      <c r="K3688">
        <f>INDEX(ChRamp,MATCH(E3688,ChName,0))</f>
        <v/>
      </c>
      <c r="L3688" s="45">
        <f>MIN(1,MAX(0,(A3688-I3688+1)*RampSpeed/J3688))</f>
        <v/>
      </c>
      <c r="M3688" s="45">
        <f>IF(A3688&lt;I3688,0,IF(K3688="S-curve",L3688*L3688*(3-2*L3688),L3688))</f>
        <v/>
      </c>
      <c r="N3688" s="45">
        <f>1+(INDEX(SeasonIdx,A3688)-1)*SeasonAmp</f>
        <v/>
      </c>
      <c r="O3688" s="45">
        <f>IFERROR(INDEX(PSPct,MATCH(E3688&amp;"|"&amp;G3688,PSKey,0)),0)</f>
        <v/>
      </c>
      <c r="P3688" s="46" t="n">
        <v>0</v>
      </c>
      <c r="Q3688" s="46">
        <f>INDEX(OnlineUnitsCol,A3688)*O3688*(1+OnlineGrowth)*N3688*H3688*IF(A3688&gt;=I3688,1,0)</f>
        <v/>
      </c>
      <c r="R3688" s="46">
        <f>Q3688*INDEX(FmtCansPerPack,MATCH(F3688,FmtName,0))/INDEX(FmtCansPerCase,MATCH(F3688,FmtName,0))</f>
        <v/>
      </c>
      <c r="S3688" s="46">
        <f>R3688*INDEX(FmtCansPerCase,MATCH(F3688,FmtName,0))</f>
        <v/>
      </c>
      <c r="T3688" s="46">
        <f>S3688/INDEX(FmtCansPerPack,MATCH(F3688,FmtName,0))</f>
        <v/>
      </c>
      <c r="U3688" s="47">
        <f>INDEX(ProvOnline,MATCH(G3688,ProvCode,0))*(1+PriceIndex)</f>
        <v/>
      </c>
      <c r="V3688" s="47">
        <f>Q3688*U3688*INDEX(FmtBlendedPriceIdx,MATCH(F3688,FmtName,0))</f>
        <v/>
      </c>
      <c r="W3688" s="47">
        <f>V3688</f>
        <v/>
      </c>
      <c r="X3688" s="47">
        <f>IF(GrossBasis="Wholesale",V3688,W3688)</f>
        <v/>
      </c>
      <c r="Y3688" s="47">
        <f>R3688*INDEX(FmtBlendedCogs,MATCH(F3688,FmtName,0))</f>
        <v/>
      </c>
      <c r="Z3688" s="47">
        <f>X3688-Y3688</f>
        <v/>
      </c>
    </row>
    <row r="3689">
      <c r="A3689" t="n">
        <v>31</v>
      </c>
      <c r="B3689" s="44">
        <f>FiscalStart+(A3689-1)*7</f>
        <v/>
      </c>
      <c r="C3689">
        <f>TEXT(B3689,"mmm yyyy")</f>
        <v/>
      </c>
      <c r="D3689">
        <f>"Q"&amp;(INT((A3689-1)/13)+1)</f>
        <v/>
      </c>
      <c r="E3689" t="inlineStr">
        <is>
          <t>Online</t>
        </is>
      </c>
      <c r="F3689">
        <f>IFERROR(INDEX(ChFormat,MATCH(E3689,ChName,0)),"")</f>
        <v/>
      </c>
      <c r="G3689" t="inlineStr">
        <is>
          <t>NL</t>
        </is>
      </c>
      <c r="H3689">
        <f>IF(A3689&lt;=NWeeks,1,0)</f>
        <v/>
      </c>
      <c r="I3689">
        <f>INDEX(ChLaunch,MATCH(E3689,ChName,0))</f>
        <v/>
      </c>
      <c r="J3689">
        <f>INDEX(ChWeeksFull,MATCH(E3689,ChName,0))</f>
        <v/>
      </c>
      <c r="K3689">
        <f>INDEX(ChRamp,MATCH(E3689,ChName,0))</f>
        <v/>
      </c>
      <c r="L3689" s="45">
        <f>MIN(1,MAX(0,(A3689-I3689+1)*RampSpeed/J3689))</f>
        <v/>
      </c>
      <c r="M3689" s="45">
        <f>IF(A3689&lt;I3689,0,IF(K3689="S-curve",L3689*L3689*(3-2*L3689),L3689))</f>
        <v/>
      </c>
      <c r="N3689" s="45">
        <f>1+(INDEX(SeasonIdx,A3689)-1)*SeasonAmp</f>
        <v/>
      </c>
      <c r="O3689" s="45">
        <f>IFERROR(INDEX(PSPct,MATCH(E3689&amp;"|"&amp;G3689,PSKey,0)),0)</f>
        <v/>
      </c>
      <c r="P3689" s="46" t="n">
        <v>0</v>
      </c>
      <c r="Q3689" s="46">
        <f>INDEX(OnlineUnitsCol,A3689)*O3689*(1+OnlineGrowth)*N3689*H3689*IF(A3689&gt;=I3689,1,0)</f>
        <v/>
      </c>
      <c r="R3689" s="46">
        <f>Q3689*INDEX(FmtCansPerPack,MATCH(F3689,FmtName,0))/INDEX(FmtCansPerCase,MATCH(F3689,FmtName,0))</f>
        <v/>
      </c>
      <c r="S3689" s="46">
        <f>R3689*INDEX(FmtCansPerCase,MATCH(F3689,FmtName,0))</f>
        <v/>
      </c>
      <c r="T3689" s="46">
        <f>S3689/INDEX(FmtCansPerPack,MATCH(F3689,FmtName,0))</f>
        <v/>
      </c>
      <c r="U3689" s="47">
        <f>INDEX(ProvOnline,MATCH(G3689,ProvCode,0))*(1+PriceIndex)</f>
        <v/>
      </c>
      <c r="V3689" s="47">
        <f>Q3689*U3689*INDEX(FmtBlendedPriceIdx,MATCH(F3689,FmtName,0))</f>
        <v/>
      </c>
      <c r="W3689" s="47">
        <f>V3689</f>
        <v/>
      </c>
      <c r="X3689" s="47">
        <f>IF(GrossBasis="Wholesale",V3689,W3689)</f>
        <v/>
      </c>
      <c r="Y3689" s="47">
        <f>R3689*INDEX(FmtBlendedCogs,MATCH(F3689,FmtName,0))</f>
        <v/>
      </c>
      <c r="Z3689" s="47">
        <f>X3689-Y3689</f>
        <v/>
      </c>
    </row>
    <row r="3690">
      <c r="A3690" t="n">
        <v>32</v>
      </c>
      <c r="B3690" s="44">
        <f>FiscalStart+(A3690-1)*7</f>
        <v/>
      </c>
      <c r="C3690">
        <f>TEXT(B3690,"mmm yyyy")</f>
        <v/>
      </c>
      <c r="D3690">
        <f>"Q"&amp;(INT((A3690-1)/13)+1)</f>
        <v/>
      </c>
      <c r="E3690" t="inlineStr">
        <is>
          <t>Online</t>
        </is>
      </c>
      <c r="F3690">
        <f>IFERROR(INDEX(ChFormat,MATCH(E3690,ChName,0)),"")</f>
        <v/>
      </c>
      <c r="G3690" t="inlineStr">
        <is>
          <t>NL</t>
        </is>
      </c>
      <c r="H3690">
        <f>IF(A3690&lt;=NWeeks,1,0)</f>
        <v/>
      </c>
      <c r="I3690">
        <f>INDEX(ChLaunch,MATCH(E3690,ChName,0))</f>
        <v/>
      </c>
      <c r="J3690">
        <f>INDEX(ChWeeksFull,MATCH(E3690,ChName,0))</f>
        <v/>
      </c>
      <c r="K3690">
        <f>INDEX(ChRamp,MATCH(E3690,ChName,0))</f>
        <v/>
      </c>
      <c r="L3690" s="45">
        <f>MIN(1,MAX(0,(A3690-I3690+1)*RampSpeed/J3690))</f>
        <v/>
      </c>
      <c r="M3690" s="45">
        <f>IF(A3690&lt;I3690,0,IF(K3690="S-curve",L3690*L3690*(3-2*L3690),L3690))</f>
        <v/>
      </c>
      <c r="N3690" s="45">
        <f>1+(INDEX(SeasonIdx,A3690)-1)*SeasonAmp</f>
        <v/>
      </c>
      <c r="O3690" s="45">
        <f>IFERROR(INDEX(PSPct,MATCH(E3690&amp;"|"&amp;G3690,PSKey,0)),0)</f>
        <v/>
      </c>
      <c r="P3690" s="46" t="n">
        <v>0</v>
      </c>
      <c r="Q3690" s="46">
        <f>INDEX(OnlineUnitsCol,A3690)*O3690*(1+OnlineGrowth)*N3690*H3690*IF(A3690&gt;=I3690,1,0)</f>
        <v/>
      </c>
      <c r="R3690" s="46">
        <f>Q3690*INDEX(FmtCansPerPack,MATCH(F3690,FmtName,0))/INDEX(FmtCansPerCase,MATCH(F3690,FmtName,0))</f>
        <v/>
      </c>
      <c r="S3690" s="46">
        <f>R3690*INDEX(FmtCansPerCase,MATCH(F3690,FmtName,0))</f>
        <v/>
      </c>
      <c r="T3690" s="46">
        <f>S3690/INDEX(FmtCansPerPack,MATCH(F3690,FmtName,0))</f>
        <v/>
      </c>
      <c r="U3690" s="47">
        <f>INDEX(ProvOnline,MATCH(G3690,ProvCode,0))*(1+PriceIndex)</f>
        <v/>
      </c>
      <c r="V3690" s="47">
        <f>Q3690*U3690*INDEX(FmtBlendedPriceIdx,MATCH(F3690,FmtName,0))</f>
        <v/>
      </c>
      <c r="W3690" s="47">
        <f>V3690</f>
        <v/>
      </c>
      <c r="X3690" s="47">
        <f>IF(GrossBasis="Wholesale",V3690,W3690)</f>
        <v/>
      </c>
      <c r="Y3690" s="47">
        <f>R3690*INDEX(FmtBlendedCogs,MATCH(F3690,FmtName,0))</f>
        <v/>
      </c>
      <c r="Z3690" s="47">
        <f>X3690-Y3690</f>
        <v/>
      </c>
    </row>
    <row r="3691">
      <c r="A3691" t="n">
        <v>33</v>
      </c>
      <c r="B3691" s="44">
        <f>FiscalStart+(A3691-1)*7</f>
        <v/>
      </c>
      <c r="C3691">
        <f>TEXT(B3691,"mmm yyyy")</f>
        <v/>
      </c>
      <c r="D3691">
        <f>"Q"&amp;(INT((A3691-1)/13)+1)</f>
        <v/>
      </c>
      <c r="E3691" t="inlineStr">
        <is>
          <t>Online</t>
        </is>
      </c>
      <c r="F3691">
        <f>IFERROR(INDEX(ChFormat,MATCH(E3691,ChName,0)),"")</f>
        <v/>
      </c>
      <c r="G3691" t="inlineStr">
        <is>
          <t>NL</t>
        </is>
      </c>
      <c r="H3691">
        <f>IF(A3691&lt;=NWeeks,1,0)</f>
        <v/>
      </c>
      <c r="I3691">
        <f>INDEX(ChLaunch,MATCH(E3691,ChName,0))</f>
        <v/>
      </c>
      <c r="J3691">
        <f>INDEX(ChWeeksFull,MATCH(E3691,ChName,0))</f>
        <v/>
      </c>
      <c r="K3691">
        <f>INDEX(ChRamp,MATCH(E3691,ChName,0))</f>
        <v/>
      </c>
      <c r="L3691" s="45">
        <f>MIN(1,MAX(0,(A3691-I3691+1)*RampSpeed/J3691))</f>
        <v/>
      </c>
      <c r="M3691" s="45">
        <f>IF(A3691&lt;I3691,0,IF(K3691="S-curve",L3691*L3691*(3-2*L3691),L3691))</f>
        <v/>
      </c>
      <c r="N3691" s="45">
        <f>1+(INDEX(SeasonIdx,A3691)-1)*SeasonAmp</f>
        <v/>
      </c>
      <c r="O3691" s="45">
        <f>IFERROR(INDEX(PSPct,MATCH(E3691&amp;"|"&amp;G3691,PSKey,0)),0)</f>
        <v/>
      </c>
      <c r="P3691" s="46" t="n">
        <v>0</v>
      </c>
      <c r="Q3691" s="46">
        <f>INDEX(OnlineUnitsCol,A3691)*O3691*(1+OnlineGrowth)*N3691*H3691*IF(A3691&gt;=I3691,1,0)</f>
        <v/>
      </c>
      <c r="R3691" s="46">
        <f>Q3691*INDEX(FmtCansPerPack,MATCH(F3691,FmtName,0))/INDEX(FmtCansPerCase,MATCH(F3691,FmtName,0))</f>
        <v/>
      </c>
      <c r="S3691" s="46">
        <f>R3691*INDEX(FmtCansPerCase,MATCH(F3691,FmtName,0))</f>
        <v/>
      </c>
      <c r="T3691" s="46">
        <f>S3691/INDEX(FmtCansPerPack,MATCH(F3691,FmtName,0))</f>
        <v/>
      </c>
      <c r="U3691" s="47">
        <f>INDEX(ProvOnline,MATCH(G3691,ProvCode,0))*(1+PriceIndex)</f>
        <v/>
      </c>
      <c r="V3691" s="47">
        <f>Q3691*U3691*INDEX(FmtBlendedPriceIdx,MATCH(F3691,FmtName,0))</f>
        <v/>
      </c>
      <c r="W3691" s="47">
        <f>V3691</f>
        <v/>
      </c>
      <c r="X3691" s="47">
        <f>IF(GrossBasis="Wholesale",V3691,W3691)</f>
        <v/>
      </c>
      <c r="Y3691" s="47">
        <f>R3691*INDEX(FmtBlendedCogs,MATCH(F3691,FmtName,0))</f>
        <v/>
      </c>
      <c r="Z3691" s="47">
        <f>X3691-Y3691</f>
        <v/>
      </c>
    </row>
    <row r="3692">
      <c r="A3692" t="n">
        <v>34</v>
      </c>
      <c r="B3692" s="44">
        <f>FiscalStart+(A3692-1)*7</f>
        <v/>
      </c>
      <c r="C3692">
        <f>TEXT(B3692,"mmm yyyy")</f>
        <v/>
      </c>
      <c r="D3692">
        <f>"Q"&amp;(INT((A3692-1)/13)+1)</f>
        <v/>
      </c>
      <c r="E3692" t="inlineStr">
        <is>
          <t>Online</t>
        </is>
      </c>
      <c r="F3692">
        <f>IFERROR(INDEX(ChFormat,MATCH(E3692,ChName,0)),"")</f>
        <v/>
      </c>
      <c r="G3692" t="inlineStr">
        <is>
          <t>NL</t>
        </is>
      </c>
      <c r="H3692">
        <f>IF(A3692&lt;=NWeeks,1,0)</f>
        <v/>
      </c>
      <c r="I3692">
        <f>INDEX(ChLaunch,MATCH(E3692,ChName,0))</f>
        <v/>
      </c>
      <c r="J3692">
        <f>INDEX(ChWeeksFull,MATCH(E3692,ChName,0))</f>
        <v/>
      </c>
      <c r="K3692">
        <f>INDEX(ChRamp,MATCH(E3692,ChName,0))</f>
        <v/>
      </c>
      <c r="L3692" s="45">
        <f>MIN(1,MAX(0,(A3692-I3692+1)*RampSpeed/J3692))</f>
        <v/>
      </c>
      <c r="M3692" s="45">
        <f>IF(A3692&lt;I3692,0,IF(K3692="S-curve",L3692*L3692*(3-2*L3692),L3692))</f>
        <v/>
      </c>
      <c r="N3692" s="45">
        <f>1+(INDEX(SeasonIdx,A3692)-1)*SeasonAmp</f>
        <v/>
      </c>
      <c r="O3692" s="45">
        <f>IFERROR(INDEX(PSPct,MATCH(E3692&amp;"|"&amp;G3692,PSKey,0)),0)</f>
        <v/>
      </c>
      <c r="P3692" s="46" t="n">
        <v>0</v>
      </c>
      <c r="Q3692" s="46">
        <f>INDEX(OnlineUnitsCol,A3692)*O3692*(1+OnlineGrowth)*N3692*H3692*IF(A3692&gt;=I3692,1,0)</f>
        <v/>
      </c>
      <c r="R3692" s="46">
        <f>Q3692*INDEX(FmtCansPerPack,MATCH(F3692,FmtName,0))/INDEX(FmtCansPerCase,MATCH(F3692,FmtName,0))</f>
        <v/>
      </c>
      <c r="S3692" s="46">
        <f>R3692*INDEX(FmtCansPerCase,MATCH(F3692,FmtName,0))</f>
        <v/>
      </c>
      <c r="T3692" s="46">
        <f>S3692/INDEX(FmtCansPerPack,MATCH(F3692,FmtName,0))</f>
        <v/>
      </c>
      <c r="U3692" s="47">
        <f>INDEX(ProvOnline,MATCH(G3692,ProvCode,0))*(1+PriceIndex)</f>
        <v/>
      </c>
      <c r="V3692" s="47">
        <f>Q3692*U3692*INDEX(FmtBlendedPriceIdx,MATCH(F3692,FmtName,0))</f>
        <v/>
      </c>
      <c r="W3692" s="47">
        <f>V3692</f>
        <v/>
      </c>
      <c r="X3692" s="47">
        <f>IF(GrossBasis="Wholesale",V3692,W3692)</f>
        <v/>
      </c>
      <c r="Y3692" s="47">
        <f>R3692*INDEX(FmtBlendedCogs,MATCH(F3692,FmtName,0))</f>
        <v/>
      </c>
      <c r="Z3692" s="47">
        <f>X3692-Y3692</f>
        <v/>
      </c>
    </row>
    <row r="3693">
      <c r="A3693" t="n">
        <v>35</v>
      </c>
      <c r="B3693" s="44">
        <f>FiscalStart+(A3693-1)*7</f>
        <v/>
      </c>
      <c r="C3693">
        <f>TEXT(B3693,"mmm yyyy")</f>
        <v/>
      </c>
      <c r="D3693">
        <f>"Q"&amp;(INT((A3693-1)/13)+1)</f>
        <v/>
      </c>
      <c r="E3693" t="inlineStr">
        <is>
          <t>Online</t>
        </is>
      </c>
      <c r="F3693">
        <f>IFERROR(INDEX(ChFormat,MATCH(E3693,ChName,0)),"")</f>
        <v/>
      </c>
      <c r="G3693" t="inlineStr">
        <is>
          <t>NL</t>
        </is>
      </c>
      <c r="H3693">
        <f>IF(A3693&lt;=NWeeks,1,0)</f>
        <v/>
      </c>
      <c r="I3693">
        <f>INDEX(ChLaunch,MATCH(E3693,ChName,0))</f>
        <v/>
      </c>
      <c r="J3693">
        <f>INDEX(ChWeeksFull,MATCH(E3693,ChName,0))</f>
        <v/>
      </c>
      <c r="K3693">
        <f>INDEX(ChRamp,MATCH(E3693,ChName,0))</f>
        <v/>
      </c>
      <c r="L3693" s="45">
        <f>MIN(1,MAX(0,(A3693-I3693+1)*RampSpeed/J3693))</f>
        <v/>
      </c>
      <c r="M3693" s="45">
        <f>IF(A3693&lt;I3693,0,IF(K3693="S-curve",L3693*L3693*(3-2*L3693),L3693))</f>
        <v/>
      </c>
      <c r="N3693" s="45">
        <f>1+(INDEX(SeasonIdx,A3693)-1)*SeasonAmp</f>
        <v/>
      </c>
      <c r="O3693" s="45">
        <f>IFERROR(INDEX(PSPct,MATCH(E3693&amp;"|"&amp;G3693,PSKey,0)),0)</f>
        <v/>
      </c>
      <c r="P3693" s="46" t="n">
        <v>0</v>
      </c>
      <c r="Q3693" s="46">
        <f>INDEX(OnlineUnitsCol,A3693)*O3693*(1+OnlineGrowth)*N3693*H3693*IF(A3693&gt;=I3693,1,0)</f>
        <v/>
      </c>
      <c r="R3693" s="46">
        <f>Q3693*INDEX(FmtCansPerPack,MATCH(F3693,FmtName,0))/INDEX(FmtCansPerCase,MATCH(F3693,FmtName,0))</f>
        <v/>
      </c>
      <c r="S3693" s="46">
        <f>R3693*INDEX(FmtCansPerCase,MATCH(F3693,FmtName,0))</f>
        <v/>
      </c>
      <c r="T3693" s="46">
        <f>S3693/INDEX(FmtCansPerPack,MATCH(F3693,FmtName,0))</f>
        <v/>
      </c>
      <c r="U3693" s="47">
        <f>INDEX(ProvOnline,MATCH(G3693,ProvCode,0))*(1+PriceIndex)</f>
        <v/>
      </c>
      <c r="V3693" s="47">
        <f>Q3693*U3693*INDEX(FmtBlendedPriceIdx,MATCH(F3693,FmtName,0))</f>
        <v/>
      </c>
      <c r="W3693" s="47">
        <f>V3693</f>
        <v/>
      </c>
      <c r="X3693" s="47">
        <f>IF(GrossBasis="Wholesale",V3693,W3693)</f>
        <v/>
      </c>
      <c r="Y3693" s="47">
        <f>R3693*INDEX(FmtBlendedCogs,MATCH(F3693,FmtName,0))</f>
        <v/>
      </c>
      <c r="Z3693" s="47">
        <f>X3693-Y3693</f>
        <v/>
      </c>
    </row>
    <row r="3694">
      <c r="A3694" t="n">
        <v>36</v>
      </c>
      <c r="B3694" s="44">
        <f>FiscalStart+(A3694-1)*7</f>
        <v/>
      </c>
      <c r="C3694">
        <f>TEXT(B3694,"mmm yyyy")</f>
        <v/>
      </c>
      <c r="D3694">
        <f>"Q"&amp;(INT((A3694-1)/13)+1)</f>
        <v/>
      </c>
      <c r="E3694" t="inlineStr">
        <is>
          <t>Online</t>
        </is>
      </c>
      <c r="F3694">
        <f>IFERROR(INDEX(ChFormat,MATCH(E3694,ChName,0)),"")</f>
        <v/>
      </c>
      <c r="G3694" t="inlineStr">
        <is>
          <t>NL</t>
        </is>
      </c>
      <c r="H3694">
        <f>IF(A3694&lt;=NWeeks,1,0)</f>
        <v/>
      </c>
      <c r="I3694">
        <f>INDEX(ChLaunch,MATCH(E3694,ChName,0))</f>
        <v/>
      </c>
      <c r="J3694">
        <f>INDEX(ChWeeksFull,MATCH(E3694,ChName,0))</f>
        <v/>
      </c>
      <c r="K3694">
        <f>INDEX(ChRamp,MATCH(E3694,ChName,0))</f>
        <v/>
      </c>
      <c r="L3694" s="45">
        <f>MIN(1,MAX(0,(A3694-I3694+1)*RampSpeed/J3694))</f>
        <v/>
      </c>
      <c r="M3694" s="45">
        <f>IF(A3694&lt;I3694,0,IF(K3694="S-curve",L3694*L3694*(3-2*L3694),L3694))</f>
        <v/>
      </c>
      <c r="N3694" s="45">
        <f>1+(INDEX(SeasonIdx,A3694)-1)*SeasonAmp</f>
        <v/>
      </c>
      <c r="O3694" s="45">
        <f>IFERROR(INDEX(PSPct,MATCH(E3694&amp;"|"&amp;G3694,PSKey,0)),0)</f>
        <v/>
      </c>
      <c r="P3694" s="46" t="n">
        <v>0</v>
      </c>
      <c r="Q3694" s="46">
        <f>INDEX(OnlineUnitsCol,A3694)*O3694*(1+OnlineGrowth)*N3694*H3694*IF(A3694&gt;=I3694,1,0)</f>
        <v/>
      </c>
      <c r="R3694" s="46">
        <f>Q3694*INDEX(FmtCansPerPack,MATCH(F3694,FmtName,0))/INDEX(FmtCansPerCase,MATCH(F3694,FmtName,0))</f>
        <v/>
      </c>
      <c r="S3694" s="46">
        <f>R3694*INDEX(FmtCansPerCase,MATCH(F3694,FmtName,0))</f>
        <v/>
      </c>
      <c r="T3694" s="46">
        <f>S3694/INDEX(FmtCansPerPack,MATCH(F3694,FmtName,0))</f>
        <v/>
      </c>
      <c r="U3694" s="47">
        <f>INDEX(ProvOnline,MATCH(G3694,ProvCode,0))*(1+PriceIndex)</f>
        <v/>
      </c>
      <c r="V3694" s="47">
        <f>Q3694*U3694*INDEX(FmtBlendedPriceIdx,MATCH(F3694,FmtName,0))</f>
        <v/>
      </c>
      <c r="W3694" s="47">
        <f>V3694</f>
        <v/>
      </c>
      <c r="X3694" s="47">
        <f>IF(GrossBasis="Wholesale",V3694,W3694)</f>
        <v/>
      </c>
      <c r="Y3694" s="47">
        <f>R3694*INDEX(FmtBlendedCogs,MATCH(F3694,FmtName,0))</f>
        <v/>
      </c>
      <c r="Z3694" s="47">
        <f>X3694-Y3694</f>
        <v/>
      </c>
    </row>
    <row r="3695">
      <c r="A3695" t="n">
        <v>37</v>
      </c>
      <c r="B3695" s="44">
        <f>FiscalStart+(A3695-1)*7</f>
        <v/>
      </c>
      <c r="C3695">
        <f>TEXT(B3695,"mmm yyyy")</f>
        <v/>
      </c>
      <c r="D3695">
        <f>"Q"&amp;(INT((A3695-1)/13)+1)</f>
        <v/>
      </c>
      <c r="E3695" t="inlineStr">
        <is>
          <t>Online</t>
        </is>
      </c>
      <c r="F3695">
        <f>IFERROR(INDEX(ChFormat,MATCH(E3695,ChName,0)),"")</f>
        <v/>
      </c>
      <c r="G3695" t="inlineStr">
        <is>
          <t>NL</t>
        </is>
      </c>
      <c r="H3695">
        <f>IF(A3695&lt;=NWeeks,1,0)</f>
        <v/>
      </c>
      <c r="I3695">
        <f>INDEX(ChLaunch,MATCH(E3695,ChName,0))</f>
        <v/>
      </c>
      <c r="J3695">
        <f>INDEX(ChWeeksFull,MATCH(E3695,ChName,0))</f>
        <v/>
      </c>
      <c r="K3695">
        <f>INDEX(ChRamp,MATCH(E3695,ChName,0))</f>
        <v/>
      </c>
      <c r="L3695" s="45">
        <f>MIN(1,MAX(0,(A3695-I3695+1)*RampSpeed/J3695))</f>
        <v/>
      </c>
      <c r="M3695" s="45">
        <f>IF(A3695&lt;I3695,0,IF(K3695="S-curve",L3695*L3695*(3-2*L3695),L3695))</f>
        <v/>
      </c>
      <c r="N3695" s="45">
        <f>1+(INDEX(SeasonIdx,A3695)-1)*SeasonAmp</f>
        <v/>
      </c>
      <c r="O3695" s="45">
        <f>IFERROR(INDEX(PSPct,MATCH(E3695&amp;"|"&amp;G3695,PSKey,0)),0)</f>
        <v/>
      </c>
      <c r="P3695" s="46" t="n">
        <v>0</v>
      </c>
      <c r="Q3695" s="46">
        <f>INDEX(OnlineUnitsCol,A3695)*O3695*(1+OnlineGrowth)*N3695*H3695*IF(A3695&gt;=I3695,1,0)</f>
        <v/>
      </c>
      <c r="R3695" s="46">
        <f>Q3695*INDEX(FmtCansPerPack,MATCH(F3695,FmtName,0))/INDEX(FmtCansPerCase,MATCH(F3695,FmtName,0))</f>
        <v/>
      </c>
      <c r="S3695" s="46">
        <f>R3695*INDEX(FmtCansPerCase,MATCH(F3695,FmtName,0))</f>
        <v/>
      </c>
      <c r="T3695" s="46">
        <f>S3695/INDEX(FmtCansPerPack,MATCH(F3695,FmtName,0))</f>
        <v/>
      </c>
      <c r="U3695" s="47">
        <f>INDEX(ProvOnline,MATCH(G3695,ProvCode,0))*(1+PriceIndex)</f>
        <v/>
      </c>
      <c r="V3695" s="47">
        <f>Q3695*U3695*INDEX(FmtBlendedPriceIdx,MATCH(F3695,FmtName,0))</f>
        <v/>
      </c>
      <c r="W3695" s="47">
        <f>V3695</f>
        <v/>
      </c>
      <c r="X3695" s="47">
        <f>IF(GrossBasis="Wholesale",V3695,W3695)</f>
        <v/>
      </c>
      <c r="Y3695" s="47">
        <f>R3695*INDEX(FmtBlendedCogs,MATCH(F3695,FmtName,0))</f>
        <v/>
      </c>
      <c r="Z3695" s="47">
        <f>X3695-Y3695</f>
        <v/>
      </c>
    </row>
    <row r="3696">
      <c r="A3696" t="n">
        <v>38</v>
      </c>
      <c r="B3696" s="44">
        <f>FiscalStart+(A3696-1)*7</f>
        <v/>
      </c>
      <c r="C3696">
        <f>TEXT(B3696,"mmm yyyy")</f>
        <v/>
      </c>
      <c r="D3696">
        <f>"Q"&amp;(INT((A3696-1)/13)+1)</f>
        <v/>
      </c>
      <c r="E3696" t="inlineStr">
        <is>
          <t>Online</t>
        </is>
      </c>
      <c r="F3696">
        <f>IFERROR(INDEX(ChFormat,MATCH(E3696,ChName,0)),"")</f>
        <v/>
      </c>
      <c r="G3696" t="inlineStr">
        <is>
          <t>NL</t>
        </is>
      </c>
      <c r="H3696">
        <f>IF(A3696&lt;=NWeeks,1,0)</f>
        <v/>
      </c>
      <c r="I3696">
        <f>INDEX(ChLaunch,MATCH(E3696,ChName,0))</f>
        <v/>
      </c>
      <c r="J3696">
        <f>INDEX(ChWeeksFull,MATCH(E3696,ChName,0))</f>
        <v/>
      </c>
      <c r="K3696">
        <f>INDEX(ChRamp,MATCH(E3696,ChName,0))</f>
        <v/>
      </c>
      <c r="L3696" s="45">
        <f>MIN(1,MAX(0,(A3696-I3696+1)*RampSpeed/J3696))</f>
        <v/>
      </c>
      <c r="M3696" s="45">
        <f>IF(A3696&lt;I3696,0,IF(K3696="S-curve",L3696*L3696*(3-2*L3696),L3696))</f>
        <v/>
      </c>
      <c r="N3696" s="45">
        <f>1+(INDEX(SeasonIdx,A3696)-1)*SeasonAmp</f>
        <v/>
      </c>
      <c r="O3696" s="45">
        <f>IFERROR(INDEX(PSPct,MATCH(E3696&amp;"|"&amp;G3696,PSKey,0)),0)</f>
        <v/>
      </c>
      <c r="P3696" s="46" t="n">
        <v>0</v>
      </c>
      <c r="Q3696" s="46">
        <f>INDEX(OnlineUnitsCol,A3696)*O3696*(1+OnlineGrowth)*N3696*H3696*IF(A3696&gt;=I3696,1,0)</f>
        <v/>
      </c>
      <c r="R3696" s="46">
        <f>Q3696*INDEX(FmtCansPerPack,MATCH(F3696,FmtName,0))/INDEX(FmtCansPerCase,MATCH(F3696,FmtName,0))</f>
        <v/>
      </c>
      <c r="S3696" s="46">
        <f>R3696*INDEX(FmtCansPerCase,MATCH(F3696,FmtName,0))</f>
        <v/>
      </c>
      <c r="T3696" s="46">
        <f>S3696/INDEX(FmtCansPerPack,MATCH(F3696,FmtName,0))</f>
        <v/>
      </c>
      <c r="U3696" s="47">
        <f>INDEX(ProvOnline,MATCH(G3696,ProvCode,0))*(1+PriceIndex)</f>
        <v/>
      </c>
      <c r="V3696" s="47">
        <f>Q3696*U3696*INDEX(FmtBlendedPriceIdx,MATCH(F3696,FmtName,0))</f>
        <v/>
      </c>
      <c r="W3696" s="47">
        <f>V3696</f>
        <v/>
      </c>
      <c r="X3696" s="47">
        <f>IF(GrossBasis="Wholesale",V3696,W3696)</f>
        <v/>
      </c>
      <c r="Y3696" s="47">
        <f>R3696*INDEX(FmtBlendedCogs,MATCH(F3696,FmtName,0))</f>
        <v/>
      </c>
      <c r="Z3696" s="47">
        <f>X3696-Y3696</f>
        <v/>
      </c>
    </row>
    <row r="3697">
      <c r="A3697" t="n">
        <v>39</v>
      </c>
      <c r="B3697" s="44">
        <f>FiscalStart+(A3697-1)*7</f>
        <v/>
      </c>
      <c r="C3697">
        <f>TEXT(B3697,"mmm yyyy")</f>
        <v/>
      </c>
      <c r="D3697">
        <f>"Q"&amp;(INT((A3697-1)/13)+1)</f>
        <v/>
      </c>
      <c r="E3697" t="inlineStr">
        <is>
          <t>Online</t>
        </is>
      </c>
      <c r="F3697">
        <f>IFERROR(INDEX(ChFormat,MATCH(E3697,ChName,0)),"")</f>
        <v/>
      </c>
      <c r="G3697" t="inlineStr">
        <is>
          <t>NL</t>
        </is>
      </c>
      <c r="H3697">
        <f>IF(A3697&lt;=NWeeks,1,0)</f>
        <v/>
      </c>
      <c r="I3697">
        <f>INDEX(ChLaunch,MATCH(E3697,ChName,0))</f>
        <v/>
      </c>
      <c r="J3697">
        <f>INDEX(ChWeeksFull,MATCH(E3697,ChName,0))</f>
        <v/>
      </c>
      <c r="K3697">
        <f>INDEX(ChRamp,MATCH(E3697,ChName,0))</f>
        <v/>
      </c>
      <c r="L3697" s="45">
        <f>MIN(1,MAX(0,(A3697-I3697+1)*RampSpeed/J3697))</f>
        <v/>
      </c>
      <c r="M3697" s="45">
        <f>IF(A3697&lt;I3697,0,IF(K3697="S-curve",L3697*L3697*(3-2*L3697),L3697))</f>
        <v/>
      </c>
      <c r="N3697" s="45">
        <f>1+(INDEX(SeasonIdx,A3697)-1)*SeasonAmp</f>
        <v/>
      </c>
      <c r="O3697" s="45">
        <f>IFERROR(INDEX(PSPct,MATCH(E3697&amp;"|"&amp;G3697,PSKey,0)),0)</f>
        <v/>
      </c>
      <c r="P3697" s="46" t="n">
        <v>0</v>
      </c>
      <c r="Q3697" s="46">
        <f>INDEX(OnlineUnitsCol,A3697)*O3697*(1+OnlineGrowth)*N3697*H3697*IF(A3697&gt;=I3697,1,0)</f>
        <v/>
      </c>
      <c r="R3697" s="46">
        <f>Q3697*INDEX(FmtCansPerPack,MATCH(F3697,FmtName,0))/INDEX(FmtCansPerCase,MATCH(F3697,FmtName,0))</f>
        <v/>
      </c>
      <c r="S3697" s="46">
        <f>R3697*INDEX(FmtCansPerCase,MATCH(F3697,FmtName,0))</f>
        <v/>
      </c>
      <c r="T3697" s="46">
        <f>S3697/INDEX(FmtCansPerPack,MATCH(F3697,FmtName,0))</f>
        <v/>
      </c>
      <c r="U3697" s="47">
        <f>INDEX(ProvOnline,MATCH(G3697,ProvCode,0))*(1+PriceIndex)</f>
        <v/>
      </c>
      <c r="V3697" s="47">
        <f>Q3697*U3697*INDEX(FmtBlendedPriceIdx,MATCH(F3697,FmtName,0))</f>
        <v/>
      </c>
      <c r="W3697" s="47">
        <f>V3697</f>
        <v/>
      </c>
      <c r="X3697" s="47">
        <f>IF(GrossBasis="Wholesale",V3697,W3697)</f>
        <v/>
      </c>
      <c r="Y3697" s="47">
        <f>R3697*INDEX(FmtBlendedCogs,MATCH(F3697,FmtName,0))</f>
        <v/>
      </c>
      <c r="Z3697" s="47">
        <f>X3697-Y3697</f>
        <v/>
      </c>
    </row>
    <row r="3698">
      <c r="A3698" t="n">
        <v>40</v>
      </c>
      <c r="B3698" s="44">
        <f>FiscalStart+(A3698-1)*7</f>
        <v/>
      </c>
      <c r="C3698">
        <f>TEXT(B3698,"mmm yyyy")</f>
        <v/>
      </c>
      <c r="D3698">
        <f>"Q"&amp;(INT((A3698-1)/13)+1)</f>
        <v/>
      </c>
      <c r="E3698" t="inlineStr">
        <is>
          <t>Online</t>
        </is>
      </c>
      <c r="F3698">
        <f>IFERROR(INDEX(ChFormat,MATCH(E3698,ChName,0)),"")</f>
        <v/>
      </c>
      <c r="G3698" t="inlineStr">
        <is>
          <t>NL</t>
        </is>
      </c>
      <c r="H3698">
        <f>IF(A3698&lt;=NWeeks,1,0)</f>
        <v/>
      </c>
      <c r="I3698">
        <f>INDEX(ChLaunch,MATCH(E3698,ChName,0))</f>
        <v/>
      </c>
      <c r="J3698">
        <f>INDEX(ChWeeksFull,MATCH(E3698,ChName,0))</f>
        <v/>
      </c>
      <c r="K3698">
        <f>INDEX(ChRamp,MATCH(E3698,ChName,0))</f>
        <v/>
      </c>
      <c r="L3698" s="45">
        <f>MIN(1,MAX(0,(A3698-I3698+1)*RampSpeed/J3698))</f>
        <v/>
      </c>
      <c r="M3698" s="45">
        <f>IF(A3698&lt;I3698,0,IF(K3698="S-curve",L3698*L3698*(3-2*L3698),L3698))</f>
        <v/>
      </c>
      <c r="N3698" s="45">
        <f>1+(INDEX(SeasonIdx,A3698)-1)*SeasonAmp</f>
        <v/>
      </c>
      <c r="O3698" s="45">
        <f>IFERROR(INDEX(PSPct,MATCH(E3698&amp;"|"&amp;G3698,PSKey,0)),0)</f>
        <v/>
      </c>
      <c r="P3698" s="46" t="n">
        <v>0</v>
      </c>
      <c r="Q3698" s="46">
        <f>INDEX(OnlineUnitsCol,A3698)*O3698*(1+OnlineGrowth)*N3698*H3698*IF(A3698&gt;=I3698,1,0)</f>
        <v/>
      </c>
      <c r="R3698" s="46">
        <f>Q3698*INDEX(FmtCansPerPack,MATCH(F3698,FmtName,0))/INDEX(FmtCansPerCase,MATCH(F3698,FmtName,0))</f>
        <v/>
      </c>
      <c r="S3698" s="46">
        <f>R3698*INDEX(FmtCansPerCase,MATCH(F3698,FmtName,0))</f>
        <v/>
      </c>
      <c r="T3698" s="46">
        <f>S3698/INDEX(FmtCansPerPack,MATCH(F3698,FmtName,0))</f>
        <v/>
      </c>
      <c r="U3698" s="47">
        <f>INDEX(ProvOnline,MATCH(G3698,ProvCode,0))*(1+PriceIndex)</f>
        <v/>
      </c>
      <c r="V3698" s="47">
        <f>Q3698*U3698*INDEX(FmtBlendedPriceIdx,MATCH(F3698,FmtName,0))</f>
        <v/>
      </c>
      <c r="W3698" s="47">
        <f>V3698</f>
        <v/>
      </c>
      <c r="X3698" s="47">
        <f>IF(GrossBasis="Wholesale",V3698,W3698)</f>
        <v/>
      </c>
      <c r="Y3698" s="47">
        <f>R3698*INDEX(FmtBlendedCogs,MATCH(F3698,FmtName,0))</f>
        <v/>
      </c>
      <c r="Z3698" s="47">
        <f>X3698-Y3698</f>
        <v/>
      </c>
    </row>
    <row r="3699">
      <c r="A3699" t="n">
        <v>41</v>
      </c>
      <c r="B3699" s="44">
        <f>FiscalStart+(A3699-1)*7</f>
        <v/>
      </c>
      <c r="C3699">
        <f>TEXT(B3699,"mmm yyyy")</f>
        <v/>
      </c>
      <c r="D3699">
        <f>"Q"&amp;(INT((A3699-1)/13)+1)</f>
        <v/>
      </c>
      <c r="E3699" t="inlineStr">
        <is>
          <t>Online</t>
        </is>
      </c>
      <c r="F3699">
        <f>IFERROR(INDEX(ChFormat,MATCH(E3699,ChName,0)),"")</f>
        <v/>
      </c>
      <c r="G3699" t="inlineStr">
        <is>
          <t>NL</t>
        </is>
      </c>
      <c r="H3699">
        <f>IF(A3699&lt;=NWeeks,1,0)</f>
        <v/>
      </c>
      <c r="I3699">
        <f>INDEX(ChLaunch,MATCH(E3699,ChName,0))</f>
        <v/>
      </c>
      <c r="J3699">
        <f>INDEX(ChWeeksFull,MATCH(E3699,ChName,0))</f>
        <v/>
      </c>
      <c r="K3699">
        <f>INDEX(ChRamp,MATCH(E3699,ChName,0))</f>
        <v/>
      </c>
      <c r="L3699" s="45">
        <f>MIN(1,MAX(0,(A3699-I3699+1)*RampSpeed/J3699))</f>
        <v/>
      </c>
      <c r="M3699" s="45">
        <f>IF(A3699&lt;I3699,0,IF(K3699="S-curve",L3699*L3699*(3-2*L3699),L3699))</f>
        <v/>
      </c>
      <c r="N3699" s="45">
        <f>1+(INDEX(SeasonIdx,A3699)-1)*SeasonAmp</f>
        <v/>
      </c>
      <c r="O3699" s="45">
        <f>IFERROR(INDEX(PSPct,MATCH(E3699&amp;"|"&amp;G3699,PSKey,0)),0)</f>
        <v/>
      </c>
      <c r="P3699" s="46" t="n">
        <v>0</v>
      </c>
      <c r="Q3699" s="46">
        <f>INDEX(OnlineUnitsCol,A3699)*O3699*(1+OnlineGrowth)*N3699*H3699*IF(A3699&gt;=I3699,1,0)</f>
        <v/>
      </c>
      <c r="R3699" s="46">
        <f>Q3699*INDEX(FmtCansPerPack,MATCH(F3699,FmtName,0))/INDEX(FmtCansPerCase,MATCH(F3699,FmtName,0))</f>
        <v/>
      </c>
      <c r="S3699" s="46">
        <f>R3699*INDEX(FmtCansPerCase,MATCH(F3699,FmtName,0))</f>
        <v/>
      </c>
      <c r="T3699" s="46">
        <f>S3699/INDEX(FmtCansPerPack,MATCH(F3699,FmtName,0))</f>
        <v/>
      </c>
      <c r="U3699" s="47">
        <f>INDEX(ProvOnline,MATCH(G3699,ProvCode,0))*(1+PriceIndex)</f>
        <v/>
      </c>
      <c r="V3699" s="47">
        <f>Q3699*U3699*INDEX(FmtBlendedPriceIdx,MATCH(F3699,FmtName,0))</f>
        <v/>
      </c>
      <c r="W3699" s="47">
        <f>V3699</f>
        <v/>
      </c>
      <c r="X3699" s="47">
        <f>IF(GrossBasis="Wholesale",V3699,W3699)</f>
        <v/>
      </c>
      <c r="Y3699" s="47">
        <f>R3699*INDEX(FmtBlendedCogs,MATCH(F3699,FmtName,0))</f>
        <v/>
      </c>
      <c r="Z3699" s="47">
        <f>X3699-Y3699</f>
        <v/>
      </c>
    </row>
    <row r="3700">
      <c r="A3700" t="n">
        <v>42</v>
      </c>
      <c r="B3700" s="44">
        <f>FiscalStart+(A3700-1)*7</f>
        <v/>
      </c>
      <c r="C3700">
        <f>TEXT(B3700,"mmm yyyy")</f>
        <v/>
      </c>
      <c r="D3700">
        <f>"Q"&amp;(INT((A3700-1)/13)+1)</f>
        <v/>
      </c>
      <c r="E3700" t="inlineStr">
        <is>
          <t>Online</t>
        </is>
      </c>
      <c r="F3700">
        <f>IFERROR(INDEX(ChFormat,MATCH(E3700,ChName,0)),"")</f>
        <v/>
      </c>
      <c r="G3700" t="inlineStr">
        <is>
          <t>NL</t>
        </is>
      </c>
      <c r="H3700">
        <f>IF(A3700&lt;=NWeeks,1,0)</f>
        <v/>
      </c>
      <c r="I3700">
        <f>INDEX(ChLaunch,MATCH(E3700,ChName,0))</f>
        <v/>
      </c>
      <c r="J3700">
        <f>INDEX(ChWeeksFull,MATCH(E3700,ChName,0))</f>
        <v/>
      </c>
      <c r="K3700">
        <f>INDEX(ChRamp,MATCH(E3700,ChName,0))</f>
        <v/>
      </c>
      <c r="L3700" s="45">
        <f>MIN(1,MAX(0,(A3700-I3700+1)*RampSpeed/J3700))</f>
        <v/>
      </c>
      <c r="M3700" s="45">
        <f>IF(A3700&lt;I3700,0,IF(K3700="S-curve",L3700*L3700*(3-2*L3700),L3700))</f>
        <v/>
      </c>
      <c r="N3700" s="45">
        <f>1+(INDEX(SeasonIdx,A3700)-1)*SeasonAmp</f>
        <v/>
      </c>
      <c r="O3700" s="45">
        <f>IFERROR(INDEX(PSPct,MATCH(E3700&amp;"|"&amp;G3700,PSKey,0)),0)</f>
        <v/>
      </c>
      <c r="P3700" s="46" t="n">
        <v>0</v>
      </c>
      <c r="Q3700" s="46">
        <f>INDEX(OnlineUnitsCol,A3700)*O3700*(1+OnlineGrowth)*N3700*H3700*IF(A3700&gt;=I3700,1,0)</f>
        <v/>
      </c>
      <c r="R3700" s="46">
        <f>Q3700*INDEX(FmtCansPerPack,MATCH(F3700,FmtName,0))/INDEX(FmtCansPerCase,MATCH(F3700,FmtName,0))</f>
        <v/>
      </c>
      <c r="S3700" s="46">
        <f>R3700*INDEX(FmtCansPerCase,MATCH(F3700,FmtName,0))</f>
        <v/>
      </c>
      <c r="T3700" s="46">
        <f>S3700/INDEX(FmtCansPerPack,MATCH(F3700,FmtName,0))</f>
        <v/>
      </c>
      <c r="U3700" s="47">
        <f>INDEX(ProvOnline,MATCH(G3700,ProvCode,0))*(1+PriceIndex)</f>
        <v/>
      </c>
      <c r="V3700" s="47">
        <f>Q3700*U3700*INDEX(FmtBlendedPriceIdx,MATCH(F3700,FmtName,0))</f>
        <v/>
      </c>
      <c r="W3700" s="47">
        <f>V3700</f>
        <v/>
      </c>
      <c r="X3700" s="47">
        <f>IF(GrossBasis="Wholesale",V3700,W3700)</f>
        <v/>
      </c>
      <c r="Y3700" s="47">
        <f>R3700*INDEX(FmtBlendedCogs,MATCH(F3700,FmtName,0))</f>
        <v/>
      </c>
      <c r="Z3700" s="47">
        <f>X3700-Y3700</f>
        <v/>
      </c>
    </row>
    <row r="3701">
      <c r="A3701" t="n">
        <v>43</v>
      </c>
      <c r="B3701" s="44">
        <f>FiscalStart+(A3701-1)*7</f>
        <v/>
      </c>
      <c r="C3701">
        <f>TEXT(B3701,"mmm yyyy")</f>
        <v/>
      </c>
      <c r="D3701">
        <f>"Q"&amp;(INT((A3701-1)/13)+1)</f>
        <v/>
      </c>
      <c r="E3701" t="inlineStr">
        <is>
          <t>Online</t>
        </is>
      </c>
      <c r="F3701">
        <f>IFERROR(INDEX(ChFormat,MATCH(E3701,ChName,0)),"")</f>
        <v/>
      </c>
      <c r="G3701" t="inlineStr">
        <is>
          <t>NL</t>
        </is>
      </c>
      <c r="H3701">
        <f>IF(A3701&lt;=NWeeks,1,0)</f>
        <v/>
      </c>
      <c r="I3701">
        <f>INDEX(ChLaunch,MATCH(E3701,ChName,0))</f>
        <v/>
      </c>
      <c r="J3701">
        <f>INDEX(ChWeeksFull,MATCH(E3701,ChName,0))</f>
        <v/>
      </c>
      <c r="K3701">
        <f>INDEX(ChRamp,MATCH(E3701,ChName,0))</f>
        <v/>
      </c>
      <c r="L3701" s="45">
        <f>MIN(1,MAX(0,(A3701-I3701+1)*RampSpeed/J3701))</f>
        <v/>
      </c>
      <c r="M3701" s="45">
        <f>IF(A3701&lt;I3701,0,IF(K3701="S-curve",L3701*L3701*(3-2*L3701),L3701))</f>
        <v/>
      </c>
      <c r="N3701" s="45">
        <f>1+(INDEX(SeasonIdx,A3701)-1)*SeasonAmp</f>
        <v/>
      </c>
      <c r="O3701" s="45">
        <f>IFERROR(INDEX(PSPct,MATCH(E3701&amp;"|"&amp;G3701,PSKey,0)),0)</f>
        <v/>
      </c>
      <c r="P3701" s="46" t="n">
        <v>0</v>
      </c>
      <c r="Q3701" s="46">
        <f>INDEX(OnlineUnitsCol,A3701)*O3701*(1+OnlineGrowth)*N3701*H3701*IF(A3701&gt;=I3701,1,0)</f>
        <v/>
      </c>
      <c r="R3701" s="46">
        <f>Q3701*INDEX(FmtCansPerPack,MATCH(F3701,FmtName,0))/INDEX(FmtCansPerCase,MATCH(F3701,FmtName,0))</f>
        <v/>
      </c>
      <c r="S3701" s="46">
        <f>R3701*INDEX(FmtCansPerCase,MATCH(F3701,FmtName,0))</f>
        <v/>
      </c>
      <c r="T3701" s="46">
        <f>S3701/INDEX(FmtCansPerPack,MATCH(F3701,FmtName,0))</f>
        <v/>
      </c>
      <c r="U3701" s="47">
        <f>INDEX(ProvOnline,MATCH(G3701,ProvCode,0))*(1+PriceIndex)</f>
        <v/>
      </c>
      <c r="V3701" s="47">
        <f>Q3701*U3701*INDEX(FmtBlendedPriceIdx,MATCH(F3701,FmtName,0))</f>
        <v/>
      </c>
      <c r="W3701" s="47">
        <f>V3701</f>
        <v/>
      </c>
      <c r="X3701" s="47">
        <f>IF(GrossBasis="Wholesale",V3701,W3701)</f>
        <v/>
      </c>
      <c r="Y3701" s="47">
        <f>R3701*INDEX(FmtBlendedCogs,MATCH(F3701,FmtName,0))</f>
        <v/>
      </c>
      <c r="Z3701" s="47">
        <f>X3701-Y3701</f>
        <v/>
      </c>
    </row>
    <row r="3702">
      <c r="A3702" t="n">
        <v>44</v>
      </c>
      <c r="B3702" s="44">
        <f>FiscalStart+(A3702-1)*7</f>
        <v/>
      </c>
      <c r="C3702">
        <f>TEXT(B3702,"mmm yyyy")</f>
        <v/>
      </c>
      <c r="D3702">
        <f>"Q"&amp;(INT((A3702-1)/13)+1)</f>
        <v/>
      </c>
      <c r="E3702" t="inlineStr">
        <is>
          <t>Online</t>
        </is>
      </c>
      <c r="F3702">
        <f>IFERROR(INDEX(ChFormat,MATCH(E3702,ChName,0)),"")</f>
        <v/>
      </c>
      <c r="G3702" t="inlineStr">
        <is>
          <t>NL</t>
        </is>
      </c>
      <c r="H3702">
        <f>IF(A3702&lt;=NWeeks,1,0)</f>
        <v/>
      </c>
      <c r="I3702">
        <f>INDEX(ChLaunch,MATCH(E3702,ChName,0))</f>
        <v/>
      </c>
      <c r="J3702">
        <f>INDEX(ChWeeksFull,MATCH(E3702,ChName,0))</f>
        <v/>
      </c>
      <c r="K3702">
        <f>INDEX(ChRamp,MATCH(E3702,ChName,0))</f>
        <v/>
      </c>
      <c r="L3702" s="45">
        <f>MIN(1,MAX(0,(A3702-I3702+1)*RampSpeed/J3702))</f>
        <v/>
      </c>
      <c r="M3702" s="45">
        <f>IF(A3702&lt;I3702,0,IF(K3702="S-curve",L3702*L3702*(3-2*L3702),L3702))</f>
        <v/>
      </c>
      <c r="N3702" s="45">
        <f>1+(INDEX(SeasonIdx,A3702)-1)*SeasonAmp</f>
        <v/>
      </c>
      <c r="O3702" s="45">
        <f>IFERROR(INDEX(PSPct,MATCH(E3702&amp;"|"&amp;G3702,PSKey,0)),0)</f>
        <v/>
      </c>
      <c r="P3702" s="46" t="n">
        <v>0</v>
      </c>
      <c r="Q3702" s="46">
        <f>INDEX(OnlineUnitsCol,A3702)*O3702*(1+OnlineGrowth)*N3702*H3702*IF(A3702&gt;=I3702,1,0)</f>
        <v/>
      </c>
      <c r="R3702" s="46">
        <f>Q3702*INDEX(FmtCansPerPack,MATCH(F3702,FmtName,0))/INDEX(FmtCansPerCase,MATCH(F3702,FmtName,0))</f>
        <v/>
      </c>
      <c r="S3702" s="46">
        <f>R3702*INDEX(FmtCansPerCase,MATCH(F3702,FmtName,0))</f>
        <v/>
      </c>
      <c r="T3702" s="46">
        <f>S3702/INDEX(FmtCansPerPack,MATCH(F3702,FmtName,0))</f>
        <v/>
      </c>
      <c r="U3702" s="47">
        <f>INDEX(ProvOnline,MATCH(G3702,ProvCode,0))*(1+PriceIndex)</f>
        <v/>
      </c>
      <c r="V3702" s="47">
        <f>Q3702*U3702*INDEX(FmtBlendedPriceIdx,MATCH(F3702,FmtName,0))</f>
        <v/>
      </c>
      <c r="W3702" s="47">
        <f>V3702</f>
        <v/>
      </c>
      <c r="X3702" s="47">
        <f>IF(GrossBasis="Wholesale",V3702,W3702)</f>
        <v/>
      </c>
      <c r="Y3702" s="47">
        <f>R3702*INDEX(FmtBlendedCogs,MATCH(F3702,FmtName,0))</f>
        <v/>
      </c>
      <c r="Z3702" s="47">
        <f>X3702-Y3702</f>
        <v/>
      </c>
    </row>
    <row r="3703">
      <c r="A3703" t="n">
        <v>45</v>
      </c>
      <c r="B3703" s="44">
        <f>FiscalStart+(A3703-1)*7</f>
        <v/>
      </c>
      <c r="C3703">
        <f>TEXT(B3703,"mmm yyyy")</f>
        <v/>
      </c>
      <c r="D3703">
        <f>"Q"&amp;(INT((A3703-1)/13)+1)</f>
        <v/>
      </c>
      <c r="E3703" t="inlineStr">
        <is>
          <t>Online</t>
        </is>
      </c>
      <c r="F3703">
        <f>IFERROR(INDEX(ChFormat,MATCH(E3703,ChName,0)),"")</f>
        <v/>
      </c>
      <c r="G3703" t="inlineStr">
        <is>
          <t>NL</t>
        </is>
      </c>
      <c r="H3703">
        <f>IF(A3703&lt;=NWeeks,1,0)</f>
        <v/>
      </c>
      <c r="I3703">
        <f>INDEX(ChLaunch,MATCH(E3703,ChName,0))</f>
        <v/>
      </c>
      <c r="J3703">
        <f>INDEX(ChWeeksFull,MATCH(E3703,ChName,0))</f>
        <v/>
      </c>
      <c r="K3703">
        <f>INDEX(ChRamp,MATCH(E3703,ChName,0))</f>
        <v/>
      </c>
      <c r="L3703" s="45">
        <f>MIN(1,MAX(0,(A3703-I3703+1)*RampSpeed/J3703))</f>
        <v/>
      </c>
      <c r="M3703" s="45">
        <f>IF(A3703&lt;I3703,0,IF(K3703="S-curve",L3703*L3703*(3-2*L3703),L3703))</f>
        <v/>
      </c>
      <c r="N3703" s="45">
        <f>1+(INDEX(SeasonIdx,A3703)-1)*SeasonAmp</f>
        <v/>
      </c>
      <c r="O3703" s="45">
        <f>IFERROR(INDEX(PSPct,MATCH(E3703&amp;"|"&amp;G3703,PSKey,0)),0)</f>
        <v/>
      </c>
      <c r="P3703" s="46" t="n">
        <v>0</v>
      </c>
      <c r="Q3703" s="46">
        <f>INDEX(OnlineUnitsCol,A3703)*O3703*(1+OnlineGrowth)*N3703*H3703*IF(A3703&gt;=I3703,1,0)</f>
        <v/>
      </c>
      <c r="R3703" s="46">
        <f>Q3703*INDEX(FmtCansPerPack,MATCH(F3703,FmtName,0))/INDEX(FmtCansPerCase,MATCH(F3703,FmtName,0))</f>
        <v/>
      </c>
      <c r="S3703" s="46">
        <f>R3703*INDEX(FmtCansPerCase,MATCH(F3703,FmtName,0))</f>
        <v/>
      </c>
      <c r="T3703" s="46">
        <f>S3703/INDEX(FmtCansPerPack,MATCH(F3703,FmtName,0))</f>
        <v/>
      </c>
      <c r="U3703" s="47">
        <f>INDEX(ProvOnline,MATCH(G3703,ProvCode,0))*(1+PriceIndex)</f>
        <v/>
      </c>
      <c r="V3703" s="47">
        <f>Q3703*U3703*INDEX(FmtBlendedPriceIdx,MATCH(F3703,FmtName,0))</f>
        <v/>
      </c>
      <c r="W3703" s="47">
        <f>V3703</f>
        <v/>
      </c>
      <c r="X3703" s="47">
        <f>IF(GrossBasis="Wholesale",V3703,W3703)</f>
        <v/>
      </c>
      <c r="Y3703" s="47">
        <f>R3703*INDEX(FmtBlendedCogs,MATCH(F3703,FmtName,0))</f>
        <v/>
      </c>
      <c r="Z3703" s="47">
        <f>X3703-Y3703</f>
        <v/>
      </c>
    </row>
    <row r="3704">
      <c r="A3704" t="n">
        <v>46</v>
      </c>
      <c r="B3704" s="44">
        <f>FiscalStart+(A3704-1)*7</f>
        <v/>
      </c>
      <c r="C3704">
        <f>TEXT(B3704,"mmm yyyy")</f>
        <v/>
      </c>
      <c r="D3704">
        <f>"Q"&amp;(INT((A3704-1)/13)+1)</f>
        <v/>
      </c>
      <c r="E3704" t="inlineStr">
        <is>
          <t>Online</t>
        </is>
      </c>
      <c r="F3704">
        <f>IFERROR(INDEX(ChFormat,MATCH(E3704,ChName,0)),"")</f>
        <v/>
      </c>
      <c r="G3704" t="inlineStr">
        <is>
          <t>NL</t>
        </is>
      </c>
      <c r="H3704">
        <f>IF(A3704&lt;=NWeeks,1,0)</f>
        <v/>
      </c>
      <c r="I3704">
        <f>INDEX(ChLaunch,MATCH(E3704,ChName,0))</f>
        <v/>
      </c>
      <c r="J3704">
        <f>INDEX(ChWeeksFull,MATCH(E3704,ChName,0))</f>
        <v/>
      </c>
      <c r="K3704">
        <f>INDEX(ChRamp,MATCH(E3704,ChName,0))</f>
        <v/>
      </c>
      <c r="L3704" s="45">
        <f>MIN(1,MAX(0,(A3704-I3704+1)*RampSpeed/J3704))</f>
        <v/>
      </c>
      <c r="M3704" s="45">
        <f>IF(A3704&lt;I3704,0,IF(K3704="S-curve",L3704*L3704*(3-2*L3704),L3704))</f>
        <v/>
      </c>
      <c r="N3704" s="45">
        <f>1+(INDEX(SeasonIdx,A3704)-1)*SeasonAmp</f>
        <v/>
      </c>
      <c r="O3704" s="45">
        <f>IFERROR(INDEX(PSPct,MATCH(E3704&amp;"|"&amp;G3704,PSKey,0)),0)</f>
        <v/>
      </c>
      <c r="P3704" s="46" t="n">
        <v>0</v>
      </c>
      <c r="Q3704" s="46">
        <f>INDEX(OnlineUnitsCol,A3704)*O3704*(1+OnlineGrowth)*N3704*H3704*IF(A3704&gt;=I3704,1,0)</f>
        <v/>
      </c>
      <c r="R3704" s="46">
        <f>Q3704*INDEX(FmtCansPerPack,MATCH(F3704,FmtName,0))/INDEX(FmtCansPerCase,MATCH(F3704,FmtName,0))</f>
        <v/>
      </c>
      <c r="S3704" s="46">
        <f>R3704*INDEX(FmtCansPerCase,MATCH(F3704,FmtName,0))</f>
        <v/>
      </c>
      <c r="T3704" s="46">
        <f>S3704/INDEX(FmtCansPerPack,MATCH(F3704,FmtName,0))</f>
        <v/>
      </c>
      <c r="U3704" s="47">
        <f>INDEX(ProvOnline,MATCH(G3704,ProvCode,0))*(1+PriceIndex)</f>
        <v/>
      </c>
      <c r="V3704" s="47">
        <f>Q3704*U3704*INDEX(FmtBlendedPriceIdx,MATCH(F3704,FmtName,0))</f>
        <v/>
      </c>
      <c r="W3704" s="47">
        <f>V3704</f>
        <v/>
      </c>
      <c r="X3704" s="47">
        <f>IF(GrossBasis="Wholesale",V3704,W3704)</f>
        <v/>
      </c>
      <c r="Y3704" s="47">
        <f>R3704*INDEX(FmtBlendedCogs,MATCH(F3704,FmtName,0))</f>
        <v/>
      </c>
      <c r="Z3704" s="47">
        <f>X3704-Y3704</f>
        <v/>
      </c>
    </row>
    <row r="3705">
      <c r="A3705" t="n">
        <v>47</v>
      </c>
      <c r="B3705" s="44">
        <f>FiscalStart+(A3705-1)*7</f>
        <v/>
      </c>
      <c r="C3705">
        <f>TEXT(B3705,"mmm yyyy")</f>
        <v/>
      </c>
      <c r="D3705">
        <f>"Q"&amp;(INT((A3705-1)/13)+1)</f>
        <v/>
      </c>
      <c r="E3705" t="inlineStr">
        <is>
          <t>Online</t>
        </is>
      </c>
      <c r="F3705">
        <f>IFERROR(INDEX(ChFormat,MATCH(E3705,ChName,0)),"")</f>
        <v/>
      </c>
      <c r="G3705" t="inlineStr">
        <is>
          <t>NL</t>
        </is>
      </c>
      <c r="H3705">
        <f>IF(A3705&lt;=NWeeks,1,0)</f>
        <v/>
      </c>
      <c r="I3705">
        <f>INDEX(ChLaunch,MATCH(E3705,ChName,0))</f>
        <v/>
      </c>
      <c r="J3705">
        <f>INDEX(ChWeeksFull,MATCH(E3705,ChName,0))</f>
        <v/>
      </c>
      <c r="K3705">
        <f>INDEX(ChRamp,MATCH(E3705,ChName,0))</f>
        <v/>
      </c>
      <c r="L3705" s="45">
        <f>MIN(1,MAX(0,(A3705-I3705+1)*RampSpeed/J3705))</f>
        <v/>
      </c>
      <c r="M3705" s="45">
        <f>IF(A3705&lt;I3705,0,IF(K3705="S-curve",L3705*L3705*(3-2*L3705),L3705))</f>
        <v/>
      </c>
      <c r="N3705" s="45">
        <f>1+(INDEX(SeasonIdx,A3705)-1)*SeasonAmp</f>
        <v/>
      </c>
      <c r="O3705" s="45">
        <f>IFERROR(INDEX(PSPct,MATCH(E3705&amp;"|"&amp;G3705,PSKey,0)),0)</f>
        <v/>
      </c>
      <c r="P3705" s="46" t="n">
        <v>0</v>
      </c>
      <c r="Q3705" s="46">
        <f>INDEX(OnlineUnitsCol,A3705)*O3705*(1+OnlineGrowth)*N3705*H3705*IF(A3705&gt;=I3705,1,0)</f>
        <v/>
      </c>
      <c r="R3705" s="46">
        <f>Q3705*INDEX(FmtCansPerPack,MATCH(F3705,FmtName,0))/INDEX(FmtCansPerCase,MATCH(F3705,FmtName,0))</f>
        <v/>
      </c>
      <c r="S3705" s="46">
        <f>R3705*INDEX(FmtCansPerCase,MATCH(F3705,FmtName,0))</f>
        <v/>
      </c>
      <c r="T3705" s="46">
        <f>S3705/INDEX(FmtCansPerPack,MATCH(F3705,FmtName,0))</f>
        <v/>
      </c>
      <c r="U3705" s="47">
        <f>INDEX(ProvOnline,MATCH(G3705,ProvCode,0))*(1+PriceIndex)</f>
        <v/>
      </c>
      <c r="V3705" s="47">
        <f>Q3705*U3705*INDEX(FmtBlendedPriceIdx,MATCH(F3705,FmtName,0))</f>
        <v/>
      </c>
      <c r="W3705" s="47">
        <f>V3705</f>
        <v/>
      </c>
      <c r="X3705" s="47">
        <f>IF(GrossBasis="Wholesale",V3705,W3705)</f>
        <v/>
      </c>
      <c r="Y3705" s="47">
        <f>R3705*INDEX(FmtBlendedCogs,MATCH(F3705,FmtName,0))</f>
        <v/>
      </c>
      <c r="Z3705" s="47">
        <f>X3705-Y3705</f>
        <v/>
      </c>
    </row>
    <row r="3706">
      <c r="A3706" t="n">
        <v>48</v>
      </c>
      <c r="B3706" s="44">
        <f>FiscalStart+(A3706-1)*7</f>
        <v/>
      </c>
      <c r="C3706">
        <f>TEXT(B3706,"mmm yyyy")</f>
        <v/>
      </c>
      <c r="D3706">
        <f>"Q"&amp;(INT((A3706-1)/13)+1)</f>
        <v/>
      </c>
      <c r="E3706" t="inlineStr">
        <is>
          <t>Online</t>
        </is>
      </c>
      <c r="F3706">
        <f>IFERROR(INDEX(ChFormat,MATCH(E3706,ChName,0)),"")</f>
        <v/>
      </c>
      <c r="G3706" t="inlineStr">
        <is>
          <t>NL</t>
        </is>
      </c>
      <c r="H3706">
        <f>IF(A3706&lt;=NWeeks,1,0)</f>
        <v/>
      </c>
      <c r="I3706">
        <f>INDEX(ChLaunch,MATCH(E3706,ChName,0))</f>
        <v/>
      </c>
      <c r="J3706">
        <f>INDEX(ChWeeksFull,MATCH(E3706,ChName,0))</f>
        <v/>
      </c>
      <c r="K3706">
        <f>INDEX(ChRamp,MATCH(E3706,ChName,0))</f>
        <v/>
      </c>
      <c r="L3706" s="45">
        <f>MIN(1,MAX(0,(A3706-I3706+1)*RampSpeed/J3706))</f>
        <v/>
      </c>
      <c r="M3706" s="45">
        <f>IF(A3706&lt;I3706,0,IF(K3706="S-curve",L3706*L3706*(3-2*L3706),L3706))</f>
        <v/>
      </c>
      <c r="N3706" s="45">
        <f>1+(INDEX(SeasonIdx,A3706)-1)*SeasonAmp</f>
        <v/>
      </c>
      <c r="O3706" s="45">
        <f>IFERROR(INDEX(PSPct,MATCH(E3706&amp;"|"&amp;G3706,PSKey,0)),0)</f>
        <v/>
      </c>
      <c r="P3706" s="46" t="n">
        <v>0</v>
      </c>
      <c r="Q3706" s="46">
        <f>INDEX(OnlineUnitsCol,A3706)*O3706*(1+OnlineGrowth)*N3706*H3706*IF(A3706&gt;=I3706,1,0)</f>
        <v/>
      </c>
      <c r="R3706" s="46">
        <f>Q3706*INDEX(FmtCansPerPack,MATCH(F3706,FmtName,0))/INDEX(FmtCansPerCase,MATCH(F3706,FmtName,0))</f>
        <v/>
      </c>
      <c r="S3706" s="46">
        <f>R3706*INDEX(FmtCansPerCase,MATCH(F3706,FmtName,0))</f>
        <v/>
      </c>
      <c r="T3706" s="46">
        <f>S3706/INDEX(FmtCansPerPack,MATCH(F3706,FmtName,0))</f>
        <v/>
      </c>
      <c r="U3706" s="47">
        <f>INDEX(ProvOnline,MATCH(G3706,ProvCode,0))*(1+PriceIndex)</f>
        <v/>
      </c>
      <c r="V3706" s="47">
        <f>Q3706*U3706*INDEX(FmtBlendedPriceIdx,MATCH(F3706,FmtName,0))</f>
        <v/>
      </c>
      <c r="W3706" s="47">
        <f>V3706</f>
        <v/>
      </c>
      <c r="X3706" s="47">
        <f>IF(GrossBasis="Wholesale",V3706,W3706)</f>
        <v/>
      </c>
      <c r="Y3706" s="47">
        <f>R3706*INDEX(FmtBlendedCogs,MATCH(F3706,FmtName,0))</f>
        <v/>
      </c>
      <c r="Z3706" s="47">
        <f>X3706-Y3706</f>
        <v/>
      </c>
    </row>
    <row r="3707">
      <c r="A3707" t="n">
        <v>49</v>
      </c>
      <c r="B3707" s="44">
        <f>FiscalStart+(A3707-1)*7</f>
        <v/>
      </c>
      <c r="C3707">
        <f>TEXT(B3707,"mmm yyyy")</f>
        <v/>
      </c>
      <c r="D3707">
        <f>"Q"&amp;(INT((A3707-1)/13)+1)</f>
        <v/>
      </c>
      <c r="E3707" t="inlineStr">
        <is>
          <t>Online</t>
        </is>
      </c>
      <c r="F3707">
        <f>IFERROR(INDEX(ChFormat,MATCH(E3707,ChName,0)),"")</f>
        <v/>
      </c>
      <c r="G3707" t="inlineStr">
        <is>
          <t>NL</t>
        </is>
      </c>
      <c r="H3707">
        <f>IF(A3707&lt;=NWeeks,1,0)</f>
        <v/>
      </c>
      <c r="I3707">
        <f>INDEX(ChLaunch,MATCH(E3707,ChName,0))</f>
        <v/>
      </c>
      <c r="J3707">
        <f>INDEX(ChWeeksFull,MATCH(E3707,ChName,0))</f>
        <v/>
      </c>
      <c r="K3707">
        <f>INDEX(ChRamp,MATCH(E3707,ChName,0))</f>
        <v/>
      </c>
      <c r="L3707" s="45">
        <f>MIN(1,MAX(0,(A3707-I3707+1)*RampSpeed/J3707))</f>
        <v/>
      </c>
      <c r="M3707" s="45">
        <f>IF(A3707&lt;I3707,0,IF(K3707="S-curve",L3707*L3707*(3-2*L3707),L3707))</f>
        <v/>
      </c>
      <c r="N3707" s="45">
        <f>1+(INDEX(SeasonIdx,A3707)-1)*SeasonAmp</f>
        <v/>
      </c>
      <c r="O3707" s="45">
        <f>IFERROR(INDEX(PSPct,MATCH(E3707&amp;"|"&amp;G3707,PSKey,0)),0)</f>
        <v/>
      </c>
      <c r="P3707" s="46" t="n">
        <v>0</v>
      </c>
      <c r="Q3707" s="46">
        <f>INDEX(OnlineUnitsCol,A3707)*O3707*(1+OnlineGrowth)*N3707*H3707*IF(A3707&gt;=I3707,1,0)</f>
        <v/>
      </c>
      <c r="R3707" s="46">
        <f>Q3707*INDEX(FmtCansPerPack,MATCH(F3707,FmtName,0))/INDEX(FmtCansPerCase,MATCH(F3707,FmtName,0))</f>
        <v/>
      </c>
      <c r="S3707" s="46">
        <f>R3707*INDEX(FmtCansPerCase,MATCH(F3707,FmtName,0))</f>
        <v/>
      </c>
      <c r="T3707" s="46">
        <f>S3707/INDEX(FmtCansPerPack,MATCH(F3707,FmtName,0))</f>
        <v/>
      </c>
      <c r="U3707" s="47">
        <f>INDEX(ProvOnline,MATCH(G3707,ProvCode,0))*(1+PriceIndex)</f>
        <v/>
      </c>
      <c r="V3707" s="47">
        <f>Q3707*U3707*INDEX(FmtBlendedPriceIdx,MATCH(F3707,FmtName,0))</f>
        <v/>
      </c>
      <c r="W3707" s="47">
        <f>V3707</f>
        <v/>
      </c>
      <c r="X3707" s="47">
        <f>IF(GrossBasis="Wholesale",V3707,W3707)</f>
        <v/>
      </c>
      <c r="Y3707" s="47">
        <f>R3707*INDEX(FmtBlendedCogs,MATCH(F3707,FmtName,0))</f>
        <v/>
      </c>
      <c r="Z3707" s="47">
        <f>X3707-Y3707</f>
        <v/>
      </c>
    </row>
    <row r="3708">
      <c r="A3708" t="n">
        <v>50</v>
      </c>
      <c r="B3708" s="44">
        <f>FiscalStart+(A3708-1)*7</f>
        <v/>
      </c>
      <c r="C3708">
        <f>TEXT(B3708,"mmm yyyy")</f>
        <v/>
      </c>
      <c r="D3708">
        <f>"Q"&amp;(INT((A3708-1)/13)+1)</f>
        <v/>
      </c>
      <c r="E3708" t="inlineStr">
        <is>
          <t>Online</t>
        </is>
      </c>
      <c r="F3708">
        <f>IFERROR(INDEX(ChFormat,MATCH(E3708,ChName,0)),"")</f>
        <v/>
      </c>
      <c r="G3708" t="inlineStr">
        <is>
          <t>NL</t>
        </is>
      </c>
      <c r="H3708">
        <f>IF(A3708&lt;=NWeeks,1,0)</f>
        <v/>
      </c>
      <c r="I3708">
        <f>INDEX(ChLaunch,MATCH(E3708,ChName,0))</f>
        <v/>
      </c>
      <c r="J3708">
        <f>INDEX(ChWeeksFull,MATCH(E3708,ChName,0))</f>
        <v/>
      </c>
      <c r="K3708">
        <f>INDEX(ChRamp,MATCH(E3708,ChName,0))</f>
        <v/>
      </c>
      <c r="L3708" s="45">
        <f>MIN(1,MAX(0,(A3708-I3708+1)*RampSpeed/J3708))</f>
        <v/>
      </c>
      <c r="M3708" s="45">
        <f>IF(A3708&lt;I3708,0,IF(K3708="S-curve",L3708*L3708*(3-2*L3708),L3708))</f>
        <v/>
      </c>
      <c r="N3708" s="45">
        <f>1+(INDEX(SeasonIdx,A3708)-1)*SeasonAmp</f>
        <v/>
      </c>
      <c r="O3708" s="45">
        <f>IFERROR(INDEX(PSPct,MATCH(E3708&amp;"|"&amp;G3708,PSKey,0)),0)</f>
        <v/>
      </c>
      <c r="P3708" s="46" t="n">
        <v>0</v>
      </c>
      <c r="Q3708" s="46">
        <f>INDEX(OnlineUnitsCol,A3708)*O3708*(1+OnlineGrowth)*N3708*H3708*IF(A3708&gt;=I3708,1,0)</f>
        <v/>
      </c>
      <c r="R3708" s="46">
        <f>Q3708*INDEX(FmtCansPerPack,MATCH(F3708,FmtName,0))/INDEX(FmtCansPerCase,MATCH(F3708,FmtName,0))</f>
        <v/>
      </c>
      <c r="S3708" s="46">
        <f>R3708*INDEX(FmtCansPerCase,MATCH(F3708,FmtName,0))</f>
        <v/>
      </c>
      <c r="T3708" s="46">
        <f>S3708/INDEX(FmtCansPerPack,MATCH(F3708,FmtName,0))</f>
        <v/>
      </c>
      <c r="U3708" s="47">
        <f>INDEX(ProvOnline,MATCH(G3708,ProvCode,0))*(1+PriceIndex)</f>
        <v/>
      </c>
      <c r="V3708" s="47">
        <f>Q3708*U3708*INDEX(FmtBlendedPriceIdx,MATCH(F3708,FmtName,0))</f>
        <v/>
      </c>
      <c r="W3708" s="47">
        <f>V3708</f>
        <v/>
      </c>
      <c r="X3708" s="47">
        <f>IF(GrossBasis="Wholesale",V3708,W3708)</f>
        <v/>
      </c>
      <c r="Y3708" s="47">
        <f>R3708*INDEX(FmtBlendedCogs,MATCH(F3708,FmtName,0))</f>
        <v/>
      </c>
      <c r="Z3708" s="47">
        <f>X3708-Y3708</f>
        <v/>
      </c>
    </row>
    <row r="3709">
      <c r="A3709" t="n">
        <v>51</v>
      </c>
      <c r="B3709" s="44">
        <f>FiscalStart+(A3709-1)*7</f>
        <v/>
      </c>
      <c r="C3709">
        <f>TEXT(B3709,"mmm yyyy")</f>
        <v/>
      </c>
      <c r="D3709">
        <f>"Q"&amp;(INT((A3709-1)/13)+1)</f>
        <v/>
      </c>
      <c r="E3709" t="inlineStr">
        <is>
          <t>Online</t>
        </is>
      </c>
      <c r="F3709">
        <f>IFERROR(INDEX(ChFormat,MATCH(E3709,ChName,0)),"")</f>
        <v/>
      </c>
      <c r="G3709" t="inlineStr">
        <is>
          <t>NL</t>
        </is>
      </c>
      <c r="H3709">
        <f>IF(A3709&lt;=NWeeks,1,0)</f>
        <v/>
      </c>
      <c r="I3709">
        <f>INDEX(ChLaunch,MATCH(E3709,ChName,0))</f>
        <v/>
      </c>
      <c r="J3709">
        <f>INDEX(ChWeeksFull,MATCH(E3709,ChName,0))</f>
        <v/>
      </c>
      <c r="K3709">
        <f>INDEX(ChRamp,MATCH(E3709,ChName,0))</f>
        <v/>
      </c>
      <c r="L3709" s="45">
        <f>MIN(1,MAX(0,(A3709-I3709+1)*RampSpeed/J3709))</f>
        <v/>
      </c>
      <c r="M3709" s="45">
        <f>IF(A3709&lt;I3709,0,IF(K3709="S-curve",L3709*L3709*(3-2*L3709),L3709))</f>
        <v/>
      </c>
      <c r="N3709" s="45">
        <f>1+(INDEX(SeasonIdx,A3709)-1)*SeasonAmp</f>
        <v/>
      </c>
      <c r="O3709" s="45">
        <f>IFERROR(INDEX(PSPct,MATCH(E3709&amp;"|"&amp;G3709,PSKey,0)),0)</f>
        <v/>
      </c>
      <c r="P3709" s="46" t="n">
        <v>0</v>
      </c>
      <c r="Q3709" s="46">
        <f>INDEX(OnlineUnitsCol,A3709)*O3709*(1+OnlineGrowth)*N3709*H3709*IF(A3709&gt;=I3709,1,0)</f>
        <v/>
      </c>
      <c r="R3709" s="46">
        <f>Q3709*INDEX(FmtCansPerPack,MATCH(F3709,FmtName,0))/INDEX(FmtCansPerCase,MATCH(F3709,FmtName,0))</f>
        <v/>
      </c>
      <c r="S3709" s="46">
        <f>R3709*INDEX(FmtCansPerCase,MATCH(F3709,FmtName,0))</f>
        <v/>
      </c>
      <c r="T3709" s="46">
        <f>S3709/INDEX(FmtCansPerPack,MATCH(F3709,FmtName,0))</f>
        <v/>
      </c>
      <c r="U3709" s="47">
        <f>INDEX(ProvOnline,MATCH(G3709,ProvCode,0))*(1+PriceIndex)</f>
        <v/>
      </c>
      <c r="V3709" s="47">
        <f>Q3709*U3709*INDEX(FmtBlendedPriceIdx,MATCH(F3709,FmtName,0))</f>
        <v/>
      </c>
      <c r="W3709" s="47">
        <f>V3709</f>
        <v/>
      </c>
      <c r="X3709" s="47">
        <f>IF(GrossBasis="Wholesale",V3709,W3709)</f>
        <v/>
      </c>
      <c r="Y3709" s="47">
        <f>R3709*INDEX(FmtBlendedCogs,MATCH(F3709,FmtName,0))</f>
        <v/>
      </c>
      <c r="Z3709" s="47">
        <f>X3709-Y3709</f>
        <v/>
      </c>
    </row>
    <row r="3710">
      <c r="A3710" t="n">
        <v>52</v>
      </c>
      <c r="B3710" s="44">
        <f>FiscalStart+(A3710-1)*7</f>
        <v/>
      </c>
      <c r="C3710">
        <f>TEXT(B3710,"mmm yyyy")</f>
        <v/>
      </c>
      <c r="D3710">
        <f>"Q"&amp;(INT((A3710-1)/13)+1)</f>
        <v/>
      </c>
      <c r="E3710" t="inlineStr">
        <is>
          <t>Online</t>
        </is>
      </c>
      <c r="F3710">
        <f>IFERROR(INDEX(ChFormat,MATCH(E3710,ChName,0)),"")</f>
        <v/>
      </c>
      <c r="G3710" t="inlineStr">
        <is>
          <t>NL</t>
        </is>
      </c>
      <c r="H3710">
        <f>IF(A3710&lt;=NWeeks,1,0)</f>
        <v/>
      </c>
      <c r="I3710">
        <f>INDEX(ChLaunch,MATCH(E3710,ChName,0))</f>
        <v/>
      </c>
      <c r="J3710">
        <f>INDEX(ChWeeksFull,MATCH(E3710,ChName,0))</f>
        <v/>
      </c>
      <c r="K3710">
        <f>INDEX(ChRamp,MATCH(E3710,ChName,0))</f>
        <v/>
      </c>
      <c r="L3710" s="45">
        <f>MIN(1,MAX(0,(A3710-I3710+1)*RampSpeed/J3710))</f>
        <v/>
      </c>
      <c r="M3710" s="45">
        <f>IF(A3710&lt;I3710,0,IF(K3710="S-curve",L3710*L3710*(3-2*L3710),L3710))</f>
        <v/>
      </c>
      <c r="N3710" s="45">
        <f>1+(INDEX(SeasonIdx,A3710)-1)*SeasonAmp</f>
        <v/>
      </c>
      <c r="O3710" s="45">
        <f>IFERROR(INDEX(PSPct,MATCH(E3710&amp;"|"&amp;G3710,PSKey,0)),0)</f>
        <v/>
      </c>
      <c r="P3710" s="46" t="n">
        <v>0</v>
      </c>
      <c r="Q3710" s="46">
        <f>INDEX(OnlineUnitsCol,A3710)*O3710*(1+OnlineGrowth)*N3710*H3710*IF(A3710&gt;=I3710,1,0)</f>
        <v/>
      </c>
      <c r="R3710" s="46">
        <f>Q3710*INDEX(FmtCansPerPack,MATCH(F3710,FmtName,0))/INDEX(FmtCansPerCase,MATCH(F3710,FmtName,0))</f>
        <v/>
      </c>
      <c r="S3710" s="46">
        <f>R3710*INDEX(FmtCansPerCase,MATCH(F3710,FmtName,0))</f>
        <v/>
      </c>
      <c r="T3710" s="46">
        <f>S3710/INDEX(FmtCansPerPack,MATCH(F3710,FmtName,0))</f>
        <v/>
      </c>
      <c r="U3710" s="47">
        <f>INDEX(ProvOnline,MATCH(G3710,ProvCode,0))*(1+PriceIndex)</f>
        <v/>
      </c>
      <c r="V3710" s="47">
        <f>Q3710*U3710*INDEX(FmtBlendedPriceIdx,MATCH(F3710,FmtName,0))</f>
        <v/>
      </c>
      <c r="W3710" s="47">
        <f>V3710</f>
        <v/>
      </c>
      <c r="X3710" s="47">
        <f>IF(GrossBasis="Wholesale",V3710,W3710)</f>
        <v/>
      </c>
      <c r="Y3710" s="47">
        <f>R3710*INDEX(FmtBlendedCogs,MATCH(F3710,FmtName,0))</f>
        <v/>
      </c>
      <c r="Z3710" s="47">
        <f>X3710-Y3710</f>
        <v/>
      </c>
    </row>
    <row r="3711">
      <c r="A3711" t="n">
        <v>53</v>
      </c>
      <c r="B3711" s="44">
        <f>FiscalStart+(A3711-1)*7</f>
        <v/>
      </c>
      <c r="C3711">
        <f>TEXT(B3711,"mmm yyyy")</f>
        <v/>
      </c>
      <c r="D3711">
        <f>"Q"&amp;(INT((A3711-1)/13)+1)</f>
        <v/>
      </c>
      <c r="E3711" t="inlineStr">
        <is>
          <t>Online</t>
        </is>
      </c>
      <c r="F3711">
        <f>IFERROR(INDEX(ChFormat,MATCH(E3711,ChName,0)),"")</f>
        <v/>
      </c>
      <c r="G3711" t="inlineStr">
        <is>
          <t>NL</t>
        </is>
      </c>
      <c r="H3711">
        <f>IF(A3711&lt;=NWeeks,1,0)</f>
        <v/>
      </c>
      <c r="I3711">
        <f>INDEX(ChLaunch,MATCH(E3711,ChName,0))</f>
        <v/>
      </c>
      <c r="J3711">
        <f>INDEX(ChWeeksFull,MATCH(E3711,ChName,0))</f>
        <v/>
      </c>
      <c r="K3711">
        <f>INDEX(ChRamp,MATCH(E3711,ChName,0))</f>
        <v/>
      </c>
      <c r="L3711" s="45">
        <f>MIN(1,MAX(0,(A3711-I3711+1)*RampSpeed/J3711))</f>
        <v/>
      </c>
      <c r="M3711" s="45">
        <f>IF(A3711&lt;I3711,0,IF(K3711="S-curve",L3711*L3711*(3-2*L3711),L3711))</f>
        <v/>
      </c>
      <c r="N3711" s="45">
        <f>1+(INDEX(SeasonIdx,A3711)-1)*SeasonAmp</f>
        <v/>
      </c>
      <c r="O3711" s="45">
        <f>IFERROR(INDEX(PSPct,MATCH(E3711&amp;"|"&amp;G3711,PSKey,0)),0)</f>
        <v/>
      </c>
      <c r="P3711" s="46" t="n">
        <v>0</v>
      </c>
      <c r="Q3711" s="46">
        <f>INDEX(OnlineUnitsCol,A3711)*O3711*(1+OnlineGrowth)*N3711*H3711*IF(A3711&gt;=I3711,1,0)</f>
        <v/>
      </c>
      <c r="R3711" s="46">
        <f>Q3711*INDEX(FmtCansPerPack,MATCH(F3711,FmtName,0))/INDEX(FmtCansPerCase,MATCH(F3711,FmtName,0))</f>
        <v/>
      </c>
      <c r="S3711" s="46">
        <f>R3711*INDEX(FmtCansPerCase,MATCH(F3711,FmtName,0))</f>
        <v/>
      </c>
      <c r="T3711" s="46">
        <f>S3711/INDEX(FmtCansPerPack,MATCH(F3711,FmtName,0))</f>
        <v/>
      </c>
      <c r="U3711" s="47">
        <f>INDEX(ProvOnline,MATCH(G3711,ProvCode,0))*(1+PriceIndex)</f>
        <v/>
      </c>
      <c r="V3711" s="47">
        <f>Q3711*U3711*INDEX(FmtBlendedPriceIdx,MATCH(F3711,FmtName,0))</f>
        <v/>
      </c>
      <c r="W3711" s="47">
        <f>V3711</f>
        <v/>
      </c>
      <c r="X3711" s="47">
        <f>IF(GrossBasis="Wholesale",V3711,W3711)</f>
        <v/>
      </c>
      <c r="Y3711" s="47">
        <f>R3711*INDEX(FmtBlendedCogs,MATCH(F3711,FmtName,0))</f>
        <v/>
      </c>
      <c r="Z3711" s="47">
        <f>X3711-Y3711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4" customWidth="1" min="4" max="4"/>
    <col width="14" customWidth="1" min="5" max="5"/>
    <col width="9" customWidth="1" min="6" max="6"/>
    <col width="3" customWidth="1" min="7" max="7"/>
    <col width="16" customWidth="1" min="8" max="8"/>
    <col width="14" customWidth="1" min="9" max="9"/>
    <col width="9" customWidth="1" min="10" max="10"/>
    <col width="3" customWidth="1" min="11" max="11"/>
    <col width="12" customWidth="1" min="12" max="12"/>
    <col width="14" customWidth="1" min="13" max="13"/>
    <col width="9" customWidth="1" min="14" max="14"/>
    <col width="3" customWidth="1" min="15" max="15"/>
    <col width="7" customWidth="1" min="16" max="16"/>
    <col width="13" customWidth="1" min="17" max="17"/>
    <col width="14" customWidth="1" min="18" max="18"/>
    <col width="13" customWidth="1" min="19" max="19"/>
    <col width="13" customWidth="1" min="20" max="20"/>
    <col width="12" customWidth="1" min="21" max="21"/>
  </cols>
  <sheetData>
    <row r="1" ht="22" customHeight="1">
      <c r="A1" s="1" t="inlineStr">
        <is>
          <t>MÜV RTD  •  Summary &amp; Goal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22" customHeight="1">
      <c r="A3" s="48" t="inlineStr">
        <is>
          <t>KEY METRICS</t>
        </is>
      </c>
      <c r="B3" s="48" t="inlineStr"/>
      <c r="D3" s="1" t="inlineStr">
        <is>
          <t>By Channel</t>
        </is>
      </c>
      <c r="E3" s="2" t="n"/>
      <c r="F3" s="2" t="n"/>
      <c r="H3" s="1" t="inlineStr">
        <is>
          <t>By Flavour</t>
        </is>
      </c>
      <c r="I3" s="2" t="n"/>
      <c r="J3" s="2" t="n"/>
      <c r="L3" s="1" t="inlineStr">
        <is>
          <t>By Fiscal Quarter</t>
        </is>
      </c>
      <c r="M3" s="2" t="n"/>
      <c r="N3" s="2" t="n"/>
      <c r="P3" s="1" t="inlineStr">
        <is>
          <t>Weekly Trend vs Goal</t>
        </is>
      </c>
      <c r="Q3" s="2" t="n"/>
      <c r="R3" s="2" t="n"/>
      <c r="S3" s="2" t="n"/>
      <c r="T3" s="2" t="n"/>
      <c r="U3" s="2" t="n"/>
    </row>
    <row r="4">
      <c r="A4" s="49" t="inlineStr">
        <is>
          <t>Gross revenue basis</t>
        </is>
      </c>
      <c r="B4" s="50">
        <f>GrossBasis</f>
        <v/>
      </c>
      <c r="D4" s="4" t="inlineStr">
        <is>
          <t>Item</t>
        </is>
      </c>
      <c r="E4" s="4" t="inlineStr">
        <is>
          <t>Gross $</t>
        </is>
      </c>
      <c r="F4" s="4" t="inlineStr">
        <is>
          <t>% mix</t>
        </is>
      </c>
      <c r="H4" s="4" t="inlineStr">
        <is>
          <t>Item</t>
        </is>
      </c>
      <c r="I4" s="4" t="inlineStr">
        <is>
          <t>Gross $</t>
        </is>
      </c>
      <c r="J4" s="4" t="inlineStr">
        <is>
          <t>% mix</t>
        </is>
      </c>
      <c r="L4" s="4" t="inlineStr">
        <is>
          <t>Item</t>
        </is>
      </c>
      <c r="M4" s="4" t="inlineStr">
        <is>
          <t>Gross $</t>
        </is>
      </c>
      <c r="N4" s="4" t="inlineStr">
        <is>
          <t>% mix</t>
        </is>
      </c>
      <c r="P4" s="4" t="inlineStr">
        <is>
          <t>Week</t>
        </is>
      </c>
      <c r="Q4" s="4" t="inlineStr">
        <is>
          <t>Weekly $</t>
        </is>
      </c>
      <c r="R4" s="4" t="inlineStr">
        <is>
          <t>Cumulative $</t>
        </is>
      </c>
      <c r="S4" s="4" t="inlineStr">
        <is>
          <t>$3M Goal</t>
        </is>
      </c>
      <c r="T4" s="4" t="inlineStr">
        <is>
          <t>Goal pace</t>
        </is>
      </c>
      <c r="U4" s="4" t="inlineStr">
        <is>
          <t>Weekly cases</t>
        </is>
      </c>
    </row>
    <row r="5">
      <c r="A5" s="51" t="inlineStr">
        <is>
          <t>ANNUAL GROSS REVENUE</t>
        </is>
      </c>
      <c r="B5" s="52">
        <f>SUM(CalcGross)</f>
        <v/>
      </c>
      <c r="D5" s="39" t="inlineStr">
        <is>
          <t>Convenience</t>
        </is>
      </c>
      <c r="E5" s="53">
        <f>SUMIF(CalcChannel,"Convenience",CalcGross)</f>
        <v/>
      </c>
      <c r="F5" s="54">
        <f>E5/$B$5</f>
        <v/>
      </c>
      <c r="H5" s="39" t="inlineStr">
        <is>
          <t>Lime</t>
        </is>
      </c>
      <c r="I5" s="53">
        <f>$B$5*INDEX(FlavShare,MATCH("Lime",FlavName,0))</f>
        <v/>
      </c>
      <c r="J5" s="54">
        <f>I5/$B$5</f>
        <v/>
      </c>
      <c r="L5" s="39" t="inlineStr">
        <is>
          <t>Q1</t>
        </is>
      </c>
      <c r="M5" s="53">
        <f>SUMIF(CalcQuarter,"Q1",CalcGross)</f>
        <v/>
      </c>
      <c r="N5" s="54">
        <f>M5/$B$5</f>
        <v/>
      </c>
      <c r="P5" s="55" t="n">
        <v>1</v>
      </c>
      <c r="Q5" s="56">
        <f>SUMIF(CalcWeek,P5,CalcGross)</f>
        <v/>
      </c>
      <c r="R5" s="56">
        <f>Q5</f>
        <v/>
      </c>
      <c r="S5" s="57">
        <f>TargetRev</f>
        <v/>
      </c>
      <c r="T5" s="58">
        <f>TargetRev*P5/NWeeks</f>
        <v/>
      </c>
      <c r="U5" s="59">
        <f>SUMIF(CalcWeek,P5,CalcBrandCases)</f>
        <v/>
      </c>
    </row>
    <row r="6">
      <c r="A6" s="49" t="inlineStr">
        <is>
          <t>Target (goal)</t>
        </is>
      </c>
      <c r="B6" s="60">
        <f>TargetRev</f>
        <v/>
      </c>
      <c r="D6" s="39" t="inlineStr">
        <is>
          <t>On Premise</t>
        </is>
      </c>
      <c r="E6" s="53">
        <f>SUMIF(CalcChannel,"On Premise",CalcGross)</f>
        <v/>
      </c>
      <c r="F6" s="54">
        <f>E6/$B$5</f>
        <v/>
      </c>
      <c r="H6" s="39" t="inlineStr">
        <is>
          <t>Lemon</t>
        </is>
      </c>
      <c r="I6" s="53">
        <f>$B$5*INDEX(FlavShare,MATCH("Lemon",FlavName,0))</f>
        <v/>
      </c>
      <c r="J6" s="54">
        <f>I6/$B$5</f>
        <v/>
      </c>
      <c r="L6" s="39" t="inlineStr">
        <is>
          <t>Q2</t>
        </is>
      </c>
      <c r="M6" s="53">
        <f>SUMIF(CalcQuarter,"Q2",CalcGross)</f>
        <v/>
      </c>
      <c r="N6" s="54">
        <f>M6/$B$5</f>
        <v/>
      </c>
      <c r="P6" s="55" t="n">
        <v>2</v>
      </c>
      <c r="Q6" s="56">
        <f>SUMIF(CalcWeek,P6,CalcGross)</f>
        <v/>
      </c>
      <c r="R6" s="56">
        <f>R5+Q6</f>
        <v/>
      </c>
      <c r="S6" s="57">
        <f>TargetRev</f>
        <v/>
      </c>
      <c r="T6" s="58">
        <f>TargetRev*P6/NWeeks</f>
        <v/>
      </c>
      <c r="U6" s="59">
        <f>SUMIF(CalcWeek,P6,CalcBrandCases)</f>
        <v/>
      </c>
    </row>
    <row r="7">
      <c r="A7" s="49" t="inlineStr">
        <is>
          <t>Gap to target</t>
        </is>
      </c>
      <c r="B7" s="60">
        <f>B5-B6</f>
        <v/>
      </c>
      <c r="D7" s="39" t="inlineStr">
        <is>
          <t>Fitness</t>
        </is>
      </c>
      <c r="E7" s="53">
        <f>SUMIF(CalcChannel,"Fitness",CalcGross)</f>
        <v/>
      </c>
      <c r="F7" s="54">
        <f>E7/$B$5</f>
        <v/>
      </c>
      <c r="H7" s="39" t="inlineStr">
        <is>
          <t>Raspberry</t>
        </is>
      </c>
      <c r="I7" s="53">
        <f>$B$5*INDEX(FlavShare,MATCH("Raspberry",FlavName,0))</f>
        <v/>
      </c>
      <c r="J7" s="54">
        <f>I7/$B$5</f>
        <v/>
      </c>
      <c r="L7" s="39" t="inlineStr">
        <is>
          <t>Q3</t>
        </is>
      </c>
      <c r="M7" s="53">
        <f>SUMIF(CalcQuarter,"Q3",CalcGross)</f>
        <v/>
      </c>
      <c r="N7" s="54">
        <f>M7/$B$5</f>
        <v/>
      </c>
      <c r="P7" s="55" t="n">
        <v>3</v>
      </c>
      <c r="Q7" s="56">
        <f>SUMIF(CalcWeek,P7,CalcGross)</f>
        <v/>
      </c>
      <c r="R7" s="56">
        <f>R6+Q7</f>
        <v/>
      </c>
      <c r="S7" s="57">
        <f>TargetRev</f>
        <v/>
      </c>
      <c r="T7" s="58">
        <f>TargetRev*P7/NWeeks</f>
        <v/>
      </c>
      <c r="U7" s="59">
        <f>SUMIF(CalcWeek,P7,CalcBrandCases)</f>
        <v/>
      </c>
    </row>
    <row r="8">
      <c r="A8" s="49" t="inlineStr">
        <is>
          <t>% to goal</t>
        </is>
      </c>
      <c r="B8" s="61">
        <f>B5/B6</f>
        <v/>
      </c>
      <c r="D8" s="39" t="inlineStr">
        <is>
          <t>Costco</t>
        </is>
      </c>
      <c r="E8" s="53">
        <f>SUMIF(CalcChannel,"Costco",CalcGross)</f>
        <v/>
      </c>
      <c r="F8" s="54">
        <f>E8/$B$5</f>
        <v/>
      </c>
      <c r="H8" s="5" t="inlineStr">
        <is>
          <t>Total</t>
        </is>
      </c>
      <c r="I8" s="62">
        <f>SUM(I5:I7)</f>
        <v/>
      </c>
      <c r="J8" s="63">
        <f>I8/$B$5</f>
        <v/>
      </c>
      <c r="L8" s="39" t="inlineStr">
        <is>
          <t>Q4</t>
        </is>
      </c>
      <c r="M8" s="53">
        <f>SUMIF(CalcQuarter,"Q4",CalcGross)</f>
        <v/>
      </c>
      <c r="N8" s="54">
        <f>M8/$B$5</f>
        <v/>
      </c>
      <c r="P8" s="55" t="n">
        <v>4</v>
      </c>
      <c r="Q8" s="56">
        <f>SUMIF(CalcWeek,P8,CalcGross)</f>
        <v/>
      </c>
      <c r="R8" s="56">
        <f>R7+Q8</f>
        <v/>
      </c>
      <c r="S8" s="57">
        <f>TargetRev</f>
        <v/>
      </c>
      <c r="T8" s="58">
        <f>TargetRev*P8/NWeeks</f>
        <v/>
      </c>
      <c r="U8" s="59">
        <f>SUMIF(CalcWeek,P8,CalcBrandCases)</f>
        <v/>
      </c>
    </row>
    <row r="9">
      <c r="A9" s="49" t="inlineStr">
        <is>
          <t>Status</t>
        </is>
      </c>
      <c r="B9" s="50">
        <f>IF(B5&gt;=B6,"✓ ON / ABOVE TARGET","▼ BELOW TARGET — see levers")</f>
        <v/>
      </c>
      <c r="D9" s="39" t="inlineStr">
        <is>
          <t>FDM</t>
        </is>
      </c>
      <c r="E9" s="53">
        <f>SUMIF(CalcChannel,"FDM",CalcGross)</f>
        <v/>
      </c>
      <c r="F9" s="54">
        <f>E9/$B$5</f>
        <v/>
      </c>
      <c r="L9" s="5" t="inlineStr">
        <is>
          <t>Total</t>
        </is>
      </c>
      <c r="M9" s="62">
        <f>SUM(M5:M8)</f>
        <v/>
      </c>
      <c r="N9" s="63">
        <f>M9/$B$5</f>
        <v/>
      </c>
      <c r="P9" s="55" t="n">
        <v>5</v>
      </c>
      <c r="Q9" s="56">
        <f>SUMIF(CalcWeek,P9,CalcGross)</f>
        <v/>
      </c>
      <c r="R9" s="56">
        <f>R8+Q9</f>
        <v/>
      </c>
      <c r="S9" s="57">
        <f>TargetRev</f>
        <v/>
      </c>
      <c r="T9" s="58">
        <f>TargetRev*P9/NWeeks</f>
        <v/>
      </c>
      <c r="U9" s="59">
        <f>SUMIF(CalcWeek,P9,CalcBrandCases)</f>
        <v/>
      </c>
    </row>
    <row r="10" ht="22" customHeight="1">
      <c r="A10" s="49" t="inlineStr">
        <is>
          <t>Total volume (cases)</t>
        </is>
      </c>
      <c r="B10" s="64">
        <f>SUM(CalcBrandCases)</f>
        <v/>
      </c>
      <c r="D10" s="39" t="inlineStr">
        <is>
          <t>Specialty</t>
        </is>
      </c>
      <c r="E10" s="53">
        <f>SUMIF(CalcChannel,"Specialty",CalcGross)</f>
        <v/>
      </c>
      <c r="F10" s="54">
        <f>E10/$B$5</f>
        <v/>
      </c>
      <c r="H10" s="1" t="inlineStr">
        <is>
          <t>By SKU (flavour × format)</t>
        </is>
      </c>
      <c r="I10" s="2" t="n"/>
      <c r="J10" s="2" t="n"/>
      <c r="P10" s="55" t="n">
        <v>6</v>
      </c>
      <c r="Q10" s="56">
        <f>SUMIF(CalcWeek,P10,CalcGross)</f>
        <v/>
      </c>
      <c r="R10" s="56">
        <f>R9+Q10</f>
        <v/>
      </c>
      <c r="S10" s="57">
        <f>TargetRev</f>
        <v/>
      </c>
      <c r="T10" s="58">
        <f>TargetRev*P10/NWeeks</f>
        <v/>
      </c>
      <c r="U10" s="59">
        <f>SUMIF(CalcWeek,P10,CalcBrandCases)</f>
        <v/>
      </c>
    </row>
    <row r="11" ht="22" customHeight="1">
      <c r="A11" s="49" t="inlineStr">
        <is>
          <t>Total volume (cans)</t>
        </is>
      </c>
      <c r="B11" s="64">
        <f>SUM(CalcCans)</f>
        <v/>
      </c>
      <c r="D11" s="39" t="inlineStr">
        <is>
          <t>Online</t>
        </is>
      </c>
      <c r="E11" s="53">
        <f>SUMIF(CalcChannel,"Online",CalcGross)</f>
        <v/>
      </c>
      <c r="F11" s="54">
        <f>E11/$B$5</f>
        <v/>
      </c>
      <c r="H11" s="4" t="inlineStr">
        <is>
          <t>Item</t>
        </is>
      </c>
      <c r="I11" s="4" t="inlineStr">
        <is>
          <t>Gross $</t>
        </is>
      </c>
      <c r="J11" s="4" t="inlineStr">
        <is>
          <t>% mix</t>
        </is>
      </c>
      <c r="L11" s="1" t="inlineStr">
        <is>
          <t>By Calendar Month</t>
        </is>
      </c>
      <c r="M11" s="2" t="n"/>
      <c r="N11" s="2" t="n"/>
      <c r="P11" s="55" t="n">
        <v>7</v>
      </c>
      <c r="Q11" s="56">
        <f>SUMIF(CalcWeek,P11,CalcGross)</f>
        <v/>
      </c>
      <c r="R11" s="56">
        <f>R10+Q11</f>
        <v/>
      </c>
      <c r="S11" s="57">
        <f>TargetRev</f>
        <v/>
      </c>
      <c r="T11" s="58">
        <f>TargetRev*P11/NWeeks</f>
        <v/>
      </c>
      <c r="U11" s="59">
        <f>SUMIF(CalcWeek,P11,CalcBrandCases)</f>
        <v/>
      </c>
    </row>
    <row r="12">
      <c r="A12" s="49" t="inlineStr">
        <is>
          <t>Total consumer units</t>
        </is>
      </c>
      <c r="B12" s="64">
        <f>SUM(CalcConsumerUnits)</f>
        <v/>
      </c>
      <c r="D12" s="5" t="inlineStr">
        <is>
          <t>Total</t>
        </is>
      </c>
      <c r="E12" s="62">
        <f>SUM(E5:E11)</f>
        <v/>
      </c>
      <c r="F12" s="63">
        <f>E12/$B$5</f>
        <v/>
      </c>
      <c r="H12" s="39" t="inlineStr">
        <is>
          <t>Lime 4-pack</t>
        </is>
      </c>
      <c r="I12" s="53">
        <f>SUMIF(CalcFormat,"4-pack",CalcGross)*INDEX(FlavShare,MATCH("Lime",FlavName,0))</f>
        <v/>
      </c>
      <c r="J12" s="54">
        <f>I12/$B$5</f>
        <v/>
      </c>
      <c r="L12" s="4" t="inlineStr">
        <is>
          <t>Item</t>
        </is>
      </c>
      <c r="M12" s="4" t="inlineStr">
        <is>
          <t>Gross $</t>
        </is>
      </c>
      <c r="N12" s="4" t="inlineStr">
        <is>
          <t>% mix</t>
        </is>
      </c>
      <c r="P12" s="55" t="n">
        <v>8</v>
      </c>
      <c r="Q12" s="56">
        <f>SUMIF(CalcWeek,P12,CalcGross)</f>
        <v/>
      </c>
      <c r="R12" s="56">
        <f>R11+Q12</f>
        <v/>
      </c>
      <c r="S12" s="57">
        <f>TargetRev</f>
        <v/>
      </c>
      <c r="T12" s="58">
        <f>TargetRev*P12/NWeeks</f>
        <v/>
      </c>
      <c r="U12" s="59">
        <f>SUMIF(CalcWeek,P12,CalcBrandCases)</f>
        <v/>
      </c>
    </row>
    <row r="13">
      <c r="A13" s="49" t="inlineStr">
        <is>
          <t>Avg weekly revenue</t>
        </is>
      </c>
      <c r="B13" s="60">
        <f>B5/NWeeks</f>
        <v/>
      </c>
      <c r="H13" s="39" t="inlineStr">
        <is>
          <t>Lime 12-pack</t>
        </is>
      </c>
      <c r="I13" s="53">
        <f>SUMIF(CalcFormat,"12-pack",CalcGross)*INDEX(FlavShare,MATCH("Lime",FlavName,0))</f>
        <v/>
      </c>
      <c r="J13" s="54">
        <f>I13/$B$5</f>
        <v/>
      </c>
      <c r="L13" s="39" t="inlineStr">
        <is>
          <t>Sep 2027</t>
        </is>
      </c>
      <c r="M13" s="53">
        <f>SUMIF(CalcMonth,"Sep 2027",CalcGross)</f>
        <v/>
      </c>
      <c r="N13" s="54">
        <f>M13/$B$5</f>
        <v/>
      </c>
      <c r="P13" s="55" t="n">
        <v>9</v>
      </c>
      <c r="Q13" s="56">
        <f>SUMIF(CalcWeek,P13,CalcGross)</f>
        <v/>
      </c>
      <c r="R13" s="56">
        <f>R12+Q13</f>
        <v/>
      </c>
      <c r="S13" s="57">
        <f>TargetRev</f>
        <v/>
      </c>
      <c r="T13" s="58">
        <f>TargetRev*P13/NWeeks</f>
        <v/>
      </c>
      <c r="U13" s="59">
        <f>SUMIF(CalcWeek,P13,CalcBrandCases)</f>
        <v/>
      </c>
    </row>
    <row r="14" ht="22" customHeight="1">
      <c r="A14" s="49" t="inlineStr">
        <is>
          <t>Gross margin $</t>
        </is>
      </c>
      <c r="B14" s="60">
        <f>B5-SUM(CalcCOGS)</f>
        <v/>
      </c>
      <c r="D14" s="1" t="inlineStr">
        <is>
          <t>By Province</t>
        </is>
      </c>
      <c r="E14" s="2" t="n"/>
      <c r="F14" s="2" t="n"/>
      <c r="H14" s="39" t="inlineStr">
        <is>
          <t>Lemon 4-pack</t>
        </is>
      </c>
      <c r="I14" s="53">
        <f>SUMIF(CalcFormat,"4-pack",CalcGross)*INDEX(FlavShare,MATCH("Lemon",FlavName,0))</f>
        <v/>
      </c>
      <c r="J14" s="54">
        <f>I14/$B$5</f>
        <v/>
      </c>
      <c r="L14" s="39" t="inlineStr">
        <is>
          <t>Oct 2027</t>
        </is>
      </c>
      <c r="M14" s="53">
        <f>SUMIF(CalcMonth,"Oct 2027",CalcGross)</f>
        <v/>
      </c>
      <c r="N14" s="54">
        <f>M14/$B$5</f>
        <v/>
      </c>
      <c r="P14" s="55" t="n">
        <v>10</v>
      </c>
      <c r="Q14" s="56">
        <f>SUMIF(CalcWeek,P14,CalcGross)</f>
        <v/>
      </c>
      <c r="R14" s="56">
        <f>R13+Q14</f>
        <v/>
      </c>
      <c r="S14" s="57">
        <f>TargetRev</f>
        <v/>
      </c>
      <c r="T14" s="58">
        <f>TargetRev*P14/NWeeks</f>
        <v/>
      </c>
      <c r="U14" s="59">
        <f>SUMIF(CalcWeek,P14,CalcBrandCases)</f>
        <v/>
      </c>
    </row>
    <row r="15">
      <c r="A15" s="49" t="inlineStr">
        <is>
          <t>Gross margin %</t>
        </is>
      </c>
      <c r="B15" s="61">
        <f>B14/B5</f>
        <v/>
      </c>
      <c r="D15" s="4" t="inlineStr">
        <is>
          <t>Item</t>
        </is>
      </c>
      <c r="E15" s="4" t="inlineStr">
        <is>
          <t>Gross $</t>
        </is>
      </c>
      <c r="F15" s="4" t="inlineStr">
        <is>
          <t>% mix</t>
        </is>
      </c>
      <c r="H15" s="39" t="inlineStr">
        <is>
          <t>Lemon 12-pack</t>
        </is>
      </c>
      <c r="I15" s="53">
        <f>SUMIF(CalcFormat,"12-pack",CalcGross)*INDEX(FlavShare,MATCH("Lemon",FlavName,0))</f>
        <v/>
      </c>
      <c r="J15" s="54">
        <f>I15/$B$5</f>
        <v/>
      </c>
      <c r="L15" s="39" t="inlineStr">
        <is>
          <t>Nov 2027</t>
        </is>
      </c>
      <c r="M15" s="53">
        <f>SUMIF(CalcMonth,"Nov 2027",CalcGross)</f>
        <v/>
      </c>
      <c r="N15" s="54">
        <f>M15/$B$5</f>
        <v/>
      </c>
      <c r="P15" s="55" t="n">
        <v>11</v>
      </c>
      <c r="Q15" s="56">
        <f>SUMIF(CalcWeek,P15,CalcGross)</f>
        <v/>
      </c>
      <c r="R15" s="56">
        <f>R14+Q15</f>
        <v/>
      </c>
      <c r="S15" s="57">
        <f>TargetRev</f>
        <v/>
      </c>
      <c r="T15" s="58">
        <f>TargetRev*P15/NWeeks</f>
        <v/>
      </c>
      <c r="U15" s="59">
        <f>SUMIF(CalcWeek,P15,CalcBrandCases)</f>
        <v/>
      </c>
    </row>
    <row r="16">
      <c r="A16" s="49" t="inlineStr">
        <is>
          <t>Wholesale total (ref)</t>
        </is>
      </c>
      <c r="B16" s="60">
        <f>SUM(CalcWholesale)</f>
        <v/>
      </c>
      <c r="D16" s="39" t="inlineStr">
        <is>
          <t>BC</t>
        </is>
      </c>
      <c r="E16" s="53">
        <f>SUMIF(CalcProvince,"BC",CalcGross)</f>
        <v/>
      </c>
      <c r="F16" s="54">
        <f>E16/$B$5</f>
        <v/>
      </c>
      <c r="H16" s="39" t="inlineStr">
        <is>
          <t>Raspberry 4-pack</t>
        </is>
      </c>
      <c r="I16" s="53">
        <f>SUMIF(CalcFormat,"4-pack",CalcGross)*INDEX(FlavShare,MATCH("Raspberry",FlavName,0))</f>
        <v/>
      </c>
      <c r="J16" s="54">
        <f>I16/$B$5</f>
        <v/>
      </c>
      <c r="L16" s="39" t="inlineStr">
        <is>
          <t>Dec 2027</t>
        </is>
      </c>
      <c r="M16" s="53">
        <f>SUMIF(CalcMonth,"Dec 2027",CalcGross)</f>
        <v/>
      </c>
      <c r="N16" s="54">
        <f>M16/$B$5</f>
        <v/>
      </c>
      <c r="P16" s="55" t="n">
        <v>12</v>
      </c>
      <c r="Q16" s="56">
        <f>SUMIF(CalcWeek,P16,CalcGross)</f>
        <v/>
      </c>
      <c r="R16" s="56">
        <f>R15+Q16</f>
        <v/>
      </c>
      <c r="S16" s="57">
        <f>TargetRev</f>
        <v/>
      </c>
      <c r="T16" s="58">
        <f>TargetRev*P16/NWeeks</f>
        <v/>
      </c>
      <c r="U16" s="59">
        <f>SUMIF(CalcWeek,P16,CalcBrandCases)</f>
        <v/>
      </c>
    </row>
    <row r="17">
      <c r="A17" s="49" t="inlineStr">
        <is>
          <t>Sell-through total (ref)</t>
        </is>
      </c>
      <c r="B17" s="60">
        <f>SUM(CalcSellthru)</f>
        <v/>
      </c>
      <c r="D17" s="39" t="inlineStr">
        <is>
          <t>AB</t>
        </is>
      </c>
      <c r="E17" s="53">
        <f>SUMIF(CalcProvince,"AB",CalcGross)</f>
        <v/>
      </c>
      <c r="F17" s="54">
        <f>E17/$B$5</f>
        <v/>
      </c>
      <c r="H17" s="39" t="inlineStr">
        <is>
          <t>Raspberry 12-pack</t>
        </is>
      </c>
      <c r="I17" s="53">
        <f>SUMIF(CalcFormat,"12-pack",CalcGross)*INDEX(FlavShare,MATCH("Raspberry",FlavName,0))</f>
        <v/>
      </c>
      <c r="J17" s="54">
        <f>I17/$B$5</f>
        <v/>
      </c>
      <c r="L17" s="39" t="inlineStr">
        <is>
          <t>Jan 2028</t>
        </is>
      </c>
      <c r="M17" s="53">
        <f>SUMIF(CalcMonth,"Jan 2028",CalcGross)</f>
        <v/>
      </c>
      <c r="N17" s="54">
        <f>M17/$B$5</f>
        <v/>
      </c>
      <c r="P17" s="55" t="n">
        <v>13</v>
      </c>
      <c r="Q17" s="56">
        <f>SUMIF(CalcWeek,P17,CalcGross)</f>
        <v/>
      </c>
      <c r="R17" s="56">
        <f>R16+Q17</f>
        <v/>
      </c>
      <c r="S17" s="57">
        <f>TargetRev</f>
        <v/>
      </c>
      <c r="T17" s="58">
        <f>TargetRev*P17/NWeeks</f>
        <v/>
      </c>
      <c r="U17" s="59">
        <f>SUMIF(CalcWeek,P17,CalcBrandCases)</f>
        <v/>
      </c>
    </row>
    <row r="18">
      <c r="D18" s="39" t="inlineStr">
        <is>
          <t>SK</t>
        </is>
      </c>
      <c r="E18" s="53">
        <f>SUMIF(CalcProvince,"SK",CalcGross)</f>
        <v/>
      </c>
      <c r="F18" s="54">
        <f>E18/$B$5</f>
        <v/>
      </c>
      <c r="H18" s="5" t="inlineStr">
        <is>
          <t>Total</t>
        </is>
      </c>
      <c r="I18" s="62">
        <f>SUM(I12:I17)</f>
        <v/>
      </c>
      <c r="J18" s="63">
        <f>I18/$B$5</f>
        <v/>
      </c>
      <c r="L18" s="39" t="inlineStr">
        <is>
          <t>Feb 2028</t>
        </is>
      </c>
      <c r="M18" s="53">
        <f>SUMIF(CalcMonth,"Feb 2028",CalcGross)</f>
        <v/>
      </c>
      <c r="N18" s="54">
        <f>M18/$B$5</f>
        <v/>
      </c>
      <c r="P18" s="55" t="n">
        <v>14</v>
      </c>
      <c r="Q18" s="56">
        <f>SUMIF(CalcWeek,P18,CalcGross)</f>
        <v/>
      </c>
      <c r="R18" s="56">
        <f>R17+Q18</f>
        <v/>
      </c>
      <c r="S18" s="57">
        <f>TargetRev</f>
        <v/>
      </c>
      <c r="T18" s="58">
        <f>TargetRev*P18/NWeeks</f>
        <v/>
      </c>
      <c r="U18" s="59">
        <f>SUMIF(CalcWeek,P18,CalcBrandCases)</f>
        <v/>
      </c>
    </row>
    <row r="19">
      <c r="D19" s="39" t="inlineStr">
        <is>
          <t>MB</t>
        </is>
      </c>
      <c r="E19" s="53">
        <f>SUMIF(CalcProvince,"MB",CalcGross)</f>
        <v/>
      </c>
      <c r="F19" s="54">
        <f>E19/$B$5</f>
        <v/>
      </c>
      <c r="L19" s="39" t="inlineStr">
        <is>
          <t>Mar 2028</t>
        </is>
      </c>
      <c r="M19" s="53">
        <f>SUMIF(CalcMonth,"Mar 2028",CalcGross)</f>
        <v/>
      </c>
      <c r="N19" s="54">
        <f>M19/$B$5</f>
        <v/>
      </c>
      <c r="P19" s="55" t="n">
        <v>15</v>
      </c>
      <c r="Q19" s="56">
        <f>SUMIF(CalcWeek,P19,CalcGross)</f>
        <v/>
      </c>
      <c r="R19" s="56">
        <f>R18+Q19</f>
        <v/>
      </c>
      <c r="S19" s="57">
        <f>TargetRev</f>
        <v/>
      </c>
      <c r="T19" s="58">
        <f>TargetRev*P19/NWeeks</f>
        <v/>
      </c>
      <c r="U19" s="59">
        <f>SUMIF(CalcWeek,P19,CalcBrandCases)</f>
        <v/>
      </c>
    </row>
    <row r="20" ht="22" customHeight="1">
      <c r="D20" s="39" t="inlineStr">
        <is>
          <t>ON</t>
        </is>
      </c>
      <c r="E20" s="53">
        <f>SUMIF(CalcProvince,"ON",CalcGross)</f>
        <v/>
      </c>
      <c r="F20" s="54">
        <f>E20/$B$5</f>
        <v/>
      </c>
      <c r="H20" s="1" t="inlineStr">
        <is>
          <t>Volume by Channel (cases)</t>
        </is>
      </c>
      <c r="I20" s="2" t="n"/>
      <c r="L20" s="39" t="inlineStr">
        <is>
          <t>Apr 2028</t>
        </is>
      </c>
      <c r="M20" s="53">
        <f>SUMIF(CalcMonth,"Apr 2028",CalcGross)</f>
        <v/>
      </c>
      <c r="N20" s="54">
        <f>M20/$B$5</f>
        <v/>
      </c>
      <c r="P20" s="55" t="n">
        <v>16</v>
      </c>
      <c r="Q20" s="56">
        <f>SUMIF(CalcWeek,P20,CalcGross)</f>
        <v/>
      </c>
      <c r="R20" s="56">
        <f>R19+Q20</f>
        <v/>
      </c>
      <c r="S20" s="57">
        <f>TargetRev</f>
        <v/>
      </c>
      <c r="T20" s="58">
        <f>TargetRev*P20/NWeeks</f>
        <v/>
      </c>
      <c r="U20" s="59">
        <f>SUMIF(CalcWeek,P20,CalcBrandCases)</f>
        <v/>
      </c>
    </row>
    <row r="21">
      <c r="D21" s="39" t="inlineStr">
        <is>
          <t>QC</t>
        </is>
      </c>
      <c r="E21" s="53">
        <f>SUMIF(CalcProvince,"QC",CalcGross)</f>
        <v/>
      </c>
      <c r="F21" s="54">
        <f>E21/$B$5</f>
        <v/>
      </c>
      <c r="H21" s="4" t="inlineStr">
        <is>
          <t>Item</t>
        </is>
      </c>
      <c r="I21" s="4" t="inlineStr">
        <is>
          <t>Gross $</t>
        </is>
      </c>
      <c r="L21" s="39" t="inlineStr">
        <is>
          <t>May 2028</t>
        </is>
      </c>
      <c r="M21" s="53">
        <f>SUMIF(CalcMonth,"May 2028",CalcGross)</f>
        <v/>
      </c>
      <c r="N21" s="54">
        <f>M21/$B$5</f>
        <v/>
      </c>
      <c r="P21" s="55" t="n">
        <v>17</v>
      </c>
      <c r="Q21" s="56">
        <f>SUMIF(CalcWeek,P21,CalcGross)</f>
        <v/>
      </c>
      <c r="R21" s="56">
        <f>R20+Q21</f>
        <v/>
      </c>
      <c r="S21" s="57">
        <f>TargetRev</f>
        <v/>
      </c>
      <c r="T21" s="58">
        <f>TargetRev*P21/NWeeks</f>
        <v/>
      </c>
      <c r="U21" s="59">
        <f>SUMIF(CalcWeek,P21,CalcBrandCases)</f>
        <v/>
      </c>
    </row>
    <row r="22">
      <c r="D22" s="39" t="inlineStr">
        <is>
          <t>NB</t>
        </is>
      </c>
      <c r="E22" s="53">
        <f>SUMIF(CalcProvince,"NB",CalcGross)</f>
        <v/>
      </c>
      <c r="F22" s="54">
        <f>E22/$B$5</f>
        <v/>
      </c>
      <c r="H22" s="39" t="inlineStr">
        <is>
          <t>Convenience</t>
        </is>
      </c>
      <c r="I22" s="65">
        <f>SUMIF(CalcChannel,"Convenience",CalcBrandCases)</f>
        <v/>
      </c>
      <c r="L22" s="39" t="inlineStr">
        <is>
          <t>Jun 2028</t>
        </is>
      </c>
      <c r="M22" s="53">
        <f>SUMIF(CalcMonth,"Jun 2028",CalcGross)</f>
        <v/>
      </c>
      <c r="N22" s="54">
        <f>M22/$B$5</f>
        <v/>
      </c>
      <c r="P22" s="55" t="n">
        <v>18</v>
      </c>
      <c r="Q22" s="56">
        <f>SUMIF(CalcWeek,P22,CalcGross)</f>
        <v/>
      </c>
      <c r="R22" s="56">
        <f>R21+Q22</f>
        <v/>
      </c>
      <c r="S22" s="57">
        <f>TargetRev</f>
        <v/>
      </c>
      <c r="T22" s="58">
        <f>TargetRev*P22/NWeeks</f>
        <v/>
      </c>
      <c r="U22" s="59">
        <f>SUMIF(CalcWeek,P22,CalcBrandCases)</f>
        <v/>
      </c>
    </row>
    <row r="23">
      <c r="D23" s="39" t="inlineStr">
        <is>
          <t>NS</t>
        </is>
      </c>
      <c r="E23" s="53">
        <f>SUMIF(CalcProvince,"NS",CalcGross)</f>
        <v/>
      </c>
      <c r="F23" s="54">
        <f>E23/$B$5</f>
        <v/>
      </c>
      <c r="H23" s="39" t="inlineStr">
        <is>
          <t>On Premise</t>
        </is>
      </c>
      <c r="I23" s="65">
        <f>SUMIF(CalcChannel,"On Premise",CalcBrandCases)</f>
        <v/>
      </c>
      <c r="L23" s="39" t="inlineStr">
        <is>
          <t>Jul 2028</t>
        </is>
      </c>
      <c r="M23" s="53">
        <f>SUMIF(CalcMonth,"Jul 2028",CalcGross)</f>
        <v/>
      </c>
      <c r="N23" s="54">
        <f>M23/$B$5</f>
        <v/>
      </c>
      <c r="P23" s="55" t="n">
        <v>19</v>
      </c>
      <c r="Q23" s="56">
        <f>SUMIF(CalcWeek,P23,CalcGross)</f>
        <v/>
      </c>
      <c r="R23" s="56">
        <f>R22+Q23</f>
        <v/>
      </c>
      <c r="S23" s="57">
        <f>TargetRev</f>
        <v/>
      </c>
      <c r="T23" s="58">
        <f>TargetRev*P23/NWeeks</f>
        <v/>
      </c>
      <c r="U23" s="59">
        <f>SUMIF(CalcWeek,P23,CalcBrandCases)</f>
        <v/>
      </c>
    </row>
    <row r="24">
      <c r="D24" s="39" t="inlineStr">
        <is>
          <t>PE</t>
        </is>
      </c>
      <c r="E24" s="53">
        <f>SUMIF(CalcProvince,"PE",CalcGross)</f>
        <v/>
      </c>
      <c r="F24" s="54">
        <f>E24/$B$5</f>
        <v/>
      </c>
      <c r="H24" s="39" t="inlineStr">
        <is>
          <t>Fitness</t>
        </is>
      </c>
      <c r="I24" s="65">
        <f>SUMIF(CalcChannel,"Fitness",CalcBrandCases)</f>
        <v/>
      </c>
      <c r="L24" s="39" t="inlineStr">
        <is>
          <t>Aug 2028</t>
        </is>
      </c>
      <c r="M24" s="53">
        <f>SUMIF(CalcMonth,"Aug 2028",CalcGross)</f>
        <v/>
      </c>
      <c r="N24" s="54">
        <f>M24/$B$5</f>
        <v/>
      </c>
      <c r="P24" s="55" t="n">
        <v>20</v>
      </c>
      <c r="Q24" s="56">
        <f>SUMIF(CalcWeek,P24,CalcGross)</f>
        <v/>
      </c>
      <c r="R24" s="56">
        <f>R23+Q24</f>
        <v/>
      </c>
      <c r="S24" s="57">
        <f>TargetRev</f>
        <v/>
      </c>
      <c r="T24" s="58">
        <f>TargetRev*P24/NWeeks</f>
        <v/>
      </c>
      <c r="U24" s="59">
        <f>SUMIF(CalcWeek,P24,CalcBrandCases)</f>
        <v/>
      </c>
    </row>
    <row r="25">
      <c r="D25" s="39" t="inlineStr">
        <is>
          <t>NL</t>
        </is>
      </c>
      <c r="E25" s="53">
        <f>SUMIF(CalcProvince,"NL",CalcGross)</f>
        <v/>
      </c>
      <c r="F25" s="54">
        <f>E25/$B$5</f>
        <v/>
      </c>
      <c r="H25" s="39" t="inlineStr">
        <is>
          <t>Costco</t>
        </is>
      </c>
      <c r="I25" s="65">
        <f>SUMIF(CalcChannel,"Costco",CalcBrandCases)</f>
        <v/>
      </c>
      <c r="P25" s="55" t="n">
        <v>21</v>
      </c>
      <c r="Q25" s="56">
        <f>SUMIF(CalcWeek,P25,CalcGross)</f>
        <v/>
      </c>
      <c r="R25" s="56">
        <f>R24+Q25</f>
        <v/>
      </c>
      <c r="S25" s="57">
        <f>TargetRev</f>
        <v/>
      </c>
      <c r="T25" s="58">
        <f>TargetRev*P25/NWeeks</f>
        <v/>
      </c>
      <c r="U25" s="59">
        <f>SUMIF(CalcWeek,P25,CalcBrandCases)</f>
        <v/>
      </c>
    </row>
    <row r="26">
      <c r="D26" s="5" t="inlineStr">
        <is>
          <t>Total</t>
        </is>
      </c>
      <c r="E26" s="62">
        <f>SUM(E16:E25)</f>
        <v/>
      </c>
      <c r="F26" s="63">
        <f>E26/$B$5</f>
        <v/>
      </c>
      <c r="H26" s="39" t="inlineStr">
        <is>
          <t>FDM</t>
        </is>
      </c>
      <c r="I26" s="65">
        <f>SUMIF(CalcChannel,"FDM",CalcBrandCases)</f>
        <v/>
      </c>
      <c r="P26" s="55" t="n">
        <v>22</v>
      </c>
      <c r="Q26" s="56">
        <f>SUMIF(CalcWeek,P26,CalcGross)</f>
        <v/>
      </c>
      <c r="R26" s="56">
        <f>R25+Q26</f>
        <v/>
      </c>
      <c r="S26" s="57">
        <f>TargetRev</f>
        <v/>
      </c>
      <c r="T26" s="58">
        <f>TargetRev*P26/NWeeks</f>
        <v/>
      </c>
      <c r="U26" s="59">
        <f>SUMIF(CalcWeek,P26,CalcBrandCases)</f>
        <v/>
      </c>
    </row>
    <row r="27">
      <c r="H27" s="39" t="inlineStr">
        <is>
          <t>Specialty</t>
        </is>
      </c>
      <c r="I27" s="65">
        <f>SUMIF(CalcChannel,"Specialty",CalcBrandCases)</f>
        <v/>
      </c>
      <c r="P27" s="55" t="n">
        <v>23</v>
      </c>
      <c r="Q27" s="56">
        <f>SUMIF(CalcWeek,P27,CalcGross)</f>
        <v/>
      </c>
      <c r="R27" s="56">
        <f>R26+Q27</f>
        <v/>
      </c>
      <c r="S27" s="57">
        <f>TargetRev</f>
        <v/>
      </c>
      <c r="T27" s="58">
        <f>TargetRev*P27/NWeeks</f>
        <v/>
      </c>
      <c r="U27" s="59">
        <f>SUMIF(CalcWeek,P27,CalcBrandCases)</f>
        <v/>
      </c>
    </row>
    <row r="28" ht="22" customHeight="1">
      <c r="D28" s="1" t="inlineStr">
        <is>
          <t>By Store Tier (physical channels)</t>
        </is>
      </c>
      <c r="E28" s="2" t="n"/>
      <c r="F28" s="2" t="n"/>
      <c r="H28" s="39" t="inlineStr">
        <is>
          <t>Online</t>
        </is>
      </c>
      <c r="I28" s="65">
        <f>SUMIF(CalcChannel,"Online",CalcBrandCases)</f>
        <v/>
      </c>
      <c r="P28" s="55" t="n">
        <v>24</v>
      </c>
      <c r="Q28" s="56">
        <f>SUMIF(CalcWeek,P28,CalcGross)</f>
        <v/>
      </c>
      <c r="R28" s="56">
        <f>R27+Q28</f>
        <v/>
      </c>
      <c r="S28" s="57">
        <f>TargetRev</f>
        <v/>
      </c>
      <c r="T28" s="58">
        <f>TargetRev*P28/NWeeks</f>
        <v/>
      </c>
      <c r="U28" s="59">
        <f>SUMIF(CalcWeek,P28,CalcBrandCases)</f>
        <v/>
      </c>
    </row>
    <row r="29">
      <c r="D29" s="4" t="inlineStr">
        <is>
          <t>Item</t>
        </is>
      </c>
      <c r="E29" s="4" t="inlineStr">
        <is>
          <t>Gross $</t>
        </is>
      </c>
      <c r="F29" s="4" t="inlineStr">
        <is>
          <t>% mix</t>
        </is>
      </c>
      <c r="H29" s="5" t="inlineStr">
        <is>
          <t>Total</t>
        </is>
      </c>
      <c r="I29" s="66">
        <f>SUM(I22:I28)</f>
        <v/>
      </c>
      <c r="P29" s="55" t="n">
        <v>25</v>
      </c>
      <c r="Q29" s="56">
        <f>SUMIF(CalcWeek,P29,CalcGross)</f>
        <v/>
      </c>
      <c r="R29" s="56">
        <f>R28+Q29</f>
        <v/>
      </c>
      <c r="S29" s="57">
        <f>TargetRev</f>
        <v/>
      </c>
      <c r="T29" s="58">
        <f>TargetRev*P29/NWeeks</f>
        <v/>
      </c>
      <c r="U29" s="59">
        <f>SUMIF(CalcWeek,P29,CalcBrandCases)</f>
        <v/>
      </c>
    </row>
    <row r="30">
      <c r="D30" s="39" t="inlineStr">
        <is>
          <t>Convenience A</t>
        </is>
      </c>
      <c r="E30" s="53">
        <f>SUMIF(CalcChannel,"Convenience",CalcGross)*SUMIFS(TierDoorVel,TierChannel,"Convenience",TierTier,"A")/SUMIF(TierChannel,"Convenience",TierDoorVel)</f>
        <v/>
      </c>
      <c r="F30" s="54">
        <f>E30/$B$5</f>
        <v/>
      </c>
      <c r="P30" s="55" t="n">
        <v>26</v>
      </c>
      <c r="Q30" s="56">
        <f>SUMIF(CalcWeek,P30,CalcGross)</f>
        <v/>
      </c>
      <c r="R30" s="56">
        <f>R29+Q30</f>
        <v/>
      </c>
      <c r="S30" s="57">
        <f>TargetRev</f>
        <v/>
      </c>
      <c r="T30" s="58">
        <f>TargetRev*P30/NWeeks</f>
        <v/>
      </c>
      <c r="U30" s="59">
        <f>SUMIF(CalcWeek,P30,CalcBrandCases)</f>
        <v/>
      </c>
    </row>
    <row r="31">
      <c r="D31" s="39" t="inlineStr">
        <is>
          <t>Convenience B</t>
        </is>
      </c>
      <c r="E31" s="53">
        <f>SUMIF(CalcChannel,"Convenience",CalcGross)*SUMIFS(TierDoorVel,TierChannel,"Convenience",TierTier,"B")/SUMIF(TierChannel,"Convenience",TierDoorVel)</f>
        <v/>
      </c>
      <c r="F31" s="54">
        <f>E31/$B$5</f>
        <v/>
      </c>
      <c r="P31" s="55" t="n">
        <v>27</v>
      </c>
      <c r="Q31" s="56">
        <f>SUMIF(CalcWeek,P31,CalcGross)</f>
        <v/>
      </c>
      <c r="R31" s="56">
        <f>R30+Q31</f>
        <v/>
      </c>
      <c r="S31" s="57">
        <f>TargetRev</f>
        <v/>
      </c>
      <c r="T31" s="58">
        <f>TargetRev*P31/NWeeks</f>
        <v/>
      </c>
      <c r="U31" s="59">
        <f>SUMIF(CalcWeek,P31,CalcBrandCases)</f>
        <v/>
      </c>
    </row>
    <row r="32">
      <c r="D32" s="39" t="inlineStr">
        <is>
          <t>Convenience C</t>
        </is>
      </c>
      <c r="E32" s="53">
        <f>SUMIF(CalcChannel,"Convenience",CalcGross)*SUMIFS(TierDoorVel,TierChannel,"Convenience",TierTier,"C")/SUMIF(TierChannel,"Convenience",TierDoorVel)</f>
        <v/>
      </c>
      <c r="F32" s="54">
        <f>E32/$B$5</f>
        <v/>
      </c>
      <c r="P32" s="55" t="n">
        <v>28</v>
      </c>
      <c r="Q32" s="56">
        <f>SUMIF(CalcWeek,P32,CalcGross)</f>
        <v/>
      </c>
      <c r="R32" s="56">
        <f>R31+Q32</f>
        <v/>
      </c>
      <c r="S32" s="57">
        <f>TargetRev</f>
        <v/>
      </c>
      <c r="T32" s="58">
        <f>TargetRev*P32/NWeeks</f>
        <v/>
      </c>
      <c r="U32" s="59">
        <f>SUMIF(CalcWeek,P32,CalcBrandCases)</f>
        <v/>
      </c>
    </row>
    <row r="33">
      <c r="D33" s="39" t="inlineStr">
        <is>
          <t>FDM A</t>
        </is>
      </c>
      <c r="E33" s="53">
        <f>SUMIF(CalcChannel,"FDM",CalcGross)*SUMIFS(TierDoorVel,TierChannel,"FDM",TierTier,"A")/SUMIF(TierChannel,"FDM",TierDoorVel)</f>
        <v/>
      </c>
      <c r="F33" s="54">
        <f>E33/$B$5</f>
        <v/>
      </c>
      <c r="P33" s="55" t="n">
        <v>29</v>
      </c>
      <c r="Q33" s="56">
        <f>SUMIF(CalcWeek,P33,CalcGross)</f>
        <v/>
      </c>
      <c r="R33" s="56">
        <f>R32+Q33</f>
        <v/>
      </c>
      <c r="S33" s="57">
        <f>TargetRev</f>
        <v/>
      </c>
      <c r="T33" s="58">
        <f>TargetRev*P33/NWeeks</f>
        <v/>
      </c>
      <c r="U33" s="59">
        <f>SUMIF(CalcWeek,P33,CalcBrandCases)</f>
        <v/>
      </c>
    </row>
    <row r="34">
      <c r="D34" s="39" t="inlineStr">
        <is>
          <t>FDM B</t>
        </is>
      </c>
      <c r="E34" s="53">
        <f>SUMIF(CalcChannel,"FDM",CalcGross)*SUMIFS(TierDoorVel,TierChannel,"FDM",TierTier,"B")/SUMIF(TierChannel,"FDM",TierDoorVel)</f>
        <v/>
      </c>
      <c r="F34" s="54">
        <f>E34/$B$5</f>
        <v/>
      </c>
      <c r="P34" s="55" t="n">
        <v>30</v>
      </c>
      <c r="Q34" s="56">
        <f>SUMIF(CalcWeek,P34,CalcGross)</f>
        <v/>
      </c>
      <c r="R34" s="56">
        <f>R33+Q34</f>
        <v/>
      </c>
      <c r="S34" s="57">
        <f>TargetRev</f>
        <v/>
      </c>
      <c r="T34" s="58">
        <f>TargetRev*P34/NWeeks</f>
        <v/>
      </c>
      <c r="U34" s="59">
        <f>SUMIF(CalcWeek,P34,CalcBrandCases)</f>
        <v/>
      </c>
    </row>
    <row r="35">
      <c r="D35" s="39" t="inlineStr">
        <is>
          <t>FDM C</t>
        </is>
      </c>
      <c r="E35" s="53">
        <f>SUMIF(CalcChannel,"FDM",CalcGross)*SUMIFS(TierDoorVel,TierChannel,"FDM",TierTier,"C")/SUMIF(TierChannel,"FDM",TierDoorVel)</f>
        <v/>
      </c>
      <c r="F35" s="54">
        <f>E35/$B$5</f>
        <v/>
      </c>
      <c r="P35" s="55" t="n">
        <v>31</v>
      </c>
      <c r="Q35" s="56">
        <f>SUMIF(CalcWeek,P35,CalcGross)</f>
        <v/>
      </c>
      <c r="R35" s="56">
        <f>R34+Q35</f>
        <v/>
      </c>
      <c r="S35" s="57">
        <f>TargetRev</f>
        <v/>
      </c>
      <c r="T35" s="58">
        <f>TargetRev*P35/NWeeks</f>
        <v/>
      </c>
      <c r="U35" s="59">
        <f>SUMIF(CalcWeek,P35,CalcBrandCases)</f>
        <v/>
      </c>
    </row>
    <row r="36">
      <c r="D36" s="39" t="inlineStr">
        <is>
          <t>Costco A</t>
        </is>
      </c>
      <c r="E36" s="53">
        <f>SUMIF(CalcChannel,"Costco",CalcGross)*SUMIFS(TierDoorVel,TierChannel,"Costco",TierTier,"A")/SUMIF(TierChannel,"Costco",TierDoorVel)</f>
        <v/>
      </c>
      <c r="F36" s="54">
        <f>E36/$B$5</f>
        <v/>
      </c>
      <c r="P36" s="55" t="n">
        <v>32</v>
      </c>
      <c r="Q36" s="56">
        <f>SUMIF(CalcWeek,P36,CalcGross)</f>
        <v/>
      </c>
      <c r="R36" s="56">
        <f>R35+Q36</f>
        <v/>
      </c>
      <c r="S36" s="57">
        <f>TargetRev</f>
        <v/>
      </c>
      <c r="T36" s="58">
        <f>TargetRev*P36/NWeeks</f>
        <v/>
      </c>
      <c r="U36" s="59">
        <f>SUMIF(CalcWeek,P36,CalcBrandCases)</f>
        <v/>
      </c>
    </row>
    <row r="37">
      <c r="D37" s="39" t="inlineStr">
        <is>
          <t>Costco B</t>
        </is>
      </c>
      <c r="E37" s="53">
        <f>SUMIF(CalcChannel,"Costco",CalcGross)*SUMIFS(TierDoorVel,TierChannel,"Costco",TierTier,"B")/SUMIF(TierChannel,"Costco",TierDoorVel)</f>
        <v/>
      </c>
      <c r="F37" s="54">
        <f>E37/$B$5</f>
        <v/>
      </c>
      <c r="P37" s="55" t="n">
        <v>33</v>
      </c>
      <c r="Q37" s="56">
        <f>SUMIF(CalcWeek,P37,CalcGross)</f>
        <v/>
      </c>
      <c r="R37" s="56">
        <f>R36+Q37</f>
        <v/>
      </c>
      <c r="S37" s="57">
        <f>TargetRev</f>
        <v/>
      </c>
      <c r="T37" s="58">
        <f>TargetRev*P37/NWeeks</f>
        <v/>
      </c>
      <c r="U37" s="59">
        <f>SUMIF(CalcWeek,P37,CalcBrandCases)</f>
        <v/>
      </c>
    </row>
    <row r="38">
      <c r="D38" s="39" t="inlineStr">
        <is>
          <t>Costco C</t>
        </is>
      </c>
      <c r="E38" s="53">
        <f>SUMIF(CalcChannel,"Costco",CalcGross)*SUMIFS(TierDoorVel,TierChannel,"Costco",TierTier,"C")/SUMIF(TierChannel,"Costco",TierDoorVel)</f>
        <v/>
      </c>
      <c r="F38" s="54">
        <f>E38/$B$5</f>
        <v/>
      </c>
      <c r="P38" s="55" t="n">
        <v>34</v>
      </c>
      <c r="Q38" s="56">
        <f>SUMIF(CalcWeek,P38,CalcGross)</f>
        <v/>
      </c>
      <c r="R38" s="56">
        <f>R37+Q38</f>
        <v/>
      </c>
      <c r="S38" s="57">
        <f>TargetRev</f>
        <v/>
      </c>
      <c r="T38" s="58">
        <f>TargetRev*P38/NWeeks</f>
        <v/>
      </c>
      <c r="U38" s="59">
        <f>SUMIF(CalcWeek,P38,CalcBrandCases)</f>
        <v/>
      </c>
    </row>
    <row r="39">
      <c r="D39" s="39" t="inlineStr">
        <is>
          <t>On Premise A</t>
        </is>
      </c>
      <c r="E39" s="53">
        <f>SUMIF(CalcChannel,"On Premise",CalcGross)*SUMIFS(TierDoorVel,TierChannel,"On Premise",TierTier,"A")/SUMIF(TierChannel,"On Premise",TierDoorVel)</f>
        <v/>
      </c>
      <c r="F39" s="54">
        <f>E39/$B$5</f>
        <v/>
      </c>
      <c r="P39" s="55" t="n">
        <v>35</v>
      </c>
      <c r="Q39" s="56">
        <f>SUMIF(CalcWeek,P39,CalcGross)</f>
        <v/>
      </c>
      <c r="R39" s="56">
        <f>R38+Q39</f>
        <v/>
      </c>
      <c r="S39" s="57">
        <f>TargetRev</f>
        <v/>
      </c>
      <c r="T39" s="58">
        <f>TargetRev*P39/NWeeks</f>
        <v/>
      </c>
      <c r="U39" s="59">
        <f>SUMIF(CalcWeek,P39,CalcBrandCases)</f>
        <v/>
      </c>
    </row>
    <row r="40">
      <c r="D40" s="39" t="inlineStr">
        <is>
          <t>On Premise B</t>
        </is>
      </c>
      <c r="E40" s="53">
        <f>SUMIF(CalcChannel,"On Premise",CalcGross)*SUMIFS(TierDoorVel,TierChannel,"On Premise",TierTier,"B")/SUMIF(TierChannel,"On Premise",TierDoorVel)</f>
        <v/>
      </c>
      <c r="F40" s="54">
        <f>E40/$B$5</f>
        <v/>
      </c>
      <c r="P40" s="55" t="n">
        <v>36</v>
      </c>
      <c r="Q40" s="56">
        <f>SUMIF(CalcWeek,P40,CalcGross)</f>
        <v/>
      </c>
      <c r="R40" s="56">
        <f>R39+Q40</f>
        <v/>
      </c>
      <c r="S40" s="57">
        <f>TargetRev</f>
        <v/>
      </c>
      <c r="T40" s="58">
        <f>TargetRev*P40/NWeeks</f>
        <v/>
      </c>
      <c r="U40" s="59">
        <f>SUMIF(CalcWeek,P40,CalcBrandCases)</f>
        <v/>
      </c>
    </row>
    <row r="41">
      <c r="D41" s="39" t="inlineStr">
        <is>
          <t>On Premise C</t>
        </is>
      </c>
      <c r="E41" s="53">
        <f>SUMIF(CalcChannel,"On Premise",CalcGross)*SUMIFS(TierDoorVel,TierChannel,"On Premise",TierTier,"C")/SUMIF(TierChannel,"On Premise",TierDoorVel)</f>
        <v/>
      </c>
      <c r="F41" s="54">
        <f>E41/$B$5</f>
        <v/>
      </c>
      <c r="P41" s="55" t="n">
        <v>37</v>
      </c>
      <c r="Q41" s="56">
        <f>SUMIF(CalcWeek,P41,CalcGross)</f>
        <v/>
      </c>
      <c r="R41" s="56">
        <f>R40+Q41</f>
        <v/>
      </c>
      <c r="S41" s="57">
        <f>TargetRev</f>
        <v/>
      </c>
      <c r="T41" s="58">
        <f>TargetRev*P41/NWeeks</f>
        <v/>
      </c>
      <c r="U41" s="59">
        <f>SUMIF(CalcWeek,P41,CalcBrandCases)</f>
        <v/>
      </c>
    </row>
    <row r="42">
      <c r="D42" s="39" t="inlineStr">
        <is>
          <t>Fitness A</t>
        </is>
      </c>
      <c r="E42" s="53">
        <f>SUMIF(CalcChannel,"Fitness",CalcGross)*SUMIFS(TierDoorVel,TierChannel,"Fitness",TierTier,"A")/SUMIF(TierChannel,"Fitness",TierDoorVel)</f>
        <v/>
      </c>
      <c r="F42" s="54">
        <f>E42/$B$5</f>
        <v/>
      </c>
      <c r="P42" s="55" t="n">
        <v>38</v>
      </c>
      <c r="Q42" s="56">
        <f>SUMIF(CalcWeek,P42,CalcGross)</f>
        <v/>
      </c>
      <c r="R42" s="56">
        <f>R41+Q42</f>
        <v/>
      </c>
      <c r="S42" s="57">
        <f>TargetRev</f>
        <v/>
      </c>
      <c r="T42" s="58">
        <f>TargetRev*P42/NWeeks</f>
        <v/>
      </c>
      <c r="U42" s="59">
        <f>SUMIF(CalcWeek,P42,CalcBrandCases)</f>
        <v/>
      </c>
    </row>
    <row r="43">
      <c r="D43" s="39" t="inlineStr">
        <is>
          <t>Fitness B</t>
        </is>
      </c>
      <c r="E43" s="53">
        <f>SUMIF(CalcChannel,"Fitness",CalcGross)*SUMIFS(TierDoorVel,TierChannel,"Fitness",TierTier,"B")/SUMIF(TierChannel,"Fitness",TierDoorVel)</f>
        <v/>
      </c>
      <c r="F43" s="54">
        <f>E43/$B$5</f>
        <v/>
      </c>
      <c r="P43" s="55" t="n">
        <v>39</v>
      </c>
      <c r="Q43" s="56">
        <f>SUMIF(CalcWeek,P43,CalcGross)</f>
        <v/>
      </c>
      <c r="R43" s="56">
        <f>R42+Q43</f>
        <v/>
      </c>
      <c r="S43" s="57">
        <f>TargetRev</f>
        <v/>
      </c>
      <c r="T43" s="58">
        <f>TargetRev*P43/NWeeks</f>
        <v/>
      </c>
      <c r="U43" s="59">
        <f>SUMIF(CalcWeek,P43,CalcBrandCases)</f>
        <v/>
      </c>
    </row>
    <row r="44">
      <c r="D44" s="39" t="inlineStr">
        <is>
          <t>Fitness C</t>
        </is>
      </c>
      <c r="E44" s="53">
        <f>SUMIF(CalcChannel,"Fitness",CalcGross)*SUMIFS(TierDoorVel,TierChannel,"Fitness",TierTier,"C")/SUMIF(TierChannel,"Fitness",TierDoorVel)</f>
        <v/>
      </c>
      <c r="F44" s="54">
        <f>E44/$B$5</f>
        <v/>
      </c>
      <c r="P44" s="55" t="n">
        <v>40</v>
      </c>
      <c r="Q44" s="56">
        <f>SUMIF(CalcWeek,P44,CalcGross)</f>
        <v/>
      </c>
      <c r="R44" s="56">
        <f>R43+Q44</f>
        <v/>
      </c>
      <c r="S44" s="57">
        <f>TargetRev</f>
        <v/>
      </c>
      <c r="T44" s="58">
        <f>TargetRev*P44/NWeeks</f>
        <v/>
      </c>
      <c r="U44" s="59">
        <f>SUMIF(CalcWeek,P44,CalcBrandCases)</f>
        <v/>
      </c>
    </row>
    <row r="45">
      <c r="D45" s="39" t="inlineStr">
        <is>
          <t>Specialty A</t>
        </is>
      </c>
      <c r="E45" s="53">
        <f>SUMIF(CalcChannel,"Specialty",CalcGross)*SUMIFS(TierDoorVel,TierChannel,"Specialty",TierTier,"A")/SUMIF(TierChannel,"Specialty",TierDoorVel)</f>
        <v/>
      </c>
      <c r="F45" s="54">
        <f>E45/$B$5</f>
        <v/>
      </c>
      <c r="P45" s="55" t="n">
        <v>41</v>
      </c>
      <c r="Q45" s="56">
        <f>SUMIF(CalcWeek,P45,CalcGross)</f>
        <v/>
      </c>
      <c r="R45" s="56">
        <f>R44+Q45</f>
        <v/>
      </c>
      <c r="S45" s="57">
        <f>TargetRev</f>
        <v/>
      </c>
      <c r="T45" s="58">
        <f>TargetRev*P45/NWeeks</f>
        <v/>
      </c>
      <c r="U45" s="59">
        <f>SUMIF(CalcWeek,P45,CalcBrandCases)</f>
        <v/>
      </c>
    </row>
    <row r="46">
      <c r="D46" s="39" t="inlineStr">
        <is>
          <t>Specialty B</t>
        </is>
      </c>
      <c r="E46" s="53">
        <f>SUMIF(CalcChannel,"Specialty",CalcGross)*SUMIFS(TierDoorVel,TierChannel,"Specialty",TierTier,"B")/SUMIF(TierChannel,"Specialty",TierDoorVel)</f>
        <v/>
      </c>
      <c r="F46" s="54">
        <f>E46/$B$5</f>
        <v/>
      </c>
      <c r="P46" s="55" t="n">
        <v>42</v>
      </c>
      <c r="Q46" s="56">
        <f>SUMIF(CalcWeek,P46,CalcGross)</f>
        <v/>
      </c>
      <c r="R46" s="56">
        <f>R45+Q46</f>
        <v/>
      </c>
      <c r="S46" s="57">
        <f>TargetRev</f>
        <v/>
      </c>
      <c r="T46" s="58">
        <f>TargetRev*P46/NWeeks</f>
        <v/>
      </c>
      <c r="U46" s="59">
        <f>SUMIF(CalcWeek,P46,CalcBrandCases)</f>
        <v/>
      </c>
    </row>
    <row r="47">
      <c r="D47" s="39" t="inlineStr">
        <is>
          <t>Specialty C</t>
        </is>
      </c>
      <c r="E47" s="53">
        <f>SUMIF(CalcChannel,"Specialty",CalcGross)*SUMIFS(TierDoorVel,TierChannel,"Specialty",TierTier,"C")/SUMIF(TierChannel,"Specialty",TierDoorVel)</f>
        <v/>
      </c>
      <c r="F47" s="54">
        <f>E47/$B$5</f>
        <v/>
      </c>
      <c r="P47" s="55" t="n">
        <v>43</v>
      </c>
      <c r="Q47" s="56">
        <f>SUMIF(CalcWeek,P47,CalcGross)</f>
        <v/>
      </c>
      <c r="R47" s="56">
        <f>R46+Q47</f>
        <v/>
      </c>
      <c r="S47" s="57">
        <f>TargetRev</f>
        <v/>
      </c>
      <c r="T47" s="58">
        <f>TargetRev*P47/NWeeks</f>
        <v/>
      </c>
      <c r="U47" s="59">
        <f>SUMIF(CalcWeek,P47,CalcBrandCases)</f>
        <v/>
      </c>
    </row>
    <row r="48">
      <c r="D48" s="5" t="inlineStr">
        <is>
          <t>Total</t>
        </is>
      </c>
      <c r="E48" s="62">
        <f>SUM(E30:E47)</f>
        <v/>
      </c>
      <c r="F48" s="63">
        <f>E48/$B$5</f>
        <v/>
      </c>
      <c r="P48" s="55" t="n">
        <v>44</v>
      </c>
      <c r="Q48" s="56">
        <f>SUMIF(CalcWeek,P48,CalcGross)</f>
        <v/>
      </c>
      <c r="R48" s="56">
        <f>R47+Q48</f>
        <v/>
      </c>
      <c r="S48" s="57">
        <f>TargetRev</f>
        <v/>
      </c>
      <c r="T48" s="58">
        <f>TargetRev*P48/NWeeks</f>
        <v/>
      </c>
      <c r="U48" s="59">
        <f>SUMIF(CalcWeek,P48,CalcBrandCases)</f>
        <v/>
      </c>
    </row>
    <row r="49">
      <c r="P49" s="55" t="n">
        <v>45</v>
      </c>
      <c r="Q49" s="56">
        <f>SUMIF(CalcWeek,P49,CalcGross)</f>
        <v/>
      </c>
      <c r="R49" s="56">
        <f>R48+Q49</f>
        <v/>
      </c>
      <c r="S49" s="57">
        <f>TargetRev</f>
        <v/>
      </c>
      <c r="T49" s="58">
        <f>TargetRev*P49/NWeeks</f>
        <v/>
      </c>
      <c r="U49" s="59">
        <f>SUMIF(CalcWeek,P49,CalcBrandCases)</f>
        <v/>
      </c>
    </row>
    <row r="50">
      <c r="P50" s="55" t="n">
        <v>46</v>
      </c>
      <c r="Q50" s="56">
        <f>SUMIF(CalcWeek,P50,CalcGross)</f>
        <v/>
      </c>
      <c r="R50" s="56">
        <f>R49+Q50</f>
        <v/>
      </c>
      <c r="S50" s="57">
        <f>TargetRev</f>
        <v/>
      </c>
      <c r="T50" s="58">
        <f>TargetRev*P50/NWeeks</f>
        <v/>
      </c>
      <c r="U50" s="59">
        <f>SUMIF(CalcWeek,P50,CalcBrandCases)</f>
        <v/>
      </c>
    </row>
    <row r="51">
      <c r="P51" s="55" t="n">
        <v>47</v>
      </c>
      <c r="Q51" s="56">
        <f>SUMIF(CalcWeek,P51,CalcGross)</f>
        <v/>
      </c>
      <c r="R51" s="56">
        <f>R50+Q51</f>
        <v/>
      </c>
      <c r="S51" s="57">
        <f>TargetRev</f>
        <v/>
      </c>
      <c r="T51" s="58">
        <f>TargetRev*P51/NWeeks</f>
        <v/>
      </c>
      <c r="U51" s="59">
        <f>SUMIF(CalcWeek,P51,CalcBrandCases)</f>
        <v/>
      </c>
    </row>
    <row r="52">
      <c r="P52" s="55" t="n">
        <v>48</v>
      </c>
      <c r="Q52" s="56">
        <f>SUMIF(CalcWeek,P52,CalcGross)</f>
        <v/>
      </c>
      <c r="R52" s="56">
        <f>R51+Q52</f>
        <v/>
      </c>
      <c r="S52" s="57">
        <f>TargetRev</f>
        <v/>
      </c>
      <c r="T52" s="58">
        <f>TargetRev*P52/NWeeks</f>
        <v/>
      </c>
      <c r="U52" s="59">
        <f>SUMIF(CalcWeek,P52,CalcBrandCases)</f>
        <v/>
      </c>
    </row>
    <row r="53">
      <c r="P53" s="55" t="n">
        <v>49</v>
      </c>
      <c r="Q53" s="56">
        <f>SUMIF(CalcWeek,P53,CalcGross)</f>
        <v/>
      </c>
      <c r="R53" s="56">
        <f>R52+Q53</f>
        <v/>
      </c>
      <c r="S53" s="57">
        <f>TargetRev</f>
        <v/>
      </c>
      <c r="T53" s="58">
        <f>TargetRev*P53/NWeeks</f>
        <v/>
      </c>
      <c r="U53" s="59">
        <f>SUMIF(CalcWeek,P53,CalcBrandCases)</f>
        <v/>
      </c>
    </row>
    <row r="54">
      <c r="P54" s="55" t="n">
        <v>50</v>
      </c>
      <c r="Q54" s="56">
        <f>SUMIF(CalcWeek,P54,CalcGross)</f>
        <v/>
      </c>
      <c r="R54" s="56">
        <f>R53+Q54</f>
        <v/>
      </c>
      <c r="S54" s="57">
        <f>TargetRev</f>
        <v/>
      </c>
      <c r="T54" s="58">
        <f>TargetRev*P54/NWeeks</f>
        <v/>
      </c>
      <c r="U54" s="59">
        <f>SUMIF(CalcWeek,P54,CalcBrandCases)</f>
        <v/>
      </c>
    </row>
    <row r="55">
      <c r="P55" s="55" t="n">
        <v>51</v>
      </c>
      <c r="Q55" s="56">
        <f>SUMIF(CalcWeek,P55,CalcGross)</f>
        <v/>
      </c>
      <c r="R55" s="56">
        <f>R54+Q55</f>
        <v/>
      </c>
      <c r="S55" s="57">
        <f>TargetRev</f>
        <v/>
      </c>
      <c r="T55" s="58">
        <f>TargetRev*P55/NWeeks</f>
        <v/>
      </c>
      <c r="U55" s="59">
        <f>SUMIF(CalcWeek,P55,CalcBrandCases)</f>
        <v/>
      </c>
    </row>
    <row r="56">
      <c r="P56" s="55" t="n">
        <v>52</v>
      </c>
      <c r="Q56" s="56">
        <f>SUMIF(CalcWeek,P56,CalcGross)</f>
        <v/>
      </c>
      <c r="R56" s="56">
        <f>R55+Q56</f>
        <v/>
      </c>
      <c r="S56" s="57">
        <f>TargetRev</f>
        <v/>
      </c>
      <c r="T56" s="58">
        <f>TargetRev*P56/NWeeks</f>
        <v/>
      </c>
      <c r="U56" s="59">
        <f>SUMIF(CalcWeek,P56,CalcBrandCases)</f>
        <v/>
      </c>
    </row>
    <row r="57">
      <c r="P57" s="55" t="n">
        <v>53</v>
      </c>
      <c r="Q57" s="56">
        <f>SUMIF(CalcWeek,P57,CalcGross)</f>
        <v/>
      </c>
      <c r="R57" s="56">
        <f>R56+Q57</f>
        <v/>
      </c>
      <c r="S57" s="57">
        <f>TargetRev</f>
        <v/>
      </c>
      <c r="T57" s="58">
        <f>TargetRev*P57/NWeeks</f>
        <v/>
      </c>
      <c r="U57" s="59">
        <f>SUMIF(CalcWeek,P57,CalcBrandCases)</f>
        <v/>
      </c>
    </row>
  </sheetData>
  <mergeCells count="10">
    <mergeCell ref="D14:F14"/>
    <mergeCell ref="H10:J10"/>
    <mergeCell ref="L11:N11"/>
    <mergeCell ref="D28:F28"/>
    <mergeCell ref="H20:I20"/>
    <mergeCell ref="D3:F3"/>
    <mergeCell ref="H3:J3"/>
    <mergeCell ref="P3:U3"/>
    <mergeCell ref="L3:N3"/>
    <mergeCell ref="A1:N1"/>
  </mergeCells>
  <conditionalFormatting sqref="B5">
    <cfRule type="expression" priority="1" dxfId="2">
      <formula>$B$5&gt;=$B$6</formula>
    </cfRule>
    <cfRule type="expression" priority="2" dxfId="3">
      <formula>$B$5&lt;$B$6</formula>
    </cfRule>
  </conditionalFormatting>
  <conditionalFormatting sqref="B8">
    <cfRule type="expression" priority="3" dxfId="2">
      <formula>$B$5&gt;=$B$6</formula>
    </cfRule>
    <cfRule type="expression" priority="4" dxfId="3">
      <formula>$B$5&lt;$B$6</formula>
    </cfRule>
  </conditionalFormatting>
  <conditionalFormatting sqref="B9">
    <cfRule type="expression" priority="5" dxfId="2">
      <formula>$B$5&gt;=$B$6</formula>
    </cfRule>
    <cfRule type="expression" priority="6" dxfId="3">
      <formula>$B$5&lt;$B$6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MÜV RTD  •  Scenarios &amp; What-If  →  Path to $3,000,000</t>
        </is>
      </c>
      <c r="B1" s="2" t="n"/>
      <c r="C1" s="2" t="n"/>
      <c r="D1" s="2" t="n"/>
      <c r="E1" s="2" t="n"/>
      <c r="F1" s="2" t="n"/>
      <c r="G1" s="2" t="n"/>
    </row>
    <row r="3">
      <c r="A3" s="48" t="inlineStr">
        <is>
          <t>LIVE MODEL</t>
        </is>
      </c>
      <c r="B3" s="67" t="n"/>
      <c r="C3" s="67" t="n"/>
      <c r="D3" s="67" t="n"/>
      <c r="E3" s="67" t="n"/>
      <c r="F3" s="67" t="n"/>
      <c r="G3" s="67" t="n"/>
    </row>
    <row r="4">
      <c r="A4" s="68" t="inlineStr">
        <is>
          <t>Annual gross (basis)</t>
        </is>
      </c>
      <c r="B4" s="69">
        <f>AnnualGross</f>
        <v/>
      </c>
      <c r="D4" s="70">
        <f>IF(AnnualGross&gt;=TargetRev,"✓ GOAL MET","GAP: "&amp;TEXT(TargetRev-AnnualGross,"$#,##0")&amp;"  ("&amp;TEXT(AnnualGross/TargetRev,"0.0%")&amp;" to goal)")</f>
        <v/>
      </c>
    </row>
    <row r="5">
      <c r="A5" s="68" t="inlineStr">
        <is>
          <t xml:space="preserve">  Online gross</t>
        </is>
      </c>
      <c r="B5" s="69">
        <f>SUMIF(CalcChannel,"Online",CalcGross)</f>
        <v/>
      </c>
    </row>
    <row r="6">
      <c r="A6" s="68" t="inlineStr">
        <is>
          <t xml:space="preserve">  Physical gross</t>
        </is>
      </c>
      <c r="B6" s="69">
        <f>B4-B5</f>
        <v/>
      </c>
    </row>
    <row r="7">
      <c r="A7" s="68" t="inlineStr">
        <is>
          <t xml:space="preserve">  Physical @ neutral</t>
        </is>
      </c>
      <c r="B7" s="71">
        <f>B6/((1+VelocityUplift)*(1+PriceIndex))</f>
        <v/>
      </c>
    </row>
    <row r="8">
      <c r="A8" s="68" t="inlineStr">
        <is>
          <t xml:space="preserve">  Online @ neutral</t>
        </is>
      </c>
      <c r="B8" s="72">
        <f>B5/((1+OnlineGrowth)*(1+PriceIndex))</f>
        <v/>
      </c>
    </row>
    <row r="9">
      <c r="A9" s="68" t="inlineStr">
        <is>
          <t>Target</t>
        </is>
      </c>
      <c r="B9" s="69">
        <f>TargetRev</f>
        <v/>
      </c>
    </row>
    <row r="11" ht="22" customHeight="1">
      <c r="A11" s="1" t="inlineStr">
        <is>
          <t>PATH TO $3,000,000 — any ONE of these moves alone closes the gap</t>
        </is>
      </c>
      <c r="B11" s="2" t="n"/>
      <c r="C11" s="2" t="n"/>
      <c r="D11" s="2" t="n"/>
    </row>
    <row r="12">
      <c r="A12" s="4" t="inlineStr">
        <is>
          <t>Lever</t>
        </is>
      </c>
      <c r="B12" s="4" t="inlineStr">
        <is>
          <t>Current</t>
        </is>
      </c>
      <c r="C12" s="4" t="inlineStr">
        <is>
          <t>Needed for $3M</t>
        </is>
      </c>
      <c r="D12" s="4" t="inlineStr">
        <is>
          <t>Move required</t>
        </is>
      </c>
    </row>
    <row r="13">
      <c r="A13" s="39" t="inlineStr">
        <is>
          <t>Price index %</t>
        </is>
      </c>
      <c r="B13" s="54">
        <f>PriceIndex</f>
        <v/>
      </c>
      <c r="C13" s="73">
        <f>IFERROR(TargetRev/AnnualGross*(1+PriceIndex)-1,"n/a")</f>
        <v/>
      </c>
      <c r="D13" s="54">
        <f>IF(ISNUMBER(C13),C13-B13,"n/a")</f>
        <v/>
      </c>
    </row>
    <row r="14">
      <c r="A14" s="39" t="inlineStr">
        <is>
          <t>Velocity uplift %</t>
        </is>
      </c>
      <c r="B14" s="54">
        <f>VelocityUplift</f>
        <v/>
      </c>
      <c r="C14" s="73">
        <f>IFERROR((TargetRev-B5)/B6*(1+VelocityUplift)-1,"n/a")</f>
        <v/>
      </c>
      <c r="D14" s="54">
        <f>IF(ISNUMBER(C14),C14-B14,"n/a")</f>
        <v/>
      </c>
    </row>
    <row r="15">
      <c r="A15" s="39" t="inlineStr">
        <is>
          <t>Online growth %</t>
        </is>
      </c>
      <c r="B15" s="54">
        <f>OnlineGrowth</f>
        <v/>
      </c>
      <c r="C15" s="73">
        <f>IFERROR((TargetRev-B6)/B5*(1+OnlineGrowth)-1,"n/a")</f>
        <v/>
      </c>
      <c r="D15" s="54">
        <f>IF(ISNUMBER(C15),C15-B15,"n/a")</f>
        <v/>
      </c>
    </row>
    <row r="16">
      <c r="A16" s="39" t="inlineStr">
        <is>
          <t>Doors calibration</t>
        </is>
      </c>
      <c r="B16" s="74">
        <f>CalibScalar</f>
        <v/>
      </c>
      <c r="C16" s="75">
        <f>IFERROR(CalibScalar*(TargetRev-B5)/B6,"n/a")</f>
        <v/>
      </c>
      <c r="D16" s="74">
        <f>IF(ISNUMBER(C16),C16-B16,"n/a")</f>
        <v/>
      </c>
    </row>
    <row r="18" ht="22" customHeight="1">
      <c r="A18" s="1" t="inlineStr">
        <is>
          <t>SCENARIOS — edit the levers; gross recomputes live (green = meets $3M)</t>
        </is>
      </c>
      <c r="B18" s="2" t="n"/>
      <c r="C18" s="2" t="n"/>
      <c r="D18" s="2" t="n"/>
      <c r="E18" s="2" t="n"/>
      <c r="F18" s="2" t="n"/>
      <c r="G18" s="2" t="n"/>
    </row>
    <row r="19">
      <c r="A19" s="4" t="inlineStr">
        <is>
          <t>Scenario</t>
        </is>
      </c>
      <c r="B19" s="4" t="inlineStr">
        <is>
          <t>Velocity %</t>
        </is>
      </c>
      <c r="C19" s="4" t="inlineStr">
        <is>
          <t>Price %</t>
        </is>
      </c>
      <c r="D19" s="4" t="inlineStr">
        <is>
          <t>Online %</t>
        </is>
      </c>
      <c r="E19" s="4" t="inlineStr">
        <is>
          <t>Gross $</t>
        </is>
      </c>
      <c r="F19" s="4" t="inlineStr">
        <is>
          <t>% to goal</t>
        </is>
      </c>
      <c r="G19" s="4" t="inlineStr">
        <is>
          <t>Gap $</t>
        </is>
      </c>
    </row>
    <row r="20">
      <c r="A20" s="68" t="inlineStr">
        <is>
          <t>Bear</t>
        </is>
      </c>
      <c r="B20" s="76" t="n">
        <v>-0.15</v>
      </c>
      <c r="C20" s="76" t="n">
        <v>-0.03</v>
      </c>
      <c r="D20" s="76" t="n">
        <v>-0.25</v>
      </c>
      <c r="E20" s="77">
        <f>($B$7*(1+B20)+$B$8*(1+D20))*(1+C20)</f>
        <v/>
      </c>
      <c r="F20" s="54">
        <f>E20/TargetRev</f>
        <v/>
      </c>
      <c r="G20" s="53">
        <f>E20-TargetRev</f>
        <v/>
      </c>
    </row>
    <row r="21">
      <c r="A21" s="68" t="inlineStr">
        <is>
          <t>Base</t>
        </is>
      </c>
      <c r="B21" s="76" t="n">
        <v>0</v>
      </c>
      <c r="C21" s="76" t="n">
        <v>0</v>
      </c>
      <c r="D21" s="76" t="n">
        <v>0</v>
      </c>
      <c r="E21" s="77">
        <f>($B$7*(1+B21)+$B$8*(1+D21))*(1+C21)</f>
        <v/>
      </c>
      <c r="F21" s="54">
        <f>E21/TargetRev</f>
        <v/>
      </c>
      <c r="G21" s="53">
        <f>E21-TargetRev</f>
        <v/>
      </c>
    </row>
    <row r="22">
      <c r="A22" s="68" t="inlineStr">
        <is>
          <t>Bull</t>
        </is>
      </c>
      <c r="B22" s="76" t="n">
        <v>0.2</v>
      </c>
      <c r="C22" s="76" t="n">
        <v>0.04</v>
      </c>
      <c r="D22" s="76" t="n">
        <v>0.5</v>
      </c>
      <c r="E22" s="77">
        <f>($B$7*(1+B22)+$B$8*(1+D22))*(1+C22)</f>
        <v/>
      </c>
      <c r="F22" s="54">
        <f>E22/TargetRev</f>
        <v/>
      </c>
      <c r="G22" s="53">
        <f>E22-TargetRev</f>
        <v/>
      </c>
    </row>
    <row r="25" ht="22" customHeight="1">
      <c r="A25" s="1" t="inlineStr">
        <is>
          <t>SENSITIVITY — annual gross by doors calibration (down) × price index (across). Green ≥ $3M.</t>
        </is>
      </c>
      <c r="B25" s="2" t="n"/>
      <c r="C25" s="2" t="n"/>
      <c r="D25" s="2" t="n"/>
      <c r="E25" s="2" t="n"/>
      <c r="F25" s="2" t="n"/>
    </row>
    <row r="26">
      <c r="A26" s="78" t="inlineStr">
        <is>
          <t>Calib ╲ Price</t>
        </is>
      </c>
      <c r="B26" s="79" t="n">
        <v>-0.05</v>
      </c>
      <c r="C26" s="79" t="n">
        <v>0</v>
      </c>
      <c r="D26" s="79" t="n">
        <v>0.05</v>
      </c>
      <c r="E26" s="79" t="n">
        <v>0.1</v>
      </c>
      <c r="F26" s="79" t="n">
        <v>0.15</v>
      </c>
    </row>
    <row r="27">
      <c r="A27" s="80" t="n">
        <v>0.3</v>
      </c>
      <c r="B27" s="81">
        <f>($B$6*($A27/CalibScalar)+$B$5)*(1+B$26)/(1+PriceIndex)</f>
        <v/>
      </c>
      <c r="C27" s="81">
        <f>($B$6*($A27/CalibScalar)+$B$5)*(1+C$26)/(1+PriceIndex)</f>
        <v/>
      </c>
      <c r="D27" s="81">
        <f>($B$6*($A27/CalibScalar)+$B$5)*(1+D$26)/(1+PriceIndex)</f>
        <v/>
      </c>
      <c r="E27" s="81">
        <f>($B$6*($A27/CalibScalar)+$B$5)*(1+E$26)/(1+PriceIndex)</f>
        <v/>
      </c>
      <c r="F27" s="81">
        <f>($B$6*($A27/CalibScalar)+$B$5)*(1+F$26)/(1+PriceIndex)</f>
        <v/>
      </c>
    </row>
    <row r="28">
      <c r="A28" s="80" t="n">
        <v>0.33</v>
      </c>
      <c r="B28" s="81">
        <f>($B$6*($A28/CalibScalar)+$B$5)*(1+B$26)/(1+PriceIndex)</f>
        <v/>
      </c>
      <c r="C28" s="81">
        <f>($B$6*($A28/CalibScalar)+$B$5)*(1+C$26)/(1+PriceIndex)</f>
        <v/>
      </c>
      <c r="D28" s="81">
        <f>($B$6*($A28/CalibScalar)+$B$5)*(1+D$26)/(1+PriceIndex)</f>
        <v/>
      </c>
      <c r="E28" s="81">
        <f>($B$6*($A28/CalibScalar)+$B$5)*(1+E$26)/(1+PriceIndex)</f>
        <v/>
      </c>
      <c r="F28" s="81">
        <f>($B$6*($A28/CalibScalar)+$B$5)*(1+F$26)/(1+PriceIndex)</f>
        <v/>
      </c>
    </row>
    <row r="29">
      <c r="A29" s="80" t="n">
        <v>0.36</v>
      </c>
      <c r="B29" s="81">
        <f>($B$6*($A29/CalibScalar)+$B$5)*(1+B$26)/(1+PriceIndex)</f>
        <v/>
      </c>
      <c r="C29" s="81">
        <f>($B$6*($A29/CalibScalar)+$B$5)*(1+C$26)/(1+PriceIndex)</f>
        <v/>
      </c>
      <c r="D29" s="81">
        <f>($B$6*($A29/CalibScalar)+$B$5)*(1+D$26)/(1+PriceIndex)</f>
        <v/>
      </c>
      <c r="E29" s="81">
        <f>($B$6*($A29/CalibScalar)+$B$5)*(1+E$26)/(1+PriceIndex)</f>
        <v/>
      </c>
      <c r="F29" s="81">
        <f>($B$6*($A29/CalibScalar)+$B$5)*(1+F$26)/(1+PriceIndex)</f>
        <v/>
      </c>
    </row>
    <row r="30">
      <c r="A30" s="80" t="n">
        <v>0.39</v>
      </c>
      <c r="B30" s="81">
        <f>($B$6*($A30/CalibScalar)+$B$5)*(1+B$26)/(1+PriceIndex)</f>
        <v/>
      </c>
      <c r="C30" s="81">
        <f>($B$6*($A30/CalibScalar)+$B$5)*(1+C$26)/(1+PriceIndex)</f>
        <v/>
      </c>
      <c r="D30" s="81">
        <f>($B$6*($A30/CalibScalar)+$B$5)*(1+D$26)/(1+PriceIndex)</f>
        <v/>
      </c>
      <c r="E30" s="81">
        <f>($B$6*($A30/CalibScalar)+$B$5)*(1+E$26)/(1+PriceIndex)</f>
        <v/>
      </c>
      <c r="F30" s="81">
        <f>($B$6*($A30/CalibScalar)+$B$5)*(1+F$26)/(1+PriceIndex)</f>
        <v/>
      </c>
    </row>
    <row r="31">
      <c r="A31" s="80" t="n">
        <v>0.42</v>
      </c>
      <c r="B31" s="81">
        <f>($B$6*($A31/CalibScalar)+$B$5)*(1+B$26)/(1+PriceIndex)</f>
        <v/>
      </c>
      <c r="C31" s="81">
        <f>($B$6*($A31/CalibScalar)+$B$5)*(1+C$26)/(1+PriceIndex)</f>
        <v/>
      </c>
      <c r="D31" s="81">
        <f>($B$6*($A31/CalibScalar)+$B$5)*(1+D$26)/(1+PriceIndex)</f>
        <v/>
      </c>
      <c r="E31" s="81">
        <f>($B$6*($A31/CalibScalar)+$B$5)*(1+E$26)/(1+PriceIndex)</f>
        <v/>
      </c>
      <c r="F31" s="81">
        <f>($B$6*($A31/CalibScalar)+$B$5)*(1+F$26)/(1+PriceIndex)</f>
        <v/>
      </c>
    </row>
    <row r="33">
      <c r="A33" s="18" t="inlineStr">
        <is>
          <t>Tip: type a Scenario's levers into the Settings tab to drive the full live model exactly.</t>
        </is>
      </c>
    </row>
  </sheetData>
  <mergeCells count="5">
    <mergeCell ref="A1:G1"/>
    <mergeCell ref="A18:G18"/>
    <mergeCell ref="D4:G5"/>
    <mergeCell ref="A11:D11"/>
    <mergeCell ref="A25:F25"/>
  </mergeCells>
  <conditionalFormatting sqref="D4">
    <cfRule type="cellIs" priority="1" operator="greaterThanOrEqual" dxfId="4">
      <formula>TargetRev</formula>
    </cfRule>
    <cfRule type="cellIs" priority="2" operator="lessThan" dxfId="5">
      <formula>TargetRev</formula>
    </cfRule>
  </conditionalFormatting>
  <conditionalFormatting sqref="E20">
    <cfRule type="cellIs" priority="3" operator="greaterThanOrEqual" dxfId="6">
      <formula>TargetRev</formula>
    </cfRule>
    <cfRule type="cellIs" priority="4" operator="lessThan" dxfId="7">
      <formula>TargetRev</formula>
    </cfRule>
  </conditionalFormatting>
  <conditionalFormatting sqref="E21">
    <cfRule type="cellIs" priority="5" operator="greaterThanOrEqual" dxfId="6">
      <formula>TargetRev</formula>
    </cfRule>
    <cfRule type="cellIs" priority="6" operator="lessThan" dxfId="7">
      <formula>TargetRev</formula>
    </cfRule>
  </conditionalFormatting>
  <conditionalFormatting sqref="E22">
    <cfRule type="cellIs" priority="7" operator="greaterThanOrEqual" dxfId="6">
      <formula>TargetRev</formula>
    </cfRule>
    <cfRule type="cellIs" priority="8" operator="lessThan" dxfId="7">
      <formula>TargetRev</formula>
    </cfRule>
  </conditionalFormatting>
  <conditionalFormatting sqref="B27">
    <cfRule type="cellIs" priority="9" operator="greaterThanOrEqual" dxfId="0">
      <formula>TargetRev</formula>
    </cfRule>
    <cfRule type="cellIs" priority="10" operator="lessThan" dxfId="8">
      <formula>TargetRev</formula>
    </cfRule>
  </conditionalFormatting>
  <conditionalFormatting sqref="C27">
    <cfRule type="cellIs" priority="11" operator="greaterThanOrEqual" dxfId="0">
      <formula>TargetRev</formula>
    </cfRule>
    <cfRule type="cellIs" priority="12" operator="lessThan" dxfId="8">
      <formula>TargetRev</formula>
    </cfRule>
  </conditionalFormatting>
  <conditionalFormatting sqref="D27">
    <cfRule type="cellIs" priority="13" operator="greaterThanOrEqual" dxfId="0">
      <formula>TargetRev</formula>
    </cfRule>
    <cfRule type="cellIs" priority="14" operator="lessThan" dxfId="8">
      <formula>TargetRev</formula>
    </cfRule>
  </conditionalFormatting>
  <conditionalFormatting sqref="E27">
    <cfRule type="cellIs" priority="15" operator="greaterThanOrEqual" dxfId="0">
      <formula>TargetRev</formula>
    </cfRule>
    <cfRule type="cellIs" priority="16" operator="lessThan" dxfId="8">
      <formula>TargetRev</formula>
    </cfRule>
  </conditionalFormatting>
  <conditionalFormatting sqref="F27">
    <cfRule type="cellIs" priority="17" operator="greaterThanOrEqual" dxfId="0">
      <formula>TargetRev</formula>
    </cfRule>
    <cfRule type="cellIs" priority="18" operator="lessThan" dxfId="8">
      <formula>TargetRev</formula>
    </cfRule>
  </conditionalFormatting>
  <conditionalFormatting sqref="B28">
    <cfRule type="cellIs" priority="19" operator="greaterThanOrEqual" dxfId="0">
      <formula>TargetRev</formula>
    </cfRule>
    <cfRule type="cellIs" priority="20" operator="lessThan" dxfId="8">
      <formula>TargetRev</formula>
    </cfRule>
  </conditionalFormatting>
  <conditionalFormatting sqref="C28">
    <cfRule type="cellIs" priority="21" operator="greaterThanOrEqual" dxfId="0">
      <formula>TargetRev</formula>
    </cfRule>
    <cfRule type="cellIs" priority="22" operator="lessThan" dxfId="8">
      <formula>TargetRev</formula>
    </cfRule>
  </conditionalFormatting>
  <conditionalFormatting sqref="D28">
    <cfRule type="cellIs" priority="23" operator="greaterThanOrEqual" dxfId="0">
      <formula>TargetRev</formula>
    </cfRule>
    <cfRule type="cellIs" priority="24" operator="lessThan" dxfId="8">
      <formula>TargetRev</formula>
    </cfRule>
  </conditionalFormatting>
  <conditionalFormatting sqref="E28">
    <cfRule type="cellIs" priority="25" operator="greaterThanOrEqual" dxfId="0">
      <formula>TargetRev</formula>
    </cfRule>
    <cfRule type="cellIs" priority="26" operator="lessThan" dxfId="8">
      <formula>TargetRev</formula>
    </cfRule>
  </conditionalFormatting>
  <conditionalFormatting sqref="F28">
    <cfRule type="cellIs" priority="27" operator="greaterThanOrEqual" dxfId="0">
      <formula>TargetRev</formula>
    </cfRule>
    <cfRule type="cellIs" priority="28" operator="lessThan" dxfId="8">
      <formula>TargetRev</formula>
    </cfRule>
  </conditionalFormatting>
  <conditionalFormatting sqref="B29">
    <cfRule type="cellIs" priority="29" operator="greaterThanOrEqual" dxfId="0">
      <formula>TargetRev</formula>
    </cfRule>
    <cfRule type="cellIs" priority="30" operator="lessThan" dxfId="8">
      <formula>TargetRev</formula>
    </cfRule>
  </conditionalFormatting>
  <conditionalFormatting sqref="C29">
    <cfRule type="cellIs" priority="31" operator="greaterThanOrEqual" dxfId="0">
      <formula>TargetRev</formula>
    </cfRule>
    <cfRule type="cellIs" priority="32" operator="lessThan" dxfId="8">
      <formula>TargetRev</formula>
    </cfRule>
  </conditionalFormatting>
  <conditionalFormatting sqref="D29">
    <cfRule type="cellIs" priority="33" operator="greaterThanOrEqual" dxfId="0">
      <formula>TargetRev</formula>
    </cfRule>
    <cfRule type="cellIs" priority="34" operator="lessThan" dxfId="8">
      <formula>TargetRev</formula>
    </cfRule>
  </conditionalFormatting>
  <conditionalFormatting sqref="E29">
    <cfRule type="cellIs" priority="35" operator="greaterThanOrEqual" dxfId="0">
      <formula>TargetRev</formula>
    </cfRule>
    <cfRule type="cellIs" priority="36" operator="lessThan" dxfId="8">
      <formula>TargetRev</formula>
    </cfRule>
  </conditionalFormatting>
  <conditionalFormatting sqref="F29">
    <cfRule type="cellIs" priority="37" operator="greaterThanOrEqual" dxfId="0">
      <formula>TargetRev</formula>
    </cfRule>
    <cfRule type="cellIs" priority="38" operator="lessThan" dxfId="8">
      <formula>TargetRev</formula>
    </cfRule>
  </conditionalFormatting>
  <conditionalFormatting sqref="B30">
    <cfRule type="cellIs" priority="39" operator="greaterThanOrEqual" dxfId="0">
      <formula>TargetRev</formula>
    </cfRule>
    <cfRule type="cellIs" priority="40" operator="lessThan" dxfId="8">
      <formula>TargetRev</formula>
    </cfRule>
  </conditionalFormatting>
  <conditionalFormatting sqref="C30">
    <cfRule type="cellIs" priority="41" operator="greaterThanOrEqual" dxfId="0">
      <formula>TargetRev</formula>
    </cfRule>
    <cfRule type="cellIs" priority="42" operator="lessThan" dxfId="8">
      <formula>TargetRev</formula>
    </cfRule>
  </conditionalFormatting>
  <conditionalFormatting sqref="D30">
    <cfRule type="cellIs" priority="43" operator="greaterThanOrEqual" dxfId="0">
      <formula>TargetRev</formula>
    </cfRule>
    <cfRule type="cellIs" priority="44" operator="lessThan" dxfId="8">
      <formula>TargetRev</formula>
    </cfRule>
  </conditionalFormatting>
  <conditionalFormatting sqref="E30">
    <cfRule type="cellIs" priority="45" operator="greaterThanOrEqual" dxfId="0">
      <formula>TargetRev</formula>
    </cfRule>
    <cfRule type="cellIs" priority="46" operator="lessThan" dxfId="8">
      <formula>TargetRev</formula>
    </cfRule>
  </conditionalFormatting>
  <conditionalFormatting sqref="F30">
    <cfRule type="cellIs" priority="47" operator="greaterThanOrEqual" dxfId="0">
      <formula>TargetRev</formula>
    </cfRule>
    <cfRule type="cellIs" priority="48" operator="lessThan" dxfId="8">
      <formula>TargetRev</formula>
    </cfRule>
  </conditionalFormatting>
  <conditionalFormatting sqref="B31">
    <cfRule type="cellIs" priority="49" operator="greaterThanOrEqual" dxfId="0">
      <formula>TargetRev</formula>
    </cfRule>
    <cfRule type="cellIs" priority="50" operator="lessThan" dxfId="8">
      <formula>TargetRev</formula>
    </cfRule>
  </conditionalFormatting>
  <conditionalFormatting sqref="C31">
    <cfRule type="cellIs" priority="51" operator="greaterThanOrEqual" dxfId="0">
      <formula>TargetRev</formula>
    </cfRule>
    <cfRule type="cellIs" priority="52" operator="lessThan" dxfId="8">
      <formula>TargetRev</formula>
    </cfRule>
  </conditionalFormatting>
  <conditionalFormatting sqref="D31">
    <cfRule type="cellIs" priority="53" operator="greaterThanOrEqual" dxfId="0">
      <formula>TargetRev</formula>
    </cfRule>
    <cfRule type="cellIs" priority="54" operator="lessThan" dxfId="8">
      <formula>TargetRev</formula>
    </cfRule>
  </conditionalFormatting>
  <conditionalFormatting sqref="E31">
    <cfRule type="cellIs" priority="55" operator="greaterThanOrEqual" dxfId="0">
      <formula>TargetRev</formula>
    </cfRule>
    <cfRule type="cellIs" priority="56" operator="lessThan" dxfId="8">
      <formula>TargetRev</formula>
    </cfRule>
  </conditionalFormatting>
  <conditionalFormatting sqref="F31">
    <cfRule type="cellIs" priority="57" operator="greaterThanOrEqual" dxfId="0">
      <formula>TargetRev</formula>
    </cfRule>
    <cfRule type="cellIs" priority="58" operator="lessThan" dxfId="8">
      <formula>TargetRev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sheetData>
    <row r="1" ht="22" customHeight="1">
      <c r="A1" s="1" t="inlineStr">
        <is>
          <t>MÜV RTD  •  Charts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2" customHeight="1">
      <c r="A1" s="1" t="inlineStr">
        <is>
          <t>MÜV RTD Forecast — How to use &amp; extend</t>
        </is>
      </c>
      <c r="B1" s="2" t="n"/>
    </row>
    <row r="3">
      <c r="B3" s="82" t="inlineStr">
        <is>
          <t>WHAT THIS IS</t>
        </is>
      </c>
    </row>
    <row r="4">
      <c r="B4" s="83" t="inlineStr">
        <is>
          <t>A fully formula-driven annual sales forecast for MÜV (sparkling electrolyte RTD), launching in Canada FY2027 (starts 1 Sep 2027).</t>
        </is>
      </c>
    </row>
    <row r="5">
      <c r="B5" s="83" t="inlineStr">
        <is>
          <t>Every result is a live formula tracing back to an input cell. Change any yellow input and the whole model recalculates.</t>
        </is>
      </c>
    </row>
    <row r="6">
      <c r="B6" s="82" t="inlineStr">
        <is>
          <t>TABS</t>
        </is>
      </c>
    </row>
    <row r="7">
      <c r="B7" s="83" t="inlineStr">
        <is>
          <t>Settings   – fiscal start, 52/53 weeks, gross-revenue basis, $3M target, calibration scalar, and 5 global driver levers; Flavours, Pack formats, SKUs.</t>
        </is>
      </c>
    </row>
    <row r="8">
      <c r="B8" s="83" t="inlineStr">
        <is>
          <t>Assumptions– Channels, Store tiers, Geography (provinces), Province split, Seasonality, Online units curve. SEED PLACEHOLDERS — replace with real data.</t>
        </is>
      </c>
    </row>
    <row r="9">
      <c r="B9" s="83" t="inlineStr">
        <is>
          <t>Calc       – the engine: one row per Week × Channel × Province (53 × 70 = 3,710 rows). Tiers roll up; flavours/SKUs split by share.</t>
        </is>
      </c>
    </row>
    <row r="10">
      <c r="B10" s="83" t="inlineStr">
        <is>
          <t>Summary    – KPIs, the $3M goal, and breakdowns by channel / province / flavour / SKU / store tier / quarter / month, weekly trend + weekly volume.</t>
        </is>
      </c>
    </row>
    <row r="11">
      <c r="B11" s="83" t="inlineStr">
        <is>
          <t>Scenarios  – live PATH TO $3M (the single move on each lever that closes the gap), a Bear/Base/Bull comparison, and a doors×price sensitivity grid.</t>
        </is>
      </c>
    </row>
    <row r="12">
      <c r="B12" s="83" t="inlineStr">
        <is>
          <t>Charts     – cumulative-vs-goal, weekly revenue &amp; volume, channel/province/SKU/tier/month bars, flavour &amp; channel mix, scenario gross.</t>
        </is>
      </c>
    </row>
    <row r="13">
      <c r="B13" s="82" t="inlineStr">
        <is>
          <t>PATH TO $3M &amp; SCENARIOS  (Scenarios tab)</t>
        </is>
      </c>
    </row>
    <row r="14">
      <c r="B14" s="83" t="inlineStr">
        <is>
          <t>Path-to-$3M shows, live, how far each lever alone must move to hit the goal (e.g. ~+1.3% price, ~+1.7% velocity, ~+6.3% online at the base case).</t>
        </is>
      </c>
    </row>
    <row r="15">
      <c r="B15" s="83" t="inlineStr">
        <is>
          <t>The scenario gross uses an exact closed form (it equals the full engine to the cent); the sensitivity grid turns green wherever a doors×price combo meets $3M.</t>
        </is>
      </c>
    </row>
    <row r="16">
      <c r="B16" s="82" t="inlineStr">
        <is>
          <t>GROSS REVENUE BASIS  (Settings!B6)</t>
        </is>
      </c>
    </row>
    <row r="17">
      <c r="B17" s="83" t="inlineStr">
        <is>
          <t>Wholesale (default) = case price × cases (physical) + online direct revenue. Sell-through = consumer units × retail SRP (physical) + online direct.</t>
        </is>
      </c>
    </row>
    <row r="18">
      <c r="B18" s="83" t="inlineStr">
        <is>
          <t>This single choice moves the goal math the most. The label on the Summary always states the active basis.</t>
        </is>
      </c>
    </row>
    <row r="19">
      <c r="B19" s="82" t="inlineStr">
        <is>
          <t>HOW TO EXTEND  (add a row — formulas follow)</t>
        </is>
      </c>
    </row>
    <row r="20">
      <c r="B20" s="83" t="inlineStr">
        <is>
          <t>• Add a FLAVOUR: add a row to Settings→Flavours (name + share; keep shares summing to 100%) AND a row per format in Settings→SKUs. Breakdowns update.</t>
        </is>
      </c>
    </row>
    <row r="21">
      <c r="B21" s="83" t="inlineStr">
        <is>
          <t>• Add a SKU: add a row to Settings→SKUs (flavour, format, COGS, price idx). Blended COGS/price recompute automatically.</t>
        </is>
      </c>
    </row>
    <row r="22">
      <c r="B22" s="83" t="inlineStr">
        <is>
          <t>• Add a CHANNEL: add a row to Assumptions→Channels (+ its tier rows + a province-split row per province). Then copy a 53-week block in Calc for each new</t>
        </is>
      </c>
    </row>
    <row r="23">
      <c r="B23" s="83" t="inlineStr">
        <is>
          <t xml:space="preserve">  channel×province and add a 'By Channel' row in Summary. Channel logic is generic — no formula rewrite needed.</t>
        </is>
      </c>
    </row>
    <row r="24">
      <c r="B24" s="83" t="inlineStr">
        <is>
          <t>• Add a TIER: add a row to Assumptions→Store Tiers (channel, tier, doors, velocity). It auto-rolls into that channel's Doors×Vel. Nothing else to touch.</t>
        </is>
      </c>
    </row>
    <row r="25">
      <c r="B25" s="83" t="inlineStr">
        <is>
          <t>• Add a PROVINCE/TERRITORY: add a row to Assumptions→Geography, a split row per channel in Province split, then Calc blocks + a Summary 'By Province' row.</t>
        </is>
      </c>
    </row>
    <row r="26">
      <c r="B26" s="83" t="inlineStr">
        <is>
          <t>Spare yellow rows are pre-formatted under each table and the named ranges already extend over them, so SUMIF/SUMPRODUCT pick up new rows automatically.</t>
        </is>
      </c>
    </row>
    <row r="27">
      <c r="B27" s="83" t="inlineStr">
        <is>
          <t>When you fill a spare row, copy the grey '(auto)' formula cells (e.g. Doors×Vel, Key, Share) down from the row above so the derived columns populate.</t>
        </is>
      </c>
    </row>
    <row r="28">
      <c r="B28" s="82" t="inlineStr">
        <is>
          <t>CALIBRATION</t>
        </is>
      </c>
    </row>
    <row r="29">
      <c r="B29" s="83" t="inlineStr">
        <is>
          <t>Raw seed anchors overshoot $3M (~$7.1M). The calibration scalar (Settings) scales all door counts. It is set to 0.36 so the base case lands just under</t>
        </is>
      </c>
    </row>
    <row r="30">
      <c r="B30" s="83" t="inlineStr">
        <is>
          <t>the goal (~$2.96M, 98.7%) — inside the $2.7–3.3M band — leaving a real gap so the goal tracking and levers are meaningful. Edit it freely.</t>
        </is>
      </c>
    </row>
    <row r="31">
      <c r="B31" s="82" t="inlineStr">
        <is>
          <t>GLOBAL LEVERS (Settings) — mirror the HTML dashboard sliders</t>
        </is>
      </c>
    </row>
    <row r="32">
      <c r="B32" s="83" t="inlineStr">
        <is>
          <t>Velocity uplift %, Door ramp speed ×, Price index %, Seasonality amplitude ×, Online growth %. All neutral by default.</t>
        </is>
      </c>
    </row>
    <row r="33">
      <c r="B33" s="82" t="inlineStr">
        <is>
          <t>QA INVARIANTS (built in)</t>
        </is>
      </c>
    </row>
    <row r="34">
      <c r="B34" s="83" t="inlineStr">
        <is>
          <t>Province splits sum to 100% per channel (check block on Assumptions). Flavour shares sum to 100% (check on Settings). Ramp = 0 before launch, exactly</t>
        </is>
      </c>
    </row>
    <row r="35">
      <c r="B35" s="83" t="inlineStr">
        <is>
          <t>1.0 at full. No negative or pre-launch volume. 1 case = 24 cans everywhere. Excel totals match the HTML dashboard within rounding.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2026-06-13T08:13:42Z</dcterms:created>
  <dcterms:modified xsi:type="dcterms:W3CDTF">2026-06-13T08:13:43Z</dcterms:modified>
</cp:coreProperties>
</file>